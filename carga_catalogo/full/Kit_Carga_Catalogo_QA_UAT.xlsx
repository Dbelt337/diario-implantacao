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Parametros" sheetId="2" r:id="rId2"/>
    <sheet name="0_Pricebooks" sheetId="3" r:id="rId3"/>
    <sheet name="1_Product2" sheetId="4" r:id="rId4"/>
    <sheet name="MapaProductos" sheetId="5" r:id="rId5"/>
    <sheet name="2_PBE_Standard" sheetId="6" r:id="rId6"/>
    <sheet name="3_PBE_C101" sheetId="7" r:id="rId7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D9D9"/>
      </patternFill>
    </fill>
  </fills>
  <borders count="1">
    <border/>
  </borders>
  <cellStyleXfs count="1">
    <xf/>
  </cellStyleXfs>
  <cellXfs count="4">
    <xf/>
    <xf fontId="1" fillId="3" applyFont="1" applyFill="1"/>
    <xf fillId="2" applyFill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50" customWidth="1"/>
  </cols>
  <sheetData>
    <row r="1">
      <c r="A1" s="3" t="inlineStr">
        <is>
          <t xml:space="preserve">KIT DE CARGA — Catálogo CR (223 versões) para QA / UAT · gerado 14/07</t>
        </is>
      </c>
    </row>
    <row r="2"/>
    <row r="3">
      <c r="A3" t="inlineStr">
        <is>
          <t xml:space="preserve">PRÉ-REQUISITO (uma vez por org): deploy do deploy_precios_catalogo.zip via Workbench (Check Only antes) = 7 campos de precio + history + PS_Precios_Catalogo. Atribuir o PS ao seu usuário.</t>
        </is>
      </c>
    </row>
    <row r="4"/>
    <row r="5">
      <c r="A5" s="3" t="inlineStr">
        <is>
          <t xml:space="preserve">PASSO 1 — Parametros: na org destino, rodar e colar os Ids na aba Parametros:</t>
        </is>
      </c>
    </row>
    <row r="6">
      <c r="A6" t="inlineStr">
        <is>
          <t xml:space="preserve">  Q1: SELECT Id, Name, IsStandard FROM Pricebook2   -&gt; Id do Standard em Parametros!B2</t>
        </is>
      </c>
    </row>
    <row r="7">
      <c r="A7" t="inlineStr">
        <is>
          <t xml:space="preserve">  Se nao existir C101: importar a aba 0_Pricebooks (Inspector Data Import -&gt; Pricebook2 -&gt; Insert), re-rodar Q1 -&gt; Id do C101 em Parametros!B3</t>
        </is>
      </c>
    </row>
    <row r="8">
      <c r="A8" t="inlineStr">
        <is>
          <t xml:space="preserve">  Q2: SELECT Id, Name FROM BusinessBrand WHERE Name IN ('Hyundai','Chevrolet','Isuzu','Cadillac')   -&gt; colar cada Id em Parametros!B4:B7 (faltou marca? criar na aba Business Brands antes)</t>
        </is>
      </c>
    </row>
    <row r="9"/>
    <row r="10">
      <c r="A10" s="3" t="inlineStr">
        <is>
          <t xml:space="preserve">PASSO 2 — Produtos: aba 1_Product2 -&gt; conferir que a coluna E preencheu -&gt; selecionar A1:F218 -&gt; copiar -&gt; Inspector Data Import -&gt; Object Product2 -&gt; INSERT -&gt; Run (esperado 217 Succeeded)</t>
        </is>
      </c>
    </row>
    <row r="11"/>
    <row r="12">
      <c r="A12" s="3" t="inlineStr">
        <is>
          <t xml:space="preserve">PASSO 3 — Mapa: rodar  SELECT ProductCode, Id FROM Product2 WHERE IsActive = true  -&gt; Copy (Excel format) -&gt; colar em MapaProductos!A1</t>
        </is>
      </c>
    </row>
    <row r="13"/>
    <row r="14">
      <c r="A14" s="3" t="inlineStr">
        <is>
          <t xml:space="preserve">PASSO 4 — Preço de lista: aba 2_PBE_Standard -&gt; selecionar A1:E218 -&gt; copiar -&gt; Inspector -&gt; PricebookEntry -&gt; INSERT (217). SEMPRE antes do C101.</t>
        </is>
      </c>
    </row>
    <row r="15"/>
    <row r="16">
      <c r="A16" s="3" t="inlineStr">
        <is>
          <t xml:space="preserve">PASSO 5 — Precios: aba 3_PBE_C101 -&gt; selecionar A1:K218 -&gt; copiar -&gt; Inspector -&gt; PricebookEntry -&gt; INSERT (217)</t>
        </is>
      </c>
    </row>
    <row r="17"/>
    <row r="18">
      <c r="A18" s="3" t="inlineStr">
        <is>
          <t xml:space="preserve">PROVA: SELECT Pricebook2.Name, COUNT(Id) FROM PricebookEntry GROUP BY Pricebook2.Name -&gt; 217/217. Spot-check: ProductCode 0YS4D661V D D394 2025 no C101 = 31400/26900/21700/1600/3000</t>
        </is>
      </c>
    </row>
    <row r="19"/>
    <row r="20">
      <c r="A20" t="inlineStr">
        <is>
          <t xml:space="preserve">NOTAS: moeda = a padrão da org (sem coluna CurrencyIsoCode; se a org destino tiver USD ativa e a decisão for USD, me pedir a versão com moeda). Não copiar as colunas de referência (G no 2_PBE, M no 3_PBE) — ficam fora do intervalo indicado.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26" customWidth="1"/>
  </cols>
  <sheetData>
    <row r="1">
      <c r="A1" s="1" t="inlineStr">
        <is>
          <t xml:space="preserve">Parámetro</t>
        </is>
      </c>
      <c r="B1" s="1" t="inlineStr">
        <is>
          <t xml:space="preserve">Id (colar da ORG DESTINO)</t>
        </is>
      </c>
    </row>
    <row r="2">
      <c r="A2" t="inlineStr">
        <is>
          <t xml:space="preserve">Standard Price Book</t>
        </is>
      </c>
    </row>
    <row r="3">
      <c r="A3" t="inlineStr">
        <is>
          <t xml:space="preserve">C101 - Vehiculos y Motos (CR)</t>
        </is>
      </c>
    </row>
    <row r="4">
      <c r="A4" t="inlineStr">
        <is>
          <t xml:space="preserve">Hyundai</t>
        </is>
      </c>
    </row>
    <row r="5">
      <c r="A5" t="inlineStr">
        <is>
          <t xml:space="preserve">Chevrolet</t>
        </is>
      </c>
    </row>
    <row r="6">
      <c r="A6" t="inlineStr">
        <is>
          <t xml:space="preserve">Isuzu</t>
        </is>
      </c>
    </row>
    <row r="7">
      <c r="A7" t="inlineStr">
        <is>
          <t xml:space="preserve">Cadillac</t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10" customWidth="1"/>
    <col min="3" max="3" width="50" customWidth="1"/>
  </cols>
  <sheetData>
    <row r="1">
      <c r="A1" s="1" t="inlineStr">
        <is>
          <t xml:space="preserve">Name</t>
        </is>
      </c>
      <c r="B1" s="1" t="inlineStr">
        <is>
          <t xml:space="preserve">IsActive</t>
        </is>
      </c>
      <c r="C1" s="1" t="inlineStr">
        <is>
          <t xml:space="preserve">Description</t>
        </is>
      </c>
    </row>
    <row r="2">
      <c r="A2" t="inlineStr">
        <is>
          <t xml:space="preserve">C101 - Vehiculos y Motos (CR)</t>
        </is>
      </c>
      <c r="B2" t="inlineStr">
        <is>
          <t xml:space="preserve">true</t>
        </is>
      </c>
      <c r="C2" t="inlineStr">
        <is>
          <t xml:space="preserve">Lista de precios sociedad C101 Costa Rica</t>
        </is>
      </c>
    </row>
    <row r="3">
      <c r="A3" t="inlineStr">
        <is>
          <t xml:space="preserve">C105 - Motos (CR)</t>
        </is>
      </c>
      <c r="B3" t="inlineStr">
        <is>
          <t xml:space="preserve">true</t>
        </is>
      </c>
      <c r="C3" t="inlineStr">
        <is>
          <t xml:space="preserve">Lista de precios sociedad C105 Active Motors CR (opcional nesta fase)</t>
        </is>
      </c>
    </row>
  </sheetData>
</worksheet>
</file>

<file path=xl/worksheets/sheet4.xml><?xml version="1.0" encoding="utf-8"?>
<worksheet xmlns="http://schemas.openxmlformats.org/spreadsheetml/2006/main">
  <cols>
    <col min="1" max="1" width="52" customWidth="1"/>
    <col min="2" max="2" width="26" customWidth="1"/>
    <col min="3" max="3" width="10" customWidth="1"/>
    <col min="4" max="4" width="12" customWidth="1"/>
    <col min="5" max="5" width="22" customWidth="1"/>
    <col min="6" max="6" width="10" customWidth="1"/>
  </cols>
  <sheetData>
    <row r="1">
      <c r="A1" s="1" t="inlineStr">
        <is>
          <t xml:space="preserve">Name</t>
        </is>
      </c>
      <c r="B1" s="1" t="inlineStr">
        <is>
          <t xml:space="preserve">ProductCode</t>
        </is>
      </c>
      <c r="C1" s="1" t="inlineStr">
        <is>
          <t xml:space="preserve">Family</t>
        </is>
      </c>
      <c r="D1" s="1" t="inlineStr">
        <is>
          <t xml:space="preserve">MakeName</t>
        </is>
      </c>
      <c r="E1" s="1" t="inlineStr">
        <is>
          <t xml:space="preserve">BusinessBrandId</t>
        </is>
      </c>
      <c r="F1" s="1" t="inlineStr">
        <is>
          <t xml:space="preserve">IsActive</t>
        </is>
      </c>
    </row>
    <row r="2">
      <c r="A2" t="inlineStr">
        <is>
          <t xml:space="preserve">Accent Sedan Limited 1.500 cc Gas T/A 2WD</t>
        </is>
      </c>
      <c r="B2" t="inlineStr">
        <is>
          <t xml:space="preserve">0YS4D661V D D394 2025</t>
        </is>
      </c>
      <c r="C2" t="inlineStr">
        <is>
          <t xml:space="preserve">Autos</t>
        </is>
      </c>
      <c r="D2" t="inlineStr">
        <is>
          <t xml:space="preserve">Hyundai</t>
        </is>
      </c>
      <c r="E2">
        <f>VLOOKUP(D2,Parametros!$A$4:$B$7,2,FALSE)</f>
      </c>
      <c r="F2" t="inlineStr">
        <is>
          <t xml:space="preserve">true</t>
        </is>
      </c>
    </row>
    <row r="3">
      <c r="A3" t="inlineStr">
        <is>
          <t xml:space="preserve">Accent Sedan Sport Plus 1.500 cc Gas T/A 2WD</t>
        </is>
      </c>
      <c r="B3" t="inlineStr">
        <is>
          <t xml:space="preserve">0YS4D661V D D571 2025</t>
        </is>
      </c>
      <c r="C3" t="inlineStr">
        <is>
          <t xml:space="preserve">Autos</t>
        </is>
      </c>
      <c r="D3" t="inlineStr">
        <is>
          <t xml:space="preserve">Hyundai</t>
        </is>
      </c>
      <c r="E3">
        <f>VLOOKUP(D3,Parametros!$A$4:$B$7,2,FALSE)</f>
      </c>
      <c r="F3" t="inlineStr">
        <is>
          <t xml:space="preserve">true</t>
        </is>
      </c>
    </row>
    <row r="4">
      <c r="A4" t="inlineStr">
        <is>
          <t xml:space="preserve">Accent Sedan Limited Plus 1.500 cc Gas T/A 2WD</t>
        </is>
      </c>
      <c r="B4" t="inlineStr">
        <is>
          <t xml:space="preserve">0YS4D661V D D572 2025</t>
        </is>
      </c>
      <c r="C4" t="inlineStr">
        <is>
          <t xml:space="preserve">Autos</t>
        </is>
      </c>
      <c r="D4" t="inlineStr">
        <is>
          <t xml:space="preserve">Hyundai</t>
        </is>
      </c>
      <c r="E4">
        <f>VLOOKUP(D4,Parametros!$A$4:$B$7,2,FALSE)</f>
      </c>
      <c r="F4" t="inlineStr">
        <is>
          <t xml:space="preserve">true</t>
        </is>
      </c>
    </row>
    <row r="5">
      <c r="A5" t="inlineStr">
        <is>
          <t xml:space="preserve">Accent Sedan Fun 1.500 cc Gas T/A 2WD</t>
        </is>
      </c>
      <c r="B5" t="inlineStr">
        <is>
          <t xml:space="preserve">0YS4D661V D D720 2026</t>
        </is>
      </c>
      <c r="C5" t="inlineStr">
        <is>
          <t xml:space="preserve">Autos</t>
        </is>
      </c>
      <c r="D5" t="inlineStr">
        <is>
          <t xml:space="preserve">Hyundai</t>
        </is>
      </c>
      <c r="E5">
        <f>VLOOKUP(D5,Parametros!$A$4:$B$7,2,FALSE)</f>
      </c>
      <c r="F5" t="inlineStr">
        <is>
          <t xml:space="preserve">true</t>
        </is>
      </c>
    </row>
    <row r="6">
      <c r="A6" t="inlineStr">
        <is>
          <t xml:space="preserve">Accent Sedan Limited Plus 1.500 cc Gas T/A 2WD</t>
        </is>
      </c>
      <c r="B6" t="inlineStr">
        <is>
          <t xml:space="preserve">0YS4D661V D D743 2026</t>
        </is>
      </c>
      <c r="C6" t="inlineStr">
        <is>
          <t xml:space="preserve">Autos</t>
        </is>
      </c>
      <c r="D6" t="inlineStr">
        <is>
          <t xml:space="preserve">Hyundai</t>
        </is>
      </c>
      <c r="E6">
        <f>VLOOKUP(D6,Parametros!$A$4:$B$7,2,FALSE)</f>
      </c>
      <c r="F6" t="inlineStr">
        <is>
          <t xml:space="preserve">true</t>
        </is>
      </c>
    </row>
    <row r="7">
      <c r="A7" t="inlineStr">
        <is>
          <t xml:space="preserve">COLORADO LTZ D/C 2.8L 4X4 T/A DSL</t>
        </is>
      </c>
      <c r="B7" t="inlineStr">
        <is>
          <t xml:space="preserve">12L43-D 2025</t>
        </is>
      </c>
      <c r="C7" t="inlineStr">
        <is>
          <t xml:space="preserve">Autos</t>
        </is>
      </c>
      <c r="D7" t="inlineStr">
        <is>
          <t xml:space="preserve">Chevrolet</t>
        </is>
      </c>
      <c r="E7">
        <f>VLOOKUP(D7,Parametros!$A$4:$B$7,2,FALSE)</f>
      </c>
      <c r="F7" t="inlineStr">
        <is>
          <t xml:space="preserve">true</t>
        </is>
      </c>
    </row>
    <row r="8">
      <c r="A8" t="inlineStr">
        <is>
          <t xml:space="preserve">COLORADO LTZ D/C 2.8L 4X4 T/A DSL</t>
        </is>
      </c>
      <c r="B8" t="inlineStr">
        <is>
          <t xml:space="preserve">12L43-D 2026</t>
        </is>
      </c>
      <c r="C8" t="inlineStr">
        <is>
          <t xml:space="preserve">Autos</t>
        </is>
      </c>
      <c r="D8" t="inlineStr">
        <is>
          <t xml:space="preserve">Chevrolet</t>
        </is>
      </c>
      <c r="E8">
        <f>VLOOKUP(D8,Parametros!$A$4:$B$7,2,FALSE)</f>
      </c>
      <c r="F8" t="inlineStr">
        <is>
          <t xml:space="preserve">true</t>
        </is>
      </c>
    </row>
    <row r="9">
      <c r="A9" t="inlineStr">
        <is>
          <t xml:space="preserve">COLORADO Z71 D/C 2.8L 4X4 T/A DSL</t>
        </is>
      </c>
      <c r="B9" t="inlineStr">
        <is>
          <t xml:space="preserve">12L43-E 2026</t>
        </is>
      </c>
      <c r="C9" t="inlineStr">
        <is>
          <t xml:space="preserve">Autos</t>
        </is>
      </c>
      <c r="D9" t="inlineStr">
        <is>
          <t xml:space="preserve">Chevrolet</t>
        </is>
      </c>
      <c r="E9">
        <f>VLOOKUP(D9,Parametros!$A$4:$B$7,2,FALSE)</f>
      </c>
      <c r="F9" t="inlineStr">
        <is>
          <t xml:space="preserve">true</t>
        </is>
      </c>
    </row>
    <row r="10">
      <c r="A10" t="inlineStr">
        <is>
          <t xml:space="preserve">COLORADO HC D/C 2.8L 4X4 T/A DSL</t>
        </is>
      </c>
      <c r="B10" t="inlineStr">
        <is>
          <t xml:space="preserve">12L43-G 2025</t>
        </is>
      </c>
      <c r="C10" t="inlineStr">
        <is>
          <t xml:space="preserve">Autos</t>
        </is>
      </c>
      <c r="D10" t="inlineStr">
        <is>
          <t xml:space="preserve">Chevrolet</t>
        </is>
      </c>
      <c r="E10">
        <f>VLOOKUP(D10,Parametros!$A$4:$B$7,2,FALSE)</f>
      </c>
      <c r="F10" t="inlineStr">
        <is>
          <t xml:space="preserve">true</t>
        </is>
      </c>
    </row>
    <row r="11">
      <c r="A11" t="inlineStr">
        <is>
          <t xml:space="preserve">COLORADO HC D/C 2.8L 4X4 T/A DSL</t>
        </is>
      </c>
      <c r="B11" t="inlineStr">
        <is>
          <t xml:space="preserve">12L43-G 2026</t>
        </is>
      </c>
      <c r="C11" t="inlineStr">
        <is>
          <t xml:space="preserve">Autos</t>
        </is>
      </c>
      <c r="D11" t="inlineStr">
        <is>
          <t xml:space="preserve">Chevrolet</t>
        </is>
      </c>
      <c r="E11">
        <f>VLOOKUP(D11,Parametros!$A$4:$B$7,2,FALSE)</f>
      </c>
      <c r="F11" t="inlineStr">
        <is>
          <t xml:space="preserve">true</t>
        </is>
      </c>
    </row>
    <row r="12">
      <c r="A12" t="inlineStr">
        <is>
          <t xml:space="preserve">TRAILBLAZER HC 2.8L 4X4 T/A DSL</t>
        </is>
      </c>
      <c r="B12" t="inlineStr">
        <is>
          <t xml:space="preserve">12S26-G 2025</t>
        </is>
      </c>
      <c r="C12" t="inlineStr">
        <is>
          <t xml:space="preserve">Autos</t>
        </is>
      </c>
      <c r="D12" t="inlineStr">
        <is>
          <t xml:space="preserve">Chevrolet</t>
        </is>
      </c>
      <c r="E12">
        <f>VLOOKUP(D12,Parametros!$A$4:$B$7,2,FALSE)</f>
      </c>
      <c r="F12" t="inlineStr">
        <is>
          <t xml:space="preserve">true</t>
        </is>
      </c>
    </row>
    <row r="13">
      <c r="A13" t="inlineStr">
        <is>
          <t xml:space="preserve">TRAILBLAZER HC 2.8L 4X4 T/A DSL</t>
        </is>
      </c>
      <c r="B13" t="inlineStr">
        <is>
          <t xml:space="preserve">12S26-G 2026</t>
        </is>
      </c>
      <c r="C13" t="inlineStr">
        <is>
          <t xml:space="preserve">Autos</t>
        </is>
      </c>
      <c r="D13" t="inlineStr">
        <is>
          <t xml:space="preserve">Chevrolet</t>
        </is>
      </c>
      <c r="E13">
        <f>VLOOKUP(D13,Parametros!$A$4:$B$7,2,FALSE)</f>
      </c>
      <c r="F13" t="inlineStr">
        <is>
          <t xml:space="preserve">true</t>
        </is>
      </c>
    </row>
    <row r="14">
      <c r="A14" t="inlineStr">
        <is>
          <t xml:space="preserve">SPARK EUV 4X2 T/A ELECTRICO</t>
        </is>
      </c>
      <c r="B14" t="inlineStr">
        <is>
          <t xml:space="preserve">1E426-A 2026</t>
        </is>
      </c>
      <c r="C14" t="inlineStr">
        <is>
          <t xml:space="preserve">Autos</t>
        </is>
      </c>
      <c r="D14" t="inlineStr">
        <is>
          <t xml:space="preserve">Chevrolet</t>
        </is>
      </c>
      <c r="E14">
        <f>VLOOKUP(D14,Parametros!$A$4:$B$7,2,FALSE)</f>
      </c>
      <c r="F14" t="inlineStr">
        <is>
          <t xml:space="preserve">true</t>
        </is>
      </c>
    </row>
    <row r="15">
      <c r="A15" t="inlineStr">
        <is>
          <t xml:space="preserve">SPARK EUV DT 4X2 T/A ELECTRICO</t>
        </is>
      </c>
      <c r="B15" t="inlineStr">
        <is>
          <t xml:space="preserve">1E426-B 2026</t>
        </is>
      </c>
      <c r="C15" t="inlineStr">
        <is>
          <t xml:space="preserve">Autos</t>
        </is>
      </c>
      <c r="D15" t="inlineStr">
        <is>
          <t xml:space="preserve">Chevrolet</t>
        </is>
      </c>
      <c r="E15">
        <f>VLOOKUP(D15,Parametros!$A$4:$B$7,2,FALSE)</f>
      </c>
      <c r="F15" t="inlineStr">
        <is>
          <t xml:space="preserve">true</t>
        </is>
      </c>
    </row>
    <row r="16">
      <c r="A16" t="inlineStr">
        <is>
          <t xml:space="preserve">TRACKER LT 1.2L T/A GAS TURBO</t>
        </is>
      </c>
      <c r="B16" t="inlineStr">
        <is>
          <t xml:space="preserve">1EH76-C 2026</t>
        </is>
      </c>
      <c r="C16" t="inlineStr">
        <is>
          <t xml:space="preserve">Autos</t>
        </is>
      </c>
      <c r="D16" t="inlineStr">
        <is>
          <t xml:space="preserve">Chevrolet</t>
        </is>
      </c>
      <c r="E16">
        <f>VLOOKUP(D16,Parametros!$A$4:$B$7,2,FALSE)</f>
      </c>
      <c r="F16" t="inlineStr">
        <is>
          <t xml:space="preserve">true</t>
        </is>
      </c>
    </row>
    <row r="17">
      <c r="A17" t="inlineStr">
        <is>
          <t xml:space="preserve">TRACKER RS 1.2L T/A GAS TURBO</t>
        </is>
      </c>
      <c r="B17" t="inlineStr">
        <is>
          <t xml:space="preserve">1EH76-R 2025</t>
        </is>
      </c>
      <c r="C17" t="inlineStr">
        <is>
          <t xml:space="preserve">Autos</t>
        </is>
      </c>
      <c r="D17" t="inlineStr">
        <is>
          <t xml:space="preserve">Chevrolet</t>
        </is>
      </c>
      <c r="E17">
        <f>VLOOKUP(D17,Parametros!$A$4:$B$7,2,FALSE)</f>
      </c>
      <c r="F17" t="inlineStr">
        <is>
          <t xml:space="preserve">true</t>
        </is>
      </c>
    </row>
    <row r="18">
      <c r="A18" t="inlineStr">
        <is>
          <t xml:space="preserve">TRACKER PREMIER 1.2L T/A GAS TURBO</t>
        </is>
      </c>
      <c r="B18" t="inlineStr">
        <is>
          <t xml:space="preserve">1EJ76-D 2025</t>
        </is>
      </c>
      <c r="C18" t="inlineStr">
        <is>
          <t xml:space="preserve">Autos</t>
        </is>
      </c>
      <c r="D18" t="inlineStr">
        <is>
          <t xml:space="preserve">Chevrolet</t>
        </is>
      </c>
      <c r="E18">
        <f>VLOOKUP(D18,Parametros!$A$4:$B$7,2,FALSE)</f>
      </c>
      <c r="F18" t="inlineStr">
        <is>
          <t xml:space="preserve">true</t>
        </is>
      </c>
    </row>
    <row r="19">
      <c r="A19" t="inlineStr">
        <is>
          <t xml:space="preserve">TRACKER PREMIER 1.2L T/A GAS TURBO</t>
        </is>
      </c>
      <c r="B19" t="inlineStr">
        <is>
          <t xml:space="preserve">1EJ76-D 2026</t>
        </is>
      </c>
      <c r="C19" t="inlineStr">
        <is>
          <t xml:space="preserve">Autos</t>
        </is>
      </c>
      <c r="D19" t="inlineStr">
        <is>
          <t xml:space="preserve">Chevrolet</t>
        </is>
      </c>
      <c r="E19">
        <f>VLOOKUP(D19,Parametros!$A$4:$B$7,2,FALSE)</f>
      </c>
      <c r="F19" t="inlineStr">
        <is>
          <t xml:space="preserve">true</t>
        </is>
      </c>
    </row>
    <row r="20">
      <c r="A20" t="inlineStr">
        <is>
          <t xml:space="preserve">Kona Gasolina Sport 2.000 cc Gas T/A 2WD</t>
        </is>
      </c>
      <c r="B20" t="inlineStr">
        <is>
          <t xml:space="preserve">1EW52J61V D D466 2025</t>
        </is>
      </c>
      <c r="C20" t="inlineStr">
        <is>
          <t xml:space="preserve">Autos</t>
        </is>
      </c>
      <c r="D20" t="inlineStr">
        <is>
          <t xml:space="preserve">Hyundai</t>
        </is>
      </c>
      <c r="E20">
        <f>VLOOKUP(D20,Parametros!$A$4:$B$7,2,FALSE)</f>
      </c>
      <c r="F20" t="inlineStr">
        <is>
          <t xml:space="preserve">true</t>
        </is>
      </c>
    </row>
    <row r="21">
      <c r="A21" t="inlineStr">
        <is>
          <t xml:space="preserve">Kona Gasolina Sport Plus 2.000 cc Gas T/A 2WD</t>
        </is>
      </c>
      <c r="B21" t="inlineStr">
        <is>
          <t xml:space="preserve">1EW52J61V D D579 2025</t>
        </is>
      </c>
      <c r="C21" t="inlineStr">
        <is>
          <t xml:space="preserve">Autos</t>
        </is>
      </c>
      <c r="D21" t="inlineStr">
        <is>
          <t xml:space="preserve">Hyundai</t>
        </is>
      </c>
      <c r="E21">
        <f>VLOOKUP(D21,Parametros!$A$4:$B$7,2,FALSE)</f>
      </c>
      <c r="F21" t="inlineStr">
        <is>
          <t xml:space="preserve">true</t>
        </is>
      </c>
    </row>
    <row r="22">
      <c r="A22" t="inlineStr">
        <is>
          <t xml:space="preserve">Kona Gasolina Sport Plus 2.000 cc Gas T/A 2WD</t>
        </is>
      </c>
      <c r="B22" t="inlineStr">
        <is>
          <t xml:space="preserve">1EW52J61V D D579 2026</t>
        </is>
      </c>
      <c r="C22" t="inlineStr">
        <is>
          <t xml:space="preserve">Autos</t>
        </is>
      </c>
      <c r="D22" t="inlineStr">
        <is>
          <t xml:space="preserve">Hyundai</t>
        </is>
      </c>
      <c r="E22">
        <f>VLOOKUP(D22,Parametros!$A$4:$B$7,2,FALSE)</f>
      </c>
      <c r="F22" t="inlineStr">
        <is>
          <t xml:space="preserve">true</t>
        </is>
      </c>
    </row>
    <row r="23">
      <c r="A23" t="inlineStr">
        <is>
          <t xml:space="preserve">Kona Gasolina Tour 2.000 cc Gas T/A 2WD</t>
        </is>
      </c>
      <c r="B23" t="inlineStr">
        <is>
          <t xml:space="preserve">1EW52J61V D D591 2025</t>
        </is>
      </c>
      <c r="C23" t="inlineStr">
        <is>
          <t xml:space="preserve">Autos</t>
        </is>
      </c>
      <c r="D23" t="inlineStr">
        <is>
          <t xml:space="preserve">Hyundai</t>
        </is>
      </c>
      <c r="E23">
        <f>VLOOKUP(D23,Parametros!$A$4:$B$7,2,FALSE)</f>
      </c>
      <c r="F23" t="inlineStr">
        <is>
          <t xml:space="preserve">true</t>
        </is>
      </c>
    </row>
    <row r="24">
      <c r="A24" t="inlineStr">
        <is>
          <t xml:space="preserve">Kona Gasolina Turbo Limited 1.600 cc Gas T/A 4WD</t>
        </is>
      </c>
      <c r="B24" t="inlineStr">
        <is>
          <t xml:space="preserve">1EW5D5G1K D D467 2025</t>
        </is>
      </c>
      <c r="C24" t="inlineStr">
        <is>
          <t xml:space="preserve">Autos</t>
        </is>
      </c>
      <c r="D24" t="inlineStr">
        <is>
          <t xml:space="preserve">Hyundai</t>
        </is>
      </c>
      <c r="E24">
        <f>VLOOKUP(D24,Parametros!$A$4:$B$7,2,FALSE)</f>
      </c>
      <c r="F24" t="inlineStr">
        <is>
          <t xml:space="preserve">true</t>
        </is>
      </c>
    </row>
    <row r="25">
      <c r="A25" t="inlineStr">
        <is>
          <t xml:space="preserve">Kona Gasolina Turbo Tour 1.600 cc Gas T/A 4WD</t>
        </is>
      </c>
      <c r="B25" t="inlineStr">
        <is>
          <t xml:space="preserve">1EW5D5G1K D D468. 2025</t>
        </is>
      </c>
      <c r="C25" t="inlineStr">
        <is>
          <t xml:space="preserve">Autos</t>
        </is>
      </c>
      <c r="D25" t="inlineStr">
        <is>
          <t xml:space="preserve">Hyundai</t>
        </is>
      </c>
      <c r="E25">
        <f>VLOOKUP(D25,Parametros!$A$4:$B$7,2,FALSE)</f>
      </c>
      <c r="F25" t="inlineStr">
        <is>
          <t xml:space="preserve">true</t>
        </is>
      </c>
    </row>
    <row r="26">
      <c r="A26" t="inlineStr">
        <is>
          <t xml:space="preserve">Kona Gasolina Turbo Limited 1.600 cc Gas T/A 4WD</t>
        </is>
      </c>
      <c r="B26" t="inlineStr">
        <is>
          <t xml:space="preserve">1EW5D5G1K D D690. 2026</t>
        </is>
      </c>
      <c r="C26" t="inlineStr">
        <is>
          <t xml:space="preserve">Autos</t>
        </is>
      </c>
      <c r="D26" t="inlineStr">
        <is>
          <t xml:space="preserve">Hyundai</t>
        </is>
      </c>
      <c r="E26">
        <f>VLOOKUP(D26,Parametros!$A$4:$B$7,2,FALSE)</f>
      </c>
      <c r="F26" t="inlineStr">
        <is>
          <t xml:space="preserve">true</t>
        </is>
      </c>
    </row>
    <row r="27">
      <c r="A27" t="inlineStr">
        <is>
          <t xml:space="preserve">Kona Gasolina Turbo Tour Plus 1.600 cc Gas T/A 4WD</t>
        </is>
      </c>
      <c r="B27" t="inlineStr">
        <is>
          <t xml:space="preserve">1EW5D5G1K D D691. 2025</t>
        </is>
      </c>
      <c r="C27" t="inlineStr">
        <is>
          <t xml:space="preserve">Autos</t>
        </is>
      </c>
      <c r="D27" t="inlineStr">
        <is>
          <t xml:space="preserve">Hyundai</t>
        </is>
      </c>
      <c r="E27">
        <f>VLOOKUP(D27,Parametros!$A$4:$B$7,2,FALSE)</f>
      </c>
      <c r="F27" t="inlineStr">
        <is>
          <t xml:space="preserve">true</t>
        </is>
      </c>
    </row>
    <row r="28">
      <c r="A28" t="inlineStr">
        <is>
          <t xml:space="preserve">Kona Electrico TEDR 150 KW EV T/A SBW 2WD</t>
        </is>
      </c>
      <c r="B28" t="inlineStr">
        <is>
          <t xml:space="preserve">1FW5ZHZ7Z D D106 2024</t>
        </is>
      </c>
      <c r="C28" t="inlineStr">
        <is>
          <t xml:space="preserve">Autos</t>
        </is>
      </c>
      <c r="D28" t="inlineStr">
        <is>
          <t xml:space="preserve">Hyundai</t>
        </is>
      </c>
      <c r="E28">
        <f>VLOOKUP(D28,Parametros!$A$4:$B$7,2,FALSE)</f>
      </c>
      <c r="F28" t="inlineStr">
        <is>
          <t xml:space="preserve">true</t>
        </is>
      </c>
    </row>
    <row r="29">
      <c r="A29" t="inlineStr">
        <is>
          <t xml:space="preserve">Kona Electrico Prestige 150 KW EV T/A SBW 2WD</t>
        </is>
      </c>
      <c r="B29" t="inlineStr">
        <is>
          <t xml:space="preserve">1FW5ZHZ7Z D D123 2025</t>
        </is>
      </c>
      <c r="C29" t="inlineStr">
        <is>
          <t xml:space="preserve">Autos</t>
        </is>
      </c>
      <c r="D29" t="inlineStr">
        <is>
          <t xml:space="preserve">Hyundai</t>
        </is>
      </c>
      <c r="E29">
        <f>VLOOKUP(D29,Parametros!$A$4:$B$7,2,FALSE)</f>
      </c>
      <c r="F29" t="inlineStr">
        <is>
          <t xml:space="preserve">true</t>
        </is>
      </c>
    </row>
    <row r="30">
      <c r="A30" t="inlineStr">
        <is>
          <t xml:space="preserve">Kona Electrico Elegant 99 KW EV T/A SBW 2WD</t>
        </is>
      </c>
      <c r="B30" t="inlineStr">
        <is>
          <t xml:space="preserve">1FW5ZHZ7Z D D137 2025</t>
        </is>
      </c>
      <c r="C30" t="inlineStr">
        <is>
          <t xml:space="preserve">Autos</t>
        </is>
      </c>
      <c r="D30" t="inlineStr">
        <is>
          <t xml:space="preserve">Hyundai</t>
        </is>
      </c>
      <c r="E30">
        <f>VLOOKUP(D30,Parametros!$A$4:$B$7,2,FALSE)</f>
      </c>
      <c r="F30" t="inlineStr">
        <is>
          <t xml:space="preserve">true</t>
        </is>
      </c>
    </row>
    <row r="31">
      <c r="A31" t="inlineStr">
        <is>
          <t xml:space="preserve">Kona Electrico Prestige 150 KW EV T/A SBW 2WD</t>
        </is>
      </c>
      <c r="B31" t="inlineStr">
        <is>
          <t xml:space="preserve">1FW5ZHZ7Z D D202 2025</t>
        </is>
      </c>
      <c r="C31" t="inlineStr">
        <is>
          <t xml:space="preserve">Autos</t>
        </is>
      </c>
      <c r="D31" t="inlineStr">
        <is>
          <t xml:space="preserve">Hyundai</t>
        </is>
      </c>
      <c r="E31">
        <f>VLOOKUP(D31,Parametros!$A$4:$B$7,2,FALSE)</f>
      </c>
      <c r="F31" t="inlineStr">
        <is>
          <t xml:space="preserve">true</t>
        </is>
      </c>
    </row>
    <row r="32">
      <c r="A32" t="inlineStr">
        <is>
          <t xml:space="preserve">Kona Electrico Elegant 99 KW EV T/A SBW 2WD</t>
        </is>
      </c>
      <c r="B32" t="inlineStr">
        <is>
          <t xml:space="preserve">1FW5ZHZ7Z D D232 2025</t>
        </is>
      </c>
      <c r="C32" t="inlineStr">
        <is>
          <t xml:space="preserve">Autos</t>
        </is>
      </c>
      <c r="D32" t="inlineStr">
        <is>
          <t xml:space="preserve">Hyundai</t>
        </is>
      </c>
      <c r="E32">
        <f>VLOOKUP(D32,Parametros!$A$4:$B$7,2,FALSE)</f>
      </c>
      <c r="F32" t="inlineStr">
        <is>
          <t xml:space="preserve">true</t>
        </is>
      </c>
    </row>
    <row r="33">
      <c r="A33" t="inlineStr">
        <is>
          <t xml:space="preserve">Kona Electrico Prestige 150 KW EV T/A SBW 2WD</t>
        </is>
      </c>
      <c r="B33" t="inlineStr">
        <is>
          <t xml:space="preserve">1FW5ZHZ7Z D D259 2025</t>
        </is>
      </c>
      <c r="C33" t="inlineStr">
        <is>
          <t xml:space="preserve">Autos</t>
        </is>
      </c>
      <c r="D33" t="inlineStr">
        <is>
          <t xml:space="preserve">Hyundai</t>
        </is>
      </c>
      <c r="E33">
        <f>VLOOKUP(D33,Parametros!$A$4:$B$7,2,FALSE)</f>
      </c>
      <c r="F33" t="inlineStr">
        <is>
          <t xml:space="preserve">true</t>
        </is>
      </c>
    </row>
    <row r="34">
      <c r="A34" t="inlineStr">
        <is>
          <t xml:space="preserve">Kona Electrico Prestige 150 KW EV T/A SBW 2WD</t>
        </is>
      </c>
      <c r="B34" t="inlineStr">
        <is>
          <t xml:space="preserve">1FW5ZHZ7Z D D259 2026</t>
        </is>
      </c>
      <c r="C34" t="inlineStr">
        <is>
          <t xml:space="preserve">Autos</t>
        </is>
      </c>
      <c r="D34" t="inlineStr">
        <is>
          <t xml:space="preserve">Hyundai</t>
        </is>
      </c>
      <c r="E34">
        <f>VLOOKUP(D34,Parametros!$A$4:$B$7,2,FALSE)</f>
      </c>
      <c r="F34" t="inlineStr">
        <is>
          <t xml:space="preserve">true</t>
        </is>
      </c>
    </row>
    <row r="35">
      <c r="A35" t="inlineStr">
        <is>
          <t xml:space="preserve">N400 CARGO 1.2L 4X2 T/M GAS</t>
        </is>
      </c>
      <c r="B35" t="inlineStr">
        <is>
          <t xml:space="preserve">1HH26AC-B 2025</t>
        </is>
      </c>
      <c r="C35" t="inlineStr">
        <is>
          <t xml:space="preserve">Autos</t>
        </is>
      </c>
      <c r="D35" t="inlineStr">
        <is>
          <t xml:space="preserve">Chevrolet</t>
        </is>
      </c>
      <c r="E35">
        <f>VLOOKUP(D35,Parametros!$A$4:$B$7,2,FALSE)</f>
      </c>
      <c r="F35" t="inlineStr">
        <is>
          <t xml:space="preserve">true</t>
        </is>
      </c>
    </row>
    <row r="36">
      <c r="A36" t="inlineStr">
        <is>
          <t xml:space="preserve">N400 CARGO 1.2L 4X2 T/M GAS</t>
        </is>
      </c>
      <c r="B36" t="inlineStr">
        <is>
          <t xml:space="preserve">1HH26AC-B 2026</t>
        </is>
      </c>
      <c r="C36" t="inlineStr">
        <is>
          <t xml:space="preserve">Autos</t>
        </is>
      </c>
      <c r="D36" t="inlineStr">
        <is>
          <t xml:space="preserve">Chevrolet</t>
        </is>
      </c>
      <c r="E36">
        <f>VLOOKUP(D36,Parametros!$A$4:$B$7,2,FALSE)</f>
      </c>
      <c r="F36" t="inlineStr">
        <is>
          <t xml:space="preserve">true</t>
        </is>
      </c>
    </row>
    <row r="37">
      <c r="A37" t="inlineStr">
        <is>
          <t xml:space="preserve">TRAVERSE LT 2.5L 4X4 T/A GAS</t>
        </is>
      </c>
      <c r="B37" t="inlineStr">
        <is>
          <t xml:space="preserve">1LB56-D 2025</t>
        </is>
      </c>
      <c r="C37" t="inlineStr">
        <is>
          <t xml:space="preserve">Autos</t>
        </is>
      </c>
      <c r="D37" t="inlineStr">
        <is>
          <t xml:space="preserve">Chevrolet</t>
        </is>
      </c>
      <c r="E37">
        <f>VLOOKUP(D37,Parametros!$A$4:$B$7,2,FALSE)</f>
      </c>
      <c r="F37" t="inlineStr">
        <is>
          <t xml:space="preserve">true</t>
        </is>
      </c>
    </row>
    <row r="38">
      <c r="A38" t="inlineStr">
        <is>
          <t xml:space="preserve">TRAVERSE LT 2.5L 4X4 T/A GAS</t>
        </is>
      </c>
      <c r="B38" t="inlineStr">
        <is>
          <t xml:space="preserve">1LB56-D 2026</t>
        </is>
      </c>
      <c r="C38" t="inlineStr">
        <is>
          <t xml:space="preserve">Autos</t>
        </is>
      </c>
      <c r="D38" t="inlineStr">
        <is>
          <t xml:space="preserve">Chevrolet</t>
        </is>
      </c>
      <c r="E38">
        <f>VLOOKUP(D38,Parametros!$A$4:$B$7,2,FALSE)</f>
      </c>
      <c r="F38" t="inlineStr">
        <is>
          <t xml:space="preserve">true</t>
        </is>
      </c>
    </row>
    <row r="39">
      <c r="A39" t="inlineStr">
        <is>
          <t xml:space="preserve">BLAZER LT 3.6L AWD T/A GAS</t>
        </is>
      </c>
      <c r="B39" t="inlineStr">
        <is>
          <t xml:space="preserve">1NR26-D 2023</t>
        </is>
      </c>
      <c r="C39" t="inlineStr">
        <is>
          <t xml:space="preserve">Autos</t>
        </is>
      </c>
      <c r="D39" t="inlineStr">
        <is>
          <t xml:space="preserve">Chevrolet</t>
        </is>
      </c>
      <c r="E39">
        <f>VLOOKUP(D39,Parametros!$A$4:$B$7,2,FALSE)</f>
      </c>
      <c r="F39" t="inlineStr">
        <is>
          <t xml:space="preserve">true</t>
        </is>
      </c>
    </row>
    <row r="40">
      <c r="A40" t="inlineStr">
        <is>
          <t xml:space="preserve">BLAZER RS 3.6L AWD T/A GAS DUAL TONE</t>
        </is>
      </c>
      <c r="B40" t="inlineStr">
        <is>
          <t xml:space="preserve">1NS26-G 2024</t>
        </is>
      </c>
      <c r="C40" t="inlineStr">
        <is>
          <t xml:space="preserve">Autos</t>
        </is>
      </c>
      <c r="D40" t="inlineStr">
        <is>
          <t xml:space="preserve">Chevrolet</t>
        </is>
      </c>
      <c r="E40">
        <f>VLOOKUP(D40,Parametros!$A$4:$B$7,2,FALSE)</f>
      </c>
      <c r="F40" t="inlineStr">
        <is>
          <t xml:space="preserve">true</t>
        </is>
      </c>
    </row>
    <row r="41">
      <c r="A41" t="inlineStr">
        <is>
          <t xml:space="preserve">CAPTIVA LT 1.5L 4X2 T/A TURBO GAS</t>
        </is>
      </c>
      <c r="B41" t="inlineStr">
        <is>
          <t xml:space="preserve">1SD26-B 2025</t>
        </is>
      </c>
      <c r="C41" t="inlineStr">
        <is>
          <t xml:space="preserve">Autos</t>
        </is>
      </c>
      <c r="D41" t="inlineStr">
        <is>
          <t xml:space="preserve">Chevrolet</t>
        </is>
      </c>
      <c r="E41">
        <f>VLOOKUP(D41,Parametros!$A$4:$B$7,2,FALSE)</f>
      </c>
      <c r="F41" t="inlineStr">
        <is>
          <t xml:space="preserve">true</t>
        </is>
      </c>
    </row>
    <row r="42">
      <c r="A42" t="inlineStr">
        <is>
          <t xml:space="preserve">CAPTIVA LT 1.5L 4X2 T/A TURBO GAS</t>
        </is>
      </c>
      <c r="B42" t="inlineStr">
        <is>
          <t xml:space="preserve">1SD26-B 2026</t>
        </is>
      </c>
      <c r="C42" t="inlineStr">
        <is>
          <t xml:space="preserve">Autos</t>
        </is>
      </c>
      <c r="D42" t="inlineStr">
        <is>
          <t xml:space="preserve">Chevrolet</t>
        </is>
      </c>
      <c r="E42">
        <f>VLOOKUP(D42,Parametros!$A$4:$B$7,2,FALSE)</f>
      </c>
      <c r="F42" t="inlineStr">
        <is>
          <t xml:space="preserve">true</t>
        </is>
      </c>
    </row>
    <row r="43">
      <c r="A43" t="inlineStr">
        <is>
          <t xml:space="preserve">CAPTIVA PREMIER 1.5L 4X2 T/A TURBO GAS</t>
        </is>
      </c>
      <c r="B43" t="inlineStr">
        <is>
          <t xml:space="preserve">1SE26-C 2025</t>
        </is>
      </c>
      <c r="C43" t="inlineStr">
        <is>
          <t xml:space="preserve">Autos</t>
        </is>
      </c>
      <c r="D43" t="inlineStr">
        <is>
          <t xml:space="preserve">Chevrolet</t>
        </is>
      </c>
      <c r="E43">
        <f>VLOOKUP(D43,Parametros!$A$4:$B$7,2,FALSE)</f>
      </c>
      <c r="F43" t="inlineStr">
        <is>
          <t xml:space="preserve">true</t>
        </is>
      </c>
    </row>
    <row r="44">
      <c r="A44" t="inlineStr">
        <is>
          <t xml:space="preserve">TRAX LT 1.2T 4X2 T/A GAS</t>
        </is>
      </c>
      <c r="B44" t="inlineStr">
        <is>
          <t xml:space="preserve">1TU58-B 2024</t>
        </is>
      </c>
      <c r="C44" t="inlineStr">
        <is>
          <t xml:space="preserve">Autos</t>
        </is>
      </c>
      <c r="D44" t="inlineStr">
        <is>
          <t xml:space="preserve">Chevrolet</t>
        </is>
      </c>
      <c r="E44">
        <f>VLOOKUP(D44,Parametros!$A$4:$B$7,2,FALSE)</f>
      </c>
      <c r="F44" t="inlineStr">
        <is>
          <t xml:space="preserve">true</t>
        </is>
      </c>
    </row>
    <row r="45">
      <c r="A45" t="inlineStr">
        <is>
          <t xml:space="preserve">TRAX LT 1.2T 4X2 T/A GAS</t>
        </is>
      </c>
      <c r="B45" t="inlineStr">
        <is>
          <t xml:space="preserve">1TU58-B 2025</t>
        </is>
      </c>
      <c r="C45" t="inlineStr">
        <is>
          <t xml:space="preserve">Autos</t>
        </is>
      </c>
      <c r="D45" t="inlineStr">
        <is>
          <t xml:space="preserve">Chevrolet</t>
        </is>
      </c>
      <c r="E45">
        <f>VLOOKUP(D45,Parametros!$A$4:$B$7,2,FALSE)</f>
      </c>
      <c r="F45" t="inlineStr">
        <is>
          <t xml:space="preserve">true</t>
        </is>
      </c>
    </row>
    <row r="46">
      <c r="A46" t="inlineStr">
        <is>
          <t xml:space="preserve">TRAX RS 1.2T 4X2 T/A GAS</t>
        </is>
      </c>
      <c r="B46" t="inlineStr">
        <is>
          <t xml:space="preserve">1TU58-C 2025</t>
        </is>
      </c>
      <c r="C46" t="inlineStr">
        <is>
          <t xml:space="preserve">Autos</t>
        </is>
      </c>
      <c r="D46" t="inlineStr">
        <is>
          <t xml:space="preserve">Chevrolet</t>
        </is>
      </c>
      <c r="E46">
        <f>VLOOKUP(D46,Parametros!$A$4:$B$7,2,FALSE)</f>
      </c>
      <c r="F46" t="inlineStr">
        <is>
          <t xml:space="preserve">true</t>
        </is>
      </c>
    </row>
    <row r="47">
      <c r="A47" t="inlineStr">
        <is>
          <t xml:space="preserve">TRAX RS 1.2T 4X2 T/A GAS</t>
        </is>
      </c>
      <c r="B47" t="inlineStr">
        <is>
          <t xml:space="preserve">1TU58-C 2026</t>
        </is>
      </c>
      <c r="C47" t="inlineStr">
        <is>
          <t xml:space="preserve">Autos</t>
        </is>
      </c>
      <c r="D47" t="inlineStr">
        <is>
          <t xml:space="preserve">Chevrolet</t>
        </is>
      </c>
      <c r="E47">
        <f>VLOOKUP(D47,Parametros!$A$4:$B$7,2,FALSE)</f>
      </c>
      <c r="F47" t="inlineStr">
        <is>
          <t xml:space="preserve">true</t>
        </is>
      </c>
    </row>
    <row r="48">
      <c r="A48" t="inlineStr">
        <is>
          <t xml:space="preserve">GROOVE LT 1.5L T/M GAS TURBO</t>
        </is>
      </c>
      <c r="B48" t="inlineStr">
        <is>
          <t xml:space="preserve">1VC26-A 2026</t>
        </is>
      </c>
      <c r="C48" t="inlineStr">
        <is>
          <t xml:space="preserve">Autos</t>
        </is>
      </c>
      <c r="D48" t="inlineStr">
        <is>
          <t xml:space="preserve">Chevrolet</t>
        </is>
      </c>
      <c r="E48">
        <f>VLOOKUP(D48,Parametros!$A$4:$B$7,2,FALSE)</f>
      </c>
      <c r="F48" t="inlineStr">
        <is>
          <t xml:space="preserve">true</t>
        </is>
      </c>
    </row>
    <row r="49">
      <c r="A49" t="inlineStr">
        <is>
          <t xml:space="preserve">GROOVE LT 1.5L T/A GAS TURBO</t>
        </is>
      </c>
      <c r="B49" t="inlineStr">
        <is>
          <t xml:space="preserve">1VC26-B 2026</t>
        </is>
      </c>
      <c r="C49" t="inlineStr">
        <is>
          <t xml:space="preserve">Autos</t>
        </is>
      </c>
      <c r="D49" t="inlineStr">
        <is>
          <t xml:space="preserve">Chevrolet</t>
        </is>
      </c>
      <c r="E49">
        <f>VLOOKUP(D49,Parametros!$A$4:$B$7,2,FALSE)</f>
      </c>
      <c r="F49" t="inlineStr">
        <is>
          <t xml:space="preserve">true</t>
        </is>
      </c>
    </row>
    <row r="50">
      <c r="A50" t="inlineStr">
        <is>
          <t xml:space="preserve">GROOVE RS 1.5L T/A GAS TURBO</t>
        </is>
      </c>
      <c r="B50" t="inlineStr">
        <is>
          <t xml:space="preserve">1VD26-C 2026</t>
        </is>
      </c>
      <c r="C50" t="inlineStr">
        <is>
          <t xml:space="preserve">Autos</t>
        </is>
      </c>
      <c r="D50" t="inlineStr">
        <is>
          <t xml:space="preserve">Chevrolet</t>
        </is>
      </c>
      <c r="E50">
        <f>VLOOKUP(D50,Parametros!$A$4:$B$7,2,FALSE)</f>
      </c>
      <c r="F50" t="inlineStr">
        <is>
          <t xml:space="preserve">true</t>
        </is>
      </c>
    </row>
    <row r="51">
      <c r="A51" t="inlineStr">
        <is>
          <t xml:space="preserve">AVEO LT 1.5L T/A GAS HB</t>
        </is>
      </c>
      <c r="B51" t="inlineStr">
        <is>
          <t xml:space="preserve">1VD48-C 2026</t>
        </is>
      </c>
      <c r="C51" t="inlineStr">
        <is>
          <t xml:space="preserve">Autos</t>
        </is>
      </c>
      <c r="D51" t="inlineStr">
        <is>
          <t xml:space="preserve">Chevrolet</t>
        </is>
      </c>
      <c r="E51">
        <f>VLOOKUP(D51,Parametros!$A$4:$B$7,2,FALSE)</f>
      </c>
      <c r="F51" t="inlineStr">
        <is>
          <t xml:space="preserve">true</t>
        </is>
      </c>
    </row>
    <row r="52">
      <c r="A52" t="inlineStr">
        <is>
          <t xml:space="preserve">GROOVE LT 1.5L T/A GAS</t>
        </is>
      </c>
      <c r="B52" t="inlineStr">
        <is>
          <t xml:space="preserve">1XE26-E 2025</t>
        </is>
      </c>
      <c r="C52" t="inlineStr">
        <is>
          <t xml:space="preserve">Autos</t>
        </is>
      </c>
      <c r="D52" t="inlineStr">
        <is>
          <t xml:space="preserve">Chevrolet</t>
        </is>
      </c>
      <c r="E52">
        <f>VLOOKUP(D52,Parametros!$A$4:$B$7,2,FALSE)</f>
      </c>
      <c r="F52" t="inlineStr">
        <is>
          <t xml:space="preserve">true</t>
        </is>
      </c>
    </row>
    <row r="53">
      <c r="A53" t="inlineStr">
        <is>
          <t xml:space="preserve">GROOVE PREMIER 1.5L T/A GAS</t>
        </is>
      </c>
      <c r="B53" t="inlineStr">
        <is>
          <t xml:space="preserve">1XT26-F 2025</t>
        </is>
      </c>
      <c r="C53" t="inlineStr">
        <is>
          <t xml:space="preserve">Autos</t>
        </is>
      </c>
      <c r="D53" t="inlineStr">
        <is>
          <t xml:space="preserve">Chevrolet</t>
        </is>
      </c>
      <c r="E53">
        <f>VLOOKUP(D53,Parametros!$A$4:$B$7,2,FALSE)</f>
      </c>
      <c r="F53" t="inlineStr">
        <is>
          <t xml:space="preserve">true</t>
        </is>
      </c>
    </row>
    <row r="54">
      <c r="A54" t="inlineStr">
        <is>
          <t xml:space="preserve">CORVETTE 6.2L Z51 AT</t>
        </is>
      </c>
      <c r="B54" t="inlineStr">
        <is>
          <t xml:space="preserve">1YC07-A 2026</t>
        </is>
      </c>
      <c r="C54" t="inlineStr">
        <is>
          <t xml:space="preserve">Autos</t>
        </is>
      </c>
      <c r="D54" t="inlineStr">
        <is>
          <t xml:space="preserve">Chevrolet</t>
        </is>
      </c>
      <c r="E54">
        <f>VLOOKUP(D54,Parametros!$A$4:$B$7,2,FALSE)</f>
      </c>
      <c r="F54" t="inlineStr">
        <is>
          <t xml:space="preserve">true</t>
        </is>
      </c>
    </row>
    <row r="55">
      <c r="A55" t="inlineStr">
        <is>
          <t xml:space="preserve">CORVETTE Z51 6.2L T/A GAS (Convertible)</t>
        </is>
      </c>
      <c r="B55" t="inlineStr">
        <is>
          <t xml:space="preserve">1YC67-B 2026</t>
        </is>
      </c>
      <c r="C55" t="inlineStr">
        <is>
          <t xml:space="preserve">Autos</t>
        </is>
      </c>
      <c r="D55" t="inlineStr">
        <is>
          <t xml:space="preserve">Chevrolet</t>
        </is>
      </c>
      <c r="E55">
        <f>VLOOKUP(D55,Parametros!$A$4:$B$7,2,FALSE)</f>
      </c>
      <c r="F55" t="inlineStr">
        <is>
          <t xml:space="preserve">true</t>
        </is>
      </c>
    </row>
    <row r="56">
      <c r="A56" t="inlineStr">
        <is>
          <t xml:space="preserve">Santa Fe Limited 2.500 cc Gas T/A SBW 4WD</t>
        </is>
      </c>
      <c r="B56" t="inlineStr">
        <is>
          <t xml:space="preserve">6HW7L9A1K D D211 2026</t>
        </is>
      </c>
      <c r="C56" t="inlineStr">
        <is>
          <t xml:space="preserve">Autos</t>
        </is>
      </c>
      <c r="D56" t="inlineStr">
        <is>
          <t xml:space="preserve">Hyundai</t>
        </is>
      </c>
      <c r="E56">
        <f>VLOOKUP(D56,Parametros!$A$4:$B$7,2,FALSE)</f>
      </c>
      <c r="F56" t="inlineStr">
        <is>
          <t xml:space="preserve">true</t>
        </is>
      </c>
    </row>
    <row r="57">
      <c r="A57" t="inlineStr">
        <is>
          <t xml:space="preserve">Santa Fe Sport 2.500 cc Gas T/A SBW 4WD</t>
        </is>
      </c>
      <c r="B57" t="inlineStr">
        <is>
          <t xml:space="preserve">6HW7L9A1K D D217 2026</t>
        </is>
      </c>
      <c r="C57" t="inlineStr">
        <is>
          <t xml:space="preserve">Autos</t>
        </is>
      </c>
      <c r="D57" t="inlineStr">
        <is>
          <t xml:space="preserve">Hyundai</t>
        </is>
      </c>
      <c r="E57">
        <f>VLOOKUP(D57,Parametros!$A$4:$B$7,2,FALSE)</f>
      </c>
      <c r="F57" t="inlineStr">
        <is>
          <t xml:space="preserve">true</t>
        </is>
      </c>
    </row>
    <row r="58">
      <c r="A58" t="inlineStr">
        <is>
          <t xml:space="preserve">ESCALADE SUV PREMIUM 6.2L 4X4 T/A GAS</t>
        </is>
      </c>
      <c r="B58" t="inlineStr">
        <is>
          <t xml:space="preserve">6K10706-A 2026</t>
        </is>
      </c>
      <c r="C58" t="inlineStr">
        <is>
          <t xml:space="preserve">Autos</t>
        </is>
      </c>
      <c r="D58" t="inlineStr">
        <is>
          <t xml:space="preserve">Cadillac</t>
        </is>
      </c>
      <c r="E58">
        <f>VLOOKUP(D58,Parametros!$A$4:$B$7,2,FALSE)</f>
      </c>
      <c r="F58" t="inlineStr">
        <is>
          <t xml:space="preserve">true</t>
        </is>
      </c>
    </row>
    <row r="59">
      <c r="A59" t="inlineStr">
        <is>
          <t xml:space="preserve">ESCALADE SUV PREMIUM 6.2L 4X4 T/A GAS</t>
        </is>
      </c>
      <c r="B59" t="inlineStr">
        <is>
          <t xml:space="preserve">6K10706-B 2024</t>
        </is>
      </c>
      <c r="C59" t="inlineStr">
        <is>
          <t xml:space="preserve">Autos</t>
        </is>
      </c>
      <c r="D59" t="inlineStr">
        <is>
          <t xml:space="preserve">Cadillac</t>
        </is>
      </c>
      <c r="E59">
        <f>VLOOKUP(D59,Parametros!$A$4:$B$7,2,FALSE)</f>
      </c>
      <c r="F59" t="inlineStr">
        <is>
          <t xml:space="preserve">true</t>
        </is>
      </c>
    </row>
    <row r="60">
      <c r="A60" t="inlineStr">
        <is>
          <t xml:space="preserve">ESCALADE SUV PREMIUM 6.2L 4X4 T/A GAS</t>
        </is>
      </c>
      <c r="B60" t="inlineStr">
        <is>
          <t xml:space="preserve">6K10706-B 2025</t>
        </is>
      </c>
      <c r="C60" t="inlineStr">
        <is>
          <t xml:space="preserve">Autos</t>
        </is>
      </c>
      <c r="D60" t="inlineStr">
        <is>
          <t xml:space="preserve">Cadillac</t>
        </is>
      </c>
      <c r="E60">
        <f>VLOOKUP(D60,Parametros!$A$4:$B$7,2,FALSE)</f>
      </c>
      <c r="F60" t="inlineStr">
        <is>
          <t xml:space="preserve">true</t>
        </is>
      </c>
    </row>
    <row r="61">
      <c r="A61" t="inlineStr">
        <is>
          <t xml:space="preserve">ESCALADE SUV PREMIUM 6.2L 4X4 T/A GAS</t>
        </is>
      </c>
      <c r="B61" t="inlineStr">
        <is>
          <t xml:space="preserve">6K10706-L 2026</t>
        </is>
      </c>
      <c r="C61" t="inlineStr">
        <is>
          <t xml:space="preserve">Autos</t>
        </is>
      </c>
      <c r="D61" t="inlineStr">
        <is>
          <t xml:space="preserve">Cadillac</t>
        </is>
      </c>
      <c r="E61">
        <f>VLOOKUP(D61,Parametros!$A$4:$B$7,2,FALSE)</f>
      </c>
      <c r="F61" t="inlineStr">
        <is>
          <t xml:space="preserve">true</t>
        </is>
      </c>
    </row>
    <row r="62">
      <c r="A62" t="inlineStr">
        <is>
          <t xml:space="preserve">ESCALADE ESV PREMIUM 6.2L 4X4 T/A GAS</t>
        </is>
      </c>
      <c r="B62" t="inlineStr">
        <is>
          <t xml:space="preserve">6K10906-A 2026</t>
        </is>
      </c>
      <c r="C62" t="inlineStr">
        <is>
          <t xml:space="preserve">Autos</t>
        </is>
      </c>
      <c r="D62" t="inlineStr">
        <is>
          <t xml:space="preserve">Cadillac</t>
        </is>
      </c>
      <c r="E62">
        <f>VLOOKUP(D62,Parametros!$A$4:$B$7,2,FALSE)</f>
      </c>
      <c r="F62" t="inlineStr">
        <is>
          <t xml:space="preserve">true</t>
        </is>
      </c>
    </row>
    <row r="63">
      <c r="A63" t="inlineStr">
        <is>
          <t xml:space="preserve">ESCALADE ESV PREMIUM 6.2L 4X4 T/A GAS</t>
        </is>
      </c>
      <c r="B63" t="inlineStr">
        <is>
          <t xml:space="preserve">6K10906-B 2025</t>
        </is>
      </c>
      <c r="C63" t="inlineStr">
        <is>
          <t xml:space="preserve">Autos</t>
        </is>
      </c>
      <c r="D63" t="inlineStr">
        <is>
          <t xml:space="preserve">Cadillac</t>
        </is>
      </c>
      <c r="E63">
        <f>VLOOKUP(D63,Parametros!$A$4:$B$7,2,FALSE)</f>
      </c>
      <c r="F63" t="inlineStr">
        <is>
          <t xml:space="preserve">true</t>
        </is>
      </c>
    </row>
    <row r="64">
      <c r="A64" t="inlineStr">
        <is>
          <t xml:space="preserve">LYRIQ LUXURY 4X4 T/A ELECTRICO</t>
        </is>
      </c>
      <c r="B64" t="inlineStr">
        <is>
          <t xml:space="preserve">6MC26-F 2025</t>
        </is>
      </c>
      <c r="C64" t="inlineStr">
        <is>
          <t xml:space="preserve">Autos</t>
        </is>
      </c>
      <c r="D64" t="inlineStr">
        <is>
          <t xml:space="preserve">Cadillac</t>
        </is>
      </c>
      <c r="E64">
        <f>VLOOKUP(D64,Parametros!$A$4:$B$7,2,FALSE)</f>
      </c>
      <c r="F64" t="inlineStr">
        <is>
          <t xml:space="preserve">true</t>
        </is>
      </c>
    </row>
    <row r="65">
      <c r="A65" t="inlineStr">
        <is>
          <t xml:space="preserve">LYRIQ V SERIES 4X4 ELECTRICO</t>
        </is>
      </c>
      <c r="B65" t="inlineStr">
        <is>
          <t xml:space="preserve">6MD26-V 2026</t>
        </is>
      </c>
      <c r="C65" t="inlineStr">
        <is>
          <t xml:space="preserve">Autos</t>
        </is>
      </c>
      <c r="D65" t="inlineStr">
        <is>
          <t xml:space="preserve">Cadillac</t>
        </is>
      </c>
      <c r="E65">
        <f>VLOOKUP(D65,Parametros!$A$4:$B$7,2,FALSE)</f>
      </c>
      <c r="F65" t="inlineStr">
        <is>
          <t xml:space="preserve">true</t>
        </is>
      </c>
    </row>
    <row r="66">
      <c r="A66" t="inlineStr">
        <is>
          <t xml:space="preserve">XT5 SPORT 3.6L 4X4 T/A GAS</t>
        </is>
      </c>
      <c r="B66" t="inlineStr">
        <is>
          <t xml:space="preserve">6NJ26-F 2024</t>
        </is>
      </c>
      <c r="C66" t="inlineStr">
        <is>
          <t xml:space="preserve">Autos</t>
        </is>
      </c>
      <c r="D66" t="inlineStr">
        <is>
          <t xml:space="preserve">Cadillac</t>
        </is>
      </c>
      <c r="E66">
        <f>VLOOKUP(D66,Parametros!$A$4:$B$7,2,FALSE)</f>
      </c>
      <c r="F66" t="inlineStr">
        <is>
          <t xml:space="preserve">true</t>
        </is>
      </c>
    </row>
    <row r="67">
      <c r="A67" t="inlineStr">
        <is>
          <t xml:space="preserve">XT4 SPORT 2.0L 4X2 T/A GAS</t>
        </is>
      </c>
      <c r="B67" t="inlineStr">
        <is>
          <t xml:space="preserve">6ZE26-F 2024</t>
        </is>
      </c>
      <c r="C67" t="inlineStr">
        <is>
          <t xml:space="preserve">Autos</t>
        </is>
      </c>
      <c r="D67" t="inlineStr">
        <is>
          <t xml:space="preserve">Cadillac</t>
        </is>
      </c>
      <c r="E67">
        <f>VLOOKUP(D67,Parametros!$A$4:$B$7,2,FALSE)</f>
      </c>
      <c r="F67" t="inlineStr">
        <is>
          <t xml:space="preserve">true</t>
        </is>
      </c>
    </row>
    <row r="68">
      <c r="A68" t="inlineStr">
        <is>
          <t xml:space="preserve">SILVERADO 5.3L 4X4 T/A GAS RST</t>
        </is>
      </c>
      <c r="B68" t="inlineStr">
        <is>
          <t xml:space="preserve">CK10543-B 2026</t>
        </is>
      </c>
      <c r="C68" t="inlineStr">
        <is>
          <t xml:space="preserve">Autos</t>
        </is>
      </c>
      <c r="D68" t="inlineStr">
        <is>
          <t xml:space="preserve">Chevrolet</t>
        </is>
      </c>
      <c r="E68">
        <f>VLOOKUP(D68,Parametros!$A$4:$B$7,2,FALSE)</f>
      </c>
      <c r="F68" t="inlineStr">
        <is>
          <t xml:space="preserve">true</t>
        </is>
      </c>
    </row>
    <row r="69">
      <c r="A69" t="inlineStr">
        <is>
          <t xml:space="preserve">SILVERADO ZR2 D/C 6.2L 4X4 T/A GAS</t>
        </is>
      </c>
      <c r="B69" t="inlineStr">
        <is>
          <t xml:space="preserve">CK10543-D. 2024</t>
        </is>
      </c>
      <c r="C69" t="inlineStr">
        <is>
          <t xml:space="preserve">Autos</t>
        </is>
      </c>
      <c r="D69" t="inlineStr">
        <is>
          <t xml:space="preserve">Chevrolet</t>
        </is>
      </c>
      <c r="E69">
        <f>VLOOKUP(D69,Parametros!$A$4:$B$7,2,FALSE)</f>
      </c>
      <c r="F69" t="inlineStr">
        <is>
          <t xml:space="preserve">true</t>
        </is>
      </c>
    </row>
    <row r="70">
      <c r="A70" t="inlineStr">
        <is>
          <t xml:space="preserve">SILVERADO ZR2 D/C 6.2L 4X4 T/A GAS</t>
        </is>
      </c>
      <c r="B70" t="inlineStr">
        <is>
          <t xml:space="preserve">CK10543-D. 2025</t>
        </is>
      </c>
      <c r="C70" t="inlineStr">
        <is>
          <t xml:space="preserve">Autos</t>
        </is>
      </c>
      <c r="D70" t="inlineStr">
        <is>
          <t xml:space="preserve">Chevrolet</t>
        </is>
      </c>
      <c r="E70">
        <f>VLOOKUP(D70,Parametros!$A$4:$B$7,2,FALSE)</f>
      </c>
      <c r="F70" t="inlineStr">
        <is>
          <t xml:space="preserve">true</t>
        </is>
      </c>
    </row>
    <row r="71">
      <c r="A71" t="inlineStr">
        <is>
          <t xml:space="preserve">SILVERADO ZR2 D/C 6.2L 4X4 T/A GAS</t>
        </is>
      </c>
      <c r="B71" t="inlineStr">
        <is>
          <t xml:space="preserve">CK10543-D. 2026</t>
        </is>
      </c>
      <c r="C71" t="inlineStr">
        <is>
          <t xml:space="preserve">Autos</t>
        </is>
      </c>
      <c r="D71" t="inlineStr">
        <is>
          <t xml:space="preserve">Chevrolet</t>
        </is>
      </c>
      <c r="E71">
        <f>VLOOKUP(D71,Parametros!$A$4:$B$7,2,FALSE)</f>
      </c>
      <c r="F71" t="inlineStr">
        <is>
          <t xml:space="preserve">true</t>
        </is>
      </c>
    </row>
    <row r="72">
      <c r="A72" t="inlineStr">
        <is>
          <t xml:space="preserve">SILVERADO D/C 6.2L 4X4 T/A GAS HIGH COUNTRY</t>
        </is>
      </c>
      <c r="B72" t="inlineStr">
        <is>
          <t xml:space="preserve">CK10543-G 2025</t>
        </is>
      </c>
      <c r="C72" t="inlineStr">
        <is>
          <t xml:space="preserve">Autos</t>
        </is>
      </c>
      <c r="D72" t="inlineStr">
        <is>
          <t xml:space="preserve">Chevrolet</t>
        </is>
      </c>
      <c r="E72">
        <f>VLOOKUP(D72,Parametros!$A$4:$B$7,2,FALSE)</f>
      </c>
      <c r="F72" t="inlineStr">
        <is>
          <t xml:space="preserve">true</t>
        </is>
      </c>
    </row>
    <row r="73">
      <c r="A73" t="inlineStr">
        <is>
          <t xml:space="preserve">SILVERADO D/C 6.2L 4X4 T/A GAS HIGH COUNTRY</t>
        </is>
      </c>
      <c r="B73" t="inlineStr">
        <is>
          <t xml:space="preserve">CK10543-G 2026</t>
        </is>
      </c>
      <c r="C73" t="inlineStr">
        <is>
          <t xml:space="preserve">Autos</t>
        </is>
      </c>
      <c r="D73" t="inlineStr">
        <is>
          <t xml:space="preserve">Chevrolet</t>
        </is>
      </c>
      <c r="E73">
        <f>VLOOKUP(D73,Parametros!$A$4:$B$7,2,FALSE)</f>
      </c>
      <c r="F73" t="inlineStr">
        <is>
          <t xml:space="preserve">true</t>
        </is>
      </c>
    </row>
    <row r="74">
      <c r="A74" t="inlineStr">
        <is>
          <t xml:space="preserve">SILVERADO RST 3.0L 4X4 T/A DSL</t>
        </is>
      </c>
      <c r="B74" t="inlineStr">
        <is>
          <t xml:space="preserve">CK10543-P 2025</t>
        </is>
      </c>
      <c r="C74" t="inlineStr">
        <is>
          <t xml:space="preserve">Autos</t>
        </is>
      </c>
      <c r="D74" t="inlineStr">
        <is>
          <t xml:space="preserve">Chevrolet</t>
        </is>
      </c>
      <c r="E74">
        <f>VLOOKUP(D74,Parametros!$A$4:$B$7,2,FALSE)</f>
      </c>
      <c r="F74" t="inlineStr">
        <is>
          <t xml:space="preserve">true</t>
        </is>
      </c>
    </row>
    <row r="75">
      <c r="A75" t="inlineStr">
        <is>
          <t xml:space="preserve">SILVERADO RST 3.0L 4X4 T/A DSL</t>
        </is>
      </c>
      <c r="B75" t="inlineStr">
        <is>
          <t xml:space="preserve">CK10543-P 2026</t>
        </is>
      </c>
      <c r="C75" t="inlineStr">
        <is>
          <t xml:space="preserve">Autos</t>
        </is>
      </c>
      <c r="D75" t="inlineStr">
        <is>
          <t xml:space="preserve">Chevrolet</t>
        </is>
      </c>
      <c r="E75">
        <f>VLOOKUP(D75,Parametros!$A$4:$B$7,2,FALSE)</f>
      </c>
      <c r="F75" t="inlineStr">
        <is>
          <t xml:space="preserve">true</t>
        </is>
      </c>
    </row>
    <row r="76">
      <c r="A76" t="inlineStr">
        <is>
          <t xml:space="preserve">SILVERADO HC 3.0L 4X4 T/A DSL</t>
        </is>
      </c>
      <c r="B76" t="inlineStr">
        <is>
          <t xml:space="preserve">CK10543-Q 2025</t>
        </is>
      </c>
      <c r="C76" t="inlineStr">
        <is>
          <t xml:space="preserve">Autos</t>
        </is>
      </c>
      <c r="D76" t="inlineStr">
        <is>
          <t xml:space="preserve">Chevrolet</t>
        </is>
      </c>
      <c r="E76">
        <f>VLOOKUP(D76,Parametros!$A$4:$B$7,2,FALSE)</f>
      </c>
      <c r="F76" t="inlineStr">
        <is>
          <t xml:space="preserve">true</t>
        </is>
      </c>
    </row>
    <row r="77">
      <c r="A77" t="inlineStr">
        <is>
          <t xml:space="preserve">SILVERADO HC 3.0L 4X4 T/A DSL</t>
        </is>
      </c>
      <c r="B77" t="inlineStr">
        <is>
          <t xml:space="preserve">CK10543-Q 2026</t>
        </is>
      </c>
      <c r="C77" t="inlineStr">
        <is>
          <t xml:space="preserve">Autos</t>
        </is>
      </c>
      <c r="D77" t="inlineStr">
        <is>
          <t xml:space="preserve">Chevrolet</t>
        </is>
      </c>
      <c r="E77">
        <f>VLOOKUP(D77,Parametros!$A$4:$B$7,2,FALSE)</f>
      </c>
      <c r="F77" t="inlineStr">
        <is>
          <t xml:space="preserve">true</t>
        </is>
      </c>
    </row>
    <row r="78">
      <c r="A78" t="inlineStr">
        <is>
          <t xml:space="preserve">TAHOE 5.3L 4X4 T/A GAS RST</t>
        </is>
      </c>
      <c r="B78" t="inlineStr">
        <is>
          <t xml:space="preserve">CK10706-B 2025</t>
        </is>
      </c>
      <c r="C78" t="inlineStr">
        <is>
          <t xml:space="preserve">Autos</t>
        </is>
      </c>
      <c r="D78" t="inlineStr">
        <is>
          <t xml:space="preserve">Chevrolet</t>
        </is>
      </c>
      <c r="E78">
        <f>VLOOKUP(D78,Parametros!$A$4:$B$7,2,FALSE)</f>
      </c>
      <c r="F78" t="inlineStr">
        <is>
          <t xml:space="preserve">true</t>
        </is>
      </c>
    </row>
    <row r="79">
      <c r="A79" t="inlineStr">
        <is>
          <t xml:space="preserve">TAHOE 5.3L 4X4 T/A GAS RST</t>
        </is>
      </c>
      <c r="B79" t="inlineStr">
        <is>
          <t xml:space="preserve">CK10706-B 2026</t>
        </is>
      </c>
      <c r="C79" t="inlineStr">
        <is>
          <t xml:space="preserve">Autos</t>
        </is>
      </c>
      <c r="D79" t="inlineStr">
        <is>
          <t xml:space="preserve">Chevrolet</t>
        </is>
      </c>
      <c r="E79">
        <f>VLOOKUP(D79,Parametros!$A$4:$B$7,2,FALSE)</f>
      </c>
      <c r="F79" t="inlineStr">
        <is>
          <t xml:space="preserve">true</t>
        </is>
      </c>
    </row>
    <row r="80">
      <c r="A80" t="inlineStr">
        <is>
          <t xml:space="preserve">TAHOE 6.2L 4X4 T/A GAS Z71</t>
        </is>
      </c>
      <c r="B80" t="inlineStr">
        <is>
          <t xml:space="preserve">CK10706-D 2026</t>
        </is>
      </c>
      <c r="C80" t="inlineStr">
        <is>
          <t xml:space="preserve">Autos</t>
        </is>
      </c>
      <c r="D80" t="inlineStr">
        <is>
          <t xml:space="preserve">Chevrolet</t>
        </is>
      </c>
      <c r="E80">
        <f>VLOOKUP(D80,Parametros!$A$4:$B$7,2,FALSE)</f>
      </c>
      <c r="F80" t="inlineStr">
        <is>
          <t xml:space="preserve">true</t>
        </is>
      </c>
    </row>
    <row r="81">
      <c r="A81" t="inlineStr">
        <is>
          <t xml:space="preserve">TAHOE 6.2L 4X4 T/A GAS HIGH COUNTRY</t>
        </is>
      </c>
      <c r="B81" t="inlineStr">
        <is>
          <t xml:space="preserve">CK10706-G 2026</t>
        </is>
      </c>
      <c r="C81" t="inlineStr">
        <is>
          <t xml:space="preserve">Autos</t>
        </is>
      </c>
      <c r="D81" t="inlineStr">
        <is>
          <t xml:space="preserve">Chevrolet</t>
        </is>
      </c>
      <c r="E81">
        <f>VLOOKUP(D81,Parametros!$A$4:$B$7,2,FALSE)</f>
      </c>
      <c r="F81" t="inlineStr">
        <is>
          <t xml:space="preserve">true</t>
        </is>
      </c>
    </row>
    <row r="82">
      <c r="A82" t="inlineStr">
        <is>
          <t xml:space="preserve">TAHOE 3.0L 4X4 T/A DSL RST</t>
        </is>
      </c>
      <c r="B82" t="inlineStr">
        <is>
          <t xml:space="preserve">CK10706-K 2025</t>
        </is>
      </c>
      <c r="C82" t="inlineStr">
        <is>
          <t xml:space="preserve">Autos</t>
        </is>
      </c>
      <c r="D82" t="inlineStr">
        <is>
          <t xml:space="preserve">Chevrolet</t>
        </is>
      </c>
      <c r="E82">
        <f>VLOOKUP(D82,Parametros!$A$4:$B$7,2,FALSE)</f>
      </c>
      <c r="F82" t="inlineStr">
        <is>
          <t xml:space="preserve">true</t>
        </is>
      </c>
    </row>
    <row r="83">
      <c r="A83" t="inlineStr">
        <is>
          <t xml:space="preserve">TAHOE 3.0L 4X4 T/A DSL RST</t>
        </is>
      </c>
      <c r="B83" t="inlineStr">
        <is>
          <t xml:space="preserve">CK10706-K 2026</t>
        </is>
      </c>
      <c r="C83" t="inlineStr">
        <is>
          <t xml:space="preserve">Autos</t>
        </is>
      </c>
      <c r="D83" t="inlineStr">
        <is>
          <t xml:space="preserve">Chevrolet</t>
        </is>
      </c>
      <c r="E83">
        <f>VLOOKUP(D83,Parametros!$A$4:$B$7,2,FALSE)</f>
      </c>
      <c r="F83" t="inlineStr">
        <is>
          <t xml:space="preserve">true</t>
        </is>
      </c>
    </row>
    <row r="84">
      <c r="A84" t="inlineStr">
        <is>
          <t xml:space="preserve">TAHOE 3.0L 4X4 T/A DSL HC</t>
        </is>
      </c>
      <c r="B84" t="inlineStr">
        <is>
          <t xml:space="preserve">CK10706-L 2025</t>
        </is>
      </c>
      <c r="C84" t="inlineStr">
        <is>
          <t xml:space="preserve">Autos</t>
        </is>
      </c>
      <c r="D84" t="inlineStr">
        <is>
          <t xml:space="preserve">Chevrolet</t>
        </is>
      </c>
      <c r="E84">
        <f>VLOOKUP(D84,Parametros!$A$4:$B$7,2,FALSE)</f>
      </c>
      <c r="F84" t="inlineStr">
        <is>
          <t xml:space="preserve">true</t>
        </is>
      </c>
    </row>
    <row r="85">
      <c r="A85" t="inlineStr">
        <is>
          <t xml:space="preserve">TAHOE 3.0L 4X4 T/A DSL HC</t>
        </is>
      </c>
      <c r="B85" t="inlineStr">
        <is>
          <t xml:space="preserve">CK10706-L 2026</t>
        </is>
      </c>
      <c r="C85" t="inlineStr">
        <is>
          <t xml:space="preserve">Autos</t>
        </is>
      </c>
      <c r="D85" t="inlineStr">
        <is>
          <t xml:space="preserve">Chevrolet</t>
        </is>
      </c>
      <c r="E85">
        <f>VLOOKUP(D85,Parametros!$A$4:$B$7,2,FALSE)</f>
      </c>
      <c r="F85" t="inlineStr">
        <is>
          <t xml:space="preserve">true</t>
        </is>
      </c>
    </row>
    <row r="86">
      <c r="A86" t="inlineStr">
        <is>
          <t xml:space="preserve">SUBURBAN 5.3L 4X4 T/A GAS RST</t>
        </is>
      </c>
      <c r="B86" t="inlineStr">
        <is>
          <t xml:space="preserve">CK10906-B 2026</t>
        </is>
      </c>
      <c r="C86" t="inlineStr">
        <is>
          <t xml:space="preserve">Autos</t>
        </is>
      </c>
      <c r="D86" t="inlineStr">
        <is>
          <t xml:space="preserve">Chevrolet</t>
        </is>
      </c>
      <c r="E86">
        <f>VLOOKUP(D86,Parametros!$A$4:$B$7,2,FALSE)</f>
      </c>
      <c r="F86" t="inlineStr">
        <is>
          <t xml:space="preserve">true</t>
        </is>
      </c>
    </row>
    <row r="87">
      <c r="A87" t="inlineStr">
        <is>
          <t xml:space="preserve">SUBURBAN 6.2L 4X4 T/A GAS HIGH COUNTRY</t>
        </is>
      </c>
      <c r="B87" t="inlineStr">
        <is>
          <t xml:space="preserve">CK10906-G 2026</t>
        </is>
      </c>
      <c r="C87" t="inlineStr">
        <is>
          <t xml:space="preserve">Autos</t>
        </is>
      </c>
      <c r="D87" t="inlineStr">
        <is>
          <t xml:space="preserve">Chevrolet</t>
        </is>
      </c>
      <c r="E87">
        <f>VLOOKUP(D87,Parametros!$A$4:$B$7,2,FALSE)</f>
      </c>
      <c r="F87" t="inlineStr">
        <is>
          <t xml:space="preserve">true</t>
        </is>
      </c>
    </row>
    <row r="88">
      <c r="A88" t="inlineStr">
        <is>
          <t xml:space="preserve">Tucson Classic Turbo Elegant 1.600 cc Gas T/A 2WD</t>
        </is>
      </c>
      <c r="B88" t="inlineStr">
        <is>
          <t xml:space="preserve">D3W5D2G1U GGDQ3. 2026</t>
        </is>
      </c>
      <c r="C88" t="inlineStr">
        <is>
          <t xml:space="preserve">Autos</t>
        </is>
      </c>
      <c r="D88" t="inlineStr">
        <is>
          <t xml:space="preserve">Hyundai</t>
        </is>
      </c>
      <c r="E88">
        <f>VLOOKUP(D88,Parametros!$A$4:$B$7,2,FALSE)</f>
      </c>
      <c r="F88" t="inlineStr">
        <is>
          <t xml:space="preserve">true</t>
        </is>
      </c>
    </row>
    <row r="89">
      <c r="A89" t="inlineStr">
        <is>
          <t xml:space="preserve">Creta Grand GT Limited 2.000 cc Gas T/A 2WD</t>
        </is>
      </c>
      <c r="B89" t="inlineStr">
        <is>
          <t xml:space="preserve">FHWC2J61F G G0EI. 2025</t>
        </is>
      </c>
      <c r="C89" t="inlineStr">
        <is>
          <t xml:space="preserve">Autos</t>
        </is>
      </c>
      <c r="D89" t="inlineStr">
        <is>
          <t xml:space="preserve">Hyundai</t>
        </is>
      </c>
      <c r="E89">
        <f>VLOOKUP(D89,Parametros!$A$4:$B$7,2,FALSE)</f>
      </c>
      <c r="F89" t="inlineStr">
        <is>
          <t xml:space="preserve">true</t>
        </is>
      </c>
    </row>
    <row r="90">
      <c r="A90" t="inlineStr">
        <is>
          <t xml:space="preserve">Nuevo Creta Grand Limited 2.000 cc Gas T/A 2WD</t>
        </is>
      </c>
      <c r="B90" t="inlineStr">
        <is>
          <t xml:space="preserve">FHWC2J61F G G0VX 2026</t>
        </is>
      </c>
      <c r="C90" t="inlineStr">
        <is>
          <t xml:space="preserve">Autos</t>
        </is>
      </c>
      <c r="D90" t="inlineStr">
        <is>
          <t xml:space="preserve">Hyundai</t>
        </is>
      </c>
      <c r="E90">
        <f>VLOOKUP(D90,Parametros!$A$4:$B$7,2,FALSE)</f>
      </c>
      <c r="F90" t="inlineStr">
        <is>
          <t xml:space="preserve">true</t>
        </is>
      </c>
    </row>
    <row r="91">
      <c r="A91" t="inlineStr">
        <is>
          <t xml:space="preserve">Creta Grand Limited 2.000 cc Gas T/A 2WD</t>
        </is>
      </c>
      <c r="B91" t="inlineStr">
        <is>
          <t xml:space="preserve">FHWC2J61F G G498 2025</t>
        </is>
      </c>
      <c r="C91" t="inlineStr">
        <is>
          <t xml:space="preserve">Autos</t>
        </is>
      </c>
      <c r="D91" t="inlineStr">
        <is>
          <t xml:space="preserve">Hyundai</t>
        </is>
      </c>
      <c r="E91">
        <f>VLOOKUP(D91,Parametros!$A$4:$B$7,2,FALSE)</f>
      </c>
      <c r="F91" t="inlineStr">
        <is>
          <t xml:space="preserve">true</t>
        </is>
      </c>
    </row>
    <row r="92">
      <c r="A92" t="inlineStr">
        <is>
          <t xml:space="preserve">SERIE FORWARD FRR 7 TONELADAS  CHASIS MEDIANO 5.2L A/C (FRR90SL-MAPES)</t>
        </is>
      </c>
      <c r="B92" t="inlineStr">
        <is>
          <t xml:space="preserve">FRR90SL-MAPES 2026</t>
        </is>
      </c>
      <c r="C92" t="inlineStr">
        <is>
          <t xml:space="preserve">Autos</t>
        </is>
      </c>
      <c r="D92" t="inlineStr">
        <is>
          <t xml:space="preserve">Isuzu</t>
        </is>
      </c>
      <c r="E92">
        <f>VLOOKUP(D92,Parametros!$A$4:$B$7,2,FALSE)</f>
      </c>
      <c r="F92" t="inlineStr">
        <is>
          <t xml:space="preserve">true</t>
        </is>
      </c>
    </row>
    <row r="93">
      <c r="A93" t="inlineStr">
        <is>
          <t xml:space="preserve">SERIE FORWARD FRR 7 TONELADAS  CHASIS MEDIANO 5.2L A/C (FRR90SL-MAPES)</t>
        </is>
      </c>
      <c r="B93" t="inlineStr">
        <is>
          <t xml:space="preserve">FRR90SL-MAPES 2027</t>
        </is>
      </c>
      <c r="C93" t="inlineStr">
        <is>
          <t xml:space="preserve">Autos</t>
        </is>
      </c>
      <c r="D93" t="inlineStr">
        <is>
          <t xml:space="preserve">Isuzu</t>
        </is>
      </c>
      <c r="E93">
        <f>VLOOKUP(D93,Parametros!$A$4:$B$7,2,FALSE)</f>
      </c>
      <c r="F93" t="inlineStr">
        <is>
          <t xml:space="preserve">true</t>
        </is>
      </c>
    </row>
    <row r="94">
      <c r="A94" t="inlineStr">
        <is>
          <t xml:space="preserve">SERIE FORWARD FTR 10.3 TONELADAS CHASIS LARGO 7.8L A/C (FTR34SL-PDPEN)</t>
        </is>
      </c>
      <c r="B94" t="inlineStr">
        <is>
          <t xml:space="preserve">FTR34SL-PDPEN 2026</t>
        </is>
      </c>
      <c r="C94" t="inlineStr">
        <is>
          <t xml:space="preserve">Autos</t>
        </is>
      </c>
      <c r="D94" t="inlineStr">
        <is>
          <t xml:space="preserve">Isuzu</t>
        </is>
      </c>
      <c r="E94">
        <f>VLOOKUP(D94,Parametros!$A$4:$B$7,2,FALSE)</f>
      </c>
      <c r="F94" t="inlineStr">
        <is>
          <t xml:space="preserve">true</t>
        </is>
      </c>
    </row>
    <row r="95">
      <c r="A95" t="inlineStr">
        <is>
          <t xml:space="preserve">SERIE FORWARD FVR 12 TONELADAS CHASIS LARGO 7.8L A/C (FVR34UL-QDPES)</t>
        </is>
      </c>
      <c r="B95" t="inlineStr">
        <is>
          <t xml:space="preserve">FVR34UL-QDPES 2026</t>
        </is>
      </c>
      <c r="C95" t="inlineStr">
        <is>
          <t xml:space="preserve">Autos</t>
        </is>
      </c>
      <c r="D95" t="inlineStr">
        <is>
          <t xml:space="preserve">Isuzu</t>
        </is>
      </c>
      <c r="E95">
        <f>VLOOKUP(D95,Parametros!$A$4:$B$7,2,FALSE)</f>
      </c>
      <c r="F95" t="inlineStr">
        <is>
          <t xml:space="preserve">true</t>
        </is>
      </c>
    </row>
    <row r="96">
      <c r="A96" t="inlineStr">
        <is>
          <t xml:space="preserve">SERIE FORWARD FVZ 18.8 TONELADAS CHASIS LARGO 7.8L A/C (FVZ34UL-TDPES)</t>
        </is>
      </c>
      <c r="B96" t="inlineStr">
        <is>
          <t xml:space="preserve">FVZ34UL-TDPES 2026</t>
        </is>
      </c>
      <c r="C96" t="inlineStr">
        <is>
          <t xml:space="preserve">Autos</t>
        </is>
      </c>
      <c r="D96" t="inlineStr">
        <is>
          <t xml:space="preserve">Isuzu</t>
        </is>
      </c>
      <c r="E96">
        <f>VLOOKUP(D96,Parametros!$A$4:$B$7,2,FALSE)</f>
      </c>
      <c r="F96" t="inlineStr">
        <is>
          <t xml:space="preserve">true</t>
        </is>
      </c>
    </row>
    <row r="97">
      <c r="A97" t="inlineStr">
        <is>
          <t xml:space="preserve">SERIE FORWARD FVZ 18.8 TONELADAS CHASIS LARGO 7.8L A/C (FVZ34UL-TDPES)</t>
        </is>
      </c>
      <c r="B97" t="inlineStr">
        <is>
          <t xml:space="preserve">FVZ34UL-TDPES 2027</t>
        </is>
      </c>
      <c r="C97" t="inlineStr">
        <is>
          <t xml:space="preserve">Autos</t>
        </is>
      </c>
      <c r="D97" t="inlineStr">
        <is>
          <t xml:space="preserve">Isuzu</t>
        </is>
      </c>
      <c r="E97">
        <f>VLOOKUP(D97,Parametros!$A$4:$B$7,2,FALSE)</f>
      </c>
      <c r="F97" t="inlineStr">
        <is>
          <t xml:space="preserve">true</t>
        </is>
      </c>
    </row>
    <row r="98">
      <c r="A98" t="inlineStr">
        <is>
          <t xml:space="preserve">IONIQ5 Prestige 225 KW EV T/A SBW 4WD</t>
        </is>
      </c>
      <c r="B98" t="inlineStr">
        <is>
          <t xml:space="preserve">GIW5YCZ7Z D D07X 2025</t>
        </is>
      </c>
      <c r="C98" t="inlineStr">
        <is>
          <t xml:space="preserve">Autos</t>
        </is>
      </c>
      <c r="D98" t="inlineStr">
        <is>
          <t xml:space="preserve">Hyundai</t>
        </is>
      </c>
      <c r="E98">
        <f>VLOOKUP(D98,Parametros!$A$4:$B$7,2,FALSE)</f>
      </c>
      <c r="F98" t="inlineStr">
        <is>
          <t xml:space="preserve">true</t>
        </is>
      </c>
    </row>
    <row r="99">
      <c r="A99" t="inlineStr">
        <is>
          <t xml:space="preserve">Tucson FL Elegant 2.000 cc Gas T/A 2WD</t>
        </is>
      </c>
      <c r="B99" t="inlineStr">
        <is>
          <t xml:space="preserve">GVW52J61F D D184 2026</t>
        </is>
      </c>
      <c r="C99" t="inlineStr">
        <is>
          <t xml:space="preserve">Autos</t>
        </is>
      </c>
      <c r="D99" t="inlineStr">
        <is>
          <t xml:space="preserve">Hyundai</t>
        </is>
      </c>
      <c r="E99">
        <f>VLOOKUP(D99,Parametros!$A$4:$B$7,2,FALSE)</f>
      </c>
      <c r="F99" t="inlineStr">
        <is>
          <t xml:space="preserve">true</t>
        </is>
      </c>
    </row>
    <row r="100">
      <c r="A100" t="inlineStr">
        <is>
          <t xml:space="preserve">Tucson FL Sport 2.000 cc Gas T/A 2WD</t>
        </is>
      </c>
      <c r="B100" t="inlineStr">
        <is>
          <t xml:space="preserve">GVW52J61F D D185 2026</t>
        </is>
      </c>
      <c r="C100" t="inlineStr">
        <is>
          <t xml:space="preserve">Autos</t>
        </is>
      </c>
      <c r="D100" t="inlineStr">
        <is>
          <t xml:space="preserve">Hyundai</t>
        </is>
      </c>
      <c r="E100">
        <f>VLOOKUP(D100,Parametros!$A$4:$B$7,2,FALSE)</f>
      </c>
      <c r="F100" t="inlineStr">
        <is>
          <t xml:space="preserve">true</t>
        </is>
      </c>
    </row>
    <row r="101">
      <c r="A101" t="inlineStr">
        <is>
          <t xml:space="preserve">Tucson FL Elegant 2.000 cc Gas T/A 4WD</t>
        </is>
      </c>
      <c r="B101" t="inlineStr">
        <is>
          <t xml:space="preserve">GVW52J61G D D184 2026</t>
        </is>
      </c>
      <c r="C101" t="inlineStr">
        <is>
          <t xml:space="preserve">Autos</t>
        </is>
      </c>
      <c r="D101" t="inlineStr">
        <is>
          <t xml:space="preserve">Hyundai</t>
        </is>
      </c>
      <c r="E101">
        <f>VLOOKUP(D101,Parametros!$A$4:$B$7,2,FALSE)</f>
      </c>
      <c r="F101" t="inlineStr">
        <is>
          <t xml:space="preserve">true</t>
        </is>
      </c>
    </row>
    <row r="102">
      <c r="A102" t="inlineStr">
        <is>
          <t xml:space="preserve">Tucson Sport Plus 2.000 cc Gas T/A 2WD</t>
        </is>
      </c>
      <c r="B102" t="inlineStr">
        <is>
          <t xml:space="preserve">GWWD2J61F D D0ZH 2024</t>
        </is>
      </c>
      <c r="C102" t="inlineStr">
        <is>
          <t xml:space="preserve">Autos</t>
        </is>
      </c>
      <c r="D102" t="inlineStr">
        <is>
          <t xml:space="preserve">Hyundai</t>
        </is>
      </c>
      <c r="E102">
        <f>VLOOKUP(D102,Parametros!$A$4:$B$7,2,FALSE)</f>
      </c>
      <c r="F102" t="inlineStr">
        <is>
          <t xml:space="preserve">true</t>
        </is>
      </c>
    </row>
    <row r="103">
      <c r="A103" t="inlineStr">
        <is>
          <t xml:space="preserve">Tucson Elegant 2.000 cc Gas T/A 2WD</t>
        </is>
      </c>
      <c r="B103" t="inlineStr">
        <is>
          <t xml:space="preserve">GWWD2J61F D D1I3 2025</t>
        </is>
      </c>
      <c r="C103" t="inlineStr">
        <is>
          <t xml:space="preserve">Autos</t>
        </is>
      </c>
      <c r="D103" t="inlineStr">
        <is>
          <t xml:space="preserve">Hyundai</t>
        </is>
      </c>
      <c r="E103">
        <f>VLOOKUP(D103,Parametros!$A$4:$B$7,2,FALSE)</f>
      </c>
      <c r="F103" t="inlineStr">
        <is>
          <t xml:space="preserve">true</t>
        </is>
      </c>
    </row>
    <row r="104">
      <c r="A104" t="inlineStr">
        <is>
          <t xml:space="preserve">Tucson FL Elegant 2.000 cc Gas T/A 2WD</t>
        </is>
      </c>
      <c r="B104" t="inlineStr">
        <is>
          <t xml:space="preserve">GWWD2J61F D D21T 2026</t>
        </is>
      </c>
      <c r="C104" t="inlineStr">
        <is>
          <t xml:space="preserve">Autos</t>
        </is>
      </c>
      <c r="D104" t="inlineStr">
        <is>
          <t xml:space="preserve">Hyundai</t>
        </is>
      </c>
      <c r="E104">
        <f>VLOOKUP(D104,Parametros!$A$4:$B$7,2,FALSE)</f>
      </c>
      <c r="F104" t="inlineStr">
        <is>
          <t xml:space="preserve">true</t>
        </is>
      </c>
    </row>
    <row r="105">
      <c r="A105" t="inlineStr">
        <is>
          <t xml:space="preserve">Tucson FL Sport 2.000 cc Gas T/A 2WD</t>
        </is>
      </c>
      <c r="B105" t="inlineStr">
        <is>
          <t xml:space="preserve">GWWD2J61F D D21U 2025</t>
        </is>
      </c>
      <c r="C105" t="inlineStr">
        <is>
          <t xml:space="preserve">Autos</t>
        </is>
      </c>
      <c r="D105" t="inlineStr">
        <is>
          <t xml:space="preserve">Hyundai</t>
        </is>
      </c>
      <c r="E105">
        <f>VLOOKUP(D105,Parametros!$A$4:$B$7,2,FALSE)</f>
      </c>
      <c r="F105" t="inlineStr">
        <is>
          <t xml:space="preserve">true</t>
        </is>
      </c>
    </row>
    <row r="106">
      <c r="A106" t="inlineStr">
        <is>
          <t xml:space="preserve">Tucson FL Sport 2.000 cc Gas T/A 2WD</t>
        </is>
      </c>
      <c r="B106" t="inlineStr">
        <is>
          <t xml:space="preserve">GWWD2J61F D D21U 2026</t>
        </is>
      </c>
      <c r="C106" t="inlineStr">
        <is>
          <t xml:space="preserve">Autos</t>
        </is>
      </c>
      <c r="D106" t="inlineStr">
        <is>
          <t xml:space="preserve">Hyundai</t>
        </is>
      </c>
      <c r="E106">
        <f>VLOOKUP(D106,Parametros!$A$4:$B$7,2,FALSE)</f>
      </c>
      <c r="F106" t="inlineStr">
        <is>
          <t xml:space="preserve">true</t>
        </is>
      </c>
    </row>
    <row r="107">
      <c r="A107" t="inlineStr">
        <is>
          <t xml:space="preserve">Tucson FL Premium GT 2.000 cc Gas T/A 2WD</t>
        </is>
      </c>
      <c r="B107" t="inlineStr">
        <is>
          <t xml:space="preserve">GWWD2J61F D D25T. 2025</t>
        </is>
      </c>
      <c r="C107" t="inlineStr">
        <is>
          <t xml:space="preserve">Autos</t>
        </is>
      </c>
      <c r="D107" t="inlineStr">
        <is>
          <t xml:space="preserve">Hyundai</t>
        </is>
      </c>
      <c r="E107">
        <f>VLOOKUP(D107,Parametros!$A$4:$B$7,2,FALSE)</f>
      </c>
      <c r="F107" t="inlineStr">
        <is>
          <t xml:space="preserve">true</t>
        </is>
      </c>
    </row>
    <row r="108">
      <c r="A108" t="inlineStr">
        <is>
          <t xml:space="preserve">Tucson Tour 2.000 cc Gas T/A 4WD</t>
        </is>
      </c>
      <c r="B108" t="inlineStr">
        <is>
          <t xml:space="preserve">GWWD2J61G D D1I8 2024</t>
        </is>
      </c>
      <c r="C108" t="inlineStr">
        <is>
          <t xml:space="preserve">Autos</t>
        </is>
      </c>
      <c r="D108" t="inlineStr">
        <is>
          <t xml:space="preserve">Hyundai</t>
        </is>
      </c>
      <c r="E108">
        <f>VLOOKUP(D108,Parametros!$A$4:$B$7,2,FALSE)</f>
      </c>
      <c r="F108" t="inlineStr">
        <is>
          <t xml:space="preserve">true</t>
        </is>
      </c>
    </row>
    <row r="109">
      <c r="A109" t="inlineStr">
        <is>
          <t xml:space="preserve">Tucson FL Elegant 2.000 cc Gas T/A 4WD</t>
        </is>
      </c>
      <c r="B109" t="inlineStr">
        <is>
          <t xml:space="preserve">GWWD2J61G D D21T 2025</t>
        </is>
      </c>
      <c r="C109" t="inlineStr">
        <is>
          <t xml:space="preserve">Autos</t>
        </is>
      </c>
      <c r="D109" t="inlineStr">
        <is>
          <t xml:space="preserve">Hyundai</t>
        </is>
      </c>
      <c r="E109">
        <f>VLOOKUP(D109,Parametros!$A$4:$B$7,2,FALSE)</f>
      </c>
      <c r="F109" t="inlineStr">
        <is>
          <t xml:space="preserve">true</t>
        </is>
      </c>
    </row>
    <row r="110">
      <c r="A110" t="inlineStr">
        <is>
          <t xml:space="preserve">Tucson FL Elegant 2.000 cc Gas T/A 4WD</t>
        </is>
      </c>
      <c r="B110" t="inlineStr">
        <is>
          <t xml:space="preserve">GWWD2J61G D D21T 2026</t>
        </is>
      </c>
      <c r="C110" t="inlineStr">
        <is>
          <t xml:space="preserve">Autos</t>
        </is>
      </c>
      <c r="D110" t="inlineStr">
        <is>
          <t xml:space="preserve">Hyundai</t>
        </is>
      </c>
      <c r="E110">
        <f>VLOOKUP(D110,Parametros!$A$4:$B$7,2,FALSE)</f>
      </c>
      <c r="F110" t="inlineStr">
        <is>
          <t xml:space="preserve">true</t>
        </is>
      </c>
    </row>
    <row r="111">
      <c r="A111" t="inlineStr">
        <is>
          <t xml:space="preserve">Tucson FL Tour 2.000 cc Gas T/A 4WD</t>
        </is>
      </c>
      <c r="B111" t="inlineStr">
        <is>
          <t xml:space="preserve">GWWD2J61G D D2BI 2025</t>
        </is>
      </c>
      <c r="C111" t="inlineStr">
        <is>
          <t xml:space="preserve">Autos</t>
        </is>
      </c>
      <c r="D111" t="inlineStr">
        <is>
          <t xml:space="preserve">Hyundai</t>
        </is>
      </c>
      <c r="E111">
        <f>VLOOKUP(D111,Parametros!$A$4:$B$7,2,FALSE)</f>
      </c>
      <c r="F111" t="inlineStr">
        <is>
          <t xml:space="preserve">true</t>
        </is>
      </c>
    </row>
    <row r="112">
      <c r="A112" t="inlineStr">
        <is>
          <t xml:space="preserve">Tucson FL Tour 2.000 cc Gas T/A 4WD</t>
        </is>
      </c>
      <c r="B112" t="inlineStr">
        <is>
          <t xml:space="preserve">GWWD2J61G D D2BI 2026</t>
        </is>
      </c>
      <c r="C112" t="inlineStr">
        <is>
          <t xml:space="preserve">Autos</t>
        </is>
      </c>
      <c r="D112" t="inlineStr">
        <is>
          <t xml:space="preserve">Hyundai</t>
        </is>
      </c>
      <c r="E112">
        <f>VLOOKUP(D112,Parametros!$A$4:$B$7,2,FALSE)</f>
      </c>
      <c r="F112" t="inlineStr">
        <is>
          <t xml:space="preserve">true</t>
        </is>
      </c>
    </row>
    <row r="113">
      <c r="A113" t="inlineStr">
        <is>
          <t xml:space="preserve">Tucson Turbo Sport Plus 1.600 cc Gas T/A SBW 2WD</t>
        </is>
      </c>
      <c r="B113" t="inlineStr">
        <is>
          <t xml:space="preserve">GWWDD5G1U D D1I6 2025</t>
        </is>
      </c>
      <c r="C113" t="inlineStr">
        <is>
          <t xml:space="preserve">Autos</t>
        </is>
      </c>
      <c r="D113" t="inlineStr">
        <is>
          <t xml:space="preserve">Hyundai</t>
        </is>
      </c>
      <c r="E113">
        <f>VLOOKUP(D113,Parametros!$A$4:$B$7,2,FALSE)</f>
      </c>
      <c r="F113" t="inlineStr">
        <is>
          <t xml:space="preserve">true</t>
        </is>
      </c>
    </row>
    <row r="114">
      <c r="A114" t="inlineStr">
        <is>
          <t xml:space="preserve">Tucson Turbo FL Sport Plus 1.600 cc Gas T/A SBW 2WD</t>
        </is>
      </c>
      <c r="B114" t="inlineStr">
        <is>
          <t xml:space="preserve">GWWDD5G1U D D28T 2025</t>
        </is>
      </c>
      <c r="C114" t="inlineStr">
        <is>
          <t xml:space="preserve">Autos</t>
        </is>
      </c>
      <c r="D114" t="inlineStr">
        <is>
          <t xml:space="preserve">Hyundai</t>
        </is>
      </c>
      <c r="E114">
        <f>VLOOKUP(D114,Parametros!$A$4:$B$7,2,FALSE)</f>
      </c>
      <c r="F114" t="inlineStr">
        <is>
          <t xml:space="preserve">true</t>
        </is>
      </c>
    </row>
    <row r="115">
      <c r="A115" t="inlineStr">
        <is>
          <t xml:space="preserve">Tucson Turbo FL Sport Plus 1.600 cc Gas T/A SBW 2WD</t>
        </is>
      </c>
      <c r="B115" t="inlineStr">
        <is>
          <t xml:space="preserve">GWWDD5G1U D D28T 2026</t>
        </is>
      </c>
      <c r="C115" t="inlineStr">
        <is>
          <t xml:space="preserve">Autos</t>
        </is>
      </c>
      <c r="D115" t="inlineStr">
        <is>
          <t xml:space="preserve">Hyundai</t>
        </is>
      </c>
      <c r="E115">
        <f>VLOOKUP(D115,Parametros!$A$4:$B$7,2,FALSE)</f>
      </c>
      <c r="F115" t="inlineStr">
        <is>
          <t xml:space="preserve">true</t>
        </is>
      </c>
    </row>
    <row r="116">
      <c r="A116" t="inlineStr">
        <is>
          <t xml:space="preserve">Tucson Turbo FL Elegant 1.600 cc Gas T/A SBW 4WD</t>
        </is>
      </c>
      <c r="B116" t="inlineStr">
        <is>
          <t xml:space="preserve">GWWDD5G1X D D28U 2025</t>
        </is>
      </c>
      <c r="C116" t="inlineStr">
        <is>
          <t xml:space="preserve">Autos</t>
        </is>
      </c>
      <c r="D116" t="inlineStr">
        <is>
          <t xml:space="preserve">Hyundai</t>
        </is>
      </c>
      <c r="E116">
        <f>VLOOKUP(D116,Parametros!$A$4:$B$7,2,FALSE)</f>
      </c>
      <c r="F116" t="inlineStr">
        <is>
          <t xml:space="preserve">true</t>
        </is>
      </c>
    </row>
    <row r="117">
      <c r="A117" t="inlineStr">
        <is>
          <t xml:space="preserve">Tucson Turbo FL Elegant 1.600 cc Gas T/A SBW 4WD</t>
        </is>
      </c>
      <c r="B117" t="inlineStr">
        <is>
          <t xml:space="preserve">GWWDD5G1X D D28U 2026</t>
        </is>
      </c>
      <c r="C117" t="inlineStr">
        <is>
          <t xml:space="preserve">Autos</t>
        </is>
      </c>
      <c r="D117" t="inlineStr">
        <is>
          <t xml:space="preserve">Hyundai</t>
        </is>
      </c>
      <c r="E117">
        <f>VLOOKUP(D117,Parametros!$A$4:$B$7,2,FALSE)</f>
      </c>
      <c r="F117" t="inlineStr">
        <is>
          <t xml:space="preserve">true</t>
        </is>
      </c>
    </row>
    <row r="118">
      <c r="A118" t="inlineStr">
        <is>
          <t xml:space="preserve">Nuevo Porter Camion Batea 2.500 cc DSL T/M 4WD</t>
        </is>
      </c>
      <c r="B118" t="inlineStr">
        <is>
          <t xml:space="preserve">HEH76B858 DDBLE 2025</t>
        </is>
      </c>
      <c r="C118" t="inlineStr">
        <is>
          <t xml:space="preserve">Autos</t>
        </is>
      </c>
      <c r="D118" t="inlineStr">
        <is>
          <t xml:space="preserve">Hyundai</t>
        </is>
      </c>
      <c r="E118">
        <f>VLOOKUP(D118,Parametros!$A$4:$B$7,2,FALSE)</f>
      </c>
      <c r="F118" t="inlineStr">
        <is>
          <t xml:space="preserve">true</t>
        </is>
      </c>
    </row>
    <row r="119">
      <c r="A119" t="inlineStr">
        <is>
          <t xml:space="preserve">Nuevo Porter Camion Batea 2.500 cc DSL T/M 4WD</t>
        </is>
      </c>
      <c r="B119" t="inlineStr">
        <is>
          <t xml:space="preserve">HEH76B858 DDBLE 2026</t>
        </is>
      </c>
      <c r="C119" t="inlineStr">
        <is>
          <t xml:space="preserve">Autos</t>
        </is>
      </c>
      <c r="D119" t="inlineStr">
        <is>
          <t xml:space="preserve">Hyundai</t>
        </is>
      </c>
      <c r="E119">
        <f>VLOOKUP(D119,Parametros!$A$4:$B$7,2,FALSE)</f>
      </c>
      <c r="F119" t="inlineStr">
        <is>
          <t xml:space="preserve">true</t>
        </is>
      </c>
    </row>
    <row r="120">
      <c r="A120" t="inlineStr">
        <is>
          <t xml:space="preserve">Santa Fe Turbo Prestige 2.500 cc Gas T/A SBW 4WD</t>
        </is>
      </c>
      <c r="B120" t="inlineStr">
        <is>
          <t xml:space="preserve">HHW6L9G1N G G09D 2025</t>
        </is>
      </c>
      <c r="C120" t="inlineStr">
        <is>
          <t xml:space="preserve">Autos</t>
        </is>
      </c>
      <c r="D120" t="inlineStr">
        <is>
          <t xml:space="preserve">Hyundai</t>
        </is>
      </c>
      <c r="E120">
        <f>VLOOKUP(D120,Parametros!$A$4:$B$7,2,FALSE)</f>
      </c>
      <c r="F120" t="inlineStr">
        <is>
          <t xml:space="preserve">true</t>
        </is>
      </c>
    </row>
    <row r="121">
      <c r="A121" t="inlineStr">
        <is>
          <t xml:space="preserve">Santa Fe Turbo Prestige 2.500 cc Gas T/A SBW 4WD</t>
        </is>
      </c>
      <c r="B121" t="inlineStr">
        <is>
          <t xml:space="preserve">HHW6L9G1N G G0FZ 2026</t>
        </is>
      </c>
      <c r="C121" t="inlineStr">
        <is>
          <t xml:space="preserve">Autos</t>
        </is>
      </c>
      <c r="D121" t="inlineStr">
        <is>
          <t xml:space="preserve">Hyundai</t>
        </is>
      </c>
      <c r="E121">
        <f>VLOOKUP(D121,Parametros!$A$4:$B$7,2,FALSE)</f>
      </c>
      <c r="F121" t="inlineStr">
        <is>
          <t xml:space="preserve">true</t>
        </is>
      </c>
    </row>
    <row r="122">
      <c r="A122" t="inlineStr">
        <is>
          <t xml:space="preserve">Santa Fe Turbo Prestige 2.500 cc Gas T/A SBW 4WD</t>
        </is>
      </c>
      <c r="B122" t="inlineStr">
        <is>
          <t xml:space="preserve">HHW6L9G1N G G958 2025</t>
        </is>
      </c>
      <c r="C122" t="inlineStr">
        <is>
          <t xml:space="preserve">Autos</t>
        </is>
      </c>
      <c r="D122" t="inlineStr">
        <is>
          <t xml:space="preserve">Hyundai</t>
        </is>
      </c>
      <c r="E122">
        <f>VLOOKUP(D122,Parametros!$A$4:$B$7,2,FALSE)</f>
      </c>
      <c r="F122" t="inlineStr">
        <is>
          <t xml:space="preserve">true</t>
        </is>
      </c>
    </row>
    <row r="123">
      <c r="A123" t="inlineStr">
        <is>
          <t xml:space="preserve">Santa Fe Limited 2.500 cc Gas T/A SBW 4WD</t>
        </is>
      </c>
      <c r="B123" t="inlineStr">
        <is>
          <t xml:space="preserve">HHW7L9A1K D D276 2025</t>
        </is>
      </c>
      <c r="C123" t="inlineStr">
        <is>
          <t xml:space="preserve">Autos</t>
        </is>
      </c>
      <c r="D123" t="inlineStr">
        <is>
          <t xml:space="preserve">Hyundai</t>
        </is>
      </c>
      <c r="E123">
        <f>VLOOKUP(D123,Parametros!$A$4:$B$7,2,FALSE)</f>
      </c>
      <c r="F123" t="inlineStr">
        <is>
          <t xml:space="preserve">true</t>
        </is>
      </c>
    </row>
    <row r="124">
      <c r="A124" t="inlineStr">
        <is>
          <t xml:space="preserve">Santa Fe Sport 2.500 cc Gas T/A SBW 4WD</t>
        </is>
      </c>
      <c r="B124" t="inlineStr">
        <is>
          <t xml:space="preserve">HHW7L9A1K D D284 2025</t>
        </is>
      </c>
      <c r="C124" t="inlineStr">
        <is>
          <t xml:space="preserve">Autos</t>
        </is>
      </c>
      <c r="D124" t="inlineStr">
        <is>
          <t xml:space="preserve">Hyundai</t>
        </is>
      </c>
      <c r="E124">
        <f>VLOOKUP(D124,Parametros!$A$4:$B$7,2,FALSE)</f>
      </c>
      <c r="F124" t="inlineStr">
        <is>
          <t xml:space="preserve">true</t>
        </is>
      </c>
    </row>
    <row r="125">
      <c r="A125" t="inlineStr">
        <is>
          <t xml:space="preserve">Santa Fe Sport Adventure 2.500 cc Gas T/A SBW 4WD</t>
        </is>
      </c>
      <c r="B125" t="inlineStr">
        <is>
          <t xml:space="preserve">HHW7L9A1K D D388 2025</t>
        </is>
      </c>
      <c r="C125" t="inlineStr">
        <is>
          <t xml:space="preserve">Autos</t>
        </is>
      </c>
      <c r="D125" t="inlineStr">
        <is>
          <t xml:space="preserve">Hyundai</t>
        </is>
      </c>
      <c r="E125">
        <f>VLOOKUP(D125,Parametros!$A$4:$B$7,2,FALSE)</f>
      </c>
      <c r="F125" t="inlineStr">
        <is>
          <t xml:space="preserve">true</t>
        </is>
      </c>
    </row>
    <row r="126">
      <c r="A126" t="inlineStr">
        <is>
          <t xml:space="preserve">Santa Fe Limited 2.500 cc Gas T/A SBW 4WD</t>
        </is>
      </c>
      <c r="B126" t="inlineStr">
        <is>
          <t xml:space="preserve">HHW7L9A1K D D389 2025</t>
        </is>
      </c>
      <c r="C126" t="inlineStr">
        <is>
          <t xml:space="preserve">Autos</t>
        </is>
      </c>
      <c r="D126" t="inlineStr">
        <is>
          <t xml:space="preserve">Hyundai</t>
        </is>
      </c>
      <c r="E126">
        <f>VLOOKUP(D126,Parametros!$A$4:$B$7,2,FALSE)</f>
      </c>
      <c r="F126" t="inlineStr">
        <is>
          <t xml:space="preserve">true</t>
        </is>
      </c>
    </row>
    <row r="127">
      <c r="A127" t="inlineStr">
        <is>
          <t xml:space="preserve">Santa Fe Limited 2.500 cc Gas T/A SBW 4WD</t>
        </is>
      </c>
      <c r="B127" t="inlineStr">
        <is>
          <t xml:space="preserve">HHW7L9A1K D D558 2026</t>
        </is>
      </c>
      <c r="C127" t="inlineStr">
        <is>
          <t xml:space="preserve">Autos</t>
        </is>
      </c>
      <c r="D127" t="inlineStr">
        <is>
          <t xml:space="preserve">Hyundai</t>
        </is>
      </c>
      <c r="E127">
        <f>VLOOKUP(D127,Parametros!$A$4:$B$7,2,FALSE)</f>
      </c>
      <c r="F127" t="inlineStr">
        <is>
          <t xml:space="preserve">true</t>
        </is>
      </c>
    </row>
    <row r="128">
      <c r="A128" t="inlineStr">
        <is>
          <t xml:space="preserve">Grand i10 Sedan Fun 1.200 cc Gas T/M 2WD</t>
        </is>
      </c>
      <c r="B128" t="inlineStr">
        <is>
          <t xml:space="preserve">HQS4K3615 D D11G 2026</t>
        </is>
      </c>
      <c r="C128" t="inlineStr">
        <is>
          <t xml:space="preserve">Autos</t>
        </is>
      </c>
      <c r="D128" t="inlineStr">
        <is>
          <t xml:space="preserve">Hyundai</t>
        </is>
      </c>
      <c r="E128">
        <f>VLOOKUP(D128,Parametros!$A$4:$B$7,2,FALSE)</f>
      </c>
      <c r="F128" t="inlineStr">
        <is>
          <t xml:space="preserve">true</t>
        </is>
      </c>
    </row>
    <row r="129">
      <c r="A129" t="inlineStr">
        <is>
          <t xml:space="preserve">Grand i10 Sedan Sport 1.200 cc Gas T/A 2WD</t>
        </is>
      </c>
      <c r="B129" t="inlineStr">
        <is>
          <t xml:space="preserve">HQS4K361B D D0KJ 2025</t>
        </is>
      </c>
      <c r="C129" t="inlineStr">
        <is>
          <t xml:space="preserve">Autos</t>
        </is>
      </c>
      <c r="D129" t="inlineStr">
        <is>
          <t xml:space="preserve">Hyundai</t>
        </is>
      </c>
      <c r="E129">
        <f>VLOOKUP(D129,Parametros!$A$4:$B$7,2,FALSE)</f>
      </c>
      <c r="F129" t="inlineStr">
        <is>
          <t xml:space="preserve">true</t>
        </is>
      </c>
    </row>
    <row r="130">
      <c r="A130" t="inlineStr">
        <is>
          <t xml:space="preserve">Grand i10 Sedan Sport Plus 1.200 cc Gas T/A 2WD</t>
        </is>
      </c>
      <c r="B130" t="inlineStr">
        <is>
          <t xml:space="preserve">HQS4K361B D D0Q0 2025</t>
        </is>
      </c>
      <c r="C130" t="inlineStr">
        <is>
          <t xml:space="preserve">Autos</t>
        </is>
      </c>
      <c r="D130" t="inlineStr">
        <is>
          <t xml:space="preserve">Hyundai</t>
        </is>
      </c>
      <c r="E130">
        <f>VLOOKUP(D130,Parametros!$A$4:$B$7,2,FALSE)</f>
      </c>
      <c r="F130" t="inlineStr">
        <is>
          <t xml:space="preserve">true</t>
        </is>
      </c>
    </row>
    <row r="131">
      <c r="A131" t="inlineStr">
        <is>
          <t xml:space="preserve">Grand i10 Sedan Sport 1.200 cc Gas T/A 2WD</t>
        </is>
      </c>
      <c r="B131" t="inlineStr">
        <is>
          <t xml:space="preserve">HQS4K361B D D11H 2026</t>
        </is>
      </c>
      <c r="C131" t="inlineStr">
        <is>
          <t xml:space="preserve">Autos</t>
        </is>
      </c>
      <c r="D131" t="inlineStr">
        <is>
          <t xml:space="preserve">Hyundai</t>
        </is>
      </c>
      <c r="E131">
        <f>VLOOKUP(D131,Parametros!$A$4:$B$7,2,FALSE)</f>
      </c>
      <c r="F131" t="inlineStr">
        <is>
          <t xml:space="preserve">true</t>
        </is>
      </c>
    </row>
    <row r="132">
      <c r="A132" t="inlineStr">
        <is>
          <t xml:space="preserve">Grand i10 Sedan Elegant Plus 1.200 cc Gas T/A 2WD</t>
        </is>
      </c>
      <c r="B132" t="inlineStr">
        <is>
          <t xml:space="preserve">HQS4K361B G G834 2025</t>
        </is>
      </c>
      <c r="C132" t="inlineStr">
        <is>
          <t xml:space="preserve">Autos</t>
        </is>
      </c>
      <c r="D132" t="inlineStr">
        <is>
          <t xml:space="preserve">Hyundai</t>
        </is>
      </c>
      <c r="E132">
        <f>VLOOKUP(D132,Parametros!$A$4:$B$7,2,FALSE)</f>
      </c>
      <c r="F132" t="inlineStr">
        <is>
          <t xml:space="preserve">true</t>
        </is>
      </c>
    </row>
    <row r="133">
      <c r="A133" t="inlineStr">
        <is>
          <t xml:space="preserve">Grand i10 Sedan Elegant 1.200 cc Gas T/A 2WD</t>
        </is>
      </c>
      <c r="B133" t="inlineStr">
        <is>
          <t xml:space="preserve">HQS4K361B G G994 2026</t>
        </is>
      </c>
      <c r="C133" t="inlineStr">
        <is>
          <t xml:space="preserve">Autos</t>
        </is>
      </c>
      <c r="D133" t="inlineStr">
        <is>
          <t xml:space="preserve">Hyundai</t>
        </is>
      </c>
      <c r="E133">
        <f>VLOOKUP(D133,Parametros!$A$4:$B$7,2,FALSE)</f>
      </c>
      <c r="F133" t="inlineStr">
        <is>
          <t xml:space="preserve">true</t>
        </is>
      </c>
    </row>
    <row r="134">
      <c r="A134" t="inlineStr">
        <is>
          <t xml:space="preserve">Grand i10 Fun 1.200 cc Gas T/M 2WD</t>
        </is>
      </c>
      <c r="B134" t="inlineStr">
        <is>
          <t xml:space="preserve">HQS6K3615 D D14R 2026</t>
        </is>
      </c>
      <c r="C134" t="inlineStr">
        <is>
          <t xml:space="preserve">Autos</t>
        </is>
      </c>
      <c r="D134" t="inlineStr">
        <is>
          <t xml:space="preserve">Hyundai</t>
        </is>
      </c>
      <c r="E134">
        <f>VLOOKUP(D134,Parametros!$A$4:$B$7,2,FALSE)</f>
      </c>
      <c r="F134" t="inlineStr">
        <is>
          <t xml:space="preserve">true</t>
        </is>
      </c>
    </row>
    <row r="135">
      <c r="A135" t="inlineStr">
        <is>
          <t xml:space="preserve">Grand i10 Sport 1.200 cc Gas T/A 2WD</t>
        </is>
      </c>
      <c r="B135" t="inlineStr">
        <is>
          <t xml:space="preserve">HQS6K361B D D10K 2025</t>
        </is>
      </c>
      <c r="C135" t="inlineStr">
        <is>
          <t xml:space="preserve">Autos</t>
        </is>
      </c>
      <c r="D135" t="inlineStr">
        <is>
          <t xml:space="preserve">Hyundai</t>
        </is>
      </c>
      <c r="E135">
        <f>VLOOKUP(D135,Parametros!$A$4:$B$7,2,FALSE)</f>
      </c>
      <c r="F135" t="inlineStr">
        <is>
          <t xml:space="preserve">true</t>
        </is>
      </c>
    </row>
    <row r="136">
      <c r="A136" t="inlineStr">
        <is>
          <t xml:space="preserve">Grand i10 Sport 1.200 cc Gas T/A 2WD</t>
        </is>
      </c>
      <c r="B136" t="inlineStr">
        <is>
          <t xml:space="preserve">HQS6K361B D D10K 2026</t>
        </is>
      </c>
      <c r="C136" t="inlineStr">
        <is>
          <t xml:space="preserve">Autos</t>
        </is>
      </c>
      <c r="D136" t="inlineStr">
        <is>
          <t xml:space="preserve">Hyundai</t>
        </is>
      </c>
      <c r="E136">
        <f>VLOOKUP(D136,Parametros!$A$4:$B$7,2,FALSE)</f>
      </c>
      <c r="F136" t="inlineStr">
        <is>
          <t xml:space="preserve">true</t>
        </is>
      </c>
    </row>
    <row r="137">
      <c r="A137" t="inlineStr">
        <is>
          <t xml:space="preserve">Grand i10 Elegant Plus 1.200 cc Gas T/A 2WD</t>
        </is>
      </c>
      <c r="B137" t="inlineStr">
        <is>
          <t xml:space="preserve">HQS6K361B G G971 2026</t>
        </is>
      </c>
      <c r="C137" t="inlineStr">
        <is>
          <t xml:space="preserve">Autos</t>
        </is>
      </c>
      <c r="D137" t="inlineStr">
        <is>
          <t xml:space="preserve">Hyundai</t>
        </is>
      </c>
      <c r="E137">
        <f>VLOOKUP(D137,Parametros!$A$4:$B$7,2,FALSE)</f>
      </c>
      <c r="F137" t="inlineStr">
        <is>
          <t xml:space="preserve">true</t>
        </is>
      </c>
    </row>
    <row r="138">
      <c r="A138" t="inlineStr">
        <is>
          <t xml:space="preserve">Stargazer Sport 1.500 cc Gas T/A 2WD</t>
        </is>
      </c>
      <c r="B138" t="inlineStr">
        <is>
          <t xml:space="preserve">I6W7D661V D D156 2025</t>
        </is>
      </c>
      <c r="C138" t="inlineStr">
        <is>
          <t xml:space="preserve">Autos</t>
        </is>
      </c>
      <c r="D138" t="inlineStr">
        <is>
          <t xml:space="preserve">Hyundai</t>
        </is>
      </c>
      <c r="E138">
        <f>VLOOKUP(D138,Parametros!$A$4:$B$7,2,FALSE)</f>
      </c>
      <c r="F138" t="inlineStr">
        <is>
          <t xml:space="preserve">true</t>
        </is>
      </c>
    </row>
    <row r="139">
      <c r="A139" t="inlineStr">
        <is>
          <t xml:space="preserve">Stargazer Limited GT 1.500 cc Gas T/A 2WD</t>
        </is>
      </c>
      <c r="B139" t="inlineStr">
        <is>
          <t xml:space="preserve">I6W7D661V G G155. 2025</t>
        </is>
      </c>
      <c r="C139" t="inlineStr">
        <is>
          <t xml:space="preserve">Autos</t>
        </is>
      </c>
      <c r="D139" t="inlineStr">
        <is>
          <t xml:space="preserve">Hyundai</t>
        </is>
      </c>
      <c r="E139">
        <f>VLOOKUP(D139,Parametros!$A$4:$B$7,2,FALSE)</f>
      </c>
      <c r="F139" t="inlineStr">
        <is>
          <t xml:space="preserve">true</t>
        </is>
      </c>
    </row>
    <row r="140">
      <c r="A140" t="inlineStr">
        <is>
          <t xml:space="preserve">Stargazer Limited 1.500 cc Gas T/A 2WD</t>
        </is>
      </c>
      <c r="B140" t="inlineStr">
        <is>
          <t xml:space="preserve">I6W7D661V G G209 2025</t>
        </is>
      </c>
      <c r="C140" t="inlineStr">
        <is>
          <t xml:space="preserve">Autos</t>
        </is>
      </c>
      <c r="D140" t="inlineStr">
        <is>
          <t xml:space="preserve">Hyundai</t>
        </is>
      </c>
      <c r="E140">
        <f>VLOOKUP(D140,Parametros!$A$4:$B$7,2,FALSE)</f>
      </c>
      <c r="F140" t="inlineStr">
        <is>
          <t xml:space="preserve">true</t>
        </is>
      </c>
    </row>
    <row r="141">
      <c r="A141" t="inlineStr">
        <is>
          <t xml:space="preserve">Creta Sport 1.500 cc Gas T/M 2WD</t>
        </is>
      </c>
      <c r="B141" t="inlineStr">
        <is>
          <t xml:space="preserve">I7W5D6617 D D38O 2026</t>
        </is>
      </c>
      <c r="C141" t="inlineStr">
        <is>
          <t xml:space="preserve">Autos</t>
        </is>
      </c>
      <c r="D141" t="inlineStr">
        <is>
          <t xml:space="preserve">Hyundai</t>
        </is>
      </c>
      <c r="E141">
        <f>VLOOKUP(D141,Parametros!$A$4:$B$7,2,FALSE)</f>
      </c>
      <c r="F141" t="inlineStr">
        <is>
          <t xml:space="preserve">true</t>
        </is>
      </c>
    </row>
    <row r="142">
      <c r="A142" t="inlineStr">
        <is>
          <t xml:space="preserve">Nuevo Creta Sport 1.500 cc Gas T/M 2WD</t>
        </is>
      </c>
      <c r="B142" t="inlineStr">
        <is>
          <t xml:space="preserve">I7W5D6617 D D3WN 2026</t>
        </is>
      </c>
      <c r="C142" t="inlineStr">
        <is>
          <t xml:space="preserve">Autos</t>
        </is>
      </c>
      <c r="D142" t="inlineStr">
        <is>
          <t xml:space="preserve">Hyundai</t>
        </is>
      </c>
      <c r="E142">
        <f>VLOOKUP(D142,Parametros!$A$4:$B$7,2,FALSE)</f>
      </c>
      <c r="F142" t="inlineStr">
        <is>
          <t xml:space="preserve">true</t>
        </is>
      </c>
    </row>
    <row r="143">
      <c r="A143" t="inlineStr">
        <is>
          <t xml:space="preserve">Creta Elegant 1.500 cc Gas T/A 2WD</t>
        </is>
      </c>
      <c r="B143" t="inlineStr">
        <is>
          <t xml:space="preserve">I7W5D661V D D38P 2025</t>
        </is>
      </c>
      <c r="C143" t="inlineStr">
        <is>
          <t xml:space="preserve">Autos</t>
        </is>
      </c>
      <c r="D143" t="inlineStr">
        <is>
          <t xml:space="preserve">Hyundai</t>
        </is>
      </c>
      <c r="E143">
        <f>VLOOKUP(D143,Parametros!$A$4:$B$7,2,FALSE)</f>
      </c>
      <c r="F143" t="inlineStr">
        <is>
          <t xml:space="preserve">true</t>
        </is>
      </c>
    </row>
    <row r="144">
      <c r="A144" t="inlineStr">
        <is>
          <t xml:space="preserve">Creta Elegant 1.500 cc Gas T/A 2WD</t>
        </is>
      </c>
      <c r="B144" t="inlineStr">
        <is>
          <t xml:space="preserve">I7W5D661V D D38P 2026</t>
        </is>
      </c>
      <c r="C144" t="inlineStr">
        <is>
          <t xml:space="preserve">Autos</t>
        </is>
      </c>
      <c r="D144" t="inlineStr">
        <is>
          <t xml:space="preserve">Hyundai</t>
        </is>
      </c>
      <c r="E144">
        <f>VLOOKUP(D144,Parametros!$A$4:$B$7,2,FALSE)</f>
      </c>
      <c r="F144" t="inlineStr">
        <is>
          <t xml:space="preserve">true</t>
        </is>
      </c>
    </row>
    <row r="145">
      <c r="A145" t="inlineStr">
        <is>
          <t xml:space="preserve">Creta Limited 1.500 cc Gas T/A 2WD</t>
        </is>
      </c>
      <c r="B145" t="inlineStr">
        <is>
          <t xml:space="preserve">I7W5D661V D D38Q 2026</t>
        </is>
      </c>
      <c r="C145" t="inlineStr">
        <is>
          <t xml:space="preserve">Autos</t>
        </is>
      </c>
      <c r="D145" t="inlineStr">
        <is>
          <t xml:space="preserve">Hyundai</t>
        </is>
      </c>
      <c r="E145">
        <f>VLOOKUP(D145,Parametros!$A$4:$B$7,2,FALSE)</f>
      </c>
      <c r="F145" t="inlineStr">
        <is>
          <t xml:space="preserve">true</t>
        </is>
      </c>
    </row>
    <row r="146">
      <c r="A146" t="inlineStr">
        <is>
          <t xml:space="preserve">Creta Bitono Limited 1.500 cc Gas T/A 2WD</t>
        </is>
      </c>
      <c r="B146" t="inlineStr">
        <is>
          <t xml:space="preserve">I7W5D661V D D38R 2025</t>
        </is>
      </c>
      <c r="C146" t="inlineStr">
        <is>
          <t xml:space="preserve">Autos</t>
        </is>
      </c>
      <c r="D146" t="inlineStr">
        <is>
          <t xml:space="preserve">Hyundai</t>
        </is>
      </c>
      <c r="E146">
        <f>VLOOKUP(D146,Parametros!$A$4:$B$7,2,FALSE)</f>
      </c>
      <c r="F146" t="inlineStr">
        <is>
          <t xml:space="preserve">true</t>
        </is>
      </c>
    </row>
    <row r="147">
      <c r="A147" t="inlineStr">
        <is>
          <t xml:space="preserve">Creta Bitono Limited 1.500 cc Gas T/A 2WD</t>
        </is>
      </c>
      <c r="B147" t="inlineStr">
        <is>
          <t xml:space="preserve">I7W5D661V D D38R 2026</t>
        </is>
      </c>
      <c r="C147" t="inlineStr">
        <is>
          <t xml:space="preserve">Autos</t>
        </is>
      </c>
      <c r="D147" t="inlineStr">
        <is>
          <t xml:space="preserve">Hyundai</t>
        </is>
      </c>
      <c r="E147">
        <f>VLOOKUP(D147,Parametros!$A$4:$B$7,2,FALSE)</f>
      </c>
      <c r="F147" t="inlineStr">
        <is>
          <t xml:space="preserve">true</t>
        </is>
      </c>
    </row>
    <row r="148">
      <c r="A148" t="inlineStr">
        <is>
          <t xml:space="preserve">Nuevo Creta Limited 1.500 cc Gas T/A 2WD</t>
        </is>
      </c>
      <c r="B148" t="inlineStr">
        <is>
          <t xml:space="preserve">I7W5D661V D D3WQ 2026</t>
        </is>
      </c>
      <c r="C148" t="inlineStr">
        <is>
          <t xml:space="preserve">Autos</t>
        </is>
      </c>
      <c r="D148" t="inlineStr">
        <is>
          <t xml:space="preserve">Hyundai</t>
        </is>
      </c>
      <c r="E148">
        <f>VLOOKUP(D148,Parametros!$A$4:$B$7,2,FALSE)</f>
      </c>
      <c r="F148" t="inlineStr">
        <is>
          <t xml:space="preserve">true</t>
        </is>
      </c>
    </row>
    <row r="149">
      <c r="A149" t="inlineStr">
        <is>
          <t xml:space="preserve">Nuevo Creta Elegant 1.500 cc Gas T/A 2WD</t>
        </is>
      </c>
      <c r="B149" t="inlineStr">
        <is>
          <t xml:space="preserve">I7W5D661V D D3ZL 2026</t>
        </is>
      </c>
      <c r="C149" t="inlineStr">
        <is>
          <t xml:space="preserve">Autos</t>
        </is>
      </c>
      <c r="D149" t="inlineStr">
        <is>
          <t xml:space="preserve">Hyundai</t>
        </is>
      </c>
      <c r="E149">
        <f>VLOOKUP(D149,Parametros!$A$4:$B$7,2,FALSE)</f>
      </c>
      <c r="F149" t="inlineStr">
        <is>
          <t xml:space="preserve">true</t>
        </is>
      </c>
    </row>
    <row r="150">
      <c r="A150" t="inlineStr">
        <is>
          <t xml:space="preserve">Nuevo Creta Elegant 1.500 cc Gas T/A 2WD</t>
        </is>
      </c>
      <c r="B150" t="inlineStr">
        <is>
          <t xml:space="preserve">I7W5D661V D D46H 2026</t>
        </is>
      </c>
      <c r="C150" t="inlineStr">
        <is>
          <t xml:space="preserve">Autos</t>
        </is>
      </c>
      <c r="D150" t="inlineStr">
        <is>
          <t xml:space="preserve">Hyundai</t>
        </is>
      </c>
      <c r="E150">
        <f>VLOOKUP(D150,Parametros!$A$4:$B$7,2,FALSE)</f>
      </c>
      <c r="F150" t="inlineStr">
        <is>
          <t xml:space="preserve">true</t>
        </is>
      </c>
    </row>
    <row r="151">
      <c r="A151" t="inlineStr">
        <is>
          <t xml:space="preserve">County Micro 3.900 cc DSL T/M 2WD</t>
        </is>
      </c>
      <c r="B151" t="inlineStr">
        <is>
          <t xml:space="preserve">MHA3FRAD5VT1 A219 2025</t>
        </is>
      </c>
      <c r="C151" t="inlineStr">
        <is>
          <t xml:space="preserve">Autos</t>
        </is>
      </c>
      <c r="D151" t="inlineStr">
        <is>
          <t xml:space="preserve">Hyundai</t>
        </is>
      </c>
      <c r="E151">
        <f>VLOOKUP(D151,Parametros!$A$4:$B$7,2,FALSE)</f>
      </c>
      <c r="F151" t="inlineStr">
        <is>
          <t xml:space="preserve">true</t>
        </is>
      </c>
    </row>
    <row r="152">
      <c r="A152" t="inlineStr">
        <is>
          <t xml:space="preserve">County Micro 3.900 cc DSL T/M 2WD</t>
        </is>
      </c>
      <c r="B152" t="inlineStr">
        <is>
          <t xml:space="preserve">MHA3FRAD5VT1 A219 2026</t>
        </is>
      </c>
      <c r="C152" t="inlineStr">
        <is>
          <t xml:space="preserve">Autos</t>
        </is>
      </c>
      <c r="D152" t="inlineStr">
        <is>
          <t xml:space="preserve">Hyundai</t>
        </is>
      </c>
      <c r="E152">
        <f>VLOOKUP(D152,Parametros!$A$4:$B$7,2,FALSE)</f>
      </c>
      <c r="F152" t="inlineStr">
        <is>
          <t xml:space="preserve">true</t>
        </is>
      </c>
    </row>
    <row r="153">
      <c r="A153" t="inlineStr">
        <is>
          <t xml:space="preserve">SERIE REWARD NL 2.5 TONELADAS CHASIS CORTO 3.0L A/C (NLR85E)</t>
        </is>
      </c>
      <c r="B153" t="inlineStr">
        <is>
          <t xml:space="preserve">NLR85L-EE1AY 2026</t>
        </is>
      </c>
      <c r="C153" t="inlineStr">
        <is>
          <t xml:space="preserve">Autos</t>
        </is>
      </c>
      <c r="D153" t="inlineStr">
        <is>
          <t xml:space="preserve">Isuzu</t>
        </is>
      </c>
      <c r="E153">
        <f>VLOOKUP(D153,Parametros!$A$4:$B$7,2,FALSE)</f>
      </c>
      <c r="F153" t="inlineStr">
        <is>
          <t xml:space="preserve">true</t>
        </is>
      </c>
    </row>
    <row r="154">
      <c r="A154" t="inlineStr">
        <is>
          <t xml:space="preserve">SERIE REWARD NMR 3.5 TONELADAS CHASIS CORTO 3.0L (NMR85E)</t>
        </is>
      </c>
      <c r="B154" t="inlineStr">
        <is>
          <t xml:space="preserve">NMR85L-EH5AY 2026</t>
        </is>
      </c>
      <c r="C154" t="inlineStr">
        <is>
          <t xml:space="preserve">Autos</t>
        </is>
      </c>
      <c r="D154" t="inlineStr">
        <is>
          <t xml:space="preserve">Isuzu</t>
        </is>
      </c>
      <c r="E154">
        <f>VLOOKUP(D154,Parametros!$A$4:$B$7,2,FALSE)</f>
      </c>
      <c r="F154" t="inlineStr">
        <is>
          <t xml:space="preserve">true</t>
        </is>
      </c>
    </row>
    <row r="155">
      <c r="A155" t="inlineStr">
        <is>
          <t xml:space="preserve">SERIE REWARD NMR 3.5 TONELADAS CHASIS LARGO 3.0L (NMR85H)</t>
        </is>
      </c>
      <c r="B155" t="inlineStr">
        <is>
          <t xml:space="preserve">NMR85L-HH5AY 2026</t>
        </is>
      </c>
      <c r="C155" t="inlineStr">
        <is>
          <t xml:space="preserve">Autos</t>
        </is>
      </c>
      <c r="D155" t="inlineStr">
        <is>
          <t xml:space="preserve">Isuzu</t>
        </is>
      </c>
      <c r="E155">
        <f>VLOOKUP(D155,Parametros!$A$4:$B$7,2,FALSE)</f>
      </c>
      <c r="F155" t="inlineStr">
        <is>
          <t xml:space="preserve">true</t>
        </is>
      </c>
    </row>
    <row r="156">
      <c r="A156" t="inlineStr">
        <is>
          <t xml:space="preserve">SERIE REWARD NMR 3.5 TONELADAS DOBLE CABINA CHASIS MEDIANO 3.0L (NMR85H)</t>
        </is>
      </c>
      <c r="B156" t="inlineStr">
        <is>
          <t xml:space="preserve">NMR85L-HH5WY 2024</t>
        </is>
      </c>
      <c r="C156" t="inlineStr">
        <is>
          <t xml:space="preserve">Autos</t>
        </is>
      </c>
      <c r="D156" t="inlineStr">
        <is>
          <t xml:space="preserve">Isuzu</t>
        </is>
      </c>
      <c r="E156">
        <f>VLOOKUP(D156,Parametros!$A$4:$B$7,2,FALSE)</f>
      </c>
      <c r="F156" t="inlineStr">
        <is>
          <t xml:space="preserve">true</t>
        </is>
      </c>
    </row>
    <row r="157">
      <c r="A157" t="inlineStr">
        <is>
          <t xml:space="preserve">SERIE REWARD NMR 3.5 TONELADAS DOBLE CABINA CHASIS MEDIANO 3.0L (NMR85H)</t>
        </is>
      </c>
      <c r="B157" t="inlineStr">
        <is>
          <t xml:space="preserve">NMR85L-HH5WY 2025</t>
        </is>
      </c>
      <c r="C157" t="inlineStr">
        <is>
          <t xml:space="preserve">Autos</t>
        </is>
      </c>
      <c r="D157" t="inlineStr">
        <is>
          <t xml:space="preserve">Isuzu</t>
        </is>
      </c>
      <c r="E157">
        <f>VLOOKUP(D157,Parametros!$A$4:$B$7,2,FALSE)</f>
      </c>
      <c r="F157" t="inlineStr">
        <is>
          <t xml:space="preserve">true</t>
        </is>
      </c>
    </row>
    <row r="158">
      <c r="A158" t="inlineStr">
        <is>
          <t xml:space="preserve">SERIE REWARD NMR 3.5 TONELADAS DOBLE CABINA CHASIS MEDIANO 3.0L (NMR85H)</t>
        </is>
      </c>
      <c r="B158" t="inlineStr">
        <is>
          <t xml:space="preserve">NMR85L-HH5WY 2026</t>
        </is>
      </c>
      <c r="C158" t="inlineStr">
        <is>
          <t xml:space="preserve">Autos</t>
        </is>
      </c>
      <c r="D158" t="inlineStr">
        <is>
          <t xml:space="preserve">Isuzu</t>
        </is>
      </c>
      <c r="E158">
        <f>VLOOKUP(D158,Parametros!$A$4:$B$7,2,FALSE)</f>
      </c>
      <c r="F158" t="inlineStr">
        <is>
          <t xml:space="preserve">true</t>
        </is>
      </c>
    </row>
    <row r="159">
      <c r="A159" t="inlineStr">
        <is>
          <t xml:space="preserve">SERIE REWARD NPR 5.0 TONELADAS CHASIS MEDIANO 5.2L (NPR75K)</t>
        </is>
      </c>
      <c r="B159" t="inlineStr">
        <is>
          <t xml:space="preserve">NPR75L-KL5VAYN 2026</t>
        </is>
      </c>
      <c r="C159" t="inlineStr">
        <is>
          <t xml:space="preserve">Autos</t>
        </is>
      </c>
      <c r="D159" t="inlineStr">
        <is>
          <t xml:space="preserve">Isuzu</t>
        </is>
      </c>
      <c r="E159">
        <f>VLOOKUP(D159,Parametros!$A$4:$B$7,2,FALSE)</f>
      </c>
      <c r="F159" t="inlineStr">
        <is>
          <t xml:space="preserve">true</t>
        </is>
      </c>
    </row>
    <row r="160">
      <c r="A160" t="inlineStr">
        <is>
          <t xml:space="preserve">SERIE REWARD NPR 4 TONELADAS CHASIS MEDIANO 3.0L (NPR85H)</t>
        </is>
      </c>
      <c r="B160" t="inlineStr">
        <is>
          <t xml:space="preserve">NPR85L-HJ5VAY 2025</t>
        </is>
      </c>
      <c r="C160" t="inlineStr">
        <is>
          <t xml:space="preserve">Autos</t>
        </is>
      </c>
      <c r="D160" t="inlineStr">
        <is>
          <t xml:space="preserve">Isuzu</t>
        </is>
      </c>
      <c r="E160">
        <f>VLOOKUP(D160,Parametros!$A$4:$B$7,2,FALSE)</f>
      </c>
      <c r="F160" t="inlineStr">
        <is>
          <t xml:space="preserve">true</t>
        </is>
      </c>
    </row>
    <row r="161">
      <c r="A161" t="inlineStr">
        <is>
          <t xml:space="preserve">SERIE REWARD NPR 4 TONELADAS CHASIS MEDIANO 3.0L (NPR85H)</t>
        </is>
      </c>
      <c r="B161" t="inlineStr">
        <is>
          <t xml:space="preserve">NPR85L-HJ5VAY 2026</t>
        </is>
      </c>
      <c r="C161" t="inlineStr">
        <is>
          <t xml:space="preserve">Autos</t>
        </is>
      </c>
      <c r="D161" t="inlineStr">
        <is>
          <t xml:space="preserve">Isuzu</t>
        </is>
      </c>
      <c r="E161">
        <f>VLOOKUP(D161,Parametros!$A$4:$B$7,2,FALSE)</f>
      </c>
      <c r="F161" t="inlineStr">
        <is>
          <t xml:space="preserve">true</t>
        </is>
      </c>
    </row>
    <row r="162">
      <c r="A162" t="inlineStr">
        <is>
          <t xml:space="preserve">SERIE REWARD NPS 4X4 4.6 TONELADAS CHASIS MEDIANO 5.2L A/C (NPS75H)</t>
        </is>
      </c>
      <c r="B162" t="inlineStr">
        <is>
          <t xml:space="preserve">NPS75L-HL5VAYN 2026</t>
        </is>
      </c>
      <c r="C162" t="inlineStr">
        <is>
          <t xml:space="preserve">Autos</t>
        </is>
      </c>
      <c r="D162" t="inlineStr">
        <is>
          <t xml:space="preserve">Isuzu</t>
        </is>
      </c>
      <c r="E162">
        <f>VLOOKUP(D162,Parametros!$A$4:$B$7,2,FALSE)</f>
      </c>
      <c r="F162" t="inlineStr">
        <is>
          <t xml:space="preserve">true</t>
        </is>
      </c>
    </row>
    <row r="163">
      <c r="A163" t="inlineStr">
        <is>
          <t xml:space="preserve">SERIE REWARD NPS 4X4 4.6 TONELADAS CHASIS MEDIANO 5.2L A/C (NPS75H)</t>
        </is>
      </c>
      <c r="B163" t="inlineStr">
        <is>
          <t xml:space="preserve">NPS75L-HL5VAYN 2027</t>
        </is>
      </c>
      <c r="C163" t="inlineStr">
        <is>
          <t xml:space="preserve">Autos</t>
        </is>
      </c>
      <c r="D163" t="inlineStr">
        <is>
          <t xml:space="preserve">Isuzu</t>
        </is>
      </c>
      <c r="E163">
        <f>VLOOKUP(D163,Parametros!$A$4:$B$7,2,FALSE)</f>
      </c>
      <c r="F163" t="inlineStr">
        <is>
          <t xml:space="preserve">true</t>
        </is>
      </c>
    </row>
    <row r="164">
      <c r="A164" t="inlineStr">
        <is>
          <t xml:space="preserve">SERIE REWARD NPS 4X4 D. CABINA 4.3 TONELADAS CHASIS MEDIANO 5.2L A/C (NPS75H)</t>
        </is>
      </c>
      <c r="B164" t="inlineStr">
        <is>
          <t xml:space="preserve">NPS75L-HL5VWYN 2026</t>
        </is>
      </c>
      <c r="C164" t="inlineStr">
        <is>
          <t xml:space="preserve">Autos</t>
        </is>
      </c>
      <c r="D164" t="inlineStr">
        <is>
          <t xml:space="preserve">Isuzu</t>
        </is>
      </c>
      <c r="E164">
        <f>VLOOKUP(D164,Parametros!$A$4:$B$7,2,FALSE)</f>
      </c>
      <c r="F164" t="inlineStr">
        <is>
          <t xml:space="preserve">true</t>
        </is>
      </c>
    </row>
    <row r="165">
      <c r="A165" t="inlineStr">
        <is>
          <t xml:space="preserve">SERIE REWARD NPS 4X4 D. CABINA 4.3 TONELADAS CHASIS MEDIANO 5.2L A/C (NPS75H)</t>
        </is>
      </c>
      <c r="B165" t="inlineStr">
        <is>
          <t xml:space="preserve">NPS75L-HL5VWYN 2027</t>
        </is>
      </c>
      <c r="C165" t="inlineStr">
        <is>
          <t xml:space="preserve">Autos</t>
        </is>
      </c>
      <c r="D165" t="inlineStr">
        <is>
          <t xml:space="preserve">Isuzu</t>
        </is>
      </c>
      <c r="E165">
        <f>VLOOKUP(D165,Parametros!$A$4:$B$7,2,FALSE)</f>
      </c>
      <c r="F165" t="inlineStr">
        <is>
          <t xml:space="preserve">true</t>
        </is>
      </c>
    </row>
    <row r="166">
      <c r="A166" t="inlineStr">
        <is>
          <t xml:space="preserve">SERIE REWARD NQR 6.0 TONELADAS CHASIS CORTO 5.2L (NQR75H)</t>
        </is>
      </c>
      <c r="B166" t="inlineStr">
        <is>
          <t xml:space="preserve">NQR75L-HN5VAYN 2026</t>
        </is>
      </c>
      <c r="C166" t="inlineStr">
        <is>
          <t xml:space="preserve">Autos</t>
        </is>
      </c>
      <c r="D166" t="inlineStr">
        <is>
          <t xml:space="preserve">Isuzu</t>
        </is>
      </c>
      <c r="E166">
        <f>VLOOKUP(D166,Parametros!$A$4:$B$7,2,FALSE)</f>
      </c>
      <c r="F166" t="inlineStr">
        <is>
          <t xml:space="preserve">true</t>
        </is>
      </c>
    </row>
    <row r="167">
      <c r="A167" t="inlineStr">
        <is>
          <t xml:space="preserve">SERIE REWARD NQR 6.0 TONELADAS CHASIS MEDIANO 5.2L (NQR75K)</t>
        </is>
      </c>
      <c r="B167" t="inlineStr">
        <is>
          <t xml:space="preserve">NQR75L-KN5VAYN 2025</t>
        </is>
      </c>
      <c r="C167" t="inlineStr">
        <is>
          <t xml:space="preserve">Autos</t>
        </is>
      </c>
      <c r="D167" t="inlineStr">
        <is>
          <t xml:space="preserve">Isuzu</t>
        </is>
      </c>
      <c r="E167">
        <f>VLOOKUP(D167,Parametros!$A$4:$B$7,2,FALSE)</f>
      </c>
      <c r="F167" t="inlineStr">
        <is>
          <t xml:space="preserve">true</t>
        </is>
      </c>
    </row>
    <row r="168">
      <c r="A168" t="inlineStr">
        <is>
          <t xml:space="preserve">SERIE REWARD NQR 6.0 TONELADAS CHASIS MEDIANO 5.2L (NQR75K)</t>
        </is>
      </c>
      <c r="B168" t="inlineStr">
        <is>
          <t xml:space="preserve">NQR75L-KN5VAYN 2026</t>
        </is>
      </c>
      <c r="C168" t="inlineStr">
        <is>
          <t xml:space="preserve">Autos</t>
        </is>
      </c>
      <c r="D168" t="inlineStr">
        <is>
          <t xml:space="preserve">Isuzu</t>
        </is>
      </c>
      <c r="E168">
        <f>VLOOKUP(D168,Parametros!$A$4:$B$7,2,FALSE)</f>
      </c>
      <c r="F168" t="inlineStr">
        <is>
          <t xml:space="preserve">true</t>
        </is>
      </c>
    </row>
    <row r="169">
      <c r="A169" t="inlineStr">
        <is>
          <t xml:space="preserve">SERIE REWARD NQR 6.0 TONELADAS CHASIS LARGO 5.2L (NQR75L)</t>
        </is>
      </c>
      <c r="B169" t="inlineStr">
        <is>
          <t xml:space="preserve">NQR75L-LN5VAYN 2025</t>
        </is>
      </c>
      <c r="C169" t="inlineStr">
        <is>
          <t xml:space="preserve">Autos</t>
        </is>
      </c>
      <c r="D169" t="inlineStr">
        <is>
          <t xml:space="preserve">Isuzu</t>
        </is>
      </c>
      <c r="E169">
        <f>VLOOKUP(D169,Parametros!$A$4:$B$7,2,FALSE)</f>
      </c>
      <c r="F169" t="inlineStr">
        <is>
          <t xml:space="preserve">true</t>
        </is>
      </c>
    </row>
    <row r="170">
      <c r="A170" t="inlineStr">
        <is>
          <t xml:space="preserve">SERIE REWARD NQR 6.0 TONELADAS CHASIS LARGO 5.2L (NQR75L)</t>
        </is>
      </c>
      <c r="B170" t="inlineStr">
        <is>
          <t xml:space="preserve">NQR75L-LN5VAYN 2026</t>
        </is>
      </c>
      <c r="C170" t="inlineStr">
        <is>
          <t xml:space="preserve">Autos</t>
        </is>
      </c>
      <c r="D170" t="inlineStr">
        <is>
          <t xml:space="preserve">Isuzu</t>
        </is>
      </c>
      <c r="E170">
        <f>VLOOKUP(D170,Parametros!$A$4:$B$7,2,FALSE)</f>
      </c>
      <c r="F170" t="inlineStr">
        <is>
          <t xml:space="preserve">true</t>
        </is>
      </c>
    </row>
    <row r="171">
      <c r="A171" t="inlineStr">
        <is>
          <t xml:space="preserve">SERIE Q 2.5 TONELADAS CHASIS CORTO 3.0L (QLR77E) con AC</t>
        </is>
      </c>
      <c r="B171" t="inlineStr">
        <is>
          <t xml:space="preserve">QLR77L-EE1AYCON 2025</t>
        </is>
      </c>
      <c r="C171" t="inlineStr">
        <is>
          <t xml:space="preserve">Autos</t>
        </is>
      </c>
      <c r="D171" t="inlineStr">
        <is>
          <t xml:space="preserve">Isuzu</t>
        </is>
      </c>
      <c r="E171">
        <f>VLOOKUP(D171,Parametros!$A$4:$B$7,2,FALSE)</f>
      </c>
      <c r="F171" t="inlineStr">
        <is>
          <t xml:space="preserve">true</t>
        </is>
      </c>
    </row>
    <row r="172">
      <c r="A172" t="inlineStr">
        <is>
          <t xml:space="preserve">SERIE Q 2.5 TONELADAS CHASIS CORTO 3.0L (QLR77E)</t>
        </is>
      </c>
      <c r="B172" t="inlineStr">
        <is>
          <t xml:space="preserve">QLR77L-EE1AYCON 2026</t>
        </is>
      </c>
      <c r="C172" t="inlineStr">
        <is>
          <t xml:space="preserve">Autos</t>
        </is>
      </c>
      <c r="D172" t="inlineStr">
        <is>
          <t xml:space="preserve">Isuzu</t>
        </is>
      </c>
      <c r="E172">
        <f>VLOOKUP(D172,Parametros!$A$4:$B$7,2,FALSE)</f>
      </c>
      <c r="F172" t="inlineStr">
        <is>
          <t xml:space="preserve">true</t>
        </is>
      </c>
    </row>
    <row r="173">
      <c r="A173" t="inlineStr">
        <is>
          <t xml:space="preserve">Santa Fe Tour 2.500 cc Gas T/A 4WD</t>
        </is>
      </c>
      <c r="B173" t="inlineStr">
        <is>
          <t xml:space="preserve">S1W7L961G D D0RX 2024</t>
        </is>
      </c>
      <c r="C173" t="inlineStr">
        <is>
          <t xml:space="preserve">Autos</t>
        </is>
      </c>
      <c r="D173" t="inlineStr">
        <is>
          <t xml:space="preserve">Hyundai</t>
        </is>
      </c>
      <c r="E173">
        <f>VLOOKUP(D173,Parametros!$A$4:$B$7,2,FALSE)</f>
      </c>
      <c r="F173" t="inlineStr">
        <is>
          <t xml:space="preserve">true</t>
        </is>
      </c>
    </row>
    <row r="174">
      <c r="A174" t="inlineStr">
        <is>
          <t xml:space="preserve">Palisade Prestige 2.200 cc DSL T/A SBW 4WD</t>
        </is>
      </c>
      <c r="B174" t="inlineStr">
        <is>
          <t xml:space="preserve">S8W72FC5K G G3RP 2025</t>
        </is>
      </c>
      <c r="C174" t="inlineStr">
        <is>
          <t xml:space="preserve">Autos</t>
        </is>
      </c>
      <c r="D174" t="inlineStr">
        <is>
          <t xml:space="preserve">Hyundai</t>
        </is>
      </c>
      <c r="E174">
        <f>VLOOKUP(D174,Parametros!$A$4:$B$7,2,FALSE)</f>
      </c>
      <c r="F174" t="inlineStr">
        <is>
          <t xml:space="preserve">true</t>
        </is>
      </c>
    </row>
    <row r="175">
      <c r="A175" t="inlineStr">
        <is>
          <t xml:space="preserve">Palisade Prestige 2.200 cc DSL T/A SBW 4WD</t>
        </is>
      </c>
      <c r="B175" t="inlineStr">
        <is>
          <t xml:space="preserve">S8W72FC5K G G40T 2025</t>
        </is>
      </c>
      <c r="C175" t="inlineStr">
        <is>
          <t xml:space="preserve">Autos</t>
        </is>
      </c>
      <c r="D175" t="inlineStr">
        <is>
          <t xml:space="preserve">Hyundai</t>
        </is>
      </c>
      <c r="E175">
        <f>VLOOKUP(D175,Parametros!$A$4:$B$7,2,FALSE)</f>
      </c>
      <c r="F175" t="inlineStr">
        <is>
          <t xml:space="preserve">true</t>
        </is>
      </c>
    </row>
    <row r="176">
      <c r="A176" t="inlineStr">
        <is>
          <t xml:space="preserve">Venue Turbo Sport 1.000 cc Gas T/A 2WD</t>
        </is>
      </c>
      <c r="B176" t="inlineStr">
        <is>
          <t xml:space="preserve">SPW5K2G1U D D525 2026</t>
        </is>
      </c>
      <c r="C176" t="inlineStr">
        <is>
          <t xml:space="preserve">Autos</t>
        </is>
      </c>
      <c r="D176" t="inlineStr">
        <is>
          <t xml:space="preserve">Hyundai</t>
        </is>
      </c>
      <c r="E176">
        <f>VLOOKUP(D176,Parametros!$A$4:$B$7,2,FALSE)</f>
      </c>
      <c r="F176" t="inlineStr">
        <is>
          <t xml:space="preserve">true</t>
        </is>
      </c>
    </row>
    <row r="177">
      <c r="A177" t="inlineStr">
        <is>
          <t xml:space="preserve">Venue Turbo Bitono Elegant 1.000 cc Gas T/A 2WD</t>
        </is>
      </c>
      <c r="B177" t="inlineStr">
        <is>
          <t xml:space="preserve">SPW5K2G1U D D526 2025</t>
        </is>
      </c>
      <c r="C177" t="inlineStr">
        <is>
          <t xml:space="preserve">Autos</t>
        </is>
      </c>
      <c r="D177" t="inlineStr">
        <is>
          <t xml:space="preserve">Hyundai</t>
        </is>
      </c>
      <c r="E177">
        <f>VLOOKUP(D177,Parametros!$A$4:$B$7,2,FALSE)</f>
      </c>
      <c r="F177" t="inlineStr">
        <is>
          <t xml:space="preserve">true</t>
        </is>
      </c>
    </row>
    <row r="178">
      <c r="A178" t="inlineStr">
        <is>
          <t xml:space="preserve">Venue Turbo Bitono Elegant 1.000 cc Gas T/A 2WD</t>
        </is>
      </c>
      <c r="B178" t="inlineStr">
        <is>
          <t xml:space="preserve">SPW5K2G1U D D526 2026</t>
        </is>
      </c>
      <c r="C178" t="inlineStr">
        <is>
          <t xml:space="preserve">Autos</t>
        </is>
      </c>
      <c r="D178" t="inlineStr">
        <is>
          <t xml:space="preserve">Hyundai</t>
        </is>
      </c>
      <c r="E178">
        <f>VLOOKUP(D178,Parametros!$A$4:$B$7,2,FALSE)</f>
      </c>
      <c r="F178" t="inlineStr">
        <is>
          <t xml:space="preserve">true</t>
        </is>
      </c>
    </row>
    <row r="179">
      <c r="A179" t="inlineStr">
        <is>
          <t xml:space="preserve">Staria Tour 2.200 cc DSL T/M 2WD</t>
        </is>
      </c>
      <c r="B179" t="inlineStr">
        <is>
          <t xml:space="preserve">SZBB2FC57 S S537 2025</t>
        </is>
      </c>
      <c r="C179" t="inlineStr">
        <is>
          <t xml:space="preserve">Autos</t>
        </is>
      </c>
      <c r="D179" t="inlineStr">
        <is>
          <t xml:space="preserve">Hyundai</t>
        </is>
      </c>
      <c r="E179">
        <f>VLOOKUP(D179,Parametros!$A$4:$B$7,2,FALSE)</f>
      </c>
      <c r="F179" t="inlineStr">
        <is>
          <t xml:space="preserve">true</t>
        </is>
      </c>
    </row>
    <row r="180">
      <c r="A180" t="inlineStr">
        <is>
          <t xml:space="preserve">Staria Tour 2.200 cc DSL T/M 2WD</t>
        </is>
      </c>
      <c r="B180" t="inlineStr">
        <is>
          <t xml:space="preserve">SZBB2FC57 S S537 2026</t>
        </is>
      </c>
      <c r="C180" t="inlineStr">
        <is>
          <t xml:space="preserve">Autos</t>
        </is>
      </c>
      <c r="D180" t="inlineStr">
        <is>
          <t xml:space="preserve">Hyundai</t>
        </is>
      </c>
      <c r="E180">
        <f>VLOOKUP(D180,Parametros!$A$4:$B$7,2,FALSE)</f>
      </c>
      <c r="F180" t="inlineStr">
        <is>
          <t xml:space="preserve">true</t>
        </is>
      </c>
    </row>
    <row r="181">
      <c r="A181" t="inlineStr">
        <is>
          <t xml:space="preserve">Staria Elegant 2.200 cc DSL T/A SBW 2WD</t>
        </is>
      </c>
      <c r="B181" t="inlineStr">
        <is>
          <t xml:space="preserve">SZBB2FC5J K K608 2025</t>
        </is>
      </c>
      <c r="C181" t="inlineStr">
        <is>
          <t xml:space="preserve">Autos</t>
        </is>
      </c>
      <c r="D181" t="inlineStr">
        <is>
          <t xml:space="preserve">Hyundai</t>
        </is>
      </c>
      <c r="E181">
        <f>VLOOKUP(D181,Parametros!$A$4:$B$7,2,FALSE)</f>
      </c>
      <c r="F181" t="inlineStr">
        <is>
          <t xml:space="preserve">true</t>
        </is>
      </c>
    </row>
    <row r="182">
      <c r="A182" t="inlineStr">
        <is>
          <t xml:space="preserve">Staria Elegant 2.200 cc DSL T/A SBW 2WD</t>
        </is>
      </c>
      <c r="B182" t="inlineStr">
        <is>
          <t xml:space="preserve">SZBB2FC5J K K608 2026</t>
        </is>
      </c>
      <c r="C182" t="inlineStr">
        <is>
          <t xml:space="preserve">Autos</t>
        </is>
      </c>
      <c r="D182" t="inlineStr">
        <is>
          <t xml:space="preserve">Hyundai</t>
        </is>
      </c>
      <c r="E182">
        <f>VLOOKUP(D182,Parametros!$A$4:$B$7,2,FALSE)</f>
      </c>
      <c r="F182" t="inlineStr">
        <is>
          <t xml:space="preserve">true</t>
        </is>
      </c>
    </row>
    <row r="183">
      <c r="A183" t="inlineStr">
        <is>
          <t xml:space="preserve">Staria Tour 2.200 cc DSL T/A 2WD</t>
        </is>
      </c>
      <c r="B183" t="inlineStr">
        <is>
          <t xml:space="preserve">SZBB2FC5J S S350 2025</t>
        </is>
      </c>
      <c r="C183" t="inlineStr">
        <is>
          <t xml:space="preserve">Autos</t>
        </is>
      </c>
      <c r="D183" t="inlineStr">
        <is>
          <t xml:space="preserve">Hyundai</t>
        </is>
      </c>
      <c r="E183">
        <f>VLOOKUP(D183,Parametros!$A$4:$B$7,2,FALSE)</f>
      </c>
      <c r="F183" t="inlineStr">
        <is>
          <t xml:space="preserve">true</t>
        </is>
      </c>
    </row>
    <row r="184">
      <c r="A184" t="inlineStr">
        <is>
          <t xml:space="preserve">Staria Tour 2.200 cc DSL T/A 2WD</t>
        </is>
      </c>
      <c r="B184" t="inlineStr">
        <is>
          <t xml:space="preserve">SZBB2FC5J S S539 2025</t>
        </is>
      </c>
      <c r="C184" t="inlineStr">
        <is>
          <t xml:space="preserve">Autos</t>
        </is>
      </c>
      <c r="D184" t="inlineStr">
        <is>
          <t xml:space="preserve">Hyundai</t>
        </is>
      </c>
      <c r="E184">
        <f>VLOOKUP(D184,Parametros!$A$4:$B$7,2,FALSE)</f>
      </c>
      <c r="F184" t="inlineStr">
        <is>
          <t xml:space="preserve">true</t>
        </is>
      </c>
    </row>
    <row r="185">
      <c r="A185" t="inlineStr">
        <is>
          <t xml:space="preserve">Staria Tour 2.200 cc DSL T/A 2WD</t>
        </is>
      </c>
      <c r="B185" t="inlineStr">
        <is>
          <t xml:space="preserve">SZBB2FC5J S S539 2026</t>
        </is>
      </c>
      <c r="C185" t="inlineStr">
        <is>
          <t xml:space="preserve">Autos</t>
        </is>
      </c>
      <c r="D185" t="inlineStr">
        <is>
          <t xml:space="preserve">Hyundai</t>
        </is>
      </c>
      <c r="E185">
        <f>VLOOKUP(D185,Parametros!$A$4:$B$7,2,FALSE)</f>
      </c>
      <c r="F185" t="inlineStr">
        <is>
          <t xml:space="preserve">true</t>
        </is>
      </c>
    </row>
    <row r="186">
      <c r="A186" t="inlineStr">
        <is>
          <t xml:space="preserve">Staria Elegant 2.200 cc DSL T/A SBW 4WD</t>
        </is>
      </c>
      <c r="B186" t="inlineStr">
        <is>
          <t xml:space="preserve">SZBB2FC5K K K608 2026</t>
        </is>
      </c>
      <c r="C186" t="inlineStr">
        <is>
          <t xml:space="preserve">Autos</t>
        </is>
      </c>
      <c r="D186" t="inlineStr">
        <is>
          <t xml:space="preserve">Hyundai</t>
        </is>
      </c>
      <c r="E186">
        <f>VLOOKUP(D186,Parametros!$A$4:$B$7,2,FALSE)</f>
      </c>
      <c r="F186" t="inlineStr">
        <is>
          <t xml:space="preserve">true</t>
        </is>
      </c>
    </row>
    <row r="187">
      <c r="A187" t="inlineStr">
        <is>
          <t xml:space="preserve">Staria Prestige 2.200 cc DSL T/A SBW 4WD</t>
        </is>
      </c>
      <c r="B187" t="inlineStr">
        <is>
          <t xml:space="preserve">SZBB2FC5K K K609 2025</t>
        </is>
      </c>
      <c r="C187" t="inlineStr">
        <is>
          <t xml:space="preserve">Autos</t>
        </is>
      </c>
      <c r="D187" t="inlineStr">
        <is>
          <t xml:space="preserve">Hyundai</t>
        </is>
      </c>
      <c r="E187">
        <f>VLOOKUP(D187,Parametros!$A$4:$B$7,2,FALSE)</f>
      </c>
      <c r="F187" t="inlineStr">
        <is>
          <t xml:space="preserve">true</t>
        </is>
      </c>
    </row>
    <row r="188">
      <c r="A188" t="inlineStr">
        <is>
          <t xml:space="preserve">Staria Prestige 2.200 cc DSL T/A SBW 4WD</t>
        </is>
      </c>
      <c r="B188" t="inlineStr">
        <is>
          <t xml:space="preserve">SZBB2FC5K K K609 2026</t>
        </is>
      </c>
      <c r="C188" t="inlineStr">
        <is>
          <t xml:space="preserve">Autos</t>
        </is>
      </c>
      <c r="D188" t="inlineStr">
        <is>
          <t xml:space="preserve">Hyundai</t>
        </is>
      </c>
      <c r="E188">
        <f>VLOOKUP(D188,Parametros!$A$4:$B$7,2,FALSE)</f>
      </c>
      <c r="F188" t="inlineStr">
        <is>
          <t xml:space="preserve">true</t>
        </is>
      </c>
    </row>
    <row r="189">
      <c r="A189" t="inlineStr">
        <is>
          <t xml:space="preserve">Staria Tour 2.200 cc DSL T/A 4WD</t>
        </is>
      </c>
      <c r="B189" t="inlineStr">
        <is>
          <t xml:space="preserve">SZBB2FC5K S S539 2025</t>
        </is>
      </c>
      <c r="C189" t="inlineStr">
        <is>
          <t xml:space="preserve">Autos</t>
        </is>
      </c>
      <c r="D189" t="inlineStr">
        <is>
          <t xml:space="preserve">Hyundai</t>
        </is>
      </c>
      <c r="E189">
        <f>VLOOKUP(D189,Parametros!$A$4:$B$7,2,FALSE)</f>
      </c>
      <c r="F189" t="inlineStr">
        <is>
          <t xml:space="preserve">true</t>
        </is>
      </c>
    </row>
    <row r="190">
      <c r="A190" t="inlineStr">
        <is>
          <t xml:space="preserve">Staria Tour 2.200 cc DSL T/A 4WD</t>
        </is>
      </c>
      <c r="B190" t="inlineStr">
        <is>
          <t xml:space="preserve">SZBB2FC5K S S539 2026</t>
        </is>
      </c>
      <c r="C190" t="inlineStr">
        <is>
          <t xml:space="preserve">Autos</t>
        </is>
      </c>
      <c r="D190" t="inlineStr">
        <is>
          <t xml:space="preserve">Hyundai</t>
        </is>
      </c>
      <c r="E190">
        <f>VLOOKUP(D190,Parametros!$A$4:$B$7,2,FALSE)</f>
      </c>
      <c r="F190" t="inlineStr">
        <is>
          <t xml:space="preserve">true</t>
        </is>
      </c>
    </row>
    <row r="191">
      <c r="A191" t="inlineStr">
        <is>
          <t xml:space="preserve">Staria Panel 2.200 cc DSL T/M 2WD</t>
        </is>
      </c>
      <c r="B191" t="inlineStr">
        <is>
          <t xml:space="preserve">SZF32FC57 P P712 2026</t>
        </is>
      </c>
      <c r="C191" t="inlineStr">
        <is>
          <t xml:space="preserve">Autos</t>
        </is>
      </c>
      <c r="D191" t="inlineStr">
        <is>
          <t xml:space="preserve">Hyundai</t>
        </is>
      </c>
      <c r="E191">
        <f>VLOOKUP(D191,Parametros!$A$4:$B$7,2,FALSE)</f>
      </c>
      <c r="F191" t="inlineStr">
        <is>
          <t xml:space="preserve">true</t>
        </is>
      </c>
    </row>
    <row r="192">
      <c r="A192" t="inlineStr">
        <is>
          <t xml:space="preserve">D-MAX SPACE-CAB 4X4 C.EXTENDIDA 3.0L T/M (TCL4002)</t>
        </is>
      </c>
      <c r="B192" t="inlineStr">
        <is>
          <t xml:space="preserve">TCL4002 2025</t>
        </is>
      </c>
      <c r="C192" t="inlineStr">
        <is>
          <t xml:space="preserve">Autos</t>
        </is>
      </c>
      <c r="D192" t="inlineStr">
        <is>
          <t xml:space="preserve">Isuzu</t>
        </is>
      </c>
      <c r="E192">
        <f>VLOOKUP(D192,Parametros!$A$4:$B$7,2,FALSE)</f>
      </c>
      <c r="F192" t="inlineStr">
        <is>
          <t xml:space="preserve">true</t>
        </is>
      </c>
    </row>
    <row r="193">
      <c r="A193" t="inlineStr">
        <is>
          <t xml:space="preserve">D-MAX X-TERRAIN 4X4 D.CABINA 3.0L T/A (TCL4008)</t>
        </is>
      </c>
      <c r="B193" t="inlineStr">
        <is>
          <t xml:space="preserve">TCL4008 2025</t>
        </is>
      </c>
      <c r="C193" t="inlineStr">
        <is>
          <t xml:space="preserve">Autos</t>
        </is>
      </c>
      <c r="D193" t="inlineStr">
        <is>
          <t xml:space="preserve">Isuzu</t>
        </is>
      </c>
      <c r="E193">
        <f>VLOOKUP(D193,Parametros!$A$4:$B$7,2,FALSE)</f>
      </c>
      <c r="F193" t="inlineStr">
        <is>
          <t xml:space="preserve">true</t>
        </is>
      </c>
    </row>
    <row r="194">
      <c r="A194" t="inlineStr">
        <is>
          <t xml:space="preserve">D-MAX WORKER 4X4 C.SENCILLA 3.0L T/M (TCL5001)</t>
        </is>
      </c>
      <c r="B194" t="inlineStr">
        <is>
          <t xml:space="preserve">TCL5001 2026</t>
        </is>
      </c>
      <c r="C194" t="inlineStr">
        <is>
          <t xml:space="preserve">Autos</t>
        </is>
      </c>
      <c r="D194" t="inlineStr">
        <is>
          <t xml:space="preserve">Isuzu</t>
        </is>
      </c>
      <c r="E194">
        <f>VLOOKUP(D194,Parametros!$A$4:$B$7,2,FALSE)</f>
      </c>
      <c r="F194" t="inlineStr">
        <is>
          <t xml:space="preserve">true</t>
        </is>
      </c>
    </row>
    <row r="195">
      <c r="A195" t="inlineStr">
        <is>
          <t xml:space="preserve">D-MAX SPACE-CAB 4X4 C.EXTENDIDA 3.0L T/M (TCL5002)</t>
        </is>
      </c>
      <c r="B195" t="inlineStr">
        <is>
          <t xml:space="preserve">TCL5002 2026</t>
        </is>
      </c>
      <c r="C195" t="inlineStr">
        <is>
          <t xml:space="preserve">Autos</t>
        </is>
      </c>
      <c r="D195" t="inlineStr">
        <is>
          <t xml:space="preserve">Isuzu</t>
        </is>
      </c>
      <c r="E195">
        <f>VLOOKUP(D195,Parametros!$A$4:$B$7,2,FALSE)</f>
      </c>
      <c r="F195" t="inlineStr">
        <is>
          <t xml:space="preserve">true</t>
        </is>
      </c>
    </row>
    <row r="196">
      <c r="A196" t="inlineStr">
        <is>
          <t xml:space="preserve">D-MAX V-CROSS 4X4 D.CABINA 3.0L T/M (TCL5003)</t>
        </is>
      </c>
      <c r="B196" t="inlineStr">
        <is>
          <t xml:space="preserve">TCL5003 2026</t>
        </is>
      </c>
      <c r="C196" t="inlineStr">
        <is>
          <t xml:space="preserve">Autos</t>
        </is>
      </c>
      <c r="D196" t="inlineStr">
        <is>
          <t xml:space="preserve">Isuzu</t>
        </is>
      </c>
      <c r="E196">
        <f>VLOOKUP(D196,Parametros!$A$4:$B$7,2,FALSE)</f>
      </c>
      <c r="F196" t="inlineStr">
        <is>
          <t xml:space="preserve">true</t>
        </is>
      </c>
    </row>
    <row r="197">
      <c r="A197" t="inlineStr">
        <is>
          <t xml:space="preserve">D-MAX HIGHLANDER 4X4 D.CABINA 3.0L T/M (TCL5004)</t>
        </is>
      </c>
      <c r="B197" t="inlineStr">
        <is>
          <t xml:space="preserve">TCL5004 2026</t>
        </is>
      </c>
      <c r="C197" t="inlineStr">
        <is>
          <t xml:space="preserve">Autos</t>
        </is>
      </c>
      <c r="D197" t="inlineStr">
        <is>
          <t xml:space="preserve">Isuzu</t>
        </is>
      </c>
      <c r="E197">
        <f>VLOOKUP(D197,Parametros!$A$4:$B$7,2,FALSE)</f>
      </c>
      <c r="F197" t="inlineStr">
        <is>
          <t xml:space="preserve">true</t>
        </is>
      </c>
    </row>
    <row r="198">
      <c r="A198" t="inlineStr">
        <is>
          <t xml:space="preserve">D-MAX V-CROSS 4X4 D.CABINA 3.0L T/A (TCL5005)</t>
        </is>
      </c>
      <c r="B198" t="inlineStr">
        <is>
          <t xml:space="preserve">TCL5005 2026</t>
        </is>
      </c>
      <c r="C198" t="inlineStr">
        <is>
          <t xml:space="preserve">Autos</t>
        </is>
      </c>
      <c r="D198" t="inlineStr">
        <is>
          <t xml:space="preserve">Isuzu</t>
        </is>
      </c>
      <c r="E198">
        <f>VLOOKUP(D198,Parametros!$A$4:$B$7,2,FALSE)</f>
      </c>
      <c r="F198" t="inlineStr">
        <is>
          <t xml:space="preserve">true</t>
        </is>
      </c>
    </row>
    <row r="199">
      <c r="A199" t="inlineStr">
        <is>
          <t xml:space="preserve">D-MAX HIGHLANDER 4X4 D.CABINA 3.0L T/A (TCL5006)</t>
        </is>
      </c>
      <c r="B199" t="inlineStr">
        <is>
          <t xml:space="preserve">TCL5006 2026</t>
        </is>
      </c>
      <c r="C199" t="inlineStr">
        <is>
          <t xml:space="preserve">Autos</t>
        </is>
      </c>
      <c r="D199" t="inlineStr">
        <is>
          <t xml:space="preserve">Isuzu</t>
        </is>
      </c>
      <c r="E199">
        <f>VLOOKUP(D199,Parametros!$A$4:$B$7,2,FALSE)</f>
      </c>
      <c r="F199" t="inlineStr">
        <is>
          <t xml:space="preserve">true</t>
        </is>
      </c>
    </row>
    <row r="200">
      <c r="A200" t="inlineStr">
        <is>
          <t xml:space="preserve">D-MAX X-TERRAIN 4X4 D.CABINA 3.0L T/A (TCL5008)</t>
        </is>
      </c>
      <c r="B200" t="inlineStr">
        <is>
          <t xml:space="preserve">TCL5008 2026</t>
        </is>
      </c>
      <c r="C200" t="inlineStr">
        <is>
          <t xml:space="preserve">Autos</t>
        </is>
      </c>
      <c r="D200" t="inlineStr">
        <is>
          <t xml:space="preserve">Isuzu</t>
        </is>
      </c>
      <c r="E200">
        <f>VLOOKUP(D200,Parametros!$A$4:$B$7,2,FALSE)</f>
      </c>
      <c r="F200" t="inlineStr">
        <is>
          <t xml:space="preserve">true</t>
        </is>
      </c>
    </row>
    <row r="201">
      <c r="A201" t="inlineStr">
        <is>
          <t xml:space="preserve">D-MAX WORKER 4X2 C.SENCILLA 1.9L T/M (TCL5009)</t>
        </is>
      </c>
      <c r="B201" t="inlineStr">
        <is>
          <t xml:space="preserve">TCL5009 2026</t>
        </is>
      </c>
      <c r="C201" t="inlineStr">
        <is>
          <t xml:space="preserve">Autos</t>
        </is>
      </c>
      <c r="D201" t="inlineStr">
        <is>
          <t xml:space="preserve">Isuzu</t>
        </is>
      </c>
      <c r="E201">
        <f>VLOOKUP(D201,Parametros!$A$4:$B$7,2,FALSE)</f>
      </c>
      <c r="F201" t="inlineStr">
        <is>
          <t xml:space="preserve">true</t>
        </is>
      </c>
    </row>
    <row r="202">
      <c r="A202" t="inlineStr">
        <is>
          <t xml:space="preserve">D-MAX V-CROSS 4X2 HR D.CABINA 1.9L T/M (TCL5010)</t>
        </is>
      </c>
      <c r="B202" t="inlineStr">
        <is>
          <t xml:space="preserve">TCL5010 2026</t>
        </is>
      </c>
      <c r="C202" t="inlineStr">
        <is>
          <t xml:space="preserve">Autos</t>
        </is>
      </c>
      <c r="D202" t="inlineStr">
        <is>
          <t xml:space="preserve">Isuzu</t>
        </is>
      </c>
      <c r="E202">
        <f>VLOOKUP(D202,Parametros!$A$4:$B$7,2,FALSE)</f>
      </c>
      <c r="F202" t="inlineStr">
        <is>
          <t xml:space="preserve">true</t>
        </is>
      </c>
    </row>
    <row r="203">
      <c r="A203" t="inlineStr">
        <is>
          <t xml:space="preserve">D-MAX WORKER 4X4 D.CABINA 1.9L T/M (TCL5011)</t>
        </is>
      </c>
      <c r="B203" t="inlineStr">
        <is>
          <t xml:space="preserve">TCL5011 2026</t>
        </is>
      </c>
      <c r="C203" t="inlineStr">
        <is>
          <t xml:space="preserve">Autos</t>
        </is>
      </c>
      <c r="D203" t="inlineStr">
        <is>
          <t xml:space="preserve">Isuzu</t>
        </is>
      </c>
      <c r="E203">
        <f>VLOOKUP(D203,Parametros!$A$4:$B$7,2,FALSE)</f>
      </c>
      <c r="F203" t="inlineStr">
        <is>
          <t xml:space="preserve">true</t>
        </is>
      </c>
    </row>
    <row r="204">
      <c r="A204" t="inlineStr">
        <is>
          <t xml:space="preserve">D-MAX V-CROSS 4X4 D.CABINA 1.9L T/A (TCL5012)</t>
        </is>
      </c>
      <c r="B204" t="inlineStr">
        <is>
          <t xml:space="preserve">TCL5012 2026</t>
        </is>
      </c>
      <c r="C204" t="inlineStr">
        <is>
          <t xml:space="preserve">Autos</t>
        </is>
      </c>
      <c r="D204" t="inlineStr">
        <is>
          <t xml:space="preserve">Isuzu</t>
        </is>
      </c>
      <c r="E204">
        <f>VLOOKUP(D204,Parametros!$A$4:$B$7,2,FALSE)</f>
      </c>
      <c r="F204" t="inlineStr">
        <is>
          <t xml:space="preserve">true</t>
        </is>
      </c>
    </row>
    <row r="205">
      <c r="A205" t="inlineStr">
        <is>
          <t xml:space="preserve">D-MAX WORKER 4X4 C.SENCILLA 3.0L T/M (TCL6001)</t>
        </is>
      </c>
      <c r="B205" t="inlineStr">
        <is>
          <t xml:space="preserve">TCL6001 2027</t>
        </is>
      </c>
      <c r="C205" t="inlineStr">
        <is>
          <t xml:space="preserve">Autos</t>
        </is>
      </c>
      <c r="D205" t="inlineStr">
        <is>
          <t xml:space="preserve">Isuzu</t>
        </is>
      </c>
      <c r="E205">
        <f>VLOOKUP(D205,Parametros!$A$4:$B$7,2,FALSE)</f>
      </c>
      <c r="F205" t="inlineStr">
        <is>
          <t xml:space="preserve">true</t>
        </is>
      </c>
    </row>
    <row r="206">
      <c r="A206" t="inlineStr">
        <is>
          <t xml:space="preserve">D-MAX SPACE-CAB 4X4 C.EXTENDIDA 3.0L T/M (TCL6002)</t>
        </is>
      </c>
      <c r="B206" t="inlineStr">
        <is>
          <t xml:space="preserve">TCL6002 2027</t>
        </is>
      </c>
      <c r="C206" t="inlineStr">
        <is>
          <t xml:space="preserve">Autos</t>
        </is>
      </c>
      <c r="D206" t="inlineStr">
        <is>
          <t xml:space="preserve">Isuzu</t>
        </is>
      </c>
      <c r="E206">
        <f>VLOOKUP(D206,Parametros!$A$4:$B$7,2,FALSE)</f>
      </c>
      <c r="F206" t="inlineStr">
        <is>
          <t xml:space="preserve">true</t>
        </is>
      </c>
    </row>
    <row r="207">
      <c r="A207" t="inlineStr">
        <is>
          <t xml:space="preserve">D-MAX V-CROSS 4X4 D.CABINA 3.0L T/M (TCL6003)</t>
        </is>
      </c>
      <c r="B207" t="inlineStr">
        <is>
          <t xml:space="preserve">TCL6003 2027</t>
        </is>
      </c>
      <c r="C207" t="inlineStr">
        <is>
          <t xml:space="preserve">Autos</t>
        </is>
      </c>
      <c r="D207" t="inlineStr">
        <is>
          <t xml:space="preserve">Isuzu</t>
        </is>
      </c>
      <c r="E207">
        <f>VLOOKUP(D207,Parametros!$A$4:$B$7,2,FALSE)</f>
      </c>
      <c r="F207" t="inlineStr">
        <is>
          <t xml:space="preserve">true</t>
        </is>
      </c>
    </row>
    <row r="208">
      <c r="A208" t="inlineStr">
        <is>
          <t xml:space="preserve">D-MAX HIGHLANDER 4X4 D.CABINA 3.0L T/M (TCL6004)</t>
        </is>
      </c>
      <c r="B208" t="inlineStr">
        <is>
          <t xml:space="preserve">TCL6004 2027</t>
        </is>
      </c>
      <c r="C208" t="inlineStr">
        <is>
          <t xml:space="preserve">Autos</t>
        </is>
      </c>
      <c r="D208" t="inlineStr">
        <is>
          <t xml:space="preserve">Isuzu</t>
        </is>
      </c>
      <c r="E208">
        <f>VLOOKUP(D208,Parametros!$A$4:$B$7,2,FALSE)</f>
      </c>
      <c r="F208" t="inlineStr">
        <is>
          <t xml:space="preserve">true</t>
        </is>
      </c>
    </row>
    <row r="209">
      <c r="A209" t="inlineStr">
        <is>
          <t xml:space="preserve">D-MAX V-CROSS 4X4 D.CABINA 3.0L T/A (TCL6005)</t>
        </is>
      </c>
      <c r="B209" t="inlineStr">
        <is>
          <t xml:space="preserve">TCL6005 2027</t>
        </is>
      </c>
      <c r="C209" t="inlineStr">
        <is>
          <t xml:space="preserve">Autos</t>
        </is>
      </c>
      <c r="D209" t="inlineStr">
        <is>
          <t xml:space="preserve">Isuzu</t>
        </is>
      </c>
      <c r="E209">
        <f>VLOOKUP(D209,Parametros!$A$4:$B$7,2,FALSE)</f>
      </c>
      <c r="F209" t="inlineStr">
        <is>
          <t xml:space="preserve">true</t>
        </is>
      </c>
    </row>
    <row r="210">
      <c r="A210" t="inlineStr">
        <is>
          <t xml:space="preserve">D-MAX WORKER 4X2 C.SENCILLA 1.9L T/M (TCL6009)</t>
        </is>
      </c>
      <c r="B210" t="inlineStr">
        <is>
          <t xml:space="preserve">TCL6009 2027</t>
        </is>
      </c>
      <c r="C210" t="inlineStr">
        <is>
          <t xml:space="preserve">Autos</t>
        </is>
      </c>
      <c r="D210" t="inlineStr">
        <is>
          <t xml:space="preserve">Isuzu</t>
        </is>
      </c>
      <c r="E210">
        <f>VLOOKUP(D210,Parametros!$A$4:$B$7,2,FALSE)</f>
      </c>
      <c r="F210" t="inlineStr">
        <is>
          <t xml:space="preserve">true</t>
        </is>
      </c>
    </row>
    <row r="211">
      <c r="A211" t="inlineStr">
        <is>
          <t xml:space="preserve">EX9 Camion 3.900 cc DSL T/M 2WD</t>
        </is>
      </c>
      <c r="B211" t="inlineStr">
        <is>
          <t xml:space="preserve">UG9AHEAD5VT3 B618 2026</t>
        </is>
      </c>
      <c r="C211" t="inlineStr">
        <is>
          <t xml:space="preserve">Autos</t>
        </is>
      </c>
      <c r="D211" t="inlineStr">
        <is>
          <t xml:space="preserve">Hyundai</t>
        </is>
      </c>
      <c r="E211">
        <f>VLOOKUP(D211,Parametros!$A$4:$B$7,2,FALSE)</f>
      </c>
      <c r="F211" t="inlineStr">
        <is>
          <t xml:space="preserve">true</t>
        </is>
      </c>
    </row>
    <row r="212">
      <c r="A212" t="inlineStr">
        <is>
          <t xml:space="preserve">EX6 Dump Camion 3.900 cc DSL T/M 2WD</t>
        </is>
      </c>
      <c r="B212" t="inlineStr">
        <is>
          <t xml:space="preserve">UGAADSAD5DM1 B545 2025</t>
        </is>
      </c>
      <c r="C212" t="inlineStr">
        <is>
          <t xml:space="preserve">Autos</t>
        </is>
      </c>
      <c r="D212" t="inlineStr">
        <is>
          <t xml:space="preserve">Hyundai</t>
        </is>
      </c>
      <c r="E212">
        <f>VLOOKUP(D212,Parametros!$A$4:$B$7,2,FALSE)</f>
      </c>
      <c r="F212" t="inlineStr">
        <is>
          <t xml:space="preserve">true</t>
        </is>
      </c>
    </row>
    <row r="213">
      <c r="A213" t="inlineStr">
        <is>
          <t xml:space="preserve">EX6 Dump Camion 3.900 cc DSL T/M 2WD</t>
        </is>
      </c>
      <c r="B213" t="inlineStr">
        <is>
          <t xml:space="preserve">UGAADSAD5DM1 B545 2026</t>
        </is>
      </c>
      <c r="C213" t="inlineStr">
        <is>
          <t xml:space="preserve">Autos</t>
        </is>
      </c>
      <c r="D213" t="inlineStr">
        <is>
          <t xml:space="preserve">Hyundai</t>
        </is>
      </c>
      <c r="E213">
        <f>VLOOKUP(D213,Parametros!$A$4:$B$7,2,FALSE)</f>
      </c>
      <c r="F213" t="inlineStr">
        <is>
          <t xml:space="preserve">true</t>
        </is>
      </c>
    </row>
    <row r="214">
      <c r="A214" t="inlineStr">
        <is>
          <t xml:space="preserve">EX6 Camion 3.900 cc DSL T/M 2WD</t>
        </is>
      </c>
      <c r="B214" t="inlineStr">
        <is>
          <t xml:space="preserve">UGAAHLAD5VT3 A919 2026</t>
        </is>
      </c>
      <c r="C214" t="inlineStr">
        <is>
          <t xml:space="preserve">Autos</t>
        </is>
      </c>
      <c r="D214" t="inlineStr">
        <is>
          <t xml:space="preserve">Hyundai</t>
        </is>
      </c>
      <c r="E214">
        <f>VLOOKUP(D214,Parametros!$A$4:$B$7,2,FALSE)</f>
      </c>
      <c r="F214" t="inlineStr">
        <is>
          <t xml:space="preserve">true</t>
        </is>
      </c>
    </row>
    <row r="215">
      <c r="A215" t="inlineStr">
        <is>
          <t xml:space="preserve">MU-X 4X4 3.0L T/A (UJCL201) ELEGANT</t>
        </is>
      </c>
      <c r="B215" t="inlineStr">
        <is>
          <t xml:space="preserve">UJCL201 2024</t>
        </is>
      </c>
      <c r="C215" t="inlineStr">
        <is>
          <t xml:space="preserve">Autos</t>
        </is>
      </c>
      <c r="D215" t="inlineStr">
        <is>
          <t xml:space="preserve">Isuzu</t>
        </is>
      </c>
      <c r="E215">
        <f>VLOOKUP(D215,Parametros!$A$4:$B$7,2,FALSE)</f>
      </c>
      <c r="F215" t="inlineStr">
        <is>
          <t xml:space="preserve">true</t>
        </is>
      </c>
    </row>
    <row r="216">
      <c r="A216" t="inlineStr">
        <is>
          <t xml:space="preserve">MU-X 4X4 3.0L T/A (UJCL301) ELEGANT</t>
        </is>
      </c>
      <c r="B216" t="inlineStr">
        <is>
          <t xml:space="preserve">UJCL301 2024</t>
        </is>
      </c>
      <c r="C216" t="inlineStr">
        <is>
          <t xml:space="preserve">Autos</t>
        </is>
      </c>
      <c r="D216" t="inlineStr">
        <is>
          <t xml:space="preserve">Isuzu</t>
        </is>
      </c>
      <c r="E216">
        <f>VLOOKUP(D216,Parametros!$A$4:$B$7,2,FALSE)</f>
      </c>
      <c r="F216" t="inlineStr">
        <is>
          <t xml:space="preserve">true</t>
        </is>
      </c>
    </row>
    <row r="217">
      <c r="A217" t="inlineStr">
        <is>
          <t xml:space="preserve">MU-X 4X4 3.0L T/A (UJCL501) ELEGANT</t>
        </is>
      </c>
      <c r="B217" t="inlineStr">
        <is>
          <t xml:space="preserve">UJCL501 2026</t>
        </is>
      </c>
      <c r="C217" t="inlineStr">
        <is>
          <t xml:space="preserve">Autos</t>
        </is>
      </c>
      <c r="D217" t="inlineStr">
        <is>
          <t xml:space="preserve">Isuzu</t>
        </is>
      </c>
      <c r="E217">
        <f>VLOOKUP(D217,Parametros!$A$4:$B$7,2,FALSE)</f>
      </c>
      <c r="F217" t="inlineStr">
        <is>
          <t xml:space="preserve">true</t>
        </is>
      </c>
    </row>
    <row r="218">
      <c r="A218" t="inlineStr">
        <is>
          <t xml:space="preserve">MU-X 4X4 3.0L T/A TELA (UJCL502) PREMIUM</t>
        </is>
      </c>
      <c r="B218" t="inlineStr">
        <is>
          <t xml:space="preserve">UJCL502 2026</t>
        </is>
      </c>
      <c r="C218" t="inlineStr">
        <is>
          <t xml:space="preserve">Autos</t>
        </is>
      </c>
      <c r="D218" t="inlineStr">
        <is>
          <t xml:space="preserve">Isuzu</t>
        </is>
      </c>
      <c r="E218">
        <f>VLOOKUP(D218,Parametros!$A$4:$B$7,2,FALSE)</f>
      </c>
      <c r="F218" t="inlineStr">
        <is>
          <t xml:space="preserve">true</t>
        </is>
      </c>
    </row>
  </sheetData>
</worksheet>
</file>

<file path=xl/worksheets/sheet5.xml><?xml version="1.0" encoding="utf-8"?>
<worksheet xmlns="http://schemas.openxmlformats.org/spreadsheetml/2006/main">
  <cols>
    <col min="1" max="1" width="26" customWidth="1"/>
    <col min="2" max="2" width="22" customWidth="1"/>
  </cols>
  <sheetData>
    <row r="1">
      <c r="A1" s="2" t="inlineStr">
        <is>
          <t xml:space="preserve">&lt;&lt; colar aqui o resultado de: SELECT ProductCode, Id FROM Product2 WHERE IsActive = true  (Copy Excel format, com cabecalho) &gt;&gt;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22" customWidth="1"/>
    <col min="3" max="3" width="12" customWidth="1"/>
    <col min="4" max="4" width="10" customWidth="1"/>
    <col min="5" max="5" width="16" customWidth="1"/>
    <col min="6" max="6" width="4" customWidth="1"/>
    <col min="7" max="7" width="26" customWidth="1"/>
  </cols>
  <sheetData>
    <row r="1">
      <c r="A1" s="1" t="inlineStr">
        <is>
          <t xml:space="preserve">Product2Id</t>
        </is>
      </c>
      <c r="B1" s="1" t="inlineStr">
        <is>
          <t xml:space="preserve">Pricebook2Id</t>
        </is>
      </c>
      <c r="C1" s="1" t="inlineStr">
        <is>
          <t xml:space="preserve">UnitPrice</t>
        </is>
      </c>
      <c r="D1" s="1" t="inlineStr">
        <is>
          <t xml:space="preserve">IsActive</t>
        </is>
      </c>
      <c r="E1" s="1" t="inlineStr">
        <is>
          <t xml:space="preserve">UseStandardPrice</t>
        </is>
      </c>
      <c r="G1" s="1" t="inlineStr">
        <is>
          <t xml:space="preserve">ProductCode (ref - NAO copiar)</t>
        </is>
      </c>
    </row>
    <row r="2">
      <c r="A2">
        <f>VLOOKUP(G2,MapaProductos!$A:$B,2,FALSE)</f>
      </c>
      <c r="B2">
        <f>Parametros!$B$2</f>
      </c>
      <c r="C2">
        <v>31400.0</v>
      </c>
      <c r="D2" t="inlineStr">
        <is>
          <t xml:space="preserve">true</t>
        </is>
      </c>
      <c r="E2" t="inlineStr">
        <is>
          <t xml:space="preserve">false</t>
        </is>
      </c>
      <c r="G2" t="inlineStr">
        <is>
          <t xml:space="preserve">0YS4D661V D D394 2025</t>
        </is>
      </c>
    </row>
    <row r="3">
      <c r="A3">
        <f>VLOOKUP(G3,MapaProductos!$A:$B,2,FALSE)</f>
      </c>
      <c r="B3">
        <f>Parametros!$B$2</f>
      </c>
      <c r="C3">
        <v>30400.0</v>
      </c>
      <c r="D3" t="inlineStr">
        <is>
          <t xml:space="preserve">true</t>
        </is>
      </c>
      <c r="E3" t="inlineStr">
        <is>
          <t xml:space="preserve">false</t>
        </is>
      </c>
      <c r="G3" t="inlineStr">
        <is>
          <t xml:space="preserve">0YS4D661V D D571 2025</t>
        </is>
      </c>
    </row>
    <row r="4">
      <c r="A4">
        <f>VLOOKUP(G4,MapaProductos!$A:$B,2,FALSE)</f>
      </c>
      <c r="B4">
        <f>Parametros!$B$2</f>
      </c>
      <c r="C4">
        <v>33400.0</v>
      </c>
      <c r="D4" t="inlineStr">
        <is>
          <t xml:space="preserve">true</t>
        </is>
      </c>
      <c r="E4" t="inlineStr">
        <is>
          <t xml:space="preserve">false</t>
        </is>
      </c>
      <c r="G4" t="inlineStr">
        <is>
          <t xml:space="preserve">0YS4D661V D D572 2025</t>
        </is>
      </c>
    </row>
    <row r="5">
      <c r="A5">
        <f>VLOOKUP(G5,MapaProductos!$A:$B,2,FALSE)</f>
      </c>
      <c r="B5">
        <f>Parametros!$B$2</f>
      </c>
      <c r="C5">
        <v>30400.0</v>
      </c>
      <c r="D5" t="inlineStr">
        <is>
          <t xml:space="preserve">true</t>
        </is>
      </c>
      <c r="E5" t="inlineStr">
        <is>
          <t xml:space="preserve">false</t>
        </is>
      </c>
      <c r="G5" t="inlineStr">
        <is>
          <t xml:space="preserve">0YS4D661V D D720 2026</t>
        </is>
      </c>
    </row>
    <row r="6">
      <c r="A6">
        <f>VLOOKUP(G6,MapaProductos!$A:$B,2,FALSE)</f>
      </c>
      <c r="B6">
        <f>Parametros!$B$2</f>
      </c>
      <c r="C6">
        <v>34400.0</v>
      </c>
      <c r="D6" t="inlineStr">
        <is>
          <t xml:space="preserve">true</t>
        </is>
      </c>
      <c r="E6" t="inlineStr">
        <is>
          <t xml:space="preserve">false</t>
        </is>
      </c>
      <c r="G6" t="inlineStr">
        <is>
          <t xml:space="preserve">0YS4D661V D D743 2026</t>
        </is>
      </c>
    </row>
    <row r="7">
      <c r="A7">
        <f>VLOOKUP(G7,MapaProductos!$A:$B,2,FALSE)</f>
      </c>
      <c r="B7">
        <f>Parametros!$B$2</f>
      </c>
      <c r="C7">
        <v>62900.0</v>
      </c>
      <c r="D7" t="inlineStr">
        <is>
          <t xml:space="preserve">true</t>
        </is>
      </c>
      <c r="E7" t="inlineStr">
        <is>
          <t xml:space="preserve">false</t>
        </is>
      </c>
      <c r="G7" t="inlineStr">
        <is>
          <t xml:space="preserve">12L43-D 2025</t>
        </is>
      </c>
    </row>
    <row r="8">
      <c r="A8">
        <f>VLOOKUP(G8,MapaProductos!$A:$B,2,FALSE)</f>
      </c>
      <c r="B8">
        <f>Parametros!$B$2</f>
      </c>
      <c r="C8">
        <v>63500.0</v>
      </c>
      <c r="D8" t="inlineStr">
        <is>
          <t xml:space="preserve">true</t>
        </is>
      </c>
      <c r="E8" t="inlineStr">
        <is>
          <t xml:space="preserve">false</t>
        </is>
      </c>
      <c r="G8" t="inlineStr">
        <is>
          <t xml:space="preserve">12L43-D 2026</t>
        </is>
      </c>
    </row>
    <row r="9">
      <c r="A9">
        <f>VLOOKUP(G9,MapaProductos!$A:$B,2,FALSE)</f>
      </c>
      <c r="B9">
        <f>Parametros!$B$2</f>
      </c>
      <c r="C9">
        <v>59900.0</v>
      </c>
      <c r="D9" t="inlineStr">
        <is>
          <t xml:space="preserve">true</t>
        </is>
      </c>
      <c r="E9" t="inlineStr">
        <is>
          <t xml:space="preserve">false</t>
        </is>
      </c>
      <c r="G9" t="inlineStr">
        <is>
          <t xml:space="preserve">12L43-E 2026</t>
        </is>
      </c>
    </row>
    <row r="10">
      <c r="A10">
        <f>VLOOKUP(G10,MapaProductos!$A:$B,2,FALSE)</f>
      </c>
      <c r="B10">
        <f>Parametros!$B$2</f>
      </c>
      <c r="C10">
        <v>65900.0</v>
      </c>
      <c r="D10" t="inlineStr">
        <is>
          <t xml:space="preserve">true</t>
        </is>
      </c>
      <c r="E10" t="inlineStr">
        <is>
          <t xml:space="preserve">false</t>
        </is>
      </c>
      <c r="G10" t="inlineStr">
        <is>
          <t xml:space="preserve">12L43-G 2025</t>
        </is>
      </c>
    </row>
    <row r="11">
      <c r="A11">
        <f>VLOOKUP(G11,MapaProductos!$A:$B,2,FALSE)</f>
      </c>
      <c r="B11">
        <f>Parametros!$B$2</f>
      </c>
      <c r="C11">
        <v>65900.0</v>
      </c>
      <c r="D11" t="inlineStr">
        <is>
          <t xml:space="preserve">true</t>
        </is>
      </c>
      <c r="E11" t="inlineStr">
        <is>
          <t xml:space="preserve">false</t>
        </is>
      </c>
      <c r="G11" t="inlineStr">
        <is>
          <t xml:space="preserve">12L43-G 2026</t>
        </is>
      </c>
    </row>
    <row r="12">
      <c r="A12">
        <f>VLOOKUP(G12,MapaProductos!$A:$B,2,FALSE)</f>
      </c>
      <c r="B12">
        <f>Parametros!$B$2</f>
      </c>
      <c r="C12">
        <v>67900.0</v>
      </c>
      <c r="D12" t="inlineStr">
        <is>
          <t xml:space="preserve">true</t>
        </is>
      </c>
      <c r="E12" t="inlineStr">
        <is>
          <t xml:space="preserve">false</t>
        </is>
      </c>
      <c r="G12" t="inlineStr">
        <is>
          <t xml:space="preserve">12S26-G 2025</t>
        </is>
      </c>
    </row>
    <row r="13">
      <c r="A13">
        <f>VLOOKUP(G13,MapaProductos!$A:$B,2,FALSE)</f>
      </c>
      <c r="B13">
        <f>Parametros!$B$2</f>
      </c>
      <c r="C13">
        <v>68900.0</v>
      </c>
      <c r="D13" t="inlineStr">
        <is>
          <t xml:space="preserve">true</t>
        </is>
      </c>
      <c r="E13" t="inlineStr">
        <is>
          <t xml:space="preserve">false</t>
        </is>
      </c>
      <c r="G13" t="inlineStr">
        <is>
          <t xml:space="preserve">12S26-G 2026</t>
        </is>
      </c>
    </row>
    <row r="14">
      <c r="A14">
        <f>VLOOKUP(G14,MapaProductos!$A:$B,2,FALSE)</f>
      </c>
      <c r="B14">
        <f>Parametros!$B$2</f>
      </c>
      <c r="C14">
        <v>27900.0</v>
      </c>
      <c r="D14" t="inlineStr">
        <is>
          <t xml:space="preserve">true</t>
        </is>
      </c>
      <c r="E14" t="inlineStr">
        <is>
          <t xml:space="preserve">false</t>
        </is>
      </c>
      <c r="G14" t="inlineStr">
        <is>
          <t xml:space="preserve">1E426-A 2026</t>
        </is>
      </c>
    </row>
    <row r="15">
      <c r="A15">
        <f>VLOOKUP(G15,MapaProductos!$A:$B,2,FALSE)</f>
      </c>
      <c r="B15">
        <f>Parametros!$B$2</f>
      </c>
      <c r="C15">
        <v>27900.0</v>
      </c>
      <c r="D15" t="inlineStr">
        <is>
          <t xml:space="preserve">true</t>
        </is>
      </c>
      <c r="E15" t="inlineStr">
        <is>
          <t xml:space="preserve">false</t>
        </is>
      </c>
      <c r="G15" t="inlineStr">
        <is>
          <t xml:space="preserve">1E426-B 2026</t>
        </is>
      </c>
    </row>
    <row r="16">
      <c r="A16">
        <f>VLOOKUP(G16,MapaProductos!$A:$B,2,FALSE)</f>
      </c>
      <c r="B16">
        <f>Parametros!$B$2</f>
      </c>
      <c r="C16">
        <v>28900.0</v>
      </c>
      <c r="D16" t="inlineStr">
        <is>
          <t xml:space="preserve">true</t>
        </is>
      </c>
      <c r="E16" t="inlineStr">
        <is>
          <t xml:space="preserve">false</t>
        </is>
      </c>
      <c r="G16" t="inlineStr">
        <is>
          <t xml:space="preserve">1EH76-C 2026</t>
        </is>
      </c>
    </row>
    <row r="17">
      <c r="A17">
        <f>VLOOKUP(G17,MapaProductos!$A:$B,2,FALSE)</f>
      </c>
      <c r="B17">
        <f>Parametros!$B$2</f>
      </c>
      <c r="C17">
        <v>33900.0</v>
      </c>
      <c r="D17" t="inlineStr">
        <is>
          <t xml:space="preserve">true</t>
        </is>
      </c>
      <c r="E17" t="inlineStr">
        <is>
          <t xml:space="preserve">false</t>
        </is>
      </c>
      <c r="G17" t="inlineStr">
        <is>
          <t xml:space="preserve">1EH76-R 2025</t>
        </is>
      </c>
    </row>
    <row r="18">
      <c r="A18">
        <f>VLOOKUP(G18,MapaProductos!$A:$B,2,FALSE)</f>
      </c>
      <c r="B18">
        <f>Parametros!$B$2</f>
      </c>
      <c r="C18">
        <v>35500.0</v>
      </c>
      <c r="D18" t="inlineStr">
        <is>
          <t xml:space="preserve">true</t>
        </is>
      </c>
      <c r="E18" t="inlineStr">
        <is>
          <t xml:space="preserve">false</t>
        </is>
      </c>
      <c r="G18" t="inlineStr">
        <is>
          <t xml:space="preserve">1EJ76-D 2025</t>
        </is>
      </c>
    </row>
    <row r="19">
      <c r="A19">
        <f>VLOOKUP(G19,MapaProductos!$A:$B,2,FALSE)</f>
      </c>
      <c r="B19">
        <f>Parametros!$B$2</f>
      </c>
      <c r="C19">
        <v>32500.0</v>
      </c>
      <c r="D19" t="inlineStr">
        <is>
          <t xml:space="preserve">true</t>
        </is>
      </c>
      <c r="E19" t="inlineStr">
        <is>
          <t xml:space="preserve">false</t>
        </is>
      </c>
      <c r="G19" t="inlineStr">
        <is>
          <t xml:space="preserve">1EJ76-D 2026</t>
        </is>
      </c>
    </row>
    <row r="20">
      <c r="A20">
        <f>VLOOKUP(G20,MapaProductos!$A:$B,2,FALSE)</f>
      </c>
      <c r="B20">
        <f>Parametros!$B$2</f>
      </c>
      <c r="C20">
        <v>38400.0</v>
      </c>
      <c r="D20" t="inlineStr">
        <is>
          <t xml:space="preserve">true</t>
        </is>
      </c>
      <c r="E20" t="inlineStr">
        <is>
          <t xml:space="preserve">false</t>
        </is>
      </c>
      <c r="G20" t="inlineStr">
        <is>
          <t xml:space="preserve">1EW52J61V D D466 2025</t>
        </is>
      </c>
    </row>
    <row r="21">
      <c r="A21">
        <f>VLOOKUP(G21,MapaProductos!$A:$B,2,FALSE)</f>
      </c>
      <c r="B21">
        <f>Parametros!$B$2</f>
      </c>
      <c r="C21">
        <v>39400.0</v>
      </c>
      <c r="D21" t="inlineStr">
        <is>
          <t xml:space="preserve">true</t>
        </is>
      </c>
      <c r="E21" t="inlineStr">
        <is>
          <t xml:space="preserve">false</t>
        </is>
      </c>
      <c r="G21" t="inlineStr">
        <is>
          <t xml:space="preserve">1EW52J61V D D579 2025</t>
        </is>
      </c>
    </row>
    <row r="22">
      <c r="A22">
        <f>VLOOKUP(G22,MapaProductos!$A:$B,2,FALSE)</f>
      </c>
      <c r="B22">
        <f>Parametros!$B$2</f>
      </c>
      <c r="C22">
        <v>40400.0</v>
      </c>
      <c r="D22" t="inlineStr">
        <is>
          <t xml:space="preserve">true</t>
        </is>
      </c>
      <c r="E22" t="inlineStr">
        <is>
          <t xml:space="preserve">false</t>
        </is>
      </c>
      <c r="G22" t="inlineStr">
        <is>
          <t xml:space="preserve">1EW52J61V D D579 2026</t>
        </is>
      </c>
    </row>
    <row r="23">
      <c r="A23">
        <f>VLOOKUP(G23,MapaProductos!$A:$B,2,FALSE)</f>
      </c>
      <c r="B23">
        <f>Parametros!$B$2</f>
      </c>
      <c r="C23">
        <v>35400.0</v>
      </c>
      <c r="D23" t="inlineStr">
        <is>
          <t xml:space="preserve">true</t>
        </is>
      </c>
      <c r="E23" t="inlineStr">
        <is>
          <t xml:space="preserve">false</t>
        </is>
      </c>
      <c r="G23" t="inlineStr">
        <is>
          <t xml:space="preserve">1EW52J61V D D591 2025</t>
        </is>
      </c>
    </row>
    <row r="24">
      <c r="A24">
        <f>VLOOKUP(G24,MapaProductos!$A:$B,2,FALSE)</f>
      </c>
      <c r="B24">
        <f>Parametros!$B$2</f>
      </c>
      <c r="C24">
        <v>45600.0</v>
      </c>
      <c r="D24" t="inlineStr">
        <is>
          <t xml:space="preserve">true</t>
        </is>
      </c>
      <c r="E24" t="inlineStr">
        <is>
          <t xml:space="preserve">false</t>
        </is>
      </c>
      <c r="G24" t="inlineStr">
        <is>
          <t xml:space="preserve">1EW5D5G1K D D467 2025</t>
        </is>
      </c>
    </row>
    <row r="25">
      <c r="A25">
        <f>VLOOKUP(G25,MapaProductos!$A:$B,2,FALSE)</f>
      </c>
      <c r="B25">
        <f>Parametros!$B$2</f>
      </c>
      <c r="C25">
        <v>42500.0</v>
      </c>
      <c r="D25" t="inlineStr">
        <is>
          <t xml:space="preserve">true</t>
        </is>
      </c>
      <c r="E25" t="inlineStr">
        <is>
          <t xml:space="preserve">false</t>
        </is>
      </c>
      <c r="G25" t="inlineStr">
        <is>
          <t xml:space="preserve">1EW5D5G1K D D468. 2025</t>
        </is>
      </c>
    </row>
    <row r="26">
      <c r="A26">
        <f>VLOOKUP(G26,MapaProductos!$A:$B,2,FALSE)</f>
      </c>
      <c r="B26">
        <f>Parametros!$B$2</f>
      </c>
      <c r="C26">
        <v>48600.0</v>
      </c>
      <c r="D26" t="inlineStr">
        <is>
          <t xml:space="preserve">true</t>
        </is>
      </c>
      <c r="E26" t="inlineStr">
        <is>
          <t xml:space="preserve">false</t>
        </is>
      </c>
      <c r="G26" t="inlineStr">
        <is>
          <t xml:space="preserve">1EW5D5G1K D D690. 2026</t>
        </is>
      </c>
    </row>
    <row r="27">
      <c r="A27">
        <f>VLOOKUP(G27,MapaProductos!$A:$B,2,FALSE)</f>
      </c>
      <c r="B27">
        <f>Parametros!$B$2</f>
      </c>
      <c r="C27">
        <v>43500.0</v>
      </c>
      <c r="D27" t="inlineStr">
        <is>
          <t xml:space="preserve">true</t>
        </is>
      </c>
      <c r="E27" t="inlineStr">
        <is>
          <t xml:space="preserve">false</t>
        </is>
      </c>
      <c r="G27" t="inlineStr">
        <is>
          <t xml:space="preserve">1EW5D5G1K D D691. 2025</t>
        </is>
      </c>
    </row>
    <row r="28">
      <c r="A28">
        <f>VLOOKUP(G28,MapaProductos!$A:$B,2,FALSE)</f>
      </c>
      <c r="B28">
        <f>Parametros!$B$2</f>
      </c>
      <c r="C28">
        <v>57200.0</v>
      </c>
      <c r="D28" t="inlineStr">
        <is>
          <t xml:space="preserve">true</t>
        </is>
      </c>
      <c r="E28" t="inlineStr">
        <is>
          <t xml:space="preserve">false</t>
        </is>
      </c>
      <c r="G28" t="inlineStr">
        <is>
          <t xml:space="preserve">1FW5ZHZ7Z D D106 2024</t>
        </is>
      </c>
    </row>
    <row r="29">
      <c r="A29">
        <f>VLOOKUP(G29,MapaProductos!$A:$B,2,FALSE)</f>
      </c>
      <c r="B29">
        <f>Parametros!$B$2</f>
      </c>
      <c r="C29">
        <v>59100.0</v>
      </c>
      <c r="D29" t="inlineStr">
        <is>
          <t xml:space="preserve">true</t>
        </is>
      </c>
      <c r="E29" t="inlineStr">
        <is>
          <t xml:space="preserve">false</t>
        </is>
      </c>
      <c r="G29" t="inlineStr">
        <is>
          <t xml:space="preserve">1FW5ZHZ7Z D D123 2025</t>
        </is>
      </c>
    </row>
    <row r="30">
      <c r="A30">
        <f>VLOOKUP(G30,MapaProductos!$A:$B,2,FALSE)</f>
      </c>
      <c r="B30">
        <f>Parametros!$B$2</f>
      </c>
      <c r="C30">
        <v>48800.0</v>
      </c>
      <c r="D30" t="inlineStr">
        <is>
          <t xml:space="preserve">true</t>
        </is>
      </c>
      <c r="E30" t="inlineStr">
        <is>
          <t xml:space="preserve">false</t>
        </is>
      </c>
      <c r="G30" t="inlineStr">
        <is>
          <t xml:space="preserve">1FW5ZHZ7Z D D137 2025</t>
        </is>
      </c>
    </row>
    <row r="31">
      <c r="A31">
        <f>VLOOKUP(G31,MapaProductos!$A:$B,2,FALSE)</f>
      </c>
      <c r="B31">
        <f>Parametros!$B$2</f>
      </c>
      <c r="C31">
        <v>59100.0</v>
      </c>
      <c r="D31" t="inlineStr">
        <is>
          <t xml:space="preserve">true</t>
        </is>
      </c>
      <c r="E31" t="inlineStr">
        <is>
          <t xml:space="preserve">false</t>
        </is>
      </c>
      <c r="G31" t="inlineStr">
        <is>
          <t xml:space="preserve">1FW5ZHZ7Z D D202 2025</t>
        </is>
      </c>
    </row>
    <row r="32">
      <c r="A32">
        <f>VLOOKUP(G32,MapaProductos!$A:$B,2,FALSE)</f>
      </c>
      <c r="B32">
        <f>Parametros!$B$2</f>
      </c>
      <c r="C32">
        <v>48800.0</v>
      </c>
      <c r="D32" t="inlineStr">
        <is>
          <t xml:space="preserve">true</t>
        </is>
      </c>
      <c r="E32" t="inlineStr">
        <is>
          <t xml:space="preserve">false</t>
        </is>
      </c>
      <c r="G32" t="inlineStr">
        <is>
          <t xml:space="preserve">1FW5ZHZ7Z D D232 2025</t>
        </is>
      </c>
    </row>
    <row r="33">
      <c r="A33">
        <f>VLOOKUP(G33,MapaProductos!$A:$B,2,FALSE)</f>
      </c>
      <c r="B33">
        <f>Parametros!$B$2</f>
      </c>
      <c r="C33">
        <v>59100.0</v>
      </c>
      <c r="D33" t="inlineStr">
        <is>
          <t xml:space="preserve">true</t>
        </is>
      </c>
      <c r="E33" t="inlineStr">
        <is>
          <t xml:space="preserve">false</t>
        </is>
      </c>
      <c r="G33" t="inlineStr">
        <is>
          <t xml:space="preserve">1FW5ZHZ7Z D D259 2025</t>
        </is>
      </c>
    </row>
    <row r="34">
      <c r="A34">
        <f>VLOOKUP(G34,MapaProductos!$A:$B,2,FALSE)</f>
      </c>
      <c r="B34">
        <f>Parametros!$B$2</f>
      </c>
      <c r="C34">
        <v>59100.0</v>
      </c>
      <c r="D34" t="inlineStr">
        <is>
          <t xml:space="preserve">true</t>
        </is>
      </c>
      <c r="E34" t="inlineStr">
        <is>
          <t xml:space="preserve">false</t>
        </is>
      </c>
      <c r="G34" t="inlineStr">
        <is>
          <t xml:space="preserve">1FW5ZHZ7Z D D259 2026</t>
        </is>
      </c>
    </row>
    <row r="35">
      <c r="A35">
        <f>VLOOKUP(G35,MapaProductos!$A:$B,2,FALSE)</f>
      </c>
      <c r="B35">
        <f>Parametros!$B$2</f>
      </c>
      <c r="C35">
        <v>22500.0</v>
      </c>
      <c r="D35" t="inlineStr">
        <is>
          <t xml:space="preserve">true</t>
        </is>
      </c>
      <c r="E35" t="inlineStr">
        <is>
          <t xml:space="preserve">false</t>
        </is>
      </c>
      <c r="G35" t="inlineStr">
        <is>
          <t xml:space="preserve">1HH26AC-B 2025</t>
        </is>
      </c>
    </row>
    <row r="36">
      <c r="A36">
        <f>VLOOKUP(G36,MapaProductos!$A:$B,2,FALSE)</f>
      </c>
      <c r="B36">
        <f>Parametros!$B$2</f>
      </c>
      <c r="C36">
        <v>22500.0</v>
      </c>
      <c r="D36" t="inlineStr">
        <is>
          <t xml:space="preserve">true</t>
        </is>
      </c>
      <c r="E36" t="inlineStr">
        <is>
          <t xml:space="preserve">false</t>
        </is>
      </c>
      <c r="G36" t="inlineStr">
        <is>
          <t xml:space="preserve">1HH26AC-B 2026</t>
        </is>
      </c>
    </row>
    <row r="37">
      <c r="A37">
        <f>VLOOKUP(G37,MapaProductos!$A:$B,2,FALSE)</f>
      </c>
      <c r="B37">
        <f>Parametros!$B$2</f>
      </c>
      <c r="C37">
        <v>84500.0</v>
      </c>
      <c r="D37" t="inlineStr">
        <is>
          <t xml:space="preserve">true</t>
        </is>
      </c>
      <c r="E37" t="inlineStr">
        <is>
          <t xml:space="preserve">false</t>
        </is>
      </c>
      <c r="G37" t="inlineStr">
        <is>
          <t xml:space="preserve">1LB56-D 2025</t>
        </is>
      </c>
    </row>
    <row r="38">
      <c r="A38">
        <f>VLOOKUP(G38,MapaProductos!$A:$B,2,FALSE)</f>
      </c>
      <c r="B38">
        <f>Parametros!$B$2</f>
      </c>
      <c r="C38">
        <v>86500.0</v>
      </c>
      <c r="D38" t="inlineStr">
        <is>
          <t xml:space="preserve">true</t>
        </is>
      </c>
      <c r="E38" t="inlineStr">
        <is>
          <t xml:space="preserve">false</t>
        </is>
      </c>
      <c r="G38" t="inlineStr">
        <is>
          <t xml:space="preserve">1LB56-D 2026</t>
        </is>
      </c>
    </row>
    <row r="39">
      <c r="A39">
        <f>VLOOKUP(G39,MapaProductos!$A:$B,2,FALSE)</f>
      </c>
      <c r="B39">
        <f>Parametros!$B$2</f>
      </c>
      <c r="C39">
        <v>67900.0</v>
      </c>
      <c r="D39" t="inlineStr">
        <is>
          <t xml:space="preserve">true</t>
        </is>
      </c>
      <c r="E39" t="inlineStr">
        <is>
          <t xml:space="preserve">false</t>
        </is>
      </c>
      <c r="G39" t="inlineStr">
        <is>
          <t xml:space="preserve">1NR26-D 2023</t>
        </is>
      </c>
    </row>
    <row r="40">
      <c r="A40">
        <f>VLOOKUP(G40,MapaProductos!$A:$B,2,FALSE)</f>
      </c>
      <c r="B40">
        <f>Parametros!$B$2</f>
      </c>
      <c r="C40">
        <v>74900.0</v>
      </c>
      <c r="D40" t="inlineStr">
        <is>
          <t xml:space="preserve">true</t>
        </is>
      </c>
      <c r="E40" t="inlineStr">
        <is>
          <t xml:space="preserve">false</t>
        </is>
      </c>
      <c r="G40" t="inlineStr">
        <is>
          <t xml:space="preserve">1NS26-G 2024</t>
        </is>
      </c>
    </row>
    <row r="41">
      <c r="A41">
        <f>VLOOKUP(G41,MapaProductos!$A:$B,2,FALSE)</f>
      </c>
      <c r="B41">
        <f>Parametros!$B$2</f>
      </c>
      <c r="C41">
        <v>37900.0</v>
      </c>
      <c r="D41" t="inlineStr">
        <is>
          <t xml:space="preserve">true</t>
        </is>
      </c>
      <c r="E41" t="inlineStr">
        <is>
          <t xml:space="preserve">false</t>
        </is>
      </c>
      <c r="G41" t="inlineStr">
        <is>
          <t xml:space="preserve">1SD26-B 2025</t>
        </is>
      </c>
    </row>
    <row r="42">
      <c r="A42">
        <f>VLOOKUP(G42,MapaProductos!$A:$B,2,FALSE)</f>
      </c>
      <c r="B42">
        <f>Parametros!$B$2</f>
      </c>
      <c r="C42">
        <v>37900.0</v>
      </c>
      <c r="D42" t="inlineStr">
        <is>
          <t xml:space="preserve">true</t>
        </is>
      </c>
      <c r="E42" t="inlineStr">
        <is>
          <t xml:space="preserve">false</t>
        </is>
      </c>
      <c r="G42" t="inlineStr">
        <is>
          <t xml:space="preserve">1SD26-B 2026</t>
        </is>
      </c>
    </row>
    <row r="43">
      <c r="A43">
        <f>VLOOKUP(G43,MapaProductos!$A:$B,2,FALSE)</f>
      </c>
      <c r="B43">
        <f>Parametros!$B$2</f>
      </c>
      <c r="C43">
        <v>42000.0</v>
      </c>
      <c r="D43" t="inlineStr">
        <is>
          <t xml:space="preserve">true</t>
        </is>
      </c>
      <c r="E43" t="inlineStr">
        <is>
          <t xml:space="preserve">false</t>
        </is>
      </c>
      <c r="G43" t="inlineStr">
        <is>
          <t xml:space="preserve">1SE26-C 2025</t>
        </is>
      </c>
    </row>
    <row r="44">
      <c r="A44">
        <f>VLOOKUP(G44,MapaProductos!$A:$B,2,FALSE)</f>
      </c>
      <c r="B44">
        <f>Parametros!$B$2</f>
      </c>
      <c r="C44">
        <v>41500.0</v>
      </c>
      <c r="D44" t="inlineStr">
        <is>
          <t xml:space="preserve">true</t>
        </is>
      </c>
      <c r="E44" t="inlineStr">
        <is>
          <t xml:space="preserve">false</t>
        </is>
      </c>
      <c r="G44" t="inlineStr">
        <is>
          <t xml:space="preserve">1TU58-B 2024</t>
        </is>
      </c>
    </row>
    <row r="45">
      <c r="A45">
        <f>VLOOKUP(G45,MapaProductos!$A:$B,2,FALSE)</f>
      </c>
      <c r="B45">
        <f>Parametros!$B$2</f>
      </c>
      <c r="C45">
        <v>38900.0</v>
      </c>
      <c r="D45" t="inlineStr">
        <is>
          <t xml:space="preserve">true</t>
        </is>
      </c>
      <c r="E45" t="inlineStr">
        <is>
          <t xml:space="preserve">false</t>
        </is>
      </c>
      <c r="G45" t="inlineStr">
        <is>
          <t xml:space="preserve">1TU58-B 2025</t>
        </is>
      </c>
    </row>
    <row r="46">
      <c r="A46">
        <f>VLOOKUP(G46,MapaProductos!$A:$B,2,FALSE)</f>
      </c>
      <c r="B46">
        <f>Parametros!$B$2</f>
      </c>
      <c r="C46">
        <v>44500.0</v>
      </c>
      <c r="D46" t="inlineStr">
        <is>
          <t xml:space="preserve">true</t>
        </is>
      </c>
      <c r="E46" t="inlineStr">
        <is>
          <t xml:space="preserve">false</t>
        </is>
      </c>
      <c r="G46" t="inlineStr">
        <is>
          <t xml:space="preserve">1TU58-C 2025</t>
        </is>
      </c>
    </row>
    <row r="47">
      <c r="A47">
        <f>VLOOKUP(G47,MapaProductos!$A:$B,2,FALSE)</f>
      </c>
      <c r="B47">
        <f>Parametros!$B$2</f>
      </c>
      <c r="C47">
        <v>41500.0</v>
      </c>
      <c r="D47" t="inlineStr">
        <is>
          <t xml:space="preserve">true</t>
        </is>
      </c>
      <c r="E47" t="inlineStr">
        <is>
          <t xml:space="preserve">false</t>
        </is>
      </c>
      <c r="G47" t="inlineStr">
        <is>
          <t xml:space="preserve">1TU58-C 2026</t>
        </is>
      </c>
    </row>
    <row r="48">
      <c r="A48">
        <f>VLOOKUP(G48,MapaProductos!$A:$B,2,FALSE)</f>
      </c>
      <c r="B48">
        <f>Parametros!$B$2</f>
      </c>
      <c r="C48">
        <v>23900.0</v>
      </c>
      <c r="D48" t="inlineStr">
        <is>
          <t xml:space="preserve">true</t>
        </is>
      </c>
      <c r="E48" t="inlineStr">
        <is>
          <t xml:space="preserve">false</t>
        </is>
      </c>
      <c r="G48" t="inlineStr">
        <is>
          <t xml:space="preserve">1VC26-A 2026</t>
        </is>
      </c>
    </row>
    <row r="49">
      <c r="A49">
        <f>VLOOKUP(G49,MapaProductos!$A:$B,2,FALSE)</f>
      </c>
      <c r="B49">
        <f>Parametros!$B$2</f>
      </c>
      <c r="C49">
        <v>24900.0</v>
      </c>
      <c r="D49" t="inlineStr">
        <is>
          <t xml:space="preserve">true</t>
        </is>
      </c>
      <c r="E49" t="inlineStr">
        <is>
          <t xml:space="preserve">false</t>
        </is>
      </c>
      <c r="G49" t="inlineStr">
        <is>
          <t xml:space="preserve">1VC26-B 2026</t>
        </is>
      </c>
    </row>
    <row r="50">
      <c r="A50">
        <f>VLOOKUP(G50,MapaProductos!$A:$B,2,FALSE)</f>
      </c>
      <c r="B50">
        <f>Parametros!$B$2</f>
      </c>
      <c r="C50">
        <v>26900.0</v>
      </c>
      <c r="D50" t="inlineStr">
        <is>
          <t xml:space="preserve">true</t>
        </is>
      </c>
      <c r="E50" t="inlineStr">
        <is>
          <t xml:space="preserve">false</t>
        </is>
      </c>
      <c r="G50" t="inlineStr">
        <is>
          <t xml:space="preserve">1VD26-C 2026</t>
        </is>
      </c>
    </row>
    <row r="51">
      <c r="A51">
        <f>VLOOKUP(G51,MapaProductos!$A:$B,2,FALSE)</f>
      </c>
      <c r="B51">
        <f>Parametros!$B$2</f>
      </c>
      <c r="C51">
        <v>24500.0</v>
      </c>
      <c r="D51" t="inlineStr">
        <is>
          <t xml:space="preserve">true</t>
        </is>
      </c>
      <c r="E51" t="inlineStr">
        <is>
          <t xml:space="preserve">false</t>
        </is>
      </c>
      <c r="G51" t="inlineStr">
        <is>
          <t xml:space="preserve">1VD48-C 2026</t>
        </is>
      </c>
    </row>
    <row r="52">
      <c r="A52">
        <f>VLOOKUP(G52,MapaProductos!$A:$B,2,FALSE)</f>
      </c>
      <c r="B52">
        <f>Parametros!$B$2</f>
      </c>
      <c r="C52">
        <v>27900.0</v>
      </c>
      <c r="D52" t="inlineStr">
        <is>
          <t xml:space="preserve">true</t>
        </is>
      </c>
      <c r="E52" t="inlineStr">
        <is>
          <t xml:space="preserve">false</t>
        </is>
      </c>
      <c r="G52" t="inlineStr">
        <is>
          <t xml:space="preserve">1XE26-E 2025</t>
        </is>
      </c>
    </row>
    <row r="53">
      <c r="A53">
        <f>VLOOKUP(G53,MapaProductos!$A:$B,2,FALSE)</f>
      </c>
      <c r="B53">
        <f>Parametros!$B$2</f>
      </c>
      <c r="C53">
        <v>29900.0</v>
      </c>
      <c r="D53" t="inlineStr">
        <is>
          <t xml:space="preserve">true</t>
        </is>
      </c>
      <c r="E53" t="inlineStr">
        <is>
          <t xml:space="preserve">false</t>
        </is>
      </c>
      <c r="G53" t="inlineStr">
        <is>
          <t xml:space="preserve">1XT26-F 2025</t>
        </is>
      </c>
    </row>
    <row r="54">
      <c r="A54">
        <f>VLOOKUP(G54,MapaProductos!$A:$B,2,FALSE)</f>
      </c>
      <c r="B54">
        <f>Parametros!$B$2</f>
      </c>
      <c r="C54">
        <v>192900.0</v>
      </c>
      <c r="D54" t="inlineStr">
        <is>
          <t xml:space="preserve">true</t>
        </is>
      </c>
      <c r="E54" t="inlineStr">
        <is>
          <t xml:space="preserve">false</t>
        </is>
      </c>
      <c r="G54" t="inlineStr">
        <is>
          <t xml:space="preserve">1YC07-A 2026</t>
        </is>
      </c>
    </row>
    <row r="55">
      <c r="A55">
        <f>VLOOKUP(G55,MapaProductos!$A:$B,2,FALSE)</f>
      </c>
      <c r="B55">
        <f>Parametros!$B$2</f>
      </c>
      <c r="C55">
        <v>199900.0</v>
      </c>
      <c r="D55" t="inlineStr">
        <is>
          <t xml:space="preserve">true</t>
        </is>
      </c>
      <c r="E55" t="inlineStr">
        <is>
          <t xml:space="preserve">false</t>
        </is>
      </c>
      <c r="G55" t="inlineStr">
        <is>
          <t xml:space="preserve">1YC67-B 2026</t>
        </is>
      </c>
    </row>
    <row r="56">
      <c r="A56">
        <f>VLOOKUP(G56,MapaProductos!$A:$B,2,FALSE)</f>
      </c>
      <c r="B56">
        <f>Parametros!$B$2</f>
      </c>
      <c r="C56">
        <v>67850.0</v>
      </c>
      <c r="D56" t="inlineStr">
        <is>
          <t xml:space="preserve">true</t>
        </is>
      </c>
      <c r="E56" t="inlineStr">
        <is>
          <t xml:space="preserve">false</t>
        </is>
      </c>
      <c r="G56" t="inlineStr">
        <is>
          <t xml:space="preserve">6HW7L9A1K D D211 2026</t>
        </is>
      </c>
    </row>
    <row r="57">
      <c r="A57">
        <f>VLOOKUP(G57,MapaProductos!$A:$B,2,FALSE)</f>
      </c>
      <c r="B57">
        <f>Parametros!$B$2</f>
      </c>
      <c r="C57">
        <v>60750.0</v>
      </c>
      <c r="D57" t="inlineStr">
        <is>
          <t xml:space="preserve">true</t>
        </is>
      </c>
      <c r="E57" t="inlineStr">
        <is>
          <t xml:space="preserve">false</t>
        </is>
      </c>
      <c r="G57" t="inlineStr">
        <is>
          <t xml:space="preserve">6HW7L9A1K D D217 2026</t>
        </is>
      </c>
    </row>
    <row r="58">
      <c r="A58">
        <f>VLOOKUP(G58,MapaProductos!$A:$B,2,FALSE)</f>
      </c>
      <c r="B58">
        <f>Parametros!$B$2</f>
      </c>
      <c r="C58">
        <v>195900.0</v>
      </c>
      <c r="D58" t="inlineStr">
        <is>
          <t xml:space="preserve">true</t>
        </is>
      </c>
      <c r="E58" t="inlineStr">
        <is>
          <t xml:space="preserve">false</t>
        </is>
      </c>
      <c r="G58" t="inlineStr">
        <is>
          <t xml:space="preserve">6K10706-A 2026</t>
        </is>
      </c>
    </row>
    <row r="59">
      <c r="A59">
        <f>VLOOKUP(G59,MapaProductos!$A:$B,2,FALSE)</f>
      </c>
      <c r="B59">
        <f>Parametros!$B$2</f>
      </c>
      <c r="C59">
        <v>183900.0</v>
      </c>
      <c r="D59" t="inlineStr">
        <is>
          <t xml:space="preserve">true</t>
        </is>
      </c>
      <c r="E59" t="inlineStr">
        <is>
          <t xml:space="preserve">false</t>
        </is>
      </c>
      <c r="G59" t="inlineStr">
        <is>
          <t xml:space="preserve">6K10706-B 2024</t>
        </is>
      </c>
    </row>
    <row r="60">
      <c r="A60">
        <f>VLOOKUP(G60,MapaProductos!$A:$B,2,FALSE)</f>
      </c>
      <c r="B60">
        <f>Parametros!$B$2</f>
      </c>
      <c r="C60">
        <v>193900.0</v>
      </c>
      <c r="D60" t="inlineStr">
        <is>
          <t xml:space="preserve">true</t>
        </is>
      </c>
      <c r="E60" t="inlineStr">
        <is>
          <t xml:space="preserve">false</t>
        </is>
      </c>
      <c r="G60" t="inlineStr">
        <is>
          <t xml:space="preserve">6K10706-B 2025</t>
        </is>
      </c>
    </row>
    <row r="61">
      <c r="A61">
        <f>VLOOKUP(G61,MapaProductos!$A:$B,2,FALSE)</f>
      </c>
      <c r="B61">
        <f>Parametros!$B$2</f>
      </c>
      <c r="C61">
        <v>195900.0</v>
      </c>
      <c r="D61" t="inlineStr">
        <is>
          <t xml:space="preserve">true</t>
        </is>
      </c>
      <c r="E61" t="inlineStr">
        <is>
          <t xml:space="preserve">false</t>
        </is>
      </c>
      <c r="G61" t="inlineStr">
        <is>
          <t xml:space="preserve">6K10706-L 2026</t>
        </is>
      </c>
    </row>
    <row r="62">
      <c r="A62">
        <f>VLOOKUP(G62,MapaProductos!$A:$B,2,FALSE)</f>
      </c>
      <c r="B62">
        <f>Parametros!$B$2</f>
      </c>
      <c r="C62">
        <v>199900.0</v>
      </c>
      <c r="D62" t="inlineStr">
        <is>
          <t xml:space="preserve">true</t>
        </is>
      </c>
      <c r="E62" t="inlineStr">
        <is>
          <t xml:space="preserve">false</t>
        </is>
      </c>
      <c r="G62" t="inlineStr">
        <is>
          <t xml:space="preserve">6K10906-A 2026</t>
        </is>
      </c>
    </row>
    <row r="63">
      <c r="A63">
        <f>VLOOKUP(G63,MapaProductos!$A:$B,2,FALSE)</f>
      </c>
      <c r="B63">
        <f>Parametros!$B$2</f>
      </c>
      <c r="C63">
        <v>198900.0</v>
      </c>
      <c r="D63" t="inlineStr">
        <is>
          <t xml:space="preserve">true</t>
        </is>
      </c>
      <c r="E63" t="inlineStr">
        <is>
          <t xml:space="preserve">false</t>
        </is>
      </c>
      <c r="G63" t="inlineStr">
        <is>
          <t xml:space="preserve">6K10906-B 2025</t>
        </is>
      </c>
    </row>
    <row r="64">
      <c r="A64">
        <f>VLOOKUP(G64,MapaProductos!$A:$B,2,FALSE)</f>
      </c>
      <c r="B64">
        <f>Parametros!$B$2</f>
      </c>
      <c r="C64">
        <v>105000.0</v>
      </c>
      <c r="D64" t="inlineStr">
        <is>
          <t xml:space="preserve">true</t>
        </is>
      </c>
      <c r="E64" t="inlineStr">
        <is>
          <t xml:space="preserve">false</t>
        </is>
      </c>
      <c r="G64" t="inlineStr">
        <is>
          <t xml:space="preserve">6MC26-F 2025</t>
        </is>
      </c>
    </row>
    <row r="65">
      <c r="A65">
        <f>VLOOKUP(G65,MapaProductos!$A:$B,2,FALSE)</f>
      </c>
      <c r="B65">
        <f>Parametros!$B$2</f>
      </c>
      <c r="C65">
        <v>160000.0</v>
      </c>
      <c r="D65" t="inlineStr">
        <is>
          <t xml:space="preserve">true</t>
        </is>
      </c>
      <c r="E65" t="inlineStr">
        <is>
          <t xml:space="preserve">false</t>
        </is>
      </c>
      <c r="G65" t="inlineStr">
        <is>
          <t xml:space="preserve">6MD26-V 2026</t>
        </is>
      </c>
    </row>
    <row r="66">
      <c r="A66">
        <f>VLOOKUP(G66,MapaProductos!$A:$B,2,FALSE)</f>
      </c>
      <c r="B66">
        <f>Parametros!$B$2</f>
      </c>
      <c r="C66">
        <v>79900.0</v>
      </c>
      <c r="D66" t="inlineStr">
        <is>
          <t xml:space="preserve">true</t>
        </is>
      </c>
      <c r="E66" t="inlineStr">
        <is>
          <t xml:space="preserve">false</t>
        </is>
      </c>
      <c r="G66" t="inlineStr">
        <is>
          <t xml:space="preserve">6NJ26-F 2024</t>
        </is>
      </c>
    </row>
    <row r="67">
      <c r="A67">
        <f>VLOOKUP(G67,MapaProductos!$A:$B,2,FALSE)</f>
      </c>
      <c r="B67">
        <f>Parametros!$B$2</f>
      </c>
      <c r="C67">
        <v>73900.0</v>
      </c>
      <c r="D67" t="inlineStr">
        <is>
          <t xml:space="preserve">true</t>
        </is>
      </c>
      <c r="E67" t="inlineStr">
        <is>
          <t xml:space="preserve">false</t>
        </is>
      </c>
      <c r="G67" t="inlineStr">
        <is>
          <t xml:space="preserve">6ZE26-F 2024</t>
        </is>
      </c>
    </row>
    <row r="68">
      <c r="A68">
        <f>VLOOKUP(G68,MapaProductos!$A:$B,2,FALSE)</f>
      </c>
      <c r="B68">
        <f>Parametros!$B$2</f>
      </c>
      <c r="C68">
        <v>86900.0</v>
      </c>
      <c r="D68" t="inlineStr">
        <is>
          <t xml:space="preserve">true</t>
        </is>
      </c>
      <c r="E68" t="inlineStr">
        <is>
          <t xml:space="preserve">false</t>
        </is>
      </c>
      <c r="G68" t="inlineStr">
        <is>
          <t xml:space="preserve">CK10543-B 2026</t>
        </is>
      </c>
    </row>
    <row r="69">
      <c r="A69">
        <f>VLOOKUP(G69,MapaProductos!$A:$B,2,FALSE)</f>
      </c>
      <c r="B69">
        <f>Parametros!$B$2</f>
      </c>
      <c r="C69">
        <v>94500.0</v>
      </c>
      <c r="D69" t="inlineStr">
        <is>
          <t xml:space="preserve">true</t>
        </is>
      </c>
      <c r="E69" t="inlineStr">
        <is>
          <t xml:space="preserve">false</t>
        </is>
      </c>
      <c r="G69" t="inlineStr">
        <is>
          <t xml:space="preserve">CK10543-D. 2024</t>
        </is>
      </c>
    </row>
    <row r="70">
      <c r="A70">
        <f>VLOOKUP(G70,MapaProductos!$A:$B,2,FALSE)</f>
      </c>
      <c r="B70">
        <f>Parametros!$B$2</f>
      </c>
      <c r="C70">
        <v>94500.0</v>
      </c>
      <c r="D70" t="inlineStr">
        <is>
          <t xml:space="preserve">true</t>
        </is>
      </c>
      <c r="E70" t="inlineStr">
        <is>
          <t xml:space="preserve">false</t>
        </is>
      </c>
      <c r="G70" t="inlineStr">
        <is>
          <t xml:space="preserve">CK10543-D. 2025</t>
        </is>
      </c>
    </row>
    <row r="71">
      <c r="A71">
        <f>VLOOKUP(G71,MapaProductos!$A:$B,2,FALSE)</f>
      </c>
      <c r="B71">
        <f>Parametros!$B$2</f>
      </c>
      <c r="C71">
        <v>96900.0</v>
      </c>
      <c r="D71" t="inlineStr">
        <is>
          <t xml:space="preserve">true</t>
        </is>
      </c>
      <c r="E71" t="inlineStr">
        <is>
          <t xml:space="preserve">false</t>
        </is>
      </c>
      <c r="G71" t="inlineStr">
        <is>
          <t xml:space="preserve">CK10543-D. 2026</t>
        </is>
      </c>
    </row>
    <row r="72">
      <c r="A72">
        <f>VLOOKUP(G72,MapaProductos!$A:$B,2,FALSE)</f>
      </c>
      <c r="B72">
        <f>Parametros!$B$2</f>
      </c>
      <c r="C72">
        <v>100900.0</v>
      </c>
      <c r="D72" t="inlineStr">
        <is>
          <t xml:space="preserve">true</t>
        </is>
      </c>
      <c r="E72" t="inlineStr">
        <is>
          <t xml:space="preserve">false</t>
        </is>
      </c>
      <c r="G72" t="inlineStr">
        <is>
          <t xml:space="preserve">CK10543-G 2025</t>
        </is>
      </c>
    </row>
    <row r="73">
      <c r="A73">
        <f>VLOOKUP(G73,MapaProductos!$A:$B,2,FALSE)</f>
      </c>
      <c r="B73">
        <f>Parametros!$B$2</f>
      </c>
      <c r="C73">
        <v>102900.0</v>
      </c>
      <c r="D73" t="inlineStr">
        <is>
          <t xml:space="preserve">true</t>
        </is>
      </c>
      <c r="E73" t="inlineStr">
        <is>
          <t xml:space="preserve">false</t>
        </is>
      </c>
      <c r="G73" t="inlineStr">
        <is>
          <t xml:space="preserve">CK10543-G 2026</t>
        </is>
      </c>
    </row>
    <row r="74">
      <c r="A74">
        <f>VLOOKUP(G74,MapaProductos!$A:$B,2,FALSE)</f>
      </c>
      <c r="B74">
        <f>Parametros!$B$2</f>
      </c>
      <c r="C74">
        <v>88500.0</v>
      </c>
      <c r="D74" t="inlineStr">
        <is>
          <t xml:space="preserve">true</t>
        </is>
      </c>
      <c r="E74" t="inlineStr">
        <is>
          <t xml:space="preserve">false</t>
        </is>
      </c>
      <c r="G74" t="inlineStr">
        <is>
          <t xml:space="preserve">CK10543-P 2025</t>
        </is>
      </c>
    </row>
    <row r="75">
      <c r="A75">
        <f>VLOOKUP(G75,MapaProductos!$A:$B,2,FALSE)</f>
      </c>
      <c r="B75">
        <f>Parametros!$B$2</f>
      </c>
      <c r="C75">
        <v>90500.0</v>
      </c>
      <c r="D75" t="inlineStr">
        <is>
          <t xml:space="preserve">true</t>
        </is>
      </c>
      <c r="E75" t="inlineStr">
        <is>
          <t xml:space="preserve">false</t>
        </is>
      </c>
      <c r="G75" t="inlineStr">
        <is>
          <t xml:space="preserve">CK10543-P 2026</t>
        </is>
      </c>
    </row>
    <row r="76">
      <c r="A76">
        <f>VLOOKUP(G76,MapaProductos!$A:$B,2,FALSE)</f>
      </c>
      <c r="B76">
        <f>Parametros!$B$2</f>
      </c>
      <c r="C76">
        <v>105500.0</v>
      </c>
      <c r="D76" t="inlineStr">
        <is>
          <t xml:space="preserve">true</t>
        </is>
      </c>
      <c r="E76" t="inlineStr">
        <is>
          <t xml:space="preserve">false</t>
        </is>
      </c>
      <c r="G76" t="inlineStr">
        <is>
          <t xml:space="preserve">CK10543-Q 2025</t>
        </is>
      </c>
    </row>
    <row r="77">
      <c r="A77">
        <f>VLOOKUP(G77,MapaProductos!$A:$B,2,FALSE)</f>
      </c>
      <c r="B77">
        <f>Parametros!$B$2</f>
      </c>
      <c r="C77">
        <v>107900.0</v>
      </c>
      <c r="D77" t="inlineStr">
        <is>
          <t xml:space="preserve">true</t>
        </is>
      </c>
      <c r="E77" t="inlineStr">
        <is>
          <t xml:space="preserve">false</t>
        </is>
      </c>
      <c r="G77" t="inlineStr">
        <is>
          <t xml:space="preserve">CK10543-Q 2026</t>
        </is>
      </c>
    </row>
    <row r="78">
      <c r="A78">
        <f>VLOOKUP(G78,MapaProductos!$A:$B,2,FALSE)</f>
      </c>
      <c r="B78">
        <f>Parametros!$B$2</f>
      </c>
      <c r="C78">
        <v>107900.0</v>
      </c>
      <c r="D78" t="inlineStr">
        <is>
          <t xml:space="preserve">true</t>
        </is>
      </c>
      <c r="E78" t="inlineStr">
        <is>
          <t xml:space="preserve">false</t>
        </is>
      </c>
      <c r="G78" t="inlineStr">
        <is>
          <t xml:space="preserve">CK10706-B 2025</t>
        </is>
      </c>
    </row>
    <row r="79">
      <c r="A79">
        <f>VLOOKUP(G79,MapaProductos!$A:$B,2,FALSE)</f>
      </c>
      <c r="B79">
        <f>Parametros!$B$2</f>
      </c>
      <c r="C79">
        <v>110900.0</v>
      </c>
      <c r="D79" t="inlineStr">
        <is>
          <t xml:space="preserve">true</t>
        </is>
      </c>
      <c r="E79" t="inlineStr">
        <is>
          <t xml:space="preserve">false</t>
        </is>
      </c>
      <c r="G79" t="inlineStr">
        <is>
          <t xml:space="preserve">CK10706-B 2026</t>
        </is>
      </c>
    </row>
    <row r="80">
      <c r="A80">
        <f>VLOOKUP(G80,MapaProductos!$A:$B,2,FALSE)</f>
      </c>
      <c r="B80">
        <f>Parametros!$B$2</f>
      </c>
      <c r="C80">
        <v>118900.0</v>
      </c>
      <c r="D80" t="inlineStr">
        <is>
          <t xml:space="preserve">true</t>
        </is>
      </c>
      <c r="E80" t="inlineStr">
        <is>
          <t xml:space="preserve">false</t>
        </is>
      </c>
      <c r="G80" t="inlineStr">
        <is>
          <t xml:space="preserve">CK10706-D 2026</t>
        </is>
      </c>
    </row>
    <row r="81">
      <c r="A81">
        <f>VLOOKUP(G81,MapaProductos!$A:$B,2,FALSE)</f>
      </c>
      <c r="B81">
        <f>Parametros!$B$2</f>
      </c>
      <c r="C81">
        <v>121900.0</v>
      </c>
      <c r="D81" t="inlineStr">
        <is>
          <t xml:space="preserve">true</t>
        </is>
      </c>
      <c r="E81" t="inlineStr">
        <is>
          <t xml:space="preserve">false</t>
        </is>
      </c>
      <c r="G81" t="inlineStr">
        <is>
          <t xml:space="preserve">CK10706-G 2026</t>
        </is>
      </c>
    </row>
    <row r="82">
      <c r="A82">
        <f>VLOOKUP(G82,MapaProductos!$A:$B,2,FALSE)</f>
      </c>
      <c r="B82">
        <f>Parametros!$B$2</f>
      </c>
      <c r="C82">
        <v>111900.0</v>
      </c>
      <c r="D82" t="inlineStr">
        <is>
          <t xml:space="preserve">true</t>
        </is>
      </c>
      <c r="E82" t="inlineStr">
        <is>
          <t xml:space="preserve">false</t>
        </is>
      </c>
      <c r="G82" t="inlineStr">
        <is>
          <t xml:space="preserve">CK10706-K 2025</t>
        </is>
      </c>
    </row>
    <row r="83">
      <c r="A83">
        <f>VLOOKUP(G83,MapaProductos!$A:$B,2,FALSE)</f>
      </c>
      <c r="B83">
        <f>Parametros!$B$2</f>
      </c>
      <c r="C83">
        <v>114900.0</v>
      </c>
      <c r="D83" t="inlineStr">
        <is>
          <t xml:space="preserve">true</t>
        </is>
      </c>
      <c r="E83" t="inlineStr">
        <is>
          <t xml:space="preserve">false</t>
        </is>
      </c>
      <c r="G83" t="inlineStr">
        <is>
          <t xml:space="preserve">CK10706-K 2026</t>
        </is>
      </c>
    </row>
    <row r="84">
      <c r="A84">
        <f>VLOOKUP(G84,MapaProductos!$A:$B,2,FALSE)</f>
      </c>
      <c r="B84">
        <f>Parametros!$B$2</f>
      </c>
      <c r="C84">
        <v>123900.0</v>
      </c>
      <c r="D84" t="inlineStr">
        <is>
          <t xml:space="preserve">true</t>
        </is>
      </c>
      <c r="E84" t="inlineStr">
        <is>
          <t xml:space="preserve">false</t>
        </is>
      </c>
      <c r="G84" t="inlineStr">
        <is>
          <t xml:space="preserve">CK10706-L 2025</t>
        </is>
      </c>
    </row>
    <row r="85">
      <c r="A85">
        <f>VLOOKUP(G85,MapaProductos!$A:$B,2,FALSE)</f>
      </c>
      <c r="B85">
        <f>Parametros!$B$2</f>
      </c>
      <c r="C85">
        <v>126900.0</v>
      </c>
      <c r="D85" t="inlineStr">
        <is>
          <t xml:space="preserve">true</t>
        </is>
      </c>
      <c r="E85" t="inlineStr">
        <is>
          <t xml:space="preserve">false</t>
        </is>
      </c>
      <c r="G85" t="inlineStr">
        <is>
          <t xml:space="preserve">CK10706-L 2026</t>
        </is>
      </c>
    </row>
    <row r="86">
      <c r="A86">
        <f>VLOOKUP(G86,MapaProductos!$A:$B,2,FALSE)</f>
      </c>
      <c r="B86">
        <f>Parametros!$B$2</f>
      </c>
      <c r="C86">
        <v>111900.0</v>
      </c>
      <c r="D86" t="inlineStr">
        <is>
          <t xml:space="preserve">true</t>
        </is>
      </c>
      <c r="E86" t="inlineStr">
        <is>
          <t xml:space="preserve">false</t>
        </is>
      </c>
      <c r="G86" t="inlineStr">
        <is>
          <t xml:space="preserve">CK10906-B 2026</t>
        </is>
      </c>
    </row>
    <row r="87">
      <c r="A87">
        <f>VLOOKUP(G87,MapaProductos!$A:$B,2,FALSE)</f>
      </c>
      <c r="B87">
        <f>Parametros!$B$2</f>
      </c>
      <c r="C87">
        <v>122900.0</v>
      </c>
      <c r="D87" t="inlineStr">
        <is>
          <t xml:space="preserve">true</t>
        </is>
      </c>
      <c r="E87" t="inlineStr">
        <is>
          <t xml:space="preserve">false</t>
        </is>
      </c>
      <c r="G87" t="inlineStr">
        <is>
          <t xml:space="preserve">CK10906-G 2026</t>
        </is>
      </c>
    </row>
    <row r="88">
      <c r="A88">
        <f>VLOOKUP(G88,MapaProductos!$A:$B,2,FALSE)</f>
      </c>
      <c r="B88">
        <f>Parametros!$B$2</f>
      </c>
      <c r="C88">
        <v>33900.0</v>
      </c>
      <c r="D88" t="inlineStr">
        <is>
          <t xml:space="preserve">true</t>
        </is>
      </c>
      <c r="E88" t="inlineStr">
        <is>
          <t xml:space="preserve">false</t>
        </is>
      </c>
      <c r="G88" t="inlineStr">
        <is>
          <t xml:space="preserve">D3W5D2G1U GGDQ3. 2026</t>
        </is>
      </c>
    </row>
    <row r="89">
      <c r="A89">
        <f>VLOOKUP(G89,MapaProductos!$A:$B,2,FALSE)</f>
      </c>
      <c r="B89">
        <f>Parametros!$B$2</f>
      </c>
      <c r="C89">
        <v>42590.0</v>
      </c>
      <c r="D89" t="inlineStr">
        <is>
          <t xml:space="preserve">true</t>
        </is>
      </c>
      <c r="E89" t="inlineStr">
        <is>
          <t xml:space="preserve">false</t>
        </is>
      </c>
      <c r="G89" t="inlineStr">
        <is>
          <t xml:space="preserve">FHWC2J61F G G0EI. 2025</t>
        </is>
      </c>
    </row>
    <row r="90">
      <c r="A90">
        <f>VLOOKUP(G90,MapaProductos!$A:$B,2,FALSE)</f>
      </c>
      <c r="B90">
        <f>Parametros!$B$2</f>
      </c>
      <c r="C90">
        <v>44900.0</v>
      </c>
      <c r="D90" t="inlineStr">
        <is>
          <t xml:space="preserve">true</t>
        </is>
      </c>
      <c r="E90" t="inlineStr">
        <is>
          <t xml:space="preserve">false</t>
        </is>
      </c>
      <c r="G90" t="inlineStr">
        <is>
          <t xml:space="preserve">FHWC2J61F G G0VX 2026</t>
        </is>
      </c>
    </row>
    <row r="91">
      <c r="A91">
        <f>VLOOKUP(G91,MapaProductos!$A:$B,2,FALSE)</f>
      </c>
      <c r="B91">
        <f>Parametros!$B$2</f>
      </c>
      <c r="C91">
        <v>43590.0</v>
      </c>
      <c r="D91" t="inlineStr">
        <is>
          <t xml:space="preserve">true</t>
        </is>
      </c>
      <c r="E91" t="inlineStr">
        <is>
          <t xml:space="preserve">false</t>
        </is>
      </c>
      <c r="G91" t="inlineStr">
        <is>
          <t xml:space="preserve">FHWC2J61F G G498 2025</t>
        </is>
      </c>
    </row>
    <row r="92">
      <c r="A92">
        <f>VLOOKUP(G92,MapaProductos!$A:$B,2,FALSE)</f>
      </c>
      <c r="B92">
        <f>Parametros!$B$2</f>
      </c>
      <c r="C92">
        <v>66900.0</v>
      </c>
      <c r="D92" t="inlineStr">
        <is>
          <t xml:space="preserve">true</t>
        </is>
      </c>
      <c r="E92" t="inlineStr">
        <is>
          <t xml:space="preserve">false</t>
        </is>
      </c>
      <c r="G92" t="inlineStr">
        <is>
          <t xml:space="preserve">FRR90SL-MAPES 2026</t>
        </is>
      </c>
    </row>
    <row r="93">
      <c r="A93">
        <f>VLOOKUP(G93,MapaProductos!$A:$B,2,FALSE)</f>
      </c>
      <c r="B93">
        <f>Parametros!$B$2</f>
      </c>
      <c r="C93">
        <v>68250.0</v>
      </c>
      <c r="D93" t="inlineStr">
        <is>
          <t xml:space="preserve">true</t>
        </is>
      </c>
      <c r="E93" t="inlineStr">
        <is>
          <t xml:space="preserve">false</t>
        </is>
      </c>
      <c r="G93" t="inlineStr">
        <is>
          <t xml:space="preserve">FRR90SL-MAPES 2027</t>
        </is>
      </c>
    </row>
    <row r="94">
      <c r="A94">
        <f>VLOOKUP(G94,MapaProductos!$A:$B,2,FALSE)</f>
      </c>
      <c r="B94">
        <f>Parametros!$B$2</f>
      </c>
      <c r="C94">
        <v>76500.0</v>
      </c>
      <c r="D94" t="inlineStr">
        <is>
          <t xml:space="preserve">true</t>
        </is>
      </c>
      <c r="E94" t="inlineStr">
        <is>
          <t xml:space="preserve">false</t>
        </is>
      </c>
      <c r="G94" t="inlineStr">
        <is>
          <t xml:space="preserve">FTR34SL-PDPEN 2026</t>
        </is>
      </c>
    </row>
    <row r="95">
      <c r="A95">
        <f>VLOOKUP(G95,MapaProductos!$A:$B,2,FALSE)</f>
      </c>
      <c r="B95">
        <f>Parametros!$B$2</f>
      </c>
      <c r="C95">
        <v>91500.0</v>
      </c>
      <c r="D95" t="inlineStr">
        <is>
          <t xml:space="preserve">true</t>
        </is>
      </c>
      <c r="E95" t="inlineStr">
        <is>
          <t xml:space="preserve">false</t>
        </is>
      </c>
      <c r="G95" t="inlineStr">
        <is>
          <t xml:space="preserve">FVR34UL-QDPES 2026</t>
        </is>
      </c>
    </row>
    <row r="96">
      <c r="A96">
        <f>VLOOKUP(G96,MapaProductos!$A:$B,2,FALSE)</f>
      </c>
      <c r="B96">
        <f>Parametros!$B$2</f>
      </c>
      <c r="C96">
        <v>103900.0</v>
      </c>
      <c r="D96" t="inlineStr">
        <is>
          <t xml:space="preserve">true</t>
        </is>
      </c>
      <c r="E96" t="inlineStr">
        <is>
          <t xml:space="preserve">false</t>
        </is>
      </c>
      <c r="G96" t="inlineStr">
        <is>
          <t xml:space="preserve">FVZ34UL-TDPES 2026</t>
        </is>
      </c>
    </row>
    <row r="97">
      <c r="A97">
        <f>VLOOKUP(G97,MapaProductos!$A:$B,2,FALSE)</f>
      </c>
      <c r="B97">
        <f>Parametros!$B$2</f>
      </c>
      <c r="C97">
        <v>106000.0</v>
      </c>
      <c r="D97" t="inlineStr">
        <is>
          <t xml:space="preserve">true</t>
        </is>
      </c>
      <c r="E97" t="inlineStr">
        <is>
          <t xml:space="preserve">false</t>
        </is>
      </c>
      <c r="G97" t="inlineStr">
        <is>
          <t xml:space="preserve">FVZ34UL-TDPES 2027</t>
        </is>
      </c>
    </row>
    <row r="98">
      <c r="A98">
        <f>VLOOKUP(G98,MapaProductos!$A:$B,2,FALSE)</f>
      </c>
      <c r="B98">
        <f>Parametros!$B$2</f>
      </c>
      <c r="C98">
        <v>67990.0</v>
      </c>
      <c r="D98" t="inlineStr">
        <is>
          <t xml:space="preserve">true</t>
        </is>
      </c>
      <c r="E98" t="inlineStr">
        <is>
          <t xml:space="preserve">false</t>
        </is>
      </c>
      <c r="G98" t="inlineStr">
        <is>
          <t xml:space="preserve">GIW5YCZ7Z D D07X 2025</t>
        </is>
      </c>
    </row>
    <row r="99">
      <c r="A99">
        <f>VLOOKUP(G99,MapaProductos!$A:$B,2,FALSE)</f>
      </c>
      <c r="B99">
        <f>Parametros!$B$2</f>
      </c>
      <c r="C99">
        <v>47900.0</v>
      </c>
      <c r="D99" t="inlineStr">
        <is>
          <t xml:space="preserve">true</t>
        </is>
      </c>
      <c r="E99" t="inlineStr">
        <is>
          <t xml:space="preserve">false</t>
        </is>
      </c>
      <c r="G99" t="inlineStr">
        <is>
          <t xml:space="preserve">GVW52J61F D D184 2026</t>
        </is>
      </c>
    </row>
    <row r="100">
      <c r="A100">
        <f>VLOOKUP(G100,MapaProductos!$A:$B,2,FALSE)</f>
      </c>
      <c r="B100">
        <f>Parametros!$B$2</f>
      </c>
      <c r="C100">
        <v>42900.0</v>
      </c>
      <c r="D100" t="inlineStr">
        <is>
          <t xml:space="preserve">true</t>
        </is>
      </c>
      <c r="E100" t="inlineStr">
        <is>
          <t xml:space="preserve">false</t>
        </is>
      </c>
      <c r="G100" t="inlineStr">
        <is>
          <t xml:space="preserve">GVW52J61F D D185 2026</t>
        </is>
      </c>
    </row>
    <row r="101">
      <c r="A101">
        <f>VLOOKUP(G101,MapaProductos!$A:$B,2,FALSE)</f>
      </c>
      <c r="B101">
        <f>Parametros!$B$2</f>
      </c>
      <c r="C101">
        <v>49900.0</v>
      </c>
      <c r="D101" t="inlineStr">
        <is>
          <t xml:space="preserve">true</t>
        </is>
      </c>
      <c r="E101" t="inlineStr">
        <is>
          <t xml:space="preserve">false</t>
        </is>
      </c>
      <c r="G101" t="inlineStr">
        <is>
          <t xml:space="preserve">GVW52J61G D D184 2026</t>
        </is>
      </c>
    </row>
    <row r="102">
      <c r="A102">
        <f>VLOOKUP(G102,MapaProductos!$A:$B,2,FALSE)</f>
      </c>
      <c r="B102">
        <f>Parametros!$B$2</f>
      </c>
      <c r="C102">
        <v>40500.0</v>
      </c>
      <c r="D102" t="inlineStr">
        <is>
          <t xml:space="preserve">true</t>
        </is>
      </c>
      <c r="E102" t="inlineStr">
        <is>
          <t xml:space="preserve">false</t>
        </is>
      </c>
      <c r="G102" t="inlineStr">
        <is>
          <t xml:space="preserve">GWWD2J61F D D0ZH 2024</t>
        </is>
      </c>
    </row>
    <row r="103">
      <c r="A103">
        <f>VLOOKUP(G103,MapaProductos!$A:$B,2,FALSE)</f>
      </c>
      <c r="B103">
        <f>Parametros!$B$2</f>
      </c>
      <c r="C103">
        <v>46500.0</v>
      </c>
      <c r="D103" t="inlineStr">
        <is>
          <t xml:space="preserve">true</t>
        </is>
      </c>
      <c r="E103" t="inlineStr">
        <is>
          <t xml:space="preserve">false</t>
        </is>
      </c>
      <c r="G103" t="inlineStr">
        <is>
          <t xml:space="preserve">GWWD2J61F D D1I3 2025</t>
        </is>
      </c>
    </row>
    <row r="104">
      <c r="A104">
        <f>VLOOKUP(G104,MapaProductos!$A:$B,2,FALSE)</f>
      </c>
      <c r="B104">
        <f>Parametros!$B$2</f>
      </c>
      <c r="C104">
        <v>48600.0</v>
      </c>
      <c r="D104" t="inlineStr">
        <is>
          <t xml:space="preserve">true</t>
        </is>
      </c>
      <c r="E104" t="inlineStr">
        <is>
          <t xml:space="preserve">false</t>
        </is>
      </c>
      <c r="G104" t="inlineStr">
        <is>
          <t xml:space="preserve">GWWD2J61F D D21T 2026</t>
        </is>
      </c>
    </row>
    <row r="105">
      <c r="A105">
        <f>VLOOKUP(G105,MapaProductos!$A:$B,2,FALSE)</f>
      </c>
      <c r="B105">
        <f>Parametros!$B$2</f>
      </c>
      <c r="C105">
        <v>42500.0</v>
      </c>
      <c r="D105" t="inlineStr">
        <is>
          <t xml:space="preserve">true</t>
        </is>
      </c>
      <c r="E105" t="inlineStr">
        <is>
          <t xml:space="preserve">false</t>
        </is>
      </c>
      <c r="G105" t="inlineStr">
        <is>
          <t xml:space="preserve">GWWD2J61F D D21U 2025</t>
        </is>
      </c>
    </row>
    <row r="106">
      <c r="A106">
        <f>VLOOKUP(G106,MapaProductos!$A:$B,2,FALSE)</f>
      </c>
      <c r="B106">
        <f>Parametros!$B$2</f>
      </c>
      <c r="C106">
        <v>42900.0</v>
      </c>
      <c r="D106" t="inlineStr">
        <is>
          <t xml:space="preserve">true</t>
        </is>
      </c>
      <c r="E106" t="inlineStr">
        <is>
          <t xml:space="preserve">false</t>
        </is>
      </c>
      <c r="G106" t="inlineStr">
        <is>
          <t xml:space="preserve">GWWD2J61F D D21U 2026</t>
        </is>
      </c>
    </row>
    <row r="107">
      <c r="A107">
        <f>VLOOKUP(G107,MapaProductos!$A:$B,2,FALSE)</f>
      </c>
      <c r="B107">
        <f>Parametros!$B$2</f>
      </c>
      <c r="C107">
        <v>47100.0</v>
      </c>
      <c r="D107" t="inlineStr">
        <is>
          <t xml:space="preserve">true</t>
        </is>
      </c>
      <c r="E107" t="inlineStr">
        <is>
          <t xml:space="preserve">false</t>
        </is>
      </c>
      <c r="G107" t="inlineStr">
        <is>
          <t xml:space="preserve">GWWD2J61F D D25T. 2025</t>
        </is>
      </c>
    </row>
    <row r="108">
      <c r="A108">
        <f>VLOOKUP(G108,MapaProductos!$A:$B,2,FALSE)</f>
      </c>
      <c r="B108">
        <f>Parametros!$B$2</f>
      </c>
      <c r="C108">
        <v>43500.0</v>
      </c>
      <c r="D108" t="inlineStr">
        <is>
          <t xml:space="preserve">true</t>
        </is>
      </c>
      <c r="E108" t="inlineStr">
        <is>
          <t xml:space="preserve">false</t>
        </is>
      </c>
      <c r="G108" t="inlineStr">
        <is>
          <t xml:space="preserve">GWWD2J61G D D1I8 2024</t>
        </is>
      </c>
    </row>
    <row r="109">
      <c r="A109">
        <f>VLOOKUP(G109,MapaProductos!$A:$B,2,FALSE)</f>
      </c>
      <c r="B109">
        <f>Parametros!$B$2</f>
      </c>
      <c r="C109">
        <v>49600.0</v>
      </c>
      <c r="D109" t="inlineStr">
        <is>
          <t xml:space="preserve">true</t>
        </is>
      </c>
      <c r="E109" t="inlineStr">
        <is>
          <t xml:space="preserve">false</t>
        </is>
      </c>
      <c r="G109" t="inlineStr">
        <is>
          <t xml:space="preserve">GWWD2J61G D D21T 2025</t>
        </is>
      </c>
    </row>
    <row r="110">
      <c r="A110">
        <f>VLOOKUP(G110,MapaProductos!$A:$B,2,FALSE)</f>
      </c>
      <c r="B110">
        <f>Parametros!$B$2</f>
      </c>
      <c r="C110">
        <v>49900.0</v>
      </c>
      <c r="D110" t="inlineStr">
        <is>
          <t xml:space="preserve">true</t>
        </is>
      </c>
      <c r="E110" t="inlineStr">
        <is>
          <t xml:space="preserve">false</t>
        </is>
      </c>
      <c r="G110" t="inlineStr">
        <is>
          <t xml:space="preserve">GWWD2J61G D D21T 2026</t>
        </is>
      </c>
    </row>
    <row r="111">
      <c r="A111">
        <f>VLOOKUP(G111,MapaProductos!$A:$B,2,FALSE)</f>
      </c>
      <c r="B111">
        <f>Parametros!$B$2</f>
      </c>
      <c r="C111">
        <v>45500.0</v>
      </c>
      <c r="D111" t="inlineStr">
        <is>
          <t xml:space="preserve">true</t>
        </is>
      </c>
      <c r="E111" t="inlineStr">
        <is>
          <t xml:space="preserve">false</t>
        </is>
      </c>
      <c r="G111" t="inlineStr">
        <is>
          <t xml:space="preserve">GWWD2J61G D D2BI 2025</t>
        </is>
      </c>
    </row>
    <row r="112">
      <c r="A112">
        <f>VLOOKUP(G112,MapaProductos!$A:$B,2,FALSE)</f>
      </c>
      <c r="B112">
        <f>Parametros!$B$2</f>
      </c>
      <c r="C112">
        <v>47500.0</v>
      </c>
      <c r="D112" t="inlineStr">
        <is>
          <t xml:space="preserve">true</t>
        </is>
      </c>
      <c r="E112" t="inlineStr">
        <is>
          <t xml:space="preserve">false</t>
        </is>
      </c>
      <c r="G112" t="inlineStr">
        <is>
          <t xml:space="preserve">GWWD2J61G D D2BI 2026</t>
        </is>
      </c>
    </row>
    <row r="113">
      <c r="A113">
        <f>VLOOKUP(G113,MapaProductos!$A:$B,2,FALSE)</f>
      </c>
      <c r="B113">
        <f>Parametros!$B$2</f>
      </c>
      <c r="C113">
        <v>45500.0</v>
      </c>
      <c r="D113" t="inlineStr">
        <is>
          <t xml:space="preserve">true</t>
        </is>
      </c>
      <c r="E113" t="inlineStr">
        <is>
          <t xml:space="preserve">false</t>
        </is>
      </c>
      <c r="G113" t="inlineStr">
        <is>
          <t xml:space="preserve">GWWDD5G1U D D1I6 2025</t>
        </is>
      </c>
    </row>
    <row r="114">
      <c r="A114">
        <f>VLOOKUP(G114,MapaProductos!$A:$B,2,FALSE)</f>
      </c>
      <c r="B114">
        <f>Parametros!$B$2</f>
      </c>
      <c r="C114">
        <v>47600.0</v>
      </c>
      <c r="D114" t="inlineStr">
        <is>
          <t xml:space="preserve">true</t>
        </is>
      </c>
      <c r="E114" t="inlineStr">
        <is>
          <t xml:space="preserve">false</t>
        </is>
      </c>
      <c r="G114" t="inlineStr">
        <is>
          <t xml:space="preserve">GWWDD5G1U D D28T 2025</t>
        </is>
      </c>
    </row>
    <row r="115">
      <c r="A115">
        <f>VLOOKUP(G115,MapaProductos!$A:$B,2,FALSE)</f>
      </c>
      <c r="B115">
        <f>Parametros!$B$2</f>
      </c>
      <c r="C115">
        <v>49600.0</v>
      </c>
      <c r="D115" t="inlineStr">
        <is>
          <t xml:space="preserve">true</t>
        </is>
      </c>
      <c r="E115" t="inlineStr">
        <is>
          <t xml:space="preserve">false</t>
        </is>
      </c>
      <c r="G115" t="inlineStr">
        <is>
          <t xml:space="preserve">GWWDD5G1U D D28T 2026</t>
        </is>
      </c>
    </row>
    <row r="116">
      <c r="A116">
        <f>VLOOKUP(G116,MapaProductos!$A:$B,2,FALSE)</f>
      </c>
      <c r="B116">
        <f>Parametros!$B$2</f>
      </c>
      <c r="C116">
        <v>54900.0</v>
      </c>
      <c r="D116" t="inlineStr">
        <is>
          <t xml:space="preserve">true</t>
        </is>
      </c>
      <c r="E116" t="inlineStr">
        <is>
          <t xml:space="preserve">false</t>
        </is>
      </c>
      <c r="G116" t="inlineStr">
        <is>
          <t xml:space="preserve">GWWDD5G1X D D28U 2025</t>
        </is>
      </c>
    </row>
    <row r="117">
      <c r="A117">
        <f>VLOOKUP(G117,MapaProductos!$A:$B,2,FALSE)</f>
      </c>
      <c r="B117">
        <f>Parametros!$B$2</f>
      </c>
      <c r="C117">
        <v>54900.0</v>
      </c>
      <c r="D117" t="inlineStr">
        <is>
          <t xml:space="preserve">true</t>
        </is>
      </c>
      <c r="E117" t="inlineStr">
        <is>
          <t xml:space="preserve">false</t>
        </is>
      </c>
      <c r="G117" t="inlineStr">
        <is>
          <t xml:space="preserve">GWWDD5G1X D D28U 2026</t>
        </is>
      </c>
    </row>
    <row r="118">
      <c r="A118">
        <f>VLOOKUP(G118,MapaProductos!$A:$B,2,FALSE)</f>
      </c>
      <c r="B118">
        <f>Parametros!$B$2</f>
      </c>
      <c r="C118">
        <v>33900.0</v>
      </c>
      <c r="D118" t="inlineStr">
        <is>
          <t xml:space="preserve">true</t>
        </is>
      </c>
      <c r="E118" t="inlineStr">
        <is>
          <t xml:space="preserve">false</t>
        </is>
      </c>
      <c r="G118" t="inlineStr">
        <is>
          <t xml:space="preserve">HEH76B858 DDBLE 2025</t>
        </is>
      </c>
    </row>
    <row r="119">
      <c r="A119">
        <f>VLOOKUP(G119,MapaProductos!$A:$B,2,FALSE)</f>
      </c>
      <c r="B119">
        <f>Parametros!$B$2</f>
      </c>
      <c r="C119">
        <v>34900.0</v>
      </c>
      <c r="D119" t="inlineStr">
        <is>
          <t xml:space="preserve">true</t>
        </is>
      </c>
      <c r="E119" t="inlineStr">
        <is>
          <t xml:space="preserve">false</t>
        </is>
      </c>
      <c r="G119" t="inlineStr">
        <is>
          <t xml:space="preserve">HEH76B858 DDBLE 2026</t>
        </is>
      </c>
    </row>
    <row r="120">
      <c r="A120">
        <f>VLOOKUP(G120,MapaProductos!$A:$B,2,FALSE)</f>
      </c>
      <c r="B120">
        <f>Parametros!$B$2</f>
      </c>
      <c r="C120">
        <v>73000.0</v>
      </c>
      <c r="D120" t="inlineStr">
        <is>
          <t xml:space="preserve">true</t>
        </is>
      </c>
      <c r="E120" t="inlineStr">
        <is>
          <t xml:space="preserve">false</t>
        </is>
      </c>
      <c r="G120" t="inlineStr">
        <is>
          <t xml:space="preserve">HHW6L9G1N G G09D 2025</t>
        </is>
      </c>
    </row>
    <row r="121">
      <c r="A121">
        <f>VLOOKUP(G121,MapaProductos!$A:$B,2,FALSE)</f>
      </c>
      <c r="B121">
        <f>Parametros!$B$2</f>
      </c>
      <c r="C121">
        <v>75000.0</v>
      </c>
      <c r="D121" t="inlineStr">
        <is>
          <t xml:space="preserve">true</t>
        </is>
      </c>
      <c r="E121" t="inlineStr">
        <is>
          <t xml:space="preserve">false</t>
        </is>
      </c>
      <c r="G121" t="inlineStr">
        <is>
          <t xml:space="preserve">HHW6L9G1N G G0FZ 2026</t>
        </is>
      </c>
    </row>
    <row r="122">
      <c r="A122">
        <f>VLOOKUP(G122,MapaProductos!$A:$B,2,FALSE)</f>
      </c>
      <c r="B122">
        <f>Parametros!$B$2</f>
      </c>
      <c r="C122">
        <v>73000.0</v>
      </c>
      <c r="D122" t="inlineStr">
        <is>
          <t xml:space="preserve">true</t>
        </is>
      </c>
      <c r="E122" t="inlineStr">
        <is>
          <t xml:space="preserve">false</t>
        </is>
      </c>
      <c r="G122" t="inlineStr">
        <is>
          <t xml:space="preserve">HHW6L9G1N G G958 2025</t>
        </is>
      </c>
    </row>
    <row r="123">
      <c r="A123">
        <f>VLOOKUP(G123,MapaProductos!$A:$B,2,FALSE)</f>
      </c>
      <c r="B123">
        <f>Parametros!$B$2</f>
      </c>
      <c r="C123">
        <v>64850.0</v>
      </c>
      <c r="D123" t="inlineStr">
        <is>
          <t xml:space="preserve">true</t>
        </is>
      </c>
      <c r="E123" t="inlineStr">
        <is>
          <t xml:space="preserve">false</t>
        </is>
      </c>
      <c r="G123" t="inlineStr">
        <is>
          <t xml:space="preserve">HHW7L9A1K D D276 2025</t>
        </is>
      </c>
    </row>
    <row r="124">
      <c r="A124">
        <f>VLOOKUP(G124,MapaProductos!$A:$B,2,FALSE)</f>
      </c>
      <c r="B124">
        <f>Parametros!$B$2</f>
      </c>
      <c r="C124">
        <v>60750.0</v>
      </c>
      <c r="D124" t="inlineStr">
        <is>
          <t xml:space="preserve">true</t>
        </is>
      </c>
      <c r="E124" t="inlineStr">
        <is>
          <t xml:space="preserve">false</t>
        </is>
      </c>
      <c r="G124" t="inlineStr">
        <is>
          <t xml:space="preserve">HHW7L9A1K D D284 2025</t>
        </is>
      </c>
    </row>
    <row r="125">
      <c r="A125">
        <f>VLOOKUP(G125,MapaProductos!$A:$B,2,FALSE)</f>
      </c>
      <c r="B125">
        <f>Parametros!$B$2</f>
      </c>
      <c r="C125">
        <v>63840.0</v>
      </c>
      <c r="D125" t="inlineStr">
        <is>
          <t xml:space="preserve">true</t>
        </is>
      </c>
      <c r="E125" t="inlineStr">
        <is>
          <t xml:space="preserve">false</t>
        </is>
      </c>
      <c r="G125" t="inlineStr">
        <is>
          <t xml:space="preserve">HHW7L9A1K D D388 2025</t>
        </is>
      </c>
    </row>
    <row r="126">
      <c r="A126">
        <f>VLOOKUP(G126,MapaProductos!$A:$B,2,FALSE)</f>
      </c>
      <c r="B126">
        <f>Parametros!$B$2</f>
      </c>
      <c r="C126">
        <v>64850.0</v>
      </c>
      <c r="D126" t="inlineStr">
        <is>
          <t xml:space="preserve">true</t>
        </is>
      </c>
      <c r="E126" t="inlineStr">
        <is>
          <t xml:space="preserve">false</t>
        </is>
      </c>
      <c r="G126" t="inlineStr">
        <is>
          <t xml:space="preserve">HHW7L9A1K D D389 2025</t>
        </is>
      </c>
    </row>
    <row r="127">
      <c r="A127">
        <f>VLOOKUP(G127,MapaProductos!$A:$B,2,FALSE)</f>
      </c>
      <c r="B127">
        <f>Parametros!$B$2</f>
      </c>
      <c r="C127">
        <v>67850.0</v>
      </c>
      <c r="D127" t="inlineStr">
        <is>
          <t xml:space="preserve">true</t>
        </is>
      </c>
      <c r="E127" t="inlineStr">
        <is>
          <t xml:space="preserve">false</t>
        </is>
      </c>
      <c r="G127" t="inlineStr">
        <is>
          <t xml:space="preserve">HHW7L9A1K D D558 2026</t>
        </is>
      </c>
    </row>
    <row r="128">
      <c r="A128">
        <f>VLOOKUP(G128,MapaProductos!$A:$B,2,FALSE)</f>
      </c>
      <c r="B128">
        <f>Parametros!$B$2</f>
      </c>
      <c r="C128">
        <v>22990.0</v>
      </c>
      <c r="D128" t="inlineStr">
        <is>
          <t xml:space="preserve">true</t>
        </is>
      </c>
      <c r="E128" t="inlineStr">
        <is>
          <t xml:space="preserve">false</t>
        </is>
      </c>
      <c r="G128" t="inlineStr">
        <is>
          <t xml:space="preserve">HQS4K3615 D D11G 2026</t>
        </is>
      </c>
    </row>
    <row r="129">
      <c r="A129">
        <f>VLOOKUP(G129,MapaProductos!$A:$B,2,FALSE)</f>
      </c>
      <c r="B129">
        <f>Parametros!$B$2</f>
      </c>
      <c r="C129">
        <v>23990.0</v>
      </c>
      <c r="D129" t="inlineStr">
        <is>
          <t xml:space="preserve">true</t>
        </is>
      </c>
      <c r="E129" t="inlineStr">
        <is>
          <t xml:space="preserve">false</t>
        </is>
      </c>
      <c r="G129" t="inlineStr">
        <is>
          <t xml:space="preserve">HQS4K361B D D0KJ 2025</t>
        </is>
      </c>
    </row>
    <row r="130">
      <c r="A130">
        <f>VLOOKUP(G130,MapaProductos!$A:$B,2,FALSE)</f>
      </c>
      <c r="B130">
        <f>Parametros!$B$2</f>
      </c>
      <c r="C130">
        <v>24990.0</v>
      </c>
      <c r="D130" t="inlineStr">
        <is>
          <t xml:space="preserve">true</t>
        </is>
      </c>
      <c r="E130" t="inlineStr">
        <is>
          <t xml:space="preserve">false</t>
        </is>
      </c>
      <c r="G130" t="inlineStr">
        <is>
          <t xml:space="preserve">HQS4K361B D D0Q0 2025</t>
        </is>
      </c>
    </row>
    <row r="131">
      <c r="A131">
        <f>VLOOKUP(G131,MapaProductos!$A:$B,2,FALSE)</f>
      </c>
      <c r="B131">
        <f>Parametros!$B$2</f>
      </c>
      <c r="C131">
        <v>24990.0</v>
      </c>
      <c r="D131" t="inlineStr">
        <is>
          <t xml:space="preserve">true</t>
        </is>
      </c>
      <c r="E131" t="inlineStr">
        <is>
          <t xml:space="preserve">false</t>
        </is>
      </c>
      <c r="G131" t="inlineStr">
        <is>
          <t xml:space="preserve">HQS4K361B D D11H 2026</t>
        </is>
      </c>
    </row>
    <row r="132">
      <c r="A132">
        <f>VLOOKUP(G132,MapaProductos!$A:$B,2,FALSE)</f>
      </c>
      <c r="B132">
        <f>Parametros!$B$2</f>
      </c>
      <c r="C132">
        <v>26990.0</v>
      </c>
      <c r="D132" t="inlineStr">
        <is>
          <t xml:space="preserve">true</t>
        </is>
      </c>
      <c r="E132" t="inlineStr">
        <is>
          <t xml:space="preserve">false</t>
        </is>
      </c>
      <c r="G132" t="inlineStr">
        <is>
          <t xml:space="preserve">HQS4K361B G G834 2025</t>
        </is>
      </c>
    </row>
    <row r="133">
      <c r="A133">
        <f>VLOOKUP(G133,MapaProductos!$A:$B,2,FALSE)</f>
      </c>
      <c r="B133">
        <f>Parametros!$B$2</f>
      </c>
      <c r="C133">
        <v>25990.0</v>
      </c>
      <c r="D133" t="inlineStr">
        <is>
          <t xml:space="preserve">true</t>
        </is>
      </c>
      <c r="E133" t="inlineStr">
        <is>
          <t xml:space="preserve">false</t>
        </is>
      </c>
      <c r="G133" t="inlineStr">
        <is>
          <t xml:space="preserve">HQS4K361B G G994 2026</t>
        </is>
      </c>
    </row>
    <row r="134">
      <c r="A134">
        <f>VLOOKUP(G134,MapaProductos!$A:$B,2,FALSE)</f>
      </c>
      <c r="B134">
        <f>Parametros!$B$2</f>
      </c>
      <c r="C134">
        <v>21990.0</v>
      </c>
      <c r="D134" t="inlineStr">
        <is>
          <t xml:space="preserve">true</t>
        </is>
      </c>
      <c r="E134" t="inlineStr">
        <is>
          <t xml:space="preserve">false</t>
        </is>
      </c>
      <c r="G134" t="inlineStr">
        <is>
          <t xml:space="preserve">HQS6K3615 D D14R 2026</t>
        </is>
      </c>
    </row>
    <row r="135">
      <c r="A135">
        <f>VLOOKUP(G135,MapaProductos!$A:$B,2,FALSE)</f>
      </c>
      <c r="B135">
        <f>Parametros!$B$2</f>
      </c>
      <c r="C135">
        <v>22990.0</v>
      </c>
      <c r="D135" t="inlineStr">
        <is>
          <t xml:space="preserve">true</t>
        </is>
      </c>
      <c r="E135" t="inlineStr">
        <is>
          <t xml:space="preserve">false</t>
        </is>
      </c>
      <c r="G135" t="inlineStr">
        <is>
          <t xml:space="preserve">HQS6K361B D D10K 2025</t>
        </is>
      </c>
    </row>
    <row r="136">
      <c r="A136">
        <f>VLOOKUP(G136,MapaProductos!$A:$B,2,FALSE)</f>
      </c>
      <c r="B136">
        <f>Parametros!$B$2</f>
      </c>
      <c r="C136">
        <v>23990.0</v>
      </c>
      <c r="D136" t="inlineStr">
        <is>
          <t xml:space="preserve">true</t>
        </is>
      </c>
      <c r="E136" t="inlineStr">
        <is>
          <t xml:space="preserve">false</t>
        </is>
      </c>
      <c r="G136" t="inlineStr">
        <is>
          <t xml:space="preserve">HQS6K361B D D10K 2026</t>
        </is>
      </c>
    </row>
    <row r="137">
      <c r="A137">
        <f>VLOOKUP(G137,MapaProductos!$A:$B,2,FALSE)</f>
      </c>
      <c r="B137">
        <f>Parametros!$B$2</f>
      </c>
      <c r="C137">
        <v>25990.0</v>
      </c>
      <c r="D137" t="inlineStr">
        <is>
          <t xml:space="preserve">true</t>
        </is>
      </c>
      <c r="E137" t="inlineStr">
        <is>
          <t xml:space="preserve">false</t>
        </is>
      </c>
      <c r="G137" t="inlineStr">
        <is>
          <t xml:space="preserve">HQS6K361B G G971 2026</t>
        </is>
      </c>
    </row>
    <row r="138">
      <c r="A138">
        <f>VLOOKUP(G138,MapaProductos!$A:$B,2,FALSE)</f>
      </c>
      <c r="B138">
        <f>Parametros!$B$2</f>
      </c>
      <c r="C138">
        <v>31300.0</v>
      </c>
      <c r="D138" t="inlineStr">
        <is>
          <t xml:space="preserve">true</t>
        </is>
      </c>
      <c r="E138" t="inlineStr">
        <is>
          <t xml:space="preserve">false</t>
        </is>
      </c>
      <c r="G138" t="inlineStr">
        <is>
          <t xml:space="preserve">I6W7D661V D D156 2025</t>
        </is>
      </c>
    </row>
    <row r="139">
      <c r="A139">
        <f>VLOOKUP(G139,MapaProductos!$A:$B,2,FALSE)</f>
      </c>
      <c r="B139">
        <f>Parametros!$B$2</f>
      </c>
      <c r="C139">
        <v>36400.0</v>
      </c>
      <c r="D139" t="inlineStr">
        <is>
          <t xml:space="preserve">true</t>
        </is>
      </c>
      <c r="E139" t="inlineStr">
        <is>
          <t xml:space="preserve">false</t>
        </is>
      </c>
      <c r="G139" t="inlineStr">
        <is>
          <t xml:space="preserve">I6W7D661V G G155. 2025</t>
        </is>
      </c>
    </row>
    <row r="140">
      <c r="A140">
        <f>VLOOKUP(G140,MapaProductos!$A:$B,2,FALSE)</f>
      </c>
      <c r="B140">
        <f>Parametros!$B$2</f>
      </c>
      <c r="C140">
        <v>36300.0</v>
      </c>
      <c r="D140" t="inlineStr">
        <is>
          <t xml:space="preserve">true</t>
        </is>
      </c>
      <c r="E140" t="inlineStr">
        <is>
          <t xml:space="preserve">false</t>
        </is>
      </c>
      <c r="G140" t="inlineStr">
        <is>
          <t xml:space="preserve">I6W7D661V G G209 2025</t>
        </is>
      </c>
    </row>
    <row r="141">
      <c r="A141">
        <f>VLOOKUP(G141,MapaProductos!$A:$B,2,FALSE)</f>
      </c>
      <c r="B141">
        <f>Parametros!$B$2</f>
      </c>
      <c r="C141">
        <v>33490.0</v>
      </c>
      <c r="D141" t="inlineStr">
        <is>
          <t xml:space="preserve">true</t>
        </is>
      </c>
      <c r="E141" t="inlineStr">
        <is>
          <t xml:space="preserve">false</t>
        </is>
      </c>
      <c r="G141" t="inlineStr">
        <is>
          <t xml:space="preserve">I7W5D6617 D D38O 2026</t>
        </is>
      </c>
    </row>
    <row r="142">
      <c r="A142">
        <f>VLOOKUP(G142,MapaProductos!$A:$B,2,FALSE)</f>
      </c>
      <c r="B142">
        <f>Parametros!$B$2</f>
      </c>
      <c r="C142">
        <v>33490.0</v>
      </c>
      <c r="D142" t="inlineStr">
        <is>
          <t xml:space="preserve">true</t>
        </is>
      </c>
      <c r="E142" t="inlineStr">
        <is>
          <t xml:space="preserve">false</t>
        </is>
      </c>
      <c r="G142" t="inlineStr">
        <is>
          <t xml:space="preserve">I7W5D6617 D D3WN 2026</t>
        </is>
      </c>
    </row>
    <row r="143">
      <c r="A143">
        <f>VLOOKUP(G143,MapaProductos!$A:$B,2,FALSE)</f>
      </c>
      <c r="B143">
        <f>Parametros!$B$2</f>
      </c>
      <c r="C143">
        <v>34990.0</v>
      </c>
      <c r="D143" t="inlineStr">
        <is>
          <t xml:space="preserve">true</t>
        </is>
      </c>
      <c r="E143" t="inlineStr">
        <is>
          <t xml:space="preserve">false</t>
        </is>
      </c>
      <c r="G143" t="inlineStr">
        <is>
          <t xml:space="preserve">I7W5D661V D D38P 2025</t>
        </is>
      </c>
    </row>
    <row r="144">
      <c r="A144">
        <f>VLOOKUP(G144,MapaProductos!$A:$B,2,FALSE)</f>
      </c>
      <c r="B144">
        <f>Parametros!$B$2</f>
      </c>
      <c r="C144">
        <v>35990.0</v>
      </c>
      <c r="D144" t="inlineStr">
        <is>
          <t xml:space="preserve">true</t>
        </is>
      </c>
      <c r="E144" t="inlineStr">
        <is>
          <t xml:space="preserve">false</t>
        </is>
      </c>
      <c r="G144" t="inlineStr">
        <is>
          <t xml:space="preserve">I7W5D661V D D38P 2026</t>
        </is>
      </c>
    </row>
    <row r="145">
      <c r="A145">
        <f>VLOOKUP(G145,MapaProductos!$A:$B,2,FALSE)</f>
      </c>
      <c r="B145">
        <f>Parametros!$B$2</f>
      </c>
      <c r="C145">
        <v>38490.0</v>
      </c>
      <c r="D145" t="inlineStr">
        <is>
          <t xml:space="preserve">true</t>
        </is>
      </c>
      <c r="E145" t="inlineStr">
        <is>
          <t xml:space="preserve">false</t>
        </is>
      </c>
      <c r="G145" t="inlineStr">
        <is>
          <t xml:space="preserve">I7W5D661V D D38Q 2026</t>
        </is>
      </c>
    </row>
    <row r="146">
      <c r="A146">
        <f>VLOOKUP(G146,MapaProductos!$A:$B,2,FALSE)</f>
      </c>
      <c r="B146">
        <f>Parametros!$B$2</f>
      </c>
      <c r="C146">
        <v>38490.0</v>
      </c>
      <c r="D146" t="inlineStr">
        <is>
          <t xml:space="preserve">true</t>
        </is>
      </c>
      <c r="E146" t="inlineStr">
        <is>
          <t xml:space="preserve">false</t>
        </is>
      </c>
      <c r="G146" t="inlineStr">
        <is>
          <t xml:space="preserve">I7W5D661V D D38R 2025</t>
        </is>
      </c>
    </row>
    <row r="147">
      <c r="A147">
        <f>VLOOKUP(G147,MapaProductos!$A:$B,2,FALSE)</f>
      </c>
      <c r="B147">
        <f>Parametros!$B$2</f>
      </c>
      <c r="C147">
        <v>38490.0</v>
      </c>
      <c r="D147" t="inlineStr">
        <is>
          <t xml:space="preserve">true</t>
        </is>
      </c>
      <c r="E147" t="inlineStr">
        <is>
          <t xml:space="preserve">false</t>
        </is>
      </c>
      <c r="G147" t="inlineStr">
        <is>
          <t xml:space="preserve">I7W5D661V D D38R 2026</t>
        </is>
      </c>
    </row>
    <row r="148">
      <c r="A148">
        <f>VLOOKUP(G148,MapaProductos!$A:$B,2,FALSE)</f>
      </c>
      <c r="B148">
        <f>Parametros!$B$2</f>
      </c>
      <c r="C148">
        <v>38490.0</v>
      </c>
      <c r="D148" t="inlineStr">
        <is>
          <t xml:space="preserve">true</t>
        </is>
      </c>
      <c r="E148" t="inlineStr">
        <is>
          <t xml:space="preserve">false</t>
        </is>
      </c>
      <c r="G148" t="inlineStr">
        <is>
          <t xml:space="preserve">I7W5D661V D D3WQ 2026</t>
        </is>
      </c>
    </row>
    <row r="149">
      <c r="A149">
        <f>VLOOKUP(G149,MapaProductos!$A:$B,2,FALSE)</f>
      </c>
      <c r="B149">
        <f>Parametros!$B$2</f>
      </c>
      <c r="C149">
        <v>35990.0</v>
      </c>
      <c r="D149" t="inlineStr">
        <is>
          <t xml:space="preserve">true</t>
        </is>
      </c>
      <c r="E149" t="inlineStr">
        <is>
          <t xml:space="preserve">false</t>
        </is>
      </c>
      <c r="G149" t="inlineStr">
        <is>
          <t xml:space="preserve">I7W5D661V D D3ZL 2026</t>
        </is>
      </c>
    </row>
    <row r="150">
      <c r="A150">
        <f>VLOOKUP(G150,MapaProductos!$A:$B,2,FALSE)</f>
      </c>
      <c r="B150">
        <f>Parametros!$B$2</f>
      </c>
      <c r="C150">
        <v>35990.0</v>
      </c>
      <c r="D150" t="inlineStr">
        <is>
          <t xml:space="preserve">true</t>
        </is>
      </c>
      <c r="E150" t="inlineStr">
        <is>
          <t xml:space="preserve">false</t>
        </is>
      </c>
      <c r="G150" t="inlineStr">
        <is>
          <t xml:space="preserve">I7W5D661V D D46H 2026</t>
        </is>
      </c>
    </row>
    <row r="151">
      <c r="A151">
        <f>VLOOKUP(G151,MapaProductos!$A:$B,2,FALSE)</f>
      </c>
      <c r="B151">
        <f>Parametros!$B$2</f>
      </c>
      <c r="C151">
        <v>80300.0</v>
      </c>
      <c r="D151" t="inlineStr">
        <is>
          <t xml:space="preserve">true</t>
        </is>
      </c>
      <c r="E151" t="inlineStr">
        <is>
          <t xml:space="preserve">false</t>
        </is>
      </c>
      <c r="G151" t="inlineStr">
        <is>
          <t xml:space="preserve">MHA3FRAD5VT1 A219 2025</t>
        </is>
      </c>
    </row>
    <row r="152">
      <c r="A152">
        <f>VLOOKUP(G152,MapaProductos!$A:$B,2,FALSE)</f>
      </c>
      <c r="B152">
        <f>Parametros!$B$2</f>
      </c>
      <c r="C152">
        <v>86900.0</v>
      </c>
      <c r="D152" t="inlineStr">
        <is>
          <t xml:space="preserve">true</t>
        </is>
      </c>
      <c r="E152" t="inlineStr">
        <is>
          <t xml:space="preserve">false</t>
        </is>
      </c>
      <c r="G152" t="inlineStr">
        <is>
          <t xml:space="preserve">MHA3FRAD5VT1 A219 2026</t>
        </is>
      </c>
    </row>
    <row r="153">
      <c r="A153">
        <f>VLOOKUP(G153,MapaProductos!$A:$B,2,FALSE)</f>
      </c>
      <c r="B153">
        <f>Parametros!$B$2</f>
      </c>
      <c r="C153">
        <v>31500.0</v>
      </c>
      <c r="D153" t="inlineStr">
        <is>
          <t xml:space="preserve">true</t>
        </is>
      </c>
      <c r="E153" t="inlineStr">
        <is>
          <t xml:space="preserve">false</t>
        </is>
      </c>
      <c r="G153" t="inlineStr">
        <is>
          <t xml:space="preserve">NLR85L-EE1AY 2026</t>
        </is>
      </c>
    </row>
    <row r="154">
      <c r="A154">
        <f>VLOOKUP(G154,MapaProductos!$A:$B,2,FALSE)</f>
      </c>
      <c r="B154">
        <f>Parametros!$B$2</f>
      </c>
      <c r="C154">
        <v>38950.0</v>
      </c>
      <c r="D154" t="inlineStr">
        <is>
          <t xml:space="preserve">true</t>
        </is>
      </c>
      <c r="E154" t="inlineStr">
        <is>
          <t xml:space="preserve">false</t>
        </is>
      </c>
      <c r="G154" t="inlineStr">
        <is>
          <t xml:space="preserve">NMR85L-EH5AY 2026</t>
        </is>
      </c>
    </row>
    <row r="155">
      <c r="A155">
        <f>VLOOKUP(G155,MapaProductos!$A:$B,2,FALSE)</f>
      </c>
      <c r="B155">
        <f>Parametros!$B$2</f>
      </c>
      <c r="C155">
        <v>39950.0</v>
      </c>
      <c r="D155" t="inlineStr">
        <is>
          <t xml:space="preserve">true</t>
        </is>
      </c>
      <c r="E155" t="inlineStr">
        <is>
          <t xml:space="preserve">false</t>
        </is>
      </c>
      <c r="G155" t="inlineStr">
        <is>
          <t xml:space="preserve">NMR85L-HH5AY 2026</t>
        </is>
      </c>
    </row>
    <row r="156">
      <c r="A156">
        <f>VLOOKUP(G156,MapaProductos!$A:$B,2,FALSE)</f>
      </c>
      <c r="B156">
        <f>Parametros!$B$2</f>
      </c>
      <c r="C156">
        <v>38900.0</v>
      </c>
      <c r="D156" t="inlineStr">
        <is>
          <t xml:space="preserve">true</t>
        </is>
      </c>
      <c r="E156" t="inlineStr">
        <is>
          <t xml:space="preserve">false</t>
        </is>
      </c>
      <c r="G156" t="inlineStr">
        <is>
          <t xml:space="preserve">NMR85L-HH5WY 2024</t>
        </is>
      </c>
    </row>
    <row r="157">
      <c r="A157">
        <f>VLOOKUP(G157,MapaProductos!$A:$B,2,FALSE)</f>
      </c>
      <c r="B157">
        <f>Parametros!$B$2</f>
      </c>
      <c r="C157">
        <v>41500.0</v>
      </c>
      <c r="D157" t="inlineStr">
        <is>
          <t xml:space="preserve">true</t>
        </is>
      </c>
      <c r="E157" t="inlineStr">
        <is>
          <t xml:space="preserve">false</t>
        </is>
      </c>
      <c r="G157" t="inlineStr">
        <is>
          <t xml:space="preserve">NMR85L-HH5WY 2025</t>
        </is>
      </c>
    </row>
    <row r="158">
      <c r="A158">
        <f>VLOOKUP(G158,MapaProductos!$A:$B,2,FALSE)</f>
      </c>
      <c r="B158">
        <f>Parametros!$B$2</f>
      </c>
      <c r="C158">
        <v>45950.0</v>
      </c>
      <c r="D158" t="inlineStr">
        <is>
          <t xml:space="preserve">true</t>
        </is>
      </c>
      <c r="E158" t="inlineStr">
        <is>
          <t xml:space="preserve">false</t>
        </is>
      </c>
      <c r="G158" t="inlineStr">
        <is>
          <t xml:space="preserve">NMR85L-HH5WY 2026</t>
        </is>
      </c>
    </row>
    <row r="159">
      <c r="A159">
        <f>VLOOKUP(G159,MapaProductos!$A:$B,2,FALSE)</f>
      </c>
      <c r="B159">
        <f>Parametros!$B$2</f>
      </c>
      <c r="C159">
        <v>48900.0</v>
      </c>
      <c r="D159" t="inlineStr">
        <is>
          <t xml:space="preserve">true</t>
        </is>
      </c>
      <c r="E159" t="inlineStr">
        <is>
          <t xml:space="preserve">false</t>
        </is>
      </c>
      <c r="G159" t="inlineStr">
        <is>
          <t xml:space="preserve">NPR75L-KL5VAYN 2026</t>
        </is>
      </c>
    </row>
    <row r="160">
      <c r="A160">
        <f>VLOOKUP(G160,MapaProductos!$A:$B,2,FALSE)</f>
      </c>
      <c r="B160">
        <f>Parametros!$B$2</f>
      </c>
      <c r="C160">
        <v>39900.0</v>
      </c>
      <c r="D160" t="inlineStr">
        <is>
          <t xml:space="preserve">true</t>
        </is>
      </c>
      <c r="E160" t="inlineStr">
        <is>
          <t xml:space="preserve">false</t>
        </is>
      </c>
      <c r="G160" t="inlineStr">
        <is>
          <t xml:space="preserve">NPR85L-HJ5VAY 2025</t>
        </is>
      </c>
    </row>
    <row r="161">
      <c r="A161">
        <f>VLOOKUP(G161,MapaProductos!$A:$B,2,FALSE)</f>
      </c>
      <c r="B161">
        <f>Parametros!$B$2</f>
      </c>
      <c r="C161">
        <v>42500.0</v>
      </c>
      <c r="D161" t="inlineStr">
        <is>
          <t xml:space="preserve">true</t>
        </is>
      </c>
      <c r="E161" t="inlineStr">
        <is>
          <t xml:space="preserve">false</t>
        </is>
      </c>
      <c r="G161" t="inlineStr">
        <is>
          <t xml:space="preserve">NPR85L-HJ5VAY 2026</t>
        </is>
      </c>
    </row>
    <row r="162">
      <c r="A162">
        <f>VLOOKUP(G162,MapaProductos!$A:$B,2,FALSE)</f>
      </c>
      <c r="B162">
        <f>Parametros!$B$2</f>
      </c>
      <c r="C162">
        <v>62900.0</v>
      </c>
      <c r="D162" t="inlineStr">
        <is>
          <t xml:space="preserve">true</t>
        </is>
      </c>
      <c r="E162" t="inlineStr">
        <is>
          <t xml:space="preserve">false</t>
        </is>
      </c>
      <c r="G162" t="inlineStr">
        <is>
          <t xml:space="preserve">NPS75L-HL5VAYN 2026</t>
        </is>
      </c>
    </row>
    <row r="163">
      <c r="A163">
        <f>VLOOKUP(G163,MapaProductos!$A:$B,2,FALSE)</f>
      </c>
      <c r="B163">
        <f>Parametros!$B$2</f>
      </c>
      <c r="C163">
        <v>64250.0</v>
      </c>
      <c r="D163" t="inlineStr">
        <is>
          <t xml:space="preserve">true</t>
        </is>
      </c>
      <c r="E163" t="inlineStr">
        <is>
          <t xml:space="preserve">false</t>
        </is>
      </c>
      <c r="G163" t="inlineStr">
        <is>
          <t xml:space="preserve">NPS75L-HL5VAYN 2027</t>
        </is>
      </c>
    </row>
    <row r="164">
      <c r="A164">
        <f>VLOOKUP(G164,MapaProductos!$A:$B,2,FALSE)</f>
      </c>
      <c r="B164">
        <f>Parametros!$B$2</f>
      </c>
      <c r="C164">
        <v>66900.0</v>
      </c>
      <c r="D164" t="inlineStr">
        <is>
          <t xml:space="preserve">true</t>
        </is>
      </c>
      <c r="E164" t="inlineStr">
        <is>
          <t xml:space="preserve">false</t>
        </is>
      </c>
      <c r="G164" t="inlineStr">
        <is>
          <t xml:space="preserve">NPS75L-HL5VWYN 2026</t>
        </is>
      </c>
    </row>
    <row r="165">
      <c r="A165">
        <f>VLOOKUP(G165,MapaProductos!$A:$B,2,FALSE)</f>
      </c>
      <c r="B165">
        <f>Parametros!$B$2</f>
      </c>
      <c r="C165">
        <v>68250.0</v>
      </c>
      <c r="D165" t="inlineStr">
        <is>
          <t xml:space="preserve">true</t>
        </is>
      </c>
      <c r="E165" t="inlineStr">
        <is>
          <t xml:space="preserve">false</t>
        </is>
      </c>
      <c r="G165" t="inlineStr">
        <is>
          <t xml:space="preserve">NPS75L-HL5VWYN 2027</t>
        </is>
      </c>
    </row>
    <row r="166">
      <c r="A166">
        <f>VLOOKUP(G166,MapaProductos!$A:$B,2,FALSE)</f>
      </c>
      <c r="B166">
        <f>Parametros!$B$2</f>
      </c>
      <c r="C166">
        <v>50500.0</v>
      </c>
      <c r="D166" t="inlineStr">
        <is>
          <t xml:space="preserve">true</t>
        </is>
      </c>
      <c r="E166" t="inlineStr">
        <is>
          <t xml:space="preserve">false</t>
        </is>
      </c>
      <c r="G166" t="inlineStr">
        <is>
          <t xml:space="preserve">NQR75L-HN5VAYN 2026</t>
        </is>
      </c>
    </row>
    <row r="167">
      <c r="A167">
        <f>VLOOKUP(G167,MapaProductos!$A:$B,2,FALSE)</f>
      </c>
      <c r="B167">
        <f>Parametros!$B$2</f>
      </c>
      <c r="C167">
        <v>48500.0</v>
      </c>
      <c r="D167" t="inlineStr">
        <is>
          <t xml:space="preserve">true</t>
        </is>
      </c>
      <c r="E167" t="inlineStr">
        <is>
          <t xml:space="preserve">false</t>
        </is>
      </c>
      <c r="G167" t="inlineStr">
        <is>
          <t xml:space="preserve">NQR75L-KN5VAYN 2025</t>
        </is>
      </c>
    </row>
    <row r="168">
      <c r="A168">
        <f>VLOOKUP(G168,MapaProductos!$A:$B,2,FALSE)</f>
      </c>
      <c r="B168">
        <f>Parametros!$B$2</f>
      </c>
      <c r="C168">
        <v>51500.0</v>
      </c>
      <c r="D168" t="inlineStr">
        <is>
          <t xml:space="preserve">true</t>
        </is>
      </c>
      <c r="E168" t="inlineStr">
        <is>
          <t xml:space="preserve">false</t>
        </is>
      </c>
      <c r="G168" t="inlineStr">
        <is>
          <t xml:space="preserve">NQR75L-KN5VAYN 2026</t>
        </is>
      </c>
    </row>
    <row r="169">
      <c r="A169">
        <f>VLOOKUP(G169,MapaProductos!$A:$B,2,FALSE)</f>
      </c>
      <c r="B169">
        <f>Parametros!$B$2</f>
      </c>
      <c r="C169">
        <v>49500.0</v>
      </c>
      <c r="D169" t="inlineStr">
        <is>
          <t xml:space="preserve">true</t>
        </is>
      </c>
      <c r="E169" t="inlineStr">
        <is>
          <t xml:space="preserve">false</t>
        </is>
      </c>
      <c r="G169" t="inlineStr">
        <is>
          <t xml:space="preserve">NQR75L-LN5VAYN 2025</t>
        </is>
      </c>
    </row>
    <row r="170">
      <c r="A170">
        <f>VLOOKUP(G170,MapaProductos!$A:$B,2,FALSE)</f>
      </c>
      <c r="B170">
        <f>Parametros!$B$2</f>
      </c>
      <c r="C170">
        <v>52500.0</v>
      </c>
      <c r="D170" t="inlineStr">
        <is>
          <t xml:space="preserve">true</t>
        </is>
      </c>
      <c r="E170" t="inlineStr">
        <is>
          <t xml:space="preserve">false</t>
        </is>
      </c>
      <c r="G170" t="inlineStr">
        <is>
          <t xml:space="preserve">NQR75L-LN5VAYN 2026</t>
        </is>
      </c>
    </row>
    <row r="171">
      <c r="A171">
        <f>VLOOKUP(G171,MapaProductos!$A:$B,2,FALSE)</f>
      </c>
      <c r="B171">
        <f>Parametros!$B$2</f>
      </c>
      <c r="C171">
        <v>24500.0</v>
      </c>
      <c r="D171" t="inlineStr">
        <is>
          <t xml:space="preserve">true</t>
        </is>
      </c>
      <c r="E171" t="inlineStr">
        <is>
          <t xml:space="preserve">false</t>
        </is>
      </c>
      <c r="G171" t="inlineStr">
        <is>
          <t xml:space="preserve">QLR77L-EE1AYCON 2025</t>
        </is>
      </c>
    </row>
    <row r="172">
      <c r="A172">
        <f>VLOOKUP(G172,MapaProductos!$A:$B,2,FALSE)</f>
      </c>
      <c r="B172">
        <f>Parametros!$B$2</f>
      </c>
      <c r="C172">
        <v>26900.0</v>
      </c>
      <c r="D172" t="inlineStr">
        <is>
          <t xml:space="preserve">true</t>
        </is>
      </c>
      <c r="E172" t="inlineStr">
        <is>
          <t xml:space="preserve">false</t>
        </is>
      </c>
      <c r="G172" t="inlineStr">
        <is>
          <t xml:space="preserve">QLR77L-EE1AYCON 2026</t>
        </is>
      </c>
    </row>
    <row r="173">
      <c r="A173">
        <f>VLOOKUP(G173,MapaProductos!$A:$B,2,FALSE)</f>
      </c>
      <c r="B173">
        <f>Parametros!$B$2</f>
      </c>
      <c r="C173">
        <v>51700.0</v>
      </c>
      <c r="D173" t="inlineStr">
        <is>
          <t xml:space="preserve">true</t>
        </is>
      </c>
      <c r="E173" t="inlineStr">
        <is>
          <t xml:space="preserve">false</t>
        </is>
      </c>
      <c r="G173" t="inlineStr">
        <is>
          <t xml:space="preserve">S1W7L961G D D0RX 2024</t>
        </is>
      </c>
    </row>
    <row r="174">
      <c r="A174">
        <f>VLOOKUP(G174,MapaProductos!$A:$B,2,FALSE)</f>
      </c>
      <c r="B174">
        <f>Parametros!$B$2</f>
      </c>
      <c r="C174">
        <v>85990.0</v>
      </c>
      <c r="D174" t="inlineStr">
        <is>
          <t xml:space="preserve">true</t>
        </is>
      </c>
      <c r="E174" t="inlineStr">
        <is>
          <t xml:space="preserve">false</t>
        </is>
      </c>
      <c r="G174" t="inlineStr">
        <is>
          <t xml:space="preserve">S8W72FC5K G G3RP 2025</t>
        </is>
      </c>
    </row>
    <row r="175">
      <c r="A175">
        <f>VLOOKUP(G175,MapaProductos!$A:$B,2,FALSE)</f>
      </c>
      <c r="B175">
        <f>Parametros!$B$2</f>
      </c>
      <c r="C175">
        <v>85990.0</v>
      </c>
      <c r="D175" t="inlineStr">
        <is>
          <t xml:space="preserve">true</t>
        </is>
      </c>
      <c r="E175" t="inlineStr">
        <is>
          <t xml:space="preserve">false</t>
        </is>
      </c>
      <c r="G175" t="inlineStr">
        <is>
          <t xml:space="preserve">S8W72FC5K G G40T 2025</t>
        </is>
      </c>
    </row>
    <row r="176">
      <c r="A176">
        <f>VLOOKUP(G176,MapaProductos!$A:$B,2,FALSE)</f>
      </c>
      <c r="B176">
        <f>Parametros!$B$2</f>
      </c>
      <c r="C176">
        <v>31990.0</v>
      </c>
      <c r="D176" t="inlineStr">
        <is>
          <t xml:space="preserve">true</t>
        </is>
      </c>
      <c r="E176" t="inlineStr">
        <is>
          <t xml:space="preserve">false</t>
        </is>
      </c>
      <c r="G176" t="inlineStr">
        <is>
          <t xml:space="preserve">SPW5K2G1U D D525 2026</t>
        </is>
      </c>
    </row>
    <row r="177">
      <c r="A177">
        <f>VLOOKUP(G177,MapaProductos!$A:$B,2,FALSE)</f>
      </c>
      <c r="B177">
        <f>Parametros!$B$2</f>
      </c>
      <c r="C177">
        <v>32900.0</v>
      </c>
      <c r="D177" t="inlineStr">
        <is>
          <t xml:space="preserve">true</t>
        </is>
      </c>
      <c r="E177" t="inlineStr">
        <is>
          <t xml:space="preserve">false</t>
        </is>
      </c>
      <c r="G177" t="inlineStr">
        <is>
          <t xml:space="preserve">SPW5K2G1U D D526 2025</t>
        </is>
      </c>
    </row>
    <row r="178">
      <c r="A178">
        <f>VLOOKUP(G178,MapaProductos!$A:$B,2,FALSE)</f>
      </c>
      <c r="B178">
        <f>Parametros!$B$2</f>
      </c>
      <c r="C178">
        <v>33900.0</v>
      </c>
      <c r="D178" t="inlineStr">
        <is>
          <t xml:space="preserve">true</t>
        </is>
      </c>
      <c r="E178" t="inlineStr">
        <is>
          <t xml:space="preserve">false</t>
        </is>
      </c>
      <c r="G178" t="inlineStr">
        <is>
          <t xml:space="preserve">SPW5K2G1U D D526 2026</t>
        </is>
      </c>
    </row>
    <row r="179">
      <c r="A179">
        <f>VLOOKUP(G179,MapaProductos!$A:$B,2,FALSE)</f>
      </c>
      <c r="B179">
        <f>Parametros!$B$2</f>
      </c>
      <c r="C179">
        <v>43900.0</v>
      </c>
      <c r="D179" t="inlineStr">
        <is>
          <t xml:space="preserve">true</t>
        </is>
      </c>
      <c r="E179" t="inlineStr">
        <is>
          <t xml:space="preserve">false</t>
        </is>
      </c>
      <c r="G179" t="inlineStr">
        <is>
          <t xml:space="preserve">SZBB2FC57 S S537 2025</t>
        </is>
      </c>
    </row>
    <row r="180">
      <c r="A180">
        <f>VLOOKUP(G180,MapaProductos!$A:$B,2,FALSE)</f>
      </c>
      <c r="B180">
        <f>Parametros!$B$2</f>
      </c>
      <c r="C180">
        <v>44900.0</v>
      </c>
      <c r="D180" t="inlineStr">
        <is>
          <t xml:space="preserve">true</t>
        </is>
      </c>
      <c r="E180" t="inlineStr">
        <is>
          <t xml:space="preserve">false</t>
        </is>
      </c>
      <c r="G180" t="inlineStr">
        <is>
          <t xml:space="preserve">SZBB2FC57 S S537 2026</t>
        </is>
      </c>
    </row>
    <row r="181">
      <c r="A181">
        <f>VLOOKUP(G181,MapaProductos!$A:$B,2,FALSE)</f>
      </c>
      <c r="B181">
        <f>Parametros!$B$2</f>
      </c>
      <c r="C181">
        <v>51900.0</v>
      </c>
      <c r="D181" t="inlineStr">
        <is>
          <t xml:space="preserve">true</t>
        </is>
      </c>
      <c r="E181" t="inlineStr">
        <is>
          <t xml:space="preserve">false</t>
        </is>
      </c>
      <c r="G181" t="inlineStr">
        <is>
          <t xml:space="preserve">SZBB2FC5J K K608 2025</t>
        </is>
      </c>
    </row>
    <row r="182">
      <c r="A182">
        <f>VLOOKUP(G182,MapaProductos!$A:$B,2,FALSE)</f>
      </c>
      <c r="B182">
        <f>Parametros!$B$2</f>
      </c>
      <c r="C182">
        <v>51900.0</v>
      </c>
      <c r="D182" t="inlineStr">
        <is>
          <t xml:space="preserve">true</t>
        </is>
      </c>
      <c r="E182" t="inlineStr">
        <is>
          <t xml:space="preserve">false</t>
        </is>
      </c>
      <c r="G182" t="inlineStr">
        <is>
          <t xml:space="preserve">SZBB2FC5J K K608 2026</t>
        </is>
      </c>
    </row>
    <row r="183">
      <c r="A183">
        <f>VLOOKUP(G183,MapaProductos!$A:$B,2,FALSE)</f>
      </c>
      <c r="B183">
        <f>Parametros!$B$2</f>
      </c>
      <c r="C183">
        <v>45900.0</v>
      </c>
      <c r="D183" t="inlineStr">
        <is>
          <t xml:space="preserve">true</t>
        </is>
      </c>
      <c r="E183" t="inlineStr">
        <is>
          <t xml:space="preserve">false</t>
        </is>
      </c>
      <c r="G183" t="inlineStr">
        <is>
          <t xml:space="preserve">SZBB2FC5J S S350 2025</t>
        </is>
      </c>
    </row>
    <row r="184">
      <c r="A184">
        <f>VLOOKUP(G184,MapaProductos!$A:$B,2,FALSE)</f>
      </c>
      <c r="B184">
        <f>Parametros!$B$2</f>
      </c>
      <c r="C184">
        <v>45900.0</v>
      </c>
      <c r="D184" t="inlineStr">
        <is>
          <t xml:space="preserve">true</t>
        </is>
      </c>
      <c r="E184" t="inlineStr">
        <is>
          <t xml:space="preserve">false</t>
        </is>
      </c>
      <c r="G184" t="inlineStr">
        <is>
          <t xml:space="preserve">SZBB2FC5J S S539 2025</t>
        </is>
      </c>
    </row>
    <row r="185">
      <c r="A185">
        <f>VLOOKUP(G185,MapaProductos!$A:$B,2,FALSE)</f>
      </c>
      <c r="B185">
        <f>Parametros!$B$2</f>
      </c>
      <c r="C185">
        <v>46900.0</v>
      </c>
      <c r="D185" t="inlineStr">
        <is>
          <t xml:space="preserve">true</t>
        </is>
      </c>
      <c r="E185" t="inlineStr">
        <is>
          <t xml:space="preserve">false</t>
        </is>
      </c>
      <c r="G185" t="inlineStr">
        <is>
          <t xml:space="preserve">SZBB2FC5J S S539 2026</t>
        </is>
      </c>
    </row>
    <row r="186">
      <c r="A186">
        <f>VLOOKUP(G186,MapaProductos!$A:$B,2,FALSE)</f>
      </c>
      <c r="B186">
        <f>Parametros!$B$2</f>
      </c>
      <c r="C186">
        <v>55900.0</v>
      </c>
      <c r="D186" t="inlineStr">
        <is>
          <t xml:space="preserve">true</t>
        </is>
      </c>
      <c r="E186" t="inlineStr">
        <is>
          <t xml:space="preserve">false</t>
        </is>
      </c>
      <c r="G186" t="inlineStr">
        <is>
          <t xml:space="preserve">SZBB2FC5K K K608 2026</t>
        </is>
      </c>
    </row>
    <row r="187">
      <c r="A187">
        <f>VLOOKUP(G187,MapaProductos!$A:$B,2,FALSE)</f>
      </c>
      <c r="B187">
        <f>Parametros!$B$2</f>
      </c>
      <c r="C187">
        <v>59900.0</v>
      </c>
      <c r="D187" t="inlineStr">
        <is>
          <t xml:space="preserve">true</t>
        </is>
      </c>
      <c r="E187" t="inlineStr">
        <is>
          <t xml:space="preserve">false</t>
        </is>
      </c>
      <c r="G187" t="inlineStr">
        <is>
          <t xml:space="preserve">SZBB2FC5K K K609 2025</t>
        </is>
      </c>
    </row>
    <row r="188">
      <c r="A188">
        <f>VLOOKUP(G188,MapaProductos!$A:$B,2,FALSE)</f>
      </c>
      <c r="B188">
        <f>Parametros!$B$2</f>
      </c>
      <c r="C188">
        <v>61900.0</v>
      </c>
      <c r="D188" t="inlineStr">
        <is>
          <t xml:space="preserve">true</t>
        </is>
      </c>
      <c r="E188" t="inlineStr">
        <is>
          <t xml:space="preserve">false</t>
        </is>
      </c>
      <c r="G188" t="inlineStr">
        <is>
          <t xml:space="preserve">SZBB2FC5K K K609 2026</t>
        </is>
      </c>
    </row>
    <row r="189">
      <c r="A189">
        <f>VLOOKUP(G189,MapaProductos!$A:$B,2,FALSE)</f>
      </c>
      <c r="B189">
        <f>Parametros!$B$2</f>
      </c>
      <c r="C189">
        <v>48900.0</v>
      </c>
      <c r="D189" t="inlineStr">
        <is>
          <t xml:space="preserve">true</t>
        </is>
      </c>
      <c r="E189" t="inlineStr">
        <is>
          <t xml:space="preserve">false</t>
        </is>
      </c>
      <c r="G189" t="inlineStr">
        <is>
          <t xml:space="preserve">SZBB2FC5K S S539 2025</t>
        </is>
      </c>
    </row>
    <row r="190">
      <c r="A190">
        <f>VLOOKUP(G190,MapaProductos!$A:$B,2,FALSE)</f>
      </c>
      <c r="B190">
        <f>Parametros!$B$2</f>
      </c>
      <c r="C190">
        <v>49900.0</v>
      </c>
      <c r="D190" t="inlineStr">
        <is>
          <t xml:space="preserve">true</t>
        </is>
      </c>
      <c r="E190" t="inlineStr">
        <is>
          <t xml:space="preserve">false</t>
        </is>
      </c>
      <c r="G190" t="inlineStr">
        <is>
          <t xml:space="preserve">SZBB2FC5K S S539 2026</t>
        </is>
      </c>
    </row>
    <row r="191">
      <c r="A191">
        <f>VLOOKUP(G191,MapaProductos!$A:$B,2,FALSE)</f>
      </c>
      <c r="B191">
        <f>Parametros!$B$2</f>
      </c>
      <c r="C191">
        <v>45900.0</v>
      </c>
      <c r="D191" t="inlineStr">
        <is>
          <t xml:space="preserve">true</t>
        </is>
      </c>
      <c r="E191" t="inlineStr">
        <is>
          <t xml:space="preserve">false</t>
        </is>
      </c>
      <c r="G191" t="inlineStr">
        <is>
          <t xml:space="preserve">SZF32FC57 P P712 2026</t>
        </is>
      </c>
    </row>
    <row r="192">
      <c r="A192">
        <f>VLOOKUP(G192,MapaProductos!$A:$B,2,FALSE)</f>
      </c>
      <c r="B192">
        <f>Parametros!$B$2</f>
      </c>
      <c r="C192">
        <v>44950.0</v>
      </c>
      <c r="D192" t="inlineStr">
        <is>
          <t xml:space="preserve">true</t>
        </is>
      </c>
      <c r="E192" t="inlineStr">
        <is>
          <t xml:space="preserve">false</t>
        </is>
      </c>
      <c r="G192" t="inlineStr">
        <is>
          <t xml:space="preserve">TCL4002 2025</t>
        </is>
      </c>
    </row>
    <row r="193">
      <c r="A193">
        <f>VLOOKUP(G193,MapaProductos!$A:$B,2,FALSE)</f>
      </c>
      <c r="B193">
        <f>Parametros!$B$2</f>
      </c>
      <c r="C193">
        <v>56900.0</v>
      </c>
      <c r="D193" t="inlineStr">
        <is>
          <t xml:space="preserve">true</t>
        </is>
      </c>
      <c r="E193" t="inlineStr">
        <is>
          <t xml:space="preserve">false</t>
        </is>
      </c>
      <c r="G193" t="inlineStr">
        <is>
          <t xml:space="preserve">TCL4008 2025</t>
        </is>
      </c>
    </row>
    <row r="194">
      <c r="A194">
        <f>VLOOKUP(G194,MapaProductos!$A:$B,2,FALSE)</f>
      </c>
      <c r="B194">
        <f>Parametros!$B$2</f>
      </c>
      <c r="C194">
        <v>41900.0</v>
      </c>
      <c r="D194" t="inlineStr">
        <is>
          <t xml:space="preserve">true</t>
        </is>
      </c>
      <c r="E194" t="inlineStr">
        <is>
          <t xml:space="preserve">false</t>
        </is>
      </c>
      <c r="G194" t="inlineStr">
        <is>
          <t xml:space="preserve">TCL5001 2026</t>
        </is>
      </c>
    </row>
    <row r="195">
      <c r="A195">
        <f>VLOOKUP(G195,MapaProductos!$A:$B,2,FALSE)</f>
      </c>
      <c r="B195">
        <f>Parametros!$B$2</f>
      </c>
      <c r="C195">
        <v>46950.0</v>
      </c>
      <c r="D195" t="inlineStr">
        <is>
          <t xml:space="preserve">true</t>
        </is>
      </c>
      <c r="E195" t="inlineStr">
        <is>
          <t xml:space="preserve">false</t>
        </is>
      </c>
      <c r="G195" t="inlineStr">
        <is>
          <t xml:space="preserve">TCL5002 2026</t>
        </is>
      </c>
    </row>
    <row r="196">
      <c r="A196">
        <f>VLOOKUP(G196,MapaProductos!$A:$B,2,FALSE)</f>
      </c>
      <c r="B196">
        <f>Parametros!$B$2</f>
      </c>
      <c r="C196">
        <v>47950.0</v>
      </c>
      <c r="D196" t="inlineStr">
        <is>
          <t xml:space="preserve">true</t>
        </is>
      </c>
      <c r="E196" t="inlineStr">
        <is>
          <t xml:space="preserve">false</t>
        </is>
      </c>
      <c r="G196" t="inlineStr">
        <is>
          <t xml:space="preserve">TCL5003 2026</t>
        </is>
      </c>
    </row>
    <row r="197">
      <c r="A197">
        <f>VLOOKUP(G197,MapaProductos!$A:$B,2,FALSE)</f>
      </c>
      <c r="B197">
        <f>Parametros!$B$2</f>
      </c>
      <c r="C197">
        <v>52900.0</v>
      </c>
      <c r="D197" t="inlineStr">
        <is>
          <t xml:space="preserve">true</t>
        </is>
      </c>
      <c r="E197" t="inlineStr">
        <is>
          <t xml:space="preserve">false</t>
        </is>
      </c>
      <c r="G197" t="inlineStr">
        <is>
          <t xml:space="preserve">TCL5004 2026</t>
        </is>
      </c>
    </row>
    <row r="198">
      <c r="A198">
        <f>VLOOKUP(G198,MapaProductos!$A:$B,2,FALSE)</f>
      </c>
      <c r="B198">
        <f>Parametros!$B$2</f>
      </c>
      <c r="C198">
        <v>49950.0</v>
      </c>
      <c r="D198" t="inlineStr">
        <is>
          <t xml:space="preserve">true</t>
        </is>
      </c>
      <c r="E198" t="inlineStr">
        <is>
          <t xml:space="preserve">false</t>
        </is>
      </c>
      <c r="G198" t="inlineStr">
        <is>
          <t xml:space="preserve">TCL5005 2026</t>
        </is>
      </c>
    </row>
    <row r="199">
      <c r="A199">
        <f>VLOOKUP(G199,MapaProductos!$A:$B,2,FALSE)</f>
      </c>
      <c r="B199">
        <f>Parametros!$B$2</f>
      </c>
      <c r="C199">
        <v>54900.0</v>
      </c>
      <c r="D199" t="inlineStr">
        <is>
          <t xml:space="preserve">true</t>
        </is>
      </c>
      <c r="E199" t="inlineStr">
        <is>
          <t xml:space="preserve">false</t>
        </is>
      </c>
      <c r="G199" t="inlineStr">
        <is>
          <t xml:space="preserve">TCL5006 2026</t>
        </is>
      </c>
    </row>
    <row r="200">
      <c r="A200">
        <f>VLOOKUP(G200,MapaProductos!$A:$B,2,FALSE)</f>
      </c>
      <c r="B200">
        <f>Parametros!$B$2</f>
      </c>
      <c r="C200">
        <v>59900.0</v>
      </c>
      <c r="D200" t="inlineStr">
        <is>
          <t xml:space="preserve">true</t>
        </is>
      </c>
      <c r="E200" t="inlineStr">
        <is>
          <t xml:space="preserve">false</t>
        </is>
      </c>
      <c r="G200" t="inlineStr">
        <is>
          <t xml:space="preserve">TCL5008 2026</t>
        </is>
      </c>
    </row>
    <row r="201">
      <c r="A201">
        <f>VLOOKUP(G201,MapaProductos!$A:$B,2,FALSE)</f>
      </c>
      <c r="B201">
        <f>Parametros!$B$2</f>
      </c>
      <c r="C201">
        <v>33900.0</v>
      </c>
      <c r="D201" t="inlineStr">
        <is>
          <t xml:space="preserve">true</t>
        </is>
      </c>
      <c r="E201" t="inlineStr">
        <is>
          <t xml:space="preserve">false</t>
        </is>
      </c>
      <c r="G201" t="inlineStr">
        <is>
          <t xml:space="preserve">TCL5009 2026</t>
        </is>
      </c>
    </row>
    <row r="202">
      <c r="A202">
        <f>VLOOKUP(G202,MapaProductos!$A:$B,2,FALSE)</f>
      </c>
      <c r="B202">
        <f>Parametros!$B$2</f>
      </c>
      <c r="C202">
        <v>39900.0</v>
      </c>
      <c r="D202" t="inlineStr">
        <is>
          <t xml:space="preserve">true</t>
        </is>
      </c>
      <c r="E202" t="inlineStr">
        <is>
          <t xml:space="preserve">false</t>
        </is>
      </c>
      <c r="G202" t="inlineStr">
        <is>
          <t xml:space="preserve">TCL5010 2026</t>
        </is>
      </c>
    </row>
    <row r="203">
      <c r="A203">
        <f>VLOOKUP(G203,MapaProductos!$A:$B,2,FALSE)</f>
      </c>
      <c r="B203">
        <f>Parametros!$B$2</f>
      </c>
      <c r="C203">
        <v>41900.0</v>
      </c>
      <c r="D203" t="inlineStr">
        <is>
          <t xml:space="preserve">true</t>
        </is>
      </c>
      <c r="E203" t="inlineStr">
        <is>
          <t xml:space="preserve">false</t>
        </is>
      </c>
      <c r="G203" t="inlineStr">
        <is>
          <t xml:space="preserve">TCL5011 2026</t>
        </is>
      </c>
    </row>
    <row r="204">
      <c r="A204">
        <f>VLOOKUP(G204,MapaProductos!$A:$B,2,FALSE)</f>
      </c>
      <c r="B204">
        <f>Parametros!$B$2</f>
      </c>
      <c r="C204">
        <v>45950.0</v>
      </c>
      <c r="D204" t="inlineStr">
        <is>
          <t xml:space="preserve">true</t>
        </is>
      </c>
      <c r="E204" t="inlineStr">
        <is>
          <t xml:space="preserve">false</t>
        </is>
      </c>
      <c r="G204" t="inlineStr">
        <is>
          <t xml:space="preserve">TCL5012 2026</t>
        </is>
      </c>
    </row>
    <row r="205">
      <c r="A205">
        <f>VLOOKUP(G205,MapaProductos!$A:$B,2,FALSE)</f>
      </c>
      <c r="B205">
        <f>Parametros!$B$2</f>
      </c>
      <c r="C205">
        <v>42750.0</v>
      </c>
      <c r="D205" t="inlineStr">
        <is>
          <t xml:space="preserve">true</t>
        </is>
      </c>
      <c r="E205" t="inlineStr">
        <is>
          <t xml:space="preserve">false</t>
        </is>
      </c>
      <c r="G205" t="inlineStr">
        <is>
          <t xml:space="preserve">TCL6001 2027</t>
        </is>
      </c>
    </row>
    <row r="206">
      <c r="A206">
        <f>VLOOKUP(G206,MapaProductos!$A:$B,2,FALSE)</f>
      </c>
      <c r="B206">
        <f>Parametros!$B$2</f>
      </c>
      <c r="C206">
        <v>47900.0</v>
      </c>
      <c r="D206" t="inlineStr">
        <is>
          <t xml:space="preserve">true</t>
        </is>
      </c>
      <c r="E206" t="inlineStr">
        <is>
          <t xml:space="preserve">false</t>
        </is>
      </c>
      <c r="G206" t="inlineStr">
        <is>
          <t xml:space="preserve">TCL6002 2027</t>
        </is>
      </c>
    </row>
    <row r="207">
      <c r="A207">
        <f>VLOOKUP(G207,MapaProductos!$A:$B,2,FALSE)</f>
      </c>
      <c r="B207">
        <f>Parametros!$B$2</f>
      </c>
      <c r="C207">
        <v>48900.0</v>
      </c>
      <c r="D207" t="inlineStr">
        <is>
          <t xml:space="preserve">true</t>
        </is>
      </c>
      <c r="E207" t="inlineStr">
        <is>
          <t xml:space="preserve">false</t>
        </is>
      </c>
      <c r="G207" t="inlineStr">
        <is>
          <t xml:space="preserve">TCL6003 2027</t>
        </is>
      </c>
    </row>
    <row r="208">
      <c r="A208">
        <f>VLOOKUP(G208,MapaProductos!$A:$B,2,FALSE)</f>
      </c>
      <c r="B208">
        <f>Parametros!$B$2</f>
      </c>
      <c r="C208">
        <v>54000.0</v>
      </c>
      <c r="D208" t="inlineStr">
        <is>
          <t xml:space="preserve">true</t>
        </is>
      </c>
      <c r="E208" t="inlineStr">
        <is>
          <t xml:space="preserve">false</t>
        </is>
      </c>
      <c r="G208" t="inlineStr">
        <is>
          <t xml:space="preserve">TCL6004 2027</t>
        </is>
      </c>
    </row>
    <row r="209">
      <c r="A209">
        <f>VLOOKUP(G209,MapaProductos!$A:$B,2,FALSE)</f>
      </c>
      <c r="B209">
        <f>Parametros!$B$2</f>
      </c>
      <c r="C209">
        <v>50900.0</v>
      </c>
      <c r="D209" t="inlineStr">
        <is>
          <t xml:space="preserve">true</t>
        </is>
      </c>
      <c r="E209" t="inlineStr">
        <is>
          <t xml:space="preserve">false</t>
        </is>
      </c>
      <c r="G209" t="inlineStr">
        <is>
          <t xml:space="preserve">TCL6005 2027</t>
        </is>
      </c>
    </row>
    <row r="210">
      <c r="A210">
        <f>VLOOKUP(G210,MapaProductos!$A:$B,2,FALSE)</f>
      </c>
      <c r="B210">
        <f>Parametros!$B$2</f>
      </c>
      <c r="C210">
        <v>34600.0</v>
      </c>
      <c r="D210" t="inlineStr">
        <is>
          <t xml:space="preserve">true</t>
        </is>
      </c>
      <c r="E210" t="inlineStr">
        <is>
          <t xml:space="preserve">false</t>
        </is>
      </c>
      <c r="G210" t="inlineStr">
        <is>
          <t xml:space="preserve">TCL6009 2027</t>
        </is>
      </c>
    </row>
    <row r="211">
      <c r="A211">
        <f>VLOOKUP(G211,MapaProductos!$A:$B,2,FALSE)</f>
      </c>
      <c r="B211">
        <f>Parametros!$B$2</f>
      </c>
      <c r="C211">
        <v>45690.0</v>
      </c>
      <c r="D211" t="inlineStr">
        <is>
          <t xml:space="preserve">true</t>
        </is>
      </c>
      <c r="E211" t="inlineStr">
        <is>
          <t xml:space="preserve">false</t>
        </is>
      </c>
      <c r="G211" t="inlineStr">
        <is>
          <t xml:space="preserve">UG9AHEAD5VT3 B618 2026</t>
        </is>
      </c>
    </row>
    <row r="212">
      <c r="A212">
        <f>VLOOKUP(G212,MapaProductos!$A:$B,2,FALSE)</f>
      </c>
      <c r="B212">
        <f>Parametros!$B$2</f>
      </c>
      <c r="C212">
        <v>46890.0</v>
      </c>
      <c r="D212" t="inlineStr">
        <is>
          <t xml:space="preserve">true</t>
        </is>
      </c>
      <c r="E212" t="inlineStr">
        <is>
          <t xml:space="preserve">false</t>
        </is>
      </c>
      <c r="G212" t="inlineStr">
        <is>
          <t xml:space="preserve">UGAADSAD5DM1 B545 2025</t>
        </is>
      </c>
    </row>
    <row r="213">
      <c r="A213">
        <f>VLOOKUP(G213,MapaProductos!$A:$B,2,FALSE)</f>
      </c>
      <c r="B213">
        <f>Parametros!$B$2</f>
      </c>
      <c r="C213">
        <v>48800.0</v>
      </c>
      <c r="D213" t="inlineStr">
        <is>
          <t xml:space="preserve">true</t>
        </is>
      </c>
      <c r="E213" t="inlineStr">
        <is>
          <t xml:space="preserve">false</t>
        </is>
      </c>
      <c r="G213" t="inlineStr">
        <is>
          <t xml:space="preserve">UGAADSAD5DM1 B545 2026</t>
        </is>
      </c>
    </row>
    <row r="214">
      <c r="A214">
        <f>VLOOKUP(G214,MapaProductos!$A:$B,2,FALSE)</f>
      </c>
      <c r="B214">
        <f>Parametros!$B$2</f>
      </c>
      <c r="C214">
        <v>44900.0</v>
      </c>
      <c r="D214" t="inlineStr">
        <is>
          <t xml:space="preserve">true</t>
        </is>
      </c>
      <c r="E214" t="inlineStr">
        <is>
          <t xml:space="preserve">false</t>
        </is>
      </c>
      <c r="G214" t="inlineStr">
        <is>
          <t xml:space="preserve">UGAAHLAD5VT3 A919 2026</t>
        </is>
      </c>
    </row>
    <row r="215">
      <c r="A215">
        <f>VLOOKUP(G215,MapaProductos!$A:$B,2,FALSE)</f>
      </c>
      <c r="B215">
        <f>Parametros!$B$2</f>
      </c>
      <c r="C215">
        <v>63900.0</v>
      </c>
      <c r="D215" t="inlineStr">
        <is>
          <t xml:space="preserve">true</t>
        </is>
      </c>
      <c r="E215" t="inlineStr">
        <is>
          <t xml:space="preserve">false</t>
        </is>
      </c>
      <c r="G215" t="inlineStr">
        <is>
          <t xml:space="preserve">UJCL201 2024</t>
        </is>
      </c>
    </row>
    <row r="216">
      <c r="A216">
        <f>VLOOKUP(G216,MapaProductos!$A:$B,2,FALSE)</f>
      </c>
      <c r="B216">
        <f>Parametros!$B$2</f>
      </c>
      <c r="C216">
        <v>65900.0</v>
      </c>
      <c r="D216" t="inlineStr">
        <is>
          <t xml:space="preserve">true</t>
        </is>
      </c>
      <c r="E216" t="inlineStr">
        <is>
          <t xml:space="preserve">false</t>
        </is>
      </c>
      <c r="G216" t="inlineStr">
        <is>
          <t xml:space="preserve">UJCL301 2024</t>
        </is>
      </c>
    </row>
    <row r="217">
      <c r="A217">
        <f>VLOOKUP(G217,MapaProductos!$A:$B,2,FALSE)</f>
      </c>
      <c r="B217">
        <f>Parametros!$B$2</f>
      </c>
      <c r="C217">
        <v>71900.0</v>
      </c>
      <c r="D217" t="inlineStr">
        <is>
          <t xml:space="preserve">true</t>
        </is>
      </c>
      <c r="E217" t="inlineStr">
        <is>
          <t xml:space="preserve">false</t>
        </is>
      </c>
      <c r="G217" t="inlineStr">
        <is>
          <t xml:space="preserve">UJCL501 2026</t>
        </is>
      </c>
    </row>
    <row r="218">
      <c r="A218">
        <f>VLOOKUP(G218,MapaProductos!$A:$B,2,FALSE)</f>
      </c>
      <c r="B218">
        <f>Parametros!$B$2</f>
      </c>
      <c r="C218">
        <v>63900.0</v>
      </c>
      <c r="D218" t="inlineStr">
        <is>
          <t xml:space="preserve">true</t>
        </is>
      </c>
      <c r="E218" t="inlineStr">
        <is>
          <t xml:space="preserve">false</t>
        </is>
      </c>
      <c r="G218" t="inlineStr">
        <is>
          <t xml:space="preserve">UJCL502 2026</t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22" customWidth="1"/>
    <col min="3" max="3" width="12" customWidth="1"/>
    <col min="4" max="4" width="10" customWidth="1"/>
    <col min="5" max="5" width="16" customWidth="1"/>
    <col min="6" max="6" width="20" customWidth="1"/>
    <col min="7" max="7" width="18" customWidth="1"/>
    <col min="8" max="8" width="22" customWidth="1"/>
    <col min="9" max="9" width="12" customWidth="1"/>
    <col min="10" max="10" width="16" customWidth="1"/>
    <col min="11" max="11" width="16" customWidth="1"/>
    <col min="12" max="12" width="4" customWidth="1"/>
    <col min="13" max="13" width="26" customWidth="1"/>
  </cols>
  <sheetData>
    <row r="1">
      <c r="A1" s="1" t="inlineStr">
        <is>
          <t xml:space="preserve">Product2Id</t>
        </is>
      </c>
      <c r="B1" s="1" t="inlineStr">
        <is>
          <t xml:space="preserve">Pricebook2Id</t>
        </is>
      </c>
      <c r="C1" s="1" t="inlineStr">
        <is>
          <t xml:space="preserve">UnitPrice</t>
        </is>
      </c>
      <c r="D1" s="1" t="inlineStr">
        <is>
          <t xml:space="preserve">IsActive</t>
        </is>
      </c>
      <c r="E1" s="1" t="inlineStr">
        <is>
          <t xml:space="preserve">UseStandardPrice</t>
        </is>
      </c>
      <c r="F1" s="1" t="inlineStr">
        <is>
          <t xml:space="preserve">PrecioMinimoAsesor__c</t>
        </is>
      </c>
      <c r="G1" s="1" t="inlineStr">
        <is>
          <t xml:space="preserve">PrecioExonerado__c</t>
        </is>
      </c>
      <c r="H1" s="1" t="inlineStr">
        <is>
          <t xml:space="preserve">PrecioExoneradoMinimo__c</t>
        </is>
      </c>
      <c r="I1" s="1" t="inlineStr">
        <is>
          <t xml:space="preserve">Gastos__c</t>
        </is>
      </c>
      <c r="J1" s="1" t="inlineStr">
        <is>
          <t xml:space="preserve">MontoCashback__c</t>
        </is>
      </c>
      <c r="K1" s="1" t="inlineStr">
        <is>
          <t xml:space="preserve">AplicaCashback__c</t>
        </is>
      </c>
      <c r="M1" s="1" t="inlineStr">
        <is>
          <t xml:space="preserve">ProductCode (ref - NAO copiar)</t>
        </is>
      </c>
    </row>
    <row r="2">
      <c r="A2">
        <f>VLOOKUP(M2,MapaProductos!$A:$B,2,FALSE)</f>
      </c>
      <c r="B2">
        <f>Parametros!$B$3</f>
      </c>
      <c r="C2">
        <v>31400.0</v>
      </c>
      <c r="D2" t="inlineStr">
        <is>
          <t xml:space="preserve">true</t>
        </is>
      </c>
      <c r="E2" t="inlineStr">
        <is>
          <t xml:space="preserve">false</t>
        </is>
      </c>
      <c r="F2">
        <v>26900.0</v>
      </c>
      <c r="G2">
        <v>21700.0</v>
      </c>
      <c r="H2">
        <v>17900.0</v>
      </c>
      <c r="I2">
        <v>1600.0</v>
      </c>
      <c r="J2">
        <v>3000.0</v>
      </c>
      <c r="K2" t="inlineStr">
        <is>
          <t xml:space="preserve">false</t>
        </is>
      </c>
      <c r="M2" t="inlineStr">
        <is>
          <t xml:space="preserve">0YS4D661V D D394 2025</t>
        </is>
      </c>
    </row>
    <row r="3">
      <c r="A3">
        <f>VLOOKUP(M3,MapaProductos!$A:$B,2,FALSE)</f>
      </c>
      <c r="B3">
        <f>Parametros!$B$3</f>
      </c>
      <c r="C3">
        <v>30400.0</v>
      </c>
      <c r="D3" t="inlineStr">
        <is>
          <t xml:space="preserve">true</t>
        </is>
      </c>
      <c r="E3" t="inlineStr">
        <is>
          <t xml:space="preserve">false</t>
        </is>
      </c>
      <c r="F3">
        <v>24400.0</v>
      </c>
      <c r="G3">
        <v>21300.0</v>
      </c>
      <c r="H3">
        <v>16800.0</v>
      </c>
      <c r="I3">
        <v>1600.0</v>
      </c>
      <c r="J3">
        <v>4500.0</v>
      </c>
      <c r="K3" t="inlineStr">
        <is>
          <t xml:space="preserve">false</t>
        </is>
      </c>
      <c r="M3" t="inlineStr">
        <is>
          <t xml:space="preserve">0YS4D661V D D571 2025</t>
        </is>
      </c>
    </row>
    <row r="4">
      <c r="A4">
        <f>VLOOKUP(M4,MapaProductos!$A:$B,2,FALSE)</f>
      </c>
      <c r="B4">
        <f>Parametros!$B$3</f>
      </c>
      <c r="C4">
        <v>33400.0</v>
      </c>
      <c r="D4" t="inlineStr">
        <is>
          <t xml:space="preserve">true</t>
        </is>
      </c>
      <c r="E4" t="inlineStr">
        <is>
          <t xml:space="preserve">false</t>
        </is>
      </c>
      <c r="F4">
        <v>28900.0</v>
      </c>
      <c r="G4">
        <v>23100.0</v>
      </c>
      <c r="H4">
        <v>19200.0</v>
      </c>
      <c r="I4">
        <v>1600.0</v>
      </c>
      <c r="J4">
        <v>3000.0</v>
      </c>
      <c r="K4" t="inlineStr">
        <is>
          <t xml:space="preserve">false</t>
        </is>
      </c>
      <c r="M4" t="inlineStr">
        <is>
          <t xml:space="preserve">0YS4D661V D D572 2025</t>
        </is>
      </c>
    </row>
    <row r="5">
      <c r="A5">
        <f>VLOOKUP(M5,MapaProductos!$A:$B,2,FALSE)</f>
      </c>
      <c r="B5">
        <f>Parametros!$B$3</f>
      </c>
      <c r="C5">
        <v>30400.0</v>
      </c>
      <c r="D5" t="inlineStr">
        <is>
          <t xml:space="preserve">true</t>
        </is>
      </c>
      <c r="E5" t="inlineStr">
        <is>
          <t xml:space="preserve">false</t>
        </is>
      </c>
      <c r="F5">
        <v>27400.0</v>
      </c>
      <c r="G5">
        <v>20600.0</v>
      </c>
      <c r="H5">
        <v>17500.0</v>
      </c>
      <c r="I5">
        <v>2000.0</v>
      </c>
      <c r="J5">
        <v>3000.0</v>
      </c>
      <c r="K5" t="inlineStr">
        <is>
          <t xml:space="preserve">false</t>
        </is>
      </c>
      <c r="M5" t="inlineStr">
        <is>
          <t xml:space="preserve">0YS4D661V D D720 2026</t>
        </is>
      </c>
    </row>
    <row r="6">
      <c r="A6">
        <f>VLOOKUP(M6,MapaProductos!$A:$B,2,FALSE)</f>
      </c>
      <c r="B6">
        <f>Parametros!$B$3</f>
      </c>
      <c r="C6">
        <v>34400.0</v>
      </c>
      <c r="D6" t="inlineStr">
        <is>
          <t xml:space="preserve">true</t>
        </is>
      </c>
      <c r="E6" t="inlineStr">
        <is>
          <t xml:space="preserve">false</t>
        </is>
      </c>
      <c r="F6">
        <v>30900.0</v>
      </c>
      <c r="G6">
        <v>23700.0</v>
      </c>
      <c r="H6">
        <v>20100.0</v>
      </c>
      <c r="I6">
        <v>1600.0</v>
      </c>
      <c r="J6">
        <v>3000.0</v>
      </c>
      <c r="K6" t="inlineStr">
        <is>
          <t xml:space="preserve">false</t>
        </is>
      </c>
      <c r="M6" t="inlineStr">
        <is>
          <t xml:space="preserve">0YS4D661V D D743 2026</t>
        </is>
      </c>
    </row>
    <row r="7">
      <c r="A7">
        <f>VLOOKUP(M7,MapaProductos!$A:$B,2,FALSE)</f>
      </c>
      <c r="B7">
        <f>Parametros!$B$3</f>
      </c>
      <c r="C7">
        <v>62900.0</v>
      </c>
      <c r="D7" t="inlineStr">
        <is>
          <t xml:space="preserve">true</t>
        </is>
      </c>
      <c r="E7" t="inlineStr">
        <is>
          <t xml:space="preserve">false</t>
        </is>
      </c>
      <c r="F7">
        <v>54700.0</v>
      </c>
      <c r="G7">
        <v>41337.5</v>
      </c>
      <c r="H7">
        <v>62400.0</v>
      </c>
      <c r="I7">
        <v>1900.0</v>
      </c>
      <c r="K7" t="inlineStr">
        <is>
          <t xml:space="preserve">false</t>
        </is>
      </c>
      <c r="M7" t="inlineStr">
        <is>
          <t xml:space="preserve">12L43-D 2025</t>
        </is>
      </c>
    </row>
    <row r="8">
      <c r="A8">
        <f>VLOOKUP(M8,MapaProductos!$A:$B,2,FALSE)</f>
      </c>
      <c r="B8">
        <f>Parametros!$B$3</f>
      </c>
      <c r="C8">
        <v>63500.0</v>
      </c>
      <c r="D8" t="inlineStr">
        <is>
          <t xml:space="preserve">true</t>
        </is>
      </c>
      <c r="E8" t="inlineStr">
        <is>
          <t xml:space="preserve">false</t>
        </is>
      </c>
      <c r="F8">
        <v>58400.0</v>
      </c>
      <c r="G8">
        <v>41688.75</v>
      </c>
      <c r="H8">
        <v>63000.0</v>
      </c>
      <c r="I8">
        <v>1900.0</v>
      </c>
      <c r="K8" t="inlineStr">
        <is>
          <t xml:space="preserve">false</t>
        </is>
      </c>
      <c r="M8" t="inlineStr">
        <is>
          <t xml:space="preserve">12L43-D 2026</t>
        </is>
      </c>
    </row>
    <row r="9">
      <c r="A9">
        <f>VLOOKUP(M9,MapaProductos!$A:$B,2,FALSE)</f>
      </c>
      <c r="B9">
        <f>Parametros!$B$3</f>
      </c>
      <c r="C9">
        <v>59900.0</v>
      </c>
      <c r="D9" t="inlineStr">
        <is>
          <t xml:space="preserve">true</t>
        </is>
      </c>
      <c r="E9" t="inlineStr">
        <is>
          <t xml:space="preserve">false</t>
        </is>
      </c>
      <c r="F9">
        <v>54800.0</v>
      </c>
      <c r="G9">
        <v>39626.25</v>
      </c>
      <c r="H9">
        <v>59400.0</v>
      </c>
      <c r="I9">
        <v>1800.0</v>
      </c>
      <c r="K9" t="inlineStr">
        <is>
          <t xml:space="preserve">false</t>
        </is>
      </c>
      <c r="M9" t="inlineStr">
        <is>
          <t xml:space="preserve">12L43-E 2026</t>
        </is>
      </c>
    </row>
    <row r="10">
      <c r="A10">
        <f>VLOOKUP(M10,MapaProductos!$A:$B,2,FALSE)</f>
      </c>
      <c r="B10">
        <f>Parametros!$B$3</f>
      </c>
      <c r="C10">
        <v>65900.0</v>
      </c>
      <c r="D10" t="inlineStr">
        <is>
          <t xml:space="preserve">true</t>
        </is>
      </c>
      <c r="E10" t="inlineStr">
        <is>
          <t xml:space="preserve">false</t>
        </is>
      </c>
      <c r="F10">
        <v>57700.0</v>
      </c>
      <c r="G10">
        <v>43478.75</v>
      </c>
      <c r="H10">
        <v>65400.0</v>
      </c>
      <c r="I10">
        <v>2100.0</v>
      </c>
      <c r="K10" t="inlineStr">
        <is>
          <t xml:space="preserve">false</t>
        </is>
      </c>
      <c r="M10" t="inlineStr">
        <is>
          <t xml:space="preserve">12L43-G 2025</t>
        </is>
      </c>
    </row>
    <row r="11">
      <c r="A11">
        <f>VLOOKUP(M11,MapaProductos!$A:$B,2,FALSE)</f>
      </c>
      <c r="B11">
        <f>Parametros!$B$3</f>
      </c>
      <c r="C11">
        <v>65900.0</v>
      </c>
      <c r="D11" t="inlineStr">
        <is>
          <t xml:space="preserve">true</t>
        </is>
      </c>
      <c r="E11" t="inlineStr">
        <is>
          <t xml:space="preserve">false</t>
        </is>
      </c>
      <c r="F11">
        <v>60800.0</v>
      </c>
      <c r="G11">
        <v>43848.75</v>
      </c>
      <c r="H11">
        <v>65400.0</v>
      </c>
      <c r="I11">
        <v>2100.0</v>
      </c>
      <c r="K11" t="inlineStr">
        <is>
          <t xml:space="preserve">false</t>
        </is>
      </c>
      <c r="M11" t="inlineStr">
        <is>
          <t xml:space="preserve">12L43-G 2026</t>
        </is>
      </c>
    </row>
    <row r="12">
      <c r="A12">
        <f>VLOOKUP(M12,MapaProductos!$A:$B,2,FALSE)</f>
      </c>
      <c r="B12">
        <f>Parametros!$B$3</f>
      </c>
      <c r="C12">
        <v>67900.0</v>
      </c>
      <c r="D12" t="inlineStr">
        <is>
          <t xml:space="preserve">true</t>
        </is>
      </c>
      <c r="E12" t="inlineStr">
        <is>
          <t xml:space="preserve">false</t>
        </is>
      </c>
      <c r="F12">
        <v>59800.0</v>
      </c>
      <c r="G12">
        <v>43805.0</v>
      </c>
      <c r="H12">
        <v>67400.0</v>
      </c>
      <c r="I12">
        <v>2100.0</v>
      </c>
      <c r="K12" t="inlineStr">
        <is>
          <t xml:space="preserve">false</t>
        </is>
      </c>
      <c r="M12" t="inlineStr">
        <is>
          <t xml:space="preserve">12S26-G 2025</t>
        </is>
      </c>
    </row>
    <row r="13">
      <c r="A13">
        <f>VLOOKUP(M13,MapaProductos!$A:$B,2,FALSE)</f>
      </c>
      <c r="B13">
        <f>Parametros!$B$3</f>
      </c>
      <c r="C13">
        <v>68900.0</v>
      </c>
      <c r="D13" t="inlineStr">
        <is>
          <t xml:space="preserve">true</t>
        </is>
      </c>
      <c r="E13" t="inlineStr">
        <is>
          <t xml:space="preserve">false</t>
        </is>
      </c>
      <c r="F13">
        <v>64800.0</v>
      </c>
      <c r="G13">
        <v>44602.5</v>
      </c>
      <c r="H13">
        <v>68400.0</v>
      </c>
      <c r="I13">
        <v>2100.0</v>
      </c>
      <c r="K13" t="inlineStr">
        <is>
          <t xml:space="preserve">false</t>
        </is>
      </c>
      <c r="M13" t="inlineStr">
        <is>
          <t xml:space="preserve">12S26-G 2026</t>
        </is>
      </c>
    </row>
    <row r="14">
      <c r="A14">
        <f>VLOOKUP(M14,MapaProductos!$A:$B,2,FALSE)</f>
      </c>
      <c r="B14">
        <f>Parametros!$B$3</f>
      </c>
      <c r="C14">
        <v>27900.0</v>
      </c>
      <c r="D14" t="inlineStr">
        <is>
          <t xml:space="preserve">true</t>
        </is>
      </c>
      <c r="E14" t="inlineStr">
        <is>
          <t xml:space="preserve">false</t>
        </is>
      </c>
      <c r="F14">
        <v>27500.0</v>
      </c>
      <c r="G14">
        <v>27900.0</v>
      </c>
      <c r="H14">
        <v>25800.0</v>
      </c>
      <c r="I14">
        <v>800.0</v>
      </c>
      <c r="K14" t="inlineStr">
        <is>
          <t xml:space="preserve">false</t>
        </is>
      </c>
      <c r="M14" t="inlineStr">
        <is>
          <t xml:space="preserve">1E426-A 2026</t>
        </is>
      </c>
    </row>
    <row r="15">
      <c r="A15">
        <f>VLOOKUP(M15,MapaProductos!$A:$B,2,FALSE)</f>
      </c>
      <c r="B15">
        <f>Parametros!$B$3</f>
      </c>
      <c r="C15">
        <v>27900.0</v>
      </c>
      <c r="D15" t="inlineStr">
        <is>
          <t xml:space="preserve">true</t>
        </is>
      </c>
      <c r="E15" t="inlineStr">
        <is>
          <t xml:space="preserve">false</t>
        </is>
      </c>
      <c r="F15">
        <v>27500.0</v>
      </c>
      <c r="G15">
        <v>27900.0</v>
      </c>
      <c r="H15">
        <v>25800.0</v>
      </c>
      <c r="I15">
        <v>800.0</v>
      </c>
      <c r="K15" t="inlineStr">
        <is>
          <t xml:space="preserve">false</t>
        </is>
      </c>
      <c r="M15" t="inlineStr">
        <is>
          <t xml:space="preserve">1E426-B 2026</t>
        </is>
      </c>
    </row>
    <row r="16">
      <c r="A16">
        <f>VLOOKUP(M16,MapaProductos!$A:$B,2,FALSE)</f>
      </c>
      <c r="B16">
        <f>Parametros!$B$3</f>
      </c>
      <c r="C16">
        <v>28900.0</v>
      </c>
      <c r="D16" t="inlineStr">
        <is>
          <t xml:space="preserve">true</t>
        </is>
      </c>
      <c r="E16" t="inlineStr">
        <is>
          <t xml:space="preserve">false</t>
        </is>
      </c>
      <c r="F16">
        <v>27100.0</v>
      </c>
      <c r="G16">
        <v>20990.0</v>
      </c>
      <c r="H16">
        <v>28900.0</v>
      </c>
      <c r="I16">
        <v>900.0</v>
      </c>
      <c r="K16" t="inlineStr">
        <is>
          <t xml:space="preserve">false</t>
        </is>
      </c>
      <c r="M16" t="inlineStr">
        <is>
          <t xml:space="preserve">1EH76-C 2026</t>
        </is>
      </c>
    </row>
    <row r="17">
      <c r="A17">
        <f>VLOOKUP(M17,MapaProductos!$A:$B,2,FALSE)</f>
      </c>
      <c r="B17">
        <f>Parametros!$B$3</f>
      </c>
      <c r="C17">
        <v>33900.0</v>
      </c>
      <c r="D17" t="inlineStr">
        <is>
          <t xml:space="preserve">true</t>
        </is>
      </c>
      <c r="E17" t="inlineStr">
        <is>
          <t xml:space="preserve">false</t>
        </is>
      </c>
      <c r="F17">
        <v>28800.0</v>
      </c>
      <c r="G17">
        <v>21027.5</v>
      </c>
      <c r="H17">
        <v>33400.0</v>
      </c>
      <c r="I17">
        <v>900.0</v>
      </c>
      <c r="K17" t="inlineStr">
        <is>
          <t xml:space="preserve">false</t>
        </is>
      </c>
      <c r="M17" t="inlineStr">
        <is>
          <t xml:space="preserve">1EH76-R 2025</t>
        </is>
      </c>
    </row>
    <row r="18">
      <c r="A18">
        <f>VLOOKUP(M18,MapaProductos!$A:$B,2,FALSE)</f>
      </c>
      <c r="B18">
        <f>Parametros!$B$3</f>
      </c>
      <c r="C18">
        <v>35500.0</v>
      </c>
      <c r="D18" t="inlineStr">
        <is>
          <t xml:space="preserve">true</t>
        </is>
      </c>
      <c r="E18" t="inlineStr">
        <is>
          <t xml:space="preserve">false</t>
        </is>
      </c>
      <c r="F18">
        <v>28900.0</v>
      </c>
      <c r="G18">
        <v>22555.0</v>
      </c>
      <c r="H18">
        <v>35000.0</v>
      </c>
      <c r="I18">
        <v>1000.0</v>
      </c>
      <c r="K18" t="inlineStr">
        <is>
          <t xml:space="preserve">false</t>
        </is>
      </c>
      <c r="M18" t="inlineStr">
        <is>
          <t xml:space="preserve">1EJ76-D 2025</t>
        </is>
      </c>
    </row>
    <row r="19">
      <c r="A19">
        <f>VLOOKUP(M19,MapaProductos!$A:$B,2,FALSE)</f>
      </c>
      <c r="B19">
        <f>Parametros!$B$3</f>
      </c>
      <c r="C19">
        <v>32500.0</v>
      </c>
      <c r="D19" t="inlineStr">
        <is>
          <t xml:space="preserve">true</t>
        </is>
      </c>
      <c r="E19" t="inlineStr">
        <is>
          <t xml:space="preserve">false</t>
        </is>
      </c>
      <c r="F19">
        <v>31000.0</v>
      </c>
      <c r="G19">
        <v>22768.0</v>
      </c>
      <c r="H19">
        <v>32500.0</v>
      </c>
      <c r="I19">
        <v>1000.0</v>
      </c>
      <c r="K19" t="inlineStr">
        <is>
          <t xml:space="preserve">false</t>
        </is>
      </c>
      <c r="M19" t="inlineStr">
        <is>
          <t xml:space="preserve">1EJ76-D 2026</t>
        </is>
      </c>
    </row>
    <row r="20">
      <c r="A20">
        <f>VLOOKUP(M20,MapaProductos!$A:$B,2,FALSE)</f>
      </c>
      <c r="B20">
        <f>Parametros!$B$3</f>
      </c>
      <c r="C20">
        <v>38400.0</v>
      </c>
      <c r="D20" t="inlineStr">
        <is>
          <t xml:space="preserve">true</t>
        </is>
      </c>
      <c r="E20" t="inlineStr">
        <is>
          <t xml:space="preserve">false</t>
        </is>
      </c>
      <c r="F20">
        <v>31830.0</v>
      </c>
      <c r="G20">
        <v>26970.0</v>
      </c>
      <c r="H20">
        <v>24070.0</v>
      </c>
      <c r="I20">
        <v>1800.0</v>
      </c>
      <c r="J20">
        <v>4000.0</v>
      </c>
      <c r="K20" t="inlineStr">
        <is>
          <t xml:space="preserve">false</t>
        </is>
      </c>
      <c r="M20" t="inlineStr">
        <is>
          <t xml:space="preserve">1EW52J61V D D466 2025</t>
        </is>
      </c>
    </row>
    <row r="21">
      <c r="A21">
        <f>VLOOKUP(M21,MapaProductos!$A:$B,2,FALSE)</f>
      </c>
      <c r="B21">
        <f>Parametros!$B$3</f>
      </c>
      <c r="C21">
        <v>39400.0</v>
      </c>
      <c r="D21" t="inlineStr">
        <is>
          <t xml:space="preserve">true</t>
        </is>
      </c>
      <c r="E21" t="inlineStr">
        <is>
          <t xml:space="preserve">false</t>
        </is>
      </c>
      <c r="F21">
        <v>32830.0</v>
      </c>
      <c r="G21">
        <v>27570.0</v>
      </c>
      <c r="H21">
        <v>23670.0</v>
      </c>
      <c r="I21">
        <v>1800.0</v>
      </c>
      <c r="J21">
        <v>5000.0</v>
      </c>
      <c r="K21" t="inlineStr">
        <is>
          <t xml:space="preserve">false</t>
        </is>
      </c>
      <c r="M21" t="inlineStr">
        <is>
          <t xml:space="preserve">1EW52J61V D D579 2025</t>
        </is>
      </c>
    </row>
    <row r="22">
      <c r="A22">
        <f>VLOOKUP(M22,MapaProductos!$A:$B,2,FALSE)</f>
      </c>
      <c r="B22">
        <f>Parametros!$B$3</f>
      </c>
      <c r="C22">
        <v>40400.0</v>
      </c>
      <c r="D22" t="inlineStr">
        <is>
          <t xml:space="preserve">true</t>
        </is>
      </c>
      <c r="E22" t="inlineStr">
        <is>
          <t xml:space="preserve">false</t>
        </is>
      </c>
      <c r="F22">
        <v>33830.0</v>
      </c>
      <c r="G22">
        <v>28270.0</v>
      </c>
      <c r="H22">
        <v>23870.0</v>
      </c>
      <c r="I22">
        <v>1800.0</v>
      </c>
      <c r="J22">
        <v>5000.0</v>
      </c>
      <c r="K22" t="inlineStr">
        <is>
          <t xml:space="preserve">false</t>
        </is>
      </c>
      <c r="M22" t="inlineStr">
        <is>
          <t xml:space="preserve">1EW52J61V D D579 2026</t>
        </is>
      </c>
    </row>
    <row r="23">
      <c r="A23">
        <f>VLOOKUP(M23,MapaProductos!$A:$B,2,FALSE)</f>
      </c>
      <c r="B23">
        <f>Parametros!$B$3</f>
      </c>
      <c r="C23">
        <v>35400.0</v>
      </c>
      <c r="D23" t="inlineStr">
        <is>
          <t xml:space="preserve">true</t>
        </is>
      </c>
      <c r="E23" t="inlineStr">
        <is>
          <t xml:space="preserve">false</t>
        </is>
      </c>
      <c r="F23">
        <v>31830.0</v>
      </c>
      <c r="G23">
        <v>24370.0</v>
      </c>
      <c r="H23">
        <v>21270.0</v>
      </c>
      <c r="I23">
        <v>1800.0</v>
      </c>
      <c r="J23">
        <v>3000.0</v>
      </c>
      <c r="K23" t="inlineStr">
        <is>
          <t xml:space="preserve">false</t>
        </is>
      </c>
      <c r="M23" t="inlineStr">
        <is>
          <t xml:space="preserve">1EW52J61V D D591 2025</t>
        </is>
      </c>
    </row>
    <row r="24">
      <c r="A24">
        <f>VLOOKUP(M24,MapaProductos!$A:$B,2,FALSE)</f>
      </c>
      <c r="B24">
        <f>Parametros!$B$3</f>
      </c>
      <c r="C24">
        <v>45600.0</v>
      </c>
      <c r="D24" t="inlineStr">
        <is>
          <t xml:space="preserve">true</t>
        </is>
      </c>
      <c r="E24" t="inlineStr">
        <is>
          <t xml:space="preserve">false</t>
        </is>
      </c>
      <c r="F24">
        <v>42030.0</v>
      </c>
      <c r="G24">
        <v>31370.0</v>
      </c>
      <c r="H24">
        <v>27870.0</v>
      </c>
      <c r="I24">
        <v>2000.0</v>
      </c>
      <c r="J24">
        <v>3000.0</v>
      </c>
      <c r="K24" t="inlineStr">
        <is>
          <t xml:space="preserve">false</t>
        </is>
      </c>
      <c r="M24" t="inlineStr">
        <is>
          <t xml:space="preserve">1EW5D5G1K D D467 2025</t>
        </is>
      </c>
    </row>
    <row r="25">
      <c r="A25">
        <f>VLOOKUP(M25,MapaProductos!$A:$B,2,FALSE)</f>
      </c>
      <c r="B25">
        <f>Parametros!$B$3</f>
      </c>
      <c r="C25">
        <v>42500.0</v>
      </c>
      <c r="D25" t="inlineStr">
        <is>
          <t xml:space="preserve">true</t>
        </is>
      </c>
      <c r="E25" t="inlineStr">
        <is>
          <t xml:space="preserve">false</t>
        </is>
      </c>
      <c r="F25">
        <v>34930.0</v>
      </c>
      <c r="G25">
        <v>29670.0</v>
      </c>
      <c r="H25">
        <v>27770.0</v>
      </c>
      <c r="I25">
        <v>1900.0</v>
      </c>
      <c r="J25">
        <v>5000.0</v>
      </c>
      <c r="K25" t="inlineStr">
        <is>
          <t xml:space="preserve">false</t>
        </is>
      </c>
      <c r="M25" t="inlineStr">
        <is>
          <t xml:space="preserve">1EW5D5G1K D D468. 2025</t>
        </is>
      </c>
    </row>
    <row r="26">
      <c r="A26">
        <f>VLOOKUP(M26,MapaProductos!$A:$B,2,FALSE)</f>
      </c>
      <c r="B26">
        <f>Parametros!$B$3</f>
      </c>
      <c r="C26">
        <v>48600.0</v>
      </c>
      <c r="D26" t="inlineStr">
        <is>
          <t xml:space="preserve">true</t>
        </is>
      </c>
      <c r="E26" t="inlineStr">
        <is>
          <t xml:space="preserve">false</t>
        </is>
      </c>
      <c r="F26">
        <v>45030.0</v>
      </c>
      <c r="G26">
        <v>33670.0</v>
      </c>
      <c r="H26">
        <v>30170.0</v>
      </c>
      <c r="I26">
        <v>2000.0</v>
      </c>
      <c r="J26">
        <v>3000.0</v>
      </c>
      <c r="K26" t="inlineStr">
        <is>
          <t xml:space="preserve">false</t>
        </is>
      </c>
      <c r="M26" t="inlineStr">
        <is>
          <t xml:space="preserve">1EW5D5G1K D D690. 2026</t>
        </is>
      </c>
    </row>
    <row r="27">
      <c r="A27">
        <f>VLOOKUP(M27,MapaProductos!$A:$B,2,FALSE)</f>
      </c>
      <c r="B27">
        <f>Parametros!$B$3</f>
      </c>
      <c r="C27">
        <v>43500.0</v>
      </c>
      <c r="D27" t="inlineStr">
        <is>
          <t xml:space="preserve">true</t>
        </is>
      </c>
      <c r="E27" t="inlineStr">
        <is>
          <t xml:space="preserve">false</t>
        </is>
      </c>
      <c r="F27">
        <v>35930.0</v>
      </c>
      <c r="G27">
        <v>30470.0</v>
      </c>
      <c r="H27">
        <v>28170.0</v>
      </c>
      <c r="I27">
        <v>1900.0</v>
      </c>
      <c r="J27">
        <v>5000.0</v>
      </c>
      <c r="K27" t="inlineStr">
        <is>
          <t xml:space="preserve">false</t>
        </is>
      </c>
      <c r="M27" t="inlineStr">
        <is>
          <t xml:space="preserve">1EW5D5G1K D D691. 2025</t>
        </is>
      </c>
    </row>
    <row r="28">
      <c r="A28">
        <f>VLOOKUP(M28,MapaProductos!$A:$B,2,FALSE)</f>
      </c>
      <c r="B28">
        <f>Parametros!$B$3</f>
      </c>
      <c r="C28">
        <v>57200.0</v>
      </c>
      <c r="D28" t="inlineStr">
        <is>
          <t xml:space="preserve">true</t>
        </is>
      </c>
      <c r="E28" t="inlineStr">
        <is>
          <t xml:space="preserve">false</t>
        </is>
      </c>
      <c r="F28">
        <v>41100.0</v>
      </c>
      <c r="G28">
        <v>57200.0</v>
      </c>
      <c r="H28">
        <v>41100.0</v>
      </c>
      <c r="I28">
        <v>2800.0</v>
      </c>
      <c r="J28">
        <v>16100.0</v>
      </c>
      <c r="K28" t="inlineStr">
        <is>
          <t xml:space="preserve">false</t>
        </is>
      </c>
      <c r="M28" t="inlineStr">
        <is>
          <t xml:space="preserve">1FW5ZHZ7Z D D106 2024</t>
        </is>
      </c>
    </row>
    <row r="29">
      <c r="A29">
        <f>VLOOKUP(M29,MapaProductos!$A:$B,2,FALSE)</f>
      </c>
      <c r="B29">
        <f>Parametros!$B$3</f>
      </c>
      <c r="C29">
        <v>59100.0</v>
      </c>
      <c r="D29" t="inlineStr">
        <is>
          <t xml:space="preserve">true</t>
        </is>
      </c>
      <c r="E29" t="inlineStr">
        <is>
          <t xml:space="preserve">false</t>
        </is>
      </c>
      <c r="F29">
        <v>50100.0</v>
      </c>
      <c r="G29">
        <v>59100.0</v>
      </c>
      <c r="H29">
        <v>50100.0</v>
      </c>
      <c r="I29">
        <v>2800.0</v>
      </c>
      <c r="J29">
        <v>9000.0</v>
      </c>
      <c r="K29" t="inlineStr">
        <is>
          <t xml:space="preserve">false</t>
        </is>
      </c>
      <c r="M29" t="inlineStr">
        <is>
          <t xml:space="preserve">1FW5ZHZ7Z D D123 2025</t>
        </is>
      </c>
    </row>
    <row r="30">
      <c r="A30">
        <f>VLOOKUP(M30,MapaProductos!$A:$B,2,FALSE)</f>
      </c>
      <c r="B30">
        <f>Parametros!$B$3</f>
      </c>
      <c r="C30">
        <v>48800.0</v>
      </c>
      <c r="D30" t="inlineStr">
        <is>
          <t xml:space="preserve">true</t>
        </is>
      </c>
      <c r="E30" t="inlineStr">
        <is>
          <t xml:space="preserve">false</t>
        </is>
      </c>
      <c r="F30">
        <v>37800.0</v>
      </c>
      <c r="G30">
        <v>48800.0</v>
      </c>
      <c r="H30">
        <v>38800.0</v>
      </c>
      <c r="I30">
        <v>2500.0</v>
      </c>
      <c r="J30">
        <v>10000.0</v>
      </c>
      <c r="K30" t="inlineStr">
        <is>
          <t xml:space="preserve">false</t>
        </is>
      </c>
      <c r="M30" t="inlineStr">
        <is>
          <t xml:space="preserve">1FW5ZHZ7Z D D137 2025</t>
        </is>
      </c>
    </row>
    <row r="31">
      <c r="A31">
        <f>VLOOKUP(M31,MapaProductos!$A:$B,2,FALSE)</f>
      </c>
      <c r="B31">
        <f>Parametros!$B$3</f>
      </c>
      <c r="C31">
        <v>59100.0</v>
      </c>
      <c r="D31" t="inlineStr">
        <is>
          <t xml:space="preserve">true</t>
        </is>
      </c>
      <c r="E31" t="inlineStr">
        <is>
          <t xml:space="preserve">false</t>
        </is>
      </c>
      <c r="F31">
        <v>50100.0</v>
      </c>
      <c r="G31">
        <v>59100.0</v>
      </c>
      <c r="H31">
        <v>50100.0</v>
      </c>
      <c r="I31">
        <v>2800.0</v>
      </c>
      <c r="J31">
        <v>9000.0</v>
      </c>
      <c r="K31" t="inlineStr">
        <is>
          <t xml:space="preserve">false</t>
        </is>
      </c>
      <c r="M31" t="inlineStr">
        <is>
          <t xml:space="preserve">1FW5ZHZ7Z D D202 2025</t>
        </is>
      </c>
    </row>
    <row r="32">
      <c r="A32">
        <f>VLOOKUP(M32,MapaProductos!$A:$B,2,FALSE)</f>
      </c>
      <c r="B32">
        <f>Parametros!$B$3</f>
      </c>
      <c r="C32">
        <v>48800.0</v>
      </c>
      <c r="D32" t="inlineStr">
        <is>
          <t xml:space="preserve">true</t>
        </is>
      </c>
      <c r="E32" t="inlineStr">
        <is>
          <t xml:space="preserve">false</t>
        </is>
      </c>
      <c r="F32">
        <v>37800.0</v>
      </c>
      <c r="G32">
        <v>48800.0</v>
      </c>
      <c r="H32">
        <v>38800.0</v>
      </c>
      <c r="I32">
        <v>2500.0</v>
      </c>
      <c r="J32">
        <v>10000.0</v>
      </c>
      <c r="K32" t="inlineStr">
        <is>
          <t xml:space="preserve">false</t>
        </is>
      </c>
      <c r="M32" t="inlineStr">
        <is>
          <t xml:space="preserve">1FW5ZHZ7Z D D232 2025</t>
        </is>
      </c>
    </row>
    <row r="33">
      <c r="A33">
        <f>VLOOKUP(M33,MapaProductos!$A:$B,2,FALSE)</f>
      </c>
      <c r="B33">
        <f>Parametros!$B$3</f>
      </c>
      <c r="C33">
        <v>59100.0</v>
      </c>
      <c r="D33" t="inlineStr">
        <is>
          <t xml:space="preserve">true</t>
        </is>
      </c>
      <c r="E33" t="inlineStr">
        <is>
          <t xml:space="preserve">false</t>
        </is>
      </c>
      <c r="F33">
        <v>50100.0</v>
      </c>
      <c r="G33">
        <v>59100.0</v>
      </c>
      <c r="H33">
        <v>50100.0</v>
      </c>
      <c r="I33">
        <v>2600.0</v>
      </c>
      <c r="J33">
        <v>9000.0</v>
      </c>
      <c r="K33" t="inlineStr">
        <is>
          <t xml:space="preserve">false</t>
        </is>
      </c>
      <c r="M33" t="inlineStr">
        <is>
          <t xml:space="preserve">1FW5ZHZ7Z D D259 2025</t>
        </is>
      </c>
    </row>
    <row r="34">
      <c r="A34">
        <f>VLOOKUP(M34,MapaProductos!$A:$B,2,FALSE)</f>
      </c>
      <c r="B34">
        <f>Parametros!$B$3</f>
      </c>
      <c r="C34">
        <v>59100.0</v>
      </c>
      <c r="D34" t="inlineStr">
        <is>
          <t xml:space="preserve">true</t>
        </is>
      </c>
      <c r="E34" t="inlineStr">
        <is>
          <t xml:space="preserve">false</t>
        </is>
      </c>
      <c r="F34">
        <v>55100.0</v>
      </c>
      <c r="G34">
        <v>59100.0</v>
      </c>
      <c r="H34">
        <v>55100.0</v>
      </c>
      <c r="I34">
        <v>2600.0</v>
      </c>
      <c r="J34">
        <v>4000.0</v>
      </c>
      <c r="K34" t="inlineStr">
        <is>
          <t xml:space="preserve">false</t>
        </is>
      </c>
      <c r="M34" t="inlineStr">
        <is>
          <t xml:space="preserve">1FW5ZHZ7Z D D259 2026</t>
        </is>
      </c>
    </row>
    <row r="35">
      <c r="A35">
        <f>VLOOKUP(M35,MapaProductos!$A:$B,2,FALSE)</f>
      </c>
      <c r="B35">
        <f>Parametros!$B$3</f>
      </c>
      <c r="C35">
        <v>22500.0</v>
      </c>
      <c r="D35" t="inlineStr">
        <is>
          <t xml:space="preserve">true</t>
        </is>
      </c>
      <c r="E35" t="inlineStr">
        <is>
          <t xml:space="preserve">false</t>
        </is>
      </c>
      <c r="F35">
        <v>18000.0</v>
      </c>
      <c r="G35">
        <v>17256.64</v>
      </c>
      <c r="H35">
        <v>19940.74</v>
      </c>
      <c r="I35">
        <v>600.0</v>
      </c>
      <c r="K35" t="inlineStr">
        <is>
          <t xml:space="preserve">false</t>
        </is>
      </c>
      <c r="M35" t="inlineStr">
        <is>
          <t xml:space="preserve">1HH26AC-B 2025</t>
        </is>
      </c>
    </row>
    <row r="36">
      <c r="A36">
        <f>VLOOKUP(M36,MapaProductos!$A:$B,2,FALSE)</f>
      </c>
      <c r="B36">
        <f>Parametros!$B$3</f>
      </c>
      <c r="C36">
        <v>22500.0</v>
      </c>
      <c r="D36" t="inlineStr">
        <is>
          <t xml:space="preserve">true</t>
        </is>
      </c>
      <c r="E36" t="inlineStr">
        <is>
          <t xml:space="preserve">false</t>
        </is>
      </c>
      <c r="F36">
        <v>19400.0</v>
      </c>
      <c r="G36">
        <v>13355.0</v>
      </c>
      <c r="H36">
        <v>22000.0</v>
      </c>
      <c r="I36">
        <v>600.0</v>
      </c>
      <c r="K36" t="inlineStr">
        <is>
          <t xml:space="preserve">false</t>
        </is>
      </c>
      <c r="M36" t="inlineStr">
        <is>
          <t xml:space="preserve">1HH26AC-B 2026</t>
        </is>
      </c>
    </row>
    <row r="37">
      <c r="A37">
        <f>VLOOKUP(M37,MapaProductos!$A:$B,2,FALSE)</f>
      </c>
      <c r="B37">
        <f>Parametros!$B$3</f>
      </c>
      <c r="C37">
        <v>84500.0</v>
      </c>
      <c r="D37" t="inlineStr">
        <is>
          <t xml:space="preserve">true</t>
        </is>
      </c>
      <c r="E37" t="inlineStr">
        <is>
          <t xml:space="preserve">false</t>
        </is>
      </c>
      <c r="F37">
        <v>79400.0</v>
      </c>
      <c r="G37">
        <v>55216.3</v>
      </c>
      <c r="H37">
        <v>84000.0</v>
      </c>
      <c r="I37">
        <v>2500.0</v>
      </c>
      <c r="K37" t="inlineStr">
        <is>
          <t xml:space="preserve">false</t>
        </is>
      </c>
      <c r="M37" t="inlineStr">
        <is>
          <t xml:space="preserve">1LB56-D 2025</t>
        </is>
      </c>
    </row>
    <row r="38">
      <c r="A38">
        <f>VLOOKUP(M38,MapaProductos!$A:$B,2,FALSE)</f>
      </c>
      <c r="B38">
        <f>Parametros!$B$3</f>
      </c>
      <c r="C38">
        <v>86500.0</v>
      </c>
      <c r="D38" t="inlineStr">
        <is>
          <t xml:space="preserve">true</t>
        </is>
      </c>
      <c r="E38" t="inlineStr">
        <is>
          <t xml:space="preserve">false</t>
        </is>
      </c>
      <c r="F38">
        <v>83400.0</v>
      </c>
      <c r="G38">
        <v>56233.0</v>
      </c>
      <c r="H38">
        <v>86067.0</v>
      </c>
      <c r="I38">
        <v>2500.0</v>
      </c>
      <c r="K38" t="inlineStr">
        <is>
          <t xml:space="preserve">false</t>
        </is>
      </c>
      <c r="M38" t="inlineStr">
        <is>
          <t xml:space="preserve">1LB56-D 2026</t>
        </is>
      </c>
    </row>
    <row r="39">
      <c r="A39">
        <f>VLOOKUP(M39,MapaProductos!$A:$B,2,FALSE)</f>
      </c>
      <c r="B39">
        <f>Parametros!$B$3</f>
      </c>
      <c r="C39">
        <v>67900.0</v>
      </c>
      <c r="D39" t="inlineStr">
        <is>
          <t xml:space="preserve">true</t>
        </is>
      </c>
      <c r="E39" t="inlineStr">
        <is>
          <t xml:space="preserve">false</t>
        </is>
      </c>
      <c r="F39">
        <v>54800.0</v>
      </c>
      <c r="G39">
        <v>48658.4</v>
      </c>
      <c r="H39">
        <v>67400.0</v>
      </c>
      <c r="I39">
        <v>1900.0</v>
      </c>
      <c r="K39" t="inlineStr">
        <is>
          <t xml:space="preserve">false</t>
        </is>
      </c>
      <c r="M39" t="inlineStr">
        <is>
          <t xml:space="preserve">1NR26-D 2023</t>
        </is>
      </c>
    </row>
    <row r="40">
      <c r="A40">
        <f>VLOOKUP(M40,MapaProductos!$A:$B,2,FALSE)</f>
      </c>
      <c r="B40">
        <f>Parametros!$B$3</f>
      </c>
      <c r="C40">
        <v>74900.0</v>
      </c>
      <c r="D40" t="inlineStr">
        <is>
          <t xml:space="preserve">true</t>
        </is>
      </c>
      <c r="E40" t="inlineStr">
        <is>
          <t xml:space="preserve">false</t>
        </is>
      </c>
      <c r="F40">
        <v>59800.0</v>
      </c>
      <c r="G40">
        <v>49034.34</v>
      </c>
      <c r="H40">
        <v>74400.0</v>
      </c>
      <c r="I40">
        <v>2100.0</v>
      </c>
      <c r="K40" t="inlineStr">
        <is>
          <t xml:space="preserve">false</t>
        </is>
      </c>
      <c r="M40" t="inlineStr">
        <is>
          <t xml:space="preserve">1NS26-G 2024</t>
        </is>
      </c>
    </row>
    <row r="41">
      <c r="A41">
        <f>VLOOKUP(M41,MapaProductos!$A:$B,2,FALSE)</f>
      </c>
      <c r="B41">
        <f>Parametros!$B$3</f>
      </c>
      <c r="C41">
        <v>37900.0</v>
      </c>
      <c r="D41" t="inlineStr">
        <is>
          <t xml:space="preserve">true</t>
        </is>
      </c>
      <c r="E41" t="inlineStr">
        <is>
          <t xml:space="preserve">false</t>
        </is>
      </c>
      <c r="F41">
        <v>31000.0</v>
      </c>
      <c r="G41">
        <v>22092.5</v>
      </c>
      <c r="H41">
        <v>37400.0</v>
      </c>
      <c r="I41">
        <v>1000.0</v>
      </c>
      <c r="K41" t="inlineStr">
        <is>
          <t xml:space="preserve">false</t>
        </is>
      </c>
      <c r="M41" t="inlineStr">
        <is>
          <t xml:space="preserve">1SD26-B 2025</t>
        </is>
      </c>
    </row>
    <row r="42">
      <c r="A42">
        <f>VLOOKUP(M42,MapaProductos!$A:$B,2,FALSE)</f>
      </c>
      <c r="B42">
        <f>Parametros!$B$3</f>
      </c>
      <c r="C42">
        <v>37900.0</v>
      </c>
      <c r="D42" t="inlineStr">
        <is>
          <t xml:space="preserve">true</t>
        </is>
      </c>
      <c r="E42" t="inlineStr">
        <is>
          <t xml:space="preserve">false</t>
        </is>
      </c>
      <c r="F42">
        <v>33800.0</v>
      </c>
      <c r="G42">
        <v>20210.0</v>
      </c>
      <c r="H42">
        <v>37690.0</v>
      </c>
      <c r="I42">
        <v>1000.0</v>
      </c>
      <c r="K42" t="inlineStr">
        <is>
          <t xml:space="preserve">false</t>
        </is>
      </c>
      <c r="M42" t="inlineStr">
        <is>
          <t xml:space="preserve">1SD26-B 2026</t>
        </is>
      </c>
    </row>
    <row r="43">
      <c r="A43">
        <f>VLOOKUP(M43,MapaProductos!$A:$B,2,FALSE)</f>
      </c>
      <c r="B43">
        <f>Parametros!$B$3</f>
      </c>
      <c r="C43">
        <v>42000.0</v>
      </c>
      <c r="D43" t="inlineStr">
        <is>
          <t xml:space="preserve">true</t>
        </is>
      </c>
      <c r="E43" t="inlineStr">
        <is>
          <t xml:space="preserve">false</t>
        </is>
      </c>
      <c r="F43">
        <v>35900.0</v>
      </c>
      <c r="G43">
        <v>25598.75</v>
      </c>
      <c r="H43">
        <v>41500.0</v>
      </c>
      <c r="I43">
        <v>1200.0</v>
      </c>
      <c r="K43" t="inlineStr">
        <is>
          <t xml:space="preserve">false</t>
        </is>
      </c>
      <c r="M43" t="inlineStr">
        <is>
          <t xml:space="preserve">1SE26-C 2025</t>
        </is>
      </c>
    </row>
    <row r="44">
      <c r="A44">
        <f>VLOOKUP(M44,MapaProductos!$A:$B,2,FALSE)</f>
      </c>
      <c r="B44">
        <f>Parametros!$B$3</f>
      </c>
      <c r="C44">
        <v>41500.0</v>
      </c>
      <c r="D44" t="inlineStr">
        <is>
          <t xml:space="preserve">true</t>
        </is>
      </c>
      <c r="E44" t="inlineStr">
        <is>
          <t xml:space="preserve">false</t>
        </is>
      </c>
      <c r="F44">
        <v>33400.0</v>
      </c>
      <c r="G44">
        <v>27431.75</v>
      </c>
      <c r="H44">
        <v>41000.0</v>
      </c>
      <c r="I44">
        <v>1100.0</v>
      </c>
      <c r="K44" t="inlineStr">
        <is>
          <t xml:space="preserve">false</t>
        </is>
      </c>
      <c r="M44" t="inlineStr">
        <is>
          <t xml:space="preserve">1TU58-B 2024</t>
        </is>
      </c>
    </row>
    <row r="45">
      <c r="A45">
        <f>VLOOKUP(M45,MapaProductos!$A:$B,2,FALSE)</f>
      </c>
      <c r="B45">
        <f>Parametros!$B$3</f>
      </c>
      <c r="C45">
        <v>38900.0</v>
      </c>
      <c r="D45" t="inlineStr">
        <is>
          <t xml:space="preserve">true</t>
        </is>
      </c>
      <c r="E45" t="inlineStr">
        <is>
          <t xml:space="preserve">false</t>
        </is>
      </c>
      <c r="F45">
        <v>32800.0</v>
      </c>
      <c r="G45">
        <v>25463.75</v>
      </c>
      <c r="H45">
        <v>38400.0</v>
      </c>
      <c r="I45">
        <v>1100.0</v>
      </c>
      <c r="K45" t="inlineStr">
        <is>
          <t xml:space="preserve">false</t>
        </is>
      </c>
      <c r="M45" t="inlineStr">
        <is>
          <t xml:space="preserve">1TU58-B 2025</t>
        </is>
      </c>
    </row>
    <row r="46">
      <c r="A46">
        <f>VLOOKUP(M46,MapaProductos!$A:$B,2,FALSE)</f>
      </c>
      <c r="B46">
        <f>Parametros!$B$3</f>
      </c>
      <c r="C46">
        <v>44500.0</v>
      </c>
      <c r="D46" t="inlineStr">
        <is>
          <t xml:space="preserve">true</t>
        </is>
      </c>
      <c r="E46" t="inlineStr">
        <is>
          <t xml:space="preserve">false</t>
        </is>
      </c>
      <c r="F46">
        <v>34500.0</v>
      </c>
      <c r="G46">
        <v>29500.0</v>
      </c>
      <c r="H46">
        <v>42500.0</v>
      </c>
      <c r="I46">
        <v>1200.0</v>
      </c>
      <c r="K46" t="inlineStr">
        <is>
          <t xml:space="preserve">false</t>
        </is>
      </c>
      <c r="M46" t="inlineStr">
        <is>
          <t xml:space="preserve">1TU58-C 2025</t>
        </is>
      </c>
    </row>
    <row r="47">
      <c r="A47">
        <f>VLOOKUP(M47,MapaProductos!$A:$B,2,FALSE)</f>
      </c>
      <c r="B47">
        <f>Parametros!$B$3</f>
      </c>
      <c r="C47">
        <v>41500.0</v>
      </c>
      <c r="D47" t="inlineStr">
        <is>
          <t xml:space="preserve">true</t>
        </is>
      </c>
      <c r="E47" t="inlineStr">
        <is>
          <t xml:space="preserve">false</t>
        </is>
      </c>
      <c r="F47">
        <v>38400.0</v>
      </c>
      <c r="G47">
        <v>27479.0</v>
      </c>
      <c r="H47">
        <v>41021.0</v>
      </c>
      <c r="I47">
        <v>1200.0</v>
      </c>
      <c r="K47" t="inlineStr">
        <is>
          <t xml:space="preserve">false</t>
        </is>
      </c>
      <c r="M47" t="inlineStr">
        <is>
          <t xml:space="preserve">1TU58-C 2026</t>
        </is>
      </c>
    </row>
    <row r="48">
      <c r="A48">
        <f>VLOOKUP(M48,MapaProductos!$A:$B,2,FALSE)</f>
      </c>
      <c r="B48">
        <f>Parametros!$B$3</f>
      </c>
      <c r="C48">
        <v>23900.0</v>
      </c>
      <c r="D48" t="inlineStr">
        <is>
          <t xml:space="preserve">true</t>
        </is>
      </c>
      <c r="E48" t="inlineStr">
        <is>
          <t xml:space="preserve">false</t>
        </is>
      </c>
      <c r="F48">
        <v>22100.0</v>
      </c>
      <c r="G48">
        <v>17239.0</v>
      </c>
      <c r="H48">
        <v>23400.0</v>
      </c>
      <c r="I48">
        <v>650.0</v>
      </c>
      <c r="K48" t="inlineStr">
        <is>
          <t xml:space="preserve">false</t>
        </is>
      </c>
      <c r="M48" t="inlineStr">
        <is>
          <t xml:space="preserve">1VC26-A 2026</t>
        </is>
      </c>
    </row>
    <row r="49">
      <c r="A49">
        <f>VLOOKUP(M49,MapaProductos!$A:$B,2,FALSE)</f>
      </c>
      <c r="B49">
        <f>Parametros!$B$3</f>
      </c>
      <c r="C49">
        <v>24900.0</v>
      </c>
      <c r="D49" t="inlineStr">
        <is>
          <t xml:space="preserve">true</t>
        </is>
      </c>
      <c r="E49" t="inlineStr">
        <is>
          <t xml:space="preserve">false</t>
        </is>
      </c>
      <c r="F49">
        <v>23100.0</v>
      </c>
      <c r="G49">
        <v>17495.0</v>
      </c>
      <c r="H49">
        <v>24400.0</v>
      </c>
      <c r="I49">
        <v>700.0</v>
      </c>
      <c r="K49" t="inlineStr">
        <is>
          <t xml:space="preserve">false</t>
        </is>
      </c>
      <c r="M49" t="inlineStr">
        <is>
          <t xml:space="preserve">1VC26-B 2026</t>
        </is>
      </c>
    </row>
    <row r="50">
      <c r="A50">
        <f>VLOOKUP(M50,MapaProductos!$A:$B,2,FALSE)</f>
      </c>
      <c r="B50">
        <f>Parametros!$B$3</f>
      </c>
      <c r="C50">
        <v>26900.0</v>
      </c>
      <c r="D50" t="inlineStr">
        <is>
          <t xml:space="preserve">true</t>
        </is>
      </c>
      <c r="E50" t="inlineStr">
        <is>
          <t xml:space="preserve">false</t>
        </is>
      </c>
      <c r="F50">
        <v>25100.0</v>
      </c>
      <c r="G50">
        <v>18941.25</v>
      </c>
      <c r="H50">
        <v>26400.0</v>
      </c>
      <c r="I50">
        <v>800.0</v>
      </c>
      <c r="K50" t="inlineStr">
        <is>
          <t xml:space="preserve">false</t>
        </is>
      </c>
      <c r="M50" t="inlineStr">
        <is>
          <t xml:space="preserve">1VD26-C 2026</t>
        </is>
      </c>
    </row>
    <row r="51">
      <c r="A51">
        <f>VLOOKUP(M51,MapaProductos!$A:$B,2,FALSE)</f>
      </c>
      <c r="B51">
        <f>Parametros!$B$3</f>
      </c>
      <c r="C51">
        <v>24500.0</v>
      </c>
      <c r="D51" t="inlineStr">
        <is>
          <t xml:space="preserve">true</t>
        </is>
      </c>
      <c r="E51" t="inlineStr">
        <is>
          <t xml:space="preserve">false</t>
        </is>
      </c>
      <c r="F51">
        <v>20400.0</v>
      </c>
      <c r="G51">
        <v>15336.0</v>
      </c>
      <c r="H51">
        <v>24500.0</v>
      </c>
      <c r="I51">
        <v>700.0</v>
      </c>
      <c r="K51" t="inlineStr">
        <is>
          <t xml:space="preserve">false</t>
        </is>
      </c>
      <c r="M51" t="inlineStr">
        <is>
          <t xml:space="preserve">1VD48-C 2026</t>
        </is>
      </c>
    </row>
    <row r="52">
      <c r="A52">
        <f>VLOOKUP(M52,MapaProductos!$A:$B,2,FALSE)</f>
      </c>
      <c r="B52">
        <f>Parametros!$B$3</f>
      </c>
      <c r="C52">
        <v>27900.0</v>
      </c>
      <c r="D52" t="inlineStr">
        <is>
          <t xml:space="preserve">true</t>
        </is>
      </c>
      <c r="E52" t="inlineStr">
        <is>
          <t xml:space="preserve">false</t>
        </is>
      </c>
      <c r="F52">
        <v>21000.0</v>
      </c>
      <c r="G52">
        <v>16629.0</v>
      </c>
      <c r="H52">
        <v>27400.0</v>
      </c>
      <c r="I52">
        <v>700.0</v>
      </c>
      <c r="K52" t="inlineStr">
        <is>
          <t xml:space="preserve">false</t>
        </is>
      </c>
      <c r="M52" t="inlineStr">
        <is>
          <t xml:space="preserve">1XE26-E 2025</t>
        </is>
      </c>
    </row>
    <row r="53">
      <c r="A53">
        <f>VLOOKUP(M53,MapaProductos!$A:$B,2,FALSE)</f>
      </c>
      <c r="B53">
        <f>Parametros!$B$3</f>
      </c>
      <c r="C53">
        <v>29900.0</v>
      </c>
      <c r="D53" t="inlineStr">
        <is>
          <t xml:space="preserve">true</t>
        </is>
      </c>
      <c r="E53" t="inlineStr">
        <is>
          <t xml:space="preserve">false</t>
        </is>
      </c>
      <c r="F53">
        <v>23500.0</v>
      </c>
      <c r="G53">
        <v>18053.0</v>
      </c>
      <c r="H53">
        <v>29400.0</v>
      </c>
      <c r="I53">
        <v>800.0</v>
      </c>
      <c r="K53" t="inlineStr">
        <is>
          <t xml:space="preserve">false</t>
        </is>
      </c>
      <c r="M53" t="inlineStr">
        <is>
          <t xml:space="preserve">1XT26-F 2025</t>
        </is>
      </c>
    </row>
    <row r="54">
      <c r="A54">
        <f>VLOOKUP(M54,MapaProductos!$A:$B,2,FALSE)</f>
      </c>
      <c r="B54">
        <f>Parametros!$B$3</f>
      </c>
      <c r="C54">
        <v>192900.0</v>
      </c>
      <c r="D54" t="inlineStr">
        <is>
          <t xml:space="preserve">true</t>
        </is>
      </c>
      <c r="E54" t="inlineStr">
        <is>
          <t xml:space="preserve">false</t>
        </is>
      </c>
      <c r="F54">
        <v>188800.0</v>
      </c>
      <c r="G54">
        <v>119228.0</v>
      </c>
      <c r="H54">
        <v>192400.0</v>
      </c>
      <c r="I54">
        <v>7000.0</v>
      </c>
      <c r="K54" t="inlineStr">
        <is>
          <t xml:space="preserve">false</t>
        </is>
      </c>
      <c r="M54" t="inlineStr">
        <is>
          <t xml:space="preserve">1YC07-A 2026</t>
        </is>
      </c>
    </row>
    <row r="55">
      <c r="A55">
        <f>VLOOKUP(M55,MapaProductos!$A:$B,2,FALSE)</f>
      </c>
      <c r="B55">
        <f>Parametros!$B$3</f>
      </c>
      <c r="C55">
        <v>199900.0</v>
      </c>
      <c r="D55" t="inlineStr">
        <is>
          <t xml:space="preserve">true</t>
        </is>
      </c>
      <c r="E55" t="inlineStr">
        <is>
          <t xml:space="preserve">false</t>
        </is>
      </c>
      <c r="F55">
        <v>195800.0</v>
      </c>
      <c r="G55">
        <v>125643.0</v>
      </c>
      <c r="H55">
        <v>199400.0</v>
      </c>
      <c r="I55">
        <v>7200.0</v>
      </c>
      <c r="K55" t="inlineStr">
        <is>
          <t xml:space="preserve">false</t>
        </is>
      </c>
      <c r="M55" t="inlineStr">
        <is>
          <t xml:space="preserve">1YC67-B 2026</t>
        </is>
      </c>
    </row>
    <row r="56">
      <c r="A56">
        <f>VLOOKUP(M56,MapaProductos!$A:$B,2,FALSE)</f>
      </c>
      <c r="B56">
        <f>Parametros!$B$3</f>
      </c>
      <c r="C56">
        <v>67850.0</v>
      </c>
      <c r="D56" t="inlineStr">
        <is>
          <t xml:space="preserve">true</t>
        </is>
      </c>
      <c r="E56" t="inlineStr">
        <is>
          <t xml:space="preserve">false</t>
        </is>
      </c>
      <c r="F56">
        <v>63050.0</v>
      </c>
      <c r="G56">
        <v>46800.0</v>
      </c>
      <c r="H56">
        <v>42000.0</v>
      </c>
      <c r="I56">
        <v>3150.0</v>
      </c>
      <c r="J56">
        <v>4000.0</v>
      </c>
      <c r="K56" t="inlineStr">
        <is>
          <t xml:space="preserve">false</t>
        </is>
      </c>
      <c r="M56" t="inlineStr">
        <is>
          <t xml:space="preserve">6HW7L9A1K D D211 2026</t>
        </is>
      </c>
    </row>
    <row r="57">
      <c r="A57">
        <f>VLOOKUP(M57,MapaProductos!$A:$B,2,FALSE)</f>
      </c>
      <c r="B57">
        <f>Parametros!$B$3</f>
      </c>
      <c r="C57">
        <v>60750.0</v>
      </c>
      <c r="D57" t="inlineStr">
        <is>
          <t xml:space="preserve">true</t>
        </is>
      </c>
      <c r="E57" t="inlineStr">
        <is>
          <t xml:space="preserve">false</t>
        </is>
      </c>
      <c r="F57">
        <v>55950.0</v>
      </c>
      <c r="G57">
        <v>41600.0</v>
      </c>
      <c r="H57">
        <v>37200.0</v>
      </c>
      <c r="I57">
        <v>3050.0</v>
      </c>
      <c r="J57">
        <v>4000.0</v>
      </c>
      <c r="K57" t="inlineStr">
        <is>
          <t xml:space="preserve">false</t>
        </is>
      </c>
      <c r="M57" t="inlineStr">
        <is>
          <t xml:space="preserve">6HW7L9A1K D D217 2026</t>
        </is>
      </c>
    </row>
    <row r="58">
      <c r="A58">
        <f>VLOOKUP(M58,MapaProductos!$A:$B,2,FALSE)</f>
      </c>
      <c r="B58">
        <f>Parametros!$B$3</f>
      </c>
      <c r="C58">
        <v>195900.0</v>
      </c>
      <c r="D58" t="inlineStr">
        <is>
          <t xml:space="preserve">true</t>
        </is>
      </c>
      <c r="E58" t="inlineStr">
        <is>
          <t xml:space="preserve">false</t>
        </is>
      </c>
      <c r="F58">
        <v>190800.0</v>
      </c>
      <c r="G58">
        <v>123812.0</v>
      </c>
      <c r="H58">
        <v>195088.0</v>
      </c>
      <c r="I58">
        <v>5100.0</v>
      </c>
      <c r="K58" t="inlineStr">
        <is>
          <t xml:space="preserve">false</t>
        </is>
      </c>
      <c r="M58" t="inlineStr">
        <is>
          <t xml:space="preserve">6K10706-A 2026</t>
        </is>
      </c>
    </row>
    <row r="59">
      <c r="A59">
        <f>VLOOKUP(M59,MapaProductos!$A:$B,2,FALSE)</f>
      </c>
      <c r="B59">
        <f>Parametros!$B$3</f>
      </c>
      <c r="C59">
        <v>183900.0</v>
      </c>
      <c r="D59" t="inlineStr">
        <is>
          <t xml:space="preserve">true</t>
        </is>
      </c>
      <c r="E59" t="inlineStr">
        <is>
          <t xml:space="preserve">false</t>
        </is>
      </c>
      <c r="F59">
        <v>162900.0</v>
      </c>
      <c r="G59">
        <v>122900.0</v>
      </c>
      <c r="H59">
        <v>178400.0</v>
      </c>
      <c r="I59">
        <v>5200.0</v>
      </c>
      <c r="K59" t="inlineStr">
        <is>
          <t xml:space="preserve">false</t>
        </is>
      </c>
      <c r="M59" t="inlineStr">
        <is>
          <t xml:space="preserve">6K10706-B 2024</t>
        </is>
      </c>
    </row>
    <row r="60">
      <c r="A60">
        <f>VLOOKUP(M60,MapaProductos!$A:$B,2,FALSE)</f>
      </c>
      <c r="B60">
        <f>Parametros!$B$3</f>
      </c>
      <c r="C60">
        <v>193900.0</v>
      </c>
      <c r="D60" t="inlineStr">
        <is>
          <t xml:space="preserve">true</t>
        </is>
      </c>
      <c r="E60" t="inlineStr">
        <is>
          <t xml:space="preserve">false</t>
        </is>
      </c>
      <c r="F60">
        <v>180000.0</v>
      </c>
      <c r="G60">
        <v>80500.0</v>
      </c>
      <c r="H60">
        <v>190800.0</v>
      </c>
      <c r="I60">
        <v>5100.0</v>
      </c>
      <c r="K60" t="inlineStr">
        <is>
          <t xml:space="preserve">false</t>
        </is>
      </c>
      <c r="M60" t="inlineStr">
        <is>
          <t xml:space="preserve">6K10706-B 2025</t>
        </is>
      </c>
    </row>
    <row r="61">
      <c r="A61">
        <f>VLOOKUP(M61,MapaProductos!$A:$B,2,FALSE)</f>
      </c>
      <c r="B61">
        <f>Parametros!$B$3</f>
      </c>
      <c r="C61">
        <v>195900.0</v>
      </c>
      <c r="D61" t="inlineStr">
        <is>
          <t xml:space="preserve">true</t>
        </is>
      </c>
      <c r="E61" t="inlineStr">
        <is>
          <t xml:space="preserve">false</t>
        </is>
      </c>
      <c r="F61">
        <v>190800.0</v>
      </c>
      <c r="G61">
        <v>123810.0</v>
      </c>
      <c r="H61">
        <v>195400.0</v>
      </c>
      <c r="I61">
        <v>5100.0</v>
      </c>
      <c r="K61" t="inlineStr">
        <is>
          <t xml:space="preserve">false</t>
        </is>
      </c>
      <c r="M61" t="inlineStr">
        <is>
          <t xml:space="preserve">6K10706-L 2026</t>
        </is>
      </c>
    </row>
    <row r="62">
      <c r="A62">
        <f>VLOOKUP(M62,MapaProductos!$A:$B,2,FALSE)</f>
      </c>
      <c r="B62">
        <f>Parametros!$B$3</f>
      </c>
      <c r="C62">
        <v>199900.0</v>
      </c>
      <c r="D62" t="inlineStr">
        <is>
          <t xml:space="preserve">true</t>
        </is>
      </c>
      <c r="E62" t="inlineStr">
        <is>
          <t xml:space="preserve">false</t>
        </is>
      </c>
      <c r="F62">
        <v>194800.0</v>
      </c>
      <c r="G62">
        <v>126972.0</v>
      </c>
      <c r="H62">
        <v>198928.0</v>
      </c>
      <c r="I62">
        <v>5300.0</v>
      </c>
      <c r="K62" t="inlineStr">
        <is>
          <t xml:space="preserve">false</t>
        </is>
      </c>
      <c r="M62" t="inlineStr">
        <is>
          <t xml:space="preserve">6K10906-A 2026</t>
        </is>
      </c>
    </row>
    <row r="63">
      <c r="A63">
        <f>VLOOKUP(M63,MapaProductos!$A:$B,2,FALSE)</f>
      </c>
      <c r="B63">
        <f>Parametros!$B$3</f>
      </c>
      <c r="C63">
        <v>198900.0</v>
      </c>
      <c r="D63" t="inlineStr">
        <is>
          <t xml:space="preserve">true</t>
        </is>
      </c>
      <c r="E63" t="inlineStr">
        <is>
          <t xml:space="preserve">false</t>
        </is>
      </c>
      <c r="F63">
        <v>193800.0</v>
      </c>
      <c r="G63">
        <v>82000.0</v>
      </c>
      <c r="H63">
        <v>186550.0</v>
      </c>
      <c r="I63">
        <v>5300.0</v>
      </c>
      <c r="K63" t="inlineStr">
        <is>
          <t xml:space="preserve">false</t>
        </is>
      </c>
      <c r="M63" t="inlineStr">
        <is>
          <t xml:space="preserve">6K10906-B 2025</t>
        </is>
      </c>
    </row>
    <row r="64">
      <c r="A64">
        <f>VLOOKUP(M64,MapaProductos!$A:$B,2,FALSE)</f>
      </c>
      <c r="B64">
        <f>Parametros!$B$3</f>
      </c>
      <c r="C64">
        <v>105000.0</v>
      </c>
      <c r="D64" t="inlineStr">
        <is>
          <t xml:space="preserve">true</t>
        </is>
      </c>
      <c r="E64" t="inlineStr">
        <is>
          <t xml:space="preserve">false</t>
        </is>
      </c>
      <c r="F64">
        <v>96000.0</v>
      </c>
      <c r="G64">
        <v>105000.0</v>
      </c>
      <c r="H64">
        <v>96000.0</v>
      </c>
      <c r="I64">
        <v>3500.0</v>
      </c>
      <c r="K64" t="inlineStr">
        <is>
          <t xml:space="preserve">false</t>
        </is>
      </c>
      <c r="M64" t="inlineStr">
        <is>
          <t xml:space="preserve">6MC26-F 2025</t>
        </is>
      </c>
    </row>
    <row r="65">
      <c r="A65">
        <f>VLOOKUP(M65,MapaProductos!$A:$B,2,FALSE)</f>
      </c>
      <c r="B65">
        <f>Parametros!$B$3</f>
      </c>
      <c r="C65">
        <v>160000.0</v>
      </c>
      <c r="D65" t="inlineStr">
        <is>
          <t xml:space="preserve">true</t>
        </is>
      </c>
      <c r="E65" t="inlineStr">
        <is>
          <t xml:space="preserve">false</t>
        </is>
      </c>
      <c r="F65">
        <v>151900.0</v>
      </c>
      <c r="G65">
        <v>160000.0</v>
      </c>
      <c r="H65">
        <v>151900.0</v>
      </c>
      <c r="I65">
        <v>4500.0</v>
      </c>
      <c r="K65" t="inlineStr">
        <is>
          <t xml:space="preserve">false</t>
        </is>
      </c>
      <c r="M65" t="inlineStr">
        <is>
          <t xml:space="preserve">6MD26-V 2026</t>
        </is>
      </c>
    </row>
    <row r="66">
      <c r="A66">
        <f>VLOOKUP(M66,MapaProductos!$A:$B,2,FALSE)</f>
      </c>
      <c r="B66">
        <f>Parametros!$B$3</f>
      </c>
      <c r="C66">
        <v>79900.0</v>
      </c>
      <c r="D66" t="inlineStr">
        <is>
          <t xml:space="preserve">true</t>
        </is>
      </c>
      <c r="E66" t="inlineStr">
        <is>
          <t xml:space="preserve">false</t>
        </is>
      </c>
      <c r="F66">
        <v>68900.0</v>
      </c>
      <c r="G66">
        <v>53500.0</v>
      </c>
      <c r="H66">
        <v>76800.0</v>
      </c>
      <c r="I66">
        <v>2300.0</v>
      </c>
      <c r="K66" t="inlineStr">
        <is>
          <t xml:space="preserve">false</t>
        </is>
      </c>
      <c r="M66" t="inlineStr">
        <is>
          <t xml:space="preserve">6NJ26-F 2024</t>
        </is>
      </c>
    </row>
    <row r="67">
      <c r="A67">
        <f>VLOOKUP(M67,MapaProductos!$A:$B,2,FALSE)</f>
      </c>
      <c r="B67">
        <f>Parametros!$B$3</f>
      </c>
      <c r="C67">
        <v>73900.0</v>
      </c>
      <c r="D67" t="inlineStr">
        <is>
          <t xml:space="preserve">true</t>
        </is>
      </c>
      <c r="E67" t="inlineStr">
        <is>
          <t xml:space="preserve">false</t>
        </is>
      </c>
      <c r="F67">
        <v>63900.0</v>
      </c>
      <c r="G67">
        <v>49800.0</v>
      </c>
      <c r="H67">
        <v>71900.0</v>
      </c>
      <c r="I67">
        <v>2200.0</v>
      </c>
      <c r="K67" t="inlineStr">
        <is>
          <t xml:space="preserve">false</t>
        </is>
      </c>
      <c r="M67" t="inlineStr">
        <is>
          <t xml:space="preserve">6ZE26-F 2024</t>
        </is>
      </c>
    </row>
    <row r="68">
      <c r="A68">
        <f>VLOOKUP(M68,MapaProductos!$A:$B,2,FALSE)</f>
      </c>
      <c r="B68">
        <f>Parametros!$B$3</f>
      </c>
      <c r="C68">
        <v>86900.0</v>
      </c>
      <c r="D68" t="inlineStr">
        <is>
          <t xml:space="preserve">true</t>
        </is>
      </c>
      <c r="E68" t="inlineStr">
        <is>
          <t xml:space="preserve">false</t>
        </is>
      </c>
      <c r="F68">
        <v>83800.0</v>
      </c>
      <c r="G68">
        <v>58539.0</v>
      </c>
      <c r="H68">
        <v>86900.0</v>
      </c>
      <c r="I68">
        <v>2900.0</v>
      </c>
      <c r="K68" t="inlineStr">
        <is>
          <t xml:space="preserve">false</t>
        </is>
      </c>
      <c r="M68" t="inlineStr">
        <is>
          <t xml:space="preserve">CK10543-B 2026</t>
        </is>
      </c>
    </row>
    <row r="69">
      <c r="A69">
        <f>VLOOKUP(M69,MapaProductos!$A:$B,2,FALSE)</f>
      </c>
      <c r="B69">
        <f>Parametros!$B$3</f>
      </c>
      <c r="C69">
        <v>94500.0</v>
      </c>
      <c r="D69" t="inlineStr">
        <is>
          <t xml:space="preserve">true</t>
        </is>
      </c>
      <c r="E69" t="inlineStr">
        <is>
          <t xml:space="preserve">false</t>
        </is>
      </c>
      <c r="F69">
        <v>88122.0</v>
      </c>
      <c r="G69">
        <v>66300.0</v>
      </c>
      <c r="H69">
        <v>88400.0</v>
      </c>
      <c r="I69">
        <v>2700.0</v>
      </c>
      <c r="K69" t="inlineStr">
        <is>
          <t xml:space="preserve">false</t>
        </is>
      </c>
      <c r="M69" t="inlineStr">
        <is>
          <t xml:space="preserve">CK10543-D. 2024</t>
        </is>
      </c>
    </row>
    <row r="70">
      <c r="A70">
        <f>VLOOKUP(M70,MapaProductos!$A:$B,2,FALSE)</f>
      </c>
      <c r="B70">
        <f>Parametros!$B$3</f>
      </c>
      <c r="C70">
        <v>94500.0</v>
      </c>
      <c r="D70" t="inlineStr">
        <is>
          <t xml:space="preserve">true</t>
        </is>
      </c>
      <c r="E70" t="inlineStr">
        <is>
          <t xml:space="preserve">false</t>
        </is>
      </c>
      <c r="F70">
        <v>85000.0</v>
      </c>
      <c r="G70">
        <v>60600.0</v>
      </c>
      <c r="H70">
        <v>94006.0</v>
      </c>
      <c r="I70">
        <v>3000.0</v>
      </c>
      <c r="K70" t="inlineStr">
        <is>
          <t xml:space="preserve">false</t>
        </is>
      </c>
      <c r="M70" t="inlineStr">
        <is>
          <t xml:space="preserve">CK10543-D. 2025</t>
        </is>
      </c>
    </row>
    <row r="71">
      <c r="A71">
        <f>VLOOKUP(M71,MapaProductos!$A:$B,2,FALSE)</f>
      </c>
      <c r="B71">
        <f>Parametros!$B$3</f>
      </c>
      <c r="C71">
        <v>96900.0</v>
      </c>
      <c r="D71" t="inlineStr">
        <is>
          <t xml:space="preserve">true</t>
        </is>
      </c>
      <c r="E71" t="inlineStr">
        <is>
          <t xml:space="preserve">false</t>
        </is>
      </c>
      <c r="F71">
        <v>93800.0</v>
      </c>
      <c r="G71">
        <v>63121.0</v>
      </c>
      <c r="H71">
        <v>94900.0</v>
      </c>
      <c r="I71">
        <v>3000.0</v>
      </c>
      <c r="K71" t="inlineStr">
        <is>
          <t xml:space="preserve">false</t>
        </is>
      </c>
      <c r="M71" t="inlineStr">
        <is>
          <t xml:space="preserve">CK10543-D. 2026</t>
        </is>
      </c>
    </row>
    <row r="72">
      <c r="A72">
        <f>VLOOKUP(M72,MapaProductos!$A:$B,2,FALSE)</f>
      </c>
      <c r="B72">
        <f>Parametros!$B$3</f>
      </c>
      <c r="C72">
        <v>100900.0</v>
      </c>
      <c r="D72" t="inlineStr">
        <is>
          <t xml:space="preserve">true</t>
        </is>
      </c>
      <c r="E72" t="inlineStr">
        <is>
          <t xml:space="preserve">false</t>
        </is>
      </c>
      <c r="F72">
        <v>94800.0</v>
      </c>
      <c r="G72">
        <v>68605.95</v>
      </c>
      <c r="H72">
        <v>100400.0</v>
      </c>
      <c r="I72">
        <v>3000.0</v>
      </c>
      <c r="K72" t="inlineStr">
        <is>
          <t xml:space="preserve">false</t>
        </is>
      </c>
      <c r="M72" t="inlineStr">
        <is>
          <t xml:space="preserve">CK10543-G 2025</t>
        </is>
      </c>
    </row>
    <row r="73">
      <c r="A73">
        <f>VLOOKUP(M73,MapaProductos!$A:$B,2,FALSE)</f>
      </c>
      <c r="B73">
        <f>Parametros!$B$3</f>
      </c>
      <c r="C73">
        <v>102900.0</v>
      </c>
      <c r="D73" t="inlineStr">
        <is>
          <t xml:space="preserve">true</t>
        </is>
      </c>
      <c r="E73" t="inlineStr">
        <is>
          <t xml:space="preserve">false</t>
        </is>
      </c>
      <c r="F73">
        <v>99800.0</v>
      </c>
      <c r="G73">
        <v>70199.0</v>
      </c>
      <c r="H73">
        <v>101900.0</v>
      </c>
      <c r="I73">
        <v>3100.0</v>
      </c>
      <c r="K73" t="inlineStr">
        <is>
          <t xml:space="preserve">false</t>
        </is>
      </c>
      <c r="M73" t="inlineStr">
        <is>
          <t xml:space="preserve">CK10543-G 2026</t>
        </is>
      </c>
    </row>
    <row r="74">
      <c r="A74">
        <f>VLOOKUP(M74,MapaProductos!$A:$B,2,FALSE)</f>
      </c>
      <c r="B74">
        <f>Parametros!$B$3</f>
      </c>
      <c r="C74">
        <v>88500.0</v>
      </c>
      <c r="D74" t="inlineStr">
        <is>
          <t xml:space="preserve">true</t>
        </is>
      </c>
      <c r="E74" t="inlineStr">
        <is>
          <t xml:space="preserve">false</t>
        </is>
      </c>
      <c r="F74">
        <v>81400.0</v>
      </c>
      <c r="G74">
        <v>56557.9</v>
      </c>
      <c r="H74">
        <v>88000.0</v>
      </c>
      <c r="I74">
        <v>3000.0</v>
      </c>
      <c r="K74" t="inlineStr">
        <is>
          <t xml:space="preserve">false</t>
        </is>
      </c>
      <c r="M74" t="inlineStr">
        <is>
          <t xml:space="preserve">CK10543-P 2025</t>
        </is>
      </c>
    </row>
    <row r="75">
      <c r="A75">
        <f>VLOOKUP(M75,MapaProductos!$A:$B,2,FALSE)</f>
      </c>
      <c r="B75">
        <f>Parametros!$B$3</f>
      </c>
      <c r="C75">
        <v>90500.0</v>
      </c>
      <c r="D75" t="inlineStr">
        <is>
          <t xml:space="preserve">true</t>
        </is>
      </c>
      <c r="E75" t="inlineStr">
        <is>
          <t xml:space="preserve">false</t>
        </is>
      </c>
      <c r="F75">
        <v>87400.0</v>
      </c>
      <c r="G75">
        <v>58539.0</v>
      </c>
      <c r="H75">
        <v>88500.0</v>
      </c>
      <c r="I75">
        <v>2900.0</v>
      </c>
      <c r="K75" t="inlineStr">
        <is>
          <t xml:space="preserve">false</t>
        </is>
      </c>
      <c r="M75" t="inlineStr">
        <is>
          <t xml:space="preserve">CK10543-P 2026</t>
        </is>
      </c>
    </row>
    <row r="76">
      <c r="A76">
        <f>VLOOKUP(M76,MapaProductos!$A:$B,2,FALSE)</f>
      </c>
      <c r="B76">
        <f>Parametros!$B$3</f>
      </c>
      <c r="C76">
        <v>105500.0</v>
      </c>
      <c r="D76" t="inlineStr">
        <is>
          <t xml:space="preserve">true</t>
        </is>
      </c>
      <c r="E76" t="inlineStr">
        <is>
          <t xml:space="preserve">false</t>
        </is>
      </c>
      <c r="F76">
        <v>99400.0</v>
      </c>
      <c r="G76">
        <v>71021.0</v>
      </c>
      <c r="H76">
        <v>105000.0</v>
      </c>
      <c r="I76">
        <v>3100.0</v>
      </c>
      <c r="K76" t="inlineStr">
        <is>
          <t xml:space="preserve">false</t>
        </is>
      </c>
      <c r="M76" t="inlineStr">
        <is>
          <t xml:space="preserve">CK10543-Q 2025</t>
        </is>
      </c>
    </row>
    <row r="77">
      <c r="A77">
        <f>VLOOKUP(M77,MapaProductos!$A:$B,2,FALSE)</f>
      </c>
      <c r="B77">
        <f>Parametros!$B$3</f>
      </c>
      <c r="C77">
        <v>107900.0</v>
      </c>
      <c r="D77" t="inlineStr">
        <is>
          <t xml:space="preserve">true</t>
        </is>
      </c>
      <c r="E77" t="inlineStr">
        <is>
          <t xml:space="preserve">false</t>
        </is>
      </c>
      <c r="F77">
        <v>104800.0</v>
      </c>
      <c r="G77">
        <v>73021.0</v>
      </c>
      <c r="H77">
        <v>105900.0</v>
      </c>
      <c r="I77">
        <v>3100.0</v>
      </c>
      <c r="K77" t="inlineStr">
        <is>
          <t xml:space="preserve">false</t>
        </is>
      </c>
      <c r="M77" t="inlineStr">
        <is>
          <t xml:space="preserve">CK10543-Q 2026</t>
        </is>
      </c>
    </row>
    <row r="78">
      <c r="A78">
        <f>VLOOKUP(M78,MapaProductos!$A:$B,2,FALSE)</f>
      </c>
      <c r="B78">
        <f>Parametros!$B$3</f>
      </c>
      <c r="C78">
        <v>107900.0</v>
      </c>
      <c r="D78" t="inlineStr">
        <is>
          <t xml:space="preserve">true</t>
        </is>
      </c>
      <c r="E78" t="inlineStr">
        <is>
          <t xml:space="preserve">false</t>
        </is>
      </c>
      <c r="F78">
        <v>103800.0</v>
      </c>
      <c r="G78">
        <v>74028.0</v>
      </c>
      <c r="H78">
        <v>107400.0</v>
      </c>
      <c r="I78">
        <v>3100.0</v>
      </c>
      <c r="K78" t="inlineStr">
        <is>
          <t xml:space="preserve">false</t>
        </is>
      </c>
      <c r="M78" t="inlineStr">
        <is>
          <t xml:space="preserve">CK10706-B 2025</t>
        </is>
      </c>
    </row>
    <row r="79">
      <c r="A79">
        <f>VLOOKUP(M79,MapaProductos!$A:$B,2,FALSE)</f>
      </c>
      <c r="B79">
        <f>Parametros!$B$3</f>
      </c>
      <c r="C79">
        <v>110900.0</v>
      </c>
      <c r="D79" t="inlineStr">
        <is>
          <t xml:space="preserve">true</t>
        </is>
      </c>
      <c r="E79" t="inlineStr">
        <is>
          <t xml:space="preserve">false</t>
        </is>
      </c>
      <c r="F79">
        <v>108400.0</v>
      </c>
      <c r="G79">
        <v>74688.0</v>
      </c>
      <c r="H79">
        <v>110400.0</v>
      </c>
      <c r="I79">
        <v>3100.0</v>
      </c>
      <c r="K79" t="inlineStr">
        <is>
          <t xml:space="preserve">false</t>
        </is>
      </c>
      <c r="M79" t="inlineStr">
        <is>
          <t xml:space="preserve">CK10706-B 2026</t>
        </is>
      </c>
    </row>
    <row r="80">
      <c r="A80">
        <f>VLOOKUP(M80,MapaProductos!$A:$B,2,FALSE)</f>
      </c>
      <c r="B80">
        <f>Parametros!$B$3</f>
      </c>
      <c r="C80">
        <v>118900.0</v>
      </c>
      <c r="D80" t="inlineStr">
        <is>
          <t xml:space="preserve">true</t>
        </is>
      </c>
      <c r="E80" t="inlineStr">
        <is>
          <t xml:space="preserve">false</t>
        </is>
      </c>
      <c r="F80">
        <v>116300.0</v>
      </c>
      <c r="G80">
        <v>77161.0</v>
      </c>
      <c r="H80">
        <v>118400.0</v>
      </c>
      <c r="I80">
        <v>3500.0</v>
      </c>
      <c r="K80" t="inlineStr">
        <is>
          <t xml:space="preserve">false</t>
        </is>
      </c>
      <c r="M80" t="inlineStr">
        <is>
          <t xml:space="preserve">CK10706-D 2026</t>
        </is>
      </c>
    </row>
    <row r="81">
      <c r="A81">
        <f>VLOOKUP(M81,MapaProductos!$A:$B,2,FALSE)</f>
      </c>
      <c r="B81">
        <f>Parametros!$B$3</f>
      </c>
      <c r="C81">
        <v>121900.0</v>
      </c>
      <c r="D81" t="inlineStr">
        <is>
          <t xml:space="preserve">true</t>
        </is>
      </c>
      <c r="E81" t="inlineStr">
        <is>
          <t xml:space="preserve">false</t>
        </is>
      </c>
      <c r="F81">
        <v>119300.0</v>
      </c>
      <c r="G81">
        <v>82891.0</v>
      </c>
      <c r="H81">
        <v>121400.0</v>
      </c>
      <c r="I81">
        <v>3700.0</v>
      </c>
      <c r="K81" t="inlineStr">
        <is>
          <t xml:space="preserve">false</t>
        </is>
      </c>
      <c r="M81" t="inlineStr">
        <is>
          <t xml:space="preserve">CK10706-G 2026</t>
        </is>
      </c>
    </row>
    <row r="82">
      <c r="A82">
        <f>VLOOKUP(M82,MapaProductos!$A:$B,2,FALSE)</f>
      </c>
      <c r="B82">
        <f>Parametros!$B$3</f>
      </c>
      <c r="C82">
        <v>111900.0</v>
      </c>
      <c r="D82" t="inlineStr">
        <is>
          <t xml:space="preserve">true</t>
        </is>
      </c>
      <c r="E82" t="inlineStr">
        <is>
          <t xml:space="preserve">false</t>
        </is>
      </c>
      <c r="F82">
        <v>107800.0</v>
      </c>
      <c r="G82">
        <v>77135.0</v>
      </c>
      <c r="H82">
        <v>111400.0</v>
      </c>
      <c r="I82">
        <v>3200.0</v>
      </c>
      <c r="K82" t="inlineStr">
        <is>
          <t xml:space="preserve">false</t>
        </is>
      </c>
      <c r="M82" t="inlineStr">
        <is>
          <t xml:space="preserve">CK10706-K 2025</t>
        </is>
      </c>
    </row>
    <row r="83">
      <c r="A83">
        <f>VLOOKUP(M83,MapaProductos!$A:$B,2,FALSE)</f>
      </c>
      <c r="B83">
        <f>Parametros!$B$3</f>
      </c>
      <c r="C83">
        <v>114900.0</v>
      </c>
      <c r="D83" t="inlineStr">
        <is>
          <t xml:space="preserve">true</t>
        </is>
      </c>
      <c r="E83" t="inlineStr">
        <is>
          <t xml:space="preserve">false</t>
        </is>
      </c>
      <c r="F83">
        <v>112400.0</v>
      </c>
      <c r="G83">
        <v>77825.0</v>
      </c>
      <c r="H83">
        <v>114400.0</v>
      </c>
      <c r="I83">
        <v>3200.0</v>
      </c>
      <c r="K83" t="inlineStr">
        <is>
          <t xml:space="preserve">false</t>
        </is>
      </c>
      <c r="M83" t="inlineStr">
        <is>
          <t xml:space="preserve">CK10706-K 2026</t>
        </is>
      </c>
    </row>
    <row r="84">
      <c r="A84">
        <f>VLOOKUP(M84,MapaProductos!$A:$B,2,FALSE)</f>
      </c>
      <c r="B84">
        <f>Parametros!$B$3</f>
      </c>
      <c r="C84">
        <v>123900.0</v>
      </c>
      <c r="D84" t="inlineStr">
        <is>
          <t xml:space="preserve">true</t>
        </is>
      </c>
      <c r="E84" t="inlineStr">
        <is>
          <t xml:space="preserve">false</t>
        </is>
      </c>
      <c r="F84">
        <v>119800.0</v>
      </c>
      <c r="G84">
        <v>85526.0</v>
      </c>
      <c r="H84">
        <v>123400.0</v>
      </c>
      <c r="I84">
        <v>3400.0</v>
      </c>
      <c r="K84" t="inlineStr">
        <is>
          <t xml:space="preserve">false</t>
        </is>
      </c>
      <c r="M84" t="inlineStr">
        <is>
          <t xml:space="preserve">CK10706-L 2025</t>
        </is>
      </c>
    </row>
    <row r="85">
      <c r="A85">
        <f>VLOOKUP(M85,MapaProductos!$A:$B,2,FALSE)</f>
      </c>
      <c r="B85">
        <f>Parametros!$B$3</f>
      </c>
      <c r="C85">
        <v>126900.0</v>
      </c>
      <c r="D85" t="inlineStr">
        <is>
          <t xml:space="preserve">true</t>
        </is>
      </c>
      <c r="E85" t="inlineStr">
        <is>
          <t xml:space="preserve">false</t>
        </is>
      </c>
      <c r="F85">
        <v>124400.0</v>
      </c>
      <c r="G85">
        <v>86298.0</v>
      </c>
      <c r="H85">
        <v>126400.0</v>
      </c>
      <c r="I85">
        <v>3400.0</v>
      </c>
      <c r="K85" t="inlineStr">
        <is>
          <t xml:space="preserve">false</t>
        </is>
      </c>
      <c r="M85" t="inlineStr">
        <is>
          <t xml:space="preserve">CK10706-L 2026</t>
        </is>
      </c>
    </row>
    <row r="86">
      <c r="A86">
        <f>VLOOKUP(M86,MapaProductos!$A:$B,2,FALSE)</f>
      </c>
      <c r="B86">
        <f>Parametros!$B$3</f>
      </c>
      <c r="C86">
        <v>111900.0</v>
      </c>
      <c r="D86" t="inlineStr">
        <is>
          <t xml:space="preserve">true</t>
        </is>
      </c>
      <c r="E86" t="inlineStr">
        <is>
          <t xml:space="preserve">false</t>
        </is>
      </c>
      <c r="F86">
        <v>111900.0</v>
      </c>
      <c r="G86">
        <v>76492.0</v>
      </c>
      <c r="H86">
        <v>111900.0</v>
      </c>
      <c r="I86">
        <v>3500.0</v>
      </c>
      <c r="K86" t="inlineStr">
        <is>
          <t xml:space="preserve">false</t>
        </is>
      </c>
      <c r="M86" t="inlineStr">
        <is>
          <t xml:space="preserve">CK10906-B 2026</t>
        </is>
      </c>
    </row>
    <row r="87">
      <c r="A87">
        <f>VLOOKUP(M87,MapaProductos!$A:$B,2,FALSE)</f>
      </c>
      <c r="B87">
        <f>Parametros!$B$3</f>
      </c>
      <c r="C87">
        <v>122900.0</v>
      </c>
      <c r="D87" t="inlineStr">
        <is>
          <t xml:space="preserve">true</t>
        </is>
      </c>
      <c r="E87" t="inlineStr">
        <is>
          <t xml:space="preserve">false</t>
        </is>
      </c>
      <c r="F87">
        <v>120400.0</v>
      </c>
      <c r="G87">
        <v>84928.0</v>
      </c>
      <c r="H87">
        <v>122400.0</v>
      </c>
      <c r="I87">
        <v>3800.0</v>
      </c>
      <c r="K87" t="inlineStr">
        <is>
          <t xml:space="preserve">false</t>
        </is>
      </c>
      <c r="M87" t="inlineStr">
        <is>
          <t xml:space="preserve">CK10906-G 2026</t>
        </is>
      </c>
    </row>
    <row r="88">
      <c r="A88">
        <f>VLOOKUP(M88,MapaProductos!$A:$B,2,FALSE)</f>
      </c>
      <c r="B88">
        <f>Parametros!$B$3</f>
      </c>
      <c r="C88">
        <v>33900.0</v>
      </c>
      <c r="D88" t="inlineStr">
        <is>
          <t xml:space="preserve">true</t>
        </is>
      </c>
      <c r="E88" t="inlineStr">
        <is>
          <t xml:space="preserve">false</t>
        </is>
      </c>
      <c r="F88">
        <v>31900.0</v>
      </c>
      <c r="G88">
        <v>23200.0</v>
      </c>
      <c r="H88">
        <v>20400.0</v>
      </c>
      <c r="I88">
        <v>2100.0</v>
      </c>
      <c r="J88">
        <v>2000.0</v>
      </c>
      <c r="K88" t="inlineStr">
        <is>
          <t xml:space="preserve">false</t>
        </is>
      </c>
      <c r="M88" t="inlineStr">
        <is>
          <t xml:space="preserve">D3W5D2G1U GGDQ3. 2026</t>
        </is>
      </c>
    </row>
    <row r="89">
      <c r="A89">
        <f>VLOOKUP(M89,MapaProductos!$A:$B,2,FALSE)</f>
      </c>
      <c r="B89">
        <f>Parametros!$B$3</f>
      </c>
      <c r="C89">
        <v>42590.0</v>
      </c>
      <c r="D89" t="inlineStr">
        <is>
          <t xml:space="preserve">true</t>
        </is>
      </c>
      <c r="E89" t="inlineStr">
        <is>
          <t xml:space="preserve">false</t>
        </is>
      </c>
      <c r="F89">
        <v>34540.0</v>
      </c>
      <c r="G89">
        <v>29350.0</v>
      </c>
      <c r="H89">
        <v>24300.0</v>
      </c>
      <c r="I89">
        <v>1700.0</v>
      </c>
      <c r="J89">
        <v>7500.0</v>
      </c>
      <c r="K89" t="inlineStr">
        <is>
          <t xml:space="preserve">false</t>
        </is>
      </c>
      <c r="M89" t="inlineStr">
        <is>
          <t xml:space="preserve">FHWC2J61F G G0EI. 2025</t>
        </is>
      </c>
    </row>
    <row r="90">
      <c r="A90">
        <f>VLOOKUP(M90,MapaProductos!$A:$B,2,FALSE)</f>
      </c>
      <c r="B90">
        <f>Parametros!$B$3</f>
      </c>
      <c r="C90">
        <v>44900.0</v>
      </c>
      <c r="D90" t="inlineStr">
        <is>
          <t xml:space="preserve">true</t>
        </is>
      </c>
      <c r="E90" t="inlineStr">
        <is>
          <t xml:space="preserve">false</t>
        </is>
      </c>
      <c r="F90">
        <v>37350.0</v>
      </c>
      <c r="G90">
        <v>31350.0</v>
      </c>
      <c r="H90">
        <v>24600.0</v>
      </c>
      <c r="I90">
        <v>1700.0</v>
      </c>
      <c r="J90">
        <v>7000.0</v>
      </c>
      <c r="K90" t="inlineStr">
        <is>
          <t xml:space="preserve">false</t>
        </is>
      </c>
      <c r="M90" t="inlineStr">
        <is>
          <t xml:space="preserve">FHWC2J61F G G0VX 2026</t>
        </is>
      </c>
    </row>
    <row r="91">
      <c r="A91">
        <f>VLOOKUP(M91,MapaProductos!$A:$B,2,FALSE)</f>
      </c>
      <c r="B91">
        <f>Parametros!$B$3</f>
      </c>
      <c r="C91">
        <v>43590.0</v>
      </c>
      <c r="D91" t="inlineStr">
        <is>
          <t xml:space="preserve">true</t>
        </is>
      </c>
      <c r="E91" t="inlineStr">
        <is>
          <t xml:space="preserve">false</t>
        </is>
      </c>
      <c r="F91">
        <v>35040.0</v>
      </c>
      <c r="G91">
        <v>30350.0</v>
      </c>
      <c r="H91">
        <v>23400.0</v>
      </c>
      <c r="I91">
        <v>1700.0</v>
      </c>
      <c r="J91">
        <v>8000.0</v>
      </c>
      <c r="K91" t="inlineStr">
        <is>
          <t xml:space="preserve">false</t>
        </is>
      </c>
      <c r="M91" t="inlineStr">
        <is>
          <t xml:space="preserve">FHWC2J61F G G498 2025</t>
        </is>
      </c>
    </row>
    <row r="92">
      <c r="A92">
        <f>VLOOKUP(M92,MapaProductos!$A:$B,2,FALSE)</f>
      </c>
      <c r="B92">
        <f>Parametros!$B$3</f>
      </c>
      <c r="C92">
        <v>66900.0</v>
      </c>
      <c r="D92" t="inlineStr">
        <is>
          <t xml:space="preserve">true</t>
        </is>
      </c>
      <c r="E92" t="inlineStr">
        <is>
          <t xml:space="preserve">false</t>
        </is>
      </c>
      <c r="F92">
        <v>65225.0</v>
      </c>
      <c r="G92">
        <v>62300.0</v>
      </c>
      <c r="H92">
        <v>53534.0</v>
      </c>
      <c r="I92">
        <v>1500.0</v>
      </c>
      <c r="K92" t="inlineStr">
        <is>
          <t xml:space="preserve">false</t>
        </is>
      </c>
      <c r="M92" t="inlineStr">
        <is>
          <t xml:space="preserve">FRR90SL-MAPES 2026</t>
        </is>
      </c>
    </row>
    <row r="93">
      <c r="A93">
        <f>VLOOKUP(M93,MapaProductos!$A:$B,2,FALSE)</f>
      </c>
      <c r="B93">
        <f>Parametros!$B$3</f>
      </c>
      <c r="C93">
        <v>68250.0</v>
      </c>
      <c r="D93" t="inlineStr">
        <is>
          <t xml:space="preserve">true</t>
        </is>
      </c>
      <c r="E93" t="inlineStr">
        <is>
          <t xml:space="preserve">false</t>
        </is>
      </c>
      <c r="F93">
        <v>67200.0</v>
      </c>
      <c r="G93">
        <v>54400.0</v>
      </c>
      <c r="H93">
        <v>67350.0</v>
      </c>
      <c r="I93">
        <v>1500.0</v>
      </c>
      <c r="K93" t="inlineStr">
        <is>
          <t xml:space="preserve">false</t>
        </is>
      </c>
      <c r="M93" t="inlineStr">
        <is>
          <t xml:space="preserve">FRR90SL-MAPES 2027</t>
        </is>
      </c>
    </row>
    <row r="94">
      <c r="A94">
        <f>VLOOKUP(M94,MapaProductos!$A:$B,2,FALSE)</f>
      </c>
      <c r="B94">
        <f>Parametros!$B$3</f>
      </c>
      <c r="C94">
        <v>76500.0</v>
      </c>
      <c r="D94" t="inlineStr">
        <is>
          <t xml:space="preserve">true</t>
        </is>
      </c>
      <c r="E94" t="inlineStr">
        <is>
          <t xml:space="preserve">false</t>
        </is>
      </c>
      <c r="F94">
        <v>74585.0</v>
      </c>
      <c r="G94">
        <v>67700.0</v>
      </c>
      <c r="H94">
        <v>64942.0</v>
      </c>
      <c r="I94">
        <v>1600.0</v>
      </c>
      <c r="K94" t="inlineStr">
        <is>
          <t xml:space="preserve">false</t>
        </is>
      </c>
      <c r="M94" t="inlineStr">
        <is>
          <t xml:space="preserve">FTR34SL-PDPEN 2026</t>
        </is>
      </c>
    </row>
    <row r="95">
      <c r="A95">
        <f>VLOOKUP(M95,MapaProductos!$A:$B,2,FALSE)</f>
      </c>
      <c r="B95">
        <f>Parametros!$B$3</f>
      </c>
      <c r="C95">
        <v>91500.0</v>
      </c>
      <c r="D95" t="inlineStr">
        <is>
          <t xml:space="preserve">true</t>
        </is>
      </c>
      <c r="E95" t="inlineStr">
        <is>
          <t xml:space="preserve">false</t>
        </is>
      </c>
      <c r="F95">
        <v>89210.0</v>
      </c>
      <c r="G95">
        <v>71500.0</v>
      </c>
      <c r="H95">
        <v>89239.0</v>
      </c>
      <c r="I95">
        <v>1700.0</v>
      </c>
      <c r="K95" t="inlineStr">
        <is>
          <t xml:space="preserve">false</t>
        </is>
      </c>
      <c r="M95" t="inlineStr">
        <is>
          <t xml:space="preserve">FVR34UL-QDPES 2026</t>
        </is>
      </c>
    </row>
    <row r="96">
      <c r="A96">
        <f>VLOOKUP(M96,MapaProductos!$A:$B,2,FALSE)</f>
      </c>
      <c r="B96">
        <f>Parametros!$B$3</f>
      </c>
      <c r="C96">
        <v>103900.0</v>
      </c>
      <c r="D96" t="inlineStr">
        <is>
          <t xml:space="preserve">true</t>
        </is>
      </c>
      <c r="E96" t="inlineStr">
        <is>
          <t xml:space="preserve">false</t>
        </is>
      </c>
      <c r="F96">
        <v>101300.0</v>
      </c>
      <c r="G96">
        <v>81400.0</v>
      </c>
      <c r="H96">
        <v>102195.0</v>
      </c>
      <c r="I96">
        <v>1800.0</v>
      </c>
      <c r="K96" t="inlineStr">
        <is>
          <t xml:space="preserve">false</t>
        </is>
      </c>
      <c r="M96" t="inlineStr">
        <is>
          <t xml:space="preserve">FVZ34UL-TDPES 2026</t>
        </is>
      </c>
    </row>
    <row r="97">
      <c r="A97">
        <f>VLOOKUP(M97,MapaProductos!$A:$B,2,FALSE)</f>
      </c>
      <c r="B97">
        <f>Parametros!$B$3</f>
      </c>
      <c r="C97">
        <v>106000.0</v>
      </c>
      <c r="D97" t="inlineStr">
        <is>
          <t xml:space="preserve">true</t>
        </is>
      </c>
      <c r="E97" t="inlineStr">
        <is>
          <t xml:space="preserve">false</t>
        </is>
      </c>
      <c r="F97">
        <v>104400.0</v>
      </c>
      <c r="G97">
        <v>83900.0</v>
      </c>
      <c r="H97">
        <v>104600.0</v>
      </c>
      <c r="I97">
        <v>1800.0</v>
      </c>
      <c r="K97" t="inlineStr">
        <is>
          <t xml:space="preserve">false</t>
        </is>
      </c>
      <c r="M97" t="inlineStr">
        <is>
          <t xml:space="preserve">FVZ34UL-TDPES 2027</t>
        </is>
      </c>
    </row>
    <row r="98">
      <c r="A98">
        <f>VLOOKUP(M98,MapaProductos!$A:$B,2,FALSE)</f>
      </c>
      <c r="B98">
        <f>Parametros!$B$3</f>
      </c>
      <c r="C98">
        <v>67990.0</v>
      </c>
      <c r="D98" t="inlineStr">
        <is>
          <t xml:space="preserve">true</t>
        </is>
      </c>
      <c r="E98" t="inlineStr">
        <is>
          <t xml:space="preserve">false</t>
        </is>
      </c>
      <c r="F98">
        <v>56990.0</v>
      </c>
      <c r="G98">
        <v>67990.0</v>
      </c>
      <c r="H98">
        <v>56990.0</v>
      </c>
      <c r="I98">
        <v>2500.0</v>
      </c>
      <c r="J98">
        <v>11000.0</v>
      </c>
      <c r="K98" t="inlineStr">
        <is>
          <t xml:space="preserve">false</t>
        </is>
      </c>
      <c r="M98" t="inlineStr">
        <is>
          <t xml:space="preserve">GIW5YCZ7Z D D07X 2025</t>
        </is>
      </c>
    </row>
    <row r="99">
      <c r="A99">
        <f>VLOOKUP(M99,MapaProductos!$A:$B,2,FALSE)</f>
      </c>
      <c r="B99">
        <f>Parametros!$B$3</f>
      </c>
      <c r="C99">
        <v>47900.0</v>
      </c>
      <c r="D99" t="inlineStr">
        <is>
          <t xml:space="preserve">true</t>
        </is>
      </c>
      <c r="E99" t="inlineStr">
        <is>
          <t xml:space="preserve">false</t>
        </is>
      </c>
      <c r="F99">
        <v>42330.0</v>
      </c>
      <c r="G99">
        <v>33270.0</v>
      </c>
      <c r="H99">
        <v>28170.0</v>
      </c>
      <c r="I99">
        <v>2000.0</v>
      </c>
      <c r="J99">
        <v>5000.0</v>
      </c>
      <c r="K99" t="inlineStr">
        <is>
          <t xml:space="preserve">false</t>
        </is>
      </c>
      <c r="M99" t="inlineStr">
        <is>
          <t xml:space="preserve">GVW52J61F D D184 2026</t>
        </is>
      </c>
    </row>
    <row r="100">
      <c r="A100">
        <f>VLOOKUP(M100,MapaProductos!$A:$B,2,FALSE)</f>
      </c>
      <c r="B100">
        <f>Parametros!$B$3</f>
      </c>
      <c r="C100">
        <v>42900.0</v>
      </c>
      <c r="D100" t="inlineStr">
        <is>
          <t xml:space="preserve">true</t>
        </is>
      </c>
      <c r="E100" t="inlineStr">
        <is>
          <t xml:space="preserve">false</t>
        </is>
      </c>
      <c r="F100">
        <v>36990.0</v>
      </c>
      <c r="G100">
        <v>29870.0</v>
      </c>
      <c r="H100">
        <v>24670.0</v>
      </c>
      <c r="I100">
        <v>2000.0</v>
      </c>
      <c r="J100">
        <v>5340.0</v>
      </c>
      <c r="K100" t="inlineStr">
        <is>
          <t xml:space="preserve">false</t>
        </is>
      </c>
      <c r="M100" t="inlineStr">
        <is>
          <t xml:space="preserve">GVW52J61F D D185 2026</t>
        </is>
      </c>
    </row>
    <row r="101">
      <c r="A101">
        <f>VLOOKUP(M101,MapaProductos!$A:$B,2,FALSE)</f>
      </c>
      <c r="B101">
        <f>Parametros!$B$3</f>
      </c>
      <c r="C101">
        <v>49900.0</v>
      </c>
      <c r="D101" t="inlineStr">
        <is>
          <t xml:space="preserve">true</t>
        </is>
      </c>
      <c r="E101" t="inlineStr">
        <is>
          <t xml:space="preserve">false</t>
        </is>
      </c>
      <c r="F101">
        <v>44330.0</v>
      </c>
      <c r="G101">
        <v>34670.0</v>
      </c>
      <c r="H101">
        <v>29570.0</v>
      </c>
      <c r="I101">
        <v>2000.0</v>
      </c>
      <c r="J101">
        <v>5000.0</v>
      </c>
      <c r="K101" t="inlineStr">
        <is>
          <t xml:space="preserve">false</t>
        </is>
      </c>
      <c r="M101" t="inlineStr">
        <is>
          <t xml:space="preserve">GVW52J61G D D184 2026</t>
        </is>
      </c>
    </row>
    <row r="102">
      <c r="A102">
        <f>VLOOKUP(M102,MapaProductos!$A:$B,2,FALSE)</f>
      </c>
      <c r="B102">
        <f>Parametros!$B$3</f>
      </c>
      <c r="C102">
        <v>40500.0</v>
      </c>
      <c r="D102" t="inlineStr">
        <is>
          <t xml:space="preserve">true</t>
        </is>
      </c>
      <c r="E102" t="inlineStr">
        <is>
          <t xml:space="preserve">false</t>
        </is>
      </c>
      <c r="F102">
        <v>33430.0</v>
      </c>
      <c r="G102">
        <v>28070.0</v>
      </c>
      <c r="H102">
        <v>23170.0</v>
      </c>
      <c r="I102">
        <v>1900.0</v>
      </c>
      <c r="J102">
        <v>6500.0</v>
      </c>
      <c r="K102" t="inlineStr">
        <is>
          <t xml:space="preserve">false</t>
        </is>
      </c>
      <c r="M102" t="inlineStr">
        <is>
          <t xml:space="preserve">GWWD2J61F D D0ZH 2024</t>
        </is>
      </c>
    </row>
    <row r="103">
      <c r="A103">
        <f>VLOOKUP(M103,MapaProductos!$A:$B,2,FALSE)</f>
      </c>
      <c r="B103">
        <f>Parametros!$B$3</f>
      </c>
      <c r="C103">
        <v>46500.0</v>
      </c>
      <c r="D103" t="inlineStr">
        <is>
          <t xml:space="preserve">true</t>
        </is>
      </c>
      <c r="E103" t="inlineStr">
        <is>
          <t xml:space="preserve">false</t>
        </is>
      </c>
      <c r="F103">
        <v>40430.0</v>
      </c>
      <c r="G103">
        <v>32470.0</v>
      </c>
      <c r="H103">
        <v>27070.0</v>
      </c>
      <c r="I103">
        <v>1900.0</v>
      </c>
      <c r="J103">
        <v>5500.0</v>
      </c>
      <c r="K103" t="inlineStr">
        <is>
          <t xml:space="preserve">false</t>
        </is>
      </c>
      <c r="M103" t="inlineStr">
        <is>
          <t xml:space="preserve">GWWD2J61F D D1I3 2025</t>
        </is>
      </c>
    </row>
    <row r="104">
      <c r="A104">
        <f>VLOOKUP(M104,MapaProductos!$A:$B,2,FALSE)</f>
      </c>
      <c r="B104">
        <f>Parametros!$B$3</f>
      </c>
      <c r="C104">
        <v>48600.0</v>
      </c>
      <c r="D104" t="inlineStr">
        <is>
          <t xml:space="preserve">true</t>
        </is>
      </c>
      <c r="E104" t="inlineStr">
        <is>
          <t xml:space="preserve">false</t>
        </is>
      </c>
      <c r="F104">
        <v>43030.0</v>
      </c>
      <c r="G104">
        <v>33870.0</v>
      </c>
      <c r="H104">
        <v>28870.0</v>
      </c>
      <c r="I104">
        <v>2000.0</v>
      </c>
      <c r="J104">
        <v>5000.0</v>
      </c>
      <c r="K104" t="inlineStr">
        <is>
          <t xml:space="preserve">false</t>
        </is>
      </c>
      <c r="M104" t="inlineStr">
        <is>
          <t xml:space="preserve">GWWD2J61F D D21T 2026</t>
        </is>
      </c>
    </row>
    <row r="105">
      <c r="A105">
        <f>VLOOKUP(M105,MapaProductos!$A:$B,2,FALSE)</f>
      </c>
      <c r="B105">
        <f>Parametros!$B$3</f>
      </c>
      <c r="C105">
        <v>42500.0</v>
      </c>
      <c r="D105" t="inlineStr">
        <is>
          <t xml:space="preserve">true</t>
        </is>
      </c>
      <c r="E105" t="inlineStr">
        <is>
          <t xml:space="preserve">false</t>
        </is>
      </c>
      <c r="F105">
        <v>36430.0</v>
      </c>
      <c r="G105">
        <v>29470.0</v>
      </c>
      <c r="H105">
        <v>24070.0</v>
      </c>
      <c r="I105">
        <v>1900.0</v>
      </c>
      <c r="J105">
        <v>5500.0</v>
      </c>
      <c r="K105" t="inlineStr">
        <is>
          <t xml:space="preserve">false</t>
        </is>
      </c>
      <c r="M105" t="inlineStr">
        <is>
          <t xml:space="preserve">GWWD2J61F D D21U 2025</t>
        </is>
      </c>
    </row>
    <row r="106">
      <c r="A106">
        <f>VLOOKUP(M106,MapaProductos!$A:$B,2,FALSE)</f>
      </c>
      <c r="B106">
        <f>Parametros!$B$3</f>
      </c>
      <c r="C106">
        <v>42900.0</v>
      </c>
      <c r="D106" t="inlineStr">
        <is>
          <t xml:space="preserve">true</t>
        </is>
      </c>
      <c r="E106" t="inlineStr">
        <is>
          <t xml:space="preserve">false</t>
        </is>
      </c>
      <c r="F106">
        <v>36990.0</v>
      </c>
      <c r="G106">
        <v>30170.0</v>
      </c>
      <c r="H106">
        <v>26570.0</v>
      </c>
      <c r="I106">
        <v>1900.0</v>
      </c>
      <c r="J106">
        <v>3340.0</v>
      </c>
      <c r="K106" t="inlineStr">
        <is>
          <t xml:space="preserve">false</t>
        </is>
      </c>
      <c r="M106" t="inlineStr">
        <is>
          <t xml:space="preserve">GWWD2J61F D D21U 2026</t>
        </is>
      </c>
    </row>
    <row r="107">
      <c r="A107">
        <f>VLOOKUP(M107,MapaProductos!$A:$B,2,FALSE)</f>
      </c>
      <c r="B107">
        <f>Parametros!$B$3</f>
      </c>
      <c r="C107">
        <v>47100.0</v>
      </c>
      <c r="D107" t="inlineStr">
        <is>
          <t xml:space="preserve">true</t>
        </is>
      </c>
      <c r="E107" t="inlineStr">
        <is>
          <t xml:space="preserve">false</t>
        </is>
      </c>
      <c r="F107">
        <v>42030.0</v>
      </c>
      <c r="G107">
        <v>32570.0</v>
      </c>
      <c r="H107">
        <v>28370.0</v>
      </c>
      <c r="I107">
        <v>2000.0</v>
      </c>
      <c r="J107">
        <v>4500.0</v>
      </c>
      <c r="K107" t="inlineStr">
        <is>
          <t xml:space="preserve">false</t>
        </is>
      </c>
      <c r="M107" t="inlineStr">
        <is>
          <t xml:space="preserve">GWWD2J61F D D25T. 2025</t>
        </is>
      </c>
    </row>
    <row r="108">
      <c r="A108">
        <f>VLOOKUP(M108,MapaProductos!$A:$B,2,FALSE)</f>
      </c>
      <c r="B108">
        <f>Parametros!$B$3</f>
      </c>
      <c r="C108">
        <v>43500.0</v>
      </c>
      <c r="D108" t="inlineStr">
        <is>
          <t xml:space="preserve">true</t>
        </is>
      </c>
      <c r="E108" t="inlineStr">
        <is>
          <t xml:space="preserve">false</t>
        </is>
      </c>
      <c r="F108">
        <v>36430.0</v>
      </c>
      <c r="G108">
        <v>30370.0</v>
      </c>
      <c r="H108">
        <v>24370.0</v>
      </c>
      <c r="I108">
        <v>1900.0</v>
      </c>
      <c r="J108">
        <v>6500.0</v>
      </c>
      <c r="K108" t="inlineStr">
        <is>
          <t xml:space="preserve">false</t>
        </is>
      </c>
      <c r="M108" t="inlineStr">
        <is>
          <t xml:space="preserve">GWWD2J61G D D1I8 2024</t>
        </is>
      </c>
    </row>
    <row r="109">
      <c r="A109">
        <f>VLOOKUP(M109,MapaProductos!$A:$B,2,FALSE)</f>
      </c>
      <c r="B109">
        <f>Parametros!$B$3</f>
      </c>
      <c r="C109">
        <v>49600.0</v>
      </c>
      <c r="D109" t="inlineStr">
        <is>
          <t xml:space="preserve">true</t>
        </is>
      </c>
      <c r="E109" t="inlineStr">
        <is>
          <t xml:space="preserve">false</t>
        </is>
      </c>
      <c r="F109">
        <v>42990.0</v>
      </c>
      <c r="G109">
        <v>34470.0</v>
      </c>
      <c r="H109">
        <v>28770.0</v>
      </c>
      <c r="I109">
        <v>2000.0</v>
      </c>
      <c r="J109">
        <v>6040.0</v>
      </c>
      <c r="K109" t="inlineStr">
        <is>
          <t xml:space="preserve">false</t>
        </is>
      </c>
      <c r="M109" t="inlineStr">
        <is>
          <t xml:space="preserve">GWWD2J61G D D21T 2025</t>
        </is>
      </c>
    </row>
    <row r="110">
      <c r="A110">
        <f>VLOOKUP(M110,MapaProductos!$A:$B,2,FALSE)</f>
      </c>
      <c r="B110">
        <f>Parametros!$B$3</f>
      </c>
      <c r="C110">
        <v>49900.0</v>
      </c>
      <c r="D110" t="inlineStr">
        <is>
          <t xml:space="preserve">true</t>
        </is>
      </c>
      <c r="E110" t="inlineStr">
        <is>
          <t xml:space="preserve">false</t>
        </is>
      </c>
      <c r="F110">
        <v>44330.0</v>
      </c>
      <c r="G110">
        <v>34670.0</v>
      </c>
      <c r="H110">
        <v>29670.0</v>
      </c>
      <c r="I110">
        <v>2000.0</v>
      </c>
      <c r="J110">
        <v>5000.0</v>
      </c>
      <c r="K110" t="inlineStr">
        <is>
          <t xml:space="preserve">false</t>
        </is>
      </c>
      <c r="M110" t="inlineStr">
        <is>
          <t xml:space="preserve">GWWD2J61G D D21T 2026</t>
        </is>
      </c>
    </row>
    <row r="111">
      <c r="A111">
        <f>VLOOKUP(M111,MapaProductos!$A:$B,2,FALSE)</f>
      </c>
      <c r="B111">
        <f>Parametros!$B$3</f>
      </c>
      <c r="C111">
        <v>45500.0</v>
      </c>
      <c r="D111" t="inlineStr">
        <is>
          <t xml:space="preserve">true</t>
        </is>
      </c>
      <c r="E111" t="inlineStr">
        <is>
          <t xml:space="preserve">false</t>
        </is>
      </c>
      <c r="F111">
        <v>39430.0</v>
      </c>
      <c r="G111">
        <v>31770.0</v>
      </c>
      <c r="H111">
        <v>26470.0</v>
      </c>
      <c r="I111">
        <v>1900.0</v>
      </c>
      <c r="J111">
        <v>5500.0</v>
      </c>
      <c r="K111" t="inlineStr">
        <is>
          <t xml:space="preserve">false</t>
        </is>
      </c>
      <c r="M111" t="inlineStr">
        <is>
          <t xml:space="preserve">GWWD2J61G D D2BI 2025</t>
        </is>
      </c>
    </row>
    <row r="112">
      <c r="A112">
        <f>VLOOKUP(M112,MapaProductos!$A:$B,2,FALSE)</f>
      </c>
      <c r="B112">
        <f>Parametros!$B$3</f>
      </c>
      <c r="C112">
        <v>47500.0</v>
      </c>
      <c r="D112" t="inlineStr">
        <is>
          <t xml:space="preserve">true</t>
        </is>
      </c>
      <c r="E112" t="inlineStr">
        <is>
          <t xml:space="preserve">false</t>
        </is>
      </c>
      <c r="F112">
        <v>39930.0</v>
      </c>
      <c r="G112">
        <v>33770.0</v>
      </c>
      <c r="H112">
        <v>28770.0</v>
      </c>
      <c r="I112">
        <v>1900.0</v>
      </c>
      <c r="J112">
        <v>5000.0</v>
      </c>
      <c r="K112" t="inlineStr">
        <is>
          <t xml:space="preserve">false</t>
        </is>
      </c>
      <c r="M112" t="inlineStr">
        <is>
          <t xml:space="preserve">GWWD2J61G D D2BI 2026</t>
        </is>
      </c>
    </row>
    <row r="113">
      <c r="A113">
        <f>VLOOKUP(M113,MapaProductos!$A:$B,2,FALSE)</f>
      </c>
      <c r="B113">
        <f>Parametros!$B$3</f>
      </c>
      <c r="C113">
        <v>45500.0</v>
      </c>
      <c r="D113" t="inlineStr">
        <is>
          <t xml:space="preserve">true</t>
        </is>
      </c>
      <c r="E113" t="inlineStr">
        <is>
          <t xml:space="preserve">false</t>
        </is>
      </c>
      <c r="F113">
        <v>37990.0</v>
      </c>
      <c r="G113">
        <v>31570.0</v>
      </c>
      <c r="H113">
        <v>25970.0</v>
      </c>
      <c r="I113">
        <v>2000.0</v>
      </c>
      <c r="J113">
        <v>6940.0</v>
      </c>
      <c r="K113" t="inlineStr">
        <is>
          <t xml:space="preserve">false</t>
        </is>
      </c>
      <c r="M113" t="inlineStr">
        <is>
          <t xml:space="preserve">GWWDD5G1U D D1I6 2025</t>
        </is>
      </c>
    </row>
    <row r="114">
      <c r="A114">
        <f>VLOOKUP(M114,MapaProductos!$A:$B,2,FALSE)</f>
      </c>
      <c r="B114">
        <f>Parametros!$B$3</f>
      </c>
      <c r="C114">
        <v>47600.0</v>
      </c>
      <c r="D114" t="inlineStr">
        <is>
          <t xml:space="preserve">true</t>
        </is>
      </c>
      <c r="E114" t="inlineStr">
        <is>
          <t xml:space="preserve">false</t>
        </is>
      </c>
      <c r="F114">
        <v>39990.0</v>
      </c>
      <c r="G114">
        <v>33070.0</v>
      </c>
      <c r="H114">
        <v>26670.0</v>
      </c>
      <c r="I114">
        <v>2100.0</v>
      </c>
      <c r="J114">
        <v>7040.0</v>
      </c>
      <c r="K114" t="inlineStr">
        <is>
          <t xml:space="preserve">false</t>
        </is>
      </c>
      <c r="M114" t="inlineStr">
        <is>
          <t xml:space="preserve">GWWDD5G1U D D28T 2025</t>
        </is>
      </c>
    </row>
    <row r="115">
      <c r="A115">
        <f>VLOOKUP(M115,MapaProductos!$A:$B,2,FALSE)</f>
      </c>
      <c r="B115">
        <f>Parametros!$B$3</f>
      </c>
      <c r="C115">
        <v>49600.0</v>
      </c>
      <c r="D115" t="inlineStr">
        <is>
          <t xml:space="preserve">true</t>
        </is>
      </c>
      <c r="E115" t="inlineStr">
        <is>
          <t xml:space="preserve">false</t>
        </is>
      </c>
      <c r="F115">
        <v>43990.0</v>
      </c>
      <c r="G115">
        <v>34570.0</v>
      </c>
      <c r="H115">
        <v>29370.0</v>
      </c>
      <c r="I115">
        <v>2100.0</v>
      </c>
      <c r="J115">
        <v>5040.0</v>
      </c>
      <c r="K115" t="inlineStr">
        <is>
          <t xml:space="preserve">false</t>
        </is>
      </c>
      <c r="M115" t="inlineStr">
        <is>
          <t xml:space="preserve">GWWDD5G1U D D28T 2026</t>
        </is>
      </c>
    </row>
    <row r="116">
      <c r="A116">
        <f>VLOOKUP(M116,MapaProductos!$A:$B,2,FALSE)</f>
      </c>
      <c r="B116">
        <f>Parametros!$B$3</f>
      </c>
      <c r="C116">
        <v>54900.0</v>
      </c>
      <c r="D116" t="inlineStr">
        <is>
          <t xml:space="preserve">true</t>
        </is>
      </c>
      <c r="E116" t="inlineStr">
        <is>
          <t xml:space="preserve">false</t>
        </is>
      </c>
      <c r="F116">
        <v>47330.0</v>
      </c>
      <c r="G116">
        <v>38370.0</v>
      </c>
      <c r="H116">
        <v>31670.0</v>
      </c>
      <c r="I116">
        <v>2100.0</v>
      </c>
      <c r="J116">
        <v>7000.0</v>
      </c>
      <c r="K116" t="inlineStr">
        <is>
          <t xml:space="preserve">false</t>
        </is>
      </c>
      <c r="M116" t="inlineStr">
        <is>
          <t xml:space="preserve">GWWDD5G1X D D28U 2025</t>
        </is>
      </c>
    </row>
    <row r="117">
      <c r="A117">
        <f>VLOOKUP(M117,MapaProductos!$A:$B,2,FALSE)</f>
      </c>
      <c r="B117">
        <f>Parametros!$B$3</f>
      </c>
      <c r="C117">
        <v>54900.0</v>
      </c>
      <c r="D117" t="inlineStr">
        <is>
          <t xml:space="preserve">true</t>
        </is>
      </c>
      <c r="E117" t="inlineStr">
        <is>
          <t xml:space="preserve">false</t>
        </is>
      </c>
      <c r="F117">
        <v>49330.0</v>
      </c>
      <c r="G117">
        <v>38270.0</v>
      </c>
      <c r="H117">
        <v>33070.0</v>
      </c>
      <c r="I117">
        <v>2100.0</v>
      </c>
      <c r="J117">
        <v>5000.0</v>
      </c>
      <c r="K117" t="inlineStr">
        <is>
          <t xml:space="preserve">false</t>
        </is>
      </c>
      <c r="M117" t="inlineStr">
        <is>
          <t xml:space="preserve">GWWDD5G1X D D28U 2026</t>
        </is>
      </c>
    </row>
    <row r="118">
      <c r="A118">
        <f>VLOOKUP(M118,MapaProductos!$A:$B,2,FALSE)</f>
      </c>
      <c r="B118">
        <f>Parametros!$B$3</f>
      </c>
      <c r="C118">
        <v>33900.0</v>
      </c>
      <c r="D118" t="inlineStr">
        <is>
          <t xml:space="preserve">true</t>
        </is>
      </c>
      <c r="E118" t="inlineStr">
        <is>
          <t xml:space="preserve">false</t>
        </is>
      </c>
      <c r="F118">
        <v>26753.0</v>
      </c>
      <c r="G118">
        <v>23847.0</v>
      </c>
      <c r="H118">
        <v>16500.0</v>
      </c>
      <c r="I118">
        <v>2600.0</v>
      </c>
      <c r="J118">
        <v>4000.0</v>
      </c>
      <c r="K118" t="inlineStr">
        <is>
          <t xml:space="preserve">false</t>
        </is>
      </c>
      <c r="M118" t="inlineStr">
        <is>
          <t xml:space="preserve">HEH76B858 DDBLE 2025</t>
        </is>
      </c>
    </row>
    <row r="119">
      <c r="A119">
        <f>VLOOKUP(M119,MapaProductos!$A:$B,2,FALSE)</f>
      </c>
      <c r="B119">
        <f>Parametros!$B$3</f>
      </c>
      <c r="C119">
        <v>34900.0</v>
      </c>
      <c r="D119" t="inlineStr">
        <is>
          <t xml:space="preserve">true</t>
        </is>
      </c>
      <c r="E119" t="inlineStr">
        <is>
          <t xml:space="preserve">false</t>
        </is>
      </c>
      <c r="F119">
        <v>29753.0</v>
      </c>
      <c r="G119">
        <v>24647.0</v>
      </c>
      <c r="H119">
        <v>18700.0</v>
      </c>
      <c r="I119">
        <v>2600.0</v>
      </c>
      <c r="J119">
        <v>2000.0</v>
      </c>
      <c r="K119" t="inlineStr">
        <is>
          <t xml:space="preserve">false</t>
        </is>
      </c>
      <c r="M119" t="inlineStr">
        <is>
          <t xml:space="preserve">HEH76B858 DDBLE 2026</t>
        </is>
      </c>
    </row>
    <row r="120">
      <c r="A120">
        <f>VLOOKUP(M120,MapaProductos!$A:$B,2,FALSE)</f>
      </c>
      <c r="B120">
        <f>Parametros!$B$3</f>
      </c>
      <c r="C120">
        <v>73000.0</v>
      </c>
      <c r="D120" t="inlineStr">
        <is>
          <t xml:space="preserve">true</t>
        </is>
      </c>
      <c r="E120" t="inlineStr">
        <is>
          <t xml:space="preserve">false</t>
        </is>
      </c>
      <c r="F120">
        <v>69200.0</v>
      </c>
      <c r="G120">
        <v>50100.0</v>
      </c>
      <c r="H120">
        <v>46000.0</v>
      </c>
      <c r="I120">
        <v>3400.0</v>
      </c>
      <c r="J120">
        <v>3000.0</v>
      </c>
      <c r="K120" t="inlineStr">
        <is>
          <t xml:space="preserve">false</t>
        </is>
      </c>
      <c r="M120" t="inlineStr">
        <is>
          <t xml:space="preserve">HHW6L9G1N G G09D 2025</t>
        </is>
      </c>
    </row>
    <row r="121">
      <c r="A121">
        <f>VLOOKUP(M121,MapaProductos!$A:$B,2,FALSE)</f>
      </c>
      <c r="B121">
        <f>Parametros!$B$3</f>
      </c>
      <c r="C121">
        <v>75000.0</v>
      </c>
      <c r="D121" t="inlineStr">
        <is>
          <t xml:space="preserve">true</t>
        </is>
      </c>
      <c r="E121" t="inlineStr">
        <is>
          <t xml:space="preserve">false</t>
        </is>
      </c>
      <c r="F121">
        <v>72200.0</v>
      </c>
      <c r="G121">
        <v>51600.0</v>
      </c>
      <c r="H121">
        <v>48100.0</v>
      </c>
      <c r="I121">
        <v>3400.0</v>
      </c>
      <c r="J121">
        <v>2000.0</v>
      </c>
      <c r="K121" t="inlineStr">
        <is>
          <t xml:space="preserve">false</t>
        </is>
      </c>
      <c r="M121" t="inlineStr">
        <is>
          <t xml:space="preserve">HHW6L9G1N G G0FZ 2026</t>
        </is>
      </c>
    </row>
    <row r="122">
      <c r="A122">
        <f>VLOOKUP(M122,MapaProductos!$A:$B,2,FALSE)</f>
      </c>
      <c r="B122">
        <f>Parametros!$B$3</f>
      </c>
      <c r="C122">
        <v>73000.0</v>
      </c>
      <c r="D122" t="inlineStr">
        <is>
          <t xml:space="preserve">true</t>
        </is>
      </c>
      <c r="E122" t="inlineStr">
        <is>
          <t xml:space="preserve">false</t>
        </is>
      </c>
      <c r="F122">
        <v>69200.0</v>
      </c>
      <c r="G122">
        <v>50000.0</v>
      </c>
      <c r="H122">
        <v>46000.0</v>
      </c>
      <c r="I122">
        <v>3400.0</v>
      </c>
      <c r="J122">
        <v>3000.0</v>
      </c>
      <c r="K122" t="inlineStr">
        <is>
          <t xml:space="preserve">false</t>
        </is>
      </c>
      <c r="M122" t="inlineStr">
        <is>
          <t xml:space="preserve">HHW6L9G1N G G958 2025</t>
        </is>
      </c>
    </row>
    <row r="123">
      <c r="A123">
        <f>VLOOKUP(M123,MapaProductos!$A:$B,2,FALSE)</f>
      </c>
      <c r="B123">
        <f>Parametros!$B$3</f>
      </c>
      <c r="C123">
        <v>64850.0</v>
      </c>
      <c r="D123" t="inlineStr">
        <is>
          <t xml:space="preserve">true</t>
        </is>
      </c>
      <c r="E123" t="inlineStr">
        <is>
          <t xml:space="preserve">false</t>
        </is>
      </c>
      <c r="F123">
        <v>59050.0</v>
      </c>
      <c r="G123">
        <v>44400.0</v>
      </c>
      <c r="H123">
        <v>39000.0</v>
      </c>
      <c r="I123">
        <v>3150.0</v>
      </c>
      <c r="J123">
        <v>5000.0</v>
      </c>
      <c r="K123" t="inlineStr">
        <is>
          <t xml:space="preserve">false</t>
        </is>
      </c>
      <c r="M123" t="inlineStr">
        <is>
          <t xml:space="preserve">HHW7L9A1K D D276 2025</t>
        </is>
      </c>
    </row>
    <row r="124">
      <c r="A124">
        <f>VLOOKUP(M124,MapaProductos!$A:$B,2,FALSE)</f>
      </c>
      <c r="B124">
        <f>Parametros!$B$3</f>
      </c>
      <c r="C124">
        <v>60750.0</v>
      </c>
      <c r="D124" t="inlineStr">
        <is>
          <t xml:space="preserve">true</t>
        </is>
      </c>
      <c r="E124" t="inlineStr">
        <is>
          <t xml:space="preserve">false</t>
        </is>
      </c>
      <c r="F124">
        <v>53950.0</v>
      </c>
      <c r="G124">
        <v>41800.0</v>
      </c>
      <c r="H124">
        <v>35800.0</v>
      </c>
      <c r="I124">
        <v>3050.0</v>
      </c>
      <c r="J124">
        <v>6000.0</v>
      </c>
      <c r="K124" t="inlineStr">
        <is>
          <t xml:space="preserve">false</t>
        </is>
      </c>
      <c r="M124" t="inlineStr">
        <is>
          <t xml:space="preserve">HHW7L9A1K D D284 2025</t>
        </is>
      </c>
    </row>
    <row r="125">
      <c r="A125">
        <f>VLOOKUP(M125,MapaProductos!$A:$B,2,FALSE)</f>
      </c>
      <c r="B125">
        <f>Parametros!$B$3</f>
      </c>
      <c r="C125">
        <v>63840.0</v>
      </c>
      <c r="D125" t="inlineStr">
        <is>
          <t xml:space="preserve">true</t>
        </is>
      </c>
      <c r="E125" t="inlineStr">
        <is>
          <t xml:space="preserve">false</t>
        </is>
      </c>
      <c r="F125">
        <v>53990.0</v>
      </c>
      <c r="G125">
        <v>44850.0</v>
      </c>
      <c r="H125">
        <v>38850.0</v>
      </c>
      <c r="I125">
        <v>3050.0</v>
      </c>
      <c r="J125">
        <v>6000.0</v>
      </c>
      <c r="K125" t="inlineStr">
        <is>
          <t xml:space="preserve">false</t>
        </is>
      </c>
      <c r="M125" t="inlineStr">
        <is>
          <t xml:space="preserve">HHW7L9A1K D D388 2025</t>
        </is>
      </c>
    </row>
    <row r="126">
      <c r="A126">
        <f>VLOOKUP(M126,MapaProductos!$A:$B,2,FALSE)</f>
      </c>
      <c r="B126">
        <f>Parametros!$B$3</f>
      </c>
      <c r="C126">
        <v>64850.0</v>
      </c>
      <c r="D126" t="inlineStr">
        <is>
          <t xml:space="preserve">true</t>
        </is>
      </c>
      <c r="E126" t="inlineStr">
        <is>
          <t xml:space="preserve">false</t>
        </is>
      </c>
      <c r="F126">
        <v>59050.0</v>
      </c>
      <c r="G126">
        <v>44400.0</v>
      </c>
      <c r="H126">
        <v>39000.0</v>
      </c>
      <c r="I126">
        <v>3150.0</v>
      </c>
      <c r="J126">
        <v>5000.0</v>
      </c>
      <c r="K126" t="inlineStr">
        <is>
          <t xml:space="preserve">false</t>
        </is>
      </c>
      <c r="M126" t="inlineStr">
        <is>
          <t xml:space="preserve">HHW7L9A1K D D389 2025</t>
        </is>
      </c>
    </row>
    <row r="127">
      <c r="A127">
        <f>VLOOKUP(M127,MapaProductos!$A:$B,2,FALSE)</f>
      </c>
      <c r="B127">
        <f>Parametros!$B$3</f>
      </c>
      <c r="C127">
        <v>67850.0</v>
      </c>
      <c r="D127" t="inlineStr">
        <is>
          <t xml:space="preserve">true</t>
        </is>
      </c>
      <c r="E127" t="inlineStr">
        <is>
          <t xml:space="preserve">false</t>
        </is>
      </c>
      <c r="F127">
        <v>63050.0</v>
      </c>
      <c r="G127">
        <v>46800.0</v>
      </c>
      <c r="H127">
        <v>42000.0</v>
      </c>
      <c r="I127">
        <v>3150.0</v>
      </c>
      <c r="J127">
        <v>4000.0</v>
      </c>
      <c r="K127" t="inlineStr">
        <is>
          <t xml:space="preserve">false</t>
        </is>
      </c>
      <c r="M127" t="inlineStr">
        <is>
          <t xml:space="preserve">HHW7L9A1K D D558 2026</t>
        </is>
      </c>
    </row>
    <row r="128">
      <c r="A128">
        <f>VLOOKUP(M128,MapaProductos!$A:$B,2,FALSE)</f>
      </c>
      <c r="B128">
        <f>Parametros!$B$3</f>
      </c>
      <c r="C128">
        <v>22990.0</v>
      </c>
      <c r="D128" t="inlineStr">
        <is>
          <t xml:space="preserve">true</t>
        </is>
      </c>
      <c r="E128" t="inlineStr">
        <is>
          <t xml:space="preserve">false</t>
        </is>
      </c>
      <c r="F128">
        <v>18727.0</v>
      </c>
      <c r="G128">
        <v>16063.0</v>
      </c>
      <c r="H128">
        <v>12663.0</v>
      </c>
      <c r="I128">
        <v>1150.0</v>
      </c>
      <c r="J128">
        <v>4000.0</v>
      </c>
      <c r="K128" t="inlineStr">
        <is>
          <t xml:space="preserve">false</t>
        </is>
      </c>
      <c r="M128" t="inlineStr">
        <is>
          <t xml:space="preserve">HQS4K3615 D D11G 2026</t>
        </is>
      </c>
    </row>
    <row r="129">
      <c r="A129">
        <f>VLOOKUP(M129,MapaProductos!$A:$B,2,FALSE)</f>
      </c>
      <c r="B129">
        <f>Parametros!$B$3</f>
      </c>
      <c r="C129">
        <v>23990.0</v>
      </c>
      <c r="D129" t="inlineStr">
        <is>
          <t xml:space="preserve">true</t>
        </is>
      </c>
      <c r="E129" t="inlineStr">
        <is>
          <t xml:space="preserve">false</t>
        </is>
      </c>
      <c r="F129">
        <v>20727.0</v>
      </c>
      <c r="G129">
        <v>16663.0</v>
      </c>
      <c r="H129">
        <v>13663.0</v>
      </c>
      <c r="I129">
        <v>1150.0</v>
      </c>
      <c r="J129">
        <v>3000.0</v>
      </c>
      <c r="K129" t="inlineStr">
        <is>
          <t xml:space="preserve">false</t>
        </is>
      </c>
      <c r="M129" t="inlineStr">
        <is>
          <t xml:space="preserve">HQS4K361B D D0KJ 2025</t>
        </is>
      </c>
    </row>
    <row r="130">
      <c r="A130">
        <f>VLOOKUP(M130,MapaProductos!$A:$B,2,FALSE)</f>
      </c>
      <c r="B130">
        <f>Parametros!$B$3</f>
      </c>
      <c r="C130">
        <v>24990.0</v>
      </c>
      <c r="D130" t="inlineStr">
        <is>
          <t xml:space="preserve">true</t>
        </is>
      </c>
      <c r="E130" t="inlineStr">
        <is>
          <t xml:space="preserve">false</t>
        </is>
      </c>
      <c r="F130">
        <v>20727.0</v>
      </c>
      <c r="G130">
        <v>17463.0</v>
      </c>
      <c r="H130">
        <v>14063.0</v>
      </c>
      <c r="I130">
        <v>1150.0</v>
      </c>
      <c r="J130">
        <v>4000.0</v>
      </c>
      <c r="K130" t="inlineStr">
        <is>
          <t xml:space="preserve">false</t>
        </is>
      </c>
      <c r="M130" t="inlineStr">
        <is>
          <t xml:space="preserve">HQS4K361B D D0Q0 2025</t>
        </is>
      </c>
    </row>
    <row r="131">
      <c r="A131">
        <f>VLOOKUP(M131,MapaProductos!$A:$B,2,FALSE)</f>
      </c>
      <c r="B131">
        <f>Parametros!$B$3</f>
      </c>
      <c r="C131">
        <v>24990.0</v>
      </c>
      <c r="D131" t="inlineStr">
        <is>
          <t xml:space="preserve">true</t>
        </is>
      </c>
      <c r="E131" t="inlineStr">
        <is>
          <t xml:space="preserve">false</t>
        </is>
      </c>
      <c r="F131">
        <v>21727.0</v>
      </c>
      <c r="G131">
        <v>17463.0</v>
      </c>
      <c r="H131">
        <v>14463.0</v>
      </c>
      <c r="I131">
        <v>1150.0</v>
      </c>
      <c r="J131">
        <v>3000.0</v>
      </c>
      <c r="K131" t="inlineStr">
        <is>
          <t xml:space="preserve">false</t>
        </is>
      </c>
      <c r="M131" t="inlineStr">
        <is>
          <t xml:space="preserve">HQS4K361B D D11H 2026</t>
        </is>
      </c>
    </row>
    <row r="132">
      <c r="A132">
        <f>VLOOKUP(M132,MapaProductos!$A:$B,2,FALSE)</f>
      </c>
      <c r="B132">
        <f>Parametros!$B$3</f>
      </c>
      <c r="C132">
        <v>26990.0</v>
      </c>
      <c r="D132" t="inlineStr">
        <is>
          <t xml:space="preserve">true</t>
        </is>
      </c>
      <c r="E132" t="inlineStr">
        <is>
          <t xml:space="preserve">false</t>
        </is>
      </c>
      <c r="F132">
        <v>22727.0</v>
      </c>
      <c r="G132">
        <v>18863.0</v>
      </c>
      <c r="H132">
        <v>15363.0</v>
      </c>
      <c r="I132">
        <v>1150.0</v>
      </c>
      <c r="J132">
        <v>4000.0</v>
      </c>
      <c r="K132" t="inlineStr">
        <is>
          <t xml:space="preserve">false</t>
        </is>
      </c>
      <c r="M132" t="inlineStr">
        <is>
          <t xml:space="preserve">HQS4K361B G G834 2025</t>
        </is>
      </c>
    </row>
    <row r="133">
      <c r="A133">
        <f>VLOOKUP(M133,MapaProductos!$A:$B,2,FALSE)</f>
      </c>
      <c r="B133">
        <f>Parametros!$B$3</f>
      </c>
      <c r="C133">
        <v>25990.0</v>
      </c>
      <c r="D133" t="inlineStr">
        <is>
          <t xml:space="preserve">true</t>
        </is>
      </c>
      <c r="E133" t="inlineStr">
        <is>
          <t xml:space="preserve">false</t>
        </is>
      </c>
      <c r="F133">
        <v>22727.0</v>
      </c>
      <c r="G133">
        <v>18263.0</v>
      </c>
      <c r="H133">
        <v>15163.0</v>
      </c>
      <c r="I133">
        <v>1150.0</v>
      </c>
      <c r="J133">
        <v>3000.0</v>
      </c>
      <c r="K133" t="inlineStr">
        <is>
          <t xml:space="preserve">false</t>
        </is>
      </c>
      <c r="M133" t="inlineStr">
        <is>
          <t xml:space="preserve">HQS4K361B G G994 2026</t>
        </is>
      </c>
    </row>
    <row r="134">
      <c r="A134">
        <f>VLOOKUP(M134,MapaProductos!$A:$B,2,FALSE)</f>
      </c>
      <c r="B134">
        <f>Parametros!$B$3</f>
      </c>
      <c r="C134">
        <v>21990.0</v>
      </c>
      <c r="D134" t="inlineStr">
        <is>
          <t xml:space="preserve">true</t>
        </is>
      </c>
      <c r="E134" t="inlineStr">
        <is>
          <t xml:space="preserve">false</t>
        </is>
      </c>
      <c r="F134">
        <v>17465.0</v>
      </c>
      <c r="G134">
        <v>15425.0</v>
      </c>
      <c r="H134">
        <v>12425.0</v>
      </c>
      <c r="I134">
        <v>1150.0</v>
      </c>
      <c r="J134">
        <v>4000.0</v>
      </c>
      <c r="K134" t="inlineStr">
        <is>
          <t xml:space="preserve">false</t>
        </is>
      </c>
      <c r="M134" t="inlineStr">
        <is>
          <t xml:space="preserve">HQS6K3615 D D14R 2026</t>
        </is>
      </c>
    </row>
    <row r="135">
      <c r="A135">
        <f>VLOOKUP(M135,MapaProductos!$A:$B,2,FALSE)</f>
      </c>
      <c r="B135">
        <f>Parametros!$B$3</f>
      </c>
      <c r="C135">
        <v>22990.0</v>
      </c>
      <c r="D135" t="inlineStr">
        <is>
          <t xml:space="preserve">true</t>
        </is>
      </c>
      <c r="E135" t="inlineStr">
        <is>
          <t xml:space="preserve">false</t>
        </is>
      </c>
      <c r="F135">
        <v>18727.0</v>
      </c>
      <c r="G135">
        <v>15963.0</v>
      </c>
      <c r="H135">
        <v>13163.0</v>
      </c>
      <c r="I135">
        <v>1150.0</v>
      </c>
      <c r="J135">
        <v>4000.0</v>
      </c>
      <c r="K135" t="inlineStr">
        <is>
          <t xml:space="preserve">false</t>
        </is>
      </c>
      <c r="M135" t="inlineStr">
        <is>
          <t xml:space="preserve">HQS6K361B D D10K 2025</t>
        </is>
      </c>
    </row>
    <row r="136">
      <c r="A136">
        <f>VLOOKUP(M136,MapaProductos!$A:$B,2,FALSE)</f>
      </c>
      <c r="B136">
        <f>Parametros!$B$3</f>
      </c>
      <c r="C136">
        <v>23990.0</v>
      </c>
      <c r="D136" t="inlineStr">
        <is>
          <t xml:space="preserve">true</t>
        </is>
      </c>
      <c r="E136" t="inlineStr">
        <is>
          <t xml:space="preserve">false</t>
        </is>
      </c>
      <c r="F136">
        <v>19727.0</v>
      </c>
      <c r="G136">
        <v>16763.0</v>
      </c>
      <c r="H136">
        <v>13363.0</v>
      </c>
      <c r="I136">
        <v>1150.0</v>
      </c>
      <c r="J136">
        <v>4000.0</v>
      </c>
      <c r="K136" t="inlineStr">
        <is>
          <t xml:space="preserve">false</t>
        </is>
      </c>
      <c r="M136" t="inlineStr">
        <is>
          <t xml:space="preserve">HQS6K361B D D10K 2026</t>
        </is>
      </c>
    </row>
    <row r="137">
      <c r="A137">
        <f>VLOOKUP(M137,MapaProductos!$A:$B,2,FALSE)</f>
      </c>
      <c r="B137">
        <f>Parametros!$B$3</f>
      </c>
      <c r="C137">
        <v>25990.0</v>
      </c>
      <c r="D137" t="inlineStr">
        <is>
          <t xml:space="preserve">true</t>
        </is>
      </c>
      <c r="E137" t="inlineStr">
        <is>
          <t xml:space="preserve">false</t>
        </is>
      </c>
      <c r="F137">
        <v>21727.0</v>
      </c>
      <c r="G137">
        <v>18263.0</v>
      </c>
      <c r="H137">
        <v>14363.0</v>
      </c>
      <c r="I137">
        <v>1150.0</v>
      </c>
      <c r="J137">
        <v>4000.0</v>
      </c>
      <c r="K137" t="inlineStr">
        <is>
          <t xml:space="preserve">false</t>
        </is>
      </c>
      <c r="M137" t="inlineStr">
        <is>
          <t xml:space="preserve">HQS6K361B G G971 2026</t>
        </is>
      </c>
    </row>
    <row r="138">
      <c r="A138">
        <f>VLOOKUP(M138,MapaProductos!$A:$B,2,FALSE)</f>
      </c>
      <c r="B138">
        <f>Parametros!$B$3</f>
      </c>
      <c r="C138">
        <v>31300.0</v>
      </c>
      <c r="D138" t="inlineStr">
        <is>
          <t xml:space="preserve">true</t>
        </is>
      </c>
      <c r="E138" t="inlineStr">
        <is>
          <t xml:space="preserve">false</t>
        </is>
      </c>
      <c r="F138">
        <v>25900.0</v>
      </c>
      <c r="G138">
        <v>21300.0</v>
      </c>
      <c r="H138">
        <v>18700.0</v>
      </c>
      <c r="I138">
        <v>1500.0</v>
      </c>
      <c r="J138">
        <v>5400.0</v>
      </c>
      <c r="K138" t="inlineStr">
        <is>
          <t xml:space="preserve">false</t>
        </is>
      </c>
      <c r="M138" t="inlineStr">
        <is>
          <t xml:space="preserve">I6W7D661V D D156 2025</t>
        </is>
      </c>
    </row>
    <row r="139">
      <c r="A139">
        <f>VLOOKUP(M139,MapaProductos!$A:$B,2,FALSE)</f>
      </c>
      <c r="B139">
        <f>Parametros!$B$3</f>
      </c>
      <c r="C139">
        <v>36400.0</v>
      </c>
      <c r="D139" t="inlineStr">
        <is>
          <t xml:space="preserve">true</t>
        </is>
      </c>
      <c r="E139" t="inlineStr">
        <is>
          <t xml:space="preserve">false</t>
        </is>
      </c>
      <c r="F139">
        <v>31400.0</v>
      </c>
      <c r="G139">
        <v>24800.0</v>
      </c>
      <c r="H139">
        <v>21600.0</v>
      </c>
      <c r="I139">
        <v>1600.0</v>
      </c>
      <c r="J139">
        <v>5000.0</v>
      </c>
      <c r="K139" t="inlineStr">
        <is>
          <t xml:space="preserve">false</t>
        </is>
      </c>
      <c r="M139" t="inlineStr">
        <is>
          <t xml:space="preserve">I6W7D661V G G155. 2025</t>
        </is>
      </c>
    </row>
    <row r="140">
      <c r="A140">
        <f>VLOOKUP(M140,MapaProductos!$A:$B,2,FALSE)</f>
      </c>
      <c r="B140">
        <f>Parametros!$B$3</f>
      </c>
      <c r="C140">
        <v>36300.0</v>
      </c>
      <c r="D140" t="inlineStr">
        <is>
          <t xml:space="preserve">true</t>
        </is>
      </c>
      <c r="E140" t="inlineStr">
        <is>
          <t xml:space="preserve">false</t>
        </is>
      </c>
      <c r="F140">
        <v>31300.0</v>
      </c>
      <c r="G140">
        <v>25100.0</v>
      </c>
      <c r="H140">
        <v>20400.0</v>
      </c>
      <c r="I140">
        <v>1500.0</v>
      </c>
      <c r="J140">
        <v>5000.0</v>
      </c>
      <c r="K140" t="inlineStr">
        <is>
          <t xml:space="preserve">false</t>
        </is>
      </c>
      <c r="M140" t="inlineStr">
        <is>
          <t xml:space="preserve">I6W7D661V G G209 2025</t>
        </is>
      </c>
    </row>
    <row r="141">
      <c r="A141">
        <f>VLOOKUP(M141,MapaProductos!$A:$B,2,FALSE)</f>
      </c>
      <c r="B141">
        <f>Parametros!$B$3</f>
      </c>
      <c r="C141">
        <v>33490.0</v>
      </c>
      <c r="D141" t="inlineStr">
        <is>
          <t xml:space="preserve">true</t>
        </is>
      </c>
      <c r="E141" t="inlineStr">
        <is>
          <t xml:space="preserve">false</t>
        </is>
      </c>
      <c r="F141">
        <v>27440.0</v>
      </c>
      <c r="G141">
        <v>23050.0</v>
      </c>
      <c r="H141">
        <v>19000.0</v>
      </c>
      <c r="I141">
        <v>1600.0</v>
      </c>
      <c r="J141">
        <v>5500.0</v>
      </c>
      <c r="K141" t="inlineStr">
        <is>
          <t xml:space="preserve">false</t>
        </is>
      </c>
      <c r="M141" t="inlineStr">
        <is>
          <t xml:space="preserve">I7W5D6617 D D38O 2026</t>
        </is>
      </c>
    </row>
    <row r="142">
      <c r="A142">
        <f>VLOOKUP(M142,MapaProductos!$A:$B,2,FALSE)</f>
      </c>
      <c r="B142">
        <f>Parametros!$B$3</f>
      </c>
      <c r="C142">
        <v>33490.0</v>
      </c>
      <c r="D142" t="inlineStr">
        <is>
          <t xml:space="preserve">true</t>
        </is>
      </c>
      <c r="E142" t="inlineStr">
        <is>
          <t xml:space="preserve">false</t>
        </is>
      </c>
      <c r="F142">
        <v>27440.0</v>
      </c>
      <c r="G142">
        <v>23250.0</v>
      </c>
      <c r="H142">
        <v>17500.0</v>
      </c>
      <c r="I142">
        <v>1600.0</v>
      </c>
      <c r="J142">
        <v>5500.0</v>
      </c>
      <c r="K142" t="inlineStr">
        <is>
          <t xml:space="preserve">false</t>
        </is>
      </c>
      <c r="M142" t="inlineStr">
        <is>
          <t xml:space="preserve">I7W5D6617 D D3WN 2026</t>
        </is>
      </c>
    </row>
    <row r="143">
      <c r="A143">
        <f>VLOOKUP(M143,MapaProductos!$A:$B,2,FALSE)</f>
      </c>
      <c r="B143">
        <f>Parametros!$B$3</f>
      </c>
      <c r="C143">
        <v>34990.0</v>
      </c>
      <c r="D143" t="inlineStr">
        <is>
          <t xml:space="preserve">true</t>
        </is>
      </c>
      <c r="E143" t="inlineStr">
        <is>
          <t xml:space="preserve">false</t>
        </is>
      </c>
      <c r="F143">
        <v>28940.0</v>
      </c>
      <c r="G143">
        <v>24050.0</v>
      </c>
      <c r="H143">
        <v>20000.0</v>
      </c>
      <c r="I143">
        <v>1600.0</v>
      </c>
      <c r="J143">
        <v>5500.0</v>
      </c>
      <c r="K143" t="inlineStr">
        <is>
          <t xml:space="preserve">false</t>
        </is>
      </c>
      <c r="M143" t="inlineStr">
        <is>
          <t xml:space="preserve">I7W5D661V D D38P 2025</t>
        </is>
      </c>
    </row>
    <row r="144">
      <c r="A144">
        <f>VLOOKUP(M144,MapaProductos!$A:$B,2,FALSE)</f>
      </c>
      <c r="B144">
        <f>Parametros!$B$3</f>
      </c>
      <c r="C144">
        <v>35990.0</v>
      </c>
      <c r="D144" t="inlineStr">
        <is>
          <t xml:space="preserve">true</t>
        </is>
      </c>
      <c r="E144" t="inlineStr">
        <is>
          <t xml:space="preserve">false</t>
        </is>
      </c>
      <c r="F144">
        <v>29940.0</v>
      </c>
      <c r="G144">
        <v>24850.0</v>
      </c>
      <c r="H144">
        <v>20200.0</v>
      </c>
      <c r="I144">
        <v>1600.0</v>
      </c>
      <c r="J144">
        <v>5500.0</v>
      </c>
      <c r="K144" t="inlineStr">
        <is>
          <t xml:space="preserve">false</t>
        </is>
      </c>
      <c r="M144" t="inlineStr">
        <is>
          <t xml:space="preserve">I7W5D661V D D38P 2026</t>
        </is>
      </c>
    </row>
    <row r="145">
      <c r="A145">
        <f>VLOOKUP(M145,MapaProductos!$A:$B,2,FALSE)</f>
      </c>
      <c r="B145">
        <f>Parametros!$B$3</f>
      </c>
      <c r="C145">
        <v>38490.0</v>
      </c>
      <c r="D145" t="inlineStr">
        <is>
          <t xml:space="preserve">true</t>
        </is>
      </c>
      <c r="E145" t="inlineStr">
        <is>
          <t xml:space="preserve">false</t>
        </is>
      </c>
      <c r="F145">
        <v>31440.0</v>
      </c>
      <c r="G145">
        <v>26450.0</v>
      </c>
      <c r="H145">
        <v>21900.0</v>
      </c>
      <c r="I145">
        <v>1750.0</v>
      </c>
      <c r="J145">
        <v>6500.0</v>
      </c>
      <c r="K145" t="inlineStr">
        <is>
          <t xml:space="preserve">false</t>
        </is>
      </c>
      <c r="M145" t="inlineStr">
        <is>
          <t xml:space="preserve">I7W5D661V D D38Q 2026</t>
        </is>
      </c>
    </row>
    <row r="146">
      <c r="A146">
        <f>VLOOKUP(M146,MapaProductos!$A:$B,2,FALSE)</f>
      </c>
      <c r="B146">
        <f>Parametros!$B$3</f>
      </c>
      <c r="C146">
        <v>38490.0</v>
      </c>
      <c r="D146" t="inlineStr">
        <is>
          <t xml:space="preserve">true</t>
        </is>
      </c>
      <c r="E146" t="inlineStr">
        <is>
          <t xml:space="preserve">false</t>
        </is>
      </c>
      <c r="F146">
        <v>30940.0</v>
      </c>
      <c r="G146">
        <v>26450.0</v>
      </c>
      <c r="H146">
        <v>21700.0</v>
      </c>
      <c r="I146">
        <v>1750.0</v>
      </c>
      <c r="J146">
        <v>7000.0</v>
      </c>
      <c r="K146" t="inlineStr">
        <is>
          <t xml:space="preserve">false</t>
        </is>
      </c>
      <c r="M146" t="inlineStr">
        <is>
          <t xml:space="preserve">I7W5D661V D D38R 2025</t>
        </is>
      </c>
    </row>
    <row r="147">
      <c r="A147">
        <f>VLOOKUP(M147,MapaProductos!$A:$B,2,FALSE)</f>
      </c>
      <c r="B147">
        <f>Parametros!$B$3</f>
      </c>
      <c r="C147">
        <v>38490.0</v>
      </c>
      <c r="D147" t="inlineStr">
        <is>
          <t xml:space="preserve">true</t>
        </is>
      </c>
      <c r="E147" t="inlineStr">
        <is>
          <t xml:space="preserve">false</t>
        </is>
      </c>
      <c r="F147">
        <v>31440.0</v>
      </c>
      <c r="G147">
        <v>26450.0</v>
      </c>
      <c r="H147">
        <v>22000.0</v>
      </c>
      <c r="I147">
        <v>1750.0</v>
      </c>
      <c r="J147">
        <v>6500.0</v>
      </c>
      <c r="K147" t="inlineStr">
        <is>
          <t xml:space="preserve">false</t>
        </is>
      </c>
      <c r="M147" t="inlineStr">
        <is>
          <t xml:space="preserve">I7W5D661V D D38R 2026</t>
        </is>
      </c>
    </row>
    <row r="148">
      <c r="A148">
        <f>VLOOKUP(M148,MapaProductos!$A:$B,2,FALSE)</f>
      </c>
      <c r="B148">
        <f>Parametros!$B$3</f>
      </c>
      <c r="C148">
        <v>38490.0</v>
      </c>
      <c r="D148" t="inlineStr">
        <is>
          <t xml:space="preserve">true</t>
        </is>
      </c>
      <c r="E148" t="inlineStr">
        <is>
          <t xml:space="preserve">false</t>
        </is>
      </c>
      <c r="F148">
        <v>33440.0</v>
      </c>
      <c r="G148">
        <v>26750.0</v>
      </c>
      <c r="H148">
        <v>21700.0</v>
      </c>
      <c r="I148">
        <v>1750.0</v>
      </c>
      <c r="J148">
        <v>4500.0</v>
      </c>
      <c r="K148" t="inlineStr">
        <is>
          <t xml:space="preserve">false</t>
        </is>
      </c>
      <c r="M148" t="inlineStr">
        <is>
          <t xml:space="preserve">I7W5D661V D D3WQ 2026</t>
        </is>
      </c>
    </row>
    <row r="149">
      <c r="A149">
        <f>VLOOKUP(M149,MapaProductos!$A:$B,2,FALSE)</f>
      </c>
      <c r="B149">
        <f>Parametros!$B$3</f>
      </c>
      <c r="C149">
        <v>35990.0</v>
      </c>
      <c r="D149" t="inlineStr">
        <is>
          <t xml:space="preserve">true</t>
        </is>
      </c>
      <c r="E149" t="inlineStr">
        <is>
          <t xml:space="preserve">false</t>
        </is>
      </c>
      <c r="F149">
        <v>29900.0</v>
      </c>
      <c r="G149">
        <v>25050.0</v>
      </c>
      <c r="H149">
        <v>19400.0</v>
      </c>
      <c r="I149">
        <v>1600.0</v>
      </c>
      <c r="J149">
        <v>5540.0</v>
      </c>
      <c r="K149" t="inlineStr">
        <is>
          <t xml:space="preserve">false</t>
        </is>
      </c>
      <c r="M149" t="inlineStr">
        <is>
          <t xml:space="preserve">I7W5D661V D D3ZL 2026</t>
        </is>
      </c>
    </row>
    <row r="150">
      <c r="A150">
        <f>VLOOKUP(M150,MapaProductos!$A:$B,2,FALSE)</f>
      </c>
      <c r="B150">
        <f>Parametros!$B$3</f>
      </c>
      <c r="C150">
        <v>35990.0</v>
      </c>
      <c r="D150" t="inlineStr">
        <is>
          <t xml:space="preserve">true</t>
        </is>
      </c>
      <c r="E150" t="inlineStr">
        <is>
          <t xml:space="preserve">false</t>
        </is>
      </c>
      <c r="F150">
        <v>29900.0</v>
      </c>
      <c r="G150">
        <v>25050.0</v>
      </c>
      <c r="H150">
        <v>19400.0</v>
      </c>
      <c r="I150">
        <v>1600.0</v>
      </c>
      <c r="J150">
        <v>5540.0</v>
      </c>
      <c r="K150" t="inlineStr">
        <is>
          <t xml:space="preserve">false</t>
        </is>
      </c>
      <c r="M150" t="inlineStr">
        <is>
          <t xml:space="preserve">I7W5D661V D D46H 2026</t>
        </is>
      </c>
    </row>
    <row r="151">
      <c r="A151">
        <f>VLOOKUP(M151,MapaProductos!$A:$B,2,FALSE)</f>
      </c>
      <c r="B151">
        <f>Parametros!$B$3</f>
      </c>
      <c r="C151">
        <v>80300.0</v>
      </c>
      <c r="D151" t="inlineStr">
        <is>
          <t xml:space="preserve">true</t>
        </is>
      </c>
      <c r="E151" t="inlineStr">
        <is>
          <t xml:space="preserve">false</t>
        </is>
      </c>
      <c r="F151">
        <v>73300.0</v>
      </c>
      <c r="G151">
        <v>71400.0</v>
      </c>
      <c r="H151">
        <v>61100.0</v>
      </c>
      <c r="I151">
        <v>4600.0</v>
      </c>
      <c r="J151">
        <v>7000.0</v>
      </c>
      <c r="K151" t="inlineStr">
        <is>
          <t xml:space="preserve">false</t>
        </is>
      </c>
      <c r="M151" t="inlineStr">
        <is>
          <t xml:space="preserve">MHA3FRAD5VT1 A219 2025</t>
        </is>
      </c>
    </row>
    <row r="152">
      <c r="A152">
        <f>VLOOKUP(M152,MapaProductos!$A:$B,2,FALSE)</f>
      </c>
      <c r="B152">
        <f>Parametros!$B$3</f>
      </c>
      <c r="C152">
        <v>86900.0</v>
      </c>
      <c r="D152" t="inlineStr">
        <is>
          <t xml:space="preserve">true</t>
        </is>
      </c>
      <c r="E152" t="inlineStr">
        <is>
          <t xml:space="preserve">false</t>
        </is>
      </c>
      <c r="F152">
        <v>79900.0</v>
      </c>
      <c r="G152">
        <v>78200.0</v>
      </c>
      <c r="H152">
        <v>67100.0</v>
      </c>
      <c r="I152">
        <v>4600.0</v>
      </c>
      <c r="J152">
        <v>7000.0</v>
      </c>
      <c r="K152" t="inlineStr">
        <is>
          <t xml:space="preserve">false</t>
        </is>
      </c>
      <c r="M152" t="inlineStr">
        <is>
          <t xml:space="preserve">MHA3FRAD5VT1 A219 2026</t>
        </is>
      </c>
    </row>
    <row r="153">
      <c r="A153">
        <f>VLOOKUP(M153,MapaProductos!$A:$B,2,FALSE)</f>
      </c>
      <c r="B153">
        <f>Parametros!$B$3</f>
      </c>
      <c r="C153">
        <v>31500.0</v>
      </c>
      <c r="D153" t="inlineStr">
        <is>
          <t xml:space="preserve">true</t>
        </is>
      </c>
      <c r="E153" t="inlineStr">
        <is>
          <t xml:space="preserve">false</t>
        </is>
      </c>
      <c r="F153">
        <v>29900.0</v>
      </c>
      <c r="G153">
        <v>27100.0</v>
      </c>
      <c r="H153">
        <v>29476.0</v>
      </c>
      <c r="I153">
        <v>1300.0</v>
      </c>
      <c r="K153" t="inlineStr">
        <is>
          <t xml:space="preserve">false</t>
        </is>
      </c>
      <c r="M153" t="inlineStr">
        <is>
          <t xml:space="preserve">NLR85L-EE1AY 2026</t>
        </is>
      </c>
    </row>
    <row r="154">
      <c r="A154">
        <f>VLOOKUP(M154,MapaProductos!$A:$B,2,FALSE)</f>
      </c>
      <c r="B154">
        <f>Parametros!$B$3</f>
      </c>
      <c r="C154">
        <v>38950.0</v>
      </c>
      <c r="D154" t="inlineStr">
        <is>
          <t xml:space="preserve">true</t>
        </is>
      </c>
      <c r="E154" t="inlineStr">
        <is>
          <t xml:space="preserve">false</t>
        </is>
      </c>
      <c r="F154">
        <v>37975.0</v>
      </c>
      <c r="G154">
        <v>30100.0</v>
      </c>
      <c r="H154">
        <v>36972.0</v>
      </c>
      <c r="I154">
        <v>1400.0</v>
      </c>
      <c r="K154" t="inlineStr">
        <is>
          <t xml:space="preserve">false</t>
        </is>
      </c>
      <c r="M154" t="inlineStr">
        <is>
          <t xml:space="preserve">NMR85L-EH5AY 2026</t>
        </is>
      </c>
    </row>
    <row r="155">
      <c r="A155">
        <f>VLOOKUP(M155,MapaProductos!$A:$B,2,FALSE)</f>
      </c>
      <c r="B155">
        <f>Parametros!$B$3</f>
      </c>
      <c r="C155">
        <v>39950.0</v>
      </c>
      <c r="D155" t="inlineStr">
        <is>
          <t xml:space="preserve">true</t>
        </is>
      </c>
      <c r="E155" t="inlineStr">
        <is>
          <t xml:space="preserve">false</t>
        </is>
      </c>
      <c r="F155">
        <v>38950.0</v>
      </c>
      <c r="G155">
        <v>30900.0</v>
      </c>
      <c r="H155">
        <v>37984.0</v>
      </c>
      <c r="I155">
        <v>1500.0</v>
      </c>
      <c r="K155" t="inlineStr">
        <is>
          <t xml:space="preserve">false</t>
        </is>
      </c>
      <c r="M155" t="inlineStr">
        <is>
          <t xml:space="preserve">NMR85L-HH5AY 2026</t>
        </is>
      </c>
    </row>
    <row r="156">
      <c r="A156">
        <f>VLOOKUP(M156,MapaProductos!$A:$B,2,FALSE)</f>
      </c>
      <c r="B156">
        <f>Parametros!$B$3</f>
      </c>
      <c r="C156">
        <v>38900.0</v>
      </c>
      <c r="D156" t="inlineStr">
        <is>
          <t xml:space="preserve">true</t>
        </is>
      </c>
      <c r="E156" t="inlineStr">
        <is>
          <t xml:space="preserve">false</t>
        </is>
      </c>
      <c r="F156">
        <v>36900.0</v>
      </c>
      <c r="G156">
        <v>33300.0</v>
      </c>
      <c r="H156">
        <v>36971.0</v>
      </c>
      <c r="I156">
        <v>1500.0</v>
      </c>
      <c r="K156" t="inlineStr">
        <is>
          <t xml:space="preserve">false</t>
        </is>
      </c>
      <c r="M156" t="inlineStr">
        <is>
          <t xml:space="preserve">NMR85L-HH5WY 2024</t>
        </is>
      </c>
    </row>
    <row r="157">
      <c r="A157">
        <f>VLOOKUP(M157,MapaProductos!$A:$B,2,FALSE)</f>
      </c>
      <c r="B157">
        <f>Parametros!$B$3</f>
      </c>
      <c r="C157">
        <v>41500.0</v>
      </c>
      <c r="D157" t="inlineStr">
        <is>
          <t xml:space="preserve">true</t>
        </is>
      </c>
      <c r="E157" t="inlineStr">
        <is>
          <t xml:space="preserve">false</t>
        </is>
      </c>
      <c r="F157">
        <v>39500.0</v>
      </c>
      <c r="G157">
        <v>35400.0</v>
      </c>
      <c r="H157">
        <v>40313.0</v>
      </c>
      <c r="I157">
        <v>1550.0</v>
      </c>
      <c r="K157" t="inlineStr">
        <is>
          <t xml:space="preserve">false</t>
        </is>
      </c>
      <c r="M157" t="inlineStr">
        <is>
          <t xml:space="preserve">NMR85L-HH5WY 2025</t>
        </is>
      </c>
    </row>
    <row r="158">
      <c r="A158">
        <f>VLOOKUP(M158,MapaProductos!$A:$B,2,FALSE)</f>
      </c>
      <c r="B158">
        <f>Parametros!$B$3</f>
      </c>
      <c r="C158">
        <v>45950.0</v>
      </c>
      <c r="D158" t="inlineStr">
        <is>
          <t xml:space="preserve">true</t>
        </is>
      </c>
      <c r="E158" t="inlineStr">
        <is>
          <t xml:space="preserve">false</t>
        </is>
      </c>
      <c r="F158">
        <v>44800.0</v>
      </c>
      <c r="G158">
        <v>35600.0</v>
      </c>
      <c r="H158">
        <v>44056.0</v>
      </c>
      <c r="I158">
        <v>1650.0</v>
      </c>
      <c r="K158" t="inlineStr">
        <is>
          <t xml:space="preserve">false</t>
        </is>
      </c>
      <c r="M158" t="inlineStr">
        <is>
          <t xml:space="preserve">NMR85L-HH5WY 2026</t>
        </is>
      </c>
    </row>
    <row r="159">
      <c r="A159">
        <f>VLOOKUP(M159,MapaProductos!$A:$B,2,FALSE)</f>
      </c>
      <c r="B159">
        <f>Parametros!$B$3</f>
      </c>
      <c r="C159">
        <v>48900.0</v>
      </c>
      <c r="D159" t="inlineStr">
        <is>
          <t xml:space="preserve">true</t>
        </is>
      </c>
      <c r="E159" t="inlineStr">
        <is>
          <t xml:space="preserve">false</t>
        </is>
      </c>
      <c r="F159">
        <v>47400.0</v>
      </c>
      <c r="G159">
        <v>39900.0</v>
      </c>
      <c r="H159">
        <v>47173.0</v>
      </c>
      <c r="I159">
        <v>1750.0</v>
      </c>
      <c r="K159" t="inlineStr">
        <is>
          <t xml:space="preserve">false</t>
        </is>
      </c>
      <c r="M159" t="inlineStr">
        <is>
          <t xml:space="preserve">NPR75L-KL5VAYN 2026</t>
        </is>
      </c>
    </row>
    <row r="160">
      <c r="A160">
        <f>VLOOKUP(M160,MapaProductos!$A:$B,2,FALSE)</f>
      </c>
      <c r="B160">
        <f>Parametros!$B$3</f>
      </c>
      <c r="C160">
        <v>39900.0</v>
      </c>
      <c r="D160" t="inlineStr">
        <is>
          <t xml:space="preserve">true</t>
        </is>
      </c>
      <c r="E160" t="inlineStr">
        <is>
          <t xml:space="preserve">false</t>
        </is>
      </c>
      <c r="F160">
        <v>39000.0</v>
      </c>
      <c r="G160">
        <v>34300.0</v>
      </c>
      <c r="H160">
        <v>37986.0</v>
      </c>
      <c r="I160">
        <v>1500.0</v>
      </c>
      <c r="K160" t="inlineStr">
        <is>
          <t xml:space="preserve">false</t>
        </is>
      </c>
      <c r="M160" t="inlineStr">
        <is>
          <t xml:space="preserve">NPR85L-HJ5VAY 2025</t>
        </is>
      </c>
    </row>
    <row r="161">
      <c r="A161">
        <f>VLOOKUP(M161,MapaProductos!$A:$B,2,FALSE)</f>
      </c>
      <c r="B161">
        <f>Parametros!$B$3</f>
      </c>
      <c r="C161">
        <v>42500.0</v>
      </c>
      <c r="D161" t="inlineStr">
        <is>
          <t xml:space="preserve">true</t>
        </is>
      </c>
      <c r="E161" t="inlineStr">
        <is>
          <t xml:space="preserve">false</t>
        </is>
      </c>
      <c r="F161">
        <v>41500.0</v>
      </c>
      <c r="G161">
        <v>35600.0</v>
      </c>
      <c r="H161">
        <v>41215.0</v>
      </c>
      <c r="I161">
        <v>1600.0</v>
      </c>
      <c r="K161" t="inlineStr">
        <is>
          <t xml:space="preserve">false</t>
        </is>
      </c>
      <c r="M161" t="inlineStr">
        <is>
          <t xml:space="preserve">NPR85L-HJ5VAY 2026</t>
        </is>
      </c>
    </row>
    <row r="162">
      <c r="A162">
        <f>VLOOKUP(M162,MapaProductos!$A:$B,2,FALSE)</f>
      </c>
      <c r="B162">
        <f>Parametros!$B$3</f>
      </c>
      <c r="C162">
        <v>62900.0</v>
      </c>
      <c r="D162" t="inlineStr">
        <is>
          <t xml:space="preserve">true</t>
        </is>
      </c>
      <c r="E162" t="inlineStr">
        <is>
          <t xml:space="preserve">false</t>
        </is>
      </c>
      <c r="F162">
        <v>61325.0</v>
      </c>
      <c r="G162">
        <v>76800.0</v>
      </c>
      <c r="H162">
        <v>33917.0</v>
      </c>
      <c r="I162">
        <v>2200.0</v>
      </c>
      <c r="K162" t="inlineStr">
        <is>
          <t xml:space="preserve">false</t>
        </is>
      </c>
      <c r="M162" t="inlineStr">
        <is>
          <t xml:space="preserve">NPS75L-HL5VAYN 2026</t>
        </is>
      </c>
    </row>
    <row r="163">
      <c r="A163">
        <f>VLOOKUP(M163,MapaProductos!$A:$B,2,FALSE)</f>
      </c>
      <c r="B163">
        <f>Parametros!$B$3</f>
      </c>
      <c r="C163">
        <v>64250.0</v>
      </c>
      <c r="D163" t="inlineStr">
        <is>
          <t xml:space="preserve">true</t>
        </is>
      </c>
      <c r="E163" t="inlineStr">
        <is>
          <t xml:space="preserve">false</t>
        </is>
      </c>
      <c r="F163">
        <v>63200.0</v>
      </c>
      <c r="G163">
        <v>50900.0</v>
      </c>
      <c r="H163">
        <v>63350.0</v>
      </c>
      <c r="I163">
        <v>2200.0</v>
      </c>
      <c r="K163" t="inlineStr">
        <is>
          <t xml:space="preserve">false</t>
        </is>
      </c>
      <c r="M163" t="inlineStr">
        <is>
          <t xml:space="preserve">NPS75L-HL5VAYN 2027</t>
        </is>
      </c>
    </row>
    <row r="164">
      <c r="A164">
        <f>VLOOKUP(M164,MapaProductos!$A:$B,2,FALSE)</f>
      </c>
      <c r="B164">
        <f>Parametros!$B$3</f>
      </c>
      <c r="C164">
        <v>66900.0</v>
      </c>
      <c r="D164" t="inlineStr">
        <is>
          <t xml:space="preserve">true</t>
        </is>
      </c>
      <c r="E164" t="inlineStr">
        <is>
          <t xml:space="preserve">false</t>
        </is>
      </c>
      <c r="F164">
        <v>65225.0</v>
      </c>
      <c r="G164">
        <v>60600.0</v>
      </c>
      <c r="H164">
        <v>56554.0</v>
      </c>
      <c r="I164">
        <v>2400.0</v>
      </c>
      <c r="K164" t="inlineStr">
        <is>
          <t xml:space="preserve">false</t>
        </is>
      </c>
      <c r="M164" t="inlineStr">
        <is>
          <t xml:space="preserve">NPS75L-HL5VWYN 2026</t>
        </is>
      </c>
    </row>
    <row r="165">
      <c r="A165">
        <f>VLOOKUP(M165,MapaProductos!$A:$B,2,FALSE)</f>
      </c>
      <c r="B165">
        <f>Parametros!$B$3</f>
      </c>
      <c r="C165">
        <v>68250.0</v>
      </c>
      <c r="D165" t="inlineStr">
        <is>
          <t xml:space="preserve">true</t>
        </is>
      </c>
      <c r="E165" t="inlineStr">
        <is>
          <t xml:space="preserve">false</t>
        </is>
      </c>
      <c r="F165">
        <v>67200.0</v>
      </c>
      <c r="G165">
        <v>53900.0</v>
      </c>
      <c r="H165">
        <v>67350.0</v>
      </c>
      <c r="I165">
        <v>2400.0</v>
      </c>
      <c r="K165" t="inlineStr">
        <is>
          <t xml:space="preserve">false</t>
        </is>
      </c>
      <c r="M165" t="inlineStr">
        <is>
          <t xml:space="preserve">NPS75L-HL5VWYN 2027</t>
        </is>
      </c>
    </row>
    <row r="166">
      <c r="A166">
        <f>VLOOKUP(M166,MapaProductos!$A:$B,2,FALSE)</f>
      </c>
      <c r="B166">
        <f>Parametros!$B$3</f>
      </c>
      <c r="C166">
        <v>50500.0</v>
      </c>
      <c r="D166" t="inlineStr">
        <is>
          <t xml:space="preserve">true</t>
        </is>
      </c>
      <c r="E166" t="inlineStr">
        <is>
          <t xml:space="preserve">false</t>
        </is>
      </c>
      <c r="F166">
        <v>48900.0</v>
      </c>
      <c r="G166">
        <v>42600.0</v>
      </c>
      <c r="H166">
        <v>48712.0</v>
      </c>
      <c r="I166">
        <v>1000.0</v>
      </c>
      <c r="K166" t="inlineStr">
        <is>
          <t xml:space="preserve">false</t>
        </is>
      </c>
      <c r="M166" t="inlineStr">
        <is>
          <t xml:space="preserve">NQR75L-HN5VAYN 2026</t>
        </is>
      </c>
    </row>
    <row r="167">
      <c r="A167">
        <f>VLOOKUP(M167,MapaProductos!$A:$B,2,FALSE)</f>
      </c>
      <c r="B167">
        <f>Parametros!$B$3</f>
      </c>
      <c r="C167">
        <v>48500.0</v>
      </c>
      <c r="D167" t="inlineStr">
        <is>
          <t xml:space="preserve">true</t>
        </is>
      </c>
      <c r="E167" t="inlineStr">
        <is>
          <t xml:space="preserve">false</t>
        </is>
      </c>
      <c r="F167">
        <v>46000.0</v>
      </c>
      <c r="G167">
        <v>42100.0</v>
      </c>
      <c r="H167">
        <v>46705.0</v>
      </c>
      <c r="I167">
        <v>1000.0</v>
      </c>
      <c r="K167" t="inlineStr">
        <is>
          <t xml:space="preserve">false</t>
        </is>
      </c>
      <c r="M167" t="inlineStr">
        <is>
          <t xml:space="preserve">NQR75L-KN5VAYN 2025</t>
        </is>
      </c>
    </row>
    <row r="168">
      <c r="A168">
        <f>VLOOKUP(M168,MapaProductos!$A:$B,2,FALSE)</f>
      </c>
      <c r="B168">
        <f>Parametros!$B$3</f>
      </c>
      <c r="C168">
        <v>51500.0</v>
      </c>
      <c r="D168" t="inlineStr">
        <is>
          <t xml:space="preserve">true</t>
        </is>
      </c>
      <c r="E168" t="inlineStr">
        <is>
          <t xml:space="preserve">false</t>
        </is>
      </c>
      <c r="F168">
        <v>49900.0</v>
      </c>
      <c r="G168">
        <v>43400.0</v>
      </c>
      <c r="H168">
        <v>49724.0</v>
      </c>
      <c r="I168">
        <v>1100.0</v>
      </c>
      <c r="K168" t="inlineStr">
        <is>
          <t xml:space="preserve">false</t>
        </is>
      </c>
      <c r="M168" t="inlineStr">
        <is>
          <t xml:space="preserve">NQR75L-KN5VAYN 2026</t>
        </is>
      </c>
    </row>
    <row r="169">
      <c r="A169">
        <f>VLOOKUP(M169,MapaProductos!$A:$B,2,FALSE)</f>
      </c>
      <c r="B169">
        <f>Parametros!$B$3</f>
      </c>
      <c r="C169">
        <v>49500.0</v>
      </c>
      <c r="D169" t="inlineStr">
        <is>
          <t xml:space="preserve">true</t>
        </is>
      </c>
      <c r="E169" t="inlineStr">
        <is>
          <t xml:space="preserve">false</t>
        </is>
      </c>
      <c r="F169">
        <v>47000.0</v>
      </c>
      <c r="G169">
        <v>42700.0</v>
      </c>
      <c r="H169">
        <v>47003.0</v>
      </c>
      <c r="I169">
        <v>800.0</v>
      </c>
      <c r="K169" t="inlineStr">
        <is>
          <t xml:space="preserve">false</t>
        </is>
      </c>
      <c r="M169" t="inlineStr">
        <is>
          <t xml:space="preserve">NQR75L-LN5VAYN 2025</t>
        </is>
      </c>
    </row>
    <row r="170">
      <c r="A170">
        <f>VLOOKUP(M170,MapaProductos!$A:$B,2,FALSE)</f>
      </c>
      <c r="B170">
        <f>Parametros!$B$3</f>
      </c>
      <c r="C170">
        <v>52500.0</v>
      </c>
      <c r="D170" t="inlineStr">
        <is>
          <t xml:space="preserve">true</t>
        </is>
      </c>
      <c r="E170" t="inlineStr">
        <is>
          <t xml:space="preserve">false</t>
        </is>
      </c>
      <c r="F170">
        <v>50900.0</v>
      </c>
      <c r="G170">
        <v>73014.98</v>
      </c>
      <c r="H170">
        <v>21820.02</v>
      </c>
      <c r="I170">
        <v>1200.0</v>
      </c>
      <c r="K170" t="inlineStr">
        <is>
          <t xml:space="preserve">false</t>
        </is>
      </c>
      <c r="M170" t="inlineStr">
        <is>
          <t xml:space="preserve">NQR75L-LN5VAYN 2026</t>
        </is>
      </c>
    </row>
    <row r="171">
      <c r="A171">
        <f>VLOOKUP(M171,MapaProductos!$A:$B,2,FALSE)</f>
      </c>
      <c r="B171">
        <f>Parametros!$B$3</f>
      </c>
      <c r="C171">
        <v>24500.0</v>
      </c>
      <c r="D171" t="inlineStr">
        <is>
          <t xml:space="preserve">true</t>
        </is>
      </c>
      <c r="E171" t="inlineStr">
        <is>
          <t xml:space="preserve">false</t>
        </is>
      </c>
      <c r="F171">
        <v>23500.0</v>
      </c>
      <c r="G171">
        <v>22600.0</v>
      </c>
      <c r="H171">
        <v>22509.0</v>
      </c>
      <c r="I171">
        <v>1100.0</v>
      </c>
      <c r="K171" t="inlineStr">
        <is>
          <t xml:space="preserve">false</t>
        </is>
      </c>
      <c r="M171" t="inlineStr">
        <is>
          <t xml:space="preserve">QLR77L-EE1AYCON 2025</t>
        </is>
      </c>
    </row>
    <row r="172">
      <c r="A172">
        <f>VLOOKUP(M172,MapaProductos!$A:$B,2,FALSE)</f>
      </c>
      <c r="B172">
        <f>Parametros!$B$3</f>
      </c>
      <c r="C172">
        <v>26900.0</v>
      </c>
      <c r="D172" t="inlineStr">
        <is>
          <t xml:space="preserve">true</t>
        </is>
      </c>
      <c r="E172" t="inlineStr">
        <is>
          <t xml:space="preserve">false</t>
        </is>
      </c>
      <c r="F172">
        <v>26230.0</v>
      </c>
      <c r="G172">
        <v>22100.0</v>
      </c>
      <c r="H172">
        <v>24800.0</v>
      </c>
      <c r="I172">
        <v>1200.0</v>
      </c>
      <c r="K172" t="inlineStr">
        <is>
          <t xml:space="preserve">false</t>
        </is>
      </c>
      <c r="M172" t="inlineStr">
        <is>
          <t xml:space="preserve">QLR77L-EE1AYCON 2026</t>
        </is>
      </c>
    </row>
    <row r="173">
      <c r="A173">
        <f>VLOOKUP(M173,MapaProductos!$A:$B,2,FALSE)</f>
      </c>
      <c r="B173">
        <f>Parametros!$B$3</f>
      </c>
      <c r="C173">
        <v>51700.0</v>
      </c>
      <c r="D173" t="inlineStr">
        <is>
          <t xml:space="preserve">true</t>
        </is>
      </c>
      <c r="E173" t="inlineStr">
        <is>
          <t xml:space="preserve">false</t>
        </is>
      </c>
      <c r="F173">
        <v>43700.0</v>
      </c>
      <c r="G173">
        <v>35400.0</v>
      </c>
      <c r="H173">
        <v>29600.0</v>
      </c>
      <c r="I173">
        <v>2800.0</v>
      </c>
      <c r="J173">
        <v>7500.0</v>
      </c>
      <c r="K173" t="inlineStr">
        <is>
          <t xml:space="preserve">false</t>
        </is>
      </c>
      <c r="M173" t="inlineStr">
        <is>
          <t xml:space="preserve">S1W7L961G D D0RX 2024</t>
        </is>
      </c>
    </row>
    <row r="174">
      <c r="A174">
        <f>VLOOKUP(M174,MapaProductos!$A:$B,2,FALSE)</f>
      </c>
      <c r="B174">
        <f>Parametros!$B$3</f>
      </c>
      <c r="C174">
        <v>85990.0</v>
      </c>
      <c r="D174" t="inlineStr">
        <is>
          <t xml:space="preserve">true</t>
        </is>
      </c>
      <c r="E174" t="inlineStr">
        <is>
          <t xml:space="preserve">false</t>
        </is>
      </c>
      <c r="F174">
        <v>77990.0</v>
      </c>
      <c r="G174">
        <v>58700.0</v>
      </c>
      <c r="H174">
        <v>50600.0</v>
      </c>
      <c r="I174">
        <v>4200.0</v>
      </c>
      <c r="J174">
        <v>8000.0</v>
      </c>
      <c r="K174" t="inlineStr">
        <is>
          <t xml:space="preserve">false</t>
        </is>
      </c>
      <c r="M174" t="inlineStr">
        <is>
          <t xml:space="preserve">S8W72FC5K G G3RP 2025</t>
        </is>
      </c>
    </row>
    <row r="175">
      <c r="A175">
        <f>VLOOKUP(M175,MapaProductos!$A:$B,2,FALSE)</f>
      </c>
      <c r="B175">
        <f>Parametros!$B$3</f>
      </c>
      <c r="C175">
        <v>85990.0</v>
      </c>
      <c r="D175" t="inlineStr">
        <is>
          <t xml:space="preserve">true</t>
        </is>
      </c>
      <c r="E175" t="inlineStr">
        <is>
          <t xml:space="preserve">false</t>
        </is>
      </c>
      <c r="F175">
        <v>77990.0</v>
      </c>
      <c r="G175">
        <v>58600.0</v>
      </c>
      <c r="H175">
        <v>50000.0</v>
      </c>
      <c r="I175">
        <v>4200.0</v>
      </c>
      <c r="J175">
        <v>8000.0</v>
      </c>
      <c r="K175" t="inlineStr">
        <is>
          <t xml:space="preserve">false</t>
        </is>
      </c>
      <c r="M175" t="inlineStr">
        <is>
          <t xml:space="preserve">S8W72FC5K G G40T 2025</t>
        </is>
      </c>
    </row>
    <row r="176">
      <c r="A176">
        <f>VLOOKUP(M176,MapaProductos!$A:$B,2,FALSE)</f>
      </c>
      <c r="B176">
        <f>Parametros!$B$3</f>
      </c>
      <c r="C176">
        <v>31990.0</v>
      </c>
      <c r="D176" t="inlineStr">
        <is>
          <t xml:space="preserve">true</t>
        </is>
      </c>
      <c r="E176" t="inlineStr">
        <is>
          <t xml:space="preserve">false</t>
        </is>
      </c>
      <c r="F176">
        <v>25470.0</v>
      </c>
      <c r="G176">
        <v>22220.0</v>
      </c>
      <c r="H176">
        <v>17520.0</v>
      </c>
      <c r="I176">
        <v>1400.0</v>
      </c>
      <c r="J176">
        <v>6000.0</v>
      </c>
      <c r="K176" t="inlineStr">
        <is>
          <t xml:space="preserve">false</t>
        </is>
      </c>
      <c r="M176" t="inlineStr">
        <is>
          <t xml:space="preserve">SPW5K2G1U D D525 2026</t>
        </is>
      </c>
    </row>
    <row r="177">
      <c r="A177">
        <f>VLOOKUP(M177,MapaProductos!$A:$B,2,FALSE)</f>
      </c>
      <c r="B177">
        <f>Parametros!$B$3</f>
      </c>
      <c r="C177">
        <v>32900.0</v>
      </c>
      <c r="D177" t="inlineStr">
        <is>
          <t xml:space="preserve">true</t>
        </is>
      </c>
      <c r="E177" t="inlineStr">
        <is>
          <t xml:space="preserve">false</t>
        </is>
      </c>
      <c r="F177">
        <v>26380.0</v>
      </c>
      <c r="G177">
        <v>22720.0</v>
      </c>
      <c r="H177">
        <v>19020.0</v>
      </c>
      <c r="I177">
        <v>1400.0</v>
      </c>
      <c r="J177">
        <v>6000.0</v>
      </c>
      <c r="K177" t="inlineStr">
        <is>
          <t xml:space="preserve">false</t>
        </is>
      </c>
      <c r="M177" t="inlineStr">
        <is>
          <t xml:space="preserve">SPW5K2G1U D D526 2025</t>
        </is>
      </c>
    </row>
    <row r="178">
      <c r="A178">
        <f>VLOOKUP(M178,MapaProductos!$A:$B,2,FALSE)</f>
      </c>
      <c r="B178">
        <f>Parametros!$B$3</f>
      </c>
      <c r="C178">
        <v>33900.0</v>
      </c>
      <c r="D178" t="inlineStr">
        <is>
          <t xml:space="preserve">true</t>
        </is>
      </c>
      <c r="E178" t="inlineStr">
        <is>
          <t xml:space="preserve">false</t>
        </is>
      </c>
      <c r="F178">
        <v>28380.0</v>
      </c>
      <c r="G178">
        <v>23520.0</v>
      </c>
      <c r="H178">
        <v>19120.0</v>
      </c>
      <c r="I178">
        <v>1400.0</v>
      </c>
      <c r="J178">
        <v>5000.0</v>
      </c>
      <c r="K178" t="inlineStr">
        <is>
          <t xml:space="preserve">false</t>
        </is>
      </c>
      <c r="M178" t="inlineStr">
        <is>
          <t xml:space="preserve">SPW5K2G1U D D526 2026</t>
        </is>
      </c>
    </row>
    <row r="179">
      <c r="A179">
        <f>VLOOKUP(M179,MapaProductos!$A:$B,2,FALSE)</f>
      </c>
      <c r="B179">
        <f>Parametros!$B$3</f>
      </c>
      <c r="C179">
        <v>43900.0</v>
      </c>
      <c r="D179" t="inlineStr">
        <is>
          <t xml:space="preserve">true</t>
        </is>
      </c>
      <c r="E179" t="inlineStr">
        <is>
          <t xml:space="preserve">false</t>
        </is>
      </c>
      <c r="F179">
        <v>37090.0</v>
      </c>
      <c r="G179">
        <v>38610.0</v>
      </c>
      <c r="H179">
        <v>31210.0</v>
      </c>
      <c r="I179">
        <v>2800.0</v>
      </c>
      <c r="J179">
        <v>6000.0</v>
      </c>
      <c r="K179" t="inlineStr">
        <is>
          <t xml:space="preserve">false</t>
        </is>
      </c>
      <c r="M179" t="inlineStr">
        <is>
          <t xml:space="preserve">SZBB2FC57 S S537 2025</t>
        </is>
      </c>
    </row>
    <row r="180">
      <c r="A180">
        <f>VLOOKUP(M180,MapaProductos!$A:$B,2,FALSE)</f>
      </c>
      <c r="B180">
        <f>Parametros!$B$3</f>
      </c>
      <c r="C180">
        <v>44900.0</v>
      </c>
      <c r="D180" t="inlineStr">
        <is>
          <t xml:space="preserve">true</t>
        </is>
      </c>
      <c r="E180" t="inlineStr">
        <is>
          <t xml:space="preserve">false</t>
        </is>
      </c>
      <c r="F180">
        <v>39090.0</v>
      </c>
      <c r="G180">
        <v>39610.0</v>
      </c>
      <c r="H180">
        <v>33010.0</v>
      </c>
      <c r="I180">
        <v>2800.0</v>
      </c>
      <c r="J180">
        <v>5000.0</v>
      </c>
      <c r="K180" t="inlineStr">
        <is>
          <t xml:space="preserve">false</t>
        </is>
      </c>
      <c r="M180" t="inlineStr">
        <is>
          <t xml:space="preserve">SZBB2FC57 S S537 2026</t>
        </is>
      </c>
    </row>
    <row r="181">
      <c r="A181">
        <f>VLOOKUP(M181,MapaProductos!$A:$B,2,FALSE)</f>
      </c>
      <c r="B181">
        <f>Parametros!$B$3</f>
      </c>
      <c r="C181">
        <v>51900.0</v>
      </c>
      <c r="D181" t="inlineStr">
        <is>
          <t xml:space="preserve">true</t>
        </is>
      </c>
      <c r="E181" t="inlineStr">
        <is>
          <t xml:space="preserve">false</t>
        </is>
      </c>
      <c r="F181">
        <v>45090.0</v>
      </c>
      <c r="G181">
        <v>45610.0</v>
      </c>
      <c r="H181">
        <v>38010.0</v>
      </c>
      <c r="I181">
        <v>3200.0</v>
      </c>
      <c r="J181">
        <v>6000.0</v>
      </c>
      <c r="K181" t="inlineStr">
        <is>
          <t xml:space="preserve">false</t>
        </is>
      </c>
      <c r="M181" t="inlineStr">
        <is>
          <t xml:space="preserve">SZBB2FC5J K K608 2025</t>
        </is>
      </c>
    </row>
    <row r="182">
      <c r="A182">
        <f>VLOOKUP(M182,MapaProductos!$A:$B,2,FALSE)</f>
      </c>
      <c r="B182">
        <f>Parametros!$B$3</f>
      </c>
      <c r="C182">
        <v>51900.0</v>
      </c>
      <c r="D182" t="inlineStr">
        <is>
          <t xml:space="preserve">true</t>
        </is>
      </c>
      <c r="E182" t="inlineStr">
        <is>
          <t xml:space="preserve">false</t>
        </is>
      </c>
      <c r="F182">
        <v>47090.0</v>
      </c>
      <c r="G182">
        <v>45610.0</v>
      </c>
      <c r="H182">
        <v>39810.0</v>
      </c>
      <c r="I182">
        <v>3200.0</v>
      </c>
      <c r="J182">
        <v>4000.0</v>
      </c>
      <c r="K182" t="inlineStr">
        <is>
          <t xml:space="preserve">false</t>
        </is>
      </c>
      <c r="M182" t="inlineStr">
        <is>
          <t xml:space="preserve">SZBB2FC5J K K608 2026</t>
        </is>
      </c>
    </row>
    <row r="183">
      <c r="A183">
        <f>VLOOKUP(M183,MapaProductos!$A:$B,2,FALSE)</f>
      </c>
      <c r="B183">
        <f>Parametros!$B$3</f>
      </c>
      <c r="C183">
        <v>45900.0</v>
      </c>
      <c r="D183" t="inlineStr">
        <is>
          <t xml:space="preserve">true</t>
        </is>
      </c>
      <c r="E183" t="inlineStr">
        <is>
          <t xml:space="preserve">false</t>
        </is>
      </c>
      <c r="F183">
        <v>39090.0</v>
      </c>
      <c r="G183">
        <v>40510.0</v>
      </c>
      <c r="H183">
        <v>33010.0</v>
      </c>
      <c r="I183">
        <v>2800.0</v>
      </c>
      <c r="J183">
        <v>6000.0</v>
      </c>
      <c r="K183" t="inlineStr">
        <is>
          <t xml:space="preserve">false</t>
        </is>
      </c>
      <c r="M183" t="inlineStr">
        <is>
          <t xml:space="preserve">SZBB2FC5J S S350 2025</t>
        </is>
      </c>
    </row>
    <row r="184">
      <c r="A184">
        <f>VLOOKUP(M184,MapaProductos!$A:$B,2,FALSE)</f>
      </c>
      <c r="B184">
        <f>Parametros!$B$3</f>
      </c>
      <c r="C184">
        <v>45900.0</v>
      </c>
      <c r="D184" t="inlineStr">
        <is>
          <t xml:space="preserve">true</t>
        </is>
      </c>
      <c r="E184" t="inlineStr">
        <is>
          <t xml:space="preserve">false</t>
        </is>
      </c>
      <c r="F184">
        <v>39090.0</v>
      </c>
      <c r="G184">
        <v>40510.0</v>
      </c>
      <c r="H184">
        <v>33010.0</v>
      </c>
      <c r="I184">
        <v>2800.0</v>
      </c>
      <c r="J184">
        <v>6000.0</v>
      </c>
      <c r="K184" t="inlineStr">
        <is>
          <t xml:space="preserve">false</t>
        </is>
      </c>
      <c r="M184" t="inlineStr">
        <is>
          <t xml:space="preserve">SZBB2FC5J S S539 2025</t>
        </is>
      </c>
    </row>
    <row r="185">
      <c r="A185">
        <f>VLOOKUP(M185,MapaProductos!$A:$B,2,FALSE)</f>
      </c>
      <c r="B185">
        <f>Parametros!$B$3</f>
      </c>
      <c r="C185">
        <v>46900.0</v>
      </c>
      <c r="D185" t="inlineStr">
        <is>
          <t xml:space="preserve">true</t>
        </is>
      </c>
      <c r="E185" t="inlineStr">
        <is>
          <t xml:space="preserve">false</t>
        </is>
      </c>
      <c r="F185">
        <v>42090.0</v>
      </c>
      <c r="G185">
        <v>41510.0</v>
      </c>
      <c r="H185">
        <v>35710.0</v>
      </c>
      <c r="I185">
        <v>2800.0</v>
      </c>
      <c r="J185">
        <v>4000.0</v>
      </c>
      <c r="K185" t="inlineStr">
        <is>
          <t xml:space="preserve">false</t>
        </is>
      </c>
      <c r="M185" t="inlineStr">
        <is>
          <t xml:space="preserve">SZBB2FC5J S S539 2026</t>
        </is>
      </c>
    </row>
    <row r="186">
      <c r="A186">
        <f>VLOOKUP(M186,MapaProductos!$A:$B,2,FALSE)</f>
      </c>
      <c r="B186">
        <f>Parametros!$B$3</f>
      </c>
      <c r="C186">
        <v>55900.0</v>
      </c>
      <c r="D186" t="inlineStr">
        <is>
          <t xml:space="preserve">true</t>
        </is>
      </c>
      <c r="E186" t="inlineStr">
        <is>
          <t xml:space="preserve">false</t>
        </is>
      </c>
      <c r="F186">
        <v>51090.0</v>
      </c>
      <c r="G186">
        <v>49410.0</v>
      </c>
      <c r="H186">
        <v>43310.0</v>
      </c>
      <c r="I186">
        <v>3300.0</v>
      </c>
      <c r="J186">
        <v>4000.0</v>
      </c>
      <c r="K186" t="inlineStr">
        <is>
          <t xml:space="preserve">false</t>
        </is>
      </c>
      <c r="M186" t="inlineStr">
        <is>
          <t xml:space="preserve">SZBB2FC5K K K608 2026</t>
        </is>
      </c>
    </row>
    <row r="187">
      <c r="A187">
        <f>VLOOKUP(M187,MapaProductos!$A:$B,2,FALSE)</f>
      </c>
      <c r="B187">
        <f>Parametros!$B$3</f>
      </c>
      <c r="C187">
        <v>59900.0</v>
      </c>
      <c r="D187" t="inlineStr">
        <is>
          <t xml:space="preserve">true</t>
        </is>
      </c>
      <c r="E187" t="inlineStr">
        <is>
          <t xml:space="preserve">false</t>
        </is>
      </c>
      <c r="F187">
        <v>53090.0</v>
      </c>
      <c r="G187">
        <v>52810.0</v>
      </c>
      <c r="H187">
        <v>44910.0</v>
      </c>
      <c r="I187">
        <v>3400.0</v>
      </c>
      <c r="J187">
        <v>6000.0</v>
      </c>
      <c r="K187" t="inlineStr">
        <is>
          <t xml:space="preserve">false</t>
        </is>
      </c>
      <c r="M187" t="inlineStr">
        <is>
          <t xml:space="preserve">SZBB2FC5K K K609 2025</t>
        </is>
      </c>
    </row>
    <row r="188">
      <c r="A188">
        <f>VLOOKUP(M188,MapaProductos!$A:$B,2,FALSE)</f>
      </c>
      <c r="B188">
        <f>Parametros!$B$3</f>
      </c>
      <c r="C188">
        <v>61900.0</v>
      </c>
      <c r="D188" t="inlineStr">
        <is>
          <t xml:space="preserve">true</t>
        </is>
      </c>
      <c r="E188" t="inlineStr">
        <is>
          <t xml:space="preserve">false</t>
        </is>
      </c>
      <c r="F188">
        <v>57090.0</v>
      </c>
      <c r="G188">
        <v>54810.0</v>
      </c>
      <c r="H188">
        <v>48610.0</v>
      </c>
      <c r="I188">
        <v>3400.0</v>
      </c>
      <c r="J188">
        <v>4000.0</v>
      </c>
      <c r="K188" t="inlineStr">
        <is>
          <t xml:space="preserve">false</t>
        </is>
      </c>
      <c r="M188" t="inlineStr">
        <is>
          <t xml:space="preserve">SZBB2FC5K K K609 2026</t>
        </is>
      </c>
    </row>
    <row r="189">
      <c r="A189">
        <f>VLOOKUP(M189,MapaProductos!$A:$B,2,FALSE)</f>
      </c>
      <c r="B189">
        <f>Parametros!$B$3</f>
      </c>
      <c r="C189">
        <v>48900.0</v>
      </c>
      <c r="D189" t="inlineStr">
        <is>
          <t xml:space="preserve">true</t>
        </is>
      </c>
      <c r="E189" t="inlineStr">
        <is>
          <t xml:space="preserve">false</t>
        </is>
      </c>
      <c r="F189">
        <v>42090.0</v>
      </c>
      <c r="G189">
        <v>43310.0</v>
      </c>
      <c r="H189">
        <v>35710.0</v>
      </c>
      <c r="I189">
        <v>2800.0</v>
      </c>
      <c r="J189">
        <v>6000.0</v>
      </c>
      <c r="K189" t="inlineStr">
        <is>
          <t xml:space="preserve">false</t>
        </is>
      </c>
      <c r="M189" t="inlineStr">
        <is>
          <t xml:space="preserve">SZBB2FC5K S S539 2025</t>
        </is>
      </c>
    </row>
    <row r="190">
      <c r="A190">
        <f>VLOOKUP(M190,MapaProductos!$A:$B,2,FALSE)</f>
      </c>
      <c r="B190">
        <f>Parametros!$B$3</f>
      </c>
      <c r="C190">
        <v>49900.0</v>
      </c>
      <c r="D190" t="inlineStr">
        <is>
          <t xml:space="preserve">true</t>
        </is>
      </c>
      <c r="E190" t="inlineStr">
        <is>
          <t xml:space="preserve">false</t>
        </is>
      </c>
      <c r="F190">
        <v>45090.0</v>
      </c>
      <c r="G190">
        <v>44410.0</v>
      </c>
      <c r="H190">
        <v>38410.0</v>
      </c>
      <c r="I190">
        <v>2800.0</v>
      </c>
      <c r="J190">
        <v>4000.0</v>
      </c>
      <c r="K190" t="inlineStr">
        <is>
          <t xml:space="preserve">false</t>
        </is>
      </c>
      <c r="M190" t="inlineStr">
        <is>
          <t xml:space="preserve">SZBB2FC5K S S539 2026</t>
        </is>
      </c>
    </row>
    <row r="191">
      <c r="A191">
        <f>VLOOKUP(M191,MapaProductos!$A:$B,2,FALSE)</f>
      </c>
      <c r="B191">
        <f>Parametros!$B$3</f>
      </c>
      <c r="C191">
        <v>45900.0</v>
      </c>
      <c r="D191" t="inlineStr">
        <is>
          <t xml:space="preserve">true</t>
        </is>
      </c>
      <c r="E191" t="inlineStr">
        <is>
          <t xml:space="preserve">false</t>
        </is>
      </c>
      <c r="F191">
        <v>39090.0</v>
      </c>
      <c r="G191">
        <v>35610.0</v>
      </c>
      <c r="H191">
        <v>29110.0</v>
      </c>
      <c r="I191">
        <v>2800.0</v>
      </c>
      <c r="J191">
        <v>6000.0</v>
      </c>
      <c r="K191" t="inlineStr">
        <is>
          <t xml:space="preserve">false</t>
        </is>
      </c>
      <c r="M191" t="inlineStr">
        <is>
          <t xml:space="preserve">SZF32FC57 P P712 2026</t>
        </is>
      </c>
    </row>
    <row r="192">
      <c r="A192">
        <f>VLOOKUP(M192,MapaProductos!$A:$B,2,FALSE)</f>
      </c>
      <c r="B192">
        <f>Parametros!$B$3</f>
      </c>
      <c r="C192">
        <v>44950.0</v>
      </c>
      <c r="D192" t="inlineStr">
        <is>
          <t xml:space="preserve">true</t>
        </is>
      </c>
      <c r="E192" t="inlineStr">
        <is>
          <t xml:space="preserve">false</t>
        </is>
      </c>
      <c r="F192">
        <v>43655.0</v>
      </c>
      <c r="G192">
        <v>30500.0</v>
      </c>
      <c r="H192">
        <v>43079.0</v>
      </c>
      <c r="I192">
        <v>2000.0</v>
      </c>
      <c r="K192" t="inlineStr">
        <is>
          <t xml:space="preserve">false</t>
        </is>
      </c>
      <c r="M192" t="inlineStr">
        <is>
          <t xml:space="preserve">TCL4002 2025</t>
        </is>
      </c>
    </row>
    <row r="193">
      <c r="A193">
        <f>VLOOKUP(M193,MapaProductos!$A:$B,2,FALSE)</f>
      </c>
      <c r="B193">
        <f>Parametros!$B$3</f>
      </c>
      <c r="C193">
        <v>56900.0</v>
      </c>
      <c r="D193" t="inlineStr">
        <is>
          <t xml:space="preserve">true</t>
        </is>
      </c>
      <c r="E193" t="inlineStr">
        <is>
          <t xml:space="preserve">false</t>
        </is>
      </c>
      <c r="F193">
        <v>55400.0</v>
      </c>
      <c r="G193">
        <v>41500.0</v>
      </c>
      <c r="H193">
        <v>55095.0</v>
      </c>
      <c r="I193">
        <v>2500.0</v>
      </c>
      <c r="K193" t="inlineStr">
        <is>
          <t xml:space="preserve">false</t>
        </is>
      </c>
      <c r="M193" t="inlineStr">
        <is>
          <t xml:space="preserve">TCL4008 2025</t>
        </is>
      </c>
    </row>
    <row r="194">
      <c r="A194">
        <f>VLOOKUP(M194,MapaProductos!$A:$B,2,FALSE)</f>
      </c>
      <c r="B194">
        <f>Parametros!$B$3</f>
      </c>
      <c r="C194">
        <v>41900.0</v>
      </c>
      <c r="D194" t="inlineStr">
        <is>
          <t xml:space="preserve">true</t>
        </is>
      </c>
      <c r="E194" t="inlineStr">
        <is>
          <t xml:space="preserve">false</t>
        </is>
      </c>
      <c r="F194">
        <v>40850.0</v>
      </c>
      <c r="G194">
        <v>32200.0</v>
      </c>
      <c r="H194">
        <v>37213.0</v>
      </c>
      <c r="I194">
        <v>1700.0</v>
      </c>
      <c r="K194" t="inlineStr">
        <is>
          <t xml:space="preserve">false</t>
        </is>
      </c>
      <c r="M194" t="inlineStr">
        <is>
          <t xml:space="preserve">TCL5001 2026</t>
        </is>
      </c>
    </row>
    <row r="195">
      <c r="A195">
        <f>VLOOKUP(M195,MapaProductos!$A:$B,2,FALSE)</f>
      </c>
      <c r="B195">
        <f>Parametros!$B$3</f>
      </c>
      <c r="C195">
        <v>46950.0</v>
      </c>
      <c r="D195" t="inlineStr">
        <is>
          <t xml:space="preserve">true</t>
        </is>
      </c>
      <c r="E195" t="inlineStr">
        <is>
          <t xml:space="preserve">false</t>
        </is>
      </c>
      <c r="F195">
        <v>45750.0</v>
      </c>
      <c r="G195">
        <v>32300.0</v>
      </c>
      <c r="H195">
        <v>45005.0</v>
      </c>
      <c r="I195">
        <v>2000.0</v>
      </c>
      <c r="K195" t="inlineStr">
        <is>
          <t xml:space="preserve">false</t>
        </is>
      </c>
      <c r="M195" t="inlineStr">
        <is>
          <t xml:space="preserve">TCL5002 2026</t>
        </is>
      </c>
    </row>
    <row r="196">
      <c r="A196">
        <f>VLOOKUP(M196,MapaProductos!$A:$B,2,FALSE)</f>
      </c>
      <c r="B196">
        <f>Parametros!$B$3</f>
      </c>
      <c r="C196">
        <v>47950.0</v>
      </c>
      <c r="D196" t="inlineStr">
        <is>
          <t xml:space="preserve">true</t>
        </is>
      </c>
      <c r="E196" t="inlineStr">
        <is>
          <t xml:space="preserve">false</t>
        </is>
      </c>
      <c r="F196">
        <v>46750.0</v>
      </c>
      <c r="G196">
        <v>32000.0</v>
      </c>
      <c r="H196">
        <v>47321.0</v>
      </c>
      <c r="I196">
        <v>2000.0</v>
      </c>
      <c r="K196" t="inlineStr">
        <is>
          <t xml:space="preserve">false</t>
        </is>
      </c>
      <c r="M196" t="inlineStr">
        <is>
          <t xml:space="preserve">TCL5003 2026</t>
        </is>
      </c>
    </row>
    <row r="197">
      <c r="A197">
        <f>VLOOKUP(M197,MapaProductos!$A:$B,2,FALSE)</f>
      </c>
      <c r="B197">
        <f>Parametros!$B$3</f>
      </c>
      <c r="C197">
        <v>52900.0</v>
      </c>
      <c r="D197" t="inlineStr">
        <is>
          <t xml:space="preserve">true</t>
        </is>
      </c>
      <c r="E197" t="inlineStr">
        <is>
          <t xml:space="preserve">false</t>
        </is>
      </c>
      <c r="F197">
        <v>51550.0</v>
      </c>
      <c r="G197">
        <v>39700.0</v>
      </c>
      <c r="H197">
        <v>48124.0</v>
      </c>
      <c r="I197">
        <v>2000.0</v>
      </c>
      <c r="K197" t="inlineStr">
        <is>
          <t xml:space="preserve">false</t>
        </is>
      </c>
      <c r="M197" t="inlineStr">
        <is>
          <t xml:space="preserve">TCL5004 2026</t>
        </is>
      </c>
    </row>
    <row r="198">
      <c r="A198">
        <f>VLOOKUP(M198,MapaProductos!$A:$B,2,FALSE)</f>
      </c>
      <c r="B198">
        <f>Parametros!$B$3</f>
      </c>
      <c r="C198">
        <v>49950.0</v>
      </c>
      <c r="D198" t="inlineStr">
        <is>
          <t xml:space="preserve">true</t>
        </is>
      </c>
      <c r="E198" t="inlineStr">
        <is>
          <t xml:space="preserve">false</t>
        </is>
      </c>
      <c r="F198">
        <v>48700.0</v>
      </c>
      <c r="G198">
        <v>44950.0</v>
      </c>
      <c r="H198">
        <v>37792.0</v>
      </c>
      <c r="I198">
        <v>2100.0</v>
      </c>
      <c r="K198" t="inlineStr">
        <is>
          <t xml:space="preserve">false</t>
        </is>
      </c>
      <c r="M198" t="inlineStr">
        <is>
          <t xml:space="preserve">TCL5005 2026</t>
        </is>
      </c>
    </row>
    <row r="199">
      <c r="A199">
        <f>VLOOKUP(M199,MapaProductos!$A:$B,2,FALSE)</f>
      </c>
      <c r="B199">
        <f>Parametros!$B$3</f>
      </c>
      <c r="C199">
        <v>54900.0</v>
      </c>
      <c r="D199" t="inlineStr">
        <is>
          <t xml:space="preserve">true</t>
        </is>
      </c>
      <c r="E199" t="inlineStr">
        <is>
          <t xml:space="preserve">false</t>
        </is>
      </c>
      <c r="F199">
        <v>53000.0</v>
      </c>
      <c r="G199">
        <v>54940.0</v>
      </c>
      <c r="H199">
        <v>36305.0</v>
      </c>
      <c r="I199">
        <v>2100.0</v>
      </c>
      <c r="K199" t="inlineStr">
        <is>
          <t xml:space="preserve">false</t>
        </is>
      </c>
      <c r="M199" t="inlineStr">
        <is>
          <t xml:space="preserve">TCL5006 2026</t>
        </is>
      </c>
    </row>
    <row r="200">
      <c r="A200">
        <f>VLOOKUP(M200,MapaProductos!$A:$B,2,FALSE)</f>
      </c>
      <c r="B200">
        <f>Parametros!$B$3</f>
      </c>
      <c r="C200">
        <v>59900.0</v>
      </c>
      <c r="D200" t="inlineStr">
        <is>
          <t xml:space="preserve">true</t>
        </is>
      </c>
      <c r="E200" t="inlineStr">
        <is>
          <t xml:space="preserve">false</t>
        </is>
      </c>
      <c r="F200">
        <v>58000.0</v>
      </c>
      <c r="G200">
        <v>43200.0</v>
      </c>
      <c r="H200">
        <v>58121.0</v>
      </c>
      <c r="I200">
        <v>2500.0</v>
      </c>
      <c r="K200" t="inlineStr">
        <is>
          <t xml:space="preserve">false</t>
        </is>
      </c>
      <c r="M200" t="inlineStr">
        <is>
          <t xml:space="preserve">TCL5008 2026</t>
        </is>
      </c>
    </row>
    <row r="201">
      <c r="A201">
        <f>VLOOKUP(M201,MapaProductos!$A:$B,2,FALSE)</f>
      </c>
      <c r="B201">
        <f>Parametros!$B$3</f>
      </c>
      <c r="C201">
        <v>33900.0</v>
      </c>
      <c r="D201" t="inlineStr">
        <is>
          <t xml:space="preserve">true</t>
        </is>
      </c>
      <c r="E201" t="inlineStr">
        <is>
          <t xml:space="preserve">false</t>
        </is>
      </c>
      <c r="F201">
        <v>33050.0</v>
      </c>
      <c r="G201">
        <v>23400.0</v>
      </c>
      <c r="H201">
        <v>32023.0</v>
      </c>
      <c r="I201">
        <v>1300.0</v>
      </c>
      <c r="K201" t="inlineStr">
        <is>
          <t xml:space="preserve">false</t>
        </is>
      </c>
      <c r="M201" t="inlineStr">
        <is>
          <t xml:space="preserve">TCL5009 2026</t>
        </is>
      </c>
    </row>
    <row r="202">
      <c r="A202">
        <f>VLOOKUP(M202,MapaProductos!$A:$B,2,FALSE)</f>
      </c>
      <c r="B202">
        <f>Parametros!$B$3</f>
      </c>
      <c r="C202">
        <v>39900.0</v>
      </c>
      <c r="D202" t="inlineStr">
        <is>
          <t xml:space="preserve">true</t>
        </is>
      </c>
      <c r="E202" t="inlineStr">
        <is>
          <t xml:space="preserve">false</t>
        </is>
      </c>
      <c r="F202">
        <v>38900.0</v>
      </c>
      <c r="G202">
        <v>27000.0</v>
      </c>
      <c r="H202">
        <v>38179.0</v>
      </c>
      <c r="I202">
        <v>1500.0</v>
      </c>
      <c r="K202" t="inlineStr">
        <is>
          <t xml:space="preserve">false</t>
        </is>
      </c>
      <c r="M202" t="inlineStr">
        <is>
          <t xml:space="preserve">TCL5010 2026</t>
        </is>
      </c>
    </row>
    <row r="203">
      <c r="A203">
        <f>VLOOKUP(M203,MapaProductos!$A:$B,2,FALSE)</f>
      </c>
      <c r="B203">
        <f>Parametros!$B$3</f>
      </c>
      <c r="C203">
        <v>41900.0</v>
      </c>
      <c r="D203" t="inlineStr">
        <is>
          <t xml:space="preserve">true</t>
        </is>
      </c>
      <c r="E203" t="inlineStr">
        <is>
          <t xml:space="preserve">false</t>
        </is>
      </c>
      <c r="F203">
        <v>40400.0</v>
      </c>
      <c r="G203">
        <v>29200.0</v>
      </c>
      <c r="H203">
        <v>40416.0</v>
      </c>
      <c r="I203">
        <v>1600.0</v>
      </c>
      <c r="K203" t="inlineStr">
        <is>
          <t xml:space="preserve">false</t>
        </is>
      </c>
      <c r="M203" t="inlineStr">
        <is>
          <t xml:space="preserve">TCL5011 2026</t>
        </is>
      </c>
    </row>
    <row r="204">
      <c r="A204">
        <f>VLOOKUP(M204,MapaProductos!$A:$B,2,FALSE)</f>
      </c>
      <c r="B204">
        <f>Parametros!$B$3</f>
      </c>
      <c r="C204">
        <v>45950.0</v>
      </c>
      <c r="D204" t="inlineStr">
        <is>
          <t xml:space="preserve">true</t>
        </is>
      </c>
      <c r="E204" t="inlineStr">
        <is>
          <t xml:space="preserve">false</t>
        </is>
      </c>
      <c r="F204">
        <v>44450.0</v>
      </c>
      <c r="G204">
        <v>30800.0</v>
      </c>
      <c r="H204">
        <v>43650.0</v>
      </c>
      <c r="I204">
        <v>1900.0</v>
      </c>
      <c r="K204" t="inlineStr">
        <is>
          <t xml:space="preserve">false</t>
        </is>
      </c>
      <c r="M204" t="inlineStr">
        <is>
          <t xml:space="preserve">TCL5012 2026</t>
        </is>
      </c>
    </row>
    <row r="205">
      <c r="A205">
        <f>VLOOKUP(M205,MapaProductos!$A:$B,2,FALSE)</f>
      </c>
      <c r="B205">
        <f>Parametros!$B$3</f>
      </c>
      <c r="C205">
        <v>42750.0</v>
      </c>
      <c r="D205" t="inlineStr">
        <is>
          <t xml:space="preserve">true</t>
        </is>
      </c>
      <c r="E205" t="inlineStr">
        <is>
          <t xml:space="preserve">false</t>
        </is>
      </c>
      <c r="F205">
        <v>42100.0</v>
      </c>
      <c r="G205">
        <v>30300.0</v>
      </c>
      <c r="H205">
        <v>42150.0</v>
      </c>
      <c r="I205">
        <v>1700.0</v>
      </c>
      <c r="K205" t="inlineStr">
        <is>
          <t xml:space="preserve">false</t>
        </is>
      </c>
      <c r="M205" t="inlineStr">
        <is>
          <t xml:space="preserve">TCL6001 2027</t>
        </is>
      </c>
    </row>
    <row r="206">
      <c r="A206">
        <f>VLOOKUP(M206,MapaProductos!$A:$B,2,FALSE)</f>
      </c>
      <c r="B206">
        <f>Parametros!$B$3</f>
      </c>
      <c r="C206">
        <v>47900.0</v>
      </c>
      <c r="D206" t="inlineStr">
        <is>
          <t xml:space="preserve">true</t>
        </is>
      </c>
      <c r="E206" t="inlineStr">
        <is>
          <t xml:space="preserve">false</t>
        </is>
      </c>
      <c r="F206">
        <v>47150.0</v>
      </c>
      <c r="G206">
        <v>33800.0</v>
      </c>
      <c r="H206">
        <v>47200.0</v>
      </c>
      <c r="I206">
        <v>2000.0</v>
      </c>
      <c r="K206" t="inlineStr">
        <is>
          <t xml:space="preserve">false</t>
        </is>
      </c>
      <c r="M206" t="inlineStr">
        <is>
          <t xml:space="preserve">TCL6002 2027</t>
        </is>
      </c>
    </row>
    <row r="207">
      <c r="A207">
        <f>VLOOKUP(M207,MapaProductos!$A:$B,2,FALSE)</f>
      </c>
      <c r="B207">
        <f>Parametros!$B$3</f>
      </c>
      <c r="C207">
        <v>48900.0</v>
      </c>
      <c r="D207" t="inlineStr">
        <is>
          <t xml:space="preserve">true</t>
        </is>
      </c>
      <c r="E207" t="inlineStr">
        <is>
          <t xml:space="preserve">false</t>
        </is>
      </c>
      <c r="F207">
        <v>48150.0</v>
      </c>
      <c r="G207">
        <v>34300.0</v>
      </c>
      <c r="H207">
        <v>48300.0</v>
      </c>
      <c r="I207">
        <v>2000.0</v>
      </c>
      <c r="K207" t="inlineStr">
        <is>
          <t xml:space="preserve">false</t>
        </is>
      </c>
      <c r="M207" t="inlineStr">
        <is>
          <t xml:space="preserve">TCL6003 2027</t>
        </is>
      </c>
    </row>
    <row r="208">
      <c r="A208">
        <f>VLOOKUP(M208,MapaProductos!$A:$B,2,FALSE)</f>
      </c>
      <c r="B208">
        <f>Parametros!$B$3</f>
      </c>
      <c r="C208">
        <v>54000.0</v>
      </c>
      <c r="D208" t="inlineStr">
        <is>
          <t xml:space="preserve">true</t>
        </is>
      </c>
      <c r="E208" t="inlineStr">
        <is>
          <t xml:space="preserve">false</t>
        </is>
      </c>
      <c r="F208">
        <v>53150.0</v>
      </c>
      <c r="G208">
        <v>38400.0</v>
      </c>
      <c r="H208">
        <v>53200.0</v>
      </c>
      <c r="I208">
        <v>2000.0</v>
      </c>
      <c r="K208" t="inlineStr">
        <is>
          <t xml:space="preserve">false</t>
        </is>
      </c>
      <c r="M208" t="inlineStr">
        <is>
          <t xml:space="preserve">TCL6004 2027</t>
        </is>
      </c>
    </row>
    <row r="209">
      <c r="A209">
        <f>VLOOKUP(M209,MapaProductos!$A:$B,2,FALSE)</f>
      </c>
      <c r="B209">
        <f>Parametros!$B$3</f>
      </c>
      <c r="C209">
        <v>50900.0</v>
      </c>
      <c r="D209" t="inlineStr">
        <is>
          <t xml:space="preserve">true</t>
        </is>
      </c>
      <c r="E209" t="inlineStr">
        <is>
          <t xml:space="preserve">false</t>
        </is>
      </c>
      <c r="F209">
        <v>50100.0</v>
      </c>
      <c r="G209">
        <v>35700.0</v>
      </c>
      <c r="H209">
        <v>50200.0</v>
      </c>
      <c r="I209">
        <v>2100.0</v>
      </c>
      <c r="K209" t="inlineStr">
        <is>
          <t xml:space="preserve">false</t>
        </is>
      </c>
      <c r="M209" t="inlineStr">
        <is>
          <t xml:space="preserve">TCL6005 2027</t>
        </is>
      </c>
    </row>
    <row r="210">
      <c r="A210">
        <f>VLOOKUP(M210,MapaProductos!$A:$B,2,FALSE)</f>
      </c>
      <c r="B210">
        <f>Parametros!$B$3</f>
      </c>
      <c r="C210">
        <v>34600.0</v>
      </c>
      <c r="D210" t="inlineStr">
        <is>
          <t xml:space="preserve">true</t>
        </is>
      </c>
      <c r="E210" t="inlineStr">
        <is>
          <t xml:space="preserve">false</t>
        </is>
      </c>
      <c r="F210">
        <v>34050.0</v>
      </c>
      <c r="G210">
        <v>24700.0</v>
      </c>
      <c r="H210">
        <v>34100.0</v>
      </c>
      <c r="I210">
        <v>1300.0</v>
      </c>
      <c r="K210" t="inlineStr">
        <is>
          <t xml:space="preserve">false</t>
        </is>
      </c>
      <c r="M210" t="inlineStr">
        <is>
          <t xml:space="preserve">TCL6009 2027</t>
        </is>
      </c>
    </row>
    <row r="211">
      <c r="A211">
        <f>VLOOKUP(M211,MapaProductos!$A:$B,2,FALSE)</f>
      </c>
      <c r="B211">
        <f>Parametros!$B$3</f>
      </c>
      <c r="C211">
        <v>45690.0</v>
      </c>
      <c r="D211" t="inlineStr">
        <is>
          <t xml:space="preserve">true</t>
        </is>
      </c>
      <c r="E211" t="inlineStr">
        <is>
          <t xml:space="preserve">false</t>
        </is>
      </c>
      <c r="F211">
        <v>41690.0</v>
      </c>
      <c r="G211">
        <v>41400.0</v>
      </c>
      <c r="H211">
        <v>35600.0</v>
      </c>
      <c r="I211">
        <v>1800.0</v>
      </c>
      <c r="J211">
        <v>4000.0</v>
      </c>
      <c r="K211" t="inlineStr">
        <is>
          <t xml:space="preserve">false</t>
        </is>
      </c>
      <c r="M211" t="inlineStr">
        <is>
          <t xml:space="preserve">UG9AHEAD5VT3 B618 2026</t>
        </is>
      </c>
    </row>
    <row r="212">
      <c r="A212">
        <f>VLOOKUP(M212,MapaProductos!$A:$B,2,FALSE)</f>
      </c>
      <c r="B212">
        <f>Parametros!$B$3</f>
      </c>
      <c r="C212">
        <v>46890.0</v>
      </c>
      <c r="D212" t="inlineStr">
        <is>
          <t xml:space="preserve">true</t>
        </is>
      </c>
      <c r="E212" t="inlineStr">
        <is>
          <t xml:space="preserve">false</t>
        </is>
      </c>
      <c r="F212">
        <v>44890.0</v>
      </c>
      <c r="G212">
        <v>41000.0</v>
      </c>
      <c r="H212">
        <v>37500.0</v>
      </c>
      <c r="I212">
        <v>2700.0</v>
      </c>
      <c r="J212">
        <v>2000.0</v>
      </c>
      <c r="K212" t="inlineStr">
        <is>
          <t xml:space="preserve">false</t>
        </is>
      </c>
      <c r="M212" t="inlineStr">
        <is>
          <t xml:space="preserve">UGAADSAD5DM1 B545 2025</t>
        </is>
      </c>
    </row>
    <row r="213">
      <c r="A213">
        <f>VLOOKUP(M213,MapaProductos!$A:$B,2,FALSE)</f>
      </c>
      <c r="B213">
        <f>Parametros!$B$3</f>
      </c>
      <c r="C213">
        <v>48800.0</v>
      </c>
      <c r="D213" t="inlineStr">
        <is>
          <t xml:space="preserve">true</t>
        </is>
      </c>
      <c r="E213" t="inlineStr">
        <is>
          <t xml:space="preserve">false</t>
        </is>
      </c>
      <c r="F213">
        <v>47300.0</v>
      </c>
      <c r="G213">
        <v>41700.0</v>
      </c>
      <c r="H213">
        <v>38500.0</v>
      </c>
      <c r="I213">
        <v>3850.0</v>
      </c>
      <c r="J213">
        <v>1500.0</v>
      </c>
      <c r="K213" t="inlineStr">
        <is>
          <t xml:space="preserve">false</t>
        </is>
      </c>
      <c r="M213" t="inlineStr">
        <is>
          <t xml:space="preserve">UGAADSAD5DM1 B545 2026</t>
        </is>
      </c>
    </row>
    <row r="214">
      <c r="A214">
        <f>VLOOKUP(M214,MapaProductos!$A:$B,2,FALSE)</f>
      </c>
      <c r="B214">
        <f>Parametros!$B$3</f>
      </c>
      <c r="C214">
        <v>44900.0</v>
      </c>
      <c r="D214" t="inlineStr">
        <is>
          <t xml:space="preserve">true</t>
        </is>
      </c>
      <c r="E214" t="inlineStr">
        <is>
          <t xml:space="preserve">false</t>
        </is>
      </c>
      <c r="F214">
        <v>38900.0</v>
      </c>
      <c r="G214">
        <v>39900.0</v>
      </c>
      <c r="H214">
        <v>32300.0</v>
      </c>
      <c r="I214">
        <v>2600.0</v>
      </c>
      <c r="J214">
        <v>6000.0</v>
      </c>
      <c r="K214" t="inlineStr">
        <is>
          <t xml:space="preserve">false</t>
        </is>
      </c>
      <c r="M214" t="inlineStr">
        <is>
          <t xml:space="preserve">UGAAHLAD5VT3 A919 2026</t>
        </is>
      </c>
    </row>
    <row r="215">
      <c r="A215">
        <f>VLOOKUP(M215,MapaProductos!$A:$B,2,FALSE)</f>
      </c>
      <c r="B215">
        <f>Parametros!$B$3</f>
      </c>
      <c r="C215">
        <v>63900.0</v>
      </c>
      <c r="D215" t="inlineStr">
        <is>
          <t xml:space="preserve">true</t>
        </is>
      </c>
      <c r="E215" t="inlineStr">
        <is>
          <t xml:space="preserve">false</t>
        </is>
      </c>
      <c r="F215">
        <v>62843.0</v>
      </c>
      <c r="G215">
        <v>42500.0</v>
      </c>
      <c r="H215">
        <v>62720.0</v>
      </c>
      <c r="I215">
        <v>2500.0</v>
      </c>
      <c r="K215" t="inlineStr">
        <is>
          <t xml:space="preserve">false</t>
        </is>
      </c>
      <c r="M215" t="inlineStr">
        <is>
          <t xml:space="preserve">UJCL201 2024</t>
        </is>
      </c>
    </row>
    <row r="216">
      <c r="A216">
        <f>VLOOKUP(M216,MapaProductos!$A:$B,2,FALSE)</f>
      </c>
      <c r="B216">
        <f>Parametros!$B$3</f>
      </c>
      <c r="C216">
        <v>65900.0</v>
      </c>
      <c r="D216" t="inlineStr">
        <is>
          <t xml:space="preserve">true</t>
        </is>
      </c>
      <c r="E216" t="inlineStr">
        <is>
          <t xml:space="preserve">false</t>
        </is>
      </c>
      <c r="F216">
        <v>64873.0</v>
      </c>
      <c r="G216">
        <v>44500.0</v>
      </c>
      <c r="H216">
        <v>64852.0</v>
      </c>
      <c r="I216">
        <v>2600.0</v>
      </c>
      <c r="K216" t="inlineStr">
        <is>
          <t xml:space="preserve">false</t>
        </is>
      </c>
      <c r="M216" t="inlineStr">
        <is>
          <t xml:space="preserve">UJCL301 2024</t>
        </is>
      </c>
    </row>
    <row r="217">
      <c r="A217">
        <f>VLOOKUP(M217,MapaProductos!$A:$B,2,FALSE)</f>
      </c>
      <c r="B217">
        <f>Parametros!$B$3</f>
      </c>
      <c r="C217">
        <v>71900.0</v>
      </c>
      <c r="D217" t="inlineStr">
        <is>
          <t xml:space="preserve">true</t>
        </is>
      </c>
      <c r="E217" t="inlineStr">
        <is>
          <t xml:space="preserve">false</t>
        </is>
      </c>
      <c r="F217">
        <v>70100.0</v>
      </c>
      <c r="G217">
        <v>49700.0</v>
      </c>
      <c r="H217">
        <v>70119.0</v>
      </c>
      <c r="I217">
        <v>2900.0</v>
      </c>
      <c r="K217" t="inlineStr">
        <is>
          <t xml:space="preserve">false</t>
        </is>
      </c>
      <c r="M217" t="inlineStr">
        <is>
          <t xml:space="preserve">UJCL501 2026</t>
        </is>
      </c>
    </row>
    <row r="218">
      <c r="A218">
        <f>VLOOKUP(M218,MapaProductos!$A:$B,2,FALSE)</f>
      </c>
      <c r="B218">
        <f>Parametros!$B$3</f>
      </c>
      <c r="C218">
        <v>63900.0</v>
      </c>
      <c r="D218" t="inlineStr">
        <is>
          <t xml:space="preserve">true</t>
        </is>
      </c>
      <c r="E218" t="inlineStr">
        <is>
          <t xml:space="preserve">false</t>
        </is>
      </c>
      <c r="F218">
        <v>62300.0</v>
      </c>
      <c r="G218">
        <v>43200.0</v>
      </c>
      <c r="H218">
        <v>62324.0</v>
      </c>
      <c r="I218">
        <v>2600.0</v>
      </c>
      <c r="K218" t="inlineStr">
        <is>
          <t xml:space="preserve">false</t>
        </is>
      </c>
      <c r="M218" t="inlineStr">
        <is>
          <t xml:space="preserve">UJCL502 2026</t>
        </is>
      </c>
    </row>
  </sheetData>
</worksheet>
</file>