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Leads" sheetId="1" r:id="rId1"/>
    <sheet name="Listas" sheetId="2" r:id="rId2"/>
    <sheet name="Instrucoes" sheetId="3" r:id="rId3"/>
  </sheets>
  <calcPr calcId="191029" fullCalcOnLoad="1"/>
</workbook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color rgb="FFFFFFFF"/>
      <name val="Arial"/>
    </font>
    <font>
      <b/>
      <sz val="14"/>
      <color rgb="FF1F3864"/>
      <name val="Arial"/>
    </font>
    <font>
      <b/>
      <sz val="10"/>
      <name val="Arial"/>
    </font>
    <font>
      <sz val="10"/>
      <color rgb="FF44444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7791F"/>
      </patternFill>
    </fill>
    <fill>
      <patternFill patternType="solid">
        <fgColor rgb="FFFFF9C4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49" fontId="0" fillId="0" borderId="1" xfId="0" applyNumberFormat="1" applyBorder="1"/>
    <xf numFmtId="49" fontId="0" fillId="4" borderId="1" xfId="0" applyNumberFormat="1" applyFill="1" applyBorder="1"/>
    <xf numFmtId="0" fontId="4" fillId="5" borderId="1" xfId="0" applyFont="1" applyFill="1" applyBorder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1F3864"/>
  </sheetPr>
  <sheetViews>
    <sheetView workbookViewId="0">
      <pane xSplit="8" ySplit="1" topLeftCell="I2" activePane="bottomRight" state="frozen"/>
      <selection pane="bottomRight" activeCell="A2" sqref="A2"/>
    </sheetView>
  </sheetViews>
  <sheetFormatPr defaultRowHeight="14"/>
  <cols>
    <col min="1" max="1" width="28" customWidth="1"/>
    <col min="2" max="2" width="28" customWidth="1"/>
    <col min="3" max="3" width="28" customWidth="1"/>
    <col min="4" max="4" width="12" customWidth="1"/>
    <col min="5" max="5" width="16" customWidth="1"/>
    <col min="6" max="6" width="12" customWidth="1"/>
    <col min="7" max="7" width="20" customWidth="1"/>
    <col min="8" max="8" width="40" customWidth="1"/>
    <col min="9" max="9" width="26" customWidth="1"/>
    <col min="10" max="10" width="18" customWidth="1"/>
    <col min="11" max="11" width="26" customWidth="1"/>
    <col min="12" max="12" width="18" customWidth="1"/>
    <col min="13" max="13" width="16" customWidth="1"/>
    <col min="14" max="14" width="16" customWidth="1"/>
    <col min="15" max="15" width="32" customWidth="1"/>
    <col min="16" max="16" width="18" customWidth="1"/>
    <col min="17" max="17" width="6" customWidth="1"/>
    <col min="18" max="18" width="20" customWidth="1"/>
    <col min="19" max="19" width="40" customWidth="1"/>
    <col min="20" max="20" width="16" customWidth="1"/>
    <col min="21" max="21" width="22" customWidth="1"/>
    <col min="22" max="22" width="20" customWidth="1"/>
    <col min="23" max="23" width="26" customWidth="1"/>
    <col min="24" max="24" width="26" customWidth="1"/>
    <col min="25" max="25" width="22" customWidth="1"/>
    <col min="26" max="26" width="30" customWidth="1"/>
    <col min="27" max="27" width="40" customWidth="1"/>
    <col min="28" max="28" width="10" customWidth="1"/>
  </cols>
  <sheetData>
    <row r="1">
      <c r="A1" s="2" t="inlineStr">
        <is>
          <t xml:space="preserve">SDR *</t>
        </is>
      </c>
      <c r="B1" s="2" t="inlineStr">
        <is>
          <t xml:space="preserve">Proprietário do Lead *</t>
        </is>
      </c>
      <c r="C1" s="2" t="inlineStr">
        <is>
          <t xml:space="preserve">Origem do Lead *</t>
        </is>
      </c>
      <c r="D1" s="2" t="inlineStr">
        <is>
          <t xml:space="preserve">Temperatura *</t>
        </is>
      </c>
      <c r="E1" s="2" t="inlineStr">
        <is>
          <t xml:space="preserve">Segmento *</t>
        </is>
      </c>
      <c r="F1" s="2" t="inlineStr">
        <is>
          <t xml:space="preserve">Time/Cluster *</t>
        </is>
      </c>
      <c r="G1" s="2" t="inlineStr">
        <is>
          <t xml:space="preserve">CNPJ *</t>
        </is>
      </c>
      <c r="H1" s="2" t="inlineStr">
        <is>
          <t xml:space="preserve">Razão Social *</t>
        </is>
      </c>
      <c r="I1" s="1" t="inlineStr">
        <is>
          <t xml:space="preserve">Nome Fantasia</t>
        </is>
      </c>
      <c r="J1" s="2" t="inlineStr">
        <is>
          <t xml:space="preserve">Nome do contato *</t>
        </is>
      </c>
      <c r="K1" s="1" t="inlineStr">
        <is>
          <t xml:space="preserve">Sobrenome do contato</t>
        </is>
      </c>
      <c r="L1" s="1" t="inlineStr">
        <is>
          <t xml:space="preserve">Cargo</t>
        </is>
      </c>
      <c r="M1" s="1" t="inlineStr">
        <is>
          <t xml:space="preserve">Telefone fixo</t>
        </is>
      </c>
      <c r="N1" s="1" t="inlineStr">
        <is>
          <t xml:space="preserve">Celular</t>
        </is>
      </c>
      <c r="O1" s="1" t="inlineStr">
        <is>
          <t xml:space="preserve">E-mail</t>
        </is>
      </c>
      <c r="P1" s="1" t="inlineStr">
        <is>
          <t xml:space="preserve">Cidade</t>
        </is>
      </c>
      <c r="Q1" s="1" t="inlineStr">
        <is>
          <t xml:space="preserve">UF</t>
        </is>
      </c>
      <c r="R1" s="1" t="inlineStr">
        <is>
          <t xml:space="preserve">Produto de interesse</t>
        </is>
      </c>
      <c r="S1" s="1" t="inlineStr">
        <is>
          <t xml:space="preserve">Observações</t>
        </is>
      </c>
      <c r="T1" s="3" t="inlineStr">
        <is>
          <t xml:space="preserve">CNPJ (só dígitos)</t>
        </is>
      </c>
      <c r="U1" s="3" t="inlineStr">
        <is>
          <t xml:space="preserve">CNPJ válido?</t>
        </is>
      </c>
      <c r="V1" s="3" t="inlineStr">
        <is>
          <t xml:space="preserve">Duplicado na planilha?</t>
        </is>
      </c>
      <c r="W1" s="3" t="inlineStr">
        <is>
          <t xml:space="preserve">Telefone fixo?</t>
        </is>
      </c>
      <c r="X1" s="3" t="inlineStr">
        <is>
          <t xml:space="preserve">Celular?</t>
        </is>
      </c>
      <c r="Y1" s="3" t="inlineStr">
        <is>
          <t xml:space="preserve">E-mail?</t>
        </is>
      </c>
      <c r="Z1" s="3" t="inlineStr">
        <is>
          <t xml:space="preserve">Nome completo?</t>
        </is>
      </c>
      <c r="AA1" s="3" t="inlineStr">
        <is>
          <t xml:space="preserve">Obrigatórios?</t>
        </is>
      </c>
      <c r="AB1" s="3" t="inlineStr">
        <is>
          <t xml:space="preserve">LINHA</t>
        </is>
      </c>
    </row>
    <row r="2">
      <c r="A2" s="5" t="inlineStr">
        <is>
          <t xml:space="preserve">Vitoria da Costa Hyppolito</t>
        </is>
      </c>
      <c r="B2" s="5" t="inlineStr">
        <is>
          <t xml:space="preserve">Vitoria da Costa Hyppolito</t>
        </is>
      </c>
      <c r="C2" s="5" t="inlineStr">
        <is>
          <t xml:space="preserve">Outbound - Listas GRs ALT</t>
        </is>
      </c>
      <c r="D2" s="5" t="inlineStr">
        <is>
          <t xml:space="preserve">10</t>
        </is>
      </c>
      <c r="E2" s="5" t="inlineStr">
        <is>
          <t xml:space="preserve">B2W - Wholesale</t>
        </is>
      </c>
      <c r="F2" s="5" t="inlineStr">
        <is>
          <t xml:space="preserve">ALT/GGNET</t>
        </is>
      </c>
      <c r="G2" s="5" t="inlineStr">
        <is>
          <t xml:space="preserve">01.145.642/0001-41</t>
        </is>
      </c>
      <c r="H2" s="5" t="inlineStr">
        <is>
          <t xml:space="preserve">Phonoway Locacoes Ltda</t>
        </is>
      </c>
      <c r="I2" s="4" t="inlineStr">
        <is>
          <t xml:space="preserve">Phonoway</t>
        </is>
      </c>
      <c r="J2" s="5" t="inlineStr">
        <is>
          <t xml:space="preserve">Jeferson</t>
        </is>
      </c>
      <c r="K2" s="4" t="inlineStr">
        <is>
          <t xml:space="preserve">Benedito Castelucci</t>
        </is>
      </c>
      <c r="L2" s="4" t="inlineStr">
        <is>
          <t xml:space="preserve">Sócio</t>
        </is>
      </c>
      <c r="M2" s="4" t="inlineStr">
        <is>
          <t xml:space="preserve">1138747111</t>
        </is>
      </c>
      <c r="N2" s="4" t="inlineStr">
        <is>
          <t xml:space="preserve">11976078975</t>
        </is>
      </c>
      <c r="O2" s="4" t="inlineStr">
        <is>
          <t xml:space="preserve">relacionamento@phonoway.com.br</t>
        </is>
      </c>
      <c r="P2" s="4" t="inlineStr">
        <is>
          <t xml:space="preserve">São Paulo</t>
        </is>
      </c>
      <c r="Q2" s="4" t="inlineStr">
        <is>
          <t xml:space="preserve">SP</t>
        </is>
      </c>
      <c r="R2" s="4" t="inlineStr">
        <is>
          <t xml:space="preserve">Fibra</t>
        </is>
      </c>
      <c r="S2" s="4" t="inlineStr">
        <is>
          <t xml:space="preserve">Outros e-mails validados: financeiro@phonoway.com.br</t>
        </is>
      </c>
      <c r="T2" s="6">
        <f>IF(G2="","",SUBSTITUTE(SUBSTITUTE(SUBSTITUTE(SUBSTITUTE(SUBSTITUTE(SUBSTITUTE(SUBSTITUTE(TRIM(G2),".",""),"/",""),"-","")," ",""),"(",""),")",""),"+",""))</f>
      </c>
      <c r="U2" s="6">
        <f>IF(T2="","",IF(LEN(T2)&lt;&gt;14,"ERRO: "&amp;LEN(T2)&amp;" dígitos",IF(NOT(ISNUMBER(VALUE(T2))),"ERRO: não numérico",IF(LEN(SUBSTITUTE(T2,LEFT(T2,1),""))=0,"ERRO: dígitos repetidos",IF(AND(VALUE(MID(T2,13,1))=IF(MOD(SUMPRODUCT(--MID(T2,{1,2,3,4,5,6,7,8,9,10,11,12},1),{5,4,3,2,9,8,7,6,5,4,3,2}),11)&lt;2,0,11-MOD(SUMPRODUCT(--MID(T2,{1,2,3,4,5,6,7,8,9,10,11,12},1),{5,4,3,2,9,8,7,6,5,4,3,2}),11)),VALUE(MID(T2,14,1))=IF(MOD(SUMPRODUCT(--MID(T2,{1,2,3,4,5,6,7,8,9,10,11,12,13},1),{6,5,4,3,2,9,8,7,6,5,4,3,2}),11)&lt;2,0,11-MOD(SUMPRODUCT(--MID(T2,{1,2,3,4,5,6,7,8,9,10,11,12,13},1),{6,5,4,3,2,9,8,7,6,5,4,3,2}),11))),"OK","ERRO: dígito verificador")))))</f>
      </c>
      <c r="V2" s="6">
        <f>IF(T2="","",IF(COUNTIF($T$2:$T$1001,T2)&gt;1,"DUPLICADO","OK"))</f>
      </c>
      <c r="W2" s="6">
        <f>IF(M2="","vazio",IF(OR(AND(LEN(SUBSTITUTE(SUBSTITUTE(SUBSTITUTE(SUBSTITUTE(SUBSTITUTE(SUBSTITUTE(SUBSTITUTE(TRIM(M2),".",""),"/",""),"-","")," ",""),"(",""),")",""),"+",""))=10,LEFT(SUBSTITUTE(SUBSTITUTE(SUBSTITUTE(SUBSTITUTE(SUBSTITUTE(SUBSTITUTE(SUBSTITUTE(TRIM(M2),".",""),"/",""),"-","")," ",""),"(",""),")",""),"+",""),1)&lt;&gt;"0"),AND(LEN(SUBSTITUTE(SUBSTITUTE(SUBSTITUTE(SUBSTITUTE(SUBSTITUTE(SUBSTITUTE(SUBSTITUTE(TRIM(M2),".",""),"/",""),"-","")," ",""),"(",""),")",""),"+",""))=11,LEFT(SUBSTITUTE(SUBSTITUTE(SUBSTITUTE(SUBSTITUTE(SUBSTITUTE(SUBSTITUTE(SUBSTITUTE(TRIM(M2),".",""),"/",""),"-","")," ",""),"(",""),")",""),"+",""),4)="0800")),"OK",IF(AND(LEN(SUBSTITUTE(SUBSTITUTE(SUBSTITUTE(SUBSTITUTE(SUBSTITUTE(SUBSTITUTE(SUBSTITUTE(TRIM(M2),".",""),"/",""),"-","")," ",""),"(",""),")",""),"+",""))=11,MID(SUBSTITUTE(SUBSTITUTE(SUBSTITUTE(SUBSTITUTE(SUBSTITUTE(SUBSTITUTE(SUBSTITUTE(TRIM(M2),".",""),"/",""),"-","")," ",""),"(",""),")",""),"+",""),3,1)="9"),"ERRO: é celular, use a coluna Celular","ERRO: DDD + 8 dígitos ou 0800 + 7")))</f>
      </c>
      <c r="X2" s="6">
        <f>IF(N2="","vazio",IF(AND(LEN(SUBSTITUTE(SUBSTITUTE(SUBSTITUTE(SUBSTITUTE(SUBSTITUTE(SUBSTITUTE(SUBSTITUTE(TRIM(N2),".",""),"/",""),"-","")," ",""),"(",""),")",""),"+",""))=11,MID(SUBSTITUTE(SUBSTITUTE(SUBSTITUTE(SUBSTITUTE(SUBSTITUTE(SUBSTITUTE(SUBSTITUTE(TRIM(N2),".",""),"/",""),"-","")," ",""),"(",""),")",""),"+",""),3,1)="9",LEFT(SUBSTITUTE(SUBSTITUTE(SUBSTITUTE(SUBSTITUTE(SUBSTITUTE(SUBSTITUTE(SUBSTITUTE(TRIM(N2),".",""),"/",""),"-","")," ",""),"(",""),")",""),"+",""),1)&lt;&gt;"0"),"OK",IF(LEN(SUBSTITUTE(SUBSTITUTE(SUBSTITUTE(SUBSTITUTE(SUBSTITUTE(SUBSTITUTE(SUBSTITUTE(TRIM(N2),".",""),"/",""),"-","")," ",""),"(",""),")",""),"+",""))=10,"ERRO: é fixo (ou falta o 9), use a coluna Telefone fixo","ERRO: DDD + 9 + 8 dígitos")))</f>
      </c>
      <c r="Y2" s="6">
        <f>IF(O2="","vazio",IF(AND(ISNUMBER(FIND("@",O2)),ISNUMBER(FIND(".",MID(O2,FIND("@",O2),99))),NOT(ISNUMBER(FIND(" ",TRIM(O2)))),NOT(ISNUMBER(FIND(";",O2))),NOT(ISNUMBER(FIND(",",O2)))),"OK","ERRO: um e-mail válido por linha"))</f>
      </c>
      <c r="Z2" s="6">
        <f>IF(AND(J2="",K2=""),"",IF(AND(J2&lt;&gt;"",K2&lt;&gt;""),"OK","pendente: só um nome (o GR completa ao converter)"))</f>
      </c>
      <c r="AA2" s="6">
        <f>IF(COUNTA(A2:S2)=0,"",IF(AND(A2&lt;&gt;"",B2&lt;&gt;"",C2&lt;&gt;"",D2&lt;&gt;"",E2&lt;&gt;"",F2&lt;&gt;"",G2&lt;&gt;"",H2&lt;&gt;"",OR(J2&lt;&gt;"",K2&lt;&gt;""),OR(M2&lt;&gt;"",N2&lt;&gt;"",O2&lt;&gt;"")),"OK","ERRO: faltam "&amp;IF(A2="","SDR; ","")&amp;IF(B2="","Proprietário; ","")&amp;IF(C2="","Origem; ","")&amp;IF(D2="","Temperatura; ","")&amp;IF(E2="","Segmento; ","")&amp;IF(F2="","Time/Cluster; ","")&amp;IF(G2="","CNPJ; ","")&amp;IF(H2="","Razão Social; ","")&amp;IF(AND(J2="",K2=""),"nome do contato; ","")&amp;IF(AND(M2="",N2="",O2=""),"telefone, celular ou e-mail; ","")))</f>
      </c>
      <c r="AB2" s="6">
        <f>IF(COUNTA(A2:S2)=0,"",IF(AND(U2="OK",V2="OK",LEFT(W2,4)&lt;&gt;"ERRO",LEFT(X2,4)&lt;&gt;"ERRO",LEFT(Y2,4)&lt;&gt;"ERRO",AA2="OK"),"OK","REVISAR"))</f>
      </c>
    </row>
    <row r="3">
      <c r="A3" s="5"/>
      <c r="B3" s="5"/>
      <c r="C3" s="5"/>
      <c r="D3" s="5"/>
      <c r="E3" s="5"/>
      <c r="F3" s="5"/>
      <c r="G3" s="5"/>
      <c r="H3" s="5"/>
      <c r="I3" s="4"/>
      <c r="J3" s="5"/>
      <c r="K3" s="4"/>
      <c r="L3" s="4"/>
      <c r="M3" s="4"/>
      <c r="N3" s="4"/>
      <c r="O3" s="4"/>
      <c r="P3" s="4"/>
      <c r="Q3" s="4"/>
      <c r="R3" s="4"/>
      <c r="S3" s="4"/>
      <c r="T3" s="6">
        <f>IF(G3="","",SUBSTITUTE(SUBSTITUTE(SUBSTITUTE(SUBSTITUTE(SUBSTITUTE(SUBSTITUTE(SUBSTITUTE(TRIM(G3),".",""),"/",""),"-","")," ",""),"(",""),")",""),"+",""))</f>
      </c>
      <c r="U3" s="6">
        <f>IF(T3="","",IF(LEN(T3)&lt;&gt;14,"ERRO: "&amp;LEN(T3)&amp;" dígitos",IF(NOT(ISNUMBER(VALUE(T3))),"ERRO: não numérico",IF(LEN(SUBSTITUTE(T3,LEFT(T3,1),""))=0,"ERRO: dígitos repetidos",IF(AND(VALUE(MID(T3,13,1))=IF(MOD(SUMPRODUCT(--MID(T3,{1,2,3,4,5,6,7,8,9,10,11,12},1),{5,4,3,2,9,8,7,6,5,4,3,2}),11)&lt;2,0,11-MOD(SUMPRODUCT(--MID(T3,{1,2,3,4,5,6,7,8,9,10,11,12},1),{5,4,3,2,9,8,7,6,5,4,3,2}),11)),VALUE(MID(T3,14,1))=IF(MOD(SUMPRODUCT(--MID(T3,{1,2,3,4,5,6,7,8,9,10,11,12,13},1),{6,5,4,3,2,9,8,7,6,5,4,3,2}),11)&lt;2,0,11-MOD(SUMPRODUCT(--MID(T3,{1,2,3,4,5,6,7,8,9,10,11,12,13},1),{6,5,4,3,2,9,8,7,6,5,4,3,2}),11))),"OK","ERRO: dígito verificador")))))</f>
      </c>
      <c r="V3" s="6">
        <f>IF(T3="","",IF(COUNTIF($T$2:$T$1001,T3)&gt;1,"DUPLICADO","OK"))</f>
      </c>
      <c r="W3" s="6">
        <f>IF(M3="","vazio",IF(OR(AND(LEN(SUBSTITUTE(SUBSTITUTE(SUBSTITUTE(SUBSTITUTE(SUBSTITUTE(SUBSTITUTE(SUBSTITUTE(TRIM(M3),".",""),"/",""),"-","")," ",""),"(",""),")",""),"+",""))=10,LEFT(SUBSTITUTE(SUBSTITUTE(SUBSTITUTE(SUBSTITUTE(SUBSTITUTE(SUBSTITUTE(SUBSTITUTE(TRIM(M3),".",""),"/",""),"-","")," ",""),"(",""),")",""),"+",""),1)&lt;&gt;"0"),AND(LEN(SUBSTITUTE(SUBSTITUTE(SUBSTITUTE(SUBSTITUTE(SUBSTITUTE(SUBSTITUTE(SUBSTITUTE(TRIM(M3),".",""),"/",""),"-","")," ",""),"(",""),")",""),"+",""))=11,LEFT(SUBSTITUTE(SUBSTITUTE(SUBSTITUTE(SUBSTITUTE(SUBSTITUTE(SUBSTITUTE(SUBSTITUTE(TRIM(M3),".",""),"/",""),"-","")," ",""),"(",""),")",""),"+",""),4)="0800")),"OK",IF(AND(LEN(SUBSTITUTE(SUBSTITUTE(SUBSTITUTE(SUBSTITUTE(SUBSTITUTE(SUBSTITUTE(SUBSTITUTE(TRIM(M3),".",""),"/",""),"-","")," ",""),"(",""),")",""),"+",""))=11,MID(SUBSTITUTE(SUBSTITUTE(SUBSTITUTE(SUBSTITUTE(SUBSTITUTE(SUBSTITUTE(SUBSTITUTE(TRIM(M3),".",""),"/",""),"-","")," ",""),"(",""),")",""),"+",""),3,1)="9"),"ERRO: é celular, use a coluna Celular","ERRO: DDD + 8 dígitos ou 0800 + 7")))</f>
      </c>
      <c r="X3" s="6">
        <f>IF(N3="","vazio",IF(AND(LEN(SUBSTITUTE(SUBSTITUTE(SUBSTITUTE(SUBSTITUTE(SUBSTITUTE(SUBSTITUTE(SUBSTITUTE(TRIM(N3),".",""),"/",""),"-","")," ",""),"(",""),")",""),"+",""))=11,MID(SUBSTITUTE(SUBSTITUTE(SUBSTITUTE(SUBSTITUTE(SUBSTITUTE(SUBSTITUTE(SUBSTITUTE(TRIM(N3),".",""),"/",""),"-","")," ",""),"(",""),")",""),"+",""),3,1)="9",LEFT(SUBSTITUTE(SUBSTITUTE(SUBSTITUTE(SUBSTITUTE(SUBSTITUTE(SUBSTITUTE(SUBSTITUTE(TRIM(N3),".",""),"/",""),"-","")," ",""),"(",""),")",""),"+",""),1)&lt;&gt;"0"),"OK",IF(LEN(SUBSTITUTE(SUBSTITUTE(SUBSTITUTE(SUBSTITUTE(SUBSTITUTE(SUBSTITUTE(SUBSTITUTE(TRIM(N3),".",""),"/",""),"-","")," ",""),"(",""),")",""),"+",""))=10,"ERRO: é fixo (ou falta o 9), use a coluna Telefone fixo","ERRO: DDD + 9 + 8 dígitos")))</f>
      </c>
      <c r="Y3" s="6">
        <f>IF(O3="","vazio",IF(AND(ISNUMBER(FIND("@",O3)),ISNUMBER(FIND(".",MID(O3,FIND("@",O3),99))),NOT(ISNUMBER(FIND(" ",TRIM(O3)))),NOT(ISNUMBER(FIND(";",O3))),NOT(ISNUMBER(FIND(",",O3)))),"OK","ERRO: um e-mail válido por linha"))</f>
      </c>
      <c r="Z3" s="6">
        <f>IF(AND(J3="",K3=""),"",IF(AND(J3&lt;&gt;"",K3&lt;&gt;""),"OK","pendente: só um nome (o GR completa ao converter)"))</f>
      </c>
      <c r="AA3" s="6">
        <f>IF(COUNTA(A3:S3)=0,"",IF(AND(A3&lt;&gt;"",B3&lt;&gt;"",C3&lt;&gt;"",D3&lt;&gt;"",E3&lt;&gt;"",F3&lt;&gt;"",G3&lt;&gt;"",H3&lt;&gt;"",OR(J3&lt;&gt;"",K3&lt;&gt;""),OR(M3&lt;&gt;"",N3&lt;&gt;"",O3&lt;&gt;"")),"OK","ERRO: faltam "&amp;IF(A3="","SDR; ","")&amp;IF(B3="","Proprietário; ","")&amp;IF(C3="","Origem; ","")&amp;IF(D3="","Temperatura; ","")&amp;IF(E3="","Segmento; ","")&amp;IF(F3="","Time/Cluster; ","")&amp;IF(G3="","CNPJ; ","")&amp;IF(H3="","Razão Social; ","")&amp;IF(AND(J3="",K3=""),"nome do contato; ","")&amp;IF(AND(M3="",N3="",O3=""),"telefone, celular ou e-mail; ","")))</f>
      </c>
      <c r="AB3" s="6">
        <f>IF(COUNTA(A3:S3)=0,"",IF(AND(U3="OK",V3="OK",LEFT(W3,4)&lt;&gt;"ERRO",LEFT(X3,4)&lt;&gt;"ERRO",LEFT(Y3,4)&lt;&gt;"ERRO",AA3="OK"),"OK","REVISAR"))</f>
      </c>
    </row>
    <row r="4">
      <c r="A4" s="5"/>
      <c r="B4" s="5"/>
      <c r="C4" s="5"/>
      <c r="D4" s="5"/>
      <c r="E4" s="5"/>
      <c r="F4" s="5"/>
      <c r="G4" s="5"/>
      <c r="H4" s="5"/>
      <c r="I4" s="4"/>
      <c r="J4" s="5"/>
      <c r="K4" s="4"/>
      <c r="L4" s="4"/>
      <c r="M4" s="4"/>
      <c r="N4" s="4"/>
      <c r="O4" s="4"/>
      <c r="P4" s="4"/>
      <c r="Q4" s="4"/>
      <c r="R4" s="4"/>
      <c r="S4" s="4"/>
      <c r="T4" s="6">
        <f>IF(G4="","",SUBSTITUTE(SUBSTITUTE(SUBSTITUTE(SUBSTITUTE(SUBSTITUTE(SUBSTITUTE(SUBSTITUTE(TRIM(G4),".",""),"/",""),"-","")," ",""),"(",""),")",""),"+",""))</f>
      </c>
      <c r="U4" s="6">
        <f>IF(T4="","",IF(LEN(T4)&lt;&gt;14,"ERRO: "&amp;LEN(T4)&amp;" dígitos",IF(NOT(ISNUMBER(VALUE(T4))),"ERRO: não numérico",IF(LEN(SUBSTITUTE(T4,LEFT(T4,1),""))=0,"ERRO: dígitos repetidos",IF(AND(VALUE(MID(T4,13,1))=IF(MOD(SUMPRODUCT(--MID(T4,{1,2,3,4,5,6,7,8,9,10,11,12},1),{5,4,3,2,9,8,7,6,5,4,3,2}),11)&lt;2,0,11-MOD(SUMPRODUCT(--MID(T4,{1,2,3,4,5,6,7,8,9,10,11,12},1),{5,4,3,2,9,8,7,6,5,4,3,2}),11)),VALUE(MID(T4,14,1))=IF(MOD(SUMPRODUCT(--MID(T4,{1,2,3,4,5,6,7,8,9,10,11,12,13},1),{6,5,4,3,2,9,8,7,6,5,4,3,2}),11)&lt;2,0,11-MOD(SUMPRODUCT(--MID(T4,{1,2,3,4,5,6,7,8,9,10,11,12,13},1),{6,5,4,3,2,9,8,7,6,5,4,3,2}),11))),"OK","ERRO: dígito verificador")))))</f>
      </c>
      <c r="V4" s="6">
        <f>IF(T4="","",IF(COUNTIF($T$2:$T$1001,T4)&gt;1,"DUPLICADO","OK"))</f>
      </c>
      <c r="W4" s="6">
        <f>IF(M4="","vazio",IF(OR(AND(LEN(SUBSTITUTE(SUBSTITUTE(SUBSTITUTE(SUBSTITUTE(SUBSTITUTE(SUBSTITUTE(SUBSTITUTE(TRIM(M4),".",""),"/",""),"-","")," ",""),"(",""),")",""),"+",""))=10,LEFT(SUBSTITUTE(SUBSTITUTE(SUBSTITUTE(SUBSTITUTE(SUBSTITUTE(SUBSTITUTE(SUBSTITUTE(TRIM(M4),".",""),"/",""),"-","")," ",""),"(",""),")",""),"+",""),1)&lt;&gt;"0"),AND(LEN(SUBSTITUTE(SUBSTITUTE(SUBSTITUTE(SUBSTITUTE(SUBSTITUTE(SUBSTITUTE(SUBSTITUTE(TRIM(M4),".",""),"/",""),"-","")," ",""),"(",""),")",""),"+",""))=11,LEFT(SUBSTITUTE(SUBSTITUTE(SUBSTITUTE(SUBSTITUTE(SUBSTITUTE(SUBSTITUTE(SUBSTITUTE(TRIM(M4),".",""),"/",""),"-","")," ",""),"(",""),")",""),"+",""),4)="0800")),"OK",IF(AND(LEN(SUBSTITUTE(SUBSTITUTE(SUBSTITUTE(SUBSTITUTE(SUBSTITUTE(SUBSTITUTE(SUBSTITUTE(TRIM(M4),".",""),"/",""),"-","")," ",""),"(",""),")",""),"+",""))=11,MID(SUBSTITUTE(SUBSTITUTE(SUBSTITUTE(SUBSTITUTE(SUBSTITUTE(SUBSTITUTE(SUBSTITUTE(TRIM(M4),".",""),"/",""),"-","")," ",""),"(",""),")",""),"+",""),3,1)="9"),"ERRO: é celular, use a coluna Celular","ERRO: DDD + 8 dígitos ou 0800 + 7")))</f>
      </c>
      <c r="X4" s="6">
        <f>IF(N4="","vazio",IF(AND(LEN(SUBSTITUTE(SUBSTITUTE(SUBSTITUTE(SUBSTITUTE(SUBSTITUTE(SUBSTITUTE(SUBSTITUTE(TRIM(N4),".",""),"/",""),"-","")," ",""),"(",""),")",""),"+",""))=11,MID(SUBSTITUTE(SUBSTITUTE(SUBSTITUTE(SUBSTITUTE(SUBSTITUTE(SUBSTITUTE(SUBSTITUTE(TRIM(N4),".",""),"/",""),"-","")," ",""),"(",""),")",""),"+",""),3,1)="9",LEFT(SUBSTITUTE(SUBSTITUTE(SUBSTITUTE(SUBSTITUTE(SUBSTITUTE(SUBSTITUTE(SUBSTITUTE(TRIM(N4),".",""),"/",""),"-","")," ",""),"(",""),")",""),"+",""),1)&lt;&gt;"0"),"OK",IF(LEN(SUBSTITUTE(SUBSTITUTE(SUBSTITUTE(SUBSTITUTE(SUBSTITUTE(SUBSTITUTE(SUBSTITUTE(TRIM(N4),".",""),"/",""),"-","")," ",""),"(",""),")",""),"+",""))=10,"ERRO: é fixo (ou falta o 9), use a coluna Telefone fixo","ERRO: DDD + 9 + 8 dígitos")))</f>
      </c>
      <c r="Y4" s="6">
        <f>IF(O4="","vazio",IF(AND(ISNUMBER(FIND("@",O4)),ISNUMBER(FIND(".",MID(O4,FIND("@",O4),99))),NOT(ISNUMBER(FIND(" ",TRIM(O4)))),NOT(ISNUMBER(FIND(";",O4))),NOT(ISNUMBER(FIND(",",O4)))),"OK","ERRO: um e-mail válido por linha"))</f>
      </c>
      <c r="Z4" s="6">
        <f>IF(AND(J4="",K4=""),"",IF(AND(J4&lt;&gt;"",K4&lt;&gt;""),"OK","pendente: só um nome (o GR completa ao converter)"))</f>
      </c>
      <c r="AA4" s="6">
        <f>IF(COUNTA(A4:S4)=0,"",IF(AND(A4&lt;&gt;"",B4&lt;&gt;"",C4&lt;&gt;"",D4&lt;&gt;"",E4&lt;&gt;"",F4&lt;&gt;"",G4&lt;&gt;"",H4&lt;&gt;"",OR(J4&lt;&gt;"",K4&lt;&gt;""),OR(M4&lt;&gt;"",N4&lt;&gt;"",O4&lt;&gt;"")),"OK","ERRO: faltam "&amp;IF(A4="","SDR; ","")&amp;IF(B4="","Proprietário; ","")&amp;IF(C4="","Origem; ","")&amp;IF(D4="","Temperatura; ","")&amp;IF(E4="","Segmento; ","")&amp;IF(F4="","Time/Cluster; ","")&amp;IF(G4="","CNPJ; ","")&amp;IF(H4="","Razão Social; ","")&amp;IF(AND(J4="",K4=""),"nome do contato; ","")&amp;IF(AND(M4="",N4="",O4=""),"telefone, celular ou e-mail; ","")))</f>
      </c>
      <c r="AB4" s="6">
        <f>IF(COUNTA(A4:S4)=0,"",IF(AND(U4="OK",V4="OK",LEFT(W4,4)&lt;&gt;"ERRO",LEFT(X4,4)&lt;&gt;"ERRO",LEFT(Y4,4)&lt;&gt;"ERRO",AA4="OK"),"OK","REVISAR"))</f>
      </c>
    </row>
    <row r="5">
      <c r="A5" s="5"/>
      <c r="B5" s="5"/>
      <c r="C5" s="5"/>
      <c r="D5" s="5"/>
      <c r="E5" s="5"/>
      <c r="F5" s="5"/>
      <c r="G5" s="5"/>
      <c r="H5" s="5"/>
      <c r="I5" s="4"/>
      <c r="J5" s="5"/>
      <c r="K5" s="4"/>
      <c r="L5" s="4"/>
      <c r="M5" s="4"/>
      <c r="N5" s="4"/>
      <c r="O5" s="4"/>
      <c r="P5" s="4"/>
      <c r="Q5" s="4"/>
      <c r="R5" s="4"/>
      <c r="S5" s="4"/>
      <c r="T5" s="6">
        <f>IF(G5="","",SUBSTITUTE(SUBSTITUTE(SUBSTITUTE(SUBSTITUTE(SUBSTITUTE(SUBSTITUTE(SUBSTITUTE(TRIM(G5),".",""),"/",""),"-","")," ",""),"(",""),")",""),"+",""))</f>
      </c>
      <c r="U5" s="6">
        <f>IF(T5="","",IF(LEN(T5)&lt;&gt;14,"ERRO: "&amp;LEN(T5)&amp;" dígitos",IF(NOT(ISNUMBER(VALUE(T5))),"ERRO: não numérico",IF(LEN(SUBSTITUTE(T5,LEFT(T5,1),""))=0,"ERRO: dígitos repetidos",IF(AND(VALUE(MID(T5,13,1))=IF(MOD(SUMPRODUCT(--MID(T5,{1,2,3,4,5,6,7,8,9,10,11,12},1),{5,4,3,2,9,8,7,6,5,4,3,2}),11)&lt;2,0,11-MOD(SUMPRODUCT(--MID(T5,{1,2,3,4,5,6,7,8,9,10,11,12},1),{5,4,3,2,9,8,7,6,5,4,3,2}),11)),VALUE(MID(T5,14,1))=IF(MOD(SUMPRODUCT(--MID(T5,{1,2,3,4,5,6,7,8,9,10,11,12,13},1),{6,5,4,3,2,9,8,7,6,5,4,3,2}),11)&lt;2,0,11-MOD(SUMPRODUCT(--MID(T5,{1,2,3,4,5,6,7,8,9,10,11,12,13},1),{6,5,4,3,2,9,8,7,6,5,4,3,2}),11))),"OK","ERRO: dígito verificador")))))</f>
      </c>
      <c r="V5" s="6">
        <f>IF(T5="","",IF(COUNTIF($T$2:$T$1001,T5)&gt;1,"DUPLICADO","OK"))</f>
      </c>
      <c r="W5" s="6">
        <f>IF(M5="","vazio",IF(OR(AND(LEN(SUBSTITUTE(SUBSTITUTE(SUBSTITUTE(SUBSTITUTE(SUBSTITUTE(SUBSTITUTE(SUBSTITUTE(TRIM(M5),".",""),"/",""),"-","")," ",""),"(",""),")",""),"+",""))=10,LEFT(SUBSTITUTE(SUBSTITUTE(SUBSTITUTE(SUBSTITUTE(SUBSTITUTE(SUBSTITUTE(SUBSTITUTE(TRIM(M5),".",""),"/",""),"-","")," ",""),"(",""),")",""),"+",""),1)&lt;&gt;"0"),AND(LEN(SUBSTITUTE(SUBSTITUTE(SUBSTITUTE(SUBSTITUTE(SUBSTITUTE(SUBSTITUTE(SUBSTITUTE(TRIM(M5),".",""),"/",""),"-","")," ",""),"(",""),")",""),"+",""))=11,LEFT(SUBSTITUTE(SUBSTITUTE(SUBSTITUTE(SUBSTITUTE(SUBSTITUTE(SUBSTITUTE(SUBSTITUTE(TRIM(M5),".",""),"/",""),"-","")," ",""),"(",""),")",""),"+",""),4)="0800")),"OK",IF(AND(LEN(SUBSTITUTE(SUBSTITUTE(SUBSTITUTE(SUBSTITUTE(SUBSTITUTE(SUBSTITUTE(SUBSTITUTE(TRIM(M5),".",""),"/",""),"-","")," ",""),"(",""),")",""),"+",""))=11,MID(SUBSTITUTE(SUBSTITUTE(SUBSTITUTE(SUBSTITUTE(SUBSTITUTE(SUBSTITUTE(SUBSTITUTE(TRIM(M5),".",""),"/",""),"-","")," ",""),"(",""),")",""),"+",""),3,1)="9"),"ERRO: é celular, use a coluna Celular","ERRO: DDD + 8 dígitos ou 0800 + 7")))</f>
      </c>
      <c r="X5" s="6">
        <f>IF(N5="","vazio",IF(AND(LEN(SUBSTITUTE(SUBSTITUTE(SUBSTITUTE(SUBSTITUTE(SUBSTITUTE(SUBSTITUTE(SUBSTITUTE(TRIM(N5),".",""),"/",""),"-","")," ",""),"(",""),")",""),"+",""))=11,MID(SUBSTITUTE(SUBSTITUTE(SUBSTITUTE(SUBSTITUTE(SUBSTITUTE(SUBSTITUTE(SUBSTITUTE(TRIM(N5),".",""),"/",""),"-","")," ",""),"(",""),")",""),"+",""),3,1)="9",LEFT(SUBSTITUTE(SUBSTITUTE(SUBSTITUTE(SUBSTITUTE(SUBSTITUTE(SUBSTITUTE(SUBSTITUTE(TRIM(N5),".",""),"/",""),"-","")," ",""),"(",""),")",""),"+",""),1)&lt;&gt;"0"),"OK",IF(LEN(SUBSTITUTE(SUBSTITUTE(SUBSTITUTE(SUBSTITUTE(SUBSTITUTE(SUBSTITUTE(SUBSTITUTE(TRIM(N5),".",""),"/",""),"-","")," ",""),"(",""),")",""),"+",""))=10,"ERRO: é fixo (ou falta o 9), use a coluna Telefone fixo","ERRO: DDD + 9 + 8 dígitos")))</f>
      </c>
      <c r="Y5" s="6">
        <f>IF(O5="","vazio",IF(AND(ISNUMBER(FIND("@",O5)),ISNUMBER(FIND(".",MID(O5,FIND("@",O5),99))),NOT(ISNUMBER(FIND(" ",TRIM(O5)))),NOT(ISNUMBER(FIND(";",O5))),NOT(ISNUMBER(FIND(",",O5)))),"OK","ERRO: um e-mail válido por linha"))</f>
      </c>
      <c r="Z5" s="6">
        <f>IF(AND(J5="",K5=""),"",IF(AND(J5&lt;&gt;"",K5&lt;&gt;""),"OK","pendente: só um nome (o GR completa ao converter)"))</f>
      </c>
      <c r="AA5" s="6">
        <f>IF(COUNTA(A5:S5)=0,"",IF(AND(A5&lt;&gt;"",B5&lt;&gt;"",C5&lt;&gt;"",D5&lt;&gt;"",E5&lt;&gt;"",F5&lt;&gt;"",G5&lt;&gt;"",H5&lt;&gt;"",OR(J5&lt;&gt;"",K5&lt;&gt;""),OR(M5&lt;&gt;"",N5&lt;&gt;"",O5&lt;&gt;"")),"OK","ERRO: faltam "&amp;IF(A5="","SDR; ","")&amp;IF(B5="","Proprietário; ","")&amp;IF(C5="","Origem; ","")&amp;IF(D5="","Temperatura; ","")&amp;IF(E5="","Segmento; ","")&amp;IF(F5="","Time/Cluster; ","")&amp;IF(G5="","CNPJ; ","")&amp;IF(H5="","Razão Social; ","")&amp;IF(AND(J5="",K5=""),"nome do contato; ","")&amp;IF(AND(M5="",N5="",O5=""),"telefone, celular ou e-mail; ","")))</f>
      </c>
      <c r="AB5" s="6">
        <f>IF(COUNTA(A5:S5)=0,"",IF(AND(U5="OK",V5="OK",LEFT(W5,4)&lt;&gt;"ERRO",LEFT(X5,4)&lt;&gt;"ERRO",LEFT(Y5,4)&lt;&gt;"ERRO",AA5="OK"),"OK","REVISAR"))</f>
      </c>
    </row>
    <row r="6">
      <c r="A6" s="5"/>
      <c r="B6" s="5"/>
      <c r="C6" s="5"/>
      <c r="D6" s="5"/>
      <c r="E6" s="5"/>
      <c r="F6" s="5"/>
      <c r="G6" s="5"/>
      <c r="H6" s="5"/>
      <c r="I6" s="4"/>
      <c r="J6" s="5"/>
      <c r="K6" s="4"/>
      <c r="L6" s="4"/>
      <c r="M6" s="4"/>
      <c r="N6" s="4"/>
      <c r="O6" s="4"/>
      <c r="P6" s="4"/>
      <c r="Q6" s="4"/>
      <c r="R6" s="4"/>
      <c r="S6" s="4"/>
      <c r="T6" s="6">
        <f>IF(G6="","",SUBSTITUTE(SUBSTITUTE(SUBSTITUTE(SUBSTITUTE(SUBSTITUTE(SUBSTITUTE(SUBSTITUTE(TRIM(G6),".",""),"/",""),"-","")," ",""),"(",""),")",""),"+",""))</f>
      </c>
      <c r="U6" s="6">
        <f>IF(T6="","",IF(LEN(T6)&lt;&gt;14,"ERRO: "&amp;LEN(T6)&amp;" dígitos",IF(NOT(ISNUMBER(VALUE(T6))),"ERRO: não numérico",IF(LEN(SUBSTITUTE(T6,LEFT(T6,1),""))=0,"ERRO: dígitos repetidos",IF(AND(VALUE(MID(T6,13,1))=IF(MOD(SUMPRODUCT(--MID(T6,{1,2,3,4,5,6,7,8,9,10,11,12},1),{5,4,3,2,9,8,7,6,5,4,3,2}),11)&lt;2,0,11-MOD(SUMPRODUCT(--MID(T6,{1,2,3,4,5,6,7,8,9,10,11,12},1),{5,4,3,2,9,8,7,6,5,4,3,2}),11)),VALUE(MID(T6,14,1))=IF(MOD(SUMPRODUCT(--MID(T6,{1,2,3,4,5,6,7,8,9,10,11,12,13},1),{6,5,4,3,2,9,8,7,6,5,4,3,2}),11)&lt;2,0,11-MOD(SUMPRODUCT(--MID(T6,{1,2,3,4,5,6,7,8,9,10,11,12,13},1),{6,5,4,3,2,9,8,7,6,5,4,3,2}),11))),"OK","ERRO: dígito verificador")))))</f>
      </c>
      <c r="V6" s="6">
        <f>IF(T6="","",IF(COUNTIF($T$2:$T$1001,T6)&gt;1,"DUPLICADO","OK"))</f>
      </c>
      <c r="W6" s="6">
        <f>IF(M6="","vazio",IF(OR(AND(LEN(SUBSTITUTE(SUBSTITUTE(SUBSTITUTE(SUBSTITUTE(SUBSTITUTE(SUBSTITUTE(SUBSTITUTE(TRIM(M6),".",""),"/",""),"-","")," ",""),"(",""),")",""),"+",""))=10,LEFT(SUBSTITUTE(SUBSTITUTE(SUBSTITUTE(SUBSTITUTE(SUBSTITUTE(SUBSTITUTE(SUBSTITUTE(TRIM(M6),".",""),"/",""),"-","")," ",""),"(",""),")",""),"+",""),1)&lt;&gt;"0"),AND(LEN(SUBSTITUTE(SUBSTITUTE(SUBSTITUTE(SUBSTITUTE(SUBSTITUTE(SUBSTITUTE(SUBSTITUTE(TRIM(M6),".",""),"/",""),"-","")," ",""),"(",""),")",""),"+",""))=11,LEFT(SUBSTITUTE(SUBSTITUTE(SUBSTITUTE(SUBSTITUTE(SUBSTITUTE(SUBSTITUTE(SUBSTITUTE(TRIM(M6),".",""),"/",""),"-","")," ",""),"(",""),")",""),"+",""),4)="0800")),"OK",IF(AND(LEN(SUBSTITUTE(SUBSTITUTE(SUBSTITUTE(SUBSTITUTE(SUBSTITUTE(SUBSTITUTE(SUBSTITUTE(TRIM(M6),".",""),"/",""),"-","")," ",""),"(",""),")",""),"+",""))=11,MID(SUBSTITUTE(SUBSTITUTE(SUBSTITUTE(SUBSTITUTE(SUBSTITUTE(SUBSTITUTE(SUBSTITUTE(TRIM(M6),".",""),"/",""),"-","")," ",""),"(",""),")",""),"+",""),3,1)="9"),"ERRO: é celular, use a coluna Celular","ERRO: DDD + 8 dígitos ou 0800 + 7")))</f>
      </c>
      <c r="X6" s="6">
        <f>IF(N6="","vazio",IF(AND(LEN(SUBSTITUTE(SUBSTITUTE(SUBSTITUTE(SUBSTITUTE(SUBSTITUTE(SUBSTITUTE(SUBSTITUTE(TRIM(N6),".",""),"/",""),"-","")," ",""),"(",""),")",""),"+",""))=11,MID(SUBSTITUTE(SUBSTITUTE(SUBSTITUTE(SUBSTITUTE(SUBSTITUTE(SUBSTITUTE(SUBSTITUTE(TRIM(N6),".",""),"/",""),"-","")," ",""),"(",""),")",""),"+",""),3,1)="9",LEFT(SUBSTITUTE(SUBSTITUTE(SUBSTITUTE(SUBSTITUTE(SUBSTITUTE(SUBSTITUTE(SUBSTITUTE(TRIM(N6),".",""),"/",""),"-","")," ",""),"(",""),")",""),"+",""),1)&lt;&gt;"0"),"OK",IF(LEN(SUBSTITUTE(SUBSTITUTE(SUBSTITUTE(SUBSTITUTE(SUBSTITUTE(SUBSTITUTE(SUBSTITUTE(TRIM(N6),".",""),"/",""),"-","")," ",""),"(",""),")",""),"+",""))=10,"ERRO: é fixo (ou falta o 9), use a coluna Telefone fixo","ERRO: DDD + 9 + 8 dígitos")))</f>
      </c>
      <c r="Y6" s="6">
        <f>IF(O6="","vazio",IF(AND(ISNUMBER(FIND("@",O6)),ISNUMBER(FIND(".",MID(O6,FIND("@",O6),99))),NOT(ISNUMBER(FIND(" ",TRIM(O6)))),NOT(ISNUMBER(FIND(";",O6))),NOT(ISNUMBER(FIND(",",O6)))),"OK","ERRO: um e-mail válido por linha"))</f>
      </c>
      <c r="Z6" s="6">
        <f>IF(AND(J6="",K6=""),"",IF(AND(J6&lt;&gt;"",K6&lt;&gt;""),"OK","pendente: só um nome (o GR completa ao converter)"))</f>
      </c>
      <c r="AA6" s="6">
        <f>IF(COUNTA(A6:S6)=0,"",IF(AND(A6&lt;&gt;"",B6&lt;&gt;"",C6&lt;&gt;"",D6&lt;&gt;"",E6&lt;&gt;"",F6&lt;&gt;"",G6&lt;&gt;"",H6&lt;&gt;"",OR(J6&lt;&gt;"",K6&lt;&gt;""),OR(M6&lt;&gt;"",N6&lt;&gt;"",O6&lt;&gt;"")),"OK","ERRO: faltam "&amp;IF(A6="","SDR; ","")&amp;IF(B6="","Proprietário; ","")&amp;IF(C6="","Origem; ","")&amp;IF(D6="","Temperatura; ","")&amp;IF(E6="","Segmento; ","")&amp;IF(F6="","Time/Cluster; ","")&amp;IF(G6="","CNPJ; ","")&amp;IF(H6="","Razão Social; ","")&amp;IF(AND(J6="",K6=""),"nome do contato; ","")&amp;IF(AND(M6="",N6="",O6=""),"telefone, celular ou e-mail; ","")))</f>
      </c>
      <c r="AB6" s="6">
        <f>IF(COUNTA(A6:S6)=0,"",IF(AND(U6="OK",V6="OK",LEFT(W6,4)&lt;&gt;"ERRO",LEFT(X6,4)&lt;&gt;"ERRO",LEFT(Y6,4)&lt;&gt;"ERRO",AA6="OK"),"OK","REVISAR"))</f>
      </c>
    </row>
    <row r="7">
      <c r="A7" s="5"/>
      <c r="B7" s="5"/>
      <c r="C7" s="5"/>
      <c r="D7" s="5"/>
      <c r="E7" s="5"/>
      <c r="F7" s="5"/>
      <c r="G7" s="5"/>
      <c r="H7" s="5"/>
      <c r="I7" s="4"/>
      <c r="J7" s="5"/>
      <c r="K7" s="4"/>
      <c r="L7" s="4"/>
      <c r="M7" s="4"/>
      <c r="N7" s="4"/>
      <c r="O7" s="4"/>
      <c r="P7" s="4"/>
      <c r="Q7" s="4"/>
      <c r="R7" s="4"/>
      <c r="S7" s="4"/>
      <c r="T7" s="6">
        <f>IF(G7="","",SUBSTITUTE(SUBSTITUTE(SUBSTITUTE(SUBSTITUTE(SUBSTITUTE(SUBSTITUTE(SUBSTITUTE(TRIM(G7),".",""),"/",""),"-","")," ",""),"(",""),")",""),"+",""))</f>
      </c>
      <c r="U7" s="6">
        <f>IF(T7="","",IF(LEN(T7)&lt;&gt;14,"ERRO: "&amp;LEN(T7)&amp;" dígitos",IF(NOT(ISNUMBER(VALUE(T7))),"ERRO: não numérico",IF(LEN(SUBSTITUTE(T7,LEFT(T7,1),""))=0,"ERRO: dígitos repetidos",IF(AND(VALUE(MID(T7,13,1))=IF(MOD(SUMPRODUCT(--MID(T7,{1,2,3,4,5,6,7,8,9,10,11,12},1),{5,4,3,2,9,8,7,6,5,4,3,2}),11)&lt;2,0,11-MOD(SUMPRODUCT(--MID(T7,{1,2,3,4,5,6,7,8,9,10,11,12},1),{5,4,3,2,9,8,7,6,5,4,3,2}),11)),VALUE(MID(T7,14,1))=IF(MOD(SUMPRODUCT(--MID(T7,{1,2,3,4,5,6,7,8,9,10,11,12,13},1),{6,5,4,3,2,9,8,7,6,5,4,3,2}),11)&lt;2,0,11-MOD(SUMPRODUCT(--MID(T7,{1,2,3,4,5,6,7,8,9,10,11,12,13},1),{6,5,4,3,2,9,8,7,6,5,4,3,2}),11))),"OK","ERRO: dígito verificador")))))</f>
      </c>
      <c r="V7" s="6">
        <f>IF(T7="","",IF(COUNTIF($T$2:$T$1001,T7)&gt;1,"DUPLICADO","OK"))</f>
      </c>
      <c r="W7" s="6">
        <f>IF(M7="","vazio",IF(OR(AND(LEN(SUBSTITUTE(SUBSTITUTE(SUBSTITUTE(SUBSTITUTE(SUBSTITUTE(SUBSTITUTE(SUBSTITUTE(TRIM(M7),".",""),"/",""),"-","")," ",""),"(",""),")",""),"+",""))=10,LEFT(SUBSTITUTE(SUBSTITUTE(SUBSTITUTE(SUBSTITUTE(SUBSTITUTE(SUBSTITUTE(SUBSTITUTE(TRIM(M7),".",""),"/",""),"-","")," ",""),"(",""),")",""),"+",""),1)&lt;&gt;"0"),AND(LEN(SUBSTITUTE(SUBSTITUTE(SUBSTITUTE(SUBSTITUTE(SUBSTITUTE(SUBSTITUTE(SUBSTITUTE(TRIM(M7),".",""),"/",""),"-","")," ",""),"(",""),")",""),"+",""))=11,LEFT(SUBSTITUTE(SUBSTITUTE(SUBSTITUTE(SUBSTITUTE(SUBSTITUTE(SUBSTITUTE(SUBSTITUTE(TRIM(M7),".",""),"/",""),"-","")," ",""),"(",""),")",""),"+",""),4)="0800")),"OK",IF(AND(LEN(SUBSTITUTE(SUBSTITUTE(SUBSTITUTE(SUBSTITUTE(SUBSTITUTE(SUBSTITUTE(SUBSTITUTE(TRIM(M7),".",""),"/",""),"-","")," ",""),"(",""),")",""),"+",""))=11,MID(SUBSTITUTE(SUBSTITUTE(SUBSTITUTE(SUBSTITUTE(SUBSTITUTE(SUBSTITUTE(SUBSTITUTE(TRIM(M7),".",""),"/",""),"-","")," ",""),"(",""),")",""),"+",""),3,1)="9"),"ERRO: é celular, use a coluna Celular","ERRO: DDD + 8 dígitos ou 0800 + 7")))</f>
      </c>
      <c r="X7" s="6">
        <f>IF(N7="","vazio",IF(AND(LEN(SUBSTITUTE(SUBSTITUTE(SUBSTITUTE(SUBSTITUTE(SUBSTITUTE(SUBSTITUTE(SUBSTITUTE(TRIM(N7),".",""),"/",""),"-","")," ",""),"(",""),")",""),"+",""))=11,MID(SUBSTITUTE(SUBSTITUTE(SUBSTITUTE(SUBSTITUTE(SUBSTITUTE(SUBSTITUTE(SUBSTITUTE(TRIM(N7),".",""),"/",""),"-","")," ",""),"(",""),")",""),"+",""),3,1)="9",LEFT(SUBSTITUTE(SUBSTITUTE(SUBSTITUTE(SUBSTITUTE(SUBSTITUTE(SUBSTITUTE(SUBSTITUTE(TRIM(N7),".",""),"/",""),"-","")," ",""),"(",""),")",""),"+",""),1)&lt;&gt;"0"),"OK",IF(LEN(SUBSTITUTE(SUBSTITUTE(SUBSTITUTE(SUBSTITUTE(SUBSTITUTE(SUBSTITUTE(SUBSTITUTE(TRIM(N7),".",""),"/",""),"-","")," ",""),"(",""),")",""),"+",""))=10,"ERRO: é fixo (ou falta o 9), use a coluna Telefone fixo","ERRO: DDD + 9 + 8 dígitos")))</f>
      </c>
      <c r="Y7" s="6">
        <f>IF(O7="","vazio",IF(AND(ISNUMBER(FIND("@",O7)),ISNUMBER(FIND(".",MID(O7,FIND("@",O7),99))),NOT(ISNUMBER(FIND(" ",TRIM(O7)))),NOT(ISNUMBER(FIND(";",O7))),NOT(ISNUMBER(FIND(",",O7)))),"OK","ERRO: um e-mail válido por linha"))</f>
      </c>
      <c r="Z7" s="6">
        <f>IF(AND(J7="",K7=""),"",IF(AND(J7&lt;&gt;"",K7&lt;&gt;""),"OK","pendente: só um nome (o GR completa ao converter)"))</f>
      </c>
      <c r="AA7" s="6">
        <f>IF(COUNTA(A7:S7)=0,"",IF(AND(A7&lt;&gt;"",B7&lt;&gt;"",C7&lt;&gt;"",D7&lt;&gt;"",E7&lt;&gt;"",F7&lt;&gt;"",G7&lt;&gt;"",H7&lt;&gt;"",OR(J7&lt;&gt;"",K7&lt;&gt;""),OR(M7&lt;&gt;"",N7&lt;&gt;"",O7&lt;&gt;"")),"OK","ERRO: faltam "&amp;IF(A7="","SDR; ","")&amp;IF(B7="","Proprietário; ","")&amp;IF(C7="","Origem; ","")&amp;IF(D7="","Temperatura; ","")&amp;IF(E7="","Segmento; ","")&amp;IF(F7="","Time/Cluster; ","")&amp;IF(G7="","CNPJ; ","")&amp;IF(H7="","Razão Social; ","")&amp;IF(AND(J7="",K7=""),"nome do contato; ","")&amp;IF(AND(M7="",N7="",O7=""),"telefone, celular ou e-mail; ","")))</f>
      </c>
      <c r="AB7" s="6">
        <f>IF(COUNTA(A7:S7)=0,"",IF(AND(U7="OK",V7="OK",LEFT(W7,4)&lt;&gt;"ERRO",LEFT(X7,4)&lt;&gt;"ERRO",LEFT(Y7,4)&lt;&gt;"ERRO",AA7="OK"),"OK","REVISAR"))</f>
      </c>
    </row>
    <row r="8">
      <c r="A8" s="5"/>
      <c r="B8" s="5"/>
      <c r="C8" s="5"/>
      <c r="D8" s="5"/>
      <c r="E8" s="5"/>
      <c r="F8" s="5"/>
      <c r="G8" s="5"/>
      <c r="H8" s="5"/>
      <c r="I8" s="4"/>
      <c r="J8" s="5"/>
      <c r="K8" s="4"/>
      <c r="L8" s="4"/>
      <c r="M8" s="4"/>
      <c r="N8" s="4"/>
      <c r="O8" s="4"/>
      <c r="P8" s="4"/>
      <c r="Q8" s="4"/>
      <c r="R8" s="4"/>
      <c r="S8" s="4"/>
      <c r="T8" s="6">
        <f>IF(G8="","",SUBSTITUTE(SUBSTITUTE(SUBSTITUTE(SUBSTITUTE(SUBSTITUTE(SUBSTITUTE(SUBSTITUTE(TRIM(G8),".",""),"/",""),"-","")," ",""),"(",""),")",""),"+",""))</f>
      </c>
      <c r="U8" s="6">
        <f>IF(T8="","",IF(LEN(T8)&lt;&gt;14,"ERRO: "&amp;LEN(T8)&amp;" dígitos",IF(NOT(ISNUMBER(VALUE(T8))),"ERRO: não numérico",IF(LEN(SUBSTITUTE(T8,LEFT(T8,1),""))=0,"ERRO: dígitos repetidos",IF(AND(VALUE(MID(T8,13,1))=IF(MOD(SUMPRODUCT(--MID(T8,{1,2,3,4,5,6,7,8,9,10,11,12},1),{5,4,3,2,9,8,7,6,5,4,3,2}),11)&lt;2,0,11-MOD(SUMPRODUCT(--MID(T8,{1,2,3,4,5,6,7,8,9,10,11,12},1),{5,4,3,2,9,8,7,6,5,4,3,2}),11)),VALUE(MID(T8,14,1))=IF(MOD(SUMPRODUCT(--MID(T8,{1,2,3,4,5,6,7,8,9,10,11,12,13},1),{6,5,4,3,2,9,8,7,6,5,4,3,2}),11)&lt;2,0,11-MOD(SUMPRODUCT(--MID(T8,{1,2,3,4,5,6,7,8,9,10,11,12,13},1),{6,5,4,3,2,9,8,7,6,5,4,3,2}),11))),"OK","ERRO: dígito verificador")))))</f>
      </c>
      <c r="V8" s="6">
        <f>IF(T8="","",IF(COUNTIF($T$2:$T$1001,T8)&gt;1,"DUPLICADO","OK"))</f>
      </c>
      <c r="W8" s="6">
        <f>IF(M8="","vazio",IF(OR(AND(LEN(SUBSTITUTE(SUBSTITUTE(SUBSTITUTE(SUBSTITUTE(SUBSTITUTE(SUBSTITUTE(SUBSTITUTE(TRIM(M8),".",""),"/",""),"-","")," ",""),"(",""),")",""),"+",""))=10,LEFT(SUBSTITUTE(SUBSTITUTE(SUBSTITUTE(SUBSTITUTE(SUBSTITUTE(SUBSTITUTE(SUBSTITUTE(TRIM(M8),".",""),"/",""),"-","")," ",""),"(",""),")",""),"+",""),1)&lt;&gt;"0"),AND(LEN(SUBSTITUTE(SUBSTITUTE(SUBSTITUTE(SUBSTITUTE(SUBSTITUTE(SUBSTITUTE(SUBSTITUTE(TRIM(M8),".",""),"/",""),"-","")," ",""),"(",""),")",""),"+",""))=11,LEFT(SUBSTITUTE(SUBSTITUTE(SUBSTITUTE(SUBSTITUTE(SUBSTITUTE(SUBSTITUTE(SUBSTITUTE(TRIM(M8),".",""),"/",""),"-","")," ",""),"(",""),")",""),"+",""),4)="0800")),"OK",IF(AND(LEN(SUBSTITUTE(SUBSTITUTE(SUBSTITUTE(SUBSTITUTE(SUBSTITUTE(SUBSTITUTE(SUBSTITUTE(TRIM(M8),".",""),"/",""),"-","")," ",""),"(",""),")",""),"+",""))=11,MID(SUBSTITUTE(SUBSTITUTE(SUBSTITUTE(SUBSTITUTE(SUBSTITUTE(SUBSTITUTE(SUBSTITUTE(TRIM(M8),".",""),"/",""),"-","")," ",""),"(",""),")",""),"+",""),3,1)="9"),"ERRO: é celular, use a coluna Celular","ERRO: DDD + 8 dígitos ou 0800 + 7")))</f>
      </c>
      <c r="X8" s="6">
        <f>IF(N8="","vazio",IF(AND(LEN(SUBSTITUTE(SUBSTITUTE(SUBSTITUTE(SUBSTITUTE(SUBSTITUTE(SUBSTITUTE(SUBSTITUTE(TRIM(N8),".",""),"/",""),"-","")," ",""),"(",""),")",""),"+",""))=11,MID(SUBSTITUTE(SUBSTITUTE(SUBSTITUTE(SUBSTITUTE(SUBSTITUTE(SUBSTITUTE(SUBSTITUTE(TRIM(N8),".",""),"/",""),"-","")," ",""),"(",""),")",""),"+",""),3,1)="9",LEFT(SUBSTITUTE(SUBSTITUTE(SUBSTITUTE(SUBSTITUTE(SUBSTITUTE(SUBSTITUTE(SUBSTITUTE(TRIM(N8),".",""),"/",""),"-","")," ",""),"(",""),")",""),"+",""),1)&lt;&gt;"0"),"OK",IF(LEN(SUBSTITUTE(SUBSTITUTE(SUBSTITUTE(SUBSTITUTE(SUBSTITUTE(SUBSTITUTE(SUBSTITUTE(TRIM(N8),".",""),"/",""),"-","")," ",""),"(",""),")",""),"+",""))=10,"ERRO: é fixo (ou falta o 9), use a coluna Telefone fixo","ERRO: DDD + 9 + 8 dígitos")))</f>
      </c>
      <c r="Y8" s="6">
        <f>IF(O8="","vazio",IF(AND(ISNUMBER(FIND("@",O8)),ISNUMBER(FIND(".",MID(O8,FIND("@",O8),99))),NOT(ISNUMBER(FIND(" ",TRIM(O8)))),NOT(ISNUMBER(FIND(";",O8))),NOT(ISNUMBER(FIND(",",O8)))),"OK","ERRO: um e-mail válido por linha"))</f>
      </c>
      <c r="Z8" s="6">
        <f>IF(AND(J8="",K8=""),"",IF(AND(J8&lt;&gt;"",K8&lt;&gt;""),"OK","pendente: só um nome (o GR completa ao converter)"))</f>
      </c>
      <c r="AA8" s="6">
        <f>IF(COUNTA(A8:S8)=0,"",IF(AND(A8&lt;&gt;"",B8&lt;&gt;"",C8&lt;&gt;"",D8&lt;&gt;"",E8&lt;&gt;"",F8&lt;&gt;"",G8&lt;&gt;"",H8&lt;&gt;"",OR(J8&lt;&gt;"",K8&lt;&gt;""),OR(M8&lt;&gt;"",N8&lt;&gt;"",O8&lt;&gt;"")),"OK","ERRO: faltam "&amp;IF(A8="","SDR; ","")&amp;IF(B8="","Proprietário; ","")&amp;IF(C8="","Origem; ","")&amp;IF(D8="","Temperatura; ","")&amp;IF(E8="","Segmento; ","")&amp;IF(F8="","Time/Cluster; ","")&amp;IF(G8="","CNPJ; ","")&amp;IF(H8="","Razão Social; ","")&amp;IF(AND(J8="",K8=""),"nome do contato; ","")&amp;IF(AND(M8="",N8="",O8=""),"telefone, celular ou e-mail; ","")))</f>
      </c>
      <c r="AB8" s="6">
        <f>IF(COUNTA(A8:S8)=0,"",IF(AND(U8="OK",V8="OK",LEFT(W8,4)&lt;&gt;"ERRO",LEFT(X8,4)&lt;&gt;"ERRO",LEFT(Y8,4)&lt;&gt;"ERRO",AA8="OK"),"OK","REVISAR"))</f>
      </c>
    </row>
    <row r="9">
      <c r="A9" s="5"/>
      <c r="B9" s="5"/>
      <c r="C9" s="5"/>
      <c r="D9" s="5"/>
      <c r="E9" s="5"/>
      <c r="F9" s="5"/>
      <c r="G9" s="5"/>
      <c r="H9" s="5"/>
      <c r="I9" s="4"/>
      <c r="J9" s="5"/>
      <c r="K9" s="4"/>
      <c r="L9" s="4"/>
      <c r="M9" s="4"/>
      <c r="N9" s="4"/>
      <c r="O9" s="4"/>
      <c r="P9" s="4"/>
      <c r="Q9" s="4"/>
      <c r="R9" s="4"/>
      <c r="S9" s="4"/>
      <c r="T9" s="6">
        <f>IF(G9="","",SUBSTITUTE(SUBSTITUTE(SUBSTITUTE(SUBSTITUTE(SUBSTITUTE(SUBSTITUTE(SUBSTITUTE(TRIM(G9),".",""),"/",""),"-","")," ",""),"(",""),")",""),"+",""))</f>
      </c>
      <c r="U9" s="6">
        <f>IF(T9="","",IF(LEN(T9)&lt;&gt;14,"ERRO: "&amp;LEN(T9)&amp;" dígitos",IF(NOT(ISNUMBER(VALUE(T9))),"ERRO: não numérico",IF(LEN(SUBSTITUTE(T9,LEFT(T9,1),""))=0,"ERRO: dígitos repetidos",IF(AND(VALUE(MID(T9,13,1))=IF(MOD(SUMPRODUCT(--MID(T9,{1,2,3,4,5,6,7,8,9,10,11,12},1),{5,4,3,2,9,8,7,6,5,4,3,2}),11)&lt;2,0,11-MOD(SUMPRODUCT(--MID(T9,{1,2,3,4,5,6,7,8,9,10,11,12},1),{5,4,3,2,9,8,7,6,5,4,3,2}),11)),VALUE(MID(T9,14,1))=IF(MOD(SUMPRODUCT(--MID(T9,{1,2,3,4,5,6,7,8,9,10,11,12,13},1),{6,5,4,3,2,9,8,7,6,5,4,3,2}),11)&lt;2,0,11-MOD(SUMPRODUCT(--MID(T9,{1,2,3,4,5,6,7,8,9,10,11,12,13},1),{6,5,4,3,2,9,8,7,6,5,4,3,2}),11))),"OK","ERRO: dígito verificador")))))</f>
      </c>
      <c r="V9" s="6">
        <f>IF(T9="","",IF(COUNTIF($T$2:$T$1001,T9)&gt;1,"DUPLICADO","OK"))</f>
      </c>
      <c r="W9" s="6">
        <f>IF(M9="","vazio",IF(OR(AND(LEN(SUBSTITUTE(SUBSTITUTE(SUBSTITUTE(SUBSTITUTE(SUBSTITUTE(SUBSTITUTE(SUBSTITUTE(TRIM(M9),".",""),"/",""),"-","")," ",""),"(",""),")",""),"+",""))=10,LEFT(SUBSTITUTE(SUBSTITUTE(SUBSTITUTE(SUBSTITUTE(SUBSTITUTE(SUBSTITUTE(SUBSTITUTE(TRIM(M9),".",""),"/",""),"-","")," ",""),"(",""),")",""),"+",""),1)&lt;&gt;"0"),AND(LEN(SUBSTITUTE(SUBSTITUTE(SUBSTITUTE(SUBSTITUTE(SUBSTITUTE(SUBSTITUTE(SUBSTITUTE(TRIM(M9),".",""),"/",""),"-","")," ",""),"(",""),")",""),"+",""))=11,LEFT(SUBSTITUTE(SUBSTITUTE(SUBSTITUTE(SUBSTITUTE(SUBSTITUTE(SUBSTITUTE(SUBSTITUTE(TRIM(M9),".",""),"/",""),"-","")," ",""),"(",""),")",""),"+",""),4)="0800")),"OK",IF(AND(LEN(SUBSTITUTE(SUBSTITUTE(SUBSTITUTE(SUBSTITUTE(SUBSTITUTE(SUBSTITUTE(SUBSTITUTE(TRIM(M9),".",""),"/",""),"-","")," ",""),"(",""),")",""),"+",""))=11,MID(SUBSTITUTE(SUBSTITUTE(SUBSTITUTE(SUBSTITUTE(SUBSTITUTE(SUBSTITUTE(SUBSTITUTE(TRIM(M9),".",""),"/",""),"-","")," ",""),"(",""),")",""),"+",""),3,1)="9"),"ERRO: é celular, use a coluna Celular","ERRO: DDD + 8 dígitos ou 0800 + 7")))</f>
      </c>
      <c r="X9" s="6">
        <f>IF(N9="","vazio",IF(AND(LEN(SUBSTITUTE(SUBSTITUTE(SUBSTITUTE(SUBSTITUTE(SUBSTITUTE(SUBSTITUTE(SUBSTITUTE(TRIM(N9),".",""),"/",""),"-","")," ",""),"(",""),")",""),"+",""))=11,MID(SUBSTITUTE(SUBSTITUTE(SUBSTITUTE(SUBSTITUTE(SUBSTITUTE(SUBSTITUTE(SUBSTITUTE(TRIM(N9),".",""),"/",""),"-","")," ",""),"(",""),")",""),"+",""),3,1)="9",LEFT(SUBSTITUTE(SUBSTITUTE(SUBSTITUTE(SUBSTITUTE(SUBSTITUTE(SUBSTITUTE(SUBSTITUTE(TRIM(N9),".",""),"/",""),"-","")," ",""),"(",""),")",""),"+",""),1)&lt;&gt;"0"),"OK",IF(LEN(SUBSTITUTE(SUBSTITUTE(SUBSTITUTE(SUBSTITUTE(SUBSTITUTE(SUBSTITUTE(SUBSTITUTE(TRIM(N9),".",""),"/",""),"-","")," ",""),"(",""),")",""),"+",""))=10,"ERRO: é fixo (ou falta o 9), use a coluna Telefone fixo","ERRO: DDD + 9 + 8 dígitos")))</f>
      </c>
      <c r="Y9" s="6">
        <f>IF(O9="","vazio",IF(AND(ISNUMBER(FIND("@",O9)),ISNUMBER(FIND(".",MID(O9,FIND("@",O9),99))),NOT(ISNUMBER(FIND(" ",TRIM(O9)))),NOT(ISNUMBER(FIND(";",O9))),NOT(ISNUMBER(FIND(",",O9)))),"OK","ERRO: um e-mail válido por linha"))</f>
      </c>
      <c r="Z9" s="6">
        <f>IF(AND(J9="",K9=""),"",IF(AND(J9&lt;&gt;"",K9&lt;&gt;""),"OK","pendente: só um nome (o GR completa ao converter)"))</f>
      </c>
      <c r="AA9" s="6">
        <f>IF(COUNTA(A9:S9)=0,"",IF(AND(A9&lt;&gt;"",B9&lt;&gt;"",C9&lt;&gt;"",D9&lt;&gt;"",E9&lt;&gt;"",F9&lt;&gt;"",G9&lt;&gt;"",H9&lt;&gt;"",OR(J9&lt;&gt;"",K9&lt;&gt;""),OR(M9&lt;&gt;"",N9&lt;&gt;"",O9&lt;&gt;"")),"OK","ERRO: faltam "&amp;IF(A9="","SDR; ","")&amp;IF(B9="","Proprietário; ","")&amp;IF(C9="","Origem; ","")&amp;IF(D9="","Temperatura; ","")&amp;IF(E9="","Segmento; ","")&amp;IF(F9="","Time/Cluster; ","")&amp;IF(G9="","CNPJ; ","")&amp;IF(H9="","Razão Social; ","")&amp;IF(AND(J9="",K9=""),"nome do contato; ","")&amp;IF(AND(M9="",N9="",O9=""),"telefone, celular ou e-mail; ","")))</f>
      </c>
      <c r="AB9" s="6">
        <f>IF(COUNTA(A9:S9)=0,"",IF(AND(U9="OK",V9="OK",LEFT(W9,4)&lt;&gt;"ERRO",LEFT(X9,4)&lt;&gt;"ERRO",LEFT(Y9,4)&lt;&gt;"ERRO",AA9="OK"),"OK","REVISAR"))</f>
      </c>
    </row>
    <row r="10">
      <c r="A10" s="5"/>
      <c r="B10" s="5"/>
      <c r="C10" s="5"/>
      <c r="D10" s="5"/>
      <c r="E10" s="5"/>
      <c r="F10" s="5"/>
      <c r="G10" s="5"/>
      <c r="H10" s="5"/>
      <c r="I10" s="4"/>
      <c r="J10" s="5"/>
      <c r="K10" s="4"/>
      <c r="L10" s="4"/>
      <c r="M10" s="4"/>
      <c r="N10" s="4"/>
      <c r="O10" s="4"/>
      <c r="P10" s="4"/>
      <c r="Q10" s="4"/>
      <c r="R10" s="4"/>
      <c r="S10" s="4"/>
      <c r="T10" s="6">
        <f>IF(G10="","",SUBSTITUTE(SUBSTITUTE(SUBSTITUTE(SUBSTITUTE(SUBSTITUTE(SUBSTITUTE(SUBSTITUTE(TRIM(G10),".",""),"/",""),"-","")," ",""),"(",""),")",""),"+",""))</f>
      </c>
      <c r="U10" s="6">
        <f>IF(T10="","",IF(LEN(T10)&lt;&gt;14,"ERRO: "&amp;LEN(T10)&amp;" dígitos",IF(NOT(ISNUMBER(VALUE(T10))),"ERRO: não numérico",IF(LEN(SUBSTITUTE(T10,LEFT(T10,1),""))=0,"ERRO: dígitos repetidos",IF(AND(VALUE(MID(T10,13,1))=IF(MOD(SUMPRODUCT(--MID(T10,{1,2,3,4,5,6,7,8,9,10,11,12},1),{5,4,3,2,9,8,7,6,5,4,3,2}),11)&lt;2,0,11-MOD(SUMPRODUCT(--MID(T10,{1,2,3,4,5,6,7,8,9,10,11,12},1),{5,4,3,2,9,8,7,6,5,4,3,2}),11)),VALUE(MID(T10,14,1))=IF(MOD(SUMPRODUCT(--MID(T10,{1,2,3,4,5,6,7,8,9,10,11,12,13},1),{6,5,4,3,2,9,8,7,6,5,4,3,2}),11)&lt;2,0,11-MOD(SUMPRODUCT(--MID(T10,{1,2,3,4,5,6,7,8,9,10,11,12,13},1),{6,5,4,3,2,9,8,7,6,5,4,3,2}),11))),"OK","ERRO: dígito verificador")))))</f>
      </c>
      <c r="V10" s="6">
        <f>IF(T10="","",IF(COUNTIF($T$2:$T$1001,T10)&gt;1,"DUPLICADO","OK"))</f>
      </c>
      <c r="W10" s="6">
        <f>IF(M10="","vazio",IF(OR(AND(LEN(SUBSTITUTE(SUBSTITUTE(SUBSTITUTE(SUBSTITUTE(SUBSTITUTE(SUBSTITUTE(SUBSTITUTE(TRIM(M10),".",""),"/",""),"-","")," ",""),"(",""),")",""),"+",""))=10,LEFT(SUBSTITUTE(SUBSTITUTE(SUBSTITUTE(SUBSTITUTE(SUBSTITUTE(SUBSTITUTE(SUBSTITUTE(TRIM(M10),".",""),"/",""),"-","")," ",""),"(",""),")",""),"+",""),1)&lt;&gt;"0"),AND(LEN(SUBSTITUTE(SUBSTITUTE(SUBSTITUTE(SUBSTITUTE(SUBSTITUTE(SUBSTITUTE(SUBSTITUTE(TRIM(M10),".",""),"/",""),"-","")," ",""),"(",""),")",""),"+",""))=11,LEFT(SUBSTITUTE(SUBSTITUTE(SUBSTITUTE(SUBSTITUTE(SUBSTITUTE(SUBSTITUTE(SUBSTITUTE(TRIM(M10),".",""),"/",""),"-","")," ",""),"(",""),")",""),"+",""),4)="0800")),"OK",IF(AND(LEN(SUBSTITUTE(SUBSTITUTE(SUBSTITUTE(SUBSTITUTE(SUBSTITUTE(SUBSTITUTE(SUBSTITUTE(TRIM(M10),".",""),"/",""),"-","")," ",""),"(",""),")",""),"+",""))=11,MID(SUBSTITUTE(SUBSTITUTE(SUBSTITUTE(SUBSTITUTE(SUBSTITUTE(SUBSTITUTE(SUBSTITUTE(TRIM(M10),".",""),"/",""),"-","")," ",""),"(",""),")",""),"+",""),3,1)="9"),"ERRO: é celular, use a coluna Celular","ERRO: DDD + 8 dígitos ou 0800 + 7")))</f>
      </c>
      <c r="X10" s="6">
        <f>IF(N10="","vazio",IF(AND(LEN(SUBSTITUTE(SUBSTITUTE(SUBSTITUTE(SUBSTITUTE(SUBSTITUTE(SUBSTITUTE(SUBSTITUTE(TRIM(N10),".",""),"/",""),"-","")," ",""),"(",""),")",""),"+",""))=11,MID(SUBSTITUTE(SUBSTITUTE(SUBSTITUTE(SUBSTITUTE(SUBSTITUTE(SUBSTITUTE(SUBSTITUTE(TRIM(N10),".",""),"/",""),"-","")," ",""),"(",""),")",""),"+",""),3,1)="9",LEFT(SUBSTITUTE(SUBSTITUTE(SUBSTITUTE(SUBSTITUTE(SUBSTITUTE(SUBSTITUTE(SUBSTITUTE(TRIM(N10),".",""),"/",""),"-","")," ",""),"(",""),")",""),"+",""),1)&lt;&gt;"0"),"OK",IF(LEN(SUBSTITUTE(SUBSTITUTE(SUBSTITUTE(SUBSTITUTE(SUBSTITUTE(SUBSTITUTE(SUBSTITUTE(TRIM(N10),".",""),"/",""),"-","")," ",""),"(",""),")",""),"+",""))=10,"ERRO: é fixo (ou falta o 9), use a coluna Telefone fixo","ERRO: DDD + 9 + 8 dígitos")))</f>
      </c>
      <c r="Y10" s="6">
        <f>IF(O10="","vazio",IF(AND(ISNUMBER(FIND("@",O10)),ISNUMBER(FIND(".",MID(O10,FIND("@",O10),99))),NOT(ISNUMBER(FIND(" ",TRIM(O10)))),NOT(ISNUMBER(FIND(";",O10))),NOT(ISNUMBER(FIND(",",O10)))),"OK","ERRO: um e-mail válido por linha"))</f>
      </c>
      <c r="Z10" s="6">
        <f>IF(AND(J10="",K10=""),"",IF(AND(J10&lt;&gt;"",K10&lt;&gt;""),"OK","pendente: só um nome (o GR completa ao converter)"))</f>
      </c>
      <c r="AA10" s="6">
        <f>IF(COUNTA(A10:S10)=0,"",IF(AND(A10&lt;&gt;"",B10&lt;&gt;"",C10&lt;&gt;"",D10&lt;&gt;"",E10&lt;&gt;"",F10&lt;&gt;"",G10&lt;&gt;"",H10&lt;&gt;"",OR(J10&lt;&gt;"",K10&lt;&gt;""),OR(M10&lt;&gt;"",N10&lt;&gt;"",O10&lt;&gt;"")),"OK","ERRO: faltam "&amp;IF(A10="","SDR; ","")&amp;IF(B10="","Proprietário; ","")&amp;IF(C10="","Origem; ","")&amp;IF(D10="","Temperatura; ","")&amp;IF(E10="","Segmento; ","")&amp;IF(F10="","Time/Cluster; ","")&amp;IF(G10="","CNPJ; ","")&amp;IF(H10="","Razão Social; ","")&amp;IF(AND(J10="",K10=""),"nome do contato; ","")&amp;IF(AND(M10="",N10="",O10=""),"telefone, celular ou e-mail; ","")))</f>
      </c>
      <c r="AB10" s="6">
        <f>IF(COUNTA(A10:S10)=0,"",IF(AND(U10="OK",V10="OK",LEFT(W10,4)&lt;&gt;"ERRO",LEFT(X10,4)&lt;&gt;"ERRO",LEFT(Y10,4)&lt;&gt;"ERRO",AA10="OK"),"OK","REVISAR"))</f>
      </c>
    </row>
    <row r="11">
      <c r="A11" s="5"/>
      <c r="B11" s="5"/>
      <c r="C11" s="5"/>
      <c r="D11" s="5"/>
      <c r="E11" s="5"/>
      <c r="F11" s="5"/>
      <c r="G11" s="5"/>
      <c r="H11" s="5"/>
      <c r="I11" s="4"/>
      <c r="J11" s="5"/>
      <c r="K11" s="4"/>
      <c r="L11" s="4"/>
      <c r="M11" s="4"/>
      <c r="N11" s="4"/>
      <c r="O11" s="4"/>
      <c r="P11" s="4"/>
      <c r="Q11" s="4"/>
      <c r="R11" s="4"/>
      <c r="S11" s="4"/>
      <c r="T11" s="6">
        <f>IF(G11="","",SUBSTITUTE(SUBSTITUTE(SUBSTITUTE(SUBSTITUTE(SUBSTITUTE(SUBSTITUTE(SUBSTITUTE(TRIM(G11),".",""),"/",""),"-","")," ",""),"(",""),")",""),"+",""))</f>
      </c>
      <c r="U11" s="6">
        <f>IF(T11="","",IF(LEN(T11)&lt;&gt;14,"ERRO: "&amp;LEN(T11)&amp;" dígitos",IF(NOT(ISNUMBER(VALUE(T11))),"ERRO: não numérico",IF(LEN(SUBSTITUTE(T11,LEFT(T11,1),""))=0,"ERRO: dígitos repetidos",IF(AND(VALUE(MID(T11,13,1))=IF(MOD(SUMPRODUCT(--MID(T11,{1,2,3,4,5,6,7,8,9,10,11,12},1),{5,4,3,2,9,8,7,6,5,4,3,2}),11)&lt;2,0,11-MOD(SUMPRODUCT(--MID(T11,{1,2,3,4,5,6,7,8,9,10,11,12},1),{5,4,3,2,9,8,7,6,5,4,3,2}),11)),VALUE(MID(T11,14,1))=IF(MOD(SUMPRODUCT(--MID(T11,{1,2,3,4,5,6,7,8,9,10,11,12,13},1),{6,5,4,3,2,9,8,7,6,5,4,3,2}),11)&lt;2,0,11-MOD(SUMPRODUCT(--MID(T11,{1,2,3,4,5,6,7,8,9,10,11,12,13},1),{6,5,4,3,2,9,8,7,6,5,4,3,2}),11))),"OK","ERRO: dígito verificador")))))</f>
      </c>
      <c r="V11" s="6">
        <f>IF(T11="","",IF(COUNTIF($T$2:$T$1001,T11)&gt;1,"DUPLICADO","OK"))</f>
      </c>
      <c r="W11" s="6">
        <f>IF(M11="","vazio",IF(OR(AND(LEN(SUBSTITUTE(SUBSTITUTE(SUBSTITUTE(SUBSTITUTE(SUBSTITUTE(SUBSTITUTE(SUBSTITUTE(TRIM(M11),".",""),"/",""),"-","")," ",""),"(",""),")",""),"+",""))=10,LEFT(SUBSTITUTE(SUBSTITUTE(SUBSTITUTE(SUBSTITUTE(SUBSTITUTE(SUBSTITUTE(SUBSTITUTE(TRIM(M11),".",""),"/",""),"-","")," ",""),"(",""),")",""),"+",""),1)&lt;&gt;"0"),AND(LEN(SUBSTITUTE(SUBSTITUTE(SUBSTITUTE(SUBSTITUTE(SUBSTITUTE(SUBSTITUTE(SUBSTITUTE(TRIM(M11),".",""),"/",""),"-","")," ",""),"(",""),")",""),"+",""))=11,LEFT(SUBSTITUTE(SUBSTITUTE(SUBSTITUTE(SUBSTITUTE(SUBSTITUTE(SUBSTITUTE(SUBSTITUTE(TRIM(M11),".",""),"/",""),"-","")," ",""),"(",""),")",""),"+",""),4)="0800")),"OK",IF(AND(LEN(SUBSTITUTE(SUBSTITUTE(SUBSTITUTE(SUBSTITUTE(SUBSTITUTE(SUBSTITUTE(SUBSTITUTE(TRIM(M11),".",""),"/",""),"-","")," ",""),"(",""),")",""),"+",""))=11,MID(SUBSTITUTE(SUBSTITUTE(SUBSTITUTE(SUBSTITUTE(SUBSTITUTE(SUBSTITUTE(SUBSTITUTE(TRIM(M11),".",""),"/",""),"-","")," ",""),"(",""),")",""),"+",""),3,1)="9"),"ERRO: é celular, use a coluna Celular","ERRO: DDD + 8 dígitos ou 0800 + 7")))</f>
      </c>
      <c r="X11" s="6">
        <f>IF(N11="","vazio",IF(AND(LEN(SUBSTITUTE(SUBSTITUTE(SUBSTITUTE(SUBSTITUTE(SUBSTITUTE(SUBSTITUTE(SUBSTITUTE(TRIM(N11),".",""),"/",""),"-","")," ",""),"(",""),")",""),"+",""))=11,MID(SUBSTITUTE(SUBSTITUTE(SUBSTITUTE(SUBSTITUTE(SUBSTITUTE(SUBSTITUTE(SUBSTITUTE(TRIM(N11),".",""),"/",""),"-","")," ",""),"(",""),")",""),"+",""),3,1)="9",LEFT(SUBSTITUTE(SUBSTITUTE(SUBSTITUTE(SUBSTITUTE(SUBSTITUTE(SUBSTITUTE(SUBSTITUTE(TRIM(N11),".",""),"/",""),"-","")," ",""),"(",""),")",""),"+",""),1)&lt;&gt;"0"),"OK",IF(LEN(SUBSTITUTE(SUBSTITUTE(SUBSTITUTE(SUBSTITUTE(SUBSTITUTE(SUBSTITUTE(SUBSTITUTE(TRIM(N11),".",""),"/",""),"-","")," ",""),"(",""),")",""),"+",""))=10,"ERRO: é fixo (ou falta o 9), use a coluna Telefone fixo","ERRO: DDD + 9 + 8 dígitos")))</f>
      </c>
      <c r="Y11" s="6">
        <f>IF(O11="","vazio",IF(AND(ISNUMBER(FIND("@",O11)),ISNUMBER(FIND(".",MID(O11,FIND("@",O11),99))),NOT(ISNUMBER(FIND(" ",TRIM(O11)))),NOT(ISNUMBER(FIND(";",O11))),NOT(ISNUMBER(FIND(",",O11)))),"OK","ERRO: um e-mail válido por linha"))</f>
      </c>
      <c r="Z11" s="6">
        <f>IF(AND(J11="",K11=""),"",IF(AND(J11&lt;&gt;"",K11&lt;&gt;""),"OK","pendente: só um nome (o GR completa ao converter)"))</f>
      </c>
      <c r="AA11" s="6">
        <f>IF(COUNTA(A11:S11)=0,"",IF(AND(A11&lt;&gt;"",B11&lt;&gt;"",C11&lt;&gt;"",D11&lt;&gt;"",E11&lt;&gt;"",F11&lt;&gt;"",G11&lt;&gt;"",H11&lt;&gt;"",OR(J11&lt;&gt;"",K11&lt;&gt;""),OR(M11&lt;&gt;"",N11&lt;&gt;"",O11&lt;&gt;"")),"OK","ERRO: faltam "&amp;IF(A11="","SDR; ","")&amp;IF(B11="","Proprietário; ","")&amp;IF(C11="","Origem; ","")&amp;IF(D11="","Temperatura; ","")&amp;IF(E11="","Segmento; ","")&amp;IF(F11="","Time/Cluster; ","")&amp;IF(G11="","CNPJ; ","")&amp;IF(H11="","Razão Social; ","")&amp;IF(AND(J11="",K11=""),"nome do contato; ","")&amp;IF(AND(M11="",N11="",O11=""),"telefone, celular ou e-mail; ","")))</f>
      </c>
      <c r="AB11" s="6">
        <f>IF(COUNTA(A11:S11)=0,"",IF(AND(U11="OK",V11="OK",LEFT(W11,4)&lt;&gt;"ERRO",LEFT(X11,4)&lt;&gt;"ERRO",LEFT(Y11,4)&lt;&gt;"ERRO",AA11="OK"),"OK","REVISAR"))</f>
      </c>
    </row>
    <row r="12">
      <c r="A12" s="5"/>
      <c r="B12" s="5"/>
      <c r="C12" s="5"/>
      <c r="D12" s="5"/>
      <c r="E12" s="5"/>
      <c r="F12" s="5"/>
      <c r="G12" s="5"/>
      <c r="H12" s="5"/>
      <c r="I12" s="4"/>
      <c r="J12" s="5"/>
      <c r="K12" s="4"/>
      <c r="L12" s="4"/>
      <c r="M12" s="4"/>
      <c r="N12" s="4"/>
      <c r="O12" s="4"/>
      <c r="P12" s="4"/>
      <c r="Q12" s="4"/>
      <c r="R12" s="4"/>
      <c r="S12" s="4"/>
      <c r="T12" s="6">
        <f>IF(G12="","",SUBSTITUTE(SUBSTITUTE(SUBSTITUTE(SUBSTITUTE(SUBSTITUTE(SUBSTITUTE(SUBSTITUTE(TRIM(G12),".",""),"/",""),"-","")," ",""),"(",""),")",""),"+",""))</f>
      </c>
      <c r="U12" s="6">
        <f>IF(T12="","",IF(LEN(T12)&lt;&gt;14,"ERRO: "&amp;LEN(T12)&amp;" dígitos",IF(NOT(ISNUMBER(VALUE(T12))),"ERRO: não numérico",IF(LEN(SUBSTITUTE(T12,LEFT(T12,1),""))=0,"ERRO: dígitos repetidos",IF(AND(VALUE(MID(T12,13,1))=IF(MOD(SUMPRODUCT(--MID(T12,{1,2,3,4,5,6,7,8,9,10,11,12},1),{5,4,3,2,9,8,7,6,5,4,3,2}),11)&lt;2,0,11-MOD(SUMPRODUCT(--MID(T12,{1,2,3,4,5,6,7,8,9,10,11,12},1),{5,4,3,2,9,8,7,6,5,4,3,2}),11)),VALUE(MID(T12,14,1))=IF(MOD(SUMPRODUCT(--MID(T12,{1,2,3,4,5,6,7,8,9,10,11,12,13},1),{6,5,4,3,2,9,8,7,6,5,4,3,2}),11)&lt;2,0,11-MOD(SUMPRODUCT(--MID(T12,{1,2,3,4,5,6,7,8,9,10,11,12,13},1),{6,5,4,3,2,9,8,7,6,5,4,3,2}),11))),"OK","ERRO: dígito verificador")))))</f>
      </c>
      <c r="V12" s="6">
        <f>IF(T12="","",IF(COUNTIF($T$2:$T$1001,T12)&gt;1,"DUPLICADO","OK"))</f>
      </c>
      <c r="W12" s="6">
        <f>IF(M12="","vazio",IF(OR(AND(LEN(SUBSTITUTE(SUBSTITUTE(SUBSTITUTE(SUBSTITUTE(SUBSTITUTE(SUBSTITUTE(SUBSTITUTE(TRIM(M12),".",""),"/",""),"-","")," ",""),"(",""),")",""),"+",""))=10,LEFT(SUBSTITUTE(SUBSTITUTE(SUBSTITUTE(SUBSTITUTE(SUBSTITUTE(SUBSTITUTE(SUBSTITUTE(TRIM(M12),".",""),"/",""),"-","")," ",""),"(",""),")",""),"+",""),1)&lt;&gt;"0"),AND(LEN(SUBSTITUTE(SUBSTITUTE(SUBSTITUTE(SUBSTITUTE(SUBSTITUTE(SUBSTITUTE(SUBSTITUTE(TRIM(M12),".",""),"/",""),"-","")," ",""),"(",""),")",""),"+",""))=11,LEFT(SUBSTITUTE(SUBSTITUTE(SUBSTITUTE(SUBSTITUTE(SUBSTITUTE(SUBSTITUTE(SUBSTITUTE(TRIM(M12),".",""),"/",""),"-","")," ",""),"(",""),")",""),"+",""),4)="0800")),"OK",IF(AND(LEN(SUBSTITUTE(SUBSTITUTE(SUBSTITUTE(SUBSTITUTE(SUBSTITUTE(SUBSTITUTE(SUBSTITUTE(TRIM(M12),".",""),"/",""),"-","")," ",""),"(",""),")",""),"+",""))=11,MID(SUBSTITUTE(SUBSTITUTE(SUBSTITUTE(SUBSTITUTE(SUBSTITUTE(SUBSTITUTE(SUBSTITUTE(TRIM(M12),".",""),"/",""),"-","")," ",""),"(",""),")",""),"+",""),3,1)="9"),"ERRO: é celular, use a coluna Celular","ERRO: DDD + 8 dígitos ou 0800 + 7")))</f>
      </c>
      <c r="X12" s="6">
        <f>IF(N12="","vazio",IF(AND(LEN(SUBSTITUTE(SUBSTITUTE(SUBSTITUTE(SUBSTITUTE(SUBSTITUTE(SUBSTITUTE(SUBSTITUTE(TRIM(N12),".",""),"/",""),"-","")," ",""),"(",""),")",""),"+",""))=11,MID(SUBSTITUTE(SUBSTITUTE(SUBSTITUTE(SUBSTITUTE(SUBSTITUTE(SUBSTITUTE(SUBSTITUTE(TRIM(N12),".",""),"/",""),"-","")," ",""),"(",""),")",""),"+",""),3,1)="9",LEFT(SUBSTITUTE(SUBSTITUTE(SUBSTITUTE(SUBSTITUTE(SUBSTITUTE(SUBSTITUTE(SUBSTITUTE(TRIM(N12),".",""),"/",""),"-","")," ",""),"(",""),")",""),"+",""),1)&lt;&gt;"0"),"OK",IF(LEN(SUBSTITUTE(SUBSTITUTE(SUBSTITUTE(SUBSTITUTE(SUBSTITUTE(SUBSTITUTE(SUBSTITUTE(TRIM(N12),".",""),"/",""),"-","")," ",""),"(",""),")",""),"+",""))=10,"ERRO: é fixo (ou falta o 9), use a coluna Telefone fixo","ERRO: DDD + 9 + 8 dígitos")))</f>
      </c>
      <c r="Y12" s="6">
        <f>IF(O12="","vazio",IF(AND(ISNUMBER(FIND("@",O12)),ISNUMBER(FIND(".",MID(O12,FIND("@",O12),99))),NOT(ISNUMBER(FIND(" ",TRIM(O12)))),NOT(ISNUMBER(FIND(";",O12))),NOT(ISNUMBER(FIND(",",O12)))),"OK","ERRO: um e-mail válido por linha"))</f>
      </c>
      <c r="Z12" s="6">
        <f>IF(AND(J12="",K12=""),"",IF(AND(J12&lt;&gt;"",K12&lt;&gt;""),"OK","pendente: só um nome (o GR completa ao converter)"))</f>
      </c>
      <c r="AA12" s="6">
        <f>IF(COUNTA(A12:S12)=0,"",IF(AND(A12&lt;&gt;"",B12&lt;&gt;"",C12&lt;&gt;"",D12&lt;&gt;"",E12&lt;&gt;"",F12&lt;&gt;"",G12&lt;&gt;"",H12&lt;&gt;"",OR(J12&lt;&gt;"",K12&lt;&gt;""),OR(M12&lt;&gt;"",N12&lt;&gt;"",O12&lt;&gt;"")),"OK","ERRO: faltam "&amp;IF(A12="","SDR; ","")&amp;IF(B12="","Proprietário; ","")&amp;IF(C12="","Origem; ","")&amp;IF(D12="","Temperatura; ","")&amp;IF(E12="","Segmento; ","")&amp;IF(F12="","Time/Cluster; ","")&amp;IF(G12="","CNPJ; ","")&amp;IF(H12="","Razão Social; ","")&amp;IF(AND(J12="",K12=""),"nome do contato; ","")&amp;IF(AND(M12="",N12="",O12=""),"telefone, celular ou e-mail; ","")))</f>
      </c>
      <c r="AB12" s="6">
        <f>IF(COUNTA(A12:S12)=0,"",IF(AND(U12="OK",V12="OK",LEFT(W12,4)&lt;&gt;"ERRO",LEFT(X12,4)&lt;&gt;"ERRO",LEFT(Y12,4)&lt;&gt;"ERRO",AA12="OK"),"OK","REVISAR"))</f>
      </c>
    </row>
    <row r="13">
      <c r="A13" s="5"/>
      <c r="B13" s="5"/>
      <c r="C13" s="5"/>
      <c r="D13" s="5"/>
      <c r="E13" s="5"/>
      <c r="F13" s="5"/>
      <c r="G13" s="5"/>
      <c r="H13" s="5"/>
      <c r="I13" s="4"/>
      <c r="J13" s="5"/>
      <c r="K13" s="4"/>
      <c r="L13" s="4"/>
      <c r="M13" s="4"/>
      <c r="N13" s="4"/>
      <c r="O13" s="4"/>
      <c r="P13" s="4"/>
      <c r="Q13" s="4"/>
      <c r="R13" s="4"/>
      <c r="S13" s="4"/>
      <c r="T13" s="6">
        <f>IF(G13="","",SUBSTITUTE(SUBSTITUTE(SUBSTITUTE(SUBSTITUTE(SUBSTITUTE(SUBSTITUTE(SUBSTITUTE(TRIM(G13),".",""),"/",""),"-","")," ",""),"(",""),")",""),"+",""))</f>
      </c>
      <c r="U13" s="6">
        <f>IF(T13="","",IF(LEN(T13)&lt;&gt;14,"ERRO: "&amp;LEN(T13)&amp;" dígitos",IF(NOT(ISNUMBER(VALUE(T13))),"ERRO: não numérico",IF(LEN(SUBSTITUTE(T13,LEFT(T13,1),""))=0,"ERRO: dígitos repetidos",IF(AND(VALUE(MID(T13,13,1))=IF(MOD(SUMPRODUCT(--MID(T13,{1,2,3,4,5,6,7,8,9,10,11,12},1),{5,4,3,2,9,8,7,6,5,4,3,2}),11)&lt;2,0,11-MOD(SUMPRODUCT(--MID(T13,{1,2,3,4,5,6,7,8,9,10,11,12},1),{5,4,3,2,9,8,7,6,5,4,3,2}),11)),VALUE(MID(T13,14,1))=IF(MOD(SUMPRODUCT(--MID(T13,{1,2,3,4,5,6,7,8,9,10,11,12,13},1),{6,5,4,3,2,9,8,7,6,5,4,3,2}),11)&lt;2,0,11-MOD(SUMPRODUCT(--MID(T13,{1,2,3,4,5,6,7,8,9,10,11,12,13},1),{6,5,4,3,2,9,8,7,6,5,4,3,2}),11))),"OK","ERRO: dígito verificador")))))</f>
      </c>
      <c r="V13" s="6">
        <f>IF(T13="","",IF(COUNTIF($T$2:$T$1001,T13)&gt;1,"DUPLICADO","OK"))</f>
      </c>
      <c r="W13" s="6">
        <f>IF(M13="","vazio",IF(OR(AND(LEN(SUBSTITUTE(SUBSTITUTE(SUBSTITUTE(SUBSTITUTE(SUBSTITUTE(SUBSTITUTE(SUBSTITUTE(TRIM(M13),".",""),"/",""),"-","")," ",""),"(",""),")",""),"+",""))=10,LEFT(SUBSTITUTE(SUBSTITUTE(SUBSTITUTE(SUBSTITUTE(SUBSTITUTE(SUBSTITUTE(SUBSTITUTE(TRIM(M13),".",""),"/",""),"-","")," ",""),"(",""),")",""),"+",""),1)&lt;&gt;"0"),AND(LEN(SUBSTITUTE(SUBSTITUTE(SUBSTITUTE(SUBSTITUTE(SUBSTITUTE(SUBSTITUTE(SUBSTITUTE(TRIM(M13),".",""),"/",""),"-","")," ",""),"(",""),")",""),"+",""))=11,LEFT(SUBSTITUTE(SUBSTITUTE(SUBSTITUTE(SUBSTITUTE(SUBSTITUTE(SUBSTITUTE(SUBSTITUTE(TRIM(M13),".",""),"/",""),"-","")," ",""),"(",""),")",""),"+",""),4)="0800")),"OK",IF(AND(LEN(SUBSTITUTE(SUBSTITUTE(SUBSTITUTE(SUBSTITUTE(SUBSTITUTE(SUBSTITUTE(SUBSTITUTE(TRIM(M13),".",""),"/",""),"-","")," ",""),"(",""),")",""),"+",""))=11,MID(SUBSTITUTE(SUBSTITUTE(SUBSTITUTE(SUBSTITUTE(SUBSTITUTE(SUBSTITUTE(SUBSTITUTE(TRIM(M13),".",""),"/",""),"-","")," ",""),"(",""),")",""),"+",""),3,1)="9"),"ERRO: é celular, use a coluna Celular","ERRO: DDD + 8 dígitos ou 0800 + 7")))</f>
      </c>
      <c r="X13" s="6">
        <f>IF(N13="","vazio",IF(AND(LEN(SUBSTITUTE(SUBSTITUTE(SUBSTITUTE(SUBSTITUTE(SUBSTITUTE(SUBSTITUTE(SUBSTITUTE(TRIM(N13),".",""),"/",""),"-","")," ",""),"(",""),")",""),"+",""))=11,MID(SUBSTITUTE(SUBSTITUTE(SUBSTITUTE(SUBSTITUTE(SUBSTITUTE(SUBSTITUTE(SUBSTITUTE(TRIM(N13),".",""),"/",""),"-","")," ",""),"(",""),")",""),"+",""),3,1)="9",LEFT(SUBSTITUTE(SUBSTITUTE(SUBSTITUTE(SUBSTITUTE(SUBSTITUTE(SUBSTITUTE(SUBSTITUTE(TRIM(N13),".",""),"/",""),"-","")," ",""),"(",""),")",""),"+",""),1)&lt;&gt;"0"),"OK",IF(LEN(SUBSTITUTE(SUBSTITUTE(SUBSTITUTE(SUBSTITUTE(SUBSTITUTE(SUBSTITUTE(SUBSTITUTE(TRIM(N13),".",""),"/",""),"-","")," ",""),"(",""),")",""),"+",""))=10,"ERRO: é fixo (ou falta o 9), use a coluna Telefone fixo","ERRO: DDD + 9 + 8 dígitos")))</f>
      </c>
      <c r="Y13" s="6">
        <f>IF(O13="","vazio",IF(AND(ISNUMBER(FIND("@",O13)),ISNUMBER(FIND(".",MID(O13,FIND("@",O13),99))),NOT(ISNUMBER(FIND(" ",TRIM(O13)))),NOT(ISNUMBER(FIND(";",O13))),NOT(ISNUMBER(FIND(",",O13)))),"OK","ERRO: um e-mail válido por linha"))</f>
      </c>
      <c r="Z13" s="6">
        <f>IF(AND(J13="",K13=""),"",IF(AND(J13&lt;&gt;"",K13&lt;&gt;""),"OK","pendente: só um nome (o GR completa ao converter)"))</f>
      </c>
      <c r="AA13" s="6">
        <f>IF(COUNTA(A13:S13)=0,"",IF(AND(A13&lt;&gt;"",B13&lt;&gt;"",C13&lt;&gt;"",D13&lt;&gt;"",E13&lt;&gt;"",F13&lt;&gt;"",G13&lt;&gt;"",H13&lt;&gt;"",OR(J13&lt;&gt;"",K13&lt;&gt;""),OR(M13&lt;&gt;"",N13&lt;&gt;"",O13&lt;&gt;"")),"OK","ERRO: faltam "&amp;IF(A13="","SDR; ","")&amp;IF(B13="","Proprietário; ","")&amp;IF(C13="","Origem; ","")&amp;IF(D13="","Temperatura; ","")&amp;IF(E13="","Segmento; ","")&amp;IF(F13="","Time/Cluster; ","")&amp;IF(G13="","CNPJ; ","")&amp;IF(H13="","Razão Social; ","")&amp;IF(AND(J13="",K13=""),"nome do contato; ","")&amp;IF(AND(M13="",N13="",O13=""),"telefone, celular ou e-mail; ","")))</f>
      </c>
      <c r="AB13" s="6">
        <f>IF(COUNTA(A13:S13)=0,"",IF(AND(U13="OK",V13="OK",LEFT(W13,4)&lt;&gt;"ERRO",LEFT(X13,4)&lt;&gt;"ERRO",LEFT(Y13,4)&lt;&gt;"ERRO",AA13="OK"),"OK","REVISAR"))</f>
      </c>
    </row>
    <row r="14">
      <c r="A14" s="5"/>
      <c r="B14" s="5"/>
      <c r="C14" s="5"/>
      <c r="D14" s="5"/>
      <c r="E14" s="5"/>
      <c r="F14" s="5"/>
      <c r="G14" s="5"/>
      <c r="H14" s="5"/>
      <c r="I14" s="4"/>
      <c r="J14" s="5"/>
      <c r="K14" s="4"/>
      <c r="L14" s="4"/>
      <c r="M14" s="4"/>
      <c r="N14" s="4"/>
      <c r="O14" s="4"/>
      <c r="P14" s="4"/>
      <c r="Q14" s="4"/>
      <c r="R14" s="4"/>
      <c r="S14" s="4"/>
      <c r="T14" s="6">
        <f>IF(G14="","",SUBSTITUTE(SUBSTITUTE(SUBSTITUTE(SUBSTITUTE(SUBSTITUTE(SUBSTITUTE(SUBSTITUTE(TRIM(G14),".",""),"/",""),"-","")," ",""),"(",""),")",""),"+",""))</f>
      </c>
      <c r="U14" s="6">
        <f>IF(T14="","",IF(LEN(T14)&lt;&gt;14,"ERRO: "&amp;LEN(T14)&amp;" dígitos",IF(NOT(ISNUMBER(VALUE(T14))),"ERRO: não numérico",IF(LEN(SUBSTITUTE(T14,LEFT(T14,1),""))=0,"ERRO: dígitos repetidos",IF(AND(VALUE(MID(T14,13,1))=IF(MOD(SUMPRODUCT(--MID(T14,{1,2,3,4,5,6,7,8,9,10,11,12},1),{5,4,3,2,9,8,7,6,5,4,3,2}),11)&lt;2,0,11-MOD(SUMPRODUCT(--MID(T14,{1,2,3,4,5,6,7,8,9,10,11,12},1),{5,4,3,2,9,8,7,6,5,4,3,2}),11)),VALUE(MID(T14,14,1))=IF(MOD(SUMPRODUCT(--MID(T14,{1,2,3,4,5,6,7,8,9,10,11,12,13},1),{6,5,4,3,2,9,8,7,6,5,4,3,2}),11)&lt;2,0,11-MOD(SUMPRODUCT(--MID(T14,{1,2,3,4,5,6,7,8,9,10,11,12,13},1),{6,5,4,3,2,9,8,7,6,5,4,3,2}),11))),"OK","ERRO: dígito verificador")))))</f>
      </c>
      <c r="V14" s="6">
        <f>IF(T14="","",IF(COUNTIF($T$2:$T$1001,T14)&gt;1,"DUPLICADO","OK"))</f>
      </c>
      <c r="W14" s="6">
        <f>IF(M14="","vazio",IF(OR(AND(LEN(SUBSTITUTE(SUBSTITUTE(SUBSTITUTE(SUBSTITUTE(SUBSTITUTE(SUBSTITUTE(SUBSTITUTE(TRIM(M14),".",""),"/",""),"-","")," ",""),"(",""),")",""),"+",""))=10,LEFT(SUBSTITUTE(SUBSTITUTE(SUBSTITUTE(SUBSTITUTE(SUBSTITUTE(SUBSTITUTE(SUBSTITUTE(TRIM(M14),".",""),"/",""),"-","")," ",""),"(",""),")",""),"+",""),1)&lt;&gt;"0"),AND(LEN(SUBSTITUTE(SUBSTITUTE(SUBSTITUTE(SUBSTITUTE(SUBSTITUTE(SUBSTITUTE(SUBSTITUTE(TRIM(M14),".",""),"/",""),"-","")," ",""),"(",""),")",""),"+",""))=11,LEFT(SUBSTITUTE(SUBSTITUTE(SUBSTITUTE(SUBSTITUTE(SUBSTITUTE(SUBSTITUTE(SUBSTITUTE(TRIM(M14),".",""),"/",""),"-","")," ",""),"(",""),")",""),"+",""),4)="0800")),"OK",IF(AND(LEN(SUBSTITUTE(SUBSTITUTE(SUBSTITUTE(SUBSTITUTE(SUBSTITUTE(SUBSTITUTE(SUBSTITUTE(TRIM(M14),".",""),"/",""),"-","")," ",""),"(",""),")",""),"+",""))=11,MID(SUBSTITUTE(SUBSTITUTE(SUBSTITUTE(SUBSTITUTE(SUBSTITUTE(SUBSTITUTE(SUBSTITUTE(TRIM(M14),".",""),"/",""),"-","")," ",""),"(",""),")",""),"+",""),3,1)="9"),"ERRO: é celular, use a coluna Celular","ERRO: DDD + 8 dígitos ou 0800 + 7")))</f>
      </c>
      <c r="X14" s="6">
        <f>IF(N14="","vazio",IF(AND(LEN(SUBSTITUTE(SUBSTITUTE(SUBSTITUTE(SUBSTITUTE(SUBSTITUTE(SUBSTITUTE(SUBSTITUTE(TRIM(N14),".",""),"/",""),"-","")," ",""),"(",""),")",""),"+",""))=11,MID(SUBSTITUTE(SUBSTITUTE(SUBSTITUTE(SUBSTITUTE(SUBSTITUTE(SUBSTITUTE(SUBSTITUTE(TRIM(N14),".",""),"/",""),"-","")," ",""),"(",""),")",""),"+",""),3,1)="9",LEFT(SUBSTITUTE(SUBSTITUTE(SUBSTITUTE(SUBSTITUTE(SUBSTITUTE(SUBSTITUTE(SUBSTITUTE(TRIM(N14),".",""),"/",""),"-","")," ",""),"(",""),")",""),"+",""),1)&lt;&gt;"0"),"OK",IF(LEN(SUBSTITUTE(SUBSTITUTE(SUBSTITUTE(SUBSTITUTE(SUBSTITUTE(SUBSTITUTE(SUBSTITUTE(TRIM(N14),".",""),"/",""),"-","")," ",""),"(",""),")",""),"+",""))=10,"ERRO: é fixo (ou falta o 9), use a coluna Telefone fixo","ERRO: DDD + 9 + 8 dígitos")))</f>
      </c>
      <c r="Y14" s="6">
        <f>IF(O14="","vazio",IF(AND(ISNUMBER(FIND("@",O14)),ISNUMBER(FIND(".",MID(O14,FIND("@",O14),99))),NOT(ISNUMBER(FIND(" ",TRIM(O14)))),NOT(ISNUMBER(FIND(";",O14))),NOT(ISNUMBER(FIND(",",O14)))),"OK","ERRO: um e-mail válido por linha"))</f>
      </c>
      <c r="Z14" s="6">
        <f>IF(AND(J14="",K14=""),"",IF(AND(J14&lt;&gt;"",K14&lt;&gt;""),"OK","pendente: só um nome (o GR completa ao converter)"))</f>
      </c>
      <c r="AA14" s="6">
        <f>IF(COUNTA(A14:S14)=0,"",IF(AND(A14&lt;&gt;"",B14&lt;&gt;"",C14&lt;&gt;"",D14&lt;&gt;"",E14&lt;&gt;"",F14&lt;&gt;"",G14&lt;&gt;"",H14&lt;&gt;"",OR(J14&lt;&gt;"",K14&lt;&gt;""),OR(M14&lt;&gt;"",N14&lt;&gt;"",O14&lt;&gt;"")),"OK","ERRO: faltam "&amp;IF(A14="","SDR; ","")&amp;IF(B14="","Proprietário; ","")&amp;IF(C14="","Origem; ","")&amp;IF(D14="","Temperatura; ","")&amp;IF(E14="","Segmento; ","")&amp;IF(F14="","Time/Cluster; ","")&amp;IF(G14="","CNPJ; ","")&amp;IF(H14="","Razão Social; ","")&amp;IF(AND(J14="",K14=""),"nome do contato; ","")&amp;IF(AND(M14="",N14="",O14=""),"telefone, celular ou e-mail; ","")))</f>
      </c>
      <c r="AB14" s="6">
        <f>IF(COUNTA(A14:S14)=0,"",IF(AND(U14="OK",V14="OK",LEFT(W14,4)&lt;&gt;"ERRO",LEFT(X14,4)&lt;&gt;"ERRO",LEFT(Y14,4)&lt;&gt;"ERRO",AA14="OK"),"OK","REVISAR"))</f>
      </c>
    </row>
    <row r="15">
      <c r="A15" s="5"/>
      <c r="B15" s="5"/>
      <c r="C15" s="5"/>
      <c r="D15" s="5"/>
      <c r="E15" s="5"/>
      <c r="F15" s="5"/>
      <c r="G15" s="5"/>
      <c r="H15" s="5"/>
      <c r="I15" s="4"/>
      <c r="J15" s="5"/>
      <c r="K15" s="4"/>
      <c r="L15" s="4"/>
      <c r="M15" s="4"/>
      <c r="N15" s="4"/>
      <c r="O15" s="4"/>
      <c r="P15" s="4"/>
      <c r="Q15" s="4"/>
      <c r="R15" s="4"/>
      <c r="S15" s="4"/>
      <c r="T15" s="6">
        <f>IF(G15="","",SUBSTITUTE(SUBSTITUTE(SUBSTITUTE(SUBSTITUTE(SUBSTITUTE(SUBSTITUTE(SUBSTITUTE(TRIM(G15),".",""),"/",""),"-","")," ",""),"(",""),")",""),"+",""))</f>
      </c>
      <c r="U15" s="6">
        <f>IF(T15="","",IF(LEN(T15)&lt;&gt;14,"ERRO: "&amp;LEN(T15)&amp;" dígitos",IF(NOT(ISNUMBER(VALUE(T15))),"ERRO: não numérico",IF(LEN(SUBSTITUTE(T15,LEFT(T15,1),""))=0,"ERRO: dígitos repetidos",IF(AND(VALUE(MID(T15,13,1))=IF(MOD(SUMPRODUCT(--MID(T15,{1,2,3,4,5,6,7,8,9,10,11,12},1),{5,4,3,2,9,8,7,6,5,4,3,2}),11)&lt;2,0,11-MOD(SUMPRODUCT(--MID(T15,{1,2,3,4,5,6,7,8,9,10,11,12},1),{5,4,3,2,9,8,7,6,5,4,3,2}),11)),VALUE(MID(T15,14,1))=IF(MOD(SUMPRODUCT(--MID(T15,{1,2,3,4,5,6,7,8,9,10,11,12,13},1),{6,5,4,3,2,9,8,7,6,5,4,3,2}),11)&lt;2,0,11-MOD(SUMPRODUCT(--MID(T15,{1,2,3,4,5,6,7,8,9,10,11,12,13},1),{6,5,4,3,2,9,8,7,6,5,4,3,2}),11))),"OK","ERRO: dígito verificador")))))</f>
      </c>
      <c r="V15" s="6">
        <f>IF(T15="","",IF(COUNTIF($T$2:$T$1001,T15)&gt;1,"DUPLICADO","OK"))</f>
      </c>
      <c r="W15" s="6">
        <f>IF(M15="","vazio",IF(OR(AND(LEN(SUBSTITUTE(SUBSTITUTE(SUBSTITUTE(SUBSTITUTE(SUBSTITUTE(SUBSTITUTE(SUBSTITUTE(TRIM(M15),".",""),"/",""),"-","")," ",""),"(",""),")",""),"+",""))=10,LEFT(SUBSTITUTE(SUBSTITUTE(SUBSTITUTE(SUBSTITUTE(SUBSTITUTE(SUBSTITUTE(SUBSTITUTE(TRIM(M15),".",""),"/",""),"-","")," ",""),"(",""),")",""),"+",""),1)&lt;&gt;"0"),AND(LEN(SUBSTITUTE(SUBSTITUTE(SUBSTITUTE(SUBSTITUTE(SUBSTITUTE(SUBSTITUTE(SUBSTITUTE(TRIM(M15),".",""),"/",""),"-","")," ",""),"(",""),")",""),"+",""))=11,LEFT(SUBSTITUTE(SUBSTITUTE(SUBSTITUTE(SUBSTITUTE(SUBSTITUTE(SUBSTITUTE(SUBSTITUTE(TRIM(M15),".",""),"/",""),"-","")," ",""),"(",""),")",""),"+",""),4)="0800")),"OK",IF(AND(LEN(SUBSTITUTE(SUBSTITUTE(SUBSTITUTE(SUBSTITUTE(SUBSTITUTE(SUBSTITUTE(SUBSTITUTE(TRIM(M15),".",""),"/",""),"-","")," ",""),"(",""),")",""),"+",""))=11,MID(SUBSTITUTE(SUBSTITUTE(SUBSTITUTE(SUBSTITUTE(SUBSTITUTE(SUBSTITUTE(SUBSTITUTE(TRIM(M15),".",""),"/",""),"-","")," ",""),"(",""),")",""),"+",""),3,1)="9"),"ERRO: é celular, use a coluna Celular","ERRO: DDD + 8 dígitos ou 0800 + 7")))</f>
      </c>
      <c r="X15" s="6">
        <f>IF(N15="","vazio",IF(AND(LEN(SUBSTITUTE(SUBSTITUTE(SUBSTITUTE(SUBSTITUTE(SUBSTITUTE(SUBSTITUTE(SUBSTITUTE(TRIM(N15),".",""),"/",""),"-","")," ",""),"(",""),")",""),"+",""))=11,MID(SUBSTITUTE(SUBSTITUTE(SUBSTITUTE(SUBSTITUTE(SUBSTITUTE(SUBSTITUTE(SUBSTITUTE(TRIM(N15),".",""),"/",""),"-","")," ",""),"(",""),")",""),"+",""),3,1)="9",LEFT(SUBSTITUTE(SUBSTITUTE(SUBSTITUTE(SUBSTITUTE(SUBSTITUTE(SUBSTITUTE(SUBSTITUTE(TRIM(N15),".",""),"/",""),"-","")," ",""),"(",""),")",""),"+",""),1)&lt;&gt;"0"),"OK",IF(LEN(SUBSTITUTE(SUBSTITUTE(SUBSTITUTE(SUBSTITUTE(SUBSTITUTE(SUBSTITUTE(SUBSTITUTE(TRIM(N15),".",""),"/",""),"-","")," ",""),"(",""),")",""),"+",""))=10,"ERRO: é fixo (ou falta o 9), use a coluna Telefone fixo","ERRO: DDD + 9 + 8 dígitos")))</f>
      </c>
      <c r="Y15" s="6">
        <f>IF(O15="","vazio",IF(AND(ISNUMBER(FIND("@",O15)),ISNUMBER(FIND(".",MID(O15,FIND("@",O15),99))),NOT(ISNUMBER(FIND(" ",TRIM(O15)))),NOT(ISNUMBER(FIND(";",O15))),NOT(ISNUMBER(FIND(",",O15)))),"OK","ERRO: um e-mail válido por linha"))</f>
      </c>
      <c r="Z15" s="6">
        <f>IF(AND(J15="",K15=""),"",IF(AND(J15&lt;&gt;"",K15&lt;&gt;""),"OK","pendente: só um nome (o GR completa ao converter)"))</f>
      </c>
      <c r="AA15" s="6">
        <f>IF(COUNTA(A15:S15)=0,"",IF(AND(A15&lt;&gt;"",B15&lt;&gt;"",C15&lt;&gt;"",D15&lt;&gt;"",E15&lt;&gt;"",F15&lt;&gt;"",G15&lt;&gt;"",H15&lt;&gt;"",OR(J15&lt;&gt;"",K15&lt;&gt;""),OR(M15&lt;&gt;"",N15&lt;&gt;"",O15&lt;&gt;"")),"OK","ERRO: faltam "&amp;IF(A15="","SDR; ","")&amp;IF(B15="","Proprietário; ","")&amp;IF(C15="","Origem; ","")&amp;IF(D15="","Temperatura; ","")&amp;IF(E15="","Segmento; ","")&amp;IF(F15="","Time/Cluster; ","")&amp;IF(G15="","CNPJ; ","")&amp;IF(H15="","Razão Social; ","")&amp;IF(AND(J15="",K15=""),"nome do contato; ","")&amp;IF(AND(M15="",N15="",O15=""),"telefone, celular ou e-mail; ","")))</f>
      </c>
      <c r="AB15" s="6">
        <f>IF(COUNTA(A15:S15)=0,"",IF(AND(U15="OK",V15="OK",LEFT(W15,4)&lt;&gt;"ERRO",LEFT(X15,4)&lt;&gt;"ERRO",LEFT(Y15,4)&lt;&gt;"ERRO",AA15="OK"),"OK","REVISAR"))</f>
      </c>
    </row>
    <row r="16">
      <c r="A16" s="5"/>
      <c r="B16" s="5"/>
      <c r="C16" s="5"/>
      <c r="D16" s="5"/>
      <c r="E16" s="5"/>
      <c r="F16" s="5"/>
      <c r="G16" s="5"/>
      <c r="H16" s="5"/>
      <c r="I16" s="4"/>
      <c r="J16" s="5"/>
      <c r="K16" s="4"/>
      <c r="L16" s="4"/>
      <c r="M16" s="4"/>
      <c r="N16" s="4"/>
      <c r="O16" s="4"/>
      <c r="P16" s="4"/>
      <c r="Q16" s="4"/>
      <c r="R16" s="4"/>
      <c r="S16" s="4"/>
      <c r="T16" s="6">
        <f>IF(G16="","",SUBSTITUTE(SUBSTITUTE(SUBSTITUTE(SUBSTITUTE(SUBSTITUTE(SUBSTITUTE(SUBSTITUTE(TRIM(G16),".",""),"/",""),"-","")," ",""),"(",""),")",""),"+",""))</f>
      </c>
      <c r="U16" s="6">
        <f>IF(T16="","",IF(LEN(T16)&lt;&gt;14,"ERRO: "&amp;LEN(T16)&amp;" dígitos",IF(NOT(ISNUMBER(VALUE(T16))),"ERRO: não numérico",IF(LEN(SUBSTITUTE(T16,LEFT(T16,1),""))=0,"ERRO: dígitos repetidos",IF(AND(VALUE(MID(T16,13,1))=IF(MOD(SUMPRODUCT(--MID(T16,{1,2,3,4,5,6,7,8,9,10,11,12},1),{5,4,3,2,9,8,7,6,5,4,3,2}),11)&lt;2,0,11-MOD(SUMPRODUCT(--MID(T16,{1,2,3,4,5,6,7,8,9,10,11,12},1),{5,4,3,2,9,8,7,6,5,4,3,2}),11)),VALUE(MID(T16,14,1))=IF(MOD(SUMPRODUCT(--MID(T16,{1,2,3,4,5,6,7,8,9,10,11,12,13},1),{6,5,4,3,2,9,8,7,6,5,4,3,2}),11)&lt;2,0,11-MOD(SUMPRODUCT(--MID(T16,{1,2,3,4,5,6,7,8,9,10,11,12,13},1),{6,5,4,3,2,9,8,7,6,5,4,3,2}),11))),"OK","ERRO: dígito verificador")))))</f>
      </c>
      <c r="V16" s="6">
        <f>IF(T16="","",IF(COUNTIF($T$2:$T$1001,T16)&gt;1,"DUPLICADO","OK"))</f>
      </c>
      <c r="W16" s="6">
        <f>IF(M16="","vazio",IF(OR(AND(LEN(SUBSTITUTE(SUBSTITUTE(SUBSTITUTE(SUBSTITUTE(SUBSTITUTE(SUBSTITUTE(SUBSTITUTE(TRIM(M16),".",""),"/",""),"-","")," ",""),"(",""),")",""),"+",""))=10,LEFT(SUBSTITUTE(SUBSTITUTE(SUBSTITUTE(SUBSTITUTE(SUBSTITUTE(SUBSTITUTE(SUBSTITUTE(TRIM(M16),".",""),"/",""),"-","")," ",""),"(",""),")",""),"+",""),1)&lt;&gt;"0"),AND(LEN(SUBSTITUTE(SUBSTITUTE(SUBSTITUTE(SUBSTITUTE(SUBSTITUTE(SUBSTITUTE(SUBSTITUTE(TRIM(M16),".",""),"/",""),"-","")," ",""),"(",""),")",""),"+",""))=11,LEFT(SUBSTITUTE(SUBSTITUTE(SUBSTITUTE(SUBSTITUTE(SUBSTITUTE(SUBSTITUTE(SUBSTITUTE(TRIM(M16),".",""),"/",""),"-","")," ",""),"(",""),")",""),"+",""),4)="0800")),"OK",IF(AND(LEN(SUBSTITUTE(SUBSTITUTE(SUBSTITUTE(SUBSTITUTE(SUBSTITUTE(SUBSTITUTE(SUBSTITUTE(TRIM(M16),".",""),"/",""),"-","")," ",""),"(",""),")",""),"+",""))=11,MID(SUBSTITUTE(SUBSTITUTE(SUBSTITUTE(SUBSTITUTE(SUBSTITUTE(SUBSTITUTE(SUBSTITUTE(TRIM(M16),".",""),"/",""),"-","")," ",""),"(",""),")",""),"+",""),3,1)="9"),"ERRO: é celular, use a coluna Celular","ERRO: DDD + 8 dígitos ou 0800 + 7")))</f>
      </c>
      <c r="X16" s="6">
        <f>IF(N16="","vazio",IF(AND(LEN(SUBSTITUTE(SUBSTITUTE(SUBSTITUTE(SUBSTITUTE(SUBSTITUTE(SUBSTITUTE(SUBSTITUTE(TRIM(N16),".",""),"/",""),"-","")," ",""),"(",""),")",""),"+",""))=11,MID(SUBSTITUTE(SUBSTITUTE(SUBSTITUTE(SUBSTITUTE(SUBSTITUTE(SUBSTITUTE(SUBSTITUTE(TRIM(N16),".",""),"/",""),"-","")," ",""),"(",""),")",""),"+",""),3,1)="9",LEFT(SUBSTITUTE(SUBSTITUTE(SUBSTITUTE(SUBSTITUTE(SUBSTITUTE(SUBSTITUTE(SUBSTITUTE(TRIM(N16),".",""),"/",""),"-","")," ",""),"(",""),")",""),"+",""),1)&lt;&gt;"0"),"OK",IF(LEN(SUBSTITUTE(SUBSTITUTE(SUBSTITUTE(SUBSTITUTE(SUBSTITUTE(SUBSTITUTE(SUBSTITUTE(TRIM(N16),".",""),"/",""),"-","")," ",""),"(",""),")",""),"+",""))=10,"ERRO: é fixo (ou falta o 9), use a coluna Telefone fixo","ERRO: DDD + 9 + 8 dígitos")))</f>
      </c>
      <c r="Y16" s="6">
        <f>IF(O16="","vazio",IF(AND(ISNUMBER(FIND("@",O16)),ISNUMBER(FIND(".",MID(O16,FIND("@",O16),99))),NOT(ISNUMBER(FIND(" ",TRIM(O16)))),NOT(ISNUMBER(FIND(";",O16))),NOT(ISNUMBER(FIND(",",O16)))),"OK","ERRO: um e-mail válido por linha"))</f>
      </c>
      <c r="Z16" s="6">
        <f>IF(AND(J16="",K16=""),"",IF(AND(J16&lt;&gt;"",K16&lt;&gt;""),"OK","pendente: só um nome (o GR completa ao converter)"))</f>
      </c>
      <c r="AA16" s="6">
        <f>IF(COUNTA(A16:S16)=0,"",IF(AND(A16&lt;&gt;"",B16&lt;&gt;"",C16&lt;&gt;"",D16&lt;&gt;"",E16&lt;&gt;"",F16&lt;&gt;"",G16&lt;&gt;"",H16&lt;&gt;"",OR(J16&lt;&gt;"",K16&lt;&gt;""),OR(M16&lt;&gt;"",N16&lt;&gt;"",O16&lt;&gt;"")),"OK","ERRO: faltam "&amp;IF(A16="","SDR; ","")&amp;IF(B16="","Proprietário; ","")&amp;IF(C16="","Origem; ","")&amp;IF(D16="","Temperatura; ","")&amp;IF(E16="","Segmento; ","")&amp;IF(F16="","Time/Cluster; ","")&amp;IF(G16="","CNPJ; ","")&amp;IF(H16="","Razão Social; ","")&amp;IF(AND(J16="",K16=""),"nome do contato; ","")&amp;IF(AND(M16="",N16="",O16=""),"telefone, celular ou e-mail; ","")))</f>
      </c>
      <c r="AB16" s="6">
        <f>IF(COUNTA(A16:S16)=0,"",IF(AND(U16="OK",V16="OK",LEFT(W16,4)&lt;&gt;"ERRO",LEFT(X16,4)&lt;&gt;"ERRO",LEFT(Y16,4)&lt;&gt;"ERRO",AA16="OK"),"OK","REVISAR"))</f>
      </c>
    </row>
    <row r="17">
      <c r="A17" s="5"/>
      <c r="B17" s="5"/>
      <c r="C17" s="5"/>
      <c r="D17" s="5"/>
      <c r="E17" s="5"/>
      <c r="F17" s="5"/>
      <c r="G17" s="5"/>
      <c r="H17" s="5"/>
      <c r="I17" s="4"/>
      <c r="J17" s="5"/>
      <c r="K17" s="4"/>
      <c r="L17" s="4"/>
      <c r="M17" s="4"/>
      <c r="N17" s="4"/>
      <c r="O17" s="4"/>
      <c r="P17" s="4"/>
      <c r="Q17" s="4"/>
      <c r="R17" s="4"/>
      <c r="S17" s="4"/>
      <c r="T17" s="6">
        <f>IF(G17="","",SUBSTITUTE(SUBSTITUTE(SUBSTITUTE(SUBSTITUTE(SUBSTITUTE(SUBSTITUTE(SUBSTITUTE(TRIM(G17),".",""),"/",""),"-","")," ",""),"(",""),")",""),"+",""))</f>
      </c>
      <c r="U17" s="6">
        <f>IF(T17="","",IF(LEN(T17)&lt;&gt;14,"ERRO: "&amp;LEN(T17)&amp;" dígitos",IF(NOT(ISNUMBER(VALUE(T17))),"ERRO: não numérico",IF(LEN(SUBSTITUTE(T17,LEFT(T17,1),""))=0,"ERRO: dígitos repetidos",IF(AND(VALUE(MID(T17,13,1))=IF(MOD(SUMPRODUCT(--MID(T17,{1,2,3,4,5,6,7,8,9,10,11,12},1),{5,4,3,2,9,8,7,6,5,4,3,2}),11)&lt;2,0,11-MOD(SUMPRODUCT(--MID(T17,{1,2,3,4,5,6,7,8,9,10,11,12},1),{5,4,3,2,9,8,7,6,5,4,3,2}),11)),VALUE(MID(T17,14,1))=IF(MOD(SUMPRODUCT(--MID(T17,{1,2,3,4,5,6,7,8,9,10,11,12,13},1),{6,5,4,3,2,9,8,7,6,5,4,3,2}),11)&lt;2,0,11-MOD(SUMPRODUCT(--MID(T17,{1,2,3,4,5,6,7,8,9,10,11,12,13},1),{6,5,4,3,2,9,8,7,6,5,4,3,2}),11))),"OK","ERRO: dígito verificador")))))</f>
      </c>
      <c r="V17" s="6">
        <f>IF(T17="","",IF(COUNTIF($T$2:$T$1001,T17)&gt;1,"DUPLICADO","OK"))</f>
      </c>
      <c r="W17" s="6">
        <f>IF(M17="","vazio",IF(OR(AND(LEN(SUBSTITUTE(SUBSTITUTE(SUBSTITUTE(SUBSTITUTE(SUBSTITUTE(SUBSTITUTE(SUBSTITUTE(TRIM(M17),".",""),"/",""),"-","")," ",""),"(",""),")",""),"+",""))=10,LEFT(SUBSTITUTE(SUBSTITUTE(SUBSTITUTE(SUBSTITUTE(SUBSTITUTE(SUBSTITUTE(SUBSTITUTE(TRIM(M17),".",""),"/",""),"-","")," ",""),"(",""),")",""),"+",""),1)&lt;&gt;"0"),AND(LEN(SUBSTITUTE(SUBSTITUTE(SUBSTITUTE(SUBSTITUTE(SUBSTITUTE(SUBSTITUTE(SUBSTITUTE(TRIM(M17),".",""),"/",""),"-","")," ",""),"(",""),")",""),"+",""))=11,LEFT(SUBSTITUTE(SUBSTITUTE(SUBSTITUTE(SUBSTITUTE(SUBSTITUTE(SUBSTITUTE(SUBSTITUTE(TRIM(M17),".",""),"/",""),"-","")," ",""),"(",""),")",""),"+",""),4)="0800")),"OK",IF(AND(LEN(SUBSTITUTE(SUBSTITUTE(SUBSTITUTE(SUBSTITUTE(SUBSTITUTE(SUBSTITUTE(SUBSTITUTE(TRIM(M17),".",""),"/",""),"-","")," ",""),"(",""),")",""),"+",""))=11,MID(SUBSTITUTE(SUBSTITUTE(SUBSTITUTE(SUBSTITUTE(SUBSTITUTE(SUBSTITUTE(SUBSTITUTE(TRIM(M17),".",""),"/",""),"-","")," ",""),"(",""),")",""),"+",""),3,1)="9"),"ERRO: é celular, use a coluna Celular","ERRO: DDD + 8 dígitos ou 0800 + 7")))</f>
      </c>
      <c r="X17" s="6">
        <f>IF(N17="","vazio",IF(AND(LEN(SUBSTITUTE(SUBSTITUTE(SUBSTITUTE(SUBSTITUTE(SUBSTITUTE(SUBSTITUTE(SUBSTITUTE(TRIM(N17),".",""),"/",""),"-","")," ",""),"(",""),")",""),"+",""))=11,MID(SUBSTITUTE(SUBSTITUTE(SUBSTITUTE(SUBSTITUTE(SUBSTITUTE(SUBSTITUTE(SUBSTITUTE(TRIM(N17),".",""),"/",""),"-","")," ",""),"(",""),")",""),"+",""),3,1)="9",LEFT(SUBSTITUTE(SUBSTITUTE(SUBSTITUTE(SUBSTITUTE(SUBSTITUTE(SUBSTITUTE(SUBSTITUTE(TRIM(N17),".",""),"/",""),"-","")," ",""),"(",""),")",""),"+",""),1)&lt;&gt;"0"),"OK",IF(LEN(SUBSTITUTE(SUBSTITUTE(SUBSTITUTE(SUBSTITUTE(SUBSTITUTE(SUBSTITUTE(SUBSTITUTE(TRIM(N17),".",""),"/",""),"-","")," ",""),"(",""),")",""),"+",""))=10,"ERRO: é fixo (ou falta o 9), use a coluna Telefone fixo","ERRO: DDD + 9 + 8 dígitos")))</f>
      </c>
      <c r="Y17" s="6">
        <f>IF(O17="","vazio",IF(AND(ISNUMBER(FIND("@",O17)),ISNUMBER(FIND(".",MID(O17,FIND("@",O17),99))),NOT(ISNUMBER(FIND(" ",TRIM(O17)))),NOT(ISNUMBER(FIND(";",O17))),NOT(ISNUMBER(FIND(",",O17)))),"OK","ERRO: um e-mail válido por linha"))</f>
      </c>
      <c r="Z17" s="6">
        <f>IF(AND(J17="",K17=""),"",IF(AND(J17&lt;&gt;"",K17&lt;&gt;""),"OK","pendente: só um nome (o GR completa ao converter)"))</f>
      </c>
      <c r="AA17" s="6">
        <f>IF(COUNTA(A17:S17)=0,"",IF(AND(A17&lt;&gt;"",B17&lt;&gt;"",C17&lt;&gt;"",D17&lt;&gt;"",E17&lt;&gt;"",F17&lt;&gt;"",G17&lt;&gt;"",H17&lt;&gt;"",OR(J17&lt;&gt;"",K17&lt;&gt;""),OR(M17&lt;&gt;"",N17&lt;&gt;"",O17&lt;&gt;"")),"OK","ERRO: faltam "&amp;IF(A17="","SDR; ","")&amp;IF(B17="","Proprietário; ","")&amp;IF(C17="","Origem; ","")&amp;IF(D17="","Temperatura; ","")&amp;IF(E17="","Segmento; ","")&amp;IF(F17="","Time/Cluster; ","")&amp;IF(G17="","CNPJ; ","")&amp;IF(H17="","Razão Social; ","")&amp;IF(AND(J17="",K17=""),"nome do contato; ","")&amp;IF(AND(M17="",N17="",O17=""),"telefone, celular ou e-mail; ","")))</f>
      </c>
      <c r="AB17" s="6">
        <f>IF(COUNTA(A17:S17)=0,"",IF(AND(U17="OK",V17="OK",LEFT(W17,4)&lt;&gt;"ERRO",LEFT(X17,4)&lt;&gt;"ERRO",LEFT(Y17,4)&lt;&gt;"ERRO",AA17="OK"),"OK","REVISAR"))</f>
      </c>
    </row>
    <row r="18">
      <c r="A18" s="5"/>
      <c r="B18" s="5"/>
      <c r="C18" s="5"/>
      <c r="D18" s="5"/>
      <c r="E18" s="5"/>
      <c r="F18" s="5"/>
      <c r="G18" s="5"/>
      <c r="H18" s="5"/>
      <c r="I18" s="4"/>
      <c r="J18" s="5"/>
      <c r="K18" s="4"/>
      <c r="L18" s="4"/>
      <c r="M18" s="4"/>
      <c r="N18" s="4"/>
      <c r="O18" s="4"/>
      <c r="P18" s="4"/>
      <c r="Q18" s="4"/>
      <c r="R18" s="4"/>
      <c r="S18" s="4"/>
      <c r="T18" s="6">
        <f>IF(G18="","",SUBSTITUTE(SUBSTITUTE(SUBSTITUTE(SUBSTITUTE(SUBSTITUTE(SUBSTITUTE(SUBSTITUTE(TRIM(G18),".",""),"/",""),"-","")," ",""),"(",""),")",""),"+",""))</f>
      </c>
      <c r="U18" s="6">
        <f>IF(T18="","",IF(LEN(T18)&lt;&gt;14,"ERRO: "&amp;LEN(T18)&amp;" dígitos",IF(NOT(ISNUMBER(VALUE(T18))),"ERRO: não numérico",IF(LEN(SUBSTITUTE(T18,LEFT(T18,1),""))=0,"ERRO: dígitos repetidos",IF(AND(VALUE(MID(T18,13,1))=IF(MOD(SUMPRODUCT(--MID(T18,{1,2,3,4,5,6,7,8,9,10,11,12},1),{5,4,3,2,9,8,7,6,5,4,3,2}),11)&lt;2,0,11-MOD(SUMPRODUCT(--MID(T18,{1,2,3,4,5,6,7,8,9,10,11,12},1),{5,4,3,2,9,8,7,6,5,4,3,2}),11)),VALUE(MID(T18,14,1))=IF(MOD(SUMPRODUCT(--MID(T18,{1,2,3,4,5,6,7,8,9,10,11,12,13},1),{6,5,4,3,2,9,8,7,6,5,4,3,2}),11)&lt;2,0,11-MOD(SUMPRODUCT(--MID(T18,{1,2,3,4,5,6,7,8,9,10,11,12,13},1),{6,5,4,3,2,9,8,7,6,5,4,3,2}),11))),"OK","ERRO: dígito verificador")))))</f>
      </c>
      <c r="V18" s="6">
        <f>IF(T18="","",IF(COUNTIF($T$2:$T$1001,T18)&gt;1,"DUPLICADO","OK"))</f>
      </c>
      <c r="W18" s="6">
        <f>IF(M18="","vazio",IF(OR(AND(LEN(SUBSTITUTE(SUBSTITUTE(SUBSTITUTE(SUBSTITUTE(SUBSTITUTE(SUBSTITUTE(SUBSTITUTE(TRIM(M18),".",""),"/",""),"-","")," ",""),"(",""),")",""),"+",""))=10,LEFT(SUBSTITUTE(SUBSTITUTE(SUBSTITUTE(SUBSTITUTE(SUBSTITUTE(SUBSTITUTE(SUBSTITUTE(TRIM(M18),".",""),"/",""),"-","")," ",""),"(",""),")",""),"+",""),1)&lt;&gt;"0"),AND(LEN(SUBSTITUTE(SUBSTITUTE(SUBSTITUTE(SUBSTITUTE(SUBSTITUTE(SUBSTITUTE(SUBSTITUTE(TRIM(M18),".",""),"/",""),"-","")," ",""),"(",""),")",""),"+",""))=11,LEFT(SUBSTITUTE(SUBSTITUTE(SUBSTITUTE(SUBSTITUTE(SUBSTITUTE(SUBSTITUTE(SUBSTITUTE(TRIM(M18),".",""),"/",""),"-","")," ",""),"(",""),")",""),"+",""),4)="0800")),"OK",IF(AND(LEN(SUBSTITUTE(SUBSTITUTE(SUBSTITUTE(SUBSTITUTE(SUBSTITUTE(SUBSTITUTE(SUBSTITUTE(TRIM(M18),".",""),"/",""),"-","")," ",""),"(",""),")",""),"+",""))=11,MID(SUBSTITUTE(SUBSTITUTE(SUBSTITUTE(SUBSTITUTE(SUBSTITUTE(SUBSTITUTE(SUBSTITUTE(TRIM(M18),".",""),"/",""),"-","")," ",""),"(",""),")",""),"+",""),3,1)="9"),"ERRO: é celular, use a coluna Celular","ERRO: DDD + 8 dígitos ou 0800 + 7")))</f>
      </c>
      <c r="X18" s="6">
        <f>IF(N18="","vazio",IF(AND(LEN(SUBSTITUTE(SUBSTITUTE(SUBSTITUTE(SUBSTITUTE(SUBSTITUTE(SUBSTITUTE(SUBSTITUTE(TRIM(N18),".",""),"/",""),"-","")," ",""),"(",""),")",""),"+",""))=11,MID(SUBSTITUTE(SUBSTITUTE(SUBSTITUTE(SUBSTITUTE(SUBSTITUTE(SUBSTITUTE(SUBSTITUTE(TRIM(N18),".",""),"/",""),"-","")," ",""),"(",""),")",""),"+",""),3,1)="9",LEFT(SUBSTITUTE(SUBSTITUTE(SUBSTITUTE(SUBSTITUTE(SUBSTITUTE(SUBSTITUTE(SUBSTITUTE(TRIM(N18),".",""),"/",""),"-","")," ",""),"(",""),")",""),"+",""),1)&lt;&gt;"0"),"OK",IF(LEN(SUBSTITUTE(SUBSTITUTE(SUBSTITUTE(SUBSTITUTE(SUBSTITUTE(SUBSTITUTE(SUBSTITUTE(TRIM(N18),".",""),"/",""),"-","")," ",""),"(",""),")",""),"+",""))=10,"ERRO: é fixo (ou falta o 9), use a coluna Telefone fixo","ERRO: DDD + 9 + 8 dígitos")))</f>
      </c>
      <c r="Y18" s="6">
        <f>IF(O18="","vazio",IF(AND(ISNUMBER(FIND("@",O18)),ISNUMBER(FIND(".",MID(O18,FIND("@",O18),99))),NOT(ISNUMBER(FIND(" ",TRIM(O18)))),NOT(ISNUMBER(FIND(";",O18))),NOT(ISNUMBER(FIND(",",O18)))),"OK","ERRO: um e-mail válido por linha"))</f>
      </c>
      <c r="Z18" s="6">
        <f>IF(AND(J18="",K18=""),"",IF(AND(J18&lt;&gt;"",K18&lt;&gt;""),"OK","pendente: só um nome (o GR completa ao converter)"))</f>
      </c>
      <c r="AA18" s="6">
        <f>IF(COUNTA(A18:S18)=0,"",IF(AND(A18&lt;&gt;"",B18&lt;&gt;"",C18&lt;&gt;"",D18&lt;&gt;"",E18&lt;&gt;"",F18&lt;&gt;"",G18&lt;&gt;"",H18&lt;&gt;"",OR(J18&lt;&gt;"",K18&lt;&gt;""),OR(M18&lt;&gt;"",N18&lt;&gt;"",O18&lt;&gt;"")),"OK","ERRO: faltam "&amp;IF(A18="","SDR; ","")&amp;IF(B18="","Proprietário; ","")&amp;IF(C18="","Origem; ","")&amp;IF(D18="","Temperatura; ","")&amp;IF(E18="","Segmento; ","")&amp;IF(F18="","Time/Cluster; ","")&amp;IF(G18="","CNPJ; ","")&amp;IF(H18="","Razão Social; ","")&amp;IF(AND(J18="",K18=""),"nome do contato; ","")&amp;IF(AND(M18="",N18="",O18=""),"telefone, celular ou e-mail; ","")))</f>
      </c>
      <c r="AB18" s="6">
        <f>IF(COUNTA(A18:S18)=0,"",IF(AND(U18="OK",V18="OK",LEFT(W18,4)&lt;&gt;"ERRO",LEFT(X18,4)&lt;&gt;"ERRO",LEFT(Y18,4)&lt;&gt;"ERRO",AA18="OK"),"OK","REVISAR"))</f>
      </c>
    </row>
    <row r="19">
      <c r="A19" s="5"/>
      <c r="B19" s="5"/>
      <c r="C19" s="5"/>
      <c r="D19" s="5"/>
      <c r="E19" s="5"/>
      <c r="F19" s="5"/>
      <c r="G19" s="5"/>
      <c r="H19" s="5"/>
      <c r="I19" s="4"/>
      <c r="J19" s="5"/>
      <c r="K19" s="4"/>
      <c r="L19" s="4"/>
      <c r="M19" s="4"/>
      <c r="N19" s="4"/>
      <c r="O19" s="4"/>
      <c r="P19" s="4"/>
      <c r="Q19" s="4"/>
      <c r="R19" s="4"/>
      <c r="S19" s="4"/>
      <c r="T19" s="6">
        <f>IF(G19="","",SUBSTITUTE(SUBSTITUTE(SUBSTITUTE(SUBSTITUTE(SUBSTITUTE(SUBSTITUTE(SUBSTITUTE(TRIM(G19),".",""),"/",""),"-","")," ",""),"(",""),")",""),"+",""))</f>
      </c>
      <c r="U19" s="6">
        <f>IF(T19="","",IF(LEN(T19)&lt;&gt;14,"ERRO: "&amp;LEN(T19)&amp;" dígitos",IF(NOT(ISNUMBER(VALUE(T19))),"ERRO: não numérico",IF(LEN(SUBSTITUTE(T19,LEFT(T19,1),""))=0,"ERRO: dígitos repetidos",IF(AND(VALUE(MID(T19,13,1))=IF(MOD(SUMPRODUCT(--MID(T19,{1,2,3,4,5,6,7,8,9,10,11,12},1),{5,4,3,2,9,8,7,6,5,4,3,2}),11)&lt;2,0,11-MOD(SUMPRODUCT(--MID(T19,{1,2,3,4,5,6,7,8,9,10,11,12},1),{5,4,3,2,9,8,7,6,5,4,3,2}),11)),VALUE(MID(T19,14,1))=IF(MOD(SUMPRODUCT(--MID(T19,{1,2,3,4,5,6,7,8,9,10,11,12,13},1),{6,5,4,3,2,9,8,7,6,5,4,3,2}),11)&lt;2,0,11-MOD(SUMPRODUCT(--MID(T19,{1,2,3,4,5,6,7,8,9,10,11,12,13},1),{6,5,4,3,2,9,8,7,6,5,4,3,2}),11))),"OK","ERRO: dígito verificador")))))</f>
      </c>
      <c r="V19" s="6">
        <f>IF(T19="","",IF(COUNTIF($T$2:$T$1001,T19)&gt;1,"DUPLICADO","OK"))</f>
      </c>
      <c r="W19" s="6">
        <f>IF(M19="","vazio",IF(OR(AND(LEN(SUBSTITUTE(SUBSTITUTE(SUBSTITUTE(SUBSTITUTE(SUBSTITUTE(SUBSTITUTE(SUBSTITUTE(TRIM(M19),".",""),"/",""),"-","")," ",""),"(",""),")",""),"+",""))=10,LEFT(SUBSTITUTE(SUBSTITUTE(SUBSTITUTE(SUBSTITUTE(SUBSTITUTE(SUBSTITUTE(SUBSTITUTE(TRIM(M19),".",""),"/",""),"-","")," ",""),"(",""),")",""),"+",""),1)&lt;&gt;"0"),AND(LEN(SUBSTITUTE(SUBSTITUTE(SUBSTITUTE(SUBSTITUTE(SUBSTITUTE(SUBSTITUTE(SUBSTITUTE(TRIM(M19),".",""),"/",""),"-","")," ",""),"(",""),")",""),"+",""))=11,LEFT(SUBSTITUTE(SUBSTITUTE(SUBSTITUTE(SUBSTITUTE(SUBSTITUTE(SUBSTITUTE(SUBSTITUTE(TRIM(M19),".",""),"/",""),"-","")," ",""),"(",""),")",""),"+",""),4)="0800")),"OK",IF(AND(LEN(SUBSTITUTE(SUBSTITUTE(SUBSTITUTE(SUBSTITUTE(SUBSTITUTE(SUBSTITUTE(SUBSTITUTE(TRIM(M19),".",""),"/",""),"-","")," ",""),"(",""),")",""),"+",""))=11,MID(SUBSTITUTE(SUBSTITUTE(SUBSTITUTE(SUBSTITUTE(SUBSTITUTE(SUBSTITUTE(SUBSTITUTE(TRIM(M19),".",""),"/",""),"-","")," ",""),"(",""),")",""),"+",""),3,1)="9"),"ERRO: é celular, use a coluna Celular","ERRO: DDD + 8 dígitos ou 0800 + 7")))</f>
      </c>
      <c r="X19" s="6">
        <f>IF(N19="","vazio",IF(AND(LEN(SUBSTITUTE(SUBSTITUTE(SUBSTITUTE(SUBSTITUTE(SUBSTITUTE(SUBSTITUTE(SUBSTITUTE(TRIM(N19),".",""),"/",""),"-","")," ",""),"(",""),")",""),"+",""))=11,MID(SUBSTITUTE(SUBSTITUTE(SUBSTITUTE(SUBSTITUTE(SUBSTITUTE(SUBSTITUTE(SUBSTITUTE(TRIM(N19),".",""),"/",""),"-","")," ",""),"(",""),")",""),"+",""),3,1)="9",LEFT(SUBSTITUTE(SUBSTITUTE(SUBSTITUTE(SUBSTITUTE(SUBSTITUTE(SUBSTITUTE(SUBSTITUTE(TRIM(N19),".",""),"/",""),"-","")," ",""),"(",""),")",""),"+",""),1)&lt;&gt;"0"),"OK",IF(LEN(SUBSTITUTE(SUBSTITUTE(SUBSTITUTE(SUBSTITUTE(SUBSTITUTE(SUBSTITUTE(SUBSTITUTE(TRIM(N19),".",""),"/",""),"-","")," ",""),"(",""),")",""),"+",""))=10,"ERRO: é fixo (ou falta o 9), use a coluna Telefone fixo","ERRO: DDD + 9 + 8 dígitos")))</f>
      </c>
      <c r="Y19" s="6">
        <f>IF(O19="","vazio",IF(AND(ISNUMBER(FIND("@",O19)),ISNUMBER(FIND(".",MID(O19,FIND("@",O19),99))),NOT(ISNUMBER(FIND(" ",TRIM(O19)))),NOT(ISNUMBER(FIND(";",O19))),NOT(ISNUMBER(FIND(",",O19)))),"OK","ERRO: um e-mail válido por linha"))</f>
      </c>
      <c r="Z19" s="6">
        <f>IF(AND(J19="",K19=""),"",IF(AND(J19&lt;&gt;"",K19&lt;&gt;""),"OK","pendente: só um nome (o GR completa ao converter)"))</f>
      </c>
      <c r="AA19" s="6">
        <f>IF(COUNTA(A19:S19)=0,"",IF(AND(A19&lt;&gt;"",B19&lt;&gt;"",C19&lt;&gt;"",D19&lt;&gt;"",E19&lt;&gt;"",F19&lt;&gt;"",G19&lt;&gt;"",H19&lt;&gt;"",OR(J19&lt;&gt;"",K19&lt;&gt;""),OR(M19&lt;&gt;"",N19&lt;&gt;"",O19&lt;&gt;"")),"OK","ERRO: faltam "&amp;IF(A19="","SDR; ","")&amp;IF(B19="","Proprietário; ","")&amp;IF(C19="","Origem; ","")&amp;IF(D19="","Temperatura; ","")&amp;IF(E19="","Segmento; ","")&amp;IF(F19="","Time/Cluster; ","")&amp;IF(G19="","CNPJ; ","")&amp;IF(H19="","Razão Social; ","")&amp;IF(AND(J19="",K19=""),"nome do contato; ","")&amp;IF(AND(M19="",N19="",O19=""),"telefone, celular ou e-mail; ","")))</f>
      </c>
      <c r="AB19" s="6">
        <f>IF(COUNTA(A19:S19)=0,"",IF(AND(U19="OK",V19="OK",LEFT(W19,4)&lt;&gt;"ERRO",LEFT(X19,4)&lt;&gt;"ERRO",LEFT(Y19,4)&lt;&gt;"ERRO",AA19="OK"),"OK","REVISAR"))</f>
      </c>
    </row>
    <row r="20">
      <c r="A20" s="5"/>
      <c r="B20" s="5"/>
      <c r="C20" s="5"/>
      <c r="D20" s="5"/>
      <c r="E20" s="5"/>
      <c r="F20" s="5"/>
      <c r="G20" s="5"/>
      <c r="H20" s="5"/>
      <c r="I20" s="4"/>
      <c r="J20" s="5"/>
      <c r="K20" s="4"/>
      <c r="L20" s="4"/>
      <c r="M20" s="4"/>
      <c r="N20" s="4"/>
      <c r="O20" s="4"/>
      <c r="P20" s="4"/>
      <c r="Q20" s="4"/>
      <c r="R20" s="4"/>
      <c r="S20" s="4"/>
      <c r="T20" s="6">
        <f>IF(G20="","",SUBSTITUTE(SUBSTITUTE(SUBSTITUTE(SUBSTITUTE(SUBSTITUTE(SUBSTITUTE(SUBSTITUTE(TRIM(G20),".",""),"/",""),"-","")," ",""),"(",""),")",""),"+",""))</f>
      </c>
      <c r="U20" s="6">
        <f>IF(T20="","",IF(LEN(T20)&lt;&gt;14,"ERRO: "&amp;LEN(T20)&amp;" dígitos",IF(NOT(ISNUMBER(VALUE(T20))),"ERRO: não numérico",IF(LEN(SUBSTITUTE(T20,LEFT(T20,1),""))=0,"ERRO: dígitos repetidos",IF(AND(VALUE(MID(T20,13,1))=IF(MOD(SUMPRODUCT(--MID(T20,{1,2,3,4,5,6,7,8,9,10,11,12},1),{5,4,3,2,9,8,7,6,5,4,3,2}),11)&lt;2,0,11-MOD(SUMPRODUCT(--MID(T20,{1,2,3,4,5,6,7,8,9,10,11,12},1),{5,4,3,2,9,8,7,6,5,4,3,2}),11)),VALUE(MID(T20,14,1))=IF(MOD(SUMPRODUCT(--MID(T20,{1,2,3,4,5,6,7,8,9,10,11,12,13},1),{6,5,4,3,2,9,8,7,6,5,4,3,2}),11)&lt;2,0,11-MOD(SUMPRODUCT(--MID(T20,{1,2,3,4,5,6,7,8,9,10,11,12,13},1),{6,5,4,3,2,9,8,7,6,5,4,3,2}),11))),"OK","ERRO: dígito verificador")))))</f>
      </c>
      <c r="V20" s="6">
        <f>IF(T20="","",IF(COUNTIF($T$2:$T$1001,T20)&gt;1,"DUPLICADO","OK"))</f>
      </c>
      <c r="W20" s="6">
        <f>IF(M20="","vazio",IF(OR(AND(LEN(SUBSTITUTE(SUBSTITUTE(SUBSTITUTE(SUBSTITUTE(SUBSTITUTE(SUBSTITUTE(SUBSTITUTE(TRIM(M20),".",""),"/",""),"-","")," ",""),"(",""),")",""),"+",""))=10,LEFT(SUBSTITUTE(SUBSTITUTE(SUBSTITUTE(SUBSTITUTE(SUBSTITUTE(SUBSTITUTE(SUBSTITUTE(TRIM(M20),".",""),"/",""),"-","")," ",""),"(",""),")",""),"+",""),1)&lt;&gt;"0"),AND(LEN(SUBSTITUTE(SUBSTITUTE(SUBSTITUTE(SUBSTITUTE(SUBSTITUTE(SUBSTITUTE(SUBSTITUTE(TRIM(M20),".",""),"/",""),"-","")," ",""),"(",""),")",""),"+",""))=11,LEFT(SUBSTITUTE(SUBSTITUTE(SUBSTITUTE(SUBSTITUTE(SUBSTITUTE(SUBSTITUTE(SUBSTITUTE(TRIM(M20),".",""),"/",""),"-","")," ",""),"(",""),")",""),"+",""),4)="0800")),"OK",IF(AND(LEN(SUBSTITUTE(SUBSTITUTE(SUBSTITUTE(SUBSTITUTE(SUBSTITUTE(SUBSTITUTE(SUBSTITUTE(TRIM(M20),".",""),"/",""),"-","")," ",""),"(",""),")",""),"+",""))=11,MID(SUBSTITUTE(SUBSTITUTE(SUBSTITUTE(SUBSTITUTE(SUBSTITUTE(SUBSTITUTE(SUBSTITUTE(TRIM(M20),".",""),"/",""),"-","")," ",""),"(",""),")",""),"+",""),3,1)="9"),"ERRO: é celular, use a coluna Celular","ERRO: DDD + 8 dígitos ou 0800 + 7")))</f>
      </c>
      <c r="X20" s="6">
        <f>IF(N20="","vazio",IF(AND(LEN(SUBSTITUTE(SUBSTITUTE(SUBSTITUTE(SUBSTITUTE(SUBSTITUTE(SUBSTITUTE(SUBSTITUTE(TRIM(N20),".",""),"/",""),"-","")," ",""),"(",""),")",""),"+",""))=11,MID(SUBSTITUTE(SUBSTITUTE(SUBSTITUTE(SUBSTITUTE(SUBSTITUTE(SUBSTITUTE(SUBSTITUTE(TRIM(N20),".",""),"/",""),"-","")," ",""),"(",""),")",""),"+",""),3,1)="9",LEFT(SUBSTITUTE(SUBSTITUTE(SUBSTITUTE(SUBSTITUTE(SUBSTITUTE(SUBSTITUTE(SUBSTITUTE(TRIM(N20),".",""),"/",""),"-","")," ",""),"(",""),")",""),"+",""),1)&lt;&gt;"0"),"OK",IF(LEN(SUBSTITUTE(SUBSTITUTE(SUBSTITUTE(SUBSTITUTE(SUBSTITUTE(SUBSTITUTE(SUBSTITUTE(TRIM(N20),".",""),"/",""),"-","")," ",""),"(",""),")",""),"+",""))=10,"ERRO: é fixo (ou falta o 9), use a coluna Telefone fixo","ERRO: DDD + 9 + 8 dígitos")))</f>
      </c>
      <c r="Y20" s="6">
        <f>IF(O20="","vazio",IF(AND(ISNUMBER(FIND("@",O20)),ISNUMBER(FIND(".",MID(O20,FIND("@",O20),99))),NOT(ISNUMBER(FIND(" ",TRIM(O20)))),NOT(ISNUMBER(FIND(";",O20))),NOT(ISNUMBER(FIND(",",O20)))),"OK","ERRO: um e-mail válido por linha"))</f>
      </c>
      <c r="Z20" s="6">
        <f>IF(AND(J20="",K20=""),"",IF(AND(J20&lt;&gt;"",K20&lt;&gt;""),"OK","pendente: só um nome (o GR completa ao converter)"))</f>
      </c>
      <c r="AA20" s="6">
        <f>IF(COUNTA(A20:S20)=0,"",IF(AND(A20&lt;&gt;"",B20&lt;&gt;"",C20&lt;&gt;"",D20&lt;&gt;"",E20&lt;&gt;"",F20&lt;&gt;"",G20&lt;&gt;"",H20&lt;&gt;"",OR(J20&lt;&gt;"",K20&lt;&gt;""),OR(M20&lt;&gt;"",N20&lt;&gt;"",O20&lt;&gt;"")),"OK","ERRO: faltam "&amp;IF(A20="","SDR; ","")&amp;IF(B20="","Proprietário; ","")&amp;IF(C20="","Origem; ","")&amp;IF(D20="","Temperatura; ","")&amp;IF(E20="","Segmento; ","")&amp;IF(F20="","Time/Cluster; ","")&amp;IF(G20="","CNPJ; ","")&amp;IF(H20="","Razão Social; ","")&amp;IF(AND(J20="",K20=""),"nome do contato; ","")&amp;IF(AND(M20="",N20="",O20=""),"telefone, celular ou e-mail; ","")))</f>
      </c>
      <c r="AB20" s="6">
        <f>IF(COUNTA(A20:S20)=0,"",IF(AND(U20="OK",V20="OK",LEFT(W20,4)&lt;&gt;"ERRO",LEFT(X20,4)&lt;&gt;"ERRO",LEFT(Y20,4)&lt;&gt;"ERRO",AA20="OK"),"OK","REVISAR"))</f>
      </c>
    </row>
    <row r="21">
      <c r="A21" s="5"/>
      <c r="B21" s="5"/>
      <c r="C21" s="5"/>
      <c r="D21" s="5"/>
      <c r="E21" s="5"/>
      <c r="F21" s="5"/>
      <c r="G21" s="5"/>
      <c r="H21" s="5"/>
      <c r="I21" s="4"/>
      <c r="J21" s="5"/>
      <c r="K21" s="4"/>
      <c r="L21" s="4"/>
      <c r="M21" s="4"/>
      <c r="N21" s="4"/>
      <c r="O21" s="4"/>
      <c r="P21" s="4"/>
      <c r="Q21" s="4"/>
      <c r="R21" s="4"/>
      <c r="S21" s="4"/>
      <c r="T21" s="6">
        <f>IF(G21="","",SUBSTITUTE(SUBSTITUTE(SUBSTITUTE(SUBSTITUTE(SUBSTITUTE(SUBSTITUTE(SUBSTITUTE(TRIM(G21),".",""),"/",""),"-","")," ",""),"(",""),")",""),"+",""))</f>
      </c>
      <c r="U21" s="6">
        <f>IF(T21="","",IF(LEN(T21)&lt;&gt;14,"ERRO: "&amp;LEN(T21)&amp;" dígitos",IF(NOT(ISNUMBER(VALUE(T21))),"ERRO: não numérico",IF(LEN(SUBSTITUTE(T21,LEFT(T21,1),""))=0,"ERRO: dígitos repetidos",IF(AND(VALUE(MID(T21,13,1))=IF(MOD(SUMPRODUCT(--MID(T21,{1,2,3,4,5,6,7,8,9,10,11,12},1),{5,4,3,2,9,8,7,6,5,4,3,2}),11)&lt;2,0,11-MOD(SUMPRODUCT(--MID(T21,{1,2,3,4,5,6,7,8,9,10,11,12},1),{5,4,3,2,9,8,7,6,5,4,3,2}),11)),VALUE(MID(T21,14,1))=IF(MOD(SUMPRODUCT(--MID(T21,{1,2,3,4,5,6,7,8,9,10,11,12,13},1),{6,5,4,3,2,9,8,7,6,5,4,3,2}),11)&lt;2,0,11-MOD(SUMPRODUCT(--MID(T21,{1,2,3,4,5,6,7,8,9,10,11,12,13},1),{6,5,4,3,2,9,8,7,6,5,4,3,2}),11))),"OK","ERRO: dígito verificador")))))</f>
      </c>
      <c r="V21" s="6">
        <f>IF(T21="","",IF(COUNTIF($T$2:$T$1001,T21)&gt;1,"DUPLICADO","OK"))</f>
      </c>
      <c r="W21" s="6">
        <f>IF(M21="","vazio",IF(OR(AND(LEN(SUBSTITUTE(SUBSTITUTE(SUBSTITUTE(SUBSTITUTE(SUBSTITUTE(SUBSTITUTE(SUBSTITUTE(TRIM(M21),".",""),"/",""),"-","")," ",""),"(",""),")",""),"+",""))=10,LEFT(SUBSTITUTE(SUBSTITUTE(SUBSTITUTE(SUBSTITUTE(SUBSTITUTE(SUBSTITUTE(SUBSTITUTE(TRIM(M21),".",""),"/",""),"-","")," ",""),"(",""),")",""),"+",""),1)&lt;&gt;"0"),AND(LEN(SUBSTITUTE(SUBSTITUTE(SUBSTITUTE(SUBSTITUTE(SUBSTITUTE(SUBSTITUTE(SUBSTITUTE(TRIM(M21),".",""),"/",""),"-","")," ",""),"(",""),")",""),"+",""))=11,LEFT(SUBSTITUTE(SUBSTITUTE(SUBSTITUTE(SUBSTITUTE(SUBSTITUTE(SUBSTITUTE(SUBSTITUTE(TRIM(M21),".",""),"/",""),"-","")," ",""),"(",""),")",""),"+",""),4)="0800")),"OK",IF(AND(LEN(SUBSTITUTE(SUBSTITUTE(SUBSTITUTE(SUBSTITUTE(SUBSTITUTE(SUBSTITUTE(SUBSTITUTE(TRIM(M21),".",""),"/",""),"-","")," ",""),"(",""),")",""),"+",""))=11,MID(SUBSTITUTE(SUBSTITUTE(SUBSTITUTE(SUBSTITUTE(SUBSTITUTE(SUBSTITUTE(SUBSTITUTE(TRIM(M21),".",""),"/",""),"-","")," ",""),"(",""),")",""),"+",""),3,1)="9"),"ERRO: é celular, use a coluna Celular","ERRO: DDD + 8 dígitos ou 0800 + 7")))</f>
      </c>
      <c r="X21" s="6">
        <f>IF(N21="","vazio",IF(AND(LEN(SUBSTITUTE(SUBSTITUTE(SUBSTITUTE(SUBSTITUTE(SUBSTITUTE(SUBSTITUTE(SUBSTITUTE(TRIM(N21),".",""),"/",""),"-","")," ",""),"(",""),")",""),"+",""))=11,MID(SUBSTITUTE(SUBSTITUTE(SUBSTITUTE(SUBSTITUTE(SUBSTITUTE(SUBSTITUTE(SUBSTITUTE(TRIM(N21),".",""),"/",""),"-","")," ",""),"(",""),")",""),"+",""),3,1)="9",LEFT(SUBSTITUTE(SUBSTITUTE(SUBSTITUTE(SUBSTITUTE(SUBSTITUTE(SUBSTITUTE(SUBSTITUTE(TRIM(N21),".",""),"/",""),"-","")," ",""),"(",""),")",""),"+",""),1)&lt;&gt;"0"),"OK",IF(LEN(SUBSTITUTE(SUBSTITUTE(SUBSTITUTE(SUBSTITUTE(SUBSTITUTE(SUBSTITUTE(SUBSTITUTE(TRIM(N21),".",""),"/",""),"-","")," ",""),"(",""),")",""),"+",""))=10,"ERRO: é fixo (ou falta o 9), use a coluna Telefone fixo","ERRO: DDD + 9 + 8 dígitos")))</f>
      </c>
      <c r="Y21" s="6">
        <f>IF(O21="","vazio",IF(AND(ISNUMBER(FIND("@",O21)),ISNUMBER(FIND(".",MID(O21,FIND("@",O21),99))),NOT(ISNUMBER(FIND(" ",TRIM(O21)))),NOT(ISNUMBER(FIND(";",O21))),NOT(ISNUMBER(FIND(",",O21)))),"OK","ERRO: um e-mail válido por linha"))</f>
      </c>
      <c r="Z21" s="6">
        <f>IF(AND(J21="",K21=""),"",IF(AND(J21&lt;&gt;"",K21&lt;&gt;""),"OK","pendente: só um nome (o GR completa ao converter)"))</f>
      </c>
      <c r="AA21" s="6">
        <f>IF(COUNTA(A21:S21)=0,"",IF(AND(A21&lt;&gt;"",B21&lt;&gt;"",C21&lt;&gt;"",D21&lt;&gt;"",E21&lt;&gt;"",F21&lt;&gt;"",G21&lt;&gt;"",H21&lt;&gt;"",OR(J21&lt;&gt;"",K21&lt;&gt;""),OR(M21&lt;&gt;"",N21&lt;&gt;"",O21&lt;&gt;"")),"OK","ERRO: faltam "&amp;IF(A21="","SDR; ","")&amp;IF(B21="","Proprietário; ","")&amp;IF(C21="","Origem; ","")&amp;IF(D21="","Temperatura; ","")&amp;IF(E21="","Segmento; ","")&amp;IF(F21="","Time/Cluster; ","")&amp;IF(G21="","CNPJ; ","")&amp;IF(H21="","Razão Social; ","")&amp;IF(AND(J21="",K21=""),"nome do contato; ","")&amp;IF(AND(M21="",N21="",O21=""),"telefone, celular ou e-mail; ","")))</f>
      </c>
      <c r="AB21" s="6">
        <f>IF(COUNTA(A21:S21)=0,"",IF(AND(U21="OK",V21="OK",LEFT(W21,4)&lt;&gt;"ERRO",LEFT(X21,4)&lt;&gt;"ERRO",LEFT(Y21,4)&lt;&gt;"ERRO",AA21="OK"),"OK","REVISAR"))</f>
      </c>
    </row>
    <row r="22">
      <c r="A22" s="5"/>
      <c r="B22" s="5"/>
      <c r="C22" s="5"/>
      <c r="D22" s="5"/>
      <c r="E22" s="5"/>
      <c r="F22" s="5"/>
      <c r="G22" s="5"/>
      <c r="H22" s="5"/>
      <c r="I22" s="4"/>
      <c r="J22" s="5"/>
      <c r="K22" s="4"/>
      <c r="L22" s="4"/>
      <c r="M22" s="4"/>
      <c r="N22" s="4"/>
      <c r="O22" s="4"/>
      <c r="P22" s="4"/>
      <c r="Q22" s="4"/>
      <c r="R22" s="4"/>
      <c r="S22" s="4"/>
      <c r="T22" s="6">
        <f>IF(G22="","",SUBSTITUTE(SUBSTITUTE(SUBSTITUTE(SUBSTITUTE(SUBSTITUTE(SUBSTITUTE(SUBSTITUTE(TRIM(G22),".",""),"/",""),"-","")," ",""),"(",""),")",""),"+",""))</f>
      </c>
      <c r="U22" s="6">
        <f>IF(T22="","",IF(LEN(T22)&lt;&gt;14,"ERRO: "&amp;LEN(T22)&amp;" dígitos",IF(NOT(ISNUMBER(VALUE(T22))),"ERRO: não numérico",IF(LEN(SUBSTITUTE(T22,LEFT(T22,1),""))=0,"ERRO: dígitos repetidos",IF(AND(VALUE(MID(T22,13,1))=IF(MOD(SUMPRODUCT(--MID(T22,{1,2,3,4,5,6,7,8,9,10,11,12},1),{5,4,3,2,9,8,7,6,5,4,3,2}),11)&lt;2,0,11-MOD(SUMPRODUCT(--MID(T22,{1,2,3,4,5,6,7,8,9,10,11,12},1),{5,4,3,2,9,8,7,6,5,4,3,2}),11)),VALUE(MID(T22,14,1))=IF(MOD(SUMPRODUCT(--MID(T22,{1,2,3,4,5,6,7,8,9,10,11,12,13},1),{6,5,4,3,2,9,8,7,6,5,4,3,2}),11)&lt;2,0,11-MOD(SUMPRODUCT(--MID(T22,{1,2,3,4,5,6,7,8,9,10,11,12,13},1),{6,5,4,3,2,9,8,7,6,5,4,3,2}),11))),"OK","ERRO: dígito verificador")))))</f>
      </c>
      <c r="V22" s="6">
        <f>IF(T22="","",IF(COUNTIF($T$2:$T$1001,T22)&gt;1,"DUPLICADO","OK"))</f>
      </c>
      <c r="W22" s="6">
        <f>IF(M22="","vazio",IF(OR(AND(LEN(SUBSTITUTE(SUBSTITUTE(SUBSTITUTE(SUBSTITUTE(SUBSTITUTE(SUBSTITUTE(SUBSTITUTE(TRIM(M22),".",""),"/",""),"-","")," ",""),"(",""),")",""),"+",""))=10,LEFT(SUBSTITUTE(SUBSTITUTE(SUBSTITUTE(SUBSTITUTE(SUBSTITUTE(SUBSTITUTE(SUBSTITUTE(TRIM(M22),".",""),"/",""),"-","")," ",""),"(",""),")",""),"+",""),1)&lt;&gt;"0"),AND(LEN(SUBSTITUTE(SUBSTITUTE(SUBSTITUTE(SUBSTITUTE(SUBSTITUTE(SUBSTITUTE(SUBSTITUTE(TRIM(M22),".",""),"/",""),"-","")," ",""),"(",""),")",""),"+",""))=11,LEFT(SUBSTITUTE(SUBSTITUTE(SUBSTITUTE(SUBSTITUTE(SUBSTITUTE(SUBSTITUTE(SUBSTITUTE(TRIM(M22),".",""),"/",""),"-","")," ",""),"(",""),")",""),"+",""),4)="0800")),"OK",IF(AND(LEN(SUBSTITUTE(SUBSTITUTE(SUBSTITUTE(SUBSTITUTE(SUBSTITUTE(SUBSTITUTE(SUBSTITUTE(TRIM(M22),".",""),"/",""),"-","")," ",""),"(",""),")",""),"+",""))=11,MID(SUBSTITUTE(SUBSTITUTE(SUBSTITUTE(SUBSTITUTE(SUBSTITUTE(SUBSTITUTE(SUBSTITUTE(TRIM(M22),".",""),"/",""),"-","")," ",""),"(",""),")",""),"+",""),3,1)="9"),"ERRO: é celular, use a coluna Celular","ERRO: DDD + 8 dígitos ou 0800 + 7")))</f>
      </c>
      <c r="X22" s="6">
        <f>IF(N22="","vazio",IF(AND(LEN(SUBSTITUTE(SUBSTITUTE(SUBSTITUTE(SUBSTITUTE(SUBSTITUTE(SUBSTITUTE(SUBSTITUTE(TRIM(N22),".",""),"/",""),"-","")," ",""),"(",""),")",""),"+",""))=11,MID(SUBSTITUTE(SUBSTITUTE(SUBSTITUTE(SUBSTITUTE(SUBSTITUTE(SUBSTITUTE(SUBSTITUTE(TRIM(N22),".",""),"/",""),"-","")," ",""),"(",""),")",""),"+",""),3,1)="9",LEFT(SUBSTITUTE(SUBSTITUTE(SUBSTITUTE(SUBSTITUTE(SUBSTITUTE(SUBSTITUTE(SUBSTITUTE(TRIM(N22),".",""),"/",""),"-","")," ",""),"(",""),")",""),"+",""),1)&lt;&gt;"0"),"OK",IF(LEN(SUBSTITUTE(SUBSTITUTE(SUBSTITUTE(SUBSTITUTE(SUBSTITUTE(SUBSTITUTE(SUBSTITUTE(TRIM(N22),".",""),"/",""),"-","")," ",""),"(",""),")",""),"+",""))=10,"ERRO: é fixo (ou falta o 9), use a coluna Telefone fixo","ERRO: DDD + 9 + 8 dígitos")))</f>
      </c>
      <c r="Y22" s="6">
        <f>IF(O22="","vazio",IF(AND(ISNUMBER(FIND("@",O22)),ISNUMBER(FIND(".",MID(O22,FIND("@",O22),99))),NOT(ISNUMBER(FIND(" ",TRIM(O22)))),NOT(ISNUMBER(FIND(";",O22))),NOT(ISNUMBER(FIND(",",O22)))),"OK","ERRO: um e-mail válido por linha"))</f>
      </c>
      <c r="Z22" s="6">
        <f>IF(AND(J22="",K22=""),"",IF(AND(J22&lt;&gt;"",K22&lt;&gt;""),"OK","pendente: só um nome (o GR completa ao converter)"))</f>
      </c>
      <c r="AA22" s="6">
        <f>IF(COUNTA(A22:S22)=0,"",IF(AND(A22&lt;&gt;"",B22&lt;&gt;"",C22&lt;&gt;"",D22&lt;&gt;"",E22&lt;&gt;"",F22&lt;&gt;"",G22&lt;&gt;"",H22&lt;&gt;"",OR(J22&lt;&gt;"",K22&lt;&gt;""),OR(M22&lt;&gt;"",N22&lt;&gt;"",O22&lt;&gt;"")),"OK","ERRO: faltam "&amp;IF(A22="","SDR; ","")&amp;IF(B22="","Proprietário; ","")&amp;IF(C22="","Origem; ","")&amp;IF(D22="","Temperatura; ","")&amp;IF(E22="","Segmento; ","")&amp;IF(F22="","Time/Cluster; ","")&amp;IF(G22="","CNPJ; ","")&amp;IF(H22="","Razão Social; ","")&amp;IF(AND(J22="",K22=""),"nome do contato; ","")&amp;IF(AND(M22="",N22="",O22=""),"telefone, celular ou e-mail; ","")))</f>
      </c>
      <c r="AB22" s="6">
        <f>IF(COUNTA(A22:S22)=0,"",IF(AND(U22="OK",V22="OK",LEFT(W22,4)&lt;&gt;"ERRO",LEFT(X22,4)&lt;&gt;"ERRO",LEFT(Y22,4)&lt;&gt;"ERRO",AA22="OK"),"OK","REVISAR"))</f>
      </c>
    </row>
    <row r="23">
      <c r="A23" s="5"/>
      <c r="B23" s="5"/>
      <c r="C23" s="5"/>
      <c r="D23" s="5"/>
      <c r="E23" s="5"/>
      <c r="F23" s="5"/>
      <c r="G23" s="5"/>
      <c r="H23" s="5"/>
      <c r="I23" s="4"/>
      <c r="J23" s="5"/>
      <c r="K23" s="4"/>
      <c r="L23" s="4"/>
      <c r="M23" s="4"/>
      <c r="N23" s="4"/>
      <c r="O23" s="4"/>
      <c r="P23" s="4"/>
      <c r="Q23" s="4"/>
      <c r="R23" s="4"/>
      <c r="S23" s="4"/>
      <c r="T23" s="6">
        <f>IF(G23="","",SUBSTITUTE(SUBSTITUTE(SUBSTITUTE(SUBSTITUTE(SUBSTITUTE(SUBSTITUTE(SUBSTITUTE(TRIM(G23),".",""),"/",""),"-","")," ",""),"(",""),")",""),"+",""))</f>
      </c>
      <c r="U23" s="6">
        <f>IF(T23="","",IF(LEN(T23)&lt;&gt;14,"ERRO: "&amp;LEN(T23)&amp;" dígitos",IF(NOT(ISNUMBER(VALUE(T23))),"ERRO: não numérico",IF(LEN(SUBSTITUTE(T23,LEFT(T23,1),""))=0,"ERRO: dígitos repetidos",IF(AND(VALUE(MID(T23,13,1))=IF(MOD(SUMPRODUCT(--MID(T23,{1,2,3,4,5,6,7,8,9,10,11,12},1),{5,4,3,2,9,8,7,6,5,4,3,2}),11)&lt;2,0,11-MOD(SUMPRODUCT(--MID(T23,{1,2,3,4,5,6,7,8,9,10,11,12},1),{5,4,3,2,9,8,7,6,5,4,3,2}),11)),VALUE(MID(T23,14,1))=IF(MOD(SUMPRODUCT(--MID(T23,{1,2,3,4,5,6,7,8,9,10,11,12,13},1),{6,5,4,3,2,9,8,7,6,5,4,3,2}),11)&lt;2,0,11-MOD(SUMPRODUCT(--MID(T23,{1,2,3,4,5,6,7,8,9,10,11,12,13},1),{6,5,4,3,2,9,8,7,6,5,4,3,2}),11))),"OK","ERRO: dígito verificador")))))</f>
      </c>
      <c r="V23" s="6">
        <f>IF(T23="","",IF(COUNTIF($T$2:$T$1001,T23)&gt;1,"DUPLICADO","OK"))</f>
      </c>
      <c r="W23" s="6">
        <f>IF(M23="","vazio",IF(OR(AND(LEN(SUBSTITUTE(SUBSTITUTE(SUBSTITUTE(SUBSTITUTE(SUBSTITUTE(SUBSTITUTE(SUBSTITUTE(TRIM(M23),".",""),"/",""),"-","")," ",""),"(",""),")",""),"+",""))=10,LEFT(SUBSTITUTE(SUBSTITUTE(SUBSTITUTE(SUBSTITUTE(SUBSTITUTE(SUBSTITUTE(SUBSTITUTE(TRIM(M23),".",""),"/",""),"-","")," ",""),"(",""),")",""),"+",""),1)&lt;&gt;"0"),AND(LEN(SUBSTITUTE(SUBSTITUTE(SUBSTITUTE(SUBSTITUTE(SUBSTITUTE(SUBSTITUTE(SUBSTITUTE(TRIM(M23),".",""),"/",""),"-","")," ",""),"(",""),")",""),"+",""))=11,LEFT(SUBSTITUTE(SUBSTITUTE(SUBSTITUTE(SUBSTITUTE(SUBSTITUTE(SUBSTITUTE(SUBSTITUTE(TRIM(M23),".",""),"/",""),"-","")," ",""),"(",""),")",""),"+",""),4)="0800")),"OK",IF(AND(LEN(SUBSTITUTE(SUBSTITUTE(SUBSTITUTE(SUBSTITUTE(SUBSTITUTE(SUBSTITUTE(SUBSTITUTE(TRIM(M23),".",""),"/",""),"-","")," ",""),"(",""),")",""),"+",""))=11,MID(SUBSTITUTE(SUBSTITUTE(SUBSTITUTE(SUBSTITUTE(SUBSTITUTE(SUBSTITUTE(SUBSTITUTE(TRIM(M23),".",""),"/",""),"-","")," ",""),"(",""),")",""),"+",""),3,1)="9"),"ERRO: é celular, use a coluna Celular","ERRO: DDD + 8 dígitos ou 0800 + 7")))</f>
      </c>
      <c r="X23" s="6">
        <f>IF(N23="","vazio",IF(AND(LEN(SUBSTITUTE(SUBSTITUTE(SUBSTITUTE(SUBSTITUTE(SUBSTITUTE(SUBSTITUTE(SUBSTITUTE(TRIM(N23),".",""),"/",""),"-","")," ",""),"(",""),")",""),"+",""))=11,MID(SUBSTITUTE(SUBSTITUTE(SUBSTITUTE(SUBSTITUTE(SUBSTITUTE(SUBSTITUTE(SUBSTITUTE(TRIM(N23),".",""),"/",""),"-","")," ",""),"(",""),")",""),"+",""),3,1)="9",LEFT(SUBSTITUTE(SUBSTITUTE(SUBSTITUTE(SUBSTITUTE(SUBSTITUTE(SUBSTITUTE(SUBSTITUTE(TRIM(N23),".",""),"/",""),"-","")," ",""),"(",""),")",""),"+",""),1)&lt;&gt;"0"),"OK",IF(LEN(SUBSTITUTE(SUBSTITUTE(SUBSTITUTE(SUBSTITUTE(SUBSTITUTE(SUBSTITUTE(SUBSTITUTE(TRIM(N23),".",""),"/",""),"-","")," ",""),"(",""),")",""),"+",""))=10,"ERRO: é fixo (ou falta o 9), use a coluna Telefone fixo","ERRO: DDD + 9 + 8 dígitos")))</f>
      </c>
      <c r="Y23" s="6">
        <f>IF(O23="","vazio",IF(AND(ISNUMBER(FIND("@",O23)),ISNUMBER(FIND(".",MID(O23,FIND("@",O23),99))),NOT(ISNUMBER(FIND(" ",TRIM(O23)))),NOT(ISNUMBER(FIND(";",O23))),NOT(ISNUMBER(FIND(",",O23)))),"OK","ERRO: um e-mail válido por linha"))</f>
      </c>
      <c r="Z23" s="6">
        <f>IF(AND(J23="",K23=""),"",IF(AND(J23&lt;&gt;"",K23&lt;&gt;""),"OK","pendente: só um nome (o GR completa ao converter)"))</f>
      </c>
      <c r="AA23" s="6">
        <f>IF(COUNTA(A23:S23)=0,"",IF(AND(A23&lt;&gt;"",B23&lt;&gt;"",C23&lt;&gt;"",D23&lt;&gt;"",E23&lt;&gt;"",F23&lt;&gt;"",G23&lt;&gt;"",H23&lt;&gt;"",OR(J23&lt;&gt;"",K23&lt;&gt;""),OR(M23&lt;&gt;"",N23&lt;&gt;"",O23&lt;&gt;"")),"OK","ERRO: faltam "&amp;IF(A23="","SDR; ","")&amp;IF(B23="","Proprietário; ","")&amp;IF(C23="","Origem; ","")&amp;IF(D23="","Temperatura; ","")&amp;IF(E23="","Segmento; ","")&amp;IF(F23="","Time/Cluster; ","")&amp;IF(G23="","CNPJ; ","")&amp;IF(H23="","Razão Social; ","")&amp;IF(AND(J23="",K23=""),"nome do contato; ","")&amp;IF(AND(M23="",N23="",O23=""),"telefone, celular ou e-mail; ","")))</f>
      </c>
      <c r="AB23" s="6">
        <f>IF(COUNTA(A23:S23)=0,"",IF(AND(U23="OK",V23="OK",LEFT(W23,4)&lt;&gt;"ERRO",LEFT(X23,4)&lt;&gt;"ERRO",LEFT(Y23,4)&lt;&gt;"ERRO",AA23="OK"),"OK","REVISAR"))</f>
      </c>
    </row>
    <row r="24">
      <c r="A24" s="5"/>
      <c r="B24" s="5"/>
      <c r="C24" s="5"/>
      <c r="D24" s="5"/>
      <c r="E24" s="5"/>
      <c r="F24" s="5"/>
      <c r="G24" s="5"/>
      <c r="H24" s="5"/>
      <c r="I24" s="4"/>
      <c r="J24" s="5"/>
      <c r="K24" s="4"/>
      <c r="L24" s="4"/>
      <c r="M24" s="4"/>
      <c r="N24" s="4"/>
      <c r="O24" s="4"/>
      <c r="P24" s="4"/>
      <c r="Q24" s="4"/>
      <c r="R24" s="4"/>
      <c r="S24" s="4"/>
      <c r="T24" s="6">
        <f>IF(G24="","",SUBSTITUTE(SUBSTITUTE(SUBSTITUTE(SUBSTITUTE(SUBSTITUTE(SUBSTITUTE(SUBSTITUTE(TRIM(G24),".",""),"/",""),"-","")," ",""),"(",""),")",""),"+",""))</f>
      </c>
      <c r="U24" s="6">
        <f>IF(T24="","",IF(LEN(T24)&lt;&gt;14,"ERRO: "&amp;LEN(T24)&amp;" dígitos",IF(NOT(ISNUMBER(VALUE(T24))),"ERRO: não numérico",IF(LEN(SUBSTITUTE(T24,LEFT(T24,1),""))=0,"ERRO: dígitos repetidos",IF(AND(VALUE(MID(T24,13,1))=IF(MOD(SUMPRODUCT(--MID(T24,{1,2,3,4,5,6,7,8,9,10,11,12},1),{5,4,3,2,9,8,7,6,5,4,3,2}),11)&lt;2,0,11-MOD(SUMPRODUCT(--MID(T24,{1,2,3,4,5,6,7,8,9,10,11,12},1),{5,4,3,2,9,8,7,6,5,4,3,2}),11)),VALUE(MID(T24,14,1))=IF(MOD(SUMPRODUCT(--MID(T24,{1,2,3,4,5,6,7,8,9,10,11,12,13},1),{6,5,4,3,2,9,8,7,6,5,4,3,2}),11)&lt;2,0,11-MOD(SUMPRODUCT(--MID(T24,{1,2,3,4,5,6,7,8,9,10,11,12,13},1),{6,5,4,3,2,9,8,7,6,5,4,3,2}),11))),"OK","ERRO: dígito verificador")))))</f>
      </c>
      <c r="V24" s="6">
        <f>IF(T24="","",IF(COUNTIF($T$2:$T$1001,T24)&gt;1,"DUPLICADO","OK"))</f>
      </c>
      <c r="W24" s="6">
        <f>IF(M24="","vazio",IF(OR(AND(LEN(SUBSTITUTE(SUBSTITUTE(SUBSTITUTE(SUBSTITUTE(SUBSTITUTE(SUBSTITUTE(SUBSTITUTE(TRIM(M24),".",""),"/",""),"-","")," ",""),"(",""),")",""),"+",""))=10,LEFT(SUBSTITUTE(SUBSTITUTE(SUBSTITUTE(SUBSTITUTE(SUBSTITUTE(SUBSTITUTE(SUBSTITUTE(TRIM(M24),".",""),"/",""),"-","")," ",""),"(",""),")",""),"+",""),1)&lt;&gt;"0"),AND(LEN(SUBSTITUTE(SUBSTITUTE(SUBSTITUTE(SUBSTITUTE(SUBSTITUTE(SUBSTITUTE(SUBSTITUTE(TRIM(M24),".",""),"/",""),"-","")," ",""),"(",""),")",""),"+",""))=11,LEFT(SUBSTITUTE(SUBSTITUTE(SUBSTITUTE(SUBSTITUTE(SUBSTITUTE(SUBSTITUTE(SUBSTITUTE(TRIM(M24),".",""),"/",""),"-","")," ",""),"(",""),")",""),"+",""),4)="0800")),"OK",IF(AND(LEN(SUBSTITUTE(SUBSTITUTE(SUBSTITUTE(SUBSTITUTE(SUBSTITUTE(SUBSTITUTE(SUBSTITUTE(TRIM(M24),".",""),"/",""),"-","")," ",""),"(",""),")",""),"+",""))=11,MID(SUBSTITUTE(SUBSTITUTE(SUBSTITUTE(SUBSTITUTE(SUBSTITUTE(SUBSTITUTE(SUBSTITUTE(TRIM(M24),".",""),"/",""),"-","")," ",""),"(",""),")",""),"+",""),3,1)="9"),"ERRO: é celular, use a coluna Celular","ERRO: DDD + 8 dígitos ou 0800 + 7")))</f>
      </c>
      <c r="X24" s="6">
        <f>IF(N24="","vazio",IF(AND(LEN(SUBSTITUTE(SUBSTITUTE(SUBSTITUTE(SUBSTITUTE(SUBSTITUTE(SUBSTITUTE(SUBSTITUTE(TRIM(N24),".",""),"/",""),"-","")," ",""),"(",""),")",""),"+",""))=11,MID(SUBSTITUTE(SUBSTITUTE(SUBSTITUTE(SUBSTITUTE(SUBSTITUTE(SUBSTITUTE(SUBSTITUTE(TRIM(N24),".",""),"/",""),"-","")," ",""),"(",""),")",""),"+",""),3,1)="9",LEFT(SUBSTITUTE(SUBSTITUTE(SUBSTITUTE(SUBSTITUTE(SUBSTITUTE(SUBSTITUTE(SUBSTITUTE(TRIM(N24),".",""),"/",""),"-","")," ",""),"(",""),")",""),"+",""),1)&lt;&gt;"0"),"OK",IF(LEN(SUBSTITUTE(SUBSTITUTE(SUBSTITUTE(SUBSTITUTE(SUBSTITUTE(SUBSTITUTE(SUBSTITUTE(TRIM(N24),".",""),"/",""),"-","")," ",""),"(",""),")",""),"+",""))=10,"ERRO: é fixo (ou falta o 9), use a coluna Telefone fixo","ERRO: DDD + 9 + 8 dígitos")))</f>
      </c>
      <c r="Y24" s="6">
        <f>IF(O24="","vazio",IF(AND(ISNUMBER(FIND("@",O24)),ISNUMBER(FIND(".",MID(O24,FIND("@",O24),99))),NOT(ISNUMBER(FIND(" ",TRIM(O24)))),NOT(ISNUMBER(FIND(";",O24))),NOT(ISNUMBER(FIND(",",O24)))),"OK","ERRO: um e-mail válido por linha"))</f>
      </c>
      <c r="Z24" s="6">
        <f>IF(AND(J24="",K24=""),"",IF(AND(J24&lt;&gt;"",K24&lt;&gt;""),"OK","pendente: só um nome (o GR completa ao converter)"))</f>
      </c>
      <c r="AA24" s="6">
        <f>IF(COUNTA(A24:S24)=0,"",IF(AND(A24&lt;&gt;"",B24&lt;&gt;"",C24&lt;&gt;"",D24&lt;&gt;"",E24&lt;&gt;"",F24&lt;&gt;"",G24&lt;&gt;"",H24&lt;&gt;"",OR(J24&lt;&gt;"",K24&lt;&gt;""),OR(M24&lt;&gt;"",N24&lt;&gt;"",O24&lt;&gt;"")),"OK","ERRO: faltam "&amp;IF(A24="","SDR; ","")&amp;IF(B24="","Proprietário; ","")&amp;IF(C24="","Origem; ","")&amp;IF(D24="","Temperatura; ","")&amp;IF(E24="","Segmento; ","")&amp;IF(F24="","Time/Cluster; ","")&amp;IF(G24="","CNPJ; ","")&amp;IF(H24="","Razão Social; ","")&amp;IF(AND(J24="",K24=""),"nome do contato; ","")&amp;IF(AND(M24="",N24="",O24=""),"telefone, celular ou e-mail; ","")))</f>
      </c>
      <c r="AB24" s="6">
        <f>IF(COUNTA(A24:S24)=0,"",IF(AND(U24="OK",V24="OK",LEFT(W24,4)&lt;&gt;"ERRO",LEFT(X24,4)&lt;&gt;"ERRO",LEFT(Y24,4)&lt;&gt;"ERRO",AA24="OK"),"OK","REVISAR"))</f>
      </c>
    </row>
    <row r="25">
      <c r="A25" s="5"/>
      <c r="B25" s="5"/>
      <c r="C25" s="5"/>
      <c r="D25" s="5"/>
      <c r="E25" s="5"/>
      <c r="F25" s="5"/>
      <c r="G25" s="5"/>
      <c r="H25" s="5"/>
      <c r="I25" s="4"/>
      <c r="J25" s="5"/>
      <c r="K25" s="4"/>
      <c r="L25" s="4"/>
      <c r="M25" s="4"/>
      <c r="N25" s="4"/>
      <c r="O25" s="4"/>
      <c r="P25" s="4"/>
      <c r="Q25" s="4"/>
      <c r="R25" s="4"/>
      <c r="S25" s="4"/>
      <c r="T25" s="6">
        <f>IF(G25="","",SUBSTITUTE(SUBSTITUTE(SUBSTITUTE(SUBSTITUTE(SUBSTITUTE(SUBSTITUTE(SUBSTITUTE(TRIM(G25),".",""),"/",""),"-","")," ",""),"(",""),")",""),"+",""))</f>
      </c>
      <c r="U25" s="6">
        <f>IF(T25="","",IF(LEN(T25)&lt;&gt;14,"ERRO: "&amp;LEN(T25)&amp;" dígitos",IF(NOT(ISNUMBER(VALUE(T25))),"ERRO: não numérico",IF(LEN(SUBSTITUTE(T25,LEFT(T25,1),""))=0,"ERRO: dígitos repetidos",IF(AND(VALUE(MID(T25,13,1))=IF(MOD(SUMPRODUCT(--MID(T25,{1,2,3,4,5,6,7,8,9,10,11,12},1),{5,4,3,2,9,8,7,6,5,4,3,2}),11)&lt;2,0,11-MOD(SUMPRODUCT(--MID(T25,{1,2,3,4,5,6,7,8,9,10,11,12},1),{5,4,3,2,9,8,7,6,5,4,3,2}),11)),VALUE(MID(T25,14,1))=IF(MOD(SUMPRODUCT(--MID(T25,{1,2,3,4,5,6,7,8,9,10,11,12,13},1),{6,5,4,3,2,9,8,7,6,5,4,3,2}),11)&lt;2,0,11-MOD(SUMPRODUCT(--MID(T25,{1,2,3,4,5,6,7,8,9,10,11,12,13},1),{6,5,4,3,2,9,8,7,6,5,4,3,2}),11))),"OK","ERRO: dígito verificador")))))</f>
      </c>
      <c r="V25" s="6">
        <f>IF(T25="","",IF(COUNTIF($T$2:$T$1001,T25)&gt;1,"DUPLICADO","OK"))</f>
      </c>
      <c r="W25" s="6">
        <f>IF(M25="","vazio",IF(OR(AND(LEN(SUBSTITUTE(SUBSTITUTE(SUBSTITUTE(SUBSTITUTE(SUBSTITUTE(SUBSTITUTE(SUBSTITUTE(TRIM(M25),".",""),"/",""),"-","")," ",""),"(",""),")",""),"+",""))=10,LEFT(SUBSTITUTE(SUBSTITUTE(SUBSTITUTE(SUBSTITUTE(SUBSTITUTE(SUBSTITUTE(SUBSTITUTE(TRIM(M25),".",""),"/",""),"-","")," ",""),"(",""),")",""),"+",""),1)&lt;&gt;"0"),AND(LEN(SUBSTITUTE(SUBSTITUTE(SUBSTITUTE(SUBSTITUTE(SUBSTITUTE(SUBSTITUTE(SUBSTITUTE(TRIM(M25),".",""),"/",""),"-","")," ",""),"(",""),")",""),"+",""))=11,LEFT(SUBSTITUTE(SUBSTITUTE(SUBSTITUTE(SUBSTITUTE(SUBSTITUTE(SUBSTITUTE(SUBSTITUTE(TRIM(M25),".",""),"/",""),"-","")," ",""),"(",""),")",""),"+",""),4)="0800")),"OK",IF(AND(LEN(SUBSTITUTE(SUBSTITUTE(SUBSTITUTE(SUBSTITUTE(SUBSTITUTE(SUBSTITUTE(SUBSTITUTE(TRIM(M25),".",""),"/",""),"-","")," ",""),"(",""),")",""),"+",""))=11,MID(SUBSTITUTE(SUBSTITUTE(SUBSTITUTE(SUBSTITUTE(SUBSTITUTE(SUBSTITUTE(SUBSTITUTE(TRIM(M25),".",""),"/",""),"-","")," ",""),"(",""),")",""),"+",""),3,1)="9"),"ERRO: é celular, use a coluna Celular","ERRO: DDD + 8 dígitos ou 0800 + 7")))</f>
      </c>
      <c r="X25" s="6">
        <f>IF(N25="","vazio",IF(AND(LEN(SUBSTITUTE(SUBSTITUTE(SUBSTITUTE(SUBSTITUTE(SUBSTITUTE(SUBSTITUTE(SUBSTITUTE(TRIM(N25),".",""),"/",""),"-","")," ",""),"(",""),")",""),"+",""))=11,MID(SUBSTITUTE(SUBSTITUTE(SUBSTITUTE(SUBSTITUTE(SUBSTITUTE(SUBSTITUTE(SUBSTITUTE(TRIM(N25),".",""),"/",""),"-","")," ",""),"(",""),")",""),"+",""),3,1)="9",LEFT(SUBSTITUTE(SUBSTITUTE(SUBSTITUTE(SUBSTITUTE(SUBSTITUTE(SUBSTITUTE(SUBSTITUTE(TRIM(N25),".",""),"/",""),"-","")," ",""),"(",""),")",""),"+",""),1)&lt;&gt;"0"),"OK",IF(LEN(SUBSTITUTE(SUBSTITUTE(SUBSTITUTE(SUBSTITUTE(SUBSTITUTE(SUBSTITUTE(SUBSTITUTE(TRIM(N25),".",""),"/",""),"-","")," ",""),"(",""),")",""),"+",""))=10,"ERRO: é fixo (ou falta o 9), use a coluna Telefone fixo","ERRO: DDD + 9 + 8 dígitos")))</f>
      </c>
      <c r="Y25" s="6">
        <f>IF(O25="","vazio",IF(AND(ISNUMBER(FIND("@",O25)),ISNUMBER(FIND(".",MID(O25,FIND("@",O25),99))),NOT(ISNUMBER(FIND(" ",TRIM(O25)))),NOT(ISNUMBER(FIND(";",O25))),NOT(ISNUMBER(FIND(",",O25)))),"OK","ERRO: um e-mail válido por linha"))</f>
      </c>
      <c r="Z25" s="6">
        <f>IF(AND(J25="",K25=""),"",IF(AND(J25&lt;&gt;"",K25&lt;&gt;""),"OK","pendente: só um nome (o GR completa ao converter)"))</f>
      </c>
      <c r="AA25" s="6">
        <f>IF(COUNTA(A25:S25)=0,"",IF(AND(A25&lt;&gt;"",B25&lt;&gt;"",C25&lt;&gt;"",D25&lt;&gt;"",E25&lt;&gt;"",F25&lt;&gt;"",G25&lt;&gt;"",H25&lt;&gt;"",OR(J25&lt;&gt;"",K25&lt;&gt;""),OR(M25&lt;&gt;"",N25&lt;&gt;"",O25&lt;&gt;"")),"OK","ERRO: faltam "&amp;IF(A25="","SDR; ","")&amp;IF(B25="","Proprietário; ","")&amp;IF(C25="","Origem; ","")&amp;IF(D25="","Temperatura; ","")&amp;IF(E25="","Segmento; ","")&amp;IF(F25="","Time/Cluster; ","")&amp;IF(G25="","CNPJ; ","")&amp;IF(H25="","Razão Social; ","")&amp;IF(AND(J25="",K25=""),"nome do contato; ","")&amp;IF(AND(M25="",N25="",O25=""),"telefone, celular ou e-mail; ","")))</f>
      </c>
      <c r="AB25" s="6">
        <f>IF(COUNTA(A25:S25)=0,"",IF(AND(U25="OK",V25="OK",LEFT(W25,4)&lt;&gt;"ERRO",LEFT(X25,4)&lt;&gt;"ERRO",LEFT(Y25,4)&lt;&gt;"ERRO",AA25="OK"),"OK","REVISAR"))</f>
      </c>
    </row>
    <row r="26">
      <c r="A26" s="5"/>
      <c r="B26" s="5"/>
      <c r="C26" s="5"/>
      <c r="D26" s="5"/>
      <c r="E26" s="5"/>
      <c r="F26" s="5"/>
      <c r="G26" s="5"/>
      <c r="H26" s="5"/>
      <c r="I26" s="4"/>
      <c r="J26" s="5"/>
      <c r="K26" s="4"/>
      <c r="L26" s="4"/>
      <c r="M26" s="4"/>
      <c r="N26" s="4"/>
      <c r="O26" s="4"/>
      <c r="P26" s="4"/>
      <c r="Q26" s="4"/>
      <c r="R26" s="4"/>
      <c r="S26" s="4"/>
      <c r="T26" s="6">
        <f>IF(G26="","",SUBSTITUTE(SUBSTITUTE(SUBSTITUTE(SUBSTITUTE(SUBSTITUTE(SUBSTITUTE(SUBSTITUTE(TRIM(G26),".",""),"/",""),"-","")," ",""),"(",""),")",""),"+",""))</f>
      </c>
      <c r="U26" s="6">
        <f>IF(T26="","",IF(LEN(T26)&lt;&gt;14,"ERRO: "&amp;LEN(T26)&amp;" dígitos",IF(NOT(ISNUMBER(VALUE(T26))),"ERRO: não numérico",IF(LEN(SUBSTITUTE(T26,LEFT(T26,1),""))=0,"ERRO: dígitos repetidos",IF(AND(VALUE(MID(T26,13,1))=IF(MOD(SUMPRODUCT(--MID(T26,{1,2,3,4,5,6,7,8,9,10,11,12},1),{5,4,3,2,9,8,7,6,5,4,3,2}),11)&lt;2,0,11-MOD(SUMPRODUCT(--MID(T26,{1,2,3,4,5,6,7,8,9,10,11,12},1),{5,4,3,2,9,8,7,6,5,4,3,2}),11)),VALUE(MID(T26,14,1))=IF(MOD(SUMPRODUCT(--MID(T26,{1,2,3,4,5,6,7,8,9,10,11,12,13},1),{6,5,4,3,2,9,8,7,6,5,4,3,2}),11)&lt;2,0,11-MOD(SUMPRODUCT(--MID(T26,{1,2,3,4,5,6,7,8,9,10,11,12,13},1),{6,5,4,3,2,9,8,7,6,5,4,3,2}),11))),"OK","ERRO: dígito verificador")))))</f>
      </c>
      <c r="V26" s="6">
        <f>IF(T26="","",IF(COUNTIF($T$2:$T$1001,T26)&gt;1,"DUPLICADO","OK"))</f>
      </c>
      <c r="W26" s="6">
        <f>IF(M26="","vazio",IF(OR(AND(LEN(SUBSTITUTE(SUBSTITUTE(SUBSTITUTE(SUBSTITUTE(SUBSTITUTE(SUBSTITUTE(SUBSTITUTE(TRIM(M26),".",""),"/",""),"-","")," ",""),"(",""),")",""),"+",""))=10,LEFT(SUBSTITUTE(SUBSTITUTE(SUBSTITUTE(SUBSTITUTE(SUBSTITUTE(SUBSTITUTE(SUBSTITUTE(TRIM(M26),".",""),"/",""),"-","")," ",""),"(",""),")",""),"+",""),1)&lt;&gt;"0"),AND(LEN(SUBSTITUTE(SUBSTITUTE(SUBSTITUTE(SUBSTITUTE(SUBSTITUTE(SUBSTITUTE(SUBSTITUTE(TRIM(M26),".",""),"/",""),"-","")," ",""),"(",""),")",""),"+",""))=11,LEFT(SUBSTITUTE(SUBSTITUTE(SUBSTITUTE(SUBSTITUTE(SUBSTITUTE(SUBSTITUTE(SUBSTITUTE(TRIM(M26),".",""),"/",""),"-","")," ",""),"(",""),")",""),"+",""),4)="0800")),"OK",IF(AND(LEN(SUBSTITUTE(SUBSTITUTE(SUBSTITUTE(SUBSTITUTE(SUBSTITUTE(SUBSTITUTE(SUBSTITUTE(TRIM(M26),".",""),"/",""),"-","")," ",""),"(",""),")",""),"+",""))=11,MID(SUBSTITUTE(SUBSTITUTE(SUBSTITUTE(SUBSTITUTE(SUBSTITUTE(SUBSTITUTE(SUBSTITUTE(TRIM(M26),".",""),"/",""),"-","")," ",""),"(",""),")",""),"+",""),3,1)="9"),"ERRO: é celular, use a coluna Celular","ERRO: DDD + 8 dígitos ou 0800 + 7")))</f>
      </c>
      <c r="X26" s="6">
        <f>IF(N26="","vazio",IF(AND(LEN(SUBSTITUTE(SUBSTITUTE(SUBSTITUTE(SUBSTITUTE(SUBSTITUTE(SUBSTITUTE(SUBSTITUTE(TRIM(N26),".",""),"/",""),"-","")," ",""),"(",""),")",""),"+",""))=11,MID(SUBSTITUTE(SUBSTITUTE(SUBSTITUTE(SUBSTITUTE(SUBSTITUTE(SUBSTITUTE(SUBSTITUTE(TRIM(N26),".",""),"/",""),"-","")," ",""),"(",""),")",""),"+",""),3,1)="9",LEFT(SUBSTITUTE(SUBSTITUTE(SUBSTITUTE(SUBSTITUTE(SUBSTITUTE(SUBSTITUTE(SUBSTITUTE(TRIM(N26),".",""),"/",""),"-","")," ",""),"(",""),")",""),"+",""),1)&lt;&gt;"0"),"OK",IF(LEN(SUBSTITUTE(SUBSTITUTE(SUBSTITUTE(SUBSTITUTE(SUBSTITUTE(SUBSTITUTE(SUBSTITUTE(TRIM(N26),".",""),"/",""),"-","")," ",""),"(",""),")",""),"+",""))=10,"ERRO: é fixo (ou falta o 9), use a coluna Telefone fixo","ERRO: DDD + 9 + 8 dígitos")))</f>
      </c>
      <c r="Y26" s="6">
        <f>IF(O26="","vazio",IF(AND(ISNUMBER(FIND("@",O26)),ISNUMBER(FIND(".",MID(O26,FIND("@",O26),99))),NOT(ISNUMBER(FIND(" ",TRIM(O26)))),NOT(ISNUMBER(FIND(";",O26))),NOT(ISNUMBER(FIND(",",O26)))),"OK","ERRO: um e-mail válido por linha"))</f>
      </c>
      <c r="Z26" s="6">
        <f>IF(AND(J26="",K26=""),"",IF(AND(J26&lt;&gt;"",K26&lt;&gt;""),"OK","pendente: só um nome (o GR completa ao converter)"))</f>
      </c>
      <c r="AA26" s="6">
        <f>IF(COUNTA(A26:S26)=0,"",IF(AND(A26&lt;&gt;"",B26&lt;&gt;"",C26&lt;&gt;"",D26&lt;&gt;"",E26&lt;&gt;"",F26&lt;&gt;"",G26&lt;&gt;"",H26&lt;&gt;"",OR(J26&lt;&gt;"",K26&lt;&gt;""),OR(M26&lt;&gt;"",N26&lt;&gt;"",O26&lt;&gt;"")),"OK","ERRO: faltam "&amp;IF(A26="","SDR; ","")&amp;IF(B26="","Proprietário; ","")&amp;IF(C26="","Origem; ","")&amp;IF(D26="","Temperatura; ","")&amp;IF(E26="","Segmento; ","")&amp;IF(F26="","Time/Cluster; ","")&amp;IF(G26="","CNPJ; ","")&amp;IF(H26="","Razão Social; ","")&amp;IF(AND(J26="",K26=""),"nome do contato; ","")&amp;IF(AND(M26="",N26="",O26=""),"telefone, celular ou e-mail; ","")))</f>
      </c>
      <c r="AB26" s="6">
        <f>IF(COUNTA(A26:S26)=0,"",IF(AND(U26="OK",V26="OK",LEFT(W26,4)&lt;&gt;"ERRO",LEFT(X26,4)&lt;&gt;"ERRO",LEFT(Y26,4)&lt;&gt;"ERRO",AA26="OK"),"OK","REVISAR"))</f>
      </c>
    </row>
    <row r="27">
      <c r="A27" s="5"/>
      <c r="B27" s="5"/>
      <c r="C27" s="5"/>
      <c r="D27" s="5"/>
      <c r="E27" s="5"/>
      <c r="F27" s="5"/>
      <c r="G27" s="5"/>
      <c r="H27" s="5"/>
      <c r="I27" s="4"/>
      <c r="J27" s="5"/>
      <c r="K27" s="4"/>
      <c r="L27" s="4"/>
      <c r="M27" s="4"/>
      <c r="N27" s="4"/>
      <c r="O27" s="4"/>
      <c r="P27" s="4"/>
      <c r="Q27" s="4"/>
      <c r="R27" s="4"/>
      <c r="S27" s="4"/>
      <c r="T27" s="6">
        <f>IF(G27="","",SUBSTITUTE(SUBSTITUTE(SUBSTITUTE(SUBSTITUTE(SUBSTITUTE(SUBSTITUTE(SUBSTITUTE(TRIM(G27),".",""),"/",""),"-","")," ",""),"(",""),")",""),"+",""))</f>
      </c>
      <c r="U27" s="6">
        <f>IF(T27="","",IF(LEN(T27)&lt;&gt;14,"ERRO: "&amp;LEN(T27)&amp;" dígitos",IF(NOT(ISNUMBER(VALUE(T27))),"ERRO: não numérico",IF(LEN(SUBSTITUTE(T27,LEFT(T27,1),""))=0,"ERRO: dígitos repetidos",IF(AND(VALUE(MID(T27,13,1))=IF(MOD(SUMPRODUCT(--MID(T27,{1,2,3,4,5,6,7,8,9,10,11,12},1),{5,4,3,2,9,8,7,6,5,4,3,2}),11)&lt;2,0,11-MOD(SUMPRODUCT(--MID(T27,{1,2,3,4,5,6,7,8,9,10,11,12},1),{5,4,3,2,9,8,7,6,5,4,3,2}),11)),VALUE(MID(T27,14,1))=IF(MOD(SUMPRODUCT(--MID(T27,{1,2,3,4,5,6,7,8,9,10,11,12,13},1),{6,5,4,3,2,9,8,7,6,5,4,3,2}),11)&lt;2,0,11-MOD(SUMPRODUCT(--MID(T27,{1,2,3,4,5,6,7,8,9,10,11,12,13},1),{6,5,4,3,2,9,8,7,6,5,4,3,2}),11))),"OK","ERRO: dígito verificador")))))</f>
      </c>
      <c r="V27" s="6">
        <f>IF(T27="","",IF(COUNTIF($T$2:$T$1001,T27)&gt;1,"DUPLICADO","OK"))</f>
      </c>
      <c r="W27" s="6">
        <f>IF(M27="","vazio",IF(OR(AND(LEN(SUBSTITUTE(SUBSTITUTE(SUBSTITUTE(SUBSTITUTE(SUBSTITUTE(SUBSTITUTE(SUBSTITUTE(TRIM(M27),".",""),"/",""),"-","")," ",""),"(",""),")",""),"+",""))=10,LEFT(SUBSTITUTE(SUBSTITUTE(SUBSTITUTE(SUBSTITUTE(SUBSTITUTE(SUBSTITUTE(SUBSTITUTE(TRIM(M27),".",""),"/",""),"-","")," ",""),"(",""),")",""),"+",""),1)&lt;&gt;"0"),AND(LEN(SUBSTITUTE(SUBSTITUTE(SUBSTITUTE(SUBSTITUTE(SUBSTITUTE(SUBSTITUTE(SUBSTITUTE(TRIM(M27),".",""),"/",""),"-","")," ",""),"(",""),")",""),"+",""))=11,LEFT(SUBSTITUTE(SUBSTITUTE(SUBSTITUTE(SUBSTITUTE(SUBSTITUTE(SUBSTITUTE(SUBSTITUTE(TRIM(M27),".",""),"/",""),"-","")," ",""),"(",""),")",""),"+",""),4)="0800")),"OK",IF(AND(LEN(SUBSTITUTE(SUBSTITUTE(SUBSTITUTE(SUBSTITUTE(SUBSTITUTE(SUBSTITUTE(SUBSTITUTE(TRIM(M27),".",""),"/",""),"-","")," ",""),"(",""),")",""),"+",""))=11,MID(SUBSTITUTE(SUBSTITUTE(SUBSTITUTE(SUBSTITUTE(SUBSTITUTE(SUBSTITUTE(SUBSTITUTE(TRIM(M27),".",""),"/",""),"-","")," ",""),"(",""),")",""),"+",""),3,1)="9"),"ERRO: é celular, use a coluna Celular","ERRO: DDD + 8 dígitos ou 0800 + 7")))</f>
      </c>
      <c r="X27" s="6">
        <f>IF(N27="","vazio",IF(AND(LEN(SUBSTITUTE(SUBSTITUTE(SUBSTITUTE(SUBSTITUTE(SUBSTITUTE(SUBSTITUTE(SUBSTITUTE(TRIM(N27),".",""),"/",""),"-","")," ",""),"(",""),")",""),"+",""))=11,MID(SUBSTITUTE(SUBSTITUTE(SUBSTITUTE(SUBSTITUTE(SUBSTITUTE(SUBSTITUTE(SUBSTITUTE(TRIM(N27),".",""),"/",""),"-","")," ",""),"(",""),")",""),"+",""),3,1)="9",LEFT(SUBSTITUTE(SUBSTITUTE(SUBSTITUTE(SUBSTITUTE(SUBSTITUTE(SUBSTITUTE(SUBSTITUTE(TRIM(N27),".",""),"/",""),"-","")," ",""),"(",""),")",""),"+",""),1)&lt;&gt;"0"),"OK",IF(LEN(SUBSTITUTE(SUBSTITUTE(SUBSTITUTE(SUBSTITUTE(SUBSTITUTE(SUBSTITUTE(SUBSTITUTE(TRIM(N27),".",""),"/",""),"-","")," ",""),"(",""),")",""),"+",""))=10,"ERRO: é fixo (ou falta o 9), use a coluna Telefone fixo","ERRO: DDD + 9 + 8 dígitos")))</f>
      </c>
      <c r="Y27" s="6">
        <f>IF(O27="","vazio",IF(AND(ISNUMBER(FIND("@",O27)),ISNUMBER(FIND(".",MID(O27,FIND("@",O27),99))),NOT(ISNUMBER(FIND(" ",TRIM(O27)))),NOT(ISNUMBER(FIND(";",O27))),NOT(ISNUMBER(FIND(",",O27)))),"OK","ERRO: um e-mail válido por linha"))</f>
      </c>
      <c r="Z27" s="6">
        <f>IF(AND(J27="",K27=""),"",IF(AND(J27&lt;&gt;"",K27&lt;&gt;""),"OK","pendente: só um nome (o GR completa ao converter)"))</f>
      </c>
      <c r="AA27" s="6">
        <f>IF(COUNTA(A27:S27)=0,"",IF(AND(A27&lt;&gt;"",B27&lt;&gt;"",C27&lt;&gt;"",D27&lt;&gt;"",E27&lt;&gt;"",F27&lt;&gt;"",G27&lt;&gt;"",H27&lt;&gt;"",OR(J27&lt;&gt;"",K27&lt;&gt;""),OR(M27&lt;&gt;"",N27&lt;&gt;"",O27&lt;&gt;"")),"OK","ERRO: faltam "&amp;IF(A27="","SDR; ","")&amp;IF(B27="","Proprietário; ","")&amp;IF(C27="","Origem; ","")&amp;IF(D27="","Temperatura; ","")&amp;IF(E27="","Segmento; ","")&amp;IF(F27="","Time/Cluster; ","")&amp;IF(G27="","CNPJ; ","")&amp;IF(H27="","Razão Social; ","")&amp;IF(AND(J27="",K27=""),"nome do contato; ","")&amp;IF(AND(M27="",N27="",O27=""),"telefone, celular ou e-mail; ","")))</f>
      </c>
      <c r="AB27" s="6">
        <f>IF(COUNTA(A27:S27)=0,"",IF(AND(U27="OK",V27="OK",LEFT(W27,4)&lt;&gt;"ERRO",LEFT(X27,4)&lt;&gt;"ERRO",LEFT(Y27,4)&lt;&gt;"ERRO",AA27="OK"),"OK","REVISAR"))</f>
      </c>
    </row>
    <row r="28">
      <c r="A28" s="5"/>
      <c r="B28" s="5"/>
      <c r="C28" s="5"/>
      <c r="D28" s="5"/>
      <c r="E28" s="5"/>
      <c r="F28" s="5"/>
      <c r="G28" s="5"/>
      <c r="H28" s="5"/>
      <c r="I28" s="4"/>
      <c r="J28" s="5"/>
      <c r="K28" s="4"/>
      <c r="L28" s="4"/>
      <c r="M28" s="4"/>
      <c r="N28" s="4"/>
      <c r="O28" s="4"/>
      <c r="P28" s="4"/>
      <c r="Q28" s="4"/>
      <c r="R28" s="4"/>
      <c r="S28" s="4"/>
      <c r="T28" s="6">
        <f>IF(G28="","",SUBSTITUTE(SUBSTITUTE(SUBSTITUTE(SUBSTITUTE(SUBSTITUTE(SUBSTITUTE(SUBSTITUTE(TRIM(G28),".",""),"/",""),"-","")," ",""),"(",""),")",""),"+",""))</f>
      </c>
      <c r="U28" s="6">
        <f>IF(T28="","",IF(LEN(T28)&lt;&gt;14,"ERRO: "&amp;LEN(T28)&amp;" dígitos",IF(NOT(ISNUMBER(VALUE(T28))),"ERRO: não numérico",IF(LEN(SUBSTITUTE(T28,LEFT(T28,1),""))=0,"ERRO: dígitos repetidos",IF(AND(VALUE(MID(T28,13,1))=IF(MOD(SUMPRODUCT(--MID(T28,{1,2,3,4,5,6,7,8,9,10,11,12},1),{5,4,3,2,9,8,7,6,5,4,3,2}),11)&lt;2,0,11-MOD(SUMPRODUCT(--MID(T28,{1,2,3,4,5,6,7,8,9,10,11,12},1),{5,4,3,2,9,8,7,6,5,4,3,2}),11)),VALUE(MID(T28,14,1))=IF(MOD(SUMPRODUCT(--MID(T28,{1,2,3,4,5,6,7,8,9,10,11,12,13},1),{6,5,4,3,2,9,8,7,6,5,4,3,2}),11)&lt;2,0,11-MOD(SUMPRODUCT(--MID(T28,{1,2,3,4,5,6,7,8,9,10,11,12,13},1),{6,5,4,3,2,9,8,7,6,5,4,3,2}),11))),"OK","ERRO: dígito verificador")))))</f>
      </c>
      <c r="V28" s="6">
        <f>IF(T28="","",IF(COUNTIF($T$2:$T$1001,T28)&gt;1,"DUPLICADO","OK"))</f>
      </c>
      <c r="W28" s="6">
        <f>IF(M28="","vazio",IF(OR(AND(LEN(SUBSTITUTE(SUBSTITUTE(SUBSTITUTE(SUBSTITUTE(SUBSTITUTE(SUBSTITUTE(SUBSTITUTE(TRIM(M28),".",""),"/",""),"-","")," ",""),"(",""),")",""),"+",""))=10,LEFT(SUBSTITUTE(SUBSTITUTE(SUBSTITUTE(SUBSTITUTE(SUBSTITUTE(SUBSTITUTE(SUBSTITUTE(TRIM(M28),".",""),"/",""),"-","")," ",""),"(",""),")",""),"+",""),1)&lt;&gt;"0"),AND(LEN(SUBSTITUTE(SUBSTITUTE(SUBSTITUTE(SUBSTITUTE(SUBSTITUTE(SUBSTITUTE(SUBSTITUTE(TRIM(M28),".",""),"/",""),"-","")," ",""),"(",""),")",""),"+",""))=11,LEFT(SUBSTITUTE(SUBSTITUTE(SUBSTITUTE(SUBSTITUTE(SUBSTITUTE(SUBSTITUTE(SUBSTITUTE(TRIM(M28),".",""),"/",""),"-","")," ",""),"(",""),")",""),"+",""),4)="0800")),"OK",IF(AND(LEN(SUBSTITUTE(SUBSTITUTE(SUBSTITUTE(SUBSTITUTE(SUBSTITUTE(SUBSTITUTE(SUBSTITUTE(TRIM(M28),".",""),"/",""),"-","")," ",""),"(",""),")",""),"+",""))=11,MID(SUBSTITUTE(SUBSTITUTE(SUBSTITUTE(SUBSTITUTE(SUBSTITUTE(SUBSTITUTE(SUBSTITUTE(TRIM(M28),".",""),"/",""),"-","")," ",""),"(",""),")",""),"+",""),3,1)="9"),"ERRO: é celular, use a coluna Celular","ERRO: DDD + 8 dígitos ou 0800 + 7")))</f>
      </c>
      <c r="X28" s="6">
        <f>IF(N28="","vazio",IF(AND(LEN(SUBSTITUTE(SUBSTITUTE(SUBSTITUTE(SUBSTITUTE(SUBSTITUTE(SUBSTITUTE(SUBSTITUTE(TRIM(N28),".",""),"/",""),"-","")," ",""),"(",""),")",""),"+",""))=11,MID(SUBSTITUTE(SUBSTITUTE(SUBSTITUTE(SUBSTITUTE(SUBSTITUTE(SUBSTITUTE(SUBSTITUTE(TRIM(N28),".",""),"/",""),"-","")," ",""),"(",""),")",""),"+",""),3,1)="9",LEFT(SUBSTITUTE(SUBSTITUTE(SUBSTITUTE(SUBSTITUTE(SUBSTITUTE(SUBSTITUTE(SUBSTITUTE(TRIM(N28),".",""),"/",""),"-","")," ",""),"(",""),")",""),"+",""),1)&lt;&gt;"0"),"OK",IF(LEN(SUBSTITUTE(SUBSTITUTE(SUBSTITUTE(SUBSTITUTE(SUBSTITUTE(SUBSTITUTE(SUBSTITUTE(TRIM(N28),".",""),"/",""),"-","")," ",""),"(",""),")",""),"+",""))=10,"ERRO: é fixo (ou falta o 9), use a coluna Telefone fixo","ERRO: DDD + 9 + 8 dígitos")))</f>
      </c>
      <c r="Y28" s="6">
        <f>IF(O28="","vazio",IF(AND(ISNUMBER(FIND("@",O28)),ISNUMBER(FIND(".",MID(O28,FIND("@",O28),99))),NOT(ISNUMBER(FIND(" ",TRIM(O28)))),NOT(ISNUMBER(FIND(";",O28))),NOT(ISNUMBER(FIND(",",O28)))),"OK","ERRO: um e-mail válido por linha"))</f>
      </c>
      <c r="Z28" s="6">
        <f>IF(AND(J28="",K28=""),"",IF(AND(J28&lt;&gt;"",K28&lt;&gt;""),"OK","pendente: só um nome (o GR completa ao converter)"))</f>
      </c>
      <c r="AA28" s="6">
        <f>IF(COUNTA(A28:S28)=0,"",IF(AND(A28&lt;&gt;"",B28&lt;&gt;"",C28&lt;&gt;"",D28&lt;&gt;"",E28&lt;&gt;"",F28&lt;&gt;"",G28&lt;&gt;"",H28&lt;&gt;"",OR(J28&lt;&gt;"",K28&lt;&gt;""),OR(M28&lt;&gt;"",N28&lt;&gt;"",O28&lt;&gt;"")),"OK","ERRO: faltam "&amp;IF(A28="","SDR; ","")&amp;IF(B28="","Proprietário; ","")&amp;IF(C28="","Origem; ","")&amp;IF(D28="","Temperatura; ","")&amp;IF(E28="","Segmento; ","")&amp;IF(F28="","Time/Cluster; ","")&amp;IF(G28="","CNPJ; ","")&amp;IF(H28="","Razão Social; ","")&amp;IF(AND(J28="",K28=""),"nome do contato; ","")&amp;IF(AND(M28="",N28="",O28=""),"telefone, celular ou e-mail; ","")))</f>
      </c>
      <c r="AB28" s="6">
        <f>IF(COUNTA(A28:S28)=0,"",IF(AND(U28="OK",V28="OK",LEFT(W28,4)&lt;&gt;"ERRO",LEFT(X28,4)&lt;&gt;"ERRO",LEFT(Y28,4)&lt;&gt;"ERRO",AA28="OK"),"OK","REVISAR"))</f>
      </c>
    </row>
    <row r="29">
      <c r="A29" s="5"/>
      <c r="B29" s="5"/>
      <c r="C29" s="5"/>
      <c r="D29" s="5"/>
      <c r="E29" s="5"/>
      <c r="F29" s="5"/>
      <c r="G29" s="5"/>
      <c r="H29" s="5"/>
      <c r="I29" s="4"/>
      <c r="J29" s="5"/>
      <c r="K29" s="4"/>
      <c r="L29" s="4"/>
      <c r="M29" s="4"/>
      <c r="N29" s="4"/>
      <c r="O29" s="4"/>
      <c r="P29" s="4"/>
      <c r="Q29" s="4"/>
      <c r="R29" s="4"/>
      <c r="S29" s="4"/>
      <c r="T29" s="6">
        <f>IF(G29="","",SUBSTITUTE(SUBSTITUTE(SUBSTITUTE(SUBSTITUTE(SUBSTITUTE(SUBSTITUTE(SUBSTITUTE(TRIM(G29),".",""),"/",""),"-","")," ",""),"(",""),")",""),"+",""))</f>
      </c>
      <c r="U29" s="6">
        <f>IF(T29="","",IF(LEN(T29)&lt;&gt;14,"ERRO: "&amp;LEN(T29)&amp;" dígitos",IF(NOT(ISNUMBER(VALUE(T29))),"ERRO: não numérico",IF(LEN(SUBSTITUTE(T29,LEFT(T29,1),""))=0,"ERRO: dígitos repetidos",IF(AND(VALUE(MID(T29,13,1))=IF(MOD(SUMPRODUCT(--MID(T29,{1,2,3,4,5,6,7,8,9,10,11,12},1),{5,4,3,2,9,8,7,6,5,4,3,2}),11)&lt;2,0,11-MOD(SUMPRODUCT(--MID(T29,{1,2,3,4,5,6,7,8,9,10,11,12},1),{5,4,3,2,9,8,7,6,5,4,3,2}),11)),VALUE(MID(T29,14,1))=IF(MOD(SUMPRODUCT(--MID(T29,{1,2,3,4,5,6,7,8,9,10,11,12,13},1),{6,5,4,3,2,9,8,7,6,5,4,3,2}),11)&lt;2,0,11-MOD(SUMPRODUCT(--MID(T29,{1,2,3,4,5,6,7,8,9,10,11,12,13},1),{6,5,4,3,2,9,8,7,6,5,4,3,2}),11))),"OK","ERRO: dígito verificador")))))</f>
      </c>
      <c r="V29" s="6">
        <f>IF(T29="","",IF(COUNTIF($T$2:$T$1001,T29)&gt;1,"DUPLICADO","OK"))</f>
      </c>
      <c r="W29" s="6">
        <f>IF(M29="","vazio",IF(OR(AND(LEN(SUBSTITUTE(SUBSTITUTE(SUBSTITUTE(SUBSTITUTE(SUBSTITUTE(SUBSTITUTE(SUBSTITUTE(TRIM(M29),".",""),"/",""),"-","")," ",""),"(",""),")",""),"+",""))=10,LEFT(SUBSTITUTE(SUBSTITUTE(SUBSTITUTE(SUBSTITUTE(SUBSTITUTE(SUBSTITUTE(SUBSTITUTE(TRIM(M29),".",""),"/",""),"-","")," ",""),"(",""),")",""),"+",""),1)&lt;&gt;"0"),AND(LEN(SUBSTITUTE(SUBSTITUTE(SUBSTITUTE(SUBSTITUTE(SUBSTITUTE(SUBSTITUTE(SUBSTITUTE(TRIM(M29),".",""),"/",""),"-","")," ",""),"(",""),")",""),"+",""))=11,LEFT(SUBSTITUTE(SUBSTITUTE(SUBSTITUTE(SUBSTITUTE(SUBSTITUTE(SUBSTITUTE(SUBSTITUTE(TRIM(M29),".",""),"/",""),"-","")," ",""),"(",""),")",""),"+",""),4)="0800")),"OK",IF(AND(LEN(SUBSTITUTE(SUBSTITUTE(SUBSTITUTE(SUBSTITUTE(SUBSTITUTE(SUBSTITUTE(SUBSTITUTE(TRIM(M29),".",""),"/",""),"-","")," ",""),"(",""),")",""),"+",""))=11,MID(SUBSTITUTE(SUBSTITUTE(SUBSTITUTE(SUBSTITUTE(SUBSTITUTE(SUBSTITUTE(SUBSTITUTE(TRIM(M29),".",""),"/",""),"-","")," ",""),"(",""),")",""),"+",""),3,1)="9"),"ERRO: é celular, use a coluna Celular","ERRO: DDD + 8 dígitos ou 0800 + 7")))</f>
      </c>
      <c r="X29" s="6">
        <f>IF(N29="","vazio",IF(AND(LEN(SUBSTITUTE(SUBSTITUTE(SUBSTITUTE(SUBSTITUTE(SUBSTITUTE(SUBSTITUTE(SUBSTITUTE(TRIM(N29),".",""),"/",""),"-","")," ",""),"(",""),")",""),"+",""))=11,MID(SUBSTITUTE(SUBSTITUTE(SUBSTITUTE(SUBSTITUTE(SUBSTITUTE(SUBSTITUTE(SUBSTITUTE(TRIM(N29),".",""),"/",""),"-","")," ",""),"(",""),")",""),"+",""),3,1)="9",LEFT(SUBSTITUTE(SUBSTITUTE(SUBSTITUTE(SUBSTITUTE(SUBSTITUTE(SUBSTITUTE(SUBSTITUTE(TRIM(N29),".",""),"/",""),"-","")," ",""),"(",""),")",""),"+",""),1)&lt;&gt;"0"),"OK",IF(LEN(SUBSTITUTE(SUBSTITUTE(SUBSTITUTE(SUBSTITUTE(SUBSTITUTE(SUBSTITUTE(SUBSTITUTE(TRIM(N29),".",""),"/",""),"-","")," ",""),"(",""),")",""),"+",""))=10,"ERRO: é fixo (ou falta o 9), use a coluna Telefone fixo","ERRO: DDD + 9 + 8 dígitos")))</f>
      </c>
      <c r="Y29" s="6">
        <f>IF(O29="","vazio",IF(AND(ISNUMBER(FIND("@",O29)),ISNUMBER(FIND(".",MID(O29,FIND("@",O29),99))),NOT(ISNUMBER(FIND(" ",TRIM(O29)))),NOT(ISNUMBER(FIND(";",O29))),NOT(ISNUMBER(FIND(",",O29)))),"OK","ERRO: um e-mail válido por linha"))</f>
      </c>
      <c r="Z29" s="6">
        <f>IF(AND(J29="",K29=""),"",IF(AND(J29&lt;&gt;"",K29&lt;&gt;""),"OK","pendente: só um nome (o GR completa ao converter)"))</f>
      </c>
      <c r="AA29" s="6">
        <f>IF(COUNTA(A29:S29)=0,"",IF(AND(A29&lt;&gt;"",B29&lt;&gt;"",C29&lt;&gt;"",D29&lt;&gt;"",E29&lt;&gt;"",F29&lt;&gt;"",G29&lt;&gt;"",H29&lt;&gt;"",OR(J29&lt;&gt;"",K29&lt;&gt;""),OR(M29&lt;&gt;"",N29&lt;&gt;"",O29&lt;&gt;"")),"OK","ERRO: faltam "&amp;IF(A29="","SDR; ","")&amp;IF(B29="","Proprietário; ","")&amp;IF(C29="","Origem; ","")&amp;IF(D29="","Temperatura; ","")&amp;IF(E29="","Segmento; ","")&amp;IF(F29="","Time/Cluster; ","")&amp;IF(G29="","CNPJ; ","")&amp;IF(H29="","Razão Social; ","")&amp;IF(AND(J29="",K29=""),"nome do contato; ","")&amp;IF(AND(M29="",N29="",O29=""),"telefone, celular ou e-mail; ","")))</f>
      </c>
      <c r="AB29" s="6">
        <f>IF(COUNTA(A29:S29)=0,"",IF(AND(U29="OK",V29="OK",LEFT(W29,4)&lt;&gt;"ERRO",LEFT(X29,4)&lt;&gt;"ERRO",LEFT(Y29,4)&lt;&gt;"ERRO",AA29="OK"),"OK","REVISAR"))</f>
      </c>
    </row>
    <row r="30">
      <c r="A30" s="5"/>
      <c r="B30" s="5"/>
      <c r="C30" s="5"/>
      <c r="D30" s="5"/>
      <c r="E30" s="5"/>
      <c r="F30" s="5"/>
      <c r="G30" s="5"/>
      <c r="H30" s="5"/>
      <c r="I30" s="4"/>
      <c r="J30" s="5"/>
      <c r="K30" s="4"/>
      <c r="L30" s="4"/>
      <c r="M30" s="4"/>
      <c r="N30" s="4"/>
      <c r="O30" s="4"/>
      <c r="P30" s="4"/>
      <c r="Q30" s="4"/>
      <c r="R30" s="4"/>
      <c r="S30" s="4"/>
      <c r="T30" s="6">
        <f>IF(G30="","",SUBSTITUTE(SUBSTITUTE(SUBSTITUTE(SUBSTITUTE(SUBSTITUTE(SUBSTITUTE(SUBSTITUTE(TRIM(G30),".",""),"/",""),"-","")," ",""),"(",""),")",""),"+",""))</f>
      </c>
      <c r="U30" s="6">
        <f>IF(T30="","",IF(LEN(T30)&lt;&gt;14,"ERRO: "&amp;LEN(T30)&amp;" dígitos",IF(NOT(ISNUMBER(VALUE(T30))),"ERRO: não numérico",IF(LEN(SUBSTITUTE(T30,LEFT(T30,1),""))=0,"ERRO: dígitos repetidos",IF(AND(VALUE(MID(T30,13,1))=IF(MOD(SUMPRODUCT(--MID(T30,{1,2,3,4,5,6,7,8,9,10,11,12},1),{5,4,3,2,9,8,7,6,5,4,3,2}),11)&lt;2,0,11-MOD(SUMPRODUCT(--MID(T30,{1,2,3,4,5,6,7,8,9,10,11,12},1),{5,4,3,2,9,8,7,6,5,4,3,2}),11)),VALUE(MID(T30,14,1))=IF(MOD(SUMPRODUCT(--MID(T30,{1,2,3,4,5,6,7,8,9,10,11,12,13},1),{6,5,4,3,2,9,8,7,6,5,4,3,2}),11)&lt;2,0,11-MOD(SUMPRODUCT(--MID(T30,{1,2,3,4,5,6,7,8,9,10,11,12,13},1),{6,5,4,3,2,9,8,7,6,5,4,3,2}),11))),"OK","ERRO: dígito verificador")))))</f>
      </c>
      <c r="V30" s="6">
        <f>IF(T30="","",IF(COUNTIF($T$2:$T$1001,T30)&gt;1,"DUPLICADO","OK"))</f>
      </c>
      <c r="W30" s="6">
        <f>IF(M30="","vazio",IF(OR(AND(LEN(SUBSTITUTE(SUBSTITUTE(SUBSTITUTE(SUBSTITUTE(SUBSTITUTE(SUBSTITUTE(SUBSTITUTE(TRIM(M30),".",""),"/",""),"-","")," ",""),"(",""),")",""),"+",""))=10,LEFT(SUBSTITUTE(SUBSTITUTE(SUBSTITUTE(SUBSTITUTE(SUBSTITUTE(SUBSTITUTE(SUBSTITUTE(TRIM(M30),".",""),"/",""),"-","")," ",""),"(",""),")",""),"+",""),1)&lt;&gt;"0"),AND(LEN(SUBSTITUTE(SUBSTITUTE(SUBSTITUTE(SUBSTITUTE(SUBSTITUTE(SUBSTITUTE(SUBSTITUTE(TRIM(M30),".",""),"/",""),"-","")," ",""),"(",""),")",""),"+",""))=11,LEFT(SUBSTITUTE(SUBSTITUTE(SUBSTITUTE(SUBSTITUTE(SUBSTITUTE(SUBSTITUTE(SUBSTITUTE(TRIM(M30),".",""),"/",""),"-","")," ",""),"(",""),")",""),"+",""),4)="0800")),"OK",IF(AND(LEN(SUBSTITUTE(SUBSTITUTE(SUBSTITUTE(SUBSTITUTE(SUBSTITUTE(SUBSTITUTE(SUBSTITUTE(TRIM(M30),".",""),"/",""),"-","")," ",""),"(",""),")",""),"+",""))=11,MID(SUBSTITUTE(SUBSTITUTE(SUBSTITUTE(SUBSTITUTE(SUBSTITUTE(SUBSTITUTE(SUBSTITUTE(TRIM(M30),".",""),"/",""),"-","")," ",""),"(",""),")",""),"+",""),3,1)="9"),"ERRO: é celular, use a coluna Celular","ERRO: DDD + 8 dígitos ou 0800 + 7")))</f>
      </c>
      <c r="X30" s="6">
        <f>IF(N30="","vazio",IF(AND(LEN(SUBSTITUTE(SUBSTITUTE(SUBSTITUTE(SUBSTITUTE(SUBSTITUTE(SUBSTITUTE(SUBSTITUTE(TRIM(N30),".",""),"/",""),"-","")," ",""),"(",""),")",""),"+",""))=11,MID(SUBSTITUTE(SUBSTITUTE(SUBSTITUTE(SUBSTITUTE(SUBSTITUTE(SUBSTITUTE(SUBSTITUTE(TRIM(N30),".",""),"/",""),"-","")," ",""),"(",""),")",""),"+",""),3,1)="9",LEFT(SUBSTITUTE(SUBSTITUTE(SUBSTITUTE(SUBSTITUTE(SUBSTITUTE(SUBSTITUTE(SUBSTITUTE(TRIM(N30),".",""),"/",""),"-","")," ",""),"(",""),")",""),"+",""),1)&lt;&gt;"0"),"OK",IF(LEN(SUBSTITUTE(SUBSTITUTE(SUBSTITUTE(SUBSTITUTE(SUBSTITUTE(SUBSTITUTE(SUBSTITUTE(TRIM(N30),".",""),"/",""),"-","")," ",""),"(",""),")",""),"+",""))=10,"ERRO: é fixo (ou falta o 9), use a coluna Telefone fixo","ERRO: DDD + 9 + 8 dígitos")))</f>
      </c>
      <c r="Y30" s="6">
        <f>IF(O30="","vazio",IF(AND(ISNUMBER(FIND("@",O30)),ISNUMBER(FIND(".",MID(O30,FIND("@",O30),99))),NOT(ISNUMBER(FIND(" ",TRIM(O30)))),NOT(ISNUMBER(FIND(";",O30))),NOT(ISNUMBER(FIND(",",O30)))),"OK","ERRO: um e-mail válido por linha"))</f>
      </c>
      <c r="Z30" s="6">
        <f>IF(AND(J30="",K30=""),"",IF(AND(J30&lt;&gt;"",K30&lt;&gt;""),"OK","pendente: só um nome (o GR completa ao converter)"))</f>
      </c>
      <c r="AA30" s="6">
        <f>IF(COUNTA(A30:S30)=0,"",IF(AND(A30&lt;&gt;"",B30&lt;&gt;"",C30&lt;&gt;"",D30&lt;&gt;"",E30&lt;&gt;"",F30&lt;&gt;"",G30&lt;&gt;"",H30&lt;&gt;"",OR(J30&lt;&gt;"",K30&lt;&gt;""),OR(M30&lt;&gt;"",N30&lt;&gt;"",O30&lt;&gt;"")),"OK","ERRO: faltam "&amp;IF(A30="","SDR; ","")&amp;IF(B30="","Proprietário; ","")&amp;IF(C30="","Origem; ","")&amp;IF(D30="","Temperatura; ","")&amp;IF(E30="","Segmento; ","")&amp;IF(F30="","Time/Cluster; ","")&amp;IF(G30="","CNPJ; ","")&amp;IF(H30="","Razão Social; ","")&amp;IF(AND(J30="",K30=""),"nome do contato; ","")&amp;IF(AND(M30="",N30="",O30=""),"telefone, celular ou e-mail; ","")))</f>
      </c>
      <c r="AB30" s="6">
        <f>IF(COUNTA(A30:S30)=0,"",IF(AND(U30="OK",V30="OK",LEFT(W30,4)&lt;&gt;"ERRO",LEFT(X30,4)&lt;&gt;"ERRO",LEFT(Y30,4)&lt;&gt;"ERRO",AA30="OK"),"OK","REVISAR"))</f>
      </c>
    </row>
    <row r="31">
      <c r="A31" s="5"/>
      <c r="B31" s="5"/>
      <c r="C31" s="5"/>
      <c r="D31" s="5"/>
      <c r="E31" s="5"/>
      <c r="F31" s="5"/>
      <c r="G31" s="5"/>
      <c r="H31" s="5"/>
      <c r="I31" s="4"/>
      <c r="J31" s="5"/>
      <c r="K31" s="4"/>
      <c r="L31" s="4"/>
      <c r="M31" s="4"/>
      <c r="N31" s="4"/>
      <c r="O31" s="4"/>
      <c r="P31" s="4"/>
      <c r="Q31" s="4"/>
      <c r="R31" s="4"/>
      <c r="S31" s="4"/>
      <c r="T31" s="6">
        <f>IF(G31="","",SUBSTITUTE(SUBSTITUTE(SUBSTITUTE(SUBSTITUTE(SUBSTITUTE(SUBSTITUTE(SUBSTITUTE(TRIM(G31),".",""),"/",""),"-","")," ",""),"(",""),")",""),"+",""))</f>
      </c>
      <c r="U31" s="6">
        <f>IF(T31="","",IF(LEN(T31)&lt;&gt;14,"ERRO: "&amp;LEN(T31)&amp;" dígitos",IF(NOT(ISNUMBER(VALUE(T31))),"ERRO: não numérico",IF(LEN(SUBSTITUTE(T31,LEFT(T31,1),""))=0,"ERRO: dígitos repetidos",IF(AND(VALUE(MID(T31,13,1))=IF(MOD(SUMPRODUCT(--MID(T31,{1,2,3,4,5,6,7,8,9,10,11,12},1),{5,4,3,2,9,8,7,6,5,4,3,2}),11)&lt;2,0,11-MOD(SUMPRODUCT(--MID(T31,{1,2,3,4,5,6,7,8,9,10,11,12},1),{5,4,3,2,9,8,7,6,5,4,3,2}),11)),VALUE(MID(T31,14,1))=IF(MOD(SUMPRODUCT(--MID(T31,{1,2,3,4,5,6,7,8,9,10,11,12,13},1),{6,5,4,3,2,9,8,7,6,5,4,3,2}),11)&lt;2,0,11-MOD(SUMPRODUCT(--MID(T31,{1,2,3,4,5,6,7,8,9,10,11,12,13},1),{6,5,4,3,2,9,8,7,6,5,4,3,2}),11))),"OK","ERRO: dígito verificador")))))</f>
      </c>
      <c r="V31" s="6">
        <f>IF(T31="","",IF(COUNTIF($T$2:$T$1001,T31)&gt;1,"DUPLICADO","OK"))</f>
      </c>
      <c r="W31" s="6">
        <f>IF(M31="","vazio",IF(OR(AND(LEN(SUBSTITUTE(SUBSTITUTE(SUBSTITUTE(SUBSTITUTE(SUBSTITUTE(SUBSTITUTE(SUBSTITUTE(TRIM(M31),".",""),"/",""),"-","")," ",""),"(",""),")",""),"+",""))=10,LEFT(SUBSTITUTE(SUBSTITUTE(SUBSTITUTE(SUBSTITUTE(SUBSTITUTE(SUBSTITUTE(SUBSTITUTE(TRIM(M31),".",""),"/",""),"-","")," ",""),"(",""),")",""),"+",""),1)&lt;&gt;"0"),AND(LEN(SUBSTITUTE(SUBSTITUTE(SUBSTITUTE(SUBSTITUTE(SUBSTITUTE(SUBSTITUTE(SUBSTITUTE(TRIM(M31),".",""),"/",""),"-","")," ",""),"(",""),")",""),"+",""))=11,LEFT(SUBSTITUTE(SUBSTITUTE(SUBSTITUTE(SUBSTITUTE(SUBSTITUTE(SUBSTITUTE(SUBSTITUTE(TRIM(M31),".",""),"/",""),"-","")," ",""),"(",""),")",""),"+",""),4)="0800")),"OK",IF(AND(LEN(SUBSTITUTE(SUBSTITUTE(SUBSTITUTE(SUBSTITUTE(SUBSTITUTE(SUBSTITUTE(SUBSTITUTE(TRIM(M31),".",""),"/",""),"-","")," ",""),"(",""),")",""),"+",""))=11,MID(SUBSTITUTE(SUBSTITUTE(SUBSTITUTE(SUBSTITUTE(SUBSTITUTE(SUBSTITUTE(SUBSTITUTE(TRIM(M31),".",""),"/",""),"-","")," ",""),"(",""),")",""),"+",""),3,1)="9"),"ERRO: é celular, use a coluna Celular","ERRO: DDD + 8 dígitos ou 0800 + 7")))</f>
      </c>
      <c r="X31" s="6">
        <f>IF(N31="","vazio",IF(AND(LEN(SUBSTITUTE(SUBSTITUTE(SUBSTITUTE(SUBSTITUTE(SUBSTITUTE(SUBSTITUTE(SUBSTITUTE(TRIM(N31),".",""),"/",""),"-","")," ",""),"(",""),")",""),"+",""))=11,MID(SUBSTITUTE(SUBSTITUTE(SUBSTITUTE(SUBSTITUTE(SUBSTITUTE(SUBSTITUTE(SUBSTITUTE(TRIM(N31),".",""),"/",""),"-","")," ",""),"(",""),")",""),"+",""),3,1)="9",LEFT(SUBSTITUTE(SUBSTITUTE(SUBSTITUTE(SUBSTITUTE(SUBSTITUTE(SUBSTITUTE(SUBSTITUTE(TRIM(N31),".",""),"/",""),"-","")," ",""),"(",""),")",""),"+",""),1)&lt;&gt;"0"),"OK",IF(LEN(SUBSTITUTE(SUBSTITUTE(SUBSTITUTE(SUBSTITUTE(SUBSTITUTE(SUBSTITUTE(SUBSTITUTE(TRIM(N31),".",""),"/",""),"-","")," ",""),"(",""),")",""),"+",""))=10,"ERRO: é fixo (ou falta o 9), use a coluna Telefone fixo","ERRO: DDD + 9 + 8 dígitos")))</f>
      </c>
      <c r="Y31" s="6">
        <f>IF(O31="","vazio",IF(AND(ISNUMBER(FIND("@",O31)),ISNUMBER(FIND(".",MID(O31,FIND("@",O31),99))),NOT(ISNUMBER(FIND(" ",TRIM(O31)))),NOT(ISNUMBER(FIND(";",O31))),NOT(ISNUMBER(FIND(",",O31)))),"OK","ERRO: um e-mail válido por linha"))</f>
      </c>
      <c r="Z31" s="6">
        <f>IF(AND(J31="",K31=""),"",IF(AND(J31&lt;&gt;"",K31&lt;&gt;""),"OK","pendente: só um nome (o GR completa ao converter)"))</f>
      </c>
      <c r="AA31" s="6">
        <f>IF(COUNTA(A31:S31)=0,"",IF(AND(A31&lt;&gt;"",B31&lt;&gt;"",C31&lt;&gt;"",D31&lt;&gt;"",E31&lt;&gt;"",F31&lt;&gt;"",G31&lt;&gt;"",H31&lt;&gt;"",OR(J31&lt;&gt;"",K31&lt;&gt;""),OR(M31&lt;&gt;"",N31&lt;&gt;"",O31&lt;&gt;"")),"OK","ERRO: faltam "&amp;IF(A31="","SDR; ","")&amp;IF(B31="","Proprietário; ","")&amp;IF(C31="","Origem; ","")&amp;IF(D31="","Temperatura; ","")&amp;IF(E31="","Segmento; ","")&amp;IF(F31="","Time/Cluster; ","")&amp;IF(G31="","CNPJ; ","")&amp;IF(H31="","Razão Social; ","")&amp;IF(AND(J31="",K31=""),"nome do contato; ","")&amp;IF(AND(M31="",N31="",O31=""),"telefone, celular ou e-mail; ","")))</f>
      </c>
      <c r="AB31" s="6">
        <f>IF(COUNTA(A31:S31)=0,"",IF(AND(U31="OK",V31="OK",LEFT(W31,4)&lt;&gt;"ERRO",LEFT(X31,4)&lt;&gt;"ERRO",LEFT(Y31,4)&lt;&gt;"ERRO",AA31="OK"),"OK","REVISAR"))</f>
      </c>
    </row>
    <row r="32">
      <c r="A32" s="5"/>
      <c r="B32" s="5"/>
      <c r="C32" s="5"/>
      <c r="D32" s="5"/>
      <c r="E32" s="5"/>
      <c r="F32" s="5"/>
      <c r="G32" s="5"/>
      <c r="H32" s="5"/>
      <c r="I32" s="4"/>
      <c r="J32" s="5"/>
      <c r="K32" s="4"/>
      <c r="L32" s="4"/>
      <c r="M32" s="4"/>
      <c r="N32" s="4"/>
      <c r="O32" s="4"/>
      <c r="P32" s="4"/>
      <c r="Q32" s="4"/>
      <c r="R32" s="4"/>
      <c r="S32" s="4"/>
      <c r="T32" s="6">
        <f>IF(G32="","",SUBSTITUTE(SUBSTITUTE(SUBSTITUTE(SUBSTITUTE(SUBSTITUTE(SUBSTITUTE(SUBSTITUTE(TRIM(G32),".",""),"/",""),"-","")," ",""),"(",""),")",""),"+",""))</f>
      </c>
      <c r="U32" s="6">
        <f>IF(T32="","",IF(LEN(T32)&lt;&gt;14,"ERRO: "&amp;LEN(T32)&amp;" dígitos",IF(NOT(ISNUMBER(VALUE(T32))),"ERRO: não numérico",IF(LEN(SUBSTITUTE(T32,LEFT(T32,1),""))=0,"ERRO: dígitos repetidos",IF(AND(VALUE(MID(T32,13,1))=IF(MOD(SUMPRODUCT(--MID(T32,{1,2,3,4,5,6,7,8,9,10,11,12},1),{5,4,3,2,9,8,7,6,5,4,3,2}),11)&lt;2,0,11-MOD(SUMPRODUCT(--MID(T32,{1,2,3,4,5,6,7,8,9,10,11,12},1),{5,4,3,2,9,8,7,6,5,4,3,2}),11)),VALUE(MID(T32,14,1))=IF(MOD(SUMPRODUCT(--MID(T32,{1,2,3,4,5,6,7,8,9,10,11,12,13},1),{6,5,4,3,2,9,8,7,6,5,4,3,2}),11)&lt;2,0,11-MOD(SUMPRODUCT(--MID(T32,{1,2,3,4,5,6,7,8,9,10,11,12,13},1),{6,5,4,3,2,9,8,7,6,5,4,3,2}),11))),"OK","ERRO: dígito verificador")))))</f>
      </c>
      <c r="V32" s="6">
        <f>IF(T32="","",IF(COUNTIF($T$2:$T$1001,T32)&gt;1,"DUPLICADO","OK"))</f>
      </c>
      <c r="W32" s="6">
        <f>IF(M32="","vazio",IF(OR(AND(LEN(SUBSTITUTE(SUBSTITUTE(SUBSTITUTE(SUBSTITUTE(SUBSTITUTE(SUBSTITUTE(SUBSTITUTE(TRIM(M32),".",""),"/",""),"-","")," ",""),"(",""),")",""),"+",""))=10,LEFT(SUBSTITUTE(SUBSTITUTE(SUBSTITUTE(SUBSTITUTE(SUBSTITUTE(SUBSTITUTE(SUBSTITUTE(TRIM(M32),".",""),"/",""),"-","")," ",""),"(",""),")",""),"+",""),1)&lt;&gt;"0"),AND(LEN(SUBSTITUTE(SUBSTITUTE(SUBSTITUTE(SUBSTITUTE(SUBSTITUTE(SUBSTITUTE(SUBSTITUTE(TRIM(M32),".",""),"/",""),"-","")," ",""),"(",""),")",""),"+",""))=11,LEFT(SUBSTITUTE(SUBSTITUTE(SUBSTITUTE(SUBSTITUTE(SUBSTITUTE(SUBSTITUTE(SUBSTITUTE(TRIM(M32),".",""),"/",""),"-","")," ",""),"(",""),")",""),"+",""),4)="0800")),"OK",IF(AND(LEN(SUBSTITUTE(SUBSTITUTE(SUBSTITUTE(SUBSTITUTE(SUBSTITUTE(SUBSTITUTE(SUBSTITUTE(TRIM(M32),".",""),"/",""),"-","")," ",""),"(",""),")",""),"+",""))=11,MID(SUBSTITUTE(SUBSTITUTE(SUBSTITUTE(SUBSTITUTE(SUBSTITUTE(SUBSTITUTE(SUBSTITUTE(TRIM(M32),".",""),"/",""),"-","")," ",""),"(",""),")",""),"+",""),3,1)="9"),"ERRO: é celular, use a coluna Celular","ERRO: DDD + 8 dígitos ou 0800 + 7")))</f>
      </c>
      <c r="X32" s="6">
        <f>IF(N32="","vazio",IF(AND(LEN(SUBSTITUTE(SUBSTITUTE(SUBSTITUTE(SUBSTITUTE(SUBSTITUTE(SUBSTITUTE(SUBSTITUTE(TRIM(N32),".",""),"/",""),"-","")," ",""),"(",""),")",""),"+",""))=11,MID(SUBSTITUTE(SUBSTITUTE(SUBSTITUTE(SUBSTITUTE(SUBSTITUTE(SUBSTITUTE(SUBSTITUTE(TRIM(N32),".",""),"/",""),"-","")," ",""),"(",""),")",""),"+",""),3,1)="9",LEFT(SUBSTITUTE(SUBSTITUTE(SUBSTITUTE(SUBSTITUTE(SUBSTITUTE(SUBSTITUTE(SUBSTITUTE(TRIM(N32),".",""),"/",""),"-","")," ",""),"(",""),")",""),"+",""),1)&lt;&gt;"0"),"OK",IF(LEN(SUBSTITUTE(SUBSTITUTE(SUBSTITUTE(SUBSTITUTE(SUBSTITUTE(SUBSTITUTE(SUBSTITUTE(TRIM(N32),".",""),"/",""),"-","")," ",""),"(",""),")",""),"+",""))=10,"ERRO: é fixo (ou falta o 9), use a coluna Telefone fixo","ERRO: DDD + 9 + 8 dígitos")))</f>
      </c>
      <c r="Y32" s="6">
        <f>IF(O32="","vazio",IF(AND(ISNUMBER(FIND("@",O32)),ISNUMBER(FIND(".",MID(O32,FIND("@",O32),99))),NOT(ISNUMBER(FIND(" ",TRIM(O32)))),NOT(ISNUMBER(FIND(";",O32))),NOT(ISNUMBER(FIND(",",O32)))),"OK","ERRO: um e-mail válido por linha"))</f>
      </c>
      <c r="Z32" s="6">
        <f>IF(AND(J32="",K32=""),"",IF(AND(J32&lt;&gt;"",K32&lt;&gt;""),"OK","pendente: só um nome (o GR completa ao converter)"))</f>
      </c>
      <c r="AA32" s="6">
        <f>IF(COUNTA(A32:S32)=0,"",IF(AND(A32&lt;&gt;"",B32&lt;&gt;"",C32&lt;&gt;"",D32&lt;&gt;"",E32&lt;&gt;"",F32&lt;&gt;"",G32&lt;&gt;"",H32&lt;&gt;"",OR(J32&lt;&gt;"",K32&lt;&gt;""),OR(M32&lt;&gt;"",N32&lt;&gt;"",O32&lt;&gt;"")),"OK","ERRO: faltam "&amp;IF(A32="","SDR; ","")&amp;IF(B32="","Proprietário; ","")&amp;IF(C32="","Origem; ","")&amp;IF(D32="","Temperatura; ","")&amp;IF(E32="","Segmento; ","")&amp;IF(F32="","Time/Cluster; ","")&amp;IF(G32="","CNPJ; ","")&amp;IF(H32="","Razão Social; ","")&amp;IF(AND(J32="",K32=""),"nome do contato; ","")&amp;IF(AND(M32="",N32="",O32=""),"telefone, celular ou e-mail; ","")))</f>
      </c>
      <c r="AB32" s="6">
        <f>IF(COUNTA(A32:S32)=0,"",IF(AND(U32="OK",V32="OK",LEFT(W32,4)&lt;&gt;"ERRO",LEFT(X32,4)&lt;&gt;"ERRO",LEFT(Y32,4)&lt;&gt;"ERRO",AA32="OK"),"OK","REVISAR"))</f>
      </c>
    </row>
    <row r="33">
      <c r="A33" s="5"/>
      <c r="B33" s="5"/>
      <c r="C33" s="5"/>
      <c r="D33" s="5"/>
      <c r="E33" s="5"/>
      <c r="F33" s="5"/>
      <c r="G33" s="5"/>
      <c r="H33" s="5"/>
      <c r="I33" s="4"/>
      <c r="J33" s="5"/>
      <c r="K33" s="4"/>
      <c r="L33" s="4"/>
      <c r="M33" s="4"/>
      <c r="N33" s="4"/>
      <c r="O33" s="4"/>
      <c r="P33" s="4"/>
      <c r="Q33" s="4"/>
      <c r="R33" s="4"/>
      <c r="S33" s="4"/>
      <c r="T33" s="6">
        <f>IF(G33="","",SUBSTITUTE(SUBSTITUTE(SUBSTITUTE(SUBSTITUTE(SUBSTITUTE(SUBSTITUTE(SUBSTITUTE(TRIM(G33),".",""),"/",""),"-","")," ",""),"(",""),")",""),"+",""))</f>
      </c>
      <c r="U33" s="6">
        <f>IF(T33="","",IF(LEN(T33)&lt;&gt;14,"ERRO: "&amp;LEN(T33)&amp;" dígitos",IF(NOT(ISNUMBER(VALUE(T33))),"ERRO: não numérico",IF(LEN(SUBSTITUTE(T33,LEFT(T33,1),""))=0,"ERRO: dígitos repetidos",IF(AND(VALUE(MID(T33,13,1))=IF(MOD(SUMPRODUCT(--MID(T33,{1,2,3,4,5,6,7,8,9,10,11,12},1),{5,4,3,2,9,8,7,6,5,4,3,2}),11)&lt;2,0,11-MOD(SUMPRODUCT(--MID(T33,{1,2,3,4,5,6,7,8,9,10,11,12},1),{5,4,3,2,9,8,7,6,5,4,3,2}),11)),VALUE(MID(T33,14,1))=IF(MOD(SUMPRODUCT(--MID(T33,{1,2,3,4,5,6,7,8,9,10,11,12,13},1),{6,5,4,3,2,9,8,7,6,5,4,3,2}),11)&lt;2,0,11-MOD(SUMPRODUCT(--MID(T33,{1,2,3,4,5,6,7,8,9,10,11,12,13},1),{6,5,4,3,2,9,8,7,6,5,4,3,2}),11))),"OK","ERRO: dígito verificador")))))</f>
      </c>
      <c r="V33" s="6">
        <f>IF(T33="","",IF(COUNTIF($T$2:$T$1001,T33)&gt;1,"DUPLICADO","OK"))</f>
      </c>
      <c r="W33" s="6">
        <f>IF(M33="","vazio",IF(OR(AND(LEN(SUBSTITUTE(SUBSTITUTE(SUBSTITUTE(SUBSTITUTE(SUBSTITUTE(SUBSTITUTE(SUBSTITUTE(TRIM(M33),".",""),"/",""),"-","")," ",""),"(",""),")",""),"+",""))=10,LEFT(SUBSTITUTE(SUBSTITUTE(SUBSTITUTE(SUBSTITUTE(SUBSTITUTE(SUBSTITUTE(SUBSTITUTE(TRIM(M33),".",""),"/",""),"-","")," ",""),"(",""),")",""),"+",""),1)&lt;&gt;"0"),AND(LEN(SUBSTITUTE(SUBSTITUTE(SUBSTITUTE(SUBSTITUTE(SUBSTITUTE(SUBSTITUTE(SUBSTITUTE(TRIM(M33),".",""),"/",""),"-","")," ",""),"(",""),")",""),"+",""))=11,LEFT(SUBSTITUTE(SUBSTITUTE(SUBSTITUTE(SUBSTITUTE(SUBSTITUTE(SUBSTITUTE(SUBSTITUTE(TRIM(M33),".",""),"/",""),"-","")," ",""),"(",""),")",""),"+",""),4)="0800")),"OK",IF(AND(LEN(SUBSTITUTE(SUBSTITUTE(SUBSTITUTE(SUBSTITUTE(SUBSTITUTE(SUBSTITUTE(SUBSTITUTE(TRIM(M33),".",""),"/",""),"-","")," ",""),"(",""),")",""),"+",""))=11,MID(SUBSTITUTE(SUBSTITUTE(SUBSTITUTE(SUBSTITUTE(SUBSTITUTE(SUBSTITUTE(SUBSTITUTE(TRIM(M33),".",""),"/",""),"-","")," ",""),"(",""),")",""),"+",""),3,1)="9"),"ERRO: é celular, use a coluna Celular","ERRO: DDD + 8 dígitos ou 0800 + 7")))</f>
      </c>
      <c r="X33" s="6">
        <f>IF(N33="","vazio",IF(AND(LEN(SUBSTITUTE(SUBSTITUTE(SUBSTITUTE(SUBSTITUTE(SUBSTITUTE(SUBSTITUTE(SUBSTITUTE(TRIM(N33),".",""),"/",""),"-","")," ",""),"(",""),")",""),"+",""))=11,MID(SUBSTITUTE(SUBSTITUTE(SUBSTITUTE(SUBSTITUTE(SUBSTITUTE(SUBSTITUTE(SUBSTITUTE(TRIM(N33),".",""),"/",""),"-","")," ",""),"(",""),")",""),"+",""),3,1)="9",LEFT(SUBSTITUTE(SUBSTITUTE(SUBSTITUTE(SUBSTITUTE(SUBSTITUTE(SUBSTITUTE(SUBSTITUTE(TRIM(N33),".",""),"/",""),"-","")," ",""),"(",""),")",""),"+",""),1)&lt;&gt;"0"),"OK",IF(LEN(SUBSTITUTE(SUBSTITUTE(SUBSTITUTE(SUBSTITUTE(SUBSTITUTE(SUBSTITUTE(SUBSTITUTE(TRIM(N33),".",""),"/",""),"-","")," ",""),"(",""),")",""),"+",""))=10,"ERRO: é fixo (ou falta o 9), use a coluna Telefone fixo","ERRO: DDD + 9 + 8 dígitos")))</f>
      </c>
      <c r="Y33" s="6">
        <f>IF(O33="","vazio",IF(AND(ISNUMBER(FIND("@",O33)),ISNUMBER(FIND(".",MID(O33,FIND("@",O33),99))),NOT(ISNUMBER(FIND(" ",TRIM(O33)))),NOT(ISNUMBER(FIND(";",O33))),NOT(ISNUMBER(FIND(",",O33)))),"OK","ERRO: um e-mail válido por linha"))</f>
      </c>
      <c r="Z33" s="6">
        <f>IF(AND(J33="",K33=""),"",IF(AND(J33&lt;&gt;"",K33&lt;&gt;""),"OK","pendente: só um nome (o GR completa ao converter)"))</f>
      </c>
      <c r="AA33" s="6">
        <f>IF(COUNTA(A33:S33)=0,"",IF(AND(A33&lt;&gt;"",B33&lt;&gt;"",C33&lt;&gt;"",D33&lt;&gt;"",E33&lt;&gt;"",F33&lt;&gt;"",G33&lt;&gt;"",H33&lt;&gt;"",OR(J33&lt;&gt;"",K33&lt;&gt;""),OR(M33&lt;&gt;"",N33&lt;&gt;"",O33&lt;&gt;"")),"OK","ERRO: faltam "&amp;IF(A33="","SDR; ","")&amp;IF(B33="","Proprietário; ","")&amp;IF(C33="","Origem; ","")&amp;IF(D33="","Temperatura; ","")&amp;IF(E33="","Segmento; ","")&amp;IF(F33="","Time/Cluster; ","")&amp;IF(G33="","CNPJ; ","")&amp;IF(H33="","Razão Social; ","")&amp;IF(AND(J33="",K33=""),"nome do contato; ","")&amp;IF(AND(M33="",N33="",O33=""),"telefone, celular ou e-mail; ","")))</f>
      </c>
      <c r="AB33" s="6">
        <f>IF(COUNTA(A33:S33)=0,"",IF(AND(U33="OK",V33="OK",LEFT(W33,4)&lt;&gt;"ERRO",LEFT(X33,4)&lt;&gt;"ERRO",LEFT(Y33,4)&lt;&gt;"ERRO",AA33="OK"),"OK","REVISAR"))</f>
      </c>
    </row>
    <row r="34">
      <c r="A34" s="5"/>
      <c r="B34" s="5"/>
      <c r="C34" s="5"/>
      <c r="D34" s="5"/>
      <c r="E34" s="5"/>
      <c r="F34" s="5"/>
      <c r="G34" s="5"/>
      <c r="H34" s="5"/>
      <c r="I34" s="4"/>
      <c r="J34" s="5"/>
      <c r="K34" s="4"/>
      <c r="L34" s="4"/>
      <c r="M34" s="4"/>
      <c r="N34" s="4"/>
      <c r="O34" s="4"/>
      <c r="P34" s="4"/>
      <c r="Q34" s="4"/>
      <c r="R34" s="4"/>
      <c r="S34" s="4"/>
      <c r="T34" s="6">
        <f>IF(G34="","",SUBSTITUTE(SUBSTITUTE(SUBSTITUTE(SUBSTITUTE(SUBSTITUTE(SUBSTITUTE(SUBSTITUTE(TRIM(G34),".",""),"/",""),"-","")," ",""),"(",""),")",""),"+",""))</f>
      </c>
      <c r="U34" s="6">
        <f>IF(T34="","",IF(LEN(T34)&lt;&gt;14,"ERRO: "&amp;LEN(T34)&amp;" dígitos",IF(NOT(ISNUMBER(VALUE(T34))),"ERRO: não numérico",IF(LEN(SUBSTITUTE(T34,LEFT(T34,1),""))=0,"ERRO: dígitos repetidos",IF(AND(VALUE(MID(T34,13,1))=IF(MOD(SUMPRODUCT(--MID(T34,{1,2,3,4,5,6,7,8,9,10,11,12},1),{5,4,3,2,9,8,7,6,5,4,3,2}),11)&lt;2,0,11-MOD(SUMPRODUCT(--MID(T34,{1,2,3,4,5,6,7,8,9,10,11,12},1),{5,4,3,2,9,8,7,6,5,4,3,2}),11)),VALUE(MID(T34,14,1))=IF(MOD(SUMPRODUCT(--MID(T34,{1,2,3,4,5,6,7,8,9,10,11,12,13},1),{6,5,4,3,2,9,8,7,6,5,4,3,2}),11)&lt;2,0,11-MOD(SUMPRODUCT(--MID(T34,{1,2,3,4,5,6,7,8,9,10,11,12,13},1),{6,5,4,3,2,9,8,7,6,5,4,3,2}),11))),"OK","ERRO: dígito verificador")))))</f>
      </c>
      <c r="V34" s="6">
        <f>IF(T34="","",IF(COUNTIF($T$2:$T$1001,T34)&gt;1,"DUPLICADO","OK"))</f>
      </c>
      <c r="W34" s="6">
        <f>IF(M34="","vazio",IF(OR(AND(LEN(SUBSTITUTE(SUBSTITUTE(SUBSTITUTE(SUBSTITUTE(SUBSTITUTE(SUBSTITUTE(SUBSTITUTE(TRIM(M34),".",""),"/",""),"-","")," ",""),"(",""),")",""),"+",""))=10,LEFT(SUBSTITUTE(SUBSTITUTE(SUBSTITUTE(SUBSTITUTE(SUBSTITUTE(SUBSTITUTE(SUBSTITUTE(TRIM(M34),".",""),"/",""),"-","")," ",""),"(",""),")",""),"+",""),1)&lt;&gt;"0"),AND(LEN(SUBSTITUTE(SUBSTITUTE(SUBSTITUTE(SUBSTITUTE(SUBSTITUTE(SUBSTITUTE(SUBSTITUTE(TRIM(M34),".",""),"/",""),"-","")," ",""),"(",""),")",""),"+",""))=11,LEFT(SUBSTITUTE(SUBSTITUTE(SUBSTITUTE(SUBSTITUTE(SUBSTITUTE(SUBSTITUTE(SUBSTITUTE(TRIM(M34),".",""),"/",""),"-","")," ",""),"(",""),")",""),"+",""),4)="0800")),"OK",IF(AND(LEN(SUBSTITUTE(SUBSTITUTE(SUBSTITUTE(SUBSTITUTE(SUBSTITUTE(SUBSTITUTE(SUBSTITUTE(TRIM(M34),".",""),"/",""),"-","")," ",""),"(",""),")",""),"+",""))=11,MID(SUBSTITUTE(SUBSTITUTE(SUBSTITUTE(SUBSTITUTE(SUBSTITUTE(SUBSTITUTE(SUBSTITUTE(TRIM(M34),".",""),"/",""),"-","")," ",""),"(",""),")",""),"+",""),3,1)="9"),"ERRO: é celular, use a coluna Celular","ERRO: DDD + 8 dígitos ou 0800 + 7")))</f>
      </c>
      <c r="X34" s="6">
        <f>IF(N34="","vazio",IF(AND(LEN(SUBSTITUTE(SUBSTITUTE(SUBSTITUTE(SUBSTITUTE(SUBSTITUTE(SUBSTITUTE(SUBSTITUTE(TRIM(N34),".",""),"/",""),"-","")," ",""),"(",""),")",""),"+",""))=11,MID(SUBSTITUTE(SUBSTITUTE(SUBSTITUTE(SUBSTITUTE(SUBSTITUTE(SUBSTITUTE(SUBSTITUTE(TRIM(N34),".",""),"/",""),"-","")," ",""),"(",""),")",""),"+",""),3,1)="9",LEFT(SUBSTITUTE(SUBSTITUTE(SUBSTITUTE(SUBSTITUTE(SUBSTITUTE(SUBSTITUTE(SUBSTITUTE(TRIM(N34),".",""),"/",""),"-","")," ",""),"(",""),")",""),"+",""),1)&lt;&gt;"0"),"OK",IF(LEN(SUBSTITUTE(SUBSTITUTE(SUBSTITUTE(SUBSTITUTE(SUBSTITUTE(SUBSTITUTE(SUBSTITUTE(TRIM(N34),".",""),"/",""),"-","")," ",""),"(",""),")",""),"+",""))=10,"ERRO: é fixo (ou falta o 9), use a coluna Telefone fixo","ERRO: DDD + 9 + 8 dígitos")))</f>
      </c>
      <c r="Y34" s="6">
        <f>IF(O34="","vazio",IF(AND(ISNUMBER(FIND("@",O34)),ISNUMBER(FIND(".",MID(O34,FIND("@",O34),99))),NOT(ISNUMBER(FIND(" ",TRIM(O34)))),NOT(ISNUMBER(FIND(";",O34))),NOT(ISNUMBER(FIND(",",O34)))),"OK","ERRO: um e-mail válido por linha"))</f>
      </c>
      <c r="Z34" s="6">
        <f>IF(AND(J34="",K34=""),"",IF(AND(J34&lt;&gt;"",K34&lt;&gt;""),"OK","pendente: só um nome (o GR completa ao converter)"))</f>
      </c>
      <c r="AA34" s="6">
        <f>IF(COUNTA(A34:S34)=0,"",IF(AND(A34&lt;&gt;"",B34&lt;&gt;"",C34&lt;&gt;"",D34&lt;&gt;"",E34&lt;&gt;"",F34&lt;&gt;"",G34&lt;&gt;"",H34&lt;&gt;"",OR(J34&lt;&gt;"",K34&lt;&gt;""),OR(M34&lt;&gt;"",N34&lt;&gt;"",O34&lt;&gt;"")),"OK","ERRO: faltam "&amp;IF(A34="","SDR; ","")&amp;IF(B34="","Proprietário; ","")&amp;IF(C34="","Origem; ","")&amp;IF(D34="","Temperatura; ","")&amp;IF(E34="","Segmento; ","")&amp;IF(F34="","Time/Cluster; ","")&amp;IF(G34="","CNPJ; ","")&amp;IF(H34="","Razão Social; ","")&amp;IF(AND(J34="",K34=""),"nome do contato; ","")&amp;IF(AND(M34="",N34="",O34=""),"telefone, celular ou e-mail; ","")))</f>
      </c>
      <c r="AB34" s="6">
        <f>IF(COUNTA(A34:S34)=0,"",IF(AND(U34="OK",V34="OK",LEFT(W34,4)&lt;&gt;"ERRO",LEFT(X34,4)&lt;&gt;"ERRO",LEFT(Y34,4)&lt;&gt;"ERRO",AA34="OK"),"OK","REVISAR"))</f>
      </c>
    </row>
    <row r="35">
      <c r="A35" s="5"/>
      <c r="B35" s="5"/>
      <c r="C35" s="5"/>
      <c r="D35" s="5"/>
      <c r="E35" s="5"/>
      <c r="F35" s="5"/>
      <c r="G35" s="5"/>
      <c r="H35" s="5"/>
      <c r="I35" s="4"/>
      <c r="J35" s="5"/>
      <c r="K35" s="4"/>
      <c r="L35" s="4"/>
      <c r="M35" s="4"/>
      <c r="N35" s="4"/>
      <c r="O35" s="4"/>
      <c r="P35" s="4"/>
      <c r="Q35" s="4"/>
      <c r="R35" s="4"/>
      <c r="S35" s="4"/>
      <c r="T35" s="6">
        <f>IF(G35="","",SUBSTITUTE(SUBSTITUTE(SUBSTITUTE(SUBSTITUTE(SUBSTITUTE(SUBSTITUTE(SUBSTITUTE(TRIM(G35),".",""),"/",""),"-","")," ",""),"(",""),")",""),"+",""))</f>
      </c>
      <c r="U35" s="6">
        <f>IF(T35="","",IF(LEN(T35)&lt;&gt;14,"ERRO: "&amp;LEN(T35)&amp;" dígitos",IF(NOT(ISNUMBER(VALUE(T35))),"ERRO: não numérico",IF(LEN(SUBSTITUTE(T35,LEFT(T35,1),""))=0,"ERRO: dígitos repetidos",IF(AND(VALUE(MID(T35,13,1))=IF(MOD(SUMPRODUCT(--MID(T35,{1,2,3,4,5,6,7,8,9,10,11,12},1),{5,4,3,2,9,8,7,6,5,4,3,2}),11)&lt;2,0,11-MOD(SUMPRODUCT(--MID(T35,{1,2,3,4,5,6,7,8,9,10,11,12},1),{5,4,3,2,9,8,7,6,5,4,3,2}),11)),VALUE(MID(T35,14,1))=IF(MOD(SUMPRODUCT(--MID(T35,{1,2,3,4,5,6,7,8,9,10,11,12,13},1),{6,5,4,3,2,9,8,7,6,5,4,3,2}),11)&lt;2,0,11-MOD(SUMPRODUCT(--MID(T35,{1,2,3,4,5,6,7,8,9,10,11,12,13},1),{6,5,4,3,2,9,8,7,6,5,4,3,2}),11))),"OK","ERRO: dígito verificador")))))</f>
      </c>
      <c r="V35" s="6">
        <f>IF(T35="","",IF(COUNTIF($T$2:$T$1001,T35)&gt;1,"DUPLICADO","OK"))</f>
      </c>
      <c r="W35" s="6">
        <f>IF(M35="","vazio",IF(OR(AND(LEN(SUBSTITUTE(SUBSTITUTE(SUBSTITUTE(SUBSTITUTE(SUBSTITUTE(SUBSTITUTE(SUBSTITUTE(TRIM(M35),".",""),"/",""),"-","")," ",""),"(",""),")",""),"+",""))=10,LEFT(SUBSTITUTE(SUBSTITUTE(SUBSTITUTE(SUBSTITUTE(SUBSTITUTE(SUBSTITUTE(SUBSTITUTE(TRIM(M35),".",""),"/",""),"-","")," ",""),"(",""),")",""),"+",""),1)&lt;&gt;"0"),AND(LEN(SUBSTITUTE(SUBSTITUTE(SUBSTITUTE(SUBSTITUTE(SUBSTITUTE(SUBSTITUTE(SUBSTITUTE(TRIM(M35),".",""),"/",""),"-","")," ",""),"(",""),")",""),"+",""))=11,LEFT(SUBSTITUTE(SUBSTITUTE(SUBSTITUTE(SUBSTITUTE(SUBSTITUTE(SUBSTITUTE(SUBSTITUTE(TRIM(M35),".",""),"/",""),"-","")," ",""),"(",""),")",""),"+",""),4)="0800")),"OK",IF(AND(LEN(SUBSTITUTE(SUBSTITUTE(SUBSTITUTE(SUBSTITUTE(SUBSTITUTE(SUBSTITUTE(SUBSTITUTE(TRIM(M35),".",""),"/",""),"-","")," ",""),"(",""),")",""),"+",""))=11,MID(SUBSTITUTE(SUBSTITUTE(SUBSTITUTE(SUBSTITUTE(SUBSTITUTE(SUBSTITUTE(SUBSTITUTE(TRIM(M35),".",""),"/",""),"-","")," ",""),"(",""),")",""),"+",""),3,1)="9"),"ERRO: é celular, use a coluna Celular","ERRO: DDD + 8 dígitos ou 0800 + 7")))</f>
      </c>
      <c r="X35" s="6">
        <f>IF(N35="","vazio",IF(AND(LEN(SUBSTITUTE(SUBSTITUTE(SUBSTITUTE(SUBSTITUTE(SUBSTITUTE(SUBSTITUTE(SUBSTITUTE(TRIM(N35),".",""),"/",""),"-","")," ",""),"(",""),")",""),"+",""))=11,MID(SUBSTITUTE(SUBSTITUTE(SUBSTITUTE(SUBSTITUTE(SUBSTITUTE(SUBSTITUTE(SUBSTITUTE(TRIM(N35),".",""),"/",""),"-","")," ",""),"(",""),")",""),"+",""),3,1)="9",LEFT(SUBSTITUTE(SUBSTITUTE(SUBSTITUTE(SUBSTITUTE(SUBSTITUTE(SUBSTITUTE(SUBSTITUTE(TRIM(N35),".",""),"/",""),"-","")," ",""),"(",""),")",""),"+",""),1)&lt;&gt;"0"),"OK",IF(LEN(SUBSTITUTE(SUBSTITUTE(SUBSTITUTE(SUBSTITUTE(SUBSTITUTE(SUBSTITUTE(SUBSTITUTE(TRIM(N35),".",""),"/",""),"-","")," ",""),"(",""),")",""),"+",""))=10,"ERRO: é fixo (ou falta o 9), use a coluna Telefone fixo","ERRO: DDD + 9 + 8 dígitos")))</f>
      </c>
      <c r="Y35" s="6">
        <f>IF(O35="","vazio",IF(AND(ISNUMBER(FIND("@",O35)),ISNUMBER(FIND(".",MID(O35,FIND("@",O35),99))),NOT(ISNUMBER(FIND(" ",TRIM(O35)))),NOT(ISNUMBER(FIND(";",O35))),NOT(ISNUMBER(FIND(",",O35)))),"OK","ERRO: um e-mail válido por linha"))</f>
      </c>
      <c r="Z35" s="6">
        <f>IF(AND(J35="",K35=""),"",IF(AND(J35&lt;&gt;"",K35&lt;&gt;""),"OK","pendente: só um nome (o GR completa ao converter)"))</f>
      </c>
      <c r="AA35" s="6">
        <f>IF(COUNTA(A35:S35)=0,"",IF(AND(A35&lt;&gt;"",B35&lt;&gt;"",C35&lt;&gt;"",D35&lt;&gt;"",E35&lt;&gt;"",F35&lt;&gt;"",G35&lt;&gt;"",H35&lt;&gt;"",OR(J35&lt;&gt;"",K35&lt;&gt;""),OR(M35&lt;&gt;"",N35&lt;&gt;"",O35&lt;&gt;"")),"OK","ERRO: faltam "&amp;IF(A35="","SDR; ","")&amp;IF(B35="","Proprietário; ","")&amp;IF(C35="","Origem; ","")&amp;IF(D35="","Temperatura; ","")&amp;IF(E35="","Segmento; ","")&amp;IF(F35="","Time/Cluster; ","")&amp;IF(G35="","CNPJ; ","")&amp;IF(H35="","Razão Social; ","")&amp;IF(AND(J35="",K35=""),"nome do contato; ","")&amp;IF(AND(M35="",N35="",O35=""),"telefone, celular ou e-mail; ","")))</f>
      </c>
      <c r="AB35" s="6">
        <f>IF(COUNTA(A35:S35)=0,"",IF(AND(U35="OK",V35="OK",LEFT(W35,4)&lt;&gt;"ERRO",LEFT(X35,4)&lt;&gt;"ERRO",LEFT(Y35,4)&lt;&gt;"ERRO",AA35="OK"),"OK","REVISAR"))</f>
      </c>
    </row>
    <row r="36">
      <c r="A36" s="5"/>
      <c r="B36" s="5"/>
      <c r="C36" s="5"/>
      <c r="D36" s="5"/>
      <c r="E36" s="5"/>
      <c r="F36" s="5"/>
      <c r="G36" s="5"/>
      <c r="H36" s="5"/>
      <c r="I36" s="4"/>
      <c r="J36" s="5"/>
      <c r="K36" s="4"/>
      <c r="L36" s="4"/>
      <c r="M36" s="4"/>
      <c r="N36" s="4"/>
      <c r="O36" s="4"/>
      <c r="P36" s="4"/>
      <c r="Q36" s="4"/>
      <c r="R36" s="4"/>
      <c r="S36" s="4"/>
      <c r="T36" s="6">
        <f>IF(G36="","",SUBSTITUTE(SUBSTITUTE(SUBSTITUTE(SUBSTITUTE(SUBSTITUTE(SUBSTITUTE(SUBSTITUTE(TRIM(G36),".",""),"/",""),"-","")," ",""),"(",""),")",""),"+",""))</f>
      </c>
      <c r="U36" s="6">
        <f>IF(T36="","",IF(LEN(T36)&lt;&gt;14,"ERRO: "&amp;LEN(T36)&amp;" dígitos",IF(NOT(ISNUMBER(VALUE(T36))),"ERRO: não numérico",IF(LEN(SUBSTITUTE(T36,LEFT(T36,1),""))=0,"ERRO: dígitos repetidos",IF(AND(VALUE(MID(T36,13,1))=IF(MOD(SUMPRODUCT(--MID(T36,{1,2,3,4,5,6,7,8,9,10,11,12},1),{5,4,3,2,9,8,7,6,5,4,3,2}),11)&lt;2,0,11-MOD(SUMPRODUCT(--MID(T36,{1,2,3,4,5,6,7,8,9,10,11,12},1),{5,4,3,2,9,8,7,6,5,4,3,2}),11)),VALUE(MID(T36,14,1))=IF(MOD(SUMPRODUCT(--MID(T36,{1,2,3,4,5,6,7,8,9,10,11,12,13},1),{6,5,4,3,2,9,8,7,6,5,4,3,2}),11)&lt;2,0,11-MOD(SUMPRODUCT(--MID(T36,{1,2,3,4,5,6,7,8,9,10,11,12,13},1),{6,5,4,3,2,9,8,7,6,5,4,3,2}),11))),"OK","ERRO: dígito verificador")))))</f>
      </c>
      <c r="V36" s="6">
        <f>IF(T36="","",IF(COUNTIF($T$2:$T$1001,T36)&gt;1,"DUPLICADO","OK"))</f>
      </c>
      <c r="W36" s="6">
        <f>IF(M36="","vazio",IF(OR(AND(LEN(SUBSTITUTE(SUBSTITUTE(SUBSTITUTE(SUBSTITUTE(SUBSTITUTE(SUBSTITUTE(SUBSTITUTE(TRIM(M36),".",""),"/",""),"-","")," ",""),"(",""),")",""),"+",""))=10,LEFT(SUBSTITUTE(SUBSTITUTE(SUBSTITUTE(SUBSTITUTE(SUBSTITUTE(SUBSTITUTE(SUBSTITUTE(TRIM(M36),".",""),"/",""),"-","")," ",""),"(",""),")",""),"+",""),1)&lt;&gt;"0"),AND(LEN(SUBSTITUTE(SUBSTITUTE(SUBSTITUTE(SUBSTITUTE(SUBSTITUTE(SUBSTITUTE(SUBSTITUTE(TRIM(M36),".",""),"/",""),"-","")," ",""),"(",""),")",""),"+",""))=11,LEFT(SUBSTITUTE(SUBSTITUTE(SUBSTITUTE(SUBSTITUTE(SUBSTITUTE(SUBSTITUTE(SUBSTITUTE(TRIM(M36),".",""),"/",""),"-","")," ",""),"(",""),")",""),"+",""),4)="0800")),"OK",IF(AND(LEN(SUBSTITUTE(SUBSTITUTE(SUBSTITUTE(SUBSTITUTE(SUBSTITUTE(SUBSTITUTE(SUBSTITUTE(TRIM(M36),".",""),"/",""),"-","")," ",""),"(",""),")",""),"+",""))=11,MID(SUBSTITUTE(SUBSTITUTE(SUBSTITUTE(SUBSTITUTE(SUBSTITUTE(SUBSTITUTE(SUBSTITUTE(TRIM(M36),".",""),"/",""),"-","")," ",""),"(",""),")",""),"+",""),3,1)="9"),"ERRO: é celular, use a coluna Celular","ERRO: DDD + 8 dígitos ou 0800 + 7")))</f>
      </c>
      <c r="X36" s="6">
        <f>IF(N36="","vazio",IF(AND(LEN(SUBSTITUTE(SUBSTITUTE(SUBSTITUTE(SUBSTITUTE(SUBSTITUTE(SUBSTITUTE(SUBSTITUTE(TRIM(N36),".",""),"/",""),"-","")," ",""),"(",""),")",""),"+",""))=11,MID(SUBSTITUTE(SUBSTITUTE(SUBSTITUTE(SUBSTITUTE(SUBSTITUTE(SUBSTITUTE(SUBSTITUTE(TRIM(N36),".",""),"/",""),"-","")," ",""),"(",""),")",""),"+",""),3,1)="9",LEFT(SUBSTITUTE(SUBSTITUTE(SUBSTITUTE(SUBSTITUTE(SUBSTITUTE(SUBSTITUTE(SUBSTITUTE(TRIM(N36),".",""),"/",""),"-","")," ",""),"(",""),")",""),"+",""),1)&lt;&gt;"0"),"OK",IF(LEN(SUBSTITUTE(SUBSTITUTE(SUBSTITUTE(SUBSTITUTE(SUBSTITUTE(SUBSTITUTE(SUBSTITUTE(TRIM(N36),".",""),"/",""),"-","")," ",""),"(",""),")",""),"+",""))=10,"ERRO: é fixo (ou falta o 9), use a coluna Telefone fixo","ERRO: DDD + 9 + 8 dígitos")))</f>
      </c>
      <c r="Y36" s="6">
        <f>IF(O36="","vazio",IF(AND(ISNUMBER(FIND("@",O36)),ISNUMBER(FIND(".",MID(O36,FIND("@",O36),99))),NOT(ISNUMBER(FIND(" ",TRIM(O36)))),NOT(ISNUMBER(FIND(";",O36))),NOT(ISNUMBER(FIND(",",O36)))),"OK","ERRO: um e-mail válido por linha"))</f>
      </c>
      <c r="Z36" s="6">
        <f>IF(AND(J36="",K36=""),"",IF(AND(J36&lt;&gt;"",K36&lt;&gt;""),"OK","pendente: só um nome (o GR completa ao converter)"))</f>
      </c>
      <c r="AA36" s="6">
        <f>IF(COUNTA(A36:S36)=0,"",IF(AND(A36&lt;&gt;"",B36&lt;&gt;"",C36&lt;&gt;"",D36&lt;&gt;"",E36&lt;&gt;"",F36&lt;&gt;"",G36&lt;&gt;"",H36&lt;&gt;"",OR(J36&lt;&gt;"",K36&lt;&gt;""),OR(M36&lt;&gt;"",N36&lt;&gt;"",O36&lt;&gt;"")),"OK","ERRO: faltam "&amp;IF(A36="","SDR; ","")&amp;IF(B36="","Proprietário; ","")&amp;IF(C36="","Origem; ","")&amp;IF(D36="","Temperatura; ","")&amp;IF(E36="","Segmento; ","")&amp;IF(F36="","Time/Cluster; ","")&amp;IF(G36="","CNPJ; ","")&amp;IF(H36="","Razão Social; ","")&amp;IF(AND(J36="",K36=""),"nome do contato; ","")&amp;IF(AND(M36="",N36="",O36=""),"telefone, celular ou e-mail; ","")))</f>
      </c>
      <c r="AB36" s="6">
        <f>IF(COUNTA(A36:S36)=0,"",IF(AND(U36="OK",V36="OK",LEFT(W36,4)&lt;&gt;"ERRO",LEFT(X36,4)&lt;&gt;"ERRO",LEFT(Y36,4)&lt;&gt;"ERRO",AA36="OK"),"OK","REVISAR"))</f>
      </c>
    </row>
    <row r="37">
      <c r="A37" s="5"/>
      <c r="B37" s="5"/>
      <c r="C37" s="5"/>
      <c r="D37" s="5"/>
      <c r="E37" s="5"/>
      <c r="F37" s="5"/>
      <c r="G37" s="5"/>
      <c r="H37" s="5"/>
      <c r="I37" s="4"/>
      <c r="J37" s="5"/>
      <c r="K37" s="4"/>
      <c r="L37" s="4"/>
      <c r="M37" s="4"/>
      <c r="N37" s="4"/>
      <c r="O37" s="4"/>
      <c r="P37" s="4"/>
      <c r="Q37" s="4"/>
      <c r="R37" s="4"/>
      <c r="S37" s="4"/>
      <c r="T37" s="6">
        <f>IF(G37="","",SUBSTITUTE(SUBSTITUTE(SUBSTITUTE(SUBSTITUTE(SUBSTITUTE(SUBSTITUTE(SUBSTITUTE(TRIM(G37),".",""),"/",""),"-","")," ",""),"(",""),")",""),"+",""))</f>
      </c>
      <c r="U37" s="6">
        <f>IF(T37="","",IF(LEN(T37)&lt;&gt;14,"ERRO: "&amp;LEN(T37)&amp;" dígitos",IF(NOT(ISNUMBER(VALUE(T37))),"ERRO: não numérico",IF(LEN(SUBSTITUTE(T37,LEFT(T37,1),""))=0,"ERRO: dígitos repetidos",IF(AND(VALUE(MID(T37,13,1))=IF(MOD(SUMPRODUCT(--MID(T37,{1,2,3,4,5,6,7,8,9,10,11,12},1),{5,4,3,2,9,8,7,6,5,4,3,2}),11)&lt;2,0,11-MOD(SUMPRODUCT(--MID(T37,{1,2,3,4,5,6,7,8,9,10,11,12},1),{5,4,3,2,9,8,7,6,5,4,3,2}),11)),VALUE(MID(T37,14,1))=IF(MOD(SUMPRODUCT(--MID(T37,{1,2,3,4,5,6,7,8,9,10,11,12,13},1),{6,5,4,3,2,9,8,7,6,5,4,3,2}),11)&lt;2,0,11-MOD(SUMPRODUCT(--MID(T37,{1,2,3,4,5,6,7,8,9,10,11,12,13},1),{6,5,4,3,2,9,8,7,6,5,4,3,2}),11))),"OK","ERRO: dígito verificador")))))</f>
      </c>
      <c r="V37" s="6">
        <f>IF(T37="","",IF(COUNTIF($T$2:$T$1001,T37)&gt;1,"DUPLICADO","OK"))</f>
      </c>
      <c r="W37" s="6">
        <f>IF(M37="","vazio",IF(OR(AND(LEN(SUBSTITUTE(SUBSTITUTE(SUBSTITUTE(SUBSTITUTE(SUBSTITUTE(SUBSTITUTE(SUBSTITUTE(TRIM(M37),".",""),"/",""),"-","")," ",""),"(",""),")",""),"+",""))=10,LEFT(SUBSTITUTE(SUBSTITUTE(SUBSTITUTE(SUBSTITUTE(SUBSTITUTE(SUBSTITUTE(SUBSTITUTE(TRIM(M37),".",""),"/",""),"-","")," ",""),"(",""),")",""),"+",""),1)&lt;&gt;"0"),AND(LEN(SUBSTITUTE(SUBSTITUTE(SUBSTITUTE(SUBSTITUTE(SUBSTITUTE(SUBSTITUTE(SUBSTITUTE(TRIM(M37),".",""),"/",""),"-","")," ",""),"(",""),")",""),"+",""))=11,LEFT(SUBSTITUTE(SUBSTITUTE(SUBSTITUTE(SUBSTITUTE(SUBSTITUTE(SUBSTITUTE(SUBSTITUTE(TRIM(M37),".",""),"/",""),"-","")," ",""),"(",""),")",""),"+",""),4)="0800")),"OK",IF(AND(LEN(SUBSTITUTE(SUBSTITUTE(SUBSTITUTE(SUBSTITUTE(SUBSTITUTE(SUBSTITUTE(SUBSTITUTE(TRIM(M37),".",""),"/",""),"-","")," ",""),"(",""),")",""),"+",""))=11,MID(SUBSTITUTE(SUBSTITUTE(SUBSTITUTE(SUBSTITUTE(SUBSTITUTE(SUBSTITUTE(SUBSTITUTE(TRIM(M37),".",""),"/",""),"-","")," ",""),"(",""),")",""),"+",""),3,1)="9"),"ERRO: é celular, use a coluna Celular","ERRO: DDD + 8 dígitos ou 0800 + 7")))</f>
      </c>
      <c r="X37" s="6">
        <f>IF(N37="","vazio",IF(AND(LEN(SUBSTITUTE(SUBSTITUTE(SUBSTITUTE(SUBSTITUTE(SUBSTITUTE(SUBSTITUTE(SUBSTITUTE(TRIM(N37),".",""),"/",""),"-","")," ",""),"(",""),")",""),"+",""))=11,MID(SUBSTITUTE(SUBSTITUTE(SUBSTITUTE(SUBSTITUTE(SUBSTITUTE(SUBSTITUTE(SUBSTITUTE(TRIM(N37),".",""),"/",""),"-","")," ",""),"(",""),")",""),"+",""),3,1)="9",LEFT(SUBSTITUTE(SUBSTITUTE(SUBSTITUTE(SUBSTITUTE(SUBSTITUTE(SUBSTITUTE(SUBSTITUTE(TRIM(N37),".",""),"/",""),"-","")," ",""),"(",""),")",""),"+",""),1)&lt;&gt;"0"),"OK",IF(LEN(SUBSTITUTE(SUBSTITUTE(SUBSTITUTE(SUBSTITUTE(SUBSTITUTE(SUBSTITUTE(SUBSTITUTE(TRIM(N37),".",""),"/",""),"-","")," ",""),"(",""),")",""),"+",""))=10,"ERRO: é fixo (ou falta o 9), use a coluna Telefone fixo","ERRO: DDD + 9 + 8 dígitos")))</f>
      </c>
      <c r="Y37" s="6">
        <f>IF(O37="","vazio",IF(AND(ISNUMBER(FIND("@",O37)),ISNUMBER(FIND(".",MID(O37,FIND("@",O37),99))),NOT(ISNUMBER(FIND(" ",TRIM(O37)))),NOT(ISNUMBER(FIND(";",O37))),NOT(ISNUMBER(FIND(",",O37)))),"OK","ERRO: um e-mail válido por linha"))</f>
      </c>
      <c r="Z37" s="6">
        <f>IF(AND(J37="",K37=""),"",IF(AND(J37&lt;&gt;"",K37&lt;&gt;""),"OK","pendente: só um nome (o GR completa ao converter)"))</f>
      </c>
      <c r="AA37" s="6">
        <f>IF(COUNTA(A37:S37)=0,"",IF(AND(A37&lt;&gt;"",B37&lt;&gt;"",C37&lt;&gt;"",D37&lt;&gt;"",E37&lt;&gt;"",F37&lt;&gt;"",G37&lt;&gt;"",H37&lt;&gt;"",OR(J37&lt;&gt;"",K37&lt;&gt;""),OR(M37&lt;&gt;"",N37&lt;&gt;"",O37&lt;&gt;"")),"OK","ERRO: faltam "&amp;IF(A37="","SDR; ","")&amp;IF(B37="","Proprietário; ","")&amp;IF(C37="","Origem; ","")&amp;IF(D37="","Temperatura; ","")&amp;IF(E37="","Segmento; ","")&amp;IF(F37="","Time/Cluster; ","")&amp;IF(G37="","CNPJ; ","")&amp;IF(H37="","Razão Social; ","")&amp;IF(AND(J37="",K37=""),"nome do contato; ","")&amp;IF(AND(M37="",N37="",O37=""),"telefone, celular ou e-mail; ","")))</f>
      </c>
      <c r="AB37" s="6">
        <f>IF(COUNTA(A37:S37)=0,"",IF(AND(U37="OK",V37="OK",LEFT(W37,4)&lt;&gt;"ERRO",LEFT(X37,4)&lt;&gt;"ERRO",LEFT(Y37,4)&lt;&gt;"ERRO",AA37="OK"),"OK","REVISAR"))</f>
      </c>
    </row>
    <row r="38">
      <c r="A38" s="5"/>
      <c r="B38" s="5"/>
      <c r="C38" s="5"/>
      <c r="D38" s="5"/>
      <c r="E38" s="5"/>
      <c r="F38" s="5"/>
      <c r="G38" s="5"/>
      <c r="H38" s="5"/>
      <c r="I38" s="4"/>
      <c r="J38" s="5"/>
      <c r="K38" s="4"/>
      <c r="L38" s="4"/>
      <c r="M38" s="4"/>
      <c r="N38" s="4"/>
      <c r="O38" s="4"/>
      <c r="P38" s="4"/>
      <c r="Q38" s="4"/>
      <c r="R38" s="4"/>
      <c r="S38" s="4"/>
      <c r="T38" s="6">
        <f>IF(G38="","",SUBSTITUTE(SUBSTITUTE(SUBSTITUTE(SUBSTITUTE(SUBSTITUTE(SUBSTITUTE(SUBSTITUTE(TRIM(G38),".",""),"/",""),"-","")," ",""),"(",""),")",""),"+",""))</f>
      </c>
      <c r="U38" s="6">
        <f>IF(T38="","",IF(LEN(T38)&lt;&gt;14,"ERRO: "&amp;LEN(T38)&amp;" dígitos",IF(NOT(ISNUMBER(VALUE(T38))),"ERRO: não numérico",IF(LEN(SUBSTITUTE(T38,LEFT(T38,1),""))=0,"ERRO: dígitos repetidos",IF(AND(VALUE(MID(T38,13,1))=IF(MOD(SUMPRODUCT(--MID(T38,{1,2,3,4,5,6,7,8,9,10,11,12},1),{5,4,3,2,9,8,7,6,5,4,3,2}),11)&lt;2,0,11-MOD(SUMPRODUCT(--MID(T38,{1,2,3,4,5,6,7,8,9,10,11,12},1),{5,4,3,2,9,8,7,6,5,4,3,2}),11)),VALUE(MID(T38,14,1))=IF(MOD(SUMPRODUCT(--MID(T38,{1,2,3,4,5,6,7,8,9,10,11,12,13},1),{6,5,4,3,2,9,8,7,6,5,4,3,2}),11)&lt;2,0,11-MOD(SUMPRODUCT(--MID(T38,{1,2,3,4,5,6,7,8,9,10,11,12,13},1),{6,5,4,3,2,9,8,7,6,5,4,3,2}),11))),"OK","ERRO: dígito verificador")))))</f>
      </c>
      <c r="V38" s="6">
        <f>IF(T38="","",IF(COUNTIF($T$2:$T$1001,T38)&gt;1,"DUPLICADO","OK"))</f>
      </c>
      <c r="W38" s="6">
        <f>IF(M38="","vazio",IF(OR(AND(LEN(SUBSTITUTE(SUBSTITUTE(SUBSTITUTE(SUBSTITUTE(SUBSTITUTE(SUBSTITUTE(SUBSTITUTE(TRIM(M38),".",""),"/",""),"-","")," ",""),"(",""),")",""),"+",""))=10,LEFT(SUBSTITUTE(SUBSTITUTE(SUBSTITUTE(SUBSTITUTE(SUBSTITUTE(SUBSTITUTE(SUBSTITUTE(TRIM(M38),".",""),"/",""),"-","")," ",""),"(",""),")",""),"+",""),1)&lt;&gt;"0"),AND(LEN(SUBSTITUTE(SUBSTITUTE(SUBSTITUTE(SUBSTITUTE(SUBSTITUTE(SUBSTITUTE(SUBSTITUTE(TRIM(M38),".",""),"/",""),"-","")," ",""),"(",""),")",""),"+",""))=11,LEFT(SUBSTITUTE(SUBSTITUTE(SUBSTITUTE(SUBSTITUTE(SUBSTITUTE(SUBSTITUTE(SUBSTITUTE(TRIM(M38),".",""),"/",""),"-","")," ",""),"(",""),")",""),"+",""),4)="0800")),"OK",IF(AND(LEN(SUBSTITUTE(SUBSTITUTE(SUBSTITUTE(SUBSTITUTE(SUBSTITUTE(SUBSTITUTE(SUBSTITUTE(TRIM(M38),".",""),"/",""),"-","")," ",""),"(",""),")",""),"+",""))=11,MID(SUBSTITUTE(SUBSTITUTE(SUBSTITUTE(SUBSTITUTE(SUBSTITUTE(SUBSTITUTE(SUBSTITUTE(TRIM(M38),".",""),"/",""),"-","")," ",""),"(",""),")",""),"+",""),3,1)="9"),"ERRO: é celular, use a coluna Celular","ERRO: DDD + 8 dígitos ou 0800 + 7")))</f>
      </c>
      <c r="X38" s="6">
        <f>IF(N38="","vazio",IF(AND(LEN(SUBSTITUTE(SUBSTITUTE(SUBSTITUTE(SUBSTITUTE(SUBSTITUTE(SUBSTITUTE(SUBSTITUTE(TRIM(N38),".",""),"/",""),"-","")," ",""),"(",""),")",""),"+",""))=11,MID(SUBSTITUTE(SUBSTITUTE(SUBSTITUTE(SUBSTITUTE(SUBSTITUTE(SUBSTITUTE(SUBSTITUTE(TRIM(N38),".",""),"/",""),"-","")," ",""),"(",""),")",""),"+",""),3,1)="9",LEFT(SUBSTITUTE(SUBSTITUTE(SUBSTITUTE(SUBSTITUTE(SUBSTITUTE(SUBSTITUTE(SUBSTITUTE(TRIM(N38),".",""),"/",""),"-","")," ",""),"(",""),")",""),"+",""),1)&lt;&gt;"0"),"OK",IF(LEN(SUBSTITUTE(SUBSTITUTE(SUBSTITUTE(SUBSTITUTE(SUBSTITUTE(SUBSTITUTE(SUBSTITUTE(TRIM(N38),".",""),"/",""),"-","")," ",""),"(",""),")",""),"+",""))=10,"ERRO: é fixo (ou falta o 9), use a coluna Telefone fixo","ERRO: DDD + 9 + 8 dígitos")))</f>
      </c>
      <c r="Y38" s="6">
        <f>IF(O38="","vazio",IF(AND(ISNUMBER(FIND("@",O38)),ISNUMBER(FIND(".",MID(O38,FIND("@",O38),99))),NOT(ISNUMBER(FIND(" ",TRIM(O38)))),NOT(ISNUMBER(FIND(";",O38))),NOT(ISNUMBER(FIND(",",O38)))),"OK","ERRO: um e-mail válido por linha"))</f>
      </c>
      <c r="Z38" s="6">
        <f>IF(AND(J38="",K38=""),"",IF(AND(J38&lt;&gt;"",K38&lt;&gt;""),"OK","pendente: só um nome (o GR completa ao converter)"))</f>
      </c>
      <c r="AA38" s="6">
        <f>IF(COUNTA(A38:S38)=0,"",IF(AND(A38&lt;&gt;"",B38&lt;&gt;"",C38&lt;&gt;"",D38&lt;&gt;"",E38&lt;&gt;"",F38&lt;&gt;"",G38&lt;&gt;"",H38&lt;&gt;"",OR(J38&lt;&gt;"",K38&lt;&gt;""),OR(M38&lt;&gt;"",N38&lt;&gt;"",O38&lt;&gt;"")),"OK","ERRO: faltam "&amp;IF(A38="","SDR; ","")&amp;IF(B38="","Proprietário; ","")&amp;IF(C38="","Origem; ","")&amp;IF(D38="","Temperatura; ","")&amp;IF(E38="","Segmento; ","")&amp;IF(F38="","Time/Cluster; ","")&amp;IF(G38="","CNPJ; ","")&amp;IF(H38="","Razão Social; ","")&amp;IF(AND(J38="",K38=""),"nome do contato; ","")&amp;IF(AND(M38="",N38="",O38=""),"telefone, celular ou e-mail; ","")))</f>
      </c>
      <c r="AB38" s="6">
        <f>IF(COUNTA(A38:S38)=0,"",IF(AND(U38="OK",V38="OK",LEFT(W38,4)&lt;&gt;"ERRO",LEFT(X38,4)&lt;&gt;"ERRO",LEFT(Y38,4)&lt;&gt;"ERRO",AA38="OK"),"OK","REVISAR"))</f>
      </c>
    </row>
    <row r="39">
      <c r="A39" s="5"/>
      <c r="B39" s="5"/>
      <c r="C39" s="5"/>
      <c r="D39" s="5"/>
      <c r="E39" s="5"/>
      <c r="F39" s="5"/>
      <c r="G39" s="5"/>
      <c r="H39" s="5"/>
      <c r="I39" s="4"/>
      <c r="J39" s="5"/>
      <c r="K39" s="4"/>
      <c r="L39" s="4"/>
      <c r="M39" s="4"/>
      <c r="N39" s="4"/>
      <c r="O39" s="4"/>
      <c r="P39" s="4"/>
      <c r="Q39" s="4"/>
      <c r="R39" s="4"/>
      <c r="S39" s="4"/>
      <c r="T39" s="6">
        <f>IF(G39="","",SUBSTITUTE(SUBSTITUTE(SUBSTITUTE(SUBSTITUTE(SUBSTITUTE(SUBSTITUTE(SUBSTITUTE(TRIM(G39),".",""),"/",""),"-","")," ",""),"(",""),")",""),"+",""))</f>
      </c>
      <c r="U39" s="6">
        <f>IF(T39="","",IF(LEN(T39)&lt;&gt;14,"ERRO: "&amp;LEN(T39)&amp;" dígitos",IF(NOT(ISNUMBER(VALUE(T39))),"ERRO: não numérico",IF(LEN(SUBSTITUTE(T39,LEFT(T39,1),""))=0,"ERRO: dígitos repetidos",IF(AND(VALUE(MID(T39,13,1))=IF(MOD(SUMPRODUCT(--MID(T39,{1,2,3,4,5,6,7,8,9,10,11,12},1),{5,4,3,2,9,8,7,6,5,4,3,2}),11)&lt;2,0,11-MOD(SUMPRODUCT(--MID(T39,{1,2,3,4,5,6,7,8,9,10,11,12},1),{5,4,3,2,9,8,7,6,5,4,3,2}),11)),VALUE(MID(T39,14,1))=IF(MOD(SUMPRODUCT(--MID(T39,{1,2,3,4,5,6,7,8,9,10,11,12,13},1),{6,5,4,3,2,9,8,7,6,5,4,3,2}),11)&lt;2,0,11-MOD(SUMPRODUCT(--MID(T39,{1,2,3,4,5,6,7,8,9,10,11,12,13},1),{6,5,4,3,2,9,8,7,6,5,4,3,2}),11))),"OK","ERRO: dígito verificador")))))</f>
      </c>
      <c r="V39" s="6">
        <f>IF(T39="","",IF(COUNTIF($T$2:$T$1001,T39)&gt;1,"DUPLICADO","OK"))</f>
      </c>
      <c r="W39" s="6">
        <f>IF(M39="","vazio",IF(OR(AND(LEN(SUBSTITUTE(SUBSTITUTE(SUBSTITUTE(SUBSTITUTE(SUBSTITUTE(SUBSTITUTE(SUBSTITUTE(TRIM(M39),".",""),"/",""),"-","")," ",""),"(",""),")",""),"+",""))=10,LEFT(SUBSTITUTE(SUBSTITUTE(SUBSTITUTE(SUBSTITUTE(SUBSTITUTE(SUBSTITUTE(SUBSTITUTE(TRIM(M39),".",""),"/",""),"-","")," ",""),"(",""),")",""),"+",""),1)&lt;&gt;"0"),AND(LEN(SUBSTITUTE(SUBSTITUTE(SUBSTITUTE(SUBSTITUTE(SUBSTITUTE(SUBSTITUTE(SUBSTITUTE(TRIM(M39),".",""),"/",""),"-","")," ",""),"(",""),")",""),"+",""))=11,LEFT(SUBSTITUTE(SUBSTITUTE(SUBSTITUTE(SUBSTITUTE(SUBSTITUTE(SUBSTITUTE(SUBSTITUTE(TRIM(M39),".",""),"/",""),"-","")," ",""),"(",""),")",""),"+",""),4)="0800")),"OK",IF(AND(LEN(SUBSTITUTE(SUBSTITUTE(SUBSTITUTE(SUBSTITUTE(SUBSTITUTE(SUBSTITUTE(SUBSTITUTE(TRIM(M39),".",""),"/",""),"-","")," ",""),"(",""),")",""),"+",""))=11,MID(SUBSTITUTE(SUBSTITUTE(SUBSTITUTE(SUBSTITUTE(SUBSTITUTE(SUBSTITUTE(SUBSTITUTE(TRIM(M39),".",""),"/",""),"-","")," ",""),"(",""),")",""),"+",""),3,1)="9"),"ERRO: é celular, use a coluna Celular","ERRO: DDD + 8 dígitos ou 0800 + 7")))</f>
      </c>
      <c r="X39" s="6">
        <f>IF(N39="","vazio",IF(AND(LEN(SUBSTITUTE(SUBSTITUTE(SUBSTITUTE(SUBSTITUTE(SUBSTITUTE(SUBSTITUTE(SUBSTITUTE(TRIM(N39),".",""),"/",""),"-","")," ",""),"(",""),")",""),"+",""))=11,MID(SUBSTITUTE(SUBSTITUTE(SUBSTITUTE(SUBSTITUTE(SUBSTITUTE(SUBSTITUTE(SUBSTITUTE(TRIM(N39),".",""),"/",""),"-","")," ",""),"(",""),")",""),"+",""),3,1)="9",LEFT(SUBSTITUTE(SUBSTITUTE(SUBSTITUTE(SUBSTITUTE(SUBSTITUTE(SUBSTITUTE(SUBSTITUTE(TRIM(N39),".",""),"/",""),"-","")," ",""),"(",""),")",""),"+",""),1)&lt;&gt;"0"),"OK",IF(LEN(SUBSTITUTE(SUBSTITUTE(SUBSTITUTE(SUBSTITUTE(SUBSTITUTE(SUBSTITUTE(SUBSTITUTE(TRIM(N39),".",""),"/",""),"-","")," ",""),"(",""),")",""),"+",""))=10,"ERRO: é fixo (ou falta o 9), use a coluna Telefone fixo","ERRO: DDD + 9 + 8 dígitos")))</f>
      </c>
      <c r="Y39" s="6">
        <f>IF(O39="","vazio",IF(AND(ISNUMBER(FIND("@",O39)),ISNUMBER(FIND(".",MID(O39,FIND("@",O39),99))),NOT(ISNUMBER(FIND(" ",TRIM(O39)))),NOT(ISNUMBER(FIND(";",O39))),NOT(ISNUMBER(FIND(",",O39)))),"OK","ERRO: um e-mail válido por linha"))</f>
      </c>
      <c r="Z39" s="6">
        <f>IF(AND(J39="",K39=""),"",IF(AND(J39&lt;&gt;"",K39&lt;&gt;""),"OK","pendente: só um nome (o GR completa ao converter)"))</f>
      </c>
      <c r="AA39" s="6">
        <f>IF(COUNTA(A39:S39)=0,"",IF(AND(A39&lt;&gt;"",B39&lt;&gt;"",C39&lt;&gt;"",D39&lt;&gt;"",E39&lt;&gt;"",F39&lt;&gt;"",G39&lt;&gt;"",H39&lt;&gt;"",OR(J39&lt;&gt;"",K39&lt;&gt;""),OR(M39&lt;&gt;"",N39&lt;&gt;"",O39&lt;&gt;"")),"OK","ERRO: faltam "&amp;IF(A39="","SDR; ","")&amp;IF(B39="","Proprietário; ","")&amp;IF(C39="","Origem; ","")&amp;IF(D39="","Temperatura; ","")&amp;IF(E39="","Segmento; ","")&amp;IF(F39="","Time/Cluster; ","")&amp;IF(G39="","CNPJ; ","")&amp;IF(H39="","Razão Social; ","")&amp;IF(AND(J39="",K39=""),"nome do contato; ","")&amp;IF(AND(M39="",N39="",O39=""),"telefone, celular ou e-mail; ","")))</f>
      </c>
      <c r="AB39" s="6">
        <f>IF(COUNTA(A39:S39)=0,"",IF(AND(U39="OK",V39="OK",LEFT(W39,4)&lt;&gt;"ERRO",LEFT(X39,4)&lt;&gt;"ERRO",LEFT(Y39,4)&lt;&gt;"ERRO",AA39="OK"),"OK","REVISAR"))</f>
      </c>
    </row>
    <row r="40">
      <c r="A40" s="5"/>
      <c r="B40" s="5"/>
      <c r="C40" s="5"/>
      <c r="D40" s="5"/>
      <c r="E40" s="5"/>
      <c r="F40" s="5"/>
      <c r="G40" s="5"/>
      <c r="H40" s="5"/>
      <c r="I40" s="4"/>
      <c r="J40" s="5"/>
      <c r="K40" s="4"/>
      <c r="L40" s="4"/>
      <c r="M40" s="4"/>
      <c r="N40" s="4"/>
      <c r="O40" s="4"/>
      <c r="P40" s="4"/>
      <c r="Q40" s="4"/>
      <c r="R40" s="4"/>
      <c r="S40" s="4"/>
      <c r="T40" s="6">
        <f>IF(G40="","",SUBSTITUTE(SUBSTITUTE(SUBSTITUTE(SUBSTITUTE(SUBSTITUTE(SUBSTITUTE(SUBSTITUTE(TRIM(G40),".",""),"/",""),"-","")," ",""),"(",""),")",""),"+",""))</f>
      </c>
      <c r="U40" s="6">
        <f>IF(T40="","",IF(LEN(T40)&lt;&gt;14,"ERRO: "&amp;LEN(T40)&amp;" dígitos",IF(NOT(ISNUMBER(VALUE(T40))),"ERRO: não numérico",IF(LEN(SUBSTITUTE(T40,LEFT(T40,1),""))=0,"ERRO: dígitos repetidos",IF(AND(VALUE(MID(T40,13,1))=IF(MOD(SUMPRODUCT(--MID(T40,{1,2,3,4,5,6,7,8,9,10,11,12},1),{5,4,3,2,9,8,7,6,5,4,3,2}),11)&lt;2,0,11-MOD(SUMPRODUCT(--MID(T40,{1,2,3,4,5,6,7,8,9,10,11,12},1),{5,4,3,2,9,8,7,6,5,4,3,2}),11)),VALUE(MID(T40,14,1))=IF(MOD(SUMPRODUCT(--MID(T40,{1,2,3,4,5,6,7,8,9,10,11,12,13},1),{6,5,4,3,2,9,8,7,6,5,4,3,2}),11)&lt;2,0,11-MOD(SUMPRODUCT(--MID(T40,{1,2,3,4,5,6,7,8,9,10,11,12,13},1),{6,5,4,3,2,9,8,7,6,5,4,3,2}),11))),"OK","ERRO: dígito verificador")))))</f>
      </c>
      <c r="V40" s="6">
        <f>IF(T40="","",IF(COUNTIF($T$2:$T$1001,T40)&gt;1,"DUPLICADO","OK"))</f>
      </c>
      <c r="W40" s="6">
        <f>IF(M40="","vazio",IF(OR(AND(LEN(SUBSTITUTE(SUBSTITUTE(SUBSTITUTE(SUBSTITUTE(SUBSTITUTE(SUBSTITUTE(SUBSTITUTE(TRIM(M40),".",""),"/",""),"-","")," ",""),"(",""),")",""),"+",""))=10,LEFT(SUBSTITUTE(SUBSTITUTE(SUBSTITUTE(SUBSTITUTE(SUBSTITUTE(SUBSTITUTE(SUBSTITUTE(TRIM(M40),".",""),"/",""),"-","")," ",""),"(",""),")",""),"+",""),1)&lt;&gt;"0"),AND(LEN(SUBSTITUTE(SUBSTITUTE(SUBSTITUTE(SUBSTITUTE(SUBSTITUTE(SUBSTITUTE(SUBSTITUTE(TRIM(M40),".",""),"/",""),"-","")," ",""),"(",""),")",""),"+",""))=11,LEFT(SUBSTITUTE(SUBSTITUTE(SUBSTITUTE(SUBSTITUTE(SUBSTITUTE(SUBSTITUTE(SUBSTITUTE(TRIM(M40),".",""),"/",""),"-","")," ",""),"(",""),")",""),"+",""),4)="0800")),"OK",IF(AND(LEN(SUBSTITUTE(SUBSTITUTE(SUBSTITUTE(SUBSTITUTE(SUBSTITUTE(SUBSTITUTE(SUBSTITUTE(TRIM(M40),".",""),"/",""),"-","")," ",""),"(",""),")",""),"+",""))=11,MID(SUBSTITUTE(SUBSTITUTE(SUBSTITUTE(SUBSTITUTE(SUBSTITUTE(SUBSTITUTE(SUBSTITUTE(TRIM(M40),".",""),"/",""),"-","")," ",""),"(",""),")",""),"+",""),3,1)="9"),"ERRO: é celular, use a coluna Celular","ERRO: DDD + 8 dígitos ou 0800 + 7")))</f>
      </c>
      <c r="X40" s="6">
        <f>IF(N40="","vazio",IF(AND(LEN(SUBSTITUTE(SUBSTITUTE(SUBSTITUTE(SUBSTITUTE(SUBSTITUTE(SUBSTITUTE(SUBSTITUTE(TRIM(N40),".",""),"/",""),"-","")," ",""),"(",""),")",""),"+",""))=11,MID(SUBSTITUTE(SUBSTITUTE(SUBSTITUTE(SUBSTITUTE(SUBSTITUTE(SUBSTITUTE(SUBSTITUTE(TRIM(N40),".",""),"/",""),"-","")," ",""),"(",""),")",""),"+",""),3,1)="9",LEFT(SUBSTITUTE(SUBSTITUTE(SUBSTITUTE(SUBSTITUTE(SUBSTITUTE(SUBSTITUTE(SUBSTITUTE(TRIM(N40),".",""),"/",""),"-","")," ",""),"(",""),")",""),"+",""),1)&lt;&gt;"0"),"OK",IF(LEN(SUBSTITUTE(SUBSTITUTE(SUBSTITUTE(SUBSTITUTE(SUBSTITUTE(SUBSTITUTE(SUBSTITUTE(TRIM(N40),".",""),"/",""),"-","")," ",""),"(",""),")",""),"+",""))=10,"ERRO: é fixo (ou falta o 9), use a coluna Telefone fixo","ERRO: DDD + 9 + 8 dígitos")))</f>
      </c>
      <c r="Y40" s="6">
        <f>IF(O40="","vazio",IF(AND(ISNUMBER(FIND("@",O40)),ISNUMBER(FIND(".",MID(O40,FIND("@",O40),99))),NOT(ISNUMBER(FIND(" ",TRIM(O40)))),NOT(ISNUMBER(FIND(";",O40))),NOT(ISNUMBER(FIND(",",O40)))),"OK","ERRO: um e-mail válido por linha"))</f>
      </c>
      <c r="Z40" s="6">
        <f>IF(AND(J40="",K40=""),"",IF(AND(J40&lt;&gt;"",K40&lt;&gt;""),"OK","pendente: só um nome (o GR completa ao converter)"))</f>
      </c>
      <c r="AA40" s="6">
        <f>IF(COUNTA(A40:S40)=0,"",IF(AND(A40&lt;&gt;"",B40&lt;&gt;"",C40&lt;&gt;"",D40&lt;&gt;"",E40&lt;&gt;"",F40&lt;&gt;"",G40&lt;&gt;"",H40&lt;&gt;"",OR(J40&lt;&gt;"",K40&lt;&gt;""),OR(M40&lt;&gt;"",N40&lt;&gt;"",O40&lt;&gt;"")),"OK","ERRO: faltam "&amp;IF(A40="","SDR; ","")&amp;IF(B40="","Proprietário; ","")&amp;IF(C40="","Origem; ","")&amp;IF(D40="","Temperatura; ","")&amp;IF(E40="","Segmento; ","")&amp;IF(F40="","Time/Cluster; ","")&amp;IF(G40="","CNPJ; ","")&amp;IF(H40="","Razão Social; ","")&amp;IF(AND(J40="",K40=""),"nome do contato; ","")&amp;IF(AND(M40="",N40="",O40=""),"telefone, celular ou e-mail; ","")))</f>
      </c>
      <c r="AB40" s="6">
        <f>IF(COUNTA(A40:S40)=0,"",IF(AND(U40="OK",V40="OK",LEFT(W40,4)&lt;&gt;"ERRO",LEFT(X40,4)&lt;&gt;"ERRO",LEFT(Y40,4)&lt;&gt;"ERRO",AA40="OK"),"OK","REVISAR"))</f>
      </c>
    </row>
    <row r="41">
      <c r="A41" s="5"/>
      <c r="B41" s="5"/>
      <c r="C41" s="5"/>
      <c r="D41" s="5"/>
      <c r="E41" s="5"/>
      <c r="F41" s="5"/>
      <c r="G41" s="5"/>
      <c r="H41" s="5"/>
      <c r="I41" s="4"/>
      <c r="J41" s="5"/>
      <c r="K41" s="4"/>
      <c r="L41" s="4"/>
      <c r="M41" s="4"/>
      <c r="N41" s="4"/>
      <c r="O41" s="4"/>
      <c r="P41" s="4"/>
      <c r="Q41" s="4"/>
      <c r="R41" s="4"/>
      <c r="S41" s="4"/>
      <c r="T41" s="6">
        <f>IF(G41="","",SUBSTITUTE(SUBSTITUTE(SUBSTITUTE(SUBSTITUTE(SUBSTITUTE(SUBSTITUTE(SUBSTITUTE(TRIM(G41),".",""),"/",""),"-","")," ",""),"(",""),")",""),"+",""))</f>
      </c>
      <c r="U41" s="6">
        <f>IF(T41="","",IF(LEN(T41)&lt;&gt;14,"ERRO: "&amp;LEN(T41)&amp;" dígitos",IF(NOT(ISNUMBER(VALUE(T41))),"ERRO: não numérico",IF(LEN(SUBSTITUTE(T41,LEFT(T41,1),""))=0,"ERRO: dígitos repetidos",IF(AND(VALUE(MID(T41,13,1))=IF(MOD(SUMPRODUCT(--MID(T41,{1,2,3,4,5,6,7,8,9,10,11,12},1),{5,4,3,2,9,8,7,6,5,4,3,2}),11)&lt;2,0,11-MOD(SUMPRODUCT(--MID(T41,{1,2,3,4,5,6,7,8,9,10,11,12},1),{5,4,3,2,9,8,7,6,5,4,3,2}),11)),VALUE(MID(T41,14,1))=IF(MOD(SUMPRODUCT(--MID(T41,{1,2,3,4,5,6,7,8,9,10,11,12,13},1),{6,5,4,3,2,9,8,7,6,5,4,3,2}),11)&lt;2,0,11-MOD(SUMPRODUCT(--MID(T41,{1,2,3,4,5,6,7,8,9,10,11,12,13},1),{6,5,4,3,2,9,8,7,6,5,4,3,2}),11))),"OK","ERRO: dígito verificador")))))</f>
      </c>
      <c r="V41" s="6">
        <f>IF(T41="","",IF(COUNTIF($T$2:$T$1001,T41)&gt;1,"DUPLICADO","OK"))</f>
      </c>
      <c r="W41" s="6">
        <f>IF(M41="","vazio",IF(OR(AND(LEN(SUBSTITUTE(SUBSTITUTE(SUBSTITUTE(SUBSTITUTE(SUBSTITUTE(SUBSTITUTE(SUBSTITUTE(TRIM(M41),".",""),"/",""),"-","")," ",""),"(",""),")",""),"+",""))=10,LEFT(SUBSTITUTE(SUBSTITUTE(SUBSTITUTE(SUBSTITUTE(SUBSTITUTE(SUBSTITUTE(SUBSTITUTE(TRIM(M41),".",""),"/",""),"-","")," ",""),"(",""),")",""),"+",""),1)&lt;&gt;"0"),AND(LEN(SUBSTITUTE(SUBSTITUTE(SUBSTITUTE(SUBSTITUTE(SUBSTITUTE(SUBSTITUTE(SUBSTITUTE(TRIM(M41),".",""),"/",""),"-","")," ",""),"(",""),")",""),"+",""))=11,LEFT(SUBSTITUTE(SUBSTITUTE(SUBSTITUTE(SUBSTITUTE(SUBSTITUTE(SUBSTITUTE(SUBSTITUTE(TRIM(M41),".",""),"/",""),"-","")," ",""),"(",""),")",""),"+",""),4)="0800")),"OK",IF(AND(LEN(SUBSTITUTE(SUBSTITUTE(SUBSTITUTE(SUBSTITUTE(SUBSTITUTE(SUBSTITUTE(SUBSTITUTE(TRIM(M41),".",""),"/",""),"-","")," ",""),"(",""),")",""),"+",""))=11,MID(SUBSTITUTE(SUBSTITUTE(SUBSTITUTE(SUBSTITUTE(SUBSTITUTE(SUBSTITUTE(SUBSTITUTE(TRIM(M41),".",""),"/",""),"-","")," ",""),"(",""),")",""),"+",""),3,1)="9"),"ERRO: é celular, use a coluna Celular","ERRO: DDD + 8 dígitos ou 0800 + 7")))</f>
      </c>
      <c r="X41" s="6">
        <f>IF(N41="","vazio",IF(AND(LEN(SUBSTITUTE(SUBSTITUTE(SUBSTITUTE(SUBSTITUTE(SUBSTITUTE(SUBSTITUTE(SUBSTITUTE(TRIM(N41),".",""),"/",""),"-","")," ",""),"(",""),")",""),"+",""))=11,MID(SUBSTITUTE(SUBSTITUTE(SUBSTITUTE(SUBSTITUTE(SUBSTITUTE(SUBSTITUTE(SUBSTITUTE(TRIM(N41),".",""),"/",""),"-","")," ",""),"(",""),")",""),"+",""),3,1)="9",LEFT(SUBSTITUTE(SUBSTITUTE(SUBSTITUTE(SUBSTITUTE(SUBSTITUTE(SUBSTITUTE(SUBSTITUTE(TRIM(N41),".",""),"/",""),"-","")," ",""),"(",""),")",""),"+",""),1)&lt;&gt;"0"),"OK",IF(LEN(SUBSTITUTE(SUBSTITUTE(SUBSTITUTE(SUBSTITUTE(SUBSTITUTE(SUBSTITUTE(SUBSTITUTE(TRIM(N41),".",""),"/",""),"-","")," ",""),"(",""),")",""),"+",""))=10,"ERRO: é fixo (ou falta o 9), use a coluna Telefone fixo","ERRO: DDD + 9 + 8 dígitos")))</f>
      </c>
      <c r="Y41" s="6">
        <f>IF(O41="","vazio",IF(AND(ISNUMBER(FIND("@",O41)),ISNUMBER(FIND(".",MID(O41,FIND("@",O41),99))),NOT(ISNUMBER(FIND(" ",TRIM(O41)))),NOT(ISNUMBER(FIND(";",O41))),NOT(ISNUMBER(FIND(",",O41)))),"OK","ERRO: um e-mail válido por linha"))</f>
      </c>
      <c r="Z41" s="6">
        <f>IF(AND(J41="",K41=""),"",IF(AND(J41&lt;&gt;"",K41&lt;&gt;""),"OK","pendente: só um nome (o GR completa ao converter)"))</f>
      </c>
      <c r="AA41" s="6">
        <f>IF(COUNTA(A41:S41)=0,"",IF(AND(A41&lt;&gt;"",B41&lt;&gt;"",C41&lt;&gt;"",D41&lt;&gt;"",E41&lt;&gt;"",F41&lt;&gt;"",G41&lt;&gt;"",H41&lt;&gt;"",OR(J41&lt;&gt;"",K41&lt;&gt;""),OR(M41&lt;&gt;"",N41&lt;&gt;"",O41&lt;&gt;"")),"OK","ERRO: faltam "&amp;IF(A41="","SDR; ","")&amp;IF(B41="","Proprietário; ","")&amp;IF(C41="","Origem; ","")&amp;IF(D41="","Temperatura; ","")&amp;IF(E41="","Segmento; ","")&amp;IF(F41="","Time/Cluster; ","")&amp;IF(G41="","CNPJ; ","")&amp;IF(H41="","Razão Social; ","")&amp;IF(AND(J41="",K41=""),"nome do contato; ","")&amp;IF(AND(M41="",N41="",O41=""),"telefone, celular ou e-mail; ","")))</f>
      </c>
      <c r="AB41" s="6">
        <f>IF(COUNTA(A41:S41)=0,"",IF(AND(U41="OK",V41="OK",LEFT(W41,4)&lt;&gt;"ERRO",LEFT(X41,4)&lt;&gt;"ERRO",LEFT(Y41,4)&lt;&gt;"ERRO",AA41="OK"),"OK","REVISAR"))</f>
      </c>
    </row>
    <row r="42">
      <c r="A42" s="5"/>
      <c r="B42" s="5"/>
      <c r="C42" s="5"/>
      <c r="D42" s="5"/>
      <c r="E42" s="5"/>
      <c r="F42" s="5"/>
      <c r="G42" s="5"/>
      <c r="H42" s="5"/>
      <c r="I42" s="4"/>
      <c r="J42" s="5"/>
      <c r="K42" s="4"/>
      <c r="L42" s="4"/>
      <c r="M42" s="4"/>
      <c r="N42" s="4"/>
      <c r="O42" s="4"/>
      <c r="P42" s="4"/>
      <c r="Q42" s="4"/>
      <c r="R42" s="4"/>
      <c r="S42" s="4"/>
      <c r="T42" s="6">
        <f>IF(G42="","",SUBSTITUTE(SUBSTITUTE(SUBSTITUTE(SUBSTITUTE(SUBSTITUTE(SUBSTITUTE(SUBSTITUTE(TRIM(G42),".",""),"/",""),"-","")," ",""),"(",""),")",""),"+",""))</f>
      </c>
      <c r="U42" s="6">
        <f>IF(T42="","",IF(LEN(T42)&lt;&gt;14,"ERRO: "&amp;LEN(T42)&amp;" dígitos",IF(NOT(ISNUMBER(VALUE(T42))),"ERRO: não numérico",IF(LEN(SUBSTITUTE(T42,LEFT(T42,1),""))=0,"ERRO: dígitos repetidos",IF(AND(VALUE(MID(T42,13,1))=IF(MOD(SUMPRODUCT(--MID(T42,{1,2,3,4,5,6,7,8,9,10,11,12},1),{5,4,3,2,9,8,7,6,5,4,3,2}),11)&lt;2,0,11-MOD(SUMPRODUCT(--MID(T42,{1,2,3,4,5,6,7,8,9,10,11,12},1),{5,4,3,2,9,8,7,6,5,4,3,2}),11)),VALUE(MID(T42,14,1))=IF(MOD(SUMPRODUCT(--MID(T42,{1,2,3,4,5,6,7,8,9,10,11,12,13},1),{6,5,4,3,2,9,8,7,6,5,4,3,2}),11)&lt;2,0,11-MOD(SUMPRODUCT(--MID(T42,{1,2,3,4,5,6,7,8,9,10,11,12,13},1),{6,5,4,3,2,9,8,7,6,5,4,3,2}),11))),"OK","ERRO: dígito verificador")))))</f>
      </c>
      <c r="V42" s="6">
        <f>IF(T42="","",IF(COUNTIF($T$2:$T$1001,T42)&gt;1,"DUPLICADO","OK"))</f>
      </c>
      <c r="W42" s="6">
        <f>IF(M42="","vazio",IF(OR(AND(LEN(SUBSTITUTE(SUBSTITUTE(SUBSTITUTE(SUBSTITUTE(SUBSTITUTE(SUBSTITUTE(SUBSTITUTE(TRIM(M42),".",""),"/",""),"-","")," ",""),"(",""),")",""),"+",""))=10,LEFT(SUBSTITUTE(SUBSTITUTE(SUBSTITUTE(SUBSTITUTE(SUBSTITUTE(SUBSTITUTE(SUBSTITUTE(TRIM(M42),".",""),"/",""),"-","")," ",""),"(",""),")",""),"+",""),1)&lt;&gt;"0"),AND(LEN(SUBSTITUTE(SUBSTITUTE(SUBSTITUTE(SUBSTITUTE(SUBSTITUTE(SUBSTITUTE(SUBSTITUTE(TRIM(M42),".",""),"/",""),"-","")," ",""),"(",""),")",""),"+",""))=11,LEFT(SUBSTITUTE(SUBSTITUTE(SUBSTITUTE(SUBSTITUTE(SUBSTITUTE(SUBSTITUTE(SUBSTITUTE(TRIM(M42),".",""),"/",""),"-","")," ",""),"(",""),")",""),"+",""),4)="0800")),"OK",IF(AND(LEN(SUBSTITUTE(SUBSTITUTE(SUBSTITUTE(SUBSTITUTE(SUBSTITUTE(SUBSTITUTE(SUBSTITUTE(TRIM(M42),".",""),"/",""),"-","")," ",""),"(",""),")",""),"+",""))=11,MID(SUBSTITUTE(SUBSTITUTE(SUBSTITUTE(SUBSTITUTE(SUBSTITUTE(SUBSTITUTE(SUBSTITUTE(TRIM(M42),".",""),"/",""),"-","")," ",""),"(",""),")",""),"+",""),3,1)="9"),"ERRO: é celular, use a coluna Celular","ERRO: DDD + 8 dígitos ou 0800 + 7")))</f>
      </c>
      <c r="X42" s="6">
        <f>IF(N42="","vazio",IF(AND(LEN(SUBSTITUTE(SUBSTITUTE(SUBSTITUTE(SUBSTITUTE(SUBSTITUTE(SUBSTITUTE(SUBSTITUTE(TRIM(N42),".",""),"/",""),"-","")," ",""),"(",""),")",""),"+",""))=11,MID(SUBSTITUTE(SUBSTITUTE(SUBSTITUTE(SUBSTITUTE(SUBSTITUTE(SUBSTITUTE(SUBSTITUTE(TRIM(N42),".",""),"/",""),"-","")," ",""),"(",""),")",""),"+",""),3,1)="9",LEFT(SUBSTITUTE(SUBSTITUTE(SUBSTITUTE(SUBSTITUTE(SUBSTITUTE(SUBSTITUTE(SUBSTITUTE(TRIM(N42),".",""),"/",""),"-","")," ",""),"(",""),")",""),"+",""),1)&lt;&gt;"0"),"OK",IF(LEN(SUBSTITUTE(SUBSTITUTE(SUBSTITUTE(SUBSTITUTE(SUBSTITUTE(SUBSTITUTE(SUBSTITUTE(TRIM(N42),".",""),"/",""),"-","")," ",""),"(",""),")",""),"+",""))=10,"ERRO: é fixo (ou falta o 9), use a coluna Telefone fixo","ERRO: DDD + 9 + 8 dígitos")))</f>
      </c>
      <c r="Y42" s="6">
        <f>IF(O42="","vazio",IF(AND(ISNUMBER(FIND("@",O42)),ISNUMBER(FIND(".",MID(O42,FIND("@",O42),99))),NOT(ISNUMBER(FIND(" ",TRIM(O42)))),NOT(ISNUMBER(FIND(";",O42))),NOT(ISNUMBER(FIND(",",O42)))),"OK","ERRO: um e-mail válido por linha"))</f>
      </c>
      <c r="Z42" s="6">
        <f>IF(AND(J42="",K42=""),"",IF(AND(J42&lt;&gt;"",K42&lt;&gt;""),"OK","pendente: só um nome (o GR completa ao converter)"))</f>
      </c>
      <c r="AA42" s="6">
        <f>IF(COUNTA(A42:S42)=0,"",IF(AND(A42&lt;&gt;"",B42&lt;&gt;"",C42&lt;&gt;"",D42&lt;&gt;"",E42&lt;&gt;"",F42&lt;&gt;"",G42&lt;&gt;"",H42&lt;&gt;"",OR(J42&lt;&gt;"",K42&lt;&gt;""),OR(M42&lt;&gt;"",N42&lt;&gt;"",O42&lt;&gt;"")),"OK","ERRO: faltam "&amp;IF(A42="","SDR; ","")&amp;IF(B42="","Proprietário; ","")&amp;IF(C42="","Origem; ","")&amp;IF(D42="","Temperatura; ","")&amp;IF(E42="","Segmento; ","")&amp;IF(F42="","Time/Cluster; ","")&amp;IF(G42="","CNPJ; ","")&amp;IF(H42="","Razão Social; ","")&amp;IF(AND(J42="",K42=""),"nome do contato; ","")&amp;IF(AND(M42="",N42="",O42=""),"telefone, celular ou e-mail; ","")))</f>
      </c>
      <c r="AB42" s="6">
        <f>IF(COUNTA(A42:S42)=0,"",IF(AND(U42="OK",V42="OK",LEFT(W42,4)&lt;&gt;"ERRO",LEFT(X42,4)&lt;&gt;"ERRO",LEFT(Y42,4)&lt;&gt;"ERRO",AA42="OK"),"OK","REVISAR"))</f>
      </c>
    </row>
    <row r="43">
      <c r="A43" s="5"/>
      <c r="B43" s="5"/>
      <c r="C43" s="5"/>
      <c r="D43" s="5"/>
      <c r="E43" s="5"/>
      <c r="F43" s="5"/>
      <c r="G43" s="5"/>
      <c r="H43" s="5"/>
      <c r="I43" s="4"/>
      <c r="J43" s="5"/>
      <c r="K43" s="4"/>
      <c r="L43" s="4"/>
      <c r="M43" s="4"/>
      <c r="N43" s="4"/>
      <c r="O43" s="4"/>
      <c r="P43" s="4"/>
      <c r="Q43" s="4"/>
      <c r="R43" s="4"/>
      <c r="S43" s="4"/>
      <c r="T43" s="6">
        <f>IF(G43="","",SUBSTITUTE(SUBSTITUTE(SUBSTITUTE(SUBSTITUTE(SUBSTITUTE(SUBSTITUTE(SUBSTITUTE(TRIM(G43),".",""),"/",""),"-","")," ",""),"(",""),")",""),"+",""))</f>
      </c>
      <c r="U43" s="6">
        <f>IF(T43="","",IF(LEN(T43)&lt;&gt;14,"ERRO: "&amp;LEN(T43)&amp;" dígitos",IF(NOT(ISNUMBER(VALUE(T43))),"ERRO: não numérico",IF(LEN(SUBSTITUTE(T43,LEFT(T43,1),""))=0,"ERRO: dígitos repetidos",IF(AND(VALUE(MID(T43,13,1))=IF(MOD(SUMPRODUCT(--MID(T43,{1,2,3,4,5,6,7,8,9,10,11,12},1),{5,4,3,2,9,8,7,6,5,4,3,2}),11)&lt;2,0,11-MOD(SUMPRODUCT(--MID(T43,{1,2,3,4,5,6,7,8,9,10,11,12},1),{5,4,3,2,9,8,7,6,5,4,3,2}),11)),VALUE(MID(T43,14,1))=IF(MOD(SUMPRODUCT(--MID(T43,{1,2,3,4,5,6,7,8,9,10,11,12,13},1),{6,5,4,3,2,9,8,7,6,5,4,3,2}),11)&lt;2,0,11-MOD(SUMPRODUCT(--MID(T43,{1,2,3,4,5,6,7,8,9,10,11,12,13},1),{6,5,4,3,2,9,8,7,6,5,4,3,2}),11))),"OK","ERRO: dígito verificador")))))</f>
      </c>
      <c r="V43" s="6">
        <f>IF(T43="","",IF(COUNTIF($T$2:$T$1001,T43)&gt;1,"DUPLICADO","OK"))</f>
      </c>
      <c r="W43" s="6">
        <f>IF(M43="","vazio",IF(OR(AND(LEN(SUBSTITUTE(SUBSTITUTE(SUBSTITUTE(SUBSTITUTE(SUBSTITUTE(SUBSTITUTE(SUBSTITUTE(TRIM(M43),".",""),"/",""),"-","")," ",""),"(",""),")",""),"+",""))=10,LEFT(SUBSTITUTE(SUBSTITUTE(SUBSTITUTE(SUBSTITUTE(SUBSTITUTE(SUBSTITUTE(SUBSTITUTE(TRIM(M43),".",""),"/",""),"-","")," ",""),"(",""),")",""),"+",""),1)&lt;&gt;"0"),AND(LEN(SUBSTITUTE(SUBSTITUTE(SUBSTITUTE(SUBSTITUTE(SUBSTITUTE(SUBSTITUTE(SUBSTITUTE(TRIM(M43),".",""),"/",""),"-","")," ",""),"(",""),")",""),"+",""))=11,LEFT(SUBSTITUTE(SUBSTITUTE(SUBSTITUTE(SUBSTITUTE(SUBSTITUTE(SUBSTITUTE(SUBSTITUTE(TRIM(M43),".",""),"/",""),"-","")," ",""),"(",""),")",""),"+",""),4)="0800")),"OK",IF(AND(LEN(SUBSTITUTE(SUBSTITUTE(SUBSTITUTE(SUBSTITUTE(SUBSTITUTE(SUBSTITUTE(SUBSTITUTE(TRIM(M43),".",""),"/",""),"-","")," ",""),"(",""),")",""),"+",""))=11,MID(SUBSTITUTE(SUBSTITUTE(SUBSTITUTE(SUBSTITUTE(SUBSTITUTE(SUBSTITUTE(SUBSTITUTE(TRIM(M43),".",""),"/",""),"-","")," ",""),"(",""),")",""),"+",""),3,1)="9"),"ERRO: é celular, use a coluna Celular","ERRO: DDD + 8 dígitos ou 0800 + 7")))</f>
      </c>
      <c r="X43" s="6">
        <f>IF(N43="","vazio",IF(AND(LEN(SUBSTITUTE(SUBSTITUTE(SUBSTITUTE(SUBSTITUTE(SUBSTITUTE(SUBSTITUTE(SUBSTITUTE(TRIM(N43),".",""),"/",""),"-","")," ",""),"(",""),")",""),"+",""))=11,MID(SUBSTITUTE(SUBSTITUTE(SUBSTITUTE(SUBSTITUTE(SUBSTITUTE(SUBSTITUTE(SUBSTITUTE(TRIM(N43),".",""),"/",""),"-","")," ",""),"(",""),")",""),"+",""),3,1)="9",LEFT(SUBSTITUTE(SUBSTITUTE(SUBSTITUTE(SUBSTITUTE(SUBSTITUTE(SUBSTITUTE(SUBSTITUTE(TRIM(N43),".",""),"/",""),"-","")," ",""),"(",""),")",""),"+",""),1)&lt;&gt;"0"),"OK",IF(LEN(SUBSTITUTE(SUBSTITUTE(SUBSTITUTE(SUBSTITUTE(SUBSTITUTE(SUBSTITUTE(SUBSTITUTE(TRIM(N43),".",""),"/",""),"-","")," ",""),"(",""),")",""),"+",""))=10,"ERRO: é fixo (ou falta o 9), use a coluna Telefone fixo","ERRO: DDD + 9 + 8 dígitos")))</f>
      </c>
      <c r="Y43" s="6">
        <f>IF(O43="","vazio",IF(AND(ISNUMBER(FIND("@",O43)),ISNUMBER(FIND(".",MID(O43,FIND("@",O43),99))),NOT(ISNUMBER(FIND(" ",TRIM(O43)))),NOT(ISNUMBER(FIND(";",O43))),NOT(ISNUMBER(FIND(",",O43)))),"OK","ERRO: um e-mail válido por linha"))</f>
      </c>
      <c r="Z43" s="6">
        <f>IF(AND(J43="",K43=""),"",IF(AND(J43&lt;&gt;"",K43&lt;&gt;""),"OK","pendente: só um nome (o GR completa ao converter)"))</f>
      </c>
      <c r="AA43" s="6">
        <f>IF(COUNTA(A43:S43)=0,"",IF(AND(A43&lt;&gt;"",B43&lt;&gt;"",C43&lt;&gt;"",D43&lt;&gt;"",E43&lt;&gt;"",F43&lt;&gt;"",G43&lt;&gt;"",H43&lt;&gt;"",OR(J43&lt;&gt;"",K43&lt;&gt;""),OR(M43&lt;&gt;"",N43&lt;&gt;"",O43&lt;&gt;"")),"OK","ERRO: faltam "&amp;IF(A43="","SDR; ","")&amp;IF(B43="","Proprietário; ","")&amp;IF(C43="","Origem; ","")&amp;IF(D43="","Temperatura; ","")&amp;IF(E43="","Segmento; ","")&amp;IF(F43="","Time/Cluster; ","")&amp;IF(G43="","CNPJ; ","")&amp;IF(H43="","Razão Social; ","")&amp;IF(AND(J43="",K43=""),"nome do contato; ","")&amp;IF(AND(M43="",N43="",O43=""),"telefone, celular ou e-mail; ","")))</f>
      </c>
      <c r="AB43" s="6">
        <f>IF(COUNTA(A43:S43)=0,"",IF(AND(U43="OK",V43="OK",LEFT(W43,4)&lt;&gt;"ERRO",LEFT(X43,4)&lt;&gt;"ERRO",LEFT(Y43,4)&lt;&gt;"ERRO",AA43="OK"),"OK","REVISAR"))</f>
      </c>
    </row>
    <row r="44">
      <c r="A44" s="5"/>
      <c r="B44" s="5"/>
      <c r="C44" s="5"/>
      <c r="D44" s="5"/>
      <c r="E44" s="5"/>
      <c r="F44" s="5"/>
      <c r="G44" s="5"/>
      <c r="H44" s="5"/>
      <c r="I44" s="4"/>
      <c r="J44" s="5"/>
      <c r="K44" s="4"/>
      <c r="L44" s="4"/>
      <c r="M44" s="4"/>
      <c r="N44" s="4"/>
      <c r="O44" s="4"/>
      <c r="P44" s="4"/>
      <c r="Q44" s="4"/>
      <c r="R44" s="4"/>
      <c r="S44" s="4"/>
      <c r="T44" s="6">
        <f>IF(G44="","",SUBSTITUTE(SUBSTITUTE(SUBSTITUTE(SUBSTITUTE(SUBSTITUTE(SUBSTITUTE(SUBSTITUTE(TRIM(G44),".",""),"/",""),"-","")," ",""),"(",""),")",""),"+",""))</f>
      </c>
      <c r="U44" s="6">
        <f>IF(T44="","",IF(LEN(T44)&lt;&gt;14,"ERRO: "&amp;LEN(T44)&amp;" dígitos",IF(NOT(ISNUMBER(VALUE(T44))),"ERRO: não numérico",IF(LEN(SUBSTITUTE(T44,LEFT(T44,1),""))=0,"ERRO: dígitos repetidos",IF(AND(VALUE(MID(T44,13,1))=IF(MOD(SUMPRODUCT(--MID(T44,{1,2,3,4,5,6,7,8,9,10,11,12},1),{5,4,3,2,9,8,7,6,5,4,3,2}),11)&lt;2,0,11-MOD(SUMPRODUCT(--MID(T44,{1,2,3,4,5,6,7,8,9,10,11,12},1),{5,4,3,2,9,8,7,6,5,4,3,2}),11)),VALUE(MID(T44,14,1))=IF(MOD(SUMPRODUCT(--MID(T44,{1,2,3,4,5,6,7,8,9,10,11,12,13},1),{6,5,4,3,2,9,8,7,6,5,4,3,2}),11)&lt;2,0,11-MOD(SUMPRODUCT(--MID(T44,{1,2,3,4,5,6,7,8,9,10,11,12,13},1),{6,5,4,3,2,9,8,7,6,5,4,3,2}),11))),"OK","ERRO: dígito verificador")))))</f>
      </c>
      <c r="V44" s="6">
        <f>IF(T44="","",IF(COUNTIF($T$2:$T$1001,T44)&gt;1,"DUPLICADO","OK"))</f>
      </c>
      <c r="W44" s="6">
        <f>IF(M44="","vazio",IF(OR(AND(LEN(SUBSTITUTE(SUBSTITUTE(SUBSTITUTE(SUBSTITUTE(SUBSTITUTE(SUBSTITUTE(SUBSTITUTE(TRIM(M44),".",""),"/",""),"-","")," ",""),"(",""),")",""),"+",""))=10,LEFT(SUBSTITUTE(SUBSTITUTE(SUBSTITUTE(SUBSTITUTE(SUBSTITUTE(SUBSTITUTE(SUBSTITUTE(TRIM(M44),".",""),"/",""),"-","")," ",""),"(",""),")",""),"+",""),1)&lt;&gt;"0"),AND(LEN(SUBSTITUTE(SUBSTITUTE(SUBSTITUTE(SUBSTITUTE(SUBSTITUTE(SUBSTITUTE(SUBSTITUTE(TRIM(M44),".",""),"/",""),"-","")," ",""),"(",""),")",""),"+",""))=11,LEFT(SUBSTITUTE(SUBSTITUTE(SUBSTITUTE(SUBSTITUTE(SUBSTITUTE(SUBSTITUTE(SUBSTITUTE(TRIM(M44),".",""),"/",""),"-","")," ",""),"(",""),")",""),"+",""),4)="0800")),"OK",IF(AND(LEN(SUBSTITUTE(SUBSTITUTE(SUBSTITUTE(SUBSTITUTE(SUBSTITUTE(SUBSTITUTE(SUBSTITUTE(TRIM(M44),".",""),"/",""),"-","")," ",""),"(",""),")",""),"+",""))=11,MID(SUBSTITUTE(SUBSTITUTE(SUBSTITUTE(SUBSTITUTE(SUBSTITUTE(SUBSTITUTE(SUBSTITUTE(TRIM(M44),".",""),"/",""),"-","")," ",""),"(",""),")",""),"+",""),3,1)="9"),"ERRO: é celular, use a coluna Celular","ERRO: DDD + 8 dígitos ou 0800 + 7")))</f>
      </c>
      <c r="X44" s="6">
        <f>IF(N44="","vazio",IF(AND(LEN(SUBSTITUTE(SUBSTITUTE(SUBSTITUTE(SUBSTITUTE(SUBSTITUTE(SUBSTITUTE(SUBSTITUTE(TRIM(N44),".",""),"/",""),"-","")," ",""),"(",""),")",""),"+",""))=11,MID(SUBSTITUTE(SUBSTITUTE(SUBSTITUTE(SUBSTITUTE(SUBSTITUTE(SUBSTITUTE(SUBSTITUTE(TRIM(N44),".",""),"/",""),"-","")," ",""),"(",""),")",""),"+",""),3,1)="9",LEFT(SUBSTITUTE(SUBSTITUTE(SUBSTITUTE(SUBSTITUTE(SUBSTITUTE(SUBSTITUTE(SUBSTITUTE(TRIM(N44),".",""),"/",""),"-","")," ",""),"(",""),")",""),"+",""),1)&lt;&gt;"0"),"OK",IF(LEN(SUBSTITUTE(SUBSTITUTE(SUBSTITUTE(SUBSTITUTE(SUBSTITUTE(SUBSTITUTE(SUBSTITUTE(TRIM(N44),".",""),"/",""),"-","")," ",""),"(",""),")",""),"+",""))=10,"ERRO: é fixo (ou falta o 9), use a coluna Telefone fixo","ERRO: DDD + 9 + 8 dígitos")))</f>
      </c>
      <c r="Y44" s="6">
        <f>IF(O44="","vazio",IF(AND(ISNUMBER(FIND("@",O44)),ISNUMBER(FIND(".",MID(O44,FIND("@",O44),99))),NOT(ISNUMBER(FIND(" ",TRIM(O44)))),NOT(ISNUMBER(FIND(";",O44))),NOT(ISNUMBER(FIND(",",O44)))),"OK","ERRO: um e-mail válido por linha"))</f>
      </c>
      <c r="Z44" s="6">
        <f>IF(AND(J44="",K44=""),"",IF(AND(J44&lt;&gt;"",K44&lt;&gt;""),"OK","pendente: só um nome (o GR completa ao converter)"))</f>
      </c>
      <c r="AA44" s="6">
        <f>IF(COUNTA(A44:S44)=0,"",IF(AND(A44&lt;&gt;"",B44&lt;&gt;"",C44&lt;&gt;"",D44&lt;&gt;"",E44&lt;&gt;"",F44&lt;&gt;"",G44&lt;&gt;"",H44&lt;&gt;"",OR(J44&lt;&gt;"",K44&lt;&gt;""),OR(M44&lt;&gt;"",N44&lt;&gt;"",O44&lt;&gt;"")),"OK","ERRO: faltam "&amp;IF(A44="","SDR; ","")&amp;IF(B44="","Proprietário; ","")&amp;IF(C44="","Origem; ","")&amp;IF(D44="","Temperatura; ","")&amp;IF(E44="","Segmento; ","")&amp;IF(F44="","Time/Cluster; ","")&amp;IF(G44="","CNPJ; ","")&amp;IF(H44="","Razão Social; ","")&amp;IF(AND(J44="",K44=""),"nome do contato; ","")&amp;IF(AND(M44="",N44="",O44=""),"telefone, celular ou e-mail; ","")))</f>
      </c>
      <c r="AB44" s="6">
        <f>IF(COUNTA(A44:S44)=0,"",IF(AND(U44="OK",V44="OK",LEFT(W44,4)&lt;&gt;"ERRO",LEFT(X44,4)&lt;&gt;"ERRO",LEFT(Y44,4)&lt;&gt;"ERRO",AA44="OK"),"OK","REVISAR"))</f>
      </c>
    </row>
    <row r="45">
      <c r="A45" s="5"/>
      <c r="B45" s="5"/>
      <c r="C45" s="5"/>
      <c r="D45" s="5"/>
      <c r="E45" s="5"/>
      <c r="F45" s="5"/>
      <c r="G45" s="5"/>
      <c r="H45" s="5"/>
      <c r="I45" s="4"/>
      <c r="J45" s="5"/>
      <c r="K45" s="4"/>
      <c r="L45" s="4"/>
      <c r="M45" s="4"/>
      <c r="N45" s="4"/>
      <c r="O45" s="4"/>
      <c r="P45" s="4"/>
      <c r="Q45" s="4"/>
      <c r="R45" s="4"/>
      <c r="S45" s="4"/>
      <c r="T45" s="6">
        <f>IF(G45="","",SUBSTITUTE(SUBSTITUTE(SUBSTITUTE(SUBSTITUTE(SUBSTITUTE(SUBSTITUTE(SUBSTITUTE(TRIM(G45),".",""),"/",""),"-","")," ",""),"(",""),")",""),"+",""))</f>
      </c>
      <c r="U45" s="6">
        <f>IF(T45="","",IF(LEN(T45)&lt;&gt;14,"ERRO: "&amp;LEN(T45)&amp;" dígitos",IF(NOT(ISNUMBER(VALUE(T45))),"ERRO: não numérico",IF(LEN(SUBSTITUTE(T45,LEFT(T45,1),""))=0,"ERRO: dígitos repetidos",IF(AND(VALUE(MID(T45,13,1))=IF(MOD(SUMPRODUCT(--MID(T45,{1,2,3,4,5,6,7,8,9,10,11,12},1),{5,4,3,2,9,8,7,6,5,4,3,2}),11)&lt;2,0,11-MOD(SUMPRODUCT(--MID(T45,{1,2,3,4,5,6,7,8,9,10,11,12},1),{5,4,3,2,9,8,7,6,5,4,3,2}),11)),VALUE(MID(T45,14,1))=IF(MOD(SUMPRODUCT(--MID(T45,{1,2,3,4,5,6,7,8,9,10,11,12,13},1),{6,5,4,3,2,9,8,7,6,5,4,3,2}),11)&lt;2,0,11-MOD(SUMPRODUCT(--MID(T45,{1,2,3,4,5,6,7,8,9,10,11,12,13},1),{6,5,4,3,2,9,8,7,6,5,4,3,2}),11))),"OK","ERRO: dígito verificador")))))</f>
      </c>
      <c r="V45" s="6">
        <f>IF(T45="","",IF(COUNTIF($T$2:$T$1001,T45)&gt;1,"DUPLICADO","OK"))</f>
      </c>
      <c r="W45" s="6">
        <f>IF(M45="","vazio",IF(OR(AND(LEN(SUBSTITUTE(SUBSTITUTE(SUBSTITUTE(SUBSTITUTE(SUBSTITUTE(SUBSTITUTE(SUBSTITUTE(TRIM(M45),".",""),"/",""),"-","")," ",""),"(",""),")",""),"+",""))=10,LEFT(SUBSTITUTE(SUBSTITUTE(SUBSTITUTE(SUBSTITUTE(SUBSTITUTE(SUBSTITUTE(SUBSTITUTE(TRIM(M45),".",""),"/",""),"-","")," ",""),"(",""),")",""),"+",""),1)&lt;&gt;"0"),AND(LEN(SUBSTITUTE(SUBSTITUTE(SUBSTITUTE(SUBSTITUTE(SUBSTITUTE(SUBSTITUTE(SUBSTITUTE(TRIM(M45),".",""),"/",""),"-","")," ",""),"(",""),")",""),"+",""))=11,LEFT(SUBSTITUTE(SUBSTITUTE(SUBSTITUTE(SUBSTITUTE(SUBSTITUTE(SUBSTITUTE(SUBSTITUTE(TRIM(M45),".",""),"/",""),"-","")," ",""),"(",""),")",""),"+",""),4)="0800")),"OK",IF(AND(LEN(SUBSTITUTE(SUBSTITUTE(SUBSTITUTE(SUBSTITUTE(SUBSTITUTE(SUBSTITUTE(SUBSTITUTE(TRIM(M45),".",""),"/",""),"-","")," ",""),"(",""),")",""),"+",""))=11,MID(SUBSTITUTE(SUBSTITUTE(SUBSTITUTE(SUBSTITUTE(SUBSTITUTE(SUBSTITUTE(SUBSTITUTE(TRIM(M45),".",""),"/",""),"-","")," ",""),"(",""),")",""),"+",""),3,1)="9"),"ERRO: é celular, use a coluna Celular","ERRO: DDD + 8 dígitos ou 0800 + 7")))</f>
      </c>
      <c r="X45" s="6">
        <f>IF(N45="","vazio",IF(AND(LEN(SUBSTITUTE(SUBSTITUTE(SUBSTITUTE(SUBSTITUTE(SUBSTITUTE(SUBSTITUTE(SUBSTITUTE(TRIM(N45),".",""),"/",""),"-","")," ",""),"(",""),")",""),"+",""))=11,MID(SUBSTITUTE(SUBSTITUTE(SUBSTITUTE(SUBSTITUTE(SUBSTITUTE(SUBSTITUTE(SUBSTITUTE(TRIM(N45),".",""),"/",""),"-","")," ",""),"(",""),")",""),"+",""),3,1)="9",LEFT(SUBSTITUTE(SUBSTITUTE(SUBSTITUTE(SUBSTITUTE(SUBSTITUTE(SUBSTITUTE(SUBSTITUTE(TRIM(N45),".",""),"/",""),"-","")," ",""),"(",""),")",""),"+",""),1)&lt;&gt;"0"),"OK",IF(LEN(SUBSTITUTE(SUBSTITUTE(SUBSTITUTE(SUBSTITUTE(SUBSTITUTE(SUBSTITUTE(SUBSTITUTE(TRIM(N45),".",""),"/",""),"-","")," ",""),"(",""),")",""),"+",""))=10,"ERRO: é fixo (ou falta o 9), use a coluna Telefone fixo","ERRO: DDD + 9 + 8 dígitos")))</f>
      </c>
      <c r="Y45" s="6">
        <f>IF(O45="","vazio",IF(AND(ISNUMBER(FIND("@",O45)),ISNUMBER(FIND(".",MID(O45,FIND("@",O45),99))),NOT(ISNUMBER(FIND(" ",TRIM(O45)))),NOT(ISNUMBER(FIND(";",O45))),NOT(ISNUMBER(FIND(",",O45)))),"OK","ERRO: um e-mail válido por linha"))</f>
      </c>
      <c r="Z45" s="6">
        <f>IF(AND(J45="",K45=""),"",IF(AND(J45&lt;&gt;"",K45&lt;&gt;""),"OK","pendente: só um nome (o GR completa ao converter)"))</f>
      </c>
      <c r="AA45" s="6">
        <f>IF(COUNTA(A45:S45)=0,"",IF(AND(A45&lt;&gt;"",B45&lt;&gt;"",C45&lt;&gt;"",D45&lt;&gt;"",E45&lt;&gt;"",F45&lt;&gt;"",G45&lt;&gt;"",H45&lt;&gt;"",OR(J45&lt;&gt;"",K45&lt;&gt;""),OR(M45&lt;&gt;"",N45&lt;&gt;"",O45&lt;&gt;"")),"OK","ERRO: faltam "&amp;IF(A45="","SDR; ","")&amp;IF(B45="","Proprietário; ","")&amp;IF(C45="","Origem; ","")&amp;IF(D45="","Temperatura; ","")&amp;IF(E45="","Segmento; ","")&amp;IF(F45="","Time/Cluster; ","")&amp;IF(G45="","CNPJ; ","")&amp;IF(H45="","Razão Social; ","")&amp;IF(AND(J45="",K45=""),"nome do contato; ","")&amp;IF(AND(M45="",N45="",O45=""),"telefone, celular ou e-mail; ","")))</f>
      </c>
      <c r="AB45" s="6">
        <f>IF(COUNTA(A45:S45)=0,"",IF(AND(U45="OK",V45="OK",LEFT(W45,4)&lt;&gt;"ERRO",LEFT(X45,4)&lt;&gt;"ERRO",LEFT(Y45,4)&lt;&gt;"ERRO",AA45="OK"),"OK","REVISAR"))</f>
      </c>
    </row>
    <row r="46">
      <c r="A46" s="5"/>
      <c r="B46" s="5"/>
      <c r="C46" s="5"/>
      <c r="D46" s="5"/>
      <c r="E46" s="5"/>
      <c r="F46" s="5"/>
      <c r="G46" s="5"/>
      <c r="H46" s="5"/>
      <c r="I46" s="4"/>
      <c r="J46" s="5"/>
      <c r="K46" s="4"/>
      <c r="L46" s="4"/>
      <c r="M46" s="4"/>
      <c r="N46" s="4"/>
      <c r="O46" s="4"/>
      <c r="P46" s="4"/>
      <c r="Q46" s="4"/>
      <c r="R46" s="4"/>
      <c r="S46" s="4"/>
      <c r="T46" s="6">
        <f>IF(G46="","",SUBSTITUTE(SUBSTITUTE(SUBSTITUTE(SUBSTITUTE(SUBSTITUTE(SUBSTITUTE(SUBSTITUTE(TRIM(G46),".",""),"/",""),"-","")," ",""),"(",""),")",""),"+",""))</f>
      </c>
      <c r="U46" s="6">
        <f>IF(T46="","",IF(LEN(T46)&lt;&gt;14,"ERRO: "&amp;LEN(T46)&amp;" dígitos",IF(NOT(ISNUMBER(VALUE(T46))),"ERRO: não numérico",IF(LEN(SUBSTITUTE(T46,LEFT(T46,1),""))=0,"ERRO: dígitos repetidos",IF(AND(VALUE(MID(T46,13,1))=IF(MOD(SUMPRODUCT(--MID(T46,{1,2,3,4,5,6,7,8,9,10,11,12},1),{5,4,3,2,9,8,7,6,5,4,3,2}),11)&lt;2,0,11-MOD(SUMPRODUCT(--MID(T46,{1,2,3,4,5,6,7,8,9,10,11,12},1),{5,4,3,2,9,8,7,6,5,4,3,2}),11)),VALUE(MID(T46,14,1))=IF(MOD(SUMPRODUCT(--MID(T46,{1,2,3,4,5,6,7,8,9,10,11,12,13},1),{6,5,4,3,2,9,8,7,6,5,4,3,2}),11)&lt;2,0,11-MOD(SUMPRODUCT(--MID(T46,{1,2,3,4,5,6,7,8,9,10,11,12,13},1),{6,5,4,3,2,9,8,7,6,5,4,3,2}),11))),"OK","ERRO: dígito verificador")))))</f>
      </c>
      <c r="V46" s="6">
        <f>IF(T46="","",IF(COUNTIF($T$2:$T$1001,T46)&gt;1,"DUPLICADO","OK"))</f>
      </c>
      <c r="W46" s="6">
        <f>IF(M46="","vazio",IF(OR(AND(LEN(SUBSTITUTE(SUBSTITUTE(SUBSTITUTE(SUBSTITUTE(SUBSTITUTE(SUBSTITUTE(SUBSTITUTE(TRIM(M46),".",""),"/",""),"-","")," ",""),"(",""),")",""),"+",""))=10,LEFT(SUBSTITUTE(SUBSTITUTE(SUBSTITUTE(SUBSTITUTE(SUBSTITUTE(SUBSTITUTE(SUBSTITUTE(TRIM(M46),".",""),"/",""),"-","")," ",""),"(",""),")",""),"+",""),1)&lt;&gt;"0"),AND(LEN(SUBSTITUTE(SUBSTITUTE(SUBSTITUTE(SUBSTITUTE(SUBSTITUTE(SUBSTITUTE(SUBSTITUTE(TRIM(M46),".",""),"/",""),"-","")," ",""),"(",""),")",""),"+",""))=11,LEFT(SUBSTITUTE(SUBSTITUTE(SUBSTITUTE(SUBSTITUTE(SUBSTITUTE(SUBSTITUTE(SUBSTITUTE(TRIM(M46),".",""),"/",""),"-","")," ",""),"(",""),")",""),"+",""),4)="0800")),"OK",IF(AND(LEN(SUBSTITUTE(SUBSTITUTE(SUBSTITUTE(SUBSTITUTE(SUBSTITUTE(SUBSTITUTE(SUBSTITUTE(TRIM(M46),".",""),"/",""),"-","")," ",""),"(",""),")",""),"+",""))=11,MID(SUBSTITUTE(SUBSTITUTE(SUBSTITUTE(SUBSTITUTE(SUBSTITUTE(SUBSTITUTE(SUBSTITUTE(TRIM(M46),".",""),"/",""),"-","")," ",""),"(",""),")",""),"+",""),3,1)="9"),"ERRO: é celular, use a coluna Celular","ERRO: DDD + 8 dígitos ou 0800 + 7")))</f>
      </c>
      <c r="X46" s="6">
        <f>IF(N46="","vazio",IF(AND(LEN(SUBSTITUTE(SUBSTITUTE(SUBSTITUTE(SUBSTITUTE(SUBSTITUTE(SUBSTITUTE(SUBSTITUTE(TRIM(N46),".",""),"/",""),"-","")," ",""),"(",""),")",""),"+",""))=11,MID(SUBSTITUTE(SUBSTITUTE(SUBSTITUTE(SUBSTITUTE(SUBSTITUTE(SUBSTITUTE(SUBSTITUTE(TRIM(N46),".",""),"/",""),"-","")," ",""),"(",""),")",""),"+",""),3,1)="9",LEFT(SUBSTITUTE(SUBSTITUTE(SUBSTITUTE(SUBSTITUTE(SUBSTITUTE(SUBSTITUTE(SUBSTITUTE(TRIM(N46),".",""),"/",""),"-","")," ",""),"(",""),")",""),"+",""),1)&lt;&gt;"0"),"OK",IF(LEN(SUBSTITUTE(SUBSTITUTE(SUBSTITUTE(SUBSTITUTE(SUBSTITUTE(SUBSTITUTE(SUBSTITUTE(TRIM(N46),".",""),"/",""),"-","")," ",""),"(",""),")",""),"+",""))=10,"ERRO: é fixo (ou falta o 9), use a coluna Telefone fixo","ERRO: DDD + 9 + 8 dígitos")))</f>
      </c>
      <c r="Y46" s="6">
        <f>IF(O46="","vazio",IF(AND(ISNUMBER(FIND("@",O46)),ISNUMBER(FIND(".",MID(O46,FIND("@",O46),99))),NOT(ISNUMBER(FIND(" ",TRIM(O46)))),NOT(ISNUMBER(FIND(";",O46))),NOT(ISNUMBER(FIND(",",O46)))),"OK","ERRO: um e-mail válido por linha"))</f>
      </c>
      <c r="Z46" s="6">
        <f>IF(AND(J46="",K46=""),"",IF(AND(J46&lt;&gt;"",K46&lt;&gt;""),"OK","pendente: só um nome (o GR completa ao converter)"))</f>
      </c>
      <c r="AA46" s="6">
        <f>IF(COUNTA(A46:S46)=0,"",IF(AND(A46&lt;&gt;"",B46&lt;&gt;"",C46&lt;&gt;"",D46&lt;&gt;"",E46&lt;&gt;"",F46&lt;&gt;"",G46&lt;&gt;"",H46&lt;&gt;"",OR(J46&lt;&gt;"",K46&lt;&gt;""),OR(M46&lt;&gt;"",N46&lt;&gt;"",O46&lt;&gt;"")),"OK","ERRO: faltam "&amp;IF(A46="","SDR; ","")&amp;IF(B46="","Proprietário; ","")&amp;IF(C46="","Origem; ","")&amp;IF(D46="","Temperatura; ","")&amp;IF(E46="","Segmento; ","")&amp;IF(F46="","Time/Cluster; ","")&amp;IF(G46="","CNPJ; ","")&amp;IF(H46="","Razão Social; ","")&amp;IF(AND(J46="",K46=""),"nome do contato; ","")&amp;IF(AND(M46="",N46="",O46=""),"telefone, celular ou e-mail; ","")))</f>
      </c>
      <c r="AB46" s="6">
        <f>IF(COUNTA(A46:S46)=0,"",IF(AND(U46="OK",V46="OK",LEFT(W46,4)&lt;&gt;"ERRO",LEFT(X46,4)&lt;&gt;"ERRO",LEFT(Y46,4)&lt;&gt;"ERRO",AA46="OK"),"OK","REVISAR"))</f>
      </c>
    </row>
    <row r="47">
      <c r="A47" s="5"/>
      <c r="B47" s="5"/>
      <c r="C47" s="5"/>
      <c r="D47" s="5"/>
      <c r="E47" s="5"/>
      <c r="F47" s="5"/>
      <c r="G47" s="5"/>
      <c r="H47" s="5"/>
      <c r="I47" s="4"/>
      <c r="J47" s="5"/>
      <c r="K47" s="4"/>
      <c r="L47" s="4"/>
      <c r="M47" s="4"/>
      <c r="N47" s="4"/>
      <c r="O47" s="4"/>
      <c r="P47" s="4"/>
      <c r="Q47" s="4"/>
      <c r="R47" s="4"/>
      <c r="S47" s="4"/>
      <c r="T47" s="6">
        <f>IF(G47="","",SUBSTITUTE(SUBSTITUTE(SUBSTITUTE(SUBSTITUTE(SUBSTITUTE(SUBSTITUTE(SUBSTITUTE(TRIM(G47),".",""),"/",""),"-","")," ",""),"(",""),")",""),"+",""))</f>
      </c>
      <c r="U47" s="6">
        <f>IF(T47="","",IF(LEN(T47)&lt;&gt;14,"ERRO: "&amp;LEN(T47)&amp;" dígitos",IF(NOT(ISNUMBER(VALUE(T47))),"ERRO: não numérico",IF(LEN(SUBSTITUTE(T47,LEFT(T47,1),""))=0,"ERRO: dígitos repetidos",IF(AND(VALUE(MID(T47,13,1))=IF(MOD(SUMPRODUCT(--MID(T47,{1,2,3,4,5,6,7,8,9,10,11,12},1),{5,4,3,2,9,8,7,6,5,4,3,2}),11)&lt;2,0,11-MOD(SUMPRODUCT(--MID(T47,{1,2,3,4,5,6,7,8,9,10,11,12},1),{5,4,3,2,9,8,7,6,5,4,3,2}),11)),VALUE(MID(T47,14,1))=IF(MOD(SUMPRODUCT(--MID(T47,{1,2,3,4,5,6,7,8,9,10,11,12,13},1),{6,5,4,3,2,9,8,7,6,5,4,3,2}),11)&lt;2,0,11-MOD(SUMPRODUCT(--MID(T47,{1,2,3,4,5,6,7,8,9,10,11,12,13},1),{6,5,4,3,2,9,8,7,6,5,4,3,2}),11))),"OK","ERRO: dígito verificador")))))</f>
      </c>
      <c r="V47" s="6">
        <f>IF(T47="","",IF(COUNTIF($T$2:$T$1001,T47)&gt;1,"DUPLICADO","OK"))</f>
      </c>
      <c r="W47" s="6">
        <f>IF(M47="","vazio",IF(OR(AND(LEN(SUBSTITUTE(SUBSTITUTE(SUBSTITUTE(SUBSTITUTE(SUBSTITUTE(SUBSTITUTE(SUBSTITUTE(TRIM(M47),".",""),"/",""),"-","")," ",""),"(",""),")",""),"+",""))=10,LEFT(SUBSTITUTE(SUBSTITUTE(SUBSTITUTE(SUBSTITUTE(SUBSTITUTE(SUBSTITUTE(SUBSTITUTE(TRIM(M47),".",""),"/",""),"-","")," ",""),"(",""),")",""),"+",""),1)&lt;&gt;"0"),AND(LEN(SUBSTITUTE(SUBSTITUTE(SUBSTITUTE(SUBSTITUTE(SUBSTITUTE(SUBSTITUTE(SUBSTITUTE(TRIM(M47),".",""),"/",""),"-","")," ",""),"(",""),")",""),"+",""))=11,LEFT(SUBSTITUTE(SUBSTITUTE(SUBSTITUTE(SUBSTITUTE(SUBSTITUTE(SUBSTITUTE(SUBSTITUTE(TRIM(M47),".",""),"/",""),"-","")," ",""),"(",""),")",""),"+",""),4)="0800")),"OK",IF(AND(LEN(SUBSTITUTE(SUBSTITUTE(SUBSTITUTE(SUBSTITUTE(SUBSTITUTE(SUBSTITUTE(SUBSTITUTE(TRIM(M47),".",""),"/",""),"-","")," ",""),"(",""),")",""),"+",""))=11,MID(SUBSTITUTE(SUBSTITUTE(SUBSTITUTE(SUBSTITUTE(SUBSTITUTE(SUBSTITUTE(SUBSTITUTE(TRIM(M47),".",""),"/",""),"-","")," ",""),"(",""),")",""),"+",""),3,1)="9"),"ERRO: é celular, use a coluna Celular","ERRO: DDD + 8 dígitos ou 0800 + 7")))</f>
      </c>
      <c r="X47" s="6">
        <f>IF(N47="","vazio",IF(AND(LEN(SUBSTITUTE(SUBSTITUTE(SUBSTITUTE(SUBSTITUTE(SUBSTITUTE(SUBSTITUTE(SUBSTITUTE(TRIM(N47),".",""),"/",""),"-","")," ",""),"(",""),")",""),"+",""))=11,MID(SUBSTITUTE(SUBSTITUTE(SUBSTITUTE(SUBSTITUTE(SUBSTITUTE(SUBSTITUTE(SUBSTITUTE(TRIM(N47),".",""),"/",""),"-","")," ",""),"(",""),")",""),"+",""),3,1)="9",LEFT(SUBSTITUTE(SUBSTITUTE(SUBSTITUTE(SUBSTITUTE(SUBSTITUTE(SUBSTITUTE(SUBSTITUTE(TRIM(N47),".",""),"/",""),"-","")," ",""),"(",""),")",""),"+",""),1)&lt;&gt;"0"),"OK",IF(LEN(SUBSTITUTE(SUBSTITUTE(SUBSTITUTE(SUBSTITUTE(SUBSTITUTE(SUBSTITUTE(SUBSTITUTE(TRIM(N47),".",""),"/",""),"-","")," ",""),"(",""),")",""),"+",""))=10,"ERRO: é fixo (ou falta o 9), use a coluna Telefone fixo","ERRO: DDD + 9 + 8 dígitos")))</f>
      </c>
      <c r="Y47" s="6">
        <f>IF(O47="","vazio",IF(AND(ISNUMBER(FIND("@",O47)),ISNUMBER(FIND(".",MID(O47,FIND("@",O47),99))),NOT(ISNUMBER(FIND(" ",TRIM(O47)))),NOT(ISNUMBER(FIND(";",O47))),NOT(ISNUMBER(FIND(",",O47)))),"OK","ERRO: um e-mail válido por linha"))</f>
      </c>
      <c r="Z47" s="6">
        <f>IF(AND(J47="",K47=""),"",IF(AND(J47&lt;&gt;"",K47&lt;&gt;""),"OK","pendente: só um nome (o GR completa ao converter)"))</f>
      </c>
      <c r="AA47" s="6">
        <f>IF(COUNTA(A47:S47)=0,"",IF(AND(A47&lt;&gt;"",B47&lt;&gt;"",C47&lt;&gt;"",D47&lt;&gt;"",E47&lt;&gt;"",F47&lt;&gt;"",G47&lt;&gt;"",H47&lt;&gt;"",OR(J47&lt;&gt;"",K47&lt;&gt;""),OR(M47&lt;&gt;"",N47&lt;&gt;"",O47&lt;&gt;"")),"OK","ERRO: faltam "&amp;IF(A47="","SDR; ","")&amp;IF(B47="","Proprietário; ","")&amp;IF(C47="","Origem; ","")&amp;IF(D47="","Temperatura; ","")&amp;IF(E47="","Segmento; ","")&amp;IF(F47="","Time/Cluster; ","")&amp;IF(G47="","CNPJ; ","")&amp;IF(H47="","Razão Social; ","")&amp;IF(AND(J47="",K47=""),"nome do contato; ","")&amp;IF(AND(M47="",N47="",O47=""),"telefone, celular ou e-mail; ","")))</f>
      </c>
      <c r="AB47" s="6">
        <f>IF(COUNTA(A47:S47)=0,"",IF(AND(U47="OK",V47="OK",LEFT(W47,4)&lt;&gt;"ERRO",LEFT(X47,4)&lt;&gt;"ERRO",LEFT(Y47,4)&lt;&gt;"ERRO",AA47="OK"),"OK","REVISAR"))</f>
      </c>
    </row>
    <row r="48">
      <c r="A48" s="5"/>
      <c r="B48" s="5"/>
      <c r="C48" s="5"/>
      <c r="D48" s="5"/>
      <c r="E48" s="5"/>
      <c r="F48" s="5"/>
      <c r="G48" s="5"/>
      <c r="H48" s="5"/>
      <c r="I48" s="4"/>
      <c r="J48" s="5"/>
      <c r="K48" s="4"/>
      <c r="L48" s="4"/>
      <c r="M48" s="4"/>
      <c r="N48" s="4"/>
      <c r="O48" s="4"/>
      <c r="P48" s="4"/>
      <c r="Q48" s="4"/>
      <c r="R48" s="4"/>
      <c r="S48" s="4"/>
      <c r="T48" s="6">
        <f>IF(G48="","",SUBSTITUTE(SUBSTITUTE(SUBSTITUTE(SUBSTITUTE(SUBSTITUTE(SUBSTITUTE(SUBSTITUTE(TRIM(G48),".",""),"/",""),"-","")," ",""),"(",""),")",""),"+",""))</f>
      </c>
      <c r="U48" s="6">
        <f>IF(T48="","",IF(LEN(T48)&lt;&gt;14,"ERRO: "&amp;LEN(T48)&amp;" dígitos",IF(NOT(ISNUMBER(VALUE(T48))),"ERRO: não numérico",IF(LEN(SUBSTITUTE(T48,LEFT(T48,1),""))=0,"ERRO: dígitos repetidos",IF(AND(VALUE(MID(T48,13,1))=IF(MOD(SUMPRODUCT(--MID(T48,{1,2,3,4,5,6,7,8,9,10,11,12},1),{5,4,3,2,9,8,7,6,5,4,3,2}),11)&lt;2,0,11-MOD(SUMPRODUCT(--MID(T48,{1,2,3,4,5,6,7,8,9,10,11,12},1),{5,4,3,2,9,8,7,6,5,4,3,2}),11)),VALUE(MID(T48,14,1))=IF(MOD(SUMPRODUCT(--MID(T48,{1,2,3,4,5,6,7,8,9,10,11,12,13},1),{6,5,4,3,2,9,8,7,6,5,4,3,2}),11)&lt;2,0,11-MOD(SUMPRODUCT(--MID(T48,{1,2,3,4,5,6,7,8,9,10,11,12,13},1),{6,5,4,3,2,9,8,7,6,5,4,3,2}),11))),"OK","ERRO: dígito verificador")))))</f>
      </c>
      <c r="V48" s="6">
        <f>IF(T48="","",IF(COUNTIF($T$2:$T$1001,T48)&gt;1,"DUPLICADO","OK"))</f>
      </c>
      <c r="W48" s="6">
        <f>IF(M48="","vazio",IF(OR(AND(LEN(SUBSTITUTE(SUBSTITUTE(SUBSTITUTE(SUBSTITUTE(SUBSTITUTE(SUBSTITUTE(SUBSTITUTE(TRIM(M48),".",""),"/",""),"-","")," ",""),"(",""),")",""),"+",""))=10,LEFT(SUBSTITUTE(SUBSTITUTE(SUBSTITUTE(SUBSTITUTE(SUBSTITUTE(SUBSTITUTE(SUBSTITUTE(TRIM(M48),".",""),"/",""),"-","")," ",""),"(",""),")",""),"+",""),1)&lt;&gt;"0"),AND(LEN(SUBSTITUTE(SUBSTITUTE(SUBSTITUTE(SUBSTITUTE(SUBSTITUTE(SUBSTITUTE(SUBSTITUTE(TRIM(M48),".",""),"/",""),"-","")," ",""),"(",""),")",""),"+",""))=11,LEFT(SUBSTITUTE(SUBSTITUTE(SUBSTITUTE(SUBSTITUTE(SUBSTITUTE(SUBSTITUTE(SUBSTITUTE(TRIM(M48),".",""),"/",""),"-","")," ",""),"(",""),")",""),"+",""),4)="0800")),"OK",IF(AND(LEN(SUBSTITUTE(SUBSTITUTE(SUBSTITUTE(SUBSTITUTE(SUBSTITUTE(SUBSTITUTE(SUBSTITUTE(TRIM(M48),".",""),"/",""),"-","")," ",""),"(",""),")",""),"+",""))=11,MID(SUBSTITUTE(SUBSTITUTE(SUBSTITUTE(SUBSTITUTE(SUBSTITUTE(SUBSTITUTE(SUBSTITUTE(TRIM(M48),".",""),"/",""),"-","")," ",""),"(",""),")",""),"+",""),3,1)="9"),"ERRO: é celular, use a coluna Celular","ERRO: DDD + 8 dígitos ou 0800 + 7")))</f>
      </c>
      <c r="X48" s="6">
        <f>IF(N48="","vazio",IF(AND(LEN(SUBSTITUTE(SUBSTITUTE(SUBSTITUTE(SUBSTITUTE(SUBSTITUTE(SUBSTITUTE(SUBSTITUTE(TRIM(N48),".",""),"/",""),"-","")," ",""),"(",""),")",""),"+",""))=11,MID(SUBSTITUTE(SUBSTITUTE(SUBSTITUTE(SUBSTITUTE(SUBSTITUTE(SUBSTITUTE(SUBSTITUTE(TRIM(N48),".",""),"/",""),"-","")," ",""),"(",""),")",""),"+",""),3,1)="9",LEFT(SUBSTITUTE(SUBSTITUTE(SUBSTITUTE(SUBSTITUTE(SUBSTITUTE(SUBSTITUTE(SUBSTITUTE(TRIM(N48),".",""),"/",""),"-","")," ",""),"(",""),")",""),"+",""),1)&lt;&gt;"0"),"OK",IF(LEN(SUBSTITUTE(SUBSTITUTE(SUBSTITUTE(SUBSTITUTE(SUBSTITUTE(SUBSTITUTE(SUBSTITUTE(TRIM(N48),".",""),"/",""),"-","")," ",""),"(",""),")",""),"+",""))=10,"ERRO: é fixo (ou falta o 9), use a coluna Telefone fixo","ERRO: DDD + 9 + 8 dígitos")))</f>
      </c>
      <c r="Y48" s="6">
        <f>IF(O48="","vazio",IF(AND(ISNUMBER(FIND("@",O48)),ISNUMBER(FIND(".",MID(O48,FIND("@",O48),99))),NOT(ISNUMBER(FIND(" ",TRIM(O48)))),NOT(ISNUMBER(FIND(";",O48))),NOT(ISNUMBER(FIND(",",O48)))),"OK","ERRO: um e-mail válido por linha"))</f>
      </c>
      <c r="Z48" s="6">
        <f>IF(AND(J48="",K48=""),"",IF(AND(J48&lt;&gt;"",K48&lt;&gt;""),"OK","pendente: só um nome (o GR completa ao converter)"))</f>
      </c>
      <c r="AA48" s="6">
        <f>IF(COUNTA(A48:S48)=0,"",IF(AND(A48&lt;&gt;"",B48&lt;&gt;"",C48&lt;&gt;"",D48&lt;&gt;"",E48&lt;&gt;"",F48&lt;&gt;"",G48&lt;&gt;"",H48&lt;&gt;"",OR(J48&lt;&gt;"",K48&lt;&gt;""),OR(M48&lt;&gt;"",N48&lt;&gt;"",O48&lt;&gt;"")),"OK","ERRO: faltam "&amp;IF(A48="","SDR; ","")&amp;IF(B48="","Proprietário; ","")&amp;IF(C48="","Origem; ","")&amp;IF(D48="","Temperatura; ","")&amp;IF(E48="","Segmento; ","")&amp;IF(F48="","Time/Cluster; ","")&amp;IF(G48="","CNPJ; ","")&amp;IF(H48="","Razão Social; ","")&amp;IF(AND(J48="",K48=""),"nome do contato; ","")&amp;IF(AND(M48="",N48="",O48=""),"telefone, celular ou e-mail; ","")))</f>
      </c>
      <c r="AB48" s="6">
        <f>IF(COUNTA(A48:S48)=0,"",IF(AND(U48="OK",V48="OK",LEFT(W48,4)&lt;&gt;"ERRO",LEFT(X48,4)&lt;&gt;"ERRO",LEFT(Y48,4)&lt;&gt;"ERRO",AA48="OK"),"OK","REVISAR"))</f>
      </c>
    </row>
    <row r="49">
      <c r="A49" s="5"/>
      <c r="B49" s="5"/>
      <c r="C49" s="5"/>
      <c r="D49" s="5"/>
      <c r="E49" s="5"/>
      <c r="F49" s="5"/>
      <c r="G49" s="5"/>
      <c r="H49" s="5"/>
      <c r="I49" s="4"/>
      <c r="J49" s="5"/>
      <c r="K49" s="4"/>
      <c r="L49" s="4"/>
      <c r="M49" s="4"/>
      <c r="N49" s="4"/>
      <c r="O49" s="4"/>
      <c r="P49" s="4"/>
      <c r="Q49" s="4"/>
      <c r="R49" s="4"/>
      <c r="S49" s="4"/>
      <c r="T49" s="6">
        <f>IF(G49="","",SUBSTITUTE(SUBSTITUTE(SUBSTITUTE(SUBSTITUTE(SUBSTITUTE(SUBSTITUTE(SUBSTITUTE(TRIM(G49),".",""),"/",""),"-","")," ",""),"(",""),")",""),"+",""))</f>
      </c>
      <c r="U49" s="6">
        <f>IF(T49="","",IF(LEN(T49)&lt;&gt;14,"ERRO: "&amp;LEN(T49)&amp;" dígitos",IF(NOT(ISNUMBER(VALUE(T49))),"ERRO: não numérico",IF(LEN(SUBSTITUTE(T49,LEFT(T49,1),""))=0,"ERRO: dígitos repetidos",IF(AND(VALUE(MID(T49,13,1))=IF(MOD(SUMPRODUCT(--MID(T49,{1,2,3,4,5,6,7,8,9,10,11,12},1),{5,4,3,2,9,8,7,6,5,4,3,2}),11)&lt;2,0,11-MOD(SUMPRODUCT(--MID(T49,{1,2,3,4,5,6,7,8,9,10,11,12},1),{5,4,3,2,9,8,7,6,5,4,3,2}),11)),VALUE(MID(T49,14,1))=IF(MOD(SUMPRODUCT(--MID(T49,{1,2,3,4,5,6,7,8,9,10,11,12,13},1),{6,5,4,3,2,9,8,7,6,5,4,3,2}),11)&lt;2,0,11-MOD(SUMPRODUCT(--MID(T49,{1,2,3,4,5,6,7,8,9,10,11,12,13},1),{6,5,4,3,2,9,8,7,6,5,4,3,2}),11))),"OK","ERRO: dígito verificador")))))</f>
      </c>
      <c r="V49" s="6">
        <f>IF(T49="","",IF(COUNTIF($T$2:$T$1001,T49)&gt;1,"DUPLICADO","OK"))</f>
      </c>
      <c r="W49" s="6">
        <f>IF(M49="","vazio",IF(OR(AND(LEN(SUBSTITUTE(SUBSTITUTE(SUBSTITUTE(SUBSTITUTE(SUBSTITUTE(SUBSTITUTE(SUBSTITUTE(TRIM(M49),".",""),"/",""),"-","")," ",""),"(",""),")",""),"+",""))=10,LEFT(SUBSTITUTE(SUBSTITUTE(SUBSTITUTE(SUBSTITUTE(SUBSTITUTE(SUBSTITUTE(SUBSTITUTE(TRIM(M49),".",""),"/",""),"-","")," ",""),"(",""),")",""),"+",""),1)&lt;&gt;"0"),AND(LEN(SUBSTITUTE(SUBSTITUTE(SUBSTITUTE(SUBSTITUTE(SUBSTITUTE(SUBSTITUTE(SUBSTITUTE(TRIM(M49),".",""),"/",""),"-","")," ",""),"(",""),")",""),"+",""))=11,LEFT(SUBSTITUTE(SUBSTITUTE(SUBSTITUTE(SUBSTITUTE(SUBSTITUTE(SUBSTITUTE(SUBSTITUTE(TRIM(M49),".",""),"/",""),"-","")," ",""),"(",""),")",""),"+",""),4)="0800")),"OK",IF(AND(LEN(SUBSTITUTE(SUBSTITUTE(SUBSTITUTE(SUBSTITUTE(SUBSTITUTE(SUBSTITUTE(SUBSTITUTE(TRIM(M49),".",""),"/",""),"-","")," ",""),"(",""),")",""),"+",""))=11,MID(SUBSTITUTE(SUBSTITUTE(SUBSTITUTE(SUBSTITUTE(SUBSTITUTE(SUBSTITUTE(SUBSTITUTE(TRIM(M49),".",""),"/",""),"-","")," ",""),"(",""),")",""),"+",""),3,1)="9"),"ERRO: é celular, use a coluna Celular","ERRO: DDD + 8 dígitos ou 0800 + 7")))</f>
      </c>
      <c r="X49" s="6">
        <f>IF(N49="","vazio",IF(AND(LEN(SUBSTITUTE(SUBSTITUTE(SUBSTITUTE(SUBSTITUTE(SUBSTITUTE(SUBSTITUTE(SUBSTITUTE(TRIM(N49),".",""),"/",""),"-","")," ",""),"(",""),")",""),"+",""))=11,MID(SUBSTITUTE(SUBSTITUTE(SUBSTITUTE(SUBSTITUTE(SUBSTITUTE(SUBSTITUTE(SUBSTITUTE(TRIM(N49),".",""),"/",""),"-","")," ",""),"(",""),")",""),"+",""),3,1)="9",LEFT(SUBSTITUTE(SUBSTITUTE(SUBSTITUTE(SUBSTITUTE(SUBSTITUTE(SUBSTITUTE(SUBSTITUTE(TRIM(N49),".",""),"/",""),"-","")," ",""),"(",""),")",""),"+",""),1)&lt;&gt;"0"),"OK",IF(LEN(SUBSTITUTE(SUBSTITUTE(SUBSTITUTE(SUBSTITUTE(SUBSTITUTE(SUBSTITUTE(SUBSTITUTE(TRIM(N49),".",""),"/",""),"-","")," ",""),"(",""),")",""),"+",""))=10,"ERRO: é fixo (ou falta o 9), use a coluna Telefone fixo","ERRO: DDD + 9 + 8 dígitos")))</f>
      </c>
      <c r="Y49" s="6">
        <f>IF(O49="","vazio",IF(AND(ISNUMBER(FIND("@",O49)),ISNUMBER(FIND(".",MID(O49,FIND("@",O49),99))),NOT(ISNUMBER(FIND(" ",TRIM(O49)))),NOT(ISNUMBER(FIND(";",O49))),NOT(ISNUMBER(FIND(",",O49)))),"OK","ERRO: um e-mail válido por linha"))</f>
      </c>
      <c r="Z49" s="6">
        <f>IF(AND(J49="",K49=""),"",IF(AND(J49&lt;&gt;"",K49&lt;&gt;""),"OK","pendente: só um nome (o GR completa ao converter)"))</f>
      </c>
      <c r="AA49" s="6">
        <f>IF(COUNTA(A49:S49)=0,"",IF(AND(A49&lt;&gt;"",B49&lt;&gt;"",C49&lt;&gt;"",D49&lt;&gt;"",E49&lt;&gt;"",F49&lt;&gt;"",G49&lt;&gt;"",H49&lt;&gt;"",OR(J49&lt;&gt;"",K49&lt;&gt;""),OR(M49&lt;&gt;"",N49&lt;&gt;"",O49&lt;&gt;"")),"OK","ERRO: faltam "&amp;IF(A49="","SDR; ","")&amp;IF(B49="","Proprietário; ","")&amp;IF(C49="","Origem; ","")&amp;IF(D49="","Temperatura; ","")&amp;IF(E49="","Segmento; ","")&amp;IF(F49="","Time/Cluster; ","")&amp;IF(G49="","CNPJ; ","")&amp;IF(H49="","Razão Social; ","")&amp;IF(AND(J49="",K49=""),"nome do contato; ","")&amp;IF(AND(M49="",N49="",O49=""),"telefone, celular ou e-mail; ","")))</f>
      </c>
      <c r="AB49" s="6">
        <f>IF(COUNTA(A49:S49)=0,"",IF(AND(U49="OK",V49="OK",LEFT(W49,4)&lt;&gt;"ERRO",LEFT(X49,4)&lt;&gt;"ERRO",LEFT(Y49,4)&lt;&gt;"ERRO",AA49="OK"),"OK","REVISAR"))</f>
      </c>
    </row>
    <row r="50">
      <c r="A50" s="5"/>
      <c r="B50" s="5"/>
      <c r="C50" s="5"/>
      <c r="D50" s="5"/>
      <c r="E50" s="5"/>
      <c r="F50" s="5"/>
      <c r="G50" s="5"/>
      <c r="H50" s="5"/>
      <c r="I50" s="4"/>
      <c r="J50" s="5"/>
      <c r="K50" s="4"/>
      <c r="L50" s="4"/>
      <c r="M50" s="4"/>
      <c r="N50" s="4"/>
      <c r="O50" s="4"/>
      <c r="P50" s="4"/>
      <c r="Q50" s="4"/>
      <c r="R50" s="4"/>
      <c r="S50" s="4"/>
      <c r="T50" s="6">
        <f>IF(G50="","",SUBSTITUTE(SUBSTITUTE(SUBSTITUTE(SUBSTITUTE(SUBSTITUTE(SUBSTITUTE(SUBSTITUTE(TRIM(G50),".",""),"/",""),"-","")," ",""),"(",""),")",""),"+",""))</f>
      </c>
      <c r="U50" s="6">
        <f>IF(T50="","",IF(LEN(T50)&lt;&gt;14,"ERRO: "&amp;LEN(T50)&amp;" dígitos",IF(NOT(ISNUMBER(VALUE(T50))),"ERRO: não numérico",IF(LEN(SUBSTITUTE(T50,LEFT(T50,1),""))=0,"ERRO: dígitos repetidos",IF(AND(VALUE(MID(T50,13,1))=IF(MOD(SUMPRODUCT(--MID(T50,{1,2,3,4,5,6,7,8,9,10,11,12},1),{5,4,3,2,9,8,7,6,5,4,3,2}),11)&lt;2,0,11-MOD(SUMPRODUCT(--MID(T50,{1,2,3,4,5,6,7,8,9,10,11,12},1),{5,4,3,2,9,8,7,6,5,4,3,2}),11)),VALUE(MID(T50,14,1))=IF(MOD(SUMPRODUCT(--MID(T50,{1,2,3,4,5,6,7,8,9,10,11,12,13},1),{6,5,4,3,2,9,8,7,6,5,4,3,2}),11)&lt;2,0,11-MOD(SUMPRODUCT(--MID(T50,{1,2,3,4,5,6,7,8,9,10,11,12,13},1),{6,5,4,3,2,9,8,7,6,5,4,3,2}),11))),"OK","ERRO: dígito verificador")))))</f>
      </c>
      <c r="V50" s="6">
        <f>IF(T50="","",IF(COUNTIF($T$2:$T$1001,T50)&gt;1,"DUPLICADO","OK"))</f>
      </c>
      <c r="W50" s="6">
        <f>IF(M50="","vazio",IF(OR(AND(LEN(SUBSTITUTE(SUBSTITUTE(SUBSTITUTE(SUBSTITUTE(SUBSTITUTE(SUBSTITUTE(SUBSTITUTE(TRIM(M50),".",""),"/",""),"-","")," ",""),"(",""),")",""),"+",""))=10,LEFT(SUBSTITUTE(SUBSTITUTE(SUBSTITUTE(SUBSTITUTE(SUBSTITUTE(SUBSTITUTE(SUBSTITUTE(TRIM(M50),".",""),"/",""),"-","")," ",""),"(",""),")",""),"+",""),1)&lt;&gt;"0"),AND(LEN(SUBSTITUTE(SUBSTITUTE(SUBSTITUTE(SUBSTITUTE(SUBSTITUTE(SUBSTITUTE(SUBSTITUTE(TRIM(M50),".",""),"/",""),"-","")," ",""),"(",""),")",""),"+",""))=11,LEFT(SUBSTITUTE(SUBSTITUTE(SUBSTITUTE(SUBSTITUTE(SUBSTITUTE(SUBSTITUTE(SUBSTITUTE(TRIM(M50),".",""),"/",""),"-","")," ",""),"(",""),")",""),"+",""),4)="0800")),"OK",IF(AND(LEN(SUBSTITUTE(SUBSTITUTE(SUBSTITUTE(SUBSTITUTE(SUBSTITUTE(SUBSTITUTE(SUBSTITUTE(TRIM(M50),".",""),"/",""),"-","")," ",""),"(",""),")",""),"+",""))=11,MID(SUBSTITUTE(SUBSTITUTE(SUBSTITUTE(SUBSTITUTE(SUBSTITUTE(SUBSTITUTE(SUBSTITUTE(TRIM(M50),".",""),"/",""),"-","")," ",""),"(",""),")",""),"+",""),3,1)="9"),"ERRO: é celular, use a coluna Celular","ERRO: DDD + 8 dígitos ou 0800 + 7")))</f>
      </c>
      <c r="X50" s="6">
        <f>IF(N50="","vazio",IF(AND(LEN(SUBSTITUTE(SUBSTITUTE(SUBSTITUTE(SUBSTITUTE(SUBSTITUTE(SUBSTITUTE(SUBSTITUTE(TRIM(N50),".",""),"/",""),"-","")," ",""),"(",""),")",""),"+",""))=11,MID(SUBSTITUTE(SUBSTITUTE(SUBSTITUTE(SUBSTITUTE(SUBSTITUTE(SUBSTITUTE(SUBSTITUTE(TRIM(N50),".",""),"/",""),"-","")," ",""),"(",""),")",""),"+",""),3,1)="9",LEFT(SUBSTITUTE(SUBSTITUTE(SUBSTITUTE(SUBSTITUTE(SUBSTITUTE(SUBSTITUTE(SUBSTITUTE(TRIM(N50),".",""),"/",""),"-","")," ",""),"(",""),")",""),"+",""),1)&lt;&gt;"0"),"OK",IF(LEN(SUBSTITUTE(SUBSTITUTE(SUBSTITUTE(SUBSTITUTE(SUBSTITUTE(SUBSTITUTE(SUBSTITUTE(TRIM(N50),".",""),"/",""),"-","")," ",""),"(",""),")",""),"+",""))=10,"ERRO: é fixo (ou falta o 9), use a coluna Telefone fixo","ERRO: DDD + 9 + 8 dígitos")))</f>
      </c>
      <c r="Y50" s="6">
        <f>IF(O50="","vazio",IF(AND(ISNUMBER(FIND("@",O50)),ISNUMBER(FIND(".",MID(O50,FIND("@",O50),99))),NOT(ISNUMBER(FIND(" ",TRIM(O50)))),NOT(ISNUMBER(FIND(";",O50))),NOT(ISNUMBER(FIND(",",O50)))),"OK","ERRO: um e-mail válido por linha"))</f>
      </c>
      <c r="Z50" s="6">
        <f>IF(AND(J50="",K50=""),"",IF(AND(J50&lt;&gt;"",K50&lt;&gt;""),"OK","pendente: só um nome (o GR completa ao converter)"))</f>
      </c>
      <c r="AA50" s="6">
        <f>IF(COUNTA(A50:S50)=0,"",IF(AND(A50&lt;&gt;"",B50&lt;&gt;"",C50&lt;&gt;"",D50&lt;&gt;"",E50&lt;&gt;"",F50&lt;&gt;"",G50&lt;&gt;"",H50&lt;&gt;"",OR(J50&lt;&gt;"",K50&lt;&gt;""),OR(M50&lt;&gt;"",N50&lt;&gt;"",O50&lt;&gt;"")),"OK","ERRO: faltam "&amp;IF(A50="","SDR; ","")&amp;IF(B50="","Proprietário; ","")&amp;IF(C50="","Origem; ","")&amp;IF(D50="","Temperatura; ","")&amp;IF(E50="","Segmento; ","")&amp;IF(F50="","Time/Cluster; ","")&amp;IF(G50="","CNPJ; ","")&amp;IF(H50="","Razão Social; ","")&amp;IF(AND(J50="",K50=""),"nome do contato; ","")&amp;IF(AND(M50="",N50="",O50=""),"telefone, celular ou e-mail; ","")))</f>
      </c>
      <c r="AB50" s="6">
        <f>IF(COUNTA(A50:S50)=0,"",IF(AND(U50="OK",V50="OK",LEFT(W50,4)&lt;&gt;"ERRO",LEFT(X50,4)&lt;&gt;"ERRO",LEFT(Y50,4)&lt;&gt;"ERRO",AA50="OK"),"OK","REVISAR"))</f>
      </c>
    </row>
    <row r="51">
      <c r="A51" s="5"/>
      <c r="B51" s="5"/>
      <c r="C51" s="5"/>
      <c r="D51" s="5"/>
      <c r="E51" s="5"/>
      <c r="F51" s="5"/>
      <c r="G51" s="5"/>
      <c r="H51" s="5"/>
      <c r="I51" s="4"/>
      <c r="J51" s="5"/>
      <c r="K51" s="4"/>
      <c r="L51" s="4"/>
      <c r="M51" s="4"/>
      <c r="N51" s="4"/>
      <c r="O51" s="4"/>
      <c r="P51" s="4"/>
      <c r="Q51" s="4"/>
      <c r="R51" s="4"/>
      <c r="S51" s="4"/>
      <c r="T51" s="6">
        <f>IF(G51="","",SUBSTITUTE(SUBSTITUTE(SUBSTITUTE(SUBSTITUTE(SUBSTITUTE(SUBSTITUTE(SUBSTITUTE(TRIM(G51),".",""),"/",""),"-","")," ",""),"(",""),")",""),"+",""))</f>
      </c>
      <c r="U51" s="6">
        <f>IF(T51="","",IF(LEN(T51)&lt;&gt;14,"ERRO: "&amp;LEN(T51)&amp;" dígitos",IF(NOT(ISNUMBER(VALUE(T51))),"ERRO: não numérico",IF(LEN(SUBSTITUTE(T51,LEFT(T51,1),""))=0,"ERRO: dígitos repetidos",IF(AND(VALUE(MID(T51,13,1))=IF(MOD(SUMPRODUCT(--MID(T51,{1,2,3,4,5,6,7,8,9,10,11,12},1),{5,4,3,2,9,8,7,6,5,4,3,2}),11)&lt;2,0,11-MOD(SUMPRODUCT(--MID(T51,{1,2,3,4,5,6,7,8,9,10,11,12},1),{5,4,3,2,9,8,7,6,5,4,3,2}),11)),VALUE(MID(T51,14,1))=IF(MOD(SUMPRODUCT(--MID(T51,{1,2,3,4,5,6,7,8,9,10,11,12,13},1),{6,5,4,3,2,9,8,7,6,5,4,3,2}),11)&lt;2,0,11-MOD(SUMPRODUCT(--MID(T51,{1,2,3,4,5,6,7,8,9,10,11,12,13},1),{6,5,4,3,2,9,8,7,6,5,4,3,2}),11))),"OK","ERRO: dígito verificador")))))</f>
      </c>
      <c r="V51" s="6">
        <f>IF(T51="","",IF(COUNTIF($T$2:$T$1001,T51)&gt;1,"DUPLICADO","OK"))</f>
      </c>
      <c r="W51" s="6">
        <f>IF(M51="","vazio",IF(OR(AND(LEN(SUBSTITUTE(SUBSTITUTE(SUBSTITUTE(SUBSTITUTE(SUBSTITUTE(SUBSTITUTE(SUBSTITUTE(TRIM(M51),".",""),"/",""),"-","")," ",""),"(",""),")",""),"+",""))=10,LEFT(SUBSTITUTE(SUBSTITUTE(SUBSTITUTE(SUBSTITUTE(SUBSTITUTE(SUBSTITUTE(SUBSTITUTE(TRIM(M51),".",""),"/",""),"-","")," ",""),"(",""),")",""),"+",""),1)&lt;&gt;"0"),AND(LEN(SUBSTITUTE(SUBSTITUTE(SUBSTITUTE(SUBSTITUTE(SUBSTITUTE(SUBSTITUTE(SUBSTITUTE(TRIM(M51),".",""),"/",""),"-","")," ",""),"(",""),")",""),"+",""))=11,LEFT(SUBSTITUTE(SUBSTITUTE(SUBSTITUTE(SUBSTITUTE(SUBSTITUTE(SUBSTITUTE(SUBSTITUTE(TRIM(M51),".",""),"/",""),"-","")," ",""),"(",""),")",""),"+",""),4)="0800")),"OK",IF(AND(LEN(SUBSTITUTE(SUBSTITUTE(SUBSTITUTE(SUBSTITUTE(SUBSTITUTE(SUBSTITUTE(SUBSTITUTE(TRIM(M51),".",""),"/",""),"-","")," ",""),"(",""),")",""),"+",""))=11,MID(SUBSTITUTE(SUBSTITUTE(SUBSTITUTE(SUBSTITUTE(SUBSTITUTE(SUBSTITUTE(SUBSTITUTE(TRIM(M51),".",""),"/",""),"-","")," ",""),"(",""),")",""),"+",""),3,1)="9"),"ERRO: é celular, use a coluna Celular","ERRO: DDD + 8 dígitos ou 0800 + 7")))</f>
      </c>
      <c r="X51" s="6">
        <f>IF(N51="","vazio",IF(AND(LEN(SUBSTITUTE(SUBSTITUTE(SUBSTITUTE(SUBSTITUTE(SUBSTITUTE(SUBSTITUTE(SUBSTITUTE(TRIM(N51),".",""),"/",""),"-","")," ",""),"(",""),")",""),"+",""))=11,MID(SUBSTITUTE(SUBSTITUTE(SUBSTITUTE(SUBSTITUTE(SUBSTITUTE(SUBSTITUTE(SUBSTITUTE(TRIM(N51),".",""),"/",""),"-","")," ",""),"(",""),")",""),"+",""),3,1)="9",LEFT(SUBSTITUTE(SUBSTITUTE(SUBSTITUTE(SUBSTITUTE(SUBSTITUTE(SUBSTITUTE(SUBSTITUTE(TRIM(N51),".",""),"/",""),"-","")," ",""),"(",""),")",""),"+",""),1)&lt;&gt;"0"),"OK",IF(LEN(SUBSTITUTE(SUBSTITUTE(SUBSTITUTE(SUBSTITUTE(SUBSTITUTE(SUBSTITUTE(SUBSTITUTE(TRIM(N51),".",""),"/",""),"-","")," ",""),"(",""),")",""),"+",""))=10,"ERRO: é fixo (ou falta o 9), use a coluna Telefone fixo","ERRO: DDD + 9 + 8 dígitos")))</f>
      </c>
      <c r="Y51" s="6">
        <f>IF(O51="","vazio",IF(AND(ISNUMBER(FIND("@",O51)),ISNUMBER(FIND(".",MID(O51,FIND("@",O51),99))),NOT(ISNUMBER(FIND(" ",TRIM(O51)))),NOT(ISNUMBER(FIND(";",O51))),NOT(ISNUMBER(FIND(",",O51)))),"OK","ERRO: um e-mail válido por linha"))</f>
      </c>
      <c r="Z51" s="6">
        <f>IF(AND(J51="",K51=""),"",IF(AND(J51&lt;&gt;"",K51&lt;&gt;""),"OK","pendente: só um nome (o GR completa ao converter)"))</f>
      </c>
      <c r="AA51" s="6">
        <f>IF(COUNTA(A51:S51)=0,"",IF(AND(A51&lt;&gt;"",B51&lt;&gt;"",C51&lt;&gt;"",D51&lt;&gt;"",E51&lt;&gt;"",F51&lt;&gt;"",G51&lt;&gt;"",H51&lt;&gt;"",OR(J51&lt;&gt;"",K51&lt;&gt;""),OR(M51&lt;&gt;"",N51&lt;&gt;"",O51&lt;&gt;"")),"OK","ERRO: faltam "&amp;IF(A51="","SDR; ","")&amp;IF(B51="","Proprietário; ","")&amp;IF(C51="","Origem; ","")&amp;IF(D51="","Temperatura; ","")&amp;IF(E51="","Segmento; ","")&amp;IF(F51="","Time/Cluster; ","")&amp;IF(G51="","CNPJ; ","")&amp;IF(H51="","Razão Social; ","")&amp;IF(AND(J51="",K51=""),"nome do contato; ","")&amp;IF(AND(M51="",N51="",O51=""),"telefone, celular ou e-mail; ","")))</f>
      </c>
      <c r="AB51" s="6">
        <f>IF(COUNTA(A51:S51)=0,"",IF(AND(U51="OK",V51="OK",LEFT(W51,4)&lt;&gt;"ERRO",LEFT(X51,4)&lt;&gt;"ERRO",LEFT(Y51,4)&lt;&gt;"ERRO",AA51="OK"),"OK","REVISAR"))</f>
      </c>
    </row>
    <row r="52">
      <c r="A52" s="5"/>
      <c r="B52" s="5"/>
      <c r="C52" s="5"/>
      <c r="D52" s="5"/>
      <c r="E52" s="5"/>
      <c r="F52" s="5"/>
      <c r="G52" s="5"/>
      <c r="H52" s="5"/>
      <c r="I52" s="4"/>
      <c r="J52" s="5"/>
      <c r="K52" s="4"/>
      <c r="L52" s="4"/>
      <c r="M52" s="4"/>
      <c r="N52" s="4"/>
      <c r="O52" s="4"/>
      <c r="P52" s="4"/>
      <c r="Q52" s="4"/>
      <c r="R52" s="4"/>
      <c r="S52" s="4"/>
      <c r="T52" s="6">
        <f>IF(G52="","",SUBSTITUTE(SUBSTITUTE(SUBSTITUTE(SUBSTITUTE(SUBSTITUTE(SUBSTITUTE(SUBSTITUTE(TRIM(G52),".",""),"/",""),"-","")," ",""),"(",""),")",""),"+",""))</f>
      </c>
      <c r="U52" s="6">
        <f>IF(T52="","",IF(LEN(T52)&lt;&gt;14,"ERRO: "&amp;LEN(T52)&amp;" dígitos",IF(NOT(ISNUMBER(VALUE(T52))),"ERRO: não numérico",IF(LEN(SUBSTITUTE(T52,LEFT(T52,1),""))=0,"ERRO: dígitos repetidos",IF(AND(VALUE(MID(T52,13,1))=IF(MOD(SUMPRODUCT(--MID(T52,{1,2,3,4,5,6,7,8,9,10,11,12},1),{5,4,3,2,9,8,7,6,5,4,3,2}),11)&lt;2,0,11-MOD(SUMPRODUCT(--MID(T52,{1,2,3,4,5,6,7,8,9,10,11,12},1),{5,4,3,2,9,8,7,6,5,4,3,2}),11)),VALUE(MID(T52,14,1))=IF(MOD(SUMPRODUCT(--MID(T52,{1,2,3,4,5,6,7,8,9,10,11,12,13},1),{6,5,4,3,2,9,8,7,6,5,4,3,2}),11)&lt;2,0,11-MOD(SUMPRODUCT(--MID(T52,{1,2,3,4,5,6,7,8,9,10,11,12,13},1),{6,5,4,3,2,9,8,7,6,5,4,3,2}),11))),"OK","ERRO: dígito verificador")))))</f>
      </c>
      <c r="V52" s="6">
        <f>IF(T52="","",IF(COUNTIF($T$2:$T$1001,T52)&gt;1,"DUPLICADO","OK"))</f>
      </c>
      <c r="W52" s="6">
        <f>IF(M52="","vazio",IF(OR(AND(LEN(SUBSTITUTE(SUBSTITUTE(SUBSTITUTE(SUBSTITUTE(SUBSTITUTE(SUBSTITUTE(SUBSTITUTE(TRIM(M52),".",""),"/",""),"-","")," ",""),"(",""),")",""),"+",""))=10,LEFT(SUBSTITUTE(SUBSTITUTE(SUBSTITUTE(SUBSTITUTE(SUBSTITUTE(SUBSTITUTE(SUBSTITUTE(TRIM(M52),".",""),"/",""),"-","")," ",""),"(",""),")",""),"+",""),1)&lt;&gt;"0"),AND(LEN(SUBSTITUTE(SUBSTITUTE(SUBSTITUTE(SUBSTITUTE(SUBSTITUTE(SUBSTITUTE(SUBSTITUTE(TRIM(M52),".",""),"/",""),"-","")," ",""),"(",""),")",""),"+",""))=11,LEFT(SUBSTITUTE(SUBSTITUTE(SUBSTITUTE(SUBSTITUTE(SUBSTITUTE(SUBSTITUTE(SUBSTITUTE(TRIM(M52),".",""),"/",""),"-","")," ",""),"(",""),")",""),"+",""),4)="0800")),"OK",IF(AND(LEN(SUBSTITUTE(SUBSTITUTE(SUBSTITUTE(SUBSTITUTE(SUBSTITUTE(SUBSTITUTE(SUBSTITUTE(TRIM(M52),".",""),"/",""),"-","")," ",""),"(",""),")",""),"+",""))=11,MID(SUBSTITUTE(SUBSTITUTE(SUBSTITUTE(SUBSTITUTE(SUBSTITUTE(SUBSTITUTE(SUBSTITUTE(TRIM(M52),".",""),"/",""),"-","")," ",""),"(",""),")",""),"+",""),3,1)="9"),"ERRO: é celular, use a coluna Celular","ERRO: DDD + 8 dígitos ou 0800 + 7")))</f>
      </c>
      <c r="X52" s="6">
        <f>IF(N52="","vazio",IF(AND(LEN(SUBSTITUTE(SUBSTITUTE(SUBSTITUTE(SUBSTITUTE(SUBSTITUTE(SUBSTITUTE(SUBSTITUTE(TRIM(N52),".",""),"/",""),"-","")," ",""),"(",""),")",""),"+",""))=11,MID(SUBSTITUTE(SUBSTITUTE(SUBSTITUTE(SUBSTITUTE(SUBSTITUTE(SUBSTITUTE(SUBSTITUTE(TRIM(N52),".",""),"/",""),"-","")," ",""),"(",""),")",""),"+",""),3,1)="9",LEFT(SUBSTITUTE(SUBSTITUTE(SUBSTITUTE(SUBSTITUTE(SUBSTITUTE(SUBSTITUTE(SUBSTITUTE(TRIM(N52),".",""),"/",""),"-","")," ",""),"(",""),")",""),"+",""),1)&lt;&gt;"0"),"OK",IF(LEN(SUBSTITUTE(SUBSTITUTE(SUBSTITUTE(SUBSTITUTE(SUBSTITUTE(SUBSTITUTE(SUBSTITUTE(TRIM(N52),".",""),"/",""),"-","")," ",""),"(",""),")",""),"+",""))=10,"ERRO: é fixo (ou falta o 9), use a coluna Telefone fixo","ERRO: DDD + 9 + 8 dígitos")))</f>
      </c>
      <c r="Y52" s="6">
        <f>IF(O52="","vazio",IF(AND(ISNUMBER(FIND("@",O52)),ISNUMBER(FIND(".",MID(O52,FIND("@",O52),99))),NOT(ISNUMBER(FIND(" ",TRIM(O52)))),NOT(ISNUMBER(FIND(";",O52))),NOT(ISNUMBER(FIND(",",O52)))),"OK","ERRO: um e-mail válido por linha"))</f>
      </c>
      <c r="Z52" s="6">
        <f>IF(AND(J52="",K52=""),"",IF(AND(J52&lt;&gt;"",K52&lt;&gt;""),"OK","pendente: só um nome (o GR completa ao converter)"))</f>
      </c>
      <c r="AA52" s="6">
        <f>IF(COUNTA(A52:S52)=0,"",IF(AND(A52&lt;&gt;"",B52&lt;&gt;"",C52&lt;&gt;"",D52&lt;&gt;"",E52&lt;&gt;"",F52&lt;&gt;"",G52&lt;&gt;"",H52&lt;&gt;"",OR(J52&lt;&gt;"",K52&lt;&gt;""),OR(M52&lt;&gt;"",N52&lt;&gt;"",O52&lt;&gt;"")),"OK","ERRO: faltam "&amp;IF(A52="","SDR; ","")&amp;IF(B52="","Proprietário; ","")&amp;IF(C52="","Origem; ","")&amp;IF(D52="","Temperatura; ","")&amp;IF(E52="","Segmento; ","")&amp;IF(F52="","Time/Cluster; ","")&amp;IF(G52="","CNPJ; ","")&amp;IF(H52="","Razão Social; ","")&amp;IF(AND(J52="",K52=""),"nome do contato; ","")&amp;IF(AND(M52="",N52="",O52=""),"telefone, celular ou e-mail; ","")))</f>
      </c>
      <c r="AB52" s="6">
        <f>IF(COUNTA(A52:S52)=0,"",IF(AND(U52="OK",V52="OK",LEFT(W52,4)&lt;&gt;"ERRO",LEFT(X52,4)&lt;&gt;"ERRO",LEFT(Y52,4)&lt;&gt;"ERRO",AA52="OK"),"OK","REVISAR"))</f>
      </c>
    </row>
    <row r="53">
      <c r="A53" s="5"/>
      <c r="B53" s="5"/>
      <c r="C53" s="5"/>
      <c r="D53" s="5"/>
      <c r="E53" s="5"/>
      <c r="F53" s="5"/>
      <c r="G53" s="5"/>
      <c r="H53" s="5"/>
      <c r="I53" s="4"/>
      <c r="J53" s="5"/>
      <c r="K53" s="4"/>
      <c r="L53" s="4"/>
      <c r="M53" s="4"/>
      <c r="N53" s="4"/>
      <c r="O53" s="4"/>
      <c r="P53" s="4"/>
      <c r="Q53" s="4"/>
      <c r="R53" s="4"/>
      <c r="S53" s="4"/>
      <c r="T53" s="6">
        <f>IF(G53="","",SUBSTITUTE(SUBSTITUTE(SUBSTITUTE(SUBSTITUTE(SUBSTITUTE(SUBSTITUTE(SUBSTITUTE(TRIM(G53),".",""),"/",""),"-","")," ",""),"(",""),")",""),"+",""))</f>
      </c>
      <c r="U53" s="6">
        <f>IF(T53="","",IF(LEN(T53)&lt;&gt;14,"ERRO: "&amp;LEN(T53)&amp;" dígitos",IF(NOT(ISNUMBER(VALUE(T53))),"ERRO: não numérico",IF(LEN(SUBSTITUTE(T53,LEFT(T53,1),""))=0,"ERRO: dígitos repetidos",IF(AND(VALUE(MID(T53,13,1))=IF(MOD(SUMPRODUCT(--MID(T53,{1,2,3,4,5,6,7,8,9,10,11,12},1),{5,4,3,2,9,8,7,6,5,4,3,2}),11)&lt;2,0,11-MOD(SUMPRODUCT(--MID(T53,{1,2,3,4,5,6,7,8,9,10,11,12},1),{5,4,3,2,9,8,7,6,5,4,3,2}),11)),VALUE(MID(T53,14,1))=IF(MOD(SUMPRODUCT(--MID(T53,{1,2,3,4,5,6,7,8,9,10,11,12,13},1),{6,5,4,3,2,9,8,7,6,5,4,3,2}),11)&lt;2,0,11-MOD(SUMPRODUCT(--MID(T53,{1,2,3,4,5,6,7,8,9,10,11,12,13},1),{6,5,4,3,2,9,8,7,6,5,4,3,2}),11))),"OK","ERRO: dígito verificador")))))</f>
      </c>
      <c r="V53" s="6">
        <f>IF(T53="","",IF(COUNTIF($T$2:$T$1001,T53)&gt;1,"DUPLICADO","OK"))</f>
      </c>
      <c r="W53" s="6">
        <f>IF(M53="","vazio",IF(OR(AND(LEN(SUBSTITUTE(SUBSTITUTE(SUBSTITUTE(SUBSTITUTE(SUBSTITUTE(SUBSTITUTE(SUBSTITUTE(TRIM(M53),".",""),"/",""),"-","")," ",""),"(",""),")",""),"+",""))=10,LEFT(SUBSTITUTE(SUBSTITUTE(SUBSTITUTE(SUBSTITUTE(SUBSTITUTE(SUBSTITUTE(SUBSTITUTE(TRIM(M53),".",""),"/",""),"-","")," ",""),"(",""),")",""),"+",""),1)&lt;&gt;"0"),AND(LEN(SUBSTITUTE(SUBSTITUTE(SUBSTITUTE(SUBSTITUTE(SUBSTITUTE(SUBSTITUTE(SUBSTITUTE(TRIM(M53),".",""),"/",""),"-","")," ",""),"(",""),")",""),"+",""))=11,LEFT(SUBSTITUTE(SUBSTITUTE(SUBSTITUTE(SUBSTITUTE(SUBSTITUTE(SUBSTITUTE(SUBSTITUTE(TRIM(M53),".",""),"/",""),"-","")," ",""),"(",""),")",""),"+",""),4)="0800")),"OK",IF(AND(LEN(SUBSTITUTE(SUBSTITUTE(SUBSTITUTE(SUBSTITUTE(SUBSTITUTE(SUBSTITUTE(SUBSTITUTE(TRIM(M53),".",""),"/",""),"-","")," ",""),"(",""),")",""),"+",""))=11,MID(SUBSTITUTE(SUBSTITUTE(SUBSTITUTE(SUBSTITUTE(SUBSTITUTE(SUBSTITUTE(SUBSTITUTE(TRIM(M53),".",""),"/",""),"-","")," ",""),"(",""),")",""),"+",""),3,1)="9"),"ERRO: é celular, use a coluna Celular","ERRO: DDD + 8 dígitos ou 0800 + 7")))</f>
      </c>
      <c r="X53" s="6">
        <f>IF(N53="","vazio",IF(AND(LEN(SUBSTITUTE(SUBSTITUTE(SUBSTITUTE(SUBSTITUTE(SUBSTITUTE(SUBSTITUTE(SUBSTITUTE(TRIM(N53),".",""),"/",""),"-","")," ",""),"(",""),")",""),"+",""))=11,MID(SUBSTITUTE(SUBSTITUTE(SUBSTITUTE(SUBSTITUTE(SUBSTITUTE(SUBSTITUTE(SUBSTITUTE(TRIM(N53),".",""),"/",""),"-","")," ",""),"(",""),")",""),"+",""),3,1)="9",LEFT(SUBSTITUTE(SUBSTITUTE(SUBSTITUTE(SUBSTITUTE(SUBSTITUTE(SUBSTITUTE(SUBSTITUTE(TRIM(N53),".",""),"/",""),"-","")," ",""),"(",""),")",""),"+",""),1)&lt;&gt;"0"),"OK",IF(LEN(SUBSTITUTE(SUBSTITUTE(SUBSTITUTE(SUBSTITUTE(SUBSTITUTE(SUBSTITUTE(SUBSTITUTE(TRIM(N53),".",""),"/",""),"-","")," ",""),"(",""),")",""),"+",""))=10,"ERRO: é fixo (ou falta o 9), use a coluna Telefone fixo","ERRO: DDD + 9 + 8 dígitos")))</f>
      </c>
      <c r="Y53" s="6">
        <f>IF(O53="","vazio",IF(AND(ISNUMBER(FIND("@",O53)),ISNUMBER(FIND(".",MID(O53,FIND("@",O53),99))),NOT(ISNUMBER(FIND(" ",TRIM(O53)))),NOT(ISNUMBER(FIND(";",O53))),NOT(ISNUMBER(FIND(",",O53)))),"OK","ERRO: um e-mail válido por linha"))</f>
      </c>
      <c r="Z53" s="6">
        <f>IF(AND(J53="",K53=""),"",IF(AND(J53&lt;&gt;"",K53&lt;&gt;""),"OK","pendente: só um nome (o GR completa ao converter)"))</f>
      </c>
      <c r="AA53" s="6">
        <f>IF(COUNTA(A53:S53)=0,"",IF(AND(A53&lt;&gt;"",B53&lt;&gt;"",C53&lt;&gt;"",D53&lt;&gt;"",E53&lt;&gt;"",F53&lt;&gt;"",G53&lt;&gt;"",H53&lt;&gt;"",OR(J53&lt;&gt;"",K53&lt;&gt;""),OR(M53&lt;&gt;"",N53&lt;&gt;"",O53&lt;&gt;"")),"OK","ERRO: faltam "&amp;IF(A53="","SDR; ","")&amp;IF(B53="","Proprietário; ","")&amp;IF(C53="","Origem; ","")&amp;IF(D53="","Temperatura; ","")&amp;IF(E53="","Segmento; ","")&amp;IF(F53="","Time/Cluster; ","")&amp;IF(G53="","CNPJ; ","")&amp;IF(H53="","Razão Social; ","")&amp;IF(AND(J53="",K53=""),"nome do contato; ","")&amp;IF(AND(M53="",N53="",O53=""),"telefone, celular ou e-mail; ","")))</f>
      </c>
      <c r="AB53" s="6">
        <f>IF(COUNTA(A53:S53)=0,"",IF(AND(U53="OK",V53="OK",LEFT(W53,4)&lt;&gt;"ERRO",LEFT(X53,4)&lt;&gt;"ERRO",LEFT(Y53,4)&lt;&gt;"ERRO",AA53="OK"),"OK","REVISAR"))</f>
      </c>
    </row>
    <row r="54">
      <c r="A54" s="5"/>
      <c r="B54" s="5"/>
      <c r="C54" s="5"/>
      <c r="D54" s="5"/>
      <c r="E54" s="5"/>
      <c r="F54" s="5"/>
      <c r="G54" s="5"/>
      <c r="H54" s="5"/>
      <c r="I54" s="4"/>
      <c r="J54" s="5"/>
      <c r="K54" s="4"/>
      <c r="L54" s="4"/>
      <c r="M54" s="4"/>
      <c r="N54" s="4"/>
      <c r="O54" s="4"/>
      <c r="P54" s="4"/>
      <c r="Q54" s="4"/>
      <c r="R54" s="4"/>
      <c r="S54" s="4"/>
      <c r="T54" s="6">
        <f>IF(G54="","",SUBSTITUTE(SUBSTITUTE(SUBSTITUTE(SUBSTITUTE(SUBSTITUTE(SUBSTITUTE(SUBSTITUTE(TRIM(G54),".",""),"/",""),"-","")," ",""),"(",""),")",""),"+",""))</f>
      </c>
      <c r="U54" s="6">
        <f>IF(T54="","",IF(LEN(T54)&lt;&gt;14,"ERRO: "&amp;LEN(T54)&amp;" dígitos",IF(NOT(ISNUMBER(VALUE(T54))),"ERRO: não numérico",IF(LEN(SUBSTITUTE(T54,LEFT(T54,1),""))=0,"ERRO: dígitos repetidos",IF(AND(VALUE(MID(T54,13,1))=IF(MOD(SUMPRODUCT(--MID(T54,{1,2,3,4,5,6,7,8,9,10,11,12},1),{5,4,3,2,9,8,7,6,5,4,3,2}),11)&lt;2,0,11-MOD(SUMPRODUCT(--MID(T54,{1,2,3,4,5,6,7,8,9,10,11,12},1),{5,4,3,2,9,8,7,6,5,4,3,2}),11)),VALUE(MID(T54,14,1))=IF(MOD(SUMPRODUCT(--MID(T54,{1,2,3,4,5,6,7,8,9,10,11,12,13},1),{6,5,4,3,2,9,8,7,6,5,4,3,2}),11)&lt;2,0,11-MOD(SUMPRODUCT(--MID(T54,{1,2,3,4,5,6,7,8,9,10,11,12,13},1),{6,5,4,3,2,9,8,7,6,5,4,3,2}),11))),"OK","ERRO: dígito verificador")))))</f>
      </c>
      <c r="V54" s="6">
        <f>IF(T54="","",IF(COUNTIF($T$2:$T$1001,T54)&gt;1,"DUPLICADO","OK"))</f>
      </c>
      <c r="W54" s="6">
        <f>IF(M54="","vazio",IF(OR(AND(LEN(SUBSTITUTE(SUBSTITUTE(SUBSTITUTE(SUBSTITUTE(SUBSTITUTE(SUBSTITUTE(SUBSTITUTE(TRIM(M54),".",""),"/",""),"-","")," ",""),"(",""),")",""),"+",""))=10,LEFT(SUBSTITUTE(SUBSTITUTE(SUBSTITUTE(SUBSTITUTE(SUBSTITUTE(SUBSTITUTE(SUBSTITUTE(TRIM(M54),".",""),"/",""),"-","")," ",""),"(",""),")",""),"+",""),1)&lt;&gt;"0"),AND(LEN(SUBSTITUTE(SUBSTITUTE(SUBSTITUTE(SUBSTITUTE(SUBSTITUTE(SUBSTITUTE(SUBSTITUTE(TRIM(M54),".",""),"/",""),"-","")," ",""),"(",""),")",""),"+",""))=11,LEFT(SUBSTITUTE(SUBSTITUTE(SUBSTITUTE(SUBSTITUTE(SUBSTITUTE(SUBSTITUTE(SUBSTITUTE(TRIM(M54),".",""),"/",""),"-","")," ",""),"(",""),")",""),"+",""),4)="0800")),"OK",IF(AND(LEN(SUBSTITUTE(SUBSTITUTE(SUBSTITUTE(SUBSTITUTE(SUBSTITUTE(SUBSTITUTE(SUBSTITUTE(TRIM(M54),".",""),"/",""),"-","")," ",""),"(",""),")",""),"+",""))=11,MID(SUBSTITUTE(SUBSTITUTE(SUBSTITUTE(SUBSTITUTE(SUBSTITUTE(SUBSTITUTE(SUBSTITUTE(TRIM(M54),".",""),"/",""),"-","")," ",""),"(",""),")",""),"+",""),3,1)="9"),"ERRO: é celular, use a coluna Celular","ERRO: DDD + 8 dígitos ou 0800 + 7")))</f>
      </c>
      <c r="X54" s="6">
        <f>IF(N54="","vazio",IF(AND(LEN(SUBSTITUTE(SUBSTITUTE(SUBSTITUTE(SUBSTITUTE(SUBSTITUTE(SUBSTITUTE(SUBSTITUTE(TRIM(N54),".",""),"/",""),"-","")," ",""),"(",""),")",""),"+",""))=11,MID(SUBSTITUTE(SUBSTITUTE(SUBSTITUTE(SUBSTITUTE(SUBSTITUTE(SUBSTITUTE(SUBSTITUTE(TRIM(N54),".",""),"/",""),"-","")," ",""),"(",""),")",""),"+",""),3,1)="9",LEFT(SUBSTITUTE(SUBSTITUTE(SUBSTITUTE(SUBSTITUTE(SUBSTITUTE(SUBSTITUTE(SUBSTITUTE(TRIM(N54),".",""),"/",""),"-","")," ",""),"(",""),")",""),"+",""),1)&lt;&gt;"0"),"OK",IF(LEN(SUBSTITUTE(SUBSTITUTE(SUBSTITUTE(SUBSTITUTE(SUBSTITUTE(SUBSTITUTE(SUBSTITUTE(TRIM(N54),".",""),"/",""),"-","")," ",""),"(",""),")",""),"+",""))=10,"ERRO: é fixo (ou falta o 9), use a coluna Telefone fixo","ERRO: DDD + 9 + 8 dígitos")))</f>
      </c>
      <c r="Y54" s="6">
        <f>IF(O54="","vazio",IF(AND(ISNUMBER(FIND("@",O54)),ISNUMBER(FIND(".",MID(O54,FIND("@",O54),99))),NOT(ISNUMBER(FIND(" ",TRIM(O54)))),NOT(ISNUMBER(FIND(";",O54))),NOT(ISNUMBER(FIND(",",O54)))),"OK","ERRO: um e-mail válido por linha"))</f>
      </c>
      <c r="Z54" s="6">
        <f>IF(AND(J54="",K54=""),"",IF(AND(J54&lt;&gt;"",K54&lt;&gt;""),"OK","pendente: só um nome (o GR completa ao converter)"))</f>
      </c>
      <c r="AA54" s="6">
        <f>IF(COUNTA(A54:S54)=0,"",IF(AND(A54&lt;&gt;"",B54&lt;&gt;"",C54&lt;&gt;"",D54&lt;&gt;"",E54&lt;&gt;"",F54&lt;&gt;"",G54&lt;&gt;"",H54&lt;&gt;"",OR(J54&lt;&gt;"",K54&lt;&gt;""),OR(M54&lt;&gt;"",N54&lt;&gt;"",O54&lt;&gt;"")),"OK","ERRO: faltam "&amp;IF(A54="","SDR; ","")&amp;IF(B54="","Proprietário; ","")&amp;IF(C54="","Origem; ","")&amp;IF(D54="","Temperatura; ","")&amp;IF(E54="","Segmento; ","")&amp;IF(F54="","Time/Cluster; ","")&amp;IF(G54="","CNPJ; ","")&amp;IF(H54="","Razão Social; ","")&amp;IF(AND(J54="",K54=""),"nome do contato; ","")&amp;IF(AND(M54="",N54="",O54=""),"telefone, celular ou e-mail; ","")))</f>
      </c>
      <c r="AB54" s="6">
        <f>IF(COUNTA(A54:S54)=0,"",IF(AND(U54="OK",V54="OK",LEFT(W54,4)&lt;&gt;"ERRO",LEFT(X54,4)&lt;&gt;"ERRO",LEFT(Y54,4)&lt;&gt;"ERRO",AA54="OK"),"OK","REVISAR"))</f>
      </c>
    </row>
    <row r="55">
      <c r="A55" s="5"/>
      <c r="B55" s="5"/>
      <c r="C55" s="5"/>
      <c r="D55" s="5"/>
      <c r="E55" s="5"/>
      <c r="F55" s="5"/>
      <c r="G55" s="5"/>
      <c r="H55" s="5"/>
      <c r="I55" s="4"/>
      <c r="J55" s="5"/>
      <c r="K55" s="4"/>
      <c r="L55" s="4"/>
      <c r="M55" s="4"/>
      <c r="N55" s="4"/>
      <c r="O55" s="4"/>
      <c r="P55" s="4"/>
      <c r="Q55" s="4"/>
      <c r="R55" s="4"/>
      <c r="S55" s="4"/>
      <c r="T55" s="6">
        <f>IF(G55="","",SUBSTITUTE(SUBSTITUTE(SUBSTITUTE(SUBSTITUTE(SUBSTITUTE(SUBSTITUTE(SUBSTITUTE(TRIM(G55),".",""),"/",""),"-","")," ",""),"(",""),")",""),"+",""))</f>
      </c>
      <c r="U55" s="6">
        <f>IF(T55="","",IF(LEN(T55)&lt;&gt;14,"ERRO: "&amp;LEN(T55)&amp;" dígitos",IF(NOT(ISNUMBER(VALUE(T55))),"ERRO: não numérico",IF(LEN(SUBSTITUTE(T55,LEFT(T55,1),""))=0,"ERRO: dígitos repetidos",IF(AND(VALUE(MID(T55,13,1))=IF(MOD(SUMPRODUCT(--MID(T55,{1,2,3,4,5,6,7,8,9,10,11,12},1),{5,4,3,2,9,8,7,6,5,4,3,2}),11)&lt;2,0,11-MOD(SUMPRODUCT(--MID(T55,{1,2,3,4,5,6,7,8,9,10,11,12},1),{5,4,3,2,9,8,7,6,5,4,3,2}),11)),VALUE(MID(T55,14,1))=IF(MOD(SUMPRODUCT(--MID(T55,{1,2,3,4,5,6,7,8,9,10,11,12,13},1),{6,5,4,3,2,9,8,7,6,5,4,3,2}),11)&lt;2,0,11-MOD(SUMPRODUCT(--MID(T55,{1,2,3,4,5,6,7,8,9,10,11,12,13},1),{6,5,4,3,2,9,8,7,6,5,4,3,2}),11))),"OK","ERRO: dígito verificador")))))</f>
      </c>
      <c r="V55" s="6">
        <f>IF(T55="","",IF(COUNTIF($T$2:$T$1001,T55)&gt;1,"DUPLICADO","OK"))</f>
      </c>
      <c r="W55" s="6">
        <f>IF(M55="","vazio",IF(OR(AND(LEN(SUBSTITUTE(SUBSTITUTE(SUBSTITUTE(SUBSTITUTE(SUBSTITUTE(SUBSTITUTE(SUBSTITUTE(TRIM(M55),".",""),"/",""),"-","")," ",""),"(",""),")",""),"+",""))=10,LEFT(SUBSTITUTE(SUBSTITUTE(SUBSTITUTE(SUBSTITUTE(SUBSTITUTE(SUBSTITUTE(SUBSTITUTE(TRIM(M55),".",""),"/",""),"-","")," ",""),"(",""),")",""),"+",""),1)&lt;&gt;"0"),AND(LEN(SUBSTITUTE(SUBSTITUTE(SUBSTITUTE(SUBSTITUTE(SUBSTITUTE(SUBSTITUTE(SUBSTITUTE(TRIM(M55),".",""),"/",""),"-","")," ",""),"(",""),")",""),"+",""))=11,LEFT(SUBSTITUTE(SUBSTITUTE(SUBSTITUTE(SUBSTITUTE(SUBSTITUTE(SUBSTITUTE(SUBSTITUTE(TRIM(M55),".",""),"/",""),"-","")," ",""),"(",""),")",""),"+",""),4)="0800")),"OK",IF(AND(LEN(SUBSTITUTE(SUBSTITUTE(SUBSTITUTE(SUBSTITUTE(SUBSTITUTE(SUBSTITUTE(SUBSTITUTE(TRIM(M55),".",""),"/",""),"-","")," ",""),"(",""),")",""),"+",""))=11,MID(SUBSTITUTE(SUBSTITUTE(SUBSTITUTE(SUBSTITUTE(SUBSTITUTE(SUBSTITUTE(SUBSTITUTE(TRIM(M55),".",""),"/",""),"-","")," ",""),"(",""),")",""),"+",""),3,1)="9"),"ERRO: é celular, use a coluna Celular","ERRO: DDD + 8 dígitos ou 0800 + 7")))</f>
      </c>
      <c r="X55" s="6">
        <f>IF(N55="","vazio",IF(AND(LEN(SUBSTITUTE(SUBSTITUTE(SUBSTITUTE(SUBSTITUTE(SUBSTITUTE(SUBSTITUTE(SUBSTITUTE(TRIM(N55),".",""),"/",""),"-","")," ",""),"(",""),")",""),"+",""))=11,MID(SUBSTITUTE(SUBSTITUTE(SUBSTITUTE(SUBSTITUTE(SUBSTITUTE(SUBSTITUTE(SUBSTITUTE(TRIM(N55),".",""),"/",""),"-","")," ",""),"(",""),")",""),"+",""),3,1)="9",LEFT(SUBSTITUTE(SUBSTITUTE(SUBSTITUTE(SUBSTITUTE(SUBSTITUTE(SUBSTITUTE(SUBSTITUTE(TRIM(N55),".",""),"/",""),"-","")," ",""),"(",""),")",""),"+",""),1)&lt;&gt;"0"),"OK",IF(LEN(SUBSTITUTE(SUBSTITUTE(SUBSTITUTE(SUBSTITUTE(SUBSTITUTE(SUBSTITUTE(SUBSTITUTE(TRIM(N55),".",""),"/",""),"-","")," ",""),"(",""),")",""),"+",""))=10,"ERRO: é fixo (ou falta o 9), use a coluna Telefone fixo","ERRO: DDD + 9 + 8 dígitos")))</f>
      </c>
      <c r="Y55" s="6">
        <f>IF(O55="","vazio",IF(AND(ISNUMBER(FIND("@",O55)),ISNUMBER(FIND(".",MID(O55,FIND("@",O55),99))),NOT(ISNUMBER(FIND(" ",TRIM(O55)))),NOT(ISNUMBER(FIND(";",O55))),NOT(ISNUMBER(FIND(",",O55)))),"OK","ERRO: um e-mail válido por linha"))</f>
      </c>
      <c r="Z55" s="6">
        <f>IF(AND(J55="",K55=""),"",IF(AND(J55&lt;&gt;"",K55&lt;&gt;""),"OK","pendente: só um nome (o GR completa ao converter)"))</f>
      </c>
      <c r="AA55" s="6">
        <f>IF(COUNTA(A55:S55)=0,"",IF(AND(A55&lt;&gt;"",B55&lt;&gt;"",C55&lt;&gt;"",D55&lt;&gt;"",E55&lt;&gt;"",F55&lt;&gt;"",G55&lt;&gt;"",H55&lt;&gt;"",OR(J55&lt;&gt;"",K55&lt;&gt;""),OR(M55&lt;&gt;"",N55&lt;&gt;"",O55&lt;&gt;"")),"OK","ERRO: faltam "&amp;IF(A55="","SDR; ","")&amp;IF(B55="","Proprietário; ","")&amp;IF(C55="","Origem; ","")&amp;IF(D55="","Temperatura; ","")&amp;IF(E55="","Segmento; ","")&amp;IF(F55="","Time/Cluster; ","")&amp;IF(G55="","CNPJ; ","")&amp;IF(H55="","Razão Social; ","")&amp;IF(AND(J55="",K55=""),"nome do contato; ","")&amp;IF(AND(M55="",N55="",O55=""),"telefone, celular ou e-mail; ","")))</f>
      </c>
      <c r="AB55" s="6">
        <f>IF(COUNTA(A55:S55)=0,"",IF(AND(U55="OK",V55="OK",LEFT(W55,4)&lt;&gt;"ERRO",LEFT(X55,4)&lt;&gt;"ERRO",LEFT(Y55,4)&lt;&gt;"ERRO",AA55="OK"),"OK","REVISAR"))</f>
      </c>
    </row>
    <row r="56">
      <c r="A56" s="5"/>
      <c r="B56" s="5"/>
      <c r="C56" s="5"/>
      <c r="D56" s="5"/>
      <c r="E56" s="5"/>
      <c r="F56" s="5"/>
      <c r="G56" s="5"/>
      <c r="H56" s="5"/>
      <c r="I56" s="4"/>
      <c r="J56" s="5"/>
      <c r="K56" s="4"/>
      <c r="L56" s="4"/>
      <c r="M56" s="4"/>
      <c r="N56" s="4"/>
      <c r="O56" s="4"/>
      <c r="P56" s="4"/>
      <c r="Q56" s="4"/>
      <c r="R56" s="4"/>
      <c r="S56" s="4"/>
      <c r="T56" s="6">
        <f>IF(G56="","",SUBSTITUTE(SUBSTITUTE(SUBSTITUTE(SUBSTITUTE(SUBSTITUTE(SUBSTITUTE(SUBSTITUTE(TRIM(G56),".",""),"/",""),"-","")," ",""),"(",""),")",""),"+",""))</f>
      </c>
      <c r="U56" s="6">
        <f>IF(T56="","",IF(LEN(T56)&lt;&gt;14,"ERRO: "&amp;LEN(T56)&amp;" dígitos",IF(NOT(ISNUMBER(VALUE(T56))),"ERRO: não numérico",IF(LEN(SUBSTITUTE(T56,LEFT(T56,1),""))=0,"ERRO: dígitos repetidos",IF(AND(VALUE(MID(T56,13,1))=IF(MOD(SUMPRODUCT(--MID(T56,{1,2,3,4,5,6,7,8,9,10,11,12},1),{5,4,3,2,9,8,7,6,5,4,3,2}),11)&lt;2,0,11-MOD(SUMPRODUCT(--MID(T56,{1,2,3,4,5,6,7,8,9,10,11,12},1),{5,4,3,2,9,8,7,6,5,4,3,2}),11)),VALUE(MID(T56,14,1))=IF(MOD(SUMPRODUCT(--MID(T56,{1,2,3,4,5,6,7,8,9,10,11,12,13},1),{6,5,4,3,2,9,8,7,6,5,4,3,2}),11)&lt;2,0,11-MOD(SUMPRODUCT(--MID(T56,{1,2,3,4,5,6,7,8,9,10,11,12,13},1),{6,5,4,3,2,9,8,7,6,5,4,3,2}),11))),"OK","ERRO: dígito verificador")))))</f>
      </c>
      <c r="V56" s="6">
        <f>IF(T56="","",IF(COUNTIF($T$2:$T$1001,T56)&gt;1,"DUPLICADO","OK"))</f>
      </c>
      <c r="W56" s="6">
        <f>IF(M56="","vazio",IF(OR(AND(LEN(SUBSTITUTE(SUBSTITUTE(SUBSTITUTE(SUBSTITUTE(SUBSTITUTE(SUBSTITUTE(SUBSTITUTE(TRIM(M56),".",""),"/",""),"-","")," ",""),"(",""),")",""),"+",""))=10,LEFT(SUBSTITUTE(SUBSTITUTE(SUBSTITUTE(SUBSTITUTE(SUBSTITUTE(SUBSTITUTE(SUBSTITUTE(TRIM(M56),".",""),"/",""),"-","")," ",""),"(",""),")",""),"+",""),1)&lt;&gt;"0"),AND(LEN(SUBSTITUTE(SUBSTITUTE(SUBSTITUTE(SUBSTITUTE(SUBSTITUTE(SUBSTITUTE(SUBSTITUTE(TRIM(M56),".",""),"/",""),"-","")," ",""),"(",""),")",""),"+",""))=11,LEFT(SUBSTITUTE(SUBSTITUTE(SUBSTITUTE(SUBSTITUTE(SUBSTITUTE(SUBSTITUTE(SUBSTITUTE(TRIM(M56),".",""),"/",""),"-","")," ",""),"(",""),")",""),"+",""),4)="0800")),"OK",IF(AND(LEN(SUBSTITUTE(SUBSTITUTE(SUBSTITUTE(SUBSTITUTE(SUBSTITUTE(SUBSTITUTE(SUBSTITUTE(TRIM(M56),".",""),"/",""),"-","")," ",""),"(",""),")",""),"+",""))=11,MID(SUBSTITUTE(SUBSTITUTE(SUBSTITUTE(SUBSTITUTE(SUBSTITUTE(SUBSTITUTE(SUBSTITUTE(TRIM(M56),".",""),"/",""),"-","")," ",""),"(",""),")",""),"+",""),3,1)="9"),"ERRO: é celular, use a coluna Celular","ERRO: DDD + 8 dígitos ou 0800 + 7")))</f>
      </c>
      <c r="X56" s="6">
        <f>IF(N56="","vazio",IF(AND(LEN(SUBSTITUTE(SUBSTITUTE(SUBSTITUTE(SUBSTITUTE(SUBSTITUTE(SUBSTITUTE(SUBSTITUTE(TRIM(N56),".",""),"/",""),"-","")," ",""),"(",""),")",""),"+",""))=11,MID(SUBSTITUTE(SUBSTITUTE(SUBSTITUTE(SUBSTITUTE(SUBSTITUTE(SUBSTITUTE(SUBSTITUTE(TRIM(N56),".",""),"/",""),"-","")," ",""),"(",""),")",""),"+",""),3,1)="9",LEFT(SUBSTITUTE(SUBSTITUTE(SUBSTITUTE(SUBSTITUTE(SUBSTITUTE(SUBSTITUTE(SUBSTITUTE(TRIM(N56),".",""),"/",""),"-","")," ",""),"(",""),")",""),"+",""),1)&lt;&gt;"0"),"OK",IF(LEN(SUBSTITUTE(SUBSTITUTE(SUBSTITUTE(SUBSTITUTE(SUBSTITUTE(SUBSTITUTE(SUBSTITUTE(TRIM(N56),".",""),"/",""),"-","")," ",""),"(",""),")",""),"+",""))=10,"ERRO: é fixo (ou falta o 9), use a coluna Telefone fixo","ERRO: DDD + 9 + 8 dígitos")))</f>
      </c>
      <c r="Y56" s="6">
        <f>IF(O56="","vazio",IF(AND(ISNUMBER(FIND("@",O56)),ISNUMBER(FIND(".",MID(O56,FIND("@",O56),99))),NOT(ISNUMBER(FIND(" ",TRIM(O56)))),NOT(ISNUMBER(FIND(";",O56))),NOT(ISNUMBER(FIND(",",O56)))),"OK","ERRO: um e-mail válido por linha"))</f>
      </c>
      <c r="Z56" s="6">
        <f>IF(AND(J56="",K56=""),"",IF(AND(J56&lt;&gt;"",K56&lt;&gt;""),"OK","pendente: só um nome (o GR completa ao converter)"))</f>
      </c>
      <c r="AA56" s="6">
        <f>IF(COUNTA(A56:S56)=0,"",IF(AND(A56&lt;&gt;"",B56&lt;&gt;"",C56&lt;&gt;"",D56&lt;&gt;"",E56&lt;&gt;"",F56&lt;&gt;"",G56&lt;&gt;"",H56&lt;&gt;"",OR(J56&lt;&gt;"",K56&lt;&gt;""),OR(M56&lt;&gt;"",N56&lt;&gt;"",O56&lt;&gt;"")),"OK","ERRO: faltam "&amp;IF(A56="","SDR; ","")&amp;IF(B56="","Proprietário; ","")&amp;IF(C56="","Origem; ","")&amp;IF(D56="","Temperatura; ","")&amp;IF(E56="","Segmento; ","")&amp;IF(F56="","Time/Cluster; ","")&amp;IF(G56="","CNPJ; ","")&amp;IF(H56="","Razão Social; ","")&amp;IF(AND(J56="",K56=""),"nome do contato; ","")&amp;IF(AND(M56="",N56="",O56=""),"telefone, celular ou e-mail; ","")))</f>
      </c>
      <c r="AB56" s="6">
        <f>IF(COUNTA(A56:S56)=0,"",IF(AND(U56="OK",V56="OK",LEFT(W56,4)&lt;&gt;"ERRO",LEFT(X56,4)&lt;&gt;"ERRO",LEFT(Y56,4)&lt;&gt;"ERRO",AA56="OK"),"OK","REVISAR"))</f>
      </c>
    </row>
    <row r="57">
      <c r="A57" s="5"/>
      <c r="B57" s="5"/>
      <c r="C57" s="5"/>
      <c r="D57" s="5"/>
      <c r="E57" s="5"/>
      <c r="F57" s="5"/>
      <c r="G57" s="5"/>
      <c r="H57" s="5"/>
      <c r="I57" s="4"/>
      <c r="J57" s="5"/>
      <c r="K57" s="4"/>
      <c r="L57" s="4"/>
      <c r="M57" s="4"/>
      <c r="N57" s="4"/>
      <c r="O57" s="4"/>
      <c r="P57" s="4"/>
      <c r="Q57" s="4"/>
      <c r="R57" s="4"/>
      <c r="S57" s="4"/>
      <c r="T57" s="6">
        <f>IF(G57="","",SUBSTITUTE(SUBSTITUTE(SUBSTITUTE(SUBSTITUTE(SUBSTITUTE(SUBSTITUTE(SUBSTITUTE(TRIM(G57),".",""),"/",""),"-","")," ",""),"(",""),")",""),"+",""))</f>
      </c>
      <c r="U57" s="6">
        <f>IF(T57="","",IF(LEN(T57)&lt;&gt;14,"ERRO: "&amp;LEN(T57)&amp;" dígitos",IF(NOT(ISNUMBER(VALUE(T57))),"ERRO: não numérico",IF(LEN(SUBSTITUTE(T57,LEFT(T57,1),""))=0,"ERRO: dígitos repetidos",IF(AND(VALUE(MID(T57,13,1))=IF(MOD(SUMPRODUCT(--MID(T57,{1,2,3,4,5,6,7,8,9,10,11,12},1),{5,4,3,2,9,8,7,6,5,4,3,2}),11)&lt;2,0,11-MOD(SUMPRODUCT(--MID(T57,{1,2,3,4,5,6,7,8,9,10,11,12},1),{5,4,3,2,9,8,7,6,5,4,3,2}),11)),VALUE(MID(T57,14,1))=IF(MOD(SUMPRODUCT(--MID(T57,{1,2,3,4,5,6,7,8,9,10,11,12,13},1),{6,5,4,3,2,9,8,7,6,5,4,3,2}),11)&lt;2,0,11-MOD(SUMPRODUCT(--MID(T57,{1,2,3,4,5,6,7,8,9,10,11,12,13},1),{6,5,4,3,2,9,8,7,6,5,4,3,2}),11))),"OK","ERRO: dígito verificador")))))</f>
      </c>
      <c r="V57" s="6">
        <f>IF(T57="","",IF(COUNTIF($T$2:$T$1001,T57)&gt;1,"DUPLICADO","OK"))</f>
      </c>
      <c r="W57" s="6">
        <f>IF(M57="","vazio",IF(OR(AND(LEN(SUBSTITUTE(SUBSTITUTE(SUBSTITUTE(SUBSTITUTE(SUBSTITUTE(SUBSTITUTE(SUBSTITUTE(TRIM(M57),".",""),"/",""),"-","")," ",""),"(",""),")",""),"+",""))=10,LEFT(SUBSTITUTE(SUBSTITUTE(SUBSTITUTE(SUBSTITUTE(SUBSTITUTE(SUBSTITUTE(SUBSTITUTE(TRIM(M57),".",""),"/",""),"-","")," ",""),"(",""),")",""),"+",""),1)&lt;&gt;"0"),AND(LEN(SUBSTITUTE(SUBSTITUTE(SUBSTITUTE(SUBSTITUTE(SUBSTITUTE(SUBSTITUTE(SUBSTITUTE(TRIM(M57),".",""),"/",""),"-","")," ",""),"(",""),")",""),"+",""))=11,LEFT(SUBSTITUTE(SUBSTITUTE(SUBSTITUTE(SUBSTITUTE(SUBSTITUTE(SUBSTITUTE(SUBSTITUTE(TRIM(M57),".",""),"/",""),"-","")," ",""),"(",""),")",""),"+",""),4)="0800")),"OK",IF(AND(LEN(SUBSTITUTE(SUBSTITUTE(SUBSTITUTE(SUBSTITUTE(SUBSTITUTE(SUBSTITUTE(SUBSTITUTE(TRIM(M57),".",""),"/",""),"-","")," ",""),"(",""),")",""),"+",""))=11,MID(SUBSTITUTE(SUBSTITUTE(SUBSTITUTE(SUBSTITUTE(SUBSTITUTE(SUBSTITUTE(SUBSTITUTE(TRIM(M57),".",""),"/",""),"-","")," ",""),"(",""),")",""),"+",""),3,1)="9"),"ERRO: é celular, use a coluna Celular","ERRO: DDD + 8 dígitos ou 0800 + 7")))</f>
      </c>
      <c r="X57" s="6">
        <f>IF(N57="","vazio",IF(AND(LEN(SUBSTITUTE(SUBSTITUTE(SUBSTITUTE(SUBSTITUTE(SUBSTITUTE(SUBSTITUTE(SUBSTITUTE(TRIM(N57),".",""),"/",""),"-","")," ",""),"(",""),")",""),"+",""))=11,MID(SUBSTITUTE(SUBSTITUTE(SUBSTITUTE(SUBSTITUTE(SUBSTITUTE(SUBSTITUTE(SUBSTITUTE(TRIM(N57),".",""),"/",""),"-","")," ",""),"(",""),")",""),"+",""),3,1)="9",LEFT(SUBSTITUTE(SUBSTITUTE(SUBSTITUTE(SUBSTITUTE(SUBSTITUTE(SUBSTITUTE(SUBSTITUTE(TRIM(N57),".",""),"/",""),"-","")," ",""),"(",""),")",""),"+",""),1)&lt;&gt;"0"),"OK",IF(LEN(SUBSTITUTE(SUBSTITUTE(SUBSTITUTE(SUBSTITUTE(SUBSTITUTE(SUBSTITUTE(SUBSTITUTE(TRIM(N57),".",""),"/",""),"-","")," ",""),"(",""),")",""),"+",""))=10,"ERRO: é fixo (ou falta o 9), use a coluna Telefone fixo","ERRO: DDD + 9 + 8 dígitos")))</f>
      </c>
      <c r="Y57" s="6">
        <f>IF(O57="","vazio",IF(AND(ISNUMBER(FIND("@",O57)),ISNUMBER(FIND(".",MID(O57,FIND("@",O57),99))),NOT(ISNUMBER(FIND(" ",TRIM(O57)))),NOT(ISNUMBER(FIND(";",O57))),NOT(ISNUMBER(FIND(",",O57)))),"OK","ERRO: um e-mail válido por linha"))</f>
      </c>
      <c r="Z57" s="6">
        <f>IF(AND(J57="",K57=""),"",IF(AND(J57&lt;&gt;"",K57&lt;&gt;""),"OK","pendente: só um nome (o GR completa ao converter)"))</f>
      </c>
      <c r="AA57" s="6">
        <f>IF(COUNTA(A57:S57)=0,"",IF(AND(A57&lt;&gt;"",B57&lt;&gt;"",C57&lt;&gt;"",D57&lt;&gt;"",E57&lt;&gt;"",F57&lt;&gt;"",G57&lt;&gt;"",H57&lt;&gt;"",OR(J57&lt;&gt;"",K57&lt;&gt;""),OR(M57&lt;&gt;"",N57&lt;&gt;"",O57&lt;&gt;"")),"OK","ERRO: faltam "&amp;IF(A57="","SDR; ","")&amp;IF(B57="","Proprietário; ","")&amp;IF(C57="","Origem; ","")&amp;IF(D57="","Temperatura; ","")&amp;IF(E57="","Segmento; ","")&amp;IF(F57="","Time/Cluster; ","")&amp;IF(G57="","CNPJ; ","")&amp;IF(H57="","Razão Social; ","")&amp;IF(AND(J57="",K57=""),"nome do contato; ","")&amp;IF(AND(M57="",N57="",O57=""),"telefone, celular ou e-mail; ","")))</f>
      </c>
      <c r="AB57" s="6">
        <f>IF(COUNTA(A57:S57)=0,"",IF(AND(U57="OK",V57="OK",LEFT(W57,4)&lt;&gt;"ERRO",LEFT(X57,4)&lt;&gt;"ERRO",LEFT(Y57,4)&lt;&gt;"ERRO",AA57="OK"),"OK","REVISAR"))</f>
      </c>
    </row>
    <row r="58">
      <c r="A58" s="5"/>
      <c r="B58" s="5"/>
      <c r="C58" s="5"/>
      <c r="D58" s="5"/>
      <c r="E58" s="5"/>
      <c r="F58" s="5"/>
      <c r="G58" s="5"/>
      <c r="H58" s="5"/>
      <c r="I58" s="4"/>
      <c r="J58" s="5"/>
      <c r="K58" s="4"/>
      <c r="L58" s="4"/>
      <c r="M58" s="4"/>
      <c r="N58" s="4"/>
      <c r="O58" s="4"/>
      <c r="P58" s="4"/>
      <c r="Q58" s="4"/>
      <c r="R58" s="4"/>
      <c r="S58" s="4"/>
      <c r="T58" s="6">
        <f>IF(G58="","",SUBSTITUTE(SUBSTITUTE(SUBSTITUTE(SUBSTITUTE(SUBSTITUTE(SUBSTITUTE(SUBSTITUTE(TRIM(G58),".",""),"/",""),"-","")," ",""),"(",""),")",""),"+",""))</f>
      </c>
      <c r="U58" s="6">
        <f>IF(T58="","",IF(LEN(T58)&lt;&gt;14,"ERRO: "&amp;LEN(T58)&amp;" dígitos",IF(NOT(ISNUMBER(VALUE(T58))),"ERRO: não numérico",IF(LEN(SUBSTITUTE(T58,LEFT(T58,1),""))=0,"ERRO: dígitos repetidos",IF(AND(VALUE(MID(T58,13,1))=IF(MOD(SUMPRODUCT(--MID(T58,{1,2,3,4,5,6,7,8,9,10,11,12},1),{5,4,3,2,9,8,7,6,5,4,3,2}),11)&lt;2,0,11-MOD(SUMPRODUCT(--MID(T58,{1,2,3,4,5,6,7,8,9,10,11,12},1),{5,4,3,2,9,8,7,6,5,4,3,2}),11)),VALUE(MID(T58,14,1))=IF(MOD(SUMPRODUCT(--MID(T58,{1,2,3,4,5,6,7,8,9,10,11,12,13},1),{6,5,4,3,2,9,8,7,6,5,4,3,2}),11)&lt;2,0,11-MOD(SUMPRODUCT(--MID(T58,{1,2,3,4,5,6,7,8,9,10,11,12,13},1),{6,5,4,3,2,9,8,7,6,5,4,3,2}),11))),"OK","ERRO: dígito verificador")))))</f>
      </c>
      <c r="V58" s="6">
        <f>IF(T58="","",IF(COUNTIF($T$2:$T$1001,T58)&gt;1,"DUPLICADO","OK"))</f>
      </c>
      <c r="W58" s="6">
        <f>IF(M58="","vazio",IF(OR(AND(LEN(SUBSTITUTE(SUBSTITUTE(SUBSTITUTE(SUBSTITUTE(SUBSTITUTE(SUBSTITUTE(SUBSTITUTE(TRIM(M58),".",""),"/",""),"-","")," ",""),"(",""),")",""),"+",""))=10,LEFT(SUBSTITUTE(SUBSTITUTE(SUBSTITUTE(SUBSTITUTE(SUBSTITUTE(SUBSTITUTE(SUBSTITUTE(TRIM(M58),".",""),"/",""),"-","")," ",""),"(",""),")",""),"+",""),1)&lt;&gt;"0"),AND(LEN(SUBSTITUTE(SUBSTITUTE(SUBSTITUTE(SUBSTITUTE(SUBSTITUTE(SUBSTITUTE(SUBSTITUTE(TRIM(M58),".",""),"/",""),"-","")," ",""),"(",""),")",""),"+",""))=11,LEFT(SUBSTITUTE(SUBSTITUTE(SUBSTITUTE(SUBSTITUTE(SUBSTITUTE(SUBSTITUTE(SUBSTITUTE(TRIM(M58),".",""),"/",""),"-","")," ",""),"(",""),")",""),"+",""),4)="0800")),"OK",IF(AND(LEN(SUBSTITUTE(SUBSTITUTE(SUBSTITUTE(SUBSTITUTE(SUBSTITUTE(SUBSTITUTE(SUBSTITUTE(TRIM(M58),".",""),"/",""),"-","")," ",""),"(",""),")",""),"+",""))=11,MID(SUBSTITUTE(SUBSTITUTE(SUBSTITUTE(SUBSTITUTE(SUBSTITUTE(SUBSTITUTE(SUBSTITUTE(TRIM(M58),".",""),"/",""),"-","")," ",""),"(",""),")",""),"+",""),3,1)="9"),"ERRO: é celular, use a coluna Celular","ERRO: DDD + 8 dígitos ou 0800 + 7")))</f>
      </c>
      <c r="X58" s="6">
        <f>IF(N58="","vazio",IF(AND(LEN(SUBSTITUTE(SUBSTITUTE(SUBSTITUTE(SUBSTITUTE(SUBSTITUTE(SUBSTITUTE(SUBSTITUTE(TRIM(N58),".",""),"/",""),"-","")," ",""),"(",""),")",""),"+",""))=11,MID(SUBSTITUTE(SUBSTITUTE(SUBSTITUTE(SUBSTITUTE(SUBSTITUTE(SUBSTITUTE(SUBSTITUTE(TRIM(N58),".",""),"/",""),"-","")," ",""),"(",""),")",""),"+",""),3,1)="9",LEFT(SUBSTITUTE(SUBSTITUTE(SUBSTITUTE(SUBSTITUTE(SUBSTITUTE(SUBSTITUTE(SUBSTITUTE(TRIM(N58),".",""),"/",""),"-","")," ",""),"(",""),")",""),"+",""),1)&lt;&gt;"0"),"OK",IF(LEN(SUBSTITUTE(SUBSTITUTE(SUBSTITUTE(SUBSTITUTE(SUBSTITUTE(SUBSTITUTE(SUBSTITUTE(TRIM(N58),".",""),"/",""),"-","")," ",""),"(",""),")",""),"+",""))=10,"ERRO: é fixo (ou falta o 9), use a coluna Telefone fixo","ERRO: DDD + 9 + 8 dígitos")))</f>
      </c>
      <c r="Y58" s="6">
        <f>IF(O58="","vazio",IF(AND(ISNUMBER(FIND("@",O58)),ISNUMBER(FIND(".",MID(O58,FIND("@",O58),99))),NOT(ISNUMBER(FIND(" ",TRIM(O58)))),NOT(ISNUMBER(FIND(";",O58))),NOT(ISNUMBER(FIND(",",O58)))),"OK","ERRO: um e-mail válido por linha"))</f>
      </c>
      <c r="Z58" s="6">
        <f>IF(AND(J58="",K58=""),"",IF(AND(J58&lt;&gt;"",K58&lt;&gt;""),"OK","pendente: só um nome (o GR completa ao converter)"))</f>
      </c>
      <c r="AA58" s="6">
        <f>IF(COUNTA(A58:S58)=0,"",IF(AND(A58&lt;&gt;"",B58&lt;&gt;"",C58&lt;&gt;"",D58&lt;&gt;"",E58&lt;&gt;"",F58&lt;&gt;"",G58&lt;&gt;"",H58&lt;&gt;"",OR(J58&lt;&gt;"",K58&lt;&gt;""),OR(M58&lt;&gt;"",N58&lt;&gt;"",O58&lt;&gt;"")),"OK","ERRO: faltam "&amp;IF(A58="","SDR; ","")&amp;IF(B58="","Proprietário; ","")&amp;IF(C58="","Origem; ","")&amp;IF(D58="","Temperatura; ","")&amp;IF(E58="","Segmento; ","")&amp;IF(F58="","Time/Cluster; ","")&amp;IF(G58="","CNPJ; ","")&amp;IF(H58="","Razão Social; ","")&amp;IF(AND(J58="",K58=""),"nome do contato; ","")&amp;IF(AND(M58="",N58="",O58=""),"telefone, celular ou e-mail; ","")))</f>
      </c>
      <c r="AB58" s="6">
        <f>IF(COUNTA(A58:S58)=0,"",IF(AND(U58="OK",V58="OK",LEFT(W58,4)&lt;&gt;"ERRO",LEFT(X58,4)&lt;&gt;"ERRO",LEFT(Y58,4)&lt;&gt;"ERRO",AA58="OK"),"OK","REVISAR"))</f>
      </c>
    </row>
    <row r="59">
      <c r="A59" s="5"/>
      <c r="B59" s="5"/>
      <c r="C59" s="5"/>
      <c r="D59" s="5"/>
      <c r="E59" s="5"/>
      <c r="F59" s="5"/>
      <c r="G59" s="5"/>
      <c r="H59" s="5"/>
      <c r="I59" s="4"/>
      <c r="J59" s="5"/>
      <c r="K59" s="4"/>
      <c r="L59" s="4"/>
      <c r="M59" s="4"/>
      <c r="N59" s="4"/>
      <c r="O59" s="4"/>
      <c r="P59" s="4"/>
      <c r="Q59" s="4"/>
      <c r="R59" s="4"/>
      <c r="S59" s="4"/>
      <c r="T59" s="6">
        <f>IF(G59="","",SUBSTITUTE(SUBSTITUTE(SUBSTITUTE(SUBSTITUTE(SUBSTITUTE(SUBSTITUTE(SUBSTITUTE(TRIM(G59),".",""),"/",""),"-","")," ",""),"(",""),")",""),"+",""))</f>
      </c>
      <c r="U59" s="6">
        <f>IF(T59="","",IF(LEN(T59)&lt;&gt;14,"ERRO: "&amp;LEN(T59)&amp;" dígitos",IF(NOT(ISNUMBER(VALUE(T59))),"ERRO: não numérico",IF(LEN(SUBSTITUTE(T59,LEFT(T59,1),""))=0,"ERRO: dígitos repetidos",IF(AND(VALUE(MID(T59,13,1))=IF(MOD(SUMPRODUCT(--MID(T59,{1,2,3,4,5,6,7,8,9,10,11,12},1),{5,4,3,2,9,8,7,6,5,4,3,2}),11)&lt;2,0,11-MOD(SUMPRODUCT(--MID(T59,{1,2,3,4,5,6,7,8,9,10,11,12},1),{5,4,3,2,9,8,7,6,5,4,3,2}),11)),VALUE(MID(T59,14,1))=IF(MOD(SUMPRODUCT(--MID(T59,{1,2,3,4,5,6,7,8,9,10,11,12,13},1),{6,5,4,3,2,9,8,7,6,5,4,3,2}),11)&lt;2,0,11-MOD(SUMPRODUCT(--MID(T59,{1,2,3,4,5,6,7,8,9,10,11,12,13},1),{6,5,4,3,2,9,8,7,6,5,4,3,2}),11))),"OK","ERRO: dígito verificador")))))</f>
      </c>
      <c r="V59" s="6">
        <f>IF(T59="","",IF(COUNTIF($T$2:$T$1001,T59)&gt;1,"DUPLICADO","OK"))</f>
      </c>
      <c r="W59" s="6">
        <f>IF(M59="","vazio",IF(OR(AND(LEN(SUBSTITUTE(SUBSTITUTE(SUBSTITUTE(SUBSTITUTE(SUBSTITUTE(SUBSTITUTE(SUBSTITUTE(TRIM(M59),".",""),"/",""),"-","")," ",""),"(",""),")",""),"+",""))=10,LEFT(SUBSTITUTE(SUBSTITUTE(SUBSTITUTE(SUBSTITUTE(SUBSTITUTE(SUBSTITUTE(SUBSTITUTE(TRIM(M59),".",""),"/",""),"-","")," ",""),"(",""),")",""),"+",""),1)&lt;&gt;"0"),AND(LEN(SUBSTITUTE(SUBSTITUTE(SUBSTITUTE(SUBSTITUTE(SUBSTITUTE(SUBSTITUTE(SUBSTITUTE(TRIM(M59),".",""),"/",""),"-","")," ",""),"(",""),")",""),"+",""))=11,LEFT(SUBSTITUTE(SUBSTITUTE(SUBSTITUTE(SUBSTITUTE(SUBSTITUTE(SUBSTITUTE(SUBSTITUTE(TRIM(M59),".",""),"/",""),"-","")," ",""),"(",""),")",""),"+",""),4)="0800")),"OK",IF(AND(LEN(SUBSTITUTE(SUBSTITUTE(SUBSTITUTE(SUBSTITUTE(SUBSTITUTE(SUBSTITUTE(SUBSTITUTE(TRIM(M59),".",""),"/",""),"-","")," ",""),"(",""),")",""),"+",""))=11,MID(SUBSTITUTE(SUBSTITUTE(SUBSTITUTE(SUBSTITUTE(SUBSTITUTE(SUBSTITUTE(SUBSTITUTE(TRIM(M59),".",""),"/",""),"-","")," ",""),"(",""),")",""),"+",""),3,1)="9"),"ERRO: é celular, use a coluna Celular","ERRO: DDD + 8 dígitos ou 0800 + 7")))</f>
      </c>
      <c r="X59" s="6">
        <f>IF(N59="","vazio",IF(AND(LEN(SUBSTITUTE(SUBSTITUTE(SUBSTITUTE(SUBSTITUTE(SUBSTITUTE(SUBSTITUTE(SUBSTITUTE(TRIM(N59),".",""),"/",""),"-","")," ",""),"(",""),")",""),"+",""))=11,MID(SUBSTITUTE(SUBSTITUTE(SUBSTITUTE(SUBSTITUTE(SUBSTITUTE(SUBSTITUTE(SUBSTITUTE(TRIM(N59),".",""),"/",""),"-","")," ",""),"(",""),")",""),"+",""),3,1)="9",LEFT(SUBSTITUTE(SUBSTITUTE(SUBSTITUTE(SUBSTITUTE(SUBSTITUTE(SUBSTITUTE(SUBSTITUTE(TRIM(N59),".",""),"/",""),"-","")," ",""),"(",""),")",""),"+",""),1)&lt;&gt;"0"),"OK",IF(LEN(SUBSTITUTE(SUBSTITUTE(SUBSTITUTE(SUBSTITUTE(SUBSTITUTE(SUBSTITUTE(SUBSTITUTE(TRIM(N59),".",""),"/",""),"-","")," ",""),"(",""),")",""),"+",""))=10,"ERRO: é fixo (ou falta o 9), use a coluna Telefone fixo","ERRO: DDD + 9 + 8 dígitos")))</f>
      </c>
      <c r="Y59" s="6">
        <f>IF(O59="","vazio",IF(AND(ISNUMBER(FIND("@",O59)),ISNUMBER(FIND(".",MID(O59,FIND("@",O59),99))),NOT(ISNUMBER(FIND(" ",TRIM(O59)))),NOT(ISNUMBER(FIND(";",O59))),NOT(ISNUMBER(FIND(",",O59)))),"OK","ERRO: um e-mail válido por linha"))</f>
      </c>
      <c r="Z59" s="6">
        <f>IF(AND(J59="",K59=""),"",IF(AND(J59&lt;&gt;"",K59&lt;&gt;""),"OK","pendente: só um nome (o GR completa ao converter)"))</f>
      </c>
      <c r="AA59" s="6">
        <f>IF(COUNTA(A59:S59)=0,"",IF(AND(A59&lt;&gt;"",B59&lt;&gt;"",C59&lt;&gt;"",D59&lt;&gt;"",E59&lt;&gt;"",F59&lt;&gt;"",G59&lt;&gt;"",H59&lt;&gt;"",OR(J59&lt;&gt;"",K59&lt;&gt;""),OR(M59&lt;&gt;"",N59&lt;&gt;"",O59&lt;&gt;"")),"OK","ERRO: faltam "&amp;IF(A59="","SDR; ","")&amp;IF(B59="","Proprietário; ","")&amp;IF(C59="","Origem; ","")&amp;IF(D59="","Temperatura; ","")&amp;IF(E59="","Segmento; ","")&amp;IF(F59="","Time/Cluster; ","")&amp;IF(G59="","CNPJ; ","")&amp;IF(H59="","Razão Social; ","")&amp;IF(AND(J59="",K59=""),"nome do contato; ","")&amp;IF(AND(M59="",N59="",O59=""),"telefone, celular ou e-mail; ","")))</f>
      </c>
      <c r="AB59" s="6">
        <f>IF(COUNTA(A59:S59)=0,"",IF(AND(U59="OK",V59="OK",LEFT(W59,4)&lt;&gt;"ERRO",LEFT(X59,4)&lt;&gt;"ERRO",LEFT(Y59,4)&lt;&gt;"ERRO",AA59="OK"),"OK","REVISAR"))</f>
      </c>
    </row>
    <row r="60">
      <c r="A60" s="5"/>
      <c r="B60" s="5"/>
      <c r="C60" s="5"/>
      <c r="D60" s="5"/>
      <c r="E60" s="5"/>
      <c r="F60" s="5"/>
      <c r="G60" s="5"/>
      <c r="H60" s="5"/>
      <c r="I60" s="4"/>
      <c r="J60" s="5"/>
      <c r="K60" s="4"/>
      <c r="L60" s="4"/>
      <c r="M60" s="4"/>
      <c r="N60" s="4"/>
      <c r="O60" s="4"/>
      <c r="P60" s="4"/>
      <c r="Q60" s="4"/>
      <c r="R60" s="4"/>
      <c r="S60" s="4"/>
      <c r="T60" s="6">
        <f>IF(G60="","",SUBSTITUTE(SUBSTITUTE(SUBSTITUTE(SUBSTITUTE(SUBSTITUTE(SUBSTITUTE(SUBSTITUTE(TRIM(G60),".",""),"/",""),"-","")," ",""),"(",""),")",""),"+",""))</f>
      </c>
      <c r="U60" s="6">
        <f>IF(T60="","",IF(LEN(T60)&lt;&gt;14,"ERRO: "&amp;LEN(T60)&amp;" dígitos",IF(NOT(ISNUMBER(VALUE(T60))),"ERRO: não numérico",IF(LEN(SUBSTITUTE(T60,LEFT(T60,1),""))=0,"ERRO: dígitos repetidos",IF(AND(VALUE(MID(T60,13,1))=IF(MOD(SUMPRODUCT(--MID(T60,{1,2,3,4,5,6,7,8,9,10,11,12},1),{5,4,3,2,9,8,7,6,5,4,3,2}),11)&lt;2,0,11-MOD(SUMPRODUCT(--MID(T60,{1,2,3,4,5,6,7,8,9,10,11,12},1),{5,4,3,2,9,8,7,6,5,4,3,2}),11)),VALUE(MID(T60,14,1))=IF(MOD(SUMPRODUCT(--MID(T60,{1,2,3,4,5,6,7,8,9,10,11,12,13},1),{6,5,4,3,2,9,8,7,6,5,4,3,2}),11)&lt;2,0,11-MOD(SUMPRODUCT(--MID(T60,{1,2,3,4,5,6,7,8,9,10,11,12,13},1),{6,5,4,3,2,9,8,7,6,5,4,3,2}),11))),"OK","ERRO: dígito verificador")))))</f>
      </c>
      <c r="V60" s="6">
        <f>IF(T60="","",IF(COUNTIF($T$2:$T$1001,T60)&gt;1,"DUPLICADO","OK"))</f>
      </c>
      <c r="W60" s="6">
        <f>IF(M60="","vazio",IF(OR(AND(LEN(SUBSTITUTE(SUBSTITUTE(SUBSTITUTE(SUBSTITUTE(SUBSTITUTE(SUBSTITUTE(SUBSTITUTE(TRIM(M60),".",""),"/",""),"-","")," ",""),"(",""),")",""),"+",""))=10,LEFT(SUBSTITUTE(SUBSTITUTE(SUBSTITUTE(SUBSTITUTE(SUBSTITUTE(SUBSTITUTE(SUBSTITUTE(TRIM(M60),".",""),"/",""),"-","")," ",""),"(",""),")",""),"+",""),1)&lt;&gt;"0"),AND(LEN(SUBSTITUTE(SUBSTITUTE(SUBSTITUTE(SUBSTITUTE(SUBSTITUTE(SUBSTITUTE(SUBSTITUTE(TRIM(M60),".",""),"/",""),"-","")," ",""),"(",""),")",""),"+",""))=11,LEFT(SUBSTITUTE(SUBSTITUTE(SUBSTITUTE(SUBSTITUTE(SUBSTITUTE(SUBSTITUTE(SUBSTITUTE(TRIM(M60),".",""),"/",""),"-","")," ",""),"(",""),")",""),"+",""),4)="0800")),"OK",IF(AND(LEN(SUBSTITUTE(SUBSTITUTE(SUBSTITUTE(SUBSTITUTE(SUBSTITUTE(SUBSTITUTE(SUBSTITUTE(TRIM(M60),".",""),"/",""),"-","")," ",""),"(",""),")",""),"+",""))=11,MID(SUBSTITUTE(SUBSTITUTE(SUBSTITUTE(SUBSTITUTE(SUBSTITUTE(SUBSTITUTE(SUBSTITUTE(TRIM(M60),".",""),"/",""),"-","")," ",""),"(",""),")",""),"+",""),3,1)="9"),"ERRO: é celular, use a coluna Celular","ERRO: DDD + 8 dígitos ou 0800 + 7")))</f>
      </c>
      <c r="X60" s="6">
        <f>IF(N60="","vazio",IF(AND(LEN(SUBSTITUTE(SUBSTITUTE(SUBSTITUTE(SUBSTITUTE(SUBSTITUTE(SUBSTITUTE(SUBSTITUTE(TRIM(N60),".",""),"/",""),"-","")," ",""),"(",""),")",""),"+",""))=11,MID(SUBSTITUTE(SUBSTITUTE(SUBSTITUTE(SUBSTITUTE(SUBSTITUTE(SUBSTITUTE(SUBSTITUTE(TRIM(N60),".",""),"/",""),"-","")," ",""),"(",""),")",""),"+",""),3,1)="9",LEFT(SUBSTITUTE(SUBSTITUTE(SUBSTITUTE(SUBSTITUTE(SUBSTITUTE(SUBSTITUTE(SUBSTITUTE(TRIM(N60),".",""),"/",""),"-","")," ",""),"(",""),")",""),"+",""),1)&lt;&gt;"0"),"OK",IF(LEN(SUBSTITUTE(SUBSTITUTE(SUBSTITUTE(SUBSTITUTE(SUBSTITUTE(SUBSTITUTE(SUBSTITUTE(TRIM(N60),".",""),"/",""),"-","")," ",""),"(",""),")",""),"+",""))=10,"ERRO: é fixo (ou falta o 9), use a coluna Telefone fixo","ERRO: DDD + 9 + 8 dígitos")))</f>
      </c>
      <c r="Y60" s="6">
        <f>IF(O60="","vazio",IF(AND(ISNUMBER(FIND("@",O60)),ISNUMBER(FIND(".",MID(O60,FIND("@",O60),99))),NOT(ISNUMBER(FIND(" ",TRIM(O60)))),NOT(ISNUMBER(FIND(";",O60))),NOT(ISNUMBER(FIND(",",O60)))),"OK","ERRO: um e-mail válido por linha"))</f>
      </c>
      <c r="Z60" s="6">
        <f>IF(AND(J60="",K60=""),"",IF(AND(J60&lt;&gt;"",K60&lt;&gt;""),"OK","pendente: só um nome (o GR completa ao converter)"))</f>
      </c>
      <c r="AA60" s="6">
        <f>IF(COUNTA(A60:S60)=0,"",IF(AND(A60&lt;&gt;"",B60&lt;&gt;"",C60&lt;&gt;"",D60&lt;&gt;"",E60&lt;&gt;"",F60&lt;&gt;"",G60&lt;&gt;"",H60&lt;&gt;"",OR(J60&lt;&gt;"",K60&lt;&gt;""),OR(M60&lt;&gt;"",N60&lt;&gt;"",O60&lt;&gt;"")),"OK","ERRO: faltam "&amp;IF(A60="","SDR; ","")&amp;IF(B60="","Proprietário; ","")&amp;IF(C60="","Origem; ","")&amp;IF(D60="","Temperatura; ","")&amp;IF(E60="","Segmento; ","")&amp;IF(F60="","Time/Cluster; ","")&amp;IF(G60="","CNPJ; ","")&amp;IF(H60="","Razão Social; ","")&amp;IF(AND(J60="",K60=""),"nome do contato; ","")&amp;IF(AND(M60="",N60="",O60=""),"telefone, celular ou e-mail; ","")))</f>
      </c>
      <c r="AB60" s="6">
        <f>IF(COUNTA(A60:S60)=0,"",IF(AND(U60="OK",V60="OK",LEFT(W60,4)&lt;&gt;"ERRO",LEFT(X60,4)&lt;&gt;"ERRO",LEFT(Y60,4)&lt;&gt;"ERRO",AA60="OK"),"OK","REVISAR"))</f>
      </c>
    </row>
    <row r="61">
      <c r="A61" s="5"/>
      <c r="B61" s="5"/>
      <c r="C61" s="5"/>
      <c r="D61" s="5"/>
      <c r="E61" s="5"/>
      <c r="F61" s="5"/>
      <c r="G61" s="5"/>
      <c r="H61" s="5"/>
      <c r="I61" s="4"/>
      <c r="J61" s="5"/>
      <c r="K61" s="4"/>
      <c r="L61" s="4"/>
      <c r="M61" s="4"/>
      <c r="N61" s="4"/>
      <c r="O61" s="4"/>
      <c r="P61" s="4"/>
      <c r="Q61" s="4"/>
      <c r="R61" s="4"/>
      <c r="S61" s="4"/>
      <c r="T61" s="6">
        <f>IF(G61="","",SUBSTITUTE(SUBSTITUTE(SUBSTITUTE(SUBSTITUTE(SUBSTITUTE(SUBSTITUTE(SUBSTITUTE(TRIM(G61),".",""),"/",""),"-","")," ",""),"(",""),")",""),"+",""))</f>
      </c>
      <c r="U61" s="6">
        <f>IF(T61="","",IF(LEN(T61)&lt;&gt;14,"ERRO: "&amp;LEN(T61)&amp;" dígitos",IF(NOT(ISNUMBER(VALUE(T61))),"ERRO: não numérico",IF(LEN(SUBSTITUTE(T61,LEFT(T61,1),""))=0,"ERRO: dígitos repetidos",IF(AND(VALUE(MID(T61,13,1))=IF(MOD(SUMPRODUCT(--MID(T61,{1,2,3,4,5,6,7,8,9,10,11,12},1),{5,4,3,2,9,8,7,6,5,4,3,2}),11)&lt;2,0,11-MOD(SUMPRODUCT(--MID(T61,{1,2,3,4,5,6,7,8,9,10,11,12},1),{5,4,3,2,9,8,7,6,5,4,3,2}),11)),VALUE(MID(T61,14,1))=IF(MOD(SUMPRODUCT(--MID(T61,{1,2,3,4,5,6,7,8,9,10,11,12,13},1),{6,5,4,3,2,9,8,7,6,5,4,3,2}),11)&lt;2,0,11-MOD(SUMPRODUCT(--MID(T61,{1,2,3,4,5,6,7,8,9,10,11,12,13},1),{6,5,4,3,2,9,8,7,6,5,4,3,2}),11))),"OK","ERRO: dígito verificador")))))</f>
      </c>
      <c r="V61" s="6">
        <f>IF(T61="","",IF(COUNTIF($T$2:$T$1001,T61)&gt;1,"DUPLICADO","OK"))</f>
      </c>
      <c r="W61" s="6">
        <f>IF(M61="","vazio",IF(OR(AND(LEN(SUBSTITUTE(SUBSTITUTE(SUBSTITUTE(SUBSTITUTE(SUBSTITUTE(SUBSTITUTE(SUBSTITUTE(TRIM(M61),".",""),"/",""),"-","")," ",""),"(",""),")",""),"+",""))=10,LEFT(SUBSTITUTE(SUBSTITUTE(SUBSTITUTE(SUBSTITUTE(SUBSTITUTE(SUBSTITUTE(SUBSTITUTE(TRIM(M61),".",""),"/",""),"-","")," ",""),"(",""),")",""),"+",""),1)&lt;&gt;"0"),AND(LEN(SUBSTITUTE(SUBSTITUTE(SUBSTITUTE(SUBSTITUTE(SUBSTITUTE(SUBSTITUTE(SUBSTITUTE(TRIM(M61),".",""),"/",""),"-","")," ",""),"(",""),")",""),"+",""))=11,LEFT(SUBSTITUTE(SUBSTITUTE(SUBSTITUTE(SUBSTITUTE(SUBSTITUTE(SUBSTITUTE(SUBSTITUTE(TRIM(M61),".",""),"/",""),"-","")," ",""),"(",""),")",""),"+",""),4)="0800")),"OK",IF(AND(LEN(SUBSTITUTE(SUBSTITUTE(SUBSTITUTE(SUBSTITUTE(SUBSTITUTE(SUBSTITUTE(SUBSTITUTE(TRIM(M61),".",""),"/",""),"-","")," ",""),"(",""),")",""),"+",""))=11,MID(SUBSTITUTE(SUBSTITUTE(SUBSTITUTE(SUBSTITUTE(SUBSTITUTE(SUBSTITUTE(SUBSTITUTE(TRIM(M61),".",""),"/",""),"-","")," ",""),"(",""),")",""),"+",""),3,1)="9"),"ERRO: é celular, use a coluna Celular","ERRO: DDD + 8 dígitos ou 0800 + 7")))</f>
      </c>
      <c r="X61" s="6">
        <f>IF(N61="","vazio",IF(AND(LEN(SUBSTITUTE(SUBSTITUTE(SUBSTITUTE(SUBSTITUTE(SUBSTITUTE(SUBSTITUTE(SUBSTITUTE(TRIM(N61),".",""),"/",""),"-","")," ",""),"(",""),")",""),"+",""))=11,MID(SUBSTITUTE(SUBSTITUTE(SUBSTITUTE(SUBSTITUTE(SUBSTITUTE(SUBSTITUTE(SUBSTITUTE(TRIM(N61),".",""),"/",""),"-","")," ",""),"(",""),")",""),"+",""),3,1)="9",LEFT(SUBSTITUTE(SUBSTITUTE(SUBSTITUTE(SUBSTITUTE(SUBSTITUTE(SUBSTITUTE(SUBSTITUTE(TRIM(N61),".",""),"/",""),"-","")," ",""),"(",""),")",""),"+",""),1)&lt;&gt;"0"),"OK",IF(LEN(SUBSTITUTE(SUBSTITUTE(SUBSTITUTE(SUBSTITUTE(SUBSTITUTE(SUBSTITUTE(SUBSTITUTE(TRIM(N61),".",""),"/",""),"-","")," ",""),"(",""),")",""),"+",""))=10,"ERRO: é fixo (ou falta o 9), use a coluna Telefone fixo","ERRO: DDD + 9 + 8 dígitos")))</f>
      </c>
      <c r="Y61" s="6">
        <f>IF(O61="","vazio",IF(AND(ISNUMBER(FIND("@",O61)),ISNUMBER(FIND(".",MID(O61,FIND("@",O61),99))),NOT(ISNUMBER(FIND(" ",TRIM(O61)))),NOT(ISNUMBER(FIND(";",O61))),NOT(ISNUMBER(FIND(",",O61)))),"OK","ERRO: um e-mail válido por linha"))</f>
      </c>
      <c r="Z61" s="6">
        <f>IF(AND(J61="",K61=""),"",IF(AND(J61&lt;&gt;"",K61&lt;&gt;""),"OK","pendente: só um nome (o GR completa ao converter)"))</f>
      </c>
      <c r="AA61" s="6">
        <f>IF(COUNTA(A61:S61)=0,"",IF(AND(A61&lt;&gt;"",B61&lt;&gt;"",C61&lt;&gt;"",D61&lt;&gt;"",E61&lt;&gt;"",F61&lt;&gt;"",G61&lt;&gt;"",H61&lt;&gt;"",OR(J61&lt;&gt;"",K61&lt;&gt;""),OR(M61&lt;&gt;"",N61&lt;&gt;"",O61&lt;&gt;"")),"OK","ERRO: faltam "&amp;IF(A61="","SDR; ","")&amp;IF(B61="","Proprietário; ","")&amp;IF(C61="","Origem; ","")&amp;IF(D61="","Temperatura; ","")&amp;IF(E61="","Segmento; ","")&amp;IF(F61="","Time/Cluster; ","")&amp;IF(G61="","CNPJ; ","")&amp;IF(H61="","Razão Social; ","")&amp;IF(AND(J61="",K61=""),"nome do contato; ","")&amp;IF(AND(M61="",N61="",O61=""),"telefone, celular ou e-mail; ","")))</f>
      </c>
      <c r="AB61" s="6">
        <f>IF(COUNTA(A61:S61)=0,"",IF(AND(U61="OK",V61="OK",LEFT(W61,4)&lt;&gt;"ERRO",LEFT(X61,4)&lt;&gt;"ERRO",LEFT(Y61,4)&lt;&gt;"ERRO",AA61="OK"),"OK","REVISAR"))</f>
      </c>
    </row>
    <row r="62">
      <c r="A62" s="5"/>
      <c r="B62" s="5"/>
      <c r="C62" s="5"/>
      <c r="D62" s="5"/>
      <c r="E62" s="5"/>
      <c r="F62" s="5"/>
      <c r="G62" s="5"/>
      <c r="H62" s="5"/>
      <c r="I62" s="4"/>
      <c r="J62" s="5"/>
      <c r="K62" s="4"/>
      <c r="L62" s="4"/>
      <c r="M62" s="4"/>
      <c r="N62" s="4"/>
      <c r="O62" s="4"/>
      <c r="P62" s="4"/>
      <c r="Q62" s="4"/>
      <c r="R62" s="4"/>
      <c r="S62" s="4"/>
      <c r="T62" s="6">
        <f>IF(G62="","",SUBSTITUTE(SUBSTITUTE(SUBSTITUTE(SUBSTITUTE(SUBSTITUTE(SUBSTITUTE(SUBSTITUTE(TRIM(G62),".",""),"/",""),"-","")," ",""),"(",""),")",""),"+",""))</f>
      </c>
      <c r="U62" s="6">
        <f>IF(T62="","",IF(LEN(T62)&lt;&gt;14,"ERRO: "&amp;LEN(T62)&amp;" dígitos",IF(NOT(ISNUMBER(VALUE(T62))),"ERRO: não numérico",IF(LEN(SUBSTITUTE(T62,LEFT(T62,1),""))=0,"ERRO: dígitos repetidos",IF(AND(VALUE(MID(T62,13,1))=IF(MOD(SUMPRODUCT(--MID(T62,{1,2,3,4,5,6,7,8,9,10,11,12},1),{5,4,3,2,9,8,7,6,5,4,3,2}),11)&lt;2,0,11-MOD(SUMPRODUCT(--MID(T62,{1,2,3,4,5,6,7,8,9,10,11,12},1),{5,4,3,2,9,8,7,6,5,4,3,2}),11)),VALUE(MID(T62,14,1))=IF(MOD(SUMPRODUCT(--MID(T62,{1,2,3,4,5,6,7,8,9,10,11,12,13},1),{6,5,4,3,2,9,8,7,6,5,4,3,2}),11)&lt;2,0,11-MOD(SUMPRODUCT(--MID(T62,{1,2,3,4,5,6,7,8,9,10,11,12,13},1),{6,5,4,3,2,9,8,7,6,5,4,3,2}),11))),"OK","ERRO: dígito verificador")))))</f>
      </c>
      <c r="V62" s="6">
        <f>IF(T62="","",IF(COUNTIF($T$2:$T$1001,T62)&gt;1,"DUPLICADO","OK"))</f>
      </c>
      <c r="W62" s="6">
        <f>IF(M62="","vazio",IF(OR(AND(LEN(SUBSTITUTE(SUBSTITUTE(SUBSTITUTE(SUBSTITUTE(SUBSTITUTE(SUBSTITUTE(SUBSTITUTE(TRIM(M62),".",""),"/",""),"-","")," ",""),"(",""),")",""),"+",""))=10,LEFT(SUBSTITUTE(SUBSTITUTE(SUBSTITUTE(SUBSTITUTE(SUBSTITUTE(SUBSTITUTE(SUBSTITUTE(TRIM(M62),".",""),"/",""),"-","")," ",""),"(",""),")",""),"+",""),1)&lt;&gt;"0"),AND(LEN(SUBSTITUTE(SUBSTITUTE(SUBSTITUTE(SUBSTITUTE(SUBSTITUTE(SUBSTITUTE(SUBSTITUTE(TRIM(M62),".",""),"/",""),"-","")," ",""),"(",""),")",""),"+",""))=11,LEFT(SUBSTITUTE(SUBSTITUTE(SUBSTITUTE(SUBSTITUTE(SUBSTITUTE(SUBSTITUTE(SUBSTITUTE(TRIM(M62),".",""),"/",""),"-","")," ",""),"(",""),")",""),"+",""),4)="0800")),"OK",IF(AND(LEN(SUBSTITUTE(SUBSTITUTE(SUBSTITUTE(SUBSTITUTE(SUBSTITUTE(SUBSTITUTE(SUBSTITUTE(TRIM(M62),".",""),"/",""),"-","")," ",""),"(",""),")",""),"+",""))=11,MID(SUBSTITUTE(SUBSTITUTE(SUBSTITUTE(SUBSTITUTE(SUBSTITUTE(SUBSTITUTE(SUBSTITUTE(TRIM(M62),".",""),"/",""),"-","")," ",""),"(",""),")",""),"+",""),3,1)="9"),"ERRO: é celular, use a coluna Celular","ERRO: DDD + 8 dígitos ou 0800 + 7")))</f>
      </c>
      <c r="X62" s="6">
        <f>IF(N62="","vazio",IF(AND(LEN(SUBSTITUTE(SUBSTITUTE(SUBSTITUTE(SUBSTITUTE(SUBSTITUTE(SUBSTITUTE(SUBSTITUTE(TRIM(N62),".",""),"/",""),"-","")," ",""),"(",""),")",""),"+",""))=11,MID(SUBSTITUTE(SUBSTITUTE(SUBSTITUTE(SUBSTITUTE(SUBSTITUTE(SUBSTITUTE(SUBSTITUTE(TRIM(N62),".",""),"/",""),"-","")," ",""),"(",""),")",""),"+",""),3,1)="9",LEFT(SUBSTITUTE(SUBSTITUTE(SUBSTITUTE(SUBSTITUTE(SUBSTITUTE(SUBSTITUTE(SUBSTITUTE(TRIM(N62),".",""),"/",""),"-","")," ",""),"(",""),")",""),"+",""),1)&lt;&gt;"0"),"OK",IF(LEN(SUBSTITUTE(SUBSTITUTE(SUBSTITUTE(SUBSTITUTE(SUBSTITUTE(SUBSTITUTE(SUBSTITUTE(TRIM(N62),".",""),"/",""),"-","")," ",""),"(",""),")",""),"+",""))=10,"ERRO: é fixo (ou falta o 9), use a coluna Telefone fixo","ERRO: DDD + 9 + 8 dígitos")))</f>
      </c>
      <c r="Y62" s="6">
        <f>IF(O62="","vazio",IF(AND(ISNUMBER(FIND("@",O62)),ISNUMBER(FIND(".",MID(O62,FIND("@",O62),99))),NOT(ISNUMBER(FIND(" ",TRIM(O62)))),NOT(ISNUMBER(FIND(";",O62))),NOT(ISNUMBER(FIND(",",O62)))),"OK","ERRO: um e-mail válido por linha"))</f>
      </c>
      <c r="Z62" s="6">
        <f>IF(AND(J62="",K62=""),"",IF(AND(J62&lt;&gt;"",K62&lt;&gt;""),"OK","pendente: só um nome (o GR completa ao converter)"))</f>
      </c>
      <c r="AA62" s="6">
        <f>IF(COUNTA(A62:S62)=0,"",IF(AND(A62&lt;&gt;"",B62&lt;&gt;"",C62&lt;&gt;"",D62&lt;&gt;"",E62&lt;&gt;"",F62&lt;&gt;"",G62&lt;&gt;"",H62&lt;&gt;"",OR(J62&lt;&gt;"",K62&lt;&gt;""),OR(M62&lt;&gt;"",N62&lt;&gt;"",O62&lt;&gt;"")),"OK","ERRO: faltam "&amp;IF(A62="","SDR; ","")&amp;IF(B62="","Proprietário; ","")&amp;IF(C62="","Origem; ","")&amp;IF(D62="","Temperatura; ","")&amp;IF(E62="","Segmento; ","")&amp;IF(F62="","Time/Cluster; ","")&amp;IF(G62="","CNPJ; ","")&amp;IF(H62="","Razão Social; ","")&amp;IF(AND(J62="",K62=""),"nome do contato; ","")&amp;IF(AND(M62="",N62="",O62=""),"telefone, celular ou e-mail; ","")))</f>
      </c>
      <c r="AB62" s="6">
        <f>IF(COUNTA(A62:S62)=0,"",IF(AND(U62="OK",V62="OK",LEFT(W62,4)&lt;&gt;"ERRO",LEFT(X62,4)&lt;&gt;"ERRO",LEFT(Y62,4)&lt;&gt;"ERRO",AA62="OK"),"OK","REVISAR"))</f>
      </c>
    </row>
    <row r="63">
      <c r="A63" s="5"/>
      <c r="B63" s="5"/>
      <c r="C63" s="5"/>
      <c r="D63" s="5"/>
      <c r="E63" s="5"/>
      <c r="F63" s="5"/>
      <c r="G63" s="5"/>
      <c r="H63" s="5"/>
      <c r="I63" s="4"/>
      <c r="J63" s="5"/>
      <c r="K63" s="4"/>
      <c r="L63" s="4"/>
      <c r="M63" s="4"/>
      <c r="N63" s="4"/>
      <c r="O63" s="4"/>
      <c r="P63" s="4"/>
      <c r="Q63" s="4"/>
      <c r="R63" s="4"/>
      <c r="S63" s="4"/>
      <c r="T63" s="6">
        <f>IF(G63="","",SUBSTITUTE(SUBSTITUTE(SUBSTITUTE(SUBSTITUTE(SUBSTITUTE(SUBSTITUTE(SUBSTITUTE(TRIM(G63),".",""),"/",""),"-","")," ",""),"(",""),")",""),"+",""))</f>
      </c>
      <c r="U63" s="6">
        <f>IF(T63="","",IF(LEN(T63)&lt;&gt;14,"ERRO: "&amp;LEN(T63)&amp;" dígitos",IF(NOT(ISNUMBER(VALUE(T63))),"ERRO: não numérico",IF(LEN(SUBSTITUTE(T63,LEFT(T63,1),""))=0,"ERRO: dígitos repetidos",IF(AND(VALUE(MID(T63,13,1))=IF(MOD(SUMPRODUCT(--MID(T63,{1,2,3,4,5,6,7,8,9,10,11,12},1),{5,4,3,2,9,8,7,6,5,4,3,2}),11)&lt;2,0,11-MOD(SUMPRODUCT(--MID(T63,{1,2,3,4,5,6,7,8,9,10,11,12},1),{5,4,3,2,9,8,7,6,5,4,3,2}),11)),VALUE(MID(T63,14,1))=IF(MOD(SUMPRODUCT(--MID(T63,{1,2,3,4,5,6,7,8,9,10,11,12,13},1),{6,5,4,3,2,9,8,7,6,5,4,3,2}),11)&lt;2,0,11-MOD(SUMPRODUCT(--MID(T63,{1,2,3,4,5,6,7,8,9,10,11,12,13},1),{6,5,4,3,2,9,8,7,6,5,4,3,2}),11))),"OK","ERRO: dígito verificador")))))</f>
      </c>
      <c r="V63" s="6">
        <f>IF(T63="","",IF(COUNTIF($T$2:$T$1001,T63)&gt;1,"DUPLICADO","OK"))</f>
      </c>
      <c r="W63" s="6">
        <f>IF(M63="","vazio",IF(OR(AND(LEN(SUBSTITUTE(SUBSTITUTE(SUBSTITUTE(SUBSTITUTE(SUBSTITUTE(SUBSTITUTE(SUBSTITUTE(TRIM(M63),".",""),"/",""),"-","")," ",""),"(",""),")",""),"+",""))=10,LEFT(SUBSTITUTE(SUBSTITUTE(SUBSTITUTE(SUBSTITUTE(SUBSTITUTE(SUBSTITUTE(SUBSTITUTE(TRIM(M63),".",""),"/",""),"-","")," ",""),"(",""),")",""),"+",""),1)&lt;&gt;"0"),AND(LEN(SUBSTITUTE(SUBSTITUTE(SUBSTITUTE(SUBSTITUTE(SUBSTITUTE(SUBSTITUTE(SUBSTITUTE(TRIM(M63),".",""),"/",""),"-","")," ",""),"(",""),")",""),"+",""))=11,LEFT(SUBSTITUTE(SUBSTITUTE(SUBSTITUTE(SUBSTITUTE(SUBSTITUTE(SUBSTITUTE(SUBSTITUTE(TRIM(M63),".",""),"/",""),"-","")," ",""),"(",""),")",""),"+",""),4)="0800")),"OK",IF(AND(LEN(SUBSTITUTE(SUBSTITUTE(SUBSTITUTE(SUBSTITUTE(SUBSTITUTE(SUBSTITUTE(SUBSTITUTE(TRIM(M63),".",""),"/",""),"-","")," ",""),"(",""),")",""),"+",""))=11,MID(SUBSTITUTE(SUBSTITUTE(SUBSTITUTE(SUBSTITUTE(SUBSTITUTE(SUBSTITUTE(SUBSTITUTE(TRIM(M63),".",""),"/",""),"-","")," ",""),"(",""),")",""),"+",""),3,1)="9"),"ERRO: é celular, use a coluna Celular","ERRO: DDD + 8 dígitos ou 0800 + 7")))</f>
      </c>
      <c r="X63" s="6">
        <f>IF(N63="","vazio",IF(AND(LEN(SUBSTITUTE(SUBSTITUTE(SUBSTITUTE(SUBSTITUTE(SUBSTITUTE(SUBSTITUTE(SUBSTITUTE(TRIM(N63),".",""),"/",""),"-","")," ",""),"(",""),")",""),"+",""))=11,MID(SUBSTITUTE(SUBSTITUTE(SUBSTITUTE(SUBSTITUTE(SUBSTITUTE(SUBSTITUTE(SUBSTITUTE(TRIM(N63),".",""),"/",""),"-","")," ",""),"(",""),")",""),"+",""),3,1)="9",LEFT(SUBSTITUTE(SUBSTITUTE(SUBSTITUTE(SUBSTITUTE(SUBSTITUTE(SUBSTITUTE(SUBSTITUTE(TRIM(N63),".",""),"/",""),"-","")," ",""),"(",""),")",""),"+",""),1)&lt;&gt;"0"),"OK",IF(LEN(SUBSTITUTE(SUBSTITUTE(SUBSTITUTE(SUBSTITUTE(SUBSTITUTE(SUBSTITUTE(SUBSTITUTE(TRIM(N63),".",""),"/",""),"-","")," ",""),"(",""),")",""),"+",""))=10,"ERRO: é fixo (ou falta o 9), use a coluna Telefone fixo","ERRO: DDD + 9 + 8 dígitos")))</f>
      </c>
      <c r="Y63" s="6">
        <f>IF(O63="","vazio",IF(AND(ISNUMBER(FIND("@",O63)),ISNUMBER(FIND(".",MID(O63,FIND("@",O63),99))),NOT(ISNUMBER(FIND(" ",TRIM(O63)))),NOT(ISNUMBER(FIND(";",O63))),NOT(ISNUMBER(FIND(",",O63)))),"OK","ERRO: um e-mail válido por linha"))</f>
      </c>
      <c r="Z63" s="6">
        <f>IF(AND(J63="",K63=""),"",IF(AND(J63&lt;&gt;"",K63&lt;&gt;""),"OK","pendente: só um nome (o GR completa ao converter)"))</f>
      </c>
      <c r="AA63" s="6">
        <f>IF(COUNTA(A63:S63)=0,"",IF(AND(A63&lt;&gt;"",B63&lt;&gt;"",C63&lt;&gt;"",D63&lt;&gt;"",E63&lt;&gt;"",F63&lt;&gt;"",G63&lt;&gt;"",H63&lt;&gt;"",OR(J63&lt;&gt;"",K63&lt;&gt;""),OR(M63&lt;&gt;"",N63&lt;&gt;"",O63&lt;&gt;"")),"OK","ERRO: faltam "&amp;IF(A63="","SDR; ","")&amp;IF(B63="","Proprietário; ","")&amp;IF(C63="","Origem; ","")&amp;IF(D63="","Temperatura; ","")&amp;IF(E63="","Segmento; ","")&amp;IF(F63="","Time/Cluster; ","")&amp;IF(G63="","CNPJ; ","")&amp;IF(H63="","Razão Social; ","")&amp;IF(AND(J63="",K63=""),"nome do contato; ","")&amp;IF(AND(M63="",N63="",O63=""),"telefone, celular ou e-mail; ","")))</f>
      </c>
      <c r="AB63" s="6">
        <f>IF(COUNTA(A63:S63)=0,"",IF(AND(U63="OK",V63="OK",LEFT(W63,4)&lt;&gt;"ERRO",LEFT(X63,4)&lt;&gt;"ERRO",LEFT(Y63,4)&lt;&gt;"ERRO",AA63="OK"),"OK","REVISAR"))</f>
      </c>
    </row>
    <row r="64">
      <c r="A64" s="5"/>
      <c r="B64" s="5"/>
      <c r="C64" s="5"/>
      <c r="D64" s="5"/>
      <c r="E64" s="5"/>
      <c r="F64" s="5"/>
      <c r="G64" s="5"/>
      <c r="H64" s="5"/>
      <c r="I64" s="4"/>
      <c r="J64" s="5"/>
      <c r="K64" s="4"/>
      <c r="L64" s="4"/>
      <c r="M64" s="4"/>
      <c r="N64" s="4"/>
      <c r="O64" s="4"/>
      <c r="P64" s="4"/>
      <c r="Q64" s="4"/>
      <c r="R64" s="4"/>
      <c r="S64" s="4"/>
      <c r="T64" s="6">
        <f>IF(G64="","",SUBSTITUTE(SUBSTITUTE(SUBSTITUTE(SUBSTITUTE(SUBSTITUTE(SUBSTITUTE(SUBSTITUTE(TRIM(G64),".",""),"/",""),"-","")," ",""),"(",""),")",""),"+",""))</f>
      </c>
      <c r="U64" s="6">
        <f>IF(T64="","",IF(LEN(T64)&lt;&gt;14,"ERRO: "&amp;LEN(T64)&amp;" dígitos",IF(NOT(ISNUMBER(VALUE(T64))),"ERRO: não numérico",IF(LEN(SUBSTITUTE(T64,LEFT(T64,1),""))=0,"ERRO: dígitos repetidos",IF(AND(VALUE(MID(T64,13,1))=IF(MOD(SUMPRODUCT(--MID(T64,{1,2,3,4,5,6,7,8,9,10,11,12},1),{5,4,3,2,9,8,7,6,5,4,3,2}),11)&lt;2,0,11-MOD(SUMPRODUCT(--MID(T64,{1,2,3,4,5,6,7,8,9,10,11,12},1),{5,4,3,2,9,8,7,6,5,4,3,2}),11)),VALUE(MID(T64,14,1))=IF(MOD(SUMPRODUCT(--MID(T64,{1,2,3,4,5,6,7,8,9,10,11,12,13},1),{6,5,4,3,2,9,8,7,6,5,4,3,2}),11)&lt;2,0,11-MOD(SUMPRODUCT(--MID(T64,{1,2,3,4,5,6,7,8,9,10,11,12,13},1),{6,5,4,3,2,9,8,7,6,5,4,3,2}),11))),"OK","ERRO: dígito verificador")))))</f>
      </c>
      <c r="V64" s="6">
        <f>IF(T64="","",IF(COUNTIF($T$2:$T$1001,T64)&gt;1,"DUPLICADO","OK"))</f>
      </c>
      <c r="W64" s="6">
        <f>IF(M64="","vazio",IF(OR(AND(LEN(SUBSTITUTE(SUBSTITUTE(SUBSTITUTE(SUBSTITUTE(SUBSTITUTE(SUBSTITUTE(SUBSTITUTE(TRIM(M64),".",""),"/",""),"-","")," ",""),"(",""),")",""),"+",""))=10,LEFT(SUBSTITUTE(SUBSTITUTE(SUBSTITUTE(SUBSTITUTE(SUBSTITUTE(SUBSTITUTE(SUBSTITUTE(TRIM(M64),".",""),"/",""),"-","")," ",""),"(",""),")",""),"+",""),1)&lt;&gt;"0"),AND(LEN(SUBSTITUTE(SUBSTITUTE(SUBSTITUTE(SUBSTITUTE(SUBSTITUTE(SUBSTITUTE(SUBSTITUTE(TRIM(M64),".",""),"/",""),"-","")," ",""),"(",""),")",""),"+",""))=11,LEFT(SUBSTITUTE(SUBSTITUTE(SUBSTITUTE(SUBSTITUTE(SUBSTITUTE(SUBSTITUTE(SUBSTITUTE(TRIM(M64),".",""),"/",""),"-","")," ",""),"(",""),")",""),"+",""),4)="0800")),"OK",IF(AND(LEN(SUBSTITUTE(SUBSTITUTE(SUBSTITUTE(SUBSTITUTE(SUBSTITUTE(SUBSTITUTE(SUBSTITUTE(TRIM(M64),".",""),"/",""),"-","")," ",""),"(",""),")",""),"+",""))=11,MID(SUBSTITUTE(SUBSTITUTE(SUBSTITUTE(SUBSTITUTE(SUBSTITUTE(SUBSTITUTE(SUBSTITUTE(TRIM(M64),".",""),"/",""),"-","")," ",""),"(",""),")",""),"+",""),3,1)="9"),"ERRO: é celular, use a coluna Celular","ERRO: DDD + 8 dígitos ou 0800 + 7")))</f>
      </c>
      <c r="X64" s="6">
        <f>IF(N64="","vazio",IF(AND(LEN(SUBSTITUTE(SUBSTITUTE(SUBSTITUTE(SUBSTITUTE(SUBSTITUTE(SUBSTITUTE(SUBSTITUTE(TRIM(N64),".",""),"/",""),"-","")," ",""),"(",""),")",""),"+",""))=11,MID(SUBSTITUTE(SUBSTITUTE(SUBSTITUTE(SUBSTITUTE(SUBSTITUTE(SUBSTITUTE(SUBSTITUTE(TRIM(N64),".",""),"/",""),"-","")," ",""),"(",""),")",""),"+",""),3,1)="9",LEFT(SUBSTITUTE(SUBSTITUTE(SUBSTITUTE(SUBSTITUTE(SUBSTITUTE(SUBSTITUTE(SUBSTITUTE(TRIM(N64),".",""),"/",""),"-","")," ",""),"(",""),")",""),"+",""),1)&lt;&gt;"0"),"OK",IF(LEN(SUBSTITUTE(SUBSTITUTE(SUBSTITUTE(SUBSTITUTE(SUBSTITUTE(SUBSTITUTE(SUBSTITUTE(TRIM(N64),".",""),"/",""),"-","")," ",""),"(",""),")",""),"+",""))=10,"ERRO: é fixo (ou falta o 9), use a coluna Telefone fixo","ERRO: DDD + 9 + 8 dígitos")))</f>
      </c>
      <c r="Y64" s="6">
        <f>IF(O64="","vazio",IF(AND(ISNUMBER(FIND("@",O64)),ISNUMBER(FIND(".",MID(O64,FIND("@",O64),99))),NOT(ISNUMBER(FIND(" ",TRIM(O64)))),NOT(ISNUMBER(FIND(";",O64))),NOT(ISNUMBER(FIND(",",O64)))),"OK","ERRO: um e-mail válido por linha"))</f>
      </c>
      <c r="Z64" s="6">
        <f>IF(AND(J64="",K64=""),"",IF(AND(J64&lt;&gt;"",K64&lt;&gt;""),"OK","pendente: só um nome (o GR completa ao converter)"))</f>
      </c>
      <c r="AA64" s="6">
        <f>IF(COUNTA(A64:S64)=0,"",IF(AND(A64&lt;&gt;"",B64&lt;&gt;"",C64&lt;&gt;"",D64&lt;&gt;"",E64&lt;&gt;"",F64&lt;&gt;"",G64&lt;&gt;"",H64&lt;&gt;"",OR(J64&lt;&gt;"",K64&lt;&gt;""),OR(M64&lt;&gt;"",N64&lt;&gt;"",O64&lt;&gt;"")),"OK","ERRO: faltam "&amp;IF(A64="","SDR; ","")&amp;IF(B64="","Proprietário; ","")&amp;IF(C64="","Origem; ","")&amp;IF(D64="","Temperatura; ","")&amp;IF(E64="","Segmento; ","")&amp;IF(F64="","Time/Cluster; ","")&amp;IF(G64="","CNPJ; ","")&amp;IF(H64="","Razão Social; ","")&amp;IF(AND(J64="",K64=""),"nome do contato; ","")&amp;IF(AND(M64="",N64="",O64=""),"telefone, celular ou e-mail; ","")))</f>
      </c>
      <c r="AB64" s="6">
        <f>IF(COUNTA(A64:S64)=0,"",IF(AND(U64="OK",V64="OK",LEFT(W64,4)&lt;&gt;"ERRO",LEFT(X64,4)&lt;&gt;"ERRO",LEFT(Y64,4)&lt;&gt;"ERRO",AA64="OK"),"OK","REVISAR"))</f>
      </c>
    </row>
    <row r="65">
      <c r="A65" s="5"/>
      <c r="B65" s="5"/>
      <c r="C65" s="5"/>
      <c r="D65" s="5"/>
      <c r="E65" s="5"/>
      <c r="F65" s="5"/>
      <c r="G65" s="5"/>
      <c r="H65" s="5"/>
      <c r="I65" s="4"/>
      <c r="J65" s="5"/>
      <c r="K65" s="4"/>
      <c r="L65" s="4"/>
      <c r="M65" s="4"/>
      <c r="N65" s="4"/>
      <c r="O65" s="4"/>
      <c r="P65" s="4"/>
      <c r="Q65" s="4"/>
      <c r="R65" s="4"/>
      <c r="S65" s="4"/>
      <c r="T65" s="6">
        <f>IF(G65="","",SUBSTITUTE(SUBSTITUTE(SUBSTITUTE(SUBSTITUTE(SUBSTITUTE(SUBSTITUTE(SUBSTITUTE(TRIM(G65),".",""),"/",""),"-","")," ",""),"(",""),")",""),"+",""))</f>
      </c>
      <c r="U65" s="6">
        <f>IF(T65="","",IF(LEN(T65)&lt;&gt;14,"ERRO: "&amp;LEN(T65)&amp;" dígitos",IF(NOT(ISNUMBER(VALUE(T65))),"ERRO: não numérico",IF(LEN(SUBSTITUTE(T65,LEFT(T65,1),""))=0,"ERRO: dígitos repetidos",IF(AND(VALUE(MID(T65,13,1))=IF(MOD(SUMPRODUCT(--MID(T65,{1,2,3,4,5,6,7,8,9,10,11,12},1),{5,4,3,2,9,8,7,6,5,4,3,2}),11)&lt;2,0,11-MOD(SUMPRODUCT(--MID(T65,{1,2,3,4,5,6,7,8,9,10,11,12},1),{5,4,3,2,9,8,7,6,5,4,3,2}),11)),VALUE(MID(T65,14,1))=IF(MOD(SUMPRODUCT(--MID(T65,{1,2,3,4,5,6,7,8,9,10,11,12,13},1),{6,5,4,3,2,9,8,7,6,5,4,3,2}),11)&lt;2,0,11-MOD(SUMPRODUCT(--MID(T65,{1,2,3,4,5,6,7,8,9,10,11,12,13},1),{6,5,4,3,2,9,8,7,6,5,4,3,2}),11))),"OK","ERRO: dígito verificador")))))</f>
      </c>
      <c r="V65" s="6">
        <f>IF(T65="","",IF(COUNTIF($T$2:$T$1001,T65)&gt;1,"DUPLICADO","OK"))</f>
      </c>
      <c r="W65" s="6">
        <f>IF(M65="","vazio",IF(OR(AND(LEN(SUBSTITUTE(SUBSTITUTE(SUBSTITUTE(SUBSTITUTE(SUBSTITUTE(SUBSTITUTE(SUBSTITUTE(TRIM(M65),".",""),"/",""),"-","")," ",""),"(",""),")",""),"+",""))=10,LEFT(SUBSTITUTE(SUBSTITUTE(SUBSTITUTE(SUBSTITUTE(SUBSTITUTE(SUBSTITUTE(SUBSTITUTE(TRIM(M65),".",""),"/",""),"-","")," ",""),"(",""),")",""),"+",""),1)&lt;&gt;"0"),AND(LEN(SUBSTITUTE(SUBSTITUTE(SUBSTITUTE(SUBSTITUTE(SUBSTITUTE(SUBSTITUTE(SUBSTITUTE(TRIM(M65),".",""),"/",""),"-","")," ",""),"(",""),")",""),"+",""))=11,LEFT(SUBSTITUTE(SUBSTITUTE(SUBSTITUTE(SUBSTITUTE(SUBSTITUTE(SUBSTITUTE(SUBSTITUTE(TRIM(M65),".",""),"/",""),"-","")," ",""),"(",""),")",""),"+",""),4)="0800")),"OK",IF(AND(LEN(SUBSTITUTE(SUBSTITUTE(SUBSTITUTE(SUBSTITUTE(SUBSTITUTE(SUBSTITUTE(SUBSTITUTE(TRIM(M65),".",""),"/",""),"-","")," ",""),"(",""),")",""),"+",""))=11,MID(SUBSTITUTE(SUBSTITUTE(SUBSTITUTE(SUBSTITUTE(SUBSTITUTE(SUBSTITUTE(SUBSTITUTE(TRIM(M65),".",""),"/",""),"-","")," ",""),"(",""),")",""),"+",""),3,1)="9"),"ERRO: é celular, use a coluna Celular","ERRO: DDD + 8 dígitos ou 0800 + 7")))</f>
      </c>
      <c r="X65" s="6">
        <f>IF(N65="","vazio",IF(AND(LEN(SUBSTITUTE(SUBSTITUTE(SUBSTITUTE(SUBSTITUTE(SUBSTITUTE(SUBSTITUTE(SUBSTITUTE(TRIM(N65),".",""),"/",""),"-","")," ",""),"(",""),")",""),"+",""))=11,MID(SUBSTITUTE(SUBSTITUTE(SUBSTITUTE(SUBSTITUTE(SUBSTITUTE(SUBSTITUTE(SUBSTITUTE(TRIM(N65),".",""),"/",""),"-","")," ",""),"(",""),")",""),"+",""),3,1)="9",LEFT(SUBSTITUTE(SUBSTITUTE(SUBSTITUTE(SUBSTITUTE(SUBSTITUTE(SUBSTITUTE(SUBSTITUTE(TRIM(N65),".",""),"/",""),"-","")," ",""),"(",""),")",""),"+",""),1)&lt;&gt;"0"),"OK",IF(LEN(SUBSTITUTE(SUBSTITUTE(SUBSTITUTE(SUBSTITUTE(SUBSTITUTE(SUBSTITUTE(SUBSTITUTE(TRIM(N65),".",""),"/",""),"-","")," ",""),"(",""),")",""),"+",""))=10,"ERRO: é fixo (ou falta o 9), use a coluna Telefone fixo","ERRO: DDD + 9 + 8 dígitos")))</f>
      </c>
      <c r="Y65" s="6">
        <f>IF(O65="","vazio",IF(AND(ISNUMBER(FIND("@",O65)),ISNUMBER(FIND(".",MID(O65,FIND("@",O65),99))),NOT(ISNUMBER(FIND(" ",TRIM(O65)))),NOT(ISNUMBER(FIND(";",O65))),NOT(ISNUMBER(FIND(",",O65)))),"OK","ERRO: um e-mail válido por linha"))</f>
      </c>
      <c r="Z65" s="6">
        <f>IF(AND(J65="",K65=""),"",IF(AND(J65&lt;&gt;"",K65&lt;&gt;""),"OK","pendente: só um nome (o GR completa ao converter)"))</f>
      </c>
      <c r="AA65" s="6">
        <f>IF(COUNTA(A65:S65)=0,"",IF(AND(A65&lt;&gt;"",B65&lt;&gt;"",C65&lt;&gt;"",D65&lt;&gt;"",E65&lt;&gt;"",F65&lt;&gt;"",G65&lt;&gt;"",H65&lt;&gt;"",OR(J65&lt;&gt;"",K65&lt;&gt;""),OR(M65&lt;&gt;"",N65&lt;&gt;"",O65&lt;&gt;"")),"OK","ERRO: faltam "&amp;IF(A65="","SDR; ","")&amp;IF(B65="","Proprietário; ","")&amp;IF(C65="","Origem; ","")&amp;IF(D65="","Temperatura; ","")&amp;IF(E65="","Segmento; ","")&amp;IF(F65="","Time/Cluster; ","")&amp;IF(G65="","CNPJ; ","")&amp;IF(H65="","Razão Social; ","")&amp;IF(AND(J65="",K65=""),"nome do contato; ","")&amp;IF(AND(M65="",N65="",O65=""),"telefone, celular ou e-mail; ","")))</f>
      </c>
      <c r="AB65" s="6">
        <f>IF(COUNTA(A65:S65)=0,"",IF(AND(U65="OK",V65="OK",LEFT(W65,4)&lt;&gt;"ERRO",LEFT(X65,4)&lt;&gt;"ERRO",LEFT(Y65,4)&lt;&gt;"ERRO",AA65="OK"),"OK","REVISAR"))</f>
      </c>
    </row>
    <row r="66">
      <c r="A66" s="5"/>
      <c r="B66" s="5"/>
      <c r="C66" s="5"/>
      <c r="D66" s="5"/>
      <c r="E66" s="5"/>
      <c r="F66" s="5"/>
      <c r="G66" s="5"/>
      <c r="H66" s="5"/>
      <c r="I66" s="4"/>
      <c r="J66" s="5"/>
      <c r="K66" s="4"/>
      <c r="L66" s="4"/>
      <c r="M66" s="4"/>
      <c r="N66" s="4"/>
      <c r="O66" s="4"/>
      <c r="P66" s="4"/>
      <c r="Q66" s="4"/>
      <c r="R66" s="4"/>
      <c r="S66" s="4"/>
      <c r="T66" s="6">
        <f>IF(G66="","",SUBSTITUTE(SUBSTITUTE(SUBSTITUTE(SUBSTITUTE(SUBSTITUTE(SUBSTITUTE(SUBSTITUTE(TRIM(G66),".",""),"/",""),"-","")," ",""),"(",""),")",""),"+",""))</f>
      </c>
      <c r="U66" s="6">
        <f>IF(T66="","",IF(LEN(T66)&lt;&gt;14,"ERRO: "&amp;LEN(T66)&amp;" dígitos",IF(NOT(ISNUMBER(VALUE(T66))),"ERRO: não numérico",IF(LEN(SUBSTITUTE(T66,LEFT(T66,1),""))=0,"ERRO: dígitos repetidos",IF(AND(VALUE(MID(T66,13,1))=IF(MOD(SUMPRODUCT(--MID(T66,{1,2,3,4,5,6,7,8,9,10,11,12},1),{5,4,3,2,9,8,7,6,5,4,3,2}),11)&lt;2,0,11-MOD(SUMPRODUCT(--MID(T66,{1,2,3,4,5,6,7,8,9,10,11,12},1),{5,4,3,2,9,8,7,6,5,4,3,2}),11)),VALUE(MID(T66,14,1))=IF(MOD(SUMPRODUCT(--MID(T66,{1,2,3,4,5,6,7,8,9,10,11,12,13},1),{6,5,4,3,2,9,8,7,6,5,4,3,2}),11)&lt;2,0,11-MOD(SUMPRODUCT(--MID(T66,{1,2,3,4,5,6,7,8,9,10,11,12,13},1),{6,5,4,3,2,9,8,7,6,5,4,3,2}),11))),"OK","ERRO: dígito verificador")))))</f>
      </c>
      <c r="V66" s="6">
        <f>IF(T66="","",IF(COUNTIF($T$2:$T$1001,T66)&gt;1,"DUPLICADO","OK"))</f>
      </c>
      <c r="W66" s="6">
        <f>IF(M66="","vazio",IF(OR(AND(LEN(SUBSTITUTE(SUBSTITUTE(SUBSTITUTE(SUBSTITUTE(SUBSTITUTE(SUBSTITUTE(SUBSTITUTE(TRIM(M66),".",""),"/",""),"-","")," ",""),"(",""),")",""),"+",""))=10,LEFT(SUBSTITUTE(SUBSTITUTE(SUBSTITUTE(SUBSTITUTE(SUBSTITUTE(SUBSTITUTE(SUBSTITUTE(TRIM(M66),".",""),"/",""),"-","")," ",""),"(",""),")",""),"+",""),1)&lt;&gt;"0"),AND(LEN(SUBSTITUTE(SUBSTITUTE(SUBSTITUTE(SUBSTITUTE(SUBSTITUTE(SUBSTITUTE(SUBSTITUTE(TRIM(M66),".",""),"/",""),"-","")," ",""),"(",""),")",""),"+",""))=11,LEFT(SUBSTITUTE(SUBSTITUTE(SUBSTITUTE(SUBSTITUTE(SUBSTITUTE(SUBSTITUTE(SUBSTITUTE(TRIM(M66),".",""),"/",""),"-","")," ",""),"(",""),")",""),"+",""),4)="0800")),"OK",IF(AND(LEN(SUBSTITUTE(SUBSTITUTE(SUBSTITUTE(SUBSTITUTE(SUBSTITUTE(SUBSTITUTE(SUBSTITUTE(TRIM(M66),".",""),"/",""),"-","")," ",""),"(",""),")",""),"+",""))=11,MID(SUBSTITUTE(SUBSTITUTE(SUBSTITUTE(SUBSTITUTE(SUBSTITUTE(SUBSTITUTE(SUBSTITUTE(TRIM(M66),".",""),"/",""),"-","")," ",""),"(",""),")",""),"+",""),3,1)="9"),"ERRO: é celular, use a coluna Celular","ERRO: DDD + 8 dígitos ou 0800 + 7")))</f>
      </c>
      <c r="X66" s="6">
        <f>IF(N66="","vazio",IF(AND(LEN(SUBSTITUTE(SUBSTITUTE(SUBSTITUTE(SUBSTITUTE(SUBSTITUTE(SUBSTITUTE(SUBSTITUTE(TRIM(N66),".",""),"/",""),"-","")," ",""),"(",""),")",""),"+",""))=11,MID(SUBSTITUTE(SUBSTITUTE(SUBSTITUTE(SUBSTITUTE(SUBSTITUTE(SUBSTITUTE(SUBSTITUTE(TRIM(N66),".",""),"/",""),"-","")," ",""),"(",""),")",""),"+",""),3,1)="9",LEFT(SUBSTITUTE(SUBSTITUTE(SUBSTITUTE(SUBSTITUTE(SUBSTITUTE(SUBSTITUTE(SUBSTITUTE(TRIM(N66),".",""),"/",""),"-","")," ",""),"(",""),")",""),"+",""),1)&lt;&gt;"0"),"OK",IF(LEN(SUBSTITUTE(SUBSTITUTE(SUBSTITUTE(SUBSTITUTE(SUBSTITUTE(SUBSTITUTE(SUBSTITUTE(TRIM(N66),".",""),"/",""),"-","")," ",""),"(",""),")",""),"+",""))=10,"ERRO: é fixo (ou falta o 9), use a coluna Telefone fixo","ERRO: DDD + 9 + 8 dígitos")))</f>
      </c>
      <c r="Y66" s="6">
        <f>IF(O66="","vazio",IF(AND(ISNUMBER(FIND("@",O66)),ISNUMBER(FIND(".",MID(O66,FIND("@",O66),99))),NOT(ISNUMBER(FIND(" ",TRIM(O66)))),NOT(ISNUMBER(FIND(";",O66))),NOT(ISNUMBER(FIND(",",O66)))),"OK","ERRO: um e-mail válido por linha"))</f>
      </c>
      <c r="Z66" s="6">
        <f>IF(AND(J66="",K66=""),"",IF(AND(J66&lt;&gt;"",K66&lt;&gt;""),"OK","pendente: só um nome (o GR completa ao converter)"))</f>
      </c>
      <c r="AA66" s="6">
        <f>IF(COUNTA(A66:S66)=0,"",IF(AND(A66&lt;&gt;"",B66&lt;&gt;"",C66&lt;&gt;"",D66&lt;&gt;"",E66&lt;&gt;"",F66&lt;&gt;"",G66&lt;&gt;"",H66&lt;&gt;"",OR(J66&lt;&gt;"",K66&lt;&gt;""),OR(M66&lt;&gt;"",N66&lt;&gt;"",O66&lt;&gt;"")),"OK","ERRO: faltam "&amp;IF(A66="","SDR; ","")&amp;IF(B66="","Proprietário; ","")&amp;IF(C66="","Origem; ","")&amp;IF(D66="","Temperatura; ","")&amp;IF(E66="","Segmento; ","")&amp;IF(F66="","Time/Cluster; ","")&amp;IF(G66="","CNPJ; ","")&amp;IF(H66="","Razão Social; ","")&amp;IF(AND(J66="",K66=""),"nome do contato; ","")&amp;IF(AND(M66="",N66="",O66=""),"telefone, celular ou e-mail; ","")))</f>
      </c>
      <c r="AB66" s="6">
        <f>IF(COUNTA(A66:S66)=0,"",IF(AND(U66="OK",V66="OK",LEFT(W66,4)&lt;&gt;"ERRO",LEFT(X66,4)&lt;&gt;"ERRO",LEFT(Y66,4)&lt;&gt;"ERRO",AA66="OK"),"OK","REVISAR"))</f>
      </c>
    </row>
    <row r="67">
      <c r="A67" s="5"/>
      <c r="B67" s="5"/>
      <c r="C67" s="5"/>
      <c r="D67" s="5"/>
      <c r="E67" s="5"/>
      <c r="F67" s="5"/>
      <c r="G67" s="5"/>
      <c r="H67" s="5"/>
      <c r="I67" s="4"/>
      <c r="J67" s="5"/>
      <c r="K67" s="4"/>
      <c r="L67" s="4"/>
      <c r="M67" s="4"/>
      <c r="N67" s="4"/>
      <c r="O67" s="4"/>
      <c r="P67" s="4"/>
      <c r="Q67" s="4"/>
      <c r="R67" s="4"/>
      <c r="S67" s="4"/>
      <c r="T67" s="6">
        <f>IF(G67="","",SUBSTITUTE(SUBSTITUTE(SUBSTITUTE(SUBSTITUTE(SUBSTITUTE(SUBSTITUTE(SUBSTITUTE(TRIM(G67),".",""),"/",""),"-","")," ",""),"(",""),")",""),"+",""))</f>
      </c>
      <c r="U67" s="6">
        <f>IF(T67="","",IF(LEN(T67)&lt;&gt;14,"ERRO: "&amp;LEN(T67)&amp;" dígitos",IF(NOT(ISNUMBER(VALUE(T67))),"ERRO: não numérico",IF(LEN(SUBSTITUTE(T67,LEFT(T67,1),""))=0,"ERRO: dígitos repetidos",IF(AND(VALUE(MID(T67,13,1))=IF(MOD(SUMPRODUCT(--MID(T67,{1,2,3,4,5,6,7,8,9,10,11,12},1),{5,4,3,2,9,8,7,6,5,4,3,2}),11)&lt;2,0,11-MOD(SUMPRODUCT(--MID(T67,{1,2,3,4,5,6,7,8,9,10,11,12},1),{5,4,3,2,9,8,7,6,5,4,3,2}),11)),VALUE(MID(T67,14,1))=IF(MOD(SUMPRODUCT(--MID(T67,{1,2,3,4,5,6,7,8,9,10,11,12,13},1),{6,5,4,3,2,9,8,7,6,5,4,3,2}),11)&lt;2,0,11-MOD(SUMPRODUCT(--MID(T67,{1,2,3,4,5,6,7,8,9,10,11,12,13},1),{6,5,4,3,2,9,8,7,6,5,4,3,2}),11))),"OK","ERRO: dígito verificador")))))</f>
      </c>
      <c r="V67" s="6">
        <f>IF(T67="","",IF(COUNTIF($T$2:$T$1001,T67)&gt;1,"DUPLICADO","OK"))</f>
      </c>
      <c r="W67" s="6">
        <f>IF(M67="","vazio",IF(OR(AND(LEN(SUBSTITUTE(SUBSTITUTE(SUBSTITUTE(SUBSTITUTE(SUBSTITUTE(SUBSTITUTE(SUBSTITUTE(TRIM(M67),".",""),"/",""),"-","")," ",""),"(",""),")",""),"+",""))=10,LEFT(SUBSTITUTE(SUBSTITUTE(SUBSTITUTE(SUBSTITUTE(SUBSTITUTE(SUBSTITUTE(SUBSTITUTE(TRIM(M67),".",""),"/",""),"-","")," ",""),"(",""),")",""),"+",""),1)&lt;&gt;"0"),AND(LEN(SUBSTITUTE(SUBSTITUTE(SUBSTITUTE(SUBSTITUTE(SUBSTITUTE(SUBSTITUTE(SUBSTITUTE(TRIM(M67),".",""),"/",""),"-","")," ",""),"(",""),")",""),"+",""))=11,LEFT(SUBSTITUTE(SUBSTITUTE(SUBSTITUTE(SUBSTITUTE(SUBSTITUTE(SUBSTITUTE(SUBSTITUTE(TRIM(M67),".",""),"/",""),"-","")," ",""),"(",""),")",""),"+",""),4)="0800")),"OK",IF(AND(LEN(SUBSTITUTE(SUBSTITUTE(SUBSTITUTE(SUBSTITUTE(SUBSTITUTE(SUBSTITUTE(SUBSTITUTE(TRIM(M67),".",""),"/",""),"-","")," ",""),"(",""),")",""),"+",""))=11,MID(SUBSTITUTE(SUBSTITUTE(SUBSTITUTE(SUBSTITUTE(SUBSTITUTE(SUBSTITUTE(SUBSTITUTE(TRIM(M67),".",""),"/",""),"-","")," ",""),"(",""),")",""),"+",""),3,1)="9"),"ERRO: é celular, use a coluna Celular","ERRO: DDD + 8 dígitos ou 0800 + 7")))</f>
      </c>
      <c r="X67" s="6">
        <f>IF(N67="","vazio",IF(AND(LEN(SUBSTITUTE(SUBSTITUTE(SUBSTITUTE(SUBSTITUTE(SUBSTITUTE(SUBSTITUTE(SUBSTITUTE(TRIM(N67),".",""),"/",""),"-","")," ",""),"(",""),")",""),"+",""))=11,MID(SUBSTITUTE(SUBSTITUTE(SUBSTITUTE(SUBSTITUTE(SUBSTITUTE(SUBSTITUTE(SUBSTITUTE(TRIM(N67),".",""),"/",""),"-","")," ",""),"(",""),")",""),"+",""),3,1)="9",LEFT(SUBSTITUTE(SUBSTITUTE(SUBSTITUTE(SUBSTITUTE(SUBSTITUTE(SUBSTITUTE(SUBSTITUTE(TRIM(N67),".",""),"/",""),"-","")," ",""),"(",""),")",""),"+",""),1)&lt;&gt;"0"),"OK",IF(LEN(SUBSTITUTE(SUBSTITUTE(SUBSTITUTE(SUBSTITUTE(SUBSTITUTE(SUBSTITUTE(SUBSTITUTE(TRIM(N67),".",""),"/",""),"-","")," ",""),"(",""),")",""),"+",""))=10,"ERRO: é fixo (ou falta o 9), use a coluna Telefone fixo","ERRO: DDD + 9 + 8 dígitos")))</f>
      </c>
      <c r="Y67" s="6">
        <f>IF(O67="","vazio",IF(AND(ISNUMBER(FIND("@",O67)),ISNUMBER(FIND(".",MID(O67,FIND("@",O67),99))),NOT(ISNUMBER(FIND(" ",TRIM(O67)))),NOT(ISNUMBER(FIND(";",O67))),NOT(ISNUMBER(FIND(",",O67)))),"OK","ERRO: um e-mail válido por linha"))</f>
      </c>
      <c r="Z67" s="6">
        <f>IF(AND(J67="",K67=""),"",IF(AND(J67&lt;&gt;"",K67&lt;&gt;""),"OK","pendente: só um nome (o GR completa ao converter)"))</f>
      </c>
      <c r="AA67" s="6">
        <f>IF(COUNTA(A67:S67)=0,"",IF(AND(A67&lt;&gt;"",B67&lt;&gt;"",C67&lt;&gt;"",D67&lt;&gt;"",E67&lt;&gt;"",F67&lt;&gt;"",G67&lt;&gt;"",H67&lt;&gt;"",OR(J67&lt;&gt;"",K67&lt;&gt;""),OR(M67&lt;&gt;"",N67&lt;&gt;"",O67&lt;&gt;"")),"OK","ERRO: faltam "&amp;IF(A67="","SDR; ","")&amp;IF(B67="","Proprietário; ","")&amp;IF(C67="","Origem; ","")&amp;IF(D67="","Temperatura; ","")&amp;IF(E67="","Segmento; ","")&amp;IF(F67="","Time/Cluster; ","")&amp;IF(G67="","CNPJ; ","")&amp;IF(H67="","Razão Social; ","")&amp;IF(AND(J67="",K67=""),"nome do contato; ","")&amp;IF(AND(M67="",N67="",O67=""),"telefone, celular ou e-mail; ","")))</f>
      </c>
      <c r="AB67" s="6">
        <f>IF(COUNTA(A67:S67)=0,"",IF(AND(U67="OK",V67="OK",LEFT(W67,4)&lt;&gt;"ERRO",LEFT(X67,4)&lt;&gt;"ERRO",LEFT(Y67,4)&lt;&gt;"ERRO",AA67="OK"),"OK","REVISAR"))</f>
      </c>
    </row>
    <row r="68">
      <c r="A68" s="5"/>
      <c r="B68" s="5"/>
      <c r="C68" s="5"/>
      <c r="D68" s="5"/>
      <c r="E68" s="5"/>
      <c r="F68" s="5"/>
      <c r="G68" s="5"/>
      <c r="H68" s="5"/>
      <c r="I68" s="4"/>
      <c r="J68" s="5"/>
      <c r="K68" s="4"/>
      <c r="L68" s="4"/>
      <c r="M68" s="4"/>
      <c r="N68" s="4"/>
      <c r="O68" s="4"/>
      <c r="P68" s="4"/>
      <c r="Q68" s="4"/>
      <c r="R68" s="4"/>
      <c r="S68" s="4"/>
      <c r="T68" s="6">
        <f>IF(G68="","",SUBSTITUTE(SUBSTITUTE(SUBSTITUTE(SUBSTITUTE(SUBSTITUTE(SUBSTITUTE(SUBSTITUTE(TRIM(G68),".",""),"/",""),"-","")," ",""),"(",""),")",""),"+",""))</f>
      </c>
      <c r="U68" s="6">
        <f>IF(T68="","",IF(LEN(T68)&lt;&gt;14,"ERRO: "&amp;LEN(T68)&amp;" dígitos",IF(NOT(ISNUMBER(VALUE(T68))),"ERRO: não numérico",IF(LEN(SUBSTITUTE(T68,LEFT(T68,1),""))=0,"ERRO: dígitos repetidos",IF(AND(VALUE(MID(T68,13,1))=IF(MOD(SUMPRODUCT(--MID(T68,{1,2,3,4,5,6,7,8,9,10,11,12},1),{5,4,3,2,9,8,7,6,5,4,3,2}),11)&lt;2,0,11-MOD(SUMPRODUCT(--MID(T68,{1,2,3,4,5,6,7,8,9,10,11,12},1),{5,4,3,2,9,8,7,6,5,4,3,2}),11)),VALUE(MID(T68,14,1))=IF(MOD(SUMPRODUCT(--MID(T68,{1,2,3,4,5,6,7,8,9,10,11,12,13},1),{6,5,4,3,2,9,8,7,6,5,4,3,2}),11)&lt;2,0,11-MOD(SUMPRODUCT(--MID(T68,{1,2,3,4,5,6,7,8,9,10,11,12,13},1),{6,5,4,3,2,9,8,7,6,5,4,3,2}),11))),"OK","ERRO: dígito verificador")))))</f>
      </c>
      <c r="V68" s="6">
        <f>IF(T68="","",IF(COUNTIF($T$2:$T$1001,T68)&gt;1,"DUPLICADO","OK"))</f>
      </c>
      <c r="W68" s="6">
        <f>IF(M68="","vazio",IF(OR(AND(LEN(SUBSTITUTE(SUBSTITUTE(SUBSTITUTE(SUBSTITUTE(SUBSTITUTE(SUBSTITUTE(SUBSTITUTE(TRIM(M68),".",""),"/",""),"-","")," ",""),"(",""),")",""),"+",""))=10,LEFT(SUBSTITUTE(SUBSTITUTE(SUBSTITUTE(SUBSTITUTE(SUBSTITUTE(SUBSTITUTE(SUBSTITUTE(TRIM(M68),".",""),"/",""),"-","")," ",""),"(",""),")",""),"+",""),1)&lt;&gt;"0"),AND(LEN(SUBSTITUTE(SUBSTITUTE(SUBSTITUTE(SUBSTITUTE(SUBSTITUTE(SUBSTITUTE(SUBSTITUTE(TRIM(M68),".",""),"/",""),"-","")," ",""),"(",""),")",""),"+",""))=11,LEFT(SUBSTITUTE(SUBSTITUTE(SUBSTITUTE(SUBSTITUTE(SUBSTITUTE(SUBSTITUTE(SUBSTITUTE(TRIM(M68),".",""),"/",""),"-","")," ",""),"(",""),")",""),"+",""),4)="0800")),"OK",IF(AND(LEN(SUBSTITUTE(SUBSTITUTE(SUBSTITUTE(SUBSTITUTE(SUBSTITUTE(SUBSTITUTE(SUBSTITUTE(TRIM(M68),".",""),"/",""),"-","")," ",""),"(",""),")",""),"+",""))=11,MID(SUBSTITUTE(SUBSTITUTE(SUBSTITUTE(SUBSTITUTE(SUBSTITUTE(SUBSTITUTE(SUBSTITUTE(TRIM(M68),".",""),"/",""),"-","")," ",""),"(",""),")",""),"+",""),3,1)="9"),"ERRO: é celular, use a coluna Celular","ERRO: DDD + 8 dígitos ou 0800 + 7")))</f>
      </c>
      <c r="X68" s="6">
        <f>IF(N68="","vazio",IF(AND(LEN(SUBSTITUTE(SUBSTITUTE(SUBSTITUTE(SUBSTITUTE(SUBSTITUTE(SUBSTITUTE(SUBSTITUTE(TRIM(N68),".",""),"/",""),"-","")," ",""),"(",""),")",""),"+",""))=11,MID(SUBSTITUTE(SUBSTITUTE(SUBSTITUTE(SUBSTITUTE(SUBSTITUTE(SUBSTITUTE(SUBSTITUTE(TRIM(N68),".",""),"/",""),"-","")," ",""),"(",""),")",""),"+",""),3,1)="9",LEFT(SUBSTITUTE(SUBSTITUTE(SUBSTITUTE(SUBSTITUTE(SUBSTITUTE(SUBSTITUTE(SUBSTITUTE(TRIM(N68),".",""),"/",""),"-","")," ",""),"(",""),")",""),"+",""),1)&lt;&gt;"0"),"OK",IF(LEN(SUBSTITUTE(SUBSTITUTE(SUBSTITUTE(SUBSTITUTE(SUBSTITUTE(SUBSTITUTE(SUBSTITUTE(TRIM(N68),".",""),"/",""),"-","")," ",""),"(",""),")",""),"+",""))=10,"ERRO: é fixo (ou falta o 9), use a coluna Telefone fixo","ERRO: DDD + 9 + 8 dígitos")))</f>
      </c>
      <c r="Y68" s="6">
        <f>IF(O68="","vazio",IF(AND(ISNUMBER(FIND("@",O68)),ISNUMBER(FIND(".",MID(O68,FIND("@",O68),99))),NOT(ISNUMBER(FIND(" ",TRIM(O68)))),NOT(ISNUMBER(FIND(";",O68))),NOT(ISNUMBER(FIND(",",O68)))),"OK","ERRO: um e-mail válido por linha"))</f>
      </c>
      <c r="Z68" s="6">
        <f>IF(AND(J68="",K68=""),"",IF(AND(J68&lt;&gt;"",K68&lt;&gt;""),"OK","pendente: só um nome (o GR completa ao converter)"))</f>
      </c>
      <c r="AA68" s="6">
        <f>IF(COUNTA(A68:S68)=0,"",IF(AND(A68&lt;&gt;"",B68&lt;&gt;"",C68&lt;&gt;"",D68&lt;&gt;"",E68&lt;&gt;"",F68&lt;&gt;"",G68&lt;&gt;"",H68&lt;&gt;"",OR(J68&lt;&gt;"",K68&lt;&gt;""),OR(M68&lt;&gt;"",N68&lt;&gt;"",O68&lt;&gt;"")),"OK","ERRO: faltam "&amp;IF(A68="","SDR; ","")&amp;IF(B68="","Proprietário; ","")&amp;IF(C68="","Origem; ","")&amp;IF(D68="","Temperatura; ","")&amp;IF(E68="","Segmento; ","")&amp;IF(F68="","Time/Cluster; ","")&amp;IF(G68="","CNPJ; ","")&amp;IF(H68="","Razão Social; ","")&amp;IF(AND(J68="",K68=""),"nome do contato; ","")&amp;IF(AND(M68="",N68="",O68=""),"telefone, celular ou e-mail; ","")))</f>
      </c>
      <c r="AB68" s="6">
        <f>IF(COUNTA(A68:S68)=0,"",IF(AND(U68="OK",V68="OK",LEFT(W68,4)&lt;&gt;"ERRO",LEFT(X68,4)&lt;&gt;"ERRO",LEFT(Y68,4)&lt;&gt;"ERRO",AA68="OK"),"OK","REVISAR"))</f>
      </c>
    </row>
    <row r="69">
      <c r="A69" s="5"/>
      <c r="B69" s="5"/>
      <c r="C69" s="5"/>
      <c r="D69" s="5"/>
      <c r="E69" s="5"/>
      <c r="F69" s="5"/>
      <c r="G69" s="5"/>
      <c r="H69" s="5"/>
      <c r="I69" s="4"/>
      <c r="J69" s="5"/>
      <c r="K69" s="4"/>
      <c r="L69" s="4"/>
      <c r="M69" s="4"/>
      <c r="N69" s="4"/>
      <c r="O69" s="4"/>
      <c r="P69" s="4"/>
      <c r="Q69" s="4"/>
      <c r="R69" s="4"/>
      <c r="S69" s="4"/>
      <c r="T69" s="6">
        <f>IF(G69="","",SUBSTITUTE(SUBSTITUTE(SUBSTITUTE(SUBSTITUTE(SUBSTITUTE(SUBSTITUTE(SUBSTITUTE(TRIM(G69),".",""),"/",""),"-","")," ",""),"(",""),")",""),"+",""))</f>
      </c>
      <c r="U69" s="6">
        <f>IF(T69="","",IF(LEN(T69)&lt;&gt;14,"ERRO: "&amp;LEN(T69)&amp;" dígitos",IF(NOT(ISNUMBER(VALUE(T69))),"ERRO: não numérico",IF(LEN(SUBSTITUTE(T69,LEFT(T69,1),""))=0,"ERRO: dígitos repetidos",IF(AND(VALUE(MID(T69,13,1))=IF(MOD(SUMPRODUCT(--MID(T69,{1,2,3,4,5,6,7,8,9,10,11,12},1),{5,4,3,2,9,8,7,6,5,4,3,2}),11)&lt;2,0,11-MOD(SUMPRODUCT(--MID(T69,{1,2,3,4,5,6,7,8,9,10,11,12},1),{5,4,3,2,9,8,7,6,5,4,3,2}),11)),VALUE(MID(T69,14,1))=IF(MOD(SUMPRODUCT(--MID(T69,{1,2,3,4,5,6,7,8,9,10,11,12,13},1),{6,5,4,3,2,9,8,7,6,5,4,3,2}),11)&lt;2,0,11-MOD(SUMPRODUCT(--MID(T69,{1,2,3,4,5,6,7,8,9,10,11,12,13},1),{6,5,4,3,2,9,8,7,6,5,4,3,2}),11))),"OK","ERRO: dígito verificador")))))</f>
      </c>
      <c r="V69" s="6">
        <f>IF(T69="","",IF(COUNTIF($T$2:$T$1001,T69)&gt;1,"DUPLICADO","OK"))</f>
      </c>
      <c r="W69" s="6">
        <f>IF(M69="","vazio",IF(OR(AND(LEN(SUBSTITUTE(SUBSTITUTE(SUBSTITUTE(SUBSTITUTE(SUBSTITUTE(SUBSTITUTE(SUBSTITUTE(TRIM(M69),".",""),"/",""),"-","")," ",""),"(",""),")",""),"+",""))=10,LEFT(SUBSTITUTE(SUBSTITUTE(SUBSTITUTE(SUBSTITUTE(SUBSTITUTE(SUBSTITUTE(SUBSTITUTE(TRIM(M69),".",""),"/",""),"-","")," ",""),"(",""),")",""),"+",""),1)&lt;&gt;"0"),AND(LEN(SUBSTITUTE(SUBSTITUTE(SUBSTITUTE(SUBSTITUTE(SUBSTITUTE(SUBSTITUTE(SUBSTITUTE(TRIM(M69),".",""),"/",""),"-","")," ",""),"(",""),")",""),"+",""))=11,LEFT(SUBSTITUTE(SUBSTITUTE(SUBSTITUTE(SUBSTITUTE(SUBSTITUTE(SUBSTITUTE(SUBSTITUTE(TRIM(M69),".",""),"/",""),"-","")," ",""),"(",""),")",""),"+",""),4)="0800")),"OK",IF(AND(LEN(SUBSTITUTE(SUBSTITUTE(SUBSTITUTE(SUBSTITUTE(SUBSTITUTE(SUBSTITUTE(SUBSTITUTE(TRIM(M69),".",""),"/",""),"-","")," ",""),"(",""),")",""),"+",""))=11,MID(SUBSTITUTE(SUBSTITUTE(SUBSTITUTE(SUBSTITUTE(SUBSTITUTE(SUBSTITUTE(SUBSTITUTE(TRIM(M69),".",""),"/",""),"-","")," ",""),"(",""),")",""),"+",""),3,1)="9"),"ERRO: é celular, use a coluna Celular","ERRO: DDD + 8 dígitos ou 0800 + 7")))</f>
      </c>
      <c r="X69" s="6">
        <f>IF(N69="","vazio",IF(AND(LEN(SUBSTITUTE(SUBSTITUTE(SUBSTITUTE(SUBSTITUTE(SUBSTITUTE(SUBSTITUTE(SUBSTITUTE(TRIM(N69),".",""),"/",""),"-","")," ",""),"(",""),")",""),"+",""))=11,MID(SUBSTITUTE(SUBSTITUTE(SUBSTITUTE(SUBSTITUTE(SUBSTITUTE(SUBSTITUTE(SUBSTITUTE(TRIM(N69),".",""),"/",""),"-","")," ",""),"(",""),")",""),"+",""),3,1)="9",LEFT(SUBSTITUTE(SUBSTITUTE(SUBSTITUTE(SUBSTITUTE(SUBSTITUTE(SUBSTITUTE(SUBSTITUTE(TRIM(N69),".",""),"/",""),"-","")," ",""),"(",""),")",""),"+",""),1)&lt;&gt;"0"),"OK",IF(LEN(SUBSTITUTE(SUBSTITUTE(SUBSTITUTE(SUBSTITUTE(SUBSTITUTE(SUBSTITUTE(SUBSTITUTE(TRIM(N69),".",""),"/",""),"-","")," ",""),"(",""),")",""),"+",""))=10,"ERRO: é fixo (ou falta o 9), use a coluna Telefone fixo","ERRO: DDD + 9 + 8 dígitos")))</f>
      </c>
      <c r="Y69" s="6">
        <f>IF(O69="","vazio",IF(AND(ISNUMBER(FIND("@",O69)),ISNUMBER(FIND(".",MID(O69,FIND("@",O69),99))),NOT(ISNUMBER(FIND(" ",TRIM(O69)))),NOT(ISNUMBER(FIND(";",O69))),NOT(ISNUMBER(FIND(",",O69)))),"OK","ERRO: um e-mail válido por linha"))</f>
      </c>
      <c r="Z69" s="6">
        <f>IF(AND(J69="",K69=""),"",IF(AND(J69&lt;&gt;"",K69&lt;&gt;""),"OK","pendente: só um nome (o GR completa ao converter)"))</f>
      </c>
      <c r="AA69" s="6">
        <f>IF(COUNTA(A69:S69)=0,"",IF(AND(A69&lt;&gt;"",B69&lt;&gt;"",C69&lt;&gt;"",D69&lt;&gt;"",E69&lt;&gt;"",F69&lt;&gt;"",G69&lt;&gt;"",H69&lt;&gt;"",OR(J69&lt;&gt;"",K69&lt;&gt;""),OR(M69&lt;&gt;"",N69&lt;&gt;"",O69&lt;&gt;"")),"OK","ERRO: faltam "&amp;IF(A69="","SDR; ","")&amp;IF(B69="","Proprietário; ","")&amp;IF(C69="","Origem; ","")&amp;IF(D69="","Temperatura; ","")&amp;IF(E69="","Segmento; ","")&amp;IF(F69="","Time/Cluster; ","")&amp;IF(G69="","CNPJ; ","")&amp;IF(H69="","Razão Social; ","")&amp;IF(AND(J69="",K69=""),"nome do contato; ","")&amp;IF(AND(M69="",N69="",O69=""),"telefone, celular ou e-mail; ","")))</f>
      </c>
      <c r="AB69" s="6">
        <f>IF(COUNTA(A69:S69)=0,"",IF(AND(U69="OK",V69="OK",LEFT(W69,4)&lt;&gt;"ERRO",LEFT(X69,4)&lt;&gt;"ERRO",LEFT(Y69,4)&lt;&gt;"ERRO",AA69="OK"),"OK","REVISAR"))</f>
      </c>
    </row>
    <row r="70">
      <c r="A70" s="5"/>
      <c r="B70" s="5"/>
      <c r="C70" s="5"/>
      <c r="D70" s="5"/>
      <c r="E70" s="5"/>
      <c r="F70" s="5"/>
      <c r="G70" s="5"/>
      <c r="H70" s="5"/>
      <c r="I70" s="4"/>
      <c r="J70" s="5"/>
      <c r="K70" s="4"/>
      <c r="L70" s="4"/>
      <c r="M70" s="4"/>
      <c r="N70" s="4"/>
      <c r="O70" s="4"/>
      <c r="P70" s="4"/>
      <c r="Q70" s="4"/>
      <c r="R70" s="4"/>
      <c r="S70" s="4"/>
      <c r="T70" s="6">
        <f>IF(G70="","",SUBSTITUTE(SUBSTITUTE(SUBSTITUTE(SUBSTITUTE(SUBSTITUTE(SUBSTITUTE(SUBSTITUTE(TRIM(G70),".",""),"/",""),"-","")," ",""),"(",""),")",""),"+",""))</f>
      </c>
      <c r="U70" s="6">
        <f>IF(T70="","",IF(LEN(T70)&lt;&gt;14,"ERRO: "&amp;LEN(T70)&amp;" dígitos",IF(NOT(ISNUMBER(VALUE(T70))),"ERRO: não numérico",IF(LEN(SUBSTITUTE(T70,LEFT(T70,1),""))=0,"ERRO: dígitos repetidos",IF(AND(VALUE(MID(T70,13,1))=IF(MOD(SUMPRODUCT(--MID(T70,{1,2,3,4,5,6,7,8,9,10,11,12},1),{5,4,3,2,9,8,7,6,5,4,3,2}),11)&lt;2,0,11-MOD(SUMPRODUCT(--MID(T70,{1,2,3,4,5,6,7,8,9,10,11,12},1),{5,4,3,2,9,8,7,6,5,4,3,2}),11)),VALUE(MID(T70,14,1))=IF(MOD(SUMPRODUCT(--MID(T70,{1,2,3,4,5,6,7,8,9,10,11,12,13},1),{6,5,4,3,2,9,8,7,6,5,4,3,2}),11)&lt;2,0,11-MOD(SUMPRODUCT(--MID(T70,{1,2,3,4,5,6,7,8,9,10,11,12,13},1),{6,5,4,3,2,9,8,7,6,5,4,3,2}),11))),"OK","ERRO: dígito verificador")))))</f>
      </c>
      <c r="V70" s="6">
        <f>IF(T70="","",IF(COUNTIF($T$2:$T$1001,T70)&gt;1,"DUPLICADO","OK"))</f>
      </c>
      <c r="W70" s="6">
        <f>IF(M70="","vazio",IF(OR(AND(LEN(SUBSTITUTE(SUBSTITUTE(SUBSTITUTE(SUBSTITUTE(SUBSTITUTE(SUBSTITUTE(SUBSTITUTE(TRIM(M70),".",""),"/",""),"-","")," ",""),"(",""),")",""),"+",""))=10,LEFT(SUBSTITUTE(SUBSTITUTE(SUBSTITUTE(SUBSTITUTE(SUBSTITUTE(SUBSTITUTE(SUBSTITUTE(TRIM(M70),".",""),"/",""),"-","")," ",""),"(",""),")",""),"+",""),1)&lt;&gt;"0"),AND(LEN(SUBSTITUTE(SUBSTITUTE(SUBSTITUTE(SUBSTITUTE(SUBSTITUTE(SUBSTITUTE(SUBSTITUTE(TRIM(M70),".",""),"/",""),"-","")," ",""),"(",""),")",""),"+",""))=11,LEFT(SUBSTITUTE(SUBSTITUTE(SUBSTITUTE(SUBSTITUTE(SUBSTITUTE(SUBSTITUTE(SUBSTITUTE(TRIM(M70),".",""),"/",""),"-","")," ",""),"(",""),")",""),"+",""),4)="0800")),"OK",IF(AND(LEN(SUBSTITUTE(SUBSTITUTE(SUBSTITUTE(SUBSTITUTE(SUBSTITUTE(SUBSTITUTE(SUBSTITUTE(TRIM(M70),".",""),"/",""),"-","")," ",""),"(",""),")",""),"+",""))=11,MID(SUBSTITUTE(SUBSTITUTE(SUBSTITUTE(SUBSTITUTE(SUBSTITUTE(SUBSTITUTE(SUBSTITUTE(TRIM(M70),".",""),"/",""),"-","")," ",""),"(",""),")",""),"+",""),3,1)="9"),"ERRO: é celular, use a coluna Celular","ERRO: DDD + 8 dígitos ou 0800 + 7")))</f>
      </c>
      <c r="X70" s="6">
        <f>IF(N70="","vazio",IF(AND(LEN(SUBSTITUTE(SUBSTITUTE(SUBSTITUTE(SUBSTITUTE(SUBSTITUTE(SUBSTITUTE(SUBSTITUTE(TRIM(N70),".",""),"/",""),"-","")," ",""),"(",""),")",""),"+",""))=11,MID(SUBSTITUTE(SUBSTITUTE(SUBSTITUTE(SUBSTITUTE(SUBSTITUTE(SUBSTITUTE(SUBSTITUTE(TRIM(N70),".",""),"/",""),"-","")," ",""),"(",""),")",""),"+",""),3,1)="9",LEFT(SUBSTITUTE(SUBSTITUTE(SUBSTITUTE(SUBSTITUTE(SUBSTITUTE(SUBSTITUTE(SUBSTITUTE(TRIM(N70),".",""),"/",""),"-","")," ",""),"(",""),")",""),"+",""),1)&lt;&gt;"0"),"OK",IF(LEN(SUBSTITUTE(SUBSTITUTE(SUBSTITUTE(SUBSTITUTE(SUBSTITUTE(SUBSTITUTE(SUBSTITUTE(TRIM(N70),".",""),"/",""),"-","")," ",""),"(",""),")",""),"+",""))=10,"ERRO: é fixo (ou falta o 9), use a coluna Telefone fixo","ERRO: DDD + 9 + 8 dígitos")))</f>
      </c>
      <c r="Y70" s="6">
        <f>IF(O70="","vazio",IF(AND(ISNUMBER(FIND("@",O70)),ISNUMBER(FIND(".",MID(O70,FIND("@",O70),99))),NOT(ISNUMBER(FIND(" ",TRIM(O70)))),NOT(ISNUMBER(FIND(";",O70))),NOT(ISNUMBER(FIND(",",O70)))),"OK","ERRO: um e-mail válido por linha"))</f>
      </c>
      <c r="Z70" s="6">
        <f>IF(AND(J70="",K70=""),"",IF(AND(J70&lt;&gt;"",K70&lt;&gt;""),"OK","pendente: só um nome (o GR completa ao converter)"))</f>
      </c>
      <c r="AA70" s="6">
        <f>IF(COUNTA(A70:S70)=0,"",IF(AND(A70&lt;&gt;"",B70&lt;&gt;"",C70&lt;&gt;"",D70&lt;&gt;"",E70&lt;&gt;"",F70&lt;&gt;"",G70&lt;&gt;"",H70&lt;&gt;"",OR(J70&lt;&gt;"",K70&lt;&gt;""),OR(M70&lt;&gt;"",N70&lt;&gt;"",O70&lt;&gt;"")),"OK","ERRO: faltam "&amp;IF(A70="","SDR; ","")&amp;IF(B70="","Proprietário; ","")&amp;IF(C70="","Origem; ","")&amp;IF(D70="","Temperatura; ","")&amp;IF(E70="","Segmento; ","")&amp;IF(F70="","Time/Cluster; ","")&amp;IF(G70="","CNPJ; ","")&amp;IF(H70="","Razão Social; ","")&amp;IF(AND(J70="",K70=""),"nome do contato; ","")&amp;IF(AND(M70="",N70="",O70=""),"telefone, celular ou e-mail; ","")))</f>
      </c>
      <c r="AB70" s="6">
        <f>IF(COUNTA(A70:S70)=0,"",IF(AND(U70="OK",V70="OK",LEFT(W70,4)&lt;&gt;"ERRO",LEFT(X70,4)&lt;&gt;"ERRO",LEFT(Y70,4)&lt;&gt;"ERRO",AA70="OK"),"OK","REVISAR"))</f>
      </c>
    </row>
    <row r="71">
      <c r="A71" s="5"/>
      <c r="B71" s="5"/>
      <c r="C71" s="5"/>
      <c r="D71" s="5"/>
      <c r="E71" s="5"/>
      <c r="F71" s="5"/>
      <c r="G71" s="5"/>
      <c r="H71" s="5"/>
      <c r="I71" s="4"/>
      <c r="J71" s="5"/>
      <c r="K71" s="4"/>
      <c r="L71" s="4"/>
      <c r="M71" s="4"/>
      <c r="N71" s="4"/>
      <c r="O71" s="4"/>
      <c r="P71" s="4"/>
      <c r="Q71" s="4"/>
      <c r="R71" s="4"/>
      <c r="S71" s="4"/>
      <c r="T71" s="6">
        <f>IF(G71="","",SUBSTITUTE(SUBSTITUTE(SUBSTITUTE(SUBSTITUTE(SUBSTITUTE(SUBSTITUTE(SUBSTITUTE(TRIM(G71),".",""),"/",""),"-","")," ",""),"(",""),")",""),"+",""))</f>
      </c>
      <c r="U71" s="6">
        <f>IF(T71="","",IF(LEN(T71)&lt;&gt;14,"ERRO: "&amp;LEN(T71)&amp;" dígitos",IF(NOT(ISNUMBER(VALUE(T71))),"ERRO: não numérico",IF(LEN(SUBSTITUTE(T71,LEFT(T71,1),""))=0,"ERRO: dígitos repetidos",IF(AND(VALUE(MID(T71,13,1))=IF(MOD(SUMPRODUCT(--MID(T71,{1,2,3,4,5,6,7,8,9,10,11,12},1),{5,4,3,2,9,8,7,6,5,4,3,2}),11)&lt;2,0,11-MOD(SUMPRODUCT(--MID(T71,{1,2,3,4,5,6,7,8,9,10,11,12},1),{5,4,3,2,9,8,7,6,5,4,3,2}),11)),VALUE(MID(T71,14,1))=IF(MOD(SUMPRODUCT(--MID(T71,{1,2,3,4,5,6,7,8,9,10,11,12,13},1),{6,5,4,3,2,9,8,7,6,5,4,3,2}),11)&lt;2,0,11-MOD(SUMPRODUCT(--MID(T71,{1,2,3,4,5,6,7,8,9,10,11,12,13},1),{6,5,4,3,2,9,8,7,6,5,4,3,2}),11))),"OK","ERRO: dígito verificador")))))</f>
      </c>
      <c r="V71" s="6">
        <f>IF(T71="","",IF(COUNTIF($T$2:$T$1001,T71)&gt;1,"DUPLICADO","OK"))</f>
      </c>
      <c r="W71" s="6">
        <f>IF(M71="","vazio",IF(OR(AND(LEN(SUBSTITUTE(SUBSTITUTE(SUBSTITUTE(SUBSTITUTE(SUBSTITUTE(SUBSTITUTE(SUBSTITUTE(TRIM(M71),".",""),"/",""),"-","")," ",""),"(",""),")",""),"+",""))=10,LEFT(SUBSTITUTE(SUBSTITUTE(SUBSTITUTE(SUBSTITUTE(SUBSTITUTE(SUBSTITUTE(SUBSTITUTE(TRIM(M71),".",""),"/",""),"-","")," ",""),"(",""),")",""),"+",""),1)&lt;&gt;"0"),AND(LEN(SUBSTITUTE(SUBSTITUTE(SUBSTITUTE(SUBSTITUTE(SUBSTITUTE(SUBSTITUTE(SUBSTITUTE(TRIM(M71),".",""),"/",""),"-","")," ",""),"(",""),")",""),"+",""))=11,LEFT(SUBSTITUTE(SUBSTITUTE(SUBSTITUTE(SUBSTITUTE(SUBSTITUTE(SUBSTITUTE(SUBSTITUTE(TRIM(M71),".",""),"/",""),"-","")," ",""),"(",""),")",""),"+",""),4)="0800")),"OK",IF(AND(LEN(SUBSTITUTE(SUBSTITUTE(SUBSTITUTE(SUBSTITUTE(SUBSTITUTE(SUBSTITUTE(SUBSTITUTE(TRIM(M71),".",""),"/",""),"-","")," ",""),"(",""),")",""),"+",""))=11,MID(SUBSTITUTE(SUBSTITUTE(SUBSTITUTE(SUBSTITUTE(SUBSTITUTE(SUBSTITUTE(SUBSTITUTE(TRIM(M71),".",""),"/",""),"-","")," ",""),"(",""),")",""),"+",""),3,1)="9"),"ERRO: é celular, use a coluna Celular","ERRO: DDD + 8 dígitos ou 0800 + 7")))</f>
      </c>
      <c r="X71" s="6">
        <f>IF(N71="","vazio",IF(AND(LEN(SUBSTITUTE(SUBSTITUTE(SUBSTITUTE(SUBSTITUTE(SUBSTITUTE(SUBSTITUTE(SUBSTITUTE(TRIM(N71),".",""),"/",""),"-","")," ",""),"(",""),")",""),"+",""))=11,MID(SUBSTITUTE(SUBSTITUTE(SUBSTITUTE(SUBSTITUTE(SUBSTITUTE(SUBSTITUTE(SUBSTITUTE(TRIM(N71),".",""),"/",""),"-","")," ",""),"(",""),")",""),"+",""),3,1)="9",LEFT(SUBSTITUTE(SUBSTITUTE(SUBSTITUTE(SUBSTITUTE(SUBSTITUTE(SUBSTITUTE(SUBSTITUTE(TRIM(N71),".",""),"/",""),"-","")," ",""),"(",""),")",""),"+",""),1)&lt;&gt;"0"),"OK",IF(LEN(SUBSTITUTE(SUBSTITUTE(SUBSTITUTE(SUBSTITUTE(SUBSTITUTE(SUBSTITUTE(SUBSTITUTE(TRIM(N71),".",""),"/",""),"-","")," ",""),"(",""),")",""),"+",""))=10,"ERRO: é fixo (ou falta o 9), use a coluna Telefone fixo","ERRO: DDD + 9 + 8 dígitos")))</f>
      </c>
      <c r="Y71" s="6">
        <f>IF(O71="","vazio",IF(AND(ISNUMBER(FIND("@",O71)),ISNUMBER(FIND(".",MID(O71,FIND("@",O71),99))),NOT(ISNUMBER(FIND(" ",TRIM(O71)))),NOT(ISNUMBER(FIND(";",O71))),NOT(ISNUMBER(FIND(",",O71)))),"OK","ERRO: um e-mail válido por linha"))</f>
      </c>
      <c r="Z71" s="6">
        <f>IF(AND(J71="",K71=""),"",IF(AND(J71&lt;&gt;"",K71&lt;&gt;""),"OK","pendente: só um nome (o GR completa ao converter)"))</f>
      </c>
      <c r="AA71" s="6">
        <f>IF(COUNTA(A71:S71)=0,"",IF(AND(A71&lt;&gt;"",B71&lt;&gt;"",C71&lt;&gt;"",D71&lt;&gt;"",E71&lt;&gt;"",F71&lt;&gt;"",G71&lt;&gt;"",H71&lt;&gt;"",OR(J71&lt;&gt;"",K71&lt;&gt;""),OR(M71&lt;&gt;"",N71&lt;&gt;"",O71&lt;&gt;"")),"OK","ERRO: faltam "&amp;IF(A71="","SDR; ","")&amp;IF(B71="","Proprietário; ","")&amp;IF(C71="","Origem; ","")&amp;IF(D71="","Temperatura; ","")&amp;IF(E71="","Segmento; ","")&amp;IF(F71="","Time/Cluster; ","")&amp;IF(G71="","CNPJ; ","")&amp;IF(H71="","Razão Social; ","")&amp;IF(AND(J71="",K71=""),"nome do contato; ","")&amp;IF(AND(M71="",N71="",O71=""),"telefone, celular ou e-mail; ","")))</f>
      </c>
      <c r="AB71" s="6">
        <f>IF(COUNTA(A71:S71)=0,"",IF(AND(U71="OK",V71="OK",LEFT(W71,4)&lt;&gt;"ERRO",LEFT(X71,4)&lt;&gt;"ERRO",LEFT(Y71,4)&lt;&gt;"ERRO",AA71="OK"),"OK","REVISAR"))</f>
      </c>
    </row>
    <row r="72">
      <c r="A72" s="5"/>
      <c r="B72" s="5"/>
      <c r="C72" s="5"/>
      <c r="D72" s="5"/>
      <c r="E72" s="5"/>
      <c r="F72" s="5"/>
      <c r="G72" s="5"/>
      <c r="H72" s="5"/>
      <c r="I72" s="4"/>
      <c r="J72" s="5"/>
      <c r="K72" s="4"/>
      <c r="L72" s="4"/>
      <c r="M72" s="4"/>
      <c r="N72" s="4"/>
      <c r="O72" s="4"/>
      <c r="P72" s="4"/>
      <c r="Q72" s="4"/>
      <c r="R72" s="4"/>
      <c r="S72" s="4"/>
      <c r="T72" s="6">
        <f>IF(G72="","",SUBSTITUTE(SUBSTITUTE(SUBSTITUTE(SUBSTITUTE(SUBSTITUTE(SUBSTITUTE(SUBSTITUTE(TRIM(G72),".",""),"/",""),"-","")," ",""),"(",""),")",""),"+",""))</f>
      </c>
      <c r="U72" s="6">
        <f>IF(T72="","",IF(LEN(T72)&lt;&gt;14,"ERRO: "&amp;LEN(T72)&amp;" dígitos",IF(NOT(ISNUMBER(VALUE(T72))),"ERRO: não numérico",IF(LEN(SUBSTITUTE(T72,LEFT(T72,1),""))=0,"ERRO: dígitos repetidos",IF(AND(VALUE(MID(T72,13,1))=IF(MOD(SUMPRODUCT(--MID(T72,{1,2,3,4,5,6,7,8,9,10,11,12},1),{5,4,3,2,9,8,7,6,5,4,3,2}),11)&lt;2,0,11-MOD(SUMPRODUCT(--MID(T72,{1,2,3,4,5,6,7,8,9,10,11,12},1),{5,4,3,2,9,8,7,6,5,4,3,2}),11)),VALUE(MID(T72,14,1))=IF(MOD(SUMPRODUCT(--MID(T72,{1,2,3,4,5,6,7,8,9,10,11,12,13},1),{6,5,4,3,2,9,8,7,6,5,4,3,2}),11)&lt;2,0,11-MOD(SUMPRODUCT(--MID(T72,{1,2,3,4,5,6,7,8,9,10,11,12,13},1),{6,5,4,3,2,9,8,7,6,5,4,3,2}),11))),"OK","ERRO: dígito verificador")))))</f>
      </c>
      <c r="V72" s="6">
        <f>IF(T72="","",IF(COUNTIF($T$2:$T$1001,T72)&gt;1,"DUPLICADO","OK"))</f>
      </c>
      <c r="W72" s="6">
        <f>IF(M72="","vazio",IF(OR(AND(LEN(SUBSTITUTE(SUBSTITUTE(SUBSTITUTE(SUBSTITUTE(SUBSTITUTE(SUBSTITUTE(SUBSTITUTE(TRIM(M72),".",""),"/",""),"-","")," ",""),"(",""),")",""),"+",""))=10,LEFT(SUBSTITUTE(SUBSTITUTE(SUBSTITUTE(SUBSTITUTE(SUBSTITUTE(SUBSTITUTE(SUBSTITUTE(TRIM(M72),".",""),"/",""),"-","")," ",""),"(",""),")",""),"+",""),1)&lt;&gt;"0"),AND(LEN(SUBSTITUTE(SUBSTITUTE(SUBSTITUTE(SUBSTITUTE(SUBSTITUTE(SUBSTITUTE(SUBSTITUTE(TRIM(M72),".",""),"/",""),"-","")," ",""),"(",""),")",""),"+",""))=11,LEFT(SUBSTITUTE(SUBSTITUTE(SUBSTITUTE(SUBSTITUTE(SUBSTITUTE(SUBSTITUTE(SUBSTITUTE(TRIM(M72),".",""),"/",""),"-","")," ",""),"(",""),")",""),"+",""),4)="0800")),"OK",IF(AND(LEN(SUBSTITUTE(SUBSTITUTE(SUBSTITUTE(SUBSTITUTE(SUBSTITUTE(SUBSTITUTE(SUBSTITUTE(TRIM(M72),".",""),"/",""),"-","")," ",""),"(",""),")",""),"+",""))=11,MID(SUBSTITUTE(SUBSTITUTE(SUBSTITUTE(SUBSTITUTE(SUBSTITUTE(SUBSTITUTE(SUBSTITUTE(TRIM(M72),".",""),"/",""),"-","")," ",""),"(",""),")",""),"+",""),3,1)="9"),"ERRO: é celular, use a coluna Celular","ERRO: DDD + 8 dígitos ou 0800 + 7")))</f>
      </c>
      <c r="X72" s="6">
        <f>IF(N72="","vazio",IF(AND(LEN(SUBSTITUTE(SUBSTITUTE(SUBSTITUTE(SUBSTITUTE(SUBSTITUTE(SUBSTITUTE(SUBSTITUTE(TRIM(N72),".",""),"/",""),"-","")," ",""),"(",""),")",""),"+",""))=11,MID(SUBSTITUTE(SUBSTITUTE(SUBSTITUTE(SUBSTITUTE(SUBSTITUTE(SUBSTITUTE(SUBSTITUTE(TRIM(N72),".",""),"/",""),"-","")," ",""),"(",""),")",""),"+",""),3,1)="9",LEFT(SUBSTITUTE(SUBSTITUTE(SUBSTITUTE(SUBSTITUTE(SUBSTITUTE(SUBSTITUTE(SUBSTITUTE(TRIM(N72),".",""),"/",""),"-","")," ",""),"(",""),")",""),"+",""),1)&lt;&gt;"0"),"OK",IF(LEN(SUBSTITUTE(SUBSTITUTE(SUBSTITUTE(SUBSTITUTE(SUBSTITUTE(SUBSTITUTE(SUBSTITUTE(TRIM(N72),".",""),"/",""),"-","")," ",""),"(",""),")",""),"+",""))=10,"ERRO: é fixo (ou falta o 9), use a coluna Telefone fixo","ERRO: DDD + 9 + 8 dígitos")))</f>
      </c>
      <c r="Y72" s="6">
        <f>IF(O72="","vazio",IF(AND(ISNUMBER(FIND("@",O72)),ISNUMBER(FIND(".",MID(O72,FIND("@",O72),99))),NOT(ISNUMBER(FIND(" ",TRIM(O72)))),NOT(ISNUMBER(FIND(";",O72))),NOT(ISNUMBER(FIND(",",O72)))),"OK","ERRO: um e-mail válido por linha"))</f>
      </c>
      <c r="Z72" s="6">
        <f>IF(AND(J72="",K72=""),"",IF(AND(J72&lt;&gt;"",K72&lt;&gt;""),"OK","pendente: só um nome (o GR completa ao converter)"))</f>
      </c>
      <c r="AA72" s="6">
        <f>IF(COUNTA(A72:S72)=0,"",IF(AND(A72&lt;&gt;"",B72&lt;&gt;"",C72&lt;&gt;"",D72&lt;&gt;"",E72&lt;&gt;"",F72&lt;&gt;"",G72&lt;&gt;"",H72&lt;&gt;"",OR(J72&lt;&gt;"",K72&lt;&gt;""),OR(M72&lt;&gt;"",N72&lt;&gt;"",O72&lt;&gt;"")),"OK","ERRO: faltam "&amp;IF(A72="","SDR; ","")&amp;IF(B72="","Proprietário; ","")&amp;IF(C72="","Origem; ","")&amp;IF(D72="","Temperatura; ","")&amp;IF(E72="","Segmento; ","")&amp;IF(F72="","Time/Cluster; ","")&amp;IF(G72="","CNPJ; ","")&amp;IF(H72="","Razão Social; ","")&amp;IF(AND(J72="",K72=""),"nome do contato; ","")&amp;IF(AND(M72="",N72="",O72=""),"telefone, celular ou e-mail; ","")))</f>
      </c>
      <c r="AB72" s="6">
        <f>IF(COUNTA(A72:S72)=0,"",IF(AND(U72="OK",V72="OK",LEFT(W72,4)&lt;&gt;"ERRO",LEFT(X72,4)&lt;&gt;"ERRO",LEFT(Y72,4)&lt;&gt;"ERRO",AA72="OK"),"OK","REVISAR"))</f>
      </c>
    </row>
    <row r="73">
      <c r="A73" s="5"/>
      <c r="B73" s="5"/>
      <c r="C73" s="5"/>
      <c r="D73" s="5"/>
      <c r="E73" s="5"/>
      <c r="F73" s="5"/>
      <c r="G73" s="5"/>
      <c r="H73" s="5"/>
      <c r="I73" s="4"/>
      <c r="J73" s="5"/>
      <c r="K73" s="4"/>
      <c r="L73" s="4"/>
      <c r="M73" s="4"/>
      <c r="N73" s="4"/>
      <c r="O73" s="4"/>
      <c r="P73" s="4"/>
      <c r="Q73" s="4"/>
      <c r="R73" s="4"/>
      <c r="S73" s="4"/>
      <c r="T73" s="6">
        <f>IF(G73="","",SUBSTITUTE(SUBSTITUTE(SUBSTITUTE(SUBSTITUTE(SUBSTITUTE(SUBSTITUTE(SUBSTITUTE(TRIM(G73),".",""),"/",""),"-","")," ",""),"(",""),")",""),"+",""))</f>
      </c>
      <c r="U73" s="6">
        <f>IF(T73="","",IF(LEN(T73)&lt;&gt;14,"ERRO: "&amp;LEN(T73)&amp;" dígitos",IF(NOT(ISNUMBER(VALUE(T73))),"ERRO: não numérico",IF(LEN(SUBSTITUTE(T73,LEFT(T73,1),""))=0,"ERRO: dígitos repetidos",IF(AND(VALUE(MID(T73,13,1))=IF(MOD(SUMPRODUCT(--MID(T73,{1,2,3,4,5,6,7,8,9,10,11,12},1),{5,4,3,2,9,8,7,6,5,4,3,2}),11)&lt;2,0,11-MOD(SUMPRODUCT(--MID(T73,{1,2,3,4,5,6,7,8,9,10,11,12},1),{5,4,3,2,9,8,7,6,5,4,3,2}),11)),VALUE(MID(T73,14,1))=IF(MOD(SUMPRODUCT(--MID(T73,{1,2,3,4,5,6,7,8,9,10,11,12,13},1),{6,5,4,3,2,9,8,7,6,5,4,3,2}),11)&lt;2,0,11-MOD(SUMPRODUCT(--MID(T73,{1,2,3,4,5,6,7,8,9,10,11,12,13},1),{6,5,4,3,2,9,8,7,6,5,4,3,2}),11))),"OK","ERRO: dígito verificador")))))</f>
      </c>
      <c r="V73" s="6">
        <f>IF(T73="","",IF(COUNTIF($T$2:$T$1001,T73)&gt;1,"DUPLICADO","OK"))</f>
      </c>
      <c r="W73" s="6">
        <f>IF(M73="","vazio",IF(OR(AND(LEN(SUBSTITUTE(SUBSTITUTE(SUBSTITUTE(SUBSTITUTE(SUBSTITUTE(SUBSTITUTE(SUBSTITUTE(TRIM(M73),".",""),"/",""),"-","")," ",""),"(",""),")",""),"+",""))=10,LEFT(SUBSTITUTE(SUBSTITUTE(SUBSTITUTE(SUBSTITUTE(SUBSTITUTE(SUBSTITUTE(SUBSTITUTE(TRIM(M73),".",""),"/",""),"-","")," ",""),"(",""),")",""),"+",""),1)&lt;&gt;"0"),AND(LEN(SUBSTITUTE(SUBSTITUTE(SUBSTITUTE(SUBSTITUTE(SUBSTITUTE(SUBSTITUTE(SUBSTITUTE(TRIM(M73),".",""),"/",""),"-","")," ",""),"(",""),")",""),"+",""))=11,LEFT(SUBSTITUTE(SUBSTITUTE(SUBSTITUTE(SUBSTITUTE(SUBSTITUTE(SUBSTITUTE(SUBSTITUTE(TRIM(M73),".",""),"/",""),"-","")," ",""),"(",""),")",""),"+",""),4)="0800")),"OK",IF(AND(LEN(SUBSTITUTE(SUBSTITUTE(SUBSTITUTE(SUBSTITUTE(SUBSTITUTE(SUBSTITUTE(SUBSTITUTE(TRIM(M73),".",""),"/",""),"-","")," ",""),"(",""),")",""),"+",""))=11,MID(SUBSTITUTE(SUBSTITUTE(SUBSTITUTE(SUBSTITUTE(SUBSTITUTE(SUBSTITUTE(SUBSTITUTE(TRIM(M73),".",""),"/",""),"-","")," ",""),"(",""),")",""),"+",""),3,1)="9"),"ERRO: é celular, use a coluna Celular","ERRO: DDD + 8 dígitos ou 0800 + 7")))</f>
      </c>
      <c r="X73" s="6">
        <f>IF(N73="","vazio",IF(AND(LEN(SUBSTITUTE(SUBSTITUTE(SUBSTITUTE(SUBSTITUTE(SUBSTITUTE(SUBSTITUTE(SUBSTITUTE(TRIM(N73),".",""),"/",""),"-","")," ",""),"(",""),")",""),"+",""))=11,MID(SUBSTITUTE(SUBSTITUTE(SUBSTITUTE(SUBSTITUTE(SUBSTITUTE(SUBSTITUTE(SUBSTITUTE(TRIM(N73),".",""),"/",""),"-","")," ",""),"(",""),")",""),"+",""),3,1)="9",LEFT(SUBSTITUTE(SUBSTITUTE(SUBSTITUTE(SUBSTITUTE(SUBSTITUTE(SUBSTITUTE(SUBSTITUTE(TRIM(N73),".",""),"/",""),"-","")," ",""),"(",""),")",""),"+",""),1)&lt;&gt;"0"),"OK",IF(LEN(SUBSTITUTE(SUBSTITUTE(SUBSTITUTE(SUBSTITUTE(SUBSTITUTE(SUBSTITUTE(SUBSTITUTE(TRIM(N73),".",""),"/",""),"-","")," ",""),"(",""),")",""),"+",""))=10,"ERRO: é fixo (ou falta o 9), use a coluna Telefone fixo","ERRO: DDD + 9 + 8 dígitos")))</f>
      </c>
      <c r="Y73" s="6">
        <f>IF(O73="","vazio",IF(AND(ISNUMBER(FIND("@",O73)),ISNUMBER(FIND(".",MID(O73,FIND("@",O73),99))),NOT(ISNUMBER(FIND(" ",TRIM(O73)))),NOT(ISNUMBER(FIND(";",O73))),NOT(ISNUMBER(FIND(",",O73)))),"OK","ERRO: um e-mail válido por linha"))</f>
      </c>
      <c r="Z73" s="6">
        <f>IF(AND(J73="",K73=""),"",IF(AND(J73&lt;&gt;"",K73&lt;&gt;""),"OK","pendente: só um nome (o GR completa ao converter)"))</f>
      </c>
      <c r="AA73" s="6">
        <f>IF(COUNTA(A73:S73)=0,"",IF(AND(A73&lt;&gt;"",B73&lt;&gt;"",C73&lt;&gt;"",D73&lt;&gt;"",E73&lt;&gt;"",F73&lt;&gt;"",G73&lt;&gt;"",H73&lt;&gt;"",OR(J73&lt;&gt;"",K73&lt;&gt;""),OR(M73&lt;&gt;"",N73&lt;&gt;"",O73&lt;&gt;"")),"OK","ERRO: faltam "&amp;IF(A73="","SDR; ","")&amp;IF(B73="","Proprietário; ","")&amp;IF(C73="","Origem; ","")&amp;IF(D73="","Temperatura; ","")&amp;IF(E73="","Segmento; ","")&amp;IF(F73="","Time/Cluster; ","")&amp;IF(G73="","CNPJ; ","")&amp;IF(H73="","Razão Social; ","")&amp;IF(AND(J73="",K73=""),"nome do contato; ","")&amp;IF(AND(M73="",N73="",O73=""),"telefone, celular ou e-mail; ","")))</f>
      </c>
      <c r="AB73" s="6">
        <f>IF(COUNTA(A73:S73)=0,"",IF(AND(U73="OK",V73="OK",LEFT(W73,4)&lt;&gt;"ERRO",LEFT(X73,4)&lt;&gt;"ERRO",LEFT(Y73,4)&lt;&gt;"ERRO",AA73="OK"),"OK","REVISAR"))</f>
      </c>
    </row>
    <row r="74">
      <c r="A74" s="5"/>
      <c r="B74" s="5"/>
      <c r="C74" s="5"/>
      <c r="D74" s="5"/>
      <c r="E74" s="5"/>
      <c r="F74" s="5"/>
      <c r="G74" s="5"/>
      <c r="H74" s="5"/>
      <c r="I74" s="4"/>
      <c r="J74" s="5"/>
      <c r="K74" s="4"/>
      <c r="L74" s="4"/>
      <c r="M74" s="4"/>
      <c r="N74" s="4"/>
      <c r="O74" s="4"/>
      <c r="P74" s="4"/>
      <c r="Q74" s="4"/>
      <c r="R74" s="4"/>
      <c r="S74" s="4"/>
      <c r="T74" s="6">
        <f>IF(G74="","",SUBSTITUTE(SUBSTITUTE(SUBSTITUTE(SUBSTITUTE(SUBSTITUTE(SUBSTITUTE(SUBSTITUTE(TRIM(G74),".",""),"/",""),"-","")," ",""),"(",""),")",""),"+",""))</f>
      </c>
      <c r="U74" s="6">
        <f>IF(T74="","",IF(LEN(T74)&lt;&gt;14,"ERRO: "&amp;LEN(T74)&amp;" dígitos",IF(NOT(ISNUMBER(VALUE(T74))),"ERRO: não numérico",IF(LEN(SUBSTITUTE(T74,LEFT(T74,1),""))=0,"ERRO: dígitos repetidos",IF(AND(VALUE(MID(T74,13,1))=IF(MOD(SUMPRODUCT(--MID(T74,{1,2,3,4,5,6,7,8,9,10,11,12},1),{5,4,3,2,9,8,7,6,5,4,3,2}),11)&lt;2,0,11-MOD(SUMPRODUCT(--MID(T74,{1,2,3,4,5,6,7,8,9,10,11,12},1),{5,4,3,2,9,8,7,6,5,4,3,2}),11)),VALUE(MID(T74,14,1))=IF(MOD(SUMPRODUCT(--MID(T74,{1,2,3,4,5,6,7,8,9,10,11,12,13},1),{6,5,4,3,2,9,8,7,6,5,4,3,2}),11)&lt;2,0,11-MOD(SUMPRODUCT(--MID(T74,{1,2,3,4,5,6,7,8,9,10,11,12,13},1),{6,5,4,3,2,9,8,7,6,5,4,3,2}),11))),"OK","ERRO: dígito verificador")))))</f>
      </c>
      <c r="V74" s="6">
        <f>IF(T74="","",IF(COUNTIF($T$2:$T$1001,T74)&gt;1,"DUPLICADO","OK"))</f>
      </c>
      <c r="W74" s="6">
        <f>IF(M74="","vazio",IF(OR(AND(LEN(SUBSTITUTE(SUBSTITUTE(SUBSTITUTE(SUBSTITUTE(SUBSTITUTE(SUBSTITUTE(SUBSTITUTE(TRIM(M74),".",""),"/",""),"-","")," ",""),"(",""),")",""),"+",""))=10,LEFT(SUBSTITUTE(SUBSTITUTE(SUBSTITUTE(SUBSTITUTE(SUBSTITUTE(SUBSTITUTE(SUBSTITUTE(TRIM(M74),".",""),"/",""),"-","")," ",""),"(",""),")",""),"+",""),1)&lt;&gt;"0"),AND(LEN(SUBSTITUTE(SUBSTITUTE(SUBSTITUTE(SUBSTITUTE(SUBSTITUTE(SUBSTITUTE(SUBSTITUTE(TRIM(M74),".",""),"/",""),"-","")," ",""),"(",""),")",""),"+",""))=11,LEFT(SUBSTITUTE(SUBSTITUTE(SUBSTITUTE(SUBSTITUTE(SUBSTITUTE(SUBSTITUTE(SUBSTITUTE(TRIM(M74),".",""),"/",""),"-","")," ",""),"(",""),")",""),"+",""),4)="0800")),"OK",IF(AND(LEN(SUBSTITUTE(SUBSTITUTE(SUBSTITUTE(SUBSTITUTE(SUBSTITUTE(SUBSTITUTE(SUBSTITUTE(TRIM(M74),".",""),"/",""),"-","")," ",""),"(",""),")",""),"+",""))=11,MID(SUBSTITUTE(SUBSTITUTE(SUBSTITUTE(SUBSTITUTE(SUBSTITUTE(SUBSTITUTE(SUBSTITUTE(TRIM(M74),".",""),"/",""),"-","")," ",""),"(",""),")",""),"+",""),3,1)="9"),"ERRO: é celular, use a coluna Celular","ERRO: DDD + 8 dígitos ou 0800 + 7")))</f>
      </c>
      <c r="X74" s="6">
        <f>IF(N74="","vazio",IF(AND(LEN(SUBSTITUTE(SUBSTITUTE(SUBSTITUTE(SUBSTITUTE(SUBSTITUTE(SUBSTITUTE(SUBSTITUTE(TRIM(N74),".",""),"/",""),"-","")," ",""),"(",""),")",""),"+",""))=11,MID(SUBSTITUTE(SUBSTITUTE(SUBSTITUTE(SUBSTITUTE(SUBSTITUTE(SUBSTITUTE(SUBSTITUTE(TRIM(N74),".",""),"/",""),"-","")," ",""),"(",""),")",""),"+",""),3,1)="9",LEFT(SUBSTITUTE(SUBSTITUTE(SUBSTITUTE(SUBSTITUTE(SUBSTITUTE(SUBSTITUTE(SUBSTITUTE(TRIM(N74),".",""),"/",""),"-","")," ",""),"(",""),")",""),"+",""),1)&lt;&gt;"0"),"OK",IF(LEN(SUBSTITUTE(SUBSTITUTE(SUBSTITUTE(SUBSTITUTE(SUBSTITUTE(SUBSTITUTE(SUBSTITUTE(TRIM(N74),".",""),"/",""),"-","")," ",""),"(",""),")",""),"+",""))=10,"ERRO: é fixo (ou falta o 9), use a coluna Telefone fixo","ERRO: DDD + 9 + 8 dígitos")))</f>
      </c>
      <c r="Y74" s="6">
        <f>IF(O74="","vazio",IF(AND(ISNUMBER(FIND("@",O74)),ISNUMBER(FIND(".",MID(O74,FIND("@",O74),99))),NOT(ISNUMBER(FIND(" ",TRIM(O74)))),NOT(ISNUMBER(FIND(";",O74))),NOT(ISNUMBER(FIND(",",O74)))),"OK","ERRO: um e-mail válido por linha"))</f>
      </c>
      <c r="Z74" s="6">
        <f>IF(AND(J74="",K74=""),"",IF(AND(J74&lt;&gt;"",K74&lt;&gt;""),"OK","pendente: só um nome (o GR completa ao converter)"))</f>
      </c>
      <c r="AA74" s="6">
        <f>IF(COUNTA(A74:S74)=0,"",IF(AND(A74&lt;&gt;"",B74&lt;&gt;"",C74&lt;&gt;"",D74&lt;&gt;"",E74&lt;&gt;"",F74&lt;&gt;"",G74&lt;&gt;"",H74&lt;&gt;"",OR(J74&lt;&gt;"",K74&lt;&gt;""),OR(M74&lt;&gt;"",N74&lt;&gt;"",O74&lt;&gt;"")),"OK","ERRO: faltam "&amp;IF(A74="","SDR; ","")&amp;IF(B74="","Proprietário; ","")&amp;IF(C74="","Origem; ","")&amp;IF(D74="","Temperatura; ","")&amp;IF(E74="","Segmento; ","")&amp;IF(F74="","Time/Cluster; ","")&amp;IF(G74="","CNPJ; ","")&amp;IF(H74="","Razão Social; ","")&amp;IF(AND(J74="",K74=""),"nome do contato; ","")&amp;IF(AND(M74="",N74="",O74=""),"telefone, celular ou e-mail; ","")))</f>
      </c>
      <c r="AB74" s="6">
        <f>IF(COUNTA(A74:S74)=0,"",IF(AND(U74="OK",V74="OK",LEFT(W74,4)&lt;&gt;"ERRO",LEFT(X74,4)&lt;&gt;"ERRO",LEFT(Y74,4)&lt;&gt;"ERRO",AA74="OK"),"OK","REVISAR"))</f>
      </c>
    </row>
    <row r="75">
      <c r="A75" s="5"/>
      <c r="B75" s="5"/>
      <c r="C75" s="5"/>
      <c r="D75" s="5"/>
      <c r="E75" s="5"/>
      <c r="F75" s="5"/>
      <c r="G75" s="5"/>
      <c r="H75" s="5"/>
      <c r="I75" s="4"/>
      <c r="J75" s="5"/>
      <c r="K75" s="4"/>
      <c r="L75" s="4"/>
      <c r="M75" s="4"/>
      <c r="N75" s="4"/>
      <c r="O75" s="4"/>
      <c r="P75" s="4"/>
      <c r="Q75" s="4"/>
      <c r="R75" s="4"/>
      <c r="S75" s="4"/>
      <c r="T75" s="6">
        <f>IF(G75="","",SUBSTITUTE(SUBSTITUTE(SUBSTITUTE(SUBSTITUTE(SUBSTITUTE(SUBSTITUTE(SUBSTITUTE(TRIM(G75),".",""),"/",""),"-","")," ",""),"(",""),")",""),"+",""))</f>
      </c>
      <c r="U75" s="6">
        <f>IF(T75="","",IF(LEN(T75)&lt;&gt;14,"ERRO: "&amp;LEN(T75)&amp;" dígitos",IF(NOT(ISNUMBER(VALUE(T75))),"ERRO: não numérico",IF(LEN(SUBSTITUTE(T75,LEFT(T75,1),""))=0,"ERRO: dígitos repetidos",IF(AND(VALUE(MID(T75,13,1))=IF(MOD(SUMPRODUCT(--MID(T75,{1,2,3,4,5,6,7,8,9,10,11,12},1),{5,4,3,2,9,8,7,6,5,4,3,2}),11)&lt;2,0,11-MOD(SUMPRODUCT(--MID(T75,{1,2,3,4,5,6,7,8,9,10,11,12},1),{5,4,3,2,9,8,7,6,5,4,3,2}),11)),VALUE(MID(T75,14,1))=IF(MOD(SUMPRODUCT(--MID(T75,{1,2,3,4,5,6,7,8,9,10,11,12,13},1),{6,5,4,3,2,9,8,7,6,5,4,3,2}),11)&lt;2,0,11-MOD(SUMPRODUCT(--MID(T75,{1,2,3,4,5,6,7,8,9,10,11,12,13},1),{6,5,4,3,2,9,8,7,6,5,4,3,2}),11))),"OK","ERRO: dígito verificador")))))</f>
      </c>
      <c r="V75" s="6">
        <f>IF(T75="","",IF(COUNTIF($T$2:$T$1001,T75)&gt;1,"DUPLICADO","OK"))</f>
      </c>
      <c r="W75" s="6">
        <f>IF(M75="","vazio",IF(OR(AND(LEN(SUBSTITUTE(SUBSTITUTE(SUBSTITUTE(SUBSTITUTE(SUBSTITUTE(SUBSTITUTE(SUBSTITUTE(TRIM(M75),".",""),"/",""),"-","")," ",""),"(",""),")",""),"+",""))=10,LEFT(SUBSTITUTE(SUBSTITUTE(SUBSTITUTE(SUBSTITUTE(SUBSTITUTE(SUBSTITUTE(SUBSTITUTE(TRIM(M75),".",""),"/",""),"-","")," ",""),"(",""),")",""),"+",""),1)&lt;&gt;"0"),AND(LEN(SUBSTITUTE(SUBSTITUTE(SUBSTITUTE(SUBSTITUTE(SUBSTITUTE(SUBSTITUTE(SUBSTITUTE(TRIM(M75),".",""),"/",""),"-","")," ",""),"(",""),")",""),"+",""))=11,LEFT(SUBSTITUTE(SUBSTITUTE(SUBSTITUTE(SUBSTITUTE(SUBSTITUTE(SUBSTITUTE(SUBSTITUTE(TRIM(M75),".",""),"/",""),"-","")," ",""),"(",""),")",""),"+",""),4)="0800")),"OK",IF(AND(LEN(SUBSTITUTE(SUBSTITUTE(SUBSTITUTE(SUBSTITUTE(SUBSTITUTE(SUBSTITUTE(SUBSTITUTE(TRIM(M75),".",""),"/",""),"-","")," ",""),"(",""),")",""),"+",""))=11,MID(SUBSTITUTE(SUBSTITUTE(SUBSTITUTE(SUBSTITUTE(SUBSTITUTE(SUBSTITUTE(SUBSTITUTE(TRIM(M75),".",""),"/",""),"-","")," ",""),"(",""),")",""),"+",""),3,1)="9"),"ERRO: é celular, use a coluna Celular","ERRO: DDD + 8 dígitos ou 0800 + 7")))</f>
      </c>
      <c r="X75" s="6">
        <f>IF(N75="","vazio",IF(AND(LEN(SUBSTITUTE(SUBSTITUTE(SUBSTITUTE(SUBSTITUTE(SUBSTITUTE(SUBSTITUTE(SUBSTITUTE(TRIM(N75),".",""),"/",""),"-","")," ",""),"(",""),")",""),"+",""))=11,MID(SUBSTITUTE(SUBSTITUTE(SUBSTITUTE(SUBSTITUTE(SUBSTITUTE(SUBSTITUTE(SUBSTITUTE(TRIM(N75),".",""),"/",""),"-","")," ",""),"(",""),")",""),"+",""),3,1)="9",LEFT(SUBSTITUTE(SUBSTITUTE(SUBSTITUTE(SUBSTITUTE(SUBSTITUTE(SUBSTITUTE(SUBSTITUTE(TRIM(N75),".",""),"/",""),"-","")," ",""),"(",""),")",""),"+",""),1)&lt;&gt;"0"),"OK",IF(LEN(SUBSTITUTE(SUBSTITUTE(SUBSTITUTE(SUBSTITUTE(SUBSTITUTE(SUBSTITUTE(SUBSTITUTE(TRIM(N75),".",""),"/",""),"-","")," ",""),"(",""),")",""),"+",""))=10,"ERRO: é fixo (ou falta o 9), use a coluna Telefone fixo","ERRO: DDD + 9 + 8 dígitos")))</f>
      </c>
      <c r="Y75" s="6">
        <f>IF(O75="","vazio",IF(AND(ISNUMBER(FIND("@",O75)),ISNUMBER(FIND(".",MID(O75,FIND("@",O75),99))),NOT(ISNUMBER(FIND(" ",TRIM(O75)))),NOT(ISNUMBER(FIND(";",O75))),NOT(ISNUMBER(FIND(",",O75)))),"OK","ERRO: um e-mail válido por linha"))</f>
      </c>
      <c r="Z75" s="6">
        <f>IF(AND(J75="",K75=""),"",IF(AND(J75&lt;&gt;"",K75&lt;&gt;""),"OK","pendente: só um nome (o GR completa ao converter)"))</f>
      </c>
      <c r="AA75" s="6">
        <f>IF(COUNTA(A75:S75)=0,"",IF(AND(A75&lt;&gt;"",B75&lt;&gt;"",C75&lt;&gt;"",D75&lt;&gt;"",E75&lt;&gt;"",F75&lt;&gt;"",G75&lt;&gt;"",H75&lt;&gt;"",OR(J75&lt;&gt;"",K75&lt;&gt;""),OR(M75&lt;&gt;"",N75&lt;&gt;"",O75&lt;&gt;"")),"OK","ERRO: faltam "&amp;IF(A75="","SDR; ","")&amp;IF(B75="","Proprietário; ","")&amp;IF(C75="","Origem; ","")&amp;IF(D75="","Temperatura; ","")&amp;IF(E75="","Segmento; ","")&amp;IF(F75="","Time/Cluster; ","")&amp;IF(G75="","CNPJ; ","")&amp;IF(H75="","Razão Social; ","")&amp;IF(AND(J75="",K75=""),"nome do contato; ","")&amp;IF(AND(M75="",N75="",O75=""),"telefone, celular ou e-mail; ","")))</f>
      </c>
      <c r="AB75" s="6">
        <f>IF(COUNTA(A75:S75)=0,"",IF(AND(U75="OK",V75="OK",LEFT(W75,4)&lt;&gt;"ERRO",LEFT(X75,4)&lt;&gt;"ERRO",LEFT(Y75,4)&lt;&gt;"ERRO",AA75="OK"),"OK","REVISAR"))</f>
      </c>
    </row>
    <row r="76">
      <c r="A76" s="5"/>
      <c r="B76" s="5"/>
      <c r="C76" s="5"/>
      <c r="D76" s="5"/>
      <c r="E76" s="5"/>
      <c r="F76" s="5"/>
      <c r="G76" s="5"/>
      <c r="H76" s="5"/>
      <c r="I76" s="4"/>
      <c r="J76" s="5"/>
      <c r="K76" s="4"/>
      <c r="L76" s="4"/>
      <c r="M76" s="4"/>
      <c r="N76" s="4"/>
      <c r="O76" s="4"/>
      <c r="P76" s="4"/>
      <c r="Q76" s="4"/>
      <c r="R76" s="4"/>
      <c r="S76" s="4"/>
      <c r="T76" s="6">
        <f>IF(G76="","",SUBSTITUTE(SUBSTITUTE(SUBSTITUTE(SUBSTITUTE(SUBSTITUTE(SUBSTITUTE(SUBSTITUTE(TRIM(G76),".",""),"/",""),"-","")," ",""),"(",""),")",""),"+",""))</f>
      </c>
      <c r="U76" s="6">
        <f>IF(T76="","",IF(LEN(T76)&lt;&gt;14,"ERRO: "&amp;LEN(T76)&amp;" dígitos",IF(NOT(ISNUMBER(VALUE(T76))),"ERRO: não numérico",IF(LEN(SUBSTITUTE(T76,LEFT(T76,1),""))=0,"ERRO: dígitos repetidos",IF(AND(VALUE(MID(T76,13,1))=IF(MOD(SUMPRODUCT(--MID(T76,{1,2,3,4,5,6,7,8,9,10,11,12},1),{5,4,3,2,9,8,7,6,5,4,3,2}),11)&lt;2,0,11-MOD(SUMPRODUCT(--MID(T76,{1,2,3,4,5,6,7,8,9,10,11,12},1),{5,4,3,2,9,8,7,6,5,4,3,2}),11)),VALUE(MID(T76,14,1))=IF(MOD(SUMPRODUCT(--MID(T76,{1,2,3,4,5,6,7,8,9,10,11,12,13},1),{6,5,4,3,2,9,8,7,6,5,4,3,2}),11)&lt;2,0,11-MOD(SUMPRODUCT(--MID(T76,{1,2,3,4,5,6,7,8,9,10,11,12,13},1),{6,5,4,3,2,9,8,7,6,5,4,3,2}),11))),"OK","ERRO: dígito verificador")))))</f>
      </c>
      <c r="V76" s="6">
        <f>IF(T76="","",IF(COUNTIF($T$2:$T$1001,T76)&gt;1,"DUPLICADO","OK"))</f>
      </c>
      <c r="W76" s="6">
        <f>IF(M76="","vazio",IF(OR(AND(LEN(SUBSTITUTE(SUBSTITUTE(SUBSTITUTE(SUBSTITUTE(SUBSTITUTE(SUBSTITUTE(SUBSTITUTE(TRIM(M76),".",""),"/",""),"-","")," ",""),"(",""),")",""),"+",""))=10,LEFT(SUBSTITUTE(SUBSTITUTE(SUBSTITUTE(SUBSTITUTE(SUBSTITUTE(SUBSTITUTE(SUBSTITUTE(TRIM(M76),".",""),"/",""),"-","")," ",""),"(",""),")",""),"+",""),1)&lt;&gt;"0"),AND(LEN(SUBSTITUTE(SUBSTITUTE(SUBSTITUTE(SUBSTITUTE(SUBSTITUTE(SUBSTITUTE(SUBSTITUTE(TRIM(M76),".",""),"/",""),"-","")," ",""),"(",""),")",""),"+",""))=11,LEFT(SUBSTITUTE(SUBSTITUTE(SUBSTITUTE(SUBSTITUTE(SUBSTITUTE(SUBSTITUTE(SUBSTITUTE(TRIM(M76),".",""),"/",""),"-","")," ",""),"(",""),")",""),"+",""),4)="0800")),"OK",IF(AND(LEN(SUBSTITUTE(SUBSTITUTE(SUBSTITUTE(SUBSTITUTE(SUBSTITUTE(SUBSTITUTE(SUBSTITUTE(TRIM(M76),".",""),"/",""),"-","")," ",""),"(",""),")",""),"+",""))=11,MID(SUBSTITUTE(SUBSTITUTE(SUBSTITUTE(SUBSTITUTE(SUBSTITUTE(SUBSTITUTE(SUBSTITUTE(TRIM(M76),".",""),"/",""),"-","")," ",""),"(",""),")",""),"+",""),3,1)="9"),"ERRO: é celular, use a coluna Celular","ERRO: DDD + 8 dígitos ou 0800 + 7")))</f>
      </c>
      <c r="X76" s="6">
        <f>IF(N76="","vazio",IF(AND(LEN(SUBSTITUTE(SUBSTITUTE(SUBSTITUTE(SUBSTITUTE(SUBSTITUTE(SUBSTITUTE(SUBSTITUTE(TRIM(N76),".",""),"/",""),"-","")," ",""),"(",""),")",""),"+",""))=11,MID(SUBSTITUTE(SUBSTITUTE(SUBSTITUTE(SUBSTITUTE(SUBSTITUTE(SUBSTITUTE(SUBSTITUTE(TRIM(N76),".",""),"/",""),"-","")," ",""),"(",""),")",""),"+",""),3,1)="9",LEFT(SUBSTITUTE(SUBSTITUTE(SUBSTITUTE(SUBSTITUTE(SUBSTITUTE(SUBSTITUTE(SUBSTITUTE(TRIM(N76),".",""),"/",""),"-","")," ",""),"(",""),")",""),"+",""),1)&lt;&gt;"0"),"OK",IF(LEN(SUBSTITUTE(SUBSTITUTE(SUBSTITUTE(SUBSTITUTE(SUBSTITUTE(SUBSTITUTE(SUBSTITUTE(TRIM(N76),".",""),"/",""),"-","")," ",""),"(",""),")",""),"+",""))=10,"ERRO: é fixo (ou falta o 9), use a coluna Telefone fixo","ERRO: DDD + 9 + 8 dígitos")))</f>
      </c>
      <c r="Y76" s="6">
        <f>IF(O76="","vazio",IF(AND(ISNUMBER(FIND("@",O76)),ISNUMBER(FIND(".",MID(O76,FIND("@",O76),99))),NOT(ISNUMBER(FIND(" ",TRIM(O76)))),NOT(ISNUMBER(FIND(";",O76))),NOT(ISNUMBER(FIND(",",O76)))),"OK","ERRO: um e-mail válido por linha"))</f>
      </c>
      <c r="Z76" s="6">
        <f>IF(AND(J76="",K76=""),"",IF(AND(J76&lt;&gt;"",K76&lt;&gt;""),"OK","pendente: só um nome (o GR completa ao converter)"))</f>
      </c>
      <c r="AA76" s="6">
        <f>IF(COUNTA(A76:S76)=0,"",IF(AND(A76&lt;&gt;"",B76&lt;&gt;"",C76&lt;&gt;"",D76&lt;&gt;"",E76&lt;&gt;"",F76&lt;&gt;"",G76&lt;&gt;"",H76&lt;&gt;"",OR(J76&lt;&gt;"",K76&lt;&gt;""),OR(M76&lt;&gt;"",N76&lt;&gt;"",O76&lt;&gt;"")),"OK","ERRO: faltam "&amp;IF(A76="","SDR; ","")&amp;IF(B76="","Proprietário; ","")&amp;IF(C76="","Origem; ","")&amp;IF(D76="","Temperatura; ","")&amp;IF(E76="","Segmento; ","")&amp;IF(F76="","Time/Cluster; ","")&amp;IF(G76="","CNPJ; ","")&amp;IF(H76="","Razão Social; ","")&amp;IF(AND(J76="",K76=""),"nome do contato; ","")&amp;IF(AND(M76="",N76="",O76=""),"telefone, celular ou e-mail; ","")))</f>
      </c>
      <c r="AB76" s="6">
        <f>IF(COUNTA(A76:S76)=0,"",IF(AND(U76="OK",V76="OK",LEFT(W76,4)&lt;&gt;"ERRO",LEFT(X76,4)&lt;&gt;"ERRO",LEFT(Y76,4)&lt;&gt;"ERRO",AA76="OK"),"OK","REVISAR"))</f>
      </c>
    </row>
    <row r="77">
      <c r="A77" s="5"/>
      <c r="B77" s="5"/>
      <c r="C77" s="5"/>
      <c r="D77" s="5"/>
      <c r="E77" s="5"/>
      <c r="F77" s="5"/>
      <c r="G77" s="5"/>
      <c r="H77" s="5"/>
      <c r="I77" s="4"/>
      <c r="J77" s="5"/>
      <c r="K77" s="4"/>
      <c r="L77" s="4"/>
      <c r="M77" s="4"/>
      <c r="N77" s="4"/>
      <c r="O77" s="4"/>
      <c r="P77" s="4"/>
      <c r="Q77" s="4"/>
      <c r="R77" s="4"/>
      <c r="S77" s="4"/>
      <c r="T77" s="6">
        <f>IF(G77="","",SUBSTITUTE(SUBSTITUTE(SUBSTITUTE(SUBSTITUTE(SUBSTITUTE(SUBSTITUTE(SUBSTITUTE(TRIM(G77),".",""),"/",""),"-","")," ",""),"(",""),")",""),"+",""))</f>
      </c>
      <c r="U77" s="6">
        <f>IF(T77="","",IF(LEN(T77)&lt;&gt;14,"ERRO: "&amp;LEN(T77)&amp;" dígitos",IF(NOT(ISNUMBER(VALUE(T77))),"ERRO: não numérico",IF(LEN(SUBSTITUTE(T77,LEFT(T77,1),""))=0,"ERRO: dígitos repetidos",IF(AND(VALUE(MID(T77,13,1))=IF(MOD(SUMPRODUCT(--MID(T77,{1,2,3,4,5,6,7,8,9,10,11,12},1),{5,4,3,2,9,8,7,6,5,4,3,2}),11)&lt;2,0,11-MOD(SUMPRODUCT(--MID(T77,{1,2,3,4,5,6,7,8,9,10,11,12},1),{5,4,3,2,9,8,7,6,5,4,3,2}),11)),VALUE(MID(T77,14,1))=IF(MOD(SUMPRODUCT(--MID(T77,{1,2,3,4,5,6,7,8,9,10,11,12,13},1),{6,5,4,3,2,9,8,7,6,5,4,3,2}),11)&lt;2,0,11-MOD(SUMPRODUCT(--MID(T77,{1,2,3,4,5,6,7,8,9,10,11,12,13},1),{6,5,4,3,2,9,8,7,6,5,4,3,2}),11))),"OK","ERRO: dígito verificador")))))</f>
      </c>
      <c r="V77" s="6">
        <f>IF(T77="","",IF(COUNTIF($T$2:$T$1001,T77)&gt;1,"DUPLICADO","OK"))</f>
      </c>
      <c r="W77" s="6">
        <f>IF(M77="","vazio",IF(OR(AND(LEN(SUBSTITUTE(SUBSTITUTE(SUBSTITUTE(SUBSTITUTE(SUBSTITUTE(SUBSTITUTE(SUBSTITUTE(TRIM(M77),".",""),"/",""),"-","")," ",""),"(",""),")",""),"+",""))=10,LEFT(SUBSTITUTE(SUBSTITUTE(SUBSTITUTE(SUBSTITUTE(SUBSTITUTE(SUBSTITUTE(SUBSTITUTE(TRIM(M77),".",""),"/",""),"-","")," ",""),"(",""),")",""),"+",""),1)&lt;&gt;"0"),AND(LEN(SUBSTITUTE(SUBSTITUTE(SUBSTITUTE(SUBSTITUTE(SUBSTITUTE(SUBSTITUTE(SUBSTITUTE(TRIM(M77),".",""),"/",""),"-","")," ",""),"(",""),")",""),"+",""))=11,LEFT(SUBSTITUTE(SUBSTITUTE(SUBSTITUTE(SUBSTITUTE(SUBSTITUTE(SUBSTITUTE(SUBSTITUTE(TRIM(M77),".",""),"/",""),"-","")," ",""),"(",""),")",""),"+",""),4)="0800")),"OK",IF(AND(LEN(SUBSTITUTE(SUBSTITUTE(SUBSTITUTE(SUBSTITUTE(SUBSTITUTE(SUBSTITUTE(SUBSTITUTE(TRIM(M77),".",""),"/",""),"-","")," ",""),"(",""),")",""),"+",""))=11,MID(SUBSTITUTE(SUBSTITUTE(SUBSTITUTE(SUBSTITUTE(SUBSTITUTE(SUBSTITUTE(SUBSTITUTE(TRIM(M77),".",""),"/",""),"-","")," ",""),"(",""),")",""),"+",""),3,1)="9"),"ERRO: é celular, use a coluna Celular","ERRO: DDD + 8 dígitos ou 0800 + 7")))</f>
      </c>
      <c r="X77" s="6">
        <f>IF(N77="","vazio",IF(AND(LEN(SUBSTITUTE(SUBSTITUTE(SUBSTITUTE(SUBSTITUTE(SUBSTITUTE(SUBSTITUTE(SUBSTITUTE(TRIM(N77),".",""),"/",""),"-","")," ",""),"(",""),")",""),"+",""))=11,MID(SUBSTITUTE(SUBSTITUTE(SUBSTITUTE(SUBSTITUTE(SUBSTITUTE(SUBSTITUTE(SUBSTITUTE(TRIM(N77),".",""),"/",""),"-","")," ",""),"(",""),")",""),"+",""),3,1)="9",LEFT(SUBSTITUTE(SUBSTITUTE(SUBSTITUTE(SUBSTITUTE(SUBSTITUTE(SUBSTITUTE(SUBSTITUTE(TRIM(N77),".",""),"/",""),"-","")," ",""),"(",""),")",""),"+",""),1)&lt;&gt;"0"),"OK",IF(LEN(SUBSTITUTE(SUBSTITUTE(SUBSTITUTE(SUBSTITUTE(SUBSTITUTE(SUBSTITUTE(SUBSTITUTE(TRIM(N77),".",""),"/",""),"-","")," ",""),"(",""),")",""),"+",""))=10,"ERRO: é fixo (ou falta o 9), use a coluna Telefone fixo","ERRO: DDD + 9 + 8 dígitos")))</f>
      </c>
      <c r="Y77" s="6">
        <f>IF(O77="","vazio",IF(AND(ISNUMBER(FIND("@",O77)),ISNUMBER(FIND(".",MID(O77,FIND("@",O77),99))),NOT(ISNUMBER(FIND(" ",TRIM(O77)))),NOT(ISNUMBER(FIND(";",O77))),NOT(ISNUMBER(FIND(",",O77)))),"OK","ERRO: um e-mail válido por linha"))</f>
      </c>
      <c r="Z77" s="6">
        <f>IF(AND(J77="",K77=""),"",IF(AND(J77&lt;&gt;"",K77&lt;&gt;""),"OK","pendente: só um nome (o GR completa ao converter)"))</f>
      </c>
      <c r="AA77" s="6">
        <f>IF(COUNTA(A77:S77)=0,"",IF(AND(A77&lt;&gt;"",B77&lt;&gt;"",C77&lt;&gt;"",D77&lt;&gt;"",E77&lt;&gt;"",F77&lt;&gt;"",G77&lt;&gt;"",H77&lt;&gt;"",OR(J77&lt;&gt;"",K77&lt;&gt;""),OR(M77&lt;&gt;"",N77&lt;&gt;"",O77&lt;&gt;"")),"OK","ERRO: faltam "&amp;IF(A77="","SDR; ","")&amp;IF(B77="","Proprietário; ","")&amp;IF(C77="","Origem; ","")&amp;IF(D77="","Temperatura; ","")&amp;IF(E77="","Segmento; ","")&amp;IF(F77="","Time/Cluster; ","")&amp;IF(G77="","CNPJ; ","")&amp;IF(H77="","Razão Social; ","")&amp;IF(AND(J77="",K77=""),"nome do contato; ","")&amp;IF(AND(M77="",N77="",O77=""),"telefone, celular ou e-mail; ","")))</f>
      </c>
      <c r="AB77" s="6">
        <f>IF(COUNTA(A77:S77)=0,"",IF(AND(U77="OK",V77="OK",LEFT(W77,4)&lt;&gt;"ERRO",LEFT(X77,4)&lt;&gt;"ERRO",LEFT(Y77,4)&lt;&gt;"ERRO",AA77="OK"),"OK","REVISAR"))</f>
      </c>
    </row>
    <row r="78">
      <c r="A78" s="5"/>
      <c r="B78" s="5"/>
      <c r="C78" s="5"/>
      <c r="D78" s="5"/>
      <c r="E78" s="5"/>
      <c r="F78" s="5"/>
      <c r="G78" s="5"/>
      <c r="H78" s="5"/>
      <c r="I78" s="4"/>
      <c r="J78" s="5"/>
      <c r="K78" s="4"/>
      <c r="L78" s="4"/>
      <c r="M78" s="4"/>
      <c r="N78" s="4"/>
      <c r="O78" s="4"/>
      <c r="P78" s="4"/>
      <c r="Q78" s="4"/>
      <c r="R78" s="4"/>
      <c r="S78" s="4"/>
      <c r="T78" s="6">
        <f>IF(G78="","",SUBSTITUTE(SUBSTITUTE(SUBSTITUTE(SUBSTITUTE(SUBSTITUTE(SUBSTITUTE(SUBSTITUTE(TRIM(G78),".",""),"/",""),"-","")," ",""),"(",""),")",""),"+",""))</f>
      </c>
      <c r="U78" s="6">
        <f>IF(T78="","",IF(LEN(T78)&lt;&gt;14,"ERRO: "&amp;LEN(T78)&amp;" dígitos",IF(NOT(ISNUMBER(VALUE(T78))),"ERRO: não numérico",IF(LEN(SUBSTITUTE(T78,LEFT(T78,1),""))=0,"ERRO: dígitos repetidos",IF(AND(VALUE(MID(T78,13,1))=IF(MOD(SUMPRODUCT(--MID(T78,{1,2,3,4,5,6,7,8,9,10,11,12},1),{5,4,3,2,9,8,7,6,5,4,3,2}),11)&lt;2,0,11-MOD(SUMPRODUCT(--MID(T78,{1,2,3,4,5,6,7,8,9,10,11,12},1),{5,4,3,2,9,8,7,6,5,4,3,2}),11)),VALUE(MID(T78,14,1))=IF(MOD(SUMPRODUCT(--MID(T78,{1,2,3,4,5,6,7,8,9,10,11,12,13},1),{6,5,4,3,2,9,8,7,6,5,4,3,2}),11)&lt;2,0,11-MOD(SUMPRODUCT(--MID(T78,{1,2,3,4,5,6,7,8,9,10,11,12,13},1),{6,5,4,3,2,9,8,7,6,5,4,3,2}),11))),"OK","ERRO: dígito verificador")))))</f>
      </c>
      <c r="V78" s="6">
        <f>IF(T78="","",IF(COUNTIF($T$2:$T$1001,T78)&gt;1,"DUPLICADO","OK"))</f>
      </c>
      <c r="W78" s="6">
        <f>IF(M78="","vazio",IF(OR(AND(LEN(SUBSTITUTE(SUBSTITUTE(SUBSTITUTE(SUBSTITUTE(SUBSTITUTE(SUBSTITUTE(SUBSTITUTE(TRIM(M78),".",""),"/",""),"-","")," ",""),"(",""),")",""),"+",""))=10,LEFT(SUBSTITUTE(SUBSTITUTE(SUBSTITUTE(SUBSTITUTE(SUBSTITUTE(SUBSTITUTE(SUBSTITUTE(TRIM(M78),".",""),"/",""),"-","")," ",""),"(",""),")",""),"+",""),1)&lt;&gt;"0"),AND(LEN(SUBSTITUTE(SUBSTITUTE(SUBSTITUTE(SUBSTITUTE(SUBSTITUTE(SUBSTITUTE(SUBSTITUTE(TRIM(M78),".",""),"/",""),"-","")," ",""),"(",""),")",""),"+",""))=11,LEFT(SUBSTITUTE(SUBSTITUTE(SUBSTITUTE(SUBSTITUTE(SUBSTITUTE(SUBSTITUTE(SUBSTITUTE(TRIM(M78),".",""),"/",""),"-","")," ",""),"(",""),")",""),"+",""),4)="0800")),"OK",IF(AND(LEN(SUBSTITUTE(SUBSTITUTE(SUBSTITUTE(SUBSTITUTE(SUBSTITUTE(SUBSTITUTE(SUBSTITUTE(TRIM(M78),".",""),"/",""),"-","")," ",""),"(",""),")",""),"+",""))=11,MID(SUBSTITUTE(SUBSTITUTE(SUBSTITUTE(SUBSTITUTE(SUBSTITUTE(SUBSTITUTE(SUBSTITUTE(TRIM(M78),".",""),"/",""),"-","")," ",""),"(",""),")",""),"+",""),3,1)="9"),"ERRO: é celular, use a coluna Celular","ERRO: DDD + 8 dígitos ou 0800 + 7")))</f>
      </c>
      <c r="X78" s="6">
        <f>IF(N78="","vazio",IF(AND(LEN(SUBSTITUTE(SUBSTITUTE(SUBSTITUTE(SUBSTITUTE(SUBSTITUTE(SUBSTITUTE(SUBSTITUTE(TRIM(N78),".",""),"/",""),"-","")," ",""),"(",""),")",""),"+",""))=11,MID(SUBSTITUTE(SUBSTITUTE(SUBSTITUTE(SUBSTITUTE(SUBSTITUTE(SUBSTITUTE(SUBSTITUTE(TRIM(N78),".",""),"/",""),"-","")," ",""),"(",""),")",""),"+",""),3,1)="9",LEFT(SUBSTITUTE(SUBSTITUTE(SUBSTITUTE(SUBSTITUTE(SUBSTITUTE(SUBSTITUTE(SUBSTITUTE(TRIM(N78),".",""),"/",""),"-","")," ",""),"(",""),")",""),"+",""),1)&lt;&gt;"0"),"OK",IF(LEN(SUBSTITUTE(SUBSTITUTE(SUBSTITUTE(SUBSTITUTE(SUBSTITUTE(SUBSTITUTE(SUBSTITUTE(TRIM(N78),".",""),"/",""),"-","")," ",""),"(",""),")",""),"+",""))=10,"ERRO: é fixo (ou falta o 9), use a coluna Telefone fixo","ERRO: DDD + 9 + 8 dígitos")))</f>
      </c>
      <c r="Y78" s="6">
        <f>IF(O78="","vazio",IF(AND(ISNUMBER(FIND("@",O78)),ISNUMBER(FIND(".",MID(O78,FIND("@",O78),99))),NOT(ISNUMBER(FIND(" ",TRIM(O78)))),NOT(ISNUMBER(FIND(";",O78))),NOT(ISNUMBER(FIND(",",O78)))),"OK","ERRO: um e-mail válido por linha"))</f>
      </c>
      <c r="Z78" s="6">
        <f>IF(AND(J78="",K78=""),"",IF(AND(J78&lt;&gt;"",K78&lt;&gt;""),"OK","pendente: só um nome (o GR completa ao converter)"))</f>
      </c>
      <c r="AA78" s="6">
        <f>IF(COUNTA(A78:S78)=0,"",IF(AND(A78&lt;&gt;"",B78&lt;&gt;"",C78&lt;&gt;"",D78&lt;&gt;"",E78&lt;&gt;"",F78&lt;&gt;"",G78&lt;&gt;"",H78&lt;&gt;"",OR(J78&lt;&gt;"",K78&lt;&gt;""),OR(M78&lt;&gt;"",N78&lt;&gt;"",O78&lt;&gt;"")),"OK","ERRO: faltam "&amp;IF(A78="","SDR; ","")&amp;IF(B78="","Proprietário; ","")&amp;IF(C78="","Origem; ","")&amp;IF(D78="","Temperatura; ","")&amp;IF(E78="","Segmento; ","")&amp;IF(F78="","Time/Cluster; ","")&amp;IF(G78="","CNPJ; ","")&amp;IF(H78="","Razão Social; ","")&amp;IF(AND(J78="",K78=""),"nome do contato; ","")&amp;IF(AND(M78="",N78="",O78=""),"telefone, celular ou e-mail; ","")))</f>
      </c>
      <c r="AB78" s="6">
        <f>IF(COUNTA(A78:S78)=0,"",IF(AND(U78="OK",V78="OK",LEFT(W78,4)&lt;&gt;"ERRO",LEFT(X78,4)&lt;&gt;"ERRO",LEFT(Y78,4)&lt;&gt;"ERRO",AA78="OK"),"OK","REVISAR"))</f>
      </c>
    </row>
    <row r="79">
      <c r="A79" s="5"/>
      <c r="B79" s="5"/>
      <c r="C79" s="5"/>
      <c r="D79" s="5"/>
      <c r="E79" s="5"/>
      <c r="F79" s="5"/>
      <c r="G79" s="5"/>
      <c r="H79" s="5"/>
      <c r="I79" s="4"/>
      <c r="J79" s="5"/>
      <c r="K79" s="4"/>
      <c r="L79" s="4"/>
      <c r="M79" s="4"/>
      <c r="N79" s="4"/>
      <c r="O79" s="4"/>
      <c r="P79" s="4"/>
      <c r="Q79" s="4"/>
      <c r="R79" s="4"/>
      <c r="S79" s="4"/>
      <c r="T79" s="6">
        <f>IF(G79="","",SUBSTITUTE(SUBSTITUTE(SUBSTITUTE(SUBSTITUTE(SUBSTITUTE(SUBSTITUTE(SUBSTITUTE(TRIM(G79),".",""),"/",""),"-","")," ",""),"(",""),")",""),"+",""))</f>
      </c>
      <c r="U79" s="6">
        <f>IF(T79="","",IF(LEN(T79)&lt;&gt;14,"ERRO: "&amp;LEN(T79)&amp;" dígitos",IF(NOT(ISNUMBER(VALUE(T79))),"ERRO: não numérico",IF(LEN(SUBSTITUTE(T79,LEFT(T79,1),""))=0,"ERRO: dígitos repetidos",IF(AND(VALUE(MID(T79,13,1))=IF(MOD(SUMPRODUCT(--MID(T79,{1,2,3,4,5,6,7,8,9,10,11,12},1),{5,4,3,2,9,8,7,6,5,4,3,2}),11)&lt;2,0,11-MOD(SUMPRODUCT(--MID(T79,{1,2,3,4,5,6,7,8,9,10,11,12},1),{5,4,3,2,9,8,7,6,5,4,3,2}),11)),VALUE(MID(T79,14,1))=IF(MOD(SUMPRODUCT(--MID(T79,{1,2,3,4,5,6,7,8,9,10,11,12,13},1),{6,5,4,3,2,9,8,7,6,5,4,3,2}),11)&lt;2,0,11-MOD(SUMPRODUCT(--MID(T79,{1,2,3,4,5,6,7,8,9,10,11,12,13},1),{6,5,4,3,2,9,8,7,6,5,4,3,2}),11))),"OK","ERRO: dígito verificador")))))</f>
      </c>
      <c r="V79" s="6">
        <f>IF(T79="","",IF(COUNTIF($T$2:$T$1001,T79)&gt;1,"DUPLICADO","OK"))</f>
      </c>
      <c r="W79" s="6">
        <f>IF(M79="","vazio",IF(OR(AND(LEN(SUBSTITUTE(SUBSTITUTE(SUBSTITUTE(SUBSTITUTE(SUBSTITUTE(SUBSTITUTE(SUBSTITUTE(TRIM(M79),".",""),"/",""),"-","")," ",""),"(",""),")",""),"+",""))=10,LEFT(SUBSTITUTE(SUBSTITUTE(SUBSTITUTE(SUBSTITUTE(SUBSTITUTE(SUBSTITUTE(SUBSTITUTE(TRIM(M79),".",""),"/",""),"-","")," ",""),"(",""),")",""),"+",""),1)&lt;&gt;"0"),AND(LEN(SUBSTITUTE(SUBSTITUTE(SUBSTITUTE(SUBSTITUTE(SUBSTITUTE(SUBSTITUTE(SUBSTITUTE(TRIM(M79),".",""),"/",""),"-","")," ",""),"(",""),")",""),"+",""))=11,LEFT(SUBSTITUTE(SUBSTITUTE(SUBSTITUTE(SUBSTITUTE(SUBSTITUTE(SUBSTITUTE(SUBSTITUTE(TRIM(M79),".",""),"/",""),"-","")," ",""),"(",""),")",""),"+",""),4)="0800")),"OK",IF(AND(LEN(SUBSTITUTE(SUBSTITUTE(SUBSTITUTE(SUBSTITUTE(SUBSTITUTE(SUBSTITUTE(SUBSTITUTE(TRIM(M79),".",""),"/",""),"-","")," ",""),"(",""),")",""),"+",""))=11,MID(SUBSTITUTE(SUBSTITUTE(SUBSTITUTE(SUBSTITUTE(SUBSTITUTE(SUBSTITUTE(SUBSTITUTE(TRIM(M79),".",""),"/",""),"-","")," ",""),"(",""),")",""),"+",""),3,1)="9"),"ERRO: é celular, use a coluna Celular","ERRO: DDD + 8 dígitos ou 0800 + 7")))</f>
      </c>
      <c r="X79" s="6">
        <f>IF(N79="","vazio",IF(AND(LEN(SUBSTITUTE(SUBSTITUTE(SUBSTITUTE(SUBSTITUTE(SUBSTITUTE(SUBSTITUTE(SUBSTITUTE(TRIM(N79),".",""),"/",""),"-","")," ",""),"(",""),")",""),"+",""))=11,MID(SUBSTITUTE(SUBSTITUTE(SUBSTITUTE(SUBSTITUTE(SUBSTITUTE(SUBSTITUTE(SUBSTITUTE(TRIM(N79),".",""),"/",""),"-","")," ",""),"(",""),")",""),"+",""),3,1)="9",LEFT(SUBSTITUTE(SUBSTITUTE(SUBSTITUTE(SUBSTITUTE(SUBSTITUTE(SUBSTITUTE(SUBSTITUTE(TRIM(N79),".",""),"/",""),"-","")," ",""),"(",""),")",""),"+",""),1)&lt;&gt;"0"),"OK",IF(LEN(SUBSTITUTE(SUBSTITUTE(SUBSTITUTE(SUBSTITUTE(SUBSTITUTE(SUBSTITUTE(SUBSTITUTE(TRIM(N79),".",""),"/",""),"-","")," ",""),"(",""),")",""),"+",""))=10,"ERRO: é fixo (ou falta o 9), use a coluna Telefone fixo","ERRO: DDD + 9 + 8 dígitos")))</f>
      </c>
      <c r="Y79" s="6">
        <f>IF(O79="","vazio",IF(AND(ISNUMBER(FIND("@",O79)),ISNUMBER(FIND(".",MID(O79,FIND("@",O79),99))),NOT(ISNUMBER(FIND(" ",TRIM(O79)))),NOT(ISNUMBER(FIND(";",O79))),NOT(ISNUMBER(FIND(",",O79)))),"OK","ERRO: um e-mail válido por linha"))</f>
      </c>
      <c r="Z79" s="6">
        <f>IF(AND(J79="",K79=""),"",IF(AND(J79&lt;&gt;"",K79&lt;&gt;""),"OK","pendente: só um nome (o GR completa ao converter)"))</f>
      </c>
      <c r="AA79" s="6">
        <f>IF(COUNTA(A79:S79)=0,"",IF(AND(A79&lt;&gt;"",B79&lt;&gt;"",C79&lt;&gt;"",D79&lt;&gt;"",E79&lt;&gt;"",F79&lt;&gt;"",G79&lt;&gt;"",H79&lt;&gt;"",OR(J79&lt;&gt;"",K79&lt;&gt;""),OR(M79&lt;&gt;"",N79&lt;&gt;"",O79&lt;&gt;"")),"OK","ERRO: faltam "&amp;IF(A79="","SDR; ","")&amp;IF(B79="","Proprietário; ","")&amp;IF(C79="","Origem; ","")&amp;IF(D79="","Temperatura; ","")&amp;IF(E79="","Segmento; ","")&amp;IF(F79="","Time/Cluster; ","")&amp;IF(G79="","CNPJ; ","")&amp;IF(H79="","Razão Social; ","")&amp;IF(AND(J79="",K79=""),"nome do contato; ","")&amp;IF(AND(M79="",N79="",O79=""),"telefone, celular ou e-mail; ","")))</f>
      </c>
      <c r="AB79" s="6">
        <f>IF(COUNTA(A79:S79)=0,"",IF(AND(U79="OK",V79="OK",LEFT(W79,4)&lt;&gt;"ERRO",LEFT(X79,4)&lt;&gt;"ERRO",LEFT(Y79,4)&lt;&gt;"ERRO",AA79="OK"),"OK","REVISAR"))</f>
      </c>
    </row>
    <row r="80">
      <c r="A80" s="5"/>
      <c r="B80" s="5"/>
      <c r="C80" s="5"/>
      <c r="D80" s="5"/>
      <c r="E80" s="5"/>
      <c r="F80" s="5"/>
      <c r="G80" s="5"/>
      <c r="H80" s="5"/>
      <c r="I80" s="4"/>
      <c r="J80" s="5"/>
      <c r="K80" s="4"/>
      <c r="L80" s="4"/>
      <c r="M80" s="4"/>
      <c r="N80" s="4"/>
      <c r="O80" s="4"/>
      <c r="P80" s="4"/>
      <c r="Q80" s="4"/>
      <c r="R80" s="4"/>
      <c r="S80" s="4"/>
      <c r="T80" s="6">
        <f>IF(G80="","",SUBSTITUTE(SUBSTITUTE(SUBSTITUTE(SUBSTITUTE(SUBSTITUTE(SUBSTITUTE(SUBSTITUTE(TRIM(G80),".",""),"/",""),"-","")," ",""),"(",""),")",""),"+",""))</f>
      </c>
      <c r="U80" s="6">
        <f>IF(T80="","",IF(LEN(T80)&lt;&gt;14,"ERRO: "&amp;LEN(T80)&amp;" dígitos",IF(NOT(ISNUMBER(VALUE(T80))),"ERRO: não numérico",IF(LEN(SUBSTITUTE(T80,LEFT(T80,1),""))=0,"ERRO: dígitos repetidos",IF(AND(VALUE(MID(T80,13,1))=IF(MOD(SUMPRODUCT(--MID(T80,{1,2,3,4,5,6,7,8,9,10,11,12},1),{5,4,3,2,9,8,7,6,5,4,3,2}),11)&lt;2,0,11-MOD(SUMPRODUCT(--MID(T80,{1,2,3,4,5,6,7,8,9,10,11,12},1),{5,4,3,2,9,8,7,6,5,4,3,2}),11)),VALUE(MID(T80,14,1))=IF(MOD(SUMPRODUCT(--MID(T80,{1,2,3,4,5,6,7,8,9,10,11,12,13},1),{6,5,4,3,2,9,8,7,6,5,4,3,2}),11)&lt;2,0,11-MOD(SUMPRODUCT(--MID(T80,{1,2,3,4,5,6,7,8,9,10,11,12,13},1),{6,5,4,3,2,9,8,7,6,5,4,3,2}),11))),"OK","ERRO: dígito verificador")))))</f>
      </c>
      <c r="V80" s="6">
        <f>IF(T80="","",IF(COUNTIF($T$2:$T$1001,T80)&gt;1,"DUPLICADO","OK"))</f>
      </c>
      <c r="W80" s="6">
        <f>IF(M80="","vazio",IF(OR(AND(LEN(SUBSTITUTE(SUBSTITUTE(SUBSTITUTE(SUBSTITUTE(SUBSTITUTE(SUBSTITUTE(SUBSTITUTE(TRIM(M80),".",""),"/",""),"-","")," ",""),"(",""),")",""),"+",""))=10,LEFT(SUBSTITUTE(SUBSTITUTE(SUBSTITUTE(SUBSTITUTE(SUBSTITUTE(SUBSTITUTE(SUBSTITUTE(TRIM(M80),".",""),"/",""),"-","")," ",""),"(",""),")",""),"+",""),1)&lt;&gt;"0"),AND(LEN(SUBSTITUTE(SUBSTITUTE(SUBSTITUTE(SUBSTITUTE(SUBSTITUTE(SUBSTITUTE(SUBSTITUTE(TRIM(M80),".",""),"/",""),"-","")," ",""),"(",""),")",""),"+",""))=11,LEFT(SUBSTITUTE(SUBSTITUTE(SUBSTITUTE(SUBSTITUTE(SUBSTITUTE(SUBSTITUTE(SUBSTITUTE(TRIM(M80),".",""),"/",""),"-","")," ",""),"(",""),")",""),"+",""),4)="0800")),"OK",IF(AND(LEN(SUBSTITUTE(SUBSTITUTE(SUBSTITUTE(SUBSTITUTE(SUBSTITUTE(SUBSTITUTE(SUBSTITUTE(TRIM(M80),".",""),"/",""),"-","")," ",""),"(",""),")",""),"+",""))=11,MID(SUBSTITUTE(SUBSTITUTE(SUBSTITUTE(SUBSTITUTE(SUBSTITUTE(SUBSTITUTE(SUBSTITUTE(TRIM(M80),".",""),"/",""),"-","")," ",""),"(",""),")",""),"+",""),3,1)="9"),"ERRO: é celular, use a coluna Celular","ERRO: DDD + 8 dígitos ou 0800 + 7")))</f>
      </c>
      <c r="X80" s="6">
        <f>IF(N80="","vazio",IF(AND(LEN(SUBSTITUTE(SUBSTITUTE(SUBSTITUTE(SUBSTITUTE(SUBSTITUTE(SUBSTITUTE(SUBSTITUTE(TRIM(N80),".",""),"/",""),"-","")," ",""),"(",""),")",""),"+",""))=11,MID(SUBSTITUTE(SUBSTITUTE(SUBSTITUTE(SUBSTITUTE(SUBSTITUTE(SUBSTITUTE(SUBSTITUTE(TRIM(N80),".",""),"/",""),"-","")," ",""),"(",""),")",""),"+",""),3,1)="9",LEFT(SUBSTITUTE(SUBSTITUTE(SUBSTITUTE(SUBSTITUTE(SUBSTITUTE(SUBSTITUTE(SUBSTITUTE(TRIM(N80),".",""),"/",""),"-","")," ",""),"(",""),")",""),"+",""),1)&lt;&gt;"0"),"OK",IF(LEN(SUBSTITUTE(SUBSTITUTE(SUBSTITUTE(SUBSTITUTE(SUBSTITUTE(SUBSTITUTE(SUBSTITUTE(TRIM(N80),".",""),"/",""),"-","")," ",""),"(",""),")",""),"+",""))=10,"ERRO: é fixo (ou falta o 9), use a coluna Telefone fixo","ERRO: DDD + 9 + 8 dígitos")))</f>
      </c>
      <c r="Y80" s="6">
        <f>IF(O80="","vazio",IF(AND(ISNUMBER(FIND("@",O80)),ISNUMBER(FIND(".",MID(O80,FIND("@",O80),99))),NOT(ISNUMBER(FIND(" ",TRIM(O80)))),NOT(ISNUMBER(FIND(";",O80))),NOT(ISNUMBER(FIND(",",O80)))),"OK","ERRO: um e-mail válido por linha"))</f>
      </c>
      <c r="Z80" s="6">
        <f>IF(AND(J80="",K80=""),"",IF(AND(J80&lt;&gt;"",K80&lt;&gt;""),"OK","pendente: só um nome (o GR completa ao converter)"))</f>
      </c>
      <c r="AA80" s="6">
        <f>IF(COUNTA(A80:S80)=0,"",IF(AND(A80&lt;&gt;"",B80&lt;&gt;"",C80&lt;&gt;"",D80&lt;&gt;"",E80&lt;&gt;"",F80&lt;&gt;"",G80&lt;&gt;"",H80&lt;&gt;"",OR(J80&lt;&gt;"",K80&lt;&gt;""),OR(M80&lt;&gt;"",N80&lt;&gt;"",O80&lt;&gt;"")),"OK","ERRO: faltam "&amp;IF(A80="","SDR; ","")&amp;IF(B80="","Proprietário; ","")&amp;IF(C80="","Origem; ","")&amp;IF(D80="","Temperatura; ","")&amp;IF(E80="","Segmento; ","")&amp;IF(F80="","Time/Cluster; ","")&amp;IF(G80="","CNPJ; ","")&amp;IF(H80="","Razão Social; ","")&amp;IF(AND(J80="",K80=""),"nome do contato; ","")&amp;IF(AND(M80="",N80="",O80=""),"telefone, celular ou e-mail; ","")))</f>
      </c>
      <c r="AB80" s="6">
        <f>IF(COUNTA(A80:S80)=0,"",IF(AND(U80="OK",V80="OK",LEFT(W80,4)&lt;&gt;"ERRO",LEFT(X80,4)&lt;&gt;"ERRO",LEFT(Y80,4)&lt;&gt;"ERRO",AA80="OK"),"OK","REVISAR"))</f>
      </c>
    </row>
    <row r="81">
      <c r="A81" s="5"/>
      <c r="B81" s="5"/>
      <c r="C81" s="5"/>
      <c r="D81" s="5"/>
      <c r="E81" s="5"/>
      <c r="F81" s="5"/>
      <c r="G81" s="5"/>
      <c r="H81" s="5"/>
      <c r="I81" s="4"/>
      <c r="J81" s="5"/>
      <c r="K81" s="4"/>
      <c r="L81" s="4"/>
      <c r="M81" s="4"/>
      <c r="N81" s="4"/>
      <c r="O81" s="4"/>
      <c r="P81" s="4"/>
      <c r="Q81" s="4"/>
      <c r="R81" s="4"/>
      <c r="S81" s="4"/>
      <c r="T81" s="6">
        <f>IF(G81="","",SUBSTITUTE(SUBSTITUTE(SUBSTITUTE(SUBSTITUTE(SUBSTITUTE(SUBSTITUTE(SUBSTITUTE(TRIM(G81),".",""),"/",""),"-","")," ",""),"(",""),")",""),"+",""))</f>
      </c>
      <c r="U81" s="6">
        <f>IF(T81="","",IF(LEN(T81)&lt;&gt;14,"ERRO: "&amp;LEN(T81)&amp;" dígitos",IF(NOT(ISNUMBER(VALUE(T81))),"ERRO: não numérico",IF(LEN(SUBSTITUTE(T81,LEFT(T81,1),""))=0,"ERRO: dígitos repetidos",IF(AND(VALUE(MID(T81,13,1))=IF(MOD(SUMPRODUCT(--MID(T81,{1,2,3,4,5,6,7,8,9,10,11,12},1),{5,4,3,2,9,8,7,6,5,4,3,2}),11)&lt;2,0,11-MOD(SUMPRODUCT(--MID(T81,{1,2,3,4,5,6,7,8,9,10,11,12},1),{5,4,3,2,9,8,7,6,5,4,3,2}),11)),VALUE(MID(T81,14,1))=IF(MOD(SUMPRODUCT(--MID(T81,{1,2,3,4,5,6,7,8,9,10,11,12,13},1),{6,5,4,3,2,9,8,7,6,5,4,3,2}),11)&lt;2,0,11-MOD(SUMPRODUCT(--MID(T81,{1,2,3,4,5,6,7,8,9,10,11,12,13},1),{6,5,4,3,2,9,8,7,6,5,4,3,2}),11))),"OK","ERRO: dígito verificador")))))</f>
      </c>
      <c r="V81" s="6">
        <f>IF(T81="","",IF(COUNTIF($T$2:$T$1001,T81)&gt;1,"DUPLICADO","OK"))</f>
      </c>
      <c r="W81" s="6">
        <f>IF(M81="","vazio",IF(OR(AND(LEN(SUBSTITUTE(SUBSTITUTE(SUBSTITUTE(SUBSTITUTE(SUBSTITUTE(SUBSTITUTE(SUBSTITUTE(TRIM(M81),".",""),"/",""),"-","")," ",""),"(",""),")",""),"+",""))=10,LEFT(SUBSTITUTE(SUBSTITUTE(SUBSTITUTE(SUBSTITUTE(SUBSTITUTE(SUBSTITUTE(SUBSTITUTE(TRIM(M81),".",""),"/",""),"-","")," ",""),"(",""),")",""),"+",""),1)&lt;&gt;"0"),AND(LEN(SUBSTITUTE(SUBSTITUTE(SUBSTITUTE(SUBSTITUTE(SUBSTITUTE(SUBSTITUTE(SUBSTITUTE(TRIM(M81),".",""),"/",""),"-","")," ",""),"(",""),")",""),"+",""))=11,LEFT(SUBSTITUTE(SUBSTITUTE(SUBSTITUTE(SUBSTITUTE(SUBSTITUTE(SUBSTITUTE(SUBSTITUTE(TRIM(M81),".",""),"/",""),"-","")," ",""),"(",""),")",""),"+",""),4)="0800")),"OK",IF(AND(LEN(SUBSTITUTE(SUBSTITUTE(SUBSTITUTE(SUBSTITUTE(SUBSTITUTE(SUBSTITUTE(SUBSTITUTE(TRIM(M81),".",""),"/",""),"-","")," ",""),"(",""),")",""),"+",""))=11,MID(SUBSTITUTE(SUBSTITUTE(SUBSTITUTE(SUBSTITUTE(SUBSTITUTE(SUBSTITUTE(SUBSTITUTE(TRIM(M81),".",""),"/",""),"-","")," ",""),"(",""),")",""),"+",""),3,1)="9"),"ERRO: é celular, use a coluna Celular","ERRO: DDD + 8 dígitos ou 0800 + 7")))</f>
      </c>
      <c r="X81" s="6">
        <f>IF(N81="","vazio",IF(AND(LEN(SUBSTITUTE(SUBSTITUTE(SUBSTITUTE(SUBSTITUTE(SUBSTITUTE(SUBSTITUTE(SUBSTITUTE(TRIM(N81),".",""),"/",""),"-","")," ",""),"(",""),")",""),"+",""))=11,MID(SUBSTITUTE(SUBSTITUTE(SUBSTITUTE(SUBSTITUTE(SUBSTITUTE(SUBSTITUTE(SUBSTITUTE(TRIM(N81),".",""),"/",""),"-","")," ",""),"(",""),")",""),"+",""),3,1)="9",LEFT(SUBSTITUTE(SUBSTITUTE(SUBSTITUTE(SUBSTITUTE(SUBSTITUTE(SUBSTITUTE(SUBSTITUTE(TRIM(N81),".",""),"/",""),"-","")," ",""),"(",""),")",""),"+",""),1)&lt;&gt;"0"),"OK",IF(LEN(SUBSTITUTE(SUBSTITUTE(SUBSTITUTE(SUBSTITUTE(SUBSTITUTE(SUBSTITUTE(SUBSTITUTE(TRIM(N81),".",""),"/",""),"-","")," ",""),"(",""),")",""),"+",""))=10,"ERRO: é fixo (ou falta o 9), use a coluna Telefone fixo","ERRO: DDD + 9 + 8 dígitos")))</f>
      </c>
      <c r="Y81" s="6">
        <f>IF(O81="","vazio",IF(AND(ISNUMBER(FIND("@",O81)),ISNUMBER(FIND(".",MID(O81,FIND("@",O81),99))),NOT(ISNUMBER(FIND(" ",TRIM(O81)))),NOT(ISNUMBER(FIND(";",O81))),NOT(ISNUMBER(FIND(",",O81)))),"OK","ERRO: um e-mail válido por linha"))</f>
      </c>
      <c r="Z81" s="6">
        <f>IF(AND(J81="",K81=""),"",IF(AND(J81&lt;&gt;"",K81&lt;&gt;""),"OK","pendente: só um nome (o GR completa ao converter)"))</f>
      </c>
      <c r="AA81" s="6">
        <f>IF(COUNTA(A81:S81)=0,"",IF(AND(A81&lt;&gt;"",B81&lt;&gt;"",C81&lt;&gt;"",D81&lt;&gt;"",E81&lt;&gt;"",F81&lt;&gt;"",G81&lt;&gt;"",H81&lt;&gt;"",OR(J81&lt;&gt;"",K81&lt;&gt;""),OR(M81&lt;&gt;"",N81&lt;&gt;"",O81&lt;&gt;"")),"OK","ERRO: faltam "&amp;IF(A81="","SDR; ","")&amp;IF(B81="","Proprietário; ","")&amp;IF(C81="","Origem; ","")&amp;IF(D81="","Temperatura; ","")&amp;IF(E81="","Segmento; ","")&amp;IF(F81="","Time/Cluster; ","")&amp;IF(G81="","CNPJ; ","")&amp;IF(H81="","Razão Social; ","")&amp;IF(AND(J81="",K81=""),"nome do contato; ","")&amp;IF(AND(M81="",N81="",O81=""),"telefone, celular ou e-mail; ","")))</f>
      </c>
      <c r="AB81" s="6">
        <f>IF(COUNTA(A81:S81)=0,"",IF(AND(U81="OK",V81="OK",LEFT(W81,4)&lt;&gt;"ERRO",LEFT(X81,4)&lt;&gt;"ERRO",LEFT(Y81,4)&lt;&gt;"ERRO",AA81="OK"),"OK","REVISAR"))</f>
      </c>
    </row>
    <row r="82">
      <c r="A82" s="5"/>
      <c r="B82" s="5"/>
      <c r="C82" s="5"/>
      <c r="D82" s="5"/>
      <c r="E82" s="5"/>
      <c r="F82" s="5"/>
      <c r="G82" s="5"/>
      <c r="H82" s="5"/>
      <c r="I82" s="4"/>
      <c r="J82" s="5"/>
      <c r="K82" s="4"/>
      <c r="L82" s="4"/>
      <c r="M82" s="4"/>
      <c r="N82" s="4"/>
      <c r="O82" s="4"/>
      <c r="P82" s="4"/>
      <c r="Q82" s="4"/>
      <c r="R82" s="4"/>
      <c r="S82" s="4"/>
      <c r="T82" s="6">
        <f>IF(G82="","",SUBSTITUTE(SUBSTITUTE(SUBSTITUTE(SUBSTITUTE(SUBSTITUTE(SUBSTITUTE(SUBSTITUTE(TRIM(G82),".",""),"/",""),"-","")," ",""),"(",""),")",""),"+",""))</f>
      </c>
      <c r="U82" s="6">
        <f>IF(T82="","",IF(LEN(T82)&lt;&gt;14,"ERRO: "&amp;LEN(T82)&amp;" dígitos",IF(NOT(ISNUMBER(VALUE(T82))),"ERRO: não numérico",IF(LEN(SUBSTITUTE(T82,LEFT(T82,1),""))=0,"ERRO: dígitos repetidos",IF(AND(VALUE(MID(T82,13,1))=IF(MOD(SUMPRODUCT(--MID(T82,{1,2,3,4,5,6,7,8,9,10,11,12},1),{5,4,3,2,9,8,7,6,5,4,3,2}),11)&lt;2,0,11-MOD(SUMPRODUCT(--MID(T82,{1,2,3,4,5,6,7,8,9,10,11,12},1),{5,4,3,2,9,8,7,6,5,4,3,2}),11)),VALUE(MID(T82,14,1))=IF(MOD(SUMPRODUCT(--MID(T82,{1,2,3,4,5,6,7,8,9,10,11,12,13},1),{6,5,4,3,2,9,8,7,6,5,4,3,2}),11)&lt;2,0,11-MOD(SUMPRODUCT(--MID(T82,{1,2,3,4,5,6,7,8,9,10,11,12,13},1),{6,5,4,3,2,9,8,7,6,5,4,3,2}),11))),"OK","ERRO: dígito verificador")))))</f>
      </c>
      <c r="V82" s="6">
        <f>IF(T82="","",IF(COUNTIF($T$2:$T$1001,T82)&gt;1,"DUPLICADO","OK"))</f>
      </c>
      <c r="W82" s="6">
        <f>IF(M82="","vazio",IF(OR(AND(LEN(SUBSTITUTE(SUBSTITUTE(SUBSTITUTE(SUBSTITUTE(SUBSTITUTE(SUBSTITUTE(SUBSTITUTE(TRIM(M82),".",""),"/",""),"-","")," ",""),"(",""),")",""),"+",""))=10,LEFT(SUBSTITUTE(SUBSTITUTE(SUBSTITUTE(SUBSTITUTE(SUBSTITUTE(SUBSTITUTE(SUBSTITUTE(TRIM(M82),".",""),"/",""),"-","")," ",""),"(",""),")",""),"+",""),1)&lt;&gt;"0"),AND(LEN(SUBSTITUTE(SUBSTITUTE(SUBSTITUTE(SUBSTITUTE(SUBSTITUTE(SUBSTITUTE(SUBSTITUTE(TRIM(M82),".",""),"/",""),"-","")," ",""),"(",""),")",""),"+",""))=11,LEFT(SUBSTITUTE(SUBSTITUTE(SUBSTITUTE(SUBSTITUTE(SUBSTITUTE(SUBSTITUTE(SUBSTITUTE(TRIM(M82),".",""),"/",""),"-","")," ",""),"(",""),")",""),"+",""),4)="0800")),"OK",IF(AND(LEN(SUBSTITUTE(SUBSTITUTE(SUBSTITUTE(SUBSTITUTE(SUBSTITUTE(SUBSTITUTE(SUBSTITUTE(TRIM(M82),".",""),"/",""),"-","")," ",""),"(",""),")",""),"+",""))=11,MID(SUBSTITUTE(SUBSTITUTE(SUBSTITUTE(SUBSTITUTE(SUBSTITUTE(SUBSTITUTE(SUBSTITUTE(TRIM(M82),".",""),"/",""),"-","")," ",""),"(",""),")",""),"+",""),3,1)="9"),"ERRO: é celular, use a coluna Celular","ERRO: DDD + 8 dígitos ou 0800 + 7")))</f>
      </c>
      <c r="X82" s="6">
        <f>IF(N82="","vazio",IF(AND(LEN(SUBSTITUTE(SUBSTITUTE(SUBSTITUTE(SUBSTITUTE(SUBSTITUTE(SUBSTITUTE(SUBSTITUTE(TRIM(N82),".",""),"/",""),"-","")," ",""),"(",""),")",""),"+",""))=11,MID(SUBSTITUTE(SUBSTITUTE(SUBSTITUTE(SUBSTITUTE(SUBSTITUTE(SUBSTITUTE(SUBSTITUTE(TRIM(N82),".",""),"/",""),"-","")," ",""),"(",""),")",""),"+",""),3,1)="9",LEFT(SUBSTITUTE(SUBSTITUTE(SUBSTITUTE(SUBSTITUTE(SUBSTITUTE(SUBSTITUTE(SUBSTITUTE(TRIM(N82),".",""),"/",""),"-","")," ",""),"(",""),")",""),"+",""),1)&lt;&gt;"0"),"OK",IF(LEN(SUBSTITUTE(SUBSTITUTE(SUBSTITUTE(SUBSTITUTE(SUBSTITUTE(SUBSTITUTE(SUBSTITUTE(TRIM(N82),".",""),"/",""),"-","")," ",""),"(",""),")",""),"+",""))=10,"ERRO: é fixo (ou falta o 9), use a coluna Telefone fixo","ERRO: DDD + 9 + 8 dígitos")))</f>
      </c>
      <c r="Y82" s="6">
        <f>IF(O82="","vazio",IF(AND(ISNUMBER(FIND("@",O82)),ISNUMBER(FIND(".",MID(O82,FIND("@",O82),99))),NOT(ISNUMBER(FIND(" ",TRIM(O82)))),NOT(ISNUMBER(FIND(";",O82))),NOT(ISNUMBER(FIND(",",O82)))),"OK","ERRO: um e-mail válido por linha"))</f>
      </c>
      <c r="Z82" s="6">
        <f>IF(AND(J82="",K82=""),"",IF(AND(J82&lt;&gt;"",K82&lt;&gt;""),"OK","pendente: só um nome (o GR completa ao converter)"))</f>
      </c>
      <c r="AA82" s="6">
        <f>IF(COUNTA(A82:S82)=0,"",IF(AND(A82&lt;&gt;"",B82&lt;&gt;"",C82&lt;&gt;"",D82&lt;&gt;"",E82&lt;&gt;"",F82&lt;&gt;"",G82&lt;&gt;"",H82&lt;&gt;"",OR(J82&lt;&gt;"",K82&lt;&gt;""),OR(M82&lt;&gt;"",N82&lt;&gt;"",O82&lt;&gt;"")),"OK","ERRO: faltam "&amp;IF(A82="","SDR; ","")&amp;IF(B82="","Proprietário; ","")&amp;IF(C82="","Origem; ","")&amp;IF(D82="","Temperatura; ","")&amp;IF(E82="","Segmento; ","")&amp;IF(F82="","Time/Cluster; ","")&amp;IF(G82="","CNPJ; ","")&amp;IF(H82="","Razão Social; ","")&amp;IF(AND(J82="",K82=""),"nome do contato; ","")&amp;IF(AND(M82="",N82="",O82=""),"telefone, celular ou e-mail; ","")))</f>
      </c>
      <c r="AB82" s="6">
        <f>IF(COUNTA(A82:S82)=0,"",IF(AND(U82="OK",V82="OK",LEFT(W82,4)&lt;&gt;"ERRO",LEFT(X82,4)&lt;&gt;"ERRO",LEFT(Y82,4)&lt;&gt;"ERRO",AA82="OK"),"OK","REVISAR"))</f>
      </c>
    </row>
    <row r="83">
      <c r="A83" s="5"/>
      <c r="B83" s="5"/>
      <c r="C83" s="5"/>
      <c r="D83" s="5"/>
      <c r="E83" s="5"/>
      <c r="F83" s="5"/>
      <c r="G83" s="5"/>
      <c r="H83" s="5"/>
      <c r="I83" s="4"/>
      <c r="J83" s="5"/>
      <c r="K83" s="4"/>
      <c r="L83" s="4"/>
      <c r="M83" s="4"/>
      <c r="N83" s="4"/>
      <c r="O83" s="4"/>
      <c r="P83" s="4"/>
      <c r="Q83" s="4"/>
      <c r="R83" s="4"/>
      <c r="S83" s="4"/>
      <c r="T83" s="6">
        <f>IF(G83="","",SUBSTITUTE(SUBSTITUTE(SUBSTITUTE(SUBSTITUTE(SUBSTITUTE(SUBSTITUTE(SUBSTITUTE(TRIM(G83),".",""),"/",""),"-","")," ",""),"(",""),")",""),"+",""))</f>
      </c>
      <c r="U83" s="6">
        <f>IF(T83="","",IF(LEN(T83)&lt;&gt;14,"ERRO: "&amp;LEN(T83)&amp;" dígitos",IF(NOT(ISNUMBER(VALUE(T83))),"ERRO: não numérico",IF(LEN(SUBSTITUTE(T83,LEFT(T83,1),""))=0,"ERRO: dígitos repetidos",IF(AND(VALUE(MID(T83,13,1))=IF(MOD(SUMPRODUCT(--MID(T83,{1,2,3,4,5,6,7,8,9,10,11,12},1),{5,4,3,2,9,8,7,6,5,4,3,2}),11)&lt;2,0,11-MOD(SUMPRODUCT(--MID(T83,{1,2,3,4,5,6,7,8,9,10,11,12},1),{5,4,3,2,9,8,7,6,5,4,3,2}),11)),VALUE(MID(T83,14,1))=IF(MOD(SUMPRODUCT(--MID(T83,{1,2,3,4,5,6,7,8,9,10,11,12,13},1),{6,5,4,3,2,9,8,7,6,5,4,3,2}),11)&lt;2,0,11-MOD(SUMPRODUCT(--MID(T83,{1,2,3,4,5,6,7,8,9,10,11,12,13},1),{6,5,4,3,2,9,8,7,6,5,4,3,2}),11))),"OK","ERRO: dígito verificador")))))</f>
      </c>
      <c r="V83" s="6">
        <f>IF(T83="","",IF(COUNTIF($T$2:$T$1001,T83)&gt;1,"DUPLICADO","OK"))</f>
      </c>
      <c r="W83" s="6">
        <f>IF(M83="","vazio",IF(OR(AND(LEN(SUBSTITUTE(SUBSTITUTE(SUBSTITUTE(SUBSTITUTE(SUBSTITUTE(SUBSTITUTE(SUBSTITUTE(TRIM(M83),".",""),"/",""),"-","")," ",""),"(",""),")",""),"+",""))=10,LEFT(SUBSTITUTE(SUBSTITUTE(SUBSTITUTE(SUBSTITUTE(SUBSTITUTE(SUBSTITUTE(SUBSTITUTE(TRIM(M83),".",""),"/",""),"-","")," ",""),"(",""),")",""),"+",""),1)&lt;&gt;"0"),AND(LEN(SUBSTITUTE(SUBSTITUTE(SUBSTITUTE(SUBSTITUTE(SUBSTITUTE(SUBSTITUTE(SUBSTITUTE(TRIM(M83),".",""),"/",""),"-","")," ",""),"(",""),")",""),"+",""))=11,LEFT(SUBSTITUTE(SUBSTITUTE(SUBSTITUTE(SUBSTITUTE(SUBSTITUTE(SUBSTITUTE(SUBSTITUTE(TRIM(M83),".",""),"/",""),"-","")," ",""),"(",""),")",""),"+",""),4)="0800")),"OK",IF(AND(LEN(SUBSTITUTE(SUBSTITUTE(SUBSTITUTE(SUBSTITUTE(SUBSTITUTE(SUBSTITUTE(SUBSTITUTE(TRIM(M83),".",""),"/",""),"-","")," ",""),"(",""),")",""),"+",""))=11,MID(SUBSTITUTE(SUBSTITUTE(SUBSTITUTE(SUBSTITUTE(SUBSTITUTE(SUBSTITUTE(SUBSTITUTE(TRIM(M83),".",""),"/",""),"-","")," ",""),"(",""),")",""),"+",""),3,1)="9"),"ERRO: é celular, use a coluna Celular","ERRO: DDD + 8 dígitos ou 0800 + 7")))</f>
      </c>
      <c r="X83" s="6">
        <f>IF(N83="","vazio",IF(AND(LEN(SUBSTITUTE(SUBSTITUTE(SUBSTITUTE(SUBSTITUTE(SUBSTITUTE(SUBSTITUTE(SUBSTITUTE(TRIM(N83),".",""),"/",""),"-","")," ",""),"(",""),")",""),"+",""))=11,MID(SUBSTITUTE(SUBSTITUTE(SUBSTITUTE(SUBSTITUTE(SUBSTITUTE(SUBSTITUTE(SUBSTITUTE(TRIM(N83),".",""),"/",""),"-","")," ",""),"(",""),")",""),"+",""),3,1)="9",LEFT(SUBSTITUTE(SUBSTITUTE(SUBSTITUTE(SUBSTITUTE(SUBSTITUTE(SUBSTITUTE(SUBSTITUTE(TRIM(N83),".",""),"/",""),"-","")," ",""),"(",""),")",""),"+",""),1)&lt;&gt;"0"),"OK",IF(LEN(SUBSTITUTE(SUBSTITUTE(SUBSTITUTE(SUBSTITUTE(SUBSTITUTE(SUBSTITUTE(SUBSTITUTE(TRIM(N83),".",""),"/",""),"-","")," ",""),"(",""),")",""),"+",""))=10,"ERRO: é fixo (ou falta o 9), use a coluna Telefone fixo","ERRO: DDD + 9 + 8 dígitos")))</f>
      </c>
      <c r="Y83" s="6">
        <f>IF(O83="","vazio",IF(AND(ISNUMBER(FIND("@",O83)),ISNUMBER(FIND(".",MID(O83,FIND("@",O83),99))),NOT(ISNUMBER(FIND(" ",TRIM(O83)))),NOT(ISNUMBER(FIND(";",O83))),NOT(ISNUMBER(FIND(",",O83)))),"OK","ERRO: um e-mail válido por linha"))</f>
      </c>
      <c r="Z83" s="6">
        <f>IF(AND(J83="",K83=""),"",IF(AND(J83&lt;&gt;"",K83&lt;&gt;""),"OK","pendente: só um nome (o GR completa ao converter)"))</f>
      </c>
      <c r="AA83" s="6">
        <f>IF(COUNTA(A83:S83)=0,"",IF(AND(A83&lt;&gt;"",B83&lt;&gt;"",C83&lt;&gt;"",D83&lt;&gt;"",E83&lt;&gt;"",F83&lt;&gt;"",G83&lt;&gt;"",H83&lt;&gt;"",OR(J83&lt;&gt;"",K83&lt;&gt;""),OR(M83&lt;&gt;"",N83&lt;&gt;"",O83&lt;&gt;"")),"OK","ERRO: faltam "&amp;IF(A83="","SDR; ","")&amp;IF(B83="","Proprietário; ","")&amp;IF(C83="","Origem; ","")&amp;IF(D83="","Temperatura; ","")&amp;IF(E83="","Segmento; ","")&amp;IF(F83="","Time/Cluster; ","")&amp;IF(G83="","CNPJ; ","")&amp;IF(H83="","Razão Social; ","")&amp;IF(AND(J83="",K83=""),"nome do contato; ","")&amp;IF(AND(M83="",N83="",O83=""),"telefone, celular ou e-mail; ","")))</f>
      </c>
      <c r="AB83" s="6">
        <f>IF(COUNTA(A83:S83)=0,"",IF(AND(U83="OK",V83="OK",LEFT(W83,4)&lt;&gt;"ERRO",LEFT(X83,4)&lt;&gt;"ERRO",LEFT(Y83,4)&lt;&gt;"ERRO",AA83="OK"),"OK","REVISAR"))</f>
      </c>
    </row>
    <row r="84">
      <c r="A84" s="5"/>
      <c r="B84" s="5"/>
      <c r="C84" s="5"/>
      <c r="D84" s="5"/>
      <c r="E84" s="5"/>
      <c r="F84" s="5"/>
      <c r="G84" s="5"/>
      <c r="H84" s="5"/>
      <c r="I84" s="4"/>
      <c r="J84" s="5"/>
      <c r="K84" s="4"/>
      <c r="L84" s="4"/>
      <c r="M84" s="4"/>
      <c r="N84" s="4"/>
      <c r="O84" s="4"/>
      <c r="P84" s="4"/>
      <c r="Q84" s="4"/>
      <c r="R84" s="4"/>
      <c r="S84" s="4"/>
      <c r="T84" s="6">
        <f>IF(G84="","",SUBSTITUTE(SUBSTITUTE(SUBSTITUTE(SUBSTITUTE(SUBSTITUTE(SUBSTITUTE(SUBSTITUTE(TRIM(G84),".",""),"/",""),"-","")," ",""),"(",""),")",""),"+",""))</f>
      </c>
      <c r="U84" s="6">
        <f>IF(T84="","",IF(LEN(T84)&lt;&gt;14,"ERRO: "&amp;LEN(T84)&amp;" dígitos",IF(NOT(ISNUMBER(VALUE(T84))),"ERRO: não numérico",IF(LEN(SUBSTITUTE(T84,LEFT(T84,1),""))=0,"ERRO: dígitos repetidos",IF(AND(VALUE(MID(T84,13,1))=IF(MOD(SUMPRODUCT(--MID(T84,{1,2,3,4,5,6,7,8,9,10,11,12},1),{5,4,3,2,9,8,7,6,5,4,3,2}),11)&lt;2,0,11-MOD(SUMPRODUCT(--MID(T84,{1,2,3,4,5,6,7,8,9,10,11,12},1),{5,4,3,2,9,8,7,6,5,4,3,2}),11)),VALUE(MID(T84,14,1))=IF(MOD(SUMPRODUCT(--MID(T84,{1,2,3,4,5,6,7,8,9,10,11,12,13},1),{6,5,4,3,2,9,8,7,6,5,4,3,2}),11)&lt;2,0,11-MOD(SUMPRODUCT(--MID(T84,{1,2,3,4,5,6,7,8,9,10,11,12,13},1),{6,5,4,3,2,9,8,7,6,5,4,3,2}),11))),"OK","ERRO: dígito verificador")))))</f>
      </c>
      <c r="V84" s="6">
        <f>IF(T84="","",IF(COUNTIF($T$2:$T$1001,T84)&gt;1,"DUPLICADO","OK"))</f>
      </c>
      <c r="W84" s="6">
        <f>IF(M84="","vazio",IF(OR(AND(LEN(SUBSTITUTE(SUBSTITUTE(SUBSTITUTE(SUBSTITUTE(SUBSTITUTE(SUBSTITUTE(SUBSTITUTE(TRIM(M84),".",""),"/",""),"-","")," ",""),"(",""),")",""),"+",""))=10,LEFT(SUBSTITUTE(SUBSTITUTE(SUBSTITUTE(SUBSTITUTE(SUBSTITUTE(SUBSTITUTE(SUBSTITUTE(TRIM(M84),".",""),"/",""),"-","")," ",""),"(",""),")",""),"+",""),1)&lt;&gt;"0"),AND(LEN(SUBSTITUTE(SUBSTITUTE(SUBSTITUTE(SUBSTITUTE(SUBSTITUTE(SUBSTITUTE(SUBSTITUTE(TRIM(M84),".",""),"/",""),"-","")," ",""),"(",""),")",""),"+",""))=11,LEFT(SUBSTITUTE(SUBSTITUTE(SUBSTITUTE(SUBSTITUTE(SUBSTITUTE(SUBSTITUTE(SUBSTITUTE(TRIM(M84),".",""),"/",""),"-","")," ",""),"(",""),")",""),"+",""),4)="0800")),"OK",IF(AND(LEN(SUBSTITUTE(SUBSTITUTE(SUBSTITUTE(SUBSTITUTE(SUBSTITUTE(SUBSTITUTE(SUBSTITUTE(TRIM(M84),".",""),"/",""),"-","")," ",""),"(",""),")",""),"+",""))=11,MID(SUBSTITUTE(SUBSTITUTE(SUBSTITUTE(SUBSTITUTE(SUBSTITUTE(SUBSTITUTE(SUBSTITUTE(TRIM(M84),".",""),"/",""),"-","")," ",""),"(",""),")",""),"+",""),3,1)="9"),"ERRO: é celular, use a coluna Celular","ERRO: DDD + 8 dígitos ou 0800 + 7")))</f>
      </c>
      <c r="X84" s="6">
        <f>IF(N84="","vazio",IF(AND(LEN(SUBSTITUTE(SUBSTITUTE(SUBSTITUTE(SUBSTITUTE(SUBSTITUTE(SUBSTITUTE(SUBSTITUTE(TRIM(N84),".",""),"/",""),"-","")," ",""),"(",""),")",""),"+",""))=11,MID(SUBSTITUTE(SUBSTITUTE(SUBSTITUTE(SUBSTITUTE(SUBSTITUTE(SUBSTITUTE(SUBSTITUTE(TRIM(N84),".",""),"/",""),"-","")," ",""),"(",""),")",""),"+",""),3,1)="9",LEFT(SUBSTITUTE(SUBSTITUTE(SUBSTITUTE(SUBSTITUTE(SUBSTITUTE(SUBSTITUTE(SUBSTITUTE(TRIM(N84),".",""),"/",""),"-","")," ",""),"(",""),")",""),"+",""),1)&lt;&gt;"0"),"OK",IF(LEN(SUBSTITUTE(SUBSTITUTE(SUBSTITUTE(SUBSTITUTE(SUBSTITUTE(SUBSTITUTE(SUBSTITUTE(TRIM(N84),".",""),"/",""),"-","")," ",""),"(",""),")",""),"+",""))=10,"ERRO: é fixo (ou falta o 9), use a coluna Telefone fixo","ERRO: DDD + 9 + 8 dígitos")))</f>
      </c>
      <c r="Y84" s="6">
        <f>IF(O84="","vazio",IF(AND(ISNUMBER(FIND("@",O84)),ISNUMBER(FIND(".",MID(O84,FIND("@",O84),99))),NOT(ISNUMBER(FIND(" ",TRIM(O84)))),NOT(ISNUMBER(FIND(";",O84))),NOT(ISNUMBER(FIND(",",O84)))),"OK","ERRO: um e-mail válido por linha"))</f>
      </c>
      <c r="Z84" s="6">
        <f>IF(AND(J84="",K84=""),"",IF(AND(J84&lt;&gt;"",K84&lt;&gt;""),"OK","pendente: só um nome (o GR completa ao converter)"))</f>
      </c>
      <c r="AA84" s="6">
        <f>IF(COUNTA(A84:S84)=0,"",IF(AND(A84&lt;&gt;"",B84&lt;&gt;"",C84&lt;&gt;"",D84&lt;&gt;"",E84&lt;&gt;"",F84&lt;&gt;"",G84&lt;&gt;"",H84&lt;&gt;"",OR(J84&lt;&gt;"",K84&lt;&gt;""),OR(M84&lt;&gt;"",N84&lt;&gt;"",O84&lt;&gt;"")),"OK","ERRO: faltam "&amp;IF(A84="","SDR; ","")&amp;IF(B84="","Proprietário; ","")&amp;IF(C84="","Origem; ","")&amp;IF(D84="","Temperatura; ","")&amp;IF(E84="","Segmento; ","")&amp;IF(F84="","Time/Cluster; ","")&amp;IF(G84="","CNPJ; ","")&amp;IF(H84="","Razão Social; ","")&amp;IF(AND(J84="",K84=""),"nome do contato; ","")&amp;IF(AND(M84="",N84="",O84=""),"telefone, celular ou e-mail; ","")))</f>
      </c>
      <c r="AB84" s="6">
        <f>IF(COUNTA(A84:S84)=0,"",IF(AND(U84="OK",V84="OK",LEFT(W84,4)&lt;&gt;"ERRO",LEFT(X84,4)&lt;&gt;"ERRO",LEFT(Y84,4)&lt;&gt;"ERRO",AA84="OK"),"OK","REVISAR"))</f>
      </c>
    </row>
    <row r="85">
      <c r="A85" s="5"/>
      <c r="B85" s="5"/>
      <c r="C85" s="5"/>
      <c r="D85" s="5"/>
      <c r="E85" s="5"/>
      <c r="F85" s="5"/>
      <c r="G85" s="5"/>
      <c r="H85" s="5"/>
      <c r="I85" s="4"/>
      <c r="J85" s="5"/>
      <c r="K85" s="4"/>
      <c r="L85" s="4"/>
      <c r="M85" s="4"/>
      <c r="N85" s="4"/>
      <c r="O85" s="4"/>
      <c r="P85" s="4"/>
      <c r="Q85" s="4"/>
      <c r="R85" s="4"/>
      <c r="S85" s="4"/>
      <c r="T85" s="6">
        <f>IF(G85="","",SUBSTITUTE(SUBSTITUTE(SUBSTITUTE(SUBSTITUTE(SUBSTITUTE(SUBSTITUTE(SUBSTITUTE(TRIM(G85),".",""),"/",""),"-","")," ",""),"(",""),")",""),"+",""))</f>
      </c>
      <c r="U85" s="6">
        <f>IF(T85="","",IF(LEN(T85)&lt;&gt;14,"ERRO: "&amp;LEN(T85)&amp;" dígitos",IF(NOT(ISNUMBER(VALUE(T85))),"ERRO: não numérico",IF(LEN(SUBSTITUTE(T85,LEFT(T85,1),""))=0,"ERRO: dígitos repetidos",IF(AND(VALUE(MID(T85,13,1))=IF(MOD(SUMPRODUCT(--MID(T85,{1,2,3,4,5,6,7,8,9,10,11,12},1),{5,4,3,2,9,8,7,6,5,4,3,2}),11)&lt;2,0,11-MOD(SUMPRODUCT(--MID(T85,{1,2,3,4,5,6,7,8,9,10,11,12},1),{5,4,3,2,9,8,7,6,5,4,3,2}),11)),VALUE(MID(T85,14,1))=IF(MOD(SUMPRODUCT(--MID(T85,{1,2,3,4,5,6,7,8,9,10,11,12,13},1),{6,5,4,3,2,9,8,7,6,5,4,3,2}),11)&lt;2,0,11-MOD(SUMPRODUCT(--MID(T85,{1,2,3,4,5,6,7,8,9,10,11,12,13},1),{6,5,4,3,2,9,8,7,6,5,4,3,2}),11))),"OK","ERRO: dígito verificador")))))</f>
      </c>
      <c r="V85" s="6">
        <f>IF(T85="","",IF(COUNTIF($T$2:$T$1001,T85)&gt;1,"DUPLICADO","OK"))</f>
      </c>
      <c r="W85" s="6">
        <f>IF(M85="","vazio",IF(OR(AND(LEN(SUBSTITUTE(SUBSTITUTE(SUBSTITUTE(SUBSTITUTE(SUBSTITUTE(SUBSTITUTE(SUBSTITUTE(TRIM(M85),".",""),"/",""),"-","")," ",""),"(",""),")",""),"+",""))=10,LEFT(SUBSTITUTE(SUBSTITUTE(SUBSTITUTE(SUBSTITUTE(SUBSTITUTE(SUBSTITUTE(SUBSTITUTE(TRIM(M85),".",""),"/",""),"-","")," ",""),"(",""),")",""),"+",""),1)&lt;&gt;"0"),AND(LEN(SUBSTITUTE(SUBSTITUTE(SUBSTITUTE(SUBSTITUTE(SUBSTITUTE(SUBSTITUTE(SUBSTITUTE(TRIM(M85),".",""),"/",""),"-","")," ",""),"(",""),")",""),"+",""))=11,LEFT(SUBSTITUTE(SUBSTITUTE(SUBSTITUTE(SUBSTITUTE(SUBSTITUTE(SUBSTITUTE(SUBSTITUTE(TRIM(M85),".",""),"/",""),"-","")," ",""),"(",""),")",""),"+",""),4)="0800")),"OK",IF(AND(LEN(SUBSTITUTE(SUBSTITUTE(SUBSTITUTE(SUBSTITUTE(SUBSTITUTE(SUBSTITUTE(SUBSTITUTE(TRIM(M85),".",""),"/",""),"-","")," ",""),"(",""),")",""),"+",""))=11,MID(SUBSTITUTE(SUBSTITUTE(SUBSTITUTE(SUBSTITUTE(SUBSTITUTE(SUBSTITUTE(SUBSTITUTE(TRIM(M85),".",""),"/",""),"-","")," ",""),"(",""),")",""),"+",""),3,1)="9"),"ERRO: é celular, use a coluna Celular","ERRO: DDD + 8 dígitos ou 0800 + 7")))</f>
      </c>
      <c r="X85" s="6">
        <f>IF(N85="","vazio",IF(AND(LEN(SUBSTITUTE(SUBSTITUTE(SUBSTITUTE(SUBSTITUTE(SUBSTITUTE(SUBSTITUTE(SUBSTITUTE(TRIM(N85),".",""),"/",""),"-","")," ",""),"(",""),")",""),"+",""))=11,MID(SUBSTITUTE(SUBSTITUTE(SUBSTITUTE(SUBSTITUTE(SUBSTITUTE(SUBSTITUTE(SUBSTITUTE(TRIM(N85),".",""),"/",""),"-","")," ",""),"(",""),")",""),"+",""),3,1)="9",LEFT(SUBSTITUTE(SUBSTITUTE(SUBSTITUTE(SUBSTITUTE(SUBSTITUTE(SUBSTITUTE(SUBSTITUTE(TRIM(N85),".",""),"/",""),"-","")," ",""),"(",""),")",""),"+",""),1)&lt;&gt;"0"),"OK",IF(LEN(SUBSTITUTE(SUBSTITUTE(SUBSTITUTE(SUBSTITUTE(SUBSTITUTE(SUBSTITUTE(SUBSTITUTE(TRIM(N85),".",""),"/",""),"-","")," ",""),"(",""),")",""),"+",""))=10,"ERRO: é fixo (ou falta o 9), use a coluna Telefone fixo","ERRO: DDD + 9 + 8 dígitos")))</f>
      </c>
      <c r="Y85" s="6">
        <f>IF(O85="","vazio",IF(AND(ISNUMBER(FIND("@",O85)),ISNUMBER(FIND(".",MID(O85,FIND("@",O85),99))),NOT(ISNUMBER(FIND(" ",TRIM(O85)))),NOT(ISNUMBER(FIND(";",O85))),NOT(ISNUMBER(FIND(",",O85)))),"OK","ERRO: um e-mail válido por linha"))</f>
      </c>
      <c r="Z85" s="6">
        <f>IF(AND(J85="",K85=""),"",IF(AND(J85&lt;&gt;"",K85&lt;&gt;""),"OK","pendente: só um nome (o GR completa ao converter)"))</f>
      </c>
      <c r="AA85" s="6">
        <f>IF(COUNTA(A85:S85)=0,"",IF(AND(A85&lt;&gt;"",B85&lt;&gt;"",C85&lt;&gt;"",D85&lt;&gt;"",E85&lt;&gt;"",F85&lt;&gt;"",G85&lt;&gt;"",H85&lt;&gt;"",OR(J85&lt;&gt;"",K85&lt;&gt;""),OR(M85&lt;&gt;"",N85&lt;&gt;"",O85&lt;&gt;"")),"OK","ERRO: faltam "&amp;IF(A85="","SDR; ","")&amp;IF(B85="","Proprietário; ","")&amp;IF(C85="","Origem; ","")&amp;IF(D85="","Temperatura; ","")&amp;IF(E85="","Segmento; ","")&amp;IF(F85="","Time/Cluster; ","")&amp;IF(G85="","CNPJ; ","")&amp;IF(H85="","Razão Social; ","")&amp;IF(AND(J85="",K85=""),"nome do contato; ","")&amp;IF(AND(M85="",N85="",O85=""),"telefone, celular ou e-mail; ","")))</f>
      </c>
      <c r="AB85" s="6">
        <f>IF(COUNTA(A85:S85)=0,"",IF(AND(U85="OK",V85="OK",LEFT(W85,4)&lt;&gt;"ERRO",LEFT(X85,4)&lt;&gt;"ERRO",LEFT(Y85,4)&lt;&gt;"ERRO",AA85="OK"),"OK","REVISAR"))</f>
      </c>
    </row>
    <row r="86">
      <c r="A86" s="5"/>
      <c r="B86" s="5"/>
      <c r="C86" s="5"/>
      <c r="D86" s="5"/>
      <c r="E86" s="5"/>
      <c r="F86" s="5"/>
      <c r="G86" s="5"/>
      <c r="H86" s="5"/>
      <c r="I86" s="4"/>
      <c r="J86" s="5"/>
      <c r="K86" s="4"/>
      <c r="L86" s="4"/>
      <c r="M86" s="4"/>
      <c r="N86" s="4"/>
      <c r="O86" s="4"/>
      <c r="P86" s="4"/>
      <c r="Q86" s="4"/>
      <c r="R86" s="4"/>
      <c r="S86" s="4"/>
      <c r="T86" s="6">
        <f>IF(G86="","",SUBSTITUTE(SUBSTITUTE(SUBSTITUTE(SUBSTITUTE(SUBSTITUTE(SUBSTITUTE(SUBSTITUTE(TRIM(G86),".",""),"/",""),"-","")," ",""),"(",""),")",""),"+",""))</f>
      </c>
      <c r="U86" s="6">
        <f>IF(T86="","",IF(LEN(T86)&lt;&gt;14,"ERRO: "&amp;LEN(T86)&amp;" dígitos",IF(NOT(ISNUMBER(VALUE(T86))),"ERRO: não numérico",IF(LEN(SUBSTITUTE(T86,LEFT(T86,1),""))=0,"ERRO: dígitos repetidos",IF(AND(VALUE(MID(T86,13,1))=IF(MOD(SUMPRODUCT(--MID(T86,{1,2,3,4,5,6,7,8,9,10,11,12},1),{5,4,3,2,9,8,7,6,5,4,3,2}),11)&lt;2,0,11-MOD(SUMPRODUCT(--MID(T86,{1,2,3,4,5,6,7,8,9,10,11,12},1),{5,4,3,2,9,8,7,6,5,4,3,2}),11)),VALUE(MID(T86,14,1))=IF(MOD(SUMPRODUCT(--MID(T86,{1,2,3,4,5,6,7,8,9,10,11,12,13},1),{6,5,4,3,2,9,8,7,6,5,4,3,2}),11)&lt;2,0,11-MOD(SUMPRODUCT(--MID(T86,{1,2,3,4,5,6,7,8,9,10,11,12,13},1),{6,5,4,3,2,9,8,7,6,5,4,3,2}),11))),"OK","ERRO: dígito verificador")))))</f>
      </c>
      <c r="V86" s="6">
        <f>IF(T86="","",IF(COUNTIF($T$2:$T$1001,T86)&gt;1,"DUPLICADO","OK"))</f>
      </c>
      <c r="W86" s="6">
        <f>IF(M86="","vazio",IF(OR(AND(LEN(SUBSTITUTE(SUBSTITUTE(SUBSTITUTE(SUBSTITUTE(SUBSTITUTE(SUBSTITUTE(SUBSTITUTE(TRIM(M86),".",""),"/",""),"-","")," ",""),"(",""),")",""),"+",""))=10,LEFT(SUBSTITUTE(SUBSTITUTE(SUBSTITUTE(SUBSTITUTE(SUBSTITUTE(SUBSTITUTE(SUBSTITUTE(TRIM(M86),".",""),"/",""),"-","")," ",""),"(",""),")",""),"+",""),1)&lt;&gt;"0"),AND(LEN(SUBSTITUTE(SUBSTITUTE(SUBSTITUTE(SUBSTITUTE(SUBSTITUTE(SUBSTITUTE(SUBSTITUTE(TRIM(M86),".",""),"/",""),"-","")," ",""),"(",""),")",""),"+",""))=11,LEFT(SUBSTITUTE(SUBSTITUTE(SUBSTITUTE(SUBSTITUTE(SUBSTITUTE(SUBSTITUTE(SUBSTITUTE(TRIM(M86),".",""),"/",""),"-","")," ",""),"(",""),")",""),"+",""),4)="0800")),"OK",IF(AND(LEN(SUBSTITUTE(SUBSTITUTE(SUBSTITUTE(SUBSTITUTE(SUBSTITUTE(SUBSTITUTE(SUBSTITUTE(TRIM(M86),".",""),"/",""),"-","")," ",""),"(",""),")",""),"+",""))=11,MID(SUBSTITUTE(SUBSTITUTE(SUBSTITUTE(SUBSTITUTE(SUBSTITUTE(SUBSTITUTE(SUBSTITUTE(TRIM(M86),".",""),"/",""),"-","")," ",""),"(",""),")",""),"+",""),3,1)="9"),"ERRO: é celular, use a coluna Celular","ERRO: DDD + 8 dígitos ou 0800 + 7")))</f>
      </c>
      <c r="X86" s="6">
        <f>IF(N86="","vazio",IF(AND(LEN(SUBSTITUTE(SUBSTITUTE(SUBSTITUTE(SUBSTITUTE(SUBSTITUTE(SUBSTITUTE(SUBSTITUTE(TRIM(N86),".",""),"/",""),"-","")," ",""),"(",""),")",""),"+",""))=11,MID(SUBSTITUTE(SUBSTITUTE(SUBSTITUTE(SUBSTITUTE(SUBSTITUTE(SUBSTITUTE(SUBSTITUTE(TRIM(N86),".",""),"/",""),"-","")," ",""),"(",""),")",""),"+",""),3,1)="9",LEFT(SUBSTITUTE(SUBSTITUTE(SUBSTITUTE(SUBSTITUTE(SUBSTITUTE(SUBSTITUTE(SUBSTITUTE(TRIM(N86),".",""),"/",""),"-","")," ",""),"(",""),")",""),"+",""),1)&lt;&gt;"0"),"OK",IF(LEN(SUBSTITUTE(SUBSTITUTE(SUBSTITUTE(SUBSTITUTE(SUBSTITUTE(SUBSTITUTE(SUBSTITUTE(TRIM(N86),".",""),"/",""),"-","")," ",""),"(",""),")",""),"+",""))=10,"ERRO: é fixo (ou falta o 9), use a coluna Telefone fixo","ERRO: DDD + 9 + 8 dígitos")))</f>
      </c>
      <c r="Y86" s="6">
        <f>IF(O86="","vazio",IF(AND(ISNUMBER(FIND("@",O86)),ISNUMBER(FIND(".",MID(O86,FIND("@",O86),99))),NOT(ISNUMBER(FIND(" ",TRIM(O86)))),NOT(ISNUMBER(FIND(";",O86))),NOT(ISNUMBER(FIND(",",O86)))),"OK","ERRO: um e-mail válido por linha"))</f>
      </c>
      <c r="Z86" s="6">
        <f>IF(AND(J86="",K86=""),"",IF(AND(J86&lt;&gt;"",K86&lt;&gt;""),"OK","pendente: só um nome (o GR completa ao converter)"))</f>
      </c>
      <c r="AA86" s="6">
        <f>IF(COUNTA(A86:S86)=0,"",IF(AND(A86&lt;&gt;"",B86&lt;&gt;"",C86&lt;&gt;"",D86&lt;&gt;"",E86&lt;&gt;"",F86&lt;&gt;"",G86&lt;&gt;"",H86&lt;&gt;"",OR(J86&lt;&gt;"",K86&lt;&gt;""),OR(M86&lt;&gt;"",N86&lt;&gt;"",O86&lt;&gt;"")),"OK","ERRO: faltam "&amp;IF(A86="","SDR; ","")&amp;IF(B86="","Proprietário; ","")&amp;IF(C86="","Origem; ","")&amp;IF(D86="","Temperatura; ","")&amp;IF(E86="","Segmento; ","")&amp;IF(F86="","Time/Cluster; ","")&amp;IF(G86="","CNPJ; ","")&amp;IF(H86="","Razão Social; ","")&amp;IF(AND(J86="",K86=""),"nome do contato; ","")&amp;IF(AND(M86="",N86="",O86=""),"telefone, celular ou e-mail; ","")))</f>
      </c>
      <c r="AB86" s="6">
        <f>IF(COUNTA(A86:S86)=0,"",IF(AND(U86="OK",V86="OK",LEFT(W86,4)&lt;&gt;"ERRO",LEFT(X86,4)&lt;&gt;"ERRO",LEFT(Y86,4)&lt;&gt;"ERRO",AA86="OK"),"OK","REVISAR"))</f>
      </c>
    </row>
    <row r="87">
      <c r="A87" s="5"/>
      <c r="B87" s="5"/>
      <c r="C87" s="5"/>
      <c r="D87" s="5"/>
      <c r="E87" s="5"/>
      <c r="F87" s="5"/>
      <c r="G87" s="5"/>
      <c r="H87" s="5"/>
      <c r="I87" s="4"/>
      <c r="J87" s="5"/>
      <c r="K87" s="4"/>
      <c r="L87" s="4"/>
      <c r="M87" s="4"/>
      <c r="N87" s="4"/>
      <c r="O87" s="4"/>
      <c r="P87" s="4"/>
      <c r="Q87" s="4"/>
      <c r="R87" s="4"/>
      <c r="S87" s="4"/>
      <c r="T87" s="6">
        <f>IF(G87="","",SUBSTITUTE(SUBSTITUTE(SUBSTITUTE(SUBSTITUTE(SUBSTITUTE(SUBSTITUTE(SUBSTITUTE(TRIM(G87),".",""),"/",""),"-","")," ",""),"(",""),")",""),"+",""))</f>
      </c>
      <c r="U87" s="6">
        <f>IF(T87="","",IF(LEN(T87)&lt;&gt;14,"ERRO: "&amp;LEN(T87)&amp;" dígitos",IF(NOT(ISNUMBER(VALUE(T87))),"ERRO: não numérico",IF(LEN(SUBSTITUTE(T87,LEFT(T87,1),""))=0,"ERRO: dígitos repetidos",IF(AND(VALUE(MID(T87,13,1))=IF(MOD(SUMPRODUCT(--MID(T87,{1,2,3,4,5,6,7,8,9,10,11,12},1),{5,4,3,2,9,8,7,6,5,4,3,2}),11)&lt;2,0,11-MOD(SUMPRODUCT(--MID(T87,{1,2,3,4,5,6,7,8,9,10,11,12},1),{5,4,3,2,9,8,7,6,5,4,3,2}),11)),VALUE(MID(T87,14,1))=IF(MOD(SUMPRODUCT(--MID(T87,{1,2,3,4,5,6,7,8,9,10,11,12,13},1),{6,5,4,3,2,9,8,7,6,5,4,3,2}),11)&lt;2,0,11-MOD(SUMPRODUCT(--MID(T87,{1,2,3,4,5,6,7,8,9,10,11,12,13},1),{6,5,4,3,2,9,8,7,6,5,4,3,2}),11))),"OK","ERRO: dígito verificador")))))</f>
      </c>
      <c r="V87" s="6">
        <f>IF(T87="","",IF(COUNTIF($T$2:$T$1001,T87)&gt;1,"DUPLICADO","OK"))</f>
      </c>
      <c r="W87" s="6">
        <f>IF(M87="","vazio",IF(OR(AND(LEN(SUBSTITUTE(SUBSTITUTE(SUBSTITUTE(SUBSTITUTE(SUBSTITUTE(SUBSTITUTE(SUBSTITUTE(TRIM(M87),".",""),"/",""),"-","")," ",""),"(",""),")",""),"+",""))=10,LEFT(SUBSTITUTE(SUBSTITUTE(SUBSTITUTE(SUBSTITUTE(SUBSTITUTE(SUBSTITUTE(SUBSTITUTE(TRIM(M87),".",""),"/",""),"-","")," ",""),"(",""),")",""),"+",""),1)&lt;&gt;"0"),AND(LEN(SUBSTITUTE(SUBSTITUTE(SUBSTITUTE(SUBSTITUTE(SUBSTITUTE(SUBSTITUTE(SUBSTITUTE(TRIM(M87),".",""),"/",""),"-","")," ",""),"(",""),")",""),"+",""))=11,LEFT(SUBSTITUTE(SUBSTITUTE(SUBSTITUTE(SUBSTITUTE(SUBSTITUTE(SUBSTITUTE(SUBSTITUTE(TRIM(M87),".",""),"/",""),"-","")," ",""),"(",""),")",""),"+",""),4)="0800")),"OK",IF(AND(LEN(SUBSTITUTE(SUBSTITUTE(SUBSTITUTE(SUBSTITUTE(SUBSTITUTE(SUBSTITUTE(SUBSTITUTE(TRIM(M87),".",""),"/",""),"-","")," ",""),"(",""),")",""),"+",""))=11,MID(SUBSTITUTE(SUBSTITUTE(SUBSTITUTE(SUBSTITUTE(SUBSTITUTE(SUBSTITUTE(SUBSTITUTE(TRIM(M87),".",""),"/",""),"-","")," ",""),"(",""),")",""),"+",""),3,1)="9"),"ERRO: é celular, use a coluna Celular","ERRO: DDD + 8 dígitos ou 0800 + 7")))</f>
      </c>
      <c r="X87" s="6">
        <f>IF(N87="","vazio",IF(AND(LEN(SUBSTITUTE(SUBSTITUTE(SUBSTITUTE(SUBSTITUTE(SUBSTITUTE(SUBSTITUTE(SUBSTITUTE(TRIM(N87),".",""),"/",""),"-","")," ",""),"(",""),")",""),"+",""))=11,MID(SUBSTITUTE(SUBSTITUTE(SUBSTITUTE(SUBSTITUTE(SUBSTITUTE(SUBSTITUTE(SUBSTITUTE(TRIM(N87),".",""),"/",""),"-","")," ",""),"(",""),")",""),"+",""),3,1)="9",LEFT(SUBSTITUTE(SUBSTITUTE(SUBSTITUTE(SUBSTITUTE(SUBSTITUTE(SUBSTITUTE(SUBSTITUTE(TRIM(N87),".",""),"/",""),"-","")," ",""),"(",""),")",""),"+",""),1)&lt;&gt;"0"),"OK",IF(LEN(SUBSTITUTE(SUBSTITUTE(SUBSTITUTE(SUBSTITUTE(SUBSTITUTE(SUBSTITUTE(SUBSTITUTE(TRIM(N87),".",""),"/",""),"-","")," ",""),"(",""),")",""),"+",""))=10,"ERRO: é fixo (ou falta o 9), use a coluna Telefone fixo","ERRO: DDD + 9 + 8 dígitos")))</f>
      </c>
      <c r="Y87" s="6">
        <f>IF(O87="","vazio",IF(AND(ISNUMBER(FIND("@",O87)),ISNUMBER(FIND(".",MID(O87,FIND("@",O87),99))),NOT(ISNUMBER(FIND(" ",TRIM(O87)))),NOT(ISNUMBER(FIND(";",O87))),NOT(ISNUMBER(FIND(",",O87)))),"OK","ERRO: um e-mail válido por linha"))</f>
      </c>
      <c r="Z87" s="6">
        <f>IF(AND(J87="",K87=""),"",IF(AND(J87&lt;&gt;"",K87&lt;&gt;""),"OK","pendente: só um nome (o GR completa ao converter)"))</f>
      </c>
      <c r="AA87" s="6">
        <f>IF(COUNTA(A87:S87)=0,"",IF(AND(A87&lt;&gt;"",B87&lt;&gt;"",C87&lt;&gt;"",D87&lt;&gt;"",E87&lt;&gt;"",F87&lt;&gt;"",G87&lt;&gt;"",H87&lt;&gt;"",OR(J87&lt;&gt;"",K87&lt;&gt;""),OR(M87&lt;&gt;"",N87&lt;&gt;"",O87&lt;&gt;"")),"OK","ERRO: faltam "&amp;IF(A87="","SDR; ","")&amp;IF(B87="","Proprietário; ","")&amp;IF(C87="","Origem; ","")&amp;IF(D87="","Temperatura; ","")&amp;IF(E87="","Segmento; ","")&amp;IF(F87="","Time/Cluster; ","")&amp;IF(G87="","CNPJ; ","")&amp;IF(H87="","Razão Social; ","")&amp;IF(AND(J87="",K87=""),"nome do contato; ","")&amp;IF(AND(M87="",N87="",O87=""),"telefone, celular ou e-mail; ","")))</f>
      </c>
      <c r="AB87" s="6">
        <f>IF(COUNTA(A87:S87)=0,"",IF(AND(U87="OK",V87="OK",LEFT(W87,4)&lt;&gt;"ERRO",LEFT(X87,4)&lt;&gt;"ERRO",LEFT(Y87,4)&lt;&gt;"ERRO",AA87="OK"),"OK","REVISAR"))</f>
      </c>
    </row>
    <row r="88">
      <c r="A88" s="5"/>
      <c r="B88" s="5"/>
      <c r="C88" s="5"/>
      <c r="D88" s="5"/>
      <c r="E88" s="5"/>
      <c r="F88" s="5"/>
      <c r="G88" s="5"/>
      <c r="H88" s="5"/>
      <c r="I88" s="4"/>
      <c r="J88" s="5"/>
      <c r="K88" s="4"/>
      <c r="L88" s="4"/>
      <c r="M88" s="4"/>
      <c r="N88" s="4"/>
      <c r="O88" s="4"/>
      <c r="P88" s="4"/>
      <c r="Q88" s="4"/>
      <c r="R88" s="4"/>
      <c r="S88" s="4"/>
      <c r="T88" s="6">
        <f>IF(G88="","",SUBSTITUTE(SUBSTITUTE(SUBSTITUTE(SUBSTITUTE(SUBSTITUTE(SUBSTITUTE(SUBSTITUTE(TRIM(G88),".",""),"/",""),"-","")," ",""),"(",""),")",""),"+",""))</f>
      </c>
      <c r="U88" s="6">
        <f>IF(T88="","",IF(LEN(T88)&lt;&gt;14,"ERRO: "&amp;LEN(T88)&amp;" dígitos",IF(NOT(ISNUMBER(VALUE(T88))),"ERRO: não numérico",IF(LEN(SUBSTITUTE(T88,LEFT(T88,1),""))=0,"ERRO: dígitos repetidos",IF(AND(VALUE(MID(T88,13,1))=IF(MOD(SUMPRODUCT(--MID(T88,{1,2,3,4,5,6,7,8,9,10,11,12},1),{5,4,3,2,9,8,7,6,5,4,3,2}),11)&lt;2,0,11-MOD(SUMPRODUCT(--MID(T88,{1,2,3,4,5,6,7,8,9,10,11,12},1),{5,4,3,2,9,8,7,6,5,4,3,2}),11)),VALUE(MID(T88,14,1))=IF(MOD(SUMPRODUCT(--MID(T88,{1,2,3,4,5,6,7,8,9,10,11,12,13},1),{6,5,4,3,2,9,8,7,6,5,4,3,2}),11)&lt;2,0,11-MOD(SUMPRODUCT(--MID(T88,{1,2,3,4,5,6,7,8,9,10,11,12,13},1),{6,5,4,3,2,9,8,7,6,5,4,3,2}),11))),"OK","ERRO: dígito verificador")))))</f>
      </c>
      <c r="V88" s="6">
        <f>IF(T88="","",IF(COUNTIF($T$2:$T$1001,T88)&gt;1,"DUPLICADO","OK"))</f>
      </c>
      <c r="W88" s="6">
        <f>IF(M88="","vazio",IF(OR(AND(LEN(SUBSTITUTE(SUBSTITUTE(SUBSTITUTE(SUBSTITUTE(SUBSTITUTE(SUBSTITUTE(SUBSTITUTE(TRIM(M88),".",""),"/",""),"-","")," ",""),"(",""),")",""),"+",""))=10,LEFT(SUBSTITUTE(SUBSTITUTE(SUBSTITUTE(SUBSTITUTE(SUBSTITUTE(SUBSTITUTE(SUBSTITUTE(TRIM(M88),".",""),"/",""),"-","")," ",""),"(",""),")",""),"+",""),1)&lt;&gt;"0"),AND(LEN(SUBSTITUTE(SUBSTITUTE(SUBSTITUTE(SUBSTITUTE(SUBSTITUTE(SUBSTITUTE(SUBSTITUTE(TRIM(M88),".",""),"/",""),"-","")," ",""),"(",""),")",""),"+",""))=11,LEFT(SUBSTITUTE(SUBSTITUTE(SUBSTITUTE(SUBSTITUTE(SUBSTITUTE(SUBSTITUTE(SUBSTITUTE(TRIM(M88),".",""),"/",""),"-","")," ",""),"(",""),")",""),"+",""),4)="0800")),"OK",IF(AND(LEN(SUBSTITUTE(SUBSTITUTE(SUBSTITUTE(SUBSTITUTE(SUBSTITUTE(SUBSTITUTE(SUBSTITUTE(TRIM(M88),".",""),"/",""),"-","")," ",""),"(",""),")",""),"+",""))=11,MID(SUBSTITUTE(SUBSTITUTE(SUBSTITUTE(SUBSTITUTE(SUBSTITUTE(SUBSTITUTE(SUBSTITUTE(TRIM(M88),".",""),"/",""),"-","")," ",""),"(",""),")",""),"+",""),3,1)="9"),"ERRO: é celular, use a coluna Celular","ERRO: DDD + 8 dígitos ou 0800 + 7")))</f>
      </c>
      <c r="X88" s="6">
        <f>IF(N88="","vazio",IF(AND(LEN(SUBSTITUTE(SUBSTITUTE(SUBSTITUTE(SUBSTITUTE(SUBSTITUTE(SUBSTITUTE(SUBSTITUTE(TRIM(N88),".",""),"/",""),"-","")," ",""),"(",""),")",""),"+",""))=11,MID(SUBSTITUTE(SUBSTITUTE(SUBSTITUTE(SUBSTITUTE(SUBSTITUTE(SUBSTITUTE(SUBSTITUTE(TRIM(N88),".",""),"/",""),"-","")," ",""),"(",""),")",""),"+",""),3,1)="9",LEFT(SUBSTITUTE(SUBSTITUTE(SUBSTITUTE(SUBSTITUTE(SUBSTITUTE(SUBSTITUTE(SUBSTITUTE(TRIM(N88),".",""),"/",""),"-","")," ",""),"(",""),")",""),"+",""),1)&lt;&gt;"0"),"OK",IF(LEN(SUBSTITUTE(SUBSTITUTE(SUBSTITUTE(SUBSTITUTE(SUBSTITUTE(SUBSTITUTE(SUBSTITUTE(TRIM(N88),".",""),"/",""),"-","")," ",""),"(",""),")",""),"+",""))=10,"ERRO: é fixo (ou falta o 9), use a coluna Telefone fixo","ERRO: DDD + 9 + 8 dígitos")))</f>
      </c>
      <c r="Y88" s="6">
        <f>IF(O88="","vazio",IF(AND(ISNUMBER(FIND("@",O88)),ISNUMBER(FIND(".",MID(O88,FIND("@",O88),99))),NOT(ISNUMBER(FIND(" ",TRIM(O88)))),NOT(ISNUMBER(FIND(";",O88))),NOT(ISNUMBER(FIND(",",O88)))),"OK","ERRO: um e-mail válido por linha"))</f>
      </c>
      <c r="Z88" s="6">
        <f>IF(AND(J88="",K88=""),"",IF(AND(J88&lt;&gt;"",K88&lt;&gt;""),"OK","pendente: só um nome (o GR completa ao converter)"))</f>
      </c>
      <c r="AA88" s="6">
        <f>IF(COUNTA(A88:S88)=0,"",IF(AND(A88&lt;&gt;"",B88&lt;&gt;"",C88&lt;&gt;"",D88&lt;&gt;"",E88&lt;&gt;"",F88&lt;&gt;"",G88&lt;&gt;"",H88&lt;&gt;"",OR(J88&lt;&gt;"",K88&lt;&gt;""),OR(M88&lt;&gt;"",N88&lt;&gt;"",O88&lt;&gt;"")),"OK","ERRO: faltam "&amp;IF(A88="","SDR; ","")&amp;IF(B88="","Proprietário; ","")&amp;IF(C88="","Origem; ","")&amp;IF(D88="","Temperatura; ","")&amp;IF(E88="","Segmento; ","")&amp;IF(F88="","Time/Cluster; ","")&amp;IF(G88="","CNPJ; ","")&amp;IF(H88="","Razão Social; ","")&amp;IF(AND(J88="",K88=""),"nome do contato; ","")&amp;IF(AND(M88="",N88="",O88=""),"telefone, celular ou e-mail; ","")))</f>
      </c>
      <c r="AB88" s="6">
        <f>IF(COUNTA(A88:S88)=0,"",IF(AND(U88="OK",V88="OK",LEFT(W88,4)&lt;&gt;"ERRO",LEFT(X88,4)&lt;&gt;"ERRO",LEFT(Y88,4)&lt;&gt;"ERRO",AA88="OK"),"OK","REVISAR"))</f>
      </c>
    </row>
    <row r="89">
      <c r="A89" s="5"/>
      <c r="B89" s="5"/>
      <c r="C89" s="5"/>
      <c r="D89" s="5"/>
      <c r="E89" s="5"/>
      <c r="F89" s="5"/>
      <c r="G89" s="5"/>
      <c r="H89" s="5"/>
      <c r="I89" s="4"/>
      <c r="J89" s="5"/>
      <c r="K89" s="4"/>
      <c r="L89" s="4"/>
      <c r="M89" s="4"/>
      <c r="N89" s="4"/>
      <c r="O89" s="4"/>
      <c r="P89" s="4"/>
      <c r="Q89" s="4"/>
      <c r="R89" s="4"/>
      <c r="S89" s="4"/>
      <c r="T89" s="6">
        <f>IF(G89="","",SUBSTITUTE(SUBSTITUTE(SUBSTITUTE(SUBSTITUTE(SUBSTITUTE(SUBSTITUTE(SUBSTITUTE(TRIM(G89),".",""),"/",""),"-","")," ",""),"(",""),")",""),"+",""))</f>
      </c>
      <c r="U89" s="6">
        <f>IF(T89="","",IF(LEN(T89)&lt;&gt;14,"ERRO: "&amp;LEN(T89)&amp;" dígitos",IF(NOT(ISNUMBER(VALUE(T89))),"ERRO: não numérico",IF(LEN(SUBSTITUTE(T89,LEFT(T89,1),""))=0,"ERRO: dígitos repetidos",IF(AND(VALUE(MID(T89,13,1))=IF(MOD(SUMPRODUCT(--MID(T89,{1,2,3,4,5,6,7,8,9,10,11,12},1),{5,4,3,2,9,8,7,6,5,4,3,2}),11)&lt;2,0,11-MOD(SUMPRODUCT(--MID(T89,{1,2,3,4,5,6,7,8,9,10,11,12},1),{5,4,3,2,9,8,7,6,5,4,3,2}),11)),VALUE(MID(T89,14,1))=IF(MOD(SUMPRODUCT(--MID(T89,{1,2,3,4,5,6,7,8,9,10,11,12,13},1),{6,5,4,3,2,9,8,7,6,5,4,3,2}),11)&lt;2,0,11-MOD(SUMPRODUCT(--MID(T89,{1,2,3,4,5,6,7,8,9,10,11,12,13},1),{6,5,4,3,2,9,8,7,6,5,4,3,2}),11))),"OK","ERRO: dígito verificador")))))</f>
      </c>
      <c r="V89" s="6">
        <f>IF(T89="","",IF(COUNTIF($T$2:$T$1001,T89)&gt;1,"DUPLICADO","OK"))</f>
      </c>
      <c r="W89" s="6">
        <f>IF(M89="","vazio",IF(OR(AND(LEN(SUBSTITUTE(SUBSTITUTE(SUBSTITUTE(SUBSTITUTE(SUBSTITUTE(SUBSTITUTE(SUBSTITUTE(TRIM(M89),".",""),"/",""),"-","")," ",""),"(",""),")",""),"+",""))=10,LEFT(SUBSTITUTE(SUBSTITUTE(SUBSTITUTE(SUBSTITUTE(SUBSTITUTE(SUBSTITUTE(SUBSTITUTE(TRIM(M89),".",""),"/",""),"-","")," ",""),"(",""),")",""),"+",""),1)&lt;&gt;"0"),AND(LEN(SUBSTITUTE(SUBSTITUTE(SUBSTITUTE(SUBSTITUTE(SUBSTITUTE(SUBSTITUTE(SUBSTITUTE(TRIM(M89),".",""),"/",""),"-","")," ",""),"(",""),")",""),"+",""))=11,LEFT(SUBSTITUTE(SUBSTITUTE(SUBSTITUTE(SUBSTITUTE(SUBSTITUTE(SUBSTITUTE(SUBSTITUTE(TRIM(M89),".",""),"/",""),"-","")," ",""),"(",""),")",""),"+",""),4)="0800")),"OK",IF(AND(LEN(SUBSTITUTE(SUBSTITUTE(SUBSTITUTE(SUBSTITUTE(SUBSTITUTE(SUBSTITUTE(SUBSTITUTE(TRIM(M89),".",""),"/",""),"-","")," ",""),"(",""),")",""),"+",""))=11,MID(SUBSTITUTE(SUBSTITUTE(SUBSTITUTE(SUBSTITUTE(SUBSTITUTE(SUBSTITUTE(SUBSTITUTE(TRIM(M89),".",""),"/",""),"-","")," ",""),"(",""),")",""),"+",""),3,1)="9"),"ERRO: é celular, use a coluna Celular","ERRO: DDD + 8 dígitos ou 0800 + 7")))</f>
      </c>
      <c r="X89" s="6">
        <f>IF(N89="","vazio",IF(AND(LEN(SUBSTITUTE(SUBSTITUTE(SUBSTITUTE(SUBSTITUTE(SUBSTITUTE(SUBSTITUTE(SUBSTITUTE(TRIM(N89),".",""),"/",""),"-","")," ",""),"(",""),")",""),"+",""))=11,MID(SUBSTITUTE(SUBSTITUTE(SUBSTITUTE(SUBSTITUTE(SUBSTITUTE(SUBSTITUTE(SUBSTITUTE(TRIM(N89),".",""),"/",""),"-","")," ",""),"(",""),")",""),"+",""),3,1)="9",LEFT(SUBSTITUTE(SUBSTITUTE(SUBSTITUTE(SUBSTITUTE(SUBSTITUTE(SUBSTITUTE(SUBSTITUTE(TRIM(N89),".",""),"/",""),"-","")," ",""),"(",""),")",""),"+",""),1)&lt;&gt;"0"),"OK",IF(LEN(SUBSTITUTE(SUBSTITUTE(SUBSTITUTE(SUBSTITUTE(SUBSTITUTE(SUBSTITUTE(SUBSTITUTE(TRIM(N89),".",""),"/",""),"-","")," ",""),"(",""),")",""),"+",""))=10,"ERRO: é fixo (ou falta o 9), use a coluna Telefone fixo","ERRO: DDD + 9 + 8 dígitos")))</f>
      </c>
      <c r="Y89" s="6">
        <f>IF(O89="","vazio",IF(AND(ISNUMBER(FIND("@",O89)),ISNUMBER(FIND(".",MID(O89,FIND("@",O89),99))),NOT(ISNUMBER(FIND(" ",TRIM(O89)))),NOT(ISNUMBER(FIND(";",O89))),NOT(ISNUMBER(FIND(",",O89)))),"OK","ERRO: um e-mail válido por linha"))</f>
      </c>
      <c r="Z89" s="6">
        <f>IF(AND(J89="",K89=""),"",IF(AND(J89&lt;&gt;"",K89&lt;&gt;""),"OK","pendente: só um nome (o GR completa ao converter)"))</f>
      </c>
      <c r="AA89" s="6">
        <f>IF(COUNTA(A89:S89)=0,"",IF(AND(A89&lt;&gt;"",B89&lt;&gt;"",C89&lt;&gt;"",D89&lt;&gt;"",E89&lt;&gt;"",F89&lt;&gt;"",G89&lt;&gt;"",H89&lt;&gt;"",OR(J89&lt;&gt;"",K89&lt;&gt;""),OR(M89&lt;&gt;"",N89&lt;&gt;"",O89&lt;&gt;"")),"OK","ERRO: faltam "&amp;IF(A89="","SDR; ","")&amp;IF(B89="","Proprietário; ","")&amp;IF(C89="","Origem; ","")&amp;IF(D89="","Temperatura; ","")&amp;IF(E89="","Segmento; ","")&amp;IF(F89="","Time/Cluster; ","")&amp;IF(G89="","CNPJ; ","")&amp;IF(H89="","Razão Social; ","")&amp;IF(AND(J89="",K89=""),"nome do contato; ","")&amp;IF(AND(M89="",N89="",O89=""),"telefone, celular ou e-mail; ","")))</f>
      </c>
      <c r="AB89" s="6">
        <f>IF(COUNTA(A89:S89)=0,"",IF(AND(U89="OK",V89="OK",LEFT(W89,4)&lt;&gt;"ERRO",LEFT(X89,4)&lt;&gt;"ERRO",LEFT(Y89,4)&lt;&gt;"ERRO",AA89="OK"),"OK","REVISAR"))</f>
      </c>
    </row>
    <row r="90">
      <c r="A90" s="5"/>
      <c r="B90" s="5"/>
      <c r="C90" s="5"/>
      <c r="D90" s="5"/>
      <c r="E90" s="5"/>
      <c r="F90" s="5"/>
      <c r="G90" s="5"/>
      <c r="H90" s="5"/>
      <c r="I90" s="4"/>
      <c r="J90" s="5"/>
      <c r="K90" s="4"/>
      <c r="L90" s="4"/>
      <c r="M90" s="4"/>
      <c r="N90" s="4"/>
      <c r="O90" s="4"/>
      <c r="P90" s="4"/>
      <c r="Q90" s="4"/>
      <c r="R90" s="4"/>
      <c r="S90" s="4"/>
      <c r="T90" s="6">
        <f>IF(G90="","",SUBSTITUTE(SUBSTITUTE(SUBSTITUTE(SUBSTITUTE(SUBSTITUTE(SUBSTITUTE(SUBSTITUTE(TRIM(G90),".",""),"/",""),"-","")," ",""),"(",""),")",""),"+",""))</f>
      </c>
      <c r="U90" s="6">
        <f>IF(T90="","",IF(LEN(T90)&lt;&gt;14,"ERRO: "&amp;LEN(T90)&amp;" dígitos",IF(NOT(ISNUMBER(VALUE(T90))),"ERRO: não numérico",IF(LEN(SUBSTITUTE(T90,LEFT(T90,1),""))=0,"ERRO: dígitos repetidos",IF(AND(VALUE(MID(T90,13,1))=IF(MOD(SUMPRODUCT(--MID(T90,{1,2,3,4,5,6,7,8,9,10,11,12},1),{5,4,3,2,9,8,7,6,5,4,3,2}),11)&lt;2,0,11-MOD(SUMPRODUCT(--MID(T90,{1,2,3,4,5,6,7,8,9,10,11,12},1),{5,4,3,2,9,8,7,6,5,4,3,2}),11)),VALUE(MID(T90,14,1))=IF(MOD(SUMPRODUCT(--MID(T90,{1,2,3,4,5,6,7,8,9,10,11,12,13},1),{6,5,4,3,2,9,8,7,6,5,4,3,2}),11)&lt;2,0,11-MOD(SUMPRODUCT(--MID(T90,{1,2,3,4,5,6,7,8,9,10,11,12,13},1),{6,5,4,3,2,9,8,7,6,5,4,3,2}),11))),"OK","ERRO: dígito verificador")))))</f>
      </c>
      <c r="V90" s="6">
        <f>IF(T90="","",IF(COUNTIF($T$2:$T$1001,T90)&gt;1,"DUPLICADO","OK"))</f>
      </c>
      <c r="W90" s="6">
        <f>IF(M90="","vazio",IF(OR(AND(LEN(SUBSTITUTE(SUBSTITUTE(SUBSTITUTE(SUBSTITUTE(SUBSTITUTE(SUBSTITUTE(SUBSTITUTE(TRIM(M90),".",""),"/",""),"-","")," ",""),"(",""),")",""),"+",""))=10,LEFT(SUBSTITUTE(SUBSTITUTE(SUBSTITUTE(SUBSTITUTE(SUBSTITUTE(SUBSTITUTE(SUBSTITUTE(TRIM(M90),".",""),"/",""),"-","")," ",""),"(",""),")",""),"+",""),1)&lt;&gt;"0"),AND(LEN(SUBSTITUTE(SUBSTITUTE(SUBSTITUTE(SUBSTITUTE(SUBSTITUTE(SUBSTITUTE(SUBSTITUTE(TRIM(M90),".",""),"/",""),"-","")," ",""),"(",""),")",""),"+",""))=11,LEFT(SUBSTITUTE(SUBSTITUTE(SUBSTITUTE(SUBSTITUTE(SUBSTITUTE(SUBSTITUTE(SUBSTITUTE(TRIM(M90),".",""),"/",""),"-","")," ",""),"(",""),")",""),"+",""),4)="0800")),"OK",IF(AND(LEN(SUBSTITUTE(SUBSTITUTE(SUBSTITUTE(SUBSTITUTE(SUBSTITUTE(SUBSTITUTE(SUBSTITUTE(TRIM(M90),".",""),"/",""),"-","")," ",""),"(",""),")",""),"+",""))=11,MID(SUBSTITUTE(SUBSTITUTE(SUBSTITUTE(SUBSTITUTE(SUBSTITUTE(SUBSTITUTE(SUBSTITUTE(TRIM(M90),".",""),"/",""),"-","")," ",""),"(",""),")",""),"+",""),3,1)="9"),"ERRO: é celular, use a coluna Celular","ERRO: DDD + 8 dígitos ou 0800 + 7")))</f>
      </c>
      <c r="X90" s="6">
        <f>IF(N90="","vazio",IF(AND(LEN(SUBSTITUTE(SUBSTITUTE(SUBSTITUTE(SUBSTITUTE(SUBSTITUTE(SUBSTITUTE(SUBSTITUTE(TRIM(N90),".",""),"/",""),"-","")," ",""),"(",""),")",""),"+",""))=11,MID(SUBSTITUTE(SUBSTITUTE(SUBSTITUTE(SUBSTITUTE(SUBSTITUTE(SUBSTITUTE(SUBSTITUTE(TRIM(N90),".",""),"/",""),"-","")," ",""),"(",""),")",""),"+",""),3,1)="9",LEFT(SUBSTITUTE(SUBSTITUTE(SUBSTITUTE(SUBSTITUTE(SUBSTITUTE(SUBSTITUTE(SUBSTITUTE(TRIM(N90),".",""),"/",""),"-","")," ",""),"(",""),")",""),"+",""),1)&lt;&gt;"0"),"OK",IF(LEN(SUBSTITUTE(SUBSTITUTE(SUBSTITUTE(SUBSTITUTE(SUBSTITUTE(SUBSTITUTE(SUBSTITUTE(TRIM(N90),".",""),"/",""),"-","")," ",""),"(",""),")",""),"+",""))=10,"ERRO: é fixo (ou falta o 9), use a coluna Telefone fixo","ERRO: DDD + 9 + 8 dígitos")))</f>
      </c>
      <c r="Y90" s="6">
        <f>IF(O90="","vazio",IF(AND(ISNUMBER(FIND("@",O90)),ISNUMBER(FIND(".",MID(O90,FIND("@",O90),99))),NOT(ISNUMBER(FIND(" ",TRIM(O90)))),NOT(ISNUMBER(FIND(";",O90))),NOT(ISNUMBER(FIND(",",O90)))),"OK","ERRO: um e-mail válido por linha"))</f>
      </c>
      <c r="Z90" s="6">
        <f>IF(AND(J90="",K90=""),"",IF(AND(J90&lt;&gt;"",K90&lt;&gt;""),"OK","pendente: só um nome (o GR completa ao converter)"))</f>
      </c>
      <c r="AA90" s="6">
        <f>IF(COUNTA(A90:S90)=0,"",IF(AND(A90&lt;&gt;"",B90&lt;&gt;"",C90&lt;&gt;"",D90&lt;&gt;"",E90&lt;&gt;"",F90&lt;&gt;"",G90&lt;&gt;"",H90&lt;&gt;"",OR(J90&lt;&gt;"",K90&lt;&gt;""),OR(M90&lt;&gt;"",N90&lt;&gt;"",O90&lt;&gt;"")),"OK","ERRO: faltam "&amp;IF(A90="","SDR; ","")&amp;IF(B90="","Proprietário; ","")&amp;IF(C90="","Origem; ","")&amp;IF(D90="","Temperatura; ","")&amp;IF(E90="","Segmento; ","")&amp;IF(F90="","Time/Cluster; ","")&amp;IF(G90="","CNPJ; ","")&amp;IF(H90="","Razão Social; ","")&amp;IF(AND(J90="",K90=""),"nome do contato; ","")&amp;IF(AND(M90="",N90="",O90=""),"telefone, celular ou e-mail; ","")))</f>
      </c>
      <c r="AB90" s="6">
        <f>IF(COUNTA(A90:S90)=0,"",IF(AND(U90="OK",V90="OK",LEFT(W90,4)&lt;&gt;"ERRO",LEFT(X90,4)&lt;&gt;"ERRO",LEFT(Y90,4)&lt;&gt;"ERRO",AA90="OK"),"OK","REVISAR"))</f>
      </c>
    </row>
    <row r="91">
      <c r="A91" s="5"/>
      <c r="B91" s="5"/>
      <c r="C91" s="5"/>
      <c r="D91" s="5"/>
      <c r="E91" s="5"/>
      <c r="F91" s="5"/>
      <c r="G91" s="5"/>
      <c r="H91" s="5"/>
      <c r="I91" s="4"/>
      <c r="J91" s="5"/>
      <c r="K91" s="4"/>
      <c r="L91" s="4"/>
      <c r="M91" s="4"/>
      <c r="N91" s="4"/>
      <c r="O91" s="4"/>
      <c r="P91" s="4"/>
      <c r="Q91" s="4"/>
      <c r="R91" s="4"/>
      <c r="S91" s="4"/>
      <c r="T91" s="6">
        <f>IF(G91="","",SUBSTITUTE(SUBSTITUTE(SUBSTITUTE(SUBSTITUTE(SUBSTITUTE(SUBSTITUTE(SUBSTITUTE(TRIM(G91),".",""),"/",""),"-","")," ",""),"(",""),")",""),"+",""))</f>
      </c>
      <c r="U91" s="6">
        <f>IF(T91="","",IF(LEN(T91)&lt;&gt;14,"ERRO: "&amp;LEN(T91)&amp;" dígitos",IF(NOT(ISNUMBER(VALUE(T91))),"ERRO: não numérico",IF(LEN(SUBSTITUTE(T91,LEFT(T91,1),""))=0,"ERRO: dígitos repetidos",IF(AND(VALUE(MID(T91,13,1))=IF(MOD(SUMPRODUCT(--MID(T91,{1,2,3,4,5,6,7,8,9,10,11,12},1),{5,4,3,2,9,8,7,6,5,4,3,2}),11)&lt;2,0,11-MOD(SUMPRODUCT(--MID(T91,{1,2,3,4,5,6,7,8,9,10,11,12},1),{5,4,3,2,9,8,7,6,5,4,3,2}),11)),VALUE(MID(T91,14,1))=IF(MOD(SUMPRODUCT(--MID(T91,{1,2,3,4,5,6,7,8,9,10,11,12,13},1),{6,5,4,3,2,9,8,7,6,5,4,3,2}),11)&lt;2,0,11-MOD(SUMPRODUCT(--MID(T91,{1,2,3,4,5,6,7,8,9,10,11,12,13},1),{6,5,4,3,2,9,8,7,6,5,4,3,2}),11))),"OK","ERRO: dígito verificador")))))</f>
      </c>
      <c r="V91" s="6">
        <f>IF(T91="","",IF(COUNTIF($T$2:$T$1001,T91)&gt;1,"DUPLICADO","OK"))</f>
      </c>
      <c r="W91" s="6">
        <f>IF(M91="","vazio",IF(OR(AND(LEN(SUBSTITUTE(SUBSTITUTE(SUBSTITUTE(SUBSTITUTE(SUBSTITUTE(SUBSTITUTE(SUBSTITUTE(TRIM(M91),".",""),"/",""),"-","")," ",""),"(",""),")",""),"+",""))=10,LEFT(SUBSTITUTE(SUBSTITUTE(SUBSTITUTE(SUBSTITUTE(SUBSTITUTE(SUBSTITUTE(SUBSTITUTE(TRIM(M91),".",""),"/",""),"-","")," ",""),"(",""),")",""),"+",""),1)&lt;&gt;"0"),AND(LEN(SUBSTITUTE(SUBSTITUTE(SUBSTITUTE(SUBSTITUTE(SUBSTITUTE(SUBSTITUTE(SUBSTITUTE(TRIM(M91),".",""),"/",""),"-","")," ",""),"(",""),")",""),"+",""))=11,LEFT(SUBSTITUTE(SUBSTITUTE(SUBSTITUTE(SUBSTITUTE(SUBSTITUTE(SUBSTITUTE(SUBSTITUTE(TRIM(M91),".",""),"/",""),"-","")," ",""),"(",""),")",""),"+",""),4)="0800")),"OK",IF(AND(LEN(SUBSTITUTE(SUBSTITUTE(SUBSTITUTE(SUBSTITUTE(SUBSTITUTE(SUBSTITUTE(SUBSTITUTE(TRIM(M91),".",""),"/",""),"-","")," ",""),"(",""),")",""),"+",""))=11,MID(SUBSTITUTE(SUBSTITUTE(SUBSTITUTE(SUBSTITUTE(SUBSTITUTE(SUBSTITUTE(SUBSTITUTE(TRIM(M91),".",""),"/",""),"-","")," ",""),"(",""),")",""),"+",""),3,1)="9"),"ERRO: é celular, use a coluna Celular","ERRO: DDD + 8 dígitos ou 0800 + 7")))</f>
      </c>
      <c r="X91" s="6">
        <f>IF(N91="","vazio",IF(AND(LEN(SUBSTITUTE(SUBSTITUTE(SUBSTITUTE(SUBSTITUTE(SUBSTITUTE(SUBSTITUTE(SUBSTITUTE(TRIM(N91),".",""),"/",""),"-","")," ",""),"(",""),")",""),"+",""))=11,MID(SUBSTITUTE(SUBSTITUTE(SUBSTITUTE(SUBSTITUTE(SUBSTITUTE(SUBSTITUTE(SUBSTITUTE(TRIM(N91),".",""),"/",""),"-","")," ",""),"(",""),")",""),"+",""),3,1)="9",LEFT(SUBSTITUTE(SUBSTITUTE(SUBSTITUTE(SUBSTITUTE(SUBSTITUTE(SUBSTITUTE(SUBSTITUTE(TRIM(N91),".",""),"/",""),"-","")," ",""),"(",""),")",""),"+",""),1)&lt;&gt;"0"),"OK",IF(LEN(SUBSTITUTE(SUBSTITUTE(SUBSTITUTE(SUBSTITUTE(SUBSTITUTE(SUBSTITUTE(SUBSTITUTE(TRIM(N91),".",""),"/",""),"-","")," ",""),"(",""),")",""),"+",""))=10,"ERRO: é fixo (ou falta o 9), use a coluna Telefone fixo","ERRO: DDD + 9 + 8 dígitos")))</f>
      </c>
      <c r="Y91" s="6">
        <f>IF(O91="","vazio",IF(AND(ISNUMBER(FIND("@",O91)),ISNUMBER(FIND(".",MID(O91,FIND("@",O91),99))),NOT(ISNUMBER(FIND(" ",TRIM(O91)))),NOT(ISNUMBER(FIND(";",O91))),NOT(ISNUMBER(FIND(",",O91)))),"OK","ERRO: um e-mail válido por linha"))</f>
      </c>
      <c r="Z91" s="6">
        <f>IF(AND(J91="",K91=""),"",IF(AND(J91&lt;&gt;"",K91&lt;&gt;""),"OK","pendente: só um nome (o GR completa ao converter)"))</f>
      </c>
      <c r="AA91" s="6">
        <f>IF(COUNTA(A91:S91)=0,"",IF(AND(A91&lt;&gt;"",B91&lt;&gt;"",C91&lt;&gt;"",D91&lt;&gt;"",E91&lt;&gt;"",F91&lt;&gt;"",G91&lt;&gt;"",H91&lt;&gt;"",OR(J91&lt;&gt;"",K91&lt;&gt;""),OR(M91&lt;&gt;"",N91&lt;&gt;"",O91&lt;&gt;"")),"OK","ERRO: faltam "&amp;IF(A91="","SDR; ","")&amp;IF(B91="","Proprietário; ","")&amp;IF(C91="","Origem; ","")&amp;IF(D91="","Temperatura; ","")&amp;IF(E91="","Segmento; ","")&amp;IF(F91="","Time/Cluster; ","")&amp;IF(G91="","CNPJ; ","")&amp;IF(H91="","Razão Social; ","")&amp;IF(AND(J91="",K91=""),"nome do contato; ","")&amp;IF(AND(M91="",N91="",O91=""),"telefone, celular ou e-mail; ","")))</f>
      </c>
      <c r="AB91" s="6">
        <f>IF(COUNTA(A91:S91)=0,"",IF(AND(U91="OK",V91="OK",LEFT(W91,4)&lt;&gt;"ERRO",LEFT(X91,4)&lt;&gt;"ERRO",LEFT(Y91,4)&lt;&gt;"ERRO",AA91="OK"),"OK","REVISAR"))</f>
      </c>
    </row>
    <row r="92">
      <c r="A92" s="5"/>
      <c r="B92" s="5"/>
      <c r="C92" s="5"/>
      <c r="D92" s="5"/>
      <c r="E92" s="5"/>
      <c r="F92" s="5"/>
      <c r="G92" s="5"/>
      <c r="H92" s="5"/>
      <c r="I92" s="4"/>
      <c r="J92" s="5"/>
      <c r="K92" s="4"/>
      <c r="L92" s="4"/>
      <c r="M92" s="4"/>
      <c r="N92" s="4"/>
      <c r="O92" s="4"/>
      <c r="P92" s="4"/>
      <c r="Q92" s="4"/>
      <c r="R92" s="4"/>
      <c r="S92" s="4"/>
      <c r="T92" s="6">
        <f>IF(G92="","",SUBSTITUTE(SUBSTITUTE(SUBSTITUTE(SUBSTITUTE(SUBSTITUTE(SUBSTITUTE(SUBSTITUTE(TRIM(G92),".",""),"/",""),"-","")," ",""),"(",""),")",""),"+",""))</f>
      </c>
      <c r="U92" s="6">
        <f>IF(T92="","",IF(LEN(T92)&lt;&gt;14,"ERRO: "&amp;LEN(T92)&amp;" dígitos",IF(NOT(ISNUMBER(VALUE(T92))),"ERRO: não numérico",IF(LEN(SUBSTITUTE(T92,LEFT(T92,1),""))=0,"ERRO: dígitos repetidos",IF(AND(VALUE(MID(T92,13,1))=IF(MOD(SUMPRODUCT(--MID(T92,{1,2,3,4,5,6,7,8,9,10,11,12},1),{5,4,3,2,9,8,7,6,5,4,3,2}),11)&lt;2,0,11-MOD(SUMPRODUCT(--MID(T92,{1,2,3,4,5,6,7,8,9,10,11,12},1),{5,4,3,2,9,8,7,6,5,4,3,2}),11)),VALUE(MID(T92,14,1))=IF(MOD(SUMPRODUCT(--MID(T92,{1,2,3,4,5,6,7,8,9,10,11,12,13},1),{6,5,4,3,2,9,8,7,6,5,4,3,2}),11)&lt;2,0,11-MOD(SUMPRODUCT(--MID(T92,{1,2,3,4,5,6,7,8,9,10,11,12,13},1),{6,5,4,3,2,9,8,7,6,5,4,3,2}),11))),"OK","ERRO: dígito verificador")))))</f>
      </c>
      <c r="V92" s="6">
        <f>IF(T92="","",IF(COUNTIF($T$2:$T$1001,T92)&gt;1,"DUPLICADO","OK"))</f>
      </c>
      <c r="W92" s="6">
        <f>IF(M92="","vazio",IF(OR(AND(LEN(SUBSTITUTE(SUBSTITUTE(SUBSTITUTE(SUBSTITUTE(SUBSTITUTE(SUBSTITUTE(SUBSTITUTE(TRIM(M92),".",""),"/",""),"-","")," ",""),"(",""),")",""),"+",""))=10,LEFT(SUBSTITUTE(SUBSTITUTE(SUBSTITUTE(SUBSTITUTE(SUBSTITUTE(SUBSTITUTE(SUBSTITUTE(TRIM(M92),".",""),"/",""),"-","")," ",""),"(",""),")",""),"+",""),1)&lt;&gt;"0"),AND(LEN(SUBSTITUTE(SUBSTITUTE(SUBSTITUTE(SUBSTITUTE(SUBSTITUTE(SUBSTITUTE(SUBSTITUTE(TRIM(M92),".",""),"/",""),"-","")," ",""),"(",""),")",""),"+",""))=11,LEFT(SUBSTITUTE(SUBSTITUTE(SUBSTITUTE(SUBSTITUTE(SUBSTITUTE(SUBSTITUTE(SUBSTITUTE(TRIM(M92),".",""),"/",""),"-","")," ",""),"(",""),")",""),"+",""),4)="0800")),"OK",IF(AND(LEN(SUBSTITUTE(SUBSTITUTE(SUBSTITUTE(SUBSTITUTE(SUBSTITUTE(SUBSTITUTE(SUBSTITUTE(TRIM(M92),".",""),"/",""),"-","")," ",""),"(",""),")",""),"+",""))=11,MID(SUBSTITUTE(SUBSTITUTE(SUBSTITUTE(SUBSTITUTE(SUBSTITUTE(SUBSTITUTE(SUBSTITUTE(TRIM(M92),".",""),"/",""),"-","")," ",""),"(",""),")",""),"+",""),3,1)="9"),"ERRO: é celular, use a coluna Celular","ERRO: DDD + 8 dígitos ou 0800 + 7")))</f>
      </c>
      <c r="X92" s="6">
        <f>IF(N92="","vazio",IF(AND(LEN(SUBSTITUTE(SUBSTITUTE(SUBSTITUTE(SUBSTITUTE(SUBSTITUTE(SUBSTITUTE(SUBSTITUTE(TRIM(N92),".",""),"/",""),"-","")," ",""),"(",""),")",""),"+",""))=11,MID(SUBSTITUTE(SUBSTITUTE(SUBSTITUTE(SUBSTITUTE(SUBSTITUTE(SUBSTITUTE(SUBSTITUTE(TRIM(N92),".",""),"/",""),"-","")," ",""),"(",""),")",""),"+",""),3,1)="9",LEFT(SUBSTITUTE(SUBSTITUTE(SUBSTITUTE(SUBSTITUTE(SUBSTITUTE(SUBSTITUTE(SUBSTITUTE(TRIM(N92),".",""),"/",""),"-","")," ",""),"(",""),")",""),"+",""),1)&lt;&gt;"0"),"OK",IF(LEN(SUBSTITUTE(SUBSTITUTE(SUBSTITUTE(SUBSTITUTE(SUBSTITUTE(SUBSTITUTE(SUBSTITUTE(TRIM(N92),".",""),"/",""),"-","")," ",""),"(",""),")",""),"+",""))=10,"ERRO: é fixo (ou falta o 9), use a coluna Telefone fixo","ERRO: DDD + 9 + 8 dígitos")))</f>
      </c>
      <c r="Y92" s="6">
        <f>IF(O92="","vazio",IF(AND(ISNUMBER(FIND("@",O92)),ISNUMBER(FIND(".",MID(O92,FIND("@",O92),99))),NOT(ISNUMBER(FIND(" ",TRIM(O92)))),NOT(ISNUMBER(FIND(";",O92))),NOT(ISNUMBER(FIND(",",O92)))),"OK","ERRO: um e-mail válido por linha"))</f>
      </c>
      <c r="Z92" s="6">
        <f>IF(AND(J92="",K92=""),"",IF(AND(J92&lt;&gt;"",K92&lt;&gt;""),"OK","pendente: só um nome (o GR completa ao converter)"))</f>
      </c>
      <c r="AA92" s="6">
        <f>IF(COUNTA(A92:S92)=0,"",IF(AND(A92&lt;&gt;"",B92&lt;&gt;"",C92&lt;&gt;"",D92&lt;&gt;"",E92&lt;&gt;"",F92&lt;&gt;"",G92&lt;&gt;"",H92&lt;&gt;"",OR(J92&lt;&gt;"",K92&lt;&gt;""),OR(M92&lt;&gt;"",N92&lt;&gt;"",O92&lt;&gt;"")),"OK","ERRO: faltam "&amp;IF(A92="","SDR; ","")&amp;IF(B92="","Proprietário; ","")&amp;IF(C92="","Origem; ","")&amp;IF(D92="","Temperatura; ","")&amp;IF(E92="","Segmento; ","")&amp;IF(F92="","Time/Cluster; ","")&amp;IF(G92="","CNPJ; ","")&amp;IF(H92="","Razão Social; ","")&amp;IF(AND(J92="",K92=""),"nome do contato; ","")&amp;IF(AND(M92="",N92="",O92=""),"telefone, celular ou e-mail; ","")))</f>
      </c>
      <c r="AB92" s="6">
        <f>IF(COUNTA(A92:S92)=0,"",IF(AND(U92="OK",V92="OK",LEFT(W92,4)&lt;&gt;"ERRO",LEFT(X92,4)&lt;&gt;"ERRO",LEFT(Y92,4)&lt;&gt;"ERRO",AA92="OK"),"OK","REVISAR"))</f>
      </c>
    </row>
    <row r="93">
      <c r="A93" s="5"/>
      <c r="B93" s="5"/>
      <c r="C93" s="5"/>
      <c r="D93" s="5"/>
      <c r="E93" s="5"/>
      <c r="F93" s="5"/>
      <c r="G93" s="5"/>
      <c r="H93" s="5"/>
      <c r="I93" s="4"/>
      <c r="J93" s="5"/>
      <c r="K93" s="4"/>
      <c r="L93" s="4"/>
      <c r="M93" s="4"/>
      <c r="N93" s="4"/>
      <c r="O93" s="4"/>
      <c r="P93" s="4"/>
      <c r="Q93" s="4"/>
      <c r="R93" s="4"/>
      <c r="S93" s="4"/>
      <c r="T93" s="6">
        <f>IF(G93="","",SUBSTITUTE(SUBSTITUTE(SUBSTITUTE(SUBSTITUTE(SUBSTITUTE(SUBSTITUTE(SUBSTITUTE(TRIM(G93),".",""),"/",""),"-","")," ",""),"(",""),")",""),"+",""))</f>
      </c>
      <c r="U93" s="6">
        <f>IF(T93="","",IF(LEN(T93)&lt;&gt;14,"ERRO: "&amp;LEN(T93)&amp;" dígitos",IF(NOT(ISNUMBER(VALUE(T93))),"ERRO: não numérico",IF(LEN(SUBSTITUTE(T93,LEFT(T93,1),""))=0,"ERRO: dígitos repetidos",IF(AND(VALUE(MID(T93,13,1))=IF(MOD(SUMPRODUCT(--MID(T93,{1,2,3,4,5,6,7,8,9,10,11,12},1),{5,4,3,2,9,8,7,6,5,4,3,2}),11)&lt;2,0,11-MOD(SUMPRODUCT(--MID(T93,{1,2,3,4,5,6,7,8,9,10,11,12},1),{5,4,3,2,9,8,7,6,5,4,3,2}),11)),VALUE(MID(T93,14,1))=IF(MOD(SUMPRODUCT(--MID(T93,{1,2,3,4,5,6,7,8,9,10,11,12,13},1),{6,5,4,3,2,9,8,7,6,5,4,3,2}),11)&lt;2,0,11-MOD(SUMPRODUCT(--MID(T93,{1,2,3,4,5,6,7,8,9,10,11,12,13},1),{6,5,4,3,2,9,8,7,6,5,4,3,2}),11))),"OK","ERRO: dígito verificador")))))</f>
      </c>
      <c r="V93" s="6">
        <f>IF(T93="","",IF(COUNTIF($T$2:$T$1001,T93)&gt;1,"DUPLICADO","OK"))</f>
      </c>
      <c r="W93" s="6">
        <f>IF(M93="","vazio",IF(OR(AND(LEN(SUBSTITUTE(SUBSTITUTE(SUBSTITUTE(SUBSTITUTE(SUBSTITUTE(SUBSTITUTE(SUBSTITUTE(TRIM(M93),".",""),"/",""),"-","")," ",""),"(",""),")",""),"+",""))=10,LEFT(SUBSTITUTE(SUBSTITUTE(SUBSTITUTE(SUBSTITUTE(SUBSTITUTE(SUBSTITUTE(SUBSTITUTE(TRIM(M93),".",""),"/",""),"-","")," ",""),"(",""),")",""),"+",""),1)&lt;&gt;"0"),AND(LEN(SUBSTITUTE(SUBSTITUTE(SUBSTITUTE(SUBSTITUTE(SUBSTITUTE(SUBSTITUTE(SUBSTITUTE(TRIM(M93),".",""),"/",""),"-","")," ",""),"(",""),")",""),"+",""))=11,LEFT(SUBSTITUTE(SUBSTITUTE(SUBSTITUTE(SUBSTITUTE(SUBSTITUTE(SUBSTITUTE(SUBSTITUTE(TRIM(M93),".",""),"/",""),"-","")," ",""),"(",""),")",""),"+",""),4)="0800")),"OK",IF(AND(LEN(SUBSTITUTE(SUBSTITUTE(SUBSTITUTE(SUBSTITUTE(SUBSTITUTE(SUBSTITUTE(SUBSTITUTE(TRIM(M93),".",""),"/",""),"-","")," ",""),"(",""),")",""),"+",""))=11,MID(SUBSTITUTE(SUBSTITUTE(SUBSTITUTE(SUBSTITUTE(SUBSTITUTE(SUBSTITUTE(SUBSTITUTE(TRIM(M93),".",""),"/",""),"-","")," ",""),"(",""),")",""),"+",""),3,1)="9"),"ERRO: é celular, use a coluna Celular","ERRO: DDD + 8 dígitos ou 0800 + 7")))</f>
      </c>
      <c r="X93" s="6">
        <f>IF(N93="","vazio",IF(AND(LEN(SUBSTITUTE(SUBSTITUTE(SUBSTITUTE(SUBSTITUTE(SUBSTITUTE(SUBSTITUTE(SUBSTITUTE(TRIM(N93),".",""),"/",""),"-","")," ",""),"(",""),")",""),"+",""))=11,MID(SUBSTITUTE(SUBSTITUTE(SUBSTITUTE(SUBSTITUTE(SUBSTITUTE(SUBSTITUTE(SUBSTITUTE(TRIM(N93),".",""),"/",""),"-","")," ",""),"(",""),")",""),"+",""),3,1)="9",LEFT(SUBSTITUTE(SUBSTITUTE(SUBSTITUTE(SUBSTITUTE(SUBSTITUTE(SUBSTITUTE(SUBSTITUTE(TRIM(N93),".",""),"/",""),"-","")," ",""),"(",""),")",""),"+",""),1)&lt;&gt;"0"),"OK",IF(LEN(SUBSTITUTE(SUBSTITUTE(SUBSTITUTE(SUBSTITUTE(SUBSTITUTE(SUBSTITUTE(SUBSTITUTE(TRIM(N93),".",""),"/",""),"-","")," ",""),"(",""),")",""),"+",""))=10,"ERRO: é fixo (ou falta o 9), use a coluna Telefone fixo","ERRO: DDD + 9 + 8 dígitos")))</f>
      </c>
      <c r="Y93" s="6">
        <f>IF(O93="","vazio",IF(AND(ISNUMBER(FIND("@",O93)),ISNUMBER(FIND(".",MID(O93,FIND("@",O93),99))),NOT(ISNUMBER(FIND(" ",TRIM(O93)))),NOT(ISNUMBER(FIND(";",O93))),NOT(ISNUMBER(FIND(",",O93)))),"OK","ERRO: um e-mail válido por linha"))</f>
      </c>
      <c r="Z93" s="6">
        <f>IF(AND(J93="",K93=""),"",IF(AND(J93&lt;&gt;"",K93&lt;&gt;""),"OK","pendente: só um nome (o GR completa ao converter)"))</f>
      </c>
      <c r="AA93" s="6">
        <f>IF(COUNTA(A93:S93)=0,"",IF(AND(A93&lt;&gt;"",B93&lt;&gt;"",C93&lt;&gt;"",D93&lt;&gt;"",E93&lt;&gt;"",F93&lt;&gt;"",G93&lt;&gt;"",H93&lt;&gt;"",OR(J93&lt;&gt;"",K93&lt;&gt;""),OR(M93&lt;&gt;"",N93&lt;&gt;"",O93&lt;&gt;"")),"OK","ERRO: faltam "&amp;IF(A93="","SDR; ","")&amp;IF(B93="","Proprietário; ","")&amp;IF(C93="","Origem; ","")&amp;IF(D93="","Temperatura; ","")&amp;IF(E93="","Segmento; ","")&amp;IF(F93="","Time/Cluster; ","")&amp;IF(G93="","CNPJ; ","")&amp;IF(H93="","Razão Social; ","")&amp;IF(AND(J93="",K93=""),"nome do contato; ","")&amp;IF(AND(M93="",N93="",O93=""),"telefone, celular ou e-mail; ","")))</f>
      </c>
      <c r="AB93" s="6">
        <f>IF(COUNTA(A93:S93)=0,"",IF(AND(U93="OK",V93="OK",LEFT(W93,4)&lt;&gt;"ERRO",LEFT(X93,4)&lt;&gt;"ERRO",LEFT(Y93,4)&lt;&gt;"ERRO",AA93="OK"),"OK","REVISAR"))</f>
      </c>
    </row>
    <row r="94">
      <c r="A94" s="5"/>
      <c r="B94" s="5"/>
      <c r="C94" s="5"/>
      <c r="D94" s="5"/>
      <c r="E94" s="5"/>
      <c r="F94" s="5"/>
      <c r="G94" s="5"/>
      <c r="H94" s="5"/>
      <c r="I94" s="4"/>
      <c r="J94" s="5"/>
      <c r="K94" s="4"/>
      <c r="L94" s="4"/>
      <c r="M94" s="4"/>
      <c r="N94" s="4"/>
      <c r="O94" s="4"/>
      <c r="P94" s="4"/>
      <c r="Q94" s="4"/>
      <c r="R94" s="4"/>
      <c r="S94" s="4"/>
      <c r="T94" s="6">
        <f>IF(G94="","",SUBSTITUTE(SUBSTITUTE(SUBSTITUTE(SUBSTITUTE(SUBSTITUTE(SUBSTITUTE(SUBSTITUTE(TRIM(G94),".",""),"/",""),"-","")," ",""),"(",""),")",""),"+",""))</f>
      </c>
      <c r="U94" s="6">
        <f>IF(T94="","",IF(LEN(T94)&lt;&gt;14,"ERRO: "&amp;LEN(T94)&amp;" dígitos",IF(NOT(ISNUMBER(VALUE(T94))),"ERRO: não numérico",IF(LEN(SUBSTITUTE(T94,LEFT(T94,1),""))=0,"ERRO: dígitos repetidos",IF(AND(VALUE(MID(T94,13,1))=IF(MOD(SUMPRODUCT(--MID(T94,{1,2,3,4,5,6,7,8,9,10,11,12},1),{5,4,3,2,9,8,7,6,5,4,3,2}),11)&lt;2,0,11-MOD(SUMPRODUCT(--MID(T94,{1,2,3,4,5,6,7,8,9,10,11,12},1),{5,4,3,2,9,8,7,6,5,4,3,2}),11)),VALUE(MID(T94,14,1))=IF(MOD(SUMPRODUCT(--MID(T94,{1,2,3,4,5,6,7,8,9,10,11,12,13},1),{6,5,4,3,2,9,8,7,6,5,4,3,2}),11)&lt;2,0,11-MOD(SUMPRODUCT(--MID(T94,{1,2,3,4,5,6,7,8,9,10,11,12,13},1),{6,5,4,3,2,9,8,7,6,5,4,3,2}),11))),"OK","ERRO: dígito verificador")))))</f>
      </c>
      <c r="V94" s="6">
        <f>IF(T94="","",IF(COUNTIF($T$2:$T$1001,T94)&gt;1,"DUPLICADO","OK"))</f>
      </c>
      <c r="W94" s="6">
        <f>IF(M94="","vazio",IF(OR(AND(LEN(SUBSTITUTE(SUBSTITUTE(SUBSTITUTE(SUBSTITUTE(SUBSTITUTE(SUBSTITUTE(SUBSTITUTE(TRIM(M94),".",""),"/",""),"-","")," ",""),"(",""),")",""),"+",""))=10,LEFT(SUBSTITUTE(SUBSTITUTE(SUBSTITUTE(SUBSTITUTE(SUBSTITUTE(SUBSTITUTE(SUBSTITUTE(TRIM(M94),".",""),"/",""),"-","")," ",""),"(",""),")",""),"+",""),1)&lt;&gt;"0"),AND(LEN(SUBSTITUTE(SUBSTITUTE(SUBSTITUTE(SUBSTITUTE(SUBSTITUTE(SUBSTITUTE(SUBSTITUTE(TRIM(M94),".",""),"/",""),"-","")," ",""),"(",""),")",""),"+",""))=11,LEFT(SUBSTITUTE(SUBSTITUTE(SUBSTITUTE(SUBSTITUTE(SUBSTITUTE(SUBSTITUTE(SUBSTITUTE(TRIM(M94),".",""),"/",""),"-","")," ",""),"(",""),")",""),"+",""),4)="0800")),"OK",IF(AND(LEN(SUBSTITUTE(SUBSTITUTE(SUBSTITUTE(SUBSTITUTE(SUBSTITUTE(SUBSTITUTE(SUBSTITUTE(TRIM(M94),".",""),"/",""),"-","")," ",""),"(",""),")",""),"+",""))=11,MID(SUBSTITUTE(SUBSTITUTE(SUBSTITUTE(SUBSTITUTE(SUBSTITUTE(SUBSTITUTE(SUBSTITUTE(TRIM(M94),".",""),"/",""),"-","")," ",""),"(",""),")",""),"+",""),3,1)="9"),"ERRO: é celular, use a coluna Celular","ERRO: DDD + 8 dígitos ou 0800 + 7")))</f>
      </c>
      <c r="X94" s="6">
        <f>IF(N94="","vazio",IF(AND(LEN(SUBSTITUTE(SUBSTITUTE(SUBSTITUTE(SUBSTITUTE(SUBSTITUTE(SUBSTITUTE(SUBSTITUTE(TRIM(N94),".",""),"/",""),"-","")," ",""),"(",""),")",""),"+",""))=11,MID(SUBSTITUTE(SUBSTITUTE(SUBSTITUTE(SUBSTITUTE(SUBSTITUTE(SUBSTITUTE(SUBSTITUTE(TRIM(N94),".",""),"/",""),"-","")," ",""),"(",""),")",""),"+",""),3,1)="9",LEFT(SUBSTITUTE(SUBSTITUTE(SUBSTITUTE(SUBSTITUTE(SUBSTITUTE(SUBSTITUTE(SUBSTITUTE(TRIM(N94),".",""),"/",""),"-","")," ",""),"(",""),")",""),"+",""),1)&lt;&gt;"0"),"OK",IF(LEN(SUBSTITUTE(SUBSTITUTE(SUBSTITUTE(SUBSTITUTE(SUBSTITUTE(SUBSTITUTE(SUBSTITUTE(TRIM(N94),".",""),"/",""),"-","")," ",""),"(",""),")",""),"+",""))=10,"ERRO: é fixo (ou falta o 9), use a coluna Telefone fixo","ERRO: DDD + 9 + 8 dígitos")))</f>
      </c>
      <c r="Y94" s="6">
        <f>IF(O94="","vazio",IF(AND(ISNUMBER(FIND("@",O94)),ISNUMBER(FIND(".",MID(O94,FIND("@",O94),99))),NOT(ISNUMBER(FIND(" ",TRIM(O94)))),NOT(ISNUMBER(FIND(";",O94))),NOT(ISNUMBER(FIND(",",O94)))),"OK","ERRO: um e-mail válido por linha"))</f>
      </c>
      <c r="Z94" s="6">
        <f>IF(AND(J94="",K94=""),"",IF(AND(J94&lt;&gt;"",K94&lt;&gt;""),"OK","pendente: só um nome (o GR completa ao converter)"))</f>
      </c>
      <c r="AA94" s="6">
        <f>IF(COUNTA(A94:S94)=0,"",IF(AND(A94&lt;&gt;"",B94&lt;&gt;"",C94&lt;&gt;"",D94&lt;&gt;"",E94&lt;&gt;"",F94&lt;&gt;"",G94&lt;&gt;"",H94&lt;&gt;"",OR(J94&lt;&gt;"",K94&lt;&gt;""),OR(M94&lt;&gt;"",N94&lt;&gt;"",O94&lt;&gt;"")),"OK","ERRO: faltam "&amp;IF(A94="","SDR; ","")&amp;IF(B94="","Proprietário; ","")&amp;IF(C94="","Origem; ","")&amp;IF(D94="","Temperatura; ","")&amp;IF(E94="","Segmento; ","")&amp;IF(F94="","Time/Cluster; ","")&amp;IF(G94="","CNPJ; ","")&amp;IF(H94="","Razão Social; ","")&amp;IF(AND(J94="",K94=""),"nome do contato; ","")&amp;IF(AND(M94="",N94="",O94=""),"telefone, celular ou e-mail; ","")))</f>
      </c>
      <c r="AB94" s="6">
        <f>IF(COUNTA(A94:S94)=0,"",IF(AND(U94="OK",V94="OK",LEFT(W94,4)&lt;&gt;"ERRO",LEFT(X94,4)&lt;&gt;"ERRO",LEFT(Y94,4)&lt;&gt;"ERRO",AA94="OK"),"OK","REVISAR"))</f>
      </c>
    </row>
    <row r="95">
      <c r="A95" s="5"/>
      <c r="B95" s="5"/>
      <c r="C95" s="5"/>
      <c r="D95" s="5"/>
      <c r="E95" s="5"/>
      <c r="F95" s="5"/>
      <c r="G95" s="5"/>
      <c r="H95" s="5"/>
      <c r="I95" s="4"/>
      <c r="J95" s="5"/>
      <c r="K95" s="4"/>
      <c r="L95" s="4"/>
      <c r="M95" s="4"/>
      <c r="N95" s="4"/>
      <c r="O95" s="4"/>
      <c r="P95" s="4"/>
      <c r="Q95" s="4"/>
      <c r="R95" s="4"/>
      <c r="S95" s="4"/>
      <c r="T95" s="6">
        <f>IF(G95="","",SUBSTITUTE(SUBSTITUTE(SUBSTITUTE(SUBSTITUTE(SUBSTITUTE(SUBSTITUTE(SUBSTITUTE(TRIM(G95),".",""),"/",""),"-","")," ",""),"(",""),")",""),"+",""))</f>
      </c>
      <c r="U95" s="6">
        <f>IF(T95="","",IF(LEN(T95)&lt;&gt;14,"ERRO: "&amp;LEN(T95)&amp;" dígitos",IF(NOT(ISNUMBER(VALUE(T95))),"ERRO: não numérico",IF(LEN(SUBSTITUTE(T95,LEFT(T95,1),""))=0,"ERRO: dígitos repetidos",IF(AND(VALUE(MID(T95,13,1))=IF(MOD(SUMPRODUCT(--MID(T95,{1,2,3,4,5,6,7,8,9,10,11,12},1),{5,4,3,2,9,8,7,6,5,4,3,2}),11)&lt;2,0,11-MOD(SUMPRODUCT(--MID(T95,{1,2,3,4,5,6,7,8,9,10,11,12},1),{5,4,3,2,9,8,7,6,5,4,3,2}),11)),VALUE(MID(T95,14,1))=IF(MOD(SUMPRODUCT(--MID(T95,{1,2,3,4,5,6,7,8,9,10,11,12,13},1),{6,5,4,3,2,9,8,7,6,5,4,3,2}),11)&lt;2,0,11-MOD(SUMPRODUCT(--MID(T95,{1,2,3,4,5,6,7,8,9,10,11,12,13},1),{6,5,4,3,2,9,8,7,6,5,4,3,2}),11))),"OK","ERRO: dígito verificador")))))</f>
      </c>
      <c r="V95" s="6">
        <f>IF(T95="","",IF(COUNTIF($T$2:$T$1001,T95)&gt;1,"DUPLICADO","OK"))</f>
      </c>
      <c r="W95" s="6">
        <f>IF(M95="","vazio",IF(OR(AND(LEN(SUBSTITUTE(SUBSTITUTE(SUBSTITUTE(SUBSTITUTE(SUBSTITUTE(SUBSTITUTE(SUBSTITUTE(TRIM(M95),".",""),"/",""),"-","")," ",""),"(",""),")",""),"+",""))=10,LEFT(SUBSTITUTE(SUBSTITUTE(SUBSTITUTE(SUBSTITUTE(SUBSTITUTE(SUBSTITUTE(SUBSTITUTE(TRIM(M95),".",""),"/",""),"-","")," ",""),"(",""),")",""),"+",""),1)&lt;&gt;"0"),AND(LEN(SUBSTITUTE(SUBSTITUTE(SUBSTITUTE(SUBSTITUTE(SUBSTITUTE(SUBSTITUTE(SUBSTITUTE(TRIM(M95),".",""),"/",""),"-","")," ",""),"(",""),")",""),"+",""))=11,LEFT(SUBSTITUTE(SUBSTITUTE(SUBSTITUTE(SUBSTITUTE(SUBSTITUTE(SUBSTITUTE(SUBSTITUTE(TRIM(M95),".",""),"/",""),"-","")," ",""),"(",""),")",""),"+",""),4)="0800")),"OK",IF(AND(LEN(SUBSTITUTE(SUBSTITUTE(SUBSTITUTE(SUBSTITUTE(SUBSTITUTE(SUBSTITUTE(SUBSTITUTE(TRIM(M95),".",""),"/",""),"-","")," ",""),"(",""),")",""),"+",""))=11,MID(SUBSTITUTE(SUBSTITUTE(SUBSTITUTE(SUBSTITUTE(SUBSTITUTE(SUBSTITUTE(SUBSTITUTE(TRIM(M95),".",""),"/",""),"-","")," ",""),"(",""),")",""),"+",""),3,1)="9"),"ERRO: é celular, use a coluna Celular","ERRO: DDD + 8 dígitos ou 0800 + 7")))</f>
      </c>
      <c r="X95" s="6">
        <f>IF(N95="","vazio",IF(AND(LEN(SUBSTITUTE(SUBSTITUTE(SUBSTITUTE(SUBSTITUTE(SUBSTITUTE(SUBSTITUTE(SUBSTITUTE(TRIM(N95),".",""),"/",""),"-","")," ",""),"(",""),")",""),"+",""))=11,MID(SUBSTITUTE(SUBSTITUTE(SUBSTITUTE(SUBSTITUTE(SUBSTITUTE(SUBSTITUTE(SUBSTITUTE(TRIM(N95),".",""),"/",""),"-","")," ",""),"(",""),")",""),"+",""),3,1)="9",LEFT(SUBSTITUTE(SUBSTITUTE(SUBSTITUTE(SUBSTITUTE(SUBSTITUTE(SUBSTITUTE(SUBSTITUTE(TRIM(N95),".",""),"/",""),"-","")," ",""),"(",""),")",""),"+",""),1)&lt;&gt;"0"),"OK",IF(LEN(SUBSTITUTE(SUBSTITUTE(SUBSTITUTE(SUBSTITUTE(SUBSTITUTE(SUBSTITUTE(SUBSTITUTE(TRIM(N95),".",""),"/",""),"-","")," ",""),"(",""),")",""),"+",""))=10,"ERRO: é fixo (ou falta o 9), use a coluna Telefone fixo","ERRO: DDD + 9 + 8 dígitos")))</f>
      </c>
      <c r="Y95" s="6">
        <f>IF(O95="","vazio",IF(AND(ISNUMBER(FIND("@",O95)),ISNUMBER(FIND(".",MID(O95,FIND("@",O95),99))),NOT(ISNUMBER(FIND(" ",TRIM(O95)))),NOT(ISNUMBER(FIND(";",O95))),NOT(ISNUMBER(FIND(",",O95)))),"OK","ERRO: um e-mail válido por linha"))</f>
      </c>
      <c r="Z95" s="6">
        <f>IF(AND(J95="",K95=""),"",IF(AND(J95&lt;&gt;"",K95&lt;&gt;""),"OK","pendente: só um nome (o GR completa ao converter)"))</f>
      </c>
      <c r="AA95" s="6">
        <f>IF(COUNTA(A95:S95)=0,"",IF(AND(A95&lt;&gt;"",B95&lt;&gt;"",C95&lt;&gt;"",D95&lt;&gt;"",E95&lt;&gt;"",F95&lt;&gt;"",G95&lt;&gt;"",H95&lt;&gt;"",OR(J95&lt;&gt;"",K95&lt;&gt;""),OR(M95&lt;&gt;"",N95&lt;&gt;"",O95&lt;&gt;"")),"OK","ERRO: faltam "&amp;IF(A95="","SDR; ","")&amp;IF(B95="","Proprietário; ","")&amp;IF(C95="","Origem; ","")&amp;IF(D95="","Temperatura; ","")&amp;IF(E95="","Segmento; ","")&amp;IF(F95="","Time/Cluster; ","")&amp;IF(G95="","CNPJ; ","")&amp;IF(H95="","Razão Social; ","")&amp;IF(AND(J95="",K95=""),"nome do contato; ","")&amp;IF(AND(M95="",N95="",O95=""),"telefone, celular ou e-mail; ","")))</f>
      </c>
      <c r="AB95" s="6">
        <f>IF(COUNTA(A95:S95)=0,"",IF(AND(U95="OK",V95="OK",LEFT(W95,4)&lt;&gt;"ERRO",LEFT(X95,4)&lt;&gt;"ERRO",LEFT(Y95,4)&lt;&gt;"ERRO",AA95="OK"),"OK","REVISAR"))</f>
      </c>
    </row>
    <row r="96">
      <c r="A96" s="5"/>
      <c r="B96" s="5"/>
      <c r="C96" s="5"/>
      <c r="D96" s="5"/>
      <c r="E96" s="5"/>
      <c r="F96" s="5"/>
      <c r="G96" s="5"/>
      <c r="H96" s="5"/>
      <c r="I96" s="4"/>
      <c r="J96" s="5"/>
      <c r="K96" s="4"/>
      <c r="L96" s="4"/>
      <c r="M96" s="4"/>
      <c r="N96" s="4"/>
      <c r="O96" s="4"/>
      <c r="P96" s="4"/>
      <c r="Q96" s="4"/>
      <c r="R96" s="4"/>
      <c r="S96" s="4"/>
      <c r="T96" s="6">
        <f>IF(G96="","",SUBSTITUTE(SUBSTITUTE(SUBSTITUTE(SUBSTITUTE(SUBSTITUTE(SUBSTITUTE(SUBSTITUTE(TRIM(G96),".",""),"/",""),"-","")," ",""),"(",""),")",""),"+",""))</f>
      </c>
      <c r="U96" s="6">
        <f>IF(T96="","",IF(LEN(T96)&lt;&gt;14,"ERRO: "&amp;LEN(T96)&amp;" dígitos",IF(NOT(ISNUMBER(VALUE(T96))),"ERRO: não numérico",IF(LEN(SUBSTITUTE(T96,LEFT(T96,1),""))=0,"ERRO: dígitos repetidos",IF(AND(VALUE(MID(T96,13,1))=IF(MOD(SUMPRODUCT(--MID(T96,{1,2,3,4,5,6,7,8,9,10,11,12},1),{5,4,3,2,9,8,7,6,5,4,3,2}),11)&lt;2,0,11-MOD(SUMPRODUCT(--MID(T96,{1,2,3,4,5,6,7,8,9,10,11,12},1),{5,4,3,2,9,8,7,6,5,4,3,2}),11)),VALUE(MID(T96,14,1))=IF(MOD(SUMPRODUCT(--MID(T96,{1,2,3,4,5,6,7,8,9,10,11,12,13},1),{6,5,4,3,2,9,8,7,6,5,4,3,2}),11)&lt;2,0,11-MOD(SUMPRODUCT(--MID(T96,{1,2,3,4,5,6,7,8,9,10,11,12,13},1),{6,5,4,3,2,9,8,7,6,5,4,3,2}),11))),"OK","ERRO: dígito verificador")))))</f>
      </c>
      <c r="V96" s="6">
        <f>IF(T96="","",IF(COUNTIF($T$2:$T$1001,T96)&gt;1,"DUPLICADO","OK"))</f>
      </c>
      <c r="W96" s="6">
        <f>IF(M96="","vazio",IF(OR(AND(LEN(SUBSTITUTE(SUBSTITUTE(SUBSTITUTE(SUBSTITUTE(SUBSTITUTE(SUBSTITUTE(SUBSTITUTE(TRIM(M96),".",""),"/",""),"-","")," ",""),"(",""),")",""),"+",""))=10,LEFT(SUBSTITUTE(SUBSTITUTE(SUBSTITUTE(SUBSTITUTE(SUBSTITUTE(SUBSTITUTE(SUBSTITUTE(TRIM(M96),".",""),"/",""),"-","")," ",""),"(",""),")",""),"+",""),1)&lt;&gt;"0"),AND(LEN(SUBSTITUTE(SUBSTITUTE(SUBSTITUTE(SUBSTITUTE(SUBSTITUTE(SUBSTITUTE(SUBSTITUTE(TRIM(M96),".",""),"/",""),"-","")," ",""),"(",""),")",""),"+",""))=11,LEFT(SUBSTITUTE(SUBSTITUTE(SUBSTITUTE(SUBSTITUTE(SUBSTITUTE(SUBSTITUTE(SUBSTITUTE(TRIM(M96),".",""),"/",""),"-","")," ",""),"(",""),")",""),"+",""),4)="0800")),"OK",IF(AND(LEN(SUBSTITUTE(SUBSTITUTE(SUBSTITUTE(SUBSTITUTE(SUBSTITUTE(SUBSTITUTE(SUBSTITUTE(TRIM(M96),".",""),"/",""),"-","")," ",""),"(",""),")",""),"+",""))=11,MID(SUBSTITUTE(SUBSTITUTE(SUBSTITUTE(SUBSTITUTE(SUBSTITUTE(SUBSTITUTE(SUBSTITUTE(TRIM(M96),".",""),"/",""),"-","")," ",""),"(",""),")",""),"+",""),3,1)="9"),"ERRO: é celular, use a coluna Celular","ERRO: DDD + 8 dígitos ou 0800 + 7")))</f>
      </c>
      <c r="X96" s="6">
        <f>IF(N96="","vazio",IF(AND(LEN(SUBSTITUTE(SUBSTITUTE(SUBSTITUTE(SUBSTITUTE(SUBSTITUTE(SUBSTITUTE(SUBSTITUTE(TRIM(N96),".",""),"/",""),"-","")," ",""),"(",""),")",""),"+",""))=11,MID(SUBSTITUTE(SUBSTITUTE(SUBSTITUTE(SUBSTITUTE(SUBSTITUTE(SUBSTITUTE(SUBSTITUTE(TRIM(N96),".",""),"/",""),"-","")," ",""),"(",""),")",""),"+",""),3,1)="9",LEFT(SUBSTITUTE(SUBSTITUTE(SUBSTITUTE(SUBSTITUTE(SUBSTITUTE(SUBSTITUTE(SUBSTITUTE(TRIM(N96),".",""),"/",""),"-","")," ",""),"(",""),")",""),"+",""),1)&lt;&gt;"0"),"OK",IF(LEN(SUBSTITUTE(SUBSTITUTE(SUBSTITUTE(SUBSTITUTE(SUBSTITUTE(SUBSTITUTE(SUBSTITUTE(TRIM(N96),".",""),"/",""),"-","")," ",""),"(",""),")",""),"+",""))=10,"ERRO: é fixo (ou falta o 9), use a coluna Telefone fixo","ERRO: DDD + 9 + 8 dígitos")))</f>
      </c>
      <c r="Y96" s="6">
        <f>IF(O96="","vazio",IF(AND(ISNUMBER(FIND("@",O96)),ISNUMBER(FIND(".",MID(O96,FIND("@",O96),99))),NOT(ISNUMBER(FIND(" ",TRIM(O96)))),NOT(ISNUMBER(FIND(";",O96))),NOT(ISNUMBER(FIND(",",O96)))),"OK","ERRO: um e-mail válido por linha"))</f>
      </c>
      <c r="Z96" s="6">
        <f>IF(AND(J96="",K96=""),"",IF(AND(J96&lt;&gt;"",K96&lt;&gt;""),"OK","pendente: só um nome (o GR completa ao converter)"))</f>
      </c>
      <c r="AA96" s="6">
        <f>IF(COUNTA(A96:S96)=0,"",IF(AND(A96&lt;&gt;"",B96&lt;&gt;"",C96&lt;&gt;"",D96&lt;&gt;"",E96&lt;&gt;"",F96&lt;&gt;"",G96&lt;&gt;"",H96&lt;&gt;"",OR(J96&lt;&gt;"",K96&lt;&gt;""),OR(M96&lt;&gt;"",N96&lt;&gt;"",O96&lt;&gt;"")),"OK","ERRO: faltam "&amp;IF(A96="","SDR; ","")&amp;IF(B96="","Proprietário; ","")&amp;IF(C96="","Origem; ","")&amp;IF(D96="","Temperatura; ","")&amp;IF(E96="","Segmento; ","")&amp;IF(F96="","Time/Cluster; ","")&amp;IF(G96="","CNPJ; ","")&amp;IF(H96="","Razão Social; ","")&amp;IF(AND(J96="",K96=""),"nome do contato; ","")&amp;IF(AND(M96="",N96="",O96=""),"telefone, celular ou e-mail; ","")))</f>
      </c>
      <c r="AB96" s="6">
        <f>IF(COUNTA(A96:S96)=0,"",IF(AND(U96="OK",V96="OK",LEFT(W96,4)&lt;&gt;"ERRO",LEFT(X96,4)&lt;&gt;"ERRO",LEFT(Y96,4)&lt;&gt;"ERRO",AA96="OK"),"OK","REVISAR"))</f>
      </c>
    </row>
    <row r="97">
      <c r="A97" s="5"/>
      <c r="B97" s="5"/>
      <c r="C97" s="5"/>
      <c r="D97" s="5"/>
      <c r="E97" s="5"/>
      <c r="F97" s="5"/>
      <c r="G97" s="5"/>
      <c r="H97" s="5"/>
      <c r="I97" s="4"/>
      <c r="J97" s="5"/>
      <c r="K97" s="4"/>
      <c r="L97" s="4"/>
      <c r="M97" s="4"/>
      <c r="N97" s="4"/>
      <c r="O97" s="4"/>
      <c r="P97" s="4"/>
      <c r="Q97" s="4"/>
      <c r="R97" s="4"/>
      <c r="S97" s="4"/>
      <c r="T97" s="6">
        <f>IF(G97="","",SUBSTITUTE(SUBSTITUTE(SUBSTITUTE(SUBSTITUTE(SUBSTITUTE(SUBSTITUTE(SUBSTITUTE(TRIM(G97),".",""),"/",""),"-","")," ",""),"(",""),")",""),"+",""))</f>
      </c>
      <c r="U97" s="6">
        <f>IF(T97="","",IF(LEN(T97)&lt;&gt;14,"ERRO: "&amp;LEN(T97)&amp;" dígitos",IF(NOT(ISNUMBER(VALUE(T97))),"ERRO: não numérico",IF(LEN(SUBSTITUTE(T97,LEFT(T97,1),""))=0,"ERRO: dígitos repetidos",IF(AND(VALUE(MID(T97,13,1))=IF(MOD(SUMPRODUCT(--MID(T97,{1,2,3,4,5,6,7,8,9,10,11,12},1),{5,4,3,2,9,8,7,6,5,4,3,2}),11)&lt;2,0,11-MOD(SUMPRODUCT(--MID(T97,{1,2,3,4,5,6,7,8,9,10,11,12},1),{5,4,3,2,9,8,7,6,5,4,3,2}),11)),VALUE(MID(T97,14,1))=IF(MOD(SUMPRODUCT(--MID(T97,{1,2,3,4,5,6,7,8,9,10,11,12,13},1),{6,5,4,3,2,9,8,7,6,5,4,3,2}),11)&lt;2,0,11-MOD(SUMPRODUCT(--MID(T97,{1,2,3,4,5,6,7,8,9,10,11,12,13},1),{6,5,4,3,2,9,8,7,6,5,4,3,2}),11))),"OK","ERRO: dígito verificador")))))</f>
      </c>
      <c r="V97" s="6">
        <f>IF(T97="","",IF(COUNTIF($T$2:$T$1001,T97)&gt;1,"DUPLICADO","OK"))</f>
      </c>
      <c r="W97" s="6">
        <f>IF(M97="","vazio",IF(OR(AND(LEN(SUBSTITUTE(SUBSTITUTE(SUBSTITUTE(SUBSTITUTE(SUBSTITUTE(SUBSTITUTE(SUBSTITUTE(TRIM(M97),".",""),"/",""),"-","")," ",""),"(",""),")",""),"+",""))=10,LEFT(SUBSTITUTE(SUBSTITUTE(SUBSTITUTE(SUBSTITUTE(SUBSTITUTE(SUBSTITUTE(SUBSTITUTE(TRIM(M97),".",""),"/",""),"-","")," ",""),"(",""),")",""),"+",""),1)&lt;&gt;"0"),AND(LEN(SUBSTITUTE(SUBSTITUTE(SUBSTITUTE(SUBSTITUTE(SUBSTITUTE(SUBSTITUTE(SUBSTITUTE(TRIM(M97),".",""),"/",""),"-","")," ",""),"(",""),")",""),"+",""))=11,LEFT(SUBSTITUTE(SUBSTITUTE(SUBSTITUTE(SUBSTITUTE(SUBSTITUTE(SUBSTITUTE(SUBSTITUTE(TRIM(M97),".",""),"/",""),"-","")," ",""),"(",""),")",""),"+",""),4)="0800")),"OK",IF(AND(LEN(SUBSTITUTE(SUBSTITUTE(SUBSTITUTE(SUBSTITUTE(SUBSTITUTE(SUBSTITUTE(SUBSTITUTE(TRIM(M97),".",""),"/",""),"-","")," ",""),"(",""),")",""),"+",""))=11,MID(SUBSTITUTE(SUBSTITUTE(SUBSTITUTE(SUBSTITUTE(SUBSTITUTE(SUBSTITUTE(SUBSTITUTE(TRIM(M97),".",""),"/",""),"-","")," ",""),"(",""),")",""),"+",""),3,1)="9"),"ERRO: é celular, use a coluna Celular","ERRO: DDD + 8 dígitos ou 0800 + 7")))</f>
      </c>
      <c r="X97" s="6">
        <f>IF(N97="","vazio",IF(AND(LEN(SUBSTITUTE(SUBSTITUTE(SUBSTITUTE(SUBSTITUTE(SUBSTITUTE(SUBSTITUTE(SUBSTITUTE(TRIM(N97),".",""),"/",""),"-","")," ",""),"(",""),")",""),"+",""))=11,MID(SUBSTITUTE(SUBSTITUTE(SUBSTITUTE(SUBSTITUTE(SUBSTITUTE(SUBSTITUTE(SUBSTITUTE(TRIM(N97),".",""),"/",""),"-","")," ",""),"(",""),")",""),"+",""),3,1)="9",LEFT(SUBSTITUTE(SUBSTITUTE(SUBSTITUTE(SUBSTITUTE(SUBSTITUTE(SUBSTITUTE(SUBSTITUTE(TRIM(N97),".",""),"/",""),"-","")," ",""),"(",""),")",""),"+",""),1)&lt;&gt;"0"),"OK",IF(LEN(SUBSTITUTE(SUBSTITUTE(SUBSTITUTE(SUBSTITUTE(SUBSTITUTE(SUBSTITUTE(SUBSTITUTE(TRIM(N97),".",""),"/",""),"-","")," ",""),"(",""),")",""),"+",""))=10,"ERRO: é fixo (ou falta o 9), use a coluna Telefone fixo","ERRO: DDD + 9 + 8 dígitos")))</f>
      </c>
      <c r="Y97" s="6">
        <f>IF(O97="","vazio",IF(AND(ISNUMBER(FIND("@",O97)),ISNUMBER(FIND(".",MID(O97,FIND("@",O97),99))),NOT(ISNUMBER(FIND(" ",TRIM(O97)))),NOT(ISNUMBER(FIND(";",O97))),NOT(ISNUMBER(FIND(",",O97)))),"OK","ERRO: um e-mail válido por linha"))</f>
      </c>
      <c r="Z97" s="6">
        <f>IF(AND(J97="",K97=""),"",IF(AND(J97&lt;&gt;"",K97&lt;&gt;""),"OK","pendente: só um nome (o GR completa ao converter)"))</f>
      </c>
      <c r="AA97" s="6">
        <f>IF(COUNTA(A97:S97)=0,"",IF(AND(A97&lt;&gt;"",B97&lt;&gt;"",C97&lt;&gt;"",D97&lt;&gt;"",E97&lt;&gt;"",F97&lt;&gt;"",G97&lt;&gt;"",H97&lt;&gt;"",OR(J97&lt;&gt;"",K97&lt;&gt;""),OR(M97&lt;&gt;"",N97&lt;&gt;"",O97&lt;&gt;"")),"OK","ERRO: faltam "&amp;IF(A97="","SDR; ","")&amp;IF(B97="","Proprietário; ","")&amp;IF(C97="","Origem; ","")&amp;IF(D97="","Temperatura; ","")&amp;IF(E97="","Segmento; ","")&amp;IF(F97="","Time/Cluster; ","")&amp;IF(G97="","CNPJ; ","")&amp;IF(H97="","Razão Social; ","")&amp;IF(AND(J97="",K97=""),"nome do contato; ","")&amp;IF(AND(M97="",N97="",O97=""),"telefone, celular ou e-mail; ","")))</f>
      </c>
      <c r="AB97" s="6">
        <f>IF(COUNTA(A97:S97)=0,"",IF(AND(U97="OK",V97="OK",LEFT(W97,4)&lt;&gt;"ERRO",LEFT(X97,4)&lt;&gt;"ERRO",LEFT(Y97,4)&lt;&gt;"ERRO",AA97="OK"),"OK","REVISAR"))</f>
      </c>
    </row>
    <row r="98">
      <c r="A98" s="5"/>
      <c r="B98" s="5"/>
      <c r="C98" s="5"/>
      <c r="D98" s="5"/>
      <c r="E98" s="5"/>
      <c r="F98" s="5"/>
      <c r="G98" s="5"/>
      <c r="H98" s="5"/>
      <c r="I98" s="4"/>
      <c r="J98" s="5"/>
      <c r="K98" s="4"/>
      <c r="L98" s="4"/>
      <c r="M98" s="4"/>
      <c r="N98" s="4"/>
      <c r="O98" s="4"/>
      <c r="P98" s="4"/>
      <c r="Q98" s="4"/>
      <c r="R98" s="4"/>
      <c r="S98" s="4"/>
      <c r="T98" s="6">
        <f>IF(G98="","",SUBSTITUTE(SUBSTITUTE(SUBSTITUTE(SUBSTITUTE(SUBSTITUTE(SUBSTITUTE(SUBSTITUTE(TRIM(G98),".",""),"/",""),"-","")," ",""),"(",""),")",""),"+",""))</f>
      </c>
      <c r="U98" s="6">
        <f>IF(T98="","",IF(LEN(T98)&lt;&gt;14,"ERRO: "&amp;LEN(T98)&amp;" dígitos",IF(NOT(ISNUMBER(VALUE(T98))),"ERRO: não numérico",IF(LEN(SUBSTITUTE(T98,LEFT(T98,1),""))=0,"ERRO: dígitos repetidos",IF(AND(VALUE(MID(T98,13,1))=IF(MOD(SUMPRODUCT(--MID(T98,{1,2,3,4,5,6,7,8,9,10,11,12},1),{5,4,3,2,9,8,7,6,5,4,3,2}),11)&lt;2,0,11-MOD(SUMPRODUCT(--MID(T98,{1,2,3,4,5,6,7,8,9,10,11,12},1),{5,4,3,2,9,8,7,6,5,4,3,2}),11)),VALUE(MID(T98,14,1))=IF(MOD(SUMPRODUCT(--MID(T98,{1,2,3,4,5,6,7,8,9,10,11,12,13},1),{6,5,4,3,2,9,8,7,6,5,4,3,2}),11)&lt;2,0,11-MOD(SUMPRODUCT(--MID(T98,{1,2,3,4,5,6,7,8,9,10,11,12,13},1),{6,5,4,3,2,9,8,7,6,5,4,3,2}),11))),"OK","ERRO: dígito verificador")))))</f>
      </c>
      <c r="V98" s="6">
        <f>IF(T98="","",IF(COUNTIF($T$2:$T$1001,T98)&gt;1,"DUPLICADO","OK"))</f>
      </c>
      <c r="W98" s="6">
        <f>IF(M98="","vazio",IF(OR(AND(LEN(SUBSTITUTE(SUBSTITUTE(SUBSTITUTE(SUBSTITUTE(SUBSTITUTE(SUBSTITUTE(SUBSTITUTE(TRIM(M98),".",""),"/",""),"-","")," ",""),"(",""),")",""),"+",""))=10,LEFT(SUBSTITUTE(SUBSTITUTE(SUBSTITUTE(SUBSTITUTE(SUBSTITUTE(SUBSTITUTE(SUBSTITUTE(TRIM(M98),".",""),"/",""),"-","")," ",""),"(",""),")",""),"+",""),1)&lt;&gt;"0"),AND(LEN(SUBSTITUTE(SUBSTITUTE(SUBSTITUTE(SUBSTITUTE(SUBSTITUTE(SUBSTITUTE(SUBSTITUTE(TRIM(M98),".",""),"/",""),"-","")," ",""),"(",""),")",""),"+",""))=11,LEFT(SUBSTITUTE(SUBSTITUTE(SUBSTITUTE(SUBSTITUTE(SUBSTITUTE(SUBSTITUTE(SUBSTITUTE(TRIM(M98),".",""),"/",""),"-","")," ",""),"(",""),")",""),"+",""),4)="0800")),"OK",IF(AND(LEN(SUBSTITUTE(SUBSTITUTE(SUBSTITUTE(SUBSTITUTE(SUBSTITUTE(SUBSTITUTE(SUBSTITUTE(TRIM(M98),".",""),"/",""),"-","")," ",""),"(",""),")",""),"+",""))=11,MID(SUBSTITUTE(SUBSTITUTE(SUBSTITUTE(SUBSTITUTE(SUBSTITUTE(SUBSTITUTE(SUBSTITUTE(TRIM(M98),".",""),"/",""),"-","")," ",""),"(",""),")",""),"+",""),3,1)="9"),"ERRO: é celular, use a coluna Celular","ERRO: DDD + 8 dígitos ou 0800 + 7")))</f>
      </c>
      <c r="X98" s="6">
        <f>IF(N98="","vazio",IF(AND(LEN(SUBSTITUTE(SUBSTITUTE(SUBSTITUTE(SUBSTITUTE(SUBSTITUTE(SUBSTITUTE(SUBSTITUTE(TRIM(N98),".",""),"/",""),"-","")," ",""),"(",""),")",""),"+",""))=11,MID(SUBSTITUTE(SUBSTITUTE(SUBSTITUTE(SUBSTITUTE(SUBSTITUTE(SUBSTITUTE(SUBSTITUTE(TRIM(N98),".",""),"/",""),"-","")," ",""),"(",""),")",""),"+",""),3,1)="9",LEFT(SUBSTITUTE(SUBSTITUTE(SUBSTITUTE(SUBSTITUTE(SUBSTITUTE(SUBSTITUTE(SUBSTITUTE(TRIM(N98),".",""),"/",""),"-","")," ",""),"(",""),")",""),"+",""),1)&lt;&gt;"0"),"OK",IF(LEN(SUBSTITUTE(SUBSTITUTE(SUBSTITUTE(SUBSTITUTE(SUBSTITUTE(SUBSTITUTE(SUBSTITUTE(TRIM(N98),".",""),"/",""),"-","")," ",""),"(",""),")",""),"+",""))=10,"ERRO: é fixo (ou falta o 9), use a coluna Telefone fixo","ERRO: DDD + 9 + 8 dígitos")))</f>
      </c>
      <c r="Y98" s="6">
        <f>IF(O98="","vazio",IF(AND(ISNUMBER(FIND("@",O98)),ISNUMBER(FIND(".",MID(O98,FIND("@",O98),99))),NOT(ISNUMBER(FIND(" ",TRIM(O98)))),NOT(ISNUMBER(FIND(";",O98))),NOT(ISNUMBER(FIND(",",O98)))),"OK","ERRO: um e-mail válido por linha"))</f>
      </c>
      <c r="Z98" s="6">
        <f>IF(AND(J98="",K98=""),"",IF(AND(J98&lt;&gt;"",K98&lt;&gt;""),"OK","pendente: só um nome (o GR completa ao converter)"))</f>
      </c>
      <c r="AA98" s="6">
        <f>IF(COUNTA(A98:S98)=0,"",IF(AND(A98&lt;&gt;"",B98&lt;&gt;"",C98&lt;&gt;"",D98&lt;&gt;"",E98&lt;&gt;"",F98&lt;&gt;"",G98&lt;&gt;"",H98&lt;&gt;"",OR(J98&lt;&gt;"",K98&lt;&gt;""),OR(M98&lt;&gt;"",N98&lt;&gt;"",O98&lt;&gt;"")),"OK","ERRO: faltam "&amp;IF(A98="","SDR; ","")&amp;IF(B98="","Proprietário; ","")&amp;IF(C98="","Origem; ","")&amp;IF(D98="","Temperatura; ","")&amp;IF(E98="","Segmento; ","")&amp;IF(F98="","Time/Cluster; ","")&amp;IF(G98="","CNPJ; ","")&amp;IF(H98="","Razão Social; ","")&amp;IF(AND(J98="",K98=""),"nome do contato; ","")&amp;IF(AND(M98="",N98="",O98=""),"telefone, celular ou e-mail; ","")))</f>
      </c>
      <c r="AB98" s="6">
        <f>IF(COUNTA(A98:S98)=0,"",IF(AND(U98="OK",V98="OK",LEFT(W98,4)&lt;&gt;"ERRO",LEFT(X98,4)&lt;&gt;"ERRO",LEFT(Y98,4)&lt;&gt;"ERRO",AA98="OK"),"OK","REVISAR"))</f>
      </c>
    </row>
    <row r="99">
      <c r="A99" s="5"/>
      <c r="B99" s="5"/>
      <c r="C99" s="5"/>
      <c r="D99" s="5"/>
      <c r="E99" s="5"/>
      <c r="F99" s="5"/>
      <c r="G99" s="5"/>
      <c r="H99" s="5"/>
      <c r="I99" s="4"/>
      <c r="J99" s="5"/>
      <c r="K99" s="4"/>
      <c r="L99" s="4"/>
      <c r="M99" s="4"/>
      <c r="N99" s="4"/>
      <c r="O99" s="4"/>
      <c r="P99" s="4"/>
      <c r="Q99" s="4"/>
      <c r="R99" s="4"/>
      <c r="S99" s="4"/>
      <c r="T99" s="6">
        <f>IF(G99="","",SUBSTITUTE(SUBSTITUTE(SUBSTITUTE(SUBSTITUTE(SUBSTITUTE(SUBSTITUTE(SUBSTITUTE(TRIM(G99),".",""),"/",""),"-","")," ",""),"(",""),")",""),"+",""))</f>
      </c>
      <c r="U99" s="6">
        <f>IF(T99="","",IF(LEN(T99)&lt;&gt;14,"ERRO: "&amp;LEN(T99)&amp;" dígitos",IF(NOT(ISNUMBER(VALUE(T99))),"ERRO: não numérico",IF(LEN(SUBSTITUTE(T99,LEFT(T99,1),""))=0,"ERRO: dígitos repetidos",IF(AND(VALUE(MID(T99,13,1))=IF(MOD(SUMPRODUCT(--MID(T99,{1,2,3,4,5,6,7,8,9,10,11,12},1),{5,4,3,2,9,8,7,6,5,4,3,2}),11)&lt;2,0,11-MOD(SUMPRODUCT(--MID(T99,{1,2,3,4,5,6,7,8,9,10,11,12},1),{5,4,3,2,9,8,7,6,5,4,3,2}),11)),VALUE(MID(T99,14,1))=IF(MOD(SUMPRODUCT(--MID(T99,{1,2,3,4,5,6,7,8,9,10,11,12,13},1),{6,5,4,3,2,9,8,7,6,5,4,3,2}),11)&lt;2,0,11-MOD(SUMPRODUCT(--MID(T99,{1,2,3,4,5,6,7,8,9,10,11,12,13},1),{6,5,4,3,2,9,8,7,6,5,4,3,2}),11))),"OK","ERRO: dígito verificador")))))</f>
      </c>
      <c r="V99" s="6">
        <f>IF(T99="","",IF(COUNTIF($T$2:$T$1001,T99)&gt;1,"DUPLICADO","OK"))</f>
      </c>
      <c r="W99" s="6">
        <f>IF(M99="","vazio",IF(OR(AND(LEN(SUBSTITUTE(SUBSTITUTE(SUBSTITUTE(SUBSTITUTE(SUBSTITUTE(SUBSTITUTE(SUBSTITUTE(TRIM(M99),".",""),"/",""),"-","")," ",""),"(",""),")",""),"+",""))=10,LEFT(SUBSTITUTE(SUBSTITUTE(SUBSTITUTE(SUBSTITUTE(SUBSTITUTE(SUBSTITUTE(SUBSTITUTE(TRIM(M99),".",""),"/",""),"-","")," ",""),"(",""),")",""),"+",""),1)&lt;&gt;"0"),AND(LEN(SUBSTITUTE(SUBSTITUTE(SUBSTITUTE(SUBSTITUTE(SUBSTITUTE(SUBSTITUTE(SUBSTITUTE(TRIM(M99),".",""),"/",""),"-","")," ",""),"(",""),")",""),"+",""))=11,LEFT(SUBSTITUTE(SUBSTITUTE(SUBSTITUTE(SUBSTITUTE(SUBSTITUTE(SUBSTITUTE(SUBSTITUTE(TRIM(M99),".",""),"/",""),"-","")," ",""),"(",""),")",""),"+",""),4)="0800")),"OK",IF(AND(LEN(SUBSTITUTE(SUBSTITUTE(SUBSTITUTE(SUBSTITUTE(SUBSTITUTE(SUBSTITUTE(SUBSTITUTE(TRIM(M99),".",""),"/",""),"-","")," ",""),"(",""),")",""),"+",""))=11,MID(SUBSTITUTE(SUBSTITUTE(SUBSTITUTE(SUBSTITUTE(SUBSTITUTE(SUBSTITUTE(SUBSTITUTE(TRIM(M99),".",""),"/",""),"-","")," ",""),"(",""),")",""),"+",""),3,1)="9"),"ERRO: é celular, use a coluna Celular","ERRO: DDD + 8 dígitos ou 0800 + 7")))</f>
      </c>
      <c r="X99" s="6">
        <f>IF(N99="","vazio",IF(AND(LEN(SUBSTITUTE(SUBSTITUTE(SUBSTITUTE(SUBSTITUTE(SUBSTITUTE(SUBSTITUTE(SUBSTITUTE(TRIM(N99),".",""),"/",""),"-","")," ",""),"(",""),")",""),"+",""))=11,MID(SUBSTITUTE(SUBSTITUTE(SUBSTITUTE(SUBSTITUTE(SUBSTITUTE(SUBSTITUTE(SUBSTITUTE(TRIM(N99),".",""),"/",""),"-","")," ",""),"(",""),")",""),"+",""),3,1)="9",LEFT(SUBSTITUTE(SUBSTITUTE(SUBSTITUTE(SUBSTITUTE(SUBSTITUTE(SUBSTITUTE(SUBSTITUTE(TRIM(N99),".",""),"/",""),"-","")," ",""),"(",""),")",""),"+",""),1)&lt;&gt;"0"),"OK",IF(LEN(SUBSTITUTE(SUBSTITUTE(SUBSTITUTE(SUBSTITUTE(SUBSTITUTE(SUBSTITUTE(SUBSTITUTE(TRIM(N99),".",""),"/",""),"-","")," ",""),"(",""),")",""),"+",""))=10,"ERRO: é fixo (ou falta o 9), use a coluna Telefone fixo","ERRO: DDD + 9 + 8 dígitos")))</f>
      </c>
      <c r="Y99" s="6">
        <f>IF(O99="","vazio",IF(AND(ISNUMBER(FIND("@",O99)),ISNUMBER(FIND(".",MID(O99,FIND("@",O99),99))),NOT(ISNUMBER(FIND(" ",TRIM(O99)))),NOT(ISNUMBER(FIND(";",O99))),NOT(ISNUMBER(FIND(",",O99)))),"OK","ERRO: um e-mail válido por linha"))</f>
      </c>
      <c r="Z99" s="6">
        <f>IF(AND(J99="",K99=""),"",IF(AND(J99&lt;&gt;"",K99&lt;&gt;""),"OK","pendente: só um nome (o GR completa ao converter)"))</f>
      </c>
      <c r="AA99" s="6">
        <f>IF(COUNTA(A99:S99)=0,"",IF(AND(A99&lt;&gt;"",B99&lt;&gt;"",C99&lt;&gt;"",D99&lt;&gt;"",E99&lt;&gt;"",F99&lt;&gt;"",G99&lt;&gt;"",H99&lt;&gt;"",OR(J99&lt;&gt;"",K99&lt;&gt;""),OR(M99&lt;&gt;"",N99&lt;&gt;"",O99&lt;&gt;"")),"OK","ERRO: faltam "&amp;IF(A99="","SDR; ","")&amp;IF(B99="","Proprietário; ","")&amp;IF(C99="","Origem; ","")&amp;IF(D99="","Temperatura; ","")&amp;IF(E99="","Segmento; ","")&amp;IF(F99="","Time/Cluster; ","")&amp;IF(G99="","CNPJ; ","")&amp;IF(H99="","Razão Social; ","")&amp;IF(AND(J99="",K99=""),"nome do contato; ","")&amp;IF(AND(M99="",N99="",O99=""),"telefone, celular ou e-mail; ","")))</f>
      </c>
      <c r="AB99" s="6">
        <f>IF(COUNTA(A99:S99)=0,"",IF(AND(U99="OK",V99="OK",LEFT(W99,4)&lt;&gt;"ERRO",LEFT(X99,4)&lt;&gt;"ERRO",LEFT(Y99,4)&lt;&gt;"ERRO",AA99="OK"),"OK","REVISAR"))</f>
      </c>
    </row>
    <row r="100">
      <c r="A100" s="5"/>
      <c r="B100" s="5"/>
      <c r="C100" s="5"/>
      <c r="D100" s="5"/>
      <c r="E100" s="5"/>
      <c r="F100" s="5"/>
      <c r="G100" s="5"/>
      <c r="H100" s="5"/>
      <c r="I100" s="4"/>
      <c r="J100" s="5"/>
      <c r="K100" s="4"/>
      <c r="L100" s="4"/>
      <c r="M100" s="4"/>
      <c r="N100" s="4"/>
      <c r="O100" s="4"/>
      <c r="P100" s="4"/>
      <c r="Q100" s="4"/>
      <c r="R100" s="4"/>
      <c r="S100" s="4"/>
      <c r="T100" s="6">
        <f>IF(G100="","",SUBSTITUTE(SUBSTITUTE(SUBSTITUTE(SUBSTITUTE(SUBSTITUTE(SUBSTITUTE(SUBSTITUTE(TRIM(G100),".",""),"/",""),"-","")," ",""),"(",""),")",""),"+",""))</f>
      </c>
      <c r="U100" s="6">
        <f>IF(T100="","",IF(LEN(T100)&lt;&gt;14,"ERRO: "&amp;LEN(T100)&amp;" dígitos",IF(NOT(ISNUMBER(VALUE(T100))),"ERRO: não numérico",IF(LEN(SUBSTITUTE(T100,LEFT(T100,1),""))=0,"ERRO: dígitos repetidos",IF(AND(VALUE(MID(T100,13,1))=IF(MOD(SUMPRODUCT(--MID(T100,{1,2,3,4,5,6,7,8,9,10,11,12},1),{5,4,3,2,9,8,7,6,5,4,3,2}),11)&lt;2,0,11-MOD(SUMPRODUCT(--MID(T100,{1,2,3,4,5,6,7,8,9,10,11,12},1),{5,4,3,2,9,8,7,6,5,4,3,2}),11)),VALUE(MID(T100,14,1))=IF(MOD(SUMPRODUCT(--MID(T100,{1,2,3,4,5,6,7,8,9,10,11,12,13},1),{6,5,4,3,2,9,8,7,6,5,4,3,2}),11)&lt;2,0,11-MOD(SUMPRODUCT(--MID(T100,{1,2,3,4,5,6,7,8,9,10,11,12,13},1),{6,5,4,3,2,9,8,7,6,5,4,3,2}),11))),"OK","ERRO: dígito verificador")))))</f>
      </c>
      <c r="V100" s="6">
        <f>IF(T100="","",IF(COUNTIF($T$2:$T$1001,T100)&gt;1,"DUPLICADO","OK"))</f>
      </c>
      <c r="W100" s="6">
        <f>IF(M100="","vazio",IF(OR(AND(LEN(SUBSTITUTE(SUBSTITUTE(SUBSTITUTE(SUBSTITUTE(SUBSTITUTE(SUBSTITUTE(SUBSTITUTE(TRIM(M100),".",""),"/",""),"-","")," ",""),"(",""),")",""),"+",""))=10,LEFT(SUBSTITUTE(SUBSTITUTE(SUBSTITUTE(SUBSTITUTE(SUBSTITUTE(SUBSTITUTE(SUBSTITUTE(TRIM(M100),".",""),"/",""),"-","")," ",""),"(",""),")",""),"+",""),1)&lt;&gt;"0"),AND(LEN(SUBSTITUTE(SUBSTITUTE(SUBSTITUTE(SUBSTITUTE(SUBSTITUTE(SUBSTITUTE(SUBSTITUTE(TRIM(M100),".",""),"/",""),"-","")," ",""),"(",""),")",""),"+",""))=11,LEFT(SUBSTITUTE(SUBSTITUTE(SUBSTITUTE(SUBSTITUTE(SUBSTITUTE(SUBSTITUTE(SUBSTITUTE(TRIM(M100),".",""),"/",""),"-","")," ",""),"(",""),")",""),"+",""),4)="0800")),"OK",IF(AND(LEN(SUBSTITUTE(SUBSTITUTE(SUBSTITUTE(SUBSTITUTE(SUBSTITUTE(SUBSTITUTE(SUBSTITUTE(TRIM(M100),".",""),"/",""),"-","")," ",""),"(",""),")",""),"+",""))=11,MID(SUBSTITUTE(SUBSTITUTE(SUBSTITUTE(SUBSTITUTE(SUBSTITUTE(SUBSTITUTE(SUBSTITUTE(TRIM(M100),".",""),"/",""),"-","")," ",""),"(",""),")",""),"+",""),3,1)="9"),"ERRO: é celular, use a coluna Celular","ERRO: DDD + 8 dígitos ou 0800 + 7")))</f>
      </c>
      <c r="X100" s="6">
        <f>IF(N100="","vazio",IF(AND(LEN(SUBSTITUTE(SUBSTITUTE(SUBSTITUTE(SUBSTITUTE(SUBSTITUTE(SUBSTITUTE(SUBSTITUTE(TRIM(N100),".",""),"/",""),"-","")," ",""),"(",""),")",""),"+",""))=11,MID(SUBSTITUTE(SUBSTITUTE(SUBSTITUTE(SUBSTITUTE(SUBSTITUTE(SUBSTITUTE(SUBSTITUTE(TRIM(N100),".",""),"/",""),"-","")," ",""),"(",""),")",""),"+",""),3,1)="9",LEFT(SUBSTITUTE(SUBSTITUTE(SUBSTITUTE(SUBSTITUTE(SUBSTITUTE(SUBSTITUTE(SUBSTITUTE(TRIM(N100),".",""),"/",""),"-","")," ",""),"(",""),")",""),"+",""),1)&lt;&gt;"0"),"OK",IF(LEN(SUBSTITUTE(SUBSTITUTE(SUBSTITUTE(SUBSTITUTE(SUBSTITUTE(SUBSTITUTE(SUBSTITUTE(TRIM(N100),".",""),"/",""),"-","")," ",""),"(",""),")",""),"+",""))=10,"ERRO: é fixo (ou falta o 9), use a coluna Telefone fixo","ERRO: DDD + 9 + 8 dígitos")))</f>
      </c>
      <c r="Y100" s="6">
        <f>IF(O100="","vazio",IF(AND(ISNUMBER(FIND("@",O100)),ISNUMBER(FIND(".",MID(O100,FIND("@",O100),99))),NOT(ISNUMBER(FIND(" ",TRIM(O100)))),NOT(ISNUMBER(FIND(";",O100))),NOT(ISNUMBER(FIND(",",O100)))),"OK","ERRO: um e-mail válido por linha"))</f>
      </c>
      <c r="Z100" s="6">
        <f>IF(AND(J100="",K100=""),"",IF(AND(J100&lt;&gt;"",K100&lt;&gt;""),"OK","pendente: só um nome (o GR completa ao converter)"))</f>
      </c>
      <c r="AA100" s="6">
        <f>IF(COUNTA(A100:S100)=0,"",IF(AND(A100&lt;&gt;"",B100&lt;&gt;"",C100&lt;&gt;"",D100&lt;&gt;"",E100&lt;&gt;"",F100&lt;&gt;"",G100&lt;&gt;"",H100&lt;&gt;"",OR(J100&lt;&gt;"",K100&lt;&gt;""),OR(M100&lt;&gt;"",N100&lt;&gt;"",O100&lt;&gt;"")),"OK","ERRO: faltam "&amp;IF(A100="","SDR; ","")&amp;IF(B100="","Proprietário; ","")&amp;IF(C100="","Origem; ","")&amp;IF(D100="","Temperatura; ","")&amp;IF(E100="","Segmento; ","")&amp;IF(F100="","Time/Cluster; ","")&amp;IF(G100="","CNPJ; ","")&amp;IF(H100="","Razão Social; ","")&amp;IF(AND(J100="",K100=""),"nome do contato; ","")&amp;IF(AND(M100="",N100="",O100=""),"telefone, celular ou e-mail; ","")))</f>
      </c>
      <c r="AB100" s="6">
        <f>IF(COUNTA(A100:S100)=0,"",IF(AND(U100="OK",V100="OK",LEFT(W100,4)&lt;&gt;"ERRO",LEFT(X100,4)&lt;&gt;"ERRO",LEFT(Y100,4)&lt;&gt;"ERRO",AA100="OK"),"OK","REVISAR"))</f>
      </c>
    </row>
    <row r="101">
      <c r="A101" s="5"/>
      <c r="B101" s="5"/>
      <c r="C101" s="5"/>
      <c r="D101" s="5"/>
      <c r="E101" s="5"/>
      <c r="F101" s="5"/>
      <c r="G101" s="5"/>
      <c r="H101" s="5"/>
      <c r="I101" s="4"/>
      <c r="J101" s="5"/>
      <c r="K101" s="4"/>
      <c r="L101" s="4"/>
      <c r="M101" s="4"/>
      <c r="N101" s="4"/>
      <c r="O101" s="4"/>
      <c r="P101" s="4"/>
      <c r="Q101" s="4"/>
      <c r="R101" s="4"/>
      <c r="S101" s="4"/>
      <c r="T101" s="6">
        <f>IF(G101="","",SUBSTITUTE(SUBSTITUTE(SUBSTITUTE(SUBSTITUTE(SUBSTITUTE(SUBSTITUTE(SUBSTITUTE(TRIM(G101),".",""),"/",""),"-","")," ",""),"(",""),")",""),"+",""))</f>
      </c>
      <c r="U101" s="6">
        <f>IF(T101="","",IF(LEN(T101)&lt;&gt;14,"ERRO: "&amp;LEN(T101)&amp;" dígitos",IF(NOT(ISNUMBER(VALUE(T101))),"ERRO: não numérico",IF(LEN(SUBSTITUTE(T101,LEFT(T101,1),""))=0,"ERRO: dígitos repetidos",IF(AND(VALUE(MID(T101,13,1))=IF(MOD(SUMPRODUCT(--MID(T101,{1,2,3,4,5,6,7,8,9,10,11,12},1),{5,4,3,2,9,8,7,6,5,4,3,2}),11)&lt;2,0,11-MOD(SUMPRODUCT(--MID(T101,{1,2,3,4,5,6,7,8,9,10,11,12},1),{5,4,3,2,9,8,7,6,5,4,3,2}),11)),VALUE(MID(T101,14,1))=IF(MOD(SUMPRODUCT(--MID(T101,{1,2,3,4,5,6,7,8,9,10,11,12,13},1),{6,5,4,3,2,9,8,7,6,5,4,3,2}),11)&lt;2,0,11-MOD(SUMPRODUCT(--MID(T101,{1,2,3,4,5,6,7,8,9,10,11,12,13},1),{6,5,4,3,2,9,8,7,6,5,4,3,2}),11))),"OK","ERRO: dígito verificador")))))</f>
      </c>
      <c r="V101" s="6">
        <f>IF(T101="","",IF(COUNTIF($T$2:$T$1001,T101)&gt;1,"DUPLICADO","OK"))</f>
      </c>
      <c r="W101" s="6">
        <f>IF(M101="","vazio",IF(OR(AND(LEN(SUBSTITUTE(SUBSTITUTE(SUBSTITUTE(SUBSTITUTE(SUBSTITUTE(SUBSTITUTE(SUBSTITUTE(TRIM(M101),".",""),"/",""),"-","")," ",""),"(",""),")",""),"+",""))=10,LEFT(SUBSTITUTE(SUBSTITUTE(SUBSTITUTE(SUBSTITUTE(SUBSTITUTE(SUBSTITUTE(SUBSTITUTE(TRIM(M101),".",""),"/",""),"-","")," ",""),"(",""),")",""),"+",""),1)&lt;&gt;"0"),AND(LEN(SUBSTITUTE(SUBSTITUTE(SUBSTITUTE(SUBSTITUTE(SUBSTITUTE(SUBSTITUTE(SUBSTITUTE(TRIM(M101),".",""),"/",""),"-","")," ",""),"(",""),")",""),"+",""))=11,LEFT(SUBSTITUTE(SUBSTITUTE(SUBSTITUTE(SUBSTITUTE(SUBSTITUTE(SUBSTITUTE(SUBSTITUTE(TRIM(M101),".",""),"/",""),"-","")," ",""),"(",""),")",""),"+",""),4)="0800")),"OK",IF(AND(LEN(SUBSTITUTE(SUBSTITUTE(SUBSTITUTE(SUBSTITUTE(SUBSTITUTE(SUBSTITUTE(SUBSTITUTE(TRIM(M101),".",""),"/",""),"-","")," ",""),"(",""),")",""),"+",""))=11,MID(SUBSTITUTE(SUBSTITUTE(SUBSTITUTE(SUBSTITUTE(SUBSTITUTE(SUBSTITUTE(SUBSTITUTE(TRIM(M101),".",""),"/",""),"-","")," ",""),"(",""),")",""),"+",""),3,1)="9"),"ERRO: é celular, use a coluna Celular","ERRO: DDD + 8 dígitos ou 0800 + 7")))</f>
      </c>
      <c r="X101" s="6">
        <f>IF(N101="","vazio",IF(AND(LEN(SUBSTITUTE(SUBSTITUTE(SUBSTITUTE(SUBSTITUTE(SUBSTITUTE(SUBSTITUTE(SUBSTITUTE(TRIM(N101),".",""),"/",""),"-","")," ",""),"(",""),")",""),"+",""))=11,MID(SUBSTITUTE(SUBSTITUTE(SUBSTITUTE(SUBSTITUTE(SUBSTITUTE(SUBSTITUTE(SUBSTITUTE(TRIM(N101),".",""),"/",""),"-","")," ",""),"(",""),")",""),"+",""),3,1)="9",LEFT(SUBSTITUTE(SUBSTITUTE(SUBSTITUTE(SUBSTITUTE(SUBSTITUTE(SUBSTITUTE(SUBSTITUTE(TRIM(N101),".",""),"/",""),"-","")," ",""),"(",""),")",""),"+",""),1)&lt;&gt;"0"),"OK",IF(LEN(SUBSTITUTE(SUBSTITUTE(SUBSTITUTE(SUBSTITUTE(SUBSTITUTE(SUBSTITUTE(SUBSTITUTE(TRIM(N101),".",""),"/",""),"-","")," ",""),"(",""),")",""),"+",""))=10,"ERRO: é fixo (ou falta o 9), use a coluna Telefone fixo","ERRO: DDD + 9 + 8 dígitos")))</f>
      </c>
      <c r="Y101" s="6">
        <f>IF(O101="","vazio",IF(AND(ISNUMBER(FIND("@",O101)),ISNUMBER(FIND(".",MID(O101,FIND("@",O101),99))),NOT(ISNUMBER(FIND(" ",TRIM(O101)))),NOT(ISNUMBER(FIND(";",O101))),NOT(ISNUMBER(FIND(",",O101)))),"OK","ERRO: um e-mail válido por linha"))</f>
      </c>
      <c r="Z101" s="6">
        <f>IF(AND(J101="",K101=""),"",IF(AND(J101&lt;&gt;"",K101&lt;&gt;""),"OK","pendente: só um nome (o GR completa ao converter)"))</f>
      </c>
      <c r="AA101" s="6">
        <f>IF(COUNTA(A101:S101)=0,"",IF(AND(A101&lt;&gt;"",B101&lt;&gt;"",C101&lt;&gt;"",D101&lt;&gt;"",E101&lt;&gt;"",F101&lt;&gt;"",G101&lt;&gt;"",H101&lt;&gt;"",OR(J101&lt;&gt;"",K101&lt;&gt;""),OR(M101&lt;&gt;"",N101&lt;&gt;"",O101&lt;&gt;"")),"OK","ERRO: faltam "&amp;IF(A101="","SDR; ","")&amp;IF(B101="","Proprietário; ","")&amp;IF(C101="","Origem; ","")&amp;IF(D101="","Temperatura; ","")&amp;IF(E101="","Segmento; ","")&amp;IF(F101="","Time/Cluster; ","")&amp;IF(G101="","CNPJ; ","")&amp;IF(H101="","Razão Social; ","")&amp;IF(AND(J101="",K101=""),"nome do contato; ","")&amp;IF(AND(M101="",N101="",O101=""),"telefone, celular ou e-mail; ","")))</f>
      </c>
      <c r="AB101" s="6">
        <f>IF(COUNTA(A101:S101)=0,"",IF(AND(U101="OK",V101="OK",LEFT(W101,4)&lt;&gt;"ERRO",LEFT(X101,4)&lt;&gt;"ERRO",LEFT(Y101,4)&lt;&gt;"ERRO",AA101="OK"),"OK","REVISAR"))</f>
      </c>
    </row>
    <row r="102">
      <c r="A102" s="5"/>
      <c r="B102" s="5"/>
      <c r="C102" s="5"/>
      <c r="D102" s="5"/>
      <c r="E102" s="5"/>
      <c r="F102" s="5"/>
      <c r="G102" s="5"/>
      <c r="H102" s="5"/>
      <c r="I102" s="4"/>
      <c r="J102" s="5"/>
      <c r="K102" s="4"/>
      <c r="L102" s="4"/>
      <c r="M102" s="4"/>
      <c r="N102" s="4"/>
      <c r="O102" s="4"/>
      <c r="P102" s="4"/>
      <c r="Q102" s="4"/>
      <c r="R102" s="4"/>
      <c r="S102" s="4"/>
      <c r="T102" s="6">
        <f>IF(G102="","",SUBSTITUTE(SUBSTITUTE(SUBSTITUTE(SUBSTITUTE(SUBSTITUTE(SUBSTITUTE(SUBSTITUTE(TRIM(G102),".",""),"/",""),"-","")," ",""),"(",""),")",""),"+",""))</f>
      </c>
      <c r="U102" s="6">
        <f>IF(T102="","",IF(LEN(T102)&lt;&gt;14,"ERRO: "&amp;LEN(T102)&amp;" dígitos",IF(NOT(ISNUMBER(VALUE(T102))),"ERRO: não numérico",IF(LEN(SUBSTITUTE(T102,LEFT(T102,1),""))=0,"ERRO: dígitos repetidos",IF(AND(VALUE(MID(T102,13,1))=IF(MOD(SUMPRODUCT(--MID(T102,{1,2,3,4,5,6,7,8,9,10,11,12},1),{5,4,3,2,9,8,7,6,5,4,3,2}),11)&lt;2,0,11-MOD(SUMPRODUCT(--MID(T102,{1,2,3,4,5,6,7,8,9,10,11,12},1),{5,4,3,2,9,8,7,6,5,4,3,2}),11)),VALUE(MID(T102,14,1))=IF(MOD(SUMPRODUCT(--MID(T102,{1,2,3,4,5,6,7,8,9,10,11,12,13},1),{6,5,4,3,2,9,8,7,6,5,4,3,2}),11)&lt;2,0,11-MOD(SUMPRODUCT(--MID(T102,{1,2,3,4,5,6,7,8,9,10,11,12,13},1),{6,5,4,3,2,9,8,7,6,5,4,3,2}),11))),"OK","ERRO: dígito verificador")))))</f>
      </c>
      <c r="V102" s="6">
        <f>IF(T102="","",IF(COUNTIF($T$2:$T$1001,T102)&gt;1,"DUPLICADO","OK"))</f>
      </c>
      <c r="W102" s="6">
        <f>IF(M102="","vazio",IF(OR(AND(LEN(SUBSTITUTE(SUBSTITUTE(SUBSTITUTE(SUBSTITUTE(SUBSTITUTE(SUBSTITUTE(SUBSTITUTE(TRIM(M102),".",""),"/",""),"-","")," ",""),"(",""),")",""),"+",""))=10,LEFT(SUBSTITUTE(SUBSTITUTE(SUBSTITUTE(SUBSTITUTE(SUBSTITUTE(SUBSTITUTE(SUBSTITUTE(TRIM(M102),".",""),"/",""),"-","")," ",""),"(",""),")",""),"+",""),1)&lt;&gt;"0"),AND(LEN(SUBSTITUTE(SUBSTITUTE(SUBSTITUTE(SUBSTITUTE(SUBSTITUTE(SUBSTITUTE(SUBSTITUTE(TRIM(M102),".",""),"/",""),"-","")," ",""),"(",""),")",""),"+",""))=11,LEFT(SUBSTITUTE(SUBSTITUTE(SUBSTITUTE(SUBSTITUTE(SUBSTITUTE(SUBSTITUTE(SUBSTITUTE(TRIM(M102),".",""),"/",""),"-","")," ",""),"(",""),")",""),"+",""),4)="0800")),"OK",IF(AND(LEN(SUBSTITUTE(SUBSTITUTE(SUBSTITUTE(SUBSTITUTE(SUBSTITUTE(SUBSTITUTE(SUBSTITUTE(TRIM(M102),".",""),"/",""),"-","")," ",""),"(",""),")",""),"+",""))=11,MID(SUBSTITUTE(SUBSTITUTE(SUBSTITUTE(SUBSTITUTE(SUBSTITUTE(SUBSTITUTE(SUBSTITUTE(TRIM(M102),".",""),"/",""),"-","")," ",""),"(",""),")",""),"+",""),3,1)="9"),"ERRO: é celular, use a coluna Celular","ERRO: DDD + 8 dígitos ou 0800 + 7")))</f>
      </c>
      <c r="X102" s="6">
        <f>IF(N102="","vazio",IF(AND(LEN(SUBSTITUTE(SUBSTITUTE(SUBSTITUTE(SUBSTITUTE(SUBSTITUTE(SUBSTITUTE(SUBSTITUTE(TRIM(N102),".",""),"/",""),"-","")," ",""),"(",""),")",""),"+",""))=11,MID(SUBSTITUTE(SUBSTITUTE(SUBSTITUTE(SUBSTITUTE(SUBSTITUTE(SUBSTITUTE(SUBSTITUTE(TRIM(N102),".",""),"/",""),"-","")," ",""),"(",""),")",""),"+",""),3,1)="9",LEFT(SUBSTITUTE(SUBSTITUTE(SUBSTITUTE(SUBSTITUTE(SUBSTITUTE(SUBSTITUTE(SUBSTITUTE(TRIM(N102),".",""),"/",""),"-","")," ",""),"(",""),")",""),"+",""),1)&lt;&gt;"0"),"OK",IF(LEN(SUBSTITUTE(SUBSTITUTE(SUBSTITUTE(SUBSTITUTE(SUBSTITUTE(SUBSTITUTE(SUBSTITUTE(TRIM(N102),".",""),"/",""),"-","")," ",""),"(",""),")",""),"+",""))=10,"ERRO: é fixo (ou falta o 9), use a coluna Telefone fixo","ERRO: DDD + 9 + 8 dígitos")))</f>
      </c>
      <c r="Y102" s="6">
        <f>IF(O102="","vazio",IF(AND(ISNUMBER(FIND("@",O102)),ISNUMBER(FIND(".",MID(O102,FIND("@",O102),99))),NOT(ISNUMBER(FIND(" ",TRIM(O102)))),NOT(ISNUMBER(FIND(";",O102))),NOT(ISNUMBER(FIND(",",O102)))),"OK","ERRO: um e-mail válido por linha"))</f>
      </c>
      <c r="Z102" s="6">
        <f>IF(AND(J102="",K102=""),"",IF(AND(J102&lt;&gt;"",K102&lt;&gt;""),"OK","pendente: só um nome (o GR completa ao converter)"))</f>
      </c>
      <c r="AA102" s="6">
        <f>IF(COUNTA(A102:S102)=0,"",IF(AND(A102&lt;&gt;"",B102&lt;&gt;"",C102&lt;&gt;"",D102&lt;&gt;"",E102&lt;&gt;"",F102&lt;&gt;"",G102&lt;&gt;"",H102&lt;&gt;"",OR(J102&lt;&gt;"",K102&lt;&gt;""),OR(M102&lt;&gt;"",N102&lt;&gt;"",O102&lt;&gt;"")),"OK","ERRO: faltam "&amp;IF(A102="","SDR; ","")&amp;IF(B102="","Proprietário; ","")&amp;IF(C102="","Origem; ","")&amp;IF(D102="","Temperatura; ","")&amp;IF(E102="","Segmento; ","")&amp;IF(F102="","Time/Cluster; ","")&amp;IF(G102="","CNPJ; ","")&amp;IF(H102="","Razão Social; ","")&amp;IF(AND(J102="",K102=""),"nome do contato; ","")&amp;IF(AND(M102="",N102="",O102=""),"telefone, celular ou e-mail; ","")))</f>
      </c>
      <c r="AB102" s="6">
        <f>IF(COUNTA(A102:S102)=0,"",IF(AND(U102="OK",V102="OK",LEFT(W102,4)&lt;&gt;"ERRO",LEFT(X102,4)&lt;&gt;"ERRO",LEFT(Y102,4)&lt;&gt;"ERRO",AA102="OK"),"OK","REVISAR"))</f>
      </c>
    </row>
    <row r="103">
      <c r="A103" s="5"/>
      <c r="B103" s="5"/>
      <c r="C103" s="5"/>
      <c r="D103" s="5"/>
      <c r="E103" s="5"/>
      <c r="F103" s="5"/>
      <c r="G103" s="5"/>
      <c r="H103" s="5"/>
      <c r="I103" s="4"/>
      <c r="J103" s="5"/>
      <c r="K103" s="4"/>
      <c r="L103" s="4"/>
      <c r="M103" s="4"/>
      <c r="N103" s="4"/>
      <c r="O103" s="4"/>
      <c r="P103" s="4"/>
      <c r="Q103" s="4"/>
      <c r="R103" s="4"/>
      <c r="S103" s="4"/>
      <c r="T103" s="6">
        <f>IF(G103="","",SUBSTITUTE(SUBSTITUTE(SUBSTITUTE(SUBSTITUTE(SUBSTITUTE(SUBSTITUTE(SUBSTITUTE(TRIM(G103),".",""),"/",""),"-","")," ",""),"(",""),")",""),"+",""))</f>
      </c>
      <c r="U103" s="6">
        <f>IF(T103="","",IF(LEN(T103)&lt;&gt;14,"ERRO: "&amp;LEN(T103)&amp;" dígitos",IF(NOT(ISNUMBER(VALUE(T103))),"ERRO: não numérico",IF(LEN(SUBSTITUTE(T103,LEFT(T103,1),""))=0,"ERRO: dígitos repetidos",IF(AND(VALUE(MID(T103,13,1))=IF(MOD(SUMPRODUCT(--MID(T103,{1,2,3,4,5,6,7,8,9,10,11,12},1),{5,4,3,2,9,8,7,6,5,4,3,2}),11)&lt;2,0,11-MOD(SUMPRODUCT(--MID(T103,{1,2,3,4,5,6,7,8,9,10,11,12},1),{5,4,3,2,9,8,7,6,5,4,3,2}),11)),VALUE(MID(T103,14,1))=IF(MOD(SUMPRODUCT(--MID(T103,{1,2,3,4,5,6,7,8,9,10,11,12,13},1),{6,5,4,3,2,9,8,7,6,5,4,3,2}),11)&lt;2,0,11-MOD(SUMPRODUCT(--MID(T103,{1,2,3,4,5,6,7,8,9,10,11,12,13},1),{6,5,4,3,2,9,8,7,6,5,4,3,2}),11))),"OK","ERRO: dígito verificador")))))</f>
      </c>
      <c r="V103" s="6">
        <f>IF(T103="","",IF(COUNTIF($T$2:$T$1001,T103)&gt;1,"DUPLICADO","OK"))</f>
      </c>
      <c r="W103" s="6">
        <f>IF(M103="","vazio",IF(OR(AND(LEN(SUBSTITUTE(SUBSTITUTE(SUBSTITUTE(SUBSTITUTE(SUBSTITUTE(SUBSTITUTE(SUBSTITUTE(TRIM(M103),".",""),"/",""),"-","")," ",""),"(",""),")",""),"+",""))=10,LEFT(SUBSTITUTE(SUBSTITUTE(SUBSTITUTE(SUBSTITUTE(SUBSTITUTE(SUBSTITUTE(SUBSTITUTE(TRIM(M103),".",""),"/",""),"-","")," ",""),"(",""),")",""),"+",""),1)&lt;&gt;"0"),AND(LEN(SUBSTITUTE(SUBSTITUTE(SUBSTITUTE(SUBSTITUTE(SUBSTITUTE(SUBSTITUTE(SUBSTITUTE(TRIM(M103),".",""),"/",""),"-","")," ",""),"(",""),")",""),"+",""))=11,LEFT(SUBSTITUTE(SUBSTITUTE(SUBSTITUTE(SUBSTITUTE(SUBSTITUTE(SUBSTITUTE(SUBSTITUTE(TRIM(M103),".",""),"/",""),"-","")," ",""),"(",""),")",""),"+",""),4)="0800")),"OK",IF(AND(LEN(SUBSTITUTE(SUBSTITUTE(SUBSTITUTE(SUBSTITUTE(SUBSTITUTE(SUBSTITUTE(SUBSTITUTE(TRIM(M103),".",""),"/",""),"-","")," ",""),"(",""),")",""),"+",""))=11,MID(SUBSTITUTE(SUBSTITUTE(SUBSTITUTE(SUBSTITUTE(SUBSTITUTE(SUBSTITUTE(SUBSTITUTE(TRIM(M103),".",""),"/",""),"-","")," ",""),"(",""),")",""),"+",""),3,1)="9"),"ERRO: é celular, use a coluna Celular","ERRO: DDD + 8 dígitos ou 0800 + 7")))</f>
      </c>
      <c r="X103" s="6">
        <f>IF(N103="","vazio",IF(AND(LEN(SUBSTITUTE(SUBSTITUTE(SUBSTITUTE(SUBSTITUTE(SUBSTITUTE(SUBSTITUTE(SUBSTITUTE(TRIM(N103),".",""),"/",""),"-","")," ",""),"(",""),")",""),"+",""))=11,MID(SUBSTITUTE(SUBSTITUTE(SUBSTITUTE(SUBSTITUTE(SUBSTITUTE(SUBSTITUTE(SUBSTITUTE(TRIM(N103),".",""),"/",""),"-","")," ",""),"(",""),")",""),"+",""),3,1)="9",LEFT(SUBSTITUTE(SUBSTITUTE(SUBSTITUTE(SUBSTITUTE(SUBSTITUTE(SUBSTITUTE(SUBSTITUTE(TRIM(N103),".",""),"/",""),"-","")," ",""),"(",""),")",""),"+",""),1)&lt;&gt;"0"),"OK",IF(LEN(SUBSTITUTE(SUBSTITUTE(SUBSTITUTE(SUBSTITUTE(SUBSTITUTE(SUBSTITUTE(SUBSTITUTE(TRIM(N103),".",""),"/",""),"-","")," ",""),"(",""),")",""),"+",""))=10,"ERRO: é fixo (ou falta o 9), use a coluna Telefone fixo","ERRO: DDD + 9 + 8 dígitos")))</f>
      </c>
      <c r="Y103" s="6">
        <f>IF(O103="","vazio",IF(AND(ISNUMBER(FIND("@",O103)),ISNUMBER(FIND(".",MID(O103,FIND("@",O103),99))),NOT(ISNUMBER(FIND(" ",TRIM(O103)))),NOT(ISNUMBER(FIND(";",O103))),NOT(ISNUMBER(FIND(",",O103)))),"OK","ERRO: um e-mail válido por linha"))</f>
      </c>
      <c r="Z103" s="6">
        <f>IF(AND(J103="",K103=""),"",IF(AND(J103&lt;&gt;"",K103&lt;&gt;""),"OK","pendente: só um nome (o GR completa ao converter)"))</f>
      </c>
      <c r="AA103" s="6">
        <f>IF(COUNTA(A103:S103)=0,"",IF(AND(A103&lt;&gt;"",B103&lt;&gt;"",C103&lt;&gt;"",D103&lt;&gt;"",E103&lt;&gt;"",F103&lt;&gt;"",G103&lt;&gt;"",H103&lt;&gt;"",OR(J103&lt;&gt;"",K103&lt;&gt;""),OR(M103&lt;&gt;"",N103&lt;&gt;"",O103&lt;&gt;"")),"OK","ERRO: faltam "&amp;IF(A103="","SDR; ","")&amp;IF(B103="","Proprietário; ","")&amp;IF(C103="","Origem; ","")&amp;IF(D103="","Temperatura; ","")&amp;IF(E103="","Segmento; ","")&amp;IF(F103="","Time/Cluster; ","")&amp;IF(G103="","CNPJ; ","")&amp;IF(H103="","Razão Social; ","")&amp;IF(AND(J103="",K103=""),"nome do contato; ","")&amp;IF(AND(M103="",N103="",O103=""),"telefone, celular ou e-mail; ","")))</f>
      </c>
      <c r="AB103" s="6">
        <f>IF(COUNTA(A103:S103)=0,"",IF(AND(U103="OK",V103="OK",LEFT(W103,4)&lt;&gt;"ERRO",LEFT(X103,4)&lt;&gt;"ERRO",LEFT(Y103,4)&lt;&gt;"ERRO",AA103="OK"),"OK","REVISAR"))</f>
      </c>
    </row>
    <row r="104">
      <c r="A104" s="5"/>
      <c r="B104" s="5"/>
      <c r="C104" s="5"/>
      <c r="D104" s="5"/>
      <c r="E104" s="5"/>
      <c r="F104" s="5"/>
      <c r="G104" s="5"/>
      <c r="H104" s="5"/>
      <c r="I104" s="4"/>
      <c r="J104" s="5"/>
      <c r="K104" s="4"/>
      <c r="L104" s="4"/>
      <c r="M104" s="4"/>
      <c r="N104" s="4"/>
      <c r="O104" s="4"/>
      <c r="P104" s="4"/>
      <c r="Q104" s="4"/>
      <c r="R104" s="4"/>
      <c r="S104" s="4"/>
      <c r="T104" s="6">
        <f>IF(G104="","",SUBSTITUTE(SUBSTITUTE(SUBSTITUTE(SUBSTITUTE(SUBSTITUTE(SUBSTITUTE(SUBSTITUTE(TRIM(G104),".",""),"/",""),"-","")," ",""),"(",""),")",""),"+",""))</f>
      </c>
      <c r="U104" s="6">
        <f>IF(T104="","",IF(LEN(T104)&lt;&gt;14,"ERRO: "&amp;LEN(T104)&amp;" dígitos",IF(NOT(ISNUMBER(VALUE(T104))),"ERRO: não numérico",IF(LEN(SUBSTITUTE(T104,LEFT(T104,1),""))=0,"ERRO: dígitos repetidos",IF(AND(VALUE(MID(T104,13,1))=IF(MOD(SUMPRODUCT(--MID(T104,{1,2,3,4,5,6,7,8,9,10,11,12},1),{5,4,3,2,9,8,7,6,5,4,3,2}),11)&lt;2,0,11-MOD(SUMPRODUCT(--MID(T104,{1,2,3,4,5,6,7,8,9,10,11,12},1),{5,4,3,2,9,8,7,6,5,4,3,2}),11)),VALUE(MID(T104,14,1))=IF(MOD(SUMPRODUCT(--MID(T104,{1,2,3,4,5,6,7,8,9,10,11,12,13},1),{6,5,4,3,2,9,8,7,6,5,4,3,2}),11)&lt;2,0,11-MOD(SUMPRODUCT(--MID(T104,{1,2,3,4,5,6,7,8,9,10,11,12,13},1),{6,5,4,3,2,9,8,7,6,5,4,3,2}),11))),"OK","ERRO: dígito verificador")))))</f>
      </c>
      <c r="V104" s="6">
        <f>IF(T104="","",IF(COUNTIF($T$2:$T$1001,T104)&gt;1,"DUPLICADO","OK"))</f>
      </c>
      <c r="W104" s="6">
        <f>IF(M104="","vazio",IF(OR(AND(LEN(SUBSTITUTE(SUBSTITUTE(SUBSTITUTE(SUBSTITUTE(SUBSTITUTE(SUBSTITUTE(SUBSTITUTE(TRIM(M104),".",""),"/",""),"-","")," ",""),"(",""),")",""),"+",""))=10,LEFT(SUBSTITUTE(SUBSTITUTE(SUBSTITUTE(SUBSTITUTE(SUBSTITUTE(SUBSTITUTE(SUBSTITUTE(TRIM(M104),".",""),"/",""),"-","")," ",""),"(",""),")",""),"+",""),1)&lt;&gt;"0"),AND(LEN(SUBSTITUTE(SUBSTITUTE(SUBSTITUTE(SUBSTITUTE(SUBSTITUTE(SUBSTITUTE(SUBSTITUTE(TRIM(M104),".",""),"/",""),"-","")," ",""),"(",""),")",""),"+",""))=11,LEFT(SUBSTITUTE(SUBSTITUTE(SUBSTITUTE(SUBSTITUTE(SUBSTITUTE(SUBSTITUTE(SUBSTITUTE(TRIM(M104),".",""),"/",""),"-","")," ",""),"(",""),")",""),"+",""),4)="0800")),"OK",IF(AND(LEN(SUBSTITUTE(SUBSTITUTE(SUBSTITUTE(SUBSTITUTE(SUBSTITUTE(SUBSTITUTE(SUBSTITUTE(TRIM(M104),".",""),"/",""),"-","")," ",""),"(",""),")",""),"+",""))=11,MID(SUBSTITUTE(SUBSTITUTE(SUBSTITUTE(SUBSTITUTE(SUBSTITUTE(SUBSTITUTE(SUBSTITUTE(TRIM(M104),".",""),"/",""),"-","")," ",""),"(",""),")",""),"+",""),3,1)="9"),"ERRO: é celular, use a coluna Celular","ERRO: DDD + 8 dígitos ou 0800 + 7")))</f>
      </c>
      <c r="X104" s="6">
        <f>IF(N104="","vazio",IF(AND(LEN(SUBSTITUTE(SUBSTITUTE(SUBSTITUTE(SUBSTITUTE(SUBSTITUTE(SUBSTITUTE(SUBSTITUTE(TRIM(N104),".",""),"/",""),"-","")," ",""),"(",""),")",""),"+",""))=11,MID(SUBSTITUTE(SUBSTITUTE(SUBSTITUTE(SUBSTITUTE(SUBSTITUTE(SUBSTITUTE(SUBSTITUTE(TRIM(N104),".",""),"/",""),"-","")," ",""),"(",""),")",""),"+",""),3,1)="9",LEFT(SUBSTITUTE(SUBSTITUTE(SUBSTITUTE(SUBSTITUTE(SUBSTITUTE(SUBSTITUTE(SUBSTITUTE(TRIM(N104),".",""),"/",""),"-","")," ",""),"(",""),")",""),"+",""),1)&lt;&gt;"0"),"OK",IF(LEN(SUBSTITUTE(SUBSTITUTE(SUBSTITUTE(SUBSTITUTE(SUBSTITUTE(SUBSTITUTE(SUBSTITUTE(TRIM(N104),".",""),"/",""),"-","")," ",""),"(",""),")",""),"+",""))=10,"ERRO: é fixo (ou falta o 9), use a coluna Telefone fixo","ERRO: DDD + 9 + 8 dígitos")))</f>
      </c>
      <c r="Y104" s="6">
        <f>IF(O104="","vazio",IF(AND(ISNUMBER(FIND("@",O104)),ISNUMBER(FIND(".",MID(O104,FIND("@",O104),99))),NOT(ISNUMBER(FIND(" ",TRIM(O104)))),NOT(ISNUMBER(FIND(";",O104))),NOT(ISNUMBER(FIND(",",O104)))),"OK","ERRO: um e-mail válido por linha"))</f>
      </c>
      <c r="Z104" s="6">
        <f>IF(AND(J104="",K104=""),"",IF(AND(J104&lt;&gt;"",K104&lt;&gt;""),"OK","pendente: só um nome (o GR completa ao converter)"))</f>
      </c>
      <c r="AA104" s="6">
        <f>IF(COUNTA(A104:S104)=0,"",IF(AND(A104&lt;&gt;"",B104&lt;&gt;"",C104&lt;&gt;"",D104&lt;&gt;"",E104&lt;&gt;"",F104&lt;&gt;"",G104&lt;&gt;"",H104&lt;&gt;"",OR(J104&lt;&gt;"",K104&lt;&gt;""),OR(M104&lt;&gt;"",N104&lt;&gt;"",O104&lt;&gt;"")),"OK","ERRO: faltam "&amp;IF(A104="","SDR; ","")&amp;IF(B104="","Proprietário; ","")&amp;IF(C104="","Origem; ","")&amp;IF(D104="","Temperatura; ","")&amp;IF(E104="","Segmento; ","")&amp;IF(F104="","Time/Cluster; ","")&amp;IF(G104="","CNPJ; ","")&amp;IF(H104="","Razão Social; ","")&amp;IF(AND(J104="",K104=""),"nome do contato; ","")&amp;IF(AND(M104="",N104="",O104=""),"telefone, celular ou e-mail; ","")))</f>
      </c>
      <c r="AB104" s="6">
        <f>IF(COUNTA(A104:S104)=0,"",IF(AND(U104="OK",V104="OK",LEFT(W104,4)&lt;&gt;"ERRO",LEFT(X104,4)&lt;&gt;"ERRO",LEFT(Y104,4)&lt;&gt;"ERRO",AA104="OK"),"OK","REVISAR"))</f>
      </c>
    </row>
    <row r="105">
      <c r="A105" s="5"/>
      <c r="B105" s="5"/>
      <c r="C105" s="5"/>
      <c r="D105" s="5"/>
      <c r="E105" s="5"/>
      <c r="F105" s="5"/>
      <c r="G105" s="5"/>
      <c r="H105" s="5"/>
      <c r="I105" s="4"/>
      <c r="J105" s="5"/>
      <c r="K105" s="4"/>
      <c r="L105" s="4"/>
      <c r="M105" s="4"/>
      <c r="N105" s="4"/>
      <c r="O105" s="4"/>
      <c r="P105" s="4"/>
      <c r="Q105" s="4"/>
      <c r="R105" s="4"/>
      <c r="S105" s="4"/>
      <c r="T105" s="6">
        <f>IF(G105="","",SUBSTITUTE(SUBSTITUTE(SUBSTITUTE(SUBSTITUTE(SUBSTITUTE(SUBSTITUTE(SUBSTITUTE(TRIM(G105),".",""),"/",""),"-","")," ",""),"(",""),")",""),"+",""))</f>
      </c>
      <c r="U105" s="6">
        <f>IF(T105="","",IF(LEN(T105)&lt;&gt;14,"ERRO: "&amp;LEN(T105)&amp;" dígitos",IF(NOT(ISNUMBER(VALUE(T105))),"ERRO: não numérico",IF(LEN(SUBSTITUTE(T105,LEFT(T105,1),""))=0,"ERRO: dígitos repetidos",IF(AND(VALUE(MID(T105,13,1))=IF(MOD(SUMPRODUCT(--MID(T105,{1,2,3,4,5,6,7,8,9,10,11,12},1),{5,4,3,2,9,8,7,6,5,4,3,2}),11)&lt;2,0,11-MOD(SUMPRODUCT(--MID(T105,{1,2,3,4,5,6,7,8,9,10,11,12},1),{5,4,3,2,9,8,7,6,5,4,3,2}),11)),VALUE(MID(T105,14,1))=IF(MOD(SUMPRODUCT(--MID(T105,{1,2,3,4,5,6,7,8,9,10,11,12,13},1),{6,5,4,3,2,9,8,7,6,5,4,3,2}),11)&lt;2,0,11-MOD(SUMPRODUCT(--MID(T105,{1,2,3,4,5,6,7,8,9,10,11,12,13},1),{6,5,4,3,2,9,8,7,6,5,4,3,2}),11))),"OK","ERRO: dígito verificador")))))</f>
      </c>
      <c r="V105" s="6">
        <f>IF(T105="","",IF(COUNTIF($T$2:$T$1001,T105)&gt;1,"DUPLICADO","OK"))</f>
      </c>
      <c r="W105" s="6">
        <f>IF(M105="","vazio",IF(OR(AND(LEN(SUBSTITUTE(SUBSTITUTE(SUBSTITUTE(SUBSTITUTE(SUBSTITUTE(SUBSTITUTE(SUBSTITUTE(TRIM(M105),".",""),"/",""),"-","")," ",""),"(",""),")",""),"+",""))=10,LEFT(SUBSTITUTE(SUBSTITUTE(SUBSTITUTE(SUBSTITUTE(SUBSTITUTE(SUBSTITUTE(SUBSTITUTE(TRIM(M105),".",""),"/",""),"-","")," ",""),"(",""),")",""),"+",""),1)&lt;&gt;"0"),AND(LEN(SUBSTITUTE(SUBSTITUTE(SUBSTITUTE(SUBSTITUTE(SUBSTITUTE(SUBSTITUTE(SUBSTITUTE(TRIM(M105),".",""),"/",""),"-","")," ",""),"(",""),")",""),"+",""))=11,LEFT(SUBSTITUTE(SUBSTITUTE(SUBSTITUTE(SUBSTITUTE(SUBSTITUTE(SUBSTITUTE(SUBSTITUTE(TRIM(M105),".",""),"/",""),"-","")," ",""),"(",""),")",""),"+",""),4)="0800")),"OK",IF(AND(LEN(SUBSTITUTE(SUBSTITUTE(SUBSTITUTE(SUBSTITUTE(SUBSTITUTE(SUBSTITUTE(SUBSTITUTE(TRIM(M105),".",""),"/",""),"-","")," ",""),"(",""),")",""),"+",""))=11,MID(SUBSTITUTE(SUBSTITUTE(SUBSTITUTE(SUBSTITUTE(SUBSTITUTE(SUBSTITUTE(SUBSTITUTE(TRIM(M105),".",""),"/",""),"-","")," ",""),"(",""),")",""),"+",""),3,1)="9"),"ERRO: é celular, use a coluna Celular","ERRO: DDD + 8 dígitos ou 0800 + 7")))</f>
      </c>
      <c r="X105" s="6">
        <f>IF(N105="","vazio",IF(AND(LEN(SUBSTITUTE(SUBSTITUTE(SUBSTITUTE(SUBSTITUTE(SUBSTITUTE(SUBSTITUTE(SUBSTITUTE(TRIM(N105),".",""),"/",""),"-","")," ",""),"(",""),")",""),"+",""))=11,MID(SUBSTITUTE(SUBSTITUTE(SUBSTITUTE(SUBSTITUTE(SUBSTITUTE(SUBSTITUTE(SUBSTITUTE(TRIM(N105),".",""),"/",""),"-","")," ",""),"(",""),")",""),"+",""),3,1)="9",LEFT(SUBSTITUTE(SUBSTITUTE(SUBSTITUTE(SUBSTITUTE(SUBSTITUTE(SUBSTITUTE(SUBSTITUTE(TRIM(N105),".",""),"/",""),"-","")," ",""),"(",""),")",""),"+",""),1)&lt;&gt;"0"),"OK",IF(LEN(SUBSTITUTE(SUBSTITUTE(SUBSTITUTE(SUBSTITUTE(SUBSTITUTE(SUBSTITUTE(SUBSTITUTE(TRIM(N105),".",""),"/",""),"-","")," ",""),"(",""),")",""),"+",""))=10,"ERRO: é fixo (ou falta o 9), use a coluna Telefone fixo","ERRO: DDD + 9 + 8 dígitos")))</f>
      </c>
      <c r="Y105" s="6">
        <f>IF(O105="","vazio",IF(AND(ISNUMBER(FIND("@",O105)),ISNUMBER(FIND(".",MID(O105,FIND("@",O105),99))),NOT(ISNUMBER(FIND(" ",TRIM(O105)))),NOT(ISNUMBER(FIND(";",O105))),NOT(ISNUMBER(FIND(",",O105)))),"OK","ERRO: um e-mail válido por linha"))</f>
      </c>
      <c r="Z105" s="6">
        <f>IF(AND(J105="",K105=""),"",IF(AND(J105&lt;&gt;"",K105&lt;&gt;""),"OK","pendente: só um nome (o GR completa ao converter)"))</f>
      </c>
      <c r="AA105" s="6">
        <f>IF(COUNTA(A105:S105)=0,"",IF(AND(A105&lt;&gt;"",B105&lt;&gt;"",C105&lt;&gt;"",D105&lt;&gt;"",E105&lt;&gt;"",F105&lt;&gt;"",G105&lt;&gt;"",H105&lt;&gt;"",OR(J105&lt;&gt;"",K105&lt;&gt;""),OR(M105&lt;&gt;"",N105&lt;&gt;"",O105&lt;&gt;"")),"OK","ERRO: faltam "&amp;IF(A105="","SDR; ","")&amp;IF(B105="","Proprietário; ","")&amp;IF(C105="","Origem; ","")&amp;IF(D105="","Temperatura; ","")&amp;IF(E105="","Segmento; ","")&amp;IF(F105="","Time/Cluster; ","")&amp;IF(G105="","CNPJ; ","")&amp;IF(H105="","Razão Social; ","")&amp;IF(AND(J105="",K105=""),"nome do contato; ","")&amp;IF(AND(M105="",N105="",O105=""),"telefone, celular ou e-mail; ","")))</f>
      </c>
      <c r="AB105" s="6">
        <f>IF(COUNTA(A105:S105)=0,"",IF(AND(U105="OK",V105="OK",LEFT(W105,4)&lt;&gt;"ERRO",LEFT(X105,4)&lt;&gt;"ERRO",LEFT(Y105,4)&lt;&gt;"ERRO",AA105="OK"),"OK","REVISAR"))</f>
      </c>
    </row>
    <row r="106">
      <c r="A106" s="5"/>
      <c r="B106" s="5"/>
      <c r="C106" s="5"/>
      <c r="D106" s="5"/>
      <c r="E106" s="5"/>
      <c r="F106" s="5"/>
      <c r="G106" s="5"/>
      <c r="H106" s="5"/>
      <c r="I106" s="4"/>
      <c r="J106" s="5"/>
      <c r="K106" s="4"/>
      <c r="L106" s="4"/>
      <c r="M106" s="4"/>
      <c r="N106" s="4"/>
      <c r="O106" s="4"/>
      <c r="P106" s="4"/>
      <c r="Q106" s="4"/>
      <c r="R106" s="4"/>
      <c r="S106" s="4"/>
      <c r="T106" s="6">
        <f>IF(G106="","",SUBSTITUTE(SUBSTITUTE(SUBSTITUTE(SUBSTITUTE(SUBSTITUTE(SUBSTITUTE(SUBSTITUTE(TRIM(G106),".",""),"/",""),"-","")," ",""),"(",""),")",""),"+",""))</f>
      </c>
      <c r="U106" s="6">
        <f>IF(T106="","",IF(LEN(T106)&lt;&gt;14,"ERRO: "&amp;LEN(T106)&amp;" dígitos",IF(NOT(ISNUMBER(VALUE(T106))),"ERRO: não numérico",IF(LEN(SUBSTITUTE(T106,LEFT(T106,1),""))=0,"ERRO: dígitos repetidos",IF(AND(VALUE(MID(T106,13,1))=IF(MOD(SUMPRODUCT(--MID(T106,{1,2,3,4,5,6,7,8,9,10,11,12},1),{5,4,3,2,9,8,7,6,5,4,3,2}),11)&lt;2,0,11-MOD(SUMPRODUCT(--MID(T106,{1,2,3,4,5,6,7,8,9,10,11,12},1),{5,4,3,2,9,8,7,6,5,4,3,2}),11)),VALUE(MID(T106,14,1))=IF(MOD(SUMPRODUCT(--MID(T106,{1,2,3,4,5,6,7,8,9,10,11,12,13},1),{6,5,4,3,2,9,8,7,6,5,4,3,2}),11)&lt;2,0,11-MOD(SUMPRODUCT(--MID(T106,{1,2,3,4,5,6,7,8,9,10,11,12,13},1),{6,5,4,3,2,9,8,7,6,5,4,3,2}),11))),"OK","ERRO: dígito verificador")))))</f>
      </c>
      <c r="V106" s="6">
        <f>IF(T106="","",IF(COUNTIF($T$2:$T$1001,T106)&gt;1,"DUPLICADO","OK"))</f>
      </c>
      <c r="W106" s="6">
        <f>IF(M106="","vazio",IF(OR(AND(LEN(SUBSTITUTE(SUBSTITUTE(SUBSTITUTE(SUBSTITUTE(SUBSTITUTE(SUBSTITUTE(SUBSTITUTE(TRIM(M106),".",""),"/",""),"-","")," ",""),"(",""),")",""),"+",""))=10,LEFT(SUBSTITUTE(SUBSTITUTE(SUBSTITUTE(SUBSTITUTE(SUBSTITUTE(SUBSTITUTE(SUBSTITUTE(TRIM(M106),".",""),"/",""),"-","")," ",""),"(",""),")",""),"+",""),1)&lt;&gt;"0"),AND(LEN(SUBSTITUTE(SUBSTITUTE(SUBSTITUTE(SUBSTITUTE(SUBSTITUTE(SUBSTITUTE(SUBSTITUTE(TRIM(M106),".",""),"/",""),"-","")," ",""),"(",""),")",""),"+",""))=11,LEFT(SUBSTITUTE(SUBSTITUTE(SUBSTITUTE(SUBSTITUTE(SUBSTITUTE(SUBSTITUTE(SUBSTITUTE(TRIM(M106),".",""),"/",""),"-","")," ",""),"(",""),")",""),"+",""),4)="0800")),"OK",IF(AND(LEN(SUBSTITUTE(SUBSTITUTE(SUBSTITUTE(SUBSTITUTE(SUBSTITUTE(SUBSTITUTE(SUBSTITUTE(TRIM(M106),".",""),"/",""),"-","")," ",""),"(",""),")",""),"+",""))=11,MID(SUBSTITUTE(SUBSTITUTE(SUBSTITUTE(SUBSTITUTE(SUBSTITUTE(SUBSTITUTE(SUBSTITUTE(TRIM(M106),".",""),"/",""),"-","")," ",""),"(",""),")",""),"+",""),3,1)="9"),"ERRO: é celular, use a coluna Celular","ERRO: DDD + 8 dígitos ou 0800 + 7")))</f>
      </c>
      <c r="X106" s="6">
        <f>IF(N106="","vazio",IF(AND(LEN(SUBSTITUTE(SUBSTITUTE(SUBSTITUTE(SUBSTITUTE(SUBSTITUTE(SUBSTITUTE(SUBSTITUTE(TRIM(N106),".",""),"/",""),"-","")," ",""),"(",""),")",""),"+",""))=11,MID(SUBSTITUTE(SUBSTITUTE(SUBSTITUTE(SUBSTITUTE(SUBSTITUTE(SUBSTITUTE(SUBSTITUTE(TRIM(N106),".",""),"/",""),"-","")," ",""),"(",""),")",""),"+",""),3,1)="9",LEFT(SUBSTITUTE(SUBSTITUTE(SUBSTITUTE(SUBSTITUTE(SUBSTITUTE(SUBSTITUTE(SUBSTITUTE(TRIM(N106),".",""),"/",""),"-","")," ",""),"(",""),")",""),"+",""),1)&lt;&gt;"0"),"OK",IF(LEN(SUBSTITUTE(SUBSTITUTE(SUBSTITUTE(SUBSTITUTE(SUBSTITUTE(SUBSTITUTE(SUBSTITUTE(TRIM(N106),".",""),"/",""),"-","")," ",""),"(",""),")",""),"+",""))=10,"ERRO: é fixo (ou falta o 9), use a coluna Telefone fixo","ERRO: DDD + 9 + 8 dígitos")))</f>
      </c>
      <c r="Y106" s="6">
        <f>IF(O106="","vazio",IF(AND(ISNUMBER(FIND("@",O106)),ISNUMBER(FIND(".",MID(O106,FIND("@",O106),99))),NOT(ISNUMBER(FIND(" ",TRIM(O106)))),NOT(ISNUMBER(FIND(";",O106))),NOT(ISNUMBER(FIND(",",O106)))),"OK","ERRO: um e-mail válido por linha"))</f>
      </c>
      <c r="Z106" s="6">
        <f>IF(AND(J106="",K106=""),"",IF(AND(J106&lt;&gt;"",K106&lt;&gt;""),"OK","pendente: só um nome (o GR completa ao converter)"))</f>
      </c>
      <c r="AA106" s="6">
        <f>IF(COUNTA(A106:S106)=0,"",IF(AND(A106&lt;&gt;"",B106&lt;&gt;"",C106&lt;&gt;"",D106&lt;&gt;"",E106&lt;&gt;"",F106&lt;&gt;"",G106&lt;&gt;"",H106&lt;&gt;"",OR(J106&lt;&gt;"",K106&lt;&gt;""),OR(M106&lt;&gt;"",N106&lt;&gt;"",O106&lt;&gt;"")),"OK","ERRO: faltam "&amp;IF(A106="","SDR; ","")&amp;IF(B106="","Proprietário; ","")&amp;IF(C106="","Origem; ","")&amp;IF(D106="","Temperatura; ","")&amp;IF(E106="","Segmento; ","")&amp;IF(F106="","Time/Cluster; ","")&amp;IF(G106="","CNPJ; ","")&amp;IF(H106="","Razão Social; ","")&amp;IF(AND(J106="",K106=""),"nome do contato; ","")&amp;IF(AND(M106="",N106="",O106=""),"telefone, celular ou e-mail; ","")))</f>
      </c>
      <c r="AB106" s="6">
        <f>IF(COUNTA(A106:S106)=0,"",IF(AND(U106="OK",V106="OK",LEFT(W106,4)&lt;&gt;"ERRO",LEFT(X106,4)&lt;&gt;"ERRO",LEFT(Y106,4)&lt;&gt;"ERRO",AA106="OK"),"OK","REVISAR"))</f>
      </c>
    </row>
    <row r="107">
      <c r="A107" s="5"/>
      <c r="B107" s="5"/>
      <c r="C107" s="5"/>
      <c r="D107" s="5"/>
      <c r="E107" s="5"/>
      <c r="F107" s="5"/>
      <c r="G107" s="5"/>
      <c r="H107" s="5"/>
      <c r="I107" s="4"/>
      <c r="J107" s="5"/>
      <c r="K107" s="4"/>
      <c r="L107" s="4"/>
      <c r="M107" s="4"/>
      <c r="N107" s="4"/>
      <c r="O107" s="4"/>
      <c r="P107" s="4"/>
      <c r="Q107" s="4"/>
      <c r="R107" s="4"/>
      <c r="S107" s="4"/>
      <c r="T107" s="6">
        <f>IF(G107="","",SUBSTITUTE(SUBSTITUTE(SUBSTITUTE(SUBSTITUTE(SUBSTITUTE(SUBSTITUTE(SUBSTITUTE(TRIM(G107),".",""),"/",""),"-","")," ",""),"(",""),")",""),"+",""))</f>
      </c>
      <c r="U107" s="6">
        <f>IF(T107="","",IF(LEN(T107)&lt;&gt;14,"ERRO: "&amp;LEN(T107)&amp;" dígitos",IF(NOT(ISNUMBER(VALUE(T107))),"ERRO: não numérico",IF(LEN(SUBSTITUTE(T107,LEFT(T107,1),""))=0,"ERRO: dígitos repetidos",IF(AND(VALUE(MID(T107,13,1))=IF(MOD(SUMPRODUCT(--MID(T107,{1,2,3,4,5,6,7,8,9,10,11,12},1),{5,4,3,2,9,8,7,6,5,4,3,2}),11)&lt;2,0,11-MOD(SUMPRODUCT(--MID(T107,{1,2,3,4,5,6,7,8,9,10,11,12},1),{5,4,3,2,9,8,7,6,5,4,3,2}),11)),VALUE(MID(T107,14,1))=IF(MOD(SUMPRODUCT(--MID(T107,{1,2,3,4,5,6,7,8,9,10,11,12,13},1),{6,5,4,3,2,9,8,7,6,5,4,3,2}),11)&lt;2,0,11-MOD(SUMPRODUCT(--MID(T107,{1,2,3,4,5,6,7,8,9,10,11,12,13},1),{6,5,4,3,2,9,8,7,6,5,4,3,2}),11))),"OK","ERRO: dígito verificador")))))</f>
      </c>
      <c r="V107" s="6">
        <f>IF(T107="","",IF(COUNTIF($T$2:$T$1001,T107)&gt;1,"DUPLICADO","OK"))</f>
      </c>
      <c r="W107" s="6">
        <f>IF(M107="","vazio",IF(OR(AND(LEN(SUBSTITUTE(SUBSTITUTE(SUBSTITUTE(SUBSTITUTE(SUBSTITUTE(SUBSTITUTE(SUBSTITUTE(TRIM(M107),".",""),"/",""),"-","")," ",""),"(",""),")",""),"+",""))=10,LEFT(SUBSTITUTE(SUBSTITUTE(SUBSTITUTE(SUBSTITUTE(SUBSTITUTE(SUBSTITUTE(SUBSTITUTE(TRIM(M107),".",""),"/",""),"-","")," ",""),"(",""),")",""),"+",""),1)&lt;&gt;"0"),AND(LEN(SUBSTITUTE(SUBSTITUTE(SUBSTITUTE(SUBSTITUTE(SUBSTITUTE(SUBSTITUTE(SUBSTITUTE(TRIM(M107),".",""),"/",""),"-","")," ",""),"(",""),")",""),"+",""))=11,LEFT(SUBSTITUTE(SUBSTITUTE(SUBSTITUTE(SUBSTITUTE(SUBSTITUTE(SUBSTITUTE(SUBSTITUTE(TRIM(M107),".",""),"/",""),"-","")," ",""),"(",""),")",""),"+",""),4)="0800")),"OK",IF(AND(LEN(SUBSTITUTE(SUBSTITUTE(SUBSTITUTE(SUBSTITUTE(SUBSTITUTE(SUBSTITUTE(SUBSTITUTE(TRIM(M107),".",""),"/",""),"-","")," ",""),"(",""),")",""),"+",""))=11,MID(SUBSTITUTE(SUBSTITUTE(SUBSTITUTE(SUBSTITUTE(SUBSTITUTE(SUBSTITUTE(SUBSTITUTE(TRIM(M107),".",""),"/",""),"-","")," ",""),"(",""),")",""),"+",""),3,1)="9"),"ERRO: é celular, use a coluna Celular","ERRO: DDD + 8 dígitos ou 0800 + 7")))</f>
      </c>
      <c r="X107" s="6">
        <f>IF(N107="","vazio",IF(AND(LEN(SUBSTITUTE(SUBSTITUTE(SUBSTITUTE(SUBSTITUTE(SUBSTITUTE(SUBSTITUTE(SUBSTITUTE(TRIM(N107),".",""),"/",""),"-","")," ",""),"(",""),")",""),"+",""))=11,MID(SUBSTITUTE(SUBSTITUTE(SUBSTITUTE(SUBSTITUTE(SUBSTITUTE(SUBSTITUTE(SUBSTITUTE(TRIM(N107),".",""),"/",""),"-","")," ",""),"(",""),")",""),"+",""),3,1)="9",LEFT(SUBSTITUTE(SUBSTITUTE(SUBSTITUTE(SUBSTITUTE(SUBSTITUTE(SUBSTITUTE(SUBSTITUTE(TRIM(N107),".",""),"/",""),"-","")," ",""),"(",""),")",""),"+",""),1)&lt;&gt;"0"),"OK",IF(LEN(SUBSTITUTE(SUBSTITUTE(SUBSTITUTE(SUBSTITUTE(SUBSTITUTE(SUBSTITUTE(SUBSTITUTE(TRIM(N107),".",""),"/",""),"-","")," ",""),"(",""),")",""),"+",""))=10,"ERRO: é fixo (ou falta o 9), use a coluna Telefone fixo","ERRO: DDD + 9 + 8 dígitos")))</f>
      </c>
      <c r="Y107" s="6">
        <f>IF(O107="","vazio",IF(AND(ISNUMBER(FIND("@",O107)),ISNUMBER(FIND(".",MID(O107,FIND("@",O107),99))),NOT(ISNUMBER(FIND(" ",TRIM(O107)))),NOT(ISNUMBER(FIND(";",O107))),NOT(ISNUMBER(FIND(",",O107)))),"OK","ERRO: um e-mail válido por linha"))</f>
      </c>
      <c r="Z107" s="6">
        <f>IF(AND(J107="",K107=""),"",IF(AND(J107&lt;&gt;"",K107&lt;&gt;""),"OK","pendente: só um nome (o GR completa ao converter)"))</f>
      </c>
      <c r="AA107" s="6">
        <f>IF(COUNTA(A107:S107)=0,"",IF(AND(A107&lt;&gt;"",B107&lt;&gt;"",C107&lt;&gt;"",D107&lt;&gt;"",E107&lt;&gt;"",F107&lt;&gt;"",G107&lt;&gt;"",H107&lt;&gt;"",OR(J107&lt;&gt;"",K107&lt;&gt;""),OR(M107&lt;&gt;"",N107&lt;&gt;"",O107&lt;&gt;"")),"OK","ERRO: faltam "&amp;IF(A107="","SDR; ","")&amp;IF(B107="","Proprietário; ","")&amp;IF(C107="","Origem; ","")&amp;IF(D107="","Temperatura; ","")&amp;IF(E107="","Segmento; ","")&amp;IF(F107="","Time/Cluster; ","")&amp;IF(G107="","CNPJ; ","")&amp;IF(H107="","Razão Social; ","")&amp;IF(AND(J107="",K107=""),"nome do contato; ","")&amp;IF(AND(M107="",N107="",O107=""),"telefone, celular ou e-mail; ","")))</f>
      </c>
      <c r="AB107" s="6">
        <f>IF(COUNTA(A107:S107)=0,"",IF(AND(U107="OK",V107="OK",LEFT(W107,4)&lt;&gt;"ERRO",LEFT(X107,4)&lt;&gt;"ERRO",LEFT(Y107,4)&lt;&gt;"ERRO",AA107="OK"),"OK","REVISAR"))</f>
      </c>
    </row>
    <row r="108">
      <c r="A108" s="5"/>
      <c r="B108" s="5"/>
      <c r="C108" s="5"/>
      <c r="D108" s="5"/>
      <c r="E108" s="5"/>
      <c r="F108" s="5"/>
      <c r="G108" s="5"/>
      <c r="H108" s="5"/>
      <c r="I108" s="4"/>
      <c r="J108" s="5"/>
      <c r="K108" s="4"/>
      <c r="L108" s="4"/>
      <c r="M108" s="4"/>
      <c r="N108" s="4"/>
      <c r="O108" s="4"/>
      <c r="P108" s="4"/>
      <c r="Q108" s="4"/>
      <c r="R108" s="4"/>
      <c r="S108" s="4"/>
      <c r="T108" s="6">
        <f>IF(G108="","",SUBSTITUTE(SUBSTITUTE(SUBSTITUTE(SUBSTITUTE(SUBSTITUTE(SUBSTITUTE(SUBSTITUTE(TRIM(G108),".",""),"/",""),"-","")," ",""),"(",""),")",""),"+",""))</f>
      </c>
      <c r="U108" s="6">
        <f>IF(T108="","",IF(LEN(T108)&lt;&gt;14,"ERRO: "&amp;LEN(T108)&amp;" dígitos",IF(NOT(ISNUMBER(VALUE(T108))),"ERRO: não numérico",IF(LEN(SUBSTITUTE(T108,LEFT(T108,1),""))=0,"ERRO: dígitos repetidos",IF(AND(VALUE(MID(T108,13,1))=IF(MOD(SUMPRODUCT(--MID(T108,{1,2,3,4,5,6,7,8,9,10,11,12},1),{5,4,3,2,9,8,7,6,5,4,3,2}),11)&lt;2,0,11-MOD(SUMPRODUCT(--MID(T108,{1,2,3,4,5,6,7,8,9,10,11,12},1),{5,4,3,2,9,8,7,6,5,4,3,2}),11)),VALUE(MID(T108,14,1))=IF(MOD(SUMPRODUCT(--MID(T108,{1,2,3,4,5,6,7,8,9,10,11,12,13},1),{6,5,4,3,2,9,8,7,6,5,4,3,2}),11)&lt;2,0,11-MOD(SUMPRODUCT(--MID(T108,{1,2,3,4,5,6,7,8,9,10,11,12,13},1),{6,5,4,3,2,9,8,7,6,5,4,3,2}),11))),"OK","ERRO: dígito verificador")))))</f>
      </c>
      <c r="V108" s="6">
        <f>IF(T108="","",IF(COUNTIF($T$2:$T$1001,T108)&gt;1,"DUPLICADO","OK"))</f>
      </c>
      <c r="W108" s="6">
        <f>IF(M108="","vazio",IF(OR(AND(LEN(SUBSTITUTE(SUBSTITUTE(SUBSTITUTE(SUBSTITUTE(SUBSTITUTE(SUBSTITUTE(SUBSTITUTE(TRIM(M108),".",""),"/",""),"-","")," ",""),"(",""),")",""),"+",""))=10,LEFT(SUBSTITUTE(SUBSTITUTE(SUBSTITUTE(SUBSTITUTE(SUBSTITUTE(SUBSTITUTE(SUBSTITUTE(TRIM(M108),".",""),"/",""),"-","")," ",""),"(",""),")",""),"+",""),1)&lt;&gt;"0"),AND(LEN(SUBSTITUTE(SUBSTITUTE(SUBSTITUTE(SUBSTITUTE(SUBSTITUTE(SUBSTITUTE(SUBSTITUTE(TRIM(M108),".",""),"/",""),"-","")," ",""),"(",""),")",""),"+",""))=11,LEFT(SUBSTITUTE(SUBSTITUTE(SUBSTITUTE(SUBSTITUTE(SUBSTITUTE(SUBSTITUTE(SUBSTITUTE(TRIM(M108),".",""),"/",""),"-","")," ",""),"(",""),")",""),"+",""),4)="0800")),"OK",IF(AND(LEN(SUBSTITUTE(SUBSTITUTE(SUBSTITUTE(SUBSTITUTE(SUBSTITUTE(SUBSTITUTE(SUBSTITUTE(TRIM(M108),".",""),"/",""),"-","")," ",""),"(",""),")",""),"+",""))=11,MID(SUBSTITUTE(SUBSTITUTE(SUBSTITUTE(SUBSTITUTE(SUBSTITUTE(SUBSTITUTE(SUBSTITUTE(TRIM(M108),".",""),"/",""),"-","")," ",""),"(",""),")",""),"+",""),3,1)="9"),"ERRO: é celular, use a coluna Celular","ERRO: DDD + 8 dígitos ou 0800 + 7")))</f>
      </c>
      <c r="X108" s="6">
        <f>IF(N108="","vazio",IF(AND(LEN(SUBSTITUTE(SUBSTITUTE(SUBSTITUTE(SUBSTITUTE(SUBSTITUTE(SUBSTITUTE(SUBSTITUTE(TRIM(N108),".",""),"/",""),"-","")," ",""),"(",""),")",""),"+",""))=11,MID(SUBSTITUTE(SUBSTITUTE(SUBSTITUTE(SUBSTITUTE(SUBSTITUTE(SUBSTITUTE(SUBSTITUTE(TRIM(N108),".",""),"/",""),"-","")," ",""),"(",""),")",""),"+",""),3,1)="9",LEFT(SUBSTITUTE(SUBSTITUTE(SUBSTITUTE(SUBSTITUTE(SUBSTITUTE(SUBSTITUTE(SUBSTITUTE(TRIM(N108),".",""),"/",""),"-","")," ",""),"(",""),")",""),"+",""),1)&lt;&gt;"0"),"OK",IF(LEN(SUBSTITUTE(SUBSTITUTE(SUBSTITUTE(SUBSTITUTE(SUBSTITUTE(SUBSTITUTE(SUBSTITUTE(TRIM(N108),".",""),"/",""),"-","")," ",""),"(",""),")",""),"+",""))=10,"ERRO: é fixo (ou falta o 9), use a coluna Telefone fixo","ERRO: DDD + 9 + 8 dígitos")))</f>
      </c>
      <c r="Y108" s="6">
        <f>IF(O108="","vazio",IF(AND(ISNUMBER(FIND("@",O108)),ISNUMBER(FIND(".",MID(O108,FIND("@",O108),99))),NOT(ISNUMBER(FIND(" ",TRIM(O108)))),NOT(ISNUMBER(FIND(";",O108))),NOT(ISNUMBER(FIND(",",O108)))),"OK","ERRO: um e-mail válido por linha"))</f>
      </c>
      <c r="Z108" s="6">
        <f>IF(AND(J108="",K108=""),"",IF(AND(J108&lt;&gt;"",K108&lt;&gt;""),"OK","pendente: só um nome (o GR completa ao converter)"))</f>
      </c>
      <c r="AA108" s="6">
        <f>IF(COUNTA(A108:S108)=0,"",IF(AND(A108&lt;&gt;"",B108&lt;&gt;"",C108&lt;&gt;"",D108&lt;&gt;"",E108&lt;&gt;"",F108&lt;&gt;"",G108&lt;&gt;"",H108&lt;&gt;"",OR(J108&lt;&gt;"",K108&lt;&gt;""),OR(M108&lt;&gt;"",N108&lt;&gt;"",O108&lt;&gt;"")),"OK","ERRO: faltam "&amp;IF(A108="","SDR; ","")&amp;IF(B108="","Proprietário; ","")&amp;IF(C108="","Origem; ","")&amp;IF(D108="","Temperatura; ","")&amp;IF(E108="","Segmento; ","")&amp;IF(F108="","Time/Cluster; ","")&amp;IF(G108="","CNPJ; ","")&amp;IF(H108="","Razão Social; ","")&amp;IF(AND(J108="",K108=""),"nome do contato; ","")&amp;IF(AND(M108="",N108="",O108=""),"telefone, celular ou e-mail; ","")))</f>
      </c>
      <c r="AB108" s="6">
        <f>IF(COUNTA(A108:S108)=0,"",IF(AND(U108="OK",V108="OK",LEFT(W108,4)&lt;&gt;"ERRO",LEFT(X108,4)&lt;&gt;"ERRO",LEFT(Y108,4)&lt;&gt;"ERRO",AA108="OK"),"OK","REVISAR"))</f>
      </c>
    </row>
    <row r="109">
      <c r="A109" s="5"/>
      <c r="B109" s="5"/>
      <c r="C109" s="5"/>
      <c r="D109" s="5"/>
      <c r="E109" s="5"/>
      <c r="F109" s="5"/>
      <c r="G109" s="5"/>
      <c r="H109" s="5"/>
      <c r="I109" s="4"/>
      <c r="J109" s="5"/>
      <c r="K109" s="4"/>
      <c r="L109" s="4"/>
      <c r="M109" s="4"/>
      <c r="N109" s="4"/>
      <c r="O109" s="4"/>
      <c r="P109" s="4"/>
      <c r="Q109" s="4"/>
      <c r="R109" s="4"/>
      <c r="S109" s="4"/>
      <c r="T109" s="6">
        <f>IF(G109="","",SUBSTITUTE(SUBSTITUTE(SUBSTITUTE(SUBSTITUTE(SUBSTITUTE(SUBSTITUTE(SUBSTITUTE(TRIM(G109),".",""),"/",""),"-","")," ",""),"(",""),")",""),"+",""))</f>
      </c>
      <c r="U109" s="6">
        <f>IF(T109="","",IF(LEN(T109)&lt;&gt;14,"ERRO: "&amp;LEN(T109)&amp;" dígitos",IF(NOT(ISNUMBER(VALUE(T109))),"ERRO: não numérico",IF(LEN(SUBSTITUTE(T109,LEFT(T109,1),""))=0,"ERRO: dígitos repetidos",IF(AND(VALUE(MID(T109,13,1))=IF(MOD(SUMPRODUCT(--MID(T109,{1,2,3,4,5,6,7,8,9,10,11,12},1),{5,4,3,2,9,8,7,6,5,4,3,2}),11)&lt;2,0,11-MOD(SUMPRODUCT(--MID(T109,{1,2,3,4,5,6,7,8,9,10,11,12},1),{5,4,3,2,9,8,7,6,5,4,3,2}),11)),VALUE(MID(T109,14,1))=IF(MOD(SUMPRODUCT(--MID(T109,{1,2,3,4,5,6,7,8,9,10,11,12,13},1),{6,5,4,3,2,9,8,7,6,5,4,3,2}),11)&lt;2,0,11-MOD(SUMPRODUCT(--MID(T109,{1,2,3,4,5,6,7,8,9,10,11,12,13},1),{6,5,4,3,2,9,8,7,6,5,4,3,2}),11))),"OK","ERRO: dígito verificador")))))</f>
      </c>
      <c r="V109" s="6">
        <f>IF(T109="","",IF(COUNTIF($T$2:$T$1001,T109)&gt;1,"DUPLICADO","OK"))</f>
      </c>
      <c r="W109" s="6">
        <f>IF(M109="","vazio",IF(OR(AND(LEN(SUBSTITUTE(SUBSTITUTE(SUBSTITUTE(SUBSTITUTE(SUBSTITUTE(SUBSTITUTE(SUBSTITUTE(TRIM(M109),".",""),"/",""),"-","")," ",""),"(",""),")",""),"+",""))=10,LEFT(SUBSTITUTE(SUBSTITUTE(SUBSTITUTE(SUBSTITUTE(SUBSTITUTE(SUBSTITUTE(SUBSTITUTE(TRIM(M109),".",""),"/",""),"-","")," ",""),"(",""),")",""),"+",""),1)&lt;&gt;"0"),AND(LEN(SUBSTITUTE(SUBSTITUTE(SUBSTITUTE(SUBSTITUTE(SUBSTITUTE(SUBSTITUTE(SUBSTITUTE(TRIM(M109),".",""),"/",""),"-","")," ",""),"(",""),")",""),"+",""))=11,LEFT(SUBSTITUTE(SUBSTITUTE(SUBSTITUTE(SUBSTITUTE(SUBSTITUTE(SUBSTITUTE(SUBSTITUTE(TRIM(M109),".",""),"/",""),"-","")," ",""),"(",""),")",""),"+",""),4)="0800")),"OK",IF(AND(LEN(SUBSTITUTE(SUBSTITUTE(SUBSTITUTE(SUBSTITUTE(SUBSTITUTE(SUBSTITUTE(SUBSTITUTE(TRIM(M109),".",""),"/",""),"-","")," ",""),"(",""),")",""),"+",""))=11,MID(SUBSTITUTE(SUBSTITUTE(SUBSTITUTE(SUBSTITUTE(SUBSTITUTE(SUBSTITUTE(SUBSTITUTE(TRIM(M109),".",""),"/",""),"-","")," ",""),"(",""),")",""),"+",""),3,1)="9"),"ERRO: é celular, use a coluna Celular","ERRO: DDD + 8 dígitos ou 0800 + 7")))</f>
      </c>
      <c r="X109" s="6">
        <f>IF(N109="","vazio",IF(AND(LEN(SUBSTITUTE(SUBSTITUTE(SUBSTITUTE(SUBSTITUTE(SUBSTITUTE(SUBSTITUTE(SUBSTITUTE(TRIM(N109),".",""),"/",""),"-","")," ",""),"(",""),")",""),"+",""))=11,MID(SUBSTITUTE(SUBSTITUTE(SUBSTITUTE(SUBSTITUTE(SUBSTITUTE(SUBSTITUTE(SUBSTITUTE(TRIM(N109),".",""),"/",""),"-","")," ",""),"(",""),")",""),"+",""),3,1)="9",LEFT(SUBSTITUTE(SUBSTITUTE(SUBSTITUTE(SUBSTITUTE(SUBSTITUTE(SUBSTITUTE(SUBSTITUTE(TRIM(N109),".",""),"/",""),"-","")," ",""),"(",""),")",""),"+",""),1)&lt;&gt;"0"),"OK",IF(LEN(SUBSTITUTE(SUBSTITUTE(SUBSTITUTE(SUBSTITUTE(SUBSTITUTE(SUBSTITUTE(SUBSTITUTE(TRIM(N109),".",""),"/",""),"-","")," ",""),"(",""),")",""),"+",""))=10,"ERRO: é fixo (ou falta o 9), use a coluna Telefone fixo","ERRO: DDD + 9 + 8 dígitos")))</f>
      </c>
      <c r="Y109" s="6">
        <f>IF(O109="","vazio",IF(AND(ISNUMBER(FIND("@",O109)),ISNUMBER(FIND(".",MID(O109,FIND("@",O109),99))),NOT(ISNUMBER(FIND(" ",TRIM(O109)))),NOT(ISNUMBER(FIND(";",O109))),NOT(ISNUMBER(FIND(",",O109)))),"OK","ERRO: um e-mail válido por linha"))</f>
      </c>
      <c r="Z109" s="6">
        <f>IF(AND(J109="",K109=""),"",IF(AND(J109&lt;&gt;"",K109&lt;&gt;""),"OK","pendente: só um nome (o GR completa ao converter)"))</f>
      </c>
      <c r="AA109" s="6">
        <f>IF(COUNTA(A109:S109)=0,"",IF(AND(A109&lt;&gt;"",B109&lt;&gt;"",C109&lt;&gt;"",D109&lt;&gt;"",E109&lt;&gt;"",F109&lt;&gt;"",G109&lt;&gt;"",H109&lt;&gt;"",OR(J109&lt;&gt;"",K109&lt;&gt;""),OR(M109&lt;&gt;"",N109&lt;&gt;"",O109&lt;&gt;"")),"OK","ERRO: faltam "&amp;IF(A109="","SDR; ","")&amp;IF(B109="","Proprietário; ","")&amp;IF(C109="","Origem; ","")&amp;IF(D109="","Temperatura; ","")&amp;IF(E109="","Segmento; ","")&amp;IF(F109="","Time/Cluster; ","")&amp;IF(G109="","CNPJ; ","")&amp;IF(H109="","Razão Social; ","")&amp;IF(AND(J109="",K109=""),"nome do contato; ","")&amp;IF(AND(M109="",N109="",O109=""),"telefone, celular ou e-mail; ","")))</f>
      </c>
      <c r="AB109" s="6">
        <f>IF(COUNTA(A109:S109)=0,"",IF(AND(U109="OK",V109="OK",LEFT(W109,4)&lt;&gt;"ERRO",LEFT(X109,4)&lt;&gt;"ERRO",LEFT(Y109,4)&lt;&gt;"ERRO",AA109="OK"),"OK","REVISAR"))</f>
      </c>
    </row>
    <row r="110">
      <c r="A110" s="5"/>
      <c r="B110" s="5"/>
      <c r="C110" s="5"/>
      <c r="D110" s="5"/>
      <c r="E110" s="5"/>
      <c r="F110" s="5"/>
      <c r="G110" s="5"/>
      <c r="H110" s="5"/>
      <c r="I110" s="4"/>
      <c r="J110" s="5"/>
      <c r="K110" s="4"/>
      <c r="L110" s="4"/>
      <c r="M110" s="4"/>
      <c r="N110" s="4"/>
      <c r="O110" s="4"/>
      <c r="P110" s="4"/>
      <c r="Q110" s="4"/>
      <c r="R110" s="4"/>
      <c r="S110" s="4"/>
      <c r="T110" s="6">
        <f>IF(G110="","",SUBSTITUTE(SUBSTITUTE(SUBSTITUTE(SUBSTITUTE(SUBSTITUTE(SUBSTITUTE(SUBSTITUTE(TRIM(G110),".",""),"/",""),"-","")," ",""),"(",""),")",""),"+",""))</f>
      </c>
      <c r="U110" s="6">
        <f>IF(T110="","",IF(LEN(T110)&lt;&gt;14,"ERRO: "&amp;LEN(T110)&amp;" dígitos",IF(NOT(ISNUMBER(VALUE(T110))),"ERRO: não numérico",IF(LEN(SUBSTITUTE(T110,LEFT(T110,1),""))=0,"ERRO: dígitos repetidos",IF(AND(VALUE(MID(T110,13,1))=IF(MOD(SUMPRODUCT(--MID(T110,{1,2,3,4,5,6,7,8,9,10,11,12},1),{5,4,3,2,9,8,7,6,5,4,3,2}),11)&lt;2,0,11-MOD(SUMPRODUCT(--MID(T110,{1,2,3,4,5,6,7,8,9,10,11,12},1),{5,4,3,2,9,8,7,6,5,4,3,2}),11)),VALUE(MID(T110,14,1))=IF(MOD(SUMPRODUCT(--MID(T110,{1,2,3,4,5,6,7,8,9,10,11,12,13},1),{6,5,4,3,2,9,8,7,6,5,4,3,2}),11)&lt;2,0,11-MOD(SUMPRODUCT(--MID(T110,{1,2,3,4,5,6,7,8,9,10,11,12,13},1),{6,5,4,3,2,9,8,7,6,5,4,3,2}),11))),"OK","ERRO: dígito verificador")))))</f>
      </c>
      <c r="V110" s="6">
        <f>IF(T110="","",IF(COUNTIF($T$2:$T$1001,T110)&gt;1,"DUPLICADO","OK"))</f>
      </c>
      <c r="W110" s="6">
        <f>IF(M110="","vazio",IF(OR(AND(LEN(SUBSTITUTE(SUBSTITUTE(SUBSTITUTE(SUBSTITUTE(SUBSTITUTE(SUBSTITUTE(SUBSTITUTE(TRIM(M110),".",""),"/",""),"-","")," ",""),"(",""),")",""),"+",""))=10,LEFT(SUBSTITUTE(SUBSTITUTE(SUBSTITUTE(SUBSTITUTE(SUBSTITUTE(SUBSTITUTE(SUBSTITUTE(TRIM(M110),".",""),"/",""),"-","")," ",""),"(",""),")",""),"+",""),1)&lt;&gt;"0"),AND(LEN(SUBSTITUTE(SUBSTITUTE(SUBSTITUTE(SUBSTITUTE(SUBSTITUTE(SUBSTITUTE(SUBSTITUTE(TRIM(M110),".",""),"/",""),"-","")," ",""),"(",""),")",""),"+",""))=11,LEFT(SUBSTITUTE(SUBSTITUTE(SUBSTITUTE(SUBSTITUTE(SUBSTITUTE(SUBSTITUTE(SUBSTITUTE(TRIM(M110),".",""),"/",""),"-","")," ",""),"(",""),")",""),"+",""),4)="0800")),"OK",IF(AND(LEN(SUBSTITUTE(SUBSTITUTE(SUBSTITUTE(SUBSTITUTE(SUBSTITUTE(SUBSTITUTE(SUBSTITUTE(TRIM(M110),".",""),"/",""),"-","")," ",""),"(",""),")",""),"+",""))=11,MID(SUBSTITUTE(SUBSTITUTE(SUBSTITUTE(SUBSTITUTE(SUBSTITUTE(SUBSTITUTE(SUBSTITUTE(TRIM(M110),".",""),"/",""),"-","")," ",""),"(",""),")",""),"+",""),3,1)="9"),"ERRO: é celular, use a coluna Celular","ERRO: DDD + 8 dígitos ou 0800 + 7")))</f>
      </c>
      <c r="X110" s="6">
        <f>IF(N110="","vazio",IF(AND(LEN(SUBSTITUTE(SUBSTITUTE(SUBSTITUTE(SUBSTITUTE(SUBSTITUTE(SUBSTITUTE(SUBSTITUTE(TRIM(N110),".",""),"/",""),"-","")," ",""),"(",""),")",""),"+",""))=11,MID(SUBSTITUTE(SUBSTITUTE(SUBSTITUTE(SUBSTITUTE(SUBSTITUTE(SUBSTITUTE(SUBSTITUTE(TRIM(N110),".",""),"/",""),"-","")," ",""),"(",""),")",""),"+",""),3,1)="9",LEFT(SUBSTITUTE(SUBSTITUTE(SUBSTITUTE(SUBSTITUTE(SUBSTITUTE(SUBSTITUTE(SUBSTITUTE(TRIM(N110),".",""),"/",""),"-","")," ",""),"(",""),")",""),"+",""),1)&lt;&gt;"0"),"OK",IF(LEN(SUBSTITUTE(SUBSTITUTE(SUBSTITUTE(SUBSTITUTE(SUBSTITUTE(SUBSTITUTE(SUBSTITUTE(TRIM(N110),".",""),"/",""),"-","")," ",""),"(",""),")",""),"+",""))=10,"ERRO: é fixo (ou falta o 9), use a coluna Telefone fixo","ERRO: DDD + 9 + 8 dígitos")))</f>
      </c>
      <c r="Y110" s="6">
        <f>IF(O110="","vazio",IF(AND(ISNUMBER(FIND("@",O110)),ISNUMBER(FIND(".",MID(O110,FIND("@",O110),99))),NOT(ISNUMBER(FIND(" ",TRIM(O110)))),NOT(ISNUMBER(FIND(";",O110))),NOT(ISNUMBER(FIND(",",O110)))),"OK","ERRO: um e-mail válido por linha"))</f>
      </c>
      <c r="Z110" s="6">
        <f>IF(AND(J110="",K110=""),"",IF(AND(J110&lt;&gt;"",K110&lt;&gt;""),"OK","pendente: só um nome (o GR completa ao converter)"))</f>
      </c>
      <c r="AA110" s="6">
        <f>IF(COUNTA(A110:S110)=0,"",IF(AND(A110&lt;&gt;"",B110&lt;&gt;"",C110&lt;&gt;"",D110&lt;&gt;"",E110&lt;&gt;"",F110&lt;&gt;"",G110&lt;&gt;"",H110&lt;&gt;"",OR(J110&lt;&gt;"",K110&lt;&gt;""),OR(M110&lt;&gt;"",N110&lt;&gt;"",O110&lt;&gt;"")),"OK","ERRO: faltam "&amp;IF(A110="","SDR; ","")&amp;IF(B110="","Proprietário; ","")&amp;IF(C110="","Origem; ","")&amp;IF(D110="","Temperatura; ","")&amp;IF(E110="","Segmento; ","")&amp;IF(F110="","Time/Cluster; ","")&amp;IF(G110="","CNPJ; ","")&amp;IF(H110="","Razão Social; ","")&amp;IF(AND(J110="",K110=""),"nome do contato; ","")&amp;IF(AND(M110="",N110="",O110=""),"telefone, celular ou e-mail; ","")))</f>
      </c>
      <c r="AB110" s="6">
        <f>IF(COUNTA(A110:S110)=0,"",IF(AND(U110="OK",V110="OK",LEFT(W110,4)&lt;&gt;"ERRO",LEFT(X110,4)&lt;&gt;"ERRO",LEFT(Y110,4)&lt;&gt;"ERRO",AA110="OK"),"OK","REVISAR"))</f>
      </c>
    </row>
    <row r="111">
      <c r="A111" s="5"/>
      <c r="B111" s="5"/>
      <c r="C111" s="5"/>
      <c r="D111" s="5"/>
      <c r="E111" s="5"/>
      <c r="F111" s="5"/>
      <c r="G111" s="5"/>
      <c r="H111" s="5"/>
      <c r="I111" s="4"/>
      <c r="J111" s="5"/>
      <c r="K111" s="4"/>
      <c r="L111" s="4"/>
      <c r="M111" s="4"/>
      <c r="N111" s="4"/>
      <c r="O111" s="4"/>
      <c r="P111" s="4"/>
      <c r="Q111" s="4"/>
      <c r="R111" s="4"/>
      <c r="S111" s="4"/>
      <c r="T111" s="6">
        <f>IF(G111="","",SUBSTITUTE(SUBSTITUTE(SUBSTITUTE(SUBSTITUTE(SUBSTITUTE(SUBSTITUTE(SUBSTITUTE(TRIM(G111),".",""),"/",""),"-","")," ",""),"(",""),")",""),"+",""))</f>
      </c>
      <c r="U111" s="6">
        <f>IF(T111="","",IF(LEN(T111)&lt;&gt;14,"ERRO: "&amp;LEN(T111)&amp;" dígitos",IF(NOT(ISNUMBER(VALUE(T111))),"ERRO: não numérico",IF(LEN(SUBSTITUTE(T111,LEFT(T111,1),""))=0,"ERRO: dígitos repetidos",IF(AND(VALUE(MID(T111,13,1))=IF(MOD(SUMPRODUCT(--MID(T111,{1,2,3,4,5,6,7,8,9,10,11,12},1),{5,4,3,2,9,8,7,6,5,4,3,2}),11)&lt;2,0,11-MOD(SUMPRODUCT(--MID(T111,{1,2,3,4,5,6,7,8,9,10,11,12},1),{5,4,3,2,9,8,7,6,5,4,3,2}),11)),VALUE(MID(T111,14,1))=IF(MOD(SUMPRODUCT(--MID(T111,{1,2,3,4,5,6,7,8,9,10,11,12,13},1),{6,5,4,3,2,9,8,7,6,5,4,3,2}),11)&lt;2,0,11-MOD(SUMPRODUCT(--MID(T111,{1,2,3,4,5,6,7,8,9,10,11,12,13},1),{6,5,4,3,2,9,8,7,6,5,4,3,2}),11))),"OK","ERRO: dígito verificador")))))</f>
      </c>
      <c r="V111" s="6">
        <f>IF(T111="","",IF(COUNTIF($T$2:$T$1001,T111)&gt;1,"DUPLICADO","OK"))</f>
      </c>
      <c r="W111" s="6">
        <f>IF(M111="","vazio",IF(OR(AND(LEN(SUBSTITUTE(SUBSTITUTE(SUBSTITUTE(SUBSTITUTE(SUBSTITUTE(SUBSTITUTE(SUBSTITUTE(TRIM(M111),".",""),"/",""),"-","")," ",""),"(",""),")",""),"+",""))=10,LEFT(SUBSTITUTE(SUBSTITUTE(SUBSTITUTE(SUBSTITUTE(SUBSTITUTE(SUBSTITUTE(SUBSTITUTE(TRIM(M111),".",""),"/",""),"-","")," ",""),"(",""),")",""),"+",""),1)&lt;&gt;"0"),AND(LEN(SUBSTITUTE(SUBSTITUTE(SUBSTITUTE(SUBSTITUTE(SUBSTITUTE(SUBSTITUTE(SUBSTITUTE(TRIM(M111),".",""),"/",""),"-","")," ",""),"(",""),")",""),"+",""))=11,LEFT(SUBSTITUTE(SUBSTITUTE(SUBSTITUTE(SUBSTITUTE(SUBSTITUTE(SUBSTITUTE(SUBSTITUTE(TRIM(M111),".",""),"/",""),"-","")," ",""),"(",""),")",""),"+",""),4)="0800")),"OK",IF(AND(LEN(SUBSTITUTE(SUBSTITUTE(SUBSTITUTE(SUBSTITUTE(SUBSTITUTE(SUBSTITUTE(SUBSTITUTE(TRIM(M111),".",""),"/",""),"-","")," ",""),"(",""),")",""),"+",""))=11,MID(SUBSTITUTE(SUBSTITUTE(SUBSTITUTE(SUBSTITUTE(SUBSTITUTE(SUBSTITUTE(SUBSTITUTE(TRIM(M111),".",""),"/",""),"-","")," ",""),"(",""),")",""),"+",""),3,1)="9"),"ERRO: é celular, use a coluna Celular","ERRO: DDD + 8 dígitos ou 0800 + 7")))</f>
      </c>
      <c r="X111" s="6">
        <f>IF(N111="","vazio",IF(AND(LEN(SUBSTITUTE(SUBSTITUTE(SUBSTITUTE(SUBSTITUTE(SUBSTITUTE(SUBSTITUTE(SUBSTITUTE(TRIM(N111),".",""),"/",""),"-","")," ",""),"(",""),")",""),"+",""))=11,MID(SUBSTITUTE(SUBSTITUTE(SUBSTITUTE(SUBSTITUTE(SUBSTITUTE(SUBSTITUTE(SUBSTITUTE(TRIM(N111),".",""),"/",""),"-","")," ",""),"(",""),")",""),"+",""),3,1)="9",LEFT(SUBSTITUTE(SUBSTITUTE(SUBSTITUTE(SUBSTITUTE(SUBSTITUTE(SUBSTITUTE(SUBSTITUTE(TRIM(N111),".",""),"/",""),"-","")," ",""),"(",""),")",""),"+",""),1)&lt;&gt;"0"),"OK",IF(LEN(SUBSTITUTE(SUBSTITUTE(SUBSTITUTE(SUBSTITUTE(SUBSTITUTE(SUBSTITUTE(SUBSTITUTE(TRIM(N111),".",""),"/",""),"-","")," ",""),"(",""),")",""),"+",""))=10,"ERRO: é fixo (ou falta o 9), use a coluna Telefone fixo","ERRO: DDD + 9 + 8 dígitos")))</f>
      </c>
      <c r="Y111" s="6">
        <f>IF(O111="","vazio",IF(AND(ISNUMBER(FIND("@",O111)),ISNUMBER(FIND(".",MID(O111,FIND("@",O111),99))),NOT(ISNUMBER(FIND(" ",TRIM(O111)))),NOT(ISNUMBER(FIND(";",O111))),NOT(ISNUMBER(FIND(",",O111)))),"OK","ERRO: um e-mail válido por linha"))</f>
      </c>
      <c r="Z111" s="6">
        <f>IF(AND(J111="",K111=""),"",IF(AND(J111&lt;&gt;"",K111&lt;&gt;""),"OK","pendente: só um nome (o GR completa ao converter)"))</f>
      </c>
      <c r="AA111" s="6">
        <f>IF(COUNTA(A111:S111)=0,"",IF(AND(A111&lt;&gt;"",B111&lt;&gt;"",C111&lt;&gt;"",D111&lt;&gt;"",E111&lt;&gt;"",F111&lt;&gt;"",G111&lt;&gt;"",H111&lt;&gt;"",OR(J111&lt;&gt;"",K111&lt;&gt;""),OR(M111&lt;&gt;"",N111&lt;&gt;"",O111&lt;&gt;"")),"OK","ERRO: faltam "&amp;IF(A111="","SDR; ","")&amp;IF(B111="","Proprietário; ","")&amp;IF(C111="","Origem; ","")&amp;IF(D111="","Temperatura; ","")&amp;IF(E111="","Segmento; ","")&amp;IF(F111="","Time/Cluster; ","")&amp;IF(G111="","CNPJ; ","")&amp;IF(H111="","Razão Social; ","")&amp;IF(AND(J111="",K111=""),"nome do contato; ","")&amp;IF(AND(M111="",N111="",O111=""),"telefone, celular ou e-mail; ","")))</f>
      </c>
      <c r="AB111" s="6">
        <f>IF(COUNTA(A111:S111)=0,"",IF(AND(U111="OK",V111="OK",LEFT(W111,4)&lt;&gt;"ERRO",LEFT(X111,4)&lt;&gt;"ERRO",LEFT(Y111,4)&lt;&gt;"ERRO",AA111="OK"),"OK","REVISAR"))</f>
      </c>
    </row>
    <row r="112">
      <c r="A112" s="5"/>
      <c r="B112" s="5"/>
      <c r="C112" s="5"/>
      <c r="D112" s="5"/>
      <c r="E112" s="5"/>
      <c r="F112" s="5"/>
      <c r="G112" s="5"/>
      <c r="H112" s="5"/>
      <c r="I112" s="4"/>
      <c r="J112" s="5"/>
      <c r="K112" s="4"/>
      <c r="L112" s="4"/>
      <c r="M112" s="4"/>
      <c r="N112" s="4"/>
      <c r="O112" s="4"/>
      <c r="P112" s="4"/>
      <c r="Q112" s="4"/>
      <c r="R112" s="4"/>
      <c r="S112" s="4"/>
      <c r="T112" s="6">
        <f>IF(G112="","",SUBSTITUTE(SUBSTITUTE(SUBSTITUTE(SUBSTITUTE(SUBSTITUTE(SUBSTITUTE(SUBSTITUTE(TRIM(G112),".",""),"/",""),"-","")," ",""),"(",""),")",""),"+",""))</f>
      </c>
      <c r="U112" s="6">
        <f>IF(T112="","",IF(LEN(T112)&lt;&gt;14,"ERRO: "&amp;LEN(T112)&amp;" dígitos",IF(NOT(ISNUMBER(VALUE(T112))),"ERRO: não numérico",IF(LEN(SUBSTITUTE(T112,LEFT(T112,1),""))=0,"ERRO: dígitos repetidos",IF(AND(VALUE(MID(T112,13,1))=IF(MOD(SUMPRODUCT(--MID(T112,{1,2,3,4,5,6,7,8,9,10,11,12},1),{5,4,3,2,9,8,7,6,5,4,3,2}),11)&lt;2,0,11-MOD(SUMPRODUCT(--MID(T112,{1,2,3,4,5,6,7,8,9,10,11,12},1),{5,4,3,2,9,8,7,6,5,4,3,2}),11)),VALUE(MID(T112,14,1))=IF(MOD(SUMPRODUCT(--MID(T112,{1,2,3,4,5,6,7,8,9,10,11,12,13},1),{6,5,4,3,2,9,8,7,6,5,4,3,2}),11)&lt;2,0,11-MOD(SUMPRODUCT(--MID(T112,{1,2,3,4,5,6,7,8,9,10,11,12,13},1),{6,5,4,3,2,9,8,7,6,5,4,3,2}),11))),"OK","ERRO: dígito verificador")))))</f>
      </c>
      <c r="V112" s="6">
        <f>IF(T112="","",IF(COUNTIF($T$2:$T$1001,T112)&gt;1,"DUPLICADO","OK"))</f>
      </c>
      <c r="W112" s="6">
        <f>IF(M112="","vazio",IF(OR(AND(LEN(SUBSTITUTE(SUBSTITUTE(SUBSTITUTE(SUBSTITUTE(SUBSTITUTE(SUBSTITUTE(SUBSTITUTE(TRIM(M112),".",""),"/",""),"-","")," ",""),"(",""),")",""),"+",""))=10,LEFT(SUBSTITUTE(SUBSTITUTE(SUBSTITUTE(SUBSTITUTE(SUBSTITUTE(SUBSTITUTE(SUBSTITUTE(TRIM(M112),".",""),"/",""),"-","")," ",""),"(",""),")",""),"+",""),1)&lt;&gt;"0"),AND(LEN(SUBSTITUTE(SUBSTITUTE(SUBSTITUTE(SUBSTITUTE(SUBSTITUTE(SUBSTITUTE(SUBSTITUTE(TRIM(M112),".",""),"/",""),"-","")," ",""),"(",""),")",""),"+",""))=11,LEFT(SUBSTITUTE(SUBSTITUTE(SUBSTITUTE(SUBSTITUTE(SUBSTITUTE(SUBSTITUTE(SUBSTITUTE(TRIM(M112),".",""),"/",""),"-","")," ",""),"(",""),")",""),"+",""),4)="0800")),"OK",IF(AND(LEN(SUBSTITUTE(SUBSTITUTE(SUBSTITUTE(SUBSTITUTE(SUBSTITUTE(SUBSTITUTE(SUBSTITUTE(TRIM(M112),".",""),"/",""),"-","")," ",""),"(",""),")",""),"+",""))=11,MID(SUBSTITUTE(SUBSTITUTE(SUBSTITUTE(SUBSTITUTE(SUBSTITUTE(SUBSTITUTE(SUBSTITUTE(TRIM(M112),".",""),"/",""),"-","")," ",""),"(",""),")",""),"+",""),3,1)="9"),"ERRO: é celular, use a coluna Celular","ERRO: DDD + 8 dígitos ou 0800 + 7")))</f>
      </c>
      <c r="X112" s="6">
        <f>IF(N112="","vazio",IF(AND(LEN(SUBSTITUTE(SUBSTITUTE(SUBSTITUTE(SUBSTITUTE(SUBSTITUTE(SUBSTITUTE(SUBSTITUTE(TRIM(N112),".",""),"/",""),"-","")," ",""),"(",""),")",""),"+",""))=11,MID(SUBSTITUTE(SUBSTITUTE(SUBSTITUTE(SUBSTITUTE(SUBSTITUTE(SUBSTITUTE(SUBSTITUTE(TRIM(N112),".",""),"/",""),"-","")," ",""),"(",""),")",""),"+",""),3,1)="9",LEFT(SUBSTITUTE(SUBSTITUTE(SUBSTITUTE(SUBSTITUTE(SUBSTITUTE(SUBSTITUTE(SUBSTITUTE(TRIM(N112),".",""),"/",""),"-","")," ",""),"(",""),")",""),"+",""),1)&lt;&gt;"0"),"OK",IF(LEN(SUBSTITUTE(SUBSTITUTE(SUBSTITUTE(SUBSTITUTE(SUBSTITUTE(SUBSTITUTE(SUBSTITUTE(TRIM(N112),".",""),"/",""),"-","")," ",""),"(",""),")",""),"+",""))=10,"ERRO: é fixo (ou falta o 9), use a coluna Telefone fixo","ERRO: DDD + 9 + 8 dígitos")))</f>
      </c>
      <c r="Y112" s="6">
        <f>IF(O112="","vazio",IF(AND(ISNUMBER(FIND("@",O112)),ISNUMBER(FIND(".",MID(O112,FIND("@",O112),99))),NOT(ISNUMBER(FIND(" ",TRIM(O112)))),NOT(ISNUMBER(FIND(";",O112))),NOT(ISNUMBER(FIND(",",O112)))),"OK","ERRO: um e-mail válido por linha"))</f>
      </c>
      <c r="Z112" s="6">
        <f>IF(AND(J112="",K112=""),"",IF(AND(J112&lt;&gt;"",K112&lt;&gt;""),"OK","pendente: só um nome (o GR completa ao converter)"))</f>
      </c>
      <c r="AA112" s="6">
        <f>IF(COUNTA(A112:S112)=0,"",IF(AND(A112&lt;&gt;"",B112&lt;&gt;"",C112&lt;&gt;"",D112&lt;&gt;"",E112&lt;&gt;"",F112&lt;&gt;"",G112&lt;&gt;"",H112&lt;&gt;"",OR(J112&lt;&gt;"",K112&lt;&gt;""),OR(M112&lt;&gt;"",N112&lt;&gt;"",O112&lt;&gt;"")),"OK","ERRO: faltam "&amp;IF(A112="","SDR; ","")&amp;IF(B112="","Proprietário; ","")&amp;IF(C112="","Origem; ","")&amp;IF(D112="","Temperatura; ","")&amp;IF(E112="","Segmento; ","")&amp;IF(F112="","Time/Cluster; ","")&amp;IF(G112="","CNPJ; ","")&amp;IF(H112="","Razão Social; ","")&amp;IF(AND(J112="",K112=""),"nome do contato; ","")&amp;IF(AND(M112="",N112="",O112=""),"telefone, celular ou e-mail; ","")))</f>
      </c>
      <c r="AB112" s="6">
        <f>IF(COUNTA(A112:S112)=0,"",IF(AND(U112="OK",V112="OK",LEFT(W112,4)&lt;&gt;"ERRO",LEFT(X112,4)&lt;&gt;"ERRO",LEFT(Y112,4)&lt;&gt;"ERRO",AA112="OK"),"OK","REVISAR"))</f>
      </c>
    </row>
    <row r="113">
      <c r="A113" s="5"/>
      <c r="B113" s="5"/>
      <c r="C113" s="5"/>
      <c r="D113" s="5"/>
      <c r="E113" s="5"/>
      <c r="F113" s="5"/>
      <c r="G113" s="5"/>
      <c r="H113" s="5"/>
      <c r="I113" s="4"/>
      <c r="J113" s="5"/>
      <c r="K113" s="4"/>
      <c r="L113" s="4"/>
      <c r="M113" s="4"/>
      <c r="N113" s="4"/>
      <c r="O113" s="4"/>
      <c r="P113" s="4"/>
      <c r="Q113" s="4"/>
      <c r="R113" s="4"/>
      <c r="S113" s="4"/>
      <c r="T113" s="6">
        <f>IF(G113="","",SUBSTITUTE(SUBSTITUTE(SUBSTITUTE(SUBSTITUTE(SUBSTITUTE(SUBSTITUTE(SUBSTITUTE(TRIM(G113),".",""),"/",""),"-","")," ",""),"(",""),")",""),"+",""))</f>
      </c>
      <c r="U113" s="6">
        <f>IF(T113="","",IF(LEN(T113)&lt;&gt;14,"ERRO: "&amp;LEN(T113)&amp;" dígitos",IF(NOT(ISNUMBER(VALUE(T113))),"ERRO: não numérico",IF(LEN(SUBSTITUTE(T113,LEFT(T113,1),""))=0,"ERRO: dígitos repetidos",IF(AND(VALUE(MID(T113,13,1))=IF(MOD(SUMPRODUCT(--MID(T113,{1,2,3,4,5,6,7,8,9,10,11,12},1),{5,4,3,2,9,8,7,6,5,4,3,2}),11)&lt;2,0,11-MOD(SUMPRODUCT(--MID(T113,{1,2,3,4,5,6,7,8,9,10,11,12},1),{5,4,3,2,9,8,7,6,5,4,3,2}),11)),VALUE(MID(T113,14,1))=IF(MOD(SUMPRODUCT(--MID(T113,{1,2,3,4,5,6,7,8,9,10,11,12,13},1),{6,5,4,3,2,9,8,7,6,5,4,3,2}),11)&lt;2,0,11-MOD(SUMPRODUCT(--MID(T113,{1,2,3,4,5,6,7,8,9,10,11,12,13},1),{6,5,4,3,2,9,8,7,6,5,4,3,2}),11))),"OK","ERRO: dígito verificador")))))</f>
      </c>
      <c r="V113" s="6">
        <f>IF(T113="","",IF(COUNTIF($T$2:$T$1001,T113)&gt;1,"DUPLICADO","OK"))</f>
      </c>
      <c r="W113" s="6">
        <f>IF(M113="","vazio",IF(OR(AND(LEN(SUBSTITUTE(SUBSTITUTE(SUBSTITUTE(SUBSTITUTE(SUBSTITUTE(SUBSTITUTE(SUBSTITUTE(TRIM(M113),".",""),"/",""),"-","")," ",""),"(",""),")",""),"+",""))=10,LEFT(SUBSTITUTE(SUBSTITUTE(SUBSTITUTE(SUBSTITUTE(SUBSTITUTE(SUBSTITUTE(SUBSTITUTE(TRIM(M113),".",""),"/",""),"-","")," ",""),"(",""),")",""),"+",""),1)&lt;&gt;"0"),AND(LEN(SUBSTITUTE(SUBSTITUTE(SUBSTITUTE(SUBSTITUTE(SUBSTITUTE(SUBSTITUTE(SUBSTITUTE(TRIM(M113),".",""),"/",""),"-","")," ",""),"(",""),")",""),"+",""))=11,LEFT(SUBSTITUTE(SUBSTITUTE(SUBSTITUTE(SUBSTITUTE(SUBSTITUTE(SUBSTITUTE(SUBSTITUTE(TRIM(M113),".",""),"/",""),"-","")," ",""),"(",""),")",""),"+",""),4)="0800")),"OK",IF(AND(LEN(SUBSTITUTE(SUBSTITUTE(SUBSTITUTE(SUBSTITUTE(SUBSTITUTE(SUBSTITUTE(SUBSTITUTE(TRIM(M113),".",""),"/",""),"-","")," ",""),"(",""),")",""),"+",""))=11,MID(SUBSTITUTE(SUBSTITUTE(SUBSTITUTE(SUBSTITUTE(SUBSTITUTE(SUBSTITUTE(SUBSTITUTE(TRIM(M113),".",""),"/",""),"-","")," ",""),"(",""),")",""),"+",""),3,1)="9"),"ERRO: é celular, use a coluna Celular","ERRO: DDD + 8 dígitos ou 0800 + 7")))</f>
      </c>
      <c r="X113" s="6">
        <f>IF(N113="","vazio",IF(AND(LEN(SUBSTITUTE(SUBSTITUTE(SUBSTITUTE(SUBSTITUTE(SUBSTITUTE(SUBSTITUTE(SUBSTITUTE(TRIM(N113),".",""),"/",""),"-","")," ",""),"(",""),")",""),"+",""))=11,MID(SUBSTITUTE(SUBSTITUTE(SUBSTITUTE(SUBSTITUTE(SUBSTITUTE(SUBSTITUTE(SUBSTITUTE(TRIM(N113),".",""),"/",""),"-","")," ",""),"(",""),")",""),"+",""),3,1)="9",LEFT(SUBSTITUTE(SUBSTITUTE(SUBSTITUTE(SUBSTITUTE(SUBSTITUTE(SUBSTITUTE(SUBSTITUTE(TRIM(N113),".",""),"/",""),"-","")," ",""),"(",""),")",""),"+",""),1)&lt;&gt;"0"),"OK",IF(LEN(SUBSTITUTE(SUBSTITUTE(SUBSTITUTE(SUBSTITUTE(SUBSTITUTE(SUBSTITUTE(SUBSTITUTE(TRIM(N113),".",""),"/",""),"-","")," ",""),"(",""),")",""),"+",""))=10,"ERRO: é fixo (ou falta o 9), use a coluna Telefone fixo","ERRO: DDD + 9 + 8 dígitos")))</f>
      </c>
      <c r="Y113" s="6">
        <f>IF(O113="","vazio",IF(AND(ISNUMBER(FIND("@",O113)),ISNUMBER(FIND(".",MID(O113,FIND("@",O113),99))),NOT(ISNUMBER(FIND(" ",TRIM(O113)))),NOT(ISNUMBER(FIND(";",O113))),NOT(ISNUMBER(FIND(",",O113)))),"OK","ERRO: um e-mail válido por linha"))</f>
      </c>
      <c r="Z113" s="6">
        <f>IF(AND(J113="",K113=""),"",IF(AND(J113&lt;&gt;"",K113&lt;&gt;""),"OK","pendente: só um nome (o GR completa ao converter)"))</f>
      </c>
      <c r="AA113" s="6">
        <f>IF(COUNTA(A113:S113)=0,"",IF(AND(A113&lt;&gt;"",B113&lt;&gt;"",C113&lt;&gt;"",D113&lt;&gt;"",E113&lt;&gt;"",F113&lt;&gt;"",G113&lt;&gt;"",H113&lt;&gt;"",OR(J113&lt;&gt;"",K113&lt;&gt;""),OR(M113&lt;&gt;"",N113&lt;&gt;"",O113&lt;&gt;"")),"OK","ERRO: faltam "&amp;IF(A113="","SDR; ","")&amp;IF(B113="","Proprietário; ","")&amp;IF(C113="","Origem; ","")&amp;IF(D113="","Temperatura; ","")&amp;IF(E113="","Segmento; ","")&amp;IF(F113="","Time/Cluster; ","")&amp;IF(G113="","CNPJ; ","")&amp;IF(H113="","Razão Social; ","")&amp;IF(AND(J113="",K113=""),"nome do contato; ","")&amp;IF(AND(M113="",N113="",O113=""),"telefone, celular ou e-mail; ","")))</f>
      </c>
      <c r="AB113" s="6">
        <f>IF(COUNTA(A113:S113)=0,"",IF(AND(U113="OK",V113="OK",LEFT(W113,4)&lt;&gt;"ERRO",LEFT(X113,4)&lt;&gt;"ERRO",LEFT(Y113,4)&lt;&gt;"ERRO",AA113="OK"),"OK","REVISAR"))</f>
      </c>
    </row>
    <row r="114">
      <c r="A114" s="5"/>
      <c r="B114" s="5"/>
      <c r="C114" s="5"/>
      <c r="D114" s="5"/>
      <c r="E114" s="5"/>
      <c r="F114" s="5"/>
      <c r="G114" s="5"/>
      <c r="H114" s="5"/>
      <c r="I114" s="4"/>
      <c r="J114" s="5"/>
      <c r="K114" s="4"/>
      <c r="L114" s="4"/>
      <c r="M114" s="4"/>
      <c r="N114" s="4"/>
      <c r="O114" s="4"/>
      <c r="P114" s="4"/>
      <c r="Q114" s="4"/>
      <c r="R114" s="4"/>
      <c r="S114" s="4"/>
      <c r="T114" s="6">
        <f>IF(G114="","",SUBSTITUTE(SUBSTITUTE(SUBSTITUTE(SUBSTITUTE(SUBSTITUTE(SUBSTITUTE(SUBSTITUTE(TRIM(G114),".",""),"/",""),"-","")," ",""),"(",""),")",""),"+",""))</f>
      </c>
      <c r="U114" s="6">
        <f>IF(T114="","",IF(LEN(T114)&lt;&gt;14,"ERRO: "&amp;LEN(T114)&amp;" dígitos",IF(NOT(ISNUMBER(VALUE(T114))),"ERRO: não numérico",IF(LEN(SUBSTITUTE(T114,LEFT(T114,1),""))=0,"ERRO: dígitos repetidos",IF(AND(VALUE(MID(T114,13,1))=IF(MOD(SUMPRODUCT(--MID(T114,{1,2,3,4,5,6,7,8,9,10,11,12},1),{5,4,3,2,9,8,7,6,5,4,3,2}),11)&lt;2,0,11-MOD(SUMPRODUCT(--MID(T114,{1,2,3,4,5,6,7,8,9,10,11,12},1),{5,4,3,2,9,8,7,6,5,4,3,2}),11)),VALUE(MID(T114,14,1))=IF(MOD(SUMPRODUCT(--MID(T114,{1,2,3,4,5,6,7,8,9,10,11,12,13},1),{6,5,4,3,2,9,8,7,6,5,4,3,2}),11)&lt;2,0,11-MOD(SUMPRODUCT(--MID(T114,{1,2,3,4,5,6,7,8,9,10,11,12,13},1),{6,5,4,3,2,9,8,7,6,5,4,3,2}),11))),"OK","ERRO: dígito verificador")))))</f>
      </c>
      <c r="V114" s="6">
        <f>IF(T114="","",IF(COUNTIF($T$2:$T$1001,T114)&gt;1,"DUPLICADO","OK"))</f>
      </c>
      <c r="W114" s="6">
        <f>IF(M114="","vazio",IF(OR(AND(LEN(SUBSTITUTE(SUBSTITUTE(SUBSTITUTE(SUBSTITUTE(SUBSTITUTE(SUBSTITUTE(SUBSTITUTE(TRIM(M114),".",""),"/",""),"-","")," ",""),"(",""),")",""),"+",""))=10,LEFT(SUBSTITUTE(SUBSTITUTE(SUBSTITUTE(SUBSTITUTE(SUBSTITUTE(SUBSTITUTE(SUBSTITUTE(TRIM(M114),".",""),"/",""),"-","")," ",""),"(",""),")",""),"+",""),1)&lt;&gt;"0"),AND(LEN(SUBSTITUTE(SUBSTITUTE(SUBSTITUTE(SUBSTITUTE(SUBSTITUTE(SUBSTITUTE(SUBSTITUTE(TRIM(M114),".",""),"/",""),"-","")," ",""),"(",""),")",""),"+",""))=11,LEFT(SUBSTITUTE(SUBSTITUTE(SUBSTITUTE(SUBSTITUTE(SUBSTITUTE(SUBSTITUTE(SUBSTITUTE(TRIM(M114),".",""),"/",""),"-","")," ",""),"(",""),")",""),"+",""),4)="0800")),"OK",IF(AND(LEN(SUBSTITUTE(SUBSTITUTE(SUBSTITUTE(SUBSTITUTE(SUBSTITUTE(SUBSTITUTE(SUBSTITUTE(TRIM(M114),".",""),"/",""),"-","")," ",""),"(",""),")",""),"+",""))=11,MID(SUBSTITUTE(SUBSTITUTE(SUBSTITUTE(SUBSTITUTE(SUBSTITUTE(SUBSTITUTE(SUBSTITUTE(TRIM(M114),".",""),"/",""),"-","")," ",""),"(",""),")",""),"+",""),3,1)="9"),"ERRO: é celular, use a coluna Celular","ERRO: DDD + 8 dígitos ou 0800 + 7")))</f>
      </c>
      <c r="X114" s="6">
        <f>IF(N114="","vazio",IF(AND(LEN(SUBSTITUTE(SUBSTITUTE(SUBSTITUTE(SUBSTITUTE(SUBSTITUTE(SUBSTITUTE(SUBSTITUTE(TRIM(N114),".",""),"/",""),"-","")," ",""),"(",""),")",""),"+",""))=11,MID(SUBSTITUTE(SUBSTITUTE(SUBSTITUTE(SUBSTITUTE(SUBSTITUTE(SUBSTITUTE(SUBSTITUTE(TRIM(N114),".",""),"/",""),"-","")," ",""),"(",""),")",""),"+",""),3,1)="9",LEFT(SUBSTITUTE(SUBSTITUTE(SUBSTITUTE(SUBSTITUTE(SUBSTITUTE(SUBSTITUTE(SUBSTITUTE(TRIM(N114),".",""),"/",""),"-","")," ",""),"(",""),")",""),"+",""),1)&lt;&gt;"0"),"OK",IF(LEN(SUBSTITUTE(SUBSTITUTE(SUBSTITUTE(SUBSTITUTE(SUBSTITUTE(SUBSTITUTE(SUBSTITUTE(TRIM(N114),".",""),"/",""),"-","")," ",""),"(",""),")",""),"+",""))=10,"ERRO: é fixo (ou falta o 9), use a coluna Telefone fixo","ERRO: DDD + 9 + 8 dígitos")))</f>
      </c>
      <c r="Y114" s="6">
        <f>IF(O114="","vazio",IF(AND(ISNUMBER(FIND("@",O114)),ISNUMBER(FIND(".",MID(O114,FIND("@",O114),99))),NOT(ISNUMBER(FIND(" ",TRIM(O114)))),NOT(ISNUMBER(FIND(";",O114))),NOT(ISNUMBER(FIND(",",O114)))),"OK","ERRO: um e-mail válido por linha"))</f>
      </c>
      <c r="Z114" s="6">
        <f>IF(AND(J114="",K114=""),"",IF(AND(J114&lt;&gt;"",K114&lt;&gt;""),"OK","pendente: só um nome (o GR completa ao converter)"))</f>
      </c>
      <c r="AA114" s="6">
        <f>IF(COUNTA(A114:S114)=0,"",IF(AND(A114&lt;&gt;"",B114&lt;&gt;"",C114&lt;&gt;"",D114&lt;&gt;"",E114&lt;&gt;"",F114&lt;&gt;"",G114&lt;&gt;"",H114&lt;&gt;"",OR(J114&lt;&gt;"",K114&lt;&gt;""),OR(M114&lt;&gt;"",N114&lt;&gt;"",O114&lt;&gt;"")),"OK","ERRO: faltam "&amp;IF(A114="","SDR; ","")&amp;IF(B114="","Proprietário; ","")&amp;IF(C114="","Origem; ","")&amp;IF(D114="","Temperatura; ","")&amp;IF(E114="","Segmento; ","")&amp;IF(F114="","Time/Cluster; ","")&amp;IF(G114="","CNPJ; ","")&amp;IF(H114="","Razão Social; ","")&amp;IF(AND(J114="",K114=""),"nome do contato; ","")&amp;IF(AND(M114="",N114="",O114=""),"telefone, celular ou e-mail; ","")))</f>
      </c>
      <c r="AB114" s="6">
        <f>IF(COUNTA(A114:S114)=0,"",IF(AND(U114="OK",V114="OK",LEFT(W114,4)&lt;&gt;"ERRO",LEFT(X114,4)&lt;&gt;"ERRO",LEFT(Y114,4)&lt;&gt;"ERRO",AA114="OK"),"OK","REVISAR"))</f>
      </c>
    </row>
    <row r="115">
      <c r="A115" s="5"/>
      <c r="B115" s="5"/>
      <c r="C115" s="5"/>
      <c r="D115" s="5"/>
      <c r="E115" s="5"/>
      <c r="F115" s="5"/>
      <c r="G115" s="5"/>
      <c r="H115" s="5"/>
      <c r="I115" s="4"/>
      <c r="J115" s="5"/>
      <c r="K115" s="4"/>
      <c r="L115" s="4"/>
      <c r="M115" s="4"/>
      <c r="N115" s="4"/>
      <c r="O115" s="4"/>
      <c r="P115" s="4"/>
      <c r="Q115" s="4"/>
      <c r="R115" s="4"/>
      <c r="S115" s="4"/>
      <c r="T115" s="6">
        <f>IF(G115="","",SUBSTITUTE(SUBSTITUTE(SUBSTITUTE(SUBSTITUTE(SUBSTITUTE(SUBSTITUTE(SUBSTITUTE(TRIM(G115),".",""),"/",""),"-","")," ",""),"(",""),")",""),"+",""))</f>
      </c>
      <c r="U115" s="6">
        <f>IF(T115="","",IF(LEN(T115)&lt;&gt;14,"ERRO: "&amp;LEN(T115)&amp;" dígitos",IF(NOT(ISNUMBER(VALUE(T115))),"ERRO: não numérico",IF(LEN(SUBSTITUTE(T115,LEFT(T115,1),""))=0,"ERRO: dígitos repetidos",IF(AND(VALUE(MID(T115,13,1))=IF(MOD(SUMPRODUCT(--MID(T115,{1,2,3,4,5,6,7,8,9,10,11,12},1),{5,4,3,2,9,8,7,6,5,4,3,2}),11)&lt;2,0,11-MOD(SUMPRODUCT(--MID(T115,{1,2,3,4,5,6,7,8,9,10,11,12},1),{5,4,3,2,9,8,7,6,5,4,3,2}),11)),VALUE(MID(T115,14,1))=IF(MOD(SUMPRODUCT(--MID(T115,{1,2,3,4,5,6,7,8,9,10,11,12,13},1),{6,5,4,3,2,9,8,7,6,5,4,3,2}),11)&lt;2,0,11-MOD(SUMPRODUCT(--MID(T115,{1,2,3,4,5,6,7,8,9,10,11,12,13},1),{6,5,4,3,2,9,8,7,6,5,4,3,2}),11))),"OK","ERRO: dígito verificador")))))</f>
      </c>
      <c r="V115" s="6">
        <f>IF(T115="","",IF(COUNTIF($T$2:$T$1001,T115)&gt;1,"DUPLICADO","OK"))</f>
      </c>
      <c r="W115" s="6">
        <f>IF(M115="","vazio",IF(OR(AND(LEN(SUBSTITUTE(SUBSTITUTE(SUBSTITUTE(SUBSTITUTE(SUBSTITUTE(SUBSTITUTE(SUBSTITUTE(TRIM(M115),".",""),"/",""),"-","")," ",""),"(",""),")",""),"+",""))=10,LEFT(SUBSTITUTE(SUBSTITUTE(SUBSTITUTE(SUBSTITUTE(SUBSTITUTE(SUBSTITUTE(SUBSTITUTE(TRIM(M115),".",""),"/",""),"-","")," ",""),"(",""),")",""),"+",""),1)&lt;&gt;"0"),AND(LEN(SUBSTITUTE(SUBSTITUTE(SUBSTITUTE(SUBSTITUTE(SUBSTITUTE(SUBSTITUTE(SUBSTITUTE(TRIM(M115),".",""),"/",""),"-","")," ",""),"(",""),")",""),"+",""))=11,LEFT(SUBSTITUTE(SUBSTITUTE(SUBSTITUTE(SUBSTITUTE(SUBSTITUTE(SUBSTITUTE(SUBSTITUTE(TRIM(M115),".",""),"/",""),"-","")," ",""),"(",""),")",""),"+",""),4)="0800")),"OK",IF(AND(LEN(SUBSTITUTE(SUBSTITUTE(SUBSTITUTE(SUBSTITUTE(SUBSTITUTE(SUBSTITUTE(SUBSTITUTE(TRIM(M115),".",""),"/",""),"-","")," ",""),"(",""),")",""),"+",""))=11,MID(SUBSTITUTE(SUBSTITUTE(SUBSTITUTE(SUBSTITUTE(SUBSTITUTE(SUBSTITUTE(SUBSTITUTE(TRIM(M115),".",""),"/",""),"-","")," ",""),"(",""),")",""),"+",""),3,1)="9"),"ERRO: é celular, use a coluna Celular","ERRO: DDD + 8 dígitos ou 0800 + 7")))</f>
      </c>
      <c r="X115" s="6">
        <f>IF(N115="","vazio",IF(AND(LEN(SUBSTITUTE(SUBSTITUTE(SUBSTITUTE(SUBSTITUTE(SUBSTITUTE(SUBSTITUTE(SUBSTITUTE(TRIM(N115),".",""),"/",""),"-","")," ",""),"(",""),")",""),"+",""))=11,MID(SUBSTITUTE(SUBSTITUTE(SUBSTITUTE(SUBSTITUTE(SUBSTITUTE(SUBSTITUTE(SUBSTITUTE(TRIM(N115),".",""),"/",""),"-","")," ",""),"(",""),")",""),"+",""),3,1)="9",LEFT(SUBSTITUTE(SUBSTITUTE(SUBSTITUTE(SUBSTITUTE(SUBSTITUTE(SUBSTITUTE(SUBSTITUTE(TRIM(N115),".",""),"/",""),"-","")," ",""),"(",""),")",""),"+",""),1)&lt;&gt;"0"),"OK",IF(LEN(SUBSTITUTE(SUBSTITUTE(SUBSTITUTE(SUBSTITUTE(SUBSTITUTE(SUBSTITUTE(SUBSTITUTE(TRIM(N115),".",""),"/",""),"-","")," ",""),"(",""),")",""),"+",""))=10,"ERRO: é fixo (ou falta o 9), use a coluna Telefone fixo","ERRO: DDD + 9 + 8 dígitos")))</f>
      </c>
      <c r="Y115" s="6">
        <f>IF(O115="","vazio",IF(AND(ISNUMBER(FIND("@",O115)),ISNUMBER(FIND(".",MID(O115,FIND("@",O115),99))),NOT(ISNUMBER(FIND(" ",TRIM(O115)))),NOT(ISNUMBER(FIND(";",O115))),NOT(ISNUMBER(FIND(",",O115)))),"OK","ERRO: um e-mail válido por linha"))</f>
      </c>
      <c r="Z115" s="6">
        <f>IF(AND(J115="",K115=""),"",IF(AND(J115&lt;&gt;"",K115&lt;&gt;""),"OK","pendente: só um nome (o GR completa ao converter)"))</f>
      </c>
      <c r="AA115" s="6">
        <f>IF(COUNTA(A115:S115)=0,"",IF(AND(A115&lt;&gt;"",B115&lt;&gt;"",C115&lt;&gt;"",D115&lt;&gt;"",E115&lt;&gt;"",F115&lt;&gt;"",G115&lt;&gt;"",H115&lt;&gt;"",OR(J115&lt;&gt;"",K115&lt;&gt;""),OR(M115&lt;&gt;"",N115&lt;&gt;"",O115&lt;&gt;"")),"OK","ERRO: faltam "&amp;IF(A115="","SDR; ","")&amp;IF(B115="","Proprietário; ","")&amp;IF(C115="","Origem; ","")&amp;IF(D115="","Temperatura; ","")&amp;IF(E115="","Segmento; ","")&amp;IF(F115="","Time/Cluster; ","")&amp;IF(G115="","CNPJ; ","")&amp;IF(H115="","Razão Social; ","")&amp;IF(AND(J115="",K115=""),"nome do contato; ","")&amp;IF(AND(M115="",N115="",O115=""),"telefone, celular ou e-mail; ","")))</f>
      </c>
      <c r="AB115" s="6">
        <f>IF(COUNTA(A115:S115)=0,"",IF(AND(U115="OK",V115="OK",LEFT(W115,4)&lt;&gt;"ERRO",LEFT(X115,4)&lt;&gt;"ERRO",LEFT(Y115,4)&lt;&gt;"ERRO",AA115="OK"),"OK","REVISAR"))</f>
      </c>
    </row>
    <row r="116">
      <c r="A116" s="5"/>
      <c r="B116" s="5"/>
      <c r="C116" s="5"/>
      <c r="D116" s="5"/>
      <c r="E116" s="5"/>
      <c r="F116" s="5"/>
      <c r="G116" s="5"/>
      <c r="H116" s="5"/>
      <c r="I116" s="4"/>
      <c r="J116" s="5"/>
      <c r="K116" s="4"/>
      <c r="L116" s="4"/>
      <c r="M116" s="4"/>
      <c r="N116" s="4"/>
      <c r="O116" s="4"/>
      <c r="P116" s="4"/>
      <c r="Q116" s="4"/>
      <c r="R116" s="4"/>
      <c r="S116" s="4"/>
      <c r="T116" s="6">
        <f>IF(G116="","",SUBSTITUTE(SUBSTITUTE(SUBSTITUTE(SUBSTITUTE(SUBSTITUTE(SUBSTITUTE(SUBSTITUTE(TRIM(G116),".",""),"/",""),"-","")," ",""),"(",""),")",""),"+",""))</f>
      </c>
      <c r="U116" s="6">
        <f>IF(T116="","",IF(LEN(T116)&lt;&gt;14,"ERRO: "&amp;LEN(T116)&amp;" dígitos",IF(NOT(ISNUMBER(VALUE(T116))),"ERRO: não numérico",IF(LEN(SUBSTITUTE(T116,LEFT(T116,1),""))=0,"ERRO: dígitos repetidos",IF(AND(VALUE(MID(T116,13,1))=IF(MOD(SUMPRODUCT(--MID(T116,{1,2,3,4,5,6,7,8,9,10,11,12},1),{5,4,3,2,9,8,7,6,5,4,3,2}),11)&lt;2,0,11-MOD(SUMPRODUCT(--MID(T116,{1,2,3,4,5,6,7,8,9,10,11,12},1),{5,4,3,2,9,8,7,6,5,4,3,2}),11)),VALUE(MID(T116,14,1))=IF(MOD(SUMPRODUCT(--MID(T116,{1,2,3,4,5,6,7,8,9,10,11,12,13},1),{6,5,4,3,2,9,8,7,6,5,4,3,2}),11)&lt;2,0,11-MOD(SUMPRODUCT(--MID(T116,{1,2,3,4,5,6,7,8,9,10,11,12,13},1),{6,5,4,3,2,9,8,7,6,5,4,3,2}),11))),"OK","ERRO: dígito verificador")))))</f>
      </c>
      <c r="V116" s="6">
        <f>IF(T116="","",IF(COUNTIF($T$2:$T$1001,T116)&gt;1,"DUPLICADO","OK"))</f>
      </c>
      <c r="W116" s="6">
        <f>IF(M116="","vazio",IF(OR(AND(LEN(SUBSTITUTE(SUBSTITUTE(SUBSTITUTE(SUBSTITUTE(SUBSTITUTE(SUBSTITUTE(SUBSTITUTE(TRIM(M116),".",""),"/",""),"-","")," ",""),"(",""),")",""),"+",""))=10,LEFT(SUBSTITUTE(SUBSTITUTE(SUBSTITUTE(SUBSTITUTE(SUBSTITUTE(SUBSTITUTE(SUBSTITUTE(TRIM(M116),".",""),"/",""),"-","")," ",""),"(",""),")",""),"+",""),1)&lt;&gt;"0"),AND(LEN(SUBSTITUTE(SUBSTITUTE(SUBSTITUTE(SUBSTITUTE(SUBSTITUTE(SUBSTITUTE(SUBSTITUTE(TRIM(M116),".",""),"/",""),"-","")," ",""),"(",""),")",""),"+",""))=11,LEFT(SUBSTITUTE(SUBSTITUTE(SUBSTITUTE(SUBSTITUTE(SUBSTITUTE(SUBSTITUTE(SUBSTITUTE(TRIM(M116),".",""),"/",""),"-","")," ",""),"(",""),")",""),"+",""),4)="0800")),"OK",IF(AND(LEN(SUBSTITUTE(SUBSTITUTE(SUBSTITUTE(SUBSTITUTE(SUBSTITUTE(SUBSTITUTE(SUBSTITUTE(TRIM(M116),".",""),"/",""),"-","")," ",""),"(",""),")",""),"+",""))=11,MID(SUBSTITUTE(SUBSTITUTE(SUBSTITUTE(SUBSTITUTE(SUBSTITUTE(SUBSTITUTE(SUBSTITUTE(TRIM(M116),".",""),"/",""),"-","")," ",""),"(",""),")",""),"+",""),3,1)="9"),"ERRO: é celular, use a coluna Celular","ERRO: DDD + 8 dígitos ou 0800 + 7")))</f>
      </c>
      <c r="X116" s="6">
        <f>IF(N116="","vazio",IF(AND(LEN(SUBSTITUTE(SUBSTITUTE(SUBSTITUTE(SUBSTITUTE(SUBSTITUTE(SUBSTITUTE(SUBSTITUTE(TRIM(N116),".",""),"/",""),"-","")," ",""),"(",""),")",""),"+",""))=11,MID(SUBSTITUTE(SUBSTITUTE(SUBSTITUTE(SUBSTITUTE(SUBSTITUTE(SUBSTITUTE(SUBSTITUTE(TRIM(N116),".",""),"/",""),"-","")," ",""),"(",""),")",""),"+",""),3,1)="9",LEFT(SUBSTITUTE(SUBSTITUTE(SUBSTITUTE(SUBSTITUTE(SUBSTITUTE(SUBSTITUTE(SUBSTITUTE(TRIM(N116),".",""),"/",""),"-","")," ",""),"(",""),")",""),"+",""),1)&lt;&gt;"0"),"OK",IF(LEN(SUBSTITUTE(SUBSTITUTE(SUBSTITUTE(SUBSTITUTE(SUBSTITUTE(SUBSTITUTE(SUBSTITUTE(TRIM(N116),".",""),"/",""),"-","")," ",""),"(",""),")",""),"+",""))=10,"ERRO: é fixo (ou falta o 9), use a coluna Telefone fixo","ERRO: DDD + 9 + 8 dígitos")))</f>
      </c>
      <c r="Y116" s="6">
        <f>IF(O116="","vazio",IF(AND(ISNUMBER(FIND("@",O116)),ISNUMBER(FIND(".",MID(O116,FIND("@",O116),99))),NOT(ISNUMBER(FIND(" ",TRIM(O116)))),NOT(ISNUMBER(FIND(";",O116))),NOT(ISNUMBER(FIND(",",O116)))),"OK","ERRO: um e-mail válido por linha"))</f>
      </c>
      <c r="Z116" s="6">
        <f>IF(AND(J116="",K116=""),"",IF(AND(J116&lt;&gt;"",K116&lt;&gt;""),"OK","pendente: só um nome (o GR completa ao converter)"))</f>
      </c>
      <c r="AA116" s="6">
        <f>IF(COUNTA(A116:S116)=0,"",IF(AND(A116&lt;&gt;"",B116&lt;&gt;"",C116&lt;&gt;"",D116&lt;&gt;"",E116&lt;&gt;"",F116&lt;&gt;"",G116&lt;&gt;"",H116&lt;&gt;"",OR(J116&lt;&gt;"",K116&lt;&gt;""),OR(M116&lt;&gt;"",N116&lt;&gt;"",O116&lt;&gt;"")),"OK","ERRO: faltam "&amp;IF(A116="","SDR; ","")&amp;IF(B116="","Proprietário; ","")&amp;IF(C116="","Origem; ","")&amp;IF(D116="","Temperatura; ","")&amp;IF(E116="","Segmento; ","")&amp;IF(F116="","Time/Cluster; ","")&amp;IF(G116="","CNPJ; ","")&amp;IF(H116="","Razão Social; ","")&amp;IF(AND(J116="",K116=""),"nome do contato; ","")&amp;IF(AND(M116="",N116="",O116=""),"telefone, celular ou e-mail; ","")))</f>
      </c>
      <c r="AB116" s="6">
        <f>IF(COUNTA(A116:S116)=0,"",IF(AND(U116="OK",V116="OK",LEFT(W116,4)&lt;&gt;"ERRO",LEFT(X116,4)&lt;&gt;"ERRO",LEFT(Y116,4)&lt;&gt;"ERRO",AA116="OK"),"OK","REVISAR"))</f>
      </c>
    </row>
    <row r="117">
      <c r="A117" s="5"/>
      <c r="B117" s="5"/>
      <c r="C117" s="5"/>
      <c r="D117" s="5"/>
      <c r="E117" s="5"/>
      <c r="F117" s="5"/>
      <c r="G117" s="5"/>
      <c r="H117" s="5"/>
      <c r="I117" s="4"/>
      <c r="J117" s="5"/>
      <c r="K117" s="4"/>
      <c r="L117" s="4"/>
      <c r="M117" s="4"/>
      <c r="N117" s="4"/>
      <c r="O117" s="4"/>
      <c r="P117" s="4"/>
      <c r="Q117" s="4"/>
      <c r="R117" s="4"/>
      <c r="S117" s="4"/>
      <c r="T117" s="6">
        <f>IF(G117="","",SUBSTITUTE(SUBSTITUTE(SUBSTITUTE(SUBSTITUTE(SUBSTITUTE(SUBSTITUTE(SUBSTITUTE(TRIM(G117),".",""),"/",""),"-","")," ",""),"(",""),")",""),"+",""))</f>
      </c>
      <c r="U117" s="6">
        <f>IF(T117="","",IF(LEN(T117)&lt;&gt;14,"ERRO: "&amp;LEN(T117)&amp;" dígitos",IF(NOT(ISNUMBER(VALUE(T117))),"ERRO: não numérico",IF(LEN(SUBSTITUTE(T117,LEFT(T117,1),""))=0,"ERRO: dígitos repetidos",IF(AND(VALUE(MID(T117,13,1))=IF(MOD(SUMPRODUCT(--MID(T117,{1,2,3,4,5,6,7,8,9,10,11,12},1),{5,4,3,2,9,8,7,6,5,4,3,2}),11)&lt;2,0,11-MOD(SUMPRODUCT(--MID(T117,{1,2,3,4,5,6,7,8,9,10,11,12},1),{5,4,3,2,9,8,7,6,5,4,3,2}),11)),VALUE(MID(T117,14,1))=IF(MOD(SUMPRODUCT(--MID(T117,{1,2,3,4,5,6,7,8,9,10,11,12,13},1),{6,5,4,3,2,9,8,7,6,5,4,3,2}),11)&lt;2,0,11-MOD(SUMPRODUCT(--MID(T117,{1,2,3,4,5,6,7,8,9,10,11,12,13},1),{6,5,4,3,2,9,8,7,6,5,4,3,2}),11))),"OK","ERRO: dígito verificador")))))</f>
      </c>
      <c r="V117" s="6">
        <f>IF(T117="","",IF(COUNTIF($T$2:$T$1001,T117)&gt;1,"DUPLICADO","OK"))</f>
      </c>
      <c r="W117" s="6">
        <f>IF(M117="","vazio",IF(OR(AND(LEN(SUBSTITUTE(SUBSTITUTE(SUBSTITUTE(SUBSTITUTE(SUBSTITUTE(SUBSTITUTE(SUBSTITUTE(TRIM(M117),".",""),"/",""),"-","")," ",""),"(",""),")",""),"+",""))=10,LEFT(SUBSTITUTE(SUBSTITUTE(SUBSTITUTE(SUBSTITUTE(SUBSTITUTE(SUBSTITUTE(SUBSTITUTE(TRIM(M117),".",""),"/",""),"-","")," ",""),"(",""),")",""),"+",""),1)&lt;&gt;"0"),AND(LEN(SUBSTITUTE(SUBSTITUTE(SUBSTITUTE(SUBSTITUTE(SUBSTITUTE(SUBSTITUTE(SUBSTITUTE(TRIM(M117),".",""),"/",""),"-","")," ",""),"(",""),")",""),"+",""))=11,LEFT(SUBSTITUTE(SUBSTITUTE(SUBSTITUTE(SUBSTITUTE(SUBSTITUTE(SUBSTITUTE(SUBSTITUTE(TRIM(M117),".",""),"/",""),"-","")," ",""),"(",""),")",""),"+",""),4)="0800")),"OK",IF(AND(LEN(SUBSTITUTE(SUBSTITUTE(SUBSTITUTE(SUBSTITUTE(SUBSTITUTE(SUBSTITUTE(SUBSTITUTE(TRIM(M117),".",""),"/",""),"-","")," ",""),"(",""),")",""),"+",""))=11,MID(SUBSTITUTE(SUBSTITUTE(SUBSTITUTE(SUBSTITUTE(SUBSTITUTE(SUBSTITUTE(SUBSTITUTE(TRIM(M117),".",""),"/",""),"-","")," ",""),"(",""),")",""),"+",""),3,1)="9"),"ERRO: é celular, use a coluna Celular","ERRO: DDD + 8 dígitos ou 0800 + 7")))</f>
      </c>
      <c r="X117" s="6">
        <f>IF(N117="","vazio",IF(AND(LEN(SUBSTITUTE(SUBSTITUTE(SUBSTITUTE(SUBSTITUTE(SUBSTITUTE(SUBSTITUTE(SUBSTITUTE(TRIM(N117),".",""),"/",""),"-","")," ",""),"(",""),")",""),"+",""))=11,MID(SUBSTITUTE(SUBSTITUTE(SUBSTITUTE(SUBSTITUTE(SUBSTITUTE(SUBSTITUTE(SUBSTITUTE(TRIM(N117),".",""),"/",""),"-","")," ",""),"(",""),")",""),"+",""),3,1)="9",LEFT(SUBSTITUTE(SUBSTITUTE(SUBSTITUTE(SUBSTITUTE(SUBSTITUTE(SUBSTITUTE(SUBSTITUTE(TRIM(N117),".",""),"/",""),"-","")," ",""),"(",""),")",""),"+",""),1)&lt;&gt;"0"),"OK",IF(LEN(SUBSTITUTE(SUBSTITUTE(SUBSTITUTE(SUBSTITUTE(SUBSTITUTE(SUBSTITUTE(SUBSTITUTE(TRIM(N117),".",""),"/",""),"-","")," ",""),"(",""),")",""),"+",""))=10,"ERRO: é fixo (ou falta o 9), use a coluna Telefone fixo","ERRO: DDD + 9 + 8 dígitos")))</f>
      </c>
      <c r="Y117" s="6">
        <f>IF(O117="","vazio",IF(AND(ISNUMBER(FIND("@",O117)),ISNUMBER(FIND(".",MID(O117,FIND("@",O117),99))),NOT(ISNUMBER(FIND(" ",TRIM(O117)))),NOT(ISNUMBER(FIND(";",O117))),NOT(ISNUMBER(FIND(",",O117)))),"OK","ERRO: um e-mail válido por linha"))</f>
      </c>
      <c r="Z117" s="6">
        <f>IF(AND(J117="",K117=""),"",IF(AND(J117&lt;&gt;"",K117&lt;&gt;""),"OK","pendente: só um nome (o GR completa ao converter)"))</f>
      </c>
      <c r="AA117" s="6">
        <f>IF(COUNTA(A117:S117)=0,"",IF(AND(A117&lt;&gt;"",B117&lt;&gt;"",C117&lt;&gt;"",D117&lt;&gt;"",E117&lt;&gt;"",F117&lt;&gt;"",G117&lt;&gt;"",H117&lt;&gt;"",OR(J117&lt;&gt;"",K117&lt;&gt;""),OR(M117&lt;&gt;"",N117&lt;&gt;"",O117&lt;&gt;"")),"OK","ERRO: faltam "&amp;IF(A117="","SDR; ","")&amp;IF(B117="","Proprietário; ","")&amp;IF(C117="","Origem; ","")&amp;IF(D117="","Temperatura; ","")&amp;IF(E117="","Segmento; ","")&amp;IF(F117="","Time/Cluster; ","")&amp;IF(G117="","CNPJ; ","")&amp;IF(H117="","Razão Social; ","")&amp;IF(AND(J117="",K117=""),"nome do contato; ","")&amp;IF(AND(M117="",N117="",O117=""),"telefone, celular ou e-mail; ","")))</f>
      </c>
      <c r="AB117" s="6">
        <f>IF(COUNTA(A117:S117)=0,"",IF(AND(U117="OK",V117="OK",LEFT(W117,4)&lt;&gt;"ERRO",LEFT(X117,4)&lt;&gt;"ERRO",LEFT(Y117,4)&lt;&gt;"ERRO",AA117="OK"),"OK","REVISAR"))</f>
      </c>
    </row>
    <row r="118">
      <c r="A118" s="5"/>
      <c r="B118" s="5"/>
      <c r="C118" s="5"/>
      <c r="D118" s="5"/>
      <c r="E118" s="5"/>
      <c r="F118" s="5"/>
      <c r="G118" s="5"/>
      <c r="H118" s="5"/>
      <c r="I118" s="4"/>
      <c r="J118" s="5"/>
      <c r="K118" s="4"/>
      <c r="L118" s="4"/>
      <c r="M118" s="4"/>
      <c r="N118" s="4"/>
      <c r="O118" s="4"/>
      <c r="P118" s="4"/>
      <c r="Q118" s="4"/>
      <c r="R118" s="4"/>
      <c r="S118" s="4"/>
      <c r="T118" s="6">
        <f>IF(G118="","",SUBSTITUTE(SUBSTITUTE(SUBSTITUTE(SUBSTITUTE(SUBSTITUTE(SUBSTITUTE(SUBSTITUTE(TRIM(G118),".",""),"/",""),"-","")," ",""),"(",""),")",""),"+",""))</f>
      </c>
      <c r="U118" s="6">
        <f>IF(T118="","",IF(LEN(T118)&lt;&gt;14,"ERRO: "&amp;LEN(T118)&amp;" dígitos",IF(NOT(ISNUMBER(VALUE(T118))),"ERRO: não numérico",IF(LEN(SUBSTITUTE(T118,LEFT(T118,1),""))=0,"ERRO: dígitos repetidos",IF(AND(VALUE(MID(T118,13,1))=IF(MOD(SUMPRODUCT(--MID(T118,{1,2,3,4,5,6,7,8,9,10,11,12},1),{5,4,3,2,9,8,7,6,5,4,3,2}),11)&lt;2,0,11-MOD(SUMPRODUCT(--MID(T118,{1,2,3,4,5,6,7,8,9,10,11,12},1),{5,4,3,2,9,8,7,6,5,4,3,2}),11)),VALUE(MID(T118,14,1))=IF(MOD(SUMPRODUCT(--MID(T118,{1,2,3,4,5,6,7,8,9,10,11,12,13},1),{6,5,4,3,2,9,8,7,6,5,4,3,2}),11)&lt;2,0,11-MOD(SUMPRODUCT(--MID(T118,{1,2,3,4,5,6,7,8,9,10,11,12,13},1),{6,5,4,3,2,9,8,7,6,5,4,3,2}),11))),"OK","ERRO: dígito verificador")))))</f>
      </c>
      <c r="V118" s="6">
        <f>IF(T118="","",IF(COUNTIF($T$2:$T$1001,T118)&gt;1,"DUPLICADO","OK"))</f>
      </c>
      <c r="W118" s="6">
        <f>IF(M118="","vazio",IF(OR(AND(LEN(SUBSTITUTE(SUBSTITUTE(SUBSTITUTE(SUBSTITUTE(SUBSTITUTE(SUBSTITUTE(SUBSTITUTE(TRIM(M118),".",""),"/",""),"-","")," ",""),"(",""),")",""),"+",""))=10,LEFT(SUBSTITUTE(SUBSTITUTE(SUBSTITUTE(SUBSTITUTE(SUBSTITUTE(SUBSTITUTE(SUBSTITUTE(TRIM(M118),".",""),"/",""),"-","")," ",""),"(",""),")",""),"+",""),1)&lt;&gt;"0"),AND(LEN(SUBSTITUTE(SUBSTITUTE(SUBSTITUTE(SUBSTITUTE(SUBSTITUTE(SUBSTITUTE(SUBSTITUTE(TRIM(M118),".",""),"/",""),"-","")," ",""),"(",""),")",""),"+",""))=11,LEFT(SUBSTITUTE(SUBSTITUTE(SUBSTITUTE(SUBSTITUTE(SUBSTITUTE(SUBSTITUTE(SUBSTITUTE(TRIM(M118),".",""),"/",""),"-","")," ",""),"(",""),")",""),"+",""),4)="0800")),"OK",IF(AND(LEN(SUBSTITUTE(SUBSTITUTE(SUBSTITUTE(SUBSTITUTE(SUBSTITUTE(SUBSTITUTE(SUBSTITUTE(TRIM(M118),".",""),"/",""),"-","")," ",""),"(",""),")",""),"+",""))=11,MID(SUBSTITUTE(SUBSTITUTE(SUBSTITUTE(SUBSTITUTE(SUBSTITUTE(SUBSTITUTE(SUBSTITUTE(TRIM(M118),".",""),"/",""),"-","")," ",""),"(",""),")",""),"+",""),3,1)="9"),"ERRO: é celular, use a coluna Celular","ERRO: DDD + 8 dígitos ou 0800 + 7")))</f>
      </c>
      <c r="X118" s="6">
        <f>IF(N118="","vazio",IF(AND(LEN(SUBSTITUTE(SUBSTITUTE(SUBSTITUTE(SUBSTITUTE(SUBSTITUTE(SUBSTITUTE(SUBSTITUTE(TRIM(N118),".",""),"/",""),"-","")," ",""),"(",""),")",""),"+",""))=11,MID(SUBSTITUTE(SUBSTITUTE(SUBSTITUTE(SUBSTITUTE(SUBSTITUTE(SUBSTITUTE(SUBSTITUTE(TRIM(N118),".",""),"/",""),"-","")," ",""),"(",""),")",""),"+",""),3,1)="9",LEFT(SUBSTITUTE(SUBSTITUTE(SUBSTITUTE(SUBSTITUTE(SUBSTITUTE(SUBSTITUTE(SUBSTITUTE(TRIM(N118),".",""),"/",""),"-","")," ",""),"(",""),")",""),"+",""),1)&lt;&gt;"0"),"OK",IF(LEN(SUBSTITUTE(SUBSTITUTE(SUBSTITUTE(SUBSTITUTE(SUBSTITUTE(SUBSTITUTE(SUBSTITUTE(TRIM(N118),".",""),"/",""),"-","")," ",""),"(",""),")",""),"+",""))=10,"ERRO: é fixo (ou falta o 9), use a coluna Telefone fixo","ERRO: DDD + 9 + 8 dígitos")))</f>
      </c>
      <c r="Y118" s="6">
        <f>IF(O118="","vazio",IF(AND(ISNUMBER(FIND("@",O118)),ISNUMBER(FIND(".",MID(O118,FIND("@",O118),99))),NOT(ISNUMBER(FIND(" ",TRIM(O118)))),NOT(ISNUMBER(FIND(";",O118))),NOT(ISNUMBER(FIND(",",O118)))),"OK","ERRO: um e-mail válido por linha"))</f>
      </c>
      <c r="Z118" s="6">
        <f>IF(AND(J118="",K118=""),"",IF(AND(J118&lt;&gt;"",K118&lt;&gt;""),"OK","pendente: só um nome (o GR completa ao converter)"))</f>
      </c>
      <c r="AA118" s="6">
        <f>IF(COUNTA(A118:S118)=0,"",IF(AND(A118&lt;&gt;"",B118&lt;&gt;"",C118&lt;&gt;"",D118&lt;&gt;"",E118&lt;&gt;"",F118&lt;&gt;"",G118&lt;&gt;"",H118&lt;&gt;"",OR(J118&lt;&gt;"",K118&lt;&gt;""),OR(M118&lt;&gt;"",N118&lt;&gt;"",O118&lt;&gt;"")),"OK","ERRO: faltam "&amp;IF(A118="","SDR; ","")&amp;IF(B118="","Proprietário; ","")&amp;IF(C118="","Origem; ","")&amp;IF(D118="","Temperatura; ","")&amp;IF(E118="","Segmento; ","")&amp;IF(F118="","Time/Cluster; ","")&amp;IF(G118="","CNPJ; ","")&amp;IF(H118="","Razão Social; ","")&amp;IF(AND(J118="",K118=""),"nome do contato; ","")&amp;IF(AND(M118="",N118="",O118=""),"telefone, celular ou e-mail; ","")))</f>
      </c>
      <c r="AB118" s="6">
        <f>IF(COUNTA(A118:S118)=0,"",IF(AND(U118="OK",V118="OK",LEFT(W118,4)&lt;&gt;"ERRO",LEFT(X118,4)&lt;&gt;"ERRO",LEFT(Y118,4)&lt;&gt;"ERRO",AA118="OK"),"OK","REVISAR"))</f>
      </c>
    </row>
    <row r="119">
      <c r="A119" s="5"/>
      <c r="B119" s="5"/>
      <c r="C119" s="5"/>
      <c r="D119" s="5"/>
      <c r="E119" s="5"/>
      <c r="F119" s="5"/>
      <c r="G119" s="5"/>
      <c r="H119" s="5"/>
      <c r="I119" s="4"/>
      <c r="J119" s="5"/>
      <c r="K119" s="4"/>
      <c r="L119" s="4"/>
      <c r="M119" s="4"/>
      <c r="N119" s="4"/>
      <c r="O119" s="4"/>
      <c r="P119" s="4"/>
      <c r="Q119" s="4"/>
      <c r="R119" s="4"/>
      <c r="S119" s="4"/>
      <c r="T119" s="6">
        <f>IF(G119="","",SUBSTITUTE(SUBSTITUTE(SUBSTITUTE(SUBSTITUTE(SUBSTITUTE(SUBSTITUTE(SUBSTITUTE(TRIM(G119),".",""),"/",""),"-","")," ",""),"(",""),")",""),"+",""))</f>
      </c>
      <c r="U119" s="6">
        <f>IF(T119="","",IF(LEN(T119)&lt;&gt;14,"ERRO: "&amp;LEN(T119)&amp;" dígitos",IF(NOT(ISNUMBER(VALUE(T119))),"ERRO: não numérico",IF(LEN(SUBSTITUTE(T119,LEFT(T119,1),""))=0,"ERRO: dígitos repetidos",IF(AND(VALUE(MID(T119,13,1))=IF(MOD(SUMPRODUCT(--MID(T119,{1,2,3,4,5,6,7,8,9,10,11,12},1),{5,4,3,2,9,8,7,6,5,4,3,2}),11)&lt;2,0,11-MOD(SUMPRODUCT(--MID(T119,{1,2,3,4,5,6,7,8,9,10,11,12},1),{5,4,3,2,9,8,7,6,5,4,3,2}),11)),VALUE(MID(T119,14,1))=IF(MOD(SUMPRODUCT(--MID(T119,{1,2,3,4,5,6,7,8,9,10,11,12,13},1),{6,5,4,3,2,9,8,7,6,5,4,3,2}),11)&lt;2,0,11-MOD(SUMPRODUCT(--MID(T119,{1,2,3,4,5,6,7,8,9,10,11,12,13},1),{6,5,4,3,2,9,8,7,6,5,4,3,2}),11))),"OK","ERRO: dígito verificador")))))</f>
      </c>
      <c r="V119" s="6">
        <f>IF(T119="","",IF(COUNTIF($T$2:$T$1001,T119)&gt;1,"DUPLICADO","OK"))</f>
      </c>
      <c r="W119" s="6">
        <f>IF(M119="","vazio",IF(OR(AND(LEN(SUBSTITUTE(SUBSTITUTE(SUBSTITUTE(SUBSTITUTE(SUBSTITUTE(SUBSTITUTE(SUBSTITUTE(TRIM(M119),".",""),"/",""),"-","")," ",""),"(",""),")",""),"+",""))=10,LEFT(SUBSTITUTE(SUBSTITUTE(SUBSTITUTE(SUBSTITUTE(SUBSTITUTE(SUBSTITUTE(SUBSTITUTE(TRIM(M119),".",""),"/",""),"-","")," ",""),"(",""),")",""),"+",""),1)&lt;&gt;"0"),AND(LEN(SUBSTITUTE(SUBSTITUTE(SUBSTITUTE(SUBSTITUTE(SUBSTITUTE(SUBSTITUTE(SUBSTITUTE(TRIM(M119),".",""),"/",""),"-","")," ",""),"(",""),")",""),"+",""))=11,LEFT(SUBSTITUTE(SUBSTITUTE(SUBSTITUTE(SUBSTITUTE(SUBSTITUTE(SUBSTITUTE(SUBSTITUTE(TRIM(M119),".",""),"/",""),"-","")," ",""),"(",""),")",""),"+",""),4)="0800")),"OK",IF(AND(LEN(SUBSTITUTE(SUBSTITUTE(SUBSTITUTE(SUBSTITUTE(SUBSTITUTE(SUBSTITUTE(SUBSTITUTE(TRIM(M119),".",""),"/",""),"-","")," ",""),"(",""),")",""),"+",""))=11,MID(SUBSTITUTE(SUBSTITUTE(SUBSTITUTE(SUBSTITUTE(SUBSTITUTE(SUBSTITUTE(SUBSTITUTE(TRIM(M119),".",""),"/",""),"-","")," ",""),"(",""),")",""),"+",""),3,1)="9"),"ERRO: é celular, use a coluna Celular","ERRO: DDD + 8 dígitos ou 0800 + 7")))</f>
      </c>
      <c r="X119" s="6">
        <f>IF(N119="","vazio",IF(AND(LEN(SUBSTITUTE(SUBSTITUTE(SUBSTITUTE(SUBSTITUTE(SUBSTITUTE(SUBSTITUTE(SUBSTITUTE(TRIM(N119),".",""),"/",""),"-","")," ",""),"(",""),")",""),"+",""))=11,MID(SUBSTITUTE(SUBSTITUTE(SUBSTITUTE(SUBSTITUTE(SUBSTITUTE(SUBSTITUTE(SUBSTITUTE(TRIM(N119),".",""),"/",""),"-","")," ",""),"(",""),")",""),"+",""),3,1)="9",LEFT(SUBSTITUTE(SUBSTITUTE(SUBSTITUTE(SUBSTITUTE(SUBSTITUTE(SUBSTITUTE(SUBSTITUTE(TRIM(N119),".",""),"/",""),"-","")," ",""),"(",""),")",""),"+",""),1)&lt;&gt;"0"),"OK",IF(LEN(SUBSTITUTE(SUBSTITUTE(SUBSTITUTE(SUBSTITUTE(SUBSTITUTE(SUBSTITUTE(SUBSTITUTE(TRIM(N119),".",""),"/",""),"-","")," ",""),"(",""),")",""),"+",""))=10,"ERRO: é fixo (ou falta o 9), use a coluna Telefone fixo","ERRO: DDD + 9 + 8 dígitos")))</f>
      </c>
      <c r="Y119" s="6">
        <f>IF(O119="","vazio",IF(AND(ISNUMBER(FIND("@",O119)),ISNUMBER(FIND(".",MID(O119,FIND("@",O119),99))),NOT(ISNUMBER(FIND(" ",TRIM(O119)))),NOT(ISNUMBER(FIND(";",O119))),NOT(ISNUMBER(FIND(",",O119)))),"OK","ERRO: um e-mail válido por linha"))</f>
      </c>
      <c r="Z119" s="6">
        <f>IF(AND(J119="",K119=""),"",IF(AND(J119&lt;&gt;"",K119&lt;&gt;""),"OK","pendente: só um nome (o GR completa ao converter)"))</f>
      </c>
      <c r="AA119" s="6">
        <f>IF(COUNTA(A119:S119)=0,"",IF(AND(A119&lt;&gt;"",B119&lt;&gt;"",C119&lt;&gt;"",D119&lt;&gt;"",E119&lt;&gt;"",F119&lt;&gt;"",G119&lt;&gt;"",H119&lt;&gt;"",OR(J119&lt;&gt;"",K119&lt;&gt;""),OR(M119&lt;&gt;"",N119&lt;&gt;"",O119&lt;&gt;"")),"OK","ERRO: faltam "&amp;IF(A119="","SDR; ","")&amp;IF(B119="","Proprietário; ","")&amp;IF(C119="","Origem; ","")&amp;IF(D119="","Temperatura; ","")&amp;IF(E119="","Segmento; ","")&amp;IF(F119="","Time/Cluster; ","")&amp;IF(G119="","CNPJ; ","")&amp;IF(H119="","Razão Social; ","")&amp;IF(AND(J119="",K119=""),"nome do contato; ","")&amp;IF(AND(M119="",N119="",O119=""),"telefone, celular ou e-mail; ","")))</f>
      </c>
      <c r="AB119" s="6">
        <f>IF(COUNTA(A119:S119)=0,"",IF(AND(U119="OK",V119="OK",LEFT(W119,4)&lt;&gt;"ERRO",LEFT(X119,4)&lt;&gt;"ERRO",LEFT(Y119,4)&lt;&gt;"ERRO",AA119="OK"),"OK","REVISAR"))</f>
      </c>
    </row>
    <row r="120">
      <c r="A120" s="5"/>
      <c r="B120" s="5"/>
      <c r="C120" s="5"/>
      <c r="D120" s="5"/>
      <c r="E120" s="5"/>
      <c r="F120" s="5"/>
      <c r="G120" s="5"/>
      <c r="H120" s="5"/>
      <c r="I120" s="4"/>
      <c r="J120" s="5"/>
      <c r="K120" s="4"/>
      <c r="L120" s="4"/>
      <c r="M120" s="4"/>
      <c r="N120" s="4"/>
      <c r="O120" s="4"/>
      <c r="P120" s="4"/>
      <c r="Q120" s="4"/>
      <c r="R120" s="4"/>
      <c r="S120" s="4"/>
      <c r="T120" s="6">
        <f>IF(G120="","",SUBSTITUTE(SUBSTITUTE(SUBSTITUTE(SUBSTITUTE(SUBSTITUTE(SUBSTITUTE(SUBSTITUTE(TRIM(G120),".",""),"/",""),"-","")," ",""),"(",""),")",""),"+",""))</f>
      </c>
      <c r="U120" s="6">
        <f>IF(T120="","",IF(LEN(T120)&lt;&gt;14,"ERRO: "&amp;LEN(T120)&amp;" dígitos",IF(NOT(ISNUMBER(VALUE(T120))),"ERRO: não numérico",IF(LEN(SUBSTITUTE(T120,LEFT(T120,1),""))=0,"ERRO: dígitos repetidos",IF(AND(VALUE(MID(T120,13,1))=IF(MOD(SUMPRODUCT(--MID(T120,{1,2,3,4,5,6,7,8,9,10,11,12},1),{5,4,3,2,9,8,7,6,5,4,3,2}),11)&lt;2,0,11-MOD(SUMPRODUCT(--MID(T120,{1,2,3,4,5,6,7,8,9,10,11,12},1),{5,4,3,2,9,8,7,6,5,4,3,2}),11)),VALUE(MID(T120,14,1))=IF(MOD(SUMPRODUCT(--MID(T120,{1,2,3,4,5,6,7,8,9,10,11,12,13},1),{6,5,4,3,2,9,8,7,6,5,4,3,2}),11)&lt;2,0,11-MOD(SUMPRODUCT(--MID(T120,{1,2,3,4,5,6,7,8,9,10,11,12,13},1),{6,5,4,3,2,9,8,7,6,5,4,3,2}),11))),"OK","ERRO: dígito verificador")))))</f>
      </c>
      <c r="V120" s="6">
        <f>IF(T120="","",IF(COUNTIF($T$2:$T$1001,T120)&gt;1,"DUPLICADO","OK"))</f>
      </c>
      <c r="W120" s="6">
        <f>IF(M120="","vazio",IF(OR(AND(LEN(SUBSTITUTE(SUBSTITUTE(SUBSTITUTE(SUBSTITUTE(SUBSTITUTE(SUBSTITUTE(SUBSTITUTE(TRIM(M120),".",""),"/",""),"-","")," ",""),"(",""),")",""),"+",""))=10,LEFT(SUBSTITUTE(SUBSTITUTE(SUBSTITUTE(SUBSTITUTE(SUBSTITUTE(SUBSTITUTE(SUBSTITUTE(TRIM(M120),".",""),"/",""),"-","")," ",""),"(",""),")",""),"+",""),1)&lt;&gt;"0"),AND(LEN(SUBSTITUTE(SUBSTITUTE(SUBSTITUTE(SUBSTITUTE(SUBSTITUTE(SUBSTITUTE(SUBSTITUTE(TRIM(M120),".",""),"/",""),"-","")," ",""),"(",""),")",""),"+",""))=11,LEFT(SUBSTITUTE(SUBSTITUTE(SUBSTITUTE(SUBSTITUTE(SUBSTITUTE(SUBSTITUTE(SUBSTITUTE(TRIM(M120),".",""),"/",""),"-","")," ",""),"(",""),")",""),"+",""),4)="0800")),"OK",IF(AND(LEN(SUBSTITUTE(SUBSTITUTE(SUBSTITUTE(SUBSTITUTE(SUBSTITUTE(SUBSTITUTE(SUBSTITUTE(TRIM(M120),".",""),"/",""),"-","")," ",""),"(",""),")",""),"+",""))=11,MID(SUBSTITUTE(SUBSTITUTE(SUBSTITUTE(SUBSTITUTE(SUBSTITUTE(SUBSTITUTE(SUBSTITUTE(TRIM(M120),".",""),"/",""),"-","")," ",""),"(",""),")",""),"+",""),3,1)="9"),"ERRO: é celular, use a coluna Celular","ERRO: DDD + 8 dígitos ou 0800 + 7")))</f>
      </c>
      <c r="X120" s="6">
        <f>IF(N120="","vazio",IF(AND(LEN(SUBSTITUTE(SUBSTITUTE(SUBSTITUTE(SUBSTITUTE(SUBSTITUTE(SUBSTITUTE(SUBSTITUTE(TRIM(N120),".",""),"/",""),"-","")," ",""),"(",""),")",""),"+",""))=11,MID(SUBSTITUTE(SUBSTITUTE(SUBSTITUTE(SUBSTITUTE(SUBSTITUTE(SUBSTITUTE(SUBSTITUTE(TRIM(N120),".",""),"/",""),"-","")," ",""),"(",""),")",""),"+",""),3,1)="9",LEFT(SUBSTITUTE(SUBSTITUTE(SUBSTITUTE(SUBSTITUTE(SUBSTITUTE(SUBSTITUTE(SUBSTITUTE(TRIM(N120),".",""),"/",""),"-","")," ",""),"(",""),")",""),"+",""),1)&lt;&gt;"0"),"OK",IF(LEN(SUBSTITUTE(SUBSTITUTE(SUBSTITUTE(SUBSTITUTE(SUBSTITUTE(SUBSTITUTE(SUBSTITUTE(TRIM(N120),".",""),"/",""),"-","")," ",""),"(",""),")",""),"+",""))=10,"ERRO: é fixo (ou falta o 9), use a coluna Telefone fixo","ERRO: DDD + 9 + 8 dígitos")))</f>
      </c>
      <c r="Y120" s="6">
        <f>IF(O120="","vazio",IF(AND(ISNUMBER(FIND("@",O120)),ISNUMBER(FIND(".",MID(O120,FIND("@",O120),99))),NOT(ISNUMBER(FIND(" ",TRIM(O120)))),NOT(ISNUMBER(FIND(";",O120))),NOT(ISNUMBER(FIND(",",O120)))),"OK","ERRO: um e-mail válido por linha"))</f>
      </c>
      <c r="Z120" s="6">
        <f>IF(AND(J120="",K120=""),"",IF(AND(J120&lt;&gt;"",K120&lt;&gt;""),"OK","pendente: só um nome (o GR completa ao converter)"))</f>
      </c>
      <c r="AA120" s="6">
        <f>IF(COUNTA(A120:S120)=0,"",IF(AND(A120&lt;&gt;"",B120&lt;&gt;"",C120&lt;&gt;"",D120&lt;&gt;"",E120&lt;&gt;"",F120&lt;&gt;"",G120&lt;&gt;"",H120&lt;&gt;"",OR(J120&lt;&gt;"",K120&lt;&gt;""),OR(M120&lt;&gt;"",N120&lt;&gt;"",O120&lt;&gt;"")),"OK","ERRO: faltam "&amp;IF(A120="","SDR; ","")&amp;IF(B120="","Proprietário; ","")&amp;IF(C120="","Origem; ","")&amp;IF(D120="","Temperatura; ","")&amp;IF(E120="","Segmento; ","")&amp;IF(F120="","Time/Cluster; ","")&amp;IF(G120="","CNPJ; ","")&amp;IF(H120="","Razão Social; ","")&amp;IF(AND(J120="",K120=""),"nome do contato; ","")&amp;IF(AND(M120="",N120="",O120=""),"telefone, celular ou e-mail; ","")))</f>
      </c>
      <c r="AB120" s="6">
        <f>IF(COUNTA(A120:S120)=0,"",IF(AND(U120="OK",V120="OK",LEFT(W120,4)&lt;&gt;"ERRO",LEFT(X120,4)&lt;&gt;"ERRO",LEFT(Y120,4)&lt;&gt;"ERRO",AA120="OK"),"OK","REVISAR"))</f>
      </c>
    </row>
    <row r="121">
      <c r="A121" s="5"/>
      <c r="B121" s="5"/>
      <c r="C121" s="5"/>
      <c r="D121" s="5"/>
      <c r="E121" s="5"/>
      <c r="F121" s="5"/>
      <c r="G121" s="5"/>
      <c r="H121" s="5"/>
      <c r="I121" s="4"/>
      <c r="J121" s="5"/>
      <c r="K121" s="4"/>
      <c r="L121" s="4"/>
      <c r="M121" s="4"/>
      <c r="N121" s="4"/>
      <c r="O121" s="4"/>
      <c r="P121" s="4"/>
      <c r="Q121" s="4"/>
      <c r="R121" s="4"/>
      <c r="S121" s="4"/>
      <c r="T121" s="6">
        <f>IF(G121="","",SUBSTITUTE(SUBSTITUTE(SUBSTITUTE(SUBSTITUTE(SUBSTITUTE(SUBSTITUTE(SUBSTITUTE(TRIM(G121),".",""),"/",""),"-","")," ",""),"(",""),")",""),"+",""))</f>
      </c>
      <c r="U121" s="6">
        <f>IF(T121="","",IF(LEN(T121)&lt;&gt;14,"ERRO: "&amp;LEN(T121)&amp;" dígitos",IF(NOT(ISNUMBER(VALUE(T121))),"ERRO: não numérico",IF(LEN(SUBSTITUTE(T121,LEFT(T121,1),""))=0,"ERRO: dígitos repetidos",IF(AND(VALUE(MID(T121,13,1))=IF(MOD(SUMPRODUCT(--MID(T121,{1,2,3,4,5,6,7,8,9,10,11,12},1),{5,4,3,2,9,8,7,6,5,4,3,2}),11)&lt;2,0,11-MOD(SUMPRODUCT(--MID(T121,{1,2,3,4,5,6,7,8,9,10,11,12},1),{5,4,3,2,9,8,7,6,5,4,3,2}),11)),VALUE(MID(T121,14,1))=IF(MOD(SUMPRODUCT(--MID(T121,{1,2,3,4,5,6,7,8,9,10,11,12,13},1),{6,5,4,3,2,9,8,7,6,5,4,3,2}),11)&lt;2,0,11-MOD(SUMPRODUCT(--MID(T121,{1,2,3,4,5,6,7,8,9,10,11,12,13},1),{6,5,4,3,2,9,8,7,6,5,4,3,2}),11))),"OK","ERRO: dígito verificador")))))</f>
      </c>
      <c r="V121" s="6">
        <f>IF(T121="","",IF(COUNTIF($T$2:$T$1001,T121)&gt;1,"DUPLICADO","OK"))</f>
      </c>
      <c r="W121" s="6">
        <f>IF(M121="","vazio",IF(OR(AND(LEN(SUBSTITUTE(SUBSTITUTE(SUBSTITUTE(SUBSTITUTE(SUBSTITUTE(SUBSTITUTE(SUBSTITUTE(TRIM(M121),".",""),"/",""),"-","")," ",""),"(",""),")",""),"+",""))=10,LEFT(SUBSTITUTE(SUBSTITUTE(SUBSTITUTE(SUBSTITUTE(SUBSTITUTE(SUBSTITUTE(SUBSTITUTE(TRIM(M121),".",""),"/",""),"-","")," ",""),"(",""),")",""),"+",""),1)&lt;&gt;"0"),AND(LEN(SUBSTITUTE(SUBSTITUTE(SUBSTITUTE(SUBSTITUTE(SUBSTITUTE(SUBSTITUTE(SUBSTITUTE(TRIM(M121),".",""),"/",""),"-","")," ",""),"(",""),")",""),"+",""))=11,LEFT(SUBSTITUTE(SUBSTITUTE(SUBSTITUTE(SUBSTITUTE(SUBSTITUTE(SUBSTITUTE(SUBSTITUTE(TRIM(M121),".",""),"/",""),"-","")," ",""),"(",""),")",""),"+",""),4)="0800")),"OK",IF(AND(LEN(SUBSTITUTE(SUBSTITUTE(SUBSTITUTE(SUBSTITUTE(SUBSTITUTE(SUBSTITUTE(SUBSTITUTE(TRIM(M121),".",""),"/",""),"-","")," ",""),"(",""),")",""),"+",""))=11,MID(SUBSTITUTE(SUBSTITUTE(SUBSTITUTE(SUBSTITUTE(SUBSTITUTE(SUBSTITUTE(SUBSTITUTE(TRIM(M121),".",""),"/",""),"-","")," ",""),"(",""),")",""),"+",""),3,1)="9"),"ERRO: é celular, use a coluna Celular","ERRO: DDD + 8 dígitos ou 0800 + 7")))</f>
      </c>
      <c r="X121" s="6">
        <f>IF(N121="","vazio",IF(AND(LEN(SUBSTITUTE(SUBSTITUTE(SUBSTITUTE(SUBSTITUTE(SUBSTITUTE(SUBSTITUTE(SUBSTITUTE(TRIM(N121),".",""),"/",""),"-","")," ",""),"(",""),")",""),"+",""))=11,MID(SUBSTITUTE(SUBSTITUTE(SUBSTITUTE(SUBSTITUTE(SUBSTITUTE(SUBSTITUTE(SUBSTITUTE(TRIM(N121),".",""),"/",""),"-","")," ",""),"(",""),")",""),"+",""),3,1)="9",LEFT(SUBSTITUTE(SUBSTITUTE(SUBSTITUTE(SUBSTITUTE(SUBSTITUTE(SUBSTITUTE(SUBSTITUTE(TRIM(N121),".",""),"/",""),"-","")," ",""),"(",""),")",""),"+",""),1)&lt;&gt;"0"),"OK",IF(LEN(SUBSTITUTE(SUBSTITUTE(SUBSTITUTE(SUBSTITUTE(SUBSTITUTE(SUBSTITUTE(SUBSTITUTE(TRIM(N121),".",""),"/",""),"-","")," ",""),"(",""),")",""),"+",""))=10,"ERRO: é fixo (ou falta o 9), use a coluna Telefone fixo","ERRO: DDD + 9 + 8 dígitos")))</f>
      </c>
      <c r="Y121" s="6">
        <f>IF(O121="","vazio",IF(AND(ISNUMBER(FIND("@",O121)),ISNUMBER(FIND(".",MID(O121,FIND("@",O121),99))),NOT(ISNUMBER(FIND(" ",TRIM(O121)))),NOT(ISNUMBER(FIND(";",O121))),NOT(ISNUMBER(FIND(",",O121)))),"OK","ERRO: um e-mail válido por linha"))</f>
      </c>
      <c r="Z121" s="6">
        <f>IF(AND(J121="",K121=""),"",IF(AND(J121&lt;&gt;"",K121&lt;&gt;""),"OK","pendente: só um nome (o GR completa ao converter)"))</f>
      </c>
      <c r="AA121" s="6">
        <f>IF(COUNTA(A121:S121)=0,"",IF(AND(A121&lt;&gt;"",B121&lt;&gt;"",C121&lt;&gt;"",D121&lt;&gt;"",E121&lt;&gt;"",F121&lt;&gt;"",G121&lt;&gt;"",H121&lt;&gt;"",OR(J121&lt;&gt;"",K121&lt;&gt;""),OR(M121&lt;&gt;"",N121&lt;&gt;"",O121&lt;&gt;"")),"OK","ERRO: faltam "&amp;IF(A121="","SDR; ","")&amp;IF(B121="","Proprietário; ","")&amp;IF(C121="","Origem; ","")&amp;IF(D121="","Temperatura; ","")&amp;IF(E121="","Segmento; ","")&amp;IF(F121="","Time/Cluster; ","")&amp;IF(G121="","CNPJ; ","")&amp;IF(H121="","Razão Social; ","")&amp;IF(AND(J121="",K121=""),"nome do contato; ","")&amp;IF(AND(M121="",N121="",O121=""),"telefone, celular ou e-mail; ","")))</f>
      </c>
      <c r="AB121" s="6">
        <f>IF(COUNTA(A121:S121)=0,"",IF(AND(U121="OK",V121="OK",LEFT(W121,4)&lt;&gt;"ERRO",LEFT(X121,4)&lt;&gt;"ERRO",LEFT(Y121,4)&lt;&gt;"ERRO",AA121="OK"),"OK","REVISAR"))</f>
      </c>
    </row>
    <row r="122">
      <c r="A122" s="5"/>
      <c r="B122" s="5"/>
      <c r="C122" s="5"/>
      <c r="D122" s="5"/>
      <c r="E122" s="5"/>
      <c r="F122" s="5"/>
      <c r="G122" s="5"/>
      <c r="H122" s="5"/>
      <c r="I122" s="4"/>
      <c r="J122" s="5"/>
      <c r="K122" s="4"/>
      <c r="L122" s="4"/>
      <c r="M122" s="4"/>
      <c r="N122" s="4"/>
      <c r="O122" s="4"/>
      <c r="P122" s="4"/>
      <c r="Q122" s="4"/>
      <c r="R122" s="4"/>
      <c r="S122" s="4"/>
      <c r="T122" s="6">
        <f>IF(G122="","",SUBSTITUTE(SUBSTITUTE(SUBSTITUTE(SUBSTITUTE(SUBSTITUTE(SUBSTITUTE(SUBSTITUTE(TRIM(G122),".",""),"/",""),"-","")," ",""),"(",""),")",""),"+",""))</f>
      </c>
      <c r="U122" s="6">
        <f>IF(T122="","",IF(LEN(T122)&lt;&gt;14,"ERRO: "&amp;LEN(T122)&amp;" dígitos",IF(NOT(ISNUMBER(VALUE(T122))),"ERRO: não numérico",IF(LEN(SUBSTITUTE(T122,LEFT(T122,1),""))=0,"ERRO: dígitos repetidos",IF(AND(VALUE(MID(T122,13,1))=IF(MOD(SUMPRODUCT(--MID(T122,{1,2,3,4,5,6,7,8,9,10,11,12},1),{5,4,3,2,9,8,7,6,5,4,3,2}),11)&lt;2,0,11-MOD(SUMPRODUCT(--MID(T122,{1,2,3,4,5,6,7,8,9,10,11,12},1),{5,4,3,2,9,8,7,6,5,4,3,2}),11)),VALUE(MID(T122,14,1))=IF(MOD(SUMPRODUCT(--MID(T122,{1,2,3,4,5,6,7,8,9,10,11,12,13},1),{6,5,4,3,2,9,8,7,6,5,4,3,2}),11)&lt;2,0,11-MOD(SUMPRODUCT(--MID(T122,{1,2,3,4,5,6,7,8,9,10,11,12,13},1),{6,5,4,3,2,9,8,7,6,5,4,3,2}),11))),"OK","ERRO: dígito verificador")))))</f>
      </c>
      <c r="V122" s="6">
        <f>IF(T122="","",IF(COUNTIF($T$2:$T$1001,T122)&gt;1,"DUPLICADO","OK"))</f>
      </c>
      <c r="W122" s="6">
        <f>IF(M122="","vazio",IF(OR(AND(LEN(SUBSTITUTE(SUBSTITUTE(SUBSTITUTE(SUBSTITUTE(SUBSTITUTE(SUBSTITUTE(SUBSTITUTE(TRIM(M122),".",""),"/",""),"-","")," ",""),"(",""),")",""),"+",""))=10,LEFT(SUBSTITUTE(SUBSTITUTE(SUBSTITUTE(SUBSTITUTE(SUBSTITUTE(SUBSTITUTE(SUBSTITUTE(TRIM(M122),".",""),"/",""),"-","")," ",""),"(",""),")",""),"+",""),1)&lt;&gt;"0"),AND(LEN(SUBSTITUTE(SUBSTITUTE(SUBSTITUTE(SUBSTITUTE(SUBSTITUTE(SUBSTITUTE(SUBSTITUTE(TRIM(M122),".",""),"/",""),"-","")," ",""),"(",""),")",""),"+",""))=11,LEFT(SUBSTITUTE(SUBSTITUTE(SUBSTITUTE(SUBSTITUTE(SUBSTITUTE(SUBSTITUTE(SUBSTITUTE(TRIM(M122),".",""),"/",""),"-","")," ",""),"(",""),")",""),"+",""),4)="0800")),"OK",IF(AND(LEN(SUBSTITUTE(SUBSTITUTE(SUBSTITUTE(SUBSTITUTE(SUBSTITUTE(SUBSTITUTE(SUBSTITUTE(TRIM(M122),".",""),"/",""),"-","")," ",""),"(",""),")",""),"+",""))=11,MID(SUBSTITUTE(SUBSTITUTE(SUBSTITUTE(SUBSTITUTE(SUBSTITUTE(SUBSTITUTE(SUBSTITUTE(TRIM(M122),".",""),"/",""),"-","")," ",""),"(",""),")",""),"+",""),3,1)="9"),"ERRO: é celular, use a coluna Celular","ERRO: DDD + 8 dígitos ou 0800 + 7")))</f>
      </c>
      <c r="X122" s="6">
        <f>IF(N122="","vazio",IF(AND(LEN(SUBSTITUTE(SUBSTITUTE(SUBSTITUTE(SUBSTITUTE(SUBSTITUTE(SUBSTITUTE(SUBSTITUTE(TRIM(N122),".",""),"/",""),"-","")," ",""),"(",""),")",""),"+",""))=11,MID(SUBSTITUTE(SUBSTITUTE(SUBSTITUTE(SUBSTITUTE(SUBSTITUTE(SUBSTITUTE(SUBSTITUTE(TRIM(N122),".",""),"/",""),"-","")," ",""),"(",""),")",""),"+",""),3,1)="9",LEFT(SUBSTITUTE(SUBSTITUTE(SUBSTITUTE(SUBSTITUTE(SUBSTITUTE(SUBSTITUTE(SUBSTITUTE(TRIM(N122),".",""),"/",""),"-","")," ",""),"(",""),")",""),"+",""),1)&lt;&gt;"0"),"OK",IF(LEN(SUBSTITUTE(SUBSTITUTE(SUBSTITUTE(SUBSTITUTE(SUBSTITUTE(SUBSTITUTE(SUBSTITUTE(TRIM(N122),".",""),"/",""),"-","")," ",""),"(",""),")",""),"+",""))=10,"ERRO: é fixo (ou falta o 9), use a coluna Telefone fixo","ERRO: DDD + 9 + 8 dígitos")))</f>
      </c>
      <c r="Y122" s="6">
        <f>IF(O122="","vazio",IF(AND(ISNUMBER(FIND("@",O122)),ISNUMBER(FIND(".",MID(O122,FIND("@",O122),99))),NOT(ISNUMBER(FIND(" ",TRIM(O122)))),NOT(ISNUMBER(FIND(";",O122))),NOT(ISNUMBER(FIND(",",O122)))),"OK","ERRO: um e-mail válido por linha"))</f>
      </c>
      <c r="Z122" s="6">
        <f>IF(AND(J122="",K122=""),"",IF(AND(J122&lt;&gt;"",K122&lt;&gt;""),"OK","pendente: só um nome (o GR completa ao converter)"))</f>
      </c>
      <c r="AA122" s="6">
        <f>IF(COUNTA(A122:S122)=0,"",IF(AND(A122&lt;&gt;"",B122&lt;&gt;"",C122&lt;&gt;"",D122&lt;&gt;"",E122&lt;&gt;"",F122&lt;&gt;"",G122&lt;&gt;"",H122&lt;&gt;"",OR(J122&lt;&gt;"",K122&lt;&gt;""),OR(M122&lt;&gt;"",N122&lt;&gt;"",O122&lt;&gt;"")),"OK","ERRO: faltam "&amp;IF(A122="","SDR; ","")&amp;IF(B122="","Proprietário; ","")&amp;IF(C122="","Origem; ","")&amp;IF(D122="","Temperatura; ","")&amp;IF(E122="","Segmento; ","")&amp;IF(F122="","Time/Cluster; ","")&amp;IF(G122="","CNPJ; ","")&amp;IF(H122="","Razão Social; ","")&amp;IF(AND(J122="",K122=""),"nome do contato; ","")&amp;IF(AND(M122="",N122="",O122=""),"telefone, celular ou e-mail; ","")))</f>
      </c>
      <c r="AB122" s="6">
        <f>IF(COUNTA(A122:S122)=0,"",IF(AND(U122="OK",V122="OK",LEFT(W122,4)&lt;&gt;"ERRO",LEFT(X122,4)&lt;&gt;"ERRO",LEFT(Y122,4)&lt;&gt;"ERRO",AA122="OK"),"OK","REVISAR"))</f>
      </c>
    </row>
    <row r="123">
      <c r="A123" s="5"/>
      <c r="B123" s="5"/>
      <c r="C123" s="5"/>
      <c r="D123" s="5"/>
      <c r="E123" s="5"/>
      <c r="F123" s="5"/>
      <c r="G123" s="5"/>
      <c r="H123" s="5"/>
      <c r="I123" s="4"/>
      <c r="J123" s="5"/>
      <c r="K123" s="4"/>
      <c r="L123" s="4"/>
      <c r="M123" s="4"/>
      <c r="N123" s="4"/>
      <c r="O123" s="4"/>
      <c r="P123" s="4"/>
      <c r="Q123" s="4"/>
      <c r="R123" s="4"/>
      <c r="S123" s="4"/>
      <c r="T123" s="6">
        <f>IF(G123="","",SUBSTITUTE(SUBSTITUTE(SUBSTITUTE(SUBSTITUTE(SUBSTITUTE(SUBSTITUTE(SUBSTITUTE(TRIM(G123),".",""),"/",""),"-","")," ",""),"(",""),")",""),"+",""))</f>
      </c>
      <c r="U123" s="6">
        <f>IF(T123="","",IF(LEN(T123)&lt;&gt;14,"ERRO: "&amp;LEN(T123)&amp;" dígitos",IF(NOT(ISNUMBER(VALUE(T123))),"ERRO: não numérico",IF(LEN(SUBSTITUTE(T123,LEFT(T123,1),""))=0,"ERRO: dígitos repetidos",IF(AND(VALUE(MID(T123,13,1))=IF(MOD(SUMPRODUCT(--MID(T123,{1,2,3,4,5,6,7,8,9,10,11,12},1),{5,4,3,2,9,8,7,6,5,4,3,2}),11)&lt;2,0,11-MOD(SUMPRODUCT(--MID(T123,{1,2,3,4,5,6,7,8,9,10,11,12},1),{5,4,3,2,9,8,7,6,5,4,3,2}),11)),VALUE(MID(T123,14,1))=IF(MOD(SUMPRODUCT(--MID(T123,{1,2,3,4,5,6,7,8,9,10,11,12,13},1),{6,5,4,3,2,9,8,7,6,5,4,3,2}),11)&lt;2,0,11-MOD(SUMPRODUCT(--MID(T123,{1,2,3,4,5,6,7,8,9,10,11,12,13},1),{6,5,4,3,2,9,8,7,6,5,4,3,2}),11))),"OK","ERRO: dígito verificador")))))</f>
      </c>
      <c r="V123" s="6">
        <f>IF(T123="","",IF(COUNTIF($T$2:$T$1001,T123)&gt;1,"DUPLICADO","OK"))</f>
      </c>
      <c r="W123" s="6">
        <f>IF(M123="","vazio",IF(OR(AND(LEN(SUBSTITUTE(SUBSTITUTE(SUBSTITUTE(SUBSTITUTE(SUBSTITUTE(SUBSTITUTE(SUBSTITUTE(TRIM(M123),".",""),"/",""),"-","")," ",""),"(",""),")",""),"+",""))=10,LEFT(SUBSTITUTE(SUBSTITUTE(SUBSTITUTE(SUBSTITUTE(SUBSTITUTE(SUBSTITUTE(SUBSTITUTE(TRIM(M123),".",""),"/",""),"-","")," ",""),"(",""),")",""),"+",""),1)&lt;&gt;"0"),AND(LEN(SUBSTITUTE(SUBSTITUTE(SUBSTITUTE(SUBSTITUTE(SUBSTITUTE(SUBSTITUTE(SUBSTITUTE(TRIM(M123),".",""),"/",""),"-","")," ",""),"(",""),")",""),"+",""))=11,LEFT(SUBSTITUTE(SUBSTITUTE(SUBSTITUTE(SUBSTITUTE(SUBSTITUTE(SUBSTITUTE(SUBSTITUTE(TRIM(M123),".",""),"/",""),"-","")," ",""),"(",""),")",""),"+",""),4)="0800")),"OK",IF(AND(LEN(SUBSTITUTE(SUBSTITUTE(SUBSTITUTE(SUBSTITUTE(SUBSTITUTE(SUBSTITUTE(SUBSTITUTE(TRIM(M123),".",""),"/",""),"-","")," ",""),"(",""),")",""),"+",""))=11,MID(SUBSTITUTE(SUBSTITUTE(SUBSTITUTE(SUBSTITUTE(SUBSTITUTE(SUBSTITUTE(SUBSTITUTE(TRIM(M123),".",""),"/",""),"-","")," ",""),"(",""),")",""),"+",""),3,1)="9"),"ERRO: é celular, use a coluna Celular","ERRO: DDD + 8 dígitos ou 0800 + 7")))</f>
      </c>
      <c r="X123" s="6">
        <f>IF(N123="","vazio",IF(AND(LEN(SUBSTITUTE(SUBSTITUTE(SUBSTITUTE(SUBSTITUTE(SUBSTITUTE(SUBSTITUTE(SUBSTITUTE(TRIM(N123),".",""),"/",""),"-","")," ",""),"(",""),")",""),"+",""))=11,MID(SUBSTITUTE(SUBSTITUTE(SUBSTITUTE(SUBSTITUTE(SUBSTITUTE(SUBSTITUTE(SUBSTITUTE(TRIM(N123),".",""),"/",""),"-","")," ",""),"(",""),")",""),"+",""),3,1)="9",LEFT(SUBSTITUTE(SUBSTITUTE(SUBSTITUTE(SUBSTITUTE(SUBSTITUTE(SUBSTITUTE(SUBSTITUTE(TRIM(N123),".",""),"/",""),"-","")," ",""),"(",""),")",""),"+",""),1)&lt;&gt;"0"),"OK",IF(LEN(SUBSTITUTE(SUBSTITUTE(SUBSTITUTE(SUBSTITUTE(SUBSTITUTE(SUBSTITUTE(SUBSTITUTE(TRIM(N123),".",""),"/",""),"-","")," ",""),"(",""),")",""),"+",""))=10,"ERRO: é fixo (ou falta o 9), use a coluna Telefone fixo","ERRO: DDD + 9 + 8 dígitos")))</f>
      </c>
      <c r="Y123" s="6">
        <f>IF(O123="","vazio",IF(AND(ISNUMBER(FIND("@",O123)),ISNUMBER(FIND(".",MID(O123,FIND("@",O123),99))),NOT(ISNUMBER(FIND(" ",TRIM(O123)))),NOT(ISNUMBER(FIND(";",O123))),NOT(ISNUMBER(FIND(",",O123)))),"OK","ERRO: um e-mail válido por linha"))</f>
      </c>
      <c r="Z123" s="6">
        <f>IF(AND(J123="",K123=""),"",IF(AND(J123&lt;&gt;"",K123&lt;&gt;""),"OK","pendente: só um nome (o GR completa ao converter)"))</f>
      </c>
      <c r="AA123" s="6">
        <f>IF(COUNTA(A123:S123)=0,"",IF(AND(A123&lt;&gt;"",B123&lt;&gt;"",C123&lt;&gt;"",D123&lt;&gt;"",E123&lt;&gt;"",F123&lt;&gt;"",G123&lt;&gt;"",H123&lt;&gt;"",OR(J123&lt;&gt;"",K123&lt;&gt;""),OR(M123&lt;&gt;"",N123&lt;&gt;"",O123&lt;&gt;"")),"OK","ERRO: faltam "&amp;IF(A123="","SDR; ","")&amp;IF(B123="","Proprietário; ","")&amp;IF(C123="","Origem; ","")&amp;IF(D123="","Temperatura; ","")&amp;IF(E123="","Segmento; ","")&amp;IF(F123="","Time/Cluster; ","")&amp;IF(G123="","CNPJ; ","")&amp;IF(H123="","Razão Social; ","")&amp;IF(AND(J123="",K123=""),"nome do contato; ","")&amp;IF(AND(M123="",N123="",O123=""),"telefone, celular ou e-mail; ","")))</f>
      </c>
      <c r="AB123" s="6">
        <f>IF(COUNTA(A123:S123)=0,"",IF(AND(U123="OK",V123="OK",LEFT(W123,4)&lt;&gt;"ERRO",LEFT(X123,4)&lt;&gt;"ERRO",LEFT(Y123,4)&lt;&gt;"ERRO",AA123="OK"),"OK","REVISAR"))</f>
      </c>
    </row>
    <row r="124">
      <c r="A124" s="5"/>
      <c r="B124" s="5"/>
      <c r="C124" s="5"/>
      <c r="D124" s="5"/>
      <c r="E124" s="5"/>
      <c r="F124" s="5"/>
      <c r="G124" s="5"/>
      <c r="H124" s="5"/>
      <c r="I124" s="4"/>
      <c r="J124" s="5"/>
      <c r="K124" s="4"/>
      <c r="L124" s="4"/>
      <c r="M124" s="4"/>
      <c r="N124" s="4"/>
      <c r="O124" s="4"/>
      <c r="P124" s="4"/>
      <c r="Q124" s="4"/>
      <c r="R124" s="4"/>
      <c r="S124" s="4"/>
      <c r="T124" s="6">
        <f>IF(G124="","",SUBSTITUTE(SUBSTITUTE(SUBSTITUTE(SUBSTITUTE(SUBSTITUTE(SUBSTITUTE(SUBSTITUTE(TRIM(G124),".",""),"/",""),"-","")," ",""),"(",""),")",""),"+",""))</f>
      </c>
      <c r="U124" s="6">
        <f>IF(T124="","",IF(LEN(T124)&lt;&gt;14,"ERRO: "&amp;LEN(T124)&amp;" dígitos",IF(NOT(ISNUMBER(VALUE(T124))),"ERRO: não numérico",IF(LEN(SUBSTITUTE(T124,LEFT(T124,1),""))=0,"ERRO: dígitos repetidos",IF(AND(VALUE(MID(T124,13,1))=IF(MOD(SUMPRODUCT(--MID(T124,{1,2,3,4,5,6,7,8,9,10,11,12},1),{5,4,3,2,9,8,7,6,5,4,3,2}),11)&lt;2,0,11-MOD(SUMPRODUCT(--MID(T124,{1,2,3,4,5,6,7,8,9,10,11,12},1),{5,4,3,2,9,8,7,6,5,4,3,2}),11)),VALUE(MID(T124,14,1))=IF(MOD(SUMPRODUCT(--MID(T124,{1,2,3,4,5,6,7,8,9,10,11,12,13},1),{6,5,4,3,2,9,8,7,6,5,4,3,2}),11)&lt;2,0,11-MOD(SUMPRODUCT(--MID(T124,{1,2,3,4,5,6,7,8,9,10,11,12,13},1),{6,5,4,3,2,9,8,7,6,5,4,3,2}),11))),"OK","ERRO: dígito verificador")))))</f>
      </c>
      <c r="V124" s="6">
        <f>IF(T124="","",IF(COUNTIF($T$2:$T$1001,T124)&gt;1,"DUPLICADO","OK"))</f>
      </c>
      <c r="W124" s="6">
        <f>IF(M124="","vazio",IF(OR(AND(LEN(SUBSTITUTE(SUBSTITUTE(SUBSTITUTE(SUBSTITUTE(SUBSTITUTE(SUBSTITUTE(SUBSTITUTE(TRIM(M124),".",""),"/",""),"-","")," ",""),"(",""),")",""),"+",""))=10,LEFT(SUBSTITUTE(SUBSTITUTE(SUBSTITUTE(SUBSTITUTE(SUBSTITUTE(SUBSTITUTE(SUBSTITUTE(TRIM(M124),".",""),"/",""),"-","")," ",""),"(",""),")",""),"+",""),1)&lt;&gt;"0"),AND(LEN(SUBSTITUTE(SUBSTITUTE(SUBSTITUTE(SUBSTITUTE(SUBSTITUTE(SUBSTITUTE(SUBSTITUTE(TRIM(M124),".",""),"/",""),"-","")," ",""),"(",""),")",""),"+",""))=11,LEFT(SUBSTITUTE(SUBSTITUTE(SUBSTITUTE(SUBSTITUTE(SUBSTITUTE(SUBSTITUTE(SUBSTITUTE(TRIM(M124),".",""),"/",""),"-","")," ",""),"(",""),")",""),"+",""),4)="0800")),"OK",IF(AND(LEN(SUBSTITUTE(SUBSTITUTE(SUBSTITUTE(SUBSTITUTE(SUBSTITUTE(SUBSTITUTE(SUBSTITUTE(TRIM(M124),".",""),"/",""),"-","")," ",""),"(",""),")",""),"+",""))=11,MID(SUBSTITUTE(SUBSTITUTE(SUBSTITUTE(SUBSTITUTE(SUBSTITUTE(SUBSTITUTE(SUBSTITUTE(TRIM(M124),".",""),"/",""),"-","")," ",""),"(",""),")",""),"+",""),3,1)="9"),"ERRO: é celular, use a coluna Celular","ERRO: DDD + 8 dígitos ou 0800 + 7")))</f>
      </c>
      <c r="X124" s="6">
        <f>IF(N124="","vazio",IF(AND(LEN(SUBSTITUTE(SUBSTITUTE(SUBSTITUTE(SUBSTITUTE(SUBSTITUTE(SUBSTITUTE(SUBSTITUTE(TRIM(N124),".",""),"/",""),"-","")," ",""),"(",""),")",""),"+",""))=11,MID(SUBSTITUTE(SUBSTITUTE(SUBSTITUTE(SUBSTITUTE(SUBSTITUTE(SUBSTITUTE(SUBSTITUTE(TRIM(N124),".",""),"/",""),"-","")," ",""),"(",""),")",""),"+",""),3,1)="9",LEFT(SUBSTITUTE(SUBSTITUTE(SUBSTITUTE(SUBSTITUTE(SUBSTITUTE(SUBSTITUTE(SUBSTITUTE(TRIM(N124),".",""),"/",""),"-","")," ",""),"(",""),")",""),"+",""),1)&lt;&gt;"0"),"OK",IF(LEN(SUBSTITUTE(SUBSTITUTE(SUBSTITUTE(SUBSTITUTE(SUBSTITUTE(SUBSTITUTE(SUBSTITUTE(TRIM(N124),".",""),"/",""),"-","")," ",""),"(",""),")",""),"+",""))=10,"ERRO: é fixo (ou falta o 9), use a coluna Telefone fixo","ERRO: DDD + 9 + 8 dígitos")))</f>
      </c>
      <c r="Y124" s="6">
        <f>IF(O124="","vazio",IF(AND(ISNUMBER(FIND("@",O124)),ISNUMBER(FIND(".",MID(O124,FIND("@",O124),99))),NOT(ISNUMBER(FIND(" ",TRIM(O124)))),NOT(ISNUMBER(FIND(";",O124))),NOT(ISNUMBER(FIND(",",O124)))),"OK","ERRO: um e-mail válido por linha"))</f>
      </c>
      <c r="Z124" s="6">
        <f>IF(AND(J124="",K124=""),"",IF(AND(J124&lt;&gt;"",K124&lt;&gt;""),"OK","pendente: só um nome (o GR completa ao converter)"))</f>
      </c>
      <c r="AA124" s="6">
        <f>IF(COUNTA(A124:S124)=0,"",IF(AND(A124&lt;&gt;"",B124&lt;&gt;"",C124&lt;&gt;"",D124&lt;&gt;"",E124&lt;&gt;"",F124&lt;&gt;"",G124&lt;&gt;"",H124&lt;&gt;"",OR(J124&lt;&gt;"",K124&lt;&gt;""),OR(M124&lt;&gt;"",N124&lt;&gt;"",O124&lt;&gt;"")),"OK","ERRO: faltam "&amp;IF(A124="","SDR; ","")&amp;IF(B124="","Proprietário; ","")&amp;IF(C124="","Origem; ","")&amp;IF(D124="","Temperatura; ","")&amp;IF(E124="","Segmento; ","")&amp;IF(F124="","Time/Cluster; ","")&amp;IF(G124="","CNPJ; ","")&amp;IF(H124="","Razão Social; ","")&amp;IF(AND(J124="",K124=""),"nome do contato; ","")&amp;IF(AND(M124="",N124="",O124=""),"telefone, celular ou e-mail; ","")))</f>
      </c>
      <c r="AB124" s="6">
        <f>IF(COUNTA(A124:S124)=0,"",IF(AND(U124="OK",V124="OK",LEFT(W124,4)&lt;&gt;"ERRO",LEFT(X124,4)&lt;&gt;"ERRO",LEFT(Y124,4)&lt;&gt;"ERRO",AA124="OK"),"OK","REVISAR"))</f>
      </c>
    </row>
    <row r="125">
      <c r="A125" s="5"/>
      <c r="B125" s="5"/>
      <c r="C125" s="5"/>
      <c r="D125" s="5"/>
      <c r="E125" s="5"/>
      <c r="F125" s="5"/>
      <c r="G125" s="5"/>
      <c r="H125" s="5"/>
      <c r="I125" s="4"/>
      <c r="J125" s="5"/>
      <c r="K125" s="4"/>
      <c r="L125" s="4"/>
      <c r="M125" s="4"/>
      <c r="N125" s="4"/>
      <c r="O125" s="4"/>
      <c r="P125" s="4"/>
      <c r="Q125" s="4"/>
      <c r="R125" s="4"/>
      <c r="S125" s="4"/>
      <c r="T125" s="6">
        <f>IF(G125="","",SUBSTITUTE(SUBSTITUTE(SUBSTITUTE(SUBSTITUTE(SUBSTITUTE(SUBSTITUTE(SUBSTITUTE(TRIM(G125),".",""),"/",""),"-","")," ",""),"(",""),")",""),"+",""))</f>
      </c>
      <c r="U125" s="6">
        <f>IF(T125="","",IF(LEN(T125)&lt;&gt;14,"ERRO: "&amp;LEN(T125)&amp;" dígitos",IF(NOT(ISNUMBER(VALUE(T125))),"ERRO: não numérico",IF(LEN(SUBSTITUTE(T125,LEFT(T125,1),""))=0,"ERRO: dígitos repetidos",IF(AND(VALUE(MID(T125,13,1))=IF(MOD(SUMPRODUCT(--MID(T125,{1,2,3,4,5,6,7,8,9,10,11,12},1),{5,4,3,2,9,8,7,6,5,4,3,2}),11)&lt;2,0,11-MOD(SUMPRODUCT(--MID(T125,{1,2,3,4,5,6,7,8,9,10,11,12},1),{5,4,3,2,9,8,7,6,5,4,3,2}),11)),VALUE(MID(T125,14,1))=IF(MOD(SUMPRODUCT(--MID(T125,{1,2,3,4,5,6,7,8,9,10,11,12,13},1),{6,5,4,3,2,9,8,7,6,5,4,3,2}),11)&lt;2,0,11-MOD(SUMPRODUCT(--MID(T125,{1,2,3,4,5,6,7,8,9,10,11,12,13},1),{6,5,4,3,2,9,8,7,6,5,4,3,2}),11))),"OK","ERRO: dígito verificador")))))</f>
      </c>
      <c r="V125" s="6">
        <f>IF(T125="","",IF(COUNTIF($T$2:$T$1001,T125)&gt;1,"DUPLICADO","OK"))</f>
      </c>
      <c r="W125" s="6">
        <f>IF(M125="","vazio",IF(OR(AND(LEN(SUBSTITUTE(SUBSTITUTE(SUBSTITUTE(SUBSTITUTE(SUBSTITUTE(SUBSTITUTE(SUBSTITUTE(TRIM(M125),".",""),"/",""),"-","")," ",""),"(",""),")",""),"+",""))=10,LEFT(SUBSTITUTE(SUBSTITUTE(SUBSTITUTE(SUBSTITUTE(SUBSTITUTE(SUBSTITUTE(SUBSTITUTE(TRIM(M125),".",""),"/",""),"-","")," ",""),"(",""),")",""),"+",""),1)&lt;&gt;"0"),AND(LEN(SUBSTITUTE(SUBSTITUTE(SUBSTITUTE(SUBSTITUTE(SUBSTITUTE(SUBSTITUTE(SUBSTITUTE(TRIM(M125),".",""),"/",""),"-","")," ",""),"(",""),")",""),"+",""))=11,LEFT(SUBSTITUTE(SUBSTITUTE(SUBSTITUTE(SUBSTITUTE(SUBSTITUTE(SUBSTITUTE(SUBSTITUTE(TRIM(M125),".",""),"/",""),"-","")," ",""),"(",""),")",""),"+",""),4)="0800")),"OK",IF(AND(LEN(SUBSTITUTE(SUBSTITUTE(SUBSTITUTE(SUBSTITUTE(SUBSTITUTE(SUBSTITUTE(SUBSTITUTE(TRIM(M125),".",""),"/",""),"-","")," ",""),"(",""),")",""),"+",""))=11,MID(SUBSTITUTE(SUBSTITUTE(SUBSTITUTE(SUBSTITUTE(SUBSTITUTE(SUBSTITUTE(SUBSTITUTE(TRIM(M125),".",""),"/",""),"-","")," ",""),"(",""),")",""),"+",""),3,1)="9"),"ERRO: é celular, use a coluna Celular","ERRO: DDD + 8 dígitos ou 0800 + 7")))</f>
      </c>
      <c r="X125" s="6">
        <f>IF(N125="","vazio",IF(AND(LEN(SUBSTITUTE(SUBSTITUTE(SUBSTITUTE(SUBSTITUTE(SUBSTITUTE(SUBSTITUTE(SUBSTITUTE(TRIM(N125),".",""),"/",""),"-","")," ",""),"(",""),")",""),"+",""))=11,MID(SUBSTITUTE(SUBSTITUTE(SUBSTITUTE(SUBSTITUTE(SUBSTITUTE(SUBSTITUTE(SUBSTITUTE(TRIM(N125),".",""),"/",""),"-","")," ",""),"(",""),")",""),"+",""),3,1)="9",LEFT(SUBSTITUTE(SUBSTITUTE(SUBSTITUTE(SUBSTITUTE(SUBSTITUTE(SUBSTITUTE(SUBSTITUTE(TRIM(N125),".",""),"/",""),"-","")," ",""),"(",""),")",""),"+",""),1)&lt;&gt;"0"),"OK",IF(LEN(SUBSTITUTE(SUBSTITUTE(SUBSTITUTE(SUBSTITUTE(SUBSTITUTE(SUBSTITUTE(SUBSTITUTE(TRIM(N125),".",""),"/",""),"-","")," ",""),"(",""),")",""),"+",""))=10,"ERRO: é fixo (ou falta o 9), use a coluna Telefone fixo","ERRO: DDD + 9 + 8 dígitos")))</f>
      </c>
      <c r="Y125" s="6">
        <f>IF(O125="","vazio",IF(AND(ISNUMBER(FIND("@",O125)),ISNUMBER(FIND(".",MID(O125,FIND("@",O125),99))),NOT(ISNUMBER(FIND(" ",TRIM(O125)))),NOT(ISNUMBER(FIND(";",O125))),NOT(ISNUMBER(FIND(",",O125)))),"OK","ERRO: um e-mail válido por linha"))</f>
      </c>
      <c r="Z125" s="6">
        <f>IF(AND(J125="",K125=""),"",IF(AND(J125&lt;&gt;"",K125&lt;&gt;""),"OK","pendente: só um nome (o GR completa ao converter)"))</f>
      </c>
      <c r="AA125" s="6">
        <f>IF(COUNTA(A125:S125)=0,"",IF(AND(A125&lt;&gt;"",B125&lt;&gt;"",C125&lt;&gt;"",D125&lt;&gt;"",E125&lt;&gt;"",F125&lt;&gt;"",G125&lt;&gt;"",H125&lt;&gt;"",OR(J125&lt;&gt;"",K125&lt;&gt;""),OR(M125&lt;&gt;"",N125&lt;&gt;"",O125&lt;&gt;"")),"OK","ERRO: faltam "&amp;IF(A125="","SDR; ","")&amp;IF(B125="","Proprietário; ","")&amp;IF(C125="","Origem; ","")&amp;IF(D125="","Temperatura; ","")&amp;IF(E125="","Segmento; ","")&amp;IF(F125="","Time/Cluster; ","")&amp;IF(G125="","CNPJ; ","")&amp;IF(H125="","Razão Social; ","")&amp;IF(AND(J125="",K125=""),"nome do contato; ","")&amp;IF(AND(M125="",N125="",O125=""),"telefone, celular ou e-mail; ","")))</f>
      </c>
      <c r="AB125" s="6">
        <f>IF(COUNTA(A125:S125)=0,"",IF(AND(U125="OK",V125="OK",LEFT(W125,4)&lt;&gt;"ERRO",LEFT(X125,4)&lt;&gt;"ERRO",LEFT(Y125,4)&lt;&gt;"ERRO",AA125="OK"),"OK","REVISAR"))</f>
      </c>
    </row>
    <row r="126">
      <c r="A126" s="5"/>
      <c r="B126" s="5"/>
      <c r="C126" s="5"/>
      <c r="D126" s="5"/>
      <c r="E126" s="5"/>
      <c r="F126" s="5"/>
      <c r="G126" s="5"/>
      <c r="H126" s="5"/>
      <c r="I126" s="4"/>
      <c r="J126" s="5"/>
      <c r="K126" s="4"/>
      <c r="L126" s="4"/>
      <c r="M126" s="4"/>
      <c r="N126" s="4"/>
      <c r="O126" s="4"/>
      <c r="P126" s="4"/>
      <c r="Q126" s="4"/>
      <c r="R126" s="4"/>
      <c r="S126" s="4"/>
      <c r="T126" s="6">
        <f>IF(G126="","",SUBSTITUTE(SUBSTITUTE(SUBSTITUTE(SUBSTITUTE(SUBSTITUTE(SUBSTITUTE(SUBSTITUTE(TRIM(G126),".",""),"/",""),"-","")," ",""),"(",""),")",""),"+",""))</f>
      </c>
      <c r="U126" s="6">
        <f>IF(T126="","",IF(LEN(T126)&lt;&gt;14,"ERRO: "&amp;LEN(T126)&amp;" dígitos",IF(NOT(ISNUMBER(VALUE(T126))),"ERRO: não numérico",IF(LEN(SUBSTITUTE(T126,LEFT(T126,1),""))=0,"ERRO: dígitos repetidos",IF(AND(VALUE(MID(T126,13,1))=IF(MOD(SUMPRODUCT(--MID(T126,{1,2,3,4,5,6,7,8,9,10,11,12},1),{5,4,3,2,9,8,7,6,5,4,3,2}),11)&lt;2,0,11-MOD(SUMPRODUCT(--MID(T126,{1,2,3,4,5,6,7,8,9,10,11,12},1),{5,4,3,2,9,8,7,6,5,4,3,2}),11)),VALUE(MID(T126,14,1))=IF(MOD(SUMPRODUCT(--MID(T126,{1,2,3,4,5,6,7,8,9,10,11,12,13},1),{6,5,4,3,2,9,8,7,6,5,4,3,2}),11)&lt;2,0,11-MOD(SUMPRODUCT(--MID(T126,{1,2,3,4,5,6,7,8,9,10,11,12,13},1),{6,5,4,3,2,9,8,7,6,5,4,3,2}),11))),"OK","ERRO: dígito verificador")))))</f>
      </c>
      <c r="V126" s="6">
        <f>IF(T126="","",IF(COUNTIF($T$2:$T$1001,T126)&gt;1,"DUPLICADO","OK"))</f>
      </c>
      <c r="W126" s="6">
        <f>IF(M126="","vazio",IF(OR(AND(LEN(SUBSTITUTE(SUBSTITUTE(SUBSTITUTE(SUBSTITUTE(SUBSTITUTE(SUBSTITUTE(SUBSTITUTE(TRIM(M126),".",""),"/",""),"-","")," ",""),"(",""),")",""),"+",""))=10,LEFT(SUBSTITUTE(SUBSTITUTE(SUBSTITUTE(SUBSTITUTE(SUBSTITUTE(SUBSTITUTE(SUBSTITUTE(TRIM(M126),".",""),"/",""),"-","")," ",""),"(",""),")",""),"+",""),1)&lt;&gt;"0"),AND(LEN(SUBSTITUTE(SUBSTITUTE(SUBSTITUTE(SUBSTITUTE(SUBSTITUTE(SUBSTITUTE(SUBSTITUTE(TRIM(M126),".",""),"/",""),"-","")," ",""),"(",""),")",""),"+",""))=11,LEFT(SUBSTITUTE(SUBSTITUTE(SUBSTITUTE(SUBSTITUTE(SUBSTITUTE(SUBSTITUTE(SUBSTITUTE(TRIM(M126),".",""),"/",""),"-","")," ",""),"(",""),")",""),"+",""),4)="0800")),"OK",IF(AND(LEN(SUBSTITUTE(SUBSTITUTE(SUBSTITUTE(SUBSTITUTE(SUBSTITUTE(SUBSTITUTE(SUBSTITUTE(TRIM(M126),".",""),"/",""),"-","")," ",""),"(",""),")",""),"+",""))=11,MID(SUBSTITUTE(SUBSTITUTE(SUBSTITUTE(SUBSTITUTE(SUBSTITUTE(SUBSTITUTE(SUBSTITUTE(TRIM(M126),".",""),"/",""),"-","")," ",""),"(",""),")",""),"+",""),3,1)="9"),"ERRO: é celular, use a coluna Celular","ERRO: DDD + 8 dígitos ou 0800 + 7")))</f>
      </c>
      <c r="X126" s="6">
        <f>IF(N126="","vazio",IF(AND(LEN(SUBSTITUTE(SUBSTITUTE(SUBSTITUTE(SUBSTITUTE(SUBSTITUTE(SUBSTITUTE(SUBSTITUTE(TRIM(N126),".",""),"/",""),"-","")," ",""),"(",""),")",""),"+",""))=11,MID(SUBSTITUTE(SUBSTITUTE(SUBSTITUTE(SUBSTITUTE(SUBSTITUTE(SUBSTITUTE(SUBSTITUTE(TRIM(N126),".",""),"/",""),"-","")," ",""),"(",""),")",""),"+",""),3,1)="9",LEFT(SUBSTITUTE(SUBSTITUTE(SUBSTITUTE(SUBSTITUTE(SUBSTITUTE(SUBSTITUTE(SUBSTITUTE(TRIM(N126),".",""),"/",""),"-","")," ",""),"(",""),")",""),"+",""),1)&lt;&gt;"0"),"OK",IF(LEN(SUBSTITUTE(SUBSTITUTE(SUBSTITUTE(SUBSTITUTE(SUBSTITUTE(SUBSTITUTE(SUBSTITUTE(TRIM(N126),".",""),"/",""),"-","")," ",""),"(",""),")",""),"+",""))=10,"ERRO: é fixo (ou falta o 9), use a coluna Telefone fixo","ERRO: DDD + 9 + 8 dígitos")))</f>
      </c>
      <c r="Y126" s="6">
        <f>IF(O126="","vazio",IF(AND(ISNUMBER(FIND("@",O126)),ISNUMBER(FIND(".",MID(O126,FIND("@",O126),99))),NOT(ISNUMBER(FIND(" ",TRIM(O126)))),NOT(ISNUMBER(FIND(";",O126))),NOT(ISNUMBER(FIND(",",O126)))),"OK","ERRO: um e-mail válido por linha"))</f>
      </c>
      <c r="Z126" s="6">
        <f>IF(AND(J126="",K126=""),"",IF(AND(J126&lt;&gt;"",K126&lt;&gt;""),"OK","pendente: só um nome (o GR completa ao converter)"))</f>
      </c>
      <c r="AA126" s="6">
        <f>IF(COUNTA(A126:S126)=0,"",IF(AND(A126&lt;&gt;"",B126&lt;&gt;"",C126&lt;&gt;"",D126&lt;&gt;"",E126&lt;&gt;"",F126&lt;&gt;"",G126&lt;&gt;"",H126&lt;&gt;"",OR(J126&lt;&gt;"",K126&lt;&gt;""),OR(M126&lt;&gt;"",N126&lt;&gt;"",O126&lt;&gt;"")),"OK","ERRO: faltam "&amp;IF(A126="","SDR; ","")&amp;IF(B126="","Proprietário; ","")&amp;IF(C126="","Origem; ","")&amp;IF(D126="","Temperatura; ","")&amp;IF(E126="","Segmento; ","")&amp;IF(F126="","Time/Cluster; ","")&amp;IF(G126="","CNPJ; ","")&amp;IF(H126="","Razão Social; ","")&amp;IF(AND(J126="",K126=""),"nome do contato; ","")&amp;IF(AND(M126="",N126="",O126=""),"telefone, celular ou e-mail; ","")))</f>
      </c>
      <c r="AB126" s="6">
        <f>IF(COUNTA(A126:S126)=0,"",IF(AND(U126="OK",V126="OK",LEFT(W126,4)&lt;&gt;"ERRO",LEFT(X126,4)&lt;&gt;"ERRO",LEFT(Y126,4)&lt;&gt;"ERRO",AA126="OK"),"OK","REVISAR"))</f>
      </c>
    </row>
    <row r="127">
      <c r="A127" s="5"/>
      <c r="B127" s="5"/>
      <c r="C127" s="5"/>
      <c r="D127" s="5"/>
      <c r="E127" s="5"/>
      <c r="F127" s="5"/>
      <c r="G127" s="5"/>
      <c r="H127" s="5"/>
      <c r="I127" s="4"/>
      <c r="J127" s="5"/>
      <c r="K127" s="4"/>
      <c r="L127" s="4"/>
      <c r="M127" s="4"/>
      <c r="N127" s="4"/>
      <c r="O127" s="4"/>
      <c r="P127" s="4"/>
      <c r="Q127" s="4"/>
      <c r="R127" s="4"/>
      <c r="S127" s="4"/>
      <c r="T127" s="6">
        <f>IF(G127="","",SUBSTITUTE(SUBSTITUTE(SUBSTITUTE(SUBSTITUTE(SUBSTITUTE(SUBSTITUTE(SUBSTITUTE(TRIM(G127),".",""),"/",""),"-","")," ",""),"(",""),")",""),"+",""))</f>
      </c>
      <c r="U127" s="6">
        <f>IF(T127="","",IF(LEN(T127)&lt;&gt;14,"ERRO: "&amp;LEN(T127)&amp;" dígitos",IF(NOT(ISNUMBER(VALUE(T127))),"ERRO: não numérico",IF(LEN(SUBSTITUTE(T127,LEFT(T127,1),""))=0,"ERRO: dígitos repetidos",IF(AND(VALUE(MID(T127,13,1))=IF(MOD(SUMPRODUCT(--MID(T127,{1,2,3,4,5,6,7,8,9,10,11,12},1),{5,4,3,2,9,8,7,6,5,4,3,2}),11)&lt;2,0,11-MOD(SUMPRODUCT(--MID(T127,{1,2,3,4,5,6,7,8,9,10,11,12},1),{5,4,3,2,9,8,7,6,5,4,3,2}),11)),VALUE(MID(T127,14,1))=IF(MOD(SUMPRODUCT(--MID(T127,{1,2,3,4,5,6,7,8,9,10,11,12,13},1),{6,5,4,3,2,9,8,7,6,5,4,3,2}),11)&lt;2,0,11-MOD(SUMPRODUCT(--MID(T127,{1,2,3,4,5,6,7,8,9,10,11,12,13},1),{6,5,4,3,2,9,8,7,6,5,4,3,2}),11))),"OK","ERRO: dígito verificador")))))</f>
      </c>
      <c r="V127" s="6">
        <f>IF(T127="","",IF(COUNTIF($T$2:$T$1001,T127)&gt;1,"DUPLICADO","OK"))</f>
      </c>
      <c r="W127" s="6">
        <f>IF(M127="","vazio",IF(OR(AND(LEN(SUBSTITUTE(SUBSTITUTE(SUBSTITUTE(SUBSTITUTE(SUBSTITUTE(SUBSTITUTE(SUBSTITUTE(TRIM(M127),".",""),"/",""),"-","")," ",""),"(",""),")",""),"+",""))=10,LEFT(SUBSTITUTE(SUBSTITUTE(SUBSTITUTE(SUBSTITUTE(SUBSTITUTE(SUBSTITUTE(SUBSTITUTE(TRIM(M127),".",""),"/",""),"-","")," ",""),"(",""),")",""),"+",""),1)&lt;&gt;"0"),AND(LEN(SUBSTITUTE(SUBSTITUTE(SUBSTITUTE(SUBSTITUTE(SUBSTITUTE(SUBSTITUTE(SUBSTITUTE(TRIM(M127),".",""),"/",""),"-","")," ",""),"(",""),")",""),"+",""))=11,LEFT(SUBSTITUTE(SUBSTITUTE(SUBSTITUTE(SUBSTITUTE(SUBSTITUTE(SUBSTITUTE(SUBSTITUTE(TRIM(M127),".",""),"/",""),"-","")," ",""),"(",""),")",""),"+",""),4)="0800")),"OK",IF(AND(LEN(SUBSTITUTE(SUBSTITUTE(SUBSTITUTE(SUBSTITUTE(SUBSTITUTE(SUBSTITUTE(SUBSTITUTE(TRIM(M127),".",""),"/",""),"-","")," ",""),"(",""),")",""),"+",""))=11,MID(SUBSTITUTE(SUBSTITUTE(SUBSTITUTE(SUBSTITUTE(SUBSTITUTE(SUBSTITUTE(SUBSTITUTE(TRIM(M127),".",""),"/",""),"-","")," ",""),"(",""),")",""),"+",""),3,1)="9"),"ERRO: é celular, use a coluna Celular","ERRO: DDD + 8 dígitos ou 0800 + 7")))</f>
      </c>
      <c r="X127" s="6">
        <f>IF(N127="","vazio",IF(AND(LEN(SUBSTITUTE(SUBSTITUTE(SUBSTITUTE(SUBSTITUTE(SUBSTITUTE(SUBSTITUTE(SUBSTITUTE(TRIM(N127),".",""),"/",""),"-","")," ",""),"(",""),")",""),"+",""))=11,MID(SUBSTITUTE(SUBSTITUTE(SUBSTITUTE(SUBSTITUTE(SUBSTITUTE(SUBSTITUTE(SUBSTITUTE(TRIM(N127),".",""),"/",""),"-","")," ",""),"(",""),")",""),"+",""),3,1)="9",LEFT(SUBSTITUTE(SUBSTITUTE(SUBSTITUTE(SUBSTITUTE(SUBSTITUTE(SUBSTITUTE(SUBSTITUTE(TRIM(N127),".",""),"/",""),"-","")," ",""),"(",""),")",""),"+",""),1)&lt;&gt;"0"),"OK",IF(LEN(SUBSTITUTE(SUBSTITUTE(SUBSTITUTE(SUBSTITUTE(SUBSTITUTE(SUBSTITUTE(SUBSTITUTE(TRIM(N127),".",""),"/",""),"-","")," ",""),"(",""),")",""),"+",""))=10,"ERRO: é fixo (ou falta o 9), use a coluna Telefone fixo","ERRO: DDD + 9 + 8 dígitos")))</f>
      </c>
      <c r="Y127" s="6">
        <f>IF(O127="","vazio",IF(AND(ISNUMBER(FIND("@",O127)),ISNUMBER(FIND(".",MID(O127,FIND("@",O127),99))),NOT(ISNUMBER(FIND(" ",TRIM(O127)))),NOT(ISNUMBER(FIND(";",O127))),NOT(ISNUMBER(FIND(",",O127)))),"OK","ERRO: um e-mail válido por linha"))</f>
      </c>
      <c r="Z127" s="6">
        <f>IF(AND(J127="",K127=""),"",IF(AND(J127&lt;&gt;"",K127&lt;&gt;""),"OK","pendente: só um nome (o GR completa ao converter)"))</f>
      </c>
      <c r="AA127" s="6">
        <f>IF(COUNTA(A127:S127)=0,"",IF(AND(A127&lt;&gt;"",B127&lt;&gt;"",C127&lt;&gt;"",D127&lt;&gt;"",E127&lt;&gt;"",F127&lt;&gt;"",G127&lt;&gt;"",H127&lt;&gt;"",OR(J127&lt;&gt;"",K127&lt;&gt;""),OR(M127&lt;&gt;"",N127&lt;&gt;"",O127&lt;&gt;"")),"OK","ERRO: faltam "&amp;IF(A127="","SDR; ","")&amp;IF(B127="","Proprietário; ","")&amp;IF(C127="","Origem; ","")&amp;IF(D127="","Temperatura; ","")&amp;IF(E127="","Segmento; ","")&amp;IF(F127="","Time/Cluster; ","")&amp;IF(G127="","CNPJ; ","")&amp;IF(H127="","Razão Social; ","")&amp;IF(AND(J127="",K127=""),"nome do contato; ","")&amp;IF(AND(M127="",N127="",O127=""),"telefone, celular ou e-mail; ","")))</f>
      </c>
      <c r="AB127" s="6">
        <f>IF(COUNTA(A127:S127)=0,"",IF(AND(U127="OK",V127="OK",LEFT(W127,4)&lt;&gt;"ERRO",LEFT(X127,4)&lt;&gt;"ERRO",LEFT(Y127,4)&lt;&gt;"ERRO",AA127="OK"),"OK","REVISAR"))</f>
      </c>
    </row>
    <row r="128">
      <c r="A128" s="5"/>
      <c r="B128" s="5"/>
      <c r="C128" s="5"/>
      <c r="D128" s="5"/>
      <c r="E128" s="5"/>
      <c r="F128" s="5"/>
      <c r="G128" s="5"/>
      <c r="H128" s="5"/>
      <c r="I128" s="4"/>
      <c r="J128" s="5"/>
      <c r="K128" s="4"/>
      <c r="L128" s="4"/>
      <c r="M128" s="4"/>
      <c r="N128" s="4"/>
      <c r="O128" s="4"/>
      <c r="P128" s="4"/>
      <c r="Q128" s="4"/>
      <c r="R128" s="4"/>
      <c r="S128" s="4"/>
      <c r="T128" s="6">
        <f>IF(G128="","",SUBSTITUTE(SUBSTITUTE(SUBSTITUTE(SUBSTITUTE(SUBSTITUTE(SUBSTITUTE(SUBSTITUTE(TRIM(G128),".",""),"/",""),"-","")," ",""),"(",""),")",""),"+",""))</f>
      </c>
      <c r="U128" s="6">
        <f>IF(T128="","",IF(LEN(T128)&lt;&gt;14,"ERRO: "&amp;LEN(T128)&amp;" dígitos",IF(NOT(ISNUMBER(VALUE(T128))),"ERRO: não numérico",IF(LEN(SUBSTITUTE(T128,LEFT(T128,1),""))=0,"ERRO: dígitos repetidos",IF(AND(VALUE(MID(T128,13,1))=IF(MOD(SUMPRODUCT(--MID(T128,{1,2,3,4,5,6,7,8,9,10,11,12},1),{5,4,3,2,9,8,7,6,5,4,3,2}),11)&lt;2,0,11-MOD(SUMPRODUCT(--MID(T128,{1,2,3,4,5,6,7,8,9,10,11,12},1),{5,4,3,2,9,8,7,6,5,4,3,2}),11)),VALUE(MID(T128,14,1))=IF(MOD(SUMPRODUCT(--MID(T128,{1,2,3,4,5,6,7,8,9,10,11,12,13},1),{6,5,4,3,2,9,8,7,6,5,4,3,2}),11)&lt;2,0,11-MOD(SUMPRODUCT(--MID(T128,{1,2,3,4,5,6,7,8,9,10,11,12,13},1),{6,5,4,3,2,9,8,7,6,5,4,3,2}),11))),"OK","ERRO: dígito verificador")))))</f>
      </c>
      <c r="V128" s="6">
        <f>IF(T128="","",IF(COUNTIF($T$2:$T$1001,T128)&gt;1,"DUPLICADO","OK"))</f>
      </c>
      <c r="W128" s="6">
        <f>IF(M128="","vazio",IF(OR(AND(LEN(SUBSTITUTE(SUBSTITUTE(SUBSTITUTE(SUBSTITUTE(SUBSTITUTE(SUBSTITUTE(SUBSTITUTE(TRIM(M128),".",""),"/",""),"-","")," ",""),"(",""),")",""),"+",""))=10,LEFT(SUBSTITUTE(SUBSTITUTE(SUBSTITUTE(SUBSTITUTE(SUBSTITUTE(SUBSTITUTE(SUBSTITUTE(TRIM(M128),".",""),"/",""),"-","")," ",""),"(",""),")",""),"+",""),1)&lt;&gt;"0"),AND(LEN(SUBSTITUTE(SUBSTITUTE(SUBSTITUTE(SUBSTITUTE(SUBSTITUTE(SUBSTITUTE(SUBSTITUTE(TRIM(M128),".",""),"/",""),"-","")," ",""),"(",""),")",""),"+",""))=11,LEFT(SUBSTITUTE(SUBSTITUTE(SUBSTITUTE(SUBSTITUTE(SUBSTITUTE(SUBSTITUTE(SUBSTITUTE(TRIM(M128),".",""),"/",""),"-","")," ",""),"(",""),")",""),"+",""),4)="0800")),"OK",IF(AND(LEN(SUBSTITUTE(SUBSTITUTE(SUBSTITUTE(SUBSTITUTE(SUBSTITUTE(SUBSTITUTE(SUBSTITUTE(TRIM(M128),".",""),"/",""),"-","")," ",""),"(",""),")",""),"+",""))=11,MID(SUBSTITUTE(SUBSTITUTE(SUBSTITUTE(SUBSTITUTE(SUBSTITUTE(SUBSTITUTE(SUBSTITUTE(TRIM(M128),".",""),"/",""),"-","")," ",""),"(",""),")",""),"+",""),3,1)="9"),"ERRO: é celular, use a coluna Celular","ERRO: DDD + 8 dígitos ou 0800 + 7")))</f>
      </c>
      <c r="X128" s="6">
        <f>IF(N128="","vazio",IF(AND(LEN(SUBSTITUTE(SUBSTITUTE(SUBSTITUTE(SUBSTITUTE(SUBSTITUTE(SUBSTITUTE(SUBSTITUTE(TRIM(N128),".",""),"/",""),"-","")," ",""),"(",""),")",""),"+",""))=11,MID(SUBSTITUTE(SUBSTITUTE(SUBSTITUTE(SUBSTITUTE(SUBSTITUTE(SUBSTITUTE(SUBSTITUTE(TRIM(N128),".",""),"/",""),"-","")," ",""),"(",""),")",""),"+",""),3,1)="9",LEFT(SUBSTITUTE(SUBSTITUTE(SUBSTITUTE(SUBSTITUTE(SUBSTITUTE(SUBSTITUTE(SUBSTITUTE(TRIM(N128),".",""),"/",""),"-","")," ",""),"(",""),")",""),"+",""),1)&lt;&gt;"0"),"OK",IF(LEN(SUBSTITUTE(SUBSTITUTE(SUBSTITUTE(SUBSTITUTE(SUBSTITUTE(SUBSTITUTE(SUBSTITUTE(TRIM(N128),".",""),"/",""),"-","")," ",""),"(",""),")",""),"+",""))=10,"ERRO: é fixo (ou falta o 9), use a coluna Telefone fixo","ERRO: DDD + 9 + 8 dígitos")))</f>
      </c>
      <c r="Y128" s="6">
        <f>IF(O128="","vazio",IF(AND(ISNUMBER(FIND("@",O128)),ISNUMBER(FIND(".",MID(O128,FIND("@",O128),99))),NOT(ISNUMBER(FIND(" ",TRIM(O128)))),NOT(ISNUMBER(FIND(";",O128))),NOT(ISNUMBER(FIND(",",O128)))),"OK","ERRO: um e-mail válido por linha"))</f>
      </c>
      <c r="Z128" s="6">
        <f>IF(AND(J128="",K128=""),"",IF(AND(J128&lt;&gt;"",K128&lt;&gt;""),"OK","pendente: só um nome (o GR completa ao converter)"))</f>
      </c>
      <c r="AA128" s="6">
        <f>IF(COUNTA(A128:S128)=0,"",IF(AND(A128&lt;&gt;"",B128&lt;&gt;"",C128&lt;&gt;"",D128&lt;&gt;"",E128&lt;&gt;"",F128&lt;&gt;"",G128&lt;&gt;"",H128&lt;&gt;"",OR(J128&lt;&gt;"",K128&lt;&gt;""),OR(M128&lt;&gt;"",N128&lt;&gt;"",O128&lt;&gt;"")),"OK","ERRO: faltam "&amp;IF(A128="","SDR; ","")&amp;IF(B128="","Proprietário; ","")&amp;IF(C128="","Origem; ","")&amp;IF(D128="","Temperatura; ","")&amp;IF(E128="","Segmento; ","")&amp;IF(F128="","Time/Cluster; ","")&amp;IF(G128="","CNPJ; ","")&amp;IF(H128="","Razão Social; ","")&amp;IF(AND(J128="",K128=""),"nome do contato; ","")&amp;IF(AND(M128="",N128="",O128=""),"telefone, celular ou e-mail; ","")))</f>
      </c>
      <c r="AB128" s="6">
        <f>IF(COUNTA(A128:S128)=0,"",IF(AND(U128="OK",V128="OK",LEFT(W128,4)&lt;&gt;"ERRO",LEFT(X128,4)&lt;&gt;"ERRO",LEFT(Y128,4)&lt;&gt;"ERRO",AA128="OK"),"OK","REVISAR"))</f>
      </c>
    </row>
    <row r="129">
      <c r="A129" s="5"/>
      <c r="B129" s="5"/>
      <c r="C129" s="5"/>
      <c r="D129" s="5"/>
      <c r="E129" s="5"/>
      <c r="F129" s="5"/>
      <c r="G129" s="5"/>
      <c r="H129" s="5"/>
      <c r="I129" s="4"/>
      <c r="J129" s="5"/>
      <c r="K129" s="4"/>
      <c r="L129" s="4"/>
      <c r="M129" s="4"/>
      <c r="N129" s="4"/>
      <c r="O129" s="4"/>
      <c r="P129" s="4"/>
      <c r="Q129" s="4"/>
      <c r="R129" s="4"/>
      <c r="S129" s="4"/>
      <c r="T129" s="6">
        <f>IF(G129="","",SUBSTITUTE(SUBSTITUTE(SUBSTITUTE(SUBSTITUTE(SUBSTITUTE(SUBSTITUTE(SUBSTITUTE(TRIM(G129),".",""),"/",""),"-","")," ",""),"(",""),")",""),"+",""))</f>
      </c>
      <c r="U129" s="6">
        <f>IF(T129="","",IF(LEN(T129)&lt;&gt;14,"ERRO: "&amp;LEN(T129)&amp;" dígitos",IF(NOT(ISNUMBER(VALUE(T129))),"ERRO: não numérico",IF(LEN(SUBSTITUTE(T129,LEFT(T129,1),""))=0,"ERRO: dígitos repetidos",IF(AND(VALUE(MID(T129,13,1))=IF(MOD(SUMPRODUCT(--MID(T129,{1,2,3,4,5,6,7,8,9,10,11,12},1),{5,4,3,2,9,8,7,6,5,4,3,2}),11)&lt;2,0,11-MOD(SUMPRODUCT(--MID(T129,{1,2,3,4,5,6,7,8,9,10,11,12},1),{5,4,3,2,9,8,7,6,5,4,3,2}),11)),VALUE(MID(T129,14,1))=IF(MOD(SUMPRODUCT(--MID(T129,{1,2,3,4,5,6,7,8,9,10,11,12,13},1),{6,5,4,3,2,9,8,7,6,5,4,3,2}),11)&lt;2,0,11-MOD(SUMPRODUCT(--MID(T129,{1,2,3,4,5,6,7,8,9,10,11,12,13},1),{6,5,4,3,2,9,8,7,6,5,4,3,2}),11))),"OK","ERRO: dígito verificador")))))</f>
      </c>
      <c r="V129" s="6">
        <f>IF(T129="","",IF(COUNTIF($T$2:$T$1001,T129)&gt;1,"DUPLICADO","OK"))</f>
      </c>
      <c r="W129" s="6">
        <f>IF(M129="","vazio",IF(OR(AND(LEN(SUBSTITUTE(SUBSTITUTE(SUBSTITUTE(SUBSTITUTE(SUBSTITUTE(SUBSTITUTE(SUBSTITUTE(TRIM(M129),".",""),"/",""),"-","")," ",""),"(",""),")",""),"+",""))=10,LEFT(SUBSTITUTE(SUBSTITUTE(SUBSTITUTE(SUBSTITUTE(SUBSTITUTE(SUBSTITUTE(SUBSTITUTE(TRIM(M129),".",""),"/",""),"-","")," ",""),"(",""),")",""),"+",""),1)&lt;&gt;"0"),AND(LEN(SUBSTITUTE(SUBSTITUTE(SUBSTITUTE(SUBSTITUTE(SUBSTITUTE(SUBSTITUTE(SUBSTITUTE(TRIM(M129),".",""),"/",""),"-","")," ",""),"(",""),")",""),"+",""))=11,LEFT(SUBSTITUTE(SUBSTITUTE(SUBSTITUTE(SUBSTITUTE(SUBSTITUTE(SUBSTITUTE(SUBSTITUTE(TRIM(M129),".",""),"/",""),"-","")," ",""),"(",""),")",""),"+",""),4)="0800")),"OK",IF(AND(LEN(SUBSTITUTE(SUBSTITUTE(SUBSTITUTE(SUBSTITUTE(SUBSTITUTE(SUBSTITUTE(SUBSTITUTE(TRIM(M129),".",""),"/",""),"-","")," ",""),"(",""),")",""),"+",""))=11,MID(SUBSTITUTE(SUBSTITUTE(SUBSTITUTE(SUBSTITUTE(SUBSTITUTE(SUBSTITUTE(SUBSTITUTE(TRIM(M129),".",""),"/",""),"-","")," ",""),"(",""),")",""),"+",""),3,1)="9"),"ERRO: é celular, use a coluna Celular","ERRO: DDD + 8 dígitos ou 0800 + 7")))</f>
      </c>
      <c r="X129" s="6">
        <f>IF(N129="","vazio",IF(AND(LEN(SUBSTITUTE(SUBSTITUTE(SUBSTITUTE(SUBSTITUTE(SUBSTITUTE(SUBSTITUTE(SUBSTITUTE(TRIM(N129),".",""),"/",""),"-","")," ",""),"(",""),")",""),"+",""))=11,MID(SUBSTITUTE(SUBSTITUTE(SUBSTITUTE(SUBSTITUTE(SUBSTITUTE(SUBSTITUTE(SUBSTITUTE(TRIM(N129),".",""),"/",""),"-","")," ",""),"(",""),")",""),"+",""),3,1)="9",LEFT(SUBSTITUTE(SUBSTITUTE(SUBSTITUTE(SUBSTITUTE(SUBSTITUTE(SUBSTITUTE(SUBSTITUTE(TRIM(N129),".",""),"/",""),"-","")," ",""),"(",""),")",""),"+",""),1)&lt;&gt;"0"),"OK",IF(LEN(SUBSTITUTE(SUBSTITUTE(SUBSTITUTE(SUBSTITUTE(SUBSTITUTE(SUBSTITUTE(SUBSTITUTE(TRIM(N129),".",""),"/",""),"-","")," ",""),"(",""),")",""),"+",""))=10,"ERRO: é fixo (ou falta o 9), use a coluna Telefone fixo","ERRO: DDD + 9 + 8 dígitos")))</f>
      </c>
      <c r="Y129" s="6">
        <f>IF(O129="","vazio",IF(AND(ISNUMBER(FIND("@",O129)),ISNUMBER(FIND(".",MID(O129,FIND("@",O129),99))),NOT(ISNUMBER(FIND(" ",TRIM(O129)))),NOT(ISNUMBER(FIND(";",O129))),NOT(ISNUMBER(FIND(",",O129)))),"OK","ERRO: um e-mail válido por linha"))</f>
      </c>
      <c r="Z129" s="6">
        <f>IF(AND(J129="",K129=""),"",IF(AND(J129&lt;&gt;"",K129&lt;&gt;""),"OK","pendente: só um nome (o GR completa ao converter)"))</f>
      </c>
      <c r="AA129" s="6">
        <f>IF(COUNTA(A129:S129)=0,"",IF(AND(A129&lt;&gt;"",B129&lt;&gt;"",C129&lt;&gt;"",D129&lt;&gt;"",E129&lt;&gt;"",F129&lt;&gt;"",G129&lt;&gt;"",H129&lt;&gt;"",OR(J129&lt;&gt;"",K129&lt;&gt;""),OR(M129&lt;&gt;"",N129&lt;&gt;"",O129&lt;&gt;"")),"OK","ERRO: faltam "&amp;IF(A129="","SDR; ","")&amp;IF(B129="","Proprietário; ","")&amp;IF(C129="","Origem; ","")&amp;IF(D129="","Temperatura; ","")&amp;IF(E129="","Segmento; ","")&amp;IF(F129="","Time/Cluster; ","")&amp;IF(G129="","CNPJ; ","")&amp;IF(H129="","Razão Social; ","")&amp;IF(AND(J129="",K129=""),"nome do contato; ","")&amp;IF(AND(M129="",N129="",O129=""),"telefone, celular ou e-mail; ","")))</f>
      </c>
      <c r="AB129" s="6">
        <f>IF(COUNTA(A129:S129)=0,"",IF(AND(U129="OK",V129="OK",LEFT(W129,4)&lt;&gt;"ERRO",LEFT(X129,4)&lt;&gt;"ERRO",LEFT(Y129,4)&lt;&gt;"ERRO",AA129="OK"),"OK","REVISAR"))</f>
      </c>
    </row>
    <row r="130">
      <c r="A130" s="5"/>
      <c r="B130" s="5"/>
      <c r="C130" s="5"/>
      <c r="D130" s="5"/>
      <c r="E130" s="5"/>
      <c r="F130" s="5"/>
      <c r="G130" s="5"/>
      <c r="H130" s="5"/>
      <c r="I130" s="4"/>
      <c r="J130" s="5"/>
      <c r="K130" s="4"/>
      <c r="L130" s="4"/>
      <c r="M130" s="4"/>
      <c r="N130" s="4"/>
      <c r="O130" s="4"/>
      <c r="P130" s="4"/>
      <c r="Q130" s="4"/>
      <c r="R130" s="4"/>
      <c r="S130" s="4"/>
      <c r="T130" s="6">
        <f>IF(G130="","",SUBSTITUTE(SUBSTITUTE(SUBSTITUTE(SUBSTITUTE(SUBSTITUTE(SUBSTITUTE(SUBSTITUTE(TRIM(G130),".",""),"/",""),"-","")," ",""),"(",""),")",""),"+",""))</f>
      </c>
      <c r="U130" s="6">
        <f>IF(T130="","",IF(LEN(T130)&lt;&gt;14,"ERRO: "&amp;LEN(T130)&amp;" dígitos",IF(NOT(ISNUMBER(VALUE(T130))),"ERRO: não numérico",IF(LEN(SUBSTITUTE(T130,LEFT(T130,1),""))=0,"ERRO: dígitos repetidos",IF(AND(VALUE(MID(T130,13,1))=IF(MOD(SUMPRODUCT(--MID(T130,{1,2,3,4,5,6,7,8,9,10,11,12},1),{5,4,3,2,9,8,7,6,5,4,3,2}),11)&lt;2,0,11-MOD(SUMPRODUCT(--MID(T130,{1,2,3,4,5,6,7,8,9,10,11,12},1),{5,4,3,2,9,8,7,6,5,4,3,2}),11)),VALUE(MID(T130,14,1))=IF(MOD(SUMPRODUCT(--MID(T130,{1,2,3,4,5,6,7,8,9,10,11,12,13},1),{6,5,4,3,2,9,8,7,6,5,4,3,2}),11)&lt;2,0,11-MOD(SUMPRODUCT(--MID(T130,{1,2,3,4,5,6,7,8,9,10,11,12,13},1),{6,5,4,3,2,9,8,7,6,5,4,3,2}),11))),"OK","ERRO: dígito verificador")))))</f>
      </c>
      <c r="V130" s="6">
        <f>IF(T130="","",IF(COUNTIF($T$2:$T$1001,T130)&gt;1,"DUPLICADO","OK"))</f>
      </c>
      <c r="W130" s="6">
        <f>IF(M130="","vazio",IF(OR(AND(LEN(SUBSTITUTE(SUBSTITUTE(SUBSTITUTE(SUBSTITUTE(SUBSTITUTE(SUBSTITUTE(SUBSTITUTE(TRIM(M130),".",""),"/",""),"-","")," ",""),"(",""),")",""),"+",""))=10,LEFT(SUBSTITUTE(SUBSTITUTE(SUBSTITUTE(SUBSTITUTE(SUBSTITUTE(SUBSTITUTE(SUBSTITUTE(TRIM(M130),".",""),"/",""),"-","")," ",""),"(",""),")",""),"+",""),1)&lt;&gt;"0"),AND(LEN(SUBSTITUTE(SUBSTITUTE(SUBSTITUTE(SUBSTITUTE(SUBSTITUTE(SUBSTITUTE(SUBSTITUTE(TRIM(M130),".",""),"/",""),"-","")," ",""),"(",""),")",""),"+",""))=11,LEFT(SUBSTITUTE(SUBSTITUTE(SUBSTITUTE(SUBSTITUTE(SUBSTITUTE(SUBSTITUTE(SUBSTITUTE(TRIM(M130),".",""),"/",""),"-","")," ",""),"(",""),")",""),"+",""),4)="0800")),"OK",IF(AND(LEN(SUBSTITUTE(SUBSTITUTE(SUBSTITUTE(SUBSTITUTE(SUBSTITUTE(SUBSTITUTE(SUBSTITUTE(TRIM(M130),".",""),"/",""),"-","")," ",""),"(",""),")",""),"+",""))=11,MID(SUBSTITUTE(SUBSTITUTE(SUBSTITUTE(SUBSTITUTE(SUBSTITUTE(SUBSTITUTE(SUBSTITUTE(TRIM(M130),".",""),"/",""),"-","")," ",""),"(",""),")",""),"+",""),3,1)="9"),"ERRO: é celular, use a coluna Celular","ERRO: DDD + 8 dígitos ou 0800 + 7")))</f>
      </c>
      <c r="X130" s="6">
        <f>IF(N130="","vazio",IF(AND(LEN(SUBSTITUTE(SUBSTITUTE(SUBSTITUTE(SUBSTITUTE(SUBSTITUTE(SUBSTITUTE(SUBSTITUTE(TRIM(N130),".",""),"/",""),"-","")," ",""),"(",""),")",""),"+",""))=11,MID(SUBSTITUTE(SUBSTITUTE(SUBSTITUTE(SUBSTITUTE(SUBSTITUTE(SUBSTITUTE(SUBSTITUTE(TRIM(N130),".",""),"/",""),"-","")," ",""),"(",""),")",""),"+",""),3,1)="9",LEFT(SUBSTITUTE(SUBSTITUTE(SUBSTITUTE(SUBSTITUTE(SUBSTITUTE(SUBSTITUTE(SUBSTITUTE(TRIM(N130),".",""),"/",""),"-","")," ",""),"(",""),")",""),"+",""),1)&lt;&gt;"0"),"OK",IF(LEN(SUBSTITUTE(SUBSTITUTE(SUBSTITUTE(SUBSTITUTE(SUBSTITUTE(SUBSTITUTE(SUBSTITUTE(TRIM(N130),".",""),"/",""),"-","")," ",""),"(",""),")",""),"+",""))=10,"ERRO: é fixo (ou falta o 9), use a coluna Telefone fixo","ERRO: DDD + 9 + 8 dígitos")))</f>
      </c>
      <c r="Y130" s="6">
        <f>IF(O130="","vazio",IF(AND(ISNUMBER(FIND("@",O130)),ISNUMBER(FIND(".",MID(O130,FIND("@",O130),99))),NOT(ISNUMBER(FIND(" ",TRIM(O130)))),NOT(ISNUMBER(FIND(";",O130))),NOT(ISNUMBER(FIND(",",O130)))),"OK","ERRO: um e-mail válido por linha"))</f>
      </c>
      <c r="Z130" s="6">
        <f>IF(AND(J130="",K130=""),"",IF(AND(J130&lt;&gt;"",K130&lt;&gt;""),"OK","pendente: só um nome (o GR completa ao converter)"))</f>
      </c>
      <c r="AA130" s="6">
        <f>IF(COUNTA(A130:S130)=0,"",IF(AND(A130&lt;&gt;"",B130&lt;&gt;"",C130&lt;&gt;"",D130&lt;&gt;"",E130&lt;&gt;"",F130&lt;&gt;"",G130&lt;&gt;"",H130&lt;&gt;"",OR(J130&lt;&gt;"",K130&lt;&gt;""),OR(M130&lt;&gt;"",N130&lt;&gt;"",O130&lt;&gt;"")),"OK","ERRO: faltam "&amp;IF(A130="","SDR; ","")&amp;IF(B130="","Proprietário; ","")&amp;IF(C130="","Origem; ","")&amp;IF(D130="","Temperatura; ","")&amp;IF(E130="","Segmento; ","")&amp;IF(F130="","Time/Cluster; ","")&amp;IF(G130="","CNPJ; ","")&amp;IF(H130="","Razão Social; ","")&amp;IF(AND(J130="",K130=""),"nome do contato; ","")&amp;IF(AND(M130="",N130="",O130=""),"telefone, celular ou e-mail; ","")))</f>
      </c>
      <c r="AB130" s="6">
        <f>IF(COUNTA(A130:S130)=0,"",IF(AND(U130="OK",V130="OK",LEFT(W130,4)&lt;&gt;"ERRO",LEFT(X130,4)&lt;&gt;"ERRO",LEFT(Y130,4)&lt;&gt;"ERRO",AA130="OK"),"OK","REVISAR"))</f>
      </c>
    </row>
    <row r="131">
      <c r="A131" s="5"/>
      <c r="B131" s="5"/>
      <c r="C131" s="5"/>
      <c r="D131" s="5"/>
      <c r="E131" s="5"/>
      <c r="F131" s="5"/>
      <c r="G131" s="5"/>
      <c r="H131" s="5"/>
      <c r="I131" s="4"/>
      <c r="J131" s="5"/>
      <c r="K131" s="4"/>
      <c r="L131" s="4"/>
      <c r="M131" s="4"/>
      <c r="N131" s="4"/>
      <c r="O131" s="4"/>
      <c r="P131" s="4"/>
      <c r="Q131" s="4"/>
      <c r="R131" s="4"/>
      <c r="S131" s="4"/>
      <c r="T131" s="6">
        <f>IF(G131="","",SUBSTITUTE(SUBSTITUTE(SUBSTITUTE(SUBSTITUTE(SUBSTITUTE(SUBSTITUTE(SUBSTITUTE(TRIM(G131),".",""),"/",""),"-","")," ",""),"(",""),")",""),"+",""))</f>
      </c>
      <c r="U131" s="6">
        <f>IF(T131="","",IF(LEN(T131)&lt;&gt;14,"ERRO: "&amp;LEN(T131)&amp;" dígitos",IF(NOT(ISNUMBER(VALUE(T131))),"ERRO: não numérico",IF(LEN(SUBSTITUTE(T131,LEFT(T131,1),""))=0,"ERRO: dígitos repetidos",IF(AND(VALUE(MID(T131,13,1))=IF(MOD(SUMPRODUCT(--MID(T131,{1,2,3,4,5,6,7,8,9,10,11,12},1),{5,4,3,2,9,8,7,6,5,4,3,2}),11)&lt;2,0,11-MOD(SUMPRODUCT(--MID(T131,{1,2,3,4,5,6,7,8,9,10,11,12},1),{5,4,3,2,9,8,7,6,5,4,3,2}),11)),VALUE(MID(T131,14,1))=IF(MOD(SUMPRODUCT(--MID(T131,{1,2,3,4,5,6,7,8,9,10,11,12,13},1),{6,5,4,3,2,9,8,7,6,5,4,3,2}),11)&lt;2,0,11-MOD(SUMPRODUCT(--MID(T131,{1,2,3,4,5,6,7,8,9,10,11,12,13},1),{6,5,4,3,2,9,8,7,6,5,4,3,2}),11))),"OK","ERRO: dígito verificador")))))</f>
      </c>
      <c r="V131" s="6">
        <f>IF(T131="","",IF(COUNTIF($T$2:$T$1001,T131)&gt;1,"DUPLICADO","OK"))</f>
      </c>
      <c r="W131" s="6">
        <f>IF(M131="","vazio",IF(OR(AND(LEN(SUBSTITUTE(SUBSTITUTE(SUBSTITUTE(SUBSTITUTE(SUBSTITUTE(SUBSTITUTE(SUBSTITUTE(TRIM(M131),".",""),"/",""),"-","")," ",""),"(",""),")",""),"+",""))=10,LEFT(SUBSTITUTE(SUBSTITUTE(SUBSTITUTE(SUBSTITUTE(SUBSTITUTE(SUBSTITUTE(SUBSTITUTE(TRIM(M131),".",""),"/",""),"-","")," ",""),"(",""),")",""),"+",""),1)&lt;&gt;"0"),AND(LEN(SUBSTITUTE(SUBSTITUTE(SUBSTITUTE(SUBSTITUTE(SUBSTITUTE(SUBSTITUTE(SUBSTITUTE(TRIM(M131),".",""),"/",""),"-","")," ",""),"(",""),")",""),"+",""))=11,LEFT(SUBSTITUTE(SUBSTITUTE(SUBSTITUTE(SUBSTITUTE(SUBSTITUTE(SUBSTITUTE(SUBSTITUTE(TRIM(M131),".",""),"/",""),"-","")," ",""),"(",""),")",""),"+",""),4)="0800")),"OK",IF(AND(LEN(SUBSTITUTE(SUBSTITUTE(SUBSTITUTE(SUBSTITUTE(SUBSTITUTE(SUBSTITUTE(SUBSTITUTE(TRIM(M131),".",""),"/",""),"-","")," ",""),"(",""),")",""),"+",""))=11,MID(SUBSTITUTE(SUBSTITUTE(SUBSTITUTE(SUBSTITUTE(SUBSTITUTE(SUBSTITUTE(SUBSTITUTE(TRIM(M131),".",""),"/",""),"-","")," ",""),"(",""),")",""),"+",""),3,1)="9"),"ERRO: é celular, use a coluna Celular","ERRO: DDD + 8 dígitos ou 0800 + 7")))</f>
      </c>
      <c r="X131" s="6">
        <f>IF(N131="","vazio",IF(AND(LEN(SUBSTITUTE(SUBSTITUTE(SUBSTITUTE(SUBSTITUTE(SUBSTITUTE(SUBSTITUTE(SUBSTITUTE(TRIM(N131),".",""),"/",""),"-","")," ",""),"(",""),")",""),"+",""))=11,MID(SUBSTITUTE(SUBSTITUTE(SUBSTITUTE(SUBSTITUTE(SUBSTITUTE(SUBSTITUTE(SUBSTITUTE(TRIM(N131),".",""),"/",""),"-","")," ",""),"(",""),")",""),"+",""),3,1)="9",LEFT(SUBSTITUTE(SUBSTITUTE(SUBSTITUTE(SUBSTITUTE(SUBSTITUTE(SUBSTITUTE(SUBSTITUTE(TRIM(N131),".",""),"/",""),"-","")," ",""),"(",""),")",""),"+",""),1)&lt;&gt;"0"),"OK",IF(LEN(SUBSTITUTE(SUBSTITUTE(SUBSTITUTE(SUBSTITUTE(SUBSTITUTE(SUBSTITUTE(SUBSTITUTE(TRIM(N131),".",""),"/",""),"-","")," ",""),"(",""),")",""),"+",""))=10,"ERRO: é fixo (ou falta o 9), use a coluna Telefone fixo","ERRO: DDD + 9 + 8 dígitos")))</f>
      </c>
      <c r="Y131" s="6">
        <f>IF(O131="","vazio",IF(AND(ISNUMBER(FIND("@",O131)),ISNUMBER(FIND(".",MID(O131,FIND("@",O131),99))),NOT(ISNUMBER(FIND(" ",TRIM(O131)))),NOT(ISNUMBER(FIND(";",O131))),NOT(ISNUMBER(FIND(",",O131)))),"OK","ERRO: um e-mail válido por linha"))</f>
      </c>
      <c r="Z131" s="6">
        <f>IF(AND(J131="",K131=""),"",IF(AND(J131&lt;&gt;"",K131&lt;&gt;""),"OK","pendente: só um nome (o GR completa ao converter)"))</f>
      </c>
      <c r="AA131" s="6">
        <f>IF(COUNTA(A131:S131)=0,"",IF(AND(A131&lt;&gt;"",B131&lt;&gt;"",C131&lt;&gt;"",D131&lt;&gt;"",E131&lt;&gt;"",F131&lt;&gt;"",G131&lt;&gt;"",H131&lt;&gt;"",OR(J131&lt;&gt;"",K131&lt;&gt;""),OR(M131&lt;&gt;"",N131&lt;&gt;"",O131&lt;&gt;"")),"OK","ERRO: faltam "&amp;IF(A131="","SDR; ","")&amp;IF(B131="","Proprietário; ","")&amp;IF(C131="","Origem; ","")&amp;IF(D131="","Temperatura; ","")&amp;IF(E131="","Segmento; ","")&amp;IF(F131="","Time/Cluster; ","")&amp;IF(G131="","CNPJ; ","")&amp;IF(H131="","Razão Social; ","")&amp;IF(AND(J131="",K131=""),"nome do contato; ","")&amp;IF(AND(M131="",N131="",O131=""),"telefone, celular ou e-mail; ","")))</f>
      </c>
      <c r="AB131" s="6">
        <f>IF(COUNTA(A131:S131)=0,"",IF(AND(U131="OK",V131="OK",LEFT(W131,4)&lt;&gt;"ERRO",LEFT(X131,4)&lt;&gt;"ERRO",LEFT(Y131,4)&lt;&gt;"ERRO",AA131="OK"),"OK","REVISAR"))</f>
      </c>
    </row>
    <row r="132">
      <c r="A132" s="5"/>
      <c r="B132" s="5"/>
      <c r="C132" s="5"/>
      <c r="D132" s="5"/>
      <c r="E132" s="5"/>
      <c r="F132" s="5"/>
      <c r="G132" s="5"/>
      <c r="H132" s="5"/>
      <c r="I132" s="4"/>
      <c r="J132" s="5"/>
      <c r="K132" s="4"/>
      <c r="L132" s="4"/>
      <c r="M132" s="4"/>
      <c r="N132" s="4"/>
      <c r="O132" s="4"/>
      <c r="P132" s="4"/>
      <c r="Q132" s="4"/>
      <c r="R132" s="4"/>
      <c r="S132" s="4"/>
      <c r="T132" s="6">
        <f>IF(G132="","",SUBSTITUTE(SUBSTITUTE(SUBSTITUTE(SUBSTITUTE(SUBSTITUTE(SUBSTITUTE(SUBSTITUTE(TRIM(G132),".",""),"/",""),"-","")," ",""),"(",""),")",""),"+",""))</f>
      </c>
      <c r="U132" s="6">
        <f>IF(T132="","",IF(LEN(T132)&lt;&gt;14,"ERRO: "&amp;LEN(T132)&amp;" dígitos",IF(NOT(ISNUMBER(VALUE(T132))),"ERRO: não numérico",IF(LEN(SUBSTITUTE(T132,LEFT(T132,1),""))=0,"ERRO: dígitos repetidos",IF(AND(VALUE(MID(T132,13,1))=IF(MOD(SUMPRODUCT(--MID(T132,{1,2,3,4,5,6,7,8,9,10,11,12},1),{5,4,3,2,9,8,7,6,5,4,3,2}),11)&lt;2,0,11-MOD(SUMPRODUCT(--MID(T132,{1,2,3,4,5,6,7,8,9,10,11,12},1),{5,4,3,2,9,8,7,6,5,4,3,2}),11)),VALUE(MID(T132,14,1))=IF(MOD(SUMPRODUCT(--MID(T132,{1,2,3,4,5,6,7,8,9,10,11,12,13},1),{6,5,4,3,2,9,8,7,6,5,4,3,2}),11)&lt;2,0,11-MOD(SUMPRODUCT(--MID(T132,{1,2,3,4,5,6,7,8,9,10,11,12,13},1),{6,5,4,3,2,9,8,7,6,5,4,3,2}),11))),"OK","ERRO: dígito verificador")))))</f>
      </c>
      <c r="V132" s="6">
        <f>IF(T132="","",IF(COUNTIF($T$2:$T$1001,T132)&gt;1,"DUPLICADO","OK"))</f>
      </c>
      <c r="W132" s="6">
        <f>IF(M132="","vazio",IF(OR(AND(LEN(SUBSTITUTE(SUBSTITUTE(SUBSTITUTE(SUBSTITUTE(SUBSTITUTE(SUBSTITUTE(SUBSTITUTE(TRIM(M132),".",""),"/",""),"-","")," ",""),"(",""),")",""),"+",""))=10,LEFT(SUBSTITUTE(SUBSTITUTE(SUBSTITUTE(SUBSTITUTE(SUBSTITUTE(SUBSTITUTE(SUBSTITUTE(TRIM(M132),".",""),"/",""),"-","")," ",""),"(",""),")",""),"+",""),1)&lt;&gt;"0"),AND(LEN(SUBSTITUTE(SUBSTITUTE(SUBSTITUTE(SUBSTITUTE(SUBSTITUTE(SUBSTITUTE(SUBSTITUTE(TRIM(M132),".",""),"/",""),"-","")," ",""),"(",""),")",""),"+",""))=11,LEFT(SUBSTITUTE(SUBSTITUTE(SUBSTITUTE(SUBSTITUTE(SUBSTITUTE(SUBSTITUTE(SUBSTITUTE(TRIM(M132),".",""),"/",""),"-","")," ",""),"(",""),")",""),"+",""),4)="0800")),"OK",IF(AND(LEN(SUBSTITUTE(SUBSTITUTE(SUBSTITUTE(SUBSTITUTE(SUBSTITUTE(SUBSTITUTE(SUBSTITUTE(TRIM(M132),".",""),"/",""),"-","")," ",""),"(",""),")",""),"+",""))=11,MID(SUBSTITUTE(SUBSTITUTE(SUBSTITUTE(SUBSTITUTE(SUBSTITUTE(SUBSTITUTE(SUBSTITUTE(TRIM(M132),".",""),"/",""),"-","")," ",""),"(",""),")",""),"+",""),3,1)="9"),"ERRO: é celular, use a coluna Celular","ERRO: DDD + 8 dígitos ou 0800 + 7")))</f>
      </c>
      <c r="X132" s="6">
        <f>IF(N132="","vazio",IF(AND(LEN(SUBSTITUTE(SUBSTITUTE(SUBSTITUTE(SUBSTITUTE(SUBSTITUTE(SUBSTITUTE(SUBSTITUTE(TRIM(N132),".",""),"/",""),"-","")," ",""),"(",""),")",""),"+",""))=11,MID(SUBSTITUTE(SUBSTITUTE(SUBSTITUTE(SUBSTITUTE(SUBSTITUTE(SUBSTITUTE(SUBSTITUTE(TRIM(N132),".",""),"/",""),"-","")," ",""),"(",""),")",""),"+",""),3,1)="9",LEFT(SUBSTITUTE(SUBSTITUTE(SUBSTITUTE(SUBSTITUTE(SUBSTITUTE(SUBSTITUTE(SUBSTITUTE(TRIM(N132),".",""),"/",""),"-","")," ",""),"(",""),")",""),"+",""),1)&lt;&gt;"0"),"OK",IF(LEN(SUBSTITUTE(SUBSTITUTE(SUBSTITUTE(SUBSTITUTE(SUBSTITUTE(SUBSTITUTE(SUBSTITUTE(TRIM(N132),".",""),"/",""),"-","")," ",""),"(",""),")",""),"+",""))=10,"ERRO: é fixo (ou falta o 9), use a coluna Telefone fixo","ERRO: DDD + 9 + 8 dígitos")))</f>
      </c>
      <c r="Y132" s="6">
        <f>IF(O132="","vazio",IF(AND(ISNUMBER(FIND("@",O132)),ISNUMBER(FIND(".",MID(O132,FIND("@",O132),99))),NOT(ISNUMBER(FIND(" ",TRIM(O132)))),NOT(ISNUMBER(FIND(";",O132))),NOT(ISNUMBER(FIND(",",O132)))),"OK","ERRO: um e-mail válido por linha"))</f>
      </c>
      <c r="Z132" s="6">
        <f>IF(AND(J132="",K132=""),"",IF(AND(J132&lt;&gt;"",K132&lt;&gt;""),"OK","pendente: só um nome (o GR completa ao converter)"))</f>
      </c>
      <c r="AA132" s="6">
        <f>IF(COUNTA(A132:S132)=0,"",IF(AND(A132&lt;&gt;"",B132&lt;&gt;"",C132&lt;&gt;"",D132&lt;&gt;"",E132&lt;&gt;"",F132&lt;&gt;"",G132&lt;&gt;"",H132&lt;&gt;"",OR(J132&lt;&gt;"",K132&lt;&gt;""),OR(M132&lt;&gt;"",N132&lt;&gt;"",O132&lt;&gt;"")),"OK","ERRO: faltam "&amp;IF(A132="","SDR; ","")&amp;IF(B132="","Proprietário; ","")&amp;IF(C132="","Origem; ","")&amp;IF(D132="","Temperatura; ","")&amp;IF(E132="","Segmento; ","")&amp;IF(F132="","Time/Cluster; ","")&amp;IF(G132="","CNPJ; ","")&amp;IF(H132="","Razão Social; ","")&amp;IF(AND(J132="",K132=""),"nome do contato; ","")&amp;IF(AND(M132="",N132="",O132=""),"telefone, celular ou e-mail; ","")))</f>
      </c>
      <c r="AB132" s="6">
        <f>IF(COUNTA(A132:S132)=0,"",IF(AND(U132="OK",V132="OK",LEFT(W132,4)&lt;&gt;"ERRO",LEFT(X132,4)&lt;&gt;"ERRO",LEFT(Y132,4)&lt;&gt;"ERRO",AA132="OK"),"OK","REVISAR"))</f>
      </c>
    </row>
    <row r="133">
      <c r="A133" s="5"/>
      <c r="B133" s="5"/>
      <c r="C133" s="5"/>
      <c r="D133" s="5"/>
      <c r="E133" s="5"/>
      <c r="F133" s="5"/>
      <c r="G133" s="5"/>
      <c r="H133" s="5"/>
      <c r="I133" s="4"/>
      <c r="J133" s="5"/>
      <c r="K133" s="4"/>
      <c r="L133" s="4"/>
      <c r="M133" s="4"/>
      <c r="N133" s="4"/>
      <c r="O133" s="4"/>
      <c r="P133" s="4"/>
      <c r="Q133" s="4"/>
      <c r="R133" s="4"/>
      <c r="S133" s="4"/>
      <c r="T133" s="6">
        <f>IF(G133="","",SUBSTITUTE(SUBSTITUTE(SUBSTITUTE(SUBSTITUTE(SUBSTITUTE(SUBSTITUTE(SUBSTITUTE(TRIM(G133),".",""),"/",""),"-","")," ",""),"(",""),")",""),"+",""))</f>
      </c>
      <c r="U133" s="6">
        <f>IF(T133="","",IF(LEN(T133)&lt;&gt;14,"ERRO: "&amp;LEN(T133)&amp;" dígitos",IF(NOT(ISNUMBER(VALUE(T133))),"ERRO: não numérico",IF(LEN(SUBSTITUTE(T133,LEFT(T133,1),""))=0,"ERRO: dígitos repetidos",IF(AND(VALUE(MID(T133,13,1))=IF(MOD(SUMPRODUCT(--MID(T133,{1,2,3,4,5,6,7,8,9,10,11,12},1),{5,4,3,2,9,8,7,6,5,4,3,2}),11)&lt;2,0,11-MOD(SUMPRODUCT(--MID(T133,{1,2,3,4,5,6,7,8,9,10,11,12},1),{5,4,3,2,9,8,7,6,5,4,3,2}),11)),VALUE(MID(T133,14,1))=IF(MOD(SUMPRODUCT(--MID(T133,{1,2,3,4,5,6,7,8,9,10,11,12,13},1),{6,5,4,3,2,9,8,7,6,5,4,3,2}),11)&lt;2,0,11-MOD(SUMPRODUCT(--MID(T133,{1,2,3,4,5,6,7,8,9,10,11,12,13},1),{6,5,4,3,2,9,8,7,6,5,4,3,2}),11))),"OK","ERRO: dígito verificador")))))</f>
      </c>
      <c r="V133" s="6">
        <f>IF(T133="","",IF(COUNTIF($T$2:$T$1001,T133)&gt;1,"DUPLICADO","OK"))</f>
      </c>
      <c r="W133" s="6">
        <f>IF(M133="","vazio",IF(OR(AND(LEN(SUBSTITUTE(SUBSTITUTE(SUBSTITUTE(SUBSTITUTE(SUBSTITUTE(SUBSTITUTE(SUBSTITUTE(TRIM(M133),".",""),"/",""),"-","")," ",""),"(",""),")",""),"+",""))=10,LEFT(SUBSTITUTE(SUBSTITUTE(SUBSTITUTE(SUBSTITUTE(SUBSTITUTE(SUBSTITUTE(SUBSTITUTE(TRIM(M133),".",""),"/",""),"-","")," ",""),"(",""),")",""),"+",""),1)&lt;&gt;"0"),AND(LEN(SUBSTITUTE(SUBSTITUTE(SUBSTITUTE(SUBSTITUTE(SUBSTITUTE(SUBSTITUTE(SUBSTITUTE(TRIM(M133),".",""),"/",""),"-","")," ",""),"(",""),")",""),"+",""))=11,LEFT(SUBSTITUTE(SUBSTITUTE(SUBSTITUTE(SUBSTITUTE(SUBSTITUTE(SUBSTITUTE(SUBSTITUTE(TRIM(M133),".",""),"/",""),"-","")," ",""),"(",""),")",""),"+",""),4)="0800")),"OK",IF(AND(LEN(SUBSTITUTE(SUBSTITUTE(SUBSTITUTE(SUBSTITUTE(SUBSTITUTE(SUBSTITUTE(SUBSTITUTE(TRIM(M133),".",""),"/",""),"-","")," ",""),"(",""),")",""),"+",""))=11,MID(SUBSTITUTE(SUBSTITUTE(SUBSTITUTE(SUBSTITUTE(SUBSTITUTE(SUBSTITUTE(SUBSTITUTE(TRIM(M133),".",""),"/",""),"-","")," ",""),"(",""),")",""),"+",""),3,1)="9"),"ERRO: é celular, use a coluna Celular","ERRO: DDD + 8 dígitos ou 0800 + 7")))</f>
      </c>
      <c r="X133" s="6">
        <f>IF(N133="","vazio",IF(AND(LEN(SUBSTITUTE(SUBSTITUTE(SUBSTITUTE(SUBSTITUTE(SUBSTITUTE(SUBSTITUTE(SUBSTITUTE(TRIM(N133),".",""),"/",""),"-","")," ",""),"(",""),")",""),"+",""))=11,MID(SUBSTITUTE(SUBSTITUTE(SUBSTITUTE(SUBSTITUTE(SUBSTITUTE(SUBSTITUTE(SUBSTITUTE(TRIM(N133),".",""),"/",""),"-","")," ",""),"(",""),")",""),"+",""),3,1)="9",LEFT(SUBSTITUTE(SUBSTITUTE(SUBSTITUTE(SUBSTITUTE(SUBSTITUTE(SUBSTITUTE(SUBSTITUTE(TRIM(N133),".",""),"/",""),"-","")," ",""),"(",""),")",""),"+",""),1)&lt;&gt;"0"),"OK",IF(LEN(SUBSTITUTE(SUBSTITUTE(SUBSTITUTE(SUBSTITUTE(SUBSTITUTE(SUBSTITUTE(SUBSTITUTE(TRIM(N133),".",""),"/",""),"-","")," ",""),"(",""),")",""),"+",""))=10,"ERRO: é fixo (ou falta o 9), use a coluna Telefone fixo","ERRO: DDD + 9 + 8 dígitos")))</f>
      </c>
      <c r="Y133" s="6">
        <f>IF(O133="","vazio",IF(AND(ISNUMBER(FIND("@",O133)),ISNUMBER(FIND(".",MID(O133,FIND("@",O133),99))),NOT(ISNUMBER(FIND(" ",TRIM(O133)))),NOT(ISNUMBER(FIND(";",O133))),NOT(ISNUMBER(FIND(",",O133)))),"OK","ERRO: um e-mail válido por linha"))</f>
      </c>
      <c r="Z133" s="6">
        <f>IF(AND(J133="",K133=""),"",IF(AND(J133&lt;&gt;"",K133&lt;&gt;""),"OK","pendente: só um nome (o GR completa ao converter)"))</f>
      </c>
      <c r="AA133" s="6">
        <f>IF(COUNTA(A133:S133)=0,"",IF(AND(A133&lt;&gt;"",B133&lt;&gt;"",C133&lt;&gt;"",D133&lt;&gt;"",E133&lt;&gt;"",F133&lt;&gt;"",G133&lt;&gt;"",H133&lt;&gt;"",OR(J133&lt;&gt;"",K133&lt;&gt;""),OR(M133&lt;&gt;"",N133&lt;&gt;"",O133&lt;&gt;"")),"OK","ERRO: faltam "&amp;IF(A133="","SDR; ","")&amp;IF(B133="","Proprietário; ","")&amp;IF(C133="","Origem; ","")&amp;IF(D133="","Temperatura; ","")&amp;IF(E133="","Segmento; ","")&amp;IF(F133="","Time/Cluster; ","")&amp;IF(G133="","CNPJ; ","")&amp;IF(H133="","Razão Social; ","")&amp;IF(AND(J133="",K133=""),"nome do contato; ","")&amp;IF(AND(M133="",N133="",O133=""),"telefone, celular ou e-mail; ","")))</f>
      </c>
      <c r="AB133" s="6">
        <f>IF(COUNTA(A133:S133)=0,"",IF(AND(U133="OK",V133="OK",LEFT(W133,4)&lt;&gt;"ERRO",LEFT(X133,4)&lt;&gt;"ERRO",LEFT(Y133,4)&lt;&gt;"ERRO",AA133="OK"),"OK","REVISAR"))</f>
      </c>
    </row>
    <row r="134">
      <c r="A134" s="5"/>
      <c r="B134" s="5"/>
      <c r="C134" s="5"/>
      <c r="D134" s="5"/>
      <c r="E134" s="5"/>
      <c r="F134" s="5"/>
      <c r="G134" s="5"/>
      <c r="H134" s="5"/>
      <c r="I134" s="4"/>
      <c r="J134" s="5"/>
      <c r="K134" s="4"/>
      <c r="L134" s="4"/>
      <c r="M134" s="4"/>
      <c r="N134" s="4"/>
      <c r="O134" s="4"/>
      <c r="P134" s="4"/>
      <c r="Q134" s="4"/>
      <c r="R134" s="4"/>
      <c r="S134" s="4"/>
      <c r="T134" s="6">
        <f>IF(G134="","",SUBSTITUTE(SUBSTITUTE(SUBSTITUTE(SUBSTITUTE(SUBSTITUTE(SUBSTITUTE(SUBSTITUTE(TRIM(G134),".",""),"/",""),"-","")," ",""),"(",""),")",""),"+",""))</f>
      </c>
      <c r="U134" s="6">
        <f>IF(T134="","",IF(LEN(T134)&lt;&gt;14,"ERRO: "&amp;LEN(T134)&amp;" dígitos",IF(NOT(ISNUMBER(VALUE(T134))),"ERRO: não numérico",IF(LEN(SUBSTITUTE(T134,LEFT(T134,1),""))=0,"ERRO: dígitos repetidos",IF(AND(VALUE(MID(T134,13,1))=IF(MOD(SUMPRODUCT(--MID(T134,{1,2,3,4,5,6,7,8,9,10,11,12},1),{5,4,3,2,9,8,7,6,5,4,3,2}),11)&lt;2,0,11-MOD(SUMPRODUCT(--MID(T134,{1,2,3,4,5,6,7,8,9,10,11,12},1),{5,4,3,2,9,8,7,6,5,4,3,2}),11)),VALUE(MID(T134,14,1))=IF(MOD(SUMPRODUCT(--MID(T134,{1,2,3,4,5,6,7,8,9,10,11,12,13},1),{6,5,4,3,2,9,8,7,6,5,4,3,2}),11)&lt;2,0,11-MOD(SUMPRODUCT(--MID(T134,{1,2,3,4,5,6,7,8,9,10,11,12,13},1),{6,5,4,3,2,9,8,7,6,5,4,3,2}),11))),"OK","ERRO: dígito verificador")))))</f>
      </c>
      <c r="V134" s="6">
        <f>IF(T134="","",IF(COUNTIF($T$2:$T$1001,T134)&gt;1,"DUPLICADO","OK"))</f>
      </c>
      <c r="W134" s="6">
        <f>IF(M134="","vazio",IF(OR(AND(LEN(SUBSTITUTE(SUBSTITUTE(SUBSTITUTE(SUBSTITUTE(SUBSTITUTE(SUBSTITUTE(SUBSTITUTE(TRIM(M134),".",""),"/",""),"-","")," ",""),"(",""),")",""),"+",""))=10,LEFT(SUBSTITUTE(SUBSTITUTE(SUBSTITUTE(SUBSTITUTE(SUBSTITUTE(SUBSTITUTE(SUBSTITUTE(TRIM(M134),".",""),"/",""),"-","")," ",""),"(",""),")",""),"+",""),1)&lt;&gt;"0"),AND(LEN(SUBSTITUTE(SUBSTITUTE(SUBSTITUTE(SUBSTITUTE(SUBSTITUTE(SUBSTITUTE(SUBSTITUTE(TRIM(M134),".",""),"/",""),"-","")," ",""),"(",""),")",""),"+",""))=11,LEFT(SUBSTITUTE(SUBSTITUTE(SUBSTITUTE(SUBSTITUTE(SUBSTITUTE(SUBSTITUTE(SUBSTITUTE(TRIM(M134),".",""),"/",""),"-","")," ",""),"(",""),")",""),"+",""),4)="0800")),"OK",IF(AND(LEN(SUBSTITUTE(SUBSTITUTE(SUBSTITUTE(SUBSTITUTE(SUBSTITUTE(SUBSTITUTE(SUBSTITUTE(TRIM(M134),".",""),"/",""),"-","")," ",""),"(",""),")",""),"+",""))=11,MID(SUBSTITUTE(SUBSTITUTE(SUBSTITUTE(SUBSTITUTE(SUBSTITUTE(SUBSTITUTE(SUBSTITUTE(TRIM(M134),".",""),"/",""),"-","")," ",""),"(",""),")",""),"+",""),3,1)="9"),"ERRO: é celular, use a coluna Celular","ERRO: DDD + 8 dígitos ou 0800 + 7")))</f>
      </c>
      <c r="X134" s="6">
        <f>IF(N134="","vazio",IF(AND(LEN(SUBSTITUTE(SUBSTITUTE(SUBSTITUTE(SUBSTITUTE(SUBSTITUTE(SUBSTITUTE(SUBSTITUTE(TRIM(N134),".",""),"/",""),"-","")," ",""),"(",""),")",""),"+",""))=11,MID(SUBSTITUTE(SUBSTITUTE(SUBSTITUTE(SUBSTITUTE(SUBSTITUTE(SUBSTITUTE(SUBSTITUTE(TRIM(N134),".",""),"/",""),"-","")," ",""),"(",""),")",""),"+",""),3,1)="9",LEFT(SUBSTITUTE(SUBSTITUTE(SUBSTITUTE(SUBSTITUTE(SUBSTITUTE(SUBSTITUTE(SUBSTITUTE(TRIM(N134),".",""),"/",""),"-","")," ",""),"(",""),")",""),"+",""),1)&lt;&gt;"0"),"OK",IF(LEN(SUBSTITUTE(SUBSTITUTE(SUBSTITUTE(SUBSTITUTE(SUBSTITUTE(SUBSTITUTE(SUBSTITUTE(TRIM(N134),".",""),"/",""),"-","")," ",""),"(",""),")",""),"+",""))=10,"ERRO: é fixo (ou falta o 9), use a coluna Telefone fixo","ERRO: DDD + 9 + 8 dígitos")))</f>
      </c>
      <c r="Y134" s="6">
        <f>IF(O134="","vazio",IF(AND(ISNUMBER(FIND("@",O134)),ISNUMBER(FIND(".",MID(O134,FIND("@",O134),99))),NOT(ISNUMBER(FIND(" ",TRIM(O134)))),NOT(ISNUMBER(FIND(";",O134))),NOT(ISNUMBER(FIND(",",O134)))),"OK","ERRO: um e-mail válido por linha"))</f>
      </c>
      <c r="Z134" s="6">
        <f>IF(AND(J134="",K134=""),"",IF(AND(J134&lt;&gt;"",K134&lt;&gt;""),"OK","pendente: só um nome (o GR completa ao converter)"))</f>
      </c>
      <c r="AA134" s="6">
        <f>IF(COUNTA(A134:S134)=0,"",IF(AND(A134&lt;&gt;"",B134&lt;&gt;"",C134&lt;&gt;"",D134&lt;&gt;"",E134&lt;&gt;"",F134&lt;&gt;"",G134&lt;&gt;"",H134&lt;&gt;"",OR(J134&lt;&gt;"",K134&lt;&gt;""),OR(M134&lt;&gt;"",N134&lt;&gt;"",O134&lt;&gt;"")),"OK","ERRO: faltam "&amp;IF(A134="","SDR; ","")&amp;IF(B134="","Proprietário; ","")&amp;IF(C134="","Origem; ","")&amp;IF(D134="","Temperatura; ","")&amp;IF(E134="","Segmento; ","")&amp;IF(F134="","Time/Cluster; ","")&amp;IF(G134="","CNPJ; ","")&amp;IF(H134="","Razão Social; ","")&amp;IF(AND(J134="",K134=""),"nome do contato; ","")&amp;IF(AND(M134="",N134="",O134=""),"telefone, celular ou e-mail; ","")))</f>
      </c>
      <c r="AB134" s="6">
        <f>IF(COUNTA(A134:S134)=0,"",IF(AND(U134="OK",V134="OK",LEFT(W134,4)&lt;&gt;"ERRO",LEFT(X134,4)&lt;&gt;"ERRO",LEFT(Y134,4)&lt;&gt;"ERRO",AA134="OK"),"OK","REVISAR"))</f>
      </c>
    </row>
    <row r="135">
      <c r="A135" s="5"/>
      <c r="B135" s="5"/>
      <c r="C135" s="5"/>
      <c r="D135" s="5"/>
      <c r="E135" s="5"/>
      <c r="F135" s="5"/>
      <c r="G135" s="5"/>
      <c r="H135" s="5"/>
      <c r="I135" s="4"/>
      <c r="J135" s="5"/>
      <c r="K135" s="4"/>
      <c r="L135" s="4"/>
      <c r="M135" s="4"/>
      <c r="N135" s="4"/>
      <c r="O135" s="4"/>
      <c r="P135" s="4"/>
      <c r="Q135" s="4"/>
      <c r="R135" s="4"/>
      <c r="S135" s="4"/>
      <c r="T135" s="6">
        <f>IF(G135="","",SUBSTITUTE(SUBSTITUTE(SUBSTITUTE(SUBSTITUTE(SUBSTITUTE(SUBSTITUTE(SUBSTITUTE(TRIM(G135),".",""),"/",""),"-","")," ",""),"(",""),")",""),"+",""))</f>
      </c>
      <c r="U135" s="6">
        <f>IF(T135="","",IF(LEN(T135)&lt;&gt;14,"ERRO: "&amp;LEN(T135)&amp;" dígitos",IF(NOT(ISNUMBER(VALUE(T135))),"ERRO: não numérico",IF(LEN(SUBSTITUTE(T135,LEFT(T135,1),""))=0,"ERRO: dígitos repetidos",IF(AND(VALUE(MID(T135,13,1))=IF(MOD(SUMPRODUCT(--MID(T135,{1,2,3,4,5,6,7,8,9,10,11,12},1),{5,4,3,2,9,8,7,6,5,4,3,2}),11)&lt;2,0,11-MOD(SUMPRODUCT(--MID(T135,{1,2,3,4,5,6,7,8,9,10,11,12},1),{5,4,3,2,9,8,7,6,5,4,3,2}),11)),VALUE(MID(T135,14,1))=IF(MOD(SUMPRODUCT(--MID(T135,{1,2,3,4,5,6,7,8,9,10,11,12,13},1),{6,5,4,3,2,9,8,7,6,5,4,3,2}),11)&lt;2,0,11-MOD(SUMPRODUCT(--MID(T135,{1,2,3,4,5,6,7,8,9,10,11,12,13},1),{6,5,4,3,2,9,8,7,6,5,4,3,2}),11))),"OK","ERRO: dígito verificador")))))</f>
      </c>
      <c r="V135" s="6">
        <f>IF(T135="","",IF(COUNTIF($T$2:$T$1001,T135)&gt;1,"DUPLICADO","OK"))</f>
      </c>
      <c r="W135" s="6">
        <f>IF(M135="","vazio",IF(OR(AND(LEN(SUBSTITUTE(SUBSTITUTE(SUBSTITUTE(SUBSTITUTE(SUBSTITUTE(SUBSTITUTE(SUBSTITUTE(TRIM(M135),".",""),"/",""),"-","")," ",""),"(",""),")",""),"+",""))=10,LEFT(SUBSTITUTE(SUBSTITUTE(SUBSTITUTE(SUBSTITUTE(SUBSTITUTE(SUBSTITUTE(SUBSTITUTE(TRIM(M135),".",""),"/",""),"-","")," ",""),"(",""),")",""),"+",""),1)&lt;&gt;"0"),AND(LEN(SUBSTITUTE(SUBSTITUTE(SUBSTITUTE(SUBSTITUTE(SUBSTITUTE(SUBSTITUTE(SUBSTITUTE(TRIM(M135),".",""),"/",""),"-","")," ",""),"(",""),")",""),"+",""))=11,LEFT(SUBSTITUTE(SUBSTITUTE(SUBSTITUTE(SUBSTITUTE(SUBSTITUTE(SUBSTITUTE(SUBSTITUTE(TRIM(M135),".",""),"/",""),"-","")," ",""),"(",""),")",""),"+",""),4)="0800")),"OK",IF(AND(LEN(SUBSTITUTE(SUBSTITUTE(SUBSTITUTE(SUBSTITUTE(SUBSTITUTE(SUBSTITUTE(SUBSTITUTE(TRIM(M135),".",""),"/",""),"-","")," ",""),"(",""),")",""),"+",""))=11,MID(SUBSTITUTE(SUBSTITUTE(SUBSTITUTE(SUBSTITUTE(SUBSTITUTE(SUBSTITUTE(SUBSTITUTE(TRIM(M135),".",""),"/",""),"-","")," ",""),"(",""),")",""),"+",""),3,1)="9"),"ERRO: é celular, use a coluna Celular","ERRO: DDD + 8 dígitos ou 0800 + 7")))</f>
      </c>
      <c r="X135" s="6">
        <f>IF(N135="","vazio",IF(AND(LEN(SUBSTITUTE(SUBSTITUTE(SUBSTITUTE(SUBSTITUTE(SUBSTITUTE(SUBSTITUTE(SUBSTITUTE(TRIM(N135),".",""),"/",""),"-","")," ",""),"(",""),")",""),"+",""))=11,MID(SUBSTITUTE(SUBSTITUTE(SUBSTITUTE(SUBSTITUTE(SUBSTITUTE(SUBSTITUTE(SUBSTITUTE(TRIM(N135),".",""),"/",""),"-","")," ",""),"(",""),")",""),"+",""),3,1)="9",LEFT(SUBSTITUTE(SUBSTITUTE(SUBSTITUTE(SUBSTITUTE(SUBSTITUTE(SUBSTITUTE(SUBSTITUTE(TRIM(N135),".",""),"/",""),"-","")," ",""),"(",""),")",""),"+",""),1)&lt;&gt;"0"),"OK",IF(LEN(SUBSTITUTE(SUBSTITUTE(SUBSTITUTE(SUBSTITUTE(SUBSTITUTE(SUBSTITUTE(SUBSTITUTE(TRIM(N135),".",""),"/",""),"-","")," ",""),"(",""),")",""),"+",""))=10,"ERRO: é fixo (ou falta o 9), use a coluna Telefone fixo","ERRO: DDD + 9 + 8 dígitos")))</f>
      </c>
      <c r="Y135" s="6">
        <f>IF(O135="","vazio",IF(AND(ISNUMBER(FIND("@",O135)),ISNUMBER(FIND(".",MID(O135,FIND("@",O135),99))),NOT(ISNUMBER(FIND(" ",TRIM(O135)))),NOT(ISNUMBER(FIND(";",O135))),NOT(ISNUMBER(FIND(",",O135)))),"OK","ERRO: um e-mail válido por linha"))</f>
      </c>
      <c r="Z135" s="6">
        <f>IF(AND(J135="",K135=""),"",IF(AND(J135&lt;&gt;"",K135&lt;&gt;""),"OK","pendente: só um nome (o GR completa ao converter)"))</f>
      </c>
      <c r="AA135" s="6">
        <f>IF(COUNTA(A135:S135)=0,"",IF(AND(A135&lt;&gt;"",B135&lt;&gt;"",C135&lt;&gt;"",D135&lt;&gt;"",E135&lt;&gt;"",F135&lt;&gt;"",G135&lt;&gt;"",H135&lt;&gt;"",OR(J135&lt;&gt;"",K135&lt;&gt;""),OR(M135&lt;&gt;"",N135&lt;&gt;"",O135&lt;&gt;"")),"OK","ERRO: faltam "&amp;IF(A135="","SDR; ","")&amp;IF(B135="","Proprietário; ","")&amp;IF(C135="","Origem; ","")&amp;IF(D135="","Temperatura; ","")&amp;IF(E135="","Segmento; ","")&amp;IF(F135="","Time/Cluster; ","")&amp;IF(G135="","CNPJ; ","")&amp;IF(H135="","Razão Social; ","")&amp;IF(AND(J135="",K135=""),"nome do contato; ","")&amp;IF(AND(M135="",N135="",O135=""),"telefone, celular ou e-mail; ","")))</f>
      </c>
      <c r="AB135" s="6">
        <f>IF(COUNTA(A135:S135)=0,"",IF(AND(U135="OK",V135="OK",LEFT(W135,4)&lt;&gt;"ERRO",LEFT(X135,4)&lt;&gt;"ERRO",LEFT(Y135,4)&lt;&gt;"ERRO",AA135="OK"),"OK","REVISAR"))</f>
      </c>
    </row>
    <row r="136">
      <c r="A136" s="5"/>
      <c r="B136" s="5"/>
      <c r="C136" s="5"/>
      <c r="D136" s="5"/>
      <c r="E136" s="5"/>
      <c r="F136" s="5"/>
      <c r="G136" s="5"/>
      <c r="H136" s="5"/>
      <c r="I136" s="4"/>
      <c r="J136" s="5"/>
      <c r="K136" s="4"/>
      <c r="L136" s="4"/>
      <c r="M136" s="4"/>
      <c r="N136" s="4"/>
      <c r="O136" s="4"/>
      <c r="P136" s="4"/>
      <c r="Q136" s="4"/>
      <c r="R136" s="4"/>
      <c r="S136" s="4"/>
      <c r="T136" s="6">
        <f>IF(G136="","",SUBSTITUTE(SUBSTITUTE(SUBSTITUTE(SUBSTITUTE(SUBSTITUTE(SUBSTITUTE(SUBSTITUTE(TRIM(G136),".",""),"/",""),"-","")," ",""),"(",""),")",""),"+",""))</f>
      </c>
      <c r="U136" s="6">
        <f>IF(T136="","",IF(LEN(T136)&lt;&gt;14,"ERRO: "&amp;LEN(T136)&amp;" dígitos",IF(NOT(ISNUMBER(VALUE(T136))),"ERRO: não numérico",IF(LEN(SUBSTITUTE(T136,LEFT(T136,1),""))=0,"ERRO: dígitos repetidos",IF(AND(VALUE(MID(T136,13,1))=IF(MOD(SUMPRODUCT(--MID(T136,{1,2,3,4,5,6,7,8,9,10,11,12},1),{5,4,3,2,9,8,7,6,5,4,3,2}),11)&lt;2,0,11-MOD(SUMPRODUCT(--MID(T136,{1,2,3,4,5,6,7,8,9,10,11,12},1),{5,4,3,2,9,8,7,6,5,4,3,2}),11)),VALUE(MID(T136,14,1))=IF(MOD(SUMPRODUCT(--MID(T136,{1,2,3,4,5,6,7,8,9,10,11,12,13},1),{6,5,4,3,2,9,8,7,6,5,4,3,2}),11)&lt;2,0,11-MOD(SUMPRODUCT(--MID(T136,{1,2,3,4,5,6,7,8,9,10,11,12,13},1),{6,5,4,3,2,9,8,7,6,5,4,3,2}),11))),"OK","ERRO: dígito verificador")))))</f>
      </c>
      <c r="V136" s="6">
        <f>IF(T136="","",IF(COUNTIF($T$2:$T$1001,T136)&gt;1,"DUPLICADO","OK"))</f>
      </c>
      <c r="W136" s="6">
        <f>IF(M136="","vazio",IF(OR(AND(LEN(SUBSTITUTE(SUBSTITUTE(SUBSTITUTE(SUBSTITUTE(SUBSTITUTE(SUBSTITUTE(SUBSTITUTE(TRIM(M136),".",""),"/",""),"-","")," ",""),"(",""),")",""),"+",""))=10,LEFT(SUBSTITUTE(SUBSTITUTE(SUBSTITUTE(SUBSTITUTE(SUBSTITUTE(SUBSTITUTE(SUBSTITUTE(TRIM(M136),".",""),"/",""),"-","")," ",""),"(",""),")",""),"+",""),1)&lt;&gt;"0"),AND(LEN(SUBSTITUTE(SUBSTITUTE(SUBSTITUTE(SUBSTITUTE(SUBSTITUTE(SUBSTITUTE(SUBSTITUTE(TRIM(M136),".",""),"/",""),"-","")," ",""),"(",""),")",""),"+",""))=11,LEFT(SUBSTITUTE(SUBSTITUTE(SUBSTITUTE(SUBSTITUTE(SUBSTITUTE(SUBSTITUTE(SUBSTITUTE(TRIM(M136),".",""),"/",""),"-","")," ",""),"(",""),")",""),"+",""),4)="0800")),"OK",IF(AND(LEN(SUBSTITUTE(SUBSTITUTE(SUBSTITUTE(SUBSTITUTE(SUBSTITUTE(SUBSTITUTE(SUBSTITUTE(TRIM(M136),".",""),"/",""),"-","")," ",""),"(",""),")",""),"+",""))=11,MID(SUBSTITUTE(SUBSTITUTE(SUBSTITUTE(SUBSTITUTE(SUBSTITUTE(SUBSTITUTE(SUBSTITUTE(TRIM(M136),".",""),"/",""),"-","")," ",""),"(",""),")",""),"+",""),3,1)="9"),"ERRO: é celular, use a coluna Celular","ERRO: DDD + 8 dígitos ou 0800 + 7")))</f>
      </c>
      <c r="X136" s="6">
        <f>IF(N136="","vazio",IF(AND(LEN(SUBSTITUTE(SUBSTITUTE(SUBSTITUTE(SUBSTITUTE(SUBSTITUTE(SUBSTITUTE(SUBSTITUTE(TRIM(N136),".",""),"/",""),"-","")," ",""),"(",""),")",""),"+",""))=11,MID(SUBSTITUTE(SUBSTITUTE(SUBSTITUTE(SUBSTITUTE(SUBSTITUTE(SUBSTITUTE(SUBSTITUTE(TRIM(N136),".",""),"/",""),"-","")," ",""),"(",""),")",""),"+",""),3,1)="9",LEFT(SUBSTITUTE(SUBSTITUTE(SUBSTITUTE(SUBSTITUTE(SUBSTITUTE(SUBSTITUTE(SUBSTITUTE(TRIM(N136),".",""),"/",""),"-","")," ",""),"(",""),")",""),"+",""),1)&lt;&gt;"0"),"OK",IF(LEN(SUBSTITUTE(SUBSTITUTE(SUBSTITUTE(SUBSTITUTE(SUBSTITUTE(SUBSTITUTE(SUBSTITUTE(TRIM(N136),".",""),"/",""),"-","")," ",""),"(",""),")",""),"+",""))=10,"ERRO: é fixo (ou falta o 9), use a coluna Telefone fixo","ERRO: DDD + 9 + 8 dígitos")))</f>
      </c>
      <c r="Y136" s="6">
        <f>IF(O136="","vazio",IF(AND(ISNUMBER(FIND("@",O136)),ISNUMBER(FIND(".",MID(O136,FIND("@",O136),99))),NOT(ISNUMBER(FIND(" ",TRIM(O136)))),NOT(ISNUMBER(FIND(";",O136))),NOT(ISNUMBER(FIND(",",O136)))),"OK","ERRO: um e-mail válido por linha"))</f>
      </c>
      <c r="Z136" s="6">
        <f>IF(AND(J136="",K136=""),"",IF(AND(J136&lt;&gt;"",K136&lt;&gt;""),"OK","pendente: só um nome (o GR completa ao converter)"))</f>
      </c>
      <c r="AA136" s="6">
        <f>IF(COUNTA(A136:S136)=0,"",IF(AND(A136&lt;&gt;"",B136&lt;&gt;"",C136&lt;&gt;"",D136&lt;&gt;"",E136&lt;&gt;"",F136&lt;&gt;"",G136&lt;&gt;"",H136&lt;&gt;"",OR(J136&lt;&gt;"",K136&lt;&gt;""),OR(M136&lt;&gt;"",N136&lt;&gt;"",O136&lt;&gt;"")),"OK","ERRO: faltam "&amp;IF(A136="","SDR; ","")&amp;IF(B136="","Proprietário; ","")&amp;IF(C136="","Origem; ","")&amp;IF(D136="","Temperatura; ","")&amp;IF(E136="","Segmento; ","")&amp;IF(F136="","Time/Cluster; ","")&amp;IF(G136="","CNPJ; ","")&amp;IF(H136="","Razão Social; ","")&amp;IF(AND(J136="",K136=""),"nome do contato; ","")&amp;IF(AND(M136="",N136="",O136=""),"telefone, celular ou e-mail; ","")))</f>
      </c>
      <c r="AB136" s="6">
        <f>IF(COUNTA(A136:S136)=0,"",IF(AND(U136="OK",V136="OK",LEFT(W136,4)&lt;&gt;"ERRO",LEFT(X136,4)&lt;&gt;"ERRO",LEFT(Y136,4)&lt;&gt;"ERRO",AA136="OK"),"OK","REVISAR"))</f>
      </c>
    </row>
    <row r="137">
      <c r="A137" s="5"/>
      <c r="B137" s="5"/>
      <c r="C137" s="5"/>
      <c r="D137" s="5"/>
      <c r="E137" s="5"/>
      <c r="F137" s="5"/>
      <c r="G137" s="5"/>
      <c r="H137" s="5"/>
      <c r="I137" s="4"/>
      <c r="J137" s="5"/>
      <c r="K137" s="4"/>
      <c r="L137" s="4"/>
      <c r="M137" s="4"/>
      <c r="N137" s="4"/>
      <c r="O137" s="4"/>
      <c r="P137" s="4"/>
      <c r="Q137" s="4"/>
      <c r="R137" s="4"/>
      <c r="S137" s="4"/>
      <c r="T137" s="6">
        <f>IF(G137="","",SUBSTITUTE(SUBSTITUTE(SUBSTITUTE(SUBSTITUTE(SUBSTITUTE(SUBSTITUTE(SUBSTITUTE(TRIM(G137),".",""),"/",""),"-","")," ",""),"(",""),")",""),"+",""))</f>
      </c>
      <c r="U137" s="6">
        <f>IF(T137="","",IF(LEN(T137)&lt;&gt;14,"ERRO: "&amp;LEN(T137)&amp;" dígitos",IF(NOT(ISNUMBER(VALUE(T137))),"ERRO: não numérico",IF(LEN(SUBSTITUTE(T137,LEFT(T137,1),""))=0,"ERRO: dígitos repetidos",IF(AND(VALUE(MID(T137,13,1))=IF(MOD(SUMPRODUCT(--MID(T137,{1,2,3,4,5,6,7,8,9,10,11,12},1),{5,4,3,2,9,8,7,6,5,4,3,2}),11)&lt;2,0,11-MOD(SUMPRODUCT(--MID(T137,{1,2,3,4,5,6,7,8,9,10,11,12},1),{5,4,3,2,9,8,7,6,5,4,3,2}),11)),VALUE(MID(T137,14,1))=IF(MOD(SUMPRODUCT(--MID(T137,{1,2,3,4,5,6,7,8,9,10,11,12,13},1),{6,5,4,3,2,9,8,7,6,5,4,3,2}),11)&lt;2,0,11-MOD(SUMPRODUCT(--MID(T137,{1,2,3,4,5,6,7,8,9,10,11,12,13},1),{6,5,4,3,2,9,8,7,6,5,4,3,2}),11))),"OK","ERRO: dígito verificador")))))</f>
      </c>
      <c r="V137" s="6">
        <f>IF(T137="","",IF(COUNTIF($T$2:$T$1001,T137)&gt;1,"DUPLICADO","OK"))</f>
      </c>
      <c r="W137" s="6">
        <f>IF(M137="","vazio",IF(OR(AND(LEN(SUBSTITUTE(SUBSTITUTE(SUBSTITUTE(SUBSTITUTE(SUBSTITUTE(SUBSTITUTE(SUBSTITUTE(TRIM(M137),".",""),"/",""),"-","")," ",""),"(",""),")",""),"+",""))=10,LEFT(SUBSTITUTE(SUBSTITUTE(SUBSTITUTE(SUBSTITUTE(SUBSTITUTE(SUBSTITUTE(SUBSTITUTE(TRIM(M137),".",""),"/",""),"-","")," ",""),"(",""),")",""),"+",""),1)&lt;&gt;"0"),AND(LEN(SUBSTITUTE(SUBSTITUTE(SUBSTITUTE(SUBSTITUTE(SUBSTITUTE(SUBSTITUTE(SUBSTITUTE(TRIM(M137),".",""),"/",""),"-","")," ",""),"(",""),")",""),"+",""))=11,LEFT(SUBSTITUTE(SUBSTITUTE(SUBSTITUTE(SUBSTITUTE(SUBSTITUTE(SUBSTITUTE(SUBSTITUTE(TRIM(M137),".",""),"/",""),"-","")," ",""),"(",""),")",""),"+",""),4)="0800")),"OK",IF(AND(LEN(SUBSTITUTE(SUBSTITUTE(SUBSTITUTE(SUBSTITUTE(SUBSTITUTE(SUBSTITUTE(SUBSTITUTE(TRIM(M137),".",""),"/",""),"-","")," ",""),"(",""),")",""),"+",""))=11,MID(SUBSTITUTE(SUBSTITUTE(SUBSTITUTE(SUBSTITUTE(SUBSTITUTE(SUBSTITUTE(SUBSTITUTE(TRIM(M137),".",""),"/",""),"-","")," ",""),"(",""),")",""),"+",""),3,1)="9"),"ERRO: é celular, use a coluna Celular","ERRO: DDD + 8 dígitos ou 0800 + 7")))</f>
      </c>
      <c r="X137" s="6">
        <f>IF(N137="","vazio",IF(AND(LEN(SUBSTITUTE(SUBSTITUTE(SUBSTITUTE(SUBSTITUTE(SUBSTITUTE(SUBSTITUTE(SUBSTITUTE(TRIM(N137),".",""),"/",""),"-","")," ",""),"(",""),")",""),"+",""))=11,MID(SUBSTITUTE(SUBSTITUTE(SUBSTITUTE(SUBSTITUTE(SUBSTITUTE(SUBSTITUTE(SUBSTITUTE(TRIM(N137),".",""),"/",""),"-","")," ",""),"(",""),")",""),"+",""),3,1)="9",LEFT(SUBSTITUTE(SUBSTITUTE(SUBSTITUTE(SUBSTITUTE(SUBSTITUTE(SUBSTITUTE(SUBSTITUTE(TRIM(N137),".",""),"/",""),"-","")," ",""),"(",""),")",""),"+",""),1)&lt;&gt;"0"),"OK",IF(LEN(SUBSTITUTE(SUBSTITUTE(SUBSTITUTE(SUBSTITUTE(SUBSTITUTE(SUBSTITUTE(SUBSTITUTE(TRIM(N137),".",""),"/",""),"-","")," ",""),"(",""),")",""),"+",""))=10,"ERRO: é fixo (ou falta o 9), use a coluna Telefone fixo","ERRO: DDD + 9 + 8 dígitos")))</f>
      </c>
      <c r="Y137" s="6">
        <f>IF(O137="","vazio",IF(AND(ISNUMBER(FIND("@",O137)),ISNUMBER(FIND(".",MID(O137,FIND("@",O137),99))),NOT(ISNUMBER(FIND(" ",TRIM(O137)))),NOT(ISNUMBER(FIND(";",O137))),NOT(ISNUMBER(FIND(",",O137)))),"OK","ERRO: um e-mail válido por linha"))</f>
      </c>
      <c r="Z137" s="6">
        <f>IF(AND(J137="",K137=""),"",IF(AND(J137&lt;&gt;"",K137&lt;&gt;""),"OK","pendente: só um nome (o GR completa ao converter)"))</f>
      </c>
      <c r="AA137" s="6">
        <f>IF(COUNTA(A137:S137)=0,"",IF(AND(A137&lt;&gt;"",B137&lt;&gt;"",C137&lt;&gt;"",D137&lt;&gt;"",E137&lt;&gt;"",F137&lt;&gt;"",G137&lt;&gt;"",H137&lt;&gt;"",OR(J137&lt;&gt;"",K137&lt;&gt;""),OR(M137&lt;&gt;"",N137&lt;&gt;"",O137&lt;&gt;"")),"OK","ERRO: faltam "&amp;IF(A137="","SDR; ","")&amp;IF(B137="","Proprietário; ","")&amp;IF(C137="","Origem; ","")&amp;IF(D137="","Temperatura; ","")&amp;IF(E137="","Segmento; ","")&amp;IF(F137="","Time/Cluster; ","")&amp;IF(G137="","CNPJ; ","")&amp;IF(H137="","Razão Social; ","")&amp;IF(AND(J137="",K137=""),"nome do contato; ","")&amp;IF(AND(M137="",N137="",O137=""),"telefone, celular ou e-mail; ","")))</f>
      </c>
      <c r="AB137" s="6">
        <f>IF(COUNTA(A137:S137)=0,"",IF(AND(U137="OK",V137="OK",LEFT(W137,4)&lt;&gt;"ERRO",LEFT(X137,4)&lt;&gt;"ERRO",LEFT(Y137,4)&lt;&gt;"ERRO",AA137="OK"),"OK","REVISAR"))</f>
      </c>
    </row>
    <row r="138">
      <c r="A138" s="5"/>
      <c r="B138" s="5"/>
      <c r="C138" s="5"/>
      <c r="D138" s="5"/>
      <c r="E138" s="5"/>
      <c r="F138" s="5"/>
      <c r="G138" s="5"/>
      <c r="H138" s="5"/>
      <c r="I138" s="4"/>
      <c r="J138" s="5"/>
      <c r="K138" s="4"/>
      <c r="L138" s="4"/>
      <c r="M138" s="4"/>
      <c r="N138" s="4"/>
      <c r="O138" s="4"/>
      <c r="P138" s="4"/>
      <c r="Q138" s="4"/>
      <c r="R138" s="4"/>
      <c r="S138" s="4"/>
      <c r="T138" s="6">
        <f>IF(G138="","",SUBSTITUTE(SUBSTITUTE(SUBSTITUTE(SUBSTITUTE(SUBSTITUTE(SUBSTITUTE(SUBSTITUTE(TRIM(G138),".",""),"/",""),"-","")," ",""),"(",""),")",""),"+",""))</f>
      </c>
      <c r="U138" s="6">
        <f>IF(T138="","",IF(LEN(T138)&lt;&gt;14,"ERRO: "&amp;LEN(T138)&amp;" dígitos",IF(NOT(ISNUMBER(VALUE(T138))),"ERRO: não numérico",IF(LEN(SUBSTITUTE(T138,LEFT(T138,1),""))=0,"ERRO: dígitos repetidos",IF(AND(VALUE(MID(T138,13,1))=IF(MOD(SUMPRODUCT(--MID(T138,{1,2,3,4,5,6,7,8,9,10,11,12},1),{5,4,3,2,9,8,7,6,5,4,3,2}),11)&lt;2,0,11-MOD(SUMPRODUCT(--MID(T138,{1,2,3,4,5,6,7,8,9,10,11,12},1),{5,4,3,2,9,8,7,6,5,4,3,2}),11)),VALUE(MID(T138,14,1))=IF(MOD(SUMPRODUCT(--MID(T138,{1,2,3,4,5,6,7,8,9,10,11,12,13},1),{6,5,4,3,2,9,8,7,6,5,4,3,2}),11)&lt;2,0,11-MOD(SUMPRODUCT(--MID(T138,{1,2,3,4,5,6,7,8,9,10,11,12,13},1),{6,5,4,3,2,9,8,7,6,5,4,3,2}),11))),"OK","ERRO: dígito verificador")))))</f>
      </c>
      <c r="V138" s="6">
        <f>IF(T138="","",IF(COUNTIF($T$2:$T$1001,T138)&gt;1,"DUPLICADO","OK"))</f>
      </c>
      <c r="W138" s="6">
        <f>IF(M138="","vazio",IF(OR(AND(LEN(SUBSTITUTE(SUBSTITUTE(SUBSTITUTE(SUBSTITUTE(SUBSTITUTE(SUBSTITUTE(SUBSTITUTE(TRIM(M138),".",""),"/",""),"-","")," ",""),"(",""),")",""),"+",""))=10,LEFT(SUBSTITUTE(SUBSTITUTE(SUBSTITUTE(SUBSTITUTE(SUBSTITUTE(SUBSTITUTE(SUBSTITUTE(TRIM(M138),".",""),"/",""),"-","")," ",""),"(",""),")",""),"+",""),1)&lt;&gt;"0"),AND(LEN(SUBSTITUTE(SUBSTITUTE(SUBSTITUTE(SUBSTITUTE(SUBSTITUTE(SUBSTITUTE(SUBSTITUTE(TRIM(M138),".",""),"/",""),"-","")," ",""),"(",""),")",""),"+",""))=11,LEFT(SUBSTITUTE(SUBSTITUTE(SUBSTITUTE(SUBSTITUTE(SUBSTITUTE(SUBSTITUTE(SUBSTITUTE(TRIM(M138),".",""),"/",""),"-","")," ",""),"(",""),")",""),"+",""),4)="0800")),"OK",IF(AND(LEN(SUBSTITUTE(SUBSTITUTE(SUBSTITUTE(SUBSTITUTE(SUBSTITUTE(SUBSTITUTE(SUBSTITUTE(TRIM(M138),".",""),"/",""),"-","")," ",""),"(",""),")",""),"+",""))=11,MID(SUBSTITUTE(SUBSTITUTE(SUBSTITUTE(SUBSTITUTE(SUBSTITUTE(SUBSTITUTE(SUBSTITUTE(TRIM(M138),".",""),"/",""),"-","")," ",""),"(",""),")",""),"+",""),3,1)="9"),"ERRO: é celular, use a coluna Celular","ERRO: DDD + 8 dígitos ou 0800 + 7")))</f>
      </c>
      <c r="X138" s="6">
        <f>IF(N138="","vazio",IF(AND(LEN(SUBSTITUTE(SUBSTITUTE(SUBSTITUTE(SUBSTITUTE(SUBSTITUTE(SUBSTITUTE(SUBSTITUTE(TRIM(N138),".",""),"/",""),"-","")," ",""),"(",""),")",""),"+",""))=11,MID(SUBSTITUTE(SUBSTITUTE(SUBSTITUTE(SUBSTITUTE(SUBSTITUTE(SUBSTITUTE(SUBSTITUTE(TRIM(N138),".",""),"/",""),"-","")," ",""),"(",""),")",""),"+",""),3,1)="9",LEFT(SUBSTITUTE(SUBSTITUTE(SUBSTITUTE(SUBSTITUTE(SUBSTITUTE(SUBSTITUTE(SUBSTITUTE(TRIM(N138),".",""),"/",""),"-","")," ",""),"(",""),")",""),"+",""),1)&lt;&gt;"0"),"OK",IF(LEN(SUBSTITUTE(SUBSTITUTE(SUBSTITUTE(SUBSTITUTE(SUBSTITUTE(SUBSTITUTE(SUBSTITUTE(TRIM(N138),".",""),"/",""),"-","")," ",""),"(",""),")",""),"+",""))=10,"ERRO: é fixo (ou falta o 9), use a coluna Telefone fixo","ERRO: DDD + 9 + 8 dígitos")))</f>
      </c>
      <c r="Y138" s="6">
        <f>IF(O138="","vazio",IF(AND(ISNUMBER(FIND("@",O138)),ISNUMBER(FIND(".",MID(O138,FIND("@",O138),99))),NOT(ISNUMBER(FIND(" ",TRIM(O138)))),NOT(ISNUMBER(FIND(";",O138))),NOT(ISNUMBER(FIND(",",O138)))),"OK","ERRO: um e-mail válido por linha"))</f>
      </c>
      <c r="Z138" s="6">
        <f>IF(AND(J138="",K138=""),"",IF(AND(J138&lt;&gt;"",K138&lt;&gt;""),"OK","pendente: só um nome (o GR completa ao converter)"))</f>
      </c>
      <c r="AA138" s="6">
        <f>IF(COUNTA(A138:S138)=0,"",IF(AND(A138&lt;&gt;"",B138&lt;&gt;"",C138&lt;&gt;"",D138&lt;&gt;"",E138&lt;&gt;"",F138&lt;&gt;"",G138&lt;&gt;"",H138&lt;&gt;"",OR(J138&lt;&gt;"",K138&lt;&gt;""),OR(M138&lt;&gt;"",N138&lt;&gt;"",O138&lt;&gt;"")),"OK","ERRO: faltam "&amp;IF(A138="","SDR; ","")&amp;IF(B138="","Proprietário; ","")&amp;IF(C138="","Origem; ","")&amp;IF(D138="","Temperatura; ","")&amp;IF(E138="","Segmento; ","")&amp;IF(F138="","Time/Cluster; ","")&amp;IF(G138="","CNPJ; ","")&amp;IF(H138="","Razão Social; ","")&amp;IF(AND(J138="",K138=""),"nome do contato; ","")&amp;IF(AND(M138="",N138="",O138=""),"telefone, celular ou e-mail; ","")))</f>
      </c>
      <c r="AB138" s="6">
        <f>IF(COUNTA(A138:S138)=0,"",IF(AND(U138="OK",V138="OK",LEFT(W138,4)&lt;&gt;"ERRO",LEFT(X138,4)&lt;&gt;"ERRO",LEFT(Y138,4)&lt;&gt;"ERRO",AA138="OK"),"OK","REVISAR"))</f>
      </c>
    </row>
    <row r="139">
      <c r="A139" s="5"/>
      <c r="B139" s="5"/>
      <c r="C139" s="5"/>
      <c r="D139" s="5"/>
      <c r="E139" s="5"/>
      <c r="F139" s="5"/>
      <c r="G139" s="5"/>
      <c r="H139" s="5"/>
      <c r="I139" s="4"/>
      <c r="J139" s="5"/>
      <c r="K139" s="4"/>
      <c r="L139" s="4"/>
      <c r="M139" s="4"/>
      <c r="N139" s="4"/>
      <c r="O139" s="4"/>
      <c r="P139" s="4"/>
      <c r="Q139" s="4"/>
      <c r="R139" s="4"/>
      <c r="S139" s="4"/>
      <c r="T139" s="6">
        <f>IF(G139="","",SUBSTITUTE(SUBSTITUTE(SUBSTITUTE(SUBSTITUTE(SUBSTITUTE(SUBSTITUTE(SUBSTITUTE(TRIM(G139),".",""),"/",""),"-","")," ",""),"(",""),")",""),"+",""))</f>
      </c>
      <c r="U139" s="6">
        <f>IF(T139="","",IF(LEN(T139)&lt;&gt;14,"ERRO: "&amp;LEN(T139)&amp;" dígitos",IF(NOT(ISNUMBER(VALUE(T139))),"ERRO: não numérico",IF(LEN(SUBSTITUTE(T139,LEFT(T139,1),""))=0,"ERRO: dígitos repetidos",IF(AND(VALUE(MID(T139,13,1))=IF(MOD(SUMPRODUCT(--MID(T139,{1,2,3,4,5,6,7,8,9,10,11,12},1),{5,4,3,2,9,8,7,6,5,4,3,2}),11)&lt;2,0,11-MOD(SUMPRODUCT(--MID(T139,{1,2,3,4,5,6,7,8,9,10,11,12},1),{5,4,3,2,9,8,7,6,5,4,3,2}),11)),VALUE(MID(T139,14,1))=IF(MOD(SUMPRODUCT(--MID(T139,{1,2,3,4,5,6,7,8,9,10,11,12,13},1),{6,5,4,3,2,9,8,7,6,5,4,3,2}),11)&lt;2,0,11-MOD(SUMPRODUCT(--MID(T139,{1,2,3,4,5,6,7,8,9,10,11,12,13},1),{6,5,4,3,2,9,8,7,6,5,4,3,2}),11))),"OK","ERRO: dígito verificador")))))</f>
      </c>
      <c r="V139" s="6">
        <f>IF(T139="","",IF(COUNTIF($T$2:$T$1001,T139)&gt;1,"DUPLICADO","OK"))</f>
      </c>
      <c r="W139" s="6">
        <f>IF(M139="","vazio",IF(OR(AND(LEN(SUBSTITUTE(SUBSTITUTE(SUBSTITUTE(SUBSTITUTE(SUBSTITUTE(SUBSTITUTE(SUBSTITUTE(TRIM(M139),".",""),"/",""),"-","")," ",""),"(",""),")",""),"+",""))=10,LEFT(SUBSTITUTE(SUBSTITUTE(SUBSTITUTE(SUBSTITUTE(SUBSTITUTE(SUBSTITUTE(SUBSTITUTE(TRIM(M139),".",""),"/",""),"-","")," ",""),"(",""),")",""),"+",""),1)&lt;&gt;"0"),AND(LEN(SUBSTITUTE(SUBSTITUTE(SUBSTITUTE(SUBSTITUTE(SUBSTITUTE(SUBSTITUTE(SUBSTITUTE(TRIM(M139),".",""),"/",""),"-","")," ",""),"(",""),")",""),"+",""))=11,LEFT(SUBSTITUTE(SUBSTITUTE(SUBSTITUTE(SUBSTITUTE(SUBSTITUTE(SUBSTITUTE(SUBSTITUTE(TRIM(M139),".",""),"/",""),"-","")," ",""),"(",""),")",""),"+",""),4)="0800")),"OK",IF(AND(LEN(SUBSTITUTE(SUBSTITUTE(SUBSTITUTE(SUBSTITUTE(SUBSTITUTE(SUBSTITUTE(SUBSTITUTE(TRIM(M139),".",""),"/",""),"-","")," ",""),"(",""),")",""),"+",""))=11,MID(SUBSTITUTE(SUBSTITUTE(SUBSTITUTE(SUBSTITUTE(SUBSTITUTE(SUBSTITUTE(SUBSTITUTE(TRIM(M139),".",""),"/",""),"-","")," ",""),"(",""),")",""),"+",""),3,1)="9"),"ERRO: é celular, use a coluna Celular","ERRO: DDD + 8 dígitos ou 0800 + 7")))</f>
      </c>
      <c r="X139" s="6">
        <f>IF(N139="","vazio",IF(AND(LEN(SUBSTITUTE(SUBSTITUTE(SUBSTITUTE(SUBSTITUTE(SUBSTITUTE(SUBSTITUTE(SUBSTITUTE(TRIM(N139),".",""),"/",""),"-","")," ",""),"(",""),")",""),"+",""))=11,MID(SUBSTITUTE(SUBSTITUTE(SUBSTITUTE(SUBSTITUTE(SUBSTITUTE(SUBSTITUTE(SUBSTITUTE(TRIM(N139),".",""),"/",""),"-","")," ",""),"(",""),")",""),"+",""),3,1)="9",LEFT(SUBSTITUTE(SUBSTITUTE(SUBSTITUTE(SUBSTITUTE(SUBSTITUTE(SUBSTITUTE(SUBSTITUTE(TRIM(N139),".",""),"/",""),"-","")," ",""),"(",""),")",""),"+",""),1)&lt;&gt;"0"),"OK",IF(LEN(SUBSTITUTE(SUBSTITUTE(SUBSTITUTE(SUBSTITUTE(SUBSTITUTE(SUBSTITUTE(SUBSTITUTE(TRIM(N139),".",""),"/",""),"-","")," ",""),"(",""),")",""),"+",""))=10,"ERRO: é fixo (ou falta o 9), use a coluna Telefone fixo","ERRO: DDD + 9 + 8 dígitos")))</f>
      </c>
      <c r="Y139" s="6">
        <f>IF(O139="","vazio",IF(AND(ISNUMBER(FIND("@",O139)),ISNUMBER(FIND(".",MID(O139,FIND("@",O139),99))),NOT(ISNUMBER(FIND(" ",TRIM(O139)))),NOT(ISNUMBER(FIND(";",O139))),NOT(ISNUMBER(FIND(",",O139)))),"OK","ERRO: um e-mail válido por linha"))</f>
      </c>
      <c r="Z139" s="6">
        <f>IF(AND(J139="",K139=""),"",IF(AND(J139&lt;&gt;"",K139&lt;&gt;""),"OK","pendente: só um nome (o GR completa ao converter)"))</f>
      </c>
      <c r="AA139" s="6">
        <f>IF(COUNTA(A139:S139)=0,"",IF(AND(A139&lt;&gt;"",B139&lt;&gt;"",C139&lt;&gt;"",D139&lt;&gt;"",E139&lt;&gt;"",F139&lt;&gt;"",G139&lt;&gt;"",H139&lt;&gt;"",OR(J139&lt;&gt;"",K139&lt;&gt;""),OR(M139&lt;&gt;"",N139&lt;&gt;"",O139&lt;&gt;"")),"OK","ERRO: faltam "&amp;IF(A139="","SDR; ","")&amp;IF(B139="","Proprietário; ","")&amp;IF(C139="","Origem; ","")&amp;IF(D139="","Temperatura; ","")&amp;IF(E139="","Segmento; ","")&amp;IF(F139="","Time/Cluster; ","")&amp;IF(G139="","CNPJ; ","")&amp;IF(H139="","Razão Social; ","")&amp;IF(AND(J139="",K139=""),"nome do contato; ","")&amp;IF(AND(M139="",N139="",O139=""),"telefone, celular ou e-mail; ","")))</f>
      </c>
      <c r="AB139" s="6">
        <f>IF(COUNTA(A139:S139)=0,"",IF(AND(U139="OK",V139="OK",LEFT(W139,4)&lt;&gt;"ERRO",LEFT(X139,4)&lt;&gt;"ERRO",LEFT(Y139,4)&lt;&gt;"ERRO",AA139="OK"),"OK","REVISAR"))</f>
      </c>
    </row>
    <row r="140">
      <c r="A140" s="5"/>
      <c r="B140" s="5"/>
      <c r="C140" s="5"/>
      <c r="D140" s="5"/>
      <c r="E140" s="5"/>
      <c r="F140" s="5"/>
      <c r="G140" s="5"/>
      <c r="H140" s="5"/>
      <c r="I140" s="4"/>
      <c r="J140" s="5"/>
      <c r="K140" s="4"/>
      <c r="L140" s="4"/>
      <c r="M140" s="4"/>
      <c r="N140" s="4"/>
      <c r="O140" s="4"/>
      <c r="P140" s="4"/>
      <c r="Q140" s="4"/>
      <c r="R140" s="4"/>
      <c r="S140" s="4"/>
      <c r="T140" s="6">
        <f>IF(G140="","",SUBSTITUTE(SUBSTITUTE(SUBSTITUTE(SUBSTITUTE(SUBSTITUTE(SUBSTITUTE(SUBSTITUTE(TRIM(G140),".",""),"/",""),"-","")," ",""),"(",""),")",""),"+",""))</f>
      </c>
      <c r="U140" s="6">
        <f>IF(T140="","",IF(LEN(T140)&lt;&gt;14,"ERRO: "&amp;LEN(T140)&amp;" dígitos",IF(NOT(ISNUMBER(VALUE(T140))),"ERRO: não numérico",IF(LEN(SUBSTITUTE(T140,LEFT(T140,1),""))=0,"ERRO: dígitos repetidos",IF(AND(VALUE(MID(T140,13,1))=IF(MOD(SUMPRODUCT(--MID(T140,{1,2,3,4,5,6,7,8,9,10,11,12},1),{5,4,3,2,9,8,7,6,5,4,3,2}),11)&lt;2,0,11-MOD(SUMPRODUCT(--MID(T140,{1,2,3,4,5,6,7,8,9,10,11,12},1),{5,4,3,2,9,8,7,6,5,4,3,2}),11)),VALUE(MID(T140,14,1))=IF(MOD(SUMPRODUCT(--MID(T140,{1,2,3,4,5,6,7,8,9,10,11,12,13},1),{6,5,4,3,2,9,8,7,6,5,4,3,2}),11)&lt;2,0,11-MOD(SUMPRODUCT(--MID(T140,{1,2,3,4,5,6,7,8,9,10,11,12,13},1),{6,5,4,3,2,9,8,7,6,5,4,3,2}),11))),"OK","ERRO: dígito verificador")))))</f>
      </c>
      <c r="V140" s="6">
        <f>IF(T140="","",IF(COUNTIF($T$2:$T$1001,T140)&gt;1,"DUPLICADO","OK"))</f>
      </c>
      <c r="W140" s="6">
        <f>IF(M140="","vazio",IF(OR(AND(LEN(SUBSTITUTE(SUBSTITUTE(SUBSTITUTE(SUBSTITUTE(SUBSTITUTE(SUBSTITUTE(SUBSTITUTE(TRIM(M140),".",""),"/",""),"-","")," ",""),"(",""),")",""),"+",""))=10,LEFT(SUBSTITUTE(SUBSTITUTE(SUBSTITUTE(SUBSTITUTE(SUBSTITUTE(SUBSTITUTE(SUBSTITUTE(TRIM(M140),".",""),"/",""),"-","")," ",""),"(",""),")",""),"+",""),1)&lt;&gt;"0"),AND(LEN(SUBSTITUTE(SUBSTITUTE(SUBSTITUTE(SUBSTITUTE(SUBSTITUTE(SUBSTITUTE(SUBSTITUTE(TRIM(M140),".",""),"/",""),"-","")," ",""),"(",""),")",""),"+",""))=11,LEFT(SUBSTITUTE(SUBSTITUTE(SUBSTITUTE(SUBSTITUTE(SUBSTITUTE(SUBSTITUTE(SUBSTITUTE(TRIM(M140),".",""),"/",""),"-","")," ",""),"(",""),")",""),"+",""),4)="0800")),"OK",IF(AND(LEN(SUBSTITUTE(SUBSTITUTE(SUBSTITUTE(SUBSTITUTE(SUBSTITUTE(SUBSTITUTE(SUBSTITUTE(TRIM(M140),".",""),"/",""),"-","")," ",""),"(",""),")",""),"+",""))=11,MID(SUBSTITUTE(SUBSTITUTE(SUBSTITUTE(SUBSTITUTE(SUBSTITUTE(SUBSTITUTE(SUBSTITUTE(TRIM(M140),".",""),"/",""),"-","")," ",""),"(",""),")",""),"+",""),3,1)="9"),"ERRO: é celular, use a coluna Celular","ERRO: DDD + 8 dígitos ou 0800 + 7")))</f>
      </c>
      <c r="X140" s="6">
        <f>IF(N140="","vazio",IF(AND(LEN(SUBSTITUTE(SUBSTITUTE(SUBSTITUTE(SUBSTITUTE(SUBSTITUTE(SUBSTITUTE(SUBSTITUTE(TRIM(N140),".",""),"/",""),"-","")," ",""),"(",""),")",""),"+",""))=11,MID(SUBSTITUTE(SUBSTITUTE(SUBSTITUTE(SUBSTITUTE(SUBSTITUTE(SUBSTITUTE(SUBSTITUTE(TRIM(N140),".",""),"/",""),"-","")," ",""),"(",""),")",""),"+",""),3,1)="9",LEFT(SUBSTITUTE(SUBSTITUTE(SUBSTITUTE(SUBSTITUTE(SUBSTITUTE(SUBSTITUTE(SUBSTITUTE(TRIM(N140),".",""),"/",""),"-","")," ",""),"(",""),")",""),"+",""),1)&lt;&gt;"0"),"OK",IF(LEN(SUBSTITUTE(SUBSTITUTE(SUBSTITUTE(SUBSTITUTE(SUBSTITUTE(SUBSTITUTE(SUBSTITUTE(TRIM(N140),".",""),"/",""),"-","")," ",""),"(",""),")",""),"+",""))=10,"ERRO: é fixo (ou falta o 9), use a coluna Telefone fixo","ERRO: DDD + 9 + 8 dígitos")))</f>
      </c>
      <c r="Y140" s="6">
        <f>IF(O140="","vazio",IF(AND(ISNUMBER(FIND("@",O140)),ISNUMBER(FIND(".",MID(O140,FIND("@",O140),99))),NOT(ISNUMBER(FIND(" ",TRIM(O140)))),NOT(ISNUMBER(FIND(";",O140))),NOT(ISNUMBER(FIND(",",O140)))),"OK","ERRO: um e-mail válido por linha"))</f>
      </c>
      <c r="Z140" s="6">
        <f>IF(AND(J140="",K140=""),"",IF(AND(J140&lt;&gt;"",K140&lt;&gt;""),"OK","pendente: só um nome (o GR completa ao converter)"))</f>
      </c>
      <c r="AA140" s="6">
        <f>IF(COUNTA(A140:S140)=0,"",IF(AND(A140&lt;&gt;"",B140&lt;&gt;"",C140&lt;&gt;"",D140&lt;&gt;"",E140&lt;&gt;"",F140&lt;&gt;"",G140&lt;&gt;"",H140&lt;&gt;"",OR(J140&lt;&gt;"",K140&lt;&gt;""),OR(M140&lt;&gt;"",N140&lt;&gt;"",O140&lt;&gt;"")),"OK","ERRO: faltam "&amp;IF(A140="","SDR; ","")&amp;IF(B140="","Proprietário; ","")&amp;IF(C140="","Origem; ","")&amp;IF(D140="","Temperatura; ","")&amp;IF(E140="","Segmento; ","")&amp;IF(F140="","Time/Cluster; ","")&amp;IF(G140="","CNPJ; ","")&amp;IF(H140="","Razão Social; ","")&amp;IF(AND(J140="",K140=""),"nome do contato; ","")&amp;IF(AND(M140="",N140="",O140=""),"telefone, celular ou e-mail; ","")))</f>
      </c>
      <c r="AB140" s="6">
        <f>IF(COUNTA(A140:S140)=0,"",IF(AND(U140="OK",V140="OK",LEFT(W140,4)&lt;&gt;"ERRO",LEFT(X140,4)&lt;&gt;"ERRO",LEFT(Y140,4)&lt;&gt;"ERRO",AA140="OK"),"OK","REVISAR"))</f>
      </c>
    </row>
    <row r="141">
      <c r="A141" s="5"/>
      <c r="B141" s="5"/>
      <c r="C141" s="5"/>
      <c r="D141" s="5"/>
      <c r="E141" s="5"/>
      <c r="F141" s="5"/>
      <c r="G141" s="5"/>
      <c r="H141" s="5"/>
      <c r="I141" s="4"/>
      <c r="J141" s="5"/>
      <c r="K141" s="4"/>
      <c r="L141" s="4"/>
      <c r="M141" s="4"/>
      <c r="N141" s="4"/>
      <c r="O141" s="4"/>
      <c r="P141" s="4"/>
      <c r="Q141" s="4"/>
      <c r="R141" s="4"/>
      <c r="S141" s="4"/>
      <c r="T141" s="6">
        <f>IF(G141="","",SUBSTITUTE(SUBSTITUTE(SUBSTITUTE(SUBSTITUTE(SUBSTITUTE(SUBSTITUTE(SUBSTITUTE(TRIM(G141),".",""),"/",""),"-","")," ",""),"(",""),")",""),"+",""))</f>
      </c>
      <c r="U141" s="6">
        <f>IF(T141="","",IF(LEN(T141)&lt;&gt;14,"ERRO: "&amp;LEN(T141)&amp;" dígitos",IF(NOT(ISNUMBER(VALUE(T141))),"ERRO: não numérico",IF(LEN(SUBSTITUTE(T141,LEFT(T141,1),""))=0,"ERRO: dígitos repetidos",IF(AND(VALUE(MID(T141,13,1))=IF(MOD(SUMPRODUCT(--MID(T141,{1,2,3,4,5,6,7,8,9,10,11,12},1),{5,4,3,2,9,8,7,6,5,4,3,2}),11)&lt;2,0,11-MOD(SUMPRODUCT(--MID(T141,{1,2,3,4,5,6,7,8,9,10,11,12},1),{5,4,3,2,9,8,7,6,5,4,3,2}),11)),VALUE(MID(T141,14,1))=IF(MOD(SUMPRODUCT(--MID(T141,{1,2,3,4,5,6,7,8,9,10,11,12,13},1),{6,5,4,3,2,9,8,7,6,5,4,3,2}),11)&lt;2,0,11-MOD(SUMPRODUCT(--MID(T141,{1,2,3,4,5,6,7,8,9,10,11,12,13},1),{6,5,4,3,2,9,8,7,6,5,4,3,2}),11))),"OK","ERRO: dígito verificador")))))</f>
      </c>
      <c r="V141" s="6">
        <f>IF(T141="","",IF(COUNTIF($T$2:$T$1001,T141)&gt;1,"DUPLICADO","OK"))</f>
      </c>
      <c r="W141" s="6">
        <f>IF(M141="","vazio",IF(OR(AND(LEN(SUBSTITUTE(SUBSTITUTE(SUBSTITUTE(SUBSTITUTE(SUBSTITUTE(SUBSTITUTE(SUBSTITUTE(TRIM(M141),".",""),"/",""),"-","")," ",""),"(",""),")",""),"+",""))=10,LEFT(SUBSTITUTE(SUBSTITUTE(SUBSTITUTE(SUBSTITUTE(SUBSTITUTE(SUBSTITUTE(SUBSTITUTE(TRIM(M141),".",""),"/",""),"-","")," ",""),"(",""),")",""),"+",""),1)&lt;&gt;"0"),AND(LEN(SUBSTITUTE(SUBSTITUTE(SUBSTITUTE(SUBSTITUTE(SUBSTITUTE(SUBSTITUTE(SUBSTITUTE(TRIM(M141),".",""),"/",""),"-","")," ",""),"(",""),")",""),"+",""))=11,LEFT(SUBSTITUTE(SUBSTITUTE(SUBSTITUTE(SUBSTITUTE(SUBSTITUTE(SUBSTITUTE(SUBSTITUTE(TRIM(M141),".",""),"/",""),"-","")," ",""),"(",""),")",""),"+",""),4)="0800")),"OK",IF(AND(LEN(SUBSTITUTE(SUBSTITUTE(SUBSTITUTE(SUBSTITUTE(SUBSTITUTE(SUBSTITUTE(SUBSTITUTE(TRIM(M141),".",""),"/",""),"-","")," ",""),"(",""),")",""),"+",""))=11,MID(SUBSTITUTE(SUBSTITUTE(SUBSTITUTE(SUBSTITUTE(SUBSTITUTE(SUBSTITUTE(SUBSTITUTE(TRIM(M141),".",""),"/",""),"-","")," ",""),"(",""),")",""),"+",""),3,1)="9"),"ERRO: é celular, use a coluna Celular","ERRO: DDD + 8 dígitos ou 0800 + 7")))</f>
      </c>
      <c r="X141" s="6">
        <f>IF(N141="","vazio",IF(AND(LEN(SUBSTITUTE(SUBSTITUTE(SUBSTITUTE(SUBSTITUTE(SUBSTITUTE(SUBSTITUTE(SUBSTITUTE(TRIM(N141),".",""),"/",""),"-","")," ",""),"(",""),")",""),"+",""))=11,MID(SUBSTITUTE(SUBSTITUTE(SUBSTITUTE(SUBSTITUTE(SUBSTITUTE(SUBSTITUTE(SUBSTITUTE(TRIM(N141),".",""),"/",""),"-","")," ",""),"(",""),")",""),"+",""),3,1)="9",LEFT(SUBSTITUTE(SUBSTITUTE(SUBSTITUTE(SUBSTITUTE(SUBSTITUTE(SUBSTITUTE(SUBSTITUTE(TRIM(N141),".",""),"/",""),"-","")," ",""),"(",""),")",""),"+",""),1)&lt;&gt;"0"),"OK",IF(LEN(SUBSTITUTE(SUBSTITUTE(SUBSTITUTE(SUBSTITUTE(SUBSTITUTE(SUBSTITUTE(SUBSTITUTE(TRIM(N141),".",""),"/",""),"-","")," ",""),"(",""),")",""),"+",""))=10,"ERRO: é fixo (ou falta o 9), use a coluna Telefone fixo","ERRO: DDD + 9 + 8 dígitos")))</f>
      </c>
      <c r="Y141" s="6">
        <f>IF(O141="","vazio",IF(AND(ISNUMBER(FIND("@",O141)),ISNUMBER(FIND(".",MID(O141,FIND("@",O141),99))),NOT(ISNUMBER(FIND(" ",TRIM(O141)))),NOT(ISNUMBER(FIND(";",O141))),NOT(ISNUMBER(FIND(",",O141)))),"OK","ERRO: um e-mail válido por linha"))</f>
      </c>
      <c r="Z141" s="6">
        <f>IF(AND(J141="",K141=""),"",IF(AND(J141&lt;&gt;"",K141&lt;&gt;""),"OK","pendente: só um nome (o GR completa ao converter)"))</f>
      </c>
      <c r="AA141" s="6">
        <f>IF(COUNTA(A141:S141)=0,"",IF(AND(A141&lt;&gt;"",B141&lt;&gt;"",C141&lt;&gt;"",D141&lt;&gt;"",E141&lt;&gt;"",F141&lt;&gt;"",G141&lt;&gt;"",H141&lt;&gt;"",OR(J141&lt;&gt;"",K141&lt;&gt;""),OR(M141&lt;&gt;"",N141&lt;&gt;"",O141&lt;&gt;"")),"OK","ERRO: faltam "&amp;IF(A141="","SDR; ","")&amp;IF(B141="","Proprietário; ","")&amp;IF(C141="","Origem; ","")&amp;IF(D141="","Temperatura; ","")&amp;IF(E141="","Segmento; ","")&amp;IF(F141="","Time/Cluster; ","")&amp;IF(G141="","CNPJ; ","")&amp;IF(H141="","Razão Social; ","")&amp;IF(AND(J141="",K141=""),"nome do contato; ","")&amp;IF(AND(M141="",N141="",O141=""),"telefone, celular ou e-mail; ","")))</f>
      </c>
      <c r="AB141" s="6">
        <f>IF(COUNTA(A141:S141)=0,"",IF(AND(U141="OK",V141="OK",LEFT(W141,4)&lt;&gt;"ERRO",LEFT(X141,4)&lt;&gt;"ERRO",LEFT(Y141,4)&lt;&gt;"ERRO",AA141="OK"),"OK","REVISAR"))</f>
      </c>
    </row>
    <row r="142">
      <c r="A142" s="5"/>
      <c r="B142" s="5"/>
      <c r="C142" s="5"/>
      <c r="D142" s="5"/>
      <c r="E142" s="5"/>
      <c r="F142" s="5"/>
      <c r="G142" s="5"/>
      <c r="H142" s="5"/>
      <c r="I142" s="4"/>
      <c r="J142" s="5"/>
      <c r="K142" s="4"/>
      <c r="L142" s="4"/>
      <c r="M142" s="4"/>
      <c r="N142" s="4"/>
      <c r="O142" s="4"/>
      <c r="P142" s="4"/>
      <c r="Q142" s="4"/>
      <c r="R142" s="4"/>
      <c r="S142" s="4"/>
      <c r="T142" s="6">
        <f>IF(G142="","",SUBSTITUTE(SUBSTITUTE(SUBSTITUTE(SUBSTITUTE(SUBSTITUTE(SUBSTITUTE(SUBSTITUTE(TRIM(G142),".",""),"/",""),"-","")," ",""),"(",""),")",""),"+",""))</f>
      </c>
      <c r="U142" s="6">
        <f>IF(T142="","",IF(LEN(T142)&lt;&gt;14,"ERRO: "&amp;LEN(T142)&amp;" dígitos",IF(NOT(ISNUMBER(VALUE(T142))),"ERRO: não numérico",IF(LEN(SUBSTITUTE(T142,LEFT(T142,1),""))=0,"ERRO: dígitos repetidos",IF(AND(VALUE(MID(T142,13,1))=IF(MOD(SUMPRODUCT(--MID(T142,{1,2,3,4,5,6,7,8,9,10,11,12},1),{5,4,3,2,9,8,7,6,5,4,3,2}),11)&lt;2,0,11-MOD(SUMPRODUCT(--MID(T142,{1,2,3,4,5,6,7,8,9,10,11,12},1),{5,4,3,2,9,8,7,6,5,4,3,2}),11)),VALUE(MID(T142,14,1))=IF(MOD(SUMPRODUCT(--MID(T142,{1,2,3,4,5,6,7,8,9,10,11,12,13},1),{6,5,4,3,2,9,8,7,6,5,4,3,2}),11)&lt;2,0,11-MOD(SUMPRODUCT(--MID(T142,{1,2,3,4,5,6,7,8,9,10,11,12,13},1),{6,5,4,3,2,9,8,7,6,5,4,3,2}),11))),"OK","ERRO: dígito verificador")))))</f>
      </c>
      <c r="V142" s="6">
        <f>IF(T142="","",IF(COUNTIF($T$2:$T$1001,T142)&gt;1,"DUPLICADO","OK"))</f>
      </c>
      <c r="W142" s="6">
        <f>IF(M142="","vazio",IF(OR(AND(LEN(SUBSTITUTE(SUBSTITUTE(SUBSTITUTE(SUBSTITUTE(SUBSTITUTE(SUBSTITUTE(SUBSTITUTE(TRIM(M142),".",""),"/",""),"-","")," ",""),"(",""),")",""),"+",""))=10,LEFT(SUBSTITUTE(SUBSTITUTE(SUBSTITUTE(SUBSTITUTE(SUBSTITUTE(SUBSTITUTE(SUBSTITUTE(TRIM(M142),".",""),"/",""),"-","")," ",""),"(",""),")",""),"+",""),1)&lt;&gt;"0"),AND(LEN(SUBSTITUTE(SUBSTITUTE(SUBSTITUTE(SUBSTITUTE(SUBSTITUTE(SUBSTITUTE(SUBSTITUTE(TRIM(M142),".",""),"/",""),"-","")," ",""),"(",""),")",""),"+",""))=11,LEFT(SUBSTITUTE(SUBSTITUTE(SUBSTITUTE(SUBSTITUTE(SUBSTITUTE(SUBSTITUTE(SUBSTITUTE(TRIM(M142),".",""),"/",""),"-","")," ",""),"(",""),")",""),"+",""),4)="0800")),"OK",IF(AND(LEN(SUBSTITUTE(SUBSTITUTE(SUBSTITUTE(SUBSTITUTE(SUBSTITUTE(SUBSTITUTE(SUBSTITUTE(TRIM(M142),".",""),"/",""),"-","")," ",""),"(",""),")",""),"+",""))=11,MID(SUBSTITUTE(SUBSTITUTE(SUBSTITUTE(SUBSTITUTE(SUBSTITUTE(SUBSTITUTE(SUBSTITUTE(TRIM(M142),".",""),"/",""),"-","")," ",""),"(",""),")",""),"+",""),3,1)="9"),"ERRO: é celular, use a coluna Celular","ERRO: DDD + 8 dígitos ou 0800 + 7")))</f>
      </c>
      <c r="X142" s="6">
        <f>IF(N142="","vazio",IF(AND(LEN(SUBSTITUTE(SUBSTITUTE(SUBSTITUTE(SUBSTITUTE(SUBSTITUTE(SUBSTITUTE(SUBSTITUTE(TRIM(N142),".",""),"/",""),"-","")," ",""),"(",""),")",""),"+",""))=11,MID(SUBSTITUTE(SUBSTITUTE(SUBSTITUTE(SUBSTITUTE(SUBSTITUTE(SUBSTITUTE(SUBSTITUTE(TRIM(N142),".",""),"/",""),"-","")," ",""),"(",""),")",""),"+",""),3,1)="9",LEFT(SUBSTITUTE(SUBSTITUTE(SUBSTITUTE(SUBSTITUTE(SUBSTITUTE(SUBSTITUTE(SUBSTITUTE(TRIM(N142),".",""),"/",""),"-","")," ",""),"(",""),")",""),"+",""),1)&lt;&gt;"0"),"OK",IF(LEN(SUBSTITUTE(SUBSTITUTE(SUBSTITUTE(SUBSTITUTE(SUBSTITUTE(SUBSTITUTE(SUBSTITUTE(TRIM(N142),".",""),"/",""),"-","")," ",""),"(",""),")",""),"+",""))=10,"ERRO: é fixo (ou falta o 9), use a coluna Telefone fixo","ERRO: DDD + 9 + 8 dígitos")))</f>
      </c>
      <c r="Y142" s="6">
        <f>IF(O142="","vazio",IF(AND(ISNUMBER(FIND("@",O142)),ISNUMBER(FIND(".",MID(O142,FIND("@",O142),99))),NOT(ISNUMBER(FIND(" ",TRIM(O142)))),NOT(ISNUMBER(FIND(";",O142))),NOT(ISNUMBER(FIND(",",O142)))),"OK","ERRO: um e-mail válido por linha"))</f>
      </c>
      <c r="Z142" s="6">
        <f>IF(AND(J142="",K142=""),"",IF(AND(J142&lt;&gt;"",K142&lt;&gt;""),"OK","pendente: só um nome (o GR completa ao converter)"))</f>
      </c>
      <c r="AA142" s="6">
        <f>IF(COUNTA(A142:S142)=0,"",IF(AND(A142&lt;&gt;"",B142&lt;&gt;"",C142&lt;&gt;"",D142&lt;&gt;"",E142&lt;&gt;"",F142&lt;&gt;"",G142&lt;&gt;"",H142&lt;&gt;"",OR(J142&lt;&gt;"",K142&lt;&gt;""),OR(M142&lt;&gt;"",N142&lt;&gt;"",O142&lt;&gt;"")),"OK","ERRO: faltam "&amp;IF(A142="","SDR; ","")&amp;IF(B142="","Proprietário; ","")&amp;IF(C142="","Origem; ","")&amp;IF(D142="","Temperatura; ","")&amp;IF(E142="","Segmento; ","")&amp;IF(F142="","Time/Cluster; ","")&amp;IF(G142="","CNPJ; ","")&amp;IF(H142="","Razão Social; ","")&amp;IF(AND(J142="",K142=""),"nome do contato; ","")&amp;IF(AND(M142="",N142="",O142=""),"telefone, celular ou e-mail; ","")))</f>
      </c>
      <c r="AB142" s="6">
        <f>IF(COUNTA(A142:S142)=0,"",IF(AND(U142="OK",V142="OK",LEFT(W142,4)&lt;&gt;"ERRO",LEFT(X142,4)&lt;&gt;"ERRO",LEFT(Y142,4)&lt;&gt;"ERRO",AA142="OK"),"OK","REVISAR"))</f>
      </c>
    </row>
    <row r="143">
      <c r="A143" s="5"/>
      <c r="B143" s="5"/>
      <c r="C143" s="5"/>
      <c r="D143" s="5"/>
      <c r="E143" s="5"/>
      <c r="F143" s="5"/>
      <c r="G143" s="5"/>
      <c r="H143" s="5"/>
      <c r="I143" s="4"/>
      <c r="J143" s="5"/>
      <c r="K143" s="4"/>
      <c r="L143" s="4"/>
      <c r="M143" s="4"/>
      <c r="N143" s="4"/>
      <c r="O143" s="4"/>
      <c r="P143" s="4"/>
      <c r="Q143" s="4"/>
      <c r="R143" s="4"/>
      <c r="S143" s="4"/>
      <c r="T143" s="6">
        <f>IF(G143="","",SUBSTITUTE(SUBSTITUTE(SUBSTITUTE(SUBSTITUTE(SUBSTITUTE(SUBSTITUTE(SUBSTITUTE(TRIM(G143),".",""),"/",""),"-","")," ",""),"(",""),")",""),"+",""))</f>
      </c>
      <c r="U143" s="6">
        <f>IF(T143="","",IF(LEN(T143)&lt;&gt;14,"ERRO: "&amp;LEN(T143)&amp;" dígitos",IF(NOT(ISNUMBER(VALUE(T143))),"ERRO: não numérico",IF(LEN(SUBSTITUTE(T143,LEFT(T143,1),""))=0,"ERRO: dígitos repetidos",IF(AND(VALUE(MID(T143,13,1))=IF(MOD(SUMPRODUCT(--MID(T143,{1,2,3,4,5,6,7,8,9,10,11,12},1),{5,4,3,2,9,8,7,6,5,4,3,2}),11)&lt;2,0,11-MOD(SUMPRODUCT(--MID(T143,{1,2,3,4,5,6,7,8,9,10,11,12},1),{5,4,3,2,9,8,7,6,5,4,3,2}),11)),VALUE(MID(T143,14,1))=IF(MOD(SUMPRODUCT(--MID(T143,{1,2,3,4,5,6,7,8,9,10,11,12,13},1),{6,5,4,3,2,9,8,7,6,5,4,3,2}),11)&lt;2,0,11-MOD(SUMPRODUCT(--MID(T143,{1,2,3,4,5,6,7,8,9,10,11,12,13},1),{6,5,4,3,2,9,8,7,6,5,4,3,2}),11))),"OK","ERRO: dígito verificador")))))</f>
      </c>
      <c r="V143" s="6">
        <f>IF(T143="","",IF(COUNTIF($T$2:$T$1001,T143)&gt;1,"DUPLICADO","OK"))</f>
      </c>
      <c r="W143" s="6">
        <f>IF(M143="","vazio",IF(OR(AND(LEN(SUBSTITUTE(SUBSTITUTE(SUBSTITUTE(SUBSTITUTE(SUBSTITUTE(SUBSTITUTE(SUBSTITUTE(TRIM(M143),".",""),"/",""),"-","")," ",""),"(",""),")",""),"+",""))=10,LEFT(SUBSTITUTE(SUBSTITUTE(SUBSTITUTE(SUBSTITUTE(SUBSTITUTE(SUBSTITUTE(SUBSTITUTE(TRIM(M143),".",""),"/",""),"-","")," ",""),"(",""),")",""),"+",""),1)&lt;&gt;"0"),AND(LEN(SUBSTITUTE(SUBSTITUTE(SUBSTITUTE(SUBSTITUTE(SUBSTITUTE(SUBSTITUTE(SUBSTITUTE(TRIM(M143),".",""),"/",""),"-","")," ",""),"(",""),")",""),"+",""))=11,LEFT(SUBSTITUTE(SUBSTITUTE(SUBSTITUTE(SUBSTITUTE(SUBSTITUTE(SUBSTITUTE(SUBSTITUTE(TRIM(M143),".",""),"/",""),"-","")," ",""),"(",""),")",""),"+",""),4)="0800")),"OK",IF(AND(LEN(SUBSTITUTE(SUBSTITUTE(SUBSTITUTE(SUBSTITUTE(SUBSTITUTE(SUBSTITUTE(SUBSTITUTE(TRIM(M143),".",""),"/",""),"-","")," ",""),"(",""),")",""),"+",""))=11,MID(SUBSTITUTE(SUBSTITUTE(SUBSTITUTE(SUBSTITUTE(SUBSTITUTE(SUBSTITUTE(SUBSTITUTE(TRIM(M143),".",""),"/",""),"-","")," ",""),"(",""),")",""),"+",""),3,1)="9"),"ERRO: é celular, use a coluna Celular","ERRO: DDD + 8 dígitos ou 0800 + 7")))</f>
      </c>
      <c r="X143" s="6">
        <f>IF(N143="","vazio",IF(AND(LEN(SUBSTITUTE(SUBSTITUTE(SUBSTITUTE(SUBSTITUTE(SUBSTITUTE(SUBSTITUTE(SUBSTITUTE(TRIM(N143),".",""),"/",""),"-","")," ",""),"(",""),")",""),"+",""))=11,MID(SUBSTITUTE(SUBSTITUTE(SUBSTITUTE(SUBSTITUTE(SUBSTITUTE(SUBSTITUTE(SUBSTITUTE(TRIM(N143),".",""),"/",""),"-","")," ",""),"(",""),")",""),"+",""),3,1)="9",LEFT(SUBSTITUTE(SUBSTITUTE(SUBSTITUTE(SUBSTITUTE(SUBSTITUTE(SUBSTITUTE(SUBSTITUTE(TRIM(N143),".",""),"/",""),"-","")," ",""),"(",""),")",""),"+",""),1)&lt;&gt;"0"),"OK",IF(LEN(SUBSTITUTE(SUBSTITUTE(SUBSTITUTE(SUBSTITUTE(SUBSTITUTE(SUBSTITUTE(SUBSTITUTE(TRIM(N143),".",""),"/",""),"-","")," ",""),"(",""),")",""),"+",""))=10,"ERRO: é fixo (ou falta o 9), use a coluna Telefone fixo","ERRO: DDD + 9 + 8 dígitos")))</f>
      </c>
      <c r="Y143" s="6">
        <f>IF(O143="","vazio",IF(AND(ISNUMBER(FIND("@",O143)),ISNUMBER(FIND(".",MID(O143,FIND("@",O143),99))),NOT(ISNUMBER(FIND(" ",TRIM(O143)))),NOT(ISNUMBER(FIND(";",O143))),NOT(ISNUMBER(FIND(",",O143)))),"OK","ERRO: um e-mail válido por linha"))</f>
      </c>
      <c r="Z143" s="6">
        <f>IF(AND(J143="",K143=""),"",IF(AND(J143&lt;&gt;"",K143&lt;&gt;""),"OK","pendente: só um nome (o GR completa ao converter)"))</f>
      </c>
      <c r="AA143" s="6">
        <f>IF(COUNTA(A143:S143)=0,"",IF(AND(A143&lt;&gt;"",B143&lt;&gt;"",C143&lt;&gt;"",D143&lt;&gt;"",E143&lt;&gt;"",F143&lt;&gt;"",G143&lt;&gt;"",H143&lt;&gt;"",OR(J143&lt;&gt;"",K143&lt;&gt;""),OR(M143&lt;&gt;"",N143&lt;&gt;"",O143&lt;&gt;"")),"OK","ERRO: faltam "&amp;IF(A143="","SDR; ","")&amp;IF(B143="","Proprietário; ","")&amp;IF(C143="","Origem; ","")&amp;IF(D143="","Temperatura; ","")&amp;IF(E143="","Segmento; ","")&amp;IF(F143="","Time/Cluster; ","")&amp;IF(G143="","CNPJ; ","")&amp;IF(H143="","Razão Social; ","")&amp;IF(AND(J143="",K143=""),"nome do contato; ","")&amp;IF(AND(M143="",N143="",O143=""),"telefone, celular ou e-mail; ","")))</f>
      </c>
      <c r="AB143" s="6">
        <f>IF(COUNTA(A143:S143)=0,"",IF(AND(U143="OK",V143="OK",LEFT(W143,4)&lt;&gt;"ERRO",LEFT(X143,4)&lt;&gt;"ERRO",LEFT(Y143,4)&lt;&gt;"ERRO",AA143="OK"),"OK","REVISAR"))</f>
      </c>
    </row>
    <row r="144">
      <c r="A144" s="5"/>
      <c r="B144" s="5"/>
      <c r="C144" s="5"/>
      <c r="D144" s="5"/>
      <c r="E144" s="5"/>
      <c r="F144" s="5"/>
      <c r="G144" s="5"/>
      <c r="H144" s="5"/>
      <c r="I144" s="4"/>
      <c r="J144" s="5"/>
      <c r="K144" s="4"/>
      <c r="L144" s="4"/>
      <c r="M144" s="4"/>
      <c r="N144" s="4"/>
      <c r="O144" s="4"/>
      <c r="P144" s="4"/>
      <c r="Q144" s="4"/>
      <c r="R144" s="4"/>
      <c r="S144" s="4"/>
      <c r="T144" s="6">
        <f>IF(G144="","",SUBSTITUTE(SUBSTITUTE(SUBSTITUTE(SUBSTITUTE(SUBSTITUTE(SUBSTITUTE(SUBSTITUTE(TRIM(G144),".",""),"/",""),"-","")," ",""),"(",""),")",""),"+",""))</f>
      </c>
      <c r="U144" s="6">
        <f>IF(T144="","",IF(LEN(T144)&lt;&gt;14,"ERRO: "&amp;LEN(T144)&amp;" dígitos",IF(NOT(ISNUMBER(VALUE(T144))),"ERRO: não numérico",IF(LEN(SUBSTITUTE(T144,LEFT(T144,1),""))=0,"ERRO: dígitos repetidos",IF(AND(VALUE(MID(T144,13,1))=IF(MOD(SUMPRODUCT(--MID(T144,{1,2,3,4,5,6,7,8,9,10,11,12},1),{5,4,3,2,9,8,7,6,5,4,3,2}),11)&lt;2,0,11-MOD(SUMPRODUCT(--MID(T144,{1,2,3,4,5,6,7,8,9,10,11,12},1),{5,4,3,2,9,8,7,6,5,4,3,2}),11)),VALUE(MID(T144,14,1))=IF(MOD(SUMPRODUCT(--MID(T144,{1,2,3,4,5,6,7,8,9,10,11,12,13},1),{6,5,4,3,2,9,8,7,6,5,4,3,2}),11)&lt;2,0,11-MOD(SUMPRODUCT(--MID(T144,{1,2,3,4,5,6,7,8,9,10,11,12,13},1),{6,5,4,3,2,9,8,7,6,5,4,3,2}),11))),"OK","ERRO: dígito verificador")))))</f>
      </c>
      <c r="V144" s="6">
        <f>IF(T144="","",IF(COUNTIF($T$2:$T$1001,T144)&gt;1,"DUPLICADO","OK"))</f>
      </c>
      <c r="W144" s="6">
        <f>IF(M144="","vazio",IF(OR(AND(LEN(SUBSTITUTE(SUBSTITUTE(SUBSTITUTE(SUBSTITUTE(SUBSTITUTE(SUBSTITUTE(SUBSTITUTE(TRIM(M144),".",""),"/",""),"-","")," ",""),"(",""),")",""),"+",""))=10,LEFT(SUBSTITUTE(SUBSTITUTE(SUBSTITUTE(SUBSTITUTE(SUBSTITUTE(SUBSTITUTE(SUBSTITUTE(TRIM(M144),".",""),"/",""),"-","")," ",""),"(",""),")",""),"+",""),1)&lt;&gt;"0"),AND(LEN(SUBSTITUTE(SUBSTITUTE(SUBSTITUTE(SUBSTITUTE(SUBSTITUTE(SUBSTITUTE(SUBSTITUTE(TRIM(M144),".",""),"/",""),"-","")," ",""),"(",""),")",""),"+",""))=11,LEFT(SUBSTITUTE(SUBSTITUTE(SUBSTITUTE(SUBSTITUTE(SUBSTITUTE(SUBSTITUTE(SUBSTITUTE(TRIM(M144),".",""),"/",""),"-","")," ",""),"(",""),")",""),"+",""),4)="0800")),"OK",IF(AND(LEN(SUBSTITUTE(SUBSTITUTE(SUBSTITUTE(SUBSTITUTE(SUBSTITUTE(SUBSTITUTE(SUBSTITUTE(TRIM(M144),".",""),"/",""),"-","")," ",""),"(",""),")",""),"+",""))=11,MID(SUBSTITUTE(SUBSTITUTE(SUBSTITUTE(SUBSTITUTE(SUBSTITUTE(SUBSTITUTE(SUBSTITUTE(TRIM(M144),".",""),"/",""),"-","")," ",""),"(",""),")",""),"+",""),3,1)="9"),"ERRO: é celular, use a coluna Celular","ERRO: DDD + 8 dígitos ou 0800 + 7")))</f>
      </c>
      <c r="X144" s="6">
        <f>IF(N144="","vazio",IF(AND(LEN(SUBSTITUTE(SUBSTITUTE(SUBSTITUTE(SUBSTITUTE(SUBSTITUTE(SUBSTITUTE(SUBSTITUTE(TRIM(N144),".",""),"/",""),"-","")," ",""),"(",""),")",""),"+",""))=11,MID(SUBSTITUTE(SUBSTITUTE(SUBSTITUTE(SUBSTITUTE(SUBSTITUTE(SUBSTITUTE(SUBSTITUTE(TRIM(N144),".",""),"/",""),"-","")," ",""),"(",""),")",""),"+",""),3,1)="9",LEFT(SUBSTITUTE(SUBSTITUTE(SUBSTITUTE(SUBSTITUTE(SUBSTITUTE(SUBSTITUTE(SUBSTITUTE(TRIM(N144),".",""),"/",""),"-","")," ",""),"(",""),")",""),"+",""),1)&lt;&gt;"0"),"OK",IF(LEN(SUBSTITUTE(SUBSTITUTE(SUBSTITUTE(SUBSTITUTE(SUBSTITUTE(SUBSTITUTE(SUBSTITUTE(TRIM(N144),".",""),"/",""),"-","")," ",""),"(",""),")",""),"+",""))=10,"ERRO: é fixo (ou falta o 9), use a coluna Telefone fixo","ERRO: DDD + 9 + 8 dígitos")))</f>
      </c>
      <c r="Y144" s="6">
        <f>IF(O144="","vazio",IF(AND(ISNUMBER(FIND("@",O144)),ISNUMBER(FIND(".",MID(O144,FIND("@",O144),99))),NOT(ISNUMBER(FIND(" ",TRIM(O144)))),NOT(ISNUMBER(FIND(";",O144))),NOT(ISNUMBER(FIND(",",O144)))),"OK","ERRO: um e-mail válido por linha"))</f>
      </c>
      <c r="Z144" s="6">
        <f>IF(AND(J144="",K144=""),"",IF(AND(J144&lt;&gt;"",K144&lt;&gt;""),"OK","pendente: só um nome (o GR completa ao converter)"))</f>
      </c>
      <c r="AA144" s="6">
        <f>IF(COUNTA(A144:S144)=0,"",IF(AND(A144&lt;&gt;"",B144&lt;&gt;"",C144&lt;&gt;"",D144&lt;&gt;"",E144&lt;&gt;"",F144&lt;&gt;"",G144&lt;&gt;"",H144&lt;&gt;"",OR(J144&lt;&gt;"",K144&lt;&gt;""),OR(M144&lt;&gt;"",N144&lt;&gt;"",O144&lt;&gt;"")),"OK","ERRO: faltam "&amp;IF(A144="","SDR; ","")&amp;IF(B144="","Proprietário; ","")&amp;IF(C144="","Origem; ","")&amp;IF(D144="","Temperatura; ","")&amp;IF(E144="","Segmento; ","")&amp;IF(F144="","Time/Cluster; ","")&amp;IF(G144="","CNPJ; ","")&amp;IF(H144="","Razão Social; ","")&amp;IF(AND(J144="",K144=""),"nome do contato; ","")&amp;IF(AND(M144="",N144="",O144=""),"telefone, celular ou e-mail; ","")))</f>
      </c>
      <c r="AB144" s="6">
        <f>IF(COUNTA(A144:S144)=0,"",IF(AND(U144="OK",V144="OK",LEFT(W144,4)&lt;&gt;"ERRO",LEFT(X144,4)&lt;&gt;"ERRO",LEFT(Y144,4)&lt;&gt;"ERRO",AA144="OK"),"OK","REVISAR"))</f>
      </c>
    </row>
    <row r="145">
      <c r="A145" s="5"/>
      <c r="B145" s="5"/>
      <c r="C145" s="5"/>
      <c r="D145" s="5"/>
      <c r="E145" s="5"/>
      <c r="F145" s="5"/>
      <c r="G145" s="5"/>
      <c r="H145" s="5"/>
      <c r="I145" s="4"/>
      <c r="J145" s="5"/>
      <c r="K145" s="4"/>
      <c r="L145" s="4"/>
      <c r="M145" s="4"/>
      <c r="N145" s="4"/>
      <c r="O145" s="4"/>
      <c r="P145" s="4"/>
      <c r="Q145" s="4"/>
      <c r="R145" s="4"/>
      <c r="S145" s="4"/>
      <c r="T145" s="6">
        <f>IF(G145="","",SUBSTITUTE(SUBSTITUTE(SUBSTITUTE(SUBSTITUTE(SUBSTITUTE(SUBSTITUTE(SUBSTITUTE(TRIM(G145),".",""),"/",""),"-","")," ",""),"(",""),")",""),"+",""))</f>
      </c>
      <c r="U145" s="6">
        <f>IF(T145="","",IF(LEN(T145)&lt;&gt;14,"ERRO: "&amp;LEN(T145)&amp;" dígitos",IF(NOT(ISNUMBER(VALUE(T145))),"ERRO: não numérico",IF(LEN(SUBSTITUTE(T145,LEFT(T145,1),""))=0,"ERRO: dígitos repetidos",IF(AND(VALUE(MID(T145,13,1))=IF(MOD(SUMPRODUCT(--MID(T145,{1,2,3,4,5,6,7,8,9,10,11,12},1),{5,4,3,2,9,8,7,6,5,4,3,2}),11)&lt;2,0,11-MOD(SUMPRODUCT(--MID(T145,{1,2,3,4,5,6,7,8,9,10,11,12},1),{5,4,3,2,9,8,7,6,5,4,3,2}),11)),VALUE(MID(T145,14,1))=IF(MOD(SUMPRODUCT(--MID(T145,{1,2,3,4,5,6,7,8,9,10,11,12,13},1),{6,5,4,3,2,9,8,7,6,5,4,3,2}),11)&lt;2,0,11-MOD(SUMPRODUCT(--MID(T145,{1,2,3,4,5,6,7,8,9,10,11,12,13},1),{6,5,4,3,2,9,8,7,6,5,4,3,2}),11))),"OK","ERRO: dígito verificador")))))</f>
      </c>
      <c r="V145" s="6">
        <f>IF(T145="","",IF(COUNTIF($T$2:$T$1001,T145)&gt;1,"DUPLICADO","OK"))</f>
      </c>
      <c r="W145" s="6">
        <f>IF(M145="","vazio",IF(OR(AND(LEN(SUBSTITUTE(SUBSTITUTE(SUBSTITUTE(SUBSTITUTE(SUBSTITUTE(SUBSTITUTE(SUBSTITUTE(TRIM(M145),".",""),"/",""),"-","")," ",""),"(",""),")",""),"+",""))=10,LEFT(SUBSTITUTE(SUBSTITUTE(SUBSTITUTE(SUBSTITUTE(SUBSTITUTE(SUBSTITUTE(SUBSTITUTE(TRIM(M145),".",""),"/",""),"-","")," ",""),"(",""),")",""),"+",""),1)&lt;&gt;"0"),AND(LEN(SUBSTITUTE(SUBSTITUTE(SUBSTITUTE(SUBSTITUTE(SUBSTITUTE(SUBSTITUTE(SUBSTITUTE(TRIM(M145),".",""),"/",""),"-","")," ",""),"(",""),")",""),"+",""))=11,LEFT(SUBSTITUTE(SUBSTITUTE(SUBSTITUTE(SUBSTITUTE(SUBSTITUTE(SUBSTITUTE(SUBSTITUTE(TRIM(M145),".",""),"/",""),"-","")," ",""),"(",""),")",""),"+",""),4)="0800")),"OK",IF(AND(LEN(SUBSTITUTE(SUBSTITUTE(SUBSTITUTE(SUBSTITUTE(SUBSTITUTE(SUBSTITUTE(SUBSTITUTE(TRIM(M145),".",""),"/",""),"-","")," ",""),"(",""),")",""),"+",""))=11,MID(SUBSTITUTE(SUBSTITUTE(SUBSTITUTE(SUBSTITUTE(SUBSTITUTE(SUBSTITUTE(SUBSTITUTE(TRIM(M145),".",""),"/",""),"-","")," ",""),"(",""),")",""),"+",""),3,1)="9"),"ERRO: é celular, use a coluna Celular","ERRO: DDD + 8 dígitos ou 0800 + 7")))</f>
      </c>
      <c r="X145" s="6">
        <f>IF(N145="","vazio",IF(AND(LEN(SUBSTITUTE(SUBSTITUTE(SUBSTITUTE(SUBSTITUTE(SUBSTITUTE(SUBSTITUTE(SUBSTITUTE(TRIM(N145),".",""),"/",""),"-","")," ",""),"(",""),")",""),"+",""))=11,MID(SUBSTITUTE(SUBSTITUTE(SUBSTITUTE(SUBSTITUTE(SUBSTITUTE(SUBSTITUTE(SUBSTITUTE(TRIM(N145),".",""),"/",""),"-","")," ",""),"(",""),")",""),"+",""),3,1)="9",LEFT(SUBSTITUTE(SUBSTITUTE(SUBSTITUTE(SUBSTITUTE(SUBSTITUTE(SUBSTITUTE(SUBSTITUTE(TRIM(N145),".",""),"/",""),"-","")," ",""),"(",""),")",""),"+",""),1)&lt;&gt;"0"),"OK",IF(LEN(SUBSTITUTE(SUBSTITUTE(SUBSTITUTE(SUBSTITUTE(SUBSTITUTE(SUBSTITUTE(SUBSTITUTE(TRIM(N145),".",""),"/",""),"-","")," ",""),"(",""),")",""),"+",""))=10,"ERRO: é fixo (ou falta o 9), use a coluna Telefone fixo","ERRO: DDD + 9 + 8 dígitos")))</f>
      </c>
      <c r="Y145" s="6">
        <f>IF(O145="","vazio",IF(AND(ISNUMBER(FIND("@",O145)),ISNUMBER(FIND(".",MID(O145,FIND("@",O145),99))),NOT(ISNUMBER(FIND(" ",TRIM(O145)))),NOT(ISNUMBER(FIND(";",O145))),NOT(ISNUMBER(FIND(",",O145)))),"OK","ERRO: um e-mail válido por linha"))</f>
      </c>
      <c r="Z145" s="6">
        <f>IF(AND(J145="",K145=""),"",IF(AND(J145&lt;&gt;"",K145&lt;&gt;""),"OK","pendente: só um nome (o GR completa ao converter)"))</f>
      </c>
      <c r="AA145" s="6">
        <f>IF(COUNTA(A145:S145)=0,"",IF(AND(A145&lt;&gt;"",B145&lt;&gt;"",C145&lt;&gt;"",D145&lt;&gt;"",E145&lt;&gt;"",F145&lt;&gt;"",G145&lt;&gt;"",H145&lt;&gt;"",OR(J145&lt;&gt;"",K145&lt;&gt;""),OR(M145&lt;&gt;"",N145&lt;&gt;"",O145&lt;&gt;"")),"OK","ERRO: faltam "&amp;IF(A145="","SDR; ","")&amp;IF(B145="","Proprietário; ","")&amp;IF(C145="","Origem; ","")&amp;IF(D145="","Temperatura; ","")&amp;IF(E145="","Segmento; ","")&amp;IF(F145="","Time/Cluster; ","")&amp;IF(G145="","CNPJ; ","")&amp;IF(H145="","Razão Social; ","")&amp;IF(AND(J145="",K145=""),"nome do contato; ","")&amp;IF(AND(M145="",N145="",O145=""),"telefone, celular ou e-mail; ","")))</f>
      </c>
      <c r="AB145" s="6">
        <f>IF(COUNTA(A145:S145)=0,"",IF(AND(U145="OK",V145="OK",LEFT(W145,4)&lt;&gt;"ERRO",LEFT(X145,4)&lt;&gt;"ERRO",LEFT(Y145,4)&lt;&gt;"ERRO",AA145="OK"),"OK","REVISAR"))</f>
      </c>
    </row>
    <row r="146">
      <c r="A146" s="5"/>
      <c r="B146" s="5"/>
      <c r="C146" s="5"/>
      <c r="D146" s="5"/>
      <c r="E146" s="5"/>
      <c r="F146" s="5"/>
      <c r="G146" s="5"/>
      <c r="H146" s="5"/>
      <c r="I146" s="4"/>
      <c r="J146" s="5"/>
      <c r="K146" s="4"/>
      <c r="L146" s="4"/>
      <c r="M146" s="4"/>
      <c r="N146" s="4"/>
      <c r="O146" s="4"/>
      <c r="P146" s="4"/>
      <c r="Q146" s="4"/>
      <c r="R146" s="4"/>
      <c r="S146" s="4"/>
      <c r="T146" s="6">
        <f>IF(G146="","",SUBSTITUTE(SUBSTITUTE(SUBSTITUTE(SUBSTITUTE(SUBSTITUTE(SUBSTITUTE(SUBSTITUTE(TRIM(G146),".",""),"/",""),"-","")," ",""),"(",""),")",""),"+",""))</f>
      </c>
      <c r="U146" s="6">
        <f>IF(T146="","",IF(LEN(T146)&lt;&gt;14,"ERRO: "&amp;LEN(T146)&amp;" dígitos",IF(NOT(ISNUMBER(VALUE(T146))),"ERRO: não numérico",IF(LEN(SUBSTITUTE(T146,LEFT(T146,1),""))=0,"ERRO: dígitos repetidos",IF(AND(VALUE(MID(T146,13,1))=IF(MOD(SUMPRODUCT(--MID(T146,{1,2,3,4,5,6,7,8,9,10,11,12},1),{5,4,3,2,9,8,7,6,5,4,3,2}),11)&lt;2,0,11-MOD(SUMPRODUCT(--MID(T146,{1,2,3,4,5,6,7,8,9,10,11,12},1),{5,4,3,2,9,8,7,6,5,4,3,2}),11)),VALUE(MID(T146,14,1))=IF(MOD(SUMPRODUCT(--MID(T146,{1,2,3,4,5,6,7,8,9,10,11,12,13},1),{6,5,4,3,2,9,8,7,6,5,4,3,2}),11)&lt;2,0,11-MOD(SUMPRODUCT(--MID(T146,{1,2,3,4,5,6,7,8,9,10,11,12,13},1),{6,5,4,3,2,9,8,7,6,5,4,3,2}),11))),"OK","ERRO: dígito verificador")))))</f>
      </c>
      <c r="V146" s="6">
        <f>IF(T146="","",IF(COUNTIF($T$2:$T$1001,T146)&gt;1,"DUPLICADO","OK"))</f>
      </c>
      <c r="W146" s="6">
        <f>IF(M146="","vazio",IF(OR(AND(LEN(SUBSTITUTE(SUBSTITUTE(SUBSTITUTE(SUBSTITUTE(SUBSTITUTE(SUBSTITUTE(SUBSTITUTE(TRIM(M146),".",""),"/",""),"-","")," ",""),"(",""),")",""),"+",""))=10,LEFT(SUBSTITUTE(SUBSTITUTE(SUBSTITUTE(SUBSTITUTE(SUBSTITUTE(SUBSTITUTE(SUBSTITUTE(TRIM(M146),".",""),"/",""),"-","")," ",""),"(",""),")",""),"+",""),1)&lt;&gt;"0"),AND(LEN(SUBSTITUTE(SUBSTITUTE(SUBSTITUTE(SUBSTITUTE(SUBSTITUTE(SUBSTITUTE(SUBSTITUTE(TRIM(M146),".",""),"/",""),"-","")," ",""),"(",""),")",""),"+",""))=11,LEFT(SUBSTITUTE(SUBSTITUTE(SUBSTITUTE(SUBSTITUTE(SUBSTITUTE(SUBSTITUTE(SUBSTITUTE(TRIM(M146),".",""),"/",""),"-","")," ",""),"(",""),")",""),"+",""),4)="0800")),"OK",IF(AND(LEN(SUBSTITUTE(SUBSTITUTE(SUBSTITUTE(SUBSTITUTE(SUBSTITUTE(SUBSTITUTE(SUBSTITUTE(TRIM(M146),".",""),"/",""),"-","")," ",""),"(",""),")",""),"+",""))=11,MID(SUBSTITUTE(SUBSTITUTE(SUBSTITUTE(SUBSTITUTE(SUBSTITUTE(SUBSTITUTE(SUBSTITUTE(TRIM(M146),".",""),"/",""),"-","")," ",""),"(",""),")",""),"+",""),3,1)="9"),"ERRO: é celular, use a coluna Celular","ERRO: DDD + 8 dígitos ou 0800 + 7")))</f>
      </c>
      <c r="X146" s="6">
        <f>IF(N146="","vazio",IF(AND(LEN(SUBSTITUTE(SUBSTITUTE(SUBSTITUTE(SUBSTITUTE(SUBSTITUTE(SUBSTITUTE(SUBSTITUTE(TRIM(N146),".",""),"/",""),"-","")," ",""),"(",""),")",""),"+",""))=11,MID(SUBSTITUTE(SUBSTITUTE(SUBSTITUTE(SUBSTITUTE(SUBSTITUTE(SUBSTITUTE(SUBSTITUTE(TRIM(N146),".",""),"/",""),"-","")," ",""),"(",""),")",""),"+",""),3,1)="9",LEFT(SUBSTITUTE(SUBSTITUTE(SUBSTITUTE(SUBSTITUTE(SUBSTITUTE(SUBSTITUTE(SUBSTITUTE(TRIM(N146),".",""),"/",""),"-","")," ",""),"(",""),")",""),"+",""),1)&lt;&gt;"0"),"OK",IF(LEN(SUBSTITUTE(SUBSTITUTE(SUBSTITUTE(SUBSTITUTE(SUBSTITUTE(SUBSTITUTE(SUBSTITUTE(TRIM(N146),".",""),"/",""),"-","")," ",""),"(",""),")",""),"+",""))=10,"ERRO: é fixo (ou falta o 9), use a coluna Telefone fixo","ERRO: DDD + 9 + 8 dígitos")))</f>
      </c>
      <c r="Y146" s="6">
        <f>IF(O146="","vazio",IF(AND(ISNUMBER(FIND("@",O146)),ISNUMBER(FIND(".",MID(O146,FIND("@",O146),99))),NOT(ISNUMBER(FIND(" ",TRIM(O146)))),NOT(ISNUMBER(FIND(";",O146))),NOT(ISNUMBER(FIND(",",O146)))),"OK","ERRO: um e-mail válido por linha"))</f>
      </c>
      <c r="Z146" s="6">
        <f>IF(AND(J146="",K146=""),"",IF(AND(J146&lt;&gt;"",K146&lt;&gt;""),"OK","pendente: só um nome (o GR completa ao converter)"))</f>
      </c>
      <c r="AA146" s="6">
        <f>IF(COUNTA(A146:S146)=0,"",IF(AND(A146&lt;&gt;"",B146&lt;&gt;"",C146&lt;&gt;"",D146&lt;&gt;"",E146&lt;&gt;"",F146&lt;&gt;"",G146&lt;&gt;"",H146&lt;&gt;"",OR(J146&lt;&gt;"",K146&lt;&gt;""),OR(M146&lt;&gt;"",N146&lt;&gt;"",O146&lt;&gt;"")),"OK","ERRO: faltam "&amp;IF(A146="","SDR; ","")&amp;IF(B146="","Proprietário; ","")&amp;IF(C146="","Origem; ","")&amp;IF(D146="","Temperatura; ","")&amp;IF(E146="","Segmento; ","")&amp;IF(F146="","Time/Cluster; ","")&amp;IF(G146="","CNPJ; ","")&amp;IF(H146="","Razão Social; ","")&amp;IF(AND(J146="",K146=""),"nome do contato; ","")&amp;IF(AND(M146="",N146="",O146=""),"telefone, celular ou e-mail; ","")))</f>
      </c>
      <c r="AB146" s="6">
        <f>IF(COUNTA(A146:S146)=0,"",IF(AND(U146="OK",V146="OK",LEFT(W146,4)&lt;&gt;"ERRO",LEFT(X146,4)&lt;&gt;"ERRO",LEFT(Y146,4)&lt;&gt;"ERRO",AA146="OK"),"OK","REVISAR"))</f>
      </c>
    </row>
    <row r="147">
      <c r="A147" s="5"/>
      <c r="B147" s="5"/>
      <c r="C147" s="5"/>
      <c r="D147" s="5"/>
      <c r="E147" s="5"/>
      <c r="F147" s="5"/>
      <c r="G147" s="5"/>
      <c r="H147" s="5"/>
      <c r="I147" s="4"/>
      <c r="J147" s="5"/>
      <c r="K147" s="4"/>
      <c r="L147" s="4"/>
      <c r="M147" s="4"/>
      <c r="N147" s="4"/>
      <c r="O147" s="4"/>
      <c r="P147" s="4"/>
      <c r="Q147" s="4"/>
      <c r="R147" s="4"/>
      <c r="S147" s="4"/>
      <c r="T147" s="6">
        <f>IF(G147="","",SUBSTITUTE(SUBSTITUTE(SUBSTITUTE(SUBSTITUTE(SUBSTITUTE(SUBSTITUTE(SUBSTITUTE(TRIM(G147),".",""),"/",""),"-","")," ",""),"(",""),")",""),"+",""))</f>
      </c>
      <c r="U147" s="6">
        <f>IF(T147="","",IF(LEN(T147)&lt;&gt;14,"ERRO: "&amp;LEN(T147)&amp;" dígitos",IF(NOT(ISNUMBER(VALUE(T147))),"ERRO: não numérico",IF(LEN(SUBSTITUTE(T147,LEFT(T147,1),""))=0,"ERRO: dígitos repetidos",IF(AND(VALUE(MID(T147,13,1))=IF(MOD(SUMPRODUCT(--MID(T147,{1,2,3,4,5,6,7,8,9,10,11,12},1),{5,4,3,2,9,8,7,6,5,4,3,2}),11)&lt;2,0,11-MOD(SUMPRODUCT(--MID(T147,{1,2,3,4,5,6,7,8,9,10,11,12},1),{5,4,3,2,9,8,7,6,5,4,3,2}),11)),VALUE(MID(T147,14,1))=IF(MOD(SUMPRODUCT(--MID(T147,{1,2,3,4,5,6,7,8,9,10,11,12,13},1),{6,5,4,3,2,9,8,7,6,5,4,3,2}),11)&lt;2,0,11-MOD(SUMPRODUCT(--MID(T147,{1,2,3,4,5,6,7,8,9,10,11,12,13},1),{6,5,4,3,2,9,8,7,6,5,4,3,2}),11))),"OK","ERRO: dígito verificador")))))</f>
      </c>
      <c r="V147" s="6">
        <f>IF(T147="","",IF(COUNTIF($T$2:$T$1001,T147)&gt;1,"DUPLICADO","OK"))</f>
      </c>
      <c r="W147" s="6">
        <f>IF(M147="","vazio",IF(OR(AND(LEN(SUBSTITUTE(SUBSTITUTE(SUBSTITUTE(SUBSTITUTE(SUBSTITUTE(SUBSTITUTE(SUBSTITUTE(TRIM(M147),".",""),"/",""),"-","")," ",""),"(",""),")",""),"+",""))=10,LEFT(SUBSTITUTE(SUBSTITUTE(SUBSTITUTE(SUBSTITUTE(SUBSTITUTE(SUBSTITUTE(SUBSTITUTE(TRIM(M147),".",""),"/",""),"-","")," ",""),"(",""),")",""),"+",""),1)&lt;&gt;"0"),AND(LEN(SUBSTITUTE(SUBSTITUTE(SUBSTITUTE(SUBSTITUTE(SUBSTITUTE(SUBSTITUTE(SUBSTITUTE(TRIM(M147),".",""),"/",""),"-","")," ",""),"(",""),")",""),"+",""))=11,LEFT(SUBSTITUTE(SUBSTITUTE(SUBSTITUTE(SUBSTITUTE(SUBSTITUTE(SUBSTITUTE(SUBSTITUTE(TRIM(M147),".",""),"/",""),"-","")," ",""),"(",""),")",""),"+",""),4)="0800")),"OK",IF(AND(LEN(SUBSTITUTE(SUBSTITUTE(SUBSTITUTE(SUBSTITUTE(SUBSTITUTE(SUBSTITUTE(SUBSTITUTE(TRIM(M147),".",""),"/",""),"-","")," ",""),"(",""),")",""),"+",""))=11,MID(SUBSTITUTE(SUBSTITUTE(SUBSTITUTE(SUBSTITUTE(SUBSTITUTE(SUBSTITUTE(SUBSTITUTE(TRIM(M147),".",""),"/",""),"-","")," ",""),"(",""),")",""),"+",""),3,1)="9"),"ERRO: é celular, use a coluna Celular","ERRO: DDD + 8 dígitos ou 0800 + 7")))</f>
      </c>
      <c r="X147" s="6">
        <f>IF(N147="","vazio",IF(AND(LEN(SUBSTITUTE(SUBSTITUTE(SUBSTITUTE(SUBSTITUTE(SUBSTITUTE(SUBSTITUTE(SUBSTITUTE(TRIM(N147),".",""),"/",""),"-","")," ",""),"(",""),")",""),"+",""))=11,MID(SUBSTITUTE(SUBSTITUTE(SUBSTITUTE(SUBSTITUTE(SUBSTITUTE(SUBSTITUTE(SUBSTITUTE(TRIM(N147),".",""),"/",""),"-","")," ",""),"(",""),")",""),"+",""),3,1)="9",LEFT(SUBSTITUTE(SUBSTITUTE(SUBSTITUTE(SUBSTITUTE(SUBSTITUTE(SUBSTITUTE(SUBSTITUTE(TRIM(N147),".",""),"/",""),"-","")," ",""),"(",""),")",""),"+",""),1)&lt;&gt;"0"),"OK",IF(LEN(SUBSTITUTE(SUBSTITUTE(SUBSTITUTE(SUBSTITUTE(SUBSTITUTE(SUBSTITUTE(SUBSTITUTE(TRIM(N147),".",""),"/",""),"-","")," ",""),"(",""),")",""),"+",""))=10,"ERRO: é fixo (ou falta o 9), use a coluna Telefone fixo","ERRO: DDD + 9 + 8 dígitos")))</f>
      </c>
      <c r="Y147" s="6">
        <f>IF(O147="","vazio",IF(AND(ISNUMBER(FIND("@",O147)),ISNUMBER(FIND(".",MID(O147,FIND("@",O147),99))),NOT(ISNUMBER(FIND(" ",TRIM(O147)))),NOT(ISNUMBER(FIND(";",O147))),NOT(ISNUMBER(FIND(",",O147)))),"OK","ERRO: um e-mail válido por linha"))</f>
      </c>
      <c r="Z147" s="6">
        <f>IF(AND(J147="",K147=""),"",IF(AND(J147&lt;&gt;"",K147&lt;&gt;""),"OK","pendente: só um nome (o GR completa ao converter)"))</f>
      </c>
      <c r="AA147" s="6">
        <f>IF(COUNTA(A147:S147)=0,"",IF(AND(A147&lt;&gt;"",B147&lt;&gt;"",C147&lt;&gt;"",D147&lt;&gt;"",E147&lt;&gt;"",F147&lt;&gt;"",G147&lt;&gt;"",H147&lt;&gt;"",OR(J147&lt;&gt;"",K147&lt;&gt;""),OR(M147&lt;&gt;"",N147&lt;&gt;"",O147&lt;&gt;"")),"OK","ERRO: faltam "&amp;IF(A147="","SDR; ","")&amp;IF(B147="","Proprietário; ","")&amp;IF(C147="","Origem; ","")&amp;IF(D147="","Temperatura; ","")&amp;IF(E147="","Segmento; ","")&amp;IF(F147="","Time/Cluster; ","")&amp;IF(G147="","CNPJ; ","")&amp;IF(H147="","Razão Social; ","")&amp;IF(AND(J147="",K147=""),"nome do contato; ","")&amp;IF(AND(M147="",N147="",O147=""),"telefone, celular ou e-mail; ","")))</f>
      </c>
      <c r="AB147" s="6">
        <f>IF(COUNTA(A147:S147)=0,"",IF(AND(U147="OK",V147="OK",LEFT(W147,4)&lt;&gt;"ERRO",LEFT(X147,4)&lt;&gt;"ERRO",LEFT(Y147,4)&lt;&gt;"ERRO",AA147="OK"),"OK","REVISAR"))</f>
      </c>
    </row>
    <row r="148">
      <c r="A148" s="5"/>
      <c r="B148" s="5"/>
      <c r="C148" s="5"/>
      <c r="D148" s="5"/>
      <c r="E148" s="5"/>
      <c r="F148" s="5"/>
      <c r="G148" s="5"/>
      <c r="H148" s="5"/>
      <c r="I148" s="4"/>
      <c r="J148" s="5"/>
      <c r="K148" s="4"/>
      <c r="L148" s="4"/>
      <c r="M148" s="4"/>
      <c r="N148" s="4"/>
      <c r="O148" s="4"/>
      <c r="P148" s="4"/>
      <c r="Q148" s="4"/>
      <c r="R148" s="4"/>
      <c r="S148" s="4"/>
      <c r="T148" s="6">
        <f>IF(G148="","",SUBSTITUTE(SUBSTITUTE(SUBSTITUTE(SUBSTITUTE(SUBSTITUTE(SUBSTITUTE(SUBSTITUTE(TRIM(G148),".",""),"/",""),"-","")," ",""),"(",""),")",""),"+",""))</f>
      </c>
      <c r="U148" s="6">
        <f>IF(T148="","",IF(LEN(T148)&lt;&gt;14,"ERRO: "&amp;LEN(T148)&amp;" dígitos",IF(NOT(ISNUMBER(VALUE(T148))),"ERRO: não numérico",IF(LEN(SUBSTITUTE(T148,LEFT(T148,1),""))=0,"ERRO: dígitos repetidos",IF(AND(VALUE(MID(T148,13,1))=IF(MOD(SUMPRODUCT(--MID(T148,{1,2,3,4,5,6,7,8,9,10,11,12},1),{5,4,3,2,9,8,7,6,5,4,3,2}),11)&lt;2,0,11-MOD(SUMPRODUCT(--MID(T148,{1,2,3,4,5,6,7,8,9,10,11,12},1),{5,4,3,2,9,8,7,6,5,4,3,2}),11)),VALUE(MID(T148,14,1))=IF(MOD(SUMPRODUCT(--MID(T148,{1,2,3,4,5,6,7,8,9,10,11,12,13},1),{6,5,4,3,2,9,8,7,6,5,4,3,2}),11)&lt;2,0,11-MOD(SUMPRODUCT(--MID(T148,{1,2,3,4,5,6,7,8,9,10,11,12,13},1),{6,5,4,3,2,9,8,7,6,5,4,3,2}),11))),"OK","ERRO: dígito verificador")))))</f>
      </c>
      <c r="V148" s="6">
        <f>IF(T148="","",IF(COUNTIF($T$2:$T$1001,T148)&gt;1,"DUPLICADO","OK"))</f>
      </c>
      <c r="W148" s="6">
        <f>IF(M148="","vazio",IF(OR(AND(LEN(SUBSTITUTE(SUBSTITUTE(SUBSTITUTE(SUBSTITUTE(SUBSTITUTE(SUBSTITUTE(SUBSTITUTE(TRIM(M148),".",""),"/",""),"-","")," ",""),"(",""),")",""),"+",""))=10,LEFT(SUBSTITUTE(SUBSTITUTE(SUBSTITUTE(SUBSTITUTE(SUBSTITUTE(SUBSTITUTE(SUBSTITUTE(TRIM(M148),".",""),"/",""),"-","")," ",""),"(",""),")",""),"+",""),1)&lt;&gt;"0"),AND(LEN(SUBSTITUTE(SUBSTITUTE(SUBSTITUTE(SUBSTITUTE(SUBSTITUTE(SUBSTITUTE(SUBSTITUTE(TRIM(M148),".",""),"/",""),"-","")," ",""),"(",""),")",""),"+",""))=11,LEFT(SUBSTITUTE(SUBSTITUTE(SUBSTITUTE(SUBSTITUTE(SUBSTITUTE(SUBSTITUTE(SUBSTITUTE(TRIM(M148),".",""),"/",""),"-","")," ",""),"(",""),")",""),"+",""),4)="0800")),"OK",IF(AND(LEN(SUBSTITUTE(SUBSTITUTE(SUBSTITUTE(SUBSTITUTE(SUBSTITUTE(SUBSTITUTE(SUBSTITUTE(TRIM(M148),".",""),"/",""),"-","")," ",""),"(",""),")",""),"+",""))=11,MID(SUBSTITUTE(SUBSTITUTE(SUBSTITUTE(SUBSTITUTE(SUBSTITUTE(SUBSTITUTE(SUBSTITUTE(TRIM(M148),".",""),"/",""),"-","")," ",""),"(",""),")",""),"+",""),3,1)="9"),"ERRO: é celular, use a coluna Celular","ERRO: DDD + 8 dígitos ou 0800 + 7")))</f>
      </c>
      <c r="X148" s="6">
        <f>IF(N148="","vazio",IF(AND(LEN(SUBSTITUTE(SUBSTITUTE(SUBSTITUTE(SUBSTITUTE(SUBSTITUTE(SUBSTITUTE(SUBSTITUTE(TRIM(N148),".",""),"/",""),"-","")," ",""),"(",""),")",""),"+",""))=11,MID(SUBSTITUTE(SUBSTITUTE(SUBSTITUTE(SUBSTITUTE(SUBSTITUTE(SUBSTITUTE(SUBSTITUTE(TRIM(N148),".",""),"/",""),"-","")," ",""),"(",""),")",""),"+",""),3,1)="9",LEFT(SUBSTITUTE(SUBSTITUTE(SUBSTITUTE(SUBSTITUTE(SUBSTITUTE(SUBSTITUTE(SUBSTITUTE(TRIM(N148),".",""),"/",""),"-","")," ",""),"(",""),")",""),"+",""),1)&lt;&gt;"0"),"OK",IF(LEN(SUBSTITUTE(SUBSTITUTE(SUBSTITUTE(SUBSTITUTE(SUBSTITUTE(SUBSTITUTE(SUBSTITUTE(TRIM(N148),".",""),"/",""),"-","")," ",""),"(",""),")",""),"+",""))=10,"ERRO: é fixo (ou falta o 9), use a coluna Telefone fixo","ERRO: DDD + 9 + 8 dígitos")))</f>
      </c>
      <c r="Y148" s="6">
        <f>IF(O148="","vazio",IF(AND(ISNUMBER(FIND("@",O148)),ISNUMBER(FIND(".",MID(O148,FIND("@",O148),99))),NOT(ISNUMBER(FIND(" ",TRIM(O148)))),NOT(ISNUMBER(FIND(";",O148))),NOT(ISNUMBER(FIND(",",O148)))),"OK","ERRO: um e-mail válido por linha"))</f>
      </c>
      <c r="Z148" s="6">
        <f>IF(AND(J148="",K148=""),"",IF(AND(J148&lt;&gt;"",K148&lt;&gt;""),"OK","pendente: só um nome (o GR completa ao converter)"))</f>
      </c>
      <c r="AA148" s="6">
        <f>IF(COUNTA(A148:S148)=0,"",IF(AND(A148&lt;&gt;"",B148&lt;&gt;"",C148&lt;&gt;"",D148&lt;&gt;"",E148&lt;&gt;"",F148&lt;&gt;"",G148&lt;&gt;"",H148&lt;&gt;"",OR(J148&lt;&gt;"",K148&lt;&gt;""),OR(M148&lt;&gt;"",N148&lt;&gt;"",O148&lt;&gt;"")),"OK","ERRO: faltam "&amp;IF(A148="","SDR; ","")&amp;IF(B148="","Proprietário; ","")&amp;IF(C148="","Origem; ","")&amp;IF(D148="","Temperatura; ","")&amp;IF(E148="","Segmento; ","")&amp;IF(F148="","Time/Cluster; ","")&amp;IF(G148="","CNPJ; ","")&amp;IF(H148="","Razão Social; ","")&amp;IF(AND(J148="",K148=""),"nome do contato; ","")&amp;IF(AND(M148="",N148="",O148=""),"telefone, celular ou e-mail; ","")))</f>
      </c>
      <c r="AB148" s="6">
        <f>IF(COUNTA(A148:S148)=0,"",IF(AND(U148="OK",V148="OK",LEFT(W148,4)&lt;&gt;"ERRO",LEFT(X148,4)&lt;&gt;"ERRO",LEFT(Y148,4)&lt;&gt;"ERRO",AA148="OK"),"OK","REVISAR"))</f>
      </c>
    </row>
    <row r="149">
      <c r="A149" s="5"/>
      <c r="B149" s="5"/>
      <c r="C149" s="5"/>
      <c r="D149" s="5"/>
      <c r="E149" s="5"/>
      <c r="F149" s="5"/>
      <c r="G149" s="5"/>
      <c r="H149" s="5"/>
      <c r="I149" s="4"/>
      <c r="J149" s="5"/>
      <c r="K149" s="4"/>
      <c r="L149" s="4"/>
      <c r="M149" s="4"/>
      <c r="N149" s="4"/>
      <c r="O149" s="4"/>
      <c r="P149" s="4"/>
      <c r="Q149" s="4"/>
      <c r="R149" s="4"/>
      <c r="S149" s="4"/>
      <c r="T149" s="6">
        <f>IF(G149="","",SUBSTITUTE(SUBSTITUTE(SUBSTITUTE(SUBSTITUTE(SUBSTITUTE(SUBSTITUTE(SUBSTITUTE(TRIM(G149),".",""),"/",""),"-","")," ",""),"(",""),")",""),"+",""))</f>
      </c>
      <c r="U149" s="6">
        <f>IF(T149="","",IF(LEN(T149)&lt;&gt;14,"ERRO: "&amp;LEN(T149)&amp;" dígitos",IF(NOT(ISNUMBER(VALUE(T149))),"ERRO: não numérico",IF(LEN(SUBSTITUTE(T149,LEFT(T149,1),""))=0,"ERRO: dígitos repetidos",IF(AND(VALUE(MID(T149,13,1))=IF(MOD(SUMPRODUCT(--MID(T149,{1,2,3,4,5,6,7,8,9,10,11,12},1),{5,4,3,2,9,8,7,6,5,4,3,2}),11)&lt;2,0,11-MOD(SUMPRODUCT(--MID(T149,{1,2,3,4,5,6,7,8,9,10,11,12},1),{5,4,3,2,9,8,7,6,5,4,3,2}),11)),VALUE(MID(T149,14,1))=IF(MOD(SUMPRODUCT(--MID(T149,{1,2,3,4,5,6,7,8,9,10,11,12,13},1),{6,5,4,3,2,9,8,7,6,5,4,3,2}),11)&lt;2,0,11-MOD(SUMPRODUCT(--MID(T149,{1,2,3,4,5,6,7,8,9,10,11,12,13},1),{6,5,4,3,2,9,8,7,6,5,4,3,2}),11))),"OK","ERRO: dígito verificador")))))</f>
      </c>
      <c r="V149" s="6">
        <f>IF(T149="","",IF(COUNTIF($T$2:$T$1001,T149)&gt;1,"DUPLICADO","OK"))</f>
      </c>
      <c r="W149" s="6">
        <f>IF(M149="","vazio",IF(OR(AND(LEN(SUBSTITUTE(SUBSTITUTE(SUBSTITUTE(SUBSTITUTE(SUBSTITUTE(SUBSTITUTE(SUBSTITUTE(TRIM(M149),".",""),"/",""),"-","")," ",""),"(",""),")",""),"+",""))=10,LEFT(SUBSTITUTE(SUBSTITUTE(SUBSTITUTE(SUBSTITUTE(SUBSTITUTE(SUBSTITUTE(SUBSTITUTE(TRIM(M149),".",""),"/",""),"-","")," ",""),"(",""),")",""),"+",""),1)&lt;&gt;"0"),AND(LEN(SUBSTITUTE(SUBSTITUTE(SUBSTITUTE(SUBSTITUTE(SUBSTITUTE(SUBSTITUTE(SUBSTITUTE(TRIM(M149),".",""),"/",""),"-","")," ",""),"(",""),")",""),"+",""))=11,LEFT(SUBSTITUTE(SUBSTITUTE(SUBSTITUTE(SUBSTITUTE(SUBSTITUTE(SUBSTITUTE(SUBSTITUTE(TRIM(M149),".",""),"/",""),"-","")," ",""),"(",""),")",""),"+",""),4)="0800")),"OK",IF(AND(LEN(SUBSTITUTE(SUBSTITUTE(SUBSTITUTE(SUBSTITUTE(SUBSTITUTE(SUBSTITUTE(SUBSTITUTE(TRIM(M149),".",""),"/",""),"-","")," ",""),"(",""),")",""),"+",""))=11,MID(SUBSTITUTE(SUBSTITUTE(SUBSTITUTE(SUBSTITUTE(SUBSTITUTE(SUBSTITUTE(SUBSTITUTE(TRIM(M149),".",""),"/",""),"-","")," ",""),"(",""),")",""),"+",""),3,1)="9"),"ERRO: é celular, use a coluna Celular","ERRO: DDD + 8 dígitos ou 0800 + 7")))</f>
      </c>
      <c r="X149" s="6">
        <f>IF(N149="","vazio",IF(AND(LEN(SUBSTITUTE(SUBSTITUTE(SUBSTITUTE(SUBSTITUTE(SUBSTITUTE(SUBSTITUTE(SUBSTITUTE(TRIM(N149),".",""),"/",""),"-","")," ",""),"(",""),")",""),"+",""))=11,MID(SUBSTITUTE(SUBSTITUTE(SUBSTITUTE(SUBSTITUTE(SUBSTITUTE(SUBSTITUTE(SUBSTITUTE(TRIM(N149),".",""),"/",""),"-","")," ",""),"(",""),")",""),"+",""),3,1)="9",LEFT(SUBSTITUTE(SUBSTITUTE(SUBSTITUTE(SUBSTITUTE(SUBSTITUTE(SUBSTITUTE(SUBSTITUTE(TRIM(N149),".",""),"/",""),"-","")," ",""),"(",""),")",""),"+",""),1)&lt;&gt;"0"),"OK",IF(LEN(SUBSTITUTE(SUBSTITUTE(SUBSTITUTE(SUBSTITUTE(SUBSTITUTE(SUBSTITUTE(SUBSTITUTE(TRIM(N149),".",""),"/",""),"-","")," ",""),"(",""),")",""),"+",""))=10,"ERRO: é fixo (ou falta o 9), use a coluna Telefone fixo","ERRO: DDD + 9 + 8 dígitos")))</f>
      </c>
      <c r="Y149" s="6">
        <f>IF(O149="","vazio",IF(AND(ISNUMBER(FIND("@",O149)),ISNUMBER(FIND(".",MID(O149,FIND("@",O149),99))),NOT(ISNUMBER(FIND(" ",TRIM(O149)))),NOT(ISNUMBER(FIND(";",O149))),NOT(ISNUMBER(FIND(",",O149)))),"OK","ERRO: um e-mail válido por linha"))</f>
      </c>
      <c r="Z149" s="6">
        <f>IF(AND(J149="",K149=""),"",IF(AND(J149&lt;&gt;"",K149&lt;&gt;""),"OK","pendente: só um nome (o GR completa ao converter)"))</f>
      </c>
      <c r="AA149" s="6">
        <f>IF(COUNTA(A149:S149)=0,"",IF(AND(A149&lt;&gt;"",B149&lt;&gt;"",C149&lt;&gt;"",D149&lt;&gt;"",E149&lt;&gt;"",F149&lt;&gt;"",G149&lt;&gt;"",H149&lt;&gt;"",OR(J149&lt;&gt;"",K149&lt;&gt;""),OR(M149&lt;&gt;"",N149&lt;&gt;"",O149&lt;&gt;"")),"OK","ERRO: faltam "&amp;IF(A149="","SDR; ","")&amp;IF(B149="","Proprietário; ","")&amp;IF(C149="","Origem; ","")&amp;IF(D149="","Temperatura; ","")&amp;IF(E149="","Segmento; ","")&amp;IF(F149="","Time/Cluster; ","")&amp;IF(G149="","CNPJ; ","")&amp;IF(H149="","Razão Social; ","")&amp;IF(AND(J149="",K149=""),"nome do contato; ","")&amp;IF(AND(M149="",N149="",O149=""),"telefone, celular ou e-mail; ","")))</f>
      </c>
      <c r="AB149" s="6">
        <f>IF(COUNTA(A149:S149)=0,"",IF(AND(U149="OK",V149="OK",LEFT(W149,4)&lt;&gt;"ERRO",LEFT(X149,4)&lt;&gt;"ERRO",LEFT(Y149,4)&lt;&gt;"ERRO",AA149="OK"),"OK","REVISAR"))</f>
      </c>
    </row>
    <row r="150">
      <c r="A150" s="5"/>
      <c r="B150" s="5"/>
      <c r="C150" s="5"/>
      <c r="D150" s="5"/>
      <c r="E150" s="5"/>
      <c r="F150" s="5"/>
      <c r="G150" s="5"/>
      <c r="H150" s="5"/>
      <c r="I150" s="4"/>
      <c r="J150" s="5"/>
      <c r="K150" s="4"/>
      <c r="L150" s="4"/>
      <c r="M150" s="4"/>
      <c r="N150" s="4"/>
      <c r="O150" s="4"/>
      <c r="P150" s="4"/>
      <c r="Q150" s="4"/>
      <c r="R150" s="4"/>
      <c r="S150" s="4"/>
      <c r="T150" s="6">
        <f>IF(G150="","",SUBSTITUTE(SUBSTITUTE(SUBSTITUTE(SUBSTITUTE(SUBSTITUTE(SUBSTITUTE(SUBSTITUTE(TRIM(G150),".",""),"/",""),"-","")," ",""),"(",""),")",""),"+",""))</f>
      </c>
      <c r="U150" s="6">
        <f>IF(T150="","",IF(LEN(T150)&lt;&gt;14,"ERRO: "&amp;LEN(T150)&amp;" dígitos",IF(NOT(ISNUMBER(VALUE(T150))),"ERRO: não numérico",IF(LEN(SUBSTITUTE(T150,LEFT(T150,1),""))=0,"ERRO: dígitos repetidos",IF(AND(VALUE(MID(T150,13,1))=IF(MOD(SUMPRODUCT(--MID(T150,{1,2,3,4,5,6,7,8,9,10,11,12},1),{5,4,3,2,9,8,7,6,5,4,3,2}),11)&lt;2,0,11-MOD(SUMPRODUCT(--MID(T150,{1,2,3,4,5,6,7,8,9,10,11,12},1),{5,4,3,2,9,8,7,6,5,4,3,2}),11)),VALUE(MID(T150,14,1))=IF(MOD(SUMPRODUCT(--MID(T150,{1,2,3,4,5,6,7,8,9,10,11,12,13},1),{6,5,4,3,2,9,8,7,6,5,4,3,2}),11)&lt;2,0,11-MOD(SUMPRODUCT(--MID(T150,{1,2,3,4,5,6,7,8,9,10,11,12,13},1),{6,5,4,3,2,9,8,7,6,5,4,3,2}),11))),"OK","ERRO: dígito verificador")))))</f>
      </c>
      <c r="V150" s="6">
        <f>IF(T150="","",IF(COUNTIF($T$2:$T$1001,T150)&gt;1,"DUPLICADO","OK"))</f>
      </c>
      <c r="W150" s="6">
        <f>IF(M150="","vazio",IF(OR(AND(LEN(SUBSTITUTE(SUBSTITUTE(SUBSTITUTE(SUBSTITUTE(SUBSTITUTE(SUBSTITUTE(SUBSTITUTE(TRIM(M150),".",""),"/",""),"-","")," ",""),"(",""),")",""),"+",""))=10,LEFT(SUBSTITUTE(SUBSTITUTE(SUBSTITUTE(SUBSTITUTE(SUBSTITUTE(SUBSTITUTE(SUBSTITUTE(TRIM(M150),".",""),"/",""),"-","")," ",""),"(",""),")",""),"+",""),1)&lt;&gt;"0"),AND(LEN(SUBSTITUTE(SUBSTITUTE(SUBSTITUTE(SUBSTITUTE(SUBSTITUTE(SUBSTITUTE(SUBSTITUTE(TRIM(M150),".",""),"/",""),"-","")," ",""),"(",""),")",""),"+",""))=11,LEFT(SUBSTITUTE(SUBSTITUTE(SUBSTITUTE(SUBSTITUTE(SUBSTITUTE(SUBSTITUTE(SUBSTITUTE(TRIM(M150),".",""),"/",""),"-","")," ",""),"(",""),")",""),"+",""),4)="0800")),"OK",IF(AND(LEN(SUBSTITUTE(SUBSTITUTE(SUBSTITUTE(SUBSTITUTE(SUBSTITUTE(SUBSTITUTE(SUBSTITUTE(TRIM(M150),".",""),"/",""),"-","")," ",""),"(",""),")",""),"+",""))=11,MID(SUBSTITUTE(SUBSTITUTE(SUBSTITUTE(SUBSTITUTE(SUBSTITUTE(SUBSTITUTE(SUBSTITUTE(TRIM(M150),".",""),"/",""),"-","")," ",""),"(",""),")",""),"+",""),3,1)="9"),"ERRO: é celular, use a coluna Celular","ERRO: DDD + 8 dígitos ou 0800 + 7")))</f>
      </c>
      <c r="X150" s="6">
        <f>IF(N150="","vazio",IF(AND(LEN(SUBSTITUTE(SUBSTITUTE(SUBSTITUTE(SUBSTITUTE(SUBSTITUTE(SUBSTITUTE(SUBSTITUTE(TRIM(N150),".",""),"/",""),"-","")," ",""),"(",""),")",""),"+",""))=11,MID(SUBSTITUTE(SUBSTITUTE(SUBSTITUTE(SUBSTITUTE(SUBSTITUTE(SUBSTITUTE(SUBSTITUTE(TRIM(N150),".",""),"/",""),"-","")," ",""),"(",""),")",""),"+",""),3,1)="9",LEFT(SUBSTITUTE(SUBSTITUTE(SUBSTITUTE(SUBSTITUTE(SUBSTITUTE(SUBSTITUTE(SUBSTITUTE(TRIM(N150),".",""),"/",""),"-","")," ",""),"(",""),")",""),"+",""),1)&lt;&gt;"0"),"OK",IF(LEN(SUBSTITUTE(SUBSTITUTE(SUBSTITUTE(SUBSTITUTE(SUBSTITUTE(SUBSTITUTE(SUBSTITUTE(TRIM(N150),".",""),"/",""),"-","")," ",""),"(",""),")",""),"+",""))=10,"ERRO: é fixo (ou falta o 9), use a coluna Telefone fixo","ERRO: DDD + 9 + 8 dígitos")))</f>
      </c>
      <c r="Y150" s="6">
        <f>IF(O150="","vazio",IF(AND(ISNUMBER(FIND("@",O150)),ISNUMBER(FIND(".",MID(O150,FIND("@",O150),99))),NOT(ISNUMBER(FIND(" ",TRIM(O150)))),NOT(ISNUMBER(FIND(";",O150))),NOT(ISNUMBER(FIND(",",O150)))),"OK","ERRO: um e-mail válido por linha"))</f>
      </c>
      <c r="Z150" s="6">
        <f>IF(AND(J150="",K150=""),"",IF(AND(J150&lt;&gt;"",K150&lt;&gt;""),"OK","pendente: só um nome (o GR completa ao converter)"))</f>
      </c>
      <c r="AA150" s="6">
        <f>IF(COUNTA(A150:S150)=0,"",IF(AND(A150&lt;&gt;"",B150&lt;&gt;"",C150&lt;&gt;"",D150&lt;&gt;"",E150&lt;&gt;"",F150&lt;&gt;"",G150&lt;&gt;"",H150&lt;&gt;"",OR(J150&lt;&gt;"",K150&lt;&gt;""),OR(M150&lt;&gt;"",N150&lt;&gt;"",O150&lt;&gt;"")),"OK","ERRO: faltam "&amp;IF(A150="","SDR; ","")&amp;IF(B150="","Proprietário; ","")&amp;IF(C150="","Origem; ","")&amp;IF(D150="","Temperatura; ","")&amp;IF(E150="","Segmento; ","")&amp;IF(F150="","Time/Cluster; ","")&amp;IF(G150="","CNPJ; ","")&amp;IF(H150="","Razão Social; ","")&amp;IF(AND(J150="",K150=""),"nome do contato; ","")&amp;IF(AND(M150="",N150="",O150=""),"telefone, celular ou e-mail; ","")))</f>
      </c>
      <c r="AB150" s="6">
        <f>IF(COUNTA(A150:S150)=0,"",IF(AND(U150="OK",V150="OK",LEFT(W150,4)&lt;&gt;"ERRO",LEFT(X150,4)&lt;&gt;"ERRO",LEFT(Y150,4)&lt;&gt;"ERRO",AA150="OK"),"OK","REVISAR"))</f>
      </c>
    </row>
    <row r="151">
      <c r="A151" s="5"/>
      <c r="B151" s="5"/>
      <c r="C151" s="5"/>
      <c r="D151" s="5"/>
      <c r="E151" s="5"/>
      <c r="F151" s="5"/>
      <c r="G151" s="5"/>
      <c r="H151" s="5"/>
      <c r="I151" s="4"/>
      <c r="J151" s="5"/>
      <c r="K151" s="4"/>
      <c r="L151" s="4"/>
      <c r="M151" s="4"/>
      <c r="N151" s="4"/>
      <c r="O151" s="4"/>
      <c r="P151" s="4"/>
      <c r="Q151" s="4"/>
      <c r="R151" s="4"/>
      <c r="S151" s="4"/>
      <c r="T151" s="6">
        <f>IF(G151="","",SUBSTITUTE(SUBSTITUTE(SUBSTITUTE(SUBSTITUTE(SUBSTITUTE(SUBSTITUTE(SUBSTITUTE(TRIM(G151),".",""),"/",""),"-","")," ",""),"(",""),")",""),"+",""))</f>
      </c>
      <c r="U151" s="6">
        <f>IF(T151="","",IF(LEN(T151)&lt;&gt;14,"ERRO: "&amp;LEN(T151)&amp;" dígitos",IF(NOT(ISNUMBER(VALUE(T151))),"ERRO: não numérico",IF(LEN(SUBSTITUTE(T151,LEFT(T151,1),""))=0,"ERRO: dígitos repetidos",IF(AND(VALUE(MID(T151,13,1))=IF(MOD(SUMPRODUCT(--MID(T151,{1,2,3,4,5,6,7,8,9,10,11,12},1),{5,4,3,2,9,8,7,6,5,4,3,2}),11)&lt;2,0,11-MOD(SUMPRODUCT(--MID(T151,{1,2,3,4,5,6,7,8,9,10,11,12},1),{5,4,3,2,9,8,7,6,5,4,3,2}),11)),VALUE(MID(T151,14,1))=IF(MOD(SUMPRODUCT(--MID(T151,{1,2,3,4,5,6,7,8,9,10,11,12,13},1),{6,5,4,3,2,9,8,7,6,5,4,3,2}),11)&lt;2,0,11-MOD(SUMPRODUCT(--MID(T151,{1,2,3,4,5,6,7,8,9,10,11,12,13},1),{6,5,4,3,2,9,8,7,6,5,4,3,2}),11))),"OK","ERRO: dígito verificador")))))</f>
      </c>
      <c r="V151" s="6">
        <f>IF(T151="","",IF(COUNTIF($T$2:$T$1001,T151)&gt;1,"DUPLICADO","OK"))</f>
      </c>
      <c r="W151" s="6">
        <f>IF(M151="","vazio",IF(OR(AND(LEN(SUBSTITUTE(SUBSTITUTE(SUBSTITUTE(SUBSTITUTE(SUBSTITUTE(SUBSTITUTE(SUBSTITUTE(TRIM(M151),".",""),"/",""),"-","")," ",""),"(",""),")",""),"+",""))=10,LEFT(SUBSTITUTE(SUBSTITUTE(SUBSTITUTE(SUBSTITUTE(SUBSTITUTE(SUBSTITUTE(SUBSTITUTE(TRIM(M151),".",""),"/",""),"-","")," ",""),"(",""),")",""),"+",""),1)&lt;&gt;"0"),AND(LEN(SUBSTITUTE(SUBSTITUTE(SUBSTITUTE(SUBSTITUTE(SUBSTITUTE(SUBSTITUTE(SUBSTITUTE(TRIM(M151),".",""),"/",""),"-","")," ",""),"(",""),")",""),"+",""))=11,LEFT(SUBSTITUTE(SUBSTITUTE(SUBSTITUTE(SUBSTITUTE(SUBSTITUTE(SUBSTITUTE(SUBSTITUTE(TRIM(M151),".",""),"/",""),"-","")," ",""),"(",""),")",""),"+",""),4)="0800")),"OK",IF(AND(LEN(SUBSTITUTE(SUBSTITUTE(SUBSTITUTE(SUBSTITUTE(SUBSTITUTE(SUBSTITUTE(SUBSTITUTE(TRIM(M151),".",""),"/",""),"-","")," ",""),"(",""),")",""),"+",""))=11,MID(SUBSTITUTE(SUBSTITUTE(SUBSTITUTE(SUBSTITUTE(SUBSTITUTE(SUBSTITUTE(SUBSTITUTE(TRIM(M151),".",""),"/",""),"-","")," ",""),"(",""),")",""),"+",""),3,1)="9"),"ERRO: é celular, use a coluna Celular","ERRO: DDD + 8 dígitos ou 0800 + 7")))</f>
      </c>
      <c r="X151" s="6">
        <f>IF(N151="","vazio",IF(AND(LEN(SUBSTITUTE(SUBSTITUTE(SUBSTITUTE(SUBSTITUTE(SUBSTITUTE(SUBSTITUTE(SUBSTITUTE(TRIM(N151),".",""),"/",""),"-","")," ",""),"(",""),")",""),"+",""))=11,MID(SUBSTITUTE(SUBSTITUTE(SUBSTITUTE(SUBSTITUTE(SUBSTITUTE(SUBSTITUTE(SUBSTITUTE(TRIM(N151),".",""),"/",""),"-","")," ",""),"(",""),")",""),"+",""),3,1)="9",LEFT(SUBSTITUTE(SUBSTITUTE(SUBSTITUTE(SUBSTITUTE(SUBSTITUTE(SUBSTITUTE(SUBSTITUTE(TRIM(N151),".",""),"/",""),"-","")," ",""),"(",""),")",""),"+",""),1)&lt;&gt;"0"),"OK",IF(LEN(SUBSTITUTE(SUBSTITUTE(SUBSTITUTE(SUBSTITUTE(SUBSTITUTE(SUBSTITUTE(SUBSTITUTE(TRIM(N151),".",""),"/",""),"-","")," ",""),"(",""),")",""),"+",""))=10,"ERRO: é fixo (ou falta o 9), use a coluna Telefone fixo","ERRO: DDD + 9 + 8 dígitos")))</f>
      </c>
      <c r="Y151" s="6">
        <f>IF(O151="","vazio",IF(AND(ISNUMBER(FIND("@",O151)),ISNUMBER(FIND(".",MID(O151,FIND("@",O151),99))),NOT(ISNUMBER(FIND(" ",TRIM(O151)))),NOT(ISNUMBER(FIND(";",O151))),NOT(ISNUMBER(FIND(",",O151)))),"OK","ERRO: um e-mail válido por linha"))</f>
      </c>
      <c r="Z151" s="6">
        <f>IF(AND(J151="",K151=""),"",IF(AND(J151&lt;&gt;"",K151&lt;&gt;""),"OK","pendente: só um nome (o GR completa ao converter)"))</f>
      </c>
      <c r="AA151" s="6">
        <f>IF(COUNTA(A151:S151)=0,"",IF(AND(A151&lt;&gt;"",B151&lt;&gt;"",C151&lt;&gt;"",D151&lt;&gt;"",E151&lt;&gt;"",F151&lt;&gt;"",G151&lt;&gt;"",H151&lt;&gt;"",OR(J151&lt;&gt;"",K151&lt;&gt;""),OR(M151&lt;&gt;"",N151&lt;&gt;"",O151&lt;&gt;"")),"OK","ERRO: faltam "&amp;IF(A151="","SDR; ","")&amp;IF(B151="","Proprietário; ","")&amp;IF(C151="","Origem; ","")&amp;IF(D151="","Temperatura; ","")&amp;IF(E151="","Segmento; ","")&amp;IF(F151="","Time/Cluster; ","")&amp;IF(G151="","CNPJ; ","")&amp;IF(H151="","Razão Social; ","")&amp;IF(AND(J151="",K151=""),"nome do contato; ","")&amp;IF(AND(M151="",N151="",O151=""),"telefone, celular ou e-mail; ","")))</f>
      </c>
      <c r="AB151" s="6">
        <f>IF(COUNTA(A151:S151)=0,"",IF(AND(U151="OK",V151="OK",LEFT(W151,4)&lt;&gt;"ERRO",LEFT(X151,4)&lt;&gt;"ERRO",LEFT(Y151,4)&lt;&gt;"ERRO",AA151="OK"),"OK","REVISAR"))</f>
      </c>
    </row>
    <row r="152">
      <c r="A152" s="5"/>
      <c r="B152" s="5"/>
      <c r="C152" s="5"/>
      <c r="D152" s="5"/>
      <c r="E152" s="5"/>
      <c r="F152" s="5"/>
      <c r="G152" s="5"/>
      <c r="H152" s="5"/>
      <c r="I152" s="4"/>
      <c r="J152" s="5"/>
      <c r="K152" s="4"/>
      <c r="L152" s="4"/>
      <c r="M152" s="4"/>
      <c r="N152" s="4"/>
      <c r="O152" s="4"/>
      <c r="P152" s="4"/>
      <c r="Q152" s="4"/>
      <c r="R152" s="4"/>
      <c r="S152" s="4"/>
      <c r="T152" s="6">
        <f>IF(G152="","",SUBSTITUTE(SUBSTITUTE(SUBSTITUTE(SUBSTITUTE(SUBSTITUTE(SUBSTITUTE(SUBSTITUTE(TRIM(G152),".",""),"/",""),"-","")," ",""),"(",""),")",""),"+",""))</f>
      </c>
      <c r="U152" s="6">
        <f>IF(T152="","",IF(LEN(T152)&lt;&gt;14,"ERRO: "&amp;LEN(T152)&amp;" dígitos",IF(NOT(ISNUMBER(VALUE(T152))),"ERRO: não numérico",IF(LEN(SUBSTITUTE(T152,LEFT(T152,1),""))=0,"ERRO: dígitos repetidos",IF(AND(VALUE(MID(T152,13,1))=IF(MOD(SUMPRODUCT(--MID(T152,{1,2,3,4,5,6,7,8,9,10,11,12},1),{5,4,3,2,9,8,7,6,5,4,3,2}),11)&lt;2,0,11-MOD(SUMPRODUCT(--MID(T152,{1,2,3,4,5,6,7,8,9,10,11,12},1),{5,4,3,2,9,8,7,6,5,4,3,2}),11)),VALUE(MID(T152,14,1))=IF(MOD(SUMPRODUCT(--MID(T152,{1,2,3,4,5,6,7,8,9,10,11,12,13},1),{6,5,4,3,2,9,8,7,6,5,4,3,2}),11)&lt;2,0,11-MOD(SUMPRODUCT(--MID(T152,{1,2,3,4,5,6,7,8,9,10,11,12,13},1),{6,5,4,3,2,9,8,7,6,5,4,3,2}),11))),"OK","ERRO: dígito verificador")))))</f>
      </c>
      <c r="V152" s="6">
        <f>IF(T152="","",IF(COUNTIF($T$2:$T$1001,T152)&gt;1,"DUPLICADO","OK"))</f>
      </c>
      <c r="W152" s="6">
        <f>IF(M152="","vazio",IF(OR(AND(LEN(SUBSTITUTE(SUBSTITUTE(SUBSTITUTE(SUBSTITUTE(SUBSTITUTE(SUBSTITUTE(SUBSTITUTE(TRIM(M152),".",""),"/",""),"-","")," ",""),"(",""),")",""),"+",""))=10,LEFT(SUBSTITUTE(SUBSTITUTE(SUBSTITUTE(SUBSTITUTE(SUBSTITUTE(SUBSTITUTE(SUBSTITUTE(TRIM(M152),".",""),"/",""),"-","")," ",""),"(",""),")",""),"+",""),1)&lt;&gt;"0"),AND(LEN(SUBSTITUTE(SUBSTITUTE(SUBSTITUTE(SUBSTITUTE(SUBSTITUTE(SUBSTITUTE(SUBSTITUTE(TRIM(M152),".",""),"/",""),"-","")," ",""),"(",""),")",""),"+",""))=11,LEFT(SUBSTITUTE(SUBSTITUTE(SUBSTITUTE(SUBSTITUTE(SUBSTITUTE(SUBSTITUTE(SUBSTITUTE(TRIM(M152),".",""),"/",""),"-","")," ",""),"(",""),")",""),"+",""),4)="0800")),"OK",IF(AND(LEN(SUBSTITUTE(SUBSTITUTE(SUBSTITUTE(SUBSTITUTE(SUBSTITUTE(SUBSTITUTE(SUBSTITUTE(TRIM(M152),".",""),"/",""),"-","")," ",""),"(",""),")",""),"+",""))=11,MID(SUBSTITUTE(SUBSTITUTE(SUBSTITUTE(SUBSTITUTE(SUBSTITUTE(SUBSTITUTE(SUBSTITUTE(TRIM(M152),".",""),"/",""),"-","")," ",""),"(",""),")",""),"+",""),3,1)="9"),"ERRO: é celular, use a coluna Celular","ERRO: DDD + 8 dígitos ou 0800 + 7")))</f>
      </c>
      <c r="X152" s="6">
        <f>IF(N152="","vazio",IF(AND(LEN(SUBSTITUTE(SUBSTITUTE(SUBSTITUTE(SUBSTITUTE(SUBSTITUTE(SUBSTITUTE(SUBSTITUTE(TRIM(N152),".",""),"/",""),"-","")," ",""),"(",""),")",""),"+",""))=11,MID(SUBSTITUTE(SUBSTITUTE(SUBSTITUTE(SUBSTITUTE(SUBSTITUTE(SUBSTITUTE(SUBSTITUTE(TRIM(N152),".",""),"/",""),"-","")," ",""),"(",""),")",""),"+",""),3,1)="9",LEFT(SUBSTITUTE(SUBSTITUTE(SUBSTITUTE(SUBSTITUTE(SUBSTITUTE(SUBSTITUTE(SUBSTITUTE(TRIM(N152),".",""),"/",""),"-","")," ",""),"(",""),")",""),"+",""),1)&lt;&gt;"0"),"OK",IF(LEN(SUBSTITUTE(SUBSTITUTE(SUBSTITUTE(SUBSTITUTE(SUBSTITUTE(SUBSTITUTE(SUBSTITUTE(TRIM(N152),".",""),"/",""),"-","")," ",""),"(",""),")",""),"+",""))=10,"ERRO: é fixo (ou falta o 9), use a coluna Telefone fixo","ERRO: DDD + 9 + 8 dígitos")))</f>
      </c>
      <c r="Y152" s="6">
        <f>IF(O152="","vazio",IF(AND(ISNUMBER(FIND("@",O152)),ISNUMBER(FIND(".",MID(O152,FIND("@",O152),99))),NOT(ISNUMBER(FIND(" ",TRIM(O152)))),NOT(ISNUMBER(FIND(";",O152))),NOT(ISNUMBER(FIND(",",O152)))),"OK","ERRO: um e-mail válido por linha"))</f>
      </c>
      <c r="Z152" s="6">
        <f>IF(AND(J152="",K152=""),"",IF(AND(J152&lt;&gt;"",K152&lt;&gt;""),"OK","pendente: só um nome (o GR completa ao converter)"))</f>
      </c>
      <c r="AA152" s="6">
        <f>IF(COUNTA(A152:S152)=0,"",IF(AND(A152&lt;&gt;"",B152&lt;&gt;"",C152&lt;&gt;"",D152&lt;&gt;"",E152&lt;&gt;"",F152&lt;&gt;"",G152&lt;&gt;"",H152&lt;&gt;"",OR(J152&lt;&gt;"",K152&lt;&gt;""),OR(M152&lt;&gt;"",N152&lt;&gt;"",O152&lt;&gt;"")),"OK","ERRO: faltam "&amp;IF(A152="","SDR; ","")&amp;IF(B152="","Proprietário; ","")&amp;IF(C152="","Origem; ","")&amp;IF(D152="","Temperatura; ","")&amp;IF(E152="","Segmento; ","")&amp;IF(F152="","Time/Cluster; ","")&amp;IF(G152="","CNPJ; ","")&amp;IF(H152="","Razão Social; ","")&amp;IF(AND(J152="",K152=""),"nome do contato; ","")&amp;IF(AND(M152="",N152="",O152=""),"telefone, celular ou e-mail; ","")))</f>
      </c>
      <c r="AB152" s="6">
        <f>IF(COUNTA(A152:S152)=0,"",IF(AND(U152="OK",V152="OK",LEFT(W152,4)&lt;&gt;"ERRO",LEFT(X152,4)&lt;&gt;"ERRO",LEFT(Y152,4)&lt;&gt;"ERRO",AA152="OK"),"OK","REVISAR"))</f>
      </c>
    </row>
    <row r="153">
      <c r="A153" s="5"/>
      <c r="B153" s="5"/>
      <c r="C153" s="5"/>
      <c r="D153" s="5"/>
      <c r="E153" s="5"/>
      <c r="F153" s="5"/>
      <c r="G153" s="5"/>
      <c r="H153" s="5"/>
      <c r="I153" s="4"/>
      <c r="J153" s="5"/>
      <c r="K153" s="4"/>
      <c r="L153" s="4"/>
      <c r="M153" s="4"/>
      <c r="N153" s="4"/>
      <c r="O153" s="4"/>
      <c r="P153" s="4"/>
      <c r="Q153" s="4"/>
      <c r="R153" s="4"/>
      <c r="S153" s="4"/>
      <c r="T153" s="6">
        <f>IF(G153="","",SUBSTITUTE(SUBSTITUTE(SUBSTITUTE(SUBSTITUTE(SUBSTITUTE(SUBSTITUTE(SUBSTITUTE(TRIM(G153),".",""),"/",""),"-","")," ",""),"(",""),")",""),"+",""))</f>
      </c>
      <c r="U153" s="6">
        <f>IF(T153="","",IF(LEN(T153)&lt;&gt;14,"ERRO: "&amp;LEN(T153)&amp;" dígitos",IF(NOT(ISNUMBER(VALUE(T153))),"ERRO: não numérico",IF(LEN(SUBSTITUTE(T153,LEFT(T153,1),""))=0,"ERRO: dígitos repetidos",IF(AND(VALUE(MID(T153,13,1))=IF(MOD(SUMPRODUCT(--MID(T153,{1,2,3,4,5,6,7,8,9,10,11,12},1),{5,4,3,2,9,8,7,6,5,4,3,2}),11)&lt;2,0,11-MOD(SUMPRODUCT(--MID(T153,{1,2,3,4,5,6,7,8,9,10,11,12},1),{5,4,3,2,9,8,7,6,5,4,3,2}),11)),VALUE(MID(T153,14,1))=IF(MOD(SUMPRODUCT(--MID(T153,{1,2,3,4,5,6,7,8,9,10,11,12,13},1),{6,5,4,3,2,9,8,7,6,5,4,3,2}),11)&lt;2,0,11-MOD(SUMPRODUCT(--MID(T153,{1,2,3,4,5,6,7,8,9,10,11,12,13},1),{6,5,4,3,2,9,8,7,6,5,4,3,2}),11))),"OK","ERRO: dígito verificador")))))</f>
      </c>
      <c r="V153" s="6">
        <f>IF(T153="","",IF(COUNTIF($T$2:$T$1001,T153)&gt;1,"DUPLICADO","OK"))</f>
      </c>
      <c r="W153" s="6">
        <f>IF(M153="","vazio",IF(OR(AND(LEN(SUBSTITUTE(SUBSTITUTE(SUBSTITUTE(SUBSTITUTE(SUBSTITUTE(SUBSTITUTE(SUBSTITUTE(TRIM(M153),".",""),"/",""),"-","")," ",""),"(",""),")",""),"+",""))=10,LEFT(SUBSTITUTE(SUBSTITUTE(SUBSTITUTE(SUBSTITUTE(SUBSTITUTE(SUBSTITUTE(SUBSTITUTE(TRIM(M153),".",""),"/",""),"-","")," ",""),"(",""),")",""),"+",""),1)&lt;&gt;"0"),AND(LEN(SUBSTITUTE(SUBSTITUTE(SUBSTITUTE(SUBSTITUTE(SUBSTITUTE(SUBSTITUTE(SUBSTITUTE(TRIM(M153),".",""),"/",""),"-","")," ",""),"(",""),")",""),"+",""))=11,LEFT(SUBSTITUTE(SUBSTITUTE(SUBSTITUTE(SUBSTITUTE(SUBSTITUTE(SUBSTITUTE(SUBSTITUTE(TRIM(M153),".",""),"/",""),"-","")," ",""),"(",""),")",""),"+",""),4)="0800")),"OK",IF(AND(LEN(SUBSTITUTE(SUBSTITUTE(SUBSTITUTE(SUBSTITUTE(SUBSTITUTE(SUBSTITUTE(SUBSTITUTE(TRIM(M153),".",""),"/",""),"-","")," ",""),"(",""),")",""),"+",""))=11,MID(SUBSTITUTE(SUBSTITUTE(SUBSTITUTE(SUBSTITUTE(SUBSTITUTE(SUBSTITUTE(SUBSTITUTE(TRIM(M153),".",""),"/",""),"-","")," ",""),"(",""),")",""),"+",""),3,1)="9"),"ERRO: é celular, use a coluna Celular","ERRO: DDD + 8 dígitos ou 0800 + 7")))</f>
      </c>
      <c r="X153" s="6">
        <f>IF(N153="","vazio",IF(AND(LEN(SUBSTITUTE(SUBSTITUTE(SUBSTITUTE(SUBSTITUTE(SUBSTITUTE(SUBSTITUTE(SUBSTITUTE(TRIM(N153),".",""),"/",""),"-","")," ",""),"(",""),")",""),"+",""))=11,MID(SUBSTITUTE(SUBSTITUTE(SUBSTITUTE(SUBSTITUTE(SUBSTITUTE(SUBSTITUTE(SUBSTITUTE(TRIM(N153),".",""),"/",""),"-","")," ",""),"(",""),")",""),"+",""),3,1)="9",LEFT(SUBSTITUTE(SUBSTITUTE(SUBSTITUTE(SUBSTITUTE(SUBSTITUTE(SUBSTITUTE(SUBSTITUTE(TRIM(N153),".",""),"/",""),"-","")," ",""),"(",""),")",""),"+",""),1)&lt;&gt;"0"),"OK",IF(LEN(SUBSTITUTE(SUBSTITUTE(SUBSTITUTE(SUBSTITUTE(SUBSTITUTE(SUBSTITUTE(SUBSTITUTE(TRIM(N153),".",""),"/",""),"-","")," ",""),"(",""),")",""),"+",""))=10,"ERRO: é fixo (ou falta o 9), use a coluna Telefone fixo","ERRO: DDD + 9 + 8 dígitos")))</f>
      </c>
      <c r="Y153" s="6">
        <f>IF(O153="","vazio",IF(AND(ISNUMBER(FIND("@",O153)),ISNUMBER(FIND(".",MID(O153,FIND("@",O153),99))),NOT(ISNUMBER(FIND(" ",TRIM(O153)))),NOT(ISNUMBER(FIND(";",O153))),NOT(ISNUMBER(FIND(",",O153)))),"OK","ERRO: um e-mail válido por linha"))</f>
      </c>
      <c r="Z153" s="6">
        <f>IF(AND(J153="",K153=""),"",IF(AND(J153&lt;&gt;"",K153&lt;&gt;""),"OK","pendente: só um nome (o GR completa ao converter)"))</f>
      </c>
      <c r="AA153" s="6">
        <f>IF(COUNTA(A153:S153)=0,"",IF(AND(A153&lt;&gt;"",B153&lt;&gt;"",C153&lt;&gt;"",D153&lt;&gt;"",E153&lt;&gt;"",F153&lt;&gt;"",G153&lt;&gt;"",H153&lt;&gt;"",OR(J153&lt;&gt;"",K153&lt;&gt;""),OR(M153&lt;&gt;"",N153&lt;&gt;"",O153&lt;&gt;"")),"OK","ERRO: faltam "&amp;IF(A153="","SDR; ","")&amp;IF(B153="","Proprietário; ","")&amp;IF(C153="","Origem; ","")&amp;IF(D153="","Temperatura; ","")&amp;IF(E153="","Segmento; ","")&amp;IF(F153="","Time/Cluster; ","")&amp;IF(G153="","CNPJ; ","")&amp;IF(H153="","Razão Social; ","")&amp;IF(AND(J153="",K153=""),"nome do contato; ","")&amp;IF(AND(M153="",N153="",O153=""),"telefone, celular ou e-mail; ","")))</f>
      </c>
      <c r="AB153" s="6">
        <f>IF(COUNTA(A153:S153)=0,"",IF(AND(U153="OK",V153="OK",LEFT(W153,4)&lt;&gt;"ERRO",LEFT(X153,4)&lt;&gt;"ERRO",LEFT(Y153,4)&lt;&gt;"ERRO",AA153="OK"),"OK","REVISAR"))</f>
      </c>
    </row>
    <row r="154">
      <c r="A154" s="5"/>
      <c r="B154" s="5"/>
      <c r="C154" s="5"/>
      <c r="D154" s="5"/>
      <c r="E154" s="5"/>
      <c r="F154" s="5"/>
      <c r="G154" s="5"/>
      <c r="H154" s="5"/>
      <c r="I154" s="4"/>
      <c r="J154" s="5"/>
      <c r="K154" s="4"/>
      <c r="L154" s="4"/>
      <c r="M154" s="4"/>
      <c r="N154" s="4"/>
      <c r="O154" s="4"/>
      <c r="P154" s="4"/>
      <c r="Q154" s="4"/>
      <c r="R154" s="4"/>
      <c r="S154" s="4"/>
      <c r="T154" s="6">
        <f>IF(G154="","",SUBSTITUTE(SUBSTITUTE(SUBSTITUTE(SUBSTITUTE(SUBSTITUTE(SUBSTITUTE(SUBSTITUTE(TRIM(G154),".",""),"/",""),"-","")," ",""),"(",""),")",""),"+",""))</f>
      </c>
      <c r="U154" s="6">
        <f>IF(T154="","",IF(LEN(T154)&lt;&gt;14,"ERRO: "&amp;LEN(T154)&amp;" dígitos",IF(NOT(ISNUMBER(VALUE(T154))),"ERRO: não numérico",IF(LEN(SUBSTITUTE(T154,LEFT(T154,1),""))=0,"ERRO: dígitos repetidos",IF(AND(VALUE(MID(T154,13,1))=IF(MOD(SUMPRODUCT(--MID(T154,{1,2,3,4,5,6,7,8,9,10,11,12},1),{5,4,3,2,9,8,7,6,5,4,3,2}),11)&lt;2,0,11-MOD(SUMPRODUCT(--MID(T154,{1,2,3,4,5,6,7,8,9,10,11,12},1),{5,4,3,2,9,8,7,6,5,4,3,2}),11)),VALUE(MID(T154,14,1))=IF(MOD(SUMPRODUCT(--MID(T154,{1,2,3,4,5,6,7,8,9,10,11,12,13},1),{6,5,4,3,2,9,8,7,6,5,4,3,2}),11)&lt;2,0,11-MOD(SUMPRODUCT(--MID(T154,{1,2,3,4,5,6,7,8,9,10,11,12,13},1),{6,5,4,3,2,9,8,7,6,5,4,3,2}),11))),"OK","ERRO: dígito verificador")))))</f>
      </c>
      <c r="V154" s="6">
        <f>IF(T154="","",IF(COUNTIF($T$2:$T$1001,T154)&gt;1,"DUPLICADO","OK"))</f>
      </c>
      <c r="W154" s="6">
        <f>IF(M154="","vazio",IF(OR(AND(LEN(SUBSTITUTE(SUBSTITUTE(SUBSTITUTE(SUBSTITUTE(SUBSTITUTE(SUBSTITUTE(SUBSTITUTE(TRIM(M154),".",""),"/",""),"-","")," ",""),"(",""),")",""),"+",""))=10,LEFT(SUBSTITUTE(SUBSTITUTE(SUBSTITUTE(SUBSTITUTE(SUBSTITUTE(SUBSTITUTE(SUBSTITUTE(TRIM(M154),".",""),"/",""),"-","")," ",""),"(",""),")",""),"+",""),1)&lt;&gt;"0"),AND(LEN(SUBSTITUTE(SUBSTITUTE(SUBSTITUTE(SUBSTITUTE(SUBSTITUTE(SUBSTITUTE(SUBSTITUTE(TRIM(M154),".",""),"/",""),"-","")," ",""),"(",""),")",""),"+",""))=11,LEFT(SUBSTITUTE(SUBSTITUTE(SUBSTITUTE(SUBSTITUTE(SUBSTITUTE(SUBSTITUTE(SUBSTITUTE(TRIM(M154),".",""),"/",""),"-","")," ",""),"(",""),")",""),"+",""),4)="0800")),"OK",IF(AND(LEN(SUBSTITUTE(SUBSTITUTE(SUBSTITUTE(SUBSTITUTE(SUBSTITUTE(SUBSTITUTE(SUBSTITUTE(TRIM(M154),".",""),"/",""),"-","")," ",""),"(",""),")",""),"+",""))=11,MID(SUBSTITUTE(SUBSTITUTE(SUBSTITUTE(SUBSTITUTE(SUBSTITUTE(SUBSTITUTE(SUBSTITUTE(TRIM(M154),".",""),"/",""),"-","")," ",""),"(",""),")",""),"+",""),3,1)="9"),"ERRO: é celular, use a coluna Celular","ERRO: DDD + 8 dígitos ou 0800 + 7")))</f>
      </c>
      <c r="X154" s="6">
        <f>IF(N154="","vazio",IF(AND(LEN(SUBSTITUTE(SUBSTITUTE(SUBSTITUTE(SUBSTITUTE(SUBSTITUTE(SUBSTITUTE(SUBSTITUTE(TRIM(N154),".",""),"/",""),"-","")," ",""),"(",""),")",""),"+",""))=11,MID(SUBSTITUTE(SUBSTITUTE(SUBSTITUTE(SUBSTITUTE(SUBSTITUTE(SUBSTITUTE(SUBSTITUTE(TRIM(N154),".",""),"/",""),"-","")," ",""),"(",""),")",""),"+",""),3,1)="9",LEFT(SUBSTITUTE(SUBSTITUTE(SUBSTITUTE(SUBSTITUTE(SUBSTITUTE(SUBSTITUTE(SUBSTITUTE(TRIM(N154),".",""),"/",""),"-","")," ",""),"(",""),")",""),"+",""),1)&lt;&gt;"0"),"OK",IF(LEN(SUBSTITUTE(SUBSTITUTE(SUBSTITUTE(SUBSTITUTE(SUBSTITUTE(SUBSTITUTE(SUBSTITUTE(TRIM(N154),".",""),"/",""),"-","")," ",""),"(",""),")",""),"+",""))=10,"ERRO: é fixo (ou falta o 9), use a coluna Telefone fixo","ERRO: DDD + 9 + 8 dígitos")))</f>
      </c>
      <c r="Y154" s="6">
        <f>IF(O154="","vazio",IF(AND(ISNUMBER(FIND("@",O154)),ISNUMBER(FIND(".",MID(O154,FIND("@",O154),99))),NOT(ISNUMBER(FIND(" ",TRIM(O154)))),NOT(ISNUMBER(FIND(";",O154))),NOT(ISNUMBER(FIND(",",O154)))),"OK","ERRO: um e-mail válido por linha"))</f>
      </c>
      <c r="Z154" s="6">
        <f>IF(AND(J154="",K154=""),"",IF(AND(J154&lt;&gt;"",K154&lt;&gt;""),"OK","pendente: só um nome (o GR completa ao converter)"))</f>
      </c>
      <c r="AA154" s="6">
        <f>IF(COUNTA(A154:S154)=0,"",IF(AND(A154&lt;&gt;"",B154&lt;&gt;"",C154&lt;&gt;"",D154&lt;&gt;"",E154&lt;&gt;"",F154&lt;&gt;"",G154&lt;&gt;"",H154&lt;&gt;"",OR(J154&lt;&gt;"",K154&lt;&gt;""),OR(M154&lt;&gt;"",N154&lt;&gt;"",O154&lt;&gt;"")),"OK","ERRO: faltam "&amp;IF(A154="","SDR; ","")&amp;IF(B154="","Proprietário; ","")&amp;IF(C154="","Origem; ","")&amp;IF(D154="","Temperatura; ","")&amp;IF(E154="","Segmento; ","")&amp;IF(F154="","Time/Cluster; ","")&amp;IF(G154="","CNPJ; ","")&amp;IF(H154="","Razão Social; ","")&amp;IF(AND(J154="",K154=""),"nome do contato; ","")&amp;IF(AND(M154="",N154="",O154=""),"telefone, celular ou e-mail; ","")))</f>
      </c>
      <c r="AB154" s="6">
        <f>IF(COUNTA(A154:S154)=0,"",IF(AND(U154="OK",V154="OK",LEFT(W154,4)&lt;&gt;"ERRO",LEFT(X154,4)&lt;&gt;"ERRO",LEFT(Y154,4)&lt;&gt;"ERRO",AA154="OK"),"OK","REVISAR"))</f>
      </c>
    </row>
    <row r="155">
      <c r="A155" s="5"/>
      <c r="B155" s="5"/>
      <c r="C155" s="5"/>
      <c r="D155" s="5"/>
      <c r="E155" s="5"/>
      <c r="F155" s="5"/>
      <c r="G155" s="5"/>
      <c r="H155" s="5"/>
      <c r="I155" s="4"/>
      <c r="J155" s="5"/>
      <c r="K155" s="4"/>
      <c r="L155" s="4"/>
      <c r="M155" s="4"/>
      <c r="N155" s="4"/>
      <c r="O155" s="4"/>
      <c r="P155" s="4"/>
      <c r="Q155" s="4"/>
      <c r="R155" s="4"/>
      <c r="S155" s="4"/>
      <c r="T155" s="6">
        <f>IF(G155="","",SUBSTITUTE(SUBSTITUTE(SUBSTITUTE(SUBSTITUTE(SUBSTITUTE(SUBSTITUTE(SUBSTITUTE(TRIM(G155),".",""),"/",""),"-","")," ",""),"(",""),")",""),"+",""))</f>
      </c>
      <c r="U155" s="6">
        <f>IF(T155="","",IF(LEN(T155)&lt;&gt;14,"ERRO: "&amp;LEN(T155)&amp;" dígitos",IF(NOT(ISNUMBER(VALUE(T155))),"ERRO: não numérico",IF(LEN(SUBSTITUTE(T155,LEFT(T155,1),""))=0,"ERRO: dígitos repetidos",IF(AND(VALUE(MID(T155,13,1))=IF(MOD(SUMPRODUCT(--MID(T155,{1,2,3,4,5,6,7,8,9,10,11,12},1),{5,4,3,2,9,8,7,6,5,4,3,2}),11)&lt;2,0,11-MOD(SUMPRODUCT(--MID(T155,{1,2,3,4,5,6,7,8,9,10,11,12},1),{5,4,3,2,9,8,7,6,5,4,3,2}),11)),VALUE(MID(T155,14,1))=IF(MOD(SUMPRODUCT(--MID(T155,{1,2,3,4,5,6,7,8,9,10,11,12,13},1),{6,5,4,3,2,9,8,7,6,5,4,3,2}),11)&lt;2,0,11-MOD(SUMPRODUCT(--MID(T155,{1,2,3,4,5,6,7,8,9,10,11,12,13},1),{6,5,4,3,2,9,8,7,6,5,4,3,2}),11))),"OK","ERRO: dígito verificador")))))</f>
      </c>
      <c r="V155" s="6">
        <f>IF(T155="","",IF(COUNTIF($T$2:$T$1001,T155)&gt;1,"DUPLICADO","OK"))</f>
      </c>
      <c r="W155" s="6">
        <f>IF(M155="","vazio",IF(OR(AND(LEN(SUBSTITUTE(SUBSTITUTE(SUBSTITUTE(SUBSTITUTE(SUBSTITUTE(SUBSTITUTE(SUBSTITUTE(TRIM(M155),".",""),"/",""),"-","")," ",""),"(",""),")",""),"+",""))=10,LEFT(SUBSTITUTE(SUBSTITUTE(SUBSTITUTE(SUBSTITUTE(SUBSTITUTE(SUBSTITUTE(SUBSTITUTE(TRIM(M155),".",""),"/",""),"-","")," ",""),"(",""),")",""),"+",""),1)&lt;&gt;"0"),AND(LEN(SUBSTITUTE(SUBSTITUTE(SUBSTITUTE(SUBSTITUTE(SUBSTITUTE(SUBSTITUTE(SUBSTITUTE(TRIM(M155),".",""),"/",""),"-","")," ",""),"(",""),")",""),"+",""))=11,LEFT(SUBSTITUTE(SUBSTITUTE(SUBSTITUTE(SUBSTITUTE(SUBSTITUTE(SUBSTITUTE(SUBSTITUTE(TRIM(M155),".",""),"/",""),"-","")," ",""),"(",""),")",""),"+",""),4)="0800")),"OK",IF(AND(LEN(SUBSTITUTE(SUBSTITUTE(SUBSTITUTE(SUBSTITUTE(SUBSTITUTE(SUBSTITUTE(SUBSTITUTE(TRIM(M155),".",""),"/",""),"-","")," ",""),"(",""),")",""),"+",""))=11,MID(SUBSTITUTE(SUBSTITUTE(SUBSTITUTE(SUBSTITUTE(SUBSTITUTE(SUBSTITUTE(SUBSTITUTE(TRIM(M155),".",""),"/",""),"-","")," ",""),"(",""),")",""),"+",""),3,1)="9"),"ERRO: é celular, use a coluna Celular","ERRO: DDD + 8 dígitos ou 0800 + 7")))</f>
      </c>
      <c r="X155" s="6">
        <f>IF(N155="","vazio",IF(AND(LEN(SUBSTITUTE(SUBSTITUTE(SUBSTITUTE(SUBSTITUTE(SUBSTITUTE(SUBSTITUTE(SUBSTITUTE(TRIM(N155),".",""),"/",""),"-","")," ",""),"(",""),")",""),"+",""))=11,MID(SUBSTITUTE(SUBSTITUTE(SUBSTITUTE(SUBSTITUTE(SUBSTITUTE(SUBSTITUTE(SUBSTITUTE(TRIM(N155),".",""),"/",""),"-","")," ",""),"(",""),")",""),"+",""),3,1)="9",LEFT(SUBSTITUTE(SUBSTITUTE(SUBSTITUTE(SUBSTITUTE(SUBSTITUTE(SUBSTITUTE(SUBSTITUTE(TRIM(N155),".",""),"/",""),"-","")," ",""),"(",""),")",""),"+",""),1)&lt;&gt;"0"),"OK",IF(LEN(SUBSTITUTE(SUBSTITUTE(SUBSTITUTE(SUBSTITUTE(SUBSTITUTE(SUBSTITUTE(SUBSTITUTE(TRIM(N155),".",""),"/",""),"-","")," ",""),"(",""),")",""),"+",""))=10,"ERRO: é fixo (ou falta o 9), use a coluna Telefone fixo","ERRO: DDD + 9 + 8 dígitos")))</f>
      </c>
      <c r="Y155" s="6">
        <f>IF(O155="","vazio",IF(AND(ISNUMBER(FIND("@",O155)),ISNUMBER(FIND(".",MID(O155,FIND("@",O155),99))),NOT(ISNUMBER(FIND(" ",TRIM(O155)))),NOT(ISNUMBER(FIND(";",O155))),NOT(ISNUMBER(FIND(",",O155)))),"OK","ERRO: um e-mail válido por linha"))</f>
      </c>
      <c r="Z155" s="6">
        <f>IF(AND(J155="",K155=""),"",IF(AND(J155&lt;&gt;"",K155&lt;&gt;""),"OK","pendente: só um nome (o GR completa ao converter)"))</f>
      </c>
      <c r="AA155" s="6">
        <f>IF(COUNTA(A155:S155)=0,"",IF(AND(A155&lt;&gt;"",B155&lt;&gt;"",C155&lt;&gt;"",D155&lt;&gt;"",E155&lt;&gt;"",F155&lt;&gt;"",G155&lt;&gt;"",H155&lt;&gt;"",OR(J155&lt;&gt;"",K155&lt;&gt;""),OR(M155&lt;&gt;"",N155&lt;&gt;"",O155&lt;&gt;"")),"OK","ERRO: faltam "&amp;IF(A155="","SDR; ","")&amp;IF(B155="","Proprietário; ","")&amp;IF(C155="","Origem; ","")&amp;IF(D155="","Temperatura; ","")&amp;IF(E155="","Segmento; ","")&amp;IF(F155="","Time/Cluster; ","")&amp;IF(G155="","CNPJ; ","")&amp;IF(H155="","Razão Social; ","")&amp;IF(AND(J155="",K155=""),"nome do contato; ","")&amp;IF(AND(M155="",N155="",O155=""),"telefone, celular ou e-mail; ","")))</f>
      </c>
      <c r="AB155" s="6">
        <f>IF(COUNTA(A155:S155)=0,"",IF(AND(U155="OK",V155="OK",LEFT(W155,4)&lt;&gt;"ERRO",LEFT(X155,4)&lt;&gt;"ERRO",LEFT(Y155,4)&lt;&gt;"ERRO",AA155="OK"),"OK","REVISAR"))</f>
      </c>
    </row>
    <row r="156">
      <c r="A156" s="5"/>
      <c r="B156" s="5"/>
      <c r="C156" s="5"/>
      <c r="D156" s="5"/>
      <c r="E156" s="5"/>
      <c r="F156" s="5"/>
      <c r="G156" s="5"/>
      <c r="H156" s="5"/>
      <c r="I156" s="4"/>
      <c r="J156" s="5"/>
      <c r="K156" s="4"/>
      <c r="L156" s="4"/>
      <c r="M156" s="4"/>
      <c r="N156" s="4"/>
      <c r="O156" s="4"/>
      <c r="P156" s="4"/>
      <c r="Q156" s="4"/>
      <c r="R156" s="4"/>
      <c r="S156" s="4"/>
      <c r="T156" s="6">
        <f>IF(G156="","",SUBSTITUTE(SUBSTITUTE(SUBSTITUTE(SUBSTITUTE(SUBSTITUTE(SUBSTITUTE(SUBSTITUTE(TRIM(G156),".",""),"/",""),"-","")," ",""),"(",""),")",""),"+",""))</f>
      </c>
      <c r="U156" s="6">
        <f>IF(T156="","",IF(LEN(T156)&lt;&gt;14,"ERRO: "&amp;LEN(T156)&amp;" dígitos",IF(NOT(ISNUMBER(VALUE(T156))),"ERRO: não numérico",IF(LEN(SUBSTITUTE(T156,LEFT(T156,1),""))=0,"ERRO: dígitos repetidos",IF(AND(VALUE(MID(T156,13,1))=IF(MOD(SUMPRODUCT(--MID(T156,{1,2,3,4,5,6,7,8,9,10,11,12},1),{5,4,3,2,9,8,7,6,5,4,3,2}),11)&lt;2,0,11-MOD(SUMPRODUCT(--MID(T156,{1,2,3,4,5,6,7,8,9,10,11,12},1),{5,4,3,2,9,8,7,6,5,4,3,2}),11)),VALUE(MID(T156,14,1))=IF(MOD(SUMPRODUCT(--MID(T156,{1,2,3,4,5,6,7,8,9,10,11,12,13},1),{6,5,4,3,2,9,8,7,6,5,4,3,2}),11)&lt;2,0,11-MOD(SUMPRODUCT(--MID(T156,{1,2,3,4,5,6,7,8,9,10,11,12,13},1),{6,5,4,3,2,9,8,7,6,5,4,3,2}),11))),"OK","ERRO: dígito verificador")))))</f>
      </c>
      <c r="V156" s="6">
        <f>IF(T156="","",IF(COUNTIF($T$2:$T$1001,T156)&gt;1,"DUPLICADO","OK"))</f>
      </c>
      <c r="W156" s="6">
        <f>IF(M156="","vazio",IF(OR(AND(LEN(SUBSTITUTE(SUBSTITUTE(SUBSTITUTE(SUBSTITUTE(SUBSTITUTE(SUBSTITUTE(SUBSTITUTE(TRIM(M156),".",""),"/",""),"-","")," ",""),"(",""),")",""),"+",""))=10,LEFT(SUBSTITUTE(SUBSTITUTE(SUBSTITUTE(SUBSTITUTE(SUBSTITUTE(SUBSTITUTE(SUBSTITUTE(TRIM(M156),".",""),"/",""),"-","")," ",""),"(",""),")",""),"+",""),1)&lt;&gt;"0"),AND(LEN(SUBSTITUTE(SUBSTITUTE(SUBSTITUTE(SUBSTITUTE(SUBSTITUTE(SUBSTITUTE(SUBSTITUTE(TRIM(M156),".",""),"/",""),"-","")," ",""),"(",""),")",""),"+",""))=11,LEFT(SUBSTITUTE(SUBSTITUTE(SUBSTITUTE(SUBSTITUTE(SUBSTITUTE(SUBSTITUTE(SUBSTITUTE(TRIM(M156),".",""),"/",""),"-","")," ",""),"(",""),")",""),"+",""),4)="0800")),"OK",IF(AND(LEN(SUBSTITUTE(SUBSTITUTE(SUBSTITUTE(SUBSTITUTE(SUBSTITUTE(SUBSTITUTE(SUBSTITUTE(TRIM(M156),".",""),"/",""),"-","")," ",""),"(",""),")",""),"+",""))=11,MID(SUBSTITUTE(SUBSTITUTE(SUBSTITUTE(SUBSTITUTE(SUBSTITUTE(SUBSTITUTE(SUBSTITUTE(TRIM(M156),".",""),"/",""),"-","")," ",""),"(",""),")",""),"+",""),3,1)="9"),"ERRO: é celular, use a coluna Celular","ERRO: DDD + 8 dígitos ou 0800 + 7")))</f>
      </c>
      <c r="X156" s="6">
        <f>IF(N156="","vazio",IF(AND(LEN(SUBSTITUTE(SUBSTITUTE(SUBSTITUTE(SUBSTITUTE(SUBSTITUTE(SUBSTITUTE(SUBSTITUTE(TRIM(N156),".",""),"/",""),"-","")," ",""),"(",""),")",""),"+",""))=11,MID(SUBSTITUTE(SUBSTITUTE(SUBSTITUTE(SUBSTITUTE(SUBSTITUTE(SUBSTITUTE(SUBSTITUTE(TRIM(N156),".",""),"/",""),"-","")," ",""),"(",""),")",""),"+",""),3,1)="9",LEFT(SUBSTITUTE(SUBSTITUTE(SUBSTITUTE(SUBSTITUTE(SUBSTITUTE(SUBSTITUTE(SUBSTITUTE(TRIM(N156),".",""),"/",""),"-","")," ",""),"(",""),")",""),"+",""),1)&lt;&gt;"0"),"OK",IF(LEN(SUBSTITUTE(SUBSTITUTE(SUBSTITUTE(SUBSTITUTE(SUBSTITUTE(SUBSTITUTE(SUBSTITUTE(TRIM(N156),".",""),"/",""),"-","")," ",""),"(",""),")",""),"+",""))=10,"ERRO: é fixo (ou falta o 9), use a coluna Telefone fixo","ERRO: DDD + 9 + 8 dígitos")))</f>
      </c>
      <c r="Y156" s="6">
        <f>IF(O156="","vazio",IF(AND(ISNUMBER(FIND("@",O156)),ISNUMBER(FIND(".",MID(O156,FIND("@",O156),99))),NOT(ISNUMBER(FIND(" ",TRIM(O156)))),NOT(ISNUMBER(FIND(";",O156))),NOT(ISNUMBER(FIND(",",O156)))),"OK","ERRO: um e-mail válido por linha"))</f>
      </c>
      <c r="Z156" s="6">
        <f>IF(AND(J156="",K156=""),"",IF(AND(J156&lt;&gt;"",K156&lt;&gt;""),"OK","pendente: só um nome (o GR completa ao converter)"))</f>
      </c>
      <c r="AA156" s="6">
        <f>IF(COUNTA(A156:S156)=0,"",IF(AND(A156&lt;&gt;"",B156&lt;&gt;"",C156&lt;&gt;"",D156&lt;&gt;"",E156&lt;&gt;"",F156&lt;&gt;"",G156&lt;&gt;"",H156&lt;&gt;"",OR(J156&lt;&gt;"",K156&lt;&gt;""),OR(M156&lt;&gt;"",N156&lt;&gt;"",O156&lt;&gt;"")),"OK","ERRO: faltam "&amp;IF(A156="","SDR; ","")&amp;IF(B156="","Proprietário; ","")&amp;IF(C156="","Origem; ","")&amp;IF(D156="","Temperatura; ","")&amp;IF(E156="","Segmento; ","")&amp;IF(F156="","Time/Cluster; ","")&amp;IF(G156="","CNPJ; ","")&amp;IF(H156="","Razão Social; ","")&amp;IF(AND(J156="",K156=""),"nome do contato; ","")&amp;IF(AND(M156="",N156="",O156=""),"telefone, celular ou e-mail; ","")))</f>
      </c>
      <c r="AB156" s="6">
        <f>IF(COUNTA(A156:S156)=0,"",IF(AND(U156="OK",V156="OK",LEFT(W156,4)&lt;&gt;"ERRO",LEFT(X156,4)&lt;&gt;"ERRO",LEFT(Y156,4)&lt;&gt;"ERRO",AA156="OK"),"OK","REVISAR"))</f>
      </c>
    </row>
    <row r="157">
      <c r="A157" s="5"/>
      <c r="B157" s="5"/>
      <c r="C157" s="5"/>
      <c r="D157" s="5"/>
      <c r="E157" s="5"/>
      <c r="F157" s="5"/>
      <c r="G157" s="5"/>
      <c r="H157" s="5"/>
      <c r="I157" s="4"/>
      <c r="J157" s="5"/>
      <c r="K157" s="4"/>
      <c r="L157" s="4"/>
      <c r="M157" s="4"/>
      <c r="N157" s="4"/>
      <c r="O157" s="4"/>
      <c r="P157" s="4"/>
      <c r="Q157" s="4"/>
      <c r="R157" s="4"/>
      <c r="S157" s="4"/>
      <c r="T157" s="6">
        <f>IF(G157="","",SUBSTITUTE(SUBSTITUTE(SUBSTITUTE(SUBSTITUTE(SUBSTITUTE(SUBSTITUTE(SUBSTITUTE(TRIM(G157),".",""),"/",""),"-","")," ",""),"(",""),")",""),"+",""))</f>
      </c>
      <c r="U157" s="6">
        <f>IF(T157="","",IF(LEN(T157)&lt;&gt;14,"ERRO: "&amp;LEN(T157)&amp;" dígitos",IF(NOT(ISNUMBER(VALUE(T157))),"ERRO: não numérico",IF(LEN(SUBSTITUTE(T157,LEFT(T157,1),""))=0,"ERRO: dígitos repetidos",IF(AND(VALUE(MID(T157,13,1))=IF(MOD(SUMPRODUCT(--MID(T157,{1,2,3,4,5,6,7,8,9,10,11,12},1),{5,4,3,2,9,8,7,6,5,4,3,2}),11)&lt;2,0,11-MOD(SUMPRODUCT(--MID(T157,{1,2,3,4,5,6,7,8,9,10,11,12},1),{5,4,3,2,9,8,7,6,5,4,3,2}),11)),VALUE(MID(T157,14,1))=IF(MOD(SUMPRODUCT(--MID(T157,{1,2,3,4,5,6,7,8,9,10,11,12,13},1),{6,5,4,3,2,9,8,7,6,5,4,3,2}),11)&lt;2,0,11-MOD(SUMPRODUCT(--MID(T157,{1,2,3,4,5,6,7,8,9,10,11,12,13},1),{6,5,4,3,2,9,8,7,6,5,4,3,2}),11))),"OK","ERRO: dígito verificador")))))</f>
      </c>
      <c r="V157" s="6">
        <f>IF(T157="","",IF(COUNTIF($T$2:$T$1001,T157)&gt;1,"DUPLICADO","OK"))</f>
      </c>
      <c r="W157" s="6">
        <f>IF(M157="","vazio",IF(OR(AND(LEN(SUBSTITUTE(SUBSTITUTE(SUBSTITUTE(SUBSTITUTE(SUBSTITUTE(SUBSTITUTE(SUBSTITUTE(TRIM(M157),".",""),"/",""),"-","")," ",""),"(",""),")",""),"+",""))=10,LEFT(SUBSTITUTE(SUBSTITUTE(SUBSTITUTE(SUBSTITUTE(SUBSTITUTE(SUBSTITUTE(SUBSTITUTE(TRIM(M157),".",""),"/",""),"-","")," ",""),"(",""),")",""),"+",""),1)&lt;&gt;"0"),AND(LEN(SUBSTITUTE(SUBSTITUTE(SUBSTITUTE(SUBSTITUTE(SUBSTITUTE(SUBSTITUTE(SUBSTITUTE(TRIM(M157),".",""),"/",""),"-","")," ",""),"(",""),")",""),"+",""))=11,LEFT(SUBSTITUTE(SUBSTITUTE(SUBSTITUTE(SUBSTITUTE(SUBSTITUTE(SUBSTITUTE(SUBSTITUTE(TRIM(M157),".",""),"/",""),"-","")," ",""),"(",""),")",""),"+",""),4)="0800")),"OK",IF(AND(LEN(SUBSTITUTE(SUBSTITUTE(SUBSTITUTE(SUBSTITUTE(SUBSTITUTE(SUBSTITUTE(SUBSTITUTE(TRIM(M157),".",""),"/",""),"-","")," ",""),"(",""),")",""),"+",""))=11,MID(SUBSTITUTE(SUBSTITUTE(SUBSTITUTE(SUBSTITUTE(SUBSTITUTE(SUBSTITUTE(SUBSTITUTE(TRIM(M157),".",""),"/",""),"-","")," ",""),"(",""),")",""),"+",""),3,1)="9"),"ERRO: é celular, use a coluna Celular","ERRO: DDD + 8 dígitos ou 0800 + 7")))</f>
      </c>
      <c r="X157" s="6">
        <f>IF(N157="","vazio",IF(AND(LEN(SUBSTITUTE(SUBSTITUTE(SUBSTITUTE(SUBSTITUTE(SUBSTITUTE(SUBSTITUTE(SUBSTITUTE(TRIM(N157),".",""),"/",""),"-","")," ",""),"(",""),")",""),"+",""))=11,MID(SUBSTITUTE(SUBSTITUTE(SUBSTITUTE(SUBSTITUTE(SUBSTITUTE(SUBSTITUTE(SUBSTITUTE(TRIM(N157),".",""),"/",""),"-","")," ",""),"(",""),")",""),"+",""),3,1)="9",LEFT(SUBSTITUTE(SUBSTITUTE(SUBSTITUTE(SUBSTITUTE(SUBSTITUTE(SUBSTITUTE(SUBSTITUTE(TRIM(N157),".",""),"/",""),"-","")," ",""),"(",""),")",""),"+",""),1)&lt;&gt;"0"),"OK",IF(LEN(SUBSTITUTE(SUBSTITUTE(SUBSTITUTE(SUBSTITUTE(SUBSTITUTE(SUBSTITUTE(SUBSTITUTE(TRIM(N157),".",""),"/",""),"-","")," ",""),"(",""),")",""),"+",""))=10,"ERRO: é fixo (ou falta o 9), use a coluna Telefone fixo","ERRO: DDD + 9 + 8 dígitos")))</f>
      </c>
      <c r="Y157" s="6">
        <f>IF(O157="","vazio",IF(AND(ISNUMBER(FIND("@",O157)),ISNUMBER(FIND(".",MID(O157,FIND("@",O157),99))),NOT(ISNUMBER(FIND(" ",TRIM(O157)))),NOT(ISNUMBER(FIND(";",O157))),NOT(ISNUMBER(FIND(",",O157)))),"OK","ERRO: um e-mail válido por linha"))</f>
      </c>
      <c r="Z157" s="6">
        <f>IF(AND(J157="",K157=""),"",IF(AND(J157&lt;&gt;"",K157&lt;&gt;""),"OK","pendente: só um nome (o GR completa ao converter)"))</f>
      </c>
      <c r="AA157" s="6">
        <f>IF(COUNTA(A157:S157)=0,"",IF(AND(A157&lt;&gt;"",B157&lt;&gt;"",C157&lt;&gt;"",D157&lt;&gt;"",E157&lt;&gt;"",F157&lt;&gt;"",G157&lt;&gt;"",H157&lt;&gt;"",OR(J157&lt;&gt;"",K157&lt;&gt;""),OR(M157&lt;&gt;"",N157&lt;&gt;"",O157&lt;&gt;"")),"OK","ERRO: faltam "&amp;IF(A157="","SDR; ","")&amp;IF(B157="","Proprietário; ","")&amp;IF(C157="","Origem; ","")&amp;IF(D157="","Temperatura; ","")&amp;IF(E157="","Segmento; ","")&amp;IF(F157="","Time/Cluster; ","")&amp;IF(G157="","CNPJ; ","")&amp;IF(H157="","Razão Social; ","")&amp;IF(AND(J157="",K157=""),"nome do contato; ","")&amp;IF(AND(M157="",N157="",O157=""),"telefone, celular ou e-mail; ","")))</f>
      </c>
      <c r="AB157" s="6">
        <f>IF(COUNTA(A157:S157)=0,"",IF(AND(U157="OK",V157="OK",LEFT(W157,4)&lt;&gt;"ERRO",LEFT(X157,4)&lt;&gt;"ERRO",LEFT(Y157,4)&lt;&gt;"ERRO",AA157="OK"),"OK","REVISAR"))</f>
      </c>
    </row>
    <row r="158">
      <c r="A158" s="5"/>
      <c r="B158" s="5"/>
      <c r="C158" s="5"/>
      <c r="D158" s="5"/>
      <c r="E158" s="5"/>
      <c r="F158" s="5"/>
      <c r="G158" s="5"/>
      <c r="H158" s="5"/>
      <c r="I158" s="4"/>
      <c r="J158" s="5"/>
      <c r="K158" s="4"/>
      <c r="L158" s="4"/>
      <c r="M158" s="4"/>
      <c r="N158" s="4"/>
      <c r="O158" s="4"/>
      <c r="P158" s="4"/>
      <c r="Q158" s="4"/>
      <c r="R158" s="4"/>
      <c r="S158" s="4"/>
      <c r="T158" s="6">
        <f>IF(G158="","",SUBSTITUTE(SUBSTITUTE(SUBSTITUTE(SUBSTITUTE(SUBSTITUTE(SUBSTITUTE(SUBSTITUTE(TRIM(G158),".",""),"/",""),"-","")," ",""),"(",""),")",""),"+",""))</f>
      </c>
      <c r="U158" s="6">
        <f>IF(T158="","",IF(LEN(T158)&lt;&gt;14,"ERRO: "&amp;LEN(T158)&amp;" dígitos",IF(NOT(ISNUMBER(VALUE(T158))),"ERRO: não numérico",IF(LEN(SUBSTITUTE(T158,LEFT(T158,1),""))=0,"ERRO: dígitos repetidos",IF(AND(VALUE(MID(T158,13,1))=IF(MOD(SUMPRODUCT(--MID(T158,{1,2,3,4,5,6,7,8,9,10,11,12},1),{5,4,3,2,9,8,7,6,5,4,3,2}),11)&lt;2,0,11-MOD(SUMPRODUCT(--MID(T158,{1,2,3,4,5,6,7,8,9,10,11,12},1),{5,4,3,2,9,8,7,6,5,4,3,2}),11)),VALUE(MID(T158,14,1))=IF(MOD(SUMPRODUCT(--MID(T158,{1,2,3,4,5,6,7,8,9,10,11,12,13},1),{6,5,4,3,2,9,8,7,6,5,4,3,2}),11)&lt;2,0,11-MOD(SUMPRODUCT(--MID(T158,{1,2,3,4,5,6,7,8,9,10,11,12,13},1),{6,5,4,3,2,9,8,7,6,5,4,3,2}),11))),"OK","ERRO: dígito verificador")))))</f>
      </c>
      <c r="V158" s="6">
        <f>IF(T158="","",IF(COUNTIF($T$2:$T$1001,T158)&gt;1,"DUPLICADO","OK"))</f>
      </c>
      <c r="W158" s="6">
        <f>IF(M158="","vazio",IF(OR(AND(LEN(SUBSTITUTE(SUBSTITUTE(SUBSTITUTE(SUBSTITUTE(SUBSTITUTE(SUBSTITUTE(SUBSTITUTE(TRIM(M158),".",""),"/",""),"-","")," ",""),"(",""),")",""),"+",""))=10,LEFT(SUBSTITUTE(SUBSTITUTE(SUBSTITUTE(SUBSTITUTE(SUBSTITUTE(SUBSTITUTE(SUBSTITUTE(TRIM(M158),".",""),"/",""),"-","")," ",""),"(",""),")",""),"+",""),1)&lt;&gt;"0"),AND(LEN(SUBSTITUTE(SUBSTITUTE(SUBSTITUTE(SUBSTITUTE(SUBSTITUTE(SUBSTITUTE(SUBSTITUTE(TRIM(M158),".",""),"/",""),"-","")," ",""),"(",""),")",""),"+",""))=11,LEFT(SUBSTITUTE(SUBSTITUTE(SUBSTITUTE(SUBSTITUTE(SUBSTITUTE(SUBSTITUTE(SUBSTITUTE(TRIM(M158),".",""),"/",""),"-","")," ",""),"(",""),")",""),"+",""),4)="0800")),"OK",IF(AND(LEN(SUBSTITUTE(SUBSTITUTE(SUBSTITUTE(SUBSTITUTE(SUBSTITUTE(SUBSTITUTE(SUBSTITUTE(TRIM(M158),".",""),"/",""),"-","")," ",""),"(",""),")",""),"+",""))=11,MID(SUBSTITUTE(SUBSTITUTE(SUBSTITUTE(SUBSTITUTE(SUBSTITUTE(SUBSTITUTE(SUBSTITUTE(TRIM(M158),".",""),"/",""),"-","")," ",""),"(",""),")",""),"+",""),3,1)="9"),"ERRO: é celular, use a coluna Celular","ERRO: DDD + 8 dígitos ou 0800 + 7")))</f>
      </c>
      <c r="X158" s="6">
        <f>IF(N158="","vazio",IF(AND(LEN(SUBSTITUTE(SUBSTITUTE(SUBSTITUTE(SUBSTITUTE(SUBSTITUTE(SUBSTITUTE(SUBSTITUTE(TRIM(N158),".",""),"/",""),"-","")," ",""),"(",""),")",""),"+",""))=11,MID(SUBSTITUTE(SUBSTITUTE(SUBSTITUTE(SUBSTITUTE(SUBSTITUTE(SUBSTITUTE(SUBSTITUTE(TRIM(N158),".",""),"/",""),"-","")," ",""),"(",""),")",""),"+",""),3,1)="9",LEFT(SUBSTITUTE(SUBSTITUTE(SUBSTITUTE(SUBSTITUTE(SUBSTITUTE(SUBSTITUTE(SUBSTITUTE(TRIM(N158),".",""),"/",""),"-","")," ",""),"(",""),")",""),"+",""),1)&lt;&gt;"0"),"OK",IF(LEN(SUBSTITUTE(SUBSTITUTE(SUBSTITUTE(SUBSTITUTE(SUBSTITUTE(SUBSTITUTE(SUBSTITUTE(TRIM(N158),".",""),"/",""),"-","")," ",""),"(",""),")",""),"+",""))=10,"ERRO: é fixo (ou falta o 9), use a coluna Telefone fixo","ERRO: DDD + 9 + 8 dígitos")))</f>
      </c>
      <c r="Y158" s="6">
        <f>IF(O158="","vazio",IF(AND(ISNUMBER(FIND("@",O158)),ISNUMBER(FIND(".",MID(O158,FIND("@",O158),99))),NOT(ISNUMBER(FIND(" ",TRIM(O158)))),NOT(ISNUMBER(FIND(";",O158))),NOT(ISNUMBER(FIND(",",O158)))),"OK","ERRO: um e-mail válido por linha"))</f>
      </c>
      <c r="Z158" s="6">
        <f>IF(AND(J158="",K158=""),"",IF(AND(J158&lt;&gt;"",K158&lt;&gt;""),"OK","pendente: só um nome (o GR completa ao converter)"))</f>
      </c>
      <c r="AA158" s="6">
        <f>IF(COUNTA(A158:S158)=0,"",IF(AND(A158&lt;&gt;"",B158&lt;&gt;"",C158&lt;&gt;"",D158&lt;&gt;"",E158&lt;&gt;"",F158&lt;&gt;"",G158&lt;&gt;"",H158&lt;&gt;"",OR(J158&lt;&gt;"",K158&lt;&gt;""),OR(M158&lt;&gt;"",N158&lt;&gt;"",O158&lt;&gt;"")),"OK","ERRO: faltam "&amp;IF(A158="","SDR; ","")&amp;IF(B158="","Proprietário; ","")&amp;IF(C158="","Origem; ","")&amp;IF(D158="","Temperatura; ","")&amp;IF(E158="","Segmento; ","")&amp;IF(F158="","Time/Cluster; ","")&amp;IF(G158="","CNPJ; ","")&amp;IF(H158="","Razão Social; ","")&amp;IF(AND(J158="",K158=""),"nome do contato; ","")&amp;IF(AND(M158="",N158="",O158=""),"telefone, celular ou e-mail; ","")))</f>
      </c>
      <c r="AB158" s="6">
        <f>IF(COUNTA(A158:S158)=0,"",IF(AND(U158="OK",V158="OK",LEFT(W158,4)&lt;&gt;"ERRO",LEFT(X158,4)&lt;&gt;"ERRO",LEFT(Y158,4)&lt;&gt;"ERRO",AA158="OK"),"OK","REVISAR"))</f>
      </c>
    </row>
    <row r="159">
      <c r="A159" s="5"/>
      <c r="B159" s="5"/>
      <c r="C159" s="5"/>
      <c r="D159" s="5"/>
      <c r="E159" s="5"/>
      <c r="F159" s="5"/>
      <c r="G159" s="5"/>
      <c r="H159" s="5"/>
      <c r="I159" s="4"/>
      <c r="J159" s="5"/>
      <c r="K159" s="4"/>
      <c r="L159" s="4"/>
      <c r="M159" s="4"/>
      <c r="N159" s="4"/>
      <c r="O159" s="4"/>
      <c r="P159" s="4"/>
      <c r="Q159" s="4"/>
      <c r="R159" s="4"/>
      <c r="S159" s="4"/>
      <c r="T159" s="6">
        <f>IF(G159="","",SUBSTITUTE(SUBSTITUTE(SUBSTITUTE(SUBSTITUTE(SUBSTITUTE(SUBSTITUTE(SUBSTITUTE(TRIM(G159),".",""),"/",""),"-","")," ",""),"(",""),")",""),"+",""))</f>
      </c>
      <c r="U159" s="6">
        <f>IF(T159="","",IF(LEN(T159)&lt;&gt;14,"ERRO: "&amp;LEN(T159)&amp;" dígitos",IF(NOT(ISNUMBER(VALUE(T159))),"ERRO: não numérico",IF(LEN(SUBSTITUTE(T159,LEFT(T159,1),""))=0,"ERRO: dígitos repetidos",IF(AND(VALUE(MID(T159,13,1))=IF(MOD(SUMPRODUCT(--MID(T159,{1,2,3,4,5,6,7,8,9,10,11,12},1),{5,4,3,2,9,8,7,6,5,4,3,2}),11)&lt;2,0,11-MOD(SUMPRODUCT(--MID(T159,{1,2,3,4,5,6,7,8,9,10,11,12},1),{5,4,3,2,9,8,7,6,5,4,3,2}),11)),VALUE(MID(T159,14,1))=IF(MOD(SUMPRODUCT(--MID(T159,{1,2,3,4,5,6,7,8,9,10,11,12,13},1),{6,5,4,3,2,9,8,7,6,5,4,3,2}),11)&lt;2,0,11-MOD(SUMPRODUCT(--MID(T159,{1,2,3,4,5,6,7,8,9,10,11,12,13},1),{6,5,4,3,2,9,8,7,6,5,4,3,2}),11))),"OK","ERRO: dígito verificador")))))</f>
      </c>
      <c r="V159" s="6">
        <f>IF(T159="","",IF(COUNTIF($T$2:$T$1001,T159)&gt;1,"DUPLICADO","OK"))</f>
      </c>
      <c r="W159" s="6">
        <f>IF(M159="","vazio",IF(OR(AND(LEN(SUBSTITUTE(SUBSTITUTE(SUBSTITUTE(SUBSTITUTE(SUBSTITUTE(SUBSTITUTE(SUBSTITUTE(TRIM(M159),".",""),"/",""),"-","")," ",""),"(",""),")",""),"+",""))=10,LEFT(SUBSTITUTE(SUBSTITUTE(SUBSTITUTE(SUBSTITUTE(SUBSTITUTE(SUBSTITUTE(SUBSTITUTE(TRIM(M159),".",""),"/",""),"-","")," ",""),"(",""),")",""),"+",""),1)&lt;&gt;"0"),AND(LEN(SUBSTITUTE(SUBSTITUTE(SUBSTITUTE(SUBSTITUTE(SUBSTITUTE(SUBSTITUTE(SUBSTITUTE(TRIM(M159),".",""),"/",""),"-","")," ",""),"(",""),")",""),"+",""))=11,LEFT(SUBSTITUTE(SUBSTITUTE(SUBSTITUTE(SUBSTITUTE(SUBSTITUTE(SUBSTITUTE(SUBSTITUTE(TRIM(M159),".",""),"/",""),"-","")," ",""),"(",""),")",""),"+",""),4)="0800")),"OK",IF(AND(LEN(SUBSTITUTE(SUBSTITUTE(SUBSTITUTE(SUBSTITUTE(SUBSTITUTE(SUBSTITUTE(SUBSTITUTE(TRIM(M159),".",""),"/",""),"-","")," ",""),"(",""),")",""),"+",""))=11,MID(SUBSTITUTE(SUBSTITUTE(SUBSTITUTE(SUBSTITUTE(SUBSTITUTE(SUBSTITUTE(SUBSTITUTE(TRIM(M159),".",""),"/",""),"-","")," ",""),"(",""),")",""),"+",""),3,1)="9"),"ERRO: é celular, use a coluna Celular","ERRO: DDD + 8 dígitos ou 0800 + 7")))</f>
      </c>
      <c r="X159" s="6">
        <f>IF(N159="","vazio",IF(AND(LEN(SUBSTITUTE(SUBSTITUTE(SUBSTITUTE(SUBSTITUTE(SUBSTITUTE(SUBSTITUTE(SUBSTITUTE(TRIM(N159),".",""),"/",""),"-","")," ",""),"(",""),")",""),"+",""))=11,MID(SUBSTITUTE(SUBSTITUTE(SUBSTITUTE(SUBSTITUTE(SUBSTITUTE(SUBSTITUTE(SUBSTITUTE(TRIM(N159),".",""),"/",""),"-","")," ",""),"(",""),")",""),"+",""),3,1)="9",LEFT(SUBSTITUTE(SUBSTITUTE(SUBSTITUTE(SUBSTITUTE(SUBSTITUTE(SUBSTITUTE(SUBSTITUTE(TRIM(N159),".",""),"/",""),"-","")," ",""),"(",""),")",""),"+",""),1)&lt;&gt;"0"),"OK",IF(LEN(SUBSTITUTE(SUBSTITUTE(SUBSTITUTE(SUBSTITUTE(SUBSTITUTE(SUBSTITUTE(SUBSTITUTE(TRIM(N159),".",""),"/",""),"-","")," ",""),"(",""),")",""),"+",""))=10,"ERRO: é fixo (ou falta o 9), use a coluna Telefone fixo","ERRO: DDD + 9 + 8 dígitos")))</f>
      </c>
      <c r="Y159" s="6">
        <f>IF(O159="","vazio",IF(AND(ISNUMBER(FIND("@",O159)),ISNUMBER(FIND(".",MID(O159,FIND("@",O159),99))),NOT(ISNUMBER(FIND(" ",TRIM(O159)))),NOT(ISNUMBER(FIND(";",O159))),NOT(ISNUMBER(FIND(",",O159)))),"OK","ERRO: um e-mail válido por linha"))</f>
      </c>
      <c r="Z159" s="6">
        <f>IF(AND(J159="",K159=""),"",IF(AND(J159&lt;&gt;"",K159&lt;&gt;""),"OK","pendente: só um nome (o GR completa ao converter)"))</f>
      </c>
      <c r="AA159" s="6">
        <f>IF(COUNTA(A159:S159)=0,"",IF(AND(A159&lt;&gt;"",B159&lt;&gt;"",C159&lt;&gt;"",D159&lt;&gt;"",E159&lt;&gt;"",F159&lt;&gt;"",G159&lt;&gt;"",H159&lt;&gt;"",OR(J159&lt;&gt;"",K159&lt;&gt;""),OR(M159&lt;&gt;"",N159&lt;&gt;"",O159&lt;&gt;"")),"OK","ERRO: faltam "&amp;IF(A159="","SDR; ","")&amp;IF(B159="","Proprietário; ","")&amp;IF(C159="","Origem; ","")&amp;IF(D159="","Temperatura; ","")&amp;IF(E159="","Segmento; ","")&amp;IF(F159="","Time/Cluster; ","")&amp;IF(G159="","CNPJ; ","")&amp;IF(H159="","Razão Social; ","")&amp;IF(AND(J159="",K159=""),"nome do contato; ","")&amp;IF(AND(M159="",N159="",O159=""),"telefone, celular ou e-mail; ","")))</f>
      </c>
      <c r="AB159" s="6">
        <f>IF(COUNTA(A159:S159)=0,"",IF(AND(U159="OK",V159="OK",LEFT(W159,4)&lt;&gt;"ERRO",LEFT(X159,4)&lt;&gt;"ERRO",LEFT(Y159,4)&lt;&gt;"ERRO",AA159="OK"),"OK","REVISAR"))</f>
      </c>
    </row>
    <row r="160">
      <c r="A160" s="5"/>
      <c r="B160" s="5"/>
      <c r="C160" s="5"/>
      <c r="D160" s="5"/>
      <c r="E160" s="5"/>
      <c r="F160" s="5"/>
      <c r="G160" s="5"/>
      <c r="H160" s="5"/>
      <c r="I160" s="4"/>
      <c r="J160" s="5"/>
      <c r="K160" s="4"/>
      <c r="L160" s="4"/>
      <c r="M160" s="4"/>
      <c r="N160" s="4"/>
      <c r="O160" s="4"/>
      <c r="P160" s="4"/>
      <c r="Q160" s="4"/>
      <c r="R160" s="4"/>
      <c r="S160" s="4"/>
      <c r="T160" s="6">
        <f>IF(G160="","",SUBSTITUTE(SUBSTITUTE(SUBSTITUTE(SUBSTITUTE(SUBSTITUTE(SUBSTITUTE(SUBSTITUTE(TRIM(G160),".",""),"/",""),"-","")," ",""),"(",""),")",""),"+",""))</f>
      </c>
      <c r="U160" s="6">
        <f>IF(T160="","",IF(LEN(T160)&lt;&gt;14,"ERRO: "&amp;LEN(T160)&amp;" dígitos",IF(NOT(ISNUMBER(VALUE(T160))),"ERRO: não numérico",IF(LEN(SUBSTITUTE(T160,LEFT(T160,1),""))=0,"ERRO: dígitos repetidos",IF(AND(VALUE(MID(T160,13,1))=IF(MOD(SUMPRODUCT(--MID(T160,{1,2,3,4,5,6,7,8,9,10,11,12},1),{5,4,3,2,9,8,7,6,5,4,3,2}),11)&lt;2,0,11-MOD(SUMPRODUCT(--MID(T160,{1,2,3,4,5,6,7,8,9,10,11,12},1),{5,4,3,2,9,8,7,6,5,4,3,2}),11)),VALUE(MID(T160,14,1))=IF(MOD(SUMPRODUCT(--MID(T160,{1,2,3,4,5,6,7,8,9,10,11,12,13},1),{6,5,4,3,2,9,8,7,6,5,4,3,2}),11)&lt;2,0,11-MOD(SUMPRODUCT(--MID(T160,{1,2,3,4,5,6,7,8,9,10,11,12,13},1),{6,5,4,3,2,9,8,7,6,5,4,3,2}),11))),"OK","ERRO: dígito verificador")))))</f>
      </c>
      <c r="V160" s="6">
        <f>IF(T160="","",IF(COUNTIF($T$2:$T$1001,T160)&gt;1,"DUPLICADO","OK"))</f>
      </c>
      <c r="W160" s="6">
        <f>IF(M160="","vazio",IF(OR(AND(LEN(SUBSTITUTE(SUBSTITUTE(SUBSTITUTE(SUBSTITUTE(SUBSTITUTE(SUBSTITUTE(SUBSTITUTE(TRIM(M160),".",""),"/",""),"-","")," ",""),"(",""),")",""),"+",""))=10,LEFT(SUBSTITUTE(SUBSTITUTE(SUBSTITUTE(SUBSTITUTE(SUBSTITUTE(SUBSTITUTE(SUBSTITUTE(TRIM(M160),".",""),"/",""),"-","")," ",""),"(",""),")",""),"+",""),1)&lt;&gt;"0"),AND(LEN(SUBSTITUTE(SUBSTITUTE(SUBSTITUTE(SUBSTITUTE(SUBSTITUTE(SUBSTITUTE(SUBSTITUTE(TRIM(M160),".",""),"/",""),"-","")," ",""),"(",""),")",""),"+",""))=11,LEFT(SUBSTITUTE(SUBSTITUTE(SUBSTITUTE(SUBSTITUTE(SUBSTITUTE(SUBSTITUTE(SUBSTITUTE(TRIM(M160),".",""),"/",""),"-","")," ",""),"(",""),")",""),"+",""),4)="0800")),"OK",IF(AND(LEN(SUBSTITUTE(SUBSTITUTE(SUBSTITUTE(SUBSTITUTE(SUBSTITUTE(SUBSTITUTE(SUBSTITUTE(TRIM(M160),".",""),"/",""),"-","")," ",""),"(",""),")",""),"+",""))=11,MID(SUBSTITUTE(SUBSTITUTE(SUBSTITUTE(SUBSTITUTE(SUBSTITUTE(SUBSTITUTE(SUBSTITUTE(TRIM(M160),".",""),"/",""),"-","")," ",""),"(",""),")",""),"+",""),3,1)="9"),"ERRO: é celular, use a coluna Celular","ERRO: DDD + 8 dígitos ou 0800 + 7")))</f>
      </c>
      <c r="X160" s="6">
        <f>IF(N160="","vazio",IF(AND(LEN(SUBSTITUTE(SUBSTITUTE(SUBSTITUTE(SUBSTITUTE(SUBSTITUTE(SUBSTITUTE(SUBSTITUTE(TRIM(N160),".",""),"/",""),"-","")," ",""),"(",""),")",""),"+",""))=11,MID(SUBSTITUTE(SUBSTITUTE(SUBSTITUTE(SUBSTITUTE(SUBSTITUTE(SUBSTITUTE(SUBSTITUTE(TRIM(N160),".",""),"/",""),"-","")," ",""),"(",""),")",""),"+",""),3,1)="9",LEFT(SUBSTITUTE(SUBSTITUTE(SUBSTITUTE(SUBSTITUTE(SUBSTITUTE(SUBSTITUTE(SUBSTITUTE(TRIM(N160),".",""),"/",""),"-","")," ",""),"(",""),")",""),"+",""),1)&lt;&gt;"0"),"OK",IF(LEN(SUBSTITUTE(SUBSTITUTE(SUBSTITUTE(SUBSTITUTE(SUBSTITUTE(SUBSTITUTE(SUBSTITUTE(TRIM(N160),".",""),"/",""),"-","")," ",""),"(",""),")",""),"+",""))=10,"ERRO: é fixo (ou falta o 9), use a coluna Telefone fixo","ERRO: DDD + 9 + 8 dígitos")))</f>
      </c>
      <c r="Y160" s="6">
        <f>IF(O160="","vazio",IF(AND(ISNUMBER(FIND("@",O160)),ISNUMBER(FIND(".",MID(O160,FIND("@",O160),99))),NOT(ISNUMBER(FIND(" ",TRIM(O160)))),NOT(ISNUMBER(FIND(";",O160))),NOT(ISNUMBER(FIND(",",O160)))),"OK","ERRO: um e-mail válido por linha"))</f>
      </c>
      <c r="Z160" s="6">
        <f>IF(AND(J160="",K160=""),"",IF(AND(J160&lt;&gt;"",K160&lt;&gt;""),"OK","pendente: só um nome (o GR completa ao converter)"))</f>
      </c>
      <c r="AA160" s="6">
        <f>IF(COUNTA(A160:S160)=0,"",IF(AND(A160&lt;&gt;"",B160&lt;&gt;"",C160&lt;&gt;"",D160&lt;&gt;"",E160&lt;&gt;"",F160&lt;&gt;"",G160&lt;&gt;"",H160&lt;&gt;"",OR(J160&lt;&gt;"",K160&lt;&gt;""),OR(M160&lt;&gt;"",N160&lt;&gt;"",O160&lt;&gt;"")),"OK","ERRO: faltam "&amp;IF(A160="","SDR; ","")&amp;IF(B160="","Proprietário; ","")&amp;IF(C160="","Origem; ","")&amp;IF(D160="","Temperatura; ","")&amp;IF(E160="","Segmento; ","")&amp;IF(F160="","Time/Cluster; ","")&amp;IF(G160="","CNPJ; ","")&amp;IF(H160="","Razão Social; ","")&amp;IF(AND(J160="",K160=""),"nome do contato; ","")&amp;IF(AND(M160="",N160="",O160=""),"telefone, celular ou e-mail; ","")))</f>
      </c>
      <c r="AB160" s="6">
        <f>IF(COUNTA(A160:S160)=0,"",IF(AND(U160="OK",V160="OK",LEFT(W160,4)&lt;&gt;"ERRO",LEFT(X160,4)&lt;&gt;"ERRO",LEFT(Y160,4)&lt;&gt;"ERRO",AA160="OK"),"OK","REVISAR"))</f>
      </c>
    </row>
    <row r="161">
      <c r="A161" s="5"/>
      <c r="B161" s="5"/>
      <c r="C161" s="5"/>
      <c r="D161" s="5"/>
      <c r="E161" s="5"/>
      <c r="F161" s="5"/>
      <c r="G161" s="5"/>
      <c r="H161" s="5"/>
      <c r="I161" s="4"/>
      <c r="J161" s="5"/>
      <c r="K161" s="4"/>
      <c r="L161" s="4"/>
      <c r="M161" s="4"/>
      <c r="N161" s="4"/>
      <c r="O161" s="4"/>
      <c r="P161" s="4"/>
      <c r="Q161" s="4"/>
      <c r="R161" s="4"/>
      <c r="S161" s="4"/>
      <c r="T161" s="6">
        <f>IF(G161="","",SUBSTITUTE(SUBSTITUTE(SUBSTITUTE(SUBSTITUTE(SUBSTITUTE(SUBSTITUTE(SUBSTITUTE(TRIM(G161),".",""),"/",""),"-","")," ",""),"(",""),")",""),"+",""))</f>
      </c>
      <c r="U161" s="6">
        <f>IF(T161="","",IF(LEN(T161)&lt;&gt;14,"ERRO: "&amp;LEN(T161)&amp;" dígitos",IF(NOT(ISNUMBER(VALUE(T161))),"ERRO: não numérico",IF(LEN(SUBSTITUTE(T161,LEFT(T161,1),""))=0,"ERRO: dígitos repetidos",IF(AND(VALUE(MID(T161,13,1))=IF(MOD(SUMPRODUCT(--MID(T161,{1,2,3,4,5,6,7,8,9,10,11,12},1),{5,4,3,2,9,8,7,6,5,4,3,2}),11)&lt;2,0,11-MOD(SUMPRODUCT(--MID(T161,{1,2,3,4,5,6,7,8,9,10,11,12},1),{5,4,3,2,9,8,7,6,5,4,3,2}),11)),VALUE(MID(T161,14,1))=IF(MOD(SUMPRODUCT(--MID(T161,{1,2,3,4,5,6,7,8,9,10,11,12,13},1),{6,5,4,3,2,9,8,7,6,5,4,3,2}),11)&lt;2,0,11-MOD(SUMPRODUCT(--MID(T161,{1,2,3,4,5,6,7,8,9,10,11,12,13},1),{6,5,4,3,2,9,8,7,6,5,4,3,2}),11))),"OK","ERRO: dígito verificador")))))</f>
      </c>
      <c r="V161" s="6">
        <f>IF(T161="","",IF(COUNTIF($T$2:$T$1001,T161)&gt;1,"DUPLICADO","OK"))</f>
      </c>
      <c r="W161" s="6">
        <f>IF(M161="","vazio",IF(OR(AND(LEN(SUBSTITUTE(SUBSTITUTE(SUBSTITUTE(SUBSTITUTE(SUBSTITUTE(SUBSTITUTE(SUBSTITUTE(TRIM(M161),".",""),"/",""),"-","")," ",""),"(",""),")",""),"+",""))=10,LEFT(SUBSTITUTE(SUBSTITUTE(SUBSTITUTE(SUBSTITUTE(SUBSTITUTE(SUBSTITUTE(SUBSTITUTE(TRIM(M161),".",""),"/",""),"-","")," ",""),"(",""),")",""),"+",""),1)&lt;&gt;"0"),AND(LEN(SUBSTITUTE(SUBSTITUTE(SUBSTITUTE(SUBSTITUTE(SUBSTITUTE(SUBSTITUTE(SUBSTITUTE(TRIM(M161),".",""),"/",""),"-","")," ",""),"(",""),")",""),"+",""))=11,LEFT(SUBSTITUTE(SUBSTITUTE(SUBSTITUTE(SUBSTITUTE(SUBSTITUTE(SUBSTITUTE(SUBSTITUTE(TRIM(M161),".",""),"/",""),"-","")," ",""),"(",""),")",""),"+",""),4)="0800")),"OK",IF(AND(LEN(SUBSTITUTE(SUBSTITUTE(SUBSTITUTE(SUBSTITUTE(SUBSTITUTE(SUBSTITUTE(SUBSTITUTE(TRIM(M161),".",""),"/",""),"-","")," ",""),"(",""),")",""),"+",""))=11,MID(SUBSTITUTE(SUBSTITUTE(SUBSTITUTE(SUBSTITUTE(SUBSTITUTE(SUBSTITUTE(SUBSTITUTE(TRIM(M161),".",""),"/",""),"-","")," ",""),"(",""),")",""),"+",""),3,1)="9"),"ERRO: é celular, use a coluna Celular","ERRO: DDD + 8 dígitos ou 0800 + 7")))</f>
      </c>
      <c r="X161" s="6">
        <f>IF(N161="","vazio",IF(AND(LEN(SUBSTITUTE(SUBSTITUTE(SUBSTITUTE(SUBSTITUTE(SUBSTITUTE(SUBSTITUTE(SUBSTITUTE(TRIM(N161),".",""),"/",""),"-","")," ",""),"(",""),")",""),"+",""))=11,MID(SUBSTITUTE(SUBSTITUTE(SUBSTITUTE(SUBSTITUTE(SUBSTITUTE(SUBSTITUTE(SUBSTITUTE(TRIM(N161),".",""),"/",""),"-","")," ",""),"(",""),")",""),"+",""),3,1)="9",LEFT(SUBSTITUTE(SUBSTITUTE(SUBSTITUTE(SUBSTITUTE(SUBSTITUTE(SUBSTITUTE(SUBSTITUTE(TRIM(N161),".",""),"/",""),"-","")," ",""),"(",""),")",""),"+",""),1)&lt;&gt;"0"),"OK",IF(LEN(SUBSTITUTE(SUBSTITUTE(SUBSTITUTE(SUBSTITUTE(SUBSTITUTE(SUBSTITUTE(SUBSTITUTE(TRIM(N161),".",""),"/",""),"-","")," ",""),"(",""),")",""),"+",""))=10,"ERRO: é fixo (ou falta o 9), use a coluna Telefone fixo","ERRO: DDD + 9 + 8 dígitos")))</f>
      </c>
      <c r="Y161" s="6">
        <f>IF(O161="","vazio",IF(AND(ISNUMBER(FIND("@",O161)),ISNUMBER(FIND(".",MID(O161,FIND("@",O161),99))),NOT(ISNUMBER(FIND(" ",TRIM(O161)))),NOT(ISNUMBER(FIND(";",O161))),NOT(ISNUMBER(FIND(",",O161)))),"OK","ERRO: um e-mail válido por linha"))</f>
      </c>
      <c r="Z161" s="6">
        <f>IF(AND(J161="",K161=""),"",IF(AND(J161&lt;&gt;"",K161&lt;&gt;""),"OK","pendente: só um nome (o GR completa ao converter)"))</f>
      </c>
      <c r="AA161" s="6">
        <f>IF(COUNTA(A161:S161)=0,"",IF(AND(A161&lt;&gt;"",B161&lt;&gt;"",C161&lt;&gt;"",D161&lt;&gt;"",E161&lt;&gt;"",F161&lt;&gt;"",G161&lt;&gt;"",H161&lt;&gt;"",OR(J161&lt;&gt;"",K161&lt;&gt;""),OR(M161&lt;&gt;"",N161&lt;&gt;"",O161&lt;&gt;"")),"OK","ERRO: faltam "&amp;IF(A161="","SDR; ","")&amp;IF(B161="","Proprietário; ","")&amp;IF(C161="","Origem; ","")&amp;IF(D161="","Temperatura; ","")&amp;IF(E161="","Segmento; ","")&amp;IF(F161="","Time/Cluster; ","")&amp;IF(G161="","CNPJ; ","")&amp;IF(H161="","Razão Social; ","")&amp;IF(AND(J161="",K161=""),"nome do contato; ","")&amp;IF(AND(M161="",N161="",O161=""),"telefone, celular ou e-mail; ","")))</f>
      </c>
      <c r="AB161" s="6">
        <f>IF(COUNTA(A161:S161)=0,"",IF(AND(U161="OK",V161="OK",LEFT(W161,4)&lt;&gt;"ERRO",LEFT(X161,4)&lt;&gt;"ERRO",LEFT(Y161,4)&lt;&gt;"ERRO",AA161="OK"),"OK","REVISAR"))</f>
      </c>
    </row>
    <row r="162">
      <c r="A162" s="5"/>
      <c r="B162" s="5"/>
      <c r="C162" s="5"/>
      <c r="D162" s="5"/>
      <c r="E162" s="5"/>
      <c r="F162" s="5"/>
      <c r="G162" s="5"/>
      <c r="H162" s="5"/>
      <c r="I162" s="4"/>
      <c r="J162" s="5"/>
      <c r="K162" s="4"/>
      <c r="L162" s="4"/>
      <c r="M162" s="4"/>
      <c r="N162" s="4"/>
      <c r="O162" s="4"/>
      <c r="P162" s="4"/>
      <c r="Q162" s="4"/>
      <c r="R162" s="4"/>
      <c r="S162" s="4"/>
      <c r="T162" s="6">
        <f>IF(G162="","",SUBSTITUTE(SUBSTITUTE(SUBSTITUTE(SUBSTITUTE(SUBSTITUTE(SUBSTITUTE(SUBSTITUTE(TRIM(G162),".",""),"/",""),"-","")," ",""),"(",""),")",""),"+",""))</f>
      </c>
      <c r="U162" s="6">
        <f>IF(T162="","",IF(LEN(T162)&lt;&gt;14,"ERRO: "&amp;LEN(T162)&amp;" dígitos",IF(NOT(ISNUMBER(VALUE(T162))),"ERRO: não numérico",IF(LEN(SUBSTITUTE(T162,LEFT(T162,1),""))=0,"ERRO: dígitos repetidos",IF(AND(VALUE(MID(T162,13,1))=IF(MOD(SUMPRODUCT(--MID(T162,{1,2,3,4,5,6,7,8,9,10,11,12},1),{5,4,3,2,9,8,7,6,5,4,3,2}),11)&lt;2,0,11-MOD(SUMPRODUCT(--MID(T162,{1,2,3,4,5,6,7,8,9,10,11,12},1),{5,4,3,2,9,8,7,6,5,4,3,2}),11)),VALUE(MID(T162,14,1))=IF(MOD(SUMPRODUCT(--MID(T162,{1,2,3,4,5,6,7,8,9,10,11,12,13},1),{6,5,4,3,2,9,8,7,6,5,4,3,2}),11)&lt;2,0,11-MOD(SUMPRODUCT(--MID(T162,{1,2,3,4,5,6,7,8,9,10,11,12,13},1),{6,5,4,3,2,9,8,7,6,5,4,3,2}),11))),"OK","ERRO: dígito verificador")))))</f>
      </c>
      <c r="V162" s="6">
        <f>IF(T162="","",IF(COUNTIF($T$2:$T$1001,T162)&gt;1,"DUPLICADO","OK"))</f>
      </c>
      <c r="W162" s="6">
        <f>IF(M162="","vazio",IF(OR(AND(LEN(SUBSTITUTE(SUBSTITUTE(SUBSTITUTE(SUBSTITUTE(SUBSTITUTE(SUBSTITUTE(SUBSTITUTE(TRIM(M162),".",""),"/",""),"-","")," ",""),"(",""),")",""),"+",""))=10,LEFT(SUBSTITUTE(SUBSTITUTE(SUBSTITUTE(SUBSTITUTE(SUBSTITUTE(SUBSTITUTE(SUBSTITUTE(TRIM(M162),".",""),"/",""),"-","")," ",""),"(",""),")",""),"+",""),1)&lt;&gt;"0"),AND(LEN(SUBSTITUTE(SUBSTITUTE(SUBSTITUTE(SUBSTITUTE(SUBSTITUTE(SUBSTITUTE(SUBSTITUTE(TRIM(M162),".",""),"/",""),"-","")," ",""),"(",""),")",""),"+",""))=11,LEFT(SUBSTITUTE(SUBSTITUTE(SUBSTITUTE(SUBSTITUTE(SUBSTITUTE(SUBSTITUTE(SUBSTITUTE(TRIM(M162),".",""),"/",""),"-","")," ",""),"(",""),")",""),"+",""),4)="0800")),"OK",IF(AND(LEN(SUBSTITUTE(SUBSTITUTE(SUBSTITUTE(SUBSTITUTE(SUBSTITUTE(SUBSTITUTE(SUBSTITUTE(TRIM(M162),".",""),"/",""),"-","")," ",""),"(",""),")",""),"+",""))=11,MID(SUBSTITUTE(SUBSTITUTE(SUBSTITUTE(SUBSTITUTE(SUBSTITUTE(SUBSTITUTE(SUBSTITUTE(TRIM(M162),".",""),"/",""),"-","")," ",""),"(",""),")",""),"+",""),3,1)="9"),"ERRO: é celular, use a coluna Celular","ERRO: DDD + 8 dígitos ou 0800 + 7")))</f>
      </c>
      <c r="X162" s="6">
        <f>IF(N162="","vazio",IF(AND(LEN(SUBSTITUTE(SUBSTITUTE(SUBSTITUTE(SUBSTITUTE(SUBSTITUTE(SUBSTITUTE(SUBSTITUTE(TRIM(N162),".",""),"/",""),"-","")," ",""),"(",""),")",""),"+",""))=11,MID(SUBSTITUTE(SUBSTITUTE(SUBSTITUTE(SUBSTITUTE(SUBSTITUTE(SUBSTITUTE(SUBSTITUTE(TRIM(N162),".",""),"/",""),"-","")," ",""),"(",""),")",""),"+",""),3,1)="9",LEFT(SUBSTITUTE(SUBSTITUTE(SUBSTITUTE(SUBSTITUTE(SUBSTITUTE(SUBSTITUTE(SUBSTITUTE(TRIM(N162),".",""),"/",""),"-","")," ",""),"(",""),")",""),"+",""),1)&lt;&gt;"0"),"OK",IF(LEN(SUBSTITUTE(SUBSTITUTE(SUBSTITUTE(SUBSTITUTE(SUBSTITUTE(SUBSTITUTE(SUBSTITUTE(TRIM(N162),".",""),"/",""),"-","")," ",""),"(",""),")",""),"+",""))=10,"ERRO: é fixo (ou falta o 9), use a coluna Telefone fixo","ERRO: DDD + 9 + 8 dígitos")))</f>
      </c>
      <c r="Y162" s="6">
        <f>IF(O162="","vazio",IF(AND(ISNUMBER(FIND("@",O162)),ISNUMBER(FIND(".",MID(O162,FIND("@",O162),99))),NOT(ISNUMBER(FIND(" ",TRIM(O162)))),NOT(ISNUMBER(FIND(";",O162))),NOT(ISNUMBER(FIND(",",O162)))),"OK","ERRO: um e-mail válido por linha"))</f>
      </c>
      <c r="Z162" s="6">
        <f>IF(AND(J162="",K162=""),"",IF(AND(J162&lt;&gt;"",K162&lt;&gt;""),"OK","pendente: só um nome (o GR completa ao converter)"))</f>
      </c>
      <c r="AA162" s="6">
        <f>IF(COUNTA(A162:S162)=0,"",IF(AND(A162&lt;&gt;"",B162&lt;&gt;"",C162&lt;&gt;"",D162&lt;&gt;"",E162&lt;&gt;"",F162&lt;&gt;"",G162&lt;&gt;"",H162&lt;&gt;"",OR(J162&lt;&gt;"",K162&lt;&gt;""),OR(M162&lt;&gt;"",N162&lt;&gt;"",O162&lt;&gt;"")),"OK","ERRO: faltam "&amp;IF(A162="","SDR; ","")&amp;IF(B162="","Proprietário; ","")&amp;IF(C162="","Origem; ","")&amp;IF(D162="","Temperatura; ","")&amp;IF(E162="","Segmento; ","")&amp;IF(F162="","Time/Cluster; ","")&amp;IF(G162="","CNPJ; ","")&amp;IF(H162="","Razão Social; ","")&amp;IF(AND(J162="",K162=""),"nome do contato; ","")&amp;IF(AND(M162="",N162="",O162=""),"telefone, celular ou e-mail; ","")))</f>
      </c>
      <c r="AB162" s="6">
        <f>IF(COUNTA(A162:S162)=0,"",IF(AND(U162="OK",V162="OK",LEFT(W162,4)&lt;&gt;"ERRO",LEFT(X162,4)&lt;&gt;"ERRO",LEFT(Y162,4)&lt;&gt;"ERRO",AA162="OK"),"OK","REVISAR"))</f>
      </c>
    </row>
    <row r="163">
      <c r="A163" s="5"/>
      <c r="B163" s="5"/>
      <c r="C163" s="5"/>
      <c r="D163" s="5"/>
      <c r="E163" s="5"/>
      <c r="F163" s="5"/>
      <c r="G163" s="5"/>
      <c r="H163" s="5"/>
      <c r="I163" s="4"/>
      <c r="J163" s="5"/>
      <c r="K163" s="4"/>
      <c r="L163" s="4"/>
      <c r="M163" s="4"/>
      <c r="N163" s="4"/>
      <c r="O163" s="4"/>
      <c r="P163" s="4"/>
      <c r="Q163" s="4"/>
      <c r="R163" s="4"/>
      <c r="S163" s="4"/>
      <c r="T163" s="6">
        <f>IF(G163="","",SUBSTITUTE(SUBSTITUTE(SUBSTITUTE(SUBSTITUTE(SUBSTITUTE(SUBSTITUTE(SUBSTITUTE(TRIM(G163),".",""),"/",""),"-","")," ",""),"(",""),")",""),"+",""))</f>
      </c>
      <c r="U163" s="6">
        <f>IF(T163="","",IF(LEN(T163)&lt;&gt;14,"ERRO: "&amp;LEN(T163)&amp;" dígitos",IF(NOT(ISNUMBER(VALUE(T163))),"ERRO: não numérico",IF(LEN(SUBSTITUTE(T163,LEFT(T163,1),""))=0,"ERRO: dígitos repetidos",IF(AND(VALUE(MID(T163,13,1))=IF(MOD(SUMPRODUCT(--MID(T163,{1,2,3,4,5,6,7,8,9,10,11,12},1),{5,4,3,2,9,8,7,6,5,4,3,2}),11)&lt;2,0,11-MOD(SUMPRODUCT(--MID(T163,{1,2,3,4,5,6,7,8,9,10,11,12},1),{5,4,3,2,9,8,7,6,5,4,3,2}),11)),VALUE(MID(T163,14,1))=IF(MOD(SUMPRODUCT(--MID(T163,{1,2,3,4,5,6,7,8,9,10,11,12,13},1),{6,5,4,3,2,9,8,7,6,5,4,3,2}),11)&lt;2,0,11-MOD(SUMPRODUCT(--MID(T163,{1,2,3,4,5,6,7,8,9,10,11,12,13},1),{6,5,4,3,2,9,8,7,6,5,4,3,2}),11))),"OK","ERRO: dígito verificador")))))</f>
      </c>
      <c r="V163" s="6">
        <f>IF(T163="","",IF(COUNTIF($T$2:$T$1001,T163)&gt;1,"DUPLICADO","OK"))</f>
      </c>
      <c r="W163" s="6">
        <f>IF(M163="","vazio",IF(OR(AND(LEN(SUBSTITUTE(SUBSTITUTE(SUBSTITUTE(SUBSTITUTE(SUBSTITUTE(SUBSTITUTE(SUBSTITUTE(TRIM(M163),".",""),"/",""),"-","")," ",""),"(",""),")",""),"+",""))=10,LEFT(SUBSTITUTE(SUBSTITUTE(SUBSTITUTE(SUBSTITUTE(SUBSTITUTE(SUBSTITUTE(SUBSTITUTE(TRIM(M163),".",""),"/",""),"-","")," ",""),"(",""),")",""),"+",""),1)&lt;&gt;"0"),AND(LEN(SUBSTITUTE(SUBSTITUTE(SUBSTITUTE(SUBSTITUTE(SUBSTITUTE(SUBSTITUTE(SUBSTITUTE(TRIM(M163),".",""),"/",""),"-","")," ",""),"(",""),")",""),"+",""))=11,LEFT(SUBSTITUTE(SUBSTITUTE(SUBSTITUTE(SUBSTITUTE(SUBSTITUTE(SUBSTITUTE(SUBSTITUTE(TRIM(M163),".",""),"/",""),"-","")," ",""),"(",""),")",""),"+",""),4)="0800")),"OK",IF(AND(LEN(SUBSTITUTE(SUBSTITUTE(SUBSTITUTE(SUBSTITUTE(SUBSTITUTE(SUBSTITUTE(SUBSTITUTE(TRIM(M163),".",""),"/",""),"-","")," ",""),"(",""),")",""),"+",""))=11,MID(SUBSTITUTE(SUBSTITUTE(SUBSTITUTE(SUBSTITUTE(SUBSTITUTE(SUBSTITUTE(SUBSTITUTE(TRIM(M163),".",""),"/",""),"-","")," ",""),"(",""),")",""),"+",""),3,1)="9"),"ERRO: é celular, use a coluna Celular","ERRO: DDD + 8 dígitos ou 0800 + 7")))</f>
      </c>
      <c r="X163" s="6">
        <f>IF(N163="","vazio",IF(AND(LEN(SUBSTITUTE(SUBSTITUTE(SUBSTITUTE(SUBSTITUTE(SUBSTITUTE(SUBSTITUTE(SUBSTITUTE(TRIM(N163),".",""),"/",""),"-","")," ",""),"(",""),")",""),"+",""))=11,MID(SUBSTITUTE(SUBSTITUTE(SUBSTITUTE(SUBSTITUTE(SUBSTITUTE(SUBSTITUTE(SUBSTITUTE(TRIM(N163),".",""),"/",""),"-","")," ",""),"(",""),")",""),"+",""),3,1)="9",LEFT(SUBSTITUTE(SUBSTITUTE(SUBSTITUTE(SUBSTITUTE(SUBSTITUTE(SUBSTITUTE(SUBSTITUTE(TRIM(N163),".",""),"/",""),"-","")," ",""),"(",""),")",""),"+",""),1)&lt;&gt;"0"),"OK",IF(LEN(SUBSTITUTE(SUBSTITUTE(SUBSTITUTE(SUBSTITUTE(SUBSTITUTE(SUBSTITUTE(SUBSTITUTE(TRIM(N163),".",""),"/",""),"-","")," ",""),"(",""),")",""),"+",""))=10,"ERRO: é fixo (ou falta o 9), use a coluna Telefone fixo","ERRO: DDD + 9 + 8 dígitos")))</f>
      </c>
      <c r="Y163" s="6">
        <f>IF(O163="","vazio",IF(AND(ISNUMBER(FIND("@",O163)),ISNUMBER(FIND(".",MID(O163,FIND("@",O163),99))),NOT(ISNUMBER(FIND(" ",TRIM(O163)))),NOT(ISNUMBER(FIND(";",O163))),NOT(ISNUMBER(FIND(",",O163)))),"OK","ERRO: um e-mail válido por linha"))</f>
      </c>
      <c r="Z163" s="6">
        <f>IF(AND(J163="",K163=""),"",IF(AND(J163&lt;&gt;"",K163&lt;&gt;""),"OK","pendente: só um nome (o GR completa ao converter)"))</f>
      </c>
      <c r="AA163" s="6">
        <f>IF(COUNTA(A163:S163)=0,"",IF(AND(A163&lt;&gt;"",B163&lt;&gt;"",C163&lt;&gt;"",D163&lt;&gt;"",E163&lt;&gt;"",F163&lt;&gt;"",G163&lt;&gt;"",H163&lt;&gt;"",OR(J163&lt;&gt;"",K163&lt;&gt;""),OR(M163&lt;&gt;"",N163&lt;&gt;"",O163&lt;&gt;"")),"OK","ERRO: faltam "&amp;IF(A163="","SDR; ","")&amp;IF(B163="","Proprietário; ","")&amp;IF(C163="","Origem; ","")&amp;IF(D163="","Temperatura; ","")&amp;IF(E163="","Segmento; ","")&amp;IF(F163="","Time/Cluster; ","")&amp;IF(G163="","CNPJ; ","")&amp;IF(H163="","Razão Social; ","")&amp;IF(AND(J163="",K163=""),"nome do contato; ","")&amp;IF(AND(M163="",N163="",O163=""),"telefone, celular ou e-mail; ","")))</f>
      </c>
      <c r="AB163" s="6">
        <f>IF(COUNTA(A163:S163)=0,"",IF(AND(U163="OK",V163="OK",LEFT(W163,4)&lt;&gt;"ERRO",LEFT(X163,4)&lt;&gt;"ERRO",LEFT(Y163,4)&lt;&gt;"ERRO",AA163="OK"),"OK","REVISAR"))</f>
      </c>
    </row>
    <row r="164">
      <c r="A164" s="5"/>
      <c r="B164" s="5"/>
      <c r="C164" s="5"/>
      <c r="D164" s="5"/>
      <c r="E164" s="5"/>
      <c r="F164" s="5"/>
      <c r="G164" s="5"/>
      <c r="H164" s="5"/>
      <c r="I164" s="4"/>
      <c r="J164" s="5"/>
      <c r="K164" s="4"/>
      <c r="L164" s="4"/>
      <c r="M164" s="4"/>
      <c r="N164" s="4"/>
      <c r="O164" s="4"/>
      <c r="P164" s="4"/>
      <c r="Q164" s="4"/>
      <c r="R164" s="4"/>
      <c r="S164" s="4"/>
      <c r="T164" s="6">
        <f>IF(G164="","",SUBSTITUTE(SUBSTITUTE(SUBSTITUTE(SUBSTITUTE(SUBSTITUTE(SUBSTITUTE(SUBSTITUTE(TRIM(G164),".",""),"/",""),"-","")," ",""),"(",""),")",""),"+",""))</f>
      </c>
      <c r="U164" s="6">
        <f>IF(T164="","",IF(LEN(T164)&lt;&gt;14,"ERRO: "&amp;LEN(T164)&amp;" dígitos",IF(NOT(ISNUMBER(VALUE(T164))),"ERRO: não numérico",IF(LEN(SUBSTITUTE(T164,LEFT(T164,1),""))=0,"ERRO: dígitos repetidos",IF(AND(VALUE(MID(T164,13,1))=IF(MOD(SUMPRODUCT(--MID(T164,{1,2,3,4,5,6,7,8,9,10,11,12},1),{5,4,3,2,9,8,7,6,5,4,3,2}),11)&lt;2,0,11-MOD(SUMPRODUCT(--MID(T164,{1,2,3,4,5,6,7,8,9,10,11,12},1),{5,4,3,2,9,8,7,6,5,4,3,2}),11)),VALUE(MID(T164,14,1))=IF(MOD(SUMPRODUCT(--MID(T164,{1,2,3,4,5,6,7,8,9,10,11,12,13},1),{6,5,4,3,2,9,8,7,6,5,4,3,2}),11)&lt;2,0,11-MOD(SUMPRODUCT(--MID(T164,{1,2,3,4,5,6,7,8,9,10,11,12,13},1),{6,5,4,3,2,9,8,7,6,5,4,3,2}),11))),"OK","ERRO: dígito verificador")))))</f>
      </c>
      <c r="V164" s="6">
        <f>IF(T164="","",IF(COUNTIF($T$2:$T$1001,T164)&gt;1,"DUPLICADO","OK"))</f>
      </c>
      <c r="W164" s="6">
        <f>IF(M164="","vazio",IF(OR(AND(LEN(SUBSTITUTE(SUBSTITUTE(SUBSTITUTE(SUBSTITUTE(SUBSTITUTE(SUBSTITUTE(SUBSTITUTE(TRIM(M164),".",""),"/",""),"-","")," ",""),"(",""),")",""),"+",""))=10,LEFT(SUBSTITUTE(SUBSTITUTE(SUBSTITUTE(SUBSTITUTE(SUBSTITUTE(SUBSTITUTE(SUBSTITUTE(TRIM(M164),".",""),"/",""),"-","")," ",""),"(",""),")",""),"+",""),1)&lt;&gt;"0"),AND(LEN(SUBSTITUTE(SUBSTITUTE(SUBSTITUTE(SUBSTITUTE(SUBSTITUTE(SUBSTITUTE(SUBSTITUTE(TRIM(M164),".",""),"/",""),"-","")," ",""),"(",""),")",""),"+",""))=11,LEFT(SUBSTITUTE(SUBSTITUTE(SUBSTITUTE(SUBSTITUTE(SUBSTITUTE(SUBSTITUTE(SUBSTITUTE(TRIM(M164),".",""),"/",""),"-","")," ",""),"(",""),")",""),"+",""),4)="0800")),"OK",IF(AND(LEN(SUBSTITUTE(SUBSTITUTE(SUBSTITUTE(SUBSTITUTE(SUBSTITUTE(SUBSTITUTE(SUBSTITUTE(TRIM(M164),".",""),"/",""),"-","")," ",""),"(",""),")",""),"+",""))=11,MID(SUBSTITUTE(SUBSTITUTE(SUBSTITUTE(SUBSTITUTE(SUBSTITUTE(SUBSTITUTE(SUBSTITUTE(TRIM(M164),".",""),"/",""),"-","")," ",""),"(",""),")",""),"+",""),3,1)="9"),"ERRO: é celular, use a coluna Celular","ERRO: DDD + 8 dígitos ou 0800 + 7")))</f>
      </c>
      <c r="X164" s="6">
        <f>IF(N164="","vazio",IF(AND(LEN(SUBSTITUTE(SUBSTITUTE(SUBSTITUTE(SUBSTITUTE(SUBSTITUTE(SUBSTITUTE(SUBSTITUTE(TRIM(N164),".",""),"/",""),"-","")," ",""),"(",""),")",""),"+",""))=11,MID(SUBSTITUTE(SUBSTITUTE(SUBSTITUTE(SUBSTITUTE(SUBSTITUTE(SUBSTITUTE(SUBSTITUTE(TRIM(N164),".",""),"/",""),"-","")," ",""),"(",""),")",""),"+",""),3,1)="9",LEFT(SUBSTITUTE(SUBSTITUTE(SUBSTITUTE(SUBSTITUTE(SUBSTITUTE(SUBSTITUTE(SUBSTITUTE(TRIM(N164),".",""),"/",""),"-","")," ",""),"(",""),")",""),"+",""),1)&lt;&gt;"0"),"OK",IF(LEN(SUBSTITUTE(SUBSTITUTE(SUBSTITUTE(SUBSTITUTE(SUBSTITUTE(SUBSTITUTE(SUBSTITUTE(TRIM(N164),".",""),"/",""),"-","")," ",""),"(",""),")",""),"+",""))=10,"ERRO: é fixo (ou falta o 9), use a coluna Telefone fixo","ERRO: DDD + 9 + 8 dígitos")))</f>
      </c>
      <c r="Y164" s="6">
        <f>IF(O164="","vazio",IF(AND(ISNUMBER(FIND("@",O164)),ISNUMBER(FIND(".",MID(O164,FIND("@",O164),99))),NOT(ISNUMBER(FIND(" ",TRIM(O164)))),NOT(ISNUMBER(FIND(";",O164))),NOT(ISNUMBER(FIND(",",O164)))),"OK","ERRO: um e-mail válido por linha"))</f>
      </c>
      <c r="Z164" s="6">
        <f>IF(AND(J164="",K164=""),"",IF(AND(J164&lt;&gt;"",K164&lt;&gt;""),"OK","pendente: só um nome (o GR completa ao converter)"))</f>
      </c>
      <c r="AA164" s="6">
        <f>IF(COUNTA(A164:S164)=0,"",IF(AND(A164&lt;&gt;"",B164&lt;&gt;"",C164&lt;&gt;"",D164&lt;&gt;"",E164&lt;&gt;"",F164&lt;&gt;"",G164&lt;&gt;"",H164&lt;&gt;"",OR(J164&lt;&gt;"",K164&lt;&gt;""),OR(M164&lt;&gt;"",N164&lt;&gt;"",O164&lt;&gt;"")),"OK","ERRO: faltam "&amp;IF(A164="","SDR; ","")&amp;IF(B164="","Proprietário; ","")&amp;IF(C164="","Origem; ","")&amp;IF(D164="","Temperatura; ","")&amp;IF(E164="","Segmento; ","")&amp;IF(F164="","Time/Cluster; ","")&amp;IF(G164="","CNPJ; ","")&amp;IF(H164="","Razão Social; ","")&amp;IF(AND(J164="",K164=""),"nome do contato; ","")&amp;IF(AND(M164="",N164="",O164=""),"telefone, celular ou e-mail; ","")))</f>
      </c>
      <c r="AB164" s="6">
        <f>IF(COUNTA(A164:S164)=0,"",IF(AND(U164="OK",V164="OK",LEFT(W164,4)&lt;&gt;"ERRO",LEFT(X164,4)&lt;&gt;"ERRO",LEFT(Y164,4)&lt;&gt;"ERRO",AA164="OK"),"OK","REVISAR"))</f>
      </c>
    </row>
    <row r="165">
      <c r="A165" s="5"/>
      <c r="B165" s="5"/>
      <c r="C165" s="5"/>
      <c r="D165" s="5"/>
      <c r="E165" s="5"/>
      <c r="F165" s="5"/>
      <c r="G165" s="5"/>
      <c r="H165" s="5"/>
      <c r="I165" s="4"/>
      <c r="J165" s="5"/>
      <c r="K165" s="4"/>
      <c r="L165" s="4"/>
      <c r="M165" s="4"/>
      <c r="N165" s="4"/>
      <c r="O165" s="4"/>
      <c r="P165" s="4"/>
      <c r="Q165" s="4"/>
      <c r="R165" s="4"/>
      <c r="S165" s="4"/>
      <c r="T165" s="6">
        <f>IF(G165="","",SUBSTITUTE(SUBSTITUTE(SUBSTITUTE(SUBSTITUTE(SUBSTITUTE(SUBSTITUTE(SUBSTITUTE(TRIM(G165),".",""),"/",""),"-","")," ",""),"(",""),")",""),"+",""))</f>
      </c>
      <c r="U165" s="6">
        <f>IF(T165="","",IF(LEN(T165)&lt;&gt;14,"ERRO: "&amp;LEN(T165)&amp;" dígitos",IF(NOT(ISNUMBER(VALUE(T165))),"ERRO: não numérico",IF(LEN(SUBSTITUTE(T165,LEFT(T165,1),""))=0,"ERRO: dígitos repetidos",IF(AND(VALUE(MID(T165,13,1))=IF(MOD(SUMPRODUCT(--MID(T165,{1,2,3,4,5,6,7,8,9,10,11,12},1),{5,4,3,2,9,8,7,6,5,4,3,2}),11)&lt;2,0,11-MOD(SUMPRODUCT(--MID(T165,{1,2,3,4,5,6,7,8,9,10,11,12},1),{5,4,3,2,9,8,7,6,5,4,3,2}),11)),VALUE(MID(T165,14,1))=IF(MOD(SUMPRODUCT(--MID(T165,{1,2,3,4,5,6,7,8,9,10,11,12,13},1),{6,5,4,3,2,9,8,7,6,5,4,3,2}),11)&lt;2,0,11-MOD(SUMPRODUCT(--MID(T165,{1,2,3,4,5,6,7,8,9,10,11,12,13},1),{6,5,4,3,2,9,8,7,6,5,4,3,2}),11))),"OK","ERRO: dígito verificador")))))</f>
      </c>
      <c r="V165" s="6">
        <f>IF(T165="","",IF(COUNTIF($T$2:$T$1001,T165)&gt;1,"DUPLICADO","OK"))</f>
      </c>
      <c r="W165" s="6">
        <f>IF(M165="","vazio",IF(OR(AND(LEN(SUBSTITUTE(SUBSTITUTE(SUBSTITUTE(SUBSTITUTE(SUBSTITUTE(SUBSTITUTE(SUBSTITUTE(TRIM(M165),".",""),"/",""),"-","")," ",""),"(",""),")",""),"+",""))=10,LEFT(SUBSTITUTE(SUBSTITUTE(SUBSTITUTE(SUBSTITUTE(SUBSTITUTE(SUBSTITUTE(SUBSTITUTE(TRIM(M165),".",""),"/",""),"-","")," ",""),"(",""),")",""),"+",""),1)&lt;&gt;"0"),AND(LEN(SUBSTITUTE(SUBSTITUTE(SUBSTITUTE(SUBSTITUTE(SUBSTITUTE(SUBSTITUTE(SUBSTITUTE(TRIM(M165),".",""),"/",""),"-","")," ",""),"(",""),")",""),"+",""))=11,LEFT(SUBSTITUTE(SUBSTITUTE(SUBSTITUTE(SUBSTITUTE(SUBSTITUTE(SUBSTITUTE(SUBSTITUTE(TRIM(M165),".",""),"/",""),"-","")," ",""),"(",""),")",""),"+",""),4)="0800")),"OK",IF(AND(LEN(SUBSTITUTE(SUBSTITUTE(SUBSTITUTE(SUBSTITUTE(SUBSTITUTE(SUBSTITUTE(SUBSTITUTE(TRIM(M165),".",""),"/",""),"-","")," ",""),"(",""),")",""),"+",""))=11,MID(SUBSTITUTE(SUBSTITUTE(SUBSTITUTE(SUBSTITUTE(SUBSTITUTE(SUBSTITUTE(SUBSTITUTE(TRIM(M165),".",""),"/",""),"-","")," ",""),"(",""),")",""),"+",""),3,1)="9"),"ERRO: é celular, use a coluna Celular","ERRO: DDD + 8 dígitos ou 0800 + 7")))</f>
      </c>
      <c r="X165" s="6">
        <f>IF(N165="","vazio",IF(AND(LEN(SUBSTITUTE(SUBSTITUTE(SUBSTITUTE(SUBSTITUTE(SUBSTITUTE(SUBSTITUTE(SUBSTITUTE(TRIM(N165),".",""),"/",""),"-","")," ",""),"(",""),")",""),"+",""))=11,MID(SUBSTITUTE(SUBSTITUTE(SUBSTITUTE(SUBSTITUTE(SUBSTITUTE(SUBSTITUTE(SUBSTITUTE(TRIM(N165),".",""),"/",""),"-","")," ",""),"(",""),")",""),"+",""),3,1)="9",LEFT(SUBSTITUTE(SUBSTITUTE(SUBSTITUTE(SUBSTITUTE(SUBSTITUTE(SUBSTITUTE(SUBSTITUTE(TRIM(N165),".",""),"/",""),"-","")," ",""),"(",""),")",""),"+",""),1)&lt;&gt;"0"),"OK",IF(LEN(SUBSTITUTE(SUBSTITUTE(SUBSTITUTE(SUBSTITUTE(SUBSTITUTE(SUBSTITUTE(SUBSTITUTE(TRIM(N165),".",""),"/",""),"-","")," ",""),"(",""),")",""),"+",""))=10,"ERRO: é fixo (ou falta o 9), use a coluna Telefone fixo","ERRO: DDD + 9 + 8 dígitos")))</f>
      </c>
      <c r="Y165" s="6">
        <f>IF(O165="","vazio",IF(AND(ISNUMBER(FIND("@",O165)),ISNUMBER(FIND(".",MID(O165,FIND("@",O165),99))),NOT(ISNUMBER(FIND(" ",TRIM(O165)))),NOT(ISNUMBER(FIND(";",O165))),NOT(ISNUMBER(FIND(",",O165)))),"OK","ERRO: um e-mail válido por linha"))</f>
      </c>
      <c r="Z165" s="6">
        <f>IF(AND(J165="",K165=""),"",IF(AND(J165&lt;&gt;"",K165&lt;&gt;""),"OK","pendente: só um nome (o GR completa ao converter)"))</f>
      </c>
      <c r="AA165" s="6">
        <f>IF(COUNTA(A165:S165)=0,"",IF(AND(A165&lt;&gt;"",B165&lt;&gt;"",C165&lt;&gt;"",D165&lt;&gt;"",E165&lt;&gt;"",F165&lt;&gt;"",G165&lt;&gt;"",H165&lt;&gt;"",OR(J165&lt;&gt;"",K165&lt;&gt;""),OR(M165&lt;&gt;"",N165&lt;&gt;"",O165&lt;&gt;"")),"OK","ERRO: faltam "&amp;IF(A165="","SDR; ","")&amp;IF(B165="","Proprietário; ","")&amp;IF(C165="","Origem; ","")&amp;IF(D165="","Temperatura; ","")&amp;IF(E165="","Segmento; ","")&amp;IF(F165="","Time/Cluster; ","")&amp;IF(G165="","CNPJ; ","")&amp;IF(H165="","Razão Social; ","")&amp;IF(AND(J165="",K165=""),"nome do contato; ","")&amp;IF(AND(M165="",N165="",O165=""),"telefone, celular ou e-mail; ","")))</f>
      </c>
      <c r="AB165" s="6">
        <f>IF(COUNTA(A165:S165)=0,"",IF(AND(U165="OK",V165="OK",LEFT(W165,4)&lt;&gt;"ERRO",LEFT(X165,4)&lt;&gt;"ERRO",LEFT(Y165,4)&lt;&gt;"ERRO",AA165="OK"),"OK","REVISAR"))</f>
      </c>
    </row>
    <row r="166">
      <c r="A166" s="5"/>
      <c r="B166" s="5"/>
      <c r="C166" s="5"/>
      <c r="D166" s="5"/>
      <c r="E166" s="5"/>
      <c r="F166" s="5"/>
      <c r="G166" s="5"/>
      <c r="H166" s="5"/>
      <c r="I166" s="4"/>
      <c r="J166" s="5"/>
      <c r="K166" s="4"/>
      <c r="L166" s="4"/>
      <c r="M166" s="4"/>
      <c r="N166" s="4"/>
      <c r="O166" s="4"/>
      <c r="P166" s="4"/>
      <c r="Q166" s="4"/>
      <c r="R166" s="4"/>
      <c r="S166" s="4"/>
      <c r="T166" s="6">
        <f>IF(G166="","",SUBSTITUTE(SUBSTITUTE(SUBSTITUTE(SUBSTITUTE(SUBSTITUTE(SUBSTITUTE(SUBSTITUTE(TRIM(G166),".",""),"/",""),"-","")," ",""),"(",""),")",""),"+",""))</f>
      </c>
      <c r="U166" s="6">
        <f>IF(T166="","",IF(LEN(T166)&lt;&gt;14,"ERRO: "&amp;LEN(T166)&amp;" dígitos",IF(NOT(ISNUMBER(VALUE(T166))),"ERRO: não numérico",IF(LEN(SUBSTITUTE(T166,LEFT(T166,1),""))=0,"ERRO: dígitos repetidos",IF(AND(VALUE(MID(T166,13,1))=IF(MOD(SUMPRODUCT(--MID(T166,{1,2,3,4,5,6,7,8,9,10,11,12},1),{5,4,3,2,9,8,7,6,5,4,3,2}),11)&lt;2,0,11-MOD(SUMPRODUCT(--MID(T166,{1,2,3,4,5,6,7,8,9,10,11,12},1),{5,4,3,2,9,8,7,6,5,4,3,2}),11)),VALUE(MID(T166,14,1))=IF(MOD(SUMPRODUCT(--MID(T166,{1,2,3,4,5,6,7,8,9,10,11,12,13},1),{6,5,4,3,2,9,8,7,6,5,4,3,2}),11)&lt;2,0,11-MOD(SUMPRODUCT(--MID(T166,{1,2,3,4,5,6,7,8,9,10,11,12,13},1),{6,5,4,3,2,9,8,7,6,5,4,3,2}),11))),"OK","ERRO: dígito verificador")))))</f>
      </c>
      <c r="V166" s="6">
        <f>IF(T166="","",IF(COUNTIF($T$2:$T$1001,T166)&gt;1,"DUPLICADO","OK"))</f>
      </c>
      <c r="W166" s="6">
        <f>IF(M166="","vazio",IF(OR(AND(LEN(SUBSTITUTE(SUBSTITUTE(SUBSTITUTE(SUBSTITUTE(SUBSTITUTE(SUBSTITUTE(SUBSTITUTE(TRIM(M166),".",""),"/",""),"-","")," ",""),"(",""),")",""),"+",""))=10,LEFT(SUBSTITUTE(SUBSTITUTE(SUBSTITUTE(SUBSTITUTE(SUBSTITUTE(SUBSTITUTE(SUBSTITUTE(TRIM(M166),".",""),"/",""),"-","")," ",""),"(",""),")",""),"+",""),1)&lt;&gt;"0"),AND(LEN(SUBSTITUTE(SUBSTITUTE(SUBSTITUTE(SUBSTITUTE(SUBSTITUTE(SUBSTITUTE(SUBSTITUTE(TRIM(M166),".",""),"/",""),"-","")," ",""),"(",""),")",""),"+",""))=11,LEFT(SUBSTITUTE(SUBSTITUTE(SUBSTITUTE(SUBSTITUTE(SUBSTITUTE(SUBSTITUTE(SUBSTITUTE(TRIM(M166),".",""),"/",""),"-","")," ",""),"(",""),")",""),"+",""),4)="0800")),"OK",IF(AND(LEN(SUBSTITUTE(SUBSTITUTE(SUBSTITUTE(SUBSTITUTE(SUBSTITUTE(SUBSTITUTE(SUBSTITUTE(TRIM(M166),".",""),"/",""),"-","")," ",""),"(",""),")",""),"+",""))=11,MID(SUBSTITUTE(SUBSTITUTE(SUBSTITUTE(SUBSTITUTE(SUBSTITUTE(SUBSTITUTE(SUBSTITUTE(TRIM(M166),".",""),"/",""),"-","")," ",""),"(",""),")",""),"+",""),3,1)="9"),"ERRO: é celular, use a coluna Celular","ERRO: DDD + 8 dígitos ou 0800 + 7")))</f>
      </c>
      <c r="X166" s="6">
        <f>IF(N166="","vazio",IF(AND(LEN(SUBSTITUTE(SUBSTITUTE(SUBSTITUTE(SUBSTITUTE(SUBSTITUTE(SUBSTITUTE(SUBSTITUTE(TRIM(N166),".",""),"/",""),"-","")," ",""),"(",""),")",""),"+",""))=11,MID(SUBSTITUTE(SUBSTITUTE(SUBSTITUTE(SUBSTITUTE(SUBSTITUTE(SUBSTITUTE(SUBSTITUTE(TRIM(N166),".",""),"/",""),"-","")," ",""),"(",""),")",""),"+",""),3,1)="9",LEFT(SUBSTITUTE(SUBSTITUTE(SUBSTITUTE(SUBSTITUTE(SUBSTITUTE(SUBSTITUTE(SUBSTITUTE(TRIM(N166),".",""),"/",""),"-","")," ",""),"(",""),")",""),"+",""),1)&lt;&gt;"0"),"OK",IF(LEN(SUBSTITUTE(SUBSTITUTE(SUBSTITUTE(SUBSTITUTE(SUBSTITUTE(SUBSTITUTE(SUBSTITUTE(TRIM(N166),".",""),"/",""),"-","")," ",""),"(",""),")",""),"+",""))=10,"ERRO: é fixo (ou falta o 9), use a coluna Telefone fixo","ERRO: DDD + 9 + 8 dígitos")))</f>
      </c>
      <c r="Y166" s="6">
        <f>IF(O166="","vazio",IF(AND(ISNUMBER(FIND("@",O166)),ISNUMBER(FIND(".",MID(O166,FIND("@",O166),99))),NOT(ISNUMBER(FIND(" ",TRIM(O166)))),NOT(ISNUMBER(FIND(";",O166))),NOT(ISNUMBER(FIND(",",O166)))),"OK","ERRO: um e-mail válido por linha"))</f>
      </c>
      <c r="Z166" s="6">
        <f>IF(AND(J166="",K166=""),"",IF(AND(J166&lt;&gt;"",K166&lt;&gt;""),"OK","pendente: só um nome (o GR completa ao converter)"))</f>
      </c>
      <c r="AA166" s="6">
        <f>IF(COUNTA(A166:S166)=0,"",IF(AND(A166&lt;&gt;"",B166&lt;&gt;"",C166&lt;&gt;"",D166&lt;&gt;"",E166&lt;&gt;"",F166&lt;&gt;"",G166&lt;&gt;"",H166&lt;&gt;"",OR(J166&lt;&gt;"",K166&lt;&gt;""),OR(M166&lt;&gt;"",N166&lt;&gt;"",O166&lt;&gt;"")),"OK","ERRO: faltam "&amp;IF(A166="","SDR; ","")&amp;IF(B166="","Proprietário; ","")&amp;IF(C166="","Origem; ","")&amp;IF(D166="","Temperatura; ","")&amp;IF(E166="","Segmento; ","")&amp;IF(F166="","Time/Cluster; ","")&amp;IF(G166="","CNPJ; ","")&amp;IF(H166="","Razão Social; ","")&amp;IF(AND(J166="",K166=""),"nome do contato; ","")&amp;IF(AND(M166="",N166="",O166=""),"telefone, celular ou e-mail; ","")))</f>
      </c>
      <c r="AB166" s="6">
        <f>IF(COUNTA(A166:S166)=0,"",IF(AND(U166="OK",V166="OK",LEFT(W166,4)&lt;&gt;"ERRO",LEFT(X166,4)&lt;&gt;"ERRO",LEFT(Y166,4)&lt;&gt;"ERRO",AA166="OK"),"OK","REVISAR"))</f>
      </c>
    </row>
    <row r="167">
      <c r="A167" s="5"/>
      <c r="B167" s="5"/>
      <c r="C167" s="5"/>
      <c r="D167" s="5"/>
      <c r="E167" s="5"/>
      <c r="F167" s="5"/>
      <c r="G167" s="5"/>
      <c r="H167" s="5"/>
      <c r="I167" s="4"/>
      <c r="J167" s="5"/>
      <c r="K167" s="4"/>
      <c r="L167" s="4"/>
      <c r="M167" s="4"/>
      <c r="N167" s="4"/>
      <c r="O167" s="4"/>
      <c r="P167" s="4"/>
      <c r="Q167" s="4"/>
      <c r="R167" s="4"/>
      <c r="S167" s="4"/>
      <c r="T167" s="6">
        <f>IF(G167="","",SUBSTITUTE(SUBSTITUTE(SUBSTITUTE(SUBSTITUTE(SUBSTITUTE(SUBSTITUTE(SUBSTITUTE(TRIM(G167),".",""),"/",""),"-","")," ",""),"(",""),")",""),"+",""))</f>
      </c>
      <c r="U167" s="6">
        <f>IF(T167="","",IF(LEN(T167)&lt;&gt;14,"ERRO: "&amp;LEN(T167)&amp;" dígitos",IF(NOT(ISNUMBER(VALUE(T167))),"ERRO: não numérico",IF(LEN(SUBSTITUTE(T167,LEFT(T167,1),""))=0,"ERRO: dígitos repetidos",IF(AND(VALUE(MID(T167,13,1))=IF(MOD(SUMPRODUCT(--MID(T167,{1,2,3,4,5,6,7,8,9,10,11,12},1),{5,4,3,2,9,8,7,6,5,4,3,2}),11)&lt;2,0,11-MOD(SUMPRODUCT(--MID(T167,{1,2,3,4,5,6,7,8,9,10,11,12},1),{5,4,3,2,9,8,7,6,5,4,3,2}),11)),VALUE(MID(T167,14,1))=IF(MOD(SUMPRODUCT(--MID(T167,{1,2,3,4,5,6,7,8,9,10,11,12,13},1),{6,5,4,3,2,9,8,7,6,5,4,3,2}),11)&lt;2,0,11-MOD(SUMPRODUCT(--MID(T167,{1,2,3,4,5,6,7,8,9,10,11,12,13},1),{6,5,4,3,2,9,8,7,6,5,4,3,2}),11))),"OK","ERRO: dígito verificador")))))</f>
      </c>
      <c r="V167" s="6">
        <f>IF(T167="","",IF(COUNTIF($T$2:$T$1001,T167)&gt;1,"DUPLICADO","OK"))</f>
      </c>
      <c r="W167" s="6">
        <f>IF(M167="","vazio",IF(OR(AND(LEN(SUBSTITUTE(SUBSTITUTE(SUBSTITUTE(SUBSTITUTE(SUBSTITUTE(SUBSTITUTE(SUBSTITUTE(TRIM(M167),".",""),"/",""),"-","")," ",""),"(",""),")",""),"+",""))=10,LEFT(SUBSTITUTE(SUBSTITUTE(SUBSTITUTE(SUBSTITUTE(SUBSTITUTE(SUBSTITUTE(SUBSTITUTE(TRIM(M167),".",""),"/",""),"-","")," ",""),"(",""),")",""),"+",""),1)&lt;&gt;"0"),AND(LEN(SUBSTITUTE(SUBSTITUTE(SUBSTITUTE(SUBSTITUTE(SUBSTITUTE(SUBSTITUTE(SUBSTITUTE(TRIM(M167),".",""),"/",""),"-","")," ",""),"(",""),")",""),"+",""))=11,LEFT(SUBSTITUTE(SUBSTITUTE(SUBSTITUTE(SUBSTITUTE(SUBSTITUTE(SUBSTITUTE(SUBSTITUTE(TRIM(M167),".",""),"/",""),"-","")," ",""),"(",""),")",""),"+",""),4)="0800")),"OK",IF(AND(LEN(SUBSTITUTE(SUBSTITUTE(SUBSTITUTE(SUBSTITUTE(SUBSTITUTE(SUBSTITUTE(SUBSTITUTE(TRIM(M167),".",""),"/",""),"-","")," ",""),"(",""),")",""),"+",""))=11,MID(SUBSTITUTE(SUBSTITUTE(SUBSTITUTE(SUBSTITUTE(SUBSTITUTE(SUBSTITUTE(SUBSTITUTE(TRIM(M167),".",""),"/",""),"-","")," ",""),"(",""),")",""),"+",""),3,1)="9"),"ERRO: é celular, use a coluna Celular","ERRO: DDD + 8 dígitos ou 0800 + 7")))</f>
      </c>
      <c r="X167" s="6">
        <f>IF(N167="","vazio",IF(AND(LEN(SUBSTITUTE(SUBSTITUTE(SUBSTITUTE(SUBSTITUTE(SUBSTITUTE(SUBSTITUTE(SUBSTITUTE(TRIM(N167),".",""),"/",""),"-","")," ",""),"(",""),")",""),"+",""))=11,MID(SUBSTITUTE(SUBSTITUTE(SUBSTITUTE(SUBSTITUTE(SUBSTITUTE(SUBSTITUTE(SUBSTITUTE(TRIM(N167),".",""),"/",""),"-","")," ",""),"(",""),")",""),"+",""),3,1)="9",LEFT(SUBSTITUTE(SUBSTITUTE(SUBSTITUTE(SUBSTITUTE(SUBSTITUTE(SUBSTITUTE(SUBSTITUTE(TRIM(N167),".",""),"/",""),"-","")," ",""),"(",""),")",""),"+",""),1)&lt;&gt;"0"),"OK",IF(LEN(SUBSTITUTE(SUBSTITUTE(SUBSTITUTE(SUBSTITUTE(SUBSTITUTE(SUBSTITUTE(SUBSTITUTE(TRIM(N167),".",""),"/",""),"-","")," ",""),"(",""),")",""),"+",""))=10,"ERRO: é fixo (ou falta o 9), use a coluna Telefone fixo","ERRO: DDD + 9 + 8 dígitos")))</f>
      </c>
      <c r="Y167" s="6">
        <f>IF(O167="","vazio",IF(AND(ISNUMBER(FIND("@",O167)),ISNUMBER(FIND(".",MID(O167,FIND("@",O167),99))),NOT(ISNUMBER(FIND(" ",TRIM(O167)))),NOT(ISNUMBER(FIND(";",O167))),NOT(ISNUMBER(FIND(",",O167)))),"OK","ERRO: um e-mail válido por linha"))</f>
      </c>
      <c r="Z167" s="6">
        <f>IF(AND(J167="",K167=""),"",IF(AND(J167&lt;&gt;"",K167&lt;&gt;""),"OK","pendente: só um nome (o GR completa ao converter)"))</f>
      </c>
      <c r="AA167" s="6">
        <f>IF(COUNTA(A167:S167)=0,"",IF(AND(A167&lt;&gt;"",B167&lt;&gt;"",C167&lt;&gt;"",D167&lt;&gt;"",E167&lt;&gt;"",F167&lt;&gt;"",G167&lt;&gt;"",H167&lt;&gt;"",OR(J167&lt;&gt;"",K167&lt;&gt;""),OR(M167&lt;&gt;"",N167&lt;&gt;"",O167&lt;&gt;"")),"OK","ERRO: faltam "&amp;IF(A167="","SDR; ","")&amp;IF(B167="","Proprietário; ","")&amp;IF(C167="","Origem; ","")&amp;IF(D167="","Temperatura; ","")&amp;IF(E167="","Segmento; ","")&amp;IF(F167="","Time/Cluster; ","")&amp;IF(G167="","CNPJ; ","")&amp;IF(H167="","Razão Social; ","")&amp;IF(AND(J167="",K167=""),"nome do contato; ","")&amp;IF(AND(M167="",N167="",O167=""),"telefone, celular ou e-mail; ","")))</f>
      </c>
      <c r="AB167" s="6">
        <f>IF(COUNTA(A167:S167)=0,"",IF(AND(U167="OK",V167="OK",LEFT(W167,4)&lt;&gt;"ERRO",LEFT(X167,4)&lt;&gt;"ERRO",LEFT(Y167,4)&lt;&gt;"ERRO",AA167="OK"),"OK","REVISAR"))</f>
      </c>
    </row>
    <row r="168">
      <c r="A168" s="5"/>
      <c r="B168" s="5"/>
      <c r="C168" s="5"/>
      <c r="D168" s="5"/>
      <c r="E168" s="5"/>
      <c r="F168" s="5"/>
      <c r="G168" s="5"/>
      <c r="H168" s="5"/>
      <c r="I168" s="4"/>
      <c r="J168" s="5"/>
      <c r="K168" s="4"/>
      <c r="L168" s="4"/>
      <c r="M168" s="4"/>
      <c r="N168" s="4"/>
      <c r="O168" s="4"/>
      <c r="P168" s="4"/>
      <c r="Q168" s="4"/>
      <c r="R168" s="4"/>
      <c r="S168" s="4"/>
      <c r="T168" s="6">
        <f>IF(G168="","",SUBSTITUTE(SUBSTITUTE(SUBSTITUTE(SUBSTITUTE(SUBSTITUTE(SUBSTITUTE(SUBSTITUTE(TRIM(G168),".",""),"/",""),"-","")," ",""),"(",""),")",""),"+",""))</f>
      </c>
      <c r="U168" s="6">
        <f>IF(T168="","",IF(LEN(T168)&lt;&gt;14,"ERRO: "&amp;LEN(T168)&amp;" dígitos",IF(NOT(ISNUMBER(VALUE(T168))),"ERRO: não numérico",IF(LEN(SUBSTITUTE(T168,LEFT(T168,1),""))=0,"ERRO: dígitos repetidos",IF(AND(VALUE(MID(T168,13,1))=IF(MOD(SUMPRODUCT(--MID(T168,{1,2,3,4,5,6,7,8,9,10,11,12},1),{5,4,3,2,9,8,7,6,5,4,3,2}),11)&lt;2,0,11-MOD(SUMPRODUCT(--MID(T168,{1,2,3,4,5,6,7,8,9,10,11,12},1),{5,4,3,2,9,8,7,6,5,4,3,2}),11)),VALUE(MID(T168,14,1))=IF(MOD(SUMPRODUCT(--MID(T168,{1,2,3,4,5,6,7,8,9,10,11,12,13},1),{6,5,4,3,2,9,8,7,6,5,4,3,2}),11)&lt;2,0,11-MOD(SUMPRODUCT(--MID(T168,{1,2,3,4,5,6,7,8,9,10,11,12,13},1),{6,5,4,3,2,9,8,7,6,5,4,3,2}),11))),"OK","ERRO: dígito verificador")))))</f>
      </c>
      <c r="V168" s="6">
        <f>IF(T168="","",IF(COUNTIF($T$2:$T$1001,T168)&gt;1,"DUPLICADO","OK"))</f>
      </c>
      <c r="W168" s="6">
        <f>IF(M168="","vazio",IF(OR(AND(LEN(SUBSTITUTE(SUBSTITUTE(SUBSTITUTE(SUBSTITUTE(SUBSTITUTE(SUBSTITUTE(SUBSTITUTE(TRIM(M168),".",""),"/",""),"-","")," ",""),"(",""),")",""),"+",""))=10,LEFT(SUBSTITUTE(SUBSTITUTE(SUBSTITUTE(SUBSTITUTE(SUBSTITUTE(SUBSTITUTE(SUBSTITUTE(TRIM(M168),".",""),"/",""),"-","")," ",""),"(",""),")",""),"+",""),1)&lt;&gt;"0"),AND(LEN(SUBSTITUTE(SUBSTITUTE(SUBSTITUTE(SUBSTITUTE(SUBSTITUTE(SUBSTITUTE(SUBSTITUTE(TRIM(M168),".",""),"/",""),"-","")," ",""),"(",""),")",""),"+",""))=11,LEFT(SUBSTITUTE(SUBSTITUTE(SUBSTITUTE(SUBSTITUTE(SUBSTITUTE(SUBSTITUTE(SUBSTITUTE(TRIM(M168),".",""),"/",""),"-","")," ",""),"(",""),")",""),"+",""),4)="0800")),"OK",IF(AND(LEN(SUBSTITUTE(SUBSTITUTE(SUBSTITUTE(SUBSTITUTE(SUBSTITUTE(SUBSTITUTE(SUBSTITUTE(TRIM(M168),".",""),"/",""),"-","")," ",""),"(",""),")",""),"+",""))=11,MID(SUBSTITUTE(SUBSTITUTE(SUBSTITUTE(SUBSTITUTE(SUBSTITUTE(SUBSTITUTE(SUBSTITUTE(TRIM(M168),".",""),"/",""),"-","")," ",""),"(",""),")",""),"+",""),3,1)="9"),"ERRO: é celular, use a coluna Celular","ERRO: DDD + 8 dígitos ou 0800 + 7")))</f>
      </c>
      <c r="X168" s="6">
        <f>IF(N168="","vazio",IF(AND(LEN(SUBSTITUTE(SUBSTITUTE(SUBSTITUTE(SUBSTITUTE(SUBSTITUTE(SUBSTITUTE(SUBSTITUTE(TRIM(N168),".",""),"/",""),"-","")," ",""),"(",""),")",""),"+",""))=11,MID(SUBSTITUTE(SUBSTITUTE(SUBSTITUTE(SUBSTITUTE(SUBSTITUTE(SUBSTITUTE(SUBSTITUTE(TRIM(N168),".",""),"/",""),"-","")," ",""),"(",""),")",""),"+",""),3,1)="9",LEFT(SUBSTITUTE(SUBSTITUTE(SUBSTITUTE(SUBSTITUTE(SUBSTITUTE(SUBSTITUTE(SUBSTITUTE(TRIM(N168),".",""),"/",""),"-","")," ",""),"(",""),")",""),"+",""),1)&lt;&gt;"0"),"OK",IF(LEN(SUBSTITUTE(SUBSTITUTE(SUBSTITUTE(SUBSTITUTE(SUBSTITUTE(SUBSTITUTE(SUBSTITUTE(TRIM(N168),".",""),"/",""),"-","")," ",""),"(",""),")",""),"+",""))=10,"ERRO: é fixo (ou falta o 9), use a coluna Telefone fixo","ERRO: DDD + 9 + 8 dígitos")))</f>
      </c>
      <c r="Y168" s="6">
        <f>IF(O168="","vazio",IF(AND(ISNUMBER(FIND("@",O168)),ISNUMBER(FIND(".",MID(O168,FIND("@",O168),99))),NOT(ISNUMBER(FIND(" ",TRIM(O168)))),NOT(ISNUMBER(FIND(";",O168))),NOT(ISNUMBER(FIND(",",O168)))),"OK","ERRO: um e-mail válido por linha"))</f>
      </c>
      <c r="Z168" s="6">
        <f>IF(AND(J168="",K168=""),"",IF(AND(J168&lt;&gt;"",K168&lt;&gt;""),"OK","pendente: só um nome (o GR completa ao converter)"))</f>
      </c>
      <c r="AA168" s="6">
        <f>IF(COUNTA(A168:S168)=0,"",IF(AND(A168&lt;&gt;"",B168&lt;&gt;"",C168&lt;&gt;"",D168&lt;&gt;"",E168&lt;&gt;"",F168&lt;&gt;"",G168&lt;&gt;"",H168&lt;&gt;"",OR(J168&lt;&gt;"",K168&lt;&gt;""),OR(M168&lt;&gt;"",N168&lt;&gt;"",O168&lt;&gt;"")),"OK","ERRO: faltam "&amp;IF(A168="","SDR; ","")&amp;IF(B168="","Proprietário; ","")&amp;IF(C168="","Origem; ","")&amp;IF(D168="","Temperatura; ","")&amp;IF(E168="","Segmento; ","")&amp;IF(F168="","Time/Cluster; ","")&amp;IF(G168="","CNPJ; ","")&amp;IF(H168="","Razão Social; ","")&amp;IF(AND(J168="",K168=""),"nome do contato; ","")&amp;IF(AND(M168="",N168="",O168=""),"telefone, celular ou e-mail; ","")))</f>
      </c>
      <c r="AB168" s="6">
        <f>IF(COUNTA(A168:S168)=0,"",IF(AND(U168="OK",V168="OK",LEFT(W168,4)&lt;&gt;"ERRO",LEFT(X168,4)&lt;&gt;"ERRO",LEFT(Y168,4)&lt;&gt;"ERRO",AA168="OK"),"OK","REVISAR"))</f>
      </c>
    </row>
    <row r="169">
      <c r="A169" s="5"/>
      <c r="B169" s="5"/>
      <c r="C169" s="5"/>
      <c r="D169" s="5"/>
      <c r="E169" s="5"/>
      <c r="F169" s="5"/>
      <c r="G169" s="5"/>
      <c r="H169" s="5"/>
      <c r="I169" s="4"/>
      <c r="J169" s="5"/>
      <c r="K169" s="4"/>
      <c r="L169" s="4"/>
      <c r="M169" s="4"/>
      <c r="N169" s="4"/>
      <c r="O169" s="4"/>
      <c r="P169" s="4"/>
      <c r="Q169" s="4"/>
      <c r="R169" s="4"/>
      <c r="S169" s="4"/>
      <c r="T169" s="6">
        <f>IF(G169="","",SUBSTITUTE(SUBSTITUTE(SUBSTITUTE(SUBSTITUTE(SUBSTITUTE(SUBSTITUTE(SUBSTITUTE(TRIM(G169),".",""),"/",""),"-","")," ",""),"(",""),")",""),"+",""))</f>
      </c>
      <c r="U169" s="6">
        <f>IF(T169="","",IF(LEN(T169)&lt;&gt;14,"ERRO: "&amp;LEN(T169)&amp;" dígitos",IF(NOT(ISNUMBER(VALUE(T169))),"ERRO: não numérico",IF(LEN(SUBSTITUTE(T169,LEFT(T169,1),""))=0,"ERRO: dígitos repetidos",IF(AND(VALUE(MID(T169,13,1))=IF(MOD(SUMPRODUCT(--MID(T169,{1,2,3,4,5,6,7,8,9,10,11,12},1),{5,4,3,2,9,8,7,6,5,4,3,2}),11)&lt;2,0,11-MOD(SUMPRODUCT(--MID(T169,{1,2,3,4,5,6,7,8,9,10,11,12},1),{5,4,3,2,9,8,7,6,5,4,3,2}),11)),VALUE(MID(T169,14,1))=IF(MOD(SUMPRODUCT(--MID(T169,{1,2,3,4,5,6,7,8,9,10,11,12,13},1),{6,5,4,3,2,9,8,7,6,5,4,3,2}),11)&lt;2,0,11-MOD(SUMPRODUCT(--MID(T169,{1,2,3,4,5,6,7,8,9,10,11,12,13},1),{6,5,4,3,2,9,8,7,6,5,4,3,2}),11))),"OK","ERRO: dígito verificador")))))</f>
      </c>
      <c r="V169" s="6">
        <f>IF(T169="","",IF(COUNTIF($T$2:$T$1001,T169)&gt;1,"DUPLICADO","OK"))</f>
      </c>
      <c r="W169" s="6">
        <f>IF(M169="","vazio",IF(OR(AND(LEN(SUBSTITUTE(SUBSTITUTE(SUBSTITUTE(SUBSTITUTE(SUBSTITUTE(SUBSTITUTE(SUBSTITUTE(TRIM(M169),".",""),"/",""),"-","")," ",""),"(",""),")",""),"+",""))=10,LEFT(SUBSTITUTE(SUBSTITUTE(SUBSTITUTE(SUBSTITUTE(SUBSTITUTE(SUBSTITUTE(SUBSTITUTE(TRIM(M169),".",""),"/",""),"-","")," ",""),"(",""),")",""),"+",""),1)&lt;&gt;"0"),AND(LEN(SUBSTITUTE(SUBSTITUTE(SUBSTITUTE(SUBSTITUTE(SUBSTITUTE(SUBSTITUTE(SUBSTITUTE(TRIM(M169),".",""),"/",""),"-","")," ",""),"(",""),")",""),"+",""))=11,LEFT(SUBSTITUTE(SUBSTITUTE(SUBSTITUTE(SUBSTITUTE(SUBSTITUTE(SUBSTITUTE(SUBSTITUTE(TRIM(M169),".",""),"/",""),"-","")," ",""),"(",""),")",""),"+",""),4)="0800")),"OK",IF(AND(LEN(SUBSTITUTE(SUBSTITUTE(SUBSTITUTE(SUBSTITUTE(SUBSTITUTE(SUBSTITUTE(SUBSTITUTE(TRIM(M169),".",""),"/",""),"-","")," ",""),"(",""),")",""),"+",""))=11,MID(SUBSTITUTE(SUBSTITUTE(SUBSTITUTE(SUBSTITUTE(SUBSTITUTE(SUBSTITUTE(SUBSTITUTE(TRIM(M169),".",""),"/",""),"-","")," ",""),"(",""),")",""),"+",""),3,1)="9"),"ERRO: é celular, use a coluna Celular","ERRO: DDD + 8 dígitos ou 0800 + 7")))</f>
      </c>
      <c r="X169" s="6">
        <f>IF(N169="","vazio",IF(AND(LEN(SUBSTITUTE(SUBSTITUTE(SUBSTITUTE(SUBSTITUTE(SUBSTITUTE(SUBSTITUTE(SUBSTITUTE(TRIM(N169),".",""),"/",""),"-","")," ",""),"(",""),")",""),"+",""))=11,MID(SUBSTITUTE(SUBSTITUTE(SUBSTITUTE(SUBSTITUTE(SUBSTITUTE(SUBSTITUTE(SUBSTITUTE(TRIM(N169),".",""),"/",""),"-","")," ",""),"(",""),")",""),"+",""),3,1)="9",LEFT(SUBSTITUTE(SUBSTITUTE(SUBSTITUTE(SUBSTITUTE(SUBSTITUTE(SUBSTITUTE(SUBSTITUTE(TRIM(N169),".",""),"/",""),"-","")," ",""),"(",""),")",""),"+",""),1)&lt;&gt;"0"),"OK",IF(LEN(SUBSTITUTE(SUBSTITUTE(SUBSTITUTE(SUBSTITUTE(SUBSTITUTE(SUBSTITUTE(SUBSTITUTE(TRIM(N169),".",""),"/",""),"-","")," ",""),"(",""),")",""),"+",""))=10,"ERRO: é fixo (ou falta o 9), use a coluna Telefone fixo","ERRO: DDD + 9 + 8 dígitos")))</f>
      </c>
      <c r="Y169" s="6">
        <f>IF(O169="","vazio",IF(AND(ISNUMBER(FIND("@",O169)),ISNUMBER(FIND(".",MID(O169,FIND("@",O169),99))),NOT(ISNUMBER(FIND(" ",TRIM(O169)))),NOT(ISNUMBER(FIND(";",O169))),NOT(ISNUMBER(FIND(",",O169)))),"OK","ERRO: um e-mail válido por linha"))</f>
      </c>
      <c r="Z169" s="6">
        <f>IF(AND(J169="",K169=""),"",IF(AND(J169&lt;&gt;"",K169&lt;&gt;""),"OK","pendente: só um nome (o GR completa ao converter)"))</f>
      </c>
      <c r="AA169" s="6">
        <f>IF(COUNTA(A169:S169)=0,"",IF(AND(A169&lt;&gt;"",B169&lt;&gt;"",C169&lt;&gt;"",D169&lt;&gt;"",E169&lt;&gt;"",F169&lt;&gt;"",G169&lt;&gt;"",H169&lt;&gt;"",OR(J169&lt;&gt;"",K169&lt;&gt;""),OR(M169&lt;&gt;"",N169&lt;&gt;"",O169&lt;&gt;"")),"OK","ERRO: faltam "&amp;IF(A169="","SDR; ","")&amp;IF(B169="","Proprietário; ","")&amp;IF(C169="","Origem; ","")&amp;IF(D169="","Temperatura; ","")&amp;IF(E169="","Segmento; ","")&amp;IF(F169="","Time/Cluster; ","")&amp;IF(G169="","CNPJ; ","")&amp;IF(H169="","Razão Social; ","")&amp;IF(AND(J169="",K169=""),"nome do contato; ","")&amp;IF(AND(M169="",N169="",O169=""),"telefone, celular ou e-mail; ","")))</f>
      </c>
      <c r="AB169" s="6">
        <f>IF(COUNTA(A169:S169)=0,"",IF(AND(U169="OK",V169="OK",LEFT(W169,4)&lt;&gt;"ERRO",LEFT(X169,4)&lt;&gt;"ERRO",LEFT(Y169,4)&lt;&gt;"ERRO",AA169="OK"),"OK","REVISAR"))</f>
      </c>
    </row>
    <row r="170">
      <c r="A170" s="5"/>
      <c r="B170" s="5"/>
      <c r="C170" s="5"/>
      <c r="D170" s="5"/>
      <c r="E170" s="5"/>
      <c r="F170" s="5"/>
      <c r="G170" s="5"/>
      <c r="H170" s="5"/>
      <c r="I170" s="4"/>
      <c r="J170" s="5"/>
      <c r="K170" s="4"/>
      <c r="L170" s="4"/>
      <c r="M170" s="4"/>
      <c r="N170" s="4"/>
      <c r="O170" s="4"/>
      <c r="P170" s="4"/>
      <c r="Q170" s="4"/>
      <c r="R170" s="4"/>
      <c r="S170" s="4"/>
      <c r="T170" s="6">
        <f>IF(G170="","",SUBSTITUTE(SUBSTITUTE(SUBSTITUTE(SUBSTITUTE(SUBSTITUTE(SUBSTITUTE(SUBSTITUTE(TRIM(G170),".",""),"/",""),"-","")," ",""),"(",""),")",""),"+",""))</f>
      </c>
      <c r="U170" s="6">
        <f>IF(T170="","",IF(LEN(T170)&lt;&gt;14,"ERRO: "&amp;LEN(T170)&amp;" dígitos",IF(NOT(ISNUMBER(VALUE(T170))),"ERRO: não numérico",IF(LEN(SUBSTITUTE(T170,LEFT(T170,1),""))=0,"ERRO: dígitos repetidos",IF(AND(VALUE(MID(T170,13,1))=IF(MOD(SUMPRODUCT(--MID(T170,{1,2,3,4,5,6,7,8,9,10,11,12},1),{5,4,3,2,9,8,7,6,5,4,3,2}),11)&lt;2,0,11-MOD(SUMPRODUCT(--MID(T170,{1,2,3,4,5,6,7,8,9,10,11,12},1),{5,4,3,2,9,8,7,6,5,4,3,2}),11)),VALUE(MID(T170,14,1))=IF(MOD(SUMPRODUCT(--MID(T170,{1,2,3,4,5,6,7,8,9,10,11,12,13},1),{6,5,4,3,2,9,8,7,6,5,4,3,2}),11)&lt;2,0,11-MOD(SUMPRODUCT(--MID(T170,{1,2,3,4,5,6,7,8,9,10,11,12,13},1),{6,5,4,3,2,9,8,7,6,5,4,3,2}),11))),"OK","ERRO: dígito verificador")))))</f>
      </c>
      <c r="V170" s="6">
        <f>IF(T170="","",IF(COUNTIF($T$2:$T$1001,T170)&gt;1,"DUPLICADO","OK"))</f>
      </c>
      <c r="W170" s="6">
        <f>IF(M170="","vazio",IF(OR(AND(LEN(SUBSTITUTE(SUBSTITUTE(SUBSTITUTE(SUBSTITUTE(SUBSTITUTE(SUBSTITUTE(SUBSTITUTE(TRIM(M170),".",""),"/",""),"-","")," ",""),"(",""),")",""),"+",""))=10,LEFT(SUBSTITUTE(SUBSTITUTE(SUBSTITUTE(SUBSTITUTE(SUBSTITUTE(SUBSTITUTE(SUBSTITUTE(TRIM(M170),".",""),"/",""),"-","")," ",""),"(",""),")",""),"+",""),1)&lt;&gt;"0"),AND(LEN(SUBSTITUTE(SUBSTITUTE(SUBSTITUTE(SUBSTITUTE(SUBSTITUTE(SUBSTITUTE(SUBSTITUTE(TRIM(M170),".",""),"/",""),"-","")," ",""),"(",""),")",""),"+",""))=11,LEFT(SUBSTITUTE(SUBSTITUTE(SUBSTITUTE(SUBSTITUTE(SUBSTITUTE(SUBSTITUTE(SUBSTITUTE(TRIM(M170),".",""),"/",""),"-","")," ",""),"(",""),")",""),"+",""),4)="0800")),"OK",IF(AND(LEN(SUBSTITUTE(SUBSTITUTE(SUBSTITUTE(SUBSTITUTE(SUBSTITUTE(SUBSTITUTE(SUBSTITUTE(TRIM(M170),".",""),"/",""),"-","")," ",""),"(",""),")",""),"+",""))=11,MID(SUBSTITUTE(SUBSTITUTE(SUBSTITUTE(SUBSTITUTE(SUBSTITUTE(SUBSTITUTE(SUBSTITUTE(TRIM(M170),".",""),"/",""),"-","")," ",""),"(",""),")",""),"+",""),3,1)="9"),"ERRO: é celular, use a coluna Celular","ERRO: DDD + 8 dígitos ou 0800 + 7")))</f>
      </c>
      <c r="X170" s="6">
        <f>IF(N170="","vazio",IF(AND(LEN(SUBSTITUTE(SUBSTITUTE(SUBSTITUTE(SUBSTITUTE(SUBSTITUTE(SUBSTITUTE(SUBSTITUTE(TRIM(N170),".",""),"/",""),"-","")," ",""),"(",""),")",""),"+",""))=11,MID(SUBSTITUTE(SUBSTITUTE(SUBSTITUTE(SUBSTITUTE(SUBSTITUTE(SUBSTITUTE(SUBSTITUTE(TRIM(N170),".",""),"/",""),"-","")," ",""),"(",""),")",""),"+",""),3,1)="9",LEFT(SUBSTITUTE(SUBSTITUTE(SUBSTITUTE(SUBSTITUTE(SUBSTITUTE(SUBSTITUTE(SUBSTITUTE(TRIM(N170),".",""),"/",""),"-","")," ",""),"(",""),")",""),"+",""),1)&lt;&gt;"0"),"OK",IF(LEN(SUBSTITUTE(SUBSTITUTE(SUBSTITUTE(SUBSTITUTE(SUBSTITUTE(SUBSTITUTE(SUBSTITUTE(TRIM(N170),".",""),"/",""),"-","")," ",""),"(",""),")",""),"+",""))=10,"ERRO: é fixo (ou falta o 9), use a coluna Telefone fixo","ERRO: DDD + 9 + 8 dígitos")))</f>
      </c>
      <c r="Y170" s="6">
        <f>IF(O170="","vazio",IF(AND(ISNUMBER(FIND("@",O170)),ISNUMBER(FIND(".",MID(O170,FIND("@",O170),99))),NOT(ISNUMBER(FIND(" ",TRIM(O170)))),NOT(ISNUMBER(FIND(";",O170))),NOT(ISNUMBER(FIND(",",O170)))),"OK","ERRO: um e-mail válido por linha"))</f>
      </c>
      <c r="Z170" s="6">
        <f>IF(AND(J170="",K170=""),"",IF(AND(J170&lt;&gt;"",K170&lt;&gt;""),"OK","pendente: só um nome (o GR completa ao converter)"))</f>
      </c>
      <c r="AA170" s="6">
        <f>IF(COUNTA(A170:S170)=0,"",IF(AND(A170&lt;&gt;"",B170&lt;&gt;"",C170&lt;&gt;"",D170&lt;&gt;"",E170&lt;&gt;"",F170&lt;&gt;"",G170&lt;&gt;"",H170&lt;&gt;"",OR(J170&lt;&gt;"",K170&lt;&gt;""),OR(M170&lt;&gt;"",N170&lt;&gt;"",O170&lt;&gt;"")),"OK","ERRO: faltam "&amp;IF(A170="","SDR; ","")&amp;IF(B170="","Proprietário; ","")&amp;IF(C170="","Origem; ","")&amp;IF(D170="","Temperatura; ","")&amp;IF(E170="","Segmento; ","")&amp;IF(F170="","Time/Cluster; ","")&amp;IF(G170="","CNPJ; ","")&amp;IF(H170="","Razão Social; ","")&amp;IF(AND(J170="",K170=""),"nome do contato; ","")&amp;IF(AND(M170="",N170="",O170=""),"telefone, celular ou e-mail; ","")))</f>
      </c>
      <c r="AB170" s="6">
        <f>IF(COUNTA(A170:S170)=0,"",IF(AND(U170="OK",V170="OK",LEFT(W170,4)&lt;&gt;"ERRO",LEFT(X170,4)&lt;&gt;"ERRO",LEFT(Y170,4)&lt;&gt;"ERRO",AA170="OK"),"OK","REVISAR"))</f>
      </c>
    </row>
    <row r="171">
      <c r="A171" s="5"/>
      <c r="B171" s="5"/>
      <c r="C171" s="5"/>
      <c r="D171" s="5"/>
      <c r="E171" s="5"/>
      <c r="F171" s="5"/>
      <c r="G171" s="5"/>
      <c r="H171" s="5"/>
      <c r="I171" s="4"/>
      <c r="J171" s="5"/>
      <c r="K171" s="4"/>
      <c r="L171" s="4"/>
      <c r="M171" s="4"/>
      <c r="N171" s="4"/>
      <c r="O171" s="4"/>
      <c r="P171" s="4"/>
      <c r="Q171" s="4"/>
      <c r="R171" s="4"/>
      <c r="S171" s="4"/>
      <c r="T171" s="6">
        <f>IF(G171="","",SUBSTITUTE(SUBSTITUTE(SUBSTITUTE(SUBSTITUTE(SUBSTITUTE(SUBSTITUTE(SUBSTITUTE(TRIM(G171),".",""),"/",""),"-","")," ",""),"(",""),")",""),"+",""))</f>
      </c>
      <c r="U171" s="6">
        <f>IF(T171="","",IF(LEN(T171)&lt;&gt;14,"ERRO: "&amp;LEN(T171)&amp;" dígitos",IF(NOT(ISNUMBER(VALUE(T171))),"ERRO: não numérico",IF(LEN(SUBSTITUTE(T171,LEFT(T171,1),""))=0,"ERRO: dígitos repetidos",IF(AND(VALUE(MID(T171,13,1))=IF(MOD(SUMPRODUCT(--MID(T171,{1,2,3,4,5,6,7,8,9,10,11,12},1),{5,4,3,2,9,8,7,6,5,4,3,2}),11)&lt;2,0,11-MOD(SUMPRODUCT(--MID(T171,{1,2,3,4,5,6,7,8,9,10,11,12},1),{5,4,3,2,9,8,7,6,5,4,3,2}),11)),VALUE(MID(T171,14,1))=IF(MOD(SUMPRODUCT(--MID(T171,{1,2,3,4,5,6,7,8,9,10,11,12,13},1),{6,5,4,3,2,9,8,7,6,5,4,3,2}),11)&lt;2,0,11-MOD(SUMPRODUCT(--MID(T171,{1,2,3,4,5,6,7,8,9,10,11,12,13},1),{6,5,4,3,2,9,8,7,6,5,4,3,2}),11))),"OK","ERRO: dígito verificador")))))</f>
      </c>
      <c r="V171" s="6">
        <f>IF(T171="","",IF(COUNTIF($T$2:$T$1001,T171)&gt;1,"DUPLICADO","OK"))</f>
      </c>
      <c r="W171" s="6">
        <f>IF(M171="","vazio",IF(OR(AND(LEN(SUBSTITUTE(SUBSTITUTE(SUBSTITUTE(SUBSTITUTE(SUBSTITUTE(SUBSTITUTE(SUBSTITUTE(TRIM(M171),".",""),"/",""),"-","")," ",""),"(",""),")",""),"+",""))=10,LEFT(SUBSTITUTE(SUBSTITUTE(SUBSTITUTE(SUBSTITUTE(SUBSTITUTE(SUBSTITUTE(SUBSTITUTE(TRIM(M171),".",""),"/",""),"-","")," ",""),"(",""),")",""),"+",""),1)&lt;&gt;"0"),AND(LEN(SUBSTITUTE(SUBSTITUTE(SUBSTITUTE(SUBSTITUTE(SUBSTITUTE(SUBSTITUTE(SUBSTITUTE(TRIM(M171),".",""),"/",""),"-","")," ",""),"(",""),")",""),"+",""))=11,LEFT(SUBSTITUTE(SUBSTITUTE(SUBSTITUTE(SUBSTITUTE(SUBSTITUTE(SUBSTITUTE(SUBSTITUTE(TRIM(M171),".",""),"/",""),"-","")," ",""),"(",""),")",""),"+",""),4)="0800")),"OK",IF(AND(LEN(SUBSTITUTE(SUBSTITUTE(SUBSTITUTE(SUBSTITUTE(SUBSTITUTE(SUBSTITUTE(SUBSTITUTE(TRIM(M171),".",""),"/",""),"-","")," ",""),"(",""),")",""),"+",""))=11,MID(SUBSTITUTE(SUBSTITUTE(SUBSTITUTE(SUBSTITUTE(SUBSTITUTE(SUBSTITUTE(SUBSTITUTE(TRIM(M171),".",""),"/",""),"-","")," ",""),"(",""),")",""),"+",""),3,1)="9"),"ERRO: é celular, use a coluna Celular","ERRO: DDD + 8 dígitos ou 0800 + 7")))</f>
      </c>
      <c r="X171" s="6">
        <f>IF(N171="","vazio",IF(AND(LEN(SUBSTITUTE(SUBSTITUTE(SUBSTITUTE(SUBSTITUTE(SUBSTITUTE(SUBSTITUTE(SUBSTITUTE(TRIM(N171),".",""),"/",""),"-","")," ",""),"(",""),")",""),"+",""))=11,MID(SUBSTITUTE(SUBSTITUTE(SUBSTITUTE(SUBSTITUTE(SUBSTITUTE(SUBSTITUTE(SUBSTITUTE(TRIM(N171),".",""),"/",""),"-","")," ",""),"(",""),")",""),"+",""),3,1)="9",LEFT(SUBSTITUTE(SUBSTITUTE(SUBSTITUTE(SUBSTITUTE(SUBSTITUTE(SUBSTITUTE(SUBSTITUTE(TRIM(N171),".",""),"/",""),"-","")," ",""),"(",""),")",""),"+",""),1)&lt;&gt;"0"),"OK",IF(LEN(SUBSTITUTE(SUBSTITUTE(SUBSTITUTE(SUBSTITUTE(SUBSTITUTE(SUBSTITUTE(SUBSTITUTE(TRIM(N171),".",""),"/",""),"-","")," ",""),"(",""),")",""),"+",""))=10,"ERRO: é fixo (ou falta o 9), use a coluna Telefone fixo","ERRO: DDD + 9 + 8 dígitos")))</f>
      </c>
      <c r="Y171" s="6">
        <f>IF(O171="","vazio",IF(AND(ISNUMBER(FIND("@",O171)),ISNUMBER(FIND(".",MID(O171,FIND("@",O171),99))),NOT(ISNUMBER(FIND(" ",TRIM(O171)))),NOT(ISNUMBER(FIND(";",O171))),NOT(ISNUMBER(FIND(",",O171)))),"OK","ERRO: um e-mail válido por linha"))</f>
      </c>
      <c r="Z171" s="6">
        <f>IF(AND(J171="",K171=""),"",IF(AND(J171&lt;&gt;"",K171&lt;&gt;""),"OK","pendente: só um nome (o GR completa ao converter)"))</f>
      </c>
      <c r="AA171" s="6">
        <f>IF(COUNTA(A171:S171)=0,"",IF(AND(A171&lt;&gt;"",B171&lt;&gt;"",C171&lt;&gt;"",D171&lt;&gt;"",E171&lt;&gt;"",F171&lt;&gt;"",G171&lt;&gt;"",H171&lt;&gt;"",OR(J171&lt;&gt;"",K171&lt;&gt;""),OR(M171&lt;&gt;"",N171&lt;&gt;"",O171&lt;&gt;"")),"OK","ERRO: faltam "&amp;IF(A171="","SDR; ","")&amp;IF(B171="","Proprietário; ","")&amp;IF(C171="","Origem; ","")&amp;IF(D171="","Temperatura; ","")&amp;IF(E171="","Segmento; ","")&amp;IF(F171="","Time/Cluster; ","")&amp;IF(G171="","CNPJ; ","")&amp;IF(H171="","Razão Social; ","")&amp;IF(AND(J171="",K171=""),"nome do contato; ","")&amp;IF(AND(M171="",N171="",O171=""),"telefone, celular ou e-mail; ","")))</f>
      </c>
      <c r="AB171" s="6">
        <f>IF(COUNTA(A171:S171)=0,"",IF(AND(U171="OK",V171="OK",LEFT(W171,4)&lt;&gt;"ERRO",LEFT(X171,4)&lt;&gt;"ERRO",LEFT(Y171,4)&lt;&gt;"ERRO",AA171="OK"),"OK","REVISAR"))</f>
      </c>
    </row>
    <row r="172">
      <c r="A172" s="5"/>
      <c r="B172" s="5"/>
      <c r="C172" s="5"/>
      <c r="D172" s="5"/>
      <c r="E172" s="5"/>
      <c r="F172" s="5"/>
      <c r="G172" s="5"/>
      <c r="H172" s="5"/>
      <c r="I172" s="4"/>
      <c r="J172" s="5"/>
      <c r="K172" s="4"/>
      <c r="L172" s="4"/>
      <c r="M172" s="4"/>
      <c r="N172" s="4"/>
      <c r="O172" s="4"/>
      <c r="P172" s="4"/>
      <c r="Q172" s="4"/>
      <c r="R172" s="4"/>
      <c r="S172" s="4"/>
      <c r="T172" s="6">
        <f>IF(G172="","",SUBSTITUTE(SUBSTITUTE(SUBSTITUTE(SUBSTITUTE(SUBSTITUTE(SUBSTITUTE(SUBSTITUTE(TRIM(G172),".",""),"/",""),"-","")," ",""),"(",""),")",""),"+",""))</f>
      </c>
      <c r="U172" s="6">
        <f>IF(T172="","",IF(LEN(T172)&lt;&gt;14,"ERRO: "&amp;LEN(T172)&amp;" dígitos",IF(NOT(ISNUMBER(VALUE(T172))),"ERRO: não numérico",IF(LEN(SUBSTITUTE(T172,LEFT(T172,1),""))=0,"ERRO: dígitos repetidos",IF(AND(VALUE(MID(T172,13,1))=IF(MOD(SUMPRODUCT(--MID(T172,{1,2,3,4,5,6,7,8,9,10,11,12},1),{5,4,3,2,9,8,7,6,5,4,3,2}),11)&lt;2,0,11-MOD(SUMPRODUCT(--MID(T172,{1,2,3,4,5,6,7,8,9,10,11,12},1),{5,4,3,2,9,8,7,6,5,4,3,2}),11)),VALUE(MID(T172,14,1))=IF(MOD(SUMPRODUCT(--MID(T172,{1,2,3,4,5,6,7,8,9,10,11,12,13},1),{6,5,4,3,2,9,8,7,6,5,4,3,2}),11)&lt;2,0,11-MOD(SUMPRODUCT(--MID(T172,{1,2,3,4,5,6,7,8,9,10,11,12,13},1),{6,5,4,3,2,9,8,7,6,5,4,3,2}),11))),"OK","ERRO: dígito verificador")))))</f>
      </c>
      <c r="V172" s="6">
        <f>IF(T172="","",IF(COUNTIF($T$2:$T$1001,T172)&gt;1,"DUPLICADO","OK"))</f>
      </c>
      <c r="W172" s="6">
        <f>IF(M172="","vazio",IF(OR(AND(LEN(SUBSTITUTE(SUBSTITUTE(SUBSTITUTE(SUBSTITUTE(SUBSTITUTE(SUBSTITUTE(SUBSTITUTE(TRIM(M172),".",""),"/",""),"-","")," ",""),"(",""),")",""),"+",""))=10,LEFT(SUBSTITUTE(SUBSTITUTE(SUBSTITUTE(SUBSTITUTE(SUBSTITUTE(SUBSTITUTE(SUBSTITUTE(TRIM(M172),".",""),"/",""),"-","")," ",""),"(",""),")",""),"+",""),1)&lt;&gt;"0"),AND(LEN(SUBSTITUTE(SUBSTITUTE(SUBSTITUTE(SUBSTITUTE(SUBSTITUTE(SUBSTITUTE(SUBSTITUTE(TRIM(M172),".",""),"/",""),"-","")," ",""),"(",""),")",""),"+",""))=11,LEFT(SUBSTITUTE(SUBSTITUTE(SUBSTITUTE(SUBSTITUTE(SUBSTITUTE(SUBSTITUTE(SUBSTITUTE(TRIM(M172),".",""),"/",""),"-","")," ",""),"(",""),")",""),"+",""),4)="0800")),"OK",IF(AND(LEN(SUBSTITUTE(SUBSTITUTE(SUBSTITUTE(SUBSTITUTE(SUBSTITUTE(SUBSTITUTE(SUBSTITUTE(TRIM(M172),".",""),"/",""),"-","")," ",""),"(",""),")",""),"+",""))=11,MID(SUBSTITUTE(SUBSTITUTE(SUBSTITUTE(SUBSTITUTE(SUBSTITUTE(SUBSTITUTE(SUBSTITUTE(TRIM(M172),".",""),"/",""),"-","")," ",""),"(",""),")",""),"+",""),3,1)="9"),"ERRO: é celular, use a coluna Celular","ERRO: DDD + 8 dígitos ou 0800 + 7")))</f>
      </c>
      <c r="X172" s="6">
        <f>IF(N172="","vazio",IF(AND(LEN(SUBSTITUTE(SUBSTITUTE(SUBSTITUTE(SUBSTITUTE(SUBSTITUTE(SUBSTITUTE(SUBSTITUTE(TRIM(N172),".",""),"/",""),"-","")," ",""),"(",""),")",""),"+",""))=11,MID(SUBSTITUTE(SUBSTITUTE(SUBSTITUTE(SUBSTITUTE(SUBSTITUTE(SUBSTITUTE(SUBSTITUTE(TRIM(N172),".",""),"/",""),"-","")," ",""),"(",""),")",""),"+",""),3,1)="9",LEFT(SUBSTITUTE(SUBSTITUTE(SUBSTITUTE(SUBSTITUTE(SUBSTITUTE(SUBSTITUTE(SUBSTITUTE(TRIM(N172),".",""),"/",""),"-","")," ",""),"(",""),")",""),"+",""),1)&lt;&gt;"0"),"OK",IF(LEN(SUBSTITUTE(SUBSTITUTE(SUBSTITUTE(SUBSTITUTE(SUBSTITUTE(SUBSTITUTE(SUBSTITUTE(TRIM(N172),".",""),"/",""),"-","")," ",""),"(",""),")",""),"+",""))=10,"ERRO: é fixo (ou falta o 9), use a coluna Telefone fixo","ERRO: DDD + 9 + 8 dígitos")))</f>
      </c>
      <c r="Y172" s="6">
        <f>IF(O172="","vazio",IF(AND(ISNUMBER(FIND("@",O172)),ISNUMBER(FIND(".",MID(O172,FIND("@",O172),99))),NOT(ISNUMBER(FIND(" ",TRIM(O172)))),NOT(ISNUMBER(FIND(";",O172))),NOT(ISNUMBER(FIND(",",O172)))),"OK","ERRO: um e-mail válido por linha"))</f>
      </c>
      <c r="Z172" s="6">
        <f>IF(AND(J172="",K172=""),"",IF(AND(J172&lt;&gt;"",K172&lt;&gt;""),"OK","pendente: só um nome (o GR completa ao converter)"))</f>
      </c>
      <c r="AA172" s="6">
        <f>IF(COUNTA(A172:S172)=0,"",IF(AND(A172&lt;&gt;"",B172&lt;&gt;"",C172&lt;&gt;"",D172&lt;&gt;"",E172&lt;&gt;"",F172&lt;&gt;"",G172&lt;&gt;"",H172&lt;&gt;"",OR(J172&lt;&gt;"",K172&lt;&gt;""),OR(M172&lt;&gt;"",N172&lt;&gt;"",O172&lt;&gt;"")),"OK","ERRO: faltam "&amp;IF(A172="","SDR; ","")&amp;IF(B172="","Proprietário; ","")&amp;IF(C172="","Origem; ","")&amp;IF(D172="","Temperatura; ","")&amp;IF(E172="","Segmento; ","")&amp;IF(F172="","Time/Cluster; ","")&amp;IF(G172="","CNPJ; ","")&amp;IF(H172="","Razão Social; ","")&amp;IF(AND(J172="",K172=""),"nome do contato; ","")&amp;IF(AND(M172="",N172="",O172=""),"telefone, celular ou e-mail; ","")))</f>
      </c>
      <c r="AB172" s="6">
        <f>IF(COUNTA(A172:S172)=0,"",IF(AND(U172="OK",V172="OK",LEFT(W172,4)&lt;&gt;"ERRO",LEFT(X172,4)&lt;&gt;"ERRO",LEFT(Y172,4)&lt;&gt;"ERRO",AA172="OK"),"OK","REVISAR"))</f>
      </c>
    </row>
    <row r="173">
      <c r="A173" s="5"/>
      <c r="B173" s="5"/>
      <c r="C173" s="5"/>
      <c r="D173" s="5"/>
      <c r="E173" s="5"/>
      <c r="F173" s="5"/>
      <c r="G173" s="5"/>
      <c r="H173" s="5"/>
      <c r="I173" s="4"/>
      <c r="J173" s="5"/>
      <c r="K173" s="4"/>
      <c r="L173" s="4"/>
      <c r="M173" s="4"/>
      <c r="N173" s="4"/>
      <c r="O173" s="4"/>
      <c r="P173" s="4"/>
      <c r="Q173" s="4"/>
      <c r="R173" s="4"/>
      <c r="S173" s="4"/>
      <c r="T173" s="6">
        <f>IF(G173="","",SUBSTITUTE(SUBSTITUTE(SUBSTITUTE(SUBSTITUTE(SUBSTITUTE(SUBSTITUTE(SUBSTITUTE(TRIM(G173),".",""),"/",""),"-","")," ",""),"(",""),")",""),"+",""))</f>
      </c>
      <c r="U173" s="6">
        <f>IF(T173="","",IF(LEN(T173)&lt;&gt;14,"ERRO: "&amp;LEN(T173)&amp;" dígitos",IF(NOT(ISNUMBER(VALUE(T173))),"ERRO: não numérico",IF(LEN(SUBSTITUTE(T173,LEFT(T173,1),""))=0,"ERRO: dígitos repetidos",IF(AND(VALUE(MID(T173,13,1))=IF(MOD(SUMPRODUCT(--MID(T173,{1,2,3,4,5,6,7,8,9,10,11,12},1),{5,4,3,2,9,8,7,6,5,4,3,2}),11)&lt;2,0,11-MOD(SUMPRODUCT(--MID(T173,{1,2,3,4,5,6,7,8,9,10,11,12},1),{5,4,3,2,9,8,7,6,5,4,3,2}),11)),VALUE(MID(T173,14,1))=IF(MOD(SUMPRODUCT(--MID(T173,{1,2,3,4,5,6,7,8,9,10,11,12,13},1),{6,5,4,3,2,9,8,7,6,5,4,3,2}),11)&lt;2,0,11-MOD(SUMPRODUCT(--MID(T173,{1,2,3,4,5,6,7,8,9,10,11,12,13},1),{6,5,4,3,2,9,8,7,6,5,4,3,2}),11))),"OK","ERRO: dígito verificador")))))</f>
      </c>
      <c r="V173" s="6">
        <f>IF(T173="","",IF(COUNTIF($T$2:$T$1001,T173)&gt;1,"DUPLICADO","OK"))</f>
      </c>
      <c r="W173" s="6">
        <f>IF(M173="","vazio",IF(OR(AND(LEN(SUBSTITUTE(SUBSTITUTE(SUBSTITUTE(SUBSTITUTE(SUBSTITUTE(SUBSTITUTE(SUBSTITUTE(TRIM(M173),".",""),"/",""),"-","")," ",""),"(",""),")",""),"+",""))=10,LEFT(SUBSTITUTE(SUBSTITUTE(SUBSTITUTE(SUBSTITUTE(SUBSTITUTE(SUBSTITUTE(SUBSTITUTE(TRIM(M173),".",""),"/",""),"-","")," ",""),"(",""),")",""),"+",""),1)&lt;&gt;"0"),AND(LEN(SUBSTITUTE(SUBSTITUTE(SUBSTITUTE(SUBSTITUTE(SUBSTITUTE(SUBSTITUTE(SUBSTITUTE(TRIM(M173),".",""),"/",""),"-","")," ",""),"(",""),")",""),"+",""))=11,LEFT(SUBSTITUTE(SUBSTITUTE(SUBSTITUTE(SUBSTITUTE(SUBSTITUTE(SUBSTITUTE(SUBSTITUTE(TRIM(M173),".",""),"/",""),"-","")," ",""),"(",""),")",""),"+",""),4)="0800")),"OK",IF(AND(LEN(SUBSTITUTE(SUBSTITUTE(SUBSTITUTE(SUBSTITUTE(SUBSTITUTE(SUBSTITUTE(SUBSTITUTE(TRIM(M173),".",""),"/",""),"-","")," ",""),"(",""),")",""),"+",""))=11,MID(SUBSTITUTE(SUBSTITUTE(SUBSTITUTE(SUBSTITUTE(SUBSTITUTE(SUBSTITUTE(SUBSTITUTE(TRIM(M173),".",""),"/",""),"-","")," ",""),"(",""),")",""),"+",""),3,1)="9"),"ERRO: é celular, use a coluna Celular","ERRO: DDD + 8 dígitos ou 0800 + 7")))</f>
      </c>
      <c r="X173" s="6">
        <f>IF(N173="","vazio",IF(AND(LEN(SUBSTITUTE(SUBSTITUTE(SUBSTITUTE(SUBSTITUTE(SUBSTITUTE(SUBSTITUTE(SUBSTITUTE(TRIM(N173),".",""),"/",""),"-","")," ",""),"(",""),")",""),"+",""))=11,MID(SUBSTITUTE(SUBSTITUTE(SUBSTITUTE(SUBSTITUTE(SUBSTITUTE(SUBSTITUTE(SUBSTITUTE(TRIM(N173),".",""),"/",""),"-","")," ",""),"(",""),")",""),"+",""),3,1)="9",LEFT(SUBSTITUTE(SUBSTITUTE(SUBSTITUTE(SUBSTITUTE(SUBSTITUTE(SUBSTITUTE(SUBSTITUTE(TRIM(N173),".",""),"/",""),"-","")," ",""),"(",""),")",""),"+",""),1)&lt;&gt;"0"),"OK",IF(LEN(SUBSTITUTE(SUBSTITUTE(SUBSTITUTE(SUBSTITUTE(SUBSTITUTE(SUBSTITUTE(SUBSTITUTE(TRIM(N173),".",""),"/",""),"-","")," ",""),"(",""),")",""),"+",""))=10,"ERRO: é fixo (ou falta o 9), use a coluna Telefone fixo","ERRO: DDD + 9 + 8 dígitos")))</f>
      </c>
      <c r="Y173" s="6">
        <f>IF(O173="","vazio",IF(AND(ISNUMBER(FIND("@",O173)),ISNUMBER(FIND(".",MID(O173,FIND("@",O173),99))),NOT(ISNUMBER(FIND(" ",TRIM(O173)))),NOT(ISNUMBER(FIND(";",O173))),NOT(ISNUMBER(FIND(",",O173)))),"OK","ERRO: um e-mail válido por linha"))</f>
      </c>
      <c r="Z173" s="6">
        <f>IF(AND(J173="",K173=""),"",IF(AND(J173&lt;&gt;"",K173&lt;&gt;""),"OK","pendente: só um nome (o GR completa ao converter)"))</f>
      </c>
      <c r="AA173" s="6">
        <f>IF(COUNTA(A173:S173)=0,"",IF(AND(A173&lt;&gt;"",B173&lt;&gt;"",C173&lt;&gt;"",D173&lt;&gt;"",E173&lt;&gt;"",F173&lt;&gt;"",G173&lt;&gt;"",H173&lt;&gt;"",OR(J173&lt;&gt;"",K173&lt;&gt;""),OR(M173&lt;&gt;"",N173&lt;&gt;"",O173&lt;&gt;"")),"OK","ERRO: faltam "&amp;IF(A173="","SDR; ","")&amp;IF(B173="","Proprietário; ","")&amp;IF(C173="","Origem; ","")&amp;IF(D173="","Temperatura; ","")&amp;IF(E173="","Segmento; ","")&amp;IF(F173="","Time/Cluster; ","")&amp;IF(G173="","CNPJ; ","")&amp;IF(H173="","Razão Social; ","")&amp;IF(AND(J173="",K173=""),"nome do contato; ","")&amp;IF(AND(M173="",N173="",O173=""),"telefone, celular ou e-mail; ","")))</f>
      </c>
      <c r="AB173" s="6">
        <f>IF(COUNTA(A173:S173)=0,"",IF(AND(U173="OK",V173="OK",LEFT(W173,4)&lt;&gt;"ERRO",LEFT(X173,4)&lt;&gt;"ERRO",LEFT(Y173,4)&lt;&gt;"ERRO",AA173="OK"),"OK","REVISAR"))</f>
      </c>
    </row>
    <row r="174">
      <c r="A174" s="5"/>
      <c r="B174" s="5"/>
      <c r="C174" s="5"/>
      <c r="D174" s="5"/>
      <c r="E174" s="5"/>
      <c r="F174" s="5"/>
      <c r="G174" s="5"/>
      <c r="H174" s="5"/>
      <c r="I174" s="4"/>
      <c r="J174" s="5"/>
      <c r="K174" s="4"/>
      <c r="L174" s="4"/>
      <c r="M174" s="4"/>
      <c r="N174" s="4"/>
      <c r="O174" s="4"/>
      <c r="P174" s="4"/>
      <c r="Q174" s="4"/>
      <c r="R174" s="4"/>
      <c r="S174" s="4"/>
      <c r="T174" s="6">
        <f>IF(G174="","",SUBSTITUTE(SUBSTITUTE(SUBSTITUTE(SUBSTITUTE(SUBSTITUTE(SUBSTITUTE(SUBSTITUTE(TRIM(G174),".",""),"/",""),"-","")," ",""),"(",""),")",""),"+",""))</f>
      </c>
      <c r="U174" s="6">
        <f>IF(T174="","",IF(LEN(T174)&lt;&gt;14,"ERRO: "&amp;LEN(T174)&amp;" dígitos",IF(NOT(ISNUMBER(VALUE(T174))),"ERRO: não numérico",IF(LEN(SUBSTITUTE(T174,LEFT(T174,1),""))=0,"ERRO: dígitos repetidos",IF(AND(VALUE(MID(T174,13,1))=IF(MOD(SUMPRODUCT(--MID(T174,{1,2,3,4,5,6,7,8,9,10,11,12},1),{5,4,3,2,9,8,7,6,5,4,3,2}),11)&lt;2,0,11-MOD(SUMPRODUCT(--MID(T174,{1,2,3,4,5,6,7,8,9,10,11,12},1),{5,4,3,2,9,8,7,6,5,4,3,2}),11)),VALUE(MID(T174,14,1))=IF(MOD(SUMPRODUCT(--MID(T174,{1,2,3,4,5,6,7,8,9,10,11,12,13},1),{6,5,4,3,2,9,8,7,6,5,4,3,2}),11)&lt;2,0,11-MOD(SUMPRODUCT(--MID(T174,{1,2,3,4,5,6,7,8,9,10,11,12,13},1),{6,5,4,3,2,9,8,7,6,5,4,3,2}),11))),"OK","ERRO: dígito verificador")))))</f>
      </c>
      <c r="V174" s="6">
        <f>IF(T174="","",IF(COUNTIF($T$2:$T$1001,T174)&gt;1,"DUPLICADO","OK"))</f>
      </c>
      <c r="W174" s="6">
        <f>IF(M174="","vazio",IF(OR(AND(LEN(SUBSTITUTE(SUBSTITUTE(SUBSTITUTE(SUBSTITUTE(SUBSTITUTE(SUBSTITUTE(SUBSTITUTE(TRIM(M174),".",""),"/",""),"-","")," ",""),"(",""),")",""),"+",""))=10,LEFT(SUBSTITUTE(SUBSTITUTE(SUBSTITUTE(SUBSTITUTE(SUBSTITUTE(SUBSTITUTE(SUBSTITUTE(TRIM(M174),".",""),"/",""),"-","")," ",""),"(",""),")",""),"+",""),1)&lt;&gt;"0"),AND(LEN(SUBSTITUTE(SUBSTITUTE(SUBSTITUTE(SUBSTITUTE(SUBSTITUTE(SUBSTITUTE(SUBSTITUTE(TRIM(M174),".",""),"/",""),"-","")," ",""),"(",""),")",""),"+",""))=11,LEFT(SUBSTITUTE(SUBSTITUTE(SUBSTITUTE(SUBSTITUTE(SUBSTITUTE(SUBSTITUTE(SUBSTITUTE(TRIM(M174),".",""),"/",""),"-","")," ",""),"(",""),")",""),"+",""),4)="0800")),"OK",IF(AND(LEN(SUBSTITUTE(SUBSTITUTE(SUBSTITUTE(SUBSTITUTE(SUBSTITUTE(SUBSTITUTE(SUBSTITUTE(TRIM(M174),".",""),"/",""),"-","")," ",""),"(",""),")",""),"+",""))=11,MID(SUBSTITUTE(SUBSTITUTE(SUBSTITUTE(SUBSTITUTE(SUBSTITUTE(SUBSTITUTE(SUBSTITUTE(TRIM(M174),".",""),"/",""),"-","")," ",""),"(",""),")",""),"+",""),3,1)="9"),"ERRO: é celular, use a coluna Celular","ERRO: DDD + 8 dígitos ou 0800 + 7")))</f>
      </c>
      <c r="X174" s="6">
        <f>IF(N174="","vazio",IF(AND(LEN(SUBSTITUTE(SUBSTITUTE(SUBSTITUTE(SUBSTITUTE(SUBSTITUTE(SUBSTITUTE(SUBSTITUTE(TRIM(N174),".",""),"/",""),"-","")," ",""),"(",""),")",""),"+",""))=11,MID(SUBSTITUTE(SUBSTITUTE(SUBSTITUTE(SUBSTITUTE(SUBSTITUTE(SUBSTITUTE(SUBSTITUTE(TRIM(N174),".",""),"/",""),"-","")," ",""),"(",""),")",""),"+",""),3,1)="9",LEFT(SUBSTITUTE(SUBSTITUTE(SUBSTITUTE(SUBSTITUTE(SUBSTITUTE(SUBSTITUTE(SUBSTITUTE(TRIM(N174),".",""),"/",""),"-","")," ",""),"(",""),")",""),"+",""),1)&lt;&gt;"0"),"OK",IF(LEN(SUBSTITUTE(SUBSTITUTE(SUBSTITUTE(SUBSTITUTE(SUBSTITUTE(SUBSTITUTE(SUBSTITUTE(TRIM(N174),".",""),"/",""),"-","")," ",""),"(",""),")",""),"+",""))=10,"ERRO: é fixo (ou falta o 9), use a coluna Telefone fixo","ERRO: DDD + 9 + 8 dígitos")))</f>
      </c>
      <c r="Y174" s="6">
        <f>IF(O174="","vazio",IF(AND(ISNUMBER(FIND("@",O174)),ISNUMBER(FIND(".",MID(O174,FIND("@",O174),99))),NOT(ISNUMBER(FIND(" ",TRIM(O174)))),NOT(ISNUMBER(FIND(";",O174))),NOT(ISNUMBER(FIND(",",O174)))),"OK","ERRO: um e-mail válido por linha"))</f>
      </c>
      <c r="Z174" s="6">
        <f>IF(AND(J174="",K174=""),"",IF(AND(J174&lt;&gt;"",K174&lt;&gt;""),"OK","pendente: só um nome (o GR completa ao converter)"))</f>
      </c>
      <c r="AA174" s="6">
        <f>IF(COUNTA(A174:S174)=0,"",IF(AND(A174&lt;&gt;"",B174&lt;&gt;"",C174&lt;&gt;"",D174&lt;&gt;"",E174&lt;&gt;"",F174&lt;&gt;"",G174&lt;&gt;"",H174&lt;&gt;"",OR(J174&lt;&gt;"",K174&lt;&gt;""),OR(M174&lt;&gt;"",N174&lt;&gt;"",O174&lt;&gt;"")),"OK","ERRO: faltam "&amp;IF(A174="","SDR; ","")&amp;IF(B174="","Proprietário; ","")&amp;IF(C174="","Origem; ","")&amp;IF(D174="","Temperatura; ","")&amp;IF(E174="","Segmento; ","")&amp;IF(F174="","Time/Cluster; ","")&amp;IF(G174="","CNPJ; ","")&amp;IF(H174="","Razão Social; ","")&amp;IF(AND(J174="",K174=""),"nome do contato; ","")&amp;IF(AND(M174="",N174="",O174=""),"telefone, celular ou e-mail; ","")))</f>
      </c>
      <c r="AB174" s="6">
        <f>IF(COUNTA(A174:S174)=0,"",IF(AND(U174="OK",V174="OK",LEFT(W174,4)&lt;&gt;"ERRO",LEFT(X174,4)&lt;&gt;"ERRO",LEFT(Y174,4)&lt;&gt;"ERRO",AA174="OK"),"OK","REVISAR"))</f>
      </c>
    </row>
    <row r="175">
      <c r="A175" s="5"/>
      <c r="B175" s="5"/>
      <c r="C175" s="5"/>
      <c r="D175" s="5"/>
      <c r="E175" s="5"/>
      <c r="F175" s="5"/>
      <c r="G175" s="5"/>
      <c r="H175" s="5"/>
      <c r="I175" s="4"/>
      <c r="J175" s="5"/>
      <c r="K175" s="4"/>
      <c r="L175" s="4"/>
      <c r="M175" s="4"/>
      <c r="N175" s="4"/>
      <c r="O175" s="4"/>
      <c r="P175" s="4"/>
      <c r="Q175" s="4"/>
      <c r="R175" s="4"/>
      <c r="S175" s="4"/>
      <c r="T175" s="6">
        <f>IF(G175="","",SUBSTITUTE(SUBSTITUTE(SUBSTITUTE(SUBSTITUTE(SUBSTITUTE(SUBSTITUTE(SUBSTITUTE(TRIM(G175),".",""),"/",""),"-","")," ",""),"(",""),")",""),"+",""))</f>
      </c>
      <c r="U175" s="6">
        <f>IF(T175="","",IF(LEN(T175)&lt;&gt;14,"ERRO: "&amp;LEN(T175)&amp;" dígitos",IF(NOT(ISNUMBER(VALUE(T175))),"ERRO: não numérico",IF(LEN(SUBSTITUTE(T175,LEFT(T175,1),""))=0,"ERRO: dígitos repetidos",IF(AND(VALUE(MID(T175,13,1))=IF(MOD(SUMPRODUCT(--MID(T175,{1,2,3,4,5,6,7,8,9,10,11,12},1),{5,4,3,2,9,8,7,6,5,4,3,2}),11)&lt;2,0,11-MOD(SUMPRODUCT(--MID(T175,{1,2,3,4,5,6,7,8,9,10,11,12},1),{5,4,3,2,9,8,7,6,5,4,3,2}),11)),VALUE(MID(T175,14,1))=IF(MOD(SUMPRODUCT(--MID(T175,{1,2,3,4,5,6,7,8,9,10,11,12,13},1),{6,5,4,3,2,9,8,7,6,5,4,3,2}),11)&lt;2,0,11-MOD(SUMPRODUCT(--MID(T175,{1,2,3,4,5,6,7,8,9,10,11,12,13},1),{6,5,4,3,2,9,8,7,6,5,4,3,2}),11))),"OK","ERRO: dígito verificador")))))</f>
      </c>
      <c r="V175" s="6">
        <f>IF(T175="","",IF(COUNTIF($T$2:$T$1001,T175)&gt;1,"DUPLICADO","OK"))</f>
      </c>
      <c r="W175" s="6">
        <f>IF(M175="","vazio",IF(OR(AND(LEN(SUBSTITUTE(SUBSTITUTE(SUBSTITUTE(SUBSTITUTE(SUBSTITUTE(SUBSTITUTE(SUBSTITUTE(TRIM(M175),".",""),"/",""),"-","")," ",""),"(",""),")",""),"+",""))=10,LEFT(SUBSTITUTE(SUBSTITUTE(SUBSTITUTE(SUBSTITUTE(SUBSTITUTE(SUBSTITUTE(SUBSTITUTE(TRIM(M175),".",""),"/",""),"-","")," ",""),"(",""),")",""),"+",""),1)&lt;&gt;"0"),AND(LEN(SUBSTITUTE(SUBSTITUTE(SUBSTITUTE(SUBSTITUTE(SUBSTITUTE(SUBSTITUTE(SUBSTITUTE(TRIM(M175),".",""),"/",""),"-","")," ",""),"(",""),")",""),"+",""))=11,LEFT(SUBSTITUTE(SUBSTITUTE(SUBSTITUTE(SUBSTITUTE(SUBSTITUTE(SUBSTITUTE(SUBSTITUTE(TRIM(M175),".",""),"/",""),"-","")," ",""),"(",""),")",""),"+",""),4)="0800")),"OK",IF(AND(LEN(SUBSTITUTE(SUBSTITUTE(SUBSTITUTE(SUBSTITUTE(SUBSTITUTE(SUBSTITUTE(SUBSTITUTE(TRIM(M175),".",""),"/",""),"-","")," ",""),"(",""),")",""),"+",""))=11,MID(SUBSTITUTE(SUBSTITUTE(SUBSTITUTE(SUBSTITUTE(SUBSTITUTE(SUBSTITUTE(SUBSTITUTE(TRIM(M175),".",""),"/",""),"-","")," ",""),"(",""),")",""),"+",""),3,1)="9"),"ERRO: é celular, use a coluna Celular","ERRO: DDD + 8 dígitos ou 0800 + 7")))</f>
      </c>
      <c r="X175" s="6">
        <f>IF(N175="","vazio",IF(AND(LEN(SUBSTITUTE(SUBSTITUTE(SUBSTITUTE(SUBSTITUTE(SUBSTITUTE(SUBSTITUTE(SUBSTITUTE(TRIM(N175),".",""),"/",""),"-","")," ",""),"(",""),")",""),"+",""))=11,MID(SUBSTITUTE(SUBSTITUTE(SUBSTITUTE(SUBSTITUTE(SUBSTITUTE(SUBSTITUTE(SUBSTITUTE(TRIM(N175),".",""),"/",""),"-","")," ",""),"(",""),")",""),"+",""),3,1)="9",LEFT(SUBSTITUTE(SUBSTITUTE(SUBSTITUTE(SUBSTITUTE(SUBSTITUTE(SUBSTITUTE(SUBSTITUTE(TRIM(N175),".",""),"/",""),"-","")," ",""),"(",""),")",""),"+",""),1)&lt;&gt;"0"),"OK",IF(LEN(SUBSTITUTE(SUBSTITUTE(SUBSTITUTE(SUBSTITUTE(SUBSTITUTE(SUBSTITUTE(SUBSTITUTE(TRIM(N175),".",""),"/",""),"-","")," ",""),"(",""),")",""),"+",""))=10,"ERRO: é fixo (ou falta o 9), use a coluna Telefone fixo","ERRO: DDD + 9 + 8 dígitos")))</f>
      </c>
      <c r="Y175" s="6">
        <f>IF(O175="","vazio",IF(AND(ISNUMBER(FIND("@",O175)),ISNUMBER(FIND(".",MID(O175,FIND("@",O175),99))),NOT(ISNUMBER(FIND(" ",TRIM(O175)))),NOT(ISNUMBER(FIND(";",O175))),NOT(ISNUMBER(FIND(",",O175)))),"OK","ERRO: um e-mail válido por linha"))</f>
      </c>
      <c r="Z175" s="6">
        <f>IF(AND(J175="",K175=""),"",IF(AND(J175&lt;&gt;"",K175&lt;&gt;""),"OK","pendente: só um nome (o GR completa ao converter)"))</f>
      </c>
      <c r="AA175" s="6">
        <f>IF(COUNTA(A175:S175)=0,"",IF(AND(A175&lt;&gt;"",B175&lt;&gt;"",C175&lt;&gt;"",D175&lt;&gt;"",E175&lt;&gt;"",F175&lt;&gt;"",G175&lt;&gt;"",H175&lt;&gt;"",OR(J175&lt;&gt;"",K175&lt;&gt;""),OR(M175&lt;&gt;"",N175&lt;&gt;"",O175&lt;&gt;"")),"OK","ERRO: faltam "&amp;IF(A175="","SDR; ","")&amp;IF(B175="","Proprietário; ","")&amp;IF(C175="","Origem; ","")&amp;IF(D175="","Temperatura; ","")&amp;IF(E175="","Segmento; ","")&amp;IF(F175="","Time/Cluster; ","")&amp;IF(G175="","CNPJ; ","")&amp;IF(H175="","Razão Social; ","")&amp;IF(AND(J175="",K175=""),"nome do contato; ","")&amp;IF(AND(M175="",N175="",O175=""),"telefone, celular ou e-mail; ","")))</f>
      </c>
      <c r="AB175" s="6">
        <f>IF(COUNTA(A175:S175)=0,"",IF(AND(U175="OK",V175="OK",LEFT(W175,4)&lt;&gt;"ERRO",LEFT(X175,4)&lt;&gt;"ERRO",LEFT(Y175,4)&lt;&gt;"ERRO",AA175="OK"),"OK","REVISAR"))</f>
      </c>
    </row>
    <row r="176">
      <c r="A176" s="5"/>
      <c r="B176" s="5"/>
      <c r="C176" s="5"/>
      <c r="D176" s="5"/>
      <c r="E176" s="5"/>
      <c r="F176" s="5"/>
      <c r="G176" s="5"/>
      <c r="H176" s="5"/>
      <c r="I176" s="4"/>
      <c r="J176" s="5"/>
      <c r="K176" s="4"/>
      <c r="L176" s="4"/>
      <c r="M176" s="4"/>
      <c r="N176" s="4"/>
      <c r="O176" s="4"/>
      <c r="P176" s="4"/>
      <c r="Q176" s="4"/>
      <c r="R176" s="4"/>
      <c r="S176" s="4"/>
      <c r="T176" s="6">
        <f>IF(G176="","",SUBSTITUTE(SUBSTITUTE(SUBSTITUTE(SUBSTITUTE(SUBSTITUTE(SUBSTITUTE(SUBSTITUTE(TRIM(G176),".",""),"/",""),"-","")," ",""),"(",""),")",""),"+",""))</f>
      </c>
      <c r="U176" s="6">
        <f>IF(T176="","",IF(LEN(T176)&lt;&gt;14,"ERRO: "&amp;LEN(T176)&amp;" dígitos",IF(NOT(ISNUMBER(VALUE(T176))),"ERRO: não numérico",IF(LEN(SUBSTITUTE(T176,LEFT(T176,1),""))=0,"ERRO: dígitos repetidos",IF(AND(VALUE(MID(T176,13,1))=IF(MOD(SUMPRODUCT(--MID(T176,{1,2,3,4,5,6,7,8,9,10,11,12},1),{5,4,3,2,9,8,7,6,5,4,3,2}),11)&lt;2,0,11-MOD(SUMPRODUCT(--MID(T176,{1,2,3,4,5,6,7,8,9,10,11,12},1),{5,4,3,2,9,8,7,6,5,4,3,2}),11)),VALUE(MID(T176,14,1))=IF(MOD(SUMPRODUCT(--MID(T176,{1,2,3,4,5,6,7,8,9,10,11,12,13},1),{6,5,4,3,2,9,8,7,6,5,4,3,2}),11)&lt;2,0,11-MOD(SUMPRODUCT(--MID(T176,{1,2,3,4,5,6,7,8,9,10,11,12,13},1),{6,5,4,3,2,9,8,7,6,5,4,3,2}),11))),"OK","ERRO: dígito verificador")))))</f>
      </c>
      <c r="V176" s="6">
        <f>IF(T176="","",IF(COUNTIF($T$2:$T$1001,T176)&gt;1,"DUPLICADO","OK"))</f>
      </c>
      <c r="W176" s="6">
        <f>IF(M176="","vazio",IF(OR(AND(LEN(SUBSTITUTE(SUBSTITUTE(SUBSTITUTE(SUBSTITUTE(SUBSTITUTE(SUBSTITUTE(SUBSTITUTE(TRIM(M176),".",""),"/",""),"-","")," ",""),"(",""),")",""),"+",""))=10,LEFT(SUBSTITUTE(SUBSTITUTE(SUBSTITUTE(SUBSTITUTE(SUBSTITUTE(SUBSTITUTE(SUBSTITUTE(TRIM(M176),".",""),"/",""),"-","")," ",""),"(",""),")",""),"+",""),1)&lt;&gt;"0"),AND(LEN(SUBSTITUTE(SUBSTITUTE(SUBSTITUTE(SUBSTITUTE(SUBSTITUTE(SUBSTITUTE(SUBSTITUTE(TRIM(M176),".",""),"/",""),"-","")," ",""),"(",""),")",""),"+",""))=11,LEFT(SUBSTITUTE(SUBSTITUTE(SUBSTITUTE(SUBSTITUTE(SUBSTITUTE(SUBSTITUTE(SUBSTITUTE(TRIM(M176),".",""),"/",""),"-","")," ",""),"(",""),")",""),"+",""),4)="0800")),"OK",IF(AND(LEN(SUBSTITUTE(SUBSTITUTE(SUBSTITUTE(SUBSTITUTE(SUBSTITUTE(SUBSTITUTE(SUBSTITUTE(TRIM(M176),".",""),"/",""),"-","")," ",""),"(",""),")",""),"+",""))=11,MID(SUBSTITUTE(SUBSTITUTE(SUBSTITUTE(SUBSTITUTE(SUBSTITUTE(SUBSTITUTE(SUBSTITUTE(TRIM(M176),".",""),"/",""),"-","")," ",""),"(",""),")",""),"+",""),3,1)="9"),"ERRO: é celular, use a coluna Celular","ERRO: DDD + 8 dígitos ou 0800 + 7")))</f>
      </c>
      <c r="X176" s="6">
        <f>IF(N176="","vazio",IF(AND(LEN(SUBSTITUTE(SUBSTITUTE(SUBSTITUTE(SUBSTITUTE(SUBSTITUTE(SUBSTITUTE(SUBSTITUTE(TRIM(N176),".",""),"/",""),"-","")," ",""),"(",""),")",""),"+",""))=11,MID(SUBSTITUTE(SUBSTITUTE(SUBSTITUTE(SUBSTITUTE(SUBSTITUTE(SUBSTITUTE(SUBSTITUTE(TRIM(N176),".",""),"/",""),"-","")," ",""),"(",""),")",""),"+",""),3,1)="9",LEFT(SUBSTITUTE(SUBSTITUTE(SUBSTITUTE(SUBSTITUTE(SUBSTITUTE(SUBSTITUTE(SUBSTITUTE(TRIM(N176),".",""),"/",""),"-","")," ",""),"(",""),")",""),"+",""),1)&lt;&gt;"0"),"OK",IF(LEN(SUBSTITUTE(SUBSTITUTE(SUBSTITUTE(SUBSTITUTE(SUBSTITUTE(SUBSTITUTE(SUBSTITUTE(TRIM(N176),".",""),"/",""),"-","")," ",""),"(",""),")",""),"+",""))=10,"ERRO: é fixo (ou falta o 9), use a coluna Telefone fixo","ERRO: DDD + 9 + 8 dígitos")))</f>
      </c>
      <c r="Y176" s="6">
        <f>IF(O176="","vazio",IF(AND(ISNUMBER(FIND("@",O176)),ISNUMBER(FIND(".",MID(O176,FIND("@",O176),99))),NOT(ISNUMBER(FIND(" ",TRIM(O176)))),NOT(ISNUMBER(FIND(";",O176))),NOT(ISNUMBER(FIND(",",O176)))),"OK","ERRO: um e-mail válido por linha"))</f>
      </c>
      <c r="Z176" s="6">
        <f>IF(AND(J176="",K176=""),"",IF(AND(J176&lt;&gt;"",K176&lt;&gt;""),"OK","pendente: só um nome (o GR completa ao converter)"))</f>
      </c>
      <c r="AA176" s="6">
        <f>IF(COUNTA(A176:S176)=0,"",IF(AND(A176&lt;&gt;"",B176&lt;&gt;"",C176&lt;&gt;"",D176&lt;&gt;"",E176&lt;&gt;"",F176&lt;&gt;"",G176&lt;&gt;"",H176&lt;&gt;"",OR(J176&lt;&gt;"",K176&lt;&gt;""),OR(M176&lt;&gt;"",N176&lt;&gt;"",O176&lt;&gt;"")),"OK","ERRO: faltam "&amp;IF(A176="","SDR; ","")&amp;IF(B176="","Proprietário; ","")&amp;IF(C176="","Origem; ","")&amp;IF(D176="","Temperatura; ","")&amp;IF(E176="","Segmento; ","")&amp;IF(F176="","Time/Cluster; ","")&amp;IF(G176="","CNPJ; ","")&amp;IF(H176="","Razão Social; ","")&amp;IF(AND(J176="",K176=""),"nome do contato; ","")&amp;IF(AND(M176="",N176="",O176=""),"telefone, celular ou e-mail; ","")))</f>
      </c>
      <c r="AB176" s="6">
        <f>IF(COUNTA(A176:S176)=0,"",IF(AND(U176="OK",V176="OK",LEFT(W176,4)&lt;&gt;"ERRO",LEFT(X176,4)&lt;&gt;"ERRO",LEFT(Y176,4)&lt;&gt;"ERRO",AA176="OK"),"OK","REVISAR"))</f>
      </c>
    </row>
    <row r="177">
      <c r="A177" s="5"/>
      <c r="B177" s="5"/>
      <c r="C177" s="5"/>
      <c r="D177" s="5"/>
      <c r="E177" s="5"/>
      <c r="F177" s="5"/>
      <c r="G177" s="5"/>
      <c r="H177" s="5"/>
      <c r="I177" s="4"/>
      <c r="J177" s="5"/>
      <c r="K177" s="4"/>
      <c r="L177" s="4"/>
      <c r="M177" s="4"/>
      <c r="N177" s="4"/>
      <c r="O177" s="4"/>
      <c r="P177" s="4"/>
      <c r="Q177" s="4"/>
      <c r="R177" s="4"/>
      <c r="S177" s="4"/>
      <c r="T177" s="6">
        <f>IF(G177="","",SUBSTITUTE(SUBSTITUTE(SUBSTITUTE(SUBSTITUTE(SUBSTITUTE(SUBSTITUTE(SUBSTITUTE(TRIM(G177),".",""),"/",""),"-","")," ",""),"(",""),")",""),"+",""))</f>
      </c>
      <c r="U177" s="6">
        <f>IF(T177="","",IF(LEN(T177)&lt;&gt;14,"ERRO: "&amp;LEN(T177)&amp;" dígitos",IF(NOT(ISNUMBER(VALUE(T177))),"ERRO: não numérico",IF(LEN(SUBSTITUTE(T177,LEFT(T177,1),""))=0,"ERRO: dígitos repetidos",IF(AND(VALUE(MID(T177,13,1))=IF(MOD(SUMPRODUCT(--MID(T177,{1,2,3,4,5,6,7,8,9,10,11,12},1),{5,4,3,2,9,8,7,6,5,4,3,2}),11)&lt;2,0,11-MOD(SUMPRODUCT(--MID(T177,{1,2,3,4,5,6,7,8,9,10,11,12},1),{5,4,3,2,9,8,7,6,5,4,3,2}),11)),VALUE(MID(T177,14,1))=IF(MOD(SUMPRODUCT(--MID(T177,{1,2,3,4,5,6,7,8,9,10,11,12,13},1),{6,5,4,3,2,9,8,7,6,5,4,3,2}),11)&lt;2,0,11-MOD(SUMPRODUCT(--MID(T177,{1,2,3,4,5,6,7,8,9,10,11,12,13},1),{6,5,4,3,2,9,8,7,6,5,4,3,2}),11))),"OK","ERRO: dígito verificador")))))</f>
      </c>
      <c r="V177" s="6">
        <f>IF(T177="","",IF(COUNTIF($T$2:$T$1001,T177)&gt;1,"DUPLICADO","OK"))</f>
      </c>
      <c r="W177" s="6">
        <f>IF(M177="","vazio",IF(OR(AND(LEN(SUBSTITUTE(SUBSTITUTE(SUBSTITUTE(SUBSTITUTE(SUBSTITUTE(SUBSTITUTE(SUBSTITUTE(TRIM(M177),".",""),"/",""),"-","")," ",""),"(",""),")",""),"+",""))=10,LEFT(SUBSTITUTE(SUBSTITUTE(SUBSTITUTE(SUBSTITUTE(SUBSTITUTE(SUBSTITUTE(SUBSTITUTE(TRIM(M177),".",""),"/",""),"-","")," ",""),"(",""),")",""),"+",""),1)&lt;&gt;"0"),AND(LEN(SUBSTITUTE(SUBSTITUTE(SUBSTITUTE(SUBSTITUTE(SUBSTITUTE(SUBSTITUTE(SUBSTITUTE(TRIM(M177),".",""),"/",""),"-","")," ",""),"(",""),")",""),"+",""))=11,LEFT(SUBSTITUTE(SUBSTITUTE(SUBSTITUTE(SUBSTITUTE(SUBSTITUTE(SUBSTITUTE(SUBSTITUTE(TRIM(M177),".",""),"/",""),"-","")," ",""),"(",""),")",""),"+",""),4)="0800")),"OK",IF(AND(LEN(SUBSTITUTE(SUBSTITUTE(SUBSTITUTE(SUBSTITUTE(SUBSTITUTE(SUBSTITUTE(SUBSTITUTE(TRIM(M177),".",""),"/",""),"-","")," ",""),"(",""),")",""),"+",""))=11,MID(SUBSTITUTE(SUBSTITUTE(SUBSTITUTE(SUBSTITUTE(SUBSTITUTE(SUBSTITUTE(SUBSTITUTE(TRIM(M177),".",""),"/",""),"-","")," ",""),"(",""),")",""),"+",""),3,1)="9"),"ERRO: é celular, use a coluna Celular","ERRO: DDD + 8 dígitos ou 0800 + 7")))</f>
      </c>
      <c r="X177" s="6">
        <f>IF(N177="","vazio",IF(AND(LEN(SUBSTITUTE(SUBSTITUTE(SUBSTITUTE(SUBSTITUTE(SUBSTITUTE(SUBSTITUTE(SUBSTITUTE(TRIM(N177),".",""),"/",""),"-","")," ",""),"(",""),")",""),"+",""))=11,MID(SUBSTITUTE(SUBSTITUTE(SUBSTITUTE(SUBSTITUTE(SUBSTITUTE(SUBSTITUTE(SUBSTITUTE(TRIM(N177),".",""),"/",""),"-","")," ",""),"(",""),")",""),"+",""),3,1)="9",LEFT(SUBSTITUTE(SUBSTITUTE(SUBSTITUTE(SUBSTITUTE(SUBSTITUTE(SUBSTITUTE(SUBSTITUTE(TRIM(N177),".",""),"/",""),"-","")," ",""),"(",""),")",""),"+",""),1)&lt;&gt;"0"),"OK",IF(LEN(SUBSTITUTE(SUBSTITUTE(SUBSTITUTE(SUBSTITUTE(SUBSTITUTE(SUBSTITUTE(SUBSTITUTE(TRIM(N177),".",""),"/",""),"-","")," ",""),"(",""),")",""),"+",""))=10,"ERRO: é fixo (ou falta o 9), use a coluna Telefone fixo","ERRO: DDD + 9 + 8 dígitos")))</f>
      </c>
      <c r="Y177" s="6">
        <f>IF(O177="","vazio",IF(AND(ISNUMBER(FIND("@",O177)),ISNUMBER(FIND(".",MID(O177,FIND("@",O177),99))),NOT(ISNUMBER(FIND(" ",TRIM(O177)))),NOT(ISNUMBER(FIND(";",O177))),NOT(ISNUMBER(FIND(",",O177)))),"OK","ERRO: um e-mail válido por linha"))</f>
      </c>
      <c r="Z177" s="6">
        <f>IF(AND(J177="",K177=""),"",IF(AND(J177&lt;&gt;"",K177&lt;&gt;""),"OK","pendente: só um nome (o GR completa ao converter)"))</f>
      </c>
      <c r="AA177" s="6">
        <f>IF(COUNTA(A177:S177)=0,"",IF(AND(A177&lt;&gt;"",B177&lt;&gt;"",C177&lt;&gt;"",D177&lt;&gt;"",E177&lt;&gt;"",F177&lt;&gt;"",G177&lt;&gt;"",H177&lt;&gt;"",OR(J177&lt;&gt;"",K177&lt;&gt;""),OR(M177&lt;&gt;"",N177&lt;&gt;"",O177&lt;&gt;"")),"OK","ERRO: faltam "&amp;IF(A177="","SDR; ","")&amp;IF(B177="","Proprietário; ","")&amp;IF(C177="","Origem; ","")&amp;IF(D177="","Temperatura; ","")&amp;IF(E177="","Segmento; ","")&amp;IF(F177="","Time/Cluster; ","")&amp;IF(G177="","CNPJ; ","")&amp;IF(H177="","Razão Social; ","")&amp;IF(AND(J177="",K177=""),"nome do contato; ","")&amp;IF(AND(M177="",N177="",O177=""),"telefone, celular ou e-mail; ","")))</f>
      </c>
      <c r="AB177" s="6">
        <f>IF(COUNTA(A177:S177)=0,"",IF(AND(U177="OK",V177="OK",LEFT(W177,4)&lt;&gt;"ERRO",LEFT(X177,4)&lt;&gt;"ERRO",LEFT(Y177,4)&lt;&gt;"ERRO",AA177="OK"),"OK","REVISAR"))</f>
      </c>
    </row>
    <row r="178">
      <c r="A178" s="5"/>
      <c r="B178" s="5"/>
      <c r="C178" s="5"/>
      <c r="D178" s="5"/>
      <c r="E178" s="5"/>
      <c r="F178" s="5"/>
      <c r="G178" s="5"/>
      <c r="H178" s="5"/>
      <c r="I178" s="4"/>
      <c r="J178" s="5"/>
      <c r="K178" s="4"/>
      <c r="L178" s="4"/>
      <c r="M178" s="4"/>
      <c r="N178" s="4"/>
      <c r="O178" s="4"/>
      <c r="P178" s="4"/>
      <c r="Q178" s="4"/>
      <c r="R178" s="4"/>
      <c r="S178" s="4"/>
      <c r="T178" s="6">
        <f>IF(G178="","",SUBSTITUTE(SUBSTITUTE(SUBSTITUTE(SUBSTITUTE(SUBSTITUTE(SUBSTITUTE(SUBSTITUTE(TRIM(G178),".",""),"/",""),"-","")," ",""),"(",""),")",""),"+",""))</f>
      </c>
      <c r="U178" s="6">
        <f>IF(T178="","",IF(LEN(T178)&lt;&gt;14,"ERRO: "&amp;LEN(T178)&amp;" dígitos",IF(NOT(ISNUMBER(VALUE(T178))),"ERRO: não numérico",IF(LEN(SUBSTITUTE(T178,LEFT(T178,1),""))=0,"ERRO: dígitos repetidos",IF(AND(VALUE(MID(T178,13,1))=IF(MOD(SUMPRODUCT(--MID(T178,{1,2,3,4,5,6,7,8,9,10,11,12},1),{5,4,3,2,9,8,7,6,5,4,3,2}),11)&lt;2,0,11-MOD(SUMPRODUCT(--MID(T178,{1,2,3,4,5,6,7,8,9,10,11,12},1),{5,4,3,2,9,8,7,6,5,4,3,2}),11)),VALUE(MID(T178,14,1))=IF(MOD(SUMPRODUCT(--MID(T178,{1,2,3,4,5,6,7,8,9,10,11,12,13},1),{6,5,4,3,2,9,8,7,6,5,4,3,2}),11)&lt;2,0,11-MOD(SUMPRODUCT(--MID(T178,{1,2,3,4,5,6,7,8,9,10,11,12,13},1),{6,5,4,3,2,9,8,7,6,5,4,3,2}),11))),"OK","ERRO: dígito verificador")))))</f>
      </c>
      <c r="V178" s="6">
        <f>IF(T178="","",IF(COUNTIF($T$2:$T$1001,T178)&gt;1,"DUPLICADO","OK"))</f>
      </c>
      <c r="W178" s="6">
        <f>IF(M178="","vazio",IF(OR(AND(LEN(SUBSTITUTE(SUBSTITUTE(SUBSTITUTE(SUBSTITUTE(SUBSTITUTE(SUBSTITUTE(SUBSTITUTE(TRIM(M178),".",""),"/",""),"-","")," ",""),"(",""),")",""),"+",""))=10,LEFT(SUBSTITUTE(SUBSTITUTE(SUBSTITUTE(SUBSTITUTE(SUBSTITUTE(SUBSTITUTE(SUBSTITUTE(TRIM(M178),".",""),"/",""),"-","")," ",""),"(",""),")",""),"+",""),1)&lt;&gt;"0"),AND(LEN(SUBSTITUTE(SUBSTITUTE(SUBSTITUTE(SUBSTITUTE(SUBSTITUTE(SUBSTITUTE(SUBSTITUTE(TRIM(M178),".",""),"/",""),"-","")," ",""),"(",""),")",""),"+",""))=11,LEFT(SUBSTITUTE(SUBSTITUTE(SUBSTITUTE(SUBSTITUTE(SUBSTITUTE(SUBSTITUTE(SUBSTITUTE(TRIM(M178),".",""),"/",""),"-","")," ",""),"(",""),")",""),"+",""),4)="0800")),"OK",IF(AND(LEN(SUBSTITUTE(SUBSTITUTE(SUBSTITUTE(SUBSTITUTE(SUBSTITUTE(SUBSTITUTE(SUBSTITUTE(TRIM(M178),".",""),"/",""),"-","")," ",""),"(",""),")",""),"+",""))=11,MID(SUBSTITUTE(SUBSTITUTE(SUBSTITUTE(SUBSTITUTE(SUBSTITUTE(SUBSTITUTE(SUBSTITUTE(TRIM(M178),".",""),"/",""),"-","")," ",""),"(",""),")",""),"+",""),3,1)="9"),"ERRO: é celular, use a coluna Celular","ERRO: DDD + 8 dígitos ou 0800 + 7")))</f>
      </c>
      <c r="X178" s="6">
        <f>IF(N178="","vazio",IF(AND(LEN(SUBSTITUTE(SUBSTITUTE(SUBSTITUTE(SUBSTITUTE(SUBSTITUTE(SUBSTITUTE(SUBSTITUTE(TRIM(N178),".",""),"/",""),"-","")," ",""),"(",""),")",""),"+",""))=11,MID(SUBSTITUTE(SUBSTITUTE(SUBSTITUTE(SUBSTITUTE(SUBSTITUTE(SUBSTITUTE(SUBSTITUTE(TRIM(N178),".",""),"/",""),"-","")," ",""),"(",""),")",""),"+",""),3,1)="9",LEFT(SUBSTITUTE(SUBSTITUTE(SUBSTITUTE(SUBSTITUTE(SUBSTITUTE(SUBSTITUTE(SUBSTITUTE(TRIM(N178),".",""),"/",""),"-","")," ",""),"(",""),")",""),"+",""),1)&lt;&gt;"0"),"OK",IF(LEN(SUBSTITUTE(SUBSTITUTE(SUBSTITUTE(SUBSTITUTE(SUBSTITUTE(SUBSTITUTE(SUBSTITUTE(TRIM(N178),".",""),"/",""),"-","")," ",""),"(",""),")",""),"+",""))=10,"ERRO: é fixo (ou falta o 9), use a coluna Telefone fixo","ERRO: DDD + 9 + 8 dígitos")))</f>
      </c>
      <c r="Y178" s="6">
        <f>IF(O178="","vazio",IF(AND(ISNUMBER(FIND("@",O178)),ISNUMBER(FIND(".",MID(O178,FIND("@",O178),99))),NOT(ISNUMBER(FIND(" ",TRIM(O178)))),NOT(ISNUMBER(FIND(";",O178))),NOT(ISNUMBER(FIND(",",O178)))),"OK","ERRO: um e-mail válido por linha"))</f>
      </c>
      <c r="Z178" s="6">
        <f>IF(AND(J178="",K178=""),"",IF(AND(J178&lt;&gt;"",K178&lt;&gt;""),"OK","pendente: só um nome (o GR completa ao converter)"))</f>
      </c>
      <c r="AA178" s="6">
        <f>IF(COUNTA(A178:S178)=0,"",IF(AND(A178&lt;&gt;"",B178&lt;&gt;"",C178&lt;&gt;"",D178&lt;&gt;"",E178&lt;&gt;"",F178&lt;&gt;"",G178&lt;&gt;"",H178&lt;&gt;"",OR(J178&lt;&gt;"",K178&lt;&gt;""),OR(M178&lt;&gt;"",N178&lt;&gt;"",O178&lt;&gt;"")),"OK","ERRO: faltam "&amp;IF(A178="","SDR; ","")&amp;IF(B178="","Proprietário; ","")&amp;IF(C178="","Origem; ","")&amp;IF(D178="","Temperatura; ","")&amp;IF(E178="","Segmento; ","")&amp;IF(F178="","Time/Cluster; ","")&amp;IF(G178="","CNPJ; ","")&amp;IF(H178="","Razão Social; ","")&amp;IF(AND(J178="",K178=""),"nome do contato; ","")&amp;IF(AND(M178="",N178="",O178=""),"telefone, celular ou e-mail; ","")))</f>
      </c>
      <c r="AB178" s="6">
        <f>IF(COUNTA(A178:S178)=0,"",IF(AND(U178="OK",V178="OK",LEFT(W178,4)&lt;&gt;"ERRO",LEFT(X178,4)&lt;&gt;"ERRO",LEFT(Y178,4)&lt;&gt;"ERRO",AA178="OK"),"OK","REVISAR"))</f>
      </c>
    </row>
    <row r="179">
      <c r="A179" s="5"/>
      <c r="B179" s="5"/>
      <c r="C179" s="5"/>
      <c r="D179" s="5"/>
      <c r="E179" s="5"/>
      <c r="F179" s="5"/>
      <c r="G179" s="5"/>
      <c r="H179" s="5"/>
      <c r="I179" s="4"/>
      <c r="J179" s="5"/>
      <c r="K179" s="4"/>
      <c r="L179" s="4"/>
      <c r="M179" s="4"/>
      <c r="N179" s="4"/>
      <c r="O179" s="4"/>
      <c r="P179" s="4"/>
      <c r="Q179" s="4"/>
      <c r="R179" s="4"/>
      <c r="S179" s="4"/>
      <c r="T179" s="6">
        <f>IF(G179="","",SUBSTITUTE(SUBSTITUTE(SUBSTITUTE(SUBSTITUTE(SUBSTITUTE(SUBSTITUTE(SUBSTITUTE(TRIM(G179),".",""),"/",""),"-","")," ",""),"(",""),")",""),"+",""))</f>
      </c>
      <c r="U179" s="6">
        <f>IF(T179="","",IF(LEN(T179)&lt;&gt;14,"ERRO: "&amp;LEN(T179)&amp;" dígitos",IF(NOT(ISNUMBER(VALUE(T179))),"ERRO: não numérico",IF(LEN(SUBSTITUTE(T179,LEFT(T179,1),""))=0,"ERRO: dígitos repetidos",IF(AND(VALUE(MID(T179,13,1))=IF(MOD(SUMPRODUCT(--MID(T179,{1,2,3,4,5,6,7,8,9,10,11,12},1),{5,4,3,2,9,8,7,6,5,4,3,2}),11)&lt;2,0,11-MOD(SUMPRODUCT(--MID(T179,{1,2,3,4,5,6,7,8,9,10,11,12},1),{5,4,3,2,9,8,7,6,5,4,3,2}),11)),VALUE(MID(T179,14,1))=IF(MOD(SUMPRODUCT(--MID(T179,{1,2,3,4,5,6,7,8,9,10,11,12,13},1),{6,5,4,3,2,9,8,7,6,5,4,3,2}),11)&lt;2,0,11-MOD(SUMPRODUCT(--MID(T179,{1,2,3,4,5,6,7,8,9,10,11,12,13},1),{6,5,4,3,2,9,8,7,6,5,4,3,2}),11))),"OK","ERRO: dígito verificador")))))</f>
      </c>
      <c r="V179" s="6">
        <f>IF(T179="","",IF(COUNTIF($T$2:$T$1001,T179)&gt;1,"DUPLICADO","OK"))</f>
      </c>
      <c r="W179" s="6">
        <f>IF(M179="","vazio",IF(OR(AND(LEN(SUBSTITUTE(SUBSTITUTE(SUBSTITUTE(SUBSTITUTE(SUBSTITUTE(SUBSTITUTE(SUBSTITUTE(TRIM(M179),".",""),"/",""),"-","")," ",""),"(",""),")",""),"+",""))=10,LEFT(SUBSTITUTE(SUBSTITUTE(SUBSTITUTE(SUBSTITUTE(SUBSTITUTE(SUBSTITUTE(SUBSTITUTE(TRIM(M179),".",""),"/",""),"-","")," ",""),"(",""),")",""),"+",""),1)&lt;&gt;"0"),AND(LEN(SUBSTITUTE(SUBSTITUTE(SUBSTITUTE(SUBSTITUTE(SUBSTITUTE(SUBSTITUTE(SUBSTITUTE(TRIM(M179),".",""),"/",""),"-","")," ",""),"(",""),")",""),"+",""))=11,LEFT(SUBSTITUTE(SUBSTITUTE(SUBSTITUTE(SUBSTITUTE(SUBSTITUTE(SUBSTITUTE(SUBSTITUTE(TRIM(M179),".",""),"/",""),"-","")," ",""),"(",""),")",""),"+",""),4)="0800")),"OK",IF(AND(LEN(SUBSTITUTE(SUBSTITUTE(SUBSTITUTE(SUBSTITUTE(SUBSTITUTE(SUBSTITUTE(SUBSTITUTE(TRIM(M179),".",""),"/",""),"-","")," ",""),"(",""),")",""),"+",""))=11,MID(SUBSTITUTE(SUBSTITUTE(SUBSTITUTE(SUBSTITUTE(SUBSTITUTE(SUBSTITUTE(SUBSTITUTE(TRIM(M179),".",""),"/",""),"-","")," ",""),"(",""),")",""),"+",""),3,1)="9"),"ERRO: é celular, use a coluna Celular","ERRO: DDD + 8 dígitos ou 0800 + 7")))</f>
      </c>
      <c r="X179" s="6">
        <f>IF(N179="","vazio",IF(AND(LEN(SUBSTITUTE(SUBSTITUTE(SUBSTITUTE(SUBSTITUTE(SUBSTITUTE(SUBSTITUTE(SUBSTITUTE(TRIM(N179),".",""),"/",""),"-","")," ",""),"(",""),")",""),"+",""))=11,MID(SUBSTITUTE(SUBSTITUTE(SUBSTITUTE(SUBSTITUTE(SUBSTITUTE(SUBSTITUTE(SUBSTITUTE(TRIM(N179),".",""),"/",""),"-","")," ",""),"(",""),")",""),"+",""),3,1)="9",LEFT(SUBSTITUTE(SUBSTITUTE(SUBSTITUTE(SUBSTITUTE(SUBSTITUTE(SUBSTITUTE(SUBSTITUTE(TRIM(N179),".",""),"/",""),"-","")," ",""),"(",""),")",""),"+",""),1)&lt;&gt;"0"),"OK",IF(LEN(SUBSTITUTE(SUBSTITUTE(SUBSTITUTE(SUBSTITUTE(SUBSTITUTE(SUBSTITUTE(SUBSTITUTE(TRIM(N179),".",""),"/",""),"-","")," ",""),"(",""),")",""),"+",""))=10,"ERRO: é fixo (ou falta o 9), use a coluna Telefone fixo","ERRO: DDD + 9 + 8 dígitos")))</f>
      </c>
      <c r="Y179" s="6">
        <f>IF(O179="","vazio",IF(AND(ISNUMBER(FIND("@",O179)),ISNUMBER(FIND(".",MID(O179,FIND("@",O179),99))),NOT(ISNUMBER(FIND(" ",TRIM(O179)))),NOT(ISNUMBER(FIND(";",O179))),NOT(ISNUMBER(FIND(",",O179)))),"OK","ERRO: um e-mail válido por linha"))</f>
      </c>
      <c r="Z179" s="6">
        <f>IF(AND(J179="",K179=""),"",IF(AND(J179&lt;&gt;"",K179&lt;&gt;""),"OK","pendente: só um nome (o GR completa ao converter)"))</f>
      </c>
      <c r="AA179" s="6">
        <f>IF(COUNTA(A179:S179)=0,"",IF(AND(A179&lt;&gt;"",B179&lt;&gt;"",C179&lt;&gt;"",D179&lt;&gt;"",E179&lt;&gt;"",F179&lt;&gt;"",G179&lt;&gt;"",H179&lt;&gt;"",OR(J179&lt;&gt;"",K179&lt;&gt;""),OR(M179&lt;&gt;"",N179&lt;&gt;"",O179&lt;&gt;"")),"OK","ERRO: faltam "&amp;IF(A179="","SDR; ","")&amp;IF(B179="","Proprietário; ","")&amp;IF(C179="","Origem; ","")&amp;IF(D179="","Temperatura; ","")&amp;IF(E179="","Segmento; ","")&amp;IF(F179="","Time/Cluster; ","")&amp;IF(G179="","CNPJ; ","")&amp;IF(H179="","Razão Social; ","")&amp;IF(AND(J179="",K179=""),"nome do contato; ","")&amp;IF(AND(M179="",N179="",O179=""),"telefone, celular ou e-mail; ","")))</f>
      </c>
      <c r="AB179" s="6">
        <f>IF(COUNTA(A179:S179)=0,"",IF(AND(U179="OK",V179="OK",LEFT(W179,4)&lt;&gt;"ERRO",LEFT(X179,4)&lt;&gt;"ERRO",LEFT(Y179,4)&lt;&gt;"ERRO",AA179="OK"),"OK","REVISAR"))</f>
      </c>
    </row>
    <row r="180">
      <c r="A180" s="5"/>
      <c r="B180" s="5"/>
      <c r="C180" s="5"/>
      <c r="D180" s="5"/>
      <c r="E180" s="5"/>
      <c r="F180" s="5"/>
      <c r="G180" s="5"/>
      <c r="H180" s="5"/>
      <c r="I180" s="4"/>
      <c r="J180" s="5"/>
      <c r="K180" s="4"/>
      <c r="L180" s="4"/>
      <c r="M180" s="4"/>
      <c r="N180" s="4"/>
      <c r="O180" s="4"/>
      <c r="P180" s="4"/>
      <c r="Q180" s="4"/>
      <c r="R180" s="4"/>
      <c r="S180" s="4"/>
      <c r="T180" s="6">
        <f>IF(G180="","",SUBSTITUTE(SUBSTITUTE(SUBSTITUTE(SUBSTITUTE(SUBSTITUTE(SUBSTITUTE(SUBSTITUTE(TRIM(G180),".",""),"/",""),"-","")," ",""),"(",""),")",""),"+",""))</f>
      </c>
      <c r="U180" s="6">
        <f>IF(T180="","",IF(LEN(T180)&lt;&gt;14,"ERRO: "&amp;LEN(T180)&amp;" dígitos",IF(NOT(ISNUMBER(VALUE(T180))),"ERRO: não numérico",IF(LEN(SUBSTITUTE(T180,LEFT(T180,1),""))=0,"ERRO: dígitos repetidos",IF(AND(VALUE(MID(T180,13,1))=IF(MOD(SUMPRODUCT(--MID(T180,{1,2,3,4,5,6,7,8,9,10,11,12},1),{5,4,3,2,9,8,7,6,5,4,3,2}),11)&lt;2,0,11-MOD(SUMPRODUCT(--MID(T180,{1,2,3,4,5,6,7,8,9,10,11,12},1),{5,4,3,2,9,8,7,6,5,4,3,2}),11)),VALUE(MID(T180,14,1))=IF(MOD(SUMPRODUCT(--MID(T180,{1,2,3,4,5,6,7,8,9,10,11,12,13},1),{6,5,4,3,2,9,8,7,6,5,4,3,2}),11)&lt;2,0,11-MOD(SUMPRODUCT(--MID(T180,{1,2,3,4,5,6,7,8,9,10,11,12,13},1),{6,5,4,3,2,9,8,7,6,5,4,3,2}),11))),"OK","ERRO: dígito verificador")))))</f>
      </c>
      <c r="V180" s="6">
        <f>IF(T180="","",IF(COUNTIF($T$2:$T$1001,T180)&gt;1,"DUPLICADO","OK"))</f>
      </c>
      <c r="W180" s="6">
        <f>IF(M180="","vazio",IF(OR(AND(LEN(SUBSTITUTE(SUBSTITUTE(SUBSTITUTE(SUBSTITUTE(SUBSTITUTE(SUBSTITUTE(SUBSTITUTE(TRIM(M180),".",""),"/",""),"-","")," ",""),"(",""),")",""),"+",""))=10,LEFT(SUBSTITUTE(SUBSTITUTE(SUBSTITUTE(SUBSTITUTE(SUBSTITUTE(SUBSTITUTE(SUBSTITUTE(TRIM(M180),".",""),"/",""),"-","")," ",""),"(",""),")",""),"+",""),1)&lt;&gt;"0"),AND(LEN(SUBSTITUTE(SUBSTITUTE(SUBSTITUTE(SUBSTITUTE(SUBSTITUTE(SUBSTITUTE(SUBSTITUTE(TRIM(M180),".",""),"/",""),"-","")," ",""),"(",""),")",""),"+",""))=11,LEFT(SUBSTITUTE(SUBSTITUTE(SUBSTITUTE(SUBSTITUTE(SUBSTITUTE(SUBSTITUTE(SUBSTITUTE(TRIM(M180),".",""),"/",""),"-","")," ",""),"(",""),")",""),"+",""),4)="0800")),"OK",IF(AND(LEN(SUBSTITUTE(SUBSTITUTE(SUBSTITUTE(SUBSTITUTE(SUBSTITUTE(SUBSTITUTE(SUBSTITUTE(TRIM(M180),".",""),"/",""),"-","")," ",""),"(",""),")",""),"+",""))=11,MID(SUBSTITUTE(SUBSTITUTE(SUBSTITUTE(SUBSTITUTE(SUBSTITUTE(SUBSTITUTE(SUBSTITUTE(TRIM(M180),".",""),"/",""),"-","")," ",""),"(",""),")",""),"+",""),3,1)="9"),"ERRO: é celular, use a coluna Celular","ERRO: DDD + 8 dígitos ou 0800 + 7")))</f>
      </c>
      <c r="X180" s="6">
        <f>IF(N180="","vazio",IF(AND(LEN(SUBSTITUTE(SUBSTITUTE(SUBSTITUTE(SUBSTITUTE(SUBSTITUTE(SUBSTITUTE(SUBSTITUTE(TRIM(N180),".",""),"/",""),"-","")," ",""),"(",""),")",""),"+",""))=11,MID(SUBSTITUTE(SUBSTITUTE(SUBSTITUTE(SUBSTITUTE(SUBSTITUTE(SUBSTITUTE(SUBSTITUTE(TRIM(N180),".",""),"/",""),"-","")," ",""),"(",""),")",""),"+",""),3,1)="9",LEFT(SUBSTITUTE(SUBSTITUTE(SUBSTITUTE(SUBSTITUTE(SUBSTITUTE(SUBSTITUTE(SUBSTITUTE(TRIM(N180),".",""),"/",""),"-","")," ",""),"(",""),")",""),"+",""),1)&lt;&gt;"0"),"OK",IF(LEN(SUBSTITUTE(SUBSTITUTE(SUBSTITUTE(SUBSTITUTE(SUBSTITUTE(SUBSTITUTE(SUBSTITUTE(TRIM(N180),".",""),"/",""),"-","")," ",""),"(",""),")",""),"+",""))=10,"ERRO: é fixo (ou falta o 9), use a coluna Telefone fixo","ERRO: DDD + 9 + 8 dígitos")))</f>
      </c>
      <c r="Y180" s="6">
        <f>IF(O180="","vazio",IF(AND(ISNUMBER(FIND("@",O180)),ISNUMBER(FIND(".",MID(O180,FIND("@",O180),99))),NOT(ISNUMBER(FIND(" ",TRIM(O180)))),NOT(ISNUMBER(FIND(";",O180))),NOT(ISNUMBER(FIND(",",O180)))),"OK","ERRO: um e-mail válido por linha"))</f>
      </c>
      <c r="Z180" s="6">
        <f>IF(AND(J180="",K180=""),"",IF(AND(J180&lt;&gt;"",K180&lt;&gt;""),"OK","pendente: só um nome (o GR completa ao converter)"))</f>
      </c>
      <c r="AA180" s="6">
        <f>IF(COUNTA(A180:S180)=0,"",IF(AND(A180&lt;&gt;"",B180&lt;&gt;"",C180&lt;&gt;"",D180&lt;&gt;"",E180&lt;&gt;"",F180&lt;&gt;"",G180&lt;&gt;"",H180&lt;&gt;"",OR(J180&lt;&gt;"",K180&lt;&gt;""),OR(M180&lt;&gt;"",N180&lt;&gt;"",O180&lt;&gt;"")),"OK","ERRO: faltam "&amp;IF(A180="","SDR; ","")&amp;IF(B180="","Proprietário; ","")&amp;IF(C180="","Origem; ","")&amp;IF(D180="","Temperatura; ","")&amp;IF(E180="","Segmento; ","")&amp;IF(F180="","Time/Cluster; ","")&amp;IF(G180="","CNPJ; ","")&amp;IF(H180="","Razão Social; ","")&amp;IF(AND(J180="",K180=""),"nome do contato; ","")&amp;IF(AND(M180="",N180="",O180=""),"telefone, celular ou e-mail; ","")))</f>
      </c>
      <c r="AB180" s="6">
        <f>IF(COUNTA(A180:S180)=0,"",IF(AND(U180="OK",V180="OK",LEFT(W180,4)&lt;&gt;"ERRO",LEFT(X180,4)&lt;&gt;"ERRO",LEFT(Y180,4)&lt;&gt;"ERRO",AA180="OK"),"OK","REVISAR"))</f>
      </c>
    </row>
    <row r="181">
      <c r="A181" s="5"/>
      <c r="B181" s="5"/>
      <c r="C181" s="5"/>
      <c r="D181" s="5"/>
      <c r="E181" s="5"/>
      <c r="F181" s="5"/>
      <c r="G181" s="5"/>
      <c r="H181" s="5"/>
      <c r="I181" s="4"/>
      <c r="J181" s="5"/>
      <c r="K181" s="4"/>
      <c r="L181" s="4"/>
      <c r="M181" s="4"/>
      <c r="N181" s="4"/>
      <c r="O181" s="4"/>
      <c r="P181" s="4"/>
      <c r="Q181" s="4"/>
      <c r="R181" s="4"/>
      <c r="S181" s="4"/>
      <c r="T181" s="6">
        <f>IF(G181="","",SUBSTITUTE(SUBSTITUTE(SUBSTITUTE(SUBSTITUTE(SUBSTITUTE(SUBSTITUTE(SUBSTITUTE(TRIM(G181),".",""),"/",""),"-","")," ",""),"(",""),")",""),"+",""))</f>
      </c>
      <c r="U181" s="6">
        <f>IF(T181="","",IF(LEN(T181)&lt;&gt;14,"ERRO: "&amp;LEN(T181)&amp;" dígitos",IF(NOT(ISNUMBER(VALUE(T181))),"ERRO: não numérico",IF(LEN(SUBSTITUTE(T181,LEFT(T181,1),""))=0,"ERRO: dígitos repetidos",IF(AND(VALUE(MID(T181,13,1))=IF(MOD(SUMPRODUCT(--MID(T181,{1,2,3,4,5,6,7,8,9,10,11,12},1),{5,4,3,2,9,8,7,6,5,4,3,2}),11)&lt;2,0,11-MOD(SUMPRODUCT(--MID(T181,{1,2,3,4,5,6,7,8,9,10,11,12},1),{5,4,3,2,9,8,7,6,5,4,3,2}),11)),VALUE(MID(T181,14,1))=IF(MOD(SUMPRODUCT(--MID(T181,{1,2,3,4,5,6,7,8,9,10,11,12,13},1),{6,5,4,3,2,9,8,7,6,5,4,3,2}),11)&lt;2,0,11-MOD(SUMPRODUCT(--MID(T181,{1,2,3,4,5,6,7,8,9,10,11,12,13},1),{6,5,4,3,2,9,8,7,6,5,4,3,2}),11))),"OK","ERRO: dígito verificador")))))</f>
      </c>
      <c r="V181" s="6">
        <f>IF(T181="","",IF(COUNTIF($T$2:$T$1001,T181)&gt;1,"DUPLICADO","OK"))</f>
      </c>
      <c r="W181" s="6">
        <f>IF(M181="","vazio",IF(OR(AND(LEN(SUBSTITUTE(SUBSTITUTE(SUBSTITUTE(SUBSTITUTE(SUBSTITUTE(SUBSTITUTE(SUBSTITUTE(TRIM(M181),".",""),"/",""),"-","")," ",""),"(",""),")",""),"+",""))=10,LEFT(SUBSTITUTE(SUBSTITUTE(SUBSTITUTE(SUBSTITUTE(SUBSTITUTE(SUBSTITUTE(SUBSTITUTE(TRIM(M181),".",""),"/",""),"-","")," ",""),"(",""),")",""),"+",""),1)&lt;&gt;"0"),AND(LEN(SUBSTITUTE(SUBSTITUTE(SUBSTITUTE(SUBSTITUTE(SUBSTITUTE(SUBSTITUTE(SUBSTITUTE(TRIM(M181),".",""),"/",""),"-","")," ",""),"(",""),")",""),"+",""))=11,LEFT(SUBSTITUTE(SUBSTITUTE(SUBSTITUTE(SUBSTITUTE(SUBSTITUTE(SUBSTITUTE(SUBSTITUTE(TRIM(M181),".",""),"/",""),"-","")," ",""),"(",""),")",""),"+",""),4)="0800")),"OK",IF(AND(LEN(SUBSTITUTE(SUBSTITUTE(SUBSTITUTE(SUBSTITUTE(SUBSTITUTE(SUBSTITUTE(SUBSTITUTE(TRIM(M181),".",""),"/",""),"-","")," ",""),"(",""),")",""),"+",""))=11,MID(SUBSTITUTE(SUBSTITUTE(SUBSTITUTE(SUBSTITUTE(SUBSTITUTE(SUBSTITUTE(SUBSTITUTE(TRIM(M181),".",""),"/",""),"-","")," ",""),"(",""),")",""),"+",""),3,1)="9"),"ERRO: é celular, use a coluna Celular","ERRO: DDD + 8 dígitos ou 0800 + 7")))</f>
      </c>
      <c r="X181" s="6">
        <f>IF(N181="","vazio",IF(AND(LEN(SUBSTITUTE(SUBSTITUTE(SUBSTITUTE(SUBSTITUTE(SUBSTITUTE(SUBSTITUTE(SUBSTITUTE(TRIM(N181),".",""),"/",""),"-","")," ",""),"(",""),")",""),"+",""))=11,MID(SUBSTITUTE(SUBSTITUTE(SUBSTITUTE(SUBSTITUTE(SUBSTITUTE(SUBSTITUTE(SUBSTITUTE(TRIM(N181),".",""),"/",""),"-","")," ",""),"(",""),")",""),"+",""),3,1)="9",LEFT(SUBSTITUTE(SUBSTITUTE(SUBSTITUTE(SUBSTITUTE(SUBSTITUTE(SUBSTITUTE(SUBSTITUTE(TRIM(N181),".",""),"/",""),"-","")," ",""),"(",""),")",""),"+",""),1)&lt;&gt;"0"),"OK",IF(LEN(SUBSTITUTE(SUBSTITUTE(SUBSTITUTE(SUBSTITUTE(SUBSTITUTE(SUBSTITUTE(SUBSTITUTE(TRIM(N181),".",""),"/",""),"-","")," ",""),"(",""),")",""),"+",""))=10,"ERRO: é fixo (ou falta o 9), use a coluna Telefone fixo","ERRO: DDD + 9 + 8 dígitos")))</f>
      </c>
      <c r="Y181" s="6">
        <f>IF(O181="","vazio",IF(AND(ISNUMBER(FIND("@",O181)),ISNUMBER(FIND(".",MID(O181,FIND("@",O181),99))),NOT(ISNUMBER(FIND(" ",TRIM(O181)))),NOT(ISNUMBER(FIND(";",O181))),NOT(ISNUMBER(FIND(",",O181)))),"OK","ERRO: um e-mail válido por linha"))</f>
      </c>
      <c r="Z181" s="6">
        <f>IF(AND(J181="",K181=""),"",IF(AND(J181&lt;&gt;"",K181&lt;&gt;""),"OK","pendente: só um nome (o GR completa ao converter)"))</f>
      </c>
      <c r="AA181" s="6">
        <f>IF(COUNTA(A181:S181)=0,"",IF(AND(A181&lt;&gt;"",B181&lt;&gt;"",C181&lt;&gt;"",D181&lt;&gt;"",E181&lt;&gt;"",F181&lt;&gt;"",G181&lt;&gt;"",H181&lt;&gt;"",OR(J181&lt;&gt;"",K181&lt;&gt;""),OR(M181&lt;&gt;"",N181&lt;&gt;"",O181&lt;&gt;"")),"OK","ERRO: faltam "&amp;IF(A181="","SDR; ","")&amp;IF(B181="","Proprietário; ","")&amp;IF(C181="","Origem; ","")&amp;IF(D181="","Temperatura; ","")&amp;IF(E181="","Segmento; ","")&amp;IF(F181="","Time/Cluster; ","")&amp;IF(G181="","CNPJ; ","")&amp;IF(H181="","Razão Social; ","")&amp;IF(AND(J181="",K181=""),"nome do contato; ","")&amp;IF(AND(M181="",N181="",O181=""),"telefone, celular ou e-mail; ","")))</f>
      </c>
      <c r="AB181" s="6">
        <f>IF(COUNTA(A181:S181)=0,"",IF(AND(U181="OK",V181="OK",LEFT(W181,4)&lt;&gt;"ERRO",LEFT(X181,4)&lt;&gt;"ERRO",LEFT(Y181,4)&lt;&gt;"ERRO",AA181="OK"),"OK","REVISAR"))</f>
      </c>
    </row>
    <row r="182">
      <c r="A182" s="5"/>
      <c r="B182" s="5"/>
      <c r="C182" s="5"/>
      <c r="D182" s="5"/>
      <c r="E182" s="5"/>
      <c r="F182" s="5"/>
      <c r="G182" s="5"/>
      <c r="H182" s="5"/>
      <c r="I182" s="4"/>
      <c r="J182" s="5"/>
      <c r="K182" s="4"/>
      <c r="L182" s="4"/>
      <c r="M182" s="4"/>
      <c r="N182" s="4"/>
      <c r="O182" s="4"/>
      <c r="P182" s="4"/>
      <c r="Q182" s="4"/>
      <c r="R182" s="4"/>
      <c r="S182" s="4"/>
      <c r="T182" s="6">
        <f>IF(G182="","",SUBSTITUTE(SUBSTITUTE(SUBSTITUTE(SUBSTITUTE(SUBSTITUTE(SUBSTITUTE(SUBSTITUTE(TRIM(G182),".",""),"/",""),"-","")," ",""),"(",""),")",""),"+",""))</f>
      </c>
      <c r="U182" s="6">
        <f>IF(T182="","",IF(LEN(T182)&lt;&gt;14,"ERRO: "&amp;LEN(T182)&amp;" dígitos",IF(NOT(ISNUMBER(VALUE(T182))),"ERRO: não numérico",IF(LEN(SUBSTITUTE(T182,LEFT(T182,1),""))=0,"ERRO: dígitos repetidos",IF(AND(VALUE(MID(T182,13,1))=IF(MOD(SUMPRODUCT(--MID(T182,{1,2,3,4,5,6,7,8,9,10,11,12},1),{5,4,3,2,9,8,7,6,5,4,3,2}),11)&lt;2,0,11-MOD(SUMPRODUCT(--MID(T182,{1,2,3,4,5,6,7,8,9,10,11,12},1),{5,4,3,2,9,8,7,6,5,4,3,2}),11)),VALUE(MID(T182,14,1))=IF(MOD(SUMPRODUCT(--MID(T182,{1,2,3,4,5,6,7,8,9,10,11,12,13},1),{6,5,4,3,2,9,8,7,6,5,4,3,2}),11)&lt;2,0,11-MOD(SUMPRODUCT(--MID(T182,{1,2,3,4,5,6,7,8,9,10,11,12,13},1),{6,5,4,3,2,9,8,7,6,5,4,3,2}),11))),"OK","ERRO: dígito verificador")))))</f>
      </c>
      <c r="V182" s="6">
        <f>IF(T182="","",IF(COUNTIF($T$2:$T$1001,T182)&gt;1,"DUPLICADO","OK"))</f>
      </c>
      <c r="W182" s="6">
        <f>IF(M182="","vazio",IF(OR(AND(LEN(SUBSTITUTE(SUBSTITUTE(SUBSTITUTE(SUBSTITUTE(SUBSTITUTE(SUBSTITUTE(SUBSTITUTE(TRIM(M182),".",""),"/",""),"-","")," ",""),"(",""),")",""),"+",""))=10,LEFT(SUBSTITUTE(SUBSTITUTE(SUBSTITUTE(SUBSTITUTE(SUBSTITUTE(SUBSTITUTE(SUBSTITUTE(TRIM(M182),".",""),"/",""),"-","")," ",""),"(",""),")",""),"+",""),1)&lt;&gt;"0"),AND(LEN(SUBSTITUTE(SUBSTITUTE(SUBSTITUTE(SUBSTITUTE(SUBSTITUTE(SUBSTITUTE(SUBSTITUTE(TRIM(M182),".",""),"/",""),"-","")," ",""),"(",""),")",""),"+",""))=11,LEFT(SUBSTITUTE(SUBSTITUTE(SUBSTITUTE(SUBSTITUTE(SUBSTITUTE(SUBSTITUTE(SUBSTITUTE(TRIM(M182),".",""),"/",""),"-","")," ",""),"(",""),")",""),"+",""),4)="0800")),"OK",IF(AND(LEN(SUBSTITUTE(SUBSTITUTE(SUBSTITUTE(SUBSTITUTE(SUBSTITUTE(SUBSTITUTE(SUBSTITUTE(TRIM(M182),".",""),"/",""),"-","")," ",""),"(",""),")",""),"+",""))=11,MID(SUBSTITUTE(SUBSTITUTE(SUBSTITUTE(SUBSTITUTE(SUBSTITUTE(SUBSTITUTE(SUBSTITUTE(TRIM(M182),".",""),"/",""),"-","")," ",""),"(",""),")",""),"+",""),3,1)="9"),"ERRO: é celular, use a coluna Celular","ERRO: DDD + 8 dígitos ou 0800 + 7")))</f>
      </c>
      <c r="X182" s="6">
        <f>IF(N182="","vazio",IF(AND(LEN(SUBSTITUTE(SUBSTITUTE(SUBSTITUTE(SUBSTITUTE(SUBSTITUTE(SUBSTITUTE(SUBSTITUTE(TRIM(N182),".",""),"/",""),"-","")," ",""),"(",""),")",""),"+",""))=11,MID(SUBSTITUTE(SUBSTITUTE(SUBSTITUTE(SUBSTITUTE(SUBSTITUTE(SUBSTITUTE(SUBSTITUTE(TRIM(N182),".",""),"/",""),"-","")," ",""),"(",""),")",""),"+",""),3,1)="9",LEFT(SUBSTITUTE(SUBSTITUTE(SUBSTITUTE(SUBSTITUTE(SUBSTITUTE(SUBSTITUTE(SUBSTITUTE(TRIM(N182),".",""),"/",""),"-","")," ",""),"(",""),")",""),"+",""),1)&lt;&gt;"0"),"OK",IF(LEN(SUBSTITUTE(SUBSTITUTE(SUBSTITUTE(SUBSTITUTE(SUBSTITUTE(SUBSTITUTE(SUBSTITUTE(TRIM(N182),".",""),"/",""),"-","")," ",""),"(",""),")",""),"+",""))=10,"ERRO: é fixo (ou falta o 9), use a coluna Telefone fixo","ERRO: DDD + 9 + 8 dígitos")))</f>
      </c>
      <c r="Y182" s="6">
        <f>IF(O182="","vazio",IF(AND(ISNUMBER(FIND("@",O182)),ISNUMBER(FIND(".",MID(O182,FIND("@",O182),99))),NOT(ISNUMBER(FIND(" ",TRIM(O182)))),NOT(ISNUMBER(FIND(";",O182))),NOT(ISNUMBER(FIND(",",O182)))),"OK","ERRO: um e-mail válido por linha"))</f>
      </c>
      <c r="Z182" s="6">
        <f>IF(AND(J182="",K182=""),"",IF(AND(J182&lt;&gt;"",K182&lt;&gt;""),"OK","pendente: só um nome (o GR completa ao converter)"))</f>
      </c>
      <c r="AA182" s="6">
        <f>IF(COUNTA(A182:S182)=0,"",IF(AND(A182&lt;&gt;"",B182&lt;&gt;"",C182&lt;&gt;"",D182&lt;&gt;"",E182&lt;&gt;"",F182&lt;&gt;"",G182&lt;&gt;"",H182&lt;&gt;"",OR(J182&lt;&gt;"",K182&lt;&gt;""),OR(M182&lt;&gt;"",N182&lt;&gt;"",O182&lt;&gt;"")),"OK","ERRO: faltam "&amp;IF(A182="","SDR; ","")&amp;IF(B182="","Proprietário; ","")&amp;IF(C182="","Origem; ","")&amp;IF(D182="","Temperatura; ","")&amp;IF(E182="","Segmento; ","")&amp;IF(F182="","Time/Cluster; ","")&amp;IF(G182="","CNPJ; ","")&amp;IF(H182="","Razão Social; ","")&amp;IF(AND(J182="",K182=""),"nome do contato; ","")&amp;IF(AND(M182="",N182="",O182=""),"telefone, celular ou e-mail; ","")))</f>
      </c>
      <c r="AB182" s="6">
        <f>IF(COUNTA(A182:S182)=0,"",IF(AND(U182="OK",V182="OK",LEFT(W182,4)&lt;&gt;"ERRO",LEFT(X182,4)&lt;&gt;"ERRO",LEFT(Y182,4)&lt;&gt;"ERRO",AA182="OK"),"OK","REVISAR"))</f>
      </c>
    </row>
    <row r="183">
      <c r="A183" s="5"/>
      <c r="B183" s="5"/>
      <c r="C183" s="5"/>
      <c r="D183" s="5"/>
      <c r="E183" s="5"/>
      <c r="F183" s="5"/>
      <c r="G183" s="5"/>
      <c r="H183" s="5"/>
      <c r="I183" s="4"/>
      <c r="J183" s="5"/>
      <c r="K183" s="4"/>
      <c r="L183" s="4"/>
      <c r="M183" s="4"/>
      <c r="N183" s="4"/>
      <c r="O183" s="4"/>
      <c r="P183" s="4"/>
      <c r="Q183" s="4"/>
      <c r="R183" s="4"/>
      <c r="S183" s="4"/>
      <c r="T183" s="6">
        <f>IF(G183="","",SUBSTITUTE(SUBSTITUTE(SUBSTITUTE(SUBSTITUTE(SUBSTITUTE(SUBSTITUTE(SUBSTITUTE(TRIM(G183),".",""),"/",""),"-","")," ",""),"(",""),")",""),"+",""))</f>
      </c>
      <c r="U183" s="6">
        <f>IF(T183="","",IF(LEN(T183)&lt;&gt;14,"ERRO: "&amp;LEN(T183)&amp;" dígitos",IF(NOT(ISNUMBER(VALUE(T183))),"ERRO: não numérico",IF(LEN(SUBSTITUTE(T183,LEFT(T183,1),""))=0,"ERRO: dígitos repetidos",IF(AND(VALUE(MID(T183,13,1))=IF(MOD(SUMPRODUCT(--MID(T183,{1,2,3,4,5,6,7,8,9,10,11,12},1),{5,4,3,2,9,8,7,6,5,4,3,2}),11)&lt;2,0,11-MOD(SUMPRODUCT(--MID(T183,{1,2,3,4,5,6,7,8,9,10,11,12},1),{5,4,3,2,9,8,7,6,5,4,3,2}),11)),VALUE(MID(T183,14,1))=IF(MOD(SUMPRODUCT(--MID(T183,{1,2,3,4,5,6,7,8,9,10,11,12,13},1),{6,5,4,3,2,9,8,7,6,5,4,3,2}),11)&lt;2,0,11-MOD(SUMPRODUCT(--MID(T183,{1,2,3,4,5,6,7,8,9,10,11,12,13},1),{6,5,4,3,2,9,8,7,6,5,4,3,2}),11))),"OK","ERRO: dígito verificador")))))</f>
      </c>
      <c r="V183" s="6">
        <f>IF(T183="","",IF(COUNTIF($T$2:$T$1001,T183)&gt;1,"DUPLICADO","OK"))</f>
      </c>
      <c r="W183" s="6">
        <f>IF(M183="","vazio",IF(OR(AND(LEN(SUBSTITUTE(SUBSTITUTE(SUBSTITUTE(SUBSTITUTE(SUBSTITUTE(SUBSTITUTE(SUBSTITUTE(TRIM(M183),".",""),"/",""),"-","")," ",""),"(",""),")",""),"+",""))=10,LEFT(SUBSTITUTE(SUBSTITUTE(SUBSTITUTE(SUBSTITUTE(SUBSTITUTE(SUBSTITUTE(SUBSTITUTE(TRIM(M183),".",""),"/",""),"-","")," ",""),"(",""),")",""),"+",""),1)&lt;&gt;"0"),AND(LEN(SUBSTITUTE(SUBSTITUTE(SUBSTITUTE(SUBSTITUTE(SUBSTITUTE(SUBSTITUTE(SUBSTITUTE(TRIM(M183),".",""),"/",""),"-","")," ",""),"(",""),")",""),"+",""))=11,LEFT(SUBSTITUTE(SUBSTITUTE(SUBSTITUTE(SUBSTITUTE(SUBSTITUTE(SUBSTITUTE(SUBSTITUTE(TRIM(M183),".",""),"/",""),"-","")," ",""),"(",""),")",""),"+",""),4)="0800")),"OK",IF(AND(LEN(SUBSTITUTE(SUBSTITUTE(SUBSTITUTE(SUBSTITUTE(SUBSTITUTE(SUBSTITUTE(SUBSTITUTE(TRIM(M183),".",""),"/",""),"-","")," ",""),"(",""),")",""),"+",""))=11,MID(SUBSTITUTE(SUBSTITUTE(SUBSTITUTE(SUBSTITUTE(SUBSTITUTE(SUBSTITUTE(SUBSTITUTE(TRIM(M183),".",""),"/",""),"-","")," ",""),"(",""),")",""),"+",""),3,1)="9"),"ERRO: é celular, use a coluna Celular","ERRO: DDD + 8 dígitos ou 0800 + 7")))</f>
      </c>
      <c r="X183" s="6">
        <f>IF(N183="","vazio",IF(AND(LEN(SUBSTITUTE(SUBSTITUTE(SUBSTITUTE(SUBSTITUTE(SUBSTITUTE(SUBSTITUTE(SUBSTITUTE(TRIM(N183),".",""),"/",""),"-","")," ",""),"(",""),")",""),"+",""))=11,MID(SUBSTITUTE(SUBSTITUTE(SUBSTITUTE(SUBSTITUTE(SUBSTITUTE(SUBSTITUTE(SUBSTITUTE(TRIM(N183),".",""),"/",""),"-","")," ",""),"(",""),")",""),"+",""),3,1)="9",LEFT(SUBSTITUTE(SUBSTITUTE(SUBSTITUTE(SUBSTITUTE(SUBSTITUTE(SUBSTITUTE(SUBSTITUTE(TRIM(N183),".",""),"/",""),"-","")," ",""),"(",""),")",""),"+",""),1)&lt;&gt;"0"),"OK",IF(LEN(SUBSTITUTE(SUBSTITUTE(SUBSTITUTE(SUBSTITUTE(SUBSTITUTE(SUBSTITUTE(SUBSTITUTE(TRIM(N183),".",""),"/",""),"-","")," ",""),"(",""),")",""),"+",""))=10,"ERRO: é fixo (ou falta o 9), use a coluna Telefone fixo","ERRO: DDD + 9 + 8 dígitos")))</f>
      </c>
      <c r="Y183" s="6">
        <f>IF(O183="","vazio",IF(AND(ISNUMBER(FIND("@",O183)),ISNUMBER(FIND(".",MID(O183,FIND("@",O183),99))),NOT(ISNUMBER(FIND(" ",TRIM(O183)))),NOT(ISNUMBER(FIND(";",O183))),NOT(ISNUMBER(FIND(",",O183)))),"OK","ERRO: um e-mail válido por linha"))</f>
      </c>
      <c r="Z183" s="6">
        <f>IF(AND(J183="",K183=""),"",IF(AND(J183&lt;&gt;"",K183&lt;&gt;""),"OK","pendente: só um nome (o GR completa ao converter)"))</f>
      </c>
      <c r="AA183" s="6">
        <f>IF(COUNTA(A183:S183)=0,"",IF(AND(A183&lt;&gt;"",B183&lt;&gt;"",C183&lt;&gt;"",D183&lt;&gt;"",E183&lt;&gt;"",F183&lt;&gt;"",G183&lt;&gt;"",H183&lt;&gt;"",OR(J183&lt;&gt;"",K183&lt;&gt;""),OR(M183&lt;&gt;"",N183&lt;&gt;"",O183&lt;&gt;"")),"OK","ERRO: faltam "&amp;IF(A183="","SDR; ","")&amp;IF(B183="","Proprietário; ","")&amp;IF(C183="","Origem; ","")&amp;IF(D183="","Temperatura; ","")&amp;IF(E183="","Segmento; ","")&amp;IF(F183="","Time/Cluster; ","")&amp;IF(G183="","CNPJ; ","")&amp;IF(H183="","Razão Social; ","")&amp;IF(AND(J183="",K183=""),"nome do contato; ","")&amp;IF(AND(M183="",N183="",O183=""),"telefone, celular ou e-mail; ","")))</f>
      </c>
      <c r="AB183" s="6">
        <f>IF(COUNTA(A183:S183)=0,"",IF(AND(U183="OK",V183="OK",LEFT(W183,4)&lt;&gt;"ERRO",LEFT(X183,4)&lt;&gt;"ERRO",LEFT(Y183,4)&lt;&gt;"ERRO",AA183="OK"),"OK","REVISAR"))</f>
      </c>
    </row>
    <row r="184">
      <c r="A184" s="5"/>
      <c r="B184" s="5"/>
      <c r="C184" s="5"/>
      <c r="D184" s="5"/>
      <c r="E184" s="5"/>
      <c r="F184" s="5"/>
      <c r="G184" s="5"/>
      <c r="H184" s="5"/>
      <c r="I184" s="4"/>
      <c r="J184" s="5"/>
      <c r="K184" s="4"/>
      <c r="L184" s="4"/>
      <c r="M184" s="4"/>
      <c r="N184" s="4"/>
      <c r="O184" s="4"/>
      <c r="P184" s="4"/>
      <c r="Q184" s="4"/>
      <c r="R184" s="4"/>
      <c r="S184" s="4"/>
      <c r="T184" s="6">
        <f>IF(G184="","",SUBSTITUTE(SUBSTITUTE(SUBSTITUTE(SUBSTITUTE(SUBSTITUTE(SUBSTITUTE(SUBSTITUTE(TRIM(G184),".",""),"/",""),"-","")," ",""),"(",""),")",""),"+",""))</f>
      </c>
      <c r="U184" s="6">
        <f>IF(T184="","",IF(LEN(T184)&lt;&gt;14,"ERRO: "&amp;LEN(T184)&amp;" dígitos",IF(NOT(ISNUMBER(VALUE(T184))),"ERRO: não numérico",IF(LEN(SUBSTITUTE(T184,LEFT(T184,1),""))=0,"ERRO: dígitos repetidos",IF(AND(VALUE(MID(T184,13,1))=IF(MOD(SUMPRODUCT(--MID(T184,{1,2,3,4,5,6,7,8,9,10,11,12},1),{5,4,3,2,9,8,7,6,5,4,3,2}),11)&lt;2,0,11-MOD(SUMPRODUCT(--MID(T184,{1,2,3,4,5,6,7,8,9,10,11,12},1),{5,4,3,2,9,8,7,6,5,4,3,2}),11)),VALUE(MID(T184,14,1))=IF(MOD(SUMPRODUCT(--MID(T184,{1,2,3,4,5,6,7,8,9,10,11,12,13},1),{6,5,4,3,2,9,8,7,6,5,4,3,2}),11)&lt;2,0,11-MOD(SUMPRODUCT(--MID(T184,{1,2,3,4,5,6,7,8,9,10,11,12,13},1),{6,5,4,3,2,9,8,7,6,5,4,3,2}),11))),"OK","ERRO: dígito verificador")))))</f>
      </c>
      <c r="V184" s="6">
        <f>IF(T184="","",IF(COUNTIF($T$2:$T$1001,T184)&gt;1,"DUPLICADO","OK"))</f>
      </c>
      <c r="W184" s="6">
        <f>IF(M184="","vazio",IF(OR(AND(LEN(SUBSTITUTE(SUBSTITUTE(SUBSTITUTE(SUBSTITUTE(SUBSTITUTE(SUBSTITUTE(SUBSTITUTE(TRIM(M184),".",""),"/",""),"-","")," ",""),"(",""),")",""),"+",""))=10,LEFT(SUBSTITUTE(SUBSTITUTE(SUBSTITUTE(SUBSTITUTE(SUBSTITUTE(SUBSTITUTE(SUBSTITUTE(TRIM(M184),".",""),"/",""),"-","")," ",""),"(",""),")",""),"+",""),1)&lt;&gt;"0"),AND(LEN(SUBSTITUTE(SUBSTITUTE(SUBSTITUTE(SUBSTITUTE(SUBSTITUTE(SUBSTITUTE(SUBSTITUTE(TRIM(M184),".",""),"/",""),"-","")," ",""),"(",""),")",""),"+",""))=11,LEFT(SUBSTITUTE(SUBSTITUTE(SUBSTITUTE(SUBSTITUTE(SUBSTITUTE(SUBSTITUTE(SUBSTITUTE(TRIM(M184),".",""),"/",""),"-","")," ",""),"(",""),")",""),"+",""),4)="0800")),"OK",IF(AND(LEN(SUBSTITUTE(SUBSTITUTE(SUBSTITUTE(SUBSTITUTE(SUBSTITUTE(SUBSTITUTE(SUBSTITUTE(TRIM(M184),".",""),"/",""),"-","")," ",""),"(",""),")",""),"+",""))=11,MID(SUBSTITUTE(SUBSTITUTE(SUBSTITUTE(SUBSTITUTE(SUBSTITUTE(SUBSTITUTE(SUBSTITUTE(TRIM(M184),".",""),"/",""),"-","")," ",""),"(",""),")",""),"+",""),3,1)="9"),"ERRO: é celular, use a coluna Celular","ERRO: DDD + 8 dígitos ou 0800 + 7")))</f>
      </c>
      <c r="X184" s="6">
        <f>IF(N184="","vazio",IF(AND(LEN(SUBSTITUTE(SUBSTITUTE(SUBSTITUTE(SUBSTITUTE(SUBSTITUTE(SUBSTITUTE(SUBSTITUTE(TRIM(N184),".",""),"/",""),"-","")," ",""),"(",""),")",""),"+",""))=11,MID(SUBSTITUTE(SUBSTITUTE(SUBSTITUTE(SUBSTITUTE(SUBSTITUTE(SUBSTITUTE(SUBSTITUTE(TRIM(N184),".",""),"/",""),"-","")," ",""),"(",""),")",""),"+",""),3,1)="9",LEFT(SUBSTITUTE(SUBSTITUTE(SUBSTITUTE(SUBSTITUTE(SUBSTITUTE(SUBSTITUTE(SUBSTITUTE(TRIM(N184),".",""),"/",""),"-","")," ",""),"(",""),")",""),"+",""),1)&lt;&gt;"0"),"OK",IF(LEN(SUBSTITUTE(SUBSTITUTE(SUBSTITUTE(SUBSTITUTE(SUBSTITUTE(SUBSTITUTE(SUBSTITUTE(TRIM(N184),".",""),"/",""),"-","")," ",""),"(",""),")",""),"+",""))=10,"ERRO: é fixo (ou falta o 9), use a coluna Telefone fixo","ERRO: DDD + 9 + 8 dígitos")))</f>
      </c>
      <c r="Y184" s="6">
        <f>IF(O184="","vazio",IF(AND(ISNUMBER(FIND("@",O184)),ISNUMBER(FIND(".",MID(O184,FIND("@",O184),99))),NOT(ISNUMBER(FIND(" ",TRIM(O184)))),NOT(ISNUMBER(FIND(";",O184))),NOT(ISNUMBER(FIND(",",O184)))),"OK","ERRO: um e-mail válido por linha"))</f>
      </c>
      <c r="Z184" s="6">
        <f>IF(AND(J184="",K184=""),"",IF(AND(J184&lt;&gt;"",K184&lt;&gt;""),"OK","pendente: só um nome (o GR completa ao converter)"))</f>
      </c>
      <c r="AA184" s="6">
        <f>IF(COUNTA(A184:S184)=0,"",IF(AND(A184&lt;&gt;"",B184&lt;&gt;"",C184&lt;&gt;"",D184&lt;&gt;"",E184&lt;&gt;"",F184&lt;&gt;"",G184&lt;&gt;"",H184&lt;&gt;"",OR(J184&lt;&gt;"",K184&lt;&gt;""),OR(M184&lt;&gt;"",N184&lt;&gt;"",O184&lt;&gt;"")),"OK","ERRO: faltam "&amp;IF(A184="","SDR; ","")&amp;IF(B184="","Proprietário; ","")&amp;IF(C184="","Origem; ","")&amp;IF(D184="","Temperatura; ","")&amp;IF(E184="","Segmento; ","")&amp;IF(F184="","Time/Cluster; ","")&amp;IF(G184="","CNPJ; ","")&amp;IF(H184="","Razão Social; ","")&amp;IF(AND(J184="",K184=""),"nome do contato; ","")&amp;IF(AND(M184="",N184="",O184=""),"telefone, celular ou e-mail; ","")))</f>
      </c>
      <c r="AB184" s="6">
        <f>IF(COUNTA(A184:S184)=0,"",IF(AND(U184="OK",V184="OK",LEFT(W184,4)&lt;&gt;"ERRO",LEFT(X184,4)&lt;&gt;"ERRO",LEFT(Y184,4)&lt;&gt;"ERRO",AA184="OK"),"OK","REVISAR"))</f>
      </c>
    </row>
    <row r="185">
      <c r="A185" s="5"/>
      <c r="B185" s="5"/>
      <c r="C185" s="5"/>
      <c r="D185" s="5"/>
      <c r="E185" s="5"/>
      <c r="F185" s="5"/>
      <c r="G185" s="5"/>
      <c r="H185" s="5"/>
      <c r="I185" s="4"/>
      <c r="J185" s="5"/>
      <c r="K185" s="4"/>
      <c r="L185" s="4"/>
      <c r="M185" s="4"/>
      <c r="N185" s="4"/>
      <c r="O185" s="4"/>
      <c r="P185" s="4"/>
      <c r="Q185" s="4"/>
      <c r="R185" s="4"/>
      <c r="S185" s="4"/>
      <c r="T185" s="6">
        <f>IF(G185="","",SUBSTITUTE(SUBSTITUTE(SUBSTITUTE(SUBSTITUTE(SUBSTITUTE(SUBSTITUTE(SUBSTITUTE(TRIM(G185),".",""),"/",""),"-","")," ",""),"(",""),")",""),"+",""))</f>
      </c>
      <c r="U185" s="6">
        <f>IF(T185="","",IF(LEN(T185)&lt;&gt;14,"ERRO: "&amp;LEN(T185)&amp;" dígitos",IF(NOT(ISNUMBER(VALUE(T185))),"ERRO: não numérico",IF(LEN(SUBSTITUTE(T185,LEFT(T185,1),""))=0,"ERRO: dígitos repetidos",IF(AND(VALUE(MID(T185,13,1))=IF(MOD(SUMPRODUCT(--MID(T185,{1,2,3,4,5,6,7,8,9,10,11,12},1),{5,4,3,2,9,8,7,6,5,4,3,2}),11)&lt;2,0,11-MOD(SUMPRODUCT(--MID(T185,{1,2,3,4,5,6,7,8,9,10,11,12},1),{5,4,3,2,9,8,7,6,5,4,3,2}),11)),VALUE(MID(T185,14,1))=IF(MOD(SUMPRODUCT(--MID(T185,{1,2,3,4,5,6,7,8,9,10,11,12,13},1),{6,5,4,3,2,9,8,7,6,5,4,3,2}),11)&lt;2,0,11-MOD(SUMPRODUCT(--MID(T185,{1,2,3,4,5,6,7,8,9,10,11,12,13},1),{6,5,4,3,2,9,8,7,6,5,4,3,2}),11))),"OK","ERRO: dígito verificador")))))</f>
      </c>
      <c r="V185" s="6">
        <f>IF(T185="","",IF(COUNTIF($T$2:$T$1001,T185)&gt;1,"DUPLICADO","OK"))</f>
      </c>
      <c r="W185" s="6">
        <f>IF(M185="","vazio",IF(OR(AND(LEN(SUBSTITUTE(SUBSTITUTE(SUBSTITUTE(SUBSTITUTE(SUBSTITUTE(SUBSTITUTE(SUBSTITUTE(TRIM(M185),".",""),"/",""),"-","")," ",""),"(",""),")",""),"+",""))=10,LEFT(SUBSTITUTE(SUBSTITUTE(SUBSTITUTE(SUBSTITUTE(SUBSTITUTE(SUBSTITUTE(SUBSTITUTE(TRIM(M185),".",""),"/",""),"-","")," ",""),"(",""),")",""),"+",""),1)&lt;&gt;"0"),AND(LEN(SUBSTITUTE(SUBSTITUTE(SUBSTITUTE(SUBSTITUTE(SUBSTITUTE(SUBSTITUTE(SUBSTITUTE(TRIM(M185),".",""),"/",""),"-","")," ",""),"(",""),")",""),"+",""))=11,LEFT(SUBSTITUTE(SUBSTITUTE(SUBSTITUTE(SUBSTITUTE(SUBSTITUTE(SUBSTITUTE(SUBSTITUTE(TRIM(M185),".",""),"/",""),"-","")," ",""),"(",""),")",""),"+",""),4)="0800")),"OK",IF(AND(LEN(SUBSTITUTE(SUBSTITUTE(SUBSTITUTE(SUBSTITUTE(SUBSTITUTE(SUBSTITUTE(SUBSTITUTE(TRIM(M185),".",""),"/",""),"-","")," ",""),"(",""),")",""),"+",""))=11,MID(SUBSTITUTE(SUBSTITUTE(SUBSTITUTE(SUBSTITUTE(SUBSTITUTE(SUBSTITUTE(SUBSTITUTE(TRIM(M185),".",""),"/",""),"-","")," ",""),"(",""),")",""),"+",""),3,1)="9"),"ERRO: é celular, use a coluna Celular","ERRO: DDD + 8 dígitos ou 0800 + 7")))</f>
      </c>
      <c r="X185" s="6">
        <f>IF(N185="","vazio",IF(AND(LEN(SUBSTITUTE(SUBSTITUTE(SUBSTITUTE(SUBSTITUTE(SUBSTITUTE(SUBSTITUTE(SUBSTITUTE(TRIM(N185),".",""),"/",""),"-","")," ",""),"(",""),")",""),"+",""))=11,MID(SUBSTITUTE(SUBSTITUTE(SUBSTITUTE(SUBSTITUTE(SUBSTITUTE(SUBSTITUTE(SUBSTITUTE(TRIM(N185),".",""),"/",""),"-","")," ",""),"(",""),")",""),"+",""),3,1)="9",LEFT(SUBSTITUTE(SUBSTITUTE(SUBSTITUTE(SUBSTITUTE(SUBSTITUTE(SUBSTITUTE(SUBSTITUTE(TRIM(N185),".",""),"/",""),"-","")," ",""),"(",""),")",""),"+",""),1)&lt;&gt;"0"),"OK",IF(LEN(SUBSTITUTE(SUBSTITUTE(SUBSTITUTE(SUBSTITUTE(SUBSTITUTE(SUBSTITUTE(SUBSTITUTE(TRIM(N185),".",""),"/",""),"-","")," ",""),"(",""),")",""),"+",""))=10,"ERRO: é fixo (ou falta o 9), use a coluna Telefone fixo","ERRO: DDD + 9 + 8 dígitos")))</f>
      </c>
      <c r="Y185" s="6">
        <f>IF(O185="","vazio",IF(AND(ISNUMBER(FIND("@",O185)),ISNUMBER(FIND(".",MID(O185,FIND("@",O185),99))),NOT(ISNUMBER(FIND(" ",TRIM(O185)))),NOT(ISNUMBER(FIND(";",O185))),NOT(ISNUMBER(FIND(",",O185)))),"OK","ERRO: um e-mail válido por linha"))</f>
      </c>
      <c r="Z185" s="6">
        <f>IF(AND(J185="",K185=""),"",IF(AND(J185&lt;&gt;"",K185&lt;&gt;""),"OK","pendente: só um nome (o GR completa ao converter)"))</f>
      </c>
      <c r="AA185" s="6">
        <f>IF(COUNTA(A185:S185)=0,"",IF(AND(A185&lt;&gt;"",B185&lt;&gt;"",C185&lt;&gt;"",D185&lt;&gt;"",E185&lt;&gt;"",F185&lt;&gt;"",G185&lt;&gt;"",H185&lt;&gt;"",OR(J185&lt;&gt;"",K185&lt;&gt;""),OR(M185&lt;&gt;"",N185&lt;&gt;"",O185&lt;&gt;"")),"OK","ERRO: faltam "&amp;IF(A185="","SDR; ","")&amp;IF(B185="","Proprietário; ","")&amp;IF(C185="","Origem; ","")&amp;IF(D185="","Temperatura; ","")&amp;IF(E185="","Segmento; ","")&amp;IF(F185="","Time/Cluster; ","")&amp;IF(G185="","CNPJ; ","")&amp;IF(H185="","Razão Social; ","")&amp;IF(AND(J185="",K185=""),"nome do contato; ","")&amp;IF(AND(M185="",N185="",O185=""),"telefone, celular ou e-mail; ","")))</f>
      </c>
      <c r="AB185" s="6">
        <f>IF(COUNTA(A185:S185)=0,"",IF(AND(U185="OK",V185="OK",LEFT(W185,4)&lt;&gt;"ERRO",LEFT(X185,4)&lt;&gt;"ERRO",LEFT(Y185,4)&lt;&gt;"ERRO",AA185="OK"),"OK","REVISAR"))</f>
      </c>
    </row>
    <row r="186">
      <c r="A186" s="5"/>
      <c r="B186" s="5"/>
      <c r="C186" s="5"/>
      <c r="D186" s="5"/>
      <c r="E186" s="5"/>
      <c r="F186" s="5"/>
      <c r="G186" s="5"/>
      <c r="H186" s="5"/>
      <c r="I186" s="4"/>
      <c r="J186" s="5"/>
      <c r="K186" s="4"/>
      <c r="L186" s="4"/>
      <c r="M186" s="4"/>
      <c r="N186" s="4"/>
      <c r="O186" s="4"/>
      <c r="P186" s="4"/>
      <c r="Q186" s="4"/>
      <c r="R186" s="4"/>
      <c r="S186" s="4"/>
      <c r="T186" s="6">
        <f>IF(G186="","",SUBSTITUTE(SUBSTITUTE(SUBSTITUTE(SUBSTITUTE(SUBSTITUTE(SUBSTITUTE(SUBSTITUTE(TRIM(G186),".",""),"/",""),"-","")," ",""),"(",""),")",""),"+",""))</f>
      </c>
      <c r="U186" s="6">
        <f>IF(T186="","",IF(LEN(T186)&lt;&gt;14,"ERRO: "&amp;LEN(T186)&amp;" dígitos",IF(NOT(ISNUMBER(VALUE(T186))),"ERRO: não numérico",IF(LEN(SUBSTITUTE(T186,LEFT(T186,1),""))=0,"ERRO: dígitos repetidos",IF(AND(VALUE(MID(T186,13,1))=IF(MOD(SUMPRODUCT(--MID(T186,{1,2,3,4,5,6,7,8,9,10,11,12},1),{5,4,3,2,9,8,7,6,5,4,3,2}),11)&lt;2,0,11-MOD(SUMPRODUCT(--MID(T186,{1,2,3,4,5,6,7,8,9,10,11,12},1),{5,4,3,2,9,8,7,6,5,4,3,2}),11)),VALUE(MID(T186,14,1))=IF(MOD(SUMPRODUCT(--MID(T186,{1,2,3,4,5,6,7,8,9,10,11,12,13},1),{6,5,4,3,2,9,8,7,6,5,4,3,2}),11)&lt;2,0,11-MOD(SUMPRODUCT(--MID(T186,{1,2,3,4,5,6,7,8,9,10,11,12,13},1),{6,5,4,3,2,9,8,7,6,5,4,3,2}),11))),"OK","ERRO: dígito verificador")))))</f>
      </c>
      <c r="V186" s="6">
        <f>IF(T186="","",IF(COUNTIF($T$2:$T$1001,T186)&gt;1,"DUPLICADO","OK"))</f>
      </c>
      <c r="W186" s="6">
        <f>IF(M186="","vazio",IF(OR(AND(LEN(SUBSTITUTE(SUBSTITUTE(SUBSTITUTE(SUBSTITUTE(SUBSTITUTE(SUBSTITUTE(SUBSTITUTE(TRIM(M186),".",""),"/",""),"-","")," ",""),"(",""),")",""),"+",""))=10,LEFT(SUBSTITUTE(SUBSTITUTE(SUBSTITUTE(SUBSTITUTE(SUBSTITUTE(SUBSTITUTE(SUBSTITUTE(TRIM(M186),".",""),"/",""),"-","")," ",""),"(",""),")",""),"+",""),1)&lt;&gt;"0"),AND(LEN(SUBSTITUTE(SUBSTITUTE(SUBSTITUTE(SUBSTITUTE(SUBSTITUTE(SUBSTITUTE(SUBSTITUTE(TRIM(M186),".",""),"/",""),"-","")," ",""),"(",""),")",""),"+",""))=11,LEFT(SUBSTITUTE(SUBSTITUTE(SUBSTITUTE(SUBSTITUTE(SUBSTITUTE(SUBSTITUTE(SUBSTITUTE(TRIM(M186),".",""),"/",""),"-","")," ",""),"(",""),")",""),"+",""),4)="0800")),"OK",IF(AND(LEN(SUBSTITUTE(SUBSTITUTE(SUBSTITUTE(SUBSTITUTE(SUBSTITUTE(SUBSTITUTE(SUBSTITUTE(TRIM(M186),".",""),"/",""),"-","")," ",""),"(",""),")",""),"+",""))=11,MID(SUBSTITUTE(SUBSTITUTE(SUBSTITUTE(SUBSTITUTE(SUBSTITUTE(SUBSTITUTE(SUBSTITUTE(TRIM(M186),".",""),"/",""),"-","")," ",""),"(",""),")",""),"+",""),3,1)="9"),"ERRO: é celular, use a coluna Celular","ERRO: DDD + 8 dígitos ou 0800 + 7")))</f>
      </c>
      <c r="X186" s="6">
        <f>IF(N186="","vazio",IF(AND(LEN(SUBSTITUTE(SUBSTITUTE(SUBSTITUTE(SUBSTITUTE(SUBSTITUTE(SUBSTITUTE(SUBSTITUTE(TRIM(N186),".",""),"/",""),"-","")," ",""),"(",""),")",""),"+",""))=11,MID(SUBSTITUTE(SUBSTITUTE(SUBSTITUTE(SUBSTITUTE(SUBSTITUTE(SUBSTITUTE(SUBSTITUTE(TRIM(N186),".",""),"/",""),"-","")," ",""),"(",""),")",""),"+",""),3,1)="9",LEFT(SUBSTITUTE(SUBSTITUTE(SUBSTITUTE(SUBSTITUTE(SUBSTITUTE(SUBSTITUTE(SUBSTITUTE(TRIM(N186),".",""),"/",""),"-","")," ",""),"(",""),")",""),"+",""),1)&lt;&gt;"0"),"OK",IF(LEN(SUBSTITUTE(SUBSTITUTE(SUBSTITUTE(SUBSTITUTE(SUBSTITUTE(SUBSTITUTE(SUBSTITUTE(TRIM(N186),".",""),"/",""),"-","")," ",""),"(",""),")",""),"+",""))=10,"ERRO: é fixo (ou falta o 9), use a coluna Telefone fixo","ERRO: DDD + 9 + 8 dígitos")))</f>
      </c>
      <c r="Y186" s="6">
        <f>IF(O186="","vazio",IF(AND(ISNUMBER(FIND("@",O186)),ISNUMBER(FIND(".",MID(O186,FIND("@",O186),99))),NOT(ISNUMBER(FIND(" ",TRIM(O186)))),NOT(ISNUMBER(FIND(";",O186))),NOT(ISNUMBER(FIND(",",O186)))),"OK","ERRO: um e-mail válido por linha"))</f>
      </c>
      <c r="Z186" s="6">
        <f>IF(AND(J186="",K186=""),"",IF(AND(J186&lt;&gt;"",K186&lt;&gt;""),"OK","pendente: só um nome (o GR completa ao converter)"))</f>
      </c>
      <c r="AA186" s="6">
        <f>IF(COUNTA(A186:S186)=0,"",IF(AND(A186&lt;&gt;"",B186&lt;&gt;"",C186&lt;&gt;"",D186&lt;&gt;"",E186&lt;&gt;"",F186&lt;&gt;"",G186&lt;&gt;"",H186&lt;&gt;"",OR(J186&lt;&gt;"",K186&lt;&gt;""),OR(M186&lt;&gt;"",N186&lt;&gt;"",O186&lt;&gt;"")),"OK","ERRO: faltam "&amp;IF(A186="","SDR; ","")&amp;IF(B186="","Proprietário; ","")&amp;IF(C186="","Origem; ","")&amp;IF(D186="","Temperatura; ","")&amp;IF(E186="","Segmento; ","")&amp;IF(F186="","Time/Cluster; ","")&amp;IF(G186="","CNPJ; ","")&amp;IF(H186="","Razão Social; ","")&amp;IF(AND(J186="",K186=""),"nome do contato; ","")&amp;IF(AND(M186="",N186="",O186=""),"telefone, celular ou e-mail; ","")))</f>
      </c>
      <c r="AB186" s="6">
        <f>IF(COUNTA(A186:S186)=0,"",IF(AND(U186="OK",V186="OK",LEFT(W186,4)&lt;&gt;"ERRO",LEFT(X186,4)&lt;&gt;"ERRO",LEFT(Y186,4)&lt;&gt;"ERRO",AA186="OK"),"OK","REVISAR"))</f>
      </c>
    </row>
    <row r="187">
      <c r="A187" s="5"/>
      <c r="B187" s="5"/>
      <c r="C187" s="5"/>
      <c r="D187" s="5"/>
      <c r="E187" s="5"/>
      <c r="F187" s="5"/>
      <c r="G187" s="5"/>
      <c r="H187" s="5"/>
      <c r="I187" s="4"/>
      <c r="J187" s="5"/>
      <c r="K187" s="4"/>
      <c r="L187" s="4"/>
      <c r="M187" s="4"/>
      <c r="N187" s="4"/>
      <c r="O187" s="4"/>
      <c r="P187" s="4"/>
      <c r="Q187" s="4"/>
      <c r="R187" s="4"/>
      <c r="S187" s="4"/>
      <c r="T187" s="6">
        <f>IF(G187="","",SUBSTITUTE(SUBSTITUTE(SUBSTITUTE(SUBSTITUTE(SUBSTITUTE(SUBSTITUTE(SUBSTITUTE(TRIM(G187),".",""),"/",""),"-","")," ",""),"(",""),")",""),"+",""))</f>
      </c>
      <c r="U187" s="6">
        <f>IF(T187="","",IF(LEN(T187)&lt;&gt;14,"ERRO: "&amp;LEN(T187)&amp;" dígitos",IF(NOT(ISNUMBER(VALUE(T187))),"ERRO: não numérico",IF(LEN(SUBSTITUTE(T187,LEFT(T187,1),""))=0,"ERRO: dígitos repetidos",IF(AND(VALUE(MID(T187,13,1))=IF(MOD(SUMPRODUCT(--MID(T187,{1,2,3,4,5,6,7,8,9,10,11,12},1),{5,4,3,2,9,8,7,6,5,4,3,2}),11)&lt;2,0,11-MOD(SUMPRODUCT(--MID(T187,{1,2,3,4,5,6,7,8,9,10,11,12},1),{5,4,3,2,9,8,7,6,5,4,3,2}),11)),VALUE(MID(T187,14,1))=IF(MOD(SUMPRODUCT(--MID(T187,{1,2,3,4,5,6,7,8,9,10,11,12,13},1),{6,5,4,3,2,9,8,7,6,5,4,3,2}),11)&lt;2,0,11-MOD(SUMPRODUCT(--MID(T187,{1,2,3,4,5,6,7,8,9,10,11,12,13},1),{6,5,4,3,2,9,8,7,6,5,4,3,2}),11))),"OK","ERRO: dígito verificador")))))</f>
      </c>
      <c r="V187" s="6">
        <f>IF(T187="","",IF(COUNTIF($T$2:$T$1001,T187)&gt;1,"DUPLICADO","OK"))</f>
      </c>
      <c r="W187" s="6">
        <f>IF(M187="","vazio",IF(OR(AND(LEN(SUBSTITUTE(SUBSTITUTE(SUBSTITUTE(SUBSTITUTE(SUBSTITUTE(SUBSTITUTE(SUBSTITUTE(TRIM(M187),".",""),"/",""),"-","")," ",""),"(",""),")",""),"+",""))=10,LEFT(SUBSTITUTE(SUBSTITUTE(SUBSTITUTE(SUBSTITUTE(SUBSTITUTE(SUBSTITUTE(SUBSTITUTE(TRIM(M187),".",""),"/",""),"-","")," ",""),"(",""),")",""),"+",""),1)&lt;&gt;"0"),AND(LEN(SUBSTITUTE(SUBSTITUTE(SUBSTITUTE(SUBSTITUTE(SUBSTITUTE(SUBSTITUTE(SUBSTITUTE(TRIM(M187),".",""),"/",""),"-","")," ",""),"(",""),")",""),"+",""))=11,LEFT(SUBSTITUTE(SUBSTITUTE(SUBSTITUTE(SUBSTITUTE(SUBSTITUTE(SUBSTITUTE(SUBSTITUTE(TRIM(M187),".",""),"/",""),"-","")," ",""),"(",""),")",""),"+",""),4)="0800")),"OK",IF(AND(LEN(SUBSTITUTE(SUBSTITUTE(SUBSTITUTE(SUBSTITUTE(SUBSTITUTE(SUBSTITUTE(SUBSTITUTE(TRIM(M187),".",""),"/",""),"-","")," ",""),"(",""),")",""),"+",""))=11,MID(SUBSTITUTE(SUBSTITUTE(SUBSTITUTE(SUBSTITUTE(SUBSTITUTE(SUBSTITUTE(SUBSTITUTE(TRIM(M187),".",""),"/",""),"-","")," ",""),"(",""),")",""),"+",""),3,1)="9"),"ERRO: é celular, use a coluna Celular","ERRO: DDD + 8 dígitos ou 0800 + 7")))</f>
      </c>
      <c r="X187" s="6">
        <f>IF(N187="","vazio",IF(AND(LEN(SUBSTITUTE(SUBSTITUTE(SUBSTITUTE(SUBSTITUTE(SUBSTITUTE(SUBSTITUTE(SUBSTITUTE(TRIM(N187),".",""),"/",""),"-","")," ",""),"(",""),")",""),"+",""))=11,MID(SUBSTITUTE(SUBSTITUTE(SUBSTITUTE(SUBSTITUTE(SUBSTITUTE(SUBSTITUTE(SUBSTITUTE(TRIM(N187),".",""),"/",""),"-","")," ",""),"(",""),")",""),"+",""),3,1)="9",LEFT(SUBSTITUTE(SUBSTITUTE(SUBSTITUTE(SUBSTITUTE(SUBSTITUTE(SUBSTITUTE(SUBSTITUTE(TRIM(N187),".",""),"/",""),"-","")," ",""),"(",""),")",""),"+",""),1)&lt;&gt;"0"),"OK",IF(LEN(SUBSTITUTE(SUBSTITUTE(SUBSTITUTE(SUBSTITUTE(SUBSTITUTE(SUBSTITUTE(SUBSTITUTE(TRIM(N187),".",""),"/",""),"-","")," ",""),"(",""),")",""),"+",""))=10,"ERRO: é fixo (ou falta o 9), use a coluna Telefone fixo","ERRO: DDD + 9 + 8 dígitos")))</f>
      </c>
      <c r="Y187" s="6">
        <f>IF(O187="","vazio",IF(AND(ISNUMBER(FIND("@",O187)),ISNUMBER(FIND(".",MID(O187,FIND("@",O187),99))),NOT(ISNUMBER(FIND(" ",TRIM(O187)))),NOT(ISNUMBER(FIND(";",O187))),NOT(ISNUMBER(FIND(",",O187)))),"OK","ERRO: um e-mail válido por linha"))</f>
      </c>
      <c r="Z187" s="6">
        <f>IF(AND(J187="",K187=""),"",IF(AND(J187&lt;&gt;"",K187&lt;&gt;""),"OK","pendente: só um nome (o GR completa ao converter)"))</f>
      </c>
      <c r="AA187" s="6">
        <f>IF(COUNTA(A187:S187)=0,"",IF(AND(A187&lt;&gt;"",B187&lt;&gt;"",C187&lt;&gt;"",D187&lt;&gt;"",E187&lt;&gt;"",F187&lt;&gt;"",G187&lt;&gt;"",H187&lt;&gt;"",OR(J187&lt;&gt;"",K187&lt;&gt;""),OR(M187&lt;&gt;"",N187&lt;&gt;"",O187&lt;&gt;"")),"OK","ERRO: faltam "&amp;IF(A187="","SDR; ","")&amp;IF(B187="","Proprietário; ","")&amp;IF(C187="","Origem; ","")&amp;IF(D187="","Temperatura; ","")&amp;IF(E187="","Segmento; ","")&amp;IF(F187="","Time/Cluster; ","")&amp;IF(G187="","CNPJ; ","")&amp;IF(H187="","Razão Social; ","")&amp;IF(AND(J187="",K187=""),"nome do contato; ","")&amp;IF(AND(M187="",N187="",O187=""),"telefone, celular ou e-mail; ","")))</f>
      </c>
      <c r="AB187" s="6">
        <f>IF(COUNTA(A187:S187)=0,"",IF(AND(U187="OK",V187="OK",LEFT(W187,4)&lt;&gt;"ERRO",LEFT(X187,4)&lt;&gt;"ERRO",LEFT(Y187,4)&lt;&gt;"ERRO",AA187="OK"),"OK","REVISAR"))</f>
      </c>
    </row>
    <row r="188">
      <c r="A188" s="5"/>
      <c r="B188" s="5"/>
      <c r="C188" s="5"/>
      <c r="D188" s="5"/>
      <c r="E188" s="5"/>
      <c r="F188" s="5"/>
      <c r="G188" s="5"/>
      <c r="H188" s="5"/>
      <c r="I188" s="4"/>
      <c r="J188" s="5"/>
      <c r="K188" s="4"/>
      <c r="L188" s="4"/>
      <c r="M188" s="4"/>
      <c r="N188" s="4"/>
      <c r="O188" s="4"/>
      <c r="P188" s="4"/>
      <c r="Q188" s="4"/>
      <c r="R188" s="4"/>
      <c r="S188" s="4"/>
      <c r="T188" s="6">
        <f>IF(G188="","",SUBSTITUTE(SUBSTITUTE(SUBSTITUTE(SUBSTITUTE(SUBSTITUTE(SUBSTITUTE(SUBSTITUTE(TRIM(G188),".",""),"/",""),"-","")," ",""),"(",""),")",""),"+",""))</f>
      </c>
      <c r="U188" s="6">
        <f>IF(T188="","",IF(LEN(T188)&lt;&gt;14,"ERRO: "&amp;LEN(T188)&amp;" dígitos",IF(NOT(ISNUMBER(VALUE(T188))),"ERRO: não numérico",IF(LEN(SUBSTITUTE(T188,LEFT(T188,1),""))=0,"ERRO: dígitos repetidos",IF(AND(VALUE(MID(T188,13,1))=IF(MOD(SUMPRODUCT(--MID(T188,{1,2,3,4,5,6,7,8,9,10,11,12},1),{5,4,3,2,9,8,7,6,5,4,3,2}),11)&lt;2,0,11-MOD(SUMPRODUCT(--MID(T188,{1,2,3,4,5,6,7,8,9,10,11,12},1),{5,4,3,2,9,8,7,6,5,4,3,2}),11)),VALUE(MID(T188,14,1))=IF(MOD(SUMPRODUCT(--MID(T188,{1,2,3,4,5,6,7,8,9,10,11,12,13},1),{6,5,4,3,2,9,8,7,6,5,4,3,2}),11)&lt;2,0,11-MOD(SUMPRODUCT(--MID(T188,{1,2,3,4,5,6,7,8,9,10,11,12,13},1),{6,5,4,3,2,9,8,7,6,5,4,3,2}),11))),"OK","ERRO: dígito verificador")))))</f>
      </c>
      <c r="V188" s="6">
        <f>IF(T188="","",IF(COUNTIF($T$2:$T$1001,T188)&gt;1,"DUPLICADO","OK"))</f>
      </c>
      <c r="W188" s="6">
        <f>IF(M188="","vazio",IF(OR(AND(LEN(SUBSTITUTE(SUBSTITUTE(SUBSTITUTE(SUBSTITUTE(SUBSTITUTE(SUBSTITUTE(SUBSTITUTE(TRIM(M188),".",""),"/",""),"-","")," ",""),"(",""),")",""),"+",""))=10,LEFT(SUBSTITUTE(SUBSTITUTE(SUBSTITUTE(SUBSTITUTE(SUBSTITUTE(SUBSTITUTE(SUBSTITUTE(TRIM(M188),".",""),"/",""),"-","")," ",""),"(",""),")",""),"+",""),1)&lt;&gt;"0"),AND(LEN(SUBSTITUTE(SUBSTITUTE(SUBSTITUTE(SUBSTITUTE(SUBSTITUTE(SUBSTITUTE(SUBSTITUTE(TRIM(M188),".",""),"/",""),"-","")," ",""),"(",""),")",""),"+",""))=11,LEFT(SUBSTITUTE(SUBSTITUTE(SUBSTITUTE(SUBSTITUTE(SUBSTITUTE(SUBSTITUTE(SUBSTITUTE(TRIM(M188),".",""),"/",""),"-","")," ",""),"(",""),")",""),"+",""),4)="0800")),"OK",IF(AND(LEN(SUBSTITUTE(SUBSTITUTE(SUBSTITUTE(SUBSTITUTE(SUBSTITUTE(SUBSTITUTE(SUBSTITUTE(TRIM(M188),".",""),"/",""),"-","")," ",""),"(",""),")",""),"+",""))=11,MID(SUBSTITUTE(SUBSTITUTE(SUBSTITUTE(SUBSTITUTE(SUBSTITUTE(SUBSTITUTE(SUBSTITUTE(TRIM(M188),".",""),"/",""),"-","")," ",""),"(",""),")",""),"+",""),3,1)="9"),"ERRO: é celular, use a coluna Celular","ERRO: DDD + 8 dígitos ou 0800 + 7")))</f>
      </c>
      <c r="X188" s="6">
        <f>IF(N188="","vazio",IF(AND(LEN(SUBSTITUTE(SUBSTITUTE(SUBSTITUTE(SUBSTITUTE(SUBSTITUTE(SUBSTITUTE(SUBSTITUTE(TRIM(N188),".",""),"/",""),"-","")," ",""),"(",""),")",""),"+",""))=11,MID(SUBSTITUTE(SUBSTITUTE(SUBSTITUTE(SUBSTITUTE(SUBSTITUTE(SUBSTITUTE(SUBSTITUTE(TRIM(N188),".",""),"/",""),"-","")," ",""),"(",""),")",""),"+",""),3,1)="9",LEFT(SUBSTITUTE(SUBSTITUTE(SUBSTITUTE(SUBSTITUTE(SUBSTITUTE(SUBSTITUTE(SUBSTITUTE(TRIM(N188),".",""),"/",""),"-","")," ",""),"(",""),")",""),"+",""),1)&lt;&gt;"0"),"OK",IF(LEN(SUBSTITUTE(SUBSTITUTE(SUBSTITUTE(SUBSTITUTE(SUBSTITUTE(SUBSTITUTE(SUBSTITUTE(TRIM(N188),".",""),"/",""),"-","")," ",""),"(",""),")",""),"+",""))=10,"ERRO: é fixo (ou falta o 9), use a coluna Telefone fixo","ERRO: DDD + 9 + 8 dígitos")))</f>
      </c>
      <c r="Y188" s="6">
        <f>IF(O188="","vazio",IF(AND(ISNUMBER(FIND("@",O188)),ISNUMBER(FIND(".",MID(O188,FIND("@",O188),99))),NOT(ISNUMBER(FIND(" ",TRIM(O188)))),NOT(ISNUMBER(FIND(";",O188))),NOT(ISNUMBER(FIND(",",O188)))),"OK","ERRO: um e-mail válido por linha"))</f>
      </c>
      <c r="Z188" s="6">
        <f>IF(AND(J188="",K188=""),"",IF(AND(J188&lt;&gt;"",K188&lt;&gt;""),"OK","pendente: só um nome (o GR completa ao converter)"))</f>
      </c>
      <c r="AA188" s="6">
        <f>IF(COUNTA(A188:S188)=0,"",IF(AND(A188&lt;&gt;"",B188&lt;&gt;"",C188&lt;&gt;"",D188&lt;&gt;"",E188&lt;&gt;"",F188&lt;&gt;"",G188&lt;&gt;"",H188&lt;&gt;"",OR(J188&lt;&gt;"",K188&lt;&gt;""),OR(M188&lt;&gt;"",N188&lt;&gt;"",O188&lt;&gt;"")),"OK","ERRO: faltam "&amp;IF(A188="","SDR; ","")&amp;IF(B188="","Proprietário; ","")&amp;IF(C188="","Origem; ","")&amp;IF(D188="","Temperatura; ","")&amp;IF(E188="","Segmento; ","")&amp;IF(F188="","Time/Cluster; ","")&amp;IF(G188="","CNPJ; ","")&amp;IF(H188="","Razão Social; ","")&amp;IF(AND(J188="",K188=""),"nome do contato; ","")&amp;IF(AND(M188="",N188="",O188=""),"telefone, celular ou e-mail; ","")))</f>
      </c>
      <c r="AB188" s="6">
        <f>IF(COUNTA(A188:S188)=0,"",IF(AND(U188="OK",V188="OK",LEFT(W188,4)&lt;&gt;"ERRO",LEFT(X188,4)&lt;&gt;"ERRO",LEFT(Y188,4)&lt;&gt;"ERRO",AA188="OK"),"OK","REVISAR"))</f>
      </c>
    </row>
    <row r="189">
      <c r="A189" s="5"/>
      <c r="B189" s="5"/>
      <c r="C189" s="5"/>
      <c r="D189" s="5"/>
      <c r="E189" s="5"/>
      <c r="F189" s="5"/>
      <c r="G189" s="5"/>
      <c r="H189" s="5"/>
      <c r="I189" s="4"/>
      <c r="J189" s="5"/>
      <c r="K189" s="4"/>
      <c r="L189" s="4"/>
      <c r="M189" s="4"/>
      <c r="N189" s="4"/>
      <c r="O189" s="4"/>
      <c r="P189" s="4"/>
      <c r="Q189" s="4"/>
      <c r="R189" s="4"/>
      <c r="S189" s="4"/>
      <c r="T189" s="6">
        <f>IF(G189="","",SUBSTITUTE(SUBSTITUTE(SUBSTITUTE(SUBSTITUTE(SUBSTITUTE(SUBSTITUTE(SUBSTITUTE(TRIM(G189),".",""),"/",""),"-","")," ",""),"(",""),")",""),"+",""))</f>
      </c>
      <c r="U189" s="6">
        <f>IF(T189="","",IF(LEN(T189)&lt;&gt;14,"ERRO: "&amp;LEN(T189)&amp;" dígitos",IF(NOT(ISNUMBER(VALUE(T189))),"ERRO: não numérico",IF(LEN(SUBSTITUTE(T189,LEFT(T189,1),""))=0,"ERRO: dígitos repetidos",IF(AND(VALUE(MID(T189,13,1))=IF(MOD(SUMPRODUCT(--MID(T189,{1,2,3,4,5,6,7,8,9,10,11,12},1),{5,4,3,2,9,8,7,6,5,4,3,2}),11)&lt;2,0,11-MOD(SUMPRODUCT(--MID(T189,{1,2,3,4,5,6,7,8,9,10,11,12},1),{5,4,3,2,9,8,7,6,5,4,3,2}),11)),VALUE(MID(T189,14,1))=IF(MOD(SUMPRODUCT(--MID(T189,{1,2,3,4,5,6,7,8,9,10,11,12,13},1),{6,5,4,3,2,9,8,7,6,5,4,3,2}),11)&lt;2,0,11-MOD(SUMPRODUCT(--MID(T189,{1,2,3,4,5,6,7,8,9,10,11,12,13},1),{6,5,4,3,2,9,8,7,6,5,4,3,2}),11))),"OK","ERRO: dígito verificador")))))</f>
      </c>
      <c r="V189" s="6">
        <f>IF(T189="","",IF(COUNTIF($T$2:$T$1001,T189)&gt;1,"DUPLICADO","OK"))</f>
      </c>
      <c r="W189" s="6">
        <f>IF(M189="","vazio",IF(OR(AND(LEN(SUBSTITUTE(SUBSTITUTE(SUBSTITUTE(SUBSTITUTE(SUBSTITUTE(SUBSTITUTE(SUBSTITUTE(TRIM(M189),".",""),"/",""),"-","")," ",""),"(",""),")",""),"+",""))=10,LEFT(SUBSTITUTE(SUBSTITUTE(SUBSTITUTE(SUBSTITUTE(SUBSTITUTE(SUBSTITUTE(SUBSTITUTE(TRIM(M189),".",""),"/",""),"-","")," ",""),"(",""),")",""),"+",""),1)&lt;&gt;"0"),AND(LEN(SUBSTITUTE(SUBSTITUTE(SUBSTITUTE(SUBSTITUTE(SUBSTITUTE(SUBSTITUTE(SUBSTITUTE(TRIM(M189),".",""),"/",""),"-","")," ",""),"(",""),")",""),"+",""))=11,LEFT(SUBSTITUTE(SUBSTITUTE(SUBSTITUTE(SUBSTITUTE(SUBSTITUTE(SUBSTITUTE(SUBSTITUTE(TRIM(M189),".",""),"/",""),"-","")," ",""),"(",""),")",""),"+",""),4)="0800")),"OK",IF(AND(LEN(SUBSTITUTE(SUBSTITUTE(SUBSTITUTE(SUBSTITUTE(SUBSTITUTE(SUBSTITUTE(SUBSTITUTE(TRIM(M189),".",""),"/",""),"-","")," ",""),"(",""),")",""),"+",""))=11,MID(SUBSTITUTE(SUBSTITUTE(SUBSTITUTE(SUBSTITUTE(SUBSTITUTE(SUBSTITUTE(SUBSTITUTE(TRIM(M189),".",""),"/",""),"-","")," ",""),"(",""),")",""),"+",""),3,1)="9"),"ERRO: é celular, use a coluna Celular","ERRO: DDD + 8 dígitos ou 0800 + 7")))</f>
      </c>
      <c r="X189" s="6">
        <f>IF(N189="","vazio",IF(AND(LEN(SUBSTITUTE(SUBSTITUTE(SUBSTITUTE(SUBSTITUTE(SUBSTITUTE(SUBSTITUTE(SUBSTITUTE(TRIM(N189),".",""),"/",""),"-","")," ",""),"(",""),")",""),"+",""))=11,MID(SUBSTITUTE(SUBSTITUTE(SUBSTITUTE(SUBSTITUTE(SUBSTITUTE(SUBSTITUTE(SUBSTITUTE(TRIM(N189),".",""),"/",""),"-","")," ",""),"(",""),")",""),"+",""),3,1)="9",LEFT(SUBSTITUTE(SUBSTITUTE(SUBSTITUTE(SUBSTITUTE(SUBSTITUTE(SUBSTITUTE(SUBSTITUTE(TRIM(N189),".",""),"/",""),"-","")," ",""),"(",""),")",""),"+",""),1)&lt;&gt;"0"),"OK",IF(LEN(SUBSTITUTE(SUBSTITUTE(SUBSTITUTE(SUBSTITUTE(SUBSTITUTE(SUBSTITUTE(SUBSTITUTE(TRIM(N189),".",""),"/",""),"-","")," ",""),"(",""),")",""),"+",""))=10,"ERRO: é fixo (ou falta o 9), use a coluna Telefone fixo","ERRO: DDD + 9 + 8 dígitos")))</f>
      </c>
      <c r="Y189" s="6">
        <f>IF(O189="","vazio",IF(AND(ISNUMBER(FIND("@",O189)),ISNUMBER(FIND(".",MID(O189,FIND("@",O189),99))),NOT(ISNUMBER(FIND(" ",TRIM(O189)))),NOT(ISNUMBER(FIND(";",O189))),NOT(ISNUMBER(FIND(",",O189)))),"OK","ERRO: um e-mail válido por linha"))</f>
      </c>
      <c r="Z189" s="6">
        <f>IF(AND(J189="",K189=""),"",IF(AND(J189&lt;&gt;"",K189&lt;&gt;""),"OK","pendente: só um nome (o GR completa ao converter)"))</f>
      </c>
      <c r="AA189" s="6">
        <f>IF(COUNTA(A189:S189)=0,"",IF(AND(A189&lt;&gt;"",B189&lt;&gt;"",C189&lt;&gt;"",D189&lt;&gt;"",E189&lt;&gt;"",F189&lt;&gt;"",G189&lt;&gt;"",H189&lt;&gt;"",OR(J189&lt;&gt;"",K189&lt;&gt;""),OR(M189&lt;&gt;"",N189&lt;&gt;"",O189&lt;&gt;"")),"OK","ERRO: faltam "&amp;IF(A189="","SDR; ","")&amp;IF(B189="","Proprietário; ","")&amp;IF(C189="","Origem; ","")&amp;IF(D189="","Temperatura; ","")&amp;IF(E189="","Segmento; ","")&amp;IF(F189="","Time/Cluster; ","")&amp;IF(G189="","CNPJ; ","")&amp;IF(H189="","Razão Social; ","")&amp;IF(AND(J189="",K189=""),"nome do contato; ","")&amp;IF(AND(M189="",N189="",O189=""),"telefone, celular ou e-mail; ","")))</f>
      </c>
      <c r="AB189" s="6">
        <f>IF(COUNTA(A189:S189)=0,"",IF(AND(U189="OK",V189="OK",LEFT(W189,4)&lt;&gt;"ERRO",LEFT(X189,4)&lt;&gt;"ERRO",LEFT(Y189,4)&lt;&gt;"ERRO",AA189="OK"),"OK","REVISAR"))</f>
      </c>
    </row>
    <row r="190">
      <c r="A190" s="5"/>
      <c r="B190" s="5"/>
      <c r="C190" s="5"/>
      <c r="D190" s="5"/>
      <c r="E190" s="5"/>
      <c r="F190" s="5"/>
      <c r="G190" s="5"/>
      <c r="H190" s="5"/>
      <c r="I190" s="4"/>
      <c r="J190" s="5"/>
      <c r="K190" s="4"/>
      <c r="L190" s="4"/>
      <c r="M190" s="4"/>
      <c r="N190" s="4"/>
      <c r="O190" s="4"/>
      <c r="P190" s="4"/>
      <c r="Q190" s="4"/>
      <c r="R190" s="4"/>
      <c r="S190" s="4"/>
      <c r="T190" s="6">
        <f>IF(G190="","",SUBSTITUTE(SUBSTITUTE(SUBSTITUTE(SUBSTITUTE(SUBSTITUTE(SUBSTITUTE(SUBSTITUTE(TRIM(G190),".",""),"/",""),"-","")," ",""),"(",""),")",""),"+",""))</f>
      </c>
      <c r="U190" s="6">
        <f>IF(T190="","",IF(LEN(T190)&lt;&gt;14,"ERRO: "&amp;LEN(T190)&amp;" dígitos",IF(NOT(ISNUMBER(VALUE(T190))),"ERRO: não numérico",IF(LEN(SUBSTITUTE(T190,LEFT(T190,1),""))=0,"ERRO: dígitos repetidos",IF(AND(VALUE(MID(T190,13,1))=IF(MOD(SUMPRODUCT(--MID(T190,{1,2,3,4,5,6,7,8,9,10,11,12},1),{5,4,3,2,9,8,7,6,5,4,3,2}),11)&lt;2,0,11-MOD(SUMPRODUCT(--MID(T190,{1,2,3,4,5,6,7,8,9,10,11,12},1),{5,4,3,2,9,8,7,6,5,4,3,2}),11)),VALUE(MID(T190,14,1))=IF(MOD(SUMPRODUCT(--MID(T190,{1,2,3,4,5,6,7,8,9,10,11,12,13},1),{6,5,4,3,2,9,8,7,6,5,4,3,2}),11)&lt;2,0,11-MOD(SUMPRODUCT(--MID(T190,{1,2,3,4,5,6,7,8,9,10,11,12,13},1),{6,5,4,3,2,9,8,7,6,5,4,3,2}),11))),"OK","ERRO: dígito verificador")))))</f>
      </c>
      <c r="V190" s="6">
        <f>IF(T190="","",IF(COUNTIF($T$2:$T$1001,T190)&gt;1,"DUPLICADO","OK"))</f>
      </c>
      <c r="W190" s="6">
        <f>IF(M190="","vazio",IF(OR(AND(LEN(SUBSTITUTE(SUBSTITUTE(SUBSTITUTE(SUBSTITUTE(SUBSTITUTE(SUBSTITUTE(SUBSTITUTE(TRIM(M190),".",""),"/",""),"-","")," ",""),"(",""),")",""),"+",""))=10,LEFT(SUBSTITUTE(SUBSTITUTE(SUBSTITUTE(SUBSTITUTE(SUBSTITUTE(SUBSTITUTE(SUBSTITUTE(TRIM(M190),".",""),"/",""),"-","")," ",""),"(",""),")",""),"+",""),1)&lt;&gt;"0"),AND(LEN(SUBSTITUTE(SUBSTITUTE(SUBSTITUTE(SUBSTITUTE(SUBSTITUTE(SUBSTITUTE(SUBSTITUTE(TRIM(M190),".",""),"/",""),"-","")," ",""),"(",""),")",""),"+",""))=11,LEFT(SUBSTITUTE(SUBSTITUTE(SUBSTITUTE(SUBSTITUTE(SUBSTITUTE(SUBSTITUTE(SUBSTITUTE(TRIM(M190),".",""),"/",""),"-","")," ",""),"(",""),")",""),"+",""),4)="0800")),"OK",IF(AND(LEN(SUBSTITUTE(SUBSTITUTE(SUBSTITUTE(SUBSTITUTE(SUBSTITUTE(SUBSTITUTE(SUBSTITUTE(TRIM(M190),".",""),"/",""),"-","")," ",""),"(",""),")",""),"+",""))=11,MID(SUBSTITUTE(SUBSTITUTE(SUBSTITUTE(SUBSTITUTE(SUBSTITUTE(SUBSTITUTE(SUBSTITUTE(TRIM(M190),".",""),"/",""),"-","")," ",""),"(",""),")",""),"+",""),3,1)="9"),"ERRO: é celular, use a coluna Celular","ERRO: DDD + 8 dígitos ou 0800 + 7")))</f>
      </c>
      <c r="X190" s="6">
        <f>IF(N190="","vazio",IF(AND(LEN(SUBSTITUTE(SUBSTITUTE(SUBSTITUTE(SUBSTITUTE(SUBSTITUTE(SUBSTITUTE(SUBSTITUTE(TRIM(N190),".",""),"/",""),"-","")," ",""),"(",""),")",""),"+",""))=11,MID(SUBSTITUTE(SUBSTITUTE(SUBSTITUTE(SUBSTITUTE(SUBSTITUTE(SUBSTITUTE(SUBSTITUTE(TRIM(N190),".",""),"/",""),"-","")," ",""),"(",""),")",""),"+",""),3,1)="9",LEFT(SUBSTITUTE(SUBSTITUTE(SUBSTITUTE(SUBSTITUTE(SUBSTITUTE(SUBSTITUTE(SUBSTITUTE(TRIM(N190),".",""),"/",""),"-","")," ",""),"(",""),")",""),"+",""),1)&lt;&gt;"0"),"OK",IF(LEN(SUBSTITUTE(SUBSTITUTE(SUBSTITUTE(SUBSTITUTE(SUBSTITUTE(SUBSTITUTE(SUBSTITUTE(TRIM(N190),".",""),"/",""),"-","")," ",""),"(",""),")",""),"+",""))=10,"ERRO: é fixo (ou falta o 9), use a coluna Telefone fixo","ERRO: DDD + 9 + 8 dígitos")))</f>
      </c>
      <c r="Y190" s="6">
        <f>IF(O190="","vazio",IF(AND(ISNUMBER(FIND("@",O190)),ISNUMBER(FIND(".",MID(O190,FIND("@",O190),99))),NOT(ISNUMBER(FIND(" ",TRIM(O190)))),NOT(ISNUMBER(FIND(";",O190))),NOT(ISNUMBER(FIND(",",O190)))),"OK","ERRO: um e-mail válido por linha"))</f>
      </c>
      <c r="Z190" s="6">
        <f>IF(AND(J190="",K190=""),"",IF(AND(J190&lt;&gt;"",K190&lt;&gt;""),"OK","pendente: só um nome (o GR completa ao converter)"))</f>
      </c>
      <c r="AA190" s="6">
        <f>IF(COUNTA(A190:S190)=0,"",IF(AND(A190&lt;&gt;"",B190&lt;&gt;"",C190&lt;&gt;"",D190&lt;&gt;"",E190&lt;&gt;"",F190&lt;&gt;"",G190&lt;&gt;"",H190&lt;&gt;"",OR(J190&lt;&gt;"",K190&lt;&gt;""),OR(M190&lt;&gt;"",N190&lt;&gt;"",O190&lt;&gt;"")),"OK","ERRO: faltam "&amp;IF(A190="","SDR; ","")&amp;IF(B190="","Proprietário; ","")&amp;IF(C190="","Origem; ","")&amp;IF(D190="","Temperatura; ","")&amp;IF(E190="","Segmento; ","")&amp;IF(F190="","Time/Cluster; ","")&amp;IF(G190="","CNPJ; ","")&amp;IF(H190="","Razão Social; ","")&amp;IF(AND(J190="",K190=""),"nome do contato; ","")&amp;IF(AND(M190="",N190="",O190=""),"telefone, celular ou e-mail; ","")))</f>
      </c>
      <c r="AB190" s="6">
        <f>IF(COUNTA(A190:S190)=0,"",IF(AND(U190="OK",V190="OK",LEFT(W190,4)&lt;&gt;"ERRO",LEFT(X190,4)&lt;&gt;"ERRO",LEFT(Y190,4)&lt;&gt;"ERRO",AA190="OK"),"OK","REVISAR"))</f>
      </c>
    </row>
    <row r="191">
      <c r="A191" s="5"/>
      <c r="B191" s="5"/>
      <c r="C191" s="5"/>
      <c r="D191" s="5"/>
      <c r="E191" s="5"/>
      <c r="F191" s="5"/>
      <c r="G191" s="5"/>
      <c r="H191" s="5"/>
      <c r="I191" s="4"/>
      <c r="J191" s="5"/>
      <c r="K191" s="4"/>
      <c r="L191" s="4"/>
      <c r="M191" s="4"/>
      <c r="N191" s="4"/>
      <c r="O191" s="4"/>
      <c r="P191" s="4"/>
      <c r="Q191" s="4"/>
      <c r="R191" s="4"/>
      <c r="S191" s="4"/>
      <c r="T191" s="6">
        <f>IF(G191="","",SUBSTITUTE(SUBSTITUTE(SUBSTITUTE(SUBSTITUTE(SUBSTITUTE(SUBSTITUTE(SUBSTITUTE(TRIM(G191),".",""),"/",""),"-","")," ",""),"(",""),")",""),"+",""))</f>
      </c>
      <c r="U191" s="6">
        <f>IF(T191="","",IF(LEN(T191)&lt;&gt;14,"ERRO: "&amp;LEN(T191)&amp;" dígitos",IF(NOT(ISNUMBER(VALUE(T191))),"ERRO: não numérico",IF(LEN(SUBSTITUTE(T191,LEFT(T191,1),""))=0,"ERRO: dígitos repetidos",IF(AND(VALUE(MID(T191,13,1))=IF(MOD(SUMPRODUCT(--MID(T191,{1,2,3,4,5,6,7,8,9,10,11,12},1),{5,4,3,2,9,8,7,6,5,4,3,2}),11)&lt;2,0,11-MOD(SUMPRODUCT(--MID(T191,{1,2,3,4,5,6,7,8,9,10,11,12},1),{5,4,3,2,9,8,7,6,5,4,3,2}),11)),VALUE(MID(T191,14,1))=IF(MOD(SUMPRODUCT(--MID(T191,{1,2,3,4,5,6,7,8,9,10,11,12,13},1),{6,5,4,3,2,9,8,7,6,5,4,3,2}),11)&lt;2,0,11-MOD(SUMPRODUCT(--MID(T191,{1,2,3,4,5,6,7,8,9,10,11,12,13},1),{6,5,4,3,2,9,8,7,6,5,4,3,2}),11))),"OK","ERRO: dígito verificador")))))</f>
      </c>
      <c r="V191" s="6">
        <f>IF(T191="","",IF(COUNTIF($T$2:$T$1001,T191)&gt;1,"DUPLICADO","OK"))</f>
      </c>
      <c r="W191" s="6">
        <f>IF(M191="","vazio",IF(OR(AND(LEN(SUBSTITUTE(SUBSTITUTE(SUBSTITUTE(SUBSTITUTE(SUBSTITUTE(SUBSTITUTE(SUBSTITUTE(TRIM(M191),".",""),"/",""),"-","")," ",""),"(",""),")",""),"+",""))=10,LEFT(SUBSTITUTE(SUBSTITUTE(SUBSTITUTE(SUBSTITUTE(SUBSTITUTE(SUBSTITUTE(SUBSTITUTE(TRIM(M191),".",""),"/",""),"-","")," ",""),"(",""),")",""),"+",""),1)&lt;&gt;"0"),AND(LEN(SUBSTITUTE(SUBSTITUTE(SUBSTITUTE(SUBSTITUTE(SUBSTITUTE(SUBSTITUTE(SUBSTITUTE(TRIM(M191),".",""),"/",""),"-","")," ",""),"(",""),")",""),"+",""))=11,LEFT(SUBSTITUTE(SUBSTITUTE(SUBSTITUTE(SUBSTITUTE(SUBSTITUTE(SUBSTITUTE(SUBSTITUTE(TRIM(M191),".",""),"/",""),"-","")," ",""),"(",""),")",""),"+",""),4)="0800")),"OK",IF(AND(LEN(SUBSTITUTE(SUBSTITUTE(SUBSTITUTE(SUBSTITUTE(SUBSTITUTE(SUBSTITUTE(SUBSTITUTE(TRIM(M191),".",""),"/",""),"-","")," ",""),"(",""),")",""),"+",""))=11,MID(SUBSTITUTE(SUBSTITUTE(SUBSTITUTE(SUBSTITUTE(SUBSTITUTE(SUBSTITUTE(SUBSTITUTE(TRIM(M191),".",""),"/",""),"-","")," ",""),"(",""),")",""),"+",""),3,1)="9"),"ERRO: é celular, use a coluna Celular","ERRO: DDD + 8 dígitos ou 0800 + 7")))</f>
      </c>
      <c r="X191" s="6">
        <f>IF(N191="","vazio",IF(AND(LEN(SUBSTITUTE(SUBSTITUTE(SUBSTITUTE(SUBSTITUTE(SUBSTITUTE(SUBSTITUTE(SUBSTITUTE(TRIM(N191),".",""),"/",""),"-","")," ",""),"(",""),")",""),"+",""))=11,MID(SUBSTITUTE(SUBSTITUTE(SUBSTITUTE(SUBSTITUTE(SUBSTITUTE(SUBSTITUTE(SUBSTITUTE(TRIM(N191),".",""),"/",""),"-","")," ",""),"(",""),")",""),"+",""),3,1)="9",LEFT(SUBSTITUTE(SUBSTITUTE(SUBSTITUTE(SUBSTITUTE(SUBSTITUTE(SUBSTITUTE(SUBSTITUTE(TRIM(N191),".",""),"/",""),"-","")," ",""),"(",""),")",""),"+",""),1)&lt;&gt;"0"),"OK",IF(LEN(SUBSTITUTE(SUBSTITUTE(SUBSTITUTE(SUBSTITUTE(SUBSTITUTE(SUBSTITUTE(SUBSTITUTE(TRIM(N191),".",""),"/",""),"-","")," ",""),"(",""),")",""),"+",""))=10,"ERRO: é fixo (ou falta o 9), use a coluna Telefone fixo","ERRO: DDD + 9 + 8 dígitos")))</f>
      </c>
      <c r="Y191" s="6">
        <f>IF(O191="","vazio",IF(AND(ISNUMBER(FIND("@",O191)),ISNUMBER(FIND(".",MID(O191,FIND("@",O191),99))),NOT(ISNUMBER(FIND(" ",TRIM(O191)))),NOT(ISNUMBER(FIND(";",O191))),NOT(ISNUMBER(FIND(",",O191)))),"OK","ERRO: um e-mail válido por linha"))</f>
      </c>
      <c r="Z191" s="6">
        <f>IF(AND(J191="",K191=""),"",IF(AND(J191&lt;&gt;"",K191&lt;&gt;""),"OK","pendente: só um nome (o GR completa ao converter)"))</f>
      </c>
      <c r="AA191" s="6">
        <f>IF(COUNTA(A191:S191)=0,"",IF(AND(A191&lt;&gt;"",B191&lt;&gt;"",C191&lt;&gt;"",D191&lt;&gt;"",E191&lt;&gt;"",F191&lt;&gt;"",G191&lt;&gt;"",H191&lt;&gt;"",OR(J191&lt;&gt;"",K191&lt;&gt;""),OR(M191&lt;&gt;"",N191&lt;&gt;"",O191&lt;&gt;"")),"OK","ERRO: faltam "&amp;IF(A191="","SDR; ","")&amp;IF(B191="","Proprietário; ","")&amp;IF(C191="","Origem; ","")&amp;IF(D191="","Temperatura; ","")&amp;IF(E191="","Segmento; ","")&amp;IF(F191="","Time/Cluster; ","")&amp;IF(G191="","CNPJ; ","")&amp;IF(H191="","Razão Social; ","")&amp;IF(AND(J191="",K191=""),"nome do contato; ","")&amp;IF(AND(M191="",N191="",O191=""),"telefone, celular ou e-mail; ","")))</f>
      </c>
      <c r="AB191" s="6">
        <f>IF(COUNTA(A191:S191)=0,"",IF(AND(U191="OK",V191="OK",LEFT(W191,4)&lt;&gt;"ERRO",LEFT(X191,4)&lt;&gt;"ERRO",LEFT(Y191,4)&lt;&gt;"ERRO",AA191="OK"),"OK","REVISAR"))</f>
      </c>
    </row>
    <row r="192">
      <c r="A192" s="5"/>
      <c r="B192" s="5"/>
      <c r="C192" s="5"/>
      <c r="D192" s="5"/>
      <c r="E192" s="5"/>
      <c r="F192" s="5"/>
      <c r="G192" s="5"/>
      <c r="H192" s="5"/>
      <c r="I192" s="4"/>
      <c r="J192" s="5"/>
      <c r="K192" s="4"/>
      <c r="L192" s="4"/>
      <c r="M192" s="4"/>
      <c r="N192" s="4"/>
      <c r="O192" s="4"/>
      <c r="P192" s="4"/>
      <c r="Q192" s="4"/>
      <c r="R192" s="4"/>
      <c r="S192" s="4"/>
      <c r="T192" s="6">
        <f>IF(G192="","",SUBSTITUTE(SUBSTITUTE(SUBSTITUTE(SUBSTITUTE(SUBSTITUTE(SUBSTITUTE(SUBSTITUTE(TRIM(G192),".",""),"/",""),"-","")," ",""),"(",""),")",""),"+",""))</f>
      </c>
      <c r="U192" s="6">
        <f>IF(T192="","",IF(LEN(T192)&lt;&gt;14,"ERRO: "&amp;LEN(T192)&amp;" dígitos",IF(NOT(ISNUMBER(VALUE(T192))),"ERRO: não numérico",IF(LEN(SUBSTITUTE(T192,LEFT(T192,1),""))=0,"ERRO: dígitos repetidos",IF(AND(VALUE(MID(T192,13,1))=IF(MOD(SUMPRODUCT(--MID(T192,{1,2,3,4,5,6,7,8,9,10,11,12},1),{5,4,3,2,9,8,7,6,5,4,3,2}),11)&lt;2,0,11-MOD(SUMPRODUCT(--MID(T192,{1,2,3,4,5,6,7,8,9,10,11,12},1),{5,4,3,2,9,8,7,6,5,4,3,2}),11)),VALUE(MID(T192,14,1))=IF(MOD(SUMPRODUCT(--MID(T192,{1,2,3,4,5,6,7,8,9,10,11,12,13},1),{6,5,4,3,2,9,8,7,6,5,4,3,2}),11)&lt;2,0,11-MOD(SUMPRODUCT(--MID(T192,{1,2,3,4,5,6,7,8,9,10,11,12,13},1),{6,5,4,3,2,9,8,7,6,5,4,3,2}),11))),"OK","ERRO: dígito verificador")))))</f>
      </c>
      <c r="V192" s="6">
        <f>IF(T192="","",IF(COUNTIF($T$2:$T$1001,T192)&gt;1,"DUPLICADO","OK"))</f>
      </c>
      <c r="W192" s="6">
        <f>IF(M192="","vazio",IF(OR(AND(LEN(SUBSTITUTE(SUBSTITUTE(SUBSTITUTE(SUBSTITUTE(SUBSTITUTE(SUBSTITUTE(SUBSTITUTE(TRIM(M192),".",""),"/",""),"-","")," ",""),"(",""),")",""),"+",""))=10,LEFT(SUBSTITUTE(SUBSTITUTE(SUBSTITUTE(SUBSTITUTE(SUBSTITUTE(SUBSTITUTE(SUBSTITUTE(TRIM(M192),".",""),"/",""),"-","")," ",""),"(",""),")",""),"+",""),1)&lt;&gt;"0"),AND(LEN(SUBSTITUTE(SUBSTITUTE(SUBSTITUTE(SUBSTITUTE(SUBSTITUTE(SUBSTITUTE(SUBSTITUTE(TRIM(M192),".",""),"/",""),"-","")," ",""),"(",""),")",""),"+",""))=11,LEFT(SUBSTITUTE(SUBSTITUTE(SUBSTITUTE(SUBSTITUTE(SUBSTITUTE(SUBSTITUTE(SUBSTITUTE(TRIM(M192),".",""),"/",""),"-","")," ",""),"(",""),")",""),"+",""),4)="0800")),"OK",IF(AND(LEN(SUBSTITUTE(SUBSTITUTE(SUBSTITUTE(SUBSTITUTE(SUBSTITUTE(SUBSTITUTE(SUBSTITUTE(TRIM(M192),".",""),"/",""),"-","")," ",""),"(",""),")",""),"+",""))=11,MID(SUBSTITUTE(SUBSTITUTE(SUBSTITUTE(SUBSTITUTE(SUBSTITUTE(SUBSTITUTE(SUBSTITUTE(TRIM(M192),".",""),"/",""),"-","")," ",""),"(",""),")",""),"+",""),3,1)="9"),"ERRO: é celular, use a coluna Celular","ERRO: DDD + 8 dígitos ou 0800 + 7")))</f>
      </c>
      <c r="X192" s="6">
        <f>IF(N192="","vazio",IF(AND(LEN(SUBSTITUTE(SUBSTITUTE(SUBSTITUTE(SUBSTITUTE(SUBSTITUTE(SUBSTITUTE(SUBSTITUTE(TRIM(N192),".",""),"/",""),"-","")," ",""),"(",""),")",""),"+",""))=11,MID(SUBSTITUTE(SUBSTITUTE(SUBSTITUTE(SUBSTITUTE(SUBSTITUTE(SUBSTITUTE(SUBSTITUTE(TRIM(N192),".",""),"/",""),"-","")," ",""),"(",""),")",""),"+",""),3,1)="9",LEFT(SUBSTITUTE(SUBSTITUTE(SUBSTITUTE(SUBSTITUTE(SUBSTITUTE(SUBSTITUTE(SUBSTITUTE(TRIM(N192),".",""),"/",""),"-","")," ",""),"(",""),")",""),"+",""),1)&lt;&gt;"0"),"OK",IF(LEN(SUBSTITUTE(SUBSTITUTE(SUBSTITUTE(SUBSTITUTE(SUBSTITUTE(SUBSTITUTE(SUBSTITUTE(TRIM(N192),".",""),"/",""),"-","")," ",""),"(",""),")",""),"+",""))=10,"ERRO: é fixo (ou falta o 9), use a coluna Telefone fixo","ERRO: DDD + 9 + 8 dígitos")))</f>
      </c>
      <c r="Y192" s="6">
        <f>IF(O192="","vazio",IF(AND(ISNUMBER(FIND("@",O192)),ISNUMBER(FIND(".",MID(O192,FIND("@",O192),99))),NOT(ISNUMBER(FIND(" ",TRIM(O192)))),NOT(ISNUMBER(FIND(";",O192))),NOT(ISNUMBER(FIND(",",O192)))),"OK","ERRO: um e-mail válido por linha"))</f>
      </c>
      <c r="Z192" s="6">
        <f>IF(AND(J192="",K192=""),"",IF(AND(J192&lt;&gt;"",K192&lt;&gt;""),"OK","pendente: só um nome (o GR completa ao converter)"))</f>
      </c>
      <c r="AA192" s="6">
        <f>IF(COUNTA(A192:S192)=0,"",IF(AND(A192&lt;&gt;"",B192&lt;&gt;"",C192&lt;&gt;"",D192&lt;&gt;"",E192&lt;&gt;"",F192&lt;&gt;"",G192&lt;&gt;"",H192&lt;&gt;"",OR(J192&lt;&gt;"",K192&lt;&gt;""),OR(M192&lt;&gt;"",N192&lt;&gt;"",O192&lt;&gt;"")),"OK","ERRO: faltam "&amp;IF(A192="","SDR; ","")&amp;IF(B192="","Proprietário; ","")&amp;IF(C192="","Origem; ","")&amp;IF(D192="","Temperatura; ","")&amp;IF(E192="","Segmento; ","")&amp;IF(F192="","Time/Cluster; ","")&amp;IF(G192="","CNPJ; ","")&amp;IF(H192="","Razão Social; ","")&amp;IF(AND(J192="",K192=""),"nome do contato; ","")&amp;IF(AND(M192="",N192="",O192=""),"telefone, celular ou e-mail; ","")))</f>
      </c>
      <c r="AB192" s="6">
        <f>IF(COUNTA(A192:S192)=0,"",IF(AND(U192="OK",V192="OK",LEFT(W192,4)&lt;&gt;"ERRO",LEFT(X192,4)&lt;&gt;"ERRO",LEFT(Y192,4)&lt;&gt;"ERRO",AA192="OK"),"OK","REVISAR"))</f>
      </c>
    </row>
    <row r="193">
      <c r="A193" s="5"/>
      <c r="B193" s="5"/>
      <c r="C193" s="5"/>
      <c r="D193" s="5"/>
      <c r="E193" s="5"/>
      <c r="F193" s="5"/>
      <c r="G193" s="5"/>
      <c r="H193" s="5"/>
      <c r="I193" s="4"/>
      <c r="J193" s="5"/>
      <c r="K193" s="4"/>
      <c r="L193" s="4"/>
      <c r="M193" s="4"/>
      <c r="N193" s="4"/>
      <c r="O193" s="4"/>
      <c r="P193" s="4"/>
      <c r="Q193" s="4"/>
      <c r="R193" s="4"/>
      <c r="S193" s="4"/>
      <c r="T193" s="6">
        <f>IF(G193="","",SUBSTITUTE(SUBSTITUTE(SUBSTITUTE(SUBSTITUTE(SUBSTITUTE(SUBSTITUTE(SUBSTITUTE(TRIM(G193),".",""),"/",""),"-","")," ",""),"(",""),")",""),"+",""))</f>
      </c>
      <c r="U193" s="6">
        <f>IF(T193="","",IF(LEN(T193)&lt;&gt;14,"ERRO: "&amp;LEN(T193)&amp;" dígitos",IF(NOT(ISNUMBER(VALUE(T193))),"ERRO: não numérico",IF(LEN(SUBSTITUTE(T193,LEFT(T193,1),""))=0,"ERRO: dígitos repetidos",IF(AND(VALUE(MID(T193,13,1))=IF(MOD(SUMPRODUCT(--MID(T193,{1,2,3,4,5,6,7,8,9,10,11,12},1),{5,4,3,2,9,8,7,6,5,4,3,2}),11)&lt;2,0,11-MOD(SUMPRODUCT(--MID(T193,{1,2,3,4,5,6,7,8,9,10,11,12},1),{5,4,3,2,9,8,7,6,5,4,3,2}),11)),VALUE(MID(T193,14,1))=IF(MOD(SUMPRODUCT(--MID(T193,{1,2,3,4,5,6,7,8,9,10,11,12,13},1),{6,5,4,3,2,9,8,7,6,5,4,3,2}),11)&lt;2,0,11-MOD(SUMPRODUCT(--MID(T193,{1,2,3,4,5,6,7,8,9,10,11,12,13},1),{6,5,4,3,2,9,8,7,6,5,4,3,2}),11))),"OK","ERRO: dígito verificador")))))</f>
      </c>
      <c r="V193" s="6">
        <f>IF(T193="","",IF(COUNTIF($T$2:$T$1001,T193)&gt;1,"DUPLICADO","OK"))</f>
      </c>
      <c r="W193" s="6">
        <f>IF(M193="","vazio",IF(OR(AND(LEN(SUBSTITUTE(SUBSTITUTE(SUBSTITUTE(SUBSTITUTE(SUBSTITUTE(SUBSTITUTE(SUBSTITUTE(TRIM(M193),".",""),"/",""),"-","")," ",""),"(",""),")",""),"+",""))=10,LEFT(SUBSTITUTE(SUBSTITUTE(SUBSTITUTE(SUBSTITUTE(SUBSTITUTE(SUBSTITUTE(SUBSTITUTE(TRIM(M193),".",""),"/",""),"-","")," ",""),"(",""),")",""),"+",""),1)&lt;&gt;"0"),AND(LEN(SUBSTITUTE(SUBSTITUTE(SUBSTITUTE(SUBSTITUTE(SUBSTITUTE(SUBSTITUTE(SUBSTITUTE(TRIM(M193),".",""),"/",""),"-","")," ",""),"(",""),")",""),"+",""))=11,LEFT(SUBSTITUTE(SUBSTITUTE(SUBSTITUTE(SUBSTITUTE(SUBSTITUTE(SUBSTITUTE(SUBSTITUTE(TRIM(M193),".",""),"/",""),"-","")," ",""),"(",""),")",""),"+",""),4)="0800")),"OK",IF(AND(LEN(SUBSTITUTE(SUBSTITUTE(SUBSTITUTE(SUBSTITUTE(SUBSTITUTE(SUBSTITUTE(SUBSTITUTE(TRIM(M193),".",""),"/",""),"-","")," ",""),"(",""),")",""),"+",""))=11,MID(SUBSTITUTE(SUBSTITUTE(SUBSTITUTE(SUBSTITUTE(SUBSTITUTE(SUBSTITUTE(SUBSTITUTE(TRIM(M193),".",""),"/",""),"-","")," ",""),"(",""),")",""),"+",""),3,1)="9"),"ERRO: é celular, use a coluna Celular","ERRO: DDD + 8 dígitos ou 0800 + 7")))</f>
      </c>
      <c r="X193" s="6">
        <f>IF(N193="","vazio",IF(AND(LEN(SUBSTITUTE(SUBSTITUTE(SUBSTITUTE(SUBSTITUTE(SUBSTITUTE(SUBSTITUTE(SUBSTITUTE(TRIM(N193),".",""),"/",""),"-","")," ",""),"(",""),")",""),"+",""))=11,MID(SUBSTITUTE(SUBSTITUTE(SUBSTITUTE(SUBSTITUTE(SUBSTITUTE(SUBSTITUTE(SUBSTITUTE(TRIM(N193),".",""),"/",""),"-","")," ",""),"(",""),")",""),"+",""),3,1)="9",LEFT(SUBSTITUTE(SUBSTITUTE(SUBSTITUTE(SUBSTITUTE(SUBSTITUTE(SUBSTITUTE(SUBSTITUTE(TRIM(N193),".",""),"/",""),"-","")," ",""),"(",""),")",""),"+",""),1)&lt;&gt;"0"),"OK",IF(LEN(SUBSTITUTE(SUBSTITUTE(SUBSTITUTE(SUBSTITUTE(SUBSTITUTE(SUBSTITUTE(SUBSTITUTE(TRIM(N193),".",""),"/",""),"-","")," ",""),"(",""),")",""),"+",""))=10,"ERRO: é fixo (ou falta o 9), use a coluna Telefone fixo","ERRO: DDD + 9 + 8 dígitos")))</f>
      </c>
      <c r="Y193" s="6">
        <f>IF(O193="","vazio",IF(AND(ISNUMBER(FIND("@",O193)),ISNUMBER(FIND(".",MID(O193,FIND("@",O193),99))),NOT(ISNUMBER(FIND(" ",TRIM(O193)))),NOT(ISNUMBER(FIND(";",O193))),NOT(ISNUMBER(FIND(",",O193)))),"OK","ERRO: um e-mail válido por linha"))</f>
      </c>
      <c r="Z193" s="6">
        <f>IF(AND(J193="",K193=""),"",IF(AND(J193&lt;&gt;"",K193&lt;&gt;""),"OK","pendente: só um nome (o GR completa ao converter)"))</f>
      </c>
      <c r="AA193" s="6">
        <f>IF(COUNTA(A193:S193)=0,"",IF(AND(A193&lt;&gt;"",B193&lt;&gt;"",C193&lt;&gt;"",D193&lt;&gt;"",E193&lt;&gt;"",F193&lt;&gt;"",G193&lt;&gt;"",H193&lt;&gt;"",OR(J193&lt;&gt;"",K193&lt;&gt;""),OR(M193&lt;&gt;"",N193&lt;&gt;"",O193&lt;&gt;"")),"OK","ERRO: faltam "&amp;IF(A193="","SDR; ","")&amp;IF(B193="","Proprietário; ","")&amp;IF(C193="","Origem; ","")&amp;IF(D193="","Temperatura; ","")&amp;IF(E193="","Segmento; ","")&amp;IF(F193="","Time/Cluster; ","")&amp;IF(G193="","CNPJ; ","")&amp;IF(H193="","Razão Social; ","")&amp;IF(AND(J193="",K193=""),"nome do contato; ","")&amp;IF(AND(M193="",N193="",O193=""),"telefone, celular ou e-mail; ","")))</f>
      </c>
      <c r="AB193" s="6">
        <f>IF(COUNTA(A193:S193)=0,"",IF(AND(U193="OK",V193="OK",LEFT(W193,4)&lt;&gt;"ERRO",LEFT(X193,4)&lt;&gt;"ERRO",LEFT(Y193,4)&lt;&gt;"ERRO",AA193="OK"),"OK","REVISAR"))</f>
      </c>
    </row>
    <row r="194">
      <c r="A194" s="5"/>
      <c r="B194" s="5"/>
      <c r="C194" s="5"/>
      <c r="D194" s="5"/>
      <c r="E194" s="5"/>
      <c r="F194" s="5"/>
      <c r="G194" s="5"/>
      <c r="H194" s="5"/>
      <c r="I194" s="4"/>
      <c r="J194" s="5"/>
      <c r="K194" s="4"/>
      <c r="L194" s="4"/>
      <c r="M194" s="4"/>
      <c r="N194" s="4"/>
      <c r="O194" s="4"/>
      <c r="P194" s="4"/>
      <c r="Q194" s="4"/>
      <c r="R194" s="4"/>
      <c r="S194" s="4"/>
      <c r="T194" s="6">
        <f>IF(G194="","",SUBSTITUTE(SUBSTITUTE(SUBSTITUTE(SUBSTITUTE(SUBSTITUTE(SUBSTITUTE(SUBSTITUTE(TRIM(G194),".",""),"/",""),"-","")," ",""),"(",""),")",""),"+",""))</f>
      </c>
      <c r="U194" s="6">
        <f>IF(T194="","",IF(LEN(T194)&lt;&gt;14,"ERRO: "&amp;LEN(T194)&amp;" dígitos",IF(NOT(ISNUMBER(VALUE(T194))),"ERRO: não numérico",IF(LEN(SUBSTITUTE(T194,LEFT(T194,1),""))=0,"ERRO: dígitos repetidos",IF(AND(VALUE(MID(T194,13,1))=IF(MOD(SUMPRODUCT(--MID(T194,{1,2,3,4,5,6,7,8,9,10,11,12},1),{5,4,3,2,9,8,7,6,5,4,3,2}),11)&lt;2,0,11-MOD(SUMPRODUCT(--MID(T194,{1,2,3,4,5,6,7,8,9,10,11,12},1),{5,4,3,2,9,8,7,6,5,4,3,2}),11)),VALUE(MID(T194,14,1))=IF(MOD(SUMPRODUCT(--MID(T194,{1,2,3,4,5,6,7,8,9,10,11,12,13},1),{6,5,4,3,2,9,8,7,6,5,4,3,2}),11)&lt;2,0,11-MOD(SUMPRODUCT(--MID(T194,{1,2,3,4,5,6,7,8,9,10,11,12,13},1),{6,5,4,3,2,9,8,7,6,5,4,3,2}),11))),"OK","ERRO: dígito verificador")))))</f>
      </c>
      <c r="V194" s="6">
        <f>IF(T194="","",IF(COUNTIF($T$2:$T$1001,T194)&gt;1,"DUPLICADO","OK"))</f>
      </c>
      <c r="W194" s="6">
        <f>IF(M194="","vazio",IF(OR(AND(LEN(SUBSTITUTE(SUBSTITUTE(SUBSTITUTE(SUBSTITUTE(SUBSTITUTE(SUBSTITUTE(SUBSTITUTE(TRIM(M194),".",""),"/",""),"-","")," ",""),"(",""),")",""),"+",""))=10,LEFT(SUBSTITUTE(SUBSTITUTE(SUBSTITUTE(SUBSTITUTE(SUBSTITUTE(SUBSTITUTE(SUBSTITUTE(TRIM(M194),".",""),"/",""),"-","")," ",""),"(",""),")",""),"+",""),1)&lt;&gt;"0"),AND(LEN(SUBSTITUTE(SUBSTITUTE(SUBSTITUTE(SUBSTITUTE(SUBSTITUTE(SUBSTITUTE(SUBSTITUTE(TRIM(M194),".",""),"/",""),"-","")," ",""),"(",""),")",""),"+",""))=11,LEFT(SUBSTITUTE(SUBSTITUTE(SUBSTITUTE(SUBSTITUTE(SUBSTITUTE(SUBSTITUTE(SUBSTITUTE(TRIM(M194),".",""),"/",""),"-","")," ",""),"(",""),")",""),"+",""),4)="0800")),"OK",IF(AND(LEN(SUBSTITUTE(SUBSTITUTE(SUBSTITUTE(SUBSTITUTE(SUBSTITUTE(SUBSTITUTE(SUBSTITUTE(TRIM(M194),".",""),"/",""),"-","")," ",""),"(",""),")",""),"+",""))=11,MID(SUBSTITUTE(SUBSTITUTE(SUBSTITUTE(SUBSTITUTE(SUBSTITUTE(SUBSTITUTE(SUBSTITUTE(TRIM(M194),".",""),"/",""),"-","")," ",""),"(",""),")",""),"+",""),3,1)="9"),"ERRO: é celular, use a coluna Celular","ERRO: DDD + 8 dígitos ou 0800 + 7")))</f>
      </c>
      <c r="X194" s="6">
        <f>IF(N194="","vazio",IF(AND(LEN(SUBSTITUTE(SUBSTITUTE(SUBSTITUTE(SUBSTITUTE(SUBSTITUTE(SUBSTITUTE(SUBSTITUTE(TRIM(N194),".",""),"/",""),"-","")," ",""),"(",""),")",""),"+",""))=11,MID(SUBSTITUTE(SUBSTITUTE(SUBSTITUTE(SUBSTITUTE(SUBSTITUTE(SUBSTITUTE(SUBSTITUTE(TRIM(N194),".",""),"/",""),"-","")," ",""),"(",""),")",""),"+",""),3,1)="9",LEFT(SUBSTITUTE(SUBSTITUTE(SUBSTITUTE(SUBSTITUTE(SUBSTITUTE(SUBSTITUTE(SUBSTITUTE(TRIM(N194),".",""),"/",""),"-","")," ",""),"(",""),")",""),"+",""),1)&lt;&gt;"0"),"OK",IF(LEN(SUBSTITUTE(SUBSTITUTE(SUBSTITUTE(SUBSTITUTE(SUBSTITUTE(SUBSTITUTE(SUBSTITUTE(TRIM(N194),".",""),"/",""),"-","")," ",""),"(",""),")",""),"+",""))=10,"ERRO: é fixo (ou falta o 9), use a coluna Telefone fixo","ERRO: DDD + 9 + 8 dígitos")))</f>
      </c>
      <c r="Y194" s="6">
        <f>IF(O194="","vazio",IF(AND(ISNUMBER(FIND("@",O194)),ISNUMBER(FIND(".",MID(O194,FIND("@",O194),99))),NOT(ISNUMBER(FIND(" ",TRIM(O194)))),NOT(ISNUMBER(FIND(";",O194))),NOT(ISNUMBER(FIND(",",O194)))),"OK","ERRO: um e-mail válido por linha"))</f>
      </c>
      <c r="Z194" s="6">
        <f>IF(AND(J194="",K194=""),"",IF(AND(J194&lt;&gt;"",K194&lt;&gt;""),"OK","pendente: só um nome (o GR completa ao converter)"))</f>
      </c>
      <c r="AA194" s="6">
        <f>IF(COUNTA(A194:S194)=0,"",IF(AND(A194&lt;&gt;"",B194&lt;&gt;"",C194&lt;&gt;"",D194&lt;&gt;"",E194&lt;&gt;"",F194&lt;&gt;"",G194&lt;&gt;"",H194&lt;&gt;"",OR(J194&lt;&gt;"",K194&lt;&gt;""),OR(M194&lt;&gt;"",N194&lt;&gt;"",O194&lt;&gt;"")),"OK","ERRO: faltam "&amp;IF(A194="","SDR; ","")&amp;IF(B194="","Proprietário; ","")&amp;IF(C194="","Origem; ","")&amp;IF(D194="","Temperatura; ","")&amp;IF(E194="","Segmento; ","")&amp;IF(F194="","Time/Cluster; ","")&amp;IF(G194="","CNPJ; ","")&amp;IF(H194="","Razão Social; ","")&amp;IF(AND(J194="",K194=""),"nome do contato; ","")&amp;IF(AND(M194="",N194="",O194=""),"telefone, celular ou e-mail; ","")))</f>
      </c>
      <c r="AB194" s="6">
        <f>IF(COUNTA(A194:S194)=0,"",IF(AND(U194="OK",V194="OK",LEFT(W194,4)&lt;&gt;"ERRO",LEFT(X194,4)&lt;&gt;"ERRO",LEFT(Y194,4)&lt;&gt;"ERRO",AA194="OK"),"OK","REVISAR"))</f>
      </c>
    </row>
    <row r="195">
      <c r="A195" s="5"/>
      <c r="B195" s="5"/>
      <c r="C195" s="5"/>
      <c r="D195" s="5"/>
      <c r="E195" s="5"/>
      <c r="F195" s="5"/>
      <c r="G195" s="5"/>
      <c r="H195" s="5"/>
      <c r="I195" s="4"/>
      <c r="J195" s="5"/>
      <c r="K195" s="4"/>
      <c r="L195" s="4"/>
      <c r="M195" s="4"/>
      <c r="N195" s="4"/>
      <c r="O195" s="4"/>
      <c r="P195" s="4"/>
      <c r="Q195" s="4"/>
      <c r="R195" s="4"/>
      <c r="S195" s="4"/>
      <c r="T195" s="6">
        <f>IF(G195="","",SUBSTITUTE(SUBSTITUTE(SUBSTITUTE(SUBSTITUTE(SUBSTITUTE(SUBSTITUTE(SUBSTITUTE(TRIM(G195),".",""),"/",""),"-","")," ",""),"(",""),")",""),"+",""))</f>
      </c>
      <c r="U195" s="6">
        <f>IF(T195="","",IF(LEN(T195)&lt;&gt;14,"ERRO: "&amp;LEN(T195)&amp;" dígitos",IF(NOT(ISNUMBER(VALUE(T195))),"ERRO: não numérico",IF(LEN(SUBSTITUTE(T195,LEFT(T195,1),""))=0,"ERRO: dígitos repetidos",IF(AND(VALUE(MID(T195,13,1))=IF(MOD(SUMPRODUCT(--MID(T195,{1,2,3,4,5,6,7,8,9,10,11,12},1),{5,4,3,2,9,8,7,6,5,4,3,2}),11)&lt;2,0,11-MOD(SUMPRODUCT(--MID(T195,{1,2,3,4,5,6,7,8,9,10,11,12},1),{5,4,3,2,9,8,7,6,5,4,3,2}),11)),VALUE(MID(T195,14,1))=IF(MOD(SUMPRODUCT(--MID(T195,{1,2,3,4,5,6,7,8,9,10,11,12,13},1),{6,5,4,3,2,9,8,7,6,5,4,3,2}),11)&lt;2,0,11-MOD(SUMPRODUCT(--MID(T195,{1,2,3,4,5,6,7,8,9,10,11,12,13},1),{6,5,4,3,2,9,8,7,6,5,4,3,2}),11))),"OK","ERRO: dígito verificador")))))</f>
      </c>
      <c r="V195" s="6">
        <f>IF(T195="","",IF(COUNTIF($T$2:$T$1001,T195)&gt;1,"DUPLICADO","OK"))</f>
      </c>
      <c r="W195" s="6">
        <f>IF(M195="","vazio",IF(OR(AND(LEN(SUBSTITUTE(SUBSTITUTE(SUBSTITUTE(SUBSTITUTE(SUBSTITUTE(SUBSTITUTE(SUBSTITUTE(TRIM(M195),".",""),"/",""),"-","")," ",""),"(",""),")",""),"+",""))=10,LEFT(SUBSTITUTE(SUBSTITUTE(SUBSTITUTE(SUBSTITUTE(SUBSTITUTE(SUBSTITUTE(SUBSTITUTE(TRIM(M195),".",""),"/",""),"-","")," ",""),"(",""),")",""),"+",""),1)&lt;&gt;"0"),AND(LEN(SUBSTITUTE(SUBSTITUTE(SUBSTITUTE(SUBSTITUTE(SUBSTITUTE(SUBSTITUTE(SUBSTITUTE(TRIM(M195),".",""),"/",""),"-","")," ",""),"(",""),")",""),"+",""))=11,LEFT(SUBSTITUTE(SUBSTITUTE(SUBSTITUTE(SUBSTITUTE(SUBSTITUTE(SUBSTITUTE(SUBSTITUTE(TRIM(M195),".",""),"/",""),"-","")," ",""),"(",""),")",""),"+",""),4)="0800")),"OK",IF(AND(LEN(SUBSTITUTE(SUBSTITUTE(SUBSTITUTE(SUBSTITUTE(SUBSTITUTE(SUBSTITUTE(SUBSTITUTE(TRIM(M195),".",""),"/",""),"-","")," ",""),"(",""),")",""),"+",""))=11,MID(SUBSTITUTE(SUBSTITUTE(SUBSTITUTE(SUBSTITUTE(SUBSTITUTE(SUBSTITUTE(SUBSTITUTE(TRIM(M195),".",""),"/",""),"-","")," ",""),"(",""),")",""),"+",""),3,1)="9"),"ERRO: é celular, use a coluna Celular","ERRO: DDD + 8 dígitos ou 0800 + 7")))</f>
      </c>
      <c r="X195" s="6">
        <f>IF(N195="","vazio",IF(AND(LEN(SUBSTITUTE(SUBSTITUTE(SUBSTITUTE(SUBSTITUTE(SUBSTITUTE(SUBSTITUTE(SUBSTITUTE(TRIM(N195),".",""),"/",""),"-","")," ",""),"(",""),")",""),"+",""))=11,MID(SUBSTITUTE(SUBSTITUTE(SUBSTITUTE(SUBSTITUTE(SUBSTITUTE(SUBSTITUTE(SUBSTITUTE(TRIM(N195),".",""),"/",""),"-","")," ",""),"(",""),")",""),"+",""),3,1)="9",LEFT(SUBSTITUTE(SUBSTITUTE(SUBSTITUTE(SUBSTITUTE(SUBSTITUTE(SUBSTITUTE(SUBSTITUTE(TRIM(N195),".",""),"/",""),"-","")," ",""),"(",""),")",""),"+",""),1)&lt;&gt;"0"),"OK",IF(LEN(SUBSTITUTE(SUBSTITUTE(SUBSTITUTE(SUBSTITUTE(SUBSTITUTE(SUBSTITUTE(SUBSTITUTE(TRIM(N195),".",""),"/",""),"-","")," ",""),"(",""),")",""),"+",""))=10,"ERRO: é fixo (ou falta o 9), use a coluna Telefone fixo","ERRO: DDD + 9 + 8 dígitos")))</f>
      </c>
      <c r="Y195" s="6">
        <f>IF(O195="","vazio",IF(AND(ISNUMBER(FIND("@",O195)),ISNUMBER(FIND(".",MID(O195,FIND("@",O195),99))),NOT(ISNUMBER(FIND(" ",TRIM(O195)))),NOT(ISNUMBER(FIND(";",O195))),NOT(ISNUMBER(FIND(",",O195)))),"OK","ERRO: um e-mail válido por linha"))</f>
      </c>
      <c r="Z195" s="6">
        <f>IF(AND(J195="",K195=""),"",IF(AND(J195&lt;&gt;"",K195&lt;&gt;""),"OK","pendente: só um nome (o GR completa ao converter)"))</f>
      </c>
      <c r="AA195" s="6">
        <f>IF(COUNTA(A195:S195)=0,"",IF(AND(A195&lt;&gt;"",B195&lt;&gt;"",C195&lt;&gt;"",D195&lt;&gt;"",E195&lt;&gt;"",F195&lt;&gt;"",G195&lt;&gt;"",H195&lt;&gt;"",OR(J195&lt;&gt;"",K195&lt;&gt;""),OR(M195&lt;&gt;"",N195&lt;&gt;"",O195&lt;&gt;"")),"OK","ERRO: faltam "&amp;IF(A195="","SDR; ","")&amp;IF(B195="","Proprietário; ","")&amp;IF(C195="","Origem; ","")&amp;IF(D195="","Temperatura; ","")&amp;IF(E195="","Segmento; ","")&amp;IF(F195="","Time/Cluster; ","")&amp;IF(G195="","CNPJ; ","")&amp;IF(H195="","Razão Social; ","")&amp;IF(AND(J195="",K195=""),"nome do contato; ","")&amp;IF(AND(M195="",N195="",O195=""),"telefone, celular ou e-mail; ","")))</f>
      </c>
      <c r="AB195" s="6">
        <f>IF(COUNTA(A195:S195)=0,"",IF(AND(U195="OK",V195="OK",LEFT(W195,4)&lt;&gt;"ERRO",LEFT(X195,4)&lt;&gt;"ERRO",LEFT(Y195,4)&lt;&gt;"ERRO",AA195="OK"),"OK","REVISAR"))</f>
      </c>
    </row>
    <row r="196">
      <c r="A196" s="5"/>
      <c r="B196" s="5"/>
      <c r="C196" s="5"/>
      <c r="D196" s="5"/>
      <c r="E196" s="5"/>
      <c r="F196" s="5"/>
      <c r="G196" s="5"/>
      <c r="H196" s="5"/>
      <c r="I196" s="4"/>
      <c r="J196" s="5"/>
      <c r="K196" s="4"/>
      <c r="L196" s="4"/>
      <c r="M196" s="4"/>
      <c r="N196" s="4"/>
      <c r="O196" s="4"/>
      <c r="P196" s="4"/>
      <c r="Q196" s="4"/>
      <c r="R196" s="4"/>
      <c r="S196" s="4"/>
      <c r="T196" s="6">
        <f>IF(G196="","",SUBSTITUTE(SUBSTITUTE(SUBSTITUTE(SUBSTITUTE(SUBSTITUTE(SUBSTITUTE(SUBSTITUTE(TRIM(G196),".",""),"/",""),"-","")," ",""),"(",""),")",""),"+",""))</f>
      </c>
      <c r="U196" s="6">
        <f>IF(T196="","",IF(LEN(T196)&lt;&gt;14,"ERRO: "&amp;LEN(T196)&amp;" dígitos",IF(NOT(ISNUMBER(VALUE(T196))),"ERRO: não numérico",IF(LEN(SUBSTITUTE(T196,LEFT(T196,1),""))=0,"ERRO: dígitos repetidos",IF(AND(VALUE(MID(T196,13,1))=IF(MOD(SUMPRODUCT(--MID(T196,{1,2,3,4,5,6,7,8,9,10,11,12},1),{5,4,3,2,9,8,7,6,5,4,3,2}),11)&lt;2,0,11-MOD(SUMPRODUCT(--MID(T196,{1,2,3,4,5,6,7,8,9,10,11,12},1),{5,4,3,2,9,8,7,6,5,4,3,2}),11)),VALUE(MID(T196,14,1))=IF(MOD(SUMPRODUCT(--MID(T196,{1,2,3,4,5,6,7,8,9,10,11,12,13},1),{6,5,4,3,2,9,8,7,6,5,4,3,2}),11)&lt;2,0,11-MOD(SUMPRODUCT(--MID(T196,{1,2,3,4,5,6,7,8,9,10,11,12,13},1),{6,5,4,3,2,9,8,7,6,5,4,3,2}),11))),"OK","ERRO: dígito verificador")))))</f>
      </c>
      <c r="V196" s="6">
        <f>IF(T196="","",IF(COUNTIF($T$2:$T$1001,T196)&gt;1,"DUPLICADO","OK"))</f>
      </c>
      <c r="W196" s="6">
        <f>IF(M196="","vazio",IF(OR(AND(LEN(SUBSTITUTE(SUBSTITUTE(SUBSTITUTE(SUBSTITUTE(SUBSTITUTE(SUBSTITUTE(SUBSTITUTE(TRIM(M196),".",""),"/",""),"-","")," ",""),"(",""),")",""),"+",""))=10,LEFT(SUBSTITUTE(SUBSTITUTE(SUBSTITUTE(SUBSTITUTE(SUBSTITUTE(SUBSTITUTE(SUBSTITUTE(TRIM(M196),".",""),"/",""),"-","")," ",""),"(",""),")",""),"+",""),1)&lt;&gt;"0"),AND(LEN(SUBSTITUTE(SUBSTITUTE(SUBSTITUTE(SUBSTITUTE(SUBSTITUTE(SUBSTITUTE(SUBSTITUTE(TRIM(M196),".",""),"/",""),"-","")," ",""),"(",""),")",""),"+",""))=11,LEFT(SUBSTITUTE(SUBSTITUTE(SUBSTITUTE(SUBSTITUTE(SUBSTITUTE(SUBSTITUTE(SUBSTITUTE(TRIM(M196),".",""),"/",""),"-","")," ",""),"(",""),")",""),"+",""),4)="0800")),"OK",IF(AND(LEN(SUBSTITUTE(SUBSTITUTE(SUBSTITUTE(SUBSTITUTE(SUBSTITUTE(SUBSTITUTE(SUBSTITUTE(TRIM(M196),".",""),"/",""),"-","")," ",""),"(",""),")",""),"+",""))=11,MID(SUBSTITUTE(SUBSTITUTE(SUBSTITUTE(SUBSTITUTE(SUBSTITUTE(SUBSTITUTE(SUBSTITUTE(TRIM(M196),".",""),"/",""),"-","")," ",""),"(",""),")",""),"+",""),3,1)="9"),"ERRO: é celular, use a coluna Celular","ERRO: DDD + 8 dígitos ou 0800 + 7")))</f>
      </c>
      <c r="X196" s="6">
        <f>IF(N196="","vazio",IF(AND(LEN(SUBSTITUTE(SUBSTITUTE(SUBSTITUTE(SUBSTITUTE(SUBSTITUTE(SUBSTITUTE(SUBSTITUTE(TRIM(N196),".",""),"/",""),"-","")," ",""),"(",""),")",""),"+",""))=11,MID(SUBSTITUTE(SUBSTITUTE(SUBSTITUTE(SUBSTITUTE(SUBSTITUTE(SUBSTITUTE(SUBSTITUTE(TRIM(N196),".",""),"/",""),"-","")," ",""),"(",""),")",""),"+",""),3,1)="9",LEFT(SUBSTITUTE(SUBSTITUTE(SUBSTITUTE(SUBSTITUTE(SUBSTITUTE(SUBSTITUTE(SUBSTITUTE(TRIM(N196),".",""),"/",""),"-","")," ",""),"(",""),")",""),"+",""),1)&lt;&gt;"0"),"OK",IF(LEN(SUBSTITUTE(SUBSTITUTE(SUBSTITUTE(SUBSTITUTE(SUBSTITUTE(SUBSTITUTE(SUBSTITUTE(TRIM(N196),".",""),"/",""),"-","")," ",""),"(",""),")",""),"+",""))=10,"ERRO: é fixo (ou falta o 9), use a coluna Telefone fixo","ERRO: DDD + 9 + 8 dígitos")))</f>
      </c>
      <c r="Y196" s="6">
        <f>IF(O196="","vazio",IF(AND(ISNUMBER(FIND("@",O196)),ISNUMBER(FIND(".",MID(O196,FIND("@",O196),99))),NOT(ISNUMBER(FIND(" ",TRIM(O196)))),NOT(ISNUMBER(FIND(";",O196))),NOT(ISNUMBER(FIND(",",O196)))),"OK","ERRO: um e-mail válido por linha"))</f>
      </c>
      <c r="Z196" s="6">
        <f>IF(AND(J196="",K196=""),"",IF(AND(J196&lt;&gt;"",K196&lt;&gt;""),"OK","pendente: só um nome (o GR completa ao converter)"))</f>
      </c>
      <c r="AA196" s="6">
        <f>IF(COUNTA(A196:S196)=0,"",IF(AND(A196&lt;&gt;"",B196&lt;&gt;"",C196&lt;&gt;"",D196&lt;&gt;"",E196&lt;&gt;"",F196&lt;&gt;"",G196&lt;&gt;"",H196&lt;&gt;"",OR(J196&lt;&gt;"",K196&lt;&gt;""),OR(M196&lt;&gt;"",N196&lt;&gt;"",O196&lt;&gt;"")),"OK","ERRO: faltam "&amp;IF(A196="","SDR; ","")&amp;IF(B196="","Proprietário; ","")&amp;IF(C196="","Origem; ","")&amp;IF(D196="","Temperatura; ","")&amp;IF(E196="","Segmento; ","")&amp;IF(F196="","Time/Cluster; ","")&amp;IF(G196="","CNPJ; ","")&amp;IF(H196="","Razão Social; ","")&amp;IF(AND(J196="",K196=""),"nome do contato; ","")&amp;IF(AND(M196="",N196="",O196=""),"telefone, celular ou e-mail; ","")))</f>
      </c>
      <c r="AB196" s="6">
        <f>IF(COUNTA(A196:S196)=0,"",IF(AND(U196="OK",V196="OK",LEFT(W196,4)&lt;&gt;"ERRO",LEFT(X196,4)&lt;&gt;"ERRO",LEFT(Y196,4)&lt;&gt;"ERRO",AA196="OK"),"OK","REVISAR"))</f>
      </c>
    </row>
    <row r="197">
      <c r="A197" s="5"/>
      <c r="B197" s="5"/>
      <c r="C197" s="5"/>
      <c r="D197" s="5"/>
      <c r="E197" s="5"/>
      <c r="F197" s="5"/>
      <c r="G197" s="5"/>
      <c r="H197" s="5"/>
      <c r="I197" s="4"/>
      <c r="J197" s="5"/>
      <c r="K197" s="4"/>
      <c r="L197" s="4"/>
      <c r="M197" s="4"/>
      <c r="N197" s="4"/>
      <c r="O197" s="4"/>
      <c r="P197" s="4"/>
      <c r="Q197" s="4"/>
      <c r="R197" s="4"/>
      <c r="S197" s="4"/>
      <c r="T197" s="6">
        <f>IF(G197="","",SUBSTITUTE(SUBSTITUTE(SUBSTITUTE(SUBSTITUTE(SUBSTITUTE(SUBSTITUTE(SUBSTITUTE(TRIM(G197),".",""),"/",""),"-","")," ",""),"(",""),")",""),"+",""))</f>
      </c>
      <c r="U197" s="6">
        <f>IF(T197="","",IF(LEN(T197)&lt;&gt;14,"ERRO: "&amp;LEN(T197)&amp;" dígitos",IF(NOT(ISNUMBER(VALUE(T197))),"ERRO: não numérico",IF(LEN(SUBSTITUTE(T197,LEFT(T197,1),""))=0,"ERRO: dígitos repetidos",IF(AND(VALUE(MID(T197,13,1))=IF(MOD(SUMPRODUCT(--MID(T197,{1,2,3,4,5,6,7,8,9,10,11,12},1),{5,4,3,2,9,8,7,6,5,4,3,2}),11)&lt;2,0,11-MOD(SUMPRODUCT(--MID(T197,{1,2,3,4,5,6,7,8,9,10,11,12},1),{5,4,3,2,9,8,7,6,5,4,3,2}),11)),VALUE(MID(T197,14,1))=IF(MOD(SUMPRODUCT(--MID(T197,{1,2,3,4,5,6,7,8,9,10,11,12,13},1),{6,5,4,3,2,9,8,7,6,5,4,3,2}),11)&lt;2,0,11-MOD(SUMPRODUCT(--MID(T197,{1,2,3,4,5,6,7,8,9,10,11,12,13},1),{6,5,4,3,2,9,8,7,6,5,4,3,2}),11))),"OK","ERRO: dígito verificador")))))</f>
      </c>
      <c r="V197" s="6">
        <f>IF(T197="","",IF(COUNTIF($T$2:$T$1001,T197)&gt;1,"DUPLICADO","OK"))</f>
      </c>
      <c r="W197" s="6">
        <f>IF(M197="","vazio",IF(OR(AND(LEN(SUBSTITUTE(SUBSTITUTE(SUBSTITUTE(SUBSTITUTE(SUBSTITUTE(SUBSTITUTE(SUBSTITUTE(TRIM(M197),".",""),"/",""),"-","")," ",""),"(",""),")",""),"+",""))=10,LEFT(SUBSTITUTE(SUBSTITUTE(SUBSTITUTE(SUBSTITUTE(SUBSTITUTE(SUBSTITUTE(SUBSTITUTE(TRIM(M197),".",""),"/",""),"-","")," ",""),"(",""),")",""),"+",""),1)&lt;&gt;"0"),AND(LEN(SUBSTITUTE(SUBSTITUTE(SUBSTITUTE(SUBSTITUTE(SUBSTITUTE(SUBSTITUTE(SUBSTITUTE(TRIM(M197),".",""),"/",""),"-","")," ",""),"(",""),")",""),"+",""))=11,LEFT(SUBSTITUTE(SUBSTITUTE(SUBSTITUTE(SUBSTITUTE(SUBSTITUTE(SUBSTITUTE(SUBSTITUTE(TRIM(M197),".",""),"/",""),"-","")," ",""),"(",""),")",""),"+",""),4)="0800")),"OK",IF(AND(LEN(SUBSTITUTE(SUBSTITUTE(SUBSTITUTE(SUBSTITUTE(SUBSTITUTE(SUBSTITUTE(SUBSTITUTE(TRIM(M197),".",""),"/",""),"-","")," ",""),"(",""),")",""),"+",""))=11,MID(SUBSTITUTE(SUBSTITUTE(SUBSTITUTE(SUBSTITUTE(SUBSTITUTE(SUBSTITUTE(SUBSTITUTE(TRIM(M197),".",""),"/",""),"-","")," ",""),"(",""),")",""),"+",""),3,1)="9"),"ERRO: é celular, use a coluna Celular","ERRO: DDD + 8 dígitos ou 0800 + 7")))</f>
      </c>
      <c r="X197" s="6">
        <f>IF(N197="","vazio",IF(AND(LEN(SUBSTITUTE(SUBSTITUTE(SUBSTITUTE(SUBSTITUTE(SUBSTITUTE(SUBSTITUTE(SUBSTITUTE(TRIM(N197),".",""),"/",""),"-","")," ",""),"(",""),")",""),"+",""))=11,MID(SUBSTITUTE(SUBSTITUTE(SUBSTITUTE(SUBSTITUTE(SUBSTITUTE(SUBSTITUTE(SUBSTITUTE(TRIM(N197),".",""),"/",""),"-","")," ",""),"(",""),")",""),"+",""),3,1)="9",LEFT(SUBSTITUTE(SUBSTITUTE(SUBSTITUTE(SUBSTITUTE(SUBSTITUTE(SUBSTITUTE(SUBSTITUTE(TRIM(N197),".",""),"/",""),"-","")," ",""),"(",""),")",""),"+",""),1)&lt;&gt;"0"),"OK",IF(LEN(SUBSTITUTE(SUBSTITUTE(SUBSTITUTE(SUBSTITUTE(SUBSTITUTE(SUBSTITUTE(SUBSTITUTE(TRIM(N197),".",""),"/",""),"-","")," ",""),"(",""),")",""),"+",""))=10,"ERRO: é fixo (ou falta o 9), use a coluna Telefone fixo","ERRO: DDD + 9 + 8 dígitos")))</f>
      </c>
      <c r="Y197" s="6">
        <f>IF(O197="","vazio",IF(AND(ISNUMBER(FIND("@",O197)),ISNUMBER(FIND(".",MID(O197,FIND("@",O197),99))),NOT(ISNUMBER(FIND(" ",TRIM(O197)))),NOT(ISNUMBER(FIND(";",O197))),NOT(ISNUMBER(FIND(",",O197)))),"OK","ERRO: um e-mail válido por linha"))</f>
      </c>
      <c r="Z197" s="6">
        <f>IF(AND(J197="",K197=""),"",IF(AND(J197&lt;&gt;"",K197&lt;&gt;""),"OK","pendente: só um nome (o GR completa ao converter)"))</f>
      </c>
      <c r="AA197" s="6">
        <f>IF(COUNTA(A197:S197)=0,"",IF(AND(A197&lt;&gt;"",B197&lt;&gt;"",C197&lt;&gt;"",D197&lt;&gt;"",E197&lt;&gt;"",F197&lt;&gt;"",G197&lt;&gt;"",H197&lt;&gt;"",OR(J197&lt;&gt;"",K197&lt;&gt;""),OR(M197&lt;&gt;"",N197&lt;&gt;"",O197&lt;&gt;"")),"OK","ERRO: faltam "&amp;IF(A197="","SDR; ","")&amp;IF(B197="","Proprietário; ","")&amp;IF(C197="","Origem; ","")&amp;IF(D197="","Temperatura; ","")&amp;IF(E197="","Segmento; ","")&amp;IF(F197="","Time/Cluster; ","")&amp;IF(G197="","CNPJ; ","")&amp;IF(H197="","Razão Social; ","")&amp;IF(AND(J197="",K197=""),"nome do contato; ","")&amp;IF(AND(M197="",N197="",O197=""),"telefone, celular ou e-mail; ","")))</f>
      </c>
      <c r="AB197" s="6">
        <f>IF(COUNTA(A197:S197)=0,"",IF(AND(U197="OK",V197="OK",LEFT(W197,4)&lt;&gt;"ERRO",LEFT(X197,4)&lt;&gt;"ERRO",LEFT(Y197,4)&lt;&gt;"ERRO",AA197="OK"),"OK","REVISAR"))</f>
      </c>
    </row>
    <row r="198">
      <c r="A198" s="5"/>
      <c r="B198" s="5"/>
      <c r="C198" s="5"/>
      <c r="D198" s="5"/>
      <c r="E198" s="5"/>
      <c r="F198" s="5"/>
      <c r="G198" s="5"/>
      <c r="H198" s="5"/>
      <c r="I198" s="4"/>
      <c r="J198" s="5"/>
      <c r="K198" s="4"/>
      <c r="L198" s="4"/>
      <c r="M198" s="4"/>
      <c r="N198" s="4"/>
      <c r="O198" s="4"/>
      <c r="P198" s="4"/>
      <c r="Q198" s="4"/>
      <c r="R198" s="4"/>
      <c r="S198" s="4"/>
      <c r="T198" s="6">
        <f>IF(G198="","",SUBSTITUTE(SUBSTITUTE(SUBSTITUTE(SUBSTITUTE(SUBSTITUTE(SUBSTITUTE(SUBSTITUTE(TRIM(G198),".",""),"/",""),"-","")," ",""),"(",""),")",""),"+",""))</f>
      </c>
      <c r="U198" s="6">
        <f>IF(T198="","",IF(LEN(T198)&lt;&gt;14,"ERRO: "&amp;LEN(T198)&amp;" dígitos",IF(NOT(ISNUMBER(VALUE(T198))),"ERRO: não numérico",IF(LEN(SUBSTITUTE(T198,LEFT(T198,1),""))=0,"ERRO: dígitos repetidos",IF(AND(VALUE(MID(T198,13,1))=IF(MOD(SUMPRODUCT(--MID(T198,{1,2,3,4,5,6,7,8,9,10,11,12},1),{5,4,3,2,9,8,7,6,5,4,3,2}),11)&lt;2,0,11-MOD(SUMPRODUCT(--MID(T198,{1,2,3,4,5,6,7,8,9,10,11,12},1),{5,4,3,2,9,8,7,6,5,4,3,2}),11)),VALUE(MID(T198,14,1))=IF(MOD(SUMPRODUCT(--MID(T198,{1,2,3,4,5,6,7,8,9,10,11,12,13},1),{6,5,4,3,2,9,8,7,6,5,4,3,2}),11)&lt;2,0,11-MOD(SUMPRODUCT(--MID(T198,{1,2,3,4,5,6,7,8,9,10,11,12,13},1),{6,5,4,3,2,9,8,7,6,5,4,3,2}),11))),"OK","ERRO: dígito verificador")))))</f>
      </c>
      <c r="V198" s="6">
        <f>IF(T198="","",IF(COUNTIF($T$2:$T$1001,T198)&gt;1,"DUPLICADO","OK"))</f>
      </c>
      <c r="W198" s="6">
        <f>IF(M198="","vazio",IF(OR(AND(LEN(SUBSTITUTE(SUBSTITUTE(SUBSTITUTE(SUBSTITUTE(SUBSTITUTE(SUBSTITUTE(SUBSTITUTE(TRIM(M198),".",""),"/",""),"-","")," ",""),"(",""),")",""),"+",""))=10,LEFT(SUBSTITUTE(SUBSTITUTE(SUBSTITUTE(SUBSTITUTE(SUBSTITUTE(SUBSTITUTE(SUBSTITUTE(TRIM(M198),".",""),"/",""),"-","")," ",""),"(",""),")",""),"+",""),1)&lt;&gt;"0"),AND(LEN(SUBSTITUTE(SUBSTITUTE(SUBSTITUTE(SUBSTITUTE(SUBSTITUTE(SUBSTITUTE(SUBSTITUTE(TRIM(M198),".",""),"/",""),"-","")," ",""),"(",""),")",""),"+",""))=11,LEFT(SUBSTITUTE(SUBSTITUTE(SUBSTITUTE(SUBSTITUTE(SUBSTITUTE(SUBSTITUTE(SUBSTITUTE(TRIM(M198),".",""),"/",""),"-","")," ",""),"(",""),")",""),"+",""),4)="0800")),"OK",IF(AND(LEN(SUBSTITUTE(SUBSTITUTE(SUBSTITUTE(SUBSTITUTE(SUBSTITUTE(SUBSTITUTE(SUBSTITUTE(TRIM(M198),".",""),"/",""),"-","")," ",""),"(",""),")",""),"+",""))=11,MID(SUBSTITUTE(SUBSTITUTE(SUBSTITUTE(SUBSTITUTE(SUBSTITUTE(SUBSTITUTE(SUBSTITUTE(TRIM(M198),".",""),"/",""),"-","")," ",""),"(",""),")",""),"+",""),3,1)="9"),"ERRO: é celular, use a coluna Celular","ERRO: DDD + 8 dígitos ou 0800 + 7")))</f>
      </c>
      <c r="X198" s="6">
        <f>IF(N198="","vazio",IF(AND(LEN(SUBSTITUTE(SUBSTITUTE(SUBSTITUTE(SUBSTITUTE(SUBSTITUTE(SUBSTITUTE(SUBSTITUTE(TRIM(N198),".",""),"/",""),"-","")," ",""),"(",""),")",""),"+",""))=11,MID(SUBSTITUTE(SUBSTITUTE(SUBSTITUTE(SUBSTITUTE(SUBSTITUTE(SUBSTITUTE(SUBSTITUTE(TRIM(N198),".",""),"/",""),"-","")," ",""),"(",""),")",""),"+",""),3,1)="9",LEFT(SUBSTITUTE(SUBSTITUTE(SUBSTITUTE(SUBSTITUTE(SUBSTITUTE(SUBSTITUTE(SUBSTITUTE(TRIM(N198),".",""),"/",""),"-","")," ",""),"(",""),")",""),"+",""),1)&lt;&gt;"0"),"OK",IF(LEN(SUBSTITUTE(SUBSTITUTE(SUBSTITUTE(SUBSTITUTE(SUBSTITUTE(SUBSTITUTE(SUBSTITUTE(TRIM(N198),".",""),"/",""),"-","")," ",""),"(",""),")",""),"+",""))=10,"ERRO: é fixo (ou falta o 9), use a coluna Telefone fixo","ERRO: DDD + 9 + 8 dígitos")))</f>
      </c>
      <c r="Y198" s="6">
        <f>IF(O198="","vazio",IF(AND(ISNUMBER(FIND("@",O198)),ISNUMBER(FIND(".",MID(O198,FIND("@",O198),99))),NOT(ISNUMBER(FIND(" ",TRIM(O198)))),NOT(ISNUMBER(FIND(";",O198))),NOT(ISNUMBER(FIND(",",O198)))),"OK","ERRO: um e-mail válido por linha"))</f>
      </c>
      <c r="Z198" s="6">
        <f>IF(AND(J198="",K198=""),"",IF(AND(J198&lt;&gt;"",K198&lt;&gt;""),"OK","pendente: só um nome (o GR completa ao converter)"))</f>
      </c>
      <c r="AA198" s="6">
        <f>IF(COUNTA(A198:S198)=0,"",IF(AND(A198&lt;&gt;"",B198&lt;&gt;"",C198&lt;&gt;"",D198&lt;&gt;"",E198&lt;&gt;"",F198&lt;&gt;"",G198&lt;&gt;"",H198&lt;&gt;"",OR(J198&lt;&gt;"",K198&lt;&gt;""),OR(M198&lt;&gt;"",N198&lt;&gt;"",O198&lt;&gt;"")),"OK","ERRO: faltam "&amp;IF(A198="","SDR; ","")&amp;IF(B198="","Proprietário; ","")&amp;IF(C198="","Origem; ","")&amp;IF(D198="","Temperatura; ","")&amp;IF(E198="","Segmento; ","")&amp;IF(F198="","Time/Cluster; ","")&amp;IF(G198="","CNPJ; ","")&amp;IF(H198="","Razão Social; ","")&amp;IF(AND(J198="",K198=""),"nome do contato; ","")&amp;IF(AND(M198="",N198="",O198=""),"telefone, celular ou e-mail; ","")))</f>
      </c>
      <c r="AB198" s="6">
        <f>IF(COUNTA(A198:S198)=0,"",IF(AND(U198="OK",V198="OK",LEFT(W198,4)&lt;&gt;"ERRO",LEFT(X198,4)&lt;&gt;"ERRO",LEFT(Y198,4)&lt;&gt;"ERRO",AA198="OK"),"OK","REVISAR"))</f>
      </c>
    </row>
    <row r="199">
      <c r="A199" s="5"/>
      <c r="B199" s="5"/>
      <c r="C199" s="5"/>
      <c r="D199" s="5"/>
      <c r="E199" s="5"/>
      <c r="F199" s="5"/>
      <c r="G199" s="5"/>
      <c r="H199" s="5"/>
      <c r="I199" s="4"/>
      <c r="J199" s="5"/>
      <c r="K199" s="4"/>
      <c r="L199" s="4"/>
      <c r="M199" s="4"/>
      <c r="N199" s="4"/>
      <c r="O199" s="4"/>
      <c r="P199" s="4"/>
      <c r="Q199" s="4"/>
      <c r="R199" s="4"/>
      <c r="S199" s="4"/>
      <c r="T199" s="6">
        <f>IF(G199="","",SUBSTITUTE(SUBSTITUTE(SUBSTITUTE(SUBSTITUTE(SUBSTITUTE(SUBSTITUTE(SUBSTITUTE(TRIM(G199),".",""),"/",""),"-","")," ",""),"(",""),")",""),"+",""))</f>
      </c>
      <c r="U199" s="6">
        <f>IF(T199="","",IF(LEN(T199)&lt;&gt;14,"ERRO: "&amp;LEN(T199)&amp;" dígitos",IF(NOT(ISNUMBER(VALUE(T199))),"ERRO: não numérico",IF(LEN(SUBSTITUTE(T199,LEFT(T199,1),""))=0,"ERRO: dígitos repetidos",IF(AND(VALUE(MID(T199,13,1))=IF(MOD(SUMPRODUCT(--MID(T199,{1,2,3,4,5,6,7,8,9,10,11,12},1),{5,4,3,2,9,8,7,6,5,4,3,2}),11)&lt;2,0,11-MOD(SUMPRODUCT(--MID(T199,{1,2,3,4,5,6,7,8,9,10,11,12},1),{5,4,3,2,9,8,7,6,5,4,3,2}),11)),VALUE(MID(T199,14,1))=IF(MOD(SUMPRODUCT(--MID(T199,{1,2,3,4,5,6,7,8,9,10,11,12,13},1),{6,5,4,3,2,9,8,7,6,5,4,3,2}),11)&lt;2,0,11-MOD(SUMPRODUCT(--MID(T199,{1,2,3,4,5,6,7,8,9,10,11,12,13},1),{6,5,4,3,2,9,8,7,6,5,4,3,2}),11))),"OK","ERRO: dígito verificador")))))</f>
      </c>
      <c r="V199" s="6">
        <f>IF(T199="","",IF(COUNTIF($T$2:$T$1001,T199)&gt;1,"DUPLICADO","OK"))</f>
      </c>
      <c r="W199" s="6">
        <f>IF(M199="","vazio",IF(OR(AND(LEN(SUBSTITUTE(SUBSTITUTE(SUBSTITUTE(SUBSTITUTE(SUBSTITUTE(SUBSTITUTE(SUBSTITUTE(TRIM(M199),".",""),"/",""),"-","")," ",""),"(",""),")",""),"+",""))=10,LEFT(SUBSTITUTE(SUBSTITUTE(SUBSTITUTE(SUBSTITUTE(SUBSTITUTE(SUBSTITUTE(SUBSTITUTE(TRIM(M199),".",""),"/",""),"-","")," ",""),"(",""),")",""),"+",""),1)&lt;&gt;"0"),AND(LEN(SUBSTITUTE(SUBSTITUTE(SUBSTITUTE(SUBSTITUTE(SUBSTITUTE(SUBSTITUTE(SUBSTITUTE(TRIM(M199),".",""),"/",""),"-","")," ",""),"(",""),")",""),"+",""))=11,LEFT(SUBSTITUTE(SUBSTITUTE(SUBSTITUTE(SUBSTITUTE(SUBSTITUTE(SUBSTITUTE(SUBSTITUTE(TRIM(M199),".",""),"/",""),"-","")," ",""),"(",""),")",""),"+",""),4)="0800")),"OK",IF(AND(LEN(SUBSTITUTE(SUBSTITUTE(SUBSTITUTE(SUBSTITUTE(SUBSTITUTE(SUBSTITUTE(SUBSTITUTE(TRIM(M199),".",""),"/",""),"-","")," ",""),"(",""),")",""),"+",""))=11,MID(SUBSTITUTE(SUBSTITUTE(SUBSTITUTE(SUBSTITUTE(SUBSTITUTE(SUBSTITUTE(SUBSTITUTE(TRIM(M199),".",""),"/",""),"-","")," ",""),"(",""),")",""),"+",""),3,1)="9"),"ERRO: é celular, use a coluna Celular","ERRO: DDD + 8 dígitos ou 0800 + 7")))</f>
      </c>
      <c r="X199" s="6">
        <f>IF(N199="","vazio",IF(AND(LEN(SUBSTITUTE(SUBSTITUTE(SUBSTITUTE(SUBSTITUTE(SUBSTITUTE(SUBSTITUTE(SUBSTITUTE(TRIM(N199),".",""),"/",""),"-","")," ",""),"(",""),")",""),"+",""))=11,MID(SUBSTITUTE(SUBSTITUTE(SUBSTITUTE(SUBSTITUTE(SUBSTITUTE(SUBSTITUTE(SUBSTITUTE(TRIM(N199),".",""),"/",""),"-","")," ",""),"(",""),")",""),"+",""),3,1)="9",LEFT(SUBSTITUTE(SUBSTITUTE(SUBSTITUTE(SUBSTITUTE(SUBSTITUTE(SUBSTITUTE(SUBSTITUTE(TRIM(N199),".",""),"/",""),"-","")," ",""),"(",""),")",""),"+",""),1)&lt;&gt;"0"),"OK",IF(LEN(SUBSTITUTE(SUBSTITUTE(SUBSTITUTE(SUBSTITUTE(SUBSTITUTE(SUBSTITUTE(SUBSTITUTE(TRIM(N199),".",""),"/",""),"-","")," ",""),"(",""),")",""),"+",""))=10,"ERRO: é fixo (ou falta o 9), use a coluna Telefone fixo","ERRO: DDD + 9 + 8 dígitos")))</f>
      </c>
      <c r="Y199" s="6">
        <f>IF(O199="","vazio",IF(AND(ISNUMBER(FIND("@",O199)),ISNUMBER(FIND(".",MID(O199,FIND("@",O199),99))),NOT(ISNUMBER(FIND(" ",TRIM(O199)))),NOT(ISNUMBER(FIND(";",O199))),NOT(ISNUMBER(FIND(",",O199)))),"OK","ERRO: um e-mail válido por linha"))</f>
      </c>
      <c r="Z199" s="6">
        <f>IF(AND(J199="",K199=""),"",IF(AND(J199&lt;&gt;"",K199&lt;&gt;""),"OK","pendente: só um nome (o GR completa ao converter)"))</f>
      </c>
      <c r="AA199" s="6">
        <f>IF(COUNTA(A199:S199)=0,"",IF(AND(A199&lt;&gt;"",B199&lt;&gt;"",C199&lt;&gt;"",D199&lt;&gt;"",E199&lt;&gt;"",F199&lt;&gt;"",G199&lt;&gt;"",H199&lt;&gt;"",OR(J199&lt;&gt;"",K199&lt;&gt;""),OR(M199&lt;&gt;"",N199&lt;&gt;"",O199&lt;&gt;"")),"OK","ERRO: faltam "&amp;IF(A199="","SDR; ","")&amp;IF(B199="","Proprietário; ","")&amp;IF(C199="","Origem; ","")&amp;IF(D199="","Temperatura; ","")&amp;IF(E199="","Segmento; ","")&amp;IF(F199="","Time/Cluster; ","")&amp;IF(G199="","CNPJ; ","")&amp;IF(H199="","Razão Social; ","")&amp;IF(AND(J199="",K199=""),"nome do contato; ","")&amp;IF(AND(M199="",N199="",O199=""),"telefone, celular ou e-mail; ","")))</f>
      </c>
      <c r="AB199" s="6">
        <f>IF(COUNTA(A199:S199)=0,"",IF(AND(U199="OK",V199="OK",LEFT(W199,4)&lt;&gt;"ERRO",LEFT(X199,4)&lt;&gt;"ERRO",LEFT(Y199,4)&lt;&gt;"ERRO",AA199="OK"),"OK","REVISAR"))</f>
      </c>
    </row>
    <row r="200">
      <c r="A200" s="5"/>
      <c r="B200" s="5"/>
      <c r="C200" s="5"/>
      <c r="D200" s="5"/>
      <c r="E200" s="5"/>
      <c r="F200" s="5"/>
      <c r="G200" s="5"/>
      <c r="H200" s="5"/>
      <c r="I200" s="4"/>
      <c r="J200" s="5"/>
      <c r="K200" s="4"/>
      <c r="L200" s="4"/>
      <c r="M200" s="4"/>
      <c r="N200" s="4"/>
      <c r="O200" s="4"/>
      <c r="P200" s="4"/>
      <c r="Q200" s="4"/>
      <c r="R200" s="4"/>
      <c r="S200" s="4"/>
      <c r="T200" s="6">
        <f>IF(G200="","",SUBSTITUTE(SUBSTITUTE(SUBSTITUTE(SUBSTITUTE(SUBSTITUTE(SUBSTITUTE(SUBSTITUTE(TRIM(G200),".",""),"/",""),"-","")," ",""),"(",""),")",""),"+",""))</f>
      </c>
      <c r="U200" s="6">
        <f>IF(T200="","",IF(LEN(T200)&lt;&gt;14,"ERRO: "&amp;LEN(T200)&amp;" dígitos",IF(NOT(ISNUMBER(VALUE(T200))),"ERRO: não numérico",IF(LEN(SUBSTITUTE(T200,LEFT(T200,1),""))=0,"ERRO: dígitos repetidos",IF(AND(VALUE(MID(T200,13,1))=IF(MOD(SUMPRODUCT(--MID(T200,{1,2,3,4,5,6,7,8,9,10,11,12},1),{5,4,3,2,9,8,7,6,5,4,3,2}),11)&lt;2,0,11-MOD(SUMPRODUCT(--MID(T200,{1,2,3,4,5,6,7,8,9,10,11,12},1),{5,4,3,2,9,8,7,6,5,4,3,2}),11)),VALUE(MID(T200,14,1))=IF(MOD(SUMPRODUCT(--MID(T200,{1,2,3,4,5,6,7,8,9,10,11,12,13},1),{6,5,4,3,2,9,8,7,6,5,4,3,2}),11)&lt;2,0,11-MOD(SUMPRODUCT(--MID(T200,{1,2,3,4,5,6,7,8,9,10,11,12,13},1),{6,5,4,3,2,9,8,7,6,5,4,3,2}),11))),"OK","ERRO: dígito verificador")))))</f>
      </c>
      <c r="V200" s="6">
        <f>IF(T200="","",IF(COUNTIF($T$2:$T$1001,T200)&gt;1,"DUPLICADO","OK"))</f>
      </c>
      <c r="W200" s="6">
        <f>IF(M200="","vazio",IF(OR(AND(LEN(SUBSTITUTE(SUBSTITUTE(SUBSTITUTE(SUBSTITUTE(SUBSTITUTE(SUBSTITUTE(SUBSTITUTE(TRIM(M200),".",""),"/",""),"-","")," ",""),"(",""),")",""),"+",""))=10,LEFT(SUBSTITUTE(SUBSTITUTE(SUBSTITUTE(SUBSTITUTE(SUBSTITUTE(SUBSTITUTE(SUBSTITUTE(TRIM(M200),".",""),"/",""),"-","")," ",""),"(",""),")",""),"+",""),1)&lt;&gt;"0"),AND(LEN(SUBSTITUTE(SUBSTITUTE(SUBSTITUTE(SUBSTITUTE(SUBSTITUTE(SUBSTITUTE(SUBSTITUTE(TRIM(M200),".",""),"/",""),"-","")," ",""),"(",""),")",""),"+",""))=11,LEFT(SUBSTITUTE(SUBSTITUTE(SUBSTITUTE(SUBSTITUTE(SUBSTITUTE(SUBSTITUTE(SUBSTITUTE(TRIM(M200),".",""),"/",""),"-","")," ",""),"(",""),")",""),"+",""),4)="0800")),"OK",IF(AND(LEN(SUBSTITUTE(SUBSTITUTE(SUBSTITUTE(SUBSTITUTE(SUBSTITUTE(SUBSTITUTE(SUBSTITUTE(TRIM(M200),".",""),"/",""),"-","")," ",""),"(",""),")",""),"+",""))=11,MID(SUBSTITUTE(SUBSTITUTE(SUBSTITUTE(SUBSTITUTE(SUBSTITUTE(SUBSTITUTE(SUBSTITUTE(TRIM(M200),".",""),"/",""),"-","")," ",""),"(",""),")",""),"+",""),3,1)="9"),"ERRO: é celular, use a coluna Celular","ERRO: DDD + 8 dígitos ou 0800 + 7")))</f>
      </c>
      <c r="X200" s="6">
        <f>IF(N200="","vazio",IF(AND(LEN(SUBSTITUTE(SUBSTITUTE(SUBSTITUTE(SUBSTITUTE(SUBSTITUTE(SUBSTITUTE(SUBSTITUTE(TRIM(N200),".",""),"/",""),"-","")," ",""),"(",""),")",""),"+",""))=11,MID(SUBSTITUTE(SUBSTITUTE(SUBSTITUTE(SUBSTITUTE(SUBSTITUTE(SUBSTITUTE(SUBSTITUTE(TRIM(N200),".",""),"/",""),"-","")," ",""),"(",""),")",""),"+",""),3,1)="9",LEFT(SUBSTITUTE(SUBSTITUTE(SUBSTITUTE(SUBSTITUTE(SUBSTITUTE(SUBSTITUTE(SUBSTITUTE(TRIM(N200),".",""),"/",""),"-","")," ",""),"(",""),")",""),"+",""),1)&lt;&gt;"0"),"OK",IF(LEN(SUBSTITUTE(SUBSTITUTE(SUBSTITUTE(SUBSTITUTE(SUBSTITUTE(SUBSTITUTE(SUBSTITUTE(TRIM(N200),".",""),"/",""),"-","")," ",""),"(",""),")",""),"+",""))=10,"ERRO: é fixo (ou falta o 9), use a coluna Telefone fixo","ERRO: DDD + 9 + 8 dígitos")))</f>
      </c>
      <c r="Y200" s="6">
        <f>IF(O200="","vazio",IF(AND(ISNUMBER(FIND("@",O200)),ISNUMBER(FIND(".",MID(O200,FIND("@",O200),99))),NOT(ISNUMBER(FIND(" ",TRIM(O200)))),NOT(ISNUMBER(FIND(";",O200))),NOT(ISNUMBER(FIND(",",O200)))),"OK","ERRO: um e-mail válido por linha"))</f>
      </c>
      <c r="Z200" s="6">
        <f>IF(AND(J200="",K200=""),"",IF(AND(J200&lt;&gt;"",K200&lt;&gt;""),"OK","pendente: só um nome (o GR completa ao converter)"))</f>
      </c>
      <c r="AA200" s="6">
        <f>IF(COUNTA(A200:S200)=0,"",IF(AND(A200&lt;&gt;"",B200&lt;&gt;"",C200&lt;&gt;"",D200&lt;&gt;"",E200&lt;&gt;"",F200&lt;&gt;"",G200&lt;&gt;"",H200&lt;&gt;"",OR(J200&lt;&gt;"",K200&lt;&gt;""),OR(M200&lt;&gt;"",N200&lt;&gt;"",O200&lt;&gt;"")),"OK","ERRO: faltam "&amp;IF(A200="","SDR; ","")&amp;IF(B200="","Proprietário; ","")&amp;IF(C200="","Origem; ","")&amp;IF(D200="","Temperatura; ","")&amp;IF(E200="","Segmento; ","")&amp;IF(F200="","Time/Cluster; ","")&amp;IF(G200="","CNPJ; ","")&amp;IF(H200="","Razão Social; ","")&amp;IF(AND(J200="",K200=""),"nome do contato; ","")&amp;IF(AND(M200="",N200="",O200=""),"telefone, celular ou e-mail; ","")))</f>
      </c>
      <c r="AB200" s="6">
        <f>IF(COUNTA(A200:S200)=0,"",IF(AND(U200="OK",V200="OK",LEFT(W200,4)&lt;&gt;"ERRO",LEFT(X200,4)&lt;&gt;"ERRO",LEFT(Y200,4)&lt;&gt;"ERRO",AA200="OK"),"OK","REVISAR"))</f>
      </c>
    </row>
    <row r="201">
      <c r="A201" s="5"/>
      <c r="B201" s="5"/>
      <c r="C201" s="5"/>
      <c r="D201" s="5"/>
      <c r="E201" s="5"/>
      <c r="F201" s="5"/>
      <c r="G201" s="5"/>
      <c r="H201" s="5"/>
      <c r="I201" s="4"/>
      <c r="J201" s="5"/>
      <c r="K201" s="4"/>
      <c r="L201" s="4"/>
      <c r="M201" s="4"/>
      <c r="N201" s="4"/>
      <c r="O201" s="4"/>
      <c r="P201" s="4"/>
      <c r="Q201" s="4"/>
      <c r="R201" s="4"/>
      <c r="S201" s="4"/>
      <c r="T201" s="6">
        <f>IF(G201="","",SUBSTITUTE(SUBSTITUTE(SUBSTITUTE(SUBSTITUTE(SUBSTITUTE(SUBSTITUTE(SUBSTITUTE(TRIM(G201),".",""),"/",""),"-","")," ",""),"(",""),")",""),"+",""))</f>
      </c>
      <c r="U201" s="6">
        <f>IF(T201="","",IF(LEN(T201)&lt;&gt;14,"ERRO: "&amp;LEN(T201)&amp;" dígitos",IF(NOT(ISNUMBER(VALUE(T201))),"ERRO: não numérico",IF(LEN(SUBSTITUTE(T201,LEFT(T201,1),""))=0,"ERRO: dígitos repetidos",IF(AND(VALUE(MID(T201,13,1))=IF(MOD(SUMPRODUCT(--MID(T201,{1,2,3,4,5,6,7,8,9,10,11,12},1),{5,4,3,2,9,8,7,6,5,4,3,2}),11)&lt;2,0,11-MOD(SUMPRODUCT(--MID(T201,{1,2,3,4,5,6,7,8,9,10,11,12},1),{5,4,3,2,9,8,7,6,5,4,3,2}),11)),VALUE(MID(T201,14,1))=IF(MOD(SUMPRODUCT(--MID(T201,{1,2,3,4,5,6,7,8,9,10,11,12,13},1),{6,5,4,3,2,9,8,7,6,5,4,3,2}),11)&lt;2,0,11-MOD(SUMPRODUCT(--MID(T201,{1,2,3,4,5,6,7,8,9,10,11,12,13},1),{6,5,4,3,2,9,8,7,6,5,4,3,2}),11))),"OK","ERRO: dígito verificador")))))</f>
      </c>
      <c r="V201" s="6">
        <f>IF(T201="","",IF(COUNTIF($T$2:$T$1001,T201)&gt;1,"DUPLICADO","OK"))</f>
      </c>
      <c r="W201" s="6">
        <f>IF(M201="","vazio",IF(OR(AND(LEN(SUBSTITUTE(SUBSTITUTE(SUBSTITUTE(SUBSTITUTE(SUBSTITUTE(SUBSTITUTE(SUBSTITUTE(TRIM(M201),".",""),"/",""),"-","")," ",""),"(",""),")",""),"+",""))=10,LEFT(SUBSTITUTE(SUBSTITUTE(SUBSTITUTE(SUBSTITUTE(SUBSTITUTE(SUBSTITUTE(SUBSTITUTE(TRIM(M201),".",""),"/",""),"-","")," ",""),"(",""),")",""),"+",""),1)&lt;&gt;"0"),AND(LEN(SUBSTITUTE(SUBSTITUTE(SUBSTITUTE(SUBSTITUTE(SUBSTITUTE(SUBSTITUTE(SUBSTITUTE(TRIM(M201),".",""),"/",""),"-","")," ",""),"(",""),")",""),"+",""))=11,LEFT(SUBSTITUTE(SUBSTITUTE(SUBSTITUTE(SUBSTITUTE(SUBSTITUTE(SUBSTITUTE(SUBSTITUTE(TRIM(M201),".",""),"/",""),"-","")," ",""),"(",""),")",""),"+",""),4)="0800")),"OK",IF(AND(LEN(SUBSTITUTE(SUBSTITUTE(SUBSTITUTE(SUBSTITUTE(SUBSTITUTE(SUBSTITUTE(SUBSTITUTE(TRIM(M201),".",""),"/",""),"-","")," ",""),"(",""),")",""),"+",""))=11,MID(SUBSTITUTE(SUBSTITUTE(SUBSTITUTE(SUBSTITUTE(SUBSTITUTE(SUBSTITUTE(SUBSTITUTE(TRIM(M201),".",""),"/",""),"-","")," ",""),"(",""),")",""),"+",""),3,1)="9"),"ERRO: é celular, use a coluna Celular","ERRO: DDD + 8 dígitos ou 0800 + 7")))</f>
      </c>
      <c r="X201" s="6">
        <f>IF(N201="","vazio",IF(AND(LEN(SUBSTITUTE(SUBSTITUTE(SUBSTITUTE(SUBSTITUTE(SUBSTITUTE(SUBSTITUTE(SUBSTITUTE(TRIM(N201),".",""),"/",""),"-","")," ",""),"(",""),")",""),"+",""))=11,MID(SUBSTITUTE(SUBSTITUTE(SUBSTITUTE(SUBSTITUTE(SUBSTITUTE(SUBSTITUTE(SUBSTITUTE(TRIM(N201),".",""),"/",""),"-","")," ",""),"(",""),")",""),"+",""),3,1)="9",LEFT(SUBSTITUTE(SUBSTITUTE(SUBSTITUTE(SUBSTITUTE(SUBSTITUTE(SUBSTITUTE(SUBSTITUTE(TRIM(N201),".",""),"/",""),"-","")," ",""),"(",""),")",""),"+",""),1)&lt;&gt;"0"),"OK",IF(LEN(SUBSTITUTE(SUBSTITUTE(SUBSTITUTE(SUBSTITUTE(SUBSTITUTE(SUBSTITUTE(SUBSTITUTE(TRIM(N201),".",""),"/",""),"-","")," ",""),"(",""),")",""),"+",""))=10,"ERRO: é fixo (ou falta o 9), use a coluna Telefone fixo","ERRO: DDD + 9 + 8 dígitos")))</f>
      </c>
      <c r="Y201" s="6">
        <f>IF(O201="","vazio",IF(AND(ISNUMBER(FIND("@",O201)),ISNUMBER(FIND(".",MID(O201,FIND("@",O201),99))),NOT(ISNUMBER(FIND(" ",TRIM(O201)))),NOT(ISNUMBER(FIND(";",O201))),NOT(ISNUMBER(FIND(",",O201)))),"OK","ERRO: um e-mail válido por linha"))</f>
      </c>
      <c r="Z201" s="6">
        <f>IF(AND(J201="",K201=""),"",IF(AND(J201&lt;&gt;"",K201&lt;&gt;""),"OK","pendente: só um nome (o GR completa ao converter)"))</f>
      </c>
      <c r="AA201" s="6">
        <f>IF(COUNTA(A201:S201)=0,"",IF(AND(A201&lt;&gt;"",B201&lt;&gt;"",C201&lt;&gt;"",D201&lt;&gt;"",E201&lt;&gt;"",F201&lt;&gt;"",G201&lt;&gt;"",H201&lt;&gt;"",OR(J201&lt;&gt;"",K201&lt;&gt;""),OR(M201&lt;&gt;"",N201&lt;&gt;"",O201&lt;&gt;"")),"OK","ERRO: faltam "&amp;IF(A201="","SDR; ","")&amp;IF(B201="","Proprietário; ","")&amp;IF(C201="","Origem; ","")&amp;IF(D201="","Temperatura; ","")&amp;IF(E201="","Segmento; ","")&amp;IF(F201="","Time/Cluster; ","")&amp;IF(G201="","CNPJ; ","")&amp;IF(H201="","Razão Social; ","")&amp;IF(AND(J201="",K201=""),"nome do contato; ","")&amp;IF(AND(M201="",N201="",O201=""),"telefone, celular ou e-mail; ","")))</f>
      </c>
      <c r="AB201" s="6">
        <f>IF(COUNTA(A201:S201)=0,"",IF(AND(U201="OK",V201="OK",LEFT(W201,4)&lt;&gt;"ERRO",LEFT(X201,4)&lt;&gt;"ERRO",LEFT(Y201,4)&lt;&gt;"ERRO",AA201="OK"),"OK","REVISAR"))</f>
      </c>
    </row>
    <row r="202">
      <c r="A202" s="5"/>
      <c r="B202" s="5"/>
      <c r="C202" s="5"/>
      <c r="D202" s="5"/>
      <c r="E202" s="5"/>
      <c r="F202" s="5"/>
      <c r="G202" s="5"/>
      <c r="H202" s="5"/>
      <c r="I202" s="4"/>
      <c r="J202" s="5"/>
      <c r="K202" s="4"/>
      <c r="L202" s="4"/>
      <c r="M202" s="4"/>
      <c r="N202" s="4"/>
      <c r="O202" s="4"/>
      <c r="P202" s="4"/>
      <c r="Q202" s="4"/>
      <c r="R202" s="4"/>
      <c r="S202" s="4"/>
      <c r="T202" s="6">
        <f>IF(G202="","",SUBSTITUTE(SUBSTITUTE(SUBSTITUTE(SUBSTITUTE(SUBSTITUTE(SUBSTITUTE(SUBSTITUTE(TRIM(G202),".",""),"/",""),"-","")," ",""),"(",""),")",""),"+",""))</f>
      </c>
      <c r="U202" s="6">
        <f>IF(T202="","",IF(LEN(T202)&lt;&gt;14,"ERRO: "&amp;LEN(T202)&amp;" dígitos",IF(NOT(ISNUMBER(VALUE(T202))),"ERRO: não numérico",IF(LEN(SUBSTITUTE(T202,LEFT(T202,1),""))=0,"ERRO: dígitos repetidos",IF(AND(VALUE(MID(T202,13,1))=IF(MOD(SUMPRODUCT(--MID(T202,{1,2,3,4,5,6,7,8,9,10,11,12},1),{5,4,3,2,9,8,7,6,5,4,3,2}),11)&lt;2,0,11-MOD(SUMPRODUCT(--MID(T202,{1,2,3,4,5,6,7,8,9,10,11,12},1),{5,4,3,2,9,8,7,6,5,4,3,2}),11)),VALUE(MID(T202,14,1))=IF(MOD(SUMPRODUCT(--MID(T202,{1,2,3,4,5,6,7,8,9,10,11,12,13},1),{6,5,4,3,2,9,8,7,6,5,4,3,2}),11)&lt;2,0,11-MOD(SUMPRODUCT(--MID(T202,{1,2,3,4,5,6,7,8,9,10,11,12,13},1),{6,5,4,3,2,9,8,7,6,5,4,3,2}),11))),"OK","ERRO: dígito verificador")))))</f>
      </c>
      <c r="V202" s="6">
        <f>IF(T202="","",IF(COUNTIF($T$2:$T$1001,T202)&gt;1,"DUPLICADO","OK"))</f>
      </c>
      <c r="W202" s="6">
        <f>IF(M202="","vazio",IF(OR(AND(LEN(SUBSTITUTE(SUBSTITUTE(SUBSTITUTE(SUBSTITUTE(SUBSTITUTE(SUBSTITUTE(SUBSTITUTE(TRIM(M202),".",""),"/",""),"-","")," ",""),"(",""),")",""),"+",""))=10,LEFT(SUBSTITUTE(SUBSTITUTE(SUBSTITUTE(SUBSTITUTE(SUBSTITUTE(SUBSTITUTE(SUBSTITUTE(TRIM(M202),".",""),"/",""),"-","")," ",""),"(",""),")",""),"+",""),1)&lt;&gt;"0"),AND(LEN(SUBSTITUTE(SUBSTITUTE(SUBSTITUTE(SUBSTITUTE(SUBSTITUTE(SUBSTITUTE(SUBSTITUTE(TRIM(M202),".",""),"/",""),"-","")," ",""),"(",""),")",""),"+",""))=11,LEFT(SUBSTITUTE(SUBSTITUTE(SUBSTITUTE(SUBSTITUTE(SUBSTITUTE(SUBSTITUTE(SUBSTITUTE(TRIM(M202),".",""),"/",""),"-","")," ",""),"(",""),")",""),"+",""),4)="0800")),"OK",IF(AND(LEN(SUBSTITUTE(SUBSTITUTE(SUBSTITUTE(SUBSTITUTE(SUBSTITUTE(SUBSTITUTE(SUBSTITUTE(TRIM(M202),".",""),"/",""),"-","")," ",""),"(",""),")",""),"+",""))=11,MID(SUBSTITUTE(SUBSTITUTE(SUBSTITUTE(SUBSTITUTE(SUBSTITUTE(SUBSTITUTE(SUBSTITUTE(TRIM(M202),".",""),"/",""),"-","")," ",""),"(",""),")",""),"+",""),3,1)="9"),"ERRO: é celular, use a coluna Celular","ERRO: DDD + 8 dígitos ou 0800 + 7")))</f>
      </c>
      <c r="X202" s="6">
        <f>IF(N202="","vazio",IF(AND(LEN(SUBSTITUTE(SUBSTITUTE(SUBSTITUTE(SUBSTITUTE(SUBSTITUTE(SUBSTITUTE(SUBSTITUTE(TRIM(N202),".",""),"/",""),"-","")," ",""),"(",""),")",""),"+",""))=11,MID(SUBSTITUTE(SUBSTITUTE(SUBSTITUTE(SUBSTITUTE(SUBSTITUTE(SUBSTITUTE(SUBSTITUTE(TRIM(N202),".",""),"/",""),"-","")," ",""),"(",""),")",""),"+",""),3,1)="9",LEFT(SUBSTITUTE(SUBSTITUTE(SUBSTITUTE(SUBSTITUTE(SUBSTITUTE(SUBSTITUTE(SUBSTITUTE(TRIM(N202),".",""),"/",""),"-","")," ",""),"(",""),")",""),"+",""),1)&lt;&gt;"0"),"OK",IF(LEN(SUBSTITUTE(SUBSTITUTE(SUBSTITUTE(SUBSTITUTE(SUBSTITUTE(SUBSTITUTE(SUBSTITUTE(TRIM(N202),".",""),"/",""),"-","")," ",""),"(",""),")",""),"+",""))=10,"ERRO: é fixo (ou falta o 9), use a coluna Telefone fixo","ERRO: DDD + 9 + 8 dígitos")))</f>
      </c>
      <c r="Y202" s="6">
        <f>IF(O202="","vazio",IF(AND(ISNUMBER(FIND("@",O202)),ISNUMBER(FIND(".",MID(O202,FIND("@",O202),99))),NOT(ISNUMBER(FIND(" ",TRIM(O202)))),NOT(ISNUMBER(FIND(";",O202))),NOT(ISNUMBER(FIND(",",O202)))),"OK","ERRO: um e-mail válido por linha"))</f>
      </c>
      <c r="Z202" s="6">
        <f>IF(AND(J202="",K202=""),"",IF(AND(J202&lt;&gt;"",K202&lt;&gt;""),"OK","pendente: só um nome (o GR completa ao converter)"))</f>
      </c>
      <c r="AA202" s="6">
        <f>IF(COUNTA(A202:S202)=0,"",IF(AND(A202&lt;&gt;"",B202&lt;&gt;"",C202&lt;&gt;"",D202&lt;&gt;"",E202&lt;&gt;"",F202&lt;&gt;"",G202&lt;&gt;"",H202&lt;&gt;"",OR(J202&lt;&gt;"",K202&lt;&gt;""),OR(M202&lt;&gt;"",N202&lt;&gt;"",O202&lt;&gt;"")),"OK","ERRO: faltam "&amp;IF(A202="","SDR; ","")&amp;IF(B202="","Proprietário; ","")&amp;IF(C202="","Origem; ","")&amp;IF(D202="","Temperatura; ","")&amp;IF(E202="","Segmento; ","")&amp;IF(F202="","Time/Cluster; ","")&amp;IF(G202="","CNPJ; ","")&amp;IF(H202="","Razão Social; ","")&amp;IF(AND(J202="",K202=""),"nome do contato; ","")&amp;IF(AND(M202="",N202="",O202=""),"telefone, celular ou e-mail; ","")))</f>
      </c>
      <c r="AB202" s="6">
        <f>IF(COUNTA(A202:S202)=0,"",IF(AND(U202="OK",V202="OK",LEFT(W202,4)&lt;&gt;"ERRO",LEFT(X202,4)&lt;&gt;"ERRO",LEFT(Y202,4)&lt;&gt;"ERRO",AA202="OK"),"OK","REVISAR"))</f>
      </c>
    </row>
    <row r="203">
      <c r="A203" s="5"/>
      <c r="B203" s="5"/>
      <c r="C203" s="5"/>
      <c r="D203" s="5"/>
      <c r="E203" s="5"/>
      <c r="F203" s="5"/>
      <c r="G203" s="5"/>
      <c r="H203" s="5"/>
      <c r="I203" s="4"/>
      <c r="J203" s="5"/>
      <c r="K203" s="4"/>
      <c r="L203" s="4"/>
      <c r="M203" s="4"/>
      <c r="N203" s="4"/>
      <c r="O203" s="4"/>
      <c r="P203" s="4"/>
      <c r="Q203" s="4"/>
      <c r="R203" s="4"/>
      <c r="S203" s="4"/>
      <c r="T203" s="6">
        <f>IF(G203="","",SUBSTITUTE(SUBSTITUTE(SUBSTITUTE(SUBSTITUTE(SUBSTITUTE(SUBSTITUTE(SUBSTITUTE(TRIM(G203),".",""),"/",""),"-","")," ",""),"(",""),")",""),"+",""))</f>
      </c>
      <c r="U203" s="6">
        <f>IF(T203="","",IF(LEN(T203)&lt;&gt;14,"ERRO: "&amp;LEN(T203)&amp;" dígitos",IF(NOT(ISNUMBER(VALUE(T203))),"ERRO: não numérico",IF(LEN(SUBSTITUTE(T203,LEFT(T203,1),""))=0,"ERRO: dígitos repetidos",IF(AND(VALUE(MID(T203,13,1))=IF(MOD(SUMPRODUCT(--MID(T203,{1,2,3,4,5,6,7,8,9,10,11,12},1),{5,4,3,2,9,8,7,6,5,4,3,2}),11)&lt;2,0,11-MOD(SUMPRODUCT(--MID(T203,{1,2,3,4,5,6,7,8,9,10,11,12},1),{5,4,3,2,9,8,7,6,5,4,3,2}),11)),VALUE(MID(T203,14,1))=IF(MOD(SUMPRODUCT(--MID(T203,{1,2,3,4,5,6,7,8,9,10,11,12,13},1),{6,5,4,3,2,9,8,7,6,5,4,3,2}),11)&lt;2,0,11-MOD(SUMPRODUCT(--MID(T203,{1,2,3,4,5,6,7,8,9,10,11,12,13},1),{6,5,4,3,2,9,8,7,6,5,4,3,2}),11))),"OK","ERRO: dígito verificador")))))</f>
      </c>
      <c r="V203" s="6">
        <f>IF(T203="","",IF(COUNTIF($T$2:$T$1001,T203)&gt;1,"DUPLICADO","OK"))</f>
      </c>
      <c r="W203" s="6">
        <f>IF(M203="","vazio",IF(OR(AND(LEN(SUBSTITUTE(SUBSTITUTE(SUBSTITUTE(SUBSTITUTE(SUBSTITUTE(SUBSTITUTE(SUBSTITUTE(TRIM(M203),".",""),"/",""),"-","")," ",""),"(",""),")",""),"+",""))=10,LEFT(SUBSTITUTE(SUBSTITUTE(SUBSTITUTE(SUBSTITUTE(SUBSTITUTE(SUBSTITUTE(SUBSTITUTE(TRIM(M203),".",""),"/",""),"-","")," ",""),"(",""),")",""),"+",""),1)&lt;&gt;"0"),AND(LEN(SUBSTITUTE(SUBSTITUTE(SUBSTITUTE(SUBSTITUTE(SUBSTITUTE(SUBSTITUTE(SUBSTITUTE(TRIM(M203),".",""),"/",""),"-","")," ",""),"(",""),")",""),"+",""))=11,LEFT(SUBSTITUTE(SUBSTITUTE(SUBSTITUTE(SUBSTITUTE(SUBSTITUTE(SUBSTITUTE(SUBSTITUTE(TRIM(M203),".",""),"/",""),"-","")," ",""),"(",""),")",""),"+",""),4)="0800")),"OK",IF(AND(LEN(SUBSTITUTE(SUBSTITUTE(SUBSTITUTE(SUBSTITUTE(SUBSTITUTE(SUBSTITUTE(SUBSTITUTE(TRIM(M203),".",""),"/",""),"-","")," ",""),"(",""),")",""),"+",""))=11,MID(SUBSTITUTE(SUBSTITUTE(SUBSTITUTE(SUBSTITUTE(SUBSTITUTE(SUBSTITUTE(SUBSTITUTE(TRIM(M203),".",""),"/",""),"-","")," ",""),"(",""),")",""),"+",""),3,1)="9"),"ERRO: é celular, use a coluna Celular","ERRO: DDD + 8 dígitos ou 0800 + 7")))</f>
      </c>
      <c r="X203" s="6">
        <f>IF(N203="","vazio",IF(AND(LEN(SUBSTITUTE(SUBSTITUTE(SUBSTITUTE(SUBSTITUTE(SUBSTITUTE(SUBSTITUTE(SUBSTITUTE(TRIM(N203),".",""),"/",""),"-","")," ",""),"(",""),")",""),"+",""))=11,MID(SUBSTITUTE(SUBSTITUTE(SUBSTITUTE(SUBSTITUTE(SUBSTITUTE(SUBSTITUTE(SUBSTITUTE(TRIM(N203),".",""),"/",""),"-","")," ",""),"(",""),")",""),"+",""),3,1)="9",LEFT(SUBSTITUTE(SUBSTITUTE(SUBSTITUTE(SUBSTITUTE(SUBSTITUTE(SUBSTITUTE(SUBSTITUTE(TRIM(N203),".",""),"/",""),"-","")," ",""),"(",""),")",""),"+",""),1)&lt;&gt;"0"),"OK",IF(LEN(SUBSTITUTE(SUBSTITUTE(SUBSTITUTE(SUBSTITUTE(SUBSTITUTE(SUBSTITUTE(SUBSTITUTE(TRIM(N203),".",""),"/",""),"-","")," ",""),"(",""),")",""),"+",""))=10,"ERRO: é fixo (ou falta o 9), use a coluna Telefone fixo","ERRO: DDD + 9 + 8 dígitos")))</f>
      </c>
      <c r="Y203" s="6">
        <f>IF(O203="","vazio",IF(AND(ISNUMBER(FIND("@",O203)),ISNUMBER(FIND(".",MID(O203,FIND("@",O203),99))),NOT(ISNUMBER(FIND(" ",TRIM(O203)))),NOT(ISNUMBER(FIND(";",O203))),NOT(ISNUMBER(FIND(",",O203)))),"OK","ERRO: um e-mail válido por linha"))</f>
      </c>
      <c r="Z203" s="6">
        <f>IF(AND(J203="",K203=""),"",IF(AND(J203&lt;&gt;"",K203&lt;&gt;""),"OK","pendente: só um nome (o GR completa ao converter)"))</f>
      </c>
      <c r="AA203" s="6">
        <f>IF(COUNTA(A203:S203)=0,"",IF(AND(A203&lt;&gt;"",B203&lt;&gt;"",C203&lt;&gt;"",D203&lt;&gt;"",E203&lt;&gt;"",F203&lt;&gt;"",G203&lt;&gt;"",H203&lt;&gt;"",OR(J203&lt;&gt;"",K203&lt;&gt;""),OR(M203&lt;&gt;"",N203&lt;&gt;"",O203&lt;&gt;"")),"OK","ERRO: faltam "&amp;IF(A203="","SDR; ","")&amp;IF(B203="","Proprietário; ","")&amp;IF(C203="","Origem; ","")&amp;IF(D203="","Temperatura; ","")&amp;IF(E203="","Segmento; ","")&amp;IF(F203="","Time/Cluster; ","")&amp;IF(G203="","CNPJ; ","")&amp;IF(H203="","Razão Social; ","")&amp;IF(AND(J203="",K203=""),"nome do contato; ","")&amp;IF(AND(M203="",N203="",O203=""),"telefone, celular ou e-mail; ","")))</f>
      </c>
      <c r="AB203" s="6">
        <f>IF(COUNTA(A203:S203)=0,"",IF(AND(U203="OK",V203="OK",LEFT(W203,4)&lt;&gt;"ERRO",LEFT(X203,4)&lt;&gt;"ERRO",LEFT(Y203,4)&lt;&gt;"ERRO",AA203="OK"),"OK","REVISAR"))</f>
      </c>
    </row>
    <row r="204">
      <c r="A204" s="5"/>
      <c r="B204" s="5"/>
      <c r="C204" s="5"/>
      <c r="D204" s="5"/>
      <c r="E204" s="5"/>
      <c r="F204" s="5"/>
      <c r="G204" s="5"/>
      <c r="H204" s="5"/>
      <c r="I204" s="4"/>
      <c r="J204" s="5"/>
      <c r="K204" s="4"/>
      <c r="L204" s="4"/>
      <c r="M204" s="4"/>
      <c r="N204" s="4"/>
      <c r="O204" s="4"/>
      <c r="P204" s="4"/>
      <c r="Q204" s="4"/>
      <c r="R204" s="4"/>
      <c r="S204" s="4"/>
      <c r="T204" s="6">
        <f>IF(G204="","",SUBSTITUTE(SUBSTITUTE(SUBSTITUTE(SUBSTITUTE(SUBSTITUTE(SUBSTITUTE(SUBSTITUTE(TRIM(G204),".",""),"/",""),"-","")," ",""),"(",""),")",""),"+",""))</f>
      </c>
      <c r="U204" s="6">
        <f>IF(T204="","",IF(LEN(T204)&lt;&gt;14,"ERRO: "&amp;LEN(T204)&amp;" dígitos",IF(NOT(ISNUMBER(VALUE(T204))),"ERRO: não numérico",IF(LEN(SUBSTITUTE(T204,LEFT(T204,1),""))=0,"ERRO: dígitos repetidos",IF(AND(VALUE(MID(T204,13,1))=IF(MOD(SUMPRODUCT(--MID(T204,{1,2,3,4,5,6,7,8,9,10,11,12},1),{5,4,3,2,9,8,7,6,5,4,3,2}),11)&lt;2,0,11-MOD(SUMPRODUCT(--MID(T204,{1,2,3,4,5,6,7,8,9,10,11,12},1),{5,4,3,2,9,8,7,6,5,4,3,2}),11)),VALUE(MID(T204,14,1))=IF(MOD(SUMPRODUCT(--MID(T204,{1,2,3,4,5,6,7,8,9,10,11,12,13},1),{6,5,4,3,2,9,8,7,6,5,4,3,2}),11)&lt;2,0,11-MOD(SUMPRODUCT(--MID(T204,{1,2,3,4,5,6,7,8,9,10,11,12,13},1),{6,5,4,3,2,9,8,7,6,5,4,3,2}),11))),"OK","ERRO: dígito verificador")))))</f>
      </c>
      <c r="V204" s="6">
        <f>IF(T204="","",IF(COUNTIF($T$2:$T$1001,T204)&gt;1,"DUPLICADO","OK"))</f>
      </c>
      <c r="W204" s="6">
        <f>IF(M204="","vazio",IF(OR(AND(LEN(SUBSTITUTE(SUBSTITUTE(SUBSTITUTE(SUBSTITUTE(SUBSTITUTE(SUBSTITUTE(SUBSTITUTE(TRIM(M204),".",""),"/",""),"-","")," ",""),"(",""),")",""),"+",""))=10,LEFT(SUBSTITUTE(SUBSTITUTE(SUBSTITUTE(SUBSTITUTE(SUBSTITUTE(SUBSTITUTE(SUBSTITUTE(TRIM(M204),".",""),"/",""),"-","")," ",""),"(",""),")",""),"+",""),1)&lt;&gt;"0"),AND(LEN(SUBSTITUTE(SUBSTITUTE(SUBSTITUTE(SUBSTITUTE(SUBSTITUTE(SUBSTITUTE(SUBSTITUTE(TRIM(M204),".",""),"/",""),"-","")," ",""),"(",""),")",""),"+",""))=11,LEFT(SUBSTITUTE(SUBSTITUTE(SUBSTITUTE(SUBSTITUTE(SUBSTITUTE(SUBSTITUTE(SUBSTITUTE(TRIM(M204),".",""),"/",""),"-","")," ",""),"(",""),")",""),"+",""),4)="0800")),"OK",IF(AND(LEN(SUBSTITUTE(SUBSTITUTE(SUBSTITUTE(SUBSTITUTE(SUBSTITUTE(SUBSTITUTE(SUBSTITUTE(TRIM(M204),".",""),"/",""),"-","")," ",""),"(",""),")",""),"+",""))=11,MID(SUBSTITUTE(SUBSTITUTE(SUBSTITUTE(SUBSTITUTE(SUBSTITUTE(SUBSTITUTE(SUBSTITUTE(TRIM(M204),".",""),"/",""),"-","")," ",""),"(",""),")",""),"+",""),3,1)="9"),"ERRO: é celular, use a coluna Celular","ERRO: DDD + 8 dígitos ou 0800 + 7")))</f>
      </c>
      <c r="X204" s="6">
        <f>IF(N204="","vazio",IF(AND(LEN(SUBSTITUTE(SUBSTITUTE(SUBSTITUTE(SUBSTITUTE(SUBSTITUTE(SUBSTITUTE(SUBSTITUTE(TRIM(N204),".",""),"/",""),"-","")," ",""),"(",""),")",""),"+",""))=11,MID(SUBSTITUTE(SUBSTITUTE(SUBSTITUTE(SUBSTITUTE(SUBSTITUTE(SUBSTITUTE(SUBSTITUTE(TRIM(N204),".",""),"/",""),"-","")," ",""),"(",""),")",""),"+",""),3,1)="9",LEFT(SUBSTITUTE(SUBSTITUTE(SUBSTITUTE(SUBSTITUTE(SUBSTITUTE(SUBSTITUTE(SUBSTITUTE(TRIM(N204),".",""),"/",""),"-","")," ",""),"(",""),")",""),"+",""),1)&lt;&gt;"0"),"OK",IF(LEN(SUBSTITUTE(SUBSTITUTE(SUBSTITUTE(SUBSTITUTE(SUBSTITUTE(SUBSTITUTE(SUBSTITUTE(TRIM(N204),".",""),"/",""),"-","")," ",""),"(",""),")",""),"+",""))=10,"ERRO: é fixo (ou falta o 9), use a coluna Telefone fixo","ERRO: DDD + 9 + 8 dígitos")))</f>
      </c>
      <c r="Y204" s="6">
        <f>IF(O204="","vazio",IF(AND(ISNUMBER(FIND("@",O204)),ISNUMBER(FIND(".",MID(O204,FIND("@",O204),99))),NOT(ISNUMBER(FIND(" ",TRIM(O204)))),NOT(ISNUMBER(FIND(";",O204))),NOT(ISNUMBER(FIND(",",O204)))),"OK","ERRO: um e-mail válido por linha"))</f>
      </c>
      <c r="Z204" s="6">
        <f>IF(AND(J204="",K204=""),"",IF(AND(J204&lt;&gt;"",K204&lt;&gt;""),"OK","pendente: só um nome (o GR completa ao converter)"))</f>
      </c>
      <c r="AA204" s="6">
        <f>IF(COUNTA(A204:S204)=0,"",IF(AND(A204&lt;&gt;"",B204&lt;&gt;"",C204&lt;&gt;"",D204&lt;&gt;"",E204&lt;&gt;"",F204&lt;&gt;"",G204&lt;&gt;"",H204&lt;&gt;"",OR(J204&lt;&gt;"",K204&lt;&gt;""),OR(M204&lt;&gt;"",N204&lt;&gt;"",O204&lt;&gt;"")),"OK","ERRO: faltam "&amp;IF(A204="","SDR; ","")&amp;IF(B204="","Proprietário; ","")&amp;IF(C204="","Origem; ","")&amp;IF(D204="","Temperatura; ","")&amp;IF(E204="","Segmento; ","")&amp;IF(F204="","Time/Cluster; ","")&amp;IF(G204="","CNPJ; ","")&amp;IF(H204="","Razão Social; ","")&amp;IF(AND(J204="",K204=""),"nome do contato; ","")&amp;IF(AND(M204="",N204="",O204=""),"telefone, celular ou e-mail; ","")))</f>
      </c>
      <c r="AB204" s="6">
        <f>IF(COUNTA(A204:S204)=0,"",IF(AND(U204="OK",V204="OK",LEFT(W204,4)&lt;&gt;"ERRO",LEFT(X204,4)&lt;&gt;"ERRO",LEFT(Y204,4)&lt;&gt;"ERRO",AA204="OK"),"OK","REVISAR"))</f>
      </c>
    </row>
    <row r="205">
      <c r="A205" s="5"/>
      <c r="B205" s="5"/>
      <c r="C205" s="5"/>
      <c r="D205" s="5"/>
      <c r="E205" s="5"/>
      <c r="F205" s="5"/>
      <c r="G205" s="5"/>
      <c r="H205" s="5"/>
      <c r="I205" s="4"/>
      <c r="J205" s="5"/>
      <c r="K205" s="4"/>
      <c r="L205" s="4"/>
      <c r="M205" s="4"/>
      <c r="N205" s="4"/>
      <c r="O205" s="4"/>
      <c r="P205" s="4"/>
      <c r="Q205" s="4"/>
      <c r="R205" s="4"/>
      <c r="S205" s="4"/>
      <c r="T205" s="6">
        <f>IF(G205="","",SUBSTITUTE(SUBSTITUTE(SUBSTITUTE(SUBSTITUTE(SUBSTITUTE(SUBSTITUTE(SUBSTITUTE(TRIM(G205),".",""),"/",""),"-","")," ",""),"(",""),")",""),"+",""))</f>
      </c>
      <c r="U205" s="6">
        <f>IF(T205="","",IF(LEN(T205)&lt;&gt;14,"ERRO: "&amp;LEN(T205)&amp;" dígitos",IF(NOT(ISNUMBER(VALUE(T205))),"ERRO: não numérico",IF(LEN(SUBSTITUTE(T205,LEFT(T205,1),""))=0,"ERRO: dígitos repetidos",IF(AND(VALUE(MID(T205,13,1))=IF(MOD(SUMPRODUCT(--MID(T205,{1,2,3,4,5,6,7,8,9,10,11,12},1),{5,4,3,2,9,8,7,6,5,4,3,2}),11)&lt;2,0,11-MOD(SUMPRODUCT(--MID(T205,{1,2,3,4,5,6,7,8,9,10,11,12},1),{5,4,3,2,9,8,7,6,5,4,3,2}),11)),VALUE(MID(T205,14,1))=IF(MOD(SUMPRODUCT(--MID(T205,{1,2,3,4,5,6,7,8,9,10,11,12,13},1),{6,5,4,3,2,9,8,7,6,5,4,3,2}),11)&lt;2,0,11-MOD(SUMPRODUCT(--MID(T205,{1,2,3,4,5,6,7,8,9,10,11,12,13},1),{6,5,4,3,2,9,8,7,6,5,4,3,2}),11))),"OK","ERRO: dígito verificador")))))</f>
      </c>
      <c r="V205" s="6">
        <f>IF(T205="","",IF(COUNTIF($T$2:$T$1001,T205)&gt;1,"DUPLICADO","OK"))</f>
      </c>
      <c r="W205" s="6">
        <f>IF(M205="","vazio",IF(OR(AND(LEN(SUBSTITUTE(SUBSTITUTE(SUBSTITUTE(SUBSTITUTE(SUBSTITUTE(SUBSTITUTE(SUBSTITUTE(TRIM(M205),".",""),"/",""),"-","")," ",""),"(",""),")",""),"+",""))=10,LEFT(SUBSTITUTE(SUBSTITUTE(SUBSTITUTE(SUBSTITUTE(SUBSTITUTE(SUBSTITUTE(SUBSTITUTE(TRIM(M205),".",""),"/",""),"-","")," ",""),"(",""),")",""),"+",""),1)&lt;&gt;"0"),AND(LEN(SUBSTITUTE(SUBSTITUTE(SUBSTITUTE(SUBSTITUTE(SUBSTITUTE(SUBSTITUTE(SUBSTITUTE(TRIM(M205),".",""),"/",""),"-","")," ",""),"(",""),")",""),"+",""))=11,LEFT(SUBSTITUTE(SUBSTITUTE(SUBSTITUTE(SUBSTITUTE(SUBSTITUTE(SUBSTITUTE(SUBSTITUTE(TRIM(M205),".",""),"/",""),"-","")," ",""),"(",""),")",""),"+",""),4)="0800")),"OK",IF(AND(LEN(SUBSTITUTE(SUBSTITUTE(SUBSTITUTE(SUBSTITUTE(SUBSTITUTE(SUBSTITUTE(SUBSTITUTE(TRIM(M205),".",""),"/",""),"-","")," ",""),"(",""),")",""),"+",""))=11,MID(SUBSTITUTE(SUBSTITUTE(SUBSTITUTE(SUBSTITUTE(SUBSTITUTE(SUBSTITUTE(SUBSTITUTE(TRIM(M205),".",""),"/",""),"-","")," ",""),"(",""),")",""),"+",""),3,1)="9"),"ERRO: é celular, use a coluna Celular","ERRO: DDD + 8 dígitos ou 0800 + 7")))</f>
      </c>
      <c r="X205" s="6">
        <f>IF(N205="","vazio",IF(AND(LEN(SUBSTITUTE(SUBSTITUTE(SUBSTITUTE(SUBSTITUTE(SUBSTITUTE(SUBSTITUTE(SUBSTITUTE(TRIM(N205),".",""),"/",""),"-","")," ",""),"(",""),")",""),"+",""))=11,MID(SUBSTITUTE(SUBSTITUTE(SUBSTITUTE(SUBSTITUTE(SUBSTITUTE(SUBSTITUTE(SUBSTITUTE(TRIM(N205),".",""),"/",""),"-","")," ",""),"(",""),")",""),"+",""),3,1)="9",LEFT(SUBSTITUTE(SUBSTITUTE(SUBSTITUTE(SUBSTITUTE(SUBSTITUTE(SUBSTITUTE(SUBSTITUTE(TRIM(N205),".",""),"/",""),"-","")," ",""),"(",""),")",""),"+",""),1)&lt;&gt;"0"),"OK",IF(LEN(SUBSTITUTE(SUBSTITUTE(SUBSTITUTE(SUBSTITUTE(SUBSTITUTE(SUBSTITUTE(SUBSTITUTE(TRIM(N205),".",""),"/",""),"-","")," ",""),"(",""),")",""),"+",""))=10,"ERRO: é fixo (ou falta o 9), use a coluna Telefone fixo","ERRO: DDD + 9 + 8 dígitos")))</f>
      </c>
      <c r="Y205" s="6">
        <f>IF(O205="","vazio",IF(AND(ISNUMBER(FIND("@",O205)),ISNUMBER(FIND(".",MID(O205,FIND("@",O205),99))),NOT(ISNUMBER(FIND(" ",TRIM(O205)))),NOT(ISNUMBER(FIND(";",O205))),NOT(ISNUMBER(FIND(",",O205)))),"OK","ERRO: um e-mail válido por linha"))</f>
      </c>
      <c r="Z205" s="6">
        <f>IF(AND(J205="",K205=""),"",IF(AND(J205&lt;&gt;"",K205&lt;&gt;""),"OK","pendente: só um nome (o GR completa ao converter)"))</f>
      </c>
      <c r="AA205" s="6">
        <f>IF(COUNTA(A205:S205)=0,"",IF(AND(A205&lt;&gt;"",B205&lt;&gt;"",C205&lt;&gt;"",D205&lt;&gt;"",E205&lt;&gt;"",F205&lt;&gt;"",G205&lt;&gt;"",H205&lt;&gt;"",OR(J205&lt;&gt;"",K205&lt;&gt;""),OR(M205&lt;&gt;"",N205&lt;&gt;"",O205&lt;&gt;"")),"OK","ERRO: faltam "&amp;IF(A205="","SDR; ","")&amp;IF(B205="","Proprietário; ","")&amp;IF(C205="","Origem; ","")&amp;IF(D205="","Temperatura; ","")&amp;IF(E205="","Segmento; ","")&amp;IF(F205="","Time/Cluster; ","")&amp;IF(G205="","CNPJ; ","")&amp;IF(H205="","Razão Social; ","")&amp;IF(AND(J205="",K205=""),"nome do contato; ","")&amp;IF(AND(M205="",N205="",O205=""),"telefone, celular ou e-mail; ","")))</f>
      </c>
      <c r="AB205" s="6">
        <f>IF(COUNTA(A205:S205)=0,"",IF(AND(U205="OK",V205="OK",LEFT(W205,4)&lt;&gt;"ERRO",LEFT(X205,4)&lt;&gt;"ERRO",LEFT(Y205,4)&lt;&gt;"ERRO",AA205="OK"),"OK","REVISAR"))</f>
      </c>
    </row>
    <row r="206">
      <c r="A206" s="5"/>
      <c r="B206" s="5"/>
      <c r="C206" s="5"/>
      <c r="D206" s="5"/>
      <c r="E206" s="5"/>
      <c r="F206" s="5"/>
      <c r="G206" s="5"/>
      <c r="H206" s="5"/>
      <c r="I206" s="4"/>
      <c r="J206" s="5"/>
      <c r="K206" s="4"/>
      <c r="L206" s="4"/>
      <c r="M206" s="4"/>
      <c r="N206" s="4"/>
      <c r="O206" s="4"/>
      <c r="P206" s="4"/>
      <c r="Q206" s="4"/>
      <c r="R206" s="4"/>
      <c r="S206" s="4"/>
      <c r="T206" s="6">
        <f>IF(G206="","",SUBSTITUTE(SUBSTITUTE(SUBSTITUTE(SUBSTITUTE(SUBSTITUTE(SUBSTITUTE(SUBSTITUTE(TRIM(G206),".",""),"/",""),"-","")," ",""),"(",""),")",""),"+",""))</f>
      </c>
      <c r="U206" s="6">
        <f>IF(T206="","",IF(LEN(T206)&lt;&gt;14,"ERRO: "&amp;LEN(T206)&amp;" dígitos",IF(NOT(ISNUMBER(VALUE(T206))),"ERRO: não numérico",IF(LEN(SUBSTITUTE(T206,LEFT(T206,1),""))=0,"ERRO: dígitos repetidos",IF(AND(VALUE(MID(T206,13,1))=IF(MOD(SUMPRODUCT(--MID(T206,{1,2,3,4,5,6,7,8,9,10,11,12},1),{5,4,3,2,9,8,7,6,5,4,3,2}),11)&lt;2,0,11-MOD(SUMPRODUCT(--MID(T206,{1,2,3,4,5,6,7,8,9,10,11,12},1),{5,4,3,2,9,8,7,6,5,4,3,2}),11)),VALUE(MID(T206,14,1))=IF(MOD(SUMPRODUCT(--MID(T206,{1,2,3,4,5,6,7,8,9,10,11,12,13},1),{6,5,4,3,2,9,8,7,6,5,4,3,2}),11)&lt;2,0,11-MOD(SUMPRODUCT(--MID(T206,{1,2,3,4,5,6,7,8,9,10,11,12,13},1),{6,5,4,3,2,9,8,7,6,5,4,3,2}),11))),"OK","ERRO: dígito verificador")))))</f>
      </c>
      <c r="V206" s="6">
        <f>IF(T206="","",IF(COUNTIF($T$2:$T$1001,T206)&gt;1,"DUPLICADO","OK"))</f>
      </c>
      <c r="W206" s="6">
        <f>IF(M206="","vazio",IF(OR(AND(LEN(SUBSTITUTE(SUBSTITUTE(SUBSTITUTE(SUBSTITUTE(SUBSTITUTE(SUBSTITUTE(SUBSTITUTE(TRIM(M206),".",""),"/",""),"-","")," ",""),"(",""),")",""),"+",""))=10,LEFT(SUBSTITUTE(SUBSTITUTE(SUBSTITUTE(SUBSTITUTE(SUBSTITUTE(SUBSTITUTE(SUBSTITUTE(TRIM(M206),".",""),"/",""),"-","")," ",""),"(",""),")",""),"+",""),1)&lt;&gt;"0"),AND(LEN(SUBSTITUTE(SUBSTITUTE(SUBSTITUTE(SUBSTITUTE(SUBSTITUTE(SUBSTITUTE(SUBSTITUTE(TRIM(M206),".",""),"/",""),"-","")," ",""),"(",""),")",""),"+",""))=11,LEFT(SUBSTITUTE(SUBSTITUTE(SUBSTITUTE(SUBSTITUTE(SUBSTITUTE(SUBSTITUTE(SUBSTITUTE(TRIM(M206),".",""),"/",""),"-","")," ",""),"(",""),")",""),"+",""),4)="0800")),"OK",IF(AND(LEN(SUBSTITUTE(SUBSTITUTE(SUBSTITUTE(SUBSTITUTE(SUBSTITUTE(SUBSTITUTE(SUBSTITUTE(TRIM(M206),".",""),"/",""),"-","")," ",""),"(",""),")",""),"+",""))=11,MID(SUBSTITUTE(SUBSTITUTE(SUBSTITUTE(SUBSTITUTE(SUBSTITUTE(SUBSTITUTE(SUBSTITUTE(TRIM(M206),".",""),"/",""),"-","")," ",""),"(",""),")",""),"+",""),3,1)="9"),"ERRO: é celular, use a coluna Celular","ERRO: DDD + 8 dígitos ou 0800 + 7")))</f>
      </c>
      <c r="X206" s="6">
        <f>IF(N206="","vazio",IF(AND(LEN(SUBSTITUTE(SUBSTITUTE(SUBSTITUTE(SUBSTITUTE(SUBSTITUTE(SUBSTITUTE(SUBSTITUTE(TRIM(N206),".",""),"/",""),"-","")," ",""),"(",""),")",""),"+",""))=11,MID(SUBSTITUTE(SUBSTITUTE(SUBSTITUTE(SUBSTITUTE(SUBSTITUTE(SUBSTITUTE(SUBSTITUTE(TRIM(N206),".",""),"/",""),"-","")," ",""),"(",""),")",""),"+",""),3,1)="9",LEFT(SUBSTITUTE(SUBSTITUTE(SUBSTITUTE(SUBSTITUTE(SUBSTITUTE(SUBSTITUTE(SUBSTITUTE(TRIM(N206),".",""),"/",""),"-","")," ",""),"(",""),")",""),"+",""),1)&lt;&gt;"0"),"OK",IF(LEN(SUBSTITUTE(SUBSTITUTE(SUBSTITUTE(SUBSTITUTE(SUBSTITUTE(SUBSTITUTE(SUBSTITUTE(TRIM(N206),".",""),"/",""),"-","")," ",""),"(",""),")",""),"+",""))=10,"ERRO: é fixo (ou falta o 9), use a coluna Telefone fixo","ERRO: DDD + 9 + 8 dígitos")))</f>
      </c>
      <c r="Y206" s="6">
        <f>IF(O206="","vazio",IF(AND(ISNUMBER(FIND("@",O206)),ISNUMBER(FIND(".",MID(O206,FIND("@",O206),99))),NOT(ISNUMBER(FIND(" ",TRIM(O206)))),NOT(ISNUMBER(FIND(";",O206))),NOT(ISNUMBER(FIND(",",O206)))),"OK","ERRO: um e-mail válido por linha"))</f>
      </c>
      <c r="Z206" s="6">
        <f>IF(AND(J206="",K206=""),"",IF(AND(J206&lt;&gt;"",K206&lt;&gt;""),"OK","pendente: só um nome (o GR completa ao converter)"))</f>
      </c>
      <c r="AA206" s="6">
        <f>IF(COUNTA(A206:S206)=0,"",IF(AND(A206&lt;&gt;"",B206&lt;&gt;"",C206&lt;&gt;"",D206&lt;&gt;"",E206&lt;&gt;"",F206&lt;&gt;"",G206&lt;&gt;"",H206&lt;&gt;"",OR(J206&lt;&gt;"",K206&lt;&gt;""),OR(M206&lt;&gt;"",N206&lt;&gt;"",O206&lt;&gt;"")),"OK","ERRO: faltam "&amp;IF(A206="","SDR; ","")&amp;IF(B206="","Proprietário; ","")&amp;IF(C206="","Origem; ","")&amp;IF(D206="","Temperatura; ","")&amp;IF(E206="","Segmento; ","")&amp;IF(F206="","Time/Cluster; ","")&amp;IF(G206="","CNPJ; ","")&amp;IF(H206="","Razão Social; ","")&amp;IF(AND(J206="",K206=""),"nome do contato; ","")&amp;IF(AND(M206="",N206="",O206=""),"telefone, celular ou e-mail; ","")))</f>
      </c>
      <c r="AB206" s="6">
        <f>IF(COUNTA(A206:S206)=0,"",IF(AND(U206="OK",V206="OK",LEFT(W206,4)&lt;&gt;"ERRO",LEFT(X206,4)&lt;&gt;"ERRO",LEFT(Y206,4)&lt;&gt;"ERRO",AA206="OK"),"OK","REVISAR"))</f>
      </c>
    </row>
    <row r="207">
      <c r="A207" s="5"/>
      <c r="B207" s="5"/>
      <c r="C207" s="5"/>
      <c r="D207" s="5"/>
      <c r="E207" s="5"/>
      <c r="F207" s="5"/>
      <c r="G207" s="5"/>
      <c r="H207" s="5"/>
      <c r="I207" s="4"/>
      <c r="J207" s="5"/>
      <c r="K207" s="4"/>
      <c r="L207" s="4"/>
      <c r="M207" s="4"/>
      <c r="N207" s="4"/>
      <c r="O207" s="4"/>
      <c r="P207" s="4"/>
      <c r="Q207" s="4"/>
      <c r="R207" s="4"/>
      <c r="S207" s="4"/>
      <c r="T207" s="6">
        <f>IF(G207="","",SUBSTITUTE(SUBSTITUTE(SUBSTITUTE(SUBSTITUTE(SUBSTITUTE(SUBSTITUTE(SUBSTITUTE(TRIM(G207),".",""),"/",""),"-","")," ",""),"(",""),")",""),"+",""))</f>
      </c>
      <c r="U207" s="6">
        <f>IF(T207="","",IF(LEN(T207)&lt;&gt;14,"ERRO: "&amp;LEN(T207)&amp;" dígitos",IF(NOT(ISNUMBER(VALUE(T207))),"ERRO: não numérico",IF(LEN(SUBSTITUTE(T207,LEFT(T207,1),""))=0,"ERRO: dígitos repetidos",IF(AND(VALUE(MID(T207,13,1))=IF(MOD(SUMPRODUCT(--MID(T207,{1,2,3,4,5,6,7,8,9,10,11,12},1),{5,4,3,2,9,8,7,6,5,4,3,2}),11)&lt;2,0,11-MOD(SUMPRODUCT(--MID(T207,{1,2,3,4,5,6,7,8,9,10,11,12},1),{5,4,3,2,9,8,7,6,5,4,3,2}),11)),VALUE(MID(T207,14,1))=IF(MOD(SUMPRODUCT(--MID(T207,{1,2,3,4,5,6,7,8,9,10,11,12,13},1),{6,5,4,3,2,9,8,7,6,5,4,3,2}),11)&lt;2,0,11-MOD(SUMPRODUCT(--MID(T207,{1,2,3,4,5,6,7,8,9,10,11,12,13},1),{6,5,4,3,2,9,8,7,6,5,4,3,2}),11))),"OK","ERRO: dígito verificador")))))</f>
      </c>
      <c r="V207" s="6">
        <f>IF(T207="","",IF(COUNTIF($T$2:$T$1001,T207)&gt;1,"DUPLICADO","OK"))</f>
      </c>
      <c r="W207" s="6">
        <f>IF(M207="","vazio",IF(OR(AND(LEN(SUBSTITUTE(SUBSTITUTE(SUBSTITUTE(SUBSTITUTE(SUBSTITUTE(SUBSTITUTE(SUBSTITUTE(TRIM(M207),".",""),"/",""),"-","")," ",""),"(",""),")",""),"+",""))=10,LEFT(SUBSTITUTE(SUBSTITUTE(SUBSTITUTE(SUBSTITUTE(SUBSTITUTE(SUBSTITUTE(SUBSTITUTE(TRIM(M207),".",""),"/",""),"-","")," ",""),"(",""),")",""),"+",""),1)&lt;&gt;"0"),AND(LEN(SUBSTITUTE(SUBSTITUTE(SUBSTITUTE(SUBSTITUTE(SUBSTITUTE(SUBSTITUTE(SUBSTITUTE(TRIM(M207),".",""),"/",""),"-","")," ",""),"(",""),")",""),"+",""))=11,LEFT(SUBSTITUTE(SUBSTITUTE(SUBSTITUTE(SUBSTITUTE(SUBSTITUTE(SUBSTITUTE(SUBSTITUTE(TRIM(M207),".",""),"/",""),"-","")," ",""),"(",""),")",""),"+",""),4)="0800")),"OK",IF(AND(LEN(SUBSTITUTE(SUBSTITUTE(SUBSTITUTE(SUBSTITUTE(SUBSTITUTE(SUBSTITUTE(SUBSTITUTE(TRIM(M207),".",""),"/",""),"-","")," ",""),"(",""),")",""),"+",""))=11,MID(SUBSTITUTE(SUBSTITUTE(SUBSTITUTE(SUBSTITUTE(SUBSTITUTE(SUBSTITUTE(SUBSTITUTE(TRIM(M207),".",""),"/",""),"-","")," ",""),"(",""),")",""),"+",""),3,1)="9"),"ERRO: é celular, use a coluna Celular","ERRO: DDD + 8 dígitos ou 0800 + 7")))</f>
      </c>
      <c r="X207" s="6">
        <f>IF(N207="","vazio",IF(AND(LEN(SUBSTITUTE(SUBSTITUTE(SUBSTITUTE(SUBSTITUTE(SUBSTITUTE(SUBSTITUTE(SUBSTITUTE(TRIM(N207),".",""),"/",""),"-","")," ",""),"(",""),")",""),"+",""))=11,MID(SUBSTITUTE(SUBSTITUTE(SUBSTITUTE(SUBSTITUTE(SUBSTITUTE(SUBSTITUTE(SUBSTITUTE(TRIM(N207),".",""),"/",""),"-","")," ",""),"(",""),")",""),"+",""),3,1)="9",LEFT(SUBSTITUTE(SUBSTITUTE(SUBSTITUTE(SUBSTITUTE(SUBSTITUTE(SUBSTITUTE(SUBSTITUTE(TRIM(N207),".",""),"/",""),"-","")," ",""),"(",""),")",""),"+",""),1)&lt;&gt;"0"),"OK",IF(LEN(SUBSTITUTE(SUBSTITUTE(SUBSTITUTE(SUBSTITUTE(SUBSTITUTE(SUBSTITUTE(SUBSTITUTE(TRIM(N207),".",""),"/",""),"-","")," ",""),"(",""),")",""),"+",""))=10,"ERRO: é fixo (ou falta o 9), use a coluna Telefone fixo","ERRO: DDD + 9 + 8 dígitos")))</f>
      </c>
      <c r="Y207" s="6">
        <f>IF(O207="","vazio",IF(AND(ISNUMBER(FIND("@",O207)),ISNUMBER(FIND(".",MID(O207,FIND("@",O207),99))),NOT(ISNUMBER(FIND(" ",TRIM(O207)))),NOT(ISNUMBER(FIND(";",O207))),NOT(ISNUMBER(FIND(",",O207)))),"OK","ERRO: um e-mail válido por linha"))</f>
      </c>
      <c r="Z207" s="6">
        <f>IF(AND(J207="",K207=""),"",IF(AND(J207&lt;&gt;"",K207&lt;&gt;""),"OK","pendente: só um nome (o GR completa ao converter)"))</f>
      </c>
      <c r="AA207" s="6">
        <f>IF(COUNTA(A207:S207)=0,"",IF(AND(A207&lt;&gt;"",B207&lt;&gt;"",C207&lt;&gt;"",D207&lt;&gt;"",E207&lt;&gt;"",F207&lt;&gt;"",G207&lt;&gt;"",H207&lt;&gt;"",OR(J207&lt;&gt;"",K207&lt;&gt;""),OR(M207&lt;&gt;"",N207&lt;&gt;"",O207&lt;&gt;"")),"OK","ERRO: faltam "&amp;IF(A207="","SDR; ","")&amp;IF(B207="","Proprietário; ","")&amp;IF(C207="","Origem; ","")&amp;IF(D207="","Temperatura; ","")&amp;IF(E207="","Segmento; ","")&amp;IF(F207="","Time/Cluster; ","")&amp;IF(G207="","CNPJ; ","")&amp;IF(H207="","Razão Social; ","")&amp;IF(AND(J207="",K207=""),"nome do contato; ","")&amp;IF(AND(M207="",N207="",O207=""),"telefone, celular ou e-mail; ","")))</f>
      </c>
      <c r="AB207" s="6">
        <f>IF(COUNTA(A207:S207)=0,"",IF(AND(U207="OK",V207="OK",LEFT(W207,4)&lt;&gt;"ERRO",LEFT(X207,4)&lt;&gt;"ERRO",LEFT(Y207,4)&lt;&gt;"ERRO",AA207="OK"),"OK","REVISAR"))</f>
      </c>
    </row>
    <row r="208">
      <c r="A208" s="5"/>
      <c r="B208" s="5"/>
      <c r="C208" s="5"/>
      <c r="D208" s="5"/>
      <c r="E208" s="5"/>
      <c r="F208" s="5"/>
      <c r="G208" s="5"/>
      <c r="H208" s="5"/>
      <c r="I208" s="4"/>
      <c r="J208" s="5"/>
      <c r="K208" s="4"/>
      <c r="L208" s="4"/>
      <c r="M208" s="4"/>
      <c r="N208" s="4"/>
      <c r="O208" s="4"/>
      <c r="P208" s="4"/>
      <c r="Q208" s="4"/>
      <c r="R208" s="4"/>
      <c r="S208" s="4"/>
      <c r="T208" s="6">
        <f>IF(G208="","",SUBSTITUTE(SUBSTITUTE(SUBSTITUTE(SUBSTITUTE(SUBSTITUTE(SUBSTITUTE(SUBSTITUTE(TRIM(G208),".",""),"/",""),"-","")," ",""),"(",""),")",""),"+",""))</f>
      </c>
      <c r="U208" s="6">
        <f>IF(T208="","",IF(LEN(T208)&lt;&gt;14,"ERRO: "&amp;LEN(T208)&amp;" dígitos",IF(NOT(ISNUMBER(VALUE(T208))),"ERRO: não numérico",IF(LEN(SUBSTITUTE(T208,LEFT(T208,1),""))=0,"ERRO: dígitos repetidos",IF(AND(VALUE(MID(T208,13,1))=IF(MOD(SUMPRODUCT(--MID(T208,{1,2,3,4,5,6,7,8,9,10,11,12},1),{5,4,3,2,9,8,7,6,5,4,3,2}),11)&lt;2,0,11-MOD(SUMPRODUCT(--MID(T208,{1,2,3,4,5,6,7,8,9,10,11,12},1),{5,4,3,2,9,8,7,6,5,4,3,2}),11)),VALUE(MID(T208,14,1))=IF(MOD(SUMPRODUCT(--MID(T208,{1,2,3,4,5,6,7,8,9,10,11,12,13},1),{6,5,4,3,2,9,8,7,6,5,4,3,2}),11)&lt;2,0,11-MOD(SUMPRODUCT(--MID(T208,{1,2,3,4,5,6,7,8,9,10,11,12,13},1),{6,5,4,3,2,9,8,7,6,5,4,3,2}),11))),"OK","ERRO: dígito verificador")))))</f>
      </c>
      <c r="V208" s="6">
        <f>IF(T208="","",IF(COUNTIF($T$2:$T$1001,T208)&gt;1,"DUPLICADO","OK"))</f>
      </c>
      <c r="W208" s="6">
        <f>IF(M208="","vazio",IF(OR(AND(LEN(SUBSTITUTE(SUBSTITUTE(SUBSTITUTE(SUBSTITUTE(SUBSTITUTE(SUBSTITUTE(SUBSTITUTE(TRIM(M208),".",""),"/",""),"-","")," ",""),"(",""),")",""),"+",""))=10,LEFT(SUBSTITUTE(SUBSTITUTE(SUBSTITUTE(SUBSTITUTE(SUBSTITUTE(SUBSTITUTE(SUBSTITUTE(TRIM(M208),".",""),"/",""),"-","")," ",""),"(",""),")",""),"+",""),1)&lt;&gt;"0"),AND(LEN(SUBSTITUTE(SUBSTITUTE(SUBSTITUTE(SUBSTITUTE(SUBSTITUTE(SUBSTITUTE(SUBSTITUTE(TRIM(M208),".",""),"/",""),"-","")," ",""),"(",""),")",""),"+",""))=11,LEFT(SUBSTITUTE(SUBSTITUTE(SUBSTITUTE(SUBSTITUTE(SUBSTITUTE(SUBSTITUTE(SUBSTITUTE(TRIM(M208),".",""),"/",""),"-","")," ",""),"(",""),")",""),"+",""),4)="0800")),"OK",IF(AND(LEN(SUBSTITUTE(SUBSTITUTE(SUBSTITUTE(SUBSTITUTE(SUBSTITUTE(SUBSTITUTE(SUBSTITUTE(TRIM(M208),".",""),"/",""),"-","")," ",""),"(",""),")",""),"+",""))=11,MID(SUBSTITUTE(SUBSTITUTE(SUBSTITUTE(SUBSTITUTE(SUBSTITUTE(SUBSTITUTE(SUBSTITUTE(TRIM(M208),".",""),"/",""),"-","")," ",""),"(",""),")",""),"+",""),3,1)="9"),"ERRO: é celular, use a coluna Celular","ERRO: DDD + 8 dígitos ou 0800 + 7")))</f>
      </c>
      <c r="X208" s="6">
        <f>IF(N208="","vazio",IF(AND(LEN(SUBSTITUTE(SUBSTITUTE(SUBSTITUTE(SUBSTITUTE(SUBSTITUTE(SUBSTITUTE(SUBSTITUTE(TRIM(N208),".",""),"/",""),"-","")," ",""),"(",""),")",""),"+",""))=11,MID(SUBSTITUTE(SUBSTITUTE(SUBSTITUTE(SUBSTITUTE(SUBSTITUTE(SUBSTITUTE(SUBSTITUTE(TRIM(N208),".",""),"/",""),"-","")," ",""),"(",""),")",""),"+",""),3,1)="9",LEFT(SUBSTITUTE(SUBSTITUTE(SUBSTITUTE(SUBSTITUTE(SUBSTITUTE(SUBSTITUTE(SUBSTITUTE(TRIM(N208),".",""),"/",""),"-","")," ",""),"(",""),")",""),"+",""),1)&lt;&gt;"0"),"OK",IF(LEN(SUBSTITUTE(SUBSTITUTE(SUBSTITUTE(SUBSTITUTE(SUBSTITUTE(SUBSTITUTE(SUBSTITUTE(TRIM(N208),".",""),"/",""),"-","")," ",""),"(",""),")",""),"+",""))=10,"ERRO: é fixo (ou falta o 9), use a coluna Telefone fixo","ERRO: DDD + 9 + 8 dígitos")))</f>
      </c>
      <c r="Y208" s="6">
        <f>IF(O208="","vazio",IF(AND(ISNUMBER(FIND("@",O208)),ISNUMBER(FIND(".",MID(O208,FIND("@",O208),99))),NOT(ISNUMBER(FIND(" ",TRIM(O208)))),NOT(ISNUMBER(FIND(";",O208))),NOT(ISNUMBER(FIND(",",O208)))),"OK","ERRO: um e-mail válido por linha"))</f>
      </c>
      <c r="Z208" s="6">
        <f>IF(AND(J208="",K208=""),"",IF(AND(J208&lt;&gt;"",K208&lt;&gt;""),"OK","pendente: só um nome (o GR completa ao converter)"))</f>
      </c>
      <c r="AA208" s="6">
        <f>IF(COUNTA(A208:S208)=0,"",IF(AND(A208&lt;&gt;"",B208&lt;&gt;"",C208&lt;&gt;"",D208&lt;&gt;"",E208&lt;&gt;"",F208&lt;&gt;"",G208&lt;&gt;"",H208&lt;&gt;"",OR(J208&lt;&gt;"",K208&lt;&gt;""),OR(M208&lt;&gt;"",N208&lt;&gt;"",O208&lt;&gt;"")),"OK","ERRO: faltam "&amp;IF(A208="","SDR; ","")&amp;IF(B208="","Proprietário; ","")&amp;IF(C208="","Origem; ","")&amp;IF(D208="","Temperatura; ","")&amp;IF(E208="","Segmento; ","")&amp;IF(F208="","Time/Cluster; ","")&amp;IF(G208="","CNPJ; ","")&amp;IF(H208="","Razão Social; ","")&amp;IF(AND(J208="",K208=""),"nome do contato; ","")&amp;IF(AND(M208="",N208="",O208=""),"telefone, celular ou e-mail; ","")))</f>
      </c>
      <c r="AB208" s="6">
        <f>IF(COUNTA(A208:S208)=0,"",IF(AND(U208="OK",V208="OK",LEFT(W208,4)&lt;&gt;"ERRO",LEFT(X208,4)&lt;&gt;"ERRO",LEFT(Y208,4)&lt;&gt;"ERRO",AA208="OK"),"OK","REVISAR"))</f>
      </c>
    </row>
    <row r="209">
      <c r="A209" s="5"/>
      <c r="B209" s="5"/>
      <c r="C209" s="5"/>
      <c r="D209" s="5"/>
      <c r="E209" s="5"/>
      <c r="F209" s="5"/>
      <c r="G209" s="5"/>
      <c r="H209" s="5"/>
      <c r="I209" s="4"/>
      <c r="J209" s="5"/>
      <c r="K209" s="4"/>
      <c r="L209" s="4"/>
      <c r="M209" s="4"/>
      <c r="N209" s="4"/>
      <c r="O209" s="4"/>
      <c r="P209" s="4"/>
      <c r="Q209" s="4"/>
      <c r="R209" s="4"/>
      <c r="S209" s="4"/>
      <c r="T209" s="6">
        <f>IF(G209="","",SUBSTITUTE(SUBSTITUTE(SUBSTITUTE(SUBSTITUTE(SUBSTITUTE(SUBSTITUTE(SUBSTITUTE(TRIM(G209),".",""),"/",""),"-","")," ",""),"(",""),")",""),"+",""))</f>
      </c>
      <c r="U209" s="6">
        <f>IF(T209="","",IF(LEN(T209)&lt;&gt;14,"ERRO: "&amp;LEN(T209)&amp;" dígitos",IF(NOT(ISNUMBER(VALUE(T209))),"ERRO: não numérico",IF(LEN(SUBSTITUTE(T209,LEFT(T209,1),""))=0,"ERRO: dígitos repetidos",IF(AND(VALUE(MID(T209,13,1))=IF(MOD(SUMPRODUCT(--MID(T209,{1,2,3,4,5,6,7,8,9,10,11,12},1),{5,4,3,2,9,8,7,6,5,4,3,2}),11)&lt;2,0,11-MOD(SUMPRODUCT(--MID(T209,{1,2,3,4,5,6,7,8,9,10,11,12},1),{5,4,3,2,9,8,7,6,5,4,3,2}),11)),VALUE(MID(T209,14,1))=IF(MOD(SUMPRODUCT(--MID(T209,{1,2,3,4,5,6,7,8,9,10,11,12,13},1),{6,5,4,3,2,9,8,7,6,5,4,3,2}),11)&lt;2,0,11-MOD(SUMPRODUCT(--MID(T209,{1,2,3,4,5,6,7,8,9,10,11,12,13},1),{6,5,4,3,2,9,8,7,6,5,4,3,2}),11))),"OK","ERRO: dígito verificador")))))</f>
      </c>
      <c r="V209" s="6">
        <f>IF(T209="","",IF(COUNTIF($T$2:$T$1001,T209)&gt;1,"DUPLICADO","OK"))</f>
      </c>
      <c r="W209" s="6">
        <f>IF(M209="","vazio",IF(OR(AND(LEN(SUBSTITUTE(SUBSTITUTE(SUBSTITUTE(SUBSTITUTE(SUBSTITUTE(SUBSTITUTE(SUBSTITUTE(TRIM(M209),".",""),"/",""),"-","")," ",""),"(",""),")",""),"+",""))=10,LEFT(SUBSTITUTE(SUBSTITUTE(SUBSTITUTE(SUBSTITUTE(SUBSTITUTE(SUBSTITUTE(SUBSTITUTE(TRIM(M209),".",""),"/",""),"-","")," ",""),"(",""),")",""),"+",""),1)&lt;&gt;"0"),AND(LEN(SUBSTITUTE(SUBSTITUTE(SUBSTITUTE(SUBSTITUTE(SUBSTITUTE(SUBSTITUTE(SUBSTITUTE(TRIM(M209),".",""),"/",""),"-","")," ",""),"(",""),")",""),"+",""))=11,LEFT(SUBSTITUTE(SUBSTITUTE(SUBSTITUTE(SUBSTITUTE(SUBSTITUTE(SUBSTITUTE(SUBSTITUTE(TRIM(M209),".",""),"/",""),"-","")," ",""),"(",""),")",""),"+",""),4)="0800")),"OK",IF(AND(LEN(SUBSTITUTE(SUBSTITUTE(SUBSTITUTE(SUBSTITUTE(SUBSTITUTE(SUBSTITUTE(SUBSTITUTE(TRIM(M209),".",""),"/",""),"-","")," ",""),"(",""),")",""),"+",""))=11,MID(SUBSTITUTE(SUBSTITUTE(SUBSTITUTE(SUBSTITUTE(SUBSTITUTE(SUBSTITUTE(SUBSTITUTE(TRIM(M209),".",""),"/",""),"-","")," ",""),"(",""),")",""),"+",""),3,1)="9"),"ERRO: é celular, use a coluna Celular","ERRO: DDD + 8 dígitos ou 0800 + 7")))</f>
      </c>
      <c r="X209" s="6">
        <f>IF(N209="","vazio",IF(AND(LEN(SUBSTITUTE(SUBSTITUTE(SUBSTITUTE(SUBSTITUTE(SUBSTITUTE(SUBSTITUTE(SUBSTITUTE(TRIM(N209),".",""),"/",""),"-","")," ",""),"(",""),")",""),"+",""))=11,MID(SUBSTITUTE(SUBSTITUTE(SUBSTITUTE(SUBSTITUTE(SUBSTITUTE(SUBSTITUTE(SUBSTITUTE(TRIM(N209),".",""),"/",""),"-","")," ",""),"(",""),")",""),"+",""),3,1)="9",LEFT(SUBSTITUTE(SUBSTITUTE(SUBSTITUTE(SUBSTITUTE(SUBSTITUTE(SUBSTITUTE(SUBSTITUTE(TRIM(N209),".",""),"/",""),"-","")," ",""),"(",""),")",""),"+",""),1)&lt;&gt;"0"),"OK",IF(LEN(SUBSTITUTE(SUBSTITUTE(SUBSTITUTE(SUBSTITUTE(SUBSTITUTE(SUBSTITUTE(SUBSTITUTE(TRIM(N209),".",""),"/",""),"-","")," ",""),"(",""),")",""),"+",""))=10,"ERRO: é fixo (ou falta o 9), use a coluna Telefone fixo","ERRO: DDD + 9 + 8 dígitos")))</f>
      </c>
      <c r="Y209" s="6">
        <f>IF(O209="","vazio",IF(AND(ISNUMBER(FIND("@",O209)),ISNUMBER(FIND(".",MID(O209,FIND("@",O209),99))),NOT(ISNUMBER(FIND(" ",TRIM(O209)))),NOT(ISNUMBER(FIND(";",O209))),NOT(ISNUMBER(FIND(",",O209)))),"OK","ERRO: um e-mail válido por linha"))</f>
      </c>
      <c r="Z209" s="6">
        <f>IF(AND(J209="",K209=""),"",IF(AND(J209&lt;&gt;"",K209&lt;&gt;""),"OK","pendente: só um nome (o GR completa ao converter)"))</f>
      </c>
      <c r="AA209" s="6">
        <f>IF(COUNTA(A209:S209)=0,"",IF(AND(A209&lt;&gt;"",B209&lt;&gt;"",C209&lt;&gt;"",D209&lt;&gt;"",E209&lt;&gt;"",F209&lt;&gt;"",G209&lt;&gt;"",H209&lt;&gt;"",OR(J209&lt;&gt;"",K209&lt;&gt;""),OR(M209&lt;&gt;"",N209&lt;&gt;"",O209&lt;&gt;"")),"OK","ERRO: faltam "&amp;IF(A209="","SDR; ","")&amp;IF(B209="","Proprietário; ","")&amp;IF(C209="","Origem; ","")&amp;IF(D209="","Temperatura; ","")&amp;IF(E209="","Segmento; ","")&amp;IF(F209="","Time/Cluster; ","")&amp;IF(G209="","CNPJ; ","")&amp;IF(H209="","Razão Social; ","")&amp;IF(AND(J209="",K209=""),"nome do contato; ","")&amp;IF(AND(M209="",N209="",O209=""),"telefone, celular ou e-mail; ","")))</f>
      </c>
      <c r="AB209" s="6">
        <f>IF(COUNTA(A209:S209)=0,"",IF(AND(U209="OK",V209="OK",LEFT(W209,4)&lt;&gt;"ERRO",LEFT(X209,4)&lt;&gt;"ERRO",LEFT(Y209,4)&lt;&gt;"ERRO",AA209="OK"),"OK","REVISAR"))</f>
      </c>
    </row>
    <row r="210">
      <c r="A210" s="5"/>
      <c r="B210" s="5"/>
      <c r="C210" s="5"/>
      <c r="D210" s="5"/>
      <c r="E210" s="5"/>
      <c r="F210" s="5"/>
      <c r="G210" s="5"/>
      <c r="H210" s="5"/>
      <c r="I210" s="4"/>
      <c r="J210" s="5"/>
      <c r="K210" s="4"/>
      <c r="L210" s="4"/>
      <c r="M210" s="4"/>
      <c r="N210" s="4"/>
      <c r="O210" s="4"/>
      <c r="P210" s="4"/>
      <c r="Q210" s="4"/>
      <c r="R210" s="4"/>
      <c r="S210" s="4"/>
      <c r="T210" s="6">
        <f>IF(G210="","",SUBSTITUTE(SUBSTITUTE(SUBSTITUTE(SUBSTITUTE(SUBSTITUTE(SUBSTITUTE(SUBSTITUTE(TRIM(G210),".",""),"/",""),"-","")," ",""),"(",""),")",""),"+",""))</f>
      </c>
      <c r="U210" s="6">
        <f>IF(T210="","",IF(LEN(T210)&lt;&gt;14,"ERRO: "&amp;LEN(T210)&amp;" dígitos",IF(NOT(ISNUMBER(VALUE(T210))),"ERRO: não numérico",IF(LEN(SUBSTITUTE(T210,LEFT(T210,1),""))=0,"ERRO: dígitos repetidos",IF(AND(VALUE(MID(T210,13,1))=IF(MOD(SUMPRODUCT(--MID(T210,{1,2,3,4,5,6,7,8,9,10,11,12},1),{5,4,3,2,9,8,7,6,5,4,3,2}),11)&lt;2,0,11-MOD(SUMPRODUCT(--MID(T210,{1,2,3,4,5,6,7,8,9,10,11,12},1),{5,4,3,2,9,8,7,6,5,4,3,2}),11)),VALUE(MID(T210,14,1))=IF(MOD(SUMPRODUCT(--MID(T210,{1,2,3,4,5,6,7,8,9,10,11,12,13},1),{6,5,4,3,2,9,8,7,6,5,4,3,2}),11)&lt;2,0,11-MOD(SUMPRODUCT(--MID(T210,{1,2,3,4,5,6,7,8,9,10,11,12,13},1),{6,5,4,3,2,9,8,7,6,5,4,3,2}),11))),"OK","ERRO: dígito verificador")))))</f>
      </c>
      <c r="V210" s="6">
        <f>IF(T210="","",IF(COUNTIF($T$2:$T$1001,T210)&gt;1,"DUPLICADO","OK"))</f>
      </c>
      <c r="W210" s="6">
        <f>IF(M210="","vazio",IF(OR(AND(LEN(SUBSTITUTE(SUBSTITUTE(SUBSTITUTE(SUBSTITUTE(SUBSTITUTE(SUBSTITUTE(SUBSTITUTE(TRIM(M210),".",""),"/",""),"-","")," ",""),"(",""),")",""),"+",""))=10,LEFT(SUBSTITUTE(SUBSTITUTE(SUBSTITUTE(SUBSTITUTE(SUBSTITUTE(SUBSTITUTE(SUBSTITUTE(TRIM(M210),".",""),"/",""),"-","")," ",""),"(",""),")",""),"+",""),1)&lt;&gt;"0"),AND(LEN(SUBSTITUTE(SUBSTITUTE(SUBSTITUTE(SUBSTITUTE(SUBSTITUTE(SUBSTITUTE(SUBSTITUTE(TRIM(M210),".",""),"/",""),"-","")," ",""),"(",""),")",""),"+",""))=11,LEFT(SUBSTITUTE(SUBSTITUTE(SUBSTITUTE(SUBSTITUTE(SUBSTITUTE(SUBSTITUTE(SUBSTITUTE(TRIM(M210),".",""),"/",""),"-","")," ",""),"(",""),")",""),"+",""),4)="0800")),"OK",IF(AND(LEN(SUBSTITUTE(SUBSTITUTE(SUBSTITUTE(SUBSTITUTE(SUBSTITUTE(SUBSTITUTE(SUBSTITUTE(TRIM(M210),".",""),"/",""),"-","")," ",""),"(",""),")",""),"+",""))=11,MID(SUBSTITUTE(SUBSTITUTE(SUBSTITUTE(SUBSTITUTE(SUBSTITUTE(SUBSTITUTE(SUBSTITUTE(TRIM(M210),".",""),"/",""),"-","")," ",""),"(",""),")",""),"+",""),3,1)="9"),"ERRO: é celular, use a coluna Celular","ERRO: DDD + 8 dígitos ou 0800 + 7")))</f>
      </c>
      <c r="X210" s="6">
        <f>IF(N210="","vazio",IF(AND(LEN(SUBSTITUTE(SUBSTITUTE(SUBSTITUTE(SUBSTITUTE(SUBSTITUTE(SUBSTITUTE(SUBSTITUTE(TRIM(N210),".",""),"/",""),"-","")," ",""),"(",""),")",""),"+",""))=11,MID(SUBSTITUTE(SUBSTITUTE(SUBSTITUTE(SUBSTITUTE(SUBSTITUTE(SUBSTITUTE(SUBSTITUTE(TRIM(N210),".",""),"/",""),"-","")," ",""),"(",""),")",""),"+",""),3,1)="9",LEFT(SUBSTITUTE(SUBSTITUTE(SUBSTITUTE(SUBSTITUTE(SUBSTITUTE(SUBSTITUTE(SUBSTITUTE(TRIM(N210),".",""),"/",""),"-","")," ",""),"(",""),")",""),"+",""),1)&lt;&gt;"0"),"OK",IF(LEN(SUBSTITUTE(SUBSTITUTE(SUBSTITUTE(SUBSTITUTE(SUBSTITUTE(SUBSTITUTE(SUBSTITUTE(TRIM(N210),".",""),"/",""),"-","")," ",""),"(",""),")",""),"+",""))=10,"ERRO: é fixo (ou falta o 9), use a coluna Telefone fixo","ERRO: DDD + 9 + 8 dígitos")))</f>
      </c>
      <c r="Y210" s="6">
        <f>IF(O210="","vazio",IF(AND(ISNUMBER(FIND("@",O210)),ISNUMBER(FIND(".",MID(O210,FIND("@",O210),99))),NOT(ISNUMBER(FIND(" ",TRIM(O210)))),NOT(ISNUMBER(FIND(";",O210))),NOT(ISNUMBER(FIND(",",O210)))),"OK","ERRO: um e-mail válido por linha"))</f>
      </c>
      <c r="Z210" s="6">
        <f>IF(AND(J210="",K210=""),"",IF(AND(J210&lt;&gt;"",K210&lt;&gt;""),"OK","pendente: só um nome (o GR completa ao converter)"))</f>
      </c>
      <c r="AA210" s="6">
        <f>IF(COUNTA(A210:S210)=0,"",IF(AND(A210&lt;&gt;"",B210&lt;&gt;"",C210&lt;&gt;"",D210&lt;&gt;"",E210&lt;&gt;"",F210&lt;&gt;"",G210&lt;&gt;"",H210&lt;&gt;"",OR(J210&lt;&gt;"",K210&lt;&gt;""),OR(M210&lt;&gt;"",N210&lt;&gt;"",O210&lt;&gt;"")),"OK","ERRO: faltam "&amp;IF(A210="","SDR; ","")&amp;IF(B210="","Proprietário; ","")&amp;IF(C210="","Origem; ","")&amp;IF(D210="","Temperatura; ","")&amp;IF(E210="","Segmento; ","")&amp;IF(F210="","Time/Cluster; ","")&amp;IF(G210="","CNPJ; ","")&amp;IF(H210="","Razão Social; ","")&amp;IF(AND(J210="",K210=""),"nome do contato; ","")&amp;IF(AND(M210="",N210="",O210=""),"telefone, celular ou e-mail; ","")))</f>
      </c>
      <c r="AB210" s="6">
        <f>IF(COUNTA(A210:S210)=0,"",IF(AND(U210="OK",V210="OK",LEFT(W210,4)&lt;&gt;"ERRO",LEFT(X210,4)&lt;&gt;"ERRO",LEFT(Y210,4)&lt;&gt;"ERRO",AA210="OK"),"OK","REVISAR"))</f>
      </c>
    </row>
    <row r="211">
      <c r="A211" s="5"/>
      <c r="B211" s="5"/>
      <c r="C211" s="5"/>
      <c r="D211" s="5"/>
      <c r="E211" s="5"/>
      <c r="F211" s="5"/>
      <c r="G211" s="5"/>
      <c r="H211" s="5"/>
      <c r="I211" s="4"/>
      <c r="J211" s="5"/>
      <c r="K211" s="4"/>
      <c r="L211" s="4"/>
      <c r="M211" s="4"/>
      <c r="N211" s="4"/>
      <c r="O211" s="4"/>
      <c r="P211" s="4"/>
      <c r="Q211" s="4"/>
      <c r="R211" s="4"/>
      <c r="S211" s="4"/>
      <c r="T211" s="6">
        <f>IF(G211="","",SUBSTITUTE(SUBSTITUTE(SUBSTITUTE(SUBSTITUTE(SUBSTITUTE(SUBSTITUTE(SUBSTITUTE(TRIM(G211),".",""),"/",""),"-","")," ",""),"(",""),")",""),"+",""))</f>
      </c>
      <c r="U211" s="6">
        <f>IF(T211="","",IF(LEN(T211)&lt;&gt;14,"ERRO: "&amp;LEN(T211)&amp;" dígitos",IF(NOT(ISNUMBER(VALUE(T211))),"ERRO: não numérico",IF(LEN(SUBSTITUTE(T211,LEFT(T211,1),""))=0,"ERRO: dígitos repetidos",IF(AND(VALUE(MID(T211,13,1))=IF(MOD(SUMPRODUCT(--MID(T211,{1,2,3,4,5,6,7,8,9,10,11,12},1),{5,4,3,2,9,8,7,6,5,4,3,2}),11)&lt;2,0,11-MOD(SUMPRODUCT(--MID(T211,{1,2,3,4,5,6,7,8,9,10,11,12},1),{5,4,3,2,9,8,7,6,5,4,3,2}),11)),VALUE(MID(T211,14,1))=IF(MOD(SUMPRODUCT(--MID(T211,{1,2,3,4,5,6,7,8,9,10,11,12,13},1),{6,5,4,3,2,9,8,7,6,5,4,3,2}),11)&lt;2,0,11-MOD(SUMPRODUCT(--MID(T211,{1,2,3,4,5,6,7,8,9,10,11,12,13},1),{6,5,4,3,2,9,8,7,6,5,4,3,2}),11))),"OK","ERRO: dígito verificador")))))</f>
      </c>
      <c r="V211" s="6">
        <f>IF(T211="","",IF(COUNTIF($T$2:$T$1001,T211)&gt;1,"DUPLICADO","OK"))</f>
      </c>
      <c r="W211" s="6">
        <f>IF(M211="","vazio",IF(OR(AND(LEN(SUBSTITUTE(SUBSTITUTE(SUBSTITUTE(SUBSTITUTE(SUBSTITUTE(SUBSTITUTE(SUBSTITUTE(TRIM(M211),".",""),"/",""),"-","")," ",""),"(",""),")",""),"+",""))=10,LEFT(SUBSTITUTE(SUBSTITUTE(SUBSTITUTE(SUBSTITUTE(SUBSTITUTE(SUBSTITUTE(SUBSTITUTE(TRIM(M211),".",""),"/",""),"-","")," ",""),"(",""),")",""),"+",""),1)&lt;&gt;"0"),AND(LEN(SUBSTITUTE(SUBSTITUTE(SUBSTITUTE(SUBSTITUTE(SUBSTITUTE(SUBSTITUTE(SUBSTITUTE(TRIM(M211),".",""),"/",""),"-","")," ",""),"(",""),")",""),"+",""))=11,LEFT(SUBSTITUTE(SUBSTITUTE(SUBSTITUTE(SUBSTITUTE(SUBSTITUTE(SUBSTITUTE(SUBSTITUTE(TRIM(M211),".",""),"/",""),"-","")," ",""),"(",""),")",""),"+",""),4)="0800")),"OK",IF(AND(LEN(SUBSTITUTE(SUBSTITUTE(SUBSTITUTE(SUBSTITUTE(SUBSTITUTE(SUBSTITUTE(SUBSTITUTE(TRIM(M211),".",""),"/",""),"-","")," ",""),"(",""),")",""),"+",""))=11,MID(SUBSTITUTE(SUBSTITUTE(SUBSTITUTE(SUBSTITUTE(SUBSTITUTE(SUBSTITUTE(SUBSTITUTE(TRIM(M211),".",""),"/",""),"-","")," ",""),"(",""),")",""),"+",""),3,1)="9"),"ERRO: é celular, use a coluna Celular","ERRO: DDD + 8 dígitos ou 0800 + 7")))</f>
      </c>
      <c r="X211" s="6">
        <f>IF(N211="","vazio",IF(AND(LEN(SUBSTITUTE(SUBSTITUTE(SUBSTITUTE(SUBSTITUTE(SUBSTITUTE(SUBSTITUTE(SUBSTITUTE(TRIM(N211),".",""),"/",""),"-","")," ",""),"(",""),")",""),"+",""))=11,MID(SUBSTITUTE(SUBSTITUTE(SUBSTITUTE(SUBSTITUTE(SUBSTITUTE(SUBSTITUTE(SUBSTITUTE(TRIM(N211),".",""),"/",""),"-","")," ",""),"(",""),")",""),"+",""),3,1)="9",LEFT(SUBSTITUTE(SUBSTITUTE(SUBSTITUTE(SUBSTITUTE(SUBSTITUTE(SUBSTITUTE(SUBSTITUTE(TRIM(N211),".",""),"/",""),"-","")," ",""),"(",""),")",""),"+",""),1)&lt;&gt;"0"),"OK",IF(LEN(SUBSTITUTE(SUBSTITUTE(SUBSTITUTE(SUBSTITUTE(SUBSTITUTE(SUBSTITUTE(SUBSTITUTE(TRIM(N211),".",""),"/",""),"-","")," ",""),"(",""),")",""),"+",""))=10,"ERRO: é fixo (ou falta o 9), use a coluna Telefone fixo","ERRO: DDD + 9 + 8 dígitos")))</f>
      </c>
      <c r="Y211" s="6">
        <f>IF(O211="","vazio",IF(AND(ISNUMBER(FIND("@",O211)),ISNUMBER(FIND(".",MID(O211,FIND("@",O211),99))),NOT(ISNUMBER(FIND(" ",TRIM(O211)))),NOT(ISNUMBER(FIND(";",O211))),NOT(ISNUMBER(FIND(",",O211)))),"OK","ERRO: um e-mail válido por linha"))</f>
      </c>
      <c r="Z211" s="6">
        <f>IF(AND(J211="",K211=""),"",IF(AND(J211&lt;&gt;"",K211&lt;&gt;""),"OK","pendente: só um nome (o GR completa ao converter)"))</f>
      </c>
      <c r="AA211" s="6">
        <f>IF(COUNTA(A211:S211)=0,"",IF(AND(A211&lt;&gt;"",B211&lt;&gt;"",C211&lt;&gt;"",D211&lt;&gt;"",E211&lt;&gt;"",F211&lt;&gt;"",G211&lt;&gt;"",H211&lt;&gt;"",OR(J211&lt;&gt;"",K211&lt;&gt;""),OR(M211&lt;&gt;"",N211&lt;&gt;"",O211&lt;&gt;"")),"OK","ERRO: faltam "&amp;IF(A211="","SDR; ","")&amp;IF(B211="","Proprietário; ","")&amp;IF(C211="","Origem; ","")&amp;IF(D211="","Temperatura; ","")&amp;IF(E211="","Segmento; ","")&amp;IF(F211="","Time/Cluster; ","")&amp;IF(G211="","CNPJ; ","")&amp;IF(H211="","Razão Social; ","")&amp;IF(AND(J211="",K211=""),"nome do contato; ","")&amp;IF(AND(M211="",N211="",O211=""),"telefone, celular ou e-mail; ","")))</f>
      </c>
      <c r="AB211" s="6">
        <f>IF(COUNTA(A211:S211)=0,"",IF(AND(U211="OK",V211="OK",LEFT(W211,4)&lt;&gt;"ERRO",LEFT(X211,4)&lt;&gt;"ERRO",LEFT(Y211,4)&lt;&gt;"ERRO",AA211="OK"),"OK","REVISAR"))</f>
      </c>
    </row>
    <row r="212">
      <c r="A212" s="5"/>
      <c r="B212" s="5"/>
      <c r="C212" s="5"/>
      <c r="D212" s="5"/>
      <c r="E212" s="5"/>
      <c r="F212" s="5"/>
      <c r="G212" s="5"/>
      <c r="H212" s="5"/>
      <c r="I212" s="4"/>
      <c r="J212" s="5"/>
      <c r="K212" s="4"/>
      <c r="L212" s="4"/>
      <c r="M212" s="4"/>
      <c r="N212" s="4"/>
      <c r="O212" s="4"/>
      <c r="P212" s="4"/>
      <c r="Q212" s="4"/>
      <c r="R212" s="4"/>
      <c r="S212" s="4"/>
      <c r="T212" s="6">
        <f>IF(G212="","",SUBSTITUTE(SUBSTITUTE(SUBSTITUTE(SUBSTITUTE(SUBSTITUTE(SUBSTITUTE(SUBSTITUTE(TRIM(G212),".",""),"/",""),"-","")," ",""),"(",""),")",""),"+",""))</f>
      </c>
      <c r="U212" s="6">
        <f>IF(T212="","",IF(LEN(T212)&lt;&gt;14,"ERRO: "&amp;LEN(T212)&amp;" dígitos",IF(NOT(ISNUMBER(VALUE(T212))),"ERRO: não numérico",IF(LEN(SUBSTITUTE(T212,LEFT(T212,1),""))=0,"ERRO: dígitos repetidos",IF(AND(VALUE(MID(T212,13,1))=IF(MOD(SUMPRODUCT(--MID(T212,{1,2,3,4,5,6,7,8,9,10,11,12},1),{5,4,3,2,9,8,7,6,5,4,3,2}),11)&lt;2,0,11-MOD(SUMPRODUCT(--MID(T212,{1,2,3,4,5,6,7,8,9,10,11,12},1),{5,4,3,2,9,8,7,6,5,4,3,2}),11)),VALUE(MID(T212,14,1))=IF(MOD(SUMPRODUCT(--MID(T212,{1,2,3,4,5,6,7,8,9,10,11,12,13},1),{6,5,4,3,2,9,8,7,6,5,4,3,2}),11)&lt;2,0,11-MOD(SUMPRODUCT(--MID(T212,{1,2,3,4,5,6,7,8,9,10,11,12,13},1),{6,5,4,3,2,9,8,7,6,5,4,3,2}),11))),"OK","ERRO: dígito verificador")))))</f>
      </c>
      <c r="V212" s="6">
        <f>IF(T212="","",IF(COUNTIF($T$2:$T$1001,T212)&gt;1,"DUPLICADO","OK"))</f>
      </c>
      <c r="W212" s="6">
        <f>IF(M212="","vazio",IF(OR(AND(LEN(SUBSTITUTE(SUBSTITUTE(SUBSTITUTE(SUBSTITUTE(SUBSTITUTE(SUBSTITUTE(SUBSTITUTE(TRIM(M212),".",""),"/",""),"-","")," ",""),"(",""),")",""),"+",""))=10,LEFT(SUBSTITUTE(SUBSTITUTE(SUBSTITUTE(SUBSTITUTE(SUBSTITUTE(SUBSTITUTE(SUBSTITUTE(TRIM(M212),".",""),"/",""),"-","")," ",""),"(",""),")",""),"+",""),1)&lt;&gt;"0"),AND(LEN(SUBSTITUTE(SUBSTITUTE(SUBSTITUTE(SUBSTITUTE(SUBSTITUTE(SUBSTITUTE(SUBSTITUTE(TRIM(M212),".",""),"/",""),"-","")," ",""),"(",""),")",""),"+",""))=11,LEFT(SUBSTITUTE(SUBSTITUTE(SUBSTITUTE(SUBSTITUTE(SUBSTITUTE(SUBSTITUTE(SUBSTITUTE(TRIM(M212),".",""),"/",""),"-","")," ",""),"(",""),")",""),"+",""),4)="0800")),"OK",IF(AND(LEN(SUBSTITUTE(SUBSTITUTE(SUBSTITUTE(SUBSTITUTE(SUBSTITUTE(SUBSTITUTE(SUBSTITUTE(TRIM(M212),".",""),"/",""),"-","")," ",""),"(",""),")",""),"+",""))=11,MID(SUBSTITUTE(SUBSTITUTE(SUBSTITUTE(SUBSTITUTE(SUBSTITUTE(SUBSTITUTE(SUBSTITUTE(TRIM(M212),".",""),"/",""),"-","")," ",""),"(",""),")",""),"+",""),3,1)="9"),"ERRO: é celular, use a coluna Celular","ERRO: DDD + 8 dígitos ou 0800 + 7")))</f>
      </c>
      <c r="X212" s="6">
        <f>IF(N212="","vazio",IF(AND(LEN(SUBSTITUTE(SUBSTITUTE(SUBSTITUTE(SUBSTITUTE(SUBSTITUTE(SUBSTITUTE(SUBSTITUTE(TRIM(N212),".",""),"/",""),"-","")," ",""),"(",""),")",""),"+",""))=11,MID(SUBSTITUTE(SUBSTITUTE(SUBSTITUTE(SUBSTITUTE(SUBSTITUTE(SUBSTITUTE(SUBSTITUTE(TRIM(N212),".",""),"/",""),"-","")," ",""),"(",""),")",""),"+",""),3,1)="9",LEFT(SUBSTITUTE(SUBSTITUTE(SUBSTITUTE(SUBSTITUTE(SUBSTITUTE(SUBSTITUTE(SUBSTITUTE(TRIM(N212),".",""),"/",""),"-","")," ",""),"(",""),")",""),"+",""),1)&lt;&gt;"0"),"OK",IF(LEN(SUBSTITUTE(SUBSTITUTE(SUBSTITUTE(SUBSTITUTE(SUBSTITUTE(SUBSTITUTE(SUBSTITUTE(TRIM(N212),".",""),"/",""),"-","")," ",""),"(",""),")",""),"+",""))=10,"ERRO: é fixo (ou falta o 9), use a coluna Telefone fixo","ERRO: DDD + 9 + 8 dígitos")))</f>
      </c>
      <c r="Y212" s="6">
        <f>IF(O212="","vazio",IF(AND(ISNUMBER(FIND("@",O212)),ISNUMBER(FIND(".",MID(O212,FIND("@",O212),99))),NOT(ISNUMBER(FIND(" ",TRIM(O212)))),NOT(ISNUMBER(FIND(";",O212))),NOT(ISNUMBER(FIND(",",O212)))),"OK","ERRO: um e-mail válido por linha"))</f>
      </c>
      <c r="Z212" s="6">
        <f>IF(AND(J212="",K212=""),"",IF(AND(J212&lt;&gt;"",K212&lt;&gt;""),"OK","pendente: só um nome (o GR completa ao converter)"))</f>
      </c>
      <c r="AA212" s="6">
        <f>IF(COUNTA(A212:S212)=0,"",IF(AND(A212&lt;&gt;"",B212&lt;&gt;"",C212&lt;&gt;"",D212&lt;&gt;"",E212&lt;&gt;"",F212&lt;&gt;"",G212&lt;&gt;"",H212&lt;&gt;"",OR(J212&lt;&gt;"",K212&lt;&gt;""),OR(M212&lt;&gt;"",N212&lt;&gt;"",O212&lt;&gt;"")),"OK","ERRO: faltam "&amp;IF(A212="","SDR; ","")&amp;IF(B212="","Proprietário; ","")&amp;IF(C212="","Origem; ","")&amp;IF(D212="","Temperatura; ","")&amp;IF(E212="","Segmento; ","")&amp;IF(F212="","Time/Cluster; ","")&amp;IF(G212="","CNPJ; ","")&amp;IF(H212="","Razão Social; ","")&amp;IF(AND(J212="",K212=""),"nome do contato; ","")&amp;IF(AND(M212="",N212="",O212=""),"telefone, celular ou e-mail; ","")))</f>
      </c>
      <c r="AB212" s="6">
        <f>IF(COUNTA(A212:S212)=0,"",IF(AND(U212="OK",V212="OK",LEFT(W212,4)&lt;&gt;"ERRO",LEFT(X212,4)&lt;&gt;"ERRO",LEFT(Y212,4)&lt;&gt;"ERRO",AA212="OK"),"OK","REVISAR"))</f>
      </c>
    </row>
    <row r="213">
      <c r="A213" s="5"/>
      <c r="B213" s="5"/>
      <c r="C213" s="5"/>
      <c r="D213" s="5"/>
      <c r="E213" s="5"/>
      <c r="F213" s="5"/>
      <c r="G213" s="5"/>
      <c r="H213" s="5"/>
      <c r="I213" s="4"/>
      <c r="J213" s="5"/>
      <c r="K213" s="4"/>
      <c r="L213" s="4"/>
      <c r="M213" s="4"/>
      <c r="N213" s="4"/>
      <c r="O213" s="4"/>
      <c r="P213" s="4"/>
      <c r="Q213" s="4"/>
      <c r="R213" s="4"/>
      <c r="S213" s="4"/>
      <c r="T213" s="6">
        <f>IF(G213="","",SUBSTITUTE(SUBSTITUTE(SUBSTITUTE(SUBSTITUTE(SUBSTITUTE(SUBSTITUTE(SUBSTITUTE(TRIM(G213),".",""),"/",""),"-","")," ",""),"(",""),")",""),"+",""))</f>
      </c>
      <c r="U213" s="6">
        <f>IF(T213="","",IF(LEN(T213)&lt;&gt;14,"ERRO: "&amp;LEN(T213)&amp;" dígitos",IF(NOT(ISNUMBER(VALUE(T213))),"ERRO: não numérico",IF(LEN(SUBSTITUTE(T213,LEFT(T213,1),""))=0,"ERRO: dígitos repetidos",IF(AND(VALUE(MID(T213,13,1))=IF(MOD(SUMPRODUCT(--MID(T213,{1,2,3,4,5,6,7,8,9,10,11,12},1),{5,4,3,2,9,8,7,6,5,4,3,2}),11)&lt;2,0,11-MOD(SUMPRODUCT(--MID(T213,{1,2,3,4,5,6,7,8,9,10,11,12},1),{5,4,3,2,9,8,7,6,5,4,3,2}),11)),VALUE(MID(T213,14,1))=IF(MOD(SUMPRODUCT(--MID(T213,{1,2,3,4,5,6,7,8,9,10,11,12,13},1),{6,5,4,3,2,9,8,7,6,5,4,3,2}),11)&lt;2,0,11-MOD(SUMPRODUCT(--MID(T213,{1,2,3,4,5,6,7,8,9,10,11,12,13},1),{6,5,4,3,2,9,8,7,6,5,4,3,2}),11))),"OK","ERRO: dígito verificador")))))</f>
      </c>
      <c r="V213" s="6">
        <f>IF(T213="","",IF(COUNTIF($T$2:$T$1001,T213)&gt;1,"DUPLICADO","OK"))</f>
      </c>
      <c r="W213" s="6">
        <f>IF(M213="","vazio",IF(OR(AND(LEN(SUBSTITUTE(SUBSTITUTE(SUBSTITUTE(SUBSTITUTE(SUBSTITUTE(SUBSTITUTE(SUBSTITUTE(TRIM(M213),".",""),"/",""),"-","")," ",""),"(",""),")",""),"+",""))=10,LEFT(SUBSTITUTE(SUBSTITUTE(SUBSTITUTE(SUBSTITUTE(SUBSTITUTE(SUBSTITUTE(SUBSTITUTE(TRIM(M213),".",""),"/",""),"-","")," ",""),"(",""),")",""),"+",""),1)&lt;&gt;"0"),AND(LEN(SUBSTITUTE(SUBSTITUTE(SUBSTITUTE(SUBSTITUTE(SUBSTITUTE(SUBSTITUTE(SUBSTITUTE(TRIM(M213),".",""),"/",""),"-","")," ",""),"(",""),")",""),"+",""))=11,LEFT(SUBSTITUTE(SUBSTITUTE(SUBSTITUTE(SUBSTITUTE(SUBSTITUTE(SUBSTITUTE(SUBSTITUTE(TRIM(M213),".",""),"/",""),"-","")," ",""),"(",""),")",""),"+",""),4)="0800")),"OK",IF(AND(LEN(SUBSTITUTE(SUBSTITUTE(SUBSTITUTE(SUBSTITUTE(SUBSTITUTE(SUBSTITUTE(SUBSTITUTE(TRIM(M213),".",""),"/",""),"-","")," ",""),"(",""),")",""),"+",""))=11,MID(SUBSTITUTE(SUBSTITUTE(SUBSTITUTE(SUBSTITUTE(SUBSTITUTE(SUBSTITUTE(SUBSTITUTE(TRIM(M213),".",""),"/",""),"-","")," ",""),"(",""),")",""),"+",""),3,1)="9"),"ERRO: é celular, use a coluna Celular","ERRO: DDD + 8 dígitos ou 0800 + 7")))</f>
      </c>
      <c r="X213" s="6">
        <f>IF(N213="","vazio",IF(AND(LEN(SUBSTITUTE(SUBSTITUTE(SUBSTITUTE(SUBSTITUTE(SUBSTITUTE(SUBSTITUTE(SUBSTITUTE(TRIM(N213),".",""),"/",""),"-","")," ",""),"(",""),")",""),"+",""))=11,MID(SUBSTITUTE(SUBSTITUTE(SUBSTITUTE(SUBSTITUTE(SUBSTITUTE(SUBSTITUTE(SUBSTITUTE(TRIM(N213),".",""),"/",""),"-","")," ",""),"(",""),")",""),"+",""),3,1)="9",LEFT(SUBSTITUTE(SUBSTITUTE(SUBSTITUTE(SUBSTITUTE(SUBSTITUTE(SUBSTITUTE(SUBSTITUTE(TRIM(N213),".",""),"/",""),"-","")," ",""),"(",""),")",""),"+",""),1)&lt;&gt;"0"),"OK",IF(LEN(SUBSTITUTE(SUBSTITUTE(SUBSTITUTE(SUBSTITUTE(SUBSTITUTE(SUBSTITUTE(SUBSTITUTE(TRIM(N213),".",""),"/",""),"-","")," ",""),"(",""),")",""),"+",""))=10,"ERRO: é fixo (ou falta o 9), use a coluna Telefone fixo","ERRO: DDD + 9 + 8 dígitos")))</f>
      </c>
      <c r="Y213" s="6">
        <f>IF(O213="","vazio",IF(AND(ISNUMBER(FIND("@",O213)),ISNUMBER(FIND(".",MID(O213,FIND("@",O213),99))),NOT(ISNUMBER(FIND(" ",TRIM(O213)))),NOT(ISNUMBER(FIND(";",O213))),NOT(ISNUMBER(FIND(",",O213)))),"OK","ERRO: um e-mail válido por linha"))</f>
      </c>
      <c r="Z213" s="6">
        <f>IF(AND(J213="",K213=""),"",IF(AND(J213&lt;&gt;"",K213&lt;&gt;""),"OK","pendente: só um nome (o GR completa ao converter)"))</f>
      </c>
      <c r="AA213" s="6">
        <f>IF(COUNTA(A213:S213)=0,"",IF(AND(A213&lt;&gt;"",B213&lt;&gt;"",C213&lt;&gt;"",D213&lt;&gt;"",E213&lt;&gt;"",F213&lt;&gt;"",G213&lt;&gt;"",H213&lt;&gt;"",OR(J213&lt;&gt;"",K213&lt;&gt;""),OR(M213&lt;&gt;"",N213&lt;&gt;"",O213&lt;&gt;"")),"OK","ERRO: faltam "&amp;IF(A213="","SDR; ","")&amp;IF(B213="","Proprietário; ","")&amp;IF(C213="","Origem; ","")&amp;IF(D213="","Temperatura; ","")&amp;IF(E213="","Segmento; ","")&amp;IF(F213="","Time/Cluster; ","")&amp;IF(G213="","CNPJ; ","")&amp;IF(H213="","Razão Social; ","")&amp;IF(AND(J213="",K213=""),"nome do contato; ","")&amp;IF(AND(M213="",N213="",O213=""),"telefone, celular ou e-mail; ","")))</f>
      </c>
      <c r="AB213" s="6">
        <f>IF(COUNTA(A213:S213)=0,"",IF(AND(U213="OK",V213="OK",LEFT(W213,4)&lt;&gt;"ERRO",LEFT(X213,4)&lt;&gt;"ERRO",LEFT(Y213,4)&lt;&gt;"ERRO",AA213="OK"),"OK","REVISAR"))</f>
      </c>
    </row>
    <row r="214">
      <c r="A214" s="5"/>
      <c r="B214" s="5"/>
      <c r="C214" s="5"/>
      <c r="D214" s="5"/>
      <c r="E214" s="5"/>
      <c r="F214" s="5"/>
      <c r="G214" s="5"/>
      <c r="H214" s="5"/>
      <c r="I214" s="4"/>
      <c r="J214" s="5"/>
      <c r="K214" s="4"/>
      <c r="L214" s="4"/>
      <c r="M214" s="4"/>
      <c r="N214" s="4"/>
      <c r="O214" s="4"/>
      <c r="P214" s="4"/>
      <c r="Q214" s="4"/>
      <c r="R214" s="4"/>
      <c r="S214" s="4"/>
      <c r="T214" s="6">
        <f>IF(G214="","",SUBSTITUTE(SUBSTITUTE(SUBSTITUTE(SUBSTITUTE(SUBSTITUTE(SUBSTITUTE(SUBSTITUTE(TRIM(G214),".",""),"/",""),"-","")," ",""),"(",""),")",""),"+",""))</f>
      </c>
      <c r="U214" s="6">
        <f>IF(T214="","",IF(LEN(T214)&lt;&gt;14,"ERRO: "&amp;LEN(T214)&amp;" dígitos",IF(NOT(ISNUMBER(VALUE(T214))),"ERRO: não numérico",IF(LEN(SUBSTITUTE(T214,LEFT(T214,1),""))=0,"ERRO: dígitos repetidos",IF(AND(VALUE(MID(T214,13,1))=IF(MOD(SUMPRODUCT(--MID(T214,{1,2,3,4,5,6,7,8,9,10,11,12},1),{5,4,3,2,9,8,7,6,5,4,3,2}),11)&lt;2,0,11-MOD(SUMPRODUCT(--MID(T214,{1,2,3,4,5,6,7,8,9,10,11,12},1),{5,4,3,2,9,8,7,6,5,4,3,2}),11)),VALUE(MID(T214,14,1))=IF(MOD(SUMPRODUCT(--MID(T214,{1,2,3,4,5,6,7,8,9,10,11,12,13},1),{6,5,4,3,2,9,8,7,6,5,4,3,2}),11)&lt;2,0,11-MOD(SUMPRODUCT(--MID(T214,{1,2,3,4,5,6,7,8,9,10,11,12,13},1),{6,5,4,3,2,9,8,7,6,5,4,3,2}),11))),"OK","ERRO: dígito verificador")))))</f>
      </c>
      <c r="V214" s="6">
        <f>IF(T214="","",IF(COUNTIF($T$2:$T$1001,T214)&gt;1,"DUPLICADO","OK"))</f>
      </c>
      <c r="W214" s="6">
        <f>IF(M214="","vazio",IF(OR(AND(LEN(SUBSTITUTE(SUBSTITUTE(SUBSTITUTE(SUBSTITUTE(SUBSTITUTE(SUBSTITUTE(SUBSTITUTE(TRIM(M214),".",""),"/",""),"-","")," ",""),"(",""),")",""),"+",""))=10,LEFT(SUBSTITUTE(SUBSTITUTE(SUBSTITUTE(SUBSTITUTE(SUBSTITUTE(SUBSTITUTE(SUBSTITUTE(TRIM(M214),".",""),"/",""),"-","")," ",""),"(",""),")",""),"+",""),1)&lt;&gt;"0"),AND(LEN(SUBSTITUTE(SUBSTITUTE(SUBSTITUTE(SUBSTITUTE(SUBSTITUTE(SUBSTITUTE(SUBSTITUTE(TRIM(M214),".",""),"/",""),"-","")," ",""),"(",""),")",""),"+",""))=11,LEFT(SUBSTITUTE(SUBSTITUTE(SUBSTITUTE(SUBSTITUTE(SUBSTITUTE(SUBSTITUTE(SUBSTITUTE(TRIM(M214),".",""),"/",""),"-","")," ",""),"(",""),")",""),"+",""),4)="0800")),"OK",IF(AND(LEN(SUBSTITUTE(SUBSTITUTE(SUBSTITUTE(SUBSTITUTE(SUBSTITUTE(SUBSTITUTE(SUBSTITUTE(TRIM(M214),".",""),"/",""),"-","")," ",""),"(",""),")",""),"+",""))=11,MID(SUBSTITUTE(SUBSTITUTE(SUBSTITUTE(SUBSTITUTE(SUBSTITUTE(SUBSTITUTE(SUBSTITUTE(TRIM(M214),".",""),"/",""),"-","")," ",""),"(",""),")",""),"+",""),3,1)="9"),"ERRO: é celular, use a coluna Celular","ERRO: DDD + 8 dígitos ou 0800 + 7")))</f>
      </c>
      <c r="X214" s="6">
        <f>IF(N214="","vazio",IF(AND(LEN(SUBSTITUTE(SUBSTITUTE(SUBSTITUTE(SUBSTITUTE(SUBSTITUTE(SUBSTITUTE(SUBSTITUTE(TRIM(N214),".",""),"/",""),"-","")," ",""),"(",""),")",""),"+",""))=11,MID(SUBSTITUTE(SUBSTITUTE(SUBSTITUTE(SUBSTITUTE(SUBSTITUTE(SUBSTITUTE(SUBSTITUTE(TRIM(N214),".",""),"/",""),"-","")," ",""),"(",""),")",""),"+",""),3,1)="9",LEFT(SUBSTITUTE(SUBSTITUTE(SUBSTITUTE(SUBSTITUTE(SUBSTITUTE(SUBSTITUTE(SUBSTITUTE(TRIM(N214),".",""),"/",""),"-","")," ",""),"(",""),")",""),"+",""),1)&lt;&gt;"0"),"OK",IF(LEN(SUBSTITUTE(SUBSTITUTE(SUBSTITUTE(SUBSTITUTE(SUBSTITUTE(SUBSTITUTE(SUBSTITUTE(TRIM(N214),".",""),"/",""),"-","")," ",""),"(",""),")",""),"+",""))=10,"ERRO: é fixo (ou falta o 9), use a coluna Telefone fixo","ERRO: DDD + 9 + 8 dígitos")))</f>
      </c>
      <c r="Y214" s="6">
        <f>IF(O214="","vazio",IF(AND(ISNUMBER(FIND("@",O214)),ISNUMBER(FIND(".",MID(O214,FIND("@",O214),99))),NOT(ISNUMBER(FIND(" ",TRIM(O214)))),NOT(ISNUMBER(FIND(";",O214))),NOT(ISNUMBER(FIND(",",O214)))),"OK","ERRO: um e-mail válido por linha"))</f>
      </c>
      <c r="Z214" s="6">
        <f>IF(AND(J214="",K214=""),"",IF(AND(J214&lt;&gt;"",K214&lt;&gt;""),"OK","pendente: só um nome (o GR completa ao converter)"))</f>
      </c>
      <c r="AA214" s="6">
        <f>IF(COUNTA(A214:S214)=0,"",IF(AND(A214&lt;&gt;"",B214&lt;&gt;"",C214&lt;&gt;"",D214&lt;&gt;"",E214&lt;&gt;"",F214&lt;&gt;"",G214&lt;&gt;"",H214&lt;&gt;"",OR(J214&lt;&gt;"",K214&lt;&gt;""),OR(M214&lt;&gt;"",N214&lt;&gt;"",O214&lt;&gt;"")),"OK","ERRO: faltam "&amp;IF(A214="","SDR; ","")&amp;IF(B214="","Proprietário; ","")&amp;IF(C214="","Origem; ","")&amp;IF(D214="","Temperatura; ","")&amp;IF(E214="","Segmento; ","")&amp;IF(F214="","Time/Cluster; ","")&amp;IF(G214="","CNPJ; ","")&amp;IF(H214="","Razão Social; ","")&amp;IF(AND(J214="",K214=""),"nome do contato; ","")&amp;IF(AND(M214="",N214="",O214=""),"telefone, celular ou e-mail; ","")))</f>
      </c>
      <c r="AB214" s="6">
        <f>IF(COUNTA(A214:S214)=0,"",IF(AND(U214="OK",V214="OK",LEFT(W214,4)&lt;&gt;"ERRO",LEFT(X214,4)&lt;&gt;"ERRO",LEFT(Y214,4)&lt;&gt;"ERRO",AA214="OK"),"OK","REVISAR"))</f>
      </c>
    </row>
    <row r="215">
      <c r="A215" s="5"/>
      <c r="B215" s="5"/>
      <c r="C215" s="5"/>
      <c r="D215" s="5"/>
      <c r="E215" s="5"/>
      <c r="F215" s="5"/>
      <c r="G215" s="5"/>
      <c r="H215" s="5"/>
      <c r="I215" s="4"/>
      <c r="J215" s="5"/>
      <c r="K215" s="4"/>
      <c r="L215" s="4"/>
      <c r="M215" s="4"/>
      <c r="N215" s="4"/>
      <c r="O215" s="4"/>
      <c r="P215" s="4"/>
      <c r="Q215" s="4"/>
      <c r="R215" s="4"/>
      <c r="S215" s="4"/>
      <c r="T215" s="6">
        <f>IF(G215="","",SUBSTITUTE(SUBSTITUTE(SUBSTITUTE(SUBSTITUTE(SUBSTITUTE(SUBSTITUTE(SUBSTITUTE(TRIM(G215),".",""),"/",""),"-","")," ",""),"(",""),")",""),"+",""))</f>
      </c>
      <c r="U215" s="6">
        <f>IF(T215="","",IF(LEN(T215)&lt;&gt;14,"ERRO: "&amp;LEN(T215)&amp;" dígitos",IF(NOT(ISNUMBER(VALUE(T215))),"ERRO: não numérico",IF(LEN(SUBSTITUTE(T215,LEFT(T215,1),""))=0,"ERRO: dígitos repetidos",IF(AND(VALUE(MID(T215,13,1))=IF(MOD(SUMPRODUCT(--MID(T215,{1,2,3,4,5,6,7,8,9,10,11,12},1),{5,4,3,2,9,8,7,6,5,4,3,2}),11)&lt;2,0,11-MOD(SUMPRODUCT(--MID(T215,{1,2,3,4,5,6,7,8,9,10,11,12},1),{5,4,3,2,9,8,7,6,5,4,3,2}),11)),VALUE(MID(T215,14,1))=IF(MOD(SUMPRODUCT(--MID(T215,{1,2,3,4,5,6,7,8,9,10,11,12,13},1),{6,5,4,3,2,9,8,7,6,5,4,3,2}),11)&lt;2,0,11-MOD(SUMPRODUCT(--MID(T215,{1,2,3,4,5,6,7,8,9,10,11,12,13},1),{6,5,4,3,2,9,8,7,6,5,4,3,2}),11))),"OK","ERRO: dígito verificador")))))</f>
      </c>
      <c r="V215" s="6">
        <f>IF(T215="","",IF(COUNTIF($T$2:$T$1001,T215)&gt;1,"DUPLICADO","OK"))</f>
      </c>
      <c r="W215" s="6">
        <f>IF(M215="","vazio",IF(OR(AND(LEN(SUBSTITUTE(SUBSTITUTE(SUBSTITUTE(SUBSTITUTE(SUBSTITUTE(SUBSTITUTE(SUBSTITUTE(TRIM(M215),".",""),"/",""),"-","")," ",""),"(",""),")",""),"+",""))=10,LEFT(SUBSTITUTE(SUBSTITUTE(SUBSTITUTE(SUBSTITUTE(SUBSTITUTE(SUBSTITUTE(SUBSTITUTE(TRIM(M215),".",""),"/",""),"-","")," ",""),"(",""),")",""),"+",""),1)&lt;&gt;"0"),AND(LEN(SUBSTITUTE(SUBSTITUTE(SUBSTITUTE(SUBSTITUTE(SUBSTITUTE(SUBSTITUTE(SUBSTITUTE(TRIM(M215),".",""),"/",""),"-","")," ",""),"(",""),")",""),"+",""))=11,LEFT(SUBSTITUTE(SUBSTITUTE(SUBSTITUTE(SUBSTITUTE(SUBSTITUTE(SUBSTITUTE(SUBSTITUTE(TRIM(M215),".",""),"/",""),"-","")," ",""),"(",""),")",""),"+",""),4)="0800")),"OK",IF(AND(LEN(SUBSTITUTE(SUBSTITUTE(SUBSTITUTE(SUBSTITUTE(SUBSTITUTE(SUBSTITUTE(SUBSTITUTE(TRIM(M215),".",""),"/",""),"-","")," ",""),"(",""),")",""),"+",""))=11,MID(SUBSTITUTE(SUBSTITUTE(SUBSTITUTE(SUBSTITUTE(SUBSTITUTE(SUBSTITUTE(SUBSTITUTE(TRIM(M215),".",""),"/",""),"-","")," ",""),"(",""),")",""),"+",""),3,1)="9"),"ERRO: é celular, use a coluna Celular","ERRO: DDD + 8 dígitos ou 0800 + 7")))</f>
      </c>
      <c r="X215" s="6">
        <f>IF(N215="","vazio",IF(AND(LEN(SUBSTITUTE(SUBSTITUTE(SUBSTITUTE(SUBSTITUTE(SUBSTITUTE(SUBSTITUTE(SUBSTITUTE(TRIM(N215),".",""),"/",""),"-","")," ",""),"(",""),")",""),"+",""))=11,MID(SUBSTITUTE(SUBSTITUTE(SUBSTITUTE(SUBSTITUTE(SUBSTITUTE(SUBSTITUTE(SUBSTITUTE(TRIM(N215),".",""),"/",""),"-","")," ",""),"(",""),")",""),"+",""),3,1)="9",LEFT(SUBSTITUTE(SUBSTITUTE(SUBSTITUTE(SUBSTITUTE(SUBSTITUTE(SUBSTITUTE(SUBSTITUTE(TRIM(N215),".",""),"/",""),"-","")," ",""),"(",""),")",""),"+",""),1)&lt;&gt;"0"),"OK",IF(LEN(SUBSTITUTE(SUBSTITUTE(SUBSTITUTE(SUBSTITUTE(SUBSTITUTE(SUBSTITUTE(SUBSTITUTE(TRIM(N215),".",""),"/",""),"-","")," ",""),"(",""),")",""),"+",""))=10,"ERRO: é fixo (ou falta o 9), use a coluna Telefone fixo","ERRO: DDD + 9 + 8 dígitos")))</f>
      </c>
      <c r="Y215" s="6">
        <f>IF(O215="","vazio",IF(AND(ISNUMBER(FIND("@",O215)),ISNUMBER(FIND(".",MID(O215,FIND("@",O215),99))),NOT(ISNUMBER(FIND(" ",TRIM(O215)))),NOT(ISNUMBER(FIND(";",O215))),NOT(ISNUMBER(FIND(",",O215)))),"OK","ERRO: um e-mail válido por linha"))</f>
      </c>
      <c r="Z215" s="6">
        <f>IF(AND(J215="",K215=""),"",IF(AND(J215&lt;&gt;"",K215&lt;&gt;""),"OK","pendente: só um nome (o GR completa ao converter)"))</f>
      </c>
      <c r="AA215" s="6">
        <f>IF(COUNTA(A215:S215)=0,"",IF(AND(A215&lt;&gt;"",B215&lt;&gt;"",C215&lt;&gt;"",D215&lt;&gt;"",E215&lt;&gt;"",F215&lt;&gt;"",G215&lt;&gt;"",H215&lt;&gt;"",OR(J215&lt;&gt;"",K215&lt;&gt;""),OR(M215&lt;&gt;"",N215&lt;&gt;"",O215&lt;&gt;"")),"OK","ERRO: faltam "&amp;IF(A215="","SDR; ","")&amp;IF(B215="","Proprietário; ","")&amp;IF(C215="","Origem; ","")&amp;IF(D215="","Temperatura; ","")&amp;IF(E215="","Segmento; ","")&amp;IF(F215="","Time/Cluster; ","")&amp;IF(G215="","CNPJ; ","")&amp;IF(H215="","Razão Social; ","")&amp;IF(AND(J215="",K215=""),"nome do contato; ","")&amp;IF(AND(M215="",N215="",O215=""),"telefone, celular ou e-mail; ","")))</f>
      </c>
      <c r="AB215" s="6">
        <f>IF(COUNTA(A215:S215)=0,"",IF(AND(U215="OK",V215="OK",LEFT(W215,4)&lt;&gt;"ERRO",LEFT(X215,4)&lt;&gt;"ERRO",LEFT(Y215,4)&lt;&gt;"ERRO",AA215="OK"),"OK","REVISAR"))</f>
      </c>
    </row>
    <row r="216">
      <c r="A216" s="5"/>
      <c r="B216" s="5"/>
      <c r="C216" s="5"/>
      <c r="D216" s="5"/>
      <c r="E216" s="5"/>
      <c r="F216" s="5"/>
      <c r="G216" s="5"/>
      <c r="H216" s="5"/>
      <c r="I216" s="4"/>
      <c r="J216" s="5"/>
      <c r="K216" s="4"/>
      <c r="L216" s="4"/>
      <c r="M216" s="4"/>
      <c r="N216" s="4"/>
      <c r="O216" s="4"/>
      <c r="P216" s="4"/>
      <c r="Q216" s="4"/>
      <c r="R216" s="4"/>
      <c r="S216" s="4"/>
      <c r="T216" s="6">
        <f>IF(G216="","",SUBSTITUTE(SUBSTITUTE(SUBSTITUTE(SUBSTITUTE(SUBSTITUTE(SUBSTITUTE(SUBSTITUTE(TRIM(G216),".",""),"/",""),"-","")," ",""),"(",""),")",""),"+",""))</f>
      </c>
      <c r="U216" s="6">
        <f>IF(T216="","",IF(LEN(T216)&lt;&gt;14,"ERRO: "&amp;LEN(T216)&amp;" dígitos",IF(NOT(ISNUMBER(VALUE(T216))),"ERRO: não numérico",IF(LEN(SUBSTITUTE(T216,LEFT(T216,1),""))=0,"ERRO: dígitos repetidos",IF(AND(VALUE(MID(T216,13,1))=IF(MOD(SUMPRODUCT(--MID(T216,{1,2,3,4,5,6,7,8,9,10,11,12},1),{5,4,3,2,9,8,7,6,5,4,3,2}),11)&lt;2,0,11-MOD(SUMPRODUCT(--MID(T216,{1,2,3,4,5,6,7,8,9,10,11,12},1),{5,4,3,2,9,8,7,6,5,4,3,2}),11)),VALUE(MID(T216,14,1))=IF(MOD(SUMPRODUCT(--MID(T216,{1,2,3,4,5,6,7,8,9,10,11,12,13},1),{6,5,4,3,2,9,8,7,6,5,4,3,2}),11)&lt;2,0,11-MOD(SUMPRODUCT(--MID(T216,{1,2,3,4,5,6,7,8,9,10,11,12,13},1),{6,5,4,3,2,9,8,7,6,5,4,3,2}),11))),"OK","ERRO: dígito verificador")))))</f>
      </c>
      <c r="V216" s="6">
        <f>IF(T216="","",IF(COUNTIF($T$2:$T$1001,T216)&gt;1,"DUPLICADO","OK"))</f>
      </c>
      <c r="W216" s="6">
        <f>IF(M216="","vazio",IF(OR(AND(LEN(SUBSTITUTE(SUBSTITUTE(SUBSTITUTE(SUBSTITUTE(SUBSTITUTE(SUBSTITUTE(SUBSTITUTE(TRIM(M216),".",""),"/",""),"-","")," ",""),"(",""),")",""),"+",""))=10,LEFT(SUBSTITUTE(SUBSTITUTE(SUBSTITUTE(SUBSTITUTE(SUBSTITUTE(SUBSTITUTE(SUBSTITUTE(TRIM(M216),".",""),"/",""),"-","")," ",""),"(",""),")",""),"+",""),1)&lt;&gt;"0"),AND(LEN(SUBSTITUTE(SUBSTITUTE(SUBSTITUTE(SUBSTITUTE(SUBSTITUTE(SUBSTITUTE(SUBSTITUTE(TRIM(M216),".",""),"/",""),"-","")," ",""),"(",""),")",""),"+",""))=11,LEFT(SUBSTITUTE(SUBSTITUTE(SUBSTITUTE(SUBSTITUTE(SUBSTITUTE(SUBSTITUTE(SUBSTITUTE(TRIM(M216),".",""),"/",""),"-","")," ",""),"(",""),")",""),"+",""),4)="0800")),"OK",IF(AND(LEN(SUBSTITUTE(SUBSTITUTE(SUBSTITUTE(SUBSTITUTE(SUBSTITUTE(SUBSTITUTE(SUBSTITUTE(TRIM(M216),".",""),"/",""),"-","")," ",""),"(",""),")",""),"+",""))=11,MID(SUBSTITUTE(SUBSTITUTE(SUBSTITUTE(SUBSTITUTE(SUBSTITUTE(SUBSTITUTE(SUBSTITUTE(TRIM(M216),".",""),"/",""),"-","")," ",""),"(",""),")",""),"+",""),3,1)="9"),"ERRO: é celular, use a coluna Celular","ERRO: DDD + 8 dígitos ou 0800 + 7")))</f>
      </c>
      <c r="X216" s="6">
        <f>IF(N216="","vazio",IF(AND(LEN(SUBSTITUTE(SUBSTITUTE(SUBSTITUTE(SUBSTITUTE(SUBSTITUTE(SUBSTITUTE(SUBSTITUTE(TRIM(N216),".",""),"/",""),"-","")," ",""),"(",""),")",""),"+",""))=11,MID(SUBSTITUTE(SUBSTITUTE(SUBSTITUTE(SUBSTITUTE(SUBSTITUTE(SUBSTITUTE(SUBSTITUTE(TRIM(N216),".",""),"/",""),"-","")," ",""),"(",""),")",""),"+",""),3,1)="9",LEFT(SUBSTITUTE(SUBSTITUTE(SUBSTITUTE(SUBSTITUTE(SUBSTITUTE(SUBSTITUTE(SUBSTITUTE(TRIM(N216),".",""),"/",""),"-","")," ",""),"(",""),")",""),"+",""),1)&lt;&gt;"0"),"OK",IF(LEN(SUBSTITUTE(SUBSTITUTE(SUBSTITUTE(SUBSTITUTE(SUBSTITUTE(SUBSTITUTE(SUBSTITUTE(TRIM(N216),".",""),"/",""),"-","")," ",""),"(",""),")",""),"+",""))=10,"ERRO: é fixo (ou falta o 9), use a coluna Telefone fixo","ERRO: DDD + 9 + 8 dígitos")))</f>
      </c>
      <c r="Y216" s="6">
        <f>IF(O216="","vazio",IF(AND(ISNUMBER(FIND("@",O216)),ISNUMBER(FIND(".",MID(O216,FIND("@",O216),99))),NOT(ISNUMBER(FIND(" ",TRIM(O216)))),NOT(ISNUMBER(FIND(";",O216))),NOT(ISNUMBER(FIND(",",O216)))),"OK","ERRO: um e-mail válido por linha"))</f>
      </c>
      <c r="Z216" s="6">
        <f>IF(AND(J216="",K216=""),"",IF(AND(J216&lt;&gt;"",K216&lt;&gt;""),"OK","pendente: só um nome (o GR completa ao converter)"))</f>
      </c>
      <c r="AA216" s="6">
        <f>IF(COUNTA(A216:S216)=0,"",IF(AND(A216&lt;&gt;"",B216&lt;&gt;"",C216&lt;&gt;"",D216&lt;&gt;"",E216&lt;&gt;"",F216&lt;&gt;"",G216&lt;&gt;"",H216&lt;&gt;"",OR(J216&lt;&gt;"",K216&lt;&gt;""),OR(M216&lt;&gt;"",N216&lt;&gt;"",O216&lt;&gt;"")),"OK","ERRO: faltam "&amp;IF(A216="","SDR; ","")&amp;IF(B216="","Proprietário; ","")&amp;IF(C216="","Origem; ","")&amp;IF(D216="","Temperatura; ","")&amp;IF(E216="","Segmento; ","")&amp;IF(F216="","Time/Cluster; ","")&amp;IF(G216="","CNPJ; ","")&amp;IF(H216="","Razão Social; ","")&amp;IF(AND(J216="",K216=""),"nome do contato; ","")&amp;IF(AND(M216="",N216="",O216=""),"telefone, celular ou e-mail; ","")))</f>
      </c>
      <c r="AB216" s="6">
        <f>IF(COUNTA(A216:S216)=0,"",IF(AND(U216="OK",V216="OK",LEFT(W216,4)&lt;&gt;"ERRO",LEFT(X216,4)&lt;&gt;"ERRO",LEFT(Y216,4)&lt;&gt;"ERRO",AA216="OK"),"OK","REVISAR"))</f>
      </c>
    </row>
    <row r="217">
      <c r="A217" s="5"/>
      <c r="B217" s="5"/>
      <c r="C217" s="5"/>
      <c r="D217" s="5"/>
      <c r="E217" s="5"/>
      <c r="F217" s="5"/>
      <c r="G217" s="5"/>
      <c r="H217" s="5"/>
      <c r="I217" s="4"/>
      <c r="J217" s="5"/>
      <c r="K217" s="4"/>
      <c r="L217" s="4"/>
      <c r="M217" s="4"/>
      <c r="N217" s="4"/>
      <c r="O217" s="4"/>
      <c r="P217" s="4"/>
      <c r="Q217" s="4"/>
      <c r="R217" s="4"/>
      <c r="S217" s="4"/>
      <c r="T217" s="6">
        <f>IF(G217="","",SUBSTITUTE(SUBSTITUTE(SUBSTITUTE(SUBSTITUTE(SUBSTITUTE(SUBSTITUTE(SUBSTITUTE(TRIM(G217),".",""),"/",""),"-","")," ",""),"(",""),")",""),"+",""))</f>
      </c>
      <c r="U217" s="6">
        <f>IF(T217="","",IF(LEN(T217)&lt;&gt;14,"ERRO: "&amp;LEN(T217)&amp;" dígitos",IF(NOT(ISNUMBER(VALUE(T217))),"ERRO: não numérico",IF(LEN(SUBSTITUTE(T217,LEFT(T217,1),""))=0,"ERRO: dígitos repetidos",IF(AND(VALUE(MID(T217,13,1))=IF(MOD(SUMPRODUCT(--MID(T217,{1,2,3,4,5,6,7,8,9,10,11,12},1),{5,4,3,2,9,8,7,6,5,4,3,2}),11)&lt;2,0,11-MOD(SUMPRODUCT(--MID(T217,{1,2,3,4,5,6,7,8,9,10,11,12},1),{5,4,3,2,9,8,7,6,5,4,3,2}),11)),VALUE(MID(T217,14,1))=IF(MOD(SUMPRODUCT(--MID(T217,{1,2,3,4,5,6,7,8,9,10,11,12,13},1),{6,5,4,3,2,9,8,7,6,5,4,3,2}),11)&lt;2,0,11-MOD(SUMPRODUCT(--MID(T217,{1,2,3,4,5,6,7,8,9,10,11,12,13},1),{6,5,4,3,2,9,8,7,6,5,4,3,2}),11))),"OK","ERRO: dígito verificador")))))</f>
      </c>
      <c r="V217" s="6">
        <f>IF(T217="","",IF(COUNTIF($T$2:$T$1001,T217)&gt;1,"DUPLICADO","OK"))</f>
      </c>
      <c r="W217" s="6">
        <f>IF(M217="","vazio",IF(OR(AND(LEN(SUBSTITUTE(SUBSTITUTE(SUBSTITUTE(SUBSTITUTE(SUBSTITUTE(SUBSTITUTE(SUBSTITUTE(TRIM(M217),".",""),"/",""),"-","")," ",""),"(",""),")",""),"+",""))=10,LEFT(SUBSTITUTE(SUBSTITUTE(SUBSTITUTE(SUBSTITUTE(SUBSTITUTE(SUBSTITUTE(SUBSTITUTE(TRIM(M217),".",""),"/",""),"-","")," ",""),"(",""),")",""),"+",""),1)&lt;&gt;"0"),AND(LEN(SUBSTITUTE(SUBSTITUTE(SUBSTITUTE(SUBSTITUTE(SUBSTITUTE(SUBSTITUTE(SUBSTITUTE(TRIM(M217),".",""),"/",""),"-","")," ",""),"(",""),")",""),"+",""))=11,LEFT(SUBSTITUTE(SUBSTITUTE(SUBSTITUTE(SUBSTITUTE(SUBSTITUTE(SUBSTITUTE(SUBSTITUTE(TRIM(M217),".",""),"/",""),"-","")," ",""),"(",""),")",""),"+",""),4)="0800")),"OK",IF(AND(LEN(SUBSTITUTE(SUBSTITUTE(SUBSTITUTE(SUBSTITUTE(SUBSTITUTE(SUBSTITUTE(SUBSTITUTE(TRIM(M217),".",""),"/",""),"-","")," ",""),"(",""),")",""),"+",""))=11,MID(SUBSTITUTE(SUBSTITUTE(SUBSTITUTE(SUBSTITUTE(SUBSTITUTE(SUBSTITUTE(SUBSTITUTE(TRIM(M217),".",""),"/",""),"-","")," ",""),"(",""),")",""),"+",""),3,1)="9"),"ERRO: é celular, use a coluna Celular","ERRO: DDD + 8 dígitos ou 0800 + 7")))</f>
      </c>
      <c r="X217" s="6">
        <f>IF(N217="","vazio",IF(AND(LEN(SUBSTITUTE(SUBSTITUTE(SUBSTITUTE(SUBSTITUTE(SUBSTITUTE(SUBSTITUTE(SUBSTITUTE(TRIM(N217),".",""),"/",""),"-","")," ",""),"(",""),")",""),"+",""))=11,MID(SUBSTITUTE(SUBSTITUTE(SUBSTITUTE(SUBSTITUTE(SUBSTITUTE(SUBSTITUTE(SUBSTITUTE(TRIM(N217),".",""),"/",""),"-","")," ",""),"(",""),")",""),"+",""),3,1)="9",LEFT(SUBSTITUTE(SUBSTITUTE(SUBSTITUTE(SUBSTITUTE(SUBSTITUTE(SUBSTITUTE(SUBSTITUTE(TRIM(N217),".",""),"/",""),"-","")," ",""),"(",""),")",""),"+",""),1)&lt;&gt;"0"),"OK",IF(LEN(SUBSTITUTE(SUBSTITUTE(SUBSTITUTE(SUBSTITUTE(SUBSTITUTE(SUBSTITUTE(SUBSTITUTE(TRIM(N217),".",""),"/",""),"-","")," ",""),"(",""),")",""),"+",""))=10,"ERRO: é fixo (ou falta o 9), use a coluna Telefone fixo","ERRO: DDD + 9 + 8 dígitos")))</f>
      </c>
      <c r="Y217" s="6">
        <f>IF(O217="","vazio",IF(AND(ISNUMBER(FIND("@",O217)),ISNUMBER(FIND(".",MID(O217,FIND("@",O217),99))),NOT(ISNUMBER(FIND(" ",TRIM(O217)))),NOT(ISNUMBER(FIND(";",O217))),NOT(ISNUMBER(FIND(",",O217)))),"OK","ERRO: um e-mail válido por linha"))</f>
      </c>
      <c r="Z217" s="6">
        <f>IF(AND(J217="",K217=""),"",IF(AND(J217&lt;&gt;"",K217&lt;&gt;""),"OK","pendente: só um nome (o GR completa ao converter)"))</f>
      </c>
      <c r="AA217" s="6">
        <f>IF(COUNTA(A217:S217)=0,"",IF(AND(A217&lt;&gt;"",B217&lt;&gt;"",C217&lt;&gt;"",D217&lt;&gt;"",E217&lt;&gt;"",F217&lt;&gt;"",G217&lt;&gt;"",H217&lt;&gt;"",OR(J217&lt;&gt;"",K217&lt;&gt;""),OR(M217&lt;&gt;"",N217&lt;&gt;"",O217&lt;&gt;"")),"OK","ERRO: faltam "&amp;IF(A217="","SDR; ","")&amp;IF(B217="","Proprietário; ","")&amp;IF(C217="","Origem; ","")&amp;IF(D217="","Temperatura; ","")&amp;IF(E217="","Segmento; ","")&amp;IF(F217="","Time/Cluster; ","")&amp;IF(G217="","CNPJ; ","")&amp;IF(H217="","Razão Social; ","")&amp;IF(AND(J217="",K217=""),"nome do contato; ","")&amp;IF(AND(M217="",N217="",O217=""),"telefone, celular ou e-mail; ","")))</f>
      </c>
      <c r="AB217" s="6">
        <f>IF(COUNTA(A217:S217)=0,"",IF(AND(U217="OK",V217="OK",LEFT(W217,4)&lt;&gt;"ERRO",LEFT(X217,4)&lt;&gt;"ERRO",LEFT(Y217,4)&lt;&gt;"ERRO",AA217="OK"),"OK","REVISAR"))</f>
      </c>
    </row>
    <row r="218">
      <c r="A218" s="5"/>
      <c r="B218" s="5"/>
      <c r="C218" s="5"/>
      <c r="D218" s="5"/>
      <c r="E218" s="5"/>
      <c r="F218" s="5"/>
      <c r="G218" s="5"/>
      <c r="H218" s="5"/>
      <c r="I218" s="4"/>
      <c r="J218" s="5"/>
      <c r="K218" s="4"/>
      <c r="L218" s="4"/>
      <c r="M218" s="4"/>
      <c r="N218" s="4"/>
      <c r="O218" s="4"/>
      <c r="P218" s="4"/>
      <c r="Q218" s="4"/>
      <c r="R218" s="4"/>
      <c r="S218" s="4"/>
      <c r="T218" s="6">
        <f>IF(G218="","",SUBSTITUTE(SUBSTITUTE(SUBSTITUTE(SUBSTITUTE(SUBSTITUTE(SUBSTITUTE(SUBSTITUTE(TRIM(G218),".",""),"/",""),"-","")," ",""),"(",""),")",""),"+",""))</f>
      </c>
      <c r="U218" s="6">
        <f>IF(T218="","",IF(LEN(T218)&lt;&gt;14,"ERRO: "&amp;LEN(T218)&amp;" dígitos",IF(NOT(ISNUMBER(VALUE(T218))),"ERRO: não numérico",IF(LEN(SUBSTITUTE(T218,LEFT(T218,1),""))=0,"ERRO: dígitos repetidos",IF(AND(VALUE(MID(T218,13,1))=IF(MOD(SUMPRODUCT(--MID(T218,{1,2,3,4,5,6,7,8,9,10,11,12},1),{5,4,3,2,9,8,7,6,5,4,3,2}),11)&lt;2,0,11-MOD(SUMPRODUCT(--MID(T218,{1,2,3,4,5,6,7,8,9,10,11,12},1),{5,4,3,2,9,8,7,6,5,4,3,2}),11)),VALUE(MID(T218,14,1))=IF(MOD(SUMPRODUCT(--MID(T218,{1,2,3,4,5,6,7,8,9,10,11,12,13},1),{6,5,4,3,2,9,8,7,6,5,4,3,2}),11)&lt;2,0,11-MOD(SUMPRODUCT(--MID(T218,{1,2,3,4,5,6,7,8,9,10,11,12,13},1),{6,5,4,3,2,9,8,7,6,5,4,3,2}),11))),"OK","ERRO: dígito verificador")))))</f>
      </c>
      <c r="V218" s="6">
        <f>IF(T218="","",IF(COUNTIF($T$2:$T$1001,T218)&gt;1,"DUPLICADO","OK"))</f>
      </c>
      <c r="W218" s="6">
        <f>IF(M218="","vazio",IF(OR(AND(LEN(SUBSTITUTE(SUBSTITUTE(SUBSTITUTE(SUBSTITUTE(SUBSTITUTE(SUBSTITUTE(SUBSTITUTE(TRIM(M218),".",""),"/",""),"-","")," ",""),"(",""),")",""),"+",""))=10,LEFT(SUBSTITUTE(SUBSTITUTE(SUBSTITUTE(SUBSTITUTE(SUBSTITUTE(SUBSTITUTE(SUBSTITUTE(TRIM(M218),".",""),"/",""),"-","")," ",""),"(",""),")",""),"+",""),1)&lt;&gt;"0"),AND(LEN(SUBSTITUTE(SUBSTITUTE(SUBSTITUTE(SUBSTITUTE(SUBSTITUTE(SUBSTITUTE(SUBSTITUTE(TRIM(M218),".",""),"/",""),"-","")," ",""),"(",""),")",""),"+",""))=11,LEFT(SUBSTITUTE(SUBSTITUTE(SUBSTITUTE(SUBSTITUTE(SUBSTITUTE(SUBSTITUTE(SUBSTITUTE(TRIM(M218),".",""),"/",""),"-","")," ",""),"(",""),")",""),"+",""),4)="0800")),"OK",IF(AND(LEN(SUBSTITUTE(SUBSTITUTE(SUBSTITUTE(SUBSTITUTE(SUBSTITUTE(SUBSTITUTE(SUBSTITUTE(TRIM(M218),".",""),"/",""),"-","")," ",""),"(",""),")",""),"+",""))=11,MID(SUBSTITUTE(SUBSTITUTE(SUBSTITUTE(SUBSTITUTE(SUBSTITUTE(SUBSTITUTE(SUBSTITUTE(TRIM(M218),".",""),"/",""),"-","")," ",""),"(",""),")",""),"+",""),3,1)="9"),"ERRO: é celular, use a coluna Celular","ERRO: DDD + 8 dígitos ou 0800 + 7")))</f>
      </c>
      <c r="X218" s="6">
        <f>IF(N218="","vazio",IF(AND(LEN(SUBSTITUTE(SUBSTITUTE(SUBSTITUTE(SUBSTITUTE(SUBSTITUTE(SUBSTITUTE(SUBSTITUTE(TRIM(N218),".",""),"/",""),"-","")," ",""),"(",""),")",""),"+",""))=11,MID(SUBSTITUTE(SUBSTITUTE(SUBSTITUTE(SUBSTITUTE(SUBSTITUTE(SUBSTITUTE(SUBSTITUTE(TRIM(N218),".",""),"/",""),"-","")," ",""),"(",""),")",""),"+",""),3,1)="9",LEFT(SUBSTITUTE(SUBSTITUTE(SUBSTITUTE(SUBSTITUTE(SUBSTITUTE(SUBSTITUTE(SUBSTITUTE(TRIM(N218),".",""),"/",""),"-","")," ",""),"(",""),")",""),"+",""),1)&lt;&gt;"0"),"OK",IF(LEN(SUBSTITUTE(SUBSTITUTE(SUBSTITUTE(SUBSTITUTE(SUBSTITUTE(SUBSTITUTE(SUBSTITUTE(TRIM(N218),".",""),"/",""),"-","")," ",""),"(",""),")",""),"+",""))=10,"ERRO: é fixo (ou falta o 9), use a coluna Telefone fixo","ERRO: DDD + 9 + 8 dígitos")))</f>
      </c>
      <c r="Y218" s="6">
        <f>IF(O218="","vazio",IF(AND(ISNUMBER(FIND("@",O218)),ISNUMBER(FIND(".",MID(O218,FIND("@",O218),99))),NOT(ISNUMBER(FIND(" ",TRIM(O218)))),NOT(ISNUMBER(FIND(";",O218))),NOT(ISNUMBER(FIND(",",O218)))),"OK","ERRO: um e-mail válido por linha"))</f>
      </c>
      <c r="Z218" s="6">
        <f>IF(AND(J218="",K218=""),"",IF(AND(J218&lt;&gt;"",K218&lt;&gt;""),"OK","pendente: só um nome (o GR completa ao converter)"))</f>
      </c>
      <c r="AA218" s="6">
        <f>IF(COUNTA(A218:S218)=0,"",IF(AND(A218&lt;&gt;"",B218&lt;&gt;"",C218&lt;&gt;"",D218&lt;&gt;"",E218&lt;&gt;"",F218&lt;&gt;"",G218&lt;&gt;"",H218&lt;&gt;"",OR(J218&lt;&gt;"",K218&lt;&gt;""),OR(M218&lt;&gt;"",N218&lt;&gt;"",O218&lt;&gt;"")),"OK","ERRO: faltam "&amp;IF(A218="","SDR; ","")&amp;IF(B218="","Proprietário; ","")&amp;IF(C218="","Origem; ","")&amp;IF(D218="","Temperatura; ","")&amp;IF(E218="","Segmento; ","")&amp;IF(F218="","Time/Cluster; ","")&amp;IF(G218="","CNPJ; ","")&amp;IF(H218="","Razão Social; ","")&amp;IF(AND(J218="",K218=""),"nome do contato; ","")&amp;IF(AND(M218="",N218="",O218=""),"telefone, celular ou e-mail; ","")))</f>
      </c>
      <c r="AB218" s="6">
        <f>IF(COUNTA(A218:S218)=0,"",IF(AND(U218="OK",V218="OK",LEFT(W218,4)&lt;&gt;"ERRO",LEFT(X218,4)&lt;&gt;"ERRO",LEFT(Y218,4)&lt;&gt;"ERRO",AA218="OK"),"OK","REVISAR"))</f>
      </c>
    </row>
    <row r="219">
      <c r="A219" s="5"/>
      <c r="B219" s="5"/>
      <c r="C219" s="5"/>
      <c r="D219" s="5"/>
      <c r="E219" s="5"/>
      <c r="F219" s="5"/>
      <c r="G219" s="5"/>
      <c r="H219" s="5"/>
      <c r="I219" s="4"/>
      <c r="J219" s="5"/>
      <c r="K219" s="4"/>
      <c r="L219" s="4"/>
      <c r="M219" s="4"/>
      <c r="N219" s="4"/>
      <c r="O219" s="4"/>
      <c r="P219" s="4"/>
      <c r="Q219" s="4"/>
      <c r="R219" s="4"/>
      <c r="S219" s="4"/>
      <c r="T219" s="6">
        <f>IF(G219="","",SUBSTITUTE(SUBSTITUTE(SUBSTITUTE(SUBSTITUTE(SUBSTITUTE(SUBSTITUTE(SUBSTITUTE(TRIM(G219),".",""),"/",""),"-","")," ",""),"(",""),")",""),"+",""))</f>
      </c>
      <c r="U219" s="6">
        <f>IF(T219="","",IF(LEN(T219)&lt;&gt;14,"ERRO: "&amp;LEN(T219)&amp;" dígitos",IF(NOT(ISNUMBER(VALUE(T219))),"ERRO: não numérico",IF(LEN(SUBSTITUTE(T219,LEFT(T219,1),""))=0,"ERRO: dígitos repetidos",IF(AND(VALUE(MID(T219,13,1))=IF(MOD(SUMPRODUCT(--MID(T219,{1,2,3,4,5,6,7,8,9,10,11,12},1),{5,4,3,2,9,8,7,6,5,4,3,2}),11)&lt;2,0,11-MOD(SUMPRODUCT(--MID(T219,{1,2,3,4,5,6,7,8,9,10,11,12},1),{5,4,3,2,9,8,7,6,5,4,3,2}),11)),VALUE(MID(T219,14,1))=IF(MOD(SUMPRODUCT(--MID(T219,{1,2,3,4,5,6,7,8,9,10,11,12,13},1),{6,5,4,3,2,9,8,7,6,5,4,3,2}),11)&lt;2,0,11-MOD(SUMPRODUCT(--MID(T219,{1,2,3,4,5,6,7,8,9,10,11,12,13},1),{6,5,4,3,2,9,8,7,6,5,4,3,2}),11))),"OK","ERRO: dígito verificador")))))</f>
      </c>
      <c r="V219" s="6">
        <f>IF(T219="","",IF(COUNTIF($T$2:$T$1001,T219)&gt;1,"DUPLICADO","OK"))</f>
      </c>
      <c r="W219" s="6">
        <f>IF(M219="","vazio",IF(OR(AND(LEN(SUBSTITUTE(SUBSTITUTE(SUBSTITUTE(SUBSTITUTE(SUBSTITUTE(SUBSTITUTE(SUBSTITUTE(TRIM(M219),".",""),"/",""),"-","")," ",""),"(",""),")",""),"+",""))=10,LEFT(SUBSTITUTE(SUBSTITUTE(SUBSTITUTE(SUBSTITUTE(SUBSTITUTE(SUBSTITUTE(SUBSTITUTE(TRIM(M219),".",""),"/",""),"-","")," ",""),"(",""),")",""),"+",""),1)&lt;&gt;"0"),AND(LEN(SUBSTITUTE(SUBSTITUTE(SUBSTITUTE(SUBSTITUTE(SUBSTITUTE(SUBSTITUTE(SUBSTITUTE(TRIM(M219),".",""),"/",""),"-","")," ",""),"(",""),")",""),"+",""))=11,LEFT(SUBSTITUTE(SUBSTITUTE(SUBSTITUTE(SUBSTITUTE(SUBSTITUTE(SUBSTITUTE(SUBSTITUTE(TRIM(M219),".",""),"/",""),"-","")," ",""),"(",""),")",""),"+",""),4)="0800")),"OK",IF(AND(LEN(SUBSTITUTE(SUBSTITUTE(SUBSTITUTE(SUBSTITUTE(SUBSTITUTE(SUBSTITUTE(SUBSTITUTE(TRIM(M219),".",""),"/",""),"-","")," ",""),"(",""),")",""),"+",""))=11,MID(SUBSTITUTE(SUBSTITUTE(SUBSTITUTE(SUBSTITUTE(SUBSTITUTE(SUBSTITUTE(SUBSTITUTE(TRIM(M219),".",""),"/",""),"-","")," ",""),"(",""),")",""),"+",""),3,1)="9"),"ERRO: é celular, use a coluna Celular","ERRO: DDD + 8 dígitos ou 0800 + 7")))</f>
      </c>
      <c r="X219" s="6">
        <f>IF(N219="","vazio",IF(AND(LEN(SUBSTITUTE(SUBSTITUTE(SUBSTITUTE(SUBSTITUTE(SUBSTITUTE(SUBSTITUTE(SUBSTITUTE(TRIM(N219),".",""),"/",""),"-","")," ",""),"(",""),")",""),"+",""))=11,MID(SUBSTITUTE(SUBSTITUTE(SUBSTITUTE(SUBSTITUTE(SUBSTITUTE(SUBSTITUTE(SUBSTITUTE(TRIM(N219),".",""),"/",""),"-","")," ",""),"(",""),")",""),"+",""),3,1)="9",LEFT(SUBSTITUTE(SUBSTITUTE(SUBSTITUTE(SUBSTITUTE(SUBSTITUTE(SUBSTITUTE(SUBSTITUTE(TRIM(N219),".",""),"/",""),"-","")," ",""),"(",""),")",""),"+",""),1)&lt;&gt;"0"),"OK",IF(LEN(SUBSTITUTE(SUBSTITUTE(SUBSTITUTE(SUBSTITUTE(SUBSTITUTE(SUBSTITUTE(SUBSTITUTE(TRIM(N219),".",""),"/",""),"-","")," ",""),"(",""),")",""),"+",""))=10,"ERRO: é fixo (ou falta o 9), use a coluna Telefone fixo","ERRO: DDD + 9 + 8 dígitos")))</f>
      </c>
      <c r="Y219" s="6">
        <f>IF(O219="","vazio",IF(AND(ISNUMBER(FIND("@",O219)),ISNUMBER(FIND(".",MID(O219,FIND("@",O219),99))),NOT(ISNUMBER(FIND(" ",TRIM(O219)))),NOT(ISNUMBER(FIND(";",O219))),NOT(ISNUMBER(FIND(",",O219)))),"OK","ERRO: um e-mail válido por linha"))</f>
      </c>
      <c r="Z219" s="6">
        <f>IF(AND(J219="",K219=""),"",IF(AND(J219&lt;&gt;"",K219&lt;&gt;""),"OK","pendente: só um nome (o GR completa ao converter)"))</f>
      </c>
      <c r="AA219" s="6">
        <f>IF(COUNTA(A219:S219)=0,"",IF(AND(A219&lt;&gt;"",B219&lt;&gt;"",C219&lt;&gt;"",D219&lt;&gt;"",E219&lt;&gt;"",F219&lt;&gt;"",G219&lt;&gt;"",H219&lt;&gt;"",OR(J219&lt;&gt;"",K219&lt;&gt;""),OR(M219&lt;&gt;"",N219&lt;&gt;"",O219&lt;&gt;"")),"OK","ERRO: faltam "&amp;IF(A219="","SDR; ","")&amp;IF(B219="","Proprietário; ","")&amp;IF(C219="","Origem; ","")&amp;IF(D219="","Temperatura; ","")&amp;IF(E219="","Segmento; ","")&amp;IF(F219="","Time/Cluster; ","")&amp;IF(G219="","CNPJ; ","")&amp;IF(H219="","Razão Social; ","")&amp;IF(AND(J219="",K219=""),"nome do contato; ","")&amp;IF(AND(M219="",N219="",O219=""),"telefone, celular ou e-mail; ","")))</f>
      </c>
      <c r="AB219" s="6">
        <f>IF(COUNTA(A219:S219)=0,"",IF(AND(U219="OK",V219="OK",LEFT(W219,4)&lt;&gt;"ERRO",LEFT(X219,4)&lt;&gt;"ERRO",LEFT(Y219,4)&lt;&gt;"ERRO",AA219="OK"),"OK","REVISAR"))</f>
      </c>
    </row>
    <row r="220">
      <c r="A220" s="5"/>
      <c r="B220" s="5"/>
      <c r="C220" s="5"/>
      <c r="D220" s="5"/>
      <c r="E220" s="5"/>
      <c r="F220" s="5"/>
      <c r="G220" s="5"/>
      <c r="H220" s="5"/>
      <c r="I220" s="4"/>
      <c r="J220" s="5"/>
      <c r="K220" s="4"/>
      <c r="L220" s="4"/>
      <c r="M220" s="4"/>
      <c r="N220" s="4"/>
      <c r="O220" s="4"/>
      <c r="P220" s="4"/>
      <c r="Q220" s="4"/>
      <c r="R220" s="4"/>
      <c r="S220" s="4"/>
      <c r="T220" s="6">
        <f>IF(G220="","",SUBSTITUTE(SUBSTITUTE(SUBSTITUTE(SUBSTITUTE(SUBSTITUTE(SUBSTITUTE(SUBSTITUTE(TRIM(G220),".",""),"/",""),"-","")," ",""),"(",""),")",""),"+",""))</f>
      </c>
      <c r="U220" s="6">
        <f>IF(T220="","",IF(LEN(T220)&lt;&gt;14,"ERRO: "&amp;LEN(T220)&amp;" dígitos",IF(NOT(ISNUMBER(VALUE(T220))),"ERRO: não numérico",IF(LEN(SUBSTITUTE(T220,LEFT(T220,1),""))=0,"ERRO: dígitos repetidos",IF(AND(VALUE(MID(T220,13,1))=IF(MOD(SUMPRODUCT(--MID(T220,{1,2,3,4,5,6,7,8,9,10,11,12},1),{5,4,3,2,9,8,7,6,5,4,3,2}),11)&lt;2,0,11-MOD(SUMPRODUCT(--MID(T220,{1,2,3,4,5,6,7,8,9,10,11,12},1),{5,4,3,2,9,8,7,6,5,4,3,2}),11)),VALUE(MID(T220,14,1))=IF(MOD(SUMPRODUCT(--MID(T220,{1,2,3,4,5,6,7,8,9,10,11,12,13},1),{6,5,4,3,2,9,8,7,6,5,4,3,2}),11)&lt;2,0,11-MOD(SUMPRODUCT(--MID(T220,{1,2,3,4,5,6,7,8,9,10,11,12,13},1),{6,5,4,3,2,9,8,7,6,5,4,3,2}),11))),"OK","ERRO: dígito verificador")))))</f>
      </c>
      <c r="V220" s="6">
        <f>IF(T220="","",IF(COUNTIF($T$2:$T$1001,T220)&gt;1,"DUPLICADO","OK"))</f>
      </c>
      <c r="W220" s="6">
        <f>IF(M220="","vazio",IF(OR(AND(LEN(SUBSTITUTE(SUBSTITUTE(SUBSTITUTE(SUBSTITUTE(SUBSTITUTE(SUBSTITUTE(SUBSTITUTE(TRIM(M220),".",""),"/",""),"-","")," ",""),"(",""),")",""),"+",""))=10,LEFT(SUBSTITUTE(SUBSTITUTE(SUBSTITUTE(SUBSTITUTE(SUBSTITUTE(SUBSTITUTE(SUBSTITUTE(TRIM(M220),".",""),"/",""),"-","")," ",""),"(",""),")",""),"+",""),1)&lt;&gt;"0"),AND(LEN(SUBSTITUTE(SUBSTITUTE(SUBSTITUTE(SUBSTITUTE(SUBSTITUTE(SUBSTITUTE(SUBSTITUTE(TRIM(M220),".",""),"/",""),"-","")," ",""),"(",""),")",""),"+",""))=11,LEFT(SUBSTITUTE(SUBSTITUTE(SUBSTITUTE(SUBSTITUTE(SUBSTITUTE(SUBSTITUTE(SUBSTITUTE(TRIM(M220),".",""),"/",""),"-","")," ",""),"(",""),")",""),"+",""),4)="0800")),"OK",IF(AND(LEN(SUBSTITUTE(SUBSTITUTE(SUBSTITUTE(SUBSTITUTE(SUBSTITUTE(SUBSTITUTE(SUBSTITUTE(TRIM(M220),".",""),"/",""),"-","")," ",""),"(",""),")",""),"+",""))=11,MID(SUBSTITUTE(SUBSTITUTE(SUBSTITUTE(SUBSTITUTE(SUBSTITUTE(SUBSTITUTE(SUBSTITUTE(TRIM(M220),".",""),"/",""),"-","")," ",""),"(",""),")",""),"+",""),3,1)="9"),"ERRO: é celular, use a coluna Celular","ERRO: DDD + 8 dígitos ou 0800 + 7")))</f>
      </c>
      <c r="X220" s="6">
        <f>IF(N220="","vazio",IF(AND(LEN(SUBSTITUTE(SUBSTITUTE(SUBSTITUTE(SUBSTITUTE(SUBSTITUTE(SUBSTITUTE(SUBSTITUTE(TRIM(N220),".",""),"/",""),"-","")," ",""),"(",""),")",""),"+",""))=11,MID(SUBSTITUTE(SUBSTITUTE(SUBSTITUTE(SUBSTITUTE(SUBSTITUTE(SUBSTITUTE(SUBSTITUTE(TRIM(N220),".",""),"/",""),"-","")," ",""),"(",""),")",""),"+",""),3,1)="9",LEFT(SUBSTITUTE(SUBSTITUTE(SUBSTITUTE(SUBSTITUTE(SUBSTITUTE(SUBSTITUTE(SUBSTITUTE(TRIM(N220),".",""),"/",""),"-","")," ",""),"(",""),")",""),"+",""),1)&lt;&gt;"0"),"OK",IF(LEN(SUBSTITUTE(SUBSTITUTE(SUBSTITUTE(SUBSTITUTE(SUBSTITUTE(SUBSTITUTE(SUBSTITUTE(TRIM(N220),".",""),"/",""),"-","")," ",""),"(",""),")",""),"+",""))=10,"ERRO: é fixo (ou falta o 9), use a coluna Telefone fixo","ERRO: DDD + 9 + 8 dígitos")))</f>
      </c>
      <c r="Y220" s="6">
        <f>IF(O220="","vazio",IF(AND(ISNUMBER(FIND("@",O220)),ISNUMBER(FIND(".",MID(O220,FIND("@",O220),99))),NOT(ISNUMBER(FIND(" ",TRIM(O220)))),NOT(ISNUMBER(FIND(";",O220))),NOT(ISNUMBER(FIND(",",O220)))),"OK","ERRO: um e-mail válido por linha"))</f>
      </c>
      <c r="Z220" s="6">
        <f>IF(AND(J220="",K220=""),"",IF(AND(J220&lt;&gt;"",K220&lt;&gt;""),"OK","pendente: só um nome (o GR completa ao converter)"))</f>
      </c>
      <c r="AA220" s="6">
        <f>IF(COUNTA(A220:S220)=0,"",IF(AND(A220&lt;&gt;"",B220&lt;&gt;"",C220&lt;&gt;"",D220&lt;&gt;"",E220&lt;&gt;"",F220&lt;&gt;"",G220&lt;&gt;"",H220&lt;&gt;"",OR(J220&lt;&gt;"",K220&lt;&gt;""),OR(M220&lt;&gt;"",N220&lt;&gt;"",O220&lt;&gt;"")),"OK","ERRO: faltam "&amp;IF(A220="","SDR; ","")&amp;IF(B220="","Proprietário; ","")&amp;IF(C220="","Origem; ","")&amp;IF(D220="","Temperatura; ","")&amp;IF(E220="","Segmento; ","")&amp;IF(F220="","Time/Cluster; ","")&amp;IF(G220="","CNPJ; ","")&amp;IF(H220="","Razão Social; ","")&amp;IF(AND(J220="",K220=""),"nome do contato; ","")&amp;IF(AND(M220="",N220="",O220=""),"telefone, celular ou e-mail; ","")))</f>
      </c>
      <c r="AB220" s="6">
        <f>IF(COUNTA(A220:S220)=0,"",IF(AND(U220="OK",V220="OK",LEFT(W220,4)&lt;&gt;"ERRO",LEFT(X220,4)&lt;&gt;"ERRO",LEFT(Y220,4)&lt;&gt;"ERRO",AA220="OK"),"OK","REVISAR"))</f>
      </c>
    </row>
    <row r="221">
      <c r="A221" s="5"/>
      <c r="B221" s="5"/>
      <c r="C221" s="5"/>
      <c r="D221" s="5"/>
      <c r="E221" s="5"/>
      <c r="F221" s="5"/>
      <c r="G221" s="5"/>
      <c r="H221" s="5"/>
      <c r="I221" s="4"/>
      <c r="J221" s="5"/>
      <c r="K221" s="4"/>
      <c r="L221" s="4"/>
      <c r="M221" s="4"/>
      <c r="N221" s="4"/>
      <c r="O221" s="4"/>
      <c r="P221" s="4"/>
      <c r="Q221" s="4"/>
      <c r="R221" s="4"/>
      <c r="S221" s="4"/>
      <c r="T221" s="6">
        <f>IF(G221="","",SUBSTITUTE(SUBSTITUTE(SUBSTITUTE(SUBSTITUTE(SUBSTITUTE(SUBSTITUTE(SUBSTITUTE(TRIM(G221),".",""),"/",""),"-","")," ",""),"(",""),")",""),"+",""))</f>
      </c>
      <c r="U221" s="6">
        <f>IF(T221="","",IF(LEN(T221)&lt;&gt;14,"ERRO: "&amp;LEN(T221)&amp;" dígitos",IF(NOT(ISNUMBER(VALUE(T221))),"ERRO: não numérico",IF(LEN(SUBSTITUTE(T221,LEFT(T221,1),""))=0,"ERRO: dígitos repetidos",IF(AND(VALUE(MID(T221,13,1))=IF(MOD(SUMPRODUCT(--MID(T221,{1,2,3,4,5,6,7,8,9,10,11,12},1),{5,4,3,2,9,8,7,6,5,4,3,2}),11)&lt;2,0,11-MOD(SUMPRODUCT(--MID(T221,{1,2,3,4,5,6,7,8,9,10,11,12},1),{5,4,3,2,9,8,7,6,5,4,3,2}),11)),VALUE(MID(T221,14,1))=IF(MOD(SUMPRODUCT(--MID(T221,{1,2,3,4,5,6,7,8,9,10,11,12,13},1),{6,5,4,3,2,9,8,7,6,5,4,3,2}),11)&lt;2,0,11-MOD(SUMPRODUCT(--MID(T221,{1,2,3,4,5,6,7,8,9,10,11,12,13},1),{6,5,4,3,2,9,8,7,6,5,4,3,2}),11))),"OK","ERRO: dígito verificador")))))</f>
      </c>
      <c r="V221" s="6">
        <f>IF(T221="","",IF(COUNTIF($T$2:$T$1001,T221)&gt;1,"DUPLICADO","OK"))</f>
      </c>
      <c r="W221" s="6">
        <f>IF(M221="","vazio",IF(OR(AND(LEN(SUBSTITUTE(SUBSTITUTE(SUBSTITUTE(SUBSTITUTE(SUBSTITUTE(SUBSTITUTE(SUBSTITUTE(TRIM(M221),".",""),"/",""),"-","")," ",""),"(",""),")",""),"+",""))=10,LEFT(SUBSTITUTE(SUBSTITUTE(SUBSTITUTE(SUBSTITUTE(SUBSTITUTE(SUBSTITUTE(SUBSTITUTE(TRIM(M221),".",""),"/",""),"-","")," ",""),"(",""),")",""),"+",""),1)&lt;&gt;"0"),AND(LEN(SUBSTITUTE(SUBSTITUTE(SUBSTITUTE(SUBSTITUTE(SUBSTITUTE(SUBSTITUTE(SUBSTITUTE(TRIM(M221),".",""),"/",""),"-","")," ",""),"(",""),")",""),"+",""))=11,LEFT(SUBSTITUTE(SUBSTITUTE(SUBSTITUTE(SUBSTITUTE(SUBSTITUTE(SUBSTITUTE(SUBSTITUTE(TRIM(M221),".",""),"/",""),"-","")," ",""),"(",""),")",""),"+",""),4)="0800")),"OK",IF(AND(LEN(SUBSTITUTE(SUBSTITUTE(SUBSTITUTE(SUBSTITUTE(SUBSTITUTE(SUBSTITUTE(SUBSTITUTE(TRIM(M221),".",""),"/",""),"-","")," ",""),"(",""),")",""),"+",""))=11,MID(SUBSTITUTE(SUBSTITUTE(SUBSTITUTE(SUBSTITUTE(SUBSTITUTE(SUBSTITUTE(SUBSTITUTE(TRIM(M221),".",""),"/",""),"-","")," ",""),"(",""),")",""),"+",""),3,1)="9"),"ERRO: é celular, use a coluna Celular","ERRO: DDD + 8 dígitos ou 0800 + 7")))</f>
      </c>
      <c r="X221" s="6">
        <f>IF(N221="","vazio",IF(AND(LEN(SUBSTITUTE(SUBSTITUTE(SUBSTITUTE(SUBSTITUTE(SUBSTITUTE(SUBSTITUTE(SUBSTITUTE(TRIM(N221),".",""),"/",""),"-","")," ",""),"(",""),")",""),"+",""))=11,MID(SUBSTITUTE(SUBSTITUTE(SUBSTITUTE(SUBSTITUTE(SUBSTITUTE(SUBSTITUTE(SUBSTITUTE(TRIM(N221),".",""),"/",""),"-","")," ",""),"(",""),")",""),"+",""),3,1)="9",LEFT(SUBSTITUTE(SUBSTITUTE(SUBSTITUTE(SUBSTITUTE(SUBSTITUTE(SUBSTITUTE(SUBSTITUTE(TRIM(N221),".",""),"/",""),"-","")," ",""),"(",""),")",""),"+",""),1)&lt;&gt;"0"),"OK",IF(LEN(SUBSTITUTE(SUBSTITUTE(SUBSTITUTE(SUBSTITUTE(SUBSTITUTE(SUBSTITUTE(SUBSTITUTE(TRIM(N221),".",""),"/",""),"-","")," ",""),"(",""),")",""),"+",""))=10,"ERRO: é fixo (ou falta o 9), use a coluna Telefone fixo","ERRO: DDD + 9 + 8 dígitos")))</f>
      </c>
      <c r="Y221" s="6">
        <f>IF(O221="","vazio",IF(AND(ISNUMBER(FIND("@",O221)),ISNUMBER(FIND(".",MID(O221,FIND("@",O221),99))),NOT(ISNUMBER(FIND(" ",TRIM(O221)))),NOT(ISNUMBER(FIND(";",O221))),NOT(ISNUMBER(FIND(",",O221)))),"OK","ERRO: um e-mail válido por linha"))</f>
      </c>
      <c r="Z221" s="6">
        <f>IF(AND(J221="",K221=""),"",IF(AND(J221&lt;&gt;"",K221&lt;&gt;""),"OK","pendente: só um nome (o GR completa ao converter)"))</f>
      </c>
      <c r="AA221" s="6">
        <f>IF(COUNTA(A221:S221)=0,"",IF(AND(A221&lt;&gt;"",B221&lt;&gt;"",C221&lt;&gt;"",D221&lt;&gt;"",E221&lt;&gt;"",F221&lt;&gt;"",G221&lt;&gt;"",H221&lt;&gt;"",OR(J221&lt;&gt;"",K221&lt;&gt;""),OR(M221&lt;&gt;"",N221&lt;&gt;"",O221&lt;&gt;"")),"OK","ERRO: faltam "&amp;IF(A221="","SDR; ","")&amp;IF(B221="","Proprietário; ","")&amp;IF(C221="","Origem; ","")&amp;IF(D221="","Temperatura; ","")&amp;IF(E221="","Segmento; ","")&amp;IF(F221="","Time/Cluster; ","")&amp;IF(G221="","CNPJ; ","")&amp;IF(H221="","Razão Social; ","")&amp;IF(AND(J221="",K221=""),"nome do contato; ","")&amp;IF(AND(M221="",N221="",O221=""),"telefone, celular ou e-mail; ","")))</f>
      </c>
      <c r="AB221" s="6">
        <f>IF(COUNTA(A221:S221)=0,"",IF(AND(U221="OK",V221="OK",LEFT(W221,4)&lt;&gt;"ERRO",LEFT(X221,4)&lt;&gt;"ERRO",LEFT(Y221,4)&lt;&gt;"ERRO",AA221="OK"),"OK","REVISAR"))</f>
      </c>
    </row>
    <row r="222">
      <c r="A222" s="5"/>
      <c r="B222" s="5"/>
      <c r="C222" s="5"/>
      <c r="D222" s="5"/>
      <c r="E222" s="5"/>
      <c r="F222" s="5"/>
      <c r="G222" s="5"/>
      <c r="H222" s="5"/>
      <c r="I222" s="4"/>
      <c r="J222" s="5"/>
      <c r="K222" s="4"/>
      <c r="L222" s="4"/>
      <c r="M222" s="4"/>
      <c r="N222" s="4"/>
      <c r="O222" s="4"/>
      <c r="P222" s="4"/>
      <c r="Q222" s="4"/>
      <c r="R222" s="4"/>
      <c r="S222" s="4"/>
      <c r="T222" s="6">
        <f>IF(G222="","",SUBSTITUTE(SUBSTITUTE(SUBSTITUTE(SUBSTITUTE(SUBSTITUTE(SUBSTITUTE(SUBSTITUTE(TRIM(G222),".",""),"/",""),"-","")," ",""),"(",""),")",""),"+",""))</f>
      </c>
      <c r="U222" s="6">
        <f>IF(T222="","",IF(LEN(T222)&lt;&gt;14,"ERRO: "&amp;LEN(T222)&amp;" dígitos",IF(NOT(ISNUMBER(VALUE(T222))),"ERRO: não numérico",IF(LEN(SUBSTITUTE(T222,LEFT(T222,1),""))=0,"ERRO: dígitos repetidos",IF(AND(VALUE(MID(T222,13,1))=IF(MOD(SUMPRODUCT(--MID(T222,{1,2,3,4,5,6,7,8,9,10,11,12},1),{5,4,3,2,9,8,7,6,5,4,3,2}),11)&lt;2,0,11-MOD(SUMPRODUCT(--MID(T222,{1,2,3,4,5,6,7,8,9,10,11,12},1),{5,4,3,2,9,8,7,6,5,4,3,2}),11)),VALUE(MID(T222,14,1))=IF(MOD(SUMPRODUCT(--MID(T222,{1,2,3,4,5,6,7,8,9,10,11,12,13},1),{6,5,4,3,2,9,8,7,6,5,4,3,2}),11)&lt;2,0,11-MOD(SUMPRODUCT(--MID(T222,{1,2,3,4,5,6,7,8,9,10,11,12,13},1),{6,5,4,3,2,9,8,7,6,5,4,3,2}),11))),"OK","ERRO: dígito verificador")))))</f>
      </c>
      <c r="V222" s="6">
        <f>IF(T222="","",IF(COUNTIF($T$2:$T$1001,T222)&gt;1,"DUPLICADO","OK"))</f>
      </c>
      <c r="W222" s="6">
        <f>IF(M222="","vazio",IF(OR(AND(LEN(SUBSTITUTE(SUBSTITUTE(SUBSTITUTE(SUBSTITUTE(SUBSTITUTE(SUBSTITUTE(SUBSTITUTE(TRIM(M222),".",""),"/",""),"-","")," ",""),"(",""),")",""),"+",""))=10,LEFT(SUBSTITUTE(SUBSTITUTE(SUBSTITUTE(SUBSTITUTE(SUBSTITUTE(SUBSTITUTE(SUBSTITUTE(TRIM(M222),".",""),"/",""),"-","")," ",""),"(",""),")",""),"+",""),1)&lt;&gt;"0"),AND(LEN(SUBSTITUTE(SUBSTITUTE(SUBSTITUTE(SUBSTITUTE(SUBSTITUTE(SUBSTITUTE(SUBSTITUTE(TRIM(M222),".",""),"/",""),"-","")," ",""),"(",""),")",""),"+",""))=11,LEFT(SUBSTITUTE(SUBSTITUTE(SUBSTITUTE(SUBSTITUTE(SUBSTITUTE(SUBSTITUTE(SUBSTITUTE(TRIM(M222),".",""),"/",""),"-","")," ",""),"(",""),")",""),"+",""),4)="0800")),"OK",IF(AND(LEN(SUBSTITUTE(SUBSTITUTE(SUBSTITUTE(SUBSTITUTE(SUBSTITUTE(SUBSTITUTE(SUBSTITUTE(TRIM(M222),".",""),"/",""),"-","")," ",""),"(",""),")",""),"+",""))=11,MID(SUBSTITUTE(SUBSTITUTE(SUBSTITUTE(SUBSTITUTE(SUBSTITUTE(SUBSTITUTE(SUBSTITUTE(TRIM(M222),".",""),"/",""),"-","")," ",""),"(",""),")",""),"+",""),3,1)="9"),"ERRO: é celular, use a coluna Celular","ERRO: DDD + 8 dígitos ou 0800 + 7")))</f>
      </c>
      <c r="X222" s="6">
        <f>IF(N222="","vazio",IF(AND(LEN(SUBSTITUTE(SUBSTITUTE(SUBSTITUTE(SUBSTITUTE(SUBSTITUTE(SUBSTITUTE(SUBSTITUTE(TRIM(N222),".",""),"/",""),"-","")," ",""),"(",""),")",""),"+",""))=11,MID(SUBSTITUTE(SUBSTITUTE(SUBSTITUTE(SUBSTITUTE(SUBSTITUTE(SUBSTITUTE(SUBSTITUTE(TRIM(N222),".",""),"/",""),"-","")," ",""),"(",""),")",""),"+",""),3,1)="9",LEFT(SUBSTITUTE(SUBSTITUTE(SUBSTITUTE(SUBSTITUTE(SUBSTITUTE(SUBSTITUTE(SUBSTITUTE(TRIM(N222),".",""),"/",""),"-","")," ",""),"(",""),")",""),"+",""),1)&lt;&gt;"0"),"OK",IF(LEN(SUBSTITUTE(SUBSTITUTE(SUBSTITUTE(SUBSTITUTE(SUBSTITUTE(SUBSTITUTE(SUBSTITUTE(TRIM(N222),".",""),"/",""),"-","")," ",""),"(",""),")",""),"+",""))=10,"ERRO: é fixo (ou falta o 9), use a coluna Telefone fixo","ERRO: DDD + 9 + 8 dígitos")))</f>
      </c>
      <c r="Y222" s="6">
        <f>IF(O222="","vazio",IF(AND(ISNUMBER(FIND("@",O222)),ISNUMBER(FIND(".",MID(O222,FIND("@",O222),99))),NOT(ISNUMBER(FIND(" ",TRIM(O222)))),NOT(ISNUMBER(FIND(";",O222))),NOT(ISNUMBER(FIND(",",O222)))),"OK","ERRO: um e-mail válido por linha"))</f>
      </c>
      <c r="Z222" s="6">
        <f>IF(AND(J222="",K222=""),"",IF(AND(J222&lt;&gt;"",K222&lt;&gt;""),"OK","pendente: só um nome (o GR completa ao converter)"))</f>
      </c>
      <c r="AA222" s="6">
        <f>IF(COUNTA(A222:S222)=0,"",IF(AND(A222&lt;&gt;"",B222&lt;&gt;"",C222&lt;&gt;"",D222&lt;&gt;"",E222&lt;&gt;"",F222&lt;&gt;"",G222&lt;&gt;"",H222&lt;&gt;"",OR(J222&lt;&gt;"",K222&lt;&gt;""),OR(M222&lt;&gt;"",N222&lt;&gt;"",O222&lt;&gt;"")),"OK","ERRO: faltam "&amp;IF(A222="","SDR; ","")&amp;IF(B222="","Proprietário; ","")&amp;IF(C222="","Origem; ","")&amp;IF(D222="","Temperatura; ","")&amp;IF(E222="","Segmento; ","")&amp;IF(F222="","Time/Cluster; ","")&amp;IF(G222="","CNPJ; ","")&amp;IF(H222="","Razão Social; ","")&amp;IF(AND(J222="",K222=""),"nome do contato; ","")&amp;IF(AND(M222="",N222="",O222=""),"telefone, celular ou e-mail; ","")))</f>
      </c>
      <c r="AB222" s="6">
        <f>IF(COUNTA(A222:S222)=0,"",IF(AND(U222="OK",V222="OK",LEFT(W222,4)&lt;&gt;"ERRO",LEFT(X222,4)&lt;&gt;"ERRO",LEFT(Y222,4)&lt;&gt;"ERRO",AA222="OK"),"OK","REVISAR"))</f>
      </c>
    </row>
    <row r="223">
      <c r="A223" s="5"/>
      <c r="B223" s="5"/>
      <c r="C223" s="5"/>
      <c r="D223" s="5"/>
      <c r="E223" s="5"/>
      <c r="F223" s="5"/>
      <c r="G223" s="5"/>
      <c r="H223" s="5"/>
      <c r="I223" s="4"/>
      <c r="J223" s="5"/>
      <c r="K223" s="4"/>
      <c r="L223" s="4"/>
      <c r="M223" s="4"/>
      <c r="N223" s="4"/>
      <c r="O223" s="4"/>
      <c r="P223" s="4"/>
      <c r="Q223" s="4"/>
      <c r="R223" s="4"/>
      <c r="S223" s="4"/>
      <c r="T223" s="6">
        <f>IF(G223="","",SUBSTITUTE(SUBSTITUTE(SUBSTITUTE(SUBSTITUTE(SUBSTITUTE(SUBSTITUTE(SUBSTITUTE(TRIM(G223),".",""),"/",""),"-","")," ",""),"(",""),")",""),"+",""))</f>
      </c>
      <c r="U223" s="6">
        <f>IF(T223="","",IF(LEN(T223)&lt;&gt;14,"ERRO: "&amp;LEN(T223)&amp;" dígitos",IF(NOT(ISNUMBER(VALUE(T223))),"ERRO: não numérico",IF(LEN(SUBSTITUTE(T223,LEFT(T223,1),""))=0,"ERRO: dígitos repetidos",IF(AND(VALUE(MID(T223,13,1))=IF(MOD(SUMPRODUCT(--MID(T223,{1,2,3,4,5,6,7,8,9,10,11,12},1),{5,4,3,2,9,8,7,6,5,4,3,2}),11)&lt;2,0,11-MOD(SUMPRODUCT(--MID(T223,{1,2,3,4,5,6,7,8,9,10,11,12},1),{5,4,3,2,9,8,7,6,5,4,3,2}),11)),VALUE(MID(T223,14,1))=IF(MOD(SUMPRODUCT(--MID(T223,{1,2,3,4,5,6,7,8,9,10,11,12,13},1),{6,5,4,3,2,9,8,7,6,5,4,3,2}),11)&lt;2,0,11-MOD(SUMPRODUCT(--MID(T223,{1,2,3,4,5,6,7,8,9,10,11,12,13},1),{6,5,4,3,2,9,8,7,6,5,4,3,2}),11))),"OK","ERRO: dígito verificador")))))</f>
      </c>
      <c r="V223" s="6">
        <f>IF(T223="","",IF(COUNTIF($T$2:$T$1001,T223)&gt;1,"DUPLICADO","OK"))</f>
      </c>
      <c r="W223" s="6">
        <f>IF(M223="","vazio",IF(OR(AND(LEN(SUBSTITUTE(SUBSTITUTE(SUBSTITUTE(SUBSTITUTE(SUBSTITUTE(SUBSTITUTE(SUBSTITUTE(TRIM(M223),".",""),"/",""),"-","")," ",""),"(",""),")",""),"+",""))=10,LEFT(SUBSTITUTE(SUBSTITUTE(SUBSTITUTE(SUBSTITUTE(SUBSTITUTE(SUBSTITUTE(SUBSTITUTE(TRIM(M223),".",""),"/",""),"-","")," ",""),"(",""),")",""),"+",""),1)&lt;&gt;"0"),AND(LEN(SUBSTITUTE(SUBSTITUTE(SUBSTITUTE(SUBSTITUTE(SUBSTITUTE(SUBSTITUTE(SUBSTITUTE(TRIM(M223),".",""),"/",""),"-","")," ",""),"(",""),")",""),"+",""))=11,LEFT(SUBSTITUTE(SUBSTITUTE(SUBSTITUTE(SUBSTITUTE(SUBSTITUTE(SUBSTITUTE(SUBSTITUTE(TRIM(M223),".",""),"/",""),"-","")," ",""),"(",""),")",""),"+",""),4)="0800")),"OK",IF(AND(LEN(SUBSTITUTE(SUBSTITUTE(SUBSTITUTE(SUBSTITUTE(SUBSTITUTE(SUBSTITUTE(SUBSTITUTE(TRIM(M223),".",""),"/",""),"-","")," ",""),"(",""),")",""),"+",""))=11,MID(SUBSTITUTE(SUBSTITUTE(SUBSTITUTE(SUBSTITUTE(SUBSTITUTE(SUBSTITUTE(SUBSTITUTE(TRIM(M223),".",""),"/",""),"-","")," ",""),"(",""),")",""),"+",""),3,1)="9"),"ERRO: é celular, use a coluna Celular","ERRO: DDD + 8 dígitos ou 0800 + 7")))</f>
      </c>
      <c r="X223" s="6">
        <f>IF(N223="","vazio",IF(AND(LEN(SUBSTITUTE(SUBSTITUTE(SUBSTITUTE(SUBSTITUTE(SUBSTITUTE(SUBSTITUTE(SUBSTITUTE(TRIM(N223),".",""),"/",""),"-","")," ",""),"(",""),")",""),"+",""))=11,MID(SUBSTITUTE(SUBSTITUTE(SUBSTITUTE(SUBSTITUTE(SUBSTITUTE(SUBSTITUTE(SUBSTITUTE(TRIM(N223),".",""),"/",""),"-","")," ",""),"(",""),")",""),"+",""),3,1)="9",LEFT(SUBSTITUTE(SUBSTITUTE(SUBSTITUTE(SUBSTITUTE(SUBSTITUTE(SUBSTITUTE(SUBSTITUTE(TRIM(N223),".",""),"/",""),"-","")," ",""),"(",""),")",""),"+",""),1)&lt;&gt;"0"),"OK",IF(LEN(SUBSTITUTE(SUBSTITUTE(SUBSTITUTE(SUBSTITUTE(SUBSTITUTE(SUBSTITUTE(SUBSTITUTE(TRIM(N223),".",""),"/",""),"-","")," ",""),"(",""),")",""),"+",""))=10,"ERRO: é fixo (ou falta o 9), use a coluna Telefone fixo","ERRO: DDD + 9 + 8 dígitos")))</f>
      </c>
      <c r="Y223" s="6">
        <f>IF(O223="","vazio",IF(AND(ISNUMBER(FIND("@",O223)),ISNUMBER(FIND(".",MID(O223,FIND("@",O223),99))),NOT(ISNUMBER(FIND(" ",TRIM(O223)))),NOT(ISNUMBER(FIND(";",O223))),NOT(ISNUMBER(FIND(",",O223)))),"OK","ERRO: um e-mail válido por linha"))</f>
      </c>
      <c r="Z223" s="6">
        <f>IF(AND(J223="",K223=""),"",IF(AND(J223&lt;&gt;"",K223&lt;&gt;""),"OK","pendente: só um nome (o GR completa ao converter)"))</f>
      </c>
      <c r="AA223" s="6">
        <f>IF(COUNTA(A223:S223)=0,"",IF(AND(A223&lt;&gt;"",B223&lt;&gt;"",C223&lt;&gt;"",D223&lt;&gt;"",E223&lt;&gt;"",F223&lt;&gt;"",G223&lt;&gt;"",H223&lt;&gt;"",OR(J223&lt;&gt;"",K223&lt;&gt;""),OR(M223&lt;&gt;"",N223&lt;&gt;"",O223&lt;&gt;"")),"OK","ERRO: faltam "&amp;IF(A223="","SDR; ","")&amp;IF(B223="","Proprietário; ","")&amp;IF(C223="","Origem; ","")&amp;IF(D223="","Temperatura; ","")&amp;IF(E223="","Segmento; ","")&amp;IF(F223="","Time/Cluster; ","")&amp;IF(G223="","CNPJ; ","")&amp;IF(H223="","Razão Social; ","")&amp;IF(AND(J223="",K223=""),"nome do contato; ","")&amp;IF(AND(M223="",N223="",O223=""),"telefone, celular ou e-mail; ","")))</f>
      </c>
      <c r="AB223" s="6">
        <f>IF(COUNTA(A223:S223)=0,"",IF(AND(U223="OK",V223="OK",LEFT(W223,4)&lt;&gt;"ERRO",LEFT(X223,4)&lt;&gt;"ERRO",LEFT(Y223,4)&lt;&gt;"ERRO",AA223="OK"),"OK","REVISAR"))</f>
      </c>
    </row>
    <row r="224">
      <c r="A224" s="5"/>
      <c r="B224" s="5"/>
      <c r="C224" s="5"/>
      <c r="D224" s="5"/>
      <c r="E224" s="5"/>
      <c r="F224" s="5"/>
      <c r="G224" s="5"/>
      <c r="H224" s="5"/>
      <c r="I224" s="4"/>
      <c r="J224" s="5"/>
      <c r="K224" s="4"/>
      <c r="L224" s="4"/>
      <c r="M224" s="4"/>
      <c r="N224" s="4"/>
      <c r="O224" s="4"/>
      <c r="P224" s="4"/>
      <c r="Q224" s="4"/>
      <c r="R224" s="4"/>
      <c r="S224" s="4"/>
      <c r="T224" s="6">
        <f>IF(G224="","",SUBSTITUTE(SUBSTITUTE(SUBSTITUTE(SUBSTITUTE(SUBSTITUTE(SUBSTITUTE(SUBSTITUTE(TRIM(G224),".",""),"/",""),"-","")," ",""),"(",""),")",""),"+",""))</f>
      </c>
      <c r="U224" s="6">
        <f>IF(T224="","",IF(LEN(T224)&lt;&gt;14,"ERRO: "&amp;LEN(T224)&amp;" dígitos",IF(NOT(ISNUMBER(VALUE(T224))),"ERRO: não numérico",IF(LEN(SUBSTITUTE(T224,LEFT(T224,1),""))=0,"ERRO: dígitos repetidos",IF(AND(VALUE(MID(T224,13,1))=IF(MOD(SUMPRODUCT(--MID(T224,{1,2,3,4,5,6,7,8,9,10,11,12},1),{5,4,3,2,9,8,7,6,5,4,3,2}),11)&lt;2,0,11-MOD(SUMPRODUCT(--MID(T224,{1,2,3,4,5,6,7,8,9,10,11,12},1),{5,4,3,2,9,8,7,6,5,4,3,2}),11)),VALUE(MID(T224,14,1))=IF(MOD(SUMPRODUCT(--MID(T224,{1,2,3,4,5,6,7,8,9,10,11,12,13},1),{6,5,4,3,2,9,8,7,6,5,4,3,2}),11)&lt;2,0,11-MOD(SUMPRODUCT(--MID(T224,{1,2,3,4,5,6,7,8,9,10,11,12,13},1),{6,5,4,3,2,9,8,7,6,5,4,3,2}),11))),"OK","ERRO: dígito verificador")))))</f>
      </c>
      <c r="V224" s="6">
        <f>IF(T224="","",IF(COUNTIF($T$2:$T$1001,T224)&gt;1,"DUPLICADO","OK"))</f>
      </c>
      <c r="W224" s="6">
        <f>IF(M224="","vazio",IF(OR(AND(LEN(SUBSTITUTE(SUBSTITUTE(SUBSTITUTE(SUBSTITUTE(SUBSTITUTE(SUBSTITUTE(SUBSTITUTE(TRIM(M224),".",""),"/",""),"-","")," ",""),"(",""),")",""),"+",""))=10,LEFT(SUBSTITUTE(SUBSTITUTE(SUBSTITUTE(SUBSTITUTE(SUBSTITUTE(SUBSTITUTE(SUBSTITUTE(TRIM(M224),".",""),"/",""),"-","")," ",""),"(",""),")",""),"+",""),1)&lt;&gt;"0"),AND(LEN(SUBSTITUTE(SUBSTITUTE(SUBSTITUTE(SUBSTITUTE(SUBSTITUTE(SUBSTITUTE(SUBSTITUTE(TRIM(M224),".",""),"/",""),"-","")," ",""),"(",""),")",""),"+",""))=11,LEFT(SUBSTITUTE(SUBSTITUTE(SUBSTITUTE(SUBSTITUTE(SUBSTITUTE(SUBSTITUTE(SUBSTITUTE(TRIM(M224),".",""),"/",""),"-","")," ",""),"(",""),")",""),"+",""),4)="0800")),"OK",IF(AND(LEN(SUBSTITUTE(SUBSTITUTE(SUBSTITUTE(SUBSTITUTE(SUBSTITUTE(SUBSTITUTE(SUBSTITUTE(TRIM(M224),".",""),"/",""),"-","")," ",""),"(",""),")",""),"+",""))=11,MID(SUBSTITUTE(SUBSTITUTE(SUBSTITUTE(SUBSTITUTE(SUBSTITUTE(SUBSTITUTE(SUBSTITUTE(TRIM(M224),".",""),"/",""),"-","")," ",""),"(",""),")",""),"+",""),3,1)="9"),"ERRO: é celular, use a coluna Celular","ERRO: DDD + 8 dígitos ou 0800 + 7")))</f>
      </c>
      <c r="X224" s="6">
        <f>IF(N224="","vazio",IF(AND(LEN(SUBSTITUTE(SUBSTITUTE(SUBSTITUTE(SUBSTITUTE(SUBSTITUTE(SUBSTITUTE(SUBSTITUTE(TRIM(N224),".",""),"/",""),"-","")," ",""),"(",""),")",""),"+",""))=11,MID(SUBSTITUTE(SUBSTITUTE(SUBSTITUTE(SUBSTITUTE(SUBSTITUTE(SUBSTITUTE(SUBSTITUTE(TRIM(N224),".",""),"/",""),"-","")," ",""),"(",""),")",""),"+",""),3,1)="9",LEFT(SUBSTITUTE(SUBSTITUTE(SUBSTITUTE(SUBSTITUTE(SUBSTITUTE(SUBSTITUTE(SUBSTITUTE(TRIM(N224),".",""),"/",""),"-","")," ",""),"(",""),")",""),"+",""),1)&lt;&gt;"0"),"OK",IF(LEN(SUBSTITUTE(SUBSTITUTE(SUBSTITUTE(SUBSTITUTE(SUBSTITUTE(SUBSTITUTE(SUBSTITUTE(TRIM(N224),".",""),"/",""),"-","")," ",""),"(",""),")",""),"+",""))=10,"ERRO: é fixo (ou falta o 9), use a coluna Telefone fixo","ERRO: DDD + 9 + 8 dígitos")))</f>
      </c>
      <c r="Y224" s="6">
        <f>IF(O224="","vazio",IF(AND(ISNUMBER(FIND("@",O224)),ISNUMBER(FIND(".",MID(O224,FIND("@",O224),99))),NOT(ISNUMBER(FIND(" ",TRIM(O224)))),NOT(ISNUMBER(FIND(";",O224))),NOT(ISNUMBER(FIND(",",O224)))),"OK","ERRO: um e-mail válido por linha"))</f>
      </c>
      <c r="Z224" s="6">
        <f>IF(AND(J224="",K224=""),"",IF(AND(J224&lt;&gt;"",K224&lt;&gt;""),"OK","pendente: só um nome (o GR completa ao converter)"))</f>
      </c>
      <c r="AA224" s="6">
        <f>IF(COUNTA(A224:S224)=0,"",IF(AND(A224&lt;&gt;"",B224&lt;&gt;"",C224&lt;&gt;"",D224&lt;&gt;"",E224&lt;&gt;"",F224&lt;&gt;"",G224&lt;&gt;"",H224&lt;&gt;"",OR(J224&lt;&gt;"",K224&lt;&gt;""),OR(M224&lt;&gt;"",N224&lt;&gt;"",O224&lt;&gt;"")),"OK","ERRO: faltam "&amp;IF(A224="","SDR; ","")&amp;IF(B224="","Proprietário; ","")&amp;IF(C224="","Origem; ","")&amp;IF(D224="","Temperatura; ","")&amp;IF(E224="","Segmento; ","")&amp;IF(F224="","Time/Cluster; ","")&amp;IF(G224="","CNPJ; ","")&amp;IF(H224="","Razão Social; ","")&amp;IF(AND(J224="",K224=""),"nome do contato; ","")&amp;IF(AND(M224="",N224="",O224=""),"telefone, celular ou e-mail; ","")))</f>
      </c>
      <c r="AB224" s="6">
        <f>IF(COUNTA(A224:S224)=0,"",IF(AND(U224="OK",V224="OK",LEFT(W224,4)&lt;&gt;"ERRO",LEFT(X224,4)&lt;&gt;"ERRO",LEFT(Y224,4)&lt;&gt;"ERRO",AA224="OK"),"OK","REVISAR"))</f>
      </c>
    </row>
    <row r="225">
      <c r="A225" s="5"/>
      <c r="B225" s="5"/>
      <c r="C225" s="5"/>
      <c r="D225" s="5"/>
      <c r="E225" s="5"/>
      <c r="F225" s="5"/>
      <c r="G225" s="5"/>
      <c r="H225" s="5"/>
      <c r="I225" s="4"/>
      <c r="J225" s="5"/>
      <c r="K225" s="4"/>
      <c r="L225" s="4"/>
      <c r="M225" s="4"/>
      <c r="N225" s="4"/>
      <c r="O225" s="4"/>
      <c r="P225" s="4"/>
      <c r="Q225" s="4"/>
      <c r="R225" s="4"/>
      <c r="S225" s="4"/>
      <c r="T225" s="6">
        <f>IF(G225="","",SUBSTITUTE(SUBSTITUTE(SUBSTITUTE(SUBSTITUTE(SUBSTITUTE(SUBSTITUTE(SUBSTITUTE(TRIM(G225),".",""),"/",""),"-","")," ",""),"(",""),")",""),"+",""))</f>
      </c>
      <c r="U225" s="6">
        <f>IF(T225="","",IF(LEN(T225)&lt;&gt;14,"ERRO: "&amp;LEN(T225)&amp;" dígitos",IF(NOT(ISNUMBER(VALUE(T225))),"ERRO: não numérico",IF(LEN(SUBSTITUTE(T225,LEFT(T225,1),""))=0,"ERRO: dígitos repetidos",IF(AND(VALUE(MID(T225,13,1))=IF(MOD(SUMPRODUCT(--MID(T225,{1,2,3,4,5,6,7,8,9,10,11,12},1),{5,4,3,2,9,8,7,6,5,4,3,2}),11)&lt;2,0,11-MOD(SUMPRODUCT(--MID(T225,{1,2,3,4,5,6,7,8,9,10,11,12},1),{5,4,3,2,9,8,7,6,5,4,3,2}),11)),VALUE(MID(T225,14,1))=IF(MOD(SUMPRODUCT(--MID(T225,{1,2,3,4,5,6,7,8,9,10,11,12,13},1),{6,5,4,3,2,9,8,7,6,5,4,3,2}),11)&lt;2,0,11-MOD(SUMPRODUCT(--MID(T225,{1,2,3,4,5,6,7,8,9,10,11,12,13},1),{6,5,4,3,2,9,8,7,6,5,4,3,2}),11))),"OK","ERRO: dígito verificador")))))</f>
      </c>
      <c r="V225" s="6">
        <f>IF(T225="","",IF(COUNTIF($T$2:$T$1001,T225)&gt;1,"DUPLICADO","OK"))</f>
      </c>
      <c r="W225" s="6">
        <f>IF(M225="","vazio",IF(OR(AND(LEN(SUBSTITUTE(SUBSTITUTE(SUBSTITUTE(SUBSTITUTE(SUBSTITUTE(SUBSTITUTE(SUBSTITUTE(TRIM(M225),".",""),"/",""),"-","")," ",""),"(",""),")",""),"+",""))=10,LEFT(SUBSTITUTE(SUBSTITUTE(SUBSTITUTE(SUBSTITUTE(SUBSTITUTE(SUBSTITUTE(SUBSTITUTE(TRIM(M225),".",""),"/",""),"-","")," ",""),"(",""),")",""),"+",""),1)&lt;&gt;"0"),AND(LEN(SUBSTITUTE(SUBSTITUTE(SUBSTITUTE(SUBSTITUTE(SUBSTITUTE(SUBSTITUTE(SUBSTITUTE(TRIM(M225),".",""),"/",""),"-","")," ",""),"(",""),")",""),"+",""))=11,LEFT(SUBSTITUTE(SUBSTITUTE(SUBSTITUTE(SUBSTITUTE(SUBSTITUTE(SUBSTITUTE(SUBSTITUTE(TRIM(M225),".",""),"/",""),"-","")," ",""),"(",""),")",""),"+",""),4)="0800")),"OK",IF(AND(LEN(SUBSTITUTE(SUBSTITUTE(SUBSTITUTE(SUBSTITUTE(SUBSTITUTE(SUBSTITUTE(SUBSTITUTE(TRIM(M225),".",""),"/",""),"-","")," ",""),"(",""),")",""),"+",""))=11,MID(SUBSTITUTE(SUBSTITUTE(SUBSTITUTE(SUBSTITUTE(SUBSTITUTE(SUBSTITUTE(SUBSTITUTE(TRIM(M225),".",""),"/",""),"-","")," ",""),"(",""),")",""),"+",""),3,1)="9"),"ERRO: é celular, use a coluna Celular","ERRO: DDD + 8 dígitos ou 0800 + 7")))</f>
      </c>
      <c r="X225" s="6">
        <f>IF(N225="","vazio",IF(AND(LEN(SUBSTITUTE(SUBSTITUTE(SUBSTITUTE(SUBSTITUTE(SUBSTITUTE(SUBSTITUTE(SUBSTITUTE(TRIM(N225),".",""),"/",""),"-","")," ",""),"(",""),")",""),"+",""))=11,MID(SUBSTITUTE(SUBSTITUTE(SUBSTITUTE(SUBSTITUTE(SUBSTITUTE(SUBSTITUTE(SUBSTITUTE(TRIM(N225),".",""),"/",""),"-","")," ",""),"(",""),")",""),"+",""),3,1)="9",LEFT(SUBSTITUTE(SUBSTITUTE(SUBSTITUTE(SUBSTITUTE(SUBSTITUTE(SUBSTITUTE(SUBSTITUTE(TRIM(N225),".",""),"/",""),"-","")," ",""),"(",""),")",""),"+",""),1)&lt;&gt;"0"),"OK",IF(LEN(SUBSTITUTE(SUBSTITUTE(SUBSTITUTE(SUBSTITUTE(SUBSTITUTE(SUBSTITUTE(SUBSTITUTE(TRIM(N225),".",""),"/",""),"-","")," ",""),"(",""),")",""),"+",""))=10,"ERRO: é fixo (ou falta o 9), use a coluna Telefone fixo","ERRO: DDD + 9 + 8 dígitos")))</f>
      </c>
      <c r="Y225" s="6">
        <f>IF(O225="","vazio",IF(AND(ISNUMBER(FIND("@",O225)),ISNUMBER(FIND(".",MID(O225,FIND("@",O225),99))),NOT(ISNUMBER(FIND(" ",TRIM(O225)))),NOT(ISNUMBER(FIND(";",O225))),NOT(ISNUMBER(FIND(",",O225)))),"OK","ERRO: um e-mail válido por linha"))</f>
      </c>
      <c r="Z225" s="6">
        <f>IF(AND(J225="",K225=""),"",IF(AND(J225&lt;&gt;"",K225&lt;&gt;""),"OK","pendente: só um nome (o GR completa ao converter)"))</f>
      </c>
      <c r="AA225" s="6">
        <f>IF(COUNTA(A225:S225)=0,"",IF(AND(A225&lt;&gt;"",B225&lt;&gt;"",C225&lt;&gt;"",D225&lt;&gt;"",E225&lt;&gt;"",F225&lt;&gt;"",G225&lt;&gt;"",H225&lt;&gt;"",OR(J225&lt;&gt;"",K225&lt;&gt;""),OR(M225&lt;&gt;"",N225&lt;&gt;"",O225&lt;&gt;"")),"OK","ERRO: faltam "&amp;IF(A225="","SDR; ","")&amp;IF(B225="","Proprietário; ","")&amp;IF(C225="","Origem; ","")&amp;IF(D225="","Temperatura; ","")&amp;IF(E225="","Segmento; ","")&amp;IF(F225="","Time/Cluster; ","")&amp;IF(G225="","CNPJ; ","")&amp;IF(H225="","Razão Social; ","")&amp;IF(AND(J225="",K225=""),"nome do contato; ","")&amp;IF(AND(M225="",N225="",O225=""),"telefone, celular ou e-mail; ","")))</f>
      </c>
      <c r="AB225" s="6">
        <f>IF(COUNTA(A225:S225)=0,"",IF(AND(U225="OK",V225="OK",LEFT(W225,4)&lt;&gt;"ERRO",LEFT(X225,4)&lt;&gt;"ERRO",LEFT(Y225,4)&lt;&gt;"ERRO",AA225="OK"),"OK","REVISAR"))</f>
      </c>
    </row>
    <row r="226">
      <c r="A226" s="5"/>
      <c r="B226" s="5"/>
      <c r="C226" s="5"/>
      <c r="D226" s="5"/>
      <c r="E226" s="5"/>
      <c r="F226" s="5"/>
      <c r="G226" s="5"/>
      <c r="H226" s="5"/>
      <c r="I226" s="4"/>
      <c r="J226" s="5"/>
      <c r="K226" s="4"/>
      <c r="L226" s="4"/>
      <c r="M226" s="4"/>
      <c r="N226" s="4"/>
      <c r="O226" s="4"/>
      <c r="P226" s="4"/>
      <c r="Q226" s="4"/>
      <c r="R226" s="4"/>
      <c r="S226" s="4"/>
      <c r="T226" s="6">
        <f>IF(G226="","",SUBSTITUTE(SUBSTITUTE(SUBSTITUTE(SUBSTITUTE(SUBSTITUTE(SUBSTITUTE(SUBSTITUTE(TRIM(G226),".",""),"/",""),"-","")," ",""),"(",""),")",""),"+",""))</f>
      </c>
      <c r="U226" s="6">
        <f>IF(T226="","",IF(LEN(T226)&lt;&gt;14,"ERRO: "&amp;LEN(T226)&amp;" dígitos",IF(NOT(ISNUMBER(VALUE(T226))),"ERRO: não numérico",IF(LEN(SUBSTITUTE(T226,LEFT(T226,1),""))=0,"ERRO: dígitos repetidos",IF(AND(VALUE(MID(T226,13,1))=IF(MOD(SUMPRODUCT(--MID(T226,{1,2,3,4,5,6,7,8,9,10,11,12},1),{5,4,3,2,9,8,7,6,5,4,3,2}),11)&lt;2,0,11-MOD(SUMPRODUCT(--MID(T226,{1,2,3,4,5,6,7,8,9,10,11,12},1),{5,4,3,2,9,8,7,6,5,4,3,2}),11)),VALUE(MID(T226,14,1))=IF(MOD(SUMPRODUCT(--MID(T226,{1,2,3,4,5,6,7,8,9,10,11,12,13},1),{6,5,4,3,2,9,8,7,6,5,4,3,2}),11)&lt;2,0,11-MOD(SUMPRODUCT(--MID(T226,{1,2,3,4,5,6,7,8,9,10,11,12,13},1),{6,5,4,3,2,9,8,7,6,5,4,3,2}),11))),"OK","ERRO: dígito verificador")))))</f>
      </c>
      <c r="V226" s="6">
        <f>IF(T226="","",IF(COUNTIF($T$2:$T$1001,T226)&gt;1,"DUPLICADO","OK"))</f>
      </c>
      <c r="W226" s="6">
        <f>IF(M226="","vazio",IF(OR(AND(LEN(SUBSTITUTE(SUBSTITUTE(SUBSTITUTE(SUBSTITUTE(SUBSTITUTE(SUBSTITUTE(SUBSTITUTE(TRIM(M226),".",""),"/",""),"-","")," ",""),"(",""),")",""),"+",""))=10,LEFT(SUBSTITUTE(SUBSTITUTE(SUBSTITUTE(SUBSTITUTE(SUBSTITUTE(SUBSTITUTE(SUBSTITUTE(TRIM(M226),".",""),"/",""),"-","")," ",""),"(",""),")",""),"+",""),1)&lt;&gt;"0"),AND(LEN(SUBSTITUTE(SUBSTITUTE(SUBSTITUTE(SUBSTITUTE(SUBSTITUTE(SUBSTITUTE(SUBSTITUTE(TRIM(M226),".",""),"/",""),"-","")," ",""),"(",""),")",""),"+",""))=11,LEFT(SUBSTITUTE(SUBSTITUTE(SUBSTITUTE(SUBSTITUTE(SUBSTITUTE(SUBSTITUTE(SUBSTITUTE(TRIM(M226),".",""),"/",""),"-","")," ",""),"(",""),")",""),"+",""),4)="0800")),"OK",IF(AND(LEN(SUBSTITUTE(SUBSTITUTE(SUBSTITUTE(SUBSTITUTE(SUBSTITUTE(SUBSTITUTE(SUBSTITUTE(TRIM(M226),".",""),"/",""),"-","")," ",""),"(",""),")",""),"+",""))=11,MID(SUBSTITUTE(SUBSTITUTE(SUBSTITUTE(SUBSTITUTE(SUBSTITUTE(SUBSTITUTE(SUBSTITUTE(TRIM(M226),".",""),"/",""),"-","")," ",""),"(",""),")",""),"+",""),3,1)="9"),"ERRO: é celular, use a coluna Celular","ERRO: DDD + 8 dígitos ou 0800 + 7")))</f>
      </c>
      <c r="X226" s="6">
        <f>IF(N226="","vazio",IF(AND(LEN(SUBSTITUTE(SUBSTITUTE(SUBSTITUTE(SUBSTITUTE(SUBSTITUTE(SUBSTITUTE(SUBSTITUTE(TRIM(N226),".",""),"/",""),"-","")," ",""),"(",""),")",""),"+",""))=11,MID(SUBSTITUTE(SUBSTITUTE(SUBSTITUTE(SUBSTITUTE(SUBSTITUTE(SUBSTITUTE(SUBSTITUTE(TRIM(N226),".",""),"/",""),"-","")," ",""),"(",""),")",""),"+",""),3,1)="9",LEFT(SUBSTITUTE(SUBSTITUTE(SUBSTITUTE(SUBSTITUTE(SUBSTITUTE(SUBSTITUTE(SUBSTITUTE(TRIM(N226),".",""),"/",""),"-","")," ",""),"(",""),")",""),"+",""),1)&lt;&gt;"0"),"OK",IF(LEN(SUBSTITUTE(SUBSTITUTE(SUBSTITUTE(SUBSTITUTE(SUBSTITUTE(SUBSTITUTE(SUBSTITUTE(TRIM(N226),".",""),"/",""),"-","")," ",""),"(",""),")",""),"+",""))=10,"ERRO: é fixo (ou falta o 9), use a coluna Telefone fixo","ERRO: DDD + 9 + 8 dígitos")))</f>
      </c>
      <c r="Y226" s="6">
        <f>IF(O226="","vazio",IF(AND(ISNUMBER(FIND("@",O226)),ISNUMBER(FIND(".",MID(O226,FIND("@",O226),99))),NOT(ISNUMBER(FIND(" ",TRIM(O226)))),NOT(ISNUMBER(FIND(";",O226))),NOT(ISNUMBER(FIND(",",O226)))),"OK","ERRO: um e-mail válido por linha"))</f>
      </c>
      <c r="Z226" s="6">
        <f>IF(AND(J226="",K226=""),"",IF(AND(J226&lt;&gt;"",K226&lt;&gt;""),"OK","pendente: só um nome (o GR completa ao converter)"))</f>
      </c>
      <c r="AA226" s="6">
        <f>IF(COUNTA(A226:S226)=0,"",IF(AND(A226&lt;&gt;"",B226&lt;&gt;"",C226&lt;&gt;"",D226&lt;&gt;"",E226&lt;&gt;"",F226&lt;&gt;"",G226&lt;&gt;"",H226&lt;&gt;"",OR(J226&lt;&gt;"",K226&lt;&gt;""),OR(M226&lt;&gt;"",N226&lt;&gt;"",O226&lt;&gt;"")),"OK","ERRO: faltam "&amp;IF(A226="","SDR; ","")&amp;IF(B226="","Proprietário; ","")&amp;IF(C226="","Origem; ","")&amp;IF(D226="","Temperatura; ","")&amp;IF(E226="","Segmento; ","")&amp;IF(F226="","Time/Cluster; ","")&amp;IF(G226="","CNPJ; ","")&amp;IF(H226="","Razão Social; ","")&amp;IF(AND(J226="",K226=""),"nome do contato; ","")&amp;IF(AND(M226="",N226="",O226=""),"telefone, celular ou e-mail; ","")))</f>
      </c>
      <c r="AB226" s="6">
        <f>IF(COUNTA(A226:S226)=0,"",IF(AND(U226="OK",V226="OK",LEFT(W226,4)&lt;&gt;"ERRO",LEFT(X226,4)&lt;&gt;"ERRO",LEFT(Y226,4)&lt;&gt;"ERRO",AA226="OK"),"OK","REVISAR"))</f>
      </c>
    </row>
    <row r="227">
      <c r="A227" s="5"/>
      <c r="B227" s="5"/>
      <c r="C227" s="5"/>
      <c r="D227" s="5"/>
      <c r="E227" s="5"/>
      <c r="F227" s="5"/>
      <c r="G227" s="5"/>
      <c r="H227" s="5"/>
      <c r="I227" s="4"/>
      <c r="J227" s="5"/>
      <c r="K227" s="4"/>
      <c r="L227" s="4"/>
      <c r="M227" s="4"/>
      <c r="N227" s="4"/>
      <c r="O227" s="4"/>
      <c r="P227" s="4"/>
      <c r="Q227" s="4"/>
      <c r="R227" s="4"/>
      <c r="S227" s="4"/>
      <c r="T227" s="6">
        <f>IF(G227="","",SUBSTITUTE(SUBSTITUTE(SUBSTITUTE(SUBSTITUTE(SUBSTITUTE(SUBSTITUTE(SUBSTITUTE(TRIM(G227),".",""),"/",""),"-","")," ",""),"(",""),")",""),"+",""))</f>
      </c>
      <c r="U227" s="6">
        <f>IF(T227="","",IF(LEN(T227)&lt;&gt;14,"ERRO: "&amp;LEN(T227)&amp;" dígitos",IF(NOT(ISNUMBER(VALUE(T227))),"ERRO: não numérico",IF(LEN(SUBSTITUTE(T227,LEFT(T227,1),""))=0,"ERRO: dígitos repetidos",IF(AND(VALUE(MID(T227,13,1))=IF(MOD(SUMPRODUCT(--MID(T227,{1,2,3,4,5,6,7,8,9,10,11,12},1),{5,4,3,2,9,8,7,6,5,4,3,2}),11)&lt;2,0,11-MOD(SUMPRODUCT(--MID(T227,{1,2,3,4,5,6,7,8,9,10,11,12},1),{5,4,3,2,9,8,7,6,5,4,3,2}),11)),VALUE(MID(T227,14,1))=IF(MOD(SUMPRODUCT(--MID(T227,{1,2,3,4,5,6,7,8,9,10,11,12,13},1),{6,5,4,3,2,9,8,7,6,5,4,3,2}),11)&lt;2,0,11-MOD(SUMPRODUCT(--MID(T227,{1,2,3,4,5,6,7,8,9,10,11,12,13},1),{6,5,4,3,2,9,8,7,6,5,4,3,2}),11))),"OK","ERRO: dígito verificador")))))</f>
      </c>
      <c r="V227" s="6">
        <f>IF(T227="","",IF(COUNTIF($T$2:$T$1001,T227)&gt;1,"DUPLICADO","OK"))</f>
      </c>
      <c r="W227" s="6">
        <f>IF(M227="","vazio",IF(OR(AND(LEN(SUBSTITUTE(SUBSTITUTE(SUBSTITUTE(SUBSTITUTE(SUBSTITUTE(SUBSTITUTE(SUBSTITUTE(TRIM(M227),".",""),"/",""),"-","")," ",""),"(",""),")",""),"+",""))=10,LEFT(SUBSTITUTE(SUBSTITUTE(SUBSTITUTE(SUBSTITUTE(SUBSTITUTE(SUBSTITUTE(SUBSTITUTE(TRIM(M227),".",""),"/",""),"-","")," ",""),"(",""),")",""),"+",""),1)&lt;&gt;"0"),AND(LEN(SUBSTITUTE(SUBSTITUTE(SUBSTITUTE(SUBSTITUTE(SUBSTITUTE(SUBSTITUTE(SUBSTITUTE(TRIM(M227),".",""),"/",""),"-","")," ",""),"(",""),")",""),"+",""))=11,LEFT(SUBSTITUTE(SUBSTITUTE(SUBSTITUTE(SUBSTITUTE(SUBSTITUTE(SUBSTITUTE(SUBSTITUTE(TRIM(M227),".",""),"/",""),"-","")," ",""),"(",""),")",""),"+",""),4)="0800")),"OK",IF(AND(LEN(SUBSTITUTE(SUBSTITUTE(SUBSTITUTE(SUBSTITUTE(SUBSTITUTE(SUBSTITUTE(SUBSTITUTE(TRIM(M227),".",""),"/",""),"-","")," ",""),"(",""),")",""),"+",""))=11,MID(SUBSTITUTE(SUBSTITUTE(SUBSTITUTE(SUBSTITUTE(SUBSTITUTE(SUBSTITUTE(SUBSTITUTE(TRIM(M227),".",""),"/",""),"-","")," ",""),"(",""),")",""),"+",""),3,1)="9"),"ERRO: é celular, use a coluna Celular","ERRO: DDD + 8 dígitos ou 0800 + 7")))</f>
      </c>
      <c r="X227" s="6">
        <f>IF(N227="","vazio",IF(AND(LEN(SUBSTITUTE(SUBSTITUTE(SUBSTITUTE(SUBSTITUTE(SUBSTITUTE(SUBSTITUTE(SUBSTITUTE(TRIM(N227),".",""),"/",""),"-","")," ",""),"(",""),")",""),"+",""))=11,MID(SUBSTITUTE(SUBSTITUTE(SUBSTITUTE(SUBSTITUTE(SUBSTITUTE(SUBSTITUTE(SUBSTITUTE(TRIM(N227),".",""),"/",""),"-","")," ",""),"(",""),")",""),"+",""),3,1)="9",LEFT(SUBSTITUTE(SUBSTITUTE(SUBSTITUTE(SUBSTITUTE(SUBSTITUTE(SUBSTITUTE(SUBSTITUTE(TRIM(N227),".",""),"/",""),"-","")," ",""),"(",""),")",""),"+",""),1)&lt;&gt;"0"),"OK",IF(LEN(SUBSTITUTE(SUBSTITUTE(SUBSTITUTE(SUBSTITUTE(SUBSTITUTE(SUBSTITUTE(SUBSTITUTE(TRIM(N227),".",""),"/",""),"-","")," ",""),"(",""),")",""),"+",""))=10,"ERRO: é fixo (ou falta o 9), use a coluna Telefone fixo","ERRO: DDD + 9 + 8 dígitos")))</f>
      </c>
      <c r="Y227" s="6">
        <f>IF(O227="","vazio",IF(AND(ISNUMBER(FIND("@",O227)),ISNUMBER(FIND(".",MID(O227,FIND("@",O227),99))),NOT(ISNUMBER(FIND(" ",TRIM(O227)))),NOT(ISNUMBER(FIND(";",O227))),NOT(ISNUMBER(FIND(",",O227)))),"OK","ERRO: um e-mail válido por linha"))</f>
      </c>
      <c r="Z227" s="6">
        <f>IF(AND(J227="",K227=""),"",IF(AND(J227&lt;&gt;"",K227&lt;&gt;""),"OK","pendente: só um nome (o GR completa ao converter)"))</f>
      </c>
      <c r="AA227" s="6">
        <f>IF(COUNTA(A227:S227)=0,"",IF(AND(A227&lt;&gt;"",B227&lt;&gt;"",C227&lt;&gt;"",D227&lt;&gt;"",E227&lt;&gt;"",F227&lt;&gt;"",G227&lt;&gt;"",H227&lt;&gt;"",OR(J227&lt;&gt;"",K227&lt;&gt;""),OR(M227&lt;&gt;"",N227&lt;&gt;"",O227&lt;&gt;"")),"OK","ERRO: faltam "&amp;IF(A227="","SDR; ","")&amp;IF(B227="","Proprietário; ","")&amp;IF(C227="","Origem; ","")&amp;IF(D227="","Temperatura; ","")&amp;IF(E227="","Segmento; ","")&amp;IF(F227="","Time/Cluster; ","")&amp;IF(G227="","CNPJ; ","")&amp;IF(H227="","Razão Social; ","")&amp;IF(AND(J227="",K227=""),"nome do contato; ","")&amp;IF(AND(M227="",N227="",O227=""),"telefone, celular ou e-mail; ","")))</f>
      </c>
      <c r="AB227" s="6">
        <f>IF(COUNTA(A227:S227)=0,"",IF(AND(U227="OK",V227="OK",LEFT(W227,4)&lt;&gt;"ERRO",LEFT(X227,4)&lt;&gt;"ERRO",LEFT(Y227,4)&lt;&gt;"ERRO",AA227="OK"),"OK","REVISAR"))</f>
      </c>
    </row>
    <row r="228">
      <c r="A228" s="5"/>
      <c r="B228" s="5"/>
      <c r="C228" s="5"/>
      <c r="D228" s="5"/>
      <c r="E228" s="5"/>
      <c r="F228" s="5"/>
      <c r="G228" s="5"/>
      <c r="H228" s="5"/>
      <c r="I228" s="4"/>
      <c r="J228" s="5"/>
      <c r="K228" s="4"/>
      <c r="L228" s="4"/>
      <c r="M228" s="4"/>
      <c r="N228" s="4"/>
      <c r="O228" s="4"/>
      <c r="P228" s="4"/>
      <c r="Q228" s="4"/>
      <c r="R228" s="4"/>
      <c r="S228" s="4"/>
      <c r="T228" s="6">
        <f>IF(G228="","",SUBSTITUTE(SUBSTITUTE(SUBSTITUTE(SUBSTITUTE(SUBSTITUTE(SUBSTITUTE(SUBSTITUTE(TRIM(G228),".",""),"/",""),"-","")," ",""),"(",""),")",""),"+",""))</f>
      </c>
      <c r="U228" s="6">
        <f>IF(T228="","",IF(LEN(T228)&lt;&gt;14,"ERRO: "&amp;LEN(T228)&amp;" dígitos",IF(NOT(ISNUMBER(VALUE(T228))),"ERRO: não numérico",IF(LEN(SUBSTITUTE(T228,LEFT(T228,1),""))=0,"ERRO: dígitos repetidos",IF(AND(VALUE(MID(T228,13,1))=IF(MOD(SUMPRODUCT(--MID(T228,{1,2,3,4,5,6,7,8,9,10,11,12},1),{5,4,3,2,9,8,7,6,5,4,3,2}),11)&lt;2,0,11-MOD(SUMPRODUCT(--MID(T228,{1,2,3,4,5,6,7,8,9,10,11,12},1),{5,4,3,2,9,8,7,6,5,4,3,2}),11)),VALUE(MID(T228,14,1))=IF(MOD(SUMPRODUCT(--MID(T228,{1,2,3,4,5,6,7,8,9,10,11,12,13},1),{6,5,4,3,2,9,8,7,6,5,4,3,2}),11)&lt;2,0,11-MOD(SUMPRODUCT(--MID(T228,{1,2,3,4,5,6,7,8,9,10,11,12,13},1),{6,5,4,3,2,9,8,7,6,5,4,3,2}),11))),"OK","ERRO: dígito verificador")))))</f>
      </c>
      <c r="V228" s="6">
        <f>IF(T228="","",IF(COUNTIF($T$2:$T$1001,T228)&gt;1,"DUPLICADO","OK"))</f>
      </c>
      <c r="W228" s="6">
        <f>IF(M228="","vazio",IF(OR(AND(LEN(SUBSTITUTE(SUBSTITUTE(SUBSTITUTE(SUBSTITUTE(SUBSTITUTE(SUBSTITUTE(SUBSTITUTE(TRIM(M228),".",""),"/",""),"-","")," ",""),"(",""),")",""),"+",""))=10,LEFT(SUBSTITUTE(SUBSTITUTE(SUBSTITUTE(SUBSTITUTE(SUBSTITUTE(SUBSTITUTE(SUBSTITUTE(TRIM(M228),".",""),"/",""),"-","")," ",""),"(",""),")",""),"+",""),1)&lt;&gt;"0"),AND(LEN(SUBSTITUTE(SUBSTITUTE(SUBSTITUTE(SUBSTITUTE(SUBSTITUTE(SUBSTITUTE(SUBSTITUTE(TRIM(M228),".",""),"/",""),"-","")," ",""),"(",""),")",""),"+",""))=11,LEFT(SUBSTITUTE(SUBSTITUTE(SUBSTITUTE(SUBSTITUTE(SUBSTITUTE(SUBSTITUTE(SUBSTITUTE(TRIM(M228),".",""),"/",""),"-","")," ",""),"(",""),")",""),"+",""),4)="0800")),"OK",IF(AND(LEN(SUBSTITUTE(SUBSTITUTE(SUBSTITUTE(SUBSTITUTE(SUBSTITUTE(SUBSTITUTE(SUBSTITUTE(TRIM(M228),".",""),"/",""),"-","")," ",""),"(",""),")",""),"+",""))=11,MID(SUBSTITUTE(SUBSTITUTE(SUBSTITUTE(SUBSTITUTE(SUBSTITUTE(SUBSTITUTE(SUBSTITUTE(TRIM(M228),".",""),"/",""),"-","")," ",""),"(",""),")",""),"+",""),3,1)="9"),"ERRO: é celular, use a coluna Celular","ERRO: DDD + 8 dígitos ou 0800 + 7")))</f>
      </c>
      <c r="X228" s="6">
        <f>IF(N228="","vazio",IF(AND(LEN(SUBSTITUTE(SUBSTITUTE(SUBSTITUTE(SUBSTITUTE(SUBSTITUTE(SUBSTITUTE(SUBSTITUTE(TRIM(N228),".",""),"/",""),"-","")," ",""),"(",""),")",""),"+",""))=11,MID(SUBSTITUTE(SUBSTITUTE(SUBSTITUTE(SUBSTITUTE(SUBSTITUTE(SUBSTITUTE(SUBSTITUTE(TRIM(N228),".",""),"/",""),"-","")," ",""),"(",""),")",""),"+",""),3,1)="9",LEFT(SUBSTITUTE(SUBSTITUTE(SUBSTITUTE(SUBSTITUTE(SUBSTITUTE(SUBSTITUTE(SUBSTITUTE(TRIM(N228),".",""),"/",""),"-","")," ",""),"(",""),")",""),"+",""),1)&lt;&gt;"0"),"OK",IF(LEN(SUBSTITUTE(SUBSTITUTE(SUBSTITUTE(SUBSTITUTE(SUBSTITUTE(SUBSTITUTE(SUBSTITUTE(TRIM(N228),".",""),"/",""),"-","")," ",""),"(",""),")",""),"+",""))=10,"ERRO: é fixo (ou falta o 9), use a coluna Telefone fixo","ERRO: DDD + 9 + 8 dígitos")))</f>
      </c>
      <c r="Y228" s="6">
        <f>IF(O228="","vazio",IF(AND(ISNUMBER(FIND("@",O228)),ISNUMBER(FIND(".",MID(O228,FIND("@",O228),99))),NOT(ISNUMBER(FIND(" ",TRIM(O228)))),NOT(ISNUMBER(FIND(";",O228))),NOT(ISNUMBER(FIND(",",O228)))),"OK","ERRO: um e-mail válido por linha"))</f>
      </c>
      <c r="Z228" s="6">
        <f>IF(AND(J228="",K228=""),"",IF(AND(J228&lt;&gt;"",K228&lt;&gt;""),"OK","pendente: só um nome (o GR completa ao converter)"))</f>
      </c>
      <c r="AA228" s="6">
        <f>IF(COUNTA(A228:S228)=0,"",IF(AND(A228&lt;&gt;"",B228&lt;&gt;"",C228&lt;&gt;"",D228&lt;&gt;"",E228&lt;&gt;"",F228&lt;&gt;"",G228&lt;&gt;"",H228&lt;&gt;"",OR(J228&lt;&gt;"",K228&lt;&gt;""),OR(M228&lt;&gt;"",N228&lt;&gt;"",O228&lt;&gt;"")),"OK","ERRO: faltam "&amp;IF(A228="","SDR; ","")&amp;IF(B228="","Proprietário; ","")&amp;IF(C228="","Origem; ","")&amp;IF(D228="","Temperatura; ","")&amp;IF(E228="","Segmento; ","")&amp;IF(F228="","Time/Cluster; ","")&amp;IF(G228="","CNPJ; ","")&amp;IF(H228="","Razão Social; ","")&amp;IF(AND(J228="",K228=""),"nome do contato; ","")&amp;IF(AND(M228="",N228="",O228=""),"telefone, celular ou e-mail; ","")))</f>
      </c>
      <c r="AB228" s="6">
        <f>IF(COUNTA(A228:S228)=0,"",IF(AND(U228="OK",V228="OK",LEFT(W228,4)&lt;&gt;"ERRO",LEFT(X228,4)&lt;&gt;"ERRO",LEFT(Y228,4)&lt;&gt;"ERRO",AA228="OK"),"OK","REVISAR"))</f>
      </c>
    </row>
    <row r="229">
      <c r="A229" s="5"/>
      <c r="B229" s="5"/>
      <c r="C229" s="5"/>
      <c r="D229" s="5"/>
      <c r="E229" s="5"/>
      <c r="F229" s="5"/>
      <c r="G229" s="5"/>
      <c r="H229" s="5"/>
      <c r="I229" s="4"/>
      <c r="J229" s="5"/>
      <c r="K229" s="4"/>
      <c r="L229" s="4"/>
      <c r="M229" s="4"/>
      <c r="N229" s="4"/>
      <c r="O229" s="4"/>
      <c r="P229" s="4"/>
      <c r="Q229" s="4"/>
      <c r="R229" s="4"/>
      <c r="S229" s="4"/>
      <c r="T229" s="6">
        <f>IF(G229="","",SUBSTITUTE(SUBSTITUTE(SUBSTITUTE(SUBSTITUTE(SUBSTITUTE(SUBSTITUTE(SUBSTITUTE(TRIM(G229),".",""),"/",""),"-","")," ",""),"(",""),")",""),"+",""))</f>
      </c>
      <c r="U229" s="6">
        <f>IF(T229="","",IF(LEN(T229)&lt;&gt;14,"ERRO: "&amp;LEN(T229)&amp;" dígitos",IF(NOT(ISNUMBER(VALUE(T229))),"ERRO: não numérico",IF(LEN(SUBSTITUTE(T229,LEFT(T229,1),""))=0,"ERRO: dígitos repetidos",IF(AND(VALUE(MID(T229,13,1))=IF(MOD(SUMPRODUCT(--MID(T229,{1,2,3,4,5,6,7,8,9,10,11,12},1),{5,4,3,2,9,8,7,6,5,4,3,2}),11)&lt;2,0,11-MOD(SUMPRODUCT(--MID(T229,{1,2,3,4,5,6,7,8,9,10,11,12},1),{5,4,3,2,9,8,7,6,5,4,3,2}),11)),VALUE(MID(T229,14,1))=IF(MOD(SUMPRODUCT(--MID(T229,{1,2,3,4,5,6,7,8,9,10,11,12,13},1),{6,5,4,3,2,9,8,7,6,5,4,3,2}),11)&lt;2,0,11-MOD(SUMPRODUCT(--MID(T229,{1,2,3,4,5,6,7,8,9,10,11,12,13},1),{6,5,4,3,2,9,8,7,6,5,4,3,2}),11))),"OK","ERRO: dígito verificador")))))</f>
      </c>
      <c r="V229" s="6">
        <f>IF(T229="","",IF(COUNTIF($T$2:$T$1001,T229)&gt;1,"DUPLICADO","OK"))</f>
      </c>
      <c r="W229" s="6">
        <f>IF(M229="","vazio",IF(OR(AND(LEN(SUBSTITUTE(SUBSTITUTE(SUBSTITUTE(SUBSTITUTE(SUBSTITUTE(SUBSTITUTE(SUBSTITUTE(TRIM(M229),".",""),"/",""),"-","")," ",""),"(",""),")",""),"+",""))=10,LEFT(SUBSTITUTE(SUBSTITUTE(SUBSTITUTE(SUBSTITUTE(SUBSTITUTE(SUBSTITUTE(SUBSTITUTE(TRIM(M229),".",""),"/",""),"-","")," ",""),"(",""),")",""),"+",""),1)&lt;&gt;"0"),AND(LEN(SUBSTITUTE(SUBSTITUTE(SUBSTITUTE(SUBSTITUTE(SUBSTITUTE(SUBSTITUTE(SUBSTITUTE(TRIM(M229),".",""),"/",""),"-","")," ",""),"(",""),")",""),"+",""))=11,LEFT(SUBSTITUTE(SUBSTITUTE(SUBSTITUTE(SUBSTITUTE(SUBSTITUTE(SUBSTITUTE(SUBSTITUTE(TRIM(M229),".",""),"/",""),"-","")," ",""),"(",""),")",""),"+",""),4)="0800")),"OK",IF(AND(LEN(SUBSTITUTE(SUBSTITUTE(SUBSTITUTE(SUBSTITUTE(SUBSTITUTE(SUBSTITUTE(SUBSTITUTE(TRIM(M229),".",""),"/",""),"-","")," ",""),"(",""),")",""),"+",""))=11,MID(SUBSTITUTE(SUBSTITUTE(SUBSTITUTE(SUBSTITUTE(SUBSTITUTE(SUBSTITUTE(SUBSTITUTE(TRIM(M229),".",""),"/",""),"-","")," ",""),"(",""),")",""),"+",""),3,1)="9"),"ERRO: é celular, use a coluna Celular","ERRO: DDD + 8 dígitos ou 0800 + 7")))</f>
      </c>
      <c r="X229" s="6">
        <f>IF(N229="","vazio",IF(AND(LEN(SUBSTITUTE(SUBSTITUTE(SUBSTITUTE(SUBSTITUTE(SUBSTITUTE(SUBSTITUTE(SUBSTITUTE(TRIM(N229),".",""),"/",""),"-","")," ",""),"(",""),")",""),"+",""))=11,MID(SUBSTITUTE(SUBSTITUTE(SUBSTITUTE(SUBSTITUTE(SUBSTITUTE(SUBSTITUTE(SUBSTITUTE(TRIM(N229),".",""),"/",""),"-","")," ",""),"(",""),")",""),"+",""),3,1)="9",LEFT(SUBSTITUTE(SUBSTITUTE(SUBSTITUTE(SUBSTITUTE(SUBSTITUTE(SUBSTITUTE(SUBSTITUTE(TRIM(N229),".",""),"/",""),"-","")," ",""),"(",""),")",""),"+",""),1)&lt;&gt;"0"),"OK",IF(LEN(SUBSTITUTE(SUBSTITUTE(SUBSTITUTE(SUBSTITUTE(SUBSTITUTE(SUBSTITUTE(SUBSTITUTE(TRIM(N229),".",""),"/",""),"-","")," ",""),"(",""),")",""),"+",""))=10,"ERRO: é fixo (ou falta o 9), use a coluna Telefone fixo","ERRO: DDD + 9 + 8 dígitos")))</f>
      </c>
      <c r="Y229" s="6">
        <f>IF(O229="","vazio",IF(AND(ISNUMBER(FIND("@",O229)),ISNUMBER(FIND(".",MID(O229,FIND("@",O229),99))),NOT(ISNUMBER(FIND(" ",TRIM(O229)))),NOT(ISNUMBER(FIND(";",O229))),NOT(ISNUMBER(FIND(",",O229)))),"OK","ERRO: um e-mail válido por linha"))</f>
      </c>
      <c r="Z229" s="6">
        <f>IF(AND(J229="",K229=""),"",IF(AND(J229&lt;&gt;"",K229&lt;&gt;""),"OK","pendente: só um nome (o GR completa ao converter)"))</f>
      </c>
      <c r="AA229" s="6">
        <f>IF(COUNTA(A229:S229)=0,"",IF(AND(A229&lt;&gt;"",B229&lt;&gt;"",C229&lt;&gt;"",D229&lt;&gt;"",E229&lt;&gt;"",F229&lt;&gt;"",G229&lt;&gt;"",H229&lt;&gt;"",OR(J229&lt;&gt;"",K229&lt;&gt;""),OR(M229&lt;&gt;"",N229&lt;&gt;"",O229&lt;&gt;"")),"OK","ERRO: faltam "&amp;IF(A229="","SDR; ","")&amp;IF(B229="","Proprietário; ","")&amp;IF(C229="","Origem; ","")&amp;IF(D229="","Temperatura; ","")&amp;IF(E229="","Segmento; ","")&amp;IF(F229="","Time/Cluster; ","")&amp;IF(G229="","CNPJ; ","")&amp;IF(H229="","Razão Social; ","")&amp;IF(AND(J229="",K229=""),"nome do contato; ","")&amp;IF(AND(M229="",N229="",O229=""),"telefone, celular ou e-mail; ","")))</f>
      </c>
      <c r="AB229" s="6">
        <f>IF(COUNTA(A229:S229)=0,"",IF(AND(U229="OK",V229="OK",LEFT(W229,4)&lt;&gt;"ERRO",LEFT(X229,4)&lt;&gt;"ERRO",LEFT(Y229,4)&lt;&gt;"ERRO",AA229="OK"),"OK","REVISAR"))</f>
      </c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5"/>
      <c r="K230" s="4"/>
      <c r="L230" s="4"/>
      <c r="M230" s="4"/>
      <c r="N230" s="4"/>
      <c r="O230" s="4"/>
      <c r="P230" s="4"/>
      <c r="Q230" s="4"/>
      <c r="R230" s="4"/>
      <c r="S230" s="4"/>
      <c r="T230" s="6">
        <f>IF(G230="","",SUBSTITUTE(SUBSTITUTE(SUBSTITUTE(SUBSTITUTE(SUBSTITUTE(SUBSTITUTE(SUBSTITUTE(TRIM(G230),".",""),"/",""),"-","")," ",""),"(",""),")",""),"+",""))</f>
      </c>
      <c r="U230" s="6">
        <f>IF(T230="","",IF(LEN(T230)&lt;&gt;14,"ERRO: "&amp;LEN(T230)&amp;" dígitos",IF(NOT(ISNUMBER(VALUE(T230))),"ERRO: não numérico",IF(LEN(SUBSTITUTE(T230,LEFT(T230,1),""))=0,"ERRO: dígitos repetidos",IF(AND(VALUE(MID(T230,13,1))=IF(MOD(SUMPRODUCT(--MID(T230,{1,2,3,4,5,6,7,8,9,10,11,12},1),{5,4,3,2,9,8,7,6,5,4,3,2}),11)&lt;2,0,11-MOD(SUMPRODUCT(--MID(T230,{1,2,3,4,5,6,7,8,9,10,11,12},1),{5,4,3,2,9,8,7,6,5,4,3,2}),11)),VALUE(MID(T230,14,1))=IF(MOD(SUMPRODUCT(--MID(T230,{1,2,3,4,5,6,7,8,9,10,11,12,13},1),{6,5,4,3,2,9,8,7,6,5,4,3,2}),11)&lt;2,0,11-MOD(SUMPRODUCT(--MID(T230,{1,2,3,4,5,6,7,8,9,10,11,12,13},1),{6,5,4,3,2,9,8,7,6,5,4,3,2}),11))),"OK","ERRO: dígito verificador")))))</f>
      </c>
      <c r="V230" s="6">
        <f>IF(T230="","",IF(COUNTIF($T$2:$T$1001,T230)&gt;1,"DUPLICADO","OK"))</f>
      </c>
      <c r="W230" s="6">
        <f>IF(M230="","vazio",IF(OR(AND(LEN(SUBSTITUTE(SUBSTITUTE(SUBSTITUTE(SUBSTITUTE(SUBSTITUTE(SUBSTITUTE(SUBSTITUTE(TRIM(M230),".",""),"/",""),"-","")," ",""),"(",""),")",""),"+",""))=10,LEFT(SUBSTITUTE(SUBSTITUTE(SUBSTITUTE(SUBSTITUTE(SUBSTITUTE(SUBSTITUTE(SUBSTITUTE(TRIM(M230),".",""),"/",""),"-","")," ",""),"(",""),")",""),"+",""),1)&lt;&gt;"0"),AND(LEN(SUBSTITUTE(SUBSTITUTE(SUBSTITUTE(SUBSTITUTE(SUBSTITUTE(SUBSTITUTE(SUBSTITUTE(TRIM(M230),".",""),"/",""),"-","")," ",""),"(",""),")",""),"+",""))=11,LEFT(SUBSTITUTE(SUBSTITUTE(SUBSTITUTE(SUBSTITUTE(SUBSTITUTE(SUBSTITUTE(SUBSTITUTE(TRIM(M230),".",""),"/",""),"-","")," ",""),"(",""),")",""),"+",""),4)="0800")),"OK",IF(AND(LEN(SUBSTITUTE(SUBSTITUTE(SUBSTITUTE(SUBSTITUTE(SUBSTITUTE(SUBSTITUTE(SUBSTITUTE(TRIM(M230),".",""),"/",""),"-","")," ",""),"(",""),")",""),"+",""))=11,MID(SUBSTITUTE(SUBSTITUTE(SUBSTITUTE(SUBSTITUTE(SUBSTITUTE(SUBSTITUTE(SUBSTITUTE(TRIM(M230),".",""),"/",""),"-","")," ",""),"(",""),")",""),"+",""),3,1)="9"),"ERRO: é celular, use a coluna Celular","ERRO: DDD + 8 dígitos ou 0800 + 7")))</f>
      </c>
      <c r="X230" s="6">
        <f>IF(N230="","vazio",IF(AND(LEN(SUBSTITUTE(SUBSTITUTE(SUBSTITUTE(SUBSTITUTE(SUBSTITUTE(SUBSTITUTE(SUBSTITUTE(TRIM(N230),".",""),"/",""),"-","")," ",""),"(",""),")",""),"+",""))=11,MID(SUBSTITUTE(SUBSTITUTE(SUBSTITUTE(SUBSTITUTE(SUBSTITUTE(SUBSTITUTE(SUBSTITUTE(TRIM(N230),".",""),"/",""),"-","")," ",""),"(",""),")",""),"+",""),3,1)="9",LEFT(SUBSTITUTE(SUBSTITUTE(SUBSTITUTE(SUBSTITUTE(SUBSTITUTE(SUBSTITUTE(SUBSTITUTE(TRIM(N230),".",""),"/",""),"-","")," ",""),"(",""),")",""),"+",""),1)&lt;&gt;"0"),"OK",IF(LEN(SUBSTITUTE(SUBSTITUTE(SUBSTITUTE(SUBSTITUTE(SUBSTITUTE(SUBSTITUTE(SUBSTITUTE(TRIM(N230),".",""),"/",""),"-","")," ",""),"(",""),")",""),"+",""))=10,"ERRO: é fixo (ou falta o 9), use a coluna Telefone fixo","ERRO: DDD + 9 + 8 dígitos")))</f>
      </c>
      <c r="Y230" s="6">
        <f>IF(O230="","vazio",IF(AND(ISNUMBER(FIND("@",O230)),ISNUMBER(FIND(".",MID(O230,FIND("@",O230),99))),NOT(ISNUMBER(FIND(" ",TRIM(O230)))),NOT(ISNUMBER(FIND(";",O230))),NOT(ISNUMBER(FIND(",",O230)))),"OK","ERRO: um e-mail válido por linha"))</f>
      </c>
      <c r="Z230" s="6">
        <f>IF(AND(J230="",K230=""),"",IF(AND(J230&lt;&gt;"",K230&lt;&gt;""),"OK","pendente: só um nome (o GR completa ao converter)"))</f>
      </c>
      <c r="AA230" s="6">
        <f>IF(COUNTA(A230:S230)=0,"",IF(AND(A230&lt;&gt;"",B230&lt;&gt;"",C230&lt;&gt;"",D230&lt;&gt;"",E230&lt;&gt;"",F230&lt;&gt;"",G230&lt;&gt;"",H230&lt;&gt;"",OR(J230&lt;&gt;"",K230&lt;&gt;""),OR(M230&lt;&gt;"",N230&lt;&gt;"",O230&lt;&gt;"")),"OK","ERRO: faltam "&amp;IF(A230="","SDR; ","")&amp;IF(B230="","Proprietário; ","")&amp;IF(C230="","Origem; ","")&amp;IF(D230="","Temperatura; ","")&amp;IF(E230="","Segmento; ","")&amp;IF(F230="","Time/Cluster; ","")&amp;IF(G230="","CNPJ; ","")&amp;IF(H230="","Razão Social; ","")&amp;IF(AND(J230="",K230=""),"nome do contato; ","")&amp;IF(AND(M230="",N230="",O230=""),"telefone, celular ou e-mail; ","")))</f>
      </c>
      <c r="AB230" s="6">
        <f>IF(COUNTA(A230:S230)=0,"",IF(AND(U230="OK",V230="OK",LEFT(W230,4)&lt;&gt;"ERRO",LEFT(X230,4)&lt;&gt;"ERRO",LEFT(Y230,4)&lt;&gt;"ERRO",AA230="OK"),"OK","REVISAR"))</f>
      </c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5"/>
      <c r="K231" s="4"/>
      <c r="L231" s="4"/>
      <c r="M231" s="4"/>
      <c r="N231" s="4"/>
      <c r="O231" s="4"/>
      <c r="P231" s="4"/>
      <c r="Q231" s="4"/>
      <c r="R231" s="4"/>
      <c r="S231" s="4"/>
      <c r="T231" s="6">
        <f>IF(G231="","",SUBSTITUTE(SUBSTITUTE(SUBSTITUTE(SUBSTITUTE(SUBSTITUTE(SUBSTITUTE(SUBSTITUTE(TRIM(G231),".",""),"/",""),"-","")," ",""),"(",""),")",""),"+",""))</f>
      </c>
      <c r="U231" s="6">
        <f>IF(T231="","",IF(LEN(T231)&lt;&gt;14,"ERRO: "&amp;LEN(T231)&amp;" dígitos",IF(NOT(ISNUMBER(VALUE(T231))),"ERRO: não numérico",IF(LEN(SUBSTITUTE(T231,LEFT(T231,1),""))=0,"ERRO: dígitos repetidos",IF(AND(VALUE(MID(T231,13,1))=IF(MOD(SUMPRODUCT(--MID(T231,{1,2,3,4,5,6,7,8,9,10,11,12},1),{5,4,3,2,9,8,7,6,5,4,3,2}),11)&lt;2,0,11-MOD(SUMPRODUCT(--MID(T231,{1,2,3,4,5,6,7,8,9,10,11,12},1),{5,4,3,2,9,8,7,6,5,4,3,2}),11)),VALUE(MID(T231,14,1))=IF(MOD(SUMPRODUCT(--MID(T231,{1,2,3,4,5,6,7,8,9,10,11,12,13},1),{6,5,4,3,2,9,8,7,6,5,4,3,2}),11)&lt;2,0,11-MOD(SUMPRODUCT(--MID(T231,{1,2,3,4,5,6,7,8,9,10,11,12,13},1),{6,5,4,3,2,9,8,7,6,5,4,3,2}),11))),"OK","ERRO: dígito verificador")))))</f>
      </c>
      <c r="V231" s="6">
        <f>IF(T231="","",IF(COUNTIF($T$2:$T$1001,T231)&gt;1,"DUPLICADO","OK"))</f>
      </c>
      <c r="W231" s="6">
        <f>IF(M231="","vazio",IF(OR(AND(LEN(SUBSTITUTE(SUBSTITUTE(SUBSTITUTE(SUBSTITUTE(SUBSTITUTE(SUBSTITUTE(SUBSTITUTE(TRIM(M231),".",""),"/",""),"-","")," ",""),"(",""),")",""),"+",""))=10,LEFT(SUBSTITUTE(SUBSTITUTE(SUBSTITUTE(SUBSTITUTE(SUBSTITUTE(SUBSTITUTE(SUBSTITUTE(TRIM(M231),".",""),"/",""),"-","")," ",""),"(",""),")",""),"+",""),1)&lt;&gt;"0"),AND(LEN(SUBSTITUTE(SUBSTITUTE(SUBSTITUTE(SUBSTITUTE(SUBSTITUTE(SUBSTITUTE(SUBSTITUTE(TRIM(M231),".",""),"/",""),"-","")," ",""),"(",""),")",""),"+",""))=11,LEFT(SUBSTITUTE(SUBSTITUTE(SUBSTITUTE(SUBSTITUTE(SUBSTITUTE(SUBSTITUTE(SUBSTITUTE(TRIM(M231),".",""),"/",""),"-","")," ",""),"(",""),")",""),"+",""),4)="0800")),"OK",IF(AND(LEN(SUBSTITUTE(SUBSTITUTE(SUBSTITUTE(SUBSTITUTE(SUBSTITUTE(SUBSTITUTE(SUBSTITUTE(TRIM(M231),".",""),"/",""),"-","")," ",""),"(",""),")",""),"+",""))=11,MID(SUBSTITUTE(SUBSTITUTE(SUBSTITUTE(SUBSTITUTE(SUBSTITUTE(SUBSTITUTE(SUBSTITUTE(TRIM(M231),".",""),"/",""),"-","")," ",""),"(",""),")",""),"+",""),3,1)="9"),"ERRO: é celular, use a coluna Celular","ERRO: DDD + 8 dígitos ou 0800 + 7")))</f>
      </c>
      <c r="X231" s="6">
        <f>IF(N231="","vazio",IF(AND(LEN(SUBSTITUTE(SUBSTITUTE(SUBSTITUTE(SUBSTITUTE(SUBSTITUTE(SUBSTITUTE(SUBSTITUTE(TRIM(N231),".",""),"/",""),"-","")," ",""),"(",""),")",""),"+",""))=11,MID(SUBSTITUTE(SUBSTITUTE(SUBSTITUTE(SUBSTITUTE(SUBSTITUTE(SUBSTITUTE(SUBSTITUTE(TRIM(N231),".",""),"/",""),"-","")," ",""),"(",""),")",""),"+",""),3,1)="9",LEFT(SUBSTITUTE(SUBSTITUTE(SUBSTITUTE(SUBSTITUTE(SUBSTITUTE(SUBSTITUTE(SUBSTITUTE(TRIM(N231),".",""),"/",""),"-","")," ",""),"(",""),")",""),"+",""),1)&lt;&gt;"0"),"OK",IF(LEN(SUBSTITUTE(SUBSTITUTE(SUBSTITUTE(SUBSTITUTE(SUBSTITUTE(SUBSTITUTE(SUBSTITUTE(TRIM(N231),".",""),"/",""),"-","")," ",""),"(",""),")",""),"+",""))=10,"ERRO: é fixo (ou falta o 9), use a coluna Telefone fixo","ERRO: DDD + 9 + 8 dígitos")))</f>
      </c>
      <c r="Y231" s="6">
        <f>IF(O231="","vazio",IF(AND(ISNUMBER(FIND("@",O231)),ISNUMBER(FIND(".",MID(O231,FIND("@",O231),99))),NOT(ISNUMBER(FIND(" ",TRIM(O231)))),NOT(ISNUMBER(FIND(";",O231))),NOT(ISNUMBER(FIND(",",O231)))),"OK","ERRO: um e-mail válido por linha"))</f>
      </c>
      <c r="Z231" s="6">
        <f>IF(AND(J231="",K231=""),"",IF(AND(J231&lt;&gt;"",K231&lt;&gt;""),"OK","pendente: só um nome (o GR completa ao converter)"))</f>
      </c>
      <c r="AA231" s="6">
        <f>IF(COUNTA(A231:S231)=0,"",IF(AND(A231&lt;&gt;"",B231&lt;&gt;"",C231&lt;&gt;"",D231&lt;&gt;"",E231&lt;&gt;"",F231&lt;&gt;"",G231&lt;&gt;"",H231&lt;&gt;"",OR(J231&lt;&gt;"",K231&lt;&gt;""),OR(M231&lt;&gt;"",N231&lt;&gt;"",O231&lt;&gt;"")),"OK","ERRO: faltam "&amp;IF(A231="","SDR; ","")&amp;IF(B231="","Proprietário; ","")&amp;IF(C231="","Origem; ","")&amp;IF(D231="","Temperatura; ","")&amp;IF(E231="","Segmento; ","")&amp;IF(F231="","Time/Cluster; ","")&amp;IF(G231="","CNPJ; ","")&amp;IF(H231="","Razão Social; ","")&amp;IF(AND(J231="",K231=""),"nome do contato; ","")&amp;IF(AND(M231="",N231="",O231=""),"telefone, celular ou e-mail; ","")))</f>
      </c>
      <c r="AB231" s="6">
        <f>IF(COUNTA(A231:S231)=0,"",IF(AND(U231="OK",V231="OK",LEFT(W231,4)&lt;&gt;"ERRO",LEFT(X231,4)&lt;&gt;"ERRO",LEFT(Y231,4)&lt;&gt;"ERRO",AA231="OK"),"OK","REVISAR"))</f>
      </c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5"/>
      <c r="K232" s="4"/>
      <c r="L232" s="4"/>
      <c r="M232" s="4"/>
      <c r="N232" s="4"/>
      <c r="O232" s="4"/>
      <c r="P232" s="4"/>
      <c r="Q232" s="4"/>
      <c r="R232" s="4"/>
      <c r="S232" s="4"/>
      <c r="T232" s="6">
        <f>IF(G232="","",SUBSTITUTE(SUBSTITUTE(SUBSTITUTE(SUBSTITUTE(SUBSTITUTE(SUBSTITUTE(SUBSTITUTE(TRIM(G232),".",""),"/",""),"-","")," ",""),"(",""),")",""),"+",""))</f>
      </c>
      <c r="U232" s="6">
        <f>IF(T232="","",IF(LEN(T232)&lt;&gt;14,"ERRO: "&amp;LEN(T232)&amp;" dígitos",IF(NOT(ISNUMBER(VALUE(T232))),"ERRO: não numérico",IF(LEN(SUBSTITUTE(T232,LEFT(T232,1),""))=0,"ERRO: dígitos repetidos",IF(AND(VALUE(MID(T232,13,1))=IF(MOD(SUMPRODUCT(--MID(T232,{1,2,3,4,5,6,7,8,9,10,11,12},1),{5,4,3,2,9,8,7,6,5,4,3,2}),11)&lt;2,0,11-MOD(SUMPRODUCT(--MID(T232,{1,2,3,4,5,6,7,8,9,10,11,12},1),{5,4,3,2,9,8,7,6,5,4,3,2}),11)),VALUE(MID(T232,14,1))=IF(MOD(SUMPRODUCT(--MID(T232,{1,2,3,4,5,6,7,8,9,10,11,12,13},1),{6,5,4,3,2,9,8,7,6,5,4,3,2}),11)&lt;2,0,11-MOD(SUMPRODUCT(--MID(T232,{1,2,3,4,5,6,7,8,9,10,11,12,13},1),{6,5,4,3,2,9,8,7,6,5,4,3,2}),11))),"OK","ERRO: dígito verificador")))))</f>
      </c>
      <c r="V232" s="6">
        <f>IF(T232="","",IF(COUNTIF($T$2:$T$1001,T232)&gt;1,"DUPLICADO","OK"))</f>
      </c>
      <c r="W232" s="6">
        <f>IF(M232="","vazio",IF(OR(AND(LEN(SUBSTITUTE(SUBSTITUTE(SUBSTITUTE(SUBSTITUTE(SUBSTITUTE(SUBSTITUTE(SUBSTITUTE(TRIM(M232),".",""),"/",""),"-","")," ",""),"(",""),")",""),"+",""))=10,LEFT(SUBSTITUTE(SUBSTITUTE(SUBSTITUTE(SUBSTITUTE(SUBSTITUTE(SUBSTITUTE(SUBSTITUTE(TRIM(M232),".",""),"/",""),"-","")," ",""),"(",""),")",""),"+",""),1)&lt;&gt;"0"),AND(LEN(SUBSTITUTE(SUBSTITUTE(SUBSTITUTE(SUBSTITUTE(SUBSTITUTE(SUBSTITUTE(SUBSTITUTE(TRIM(M232),".",""),"/",""),"-","")," ",""),"(",""),")",""),"+",""))=11,LEFT(SUBSTITUTE(SUBSTITUTE(SUBSTITUTE(SUBSTITUTE(SUBSTITUTE(SUBSTITUTE(SUBSTITUTE(TRIM(M232),".",""),"/",""),"-","")," ",""),"(",""),")",""),"+",""),4)="0800")),"OK",IF(AND(LEN(SUBSTITUTE(SUBSTITUTE(SUBSTITUTE(SUBSTITUTE(SUBSTITUTE(SUBSTITUTE(SUBSTITUTE(TRIM(M232),".",""),"/",""),"-","")," ",""),"(",""),")",""),"+",""))=11,MID(SUBSTITUTE(SUBSTITUTE(SUBSTITUTE(SUBSTITUTE(SUBSTITUTE(SUBSTITUTE(SUBSTITUTE(TRIM(M232),".",""),"/",""),"-","")," ",""),"(",""),")",""),"+",""),3,1)="9"),"ERRO: é celular, use a coluna Celular","ERRO: DDD + 8 dígitos ou 0800 + 7")))</f>
      </c>
      <c r="X232" s="6">
        <f>IF(N232="","vazio",IF(AND(LEN(SUBSTITUTE(SUBSTITUTE(SUBSTITUTE(SUBSTITUTE(SUBSTITUTE(SUBSTITUTE(SUBSTITUTE(TRIM(N232),".",""),"/",""),"-","")," ",""),"(",""),")",""),"+",""))=11,MID(SUBSTITUTE(SUBSTITUTE(SUBSTITUTE(SUBSTITUTE(SUBSTITUTE(SUBSTITUTE(SUBSTITUTE(TRIM(N232),".",""),"/",""),"-","")," ",""),"(",""),")",""),"+",""),3,1)="9",LEFT(SUBSTITUTE(SUBSTITUTE(SUBSTITUTE(SUBSTITUTE(SUBSTITUTE(SUBSTITUTE(SUBSTITUTE(TRIM(N232),".",""),"/",""),"-","")," ",""),"(",""),")",""),"+",""),1)&lt;&gt;"0"),"OK",IF(LEN(SUBSTITUTE(SUBSTITUTE(SUBSTITUTE(SUBSTITUTE(SUBSTITUTE(SUBSTITUTE(SUBSTITUTE(TRIM(N232),".",""),"/",""),"-","")," ",""),"(",""),")",""),"+",""))=10,"ERRO: é fixo (ou falta o 9), use a coluna Telefone fixo","ERRO: DDD + 9 + 8 dígitos")))</f>
      </c>
      <c r="Y232" s="6">
        <f>IF(O232="","vazio",IF(AND(ISNUMBER(FIND("@",O232)),ISNUMBER(FIND(".",MID(O232,FIND("@",O232),99))),NOT(ISNUMBER(FIND(" ",TRIM(O232)))),NOT(ISNUMBER(FIND(";",O232))),NOT(ISNUMBER(FIND(",",O232)))),"OK","ERRO: um e-mail válido por linha"))</f>
      </c>
      <c r="Z232" s="6">
        <f>IF(AND(J232="",K232=""),"",IF(AND(J232&lt;&gt;"",K232&lt;&gt;""),"OK","pendente: só um nome (o GR completa ao converter)"))</f>
      </c>
      <c r="AA232" s="6">
        <f>IF(COUNTA(A232:S232)=0,"",IF(AND(A232&lt;&gt;"",B232&lt;&gt;"",C232&lt;&gt;"",D232&lt;&gt;"",E232&lt;&gt;"",F232&lt;&gt;"",G232&lt;&gt;"",H232&lt;&gt;"",OR(J232&lt;&gt;"",K232&lt;&gt;""),OR(M232&lt;&gt;"",N232&lt;&gt;"",O232&lt;&gt;"")),"OK","ERRO: faltam "&amp;IF(A232="","SDR; ","")&amp;IF(B232="","Proprietário; ","")&amp;IF(C232="","Origem; ","")&amp;IF(D232="","Temperatura; ","")&amp;IF(E232="","Segmento; ","")&amp;IF(F232="","Time/Cluster; ","")&amp;IF(G232="","CNPJ; ","")&amp;IF(H232="","Razão Social; ","")&amp;IF(AND(J232="",K232=""),"nome do contato; ","")&amp;IF(AND(M232="",N232="",O232=""),"telefone, celular ou e-mail; ","")))</f>
      </c>
      <c r="AB232" s="6">
        <f>IF(COUNTA(A232:S232)=0,"",IF(AND(U232="OK",V232="OK",LEFT(W232,4)&lt;&gt;"ERRO",LEFT(X232,4)&lt;&gt;"ERRO",LEFT(Y232,4)&lt;&gt;"ERRO",AA232="OK"),"OK","REVISAR"))</f>
      </c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5"/>
      <c r="K233" s="4"/>
      <c r="L233" s="4"/>
      <c r="M233" s="4"/>
      <c r="N233" s="4"/>
      <c r="O233" s="4"/>
      <c r="P233" s="4"/>
      <c r="Q233" s="4"/>
      <c r="R233" s="4"/>
      <c r="S233" s="4"/>
      <c r="T233" s="6">
        <f>IF(G233="","",SUBSTITUTE(SUBSTITUTE(SUBSTITUTE(SUBSTITUTE(SUBSTITUTE(SUBSTITUTE(SUBSTITUTE(TRIM(G233),".",""),"/",""),"-","")," ",""),"(",""),")",""),"+",""))</f>
      </c>
      <c r="U233" s="6">
        <f>IF(T233="","",IF(LEN(T233)&lt;&gt;14,"ERRO: "&amp;LEN(T233)&amp;" dígitos",IF(NOT(ISNUMBER(VALUE(T233))),"ERRO: não numérico",IF(LEN(SUBSTITUTE(T233,LEFT(T233,1),""))=0,"ERRO: dígitos repetidos",IF(AND(VALUE(MID(T233,13,1))=IF(MOD(SUMPRODUCT(--MID(T233,{1,2,3,4,5,6,7,8,9,10,11,12},1),{5,4,3,2,9,8,7,6,5,4,3,2}),11)&lt;2,0,11-MOD(SUMPRODUCT(--MID(T233,{1,2,3,4,5,6,7,8,9,10,11,12},1),{5,4,3,2,9,8,7,6,5,4,3,2}),11)),VALUE(MID(T233,14,1))=IF(MOD(SUMPRODUCT(--MID(T233,{1,2,3,4,5,6,7,8,9,10,11,12,13},1),{6,5,4,3,2,9,8,7,6,5,4,3,2}),11)&lt;2,0,11-MOD(SUMPRODUCT(--MID(T233,{1,2,3,4,5,6,7,8,9,10,11,12,13},1),{6,5,4,3,2,9,8,7,6,5,4,3,2}),11))),"OK","ERRO: dígito verificador")))))</f>
      </c>
      <c r="V233" s="6">
        <f>IF(T233="","",IF(COUNTIF($T$2:$T$1001,T233)&gt;1,"DUPLICADO","OK"))</f>
      </c>
      <c r="W233" s="6">
        <f>IF(M233="","vazio",IF(OR(AND(LEN(SUBSTITUTE(SUBSTITUTE(SUBSTITUTE(SUBSTITUTE(SUBSTITUTE(SUBSTITUTE(SUBSTITUTE(TRIM(M233),".",""),"/",""),"-","")," ",""),"(",""),")",""),"+",""))=10,LEFT(SUBSTITUTE(SUBSTITUTE(SUBSTITUTE(SUBSTITUTE(SUBSTITUTE(SUBSTITUTE(SUBSTITUTE(TRIM(M233),".",""),"/",""),"-","")," ",""),"(",""),")",""),"+",""),1)&lt;&gt;"0"),AND(LEN(SUBSTITUTE(SUBSTITUTE(SUBSTITUTE(SUBSTITUTE(SUBSTITUTE(SUBSTITUTE(SUBSTITUTE(TRIM(M233),".",""),"/",""),"-","")," ",""),"(",""),")",""),"+",""))=11,LEFT(SUBSTITUTE(SUBSTITUTE(SUBSTITUTE(SUBSTITUTE(SUBSTITUTE(SUBSTITUTE(SUBSTITUTE(TRIM(M233),".",""),"/",""),"-","")," ",""),"(",""),")",""),"+",""),4)="0800")),"OK",IF(AND(LEN(SUBSTITUTE(SUBSTITUTE(SUBSTITUTE(SUBSTITUTE(SUBSTITUTE(SUBSTITUTE(SUBSTITUTE(TRIM(M233),".",""),"/",""),"-","")," ",""),"(",""),")",""),"+",""))=11,MID(SUBSTITUTE(SUBSTITUTE(SUBSTITUTE(SUBSTITUTE(SUBSTITUTE(SUBSTITUTE(SUBSTITUTE(TRIM(M233),".",""),"/",""),"-","")," ",""),"(",""),")",""),"+",""),3,1)="9"),"ERRO: é celular, use a coluna Celular","ERRO: DDD + 8 dígitos ou 0800 + 7")))</f>
      </c>
      <c r="X233" s="6">
        <f>IF(N233="","vazio",IF(AND(LEN(SUBSTITUTE(SUBSTITUTE(SUBSTITUTE(SUBSTITUTE(SUBSTITUTE(SUBSTITUTE(SUBSTITUTE(TRIM(N233),".",""),"/",""),"-","")," ",""),"(",""),")",""),"+",""))=11,MID(SUBSTITUTE(SUBSTITUTE(SUBSTITUTE(SUBSTITUTE(SUBSTITUTE(SUBSTITUTE(SUBSTITUTE(TRIM(N233),".",""),"/",""),"-","")," ",""),"(",""),")",""),"+",""),3,1)="9",LEFT(SUBSTITUTE(SUBSTITUTE(SUBSTITUTE(SUBSTITUTE(SUBSTITUTE(SUBSTITUTE(SUBSTITUTE(TRIM(N233),".",""),"/",""),"-","")," ",""),"(",""),")",""),"+",""),1)&lt;&gt;"0"),"OK",IF(LEN(SUBSTITUTE(SUBSTITUTE(SUBSTITUTE(SUBSTITUTE(SUBSTITUTE(SUBSTITUTE(SUBSTITUTE(TRIM(N233),".",""),"/",""),"-","")," ",""),"(",""),")",""),"+",""))=10,"ERRO: é fixo (ou falta o 9), use a coluna Telefone fixo","ERRO: DDD + 9 + 8 dígitos")))</f>
      </c>
      <c r="Y233" s="6">
        <f>IF(O233="","vazio",IF(AND(ISNUMBER(FIND("@",O233)),ISNUMBER(FIND(".",MID(O233,FIND("@",O233),99))),NOT(ISNUMBER(FIND(" ",TRIM(O233)))),NOT(ISNUMBER(FIND(";",O233))),NOT(ISNUMBER(FIND(",",O233)))),"OK","ERRO: um e-mail válido por linha"))</f>
      </c>
      <c r="Z233" s="6">
        <f>IF(AND(J233="",K233=""),"",IF(AND(J233&lt;&gt;"",K233&lt;&gt;""),"OK","pendente: só um nome (o GR completa ao converter)"))</f>
      </c>
      <c r="AA233" s="6">
        <f>IF(COUNTA(A233:S233)=0,"",IF(AND(A233&lt;&gt;"",B233&lt;&gt;"",C233&lt;&gt;"",D233&lt;&gt;"",E233&lt;&gt;"",F233&lt;&gt;"",G233&lt;&gt;"",H233&lt;&gt;"",OR(J233&lt;&gt;"",K233&lt;&gt;""),OR(M233&lt;&gt;"",N233&lt;&gt;"",O233&lt;&gt;"")),"OK","ERRO: faltam "&amp;IF(A233="","SDR; ","")&amp;IF(B233="","Proprietário; ","")&amp;IF(C233="","Origem; ","")&amp;IF(D233="","Temperatura; ","")&amp;IF(E233="","Segmento; ","")&amp;IF(F233="","Time/Cluster; ","")&amp;IF(G233="","CNPJ; ","")&amp;IF(H233="","Razão Social; ","")&amp;IF(AND(J233="",K233=""),"nome do contato; ","")&amp;IF(AND(M233="",N233="",O233=""),"telefone, celular ou e-mail; ","")))</f>
      </c>
      <c r="AB233" s="6">
        <f>IF(COUNTA(A233:S233)=0,"",IF(AND(U233="OK",V233="OK",LEFT(W233,4)&lt;&gt;"ERRO",LEFT(X233,4)&lt;&gt;"ERRO",LEFT(Y233,4)&lt;&gt;"ERRO",AA233="OK"),"OK","REVISAR"))</f>
      </c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5"/>
      <c r="K234" s="4"/>
      <c r="L234" s="4"/>
      <c r="M234" s="4"/>
      <c r="N234" s="4"/>
      <c r="O234" s="4"/>
      <c r="P234" s="4"/>
      <c r="Q234" s="4"/>
      <c r="R234" s="4"/>
      <c r="S234" s="4"/>
      <c r="T234" s="6">
        <f>IF(G234="","",SUBSTITUTE(SUBSTITUTE(SUBSTITUTE(SUBSTITUTE(SUBSTITUTE(SUBSTITUTE(SUBSTITUTE(TRIM(G234),".",""),"/",""),"-","")," ",""),"(",""),")",""),"+",""))</f>
      </c>
      <c r="U234" s="6">
        <f>IF(T234="","",IF(LEN(T234)&lt;&gt;14,"ERRO: "&amp;LEN(T234)&amp;" dígitos",IF(NOT(ISNUMBER(VALUE(T234))),"ERRO: não numérico",IF(LEN(SUBSTITUTE(T234,LEFT(T234,1),""))=0,"ERRO: dígitos repetidos",IF(AND(VALUE(MID(T234,13,1))=IF(MOD(SUMPRODUCT(--MID(T234,{1,2,3,4,5,6,7,8,9,10,11,12},1),{5,4,3,2,9,8,7,6,5,4,3,2}),11)&lt;2,0,11-MOD(SUMPRODUCT(--MID(T234,{1,2,3,4,5,6,7,8,9,10,11,12},1),{5,4,3,2,9,8,7,6,5,4,3,2}),11)),VALUE(MID(T234,14,1))=IF(MOD(SUMPRODUCT(--MID(T234,{1,2,3,4,5,6,7,8,9,10,11,12,13},1),{6,5,4,3,2,9,8,7,6,5,4,3,2}),11)&lt;2,0,11-MOD(SUMPRODUCT(--MID(T234,{1,2,3,4,5,6,7,8,9,10,11,12,13},1),{6,5,4,3,2,9,8,7,6,5,4,3,2}),11))),"OK","ERRO: dígito verificador")))))</f>
      </c>
      <c r="V234" s="6">
        <f>IF(T234="","",IF(COUNTIF($T$2:$T$1001,T234)&gt;1,"DUPLICADO","OK"))</f>
      </c>
      <c r="W234" s="6">
        <f>IF(M234="","vazio",IF(OR(AND(LEN(SUBSTITUTE(SUBSTITUTE(SUBSTITUTE(SUBSTITUTE(SUBSTITUTE(SUBSTITUTE(SUBSTITUTE(TRIM(M234),".",""),"/",""),"-","")," ",""),"(",""),")",""),"+",""))=10,LEFT(SUBSTITUTE(SUBSTITUTE(SUBSTITUTE(SUBSTITUTE(SUBSTITUTE(SUBSTITUTE(SUBSTITUTE(TRIM(M234),".",""),"/",""),"-","")," ",""),"(",""),")",""),"+",""),1)&lt;&gt;"0"),AND(LEN(SUBSTITUTE(SUBSTITUTE(SUBSTITUTE(SUBSTITUTE(SUBSTITUTE(SUBSTITUTE(SUBSTITUTE(TRIM(M234),".",""),"/",""),"-","")," ",""),"(",""),")",""),"+",""))=11,LEFT(SUBSTITUTE(SUBSTITUTE(SUBSTITUTE(SUBSTITUTE(SUBSTITUTE(SUBSTITUTE(SUBSTITUTE(TRIM(M234),".",""),"/",""),"-","")," ",""),"(",""),")",""),"+",""),4)="0800")),"OK",IF(AND(LEN(SUBSTITUTE(SUBSTITUTE(SUBSTITUTE(SUBSTITUTE(SUBSTITUTE(SUBSTITUTE(SUBSTITUTE(TRIM(M234),".",""),"/",""),"-","")," ",""),"(",""),")",""),"+",""))=11,MID(SUBSTITUTE(SUBSTITUTE(SUBSTITUTE(SUBSTITUTE(SUBSTITUTE(SUBSTITUTE(SUBSTITUTE(TRIM(M234),".",""),"/",""),"-","")," ",""),"(",""),")",""),"+",""),3,1)="9"),"ERRO: é celular, use a coluna Celular","ERRO: DDD + 8 dígitos ou 0800 + 7")))</f>
      </c>
      <c r="X234" s="6">
        <f>IF(N234="","vazio",IF(AND(LEN(SUBSTITUTE(SUBSTITUTE(SUBSTITUTE(SUBSTITUTE(SUBSTITUTE(SUBSTITUTE(SUBSTITUTE(TRIM(N234),".",""),"/",""),"-","")," ",""),"(",""),")",""),"+",""))=11,MID(SUBSTITUTE(SUBSTITUTE(SUBSTITUTE(SUBSTITUTE(SUBSTITUTE(SUBSTITUTE(SUBSTITUTE(TRIM(N234),".",""),"/",""),"-","")," ",""),"(",""),")",""),"+",""),3,1)="9",LEFT(SUBSTITUTE(SUBSTITUTE(SUBSTITUTE(SUBSTITUTE(SUBSTITUTE(SUBSTITUTE(SUBSTITUTE(TRIM(N234),".",""),"/",""),"-","")," ",""),"(",""),")",""),"+",""),1)&lt;&gt;"0"),"OK",IF(LEN(SUBSTITUTE(SUBSTITUTE(SUBSTITUTE(SUBSTITUTE(SUBSTITUTE(SUBSTITUTE(SUBSTITUTE(TRIM(N234),".",""),"/",""),"-","")," ",""),"(",""),")",""),"+",""))=10,"ERRO: é fixo (ou falta o 9), use a coluna Telefone fixo","ERRO: DDD + 9 + 8 dígitos")))</f>
      </c>
      <c r="Y234" s="6">
        <f>IF(O234="","vazio",IF(AND(ISNUMBER(FIND("@",O234)),ISNUMBER(FIND(".",MID(O234,FIND("@",O234),99))),NOT(ISNUMBER(FIND(" ",TRIM(O234)))),NOT(ISNUMBER(FIND(";",O234))),NOT(ISNUMBER(FIND(",",O234)))),"OK","ERRO: um e-mail válido por linha"))</f>
      </c>
      <c r="Z234" s="6">
        <f>IF(AND(J234="",K234=""),"",IF(AND(J234&lt;&gt;"",K234&lt;&gt;""),"OK","pendente: só um nome (o GR completa ao converter)"))</f>
      </c>
      <c r="AA234" s="6">
        <f>IF(COUNTA(A234:S234)=0,"",IF(AND(A234&lt;&gt;"",B234&lt;&gt;"",C234&lt;&gt;"",D234&lt;&gt;"",E234&lt;&gt;"",F234&lt;&gt;"",G234&lt;&gt;"",H234&lt;&gt;"",OR(J234&lt;&gt;"",K234&lt;&gt;""),OR(M234&lt;&gt;"",N234&lt;&gt;"",O234&lt;&gt;"")),"OK","ERRO: faltam "&amp;IF(A234="","SDR; ","")&amp;IF(B234="","Proprietário; ","")&amp;IF(C234="","Origem; ","")&amp;IF(D234="","Temperatura; ","")&amp;IF(E234="","Segmento; ","")&amp;IF(F234="","Time/Cluster; ","")&amp;IF(G234="","CNPJ; ","")&amp;IF(H234="","Razão Social; ","")&amp;IF(AND(J234="",K234=""),"nome do contato; ","")&amp;IF(AND(M234="",N234="",O234=""),"telefone, celular ou e-mail; ","")))</f>
      </c>
      <c r="AB234" s="6">
        <f>IF(COUNTA(A234:S234)=0,"",IF(AND(U234="OK",V234="OK",LEFT(W234,4)&lt;&gt;"ERRO",LEFT(X234,4)&lt;&gt;"ERRO",LEFT(Y234,4)&lt;&gt;"ERRO",AA234="OK"),"OK","REVISAR"))</f>
      </c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5"/>
      <c r="K235" s="4"/>
      <c r="L235" s="4"/>
      <c r="M235" s="4"/>
      <c r="N235" s="4"/>
      <c r="O235" s="4"/>
      <c r="P235" s="4"/>
      <c r="Q235" s="4"/>
      <c r="R235" s="4"/>
      <c r="S235" s="4"/>
      <c r="T235" s="6">
        <f>IF(G235="","",SUBSTITUTE(SUBSTITUTE(SUBSTITUTE(SUBSTITUTE(SUBSTITUTE(SUBSTITUTE(SUBSTITUTE(TRIM(G235),".",""),"/",""),"-","")," ",""),"(",""),")",""),"+",""))</f>
      </c>
      <c r="U235" s="6">
        <f>IF(T235="","",IF(LEN(T235)&lt;&gt;14,"ERRO: "&amp;LEN(T235)&amp;" dígitos",IF(NOT(ISNUMBER(VALUE(T235))),"ERRO: não numérico",IF(LEN(SUBSTITUTE(T235,LEFT(T235,1),""))=0,"ERRO: dígitos repetidos",IF(AND(VALUE(MID(T235,13,1))=IF(MOD(SUMPRODUCT(--MID(T235,{1,2,3,4,5,6,7,8,9,10,11,12},1),{5,4,3,2,9,8,7,6,5,4,3,2}),11)&lt;2,0,11-MOD(SUMPRODUCT(--MID(T235,{1,2,3,4,5,6,7,8,9,10,11,12},1),{5,4,3,2,9,8,7,6,5,4,3,2}),11)),VALUE(MID(T235,14,1))=IF(MOD(SUMPRODUCT(--MID(T235,{1,2,3,4,5,6,7,8,9,10,11,12,13},1),{6,5,4,3,2,9,8,7,6,5,4,3,2}),11)&lt;2,0,11-MOD(SUMPRODUCT(--MID(T235,{1,2,3,4,5,6,7,8,9,10,11,12,13},1),{6,5,4,3,2,9,8,7,6,5,4,3,2}),11))),"OK","ERRO: dígito verificador")))))</f>
      </c>
      <c r="V235" s="6">
        <f>IF(T235="","",IF(COUNTIF($T$2:$T$1001,T235)&gt;1,"DUPLICADO","OK"))</f>
      </c>
      <c r="W235" s="6">
        <f>IF(M235="","vazio",IF(OR(AND(LEN(SUBSTITUTE(SUBSTITUTE(SUBSTITUTE(SUBSTITUTE(SUBSTITUTE(SUBSTITUTE(SUBSTITUTE(TRIM(M235),".",""),"/",""),"-","")," ",""),"(",""),")",""),"+",""))=10,LEFT(SUBSTITUTE(SUBSTITUTE(SUBSTITUTE(SUBSTITUTE(SUBSTITUTE(SUBSTITUTE(SUBSTITUTE(TRIM(M235),".",""),"/",""),"-","")," ",""),"(",""),")",""),"+",""),1)&lt;&gt;"0"),AND(LEN(SUBSTITUTE(SUBSTITUTE(SUBSTITUTE(SUBSTITUTE(SUBSTITUTE(SUBSTITUTE(SUBSTITUTE(TRIM(M235),".",""),"/",""),"-","")," ",""),"(",""),")",""),"+",""))=11,LEFT(SUBSTITUTE(SUBSTITUTE(SUBSTITUTE(SUBSTITUTE(SUBSTITUTE(SUBSTITUTE(SUBSTITUTE(TRIM(M235),".",""),"/",""),"-","")," ",""),"(",""),")",""),"+",""),4)="0800")),"OK",IF(AND(LEN(SUBSTITUTE(SUBSTITUTE(SUBSTITUTE(SUBSTITUTE(SUBSTITUTE(SUBSTITUTE(SUBSTITUTE(TRIM(M235),".",""),"/",""),"-","")," ",""),"(",""),")",""),"+",""))=11,MID(SUBSTITUTE(SUBSTITUTE(SUBSTITUTE(SUBSTITUTE(SUBSTITUTE(SUBSTITUTE(SUBSTITUTE(TRIM(M235),".",""),"/",""),"-","")," ",""),"(",""),")",""),"+",""),3,1)="9"),"ERRO: é celular, use a coluna Celular","ERRO: DDD + 8 dígitos ou 0800 + 7")))</f>
      </c>
      <c r="X235" s="6">
        <f>IF(N235="","vazio",IF(AND(LEN(SUBSTITUTE(SUBSTITUTE(SUBSTITUTE(SUBSTITUTE(SUBSTITUTE(SUBSTITUTE(SUBSTITUTE(TRIM(N235),".",""),"/",""),"-","")," ",""),"(",""),")",""),"+",""))=11,MID(SUBSTITUTE(SUBSTITUTE(SUBSTITUTE(SUBSTITUTE(SUBSTITUTE(SUBSTITUTE(SUBSTITUTE(TRIM(N235),".",""),"/",""),"-","")," ",""),"(",""),")",""),"+",""),3,1)="9",LEFT(SUBSTITUTE(SUBSTITUTE(SUBSTITUTE(SUBSTITUTE(SUBSTITUTE(SUBSTITUTE(SUBSTITUTE(TRIM(N235),".",""),"/",""),"-","")," ",""),"(",""),")",""),"+",""),1)&lt;&gt;"0"),"OK",IF(LEN(SUBSTITUTE(SUBSTITUTE(SUBSTITUTE(SUBSTITUTE(SUBSTITUTE(SUBSTITUTE(SUBSTITUTE(TRIM(N235),".",""),"/",""),"-","")," ",""),"(",""),")",""),"+",""))=10,"ERRO: é fixo (ou falta o 9), use a coluna Telefone fixo","ERRO: DDD + 9 + 8 dígitos")))</f>
      </c>
      <c r="Y235" s="6">
        <f>IF(O235="","vazio",IF(AND(ISNUMBER(FIND("@",O235)),ISNUMBER(FIND(".",MID(O235,FIND("@",O235),99))),NOT(ISNUMBER(FIND(" ",TRIM(O235)))),NOT(ISNUMBER(FIND(";",O235))),NOT(ISNUMBER(FIND(",",O235)))),"OK","ERRO: um e-mail válido por linha"))</f>
      </c>
      <c r="Z235" s="6">
        <f>IF(AND(J235="",K235=""),"",IF(AND(J235&lt;&gt;"",K235&lt;&gt;""),"OK","pendente: só um nome (o GR completa ao converter)"))</f>
      </c>
      <c r="AA235" s="6">
        <f>IF(COUNTA(A235:S235)=0,"",IF(AND(A235&lt;&gt;"",B235&lt;&gt;"",C235&lt;&gt;"",D235&lt;&gt;"",E235&lt;&gt;"",F235&lt;&gt;"",G235&lt;&gt;"",H235&lt;&gt;"",OR(J235&lt;&gt;"",K235&lt;&gt;""),OR(M235&lt;&gt;"",N235&lt;&gt;"",O235&lt;&gt;"")),"OK","ERRO: faltam "&amp;IF(A235="","SDR; ","")&amp;IF(B235="","Proprietário; ","")&amp;IF(C235="","Origem; ","")&amp;IF(D235="","Temperatura; ","")&amp;IF(E235="","Segmento; ","")&amp;IF(F235="","Time/Cluster; ","")&amp;IF(G235="","CNPJ; ","")&amp;IF(H235="","Razão Social; ","")&amp;IF(AND(J235="",K235=""),"nome do contato; ","")&amp;IF(AND(M235="",N235="",O235=""),"telefone, celular ou e-mail; ","")))</f>
      </c>
      <c r="AB235" s="6">
        <f>IF(COUNTA(A235:S235)=0,"",IF(AND(U235="OK",V235="OK",LEFT(W235,4)&lt;&gt;"ERRO",LEFT(X235,4)&lt;&gt;"ERRO",LEFT(Y235,4)&lt;&gt;"ERRO",AA235="OK"),"OK","REVISAR"))</f>
      </c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5"/>
      <c r="K236" s="4"/>
      <c r="L236" s="4"/>
      <c r="M236" s="4"/>
      <c r="N236" s="4"/>
      <c r="O236" s="4"/>
      <c r="P236" s="4"/>
      <c r="Q236" s="4"/>
      <c r="R236" s="4"/>
      <c r="S236" s="4"/>
      <c r="T236" s="6">
        <f>IF(G236="","",SUBSTITUTE(SUBSTITUTE(SUBSTITUTE(SUBSTITUTE(SUBSTITUTE(SUBSTITUTE(SUBSTITUTE(TRIM(G236),".",""),"/",""),"-","")," ",""),"(",""),")",""),"+",""))</f>
      </c>
      <c r="U236" s="6">
        <f>IF(T236="","",IF(LEN(T236)&lt;&gt;14,"ERRO: "&amp;LEN(T236)&amp;" dígitos",IF(NOT(ISNUMBER(VALUE(T236))),"ERRO: não numérico",IF(LEN(SUBSTITUTE(T236,LEFT(T236,1),""))=0,"ERRO: dígitos repetidos",IF(AND(VALUE(MID(T236,13,1))=IF(MOD(SUMPRODUCT(--MID(T236,{1,2,3,4,5,6,7,8,9,10,11,12},1),{5,4,3,2,9,8,7,6,5,4,3,2}),11)&lt;2,0,11-MOD(SUMPRODUCT(--MID(T236,{1,2,3,4,5,6,7,8,9,10,11,12},1),{5,4,3,2,9,8,7,6,5,4,3,2}),11)),VALUE(MID(T236,14,1))=IF(MOD(SUMPRODUCT(--MID(T236,{1,2,3,4,5,6,7,8,9,10,11,12,13},1),{6,5,4,3,2,9,8,7,6,5,4,3,2}),11)&lt;2,0,11-MOD(SUMPRODUCT(--MID(T236,{1,2,3,4,5,6,7,8,9,10,11,12,13},1),{6,5,4,3,2,9,8,7,6,5,4,3,2}),11))),"OK","ERRO: dígito verificador")))))</f>
      </c>
      <c r="V236" s="6">
        <f>IF(T236="","",IF(COUNTIF($T$2:$T$1001,T236)&gt;1,"DUPLICADO","OK"))</f>
      </c>
      <c r="W236" s="6">
        <f>IF(M236="","vazio",IF(OR(AND(LEN(SUBSTITUTE(SUBSTITUTE(SUBSTITUTE(SUBSTITUTE(SUBSTITUTE(SUBSTITUTE(SUBSTITUTE(TRIM(M236),".",""),"/",""),"-","")," ",""),"(",""),")",""),"+",""))=10,LEFT(SUBSTITUTE(SUBSTITUTE(SUBSTITUTE(SUBSTITUTE(SUBSTITUTE(SUBSTITUTE(SUBSTITUTE(TRIM(M236),".",""),"/",""),"-","")," ",""),"(",""),")",""),"+",""),1)&lt;&gt;"0"),AND(LEN(SUBSTITUTE(SUBSTITUTE(SUBSTITUTE(SUBSTITUTE(SUBSTITUTE(SUBSTITUTE(SUBSTITUTE(TRIM(M236),".",""),"/",""),"-","")," ",""),"(",""),")",""),"+",""))=11,LEFT(SUBSTITUTE(SUBSTITUTE(SUBSTITUTE(SUBSTITUTE(SUBSTITUTE(SUBSTITUTE(SUBSTITUTE(TRIM(M236),".",""),"/",""),"-","")," ",""),"(",""),")",""),"+",""),4)="0800")),"OK",IF(AND(LEN(SUBSTITUTE(SUBSTITUTE(SUBSTITUTE(SUBSTITUTE(SUBSTITUTE(SUBSTITUTE(SUBSTITUTE(TRIM(M236),".",""),"/",""),"-","")," ",""),"(",""),")",""),"+",""))=11,MID(SUBSTITUTE(SUBSTITUTE(SUBSTITUTE(SUBSTITUTE(SUBSTITUTE(SUBSTITUTE(SUBSTITUTE(TRIM(M236),".",""),"/",""),"-","")," ",""),"(",""),")",""),"+",""),3,1)="9"),"ERRO: é celular, use a coluna Celular","ERRO: DDD + 8 dígitos ou 0800 + 7")))</f>
      </c>
      <c r="X236" s="6">
        <f>IF(N236="","vazio",IF(AND(LEN(SUBSTITUTE(SUBSTITUTE(SUBSTITUTE(SUBSTITUTE(SUBSTITUTE(SUBSTITUTE(SUBSTITUTE(TRIM(N236),".",""),"/",""),"-","")," ",""),"(",""),")",""),"+",""))=11,MID(SUBSTITUTE(SUBSTITUTE(SUBSTITUTE(SUBSTITUTE(SUBSTITUTE(SUBSTITUTE(SUBSTITUTE(TRIM(N236),".",""),"/",""),"-","")," ",""),"(",""),")",""),"+",""),3,1)="9",LEFT(SUBSTITUTE(SUBSTITUTE(SUBSTITUTE(SUBSTITUTE(SUBSTITUTE(SUBSTITUTE(SUBSTITUTE(TRIM(N236),".",""),"/",""),"-","")," ",""),"(",""),")",""),"+",""),1)&lt;&gt;"0"),"OK",IF(LEN(SUBSTITUTE(SUBSTITUTE(SUBSTITUTE(SUBSTITUTE(SUBSTITUTE(SUBSTITUTE(SUBSTITUTE(TRIM(N236),".",""),"/",""),"-","")," ",""),"(",""),")",""),"+",""))=10,"ERRO: é fixo (ou falta o 9), use a coluna Telefone fixo","ERRO: DDD + 9 + 8 dígitos")))</f>
      </c>
      <c r="Y236" s="6">
        <f>IF(O236="","vazio",IF(AND(ISNUMBER(FIND("@",O236)),ISNUMBER(FIND(".",MID(O236,FIND("@",O236),99))),NOT(ISNUMBER(FIND(" ",TRIM(O236)))),NOT(ISNUMBER(FIND(";",O236))),NOT(ISNUMBER(FIND(",",O236)))),"OK","ERRO: um e-mail válido por linha"))</f>
      </c>
      <c r="Z236" s="6">
        <f>IF(AND(J236="",K236=""),"",IF(AND(J236&lt;&gt;"",K236&lt;&gt;""),"OK","pendente: só um nome (o GR completa ao converter)"))</f>
      </c>
      <c r="AA236" s="6">
        <f>IF(COUNTA(A236:S236)=0,"",IF(AND(A236&lt;&gt;"",B236&lt;&gt;"",C236&lt;&gt;"",D236&lt;&gt;"",E236&lt;&gt;"",F236&lt;&gt;"",G236&lt;&gt;"",H236&lt;&gt;"",OR(J236&lt;&gt;"",K236&lt;&gt;""),OR(M236&lt;&gt;"",N236&lt;&gt;"",O236&lt;&gt;"")),"OK","ERRO: faltam "&amp;IF(A236="","SDR; ","")&amp;IF(B236="","Proprietário; ","")&amp;IF(C236="","Origem; ","")&amp;IF(D236="","Temperatura; ","")&amp;IF(E236="","Segmento; ","")&amp;IF(F236="","Time/Cluster; ","")&amp;IF(G236="","CNPJ; ","")&amp;IF(H236="","Razão Social; ","")&amp;IF(AND(J236="",K236=""),"nome do contato; ","")&amp;IF(AND(M236="",N236="",O236=""),"telefone, celular ou e-mail; ","")))</f>
      </c>
      <c r="AB236" s="6">
        <f>IF(COUNTA(A236:S236)=0,"",IF(AND(U236="OK",V236="OK",LEFT(W236,4)&lt;&gt;"ERRO",LEFT(X236,4)&lt;&gt;"ERRO",LEFT(Y236,4)&lt;&gt;"ERRO",AA236="OK"),"OK","REVISAR"))</f>
      </c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5"/>
      <c r="K237" s="4"/>
      <c r="L237" s="4"/>
      <c r="M237" s="4"/>
      <c r="N237" s="4"/>
      <c r="O237" s="4"/>
      <c r="P237" s="4"/>
      <c r="Q237" s="4"/>
      <c r="R237" s="4"/>
      <c r="S237" s="4"/>
      <c r="T237" s="6">
        <f>IF(G237="","",SUBSTITUTE(SUBSTITUTE(SUBSTITUTE(SUBSTITUTE(SUBSTITUTE(SUBSTITUTE(SUBSTITUTE(TRIM(G237),".",""),"/",""),"-","")," ",""),"(",""),")",""),"+",""))</f>
      </c>
      <c r="U237" s="6">
        <f>IF(T237="","",IF(LEN(T237)&lt;&gt;14,"ERRO: "&amp;LEN(T237)&amp;" dígitos",IF(NOT(ISNUMBER(VALUE(T237))),"ERRO: não numérico",IF(LEN(SUBSTITUTE(T237,LEFT(T237,1),""))=0,"ERRO: dígitos repetidos",IF(AND(VALUE(MID(T237,13,1))=IF(MOD(SUMPRODUCT(--MID(T237,{1,2,3,4,5,6,7,8,9,10,11,12},1),{5,4,3,2,9,8,7,6,5,4,3,2}),11)&lt;2,0,11-MOD(SUMPRODUCT(--MID(T237,{1,2,3,4,5,6,7,8,9,10,11,12},1),{5,4,3,2,9,8,7,6,5,4,3,2}),11)),VALUE(MID(T237,14,1))=IF(MOD(SUMPRODUCT(--MID(T237,{1,2,3,4,5,6,7,8,9,10,11,12,13},1),{6,5,4,3,2,9,8,7,6,5,4,3,2}),11)&lt;2,0,11-MOD(SUMPRODUCT(--MID(T237,{1,2,3,4,5,6,7,8,9,10,11,12,13},1),{6,5,4,3,2,9,8,7,6,5,4,3,2}),11))),"OK","ERRO: dígito verificador")))))</f>
      </c>
      <c r="V237" s="6">
        <f>IF(T237="","",IF(COUNTIF($T$2:$T$1001,T237)&gt;1,"DUPLICADO","OK"))</f>
      </c>
      <c r="W237" s="6">
        <f>IF(M237="","vazio",IF(OR(AND(LEN(SUBSTITUTE(SUBSTITUTE(SUBSTITUTE(SUBSTITUTE(SUBSTITUTE(SUBSTITUTE(SUBSTITUTE(TRIM(M237),".",""),"/",""),"-","")," ",""),"(",""),")",""),"+",""))=10,LEFT(SUBSTITUTE(SUBSTITUTE(SUBSTITUTE(SUBSTITUTE(SUBSTITUTE(SUBSTITUTE(SUBSTITUTE(TRIM(M237),".",""),"/",""),"-","")," ",""),"(",""),")",""),"+",""),1)&lt;&gt;"0"),AND(LEN(SUBSTITUTE(SUBSTITUTE(SUBSTITUTE(SUBSTITUTE(SUBSTITUTE(SUBSTITUTE(SUBSTITUTE(TRIM(M237),".",""),"/",""),"-","")," ",""),"(",""),")",""),"+",""))=11,LEFT(SUBSTITUTE(SUBSTITUTE(SUBSTITUTE(SUBSTITUTE(SUBSTITUTE(SUBSTITUTE(SUBSTITUTE(TRIM(M237),".",""),"/",""),"-","")," ",""),"(",""),")",""),"+",""),4)="0800")),"OK",IF(AND(LEN(SUBSTITUTE(SUBSTITUTE(SUBSTITUTE(SUBSTITUTE(SUBSTITUTE(SUBSTITUTE(SUBSTITUTE(TRIM(M237),".",""),"/",""),"-","")," ",""),"(",""),")",""),"+",""))=11,MID(SUBSTITUTE(SUBSTITUTE(SUBSTITUTE(SUBSTITUTE(SUBSTITUTE(SUBSTITUTE(SUBSTITUTE(TRIM(M237),".",""),"/",""),"-","")," ",""),"(",""),")",""),"+",""),3,1)="9"),"ERRO: é celular, use a coluna Celular","ERRO: DDD + 8 dígitos ou 0800 + 7")))</f>
      </c>
      <c r="X237" s="6">
        <f>IF(N237="","vazio",IF(AND(LEN(SUBSTITUTE(SUBSTITUTE(SUBSTITUTE(SUBSTITUTE(SUBSTITUTE(SUBSTITUTE(SUBSTITUTE(TRIM(N237),".",""),"/",""),"-","")," ",""),"(",""),")",""),"+",""))=11,MID(SUBSTITUTE(SUBSTITUTE(SUBSTITUTE(SUBSTITUTE(SUBSTITUTE(SUBSTITUTE(SUBSTITUTE(TRIM(N237),".",""),"/",""),"-","")," ",""),"(",""),")",""),"+",""),3,1)="9",LEFT(SUBSTITUTE(SUBSTITUTE(SUBSTITUTE(SUBSTITUTE(SUBSTITUTE(SUBSTITUTE(SUBSTITUTE(TRIM(N237),".",""),"/",""),"-","")," ",""),"(",""),")",""),"+",""),1)&lt;&gt;"0"),"OK",IF(LEN(SUBSTITUTE(SUBSTITUTE(SUBSTITUTE(SUBSTITUTE(SUBSTITUTE(SUBSTITUTE(SUBSTITUTE(TRIM(N237),".",""),"/",""),"-","")," ",""),"(",""),")",""),"+",""))=10,"ERRO: é fixo (ou falta o 9), use a coluna Telefone fixo","ERRO: DDD + 9 + 8 dígitos")))</f>
      </c>
      <c r="Y237" s="6">
        <f>IF(O237="","vazio",IF(AND(ISNUMBER(FIND("@",O237)),ISNUMBER(FIND(".",MID(O237,FIND("@",O237),99))),NOT(ISNUMBER(FIND(" ",TRIM(O237)))),NOT(ISNUMBER(FIND(";",O237))),NOT(ISNUMBER(FIND(",",O237)))),"OK","ERRO: um e-mail válido por linha"))</f>
      </c>
      <c r="Z237" s="6">
        <f>IF(AND(J237="",K237=""),"",IF(AND(J237&lt;&gt;"",K237&lt;&gt;""),"OK","pendente: só um nome (o GR completa ao converter)"))</f>
      </c>
      <c r="AA237" s="6">
        <f>IF(COUNTA(A237:S237)=0,"",IF(AND(A237&lt;&gt;"",B237&lt;&gt;"",C237&lt;&gt;"",D237&lt;&gt;"",E237&lt;&gt;"",F237&lt;&gt;"",G237&lt;&gt;"",H237&lt;&gt;"",OR(J237&lt;&gt;"",K237&lt;&gt;""),OR(M237&lt;&gt;"",N237&lt;&gt;"",O237&lt;&gt;"")),"OK","ERRO: faltam "&amp;IF(A237="","SDR; ","")&amp;IF(B237="","Proprietário; ","")&amp;IF(C237="","Origem; ","")&amp;IF(D237="","Temperatura; ","")&amp;IF(E237="","Segmento; ","")&amp;IF(F237="","Time/Cluster; ","")&amp;IF(G237="","CNPJ; ","")&amp;IF(H237="","Razão Social; ","")&amp;IF(AND(J237="",K237=""),"nome do contato; ","")&amp;IF(AND(M237="",N237="",O237=""),"telefone, celular ou e-mail; ","")))</f>
      </c>
      <c r="AB237" s="6">
        <f>IF(COUNTA(A237:S237)=0,"",IF(AND(U237="OK",V237="OK",LEFT(W237,4)&lt;&gt;"ERRO",LEFT(X237,4)&lt;&gt;"ERRO",LEFT(Y237,4)&lt;&gt;"ERRO",AA237="OK"),"OK","REVISAR"))</f>
      </c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5"/>
      <c r="K238" s="4"/>
      <c r="L238" s="4"/>
      <c r="M238" s="4"/>
      <c r="N238" s="4"/>
      <c r="O238" s="4"/>
      <c r="P238" s="4"/>
      <c r="Q238" s="4"/>
      <c r="R238" s="4"/>
      <c r="S238" s="4"/>
      <c r="T238" s="6">
        <f>IF(G238="","",SUBSTITUTE(SUBSTITUTE(SUBSTITUTE(SUBSTITUTE(SUBSTITUTE(SUBSTITUTE(SUBSTITUTE(TRIM(G238),".",""),"/",""),"-","")," ",""),"(",""),")",""),"+",""))</f>
      </c>
      <c r="U238" s="6">
        <f>IF(T238="","",IF(LEN(T238)&lt;&gt;14,"ERRO: "&amp;LEN(T238)&amp;" dígitos",IF(NOT(ISNUMBER(VALUE(T238))),"ERRO: não numérico",IF(LEN(SUBSTITUTE(T238,LEFT(T238,1),""))=0,"ERRO: dígitos repetidos",IF(AND(VALUE(MID(T238,13,1))=IF(MOD(SUMPRODUCT(--MID(T238,{1,2,3,4,5,6,7,8,9,10,11,12},1),{5,4,3,2,9,8,7,6,5,4,3,2}),11)&lt;2,0,11-MOD(SUMPRODUCT(--MID(T238,{1,2,3,4,5,6,7,8,9,10,11,12},1),{5,4,3,2,9,8,7,6,5,4,3,2}),11)),VALUE(MID(T238,14,1))=IF(MOD(SUMPRODUCT(--MID(T238,{1,2,3,4,5,6,7,8,9,10,11,12,13},1),{6,5,4,3,2,9,8,7,6,5,4,3,2}),11)&lt;2,0,11-MOD(SUMPRODUCT(--MID(T238,{1,2,3,4,5,6,7,8,9,10,11,12,13},1),{6,5,4,3,2,9,8,7,6,5,4,3,2}),11))),"OK","ERRO: dígito verificador")))))</f>
      </c>
      <c r="V238" s="6">
        <f>IF(T238="","",IF(COUNTIF($T$2:$T$1001,T238)&gt;1,"DUPLICADO","OK"))</f>
      </c>
      <c r="W238" s="6">
        <f>IF(M238="","vazio",IF(OR(AND(LEN(SUBSTITUTE(SUBSTITUTE(SUBSTITUTE(SUBSTITUTE(SUBSTITUTE(SUBSTITUTE(SUBSTITUTE(TRIM(M238),".",""),"/",""),"-","")," ",""),"(",""),")",""),"+",""))=10,LEFT(SUBSTITUTE(SUBSTITUTE(SUBSTITUTE(SUBSTITUTE(SUBSTITUTE(SUBSTITUTE(SUBSTITUTE(TRIM(M238),".",""),"/",""),"-","")," ",""),"(",""),")",""),"+",""),1)&lt;&gt;"0"),AND(LEN(SUBSTITUTE(SUBSTITUTE(SUBSTITUTE(SUBSTITUTE(SUBSTITUTE(SUBSTITUTE(SUBSTITUTE(TRIM(M238),".",""),"/",""),"-","")," ",""),"(",""),")",""),"+",""))=11,LEFT(SUBSTITUTE(SUBSTITUTE(SUBSTITUTE(SUBSTITUTE(SUBSTITUTE(SUBSTITUTE(SUBSTITUTE(TRIM(M238),".",""),"/",""),"-","")," ",""),"(",""),")",""),"+",""),4)="0800")),"OK",IF(AND(LEN(SUBSTITUTE(SUBSTITUTE(SUBSTITUTE(SUBSTITUTE(SUBSTITUTE(SUBSTITUTE(SUBSTITUTE(TRIM(M238),".",""),"/",""),"-","")," ",""),"(",""),")",""),"+",""))=11,MID(SUBSTITUTE(SUBSTITUTE(SUBSTITUTE(SUBSTITUTE(SUBSTITUTE(SUBSTITUTE(SUBSTITUTE(TRIM(M238),".",""),"/",""),"-","")," ",""),"(",""),")",""),"+",""),3,1)="9"),"ERRO: é celular, use a coluna Celular","ERRO: DDD + 8 dígitos ou 0800 + 7")))</f>
      </c>
      <c r="X238" s="6">
        <f>IF(N238="","vazio",IF(AND(LEN(SUBSTITUTE(SUBSTITUTE(SUBSTITUTE(SUBSTITUTE(SUBSTITUTE(SUBSTITUTE(SUBSTITUTE(TRIM(N238),".",""),"/",""),"-","")," ",""),"(",""),")",""),"+",""))=11,MID(SUBSTITUTE(SUBSTITUTE(SUBSTITUTE(SUBSTITUTE(SUBSTITUTE(SUBSTITUTE(SUBSTITUTE(TRIM(N238),".",""),"/",""),"-","")," ",""),"(",""),")",""),"+",""),3,1)="9",LEFT(SUBSTITUTE(SUBSTITUTE(SUBSTITUTE(SUBSTITUTE(SUBSTITUTE(SUBSTITUTE(SUBSTITUTE(TRIM(N238),".",""),"/",""),"-","")," ",""),"(",""),")",""),"+",""),1)&lt;&gt;"0"),"OK",IF(LEN(SUBSTITUTE(SUBSTITUTE(SUBSTITUTE(SUBSTITUTE(SUBSTITUTE(SUBSTITUTE(SUBSTITUTE(TRIM(N238),".",""),"/",""),"-","")," ",""),"(",""),")",""),"+",""))=10,"ERRO: é fixo (ou falta o 9), use a coluna Telefone fixo","ERRO: DDD + 9 + 8 dígitos")))</f>
      </c>
      <c r="Y238" s="6">
        <f>IF(O238="","vazio",IF(AND(ISNUMBER(FIND("@",O238)),ISNUMBER(FIND(".",MID(O238,FIND("@",O238),99))),NOT(ISNUMBER(FIND(" ",TRIM(O238)))),NOT(ISNUMBER(FIND(";",O238))),NOT(ISNUMBER(FIND(",",O238)))),"OK","ERRO: um e-mail válido por linha"))</f>
      </c>
      <c r="Z238" s="6">
        <f>IF(AND(J238="",K238=""),"",IF(AND(J238&lt;&gt;"",K238&lt;&gt;""),"OK","pendente: só um nome (o GR completa ao converter)"))</f>
      </c>
      <c r="AA238" s="6">
        <f>IF(COUNTA(A238:S238)=0,"",IF(AND(A238&lt;&gt;"",B238&lt;&gt;"",C238&lt;&gt;"",D238&lt;&gt;"",E238&lt;&gt;"",F238&lt;&gt;"",G238&lt;&gt;"",H238&lt;&gt;"",OR(J238&lt;&gt;"",K238&lt;&gt;""),OR(M238&lt;&gt;"",N238&lt;&gt;"",O238&lt;&gt;"")),"OK","ERRO: faltam "&amp;IF(A238="","SDR; ","")&amp;IF(B238="","Proprietário; ","")&amp;IF(C238="","Origem; ","")&amp;IF(D238="","Temperatura; ","")&amp;IF(E238="","Segmento; ","")&amp;IF(F238="","Time/Cluster; ","")&amp;IF(G238="","CNPJ; ","")&amp;IF(H238="","Razão Social; ","")&amp;IF(AND(J238="",K238=""),"nome do contato; ","")&amp;IF(AND(M238="",N238="",O238=""),"telefone, celular ou e-mail; ","")))</f>
      </c>
      <c r="AB238" s="6">
        <f>IF(COUNTA(A238:S238)=0,"",IF(AND(U238="OK",V238="OK",LEFT(W238,4)&lt;&gt;"ERRO",LEFT(X238,4)&lt;&gt;"ERRO",LEFT(Y238,4)&lt;&gt;"ERRO",AA238="OK"),"OK","REVISAR"))</f>
      </c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5"/>
      <c r="K239" s="4"/>
      <c r="L239" s="4"/>
      <c r="M239" s="4"/>
      <c r="N239" s="4"/>
      <c r="O239" s="4"/>
      <c r="P239" s="4"/>
      <c r="Q239" s="4"/>
      <c r="R239" s="4"/>
      <c r="S239" s="4"/>
      <c r="T239" s="6">
        <f>IF(G239="","",SUBSTITUTE(SUBSTITUTE(SUBSTITUTE(SUBSTITUTE(SUBSTITUTE(SUBSTITUTE(SUBSTITUTE(TRIM(G239),".",""),"/",""),"-","")," ",""),"(",""),")",""),"+",""))</f>
      </c>
      <c r="U239" s="6">
        <f>IF(T239="","",IF(LEN(T239)&lt;&gt;14,"ERRO: "&amp;LEN(T239)&amp;" dígitos",IF(NOT(ISNUMBER(VALUE(T239))),"ERRO: não numérico",IF(LEN(SUBSTITUTE(T239,LEFT(T239,1),""))=0,"ERRO: dígitos repetidos",IF(AND(VALUE(MID(T239,13,1))=IF(MOD(SUMPRODUCT(--MID(T239,{1,2,3,4,5,6,7,8,9,10,11,12},1),{5,4,3,2,9,8,7,6,5,4,3,2}),11)&lt;2,0,11-MOD(SUMPRODUCT(--MID(T239,{1,2,3,4,5,6,7,8,9,10,11,12},1),{5,4,3,2,9,8,7,6,5,4,3,2}),11)),VALUE(MID(T239,14,1))=IF(MOD(SUMPRODUCT(--MID(T239,{1,2,3,4,5,6,7,8,9,10,11,12,13},1),{6,5,4,3,2,9,8,7,6,5,4,3,2}),11)&lt;2,0,11-MOD(SUMPRODUCT(--MID(T239,{1,2,3,4,5,6,7,8,9,10,11,12,13},1),{6,5,4,3,2,9,8,7,6,5,4,3,2}),11))),"OK","ERRO: dígito verificador")))))</f>
      </c>
      <c r="V239" s="6">
        <f>IF(T239="","",IF(COUNTIF($T$2:$T$1001,T239)&gt;1,"DUPLICADO","OK"))</f>
      </c>
      <c r="W239" s="6">
        <f>IF(M239="","vazio",IF(OR(AND(LEN(SUBSTITUTE(SUBSTITUTE(SUBSTITUTE(SUBSTITUTE(SUBSTITUTE(SUBSTITUTE(SUBSTITUTE(TRIM(M239),".",""),"/",""),"-","")," ",""),"(",""),")",""),"+",""))=10,LEFT(SUBSTITUTE(SUBSTITUTE(SUBSTITUTE(SUBSTITUTE(SUBSTITUTE(SUBSTITUTE(SUBSTITUTE(TRIM(M239),".",""),"/",""),"-","")," ",""),"(",""),")",""),"+",""),1)&lt;&gt;"0"),AND(LEN(SUBSTITUTE(SUBSTITUTE(SUBSTITUTE(SUBSTITUTE(SUBSTITUTE(SUBSTITUTE(SUBSTITUTE(TRIM(M239),".",""),"/",""),"-","")," ",""),"(",""),")",""),"+",""))=11,LEFT(SUBSTITUTE(SUBSTITUTE(SUBSTITUTE(SUBSTITUTE(SUBSTITUTE(SUBSTITUTE(SUBSTITUTE(TRIM(M239),".",""),"/",""),"-","")," ",""),"(",""),")",""),"+",""),4)="0800")),"OK",IF(AND(LEN(SUBSTITUTE(SUBSTITUTE(SUBSTITUTE(SUBSTITUTE(SUBSTITUTE(SUBSTITUTE(SUBSTITUTE(TRIM(M239),".",""),"/",""),"-","")," ",""),"(",""),")",""),"+",""))=11,MID(SUBSTITUTE(SUBSTITUTE(SUBSTITUTE(SUBSTITUTE(SUBSTITUTE(SUBSTITUTE(SUBSTITUTE(TRIM(M239),".",""),"/",""),"-","")," ",""),"(",""),")",""),"+",""),3,1)="9"),"ERRO: é celular, use a coluna Celular","ERRO: DDD + 8 dígitos ou 0800 + 7")))</f>
      </c>
      <c r="X239" s="6">
        <f>IF(N239="","vazio",IF(AND(LEN(SUBSTITUTE(SUBSTITUTE(SUBSTITUTE(SUBSTITUTE(SUBSTITUTE(SUBSTITUTE(SUBSTITUTE(TRIM(N239),".",""),"/",""),"-","")," ",""),"(",""),")",""),"+",""))=11,MID(SUBSTITUTE(SUBSTITUTE(SUBSTITUTE(SUBSTITUTE(SUBSTITUTE(SUBSTITUTE(SUBSTITUTE(TRIM(N239),".",""),"/",""),"-","")," ",""),"(",""),")",""),"+",""),3,1)="9",LEFT(SUBSTITUTE(SUBSTITUTE(SUBSTITUTE(SUBSTITUTE(SUBSTITUTE(SUBSTITUTE(SUBSTITUTE(TRIM(N239),".",""),"/",""),"-","")," ",""),"(",""),")",""),"+",""),1)&lt;&gt;"0"),"OK",IF(LEN(SUBSTITUTE(SUBSTITUTE(SUBSTITUTE(SUBSTITUTE(SUBSTITUTE(SUBSTITUTE(SUBSTITUTE(TRIM(N239),".",""),"/",""),"-","")," ",""),"(",""),")",""),"+",""))=10,"ERRO: é fixo (ou falta o 9), use a coluna Telefone fixo","ERRO: DDD + 9 + 8 dígitos")))</f>
      </c>
      <c r="Y239" s="6">
        <f>IF(O239="","vazio",IF(AND(ISNUMBER(FIND("@",O239)),ISNUMBER(FIND(".",MID(O239,FIND("@",O239),99))),NOT(ISNUMBER(FIND(" ",TRIM(O239)))),NOT(ISNUMBER(FIND(";",O239))),NOT(ISNUMBER(FIND(",",O239)))),"OK","ERRO: um e-mail válido por linha"))</f>
      </c>
      <c r="Z239" s="6">
        <f>IF(AND(J239="",K239=""),"",IF(AND(J239&lt;&gt;"",K239&lt;&gt;""),"OK","pendente: só um nome (o GR completa ao converter)"))</f>
      </c>
      <c r="AA239" s="6">
        <f>IF(COUNTA(A239:S239)=0,"",IF(AND(A239&lt;&gt;"",B239&lt;&gt;"",C239&lt;&gt;"",D239&lt;&gt;"",E239&lt;&gt;"",F239&lt;&gt;"",G239&lt;&gt;"",H239&lt;&gt;"",OR(J239&lt;&gt;"",K239&lt;&gt;""),OR(M239&lt;&gt;"",N239&lt;&gt;"",O239&lt;&gt;"")),"OK","ERRO: faltam "&amp;IF(A239="","SDR; ","")&amp;IF(B239="","Proprietário; ","")&amp;IF(C239="","Origem; ","")&amp;IF(D239="","Temperatura; ","")&amp;IF(E239="","Segmento; ","")&amp;IF(F239="","Time/Cluster; ","")&amp;IF(G239="","CNPJ; ","")&amp;IF(H239="","Razão Social; ","")&amp;IF(AND(J239="",K239=""),"nome do contato; ","")&amp;IF(AND(M239="",N239="",O239=""),"telefone, celular ou e-mail; ","")))</f>
      </c>
      <c r="AB239" s="6">
        <f>IF(COUNTA(A239:S239)=0,"",IF(AND(U239="OK",V239="OK",LEFT(W239,4)&lt;&gt;"ERRO",LEFT(X239,4)&lt;&gt;"ERRO",LEFT(Y239,4)&lt;&gt;"ERRO",AA239="OK"),"OK","REVISAR"))</f>
      </c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5"/>
      <c r="K240" s="4"/>
      <c r="L240" s="4"/>
      <c r="M240" s="4"/>
      <c r="N240" s="4"/>
      <c r="O240" s="4"/>
      <c r="P240" s="4"/>
      <c r="Q240" s="4"/>
      <c r="R240" s="4"/>
      <c r="S240" s="4"/>
      <c r="T240" s="6">
        <f>IF(G240="","",SUBSTITUTE(SUBSTITUTE(SUBSTITUTE(SUBSTITUTE(SUBSTITUTE(SUBSTITUTE(SUBSTITUTE(TRIM(G240),".",""),"/",""),"-","")," ",""),"(",""),")",""),"+",""))</f>
      </c>
      <c r="U240" s="6">
        <f>IF(T240="","",IF(LEN(T240)&lt;&gt;14,"ERRO: "&amp;LEN(T240)&amp;" dígitos",IF(NOT(ISNUMBER(VALUE(T240))),"ERRO: não numérico",IF(LEN(SUBSTITUTE(T240,LEFT(T240,1),""))=0,"ERRO: dígitos repetidos",IF(AND(VALUE(MID(T240,13,1))=IF(MOD(SUMPRODUCT(--MID(T240,{1,2,3,4,5,6,7,8,9,10,11,12},1),{5,4,3,2,9,8,7,6,5,4,3,2}),11)&lt;2,0,11-MOD(SUMPRODUCT(--MID(T240,{1,2,3,4,5,6,7,8,9,10,11,12},1),{5,4,3,2,9,8,7,6,5,4,3,2}),11)),VALUE(MID(T240,14,1))=IF(MOD(SUMPRODUCT(--MID(T240,{1,2,3,4,5,6,7,8,9,10,11,12,13},1),{6,5,4,3,2,9,8,7,6,5,4,3,2}),11)&lt;2,0,11-MOD(SUMPRODUCT(--MID(T240,{1,2,3,4,5,6,7,8,9,10,11,12,13},1),{6,5,4,3,2,9,8,7,6,5,4,3,2}),11))),"OK","ERRO: dígito verificador")))))</f>
      </c>
      <c r="V240" s="6">
        <f>IF(T240="","",IF(COUNTIF($T$2:$T$1001,T240)&gt;1,"DUPLICADO","OK"))</f>
      </c>
      <c r="W240" s="6">
        <f>IF(M240="","vazio",IF(OR(AND(LEN(SUBSTITUTE(SUBSTITUTE(SUBSTITUTE(SUBSTITUTE(SUBSTITUTE(SUBSTITUTE(SUBSTITUTE(TRIM(M240),".",""),"/",""),"-","")," ",""),"(",""),")",""),"+",""))=10,LEFT(SUBSTITUTE(SUBSTITUTE(SUBSTITUTE(SUBSTITUTE(SUBSTITUTE(SUBSTITUTE(SUBSTITUTE(TRIM(M240),".",""),"/",""),"-","")," ",""),"(",""),")",""),"+",""),1)&lt;&gt;"0"),AND(LEN(SUBSTITUTE(SUBSTITUTE(SUBSTITUTE(SUBSTITUTE(SUBSTITUTE(SUBSTITUTE(SUBSTITUTE(TRIM(M240),".",""),"/",""),"-","")," ",""),"(",""),")",""),"+",""))=11,LEFT(SUBSTITUTE(SUBSTITUTE(SUBSTITUTE(SUBSTITUTE(SUBSTITUTE(SUBSTITUTE(SUBSTITUTE(TRIM(M240),".",""),"/",""),"-","")," ",""),"(",""),")",""),"+",""),4)="0800")),"OK",IF(AND(LEN(SUBSTITUTE(SUBSTITUTE(SUBSTITUTE(SUBSTITUTE(SUBSTITUTE(SUBSTITUTE(SUBSTITUTE(TRIM(M240),".",""),"/",""),"-","")," ",""),"(",""),")",""),"+",""))=11,MID(SUBSTITUTE(SUBSTITUTE(SUBSTITUTE(SUBSTITUTE(SUBSTITUTE(SUBSTITUTE(SUBSTITUTE(TRIM(M240),".",""),"/",""),"-","")," ",""),"(",""),")",""),"+",""),3,1)="9"),"ERRO: é celular, use a coluna Celular","ERRO: DDD + 8 dígitos ou 0800 + 7")))</f>
      </c>
      <c r="X240" s="6">
        <f>IF(N240="","vazio",IF(AND(LEN(SUBSTITUTE(SUBSTITUTE(SUBSTITUTE(SUBSTITUTE(SUBSTITUTE(SUBSTITUTE(SUBSTITUTE(TRIM(N240),".",""),"/",""),"-","")," ",""),"(",""),")",""),"+",""))=11,MID(SUBSTITUTE(SUBSTITUTE(SUBSTITUTE(SUBSTITUTE(SUBSTITUTE(SUBSTITUTE(SUBSTITUTE(TRIM(N240),".",""),"/",""),"-","")," ",""),"(",""),")",""),"+",""),3,1)="9",LEFT(SUBSTITUTE(SUBSTITUTE(SUBSTITUTE(SUBSTITUTE(SUBSTITUTE(SUBSTITUTE(SUBSTITUTE(TRIM(N240),".",""),"/",""),"-","")," ",""),"(",""),")",""),"+",""),1)&lt;&gt;"0"),"OK",IF(LEN(SUBSTITUTE(SUBSTITUTE(SUBSTITUTE(SUBSTITUTE(SUBSTITUTE(SUBSTITUTE(SUBSTITUTE(TRIM(N240),".",""),"/",""),"-","")," ",""),"(",""),")",""),"+",""))=10,"ERRO: é fixo (ou falta o 9), use a coluna Telefone fixo","ERRO: DDD + 9 + 8 dígitos")))</f>
      </c>
      <c r="Y240" s="6">
        <f>IF(O240="","vazio",IF(AND(ISNUMBER(FIND("@",O240)),ISNUMBER(FIND(".",MID(O240,FIND("@",O240),99))),NOT(ISNUMBER(FIND(" ",TRIM(O240)))),NOT(ISNUMBER(FIND(";",O240))),NOT(ISNUMBER(FIND(",",O240)))),"OK","ERRO: um e-mail válido por linha"))</f>
      </c>
      <c r="Z240" s="6">
        <f>IF(AND(J240="",K240=""),"",IF(AND(J240&lt;&gt;"",K240&lt;&gt;""),"OK","pendente: só um nome (o GR completa ao converter)"))</f>
      </c>
      <c r="AA240" s="6">
        <f>IF(COUNTA(A240:S240)=0,"",IF(AND(A240&lt;&gt;"",B240&lt;&gt;"",C240&lt;&gt;"",D240&lt;&gt;"",E240&lt;&gt;"",F240&lt;&gt;"",G240&lt;&gt;"",H240&lt;&gt;"",OR(J240&lt;&gt;"",K240&lt;&gt;""),OR(M240&lt;&gt;"",N240&lt;&gt;"",O240&lt;&gt;"")),"OK","ERRO: faltam "&amp;IF(A240="","SDR; ","")&amp;IF(B240="","Proprietário; ","")&amp;IF(C240="","Origem; ","")&amp;IF(D240="","Temperatura; ","")&amp;IF(E240="","Segmento; ","")&amp;IF(F240="","Time/Cluster; ","")&amp;IF(G240="","CNPJ; ","")&amp;IF(H240="","Razão Social; ","")&amp;IF(AND(J240="",K240=""),"nome do contato; ","")&amp;IF(AND(M240="",N240="",O240=""),"telefone, celular ou e-mail; ","")))</f>
      </c>
      <c r="AB240" s="6">
        <f>IF(COUNTA(A240:S240)=0,"",IF(AND(U240="OK",V240="OK",LEFT(W240,4)&lt;&gt;"ERRO",LEFT(X240,4)&lt;&gt;"ERRO",LEFT(Y240,4)&lt;&gt;"ERRO",AA240="OK"),"OK","REVISAR"))</f>
      </c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5"/>
      <c r="K241" s="4"/>
      <c r="L241" s="4"/>
      <c r="M241" s="4"/>
      <c r="N241" s="4"/>
      <c r="O241" s="4"/>
      <c r="P241" s="4"/>
      <c r="Q241" s="4"/>
      <c r="R241" s="4"/>
      <c r="S241" s="4"/>
      <c r="T241" s="6">
        <f>IF(G241="","",SUBSTITUTE(SUBSTITUTE(SUBSTITUTE(SUBSTITUTE(SUBSTITUTE(SUBSTITUTE(SUBSTITUTE(TRIM(G241),".",""),"/",""),"-","")," ",""),"(",""),")",""),"+",""))</f>
      </c>
      <c r="U241" s="6">
        <f>IF(T241="","",IF(LEN(T241)&lt;&gt;14,"ERRO: "&amp;LEN(T241)&amp;" dígitos",IF(NOT(ISNUMBER(VALUE(T241))),"ERRO: não numérico",IF(LEN(SUBSTITUTE(T241,LEFT(T241,1),""))=0,"ERRO: dígitos repetidos",IF(AND(VALUE(MID(T241,13,1))=IF(MOD(SUMPRODUCT(--MID(T241,{1,2,3,4,5,6,7,8,9,10,11,12},1),{5,4,3,2,9,8,7,6,5,4,3,2}),11)&lt;2,0,11-MOD(SUMPRODUCT(--MID(T241,{1,2,3,4,5,6,7,8,9,10,11,12},1),{5,4,3,2,9,8,7,6,5,4,3,2}),11)),VALUE(MID(T241,14,1))=IF(MOD(SUMPRODUCT(--MID(T241,{1,2,3,4,5,6,7,8,9,10,11,12,13},1),{6,5,4,3,2,9,8,7,6,5,4,3,2}),11)&lt;2,0,11-MOD(SUMPRODUCT(--MID(T241,{1,2,3,4,5,6,7,8,9,10,11,12,13},1),{6,5,4,3,2,9,8,7,6,5,4,3,2}),11))),"OK","ERRO: dígito verificador")))))</f>
      </c>
      <c r="V241" s="6">
        <f>IF(T241="","",IF(COUNTIF($T$2:$T$1001,T241)&gt;1,"DUPLICADO","OK"))</f>
      </c>
      <c r="W241" s="6">
        <f>IF(M241="","vazio",IF(OR(AND(LEN(SUBSTITUTE(SUBSTITUTE(SUBSTITUTE(SUBSTITUTE(SUBSTITUTE(SUBSTITUTE(SUBSTITUTE(TRIM(M241),".",""),"/",""),"-","")," ",""),"(",""),")",""),"+",""))=10,LEFT(SUBSTITUTE(SUBSTITUTE(SUBSTITUTE(SUBSTITUTE(SUBSTITUTE(SUBSTITUTE(SUBSTITUTE(TRIM(M241),".",""),"/",""),"-","")," ",""),"(",""),")",""),"+",""),1)&lt;&gt;"0"),AND(LEN(SUBSTITUTE(SUBSTITUTE(SUBSTITUTE(SUBSTITUTE(SUBSTITUTE(SUBSTITUTE(SUBSTITUTE(TRIM(M241),".",""),"/",""),"-","")," ",""),"(",""),")",""),"+",""))=11,LEFT(SUBSTITUTE(SUBSTITUTE(SUBSTITUTE(SUBSTITUTE(SUBSTITUTE(SUBSTITUTE(SUBSTITUTE(TRIM(M241),".",""),"/",""),"-","")," ",""),"(",""),")",""),"+",""),4)="0800")),"OK",IF(AND(LEN(SUBSTITUTE(SUBSTITUTE(SUBSTITUTE(SUBSTITUTE(SUBSTITUTE(SUBSTITUTE(SUBSTITUTE(TRIM(M241),".",""),"/",""),"-","")," ",""),"(",""),")",""),"+",""))=11,MID(SUBSTITUTE(SUBSTITUTE(SUBSTITUTE(SUBSTITUTE(SUBSTITUTE(SUBSTITUTE(SUBSTITUTE(TRIM(M241),".",""),"/",""),"-","")," ",""),"(",""),")",""),"+",""),3,1)="9"),"ERRO: é celular, use a coluna Celular","ERRO: DDD + 8 dígitos ou 0800 + 7")))</f>
      </c>
      <c r="X241" s="6">
        <f>IF(N241="","vazio",IF(AND(LEN(SUBSTITUTE(SUBSTITUTE(SUBSTITUTE(SUBSTITUTE(SUBSTITUTE(SUBSTITUTE(SUBSTITUTE(TRIM(N241),".",""),"/",""),"-","")," ",""),"(",""),")",""),"+",""))=11,MID(SUBSTITUTE(SUBSTITUTE(SUBSTITUTE(SUBSTITUTE(SUBSTITUTE(SUBSTITUTE(SUBSTITUTE(TRIM(N241),".",""),"/",""),"-","")," ",""),"(",""),")",""),"+",""),3,1)="9",LEFT(SUBSTITUTE(SUBSTITUTE(SUBSTITUTE(SUBSTITUTE(SUBSTITUTE(SUBSTITUTE(SUBSTITUTE(TRIM(N241),".",""),"/",""),"-","")," ",""),"(",""),")",""),"+",""),1)&lt;&gt;"0"),"OK",IF(LEN(SUBSTITUTE(SUBSTITUTE(SUBSTITUTE(SUBSTITUTE(SUBSTITUTE(SUBSTITUTE(SUBSTITUTE(TRIM(N241),".",""),"/",""),"-","")," ",""),"(",""),")",""),"+",""))=10,"ERRO: é fixo (ou falta o 9), use a coluna Telefone fixo","ERRO: DDD + 9 + 8 dígitos")))</f>
      </c>
      <c r="Y241" s="6">
        <f>IF(O241="","vazio",IF(AND(ISNUMBER(FIND("@",O241)),ISNUMBER(FIND(".",MID(O241,FIND("@",O241),99))),NOT(ISNUMBER(FIND(" ",TRIM(O241)))),NOT(ISNUMBER(FIND(";",O241))),NOT(ISNUMBER(FIND(",",O241)))),"OK","ERRO: um e-mail válido por linha"))</f>
      </c>
      <c r="Z241" s="6">
        <f>IF(AND(J241="",K241=""),"",IF(AND(J241&lt;&gt;"",K241&lt;&gt;""),"OK","pendente: só um nome (o GR completa ao converter)"))</f>
      </c>
      <c r="AA241" s="6">
        <f>IF(COUNTA(A241:S241)=0,"",IF(AND(A241&lt;&gt;"",B241&lt;&gt;"",C241&lt;&gt;"",D241&lt;&gt;"",E241&lt;&gt;"",F241&lt;&gt;"",G241&lt;&gt;"",H241&lt;&gt;"",OR(J241&lt;&gt;"",K241&lt;&gt;""),OR(M241&lt;&gt;"",N241&lt;&gt;"",O241&lt;&gt;"")),"OK","ERRO: faltam "&amp;IF(A241="","SDR; ","")&amp;IF(B241="","Proprietário; ","")&amp;IF(C241="","Origem; ","")&amp;IF(D241="","Temperatura; ","")&amp;IF(E241="","Segmento; ","")&amp;IF(F241="","Time/Cluster; ","")&amp;IF(G241="","CNPJ; ","")&amp;IF(H241="","Razão Social; ","")&amp;IF(AND(J241="",K241=""),"nome do contato; ","")&amp;IF(AND(M241="",N241="",O241=""),"telefone, celular ou e-mail; ","")))</f>
      </c>
      <c r="AB241" s="6">
        <f>IF(COUNTA(A241:S241)=0,"",IF(AND(U241="OK",V241="OK",LEFT(W241,4)&lt;&gt;"ERRO",LEFT(X241,4)&lt;&gt;"ERRO",LEFT(Y241,4)&lt;&gt;"ERRO",AA241="OK"),"OK","REVISAR"))</f>
      </c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5"/>
      <c r="K242" s="4"/>
      <c r="L242" s="4"/>
      <c r="M242" s="4"/>
      <c r="N242" s="4"/>
      <c r="O242" s="4"/>
      <c r="P242" s="4"/>
      <c r="Q242" s="4"/>
      <c r="R242" s="4"/>
      <c r="S242" s="4"/>
      <c r="T242" s="6">
        <f>IF(G242="","",SUBSTITUTE(SUBSTITUTE(SUBSTITUTE(SUBSTITUTE(SUBSTITUTE(SUBSTITUTE(SUBSTITUTE(TRIM(G242),".",""),"/",""),"-","")," ",""),"(",""),")",""),"+",""))</f>
      </c>
      <c r="U242" s="6">
        <f>IF(T242="","",IF(LEN(T242)&lt;&gt;14,"ERRO: "&amp;LEN(T242)&amp;" dígitos",IF(NOT(ISNUMBER(VALUE(T242))),"ERRO: não numérico",IF(LEN(SUBSTITUTE(T242,LEFT(T242,1),""))=0,"ERRO: dígitos repetidos",IF(AND(VALUE(MID(T242,13,1))=IF(MOD(SUMPRODUCT(--MID(T242,{1,2,3,4,5,6,7,8,9,10,11,12},1),{5,4,3,2,9,8,7,6,5,4,3,2}),11)&lt;2,0,11-MOD(SUMPRODUCT(--MID(T242,{1,2,3,4,5,6,7,8,9,10,11,12},1),{5,4,3,2,9,8,7,6,5,4,3,2}),11)),VALUE(MID(T242,14,1))=IF(MOD(SUMPRODUCT(--MID(T242,{1,2,3,4,5,6,7,8,9,10,11,12,13},1),{6,5,4,3,2,9,8,7,6,5,4,3,2}),11)&lt;2,0,11-MOD(SUMPRODUCT(--MID(T242,{1,2,3,4,5,6,7,8,9,10,11,12,13},1),{6,5,4,3,2,9,8,7,6,5,4,3,2}),11))),"OK","ERRO: dígito verificador")))))</f>
      </c>
      <c r="V242" s="6">
        <f>IF(T242="","",IF(COUNTIF($T$2:$T$1001,T242)&gt;1,"DUPLICADO","OK"))</f>
      </c>
      <c r="W242" s="6">
        <f>IF(M242="","vazio",IF(OR(AND(LEN(SUBSTITUTE(SUBSTITUTE(SUBSTITUTE(SUBSTITUTE(SUBSTITUTE(SUBSTITUTE(SUBSTITUTE(TRIM(M242),".",""),"/",""),"-","")," ",""),"(",""),")",""),"+",""))=10,LEFT(SUBSTITUTE(SUBSTITUTE(SUBSTITUTE(SUBSTITUTE(SUBSTITUTE(SUBSTITUTE(SUBSTITUTE(TRIM(M242),".",""),"/",""),"-","")," ",""),"(",""),")",""),"+",""),1)&lt;&gt;"0"),AND(LEN(SUBSTITUTE(SUBSTITUTE(SUBSTITUTE(SUBSTITUTE(SUBSTITUTE(SUBSTITUTE(SUBSTITUTE(TRIM(M242),".",""),"/",""),"-","")," ",""),"(",""),")",""),"+",""))=11,LEFT(SUBSTITUTE(SUBSTITUTE(SUBSTITUTE(SUBSTITUTE(SUBSTITUTE(SUBSTITUTE(SUBSTITUTE(TRIM(M242),".",""),"/",""),"-","")," ",""),"(",""),")",""),"+",""),4)="0800")),"OK",IF(AND(LEN(SUBSTITUTE(SUBSTITUTE(SUBSTITUTE(SUBSTITUTE(SUBSTITUTE(SUBSTITUTE(SUBSTITUTE(TRIM(M242),".",""),"/",""),"-","")," ",""),"(",""),")",""),"+",""))=11,MID(SUBSTITUTE(SUBSTITUTE(SUBSTITUTE(SUBSTITUTE(SUBSTITUTE(SUBSTITUTE(SUBSTITUTE(TRIM(M242),".",""),"/",""),"-","")," ",""),"(",""),")",""),"+",""),3,1)="9"),"ERRO: é celular, use a coluna Celular","ERRO: DDD + 8 dígitos ou 0800 + 7")))</f>
      </c>
      <c r="X242" s="6">
        <f>IF(N242="","vazio",IF(AND(LEN(SUBSTITUTE(SUBSTITUTE(SUBSTITUTE(SUBSTITUTE(SUBSTITUTE(SUBSTITUTE(SUBSTITUTE(TRIM(N242),".",""),"/",""),"-","")," ",""),"(",""),")",""),"+",""))=11,MID(SUBSTITUTE(SUBSTITUTE(SUBSTITUTE(SUBSTITUTE(SUBSTITUTE(SUBSTITUTE(SUBSTITUTE(TRIM(N242),".",""),"/",""),"-","")," ",""),"(",""),")",""),"+",""),3,1)="9",LEFT(SUBSTITUTE(SUBSTITUTE(SUBSTITUTE(SUBSTITUTE(SUBSTITUTE(SUBSTITUTE(SUBSTITUTE(TRIM(N242),".",""),"/",""),"-","")," ",""),"(",""),")",""),"+",""),1)&lt;&gt;"0"),"OK",IF(LEN(SUBSTITUTE(SUBSTITUTE(SUBSTITUTE(SUBSTITUTE(SUBSTITUTE(SUBSTITUTE(SUBSTITUTE(TRIM(N242),".",""),"/",""),"-","")," ",""),"(",""),")",""),"+",""))=10,"ERRO: é fixo (ou falta o 9), use a coluna Telefone fixo","ERRO: DDD + 9 + 8 dígitos")))</f>
      </c>
      <c r="Y242" s="6">
        <f>IF(O242="","vazio",IF(AND(ISNUMBER(FIND("@",O242)),ISNUMBER(FIND(".",MID(O242,FIND("@",O242),99))),NOT(ISNUMBER(FIND(" ",TRIM(O242)))),NOT(ISNUMBER(FIND(";",O242))),NOT(ISNUMBER(FIND(",",O242)))),"OK","ERRO: um e-mail válido por linha"))</f>
      </c>
      <c r="Z242" s="6">
        <f>IF(AND(J242="",K242=""),"",IF(AND(J242&lt;&gt;"",K242&lt;&gt;""),"OK","pendente: só um nome (o GR completa ao converter)"))</f>
      </c>
      <c r="AA242" s="6">
        <f>IF(COUNTA(A242:S242)=0,"",IF(AND(A242&lt;&gt;"",B242&lt;&gt;"",C242&lt;&gt;"",D242&lt;&gt;"",E242&lt;&gt;"",F242&lt;&gt;"",G242&lt;&gt;"",H242&lt;&gt;"",OR(J242&lt;&gt;"",K242&lt;&gt;""),OR(M242&lt;&gt;"",N242&lt;&gt;"",O242&lt;&gt;"")),"OK","ERRO: faltam "&amp;IF(A242="","SDR; ","")&amp;IF(B242="","Proprietário; ","")&amp;IF(C242="","Origem; ","")&amp;IF(D242="","Temperatura; ","")&amp;IF(E242="","Segmento; ","")&amp;IF(F242="","Time/Cluster; ","")&amp;IF(G242="","CNPJ; ","")&amp;IF(H242="","Razão Social; ","")&amp;IF(AND(J242="",K242=""),"nome do contato; ","")&amp;IF(AND(M242="",N242="",O242=""),"telefone, celular ou e-mail; ","")))</f>
      </c>
      <c r="AB242" s="6">
        <f>IF(COUNTA(A242:S242)=0,"",IF(AND(U242="OK",V242="OK",LEFT(W242,4)&lt;&gt;"ERRO",LEFT(X242,4)&lt;&gt;"ERRO",LEFT(Y242,4)&lt;&gt;"ERRO",AA242="OK"),"OK","REVISAR"))</f>
      </c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5"/>
      <c r="K243" s="4"/>
      <c r="L243" s="4"/>
      <c r="M243" s="4"/>
      <c r="N243" s="4"/>
      <c r="O243" s="4"/>
      <c r="P243" s="4"/>
      <c r="Q243" s="4"/>
      <c r="R243" s="4"/>
      <c r="S243" s="4"/>
      <c r="T243" s="6">
        <f>IF(G243="","",SUBSTITUTE(SUBSTITUTE(SUBSTITUTE(SUBSTITUTE(SUBSTITUTE(SUBSTITUTE(SUBSTITUTE(TRIM(G243),".",""),"/",""),"-","")," ",""),"(",""),")",""),"+",""))</f>
      </c>
      <c r="U243" s="6">
        <f>IF(T243="","",IF(LEN(T243)&lt;&gt;14,"ERRO: "&amp;LEN(T243)&amp;" dígitos",IF(NOT(ISNUMBER(VALUE(T243))),"ERRO: não numérico",IF(LEN(SUBSTITUTE(T243,LEFT(T243,1),""))=0,"ERRO: dígitos repetidos",IF(AND(VALUE(MID(T243,13,1))=IF(MOD(SUMPRODUCT(--MID(T243,{1,2,3,4,5,6,7,8,9,10,11,12},1),{5,4,3,2,9,8,7,6,5,4,3,2}),11)&lt;2,0,11-MOD(SUMPRODUCT(--MID(T243,{1,2,3,4,5,6,7,8,9,10,11,12},1),{5,4,3,2,9,8,7,6,5,4,3,2}),11)),VALUE(MID(T243,14,1))=IF(MOD(SUMPRODUCT(--MID(T243,{1,2,3,4,5,6,7,8,9,10,11,12,13},1),{6,5,4,3,2,9,8,7,6,5,4,3,2}),11)&lt;2,0,11-MOD(SUMPRODUCT(--MID(T243,{1,2,3,4,5,6,7,8,9,10,11,12,13},1),{6,5,4,3,2,9,8,7,6,5,4,3,2}),11))),"OK","ERRO: dígito verificador")))))</f>
      </c>
      <c r="V243" s="6">
        <f>IF(T243="","",IF(COUNTIF($T$2:$T$1001,T243)&gt;1,"DUPLICADO","OK"))</f>
      </c>
      <c r="W243" s="6">
        <f>IF(M243="","vazio",IF(OR(AND(LEN(SUBSTITUTE(SUBSTITUTE(SUBSTITUTE(SUBSTITUTE(SUBSTITUTE(SUBSTITUTE(SUBSTITUTE(TRIM(M243),".",""),"/",""),"-","")," ",""),"(",""),")",""),"+",""))=10,LEFT(SUBSTITUTE(SUBSTITUTE(SUBSTITUTE(SUBSTITUTE(SUBSTITUTE(SUBSTITUTE(SUBSTITUTE(TRIM(M243),".",""),"/",""),"-","")," ",""),"(",""),")",""),"+",""),1)&lt;&gt;"0"),AND(LEN(SUBSTITUTE(SUBSTITUTE(SUBSTITUTE(SUBSTITUTE(SUBSTITUTE(SUBSTITUTE(SUBSTITUTE(TRIM(M243),".",""),"/",""),"-","")," ",""),"(",""),")",""),"+",""))=11,LEFT(SUBSTITUTE(SUBSTITUTE(SUBSTITUTE(SUBSTITUTE(SUBSTITUTE(SUBSTITUTE(SUBSTITUTE(TRIM(M243),".",""),"/",""),"-","")," ",""),"(",""),")",""),"+",""),4)="0800")),"OK",IF(AND(LEN(SUBSTITUTE(SUBSTITUTE(SUBSTITUTE(SUBSTITUTE(SUBSTITUTE(SUBSTITUTE(SUBSTITUTE(TRIM(M243),".",""),"/",""),"-","")," ",""),"(",""),")",""),"+",""))=11,MID(SUBSTITUTE(SUBSTITUTE(SUBSTITUTE(SUBSTITUTE(SUBSTITUTE(SUBSTITUTE(SUBSTITUTE(TRIM(M243),".",""),"/",""),"-","")," ",""),"(",""),")",""),"+",""),3,1)="9"),"ERRO: é celular, use a coluna Celular","ERRO: DDD + 8 dígitos ou 0800 + 7")))</f>
      </c>
      <c r="X243" s="6">
        <f>IF(N243="","vazio",IF(AND(LEN(SUBSTITUTE(SUBSTITUTE(SUBSTITUTE(SUBSTITUTE(SUBSTITUTE(SUBSTITUTE(SUBSTITUTE(TRIM(N243),".",""),"/",""),"-","")," ",""),"(",""),")",""),"+",""))=11,MID(SUBSTITUTE(SUBSTITUTE(SUBSTITUTE(SUBSTITUTE(SUBSTITUTE(SUBSTITUTE(SUBSTITUTE(TRIM(N243),".",""),"/",""),"-","")," ",""),"(",""),")",""),"+",""),3,1)="9",LEFT(SUBSTITUTE(SUBSTITUTE(SUBSTITUTE(SUBSTITUTE(SUBSTITUTE(SUBSTITUTE(SUBSTITUTE(TRIM(N243),".",""),"/",""),"-","")," ",""),"(",""),")",""),"+",""),1)&lt;&gt;"0"),"OK",IF(LEN(SUBSTITUTE(SUBSTITUTE(SUBSTITUTE(SUBSTITUTE(SUBSTITUTE(SUBSTITUTE(SUBSTITUTE(TRIM(N243),".",""),"/",""),"-","")," ",""),"(",""),")",""),"+",""))=10,"ERRO: é fixo (ou falta o 9), use a coluna Telefone fixo","ERRO: DDD + 9 + 8 dígitos")))</f>
      </c>
      <c r="Y243" s="6">
        <f>IF(O243="","vazio",IF(AND(ISNUMBER(FIND("@",O243)),ISNUMBER(FIND(".",MID(O243,FIND("@",O243),99))),NOT(ISNUMBER(FIND(" ",TRIM(O243)))),NOT(ISNUMBER(FIND(";",O243))),NOT(ISNUMBER(FIND(",",O243)))),"OK","ERRO: um e-mail válido por linha"))</f>
      </c>
      <c r="Z243" s="6">
        <f>IF(AND(J243="",K243=""),"",IF(AND(J243&lt;&gt;"",K243&lt;&gt;""),"OK","pendente: só um nome (o GR completa ao converter)"))</f>
      </c>
      <c r="AA243" s="6">
        <f>IF(COUNTA(A243:S243)=0,"",IF(AND(A243&lt;&gt;"",B243&lt;&gt;"",C243&lt;&gt;"",D243&lt;&gt;"",E243&lt;&gt;"",F243&lt;&gt;"",G243&lt;&gt;"",H243&lt;&gt;"",OR(J243&lt;&gt;"",K243&lt;&gt;""),OR(M243&lt;&gt;"",N243&lt;&gt;"",O243&lt;&gt;"")),"OK","ERRO: faltam "&amp;IF(A243="","SDR; ","")&amp;IF(B243="","Proprietário; ","")&amp;IF(C243="","Origem; ","")&amp;IF(D243="","Temperatura; ","")&amp;IF(E243="","Segmento; ","")&amp;IF(F243="","Time/Cluster; ","")&amp;IF(G243="","CNPJ; ","")&amp;IF(H243="","Razão Social; ","")&amp;IF(AND(J243="",K243=""),"nome do contato; ","")&amp;IF(AND(M243="",N243="",O243=""),"telefone, celular ou e-mail; ","")))</f>
      </c>
      <c r="AB243" s="6">
        <f>IF(COUNTA(A243:S243)=0,"",IF(AND(U243="OK",V243="OK",LEFT(W243,4)&lt;&gt;"ERRO",LEFT(X243,4)&lt;&gt;"ERRO",LEFT(Y243,4)&lt;&gt;"ERRO",AA243="OK"),"OK","REVISAR"))</f>
      </c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5"/>
      <c r="K244" s="4"/>
      <c r="L244" s="4"/>
      <c r="M244" s="4"/>
      <c r="N244" s="4"/>
      <c r="O244" s="4"/>
      <c r="P244" s="4"/>
      <c r="Q244" s="4"/>
      <c r="R244" s="4"/>
      <c r="S244" s="4"/>
      <c r="T244" s="6">
        <f>IF(G244="","",SUBSTITUTE(SUBSTITUTE(SUBSTITUTE(SUBSTITUTE(SUBSTITUTE(SUBSTITUTE(SUBSTITUTE(TRIM(G244),".",""),"/",""),"-","")," ",""),"(",""),")",""),"+",""))</f>
      </c>
      <c r="U244" s="6">
        <f>IF(T244="","",IF(LEN(T244)&lt;&gt;14,"ERRO: "&amp;LEN(T244)&amp;" dígitos",IF(NOT(ISNUMBER(VALUE(T244))),"ERRO: não numérico",IF(LEN(SUBSTITUTE(T244,LEFT(T244,1),""))=0,"ERRO: dígitos repetidos",IF(AND(VALUE(MID(T244,13,1))=IF(MOD(SUMPRODUCT(--MID(T244,{1,2,3,4,5,6,7,8,9,10,11,12},1),{5,4,3,2,9,8,7,6,5,4,3,2}),11)&lt;2,0,11-MOD(SUMPRODUCT(--MID(T244,{1,2,3,4,5,6,7,8,9,10,11,12},1),{5,4,3,2,9,8,7,6,5,4,3,2}),11)),VALUE(MID(T244,14,1))=IF(MOD(SUMPRODUCT(--MID(T244,{1,2,3,4,5,6,7,8,9,10,11,12,13},1),{6,5,4,3,2,9,8,7,6,5,4,3,2}),11)&lt;2,0,11-MOD(SUMPRODUCT(--MID(T244,{1,2,3,4,5,6,7,8,9,10,11,12,13},1),{6,5,4,3,2,9,8,7,6,5,4,3,2}),11))),"OK","ERRO: dígito verificador")))))</f>
      </c>
      <c r="V244" s="6">
        <f>IF(T244="","",IF(COUNTIF($T$2:$T$1001,T244)&gt;1,"DUPLICADO","OK"))</f>
      </c>
      <c r="W244" s="6">
        <f>IF(M244="","vazio",IF(OR(AND(LEN(SUBSTITUTE(SUBSTITUTE(SUBSTITUTE(SUBSTITUTE(SUBSTITUTE(SUBSTITUTE(SUBSTITUTE(TRIM(M244),".",""),"/",""),"-","")," ",""),"(",""),")",""),"+",""))=10,LEFT(SUBSTITUTE(SUBSTITUTE(SUBSTITUTE(SUBSTITUTE(SUBSTITUTE(SUBSTITUTE(SUBSTITUTE(TRIM(M244),".",""),"/",""),"-","")," ",""),"(",""),")",""),"+",""),1)&lt;&gt;"0"),AND(LEN(SUBSTITUTE(SUBSTITUTE(SUBSTITUTE(SUBSTITUTE(SUBSTITUTE(SUBSTITUTE(SUBSTITUTE(TRIM(M244),".",""),"/",""),"-","")," ",""),"(",""),")",""),"+",""))=11,LEFT(SUBSTITUTE(SUBSTITUTE(SUBSTITUTE(SUBSTITUTE(SUBSTITUTE(SUBSTITUTE(SUBSTITUTE(TRIM(M244),".",""),"/",""),"-","")," ",""),"(",""),")",""),"+",""),4)="0800")),"OK",IF(AND(LEN(SUBSTITUTE(SUBSTITUTE(SUBSTITUTE(SUBSTITUTE(SUBSTITUTE(SUBSTITUTE(SUBSTITUTE(TRIM(M244),".",""),"/",""),"-","")," ",""),"(",""),")",""),"+",""))=11,MID(SUBSTITUTE(SUBSTITUTE(SUBSTITUTE(SUBSTITUTE(SUBSTITUTE(SUBSTITUTE(SUBSTITUTE(TRIM(M244),".",""),"/",""),"-","")," ",""),"(",""),")",""),"+",""),3,1)="9"),"ERRO: é celular, use a coluna Celular","ERRO: DDD + 8 dígitos ou 0800 + 7")))</f>
      </c>
      <c r="X244" s="6">
        <f>IF(N244="","vazio",IF(AND(LEN(SUBSTITUTE(SUBSTITUTE(SUBSTITUTE(SUBSTITUTE(SUBSTITUTE(SUBSTITUTE(SUBSTITUTE(TRIM(N244),".",""),"/",""),"-","")," ",""),"(",""),")",""),"+",""))=11,MID(SUBSTITUTE(SUBSTITUTE(SUBSTITUTE(SUBSTITUTE(SUBSTITUTE(SUBSTITUTE(SUBSTITUTE(TRIM(N244),".",""),"/",""),"-","")," ",""),"(",""),")",""),"+",""),3,1)="9",LEFT(SUBSTITUTE(SUBSTITUTE(SUBSTITUTE(SUBSTITUTE(SUBSTITUTE(SUBSTITUTE(SUBSTITUTE(TRIM(N244),".",""),"/",""),"-","")," ",""),"(",""),")",""),"+",""),1)&lt;&gt;"0"),"OK",IF(LEN(SUBSTITUTE(SUBSTITUTE(SUBSTITUTE(SUBSTITUTE(SUBSTITUTE(SUBSTITUTE(SUBSTITUTE(TRIM(N244),".",""),"/",""),"-","")," ",""),"(",""),")",""),"+",""))=10,"ERRO: é fixo (ou falta o 9), use a coluna Telefone fixo","ERRO: DDD + 9 + 8 dígitos")))</f>
      </c>
      <c r="Y244" s="6">
        <f>IF(O244="","vazio",IF(AND(ISNUMBER(FIND("@",O244)),ISNUMBER(FIND(".",MID(O244,FIND("@",O244),99))),NOT(ISNUMBER(FIND(" ",TRIM(O244)))),NOT(ISNUMBER(FIND(";",O244))),NOT(ISNUMBER(FIND(",",O244)))),"OK","ERRO: um e-mail válido por linha"))</f>
      </c>
      <c r="Z244" s="6">
        <f>IF(AND(J244="",K244=""),"",IF(AND(J244&lt;&gt;"",K244&lt;&gt;""),"OK","pendente: só um nome (o GR completa ao converter)"))</f>
      </c>
      <c r="AA244" s="6">
        <f>IF(COUNTA(A244:S244)=0,"",IF(AND(A244&lt;&gt;"",B244&lt;&gt;"",C244&lt;&gt;"",D244&lt;&gt;"",E244&lt;&gt;"",F244&lt;&gt;"",G244&lt;&gt;"",H244&lt;&gt;"",OR(J244&lt;&gt;"",K244&lt;&gt;""),OR(M244&lt;&gt;"",N244&lt;&gt;"",O244&lt;&gt;"")),"OK","ERRO: faltam "&amp;IF(A244="","SDR; ","")&amp;IF(B244="","Proprietário; ","")&amp;IF(C244="","Origem; ","")&amp;IF(D244="","Temperatura; ","")&amp;IF(E244="","Segmento; ","")&amp;IF(F244="","Time/Cluster; ","")&amp;IF(G244="","CNPJ; ","")&amp;IF(H244="","Razão Social; ","")&amp;IF(AND(J244="",K244=""),"nome do contato; ","")&amp;IF(AND(M244="",N244="",O244=""),"telefone, celular ou e-mail; ","")))</f>
      </c>
      <c r="AB244" s="6">
        <f>IF(COUNTA(A244:S244)=0,"",IF(AND(U244="OK",V244="OK",LEFT(W244,4)&lt;&gt;"ERRO",LEFT(X244,4)&lt;&gt;"ERRO",LEFT(Y244,4)&lt;&gt;"ERRO",AA244="OK"),"OK","REVISAR"))</f>
      </c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5"/>
      <c r="K245" s="4"/>
      <c r="L245" s="4"/>
      <c r="M245" s="4"/>
      <c r="N245" s="4"/>
      <c r="O245" s="4"/>
      <c r="P245" s="4"/>
      <c r="Q245" s="4"/>
      <c r="R245" s="4"/>
      <c r="S245" s="4"/>
      <c r="T245" s="6">
        <f>IF(G245="","",SUBSTITUTE(SUBSTITUTE(SUBSTITUTE(SUBSTITUTE(SUBSTITUTE(SUBSTITUTE(SUBSTITUTE(TRIM(G245),".",""),"/",""),"-","")," ",""),"(",""),")",""),"+",""))</f>
      </c>
      <c r="U245" s="6">
        <f>IF(T245="","",IF(LEN(T245)&lt;&gt;14,"ERRO: "&amp;LEN(T245)&amp;" dígitos",IF(NOT(ISNUMBER(VALUE(T245))),"ERRO: não numérico",IF(LEN(SUBSTITUTE(T245,LEFT(T245,1),""))=0,"ERRO: dígitos repetidos",IF(AND(VALUE(MID(T245,13,1))=IF(MOD(SUMPRODUCT(--MID(T245,{1,2,3,4,5,6,7,8,9,10,11,12},1),{5,4,3,2,9,8,7,6,5,4,3,2}),11)&lt;2,0,11-MOD(SUMPRODUCT(--MID(T245,{1,2,3,4,5,6,7,8,9,10,11,12},1),{5,4,3,2,9,8,7,6,5,4,3,2}),11)),VALUE(MID(T245,14,1))=IF(MOD(SUMPRODUCT(--MID(T245,{1,2,3,4,5,6,7,8,9,10,11,12,13},1),{6,5,4,3,2,9,8,7,6,5,4,3,2}),11)&lt;2,0,11-MOD(SUMPRODUCT(--MID(T245,{1,2,3,4,5,6,7,8,9,10,11,12,13},1),{6,5,4,3,2,9,8,7,6,5,4,3,2}),11))),"OK","ERRO: dígito verificador")))))</f>
      </c>
      <c r="V245" s="6">
        <f>IF(T245="","",IF(COUNTIF($T$2:$T$1001,T245)&gt;1,"DUPLICADO","OK"))</f>
      </c>
      <c r="W245" s="6">
        <f>IF(M245="","vazio",IF(OR(AND(LEN(SUBSTITUTE(SUBSTITUTE(SUBSTITUTE(SUBSTITUTE(SUBSTITUTE(SUBSTITUTE(SUBSTITUTE(TRIM(M245),".",""),"/",""),"-","")," ",""),"(",""),")",""),"+",""))=10,LEFT(SUBSTITUTE(SUBSTITUTE(SUBSTITUTE(SUBSTITUTE(SUBSTITUTE(SUBSTITUTE(SUBSTITUTE(TRIM(M245),".",""),"/",""),"-","")," ",""),"(",""),")",""),"+",""),1)&lt;&gt;"0"),AND(LEN(SUBSTITUTE(SUBSTITUTE(SUBSTITUTE(SUBSTITUTE(SUBSTITUTE(SUBSTITUTE(SUBSTITUTE(TRIM(M245),".",""),"/",""),"-","")," ",""),"(",""),")",""),"+",""))=11,LEFT(SUBSTITUTE(SUBSTITUTE(SUBSTITUTE(SUBSTITUTE(SUBSTITUTE(SUBSTITUTE(SUBSTITUTE(TRIM(M245),".",""),"/",""),"-","")," ",""),"(",""),")",""),"+",""),4)="0800")),"OK",IF(AND(LEN(SUBSTITUTE(SUBSTITUTE(SUBSTITUTE(SUBSTITUTE(SUBSTITUTE(SUBSTITUTE(SUBSTITUTE(TRIM(M245),".",""),"/",""),"-","")," ",""),"(",""),")",""),"+",""))=11,MID(SUBSTITUTE(SUBSTITUTE(SUBSTITUTE(SUBSTITUTE(SUBSTITUTE(SUBSTITUTE(SUBSTITUTE(TRIM(M245),".",""),"/",""),"-","")," ",""),"(",""),")",""),"+",""),3,1)="9"),"ERRO: é celular, use a coluna Celular","ERRO: DDD + 8 dígitos ou 0800 + 7")))</f>
      </c>
      <c r="X245" s="6">
        <f>IF(N245="","vazio",IF(AND(LEN(SUBSTITUTE(SUBSTITUTE(SUBSTITUTE(SUBSTITUTE(SUBSTITUTE(SUBSTITUTE(SUBSTITUTE(TRIM(N245),".",""),"/",""),"-","")," ",""),"(",""),")",""),"+",""))=11,MID(SUBSTITUTE(SUBSTITUTE(SUBSTITUTE(SUBSTITUTE(SUBSTITUTE(SUBSTITUTE(SUBSTITUTE(TRIM(N245),".",""),"/",""),"-","")," ",""),"(",""),")",""),"+",""),3,1)="9",LEFT(SUBSTITUTE(SUBSTITUTE(SUBSTITUTE(SUBSTITUTE(SUBSTITUTE(SUBSTITUTE(SUBSTITUTE(TRIM(N245),".",""),"/",""),"-","")," ",""),"(",""),")",""),"+",""),1)&lt;&gt;"0"),"OK",IF(LEN(SUBSTITUTE(SUBSTITUTE(SUBSTITUTE(SUBSTITUTE(SUBSTITUTE(SUBSTITUTE(SUBSTITUTE(TRIM(N245),".",""),"/",""),"-","")," ",""),"(",""),")",""),"+",""))=10,"ERRO: é fixo (ou falta o 9), use a coluna Telefone fixo","ERRO: DDD + 9 + 8 dígitos")))</f>
      </c>
      <c r="Y245" s="6">
        <f>IF(O245="","vazio",IF(AND(ISNUMBER(FIND("@",O245)),ISNUMBER(FIND(".",MID(O245,FIND("@",O245),99))),NOT(ISNUMBER(FIND(" ",TRIM(O245)))),NOT(ISNUMBER(FIND(";",O245))),NOT(ISNUMBER(FIND(",",O245)))),"OK","ERRO: um e-mail válido por linha"))</f>
      </c>
      <c r="Z245" s="6">
        <f>IF(AND(J245="",K245=""),"",IF(AND(J245&lt;&gt;"",K245&lt;&gt;""),"OK","pendente: só um nome (o GR completa ao converter)"))</f>
      </c>
      <c r="AA245" s="6">
        <f>IF(COUNTA(A245:S245)=0,"",IF(AND(A245&lt;&gt;"",B245&lt;&gt;"",C245&lt;&gt;"",D245&lt;&gt;"",E245&lt;&gt;"",F245&lt;&gt;"",G245&lt;&gt;"",H245&lt;&gt;"",OR(J245&lt;&gt;"",K245&lt;&gt;""),OR(M245&lt;&gt;"",N245&lt;&gt;"",O245&lt;&gt;"")),"OK","ERRO: faltam "&amp;IF(A245="","SDR; ","")&amp;IF(B245="","Proprietário; ","")&amp;IF(C245="","Origem; ","")&amp;IF(D245="","Temperatura; ","")&amp;IF(E245="","Segmento; ","")&amp;IF(F245="","Time/Cluster; ","")&amp;IF(G245="","CNPJ; ","")&amp;IF(H245="","Razão Social; ","")&amp;IF(AND(J245="",K245=""),"nome do contato; ","")&amp;IF(AND(M245="",N245="",O245=""),"telefone, celular ou e-mail; ","")))</f>
      </c>
      <c r="AB245" s="6">
        <f>IF(COUNTA(A245:S245)=0,"",IF(AND(U245="OK",V245="OK",LEFT(W245,4)&lt;&gt;"ERRO",LEFT(X245,4)&lt;&gt;"ERRO",LEFT(Y245,4)&lt;&gt;"ERRO",AA245="OK"),"OK","REVISAR"))</f>
      </c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5"/>
      <c r="K246" s="4"/>
      <c r="L246" s="4"/>
      <c r="M246" s="4"/>
      <c r="N246" s="4"/>
      <c r="O246" s="4"/>
      <c r="P246" s="4"/>
      <c r="Q246" s="4"/>
      <c r="R246" s="4"/>
      <c r="S246" s="4"/>
      <c r="T246" s="6">
        <f>IF(G246="","",SUBSTITUTE(SUBSTITUTE(SUBSTITUTE(SUBSTITUTE(SUBSTITUTE(SUBSTITUTE(SUBSTITUTE(TRIM(G246),".",""),"/",""),"-","")," ",""),"(",""),")",""),"+",""))</f>
      </c>
      <c r="U246" s="6">
        <f>IF(T246="","",IF(LEN(T246)&lt;&gt;14,"ERRO: "&amp;LEN(T246)&amp;" dígitos",IF(NOT(ISNUMBER(VALUE(T246))),"ERRO: não numérico",IF(LEN(SUBSTITUTE(T246,LEFT(T246,1),""))=0,"ERRO: dígitos repetidos",IF(AND(VALUE(MID(T246,13,1))=IF(MOD(SUMPRODUCT(--MID(T246,{1,2,3,4,5,6,7,8,9,10,11,12},1),{5,4,3,2,9,8,7,6,5,4,3,2}),11)&lt;2,0,11-MOD(SUMPRODUCT(--MID(T246,{1,2,3,4,5,6,7,8,9,10,11,12},1),{5,4,3,2,9,8,7,6,5,4,3,2}),11)),VALUE(MID(T246,14,1))=IF(MOD(SUMPRODUCT(--MID(T246,{1,2,3,4,5,6,7,8,9,10,11,12,13},1),{6,5,4,3,2,9,8,7,6,5,4,3,2}),11)&lt;2,0,11-MOD(SUMPRODUCT(--MID(T246,{1,2,3,4,5,6,7,8,9,10,11,12,13},1),{6,5,4,3,2,9,8,7,6,5,4,3,2}),11))),"OK","ERRO: dígito verificador")))))</f>
      </c>
      <c r="V246" s="6">
        <f>IF(T246="","",IF(COUNTIF($T$2:$T$1001,T246)&gt;1,"DUPLICADO","OK"))</f>
      </c>
      <c r="W246" s="6">
        <f>IF(M246="","vazio",IF(OR(AND(LEN(SUBSTITUTE(SUBSTITUTE(SUBSTITUTE(SUBSTITUTE(SUBSTITUTE(SUBSTITUTE(SUBSTITUTE(TRIM(M246),".",""),"/",""),"-","")," ",""),"(",""),")",""),"+",""))=10,LEFT(SUBSTITUTE(SUBSTITUTE(SUBSTITUTE(SUBSTITUTE(SUBSTITUTE(SUBSTITUTE(SUBSTITUTE(TRIM(M246),".",""),"/",""),"-","")," ",""),"(",""),")",""),"+",""),1)&lt;&gt;"0"),AND(LEN(SUBSTITUTE(SUBSTITUTE(SUBSTITUTE(SUBSTITUTE(SUBSTITUTE(SUBSTITUTE(SUBSTITUTE(TRIM(M246),".",""),"/",""),"-","")," ",""),"(",""),")",""),"+",""))=11,LEFT(SUBSTITUTE(SUBSTITUTE(SUBSTITUTE(SUBSTITUTE(SUBSTITUTE(SUBSTITUTE(SUBSTITUTE(TRIM(M246),".",""),"/",""),"-","")," ",""),"(",""),")",""),"+",""),4)="0800")),"OK",IF(AND(LEN(SUBSTITUTE(SUBSTITUTE(SUBSTITUTE(SUBSTITUTE(SUBSTITUTE(SUBSTITUTE(SUBSTITUTE(TRIM(M246),".",""),"/",""),"-","")," ",""),"(",""),")",""),"+",""))=11,MID(SUBSTITUTE(SUBSTITUTE(SUBSTITUTE(SUBSTITUTE(SUBSTITUTE(SUBSTITUTE(SUBSTITUTE(TRIM(M246),".",""),"/",""),"-","")," ",""),"(",""),")",""),"+",""),3,1)="9"),"ERRO: é celular, use a coluna Celular","ERRO: DDD + 8 dígitos ou 0800 + 7")))</f>
      </c>
      <c r="X246" s="6">
        <f>IF(N246="","vazio",IF(AND(LEN(SUBSTITUTE(SUBSTITUTE(SUBSTITUTE(SUBSTITUTE(SUBSTITUTE(SUBSTITUTE(SUBSTITUTE(TRIM(N246),".",""),"/",""),"-","")," ",""),"(",""),")",""),"+",""))=11,MID(SUBSTITUTE(SUBSTITUTE(SUBSTITUTE(SUBSTITUTE(SUBSTITUTE(SUBSTITUTE(SUBSTITUTE(TRIM(N246),".",""),"/",""),"-","")," ",""),"(",""),")",""),"+",""),3,1)="9",LEFT(SUBSTITUTE(SUBSTITUTE(SUBSTITUTE(SUBSTITUTE(SUBSTITUTE(SUBSTITUTE(SUBSTITUTE(TRIM(N246),".",""),"/",""),"-","")," ",""),"(",""),")",""),"+",""),1)&lt;&gt;"0"),"OK",IF(LEN(SUBSTITUTE(SUBSTITUTE(SUBSTITUTE(SUBSTITUTE(SUBSTITUTE(SUBSTITUTE(SUBSTITUTE(TRIM(N246),".",""),"/",""),"-","")," ",""),"(",""),")",""),"+",""))=10,"ERRO: é fixo (ou falta o 9), use a coluna Telefone fixo","ERRO: DDD + 9 + 8 dígitos")))</f>
      </c>
      <c r="Y246" s="6">
        <f>IF(O246="","vazio",IF(AND(ISNUMBER(FIND("@",O246)),ISNUMBER(FIND(".",MID(O246,FIND("@",O246),99))),NOT(ISNUMBER(FIND(" ",TRIM(O246)))),NOT(ISNUMBER(FIND(";",O246))),NOT(ISNUMBER(FIND(",",O246)))),"OK","ERRO: um e-mail válido por linha"))</f>
      </c>
      <c r="Z246" s="6">
        <f>IF(AND(J246="",K246=""),"",IF(AND(J246&lt;&gt;"",K246&lt;&gt;""),"OK","pendente: só um nome (o GR completa ao converter)"))</f>
      </c>
      <c r="AA246" s="6">
        <f>IF(COUNTA(A246:S246)=0,"",IF(AND(A246&lt;&gt;"",B246&lt;&gt;"",C246&lt;&gt;"",D246&lt;&gt;"",E246&lt;&gt;"",F246&lt;&gt;"",G246&lt;&gt;"",H246&lt;&gt;"",OR(J246&lt;&gt;"",K246&lt;&gt;""),OR(M246&lt;&gt;"",N246&lt;&gt;"",O246&lt;&gt;"")),"OK","ERRO: faltam "&amp;IF(A246="","SDR; ","")&amp;IF(B246="","Proprietário; ","")&amp;IF(C246="","Origem; ","")&amp;IF(D246="","Temperatura; ","")&amp;IF(E246="","Segmento; ","")&amp;IF(F246="","Time/Cluster; ","")&amp;IF(G246="","CNPJ; ","")&amp;IF(H246="","Razão Social; ","")&amp;IF(AND(J246="",K246=""),"nome do contato; ","")&amp;IF(AND(M246="",N246="",O246=""),"telefone, celular ou e-mail; ","")))</f>
      </c>
      <c r="AB246" s="6">
        <f>IF(COUNTA(A246:S246)=0,"",IF(AND(U246="OK",V246="OK",LEFT(W246,4)&lt;&gt;"ERRO",LEFT(X246,4)&lt;&gt;"ERRO",LEFT(Y246,4)&lt;&gt;"ERRO",AA246="OK"),"OK","REVISAR"))</f>
      </c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5"/>
      <c r="K247" s="4"/>
      <c r="L247" s="4"/>
      <c r="M247" s="4"/>
      <c r="N247" s="4"/>
      <c r="O247" s="4"/>
      <c r="P247" s="4"/>
      <c r="Q247" s="4"/>
      <c r="R247" s="4"/>
      <c r="S247" s="4"/>
      <c r="T247" s="6">
        <f>IF(G247="","",SUBSTITUTE(SUBSTITUTE(SUBSTITUTE(SUBSTITUTE(SUBSTITUTE(SUBSTITUTE(SUBSTITUTE(TRIM(G247),".",""),"/",""),"-","")," ",""),"(",""),")",""),"+",""))</f>
      </c>
      <c r="U247" s="6">
        <f>IF(T247="","",IF(LEN(T247)&lt;&gt;14,"ERRO: "&amp;LEN(T247)&amp;" dígitos",IF(NOT(ISNUMBER(VALUE(T247))),"ERRO: não numérico",IF(LEN(SUBSTITUTE(T247,LEFT(T247,1),""))=0,"ERRO: dígitos repetidos",IF(AND(VALUE(MID(T247,13,1))=IF(MOD(SUMPRODUCT(--MID(T247,{1,2,3,4,5,6,7,8,9,10,11,12},1),{5,4,3,2,9,8,7,6,5,4,3,2}),11)&lt;2,0,11-MOD(SUMPRODUCT(--MID(T247,{1,2,3,4,5,6,7,8,9,10,11,12},1),{5,4,3,2,9,8,7,6,5,4,3,2}),11)),VALUE(MID(T247,14,1))=IF(MOD(SUMPRODUCT(--MID(T247,{1,2,3,4,5,6,7,8,9,10,11,12,13},1),{6,5,4,3,2,9,8,7,6,5,4,3,2}),11)&lt;2,0,11-MOD(SUMPRODUCT(--MID(T247,{1,2,3,4,5,6,7,8,9,10,11,12,13},1),{6,5,4,3,2,9,8,7,6,5,4,3,2}),11))),"OK","ERRO: dígito verificador")))))</f>
      </c>
      <c r="V247" s="6">
        <f>IF(T247="","",IF(COUNTIF($T$2:$T$1001,T247)&gt;1,"DUPLICADO","OK"))</f>
      </c>
      <c r="W247" s="6">
        <f>IF(M247="","vazio",IF(OR(AND(LEN(SUBSTITUTE(SUBSTITUTE(SUBSTITUTE(SUBSTITUTE(SUBSTITUTE(SUBSTITUTE(SUBSTITUTE(TRIM(M247),".",""),"/",""),"-","")," ",""),"(",""),")",""),"+",""))=10,LEFT(SUBSTITUTE(SUBSTITUTE(SUBSTITUTE(SUBSTITUTE(SUBSTITUTE(SUBSTITUTE(SUBSTITUTE(TRIM(M247),".",""),"/",""),"-","")," ",""),"(",""),")",""),"+",""),1)&lt;&gt;"0"),AND(LEN(SUBSTITUTE(SUBSTITUTE(SUBSTITUTE(SUBSTITUTE(SUBSTITUTE(SUBSTITUTE(SUBSTITUTE(TRIM(M247),".",""),"/",""),"-","")," ",""),"(",""),")",""),"+",""))=11,LEFT(SUBSTITUTE(SUBSTITUTE(SUBSTITUTE(SUBSTITUTE(SUBSTITUTE(SUBSTITUTE(SUBSTITUTE(TRIM(M247),".",""),"/",""),"-","")," ",""),"(",""),")",""),"+",""),4)="0800")),"OK",IF(AND(LEN(SUBSTITUTE(SUBSTITUTE(SUBSTITUTE(SUBSTITUTE(SUBSTITUTE(SUBSTITUTE(SUBSTITUTE(TRIM(M247),".",""),"/",""),"-","")," ",""),"(",""),")",""),"+",""))=11,MID(SUBSTITUTE(SUBSTITUTE(SUBSTITUTE(SUBSTITUTE(SUBSTITUTE(SUBSTITUTE(SUBSTITUTE(TRIM(M247),".",""),"/",""),"-","")," ",""),"(",""),")",""),"+",""),3,1)="9"),"ERRO: é celular, use a coluna Celular","ERRO: DDD + 8 dígitos ou 0800 + 7")))</f>
      </c>
      <c r="X247" s="6">
        <f>IF(N247="","vazio",IF(AND(LEN(SUBSTITUTE(SUBSTITUTE(SUBSTITUTE(SUBSTITUTE(SUBSTITUTE(SUBSTITUTE(SUBSTITUTE(TRIM(N247),".",""),"/",""),"-","")," ",""),"(",""),")",""),"+",""))=11,MID(SUBSTITUTE(SUBSTITUTE(SUBSTITUTE(SUBSTITUTE(SUBSTITUTE(SUBSTITUTE(SUBSTITUTE(TRIM(N247),".",""),"/",""),"-","")," ",""),"(",""),")",""),"+",""),3,1)="9",LEFT(SUBSTITUTE(SUBSTITUTE(SUBSTITUTE(SUBSTITUTE(SUBSTITUTE(SUBSTITUTE(SUBSTITUTE(TRIM(N247),".",""),"/",""),"-","")," ",""),"(",""),")",""),"+",""),1)&lt;&gt;"0"),"OK",IF(LEN(SUBSTITUTE(SUBSTITUTE(SUBSTITUTE(SUBSTITUTE(SUBSTITUTE(SUBSTITUTE(SUBSTITUTE(TRIM(N247),".",""),"/",""),"-","")," ",""),"(",""),")",""),"+",""))=10,"ERRO: é fixo (ou falta o 9), use a coluna Telefone fixo","ERRO: DDD + 9 + 8 dígitos")))</f>
      </c>
      <c r="Y247" s="6">
        <f>IF(O247="","vazio",IF(AND(ISNUMBER(FIND("@",O247)),ISNUMBER(FIND(".",MID(O247,FIND("@",O247),99))),NOT(ISNUMBER(FIND(" ",TRIM(O247)))),NOT(ISNUMBER(FIND(";",O247))),NOT(ISNUMBER(FIND(",",O247)))),"OK","ERRO: um e-mail válido por linha"))</f>
      </c>
      <c r="Z247" s="6">
        <f>IF(AND(J247="",K247=""),"",IF(AND(J247&lt;&gt;"",K247&lt;&gt;""),"OK","pendente: só um nome (o GR completa ao converter)"))</f>
      </c>
      <c r="AA247" s="6">
        <f>IF(COUNTA(A247:S247)=0,"",IF(AND(A247&lt;&gt;"",B247&lt;&gt;"",C247&lt;&gt;"",D247&lt;&gt;"",E247&lt;&gt;"",F247&lt;&gt;"",G247&lt;&gt;"",H247&lt;&gt;"",OR(J247&lt;&gt;"",K247&lt;&gt;""),OR(M247&lt;&gt;"",N247&lt;&gt;"",O247&lt;&gt;"")),"OK","ERRO: faltam "&amp;IF(A247="","SDR; ","")&amp;IF(B247="","Proprietário; ","")&amp;IF(C247="","Origem; ","")&amp;IF(D247="","Temperatura; ","")&amp;IF(E247="","Segmento; ","")&amp;IF(F247="","Time/Cluster; ","")&amp;IF(G247="","CNPJ; ","")&amp;IF(H247="","Razão Social; ","")&amp;IF(AND(J247="",K247=""),"nome do contato; ","")&amp;IF(AND(M247="",N247="",O247=""),"telefone, celular ou e-mail; ","")))</f>
      </c>
      <c r="AB247" s="6">
        <f>IF(COUNTA(A247:S247)=0,"",IF(AND(U247="OK",V247="OK",LEFT(W247,4)&lt;&gt;"ERRO",LEFT(X247,4)&lt;&gt;"ERRO",LEFT(Y247,4)&lt;&gt;"ERRO",AA247="OK"),"OK","REVISAR"))</f>
      </c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5"/>
      <c r="K248" s="4"/>
      <c r="L248" s="4"/>
      <c r="M248" s="4"/>
      <c r="N248" s="4"/>
      <c r="O248" s="4"/>
      <c r="P248" s="4"/>
      <c r="Q248" s="4"/>
      <c r="R248" s="4"/>
      <c r="S248" s="4"/>
      <c r="T248" s="6">
        <f>IF(G248="","",SUBSTITUTE(SUBSTITUTE(SUBSTITUTE(SUBSTITUTE(SUBSTITUTE(SUBSTITUTE(SUBSTITUTE(TRIM(G248),".",""),"/",""),"-","")," ",""),"(",""),")",""),"+",""))</f>
      </c>
      <c r="U248" s="6">
        <f>IF(T248="","",IF(LEN(T248)&lt;&gt;14,"ERRO: "&amp;LEN(T248)&amp;" dígitos",IF(NOT(ISNUMBER(VALUE(T248))),"ERRO: não numérico",IF(LEN(SUBSTITUTE(T248,LEFT(T248,1),""))=0,"ERRO: dígitos repetidos",IF(AND(VALUE(MID(T248,13,1))=IF(MOD(SUMPRODUCT(--MID(T248,{1,2,3,4,5,6,7,8,9,10,11,12},1),{5,4,3,2,9,8,7,6,5,4,3,2}),11)&lt;2,0,11-MOD(SUMPRODUCT(--MID(T248,{1,2,3,4,5,6,7,8,9,10,11,12},1),{5,4,3,2,9,8,7,6,5,4,3,2}),11)),VALUE(MID(T248,14,1))=IF(MOD(SUMPRODUCT(--MID(T248,{1,2,3,4,5,6,7,8,9,10,11,12,13},1),{6,5,4,3,2,9,8,7,6,5,4,3,2}),11)&lt;2,0,11-MOD(SUMPRODUCT(--MID(T248,{1,2,3,4,5,6,7,8,9,10,11,12,13},1),{6,5,4,3,2,9,8,7,6,5,4,3,2}),11))),"OK","ERRO: dígito verificador")))))</f>
      </c>
      <c r="V248" s="6">
        <f>IF(T248="","",IF(COUNTIF($T$2:$T$1001,T248)&gt;1,"DUPLICADO","OK"))</f>
      </c>
      <c r="W248" s="6">
        <f>IF(M248="","vazio",IF(OR(AND(LEN(SUBSTITUTE(SUBSTITUTE(SUBSTITUTE(SUBSTITUTE(SUBSTITUTE(SUBSTITUTE(SUBSTITUTE(TRIM(M248),".",""),"/",""),"-","")," ",""),"(",""),")",""),"+",""))=10,LEFT(SUBSTITUTE(SUBSTITUTE(SUBSTITUTE(SUBSTITUTE(SUBSTITUTE(SUBSTITUTE(SUBSTITUTE(TRIM(M248),".",""),"/",""),"-","")," ",""),"(",""),")",""),"+",""),1)&lt;&gt;"0"),AND(LEN(SUBSTITUTE(SUBSTITUTE(SUBSTITUTE(SUBSTITUTE(SUBSTITUTE(SUBSTITUTE(SUBSTITUTE(TRIM(M248),".",""),"/",""),"-","")," ",""),"(",""),")",""),"+",""))=11,LEFT(SUBSTITUTE(SUBSTITUTE(SUBSTITUTE(SUBSTITUTE(SUBSTITUTE(SUBSTITUTE(SUBSTITUTE(TRIM(M248),".",""),"/",""),"-","")," ",""),"(",""),")",""),"+",""),4)="0800")),"OK",IF(AND(LEN(SUBSTITUTE(SUBSTITUTE(SUBSTITUTE(SUBSTITUTE(SUBSTITUTE(SUBSTITUTE(SUBSTITUTE(TRIM(M248),".",""),"/",""),"-","")," ",""),"(",""),")",""),"+",""))=11,MID(SUBSTITUTE(SUBSTITUTE(SUBSTITUTE(SUBSTITUTE(SUBSTITUTE(SUBSTITUTE(SUBSTITUTE(TRIM(M248),".",""),"/",""),"-","")," ",""),"(",""),")",""),"+",""),3,1)="9"),"ERRO: é celular, use a coluna Celular","ERRO: DDD + 8 dígitos ou 0800 + 7")))</f>
      </c>
      <c r="X248" s="6">
        <f>IF(N248="","vazio",IF(AND(LEN(SUBSTITUTE(SUBSTITUTE(SUBSTITUTE(SUBSTITUTE(SUBSTITUTE(SUBSTITUTE(SUBSTITUTE(TRIM(N248),".",""),"/",""),"-","")," ",""),"(",""),")",""),"+",""))=11,MID(SUBSTITUTE(SUBSTITUTE(SUBSTITUTE(SUBSTITUTE(SUBSTITUTE(SUBSTITUTE(SUBSTITUTE(TRIM(N248),".",""),"/",""),"-","")," ",""),"(",""),")",""),"+",""),3,1)="9",LEFT(SUBSTITUTE(SUBSTITUTE(SUBSTITUTE(SUBSTITUTE(SUBSTITUTE(SUBSTITUTE(SUBSTITUTE(TRIM(N248),".",""),"/",""),"-","")," ",""),"(",""),")",""),"+",""),1)&lt;&gt;"0"),"OK",IF(LEN(SUBSTITUTE(SUBSTITUTE(SUBSTITUTE(SUBSTITUTE(SUBSTITUTE(SUBSTITUTE(SUBSTITUTE(TRIM(N248),".",""),"/",""),"-","")," ",""),"(",""),")",""),"+",""))=10,"ERRO: é fixo (ou falta o 9), use a coluna Telefone fixo","ERRO: DDD + 9 + 8 dígitos")))</f>
      </c>
      <c r="Y248" s="6">
        <f>IF(O248="","vazio",IF(AND(ISNUMBER(FIND("@",O248)),ISNUMBER(FIND(".",MID(O248,FIND("@",O248),99))),NOT(ISNUMBER(FIND(" ",TRIM(O248)))),NOT(ISNUMBER(FIND(";",O248))),NOT(ISNUMBER(FIND(",",O248)))),"OK","ERRO: um e-mail válido por linha"))</f>
      </c>
      <c r="Z248" s="6">
        <f>IF(AND(J248="",K248=""),"",IF(AND(J248&lt;&gt;"",K248&lt;&gt;""),"OK","pendente: só um nome (o GR completa ao converter)"))</f>
      </c>
      <c r="AA248" s="6">
        <f>IF(COUNTA(A248:S248)=0,"",IF(AND(A248&lt;&gt;"",B248&lt;&gt;"",C248&lt;&gt;"",D248&lt;&gt;"",E248&lt;&gt;"",F248&lt;&gt;"",G248&lt;&gt;"",H248&lt;&gt;"",OR(J248&lt;&gt;"",K248&lt;&gt;""),OR(M248&lt;&gt;"",N248&lt;&gt;"",O248&lt;&gt;"")),"OK","ERRO: faltam "&amp;IF(A248="","SDR; ","")&amp;IF(B248="","Proprietário; ","")&amp;IF(C248="","Origem; ","")&amp;IF(D248="","Temperatura; ","")&amp;IF(E248="","Segmento; ","")&amp;IF(F248="","Time/Cluster; ","")&amp;IF(G248="","CNPJ; ","")&amp;IF(H248="","Razão Social; ","")&amp;IF(AND(J248="",K248=""),"nome do contato; ","")&amp;IF(AND(M248="",N248="",O248=""),"telefone, celular ou e-mail; ","")))</f>
      </c>
      <c r="AB248" s="6">
        <f>IF(COUNTA(A248:S248)=0,"",IF(AND(U248="OK",V248="OK",LEFT(W248,4)&lt;&gt;"ERRO",LEFT(X248,4)&lt;&gt;"ERRO",LEFT(Y248,4)&lt;&gt;"ERRO",AA248="OK"),"OK","REVISAR"))</f>
      </c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5"/>
      <c r="K249" s="4"/>
      <c r="L249" s="4"/>
      <c r="M249" s="4"/>
      <c r="N249" s="4"/>
      <c r="O249" s="4"/>
      <c r="P249" s="4"/>
      <c r="Q249" s="4"/>
      <c r="R249" s="4"/>
      <c r="S249" s="4"/>
      <c r="T249" s="6">
        <f>IF(G249="","",SUBSTITUTE(SUBSTITUTE(SUBSTITUTE(SUBSTITUTE(SUBSTITUTE(SUBSTITUTE(SUBSTITUTE(TRIM(G249),".",""),"/",""),"-","")," ",""),"(",""),")",""),"+",""))</f>
      </c>
      <c r="U249" s="6">
        <f>IF(T249="","",IF(LEN(T249)&lt;&gt;14,"ERRO: "&amp;LEN(T249)&amp;" dígitos",IF(NOT(ISNUMBER(VALUE(T249))),"ERRO: não numérico",IF(LEN(SUBSTITUTE(T249,LEFT(T249,1),""))=0,"ERRO: dígitos repetidos",IF(AND(VALUE(MID(T249,13,1))=IF(MOD(SUMPRODUCT(--MID(T249,{1,2,3,4,5,6,7,8,9,10,11,12},1),{5,4,3,2,9,8,7,6,5,4,3,2}),11)&lt;2,0,11-MOD(SUMPRODUCT(--MID(T249,{1,2,3,4,5,6,7,8,9,10,11,12},1),{5,4,3,2,9,8,7,6,5,4,3,2}),11)),VALUE(MID(T249,14,1))=IF(MOD(SUMPRODUCT(--MID(T249,{1,2,3,4,5,6,7,8,9,10,11,12,13},1),{6,5,4,3,2,9,8,7,6,5,4,3,2}),11)&lt;2,0,11-MOD(SUMPRODUCT(--MID(T249,{1,2,3,4,5,6,7,8,9,10,11,12,13},1),{6,5,4,3,2,9,8,7,6,5,4,3,2}),11))),"OK","ERRO: dígito verificador")))))</f>
      </c>
      <c r="V249" s="6">
        <f>IF(T249="","",IF(COUNTIF($T$2:$T$1001,T249)&gt;1,"DUPLICADO","OK"))</f>
      </c>
      <c r="W249" s="6">
        <f>IF(M249="","vazio",IF(OR(AND(LEN(SUBSTITUTE(SUBSTITUTE(SUBSTITUTE(SUBSTITUTE(SUBSTITUTE(SUBSTITUTE(SUBSTITUTE(TRIM(M249),".",""),"/",""),"-","")," ",""),"(",""),")",""),"+",""))=10,LEFT(SUBSTITUTE(SUBSTITUTE(SUBSTITUTE(SUBSTITUTE(SUBSTITUTE(SUBSTITUTE(SUBSTITUTE(TRIM(M249),".",""),"/",""),"-","")," ",""),"(",""),")",""),"+",""),1)&lt;&gt;"0"),AND(LEN(SUBSTITUTE(SUBSTITUTE(SUBSTITUTE(SUBSTITUTE(SUBSTITUTE(SUBSTITUTE(SUBSTITUTE(TRIM(M249),".",""),"/",""),"-","")," ",""),"(",""),")",""),"+",""))=11,LEFT(SUBSTITUTE(SUBSTITUTE(SUBSTITUTE(SUBSTITUTE(SUBSTITUTE(SUBSTITUTE(SUBSTITUTE(TRIM(M249),".",""),"/",""),"-","")," ",""),"(",""),")",""),"+",""),4)="0800")),"OK",IF(AND(LEN(SUBSTITUTE(SUBSTITUTE(SUBSTITUTE(SUBSTITUTE(SUBSTITUTE(SUBSTITUTE(SUBSTITUTE(TRIM(M249),".",""),"/",""),"-","")," ",""),"(",""),")",""),"+",""))=11,MID(SUBSTITUTE(SUBSTITUTE(SUBSTITUTE(SUBSTITUTE(SUBSTITUTE(SUBSTITUTE(SUBSTITUTE(TRIM(M249),".",""),"/",""),"-","")," ",""),"(",""),")",""),"+",""),3,1)="9"),"ERRO: é celular, use a coluna Celular","ERRO: DDD + 8 dígitos ou 0800 + 7")))</f>
      </c>
      <c r="X249" s="6">
        <f>IF(N249="","vazio",IF(AND(LEN(SUBSTITUTE(SUBSTITUTE(SUBSTITUTE(SUBSTITUTE(SUBSTITUTE(SUBSTITUTE(SUBSTITUTE(TRIM(N249),".",""),"/",""),"-","")," ",""),"(",""),")",""),"+",""))=11,MID(SUBSTITUTE(SUBSTITUTE(SUBSTITUTE(SUBSTITUTE(SUBSTITUTE(SUBSTITUTE(SUBSTITUTE(TRIM(N249),".",""),"/",""),"-","")," ",""),"(",""),")",""),"+",""),3,1)="9",LEFT(SUBSTITUTE(SUBSTITUTE(SUBSTITUTE(SUBSTITUTE(SUBSTITUTE(SUBSTITUTE(SUBSTITUTE(TRIM(N249),".",""),"/",""),"-","")," ",""),"(",""),")",""),"+",""),1)&lt;&gt;"0"),"OK",IF(LEN(SUBSTITUTE(SUBSTITUTE(SUBSTITUTE(SUBSTITUTE(SUBSTITUTE(SUBSTITUTE(SUBSTITUTE(TRIM(N249),".",""),"/",""),"-","")," ",""),"(",""),")",""),"+",""))=10,"ERRO: é fixo (ou falta o 9), use a coluna Telefone fixo","ERRO: DDD + 9 + 8 dígitos")))</f>
      </c>
      <c r="Y249" s="6">
        <f>IF(O249="","vazio",IF(AND(ISNUMBER(FIND("@",O249)),ISNUMBER(FIND(".",MID(O249,FIND("@",O249),99))),NOT(ISNUMBER(FIND(" ",TRIM(O249)))),NOT(ISNUMBER(FIND(";",O249))),NOT(ISNUMBER(FIND(",",O249)))),"OK","ERRO: um e-mail válido por linha"))</f>
      </c>
      <c r="Z249" s="6">
        <f>IF(AND(J249="",K249=""),"",IF(AND(J249&lt;&gt;"",K249&lt;&gt;""),"OK","pendente: só um nome (o GR completa ao converter)"))</f>
      </c>
      <c r="AA249" s="6">
        <f>IF(COUNTA(A249:S249)=0,"",IF(AND(A249&lt;&gt;"",B249&lt;&gt;"",C249&lt;&gt;"",D249&lt;&gt;"",E249&lt;&gt;"",F249&lt;&gt;"",G249&lt;&gt;"",H249&lt;&gt;"",OR(J249&lt;&gt;"",K249&lt;&gt;""),OR(M249&lt;&gt;"",N249&lt;&gt;"",O249&lt;&gt;"")),"OK","ERRO: faltam "&amp;IF(A249="","SDR; ","")&amp;IF(B249="","Proprietário; ","")&amp;IF(C249="","Origem; ","")&amp;IF(D249="","Temperatura; ","")&amp;IF(E249="","Segmento; ","")&amp;IF(F249="","Time/Cluster; ","")&amp;IF(G249="","CNPJ; ","")&amp;IF(H249="","Razão Social; ","")&amp;IF(AND(J249="",K249=""),"nome do contato; ","")&amp;IF(AND(M249="",N249="",O249=""),"telefone, celular ou e-mail; ","")))</f>
      </c>
      <c r="AB249" s="6">
        <f>IF(COUNTA(A249:S249)=0,"",IF(AND(U249="OK",V249="OK",LEFT(W249,4)&lt;&gt;"ERRO",LEFT(X249,4)&lt;&gt;"ERRO",LEFT(Y249,4)&lt;&gt;"ERRO",AA249="OK"),"OK","REVISAR"))</f>
      </c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5"/>
      <c r="K250" s="4"/>
      <c r="L250" s="4"/>
      <c r="M250" s="4"/>
      <c r="N250" s="4"/>
      <c r="O250" s="4"/>
      <c r="P250" s="4"/>
      <c r="Q250" s="4"/>
      <c r="R250" s="4"/>
      <c r="S250" s="4"/>
      <c r="T250" s="6">
        <f>IF(G250="","",SUBSTITUTE(SUBSTITUTE(SUBSTITUTE(SUBSTITUTE(SUBSTITUTE(SUBSTITUTE(SUBSTITUTE(TRIM(G250),".",""),"/",""),"-","")," ",""),"(",""),")",""),"+",""))</f>
      </c>
      <c r="U250" s="6">
        <f>IF(T250="","",IF(LEN(T250)&lt;&gt;14,"ERRO: "&amp;LEN(T250)&amp;" dígitos",IF(NOT(ISNUMBER(VALUE(T250))),"ERRO: não numérico",IF(LEN(SUBSTITUTE(T250,LEFT(T250,1),""))=0,"ERRO: dígitos repetidos",IF(AND(VALUE(MID(T250,13,1))=IF(MOD(SUMPRODUCT(--MID(T250,{1,2,3,4,5,6,7,8,9,10,11,12},1),{5,4,3,2,9,8,7,6,5,4,3,2}),11)&lt;2,0,11-MOD(SUMPRODUCT(--MID(T250,{1,2,3,4,5,6,7,8,9,10,11,12},1),{5,4,3,2,9,8,7,6,5,4,3,2}),11)),VALUE(MID(T250,14,1))=IF(MOD(SUMPRODUCT(--MID(T250,{1,2,3,4,5,6,7,8,9,10,11,12,13},1),{6,5,4,3,2,9,8,7,6,5,4,3,2}),11)&lt;2,0,11-MOD(SUMPRODUCT(--MID(T250,{1,2,3,4,5,6,7,8,9,10,11,12,13},1),{6,5,4,3,2,9,8,7,6,5,4,3,2}),11))),"OK","ERRO: dígito verificador")))))</f>
      </c>
      <c r="V250" s="6">
        <f>IF(T250="","",IF(COUNTIF($T$2:$T$1001,T250)&gt;1,"DUPLICADO","OK"))</f>
      </c>
      <c r="W250" s="6">
        <f>IF(M250="","vazio",IF(OR(AND(LEN(SUBSTITUTE(SUBSTITUTE(SUBSTITUTE(SUBSTITUTE(SUBSTITUTE(SUBSTITUTE(SUBSTITUTE(TRIM(M250),".",""),"/",""),"-","")," ",""),"(",""),")",""),"+",""))=10,LEFT(SUBSTITUTE(SUBSTITUTE(SUBSTITUTE(SUBSTITUTE(SUBSTITUTE(SUBSTITUTE(SUBSTITUTE(TRIM(M250),".",""),"/",""),"-","")," ",""),"(",""),")",""),"+",""),1)&lt;&gt;"0"),AND(LEN(SUBSTITUTE(SUBSTITUTE(SUBSTITUTE(SUBSTITUTE(SUBSTITUTE(SUBSTITUTE(SUBSTITUTE(TRIM(M250),".",""),"/",""),"-","")," ",""),"(",""),")",""),"+",""))=11,LEFT(SUBSTITUTE(SUBSTITUTE(SUBSTITUTE(SUBSTITUTE(SUBSTITUTE(SUBSTITUTE(SUBSTITUTE(TRIM(M250),".",""),"/",""),"-","")," ",""),"(",""),")",""),"+",""),4)="0800")),"OK",IF(AND(LEN(SUBSTITUTE(SUBSTITUTE(SUBSTITUTE(SUBSTITUTE(SUBSTITUTE(SUBSTITUTE(SUBSTITUTE(TRIM(M250),".",""),"/",""),"-","")," ",""),"(",""),")",""),"+",""))=11,MID(SUBSTITUTE(SUBSTITUTE(SUBSTITUTE(SUBSTITUTE(SUBSTITUTE(SUBSTITUTE(SUBSTITUTE(TRIM(M250),".",""),"/",""),"-","")," ",""),"(",""),")",""),"+",""),3,1)="9"),"ERRO: é celular, use a coluna Celular","ERRO: DDD + 8 dígitos ou 0800 + 7")))</f>
      </c>
      <c r="X250" s="6">
        <f>IF(N250="","vazio",IF(AND(LEN(SUBSTITUTE(SUBSTITUTE(SUBSTITUTE(SUBSTITUTE(SUBSTITUTE(SUBSTITUTE(SUBSTITUTE(TRIM(N250),".",""),"/",""),"-","")," ",""),"(",""),")",""),"+",""))=11,MID(SUBSTITUTE(SUBSTITUTE(SUBSTITUTE(SUBSTITUTE(SUBSTITUTE(SUBSTITUTE(SUBSTITUTE(TRIM(N250),".",""),"/",""),"-","")," ",""),"(",""),")",""),"+",""),3,1)="9",LEFT(SUBSTITUTE(SUBSTITUTE(SUBSTITUTE(SUBSTITUTE(SUBSTITUTE(SUBSTITUTE(SUBSTITUTE(TRIM(N250),".",""),"/",""),"-","")," ",""),"(",""),")",""),"+",""),1)&lt;&gt;"0"),"OK",IF(LEN(SUBSTITUTE(SUBSTITUTE(SUBSTITUTE(SUBSTITUTE(SUBSTITUTE(SUBSTITUTE(SUBSTITUTE(TRIM(N250),".",""),"/",""),"-","")," ",""),"(",""),")",""),"+",""))=10,"ERRO: é fixo (ou falta o 9), use a coluna Telefone fixo","ERRO: DDD + 9 + 8 dígitos")))</f>
      </c>
      <c r="Y250" s="6">
        <f>IF(O250="","vazio",IF(AND(ISNUMBER(FIND("@",O250)),ISNUMBER(FIND(".",MID(O250,FIND("@",O250),99))),NOT(ISNUMBER(FIND(" ",TRIM(O250)))),NOT(ISNUMBER(FIND(";",O250))),NOT(ISNUMBER(FIND(",",O250)))),"OK","ERRO: um e-mail válido por linha"))</f>
      </c>
      <c r="Z250" s="6">
        <f>IF(AND(J250="",K250=""),"",IF(AND(J250&lt;&gt;"",K250&lt;&gt;""),"OK","pendente: só um nome (o GR completa ao converter)"))</f>
      </c>
      <c r="AA250" s="6">
        <f>IF(COUNTA(A250:S250)=0,"",IF(AND(A250&lt;&gt;"",B250&lt;&gt;"",C250&lt;&gt;"",D250&lt;&gt;"",E250&lt;&gt;"",F250&lt;&gt;"",G250&lt;&gt;"",H250&lt;&gt;"",OR(J250&lt;&gt;"",K250&lt;&gt;""),OR(M250&lt;&gt;"",N250&lt;&gt;"",O250&lt;&gt;"")),"OK","ERRO: faltam "&amp;IF(A250="","SDR; ","")&amp;IF(B250="","Proprietário; ","")&amp;IF(C250="","Origem; ","")&amp;IF(D250="","Temperatura; ","")&amp;IF(E250="","Segmento; ","")&amp;IF(F250="","Time/Cluster; ","")&amp;IF(G250="","CNPJ; ","")&amp;IF(H250="","Razão Social; ","")&amp;IF(AND(J250="",K250=""),"nome do contato; ","")&amp;IF(AND(M250="",N250="",O250=""),"telefone, celular ou e-mail; ","")))</f>
      </c>
      <c r="AB250" s="6">
        <f>IF(COUNTA(A250:S250)=0,"",IF(AND(U250="OK",V250="OK",LEFT(W250,4)&lt;&gt;"ERRO",LEFT(X250,4)&lt;&gt;"ERRO",LEFT(Y250,4)&lt;&gt;"ERRO",AA250="OK"),"OK","REVISAR"))</f>
      </c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5"/>
      <c r="K251" s="4"/>
      <c r="L251" s="4"/>
      <c r="M251" s="4"/>
      <c r="N251" s="4"/>
      <c r="O251" s="4"/>
      <c r="P251" s="4"/>
      <c r="Q251" s="4"/>
      <c r="R251" s="4"/>
      <c r="S251" s="4"/>
      <c r="T251" s="6">
        <f>IF(G251="","",SUBSTITUTE(SUBSTITUTE(SUBSTITUTE(SUBSTITUTE(SUBSTITUTE(SUBSTITUTE(SUBSTITUTE(TRIM(G251),".",""),"/",""),"-","")," ",""),"(",""),")",""),"+",""))</f>
      </c>
      <c r="U251" s="6">
        <f>IF(T251="","",IF(LEN(T251)&lt;&gt;14,"ERRO: "&amp;LEN(T251)&amp;" dígitos",IF(NOT(ISNUMBER(VALUE(T251))),"ERRO: não numérico",IF(LEN(SUBSTITUTE(T251,LEFT(T251,1),""))=0,"ERRO: dígitos repetidos",IF(AND(VALUE(MID(T251,13,1))=IF(MOD(SUMPRODUCT(--MID(T251,{1,2,3,4,5,6,7,8,9,10,11,12},1),{5,4,3,2,9,8,7,6,5,4,3,2}),11)&lt;2,0,11-MOD(SUMPRODUCT(--MID(T251,{1,2,3,4,5,6,7,8,9,10,11,12},1),{5,4,3,2,9,8,7,6,5,4,3,2}),11)),VALUE(MID(T251,14,1))=IF(MOD(SUMPRODUCT(--MID(T251,{1,2,3,4,5,6,7,8,9,10,11,12,13},1),{6,5,4,3,2,9,8,7,6,5,4,3,2}),11)&lt;2,0,11-MOD(SUMPRODUCT(--MID(T251,{1,2,3,4,5,6,7,8,9,10,11,12,13},1),{6,5,4,3,2,9,8,7,6,5,4,3,2}),11))),"OK","ERRO: dígito verificador")))))</f>
      </c>
      <c r="V251" s="6">
        <f>IF(T251="","",IF(COUNTIF($T$2:$T$1001,T251)&gt;1,"DUPLICADO","OK"))</f>
      </c>
      <c r="W251" s="6">
        <f>IF(M251="","vazio",IF(OR(AND(LEN(SUBSTITUTE(SUBSTITUTE(SUBSTITUTE(SUBSTITUTE(SUBSTITUTE(SUBSTITUTE(SUBSTITUTE(TRIM(M251),".",""),"/",""),"-","")," ",""),"(",""),")",""),"+",""))=10,LEFT(SUBSTITUTE(SUBSTITUTE(SUBSTITUTE(SUBSTITUTE(SUBSTITUTE(SUBSTITUTE(SUBSTITUTE(TRIM(M251),".",""),"/",""),"-","")," ",""),"(",""),")",""),"+",""),1)&lt;&gt;"0"),AND(LEN(SUBSTITUTE(SUBSTITUTE(SUBSTITUTE(SUBSTITUTE(SUBSTITUTE(SUBSTITUTE(SUBSTITUTE(TRIM(M251),".",""),"/",""),"-","")," ",""),"(",""),")",""),"+",""))=11,LEFT(SUBSTITUTE(SUBSTITUTE(SUBSTITUTE(SUBSTITUTE(SUBSTITUTE(SUBSTITUTE(SUBSTITUTE(TRIM(M251),".",""),"/",""),"-","")," ",""),"(",""),")",""),"+",""),4)="0800")),"OK",IF(AND(LEN(SUBSTITUTE(SUBSTITUTE(SUBSTITUTE(SUBSTITUTE(SUBSTITUTE(SUBSTITUTE(SUBSTITUTE(TRIM(M251),".",""),"/",""),"-","")," ",""),"(",""),")",""),"+",""))=11,MID(SUBSTITUTE(SUBSTITUTE(SUBSTITUTE(SUBSTITUTE(SUBSTITUTE(SUBSTITUTE(SUBSTITUTE(TRIM(M251),".",""),"/",""),"-","")," ",""),"(",""),")",""),"+",""),3,1)="9"),"ERRO: é celular, use a coluna Celular","ERRO: DDD + 8 dígitos ou 0800 + 7")))</f>
      </c>
      <c r="X251" s="6">
        <f>IF(N251="","vazio",IF(AND(LEN(SUBSTITUTE(SUBSTITUTE(SUBSTITUTE(SUBSTITUTE(SUBSTITUTE(SUBSTITUTE(SUBSTITUTE(TRIM(N251),".",""),"/",""),"-","")," ",""),"(",""),")",""),"+",""))=11,MID(SUBSTITUTE(SUBSTITUTE(SUBSTITUTE(SUBSTITUTE(SUBSTITUTE(SUBSTITUTE(SUBSTITUTE(TRIM(N251),".",""),"/",""),"-","")," ",""),"(",""),")",""),"+",""),3,1)="9",LEFT(SUBSTITUTE(SUBSTITUTE(SUBSTITUTE(SUBSTITUTE(SUBSTITUTE(SUBSTITUTE(SUBSTITUTE(TRIM(N251),".",""),"/",""),"-","")," ",""),"(",""),")",""),"+",""),1)&lt;&gt;"0"),"OK",IF(LEN(SUBSTITUTE(SUBSTITUTE(SUBSTITUTE(SUBSTITUTE(SUBSTITUTE(SUBSTITUTE(SUBSTITUTE(TRIM(N251),".",""),"/",""),"-","")," ",""),"(",""),")",""),"+",""))=10,"ERRO: é fixo (ou falta o 9), use a coluna Telefone fixo","ERRO: DDD + 9 + 8 dígitos")))</f>
      </c>
      <c r="Y251" s="6">
        <f>IF(O251="","vazio",IF(AND(ISNUMBER(FIND("@",O251)),ISNUMBER(FIND(".",MID(O251,FIND("@",O251),99))),NOT(ISNUMBER(FIND(" ",TRIM(O251)))),NOT(ISNUMBER(FIND(";",O251))),NOT(ISNUMBER(FIND(",",O251)))),"OK","ERRO: um e-mail válido por linha"))</f>
      </c>
      <c r="Z251" s="6">
        <f>IF(AND(J251="",K251=""),"",IF(AND(J251&lt;&gt;"",K251&lt;&gt;""),"OK","pendente: só um nome (o GR completa ao converter)"))</f>
      </c>
      <c r="AA251" s="6">
        <f>IF(COUNTA(A251:S251)=0,"",IF(AND(A251&lt;&gt;"",B251&lt;&gt;"",C251&lt;&gt;"",D251&lt;&gt;"",E251&lt;&gt;"",F251&lt;&gt;"",G251&lt;&gt;"",H251&lt;&gt;"",OR(J251&lt;&gt;"",K251&lt;&gt;""),OR(M251&lt;&gt;"",N251&lt;&gt;"",O251&lt;&gt;"")),"OK","ERRO: faltam "&amp;IF(A251="","SDR; ","")&amp;IF(B251="","Proprietário; ","")&amp;IF(C251="","Origem; ","")&amp;IF(D251="","Temperatura; ","")&amp;IF(E251="","Segmento; ","")&amp;IF(F251="","Time/Cluster; ","")&amp;IF(G251="","CNPJ; ","")&amp;IF(H251="","Razão Social; ","")&amp;IF(AND(J251="",K251=""),"nome do contato; ","")&amp;IF(AND(M251="",N251="",O251=""),"telefone, celular ou e-mail; ","")))</f>
      </c>
      <c r="AB251" s="6">
        <f>IF(COUNTA(A251:S251)=0,"",IF(AND(U251="OK",V251="OK",LEFT(W251,4)&lt;&gt;"ERRO",LEFT(X251,4)&lt;&gt;"ERRO",LEFT(Y251,4)&lt;&gt;"ERRO",AA251="OK"),"OK","REVISAR"))</f>
      </c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5"/>
      <c r="K252" s="4"/>
      <c r="L252" s="4"/>
      <c r="M252" s="4"/>
      <c r="N252" s="4"/>
      <c r="O252" s="4"/>
      <c r="P252" s="4"/>
      <c r="Q252" s="4"/>
      <c r="R252" s="4"/>
      <c r="S252" s="4"/>
      <c r="T252" s="6">
        <f>IF(G252="","",SUBSTITUTE(SUBSTITUTE(SUBSTITUTE(SUBSTITUTE(SUBSTITUTE(SUBSTITUTE(SUBSTITUTE(TRIM(G252),".",""),"/",""),"-","")," ",""),"(",""),")",""),"+",""))</f>
      </c>
      <c r="U252" s="6">
        <f>IF(T252="","",IF(LEN(T252)&lt;&gt;14,"ERRO: "&amp;LEN(T252)&amp;" dígitos",IF(NOT(ISNUMBER(VALUE(T252))),"ERRO: não numérico",IF(LEN(SUBSTITUTE(T252,LEFT(T252,1),""))=0,"ERRO: dígitos repetidos",IF(AND(VALUE(MID(T252,13,1))=IF(MOD(SUMPRODUCT(--MID(T252,{1,2,3,4,5,6,7,8,9,10,11,12},1),{5,4,3,2,9,8,7,6,5,4,3,2}),11)&lt;2,0,11-MOD(SUMPRODUCT(--MID(T252,{1,2,3,4,5,6,7,8,9,10,11,12},1),{5,4,3,2,9,8,7,6,5,4,3,2}),11)),VALUE(MID(T252,14,1))=IF(MOD(SUMPRODUCT(--MID(T252,{1,2,3,4,5,6,7,8,9,10,11,12,13},1),{6,5,4,3,2,9,8,7,6,5,4,3,2}),11)&lt;2,0,11-MOD(SUMPRODUCT(--MID(T252,{1,2,3,4,5,6,7,8,9,10,11,12,13},1),{6,5,4,3,2,9,8,7,6,5,4,3,2}),11))),"OK","ERRO: dígito verificador")))))</f>
      </c>
      <c r="V252" s="6">
        <f>IF(T252="","",IF(COUNTIF($T$2:$T$1001,T252)&gt;1,"DUPLICADO","OK"))</f>
      </c>
      <c r="W252" s="6">
        <f>IF(M252="","vazio",IF(OR(AND(LEN(SUBSTITUTE(SUBSTITUTE(SUBSTITUTE(SUBSTITUTE(SUBSTITUTE(SUBSTITUTE(SUBSTITUTE(TRIM(M252),".",""),"/",""),"-","")," ",""),"(",""),")",""),"+",""))=10,LEFT(SUBSTITUTE(SUBSTITUTE(SUBSTITUTE(SUBSTITUTE(SUBSTITUTE(SUBSTITUTE(SUBSTITUTE(TRIM(M252),".",""),"/",""),"-","")," ",""),"(",""),")",""),"+",""),1)&lt;&gt;"0"),AND(LEN(SUBSTITUTE(SUBSTITUTE(SUBSTITUTE(SUBSTITUTE(SUBSTITUTE(SUBSTITUTE(SUBSTITUTE(TRIM(M252),".",""),"/",""),"-","")," ",""),"(",""),")",""),"+",""))=11,LEFT(SUBSTITUTE(SUBSTITUTE(SUBSTITUTE(SUBSTITUTE(SUBSTITUTE(SUBSTITUTE(SUBSTITUTE(TRIM(M252),".",""),"/",""),"-","")," ",""),"(",""),")",""),"+",""),4)="0800")),"OK",IF(AND(LEN(SUBSTITUTE(SUBSTITUTE(SUBSTITUTE(SUBSTITUTE(SUBSTITUTE(SUBSTITUTE(SUBSTITUTE(TRIM(M252),".",""),"/",""),"-","")," ",""),"(",""),")",""),"+",""))=11,MID(SUBSTITUTE(SUBSTITUTE(SUBSTITUTE(SUBSTITUTE(SUBSTITUTE(SUBSTITUTE(SUBSTITUTE(TRIM(M252),".",""),"/",""),"-","")," ",""),"(",""),")",""),"+",""),3,1)="9"),"ERRO: é celular, use a coluna Celular","ERRO: DDD + 8 dígitos ou 0800 + 7")))</f>
      </c>
      <c r="X252" s="6">
        <f>IF(N252="","vazio",IF(AND(LEN(SUBSTITUTE(SUBSTITUTE(SUBSTITUTE(SUBSTITUTE(SUBSTITUTE(SUBSTITUTE(SUBSTITUTE(TRIM(N252),".",""),"/",""),"-","")," ",""),"(",""),")",""),"+",""))=11,MID(SUBSTITUTE(SUBSTITUTE(SUBSTITUTE(SUBSTITUTE(SUBSTITUTE(SUBSTITUTE(SUBSTITUTE(TRIM(N252),".",""),"/",""),"-","")," ",""),"(",""),")",""),"+",""),3,1)="9",LEFT(SUBSTITUTE(SUBSTITUTE(SUBSTITUTE(SUBSTITUTE(SUBSTITUTE(SUBSTITUTE(SUBSTITUTE(TRIM(N252),".",""),"/",""),"-","")," ",""),"(",""),")",""),"+",""),1)&lt;&gt;"0"),"OK",IF(LEN(SUBSTITUTE(SUBSTITUTE(SUBSTITUTE(SUBSTITUTE(SUBSTITUTE(SUBSTITUTE(SUBSTITUTE(TRIM(N252),".",""),"/",""),"-","")," ",""),"(",""),")",""),"+",""))=10,"ERRO: é fixo (ou falta o 9), use a coluna Telefone fixo","ERRO: DDD + 9 + 8 dígitos")))</f>
      </c>
      <c r="Y252" s="6">
        <f>IF(O252="","vazio",IF(AND(ISNUMBER(FIND("@",O252)),ISNUMBER(FIND(".",MID(O252,FIND("@",O252),99))),NOT(ISNUMBER(FIND(" ",TRIM(O252)))),NOT(ISNUMBER(FIND(";",O252))),NOT(ISNUMBER(FIND(",",O252)))),"OK","ERRO: um e-mail válido por linha"))</f>
      </c>
      <c r="Z252" s="6">
        <f>IF(AND(J252="",K252=""),"",IF(AND(J252&lt;&gt;"",K252&lt;&gt;""),"OK","pendente: só um nome (o GR completa ao converter)"))</f>
      </c>
      <c r="AA252" s="6">
        <f>IF(COUNTA(A252:S252)=0,"",IF(AND(A252&lt;&gt;"",B252&lt;&gt;"",C252&lt;&gt;"",D252&lt;&gt;"",E252&lt;&gt;"",F252&lt;&gt;"",G252&lt;&gt;"",H252&lt;&gt;"",OR(J252&lt;&gt;"",K252&lt;&gt;""),OR(M252&lt;&gt;"",N252&lt;&gt;"",O252&lt;&gt;"")),"OK","ERRO: faltam "&amp;IF(A252="","SDR; ","")&amp;IF(B252="","Proprietário; ","")&amp;IF(C252="","Origem; ","")&amp;IF(D252="","Temperatura; ","")&amp;IF(E252="","Segmento; ","")&amp;IF(F252="","Time/Cluster; ","")&amp;IF(G252="","CNPJ; ","")&amp;IF(H252="","Razão Social; ","")&amp;IF(AND(J252="",K252=""),"nome do contato; ","")&amp;IF(AND(M252="",N252="",O252=""),"telefone, celular ou e-mail; ","")))</f>
      </c>
      <c r="AB252" s="6">
        <f>IF(COUNTA(A252:S252)=0,"",IF(AND(U252="OK",V252="OK",LEFT(W252,4)&lt;&gt;"ERRO",LEFT(X252,4)&lt;&gt;"ERRO",LEFT(Y252,4)&lt;&gt;"ERRO",AA252="OK"),"OK","REVISAR"))</f>
      </c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5"/>
      <c r="K253" s="4"/>
      <c r="L253" s="4"/>
      <c r="M253" s="4"/>
      <c r="N253" s="4"/>
      <c r="O253" s="4"/>
      <c r="P253" s="4"/>
      <c r="Q253" s="4"/>
      <c r="R253" s="4"/>
      <c r="S253" s="4"/>
      <c r="T253" s="6">
        <f>IF(G253="","",SUBSTITUTE(SUBSTITUTE(SUBSTITUTE(SUBSTITUTE(SUBSTITUTE(SUBSTITUTE(SUBSTITUTE(TRIM(G253),".",""),"/",""),"-","")," ",""),"(",""),")",""),"+",""))</f>
      </c>
      <c r="U253" s="6">
        <f>IF(T253="","",IF(LEN(T253)&lt;&gt;14,"ERRO: "&amp;LEN(T253)&amp;" dígitos",IF(NOT(ISNUMBER(VALUE(T253))),"ERRO: não numérico",IF(LEN(SUBSTITUTE(T253,LEFT(T253,1),""))=0,"ERRO: dígitos repetidos",IF(AND(VALUE(MID(T253,13,1))=IF(MOD(SUMPRODUCT(--MID(T253,{1,2,3,4,5,6,7,8,9,10,11,12},1),{5,4,3,2,9,8,7,6,5,4,3,2}),11)&lt;2,0,11-MOD(SUMPRODUCT(--MID(T253,{1,2,3,4,5,6,7,8,9,10,11,12},1),{5,4,3,2,9,8,7,6,5,4,3,2}),11)),VALUE(MID(T253,14,1))=IF(MOD(SUMPRODUCT(--MID(T253,{1,2,3,4,5,6,7,8,9,10,11,12,13},1),{6,5,4,3,2,9,8,7,6,5,4,3,2}),11)&lt;2,0,11-MOD(SUMPRODUCT(--MID(T253,{1,2,3,4,5,6,7,8,9,10,11,12,13},1),{6,5,4,3,2,9,8,7,6,5,4,3,2}),11))),"OK","ERRO: dígito verificador")))))</f>
      </c>
      <c r="V253" s="6">
        <f>IF(T253="","",IF(COUNTIF($T$2:$T$1001,T253)&gt;1,"DUPLICADO","OK"))</f>
      </c>
      <c r="W253" s="6">
        <f>IF(M253="","vazio",IF(OR(AND(LEN(SUBSTITUTE(SUBSTITUTE(SUBSTITUTE(SUBSTITUTE(SUBSTITUTE(SUBSTITUTE(SUBSTITUTE(TRIM(M253),".",""),"/",""),"-","")," ",""),"(",""),")",""),"+",""))=10,LEFT(SUBSTITUTE(SUBSTITUTE(SUBSTITUTE(SUBSTITUTE(SUBSTITUTE(SUBSTITUTE(SUBSTITUTE(TRIM(M253),".",""),"/",""),"-","")," ",""),"(",""),")",""),"+",""),1)&lt;&gt;"0"),AND(LEN(SUBSTITUTE(SUBSTITUTE(SUBSTITUTE(SUBSTITUTE(SUBSTITUTE(SUBSTITUTE(SUBSTITUTE(TRIM(M253),".",""),"/",""),"-","")," ",""),"(",""),")",""),"+",""))=11,LEFT(SUBSTITUTE(SUBSTITUTE(SUBSTITUTE(SUBSTITUTE(SUBSTITUTE(SUBSTITUTE(SUBSTITUTE(TRIM(M253),".",""),"/",""),"-","")," ",""),"(",""),")",""),"+",""),4)="0800")),"OK",IF(AND(LEN(SUBSTITUTE(SUBSTITUTE(SUBSTITUTE(SUBSTITUTE(SUBSTITUTE(SUBSTITUTE(SUBSTITUTE(TRIM(M253),".",""),"/",""),"-","")," ",""),"(",""),")",""),"+",""))=11,MID(SUBSTITUTE(SUBSTITUTE(SUBSTITUTE(SUBSTITUTE(SUBSTITUTE(SUBSTITUTE(SUBSTITUTE(TRIM(M253),".",""),"/",""),"-","")," ",""),"(",""),")",""),"+",""),3,1)="9"),"ERRO: é celular, use a coluna Celular","ERRO: DDD + 8 dígitos ou 0800 + 7")))</f>
      </c>
      <c r="X253" s="6">
        <f>IF(N253="","vazio",IF(AND(LEN(SUBSTITUTE(SUBSTITUTE(SUBSTITUTE(SUBSTITUTE(SUBSTITUTE(SUBSTITUTE(SUBSTITUTE(TRIM(N253),".",""),"/",""),"-","")," ",""),"(",""),")",""),"+",""))=11,MID(SUBSTITUTE(SUBSTITUTE(SUBSTITUTE(SUBSTITUTE(SUBSTITUTE(SUBSTITUTE(SUBSTITUTE(TRIM(N253),".",""),"/",""),"-","")," ",""),"(",""),")",""),"+",""),3,1)="9",LEFT(SUBSTITUTE(SUBSTITUTE(SUBSTITUTE(SUBSTITUTE(SUBSTITUTE(SUBSTITUTE(SUBSTITUTE(TRIM(N253),".",""),"/",""),"-","")," ",""),"(",""),")",""),"+",""),1)&lt;&gt;"0"),"OK",IF(LEN(SUBSTITUTE(SUBSTITUTE(SUBSTITUTE(SUBSTITUTE(SUBSTITUTE(SUBSTITUTE(SUBSTITUTE(TRIM(N253),".",""),"/",""),"-","")," ",""),"(",""),")",""),"+",""))=10,"ERRO: é fixo (ou falta o 9), use a coluna Telefone fixo","ERRO: DDD + 9 + 8 dígitos")))</f>
      </c>
      <c r="Y253" s="6">
        <f>IF(O253="","vazio",IF(AND(ISNUMBER(FIND("@",O253)),ISNUMBER(FIND(".",MID(O253,FIND("@",O253),99))),NOT(ISNUMBER(FIND(" ",TRIM(O253)))),NOT(ISNUMBER(FIND(";",O253))),NOT(ISNUMBER(FIND(",",O253)))),"OK","ERRO: um e-mail válido por linha"))</f>
      </c>
      <c r="Z253" s="6">
        <f>IF(AND(J253="",K253=""),"",IF(AND(J253&lt;&gt;"",K253&lt;&gt;""),"OK","pendente: só um nome (o GR completa ao converter)"))</f>
      </c>
      <c r="AA253" s="6">
        <f>IF(COUNTA(A253:S253)=0,"",IF(AND(A253&lt;&gt;"",B253&lt;&gt;"",C253&lt;&gt;"",D253&lt;&gt;"",E253&lt;&gt;"",F253&lt;&gt;"",G253&lt;&gt;"",H253&lt;&gt;"",OR(J253&lt;&gt;"",K253&lt;&gt;""),OR(M253&lt;&gt;"",N253&lt;&gt;"",O253&lt;&gt;"")),"OK","ERRO: faltam "&amp;IF(A253="","SDR; ","")&amp;IF(B253="","Proprietário; ","")&amp;IF(C253="","Origem; ","")&amp;IF(D253="","Temperatura; ","")&amp;IF(E253="","Segmento; ","")&amp;IF(F253="","Time/Cluster; ","")&amp;IF(G253="","CNPJ; ","")&amp;IF(H253="","Razão Social; ","")&amp;IF(AND(J253="",K253=""),"nome do contato; ","")&amp;IF(AND(M253="",N253="",O253=""),"telefone, celular ou e-mail; ","")))</f>
      </c>
      <c r="AB253" s="6">
        <f>IF(COUNTA(A253:S253)=0,"",IF(AND(U253="OK",V253="OK",LEFT(W253,4)&lt;&gt;"ERRO",LEFT(X253,4)&lt;&gt;"ERRO",LEFT(Y253,4)&lt;&gt;"ERRO",AA253="OK"),"OK","REVISAR"))</f>
      </c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5"/>
      <c r="K254" s="4"/>
      <c r="L254" s="4"/>
      <c r="M254" s="4"/>
      <c r="N254" s="4"/>
      <c r="O254" s="4"/>
      <c r="P254" s="4"/>
      <c r="Q254" s="4"/>
      <c r="R254" s="4"/>
      <c r="S254" s="4"/>
      <c r="T254" s="6">
        <f>IF(G254="","",SUBSTITUTE(SUBSTITUTE(SUBSTITUTE(SUBSTITUTE(SUBSTITUTE(SUBSTITUTE(SUBSTITUTE(TRIM(G254),".",""),"/",""),"-","")," ",""),"(",""),")",""),"+",""))</f>
      </c>
      <c r="U254" s="6">
        <f>IF(T254="","",IF(LEN(T254)&lt;&gt;14,"ERRO: "&amp;LEN(T254)&amp;" dígitos",IF(NOT(ISNUMBER(VALUE(T254))),"ERRO: não numérico",IF(LEN(SUBSTITUTE(T254,LEFT(T254,1),""))=0,"ERRO: dígitos repetidos",IF(AND(VALUE(MID(T254,13,1))=IF(MOD(SUMPRODUCT(--MID(T254,{1,2,3,4,5,6,7,8,9,10,11,12},1),{5,4,3,2,9,8,7,6,5,4,3,2}),11)&lt;2,0,11-MOD(SUMPRODUCT(--MID(T254,{1,2,3,4,5,6,7,8,9,10,11,12},1),{5,4,3,2,9,8,7,6,5,4,3,2}),11)),VALUE(MID(T254,14,1))=IF(MOD(SUMPRODUCT(--MID(T254,{1,2,3,4,5,6,7,8,9,10,11,12,13},1),{6,5,4,3,2,9,8,7,6,5,4,3,2}),11)&lt;2,0,11-MOD(SUMPRODUCT(--MID(T254,{1,2,3,4,5,6,7,8,9,10,11,12,13},1),{6,5,4,3,2,9,8,7,6,5,4,3,2}),11))),"OK","ERRO: dígito verificador")))))</f>
      </c>
      <c r="V254" s="6">
        <f>IF(T254="","",IF(COUNTIF($T$2:$T$1001,T254)&gt;1,"DUPLICADO","OK"))</f>
      </c>
      <c r="W254" s="6">
        <f>IF(M254="","vazio",IF(OR(AND(LEN(SUBSTITUTE(SUBSTITUTE(SUBSTITUTE(SUBSTITUTE(SUBSTITUTE(SUBSTITUTE(SUBSTITUTE(TRIM(M254),".",""),"/",""),"-","")," ",""),"(",""),")",""),"+",""))=10,LEFT(SUBSTITUTE(SUBSTITUTE(SUBSTITUTE(SUBSTITUTE(SUBSTITUTE(SUBSTITUTE(SUBSTITUTE(TRIM(M254),".",""),"/",""),"-","")," ",""),"(",""),")",""),"+",""),1)&lt;&gt;"0"),AND(LEN(SUBSTITUTE(SUBSTITUTE(SUBSTITUTE(SUBSTITUTE(SUBSTITUTE(SUBSTITUTE(SUBSTITUTE(TRIM(M254),".",""),"/",""),"-","")," ",""),"(",""),")",""),"+",""))=11,LEFT(SUBSTITUTE(SUBSTITUTE(SUBSTITUTE(SUBSTITUTE(SUBSTITUTE(SUBSTITUTE(SUBSTITUTE(TRIM(M254),".",""),"/",""),"-","")," ",""),"(",""),")",""),"+",""),4)="0800")),"OK",IF(AND(LEN(SUBSTITUTE(SUBSTITUTE(SUBSTITUTE(SUBSTITUTE(SUBSTITUTE(SUBSTITUTE(SUBSTITUTE(TRIM(M254),".",""),"/",""),"-","")," ",""),"(",""),")",""),"+",""))=11,MID(SUBSTITUTE(SUBSTITUTE(SUBSTITUTE(SUBSTITUTE(SUBSTITUTE(SUBSTITUTE(SUBSTITUTE(TRIM(M254),".",""),"/",""),"-","")," ",""),"(",""),")",""),"+",""),3,1)="9"),"ERRO: é celular, use a coluna Celular","ERRO: DDD + 8 dígitos ou 0800 + 7")))</f>
      </c>
      <c r="X254" s="6">
        <f>IF(N254="","vazio",IF(AND(LEN(SUBSTITUTE(SUBSTITUTE(SUBSTITUTE(SUBSTITUTE(SUBSTITUTE(SUBSTITUTE(SUBSTITUTE(TRIM(N254),".",""),"/",""),"-","")," ",""),"(",""),")",""),"+",""))=11,MID(SUBSTITUTE(SUBSTITUTE(SUBSTITUTE(SUBSTITUTE(SUBSTITUTE(SUBSTITUTE(SUBSTITUTE(TRIM(N254),".",""),"/",""),"-","")," ",""),"(",""),")",""),"+",""),3,1)="9",LEFT(SUBSTITUTE(SUBSTITUTE(SUBSTITUTE(SUBSTITUTE(SUBSTITUTE(SUBSTITUTE(SUBSTITUTE(TRIM(N254),".",""),"/",""),"-","")," ",""),"(",""),")",""),"+",""),1)&lt;&gt;"0"),"OK",IF(LEN(SUBSTITUTE(SUBSTITUTE(SUBSTITUTE(SUBSTITUTE(SUBSTITUTE(SUBSTITUTE(SUBSTITUTE(TRIM(N254),".",""),"/",""),"-","")," ",""),"(",""),")",""),"+",""))=10,"ERRO: é fixo (ou falta o 9), use a coluna Telefone fixo","ERRO: DDD + 9 + 8 dígitos")))</f>
      </c>
      <c r="Y254" s="6">
        <f>IF(O254="","vazio",IF(AND(ISNUMBER(FIND("@",O254)),ISNUMBER(FIND(".",MID(O254,FIND("@",O254),99))),NOT(ISNUMBER(FIND(" ",TRIM(O254)))),NOT(ISNUMBER(FIND(";",O254))),NOT(ISNUMBER(FIND(",",O254)))),"OK","ERRO: um e-mail válido por linha"))</f>
      </c>
      <c r="Z254" s="6">
        <f>IF(AND(J254="",K254=""),"",IF(AND(J254&lt;&gt;"",K254&lt;&gt;""),"OK","pendente: só um nome (o GR completa ao converter)"))</f>
      </c>
      <c r="AA254" s="6">
        <f>IF(COUNTA(A254:S254)=0,"",IF(AND(A254&lt;&gt;"",B254&lt;&gt;"",C254&lt;&gt;"",D254&lt;&gt;"",E254&lt;&gt;"",F254&lt;&gt;"",G254&lt;&gt;"",H254&lt;&gt;"",OR(J254&lt;&gt;"",K254&lt;&gt;""),OR(M254&lt;&gt;"",N254&lt;&gt;"",O254&lt;&gt;"")),"OK","ERRO: faltam "&amp;IF(A254="","SDR; ","")&amp;IF(B254="","Proprietário; ","")&amp;IF(C254="","Origem; ","")&amp;IF(D254="","Temperatura; ","")&amp;IF(E254="","Segmento; ","")&amp;IF(F254="","Time/Cluster; ","")&amp;IF(G254="","CNPJ; ","")&amp;IF(H254="","Razão Social; ","")&amp;IF(AND(J254="",K254=""),"nome do contato; ","")&amp;IF(AND(M254="",N254="",O254=""),"telefone, celular ou e-mail; ","")))</f>
      </c>
      <c r="AB254" s="6">
        <f>IF(COUNTA(A254:S254)=0,"",IF(AND(U254="OK",V254="OK",LEFT(W254,4)&lt;&gt;"ERRO",LEFT(X254,4)&lt;&gt;"ERRO",LEFT(Y254,4)&lt;&gt;"ERRO",AA254="OK"),"OK","REVISAR"))</f>
      </c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5"/>
      <c r="K255" s="4"/>
      <c r="L255" s="4"/>
      <c r="M255" s="4"/>
      <c r="N255" s="4"/>
      <c r="O255" s="4"/>
      <c r="P255" s="4"/>
      <c r="Q255" s="4"/>
      <c r="R255" s="4"/>
      <c r="S255" s="4"/>
      <c r="T255" s="6">
        <f>IF(G255="","",SUBSTITUTE(SUBSTITUTE(SUBSTITUTE(SUBSTITUTE(SUBSTITUTE(SUBSTITUTE(SUBSTITUTE(TRIM(G255),".",""),"/",""),"-","")," ",""),"(",""),")",""),"+",""))</f>
      </c>
      <c r="U255" s="6">
        <f>IF(T255="","",IF(LEN(T255)&lt;&gt;14,"ERRO: "&amp;LEN(T255)&amp;" dígitos",IF(NOT(ISNUMBER(VALUE(T255))),"ERRO: não numérico",IF(LEN(SUBSTITUTE(T255,LEFT(T255,1),""))=0,"ERRO: dígitos repetidos",IF(AND(VALUE(MID(T255,13,1))=IF(MOD(SUMPRODUCT(--MID(T255,{1,2,3,4,5,6,7,8,9,10,11,12},1),{5,4,3,2,9,8,7,6,5,4,3,2}),11)&lt;2,0,11-MOD(SUMPRODUCT(--MID(T255,{1,2,3,4,5,6,7,8,9,10,11,12},1),{5,4,3,2,9,8,7,6,5,4,3,2}),11)),VALUE(MID(T255,14,1))=IF(MOD(SUMPRODUCT(--MID(T255,{1,2,3,4,5,6,7,8,9,10,11,12,13},1),{6,5,4,3,2,9,8,7,6,5,4,3,2}),11)&lt;2,0,11-MOD(SUMPRODUCT(--MID(T255,{1,2,3,4,5,6,7,8,9,10,11,12,13},1),{6,5,4,3,2,9,8,7,6,5,4,3,2}),11))),"OK","ERRO: dígito verificador")))))</f>
      </c>
      <c r="V255" s="6">
        <f>IF(T255="","",IF(COUNTIF($T$2:$T$1001,T255)&gt;1,"DUPLICADO","OK"))</f>
      </c>
      <c r="W255" s="6">
        <f>IF(M255="","vazio",IF(OR(AND(LEN(SUBSTITUTE(SUBSTITUTE(SUBSTITUTE(SUBSTITUTE(SUBSTITUTE(SUBSTITUTE(SUBSTITUTE(TRIM(M255),".",""),"/",""),"-","")," ",""),"(",""),")",""),"+",""))=10,LEFT(SUBSTITUTE(SUBSTITUTE(SUBSTITUTE(SUBSTITUTE(SUBSTITUTE(SUBSTITUTE(SUBSTITUTE(TRIM(M255),".",""),"/",""),"-","")," ",""),"(",""),")",""),"+",""),1)&lt;&gt;"0"),AND(LEN(SUBSTITUTE(SUBSTITUTE(SUBSTITUTE(SUBSTITUTE(SUBSTITUTE(SUBSTITUTE(SUBSTITUTE(TRIM(M255),".",""),"/",""),"-","")," ",""),"(",""),")",""),"+",""))=11,LEFT(SUBSTITUTE(SUBSTITUTE(SUBSTITUTE(SUBSTITUTE(SUBSTITUTE(SUBSTITUTE(SUBSTITUTE(TRIM(M255),".",""),"/",""),"-","")," ",""),"(",""),")",""),"+",""),4)="0800")),"OK",IF(AND(LEN(SUBSTITUTE(SUBSTITUTE(SUBSTITUTE(SUBSTITUTE(SUBSTITUTE(SUBSTITUTE(SUBSTITUTE(TRIM(M255),".",""),"/",""),"-","")," ",""),"(",""),")",""),"+",""))=11,MID(SUBSTITUTE(SUBSTITUTE(SUBSTITUTE(SUBSTITUTE(SUBSTITUTE(SUBSTITUTE(SUBSTITUTE(TRIM(M255),".",""),"/",""),"-","")," ",""),"(",""),")",""),"+",""),3,1)="9"),"ERRO: é celular, use a coluna Celular","ERRO: DDD + 8 dígitos ou 0800 + 7")))</f>
      </c>
      <c r="X255" s="6">
        <f>IF(N255="","vazio",IF(AND(LEN(SUBSTITUTE(SUBSTITUTE(SUBSTITUTE(SUBSTITUTE(SUBSTITUTE(SUBSTITUTE(SUBSTITUTE(TRIM(N255),".",""),"/",""),"-","")," ",""),"(",""),")",""),"+",""))=11,MID(SUBSTITUTE(SUBSTITUTE(SUBSTITUTE(SUBSTITUTE(SUBSTITUTE(SUBSTITUTE(SUBSTITUTE(TRIM(N255),".",""),"/",""),"-","")," ",""),"(",""),")",""),"+",""),3,1)="9",LEFT(SUBSTITUTE(SUBSTITUTE(SUBSTITUTE(SUBSTITUTE(SUBSTITUTE(SUBSTITUTE(SUBSTITUTE(TRIM(N255),".",""),"/",""),"-","")," ",""),"(",""),")",""),"+",""),1)&lt;&gt;"0"),"OK",IF(LEN(SUBSTITUTE(SUBSTITUTE(SUBSTITUTE(SUBSTITUTE(SUBSTITUTE(SUBSTITUTE(SUBSTITUTE(TRIM(N255),".",""),"/",""),"-","")," ",""),"(",""),")",""),"+",""))=10,"ERRO: é fixo (ou falta o 9), use a coluna Telefone fixo","ERRO: DDD + 9 + 8 dígitos")))</f>
      </c>
      <c r="Y255" s="6">
        <f>IF(O255="","vazio",IF(AND(ISNUMBER(FIND("@",O255)),ISNUMBER(FIND(".",MID(O255,FIND("@",O255),99))),NOT(ISNUMBER(FIND(" ",TRIM(O255)))),NOT(ISNUMBER(FIND(";",O255))),NOT(ISNUMBER(FIND(",",O255)))),"OK","ERRO: um e-mail válido por linha"))</f>
      </c>
      <c r="Z255" s="6">
        <f>IF(AND(J255="",K255=""),"",IF(AND(J255&lt;&gt;"",K255&lt;&gt;""),"OK","pendente: só um nome (o GR completa ao converter)"))</f>
      </c>
      <c r="AA255" s="6">
        <f>IF(COUNTA(A255:S255)=0,"",IF(AND(A255&lt;&gt;"",B255&lt;&gt;"",C255&lt;&gt;"",D255&lt;&gt;"",E255&lt;&gt;"",F255&lt;&gt;"",G255&lt;&gt;"",H255&lt;&gt;"",OR(J255&lt;&gt;"",K255&lt;&gt;""),OR(M255&lt;&gt;"",N255&lt;&gt;"",O255&lt;&gt;"")),"OK","ERRO: faltam "&amp;IF(A255="","SDR; ","")&amp;IF(B255="","Proprietário; ","")&amp;IF(C255="","Origem; ","")&amp;IF(D255="","Temperatura; ","")&amp;IF(E255="","Segmento; ","")&amp;IF(F255="","Time/Cluster; ","")&amp;IF(G255="","CNPJ; ","")&amp;IF(H255="","Razão Social; ","")&amp;IF(AND(J255="",K255=""),"nome do contato; ","")&amp;IF(AND(M255="",N255="",O255=""),"telefone, celular ou e-mail; ","")))</f>
      </c>
      <c r="AB255" s="6">
        <f>IF(COUNTA(A255:S255)=0,"",IF(AND(U255="OK",V255="OK",LEFT(W255,4)&lt;&gt;"ERRO",LEFT(X255,4)&lt;&gt;"ERRO",LEFT(Y255,4)&lt;&gt;"ERRO",AA255="OK"),"OK","REVISAR"))</f>
      </c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5"/>
      <c r="K256" s="4"/>
      <c r="L256" s="4"/>
      <c r="M256" s="4"/>
      <c r="N256" s="4"/>
      <c r="O256" s="4"/>
      <c r="P256" s="4"/>
      <c r="Q256" s="4"/>
      <c r="R256" s="4"/>
      <c r="S256" s="4"/>
      <c r="T256" s="6">
        <f>IF(G256="","",SUBSTITUTE(SUBSTITUTE(SUBSTITUTE(SUBSTITUTE(SUBSTITUTE(SUBSTITUTE(SUBSTITUTE(TRIM(G256),".",""),"/",""),"-","")," ",""),"(",""),")",""),"+",""))</f>
      </c>
      <c r="U256" s="6">
        <f>IF(T256="","",IF(LEN(T256)&lt;&gt;14,"ERRO: "&amp;LEN(T256)&amp;" dígitos",IF(NOT(ISNUMBER(VALUE(T256))),"ERRO: não numérico",IF(LEN(SUBSTITUTE(T256,LEFT(T256,1),""))=0,"ERRO: dígitos repetidos",IF(AND(VALUE(MID(T256,13,1))=IF(MOD(SUMPRODUCT(--MID(T256,{1,2,3,4,5,6,7,8,9,10,11,12},1),{5,4,3,2,9,8,7,6,5,4,3,2}),11)&lt;2,0,11-MOD(SUMPRODUCT(--MID(T256,{1,2,3,4,5,6,7,8,9,10,11,12},1),{5,4,3,2,9,8,7,6,5,4,3,2}),11)),VALUE(MID(T256,14,1))=IF(MOD(SUMPRODUCT(--MID(T256,{1,2,3,4,5,6,7,8,9,10,11,12,13},1),{6,5,4,3,2,9,8,7,6,5,4,3,2}),11)&lt;2,0,11-MOD(SUMPRODUCT(--MID(T256,{1,2,3,4,5,6,7,8,9,10,11,12,13},1),{6,5,4,3,2,9,8,7,6,5,4,3,2}),11))),"OK","ERRO: dígito verificador")))))</f>
      </c>
      <c r="V256" s="6">
        <f>IF(T256="","",IF(COUNTIF($T$2:$T$1001,T256)&gt;1,"DUPLICADO","OK"))</f>
      </c>
      <c r="W256" s="6">
        <f>IF(M256="","vazio",IF(OR(AND(LEN(SUBSTITUTE(SUBSTITUTE(SUBSTITUTE(SUBSTITUTE(SUBSTITUTE(SUBSTITUTE(SUBSTITUTE(TRIM(M256),".",""),"/",""),"-","")," ",""),"(",""),")",""),"+",""))=10,LEFT(SUBSTITUTE(SUBSTITUTE(SUBSTITUTE(SUBSTITUTE(SUBSTITUTE(SUBSTITUTE(SUBSTITUTE(TRIM(M256),".",""),"/",""),"-","")," ",""),"(",""),")",""),"+",""),1)&lt;&gt;"0"),AND(LEN(SUBSTITUTE(SUBSTITUTE(SUBSTITUTE(SUBSTITUTE(SUBSTITUTE(SUBSTITUTE(SUBSTITUTE(TRIM(M256),".",""),"/",""),"-","")," ",""),"(",""),")",""),"+",""))=11,LEFT(SUBSTITUTE(SUBSTITUTE(SUBSTITUTE(SUBSTITUTE(SUBSTITUTE(SUBSTITUTE(SUBSTITUTE(TRIM(M256),".",""),"/",""),"-","")," ",""),"(",""),")",""),"+",""),4)="0800")),"OK",IF(AND(LEN(SUBSTITUTE(SUBSTITUTE(SUBSTITUTE(SUBSTITUTE(SUBSTITUTE(SUBSTITUTE(SUBSTITUTE(TRIM(M256),".",""),"/",""),"-","")," ",""),"(",""),")",""),"+",""))=11,MID(SUBSTITUTE(SUBSTITUTE(SUBSTITUTE(SUBSTITUTE(SUBSTITUTE(SUBSTITUTE(SUBSTITUTE(TRIM(M256),".",""),"/",""),"-","")," ",""),"(",""),")",""),"+",""),3,1)="9"),"ERRO: é celular, use a coluna Celular","ERRO: DDD + 8 dígitos ou 0800 + 7")))</f>
      </c>
      <c r="X256" s="6">
        <f>IF(N256="","vazio",IF(AND(LEN(SUBSTITUTE(SUBSTITUTE(SUBSTITUTE(SUBSTITUTE(SUBSTITUTE(SUBSTITUTE(SUBSTITUTE(TRIM(N256),".",""),"/",""),"-","")," ",""),"(",""),")",""),"+",""))=11,MID(SUBSTITUTE(SUBSTITUTE(SUBSTITUTE(SUBSTITUTE(SUBSTITUTE(SUBSTITUTE(SUBSTITUTE(TRIM(N256),".",""),"/",""),"-","")," ",""),"(",""),")",""),"+",""),3,1)="9",LEFT(SUBSTITUTE(SUBSTITUTE(SUBSTITUTE(SUBSTITUTE(SUBSTITUTE(SUBSTITUTE(SUBSTITUTE(TRIM(N256),".",""),"/",""),"-","")," ",""),"(",""),")",""),"+",""),1)&lt;&gt;"0"),"OK",IF(LEN(SUBSTITUTE(SUBSTITUTE(SUBSTITUTE(SUBSTITUTE(SUBSTITUTE(SUBSTITUTE(SUBSTITUTE(TRIM(N256),".",""),"/",""),"-","")," ",""),"(",""),")",""),"+",""))=10,"ERRO: é fixo (ou falta o 9), use a coluna Telefone fixo","ERRO: DDD + 9 + 8 dígitos")))</f>
      </c>
      <c r="Y256" s="6">
        <f>IF(O256="","vazio",IF(AND(ISNUMBER(FIND("@",O256)),ISNUMBER(FIND(".",MID(O256,FIND("@",O256),99))),NOT(ISNUMBER(FIND(" ",TRIM(O256)))),NOT(ISNUMBER(FIND(";",O256))),NOT(ISNUMBER(FIND(",",O256)))),"OK","ERRO: um e-mail válido por linha"))</f>
      </c>
      <c r="Z256" s="6">
        <f>IF(AND(J256="",K256=""),"",IF(AND(J256&lt;&gt;"",K256&lt;&gt;""),"OK","pendente: só um nome (o GR completa ao converter)"))</f>
      </c>
      <c r="AA256" s="6">
        <f>IF(COUNTA(A256:S256)=0,"",IF(AND(A256&lt;&gt;"",B256&lt;&gt;"",C256&lt;&gt;"",D256&lt;&gt;"",E256&lt;&gt;"",F256&lt;&gt;"",G256&lt;&gt;"",H256&lt;&gt;"",OR(J256&lt;&gt;"",K256&lt;&gt;""),OR(M256&lt;&gt;"",N256&lt;&gt;"",O256&lt;&gt;"")),"OK","ERRO: faltam "&amp;IF(A256="","SDR; ","")&amp;IF(B256="","Proprietário; ","")&amp;IF(C256="","Origem; ","")&amp;IF(D256="","Temperatura; ","")&amp;IF(E256="","Segmento; ","")&amp;IF(F256="","Time/Cluster; ","")&amp;IF(G256="","CNPJ; ","")&amp;IF(H256="","Razão Social; ","")&amp;IF(AND(J256="",K256=""),"nome do contato; ","")&amp;IF(AND(M256="",N256="",O256=""),"telefone, celular ou e-mail; ","")))</f>
      </c>
      <c r="AB256" s="6">
        <f>IF(COUNTA(A256:S256)=0,"",IF(AND(U256="OK",V256="OK",LEFT(W256,4)&lt;&gt;"ERRO",LEFT(X256,4)&lt;&gt;"ERRO",LEFT(Y256,4)&lt;&gt;"ERRO",AA256="OK"),"OK","REVISAR"))</f>
      </c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5"/>
      <c r="K257" s="4"/>
      <c r="L257" s="4"/>
      <c r="M257" s="4"/>
      <c r="N257" s="4"/>
      <c r="O257" s="4"/>
      <c r="P257" s="4"/>
      <c r="Q257" s="4"/>
      <c r="R257" s="4"/>
      <c r="S257" s="4"/>
      <c r="T257" s="6">
        <f>IF(G257="","",SUBSTITUTE(SUBSTITUTE(SUBSTITUTE(SUBSTITUTE(SUBSTITUTE(SUBSTITUTE(SUBSTITUTE(TRIM(G257),".",""),"/",""),"-","")," ",""),"(",""),")",""),"+",""))</f>
      </c>
      <c r="U257" s="6">
        <f>IF(T257="","",IF(LEN(T257)&lt;&gt;14,"ERRO: "&amp;LEN(T257)&amp;" dígitos",IF(NOT(ISNUMBER(VALUE(T257))),"ERRO: não numérico",IF(LEN(SUBSTITUTE(T257,LEFT(T257,1),""))=0,"ERRO: dígitos repetidos",IF(AND(VALUE(MID(T257,13,1))=IF(MOD(SUMPRODUCT(--MID(T257,{1,2,3,4,5,6,7,8,9,10,11,12},1),{5,4,3,2,9,8,7,6,5,4,3,2}),11)&lt;2,0,11-MOD(SUMPRODUCT(--MID(T257,{1,2,3,4,5,6,7,8,9,10,11,12},1),{5,4,3,2,9,8,7,6,5,4,3,2}),11)),VALUE(MID(T257,14,1))=IF(MOD(SUMPRODUCT(--MID(T257,{1,2,3,4,5,6,7,8,9,10,11,12,13},1),{6,5,4,3,2,9,8,7,6,5,4,3,2}),11)&lt;2,0,11-MOD(SUMPRODUCT(--MID(T257,{1,2,3,4,5,6,7,8,9,10,11,12,13},1),{6,5,4,3,2,9,8,7,6,5,4,3,2}),11))),"OK","ERRO: dígito verificador")))))</f>
      </c>
      <c r="V257" s="6">
        <f>IF(T257="","",IF(COUNTIF($T$2:$T$1001,T257)&gt;1,"DUPLICADO","OK"))</f>
      </c>
      <c r="W257" s="6">
        <f>IF(M257="","vazio",IF(OR(AND(LEN(SUBSTITUTE(SUBSTITUTE(SUBSTITUTE(SUBSTITUTE(SUBSTITUTE(SUBSTITUTE(SUBSTITUTE(TRIM(M257),".",""),"/",""),"-","")," ",""),"(",""),")",""),"+",""))=10,LEFT(SUBSTITUTE(SUBSTITUTE(SUBSTITUTE(SUBSTITUTE(SUBSTITUTE(SUBSTITUTE(SUBSTITUTE(TRIM(M257),".",""),"/",""),"-","")," ",""),"(",""),")",""),"+",""),1)&lt;&gt;"0"),AND(LEN(SUBSTITUTE(SUBSTITUTE(SUBSTITUTE(SUBSTITUTE(SUBSTITUTE(SUBSTITUTE(SUBSTITUTE(TRIM(M257),".",""),"/",""),"-","")," ",""),"(",""),")",""),"+",""))=11,LEFT(SUBSTITUTE(SUBSTITUTE(SUBSTITUTE(SUBSTITUTE(SUBSTITUTE(SUBSTITUTE(SUBSTITUTE(TRIM(M257),".",""),"/",""),"-","")," ",""),"(",""),")",""),"+",""),4)="0800")),"OK",IF(AND(LEN(SUBSTITUTE(SUBSTITUTE(SUBSTITUTE(SUBSTITUTE(SUBSTITUTE(SUBSTITUTE(SUBSTITUTE(TRIM(M257),".",""),"/",""),"-","")," ",""),"(",""),")",""),"+",""))=11,MID(SUBSTITUTE(SUBSTITUTE(SUBSTITUTE(SUBSTITUTE(SUBSTITUTE(SUBSTITUTE(SUBSTITUTE(TRIM(M257),".",""),"/",""),"-","")," ",""),"(",""),")",""),"+",""),3,1)="9"),"ERRO: é celular, use a coluna Celular","ERRO: DDD + 8 dígitos ou 0800 + 7")))</f>
      </c>
      <c r="X257" s="6">
        <f>IF(N257="","vazio",IF(AND(LEN(SUBSTITUTE(SUBSTITUTE(SUBSTITUTE(SUBSTITUTE(SUBSTITUTE(SUBSTITUTE(SUBSTITUTE(TRIM(N257),".",""),"/",""),"-","")," ",""),"(",""),")",""),"+",""))=11,MID(SUBSTITUTE(SUBSTITUTE(SUBSTITUTE(SUBSTITUTE(SUBSTITUTE(SUBSTITUTE(SUBSTITUTE(TRIM(N257),".",""),"/",""),"-","")," ",""),"(",""),")",""),"+",""),3,1)="9",LEFT(SUBSTITUTE(SUBSTITUTE(SUBSTITUTE(SUBSTITUTE(SUBSTITUTE(SUBSTITUTE(SUBSTITUTE(TRIM(N257),".",""),"/",""),"-","")," ",""),"(",""),")",""),"+",""),1)&lt;&gt;"0"),"OK",IF(LEN(SUBSTITUTE(SUBSTITUTE(SUBSTITUTE(SUBSTITUTE(SUBSTITUTE(SUBSTITUTE(SUBSTITUTE(TRIM(N257),".",""),"/",""),"-","")," ",""),"(",""),")",""),"+",""))=10,"ERRO: é fixo (ou falta o 9), use a coluna Telefone fixo","ERRO: DDD + 9 + 8 dígitos")))</f>
      </c>
      <c r="Y257" s="6">
        <f>IF(O257="","vazio",IF(AND(ISNUMBER(FIND("@",O257)),ISNUMBER(FIND(".",MID(O257,FIND("@",O257),99))),NOT(ISNUMBER(FIND(" ",TRIM(O257)))),NOT(ISNUMBER(FIND(";",O257))),NOT(ISNUMBER(FIND(",",O257)))),"OK","ERRO: um e-mail válido por linha"))</f>
      </c>
      <c r="Z257" s="6">
        <f>IF(AND(J257="",K257=""),"",IF(AND(J257&lt;&gt;"",K257&lt;&gt;""),"OK","pendente: só um nome (o GR completa ao converter)"))</f>
      </c>
      <c r="AA257" s="6">
        <f>IF(COUNTA(A257:S257)=0,"",IF(AND(A257&lt;&gt;"",B257&lt;&gt;"",C257&lt;&gt;"",D257&lt;&gt;"",E257&lt;&gt;"",F257&lt;&gt;"",G257&lt;&gt;"",H257&lt;&gt;"",OR(J257&lt;&gt;"",K257&lt;&gt;""),OR(M257&lt;&gt;"",N257&lt;&gt;"",O257&lt;&gt;"")),"OK","ERRO: faltam "&amp;IF(A257="","SDR; ","")&amp;IF(B257="","Proprietário; ","")&amp;IF(C257="","Origem; ","")&amp;IF(D257="","Temperatura; ","")&amp;IF(E257="","Segmento; ","")&amp;IF(F257="","Time/Cluster; ","")&amp;IF(G257="","CNPJ; ","")&amp;IF(H257="","Razão Social; ","")&amp;IF(AND(J257="",K257=""),"nome do contato; ","")&amp;IF(AND(M257="",N257="",O257=""),"telefone, celular ou e-mail; ","")))</f>
      </c>
      <c r="AB257" s="6">
        <f>IF(COUNTA(A257:S257)=0,"",IF(AND(U257="OK",V257="OK",LEFT(W257,4)&lt;&gt;"ERRO",LEFT(X257,4)&lt;&gt;"ERRO",LEFT(Y257,4)&lt;&gt;"ERRO",AA257="OK"),"OK","REVISAR"))</f>
      </c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5"/>
      <c r="K258" s="4"/>
      <c r="L258" s="4"/>
      <c r="M258" s="4"/>
      <c r="N258" s="4"/>
      <c r="O258" s="4"/>
      <c r="P258" s="4"/>
      <c r="Q258" s="4"/>
      <c r="R258" s="4"/>
      <c r="S258" s="4"/>
      <c r="T258" s="6">
        <f>IF(G258="","",SUBSTITUTE(SUBSTITUTE(SUBSTITUTE(SUBSTITUTE(SUBSTITUTE(SUBSTITUTE(SUBSTITUTE(TRIM(G258),".",""),"/",""),"-","")," ",""),"(",""),")",""),"+",""))</f>
      </c>
      <c r="U258" s="6">
        <f>IF(T258="","",IF(LEN(T258)&lt;&gt;14,"ERRO: "&amp;LEN(T258)&amp;" dígitos",IF(NOT(ISNUMBER(VALUE(T258))),"ERRO: não numérico",IF(LEN(SUBSTITUTE(T258,LEFT(T258,1),""))=0,"ERRO: dígitos repetidos",IF(AND(VALUE(MID(T258,13,1))=IF(MOD(SUMPRODUCT(--MID(T258,{1,2,3,4,5,6,7,8,9,10,11,12},1),{5,4,3,2,9,8,7,6,5,4,3,2}),11)&lt;2,0,11-MOD(SUMPRODUCT(--MID(T258,{1,2,3,4,5,6,7,8,9,10,11,12},1),{5,4,3,2,9,8,7,6,5,4,3,2}),11)),VALUE(MID(T258,14,1))=IF(MOD(SUMPRODUCT(--MID(T258,{1,2,3,4,5,6,7,8,9,10,11,12,13},1),{6,5,4,3,2,9,8,7,6,5,4,3,2}),11)&lt;2,0,11-MOD(SUMPRODUCT(--MID(T258,{1,2,3,4,5,6,7,8,9,10,11,12,13},1),{6,5,4,3,2,9,8,7,6,5,4,3,2}),11))),"OK","ERRO: dígito verificador")))))</f>
      </c>
      <c r="V258" s="6">
        <f>IF(T258="","",IF(COUNTIF($T$2:$T$1001,T258)&gt;1,"DUPLICADO","OK"))</f>
      </c>
      <c r="W258" s="6">
        <f>IF(M258="","vazio",IF(OR(AND(LEN(SUBSTITUTE(SUBSTITUTE(SUBSTITUTE(SUBSTITUTE(SUBSTITUTE(SUBSTITUTE(SUBSTITUTE(TRIM(M258),".",""),"/",""),"-","")," ",""),"(",""),")",""),"+",""))=10,LEFT(SUBSTITUTE(SUBSTITUTE(SUBSTITUTE(SUBSTITUTE(SUBSTITUTE(SUBSTITUTE(SUBSTITUTE(TRIM(M258),".",""),"/",""),"-","")," ",""),"(",""),")",""),"+",""),1)&lt;&gt;"0"),AND(LEN(SUBSTITUTE(SUBSTITUTE(SUBSTITUTE(SUBSTITUTE(SUBSTITUTE(SUBSTITUTE(SUBSTITUTE(TRIM(M258),".",""),"/",""),"-","")," ",""),"(",""),")",""),"+",""))=11,LEFT(SUBSTITUTE(SUBSTITUTE(SUBSTITUTE(SUBSTITUTE(SUBSTITUTE(SUBSTITUTE(SUBSTITUTE(TRIM(M258),".",""),"/",""),"-","")," ",""),"(",""),")",""),"+",""),4)="0800")),"OK",IF(AND(LEN(SUBSTITUTE(SUBSTITUTE(SUBSTITUTE(SUBSTITUTE(SUBSTITUTE(SUBSTITUTE(SUBSTITUTE(TRIM(M258),".",""),"/",""),"-","")," ",""),"(",""),")",""),"+",""))=11,MID(SUBSTITUTE(SUBSTITUTE(SUBSTITUTE(SUBSTITUTE(SUBSTITUTE(SUBSTITUTE(SUBSTITUTE(TRIM(M258),".",""),"/",""),"-","")," ",""),"(",""),")",""),"+",""),3,1)="9"),"ERRO: é celular, use a coluna Celular","ERRO: DDD + 8 dígitos ou 0800 + 7")))</f>
      </c>
      <c r="X258" s="6">
        <f>IF(N258="","vazio",IF(AND(LEN(SUBSTITUTE(SUBSTITUTE(SUBSTITUTE(SUBSTITUTE(SUBSTITUTE(SUBSTITUTE(SUBSTITUTE(TRIM(N258),".",""),"/",""),"-","")," ",""),"(",""),")",""),"+",""))=11,MID(SUBSTITUTE(SUBSTITUTE(SUBSTITUTE(SUBSTITUTE(SUBSTITUTE(SUBSTITUTE(SUBSTITUTE(TRIM(N258),".",""),"/",""),"-","")," ",""),"(",""),")",""),"+",""),3,1)="9",LEFT(SUBSTITUTE(SUBSTITUTE(SUBSTITUTE(SUBSTITUTE(SUBSTITUTE(SUBSTITUTE(SUBSTITUTE(TRIM(N258),".",""),"/",""),"-","")," ",""),"(",""),")",""),"+",""),1)&lt;&gt;"0"),"OK",IF(LEN(SUBSTITUTE(SUBSTITUTE(SUBSTITUTE(SUBSTITUTE(SUBSTITUTE(SUBSTITUTE(SUBSTITUTE(TRIM(N258),".",""),"/",""),"-","")," ",""),"(",""),")",""),"+",""))=10,"ERRO: é fixo (ou falta o 9), use a coluna Telefone fixo","ERRO: DDD + 9 + 8 dígitos")))</f>
      </c>
      <c r="Y258" s="6">
        <f>IF(O258="","vazio",IF(AND(ISNUMBER(FIND("@",O258)),ISNUMBER(FIND(".",MID(O258,FIND("@",O258),99))),NOT(ISNUMBER(FIND(" ",TRIM(O258)))),NOT(ISNUMBER(FIND(";",O258))),NOT(ISNUMBER(FIND(",",O258)))),"OK","ERRO: um e-mail válido por linha"))</f>
      </c>
      <c r="Z258" s="6">
        <f>IF(AND(J258="",K258=""),"",IF(AND(J258&lt;&gt;"",K258&lt;&gt;""),"OK","pendente: só um nome (o GR completa ao converter)"))</f>
      </c>
      <c r="AA258" s="6">
        <f>IF(COUNTA(A258:S258)=0,"",IF(AND(A258&lt;&gt;"",B258&lt;&gt;"",C258&lt;&gt;"",D258&lt;&gt;"",E258&lt;&gt;"",F258&lt;&gt;"",G258&lt;&gt;"",H258&lt;&gt;"",OR(J258&lt;&gt;"",K258&lt;&gt;""),OR(M258&lt;&gt;"",N258&lt;&gt;"",O258&lt;&gt;"")),"OK","ERRO: faltam "&amp;IF(A258="","SDR; ","")&amp;IF(B258="","Proprietário; ","")&amp;IF(C258="","Origem; ","")&amp;IF(D258="","Temperatura; ","")&amp;IF(E258="","Segmento; ","")&amp;IF(F258="","Time/Cluster; ","")&amp;IF(G258="","CNPJ; ","")&amp;IF(H258="","Razão Social; ","")&amp;IF(AND(J258="",K258=""),"nome do contato; ","")&amp;IF(AND(M258="",N258="",O258=""),"telefone, celular ou e-mail; ","")))</f>
      </c>
      <c r="AB258" s="6">
        <f>IF(COUNTA(A258:S258)=0,"",IF(AND(U258="OK",V258="OK",LEFT(W258,4)&lt;&gt;"ERRO",LEFT(X258,4)&lt;&gt;"ERRO",LEFT(Y258,4)&lt;&gt;"ERRO",AA258="OK"),"OK","REVISAR"))</f>
      </c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5"/>
      <c r="K259" s="4"/>
      <c r="L259" s="4"/>
      <c r="M259" s="4"/>
      <c r="N259" s="4"/>
      <c r="O259" s="4"/>
      <c r="P259" s="4"/>
      <c r="Q259" s="4"/>
      <c r="R259" s="4"/>
      <c r="S259" s="4"/>
      <c r="T259" s="6">
        <f>IF(G259="","",SUBSTITUTE(SUBSTITUTE(SUBSTITUTE(SUBSTITUTE(SUBSTITUTE(SUBSTITUTE(SUBSTITUTE(TRIM(G259),".",""),"/",""),"-","")," ",""),"(",""),")",""),"+",""))</f>
      </c>
      <c r="U259" s="6">
        <f>IF(T259="","",IF(LEN(T259)&lt;&gt;14,"ERRO: "&amp;LEN(T259)&amp;" dígitos",IF(NOT(ISNUMBER(VALUE(T259))),"ERRO: não numérico",IF(LEN(SUBSTITUTE(T259,LEFT(T259,1),""))=0,"ERRO: dígitos repetidos",IF(AND(VALUE(MID(T259,13,1))=IF(MOD(SUMPRODUCT(--MID(T259,{1,2,3,4,5,6,7,8,9,10,11,12},1),{5,4,3,2,9,8,7,6,5,4,3,2}),11)&lt;2,0,11-MOD(SUMPRODUCT(--MID(T259,{1,2,3,4,5,6,7,8,9,10,11,12},1),{5,4,3,2,9,8,7,6,5,4,3,2}),11)),VALUE(MID(T259,14,1))=IF(MOD(SUMPRODUCT(--MID(T259,{1,2,3,4,5,6,7,8,9,10,11,12,13},1),{6,5,4,3,2,9,8,7,6,5,4,3,2}),11)&lt;2,0,11-MOD(SUMPRODUCT(--MID(T259,{1,2,3,4,5,6,7,8,9,10,11,12,13},1),{6,5,4,3,2,9,8,7,6,5,4,3,2}),11))),"OK","ERRO: dígito verificador")))))</f>
      </c>
      <c r="V259" s="6">
        <f>IF(T259="","",IF(COUNTIF($T$2:$T$1001,T259)&gt;1,"DUPLICADO","OK"))</f>
      </c>
      <c r="W259" s="6">
        <f>IF(M259="","vazio",IF(OR(AND(LEN(SUBSTITUTE(SUBSTITUTE(SUBSTITUTE(SUBSTITUTE(SUBSTITUTE(SUBSTITUTE(SUBSTITUTE(TRIM(M259),".",""),"/",""),"-","")," ",""),"(",""),")",""),"+",""))=10,LEFT(SUBSTITUTE(SUBSTITUTE(SUBSTITUTE(SUBSTITUTE(SUBSTITUTE(SUBSTITUTE(SUBSTITUTE(TRIM(M259),".",""),"/",""),"-","")," ",""),"(",""),")",""),"+",""),1)&lt;&gt;"0"),AND(LEN(SUBSTITUTE(SUBSTITUTE(SUBSTITUTE(SUBSTITUTE(SUBSTITUTE(SUBSTITUTE(SUBSTITUTE(TRIM(M259),".",""),"/",""),"-","")," ",""),"(",""),")",""),"+",""))=11,LEFT(SUBSTITUTE(SUBSTITUTE(SUBSTITUTE(SUBSTITUTE(SUBSTITUTE(SUBSTITUTE(SUBSTITUTE(TRIM(M259),".",""),"/",""),"-","")," ",""),"(",""),")",""),"+",""),4)="0800")),"OK",IF(AND(LEN(SUBSTITUTE(SUBSTITUTE(SUBSTITUTE(SUBSTITUTE(SUBSTITUTE(SUBSTITUTE(SUBSTITUTE(TRIM(M259),".",""),"/",""),"-","")," ",""),"(",""),")",""),"+",""))=11,MID(SUBSTITUTE(SUBSTITUTE(SUBSTITUTE(SUBSTITUTE(SUBSTITUTE(SUBSTITUTE(SUBSTITUTE(TRIM(M259),".",""),"/",""),"-","")," ",""),"(",""),")",""),"+",""),3,1)="9"),"ERRO: é celular, use a coluna Celular","ERRO: DDD + 8 dígitos ou 0800 + 7")))</f>
      </c>
      <c r="X259" s="6">
        <f>IF(N259="","vazio",IF(AND(LEN(SUBSTITUTE(SUBSTITUTE(SUBSTITUTE(SUBSTITUTE(SUBSTITUTE(SUBSTITUTE(SUBSTITUTE(TRIM(N259),".",""),"/",""),"-","")," ",""),"(",""),")",""),"+",""))=11,MID(SUBSTITUTE(SUBSTITUTE(SUBSTITUTE(SUBSTITUTE(SUBSTITUTE(SUBSTITUTE(SUBSTITUTE(TRIM(N259),".",""),"/",""),"-","")," ",""),"(",""),")",""),"+",""),3,1)="9",LEFT(SUBSTITUTE(SUBSTITUTE(SUBSTITUTE(SUBSTITUTE(SUBSTITUTE(SUBSTITUTE(SUBSTITUTE(TRIM(N259),".",""),"/",""),"-","")," ",""),"(",""),")",""),"+",""),1)&lt;&gt;"0"),"OK",IF(LEN(SUBSTITUTE(SUBSTITUTE(SUBSTITUTE(SUBSTITUTE(SUBSTITUTE(SUBSTITUTE(SUBSTITUTE(TRIM(N259),".",""),"/",""),"-","")," ",""),"(",""),")",""),"+",""))=10,"ERRO: é fixo (ou falta o 9), use a coluna Telefone fixo","ERRO: DDD + 9 + 8 dígitos")))</f>
      </c>
      <c r="Y259" s="6">
        <f>IF(O259="","vazio",IF(AND(ISNUMBER(FIND("@",O259)),ISNUMBER(FIND(".",MID(O259,FIND("@",O259),99))),NOT(ISNUMBER(FIND(" ",TRIM(O259)))),NOT(ISNUMBER(FIND(";",O259))),NOT(ISNUMBER(FIND(",",O259)))),"OK","ERRO: um e-mail válido por linha"))</f>
      </c>
      <c r="Z259" s="6">
        <f>IF(AND(J259="",K259=""),"",IF(AND(J259&lt;&gt;"",K259&lt;&gt;""),"OK","pendente: só um nome (o GR completa ao converter)"))</f>
      </c>
      <c r="AA259" s="6">
        <f>IF(COUNTA(A259:S259)=0,"",IF(AND(A259&lt;&gt;"",B259&lt;&gt;"",C259&lt;&gt;"",D259&lt;&gt;"",E259&lt;&gt;"",F259&lt;&gt;"",G259&lt;&gt;"",H259&lt;&gt;"",OR(J259&lt;&gt;"",K259&lt;&gt;""),OR(M259&lt;&gt;"",N259&lt;&gt;"",O259&lt;&gt;"")),"OK","ERRO: faltam "&amp;IF(A259="","SDR; ","")&amp;IF(B259="","Proprietário; ","")&amp;IF(C259="","Origem; ","")&amp;IF(D259="","Temperatura; ","")&amp;IF(E259="","Segmento; ","")&amp;IF(F259="","Time/Cluster; ","")&amp;IF(G259="","CNPJ; ","")&amp;IF(H259="","Razão Social; ","")&amp;IF(AND(J259="",K259=""),"nome do contato; ","")&amp;IF(AND(M259="",N259="",O259=""),"telefone, celular ou e-mail; ","")))</f>
      </c>
      <c r="AB259" s="6">
        <f>IF(COUNTA(A259:S259)=0,"",IF(AND(U259="OK",V259="OK",LEFT(W259,4)&lt;&gt;"ERRO",LEFT(X259,4)&lt;&gt;"ERRO",LEFT(Y259,4)&lt;&gt;"ERRO",AA259="OK"),"OK","REVISAR"))</f>
      </c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5"/>
      <c r="K260" s="4"/>
      <c r="L260" s="4"/>
      <c r="M260" s="4"/>
      <c r="N260" s="4"/>
      <c r="O260" s="4"/>
      <c r="P260" s="4"/>
      <c r="Q260" s="4"/>
      <c r="R260" s="4"/>
      <c r="S260" s="4"/>
      <c r="T260" s="6">
        <f>IF(G260="","",SUBSTITUTE(SUBSTITUTE(SUBSTITUTE(SUBSTITUTE(SUBSTITUTE(SUBSTITUTE(SUBSTITUTE(TRIM(G260),".",""),"/",""),"-","")," ",""),"(",""),")",""),"+",""))</f>
      </c>
      <c r="U260" s="6">
        <f>IF(T260="","",IF(LEN(T260)&lt;&gt;14,"ERRO: "&amp;LEN(T260)&amp;" dígitos",IF(NOT(ISNUMBER(VALUE(T260))),"ERRO: não numérico",IF(LEN(SUBSTITUTE(T260,LEFT(T260,1),""))=0,"ERRO: dígitos repetidos",IF(AND(VALUE(MID(T260,13,1))=IF(MOD(SUMPRODUCT(--MID(T260,{1,2,3,4,5,6,7,8,9,10,11,12},1),{5,4,3,2,9,8,7,6,5,4,3,2}),11)&lt;2,0,11-MOD(SUMPRODUCT(--MID(T260,{1,2,3,4,5,6,7,8,9,10,11,12},1),{5,4,3,2,9,8,7,6,5,4,3,2}),11)),VALUE(MID(T260,14,1))=IF(MOD(SUMPRODUCT(--MID(T260,{1,2,3,4,5,6,7,8,9,10,11,12,13},1),{6,5,4,3,2,9,8,7,6,5,4,3,2}),11)&lt;2,0,11-MOD(SUMPRODUCT(--MID(T260,{1,2,3,4,5,6,7,8,9,10,11,12,13},1),{6,5,4,3,2,9,8,7,6,5,4,3,2}),11))),"OK","ERRO: dígito verificador")))))</f>
      </c>
      <c r="V260" s="6">
        <f>IF(T260="","",IF(COUNTIF($T$2:$T$1001,T260)&gt;1,"DUPLICADO","OK"))</f>
      </c>
      <c r="W260" s="6">
        <f>IF(M260="","vazio",IF(OR(AND(LEN(SUBSTITUTE(SUBSTITUTE(SUBSTITUTE(SUBSTITUTE(SUBSTITUTE(SUBSTITUTE(SUBSTITUTE(TRIM(M260),".",""),"/",""),"-","")," ",""),"(",""),")",""),"+",""))=10,LEFT(SUBSTITUTE(SUBSTITUTE(SUBSTITUTE(SUBSTITUTE(SUBSTITUTE(SUBSTITUTE(SUBSTITUTE(TRIM(M260),".",""),"/",""),"-","")," ",""),"(",""),")",""),"+",""),1)&lt;&gt;"0"),AND(LEN(SUBSTITUTE(SUBSTITUTE(SUBSTITUTE(SUBSTITUTE(SUBSTITUTE(SUBSTITUTE(SUBSTITUTE(TRIM(M260),".",""),"/",""),"-","")," ",""),"(",""),")",""),"+",""))=11,LEFT(SUBSTITUTE(SUBSTITUTE(SUBSTITUTE(SUBSTITUTE(SUBSTITUTE(SUBSTITUTE(SUBSTITUTE(TRIM(M260),".",""),"/",""),"-","")," ",""),"(",""),")",""),"+",""),4)="0800")),"OK",IF(AND(LEN(SUBSTITUTE(SUBSTITUTE(SUBSTITUTE(SUBSTITUTE(SUBSTITUTE(SUBSTITUTE(SUBSTITUTE(TRIM(M260),".",""),"/",""),"-","")," ",""),"(",""),")",""),"+",""))=11,MID(SUBSTITUTE(SUBSTITUTE(SUBSTITUTE(SUBSTITUTE(SUBSTITUTE(SUBSTITUTE(SUBSTITUTE(TRIM(M260),".",""),"/",""),"-","")," ",""),"(",""),")",""),"+",""),3,1)="9"),"ERRO: é celular, use a coluna Celular","ERRO: DDD + 8 dígitos ou 0800 + 7")))</f>
      </c>
      <c r="X260" s="6">
        <f>IF(N260="","vazio",IF(AND(LEN(SUBSTITUTE(SUBSTITUTE(SUBSTITUTE(SUBSTITUTE(SUBSTITUTE(SUBSTITUTE(SUBSTITUTE(TRIM(N260),".",""),"/",""),"-","")," ",""),"(",""),")",""),"+",""))=11,MID(SUBSTITUTE(SUBSTITUTE(SUBSTITUTE(SUBSTITUTE(SUBSTITUTE(SUBSTITUTE(SUBSTITUTE(TRIM(N260),".",""),"/",""),"-","")," ",""),"(",""),")",""),"+",""),3,1)="9",LEFT(SUBSTITUTE(SUBSTITUTE(SUBSTITUTE(SUBSTITUTE(SUBSTITUTE(SUBSTITUTE(SUBSTITUTE(TRIM(N260),".",""),"/",""),"-","")," ",""),"(",""),")",""),"+",""),1)&lt;&gt;"0"),"OK",IF(LEN(SUBSTITUTE(SUBSTITUTE(SUBSTITUTE(SUBSTITUTE(SUBSTITUTE(SUBSTITUTE(SUBSTITUTE(TRIM(N260),".",""),"/",""),"-","")," ",""),"(",""),")",""),"+",""))=10,"ERRO: é fixo (ou falta o 9), use a coluna Telefone fixo","ERRO: DDD + 9 + 8 dígitos")))</f>
      </c>
      <c r="Y260" s="6">
        <f>IF(O260="","vazio",IF(AND(ISNUMBER(FIND("@",O260)),ISNUMBER(FIND(".",MID(O260,FIND("@",O260),99))),NOT(ISNUMBER(FIND(" ",TRIM(O260)))),NOT(ISNUMBER(FIND(";",O260))),NOT(ISNUMBER(FIND(",",O260)))),"OK","ERRO: um e-mail válido por linha"))</f>
      </c>
      <c r="Z260" s="6">
        <f>IF(AND(J260="",K260=""),"",IF(AND(J260&lt;&gt;"",K260&lt;&gt;""),"OK","pendente: só um nome (o GR completa ao converter)"))</f>
      </c>
      <c r="AA260" s="6">
        <f>IF(COUNTA(A260:S260)=0,"",IF(AND(A260&lt;&gt;"",B260&lt;&gt;"",C260&lt;&gt;"",D260&lt;&gt;"",E260&lt;&gt;"",F260&lt;&gt;"",G260&lt;&gt;"",H260&lt;&gt;"",OR(J260&lt;&gt;"",K260&lt;&gt;""),OR(M260&lt;&gt;"",N260&lt;&gt;"",O260&lt;&gt;"")),"OK","ERRO: faltam "&amp;IF(A260="","SDR; ","")&amp;IF(B260="","Proprietário; ","")&amp;IF(C260="","Origem; ","")&amp;IF(D260="","Temperatura; ","")&amp;IF(E260="","Segmento; ","")&amp;IF(F260="","Time/Cluster; ","")&amp;IF(G260="","CNPJ; ","")&amp;IF(H260="","Razão Social; ","")&amp;IF(AND(J260="",K260=""),"nome do contato; ","")&amp;IF(AND(M260="",N260="",O260=""),"telefone, celular ou e-mail; ","")))</f>
      </c>
      <c r="AB260" s="6">
        <f>IF(COUNTA(A260:S260)=0,"",IF(AND(U260="OK",V260="OK",LEFT(W260,4)&lt;&gt;"ERRO",LEFT(X260,4)&lt;&gt;"ERRO",LEFT(Y260,4)&lt;&gt;"ERRO",AA260="OK"),"OK","REVISAR"))</f>
      </c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5"/>
      <c r="K261" s="4"/>
      <c r="L261" s="4"/>
      <c r="M261" s="4"/>
      <c r="N261" s="4"/>
      <c r="O261" s="4"/>
      <c r="P261" s="4"/>
      <c r="Q261" s="4"/>
      <c r="R261" s="4"/>
      <c r="S261" s="4"/>
      <c r="T261" s="6">
        <f>IF(G261="","",SUBSTITUTE(SUBSTITUTE(SUBSTITUTE(SUBSTITUTE(SUBSTITUTE(SUBSTITUTE(SUBSTITUTE(TRIM(G261),".",""),"/",""),"-","")," ",""),"(",""),")",""),"+",""))</f>
      </c>
      <c r="U261" s="6">
        <f>IF(T261="","",IF(LEN(T261)&lt;&gt;14,"ERRO: "&amp;LEN(T261)&amp;" dígitos",IF(NOT(ISNUMBER(VALUE(T261))),"ERRO: não numérico",IF(LEN(SUBSTITUTE(T261,LEFT(T261,1),""))=0,"ERRO: dígitos repetidos",IF(AND(VALUE(MID(T261,13,1))=IF(MOD(SUMPRODUCT(--MID(T261,{1,2,3,4,5,6,7,8,9,10,11,12},1),{5,4,3,2,9,8,7,6,5,4,3,2}),11)&lt;2,0,11-MOD(SUMPRODUCT(--MID(T261,{1,2,3,4,5,6,7,8,9,10,11,12},1),{5,4,3,2,9,8,7,6,5,4,3,2}),11)),VALUE(MID(T261,14,1))=IF(MOD(SUMPRODUCT(--MID(T261,{1,2,3,4,5,6,7,8,9,10,11,12,13},1),{6,5,4,3,2,9,8,7,6,5,4,3,2}),11)&lt;2,0,11-MOD(SUMPRODUCT(--MID(T261,{1,2,3,4,5,6,7,8,9,10,11,12,13},1),{6,5,4,3,2,9,8,7,6,5,4,3,2}),11))),"OK","ERRO: dígito verificador")))))</f>
      </c>
      <c r="V261" s="6">
        <f>IF(T261="","",IF(COUNTIF($T$2:$T$1001,T261)&gt;1,"DUPLICADO","OK"))</f>
      </c>
      <c r="W261" s="6">
        <f>IF(M261="","vazio",IF(OR(AND(LEN(SUBSTITUTE(SUBSTITUTE(SUBSTITUTE(SUBSTITUTE(SUBSTITUTE(SUBSTITUTE(SUBSTITUTE(TRIM(M261),".",""),"/",""),"-","")," ",""),"(",""),")",""),"+",""))=10,LEFT(SUBSTITUTE(SUBSTITUTE(SUBSTITUTE(SUBSTITUTE(SUBSTITUTE(SUBSTITUTE(SUBSTITUTE(TRIM(M261),".",""),"/",""),"-","")," ",""),"(",""),")",""),"+",""),1)&lt;&gt;"0"),AND(LEN(SUBSTITUTE(SUBSTITUTE(SUBSTITUTE(SUBSTITUTE(SUBSTITUTE(SUBSTITUTE(SUBSTITUTE(TRIM(M261),".",""),"/",""),"-","")," ",""),"(",""),")",""),"+",""))=11,LEFT(SUBSTITUTE(SUBSTITUTE(SUBSTITUTE(SUBSTITUTE(SUBSTITUTE(SUBSTITUTE(SUBSTITUTE(TRIM(M261),".",""),"/",""),"-","")," ",""),"(",""),")",""),"+",""),4)="0800")),"OK",IF(AND(LEN(SUBSTITUTE(SUBSTITUTE(SUBSTITUTE(SUBSTITUTE(SUBSTITUTE(SUBSTITUTE(SUBSTITUTE(TRIM(M261),".",""),"/",""),"-","")," ",""),"(",""),")",""),"+",""))=11,MID(SUBSTITUTE(SUBSTITUTE(SUBSTITUTE(SUBSTITUTE(SUBSTITUTE(SUBSTITUTE(SUBSTITUTE(TRIM(M261),".",""),"/",""),"-","")," ",""),"(",""),")",""),"+",""),3,1)="9"),"ERRO: é celular, use a coluna Celular","ERRO: DDD + 8 dígitos ou 0800 + 7")))</f>
      </c>
      <c r="X261" s="6">
        <f>IF(N261="","vazio",IF(AND(LEN(SUBSTITUTE(SUBSTITUTE(SUBSTITUTE(SUBSTITUTE(SUBSTITUTE(SUBSTITUTE(SUBSTITUTE(TRIM(N261),".",""),"/",""),"-","")," ",""),"(",""),")",""),"+",""))=11,MID(SUBSTITUTE(SUBSTITUTE(SUBSTITUTE(SUBSTITUTE(SUBSTITUTE(SUBSTITUTE(SUBSTITUTE(TRIM(N261),".",""),"/",""),"-","")," ",""),"(",""),")",""),"+",""),3,1)="9",LEFT(SUBSTITUTE(SUBSTITUTE(SUBSTITUTE(SUBSTITUTE(SUBSTITUTE(SUBSTITUTE(SUBSTITUTE(TRIM(N261),".",""),"/",""),"-","")," ",""),"(",""),")",""),"+",""),1)&lt;&gt;"0"),"OK",IF(LEN(SUBSTITUTE(SUBSTITUTE(SUBSTITUTE(SUBSTITUTE(SUBSTITUTE(SUBSTITUTE(SUBSTITUTE(TRIM(N261),".",""),"/",""),"-","")," ",""),"(",""),")",""),"+",""))=10,"ERRO: é fixo (ou falta o 9), use a coluna Telefone fixo","ERRO: DDD + 9 + 8 dígitos")))</f>
      </c>
      <c r="Y261" s="6">
        <f>IF(O261="","vazio",IF(AND(ISNUMBER(FIND("@",O261)),ISNUMBER(FIND(".",MID(O261,FIND("@",O261),99))),NOT(ISNUMBER(FIND(" ",TRIM(O261)))),NOT(ISNUMBER(FIND(";",O261))),NOT(ISNUMBER(FIND(",",O261)))),"OK","ERRO: um e-mail válido por linha"))</f>
      </c>
      <c r="Z261" s="6">
        <f>IF(AND(J261="",K261=""),"",IF(AND(J261&lt;&gt;"",K261&lt;&gt;""),"OK","pendente: só um nome (o GR completa ao converter)"))</f>
      </c>
      <c r="AA261" s="6">
        <f>IF(COUNTA(A261:S261)=0,"",IF(AND(A261&lt;&gt;"",B261&lt;&gt;"",C261&lt;&gt;"",D261&lt;&gt;"",E261&lt;&gt;"",F261&lt;&gt;"",G261&lt;&gt;"",H261&lt;&gt;"",OR(J261&lt;&gt;"",K261&lt;&gt;""),OR(M261&lt;&gt;"",N261&lt;&gt;"",O261&lt;&gt;"")),"OK","ERRO: faltam "&amp;IF(A261="","SDR; ","")&amp;IF(B261="","Proprietário; ","")&amp;IF(C261="","Origem; ","")&amp;IF(D261="","Temperatura; ","")&amp;IF(E261="","Segmento; ","")&amp;IF(F261="","Time/Cluster; ","")&amp;IF(G261="","CNPJ; ","")&amp;IF(H261="","Razão Social; ","")&amp;IF(AND(J261="",K261=""),"nome do contato; ","")&amp;IF(AND(M261="",N261="",O261=""),"telefone, celular ou e-mail; ","")))</f>
      </c>
      <c r="AB261" s="6">
        <f>IF(COUNTA(A261:S261)=0,"",IF(AND(U261="OK",V261="OK",LEFT(W261,4)&lt;&gt;"ERRO",LEFT(X261,4)&lt;&gt;"ERRO",LEFT(Y261,4)&lt;&gt;"ERRO",AA261="OK"),"OK","REVISAR"))</f>
      </c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5"/>
      <c r="K262" s="4"/>
      <c r="L262" s="4"/>
      <c r="M262" s="4"/>
      <c r="N262" s="4"/>
      <c r="O262" s="4"/>
      <c r="P262" s="4"/>
      <c r="Q262" s="4"/>
      <c r="R262" s="4"/>
      <c r="S262" s="4"/>
      <c r="T262" s="6">
        <f>IF(G262="","",SUBSTITUTE(SUBSTITUTE(SUBSTITUTE(SUBSTITUTE(SUBSTITUTE(SUBSTITUTE(SUBSTITUTE(TRIM(G262),".",""),"/",""),"-","")," ",""),"(",""),")",""),"+",""))</f>
      </c>
      <c r="U262" s="6">
        <f>IF(T262="","",IF(LEN(T262)&lt;&gt;14,"ERRO: "&amp;LEN(T262)&amp;" dígitos",IF(NOT(ISNUMBER(VALUE(T262))),"ERRO: não numérico",IF(LEN(SUBSTITUTE(T262,LEFT(T262,1),""))=0,"ERRO: dígitos repetidos",IF(AND(VALUE(MID(T262,13,1))=IF(MOD(SUMPRODUCT(--MID(T262,{1,2,3,4,5,6,7,8,9,10,11,12},1),{5,4,3,2,9,8,7,6,5,4,3,2}),11)&lt;2,0,11-MOD(SUMPRODUCT(--MID(T262,{1,2,3,4,5,6,7,8,9,10,11,12},1),{5,4,3,2,9,8,7,6,5,4,3,2}),11)),VALUE(MID(T262,14,1))=IF(MOD(SUMPRODUCT(--MID(T262,{1,2,3,4,5,6,7,8,9,10,11,12,13},1),{6,5,4,3,2,9,8,7,6,5,4,3,2}),11)&lt;2,0,11-MOD(SUMPRODUCT(--MID(T262,{1,2,3,4,5,6,7,8,9,10,11,12,13},1),{6,5,4,3,2,9,8,7,6,5,4,3,2}),11))),"OK","ERRO: dígito verificador")))))</f>
      </c>
      <c r="V262" s="6">
        <f>IF(T262="","",IF(COUNTIF($T$2:$T$1001,T262)&gt;1,"DUPLICADO","OK"))</f>
      </c>
      <c r="W262" s="6">
        <f>IF(M262="","vazio",IF(OR(AND(LEN(SUBSTITUTE(SUBSTITUTE(SUBSTITUTE(SUBSTITUTE(SUBSTITUTE(SUBSTITUTE(SUBSTITUTE(TRIM(M262),".",""),"/",""),"-","")," ",""),"(",""),")",""),"+",""))=10,LEFT(SUBSTITUTE(SUBSTITUTE(SUBSTITUTE(SUBSTITUTE(SUBSTITUTE(SUBSTITUTE(SUBSTITUTE(TRIM(M262),".",""),"/",""),"-","")," ",""),"(",""),")",""),"+",""),1)&lt;&gt;"0"),AND(LEN(SUBSTITUTE(SUBSTITUTE(SUBSTITUTE(SUBSTITUTE(SUBSTITUTE(SUBSTITUTE(SUBSTITUTE(TRIM(M262),".",""),"/",""),"-","")," ",""),"(",""),")",""),"+",""))=11,LEFT(SUBSTITUTE(SUBSTITUTE(SUBSTITUTE(SUBSTITUTE(SUBSTITUTE(SUBSTITUTE(SUBSTITUTE(TRIM(M262),".",""),"/",""),"-","")," ",""),"(",""),")",""),"+",""),4)="0800")),"OK",IF(AND(LEN(SUBSTITUTE(SUBSTITUTE(SUBSTITUTE(SUBSTITUTE(SUBSTITUTE(SUBSTITUTE(SUBSTITUTE(TRIM(M262),".",""),"/",""),"-","")," ",""),"(",""),")",""),"+",""))=11,MID(SUBSTITUTE(SUBSTITUTE(SUBSTITUTE(SUBSTITUTE(SUBSTITUTE(SUBSTITUTE(SUBSTITUTE(TRIM(M262),".",""),"/",""),"-","")," ",""),"(",""),")",""),"+",""),3,1)="9"),"ERRO: é celular, use a coluna Celular","ERRO: DDD + 8 dígitos ou 0800 + 7")))</f>
      </c>
      <c r="X262" s="6">
        <f>IF(N262="","vazio",IF(AND(LEN(SUBSTITUTE(SUBSTITUTE(SUBSTITUTE(SUBSTITUTE(SUBSTITUTE(SUBSTITUTE(SUBSTITUTE(TRIM(N262),".",""),"/",""),"-","")," ",""),"(",""),")",""),"+",""))=11,MID(SUBSTITUTE(SUBSTITUTE(SUBSTITUTE(SUBSTITUTE(SUBSTITUTE(SUBSTITUTE(SUBSTITUTE(TRIM(N262),".",""),"/",""),"-","")," ",""),"(",""),")",""),"+",""),3,1)="9",LEFT(SUBSTITUTE(SUBSTITUTE(SUBSTITUTE(SUBSTITUTE(SUBSTITUTE(SUBSTITUTE(SUBSTITUTE(TRIM(N262),".",""),"/",""),"-","")," ",""),"(",""),")",""),"+",""),1)&lt;&gt;"0"),"OK",IF(LEN(SUBSTITUTE(SUBSTITUTE(SUBSTITUTE(SUBSTITUTE(SUBSTITUTE(SUBSTITUTE(SUBSTITUTE(TRIM(N262),".",""),"/",""),"-","")," ",""),"(",""),")",""),"+",""))=10,"ERRO: é fixo (ou falta o 9), use a coluna Telefone fixo","ERRO: DDD + 9 + 8 dígitos")))</f>
      </c>
      <c r="Y262" s="6">
        <f>IF(O262="","vazio",IF(AND(ISNUMBER(FIND("@",O262)),ISNUMBER(FIND(".",MID(O262,FIND("@",O262),99))),NOT(ISNUMBER(FIND(" ",TRIM(O262)))),NOT(ISNUMBER(FIND(";",O262))),NOT(ISNUMBER(FIND(",",O262)))),"OK","ERRO: um e-mail válido por linha"))</f>
      </c>
      <c r="Z262" s="6">
        <f>IF(AND(J262="",K262=""),"",IF(AND(J262&lt;&gt;"",K262&lt;&gt;""),"OK","pendente: só um nome (o GR completa ao converter)"))</f>
      </c>
      <c r="AA262" s="6">
        <f>IF(COUNTA(A262:S262)=0,"",IF(AND(A262&lt;&gt;"",B262&lt;&gt;"",C262&lt;&gt;"",D262&lt;&gt;"",E262&lt;&gt;"",F262&lt;&gt;"",G262&lt;&gt;"",H262&lt;&gt;"",OR(J262&lt;&gt;"",K262&lt;&gt;""),OR(M262&lt;&gt;"",N262&lt;&gt;"",O262&lt;&gt;"")),"OK","ERRO: faltam "&amp;IF(A262="","SDR; ","")&amp;IF(B262="","Proprietário; ","")&amp;IF(C262="","Origem; ","")&amp;IF(D262="","Temperatura; ","")&amp;IF(E262="","Segmento; ","")&amp;IF(F262="","Time/Cluster; ","")&amp;IF(G262="","CNPJ; ","")&amp;IF(H262="","Razão Social; ","")&amp;IF(AND(J262="",K262=""),"nome do contato; ","")&amp;IF(AND(M262="",N262="",O262=""),"telefone, celular ou e-mail; ","")))</f>
      </c>
      <c r="AB262" s="6">
        <f>IF(COUNTA(A262:S262)=0,"",IF(AND(U262="OK",V262="OK",LEFT(W262,4)&lt;&gt;"ERRO",LEFT(X262,4)&lt;&gt;"ERRO",LEFT(Y262,4)&lt;&gt;"ERRO",AA262="OK"),"OK","REVISAR"))</f>
      </c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5"/>
      <c r="K263" s="4"/>
      <c r="L263" s="4"/>
      <c r="M263" s="4"/>
      <c r="N263" s="4"/>
      <c r="O263" s="4"/>
      <c r="P263" s="4"/>
      <c r="Q263" s="4"/>
      <c r="R263" s="4"/>
      <c r="S263" s="4"/>
      <c r="T263" s="6">
        <f>IF(G263="","",SUBSTITUTE(SUBSTITUTE(SUBSTITUTE(SUBSTITUTE(SUBSTITUTE(SUBSTITUTE(SUBSTITUTE(TRIM(G263),".",""),"/",""),"-","")," ",""),"(",""),")",""),"+",""))</f>
      </c>
      <c r="U263" s="6">
        <f>IF(T263="","",IF(LEN(T263)&lt;&gt;14,"ERRO: "&amp;LEN(T263)&amp;" dígitos",IF(NOT(ISNUMBER(VALUE(T263))),"ERRO: não numérico",IF(LEN(SUBSTITUTE(T263,LEFT(T263,1),""))=0,"ERRO: dígitos repetidos",IF(AND(VALUE(MID(T263,13,1))=IF(MOD(SUMPRODUCT(--MID(T263,{1,2,3,4,5,6,7,8,9,10,11,12},1),{5,4,3,2,9,8,7,6,5,4,3,2}),11)&lt;2,0,11-MOD(SUMPRODUCT(--MID(T263,{1,2,3,4,5,6,7,8,9,10,11,12},1),{5,4,3,2,9,8,7,6,5,4,3,2}),11)),VALUE(MID(T263,14,1))=IF(MOD(SUMPRODUCT(--MID(T263,{1,2,3,4,5,6,7,8,9,10,11,12,13},1),{6,5,4,3,2,9,8,7,6,5,4,3,2}),11)&lt;2,0,11-MOD(SUMPRODUCT(--MID(T263,{1,2,3,4,5,6,7,8,9,10,11,12,13},1),{6,5,4,3,2,9,8,7,6,5,4,3,2}),11))),"OK","ERRO: dígito verificador")))))</f>
      </c>
      <c r="V263" s="6">
        <f>IF(T263="","",IF(COUNTIF($T$2:$T$1001,T263)&gt;1,"DUPLICADO","OK"))</f>
      </c>
      <c r="W263" s="6">
        <f>IF(M263="","vazio",IF(OR(AND(LEN(SUBSTITUTE(SUBSTITUTE(SUBSTITUTE(SUBSTITUTE(SUBSTITUTE(SUBSTITUTE(SUBSTITUTE(TRIM(M263),".",""),"/",""),"-","")," ",""),"(",""),")",""),"+",""))=10,LEFT(SUBSTITUTE(SUBSTITUTE(SUBSTITUTE(SUBSTITUTE(SUBSTITUTE(SUBSTITUTE(SUBSTITUTE(TRIM(M263),".",""),"/",""),"-","")," ",""),"(",""),")",""),"+",""),1)&lt;&gt;"0"),AND(LEN(SUBSTITUTE(SUBSTITUTE(SUBSTITUTE(SUBSTITUTE(SUBSTITUTE(SUBSTITUTE(SUBSTITUTE(TRIM(M263),".",""),"/",""),"-","")," ",""),"(",""),")",""),"+",""))=11,LEFT(SUBSTITUTE(SUBSTITUTE(SUBSTITUTE(SUBSTITUTE(SUBSTITUTE(SUBSTITUTE(SUBSTITUTE(TRIM(M263),".",""),"/",""),"-","")," ",""),"(",""),")",""),"+",""),4)="0800")),"OK",IF(AND(LEN(SUBSTITUTE(SUBSTITUTE(SUBSTITUTE(SUBSTITUTE(SUBSTITUTE(SUBSTITUTE(SUBSTITUTE(TRIM(M263),".",""),"/",""),"-","")," ",""),"(",""),")",""),"+",""))=11,MID(SUBSTITUTE(SUBSTITUTE(SUBSTITUTE(SUBSTITUTE(SUBSTITUTE(SUBSTITUTE(SUBSTITUTE(TRIM(M263),".",""),"/",""),"-","")," ",""),"(",""),")",""),"+",""),3,1)="9"),"ERRO: é celular, use a coluna Celular","ERRO: DDD + 8 dígitos ou 0800 + 7")))</f>
      </c>
      <c r="X263" s="6">
        <f>IF(N263="","vazio",IF(AND(LEN(SUBSTITUTE(SUBSTITUTE(SUBSTITUTE(SUBSTITUTE(SUBSTITUTE(SUBSTITUTE(SUBSTITUTE(TRIM(N263),".",""),"/",""),"-","")," ",""),"(",""),")",""),"+",""))=11,MID(SUBSTITUTE(SUBSTITUTE(SUBSTITUTE(SUBSTITUTE(SUBSTITUTE(SUBSTITUTE(SUBSTITUTE(TRIM(N263),".",""),"/",""),"-","")," ",""),"(",""),")",""),"+",""),3,1)="9",LEFT(SUBSTITUTE(SUBSTITUTE(SUBSTITUTE(SUBSTITUTE(SUBSTITUTE(SUBSTITUTE(SUBSTITUTE(TRIM(N263),".",""),"/",""),"-","")," ",""),"(",""),")",""),"+",""),1)&lt;&gt;"0"),"OK",IF(LEN(SUBSTITUTE(SUBSTITUTE(SUBSTITUTE(SUBSTITUTE(SUBSTITUTE(SUBSTITUTE(SUBSTITUTE(TRIM(N263),".",""),"/",""),"-","")," ",""),"(",""),")",""),"+",""))=10,"ERRO: é fixo (ou falta o 9), use a coluna Telefone fixo","ERRO: DDD + 9 + 8 dígitos")))</f>
      </c>
      <c r="Y263" s="6">
        <f>IF(O263="","vazio",IF(AND(ISNUMBER(FIND("@",O263)),ISNUMBER(FIND(".",MID(O263,FIND("@",O263),99))),NOT(ISNUMBER(FIND(" ",TRIM(O263)))),NOT(ISNUMBER(FIND(";",O263))),NOT(ISNUMBER(FIND(",",O263)))),"OK","ERRO: um e-mail válido por linha"))</f>
      </c>
      <c r="Z263" s="6">
        <f>IF(AND(J263="",K263=""),"",IF(AND(J263&lt;&gt;"",K263&lt;&gt;""),"OK","pendente: só um nome (o GR completa ao converter)"))</f>
      </c>
      <c r="AA263" s="6">
        <f>IF(COUNTA(A263:S263)=0,"",IF(AND(A263&lt;&gt;"",B263&lt;&gt;"",C263&lt;&gt;"",D263&lt;&gt;"",E263&lt;&gt;"",F263&lt;&gt;"",G263&lt;&gt;"",H263&lt;&gt;"",OR(J263&lt;&gt;"",K263&lt;&gt;""),OR(M263&lt;&gt;"",N263&lt;&gt;"",O263&lt;&gt;"")),"OK","ERRO: faltam "&amp;IF(A263="","SDR; ","")&amp;IF(B263="","Proprietário; ","")&amp;IF(C263="","Origem; ","")&amp;IF(D263="","Temperatura; ","")&amp;IF(E263="","Segmento; ","")&amp;IF(F263="","Time/Cluster; ","")&amp;IF(G263="","CNPJ; ","")&amp;IF(H263="","Razão Social; ","")&amp;IF(AND(J263="",K263=""),"nome do contato; ","")&amp;IF(AND(M263="",N263="",O263=""),"telefone, celular ou e-mail; ","")))</f>
      </c>
      <c r="AB263" s="6">
        <f>IF(COUNTA(A263:S263)=0,"",IF(AND(U263="OK",V263="OK",LEFT(W263,4)&lt;&gt;"ERRO",LEFT(X263,4)&lt;&gt;"ERRO",LEFT(Y263,4)&lt;&gt;"ERRO",AA263="OK"),"OK","REVISAR"))</f>
      </c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5"/>
      <c r="K264" s="4"/>
      <c r="L264" s="4"/>
      <c r="M264" s="4"/>
      <c r="N264" s="4"/>
      <c r="O264" s="4"/>
      <c r="P264" s="4"/>
      <c r="Q264" s="4"/>
      <c r="R264" s="4"/>
      <c r="S264" s="4"/>
      <c r="T264" s="6">
        <f>IF(G264="","",SUBSTITUTE(SUBSTITUTE(SUBSTITUTE(SUBSTITUTE(SUBSTITUTE(SUBSTITUTE(SUBSTITUTE(TRIM(G264),".",""),"/",""),"-","")," ",""),"(",""),")",""),"+",""))</f>
      </c>
      <c r="U264" s="6">
        <f>IF(T264="","",IF(LEN(T264)&lt;&gt;14,"ERRO: "&amp;LEN(T264)&amp;" dígitos",IF(NOT(ISNUMBER(VALUE(T264))),"ERRO: não numérico",IF(LEN(SUBSTITUTE(T264,LEFT(T264,1),""))=0,"ERRO: dígitos repetidos",IF(AND(VALUE(MID(T264,13,1))=IF(MOD(SUMPRODUCT(--MID(T264,{1,2,3,4,5,6,7,8,9,10,11,12},1),{5,4,3,2,9,8,7,6,5,4,3,2}),11)&lt;2,0,11-MOD(SUMPRODUCT(--MID(T264,{1,2,3,4,5,6,7,8,9,10,11,12},1),{5,4,3,2,9,8,7,6,5,4,3,2}),11)),VALUE(MID(T264,14,1))=IF(MOD(SUMPRODUCT(--MID(T264,{1,2,3,4,5,6,7,8,9,10,11,12,13},1),{6,5,4,3,2,9,8,7,6,5,4,3,2}),11)&lt;2,0,11-MOD(SUMPRODUCT(--MID(T264,{1,2,3,4,5,6,7,8,9,10,11,12,13},1),{6,5,4,3,2,9,8,7,6,5,4,3,2}),11))),"OK","ERRO: dígito verificador")))))</f>
      </c>
      <c r="V264" s="6">
        <f>IF(T264="","",IF(COUNTIF($T$2:$T$1001,T264)&gt;1,"DUPLICADO","OK"))</f>
      </c>
      <c r="W264" s="6">
        <f>IF(M264="","vazio",IF(OR(AND(LEN(SUBSTITUTE(SUBSTITUTE(SUBSTITUTE(SUBSTITUTE(SUBSTITUTE(SUBSTITUTE(SUBSTITUTE(TRIM(M264),".",""),"/",""),"-","")," ",""),"(",""),")",""),"+",""))=10,LEFT(SUBSTITUTE(SUBSTITUTE(SUBSTITUTE(SUBSTITUTE(SUBSTITUTE(SUBSTITUTE(SUBSTITUTE(TRIM(M264),".",""),"/",""),"-","")," ",""),"(",""),")",""),"+",""),1)&lt;&gt;"0"),AND(LEN(SUBSTITUTE(SUBSTITUTE(SUBSTITUTE(SUBSTITUTE(SUBSTITUTE(SUBSTITUTE(SUBSTITUTE(TRIM(M264),".",""),"/",""),"-","")," ",""),"(",""),")",""),"+",""))=11,LEFT(SUBSTITUTE(SUBSTITUTE(SUBSTITUTE(SUBSTITUTE(SUBSTITUTE(SUBSTITUTE(SUBSTITUTE(TRIM(M264),".",""),"/",""),"-","")," ",""),"(",""),")",""),"+",""),4)="0800")),"OK",IF(AND(LEN(SUBSTITUTE(SUBSTITUTE(SUBSTITUTE(SUBSTITUTE(SUBSTITUTE(SUBSTITUTE(SUBSTITUTE(TRIM(M264),".",""),"/",""),"-","")," ",""),"(",""),")",""),"+",""))=11,MID(SUBSTITUTE(SUBSTITUTE(SUBSTITUTE(SUBSTITUTE(SUBSTITUTE(SUBSTITUTE(SUBSTITUTE(TRIM(M264),".",""),"/",""),"-","")," ",""),"(",""),")",""),"+",""),3,1)="9"),"ERRO: é celular, use a coluna Celular","ERRO: DDD + 8 dígitos ou 0800 + 7")))</f>
      </c>
      <c r="X264" s="6">
        <f>IF(N264="","vazio",IF(AND(LEN(SUBSTITUTE(SUBSTITUTE(SUBSTITUTE(SUBSTITUTE(SUBSTITUTE(SUBSTITUTE(SUBSTITUTE(TRIM(N264),".",""),"/",""),"-","")," ",""),"(",""),")",""),"+",""))=11,MID(SUBSTITUTE(SUBSTITUTE(SUBSTITUTE(SUBSTITUTE(SUBSTITUTE(SUBSTITUTE(SUBSTITUTE(TRIM(N264),".",""),"/",""),"-","")," ",""),"(",""),")",""),"+",""),3,1)="9",LEFT(SUBSTITUTE(SUBSTITUTE(SUBSTITUTE(SUBSTITUTE(SUBSTITUTE(SUBSTITUTE(SUBSTITUTE(TRIM(N264),".",""),"/",""),"-","")," ",""),"(",""),")",""),"+",""),1)&lt;&gt;"0"),"OK",IF(LEN(SUBSTITUTE(SUBSTITUTE(SUBSTITUTE(SUBSTITUTE(SUBSTITUTE(SUBSTITUTE(SUBSTITUTE(TRIM(N264),".",""),"/",""),"-","")," ",""),"(",""),")",""),"+",""))=10,"ERRO: é fixo (ou falta o 9), use a coluna Telefone fixo","ERRO: DDD + 9 + 8 dígitos")))</f>
      </c>
      <c r="Y264" s="6">
        <f>IF(O264="","vazio",IF(AND(ISNUMBER(FIND("@",O264)),ISNUMBER(FIND(".",MID(O264,FIND("@",O264),99))),NOT(ISNUMBER(FIND(" ",TRIM(O264)))),NOT(ISNUMBER(FIND(";",O264))),NOT(ISNUMBER(FIND(",",O264)))),"OK","ERRO: um e-mail válido por linha"))</f>
      </c>
      <c r="Z264" s="6">
        <f>IF(AND(J264="",K264=""),"",IF(AND(J264&lt;&gt;"",K264&lt;&gt;""),"OK","pendente: só um nome (o GR completa ao converter)"))</f>
      </c>
      <c r="AA264" s="6">
        <f>IF(COUNTA(A264:S264)=0,"",IF(AND(A264&lt;&gt;"",B264&lt;&gt;"",C264&lt;&gt;"",D264&lt;&gt;"",E264&lt;&gt;"",F264&lt;&gt;"",G264&lt;&gt;"",H264&lt;&gt;"",OR(J264&lt;&gt;"",K264&lt;&gt;""),OR(M264&lt;&gt;"",N264&lt;&gt;"",O264&lt;&gt;"")),"OK","ERRO: faltam "&amp;IF(A264="","SDR; ","")&amp;IF(B264="","Proprietário; ","")&amp;IF(C264="","Origem; ","")&amp;IF(D264="","Temperatura; ","")&amp;IF(E264="","Segmento; ","")&amp;IF(F264="","Time/Cluster; ","")&amp;IF(G264="","CNPJ; ","")&amp;IF(H264="","Razão Social; ","")&amp;IF(AND(J264="",K264=""),"nome do contato; ","")&amp;IF(AND(M264="",N264="",O264=""),"telefone, celular ou e-mail; ","")))</f>
      </c>
      <c r="AB264" s="6">
        <f>IF(COUNTA(A264:S264)=0,"",IF(AND(U264="OK",V264="OK",LEFT(W264,4)&lt;&gt;"ERRO",LEFT(X264,4)&lt;&gt;"ERRO",LEFT(Y264,4)&lt;&gt;"ERRO",AA264="OK"),"OK","REVISAR"))</f>
      </c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5"/>
      <c r="K265" s="4"/>
      <c r="L265" s="4"/>
      <c r="M265" s="4"/>
      <c r="N265" s="4"/>
      <c r="O265" s="4"/>
      <c r="P265" s="4"/>
      <c r="Q265" s="4"/>
      <c r="R265" s="4"/>
      <c r="S265" s="4"/>
      <c r="T265" s="6">
        <f>IF(G265="","",SUBSTITUTE(SUBSTITUTE(SUBSTITUTE(SUBSTITUTE(SUBSTITUTE(SUBSTITUTE(SUBSTITUTE(TRIM(G265),".",""),"/",""),"-","")," ",""),"(",""),")",""),"+",""))</f>
      </c>
      <c r="U265" s="6">
        <f>IF(T265="","",IF(LEN(T265)&lt;&gt;14,"ERRO: "&amp;LEN(T265)&amp;" dígitos",IF(NOT(ISNUMBER(VALUE(T265))),"ERRO: não numérico",IF(LEN(SUBSTITUTE(T265,LEFT(T265,1),""))=0,"ERRO: dígitos repetidos",IF(AND(VALUE(MID(T265,13,1))=IF(MOD(SUMPRODUCT(--MID(T265,{1,2,3,4,5,6,7,8,9,10,11,12},1),{5,4,3,2,9,8,7,6,5,4,3,2}),11)&lt;2,0,11-MOD(SUMPRODUCT(--MID(T265,{1,2,3,4,5,6,7,8,9,10,11,12},1),{5,4,3,2,9,8,7,6,5,4,3,2}),11)),VALUE(MID(T265,14,1))=IF(MOD(SUMPRODUCT(--MID(T265,{1,2,3,4,5,6,7,8,9,10,11,12,13},1),{6,5,4,3,2,9,8,7,6,5,4,3,2}),11)&lt;2,0,11-MOD(SUMPRODUCT(--MID(T265,{1,2,3,4,5,6,7,8,9,10,11,12,13},1),{6,5,4,3,2,9,8,7,6,5,4,3,2}),11))),"OK","ERRO: dígito verificador")))))</f>
      </c>
      <c r="V265" s="6">
        <f>IF(T265="","",IF(COUNTIF($T$2:$T$1001,T265)&gt;1,"DUPLICADO","OK"))</f>
      </c>
      <c r="W265" s="6">
        <f>IF(M265="","vazio",IF(OR(AND(LEN(SUBSTITUTE(SUBSTITUTE(SUBSTITUTE(SUBSTITUTE(SUBSTITUTE(SUBSTITUTE(SUBSTITUTE(TRIM(M265),".",""),"/",""),"-","")," ",""),"(",""),")",""),"+",""))=10,LEFT(SUBSTITUTE(SUBSTITUTE(SUBSTITUTE(SUBSTITUTE(SUBSTITUTE(SUBSTITUTE(SUBSTITUTE(TRIM(M265),".",""),"/",""),"-","")," ",""),"(",""),")",""),"+",""),1)&lt;&gt;"0"),AND(LEN(SUBSTITUTE(SUBSTITUTE(SUBSTITUTE(SUBSTITUTE(SUBSTITUTE(SUBSTITUTE(SUBSTITUTE(TRIM(M265),".",""),"/",""),"-","")," ",""),"(",""),")",""),"+",""))=11,LEFT(SUBSTITUTE(SUBSTITUTE(SUBSTITUTE(SUBSTITUTE(SUBSTITUTE(SUBSTITUTE(SUBSTITUTE(TRIM(M265),".",""),"/",""),"-","")," ",""),"(",""),")",""),"+",""),4)="0800")),"OK",IF(AND(LEN(SUBSTITUTE(SUBSTITUTE(SUBSTITUTE(SUBSTITUTE(SUBSTITUTE(SUBSTITUTE(SUBSTITUTE(TRIM(M265),".",""),"/",""),"-","")," ",""),"(",""),")",""),"+",""))=11,MID(SUBSTITUTE(SUBSTITUTE(SUBSTITUTE(SUBSTITUTE(SUBSTITUTE(SUBSTITUTE(SUBSTITUTE(TRIM(M265),".",""),"/",""),"-","")," ",""),"(",""),")",""),"+",""),3,1)="9"),"ERRO: é celular, use a coluna Celular","ERRO: DDD + 8 dígitos ou 0800 + 7")))</f>
      </c>
      <c r="X265" s="6">
        <f>IF(N265="","vazio",IF(AND(LEN(SUBSTITUTE(SUBSTITUTE(SUBSTITUTE(SUBSTITUTE(SUBSTITUTE(SUBSTITUTE(SUBSTITUTE(TRIM(N265),".",""),"/",""),"-","")," ",""),"(",""),")",""),"+",""))=11,MID(SUBSTITUTE(SUBSTITUTE(SUBSTITUTE(SUBSTITUTE(SUBSTITUTE(SUBSTITUTE(SUBSTITUTE(TRIM(N265),".",""),"/",""),"-","")," ",""),"(",""),")",""),"+",""),3,1)="9",LEFT(SUBSTITUTE(SUBSTITUTE(SUBSTITUTE(SUBSTITUTE(SUBSTITUTE(SUBSTITUTE(SUBSTITUTE(TRIM(N265),".",""),"/",""),"-","")," ",""),"(",""),")",""),"+",""),1)&lt;&gt;"0"),"OK",IF(LEN(SUBSTITUTE(SUBSTITUTE(SUBSTITUTE(SUBSTITUTE(SUBSTITUTE(SUBSTITUTE(SUBSTITUTE(TRIM(N265),".",""),"/",""),"-","")," ",""),"(",""),")",""),"+",""))=10,"ERRO: é fixo (ou falta o 9), use a coluna Telefone fixo","ERRO: DDD + 9 + 8 dígitos")))</f>
      </c>
      <c r="Y265" s="6">
        <f>IF(O265="","vazio",IF(AND(ISNUMBER(FIND("@",O265)),ISNUMBER(FIND(".",MID(O265,FIND("@",O265),99))),NOT(ISNUMBER(FIND(" ",TRIM(O265)))),NOT(ISNUMBER(FIND(";",O265))),NOT(ISNUMBER(FIND(",",O265)))),"OK","ERRO: um e-mail válido por linha"))</f>
      </c>
      <c r="Z265" s="6">
        <f>IF(AND(J265="",K265=""),"",IF(AND(J265&lt;&gt;"",K265&lt;&gt;""),"OK","pendente: só um nome (o GR completa ao converter)"))</f>
      </c>
      <c r="AA265" s="6">
        <f>IF(COUNTA(A265:S265)=0,"",IF(AND(A265&lt;&gt;"",B265&lt;&gt;"",C265&lt;&gt;"",D265&lt;&gt;"",E265&lt;&gt;"",F265&lt;&gt;"",G265&lt;&gt;"",H265&lt;&gt;"",OR(J265&lt;&gt;"",K265&lt;&gt;""),OR(M265&lt;&gt;"",N265&lt;&gt;"",O265&lt;&gt;"")),"OK","ERRO: faltam "&amp;IF(A265="","SDR; ","")&amp;IF(B265="","Proprietário; ","")&amp;IF(C265="","Origem; ","")&amp;IF(D265="","Temperatura; ","")&amp;IF(E265="","Segmento; ","")&amp;IF(F265="","Time/Cluster; ","")&amp;IF(G265="","CNPJ; ","")&amp;IF(H265="","Razão Social; ","")&amp;IF(AND(J265="",K265=""),"nome do contato; ","")&amp;IF(AND(M265="",N265="",O265=""),"telefone, celular ou e-mail; ","")))</f>
      </c>
      <c r="AB265" s="6">
        <f>IF(COUNTA(A265:S265)=0,"",IF(AND(U265="OK",V265="OK",LEFT(W265,4)&lt;&gt;"ERRO",LEFT(X265,4)&lt;&gt;"ERRO",LEFT(Y265,4)&lt;&gt;"ERRO",AA265="OK"),"OK","REVISAR"))</f>
      </c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5"/>
      <c r="K266" s="4"/>
      <c r="L266" s="4"/>
      <c r="M266" s="4"/>
      <c r="N266" s="4"/>
      <c r="O266" s="4"/>
      <c r="P266" s="4"/>
      <c r="Q266" s="4"/>
      <c r="R266" s="4"/>
      <c r="S266" s="4"/>
      <c r="T266" s="6">
        <f>IF(G266="","",SUBSTITUTE(SUBSTITUTE(SUBSTITUTE(SUBSTITUTE(SUBSTITUTE(SUBSTITUTE(SUBSTITUTE(TRIM(G266),".",""),"/",""),"-","")," ",""),"(",""),")",""),"+",""))</f>
      </c>
      <c r="U266" s="6">
        <f>IF(T266="","",IF(LEN(T266)&lt;&gt;14,"ERRO: "&amp;LEN(T266)&amp;" dígitos",IF(NOT(ISNUMBER(VALUE(T266))),"ERRO: não numérico",IF(LEN(SUBSTITUTE(T266,LEFT(T266,1),""))=0,"ERRO: dígitos repetidos",IF(AND(VALUE(MID(T266,13,1))=IF(MOD(SUMPRODUCT(--MID(T266,{1,2,3,4,5,6,7,8,9,10,11,12},1),{5,4,3,2,9,8,7,6,5,4,3,2}),11)&lt;2,0,11-MOD(SUMPRODUCT(--MID(T266,{1,2,3,4,5,6,7,8,9,10,11,12},1),{5,4,3,2,9,8,7,6,5,4,3,2}),11)),VALUE(MID(T266,14,1))=IF(MOD(SUMPRODUCT(--MID(T266,{1,2,3,4,5,6,7,8,9,10,11,12,13},1),{6,5,4,3,2,9,8,7,6,5,4,3,2}),11)&lt;2,0,11-MOD(SUMPRODUCT(--MID(T266,{1,2,3,4,5,6,7,8,9,10,11,12,13},1),{6,5,4,3,2,9,8,7,6,5,4,3,2}),11))),"OK","ERRO: dígito verificador")))))</f>
      </c>
      <c r="V266" s="6">
        <f>IF(T266="","",IF(COUNTIF($T$2:$T$1001,T266)&gt;1,"DUPLICADO","OK"))</f>
      </c>
      <c r="W266" s="6">
        <f>IF(M266="","vazio",IF(OR(AND(LEN(SUBSTITUTE(SUBSTITUTE(SUBSTITUTE(SUBSTITUTE(SUBSTITUTE(SUBSTITUTE(SUBSTITUTE(TRIM(M266),".",""),"/",""),"-","")," ",""),"(",""),")",""),"+",""))=10,LEFT(SUBSTITUTE(SUBSTITUTE(SUBSTITUTE(SUBSTITUTE(SUBSTITUTE(SUBSTITUTE(SUBSTITUTE(TRIM(M266),".",""),"/",""),"-","")," ",""),"(",""),")",""),"+",""),1)&lt;&gt;"0"),AND(LEN(SUBSTITUTE(SUBSTITUTE(SUBSTITUTE(SUBSTITUTE(SUBSTITUTE(SUBSTITUTE(SUBSTITUTE(TRIM(M266),".",""),"/",""),"-","")," ",""),"(",""),")",""),"+",""))=11,LEFT(SUBSTITUTE(SUBSTITUTE(SUBSTITUTE(SUBSTITUTE(SUBSTITUTE(SUBSTITUTE(SUBSTITUTE(TRIM(M266),".",""),"/",""),"-","")," ",""),"(",""),")",""),"+",""),4)="0800")),"OK",IF(AND(LEN(SUBSTITUTE(SUBSTITUTE(SUBSTITUTE(SUBSTITUTE(SUBSTITUTE(SUBSTITUTE(SUBSTITUTE(TRIM(M266),".",""),"/",""),"-","")," ",""),"(",""),")",""),"+",""))=11,MID(SUBSTITUTE(SUBSTITUTE(SUBSTITUTE(SUBSTITUTE(SUBSTITUTE(SUBSTITUTE(SUBSTITUTE(TRIM(M266),".",""),"/",""),"-","")," ",""),"(",""),")",""),"+",""),3,1)="9"),"ERRO: é celular, use a coluna Celular","ERRO: DDD + 8 dígitos ou 0800 + 7")))</f>
      </c>
      <c r="X266" s="6">
        <f>IF(N266="","vazio",IF(AND(LEN(SUBSTITUTE(SUBSTITUTE(SUBSTITUTE(SUBSTITUTE(SUBSTITUTE(SUBSTITUTE(SUBSTITUTE(TRIM(N266),".",""),"/",""),"-","")," ",""),"(",""),")",""),"+",""))=11,MID(SUBSTITUTE(SUBSTITUTE(SUBSTITUTE(SUBSTITUTE(SUBSTITUTE(SUBSTITUTE(SUBSTITUTE(TRIM(N266),".",""),"/",""),"-","")," ",""),"(",""),")",""),"+",""),3,1)="9",LEFT(SUBSTITUTE(SUBSTITUTE(SUBSTITUTE(SUBSTITUTE(SUBSTITUTE(SUBSTITUTE(SUBSTITUTE(TRIM(N266),".",""),"/",""),"-","")," ",""),"(",""),")",""),"+",""),1)&lt;&gt;"0"),"OK",IF(LEN(SUBSTITUTE(SUBSTITUTE(SUBSTITUTE(SUBSTITUTE(SUBSTITUTE(SUBSTITUTE(SUBSTITUTE(TRIM(N266),".",""),"/",""),"-","")," ",""),"(",""),")",""),"+",""))=10,"ERRO: é fixo (ou falta o 9), use a coluna Telefone fixo","ERRO: DDD + 9 + 8 dígitos")))</f>
      </c>
      <c r="Y266" s="6">
        <f>IF(O266="","vazio",IF(AND(ISNUMBER(FIND("@",O266)),ISNUMBER(FIND(".",MID(O266,FIND("@",O266),99))),NOT(ISNUMBER(FIND(" ",TRIM(O266)))),NOT(ISNUMBER(FIND(";",O266))),NOT(ISNUMBER(FIND(",",O266)))),"OK","ERRO: um e-mail válido por linha"))</f>
      </c>
      <c r="Z266" s="6">
        <f>IF(AND(J266="",K266=""),"",IF(AND(J266&lt;&gt;"",K266&lt;&gt;""),"OK","pendente: só um nome (o GR completa ao converter)"))</f>
      </c>
      <c r="AA266" s="6">
        <f>IF(COUNTA(A266:S266)=0,"",IF(AND(A266&lt;&gt;"",B266&lt;&gt;"",C266&lt;&gt;"",D266&lt;&gt;"",E266&lt;&gt;"",F266&lt;&gt;"",G266&lt;&gt;"",H266&lt;&gt;"",OR(J266&lt;&gt;"",K266&lt;&gt;""),OR(M266&lt;&gt;"",N266&lt;&gt;"",O266&lt;&gt;"")),"OK","ERRO: faltam "&amp;IF(A266="","SDR; ","")&amp;IF(B266="","Proprietário; ","")&amp;IF(C266="","Origem; ","")&amp;IF(D266="","Temperatura; ","")&amp;IF(E266="","Segmento; ","")&amp;IF(F266="","Time/Cluster; ","")&amp;IF(G266="","CNPJ; ","")&amp;IF(H266="","Razão Social; ","")&amp;IF(AND(J266="",K266=""),"nome do contato; ","")&amp;IF(AND(M266="",N266="",O266=""),"telefone, celular ou e-mail; ","")))</f>
      </c>
      <c r="AB266" s="6">
        <f>IF(COUNTA(A266:S266)=0,"",IF(AND(U266="OK",V266="OK",LEFT(W266,4)&lt;&gt;"ERRO",LEFT(X266,4)&lt;&gt;"ERRO",LEFT(Y266,4)&lt;&gt;"ERRO",AA266="OK"),"OK","REVISAR"))</f>
      </c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5"/>
      <c r="K267" s="4"/>
      <c r="L267" s="4"/>
      <c r="M267" s="4"/>
      <c r="N267" s="4"/>
      <c r="O267" s="4"/>
      <c r="P267" s="4"/>
      <c r="Q267" s="4"/>
      <c r="R267" s="4"/>
      <c r="S267" s="4"/>
      <c r="T267" s="6">
        <f>IF(G267="","",SUBSTITUTE(SUBSTITUTE(SUBSTITUTE(SUBSTITUTE(SUBSTITUTE(SUBSTITUTE(SUBSTITUTE(TRIM(G267),".",""),"/",""),"-","")," ",""),"(",""),")",""),"+",""))</f>
      </c>
      <c r="U267" s="6">
        <f>IF(T267="","",IF(LEN(T267)&lt;&gt;14,"ERRO: "&amp;LEN(T267)&amp;" dígitos",IF(NOT(ISNUMBER(VALUE(T267))),"ERRO: não numérico",IF(LEN(SUBSTITUTE(T267,LEFT(T267,1),""))=0,"ERRO: dígitos repetidos",IF(AND(VALUE(MID(T267,13,1))=IF(MOD(SUMPRODUCT(--MID(T267,{1,2,3,4,5,6,7,8,9,10,11,12},1),{5,4,3,2,9,8,7,6,5,4,3,2}),11)&lt;2,0,11-MOD(SUMPRODUCT(--MID(T267,{1,2,3,4,5,6,7,8,9,10,11,12},1),{5,4,3,2,9,8,7,6,5,4,3,2}),11)),VALUE(MID(T267,14,1))=IF(MOD(SUMPRODUCT(--MID(T267,{1,2,3,4,5,6,7,8,9,10,11,12,13},1),{6,5,4,3,2,9,8,7,6,5,4,3,2}),11)&lt;2,0,11-MOD(SUMPRODUCT(--MID(T267,{1,2,3,4,5,6,7,8,9,10,11,12,13},1),{6,5,4,3,2,9,8,7,6,5,4,3,2}),11))),"OK","ERRO: dígito verificador")))))</f>
      </c>
      <c r="V267" s="6">
        <f>IF(T267="","",IF(COUNTIF($T$2:$T$1001,T267)&gt;1,"DUPLICADO","OK"))</f>
      </c>
      <c r="W267" s="6">
        <f>IF(M267="","vazio",IF(OR(AND(LEN(SUBSTITUTE(SUBSTITUTE(SUBSTITUTE(SUBSTITUTE(SUBSTITUTE(SUBSTITUTE(SUBSTITUTE(TRIM(M267),".",""),"/",""),"-","")," ",""),"(",""),")",""),"+",""))=10,LEFT(SUBSTITUTE(SUBSTITUTE(SUBSTITUTE(SUBSTITUTE(SUBSTITUTE(SUBSTITUTE(SUBSTITUTE(TRIM(M267),".",""),"/",""),"-","")," ",""),"(",""),")",""),"+",""),1)&lt;&gt;"0"),AND(LEN(SUBSTITUTE(SUBSTITUTE(SUBSTITUTE(SUBSTITUTE(SUBSTITUTE(SUBSTITUTE(SUBSTITUTE(TRIM(M267),".",""),"/",""),"-","")," ",""),"(",""),")",""),"+",""))=11,LEFT(SUBSTITUTE(SUBSTITUTE(SUBSTITUTE(SUBSTITUTE(SUBSTITUTE(SUBSTITUTE(SUBSTITUTE(TRIM(M267),".",""),"/",""),"-","")," ",""),"(",""),")",""),"+",""),4)="0800")),"OK",IF(AND(LEN(SUBSTITUTE(SUBSTITUTE(SUBSTITUTE(SUBSTITUTE(SUBSTITUTE(SUBSTITUTE(SUBSTITUTE(TRIM(M267),".",""),"/",""),"-","")," ",""),"(",""),")",""),"+",""))=11,MID(SUBSTITUTE(SUBSTITUTE(SUBSTITUTE(SUBSTITUTE(SUBSTITUTE(SUBSTITUTE(SUBSTITUTE(TRIM(M267),".",""),"/",""),"-","")," ",""),"(",""),")",""),"+",""),3,1)="9"),"ERRO: é celular, use a coluna Celular","ERRO: DDD + 8 dígitos ou 0800 + 7")))</f>
      </c>
      <c r="X267" s="6">
        <f>IF(N267="","vazio",IF(AND(LEN(SUBSTITUTE(SUBSTITUTE(SUBSTITUTE(SUBSTITUTE(SUBSTITUTE(SUBSTITUTE(SUBSTITUTE(TRIM(N267),".",""),"/",""),"-","")," ",""),"(",""),")",""),"+",""))=11,MID(SUBSTITUTE(SUBSTITUTE(SUBSTITUTE(SUBSTITUTE(SUBSTITUTE(SUBSTITUTE(SUBSTITUTE(TRIM(N267),".",""),"/",""),"-","")," ",""),"(",""),")",""),"+",""),3,1)="9",LEFT(SUBSTITUTE(SUBSTITUTE(SUBSTITUTE(SUBSTITUTE(SUBSTITUTE(SUBSTITUTE(SUBSTITUTE(TRIM(N267),".",""),"/",""),"-","")," ",""),"(",""),")",""),"+",""),1)&lt;&gt;"0"),"OK",IF(LEN(SUBSTITUTE(SUBSTITUTE(SUBSTITUTE(SUBSTITUTE(SUBSTITUTE(SUBSTITUTE(SUBSTITUTE(TRIM(N267),".",""),"/",""),"-","")," ",""),"(",""),")",""),"+",""))=10,"ERRO: é fixo (ou falta o 9), use a coluna Telefone fixo","ERRO: DDD + 9 + 8 dígitos")))</f>
      </c>
      <c r="Y267" s="6">
        <f>IF(O267="","vazio",IF(AND(ISNUMBER(FIND("@",O267)),ISNUMBER(FIND(".",MID(O267,FIND("@",O267),99))),NOT(ISNUMBER(FIND(" ",TRIM(O267)))),NOT(ISNUMBER(FIND(";",O267))),NOT(ISNUMBER(FIND(",",O267)))),"OK","ERRO: um e-mail válido por linha"))</f>
      </c>
      <c r="Z267" s="6">
        <f>IF(AND(J267="",K267=""),"",IF(AND(J267&lt;&gt;"",K267&lt;&gt;""),"OK","pendente: só um nome (o GR completa ao converter)"))</f>
      </c>
      <c r="AA267" s="6">
        <f>IF(COUNTA(A267:S267)=0,"",IF(AND(A267&lt;&gt;"",B267&lt;&gt;"",C267&lt;&gt;"",D267&lt;&gt;"",E267&lt;&gt;"",F267&lt;&gt;"",G267&lt;&gt;"",H267&lt;&gt;"",OR(J267&lt;&gt;"",K267&lt;&gt;""),OR(M267&lt;&gt;"",N267&lt;&gt;"",O267&lt;&gt;"")),"OK","ERRO: faltam "&amp;IF(A267="","SDR; ","")&amp;IF(B267="","Proprietário; ","")&amp;IF(C267="","Origem; ","")&amp;IF(D267="","Temperatura; ","")&amp;IF(E267="","Segmento; ","")&amp;IF(F267="","Time/Cluster; ","")&amp;IF(G267="","CNPJ; ","")&amp;IF(H267="","Razão Social; ","")&amp;IF(AND(J267="",K267=""),"nome do contato; ","")&amp;IF(AND(M267="",N267="",O267=""),"telefone, celular ou e-mail; ","")))</f>
      </c>
      <c r="AB267" s="6">
        <f>IF(COUNTA(A267:S267)=0,"",IF(AND(U267="OK",V267="OK",LEFT(W267,4)&lt;&gt;"ERRO",LEFT(X267,4)&lt;&gt;"ERRO",LEFT(Y267,4)&lt;&gt;"ERRO",AA267="OK"),"OK","REVISAR"))</f>
      </c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5"/>
      <c r="K268" s="4"/>
      <c r="L268" s="4"/>
      <c r="M268" s="4"/>
      <c r="N268" s="4"/>
      <c r="O268" s="4"/>
      <c r="P268" s="4"/>
      <c r="Q268" s="4"/>
      <c r="R268" s="4"/>
      <c r="S268" s="4"/>
      <c r="T268" s="6">
        <f>IF(G268="","",SUBSTITUTE(SUBSTITUTE(SUBSTITUTE(SUBSTITUTE(SUBSTITUTE(SUBSTITUTE(SUBSTITUTE(TRIM(G268),".",""),"/",""),"-","")," ",""),"(",""),")",""),"+",""))</f>
      </c>
      <c r="U268" s="6">
        <f>IF(T268="","",IF(LEN(T268)&lt;&gt;14,"ERRO: "&amp;LEN(T268)&amp;" dígitos",IF(NOT(ISNUMBER(VALUE(T268))),"ERRO: não numérico",IF(LEN(SUBSTITUTE(T268,LEFT(T268,1),""))=0,"ERRO: dígitos repetidos",IF(AND(VALUE(MID(T268,13,1))=IF(MOD(SUMPRODUCT(--MID(T268,{1,2,3,4,5,6,7,8,9,10,11,12},1),{5,4,3,2,9,8,7,6,5,4,3,2}),11)&lt;2,0,11-MOD(SUMPRODUCT(--MID(T268,{1,2,3,4,5,6,7,8,9,10,11,12},1),{5,4,3,2,9,8,7,6,5,4,3,2}),11)),VALUE(MID(T268,14,1))=IF(MOD(SUMPRODUCT(--MID(T268,{1,2,3,4,5,6,7,8,9,10,11,12,13},1),{6,5,4,3,2,9,8,7,6,5,4,3,2}),11)&lt;2,0,11-MOD(SUMPRODUCT(--MID(T268,{1,2,3,4,5,6,7,8,9,10,11,12,13},1),{6,5,4,3,2,9,8,7,6,5,4,3,2}),11))),"OK","ERRO: dígito verificador")))))</f>
      </c>
      <c r="V268" s="6">
        <f>IF(T268="","",IF(COUNTIF($T$2:$T$1001,T268)&gt;1,"DUPLICADO","OK"))</f>
      </c>
      <c r="W268" s="6">
        <f>IF(M268="","vazio",IF(OR(AND(LEN(SUBSTITUTE(SUBSTITUTE(SUBSTITUTE(SUBSTITUTE(SUBSTITUTE(SUBSTITUTE(SUBSTITUTE(TRIM(M268),".",""),"/",""),"-","")," ",""),"(",""),")",""),"+",""))=10,LEFT(SUBSTITUTE(SUBSTITUTE(SUBSTITUTE(SUBSTITUTE(SUBSTITUTE(SUBSTITUTE(SUBSTITUTE(TRIM(M268),".",""),"/",""),"-","")," ",""),"(",""),")",""),"+",""),1)&lt;&gt;"0"),AND(LEN(SUBSTITUTE(SUBSTITUTE(SUBSTITUTE(SUBSTITUTE(SUBSTITUTE(SUBSTITUTE(SUBSTITUTE(TRIM(M268),".",""),"/",""),"-","")," ",""),"(",""),")",""),"+",""))=11,LEFT(SUBSTITUTE(SUBSTITUTE(SUBSTITUTE(SUBSTITUTE(SUBSTITUTE(SUBSTITUTE(SUBSTITUTE(TRIM(M268),".",""),"/",""),"-","")," ",""),"(",""),")",""),"+",""),4)="0800")),"OK",IF(AND(LEN(SUBSTITUTE(SUBSTITUTE(SUBSTITUTE(SUBSTITUTE(SUBSTITUTE(SUBSTITUTE(SUBSTITUTE(TRIM(M268),".",""),"/",""),"-","")," ",""),"(",""),")",""),"+",""))=11,MID(SUBSTITUTE(SUBSTITUTE(SUBSTITUTE(SUBSTITUTE(SUBSTITUTE(SUBSTITUTE(SUBSTITUTE(TRIM(M268),".",""),"/",""),"-","")," ",""),"(",""),")",""),"+",""),3,1)="9"),"ERRO: é celular, use a coluna Celular","ERRO: DDD + 8 dígitos ou 0800 + 7")))</f>
      </c>
      <c r="X268" s="6">
        <f>IF(N268="","vazio",IF(AND(LEN(SUBSTITUTE(SUBSTITUTE(SUBSTITUTE(SUBSTITUTE(SUBSTITUTE(SUBSTITUTE(SUBSTITUTE(TRIM(N268),".",""),"/",""),"-","")," ",""),"(",""),")",""),"+",""))=11,MID(SUBSTITUTE(SUBSTITUTE(SUBSTITUTE(SUBSTITUTE(SUBSTITUTE(SUBSTITUTE(SUBSTITUTE(TRIM(N268),".",""),"/",""),"-","")," ",""),"(",""),")",""),"+",""),3,1)="9",LEFT(SUBSTITUTE(SUBSTITUTE(SUBSTITUTE(SUBSTITUTE(SUBSTITUTE(SUBSTITUTE(SUBSTITUTE(TRIM(N268),".",""),"/",""),"-","")," ",""),"(",""),")",""),"+",""),1)&lt;&gt;"0"),"OK",IF(LEN(SUBSTITUTE(SUBSTITUTE(SUBSTITUTE(SUBSTITUTE(SUBSTITUTE(SUBSTITUTE(SUBSTITUTE(TRIM(N268),".",""),"/",""),"-","")," ",""),"(",""),")",""),"+",""))=10,"ERRO: é fixo (ou falta o 9), use a coluna Telefone fixo","ERRO: DDD + 9 + 8 dígitos")))</f>
      </c>
      <c r="Y268" s="6">
        <f>IF(O268="","vazio",IF(AND(ISNUMBER(FIND("@",O268)),ISNUMBER(FIND(".",MID(O268,FIND("@",O268),99))),NOT(ISNUMBER(FIND(" ",TRIM(O268)))),NOT(ISNUMBER(FIND(";",O268))),NOT(ISNUMBER(FIND(",",O268)))),"OK","ERRO: um e-mail válido por linha"))</f>
      </c>
      <c r="Z268" s="6">
        <f>IF(AND(J268="",K268=""),"",IF(AND(J268&lt;&gt;"",K268&lt;&gt;""),"OK","pendente: só um nome (o GR completa ao converter)"))</f>
      </c>
      <c r="AA268" s="6">
        <f>IF(COUNTA(A268:S268)=0,"",IF(AND(A268&lt;&gt;"",B268&lt;&gt;"",C268&lt;&gt;"",D268&lt;&gt;"",E268&lt;&gt;"",F268&lt;&gt;"",G268&lt;&gt;"",H268&lt;&gt;"",OR(J268&lt;&gt;"",K268&lt;&gt;""),OR(M268&lt;&gt;"",N268&lt;&gt;"",O268&lt;&gt;"")),"OK","ERRO: faltam "&amp;IF(A268="","SDR; ","")&amp;IF(B268="","Proprietário; ","")&amp;IF(C268="","Origem; ","")&amp;IF(D268="","Temperatura; ","")&amp;IF(E268="","Segmento; ","")&amp;IF(F268="","Time/Cluster; ","")&amp;IF(G268="","CNPJ; ","")&amp;IF(H268="","Razão Social; ","")&amp;IF(AND(J268="",K268=""),"nome do contato; ","")&amp;IF(AND(M268="",N268="",O268=""),"telefone, celular ou e-mail; ","")))</f>
      </c>
      <c r="AB268" s="6">
        <f>IF(COUNTA(A268:S268)=0,"",IF(AND(U268="OK",V268="OK",LEFT(W268,4)&lt;&gt;"ERRO",LEFT(X268,4)&lt;&gt;"ERRO",LEFT(Y268,4)&lt;&gt;"ERRO",AA268="OK"),"OK","REVISAR"))</f>
      </c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5"/>
      <c r="K269" s="4"/>
      <c r="L269" s="4"/>
      <c r="M269" s="4"/>
      <c r="N269" s="4"/>
      <c r="O269" s="4"/>
      <c r="P269" s="4"/>
      <c r="Q269" s="4"/>
      <c r="R269" s="4"/>
      <c r="S269" s="4"/>
      <c r="T269" s="6">
        <f>IF(G269="","",SUBSTITUTE(SUBSTITUTE(SUBSTITUTE(SUBSTITUTE(SUBSTITUTE(SUBSTITUTE(SUBSTITUTE(TRIM(G269),".",""),"/",""),"-","")," ",""),"(",""),")",""),"+",""))</f>
      </c>
      <c r="U269" s="6">
        <f>IF(T269="","",IF(LEN(T269)&lt;&gt;14,"ERRO: "&amp;LEN(T269)&amp;" dígitos",IF(NOT(ISNUMBER(VALUE(T269))),"ERRO: não numérico",IF(LEN(SUBSTITUTE(T269,LEFT(T269,1),""))=0,"ERRO: dígitos repetidos",IF(AND(VALUE(MID(T269,13,1))=IF(MOD(SUMPRODUCT(--MID(T269,{1,2,3,4,5,6,7,8,9,10,11,12},1),{5,4,3,2,9,8,7,6,5,4,3,2}),11)&lt;2,0,11-MOD(SUMPRODUCT(--MID(T269,{1,2,3,4,5,6,7,8,9,10,11,12},1),{5,4,3,2,9,8,7,6,5,4,3,2}),11)),VALUE(MID(T269,14,1))=IF(MOD(SUMPRODUCT(--MID(T269,{1,2,3,4,5,6,7,8,9,10,11,12,13},1),{6,5,4,3,2,9,8,7,6,5,4,3,2}),11)&lt;2,0,11-MOD(SUMPRODUCT(--MID(T269,{1,2,3,4,5,6,7,8,9,10,11,12,13},1),{6,5,4,3,2,9,8,7,6,5,4,3,2}),11))),"OK","ERRO: dígito verificador")))))</f>
      </c>
      <c r="V269" s="6">
        <f>IF(T269="","",IF(COUNTIF($T$2:$T$1001,T269)&gt;1,"DUPLICADO","OK"))</f>
      </c>
      <c r="W269" s="6">
        <f>IF(M269="","vazio",IF(OR(AND(LEN(SUBSTITUTE(SUBSTITUTE(SUBSTITUTE(SUBSTITUTE(SUBSTITUTE(SUBSTITUTE(SUBSTITUTE(TRIM(M269),".",""),"/",""),"-","")," ",""),"(",""),")",""),"+",""))=10,LEFT(SUBSTITUTE(SUBSTITUTE(SUBSTITUTE(SUBSTITUTE(SUBSTITUTE(SUBSTITUTE(SUBSTITUTE(TRIM(M269),".",""),"/",""),"-","")," ",""),"(",""),")",""),"+",""),1)&lt;&gt;"0"),AND(LEN(SUBSTITUTE(SUBSTITUTE(SUBSTITUTE(SUBSTITUTE(SUBSTITUTE(SUBSTITUTE(SUBSTITUTE(TRIM(M269),".",""),"/",""),"-","")," ",""),"(",""),")",""),"+",""))=11,LEFT(SUBSTITUTE(SUBSTITUTE(SUBSTITUTE(SUBSTITUTE(SUBSTITUTE(SUBSTITUTE(SUBSTITUTE(TRIM(M269),".",""),"/",""),"-","")," ",""),"(",""),")",""),"+",""),4)="0800")),"OK",IF(AND(LEN(SUBSTITUTE(SUBSTITUTE(SUBSTITUTE(SUBSTITUTE(SUBSTITUTE(SUBSTITUTE(SUBSTITUTE(TRIM(M269),".",""),"/",""),"-","")," ",""),"(",""),")",""),"+",""))=11,MID(SUBSTITUTE(SUBSTITUTE(SUBSTITUTE(SUBSTITUTE(SUBSTITUTE(SUBSTITUTE(SUBSTITUTE(TRIM(M269),".",""),"/",""),"-","")," ",""),"(",""),")",""),"+",""),3,1)="9"),"ERRO: é celular, use a coluna Celular","ERRO: DDD + 8 dígitos ou 0800 + 7")))</f>
      </c>
      <c r="X269" s="6">
        <f>IF(N269="","vazio",IF(AND(LEN(SUBSTITUTE(SUBSTITUTE(SUBSTITUTE(SUBSTITUTE(SUBSTITUTE(SUBSTITUTE(SUBSTITUTE(TRIM(N269),".",""),"/",""),"-","")," ",""),"(",""),")",""),"+",""))=11,MID(SUBSTITUTE(SUBSTITUTE(SUBSTITUTE(SUBSTITUTE(SUBSTITUTE(SUBSTITUTE(SUBSTITUTE(TRIM(N269),".",""),"/",""),"-","")," ",""),"(",""),")",""),"+",""),3,1)="9",LEFT(SUBSTITUTE(SUBSTITUTE(SUBSTITUTE(SUBSTITUTE(SUBSTITUTE(SUBSTITUTE(SUBSTITUTE(TRIM(N269),".",""),"/",""),"-","")," ",""),"(",""),")",""),"+",""),1)&lt;&gt;"0"),"OK",IF(LEN(SUBSTITUTE(SUBSTITUTE(SUBSTITUTE(SUBSTITUTE(SUBSTITUTE(SUBSTITUTE(SUBSTITUTE(TRIM(N269),".",""),"/",""),"-","")," ",""),"(",""),")",""),"+",""))=10,"ERRO: é fixo (ou falta o 9), use a coluna Telefone fixo","ERRO: DDD + 9 + 8 dígitos")))</f>
      </c>
      <c r="Y269" s="6">
        <f>IF(O269="","vazio",IF(AND(ISNUMBER(FIND("@",O269)),ISNUMBER(FIND(".",MID(O269,FIND("@",O269),99))),NOT(ISNUMBER(FIND(" ",TRIM(O269)))),NOT(ISNUMBER(FIND(";",O269))),NOT(ISNUMBER(FIND(",",O269)))),"OK","ERRO: um e-mail válido por linha"))</f>
      </c>
      <c r="Z269" s="6">
        <f>IF(AND(J269="",K269=""),"",IF(AND(J269&lt;&gt;"",K269&lt;&gt;""),"OK","pendente: só um nome (o GR completa ao converter)"))</f>
      </c>
      <c r="AA269" s="6">
        <f>IF(COUNTA(A269:S269)=0,"",IF(AND(A269&lt;&gt;"",B269&lt;&gt;"",C269&lt;&gt;"",D269&lt;&gt;"",E269&lt;&gt;"",F269&lt;&gt;"",G269&lt;&gt;"",H269&lt;&gt;"",OR(J269&lt;&gt;"",K269&lt;&gt;""),OR(M269&lt;&gt;"",N269&lt;&gt;"",O269&lt;&gt;"")),"OK","ERRO: faltam "&amp;IF(A269="","SDR; ","")&amp;IF(B269="","Proprietário; ","")&amp;IF(C269="","Origem; ","")&amp;IF(D269="","Temperatura; ","")&amp;IF(E269="","Segmento; ","")&amp;IF(F269="","Time/Cluster; ","")&amp;IF(G269="","CNPJ; ","")&amp;IF(H269="","Razão Social; ","")&amp;IF(AND(J269="",K269=""),"nome do contato; ","")&amp;IF(AND(M269="",N269="",O269=""),"telefone, celular ou e-mail; ","")))</f>
      </c>
      <c r="AB269" s="6">
        <f>IF(COUNTA(A269:S269)=0,"",IF(AND(U269="OK",V269="OK",LEFT(W269,4)&lt;&gt;"ERRO",LEFT(X269,4)&lt;&gt;"ERRO",LEFT(Y269,4)&lt;&gt;"ERRO",AA269="OK"),"OK","REVISAR"))</f>
      </c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5"/>
      <c r="K270" s="4"/>
      <c r="L270" s="4"/>
      <c r="M270" s="4"/>
      <c r="N270" s="4"/>
      <c r="O270" s="4"/>
      <c r="P270" s="4"/>
      <c r="Q270" s="4"/>
      <c r="R270" s="4"/>
      <c r="S270" s="4"/>
      <c r="T270" s="6">
        <f>IF(G270="","",SUBSTITUTE(SUBSTITUTE(SUBSTITUTE(SUBSTITUTE(SUBSTITUTE(SUBSTITUTE(SUBSTITUTE(TRIM(G270),".",""),"/",""),"-","")," ",""),"(",""),")",""),"+",""))</f>
      </c>
      <c r="U270" s="6">
        <f>IF(T270="","",IF(LEN(T270)&lt;&gt;14,"ERRO: "&amp;LEN(T270)&amp;" dígitos",IF(NOT(ISNUMBER(VALUE(T270))),"ERRO: não numérico",IF(LEN(SUBSTITUTE(T270,LEFT(T270,1),""))=0,"ERRO: dígitos repetidos",IF(AND(VALUE(MID(T270,13,1))=IF(MOD(SUMPRODUCT(--MID(T270,{1,2,3,4,5,6,7,8,9,10,11,12},1),{5,4,3,2,9,8,7,6,5,4,3,2}),11)&lt;2,0,11-MOD(SUMPRODUCT(--MID(T270,{1,2,3,4,5,6,7,8,9,10,11,12},1),{5,4,3,2,9,8,7,6,5,4,3,2}),11)),VALUE(MID(T270,14,1))=IF(MOD(SUMPRODUCT(--MID(T270,{1,2,3,4,5,6,7,8,9,10,11,12,13},1),{6,5,4,3,2,9,8,7,6,5,4,3,2}),11)&lt;2,0,11-MOD(SUMPRODUCT(--MID(T270,{1,2,3,4,5,6,7,8,9,10,11,12,13},1),{6,5,4,3,2,9,8,7,6,5,4,3,2}),11))),"OK","ERRO: dígito verificador")))))</f>
      </c>
      <c r="V270" s="6">
        <f>IF(T270="","",IF(COUNTIF($T$2:$T$1001,T270)&gt;1,"DUPLICADO","OK"))</f>
      </c>
      <c r="W270" s="6">
        <f>IF(M270="","vazio",IF(OR(AND(LEN(SUBSTITUTE(SUBSTITUTE(SUBSTITUTE(SUBSTITUTE(SUBSTITUTE(SUBSTITUTE(SUBSTITUTE(TRIM(M270),".",""),"/",""),"-","")," ",""),"(",""),")",""),"+",""))=10,LEFT(SUBSTITUTE(SUBSTITUTE(SUBSTITUTE(SUBSTITUTE(SUBSTITUTE(SUBSTITUTE(SUBSTITUTE(TRIM(M270),".",""),"/",""),"-","")," ",""),"(",""),")",""),"+",""),1)&lt;&gt;"0"),AND(LEN(SUBSTITUTE(SUBSTITUTE(SUBSTITUTE(SUBSTITUTE(SUBSTITUTE(SUBSTITUTE(SUBSTITUTE(TRIM(M270),".",""),"/",""),"-","")," ",""),"(",""),")",""),"+",""))=11,LEFT(SUBSTITUTE(SUBSTITUTE(SUBSTITUTE(SUBSTITUTE(SUBSTITUTE(SUBSTITUTE(SUBSTITUTE(TRIM(M270),".",""),"/",""),"-","")," ",""),"(",""),")",""),"+",""),4)="0800")),"OK",IF(AND(LEN(SUBSTITUTE(SUBSTITUTE(SUBSTITUTE(SUBSTITUTE(SUBSTITUTE(SUBSTITUTE(SUBSTITUTE(TRIM(M270),".",""),"/",""),"-","")," ",""),"(",""),")",""),"+",""))=11,MID(SUBSTITUTE(SUBSTITUTE(SUBSTITUTE(SUBSTITUTE(SUBSTITUTE(SUBSTITUTE(SUBSTITUTE(TRIM(M270),".",""),"/",""),"-","")," ",""),"(",""),")",""),"+",""),3,1)="9"),"ERRO: é celular, use a coluna Celular","ERRO: DDD + 8 dígitos ou 0800 + 7")))</f>
      </c>
      <c r="X270" s="6">
        <f>IF(N270="","vazio",IF(AND(LEN(SUBSTITUTE(SUBSTITUTE(SUBSTITUTE(SUBSTITUTE(SUBSTITUTE(SUBSTITUTE(SUBSTITUTE(TRIM(N270),".",""),"/",""),"-","")," ",""),"(",""),")",""),"+",""))=11,MID(SUBSTITUTE(SUBSTITUTE(SUBSTITUTE(SUBSTITUTE(SUBSTITUTE(SUBSTITUTE(SUBSTITUTE(TRIM(N270),".",""),"/",""),"-","")," ",""),"(",""),")",""),"+",""),3,1)="9",LEFT(SUBSTITUTE(SUBSTITUTE(SUBSTITUTE(SUBSTITUTE(SUBSTITUTE(SUBSTITUTE(SUBSTITUTE(TRIM(N270),".",""),"/",""),"-","")," ",""),"(",""),")",""),"+",""),1)&lt;&gt;"0"),"OK",IF(LEN(SUBSTITUTE(SUBSTITUTE(SUBSTITUTE(SUBSTITUTE(SUBSTITUTE(SUBSTITUTE(SUBSTITUTE(TRIM(N270),".",""),"/",""),"-","")," ",""),"(",""),")",""),"+",""))=10,"ERRO: é fixo (ou falta o 9), use a coluna Telefone fixo","ERRO: DDD + 9 + 8 dígitos")))</f>
      </c>
      <c r="Y270" s="6">
        <f>IF(O270="","vazio",IF(AND(ISNUMBER(FIND("@",O270)),ISNUMBER(FIND(".",MID(O270,FIND("@",O270),99))),NOT(ISNUMBER(FIND(" ",TRIM(O270)))),NOT(ISNUMBER(FIND(";",O270))),NOT(ISNUMBER(FIND(",",O270)))),"OK","ERRO: um e-mail válido por linha"))</f>
      </c>
      <c r="Z270" s="6">
        <f>IF(AND(J270="",K270=""),"",IF(AND(J270&lt;&gt;"",K270&lt;&gt;""),"OK","pendente: só um nome (o GR completa ao converter)"))</f>
      </c>
      <c r="AA270" s="6">
        <f>IF(COUNTA(A270:S270)=0,"",IF(AND(A270&lt;&gt;"",B270&lt;&gt;"",C270&lt;&gt;"",D270&lt;&gt;"",E270&lt;&gt;"",F270&lt;&gt;"",G270&lt;&gt;"",H270&lt;&gt;"",OR(J270&lt;&gt;"",K270&lt;&gt;""),OR(M270&lt;&gt;"",N270&lt;&gt;"",O270&lt;&gt;"")),"OK","ERRO: faltam "&amp;IF(A270="","SDR; ","")&amp;IF(B270="","Proprietário; ","")&amp;IF(C270="","Origem; ","")&amp;IF(D270="","Temperatura; ","")&amp;IF(E270="","Segmento; ","")&amp;IF(F270="","Time/Cluster; ","")&amp;IF(G270="","CNPJ; ","")&amp;IF(H270="","Razão Social; ","")&amp;IF(AND(J270="",K270=""),"nome do contato; ","")&amp;IF(AND(M270="",N270="",O270=""),"telefone, celular ou e-mail; ","")))</f>
      </c>
      <c r="AB270" s="6">
        <f>IF(COUNTA(A270:S270)=0,"",IF(AND(U270="OK",V270="OK",LEFT(W270,4)&lt;&gt;"ERRO",LEFT(X270,4)&lt;&gt;"ERRO",LEFT(Y270,4)&lt;&gt;"ERRO",AA270="OK"),"OK","REVISAR"))</f>
      </c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5"/>
      <c r="K271" s="4"/>
      <c r="L271" s="4"/>
      <c r="M271" s="4"/>
      <c r="N271" s="4"/>
      <c r="O271" s="4"/>
      <c r="P271" s="4"/>
      <c r="Q271" s="4"/>
      <c r="R271" s="4"/>
      <c r="S271" s="4"/>
      <c r="T271" s="6">
        <f>IF(G271="","",SUBSTITUTE(SUBSTITUTE(SUBSTITUTE(SUBSTITUTE(SUBSTITUTE(SUBSTITUTE(SUBSTITUTE(TRIM(G271),".",""),"/",""),"-","")," ",""),"(",""),")",""),"+",""))</f>
      </c>
      <c r="U271" s="6">
        <f>IF(T271="","",IF(LEN(T271)&lt;&gt;14,"ERRO: "&amp;LEN(T271)&amp;" dígitos",IF(NOT(ISNUMBER(VALUE(T271))),"ERRO: não numérico",IF(LEN(SUBSTITUTE(T271,LEFT(T271,1),""))=0,"ERRO: dígitos repetidos",IF(AND(VALUE(MID(T271,13,1))=IF(MOD(SUMPRODUCT(--MID(T271,{1,2,3,4,5,6,7,8,9,10,11,12},1),{5,4,3,2,9,8,7,6,5,4,3,2}),11)&lt;2,0,11-MOD(SUMPRODUCT(--MID(T271,{1,2,3,4,5,6,7,8,9,10,11,12},1),{5,4,3,2,9,8,7,6,5,4,3,2}),11)),VALUE(MID(T271,14,1))=IF(MOD(SUMPRODUCT(--MID(T271,{1,2,3,4,5,6,7,8,9,10,11,12,13},1),{6,5,4,3,2,9,8,7,6,5,4,3,2}),11)&lt;2,0,11-MOD(SUMPRODUCT(--MID(T271,{1,2,3,4,5,6,7,8,9,10,11,12,13},1),{6,5,4,3,2,9,8,7,6,5,4,3,2}),11))),"OK","ERRO: dígito verificador")))))</f>
      </c>
      <c r="V271" s="6">
        <f>IF(T271="","",IF(COUNTIF($T$2:$T$1001,T271)&gt;1,"DUPLICADO","OK"))</f>
      </c>
      <c r="W271" s="6">
        <f>IF(M271="","vazio",IF(OR(AND(LEN(SUBSTITUTE(SUBSTITUTE(SUBSTITUTE(SUBSTITUTE(SUBSTITUTE(SUBSTITUTE(SUBSTITUTE(TRIM(M271),".",""),"/",""),"-","")," ",""),"(",""),")",""),"+",""))=10,LEFT(SUBSTITUTE(SUBSTITUTE(SUBSTITUTE(SUBSTITUTE(SUBSTITUTE(SUBSTITUTE(SUBSTITUTE(TRIM(M271),".",""),"/",""),"-","")," ",""),"(",""),")",""),"+",""),1)&lt;&gt;"0"),AND(LEN(SUBSTITUTE(SUBSTITUTE(SUBSTITUTE(SUBSTITUTE(SUBSTITUTE(SUBSTITUTE(SUBSTITUTE(TRIM(M271),".",""),"/",""),"-","")," ",""),"(",""),")",""),"+",""))=11,LEFT(SUBSTITUTE(SUBSTITUTE(SUBSTITUTE(SUBSTITUTE(SUBSTITUTE(SUBSTITUTE(SUBSTITUTE(TRIM(M271),".",""),"/",""),"-","")," ",""),"(",""),")",""),"+",""),4)="0800")),"OK",IF(AND(LEN(SUBSTITUTE(SUBSTITUTE(SUBSTITUTE(SUBSTITUTE(SUBSTITUTE(SUBSTITUTE(SUBSTITUTE(TRIM(M271),".",""),"/",""),"-","")," ",""),"(",""),")",""),"+",""))=11,MID(SUBSTITUTE(SUBSTITUTE(SUBSTITUTE(SUBSTITUTE(SUBSTITUTE(SUBSTITUTE(SUBSTITUTE(TRIM(M271),".",""),"/",""),"-","")," ",""),"(",""),")",""),"+",""),3,1)="9"),"ERRO: é celular, use a coluna Celular","ERRO: DDD + 8 dígitos ou 0800 + 7")))</f>
      </c>
      <c r="X271" s="6">
        <f>IF(N271="","vazio",IF(AND(LEN(SUBSTITUTE(SUBSTITUTE(SUBSTITUTE(SUBSTITUTE(SUBSTITUTE(SUBSTITUTE(SUBSTITUTE(TRIM(N271),".",""),"/",""),"-","")," ",""),"(",""),")",""),"+",""))=11,MID(SUBSTITUTE(SUBSTITUTE(SUBSTITUTE(SUBSTITUTE(SUBSTITUTE(SUBSTITUTE(SUBSTITUTE(TRIM(N271),".",""),"/",""),"-","")," ",""),"(",""),")",""),"+",""),3,1)="9",LEFT(SUBSTITUTE(SUBSTITUTE(SUBSTITUTE(SUBSTITUTE(SUBSTITUTE(SUBSTITUTE(SUBSTITUTE(TRIM(N271),".",""),"/",""),"-","")," ",""),"(",""),")",""),"+",""),1)&lt;&gt;"0"),"OK",IF(LEN(SUBSTITUTE(SUBSTITUTE(SUBSTITUTE(SUBSTITUTE(SUBSTITUTE(SUBSTITUTE(SUBSTITUTE(TRIM(N271),".",""),"/",""),"-","")," ",""),"(",""),")",""),"+",""))=10,"ERRO: é fixo (ou falta o 9), use a coluna Telefone fixo","ERRO: DDD + 9 + 8 dígitos")))</f>
      </c>
      <c r="Y271" s="6">
        <f>IF(O271="","vazio",IF(AND(ISNUMBER(FIND("@",O271)),ISNUMBER(FIND(".",MID(O271,FIND("@",O271),99))),NOT(ISNUMBER(FIND(" ",TRIM(O271)))),NOT(ISNUMBER(FIND(";",O271))),NOT(ISNUMBER(FIND(",",O271)))),"OK","ERRO: um e-mail válido por linha"))</f>
      </c>
      <c r="Z271" s="6">
        <f>IF(AND(J271="",K271=""),"",IF(AND(J271&lt;&gt;"",K271&lt;&gt;""),"OK","pendente: só um nome (o GR completa ao converter)"))</f>
      </c>
      <c r="AA271" s="6">
        <f>IF(COUNTA(A271:S271)=0,"",IF(AND(A271&lt;&gt;"",B271&lt;&gt;"",C271&lt;&gt;"",D271&lt;&gt;"",E271&lt;&gt;"",F271&lt;&gt;"",G271&lt;&gt;"",H271&lt;&gt;"",OR(J271&lt;&gt;"",K271&lt;&gt;""),OR(M271&lt;&gt;"",N271&lt;&gt;"",O271&lt;&gt;"")),"OK","ERRO: faltam "&amp;IF(A271="","SDR; ","")&amp;IF(B271="","Proprietário; ","")&amp;IF(C271="","Origem; ","")&amp;IF(D271="","Temperatura; ","")&amp;IF(E271="","Segmento; ","")&amp;IF(F271="","Time/Cluster; ","")&amp;IF(G271="","CNPJ; ","")&amp;IF(H271="","Razão Social; ","")&amp;IF(AND(J271="",K271=""),"nome do contato; ","")&amp;IF(AND(M271="",N271="",O271=""),"telefone, celular ou e-mail; ","")))</f>
      </c>
      <c r="AB271" s="6">
        <f>IF(COUNTA(A271:S271)=0,"",IF(AND(U271="OK",V271="OK",LEFT(W271,4)&lt;&gt;"ERRO",LEFT(X271,4)&lt;&gt;"ERRO",LEFT(Y271,4)&lt;&gt;"ERRO",AA271="OK"),"OK","REVISAR"))</f>
      </c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5"/>
      <c r="K272" s="4"/>
      <c r="L272" s="4"/>
      <c r="M272" s="4"/>
      <c r="N272" s="4"/>
      <c r="O272" s="4"/>
      <c r="P272" s="4"/>
      <c r="Q272" s="4"/>
      <c r="R272" s="4"/>
      <c r="S272" s="4"/>
      <c r="T272" s="6">
        <f>IF(G272="","",SUBSTITUTE(SUBSTITUTE(SUBSTITUTE(SUBSTITUTE(SUBSTITUTE(SUBSTITUTE(SUBSTITUTE(TRIM(G272),".",""),"/",""),"-","")," ",""),"(",""),")",""),"+",""))</f>
      </c>
      <c r="U272" s="6">
        <f>IF(T272="","",IF(LEN(T272)&lt;&gt;14,"ERRO: "&amp;LEN(T272)&amp;" dígitos",IF(NOT(ISNUMBER(VALUE(T272))),"ERRO: não numérico",IF(LEN(SUBSTITUTE(T272,LEFT(T272,1),""))=0,"ERRO: dígitos repetidos",IF(AND(VALUE(MID(T272,13,1))=IF(MOD(SUMPRODUCT(--MID(T272,{1,2,3,4,5,6,7,8,9,10,11,12},1),{5,4,3,2,9,8,7,6,5,4,3,2}),11)&lt;2,0,11-MOD(SUMPRODUCT(--MID(T272,{1,2,3,4,5,6,7,8,9,10,11,12},1),{5,4,3,2,9,8,7,6,5,4,3,2}),11)),VALUE(MID(T272,14,1))=IF(MOD(SUMPRODUCT(--MID(T272,{1,2,3,4,5,6,7,8,9,10,11,12,13},1),{6,5,4,3,2,9,8,7,6,5,4,3,2}),11)&lt;2,0,11-MOD(SUMPRODUCT(--MID(T272,{1,2,3,4,5,6,7,8,9,10,11,12,13},1),{6,5,4,3,2,9,8,7,6,5,4,3,2}),11))),"OK","ERRO: dígito verificador")))))</f>
      </c>
      <c r="V272" s="6">
        <f>IF(T272="","",IF(COUNTIF($T$2:$T$1001,T272)&gt;1,"DUPLICADO","OK"))</f>
      </c>
      <c r="W272" s="6">
        <f>IF(M272="","vazio",IF(OR(AND(LEN(SUBSTITUTE(SUBSTITUTE(SUBSTITUTE(SUBSTITUTE(SUBSTITUTE(SUBSTITUTE(SUBSTITUTE(TRIM(M272),".",""),"/",""),"-","")," ",""),"(",""),")",""),"+",""))=10,LEFT(SUBSTITUTE(SUBSTITUTE(SUBSTITUTE(SUBSTITUTE(SUBSTITUTE(SUBSTITUTE(SUBSTITUTE(TRIM(M272),".",""),"/",""),"-","")," ",""),"(",""),")",""),"+",""),1)&lt;&gt;"0"),AND(LEN(SUBSTITUTE(SUBSTITUTE(SUBSTITUTE(SUBSTITUTE(SUBSTITUTE(SUBSTITUTE(SUBSTITUTE(TRIM(M272),".",""),"/",""),"-","")," ",""),"(",""),")",""),"+",""))=11,LEFT(SUBSTITUTE(SUBSTITUTE(SUBSTITUTE(SUBSTITUTE(SUBSTITUTE(SUBSTITUTE(SUBSTITUTE(TRIM(M272),".",""),"/",""),"-","")," ",""),"(",""),")",""),"+",""),4)="0800")),"OK",IF(AND(LEN(SUBSTITUTE(SUBSTITUTE(SUBSTITUTE(SUBSTITUTE(SUBSTITUTE(SUBSTITUTE(SUBSTITUTE(TRIM(M272),".",""),"/",""),"-","")," ",""),"(",""),")",""),"+",""))=11,MID(SUBSTITUTE(SUBSTITUTE(SUBSTITUTE(SUBSTITUTE(SUBSTITUTE(SUBSTITUTE(SUBSTITUTE(TRIM(M272),".",""),"/",""),"-","")," ",""),"(",""),")",""),"+",""),3,1)="9"),"ERRO: é celular, use a coluna Celular","ERRO: DDD + 8 dígitos ou 0800 + 7")))</f>
      </c>
      <c r="X272" s="6">
        <f>IF(N272="","vazio",IF(AND(LEN(SUBSTITUTE(SUBSTITUTE(SUBSTITUTE(SUBSTITUTE(SUBSTITUTE(SUBSTITUTE(SUBSTITUTE(TRIM(N272),".",""),"/",""),"-","")," ",""),"(",""),")",""),"+",""))=11,MID(SUBSTITUTE(SUBSTITUTE(SUBSTITUTE(SUBSTITUTE(SUBSTITUTE(SUBSTITUTE(SUBSTITUTE(TRIM(N272),".",""),"/",""),"-","")," ",""),"(",""),")",""),"+",""),3,1)="9",LEFT(SUBSTITUTE(SUBSTITUTE(SUBSTITUTE(SUBSTITUTE(SUBSTITUTE(SUBSTITUTE(SUBSTITUTE(TRIM(N272),".",""),"/",""),"-","")," ",""),"(",""),")",""),"+",""),1)&lt;&gt;"0"),"OK",IF(LEN(SUBSTITUTE(SUBSTITUTE(SUBSTITUTE(SUBSTITUTE(SUBSTITUTE(SUBSTITUTE(SUBSTITUTE(TRIM(N272),".",""),"/",""),"-","")," ",""),"(",""),")",""),"+",""))=10,"ERRO: é fixo (ou falta o 9), use a coluna Telefone fixo","ERRO: DDD + 9 + 8 dígitos")))</f>
      </c>
      <c r="Y272" s="6">
        <f>IF(O272="","vazio",IF(AND(ISNUMBER(FIND("@",O272)),ISNUMBER(FIND(".",MID(O272,FIND("@",O272),99))),NOT(ISNUMBER(FIND(" ",TRIM(O272)))),NOT(ISNUMBER(FIND(";",O272))),NOT(ISNUMBER(FIND(",",O272)))),"OK","ERRO: um e-mail válido por linha"))</f>
      </c>
      <c r="Z272" s="6">
        <f>IF(AND(J272="",K272=""),"",IF(AND(J272&lt;&gt;"",K272&lt;&gt;""),"OK","pendente: só um nome (o GR completa ao converter)"))</f>
      </c>
      <c r="AA272" s="6">
        <f>IF(COUNTA(A272:S272)=0,"",IF(AND(A272&lt;&gt;"",B272&lt;&gt;"",C272&lt;&gt;"",D272&lt;&gt;"",E272&lt;&gt;"",F272&lt;&gt;"",G272&lt;&gt;"",H272&lt;&gt;"",OR(J272&lt;&gt;"",K272&lt;&gt;""),OR(M272&lt;&gt;"",N272&lt;&gt;"",O272&lt;&gt;"")),"OK","ERRO: faltam "&amp;IF(A272="","SDR; ","")&amp;IF(B272="","Proprietário; ","")&amp;IF(C272="","Origem; ","")&amp;IF(D272="","Temperatura; ","")&amp;IF(E272="","Segmento; ","")&amp;IF(F272="","Time/Cluster; ","")&amp;IF(G272="","CNPJ; ","")&amp;IF(H272="","Razão Social; ","")&amp;IF(AND(J272="",K272=""),"nome do contato; ","")&amp;IF(AND(M272="",N272="",O272=""),"telefone, celular ou e-mail; ","")))</f>
      </c>
      <c r="AB272" s="6">
        <f>IF(COUNTA(A272:S272)=0,"",IF(AND(U272="OK",V272="OK",LEFT(W272,4)&lt;&gt;"ERRO",LEFT(X272,4)&lt;&gt;"ERRO",LEFT(Y272,4)&lt;&gt;"ERRO",AA272="OK"),"OK","REVISAR"))</f>
      </c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5"/>
      <c r="K273" s="4"/>
      <c r="L273" s="4"/>
      <c r="M273" s="4"/>
      <c r="N273" s="4"/>
      <c r="O273" s="4"/>
      <c r="P273" s="4"/>
      <c r="Q273" s="4"/>
      <c r="R273" s="4"/>
      <c r="S273" s="4"/>
      <c r="T273" s="6">
        <f>IF(G273="","",SUBSTITUTE(SUBSTITUTE(SUBSTITUTE(SUBSTITUTE(SUBSTITUTE(SUBSTITUTE(SUBSTITUTE(TRIM(G273),".",""),"/",""),"-","")," ",""),"(",""),")",""),"+",""))</f>
      </c>
      <c r="U273" s="6">
        <f>IF(T273="","",IF(LEN(T273)&lt;&gt;14,"ERRO: "&amp;LEN(T273)&amp;" dígitos",IF(NOT(ISNUMBER(VALUE(T273))),"ERRO: não numérico",IF(LEN(SUBSTITUTE(T273,LEFT(T273,1),""))=0,"ERRO: dígitos repetidos",IF(AND(VALUE(MID(T273,13,1))=IF(MOD(SUMPRODUCT(--MID(T273,{1,2,3,4,5,6,7,8,9,10,11,12},1),{5,4,3,2,9,8,7,6,5,4,3,2}),11)&lt;2,0,11-MOD(SUMPRODUCT(--MID(T273,{1,2,3,4,5,6,7,8,9,10,11,12},1),{5,4,3,2,9,8,7,6,5,4,3,2}),11)),VALUE(MID(T273,14,1))=IF(MOD(SUMPRODUCT(--MID(T273,{1,2,3,4,5,6,7,8,9,10,11,12,13},1),{6,5,4,3,2,9,8,7,6,5,4,3,2}),11)&lt;2,0,11-MOD(SUMPRODUCT(--MID(T273,{1,2,3,4,5,6,7,8,9,10,11,12,13},1),{6,5,4,3,2,9,8,7,6,5,4,3,2}),11))),"OK","ERRO: dígito verificador")))))</f>
      </c>
      <c r="V273" s="6">
        <f>IF(T273="","",IF(COUNTIF($T$2:$T$1001,T273)&gt;1,"DUPLICADO","OK"))</f>
      </c>
      <c r="W273" s="6">
        <f>IF(M273="","vazio",IF(OR(AND(LEN(SUBSTITUTE(SUBSTITUTE(SUBSTITUTE(SUBSTITUTE(SUBSTITUTE(SUBSTITUTE(SUBSTITUTE(TRIM(M273),".",""),"/",""),"-","")," ",""),"(",""),")",""),"+",""))=10,LEFT(SUBSTITUTE(SUBSTITUTE(SUBSTITUTE(SUBSTITUTE(SUBSTITUTE(SUBSTITUTE(SUBSTITUTE(TRIM(M273),".",""),"/",""),"-","")," ",""),"(",""),")",""),"+",""),1)&lt;&gt;"0"),AND(LEN(SUBSTITUTE(SUBSTITUTE(SUBSTITUTE(SUBSTITUTE(SUBSTITUTE(SUBSTITUTE(SUBSTITUTE(TRIM(M273),".",""),"/",""),"-","")," ",""),"(",""),")",""),"+",""))=11,LEFT(SUBSTITUTE(SUBSTITUTE(SUBSTITUTE(SUBSTITUTE(SUBSTITUTE(SUBSTITUTE(SUBSTITUTE(TRIM(M273),".",""),"/",""),"-","")," ",""),"(",""),")",""),"+",""),4)="0800")),"OK",IF(AND(LEN(SUBSTITUTE(SUBSTITUTE(SUBSTITUTE(SUBSTITUTE(SUBSTITUTE(SUBSTITUTE(SUBSTITUTE(TRIM(M273),".",""),"/",""),"-","")," ",""),"(",""),")",""),"+",""))=11,MID(SUBSTITUTE(SUBSTITUTE(SUBSTITUTE(SUBSTITUTE(SUBSTITUTE(SUBSTITUTE(SUBSTITUTE(TRIM(M273),".",""),"/",""),"-","")," ",""),"(",""),")",""),"+",""),3,1)="9"),"ERRO: é celular, use a coluna Celular","ERRO: DDD + 8 dígitos ou 0800 + 7")))</f>
      </c>
      <c r="X273" s="6">
        <f>IF(N273="","vazio",IF(AND(LEN(SUBSTITUTE(SUBSTITUTE(SUBSTITUTE(SUBSTITUTE(SUBSTITUTE(SUBSTITUTE(SUBSTITUTE(TRIM(N273),".",""),"/",""),"-","")," ",""),"(",""),")",""),"+",""))=11,MID(SUBSTITUTE(SUBSTITUTE(SUBSTITUTE(SUBSTITUTE(SUBSTITUTE(SUBSTITUTE(SUBSTITUTE(TRIM(N273),".",""),"/",""),"-","")," ",""),"(",""),")",""),"+",""),3,1)="9",LEFT(SUBSTITUTE(SUBSTITUTE(SUBSTITUTE(SUBSTITUTE(SUBSTITUTE(SUBSTITUTE(SUBSTITUTE(TRIM(N273),".",""),"/",""),"-","")," ",""),"(",""),")",""),"+",""),1)&lt;&gt;"0"),"OK",IF(LEN(SUBSTITUTE(SUBSTITUTE(SUBSTITUTE(SUBSTITUTE(SUBSTITUTE(SUBSTITUTE(SUBSTITUTE(TRIM(N273),".",""),"/",""),"-","")," ",""),"(",""),")",""),"+",""))=10,"ERRO: é fixo (ou falta o 9), use a coluna Telefone fixo","ERRO: DDD + 9 + 8 dígitos")))</f>
      </c>
      <c r="Y273" s="6">
        <f>IF(O273="","vazio",IF(AND(ISNUMBER(FIND("@",O273)),ISNUMBER(FIND(".",MID(O273,FIND("@",O273),99))),NOT(ISNUMBER(FIND(" ",TRIM(O273)))),NOT(ISNUMBER(FIND(";",O273))),NOT(ISNUMBER(FIND(",",O273)))),"OK","ERRO: um e-mail válido por linha"))</f>
      </c>
      <c r="Z273" s="6">
        <f>IF(AND(J273="",K273=""),"",IF(AND(J273&lt;&gt;"",K273&lt;&gt;""),"OK","pendente: só um nome (o GR completa ao converter)"))</f>
      </c>
      <c r="AA273" s="6">
        <f>IF(COUNTA(A273:S273)=0,"",IF(AND(A273&lt;&gt;"",B273&lt;&gt;"",C273&lt;&gt;"",D273&lt;&gt;"",E273&lt;&gt;"",F273&lt;&gt;"",G273&lt;&gt;"",H273&lt;&gt;"",OR(J273&lt;&gt;"",K273&lt;&gt;""),OR(M273&lt;&gt;"",N273&lt;&gt;"",O273&lt;&gt;"")),"OK","ERRO: faltam "&amp;IF(A273="","SDR; ","")&amp;IF(B273="","Proprietário; ","")&amp;IF(C273="","Origem; ","")&amp;IF(D273="","Temperatura; ","")&amp;IF(E273="","Segmento; ","")&amp;IF(F273="","Time/Cluster; ","")&amp;IF(G273="","CNPJ; ","")&amp;IF(H273="","Razão Social; ","")&amp;IF(AND(J273="",K273=""),"nome do contato; ","")&amp;IF(AND(M273="",N273="",O273=""),"telefone, celular ou e-mail; ","")))</f>
      </c>
      <c r="AB273" s="6">
        <f>IF(COUNTA(A273:S273)=0,"",IF(AND(U273="OK",V273="OK",LEFT(W273,4)&lt;&gt;"ERRO",LEFT(X273,4)&lt;&gt;"ERRO",LEFT(Y273,4)&lt;&gt;"ERRO",AA273="OK"),"OK","REVISAR"))</f>
      </c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5"/>
      <c r="K274" s="4"/>
      <c r="L274" s="4"/>
      <c r="M274" s="4"/>
      <c r="N274" s="4"/>
      <c r="O274" s="4"/>
      <c r="P274" s="4"/>
      <c r="Q274" s="4"/>
      <c r="R274" s="4"/>
      <c r="S274" s="4"/>
      <c r="T274" s="6">
        <f>IF(G274="","",SUBSTITUTE(SUBSTITUTE(SUBSTITUTE(SUBSTITUTE(SUBSTITUTE(SUBSTITUTE(SUBSTITUTE(TRIM(G274),".",""),"/",""),"-","")," ",""),"(",""),")",""),"+",""))</f>
      </c>
      <c r="U274" s="6">
        <f>IF(T274="","",IF(LEN(T274)&lt;&gt;14,"ERRO: "&amp;LEN(T274)&amp;" dígitos",IF(NOT(ISNUMBER(VALUE(T274))),"ERRO: não numérico",IF(LEN(SUBSTITUTE(T274,LEFT(T274,1),""))=0,"ERRO: dígitos repetidos",IF(AND(VALUE(MID(T274,13,1))=IF(MOD(SUMPRODUCT(--MID(T274,{1,2,3,4,5,6,7,8,9,10,11,12},1),{5,4,3,2,9,8,7,6,5,4,3,2}),11)&lt;2,0,11-MOD(SUMPRODUCT(--MID(T274,{1,2,3,4,5,6,7,8,9,10,11,12},1),{5,4,3,2,9,8,7,6,5,4,3,2}),11)),VALUE(MID(T274,14,1))=IF(MOD(SUMPRODUCT(--MID(T274,{1,2,3,4,5,6,7,8,9,10,11,12,13},1),{6,5,4,3,2,9,8,7,6,5,4,3,2}),11)&lt;2,0,11-MOD(SUMPRODUCT(--MID(T274,{1,2,3,4,5,6,7,8,9,10,11,12,13},1),{6,5,4,3,2,9,8,7,6,5,4,3,2}),11))),"OK","ERRO: dígito verificador")))))</f>
      </c>
      <c r="V274" s="6">
        <f>IF(T274="","",IF(COUNTIF($T$2:$T$1001,T274)&gt;1,"DUPLICADO","OK"))</f>
      </c>
      <c r="W274" s="6">
        <f>IF(M274="","vazio",IF(OR(AND(LEN(SUBSTITUTE(SUBSTITUTE(SUBSTITUTE(SUBSTITUTE(SUBSTITUTE(SUBSTITUTE(SUBSTITUTE(TRIM(M274),".",""),"/",""),"-","")," ",""),"(",""),")",""),"+",""))=10,LEFT(SUBSTITUTE(SUBSTITUTE(SUBSTITUTE(SUBSTITUTE(SUBSTITUTE(SUBSTITUTE(SUBSTITUTE(TRIM(M274),".",""),"/",""),"-","")," ",""),"(",""),")",""),"+",""),1)&lt;&gt;"0"),AND(LEN(SUBSTITUTE(SUBSTITUTE(SUBSTITUTE(SUBSTITUTE(SUBSTITUTE(SUBSTITUTE(SUBSTITUTE(TRIM(M274),".",""),"/",""),"-","")," ",""),"(",""),")",""),"+",""))=11,LEFT(SUBSTITUTE(SUBSTITUTE(SUBSTITUTE(SUBSTITUTE(SUBSTITUTE(SUBSTITUTE(SUBSTITUTE(TRIM(M274),".",""),"/",""),"-","")," ",""),"(",""),")",""),"+",""),4)="0800")),"OK",IF(AND(LEN(SUBSTITUTE(SUBSTITUTE(SUBSTITUTE(SUBSTITUTE(SUBSTITUTE(SUBSTITUTE(SUBSTITUTE(TRIM(M274),".",""),"/",""),"-","")," ",""),"(",""),")",""),"+",""))=11,MID(SUBSTITUTE(SUBSTITUTE(SUBSTITUTE(SUBSTITUTE(SUBSTITUTE(SUBSTITUTE(SUBSTITUTE(TRIM(M274),".",""),"/",""),"-","")," ",""),"(",""),")",""),"+",""),3,1)="9"),"ERRO: é celular, use a coluna Celular","ERRO: DDD + 8 dígitos ou 0800 + 7")))</f>
      </c>
      <c r="X274" s="6">
        <f>IF(N274="","vazio",IF(AND(LEN(SUBSTITUTE(SUBSTITUTE(SUBSTITUTE(SUBSTITUTE(SUBSTITUTE(SUBSTITUTE(SUBSTITUTE(TRIM(N274),".",""),"/",""),"-","")," ",""),"(",""),")",""),"+",""))=11,MID(SUBSTITUTE(SUBSTITUTE(SUBSTITUTE(SUBSTITUTE(SUBSTITUTE(SUBSTITUTE(SUBSTITUTE(TRIM(N274),".",""),"/",""),"-","")," ",""),"(",""),")",""),"+",""),3,1)="9",LEFT(SUBSTITUTE(SUBSTITUTE(SUBSTITUTE(SUBSTITUTE(SUBSTITUTE(SUBSTITUTE(SUBSTITUTE(TRIM(N274),".",""),"/",""),"-","")," ",""),"(",""),")",""),"+",""),1)&lt;&gt;"0"),"OK",IF(LEN(SUBSTITUTE(SUBSTITUTE(SUBSTITUTE(SUBSTITUTE(SUBSTITUTE(SUBSTITUTE(SUBSTITUTE(TRIM(N274),".",""),"/",""),"-","")," ",""),"(",""),")",""),"+",""))=10,"ERRO: é fixo (ou falta o 9), use a coluna Telefone fixo","ERRO: DDD + 9 + 8 dígitos")))</f>
      </c>
      <c r="Y274" s="6">
        <f>IF(O274="","vazio",IF(AND(ISNUMBER(FIND("@",O274)),ISNUMBER(FIND(".",MID(O274,FIND("@",O274),99))),NOT(ISNUMBER(FIND(" ",TRIM(O274)))),NOT(ISNUMBER(FIND(";",O274))),NOT(ISNUMBER(FIND(",",O274)))),"OK","ERRO: um e-mail válido por linha"))</f>
      </c>
      <c r="Z274" s="6">
        <f>IF(AND(J274="",K274=""),"",IF(AND(J274&lt;&gt;"",K274&lt;&gt;""),"OK","pendente: só um nome (o GR completa ao converter)"))</f>
      </c>
      <c r="AA274" s="6">
        <f>IF(COUNTA(A274:S274)=0,"",IF(AND(A274&lt;&gt;"",B274&lt;&gt;"",C274&lt;&gt;"",D274&lt;&gt;"",E274&lt;&gt;"",F274&lt;&gt;"",G274&lt;&gt;"",H274&lt;&gt;"",OR(J274&lt;&gt;"",K274&lt;&gt;""),OR(M274&lt;&gt;"",N274&lt;&gt;"",O274&lt;&gt;"")),"OK","ERRO: faltam "&amp;IF(A274="","SDR; ","")&amp;IF(B274="","Proprietário; ","")&amp;IF(C274="","Origem; ","")&amp;IF(D274="","Temperatura; ","")&amp;IF(E274="","Segmento; ","")&amp;IF(F274="","Time/Cluster; ","")&amp;IF(G274="","CNPJ; ","")&amp;IF(H274="","Razão Social; ","")&amp;IF(AND(J274="",K274=""),"nome do contato; ","")&amp;IF(AND(M274="",N274="",O274=""),"telefone, celular ou e-mail; ","")))</f>
      </c>
      <c r="AB274" s="6">
        <f>IF(COUNTA(A274:S274)=0,"",IF(AND(U274="OK",V274="OK",LEFT(W274,4)&lt;&gt;"ERRO",LEFT(X274,4)&lt;&gt;"ERRO",LEFT(Y274,4)&lt;&gt;"ERRO",AA274="OK"),"OK","REVISAR"))</f>
      </c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5"/>
      <c r="K275" s="4"/>
      <c r="L275" s="4"/>
      <c r="M275" s="4"/>
      <c r="N275" s="4"/>
      <c r="O275" s="4"/>
      <c r="P275" s="4"/>
      <c r="Q275" s="4"/>
      <c r="R275" s="4"/>
      <c r="S275" s="4"/>
      <c r="T275" s="6">
        <f>IF(G275="","",SUBSTITUTE(SUBSTITUTE(SUBSTITUTE(SUBSTITUTE(SUBSTITUTE(SUBSTITUTE(SUBSTITUTE(TRIM(G275),".",""),"/",""),"-","")," ",""),"(",""),")",""),"+",""))</f>
      </c>
      <c r="U275" s="6">
        <f>IF(T275="","",IF(LEN(T275)&lt;&gt;14,"ERRO: "&amp;LEN(T275)&amp;" dígitos",IF(NOT(ISNUMBER(VALUE(T275))),"ERRO: não numérico",IF(LEN(SUBSTITUTE(T275,LEFT(T275,1),""))=0,"ERRO: dígitos repetidos",IF(AND(VALUE(MID(T275,13,1))=IF(MOD(SUMPRODUCT(--MID(T275,{1,2,3,4,5,6,7,8,9,10,11,12},1),{5,4,3,2,9,8,7,6,5,4,3,2}),11)&lt;2,0,11-MOD(SUMPRODUCT(--MID(T275,{1,2,3,4,5,6,7,8,9,10,11,12},1),{5,4,3,2,9,8,7,6,5,4,3,2}),11)),VALUE(MID(T275,14,1))=IF(MOD(SUMPRODUCT(--MID(T275,{1,2,3,4,5,6,7,8,9,10,11,12,13},1),{6,5,4,3,2,9,8,7,6,5,4,3,2}),11)&lt;2,0,11-MOD(SUMPRODUCT(--MID(T275,{1,2,3,4,5,6,7,8,9,10,11,12,13},1),{6,5,4,3,2,9,8,7,6,5,4,3,2}),11))),"OK","ERRO: dígito verificador")))))</f>
      </c>
      <c r="V275" s="6">
        <f>IF(T275="","",IF(COUNTIF($T$2:$T$1001,T275)&gt;1,"DUPLICADO","OK"))</f>
      </c>
      <c r="W275" s="6">
        <f>IF(M275="","vazio",IF(OR(AND(LEN(SUBSTITUTE(SUBSTITUTE(SUBSTITUTE(SUBSTITUTE(SUBSTITUTE(SUBSTITUTE(SUBSTITUTE(TRIM(M275),".",""),"/",""),"-","")," ",""),"(",""),")",""),"+",""))=10,LEFT(SUBSTITUTE(SUBSTITUTE(SUBSTITUTE(SUBSTITUTE(SUBSTITUTE(SUBSTITUTE(SUBSTITUTE(TRIM(M275),".",""),"/",""),"-","")," ",""),"(",""),")",""),"+",""),1)&lt;&gt;"0"),AND(LEN(SUBSTITUTE(SUBSTITUTE(SUBSTITUTE(SUBSTITUTE(SUBSTITUTE(SUBSTITUTE(SUBSTITUTE(TRIM(M275),".",""),"/",""),"-","")," ",""),"(",""),")",""),"+",""))=11,LEFT(SUBSTITUTE(SUBSTITUTE(SUBSTITUTE(SUBSTITUTE(SUBSTITUTE(SUBSTITUTE(SUBSTITUTE(TRIM(M275),".",""),"/",""),"-","")," ",""),"(",""),")",""),"+",""),4)="0800")),"OK",IF(AND(LEN(SUBSTITUTE(SUBSTITUTE(SUBSTITUTE(SUBSTITUTE(SUBSTITUTE(SUBSTITUTE(SUBSTITUTE(TRIM(M275),".",""),"/",""),"-","")," ",""),"(",""),")",""),"+",""))=11,MID(SUBSTITUTE(SUBSTITUTE(SUBSTITUTE(SUBSTITUTE(SUBSTITUTE(SUBSTITUTE(SUBSTITUTE(TRIM(M275),".",""),"/",""),"-","")," ",""),"(",""),")",""),"+",""),3,1)="9"),"ERRO: é celular, use a coluna Celular","ERRO: DDD + 8 dígitos ou 0800 + 7")))</f>
      </c>
      <c r="X275" s="6">
        <f>IF(N275="","vazio",IF(AND(LEN(SUBSTITUTE(SUBSTITUTE(SUBSTITUTE(SUBSTITUTE(SUBSTITUTE(SUBSTITUTE(SUBSTITUTE(TRIM(N275),".",""),"/",""),"-","")," ",""),"(",""),")",""),"+",""))=11,MID(SUBSTITUTE(SUBSTITUTE(SUBSTITUTE(SUBSTITUTE(SUBSTITUTE(SUBSTITUTE(SUBSTITUTE(TRIM(N275),".",""),"/",""),"-","")," ",""),"(",""),")",""),"+",""),3,1)="9",LEFT(SUBSTITUTE(SUBSTITUTE(SUBSTITUTE(SUBSTITUTE(SUBSTITUTE(SUBSTITUTE(SUBSTITUTE(TRIM(N275),".",""),"/",""),"-","")," ",""),"(",""),")",""),"+",""),1)&lt;&gt;"0"),"OK",IF(LEN(SUBSTITUTE(SUBSTITUTE(SUBSTITUTE(SUBSTITUTE(SUBSTITUTE(SUBSTITUTE(SUBSTITUTE(TRIM(N275),".",""),"/",""),"-","")," ",""),"(",""),")",""),"+",""))=10,"ERRO: é fixo (ou falta o 9), use a coluna Telefone fixo","ERRO: DDD + 9 + 8 dígitos")))</f>
      </c>
      <c r="Y275" s="6">
        <f>IF(O275="","vazio",IF(AND(ISNUMBER(FIND("@",O275)),ISNUMBER(FIND(".",MID(O275,FIND("@",O275),99))),NOT(ISNUMBER(FIND(" ",TRIM(O275)))),NOT(ISNUMBER(FIND(";",O275))),NOT(ISNUMBER(FIND(",",O275)))),"OK","ERRO: um e-mail válido por linha"))</f>
      </c>
      <c r="Z275" s="6">
        <f>IF(AND(J275="",K275=""),"",IF(AND(J275&lt;&gt;"",K275&lt;&gt;""),"OK","pendente: só um nome (o GR completa ao converter)"))</f>
      </c>
      <c r="AA275" s="6">
        <f>IF(COUNTA(A275:S275)=0,"",IF(AND(A275&lt;&gt;"",B275&lt;&gt;"",C275&lt;&gt;"",D275&lt;&gt;"",E275&lt;&gt;"",F275&lt;&gt;"",G275&lt;&gt;"",H275&lt;&gt;"",OR(J275&lt;&gt;"",K275&lt;&gt;""),OR(M275&lt;&gt;"",N275&lt;&gt;"",O275&lt;&gt;"")),"OK","ERRO: faltam "&amp;IF(A275="","SDR; ","")&amp;IF(B275="","Proprietário; ","")&amp;IF(C275="","Origem; ","")&amp;IF(D275="","Temperatura; ","")&amp;IF(E275="","Segmento; ","")&amp;IF(F275="","Time/Cluster; ","")&amp;IF(G275="","CNPJ; ","")&amp;IF(H275="","Razão Social; ","")&amp;IF(AND(J275="",K275=""),"nome do contato; ","")&amp;IF(AND(M275="",N275="",O275=""),"telefone, celular ou e-mail; ","")))</f>
      </c>
      <c r="AB275" s="6">
        <f>IF(COUNTA(A275:S275)=0,"",IF(AND(U275="OK",V275="OK",LEFT(W275,4)&lt;&gt;"ERRO",LEFT(X275,4)&lt;&gt;"ERRO",LEFT(Y275,4)&lt;&gt;"ERRO",AA275="OK"),"OK","REVISAR"))</f>
      </c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5"/>
      <c r="K276" s="4"/>
      <c r="L276" s="4"/>
      <c r="M276" s="4"/>
      <c r="N276" s="4"/>
      <c r="O276" s="4"/>
      <c r="P276" s="4"/>
      <c r="Q276" s="4"/>
      <c r="R276" s="4"/>
      <c r="S276" s="4"/>
      <c r="T276" s="6">
        <f>IF(G276="","",SUBSTITUTE(SUBSTITUTE(SUBSTITUTE(SUBSTITUTE(SUBSTITUTE(SUBSTITUTE(SUBSTITUTE(TRIM(G276),".",""),"/",""),"-","")," ",""),"(",""),")",""),"+",""))</f>
      </c>
      <c r="U276" s="6">
        <f>IF(T276="","",IF(LEN(T276)&lt;&gt;14,"ERRO: "&amp;LEN(T276)&amp;" dígitos",IF(NOT(ISNUMBER(VALUE(T276))),"ERRO: não numérico",IF(LEN(SUBSTITUTE(T276,LEFT(T276,1),""))=0,"ERRO: dígitos repetidos",IF(AND(VALUE(MID(T276,13,1))=IF(MOD(SUMPRODUCT(--MID(T276,{1,2,3,4,5,6,7,8,9,10,11,12},1),{5,4,3,2,9,8,7,6,5,4,3,2}),11)&lt;2,0,11-MOD(SUMPRODUCT(--MID(T276,{1,2,3,4,5,6,7,8,9,10,11,12},1),{5,4,3,2,9,8,7,6,5,4,3,2}),11)),VALUE(MID(T276,14,1))=IF(MOD(SUMPRODUCT(--MID(T276,{1,2,3,4,5,6,7,8,9,10,11,12,13},1),{6,5,4,3,2,9,8,7,6,5,4,3,2}),11)&lt;2,0,11-MOD(SUMPRODUCT(--MID(T276,{1,2,3,4,5,6,7,8,9,10,11,12,13},1),{6,5,4,3,2,9,8,7,6,5,4,3,2}),11))),"OK","ERRO: dígito verificador")))))</f>
      </c>
      <c r="V276" s="6">
        <f>IF(T276="","",IF(COUNTIF($T$2:$T$1001,T276)&gt;1,"DUPLICADO","OK"))</f>
      </c>
      <c r="W276" s="6">
        <f>IF(M276="","vazio",IF(OR(AND(LEN(SUBSTITUTE(SUBSTITUTE(SUBSTITUTE(SUBSTITUTE(SUBSTITUTE(SUBSTITUTE(SUBSTITUTE(TRIM(M276),".",""),"/",""),"-","")," ",""),"(",""),")",""),"+",""))=10,LEFT(SUBSTITUTE(SUBSTITUTE(SUBSTITUTE(SUBSTITUTE(SUBSTITUTE(SUBSTITUTE(SUBSTITUTE(TRIM(M276),".",""),"/",""),"-","")," ",""),"(",""),")",""),"+",""),1)&lt;&gt;"0"),AND(LEN(SUBSTITUTE(SUBSTITUTE(SUBSTITUTE(SUBSTITUTE(SUBSTITUTE(SUBSTITUTE(SUBSTITUTE(TRIM(M276),".",""),"/",""),"-","")," ",""),"(",""),")",""),"+",""))=11,LEFT(SUBSTITUTE(SUBSTITUTE(SUBSTITUTE(SUBSTITUTE(SUBSTITUTE(SUBSTITUTE(SUBSTITUTE(TRIM(M276),".",""),"/",""),"-","")," ",""),"(",""),")",""),"+",""),4)="0800")),"OK",IF(AND(LEN(SUBSTITUTE(SUBSTITUTE(SUBSTITUTE(SUBSTITUTE(SUBSTITUTE(SUBSTITUTE(SUBSTITUTE(TRIM(M276),".",""),"/",""),"-","")," ",""),"(",""),")",""),"+",""))=11,MID(SUBSTITUTE(SUBSTITUTE(SUBSTITUTE(SUBSTITUTE(SUBSTITUTE(SUBSTITUTE(SUBSTITUTE(TRIM(M276),".",""),"/",""),"-","")," ",""),"(",""),")",""),"+",""),3,1)="9"),"ERRO: é celular, use a coluna Celular","ERRO: DDD + 8 dígitos ou 0800 + 7")))</f>
      </c>
      <c r="X276" s="6">
        <f>IF(N276="","vazio",IF(AND(LEN(SUBSTITUTE(SUBSTITUTE(SUBSTITUTE(SUBSTITUTE(SUBSTITUTE(SUBSTITUTE(SUBSTITUTE(TRIM(N276),".",""),"/",""),"-","")," ",""),"(",""),")",""),"+",""))=11,MID(SUBSTITUTE(SUBSTITUTE(SUBSTITUTE(SUBSTITUTE(SUBSTITUTE(SUBSTITUTE(SUBSTITUTE(TRIM(N276),".",""),"/",""),"-","")," ",""),"(",""),")",""),"+",""),3,1)="9",LEFT(SUBSTITUTE(SUBSTITUTE(SUBSTITUTE(SUBSTITUTE(SUBSTITUTE(SUBSTITUTE(SUBSTITUTE(TRIM(N276),".",""),"/",""),"-","")," ",""),"(",""),")",""),"+",""),1)&lt;&gt;"0"),"OK",IF(LEN(SUBSTITUTE(SUBSTITUTE(SUBSTITUTE(SUBSTITUTE(SUBSTITUTE(SUBSTITUTE(SUBSTITUTE(TRIM(N276),".",""),"/",""),"-","")," ",""),"(",""),")",""),"+",""))=10,"ERRO: é fixo (ou falta o 9), use a coluna Telefone fixo","ERRO: DDD + 9 + 8 dígitos")))</f>
      </c>
      <c r="Y276" s="6">
        <f>IF(O276="","vazio",IF(AND(ISNUMBER(FIND("@",O276)),ISNUMBER(FIND(".",MID(O276,FIND("@",O276),99))),NOT(ISNUMBER(FIND(" ",TRIM(O276)))),NOT(ISNUMBER(FIND(";",O276))),NOT(ISNUMBER(FIND(",",O276)))),"OK","ERRO: um e-mail válido por linha"))</f>
      </c>
      <c r="Z276" s="6">
        <f>IF(AND(J276="",K276=""),"",IF(AND(J276&lt;&gt;"",K276&lt;&gt;""),"OK","pendente: só um nome (o GR completa ao converter)"))</f>
      </c>
      <c r="AA276" s="6">
        <f>IF(COUNTA(A276:S276)=0,"",IF(AND(A276&lt;&gt;"",B276&lt;&gt;"",C276&lt;&gt;"",D276&lt;&gt;"",E276&lt;&gt;"",F276&lt;&gt;"",G276&lt;&gt;"",H276&lt;&gt;"",OR(J276&lt;&gt;"",K276&lt;&gt;""),OR(M276&lt;&gt;"",N276&lt;&gt;"",O276&lt;&gt;"")),"OK","ERRO: faltam "&amp;IF(A276="","SDR; ","")&amp;IF(B276="","Proprietário; ","")&amp;IF(C276="","Origem; ","")&amp;IF(D276="","Temperatura; ","")&amp;IF(E276="","Segmento; ","")&amp;IF(F276="","Time/Cluster; ","")&amp;IF(G276="","CNPJ; ","")&amp;IF(H276="","Razão Social; ","")&amp;IF(AND(J276="",K276=""),"nome do contato; ","")&amp;IF(AND(M276="",N276="",O276=""),"telefone, celular ou e-mail; ","")))</f>
      </c>
      <c r="AB276" s="6">
        <f>IF(COUNTA(A276:S276)=0,"",IF(AND(U276="OK",V276="OK",LEFT(W276,4)&lt;&gt;"ERRO",LEFT(X276,4)&lt;&gt;"ERRO",LEFT(Y276,4)&lt;&gt;"ERRO",AA276="OK"),"OK","REVISAR"))</f>
      </c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5"/>
      <c r="K277" s="4"/>
      <c r="L277" s="4"/>
      <c r="M277" s="4"/>
      <c r="N277" s="4"/>
      <c r="O277" s="4"/>
      <c r="P277" s="4"/>
      <c r="Q277" s="4"/>
      <c r="R277" s="4"/>
      <c r="S277" s="4"/>
      <c r="T277" s="6">
        <f>IF(G277="","",SUBSTITUTE(SUBSTITUTE(SUBSTITUTE(SUBSTITUTE(SUBSTITUTE(SUBSTITUTE(SUBSTITUTE(TRIM(G277),".",""),"/",""),"-","")," ",""),"(",""),")",""),"+",""))</f>
      </c>
      <c r="U277" s="6">
        <f>IF(T277="","",IF(LEN(T277)&lt;&gt;14,"ERRO: "&amp;LEN(T277)&amp;" dígitos",IF(NOT(ISNUMBER(VALUE(T277))),"ERRO: não numérico",IF(LEN(SUBSTITUTE(T277,LEFT(T277,1),""))=0,"ERRO: dígitos repetidos",IF(AND(VALUE(MID(T277,13,1))=IF(MOD(SUMPRODUCT(--MID(T277,{1,2,3,4,5,6,7,8,9,10,11,12},1),{5,4,3,2,9,8,7,6,5,4,3,2}),11)&lt;2,0,11-MOD(SUMPRODUCT(--MID(T277,{1,2,3,4,5,6,7,8,9,10,11,12},1),{5,4,3,2,9,8,7,6,5,4,3,2}),11)),VALUE(MID(T277,14,1))=IF(MOD(SUMPRODUCT(--MID(T277,{1,2,3,4,5,6,7,8,9,10,11,12,13},1),{6,5,4,3,2,9,8,7,6,5,4,3,2}),11)&lt;2,0,11-MOD(SUMPRODUCT(--MID(T277,{1,2,3,4,5,6,7,8,9,10,11,12,13},1),{6,5,4,3,2,9,8,7,6,5,4,3,2}),11))),"OK","ERRO: dígito verificador")))))</f>
      </c>
      <c r="V277" s="6">
        <f>IF(T277="","",IF(COUNTIF($T$2:$T$1001,T277)&gt;1,"DUPLICADO","OK"))</f>
      </c>
      <c r="W277" s="6">
        <f>IF(M277="","vazio",IF(OR(AND(LEN(SUBSTITUTE(SUBSTITUTE(SUBSTITUTE(SUBSTITUTE(SUBSTITUTE(SUBSTITUTE(SUBSTITUTE(TRIM(M277),".",""),"/",""),"-","")," ",""),"(",""),")",""),"+",""))=10,LEFT(SUBSTITUTE(SUBSTITUTE(SUBSTITUTE(SUBSTITUTE(SUBSTITUTE(SUBSTITUTE(SUBSTITUTE(TRIM(M277),".",""),"/",""),"-","")," ",""),"(",""),")",""),"+",""),1)&lt;&gt;"0"),AND(LEN(SUBSTITUTE(SUBSTITUTE(SUBSTITUTE(SUBSTITUTE(SUBSTITUTE(SUBSTITUTE(SUBSTITUTE(TRIM(M277),".",""),"/",""),"-","")," ",""),"(",""),")",""),"+",""))=11,LEFT(SUBSTITUTE(SUBSTITUTE(SUBSTITUTE(SUBSTITUTE(SUBSTITUTE(SUBSTITUTE(SUBSTITUTE(TRIM(M277),".",""),"/",""),"-","")," ",""),"(",""),")",""),"+",""),4)="0800")),"OK",IF(AND(LEN(SUBSTITUTE(SUBSTITUTE(SUBSTITUTE(SUBSTITUTE(SUBSTITUTE(SUBSTITUTE(SUBSTITUTE(TRIM(M277),".",""),"/",""),"-","")," ",""),"(",""),")",""),"+",""))=11,MID(SUBSTITUTE(SUBSTITUTE(SUBSTITUTE(SUBSTITUTE(SUBSTITUTE(SUBSTITUTE(SUBSTITUTE(TRIM(M277),".",""),"/",""),"-","")," ",""),"(",""),")",""),"+",""),3,1)="9"),"ERRO: é celular, use a coluna Celular","ERRO: DDD + 8 dígitos ou 0800 + 7")))</f>
      </c>
      <c r="X277" s="6">
        <f>IF(N277="","vazio",IF(AND(LEN(SUBSTITUTE(SUBSTITUTE(SUBSTITUTE(SUBSTITUTE(SUBSTITUTE(SUBSTITUTE(SUBSTITUTE(TRIM(N277),".",""),"/",""),"-","")," ",""),"(",""),")",""),"+",""))=11,MID(SUBSTITUTE(SUBSTITUTE(SUBSTITUTE(SUBSTITUTE(SUBSTITUTE(SUBSTITUTE(SUBSTITUTE(TRIM(N277),".",""),"/",""),"-","")," ",""),"(",""),")",""),"+",""),3,1)="9",LEFT(SUBSTITUTE(SUBSTITUTE(SUBSTITUTE(SUBSTITUTE(SUBSTITUTE(SUBSTITUTE(SUBSTITUTE(TRIM(N277),".",""),"/",""),"-","")," ",""),"(",""),")",""),"+",""),1)&lt;&gt;"0"),"OK",IF(LEN(SUBSTITUTE(SUBSTITUTE(SUBSTITUTE(SUBSTITUTE(SUBSTITUTE(SUBSTITUTE(SUBSTITUTE(TRIM(N277),".",""),"/",""),"-","")," ",""),"(",""),")",""),"+",""))=10,"ERRO: é fixo (ou falta o 9), use a coluna Telefone fixo","ERRO: DDD + 9 + 8 dígitos")))</f>
      </c>
      <c r="Y277" s="6">
        <f>IF(O277="","vazio",IF(AND(ISNUMBER(FIND("@",O277)),ISNUMBER(FIND(".",MID(O277,FIND("@",O277),99))),NOT(ISNUMBER(FIND(" ",TRIM(O277)))),NOT(ISNUMBER(FIND(";",O277))),NOT(ISNUMBER(FIND(",",O277)))),"OK","ERRO: um e-mail válido por linha"))</f>
      </c>
      <c r="Z277" s="6">
        <f>IF(AND(J277="",K277=""),"",IF(AND(J277&lt;&gt;"",K277&lt;&gt;""),"OK","pendente: só um nome (o GR completa ao converter)"))</f>
      </c>
      <c r="AA277" s="6">
        <f>IF(COUNTA(A277:S277)=0,"",IF(AND(A277&lt;&gt;"",B277&lt;&gt;"",C277&lt;&gt;"",D277&lt;&gt;"",E277&lt;&gt;"",F277&lt;&gt;"",G277&lt;&gt;"",H277&lt;&gt;"",OR(J277&lt;&gt;"",K277&lt;&gt;""),OR(M277&lt;&gt;"",N277&lt;&gt;"",O277&lt;&gt;"")),"OK","ERRO: faltam "&amp;IF(A277="","SDR; ","")&amp;IF(B277="","Proprietário; ","")&amp;IF(C277="","Origem; ","")&amp;IF(D277="","Temperatura; ","")&amp;IF(E277="","Segmento; ","")&amp;IF(F277="","Time/Cluster; ","")&amp;IF(G277="","CNPJ; ","")&amp;IF(H277="","Razão Social; ","")&amp;IF(AND(J277="",K277=""),"nome do contato; ","")&amp;IF(AND(M277="",N277="",O277=""),"telefone, celular ou e-mail; ","")))</f>
      </c>
      <c r="AB277" s="6">
        <f>IF(COUNTA(A277:S277)=0,"",IF(AND(U277="OK",V277="OK",LEFT(W277,4)&lt;&gt;"ERRO",LEFT(X277,4)&lt;&gt;"ERRO",LEFT(Y277,4)&lt;&gt;"ERRO",AA277="OK"),"OK","REVISAR"))</f>
      </c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5"/>
      <c r="K278" s="4"/>
      <c r="L278" s="4"/>
      <c r="M278" s="4"/>
      <c r="N278" s="4"/>
      <c r="O278" s="4"/>
      <c r="P278" s="4"/>
      <c r="Q278" s="4"/>
      <c r="R278" s="4"/>
      <c r="S278" s="4"/>
      <c r="T278" s="6">
        <f>IF(G278="","",SUBSTITUTE(SUBSTITUTE(SUBSTITUTE(SUBSTITUTE(SUBSTITUTE(SUBSTITUTE(SUBSTITUTE(TRIM(G278),".",""),"/",""),"-","")," ",""),"(",""),")",""),"+",""))</f>
      </c>
      <c r="U278" s="6">
        <f>IF(T278="","",IF(LEN(T278)&lt;&gt;14,"ERRO: "&amp;LEN(T278)&amp;" dígitos",IF(NOT(ISNUMBER(VALUE(T278))),"ERRO: não numérico",IF(LEN(SUBSTITUTE(T278,LEFT(T278,1),""))=0,"ERRO: dígitos repetidos",IF(AND(VALUE(MID(T278,13,1))=IF(MOD(SUMPRODUCT(--MID(T278,{1,2,3,4,5,6,7,8,9,10,11,12},1),{5,4,3,2,9,8,7,6,5,4,3,2}),11)&lt;2,0,11-MOD(SUMPRODUCT(--MID(T278,{1,2,3,4,5,6,7,8,9,10,11,12},1),{5,4,3,2,9,8,7,6,5,4,3,2}),11)),VALUE(MID(T278,14,1))=IF(MOD(SUMPRODUCT(--MID(T278,{1,2,3,4,5,6,7,8,9,10,11,12,13},1),{6,5,4,3,2,9,8,7,6,5,4,3,2}),11)&lt;2,0,11-MOD(SUMPRODUCT(--MID(T278,{1,2,3,4,5,6,7,8,9,10,11,12,13},1),{6,5,4,3,2,9,8,7,6,5,4,3,2}),11))),"OK","ERRO: dígito verificador")))))</f>
      </c>
      <c r="V278" s="6">
        <f>IF(T278="","",IF(COUNTIF($T$2:$T$1001,T278)&gt;1,"DUPLICADO","OK"))</f>
      </c>
      <c r="W278" s="6">
        <f>IF(M278="","vazio",IF(OR(AND(LEN(SUBSTITUTE(SUBSTITUTE(SUBSTITUTE(SUBSTITUTE(SUBSTITUTE(SUBSTITUTE(SUBSTITUTE(TRIM(M278),".",""),"/",""),"-","")," ",""),"(",""),")",""),"+",""))=10,LEFT(SUBSTITUTE(SUBSTITUTE(SUBSTITUTE(SUBSTITUTE(SUBSTITUTE(SUBSTITUTE(SUBSTITUTE(TRIM(M278),".",""),"/",""),"-","")," ",""),"(",""),")",""),"+",""),1)&lt;&gt;"0"),AND(LEN(SUBSTITUTE(SUBSTITUTE(SUBSTITUTE(SUBSTITUTE(SUBSTITUTE(SUBSTITUTE(SUBSTITUTE(TRIM(M278),".",""),"/",""),"-","")," ",""),"(",""),")",""),"+",""))=11,LEFT(SUBSTITUTE(SUBSTITUTE(SUBSTITUTE(SUBSTITUTE(SUBSTITUTE(SUBSTITUTE(SUBSTITUTE(TRIM(M278),".",""),"/",""),"-","")," ",""),"(",""),")",""),"+",""),4)="0800")),"OK",IF(AND(LEN(SUBSTITUTE(SUBSTITUTE(SUBSTITUTE(SUBSTITUTE(SUBSTITUTE(SUBSTITUTE(SUBSTITUTE(TRIM(M278),".",""),"/",""),"-","")," ",""),"(",""),")",""),"+",""))=11,MID(SUBSTITUTE(SUBSTITUTE(SUBSTITUTE(SUBSTITUTE(SUBSTITUTE(SUBSTITUTE(SUBSTITUTE(TRIM(M278),".",""),"/",""),"-","")," ",""),"(",""),")",""),"+",""),3,1)="9"),"ERRO: é celular, use a coluna Celular","ERRO: DDD + 8 dígitos ou 0800 + 7")))</f>
      </c>
      <c r="X278" s="6">
        <f>IF(N278="","vazio",IF(AND(LEN(SUBSTITUTE(SUBSTITUTE(SUBSTITUTE(SUBSTITUTE(SUBSTITUTE(SUBSTITUTE(SUBSTITUTE(TRIM(N278),".",""),"/",""),"-","")," ",""),"(",""),")",""),"+",""))=11,MID(SUBSTITUTE(SUBSTITUTE(SUBSTITUTE(SUBSTITUTE(SUBSTITUTE(SUBSTITUTE(SUBSTITUTE(TRIM(N278),".",""),"/",""),"-","")," ",""),"(",""),")",""),"+",""),3,1)="9",LEFT(SUBSTITUTE(SUBSTITUTE(SUBSTITUTE(SUBSTITUTE(SUBSTITUTE(SUBSTITUTE(SUBSTITUTE(TRIM(N278),".",""),"/",""),"-","")," ",""),"(",""),")",""),"+",""),1)&lt;&gt;"0"),"OK",IF(LEN(SUBSTITUTE(SUBSTITUTE(SUBSTITUTE(SUBSTITUTE(SUBSTITUTE(SUBSTITUTE(SUBSTITUTE(TRIM(N278),".",""),"/",""),"-","")," ",""),"(",""),")",""),"+",""))=10,"ERRO: é fixo (ou falta o 9), use a coluna Telefone fixo","ERRO: DDD + 9 + 8 dígitos")))</f>
      </c>
      <c r="Y278" s="6">
        <f>IF(O278="","vazio",IF(AND(ISNUMBER(FIND("@",O278)),ISNUMBER(FIND(".",MID(O278,FIND("@",O278),99))),NOT(ISNUMBER(FIND(" ",TRIM(O278)))),NOT(ISNUMBER(FIND(";",O278))),NOT(ISNUMBER(FIND(",",O278)))),"OK","ERRO: um e-mail válido por linha"))</f>
      </c>
      <c r="Z278" s="6">
        <f>IF(AND(J278="",K278=""),"",IF(AND(J278&lt;&gt;"",K278&lt;&gt;""),"OK","pendente: só um nome (o GR completa ao converter)"))</f>
      </c>
      <c r="AA278" s="6">
        <f>IF(COUNTA(A278:S278)=0,"",IF(AND(A278&lt;&gt;"",B278&lt;&gt;"",C278&lt;&gt;"",D278&lt;&gt;"",E278&lt;&gt;"",F278&lt;&gt;"",G278&lt;&gt;"",H278&lt;&gt;"",OR(J278&lt;&gt;"",K278&lt;&gt;""),OR(M278&lt;&gt;"",N278&lt;&gt;"",O278&lt;&gt;"")),"OK","ERRO: faltam "&amp;IF(A278="","SDR; ","")&amp;IF(B278="","Proprietário; ","")&amp;IF(C278="","Origem; ","")&amp;IF(D278="","Temperatura; ","")&amp;IF(E278="","Segmento; ","")&amp;IF(F278="","Time/Cluster; ","")&amp;IF(G278="","CNPJ; ","")&amp;IF(H278="","Razão Social; ","")&amp;IF(AND(J278="",K278=""),"nome do contato; ","")&amp;IF(AND(M278="",N278="",O278=""),"telefone, celular ou e-mail; ","")))</f>
      </c>
      <c r="AB278" s="6">
        <f>IF(COUNTA(A278:S278)=0,"",IF(AND(U278="OK",V278="OK",LEFT(W278,4)&lt;&gt;"ERRO",LEFT(X278,4)&lt;&gt;"ERRO",LEFT(Y278,4)&lt;&gt;"ERRO",AA278="OK"),"OK","REVISAR"))</f>
      </c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5"/>
      <c r="K279" s="4"/>
      <c r="L279" s="4"/>
      <c r="M279" s="4"/>
      <c r="N279" s="4"/>
      <c r="O279" s="4"/>
      <c r="P279" s="4"/>
      <c r="Q279" s="4"/>
      <c r="R279" s="4"/>
      <c r="S279" s="4"/>
      <c r="T279" s="6">
        <f>IF(G279="","",SUBSTITUTE(SUBSTITUTE(SUBSTITUTE(SUBSTITUTE(SUBSTITUTE(SUBSTITUTE(SUBSTITUTE(TRIM(G279),".",""),"/",""),"-","")," ",""),"(",""),")",""),"+",""))</f>
      </c>
      <c r="U279" s="6">
        <f>IF(T279="","",IF(LEN(T279)&lt;&gt;14,"ERRO: "&amp;LEN(T279)&amp;" dígitos",IF(NOT(ISNUMBER(VALUE(T279))),"ERRO: não numérico",IF(LEN(SUBSTITUTE(T279,LEFT(T279,1),""))=0,"ERRO: dígitos repetidos",IF(AND(VALUE(MID(T279,13,1))=IF(MOD(SUMPRODUCT(--MID(T279,{1,2,3,4,5,6,7,8,9,10,11,12},1),{5,4,3,2,9,8,7,6,5,4,3,2}),11)&lt;2,0,11-MOD(SUMPRODUCT(--MID(T279,{1,2,3,4,5,6,7,8,9,10,11,12},1),{5,4,3,2,9,8,7,6,5,4,3,2}),11)),VALUE(MID(T279,14,1))=IF(MOD(SUMPRODUCT(--MID(T279,{1,2,3,4,5,6,7,8,9,10,11,12,13},1),{6,5,4,3,2,9,8,7,6,5,4,3,2}),11)&lt;2,0,11-MOD(SUMPRODUCT(--MID(T279,{1,2,3,4,5,6,7,8,9,10,11,12,13},1),{6,5,4,3,2,9,8,7,6,5,4,3,2}),11))),"OK","ERRO: dígito verificador")))))</f>
      </c>
      <c r="V279" s="6">
        <f>IF(T279="","",IF(COUNTIF($T$2:$T$1001,T279)&gt;1,"DUPLICADO","OK"))</f>
      </c>
      <c r="W279" s="6">
        <f>IF(M279="","vazio",IF(OR(AND(LEN(SUBSTITUTE(SUBSTITUTE(SUBSTITUTE(SUBSTITUTE(SUBSTITUTE(SUBSTITUTE(SUBSTITUTE(TRIM(M279),".",""),"/",""),"-","")," ",""),"(",""),")",""),"+",""))=10,LEFT(SUBSTITUTE(SUBSTITUTE(SUBSTITUTE(SUBSTITUTE(SUBSTITUTE(SUBSTITUTE(SUBSTITUTE(TRIM(M279),".",""),"/",""),"-","")," ",""),"(",""),")",""),"+",""),1)&lt;&gt;"0"),AND(LEN(SUBSTITUTE(SUBSTITUTE(SUBSTITUTE(SUBSTITUTE(SUBSTITUTE(SUBSTITUTE(SUBSTITUTE(TRIM(M279),".",""),"/",""),"-","")," ",""),"(",""),")",""),"+",""))=11,LEFT(SUBSTITUTE(SUBSTITUTE(SUBSTITUTE(SUBSTITUTE(SUBSTITUTE(SUBSTITUTE(SUBSTITUTE(TRIM(M279),".",""),"/",""),"-","")," ",""),"(",""),")",""),"+",""),4)="0800")),"OK",IF(AND(LEN(SUBSTITUTE(SUBSTITUTE(SUBSTITUTE(SUBSTITUTE(SUBSTITUTE(SUBSTITUTE(SUBSTITUTE(TRIM(M279),".",""),"/",""),"-","")," ",""),"(",""),")",""),"+",""))=11,MID(SUBSTITUTE(SUBSTITUTE(SUBSTITUTE(SUBSTITUTE(SUBSTITUTE(SUBSTITUTE(SUBSTITUTE(TRIM(M279),".",""),"/",""),"-","")," ",""),"(",""),")",""),"+",""),3,1)="9"),"ERRO: é celular, use a coluna Celular","ERRO: DDD + 8 dígitos ou 0800 + 7")))</f>
      </c>
      <c r="X279" s="6">
        <f>IF(N279="","vazio",IF(AND(LEN(SUBSTITUTE(SUBSTITUTE(SUBSTITUTE(SUBSTITUTE(SUBSTITUTE(SUBSTITUTE(SUBSTITUTE(TRIM(N279),".",""),"/",""),"-","")," ",""),"(",""),")",""),"+",""))=11,MID(SUBSTITUTE(SUBSTITUTE(SUBSTITUTE(SUBSTITUTE(SUBSTITUTE(SUBSTITUTE(SUBSTITUTE(TRIM(N279),".",""),"/",""),"-","")," ",""),"(",""),")",""),"+",""),3,1)="9",LEFT(SUBSTITUTE(SUBSTITUTE(SUBSTITUTE(SUBSTITUTE(SUBSTITUTE(SUBSTITUTE(SUBSTITUTE(TRIM(N279),".",""),"/",""),"-","")," ",""),"(",""),")",""),"+",""),1)&lt;&gt;"0"),"OK",IF(LEN(SUBSTITUTE(SUBSTITUTE(SUBSTITUTE(SUBSTITUTE(SUBSTITUTE(SUBSTITUTE(SUBSTITUTE(TRIM(N279),".",""),"/",""),"-","")," ",""),"(",""),")",""),"+",""))=10,"ERRO: é fixo (ou falta o 9), use a coluna Telefone fixo","ERRO: DDD + 9 + 8 dígitos")))</f>
      </c>
      <c r="Y279" s="6">
        <f>IF(O279="","vazio",IF(AND(ISNUMBER(FIND("@",O279)),ISNUMBER(FIND(".",MID(O279,FIND("@",O279),99))),NOT(ISNUMBER(FIND(" ",TRIM(O279)))),NOT(ISNUMBER(FIND(";",O279))),NOT(ISNUMBER(FIND(",",O279)))),"OK","ERRO: um e-mail válido por linha"))</f>
      </c>
      <c r="Z279" s="6">
        <f>IF(AND(J279="",K279=""),"",IF(AND(J279&lt;&gt;"",K279&lt;&gt;""),"OK","pendente: só um nome (o GR completa ao converter)"))</f>
      </c>
      <c r="AA279" s="6">
        <f>IF(COUNTA(A279:S279)=0,"",IF(AND(A279&lt;&gt;"",B279&lt;&gt;"",C279&lt;&gt;"",D279&lt;&gt;"",E279&lt;&gt;"",F279&lt;&gt;"",G279&lt;&gt;"",H279&lt;&gt;"",OR(J279&lt;&gt;"",K279&lt;&gt;""),OR(M279&lt;&gt;"",N279&lt;&gt;"",O279&lt;&gt;"")),"OK","ERRO: faltam "&amp;IF(A279="","SDR; ","")&amp;IF(B279="","Proprietário; ","")&amp;IF(C279="","Origem; ","")&amp;IF(D279="","Temperatura; ","")&amp;IF(E279="","Segmento; ","")&amp;IF(F279="","Time/Cluster; ","")&amp;IF(G279="","CNPJ; ","")&amp;IF(H279="","Razão Social; ","")&amp;IF(AND(J279="",K279=""),"nome do contato; ","")&amp;IF(AND(M279="",N279="",O279=""),"telefone, celular ou e-mail; ","")))</f>
      </c>
      <c r="AB279" s="6">
        <f>IF(COUNTA(A279:S279)=0,"",IF(AND(U279="OK",V279="OK",LEFT(W279,4)&lt;&gt;"ERRO",LEFT(X279,4)&lt;&gt;"ERRO",LEFT(Y279,4)&lt;&gt;"ERRO",AA279="OK"),"OK","REVISAR"))</f>
      </c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5"/>
      <c r="K280" s="4"/>
      <c r="L280" s="4"/>
      <c r="M280" s="4"/>
      <c r="N280" s="4"/>
      <c r="O280" s="4"/>
      <c r="P280" s="4"/>
      <c r="Q280" s="4"/>
      <c r="R280" s="4"/>
      <c r="S280" s="4"/>
      <c r="T280" s="6">
        <f>IF(G280="","",SUBSTITUTE(SUBSTITUTE(SUBSTITUTE(SUBSTITUTE(SUBSTITUTE(SUBSTITUTE(SUBSTITUTE(TRIM(G280),".",""),"/",""),"-","")," ",""),"(",""),")",""),"+",""))</f>
      </c>
      <c r="U280" s="6">
        <f>IF(T280="","",IF(LEN(T280)&lt;&gt;14,"ERRO: "&amp;LEN(T280)&amp;" dígitos",IF(NOT(ISNUMBER(VALUE(T280))),"ERRO: não numérico",IF(LEN(SUBSTITUTE(T280,LEFT(T280,1),""))=0,"ERRO: dígitos repetidos",IF(AND(VALUE(MID(T280,13,1))=IF(MOD(SUMPRODUCT(--MID(T280,{1,2,3,4,5,6,7,8,9,10,11,12},1),{5,4,3,2,9,8,7,6,5,4,3,2}),11)&lt;2,0,11-MOD(SUMPRODUCT(--MID(T280,{1,2,3,4,5,6,7,8,9,10,11,12},1),{5,4,3,2,9,8,7,6,5,4,3,2}),11)),VALUE(MID(T280,14,1))=IF(MOD(SUMPRODUCT(--MID(T280,{1,2,3,4,5,6,7,8,9,10,11,12,13},1),{6,5,4,3,2,9,8,7,6,5,4,3,2}),11)&lt;2,0,11-MOD(SUMPRODUCT(--MID(T280,{1,2,3,4,5,6,7,8,9,10,11,12,13},1),{6,5,4,3,2,9,8,7,6,5,4,3,2}),11))),"OK","ERRO: dígito verificador")))))</f>
      </c>
      <c r="V280" s="6">
        <f>IF(T280="","",IF(COUNTIF($T$2:$T$1001,T280)&gt;1,"DUPLICADO","OK"))</f>
      </c>
      <c r="W280" s="6">
        <f>IF(M280="","vazio",IF(OR(AND(LEN(SUBSTITUTE(SUBSTITUTE(SUBSTITUTE(SUBSTITUTE(SUBSTITUTE(SUBSTITUTE(SUBSTITUTE(TRIM(M280),".",""),"/",""),"-","")," ",""),"(",""),")",""),"+",""))=10,LEFT(SUBSTITUTE(SUBSTITUTE(SUBSTITUTE(SUBSTITUTE(SUBSTITUTE(SUBSTITUTE(SUBSTITUTE(TRIM(M280),".",""),"/",""),"-","")," ",""),"(",""),")",""),"+",""),1)&lt;&gt;"0"),AND(LEN(SUBSTITUTE(SUBSTITUTE(SUBSTITUTE(SUBSTITUTE(SUBSTITUTE(SUBSTITUTE(SUBSTITUTE(TRIM(M280),".",""),"/",""),"-","")," ",""),"(",""),")",""),"+",""))=11,LEFT(SUBSTITUTE(SUBSTITUTE(SUBSTITUTE(SUBSTITUTE(SUBSTITUTE(SUBSTITUTE(SUBSTITUTE(TRIM(M280),".",""),"/",""),"-","")," ",""),"(",""),")",""),"+",""),4)="0800")),"OK",IF(AND(LEN(SUBSTITUTE(SUBSTITUTE(SUBSTITUTE(SUBSTITUTE(SUBSTITUTE(SUBSTITUTE(SUBSTITUTE(TRIM(M280),".",""),"/",""),"-","")," ",""),"(",""),")",""),"+",""))=11,MID(SUBSTITUTE(SUBSTITUTE(SUBSTITUTE(SUBSTITUTE(SUBSTITUTE(SUBSTITUTE(SUBSTITUTE(TRIM(M280),".",""),"/",""),"-","")," ",""),"(",""),")",""),"+",""),3,1)="9"),"ERRO: é celular, use a coluna Celular","ERRO: DDD + 8 dígitos ou 0800 + 7")))</f>
      </c>
      <c r="X280" s="6">
        <f>IF(N280="","vazio",IF(AND(LEN(SUBSTITUTE(SUBSTITUTE(SUBSTITUTE(SUBSTITUTE(SUBSTITUTE(SUBSTITUTE(SUBSTITUTE(TRIM(N280),".",""),"/",""),"-","")," ",""),"(",""),")",""),"+",""))=11,MID(SUBSTITUTE(SUBSTITUTE(SUBSTITUTE(SUBSTITUTE(SUBSTITUTE(SUBSTITUTE(SUBSTITUTE(TRIM(N280),".",""),"/",""),"-","")," ",""),"(",""),")",""),"+",""),3,1)="9",LEFT(SUBSTITUTE(SUBSTITUTE(SUBSTITUTE(SUBSTITUTE(SUBSTITUTE(SUBSTITUTE(SUBSTITUTE(TRIM(N280),".",""),"/",""),"-","")," ",""),"(",""),")",""),"+",""),1)&lt;&gt;"0"),"OK",IF(LEN(SUBSTITUTE(SUBSTITUTE(SUBSTITUTE(SUBSTITUTE(SUBSTITUTE(SUBSTITUTE(SUBSTITUTE(TRIM(N280),".",""),"/",""),"-","")," ",""),"(",""),")",""),"+",""))=10,"ERRO: é fixo (ou falta o 9), use a coluna Telefone fixo","ERRO: DDD + 9 + 8 dígitos")))</f>
      </c>
      <c r="Y280" s="6">
        <f>IF(O280="","vazio",IF(AND(ISNUMBER(FIND("@",O280)),ISNUMBER(FIND(".",MID(O280,FIND("@",O280),99))),NOT(ISNUMBER(FIND(" ",TRIM(O280)))),NOT(ISNUMBER(FIND(";",O280))),NOT(ISNUMBER(FIND(",",O280)))),"OK","ERRO: um e-mail válido por linha"))</f>
      </c>
      <c r="Z280" s="6">
        <f>IF(AND(J280="",K280=""),"",IF(AND(J280&lt;&gt;"",K280&lt;&gt;""),"OK","pendente: só um nome (o GR completa ao converter)"))</f>
      </c>
      <c r="AA280" s="6">
        <f>IF(COUNTA(A280:S280)=0,"",IF(AND(A280&lt;&gt;"",B280&lt;&gt;"",C280&lt;&gt;"",D280&lt;&gt;"",E280&lt;&gt;"",F280&lt;&gt;"",G280&lt;&gt;"",H280&lt;&gt;"",OR(J280&lt;&gt;"",K280&lt;&gt;""),OR(M280&lt;&gt;"",N280&lt;&gt;"",O280&lt;&gt;"")),"OK","ERRO: faltam "&amp;IF(A280="","SDR; ","")&amp;IF(B280="","Proprietário; ","")&amp;IF(C280="","Origem; ","")&amp;IF(D280="","Temperatura; ","")&amp;IF(E280="","Segmento; ","")&amp;IF(F280="","Time/Cluster; ","")&amp;IF(G280="","CNPJ; ","")&amp;IF(H280="","Razão Social; ","")&amp;IF(AND(J280="",K280=""),"nome do contato; ","")&amp;IF(AND(M280="",N280="",O280=""),"telefone, celular ou e-mail; ","")))</f>
      </c>
      <c r="AB280" s="6">
        <f>IF(COUNTA(A280:S280)=0,"",IF(AND(U280="OK",V280="OK",LEFT(W280,4)&lt;&gt;"ERRO",LEFT(X280,4)&lt;&gt;"ERRO",LEFT(Y280,4)&lt;&gt;"ERRO",AA280="OK"),"OK","REVISAR"))</f>
      </c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5"/>
      <c r="K281" s="4"/>
      <c r="L281" s="4"/>
      <c r="M281" s="4"/>
      <c r="N281" s="4"/>
      <c r="O281" s="4"/>
      <c r="P281" s="4"/>
      <c r="Q281" s="4"/>
      <c r="R281" s="4"/>
      <c r="S281" s="4"/>
      <c r="T281" s="6">
        <f>IF(G281="","",SUBSTITUTE(SUBSTITUTE(SUBSTITUTE(SUBSTITUTE(SUBSTITUTE(SUBSTITUTE(SUBSTITUTE(TRIM(G281),".",""),"/",""),"-","")," ",""),"(",""),")",""),"+",""))</f>
      </c>
      <c r="U281" s="6">
        <f>IF(T281="","",IF(LEN(T281)&lt;&gt;14,"ERRO: "&amp;LEN(T281)&amp;" dígitos",IF(NOT(ISNUMBER(VALUE(T281))),"ERRO: não numérico",IF(LEN(SUBSTITUTE(T281,LEFT(T281,1),""))=0,"ERRO: dígitos repetidos",IF(AND(VALUE(MID(T281,13,1))=IF(MOD(SUMPRODUCT(--MID(T281,{1,2,3,4,5,6,7,8,9,10,11,12},1),{5,4,3,2,9,8,7,6,5,4,3,2}),11)&lt;2,0,11-MOD(SUMPRODUCT(--MID(T281,{1,2,3,4,5,6,7,8,9,10,11,12},1),{5,4,3,2,9,8,7,6,5,4,3,2}),11)),VALUE(MID(T281,14,1))=IF(MOD(SUMPRODUCT(--MID(T281,{1,2,3,4,5,6,7,8,9,10,11,12,13},1),{6,5,4,3,2,9,8,7,6,5,4,3,2}),11)&lt;2,0,11-MOD(SUMPRODUCT(--MID(T281,{1,2,3,4,5,6,7,8,9,10,11,12,13},1),{6,5,4,3,2,9,8,7,6,5,4,3,2}),11))),"OK","ERRO: dígito verificador")))))</f>
      </c>
      <c r="V281" s="6">
        <f>IF(T281="","",IF(COUNTIF($T$2:$T$1001,T281)&gt;1,"DUPLICADO","OK"))</f>
      </c>
      <c r="W281" s="6">
        <f>IF(M281="","vazio",IF(OR(AND(LEN(SUBSTITUTE(SUBSTITUTE(SUBSTITUTE(SUBSTITUTE(SUBSTITUTE(SUBSTITUTE(SUBSTITUTE(TRIM(M281),".",""),"/",""),"-","")," ",""),"(",""),")",""),"+",""))=10,LEFT(SUBSTITUTE(SUBSTITUTE(SUBSTITUTE(SUBSTITUTE(SUBSTITUTE(SUBSTITUTE(SUBSTITUTE(TRIM(M281),".",""),"/",""),"-","")," ",""),"(",""),")",""),"+",""),1)&lt;&gt;"0"),AND(LEN(SUBSTITUTE(SUBSTITUTE(SUBSTITUTE(SUBSTITUTE(SUBSTITUTE(SUBSTITUTE(SUBSTITUTE(TRIM(M281),".",""),"/",""),"-","")," ",""),"(",""),")",""),"+",""))=11,LEFT(SUBSTITUTE(SUBSTITUTE(SUBSTITUTE(SUBSTITUTE(SUBSTITUTE(SUBSTITUTE(SUBSTITUTE(TRIM(M281),".",""),"/",""),"-","")," ",""),"(",""),")",""),"+",""),4)="0800")),"OK",IF(AND(LEN(SUBSTITUTE(SUBSTITUTE(SUBSTITUTE(SUBSTITUTE(SUBSTITUTE(SUBSTITUTE(SUBSTITUTE(TRIM(M281),".",""),"/",""),"-","")," ",""),"(",""),")",""),"+",""))=11,MID(SUBSTITUTE(SUBSTITUTE(SUBSTITUTE(SUBSTITUTE(SUBSTITUTE(SUBSTITUTE(SUBSTITUTE(TRIM(M281),".",""),"/",""),"-","")," ",""),"(",""),")",""),"+",""),3,1)="9"),"ERRO: é celular, use a coluna Celular","ERRO: DDD + 8 dígitos ou 0800 + 7")))</f>
      </c>
      <c r="X281" s="6">
        <f>IF(N281="","vazio",IF(AND(LEN(SUBSTITUTE(SUBSTITUTE(SUBSTITUTE(SUBSTITUTE(SUBSTITUTE(SUBSTITUTE(SUBSTITUTE(TRIM(N281),".",""),"/",""),"-","")," ",""),"(",""),")",""),"+",""))=11,MID(SUBSTITUTE(SUBSTITUTE(SUBSTITUTE(SUBSTITUTE(SUBSTITUTE(SUBSTITUTE(SUBSTITUTE(TRIM(N281),".",""),"/",""),"-","")," ",""),"(",""),")",""),"+",""),3,1)="9",LEFT(SUBSTITUTE(SUBSTITUTE(SUBSTITUTE(SUBSTITUTE(SUBSTITUTE(SUBSTITUTE(SUBSTITUTE(TRIM(N281),".",""),"/",""),"-","")," ",""),"(",""),")",""),"+",""),1)&lt;&gt;"0"),"OK",IF(LEN(SUBSTITUTE(SUBSTITUTE(SUBSTITUTE(SUBSTITUTE(SUBSTITUTE(SUBSTITUTE(SUBSTITUTE(TRIM(N281),".",""),"/",""),"-","")," ",""),"(",""),")",""),"+",""))=10,"ERRO: é fixo (ou falta o 9), use a coluna Telefone fixo","ERRO: DDD + 9 + 8 dígitos")))</f>
      </c>
      <c r="Y281" s="6">
        <f>IF(O281="","vazio",IF(AND(ISNUMBER(FIND("@",O281)),ISNUMBER(FIND(".",MID(O281,FIND("@",O281),99))),NOT(ISNUMBER(FIND(" ",TRIM(O281)))),NOT(ISNUMBER(FIND(";",O281))),NOT(ISNUMBER(FIND(",",O281)))),"OK","ERRO: um e-mail válido por linha"))</f>
      </c>
      <c r="Z281" s="6">
        <f>IF(AND(J281="",K281=""),"",IF(AND(J281&lt;&gt;"",K281&lt;&gt;""),"OK","pendente: só um nome (o GR completa ao converter)"))</f>
      </c>
      <c r="AA281" s="6">
        <f>IF(COUNTA(A281:S281)=0,"",IF(AND(A281&lt;&gt;"",B281&lt;&gt;"",C281&lt;&gt;"",D281&lt;&gt;"",E281&lt;&gt;"",F281&lt;&gt;"",G281&lt;&gt;"",H281&lt;&gt;"",OR(J281&lt;&gt;"",K281&lt;&gt;""),OR(M281&lt;&gt;"",N281&lt;&gt;"",O281&lt;&gt;"")),"OK","ERRO: faltam "&amp;IF(A281="","SDR; ","")&amp;IF(B281="","Proprietário; ","")&amp;IF(C281="","Origem; ","")&amp;IF(D281="","Temperatura; ","")&amp;IF(E281="","Segmento; ","")&amp;IF(F281="","Time/Cluster; ","")&amp;IF(G281="","CNPJ; ","")&amp;IF(H281="","Razão Social; ","")&amp;IF(AND(J281="",K281=""),"nome do contato; ","")&amp;IF(AND(M281="",N281="",O281=""),"telefone, celular ou e-mail; ","")))</f>
      </c>
      <c r="AB281" s="6">
        <f>IF(COUNTA(A281:S281)=0,"",IF(AND(U281="OK",V281="OK",LEFT(W281,4)&lt;&gt;"ERRO",LEFT(X281,4)&lt;&gt;"ERRO",LEFT(Y281,4)&lt;&gt;"ERRO",AA281="OK"),"OK","REVISAR"))</f>
      </c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5"/>
      <c r="K282" s="4"/>
      <c r="L282" s="4"/>
      <c r="M282" s="4"/>
      <c r="N282" s="4"/>
      <c r="O282" s="4"/>
      <c r="P282" s="4"/>
      <c r="Q282" s="4"/>
      <c r="R282" s="4"/>
      <c r="S282" s="4"/>
      <c r="T282" s="6">
        <f>IF(G282="","",SUBSTITUTE(SUBSTITUTE(SUBSTITUTE(SUBSTITUTE(SUBSTITUTE(SUBSTITUTE(SUBSTITUTE(TRIM(G282),".",""),"/",""),"-","")," ",""),"(",""),")",""),"+",""))</f>
      </c>
      <c r="U282" s="6">
        <f>IF(T282="","",IF(LEN(T282)&lt;&gt;14,"ERRO: "&amp;LEN(T282)&amp;" dígitos",IF(NOT(ISNUMBER(VALUE(T282))),"ERRO: não numérico",IF(LEN(SUBSTITUTE(T282,LEFT(T282,1),""))=0,"ERRO: dígitos repetidos",IF(AND(VALUE(MID(T282,13,1))=IF(MOD(SUMPRODUCT(--MID(T282,{1,2,3,4,5,6,7,8,9,10,11,12},1),{5,4,3,2,9,8,7,6,5,4,3,2}),11)&lt;2,0,11-MOD(SUMPRODUCT(--MID(T282,{1,2,3,4,5,6,7,8,9,10,11,12},1),{5,4,3,2,9,8,7,6,5,4,3,2}),11)),VALUE(MID(T282,14,1))=IF(MOD(SUMPRODUCT(--MID(T282,{1,2,3,4,5,6,7,8,9,10,11,12,13},1),{6,5,4,3,2,9,8,7,6,5,4,3,2}),11)&lt;2,0,11-MOD(SUMPRODUCT(--MID(T282,{1,2,3,4,5,6,7,8,9,10,11,12,13},1),{6,5,4,3,2,9,8,7,6,5,4,3,2}),11))),"OK","ERRO: dígito verificador")))))</f>
      </c>
      <c r="V282" s="6">
        <f>IF(T282="","",IF(COUNTIF($T$2:$T$1001,T282)&gt;1,"DUPLICADO","OK"))</f>
      </c>
      <c r="W282" s="6">
        <f>IF(M282="","vazio",IF(OR(AND(LEN(SUBSTITUTE(SUBSTITUTE(SUBSTITUTE(SUBSTITUTE(SUBSTITUTE(SUBSTITUTE(SUBSTITUTE(TRIM(M282),".",""),"/",""),"-","")," ",""),"(",""),")",""),"+",""))=10,LEFT(SUBSTITUTE(SUBSTITUTE(SUBSTITUTE(SUBSTITUTE(SUBSTITUTE(SUBSTITUTE(SUBSTITUTE(TRIM(M282),".",""),"/",""),"-","")," ",""),"(",""),")",""),"+",""),1)&lt;&gt;"0"),AND(LEN(SUBSTITUTE(SUBSTITUTE(SUBSTITUTE(SUBSTITUTE(SUBSTITUTE(SUBSTITUTE(SUBSTITUTE(TRIM(M282),".",""),"/",""),"-","")," ",""),"(",""),")",""),"+",""))=11,LEFT(SUBSTITUTE(SUBSTITUTE(SUBSTITUTE(SUBSTITUTE(SUBSTITUTE(SUBSTITUTE(SUBSTITUTE(TRIM(M282),".",""),"/",""),"-","")," ",""),"(",""),")",""),"+",""),4)="0800")),"OK",IF(AND(LEN(SUBSTITUTE(SUBSTITUTE(SUBSTITUTE(SUBSTITUTE(SUBSTITUTE(SUBSTITUTE(SUBSTITUTE(TRIM(M282),".",""),"/",""),"-","")," ",""),"(",""),")",""),"+",""))=11,MID(SUBSTITUTE(SUBSTITUTE(SUBSTITUTE(SUBSTITUTE(SUBSTITUTE(SUBSTITUTE(SUBSTITUTE(TRIM(M282),".",""),"/",""),"-","")," ",""),"(",""),")",""),"+",""),3,1)="9"),"ERRO: é celular, use a coluna Celular","ERRO: DDD + 8 dígitos ou 0800 + 7")))</f>
      </c>
      <c r="X282" s="6">
        <f>IF(N282="","vazio",IF(AND(LEN(SUBSTITUTE(SUBSTITUTE(SUBSTITUTE(SUBSTITUTE(SUBSTITUTE(SUBSTITUTE(SUBSTITUTE(TRIM(N282),".",""),"/",""),"-","")," ",""),"(",""),")",""),"+",""))=11,MID(SUBSTITUTE(SUBSTITUTE(SUBSTITUTE(SUBSTITUTE(SUBSTITUTE(SUBSTITUTE(SUBSTITUTE(TRIM(N282),".",""),"/",""),"-","")," ",""),"(",""),")",""),"+",""),3,1)="9",LEFT(SUBSTITUTE(SUBSTITUTE(SUBSTITUTE(SUBSTITUTE(SUBSTITUTE(SUBSTITUTE(SUBSTITUTE(TRIM(N282),".",""),"/",""),"-","")," ",""),"(",""),")",""),"+",""),1)&lt;&gt;"0"),"OK",IF(LEN(SUBSTITUTE(SUBSTITUTE(SUBSTITUTE(SUBSTITUTE(SUBSTITUTE(SUBSTITUTE(SUBSTITUTE(TRIM(N282),".",""),"/",""),"-","")," ",""),"(",""),")",""),"+",""))=10,"ERRO: é fixo (ou falta o 9), use a coluna Telefone fixo","ERRO: DDD + 9 + 8 dígitos")))</f>
      </c>
      <c r="Y282" s="6">
        <f>IF(O282="","vazio",IF(AND(ISNUMBER(FIND("@",O282)),ISNUMBER(FIND(".",MID(O282,FIND("@",O282),99))),NOT(ISNUMBER(FIND(" ",TRIM(O282)))),NOT(ISNUMBER(FIND(";",O282))),NOT(ISNUMBER(FIND(",",O282)))),"OK","ERRO: um e-mail válido por linha"))</f>
      </c>
      <c r="Z282" s="6">
        <f>IF(AND(J282="",K282=""),"",IF(AND(J282&lt;&gt;"",K282&lt;&gt;""),"OK","pendente: só um nome (o GR completa ao converter)"))</f>
      </c>
      <c r="AA282" s="6">
        <f>IF(COUNTA(A282:S282)=0,"",IF(AND(A282&lt;&gt;"",B282&lt;&gt;"",C282&lt;&gt;"",D282&lt;&gt;"",E282&lt;&gt;"",F282&lt;&gt;"",G282&lt;&gt;"",H282&lt;&gt;"",OR(J282&lt;&gt;"",K282&lt;&gt;""),OR(M282&lt;&gt;"",N282&lt;&gt;"",O282&lt;&gt;"")),"OK","ERRO: faltam "&amp;IF(A282="","SDR; ","")&amp;IF(B282="","Proprietário; ","")&amp;IF(C282="","Origem; ","")&amp;IF(D282="","Temperatura; ","")&amp;IF(E282="","Segmento; ","")&amp;IF(F282="","Time/Cluster; ","")&amp;IF(G282="","CNPJ; ","")&amp;IF(H282="","Razão Social; ","")&amp;IF(AND(J282="",K282=""),"nome do contato; ","")&amp;IF(AND(M282="",N282="",O282=""),"telefone, celular ou e-mail; ","")))</f>
      </c>
      <c r="AB282" s="6">
        <f>IF(COUNTA(A282:S282)=0,"",IF(AND(U282="OK",V282="OK",LEFT(W282,4)&lt;&gt;"ERRO",LEFT(X282,4)&lt;&gt;"ERRO",LEFT(Y282,4)&lt;&gt;"ERRO",AA282="OK"),"OK","REVISAR"))</f>
      </c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5"/>
      <c r="K283" s="4"/>
      <c r="L283" s="4"/>
      <c r="M283" s="4"/>
      <c r="N283" s="4"/>
      <c r="O283" s="4"/>
      <c r="P283" s="4"/>
      <c r="Q283" s="4"/>
      <c r="R283" s="4"/>
      <c r="S283" s="4"/>
      <c r="T283" s="6">
        <f>IF(G283="","",SUBSTITUTE(SUBSTITUTE(SUBSTITUTE(SUBSTITUTE(SUBSTITUTE(SUBSTITUTE(SUBSTITUTE(TRIM(G283),".",""),"/",""),"-","")," ",""),"(",""),")",""),"+",""))</f>
      </c>
      <c r="U283" s="6">
        <f>IF(T283="","",IF(LEN(T283)&lt;&gt;14,"ERRO: "&amp;LEN(T283)&amp;" dígitos",IF(NOT(ISNUMBER(VALUE(T283))),"ERRO: não numérico",IF(LEN(SUBSTITUTE(T283,LEFT(T283,1),""))=0,"ERRO: dígitos repetidos",IF(AND(VALUE(MID(T283,13,1))=IF(MOD(SUMPRODUCT(--MID(T283,{1,2,3,4,5,6,7,8,9,10,11,12},1),{5,4,3,2,9,8,7,6,5,4,3,2}),11)&lt;2,0,11-MOD(SUMPRODUCT(--MID(T283,{1,2,3,4,5,6,7,8,9,10,11,12},1),{5,4,3,2,9,8,7,6,5,4,3,2}),11)),VALUE(MID(T283,14,1))=IF(MOD(SUMPRODUCT(--MID(T283,{1,2,3,4,5,6,7,8,9,10,11,12,13},1),{6,5,4,3,2,9,8,7,6,5,4,3,2}),11)&lt;2,0,11-MOD(SUMPRODUCT(--MID(T283,{1,2,3,4,5,6,7,8,9,10,11,12,13},1),{6,5,4,3,2,9,8,7,6,5,4,3,2}),11))),"OK","ERRO: dígito verificador")))))</f>
      </c>
      <c r="V283" s="6">
        <f>IF(T283="","",IF(COUNTIF($T$2:$T$1001,T283)&gt;1,"DUPLICADO","OK"))</f>
      </c>
      <c r="W283" s="6">
        <f>IF(M283="","vazio",IF(OR(AND(LEN(SUBSTITUTE(SUBSTITUTE(SUBSTITUTE(SUBSTITUTE(SUBSTITUTE(SUBSTITUTE(SUBSTITUTE(TRIM(M283),".",""),"/",""),"-","")," ",""),"(",""),")",""),"+",""))=10,LEFT(SUBSTITUTE(SUBSTITUTE(SUBSTITUTE(SUBSTITUTE(SUBSTITUTE(SUBSTITUTE(SUBSTITUTE(TRIM(M283),".",""),"/",""),"-","")," ",""),"(",""),")",""),"+",""),1)&lt;&gt;"0"),AND(LEN(SUBSTITUTE(SUBSTITUTE(SUBSTITUTE(SUBSTITUTE(SUBSTITUTE(SUBSTITUTE(SUBSTITUTE(TRIM(M283),".",""),"/",""),"-","")," ",""),"(",""),")",""),"+",""))=11,LEFT(SUBSTITUTE(SUBSTITUTE(SUBSTITUTE(SUBSTITUTE(SUBSTITUTE(SUBSTITUTE(SUBSTITUTE(TRIM(M283),".",""),"/",""),"-","")," ",""),"(",""),")",""),"+",""),4)="0800")),"OK",IF(AND(LEN(SUBSTITUTE(SUBSTITUTE(SUBSTITUTE(SUBSTITUTE(SUBSTITUTE(SUBSTITUTE(SUBSTITUTE(TRIM(M283),".",""),"/",""),"-","")," ",""),"(",""),")",""),"+",""))=11,MID(SUBSTITUTE(SUBSTITUTE(SUBSTITUTE(SUBSTITUTE(SUBSTITUTE(SUBSTITUTE(SUBSTITUTE(TRIM(M283),".",""),"/",""),"-","")," ",""),"(",""),")",""),"+",""),3,1)="9"),"ERRO: é celular, use a coluna Celular","ERRO: DDD + 8 dígitos ou 0800 + 7")))</f>
      </c>
      <c r="X283" s="6">
        <f>IF(N283="","vazio",IF(AND(LEN(SUBSTITUTE(SUBSTITUTE(SUBSTITUTE(SUBSTITUTE(SUBSTITUTE(SUBSTITUTE(SUBSTITUTE(TRIM(N283),".",""),"/",""),"-","")," ",""),"(",""),")",""),"+",""))=11,MID(SUBSTITUTE(SUBSTITUTE(SUBSTITUTE(SUBSTITUTE(SUBSTITUTE(SUBSTITUTE(SUBSTITUTE(TRIM(N283),".",""),"/",""),"-","")," ",""),"(",""),")",""),"+",""),3,1)="9",LEFT(SUBSTITUTE(SUBSTITUTE(SUBSTITUTE(SUBSTITUTE(SUBSTITUTE(SUBSTITUTE(SUBSTITUTE(TRIM(N283),".",""),"/",""),"-","")," ",""),"(",""),")",""),"+",""),1)&lt;&gt;"0"),"OK",IF(LEN(SUBSTITUTE(SUBSTITUTE(SUBSTITUTE(SUBSTITUTE(SUBSTITUTE(SUBSTITUTE(SUBSTITUTE(TRIM(N283),".",""),"/",""),"-","")," ",""),"(",""),")",""),"+",""))=10,"ERRO: é fixo (ou falta o 9), use a coluna Telefone fixo","ERRO: DDD + 9 + 8 dígitos")))</f>
      </c>
      <c r="Y283" s="6">
        <f>IF(O283="","vazio",IF(AND(ISNUMBER(FIND("@",O283)),ISNUMBER(FIND(".",MID(O283,FIND("@",O283),99))),NOT(ISNUMBER(FIND(" ",TRIM(O283)))),NOT(ISNUMBER(FIND(";",O283))),NOT(ISNUMBER(FIND(",",O283)))),"OK","ERRO: um e-mail válido por linha"))</f>
      </c>
      <c r="Z283" s="6">
        <f>IF(AND(J283="",K283=""),"",IF(AND(J283&lt;&gt;"",K283&lt;&gt;""),"OK","pendente: só um nome (o GR completa ao converter)"))</f>
      </c>
      <c r="AA283" s="6">
        <f>IF(COUNTA(A283:S283)=0,"",IF(AND(A283&lt;&gt;"",B283&lt;&gt;"",C283&lt;&gt;"",D283&lt;&gt;"",E283&lt;&gt;"",F283&lt;&gt;"",G283&lt;&gt;"",H283&lt;&gt;"",OR(J283&lt;&gt;"",K283&lt;&gt;""),OR(M283&lt;&gt;"",N283&lt;&gt;"",O283&lt;&gt;"")),"OK","ERRO: faltam "&amp;IF(A283="","SDR; ","")&amp;IF(B283="","Proprietário; ","")&amp;IF(C283="","Origem; ","")&amp;IF(D283="","Temperatura; ","")&amp;IF(E283="","Segmento; ","")&amp;IF(F283="","Time/Cluster; ","")&amp;IF(G283="","CNPJ; ","")&amp;IF(H283="","Razão Social; ","")&amp;IF(AND(J283="",K283=""),"nome do contato; ","")&amp;IF(AND(M283="",N283="",O283=""),"telefone, celular ou e-mail; ","")))</f>
      </c>
      <c r="AB283" s="6">
        <f>IF(COUNTA(A283:S283)=0,"",IF(AND(U283="OK",V283="OK",LEFT(W283,4)&lt;&gt;"ERRO",LEFT(X283,4)&lt;&gt;"ERRO",LEFT(Y283,4)&lt;&gt;"ERRO",AA283="OK"),"OK","REVISAR"))</f>
      </c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5"/>
      <c r="K284" s="4"/>
      <c r="L284" s="4"/>
      <c r="M284" s="4"/>
      <c r="N284" s="4"/>
      <c r="O284" s="4"/>
      <c r="P284" s="4"/>
      <c r="Q284" s="4"/>
      <c r="R284" s="4"/>
      <c r="S284" s="4"/>
      <c r="T284" s="6">
        <f>IF(G284="","",SUBSTITUTE(SUBSTITUTE(SUBSTITUTE(SUBSTITUTE(SUBSTITUTE(SUBSTITUTE(SUBSTITUTE(TRIM(G284),".",""),"/",""),"-","")," ",""),"(",""),")",""),"+",""))</f>
      </c>
      <c r="U284" s="6">
        <f>IF(T284="","",IF(LEN(T284)&lt;&gt;14,"ERRO: "&amp;LEN(T284)&amp;" dígitos",IF(NOT(ISNUMBER(VALUE(T284))),"ERRO: não numérico",IF(LEN(SUBSTITUTE(T284,LEFT(T284,1),""))=0,"ERRO: dígitos repetidos",IF(AND(VALUE(MID(T284,13,1))=IF(MOD(SUMPRODUCT(--MID(T284,{1,2,3,4,5,6,7,8,9,10,11,12},1),{5,4,3,2,9,8,7,6,5,4,3,2}),11)&lt;2,0,11-MOD(SUMPRODUCT(--MID(T284,{1,2,3,4,5,6,7,8,9,10,11,12},1),{5,4,3,2,9,8,7,6,5,4,3,2}),11)),VALUE(MID(T284,14,1))=IF(MOD(SUMPRODUCT(--MID(T284,{1,2,3,4,5,6,7,8,9,10,11,12,13},1),{6,5,4,3,2,9,8,7,6,5,4,3,2}),11)&lt;2,0,11-MOD(SUMPRODUCT(--MID(T284,{1,2,3,4,5,6,7,8,9,10,11,12,13},1),{6,5,4,3,2,9,8,7,6,5,4,3,2}),11))),"OK","ERRO: dígito verificador")))))</f>
      </c>
      <c r="V284" s="6">
        <f>IF(T284="","",IF(COUNTIF($T$2:$T$1001,T284)&gt;1,"DUPLICADO","OK"))</f>
      </c>
      <c r="W284" s="6">
        <f>IF(M284="","vazio",IF(OR(AND(LEN(SUBSTITUTE(SUBSTITUTE(SUBSTITUTE(SUBSTITUTE(SUBSTITUTE(SUBSTITUTE(SUBSTITUTE(TRIM(M284),".",""),"/",""),"-","")," ",""),"(",""),")",""),"+",""))=10,LEFT(SUBSTITUTE(SUBSTITUTE(SUBSTITUTE(SUBSTITUTE(SUBSTITUTE(SUBSTITUTE(SUBSTITUTE(TRIM(M284),".",""),"/",""),"-","")," ",""),"(",""),")",""),"+",""),1)&lt;&gt;"0"),AND(LEN(SUBSTITUTE(SUBSTITUTE(SUBSTITUTE(SUBSTITUTE(SUBSTITUTE(SUBSTITUTE(SUBSTITUTE(TRIM(M284),".",""),"/",""),"-","")," ",""),"(",""),")",""),"+",""))=11,LEFT(SUBSTITUTE(SUBSTITUTE(SUBSTITUTE(SUBSTITUTE(SUBSTITUTE(SUBSTITUTE(SUBSTITUTE(TRIM(M284),".",""),"/",""),"-","")," ",""),"(",""),")",""),"+",""),4)="0800")),"OK",IF(AND(LEN(SUBSTITUTE(SUBSTITUTE(SUBSTITUTE(SUBSTITUTE(SUBSTITUTE(SUBSTITUTE(SUBSTITUTE(TRIM(M284),".",""),"/",""),"-","")," ",""),"(",""),")",""),"+",""))=11,MID(SUBSTITUTE(SUBSTITUTE(SUBSTITUTE(SUBSTITUTE(SUBSTITUTE(SUBSTITUTE(SUBSTITUTE(TRIM(M284),".",""),"/",""),"-","")," ",""),"(",""),")",""),"+",""),3,1)="9"),"ERRO: é celular, use a coluna Celular","ERRO: DDD + 8 dígitos ou 0800 + 7")))</f>
      </c>
      <c r="X284" s="6">
        <f>IF(N284="","vazio",IF(AND(LEN(SUBSTITUTE(SUBSTITUTE(SUBSTITUTE(SUBSTITUTE(SUBSTITUTE(SUBSTITUTE(SUBSTITUTE(TRIM(N284),".",""),"/",""),"-","")," ",""),"(",""),")",""),"+",""))=11,MID(SUBSTITUTE(SUBSTITUTE(SUBSTITUTE(SUBSTITUTE(SUBSTITUTE(SUBSTITUTE(SUBSTITUTE(TRIM(N284),".",""),"/",""),"-","")," ",""),"(",""),")",""),"+",""),3,1)="9",LEFT(SUBSTITUTE(SUBSTITUTE(SUBSTITUTE(SUBSTITUTE(SUBSTITUTE(SUBSTITUTE(SUBSTITUTE(TRIM(N284),".",""),"/",""),"-","")," ",""),"(",""),")",""),"+",""),1)&lt;&gt;"0"),"OK",IF(LEN(SUBSTITUTE(SUBSTITUTE(SUBSTITUTE(SUBSTITUTE(SUBSTITUTE(SUBSTITUTE(SUBSTITUTE(TRIM(N284),".",""),"/",""),"-","")," ",""),"(",""),")",""),"+",""))=10,"ERRO: é fixo (ou falta o 9), use a coluna Telefone fixo","ERRO: DDD + 9 + 8 dígitos")))</f>
      </c>
      <c r="Y284" s="6">
        <f>IF(O284="","vazio",IF(AND(ISNUMBER(FIND("@",O284)),ISNUMBER(FIND(".",MID(O284,FIND("@",O284),99))),NOT(ISNUMBER(FIND(" ",TRIM(O284)))),NOT(ISNUMBER(FIND(";",O284))),NOT(ISNUMBER(FIND(",",O284)))),"OK","ERRO: um e-mail válido por linha"))</f>
      </c>
      <c r="Z284" s="6">
        <f>IF(AND(J284="",K284=""),"",IF(AND(J284&lt;&gt;"",K284&lt;&gt;""),"OK","pendente: só um nome (o GR completa ao converter)"))</f>
      </c>
      <c r="AA284" s="6">
        <f>IF(COUNTA(A284:S284)=0,"",IF(AND(A284&lt;&gt;"",B284&lt;&gt;"",C284&lt;&gt;"",D284&lt;&gt;"",E284&lt;&gt;"",F284&lt;&gt;"",G284&lt;&gt;"",H284&lt;&gt;"",OR(J284&lt;&gt;"",K284&lt;&gt;""),OR(M284&lt;&gt;"",N284&lt;&gt;"",O284&lt;&gt;"")),"OK","ERRO: faltam "&amp;IF(A284="","SDR; ","")&amp;IF(B284="","Proprietário; ","")&amp;IF(C284="","Origem; ","")&amp;IF(D284="","Temperatura; ","")&amp;IF(E284="","Segmento; ","")&amp;IF(F284="","Time/Cluster; ","")&amp;IF(G284="","CNPJ; ","")&amp;IF(H284="","Razão Social; ","")&amp;IF(AND(J284="",K284=""),"nome do contato; ","")&amp;IF(AND(M284="",N284="",O284=""),"telefone, celular ou e-mail; ","")))</f>
      </c>
      <c r="AB284" s="6">
        <f>IF(COUNTA(A284:S284)=0,"",IF(AND(U284="OK",V284="OK",LEFT(W284,4)&lt;&gt;"ERRO",LEFT(X284,4)&lt;&gt;"ERRO",LEFT(Y284,4)&lt;&gt;"ERRO",AA284="OK"),"OK","REVISAR"))</f>
      </c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5"/>
      <c r="K285" s="4"/>
      <c r="L285" s="4"/>
      <c r="M285" s="4"/>
      <c r="N285" s="4"/>
      <c r="O285" s="4"/>
      <c r="P285" s="4"/>
      <c r="Q285" s="4"/>
      <c r="R285" s="4"/>
      <c r="S285" s="4"/>
      <c r="T285" s="6">
        <f>IF(G285="","",SUBSTITUTE(SUBSTITUTE(SUBSTITUTE(SUBSTITUTE(SUBSTITUTE(SUBSTITUTE(SUBSTITUTE(TRIM(G285),".",""),"/",""),"-","")," ",""),"(",""),")",""),"+",""))</f>
      </c>
      <c r="U285" s="6">
        <f>IF(T285="","",IF(LEN(T285)&lt;&gt;14,"ERRO: "&amp;LEN(T285)&amp;" dígitos",IF(NOT(ISNUMBER(VALUE(T285))),"ERRO: não numérico",IF(LEN(SUBSTITUTE(T285,LEFT(T285,1),""))=0,"ERRO: dígitos repetidos",IF(AND(VALUE(MID(T285,13,1))=IF(MOD(SUMPRODUCT(--MID(T285,{1,2,3,4,5,6,7,8,9,10,11,12},1),{5,4,3,2,9,8,7,6,5,4,3,2}),11)&lt;2,0,11-MOD(SUMPRODUCT(--MID(T285,{1,2,3,4,5,6,7,8,9,10,11,12},1),{5,4,3,2,9,8,7,6,5,4,3,2}),11)),VALUE(MID(T285,14,1))=IF(MOD(SUMPRODUCT(--MID(T285,{1,2,3,4,5,6,7,8,9,10,11,12,13},1),{6,5,4,3,2,9,8,7,6,5,4,3,2}),11)&lt;2,0,11-MOD(SUMPRODUCT(--MID(T285,{1,2,3,4,5,6,7,8,9,10,11,12,13},1),{6,5,4,3,2,9,8,7,6,5,4,3,2}),11))),"OK","ERRO: dígito verificador")))))</f>
      </c>
      <c r="V285" s="6">
        <f>IF(T285="","",IF(COUNTIF($T$2:$T$1001,T285)&gt;1,"DUPLICADO","OK"))</f>
      </c>
      <c r="W285" s="6">
        <f>IF(M285="","vazio",IF(OR(AND(LEN(SUBSTITUTE(SUBSTITUTE(SUBSTITUTE(SUBSTITUTE(SUBSTITUTE(SUBSTITUTE(SUBSTITUTE(TRIM(M285),".",""),"/",""),"-","")," ",""),"(",""),")",""),"+",""))=10,LEFT(SUBSTITUTE(SUBSTITUTE(SUBSTITUTE(SUBSTITUTE(SUBSTITUTE(SUBSTITUTE(SUBSTITUTE(TRIM(M285),".",""),"/",""),"-","")," ",""),"(",""),")",""),"+",""),1)&lt;&gt;"0"),AND(LEN(SUBSTITUTE(SUBSTITUTE(SUBSTITUTE(SUBSTITUTE(SUBSTITUTE(SUBSTITUTE(SUBSTITUTE(TRIM(M285),".",""),"/",""),"-","")," ",""),"(",""),")",""),"+",""))=11,LEFT(SUBSTITUTE(SUBSTITUTE(SUBSTITUTE(SUBSTITUTE(SUBSTITUTE(SUBSTITUTE(SUBSTITUTE(TRIM(M285),".",""),"/",""),"-","")," ",""),"(",""),")",""),"+",""),4)="0800")),"OK",IF(AND(LEN(SUBSTITUTE(SUBSTITUTE(SUBSTITUTE(SUBSTITUTE(SUBSTITUTE(SUBSTITUTE(SUBSTITUTE(TRIM(M285),".",""),"/",""),"-","")," ",""),"(",""),")",""),"+",""))=11,MID(SUBSTITUTE(SUBSTITUTE(SUBSTITUTE(SUBSTITUTE(SUBSTITUTE(SUBSTITUTE(SUBSTITUTE(TRIM(M285),".",""),"/",""),"-","")," ",""),"(",""),")",""),"+",""),3,1)="9"),"ERRO: é celular, use a coluna Celular","ERRO: DDD + 8 dígitos ou 0800 + 7")))</f>
      </c>
      <c r="X285" s="6">
        <f>IF(N285="","vazio",IF(AND(LEN(SUBSTITUTE(SUBSTITUTE(SUBSTITUTE(SUBSTITUTE(SUBSTITUTE(SUBSTITUTE(SUBSTITUTE(TRIM(N285),".",""),"/",""),"-","")," ",""),"(",""),")",""),"+",""))=11,MID(SUBSTITUTE(SUBSTITUTE(SUBSTITUTE(SUBSTITUTE(SUBSTITUTE(SUBSTITUTE(SUBSTITUTE(TRIM(N285),".",""),"/",""),"-","")," ",""),"(",""),")",""),"+",""),3,1)="9",LEFT(SUBSTITUTE(SUBSTITUTE(SUBSTITUTE(SUBSTITUTE(SUBSTITUTE(SUBSTITUTE(SUBSTITUTE(TRIM(N285),".",""),"/",""),"-","")," ",""),"(",""),")",""),"+",""),1)&lt;&gt;"0"),"OK",IF(LEN(SUBSTITUTE(SUBSTITUTE(SUBSTITUTE(SUBSTITUTE(SUBSTITUTE(SUBSTITUTE(SUBSTITUTE(TRIM(N285),".",""),"/",""),"-","")," ",""),"(",""),")",""),"+",""))=10,"ERRO: é fixo (ou falta o 9), use a coluna Telefone fixo","ERRO: DDD + 9 + 8 dígitos")))</f>
      </c>
      <c r="Y285" s="6">
        <f>IF(O285="","vazio",IF(AND(ISNUMBER(FIND("@",O285)),ISNUMBER(FIND(".",MID(O285,FIND("@",O285),99))),NOT(ISNUMBER(FIND(" ",TRIM(O285)))),NOT(ISNUMBER(FIND(";",O285))),NOT(ISNUMBER(FIND(",",O285)))),"OK","ERRO: um e-mail válido por linha"))</f>
      </c>
      <c r="Z285" s="6">
        <f>IF(AND(J285="",K285=""),"",IF(AND(J285&lt;&gt;"",K285&lt;&gt;""),"OK","pendente: só um nome (o GR completa ao converter)"))</f>
      </c>
      <c r="AA285" s="6">
        <f>IF(COUNTA(A285:S285)=0,"",IF(AND(A285&lt;&gt;"",B285&lt;&gt;"",C285&lt;&gt;"",D285&lt;&gt;"",E285&lt;&gt;"",F285&lt;&gt;"",G285&lt;&gt;"",H285&lt;&gt;"",OR(J285&lt;&gt;"",K285&lt;&gt;""),OR(M285&lt;&gt;"",N285&lt;&gt;"",O285&lt;&gt;"")),"OK","ERRO: faltam "&amp;IF(A285="","SDR; ","")&amp;IF(B285="","Proprietário; ","")&amp;IF(C285="","Origem; ","")&amp;IF(D285="","Temperatura; ","")&amp;IF(E285="","Segmento; ","")&amp;IF(F285="","Time/Cluster; ","")&amp;IF(G285="","CNPJ; ","")&amp;IF(H285="","Razão Social; ","")&amp;IF(AND(J285="",K285=""),"nome do contato; ","")&amp;IF(AND(M285="",N285="",O285=""),"telefone, celular ou e-mail; ","")))</f>
      </c>
      <c r="AB285" s="6">
        <f>IF(COUNTA(A285:S285)=0,"",IF(AND(U285="OK",V285="OK",LEFT(W285,4)&lt;&gt;"ERRO",LEFT(X285,4)&lt;&gt;"ERRO",LEFT(Y285,4)&lt;&gt;"ERRO",AA285="OK"),"OK","REVISAR"))</f>
      </c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5"/>
      <c r="K286" s="4"/>
      <c r="L286" s="4"/>
      <c r="M286" s="4"/>
      <c r="N286" s="4"/>
      <c r="O286" s="4"/>
      <c r="P286" s="4"/>
      <c r="Q286" s="4"/>
      <c r="R286" s="4"/>
      <c r="S286" s="4"/>
      <c r="T286" s="6">
        <f>IF(G286="","",SUBSTITUTE(SUBSTITUTE(SUBSTITUTE(SUBSTITUTE(SUBSTITUTE(SUBSTITUTE(SUBSTITUTE(TRIM(G286),".",""),"/",""),"-","")," ",""),"(",""),")",""),"+",""))</f>
      </c>
      <c r="U286" s="6">
        <f>IF(T286="","",IF(LEN(T286)&lt;&gt;14,"ERRO: "&amp;LEN(T286)&amp;" dígitos",IF(NOT(ISNUMBER(VALUE(T286))),"ERRO: não numérico",IF(LEN(SUBSTITUTE(T286,LEFT(T286,1),""))=0,"ERRO: dígitos repetidos",IF(AND(VALUE(MID(T286,13,1))=IF(MOD(SUMPRODUCT(--MID(T286,{1,2,3,4,5,6,7,8,9,10,11,12},1),{5,4,3,2,9,8,7,6,5,4,3,2}),11)&lt;2,0,11-MOD(SUMPRODUCT(--MID(T286,{1,2,3,4,5,6,7,8,9,10,11,12},1),{5,4,3,2,9,8,7,6,5,4,3,2}),11)),VALUE(MID(T286,14,1))=IF(MOD(SUMPRODUCT(--MID(T286,{1,2,3,4,5,6,7,8,9,10,11,12,13},1),{6,5,4,3,2,9,8,7,6,5,4,3,2}),11)&lt;2,0,11-MOD(SUMPRODUCT(--MID(T286,{1,2,3,4,5,6,7,8,9,10,11,12,13},1),{6,5,4,3,2,9,8,7,6,5,4,3,2}),11))),"OK","ERRO: dígito verificador")))))</f>
      </c>
      <c r="V286" s="6">
        <f>IF(T286="","",IF(COUNTIF($T$2:$T$1001,T286)&gt;1,"DUPLICADO","OK"))</f>
      </c>
      <c r="W286" s="6">
        <f>IF(M286="","vazio",IF(OR(AND(LEN(SUBSTITUTE(SUBSTITUTE(SUBSTITUTE(SUBSTITUTE(SUBSTITUTE(SUBSTITUTE(SUBSTITUTE(TRIM(M286),".",""),"/",""),"-","")," ",""),"(",""),")",""),"+",""))=10,LEFT(SUBSTITUTE(SUBSTITUTE(SUBSTITUTE(SUBSTITUTE(SUBSTITUTE(SUBSTITUTE(SUBSTITUTE(TRIM(M286),".",""),"/",""),"-","")," ",""),"(",""),")",""),"+",""),1)&lt;&gt;"0"),AND(LEN(SUBSTITUTE(SUBSTITUTE(SUBSTITUTE(SUBSTITUTE(SUBSTITUTE(SUBSTITUTE(SUBSTITUTE(TRIM(M286),".",""),"/",""),"-","")," ",""),"(",""),")",""),"+",""))=11,LEFT(SUBSTITUTE(SUBSTITUTE(SUBSTITUTE(SUBSTITUTE(SUBSTITUTE(SUBSTITUTE(SUBSTITUTE(TRIM(M286),".",""),"/",""),"-","")," ",""),"(",""),")",""),"+",""),4)="0800")),"OK",IF(AND(LEN(SUBSTITUTE(SUBSTITUTE(SUBSTITUTE(SUBSTITUTE(SUBSTITUTE(SUBSTITUTE(SUBSTITUTE(TRIM(M286),".",""),"/",""),"-","")," ",""),"(",""),")",""),"+",""))=11,MID(SUBSTITUTE(SUBSTITUTE(SUBSTITUTE(SUBSTITUTE(SUBSTITUTE(SUBSTITUTE(SUBSTITUTE(TRIM(M286),".",""),"/",""),"-","")," ",""),"(",""),")",""),"+",""),3,1)="9"),"ERRO: é celular, use a coluna Celular","ERRO: DDD + 8 dígitos ou 0800 + 7")))</f>
      </c>
      <c r="X286" s="6">
        <f>IF(N286="","vazio",IF(AND(LEN(SUBSTITUTE(SUBSTITUTE(SUBSTITUTE(SUBSTITUTE(SUBSTITUTE(SUBSTITUTE(SUBSTITUTE(TRIM(N286),".",""),"/",""),"-","")," ",""),"(",""),")",""),"+",""))=11,MID(SUBSTITUTE(SUBSTITUTE(SUBSTITUTE(SUBSTITUTE(SUBSTITUTE(SUBSTITUTE(SUBSTITUTE(TRIM(N286),".",""),"/",""),"-","")," ",""),"(",""),")",""),"+",""),3,1)="9",LEFT(SUBSTITUTE(SUBSTITUTE(SUBSTITUTE(SUBSTITUTE(SUBSTITUTE(SUBSTITUTE(SUBSTITUTE(TRIM(N286),".",""),"/",""),"-","")," ",""),"(",""),")",""),"+",""),1)&lt;&gt;"0"),"OK",IF(LEN(SUBSTITUTE(SUBSTITUTE(SUBSTITUTE(SUBSTITUTE(SUBSTITUTE(SUBSTITUTE(SUBSTITUTE(TRIM(N286),".",""),"/",""),"-","")," ",""),"(",""),")",""),"+",""))=10,"ERRO: é fixo (ou falta o 9), use a coluna Telefone fixo","ERRO: DDD + 9 + 8 dígitos")))</f>
      </c>
      <c r="Y286" s="6">
        <f>IF(O286="","vazio",IF(AND(ISNUMBER(FIND("@",O286)),ISNUMBER(FIND(".",MID(O286,FIND("@",O286),99))),NOT(ISNUMBER(FIND(" ",TRIM(O286)))),NOT(ISNUMBER(FIND(";",O286))),NOT(ISNUMBER(FIND(",",O286)))),"OK","ERRO: um e-mail válido por linha"))</f>
      </c>
      <c r="Z286" s="6">
        <f>IF(AND(J286="",K286=""),"",IF(AND(J286&lt;&gt;"",K286&lt;&gt;""),"OK","pendente: só um nome (o GR completa ao converter)"))</f>
      </c>
      <c r="AA286" s="6">
        <f>IF(COUNTA(A286:S286)=0,"",IF(AND(A286&lt;&gt;"",B286&lt;&gt;"",C286&lt;&gt;"",D286&lt;&gt;"",E286&lt;&gt;"",F286&lt;&gt;"",G286&lt;&gt;"",H286&lt;&gt;"",OR(J286&lt;&gt;"",K286&lt;&gt;""),OR(M286&lt;&gt;"",N286&lt;&gt;"",O286&lt;&gt;"")),"OK","ERRO: faltam "&amp;IF(A286="","SDR; ","")&amp;IF(B286="","Proprietário; ","")&amp;IF(C286="","Origem; ","")&amp;IF(D286="","Temperatura; ","")&amp;IF(E286="","Segmento; ","")&amp;IF(F286="","Time/Cluster; ","")&amp;IF(G286="","CNPJ; ","")&amp;IF(H286="","Razão Social; ","")&amp;IF(AND(J286="",K286=""),"nome do contato; ","")&amp;IF(AND(M286="",N286="",O286=""),"telefone, celular ou e-mail; ","")))</f>
      </c>
      <c r="AB286" s="6">
        <f>IF(COUNTA(A286:S286)=0,"",IF(AND(U286="OK",V286="OK",LEFT(W286,4)&lt;&gt;"ERRO",LEFT(X286,4)&lt;&gt;"ERRO",LEFT(Y286,4)&lt;&gt;"ERRO",AA286="OK"),"OK","REVISAR"))</f>
      </c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5"/>
      <c r="K287" s="4"/>
      <c r="L287" s="4"/>
      <c r="M287" s="4"/>
      <c r="N287" s="4"/>
      <c r="O287" s="4"/>
      <c r="P287" s="4"/>
      <c r="Q287" s="4"/>
      <c r="R287" s="4"/>
      <c r="S287" s="4"/>
      <c r="T287" s="6">
        <f>IF(G287="","",SUBSTITUTE(SUBSTITUTE(SUBSTITUTE(SUBSTITUTE(SUBSTITUTE(SUBSTITUTE(SUBSTITUTE(TRIM(G287),".",""),"/",""),"-","")," ",""),"(",""),")",""),"+",""))</f>
      </c>
      <c r="U287" s="6">
        <f>IF(T287="","",IF(LEN(T287)&lt;&gt;14,"ERRO: "&amp;LEN(T287)&amp;" dígitos",IF(NOT(ISNUMBER(VALUE(T287))),"ERRO: não numérico",IF(LEN(SUBSTITUTE(T287,LEFT(T287,1),""))=0,"ERRO: dígitos repetidos",IF(AND(VALUE(MID(T287,13,1))=IF(MOD(SUMPRODUCT(--MID(T287,{1,2,3,4,5,6,7,8,9,10,11,12},1),{5,4,3,2,9,8,7,6,5,4,3,2}),11)&lt;2,0,11-MOD(SUMPRODUCT(--MID(T287,{1,2,3,4,5,6,7,8,9,10,11,12},1),{5,4,3,2,9,8,7,6,5,4,3,2}),11)),VALUE(MID(T287,14,1))=IF(MOD(SUMPRODUCT(--MID(T287,{1,2,3,4,5,6,7,8,9,10,11,12,13},1),{6,5,4,3,2,9,8,7,6,5,4,3,2}),11)&lt;2,0,11-MOD(SUMPRODUCT(--MID(T287,{1,2,3,4,5,6,7,8,9,10,11,12,13},1),{6,5,4,3,2,9,8,7,6,5,4,3,2}),11))),"OK","ERRO: dígito verificador")))))</f>
      </c>
      <c r="V287" s="6">
        <f>IF(T287="","",IF(COUNTIF($T$2:$T$1001,T287)&gt;1,"DUPLICADO","OK"))</f>
      </c>
      <c r="W287" s="6">
        <f>IF(M287="","vazio",IF(OR(AND(LEN(SUBSTITUTE(SUBSTITUTE(SUBSTITUTE(SUBSTITUTE(SUBSTITUTE(SUBSTITUTE(SUBSTITUTE(TRIM(M287),".",""),"/",""),"-","")," ",""),"(",""),")",""),"+",""))=10,LEFT(SUBSTITUTE(SUBSTITUTE(SUBSTITUTE(SUBSTITUTE(SUBSTITUTE(SUBSTITUTE(SUBSTITUTE(TRIM(M287),".",""),"/",""),"-","")," ",""),"(",""),")",""),"+",""),1)&lt;&gt;"0"),AND(LEN(SUBSTITUTE(SUBSTITUTE(SUBSTITUTE(SUBSTITUTE(SUBSTITUTE(SUBSTITUTE(SUBSTITUTE(TRIM(M287),".",""),"/",""),"-","")," ",""),"(",""),")",""),"+",""))=11,LEFT(SUBSTITUTE(SUBSTITUTE(SUBSTITUTE(SUBSTITUTE(SUBSTITUTE(SUBSTITUTE(SUBSTITUTE(TRIM(M287),".",""),"/",""),"-","")," ",""),"(",""),")",""),"+",""),4)="0800")),"OK",IF(AND(LEN(SUBSTITUTE(SUBSTITUTE(SUBSTITUTE(SUBSTITUTE(SUBSTITUTE(SUBSTITUTE(SUBSTITUTE(TRIM(M287),".",""),"/",""),"-","")," ",""),"(",""),")",""),"+",""))=11,MID(SUBSTITUTE(SUBSTITUTE(SUBSTITUTE(SUBSTITUTE(SUBSTITUTE(SUBSTITUTE(SUBSTITUTE(TRIM(M287),".",""),"/",""),"-","")," ",""),"(",""),")",""),"+",""),3,1)="9"),"ERRO: é celular, use a coluna Celular","ERRO: DDD + 8 dígitos ou 0800 + 7")))</f>
      </c>
      <c r="X287" s="6">
        <f>IF(N287="","vazio",IF(AND(LEN(SUBSTITUTE(SUBSTITUTE(SUBSTITUTE(SUBSTITUTE(SUBSTITUTE(SUBSTITUTE(SUBSTITUTE(TRIM(N287),".",""),"/",""),"-","")," ",""),"(",""),")",""),"+",""))=11,MID(SUBSTITUTE(SUBSTITUTE(SUBSTITUTE(SUBSTITUTE(SUBSTITUTE(SUBSTITUTE(SUBSTITUTE(TRIM(N287),".",""),"/",""),"-","")," ",""),"(",""),")",""),"+",""),3,1)="9",LEFT(SUBSTITUTE(SUBSTITUTE(SUBSTITUTE(SUBSTITUTE(SUBSTITUTE(SUBSTITUTE(SUBSTITUTE(TRIM(N287),".",""),"/",""),"-","")," ",""),"(",""),")",""),"+",""),1)&lt;&gt;"0"),"OK",IF(LEN(SUBSTITUTE(SUBSTITUTE(SUBSTITUTE(SUBSTITUTE(SUBSTITUTE(SUBSTITUTE(SUBSTITUTE(TRIM(N287),".",""),"/",""),"-","")," ",""),"(",""),")",""),"+",""))=10,"ERRO: é fixo (ou falta o 9), use a coluna Telefone fixo","ERRO: DDD + 9 + 8 dígitos")))</f>
      </c>
      <c r="Y287" s="6">
        <f>IF(O287="","vazio",IF(AND(ISNUMBER(FIND("@",O287)),ISNUMBER(FIND(".",MID(O287,FIND("@",O287),99))),NOT(ISNUMBER(FIND(" ",TRIM(O287)))),NOT(ISNUMBER(FIND(";",O287))),NOT(ISNUMBER(FIND(",",O287)))),"OK","ERRO: um e-mail válido por linha"))</f>
      </c>
      <c r="Z287" s="6">
        <f>IF(AND(J287="",K287=""),"",IF(AND(J287&lt;&gt;"",K287&lt;&gt;""),"OK","pendente: só um nome (o GR completa ao converter)"))</f>
      </c>
      <c r="AA287" s="6">
        <f>IF(COUNTA(A287:S287)=0,"",IF(AND(A287&lt;&gt;"",B287&lt;&gt;"",C287&lt;&gt;"",D287&lt;&gt;"",E287&lt;&gt;"",F287&lt;&gt;"",G287&lt;&gt;"",H287&lt;&gt;"",OR(J287&lt;&gt;"",K287&lt;&gt;""),OR(M287&lt;&gt;"",N287&lt;&gt;"",O287&lt;&gt;"")),"OK","ERRO: faltam "&amp;IF(A287="","SDR; ","")&amp;IF(B287="","Proprietário; ","")&amp;IF(C287="","Origem; ","")&amp;IF(D287="","Temperatura; ","")&amp;IF(E287="","Segmento; ","")&amp;IF(F287="","Time/Cluster; ","")&amp;IF(G287="","CNPJ; ","")&amp;IF(H287="","Razão Social; ","")&amp;IF(AND(J287="",K287=""),"nome do contato; ","")&amp;IF(AND(M287="",N287="",O287=""),"telefone, celular ou e-mail; ","")))</f>
      </c>
      <c r="AB287" s="6">
        <f>IF(COUNTA(A287:S287)=0,"",IF(AND(U287="OK",V287="OK",LEFT(W287,4)&lt;&gt;"ERRO",LEFT(X287,4)&lt;&gt;"ERRO",LEFT(Y287,4)&lt;&gt;"ERRO",AA287="OK"),"OK","REVISAR"))</f>
      </c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5"/>
      <c r="K288" s="4"/>
      <c r="L288" s="4"/>
      <c r="M288" s="4"/>
      <c r="N288" s="4"/>
      <c r="O288" s="4"/>
      <c r="P288" s="4"/>
      <c r="Q288" s="4"/>
      <c r="R288" s="4"/>
      <c r="S288" s="4"/>
      <c r="T288" s="6">
        <f>IF(G288="","",SUBSTITUTE(SUBSTITUTE(SUBSTITUTE(SUBSTITUTE(SUBSTITUTE(SUBSTITUTE(SUBSTITUTE(TRIM(G288),".",""),"/",""),"-","")," ",""),"(",""),")",""),"+",""))</f>
      </c>
      <c r="U288" s="6">
        <f>IF(T288="","",IF(LEN(T288)&lt;&gt;14,"ERRO: "&amp;LEN(T288)&amp;" dígitos",IF(NOT(ISNUMBER(VALUE(T288))),"ERRO: não numérico",IF(LEN(SUBSTITUTE(T288,LEFT(T288,1),""))=0,"ERRO: dígitos repetidos",IF(AND(VALUE(MID(T288,13,1))=IF(MOD(SUMPRODUCT(--MID(T288,{1,2,3,4,5,6,7,8,9,10,11,12},1),{5,4,3,2,9,8,7,6,5,4,3,2}),11)&lt;2,0,11-MOD(SUMPRODUCT(--MID(T288,{1,2,3,4,5,6,7,8,9,10,11,12},1),{5,4,3,2,9,8,7,6,5,4,3,2}),11)),VALUE(MID(T288,14,1))=IF(MOD(SUMPRODUCT(--MID(T288,{1,2,3,4,5,6,7,8,9,10,11,12,13},1),{6,5,4,3,2,9,8,7,6,5,4,3,2}),11)&lt;2,0,11-MOD(SUMPRODUCT(--MID(T288,{1,2,3,4,5,6,7,8,9,10,11,12,13},1),{6,5,4,3,2,9,8,7,6,5,4,3,2}),11))),"OK","ERRO: dígito verificador")))))</f>
      </c>
      <c r="V288" s="6">
        <f>IF(T288="","",IF(COUNTIF($T$2:$T$1001,T288)&gt;1,"DUPLICADO","OK"))</f>
      </c>
      <c r="W288" s="6">
        <f>IF(M288="","vazio",IF(OR(AND(LEN(SUBSTITUTE(SUBSTITUTE(SUBSTITUTE(SUBSTITUTE(SUBSTITUTE(SUBSTITUTE(SUBSTITUTE(TRIM(M288),".",""),"/",""),"-","")," ",""),"(",""),")",""),"+",""))=10,LEFT(SUBSTITUTE(SUBSTITUTE(SUBSTITUTE(SUBSTITUTE(SUBSTITUTE(SUBSTITUTE(SUBSTITUTE(TRIM(M288),".",""),"/",""),"-","")," ",""),"(",""),")",""),"+",""),1)&lt;&gt;"0"),AND(LEN(SUBSTITUTE(SUBSTITUTE(SUBSTITUTE(SUBSTITUTE(SUBSTITUTE(SUBSTITUTE(SUBSTITUTE(TRIM(M288),".",""),"/",""),"-","")," ",""),"(",""),")",""),"+",""))=11,LEFT(SUBSTITUTE(SUBSTITUTE(SUBSTITUTE(SUBSTITUTE(SUBSTITUTE(SUBSTITUTE(SUBSTITUTE(TRIM(M288),".",""),"/",""),"-","")," ",""),"(",""),")",""),"+",""),4)="0800")),"OK",IF(AND(LEN(SUBSTITUTE(SUBSTITUTE(SUBSTITUTE(SUBSTITUTE(SUBSTITUTE(SUBSTITUTE(SUBSTITUTE(TRIM(M288),".",""),"/",""),"-","")," ",""),"(",""),")",""),"+",""))=11,MID(SUBSTITUTE(SUBSTITUTE(SUBSTITUTE(SUBSTITUTE(SUBSTITUTE(SUBSTITUTE(SUBSTITUTE(TRIM(M288),".",""),"/",""),"-","")," ",""),"(",""),")",""),"+",""),3,1)="9"),"ERRO: é celular, use a coluna Celular","ERRO: DDD + 8 dígitos ou 0800 + 7")))</f>
      </c>
      <c r="X288" s="6">
        <f>IF(N288="","vazio",IF(AND(LEN(SUBSTITUTE(SUBSTITUTE(SUBSTITUTE(SUBSTITUTE(SUBSTITUTE(SUBSTITUTE(SUBSTITUTE(TRIM(N288),".",""),"/",""),"-","")," ",""),"(",""),")",""),"+",""))=11,MID(SUBSTITUTE(SUBSTITUTE(SUBSTITUTE(SUBSTITUTE(SUBSTITUTE(SUBSTITUTE(SUBSTITUTE(TRIM(N288),".",""),"/",""),"-","")," ",""),"(",""),")",""),"+",""),3,1)="9",LEFT(SUBSTITUTE(SUBSTITUTE(SUBSTITUTE(SUBSTITUTE(SUBSTITUTE(SUBSTITUTE(SUBSTITUTE(TRIM(N288),".",""),"/",""),"-","")," ",""),"(",""),")",""),"+",""),1)&lt;&gt;"0"),"OK",IF(LEN(SUBSTITUTE(SUBSTITUTE(SUBSTITUTE(SUBSTITUTE(SUBSTITUTE(SUBSTITUTE(SUBSTITUTE(TRIM(N288),".",""),"/",""),"-","")," ",""),"(",""),")",""),"+",""))=10,"ERRO: é fixo (ou falta o 9), use a coluna Telefone fixo","ERRO: DDD + 9 + 8 dígitos")))</f>
      </c>
      <c r="Y288" s="6">
        <f>IF(O288="","vazio",IF(AND(ISNUMBER(FIND("@",O288)),ISNUMBER(FIND(".",MID(O288,FIND("@",O288),99))),NOT(ISNUMBER(FIND(" ",TRIM(O288)))),NOT(ISNUMBER(FIND(";",O288))),NOT(ISNUMBER(FIND(",",O288)))),"OK","ERRO: um e-mail válido por linha"))</f>
      </c>
      <c r="Z288" s="6">
        <f>IF(AND(J288="",K288=""),"",IF(AND(J288&lt;&gt;"",K288&lt;&gt;""),"OK","pendente: só um nome (o GR completa ao converter)"))</f>
      </c>
      <c r="AA288" s="6">
        <f>IF(COUNTA(A288:S288)=0,"",IF(AND(A288&lt;&gt;"",B288&lt;&gt;"",C288&lt;&gt;"",D288&lt;&gt;"",E288&lt;&gt;"",F288&lt;&gt;"",G288&lt;&gt;"",H288&lt;&gt;"",OR(J288&lt;&gt;"",K288&lt;&gt;""),OR(M288&lt;&gt;"",N288&lt;&gt;"",O288&lt;&gt;"")),"OK","ERRO: faltam "&amp;IF(A288="","SDR; ","")&amp;IF(B288="","Proprietário; ","")&amp;IF(C288="","Origem; ","")&amp;IF(D288="","Temperatura; ","")&amp;IF(E288="","Segmento; ","")&amp;IF(F288="","Time/Cluster; ","")&amp;IF(G288="","CNPJ; ","")&amp;IF(H288="","Razão Social; ","")&amp;IF(AND(J288="",K288=""),"nome do contato; ","")&amp;IF(AND(M288="",N288="",O288=""),"telefone, celular ou e-mail; ","")))</f>
      </c>
      <c r="AB288" s="6">
        <f>IF(COUNTA(A288:S288)=0,"",IF(AND(U288="OK",V288="OK",LEFT(W288,4)&lt;&gt;"ERRO",LEFT(X288,4)&lt;&gt;"ERRO",LEFT(Y288,4)&lt;&gt;"ERRO",AA288="OK"),"OK","REVISAR"))</f>
      </c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5"/>
      <c r="K289" s="4"/>
      <c r="L289" s="4"/>
      <c r="M289" s="4"/>
      <c r="N289" s="4"/>
      <c r="O289" s="4"/>
      <c r="P289" s="4"/>
      <c r="Q289" s="4"/>
      <c r="R289" s="4"/>
      <c r="S289" s="4"/>
      <c r="T289" s="6">
        <f>IF(G289="","",SUBSTITUTE(SUBSTITUTE(SUBSTITUTE(SUBSTITUTE(SUBSTITUTE(SUBSTITUTE(SUBSTITUTE(TRIM(G289),".",""),"/",""),"-","")," ",""),"(",""),")",""),"+",""))</f>
      </c>
      <c r="U289" s="6">
        <f>IF(T289="","",IF(LEN(T289)&lt;&gt;14,"ERRO: "&amp;LEN(T289)&amp;" dígitos",IF(NOT(ISNUMBER(VALUE(T289))),"ERRO: não numérico",IF(LEN(SUBSTITUTE(T289,LEFT(T289,1),""))=0,"ERRO: dígitos repetidos",IF(AND(VALUE(MID(T289,13,1))=IF(MOD(SUMPRODUCT(--MID(T289,{1,2,3,4,5,6,7,8,9,10,11,12},1),{5,4,3,2,9,8,7,6,5,4,3,2}),11)&lt;2,0,11-MOD(SUMPRODUCT(--MID(T289,{1,2,3,4,5,6,7,8,9,10,11,12},1),{5,4,3,2,9,8,7,6,5,4,3,2}),11)),VALUE(MID(T289,14,1))=IF(MOD(SUMPRODUCT(--MID(T289,{1,2,3,4,5,6,7,8,9,10,11,12,13},1),{6,5,4,3,2,9,8,7,6,5,4,3,2}),11)&lt;2,0,11-MOD(SUMPRODUCT(--MID(T289,{1,2,3,4,5,6,7,8,9,10,11,12,13},1),{6,5,4,3,2,9,8,7,6,5,4,3,2}),11))),"OK","ERRO: dígito verificador")))))</f>
      </c>
      <c r="V289" s="6">
        <f>IF(T289="","",IF(COUNTIF($T$2:$T$1001,T289)&gt;1,"DUPLICADO","OK"))</f>
      </c>
      <c r="W289" s="6">
        <f>IF(M289="","vazio",IF(OR(AND(LEN(SUBSTITUTE(SUBSTITUTE(SUBSTITUTE(SUBSTITUTE(SUBSTITUTE(SUBSTITUTE(SUBSTITUTE(TRIM(M289),".",""),"/",""),"-","")," ",""),"(",""),")",""),"+",""))=10,LEFT(SUBSTITUTE(SUBSTITUTE(SUBSTITUTE(SUBSTITUTE(SUBSTITUTE(SUBSTITUTE(SUBSTITUTE(TRIM(M289),".",""),"/",""),"-","")," ",""),"(",""),")",""),"+",""),1)&lt;&gt;"0"),AND(LEN(SUBSTITUTE(SUBSTITUTE(SUBSTITUTE(SUBSTITUTE(SUBSTITUTE(SUBSTITUTE(SUBSTITUTE(TRIM(M289),".",""),"/",""),"-","")," ",""),"(",""),")",""),"+",""))=11,LEFT(SUBSTITUTE(SUBSTITUTE(SUBSTITUTE(SUBSTITUTE(SUBSTITUTE(SUBSTITUTE(SUBSTITUTE(TRIM(M289),".",""),"/",""),"-","")," ",""),"(",""),")",""),"+",""),4)="0800")),"OK",IF(AND(LEN(SUBSTITUTE(SUBSTITUTE(SUBSTITUTE(SUBSTITUTE(SUBSTITUTE(SUBSTITUTE(SUBSTITUTE(TRIM(M289),".",""),"/",""),"-","")," ",""),"(",""),")",""),"+",""))=11,MID(SUBSTITUTE(SUBSTITUTE(SUBSTITUTE(SUBSTITUTE(SUBSTITUTE(SUBSTITUTE(SUBSTITUTE(TRIM(M289),".",""),"/",""),"-","")," ",""),"(",""),")",""),"+",""),3,1)="9"),"ERRO: é celular, use a coluna Celular","ERRO: DDD + 8 dígitos ou 0800 + 7")))</f>
      </c>
      <c r="X289" s="6">
        <f>IF(N289="","vazio",IF(AND(LEN(SUBSTITUTE(SUBSTITUTE(SUBSTITUTE(SUBSTITUTE(SUBSTITUTE(SUBSTITUTE(SUBSTITUTE(TRIM(N289),".",""),"/",""),"-","")," ",""),"(",""),")",""),"+",""))=11,MID(SUBSTITUTE(SUBSTITUTE(SUBSTITUTE(SUBSTITUTE(SUBSTITUTE(SUBSTITUTE(SUBSTITUTE(TRIM(N289),".",""),"/",""),"-","")," ",""),"(",""),")",""),"+",""),3,1)="9",LEFT(SUBSTITUTE(SUBSTITUTE(SUBSTITUTE(SUBSTITUTE(SUBSTITUTE(SUBSTITUTE(SUBSTITUTE(TRIM(N289),".",""),"/",""),"-","")," ",""),"(",""),")",""),"+",""),1)&lt;&gt;"0"),"OK",IF(LEN(SUBSTITUTE(SUBSTITUTE(SUBSTITUTE(SUBSTITUTE(SUBSTITUTE(SUBSTITUTE(SUBSTITUTE(TRIM(N289),".",""),"/",""),"-","")," ",""),"(",""),")",""),"+",""))=10,"ERRO: é fixo (ou falta o 9), use a coluna Telefone fixo","ERRO: DDD + 9 + 8 dígitos")))</f>
      </c>
      <c r="Y289" s="6">
        <f>IF(O289="","vazio",IF(AND(ISNUMBER(FIND("@",O289)),ISNUMBER(FIND(".",MID(O289,FIND("@",O289),99))),NOT(ISNUMBER(FIND(" ",TRIM(O289)))),NOT(ISNUMBER(FIND(";",O289))),NOT(ISNUMBER(FIND(",",O289)))),"OK","ERRO: um e-mail válido por linha"))</f>
      </c>
      <c r="Z289" s="6">
        <f>IF(AND(J289="",K289=""),"",IF(AND(J289&lt;&gt;"",K289&lt;&gt;""),"OK","pendente: só um nome (o GR completa ao converter)"))</f>
      </c>
      <c r="AA289" s="6">
        <f>IF(COUNTA(A289:S289)=0,"",IF(AND(A289&lt;&gt;"",B289&lt;&gt;"",C289&lt;&gt;"",D289&lt;&gt;"",E289&lt;&gt;"",F289&lt;&gt;"",G289&lt;&gt;"",H289&lt;&gt;"",OR(J289&lt;&gt;"",K289&lt;&gt;""),OR(M289&lt;&gt;"",N289&lt;&gt;"",O289&lt;&gt;"")),"OK","ERRO: faltam "&amp;IF(A289="","SDR; ","")&amp;IF(B289="","Proprietário; ","")&amp;IF(C289="","Origem; ","")&amp;IF(D289="","Temperatura; ","")&amp;IF(E289="","Segmento; ","")&amp;IF(F289="","Time/Cluster; ","")&amp;IF(G289="","CNPJ; ","")&amp;IF(H289="","Razão Social; ","")&amp;IF(AND(J289="",K289=""),"nome do contato; ","")&amp;IF(AND(M289="",N289="",O289=""),"telefone, celular ou e-mail; ","")))</f>
      </c>
      <c r="AB289" s="6">
        <f>IF(COUNTA(A289:S289)=0,"",IF(AND(U289="OK",V289="OK",LEFT(W289,4)&lt;&gt;"ERRO",LEFT(X289,4)&lt;&gt;"ERRO",LEFT(Y289,4)&lt;&gt;"ERRO",AA289="OK"),"OK","REVISAR"))</f>
      </c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5"/>
      <c r="K290" s="4"/>
      <c r="L290" s="4"/>
      <c r="M290" s="4"/>
      <c r="N290" s="4"/>
      <c r="O290" s="4"/>
      <c r="P290" s="4"/>
      <c r="Q290" s="4"/>
      <c r="R290" s="4"/>
      <c r="S290" s="4"/>
      <c r="T290" s="6">
        <f>IF(G290="","",SUBSTITUTE(SUBSTITUTE(SUBSTITUTE(SUBSTITUTE(SUBSTITUTE(SUBSTITUTE(SUBSTITUTE(TRIM(G290),".",""),"/",""),"-","")," ",""),"(",""),")",""),"+",""))</f>
      </c>
      <c r="U290" s="6">
        <f>IF(T290="","",IF(LEN(T290)&lt;&gt;14,"ERRO: "&amp;LEN(T290)&amp;" dígitos",IF(NOT(ISNUMBER(VALUE(T290))),"ERRO: não numérico",IF(LEN(SUBSTITUTE(T290,LEFT(T290,1),""))=0,"ERRO: dígitos repetidos",IF(AND(VALUE(MID(T290,13,1))=IF(MOD(SUMPRODUCT(--MID(T290,{1,2,3,4,5,6,7,8,9,10,11,12},1),{5,4,3,2,9,8,7,6,5,4,3,2}),11)&lt;2,0,11-MOD(SUMPRODUCT(--MID(T290,{1,2,3,4,5,6,7,8,9,10,11,12},1),{5,4,3,2,9,8,7,6,5,4,3,2}),11)),VALUE(MID(T290,14,1))=IF(MOD(SUMPRODUCT(--MID(T290,{1,2,3,4,5,6,7,8,9,10,11,12,13},1),{6,5,4,3,2,9,8,7,6,5,4,3,2}),11)&lt;2,0,11-MOD(SUMPRODUCT(--MID(T290,{1,2,3,4,5,6,7,8,9,10,11,12,13},1),{6,5,4,3,2,9,8,7,6,5,4,3,2}),11))),"OK","ERRO: dígito verificador")))))</f>
      </c>
      <c r="V290" s="6">
        <f>IF(T290="","",IF(COUNTIF($T$2:$T$1001,T290)&gt;1,"DUPLICADO","OK"))</f>
      </c>
      <c r="W290" s="6">
        <f>IF(M290="","vazio",IF(OR(AND(LEN(SUBSTITUTE(SUBSTITUTE(SUBSTITUTE(SUBSTITUTE(SUBSTITUTE(SUBSTITUTE(SUBSTITUTE(TRIM(M290),".",""),"/",""),"-","")," ",""),"(",""),")",""),"+",""))=10,LEFT(SUBSTITUTE(SUBSTITUTE(SUBSTITUTE(SUBSTITUTE(SUBSTITUTE(SUBSTITUTE(SUBSTITUTE(TRIM(M290),".",""),"/",""),"-","")," ",""),"(",""),")",""),"+",""),1)&lt;&gt;"0"),AND(LEN(SUBSTITUTE(SUBSTITUTE(SUBSTITUTE(SUBSTITUTE(SUBSTITUTE(SUBSTITUTE(SUBSTITUTE(TRIM(M290),".",""),"/",""),"-","")," ",""),"(",""),")",""),"+",""))=11,LEFT(SUBSTITUTE(SUBSTITUTE(SUBSTITUTE(SUBSTITUTE(SUBSTITUTE(SUBSTITUTE(SUBSTITUTE(TRIM(M290),".",""),"/",""),"-","")," ",""),"(",""),")",""),"+",""),4)="0800")),"OK",IF(AND(LEN(SUBSTITUTE(SUBSTITUTE(SUBSTITUTE(SUBSTITUTE(SUBSTITUTE(SUBSTITUTE(SUBSTITUTE(TRIM(M290),".",""),"/",""),"-","")," ",""),"(",""),")",""),"+",""))=11,MID(SUBSTITUTE(SUBSTITUTE(SUBSTITUTE(SUBSTITUTE(SUBSTITUTE(SUBSTITUTE(SUBSTITUTE(TRIM(M290),".",""),"/",""),"-","")," ",""),"(",""),")",""),"+",""),3,1)="9"),"ERRO: é celular, use a coluna Celular","ERRO: DDD + 8 dígitos ou 0800 + 7")))</f>
      </c>
      <c r="X290" s="6">
        <f>IF(N290="","vazio",IF(AND(LEN(SUBSTITUTE(SUBSTITUTE(SUBSTITUTE(SUBSTITUTE(SUBSTITUTE(SUBSTITUTE(SUBSTITUTE(TRIM(N290),".",""),"/",""),"-","")," ",""),"(",""),")",""),"+",""))=11,MID(SUBSTITUTE(SUBSTITUTE(SUBSTITUTE(SUBSTITUTE(SUBSTITUTE(SUBSTITUTE(SUBSTITUTE(TRIM(N290),".",""),"/",""),"-","")," ",""),"(",""),")",""),"+",""),3,1)="9",LEFT(SUBSTITUTE(SUBSTITUTE(SUBSTITUTE(SUBSTITUTE(SUBSTITUTE(SUBSTITUTE(SUBSTITUTE(TRIM(N290),".",""),"/",""),"-","")," ",""),"(",""),")",""),"+",""),1)&lt;&gt;"0"),"OK",IF(LEN(SUBSTITUTE(SUBSTITUTE(SUBSTITUTE(SUBSTITUTE(SUBSTITUTE(SUBSTITUTE(SUBSTITUTE(TRIM(N290),".",""),"/",""),"-","")," ",""),"(",""),")",""),"+",""))=10,"ERRO: é fixo (ou falta o 9), use a coluna Telefone fixo","ERRO: DDD + 9 + 8 dígitos")))</f>
      </c>
      <c r="Y290" s="6">
        <f>IF(O290="","vazio",IF(AND(ISNUMBER(FIND("@",O290)),ISNUMBER(FIND(".",MID(O290,FIND("@",O290),99))),NOT(ISNUMBER(FIND(" ",TRIM(O290)))),NOT(ISNUMBER(FIND(";",O290))),NOT(ISNUMBER(FIND(",",O290)))),"OK","ERRO: um e-mail válido por linha"))</f>
      </c>
      <c r="Z290" s="6">
        <f>IF(AND(J290="",K290=""),"",IF(AND(J290&lt;&gt;"",K290&lt;&gt;""),"OK","pendente: só um nome (o GR completa ao converter)"))</f>
      </c>
      <c r="AA290" s="6">
        <f>IF(COUNTA(A290:S290)=0,"",IF(AND(A290&lt;&gt;"",B290&lt;&gt;"",C290&lt;&gt;"",D290&lt;&gt;"",E290&lt;&gt;"",F290&lt;&gt;"",G290&lt;&gt;"",H290&lt;&gt;"",OR(J290&lt;&gt;"",K290&lt;&gt;""),OR(M290&lt;&gt;"",N290&lt;&gt;"",O290&lt;&gt;"")),"OK","ERRO: faltam "&amp;IF(A290="","SDR; ","")&amp;IF(B290="","Proprietário; ","")&amp;IF(C290="","Origem; ","")&amp;IF(D290="","Temperatura; ","")&amp;IF(E290="","Segmento; ","")&amp;IF(F290="","Time/Cluster; ","")&amp;IF(G290="","CNPJ; ","")&amp;IF(H290="","Razão Social; ","")&amp;IF(AND(J290="",K290=""),"nome do contato; ","")&amp;IF(AND(M290="",N290="",O290=""),"telefone, celular ou e-mail; ","")))</f>
      </c>
      <c r="AB290" s="6">
        <f>IF(COUNTA(A290:S290)=0,"",IF(AND(U290="OK",V290="OK",LEFT(W290,4)&lt;&gt;"ERRO",LEFT(X290,4)&lt;&gt;"ERRO",LEFT(Y290,4)&lt;&gt;"ERRO",AA290="OK"),"OK","REVISAR"))</f>
      </c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5"/>
      <c r="K291" s="4"/>
      <c r="L291" s="4"/>
      <c r="M291" s="4"/>
      <c r="N291" s="4"/>
      <c r="O291" s="4"/>
      <c r="P291" s="4"/>
      <c r="Q291" s="4"/>
      <c r="R291" s="4"/>
      <c r="S291" s="4"/>
      <c r="T291" s="6">
        <f>IF(G291="","",SUBSTITUTE(SUBSTITUTE(SUBSTITUTE(SUBSTITUTE(SUBSTITUTE(SUBSTITUTE(SUBSTITUTE(TRIM(G291),".",""),"/",""),"-","")," ",""),"(",""),")",""),"+",""))</f>
      </c>
      <c r="U291" s="6">
        <f>IF(T291="","",IF(LEN(T291)&lt;&gt;14,"ERRO: "&amp;LEN(T291)&amp;" dígitos",IF(NOT(ISNUMBER(VALUE(T291))),"ERRO: não numérico",IF(LEN(SUBSTITUTE(T291,LEFT(T291,1),""))=0,"ERRO: dígitos repetidos",IF(AND(VALUE(MID(T291,13,1))=IF(MOD(SUMPRODUCT(--MID(T291,{1,2,3,4,5,6,7,8,9,10,11,12},1),{5,4,3,2,9,8,7,6,5,4,3,2}),11)&lt;2,0,11-MOD(SUMPRODUCT(--MID(T291,{1,2,3,4,5,6,7,8,9,10,11,12},1),{5,4,3,2,9,8,7,6,5,4,3,2}),11)),VALUE(MID(T291,14,1))=IF(MOD(SUMPRODUCT(--MID(T291,{1,2,3,4,5,6,7,8,9,10,11,12,13},1),{6,5,4,3,2,9,8,7,6,5,4,3,2}),11)&lt;2,0,11-MOD(SUMPRODUCT(--MID(T291,{1,2,3,4,5,6,7,8,9,10,11,12,13},1),{6,5,4,3,2,9,8,7,6,5,4,3,2}),11))),"OK","ERRO: dígito verificador")))))</f>
      </c>
      <c r="V291" s="6">
        <f>IF(T291="","",IF(COUNTIF($T$2:$T$1001,T291)&gt;1,"DUPLICADO","OK"))</f>
      </c>
      <c r="W291" s="6">
        <f>IF(M291="","vazio",IF(OR(AND(LEN(SUBSTITUTE(SUBSTITUTE(SUBSTITUTE(SUBSTITUTE(SUBSTITUTE(SUBSTITUTE(SUBSTITUTE(TRIM(M291),".",""),"/",""),"-","")," ",""),"(",""),")",""),"+",""))=10,LEFT(SUBSTITUTE(SUBSTITUTE(SUBSTITUTE(SUBSTITUTE(SUBSTITUTE(SUBSTITUTE(SUBSTITUTE(TRIM(M291),".",""),"/",""),"-","")," ",""),"(",""),")",""),"+",""),1)&lt;&gt;"0"),AND(LEN(SUBSTITUTE(SUBSTITUTE(SUBSTITUTE(SUBSTITUTE(SUBSTITUTE(SUBSTITUTE(SUBSTITUTE(TRIM(M291),".",""),"/",""),"-","")," ",""),"(",""),")",""),"+",""))=11,LEFT(SUBSTITUTE(SUBSTITUTE(SUBSTITUTE(SUBSTITUTE(SUBSTITUTE(SUBSTITUTE(SUBSTITUTE(TRIM(M291),".",""),"/",""),"-","")," ",""),"(",""),")",""),"+",""),4)="0800")),"OK",IF(AND(LEN(SUBSTITUTE(SUBSTITUTE(SUBSTITUTE(SUBSTITUTE(SUBSTITUTE(SUBSTITUTE(SUBSTITUTE(TRIM(M291),".",""),"/",""),"-","")," ",""),"(",""),")",""),"+",""))=11,MID(SUBSTITUTE(SUBSTITUTE(SUBSTITUTE(SUBSTITUTE(SUBSTITUTE(SUBSTITUTE(SUBSTITUTE(TRIM(M291),".",""),"/",""),"-","")," ",""),"(",""),")",""),"+",""),3,1)="9"),"ERRO: é celular, use a coluna Celular","ERRO: DDD + 8 dígitos ou 0800 + 7")))</f>
      </c>
      <c r="X291" s="6">
        <f>IF(N291="","vazio",IF(AND(LEN(SUBSTITUTE(SUBSTITUTE(SUBSTITUTE(SUBSTITUTE(SUBSTITUTE(SUBSTITUTE(SUBSTITUTE(TRIM(N291),".",""),"/",""),"-","")," ",""),"(",""),")",""),"+",""))=11,MID(SUBSTITUTE(SUBSTITUTE(SUBSTITUTE(SUBSTITUTE(SUBSTITUTE(SUBSTITUTE(SUBSTITUTE(TRIM(N291),".",""),"/",""),"-","")," ",""),"(",""),")",""),"+",""),3,1)="9",LEFT(SUBSTITUTE(SUBSTITUTE(SUBSTITUTE(SUBSTITUTE(SUBSTITUTE(SUBSTITUTE(SUBSTITUTE(TRIM(N291),".",""),"/",""),"-","")," ",""),"(",""),")",""),"+",""),1)&lt;&gt;"0"),"OK",IF(LEN(SUBSTITUTE(SUBSTITUTE(SUBSTITUTE(SUBSTITUTE(SUBSTITUTE(SUBSTITUTE(SUBSTITUTE(TRIM(N291),".",""),"/",""),"-","")," ",""),"(",""),")",""),"+",""))=10,"ERRO: é fixo (ou falta o 9), use a coluna Telefone fixo","ERRO: DDD + 9 + 8 dígitos")))</f>
      </c>
      <c r="Y291" s="6">
        <f>IF(O291="","vazio",IF(AND(ISNUMBER(FIND("@",O291)),ISNUMBER(FIND(".",MID(O291,FIND("@",O291),99))),NOT(ISNUMBER(FIND(" ",TRIM(O291)))),NOT(ISNUMBER(FIND(";",O291))),NOT(ISNUMBER(FIND(",",O291)))),"OK","ERRO: um e-mail válido por linha"))</f>
      </c>
      <c r="Z291" s="6">
        <f>IF(AND(J291="",K291=""),"",IF(AND(J291&lt;&gt;"",K291&lt;&gt;""),"OK","pendente: só um nome (o GR completa ao converter)"))</f>
      </c>
      <c r="AA291" s="6">
        <f>IF(COUNTA(A291:S291)=0,"",IF(AND(A291&lt;&gt;"",B291&lt;&gt;"",C291&lt;&gt;"",D291&lt;&gt;"",E291&lt;&gt;"",F291&lt;&gt;"",G291&lt;&gt;"",H291&lt;&gt;"",OR(J291&lt;&gt;"",K291&lt;&gt;""),OR(M291&lt;&gt;"",N291&lt;&gt;"",O291&lt;&gt;"")),"OK","ERRO: faltam "&amp;IF(A291="","SDR; ","")&amp;IF(B291="","Proprietário; ","")&amp;IF(C291="","Origem; ","")&amp;IF(D291="","Temperatura; ","")&amp;IF(E291="","Segmento; ","")&amp;IF(F291="","Time/Cluster; ","")&amp;IF(G291="","CNPJ; ","")&amp;IF(H291="","Razão Social; ","")&amp;IF(AND(J291="",K291=""),"nome do contato; ","")&amp;IF(AND(M291="",N291="",O291=""),"telefone, celular ou e-mail; ","")))</f>
      </c>
      <c r="AB291" s="6">
        <f>IF(COUNTA(A291:S291)=0,"",IF(AND(U291="OK",V291="OK",LEFT(W291,4)&lt;&gt;"ERRO",LEFT(X291,4)&lt;&gt;"ERRO",LEFT(Y291,4)&lt;&gt;"ERRO",AA291="OK"),"OK","REVISAR"))</f>
      </c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5"/>
      <c r="K292" s="4"/>
      <c r="L292" s="4"/>
      <c r="M292" s="4"/>
      <c r="N292" s="4"/>
      <c r="O292" s="4"/>
      <c r="P292" s="4"/>
      <c r="Q292" s="4"/>
      <c r="R292" s="4"/>
      <c r="S292" s="4"/>
      <c r="T292" s="6">
        <f>IF(G292="","",SUBSTITUTE(SUBSTITUTE(SUBSTITUTE(SUBSTITUTE(SUBSTITUTE(SUBSTITUTE(SUBSTITUTE(TRIM(G292),".",""),"/",""),"-","")," ",""),"(",""),")",""),"+",""))</f>
      </c>
      <c r="U292" s="6">
        <f>IF(T292="","",IF(LEN(T292)&lt;&gt;14,"ERRO: "&amp;LEN(T292)&amp;" dígitos",IF(NOT(ISNUMBER(VALUE(T292))),"ERRO: não numérico",IF(LEN(SUBSTITUTE(T292,LEFT(T292,1),""))=0,"ERRO: dígitos repetidos",IF(AND(VALUE(MID(T292,13,1))=IF(MOD(SUMPRODUCT(--MID(T292,{1,2,3,4,5,6,7,8,9,10,11,12},1),{5,4,3,2,9,8,7,6,5,4,3,2}),11)&lt;2,0,11-MOD(SUMPRODUCT(--MID(T292,{1,2,3,4,5,6,7,8,9,10,11,12},1),{5,4,3,2,9,8,7,6,5,4,3,2}),11)),VALUE(MID(T292,14,1))=IF(MOD(SUMPRODUCT(--MID(T292,{1,2,3,4,5,6,7,8,9,10,11,12,13},1),{6,5,4,3,2,9,8,7,6,5,4,3,2}),11)&lt;2,0,11-MOD(SUMPRODUCT(--MID(T292,{1,2,3,4,5,6,7,8,9,10,11,12,13},1),{6,5,4,3,2,9,8,7,6,5,4,3,2}),11))),"OK","ERRO: dígito verificador")))))</f>
      </c>
      <c r="V292" s="6">
        <f>IF(T292="","",IF(COUNTIF($T$2:$T$1001,T292)&gt;1,"DUPLICADO","OK"))</f>
      </c>
      <c r="W292" s="6">
        <f>IF(M292="","vazio",IF(OR(AND(LEN(SUBSTITUTE(SUBSTITUTE(SUBSTITUTE(SUBSTITUTE(SUBSTITUTE(SUBSTITUTE(SUBSTITUTE(TRIM(M292),".",""),"/",""),"-","")," ",""),"(",""),")",""),"+",""))=10,LEFT(SUBSTITUTE(SUBSTITUTE(SUBSTITUTE(SUBSTITUTE(SUBSTITUTE(SUBSTITUTE(SUBSTITUTE(TRIM(M292),".",""),"/",""),"-","")," ",""),"(",""),")",""),"+",""),1)&lt;&gt;"0"),AND(LEN(SUBSTITUTE(SUBSTITUTE(SUBSTITUTE(SUBSTITUTE(SUBSTITUTE(SUBSTITUTE(SUBSTITUTE(TRIM(M292),".",""),"/",""),"-","")," ",""),"(",""),")",""),"+",""))=11,LEFT(SUBSTITUTE(SUBSTITUTE(SUBSTITUTE(SUBSTITUTE(SUBSTITUTE(SUBSTITUTE(SUBSTITUTE(TRIM(M292),".",""),"/",""),"-","")," ",""),"(",""),")",""),"+",""),4)="0800")),"OK",IF(AND(LEN(SUBSTITUTE(SUBSTITUTE(SUBSTITUTE(SUBSTITUTE(SUBSTITUTE(SUBSTITUTE(SUBSTITUTE(TRIM(M292),".",""),"/",""),"-","")," ",""),"(",""),")",""),"+",""))=11,MID(SUBSTITUTE(SUBSTITUTE(SUBSTITUTE(SUBSTITUTE(SUBSTITUTE(SUBSTITUTE(SUBSTITUTE(TRIM(M292),".",""),"/",""),"-","")," ",""),"(",""),")",""),"+",""),3,1)="9"),"ERRO: é celular, use a coluna Celular","ERRO: DDD + 8 dígitos ou 0800 + 7")))</f>
      </c>
      <c r="X292" s="6">
        <f>IF(N292="","vazio",IF(AND(LEN(SUBSTITUTE(SUBSTITUTE(SUBSTITUTE(SUBSTITUTE(SUBSTITUTE(SUBSTITUTE(SUBSTITUTE(TRIM(N292),".",""),"/",""),"-","")," ",""),"(",""),")",""),"+",""))=11,MID(SUBSTITUTE(SUBSTITUTE(SUBSTITUTE(SUBSTITUTE(SUBSTITUTE(SUBSTITUTE(SUBSTITUTE(TRIM(N292),".",""),"/",""),"-","")," ",""),"(",""),")",""),"+",""),3,1)="9",LEFT(SUBSTITUTE(SUBSTITUTE(SUBSTITUTE(SUBSTITUTE(SUBSTITUTE(SUBSTITUTE(SUBSTITUTE(TRIM(N292),".",""),"/",""),"-","")," ",""),"(",""),")",""),"+",""),1)&lt;&gt;"0"),"OK",IF(LEN(SUBSTITUTE(SUBSTITUTE(SUBSTITUTE(SUBSTITUTE(SUBSTITUTE(SUBSTITUTE(SUBSTITUTE(TRIM(N292),".",""),"/",""),"-","")," ",""),"(",""),")",""),"+",""))=10,"ERRO: é fixo (ou falta o 9), use a coluna Telefone fixo","ERRO: DDD + 9 + 8 dígitos")))</f>
      </c>
      <c r="Y292" s="6">
        <f>IF(O292="","vazio",IF(AND(ISNUMBER(FIND("@",O292)),ISNUMBER(FIND(".",MID(O292,FIND("@",O292),99))),NOT(ISNUMBER(FIND(" ",TRIM(O292)))),NOT(ISNUMBER(FIND(";",O292))),NOT(ISNUMBER(FIND(",",O292)))),"OK","ERRO: um e-mail válido por linha"))</f>
      </c>
      <c r="Z292" s="6">
        <f>IF(AND(J292="",K292=""),"",IF(AND(J292&lt;&gt;"",K292&lt;&gt;""),"OK","pendente: só um nome (o GR completa ao converter)"))</f>
      </c>
      <c r="AA292" s="6">
        <f>IF(COUNTA(A292:S292)=0,"",IF(AND(A292&lt;&gt;"",B292&lt;&gt;"",C292&lt;&gt;"",D292&lt;&gt;"",E292&lt;&gt;"",F292&lt;&gt;"",G292&lt;&gt;"",H292&lt;&gt;"",OR(J292&lt;&gt;"",K292&lt;&gt;""),OR(M292&lt;&gt;"",N292&lt;&gt;"",O292&lt;&gt;"")),"OK","ERRO: faltam "&amp;IF(A292="","SDR; ","")&amp;IF(B292="","Proprietário; ","")&amp;IF(C292="","Origem; ","")&amp;IF(D292="","Temperatura; ","")&amp;IF(E292="","Segmento; ","")&amp;IF(F292="","Time/Cluster; ","")&amp;IF(G292="","CNPJ; ","")&amp;IF(H292="","Razão Social; ","")&amp;IF(AND(J292="",K292=""),"nome do contato; ","")&amp;IF(AND(M292="",N292="",O292=""),"telefone, celular ou e-mail; ","")))</f>
      </c>
      <c r="AB292" s="6">
        <f>IF(COUNTA(A292:S292)=0,"",IF(AND(U292="OK",V292="OK",LEFT(W292,4)&lt;&gt;"ERRO",LEFT(X292,4)&lt;&gt;"ERRO",LEFT(Y292,4)&lt;&gt;"ERRO",AA292="OK"),"OK","REVISAR"))</f>
      </c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5"/>
      <c r="K293" s="4"/>
      <c r="L293" s="4"/>
      <c r="M293" s="4"/>
      <c r="N293" s="4"/>
      <c r="O293" s="4"/>
      <c r="P293" s="4"/>
      <c r="Q293" s="4"/>
      <c r="R293" s="4"/>
      <c r="S293" s="4"/>
      <c r="T293" s="6">
        <f>IF(G293="","",SUBSTITUTE(SUBSTITUTE(SUBSTITUTE(SUBSTITUTE(SUBSTITUTE(SUBSTITUTE(SUBSTITUTE(TRIM(G293),".",""),"/",""),"-","")," ",""),"(",""),")",""),"+",""))</f>
      </c>
      <c r="U293" s="6">
        <f>IF(T293="","",IF(LEN(T293)&lt;&gt;14,"ERRO: "&amp;LEN(T293)&amp;" dígitos",IF(NOT(ISNUMBER(VALUE(T293))),"ERRO: não numérico",IF(LEN(SUBSTITUTE(T293,LEFT(T293,1),""))=0,"ERRO: dígitos repetidos",IF(AND(VALUE(MID(T293,13,1))=IF(MOD(SUMPRODUCT(--MID(T293,{1,2,3,4,5,6,7,8,9,10,11,12},1),{5,4,3,2,9,8,7,6,5,4,3,2}),11)&lt;2,0,11-MOD(SUMPRODUCT(--MID(T293,{1,2,3,4,5,6,7,8,9,10,11,12},1),{5,4,3,2,9,8,7,6,5,4,3,2}),11)),VALUE(MID(T293,14,1))=IF(MOD(SUMPRODUCT(--MID(T293,{1,2,3,4,5,6,7,8,9,10,11,12,13},1),{6,5,4,3,2,9,8,7,6,5,4,3,2}),11)&lt;2,0,11-MOD(SUMPRODUCT(--MID(T293,{1,2,3,4,5,6,7,8,9,10,11,12,13},1),{6,5,4,3,2,9,8,7,6,5,4,3,2}),11))),"OK","ERRO: dígito verificador")))))</f>
      </c>
      <c r="V293" s="6">
        <f>IF(T293="","",IF(COUNTIF($T$2:$T$1001,T293)&gt;1,"DUPLICADO","OK"))</f>
      </c>
      <c r="W293" s="6">
        <f>IF(M293="","vazio",IF(OR(AND(LEN(SUBSTITUTE(SUBSTITUTE(SUBSTITUTE(SUBSTITUTE(SUBSTITUTE(SUBSTITUTE(SUBSTITUTE(TRIM(M293),".",""),"/",""),"-","")," ",""),"(",""),")",""),"+",""))=10,LEFT(SUBSTITUTE(SUBSTITUTE(SUBSTITUTE(SUBSTITUTE(SUBSTITUTE(SUBSTITUTE(SUBSTITUTE(TRIM(M293),".",""),"/",""),"-","")," ",""),"(",""),")",""),"+",""),1)&lt;&gt;"0"),AND(LEN(SUBSTITUTE(SUBSTITUTE(SUBSTITUTE(SUBSTITUTE(SUBSTITUTE(SUBSTITUTE(SUBSTITUTE(TRIM(M293),".",""),"/",""),"-","")," ",""),"(",""),")",""),"+",""))=11,LEFT(SUBSTITUTE(SUBSTITUTE(SUBSTITUTE(SUBSTITUTE(SUBSTITUTE(SUBSTITUTE(SUBSTITUTE(TRIM(M293),".",""),"/",""),"-","")," ",""),"(",""),")",""),"+",""),4)="0800")),"OK",IF(AND(LEN(SUBSTITUTE(SUBSTITUTE(SUBSTITUTE(SUBSTITUTE(SUBSTITUTE(SUBSTITUTE(SUBSTITUTE(TRIM(M293),".",""),"/",""),"-","")," ",""),"(",""),")",""),"+",""))=11,MID(SUBSTITUTE(SUBSTITUTE(SUBSTITUTE(SUBSTITUTE(SUBSTITUTE(SUBSTITUTE(SUBSTITUTE(TRIM(M293),".",""),"/",""),"-","")," ",""),"(",""),")",""),"+",""),3,1)="9"),"ERRO: é celular, use a coluna Celular","ERRO: DDD + 8 dígitos ou 0800 + 7")))</f>
      </c>
      <c r="X293" s="6">
        <f>IF(N293="","vazio",IF(AND(LEN(SUBSTITUTE(SUBSTITUTE(SUBSTITUTE(SUBSTITUTE(SUBSTITUTE(SUBSTITUTE(SUBSTITUTE(TRIM(N293),".",""),"/",""),"-","")," ",""),"(",""),")",""),"+",""))=11,MID(SUBSTITUTE(SUBSTITUTE(SUBSTITUTE(SUBSTITUTE(SUBSTITUTE(SUBSTITUTE(SUBSTITUTE(TRIM(N293),".",""),"/",""),"-","")," ",""),"(",""),")",""),"+",""),3,1)="9",LEFT(SUBSTITUTE(SUBSTITUTE(SUBSTITUTE(SUBSTITUTE(SUBSTITUTE(SUBSTITUTE(SUBSTITUTE(TRIM(N293),".",""),"/",""),"-","")," ",""),"(",""),")",""),"+",""),1)&lt;&gt;"0"),"OK",IF(LEN(SUBSTITUTE(SUBSTITUTE(SUBSTITUTE(SUBSTITUTE(SUBSTITUTE(SUBSTITUTE(SUBSTITUTE(TRIM(N293),".",""),"/",""),"-","")," ",""),"(",""),")",""),"+",""))=10,"ERRO: é fixo (ou falta o 9), use a coluna Telefone fixo","ERRO: DDD + 9 + 8 dígitos")))</f>
      </c>
      <c r="Y293" s="6">
        <f>IF(O293="","vazio",IF(AND(ISNUMBER(FIND("@",O293)),ISNUMBER(FIND(".",MID(O293,FIND("@",O293),99))),NOT(ISNUMBER(FIND(" ",TRIM(O293)))),NOT(ISNUMBER(FIND(";",O293))),NOT(ISNUMBER(FIND(",",O293)))),"OK","ERRO: um e-mail válido por linha"))</f>
      </c>
      <c r="Z293" s="6">
        <f>IF(AND(J293="",K293=""),"",IF(AND(J293&lt;&gt;"",K293&lt;&gt;""),"OK","pendente: só um nome (o GR completa ao converter)"))</f>
      </c>
      <c r="AA293" s="6">
        <f>IF(COUNTA(A293:S293)=0,"",IF(AND(A293&lt;&gt;"",B293&lt;&gt;"",C293&lt;&gt;"",D293&lt;&gt;"",E293&lt;&gt;"",F293&lt;&gt;"",G293&lt;&gt;"",H293&lt;&gt;"",OR(J293&lt;&gt;"",K293&lt;&gt;""),OR(M293&lt;&gt;"",N293&lt;&gt;"",O293&lt;&gt;"")),"OK","ERRO: faltam "&amp;IF(A293="","SDR; ","")&amp;IF(B293="","Proprietário; ","")&amp;IF(C293="","Origem; ","")&amp;IF(D293="","Temperatura; ","")&amp;IF(E293="","Segmento; ","")&amp;IF(F293="","Time/Cluster; ","")&amp;IF(G293="","CNPJ; ","")&amp;IF(H293="","Razão Social; ","")&amp;IF(AND(J293="",K293=""),"nome do contato; ","")&amp;IF(AND(M293="",N293="",O293=""),"telefone, celular ou e-mail; ","")))</f>
      </c>
      <c r="AB293" s="6">
        <f>IF(COUNTA(A293:S293)=0,"",IF(AND(U293="OK",V293="OK",LEFT(W293,4)&lt;&gt;"ERRO",LEFT(X293,4)&lt;&gt;"ERRO",LEFT(Y293,4)&lt;&gt;"ERRO",AA293="OK"),"OK","REVISAR"))</f>
      </c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5"/>
      <c r="K294" s="4"/>
      <c r="L294" s="4"/>
      <c r="M294" s="4"/>
      <c r="N294" s="4"/>
      <c r="O294" s="4"/>
      <c r="P294" s="4"/>
      <c r="Q294" s="4"/>
      <c r="R294" s="4"/>
      <c r="S294" s="4"/>
      <c r="T294" s="6">
        <f>IF(G294="","",SUBSTITUTE(SUBSTITUTE(SUBSTITUTE(SUBSTITUTE(SUBSTITUTE(SUBSTITUTE(SUBSTITUTE(TRIM(G294),".",""),"/",""),"-","")," ",""),"(",""),")",""),"+",""))</f>
      </c>
      <c r="U294" s="6">
        <f>IF(T294="","",IF(LEN(T294)&lt;&gt;14,"ERRO: "&amp;LEN(T294)&amp;" dígitos",IF(NOT(ISNUMBER(VALUE(T294))),"ERRO: não numérico",IF(LEN(SUBSTITUTE(T294,LEFT(T294,1),""))=0,"ERRO: dígitos repetidos",IF(AND(VALUE(MID(T294,13,1))=IF(MOD(SUMPRODUCT(--MID(T294,{1,2,3,4,5,6,7,8,9,10,11,12},1),{5,4,3,2,9,8,7,6,5,4,3,2}),11)&lt;2,0,11-MOD(SUMPRODUCT(--MID(T294,{1,2,3,4,5,6,7,8,9,10,11,12},1),{5,4,3,2,9,8,7,6,5,4,3,2}),11)),VALUE(MID(T294,14,1))=IF(MOD(SUMPRODUCT(--MID(T294,{1,2,3,4,5,6,7,8,9,10,11,12,13},1),{6,5,4,3,2,9,8,7,6,5,4,3,2}),11)&lt;2,0,11-MOD(SUMPRODUCT(--MID(T294,{1,2,3,4,5,6,7,8,9,10,11,12,13},1),{6,5,4,3,2,9,8,7,6,5,4,3,2}),11))),"OK","ERRO: dígito verificador")))))</f>
      </c>
      <c r="V294" s="6">
        <f>IF(T294="","",IF(COUNTIF($T$2:$T$1001,T294)&gt;1,"DUPLICADO","OK"))</f>
      </c>
      <c r="W294" s="6">
        <f>IF(M294="","vazio",IF(OR(AND(LEN(SUBSTITUTE(SUBSTITUTE(SUBSTITUTE(SUBSTITUTE(SUBSTITUTE(SUBSTITUTE(SUBSTITUTE(TRIM(M294),".",""),"/",""),"-","")," ",""),"(",""),")",""),"+",""))=10,LEFT(SUBSTITUTE(SUBSTITUTE(SUBSTITUTE(SUBSTITUTE(SUBSTITUTE(SUBSTITUTE(SUBSTITUTE(TRIM(M294),".",""),"/",""),"-","")," ",""),"(",""),")",""),"+",""),1)&lt;&gt;"0"),AND(LEN(SUBSTITUTE(SUBSTITUTE(SUBSTITUTE(SUBSTITUTE(SUBSTITUTE(SUBSTITUTE(SUBSTITUTE(TRIM(M294),".",""),"/",""),"-","")," ",""),"(",""),")",""),"+",""))=11,LEFT(SUBSTITUTE(SUBSTITUTE(SUBSTITUTE(SUBSTITUTE(SUBSTITUTE(SUBSTITUTE(SUBSTITUTE(TRIM(M294),".",""),"/",""),"-","")," ",""),"(",""),")",""),"+",""),4)="0800")),"OK",IF(AND(LEN(SUBSTITUTE(SUBSTITUTE(SUBSTITUTE(SUBSTITUTE(SUBSTITUTE(SUBSTITUTE(SUBSTITUTE(TRIM(M294),".",""),"/",""),"-","")," ",""),"(",""),")",""),"+",""))=11,MID(SUBSTITUTE(SUBSTITUTE(SUBSTITUTE(SUBSTITUTE(SUBSTITUTE(SUBSTITUTE(SUBSTITUTE(TRIM(M294),".",""),"/",""),"-","")," ",""),"(",""),")",""),"+",""),3,1)="9"),"ERRO: é celular, use a coluna Celular","ERRO: DDD + 8 dígitos ou 0800 + 7")))</f>
      </c>
      <c r="X294" s="6">
        <f>IF(N294="","vazio",IF(AND(LEN(SUBSTITUTE(SUBSTITUTE(SUBSTITUTE(SUBSTITUTE(SUBSTITUTE(SUBSTITUTE(SUBSTITUTE(TRIM(N294),".",""),"/",""),"-","")," ",""),"(",""),")",""),"+",""))=11,MID(SUBSTITUTE(SUBSTITUTE(SUBSTITUTE(SUBSTITUTE(SUBSTITUTE(SUBSTITUTE(SUBSTITUTE(TRIM(N294),".",""),"/",""),"-","")," ",""),"(",""),")",""),"+",""),3,1)="9",LEFT(SUBSTITUTE(SUBSTITUTE(SUBSTITUTE(SUBSTITUTE(SUBSTITUTE(SUBSTITUTE(SUBSTITUTE(TRIM(N294),".",""),"/",""),"-","")," ",""),"(",""),")",""),"+",""),1)&lt;&gt;"0"),"OK",IF(LEN(SUBSTITUTE(SUBSTITUTE(SUBSTITUTE(SUBSTITUTE(SUBSTITUTE(SUBSTITUTE(SUBSTITUTE(TRIM(N294),".",""),"/",""),"-","")," ",""),"(",""),")",""),"+",""))=10,"ERRO: é fixo (ou falta o 9), use a coluna Telefone fixo","ERRO: DDD + 9 + 8 dígitos")))</f>
      </c>
      <c r="Y294" s="6">
        <f>IF(O294="","vazio",IF(AND(ISNUMBER(FIND("@",O294)),ISNUMBER(FIND(".",MID(O294,FIND("@",O294),99))),NOT(ISNUMBER(FIND(" ",TRIM(O294)))),NOT(ISNUMBER(FIND(";",O294))),NOT(ISNUMBER(FIND(",",O294)))),"OK","ERRO: um e-mail válido por linha"))</f>
      </c>
      <c r="Z294" s="6">
        <f>IF(AND(J294="",K294=""),"",IF(AND(J294&lt;&gt;"",K294&lt;&gt;""),"OK","pendente: só um nome (o GR completa ao converter)"))</f>
      </c>
      <c r="AA294" s="6">
        <f>IF(COUNTA(A294:S294)=0,"",IF(AND(A294&lt;&gt;"",B294&lt;&gt;"",C294&lt;&gt;"",D294&lt;&gt;"",E294&lt;&gt;"",F294&lt;&gt;"",G294&lt;&gt;"",H294&lt;&gt;"",OR(J294&lt;&gt;"",K294&lt;&gt;""),OR(M294&lt;&gt;"",N294&lt;&gt;"",O294&lt;&gt;"")),"OK","ERRO: faltam "&amp;IF(A294="","SDR; ","")&amp;IF(B294="","Proprietário; ","")&amp;IF(C294="","Origem; ","")&amp;IF(D294="","Temperatura; ","")&amp;IF(E294="","Segmento; ","")&amp;IF(F294="","Time/Cluster; ","")&amp;IF(G294="","CNPJ; ","")&amp;IF(H294="","Razão Social; ","")&amp;IF(AND(J294="",K294=""),"nome do contato; ","")&amp;IF(AND(M294="",N294="",O294=""),"telefone, celular ou e-mail; ","")))</f>
      </c>
      <c r="AB294" s="6">
        <f>IF(COUNTA(A294:S294)=0,"",IF(AND(U294="OK",V294="OK",LEFT(W294,4)&lt;&gt;"ERRO",LEFT(X294,4)&lt;&gt;"ERRO",LEFT(Y294,4)&lt;&gt;"ERRO",AA294="OK"),"OK","REVISAR"))</f>
      </c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5"/>
      <c r="K295" s="4"/>
      <c r="L295" s="4"/>
      <c r="M295" s="4"/>
      <c r="N295" s="4"/>
      <c r="O295" s="4"/>
      <c r="P295" s="4"/>
      <c r="Q295" s="4"/>
      <c r="R295" s="4"/>
      <c r="S295" s="4"/>
      <c r="T295" s="6">
        <f>IF(G295="","",SUBSTITUTE(SUBSTITUTE(SUBSTITUTE(SUBSTITUTE(SUBSTITUTE(SUBSTITUTE(SUBSTITUTE(TRIM(G295),".",""),"/",""),"-","")," ",""),"(",""),")",""),"+",""))</f>
      </c>
      <c r="U295" s="6">
        <f>IF(T295="","",IF(LEN(T295)&lt;&gt;14,"ERRO: "&amp;LEN(T295)&amp;" dígitos",IF(NOT(ISNUMBER(VALUE(T295))),"ERRO: não numérico",IF(LEN(SUBSTITUTE(T295,LEFT(T295,1),""))=0,"ERRO: dígitos repetidos",IF(AND(VALUE(MID(T295,13,1))=IF(MOD(SUMPRODUCT(--MID(T295,{1,2,3,4,5,6,7,8,9,10,11,12},1),{5,4,3,2,9,8,7,6,5,4,3,2}),11)&lt;2,0,11-MOD(SUMPRODUCT(--MID(T295,{1,2,3,4,5,6,7,8,9,10,11,12},1),{5,4,3,2,9,8,7,6,5,4,3,2}),11)),VALUE(MID(T295,14,1))=IF(MOD(SUMPRODUCT(--MID(T295,{1,2,3,4,5,6,7,8,9,10,11,12,13},1),{6,5,4,3,2,9,8,7,6,5,4,3,2}),11)&lt;2,0,11-MOD(SUMPRODUCT(--MID(T295,{1,2,3,4,5,6,7,8,9,10,11,12,13},1),{6,5,4,3,2,9,8,7,6,5,4,3,2}),11))),"OK","ERRO: dígito verificador")))))</f>
      </c>
      <c r="V295" s="6">
        <f>IF(T295="","",IF(COUNTIF($T$2:$T$1001,T295)&gt;1,"DUPLICADO","OK"))</f>
      </c>
      <c r="W295" s="6">
        <f>IF(M295="","vazio",IF(OR(AND(LEN(SUBSTITUTE(SUBSTITUTE(SUBSTITUTE(SUBSTITUTE(SUBSTITUTE(SUBSTITUTE(SUBSTITUTE(TRIM(M295),".",""),"/",""),"-","")," ",""),"(",""),")",""),"+",""))=10,LEFT(SUBSTITUTE(SUBSTITUTE(SUBSTITUTE(SUBSTITUTE(SUBSTITUTE(SUBSTITUTE(SUBSTITUTE(TRIM(M295),".",""),"/",""),"-","")," ",""),"(",""),")",""),"+",""),1)&lt;&gt;"0"),AND(LEN(SUBSTITUTE(SUBSTITUTE(SUBSTITUTE(SUBSTITUTE(SUBSTITUTE(SUBSTITUTE(SUBSTITUTE(TRIM(M295),".",""),"/",""),"-","")," ",""),"(",""),")",""),"+",""))=11,LEFT(SUBSTITUTE(SUBSTITUTE(SUBSTITUTE(SUBSTITUTE(SUBSTITUTE(SUBSTITUTE(SUBSTITUTE(TRIM(M295),".",""),"/",""),"-","")," ",""),"(",""),")",""),"+",""),4)="0800")),"OK",IF(AND(LEN(SUBSTITUTE(SUBSTITUTE(SUBSTITUTE(SUBSTITUTE(SUBSTITUTE(SUBSTITUTE(SUBSTITUTE(TRIM(M295),".",""),"/",""),"-","")," ",""),"(",""),")",""),"+",""))=11,MID(SUBSTITUTE(SUBSTITUTE(SUBSTITUTE(SUBSTITUTE(SUBSTITUTE(SUBSTITUTE(SUBSTITUTE(TRIM(M295),".",""),"/",""),"-","")," ",""),"(",""),")",""),"+",""),3,1)="9"),"ERRO: é celular, use a coluna Celular","ERRO: DDD + 8 dígitos ou 0800 + 7")))</f>
      </c>
      <c r="X295" s="6">
        <f>IF(N295="","vazio",IF(AND(LEN(SUBSTITUTE(SUBSTITUTE(SUBSTITUTE(SUBSTITUTE(SUBSTITUTE(SUBSTITUTE(SUBSTITUTE(TRIM(N295),".",""),"/",""),"-","")," ",""),"(",""),")",""),"+",""))=11,MID(SUBSTITUTE(SUBSTITUTE(SUBSTITUTE(SUBSTITUTE(SUBSTITUTE(SUBSTITUTE(SUBSTITUTE(TRIM(N295),".",""),"/",""),"-","")," ",""),"(",""),")",""),"+",""),3,1)="9",LEFT(SUBSTITUTE(SUBSTITUTE(SUBSTITUTE(SUBSTITUTE(SUBSTITUTE(SUBSTITUTE(SUBSTITUTE(TRIM(N295),".",""),"/",""),"-","")," ",""),"(",""),")",""),"+",""),1)&lt;&gt;"0"),"OK",IF(LEN(SUBSTITUTE(SUBSTITUTE(SUBSTITUTE(SUBSTITUTE(SUBSTITUTE(SUBSTITUTE(SUBSTITUTE(TRIM(N295),".",""),"/",""),"-","")," ",""),"(",""),")",""),"+",""))=10,"ERRO: é fixo (ou falta o 9), use a coluna Telefone fixo","ERRO: DDD + 9 + 8 dígitos")))</f>
      </c>
      <c r="Y295" s="6">
        <f>IF(O295="","vazio",IF(AND(ISNUMBER(FIND("@",O295)),ISNUMBER(FIND(".",MID(O295,FIND("@",O295),99))),NOT(ISNUMBER(FIND(" ",TRIM(O295)))),NOT(ISNUMBER(FIND(";",O295))),NOT(ISNUMBER(FIND(",",O295)))),"OK","ERRO: um e-mail válido por linha"))</f>
      </c>
      <c r="Z295" s="6">
        <f>IF(AND(J295="",K295=""),"",IF(AND(J295&lt;&gt;"",K295&lt;&gt;""),"OK","pendente: só um nome (o GR completa ao converter)"))</f>
      </c>
      <c r="AA295" s="6">
        <f>IF(COUNTA(A295:S295)=0,"",IF(AND(A295&lt;&gt;"",B295&lt;&gt;"",C295&lt;&gt;"",D295&lt;&gt;"",E295&lt;&gt;"",F295&lt;&gt;"",G295&lt;&gt;"",H295&lt;&gt;"",OR(J295&lt;&gt;"",K295&lt;&gt;""),OR(M295&lt;&gt;"",N295&lt;&gt;"",O295&lt;&gt;"")),"OK","ERRO: faltam "&amp;IF(A295="","SDR; ","")&amp;IF(B295="","Proprietário; ","")&amp;IF(C295="","Origem; ","")&amp;IF(D295="","Temperatura; ","")&amp;IF(E295="","Segmento; ","")&amp;IF(F295="","Time/Cluster; ","")&amp;IF(G295="","CNPJ; ","")&amp;IF(H295="","Razão Social; ","")&amp;IF(AND(J295="",K295=""),"nome do contato; ","")&amp;IF(AND(M295="",N295="",O295=""),"telefone, celular ou e-mail; ","")))</f>
      </c>
      <c r="AB295" s="6">
        <f>IF(COUNTA(A295:S295)=0,"",IF(AND(U295="OK",V295="OK",LEFT(W295,4)&lt;&gt;"ERRO",LEFT(X295,4)&lt;&gt;"ERRO",LEFT(Y295,4)&lt;&gt;"ERRO",AA295="OK"),"OK","REVISAR"))</f>
      </c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5"/>
      <c r="K296" s="4"/>
      <c r="L296" s="4"/>
      <c r="M296" s="4"/>
      <c r="N296" s="4"/>
      <c r="O296" s="4"/>
      <c r="P296" s="4"/>
      <c r="Q296" s="4"/>
      <c r="R296" s="4"/>
      <c r="S296" s="4"/>
      <c r="T296" s="6">
        <f>IF(G296="","",SUBSTITUTE(SUBSTITUTE(SUBSTITUTE(SUBSTITUTE(SUBSTITUTE(SUBSTITUTE(SUBSTITUTE(TRIM(G296),".",""),"/",""),"-","")," ",""),"(",""),")",""),"+",""))</f>
      </c>
      <c r="U296" s="6">
        <f>IF(T296="","",IF(LEN(T296)&lt;&gt;14,"ERRO: "&amp;LEN(T296)&amp;" dígitos",IF(NOT(ISNUMBER(VALUE(T296))),"ERRO: não numérico",IF(LEN(SUBSTITUTE(T296,LEFT(T296,1),""))=0,"ERRO: dígitos repetidos",IF(AND(VALUE(MID(T296,13,1))=IF(MOD(SUMPRODUCT(--MID(T296,{1,2,3,4,5,6,7,8,9,10,11,12},1),{5,4,3,2,9,8,7,6,5,4,3,2}),11)&lt;2,0,11-MOD(SUMPRODUCT(--MID(T296,{1,2,3,4,5,6,7,8,9,10,11,12},1),{5,4,3,2,9,8,7,6,5,4,3,2}),11)),VALUE(MID(T296,14,1))=IF(MOD(SUMPRODUCT(--MID(T296,{1,2,3,4,5,6,7,8,9,10,11,12,13},1),{6,5,4,3,2,9,8,7,6,5,4,3,2}),11)&lt;2,0,11-MOD(SUMPRODUCT(--MID(T296,{1,2,3,4,5,6,7,8,9,10,11,12,13},1),{6,5,4,3,2,9,8,7,6,5,4,3,2}),11))),"OK","ERRO: dígito verificador")))))</f>
      </c>
      <c r="V296" s="6">
        <f>IF(T296="","",IF(COUNTIF($T$2:$T$1001,T296)&gt;1,"DUPLICADO","OK"))</f>
      </c>
      <c r="W296" s="6">
        <f>IF(M296="","vazio",IF(OR(AND(LEN(SUBSTITUTE(SUBSTITUTE(SUBSTITUTE(SUBSTITUTE(SUBSTITUTE(SUBSTITUTE(SUBSTITUTE(TRIM(M296),".",""),"/",""),"-","")," ",""),"(",""),")",""),"+",""))=10,LEFT(SUBSTITUTE(SUBSTITUTE(SUBSTITUTE(SUBSTITUTE(SUBSTITUTE(SUBSTITUTE(SUBSTITUTE(TRIM(M296),".",""),"/",""),"-","")," ",""),"(",""),")",""),"+",""),1)&lt;&gt;"0"),AND(LEN(SUBSTITUTE(SUBSTITUTE(SUBSTITUTE(SUBSTITUTE(SUBSTITUTE(SUBSTITUTE(SUBSTITUTE(TRIM(M296),".",""),"/",""),"-","")," ",""),"(",""),")",""),"+",""))=11,LEFT(SUBSTITUTE(SUBSTITUTE(SUBSTITUTE(SUBSTITUTE(SUBSTITUTE(SUBSTITUTE(SUBSTITUTE(TRIM(M296),".",""),"/",""),"-","")," ",""),"(",""),")",""),"+",""),4)="0800")),"OK",IF(AND(LEN(SUBSTITUTE(SUBSTITUTE(SUBSTITUTE(SUBSTITUTE(SUBSTITUTE(SUBSTITUTE(SUBSTITUTE(TRIM(M296),".",""),"/",""),"-","")," ",""),"(",""),")",""),"+",""))=11,MID(SUBSTITUTE(SUBSTITUTE(SUBSTITUTE(SUBSTITUTE(SUBSTITUTE(SUBSTITUTE(SUBSTITUTE(TRIM(M296),".",""),"/",""),"-","")," ",""),"(",""),")",""),"+",""),3,1)="9"),"ERRO: é celular, use a coluna Celular","ERRO: DDD + 8 dígitos ou 0800 + 7")))</f>
      </c>
      <c r="X296" s="6">
        <f>IF(N296="","vazio",IF(AND(LEN(SUBSTITUTE(SUBSTITUTE(SUBSTITUTE(SUBSTITUTE(SUBSTITUTE(SUBSTITUTE(SUBSTITUTE(TRIM(N296),".",""),"/",""),"-","")," ",""),"(",""),")",""),"+",""))=11,MID(SUBSTITUTE(SUBSTITUTE(SUBSTITUTE(SUBSTITUTE(SUBSTITUTE(SUBSTITUTE(SUBSTITUTE(TRIM(N296),".",""),"/",""),"-","")," ",""),"(",""),")",""),"+",""),3,1)="9",LEFT(SUBSTITUTE(SUBSTITUTE(SUBSTITUTE(SUBSTITUTE(SUBSTITUTE(SUBSTITUTE(SUBSTITUTE(TRIM(N296),".",""),"/",""),"-","")," ",""),"(",""),")",""),"+",""),1)&lt;&gt;"0"),"OK",IF(LEN(SUBSTITUTE(SUBSTITUTE(SUBSTITUTE(SUBSTITUTE(SUBSTITUTE(SUBSTITUTE(SUBSTITUTE(TRIM(N296),".",""),"/",""),"-","")," ",""),"(",""),")",""),"+",""))=10,"ERRO: é fixo (ou falta o 9), use a coluna Telefone fixo","ERRO: DDD + 9 + 8 dígitos")))</f>
      </c>
      <c r="Y296" s="6">
        <f>IF(O296="","vazio",IF(AND(ISNUMBER(FIND("@",O296)),ISNUMBER(FIND(".",MID(O296,FIND("@",O296),99))),NOT(ISNUMBER(FIND(" ",TRIM(O296)))),NOT(ISNUMBER(FIND(";",O296))),NOT(ISNUMBER(FIND(",",O296)))),"OK","ERRO: um e-mail válido por linha"))</f>
      </c>
      <c r="Z296" s="6">
        <f>IF(AND(J296="",K296=""),"",IF(AND(J296&lt;&gt;"",K296&lt;&gt;""),"OK","pendente: só um nome (o GR completa ao converter)"))</f>
      </c>
      <c r="AA296" s="6">
        <f>IF(COUNTA(A296:S296)=0,"",IF(AND(A296&lt;&gt;"",B296&lt;&gt;"",C296&lt;&gt;"",D296&lt;&gt;"",E296&lt;&gt;"",F296&lt;&gt;"",G296&lt;&gt;"",H296&lt;&gt;"",OR(J296&lt;&gt;"",K296&lt;&gt;""),OR(M296&lt;&gt;"",N296&lt;&gt;"",O296&lt;&gt;"")),"OK","ERRO: faltam "&amp;IF(A296="","SDR; ","")&amp;IF(B296="","Proprietário; ","")&amp;IF(C296="","Origem; ","")&amp;IF(D296="","Temperatura; ","")&amp;IF(E296="","Segmento; ","")&amp;IF(F296="","Time/Cluster; ","")&amp;IF(G296="","CNPJ; ","")&amp;IF(H296="","Razão Social; ","")&amp;IF(AND(J296="",K296=""),"nome do contato; ","")&amp;IF(AND(M296="",N296="",O296=""),"telefone, celular ou e-mail; ","")))</f>
      </c>
      <c r="AB296" s="6">
        <f>IF(COUNTA(A296:S296)=0,"",IF(AND(U296="OK",V296="OK",LEFT(W296,4)&lt;&gt;"ERRO",LEFT(X296,4)&lt;&gt;"ERRO",LEFT(Y296,4)&lt;&gt;"ERRO",AA296="OK"),"OK","REVISAR"))</f>
      </c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5"/>
      <c r="K297" s="4"/>
      <c r="L297" s="4"/>
      <c r="M297" s="4"/>
      <c r="N297" s="4"/>
      <c r="O297" s="4"/>
      <c r="P297" s="4"/>
      <c r="Q297" s="4"/>
      <c r="R297" s="4"/>
      <c r="S297" s="4"/>
      <c r="T297" s="6">
        <f>IF(G297="","",SUBSTITUTE(SUBSTITUTE(SUBSTITUTE(SUBSTITUTE(SUBSTITUTE(SUBSTITUTE(SUBSTITUTE(TRIM(G297),".",""),"/",""),"-","")," ",""),"(",""),")",""),"+",""))</f>
      </c>
      <c r="U297" s="6">
        <f>IF(T297="","",IF(LEN(T297)&lt;&gt;14,"ERRO: "&amp;LEN(T297)&amp;" dígitos",IF(NOT(ISNUMBER(VALUE(T297))),"ERRO: não numérico",IF(LEN(SUBSTITUTE(T297,LEFT(T297,1),""))=0,"ERRO: dígitos repetidos",IF(AND(VALUE(MID(T297,13,1))=IF(MOD(SUMPRODUCT(--MID(T297,{1,2,3,4,5,6,7,8,9,10,11,12},1),{5,4,3,2,9,8,7,6,5,4,3,2}),11)&lt;2,0,11-MOD(SUMPRODUCT(--MID(T297,{1,2,3,4,5,6,7,8,9,10,11,12},1),{5,4,3,2,9,8,7,6,5,4,3,2}),11)),VALUE(MID(T297,14,1))=IF(MOD(SUMPRODUCT(--MID(T297,{1,2,3,4,5,6,7,8,9,10,11,12,13},1),{6,5,4,3,2,9,8,7,6,5,4,3,2}),11)&lt;2,0,11-MOD(SUMPRODUCT(--MID(T297,{1,2,3,4,5,6,7,8,9,10,11,12,13},1),{6,5,4,3,2,9,8,7,6,5,4,3,2}),11))),"OK","ERRO: dígito verificador")))))</f>
      </c>
      <c r="V297" s="6">
        <f>IF(T297="","",IF(COUNTIF($T$2:$T$1001,T297)&gt;1,"DUPLICADO","OK"))</f>
      </c>
      <c r="W297" s="6">
        <f>IF(M297="","vazio",IF(OR(AND(LEN(SUBSTITUTE(SUBSTITUTE(SUBSTITUTE(SUBSTITUTE(SUBSTITUTE(SUBSTITUTE(SUBSTITUTE(TRIM(M297),".",""),"/",""),"-","")," ",""),"(",""),")",""),"+",""))=10,LEFT(SUBSTITUTE(SUBSTITUTE(SUBSTITUTE(SUBSTITUTE(SUBSTITUTE(SUBSTITUTE(SUBSTITUTE(TRIM(M297),".",""),"/",""),"-","")," ",""),"(",""),")",""),"+",""),1)&lt;&gt;"0"),AND(LEN(SUBSTITUTE(SUBSTITUTE(SUBSTITUTE(SUBSTITUTE(SUBSTITUTE(SUBSTITUTE(SUBSTITUTE(TRIM(M297),".",""),"/",""),"-","")," ",""),"(",""),")",""),"+",""))=11,LEFT(SUBSTITUTE(SUBSTITUTE(SUBSTITUTE(SUBSTITUTE(SUBSTITUTE(SUBSTITUTE(SUBSTITUTE(TRIM(M297),".",""),"/",""),"-","")," ",""),"(",""),")",""),"+",""),4)="0800")),"OK",IF(AND(LEN(SUBSTITUTE(SUBSTITUTE(SUBSTITUTE(SUBSTITUTE(SUBSTITUTE(SUBSTITUTE(SUBSTITUTE(TRIM(M297),".",""),"/",""),"-","")," ",""),"(",""),")",""),"+",""))=11,MID(SUBSTITUTE(SUBSTITUTE(SUBSTITUTE(SUBSTITUTE(SUBSTITUTE(SUBSTITUTE(SUBSTITUTE(TRIM(M297),".",""),"/",""),"-","")," ",""),"(",""),")",""),"+",""),3,1)="9"),"ERRO: é celular, use a coluna Celular","ERRO: DDD + 8 dígitos ou 0800 + 7")))</f>
      </c>
      <c r="X297" s="6">
        <f>IF(N297="","vazio",IF(AND(LEN(SUBSTITUTE(SUBSTITUTE(SUBSTITUTE(SUBSTITUTE(SUBSTITUTE(SUBSTITUTE(SUBSTITUTE(TRIM(N297),".",""),"/",""),"-","")," ",""),"(",""),")",""),"+",""))=11,MID(SUBSTITUTE(SUBSTITUTE(SUBSTITUTE(SUBSTITUTE(SUBSTITUTE(SUBSTITUTE(SUBSTITUTE(TRIM(N297),".",""),"/",""),"-","")," ",""),"(",""),")",""),"+",""),3,1)="9",LEFT(SUBSTITUTE(SUBSTITUTE(SUBSTITUTE(SUBSTITUTE(SUBSTITUTE(SUBSTITUTE(SUBSTITUTE(TRIM(N297),".",""),"/",""),"-","")," ",""),"(",""),")",""),"+",""),1)&lt;&gt;"0"),"OK",IF(LEN(SUBSTITUTE(SUBSTITUTE(SUBSTITUTE(SUBSTITUTE(SUBSTITUTE(SUBSTITUTE(SUBSTITUTE(TRIM(N297),".",""),"/",""),"-","")," ",""),"(",""),")",""),"+",""))=10,"ERRO: é fixo (ou falta o 9), use a coluna Telefone fixo","ERRO: DDD + 9 + 8 dígitos")))</f>
      </c>
      <c r="Y297" s="6">
        <f>IF(O297="","vazio",IF(AND(ISNUMBER(FIND("@",O297)),ISNUMBER(FIND(".",MID(O297,FIND("@",O297),99))),NOT(ISNUMBER(FIND(" ",TRIM(O297)))),NOT(ISNUMBER(FIND(";",O297))),NOT(ISNUMBER(FIND(",",O297)))),"OK","ERRO: um e-mail válido por linha"))</f>
      </c>
      <c r="Z297" s="6">
        <f>IF(AND(J297="",K297=""),"",IF(AND(J297&lt;&gt;"",K297&lt;&gt;""),"OK","pendente: só um nome (o GR completa ao converter)"))</f>
      </c>
      <c r="AA297" s="6">
        <f>IF(COUNTA(A297:S297)=0,"",IF(AND(A297&lt;&gt;"",B297&lt;&gt;"",C297&lt;&gt;"",D297&lt;&gt;"",E297&lt;&gt;"",F297&lt;&gt;"",G297&lt;&gt;"",H297&lt;&gt;"",OR(J297&lt;&gt;"",K297&lt;&gt;""),OR(M297&lt;&gt;"",N297&lt;&gt;"",O297&lt;&gt;"")),"OK","ERRO: faltam "&amp;IF(A297="","SDR; ","")&amp;IF(B297="","Proprietário; ","")&amp;IF(C297="","Origem; ","")&amp;IF(D297="","Temperatura; ","")&amp;IF(E297="","Segmento; ","")&amp;IF(F297="","Time/Cluster; ","")&amp;IF(G297="","CNPJ; ","")&amp;IF(H297="","Razão Social; ","")&amp;IF(AND(J297="",K297=""),"nome do contato; ","")&amp;IF(AND(M297="",N297="",O297=""),"telefone, celular ou e-mail; ","")))</f>
      </c>
      <c r="AB297" s="6">
        <f>IF(COUNTA(A297:S297)=0,"",IF(AND(U297="OK",V297="OK",LEFT(W297,4)&lt;&gt;"ERRO",LEFT(X297,4)&lt;&gt;"ERRO",LEFT(Y297,4)&lt;&gt;"ERRO",AA297="OK"),"OK","REVISAR"))</f>
      </c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5"/>
      <c r="K298" s="4"/>
      <c r="L298" s="4"/>
      <c r="M298" s="4"/>
      <c r="N298" s="4"/>
      <c r="O298" s="4"/>
      <c r="P298" s="4"/>
      <c r="Q298" s="4"/>
      <c r="R298" s="4"/>
      <c r="S298" s="4"/>
      <c r="T298" s="6">
        <f>IF(G298="","",SUBSTITUTE(SUBSTITUTE(SUBSTITUTE(SUBSTITUTE(SUBSTITUTE(SUBSTITUTE(SUBSTITUTE(TRIM(G298),".",""),"/",""),"-","")," ",""),"(",""),")",""),"+",""))</f>
      </c>
      <c r="U298" s="6">
        <f>IF(T298="","",IF(LEN(T298)&lt;&gt;14,"ERRO: "&amp;LEN(T298)&amp;" dígitos",IF(NOT(ISNUMBER(VALUE(T298))),"ERRO: não numérico",IF(LEN(SUBSTITUTE(T298,LEFT(T298,1),""))=0,"ERRO: dígitos repetidos",IF(AND(VALUE(MID(T298,13,1))=IF(MOD(SUMPRODUCT(--MID(T298,{1,2,3,4,5,6,7,8,9,10,11,12},1),{5,4,3,2,9,8,7,6,5,4,3,2}),11)&lt;2,0,11-MOD(SUMPRODUCT(--MID(T298,{1,2,3,4,5,6,7,8,9,10,11,12},1),{5,4,3,2,9,8,7,6,5,4,3,2}),11)),VALUE(MID(T298,14,1))=IF(MOD(SUMPRODUCT(--MID(T298,{1,2,3,4,5,6,7,8,9,10,11,12,13},1),{6,5,4,3,2,9,8,7,6,5,4,3,2}),11)&lt;2,0,11-MOD(SUMPRODUCT(--MID(T298,{1,2,3,4,5,6,7,8,9,10,11,12,13},1),{6,5,4,3,2,9,8,7,6,5,4,3,2}),11))),"OK","ERRO: dígito verificador")))))</f>
      </c>
      <c r="V298" s="6">
        <f>IF(T298="","",IF(COUNTIF($T$2:$T$1001,T298)&gt;1,"DUPLICADO","OK"))</f>
      </c>
      <c r="W298" s="6">
        <f>IF(M298="","vazio",IF(OR(AND(LEN(SUBSTITUTE(SUBSTITUTE(SUBSTITUTE(SUBSTITUTE(SUBSTITUTE(SUBSTITUTE(SUBSTITUTE(TRIM(M298),".",""),"/",""),"-","")," ",""),"(",""),")",""),"+",""))=10,LEFT(SUBSTITUTE(SUBSTITUTE(SUBSTITUTE(SUBSTITUTE(SUBSTITUTE(SUBSTITUTE(SUBSTITUTE(TRIM(M298),".",""),"/",""),"-","")," ",""),"(",""),")",""),"+",""),1)&lt;&gt;"0"),AND(LEN(SUBSTITUTE(SUBSTITUTE(SUBSTITUTE(SUBSTITUTE(SUBSTITUTE(SUBSTITUTE(SUBSTITUTE(TRIM(M298),".",""),"/",""),"-","")," ",""),"(",""),")",""),"+",""))=11,LEFT(SUBSTITUTE(SUBSTITUTE(SUBSTITUTE(SUBSTITUTE(SUBSTITUTE(SUBSTITUTE(SUBSTITUTE(TRIM(M298),".",""),"/",""),"-","")," ",""),"(",""),")",""),"+",""),4)="0800")),"OK",IF(AND(LEN(SUBSTITUTE(SUBSTITUTE(SUBSTITUTE(SUBSTITUTE(SUBSTITUTE(SUBSTITUTE(SUBSTITUTE(TRIM(M298),".",""),"/",""),"-","")," ",""),"(",""),")",""),"+",""))=11,MID(SUBSTITUTE(SUBSTITUTE(SUBSTITUTE(SUBSTITUTE(SUBSTITUTE(SUBSTITUTE(SUBSTITUTE(TRIM(M298),".",""),"/",""),"-","")," ",""),"(",""),")",""),"+",""),3,1)="9"),"ERRO: é celular, use a coluna Celular","ERRO: DDD + 8 dígitos ou 0800 + 7")))</f>
      </c>
      <c r="X298" s="6">
        <f>IF(N298="","vazio",IF(AND(LEN(SUBSTITUTE(SUBSTITUTE(SUBSTITUTE(SUBSTITUTE(SUBSTITUTE(SUBSTITUTE(SUBSTITUTE(TRIM(N298),".",""),"/",""),"-","")," ",""),"(",""),")",""),"+",""))=11,MID(SUBSTITUTE(SUBSTITUTE(SUBSTITUTE(SUBSTITUTE(SUBSTITUTE(SUBSTITUTE(SUBSTITUTE(TRIM(N298),".",""),"/",""),"-","")," ",""),"(",""),")",""),"+",""),3,1)="9",LEFT(SUBSTITUTE(SUBSTITUTE(SUBSTITUTE(SUBSTITUTE(SUBSTITUTE(SUBSTITUTE(SUBSTITUTE(TRIM(N298),".",""),"/",""),"-","")," ",""),"(",""),")",""),"+",""),1)&lt;&gt;"0"),"OK",IF(LEN(SUBSTITUTE(SUBSTITUTE(SUBSTITUTE(SUBSTITUTE(SUBSTITUTE(SUBSTITUTE(SUBSTITUTE(TRIM(N298),".",""),"/",""),"-","")," ",""),"(",""),")",""),"+",""))=10,"ERRO: é fixo (ou falta o 9), use a coluna Telefone fixo","ERRO: DDD + 9 + 8 dígitos")))</f>
      </c>
      <c r="Y298" s="6">
        <f>IF(O298="","vazio",IF(AND(ISNUMBER(FIND("@",O298)),ISNUMBER(FIND(".",MID(O298,FIND("@",O298),99))),NOT(ISNUMBER(FIND(" ",TRIM(O298)))),NOT(ISNUMBER(FIND(";",O298))),NOT(ISNUMBER(FIND(",",O298)))),"OK","ERRO: um e-mail válido por linha"))</f>
      </c>
      <c r="Z298" s="6">
        <f>IF(AND(J298="",K298=""),"",IF(AND(J298&lt;&gt;"",K298&lt;&gt;""),"OK","pendente: só um nome (o GR completa ao converter)"))</f>
      </c>
      <c r="AA298" s="6">
        <f>IF(COUNTA(A298:S298)=0,"",IF(AND(A298&lt;&gt;"",B298&lt;&gt;"",C298&lt;&gt;"",D298&lt;&gt;"",E298&lt;&gt;"",F298&lt;&gt;"",G298&lt;&gt;"",H298&lt;&gt;"",OR(J298&lt;&gt;"",K298&lt;&gt;""),OR(M298&lt;&gt;"",N298&lt;&gt;"",O298&lt;&gt;"")),"OK","ERRO: faltam "&amp;IF(A298="","SDR; ","")&amp;IF(B298="","Proprietário; ","")&amp;IF(C298="","Origem; ","")&amp;IF(D298="","Temperatura; ","")&amp;IF(E298="","Segmento; ","")&amp;IF(F298="","Time/Cluster; ","")&amp;IF(G298="","CNPJ; ","")&amp;IF(H298="","Razão Social; ","")&amp;IF(AND(J298="",K298=""),"nome do contato; ","")&amp;IF(AND(M298="",N298="",O298=""),"telefone, celular ou e-mail; ","")))</f>
      </c>
      <c r="AB298" s="6">
        <f>IF(COUNTA(A298:S298)=0,"",IF(AND(U298="OK",V298="OK",LEFT(W298,4)&lt;&gt;"ERRO",LEFT(X298,4)&lt;&gt;"ERRO",LEFT(Y298,4)&lt;&gt;"ERRO",AA298="OK"),"OK","REVISAR"))</f>
      </c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5"/>
      <c r="K299" s="4"/>
      <c r="L299" s="4"/>
      <c r="M299" s="4"/>
      <c r="N299" s="4"/>
      <c r="O299" s="4"/>
      <c r="P299" s="4"/>
      <c r="Q299" s="4"/>
      <c r="R299" s="4"/>
      <c r="S299" s="4"/>
      <c r="T299" s="6">
        <f>IF(G299="","",SUBSTITUTE(SUBSTITUTE(SUBSTITUTE(SUBSTITUTE(SUBSTITUTE(SUBSTITUTE(SUBSTITUTE(TRIM(G299),".",""),"/",""),"-","")," ",""),"(",""),")",""),"+",""))</f>
      </c>
      <c r="U299" s="6">
        <f>IF(T299="","",IF(LEN(T299)&lt;&gt;14,"ERRO: "&amp;LEN(T299)&amp;" dígitos",IF(NOT(ISNUMBER(VALUE(T299))),"ERRO: não numérico",IF(LEN(SUBSTITUTE(T299,LEFT(T299,1),""))=0,"ERRO: dígitos repetidos",IF(AND(VALUE(MID(T299,13,1))=IF(MOD(SUMPRODUCT(--MID(T299,{1,2,3,4,5,6,7,8,9,10,11,12},1),{5,4,3,2,9,8,7,6,5,4,3,2}),11)&lt;2,0,11-MOD(SUMPRODUCT(--MID(T299,{1,2,3,4,5,6,7,8,9,10,11,12},1),{5,4,3,2,9,8,7,6,5,4,3,2}),11)),VALUE(MID(T299,14,1))=IF(MOD(SUMPRODUCT(--MID(T299,{1,2,3,4,5,6,7,8,9,10,11,12,13},1),{6,5,4,3,2,9,8,7,6,5,4,3,2}),11)&lt;2,0,11-MOD(SUMPRODUCT(--MID(T299,{1,2,3,4,5,6,7,8,9,10,11,12,13},1),{6,5,4,3,2,9,8,7,6,5,4,3,2}),11))),"OK","ERRO: dígito verificador")))))</f>
      </c>
      <c r="V299" s="6">
        <f>IF(T299="","",IF(COUNTIF($T$2:$T$1001,T299)&gt;1,"DUPLICADO","OK"))</f>
      </c>
      <c r="W299" s="6">
        <f>IF(M299="","vazio",IF(OR(AND(LEN(SUBSTITUTE(SUBSTITUTE(SUBSTITUTE(SUBSTITUTE(SUBSTITUTE(SUBSTITUTE(SUBSTITUTE(TRIM(M299),".",""),"/",""),"-","")," ",""),"(",""),")",""),"+",""))=10,LEFT(SUBSTITUTE(SUBSTITUTE(SUBSTITUTE(SUBSTITUTE(SUBSTITUTE(SUBSTITUTE(SUBSTITUTE(TRIM(M299),".",""),"/",""),"-","")," ",""),"(",""),")",""),"+",""),1)&lt;&gt;"0"),AND(LEN(SUBSTITUTE(SUBSTITUTE(SUBSTITUTE(SUBSTITUTE(SUBSTITUTE(SUBSTITUTE(SUBSTITUTE(TRIM(M299),".",""),"/",""),"-","")," ",""),"(",""),")",""),"+",""))=11,LEFT(SUBSTITUTE(SUBSTITUTE(SUBSTITUTE(SUBSTITUTE(SUBSTITUTE(SUBSTITUTE(SUBSTITUTE(TRIM(M299),".",""),"/",""),"-","")," ",""),"(",""),")",""),"+",""),4)="0800")),"OK",IF(AND(LEN(SUBSTITUTE(SUBSTITUTE(SUBSTITUTE(SUBSTITUTE(SUBSTITUTE(SUBSTITUTE(SUBSTITUTE(TRIM(M299),".",""),"/",""),"-","")," ",""),"(",""),")",""),"+",""))=11,MID(SUBSTITUTE(SUBSTITUTE(SUBSTITUTE(SUBSTITUTE(SUBSTITUTE(SUBSTITUTE(SUBSTITUTE(TRIM(M299),".",""),"/",""),"-","")," ",""),"(",""),")",""),"+",""),3,1)="9"),"ERRO: é celular, use a coluna Celular","ERRO: DDD + 8 dígitos ou 0800 + 7")))</f>
      </c>
      <c r="X299" s="6">
        <f>IF(N299="","vazio",IF(AND(LEN(SUBSTITUTE(SUBSTITUTE(SUBSTITUTE(SUBSTITUTE(SUBSTITUTE(SUBSTITUTE(SUBSTITUTE(TRIM(N299),".",""),"/",""),"-","")," ",""),"(",""),")",""),"+",""))=11,MID(SUBSTITUTE(SUBSTITUTE(SUBSTITUTE(SUBSTITUTE(SUBSTITUTE(SUBSTITUTE(SUBSTITUTE(TRIM(N299),".",""),"/",""),"-","")," ",""),"(",""),")",""),"+",""),3,1)="9",LEFT(SUBSTITUTE(SUBSTITUTE(SUBSTITUTE(SUBSTITUTE(SUBSTITUTE(SUBSTITUTE(SUBSTITUTE(TRIM(N299),".",""),"/",""),"-","")," ",""),"(",""),")",""),"+",""),1)&lt;&gt;"0"),"OK",IF(LEN(SUBSTITUTE(SUBSTITUTE(SUBSTITUTE(SUBSTITUTE(SUBSTITUTE(SUBSTITUTE(SUBSTITUTE(TRIM(N299),".",""),"/",""),"-","")," ",""),"(",""),")",""),"+",""))=10,"ERRO: é fixo (ou falta o 9), use a coluna Telefone fixo","ERRO: DDD + 9 + 8 dígitos")))</f>
      </c>
      <c r="Y299" s="6">
        <f>IF(O299="","vazio",IF(AND(ISNUMBER(FIND("@",O299)),ISNUMBER(FIND(".",MID(O299,FIND("@",O299),99))),NOT(ISNUMBER(FIND(" ",TRIM(O299)))),NOT(ISNUMBER(FIND(";",O299))),NOT(ISNUMBER(FIND(",",O299)))),"OK","ERRO: um e-mail válido por linha"))</f>
      </c>
      <c r="Z299" s="6">
        <f>IF(AND(J299="",K299=""),"",IF(AND(J299&lt;&gt;"",K299&lt;&gt;""),"OK","pendente: só um nome (o GR completa ao converter)"))</f>
      </c>
      <c r="AA299" s="6">
        <f>IF(COUNTA(A299:S299)=0,"",IF(AND(A299&lt;&gt;"",B299&lt;&gt;"",C299&lt;&gt;"",D299&lt;&gt;"",E299&lt;&gt;"",F299&lt;&gt;"",G299&lt;&gt;"",H299&lt;&gt;"",OR(J299&lt;&gt;"",K299&lt;&gt;""),OR(M299&lt;&gt;"",N299&lt;&gt;"",O299&lt;&gt;"")),"OK","ERRO: faltam "&amp;IF(A299="","SDR; ","")&amp;IF(B299="","Proprietário; ","")&amp;IF(C299="","Origem; ","")&amp;IF(D299="","Temperatura; ","")&amp;IF(E299="","Segmento; ","")&amp;IF(F299="","Time/Cluster; ","")&amp;IF(G299="","CNPJ; ","")&amp;IF(H299="","Razão Social; ","")&amp;IF(AND(J299="",K299=""),"nome do contato; ","")&amp;IF(AND(M299="",N299="",O299=""),"telefone, celular ou e-mail; ","")))</f>
      </c>
      <c r="AB299" s="6">
        <f>IF(COUNTA(A299:S299)=0,"",IF(AND(U299="OK",V299="OK",LEFT(W299,4)&lt;&gt;"ERRO",LEFT(X299,4)&lt;&gt;"ERRO",LEFT(Y299,4)&lt;&gt;"ERRO",AA299="OK"),"OK","REVISAR"))</f>
      </c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5"/>
      <c r="K300" s="4"/>
      <c r="L300" s="4"/>
      <c r="M300" s="4"/>
      <c r="N300" s="4"/>
      <c r="O300" s="4"/>
      <c r="P300" s="4"/>
      <c r="Q300" s="4"/>
      <c r="R300" s="4"/>
      <c r="S300" s="4"/>
      <c r="T300" s="6">
        <f>IF(G300="","",SUBSTITUTE(SUBSTITUTE(SUBSTITUTE(SUBSTITUTE(SUBSTITUTE(SUBSTITUTE(SUBSTITUTE(TRIM(G300),".",""),"/",""),"-","")," ",""),"(",""),")",""),"+",""))</f>
      </c>
      <c r="U300" s="6">
        <f>IF(T300="","",IF(LEN(T300)&lt;&gt;14,"ERRO: "&amp;LEN(T300)&amp;" dígitos",IF(NOT(ISNUMBER(VALUE(T300))),"ERRO: não numérico",IF(LEN(SUBSTITUTE(T300,LEFT(T300,1),""))=0,"ERRO: dígitos repetidos",IF(AND(VALUE(MID(T300,13,1))=IF(MOD(SUMPRODUCT(--MID(T300,{1,2,3,4,5,6,7,8,9,10,11,12},1),{5,4,3,2,9,8,7,6,5,4,3,2}),11)&lt;2,0,11-MOD(SUMPRODUCT(--MID(T300,{1,2,3,4,5,6,7,8,9,10,11,12},1),{5,4,3,2,9,8,7,6,5,4,3,2}),11)),VALUE(MID(T300,14,1))=IF(MOD(SUMPRODUCT(--MID(T300,{1,2,3,4,5,6,7,8,9,10,11,12,13},1),{6,5,4,3,2,9,8,7,6,5,4,3,2}),11)&lt;2,0,11-MOD(SUMPRODUCT(--MID(T300,{1,2,3,4,5,6,7,8,9,10,11,12,13},1),{6,5,4,3,2,9,8,7,6,5,4,3,2}),11))),"OK","ERRO: dígito verificador")))))</f>
      </c>
      <c r="V300" s="6">
        <f>IF(T300="","",IF(COUNTIF($T$2:$T$1001,T300)&gt;1,"DUPLICADO","OK"))</f>
      </c>
      <c r="W300" s="6">
        <f>IF(M300="","vazio",IF(OR(AND(LEN(SUBSTITUTE(SUBSTITUTE(SUBSTITUTE(SUBSTITUTE(SUBSTITUTE(SUBSTITUTE(SUBSTITUTE(TRIM(M300),".",""),"/",""),"-","")," ",""),"(",""),")",""),"+",""))=10,LEFT(SUBSTITUTE(SUBSTITUTE(SUBSTITUTE(SUBSTITUTE(SUBSTITUTE(SUBSTITUTE(SUBSTITUTE(TRIM(M300),".",""),"/",""),"-","")," ",""),"(",""),")",""),"+",""),1)&lt;&gt;"0"),AND(LEN(SUBSTITUTE(SUBSTITUTE(SUBSTITUTE(SUBSTITUTE(SUBSTITUTE(SUBSTITUTE(SUBSTITUTE(TRIM(M300),".",""),"/",""),"-","")," ",""),"(",""),")",""),"+",""))=11,LEFT(SUBSTITUTE(SUBSTITUTE(SUBSTITUTE(SUBSTITUTE(SUBSTITUTE(SUBSTITUTE(SUBSTITUTE(TRIM(M300),".",""),"/",""),"-","")," ",""),"(",""),")",""),"+",""),4)="0800")),"OK",IF(AND(LEN(SUBSTITUTE(SUBSTITUTE(SUBSTITUTE(SUBSTITUTE(SUBSTITUTE(SUBSTITUTE(SUBSTITUTE(TRIM(M300),".",""),"/",""),"-","")," ",""),"(",""),")",""),"+",""))=11,MID(SUBSTITUTE(SUBSTITUTE(SUBSTITUTE(SUBSTITUTE(SUBSTITUTE(SUBSTITUTE(SUBSTITUTE(TRIM(M300),".",""),"/",""),"-","")," ",""),"(",""),")",""),"+",""),3,1)="9"),"ERRO: é celular, use a coluna Celular","ERRO: DDD + 8 dígitos ou 0800 + 7")))</f>
      </c>
      <c r="X300" s="6">
        <f>IF(N300="","vazio",IF(AND(LEN(SUBSTITUTE(SUBSTITUTE(SUBSTITUTE(SUBSTITUTE(SUBSTITUTE(SUBSTITUTE(SUBSTITUTE(TRIM(N300),".",""),"/",""),"-","")," ",""),"(",""),")",""),"+",""))=11,MID(SUBSTITUTE(SUBSTITUTE(SUBSTITUTE(SUBSTITUTE(SUBSTITUTE(SUBSTITUTE(SUBSTITUTE(TRIM(N300),".",""),"/",""),"-","")," ",""),"(",""),")",""),"+",""),3,1)="9",LEFT(SUBSTITUTE(SUBSTITUTE(SUBSTITUTE(SUBSTITUTE(SUBSTITUTE(SUBSTITUTE(SUBSTITUTE(TRIM(N300),".",""),"/",""),"-","")," ",""),"(",""),")",""),"+",""),1)&lt;&gt;"0"),"OK",IF(LEN(SUBSTITUTE(SUBSTITUTE(SUBSTITUTE(SUBSTITUTE(SUBSTITUTE(SUBSTITUTE(SUBSTITUTE(TRIM(N300),".",""),"/",""),"-","")," ",""),"(",""),")",""),"+",""))=10,"ERRO: é fixo (ou falta o 9), use a coluna Telefone fixo","ERRO: DDD + 9 + 8 dígitos")))</f>
      </c>
      <c r="Y300" s="6">
        <f>IF(O300="","vazio",IF(AND(ISNUMBER(FIND("@",O300)),ISNUMBER(FIND(".",MID(O300,FIND("@",O300),99))),NOT(ISNUMBER(FIND(" ",TRIM(O300)))),NOT(ISNUMBER(FIND(";",O300))),NOT(ISNUMBER(FIND(",",O300)))),"OK","ERRO: um e-mail válido por linha"))</f>
      </c>
      <c r="Z300" s="6">
        <f>IF(AND(J300="",K300=""),"",IF(AND(J300&lt;&gt;"",K300&lt;&gt;""),"OK","pendente: só um nome (o GR completa ao converter)"))</f>
      </c>
      <c r="AA300" s="6">
        <f>IF(COUNTA(A300:S300)=0,"",IF(AND(A300&lt;&gt;"",B300&lt;&gt;"",C300&lt;&gt;"",D300&lt;&gt;"",E300&lt;&gt;"",F300&lt;&gt;"",G300&lt;&gt;"",H300&lt;&gt;"",OR(J300&lt;&gt;"",K300&lt;&gt;""),OR(M300&lt;&gt;"",N300&lt;&gt;"",O300&lt;&gt;"")),"OK","ERRO: faltam "&amp;IF(A300="","SDR; ","")&amp;IF(B300="","Proprietário; ","")&amp;IF(C300="","Origem; ","")&amp;IF(D300="","Temperatura; ","")&amp;IF(E300="","Segmento; ","")&amp;IF(F300="","Time/Cluster; ","")&amp;IF(G300="","CNPJ; ","")&amp;IF(H300="","Razão Social; ","")&amp;IF(AND(J300="",K300=""),"nome do contato; ","")&amp;IF(AND(M300="",N300="",O300=""),"telefone, celular ou e-mail; ","")))</f>
      </c>
      <c r="AB300" s="6">
        <f>IF(COUNTA(A300:S300)=0,"",IF(AND(U300="OK",V300="OK",LEFT(W300,4)&lt;&gt;"ERRO",LEFT(X300,4)&lt;&gt;"ERRO",LEFT(Y300,4)&lt;&gt;"ERRO",AA300="OK"),"OK","REVISAR"))</f>
      </c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5"/>
      <c r="K301" s="4"/>
      <c r="L301" s="4"/>
      <c r="M301" s="4"/>
      <c r="N301" s="4"/>
      <c r="O301" s="4"/>
      <c r="P301" s="4"/>
      <c r="Q301" s="4"/>
      <c r="R301" s="4"/>
      <c r="S301" s="4"/>
      <c r="T301" s="6">
        <f>IF(G301="","",SUBSTITUTE(SUBSTITUTE(SUBSTITUTE(SUBSTITUTE(SUBSTITUTE(SUBSTITUTE(SUBSTITUTE(TRIM(G301),".",""),"/",""),"-","")," ",""),"(",""),")",""),"+",""))</f>
      </c>
      <c r="U301" s="6">
        <f>IF(T301="","",IF(LEN(T301)&lt;&gt;14,"ERRO: "&amp;LEN(T301)&amp;" dígitos",IF(NOT(ISNUMBER(VALUE(T301))),"ERRO: não numérico",IF(LEN(SUBSTITUTE(T301,LEFT(T301,1),""))=0,"ERRO: dígitos repetidos",IF(AND(VALUE(MID(T301,13,1))=IF(MOD(SUMPRODUCT(--MID(T301,{1,2,3,4,5,6,7,8,9,10,11,12},1),{5,4,3,2,9,8,7,6,5,4,3,2}),11)&lt;2,0,11-MOD(SUMPRODUCT(--MID(T301,{1,2,3,4,5,6,7,8,9,10,11,12},1),{5,4,3,2,9,8,7,6,5,4,3,2}),11)),VALUE(MID(T301,14,1))=IF(MOD(SUMPRODUCT(--MID(T301,{1,2,3,4,5,6,7,8,9,10,11,12,13},1),{6,5,4,3,2,9,8,7,6,5,4,3,2}),11)&lt;2,0,11-MOD(SUMPRODUCT(--MID(T301,{1,2,3,4,5,6,7,8,9,10,11,12,13},1),{6,5,4,3,2,9,8,7,6,5,4,3,2}),11))),"OK","ERRO: dígito verificador")))))</f>
      </c>
      <c r="V301" s="6">
        <f>IF(T301="","",IF(COUNTIF($T$2:$T$1001,T301)&gt;1,"DUPLICADO","OK"))</f>
      </c>
      <c r="W301" s="6">
        <f>IF(M301="","vazio",IF(OR(AND(LEN(SUBSTITUTE(SUBSTITUTE(SUBSTITUTE(SUBSTITUTE(SUBSTITUTE(SUBSTITUTE(SUBSTITUTE(TRIM(M301),".",""),"/",""),"-","")," ",""),"(",""),")",""),"+",""))=10,LEFT(SUBSTITUTE(SUBSTITUTE(SUBSTITUTE(SUBSTITUTE(SUBSTITUTE(SUBSTITUTE(SUBSTITUTE(TRIM(M301),".",""),"/",""),"-","")," ",""),"(",""),")",""),"+",""),1)&lt;&gt;"0"),AND(LEN(SUBSTITUTE(SUBSTITUTE(SUBSTITUTE(SUBSTITUTE(SUBSTITUTE(SUBSTITUTE(SUBSTITUTE(TRIM(M301),".",""),"/",""),"-","")," ",""),"(",""),")",""),"+",""))=11,LEFT(SUBSTITUTE(SUBSTITUTE(SUBSTITUTE(SUBSTITUTE(SUBSTITUTE(SUBSTITUTE(SUBSTITUTE(TRIM(M301),".",""),"/",""),"-","")," ",""),"(",""),")",""),"+",""),4)="0800")),"OK",IF(AND(LEN(SUBSTITUTE(SUBSTITUTE(SUBSTITUTE(SUBSTITUTE(SUBSTITUTE(SUBSTITUTE(SUBSTITUTE(TRIM(M301),".",""),"/",""),"-","")," ",""),"(",""),")",""),"+",""))=11,MID(SUBSTITUTE(SUBSTITUTE(SUBSTITUTE(SUBSTITUTE(SUBSTITUTE(SUBSTITUTE(SUBSTITUTE(TRIM(M301),".",""),"/",""),"-","")," ",""),"(",""),")",""),"+",""),3,1)="9"),"ERRO: é celular, use a coluna Celular","ERRO: DDD + 8 dígitos ou 0800 + 7")))</f>
      </c>
      <c r="X301" s="6">
        <f>IF(N301="","vazio",IF(AND(LEN(SUBSTITUTE(SUBSTITUTE(SUBSTITUTE(SUBSTITUTE(SUBSTITUTE(SUBSTITUTE(SUBSTITUTE(TRIM(N301),".",""),"/",""),"-","")," ",""),"(",""),")",""),"+",""))=11,MID(SUBSTITUTE(SUBSTITUTE(SUBSTITUTE(SUBSTITUTE(SUBSTITUTE(SUBSTITUTE(SUBSTITUTE(TRIM(N301),".",""),"/",""),"-","")," ",""),"(",""),")",""),"+",""),3,1)="9",LEFT(SUBSTITUTE(SUBSTITUTE(SUBSTITUTE(SUBSTITUTE(SUBSTITUTE(SUBSTITUTE(SUBSTITUTE(TRIM(N301),".",""),"/",""),"-","")," ",""),"(",""),")",""),"+",""),1)&lt;&gt;"0"),"OK",IF(LEN(SUBSTITUTE(SUBSTITUTE(SUBSTITUTE(SUBSTITUTE(SUBSTITUTE(SUBSTITUTE(SUBSTITUTE(TRIM(N301),".",""),"/",""),"-","")," ",""),"(",""),")",""),"+",""))=10,"ERRO: é fixo (ou falta o 9), use a coluna Telefone fixo","ERRO: DDD + 9 + 8 dígitos")))</f>
      </c>
      <c r="Y301" s="6">
        <f>IF(O301="","vazio",IF(AND(ISNUMBER(FIND("@",O301)),ISNUMBER(FIND(".",MID(O301,FIND("@",O301),99))),NOT(ISNUMBER(FIND(" ",TRIM(O301)))),NOT(ISNUMBER(FIND(";",O301))),NOT(ISNUMBER(FIND(",",O301)))),"OK","ERRO: um e-mail válido por linha"))</f>
      </c>
      <c r="Z301" s="6">
        <f>IF(AND(J301="",K301=""),"",IF(AND(J301&lt;&gt;"",K301&lt;&gt;""),"OK","pendente: só um nome (o GR completa ao converter)"))</f>
      </c>
      <c r="AA301" s="6">
        <f>IF(COUNTA(A301:S301)=0,"",IF(AND(A301&lt;&gt;"",B301&lt;&gt;"",C301&lt;&gt;"",D301&lt;&gt;"",E301&lt;&gt;"",F301&lt;&gt;"",G301&lt;&gt;"",H301&lt;&gt;"",OR(J301&lt;&gt;"",K301&lt;&gt;""),OR(M301&lt;&gt;"",N301&lt;&gt;"",O301&lt;&gt;"")),"OK","ERRO: faltam "&amp;IF(A301="","SDR; ","")&amp;IF(B301="","Proprietário; ","")&amp;IF(C301="","Origem; ","")&amp;IF(D301="","Temperatura; ","")&amp;IF(E301="","Segmento; ","")&amp;IF(F301="","Time/Cluster; ","")&amp;IF(G301="","CNPJ; ","")&amp;IF(H301="","Razão Social; ","")&amp;IF(AND(J301="",K301=""),"nome do contato; ","")&amp;IF(AND(M301="",N301="",O301=""),"telefone, celular ou e-mail; ","")))</f>
      </c>
      <c r="AB301" s="6">
        <f>IF(COUNTA(A301:S301)=0,"",IF(AND(U301="OK",V301="OK",LEFT(W301,4)&lt;&gt;"ERRO",LEFT(X301,4)&lt;&gt;"ERRO",LEFT(Y301,4)&lt;&gt;"ERRO",AA301="OK"),"OK","REVISAR"))</f>
      </c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5"/>
      <c r="K302" s="4"/>
      <c r="L302" s="4"/>
      <c r="M302" s="4"/>
      <c r="N302" s="4"/>
      <c r="O302" s="4"/>
      <c r="P302" s="4"/>
      <c r="Q302" s="4"/>
      <c r="R302" s="4"/>
      <c r="S302" s="4"/>
      <c r="T302" s="6">
        <f>IF(G302="","",SUBSTITUTE(SUBSTITUTE(SUBSTITUTE(SUBSTITUTE(SUBSTITUTE(SUBSTITUTE(SUBSTITUTE(TRIM(G302),".",""),"/",""),"-","")," ",""),"(",""),")",""),"+",""))</f>
      </c>
      <c r="U302" s="6">
        <f>IF(T302="","",IF(LEN(T302)&lt;&gt;14,"ERRO: "&amp;LEN(T302)&amp;" dígitos",IF(NOT(ISNUMBER(VALUE(T302))),"ERRO: não numérico",IF(LEN(SUBSTITUTE(T302,LEFT(T302,1),""))=0,"ERRO: dígitos repetidos",IF(AND(VALUE(MID(T302,13,1))=IF(MOD(SUMPRODUCT(--MID(T302,{1,2,3,4,5,6,7,8,9,10,11,12},1),{5,4,3,2,9,8,7,6,5,4,3,2}),11)&lt;2,0,11-MOD(SUMPRODUCT(--MID(T302,{1,2,3,4,5,6,7,8,9,10,11,12},1),{5,4,3,2,9,8,7,6,5,4,3,2}),11)),VALUE(MID(T302,14,1))=IF(MOD(SUMPRODUCT(--MID(T302,{1,2,3,4,5,6,7,8,9,10,11,12,13},1),{6,5,4,3,2,9,8,7,6,5,4,3,2}),11)&lt;2,0,11-MOD(SUMPRODUCT(--MID(T302,{1,2,3,4,5,6,7,8,9,10,11,12,13},1),{6,5,4,3,2,9,8,7,6,5,4,3,2}),11))),"OK","ERRO: dígito verificador")))))</f>
      </c>
      <c r="V302" s="6">
        <f>IF(T302="","",IF(COUNTIF($T$2:$T$1001,T302)&gt;1,"DUPLICADO","OK"))</f>
      </c>
      <c r="W302" s="6">
        <f>IF(M302="","vazio",IF(OR(AND(LEN(SUBSTITUTE(SUBSTITUTE(SUBSTITUTE(SUBSTITUTE(SUBSTITUTE(SUBSTITUTE(SUBSTITUTE(TRIM(M302),".",""),"/",""),"-","")," ",""),"(",""),")",""),"+",""))=10,LEFT(SUBSTITUTE(SUBSTITUTE(SUBSTITUTE(SUBSTITUTE(SUBSTITUTE(SUBSTITUTE(SUBSTITUTE(TRIM(M302),".",""),"/",""),"-","")," ",""),"(",""),")",""),"+",""),1)&lt;&gt;"0"),AND(LEN(SUBSTITUTE(SUBSTITUTE(SUBSTITUTE(SUBSTITUTE(SUBSTITUTE(SUBSTITUTE(SUBSTITUTE(TRIM(M302),".",""),"/",""),"-","")," ",""),"(",""),")",""),"+",""))=11,LEFT(SUBSTITUTE(SUBSTITUTE(SUBSTITUTE(SUBSTITUTE(SUBSTITUTE(SUBSTITUTE(SUBSTITUTE(TRIM(M302),".",""),"/",""),"-","")," ",""),"(",""),")",""),"+",""),4)="0800")),"OK",IF(AND(LEN(SUBSTITUTE(SUBSTITUTE(SUBSTITUTE(SUBSTITUTE(SUBSTITUTE(SUBSTITUTE(SUBSTITUTE(TRIM(M302),".",""),"/",""),"-","")," ",""),"(",""),")",""),"+",""))=11,MID(SUBSTITUTE(SUBSTITUTE(SUBSTITUTE(SUBSTITUTE(SUBSTITUTE(SUBSTITUTE(SUBSTITUTE(TRIM(M302),".",""),"/",""),"-","")," ",""),"(",""),")",""),"+",""),3,1)="9"),"ERRO: é celular, use a coluna Celular","ERRO: DDD + 8 dígitos ou 0800 + 7")))</f>
      </c>
      <c r="X302" s="6">
        <f>IF(N302="","vazio",IF(AND(LEN(SUBSTITUTE(SUBSTITUTE(SUBSTITUTE(SUBSTITUTE(SUBSTITUTE(SUBSTITUTE(SUBSTITUTE(TRIM(N302),".",""),"/",""),"-","")," ",""),"(",""),")",""),"+",""))=11,MID(SUBSTITUTE(SUBSTITUTE(SUBSTITUTE(SUBSTITUTE(SUBSTITUTE(SUBSTITUTE(SUBSTITUTE(TRIM(N302),".",""),"/",""),"-","")," ",""),"(",""),")",""),"+",""),3,1)="9",LEFT(SUBSTITUTE(SUBSTITUTE(SUBSTITUTE(SUBSTITUTE(SUBSTITUTE(SUBSTITUTE(SUBSTITUTE(TRIM(N302),".",""),"/",""),"-","")," ",""),"(",""),")",""),"+",""),1)&lt;&gt;"0"),"OK",IF(LEN(SUBSTITUTE(SUBSTITUTE(SUBSTITUTE(SUBSTITUTE(SUBSTITUTE(SUBSTITUTE(SUBSTITUTE(TRIM(N302),".",""),"/",""),"-","")," ",""),"(",""),")",""),"+",""))=10,"ERRO: é fixo (ou falta o 9), use a coluna Telefone fixo","ERRO: DDD + 9 + 8 dígitos")))</f>
      </c>
      <c r="Y302" s="6">
        <f>IF(O302="","vazio",IF(AND(ISNUMBER(FIND("@",O302)),ISNUMBER(FIND(".",MID(O302,FIND("@",O302),99))),NOT(ISNUMBER(FIND(" ",TRIM(O302)))),NOT(ISNUMBER(FIND(";",O302))),NOT(ISNUMBER(FIND(",",O302)))),"OK","ERRO: um e-mail válido por linha"))</f>
      </c>
      <c r="Z302" s="6">
        <f>IF(AND(J302="",K302=""),"",IF(AND(J302&lt;&gt;"",K302&lt;&gt;""),"OK","pendente: só um nome (o GR completa ao converter)"))</f>
      </c>
      <c r="AA302" s="6">
        <f>IF(COUNTA(A302:S302)=0,"",IF(AND(A302&lt;&gt;"",B302&lt;&gt;"",C302&lt;&gt;"",D302&lt;&gt;"",E302&lt;&gt;"",F302&lt;&gt;"",G302&lt;&gt;"",H302&lt;&gt;"",OR(J302&lt;&gt;"",K302&lt;&gt;""),OR(M302&lt;&gt;"",N302&lt;&gt;"",O302&lt;&gt;"")),"OK","ERRO: faltam "&amp;IF(A302="","SDR; ","")&amp;IF(B302="","Proprietário; ","")&amp;IF(C302="","Origem; ","")&amp;IF(D302="","Temperatura; ","")&amp;IF(E302="","Segmento; ","")&amp;IF(F302="","Time/Cluster; ","")&amp;IF(G302="","CNPJ; ","")&amp;IF(H302="","Razão Social; ","")&amp;IF(AND(J302="",K302=""),"nome do contato; ","")&amp;IF(AND(M302="",N302="",O302=""),"telefone, celular ou e-mail; ","")))</f>
      </c>
      <c r="AB302" s="6">
        <f>IF(COUNTA(A302:S302)=0,"",IF(AND(U302="OK",V302="OK",LEFT(W302,4)&lt;&gt;"ERRO",LEFT(X302,4)&lt;&gt;"ERRO",LEFT(Y302,4)&lt;&gt;"ERRO",AA302="OK"),"OK","REVISAR"))</f>
      </c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5"/>
      <c r="K303" s="4"/>
      <c r="L303" s="4"/>
      <c r="M303" s="4"/>
      <c r="N303" s="4"/>
      <c r="O303" s="4"/>
      <c r="P303" s="4"/>
      <c r="Q303" s="4"/>
      <c r="R303" s="4"/>
      <c r="S303" s="4"/>
      <c r="T303" s="6">
        <f>IF(G303="","",SUBSTITUTE(SUBSTITUTE(SUBSTITUTE(SUBSTITUTE(SUBSTITUTE(SUBSTITUTE(SUBSTITUTE(TRIM(G303),".",""),"/",""),"-","")," ",""),"(",""),")",""),"+",""))</f>
      </c>
      <c r="U303" s="6">
        <f>IF(T303="","",IF(LEN(T303)&lt;&gt;14,"ERRO: "&amp;LEN(T303)&amp;" dígitos",IF(NOT(ISNUMBER(VALUE(T303))),"ERRO: não numérico",IF(LEN(SUBSTITUTE(T303,LEFT(T303,1),""))=0,"ERRO: dígitos repetidos",IF(AND(VALUE(MID(T303,13,1))=IF(MOD(SUMPRODUCT(--MID(T303,{1,2,3,4,5,6,7,8,9,10,11,12},1),{5,4,3,2,9,8,7,6,5,4,3,2}),11)&lt;2,0,11-MOD(SUMPRODUCT(--MID(T303,{1,2,3,4,5,6,7,8,9,10,11,12},1),{5,4,3,2,9,8,7,6,5,4,3,2}),11)),VALUE(MID(T303,14,1))=IF(MOD(SUMPRODUCT(--MID(T303,{1,2,3,4,5,6,7,8,9,10,11,12,13},1),{6,5,4,3,2,9,8,7,6,5,4,3,2}),11)&lt;2,0,11-MOD(SUMPRODUCT(--MID(T303,{1,2,3,4,5,6,7,8,9,10,11,12,13},1),{6,5,4,3,2,9,8,7,6,5,4,3,2}),11))),"OK","ERRO: dígito verificador")))))</f>
      </c>
      <c r="V303" s="6">
        <f>IF(T303="","",IF(COUNTIF($T$2:$T$1001,T303)&gt;1,"DUPLICADO","OK"))</f>
      </c>
      <c r="W303" s="6">
        <f>IF(M303="","vazio",IF(OR(AND(LEN(SUBSTITUTE(SUBSTITUTE(SUBSTITUTE(SUBSTITUTE(SUBSTITUTE(SUBSTITUTE(SUBSTITUTE(TRIM(M303),".",""),"/",""),"-","")," ",""),"(",""),")",""),"+",""))=10,LEFT(SUBSTITUTE(SUBSTITUTE(SUBSTITUTE(SUBSTITUTE(SUBSTITUTE(SUBSTITUTE(SUBSTITUTE(TRIM(M303),".",""),"/",""),"-","")," ",""),"(",""),")",""),"+",""),1)&lt;&gt;"0"),AND(LEN(SUBSTITUTE(SUBSTITUTE(SUBSTITUTE(SUBSTITUTE(SUBSTITUTE(SUBSTITUTE(SUBSTITUTE(TRIM(M303),".",""),"/",""),"-","")," ",""),"(",""),")",""),"+",""))=11,LEFT(SUBSTITUTE(SUBSTITUTE(SUBSTITUTE(SUBSTITUTE(SUBSTITUTE(SUBSTITUTE(SUBSTITUTE(TRIM(M303),".",""),"/",""),"-","")," ",""),"(",""),")",""),"+",""),4)="0800")),"OK",IF(AND(LEN(SUBSTITUTE(SUBSTITUTE(SUBSTITUTE(SUBSTITUTE(SUBSTITUTE(SUBSTITUTE(SUBSTITUTE(TRIM(M303),".",""),"/",""),"-","")," ",""),"(",""),")",""),"+",""))=11,MID(SUBSTITUTE(SUBSTITUTE(SUBSTITUTE(SUBSTITUTE(SUBSTITUTE(SUBSTITUTE(SUBSTITUTE(TRIM(M303),".",""),"/",""),"-","")," ",""),"(",""),")",""),"+",""),3,1)="9"),"ERRO: é celular, use a coluna Celular","ERRO: DDD + 8 dígitos ou 0800 + 7")))</f>
      </c>
      <c r="X303" s="6">
        <f>IF(N303="","vazio",IF(AND(LEN(SUBSTITUTE(SUBSTITUTE(SUBSTITUTE(SUBSTITUTE(SUBSTITUTE(SUBSTITUTE(SUBSTITUTE(TRIM(N303),".",""),"/",""),"-","")," ",""),"(",""),")",""),"+",""))=11,MID(SUBSTITUTE(SUBSTITUTE(SUBSTITUTE(SUBSTITUTE(SUBSTITUTE(SUBSTITUTE(SUBSTITUTE(TRIM(N303),".",""),"/",""),"-","")," ",""),"(",""),")",""),"+",""),3,1)="9",LEFT(SUBSTITUTE(SUBSTITUTE(SUBSTITUTE(SUBSTITUTE(SUBSTITUTE(SUBSTITUTE(SUBSTITUTE(TRIM(N303),".",""),"/",""),"-","")," ",""),"(",""),")",""),"+",""),1)&lt;&gt;"0"),"OK",IF(LEN(SUBSTITUTE(SUBSTITUTE(SUBSTITUTE(SUBSTITUTE(SUBSTITUTE(SUBSTITUTE(SUBSTITUTE(TRIM(N303),".",""),"/",""),"-","")," ",""),"(",""),")",""),"+",""))=10,"ERRO: é fixo (ou falta o 9), use a coluna Telefone fixo","ERRO: DDD + 9 + 8 dígitos")))</f>
      </c>
      <c r="Y303" s="6">
        <f>IF(O303="","vazio",IF(AND(ISNUMBER(FIND("@",O303)),ISNUMBER(FIND(".",MID(O303,FIND("@",O303),99))),NOT(ISNUMBER(FIND(" ",TRIM(O303)))),NOT(ISNUMBER(FIND(";",O303))),NOT(ISNUMBER(FIND(",",O303)))),"OK","ERRO: um e-mail válido por linha"))</f>
      </c>
      <c r="Z303" s="6">
        <f>IF(AND(J303="",K303=""),"",IF(AND(J303&lt;&gt;"",K303&lt;&gt;""),"OK","pendente: só um nome (o GR completa ao converter)"))</f>
      </c>
      <c r="AA303" s="6">
        <f>IF(COUNTA(A303:S303)=0,"",IF(AND(A303&lt;&gt;"",B303&lt;&gt;"",C303&lt;&gt;"",D303&lt;&gt;"",E303&lt;&gt;"",F303&lt;&gt;"",G303&lt;&gt;"",H303&lt;&gt;"",OR(J303&lt;&gt;"",K303&lt;&gt;""),OR(M303&lt;&gt;"",N303&lt;&gt;"",O303&lt;&gt;"")),"OK","ERRO: faltam "&amp;IF(A303="","SDR; ","")&amp;IF(B303="","Proprietário; ","")&amp;IF(C303="","Origem; ","")&amp;IF(D303="","Temperatura; ","")&amp;IF(E303="","Segmento; ","")&amp;IF(F303="","Time/Cluster; ","")&amp;IF(G303="","CNPJ; ","")&amp;IF(H303="","Razão Social; ","")&amp;IF(AND(J303="",K303=""),"nome do contato; ","")&amp;IF(AND(M303="",N303="",O303=""),"telefone, celular ou e-mail; ","")))</f>
      </c>
      <c r="AB303" s="6">
        <f>IF(COUNTA(A303:S303)=0,"",IF(AND(U303="OK",V303="OK",LEFT(W303,4)&lt;&gt;"ERRO",LEFT(X303,4)&lt;&gt;"ERRO",LEFT(Y303,4)&lt;&gt;"ERRO",AA303="OK"),"OK","REVISAR"))</f>
      </c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5"/>
      <c r="K304" s="4"/>
      <c r="L304" s="4"/>
      <c r="M304" s="4"/>
      <c r="N304" s="4"/>
      <c r="O304" s="4"/>
      <c r="P304" s="4"/>
      <c r="Q304" s="4"/>
      <c r="R304" s="4"/>
      <c r="S304" s="4"/>
      <c r="T304" s="6">
        <f>IF(G304="","",SUBSTITUTE(SUBSTITUTE(SUBSTITUTE(SUBSTITUTE(SUBSTITUTE(SUBSTITUTE(SUBSTITUTE(TRIM(G304),".",""),"/",""),"-","")," ",""),"(",""),")",""),"+",""))</f>
      </c>
      <c r="U304" s="6">
        <f>IF(T304="","",IF(LEN(T304)&lt;&gt;14,"ERRO: "&amp;LEN(T304)&amp;" dígitos",IF(NOT(ISNUMBER(VALUE(T304))),"ERRO: não numérico",IF(LEN(SUBSTITUTE(T304,LEFT(T304,1),""))=0,"ERRO: dígitos repetidos",IF(AND(VALUE(MID(T304,13,1))=IF(MOD(SUMPRODUCT(--MID(T304,{1,2,3,4,5,6,7,8,9,10,11,12},1),{5,4,3,2,9,8,7,6,5,4,3,2}),11)&lt;2,0,11-MOD(SUMPRODUCT(--MID(T304,{1,2,3,4,5,6,7,8,9,10,11,12},1),{5,4,3,2,9,8,7,6,5,4,3,2}),11)),VALUE(MID(T304,14,1))=IF(MOD(SUMPRODUCT(--MID(T304,{1,2,3,4,5,6,7,8,9,10,11,12,13},1),{6,5,4,3,2,9,8,7,6,5,4,3,2}),11)&lt;2,0,11-MOD(SUMPRODUCT(--MID(T304,{1,2,3,4,5,6,7,8,9,10,11,12,13},1),{6,5,4,3,2,9,8,7,6,5,4,3,2}),11))),"OK","ERRO: dígito verificador")))))</f>
      </c>
      <c r="V304" s="6">
        <f>IF(T304="","",IF(COUNTIF($T$2:$T$1001,T304)&gt;1,"DUPLICADO","OK"))</f>
      </c>
      <c r="W304" s="6">
        <f>IF(M304="","vazio",IF(OR(AND(LEN(SUBSTITUTE(SUBSTITUTE(SUBSTITUTE(SUBSTITUTE(SUBSTITUTE(SUBSTITUTE(SUBSTITUTE(TRIM(M304),".",""),"/",""),"-","")," ",""),"(",""),")",""),"+",""))=10,LEFT(SUBSTITUTE(SUBSTITUTE(SUBSTITUTE(SUBSTITUTE(SUBSTITUTE(SUBSTITUTE(SUBSTITUTE(TRIM(M304),".",""),"/",""),"-","")," ",""),"(",""),")",""),"+",""),1)&lt;&gt;"0"),AND(LEN(SUBSTITUTE(SUBSTITUTE(SUBSTITUTE(SUBSTITUTE(SUBSTITUTE(SUBSTITUTE(SUBSTITUTE(TRIM(M304),".",""),"/",""),"-","")," ",""),"(",""),")",""),"+",""))=11,LEFT(SUBSTITUTE(SUBSTITUTE(SUBSTITUTE(SUBSTITUTE(SUBSTITUTE(SUBSTITUTE(SUBSTITUTE(TRIM(M304),".",""),"/",""),"-","")," ",""),"(",""),")",""),"+",""),4)="0800")),"OK",IF(AND(LEN(SUBSTITUTE(SUBSTITUTE(SUBSTITUTE(SUBSTITUTE(SUBSTITUTE(SUBSTITUTE(SUBSTITUTE(TRIM(M304),".",""),"/",""),"-","")," ",""),"(",""),")",""),"+",""))=11,MID(SUBSTITUTE(SUBSTITUTE(SUBSTITUTE(SUBSTITUTE(SUBSTITUTE(SUBSTITUTE(SUBSTITUTE(TRIM(M304),".",""),"/",""),"-","")," ",""),"(",""),")",""),"+",""),3,1)="9"),"ERRO: é celular, use a coluna Celular","ERRO: DDD + 8 dígitos ou 0800 + 7")))</f>
      </c>
      <c r="X304" s="6">
        <f>IF(N304="","vazio",IF(AND(LEN(SUBSTITUTE(SUBSTITUTE(SUBSTITUTE(SUBSTITUTE(SUBSTITUTE(SUBSTITUTE(SUBSTITUTE(TRIM(N304),".",""),"/",""),"-","")," ",""),"(",""),")",""),"+",""))=11,MID(SUBSTITUTE(SUBSTITUTE(SUBSTITUTE(SUBSTITUTE(SUBSTITUTE(SUBSTITUTE(SUBSTITUTE(TRIM(N304),".",""),"/",""),"-","")," ",""),"(",""),")",""),"+",""),3,1)="9",LEFT(SUBSTITUTE(SUBSTITUTE(SUBSTITUTE(SUBSTITUTE(SUBSTITUTE(SUBSTITUTE(SUBSTITUTE(TRIM(N304),".",""),"/",""),"-","")," ",""),"(",""),")",""),"+",""),1)&lt;&gt;"0"),"OK",IF(LEN(SUBSTITUTE(SUBSTITUTE(SUBSTITUTE(SUBSTITUTE(SUBSTITUTE(SUBSTITUTE(SUBSTITUTE(TRIM(N304),".",""),"/",""),"-","")," ",""),"(",""),")",""),"+",""))=10,"ERRO: é fixo (ou falta o 9), use a coluna Telefone fixo","ERRO: DDD + 9 + 8 dígitos")))</f>
      </c>
      <c r="Y304" s="6">
        <f>IF(O304="","vazio",IF(AND(ISNUMBER(FIND("@",O304)),ISNUMBER(FIND(".",MID(O304,FIND("@",O304),99))),NOT(ISNUMBER(FIND(" ",TRIM(O304)))),NOT(ISNUMBER(FIND(";",O304))),NOT(ISNUMBER(FIND(",",O304)))),"OK","ERRO: um e-mail válido por linha"))</f>
      </c>
      <c r="Z304" s="6">
        <f>IF(AND(J304="",K304=""),"",IF(AND(J304&lt;&gt;"",K304&lt;&gt;""),"OK","pendente: só um nome (o GR completa ao converter)"))</f>
      </c>
      <c r="AA304" s="6">
        <f>IF(COUNTA(A304:S304)=0,"",IF(AND(A304&lt;&gt;"",B304&lt;&gt;"",C304&lt;&gt;"",D304&lt;&gt;"",E304&lt;&gt;"",F304&lt;&gt;"",G304&lt;&gt;"",H304&lt;&gt;"",OR(J304&lt;&gt;"",K304&lt;&gt;""),OR(M304&lt;&gt;"",N304&lt;&gt;"",O304&lt;&gt;"")),"OK","ERRO: faltam "&amp;IF(A304="","SDR; ","")&amp;IF(B304="","Proprietário; ","")&amp;IF(C304="","Origem; ","")&amp;IF(D304="","Temperatura; ","")&amp;IF(E304="","Segmento; ","")&amp;IF(F304="","Time/Cluster; ","")&amp;IF(G304="","CNPJ; ","")&amp;IF(H304="","Razão Social; ","")&amp;IF(AND(J304="",K304=""),"nome do contato; ","")&amp;IF(AND(M304="",N304="",O304=""),"telefone, celular ou e-mail; ","")))</f>
      </c>
      <c r="AB304" s="6">
        <f>IF(COUNTA(A304:S304)=0,"",IF(AND(U304="OK",V304="OK",LEFT(W304,4)&lt;&gt;"ERRO",LEFT(X304,4)&lt;&gt;"ERRO",LEFT(Y304,4)&lt;&gt;"ERRO",AA304="OK"),"OK","REVISAR"))</f>
      </c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5"/>
      <c r="K305" s="4"/>
      <c r="L305" s="4"/>
      <c r="M305" s="4"/>
      <c r="N305" s="4"/>
      <c r="O305" s="4"/>
      <c r="P305" s="4"/>
      <c r="Q305" s="4"/>
      <c r="R305" s="4"/>
      <c r="S305" s="4"/>
      <c r="T305" s="6">
        <f>IF(G305="","",SUBSTITUTE(SUBSTITUTE(SUBSTITUTE(SUBSTITUTE(SUBSTITUTE(SUBSTITUTE(SUBSTITUTE(TRIM(G305),".",""),"/",""),"-","")," ",""),"(",""),")",""),"+",""))</f>
      </c>
      <c r="U305" s="6">
        <f>IF(T305="","",IF(LEN(T305)&lt;&gt;14,"ERRO: "&amp;LEN(T305)&amp;" dígitos",IF(NOT(ISNUMBER(VALUE(T305))),"ERRO: não numérico",IF(LEN(SUBSTITUTE(T305,LEFT(T305,1),""))=0,"ERRO: dígitos repetidos",IF(AND(VALUE(MID(T305,13,1))=IF(MOD(SUMPRODUCT(--MID(T305,{1,2,3,4,5,6,7,8,9,10,11,12},1),{5,4,3,2,9,8,7,6,5,4,3,2}),11)&lt;2,0,11-MOD(SUMPRODUCT(--MID(T305,{1,2,3,4,5,6,7,8,9,10,11,12},1),{5,4,3,2,9,8,7,6,5,4,3,2}),11)),VALUE(MID(T305,14,1))=IF(MOD(SUMPRODUCT(--MID(T305,{1,2,3,4,5,6,7,8,9,10,11,12,13},1),{6,5,4,3,2,9,8,7,6,5,4,3,2}),11)&lt;2,0,11-MOD(SUMPRODUCT(--MID(T305,{1,2,3,4,5,6,7,8,9,10,11,12,13},1),{6,5,4,3,2,9,8,7,6,5,4,3,2}),11))),"OK","ERRO: dígito verificador")))))</f>
      </c>
      <c r="V305" s="6">
        <f>IF(T305="","",IF(COUNTIF($T$2:$T$1001,T305)&gt;1,"DUPLICADO","OK"))</f>
      </c>
      <c r="W305" s="6">
        <f>IF(M305="","vazio",IF(OR(AND(LEN(SUBSTITUTE(SUBSTITUTE(SUBSTITUTE(SUBSTITUTE(SUBSTITUTE(SUBSTITUTE(SUBSTITUTE(TRIM(M305),".",""),"/",""),"-","")," ",""),"(",""),")",""),"+",""))=10,LEFT(SUBSTITUTE(SUBSTITUTE(SUBSTITUTE(SUBSTITUTE(SUBSTITUTE(SUBSTITUTE(SUBSTITUTE(TRIM(M305),".",""),"/",""),"-","")," ",""),"(",""),")",""),"+",""),1)&lt;&gt;"0"),AND(LEN(SUBSTITUTE(SUBSTITUTE(SUBSTITUTE(SUBSTITUTE(SUBSTITUTE(SUBSTITUTE(SUBSTITUTE(TRIM(M305),".",""),"/",""),"-","")," ",""),"(",""),")",""),"+",""))=11,LEFT(SUBSTITUTE(SUBSTITUTE(SUBSTITUTE(SUBSTITUTE(SUBSTITUTE(SUBSTITUTE(SUBSTITUTE(TRIM(M305),".",""),"/",""),"-","")," ",""),"(",""),")",""),"+",""),4)="0800")),"OK",IF(AND(LEN(SUBSTITUTE(SUBSTITUTE(SUBSTITUTE(SUBSTITUTE(SUBSTITUTE(SUBSTITUTE(SUBSTITUTE(TRIM(M305),".",""),"/",""),"-","")," ",""),"(",""),")",""),"+",""))=11,MID(SUBSTITUTE(SUBSTITUTE(SUBSTITUTE(SUBSTITUTE(SUBSTITUTE(SUBSTITUTE(SUBSTITUTE(TRIM(M305),".",""),"/",""),"-","")," ",""),"(",""),")",""),"+",""),3,1)="9"),"ERRO: é celular, use a coluna Celular","ERRO: DDD + 8 dígitos ou 0800 + 7")))</f>
      </c>
      <c r="X305" s="6">
        <f>IF(N305="","vazio",IF(AND(LEN(SUBSTITUTE(SUBSTITUTE(SUBSTITUTE(SUBSTITUTE(SUBSTITUTE(SUBSTITUTE(SUBSTITUTE(TRIM(N305),".",""),"/",""),"-","")," ",""),"(",""),")",""),"+",""))=11,MID(SUBSTITUTE(SUBSTITUTE(SUBSTITUTE(SUBSTITUTE(SUBSTITUTE(SUBSTITUTE(SUBSTITUTE(TRIM(N305),".",""),"/",""),"-","")," ",""),"(",""),")",""),"+",""),3,1)="9",LEFT(SUBSTITUTE(SUBSTITUTE(SUBSTITUTE(SUBSTITUTE(SUBSTITUTE(SUBSTITUTE(SUBSTITUTE(TRIM(N305),".",""),"/",""),"-","")," ",""),"(",""),")",""),"+",""),1)&lt;&gt;"0"),"OK",IF(LEN(SUBSTITUTE(SUBSTITUTE(SUBSTITUTE(SUBSTITUTE(SUBSTITUTE(SUBSTITUTE(SUBSTITUTE(TRIM(N305),".",""),"/",""),"-","")," ",""),"(",""),")",""),"+",""))=10,"ERRO: é fixo (ou falta o 9), use a coluna Telefone fixo","ERRO: DDD + 9 + 8 dígitos")))</f>
      </c>
      <c r="Y305" s="6">
        <f>IF(O305="","vazio",IF(AND(ISNUMBER(FIND("@",O305)),ISNUMBER(FIND(".",MID(O305,FIND("@",O305),99))),NOT(ISNUMBER(FIND(" ",TRIM(O305)))),NOT(ISNUMBER(FIND(";",O305))),NOT(ISNUMBER(FIND(",",O305)))),"OK","ERRO: um e-mail válido por linha"))</f>
      </c>
      <c r="Z305" s="6">
        <f>IF(AND(J305="",K305=""),"",IF(AND(J305&lt;&gt;"",K305&lt;&gt;""),"OK","pendente: só um nome (o GR completa ao converter)"))</f>
      </c>
      <c r="AA305" s="6">
        <f>IF(COUNTA(A305:S305)=0,"",IF(AND(A305&lt;&gt;"",B305&lt;&gt;"",C305&lt;&gt;"",D305&lt;&gt;"",E305&lt;&gt;"",F305&lt;&gt;"",G305&lt;&gt;"",H305&lt;&gt;"",OR(J305&lt;&gt;"",K305&lt;&gt;""),OR(M305&lt;&gt;"",N305&lt;&gt;"",O305&lt;&gt;"")),"OK","ERRO: faltam "&amp;IF(A305="","SDR; ","")&amp;IF(B305="","Proprietário; ","")&amp;IF(C305="","Origem; ","")&amp;IF(D305="","Temperatura; ","")&amp;IF(E305="","Segmento; ","")&amp;IF(F305="","Time/Cluster; ","")&amp;IF(G305="","CNPJ; ","")&amp;IF(H305="","Razão Social; ","")&amp;IF(AND(J305="",K305=""),"nome do contato; ","")&amp;IF(AND(M305="",N305="",O305=""),"telefone, celular ou e-mail; ","")))</f>
      </c>
      <c r="AB305" s="6">
        <f>IF(COUNTA(A305:S305)=0,"",IF(AND(U305="OK",V305="OK",LEFT(W305,4)&lt;&gt;"ERRO",LEFT(X305,4)&lt;&gt;"ERRO",LEFT(Y305,4)&lt;&gt;"ERRO",AA305="OK"),"OK","REVISAR"))</f>
      </c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5"/>
      <c r="K306" s="4"/>
      <c r="L306" s="4"/>
      <c r="M306" s="4"/>
      <c r="N306" s="4"/>
      <c r="O306" s="4"/>
      <c r="P306" s="4"/>
      <c r="Q306" s="4"/>
      <c r="R306" s="4"/>
      <c r="S306" s="4"/>
      <c r="T306" s="6">
        <f>IF(G306="","",SUBSTITUTE(SUBSTITUTE(SUBSTITUTE(SUBSTITUTE(SUBSTITUTE(SUBSTITUTE(SUBSTITUTE(TRIM(G306),".",""),"/",""),"-","")," ",""),"(",""),")",""),"+",""))</f>
      </c>
      <c r="U306" s="6">
        <f>IF(T306="","",IF(LEN(T306)&lt;&gt;14,"ERRO: "&amp;LEN(T306)&amp;" dígitos",IF(NOT(ISNUMBER(VALUE(T306))),"ERRO: não numérico",IF(LEN(SUBSTITUTE(T306,LEFT(T306,1),""))=0,"ERRO: dígitos repetidos",IF(AND(VALUE(MID(T306,13,1))=IF(MOD(SUMPRODUCT(--MID(T306,{1,2,3,4,5,6,7,8,9,10,11,12},1),{5,4,3,2,9,8,7,6,5,4,3,2}),11)&lt;2,0,11-MOD(SUMPRODUCT(--MID(T306,{1,2,3,4,5,6,7,8,9,10,11,12},1),{5,4,3,2,9,8,7,6,5,4,3,2}),11)),VALUE(MID(T306,14,1))=IF(MOD(SUMPRODUCT(--MID(T306,{1,2,3,4,5,6,7,8,9,10,11,12,13},1),{6,5,4,3,2,9,8,7,6,5,4,3,2}),11)&lt;2,0,11-MOD(SUMPRODUCT(--MID(T306,{1,2,3,4,5,6,7,8,9,10,11,12,13},1),{6,5,4,3,2,9,8,7,6,5,4,3,2}),11))),"OK","ERRO: dígito verificador")))))</f>
      </c>
      <c r="V306" s="6">
        <f>IF(T306="","",IF(COUNTIF($T$2:$T$1001,T306)&gt;1,"DUPLICADO","OK"))</f>
      </c>
      <c r="W306" s="6">
        <f>IF(M306="","vazio",IF(OR(AND(LEN(SUBSTITUTE(SUBSTITUTE(SUBSTITUTE(SUBSTITUTE(SUBSTITUTE(SUBSTITUTE(SUBSTITUTE(TRIM(M306),".",""),"/",""),"-","")," ",""),"(",""),")",""),"+",""))=10,LEFT(SUBSTITUTE(SUBSTITUTE(SUBSTITUTE(SUBSTITUTE(SUBSTITUTE(SUBSTITUTE(SUBSTITUTE(TRIM(M306),".",""),"/",""),"-","")," ",""),"(",""),")",""),"+",""),1)&lt;&gt;"0"),AND(LEN(SUBSTITUTE(SUBSTITUTE(SUBSTITUTE(SUBSTITUTE(SUBSTITUTE(SUBSTITUTE(SUBSTITUTE(TRIM(M306),".",""),"/",""),"-","")," ",""),"(",""),")",""),"+",""))=11,LEFT(SUBSTITUTE(SUBSTITUTE(SUBSTITUTE(SUBSTITUTE(SUBSTITUTE(SUBSTITUTE(SUBSTITUTE(TRIM(M306),".",""),"/",""),"-","")," ",""),"(",""),")",""),"+",""),4)="0800")),"OK",IF(AND(LEN(SUBSTITUTE(SUBSTITUTE(SUBSTITUTE(SUBSTITUTE(SUBSTITUTE(SUBSTITUTE(SUBSTITUTE(TRIM(M306),".",""),"/",""),"-","")," ",""),"(",""),")",""),"+",""))=11,MID(SUBSTITUTE(SUBSTITUTE(SUBSTITUTE(SUBSTITUTE(SUBSTITUTE(SUBSTITUTE(SUBSTITUTE(TRIM(M306),".",""),"/",""),"-","")," ",""),"(",""),")",""),"+",""),3,1)="9"),"ERRO: é celular, use a coluna Celular","ERRO: DDD + 8 dígitos ou 0800 + 7")))</f>
      </c>
      <c r="X306" s="6">
        <f>IF(N306="","vazio",IF(AND(LEN(SUBSTITUTE(SUBSTITUTE(SUBSTITUTE(SUBSTITUTE(SUBSTITUTE(SUBSTITUTE(SUBSTITUTE(TRIM(N306),".",""),"/",""),"-","")," ",""),"(",""),")",""),"+",""))=11,MID(SUBSTITUTE(SUBSTITUTE(SUBSTITUTE(SUBSTITUTE(SUBSTITUTE(SUBSTITUTE(SUBSTITUTE(TRIM(N306),".",""),"/",""),"-","")," ",""),"(",""),")",""),"+",""),3,1)="9",LEFT(SUBSTITUTE(SUBSTITUTE(SUBSTITUTE(SUBSTITUTE(SUBSTITUTE(SUBSTITUTE(SUBSTITUTE(TRIM(N306),".",""),"/",""),"-","")," ",""),"(",""),")",""),"+",""),1)&lt;&gt;"0"),"OK",IF(LEN(SUBSTITUTE(SUBSTITUTE(SUBSTITUTE(SUBSTITUTE(SUBSTITUTE(SUBSTITUTE(SUBSTITUTE(TRIM(N306),".",""),"/",""),"-","")," ",""),"(",""),")",""),"+",""))=10,"ERRO: é fixo (ou falta o 9), use a coluna Telefone fixo","ERRO: DDD + 9 + 8 dígitos")))</f>
      </c>
      <c r="Y306" s="6">
        <f>IF(O306="","vazio",IF(AND(ISNUMBER(FIND("@",O306)),ISNUMBER(FIND(".",MID(O306,FIND("@",O306),99))),NOT(ISNUMBER(FIND(" ",TRIM(O306)))),NOT(ISNUMBER(FIND(";",O306))),NOT(ISNUMBER(FIND(",",O306)))),"OK","ERRO: um e-mail válido por linha"))</f>
      </c>
      <c r="Z306" s="6">
        <f>IF(AND(J306="",K306=""),"",IF(AND(J306&lt;&gt;"",K306&lt;&gt;""),"OK","pendente: só um nome (o GR completa ao converter)"))</f>
      </c>
      <c r="AA306" s="6">
        <f>IF(COUNTA(A306:S306)=0,"",IF(AND(A306&lt;&gt;"",B306&lt;&gt;"",C306&lt;&gt;"",D306&lt;&gt;"",E306&lt;&gt;"",F306&lt;&gt;"",G306&lt;&gt;"",H306&lt;&gt;"",OR(J306&lt;&gt;"",K306&lt;&gt;""),OR(M306&lt;&gt;"",N306&lt;&gt;"",O306&lt;&gt;"")),"OK","ERRO: faltam "&amp;IF(A306="","SDR; ","")&amp;IF(B306="","Proprietário; ","")&amp;IF(C306="","Origem; ","")&amp;IF(D306="","Temperatura; ","")&amp;IF(E306="","Segmento; ","")&amp;IF(F306="","Time/Cluster; ","")&amp;IF(G306="","CNPJ; ","")&amp;IF(H306="","Razão Social; ","")&amp;IF(AND(J306="",K306=""),"nome do contato; ","")&amp;IF(AND(M306="",N306="",O306=""),"telefone, celular ou e-mail; ","")))</f>
      </c>
      <c r="AB306" s="6">
        <f>IF(COUNTA(A306:S306)=0,"",IF(AND(U306="OK",V306="OK",LEFT(W306,4)&lt;&gt;"ERRO",LEFT(X306,4)&lt;&gt;"ERRO",LEFT(Y306,4)&lt;&gt;"ERRO",AA306="OK"),"OK","REVISAR"))</f>
      </c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5"/>
      <c r="K307" s="4"/>
      <c r="L307" s="4"/>
      <c r="M307" s="4"/>
      <c r="N307" s="4"/>
      <c r="O307" s="4"/>
      <c r="P307" s="4"/>
      <c r="Q307" s="4"/>
      <c r="R307" s="4"/>
      <c r="S307" s="4"/>
      <c r="T307" s="6">
        <f>IF(G307="","",SUBSTITUTE(SUBSTITUTE(SUBSTITUTE(SUBSTITUTE(SUBSTITUTE(SUBSTITUTE(SUBSTITUTE(TRIM(G307),".",""),"/",""),"-","")," ",""),"(",""),")",""),"+",""))</f>
      </c>
      <c r="U307" s="6">
        <f>IF(T307="","",IF(LEN(T307)&lt;&gt;14,"ERRO: "&amp;LEN(T307)&amp;" dígitos",IF(NOT(ISNUMBER(VALUE(T307))),"ERRO: não numérico",IF(LEN(SUBSTITUTE(T307,LEFT(T307,1),""))=0,"ERRO: dígitos repetidos",IF(AND(VALUE(MID(T307,13,1))=IF(MOD(SUMPRODUCT(--MID(T307,{1,2,3,4,5,6,7,8,9,10,11,12},1),{5,4,3,2,9,8,7,6,5,4,3,2}),11)&lt;2,0,11-MOD(SUMPRODUCT(--MID(T307,{1,2,3,4,5,6,7,8,9,10,11,12},1),{5,4,3,2,9,8,7,6,5,4,3,2}),11)),VALUE(MID(T307,14,1))=IF(MOD(SUMPRODUCT(--MID(T307,{1,2,3,4,5,6,7,8,9,10,11,12,13},1),{6,5,4,3,2,9,8,7,6,5,4,3,2}),11)&lt;2,0,11-MOD(SUMPRODUCT(--MID(T307,{1,2,3,4,5,6,7,8,9,10,11,12,13},1),{6,5,4,3,2,9,8,7,6,5,4,3,2}),11))),"OK","ERRO: dígito verificador")))))</f>
      </c>
      <c r="V307" s="6">
        <f>IF(T307="","",IF(COUNTIF($T$2:$T$1001,T307)&gt;1,"DUPLICADO","OK"))</f>
      </c>
      <c r="W307" s="6">
        <f>IF(M307="","vazio",IF(OR(AND(LEN(SUBSTITUTE(SUBSTITUTE(SUBSTITUTE(SUBSTITUTE(SUBSTITUTE(SUBSTITUTE(SUBSTITUTE(TRIM(M307),".",""),"/",""),"-","")," ",""),"(",""),")",""),"+",""))=10,LEFT(SUBSTITUTE(SUBSTITUTE(SUBSTITUTE(SUBSTITUTE(SUBSTITUTE(SUBSTITUTE(SUBSTITUTE(TRIM(M307),".",""),"/",""),"-","")," ",""),"(",""),")",""),"+",""),1)&lt;&gt;"0"),AND(LEN(SUBSTITUTE(SUBSTITUTE(SUBSTITUTE(SUBSTITUTE(SUBSTITUTE(SUBSTITUTE(SUBSTITUTE(TRIM(M307),".",""),"/",""),"-","")," ",""),"(",""),")",""),"+",""))=11,LEFT(SUBSTITUTE(SUBSTITUTE(SUBSTITUTE(SUBSTITUTE(SUBSTITUTE(SUBSTITUTE(SUBSTITUTE(TRIM(M307),".",""),"/",""),"-","")," ",""),"(",""),")",""),"+",""),4)="0800")),"OK",IF(AND(LEN(SUBSTITUTE(SUBSTITUTE(SUBSTITUTE(SUBSTITUTE(SUBSTITUTE(SUBSTITUTE(SUBSTITUTE(TRIM(M307),".",""),"/",""),"-","")," ",""),"(",""),")",""),"+",""))=11,MID(SUBSTITUTE(SUBSTITUTE(SUBSTITUTE(SUBSTITUTE(SUBSTITUTE(SUBSTITUTE(SUBSTITUTE(TRIM(M307),".",""),"/",""),"-","")," ",""),"(",""),")",""),"+",""),3,1)="9"),"ERRO: é celular, use a coluna Celular","ERRO: DDD + 8 dígitos ou 0800 + 7")))</f>
      </c>
      <c r="X307" s="6">
        <f>IF(N307="","vazio",IF(AND(LEN(SUBSTITUTE(SUBSTITUTE(SUBSTITUTE(SUBSTITUTE(SUBSTITUTE(SUBSTITUTE(SUBSTITUTE(TRIM(N307),".",""),"/",""),"-","")," ",""),"(",""),")",""),"+",""))=11,MID(SUBSTITUTE(SUBSTITUTE(SUBSTITUTE(SUBSTITUTE(SUBSTITUTE(SUBSTITUTE(SUBSTITUTE(TRIM(N307),".",""),"/",""),"-","")," ",""),"(",""),")",""),"+",""),3,1)="9",LEFT(SUBSTITUTE(SUBSTITUTE(SUBSTITUTE(SUBSTITUTE(SUBSTITUTE(SUBSTITUTE(SUBSTITUTE(TRIM(N307),".",""),"/",""),"-","")," ",""),"(",""),")",""),"+",""),1)&lt;&gt;"0"),"OK",IF(LEN(SUBSTITUTE(SUBSTITUTE(SUBSTITUTE(SUBSTITUTE(SUBSTITUTE(SUBSTITUTE(SUBSTITUTE(TRIM(N307),".",""),"/",""),"-","")," ",""),"(",""),")",""),"+",""))=10,"ERRO: é fixo (ou falta o 9), use a coluna Telefone fixo","ERRO: DDD + 9 + 8 dígitos")))</f>
      </c>
      <c r="Y307" s="6">
        <f>IF(O307="","vazio",IF(AND(ISNUMBER(FIND("@",O307)),ISNUMBER(FIND(".",MID(O307,FIND("@",O307),99))),NOT(ISNUMBER(FIND(" ",TRIM(O307)))),NOT(ISNUMBER(FIND(";",O307))),NOT(ISNUMBER(FIND(",",O307)))),"OK","ERRO: um e-mail válido por linha"))</f>
      </c>
      <c r="Z307" s="6">
        <f>IF(AND(J307="",K307=""),"",IF(AND(J307&lt;&gt;"",K307&lt;&gt;""),"OK","pendente: só um nome (o GR completa ao converter)"))</f>
      </c>
      <c r="AA307" s="6">
        <f>IF(COUNTA(A307:S307)=0,"",IF(AND(A307&lt;&gt;"",B307&lt;&gt;"",C307&lt;&gt;"",D307&lt;&gt;"",E307&lt;&gt;"",F307&lt;&gt;"",G307&lt;&gt;"",H307&lt;&gt;"",OR(J307&lt;&gt;"",K307&lt;&gt;""),OR(M307&lt;&gt;"",N307&lt;&gt;"",O307&lt;&gt;"")),"OK","ERRO: faltam "&amp;IF(A307="","SDR; ","")&amp;IF(B307="","Proprietário; ","")&amp;IF(C307="","Origem; ","")&amp;IF(D307="","Temperatura; ","")&amp;IF(E307="","Segmento; ","")&amp;IF(F307="","Time/Cluster; ","")&amp;IF(G307="","CNPJ; ","")&amp;IF(H307="","Razão Social; ","")&amp;IF(AND(J307="",K307=""),"nome do contato; ","")&amp;IF(AND(M307="",N307="",O307=""),"telefone, celular ou e-mail; ","")))</f>
      </c>
      <c r="AB307" s="6">
        <f>IF(COUNTA(A307:S307)=0,"",IF(AND(U307="OK",V307="OK",LEFT(W307,4)&lt;&gt;"ERRO",LEFT(X307,4)&lt;&gt;"ERRO",LEFT(Y307,4)&lt;&gt;"ERRO",AA307="OK"),"OK","REVISAR"))</f>
      </c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5"/>
      <c r="K308" s="4"/>
      <c r="L308" s="4"/>
      <c r="M308" s="4"/>
      <c r="N308" s="4"/>
      <c r="O308" s="4"/>
      <c r="P308" s="4"/>
      <c r="Q308" s="4"/>
      <c r="R308" s="4"/>
      <c r="S308" s="4"/>
      <c r="T308" s="6">
        <f>IF(G308="","",SUBSTITUTE(SUBSTITUTE(SUBSTITUTE(SUBSTITUTE(SUBSTITUTE(SUBSTITUTE(SUBSTITUTE(TRIM(G308),".",""),"/",""),"-","")," ",""),"(",""),")",""),"+",""))</f>
      </c>
      <c r="U308" s="6">
        <f>IF(T308="","",IF(LEN(T308)&lt;&gt;14,"ERRO: "&amp;LEN(T308)&amp;" dígitos",IF(NOT(ISNUMBER(VALUE(T308))),"ERRO: não numérico",IF(LEN(SUBSTITUTE(T308,LEFT(T308,1),""))=0,"ERRO: dígitos repetidos",IF(AND(VALUE(MID(T308,13,1))=IF(MOD(SUMPRODUCT(--MID(T308,{1,2,3,4,5,6,7,8,9,10,11,12},1),{5,4,3,2,9,8,7,6,5,4,3,2}),11)&lt;2,0,11-MOD(SUMPRODUCT(--MID(T308,{1,2,3,4,5,6,7,8,9,10,11,12},1),{5,4,3,2,9,8,7,6,5,4,3,2}),11)),VALUE(MID(T308,14,1))=IF(MOD(SUMPRODUCT(--MID(T308,{1,2,3,4,5,6,7,8,9,10,11,12,13},1),{6,5,4,3,2,9,8,7,6,5,4,3,2}),11)&lt;2,0,11-MOD(SUMPRODUCT(--MID(T308,{1,2,3,4,5,6,7,8,9,10,11,12,13},1),{6,5,4,3,2,9,8,7,6,5,4,3,2}),11))),"OK","ERRO: dígito verificador")))))</f>
      </c>
      <c r="V308" s="6">
        <f>IF(T308="","",IF(COUNTIF($T$2:$T$1001,T308)&gt;1,"DUPLICADO","OK"))</f>
      </c>
      <c r="W308" s="6">
        <f>IF(M308="","vazio",IF(OR(AND(LEN(SUBSTITUTE(SUBSTITUTE(SUBSTITUTE(SUBSTITUTE(SUBSTITUTE(SUBSTITUTE(SUBSTITUTE(TRIM(M308),".",""),"/",""),"-","")," ",""),"(",""),")",""),"+",""))=10,LEFT(SUBSTITUTE(SUBSTITUTE(SUBSTITUTE(SUBSTITUTE(SUBSTITUTE(SUBSTITUTE(SUBSTITUTE(TRIM(M308),".",""),"/",""),"-","")," ",""),"(",""),")",""),"+",""),1)&lt;&gt;"0"),AND(LEN(SUBSTITUTE(SUBSTITUTE(SUBSTITUTE(SUBSTITUTE(SUBSTITUTE(SUBSTITUTE(SUBSTITUTE(TRIM(M308),".",""),"/",""),"-","")," ",""),"(",""),")",""),"+",""))=11,LEFT(SUBSTITUTE(SUBSTITUTE(SUBSTITUTE(SUBSTITUTE(SUBSTITUTE(SUBSTITUTE(SUBSTITUTE(TRIM(M308),".",""),"/",""),"-","")," ",""),"(",""),")",""),"+",""),4)="0800")),"OK",IF(AND(LEN(SUBSTITUTE(SUBSTITUTE(SUBSTITUTE(SUBSTITUTE(SUBSTITUTE(SUBSTITUTE(SUBSTITUTE(TRIM(M308),".",""),"/",""),"-","")," ",""),"(",""),")",""),"+",""))=11,MID(SUBSTITUTE(SUBSTITUTE(SUBSTITUTE(SUBSTITUTE(SUBSTITUTE(SUBSTITUTE(SUBSTITUTE(TRIM(M308),".",""),"/",""),"-","")," ",""),"(",""),")",""),"+",""),3,1)="9"),"ERRO: é celular, use a coluna Celular","ERRO: DDD + 8 dígitos ou 0800 + 7")))</f>
      </c>
      <c r="X308" s="6">
        <f>IF(N308="","vazio",IF(AND(LEN(SUBSTITUTE(SUBSTITUTE(SUBSTITUTE(SUBSTITUTE(SUBSTITUTE(SUBSTITUTE(SUBSTITUTE(TRIM(N308),".",""),"/",""),"-","")," ",""),"(",""),")",""),"+",""))=11,MID(SUBSTITUTE(SUBSTITUTE(SUBSTITUTE(SUBSTITUTE(SUBSTITUTE(SUBSTITUTE(SUBSTITUTE(TRIM(N308),".",""),"/",""),"-","")," ",""),"(",""),")",""),"+",""),3,1)="9",LEFT(SUBSTITUTE(SUBSTITUTE(SUBSTITUTE(SUBSTITUTE(SUBSTITUTE(SUBSTITUTE(SUBSTITUTE(TRIM(N308),".",""),"/",""),"-","")," ",""),"(",""),")",""),"+",""),1)&lt;&gt;"0"),"OK",IF(LEN(SUBSTITUTE(SUBSTITUTE(SUBSTITUTE(SUBSTITUTE(SUBSTITUTE(SUBSTITUTE(SUBSTITUTE(TRIM(N308),".",""),"/",""),"-","")," ",""),"(",""),")",""),"+",""))=10,"ERRO: é fixo (ou falta o 9), use a coluna Telefone fixo","ERRO: DDD + 9 + 8 dígitos")))</f>
      </c>
      <c r="Y308" s="6">
        <f>IF(O308="","vazio",IF(AND(ISNUMBER(FIND("@",O308)),ISNUMBER(FIND(".",MID(O308,FIND("@",O308),99))),NOT(ISNUMBER(FIND(" ",TRIM(O308)))),NOT(ISNUMBER(FIND(";",O308))),NOT(ISNUMBER(FIND(",",O308)))),"OK","ERRO: um e-mail válido por linha"))</f>
      </c>
      <c r="Z308" s="6">
        <f>IF(AND(J308="",K308=""),"",IF(AND(J308&lt;&gt;"",K308&lt;&gt;""),"OK","pendente: só um nome (o GR completa ao converter)"))</f>
      </c>
      <c r="AA308" s="6">
        <f>IF(COUNTA(A308:S308)=0,"",IF(AND(A308&lt;&gt;"",B308&lt;&gt;"",C308&lt;&gt;"",D308&lt;&gt;"",E308&lt;&gt;"",F308&lt;&gt;"",G308&lt;&gt;"",H308&lt;&gt;"",OR(J308&lt;&gt;"",K308&lt;&gt;""),OR(M308&lt;&gt;"",N308&lt;&gt;"",O308&lt;&gt;"")),"OK","ERRO: faltam "&amp;IF(A308="","SDR; ","")&amp;IF(B308="","Proprietário; ","")&amp;IF(C308="","Origem; ","")&amp;IF(D308="","Temperatura; ","")&amp;IF(E308="","Segmento; ","")&amp;IF(F308="","Time/Cluster; ","")&amp;IF(G308="","CNPJ; ","")&amp;IF(H308="","Razão Social; ","")&amp;IF(AND(J308="",K308=""),"nome do contato; ","")&amp;IF(AND(M308="",N308="",O308=""),"telefone, celular ou e-mail; ","")))</f>
      </c>
      <c r="AB308" s="6">
        <f>IF(COUNTA(A308:S308)=0,"",IF(AND(U308="OK",V308="OK",LEFT(W308,4)&lt;&gt;"ERRO",LEFT(X308,4)&lt;&gt;"ERRO",LEFT(Y308,4)&lt;&gt;"ERRO",AA308="OK"),"OK","REVISAR"))</f>
      </c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5"/>
      <c r="K309" s="4"/>
      <c r="L309" s="4"/>
      <c r="M309" s="4"/>
      <c r="N309" s="4"/>
      <c r="O309" s="4"/>
      <c r="P309" s="4"/>
      <c r="Q309" s="4"/>
      <c r="R309" s="4"/>
      <c r="S309" s="4"/>
      <c r="T309" s="6">
        <f>IF(G309="","",SUBSTITUTE(SUBSTITUTE(SUBSTITUTE(SUBSTITUTE(SUBSTITUTE(SUBSTITUTE(SUBSTITUTE(TRIM(G309),".",""),"/",""),"-","")," ",""),"(",""),")",""),"+",""))</f>
      </c>
      <c r="U309" s="6">
        <f>IF(T309="","",IF(LEN(T309)&lt;&gt;14,"ERRO: "&amp;LEN(T309)&amp;" dígitos",IF(NOT(ISNUMBER(VALUE(T309))),"ERRO: não numérico",IF(LEN(SUBSTITUTE(T309,LEFT(T309,1),""))=0,"ERRO: dígitos repetidos",IF(AND(VALUE(MID(T309,13,1))=IF(MOD(SUMPRODUCT(--MID(T309,{1,2,3,4,5,6,7,8,9,10,11,12},1),{5,4,3,2,9,8,7,6,5,4,3,2}),11)&lt;2,0,11-MOD(SUMPRODUCT(--MID(T309,{1,2,3,4,5,6,7,8,9,10,11,12},1),{5,4,3,2,9,8,7,6,5,4,3,2}),11)),VALUE(MID(T309,14,1))=IF(MOD(SUMPRODUCT(--MID(T309,{1,2,3,4,5,6,7,8,9,10,11,12,13},1),{6,5,4,3,2,9,8,7,6,5,4,3,2}),11)&lt;2,0,11-MOD(SUMPRODUCT(--MID(T309,{1,2,3,4,5,6,7,8,9,10,11,12,13},1),{6,5,4,3,2,9,8,7,6,5,4,3,2}),11))),"OK","ERRO: dígito verificador")))))</f>
      </c>
      <c r="V309" s="6">
        <f>IF(T309="","",IF(COUNTIF($T$2:$T$1001,T309)&gt;1,"DUPLICADO","OK"))</f>
      </c>
      <c r="W309" s="6">
        <f>IF(M309="","vazio",IF(OR(AND(LEN(SUBSTITUTE(SUBSTITUTE(SUBSTITUTE(SUBSTITUTE(SUBSTITUTE(SUBSTITUTE(SUBSTITUTE(TRIM(M309),".",""),"/",""),"-","")," ",""),"(",""),")",""),"+",""))=10,LEFT(SUBSTITUTE(SUBSTITUTE(SUBSTITUTE(SUBSTITUTE(SUBSTITUTE(SUBSTITUTE(SUBSTITUTE(TRIM(M309),".",""),"/",""),"-","")," ",""),"(",""),")",""),"+",""),1)&lt;&gt;"0"),AND(LEN(SUBSTITUTE(SUBSTITUTE(SUBSTITUTE(SUBSTITUTE(SUBSTITUTE(SUBSTITUTE(SUBSTITUTE(TRIM(M309),".",""),"/",""),"-","")," ",""),"(",""),")",""),"+",""))=11,LEFT(SUBSTITUTE(SUBSTITUTE(SUBSTITUTE(SUBSTITUTE(SUBSTITUTE(SUBSTITUTE(SUBSTITUTE(TRIM(M309),".",""),"/",""),"-","")," ",""),"(",""),")",""),"+",""),4)="0800")),"OK",IF(AND(LEN(SUBSTITUTE(SUBSTITUTE(SUBSTITUTE(SUBSTITUTE(SUBSTITUTE(SUBSTITUTE(SUBSTITUTE(TRIM(M309),".",""),"/",""),"-","")," ",""),"(",""),")",""),"+",""))=11,MID(SUBSTITUTE(SUBSTITUTE(SUBSTITUTE(SUBSTITUTE(SUBSTITUTE(SUBSTITUTE(SUBSTITUTE(TRIM(M309),".",""),"/",""),"-","")," ",""),"(",""),")",""),"+",""),3,1)="9"),"ERRO: é celular, use a coluna Celular","ERRO: DDD + 8 dígitos ou 0800 + 7")))</f>
      </c>
      <c r="X309" s="6">
        <f>IF(N309="","vazio",IF(AND(LEN(SUBSTITUTE(SUBSTITUTE(SUBSTITUTE(SUBSTITUTE(SUBSTITUTE(SUBSTITUTE(SUBSTITUTE(TRIM(N309),".",""),"/",""),"-","")," ",""),"(",""),")",""),"+",""))=11,MID(SUBSTITUTE(SUBSTITUTE(SUBSTITUTE(SUBSTITUTE(SUBSTITUTE(SUBSTITUTE(SUBSTITUTE(TRIM(N309),".",""),"/",""),"-","")," ",""),"(",""),")",""),"+",""),3,1)="9",LEFT(SUBSTITUTE(SUBSTITUTE(SUBSTITUTE(SUBSTITUTE(SUBSTITUTE(SUBSTITUTE(SUBSTITUTE(TRIM(N309),".",""),"/",""),"-","")," ",""),"(",""),")",""),"+",""),1)&lt;&gt;"0"),"OK",IF(LEN(SUBSTITUTE(SUBSTITUTE(SUBSTITUTE(SUBSTITUTE(SUBSTITUTE(SUBSTITUTE(SUBSTITUTE(TRIM(N309),".",""),"/",""),"-","")," ",""),"(",""),")",""),"+",""))=10,"ERRO: é fixo (ou falta o 9), use a coluna Telefone fixo","ERRO: DDD + 9 + 8 dígitos")))</f>
      </c>
      <c r="Y309" s="6">
        <f>IF(O309="","vazio",IF(AND(ISNUMBER(FIND("@",O309)),ISNUMBER(FIND(".",MID(O309,FIND("@",O309),99))),NOT(ISNUMBER(FIND(" ",TRIM(O309)))),NOT(ISNUMBER(FIND(";",O309))),NOT(ISNUMBER(FIND(",",O309)))),"OK","ERRO: um e-mail válido por linha"))</f>
      </c>
      <c r="Z309" s="6">
        <f>IF(AND(J309="",K309=""),"",IF(AND(J309&lt;&gt;"",K309&lt;&gt;""),"OK","pendente: só um nome (o GR completa ao converter)"))</f>
      </c>
      <c r="AA309" s="6">
        <f>IF(COUNTA(A309:S309)=0,"",IF(AND(A309&lt;&gt;"",B309&lt;&gt;"",C309&lt;&gt;"",D309&lt;&gt;"",E309&lt;&gt;"",F309&lt;&gt;"",G309&lt;&gt;"",H309&lt;&gt;"",OR(J309&lt;&gt;"",K309&lt;&gt;""),OR(M309&lt;&gt;"",N309&lt;&gt;"",O309&lt;&gt;"")),"OK","ERRO: faltam "&amp;IF(A309="","SDR; ","")&amp;IF(B309="","Proprietário; ","")&amp;IF(C309="","Origem; ","")&amp;IF(D309="","Temperatura; ","")&amp;IF(E309="","Segmento; ","")&amp;IF(F309="","Time/Cluster; ","")&amp;IF(G309="","CNPJ; ","")&amp;IF(H309="","Razão Social; ","")&amp;IF(AND(J309="",K309=""),"nome do contato; ","")&amp;IF(AND(M309="",N309="",O309=""),"telefone, celular ou e-mail; ","")))</f>
      </c>
      <c r="AB309" s="6">
        <f>IF(COUNTA(A309:S309)=0,"",IF(AND(U309="OK",V309="OK",LEFT(W309,4)&lt;&gt;"ERRO",LEFT(X309,4)&lt;&gt;"ERRO",LEFT(Y309,4)&lt;&gt;"ERRO",AA309="OK"),"OK","REVISAR"))</f>
      </c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5"/>
      <c r="K310" s="4"/>
      <c r="L310" s="4"/>
      <c r="M310" s="4"/>
      <c r="N310" s="4"/>
      <c r="O310" s="4"/>
      <c r="P310" s="4"/>
      <c r="Q310" s="4"/>
      <c r="R310" s="4"/>
      <c r="S310" s="4"/>
      <c r="T310" s="6">
        <f>IF(G310="","",SUBSTITUTE(SUBSTITUTE(SUBSTITUTE(SUBSTITUTE(SUBSTITUTE(SUBSTITUTE(SUBSTITUTE(TRIM(G310),".",""),"/",""),"-","")," ",""),"(",""),")",""),"+",""))</f>
      </c>
      <c r="U310" s="6">
        <f>IF(T310="","",IF(LEN(T310)&lt;&gt;14,"ERRO: "&amp;LEN(T310)&amp;" dígitos",IF(NOT(ISNUMBER(VALUE(T310))),"ERRO: não numérico",IF(LEN(SUBSTITUTE(T310,LEFT(T310,1),""))=0,"ERRO: dígitos repetidos",IF(AND(VALUE(MID(T310,13,1))=IF(MOD(SUMPRODUCT(--MID(T310,{1,2,3,4,5,6,7,8,9,10,11,12},1),{5,4,3,2,9,8,7,6,5,4,3,2}),11)&lt;2,0,11-MOD(SUMPRODUCT(--MID(T310,{1,2,3,4,5,6,7,8,9,10,11,12},1),{5,4,3,2,9,8,7,6,5,4,3,2}),11)),VALUE(MID(T310,14,1))=IF(MOD(SUMPRODUCT(--MID(T310,{1,2,3,4,5,6,7,8,9,10,11,12,13},1),{6,5,4,3,2,9,8,7,6,5,4,3,2}),11)&lt;2,0,11-MOD(SUMPRODUCT(--MID(T310,{1,2,3,4,5,6,7,8,9,10,11,12,13},1),{6,5,4,3,2,9,8,7,6,5,4,3,2}),11))),"OK","ERRO: dígito verificador")))))</f>
      </c>
      <c r="V310" s="6">
        <f>IF(T310="","",IF(COUNTIF($T$2:$T$1001,T310)&gt;1,"DUPLICADO","OK"))</f>
      </c>
      <c r="W310" s="6">
        <f>IF(M310="","vazio",IF(OR(AND(LEN(SUBSTITUTE(SUBSTITUTE(SUBSTITUTE(SUBSTITUTE(SUBSTITUTE(SUBSTITUTE(SUBSTITUTE(TRIM(M310),".",""),"/",""),"-","")," ",""),"(",""),")",""),"+",""))=10,LEFT(SUBSTITUTE(SUBSTITUTE(SUBSTITUTE(SUBSTITUTE(SUBSTITUTE(SUBSTITUTE(SUBSTITUTE(TRIM(M310),".",""),"/",""),"-","")," ",""),"(",""),")",""),"+",""),1)&lt;&gt;"0"),AND(LEN(SUBSTITUTE(SUBSTITUTE(SUBSTITUTE(SUBSTITUTE(SUBSTITUTE(SUBSTITUTE(SUBSTITUTE(TRIM(M310),".",""),"/",""),"-","")," ",""),"(",""),")",""),"+",""))=11,LEFT(SUBSTITUTE(SUBSTITUTE(SUBSTITUTE(SUBSTITUTE(SUBSTITUTE(SUBSTITUTE(SUBSTITUTE(TRIM(M310),".",""),"/",""),"-","")," ",""),"(",""),")",""),"+",""),4)="0800")),"OK",IF(AND(LEN(SUBSTITUTE(SUBSTITUTE(SUBSTITUTE(SUBSTITUTE(SUBSTITUTE(SUBSTITUTE(SUBSTITUTE(TRIM(M310),".",""),"/",""),"-","")," ",""),"(",""),")",""),"+",""))=11,MID(SUBSTITUTE(SUBSTITUTE(SUBSTITUTE(SUBSTITUTE(SUBSTITUTE(SUBSTITUTE(SUBSTITUTE(TRIM(M310),".",""),"/",""),"-","")," ",""),"(",""),")",""),"+",""),3,1)="9"),"ERRO: é celular, use a coluna Celular","ERRO: DDD + 8 dígitos ou 0800 + 7")))</f>
      </c>
      <c r="X310" s="6">
        <f>IF(N310="","vazio",IF(AND(LEN(SUBSTITUTE(SUBSTITUTE(SUBSTITUTE(SUBSTITUTE(SUBSTITUTE(SUBSTITUTE(SUBSTITUTE(TRIM(N310),".",""),"/",""),"-","")," ",""),"(",""),")",""),"+",""))=11,MID(SUBSTITUTE(SUBSTITUTE(SUBSTITUTE(SUBSTITUTE(SUBSTITUTE(SUBSTITUTE(SUBSTITUTE(TRIM(N310),".",""),"/",""),"-","")," ",""),"(",""),")",""),"+",""),3,1)="9",LEFT(SUBSTITUTE(SUBSTITUTE(SUBSTITUTE(SUBSTITUTE(SUBSTITUTE(SUBSTITUTE(SUBSTITUTE(TRIM(N310),".",""),"/",""),"-","")," ",""),"(",""),")",""),"+",""),1)&lt;&gt;"0"),"OK",IF(LEN(SUBSTITUTE(SUBSTITUTE(SUBSTITUTE(SUBSTITUTE(SUBSTITUTE(SUBSTITUTE(SUBSTITUTE(TRIM(N310),".",""),"/",""),"-","")," ",""),"(",""),")",""),"+",""))=10,"ERRO: é fixo (ou falta o 9), use a coluna Telefone fixo","ERRO: DDD + 9 + 8 dígitos")))</f>
      </c>
      <c r="Y310" s="6">
        <f>IF(O310="","vazio",IF(AND(ISNUMBER(FIND("@",O310)),ISNUMBER(FIND(".",MID(O310,FIND("@",O310),99))),NOT(ISNUMBER(FIND(" ",TRIM(O310)))),NOT(ISNUMBER(FIND(";",O310))),NOT(ISNUMBER(FIND(",",O310)))),"OK","ERRO: um e-mail válido por linha"))</f>
      </c>
      <c r="Z310" s="6">
        <f>IF(AND(J310="",K310=""),"",IF(AND(J310&lt;&gt;"",K310&lt;&gt;""),"OK","pendente: só um nome (o GR completa ao converter)"))</f>
      </c>
      <c r="AA310" s="6">
        <f>IF(COUNTA(A310:S310)=0,"",IF(AND(A310&lt;&gt;"",B310&lt;&gt;"",C310&lt;&gt;"",D310&lt;&gt;"",E310&lt;&gt;"",F310&lt;&gt;"",G310&lt;&gt;"",H310&lt;&gt;"",OR(J310&lt;&gt;"",K310&lt;&gt;""),OR(M310&lt;&gt;"",N310&lt;&gt;"",O310&lt;&gt;"")),"OK","ERRO: faltam "&amp;IF(A310="","SDR; ","")&amp;IF(B310="","Proprietário; ","")&amp;IF(C310="","Origem; ","")&amp;IF(D310="","Temperatura; ","")&amp;IF(E310="","Segmento; ","")&amp;IF(F310="","Time/Cluster; ","")&amp;IF(G310="","CNPJ; ","")&amp;IF(H310="","Razão Social; ","")&amp;IF(AND(J310="",K310=""),"nome do contato; ","")&amp;IF(AND(M310="",N310="",O310=""),"telefone, celular ou e-mail; ","")))</f>
      </c>
      <c r="AB310" s="6">
        <f>IF(COUNTA(A310:S310)=0,"",IF(AND(U310="OK",V310="OK",LEFT(W310,4)&lt;&gt;"ERRO",LEFT(X310,4)&lt;&gt;"ERRO",LEFT(Y310,4)&lt;&gt;"ERRO",AA310="OK"),"OK","REVISAR"))</f>
      </c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5"/>
      <c r="K311" s="4"/>
      <c r="L311" s="4"/>
      <c r="M311" s="4"/>
      <c r="N311" s="4"/>
      <c r="O311" s="4"/>
      <c r="P311" s="4"/>
      <c r="Q311" s="4"/>
      <c r="R311" s="4"/>
      <c r="S311" s="4"/>
      <c r="T311" s="6">
        <f>IF(G311="","",SUBSTITUTE(SUBSTITUTE(SUBSTITUTE(SUBSTITUTE(SUBSTITUTE(SUBSTITUTE(SUBSTITUTE(TRIM(G311),".",""),"/",""),"-","")," ",""),"(",""),")",""),"+",""))</f>
      </c>
      <c r="U311" s="6">
        <f>IF(T311="","",IF(LEN(T311)&lt;&gt;14,"ERRO: "&amp;LEN(T311)&amp;" dígitos",IF(NOT(ISNUMBER(VALUE(T311))),"ERRO: não numérico",IF(LEN(SUBSTITUTE(T311,LEFT(T311,1),""))=0,"ERRO: dígitos repetidos",IF(AND(VALUE(MID(T311,13,1))=IF(MOD(SUMPRODUCT(--MID(T311,{1,2,3,4,5,6,7,8,9,10,11,12},1),{5,4,3,2,9,8,7,6,5,4,3,2}),11)&lt;2,0,11-MOD(SUMPRODUCT(--MID(T311,{1,2,3,4,5,6,7,8,9,10,11,12},1),{5,4,3,2,9,8,7,6,5,4,3,2}),11)),VALUE(MID(T311,14,1))=IF(MOD(SUMPRODUCT(--MID(T311,{1,2,3,4,5,6,7,8,9,10,11,12,13},1),{6,5,4,3,2,9,8,7,6,5,4,3,2}),11)&lt;2,0,11-MOD(SUMPRODUCT(--MID(T311,{1,2,3,4,5,6,7,8,9,10,11,12,13},1),{6,5,4,3,2,9,8,7,6,5,4,3,2}),11))),"OK","ERRO: dígito verificador")))))</f>
      </c>
      <c r="V311" s="6">
        <f>IF(T311="","",IF(COUNTIF($T$2:$T$1001,T311)&gt;1,"DUPLICADO","OK"))</f>
      </c>
      <c r="W311" s="6">
        <f>IF(M311="","vazio",IF(OR(AND(LEN(SUBSTITUTE(SUBSTITUTE(SUBSTITUTE(SUBSTITUTE(SUBSTITUTE(SUBSTITUTE(SUBSTITUTE(TRIM(M311),".",""),"/",""),"-","")," ",""),"(",""),")",""),"+",""))=10,LEFT(SUBSTITUTE(SUBSTITUTE(SUBSTITUTE(SUBSTITUTE(SUBSTITUTE(SUBSTITUTE(SUBSTITUTE(TRIM(M311),".",""),"/",""),"-","")," ",""),"(",""),")",""),"+",""),1)&lt;&gt;"0"),AND(LEN(SUBSTITUTE(SUBSTITUTE(SUBSTITUTE(SUBSTITUTE(SUBSTITUTE(SUBSTITUTE(SUBSTITUTE(TRIM(M311),".",""),"/",""),"-","")," ",""),"(",""),")",""),"+",""))=11,LEFT(SUBSTITUTE(SUBSTITUTE(SUBSTITUTE(SUBSTITUTE(SUBSTITUTE(SUBSTITUTE(SUBSTITUTE(TRIM(M311),".",""),"/",""),"-","")," ",""),"(",""),")",""),"+",""),4)="0800")),"OK",IF(AND(LEN(SUBSTITUTE(SUBSTITUTE(SUBSTITUTE(SUBSTITUTE(SUBSTITUTE(SUBSTITUTE(SUBSTITUTE(TRIM(M311),".",""),"/",""),"-","")," ",""),"(",""),")",""),"+",""))=11,MID(SUBSTITUTE(SUBSTITUTE(SUBSTITUTE(SUBSTITUTE(SUBSTITUTE(SUBSTITUTE(SUBSTITUTE(TRIM(M311),".",""),"/",""),"-","")," ",""),"(",""),")",""),"+",""),3,1)="9"),"ERRO: é celular, use a coluna Celular","ERRO: DDD + 8 dígitos ou 0800 + 7")))</f>
      </c>
      <c r="X311" s="6">
        <f>IF(N311="","vazio",IF(AND(LEN(SUBSTITUTE(SUBSTITUTE(SUBSTITUTE(SUBSTITUTE(SUBSTITUTE(SUBSTITUTE(SUBSTITUTE(TRIM(N311),".",""),"/",""),"-","")," ",""),"(",""),")",""),"+",""))=11,MID(SUBSTITUTE(SUBSTITUTE(SUBSTITUTE(SUBSTITUTE(SUBSTITUTE(SUBSTITUTE(SUBSTITUTE(TRIM(N311),".",""),"/",""),"-","")," ",""),"(",""),")",""),"+",""),3,1)="9",LEFT(SUBSTITUTE(SUBSTITUTE(SUBSTITUTE(SUBSTITUTE(SUBSTITUTE(SUBSTITUTE(SUBSTITUTE(TRIM(N311),".",""),"/",""),"-","")," ",""),"(",""),")",""),"+",""),1)&lt;&gt;"0"),"OK",IF(LEN(SUBSTITUTE(SUBSTITUTE(SUBSTITUTE(SUBSTITUTE(SUBSTITUTE(SUBSTITUTE(SUBSTITUTE(TRIM(N311),".",""),"/",""),"-","")," ",""),"(",""),")",""),"+",""))=10,"ERRO: é fixo (ou falta o 9), use a coluna Telefone fixo","ERRO: DDD + 9 + 8 dígitos")))</f>
      </c>
      <c r="Y311" s="6">
        <f>IF(O311="","vazio",IF(AND(ISNUMBER(FIND("@",O311)),ISNUMBER(FIND(".",MID(O311,FIND("@",O311),99))),NOT(ISNUMBER(FIND(" ",TRIM(O311)))),NOT(ISNUMBER(FIND(";",O311))),NOT(ISNUMBER(FIND(",",O311)))),"OK","ERRO: um e-mail válido por linha"))</f>
      </c>
      <c r="Z311" s="6">
        <f>IF(AND(J311="",K311=""),"",IF(AND(J311&lt;&gt;"",K311&lt;&gt;""),"OK","pendente: só um nome (o GR completa ao converter)"))</f>
      </c>
      <c r="AA311" s="6">
        <f>IF(COUNTA(A311:S311)=0,"",IF(AND(A311&lt;&gt;"",B311&lt;&gt;"",C311&lt;&gt;"",D311&lt;&gt;"",E311&lt;&gt;"",F311&lt;&gt;"",G311&lt;&gt;"",H311&lt;&gt;"",OR(J311&lt;&gt;"",K311&lt;&gt;""),OR(M311&lt;&gt;"",N311&lt;&gt;"",O311&lt;&gt;"")),"OK","ERRO: faltam "&amp;IF(A311="","SDR; ","")&amp;IF(B311="","Proprietário; ","")&amp;IF(C311="","Origem; ","")&amp;IF(D311="","Temperatura; ","")&amp;IF(E311="","Segmento; ","")&amp;IF(F311="","Time/Cluster; ","")&amp;IF(G311="","CNPJ; ","")&amp;IF(H311="","Razão Social; ","")&amp;IF(AND(J311="",K311=""),"nome do contato; ","")&amp;IF(AND(M311="",N311="",O311=""),"telefone, celular ou e-mail; ","")))</f>
      </c>
      <c r="AB311" s="6">
        <f>IF(COUNTA(A311:S311)=0,"",IF(AND(U311="OK",V311="OK",LEFT(W311,4)&lt;&gt;"ERRO",LEFT(X311,4)&lt;&gt;"ERRO",LEFT(Y311,4)&lt;&gt;"ERRO",AA311="OK"),"OK","REVISAR"))</f>
      </c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5"/>
      <c r="K312" s="4"/>
      <c r="L312" s="4"/>
      <c r="M312" s="4"/>
      <c r="N312" s="4"/>
      <c r="O312" s="4"/>
      <c r="P312" s="4"/>
      <c r="Q312" s="4"/>
      <c r="R312" s="4"/>
      <c r="S312" s="4"/>
      <c r="T312" s="6">
        <f>IF(G312="","",SUBSTITUTE(SUBSTITUTE(SUBSTITUTE(SUBSTITUTE(SUBSTITUTE(SUBSTITUTE(SUBSTITUTE(TRIM(G312),".",""),"/",""),"-","")," ",""),"(",""),")",""),"+",""))</f>
      </c>
      <c r="U312" s="6">
        <f>IF(T312="","",IF(LEN(T312)&lt;&gt;14,"ERRO: "&amp;LEN(T312)&amp;" dígitos",IF(NOT(ISNUMBER(VALUE(T312))),"ERRO: não numérico",IF(LEN(SUBSTITUTE(T312,LEFT(T312,1),""))=0,"ERRO: dígitos repetidos",IF(AND(VALUE(MID(T312,13,1))=IF(MOD(SUMPRODUCT(--MID(T312,{1,2,3,4,5,6,7,8,9,10,11,12},1),{5,4,3,2,9,8,7,6,5,4,3,2}),11)&lt;2,0,11-MOD(SUMPRODUCT(--MID(T312,{1,2,3,4,5,6,7,8,9,10,11,12},1),{5,4,3,2,9,8,7,6,5,4,3,2}),11)),VALUE(MID(T312,14,1))=IF(MOD(SUMPRODUCT(--MID(T312,{1,2,3,4,5,6,7,8,9,10,11,12,13},1),{6,5,4,3,2,9,8,7,6,5,4,3,2}),11)&lt;2,0,11-MOD(SUMPRODUCT(--MID(T312,{1,2,3,4,5,6,7,8,9,10,11,12,13},1),{6,5,4,3,2,9,8,7,6,5,4,3,2}),11))),"OK","ERRO: dígito verificador")))))</f>
      </c>
      <c r="V312" s="6">
        <f>IF(T312="","",IF(COUNTIF($T$2:$T$1001,T312)&gt;1,"DUPLICADO","OK"))</f>
      </c>
      <c r="W312" s="6">
        <f>IF(M312="","vazio",IF(OR(AND(LEN(SUBSTITUTE(SUBSTITUTE(SUBSTITUTE(SUBSTITUTE(SUBSTITUTE(SUBSTITUTE(SUBSTITUTE(TRIM(M312),".",""),"/",""),"-","")," ",""),"(",""),")",""),"+",""))=10,LEFT(SUBSTITUTE(SUBSTITUTE(SUBSTITUTE(SUBSTITUTE(SUBSTITUTE(SUBSTITUTE(SUBSTITUTE(TRIM(M312),".",""),"/",""),"-","")," ",""),"(",""),")",""),"+",""),1)&lt;&gt;"0"),AND(LEN(SUBSTITUTE(SUBSTITUTE(SUBSTITUTE(SUBSTITUTE(SUBSTITUTE(SUBSTITUTE(SUBSTITUTE(TRIM(M312),".",""),"/",""),"-","")," ",""),"(",""),")",""),"+",""))=11,LEFT(SUBSTITUTE(SUBSTITUTE(SUBSTITUTE(SUBSTITUTE(SUBSTITUTE(SUBSTITUTE(SUBSTITUTE(TRIM(M312),".",""),"/",""),"-","")," ",""),"(",""),")",""),"+",""),4)="0800")),"OK",IF(AND(LEN(SUBSTITUTE(SUBSTITUTE(SUBSTITUTE(SUBSTITUTE(SUBSTITUTE(SUBSTITUTE(SUBSTITUTE(TRIM(M312),".",""),"/",""),"-","")," ",""),"(",""),")",""),"+",""))=11,MID(SUBSTITUTE(SUBSTITUTE(SUBSTITUTE(SUBSTITUTE(SUBSTITUTE(SUBSTITUTE(SUBSTITUTE(TRIM(M312),".",""),"/",""),"-","")," ",""),"(",""),")",""),"+",""),3,1)="9"),"ERRO: é celular, use a coluna Celular","ERRO: DDD + 8 dígitos ou 0800 + 7")))</f>
      </c>
      <c r="X312" s="6">
        <f>IF(N312="","vazio",IF(AND(LEN(SUBSTITUTE(SUBSTITUTE(SUBSTITUTE(SUBSTITUTE(SUBSTITUTE(SUBSTITUTE(SUBSTITUTE(TRIM(N312),".",""),"/",""),"-","")," ",""),"(",""),")",""),"+",""))=11,MID(SUBSTITUTE(SUBSTITUTE(SUBSTITUTE(SUBSTITUTE(SUBSTITUTE(SUBSTITUTE(SUBSTITUTE(TRIM(N312),".",""),"/",""),"-","")," ",""),"(",""),")",""),"+",""),3,1)="9",LEFT(SUBSTITUTE(SUBSTITUTE(SUBSTITUTE(SUBSTITUTE(SUBSTITUTE(SUBSTITUTE(SUBSTITUTE(TRIM(N312),".",""),"/",""),"-","")," ",""),"(",""),")",""),"+",""),1)&lt;&gt;"0"),"OK",IF(LEN(SUBSTITUTE(SUBSTITUTE(SUBSTITUTE(SUBSTITUTE(SUBSTITUTE(SUBSTITUTE(SUBSTITUTE(TRIM(N312),".",""),"/",""),"-","")," ",""),"(",""),")",""),"+",""))=10,"ERRO: é fixo (ou falta o 9), use a coluna Telefone fixo","ERRO: DDD + 9 + 8 dígitos")))</f>
      </c>
      <c r="Y312" s="6">
        <f>IF(O312="","vazio",IF(AND(ISNUMBER(FIND("@",O312)),ISNUMBER(FIND(".",MID(O312,FIND("@",O312),99))),NOT(ISNUMBER(FIND(" ",TRIM(O312)))),NOT(ISNUMBER(FIND(";",O312))),NOT(ISNUMBER(FIND(",",O312)))),"OK","ERRO: um e-mail válido por linha"))</f>
      </c>
      <c r="Z312" s="6">
        <f>IF(AND(J312="",K312=""),"",IF(AND(J312&lt;&gt;"",K312&lt;&gt;""),"OK","pendente: só um nome (o GR completa ao converter)"))</f>
      </c>
      <c r="AA312" s="6">
        <f>IF(COUNTA(A312:S312)=0,"",IF(AND(A312&lt;&gt;"",B312&lt;&gt;"",C312&lt;&gt;"",D312&lt;&gt;"",E312&lt;&gt;"",F312&lt;&gt;"",G312&lt;&gt;"",H312&lt;&gt;"",OR(J312&lt;&gt;"",K312&lt;&gt;""),OR(M312&lt;&gt;"",N312&lt;&gt;"",O312&lt;&gt;"")),"OK","ERRO: faltam "&amp;IF(A312="","SDR; ","")&amp;IF(B312="","Proprietário; ","")&amp;IF(C312="","Origem; ","")&amp;IF(D312="","Temperatura; ","")&amp;IF(E312="","Segmento; ","")&amp;IF(F312="","Time/Cluster; ","")&amp;IF(G312="","CNPJ; ","")&amp;IF(H312="","Razão Social; ","")&amp;IF(AND(J312="",K312=""),"nome do contato; ","")&amp;IF(AND(M312="",N312="",O312=""),"telefone, celular ou e-mail; ","")))</f>
      </c>
      <c r="AB312" s="6">
        <f>IF(COUNTA(A312:S312)=0,"",IF(AND(U312="OK",V312="OK",LEFT(W312,4)&lt;&gt;"ERRO",LEFT(X312,4)&lt;&gt;"ERRO",LEFT(Y312,4)&lt;&gt;"ERRO",AA312="OK"),"OK","REVISAR"))</f>
      </c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5"/>
      <c r="K313" s="4"/>
      <c r="L313" s="4"/>
      <c r="M313" s="4"/>
      <c r="N313" s="4"/>
      <c r="O313" s="4"/>
      <c r="P313" s="4"/>
      <c r="Q313" s="4"/>
      <c r="R313" s="4"/>
      <c r="S313" s="4"/>
      <c r="T313" s="6">
        <f>IF(G313="","",SUBSTITUTE(SUBSTITUTE(SUBSTITUTE(SUBSTITUTE(SUBSTITUTE(SUBSTITUTE(SUBSTITUTE(TRIM(G313),".",""),"/",""),"-","")," ",""),"(",""),")",""),"+",""))</f>
      </c>
      <c r="U313" s="6">
        <f>IF(T313="","",IF(LEN(T313)&lt;&gt;14,"ERRO: "&amp;LEN(T313)&amp;" dígitos",IF(NOT(ISNUMBER(VALUE(T313))),"ERRO: não numérico",IF(LEN(SUBSTITUTE(T313,LEFT(T313,1),""))=0,"ERRO: dígitos repetidos",IF(AND(VALUE(MID(T313,13,1))=IF(MOD(SUMPRODUCT(--MID(T313,{1,2,3,4,5,6,7,8,9,10,11,12},1),{5,4,3,2,9,8,7,6,5,4,3,2}),11)&lt;2,0,11-MOD(SUMPRODUCT(--MID(T313,{1,2,3,4,5,6,7,8,9,10,11,12},1),{5,4,3,2,9,8,7,6,5,4,3,2}),11)),VALUE(MID(T313,14,1))=IF(MOD(SUMPRODUCT(--MID(T313,{1,2,3,4,5,6,7,8,9,10,11,12,13},1),{6,5,4,3,2,9,8,7,6,5,4,3,2}),11)&lt;2,0,11-MOD(SUMPRODUCT(--MID(T313,{1,2,3,4,5,6,7,8,9,10,11,12,13},1),{6,5,4,3,2,9,8,7,6,5,4,3,2}),11))),"OK","ERRO: dígito verificador")))))</f>
      </c>
      <c r="V313" s="6">
        <f>IF(T313="","",IF(COUNTIF($T$2:$T$1001,T313)&gt;1,"DUPLICADO","OK"))</f>
      </c>
      <c r="W313" s="6">
        <f>IF(M313="","vazio",IF(OR(AND(LEN(SUBSTITUTE(SUBSTITUTE(SUBSTITUTE(SUBSTITUTE(SUBSTITUTE(SUBSTITUTE(SUBSTITUTE(TRIM(M313),".",""),"/",""),"-","")," ",""),"(",""),")",""),"+",""))=10,LEFT(SUBSTITUTE(SUBSTITUTE(SUBSTITUTE(SUBSTITUTE(SUBSTITUTE(SUBSTITUTE(SUBSTITUTE(TRIM(M313),".",""),"/",""),"-","")," ",""),"(",""),")",""),"+",""),1)&lt;&gt;"0"),AND(LEN(SUBSTITUTE(SUBSTITUTE(SUBSTITUTE(SUBSTITUTE(SUBSTITUTE(SUBSTITUTE(SUBSTITUTE(TRIM(M313),".",""),"/",""),"-","")," ",""),"(",""),")",""),"+",""))=11,LEFT(SUBSTITUTE(SUBSTITUTE(SUBSTITUTE(SUBSTITUTE(SUBSTITUTE(SUBSTITUTE(SUBSTITUTE(TRIM(M313),".",""),"/",""),"-","")," ",""),"(",""),")",""),"+",""),4)="0800")),"OK",IF(AND(LEN(SUBSTITUTE(SUBSTITUTE(SUBSTITUTE(SUBSTITUTE(SUBSTITUTE(SUBSTITUTE(SUBSTITUTE(TRIM(M313),".",""),"/",""),"-","")," ",""),"(",""),")",""),"+",""))=11,MID(SUBSTITUTE(SUBSTITUTE(SUBSTITUTE(SUBSTITUTE(SUBSTITUTE(SUBSTITUTE(SUBSTITUTE(TRIM(M313),".",""),"/",""),"-","")," ",""),"(",""),")",""),"+",""),3,1)="9"),"ERRO: é celular, use a coluna Celular","ERRO: DDD + 8 dígitos ou 0800 + 7")))</f>
      </c>
      <c r="X313" s="6">
        <f>IF(N313="","vazio",IF(AND(LEN(SUBSTITUTE(SUBSTITUTE(SUBSTITUTE(SUBSTITUTE(SUBSTITUTE(SUBSTITUTE(SUBSTITUTE(TRIM(N313),".",""),"/",""),"-","")," ",""),"(",""),")",""),"+",""))=11,MID(SUBSTITUTE(SUBSTITUTE(SUBSTITUTE(SUBSTITUTE(SUBSTITUTE(SUBSTITUTE(SUBSTITUTE(TRIM(N313),".",""),"/",""),"-","")," ",""),"(",""),")",""),"+",""),3,1)="9",LEFT(SUBSTITUTE(SUBSTITUTE(SUBSTITUTE(SUBSTITUTE(SUBSTITUTE(SUBSTITUTE(SUBSTITUTE(TRIM(N313),".",""),"/",""),"-","")," ",""),"(",""),")",""),"+",""),1)&lt;&gt;"0"),"OK",IF(LEN(SUBSTITUTE(SUBSTITUTE(SUBSTITUTE(SUBSTITUTE(SUBSTITUTE(SUBSTITUTE(SUBSTITUTE(TRIM(N313),".",""),"/",""),"-","")," ",""),"(",""),")",""),"+",""))=10,"ERRO: é fixo (ou falta o 9), use a coluna Telefone fixo","ERRO: DDD + 9 + 8 dígitos")))</f>
      </c>
      <c r="Y313" s="6">
        <f>IF(O313="","vazio",IF(AND(ISNUMBER(FIND("@",O313)),ISNUMBER(FIND(".",MID(O313,FIND("@",O313),99))),NOT(ISNUMBER(FIND(" ",TRIM(O313)))),NOT(ISNUMBER(FIND(";",O313))),NOT(ISNUMBER(FIND(",",O313)))),"OK","ERRO: um e-mail válido por linha"))</f>
      </c>
      <c r="Z313" s="6">
        <f>IF(AND(J313="",K313=""),"",IF(AND(J313&lt;&gt;"",K313&lt;&gt;""),"OK","pendente: só um nome (o GR completa ao converter)"))</f>
      </c>
      <c r="AA313" s="6">
        <f>IF(COUNTA(A313:S313)=0,"",IF(AND(A313&lt;&gt;"",B313&lt;&gt;"",C313&lt;&gt;"",D313&lt;&gt;"",E313&lt;&gt;"",F313&lt;&gt;"",G313&lt;&gt;"",H313&lt;&gt;"",OR(J313&lt;&gt;"",K313&lt;&gt;""),OR(M313&lt;&gt;"",N313&lt;&gt;"",O313&lt;&gt;"")),"OK","ERRO: faltam "&amp;IF(A313="","SDR; ","")&amp;IF(B313="","Proprietário; ","")&amp;IF(C313="","Origem; ","")&amp;IF(D313="","Temperatura; ","")&amp;IF(E313="","Segmento; ","")&amp;IF(F313="","Time/Cluster; ","")&amp;IF(G313="","CNPJ; ","")&amp;IF(H313="","Razão Social; ","")&amp;IF(AND(J313="",K313=""),"nome do contato; ","")&amp;IF(AND(M313="",N313="",O313=""),"telefone, celular ou e-mail; ","")))</f>
      </c>
      <c r="AB313" s="6">
        <f>IF(COUNTA(A313:S313)=0,"",IF(AND(U313="OK",V313="OK",LEFT(W313,4)&lt;&gt;"ERRO",LEFT(X313,4)&lt;&gt;"ERRO",LEFT(Y313,4)&lt;&gt;"ERRO",AA313="OK"),"OK","REVISAR"))</f>
      </c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5"/>
      <c r="K314" s="4"/>
      <c r="L314" s="4"/>
      <c r="M314" s="4"/>
      <c r="N314" s="4"/>
      <c r="O314" s="4"/>
      <c r="P314" s="4"/>
      <c r="Q314" s="4"/>
      <c r="R314" s="4"/>
      <c r="S314" s="4"/>
      <c r="T314" s="6">
        <f>IF(G314="","",SUBSTITUTE(SUBSTITUTE(SUBSTITUTE(SUBSTITUTE(SUBSTITUTE(SUBSTITUTE(SUBSTITUTE(TRIM(G314),".",""),"/",""),"-","")," ",""),"(",""),")",""),"+",""))</f>
      </c>
      <c r="U314" s="6">
        <f>IF(T314="","",IF(LEN(T314)&lt;&gt;14,"ERRO: "&amp;LEN(T314)&amp;" dígitos",IF(NOT(ISNUMBER(VALUE(T314))),"ERRO: não numérico",IF(LEN(SUBSTITUTE(T314,LEFT(T314,1),""))=0,"ERRO: dígitos repetidos",IF(AND(VALUE(MID(T314,13,1))=IF(MOD(SUMPRODUCT(--MID(T314,{1,2,3,4,5,6,7,8,9,10,11,12},1),{5,4,3,2,9,8,7,6,5,4,3,2}),11)&lt;2,0,11-MOD(SUMPRODUCT(--MID(T314,{1,2,3,4,5,6,7,8,9,10,11,12},1),{5,4,3,2,9,8,7,6,5,4,3,2}),11)),VALUE(MID(T314,14,1))=IF(MOD(SUMPRODUCT(--MID(T314,{1,2,3,4,5,6,7,8,9,10,11,12,13},1),{6,5,4,3,2,9,8,7,6,5,4,3,2}),11)&lt;2,0,11-MOD(SUMPRODUCT(--MID(T314,{1,2,3,4,5,6,7,8,9,10,11,12,13},1),{6,5,4,3,2,9,8,7,6,5,4,3,2}),11))),"OK","ERRO: dígito verificador")))))</f>
      </c>
      <c r="V314" s="6">
        <f>IF(T314="","",IF(COUNTIF($T$2:$T$1001,T314)&gt;1,"DUPLICADO","OK"))</f>
      </c>
      <c r="W314" s="6">
        <f>IF(M314="","vazio",IF(OR(AND(LEN(SUBSTITUTE(SUBSTITUTE(SUBSTITUTE(SUBSTITUTE(SUBSTITUTE(SUBSTITUTE(SUBSTITUTE(TRIM(M314),".",""),"/",""),"-","")," ",""),"(",""),")",""),"+",""))=10,LEFT(SUBSTITUTE(SUBSTITUTE(SUBSTITUTE(SUBSTITUTE(SUBSTITUTE(SUBSTITUTE(SUBSTITUTE(TRIM(M314),".",""),"/",""),"-","")," ",""),"(",""),")",""),"+",""),1)&lt;&gt;"0"),AND(LEN(SUBSTITUTE(SUBSTITUTE(SUBSTITUTE(SUBSTITUTE(SUBSTITUTE(SUBSTITUTE(SUBSTITUTE(TRIM(M314),".",""),"/",""),"-","")," ",""),"(",""),")",""),"+",""))=11,LEFT(SUBSTITUTE(SUBSTITUTE(SUBSTITUTE(SUBSTITUTE(SUBSTITUTE(SUBSTITUTE(SUBSTITUTE(TRIM(M314),".",""),"/",""),"-","")," ",""),"(",""),")",""),"+",""),4)="0800")),"OK",IF(AND(LEN(SUBSTITUTE(SUBSTITUTE(SUBSTITUTE(SUBSTITUTE(SUBSTITUTE(SUBSTITUTE(SUBSTITUTE(TRIM(M314),".",""),"/",""),"-","")," ",""),"(",""),")",""),"+",""))=11,MID(SUBSTITUTE(SUBSTITUTE(SUBSTITUTE(SUBSTITUTE(SUBSTITUTE(SUBSTITUTE(SUBSTITUTE(TRIM(M314),".",""),"/",""),"-","")," ",""),"(",""),")",""),"+",""),3,1)="9"),"ERRO: é celular, use a coluna Celular","ERRO: DDD + 8 dígitos ou 0800 + 7")))</f>
      </c>
      <c r="X314" s="6">
        <f>IF(N314="","vazio",IF(AND(LEN(SUBSTITUTE(SUBSTITUTE(SUBSTITUTE(SUBSTITUTE(SUBSTITUTE(SUBSTITUTE(SUBSTITUTE(TRIM(N314),".",""),"/",""),"-","")," ",""),"(",""),")",""),"+",""))=11,MID(SUBSTITUTE(SUBSTITUTE(SUBSTITUTE(SUBSTITUTE(SUBSTITUTE(SUBSTITUTE(SUBSTITUTE(TRIM(N314),".",""),"/",""),"-","")," ",""),"(",""),")",""),"+",""),3,1)="9",LEFT(SUBSTITUTE(SUBSTITUTE(SUBSTITUTE(SUBSTITUTE(SUBSTITUTE(SUBSTITUTE(SUBSTITUTE(TRIM(N314),".",""),"/",""),"-","")," ",""),"(",""),")",""),"+",""),1)&lt;&gt;"0"),"OK",IF(LEN(SUBSTITUTE(SUBSTITUTE(SUBSTITUTE(SUBSTITUTE(SUBSTITUTE(SUBSTITUTE(SUBSTITUTE(TRIM(N314),".",""),"/",""),"-","")," ",""),"(",""),")",""),"+",""))=10,"ERRO: é fixo (ou falta o 9), use a coluna Telefone fixo","ERRO: DDD + 9 + 8 dígitos")))</f>
      </c>
      <c r="Y314" s="6">
        <f>IF(O314="","vazio",IF(AND(ISNUMBER(FIND("@",O314)),ISNUMBER(FIND(".",MID(O314,FIND("@",O314),99))),NOT(ISNUMBER(FIND(" ",TRIM(O314)))),NOT(ISNUMBER(FIND(";",O314))),NOT(ISNUMBER(FIND(",",O314)))),"OK","ERRO: um e-mail válido por linha"))</f>
      </c>
      <c r="Z314" s="6">
        <f>IF(AND(J314="",K314=""),"",IF(AND(J314&lt;&gt;"",K314&lt;&gt;""),"OK","pendente: só um nome (o GR completa ao converter)"))</f>
      </c>
      <c r="AA314" s="6">
        <f>IF(COUNTA(A314:S314)=0,"",IF(AND(A314&lt;&gt;"",B314&lt;&gt;"",C314&lt;&gt;"",D314&lt;&gt;"",E314&lt;&gt;"",F314&lt;&gt;"",G314&lt;&gt;"",H314&lt;&gt;"",OR(J314&lt;&gt;"",K314&lt;&gt;""),OR(M314&lt;&gt;"",N314&lt;&gt;"",O314&lt;&gt;"")),"OK","ERRO: faltam "&amp;IF(A314="","SDR; ","")&amp;IF(B314="","Proprietário; ","")&amp;IF(C314="","Origem; ","")&amp;IF(D314="","Temperatura; ","")&amp;IF(E314="","Segmento; ","")&amp;IF(F314="","Time/Cluster; ","")&amp;IF(G314="","CNPJ; ","")&amp;IF(H314="","Razão Social; ","")&amp;IF(AND(J314="",K314=""),"nome do contato; ","")&amp;IF(AND(M314="",N314="",O314=""),"telefone, celular ou e-mail; ","")))</f>
      </c>
      <c r="AB314" s="6">
        <f>IF(COUNTA(A314:S314)=0,"",IF(AND(U314="OK",V314="OK",LEFT(W314,4)&lt;&gt;"ERRO",LEFT(X314,4)&lt;&gt;"ERRO",LEFT(Y314,4)&lt;&gt;"ERRO",AA314="OK"),"OK","REVISAR"))</f>
      </c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5"/>
      <c r="K315" s="4"/>
      <c r="L315" s="4"/>
      <c r="M315" s="4"/>
      <c r="N315" s="4"/>
      <c r="O315" s="4"/>
      <c r="P315" s="4"/>
      <c r="Q315" s="4"/>
      <c r="R315" s="4"/>
      <c r="S315" s="4"/>
      <c r="T315" s="6">
        <f>IF(G315="","",SUBSTITUTE(SUBSTITUTE(SUBSTITUTE(SUBSTITUTE(SUBSTITUTE(SUBSTITUTE(SUBSTITUTE(TRIM(G315),".",""),"/",""),"-","")," ",""),"(",""),")",""),"+",""))</f>
      </c>
      <c r="U315" s="6">
        <f>IF(T315="","",IF(LEN(T315)&lt;&gt;14,"ERRO: "&amp;LEN(T315)&amp;" dígitos",IF(NOT(ISNUMBER(VALUE(T315))),"ERRO: não numérico",IF(LEN(SUBSTITUTE(T315,LEFT(T315,1),""))=0,"ERRO: dígitos repetidos",IF(AND(VALUE(MID(T315,13,1))=IF(MOD(SUMPRODUCT(--MID(T315,{1,2,3,4,5,6,7,8,9,10,11,12},1),{5,4,3,2,9,8,7,6,5,4,3,2}),11)&lt;2,0,11-MOD(SUMPRODUCT(--MID(T315,{1,2,3,4,5,6,7,8,9,10,11,12},1),{5,4,3,2,9,8,7,6,5,4,3,2}),11)),VALUE(MID(T315,14,1))=IF(MOD(SUMPRODUCT(--MID(T315,{1,2,3,4,5,6,7,8,9,10,11,12,13},1),{6,5,4,3,2,9,8,7,6,5,4,3,2}),11)&lt;2,0,11-MOD(SUMPRODUCT(--MID(T315,{1,2,3,4,5,6,7,8,9,10,11,12,13},1),{6,5,4,3,2,9,8,7,6,5,4,3,2}),11))),"OK","ERRO: dígito verificador")))))</f>
      </c>
      <c r="V315" s="6">
        <f>IF(T315="","",IF(COUNTIF($T$2:$T$1001,T315)&gt;1,"DUPLICADO","OK"))</f>
      </c>
      <c r="W315" s="6">
        <f>IF(M315="","vazio",IF(OR(AND(LEN(SUBSTITUTE(SUBSTITUTE(SUBSTITUTE(SUBSTITUTE(SUBSTITUTE(SUBSTITUTE(SUBSTITUTE(TRIM(M315),".",""),"/",""),"-","")," ",""),"(",""),")",""),"+",""))=10,LEFT(SUBSTITUTE(SUBSTITUTE(SUBSTITUTE(SUBSTITUTE(SUBSTITUTE(SUBSTITUTE(SUBSTITUTE(TRIM(M315),".",""),"/",""),"-","")," ",""),"(",""),")",""),"+",""),1)&lt;&gt;"0"),AND(LEN(SUBSTITUTE(SUBSTITUTE(SUBSTITUTE(SUBSTITUTE(SUBSTITUTE(SUBSTITUTE(SUBSTITUTE(TRIM(M315),".",""),"/",""),"-","")," ",""),"(",""),")",""),"+",""))=11,LEFT(SUBSTITUTE(SUBSTITUTE(SUBSTITUTE(SUBSTITUTE(SUBSTITUTE(SUBSTITUTE(SUBSTITUTE(TRIM(M315),".",""),"/",""),"-","")," ",""),"(",""),")",""),"+",""),4)="0800")),"OK",IF(AND(LEN(SUBSTITUTE(SUBSTITUTE(SUBSTITUTE(SUBSTITUTE(SUBSTITUTE(SUBSTITUTE(SUBSTITUTE(TRIM(M315),".",""),"/",""),"-","")," ",""),"(",""),")",""),"+",""))=11,MID(SUBSTITUTE(SUBSTITUTE(SUBSTITUTE(SUBSTITUTE(SUBSTITUTE(SUBSTITUTE(SUBSTITUTE(TRIM(M315),".",""),"/",""),"-","")," ",""),"(",""),")",""),"+",""),3,1)="9"),"ERRO: é celular, use a coluna Celular","ERRO: DDD + 8 dígitos ou 0800 + 7")))</f>
      </c>
      <c r="X315" s="6">
        <f>IF(N315="","vazio",IF(AND(LEN(SUBSTITUTE(SUBSTITUTE(SUBSTITUTE(SUBSTITUTE(SUBSTITUTE(SUBSTITUTE(SUBSTITUTE(TRIM(N315),".",""),"/",""),"-","")," ",""),"(",""),")",""),"+",""))=11,MID(SUBSTITUTE(SUBSTITUTE(SUBSTITUTE(SUBSTITUTE(SUBSTITUTE(SUBSTITUTE(SUBSTITUTE(TRIM(N315),".",""),"/",""),"-","")," ",""),"(",""),")",""),"+",""),3,1)="9",LEFT(SUBSTITUTE(SUBSTITUTE(SUBSTITUTE(SUBSTITUTE(SUBSTITUTE(SUBSTITUTE(SUBSTITUTE(TRIM(N315),".",""),"/",""),"-","")," ",""),"(",""),")",""),"+",""),1)&lt;&gt;"0"),"OK",IF(LEN(SUBSTITUTE(SUBSTITUTE(SUBSTITUTE(SUBSTITUTE(SUBSTITUTE(SUBSTITUTE(SUBSTITUTE(TRIM(N315),".",""),"/",""),"-","")," ",""),"(",""),")",""),"+",""))=10,"ERRO: é fixo (ou falta o 9), use a coluna Telefone fixo","ERRO: DDD + 9 + 8 dígitos")))</f>
      </c>
      <c r="Y315" s="6">
        <f>IF(O315="","vazio",IF(AND(ISNUMBER(FIND("@",O315)),ISNUMBER(FIND(".",MID(O315,FIND("@",O315),99))),NOT(ISNUMBER(FIND(" ",TRIM(O315)))),NOT(ISNUMBER(FIND(";",O315))),NOT(ISNUMBER(FIND(",",O315)))),"OK","ERRO: um e-mail válido por linha"))</f>
      </c>
      <c r="Z315" s="6">
        <f>IF(AND(J315="",K315=""),"",IF(AND(J315&lt;&gt;"",K315&lt;&gt;""),"OK","pendente: só um nome (o GR completa ao converter)"))</f>
      </c>
      <c r="AA315" s="6">
        <f>IF(COUNTA(A315:S315)=0,"",IF(AND(A315&lt;&gt;"",B315&lt;&gt;"",C315&lt;&gt;"",D315&lt;&gt;"",E315&lt;&gt;"",F315&lt;&gt;"",G315&lt;&gt;"",H315&lt;&gt;"",OR(J315&lt;&gt;"",K315&lt;&gt;""),OR(M315&lt;&gt;"",N315&lt;&gt;"",O315&lt;&gt;"")),"OK","ERRO: faltam "&amp;IF(A315="","SDR; ","")&amp;IF(B315="","Proprietário; ","")&amp;IF(C315="","Origem; ","")&amp;IF(D315="","Temperatura; ","")&amp;IF(E315="","Segmento; ","")&amp;IF(F315="","Time/Cluster; ","")&amp;IF(G315="","CNPJ; ","")&amp;IF(H315="","Razão Social; ","")&amp;IF(AND(J315="",K315=""),"nome do contato; ","")&amp;IF(AND(M315="",N315="",O315=""),"telefone, celular ou e-mail; ","")))</f>
      </c>
      <c r="AB315" s="6">
        <f>IF(COUNTA(A315:S315)=0,"",IF(AND(U315="OK",V315="OK",LEFT(W315,4)&lt;&gt;"ERRO",LEFT(X315,4)&lt;&gt;"ERRO",LEFT(Y315,4)&lt;&gt;"ERRO",AA315="OK"),"OK","REVISAR"))</f>
      </c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5"/>
      <c r="K316" s="4"/>
      <c r="L316" s="4"/>
      <c r="M316" s="4"/>
      <c r="N316" s="4"/>
      <c r="O316" s="4"/>
      <c r="P316" s="4"/>
      <c r="Q316" s="4"/>
      <c r="R316" s="4"/>
      <c r="S316" s="4"/>
      <c r="T316" s="6">
        <f>IF(G316="","",SUBSTITUTE(SUBSTITUTE(SUBSTITUTE(SUBSTITUTE(SUBSTITUTE(SUBSTITUTE(SUBSTITUTE(TRIM(G316),".",""),"/",""),"-","")," ",""),"(",""),")",""),"+",""))</f>
      </c>
      <c r="U316" s="6">
        <f>IF(T316="","",IF(LEN(T316)&lt;&gt;14,"ERRO: "&amp;LEN(T316)&amp;" dígitos",IF(NOT(ISNUMBER(VALUE(T316))),"ERRO: não numérico",IF(LEN(SUBSTITUTE(T316,LEFT(T316,1),""))=0,"ERRO: dígitos repetidos",IF(AND(VALUE(MID(T316,13,1))=IF(MOD(SUMPRODUCT(--MID(T316,{1,2,3,4,5,6,7,8,9,10,11,12},1),{5,4,3,2,9,8,7,6,5,4,3,2}),11)&lt;2,0,11-MOD(SUMPRODUCT(--MID(T316,{1,2,3,4,5,6,7,8,9,10,11,12},1),{5,4,3,2,9,8,7,6,5,4,3,2}),11)),VALUE(MID(T316,14,1))=IF(MOD(SUMPRODUCT(--MID(T316,{1,2,3,4,5,6,7,8,9,10,11,12,13},1),{6,5,4,3,2,9,8,7,6,5,4,3,2}),11)&lt;2,0,11-MOD(SUMPRODUCT(--MID(T316,{1,2,3,4,5,6,7,8,9,10,11,12,13},1),{6,5,4,3,2,9,8,7,6,5,4,3,2}),11))),"OK","ERRO: dígito verificador")))))</f>
      </c>
      <c r="V316" s="6">
        <f>IF(T316="","",IF(COUNTIF($T$2:$T$1001,T316)&gt;1,"DUPLICADO","OK"))</f>
      </c>
      <c r="W316" s="6">
        <f>IF(M316="","vazio",IF(OR(AND(LEN(SUBSTITUTE(SUBSTITUTE(SUBSTITUTE(SUBSTITUTE(SUBSTITUTE(SUBSTITUTE(SUBSTITUTE(TRIM(M316),".",""),"/",""),"-","")," ",""),"(",""),")",""),"+",""))=10,LEFT(SUBSTITUTE(SUBSTITUTE(SUBSTITUTE(SUBSTITUTE(SUBSTITUTE(SUBSTITUTE(SUBSTITUTE(TRIM(M316),".",""),"/",""),"-","")," ",""),"(",""),")",""),"+",""),1)&lt;&gt;"0"),AND(LEN(SUBSTITUTE(SUBSTITUTE(SUBSTITUTE(SUBSTITUTE(SUBSTITUTE(SUBSTITUTE(SUBSTITUTE(TRIM(M316),".",""),"/",""),"-","")," ",""),"(",""),")",""),"+",""))=11,LEFT(SUBSTITUTE(SUBSTITUTE(SUBSTITUTE(SUBSTITUTE(SUBSTITUTE(SUBSTITUTE(SUBSTITUTE(TRIM(M316),".",""),"/",""),"-","")," ",""),"(",""),")",""),"+",""),4)="0800")),"OK",IF(AND(LEN(SUBSTITUTE(SUBSTITUTE(SUBSTITUTE(SUBSTITUTE(SUBSTITUTE(SUBSTITUTE(SUBSTITUTE(TRIM(M316),".",""),"/",""),"-","")," ",""),"(",""),")",""),"+",""))=11,MID(SUBSTITUTE(SUBSTITUTE(SUBSTITUTE(SUBSTITUTE(SUBSTITUTE(SUBSTITUTE(SUBSTITUTE(TRIM(M316),".",""),"/",""),"-","")," ",""),"(",""),")",""),"+",""),3,1)="9"),"ERRO: é celular, use a coluna Celular","ERRO: DDD + 8 dígitos ou 0800 + 7")))</f>
      </c>
      <c r="X316" s="6">
        <f>IF(N316="","vazio",IF(AND(LEN(SUBSTITUTE(SUBSTITUTE(SUBSTITUTE(SUBSTITUTE(SUBSTITUTE(SUBSTITUTE(SUBSTITUTE(TRIM(N316),".",""),"/",""),"-","")," ",""),"(",""),")",""),"+",""))=11,MID(SUBSTITUTE(SUBSTITUTE(SUBSTITUTE(SUBSTITUTE(SUBSTITUTE(SUBSTITUTE(SUBSTITUTE(TRIM(N316),".",""),"/",""),"-","")," ",""),"(",""),")",""),"+",""),3,1)="9",LEFT(SUBSTITUTE(SUBSTITUTE(SUBSTITUTE(SUBSTITUTE(SUBSTITUTE(SUBSTITUTE(SUBSTITUTE(TRIM(N316),".",""),"/",""),"-","")," ",""),"(",""),")",""),"+",""),1)&lt;&gt;"0"),"OK",IF(LEN(SUBSTITUTE(SUBSTITUTE(SUBSTITUTE(SUBSTITUTE(SUBSTITUTE(SUBSTITUTE(SUBSTITUTE(TRIM(N316),".",""),"/",""),"-","")," ",""),"(",""),")",""),"+",""))=10,"ERRO: é fixo (ou falta o 9), use a coluna Telefone fixo","ERRO: DDD + 9 + 8 dígitos")))</f>
      </c>
      <c r="Y316" s="6">
        <f>IF(O316="","vazio",IF(AND(ISNUMBER(FIND("@",O316)),ISNUMBER(FIND(".",MID(O316,FIND("@",O316),99))),NOT(ISNUMBER(FIND(" ",TRIM(O316)))),NOT(ISNUMBER(FIND(";",O316))),NOT(ISNUMBER(FIND(",",O316)))),"OK","ERRO: um e-mail válido por linha"))</f>
      </c>
      <c r="Z316" s="6">
        <f>IF(AND(J316="",K316=""),"",IF(AND(J316&lt;&gt;"",K316&lt;&gt;""),"OK","pendente: só um nome (o GR completa ao converter)"))</f>
      </c>
      <c r="AA316" s="6">
        <f>IF(COUNTA(A316:S316)=0,"",IF(AND(A316&lt;&gt;"",B316&lt;&gt;"",C316&lt;&gt;"",D316&lt;&gt;"",E316&lt;&gt;"",F316&lt;&gt;"",G316&lt;&gt;"",H316&lt;&gt;"",OR(J316&lt;&gt;"",K316&lt;&gt;""),OR(M316&lt;&gt;"",N316&lt;&gt;"",O316&lt;&gt;"")),"OK","ERRO: faltam "&amp;IF(A316="","SDR; ","")&amp;IF(B316="","Proprietário; ","")&amp;IF(C316="","Origem; ","")&amp;IF(D316="","Temperatura; ","")&amp;IF(E316="","Segmento; ","")&amp;IF(F316="","Time/Cluster; ","")&amp;IF(G316="","CNPJ; ","")&amp;IF(H316="","Razão Social; ","")&amp;IF(AND(J316="",K316=""),"nome do contato; ","")&amp;IF(AND(M316="",N316="",O316=""),"telefone, celular ou e-mail; ","")))</f>
      </c>
      <c r="AB316" s="6">
        <f>IF(COUNTA(A316:S316)=0,"",IF(AND(U316="OK",V316="OK",LEFT(W316,4)&lt;&gt;"ERRO",LEFT(X316,4)&lt;&gt;"ERRO",LEFT(Y316,4)&lt;&gt;"ERRO",AA316="OK"),"OK","REVISAR"))</f>
      </c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5"/>
      <c r="K317" s="4"/>
      <c r="L317" s="4"/>
      <c r="M317" s="4"/>
      <c r="N317" s="4"/>
      <c r="O317" s="4"/>
      <c r="P317" s="4"/>
      <c r="Q317" s="4"/>
      <c r="R317" s="4"/>
      <c r="S317" s="4"/>
      <c r="T317" s="6">
        <f>IF(G317="","",SUBSTITUTE(SUBSTITUTE(SUBSTITUTE(SUBSTITUTE(SUBSTITUTE(SUBSTITUTE(SUBSTITUTE(TRIM(G317),".",""),"/",""),"-","")," ",""),"(",""),")",""),"+",""))</f>
      </c>
      <c r="U317" s="6">
        <f>IF(T317="","",IF(LEN(T317)&lt;&gt;14,"ERRO: "&amp;LEN(T317)&amp;" dígitos",IF(NOT(ISNUMBER(VALUE(T317))),"ERRO: não numérico",IF(LEN(SUBSTITUTE(T317,LEFT(T317,1),""))=0,"ERRO: dígitos repetidos",IF(AND(VALUE(MID(T317,13,1))=IF(MOD(SUMPRODUCT(--MID(T317,{1,2,3,4,5,6,7,8,9,10,11,12},1),{5,4,3,2,9,8,7,6,5,4,3,2}),11)&lt;2,0,11-MOD(SUMPRODUCT(--MID(T317,{1,2,3,4,5,6,7,8,9,10,11,12},1),{5,4,3,2,9,8,7,6,5,4,3,2}),11)),VALUE(MID(T317,14,1))=IF(MOD(SUMPRODUCT(--MID(T317,{1,2,3,4,5,6,7,8,9,10,11,12,13},1),{6,5,4,3,2,9,8,7,6,5,4,3,2}),11)&lt;2,0,11-MOD(SUMPRODUCT(--MID(T317,{1,2,3,4,5,6,7,8,9,10,11,12,13},1),{6,5,4,3,2,9,8,7,6,5,4,3,2}),11))),"OK","ERRO: dígito verificador")))))</f>
      </c>
      <c r="V317" s="6">
        <f>IF(T317="","",IF(COUNTIF($T$2:$T$1001,T317)&gt;1,"DUPLICADO","OK"))</f>
      </c>
      <c r="W317" s="6">
        <f>IF(M317="","vazio",IF(OR(AND(LEN(SUBSTITUTE(SUBSTITUTE(SUBSTITUTE(SUBSTITUTE(SUBSTITUTE(SUBSTITUTE(SUBSTITUTE(TRIM(M317),".",""),"/",""),"-","")," ",""),"(",""),")",""),"+",""))=10,LEFT(SUBSTITUTE(SUBSTITUTE(SUBSTITUTE(SUBSTITUTE(SUBSTITUTE(SUBSTITUTE(SUBSTITUTE(TRIM(M317),".",""),"/",""),"-","")," ",""),"(",""),")",""),"+",""),1)&lt;&gt;"0"),AND(LEN(SUBSTITUTE(SUBSTITUTE(SUBSTITUTE(SUBSTITUTE(SUBSTITUTE(SUBSTITUTE(SUBSTITUTE(TRIM(M317),".",""),"/",""),"-","")," ",""),"(",""),")",""),"+",""))=11,LEFT(SUBSTITUTE(SUBSTITUTE(SUBSTITUTE(SUBSTITUTE(SUBSTITUTE(SUBSTITUTE(SUBSTITUTE(TRIM(M317),".",""),"/",""),"-","")," ",""),"(",""),")",""),"+",""),4)="0800")),"OK",IF(AND(LEN(SUBSTITUTE(SUBSTITUTE(SUBSTITUTE(SUBSTITUTE(SUBSTITUTE(SUBSTITUTE(SUBSTITUTE(TRIM(M317),".",""),"/",""),"-","")," ",""),"(",""),")",""),"+",""))=11,MID(SUBSTITUTE(SUBSTITUTE(SUBSTITUTE(SUBSTITUTE(SUBSTITUTE(SUBSTITUTE(SUBSTITUTE(TRIM(M317),".",""),"/",""),"-","")," ",""),"(",""),")",""),"+",""),3,1)="9"),"ERRO: é celular, use a coluna Celular","ERRO: DDD + 8 dígitos ou 0800 + 7")))</f>
      </c>
      <c r="X317" s="6">
        <f>IF(N317="","vazio",IF(AND(LEN(SUBSTITUTE(SUBSTITUTE(SUBSTITUTE(SUBSTITUTE(SUBSTITUTE(SUBSTITUTE(SUBSTITUTE(TRIM(N317),".",""),"/",""),"-","")," ",""),"(",""),")",""),"+",""))=11,MID(SUBSTITUTE(SUBSTITUTE(SUBSTITUTE(SUBSTITUTE(SUBSTITUTE(SUBSTITUTE(SUBSTITUTE(TRIM(N317),".",""),"/",""),"-","")," ",""),"(",""),")",""),"+",""),3,1)="9",LEFT(SUBSTITUTE(SUBSTITUTE(SUBSTITUTE(SUBSTITUTE(SUBSTITUTE(SUBSTITUTE(SUBSTITUTE(TRIM(N317),".",""),"/",""),"-","")," ",""),"(",""),")",""),"+",""),1)&lt;&gt;"0"),"OK",IF(LEN(SUBSTITUTE(SUBSTITUTE(SUBSTITUTE(SUBSTITUTE(SUBSTITUTE(SUBSTITUTE(SUBSTITUTE(TRIM(N317),".",""),"/",""),"-","")," ",""),"(",""),")",""),"+",""))=10,"ERRO: é fixo (ou falta o 9), use a coluna Telefone fixo","ERRO: DDD + 9 + 8 dígitos")))</f>
      </c>
      <c r="Y317" s="6">
        <f>IF(O317="","vazio",IF(AND(ISNUMBER(FIND("@",O317)),ISNUMBER(FIND(".",MID(O317,FIND("@",O317),99))),NOT(ISNUMBER(FIND(" ",TRIM(O317)))),NOT(ISNUMBER(FIND(";",O317))),NOT(ISNUMBER(FIND(",",O317)))),"OK","ERRO: um e-mail válido por linha"))</f>
      </c>
      <c r="Z317" s="6">
        <f>IF(AND(J317="",K317=""),"",IF(AND(J317&lt;&gt;"",K317&lt;&gt;""),"OK","pendente: só um nome (o GR completa ao converter)"))</f>
      </c>
      <c r="AA317" s="6">
        <f>IF(COUNTA(A317:S317)=0,"",IF(AND(A317&lt;&gt;"",B317&lt;&gt;"",C317&lt;&gt;"",D317&lt;&gt;"",E317&lt;&gt;"",F317&lt;&gt;"",G317&lt;&gt;"",H317&lt;&gt;"",OR(J317&lt;&gt;"",K317&lt;&gt;""),OR(M317&lt;&gt;"",N317&lt;&gt;"",O317&lt;&gt;"")),"OK","ERRO: faltam "&amp;IF(A317="","SDR; ","")&amp;IF(B317="","Proprietário; ","")&amp;IF(C317="","Origem; ","")&amp;IF(D317="","Temperatura; ","")&amp;IF(E317="","Segmento; ","")&amp;IF(F317="","Time/Cluster; ","")&amp;IF(G317="","CNPJ; ","")&amp;IF(H317="","Razão Social; ","")&amp;IF(AND(J317="",K317=""),"nome do contato; ","")&amp;IF(AND(M317="",N317="",O317=""),"telefone, celular ou e-mail; ","")))</f>
      </c>
      <c r="AB317" s="6">
        <f>IF(COUNTA(A317:S317)=0,"",IF(AND(U317="OK",V317="OK",LEFT(W317,4)&lt;&gt;"ERRO",LEFT(X317,4)&lt;&gt;"ERRO",LEFT(Y317,4)&lt;&gt;"ERRO",AA317="OK"),"OK","REVISAR"))</f>
      </c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5"/>
      <c r="K318" s="4"/>
      <c r="L318" s="4"/>
      <c r="M318" s="4"/>
      <c r="N318" s="4"/>
      <c r="O318" s="4"/>
      <c r="P318" s="4"/>
      <c r="Q318" s="4"/>
      <c r="R318" s="4"/>
      <c r="S318" s="4"/>
      <c r="T318" s="6">
        <f>IF(G318="","",SUBSTITUTE(SUBSTITUTE(SUBSTITUTE(SUBSTITUTE(SUBSTITUTE(SUBSTITUTE(SUBSTITUTE(TRIM(G318),".",""),"/",""),"-","")," ",""),"(",""),")",""),"+",""))</f>
      </c>
      <c r="U318" s="6">
        <f>IF(T318="","",IF(LEN(T318)&lt;&gt;14,"ERRO: "&amp;LEN(T318)&amp;" dígitos",IF(NOT(ISNUMBER(VALUE(T318))),"ERRO: não numérico",IF(LEN(SUBSTITUTE(T318,LEFT(T318,1),""))=0,"ERRO: dígitos repetidos",IF(AND(VALUE(MID(T318,13,1))=IF(MOD(SUMPRODUCT(--MID(T318,{1,2,3,4,5,6,7,8,9,10,11,12},1),{5,4,3,2,9,8,7,6,5,4,3,2}),11)&lt;2,0,11-MOD(SUMPRODUCT(--MID(T318,{1,2,3,4,5,6,7,8,9,10,11,12},1),{5,4,3,2,9,8,7,6,5,4,3,2}),11)),VALUE(MID(T318,14,1))=IF(MOD(SUMPRODUCT(--MID(T318,{1,2,3,4,5,6,7,8,9,10,11,12,13},1),{6,5,4,3,2,9,8,7,6,5,4,3,2}),11)&lt;2,0,11-MOD(SUMPRODUCT(--MID(T318,{1,2,3,4,5,6,7,8,9,10,11,12,13},1),{6,5,4,3,2,9,8,7,6,5,4,3,2}),11))),"OK","ERRO: dígito verificador")))))</f>
      </c>
      <c r="V318" s="6">
        <f>IF(T318="","",IF(COUNTIF($T$2:$T$1001,T318)&gt;1,"DUPLICADO","OK"))</f>
      </c>
      <c r="W318" s="6">
        <f>IF(M318="","vazio",IF(OR(AND(LEN(SUBSTITUTE(SUBSTITUTE(SUBSTITUTE(SUBSTITUTE(SUBSTITUTE(SUBSTITUTE(SUBSTITUTE(TRIM(M318),".",""),"/",""),"-","")," ",""),"(",""),")",""),"+",""))=10,LEFT(SUBSTITUTE(SUBSTITUTE(SUBSTITUTE(SUBSTITUTE(SUBSTITUTE(SUBSTITUTE(SUBSTITUTE(TRIM(M318),".",""),"/",""),"-","")," ",""),"(",""),")",""),"+",""),1)&lt;&gt;"0"),AND(LEN(SUBSTITUTE(SUBSTITUTE(SUBSTITUTE(SUBSTITUTE(SUBSTITUTE(SUBSTITUTE(SUBSTITUTE(TRIM(M318),".",""),"/",""),"-","")," ",""),"(",""),")",""),"+",""))=11,LEFT(SUBSTITUTE(SUBSTITUTE(SUBSTITUTE(SUBSTITUTE(SUBSTITUTE(SUBSTITUTE(SUBSTITUTE(TRIM(M318),".",""),"/",""),"-","")," ",""),"(",""),")",""),"+",""),4)="0800")),"OK",IF(AND(LEN(SUBSTITUTE(SUBSTITUTE(SUBSTITUTE(SUBSTITUTE(SUBSTITUTE(SUBSTITUTE(SUBSTITUTE(TRIM(M318),".",""),"/",""),"-","")," ",""),"(",""),")",""),"+",""))=11,MID(SUBSTITUTE(SUBSTITUTE(SUBSTITUTE(SUBSTITUTE(SUBSTITUTE(SUBSTITUTE(SUBSTITUTE(TRIM(M318),".",""),"/",""),"-","")," ",""),"(",""),")",""),"+",""),3,1)="9"),"ERRO: é celular, use a coluna Celular","ERRO: DDD + 8 dígitos ou 0800 + 7")))</f>
      </c>
      <c r="X318" s="6">
        <f>IF(N318="","vazio",IF(AND(LEN(SUBSTITUTE(SUBSTITUTE(SUBSTITUTE(SUBSTITUTE(SUBSTITUTE(SUBSTITUTE(SUBSTITUTE(TRIM(N318),".",""),"/",""),"-","")," ",""),"(",""),")",""),"+",""))=11,MID(SUBSTITUTE(SUBSTITUTE(SUBSTITUTE(SUBSTITUTE(SUBSTITUTE(SUBSTITUTE(SUBSTITUTE(TRIM(N318),".",""),"/",""),"-","")," ",""),"(",""),")",""),"+",""),3,1)="9",LEFT(SUBSTITUTE(SUBSTITUTE(SUBSTITUTE(SUBSTITUTE(SUBSTITUTE(SUBSTITUTE(SUBSTITUTE(TRIM(N318),".",""),"/",""),"-","")," ",""),"(",""),")",""),"+",""),1)&lt;&gt;"0"),"OK",IF(LEN(SUBSTITUTE(SUBSTITUTE(SUBSTITUTE(SUBSTITUTE(SUBSTITUTE(SUBSTITUTE(SUBSTITUTE(TRIM(N318),".",""),"/",""),"-","")," ",""),"(",""),")",""),"+",""))=10,"ERRO: é fixo (ou falta o 9), use a coluna Telefone fixo","ERRO: DDD + 9 + 8 dígitos")))</f>
      </c>
      <c r="Y318" s="6">
        <f>IF(O318="","vazio",IF(AND(ISNUMBER(FIND("@",O318)),ISNUMBER(FIND(".",MID(O318,FIND("@",O318),99))),NOT(ISNUMBER(FIND(" ",TRIM(O318)))),NOT(ISNUMBER(FIND(";",O318))),NOT(ISNUMBER(FIND(",",O318)))),"OK","ERRO: um e-mail válido por linha"))</f>
      </c>
      <c r="Z318" s="6">
        <f>IF(AND(J318="",K318=""),"",IF(AND(J318&lt;&gt;"",K318&lt;&gt;""),"OK","pendente: só um nome (o GR completa ao converter)"))</f>
      </c>
      <c r="AA318" s="6">
        <f>IF(COUNTA(A318:S318)=0,"",IF(AND(A318&lt;&gt;"",B318&lt;&gt;"",C318&lt;&gt;"",D318&lt;&gt;"",E318&lt;&gt;"",F318&lt;&gt;"",G318&lt;&gt;"",H318&lt;&gt;"",OR(J318&lt;&gt;"",K318&lt;&gt;""),OR(M318&lt;&gt;"",N318&lt;&gt;"",O318&lt;&gt;"")),"OK","ERRO: faltam "&amp;IF(A318="","SDR; ","")&amp;IF(B318="","Proprietário; ","")&amp;IF(C318="","Origem; ","")&amp;IF(D318="","Temperatura; ","")&amp;IF(E318="","Segmento; ","")&amp;IF(F318="","Time/Cluster; ","")&amp;IF(G318="","CNPJ; ","")&amp;IF(H318="","Razão Social; ","")&amp;IF(AND(J318="",K318=""),"nome do contato; ","")&amp;IF(AND(M318="",N318="",O318=""),"telefone, celular ou e-mail; ","")))</f>
      </c>
      <c r="AB318" s="6">
        <f>IF(COUNTA(A318:S318)=0,"",IF(AND(U318="OK",V318="OK",LEFT(W318,4)&lt;&gt;"ERRO",LEFT(X318,4)&lt;&gt;"ERRO",LEFT(Y318,4)&lt;&gt;"ERRO",AA318="OK"),"OK","REVISAR"))</f>
      </c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5"/>
      <c r="K319" s="4"/>
      <c r="L319" s="4"/>
      <c r="M319" s="4"/>
      <c r="N319" s="4"/>
      <c r="O319" s="4"/>
      <c r="P319" s="4"/>
      <c r="Q319" s="4"/>
      <c r="R319" s="4"/>
      <c r="S319" s="4"/>
      <c r="T319" s="6">
        <f>IF(G319="","",SUBSTITUTE(SUBSTITUTE(SUBSTITUTE(SUBSTITUTE(SUBSTITUTE(SUBSTITUTE(SUBSTITUTE(TRIM(G319),".",""),"/",""),"-","")," ",""),"(",""),")",""),"+",""))</f>
      </c>
      <c r="U319" s="6">
        <f>IF(T319="","",IF(LEN(T319)&lt;&gt;14,"ERRO: "&amp;LEN(T319)&amp;" dígitos",IF(NOT(ISNUMBER(VALUE(T319))),"ERRO: não numérico",IF(LEN(SUBSTITUTE(T319,LEFT(T319,1),""))=0,"ERRO: dígitos repetidos",IF(AND(VALUE(MID(T319,13,1))=IF(MOD(SUMPRODUCT(--MID(T319,{1,2,3,4,5,6,7,8,9,10,11,12},1),{5,4,3,2,9,8,7,6,5,4,3,2}),11)&lt;2,0,11-MOD(SUMPRODUCT(--MID(T319,{1,2,3,4,5,6,7,8,9,10,11,12},1),{5,4,3,2,9,8,7,6,5,4,3,2}),11)),VALUE(MID(T319,14,1))=IF(MOD(SUMPRODUCT(--MID(T319,{1,2,3,4,5,6,7,8,9,10,11,12,13},1),{6,5,4,3,2,9,8,7,6,5,4,3,2}),11)&lt;2,0,11-MOD(SUMPRODUCT(--MID(T319,{1,2,3,4,5,6,7,8,9,10,11,12,13},1),{6,5,4,3,2,9,8,7,6,5,4,3,2}),11))),"OK","ERRO: dígito verificador")))))</f>
      </c>
      <c r="V319" s="6">
        <f>IF(T319="","",IF(COUNTIF($T$2:$T$1001,T319)&gt;1,"DUPLICADO","OK"))</f>
      </c>
      <c r="W319" s="6">
        <f>IF(M319="","vazio",IF(OR(AND(LEN(SUBSTITUTE(SUBSTITUTE(SUBSTITUTE(SUBSTITUTE(SUBSTITUTE(SUBSTITUTE(SUBSTITUTE(TRIM(M319),".",""),"/",""),"-","")," ",""),"(",""),")",""),"+",""))=10,LEFT(SUBSTITUTE(SUBSTITUTE(SUBSTITUTE(SUBSTITUTE(SUBSTITUTE(SUBSTITUTE(SUBSTITUTE(TRIM(M319),".",""),"/",""),"-","")," ",""),"(",""),")",""),"+",""),1)&lt;&gt;"0"),AND(LEN(SUBSTITUTE(SUBSTITUTE(SUBSTITUTE(SUBSTITUTE(SUBSTITUTE(SUBSTITUTE(SUBSTITUTE(TRIM(M319),".",""),"/",""),"-","")," ",""),"(",""),")",""),"+",""))=11,LEFT(SUBSTITUTE(SUBSTITUTE(SUBSTITUTE(SUBSTITUTE(SUBSTITUTE(SUBSTITUTE(SUBSTITUTE(TRIM(M319),".",""),"/",""),"-","")," ",""),"(",""),")",""),"+",""),4)="0800")),"OK",IF(AND(LEN(SUBSTITUTE(SUBSTITUTE(SUBSTITUTE(SUBSTITUTE(SUBSTITUTE(SUBSTITUTE(SUBSTITUTE(TRIM(M319),".",""),"/",""),"-","")," ",""),"(",""),")",""),"+",""))=11,MID(SUBSTITUTE(SUBSTITUTE(SUBSTITUTE(SUBSTITUTE(SUBSTITUTE(SUBSTITUTE(SUBSTITUTE(TRIM(M319),".",""),"/",""),"-","")," ",""),"(",""),")",""),"+",""),3,1)="9"),"ERRO: é celular, use a coluna Celular","ERRO: DDD + 8 dígitos ou 0800 + 7")))</f>
      </c>
      <c r="X319" s="6">
        <f>IF(N319="","vazio",IF(AND(LEN(SUBSTITUTE(SUBSTITUTE(SUBSTITUTE(SUBSTITUTE(SUBSTITUTE(SUBSTITUTE(SUBSTITUTE(TRIM(N319),".",""),"/",""),"-","")," ",""),"(",""),")",""),"+",""))=11,MID(SUBSTITUTE(SUBSTITUTE(SUBSTITUTE(SUBSTITUTE(SUBSTITUTE(SUBSTITUTE(SUBSTITUTE(TRIM(N319),".",""),"/",""),"-","")," ",""),"(",""),")",""),"+",""),3,1)="9",LEFT(SUBSTITUTE(SUBSTITUTE(SUBSTITUTE(SUBSTITUTE(SUBSTITUTE(SUBSTITUTE(SUBSTITUTE(TRIM(N319),".",""),"/",""),"-","")," ",""),"(",""),")",""),"+",""),1)&lt;&gt;"0"),"OK",IF(LEN(SUBSTITUTE(SUBSTITUTE(SUBSTITUTE(SUBSTITUTE(SUBSTITUTE(SUBSTITUTE(SUBSTITUTE(TRIM(N319),".",""),"/",""),"-","")," ",""),"(",""),")",""),"+",""))=10,"ERRO: é fixo (ou falta o 9), use a coluna Telefone fixo","ERRO: DDD + 9 + 8 dígitos")))</f>
      </c>
      <c r="Y319" s="6">
        <f>IF(O319="","vazio",IF(AND(ISNUMBER(FIND("@",O319)),ISNUMBER(FIND(".",MID(O319,FIND("@",O319),99))),NOT(ISNUMBER(FIND(" ",TRIM(O319)))),NOT(ISNUMBER(FIND(";",O319))),NOT(ISNUMBER(FIND(",",O319)))),"OK","ERRO: um e-mail válido por linha"))</f>
      </c>
      <c r="Z319" s="6">
        <f>IF(AND(J319="",K319=""),"",IF(AND(J319&lt;&gt;"",K319&lt;&gt;""),"OK","pendente: só um nome (o GR completa ao converter)"))</f>
      </c>
      <c r="AA319" s="6">
        <f>IF(COUNTA(A319:S319)=0,"",IF(AND(A319&lt;&gt;"",B319&lt;&gt;"",C319&lt;&gt;"",D319&lt;&gt;"",E319&lt;&gt;"",F319&lt;&gt;"",G319&lt;&gt;"",H319&lt;&gt;"",OR(J319&lt;&gt;"",K319&lt;&gt;""),OR(M319&lt;&gt;"",N319&lt;&gt;"",O319&lt;&gt;"")),"OK","ERRO: faltam "&amp;IF(A319="","SDR; ","")&amp;IF(B319="","Proprietário; ","")&amp;IF(C319="","Origem; ","")&amp;IF(D319="","Temperatura; ","")&amp;IF(E319="","Segmento; ","")&amp;IF(F319="","Time/Cluster; ","")&amp;IF(G319="","CNPJ; ","")&amp;IF(H319="","Razão Social; ","")&amp;IF(AND(J319="",K319=""),"nome do contato; ","")&amp;IF(AND(M319="",N319="",O319=""),"telefone, celular ou e-mail; ","")))</f>
      </c>
      <c r="AB319" s="6">
        <f>IF(COUNTA(A319:S319)=0,"",IF(AND(U319="OK",V319="OK",LEFT(W319,4)&lt;&gt;"ERRO",LEFT(X319,4)&lt;&gt;"ERRO",LEFT(Y319,4)&lt;&gt;"ERRO",AA319="OK"),"OK","REVISAR"))</f>
      </c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5"/>
      <c r="K320" s="4"/>
      <c r="L320" s="4"/>
      <c r="M320" s="4"/>
      <c r="N320" s="4"/>
      <c r="O320" s="4"/>
      <c r="P320" s="4"/>
      <c r="Q320" s="4"/>
      <c r="R320" s="4"/>
      <c r="S320" s="4"/>
      <c r="T320" s="6">
        <f>IF(G320="","",SUBSTITUTE(SUBSTITUTE(SUBSTITUTE(SUBSTITUTE(SUBSTITUTE(SUBSTITUTE(SUBSTITUTE(TRIM(G320),".",""),"/",""),"-","")," ",""),"(",""),")",""),"+",""))</f>
      </c>
      <c r="U320" s="6">
        <f>IF(T320="","",IF(LEN(T320)&lt;&gt;14,"ERRO: "&amp;LEN(T320)&amp;" dígitos",IF(NOT(ISNUMBER(VALUE(T320))),"ERRO: não numérico",IF(LEN(SUBSTITUTE(T320,LEFT(T320,1),""))=0,"ERRO: dígitos repetidos",IF(AND(VALUE(MID(T320,13,1))=IF(MOD(SUMPRODUCT(--MID(T320,{1,2,3,4,5,6,7,8,9,10,11,12},1),{5,4,3,2,9,8,7,6,5,4,3,2}),11)&lt;2,0,11-MOD(SUMPRODUCT(--MID(T320,{1,2,3,4,5,6,7,8,9,10,11,12},1),{5,4,3,2,9,8,7,6,5,4,3,2}),11)),VALUE(MID(T320,14,1))=IF(MOD(SUMPRODUCT(--MID(T320,{1,2,3,4,5,6,7,8,9,10,11,12,13},1),{6,5,4,3,2,9,8,7,6,5,4,3,2}),11)&lt;2,0,11-MOD(SUMPRODUCT(--MID(T320,{1,2,3,4,5,6,7,8,9,10,11,12,13},1),{6,5,4,3,2,9,8,7,6,5,4,3,2}),11))),"OK","ERRO: dígito verificador")))))</f>
      </c>
      <c r="V320" s="6">
        <f>IF(T320="","",IF(COUNTIF($T$2:$T$1001,T320)&gt;1,"DUPLICADO","OK"))</f>
      </c>
      <c r="W320" s="6">
        <f>IF(M320="","vazio",IF(OR(AND(LEN(SUBSTITUTE(SUBSTITUTE(SUBSTITUTE(SUBSTITUTE(SUBSTITUTE(SUBSTITUTE(SUBSTITUTE(TRIM(M320),".",""),"/",""),"-","")," ",""),"(",""),")",""),"+",""))=10,LEFT(SUBSTITUTE(SUBSTITUTE(SUBSTITUTE(SUBSTITUTE(SUBSTITUTE(SUBSTITUTE(SUBSTITUTE(TRIM(M320),".",""),"/",""),"-","")," ",""),"(",""),")",""),"+",""),1)&lt;&gt;"0"),AND(LEN(SUBSTITUTE(SUBSTITUTE(SUBSTITUTE(SUBSTITUTE(SUBSTITUTE(SUBSTITUTE(SUBSTITUTE(TRIM(M320),".",""),"/",""),"-","")," ",""),"(",""),")",""),"+",""))=11,LEFT(SUBSTITUTE(SUBSTITUTE(SUBSTITUTE(SUBSTITUTE(SUBSTITUTE(SUBSTITUTE(SUBSTITUTE(TRIM(M320),".",""),"/",""),"-","")," ",""),"(",""),")",""),"+",""),4)="0800")),"OK",IF(AND(LEN(SUBSTITUTE(SUBSTITUTE(SUBSTITUTE(SUBSTITUTE(SUBSTITUTE(SUBSTITUTE(SUBSTITUTE(TRIM(M320),".",""),"/",""),"-","")," ",""),"(",""),")",""),"+",""))=11,MID(SUBSTITUTE(SUBSTITUTE(SUBSTITUTE(SUBSTITUTE(SUBSTITUTE(SUBSTITUTE(SUBSTITUTE(TRIM(M320),".",""),"/",""),"-","")," ",""),"(",""),")",""),"+",""),3,1)="9"),"ERRO: é celular, use a coluna Celular","ERRO: DDD + 8 dígitos ou 0800 + 7")))</f>
      </c>
      <c r="X320" s="6">
        <f>IF(N320="","vazio",IF(AND(LEN(SUBSTITUTE(SUBSTITUTE(SUBSTITUTE(SUBSTITUTE(SUBSTITUTE(SUBSTITUTE(SUBSTITUTE(TRIM(N320),".",""),"/",""),"-","")," ",""),"(",""),")",""),"+",""))=11,MID(SUBSTITUTE(SUBSTITUTE(SUBSTITUTE(SUBSTITUTE(SUBSTITUTE(SUBSTITUTE(SUBSTITUTE(TRIM(N320),".",""),"/",""),"-","")," ",""),"(",""),")",""),"+",""),3,1)="9",LEFT(SUBSTITUTE(SUBSTITUTE(SUBSTITUTE(SUBSTITUTE(SUBSTITUTE(SUBSTITUTE(SUBSTITUTE(TRIM(N320),".",""),"/",""),"-","")," ",""),"(",""),")",""),"+",""),1)&lt;&gt;"0"),"OK",IF(LEN(SUBSTITUTE(SUBSTITUTE(SUBSTITUTE(SUBSTITUTE(SUBSTITUTE(SUBSTITUTE(SUBSTITUTE(TRIM(N320),".",""),"/",""),"-","")," ",""),"(",""),")",""),"+",""))=10,"ERRO: é fixo (ou falta o 9), use a coluna Telefone fixo","ERRO: DDD + 9 + 8 dígitos")))</f>
      </c>
      <c r="Y320" s="6">
        <f>IF(O320="","vazio",IF(AND(ISNUMBER(FIND("@",O320)),ISNUMBER(FIND(".",MID(O320,FIND("@",O320),99))),NOT(ISNUMBER(FIND(" ",TRIM(O320)))),NOT(ISNUMBER(FIND(";",O320))),NOT(ISNUMBER(FIND(",",O320)))),"OK","ERRO: um e-mail válido por linha"))</f>
      </c>
      <c r="Z320" s="6">
        <f>IF(AND(J320="",K320=""),"",IF(AND(J320&lt;&gt;"",K320&lt;&gt;""),"OK","pendente: só um nome (o GR completa ao converter)"))</f>
      </c>
      <c r="AA320" s="6">
        <f>IF(COUNTA(A320:S320)=0,"",IF(AND(A320&lt;&gt;"",B320&lt;&gt;"",C320&lt;&gt;"",D320&lt;&gt;"",E320&lt;&gt;"",F320&lt;&gt;"",G320&lt;&gt;"",H320&lt;&gt;"",OR(J320&lt;&gt;"",K320&lt;&gt;""),OR(M320&lt;&gt;"",N320&lt;&gt;"",O320&lt;&gt;"")),"OK","ERRO: faltam "&amp;IF(A320="","SDR; ","")&amp;IF(B320="","Proprietário; ","")&amp;IF(C320="","Origem; ","")&amp;IF(D320="","Temperatura; ","")&amp;IF(E320="","Segmento; ","")&amp;IF(F320="","Time/Cluster; ","")&amp;IF(G320="","CNPJ; ","")&amp;IF(H320="","Razão Social; ","")&amp;IF(AND(J320="",K320=""),"nome do contato; ","")&amp;IF(AND(M320="",N320="",O320=""),"telefone, celular ou e-mail; ","")))</f>
      </c>
      <c r="AB320" s="6">
        <f>IF(COUNTA(A320:S320)=0,"",IF(AND(U320="OK",V320="OK",LEFT(W320,4)&lt;&gt;"ERRO",LEFT(X320,4)&lt;&gt;"ERRO",LEFT(Y320,4)&lt;&gt;"ERRO",AA320="OK"),"OK","REVISAR"))</f>
      </c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5"/>
      <c r="K321" s="4"/>
      <c r="L321" s="4"/>
      <c r="M321" s="4"/>
      <c r="N321" s="4"/>
      <c r="O321" s="4"/>
      <c r="P321" s="4"/>
      <c r="Q321" s="4"/>
      <c r="R321" s="4"/>
      <c r="S321" s="4"/>
      <c r="T321" s="6">
        <f>IF(G321="","",SUBSTITUTE(SUBSTITUTE(SUBSTITUTE(SUBSTITUTE(SUBSTITUTE(SUBSTITUTE(SUBSTITUTE(TRIM(G321),".",""),"/",""),"-","")," ",""),"(",""),")",""),"+",""))</f>
      </c>
      <c r="U321" s="6">
        <f>IF(T321="","",IF(LEN(T321)&lt;&gt;14,"ERRO: "&amp;LEN(T321)&amp;" dígitos",IF(NOT(ISNUMBER(VALUE(T321))),"ERRO: não numérico",IF(LEN(SUBSTITUTE(T321,LEFT(T321,1),""))=0,"ERRO: dígitos repetidos",IF(AND(VALUE(MID(T321,13,1))=IF(MOD(SUMPRODUCT(--MID(T321,{1,2,3,4,5,6,7,8,9,10,11,12},1),{5,4,3,2,9,8,7,6,5,4,3,2}),11)&lt;2,0,11-MOD(SUMPRODUCT(--MID(T321,{1,2,3,4,5,6,7,8,9,10,11,12},1),{5,4,3,2,9,8,7,6,5,4,3,2}),11)),VALUE(MID(T321,14,1))=IF(MOD(SUMPRODUCT(--MID(T321,{1,2,3,4,5,6,7,8,9,10,11,12,13},1),{6,5,4,3,2,9,8,7,6,5,4,3,2}),11)&lt;2,0,11-MOD(SUMPRODUCT(--MID(T321,{1,2,3,4,5,6,7,8,9,10,11,12,13},1),{6,5,4,3,2,9,8,7,6,5,4,3,2}),11))),"OK","ERRO: dígito verificador")))))</f>
      </c>
      <c r="V321" s="6">
        <f>IF(T321="","",IF(COUNTIF($T$2:$T$1001,T321)&gt;1,"DUPLICADO","OK"))</f>
      </c>
      <c r="W321" s="6">
        <f>IF(M321="","vazio",IF(OR(AND(LEN(SUBSTITUTE(SUBSTITUTE(SUBSTITUTE(SUBSTITUTE(SUBSTITUTE(SUBSTITUTE(SUBSTITUTE(TRIM(M321),".",""),"/",""),"-","")," ",""),"(",""),")",""),"+",""))=10,LEFT(SUBSTITUTE(SUBSTITUTE(SUBSTITUTE(SUBSTITUTE(SUBSTITUTE(SUBSTITUTE(SUBSTITUTE(TRIM(M321),".",""),"/",""),"-","")," ",""),"(",""),")",""),"+",""),1)&lt;&gt;"0"),AND(LEN(SUBSTITUTE(SUBSTITUTE(SUBSTITUTE(SUBSTITUTE(SUBSTITUTE(SUBSTITUTE(SUBSTITUTE(TRIM(M321),".",""),"/",""),"-","")," ",""),"(",""),")",""),"+",""))=11,LEFT(SUBSTITUTE(SUBSTITUTE(SUBSTITUTE(SUBSTITUTE(SUBSTITUTE(SUBSTITUTE(SUBSTITUTE(TRIM(M321),".",""),"/",""),"-","")," ",""),"(",""),")",""),"+",""),4)="0800")),"OK",IF(AND(LEN(SUBSTITUTE(SUBSTITUTE(SUBSTITUTE(SUBSTITUTE(SUBSTITUTE(SUBSTITUTE(SUBSTITUTE(TRIM(M321),".",""),"/",""),"-","")," ",""),"(",""),")",""),"+",""))=11,MID(SUBSTITUTE(SUBSTITUTE(SUBSTITUTE(SUBSTITUTE(SUBSTITUTE(SUBSTITUTE(SUBSTITUTE(TRIM(M321),".",""),"/",""),"-","")," ",""),"(",""),")",""),"+",""),3,1)="9"),"ERRO: é celular, use a coluna Celular","ERRO: DDD + 8 dígitos ou 0800 + 7")))</f>
      </c>
      <c r="X321" s="6">
        <f>IF(N321="","vazio",IF(AND(LEN(SUBSTITUTE(SUBSTITUTE(SUBSTITUTE(SUBSTITUTE(SUBSTITUTE(SUBSTITUTE(SUBSTITUTE(TRIM(N321),".",""),"/",""),"-","")," ",""),"(",""),")",""),"+",""))=11,MID(SUBSTITUTE(SUBSTITUTE(SUBSTITUTE(SUBSTITUTE(SUBSTITUTE(SUBSTITUTE(SUBSTITUTE(TRIM(N321),".",""),"/",""),"-","")," ",""),"(",""),")",""),"+",""),3,1)="9",LEFT(SUBSTITUTE(SUBSTITUTE(SUBSTITUTE(SUBSTITUTE(SUBSTITUTE(SUBSTITUTE(SUBSTITUTE(TRIM(N321),".",""),"/",""),"-","")," ",""),"(",""),")",""),"+",""),1)&lt;&gt;"0"),"OK",IF(LEN(SUBSTITUTE(SUBSTITUTE(SUBSTITUTE(SUBSTITUTE(SUBSTITUTE(SUBSTITUTE(SUBSTITUTE(TRIM(N321),".",""),"/",""),"-","")," ",""),"(",""),")",""),"+",""))=10,"ERRO: é fixo (ou falta o 9), use a coluna Telefone fixo","ERRO: DDD + 9 + 8 dígitos")))</f>
      </c>
      <c r="Y321" s="6">
        <f>IF(O321="","vazio",IF(AND(ISNUMBER(FIND("@",O321)),ISNUMBER(FIND(".",MID(O321,FIND("@",O321),99))),NOT(ISNUMBER(FIND(" ",TRIM(O321)))),NOT(ISNUMBER(FIND(";",O321))),NOT(ISNUMBER(FIND(",",O321)))),"OK","ERRO: um e-mail válido por linha"))</f>
      </c>
      <c r="Z321" s="6">
        <f>IF(AND(J321="",K321=""),"",IF(AND(J321&lt;&gt;"",K321&lt;&gt;""),"OK","pendente: só um nome (o GR completa ao converter)"))</f>
      </c>
      <c r="AA321" s="6">
        <f>IF(COUNTA(A321:S321)=0,"",IF(AND(A321&lt;&gt;"",B321&lt;&gt;"",C321&lt;&gt;"",D321&lt;&gt;"",E321&lt;&gt;"",F321&lt;&gt;"",G321&lt;&gt;"",H321&lt;&gt;"",OR(J321&lt;&gt;"",K321&lt;&gt;""),OR(M321&lt;&gt;"",N321&lt;&gt;"",O321&lt;&gt;"")),"OK","ERRO: faltam "&amp;IF(A321="","SDR; ","")&amp;IF(B321="","Proprietário; ","")&amp;IF(C321="","Origem; ","")&amp;IF(D321="","Temperatura; ","")&amp;IF(E321="","Segmento; ","")&amp;IF(F321="","Time/Cluster; ","")&amp;IF(G321="","CNPJ; ","")&amp;IF(H321="","Razão Social; ","")&amp;IF(AND(J321="",K321=""),"nome do contato; ","")&amp;IF(AND(M321="",N321="",O321=""),"telefone, celular ou e-mail; ","")))</f>
      </c>
      <c r="AB321" s="6">
        <f>IF(COUNTA(A321:S321)=0,"",IF(AND(U321="OK",V321="OK",LEFT(W321,4)&lt;&gt;"ERRO",LEFT(X321,4)&lt;&gt;"ERRO",LEFT(Y321,4)&lt;&gt;"ERRO",AA321="OK"),"OK","REVISAR"))</f>
      </c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5"/>
      <c r="K322" s="4"/>
      <c r="L322" s="4"/>
      <c r="M322" s="4"/>
      <c r="N322" s="4"/>
      <c r="O322" s="4"/>
      <c r="P322" s="4"/>
      <c r="Q322" s="4"/>
      <c r="R322" s="4"/>
      <c r="S322" s="4"/>
      <c r="T322" s="6">
        <f>IF(G322="","",SUBSTITUTE(SUBSTITUTE(SUBSTITUTE(SUBSTITUTE(SUBSTITUTE(SUBSTITUTE(SUBSTITUTE(TRIM(G322),".",""),"/",""),"-","")," ",""),"(",""),")",""),"+",""))</f>
      </c>
      <c r="U322" s="6">
        <f>IF(T322="","",IF(LEN(T322)&lt;&gt;14,"ERRO: "&amp;LEN(T322)&amp;" dígitos",IF(NOT(ISNUMBER(VALUE(T322))),"ERRO: não numérico",IF(LEN(SUBSTITUTE(T322,LEFT(T322,1),""))=0,"ERRO: dígitos repetidos",IF(AND(VALUE(MID(T322,13,1))=IF(MOD(SUMPRODUCT(--MID(T322,{1,2,3,4,5,6,7,8,9,10,11,12},1),{5,4,3,2,9,8,7,6,5,4,3,2}),11)&lt;2,0,11-MOD(SUMPRODUCT(--MID(T322,{1,2,3,4,5,6,7,8,9,10,11,12},1),{5,4,3,2,9,8,7,6,5,4,3,2}),11)),VALUE(MID(T322,14,1))=IF(MOD(SUMPRODUCT(--MID(T322,{1,2,3,4,5,6,7,8,9,10,11,12,13},1),{6,5,4,3,2,9,8,7,6,5,4,3,2}),11)&lt;2,0,11-MOD(SUMPRODUCT(--MID(T322,{1,2,3,4,5,6,7,8,9,10,11,12,13},1),{6,5,4,3,2,9,8,7,6,5,4,3,2}),11))),"OK","ERRO: dígito verificador")))))</f>
      </c>
      <c r="V322" s="6">
        <f>IF(T322="","",IF(COUNTIF($T$2:$T$1001,T322)&gt;1,"DUPLICADO","OK"))</f>
      </c>
      <c r="W322" s="6">
        <f>IF(M322="","vazio",IF(OR(AND(LEN(SUBSTITUTE(SUBSTITUTE(SUBSTITUTE(SUBSTITUTE(SUBSTITUTE(SUBSTITUTE(SUBSTITUTE(TRIM(M322),".",""),"/",""),"-","")," ",""),"(",""),")",""),"+",""))=10,LEFT(SUBSTITUTE(SUBSTITUTE(SUBSTITUTE(SUBSTITUTE(SUBSTITUTE(SUBSTITUTE(SUBSTITUTE(TRIM(M322),".",""),"/",""),"-","")," ",""),"(",""),")",""),"+",""),1)&lt;&gt;"0"),AND(LEN(SUBSTITUTE(SUBSTITUTE(SUBSTITUTE(SUBSTITUTE(SUBSTITUTE(SUBSTITUTE(SUBSTITUTE(TRIM(M322),".",""),"/",""),"-","")," ",""),"(",""),")",""),"+",""))=11,LEFT(SUBSTITUTE(SUBSTITUTE(SUBSTITUTE(SUBSTITUTE(SUBSTITUTE(SUBSTITUTE(SUBSTITUTE(TRIM(M322),".",""),"/",""),"-","")," ",""),"(",""),")",""),"+",""),4)="0800")),"OK",IF(AND(LEN(SUBSTITUTE(SUBSTITUTE(SUBSTITUTE(SUBSTITUTE(SUBSTITUTE(SUBSTITUTE(SUBSTITUTE(TRIM(M322),".",""),"/",""),"-","")," ",""),"(",""),")",""),"+",""))=11,MID(SUBSTITUTE(SUBSTITUTE(SUBSTITUTE(SUBSTITUTE(SUBSTITUTE(SUBSTITUTE(SUBSTITUTE(TRIM(M322),".",""),"/",""),"-","")," ",""),"(",""),")",""),"+",""),3,1)="9"),"ERRO: é celular, use a coluna Celular","ERRO: DDD + 8 dígitos ou 0800 + 7")))</f>
      </c>
      <c r="X322" s="6">
        <f>IF(N322="","vazio",IF(AND(LEN(SUBSTITUTE(SUBSTITUTE(SUBSTITUTE(SUBSTITUTE(SUBSTITUTE(SUBSTITUTE(SUBSTITUTE(TRIM(N322),".",""),"/",""),"-","")," ",""),"(",""),")",""),"+",""))=11,MID(SUBSTITUTE(SUBSTITUTE(SUBSTITUTE(SUBSTITUTE(SUBSTITUTE(SUBSTITUTE(SUBSTITUTE(TRIM(N322),".",""),"/",""),"-","")," ",""),"(",""),")",""),"+",""),3,1)="9",LEFT(SUBSTITUTE(SUBSTITUTE(SUBSTITUTE(SUBSTITUTE(SUBSTITUTE(SUBSTITUTE(SUBSTITUTE(TRIM(N322),".",""),"/",""),"-","")," ",""),"(",""),")",""),"+",""),1)&lt;&gt;"0"),"OK",IF(LEN(SUBSTITUTE(SUBSTITUTE(SUBSTITUTE(SUBSTITUTE(SUBSTITUTE(SUBSTITUTE(SUBSTITUTE(TRIM(N322),".",""),"/",""),"-","")," ",""),"(",""),")",""),"+",""))=10,"ERRO: é fixo (ou falta o 9), use a coluna Telefone fixo","ERRO: DDD + 9 + 8 dígitos")))</f>
      </c>
      <c r="Y322" s="6">
        <f>IF(O322="","vazio",IF(AND(ISNUMBER(FIND("@",O322)),ISNUMBER(FIND(".",MID(O322,FIND("@",O322),99))),NOT(ISNUMBER(FIND(" ",TRIM(O322)))),NOT(ISNUMBER(FIND(";",O322))),NOT(ISNUMBER(FIND(",",O322)))),"OK","ERRO: um e-mail válido por linha"))</f>
      </c>
      <c r="Z322" s="6">
        <f>IF(AND(J322="",K322=""),"",IF(AND(J322&lt;&gt;"",K322&lt;&gt;""),"OK","pendente: só um nome (o GR completa ao converter)"))</f>
      </c>
      <c r="AA322" s="6">
        <f>IF(COUNTA(A322:S322)=0,"",IF(AND(A322&lt;&gt;"",B322&lt;&gt;"",C322&lt;&gt;"",D322&lt;&gt;"",E322&lt;&gt;"",F322&lt;&gt;"",G322&lt;&gt;"",H322&lt;&gt;"",OR(J322&lt;&gt;"",K322&lt;&gt;""),OR(M322&lt;&gt;"",N322&lt;&gt;"",O322&lt;&gt;"")),"OK","ERRO: faltam "&amp;IF(A322="","SDR; ","")&amp;IF(B322="","Proprietário; ","")&amp;IF(C322="","Origem; ","")&amp;IF(D322="","Temperatura; ","")&amp;IF(E322="","Segmento; ","")&amp;IF(F322="","Time/Cluster; ","")&amp;IF(G322="","CNPJ; ","")&amp;IF(H322="","Razão Social; ","")&amp;IF(AND(J322="",K322=""),"nome do contato; ","")&amp;IF(AND(M322="",N322="",O322=""),"telefone, celular ou e-mail; ","")))</f>
      </c>
      <c r="AB322" s="6">
        <f>IF(COUNTA(A322:S322)=0,"",IF(AND(U322="OK",V322="OK",LEFT(W322,4)&lt;&gt;"ERRO",LEFT(X322,4)&lt;&gt;"ERRO",LEFT(Y322,4)&lt;&gt;"ERRO",AA322="OK"),"OK","REVISAR"))</f>
      </c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5"/>
      <c r="K323" s="4"/>
      <c r="L323" s="4"/>
      <c r="M323" s="4"/>
      <c r="N323" s="4"/>
      <c r="O323" s="4"/>
      <c r="P323" s="4"/>
      <c r="Q323" s="4"/>
      <c r="R323" s="4"/>
      <c r="S323" s="4"/>
      <c r="T323" s="6">
        <f>IF(G323="","",SUBSTITUTE(SUBSTITUTE(SUBSTITUTE(SUBSTITUTE(SUBSTITUTE(SUBSTITUTE(SUBSTITUTE(TRIM(G323),".",""),"/",""),"-","")," ",""),"(",""),")",""),"+",""))</f>
      </c>
      <c r="U323" s="6">
        <f>IF(T323="","",IF(LEN(T323)&lt;&gt;14,"ERRO: "&amp;LEN(T323)&amp;" dígitos",IF(NOT(ISNUMBER(VALUE(T323))),"ERRO: não numérico",IF(LEN(SUBSTITUTE(T323,LEFT(T323,1),""))=0,"ERRO: dígitos repetidos",IF(AND(VALUE(MID(T323,13,1))=IF(MOD(SUMPRODUCT(--MID(T323,{1,2,3,4,5,6,7,8,9,10,11,12},1),{5,4,3,2,9,8,7,6,5,4,3,2}),11)&lt;2,0,11-MOD(SUMPRODUCT(--MID(T323,{1,2,3,4,5,6,7,8,9,10,11,12},1),{5,4,3,2,9,8,7,6,5,4,3,2}),11)),VALUE(MID(T323,14,1))=IF(MOD(SUMPRODUCT(--MID(T323,{1,2,3,4,5,6,7,8,9,10,11,12,13},1),{6,5,4,3,2,9,8,7,6,5,4,3,2}),11)&lt;2,0,11-MOD(SUMPRODUCT(--MID(T323,{1,2,3,4,5,6,7,8,9,10,11,12,13},1),{6,5,4,3,2,9,8,7,6,5,4,3,2}),11))),"OK","ERRO: dígito verificador")))))</f>
      </c>
      <c r="V323" s="6">
        <f>IF(T323="","",IF(COUNTIF($T$2:$T$1001,T323)&gt;1,"DUPLICADO","OK"))</f>
      </c>
      <c r="W323" s="6">
        <f>IF(M323="","vazio",IF(OR(AND(LEN(SUBSTITUTE(SUBSTITUTE(SUBSTITUTE(SUBSTITUTE(SUBSTITUTE(SUBSTITUTE(SUBSTITUTE(TRIM(M323),".",""),"/",""),"-","")," ",""),"(",""),")",""),"+",""))=10,LEFT(SUBSTITUTE(SUBSTITUTE(SUBSTITUTE(SUBSTITUTE(SUBSTITUTE(SUBSTITUTE(SUBSTITUTE(TRIM(M323),".",""),"/",""),"-","")," ",""),"(",""),")",""),"+",""),1)&lt;&gt;"0"),AND(LEN(SUBSTITUTE(SUBSTITUTE(SUBSTITUTE(SUBSTITUTE(SUBSTITUTE(SUBSTITUTE(SUBSTITUTE(TRIM(M323),".",""),"/",""),"-","")," ",""),"(",""),")",""),"+",""))=11,LEFT(SUBSTITUTE(SUBSTITUTE(SUBSTITUTE(SUBSTITUTE(SUBSTITUTE(SUBSTITUTE(SUBSTITUTE(TRIM(M323),".",""),"/",""),"-","")," ",""),"(",""),")",""),"+",""),4)="0800")),"OK",IF(AND(LEN(SUBSTITUTE(SUBSTITUTE(SUBSTITUTE(SUBSTITUTE(SUBSTITUTE(SUBSTITUTE(SUBSTITUTE(TRIM(M323),".",""),"/",""),"-","")," ",""),"(",""),")",""),"+",""))=11,MID(SUBSTITUTE(SUBSTITUTE(SUBSTITUTE(SUBSTITUTE(SUBSTITUTE(SUBSTITUTE(SUBSTITUTE(TRIM(M323),".",""),"/",""),"-","")," ",""),"(",""),")",""),"+",""),3,1)="9"),"ERRO: é celular, use a coluna Celular","ERRO: DDD + 8 dígitos ou 0800 + 7")))</f>
      </c>
      <c r="X323" s="6">
        <f>IF(N323="","vazio",IF(AND(LEN(SUBSTITUTE(SUBSTITUTE(SUBSTITUTE(SUBSTITUTE(SUBSTITUTE(SUBSTITUTE(SUBSTITUTE(TRIM(N323),".",""),"/",""),"-","")," ",""),"(",""),")",""),"+",""))=11,MID(SUBSTITUTE(SUBSTITUTE(SUBSTITUTE(SUBSTITUTE(SUBSTITUTE(SUBSTITUTE(SUBSTITUTE(TRIM(N323),".",""),"/",""),"-","")," ",""),"(",""),")",""),"+",""),3,1)="9",LEFT(SUBSTITUTE(SUBSTITUTE(SUBSTITUTE(SUBSTITUTE(SUBSTITUTE(SUBSTITUTE(SUBSTITUTE(TRIM(N323),".",""),"/",""),"-","")," ",""),"(",""),")",""),"+",""),1)&lt;&gt;"0"),"OK",IF(LEN(SUBSTITUTE(SUBSTITUTE(SUBSTITUTE(SUBSTITUTE(SUBSTITUTE(SUBSTITUTE(SUBSTITUTE(TRIM(N323),".",""),"/",""),"-","")," ",""),"(",""),")",""),"+",""))=10,"ERRO: é fixo (ou falta o 9), use a coluna Telefone fixo","ERRO: DDD + 9 + 8 dígitos")))</f>
      </c>
      <c r="Y323" s="6">
        <f>IF(O323="","vazio",IF(AND(ISNUMBER(FIND("@",O323)),ISNUMBER(FIND(".",MID(O323,FIND("@",O323),99))),NOT(ISNUMBER(FIND(" ",TRIM(O323)))),NOT(ISNUMBER(FIND(";",O323))),NOT(ISNUMBER(FIND(",",O323)))),"OK","ERRO: um e-mail válido por linha"))</f>
      </c>
      <c r="Z323" s="6">
        <f>IF(AND(J323="",K323=""),"",IF(AND(J323&lt;&gt;"",K323&lt;&gt;""),"OK","pendente: só um nome (o GR completa ao converter)"))</f>
      </c>
      <c r="AA323" s="6">
        <f>IF(COUNTA(A323:S323)=0,"",IF(AND(A323&lt;&gt;"",B323&lt;&gt;"",C323&lt;&gt;"",D323&lt;&gt;"",E323&lt;&gt;"",F323&lt;&gt;"",G323&lt;&gt;"",H323&lt;&gt;"",OR(J323&lt;&gt;"",K323&lt;&gt;""),OR(M323&lt;&gt;"",N323&lt;&gt;"",O323&lt;&gt;"")),"OK","ERRO: faltam "&amp;IF(A323="","SDR; ","")&amp;IF(B323="","Proprietário; ","")&amp;IF(C323="","Origem; ","")&amp;IF(D323="","Temperatura; ","")&amp;IF(E323="","Segmento; ","")&amp;IF(F323="","Time/Cluster; ","")&amp;IF(G323="","CNPJ; ","")&amp;IF(H323="","Razão Social; ","")&amp;IF(AND(J323="",K323=""),"nome do contato; ","")&amp;IF(AND(M323="",N323="",O323=""),"telefone, celular ou e-mail; ","")))</f>
      </c>
      <c r="AB323" s="6">
        <f>IF(COUNTA(A323:S323)=0,"",IF(AND(U323="OK",V323="OK",LEFT(W323,4)&lt;&gt;"ERRO",LEFT(X323,4)&lt;&gt;"ERRO",LEFT(Y323,4)&lt;&gt;"ERRO",AA323="OK"),"OK","REVISAR"))</f>
      </c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5"/>
      <c r="K324" s="4"/>
      <c r="L324" s="4"/>
      <c r="M324" s="4"/>
      <c r="N324" s="4"/>
      <c r="O324" s="4"/>
      <c r="P324" s="4"/>
      <c r="Q324" s="4"/>
      <c r="R324" s="4"/>
      <c r="S324" s="4"/>
      <c r="T324" s="6">
        <f>IF(G324="","",SUBSTITUTE(SUBSTITUTE(SUBSTITUTE(SUBSTITUTE(SUBSTITUTE(SUBSTITUTE(SUBSTITUTE(TRIM(G324),".",""),"/",""),"-","")," ",""),"(",""),")",""),"+",""))</f>
      </c>
      <c r="U324" s="6">
        <f>IF(T324="","",IF(LEN(T324)&lt;&gt;14,"ERRO: "&amp;LEN(T324)&amp;" dígitos",IF(NOT(ISNUMBER(VALUE(T324))),"ERRO: não numérico",IF(LEN(SUBSTITUTE(T324,LEFT(T324,1),""))=0,"ERRO: dígitos repetidos",IF(AND(VALUE(MID(T324,13,1))=IF(MOD(SUMPRODUCT(--MID(T324,{1,2,3,4,5,6,7,8,9,10,11,12},1),{5,4,3,2,9,8,7,6,5,4,3,2}),11)&lt;2,0,11-MOD(SUMPRODUCT(--MID(T324,{1,2,3,4,5,6,7,8,9,10,11,12},1),{5,4,3,2,9,8,7,6,5,4,3,2}),11)),VALUE(MID(T324,14,1))=IF(MOD(SUMPRODUCT(--MID(T324,{1,2,3,4,5,6,7,8,9,10,11,12,13},1),{6,5,4,3,2,9,8,7,6,5,4,3,2}),11)&lt;2,0,11-MOD(SUMPRODUCT(--MID(T324,{1,2,3,4,5,6,7,8,9,10,11,12,13},1),{6,5,4,3,2,9,8,7,6,5,4,3,2}),11))),"OK","ERRO: dígito verificador")))))</f>
      </c>
      <c r="V324" s="6">
        <f>IF(T324="","",IF(COUNTIF($T$2:$T$1001,T324)&gt;1,"DUPLICADO","OK"))</f>
      </c>
      <c r="W324" s="6">
        <f>IF(M324="","vazio",IF(OR(AND(LEN(SUBSTITUTE(SUBSTITUTE(SUBSTITUTE(SUBSTITUTE(SUBSTITUTE(SUBSTITUTE(SUBSTITUTE(TRIM(M324),".",""),"/",""),"-","")," ",""),"(",""),")",""),"+",""))=10,LEFT(SUBSTITUTE(SUBSTITUTE(SUBSTITUTE(SUBSTITUTE(SUBSTITUTE(SUBSTITUTE(SUBSTITUTE(TRIM(M324),".",""),"/",""),"-","")," ",""),"(",""),")",""),"+",""),1)&lt;&gt;"0"),AND(LEN(SUBSTITUTE(SUBSTITUTE(SUBSTITUTE(SUBSTITUTE(SUBSTITUTE(SUBSTITUTE(SUBSTITUTE(TRIM(M324),".",""),"/",""),"-","")," ",""),"(",""),")",""),"+",""))=11,LEFT(SUBSTITUTE(SUBSTITUTE(SUBSTITUTE(SUBSTITUTE(SUBSTITUTE(SUBSTITUTE(SUBSTITUTE(TRIM(M324),".",""),"/",""),"-","")," ",""),"(",""),")",""),"+",""),4)="0800")),"OK",IF(AND(LEN(SUBSTITUTE(SUBSTITUTE(SUBSTITUTE(SUBSTITUTE(SUBSTITUTE(SUBSTITUTE(SUBSTITUTE(TRIM(M324),".",""),"/",""),"-","")," ",""),"(",""),")",""),"+",""))=11,MID(SUBSTITUTE(SUBSTITUTE(SUBSTITUTE(SUBSTITUTE(SUBSTITUTE(SUBSTITUTE(SUBSTITUTE(TRIM(M324),".",""),"/",""),"-","")," ",""),"(",""),")",""),"+",""),3,1)="9"),"ERRO: é celular, use a coluna Celular","ERRO: DDD + 8 dígitos ou 0800 + 7")))</f>
      </c>
      <c r="X324" s="6">
        <f>IF(N324="","vazio",IF(AND(LEN(SUBSTITUTE(SUBSTITUTE(SUBSTITUTE(SUBSTITUTE(SUBSTITUTE(SUBSTITUTE(SUBSTITUTE(TRIM(N324),".",""),"/",""),"-","")," ",""),"(",""),")",""),"+",""))=11,MID(SUBSTITUTE(SUBSTITUTE(SUBSTITUTE(SUBSTITUTE(SUBSTITUTE(SUBSTITUTE(SUBSTITUTE(TRIM(N324),".",""),"/",""),"-","")," ",""),"(",""),")",""),"+",""),3,1)="9",LEFT(SUBSTITUTE(SUBSTITUTE(SUBSTITUTE(SUBSTITUTE(SUBSTITUTE(SUBSTITUTE(SUBSTITUTE(TRIM(N324),".",""),"/",""),"-","")," ",""),"(",""),")",""),"+",""),1)&lt;&gt;"0"),"OK",IF(LEN(SUBSTITUTE(SUBSTITUTE(SUBSTITUTE(SUBSTITUTE(SUBSTITUTE(SUBSTITUTE(SUBSTITUTE(TRIM(N324),".",""),"/",""),"-","")," ",""),"(",""),")",""),"+",""))=10,"ERRO: é fixo (ou falta o 9), use a coluna Telefone fixo","ERRO: DDD + 9 + 8 dígitos")))</f>
      </c>
      <c r="Y324" s="6">
        <f>IF(O324="","vazio",IF(AND(ISNUMBER(FIND("@",O324)),ISNUMBER(FIND(".",MID(O324,FIND("@",O324),99))),NOT(ISNUMBER(FIND(" ",TRIM(O324)))),NOT(ISNUMBER(FIND(";",O324))),NOT(ISNUMBER(FIND(",",O324)))),"OK","ERRO: um e-mail válido por linha"))</f>
      </c>
      <c r="Z324" s="6">
        <f>IF(AND(J324="",K324=""),"",IF(AND(J324&lt;&gt;"",K324&lt;&gt;""),"OK","pendente: só um nome (o GR completa ao converter)"))</f>
      </c>
      <c r="AA324" s="6">
        <f>IF(COUNTA(A324:S324)=0,"",IF(AND(A324&lt;&gt;"",B324&lt;&gt;"",C324&lt;&gt;"",D324&lt;&gt;"",E324&lt;&gt;"",F324&lt;&gt;"",G324&lt;&gt;"",H324&lt;&gt;"",OR(J324&lt;&gt;"",K324&lt;&gt;""),OR(M324&lt;&gt;"",N324&lt;&gt;"",O324&lt;&gt;"")),"OK","ERRO: faltam "&amp;IF(A324="","SDR; ","")&amp;IF(B324="","Proprietário; ","")&amp;IF(C324="","Origem; ","")&amp;IF(D324="","Temperatura; ","")&amp;IF(E324="","Segmento; ","")&amp;IF(F324="","Time/Cluster; ","")&amp;IF(G324="","CNPJ; ","")&amp;IF(H324="","Razão Social; ","")&amp;IF(AND(J324="",K324=""),"nome do contato; ","")&amp;IF(AND(M324="",N324="",O324=""),"telefone, celular ou e-mail; ","")))</f>
      </c>
      <c r="AB324" s="6">
        <f>IF(COUNTA(A324:S324)=0,"",IF(AND(U324="OK",V324="OK",LEFT(W324,4)&lt;&gt;"ERRO",LEFT(X324,4)&lt;&gt;"ERRO",LEFT(Y324,4)&lt;&gt;"ERRO",AA324="OK"),"OK","REVISAR"))</f>
      </c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5"/>
      <c r="K325" s="4"/>
      <c r="L325" s="4"/>
      <c r="M325" s="4"/>
      <c r="N325" s="4"/>
      <c r="O325" s="4"/>
      <c r="P325" s="4"/>
      <c r="Q325" s="4"/>
      <c r="R325" s="4"/>
      <c r="S325" s="4"/>
      <c r="T325" s="6">
        <f>IF(G325="","",SUBSTITUTE(SUBSTITUTE(SUBSTITUTE(SUBSTITUTE(SUBSTITUTE(SUBSTITUTE(SUBSTITUTE(TRIM(G325),".",""),"/",""),"-","")," ",""),"(",""),")",""),"+",""))</f>
      </c>
      <c r="U325" s="6">
        <f>IF(T325="","",IF(LEN(T325)&lt;&gt;14,"ERRO: "&amp;LEN(T325)&amp;" dígitos",IF(NOT(ISNUMBER(VALUE(T325))),"ERRO: não numérico",IF(LEN(SUBSTITUTE(T325,LEFT(T325,1),""))=0,"ERRO: dígitos repetidos",IF(AND(VALUE(MID(T325,13,1))=IF(MOD(SUMPRODUCT(--MID(T325,{1,2,3,4,5,6,7,8,9,10,11,12},1),{5,4,3,2,9,8,7,6,5,4,3,2}),11)&lt;2,0,11-MOD(SUMPRODUCT(--MID(T325,{1,2,3,4,5,6,7,8,9,10,11,12},1),{5,4,3,2,9,8,7,6,5,4,3,2}),11)),VALUE(MID(T325,14,1))=IF(MOD(SUMPRODUCT(--MID(T325,{1,2,3,4,5,6,7,8,9,10,11,12,13},1),{6,5,4,3,2,9,8,7,6,5,4,3,2}),11)&lt;2,0,11-MOD(SUMPRODUCT(--MID(T325,{1,2,3,4,5,6,7,8,9,10,11,12,13},1),{6,5,4,3,2,9,8,7,6,5,4,3,2}),11))),"OK","ERRO: dígito verificador")))))</f>
      </c>
      <c r="V325" s="6">
        <f>IF(T325="","",IF(COUNTIF($T$2:$T$1001,T325)&gt;1,"DUPLICADO","OK"))</f>
      </c>
      <c r="W325" s="6">
        <f>IF(M325="","vazio",IF(OR(AND(LEN(SUBSTITUTE(SUBSTITUTE(SUBSTITUTE(SUBSTITUTE(SUBSTITUTE(SUBSTITUTE(SUBSTITUTE(TRIM(M325),".",""),"/",""),"-","")," ",""),"(",""),")",""),"+",""))=10,LEFT(SUBSTITUTE(SUBSTITUTE(SUBSTITUTE(SUBSTITUTE(SUBSTITUTE(SUBSTITUTE(SUBSTITUTE(TRIM(M325),".",""),"/",""),"-","")," ",""),"(",""),")",""),"+",""),1)&lt;&gt;"0"),AND(LEN(SUBSTITUTE(SUBSTITUTE(SUBSTITUTE(SUBSTITUTE(SUBSTITUTE(SUBSTITUTE(SUBSTITUTE(TRIM(M325),".",""),"/",""),"-","")," ",""),"(",""),")",""),"+",""))=11,LEFT(SUBSTITUTE(SUBSTITUTE(SUBSTITUTE(SUBSTITUTE(SUBSTITUTE(SUBSTITUTE(SUBSTITUTE(TRIM(M325),".",""),"/",""),"-","")," ",""),"(",""),")",""),"+",""),4)="0800")),"OK",IF(AND(LEN(SUBSTITUTE(SUBSTITUTE(SUBSTITUTE(SUBSTITUTE(SUBSTITUTE(SUBSTITUTE(SUBSTITUTE(TRIM(M325),".",""),"/",""),"-","")," ",""),"(",""),")",""),"+",""))=11,MID(SUBSTITUTE(SUBSTITUTE(SUBSTITUTE(SUBSTITUTE(SUBSTITUTE(SUBSTITUTE(SUBSTITUTE(TRIM(M325),".",""),"/",""),"-","")," ",""),"(",""),")",""),"+",""),3,1)="9"),"ERRO: é celular, use a coluna Celular","ERRO: DDD + 8 dígitos ou 0800 + 7")))</f>
      </c>
      <c r="X325" s="6">
        <f>IF(N325="","vazio",IF(AND(LEN(SUBSTITUTE(SUBSTITUTE(SUBSTITUTE(SUBSTITUTE(SUBSTITUTE(SUBSTITUTE(SUBSTITUTE(TRIM(N325),".",""),"/",""),"-","")," ",""),"(",""),")",""),"+",""))=11,MID(SUBSTITUTE(SUBSTITUTE(SUBSTITUTE(SUBSTITUTE(SUBSTITUTE(SUBSTITUTE(SUBSTITUTE(TRIM(N325),".",""),"/",""),"-","")," ",""),"(",""),")",""),"+",""),3,1)="9",LEFT(SUBSTITUTE(SUBSTITUTE(SUBSTITUTE(SUBSTITUTE(SUBSTITUTE(SUBSTITUTE(SUBSTITUTE(TRIM(N325),".",""),"/",""),"-","")," ",""),"(",""),")",""),"+",""),1)&lt;&gt;"0"),"OK",IF(LEN(SUBSTITUTE(SUBSTITUTE(SUBSTITUTE(SUBSTITUTE(SUBSTITUTE(SUBSTITUTE(SUBSTITUTE(TRIM(N325),".",""),"/",""),"-","")," ",""),"(",""),")",""),"+",""))=10,"ERRO: é fixo (ou falta o 9), use a coluna Telefone fixo","ERRO: DDD + 9 + 8 dígitos")))</f>
      </c>
      <c r="Y325" s="6">
        <f>IF(O325="","vazio",IF(AND(ISNUMBER(FIND("@",O325)),ISNUMBER(FIND(".",MID(O325,FIND("@",O325),99))),NOT(ISNUMBER(FIND(" ",TRIM(O325)))),NOT(ISNUMBER(FIND(";",O325))),NOT(ISNUMBER(FIND(",",O325)))),"OK","ERRO: um e-mail válido por linha"))</f>
      </c>
      <c r="Z325" s="6">
        <f>IF(AND(J325="",K325=""),"",IF(AND(J325&lt;&gt;"",K325&lt;&gt;""),"OK","pendente: só um nome (o GR completa ao converter)"))</f>
      </c>
      <c r="AA325" s="6">
        <f>IF(COUNTA(A325:S325)=0,"",IF(AND(A325&lt;&gt;"",B325&lt;&gt;"",C325&lt;&gt;"",D325&lt;&gt;"",E325&lt;&gt;"",F325&lt;&gt;"",G325&lt;&gt;"",H325&lt;&gt;"",OR(J325&lt;&gt;"",K325&lt;&gt;""),OR(M325&lt;&gt;"",N325&lt;&gt;"",O325&lt;&gt;"")),"OK","ERRO: faltam "&amp;IF(A325="","SDR; ","")&amp;IF(B325="","Proprietário; ","")&amp;IF(C325="","Origem; ","")&amp;IF(D325="","Temperatura; ","")&amp;IF(E325="","Segmento; ","")&amp;IF(F325="","Time/Cluster; ","")&amp;IF(G325="","CNPJ; ","")&amp;IF(H325="","Razão Social; ","")&amp;IF(AND(J325="",K325=""),"nome do contato; ","")&amp;IF(AND(M325="",N325="",O325=""),"telefone, celular ou e-mail; ","")))</f>
      </c>
      <c r="AB325" s="6">
        <f>IF(COUNTA(A325:S325)=0,"",IF(AND(U325="OK",V325="OK",LEFT(W325,4)&lt;&gt;"ERRO",LEFT(X325,4)&lt;&gt;"ERRO",LEFT(Y325,4)&lt;&gt;"ERRO",AA325="OK"),"OK","REVISAR"))</f>
      </c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5"/>
      <c r="K326" s="4"/>
      <c r="L326" s="4"/>
      <c r="M326" s="4"/>
      <c r="N326" s="4"/>
      <c r="O326" s="4"/>
      <c r="P326" s="4"/>
      <c r="Q326" s="4"/>
      <c r="R326" s="4"/>
      <c r="S326" s="4"/>
      <c r="T326" s="6">
        <f>IF(G326="","",SUBSTITUTE(SUBSTITUTE(SUBSTITUTE(SUBSTITUTE(SUBSTITUTE(SUBSTITUTE(SUBSTITUTE(TRIM(G326),".",""),"/",""),"-","")," ",""),"(",""),")",""),"+",""))</f>
      </c>
      <c r="U326" s="6">
        <f>IF(T326="","",IF(LEN(T326)&lt;&gt;14,"ERRO: "&amp;LEN(T326)&amp;" dígitos",IF(NOT(ISNUMBER(VALUE(T326))),"ERRO: não numérico",IF(LEN(SUBSTITUTE(T326,LEFT(T326,1),""))=0,"ERRO: dígitos repetidos",IF(AND(VALUE(MID(T326,13,1))=IF(MOD(SUMPRODUCT(--MID(T326,{1,2,3,4,5,6,7,8,9,10,11,12},1),{5,4,3,2,9,8,7,6,5,4,3,2}),11)&lt;2,0,11-MOD(SUMPRODUCT(--MID(T326,{1,2,3,4,5,6,7,8,9,10,11,12},1),{5,4,3,2,9,8,7,6,5,4,3,2}),11)),VALUE(MID(T326,14,1))=IF(MOD(SUMPRODUCT(--MID(T326,{1,2,3,4,5,6,7,8,9,10,11,12,13},1),{6,5,4,3,2,9,8,7,6,5,4,3,2}),11)&lt;2,0,11-MOD(SUMPRODUCT(--MID(T326,{1,2,3,4,5,6,7,8,9,10,11,12,13},1),{6,5,4,3,2,9,8,7,6,5,4,3,2}),11))),"OK","ERRO: dígito verificador")))))</f>
      </c>
      <c r="V326" s="6">
        <f>IF(T326="","",IF(COUNTIF($T$2:$T$1001,T326)&gt;1,"DUPLICADO","OK"))</f>
      </c>
      <c r="W326" s="6">
        <f>IF(M326="","vazio",IF(OR(AND(LEN(SUBSTITUTE(SUBSTITUTE(SUBSTITUTE(SUBSTITUTE(SUBSTITUTE(SUBSTITUTE(SUBSTITUTE(TRIM(M326),".",""),"/",""),"-","")," ",""),"(",""),")",""),"+",""))=10,LEFT(SUBSTITUTE(SUBSTITUTE(SUBSTITUTE(SUBSTITUTE(SUBSTITUTE(SUBSTITUTE(SUBSTITUTE(TRIM(M326),".",""),"/",""),"-","")," ",""),"(",""),")",""),"+",""),1)&lt;&gt;"0"),AND(LEN(SUBSTITUTE(SUBSTITUTE(SUBSTITUTE(SUBSTITUTE(SUBSTITUTE(SUBSTITUTE(SUBSTITUTE(TRIM(M326),".",""),"/",""),"-","")," ",""),"(",""),")",""),"+",""))=11,LEFT(SUBSTITUTE(SUBSTITUTE(SUBSTITUTE(SUBSTITUTE(SUBSTITUTE(SUBSTITUTE(SUBSTITUTE(TRIM(M326),".",""),"/",""),"-","")," ",""),"(",""),")",""),"+",""),4)="0800")),"OK",IF(AND(LEN(SUBSTITUTE(SUBSTITUTE(SUBSTITUTE(SUBSTITUTE(SUBSTITUTE(SUBSTITUTE(SUBSTITUTE(TRIM(M326),".",""),"/",""),"-","")," ",""),"(",""),")",""),"+",""))=11,MID(SUBSTITUTE(SUBSTITUTE(SUBSTITUTE(SUBSTITUTE(SUBSTITUTE(SUBSTITUTE(SUBSTITUTE(TRIM(M326),".",""),"/",""),"-","")," ",""),"(",""),")",""),"+",""),3,1)="9"),"ERRO: é celular, use a coluna Celular","ERRO: DDD + 8 dígitos ou 0800 + 7")))</f>
      </c>
      <c r="X326" s="6">
        <f>IF(N326="","vazio",IF(AND(LEN(SUBSTITUTE(SUBSTITUTE(SUBSTITUTE(SUBSTITUTE(SUBSTITUTE(SUBSTITUTE(SUBSTITUTE(TRIM(N326),".",""),"/",""),"-","")," ",""),"(",""),")",""),"+",""))=11,MID(SUBSTITUTE(SUBSTITUTE(SUBSTITUTE(SUBSTITUTE(SUBSTITUTE(SUBSTITUTE(SUBSTITUTE(TRIM(N326),".",""),"/",""),"-","")," ",""),"(",""),")",""),"+",""),3,1)="9",LEFT(SUBSTITUTE(SUBSTITUTE(SUBSTITUTE(SUBSTITUTE(SUBSTITUTE(SUBSTITUTE(SUBSTITUTE(TRIM(N326),".",""),"/",""),"-","")," ",""),"(",""),")",""),"+",""),1)&lt;&gt;"0"),"OK",IF(LEN(SUBSTITUTE(SUBSTITUTE(SUBSTITUTE(SUBSTITUTE(SUBSTITUTE(SUBSTITUTE(SUBSTITUTE(TRIM(N326),".",""),"/",""),"-","")," ",""),"(",""),")",""),"+",""))=10,"ERRO: é fixo (ou falta o 9), use a coluna Telefone fixo","ERRO: DDD + 9 + 8 dígitos")))</f>
      </c>
      <c r="Y326" s="6">
        <f>IF(O326="","vazio",IF(AND(ISNUMBER(FIND("@",O326)),ISNUMBER(FIND(".",MID(O326,FIND("@",O326),99))),NOT(ISNUMBER(FIND(" ",TRIM(O326)))),NOT(ISNUMBER(FIND(";",O326))),NOT(ISNUMBER(FIND(",",O326)))),"OK","ERRO: um e-mail válido por linha"))</f>
      </c>
      <c r="Z326" s="6">
        <f>IF(AND(J326="",K326=""),"",IF(AND(J326&lt;&gt;"",K326&lt;&gt;""),"OK","pendente: só um nome (o GR completa ao converter)"))</f>
      </c>
      <c r="AA326" s="6">
        <f>IF(COUNTA(A326:S326)=0,"",IF(AND(A326&lt;&gt;"",B326&lt;&gt;"",C326&lt;&gt;"",D326&lt;&gt;"",E326&lt;&gt;"",F326&lt;&gt;"",G326&lt;&gt;"",H326&lt;&gt;"",OR(J326&lt;&gt;"",K326&lt;&gt;""),OR(M326&lt;&gt;"",N326&lt;&gt;"",O326&lt;&gt;"")),"OK","ERRO: faltam "&amp;IF(A326="","SDR; ","")&amp;IF(B326="","Proprietário; ","")&amp;IF(C326="","Origem; ","")&amp;IF(D326="","Temperatura; ","")&amp;IF(E326="","Segmento; ","")&amp;IF(F326="","Time/Cluster; ","")&amp;IF(G326="","CNPJ; ","")&amp;IF(H326="","Razão Social; ","")&amp;IF(AND(J326="",K326=""),"nome do contato; ","")&amp;IF(AND(M326="",N326="",O326=""),"telefone, celular ou e-mail; ","")))</f>
      </c>
      <c r="AB326" s="6">
        <f>IF(COUNTA(A326:S326)=0,"",IF(AND(U326="OK",V326="OK",LEFT(W326,4)&lt;&gt;"ERRO",LEFT(X326,4)&lt;&gt;"ERRO",LEFT(Y326,4)&lt;&gt;"ERRO",AA326="OK"),"OK","REVISAR"))</f>
      </c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5"/>
      <c r="K327" s="4"/>
      <c r="L327" s="4"/>
      <c r="M327" s="4"/>
      <c r="N327" s="4"/>
      <c r="O327" s="4"/>
      <c r="P327" s="4"/>
      <c r="Q327" s="4"/>
      <c r="R327" s="4"/>
      <c r="S327" s="4"/>
      <c r="T327" s="6">
        <f>IF(G327="","",SUBSTITUTE(SUBSTITUTE(SUBSTITUTE(SUBSTITUTE(SUBSTITUTE(SUBSTITUTE(SUBSTITUTE(TRIM(G327),".",""),"/",""),"-","")," ",""),"(",""),")",""),"+",""))</f>
      </c>
      <c r="U327" s="6">
        <f>IF(T327="","",IF(LEN(T327)&lt;&gt;14,"ERRO: "&amp;LEN(T327)&amp;" dígitos",IF(NOT(ISNUMBER(VALUE(T327))),"ERRO: não numérico",IF(LEN(SUBSTITUTE(T327,LEFT(T327,1),""))=0,"ERRO: dígitos repetidos",IF(AND(VALUE(MID(T327,13,1))=IF(MOD(SUMPRODUCT(--MID(T327,{1,2,3,4,5,6,7,8,9,10,11,12},1),{5,4,3,2,9,8,7,6,5,4,3,2}),11)&lt;2,0,11-MOD(SUMPRODUCT(--MID(T327,{1,2,3,4,5,6,7,8,9,10,11,12},1),{5,4,3,2,9,8,7,6,5,4,3,2}),11)),VALUE(MID(T327,14,1))=IF(MOD(SUMPRODUCT(--MID(T327,{1,2,3,4,5,6,7,8,9,10,11,12,13},1),{6,5,4,3,2,9,8,7,6,5,4,3,2}),11)&lt;2,0,11-MOD(SUMPRODUCT(--MID(T327,{1,2,3,4,5,6,7,8,9,10,11,12,13},1),{6,5,4,3,2,9,8,7,6,5,4,3,2}),11))),"OK","ERRO: dígito verificador")))))</f>
      </c>
      <c r="V327" s="6">
        <f>IF(T327="","",IF(COUNTIF($T$2:$T$1001,T327)&gt;1,"DUPLICADO","OK"))</f>
      </c>
      <c r="W327" s="6">
        <f>IF(M327="","vazio",IF(OR(AND(LEN(SUBSTITUTE(SUBSTITUTE(SUBSTITUTE(SUBSTITUTE(SUBSTITUTE(SUBSTITUTE(SUBSTITUTE(TRIM(M327),".",""),"/",""),"-","")," ",""),"(",""),")",""),"+",""))=10,LEFT(SUBSTITUTE(SUBSTITUTE(SUBSTITUTE(SUBSTITUTE(SUBSTITUTE(SUBSTITUTE(SUBSTITUTE(TRIM(M327),".",""),"/",""),"-","")," ",""),"(",""),")",""),"+",""),1)&lt;&gt;"0"),AND(LEN(SUBSTITUTE(SUBSTITUTE(SUBSTITUTE(SUBSTITUTE(SUBSTITUTE(SUBSTITUTE(SUBSTITUTE(TRIM(M327),".",""),"/",""),"-","")," ",""),"(",""),")",""),"+",""))=11,LEFT(SUBSTITUTE(SUBSTITUTE(SUBSTITUTE(SUBSTITUTE(SUBSTITUTE(SUBSTITUTE(SUBSTITUTE(TRIM(M327),".",""),"/",""),"-","")," ",""),"(",""),")",""),"+",""),4)="0800")),"OK",IF(AND(LEN(SUBSTITUTE(SUBSTITUTE(SUBSTITUTE(SUBSTITUTE(SUBSTITUTE(SUBSTITUTE(SUBSTITUTE(TRIM(M327),".",""),"/",""),"-","")," ",""),"(",""),")",""),"+",""))=11,MID(SUBSTITUTE(SUBSTITUTE(SUBSTITUTE(SUBSTITUTE(SUBSTITUTE(SUBSTITUTE(SUBSTITUTE(TRIM(M327),".",""),"/",""),"-","")," ",""),"(",""),")",""),"+",""),3,1)="9"),"ERRO: é celular, use a coluna Celular","ERRO: DDD + 8 dígitos ou 0800 + 7")))</f>
      </c>
      <c r="X327" s="6">
        <f>IF(N327="","vazio",IF(AND(LEN(SUBSTITUTE(SUBSTITUTE(SUBSTITUTE(SUBSTITUTE(SUBSTITUTE(SUBSTITUTE(SUBSTITUTE(TRIM(N327),".",""),"/",""),"-","")," ",""),"(",""),")",""),"+",""))=11,MID(SUBSTITUTE(SUBSTITUTE(SUBSTITUTE(SUBSTITUTE(SUBSTITUTE(SUBSTITUTE(SUBSTITUTE(TRIM(N327),".",""),"/",""),"-","")," ",""),"(",""),")",""),"+",""),3,1)="9",LEFT(SUBSTITUTE(SUBSTITUTE(SUBSTITUTE(SUBSTITUTE(SUBSTITUTE(SUBSTITUTE(SUBSTITUTE(TRIM(N327),".",""),"/",""),"-","")," ",""),"(",""),")",""),"+",""),1)&lt;&gt;"0"),"OK",IF(LEN(SUBSTITUTE(SUBSTITUTE(SUBSTITUTE(SUBSTITUTE(SUBSTITUTE(SUBSTITUTE(SUBSTITUTE(TRIM(N327),".",""),"/",""),"-","")," ",""),"(",""),")",""),"+",""))=10,"ERRO: é fixo (ou falta o 9), use a coluna Telefone fixo","ERRO: DDD + 9 + 8 dígitos")))</f>
      </c>
      <c r="Y327" s="6">
        <f>IF(O327="","vazio",IF(AND(ISNUMBER(FIND("@",O327)),ISNUMBER(FIND(".",MID(O327,FIND("@",O327),99))),NOT(ISNUMBER(FIND(" ",TRIM(O327)))),NOT(ISNUMBER(FIND(";",O327))),NOT(ISNUMBER(FIND(",",O327)))),"OK","ERRO: um e-mail válido por linha"))</f>
      </c>
      <c r="Z327" s="6">
        <f>IF(AND(J327="",K327=""),"",IF(AND(J327&lt;&gt;"",K327&lt;&gt;""),"OK","pendente: só um nome (o GR completa ao converter)"))</f>
      </c>
      <c r="AA327" s="6">
        <f>IF(COUNTA(A327:S327)=0,"",IF(AND(A327&lt;&gt;"",B327&lt;&gt;"",C327&lt;&gt;"",D327&lt;&gt;"",E327&lt;&gt;"",F327&lt;&gt;"",G327&lt;&gt;"",H327&lt;&gt;"",OR(J327&lt;&gt;"",K327&lt;&gt;""),OR(M327&lt;&gt;"",N327&lt;&gt;"",O327&lt;&gt;"")),"OK","ERRO: faltam "&amp;IF(A327="","SDR; ","")&amp;IF(B327="","Proprietário; ","")&amp;IF(C327="","Origem; ","")&amp;IF(D327="","Temperatura; ","")&amp;IF(E327="","Segmento; ","")&amp;IF(F327="","Time/Cluster; ","")&amp;IF(G327="","CNPJ; ","")&amp;IF(H327="","Razão Social; ","")&amp;IF(AND(J327="",K327=""),"nome do contato; ","")&amp;IF(AND(M327="",N327="",O327=""),"telefone, celular ou e-mail; ","")))</f>
      </c>
      <c r="AB327" s="6">
        <f>IF(COUNTA(A327:S327)=0,"",IF(AND(U327="OK",V327="OK",LEFT(W327,4)&lt;&gt;"ERRO",LEFT(X327,4)&lt;&gt;"ERRO",LEFT(Y327,4)&lt;&gt;"ERRO",AA327="OK"),"OK","REVISAR"))</f>
      </c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5"/>
      <c r="K328" s="4"/>
      <c r="L328" s="4"/>
      <c r="M328" s="4"/>
      <c r="N328" s="4"/>
      <c r="O328" s="4"/>
      <c r="P328" s="4"/>
      <c r="Q328" s="4"/>
      <c r="R328" s="4"/>
      <c r="S328" s="4"/>
      <c r="T328" s="6">
        <f>IF(G328="","",SUBSTITUTE(SUBSTITUTE(SUBSTITUTE(SUBSTITUTE(SUBSTITUTE(SUBSTITUTE(SUBSTITUTE(TRIM(G328),".",""),"/",""),"-","")," ",""),"(",""),")",""),"+",""))</f>
      </c>
      <c r="U328" s="6">
        <f>IF(T328="","",IF(LEN(T328)&lt;&gt;14,"ERRO: "&amp;LEN(T328)&amp;" dígitos",IF(NOT(ISNUMBER(VALUE(T328))),"ERRO: não numérico",IF(LEN(SUBSTITUTE(T328,LEFT(T328,1),""))=0,"ERRO: dígitos repetidos",IF(AND(VALUE(MID(T328,13,1))=IF(MOD(SUMPRODUCT(--MID(T328,{1,2,3,4,5,6,7,8,9,10,11,12},1),{5,4,3,2,9,8,7,6,5,4,3,2}),11)&lt;2,0,11-MOD(SUMPRODUCT(--MID(T328,{1,2,3,4,5,6,7,8,9,10,11,12},1),{5,4,3,2,9,8,7,6,5,4,3,2}),11)),VALUE(MID(T328,14,1))=IF(MOD(SUMPRODUCT(--MID(T328,{1,2,3,4,5,6,7,8,9,10,11,12,13},1),{6,5,4,3,2,9,8,7,6,5,4,3,2}),11)&lt;2,0,11-MOD(SUMPRODUCT(--MID(T328,{1,2,3,4,5,6,7,8,9,10,11,12,13},1),{6,5,4,3,2,9,8,7,6,5,4,3,2}),11))),"OK","ERRO: dígito verificador")))))</f>
      </c>
      <c r="V328" s="6">
        <f>IF(T328="","",IF(COUNTIF($T$2:$T$1001,T328)&gt;1,"DUPLICADO","OK"))</f>
      </c>
      <c r="W328" s="6">
        <f>IF(M328="","vazio",IF(OR(AND(LEN(SUBSTITUTE(SUBSTITUTE(SUBSTITUTE(SUBSTITUTE(SUBSTITUTE(SUBSTITUTE(SUBSTITUTE(TRIM(M328),".",""),"/",""),"-","")," ",""),"(",""),")",""),"+",""))=10,LEFT(SUBSTITUTE(SUBSTITUTE(SUBSTITUTE(SUBSTITUTE(SUBSTITUTE(SUBSTITUTE(SUBSTITUTE(TRIM(M328),".",""),"/",""),"-","")," ",""),"(",""),")",""),"+",""),1)&lt;&gt;"0"),AND(LEN(SUBSTITUTE(SUBSTITUTE(SUBSTITUTE(SUBSTITUTE(SUBSTITUTE(SUBSTITUTE(SUBSTITUTE(TRIM(M328),".",""),"/",""),"-","")," ",""),"(",""),")",""),"+",""))=11,LEFT(SUBSTITUTE(SUBSTITUTE(SUBSTITUTE(SUBSTITUTE(SUBSTITUTE(SUBSTITUTE(SUBSTITUTE(TRIM(M328),".",""),"/",""),"-","")," ",""),"(",""),")",""),"+",""),4)="0800")),"OK",IF(AND(LEN(SUBSTITUTE(SUBSTITUTE(SUBSTITUTE(SUBSTITUTE(SUBSTITUTE(SUBSTITUTE(SUBSTITUTE(TRIM(M328),".",""),"/",""),"-","")," ",""),"(",""),")",""),"+",""))=11,MID(SUBSTITUTE(SUBSTITUTE(SUBSTITUTE(SUBSTITUTE(SUBSTITUTE(SUBSTITUTE(SUBSTITUTE(TRIM(M328),".",""),"/",""),"-","")," ",""),"(",""),")",""),"+",""),3,1)="9"),"ERRO: é celular, use a coluna Celular","ERRO: DDD + 8 dígitos ou 0800 + 7")))</f>
      </c>
      <c r="X328" s="6">
        <f>IF(N328="","vazio",IF(AND(LEN(SUBSTITUTE(SUBSTITUTE(SUBSTITUTE(SUBSTITUTE(SUBSTITUTE(SUBSTITUTE(SUBSTITUTE(TRIM(N328),".",""),"/",""),"-","")," ",""),"(",""),")",""),"+",""))=11,MID(SUBSTITUTE(SUBSTITUTE(SUBSTITUTE(SUBSTITUTE(SUBSTITUTE(SUBSTITUTE(SUBSTITUTE(TRIM(N328),".",""),"/",""),"-","")," ",""),"(",""),")",""),"+",""),3,1)="9",LEFT(SUBSTITUTE(SUBSTITUTE(SUBSTITUTE(SUBSTITUTE(SUBSTITUTE(SUBSTITUTE(SUBSTITUTE(TRIM(N328),".",""),"/",""),"-","")," ",""),"(",""),")",""),"+",""),1)&lt;&gt;"0"),"OK",IF(LEN(SUBSTITUTE(SUBSTITUTE(SUBSTITUTE(SUBSTITUTE(SUBSTITUTE(SUBSTITUTE(SUBSTITUTE(TRIM(N328),".",""),"/",""),"-","")," ",""),"(",""),")",""),"+",""))=10,"ERRO: é fixo (ou falta o 9), use a coluna Telefone fixo","ERRO: DDD + 9 + 8 dígitos")))</f>
      </c>
      <c r="Y328" s="6">
        <f>IF(O328="","vazio",IF(AND(ISNUMBER(FIND("@",O328)),ISNUMBER(FIND(".",MID(O328,FIND("@",O328),99))),NOT(ISNUMBER(FIND(" ",TRIM(O328)))),NOT(ISNUMBER(FIND(";",O328))),NOT(ISNUMBER(FIND(",",O328)))),"OK","ERRO: um e-mail válido por linha"))</f>
      </c>
      <c r="Z328" s="6">
        <f>IF(AND(J328="",K328=""),"",IF(AND(J328&lt;&gt;"",K328&lt;&gt;""),"OK","pendente: só um nome (o GR completa ao converter)"))</f>
      </c>
      <c r="AA328" s="6">
        <f>IF(COUNTA(A328:S328)=0,"",IF(AND(A328&lt;&gt;"",B328&lt;&gt;"",C328&lt;&gt;"",D328&lt;&gt;"",E328&lt;&gt;"",F328&lt;&gt;"",G328&lt;&gt;"",H328&lt;&gt;"",OR(J328&lt;&gt;"",K328&lt;&gt;""),OR(M328&lt;&gt;"",N328&lt;&gt;"",O328&lt;&gt;"")),"OK","ERRO: faltam "&amp;IF(A328="","SDR; ","")&amp;IF(B328="","Proprietário; ","")&amp;IF(C328="","Origem; ","")&amp;IF(D328="","Temperatura; ","")&amp;IF(E328="","Segmento; ","")&amp;IF(F328="","Time/Cluster; ","")&amp;IF(G328="","CNPJ; ","")&amp;IF(H328="","Razão Social; ","")&amp;IF(AND(J328="",K328=""),"nome do contato; ","")&amp;IF(AND(M328="",N328="",O328=""),"telefone, celular ou e-mail; ","")))</f>
      </c>
      <c r="AB328" s="6">
        <f>IF(COUNTA(A328:S328)=0,"",IF(AND(U328="OK",V328="OK",LEFT(W328,4)&lt;&gt;"ERRO",LEFT(X328,4)&lt;&gt;"ERRO",LEFT(Y328,4)&lt;&gt;"ERRO",AA328="OK"),"OK","REVISAR"))</f>
      </c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5"/>
      <c r="K329" s="4"/>
      <c r="L329" s="4"/>
      <c r="M329" s="4"/>
      <c r="N329" s="4"/>
      <c r="O329" s="4"/>
      <c r="P329" s="4"/>
      <c r="Q329" s="4"/>
      <c r="R329" s="4"/>
      <c r="S329" s="4"/>
      <c r="T329" s="6">
        <f>IF(G329="","",SUBSTITUTE(SUBSTITUTE(SUBSTITUTE(SUBSTITUTE(SUBSTITUTE(SUBSTITUTE(SUBSTITUTE(TRIM(G329),".",""),"/",""),"-","")," ",""),"(",""),")",""),"+",""))</f>
      </c>
      <c r="U329" s="6">
        <f>IF(T329="","",IF(LEN(T329)&lt;&gt;14,"ERRO: "&amp;LEN(T329)&amp;" dígitos",IF(NOT(ISNUMBER(VALUE(T329))),"ERRO: não numérico",IF(LEN(SUBSTITUTE(T329,LEFT(T329,1),""))=0,"ERRO: dígitos repetidos",IF(AND(VALUE(MID(T329,13,1))=IF(MOD(SUMPRODUCT(--MID(T329,{1,2,3,4,5,6,7,8,9,10,11,12},1),{5,4,3,2,9,8,7,6,5,4,3,2}),11)&lt;2,0,11-MOD(SUMPRODUCT(--MID(T329,{1,2,3,4,5,6,7,8,9,10,11,12},1),{5,4,3,2,9,8,7,6,5,4,3,2}),11)),VALUE(MID(T329,14,1))=IF(MOD(SUMPRODUCT(--MID(T329,{1,2,3,4,5,6,7,8,9,10,11,12,13},1),{6,5,4,3,2,9,8,7,6,5,4,3,2}),11)&lt;2,0,11-MOD(SUMPRODUCT(--MID(T329,{1,2,3,4,5,6,7,8,9,10,11,12,13},1),{6,5,4,3,2,9,8,7,6,5,4,3,2}),11))),"OK","ERRO: dígito verificador")))))</f>
      </c>
      <c r="V329" s="6">
        <f>IF(T329="","",IF(COUNTIF($T$2:$T$1001,T329)&gt;1,"DUPLICADO","OK"))</f>
      </c>
      <c r="W329" s="6">
        <f>IF(M329="","vazio",IF(OR(AND(LEN(SUBSTITUTE(SUBSTITUTE(SUBSTITUTE(SUBSTITUTE(SUBSTITUTE(SUBSTITUTE(SUBSTITUTE(TRIM(M329),".",""),"/",""),"-","")," ",""),"(",""),")",""),"+",""))=10,LEFT(SUBSTITUTE(SUBSTITUTE(SUBSTITUTE(SUBSTITUTE(SUBSTITUTE(SUBSTITUTE(SUBSTITUTE(TRIM(M329),".",""),"/",""),"-","")," ",""),"(",""),")",""),"+",""),1)&lt;&gt;"0"),AND(LEN(SUBSTITUTE(SUBSTITUTE(SUBSTITUTE(SUBSTITUTE(SUBSTITUTE(SUBSTITUTE(SUBSTITUTE(TRIM(M329),".",""),"/",""),"-","")," ",""),"(",""),")",""),"+",""))=11,LEFT(SUBSTITUTE(SUBSTITUTE(SUBSTITUTE(SUBSTITUTE(SUBSTITUTE(SUBSTITUTE(SUBSTITUTE(TRIM(M329),".",""),"/",""),"-","")," ",""),"(",""),")",""),"+",""),4)="0800")),"OK",IF(AND(LEN(SUBSTITUTE(SUBSTITUTE(SUBSTITUTE(SUBSTITUTE(SUBSTITUTE(SUBSTITUTE(SUBSTITUTE(TRIM(M329),".",""),"/",""),"-","")," ",""),"(",""),")",""),"+",""))=11,MID(SUBSTITUTE(SUBSTITUTE(SUBSTITUTE(SUBSTITUTE(SUBSTITUTE(SUBSTITUTE(SUBSTITUTE(TRIM(M329),".",""),"/",""),"-","")," ",""),"(",""),")",""),"+",""),3,1)="9"),"ERRO: é celular, use a coluna Celular","ERRO: DDD + 8 dígitos ou 0800 + 7")))</f>
      </c>
      <c r="X329" s="6">
        <f>IF(N329="","vazio",IF(AND(LEN(SUBSTITUTE(SUBSTITUTE(SUBSTITUTE(SUBSTITUTE(SUBSTITUTE(SUBSTITUTE(SUBSTITUTE(TRIM(N329),".",""),"/",""),"-","")," ",""),"(",""),")",""),"+",""))=11,MID(SUBSTITUTE(SUBSTITUTE(SUBSTITUTE(SUBSTITUTE(SUBSTITUTE(SUBSTITUTE(SUBSTITUTE(TRIM(N329),".",""),"/",""),"-","")," ",""),"(",""),")",""),"+",""),3,1)="9",LEFT(SUBSTITUTE(SUBSTITUTE(SUBSTITUTE(SUBSTITUTE(SUBSTITUTE(SUBSTITUTE(SUBSTITUTE(TRIM(N329),".",""),"/",""),"-","")," ",""),"(",""),")",""),"+",""),1)&lt;&gt;"0"),"OK",IF(LEN(SUBSTITUTE(SUBSTITUTE(SUBSTITUTE(SUBSTITUTE(SUBSTITUTE(SUBSTITUTE(SUBSTITUTE(TRIM(N329),".",""),"/",""),"-","")," ",""),"(",""),")",""),"+",""))=10,"ERRO: é fixo (ou falta o 9), use a coluna Telefone fixo","ERRO: DDD + 9 + 8 dígitos")))</f>
      </c>
      <c r="Y329" s="6">
        <f>IF(O329="","vazio",IF(AND(ISNUMBER(FIND("@",O329)),ISNUMBER(FIND(".",MID(O329,FIND("@",O329),99))),NOT(ISNUMBER(FIND(" ",TRIM(O329)))),NOT(ISNUMBER(FIND(";",O329))),NOT(ISNUMBER(FIND(",",O329)))),"OK","ERRO: um e-mail válido por linha"))</f>
      </c>
      <c r="Z329" s="6">
        <f>IF(AND(J329="",K329=""),"",IF(AND(J329&lt;&gt;"",K329&lt;&gt;""),"OK","pendente: só um nome (o GR completa ao converter)"))</f>
      </c>
      <c r="AA329" s="6">
        <f>IF(COUNTA(A329:S329)=0,"",IF(AND(A329&lt;&gt;"",B329&lt;&gt;"",C329&lt;&gt;"",D329&lt;&gt;"",E329&lt;&gt;"",F329&lt;&gt;"",G329&lt;&gt;"",H329&lt;&gt;"",OR(J329&lt;&gt;"",K329&lt;&gt;""),OR(M329&lt;&gt;"",N329&lt;&gt;"",O329&lt;&gt;"")),"OK","ERRO: faltam "&amp;IF(A329="","SDR; ","")&amp;IF(B329="","Proprietário; ","")&amp;IF(C329="","Origem; ","")&amp;IF(D329="","Temperatura; ","")&amp;IF(E329="","Segmento; ","")&amp;IF(F329="","Time/Cluster; ","")&amp;IF(G329="","CNPJ; ","")&amp;IF(H329="","Razão Social; ","")&amp;IF(AND(J329="",K329=""),"nome do contato; ","")&amp;IF(AND(M329="",N329="",O329=""),"telefone, celular ou e-mail; ","")))</f>
      </c>
      <c r="AB329" s="6">
        <f>IF(COUNTA(A329:S329)=0,"",IF(AND(U329="OK",V329="OK",LEFT(W329,4)&lt;&gt;"ERRO",LEFT(X329,4)&lt;&gt;"ERRO",LEFT(Y329,4)&lt;&gt;"ERRO",AA329="OK"),"OK","REVISAR"))</f>
      </c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5"/>
      <c r="K330" s="4"/>
      <c r="L330" s="4"/>
      <c r="M330" s="4"/>
      <c r="N330" s="4"/>
      <c r="O330" s="4"/>
      <c r="P330" s="4"/>
      <c r="Q330" s="4"/>
      <c r="R330" s="4"/>
      <c r="S330" s="4"/>
      <c r="T330" s="6">
        <f>IF(G330="","",SUBSTITUTE(SUBSTITUTE(SUBSTITUTE(SUBSTITUTE(SUBSTITUTE(SUBSTITUTE(SUBSTITUTE(TRIM(G330),".",""),"/",""),"-","")," ",""),"(",""),")",""),"+",""))</f>
      </c>
      <c r="U330" s="6">
        <f>IF(T330="","",IF(LEN(T330)&lt;&gt;14,"ERRO: "&amp;LEN(T330)&amp;" dígitos",IF(NOT(ISNUMBER(VALUE(T330))),"ERRO: não numérico",IF(LEN(SUBSTITUTE(T330,LEFT(T330,1),""))=0,"ERRO: dígitos repetidos",IF(AND(VALUE(MID(T330,13,1))=IF(MOD(SUMPRODUCT(--MID(T330,{1,2,3,4,5,6,7,8,9,10,11,12},1),{5,4,3,2,9,8,7,6,5,4,3,2}),11)&lt;2,0,11-MOD(SUMPRODUCT(--MID(T330,{1,2,3,4,5,6,7,8,9,10,11,12},1),{5,4,3,2,9,8,7,6,5,4,3,2}),11)),VALUE(MID(T330,14,1))=IF(MOD(SUMPRODUCT(--MID(T330,{1,2,3,4,5,6,7,8,9,10,11,12,13},1),{6,5,4,3,2,9,8,7,6,5,4,3,2}),11)&lt;2,0,11-MOD(SUMPRODUCT(--MID(T330,{1,2,3,4,5,6,7,8,9,10,11,12,13},1),{6,5,4,3,2,9,8,7,6,5,4,3,2}),11))),"OK","ERRO: dígito verificador")))))</f>
      </c>
      <c r="V330" s="6">
        <f>IF(T330="","",IF(COUNTIF($T$2:$T$1001,T330)&gt;1,"DUPLICADO","OK"))</f>
      </c>
      <c r="W330" s="6">
        <f>IF(M330="","vazio",IF(OR(AND(LEN(SUBSTITUTE(SUBSTITUTE(SUBSTITUTE(SUBSTITUTE(SUBSTITUTE(SUBSTITUTE(SUBSTITUTE(TRIM(M330),".",""),"/",""),"-","")," ",""),"(",""),")",""),"+",""))=10,LEFT(SUBSTITUTE(SUBSTITUTE(SUBSTITUTE(SUBSTITUTE(SUBSTITUTE(SUBSTITUTE(SUBSTITUTE(TRIM(M330),".",""),"/",""),"-","")," ",""),"(",""),")",""),"+",""),1)&lt;&gt;"0"),AND(LEN(SUBSTITUTE(SUBSTITUTE(SUBSTITUTE(SUBSTITUTE(SUBSTITUTE(SUBSTITUTE(SUBSTITUTE(TRIM(M330),".",""),"/",""),"-","")," ",""),"(",""),")",""),"+",""))=11,LEFT(SUBSTITUTE(SUBSTITUTE(SUBSTITUTE(SUBSTITUTE(SUBSTITUTE(SUBSTITUTE(SUBSTITUTE(TRIM(M330),".",""),"/",""),"-","")," ",""),"(",""),")",""),"+",""),4)="0800")),"OK",IF(AND(LEN(SUBSTITUTE(SUBSTITUTE(SUBSTITUTE(SUBSTITUTE(SUBSTITUTE(SUBSTITUTE(SUBSTITUTE(TRIM(M330),".",""),"/",""),"-","")," ",""),"(",""),")",""),"+",""))=11,MID(SUBSTITUTE(SUBSTITUTE(SUBSTITUTE(SUBSTITUTE(SUBSTITUTE(SUBSTITUTE(SUBSTITUTE(TRIM(M330),".",""),"/",""),"-","")," ",""),"(",""),")",""),"+",""),3,1)="9"),"ERRO: é celular, use a coluna Celular","ERRO: DDD + 8 dígitos ou 0800 + 7")))</f>
      </c>
      <c r="X330" s="6">
        <f>IF(N330="","vazio",IF(AND(LEN(SUBSTITUTE(SUBSTITUTE(SUBSTITUTE(SUBSTITUTE(SUBSTITUTE(SUBSTITUTE(SUBSTITUTE(TRIM(N330),".",""),"/",""),"-","")," ",""),"(",""),")",""),"+",""))=11,MID(SUBSTITUTE(SUBSTITUTE(SUBSTITUTE(SUBSTITUTE(SUBSTITUTE(SUBSTITUTE(SUBSTITUTE(TRIM(N330),".",""),"/",""),"-","")," ",""),"(",""),")",""),"+",""),3,1)="9",LEFT(SUBSTITUTE(SUBSTITUTE(SUBSTITUTE(SUBSTITUTE(SUBSTITUTE(SUBSTITUTE(SUBSTITUTE(TRIM(N330),".",""),"/",""),"-","")," ",""),"(",""),")",""),"+",""),1)&lt;&gt;"0"),"OK",IF(LEN(SUBSTITUTE(SUBSTITUTE(SUBSTITUTE(SUBSTITUTE(SUBSTITUTE(SUBSTITUTE(SUBSTITUTE(TRIM(N330),".",""),"/",""),"-","")," ",""),"(",""),")",""),"+",""))=10,"ERRO: é fixo (ou falta o 9), use a coluna Telefone fixo","ERRO: DDD + 9 + 8 dígitos")))</f>
      </c>
      <c r="Y330" s="6">
        <f>IF(O330="","vazio",IF(AND(ISNUMBER(FIND("@",O330)),ISNUMBER(FIND(".",MID(O330,FIND("@",O330),99))),NOT(ISNUMBER(FIND(" ",TRIM(O330)))),NOT(ISNUMBER(FIND(";",O330))),NOT(ISNUMBER(FIND(",",O330)))),"OK","ERRO: um e-mail válido por linha"))</f>
      </c>
      <c r="Z330" s="6">
        <f>IF(AND(J330="",K330=""),"",IF(AND(J330&lt;&gt;"",K330&lt;&gt;""),"OK","pendente: só um nome (o GR completa ao converter)"))</f>
      </c>
      <c r="AA330" s="6">
        <f>IF(COUNTA(A330:S330)=0,"",IF(AND(A330&lt;&gt;"",B330&lt;&gt;"",C330&lt;&gt;"",D330&lt;&gt;"",E330&lt;&gt;"",F330&lt;&gt;"",G330&lt;&gt;"",H330&lt;&gt;"",OR(J330&lt;&gt;"",K330&lt;&gt;""),OR(M330&lt;&gt;"",N330&lt;&gt;"",O330&lt;&gt;"")),"OK","ERRO: faltam "&amp;IF(A330="","SDR; ","")&amp;IF(B330="","Proprietário; ","")&amp;IF(C330="","Origem; ","")&amp;IF(D330="","Temperatura; ","")&amp;IF(E330="","Segmento; ","")&amp;IF(F330="","Time/Cluster; ","")&amp;IF(G330="","CNPJ; ","")&amp;IF(H330="","Razão Social; ","")&amp;IF(AND(J330="",K330=""),"nome do contato; ","")&amp;IF(AND(M330="",N330="",O330=""),"telefone, celular ou e-mail; ","")))</f>
      </c>
      <c r="AB330" s="6">
        <f>IF(COUNTA(A330:S330)=0,"",IF(AND(U330="OK",V330="OK",LEFT(W330,4)&lt;&gt;"ERRO",LEFT(X330,4)&lt;&gt;"ERRO",LEFT(Y330,4)&lt;&gt;"ERRO",AA330="OK"),"OK","REVISAR"))</f>
      </c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5"/>
      <c r="K331" s="4"/>
      <c r="L331" s="4"/>
      <c r="M331" s="4"/>
      <c r="N331" s="4"/>
      <c r="O331" s="4"/>
      <c r="P331" s="4"/>
      <c r="Q331" s="4"/>
      <c r="R331" s="4"/>
      <c r="S331" s="4"/>
      <c r="T331" s="6">
        <f>IF(G331="","",SUBSTITUTE(SUBSTITUTE(SUBSTITUTE(SUBSTITUTE(SUBSTITUTE(SUBSTITUTE(SUBSTITUTE(TRIM(G331),".",""),"/",""),"-","")," ",""),"(",""),")",""),"+",""))</f>
      </c>
      <c r="U331" s="6">
        <f>IF(T331="","",IF(LEN(T331)&lt;&gt;14,"ERRO: "&amp;LEN(T331)&amp;" dígitos",IF(NOT(ISNUMBER(VALUE(T331))),"ERRO: não numérico",IF(LEN(SUBSTITUTE(T331,LEFT(T331,1),""))=0,"ERRO: dígitos repetidos",IF(AND(VALUE(MID(T331,13,1))=IF(MOD(SUMPRODUCT(--MID(T331,{1,2,3,4,5,6,7,8,9,10,11,12},1),{5,4,3,2,9,8,7,6,5,4,3,2}),11)&lt;2,0,11-MOD(SUMPRODUCT(--MID(T331,{1,2,3,4,5,6,7,8,9,10,11,12},1),{5,4,3,2,9,8,7,6,5,4,3,2}),11)),VALUE(MID(T331,14,1))=IF(MOD(SUMPRODUCT(--MID(T331,{1,2,3,4,5,6,7,8,9,10,11,12,13},1),{6,5,4,3,2,9,8,7,6,5,4,3,2}),11)&lt;2,0,11-MOD(SUMPRODUCT(--MID(T331,{1,2,3,4,5,6,7,8,9,10,11,12,13},1),{6,5,4,3,2,9,8,7,6,5,4,3,2}),11))),"OK","ERRO: dígito verificador")))))</f>
      </c>
      <c r="V331" s="6">
        <f>IF(T331="","",IF(COUNTIF($T$2:$T$1001,T331)&gt;1,"DUPLICADO","OK"))</f>
      </c>
      <c r="W331" s="6">
        <f>IF(M331="","vazio",IF(OR(AND(LEN(SUBSTITUTE(SUBSTITUTE(SUBSTITUTE(SUBSTITUTE(SUBSTITUTE(SUBSTITUTE(SUBSTITUTE(TRIM(M331),".",""),"/",""),"-","")," ",""),"(",""),")",""),"+",""))=10,LEFT(SUBSTITUTE(SUBSTITUTE(SUBSTITUTE(SUBSTITUTE(SUBSTITUTE(SUBSTITUTE(SUBSTITUTE(TRIM(M331),".",""),"/",""),"-","")," ",""),"(",""),")",""),"+",""),1)&lt;&gt;"0"),AND(LEN(SUBSTITUTE(SUBSTITUTE(SUBSTITUTE(SUBSTITUTE(SUBSTITUTE(SUBSTITUTE(SUBSTITUTE(TRIM(M331),".",""),"/",""),"-","")," ",""),"(",""),")",""),"+",""))=11,LEFT(SUBSTITUTE(SUBSTITUTE(SUBSTITUTE(SUBSTITUTE(SUBSTITUTE(SUBSTITUTE(SUBSTITUTE(TRIM(M331),".",""),"/",""),"-","")," ",""),"(",""),")",""),"+",""),4)="0800")),"OK",IF(AND(LEN(SUBSTITUTE(SUBSTITUTE(SUBSTITUTE(SUBSTITUTE(SUBSTITUTE(SUBSTITUTE(SUBSTITUTE(TRIM(M331),".",""),"/",""),"-","")," ",""),"(",""),")",""),"+",""))=11,MID(SUBSTITUTE(SUBSTITUTE(SUBSTITUTE(SUBSTITUTE(SUBSTITUTE(SUBSTITUTE(SUBSTITUTE(TRIM(M331),".",""),"/",""),"-","")," ",""),"(",""),")",""),"+",""),3,1)="9"),"ERRO: é celular, use a coluna Celular","ERRO: DDD + 8 dígitos ou 0800 + 7")))</f>
      </c>
      <c r="X331" s="6">
        <f>IF(N331="","vazio",IF(AND(LEN(SUBSTITUTE(SUBSTITUTE(SUBSTITUTE(SUBSTITUTE(SUBSTITUTE(SUBSTITUTE(SUBSTITUTE(TRIM(N331),".",""),"/",""),"-","")," ",""),"(",""),")",""),"+",""))=11,MID(SUBSTITUTE(SUBSTITUTE(SUBSTITUTE(SUBSTITUTE(SUBSTITUTE(SUBSTITUTE(SUBSTITUTE(TRIM(N331),".",""),"/",""),"-","")," ",""),"(",""),")",""),"+",""),3,1)="9",LEFT(SUBSTITUTE(SUBSTITUTE(SUBSTITUTE(SUBSTITUTE(SUBSTITUTE(SUBSTITUTE(SUBSTITUTE(TRIM(N331),".",""),"/",""),"-","")," ",""),"(",""),")",""),"+",""),1)&lt;&gt;"0"),"OK",IF(LEN(SUBSTITUTE(SUBSTITUTE(SUBSTITUTE(SUBSTITUTE(SUBSTITUTE(SUBSTITUTE(SUBSTITUTE(TRIM(N331),".",""),"/",""),"-","")," ",""),"(",""),")",""),"+",""))=10,"ERRO: é fixo (ou falta o 9), use a coluna Telefone fixo","ERRO: DDD + 9 + 8 dígitos")))</f>
      </c>
      <c r="Y331" s="6">
        <f>IF(O331="","vazio",IF(AND(ISNUMBER(FIND("@",O331)),ISNUMBER(FIND(".",MID(O331,FIND("@",O331),99))),NOT(ISNUMBER(FIND(" ",TRIM(O331)))),NOT(ISNUMBER(FIND(";",O331))),NOT(ISNUMBER(FIND(",",O331)))),"OK","ERRO: um e-mail válido por linha"))</f>
      </c>
      <c r="Z331" s="6">
        <f>IF(AND(J331="",K331=""),"",IF(AND(J331&lt;&gt;"",K331&lt;&gt;""),"OK","pendente: só um nome (o GR completa ao converter)"))</f>
      </c>
      <c r="AA331" s="6">
        <f>IF(COUNTA(A331:S331)=0,"",IF(AND(A331&lt;&gt;"",B331&lt;&gt;"",C331&lt;&gt;"",D331&lt;&gt;"",E331&lt;&gt;"",F331&lt;&gt;"",G331&lt;&gt;"",H331&lt;&gt;"",OR(J331&lt;&gt;"",K331&lt;&gt;""),OR(M331&lt;&gt;"",N331&lt;&gt;"",O331&lt;&gt;"")),"OK","ERRO: faltam "&amp;IF(A331="","SDR; ","")&amp;IF(B331="","Proprietário; ","")&amp;IF(C331="","Origem; ","")&amp;IF(D331="","Temperatura; ","")&amp;IF(E331="","Segmento; ","")&amp;IF(F331="","Time/Cluster; ","")&amp;IF(G331="","CNPJ; ","")&amp;IF(H331="","Razão Social; ","")&amp;IF(AND(J331="",K331=""),"nome do contato; ","")&amp;IF(AND(M331="",N331="",O331=""),"telefone, celular ou e-mail; ","")))</f>
      </c>
      <c r="AB331" s="6">
        <f>IF(COUNTA(A331:S331)=0,"",IF(AND(U331="OK",V331="OK",LEFT(W331,4)&lt;&gt;"ERRO",LEFT(X331,4)&lt;&gt;"ERRO",LEFT(Y331,4)&lt;&gt;"ERRO",AA331="OK"),"OK","REVISAR"))</f>
      </c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5"/>
      <c r="K332" s="4"/>
      <c r="L332" s="4"/>
      <c r="M332" s="4"/>
      <c r="N332" s="4"/>
      <c r="O332" s="4"/>
      <c r="P332" s="4"/>
      <c r="Q332" s="4"/>
      <c r="R332" s="4"/>
      <c r="S332" s="4"/>
      <c r="T332" s="6">
        <f>IF(G332="","",SUBSTITUTE(SUBSTITUTE(SUBSTITUTE(SUBSTITUTE(SUBSTITUTE(SUBSTITUTE(SUBSTITUTE(TRIM(G332),".",""),"/",""),"-","")," ",""),"(",""),")",""),"+",""))</f>
      </c>
      <c r="U332" s="6">
        <f>IF(T332="","",IF(LEN(T332)&lt;&gt;14,"ERRO: "&amp;LEN(T332)&amp;" dígitos",IF(NOT(ISNUMBER(VALUE(T332))),"ERRO: não numérico",IF(LEN(SUBSTITUTE(T332,LEFT(T332,1),""))=0,"ERRO: dígitos repetidos",IF(AND(VALUE(MID(T332,13,1))=IF(MOD(SUMPRODUCT(--MID(T332,{1,2,3,4,5,6,7,8,9,10,11,12},1),{5,4,3,2,9,8,7,6,5,4,3,2}),11)&lt;2,0,11-MOD(SUMPRODUCT(--MID(T332,{1,2,3,4,5,6,7,8,9,10,11,12},1),{5,4,3,2,9,8,7,6,5,4,3,2}),11)),VALUE(MID(T332,14,1))=IF(MOD(SUMPRODUCT(--MID(T332,{1,2,3,4,5,6,7,8,9,10,11,12,13},1),{6,5,4,3,2,9,8,7,6,5,4,3,2}),11)&lt;2,0,11-MOD(SUMPRODUCT(--MID(T332,{1,2,3,4,5,6,7,8,9,10,11,12,13},1),{6,5,4,3,2,9,8,7,6,5,4,3,2}),11))),"OK","ERRO: dígito verificador")))))</f>
      </c>
      <c r="V332" s="6">
        <f>IF(T332="","",IF(COUNTIF($T$2:$T$1001,T332)&gt;1,"DUPLICADO","OK"))</f>
      </c>
      <c r="W332" s="6">
        <f>IF(M332="","vazio",IF(OR(AND(LEN(SUBSTITUTE(SUBSTITUTE(SUBSTITUTE(SUBSTITUTE(SUBSTITUTE(SUBSTITUTE(SUBSTITUTE(TRIM(M332),".",""),"/",""),"-","")," ",""),"(",""),")",""),"+",""))=10,LEFT(SUBSTITUTE(SUBSTITUTE(SUBSTITUTE(SUBSTITUTE(SUBSTITUTE(SUBSTITUTE(SUBSTITUTE(TRIM(M332),".",""),"/",""),"-","")," ",""),"(",""),")",""),"+",""),1)&lt;&gt;"0"),AND(LEN(SUBSTITUTE(SUBSTITUTE(SUBSTITUTE(SUBSTITUTE(SUBSTITUTE(SUBSTITUTE(SUBSTITUTE(TRIM(M332),".",""),"/",""),"-","")," ",""),"(",""),")",""),"+",""))=11,LEFT(SUBSTITUTE(SUBSTITUTE(SUBSTITUTE(SUBSTITUTE(SUBSTITUTE(SUBSTITUTE(SUBSTITUTE(TRIM(M332),".",""),"/",""),"-","")," ",""),"(",""),")",""),"+",""),4)="0800")),"OK",IF(AND(LEN(SUBSTITUTE(SUBSTITUTE(SUBSTITUTE(SUBSTITUTE(SUBSTITUTE(SUBSTITUTE(SUBSTITUTE(TRIM(M332),".",""),"/",""),"-","")," ",""),"(",""),")",""),"+",""))=11,MID(SUBSTITUTE(SUBSTITUTE(SUBSTITUTE(SUBSTITUTE(SUBSTITUTE(SUBSTITUTE(SUBSTITUTE(TRIM(M332),".",""),"/",""),"-","")," ",""),"(",""),")",""),"+",""),3,1)="9"),"ERRO: é celular, use a coluna Celular","ERRO: DDD + 8 dígitos ou 0800 + 7")))</f>
      </c>
      <c r="X332" s="6">
        <f>IF(N332="","vazio",IF(AND(LEN(SUBSTITUTE(SUBSTITUTE(SUBSTITUTE(SUBSTITUTE(SUBSTITUTE(SUBSTITUTE(SUBSTITUTE(TRIM(N332),".",""),"/",""),"-","")," ",""),"(",""),")",""),"+",""))=11,MID(SUBSTITUTE(SUBSTITUTE(SUBSTITUTE(SUBSTITUTE(SUBSTITUTE(SUBSTITUTE(SUBSTITUTE(TRIM(N332),".",""),"/",""),"-","")," ",""),"(",""),")",""),"+",""),3,1)="9",LEFT(SUBSTITUTE(SUBSTITUTE(SUBSTITUTE(SUBSTITUTE(SUBSTITUTE(SUBSTITUTE(SUBSTITUTE(TRIM(N332),".",""),"/",""),"-","")," ",""),"(",""),")",""),"+",""),1)&lt;&gt;"0"),"OK",IF(LEN(SUBSTITUTE(SUBSTITUTE(SUBSTITUTE(SUBSTITUTE(SUBSTITUTE(SUBSTITUTE(SUBSTITUTE(TRIM(N332),".",""),"/",""),"-","")," ",""),"(",""),")",""),"+",""))=10,"ERRO: é fixo (ou falta o 9), use a coluna Telefone fixo","ERRO: DDD + 9 + 8 dígitos")))</f>
      </c>
      <c r="Y332" s="6">
        <f>IF(O332="","vazio",IF(AND(ISNUMBER(FIND("@",O332)),ISNUMBER(FIND(".",MID(O332,FIND("@",O332),99))),NOT(ISNUMBER(FIND(" ",TRIM(O332)))),NOT(ISNUMBER(FIND(";",O332))),NOT(ISNUMBER(FIND(",",O332)))),"OK","ERRO: um e-mail válido por linha"))</f>
      </c>
      <c r="Z332" s="6">
        <f>IF(AND(J332="",K332=""),"",IF(AND(J332&lt;&gt;"",K332&lt;&gt;""),"OK","pendente: só um nome (o GR completa ao converter)"))</f>
      </c>
      <c r="AA332" s="6">
        <f>IF(COUNTA(A332:S332)=0,"",IF(AND(A332&lt;&gt;"",B332&lt;&gt;"",C332&lt;&gt;"",D332&lt;&gt;"",E332&lt;&gt;"",F332&lt;&gt;"",G332&lt;&gt;"",H332&lt;&gt;"",OR(J332&lt;&gt;"",K332&lt;&gt;""),OR(M332&lt;&gt;"",N332&lt;&gt;"",O332&lt;&gt;"")),"OK","ERRO: faltam "&amp;IF(A332="","SDR; ","")&amp;IF(B332="","Proprietário; ","")&amp;IF(C332="","Origem; ","")&amp;IF(D332="","Temperatura; ","")&amp;IF(E332="","Segmento; ","")&amp;IF(F332="","Time/Cluster; ","")&amp;IF(G332="","CNPJ; ","")&amp;IF(H332="","Razão Social; ","")&amp;IF(AND(J332="",K332=""),"nome do contato; ","")&amp;IF(AND(M332="",N332="",O332=""),"telefone, celular ou e-mail; ","")))</f>
      </c>
      <c r="AB332" s="6">
        <f>IF(COUNTA(A332:S332)=0,"",IF(AND(U332="OK",V332="OK",LEFT(W332,4)&lt;&gt;"ERRO",LEFT(X332,4)&lt;&gt;"ERRO",LEFT(Y332,4)&lt;&gt;"ERRO",AA332="OK"),"OK","REVISAR"))</f>
      </c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5"/>
      <c r="K333" s="4"/>
      <c r="L333" s="4"/>
      <c r="M333" s="4"/>
      <c r="N333" s="4"/>
      <c r="O333" s="4"/>
      <c r="P333" s="4"/>
      <c r="Q333" s="4"/>
      <c r="R333" s="4"/>
      <c r="S333" s="4"/>
      <c r="T333" s="6">
        <f>IF(G333="","",SUBSTITUTE(SUBSTITUTE(SUBSTITUTE(SUBSTITUTE(SUBSTITUTE(SUBSTITUTE(SUBSTITUTE(TRIM(G333),".",""),"/",""),"-","")," ",""),"(",""),")",""),"+",""))</f>
      </c>
      <c r="U333" s="6">
        <f>IF(T333="","",IF(LEN(T333)&lt;&gt;14,"ERRO: "&amp;LEN(T333)&amp;" dígitos",IF(NOT(ISNUMBER(VALUE(T333))),"ERRO: não numérico",IF(LEN(SUBSTITUTE(T333,LEFT(T333,1),""))=0,"ERRO: dígitos repetidos",IF(AND(VALUE(MID(T333,13,1))=IF(MOD(SUMPRODUCT(--MID(T333,{1,2,3,4,5,6,7,8,9,10,11,12},1),{5,4,3,2,9,8,7,6,5,4,3,2}),11)&lt;2,0,11-MOD(SUMPRODUCT(--MID(T333,{1,2,3,4,5,6,7,8,9,10,11,12},1),{5,4,3,2,9,8,7,6,5,4,3,2}),11)),VALUE(MID(T333,14,1))=IF(MOD(SUMPRODUCT(--MID(T333,{1,2,3,4,5,6,7,8,9,10,11,12,13},1),{6,5,4,3,2,9,8,7,6,5,4,3,2}),11)&lt;2,0,11-MOD(SUMPRODUCT(--MID(T333,{1,2,3,4,5,6,7,8,9,10,11,12,13},1),{6,5,4,3,2,9,8,7,6,5,4,3,2}),11))),"OK","ERRO: dígito verificador")))))</f>
      </c>
      <c r="V333" s="6">
        <f>IF(T333="","",IF(COUNTIF($T$2:$T$1001,T333)&gt;1,"DUPLICADO","OK"))</f>
      </c>
      <c r="W333" s="6">
        <f>IF(M333="","vazio",IF(OR(AND(LEN(SUBSTITUTE(SUBSTITUTE(SUBSTITUTE(SUBSTITUTE(SUBSTITUTE(SUBSTITUTE(SUBSTITUTE(TRIM(M333),".",""),"/",""),"-","")," ",""),"(",""),")",""),"+",""))=10,LEFT(SUBSTITUTE(SUBSTITUTE(SUBSTITUTE(SUBSTITUTE(SUBSTITUTE(SUBSTITUTE(SUBSTITUTE(TRIM(M333),".",""),"/",""),"-","")," ",""),"(",""),")",""),"+",""),1)&lt;&gt;"0"),AND(LEN(SUBSTITUTE(SUBSTITUTE(SUBSTITUTE(SUBSTITUTE(SUBSTITUTE(SUBSTITUTE(SUBSTITUTE(TRIM(M333),".",""),"/",""),"-","")," ",""),"(",""),")",""),"+",""))=11,LEFT(SUBSTITUTE(SUBSTITUTE(SUBSTITUTE(SUBSTITUTE(SUBSTITUTE(SUBSTITUTE(SUBSTITUTE(TRIM(M333),".",""),"/",""),"-","")," ",""),"(",""),")",""),"+",""),4)="0800")),"OK",IF(AND(LEN(SUBSTITUTE(SUBSTITUTE(SUBSTITUTE(SUBSTITUTE(SUBSTITUTE(SUBSTITUTE(SUBSTITUTE(TRIM(M333),".",""),"/",""),"-","")," ",""),"(",""),")",""),"+",""))=11,MID(SUBSTITUTE(SUBSTITUTE(SUBSTITUTE(SUBSTITUTE(SUBSTITUTE(SUBSTITUTE(SUBSTITUTE(TRIM(M333),".",""),"/",""),"-","")," ",""),"(",""),")",""),"+",""),3,1)="9"),"ERRO: é celular, use a coluna Celular","ERRO: DDD + 8 dígitos ou 0800 + 7")))</f>
      </c>
      <c r="X333" s="6">
        <f>IF(N333="","vazio",IF(AND(LEN(SUBSTITUTE(SUBSTITUTE(SUBSTITUTE(SUBSTITUTE(SUBSTITUTE(SUBSTITUTE(SUBSTITUTE(TRIM(N333),".",""),"/",""),"-","")," ",""),"(",""),")",""),"+",""))=11,MID(SUBSTITUTE(SUBSTITUTE(SUBSTITUTE(SUBSTITUTE(SUBSTITUTE(SUBSTITUTE(SUBSTITUTE(TRIM(N333),".",""),"/",""),"-","")," ",""),"(",""),")",""),"+",""),3,1)="9",LEFT(SUBSTITUTE(SUBSTITUTE(SUBSTITUTE(SUBSTITUTE(SUBSTITUTE(SUBSTITUTE(SUBSTITUTE(TRIM(N333),".",""),"/",""),"-","")," ",""),"(",""),")",""),"+",""),1)&lt;&gt;"0"),"OK",IF(LEN(SUBSTITUTE(SUBSTITUTE(SUBSTITUTE(SUBSTITUTE(SUBSTITUTE(SUBSTITUTE(SUBSTITUTE(TRIM(N333),".",""),"/",""),"-","")," ",""),"(",""),")",""),"+",""))=10,"ERRO: é fixo (ou falta o 9), use a coluna Telefone fixo","ERRO: DDD + 9 + 8 dígitos")))</f>
      </c>
      <c r="Y333" s="6">
        <f>IF(O333="","vazio",IF(AND(ISNUMBER(FIND("@",O333)),ISNUMBER(FIND(".",MID(O333,FIND("@",O333),99))),NOT(ISNUMBER(FIND(" ",TRIM(O333)))),NOT(ISNUMBER(FIND(";",O333))),NOT(ISNUMBER(FIND(",",O333)))),"OK","ERRO: um e-mail válido por linha"))</f>
      </c>
      <c r="Z333" s="6">
        <f>IF(AND(J333="",K333=""),"",IF(AND(J333&lt;&gt;"",K333&lt;&gt;""),"OK","pendente: só um nome (o GR completa ao converter)"))</f>
      </c>
      <c r="AA333" s="6">
        <f>IF(COUNTA(A333:S333)=0,"",IF(AND(A333&lt;&gt;"",B333&lt;&gt;"",C333&lt;&gt;"",D333&lt;&gt;"",E333&lt;&gt;"",F333&lt;&gt;"",G333&lt;&gt;"",H333&lt;&gt;"",OR(J333&lt;&gt;"",K333&lt;&gt;""),OR(M333&lt;&gt;"",N333&lt;&gt;"",O333&lt;&gt;"")),"OK","ERRO: faltam "&amp;IF(A333="","SDR; ","")&amp;IF(B333="","Proprietário; ","")&amp;IF(C333="","Origem; ","")&amp;IF(D333="","Temperatura; ","")&amp;IF(E333="","Segmento; ","")&amp;IF(F333="","Time/Cluster; ","")&amp;IF(G333="","CNPJ; ","")&amp;IF(H333="","Razão Social; ","")&amp;IF(AND(J333="",K333=""),"nome do contato; ","")&amp;IF(AND(M333="",N333="",O333=""),"telefone, celular ou e-mail; ","")))</f>
      </c>
      <c r="AB333" s="6">
        <f>IF(COUNTA(A333:S333)=0,"",IF(AND(U333="OK",V333="OK",LEFT(W333,4)&lt;&gt;"ERRO",LEFT(X333,4)&lt;&gt;"ERRO",LEFT(Y333,4)&lt;&gt;"ERRO",AA333="OK"),"OK","REVISAR"))</f>
      </c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5"/>
      <c r="K334" s="4"/>
      <c r="L334" s="4"/>
      <c r="M334" s="4"/>
      <c r="N334" s="4"/>
      <c r="O334" s="4"/>
      <c r="P334" s="4"/>
      <c r="Q334" s="4"/>
      <c r="R334" s="4"/>
      <c r="S334" s="4"/>
      <c r="T334" s="6">
        <f>IF(G334="","",SUBSTITUTE(SUBSTITUTE(SUBSTITUTE(SUBSTITUTE(SUBSTITUTE(SUBSTITUTE(SUBSTITUTE(TRIM(G334),".",""),"/",""),"-","")," ",""),"(",""),")",""),"+",""))</f>
      </c>
      <c r="U334" s="6">
        <f>IF(T334="","",IF(LEN(T334)&lt;&gt;14,"ERRO: "&amp;LEN(T334)&amp;" dígitos",IF(NOT(ISNUMBER(VALUE(T334))),"ERRO: não numérico",IF(LEN(SUBSTITUTE(T334,LEFT(T334,1),""))=0,"ERRO: dígitos repetidos",IF(AND(VALUE(MID(T334,13,1))=IF(MOD(SUMPRODUCT(--MID(T334,{1,2,3,4,5,6,7,8,9,10,11,12},1),{5,4,3,2,9,8,7,6,5,4,3,2}),11)&lt;2,0,11-MOD(SUMPRODUCT(--MID(T334,{1,2,3,4,5,6,7,8,9,10,11,12},1),{5,4,3,2,9,8,7,6,5,4,3,2}),11)),VALUE(MID(T334,14,1))=IF(MOD(SUMPRODUCT(--MID(T334,{1,2,3,4,5,6,7,8,9,10,11,12,13},1),{6,5,4,3,2,9,8,7,6,5,4,3,2}),11)&lt;2,0,11-MOD(SUMPRODUCT(--MID(T334,{1,2,3,4,5,6,7,8,9,10,11,12,13},1),{6,5,4,3,2,9,8,7,6,5,4,3,2}),11))),"OK","ERRO: dígito verificador")))))</f>
      </c>
      <c r="V334" s="6">
        <f>IF(T334="","",IF(COUNTIF($T$2:$T$1001,T334)&gt;1,"DUPLICADO","OK"))</f>
      </c>
      <c r="W334" s="6">
        <f>IF(M334="","vazio",IF(OR(AND(LEN(SUBSTITUTE(SUBSTITUTE(SUBSTITUTE(SUBSTITUTE(SUBSTITUTE(SUBSTITUTE(SUBSTITUTE(TRIM(M334),".",""),"/",""),"-","")," ",""),"(",""),")",""),"+",""))=10,LEFT(SUBSTITUTE(SUBSTITUTE(SUBSTITUTE(SUBSTITUTE(SUBSTITUTE(SUBSTITUTE(SUBSTITUTE(TRIM(M334),".",""),"/",""),"-","")," ",""),"(",""),")",""),"+",""),1)&lt;&gt;"0"),AND(LEN(SUBSTITUTE(SUBSTITUTE(SUBSTITUTE(SUBSTITUTE(SUBSTITUTE(SUBSTITUTE(SUBSTITUTE(TRIM(M334),".",""),"/",""),"-","")," ",""),"(",""),")",""),"+",""))=11,LEFT(SUBSTITUTE(SUBSTITUTE(SUBSTITUTE(SUBSTITUTE(SUBSTITUTE(SUBSTITUTE(SUBSTITUTE(TRIM(M334),".",""),"/",""),"-","")," ",""),"(",""),")",""),"+",""),4)="0800")),"OK",IF(AND(LEN(SUBSTITUTE(SUBSTITUTE(SUBSTITUTE(SUBSTITUTE(SUBSTITUTE(SUBSTITUTE(SUBSTITUTE(TRIM(M334),".",""),"/",""),"-","")," ",""),"(",""),")",""),"+",""))=11,MID(SUBSTITUTE(SUBSTITUTE(SUBSTITUTE(SUBSTITUTE(SUBSTITUTE(SUBSTITUTE(SUBSTITUTE(TRIM(M334),".",""),"/",""),"-","")," ",""),"(",""),")",""),"+",""),3,1)="9"),"ERRO: é celular, use a coluna Celular","ERRO: DDD + 8 dígitos ou 0800 + 7")))</f>
      </c>
      <c r="X334" s="6">
        <f>IF(N334="","vazio",IF(AND(LEN(SUBSTITUTE(SUBSTITUTE(SUBSTITUTE(SUBSTITUTE(SUBSTITUTE(SUBSTITUTE(SUBSTITUTE(TRIM(N334),".",""),"/",""),"-","")," ",""),"(",""),")",""),"+",""))=11,MID(SUBSTITUTE(SUBSTITUTE(SUBSTITUTE(SUBSTITUTE(SUBSTITUTE(SUBSTITUTE(SUBSTITUTE(TRIM(N334),".",""),"/",""),"-","")," ",""),"(",""),")",""),"+",""),3,1)="9",LEFT(SUBSTITUTE(SUBSTITUTE(SUBSTITUTE(SUBSTITUTE(SUBSTITUTE(SUBSTITUTE(SUBSTITUTE(TRIM(N334),".",""),"/",""),"-","")," ",""),"(",""),")",""),"+",""),1)&lt;&gt;"0"),"OK",IF(LEN(SUBSTITUTE(SUBSTITUTE(SUBSTITUTE(SUBSTITUTE(SUBSTITUTE(SUBSTITUTE(SUBSTITUTE(TRIM(N334),".",""),"/",""),"-","")," ",""),"(",""),")",""),"+",""))=10,"ERRO: é fixo (ou falta o 9), use a coluna Telefone fixo","ERRO: DDD + 9 + 8 dígitos")))</f>
      </c>
      <c r="Y334" s="6">
        <f>IF(O334="","vazio",IF(AND(ISNUMBER(FIND("@",O334)),ISNUMBER(FIND(".",MID(O334,FIND("@",O334),99))),NOT(ISNUMBER(FIND(" ",TRIM(O334)))),NOT(ISNUMBER(FIND(";",O334))),NOT(ISNUMBER(FIND(",",O334)))),"OK","ERRO: um e-mail válido por linha"))</f>
      </c>
      <c r="Z334" s="6">
        <f>IF(AND(J334="",K334=""),"",IF(AND(J334&lt;&gt;"",K334&lt;&gt;""),"OK","pendente: só um nome (o GR completa ao converter)"))</f>
      </c>
      <c r="AA334" s="6">
        <f>IF(COUNTA(A334:S334)=0,"",IF(AND(A334&lt;&gt;"",B334&lt;&gt;"",C334&lt;&gt;"",D334&lt;&gt;"",E334&lt;&gt;"",F334&lt;&gt;"",G334&lt;&gt;"",H334&lt;&gt;"",OR(J334&lt;&gt;"",K334&lt;&gt;""),OR(M334&lt;&gt;"",N334&lt;&gt;"",O334&lt;&gt;"")),"OK","ERRO: faltam "&amp;IF(A334="","SDR; ","")&amp;IF(B334="","Proprietário; ","")&amp;IF(C334="","Origem; ","")&amp;IF(D334="","Temperatura; ","")&amp;IF(E334="","Segmento; ","")&amp;IF(F334="","Time/Cluster; ","")&amp;IF(G334="","CNPJ; ","")&amp;IF(H334="","Razão Social; ","")&amp;IF(AND(J334="",K334=""),"nome do contato; ","")&amp;IF(AND(M334="",N334="",O334=""),"telefone, celular ou e-mail; ","")))</f>
      </c>
      <c r="AB334" s="6">
        <f>IF(COUNTA(A334:S334)=0,"",IF(AND(U334="OK",V334="OK",LEFT(W334,4)&lt;&gt;"ERRO",LEFT(X334,4)&lt;&gt;"ERRO",LEFT(Y334,4)&lt;&gt;"ERRO",AA334="OK"),"OK","REVISAR"))</f>
      </c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5"/>
      <c r="K335" s="4"/>
      <c r="L335" s="4"/>
      <c r="M335" s="4"/>
      <c r="N335" s="4"/>
      <c r="O335" s="4"/>
      <c r="P335" s="4"/>
      <c r="Q335" s="4"/>
      <c r="R335" s="4"/>
      <c r="S335" s="4"/>
      <c r="T335" s="6">
        <f>IF(G335="","",SUBSTITUTE(SUBSTITUTE(SUBSTITUTE(SUBSTITUTE(SUBSTITUTE(SUBSTITUTE(SUBSTITUTE(TRIM(G335),".",""),"/",""),"-","")," ",""),"(",""),")",""),"+",""))</f>
      </c>
      <c r="U335" s="6">
        <f>IF(T335="","",IF(LEN(T335)&lt;&gt;14,"ERRO: "&amp;LEN(T335)&amp;" dígitos",IF(NOT(ISNUMBER(VALUE(T335))),"ERRO: não numérico",IF(LEN(SUBSTITUTE(T335,LEFT(T335,1),""))=0,"ERRO: dígitos repetidos",IF(AND(VALUE(MID(T335,13,1))=IF(MOD(SUMPRODUCT(--MID(T335,{1,2,3,4,5,6,7,8,9,10,11,12},1),{5,4,3,2,9,8,7,6,5,4,3,2}),11)&lt;2,0,11-MOD(SUMPRODUCT(--MID(T335,{1,2,3,4,5,6,7,8,9,10,11,12},1),{5,4,3,2,9,8,7,6,5,4,3,2}),11)),VALUE(MID(T335,14,1))=IF(MOD(SUMPRODUCT(--MID(T335,{1,2,3,4,5,6,7,8,9,10,11,12,13},1),{6,5,4,3,2,9,8,7,6,5,4,3,2}),11)&lt;2,0,11-MOD(SUMPRODUCT(--MID(T335,{1,2,3,4,5,6,7,8,9,10,11,12,13},1),{6,5,4,3,2,9,8,7,6,5,4,3,2}),11))),"OK","ERRO: dígito verificador")))))</f>
      </c>
      <c r="V335" s="6">
        <f>IF(T335="","",IF(COUNTIF($T$2:$T$1001,T335)&gt;1,"DUPLICADO","OK"))</f>
      </c>
      <c r="W335" s="6">
        <f>IF(M335="","vazio",IF(OR(AND(LEN(SUBSTITUTE(SUBSTITUTE(SUBSTITUTE(SUBSTITUTE(SUBSTITUTE(SUBSTITUTE(SUBSTITUTE(TRIM(M335),".",""),"/",""),"-","")," ",""),"(",""),")",""),"+",""))=10,LEFT(SUBSTITUTE(SUBSTITUTE(SUBSTITUTE(SUBSTITUTE(SUBSTITUTE(SUBSTITUTE(SUBSTITUTE(TRIM(M335),".",""),"/",""),"-","")," ",""),"(",""),")",""),"+",""),1)&lt;&gt;"0"),AND(LEN(SUBSTITUTE(SUBSTITUTE(SUBSTITUTE(SUBSTITUTE(SUBSTITUTE(SUBSTITUTE(SUBSTITUTE(TRIM(M335),".",""),"/",""),"-","")," ",""),"(",""),")",""),"+",""))=11,LEFT(SUBSTITUTE(SUBSTITUTE(SUBSTITUTE(SUBSTITUTE(SUBSTITUTE(SUBSTITUTE(SUBSTITUTE(TRIM(M335),".",""),"/",""),"-","")," ",""),"(",""),")",""),"+",""),4)="0800")),"OK",IF(AND(LEN(SUBSTITUTE(SUBSTITUTE(SUBSTITUTE(SUBSTITUTE(SUBSTITUTE(SUBSTITUTE(SUBSTITUTE(TRIM(M335),".",""),"/",""),"-","")," ",""),"(",""),")",""),"+",""))=11,MID(SUBSTITUTE(SUBSTITUTE(SUBSTITUTE(SUBSTITUTE(SUBSTITUTE(SUBSTITUTE(SUBSTITUTE(TRIM(M335),".",""),"/",""),"-","")," ",""),"(",""),")",""),"+",""),3,1)="9"),"ERRO: é celular, use a coluna Celular","ERRO: DDD + 8 dígitos ou 0800 + 7")))</f>
      </c>
      <c r="X335" s="6">
        <f>IF(N335="","vazio",IF(AND(LEN(SUBSTITUTE(SUBSTITUTE(SUBSTITUTE(SUBSTITUTE(SUBSTITUTE(SUBSTITUTE(SUBSTITUTE(TRIM(N335),".",""),"/",""),"-","")," ",""),"(",""),")",""),"+",""))=11,MID(SUBSTITUTE(SUBSTITUTE(SUBSTITUTE(SUBSTITUTE(SUBSTITUTE(SUBSTITUTE(SUBSTITUTE(TRIM(N335),".",""),"/",""),"-","")," ",""),"(",""),")",""),"+",""),3,1)="9",LEFT(SUBSTITUTE(SUBSTITUTE(SUBSTITUTE(SUBSTITUTE(SUBSTITUTE(SUBSTITUTE(SUBSTITUTE(TRIM(N335),".",""),"/",""),"-","")," ",""),"(",""),")",""),"+",""),1)&lt;&gt;"0"),"OK",IF(LEN(SUBSTITUTE(SUBSTITUTE(SUBSTITUTE(SUBSTITUTE(SUBSTITUTE(SUBSTITUTE(SUBSTITUTE(TRIM(N335),".",""),"/",""),"-","")," ",""),"(",""),")",""),"+",""))=10,"ERRO: é fixo (ou falta o 9), use a coluna Telefone fixo","ERRO: DDD + 9 + 8 dígitos")))</f>
      </c>
      <c r="Y335" s="6">
        <f>IF(O335="","vazio",IF(AND(ISNUMBER(FIND("@",O335)),ISNUMBER(FIND(".",MID(O335,FIND("@",O335),99))),NOT(ISNUMBER(FIND(" ",TRIM(O335)))),NOT(ISNUMBER(FIND(";",O335))),NOT(ISNUMBER(FIND(",",O335)))),"OK","ERRO: um e-mail válido por linha"))</f>
      </c>
      <c r="Z335" s="6">
        <f>IF(AND(J335="",K335=""),"",IF(AND(J335&lt;&gt;"",K335&lt;&gt;""),"OK","pendente: só um nome (o GR completa ao converter)"))</f>
      </c>
      <c r="AA335" s="6">
        <f>IF(COUNTA(A335:S335)=0,"",IF(AND(A335&lt;&gt;"",B335&lt;&gt;"",C335&lt;&gt;"",D335&lt;&gt;"",E335&lt;&gt;"",F335&lt;&gt;"",G335&lt;&gt;"",H335&lt;&gt;"",OR(J335&lt;&gt;"",K335&lt;&gt;""),OR(M335&lt;&gt;"",N335&lt;&gt;"",O335&lt;&gt;"")),"OK","ERRO: faltam "&amp;IF(A335="","SDR; ","")&amp;IF(B335="","Proprietário; ","")&amp;IF(C335="","Origem; ","")&amp;IF(D335="","Temperatura; ","")&amp;IF(E335="","Segmento; ","")&amp;IF(F335="","Time/Cluster; ","")&amp;IF(G335="","CNPJ; ","")&amp;IF(H335="","Razão Social; ","")&amp;IF(AND(J335="",K335=""),"nome do contato; ","")&amp;IF(AND(M335="",N335="",O335=""),"telefone, celular ou e-mail; ","")))</f>
      </c>
      <c r="AB335" s="6">
        <f>IF(COUNTA(A335:S335)=0,"",IF(AND(U335="OK",V335="OK",LEFT(W335,4)&lt;&gt;"ERRO",LEFT(X335,4)&lt;&gt;"ERRO",LEFT(Y335,4)&lt;&gt;"ERRO",AA335="OK"),"OK","REVISAR"))</f>
      </c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5"/>
      <c r="K336" s="4"/>
      <c r="L336" s="4"/>
      <c r="M336" s="4"/>
      <c r="N336" s="4"/>
      <c r="O336" s="4"/>
      <c r="P336" s="4"/>
      <c r="Q336" s="4"/>
      <c r="R336" s="4"/>
      <c r="S336" s="4"/>
      <c r="T336" s="6">
        <f>IF(G336="","",SUBSTITUTE(SUBSTITUTE(SUBSTITUTE(SUBSTITUTE(SUBSTITUTE(SUBSTITUTE(SUBSTITUTE(TRIM(G336),".",""),"/",""),"-","")," ",""),"(",""),")",""),"+",""))</f>
      </c>
      <c r="U336" s="6">
        <f>IF(T336="","",IF(LEN(T336)&lt;&gt;14,"ERRO: "&amp;LEN(T336)&amp;" dígitos",IF(NOT(ISNUMBER(VALUE(T336))),"ERRO: não numérico",IF(LEN(SUBSTITUTE(T336,LEFT(T336,1),""))=0,"ERRO: dígitos repetidos",IF(AND(VALUE(MID(T336,13,1))=IF(MOD(SUMPRODUCT(--MID(T336,{1,2,3,4,5,6,7,8,9,10,11,12},1),{5,4,3,2,9,8,7,6,5,4,3,2}),11)&lt;2,0,11-MOD(SUMPRODUCT(--MID(T336,{1,2,3,4,5,6,7,8,9,10,11,12},1),{5,4,3,2,9,8,7,6,5,4,3,2}),11)),VALUE(MID(T336,14,1))=IF(MOD(SUMPRODUCT(--MID(T336,{1,2,3,4,5,6,7,8,9,10,11,12,13},1),{6,5,4,3,2,9,8,7,6,5,4,3,2}),11)&lt;2,0,11-MOD(SUMPRODUCT(--MID(T336,{1,2,3,4,5,6,7,8,9,10,11,12,13},1),{6,5,4,3,2,9,8,7,6,5,4,3,2}),11))),"OK","ERRO: dígito verificador")))))</f>
      </c>
      <c r="V336" s="6">
        <f>IF(T336="","",IF(COUNTIF($T$2:$T$1001,T336)&gt;1,"DUPLICADO","OK"))</f>
      </c>
      <c r="W336" s="6">
        <f>IF(M336="","vazio",IF(OR(AND(LEN(SUBSTITUTE(SUBSTITUTE(SUBSTITUTE(SUBSTITUTE(SUBSTITUTE(SUBSTITUTE(SUBSTITUTE(TRIM(M336),".",""),"/",""),"-","")," ",""),"(",""),")",""),"+",""))=10,LEFT(SUBSTITUTE(SUBSTITUTE(SUBSTITUTE(SUBSTITUTE(SUBSTITUTE(SUBSTITUTE(SUBSTITUTE(TRIM(M336),".",""),"/",""),"-","")," ",""),"(",""),")",""),"+",""),1)&lt;&gt;"0"),AND(LEN(SUBSTITUTE(SUBSTITUTE(SUBSTITUTE(SUBSTITUTE(SUBSTITUTE(SUBSTITUTE(SUBSTITUTE(TRIM(M336),".",""),"/",""),"-","")," ",""),"(",""),")",""),"+",""))=11,LEFT(SUBSTITUTE(SUBSTITUTE(SUBSTITUTE(SUBSTITUTE(SUBSTITUTE(SUBSTITUTE(SUBSTITUTE(TRIM(M336),".",""),"/",""),"-","")," ",""),"(",""),")",""),"+",""),4)="0800")),"OK",IF(AND(LEN(SUBSTITUTE(SUBSTITUTE(SUBSTITUTE(SUBSTITUTE(SUBSTITUTE(SUBSTITUTE(SUBSTITUTE(TRIM(M336),".",""),"/",""),"-","")," ",""),"(",""),")",""),"+",""))=11,MID(SUBSTITUTE(SUBSTITUTE(SUBSTITUTE(SUBSTITUTE(SUBSTITUTE(SUBSTITUTE(SUBSTITUTE(TRIM(M336),".",""),"/",""),"-","")," ",""),"(",""),")",""),"+",""),3,1)="9"),"ERRO: é celular, use a coluna Celular","ERRO: DDD + 8 dígitos ou 0800 + 7")))</f>
      </c>
      <c r="X336" s="6">
        <f>IF(N336="","vazio",IF(AND(LEN(SUBSTITUTE(SUBSTITUTE(SUBSTITUTE(SUBSTITUTE(SUBSTITUTE(SUBSTITUTE(SUBSTITUTE(TRIM(N336),".",""),"/",""),"-","")," ",""),"(",""),")",""),"+",""))=11,MID(SUBSTITUTE(SUBSTITUTE(SUBSTITUTE(SUBSTITUTE(SUBSTITUTE(SUBSTITUTE(SUBSTITUTE(TRIM(N336),".",""),"/",""),"-","")," ",""),"(",""),")",""),"+",""),3,1)="9",LEFT(SUBSTITUTE(SUBSTITUTE(SUBSTITUTE(SUBSTITUTE(SUBSTITUTE(SUBSTITUTE(SUBSTITUTE(TRIM(N336),".",""),"/",""),"-","")," ",""),"(",""),")",""),"+",""),1)&lt;&gt;"0"),"OK",IF(LEN(SUBSTITUTE(SUBSTITUTE(SUBSTITUTE(SUBSTITUTE(SUBSTITUTE(SUBSTITUTE(SUBSTITUTE(TRIM(N336),".",""),"/",""),"-","")," ",""),"(",""),")",""),"+",""))=10,"ERRO: é fixo (ou falta o 9), use a coluna Telefone fixo","ERRO: DDD + 9 + 8 dígitos")))</f>
      </c>
      <c r="Y336" s="6">
        <f>IF(O336="","vazio",IF(AND(ISNUMBER(FIND("@",O336)),ISNUMBER(FIND(".",MID(O336,FIND("@",O336),99))),NOT(ISNUMBER(FIND(" ",TRIM(O336)))),NOT(ISNUMBER(FIND(";",O336))),NOT(ISNUMBER(FIND(",",O336)))),"OK","ERRO: um e-mail válido por linha"))</f>
      </c>
      <c r="Z336" s="6">
        <f>IF(AND(J336="",K336=""),"",IF(AND(J336&lt;&gt;"",K336&lt;&gt;""),"OK","pendente: só um nome (o GR completa ao converter)"))</f>
      </c>
      <c r="AA336" s="6">
        <f>IF(COUNTA(A336:S336)=0,"",IF(AND(A336&lt;&gt;"",B336&lt;&gt;"",C336&lt;&gt;"",D336&lt;&gt;"",E336&lt;&gt;"",F336&lt;&gt;"",G336&lt;&gt;"",H336&lt;&gt;"",OR(J336&lt;&gt;"",K336&lt;&gt;""),OR(M336&lt;&gt;"",N336&lt;&gt;"",O336&lt;&gt;"")),"OK","ERRO: faltam "&amp;IF(A336="","SDR; ","")&amp;IF(B336="","Proprietário; ","")&amp;IF(C336="","Origem; ","")&amp;IF(D336="","Temperatura; ","")&amp;IF(E336="","Segmento; ","")&amp;IF(F336="","Time/Cluster; ","")&amp;IF(G336="","CNPJ; ","")&amp;IF(H336="","Razão Social; ","")&amp;IF(AND(J336="",K336=""),"nome do contato; ","")&amp;IF(AND(M336="",N336="",O336=""),"telefone, celular ou e-mail; ","")))</f>
      </c>
      <c r="AB336" s="6">
        <f>IF(COUNTA(A336:S336)=0,"",IF(AND(U336="OK",V336="OK",LEFT(W336,4)&lt;&gt;"ERRO",LEFT(X336,4)&lt;&gt;"ERRO",LEFT(Y336,4)&lt;&gt;"ERRO",AA336="OK"),"OK","REVISAR"))</f>
      </c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5"/>
      <c r="K337" s="4"/>
      <c r="L337" s="4"/>
      <c r="M337" s="4"/>
      <c r="N337" s="4"/>
      <c r="O337" s="4"/>
      <c r="P337" s="4"/>
      <c r="Q337" s="4"/>
      <c r="R337" s="4"/>
      <c r="S337" s="4"/>
      <c r="T337" s="6">
        <f>IF(G337="","",SUBSTITUTE(SUBSTITUTE(SUBSTITUTE(SUBSTITUTE(SUBSTITUTE(SUBSTITUTE(SUBSTITUTE(TRIM(G337),".",""),"/",""),"-","")," ",""),"(",""),")",""),"+",""))</f>
      </c>
      <c r="U337" s="6">
        <f>IF(T337="","",IF(LEN(T337)&lt;&gt;14,"ERRO: "&amp;LEN(T337)&amp;" dígitos",IF(NOT(ISNUMBER(VALUE(T337))),"ERRO: não numérico",IF(LEN(SUBSTITUTE(T337,LEFT(T337,1),""))=0,"ERRO: dígitos repetidos",IF(AND(VALUE(MID(T337,13,1))=IF(MOD(SUMPRODUCT(--MID(T337,{1,2,3,4,5,6,7,8,9,10,11,12},1),{5,4,3,2,9,8,7,6,5,4,3,2}),11)&lt;2,0,11-MOD(SUMPRODUCT(--MID(T337,{1,2,3,4,5,6,7,8,9,10,11,12},1),{5,4,3,2,9,8,7,6,5,4,3,2}),11)),VALUE(MID(T337,14,1))=IF(MOD(SUMPRODUCT(--MID(T337,{1,2,3,4,5,6,7,8,9,10,11,12,13},1),{6,5,4,3,2,9,8,7,6,5,4,3,2}),11)&lt;2,0,11-MOD(SUMPRODUCT(--MID(T337,{1,2,3,4,5,6,7,8,9,10,11,12,13},1),{6,5,4,3,2,9,8,7,6,5,4,3,2}),11))),"OK","ERRO: dígito verificador")))))</f>
      </c>
      <c r="V337" s="6">
        <f>IF(T337="","",IF(COUNTIF($T$2:$T$1001,T337)&gt;1,"DUPLICADO","OK"))</f>
      </c>
      <c r="W337" s="6">
        <f>IF(M337="","vazio",IF(OR(AND(LEN(SUBSTITUTE(SUBSTITUTE(SUBSTITUTE(SUBSTITUTE(SUBSTITUTE(SUBSTITUTE(SUBSTITUTE(TRIM(M337),".",""),"/",""),"-","")," ",""),"(",""),")",""),"+",""))=10,LEFT(SUBSTITUTE(SUBSTITUTE(SUBSTITUTE(SUBSTITUTE(SUBSTITUTE(SUBSTITUTE(SUBSTITUTE(TRIM(M337),".",""),"/",""),"-","")," ",""),"(",""),")",""),"+",""),1)&lt;&gt;"0"),AND(LEN(SUBSTITUTE(SUBSTITUTE(SUBSTITUTE(SUBSTITUTE(SUBSTITUTE(SUBSTITUTE(SUBSTITUTE(TRIM(M337),".",""),"/",""),"-","")," ",""),"(",""),")",""),"+",""))=11,LEFT(SUBSTITUTE(SUBSTITUTE(SUBSTITUTE(SUBSTITUTE(SUBSTITUTE(SUBSTITUTE(SUBSTITUTE(TRIM(M337),".",""),"/",""),"-","")," ",""),"(",""),")",""),"+",""),4)="0800")),"OK",IF(AND(LEN(SUBSTITUTE(SUBSTITUTE(SUBSTITUTE(SUBSTITUTE(SUBSTITUTE(SUBSTITUTE(SUBSTITUTE(TRIM(M337),".",""),"/",""),"-","")," ",""),"(",""),")",""),"+",""))=11,MID(SUBSTITUTE(SUBSTITUTE(SUBSTITUTE(SUBSTITUTE(SUBSTITUTE(SUBSTITUTE(SUBSTITUTE(TRIM(M337),".",""),"/",""),"-","")," ",""),"(",""),")",""),"+",""),3,1)="9"),"ERRO: é celular, use a coluna Celular","ERRO: DDD + 8 dígitos ou 0800 + 7")))</f>
      </c>
      <c r="X337" s="6">
        <f>IF(N337="","vazio",IF(AND(LEN(SUBSTITUTE(SUBSTITUTE(SUBSTITUTE(SUBSTITUTE(SUBSTITUTE(SUBSTITUTE(SUBSTITUTE(TRIM(N337),".",""),"/",""),"-","")," ",""),"(",""),")",""),"+",""))=11,MID(SUBSTITUTE(SUBSTITUTE(SUBSTITUTE(SUBSTITUTE(SUBSTITUTE(SUBSTITUTE(SUBSTITUTE(TRIM(N337),".",""),"/",""),"-","")," ",""),"(",""),")",""),"+",""),3,1)="9",LEFT(SUBSTITUTE(SUBSTITUTE(SUBSTITUTE(SUBSTITUTE(SUBSTITUTE(SUBSTITUTE(SUBSTITUTE(TRIM(N337),".",""),"/",""),"-","")," ",""),"(",""),")",""),"+",""),1)&lt;&gt;"0"),"OK",IF(LEN(SUBSTITUTE(SUBSTITUTE(SUBSTITUTE(SUBSTITUTE(SUBSTITUTE(SUBSTITUTE(SUBSTITUTE(TRIM(N337),".",""),"/",""),"-","")," ",""),"(",""),")",""),"+",""))=10,"ERRO: é fixo (ou falta o 9), use a coluna Telefone fixo","ERRO: DDD + 9 + 8 dígitos")))</f>
      </c>
      <c r="Y337" s="6">
        <f>IF(O337="","vazio",IF(AND(ISNUMBER(FIND("@",O337)),ISNUMBER(FIND(".",MID(O337,FIND("@",O337),99))),NOT(ISNUMBER(FIND(" ",TRIM(O337)))),NOT(ISNUMBER(FIND(";",O337))),NOT(ISNUMBER(FIND(",",O337)))),"OK","ERRO: um e-mail válido por linha"))</f>
      </c>
      <c r="Z337" s="6">
        <f>IF(AND(J337="",K337=""),"",IF(AND(J337&lt;&gt;"",K337&lt;&gt;""),"OK","pendente: só um nome (o GR completa ao converter)"))</f>
      </c>
      <c r="AA337" s="6">
        <f>IF(COUNTA(A337:S337)=0,"",IF(AND(A337&lt;&gt;"",B337&lt;&gt;"",C337&lt;&gt;"",D337&lt;&gt;"",E337&lt;&gt;"",F337&lt;&gt;"",G337&lt;&gt;"",H337&lt;&gt;"",OR(J337&lt;&gt;"",K337&lt;&gt;""),OR(M337&lt;&gt;"",N337&lt;&gt;"",O337&lt;&gt;"")),"OK","ERRO: faltam "&amp;IF(A337="","SDR; ","")&amp;IF(B337="","Proprietário; ","")&amp;IF(C337="","Origem; ","")&amp;IF(D337="","Temperatura; ","")&amp;IF(E337="","Segmento; ","")&amp;IF(F337="","Time/Cluster; ","")&amp;IF(G337="","CNPJ; ","")&amp;IF(H337="","Razão Social; ","")&amp;IF(AND(J337="",K337=""),"nome do contato; ","")&amp;IF(AND(M337="",N337="",O337=""),"telefone, celular ou e-mail; ","")))</f>
      </c>
      <c r="AB337" s="6">
        <f>IF(COUNTA(A337:S337)=0,"",IF(AND(U337="OK",V337="OK",LEFT(W337,4)&lt;&gt;"ERRO",LEFT(X337,4)&lt;&gt;"ERRO",LEFT(Y337,4)&lt;&gt;"ERRO",AA337="OK"),"OK","REVISAR"))</f>
      </c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5"/>
      <c r="K338" s="4"/>
      <c r="L338" s="4"/>
      <c r="M338" s="4"/>
      <c r="N338" s="4"/>
      <c r="O338" s="4"/>
      <c r="P338" s="4"/>
      <c r="Q338" s="4"/>
      <c r="R338" s="4"/>
      <c r="S338" s="4"/>
      <c r="T338" s="6">
        <f>IF(G338="","",SUBSTITUTE(SUBSTITUTE(SUBSTITUTE(SUBSTITUTE(SUBSTITUTE(SUBSTITUTE(SUBSTITUTE(TRIM(G338),".",""),"/",""),"-","")," ",""),"(",""),")",""),"+",""))</f>
      </c>
      <c r="U338" s="6">
        <f>IF(T338="","",IF(LEN(T338)&lt;&gt;14,"ERRO: "&amp;LEN(T338)&amp;" dígitos",IF(NOT(ISNUMBER(VALUE(T338))),"ERRO: não numérico",IF(LEN(SUBSTITUTE(T338,LEFT(T338,1),""))=0,"ERRO: dígitos repetidos",IF(AND(VALUE(MID(T338,13,1))=IF(MOD(SUMPRODUCT(--MID(T338,{1,2,3,4,5,6,7,8,9,10,11,12},1),{5,4,3,2,9,8,7,6,5,4,3,2}),11)&lt;2,0,11-MOD(SUMPRODUCT(--MID(T338,{1,2,3,4,5,6,7,8,9,10,11,12},1),{5,4,3,2,9,8,7,6,5,4,3,2}),11)),VALUE(MID(T338,14,1))=IF(MOD(SUMPRODUCT(--MID(T338,{1,2,3,4,5,6,7,8,9,10,11,12,13},1),{6,5,4,3,2,9,8,7,6,5,4,3,2}),11)&lt;2,0,11-MOD(SUMPRODUCT(--MID(T338,{1,2,3,4,5,6,7,8,9,10,11,12,13},1),{6,5,4,3,2,9,8,7,6,5,4,3,2}),11))),"OK","ERRO: dígito verificador")))))</f>
      </c>
      <c r="V338" s="6">
        <f>IF(T338="","",IF(COUNTIF($T$2:$T$1001,T338)&gt;1,"DUPLICADO","OK"))</f>
      </c>
      <c r="W338" s="6">
        <f>IF(M338="","vazio",IF(OR(AND(LEN(SUBSTITUTE(SUBSTITUTE(SUBSTITUTE(SUBSTITUTE(SUBSTITUTE(SUBSTITUTE(SUBSTITUTE(TRIM(M338),".",""),"/",""),"-","")," ",""),"(",""),")",""),"+",""))=10,LEFT(SUBSTITUTE(SUBSTITUTE(SUBSTITUTE(SUBSTITUTE(SUBSTITUTE(SUBSTITUTE(SUBSTITUTE(TRIM(M338),".",""),"/",""),"-","")," ",""),"(",""),")",""),"+",""),1)&lt;&gt;"0"),AND(LEN(SUBSTITUTE(SUBSTITUTE(SUBSTITUTE(SUBSTITUTE(SUBSTITUTE(SUBSTITUTE(SUBSTITUTE(TRIM(M338),".",""),"/",""),"-","")," ",""),"(",""),")",""),"+",""))=11,LEFT(SUBSTITUTE(SUBSTITUTE(SUBSTITUTE(SUBSTITUTE(SUBSTITUTE(SUBSTITUTE(SUBSTITUTE(TRIM(M338),".",""),"/",""),"-","")," ",""),"(",""),")",""),"+",""),4)="0800")),"OK",IF(AND(LEN(SUBSTITUTE(SUBSTITUTE(SUBSTITUTE(SUBSTITUTE(SUBSTITUTE(SUBSTITUTE(SUBSTITUTE(TRIM(M338),".",""),"/",""),"-","")," ",""),"(",""),")",""),"+",""))=11,MID(SUBSTITUTE(SUBSTITUTE(SUBSTITUTE(SUBSTITUTE(SUBSTITUTE(SUBSTITUTE(SUBSTITUTE(TRIM(M338),".",""),"/",""),"-","")," ",""),"(",""),")",""),"+",""),3,1)="9"),"ERRO: é celular, use a coluna Celular","ERRO: DDD + 8 dígitos ou 0800 + 7")))</f>
      </c>
      <c r="X338" s="6">
        <f>IF(N338="","vazio",IF(AND(LEN(SUBSTITUTE(SUBSTITUTE(SUBSTITUTE(SUBSTITUTE(SUBSTITUTE(SUBSTITUTE(SUBSTITUTE(TRIM(N338),".",""),"/",""),"-","")," ",""),"(",""),")",""),"+",""))=11,MID(SUBSTITUTE(SUBSTITUTE(SUBSTITUTE(SUBSTITUTE(SUBSTITUTE(SUBSTITUTE(SUBSTITUTE(TRIM(N338),".",""),"/",""),"-","")," ",""),"(",""),")",""),"+",""),3,1)="9",LEFT(SUBSTITUTE(SUBSTITUTE(SUBSTITUTE(SUBSTITUTE(SUBSTITUTE(SUBSTITUTE(SUBSTITUTE(TRIM(N338),".",""),"/",""),"-","")," ",""),"(",""),")",""),"+",""),1)&lt;&gt;"0"),"OK",IF(LEN(SUBSTITUTE(SUBSTITUTE(SUBSTITUTE(SUBSTITUTE(SUBSTITUTE(SUBSTITUTE(SUBSTITUTE(TRIM(N338),".",""),"/",""),"-","")," ",""),"(",""),")",""),"+",""))=10,"ERRO: é fixo (ou falta o 9), use a coluna Telefone fixo","ERRO: DDD + 9 + 8 dígitos")))</f>
      </c>
      <c r="Y338" s="6">
        <f>IF(O338="","vazio",IF(AND(ISNUMBER(FIND("@",O338)),ISNUMBER(FIND(".",MID(O338,FIND("@",O338),99))),NOT(ISNUMBER(FIND(" ",TRIM(O338)))),NOT(ISNUMBER(FIND(";",O338))),NOT(ISNUMBER(FIND(",",O338)))),"OK","ERRO: um e-mail válido por linha"))</f>
      </c>
      <c r="Z338" s="6">
        <f>IF(AND(J338="",K338=""),"",IF(AND(J338&lt;&gt;"",K338&lt;&gt;""),"OK","pendente: só um nome (o GR completa ao converter)"))</f>
      </c>
      <c r="AA338" s="6">
        <f>IF(COUNTA(A338:S338)=0,"",IF(AND(A338&lt;&gt;"",B338&lt;&gt;"",C338&lt;&gt;"",D338&lt;&gt;"",E338&lt;&gt;"",F338&lt;&gt;"",G338&lt;&gt;"",H338&lt;&gt;"",OR(J338&lt;&gt;"",K338&lt;&gt;""),OR(M338&lt;&gt;"",N338&lt;&gt;"",O338&lt;&gt;"")),"OK","ERRO: faltam "&amp;IF(A338="","SDR; ","")&amp;IF(B338="","Proprietário; ","")&amp;IF(C338="","Origem; ","")&amp;IF(D338="","Temperatura; ","")&amp;IF(E338="","Segmento; ","")&amp;IF(F338="","Time/Cluster; ","")&amp;IF(G338="","CNPJ; ","")&amp;IF(H338="","Razão Social; ","")&amp;IF(AND(J338="",K338=""),"nome do contato; ","")&amp;IF(AND(M338="",N338="",O338=""),"telefone, celular ou e-mail; ","")))</f>
      </c>
      <c r="AB338" s="6">
        <f>IF(COUNTA(A338:S338)=0,"",IF(AND(U338="OK",V338="OK",LEFT(W338,4)&lt;&gt;"ERRO",LEFT(X338,4)&lt;&gt;"ERRO",LEFT(Y338,4)&lt;&gt;"ERRO",AA338="OK"),"OK","REVISAR"))</f>
      </c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5"/>
      <c r="K339" s="4"/>
      <c r="L339" s="4"/>
      <c r="M339" s="4"/>
      <c r="N339" s="4"/>
      <c r="O339" s="4"/>
      <c r="P339" s="4"/>
      <c r="Q339" s="4"/>
      <c r="R339" s="4"/>
      <c r="S339" s="4"/>
      <c r="T339" s="6">
        <f>IF(G339="","",SUBSTITUTE(SUBSTITUTE(SUBSTITUTE(SUBSTITUTE(SUBSTITUTE(SUBSTITUTE(SUBSTITUTE(TRIM(G339),".",""),"/",""),"-","")," ",""),"(",""),")",""),"+",""))</f>
      </c>
      <c r="U339" s="6">
        <f>IF(T339="","",IF(LEN(T339)&lt;&gt;14,"ERRO: "&amp;LEN(T339)&amp;" dígitos",IF(NOT(ISNUMBER(VALUE(T339))),"ERRO: não numérico",IF(LEN(SUBSTITUTE(T339,LEFT(T339,1),""))=0,"ERRO: dígitos repetidos",IF(AND(VALUE(MID(T339,13,1))=IF(MOD(SUMPRODUCT(--MID(T339,{1,2,3,4,5,6,7,8,9,10,11,12},1),{5,4,3,2,9,8,7,6,5,4,3,2}),11)&lt;2,0,11-MOD(SUMPRODUCT(--MID(T339,{1,2,3,4,5,6,7,8,9,10,11,12},1),{5,4,3,2,9,8,7,6,5,4,3,2}),11)),VALUE(MID(T339,14,1))=IF(MOD(SUMPRODUCT(--MID(T339,{1,2,3,4,5,6,7,8,9,10,11,12,13},1),{6,5,4,3,2,9,8,7,6,5,4,3,2}),11)&lt;2,0,11-MOD(SUMPRODUCT(--MID(T339,{1,2,3,4,5,6,7,8,9,10,11,12,13},1),{6,5,4,3,2,9,8,7,6,5,4,3,2}),11))),"OK","ERRO: dígito verificador")))))</f>
      </c>
      <c r="V339" s="6">
        <f>IF(T339="","",IF(COUNTIF($T$2:$T$1001,T339)&gt;1,"DUPLICADO","OK"))</f>
      </c>
      <c r="W339" s="6">
        <f>IF(M339="","vazio",IF(OR(AND(LEN(SUBSTITUTE(SUBSTITUTE(SUBSTITUTE(SUBSTITUTE(SUBSTITUTE(SUBSTITUTE(SUBSTITUTE(TRIM(M339),".",""),"/",""),"-","")," ",""),"(",""),")",""),"+",""))=10,LEFT(SUBSTITUTE(SUBSTITUTE(SUBSTITUTE(SUBSTITUTE(SUBSTITUTE(SUBSTITUTE(SUBSTITUTE(TRIM(M339),".",""),"/",""),"-","")," ",""),"(",""),")",""),"+",""),1)&lt;&gt;"0"),AND(LEN(SUBSTITUTE(SUBSTITUTE(SUBSTITUTE(SUBSTITUTE(SUBSTITUTE(SUBSTITUTE(SUBSTITUTE(TRIM(M339),".",""),"/",""),"-","")," ",""),"(",""),")",""),"+",""))=11,LEFT(SUBSTITUTE(SUBSTITUTE(SUBSTITUTE(SUBSTITUTE(SUBSTITUTE(SUBSTITUTE(SUBSTITUTE(TRIM(M339),".",""),"/",""),"-","")," ",""),"(",""),")",""),"+",""),4)="0800")),"OK",IF(AND(LEN(SUBSTITUTE(SUBSTITUTE(SUBSTITUTE(SUBSTITUTE(SUBSTITUTE(SUBSTITUTE(SUBSTITUTE(TRIM(M339),".",""),"/",""),"-","")," ",""),"(",""),")",""),"+",""))=11,MID(SUBSTITUTE(SUBSTITUTE(SUBSTITUTE(SUBSTITUTE(SUBSTITUTE(SUBSTITUTE(SUBSTITUTE(TRIM(M339),".",""),"/",""),"-","")," ",""),"(",""),")",""),"+",""),3,1)="9"),"ERRO: é celular, use a coluna Celular","ERRO: DDD + 8 dígitos ou 0800 + 7")))</f>
      </c>
      <c r="X339" s="6">
        <f>IF(N339="","vazio",IF(AND(LEN(SUBSTITUTE(SUBSTITUTE(SUBSTITUTE(SUBSTITUTE(SUBSTITUTE(SUBSTITUTE(SUBSTITUTE(TRIM(N339),".",""),"/",""),"-","")," ",""),"(",""),")",""),"+",""))=11,MID(SUBSTITUTE(SUBSTITUTE(SUBSTITUTE(SUBSTITUTE(SUBSTITUTE(SUBSTITUTE(SUBSTITUTE(TRIM(N339),".",""),"/",""),"-","")," ",""),"(",""),")",""),"+",""),3,1)="9",LEFT(SUBSTITUTE(SUBSTITUTE(SUBSTITUTE(SUBSTITUTE(SUBSTITUTE(SUBSTITUTE(SUBSTITUTE(TRIM(N339),".",""),"/",""),"-","")," ",""),"(",""),")",""),"+",""),1)&lt;&gt;"0"),"OK",IF(LEN(SUBSTITUTE(SUBSTITUTE(SUBSTITUTE(SUBSTITUTE(SUBSTITUTE(SUBSTITUTE(SUBSTITUTE(TRIM(N339),".",""),"/",""),"-","")," ",""),"(",""),")",""),"+",""))=10,"ERRO: é fixo (ou falta o 9), use a coluna Telefone fixo","ERRO: DDD + 9 + 8 dígitos")))</f>
      </c>
      <c r="Y339" s="6">
        <f>IF(O339="","vazio",IF(AND(ISNUMBER(FIND("@",O339)),ISNUMBER(FIND(".",MID(O339,FIND("@",O339),99))),NOT(ISNUMBER(FIND(" ",TRIM(O339)))),NOT(ISNUMBER(FIND(";",O339))),NOT(ISNUMBER(FIND(",",O339)))),"OK","ERRO: um e-mail válido por linha"))</f>
      </c>
      <c r="Z339" s="6">
        <f>IF(AND(J339="",K339=""),"",IF(AND(J339&lt;&gt;"",K339&lt;&gt;""),"OK","pendente: só um nome (o GR completa ao converter)"))</f>
      </c>
      <c r="AA339" s="6">
        <f>IF(COUNTA(A339:S339)=0,"",IF(AND(A339&lt;&gt;"",B339&lt;&gt;"",C339&lt;&gt;"",D339&lt;&gt;"",E339&lt;&gt;"",F339&lt;&gt;"",G339&lt;&gt;"",H339&lt;&gt;"",OR(J339&lt;&gt;"",K339&lt;&gt;""),OR(M339&lt;&gt;"",N339&lt;&gt;"",O339&lt;&gt;"")),"OK","ERRO: faltam "&amp;IF(A339="","SDR; ","")&amp;IF(B339="","Proprietário; ","")&amp;IF(C339="","Origem; ","")&amp;IF(D339="","Temperatura; ","")&amp;IF(E339="","Segmento; ","")&amp;IF(F339="","Time/Cluster; ","")&amp;IF(G339="","CNPJ; ","")&amp;IF(H339="","Razão Social; ","")&amp;IF(AND(J339="",K339=""),"nome do contato; ","")&amp;IF(AND(M339="",N339="",O339=""),"telefone, celular ou e-mail; ","")))</f>
      </c>
      <c r="AB339" s="6">
        <f>IF(COUNTA(A339:S339)=0,"",IF(AND(U339="OK",V339="OK",LEFT(W339,4)&lt;&gt;"ERRO",LEFT(X339,4)&lt;&gt;"ERRO",LEFT(Y339,4)&lt;&gt;"ERRO",AA339="OK"),"OK","REVISAR"))</f>
      </c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5"/>
      <c r="K340" s="4"/>
      <c r="L340" s="4"/>
      <c r="M340" s="4"/>
      <c r="N340" s="4"/>
      <c r="O340" s="4"/>
      <c r="P340" s="4"/>
      <c r="Q340" s="4"/>
      <c r="R340" s="4"/>
      <c r="S340" s="4"/>
      <c r="T340" s="6">
        <f>IF(G340="","",SUBSTITUTE(SUBSTITUTE(SUBSTITUTE(SUBSTITUTE(SUBSTITUTE(SUBSTITUTE(SUBSTITUTE(TRIM(G340),".",""),"/",""),"-","")," ",""),"(",""),")",""),"+",""))</f>
      </c>
      <c r="U340" s="6">
        <f>IF(T340="","",IF(LEN(T340)&lt;&gt;14,"ERRO: "&amp;LEN(T340)&amp;" dígitos",IF(NOT(ISNUMBER(VALUE(T340))),"ERRO: não numérico",IF(LEN(SUBSTITUTE(T340,LEFT(T340,1),""))=0,"ERRO: dígitos repetidos",IF(AND(VALUE(MID(T340,13,1))=IF(MOD(SUMPRODUCT(--MID(T340,{1,2,3,4,5,6,7,8,9,10,11,12},1),{5,4,3,2,9,8,7,6,5,4,3,2}),11)&lt;2,0,11-MOD(SUMPRODUCT(--MID(T340,{1,2,3,4,5,6,7,8,9,10,11,12},1),{5,4,3,2,9,8,7,6,5,4,3,2}),11)),VALUE(MID(T340,14,1))=IF(MOD(SUMPRODUCT(--MID(T340,{1,2,3,4,5,6,7,8,9,10,11,12,13},1),{6,5,4,3,2,9,8,7,6,5,4,3,2}),11)&lt;2,0,11-MOD(SUMPRODUCT(--MID(T340,{1,2,3,4,5,6,7,8,9,10,11,12,13},1),{6,5,4,3,2,9,8,7,6,5,4,3,2}),11))),"OK","ERRO: dígito verificador")))))</f>
      </c>
      <c r="V340" s="6">
        <f>IF(T340="","",IF(COUNTIF($T$2:$T$1001,T340)&gt;1,"DUPLICADO","OK"))</f>
      </c>
      <c r="W340" s="6">
        <f>IF(M340="","vazio",IF(OR(AND(LEN(SUBSTITUTE(SUBSTITUTE(SUBSTITUTE(SUBSTITUTE(SUBSTITUTE(SUBSTITUTE(SUBSTITUTE(TRIM(M340),".",""),"/",""),"-","")," ",""),"(",""),")",""),"+",""))=10,LEFT(SUBSTITUTE(SUBSTITUTE(SUBSTITUTE(SUBSTITUTE(SUBSTITUTE(SUBSTITUTE(SUBSTITUTE(TRIM(M340),".",""),"/",""),"-","")," ",""),"(",""),")",""),"+",""),1)&lt;&gt;"0"),AND(LEN(SUBSTITUTE(SUBSTITUTE(SUBSTITUTE(SUBSTITUTE(SUBSTITUTE(SUBSTITUTE(SUBSTITUTE(TRIM(M340),".",""),"/",""),"-","")," ",""),"(",""),")",""),"+",""))=11,LEFT(SUBSTITUTE(SUBSTITUTE(SUBSTITUTE(SUBSTITUTE(SUBSTITUTE(SUBSTITUTE(SUBSTITUTE(TRIM(M340),".",""),"/",""),"-","")," ",""),"(",""),")",""),"+",""),4)="0800")),"OK",IF(AND(LEN(SUBSTITUTE(SUBSTITUTE(SUBSTITUTE(SUBSTITUTE(SUBSTITUTE(SUBSTITUTE(SUBSTITUTE(TRIM(M340),".",""),"/",""),"-","")," ",""),"(",""),")",""),"+",""))=11,MID(SUBSTITUTE(SUBSTITUTE(SUBSTITUTE(SUBSTITUTE(SUBSTITUTE(SUBSTITUTE(SUBSTITUTE(TRIM(M340),".",""),"/",""),"-","")," ",""),"(",""),")",""),"+",""),3,1)="9"),"ERRO: é celular, use a coluna Celular","ERRO: DDD + 8 dígitos ou 0800 + 7")))</f>
      </c>
      <c r="X340" s="6">
        <f>IF(N340="","vazio",IF(AND(LEN(SUBSTITUTE(SUBSTITUTE(SUBSTITUTE(SUBSTITUTE(SUBSTITUTE(SUBSTITUTE(SUBSTITUTE(TRIM(N340),".",""),"/",""),"-","")," ",""),"(",""),")",""),"+",""))=11,MID(SUBSTITUTE(SUBSTITUTE(SUBSTITUTE(SUBSTITUTE(SUBSTITUTE(SUBSTITUTE(SUBSTITUTE(TRIM(N340),".",""),"/",""),"-","")," ",""),"(",""),")",""),"+",""),3,1)="9",LEFT(SUBSTITUTE(SUBSTITUTE(SUBSTITUTE(SUBSTITUTE(SUBSTITUTE(SUBSTITUTE(SUBSTITUTE(TRIM(N340),".",""),"/",""),"-","")," ",""),"(",""),")",""),"+",""),1)&lt;&gt;"0"),"OK",IF(LEN(SUBSTITUTE(SUBSTITUTE(SUBSTITUTE(SUBSTITUTE(SUBSTITUTE(SUBSTITUTE(SUBSTITUTE(TRIM(N340),".",""),"/",""),"-","")," ",""),"(",""),")",""),"+",""))=10,"ERRO: é fixo (ou falta o 9), use a coluna Telefone fixo","ERRO: DDD + 9 + 8 dígitos")))</f>
      </c>
      <c r="Y340" s="6">
        <f>IF(O340="","vazio",IF(AND(ISNUMBER(FIND("@",O340)),ISNUMBER(FIND(".",MID(O340,FIND("@",O340),99))),NOT(ISNUMBER(FIND(" ",TRIM(O340)))),NOT(ISNUMBER(FIND(";",O340))),NOT(ISNUMBER(FIND(",",O340)))),"OK","ERRO: um e-mail válido por linha"))</f>
      </c>
      <c r="Z340" s="6">
        <f>IF(AND(J340="",K340=""),"",IF(AND(J340&lt;&gt;"",K340&lt;&gt;""),"OK","pendente: só um nome (o GR completa ao converter)"))</f>
      </c>
      <c r="AA340" s="6">
        <f>IF(COUNTA(A340:S340)=0,"",IF(AND(A340&lt;&gt;"",B340&lt;&gt;"",C340&lt;&gt;"",D340&lt;&gt;"",E340&lt;&gt;"",F340&lt;&gt;"",G340&lt;&gt;"",H340&lt;&gt;"",OR(J340&lt;&gt;"",K340&lt;&gt;""),OR(M340&lt;&gt;"",N340&lt;&gt;"",O340&lt;&gt;"")),"OK","ERRO: faltam "&amp;IF(A340="","SDR; ","")&amp;IF(B340="","Proprietário; ","")&amp;IF(C340="","Origem; ","")&amp;IF(D340="","Temperatura; ","")&amp;IF(E340="","Segmento; ","")&amp;IF(F340="","Time/Cluster; ","")&amp;IF(G340="","CNPJ; ","")&amp;IF(H340="","Razão Social; ","")&amp;IF(AND(J340="",K340=""),"nome do contato; ","")&amp;IF(AND(M340="",N340="",O340=""),"telefone, celular ou e-mail; ","")))</f>
      </c>
      <c r="AB340" s="6">
        <f>IF(COUNTA(A340:S340)=0,"",IF(AND(U340="OK",V340="OK",LEFT(W340,4)&lt;&gt;"ERRO",LEFT(X340,4)&lt;&gt;"ERRO",LEFT(Y340,4)&lt;&gt;"ERRO",AA340="OK"),"OK","REVISAR"))</f>
      </c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5"/>
      <c r="K341" s="4"/>
      <c r="L341" s="4"/>
      <c r="M341" s="4"/>
      <c r="N341" s="4"/>
      <c r="O341" s="4"/>
      <c r="P341" s="4"/>
      <c r="Q341" s="4"/>
      <c r="R341" s="4"/>
      <c r="S341" s="4"/>
      <c r="T341" s="6">
        <f>IF(G341="","",SUBSTITUTE(SUBSTITUTE(SUBSTITUTE(SUBSTITUTE(SUBSTITUTE(SUBSTITUTE(SUBSTITUTE(TRIM(G341),".",""),"/",""),"-","")," ",""),"(",""),")",""),"+",""))</f>
      </c>
      <c r="U341" s="6">
        <f>IF(T341="","",IF(LEN(T341)&lt;&gt;14,"ERRO: "&amp;LEN(T341)&amp;" dígitos",IF(NOT(ISNUMBER(VALUE(T341))),"ERRO: não numérico",IF(LEN(SUBSTITUTE(T341,LEFT(T341,1),""))=0,"ERRO: dígitos repetidos",IF(AND(VALUE(MID(T341,13,1))=IF(MOD(SUMPRODUCT(--MID(T341,{1,2,3,4,5,6,7,8,9,10,11,12},1),{5,4,3,2,9,8,7,6,5,4,3,2}),11)&lt;2,0,11-MOD(SUMPRODUCT(--MID(T341,{1,2,3,4,5,6,7,8,9,10,11,12},1),{5,4,3,2,9,8,7,6,5,4,3,2}),11)),VALUE(MID(T341,14,1))=IF(MOD(SUMPRODUCT(--MID(T341,{1,2,3,4,5,6,7,8,9,10,11,12,13},1),{6,5,4,3,2,9,8,7,6,5,4,3,2}),11)&lt;2,0,11-MOD(SUMPRODUCT(--MID(T341,{1,2,3,4,5,6,7,8,9,10,11,12,13},1),{6,5,4,3,2,9,8,7,6,5,4,3,2}),11))),"OK","ERRO: dígito verificador")))))</f>
      </c>
      <c r="V341" s="6">
        <f>IF(T341="","",IF(COUNTIF($T$2:$T$1001,T341)&gt;1,"DUPLICADO","OK"))</f>
      </c>
      <c r="W341" s="6">
        <f>IF(M341="","vazio",IF(OR(AND(LEN(SUBSTITUTE(SUBSTITUTE(SUBSTITUTE(SUBSTITUTE(SUBSTITUTE(SUBSTITUTE(SUBSTITUTE(TRIM(M341),".",""),"/",""),"-","")," ",""),"(",""),")",""),"+",""))=10,LEFT(SUBSTITUTE(SUBSTITUTE(SUBSTITUTE(SUBSTITUTE(SUBSTITUTE(SUBSTITUTE(SUBSTITUTE(TRIM(M341),".",""),"/",""),"-","")," ",""),"(",""),")",""),"+",""),1)&lt;&gt;"0"),AND(LEN(SUBSTITUTE(SUBSTITUTE(SUBSTITUTE(SUBSTITUTE(SUBSTITUTE(SUBSTITUTE(SUBSTITUTE(TRIM(M341),".",""),"/",""),"-","")," ",""),"(",""),")",""),"+",""))=11,LEFT(SUBSTITUTE(SUBSTITUTE(SUBSTITUTE(SUBSTITUTE(SUBSTITUTE(SUBSTITUTE(SUBSTITUTE(TRIM(M341),".",""),"/",""),"-","")," ",""),"(",""),")",""),"+",""),4)="0800")),"OK",IF(AND(LEN(SUBSTITUTE(SUBSTITUTE(SUBSTITUTE(SUBSTITUTE(SUBSTITUTE(SUBSTITUTE(SUBSTITUTE(TRIM(M341),".",""),"/",""),"-","")," ",""),"(",""),")",""),"+",""))=11,MID(SUBSTITUTE(SUBSTITUTE(SUBSTITUTE(SUBSTITUTE(SUBSTITUTE(SUBSTITUTE(SUBSTITUTE(TRIM(M341),".",""),"/",""),"-","")," ",""),"(",""),")",""),"+",""),3,1)="9"),"ERRO: é celular, use a coluna Celular","ERRO: DDD + 8 dígitos ou 0800 + 7")))</f>
      </c>
      <c r="X341" s="6">
        <f>IF(N341="","vazio",IF(AND(LEN(SUBSTITUTE(SUBSTITUTE(SUBSTITUTE(SUBSTITUTE(SUBSTITUTE(SUBSTITUTE(SUBSTITUTE(TRIM(N341),".",""),"/",""),"-","")," ",""),"(",""),")",""),"+",""))=11,MID(SUBSTITUTE(SUBSTITUTE(SUBSTITUTE(SUBSTITUTE(SUBSTITUTE(SUBSTITUTE(SUBSTITUTE(TRIM(N341),".",""),"/",""),"-","")," ",""),"(",""),")",""),"+",""),3,1)="9",LEFT(SUBSTITUTE(SUBSTITUTE(SUBSTITUTE(SUBSTITUTE(SUBSTITUTE(SUBSTITUTE(SUBSTITUTE(TRIM(N341),".",""),"/",""),"-","")," ",""),"(",""),")",""),"+",""),1)&lt;&gt;"0"),"OK",IF(LEN(SUBSTITUTE(SUBSTITUTE(SUBSTITUTE(SUBSTITUTE(SUBSTITUTE(SUBSTITUTE(SUBSTITUTE(TRIM(N341),".",""),"/",""),"-","")," ",""),"(",""),")",""),"+",""))=10,"ERRO: é fixo (ou falta o 9), use a coluna Telefone fixo","ERRO: DDD + 9 + 8 dígitos")))</f>
      </c>
      <c r="Y341" s="6">
        <f>IF(O341="","vazio",IF(AND(ISNUMBER(FIND("@",O341)),ISNUMBER(FIND(".",MID(O341,FIND("@",O341),99))),NOT(ISNUMBER(FIND(" ",TRIM(O341)))),NOT(ISNUMBER(FIND(";",O341))),NOT(ISNUMBER(FIND(",",O341)))),"OK","ERRO: um e-mail válido por linha"))</f>
      </c>
      <c r="Z341" s="6">
        <f>IF(AND(J341="",K341=""),"",IF(AND(J341&lt;&gt;"",K341&lt;&gt;""),"OK","pendente: só um nome (o GR completa ao converter)"))</f>
      </c>
      <c r="AA341" s="6">
        <f>IF(COUNTA(A341:S341)=0,"",IF(AND(A341&lt;&gt;"",B341&lt;&gt;"",C341&lt;&gt;"",D341&lt;&gt;"",E341&lt;&gt;"",F341&lt;&gt;"",G341&lt;&gt;"",H341&lt;&gt;"",OR(J341&lt;&gt;"",K341&lt;&gt;""),OR(M341&lt;&gt;"",N341&lt;&gt;"",O341&lt;&gt;"")),"OK","ERRO: faltam "&amp;IF(A341="","SDR; ","")&amp;IF(B341="","Proprietário; ","")&amp;IF(C341="","Origem; ","")&amp;IF(D341="","Temperatura; ","")&amp;IF(E341="","Segmento; ","")&amp;IF(F341="","Time/Cluster; ","")&amp;IF(G341="","CNPJ; ","")&amp;IF(H341="","Razão Social; ","")&amp;IF(AND(J341="",K341=""),"nome do contato; ","")&amp;IF(AND(M341="",N341="",O341=""),"telefone, celular ou e-mail; ","")))</f>
      </c>
      <c r="AB341" s="6">
        <f>IF(COUNTA(A341:S341)=0,"",IF(AND(U341="OK",V341="OK",LEFT(W341,4)&lt;&gt;"ERRO",LEFT(X341,4)&lt;&gt;"ERRO",LEFT(Y341,4)&lt;&gt;"ERRO",AA341="OK"),"OK","REVISAR"))</f>
      </c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5"/>
      <c r="K342" s="4"/>
      <c r="L342" s="4"/>
      <c r="M342" s="4"/>
      <c r="N342" s="4"/>
      <c r="O342" s="4"/>
      <c r="P342" s="4"/>
      <c r="Q342" s="4"/>
      <c r="R342" s="4"/>
      <c r="S342" s="4"/>
      <c r="T342" s="6">
        <f>IF(G342="","",SUBSTITUTE(SUBSTITUTE(SUBSTITUTE(SUBSTITUTE(SUBSTITUTE(SUBSTITUTE(SUBSTITUTE(TRIM(G342),".",""),"/",""),"-","")," ",""),"(",""),")",""),"+",""))</f>
      </c>
      <c r="U342" s="6">
        <f>IF(T342="","",IF(LEN(T342)&lt;&gt;14,"ERRO: "&amp;LEN(T342)&amp;" dígitos",IF(NOT(ISNUMBER(VALUE(T342))),"ERRO: não numérico",IF(LEN(SUBSTITUTE(T342,LEFT(T342,1),""))=0,"ERRO: dígitos repetidos",IF(AND(VALUE(MID(T342,13,1))=IF(MOD(SUMPRODUCT(--MID(T342,{1,2,3,4,5,6,7,8,9,10,11,12},1),{5,4,3,2,9,8,7,6,5,4,3,2}),11)&lt;2,0,11-MOD(SUMPRODUCT(--MID(T342,{1,2,3,4,5,6,7,8,9,10,11,12},1),{5,4,3,2,9,8,7,6,5,4,3,2}),11)),VALUE(MID(T342,14,1))=IF(MOD(SUMPRODUCT(--MID(T342,{1,2,3,4,5,6,7,8,9,10,11,12,13},1),{6,5,4,3,2,9,8,7,6,5,4,3,2}),11)&lt;2,0,11-MOD(SUMPRODUCT(--MID(T342,{1,2,3,4,5,6,7,8,9,10,11,12,13},1),{6,5,4,3,2,9,8,7,6,5,4,3,2}),11))),"OK","ERRO: dígito verificador")))))</f>
      </c>
      <c r="V342" s="6">
        <f>IF(T342="","",IF(COUNTIF($T$2:$T$1001,T342)&gt;1,"DUPLICADO","OK"))</f>
      </c>
      <c r="W342" s="6">
        <f>IF(M342="","vazio",IF(OR(AND(LEN(SUBSTITUTE(SUBSTITUTE(SUBSTITUTE(SUBSTITUTE(SUBSTITUTE(SUBSTITUTE(SUBSTITUTE(TRIM(M342),".",""),"/",""),"-","")," ",""),"(",""),")",""),"+",""))=10,LEFT(SUBSTITUTE(SUBSTITUTE(SUBSTITUTE(SUBSTITUTE(SUBSTITUTE(SUBSTITUTE(SUBSTITUTE(TRIM(M342),".",""),"/",""),"-","")," ",""),"(",""),")",""),"+",""),1)&lt;&gt;"0"),AND(LEN(SUBSTITUTE(SUBSTITUTE(SUBSTITUTE(SUBSTITUTE(SUBSTITUTE(SUBSTITUTE(SUBSTITUTE(TRIM(M342),".",""),"/",""),"-","")," ",""),"(",""),")",""),"+",""))=11,LEFT(SUBSTITUTE(SUBSTITUTE(SUBSTITUTE(SUBSTITUTE(SUBSTITUTE(SUBSTITUTE(SUBSTITUTE(TRIM(M342),".",""),"/",""),"-","")," ",""),"(",""),")",""),"+",""),4)="0800")),"OK",IF(AND(LEN(SUBSTITUTE(SUBSTITUTE(SUBSTITUTE(SUBSTITUTE(SUBSTITUTE(SUBSTITUTE(SUBSTITUTE(TRIM(M342),".",""),"/",""),"-","")," ",""),"(",""),")",""),"+",""))=11,MID(SUBSTITUTE(SUBSTITUTE(SUBSTITUTE(SUBSTITUTE(SUBSTITUTE(SUBSTITUTE(SUBSTITUTE(TRIM(M342),".",""),"/",""),"-","")," ",""),"(",""),")",""),"+",""),3,1)="9"),"ERRO: é celular, use a coluna Celular","ERRO: DDD + 8 dígitos ou 0800 + 7")))</f>
      </c>
      <c r="X342" s="6">
        <f>IF(N342="","vazio",IF(AND(LEN(SUBSTITUTE(SUBSTITUTE(SUBSTITUTE(SUBSTITUTE(SUBSTITUTE(SUBSTITUTE(SUBSTITUTE(TRIM(N342),".",""),"/",""),"-","")," ",""),"(",""),")",""),"+",""))=11,MID(SUBSTITUTE(SUBSTITUTE(SUBSTITUTE(SUBSTITUTE(SUBSTITUTE(SUBSTITUTE(SUBSTITUTE(TRIM(N342),".",""),"/",""),"-","")," ",""),"(",""),")",""),"+",""),3,1)="9",LEFT(SUBSTITUTE(SUBSTITUTE(SUBSTITUTE(SUBSTITUTE(SUBSTITUTE(SUBSTITUTE(SUBSTITUTE(TRIM(N342),".",""),"/",""),"-","")," ",""),"(",""),")",""),"+",""),1)&lt;&gt;"0"),"OK",IF(LEN(SUBSTITUTE(SUBSTITUTE(SUBSTITUTE(SUBSTITUTE(SUBSTITUTE(SUBSTITUTE(SUBSTITUTE(TRIM(N342),".",""),"/",""),"-","")," ",""),"(",""),")",""),"+",""))=10,"ERRO: é fixo (ou falta o 9), use a coluna Telefone fixo","ERRO: DDD + 9 + 8 dígitos")))</f>
      </c>
      <c r="Y342" s="6">
        <f>IF(O342="","vazio",IF(AND(ISNUMBER(FIND("@",O342)),ISNUMBER(FIND(".",MID(O342,FIND("@",O342),99))),NOT(ISNUMBER(FIND(" ",TRIM(O342)))),NOT(ISNUMBER(FIND(";",O342))),NOT(ISNUMBER(FIND(",",O342)))),"OK","ERRO: um e-mail válido por linha"))</f>
      </c>
      <c r="Z342" s="6">
        <f>IF(AND(J342="",K342=""),"",IF(AND(J342&lt;&gt;"",K342&lt;&gt;""),"OK","pendente: só um nome (o GR completa ao converter)"))</f>
      </c>
      <c r="AA342" s="6">
        <f>IF(COUNTA(A342:S342)=0,"",IF(AND(A342&lt;&gt;"",B342&lt;&gt;"",C342&lt;&gt;"",D342&lt;&gt;"",E342&lt;&gt;"",F342&lt;&gt;"",G342&lt;&gt;"",H342&lt;&gt;"",OR(J342&lt;&gt;"",K342&lt;&gt;""),OR(M342&lt;&gt;"",N342&lt;&gt;"",O342&lt;&gt;"")),"OK","ERRO: faltam "&amp;IF(A342="","SDR; ","")&amp;IF(B342="","Proprietário; ","")&amp;IF(C342="","Origem; ","")&amp;IF(D342="","Temperatura; ","")&amp;IF(E342="","Segmento; ","")&amp;IF(F342="","Time/Cluster; ","")&amp;IF(G342="","CNPJ; ","")&amp;IF(H342="","Razão Social; ","")&amp;IF(AND(J342="",K342=""),"nome do contato; ","")&amp;IF(AND(M342="",N342="",O342=""),"telefone, celular ou e-mail; ","")))</f>
      </c>
      <c r="AB342" s="6">
        <f>IF(COUNTA(A342:S342)=0,"",IF(AND(U342="OK",V342="OK",LEFT(W342,4)&lt;&gt;"ERRO",LEFT(X342,4)&lt;&gt;"ERRO",LEFT(Y342,4)&lt;&gt;"ERRO",AA342="OK"),"OK","REVISAR"))</f>
      </c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5"/>
      <c r="K343" s="4"/>
      <c r="L343" s="4"/>
      <c r="M343" s="4"/>
      <c r="N343" s="4"/>
      <c r="O343" s="4"/>
      <c r="P343" s="4"/>
      <c r="Q343" s="4"/>
      <c r="R343" s="4"/>
      <c r="S343" s="4"/>
      <c r="T343" s="6">
        <f>IF(G343="","",SUBSTITUTE(SUBSTITUTE(SUBSTITUTE(SUBSTITUTE(SUBSTITUTE(SUBSTITUTE(SUBSTITUTE(TRIM(G343),".",""),"/",""),"-","")," ",""),"(",""),")",""),"+",""))</f>
      </c>
      <c r="U343" s="6">
        <f>IF(T343="","",IF(LEN(T343)&lt;&gt;14,"ERRO: "&amp;LEN(T343)&amp;" dígitos",IF(NOT(ISNUMBER(VALUE(T343))),"ERRO: não numérico",IF(LEN(SUBSTITUTE(T343,LEFT(T343,1),""))=0,"ERRO: dígitos repetidos",IF(AND(VALUE(MID(T343,13,1))=IF(MOD(SUMPRODUCT(--MID(T343,{1,2,3,4,5,6,7,8,9,10,11,12},1),{5,4,3,2,9,8,7,6,5,4,3,2}),11)&lt;2,0,11-MOD(SUMPRODUCT(--MID(T343,{1,2,3,4,5,6,7,8,9,10,11,12},1),{5,4,3,2,9,8,7,6,5,4,3,2}),11)),VALUE(MID(T343,14,1))=IF(MOD(SUMPRODUCT(--MID(T343,{1,2,3,4,5,6,7,8,9,10,11,12,13},1),{6,5,4,3,2,9,8,7,6,5,4,3,2}),11)&lt;2,0,11-MOD(SUMPRODUCT(--MID(T343,{1,2,3,4,5,6,7,8,9,10,11,12,13},1),{6,5,4,3,2,9,8,7,6,5,4,3,2}),11))),"OK","ERRO: dígito verificador")))))</f>
      </c>
      <c r="V343" s="6">
        <f>IF(T343="","",IF(COUNTIF($T$2:$T$1001,T343)&gt;1,"DUPLICADO","OK"))</f>
      </c>
      <c r="W343" s="6">
        <f>IF(M343="","vazio",IF(OR(AND(LEN(SUBSTITUTE(SUBSTITUTE(SUBSTITUTE(SUBSTITUTE(SUBSTITUTE(SUBSTITUTE(SUBSTITUTE(TRIM(M343),".",""),"/",""),"-","")," ",""),"(",""),")",""),"+",""))=10,LEFT(SUBSTITUTE(SUBSTITUTE(SUBSTITUTE(SUBSTITUTE(SUBSTITUTE(SUBSTITUTE(SUBSTITUTE(TRIM(M343),".",""),"/",""),"-","")," ",""),"(",""),")",""),"+",""),1)&lt;&gt;"0"),AND(LEN(SUBSTITUTE(SUBSTITUTE(SUBSTITUTE(SUBSTITUTE(SUBSTITUTE(SUBSTITUTE(SUBSTITUTE(TRIM(M343),".",""),"/",""),"-","")," ",""),"(",""),")",""),"+",""))=11,LEFT(SUBSTITUTE(SUBSTITUTE(SUBSTITUTE(SUBSTITUTE(SUBSTITUTE(SUBSTITUTE(SUBSTITUTE(TRIM(M343),".",""),"/",""),"-","")," ",""),"(",""),")",""),"+",""),4)="0800")),"OK",IF(AND(LEN(SUBSTITUTE(SUBSTITUTE(SUBSTITUTE(SUBSTITUTE(SUBSTITUTE(SUBSTITUTE(SUBSTITUTE(TRIM(M343),".",""),"/",""),"-","")," ",""),"(",""),")",""),"+",""))=11,MID(SUBSTITUTE(SUBSTITUTE(SUBSTITUTE(SUBSTITUTE(SUBSTITUTE(SUBSTITUTE(SUBSTITUTE(TRIM(M343),".",""),"/",""),"-","")," ",""),"(",""),")",""),"+",""),3,1)="9"),"ERRO: é celular, use a coluna Celular","ERRO: DDD + 8 dígitos ou 0800 + 7")))</f>
      </c>
      <c r="X343" s="6">
        <f>IF(N343="","vazio",IF(AND(LEN(SUBSTITUTE(SUBSTITUTE(SUBSTITUTE(SUBSTITUTE(SUBSTITUTE(SUBSTITUTE(SUBSTITUTE(TRIM(N343),".",""),"/",""),"-","")," ",""),"(",""),")",""),"+",""))=11,MID(SUBSTITUTE(SUBSTITUTE(SUBSTITUTE(SUBSTITUTE(SUBSTITUTE(SUBSTITUTE(SUBSTITUTE(TRIM(N343),".",""),"/",""),"-","")," ",""),"(",""),")",""),"+",""),3,1)="9",LEFT(SUBSTITUTE(SUBSTITUTE(SUBSTITUTE(SUBSTITUTE(SUBSTITUTE(SUBSTITUTE(SUBSTITUTE(TRIM(N343),".",""),"/",""),"-","")," ",""),"(",""),")",""),"+",""),1)&lt;&gt;"0"),"OK",IF(LEN(SUBSTITUTE(SUBSTITUTE(SUBSTITUTE(SUBSTITUTE(SUBSTITUTE(SUBSTITUTE(SUBSTITUTE(TRIM(N343),".",""),"/",""),"-","")," ",""),"(",""),")",""),"+",""))=10,"ERRO: é fixo (ou falta o 9), use a coluna Telefone fixo","ERRO: DDD + 9 + 8 dígitos")))</f>
      </c>
      <c r="Y343" s="6">
        <f>IF(O343="","vazio",IF(AND(ISNUMBER(FIND("@",O343)),ISNUMBER(FIND(".",MID(O343,FIND("@",O343),99))),NOT(ISNUMBER(FIND(" ",TRIM(O343)))),NOT(ISNUMBER(FIND(";",O343))),NOT(ISNUMBER(FIND(",",O343)))),"OK","ERRO: um e-mail válido por linha"))</f>
      </c>
      <c r="Z343" s="6">
        <f>IF(AND(J343="",K343=""),"",IF(AND(J343&lt;&gt;"",K343&lt;&gt;""),"OK","pendente: só um nome (o GR completa ao converter)"))</f>
      </c>
      <c r="AA343" s="6">
        <f>IF(COUNTA(A343:S343)=0,"",IF(AND(A343&lt;&gt;"",B343&lt;&gt;"",C343&lt;&gt;"",D343&lt;&gt;"",E343&lt;&gt;"",F343&lt;&gt;"",G343&lt;&gt;"",H343&lt;&gt;"",OR(J343&lt;&gt;"",K343&lt;&gt;""),OR(M343&lt;&gt;"",N343&lt;&gt;"",O343&lt;&gt;"")),"OK","ERRO: faltam "&amp;IF(A343="","SDR; ","")&amp;IF(B343="","Proprietário; ","")&amp;IF(C343="","Origem; ","")&amp;IF(D343="","Temperatura; ","")&amp;IF(E343="","Segmento; ","")&amp;IF(F343="","Time/Cluster; ","")&amp;IF(G343="","CNPJ; ","")&amp;IF(H343="","Razão Social; ","")&amp;IF(AND(J343="",K343=""),"nome do contato; ","")&amp;IF(AND(M343="",N343="",O343=""),"telefone, celular ou e-mail; ","")))</f>
      </c>
      <c r="AB343" s="6">
        <f>IF(COUNTA(A343:S343)=0,"",IF(AND(U343="OK",V343="OK",LEFT(W343,4)&lt;&gt;"ERRO",LEFT(X343,4)&lt;&gt;"ERRO",LEFT(Y343,4)&lt;&gt;"ERRO",AA343="OK"),"OK","REVISAR"))</f>
      </c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5"/>
      <c r="K344" s="4"/>
      <c r="L344" s="4"/>
      <c r="M344" s="4"/>
      <c r="N344" s="4"/>
      <c r="O344" s="4"/>
      <c r="P344" s="4"/>
      <c r="Q344" s="4"/>
      <c r="R344" s="4"/>
      <c r="S344" s="4"/>
      <c r="T344" s="6">
        <f>IF(G344="","",SUBSTITUTE(SUBSTITUTE(SUBSTITUTE(SUBSTITUTE(SUBSTITUTE(SUBSTITUTE(SUBSTITUTE(TRIM(G344),".",""),"/",""),"-","")," ",""),"(",""),")",""),"+",""))</f>
      </c>
      <c r="U344" s="6">
        <f>IF(T344="","",IF(LEN(T344)&lt;&gt;14,"ERRO: "&amp;LEN(T344)&amp;" dígitos",IF(NOT(ISNUMBER(VALUE(T344))),"ERRO: não numérico",IF(LEN(SUBSTITUTE(T344,LEFT(T344,1),""))=0,"ERRO: dígitos repetidos",IF(AND(VALUE(MID(T344,13,1))=IF(MOD(SUMPRODUCT(--MID(T344,{1,2,3,4,5,6,7,8,9,10,11,12},1),{5,4,3,2,9,8,7,6,5,4,3,2}),11)&lt;2,0,11-MOD(SUMPRODUCT(--MID(T344,{1,2,3,4,5,6,7,8,9,10,11,12},1),{5,4,3,2,9,8,7,6,5,4,3,2}),11)),VALUE(MID(T344,14,1))=IF(MOD(SUMPRODUCT(--MID(T344,{1,2,3,4,5,6,7,8,9,10,11,12,13},1),{6,5,4,3,2,9,8,7,6,5,4,3,2}),11)&lt;2,0,11-MOD(SUMPRODUCT(--MID(T344,{1,2,3,4,5,6,7,8,9,10,11,12,13},1),{6,5,4,3,2,9,8,7,6,5,4,3,2}),11))),"OK","ERRO: dígito verificador")))))</f>
      </c>
      <c r="V344" s="6">
        <f>IF(T344="","",IF(COUNTIF($T$2:$T$1001,T344)&gt;1,"DUPLICADO","OK"))</f>
      </c>
      <c r="W344" s="6">
        <f>IF(M344="","vazio",IF(OR(AND(LEN(SUBSTITUTE(SUBSTITUTE(SUBSTITUTE(SUBSTITUTE(SUBSTITUTE(SUBSTITUTE(SUBSTITUTE(TRIM(M344),".",""),"/",""),"-","")," ",""),"(",""),")",""),"+",""))=10,LEFT(SUBSTITUTE(SUBSTITUTE(SUBSTITUTE(SUBSTITUTE(SUBSTITUTE(SUBSTITUTE(SUBSTITUTE(TRIM(M344),".",""),"/",""),"-","")," ",""),"(",""),")",""),"+",""),1)&lt;&gt;"0"),AND(LEN(SUBSTITUTE(SUBSTITUTE(SUBSTITUTE(SUBSTITUTE(SUBSTITUTE(SUBSTITUTE(SUBSTITUTE(TRIM(M344),".",""),"/",""),"-","")," ",""),"(",""),")",""),"+",""))=11,LEFT(SUBSTITUTE(SUBSTITUTE(SUBSTITUTE(SUBSTITUTE(SUBSTITUTE(SUBSTITUTE(SUBSTITUTE(TRIM(M344),".",""),"/",""),"-","")," ",""),"(",""),")",""),"+",""),4)="0800")),"OK",IF(AND(LEN(SUBSTITUTE(SUBSTITUTE(SUBSTITUTE(SUBSTITUTE(SUBSTITUTE(SUBSTITUTE(SUBSTITUTE(TRIM(M344),".",""),"/",""),"-","")," ",""),"(",""),")",""),"+",""))=11,MID(SUBSTITUTE(SUBSTITUTE(SUBSTITUTE(SUBSTITUTE(SUBSTITUTE(SUBSTITUTE(SUBSTITUTE(TRIM(M344),".",""),"/",""),"-","")," ",""),"(",""),")",""),"+",""),3,1)="9"),"ERRO: é celular, use a coluna Celular","ERRO: DDD + 8 dígitos ou 0800 + 7")))</f>
      </c>
      <c r="X344" s="6">
        <f>IF(N344="","vazio",IF(AND(LEN(SUBSTITUTE(SUBSTITUTE(SUBSTITUTE(SUBSTITUTE(SUBSTITUTE(SUBSTITUTE(SUBSTITUTE(TRIM(N344),".",""),"/",""),"-","")," ",""),"(",""),")",""),"+",""))=11,MID(SUBSTITUTE(SUBSTITUTE(SUBSTITUTE(SUBSTITUTE(SUBSTITUTE(SUBSTITUTE(SUBSTITUTE(TRIM(N344),".",""),"/",""),"-","")," ",""),"(",""),")",""),"+",""),3,1)="9",LEFT(SUBSTITUTE(SUBSTITUTE(SUBSTITUTE(SUBSTITUTE(SUBSTITUTE(SUBSTITUTE(SUBSTITUTE(TRIM(N344),".",""),"/",""),"-","")," ",""),"(",""),")",""),"+",""),1)&lt;&gt;"0"),"OK",IF(LEN(SUBSTITUTE(SUBSTITUTE(SUBSTITUTE(SUBSTITUTE(SUBSTITUTE(SUBSTITUTE(SUBSTITUTE(TRIM(N344),".",""),"/",""),"-","")," ",""),"(",""),")",""),"+",""))=10,"ERRO: é fixo (ou falta o 9), use a coluna Telefone fixo","ERRO: DDD + 9 + 8 dígitos")))</f>
      </c>
      <c r="Y344" s="6">
        <f>IF(O344="","vazio",IF(AND(ISNUMBER(FIND("@",O344)),ISNUMBER(FIND(".",MID(O344,FIND("@",O344),99))),NOT(ISNUMBER(FIND(" ",TRIM(O344)))),NOT(ISNUMBER(FIND(";",O344))),NOT(ISNUMBER(FIND(",",O344)))),"OK","ERRO: um e-mail válido por linha"))</f>
      </c>
      <c r="Z344" s="6">
        <f>IF(AND(J344="",K344=""),"",IF(AND(J344&lt;&gt;"",K344&lt;&gt;""),"OK","pendente: só um nome (o GR completa ao converter)"))</f>
      </c>
      <c r="AA344" s="6">
        <f>IF(COUNTA(A344:S344)=0,"",IF(AND(A344&lt;&gt;"",B344&lt;&gt;"",C344&lt;&gt;"",D344&lt;&gt;"",E344&lt;&gt;"",F344&lt;&gt;"",G344&lt;&gt;"",H344&lt;&gt;"",OR(J344&lt;&gt;"",K344&lt;&gt;""),OR(M344&lt;&gt;"",N344&lt;&gt;"",O344&lt;&gt;"")),"OK","ERRO: faltam "&amp;IF(A344="","SDR; ","")&amp;IF(B344="","Proprietário; ","")&amp;IF(C344="","Origem; ","")&amp;IF(D344="","Temperatura; ","")&amp;IF(E344="","Segmento; ","")&amp;IF(F344="","Time/Cluster; ","")&amp;IF(G344="","CNPJ; ","")&amp;IF(H344="","Razão Social; ","")&amp;IF(AND(J344="",K344=""),"nome do contato; ","")&amp;IF(AND(M344="",N344="",O344=""),"telefone, celular ou e-mail; ","")))</f>
      </c>
      <c r="AB344" s="6">
        <f>IF(COUNTA(A344:S344)=0,"",IF(AND(U344="OK",V344="OK",LEFT(W344,4)&lt;&gt;"ERRO",LEFT(X344,4)&lt;&gt;"ERRO",LEFT(Y344,4)&lt;&gt;"ERRO",AA344="OK"),"OK","REVISAR"))</f>
      </c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5"/>
      <c r="K345" s="4"/>
      <c r="L345" s="4"/>
      <c r="M345" s="4"/>
      <c r="N345" s="4"/>
      <c r="O345" s="4"/>
      <c r="P345" s="4"/>
      <c r="Q345" s="4"/>
      <c r="R345" s="4"/>
      <c r="S345" s="4"/>
      <c r="T345" s="6">
        <f>IF(G345="","",SUBSTITUTE(SUBSTITUTE(SUBSTITUTE(SUBSTITUTE(SUBSTITUTE(SUBSTITUTE(SUBSTITUTE(TRIM(G345),".",""),"/",""),"-","")," ",""),"(",""),")",""),"+",""))</f>
      </c>
      <c r="U345" s="6">
        <f>IF(T345="","",IF(LEN(T345)&lt;&gt;14,"ERRO: "&amp;LEN(T345)&amp;" dígitos",IF(NOT(ISNUMBER(VALUE(T345))),"ERRO: não numérico",IF(LEN(SUBSTITUTE(T345,LEFT(T345,1),""))=0,"ERRO: dígitos repetidos",IF(AND(VALUE(MID(T345,13,1))=IF(MOD(SUMPRODUCT(--MID(T345,{1,2,3,4,5,6,7,8,9,10,11,12},1),{5,4,3,2,9,8,7,6,5,4,3,2}),11)&lt;2,0,11-MOD(SUMPRODUCT(--MID(T345,{1,2,3,4,5,6,7,8,9,10,11,12},1),{5,4,3,2,9,8,7,6,5,4,3,2}),11)),VALUE(MID(T345,14,1))=IF(MOD(SUMPRODUCT(--MID(T345,{1,2,3,4,5,6,7,8,9,10,11,12,13},1),{6,5,4,3,2,9,8,7,6,5,4,3,2}),11)&lt;2,0,11-MOD(SUMPRODUCT(--MID(T345,{1,2,3,4,5,6,7,8,9,10,11,12,13},1),{6,5,4,3,2,9,8,7,6,5,4,3,2}),11))),"OK","ERRO: dígito verificador")))))</f>
      </c>
      <c r="V345" s="6">
        <f>IF(T345="","",IF(COUNTIF($T$2:$T$1001,T345)&gt;1,"DUPLICADO","OK"))</f>
      </c>
      <c r="W345" s="6">
        <f>IF(M345="","vazio",IF(OR(AND(LEN(SUBSTITUTE(SUBSTITUTE(SUBSTITUTE(SUBSTITUTE(SUBSTITUTE(SUBSTITUTE(SUBSTITUTE(TRIM(M345),".",""),"/",""),"-","")," ",""),"(",""),")",""),"+",""))=10,LEFT(SUBSTITUTE(SUBSTITUTE(SUBSTITUTE(SUBSTITUTE(SUBSTITUTE(SUBSTITUTE(SUBSTITUTE(TRIM(M345),".",""),"/",""),"-","")," ",""),"(",""),")",""),"+",""),1)&lt;&gt;"0"),AND(LEN(SUBSTITUTE(SUBSTITUTE(SUBSTITUTE(SUBSTITUTE(SUBSTITUTE(SUBSTITUTE(SUBSTITUTE(TRIM(M345),".",""),"/",""),"-","")," ",""),"(",""),")",""),"+",""))=11,LEFT(SUBSTITUTE(SUBSTITUTE(SUBSTITUTE(SUBSTITUTE(SUBSTITUTE(SUBSTITUTE(SUBSTITUTE(TRIM(M345),".",""),"/",""),"-","")," ",""),"(",""),")",""),"+",""),4)="0800")),"OK",IF(AND(LEN(SUBSTITUTE(SUBSTITUTE(SUBSTITUTE(SUBSTITUTE(SUBSTITUTE(SUBSTITUTE(SUBSTITUTE(TRIM(M345),".",""),"/",""),"-","")," ",""),"(",""),")",""),"+",""))=11,MID(SUBSTITUTE(SUBSTITUTE(SUBSTITUTE(SUBSTITUTE(SUBSTITUTE(SUBSTITUTE(SUBSTITUTE(TRIM(M345),".",""),"/",""),"-","")," ",""),"(",""),")",""),"+",""),3,1)="9"),"ERRO: é celular, use a coluna Celular","ERRO: DDD + 8 dígitos ou 0800 + 7")))</f>
      </c>
      <c r="X345" s="6">
        <f>IF(N345="","vazio",IF(AND(LEN(SUBSTITUTE(SUBSTITUTE(SUBSTITUTE(SUBSTITUTE(SUBSTITUTE(SUBSTITUTE(SUBSTITUTE(TRIM(N345),".",""),"/",""),"-","")," ",""),"(",""),")",""),"+",""))=11,MID(SUBSTITUTE(SUBSTITUTE(SUBSTITUTE(SUBSTITUTE(SUBSTITUTE(SUBSTITUTE(SUBSTITUTE(TRIM(N345),".",""),"/",""),"-","")," ",""),"(",""),")",""),"+",""),3,1)="9",LEFT(SUBSTITUTE(SUBSTITUTE(SUBSTITUTE(SUBSTITUTE(SUBSTITUTE(SUBSTITUTE(SUBSTITUTE(TRIM(N345),".",""),"/",""),"-","")," ",""),"(",""),")",""),"+",""),1)&lt;&gt;"0"),"OK",IF(LEN(SUBSTITUTE(SUBSTITUTE(SUBSTITUTE(SUBSTITUTE(SUBSTITUTE(SUBSTITUTE(SUBSTITUTE(TRIM(N345),".",""),"/",""),"-","")," ",""),"(",""),")",""),"+",""))=10,"ERRO: é fixo (ou falta o 9), use a coluna Telefone fixo","ERRO: DDD + 9 + 8 dígitos")))</f>
      </c>
      <c r="Y345" s="6">
        <f>IF(O345="","vazio",IF(AND(ISNUMBER(FIND("@",O345)),ISNUMBER(FIND(".",MID(O345,FIND("@",O345),99))),NOT(ISNUMBER(FIND(" ",TRIM(O345)))),NOT(ISNUMBER(FIND(";",O345))),NOT(ISNUMBER(FIND(",",O345)))),"OK","ERRO: um e-mail válido por linha"))</f>
      </c>
      <c r="Z345" s="6">
        <f>IF(AND(J345="",K345=""),"",IF(AND(J345&lt;&gt;"",K345&lt;&gt;""),"OK","pendente: só um nome (o GR completa ao converter)"))</f>
      </c>
      <c r="AA345" s="6">
        <f>IF(COUNTA(A345:S345)=0,"",IF(AND(A345&lt;&gt;"",B345&lt;&gt;"",C345&lt;&gt;"",D345&lt;&gt;"",E345&lt;&gt;"",F345&lt;&gt;"",G345&lt;&gt;"",H345&lt;&gt;"",OR(J345&lt;&gt;"",K345&lt;&gt;""),OR(M345&lt;&gt;"",N345&lt;&gt;"",O345&lt;&gt;"")),"OK","ERRO: faltam "&amp;IF(A345="","SDR; ","")&amp;IF(B345="","Proprietário; ","")&amp;IF(C345="","Origem; ","")&amp;IF(D345="","Temperatura; ","")&amp;IF(E345="","Segmento; ","")&amp;IF(F345="","Time/Cluster; ","")&amp;IF(G345="","CNPJ; ","")&amp;IF(H345="","Razão Social; ","")&amp;IF(AND(J345="",K345=""),"nome do contato; ","")&amp;IF(AND(M345="",N345="",O345=""),"telefone, celular ou e-mail; ","")))</f>
      </c>
      <c r="AB345" s="6">
        <f>IF(COUNTA(A345:S345)=0,"",IF(AND(U345="OK",V345="OK",LEFT(W345,4)&lt;&gt;"ERRO",LEFT(X345,4)&lt;&gt;"ERRO",LEFT(Y345,4)&lt;&gt;"ERRO",AA345="OK"),"OK","REVISAR"))</f>
      </c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5"/>
      <c r="K346" s="4"/>
      <c r="L346" s="4"/>
      <c r="M346" s="4"/>
      <c r="N346" s="4"/>
      <c r="O346" s="4"/>
      <c r="P346" s="4"/>
      <c r="Q346" s="4"/>
      <c r="R346" s="4"/>
      <c r="S346" s="4"/>
      <c r="T346" s="6">
        <f>IF(G346="","",SUBSTITUTE(SUBSTITUTE(SUBSTITUTE(SUBSTITUTE(SUBSTITUTE(SUBSTITUTE(SUBSTITUTE(TRIM(G346),".",""),"/",""),"-","")," ",""),"(",""),")",""),"+",""))</f>
      </c>
      <c r="U346" s="6">
        <f>IF(T346="","",IF(LEN(T346)&lt;&gt;14,"ERRO: "&amp;LEN(T346)&amp;" dígitos",IF(NOT(ISNUMBER(VALUE(T346))),"ERRO: não numérico",IF(LEN(SUBSTITUTE(T346,LEFT(T346,1),""))=0,"ERRO: dígitos repetidos",IF(AND(VALUE(MID(T346,13,1))=IF(MOD(SUMPRODUCT(--MID(T346,{1,2,3,4,5,6,7,8,9,10,11,12},1),{5,4,3,2,9,8,7,6,5,4,3,2}),11)&lt;2,0,11-MOD(SUMPRODUCT(--MID(T346,{1,2,3,4,5,6,7,8,9,10,11,12},1),{5,4,3,2,9,8,7,6,5,4,3,2}),11)),VALUE(MID(T346,14,1))=IF(MOD(SUMPRODUCT(--MID(T346,{1,2,3,4,5,6,7,8,9,10,11,12,13},1),{6,5,4,3,2,9,8,7,6,5,4,3,2}),11)&lt;2,0,11-MOD(SUMPRODUCT(--MID(T346,{1,2,3,4,5,6,7,8,9,10,11,12,13},1),{6,5,4,3,2,9,8,7,6,5,4,3,2}),11))),"OK","ERRO: dígito verificador")))))</f>
      </c>
      <c r="V346" s="6">
        <f>IF(T346="","",IF(COUNTIF($T$2:$T$1001,T346)&gt;1,"DUPLICADO","OK"))</f>
      </c>
      <c r="W346" s="6">
        <f>IF(M346="","vazio",IF(OR(AND(LEN(SUBSTITUTE(SUBSTITUTE(SUBSTITUTE(SUBSTITUTE(SUBSTITUTE(SUBSTITUTE(SUBSTITUTE(TRIM(M346),".",""),"/",""),"-","")," ",""),"(",""),")",""),"+",""))=10,LEFT(SUBSTITUTE(SUBSTITUTE(SUBSTITUTE(SUBSTITUTE(SUBSTITUTE(SUBSTITUTE(SUBSTITUTE(TRIM(M346),".",""),"/",""),"-","")," ",""),"(",""),")",""),"+",""),1)&lt;&gt;"0"),AND(LEN(SUBSTITUTE(SUBSTITUTE(SUBSTITUTE(SUBSTITUTE(SUBSTITUTE(SUBSTITUTE(SUBSTITUTE(TRIM(M346),".",""),"/",""),"-","")," ",""),"(",""),")",""),"+",""))=11,LEFT(SUBSTITUTE(SUBSTITUTE(SUBSTITUTE(SUBSTITUTE(SUBSTITUTE(SUBSTITUTE(SUBSTITUTE(TRIM(M346),".",""),"/",""),"-","")," ",""),"(",""),")",""),"+",""),4)="0800")),"OK",IF(AND(LEN(SUBSTITUTE(SUBSTITUTE(SUBSTITUTE(SUBSTITUTE(SUBSTITUTE(SUBSTITUTE(SUBSTITUTE(TRIM(M346),".",""),"/",""),"-","")," ",""),"(",""),")",""),"+",""))=11,MID(SUBSTITUTE(SUBSTITUTE(SUBSTITUTE(SUBSTITUTE(SUBSTITUTE(SUBSTITUTE(SUBSTITUTE(TRIM(M346),".",""),"/",""),"-","")," ",""),"(",""),")",""),"+",""),3,1)="9"),"ERRO: é celular, use a coluna Celular","ERRO: DDD + 8 dígitos ou 0800 + 7")))</f>
      </c>
      <c r="X346" s="6">
        <f>IF(N346="","vazio",IF(AND(LEN(SUBSTITUTE(SUBSTITUTE(SUBSTITUTE(SUBSTITUTE(SUBSTITUTE(SUBSTITUTE(SUBSTITUTE(TRIM(N346),".",""),"/",""),"-","")," ",""),"(",""),")",""),"+",""))=11,MID(SUBSTITUTE(SUBSTITUTE(SUBSTITUTE(SUBSTITUTE(SUBSTITUTE(SUBSTITUTE(SUBSTITUTE(TRIM(N346),".",""),"/",""),"-","")," ",""),"(",""),")",""),"+",""),3,1)="9",LEFT(SUBSTITUTE(SUBSTITUTE(SUBSTITUTE(SUBSTITUTE(SUBSTITUTE(SUBSTITUTE(SUBSTITUTE(TRIM(N346),".",""),"/",""),"-","")," ",""),"(",""),")",""),"+",""),1)&lt;&gt;"0"),"OK",IF(LEN(SUBSTITUTE(SUBSTITUTE(SUBSTITUTE(SUBSTITUTE(SUBSTITUTE(SUBSTITUTE(SUBSTITUTE(TRIM(N346),".",""),"/",""),"-","")," ",""),"(",""),")",""),"+",""))=10,"ERRO: é fixo (ou falta o 9), use a coluna Telefone fixo","ERRO: DDD + 9 + 8 dígitos")))</f>
      </c>
      <c r="Y346" s="6">
        <f>IF(O346="","vazio",IF(AND(ISNUMBER(FIND("@",O346)),ISNUMBER(FIND(".",MID(O346,FIND("@",O346),99))),NOT(ISNUMBER(FIND(" ",TRIM(O346)))),NOT(ISNUMBER(FIND(";",O346))),NOT(ISNUMBER(FIND(",",O346)))),"OK","ERRO: um e-mail válido por linha"))</f>
      </c>
      <c r="Z346" s="6">
        <f>IF(AND(J346="",K346=""),"",IF(AND(J346&lt;&gt;"",K346&lt;&gt;""),"OK","pendente: só um nome (o GR completa ao converter)"))</f>
      </c>
      <c r="AA346" s="6">
        <f>IF(COUNTA(A346:S346)=0,"",IF(AND(A346&lt;&gt;"",B346&lt;&gt;"",C346&lt;&gt;"",D346&lt;&gt;"",E346&lt;&gt;"",F346&lt;&gt;"",G346&lt;&gt;"",H346&lt;&gt;"",OR(J346&lt;&gt;"",K346&lt;&gt;""),OR(M346&lt;&gt;"",N346&lt;&gt;"",O346&lt;&gt;"")),"OK","ERRO: faltam "&amp;IF(A346="","SDR; ","")&amp;IF(B346="","Proprietário; ","")&amp;IF(C346="","Origem; ","")&amp;IF(D346="","Temperatura; ","")&amp;IF(E346="","Segmento; ","")&amp;IF(F346="","Time/Cluster; ","")&amp;IF(G346="","CNPJ; ","")&amp;IF(H346="","Razão Social; ","")&amp;IF(AND(J346="",K346=""),"nome do contato; ","")&amp;IF(AND(M346="",N346="",O346=""),"telefone, celular ou e-mail; ","")))</f>
      </c>
      <c r="AB346" s="6">
        <f>IF(COUNTA(A346:S346)=0,"",IF(AND(U346="OK",V346="OK",LEFT(W346,4)&lt;&gt;"ERRO",LEFT(X346,4)&lt;&gt;"ERRO",LEFT(Y346,4)&lt;&gt;"ERRO",AA346="OK"),"OK","REVISAR"))</f>
      </c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5"/>
      <c r="K347" s="4"/>
      <c r="L347" s="4"/>
      <c r="M347" s="4"/>
      <c r="N347" s="4"/>
      <c r="O347" s="4"/>
      <c r="P347" s="4"/>
      <c r="Q347" s="4"/>
      <c r="R347" s="4"/>
      <c r="S347" s="4"/>
      <c r="T347" s="6">
        <f>IF(G347="","",SUBSTITUTE(SUBSTITUTE(SUBSTITUTE(SUBSTITUTE(SUBSTITUTE(SUBSTITUTE(SUBSTITUTE(TRIM(G347),".",""),"/",""),"-","")," ",""),"(",""),")",""),"+",""))</f>
      </c>
      <c r="U347" s="6">
        <f>IF(T347="","",IF(LEN(T347)&lt;&gt;14,"ERRO: "&amp;LEN(T347)&amp;" dígitos",IF(NOT(ISNUMBER(VALUE(T347))),"ERRO: não numérico",IF(LEN(SUBSTITUTE(T347,LEFT(T347,1),""))=0,"ERRO: dígitos repetidos",IF(AND(VALUE(MID(T347,13,1))=IF(MOD(SUMPRODUCT(--MID(T347,{1,2,3,4,5,6,7,8,9,10,11,12},1),{5,4,3,2,9,8,7,6,5,4,3,2}),11)&lt;2,0,11-MOD(SUMPRODUCT(--MID(T347,{1,2,3,4,5,6,7,8,9,10,11,12},1),{5,4,3,2,9,8,7,6,5,4,3,2}),11)),VALUE(MID(T347,14,1))=IF(MOD(SUMPRODUCT(--MID(T347,{1,2,3,4,5,6,7,8,9,10,11,12,13},1),{6,5,4,3,2,9,8,7,6,5,4,3,2}),11)&lt;2,0,11-MOD(SUMPRODUCT(--MID(T347,{1,2,3,4,5,6,7,8,9,10,11,12,13},1),{6,5,4,3,2,9,8,7,6,5,4,3,2}),11))),"OK","ERRO: dígito verificador")))))</f>
      </c>
      <c r="V347" s="6">
        <f>IF(T347="","",IF(COUNTIF($T$2:$T$1001,T347)&gt;1,"DUPLICADO","OK"))</f>
      </c>
      <c r="W347" s="6">
        <f>IF(M347="","vazio",IF(OR(AND(LEN(SUBSTITUTE(SUBSTITUTE(SUBSTITUTE(SUBSTITUTE(SUBSTITUTE(SUBSTITUTE(SUBSTITUTE(TRIM(M347),".",""),"/",""),"-","")," ",""),"(",""),")",""),"+",""))=10,LEFT(SUBSTITUTE(SUBSTITUTE(SUBSTITUTE(SUBSTITUTE(SUBSTITUTE(SUBSTITUTE(SUBSTITUTE(TRIM(M347),".",""),"/",""),"-","")," ",""),"(",""),")",""),"+",""),1)&lt;&gt;"0"),AND(LEN(SUBSTITUTE(SUBSTITUTE(SUBSTITUTE(SUBSTITUTE(SUBSTITUTE(SUBSTITUTE(SUBSTITUTE(TRIM(M347),".",""),"/",""),"-","")," ",""),"(",""),")",""),"+",""))=11,LEFT(SUBSTITUTE(SUBSTITUTE(SUBSTITUTE(SUBSTITUTE(SUBSTITUTE(SUBSTITUTE(SUBSTITUTE(TRIM(M347),".",""),"/",""),"-","")," ",""),"(",""),")",""),"+",""),4)="0800")),"OK",IF(AND(LEN(SUBSTITUTE(SUBSTITUTE(SUBSTITUTE(SUBSTITUTE(SUBSTITUTE(SUBSTITUTE(SUBSTITUTE(TRIM(M347),".",""),"/",""),"-","")," ",""),"(",""),")",""),"+",""))=11,MID(SUBSTITUTE(SUBSTITUTE(SUBSTITUTE(SUBSTITUTE(SUBSTITUTE(SUBSTITUTE(SUBSTITUTE(TRIM(M347),".",""),"/",""),"-","")," ",""),"(",""),")",""),"+",""),3,1)="9"),"ERRO: é celular, use a coluna Celular","ERRO: DDD + 8 dígitos ou 0800 + 7")))</f>
      </c>
      <c r="X347" s="6">
        <f>IF(N347="","vazio",IF(AND(LEN(SUBSTITUTE(SUBSTITUTE(SUBSTITUTE(SUBSTITUTE(SUBSTITUTE(SUBSTITUTE(SUBSTITUTE(TRIM(N347),".",""),"/",""),"-","")," ",""),"(",""),")",""),"+",""))=11,MID(SUBSTITUTE(SUBSTITUTE(SUBSTITUTE(SUBSTITUTE(SUBSTITUTE(SUBSTITUTE(SUBSTITUTE(TRIM(N347),".",""),"/",""),"-","")," ",""),"(",""),")",""),"+",""),3,1)="9",LEFT(SUBSTITUTE(SUBSTITUTE(SUBSTITUTE(SUBSTITUTE(SUBSTITUTE(SUBSTITUTE(SUBSTITUTE(TRIM(N347),".",""),"/",""),"-","")," ",""),"(",""),")",""),"+",""),1)&lt;&gt;"0"),"OK",IF(LEN(SUBSTITUTE(SUBSTITUTE(SUBSTITUTE(SUBSTITUTE(SUBSTITUTE(SUBSTITUTE(SUBSTITUTE(TRIM(N347),".",""),"/",""),"-","")," ",""),"(",""),")",""),"+",""))=10,"ERRO: é fixo (ou falta o 9), use a coluna Telefone fixo","ERRO: DDD + 9 + 8 dígitos")))</f>
      </c>
      <c r="Y347" s="6">
        <f>IF(O347="","vazio",IF(AND(ISNUMBER(FIND("@",O347)),ISNUMBER(FIND(".",MID(O347,FIND("@",O347),99))),NOT(ISNUMBER(FIND(" ",TRIM(O347)))),NOT(ISNUMBER(FIND(";",O347))),NOT(ISNUMBER(FIND(",",O347)))),"OK","ERRO: um e-mail válido por linha"))</f>
      </c>
      <c r="Z347" s="6">
        <f>IF(AND(J347="",K347=""),"",IF(AND(J347&lt;&gt;"",K347&lt;&gt;""),"OK","pendente: só um nome (o GR completa ao converter)"))</f>
      </c>
      <c r="AA347" s="6">
        <f>IF(COUNTA(A347:S347)=0,"",IF(AND(A347&lt;&gt;"",B347&lt;&gt;"",C347&lt;&gt;"",D347&lt;&gt;"",E347&lt;&gt;"",F347&lt;&gt;"",G347&lt;&gt;"",H347&lt;&gt;"",OR(J347&lt;&gt;"",K347&lt;&gt;""),OR(M347&lt;&gt;"",N347&lt;&gt;"",O347&lt;&gt;"")),"OK","ERRO: faltam "&amp;IF(A347="","SDR; ","")&amp;IF(B347="","Proprietário; ","")&amp;IF(C347="","Origem; ","")&amp;IF(D347="","Temperatura; ","")&amp;IF(E347="","Segmento; ","")&amp;IF(F347="","Time/Cluster; ","")&amp;IF(G347="","CNPJ; ","")&amp;IF(H347="","Razão Social; ","")&amp;IF(AND(J347="",K347=""),"nome do contato; ","")&amp;IF(AND(M347="",N347="",O347=""),"telefone, celular ou e-mail; ","")))</f>
      </c>
      <c r="AB347" s="6">
        <f>IF(COUNTA(A347:S347)=0,"",IF(AND(U347="OK",V347="OK",LEFT(W347,4)&lt;&gt;"ERRO",LEFT(X347,4)&lt;&gt;"ERRO",LEFT(Y347,4)&lt;&gt;"ERRO",AA347="OK"),"OK","REVISAR"))</f>
      </c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5"/>
      <c r="K348" s="4"/>
      <c r="L348" s="4"/>
      <c r="M348" s="4"/>
      <c r="N348" s="4"/>
      <c r="O348" s="4"/>
      <c r="P348" s="4"/>
      <c r="Q348" s="4"/>
      <c r="R348" s="4"/>
      <c r="S348" s="4"/>
      <c r="T348" s="6">
        <f>IF(G348="","",SUBSTITUTE(SUBSTITUTE(SUBSTITUTE(SUBSTITUTE(SUBSTITUTE(SUBSTITUTE(SUBSTITUTE(TRIM(G348),".",""),"/",""),"-","")," ",""),"(",""),")",""),"+",""))</f>
      </c>
      <c r="U348" s="6">
        <f>IF(T348="","",IF(LEN(T348)&lt;&gt;14,"ERRO: "&amp;LEN(T348)&amp;" dígitos",IF(NOT(ISNUMBER(VALUE(T348))),"ERRO: não numérico",IF(LEN(SUBSTITUTE(T348,LEFT(T348,1),""))=0,"ERRO: dígitos repetidos",IF(AND(VALUE(MID(T348,13,1))=IF(MOD(SUMPRODUCT(--MID(T348,{1,2,3,4,5,6,7,8,9,10,11,12},1),{5,4,3,2,9,8,7,6,5,4,3,2}),11)&lt;2,0,11-MOD(SUMPRODUCT(--MID(T348,{1,2,3,4,5,6,7,8,9,10,11,12},1),{5,4,3,2,9,8,7,6,5,4,3,2}),11)),VALUE(MID(T348,14,1))=IF(MOD(SUMPRODUCT(--MID(T348,{1,2,3,4,5,6,7,8,9,10,11,12,13},1),{6,5,4,3,2,9,8,7,6,5,4,3,2}),11)&lt;2,0,11-MOD(SUMPRODUCT(--MID(T348,{1,2,3,4,5,6,7,8,9,10,11,12,13},1),{6,5,4,3,2,9,8,7,6,5,4,3,2}),11))),"OK","ERRO: dígito verificador")))))</f>
      </c>
      <c r="V348" s="6">
        <f>IF(T348="","",IF(COUNTIF($T$2:$T$1001,T348)&gt;1,"DUPLICADO","OK"))</f>
      </c>
      <c r="W348" s="6">
        <f>IF(M348="","vazio",IF(OR(AND(LEN(SUBSTITUTE(SUBSTITUTE(SUBSTITUTE(SUBSTITUTE(SUBSTITUTE(SUBSTITUTE(SUBSTITUTE(TRIM(M348),".",""),"/",""),"-","")," ",""),"(",""),")",""),"+",""))=10,LEFT(SUBSTITUTE(SUBSTITUTE(SUBSTITUTE(SUBSTITUTE(SUBSTITUTE(SUBSTITUTE(SUBSTITUTE(TRIM(M348),".",""),"/",""),"-","")," ",""),"(",""),")",""),"+",""),1)&lt;&gt;"0"),AND(LEN(SUBSTITUTE(SUBSTITUTE(SUBSTITUTE(SUBSTITUTE(SUBSTITUTE(SUBSTITUTE(SUBSTITUTE(TRIM(M348),".",""),"/",""),"-","")," ",""),"(",""),")",""),"+",""))=11,LEFT(SUBSTITUTE(SUBSTITUTE(SUBSTITUTE(SUBSTITUTE(SUBSTITUTE(SUBSTITUTE(SUBSTITUTE(TRIM(M348),".",""),"/",""),"-","")," ",""),"(",""),")",""),"+",""),4)="0800")),"OK",IF(AND(LEN(SUBSTITUTE(SUBSTITUTE(SUBSTITUTE(SUBSTITUTE(SUBSTITUTE(SUBSTITUTE(SUBSTITUTE(TRIM(M348),".",""),"/",""),"-","")," ",""),"(",""),")",""),"+",""))=11,MID(SUBSTITUTE(SUBSTITUTE(SUBSTITUTE(SUBSTITUTE(SUBSTITUTE(SUBSTITUTE(SUBSTITUTE(TRIM(M348),".",""),"/",""),"-","")," ",""),"(",""),")",""),"+",""),3,1)="9"),"ERRO: é celular, use a coluna Celular","ERRO: DDD + 8 dígitos ou 0800 + 7")))</f>
      </c>
      <c r="X348" s="6">
        <f>IF(N348="","vazio",IF(AND(LEN(SUBSTITUTE(SUBSTITUTE(SUBSTITUTE(SUBSTITUTE(SUBSTITUTE(SUBSTITUTE(SUBSTITUTE(TRIM(N348),".",""),"/",""),"-","")," ",""),"(",""),")",""),"+",""))=11,MID(SUBSTITUTE(SUBSTITUTE(SUBSTITUTE(SUBSTITUTE(SUBSTITUTE(SUBSTITUTE(SUBSTITUTE(TRIM(N348),".",""),"/",""),"-","")," ",""),"(",""),")",""),"+",""),3,1)="9",LEFT(SUBSTITUTE(SUBSTITUTE(SUBSTITUTE(SUBSTITUTE(SUBSTITUTE(SUBSTITUTE(SUBSTITUTE(TRIM(N348),".",""),"/",""),"-","")," ",""),"(",""),")",""),"+",""),1)&lt;&gt;"0"),"OK",IF(LEN(SUBSTITUTE(SUBSTITUTE(SUBSTITUTE(SUBSTITUTE(SUBSTITUTE(SUBSTITUTE(SUBSTITUTE(TRIM(N348),".",""),"/",""),"-","")," ",""),"(",""),")",""),"+",""))=10,"ERRO: é fixo (ou falta o 9), use a coluna Telefone fixo","ERRO: DDD + 9 + 8 dígitos")))</f>
      </c>
      <c r="Y348" s="6">
        <f>IF(O348="","vazio",IF(AND(ISNUMBER(FIND("@",O348)),ISNUMBER(FIND(".",MID(O348,FIND("@",O348),99))),NOT(ISNUMBER(FIND(" ",TRIM(O348)))),NOT(ISNUMBER(FIND(";",O348))),NOT(ISNUMBER(FIND(",",O348)))),"OK","ERRO: um e-mail válido por linha"))</f>
      </c>
      <c r="Z348" s="6">
        <f>IF(AND(J348="",K348=""),"",IF(AND(J348&lt;&gt;"",K348&lt;&gt;""),"OK","pendente: só um nome (o GR completa ao converter)"))</f>
      </c>
      <c r="AA348" s="6">
        <f>IF(COUNTA(A348:S348)=0,"",IF(AND(A348&lt;&gt;"",B348&lt;&gt;"",C348&lt;&gt;"",D348&lt;&gt;"",E348&lt;&gt;"",F348&lt;&gt;"",G348&lt;&gt;"",H348&lt;&gt;"",OR(J348&lt;&gt;"",K348&lt;&gt;""),OR(M348&lt;&gt;"",N348&lt;&gt;"",O348&lt;&gt;"")),"OK","ERRO: faltam "&amp;IF(A348="","SDR; ","")&amp;IF(B348="","Proprietário; ","")&amp;IF(C348="","Origem; ","")&amp;IF(D348="","Temperatura; ","")&amp;IF(E348="","Segmento; ","")&amp;IF(F348="","Time/Cluster; ","")&amp;IF(G348="","CNPJ; ","")&amp;IF(H348="","Razão Social; ","")&amp;IF(AND(J348="",K348=""),"nome do contato; ","")&amp;IF(AND(M348="",N348="",O348=""),"telefone, celular ou e-mail; ","")))</f>
      </c>
      <c r="AB348" s="6">
        <f>IF(COUNTA(A348:S348)=0,"",IF(AND(U348="OK",V348="OK",LEFT(W348,4)&lt;&gt;"ERRO",LEFT(X348,4)&lt;&gt;"ERRO",LEFT(Y348,4)&lt;&gt;"ERRO",AA348="OK"),"OK","REVISAR"))</f>
      </c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5"/>
      <c r="K349" s="4"/>
      <c r="L349" s="4"/>
      <c r="M349" s="4"/>
      <c r="N349" s="4"/>
      <c r="O349" s="4"/>
      <c r="P349" s="4"/>
      <c r="Q349" s="4"/>
      <c r="R349" s="4"/>
      <c r="S349" s="4"/>
      <c r="T349" s="6">
        <f>IF(G349="","",SUBSTITUTE(SUBSTITUTE(SUBSTITUTE(SUBSTITUTE(SUBSTITUTE(SUBSTITUTE(SUBSTITUTE(TRIM(G349),".",""),"/",""),"-","")," ",""),"(",""),")",""),"+",""))</f>
      </c>
      <c r="U349" s="6">
        <f>IF(T349="","",IF(LEN(T349)&lt;&gt;14,"ERRO: "&amp;LEN(T349)&amp;" dígitos",IF(NOT(ISNUMBER(VALUE(T349))),"ERRO: não numérico",IF(LEN(SUBSTITUTE(T349,LEFT(T349,1),""))=0,"ERRO: dígitos repetidos",IF(AND(VALUE(MID(T349,13,1))=IF(MOD(SUMPRODUCT(--MID(T349,{1,2,3,4,5,6,7,8,9,10,11,12},1),{5,4,3,2,9,8,7,6,5,4,3,2}),11)&lt;2,0,11-MOD(SUMPRODUCT(--MID(T349,{1,2,3,4,5,6,7,8,9,10,11,12},1),{5,4,3,2,9,8,7,6,5,4,3,2}),11)),VALUE(MID(T349,14,1))=IF(MOD(SUMPRODUCT(--MID(T349,{1,2,3,4,5,6,7,8,9,10,11,12,13},1),{6,5,4,3,2,9,8,7,6,5,4,3,2}),11)&lt;2,0,11-MOD(SUMPRODUCT(--MID(T349,{1,2,3,4,5,6,7,8,9,10,11,12,13},1),{6,5,4,3,2,9,8,7,6,5,4,3,2}),11))),"OK","ERRO: dígito verificador")))))</f>
      </c>
      <c r="V349" s="6">
        <f>IF(T349="","",IF(COUNTIF($T$2:$T$1001,T349)&gt;1,"DUPLICADO","OK"))</f>
      </c>
      <c r="W349" s="6">
        <f>IF(M349="","vazio",IF(OR(AND(LEN(SUBSTITUTE(SUBSTITUTE(SUBSTITUTE(SUBSTITUTE(SUBSTITUTE(SUBSTITUTE(SUBSTITUTE(TRIM(M349),".",""),"/",""),"-","")," ",""),"(",""),")",""),"+",""))=10,LEFT(SUBSTITUTE(SUBSTITUTE(SUBSTITUTE(SUBSTITUTE(SUBSTITUTE(SUBSTITUTE(SUBSTITUTE(TRIM(M349),".",""),"/",""),"-","")," ",""),"(",""),")",""),"+",""),1)&lt;&gt;"0"),AND(LEN(SUBSTITUTE(SUBSTITUTE(SUBSTITUTE(SUBSTITUTE(SUBSTITUTE(SUBSTITUTE(SUBSTITUTE(TRIM(M349),".",""),"/",""),"-","")," ",""),"(",""),")",""),"+",""))=11,LEFT(SUBSTITUTE(SUBSTITUTE(SUBSTITUTE(SUBSTITUTE(SUBSTITUTE(SUBSTITUTE(SUBSTITUTE(TRIM(M349),".",""),"/",""),"-","")," ",""),"(",""),")",""),"+",""),4)="0800")),"OK",IF(AND(LEN(SUBSTITUTE(SUBSTITUTE(SUBSTITUTE(SUBSTITUTE(SUBSTITUTE(SUBSTITUTE(SUBSTITUTE(TRIM(M349),".",""),"/",""),"-","")," ",""),"(",""),")",""),"+",""))=11,MID(SUBSTITUTE(SUBSTITUTE(SUBSTITUTE(SUBSTITUTE(SUBSTITUTE(SUBSTITUTE(SUBSTITUTE(TRIM(M349),".",""),"/",""),"-","")," ",""),"(",""),")",""),"+",""),3,1)="9"),"ERRO: é celular, use a coluna Celular","ERRO: DDD + 8 dígitos ou 0800 + 7")))</f>
      </c>
      <c r="X349" s="6">
        <f>IF(N349="","vazio",IF(AND(LEN(SUBSTITUTE(SUBSTITUTE(SUBSTITUTE(SUBSTITUTE(SUBSTITUTE(SUBSTITUTE(SUBSTITUTE(TRIM(N349),".",""),"/",""),"-","")," ",""),"(",""),")",""),"+",""))=11,MID(SUBSTITUTE(SUBSTITUTE(SUBSTITUTE(SUBSTITUTE(SUBSTITUTE(SUBSTITUTE(SUBSTITUTE(TRIM(N349),".",""),"/",""),"-","")," ",""),"(",""),")",""),"+",""),3,1)="9",LEFT(SUBSTITUTE(SUBSTITUTE(SUBSTITUTE(SUBSTITUTE(SUBSTITUTE(SUBSTITUTE(SUBSTITUTE(TRIM(N349),".",""),"/",""),"-","")," ",""),"(",""),")",""),"+",""),1)&lt;&gt;"0"),"OK",IF(LEN(SUBSTITUTE(SUBSTITUTE(SUBSTITUTE(SUBSTITUTE(SUBSTITUTE(SUBSTITUTE(SUBSTITUTE(TRIM(N349),".",""),"/",""),"-","")," ",""),"(",""),")",""),"+",""))=10,"ERRO: é fixo (ou falta o 9), use a coluna Telefone fixo","ERRO: DDD + 9 + 8 dígitos")))</f>
      </c>
      <c r="Y349" s="6">
        <f>IF(O349="","vazio",IF(AND(ISNUMBER(FIND("@",O349)),ISNUMBER(FIND(".",MID(O349,FIND("@",O349),99))),NOT(ISNUMBER(FIND(" ",TRIM(O349)))),NOT(ISNUMBER(FIND(";",O349))),NOT(ISNUMBER(FIND(",",O349)))),"OK","ERRO: um e-mail válido por linha"))</f>
      </c>
      <c r="Z349" s="6">
        <f>IF(AND(J349="",K349=""),"",IF(AND(J349&lt;&gt;"",K349&lt;&gt;""),"OK","pendente: só um nome (o GR completa ao converter)"))</f>
      </c>
      <c r="AA349" s="6">
        <f>IF(COUNTA(A349:S349)=0,"",IF(AND(A349&lt;&gt;"",B349&lt;&gt;"",C349&lt;&gt;"",D349&lt;&gt;"",E349&lt;&gt;"",F349&lt;&gt;"",G349&lt;&gt;"",H349&lt;&gt;"",OR(J349&lt;&gt;"",K349&lt;&gt;""),OR(M349&lt;&gt;"",N349&lt;&gt;"",O349&lt;&gt;"")),"OK","ERRO: faltam "&amp;IF(A349="","SDR; ","")&amp;IF(B349="","Proprietário; ","")&amp;IF(C349="","Origem; ","")&amp;IF(D349="","Temperatura; ","")&amp;IF(E349="","Segmento; ","")&amp;IF(F349="","Time/Cluster; ","")&amp;IF(G349="","CNPJ; ","")&amp;IF(H349="","Razão Social; ","")&amp;IF(AND(J349="",K349=""),"nome do contato; ","")&amp;IF(AND(M349="",N349="",O349=""),"telefone, celular ou e-mail; ","")))</f>
      </c>
      <c r="AB349" s="6">
        <f>IF(COUNTA(A349:S349)=0,"",IF(AND(U349="OK",V349="OK",LEFT(W349,4)&lt;&gt;"ERRO",LEFT(X349,4)&lt;&gt;"ERRO",LEFT(Y349,4)&lt;&gt;"ERRO",AA349="OK"),"OK","REVISAR"))</f>
      </c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5"/>
      <c r="K350" s="4"/>
      <c r="L350" s="4"/>
      <c r="M350" s="4"/>
      <c r="N350" s="4"/>
      <c r="O350" s="4"/>
      <c r="P350" s="4"/>
      <c r="Q350" s="4"/>
      <c r="R350" s="4"/>
      <c r="S350" s="4"/>
      <c r="T350" s="6">
        <f>IF(G350="","",SUBSTITUTE(SUBSTITUTE(SUBSTITUTE(SUBSTITUTE(SUBSTITUTE(SUBSTITUTE(SUBSTITUTE(TRIM(G350),".",""),"/",""),"-","")," ",""),"(",""),")",""),"+",""))</f>
      </c>
      <c r="U350" s="6">
        <f>IF(T350="","",IF(LEN(T350)&lt;&gt;14,"ERRO: "&amp;LEN(T350)&amp;" dígitos",IF(NOT(ISNUMBER(VALUE(T350))),"ERRO: não numérico",IF(LEN(SUBSTITUTE(T350,LEFT(T350,1),""))=0,"ERRO: dígitos repetidos",IF(AND(VALUE(MID(T350,13,1))=IF(MOD(SUMPRODUCT(--MID(T350,{1,2,3,4,5,6,7,8,9,10,11,12},1),{5,4,3,2,9,8,7,6,5,4,3,2}),11)&lt;2,0,11-MOD(SUMPRODUCT(--MID(T350,{1,2,3,4,5,6,7,8,9,10,11,12},1),{5,4,3,2,9,8,7,6,5,4,3,2}),11)),VALUE(MID(T350,14,1))=IF(MOD(SUMPRODUCT(--MID(T350,{1,2,3,4,5,6,7,8,9,10,11,12,13},1),{6,5,4,3,2,9,8,7,6,5,4,3,2}),11)&lt;2,0,11-MOD(SUMPRODUCT(--MID(T350,{1,2,3,4,5,6,7,8,9,10,11,12,13},1),{6,5,4,3,2,9,8,7,6,5,4,3,2}),11))),"OK","ERRO: dígito verificador")))))</f>
      </c>
      <c r="V350" s="6">
        <f>IF(T350="","",IF(COUNTIF($T$2:$T$1001,T350)&gt;1,"DUPLICADO","OK"))</f>
      </c>
      <c r="W350" s="6">
        <f>IF(M350="","vazio",IF(OR(AND(LEN(SUBSTITUTE(SUBSTITUTE(SUBSTITUTE(SUBSTITUTE(SUBSTITUTE(SUBSTITUTE(SUBSTITUTE(TRIM(M350),".",""),"/",""),"-","")," ",""),"(",""),")",""),"+",""))=10,LEFT(SUBSTITUTE(SUBSTITUTE(SUBSTITUTE(SUBSTITUTE(SUBSTITUTE(SUBSTITUTE(SUBSTITUTE(TRIM(M350),".",""),"/",""),"-","")," ",""),"(",""),")",""),"+",""),1)&lt;&gt;"0"),AND(LEN(SUBSTITUTE(SUBSTITUTE(SUBSTITUTE(SUBSTITUTE(SUBSTITUTE(SUBSTITUTE(SUBSTITUTE(TRIM(M350),".",""),"/",""),"-","")," ",""),"(",""),")",""),"+",""))=11,LEFT(SUBSTITUTE(SUBSTITUTE(SUBSTITUTE(SUBSTITUTE(SUBSTITUTE(SUBSTITUTE(SUBSTITUTE(TRIM(M350),".",""),"/",""),"-","")," ",""),"(",""),")",""),"+",""),4)="0800")),"OK",IF(AND(LEN(SUBSTITUTE(SUBSTITUTE(SUBSTITUTE(SUBSTITUTE(SUBSTITUTE(SUBSTITUTE(SUBSTITUTE(TRIM(M350),".",""),"/",""),"-","")," ",""),"(",""),")",""),"+",""))=11,MID(SUBSTITUTE(SUBSTITUTE(SUBSTITUTE(SUBSTITUTE(SUBSTITUTE(SUBSTITUTE(SUBSTITUTE(TRIM(M350),".",""),"/",""),"-","")," ",""),"(",""),")",""),"+",""),3,1)="9"),"ERRO: é celular, use a coluna Celular","ERRO: DDD + 8 dígitos ou 0800 + 7")))</f>
      </c>
      <c r="X350" s="6">
        <f>IF(N350="","vazio",IF(AND(LEN(SUBSTITUTE(SUBSTITUTE(SUBSTITUTE(SUBSTITUTE(SUBSTITUTE(SUBSTITUTE(SUBSTITUTE(TRIM(N350),".",""),"/",""),"-","")," ",""),"(",""),")",""),"+",""))=11,MID(SUBSTITUTE(SUBSTITUTE(SUBSTITUTE(SUBSTITUTE(SUBSTITUTE(SUBSTITUTE(SUBSTITUTE(TRIM(N350),".",""),"/",""),"-","")," ",""),"(",""),")",""),"+",""),3,1)="9",LEFT(SUBSTITUTE(SUBSTITUTE(SUBSTITUTE(SUBSTITUTE(SUBSTITUTE(SUBSTITUTE(SUBSTITUTE(TRIM(N350),".",""),"/",""),"-","")," ",""),"(",""),")",""),"+",""),1)&lt;&gt;"0"),"OK",IF(LEN(SUBSTITUTE(SUBSTITUTE(SUBSTITUTE(SUBSTITUTE(SUBSTITUTE(SUBSTITUTE(SUBSTITUTE(TRIM(N350),".",""),"/",""),"-","")," ",""),"(",""),")",""),"+",""))=10,"ERRO: é fixo (ou falta o 9), use a coluna Telefone fixo","ERRO: DDD + 9 + 8 dígitos")))</f>
      </c>
      <c r="Y350" s="6">
        <f>IF(O350="","vazio",IF(AND(ISNUMBER(FIND("@",O350)),ISNUMBER(FIND(".",MID(O350,FIND("@",O350),99))),NOT(ISNUMBER(FIND(" ",TRIM(O350)))),NOT(ISNUMBER(FIND(";",O350))),NOT(ISNUMBER(FIND(",",O350)))),"OK","ERRO: um e-mail válido por linha"))</f>
      </c>
      <c r="Z350" s="6">
        <f>IF(AND(J350="",K350=""),"",IF(AND(J350&lt;&gt;"",K350&lt;&gt;""),"OK","pendente: só um nome (o GR completa ao converter)"))</f>
      </c>
      <c r="AA350" s="6">
        <f>IF(COUNTA(A350:S350)=0,"",IF(AND(A350&lt;&gt;"",B350&lt;&gt;"",C350&lt;&gt;"",D350&lt;&gt;"",E350&lt;&gt;"",F350&lt;&gt;"",G350&lt;&gt;"",H350&lt;&gt;"",OR(J350&lt;&gt;"",K350&lt;&gt;""),OR(M350&lt;&gt;"",N350&lt;&gt;"",O350&lt;&gt;"")),"OK","ERRO: faltam "&amp;IF(A350="","SDR; ","")&amp;IF(B350="","Proprietário; ","")&amp;IF(C350="","Origem; ","")&amp;IF(D350="","Temperatura; ","")&amp;IF(E350="","Segmento; ","")&amp;IF(F350="","Time/Cluster; ","")&amp;IF(G350="","CNPJ; ","")&amp;IF(H350="","Razão Social; ","")&amp;IF(AND(J350="",K350=""),"nome do contato; ","")&amp;IF(AND(M350="",N350="",O350=""),"telefone, celular ou e-mail; ","")))</f>
      </c>
      <c r="AB350" s="6">
        <f>IF(COUNTA(A350:S350)=0,"",IF(AND(U350="OK",V350="OK",LEFT(W350,4)&lt;&gt;"ERRO",LEFT(X350,4)&lt;&gt;"ERRO",LEFT(Y350,4)&lt;&gt;"ERRO",AA350="OK"),"OK","REVISAR"))</f>
      </c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5"/>
      <c r="K351" s="4"/>
      <c r="L351" s="4"/>
      <c r="M351" s="4"/>
      <c r="N351" s="4"/>
      <c r="O351" s="4"/>
      <c r="P351" s="4"/>
      <c r="Q351" s="4"/>
      <c r="R351" s="4"/>
      <c r="S351" s="4"/>
      <c r="T351" s="6">
        <f>IF(G351="","",SUBSTITUTE(SUBSTITUTE(SUBSTITUTE(SUBSTITUTE(SUBSTITUTE(SUBSTITUTE(SUBSTITUTE(TRIM(G351),".",""),"/",""),"-","")," ",""),"(",""),")",""),"+",""))</f>
      </c>
      <c r="U351" s="6">
        <f>IF(T351="","",IF(LEN(T351)&lt;&gt;14,"ERRO: "&amp;LEN(T351)&amp;" dígitos",IF(NOT(ISNUMBER(VALUE(T351))),"ERRO: não numérico",IF(LEN(SUBSTITUTE(T351,LEFT(T351,1),""))=0,"ERRO: dígitos repetidos",IF(AND(VALUE(MID(T351,13,1))=IF(MOD(SUMPRODUCT(--MID(T351,{1,2,3,4,5,6,7,8,9,10,11,12},1),{5,4,3,2,9,8,7,6,5,4,3,2}),11)&lt;2,0,11-MOD(SUMPRODUCT(--MID(T351,{1,2,3,4,5,6,7,8,9,10,11,12},1),{5,4,3,2,9,8,7,6,5,4,3,2}),11)),VALUE(MID(T351,14,1))=IF(MOD(SUMPRODUCT(--MID(T351,{1,2,3,4,5,6,7,8,9,10,11,12,13},1),{6,5,4,3,2,9,8,7,6,5,4,3,2}),11)&lt;2,0,11-MOD(SUMPRODUCT(--MID(T351,{1,2,3,4,5,6,7,8,9,10,11,12,13},1),{6,5,4,3,2,9,8,7,6,5,4,3,2}),11))),"OK","ERRO: dígito verificador")))))</f>
      </c>
      <c r="V351" s="6">
        <f>IF(T351="","",IF(COUNTIF($T$2:$T$1001,T351)&gt;1,"DUPLICADO","OK"))</f>
      </c>
      <c r="W351" s="6">
        <f>IF(M351="","vazio",IF(OR(AND(LEN(SUBSTITUTE(SUBSTITUTE(SUBSTITUTE(SUBSTITUTE(SUBSTITUTE(SUBSTITUTE(SUBSTITUTE(TRIM(M351),".",""),"/",""),"-","")," ",""),"(",""),")",""),"+",""))=10,LEFT(SUBSTITUTE(SUBSTITUTE(SUBSTITUTE(SUBSTITUTE(SUBSTITUTE(SUBSTITUTE(SUBSTITUTE(TRIM(M351),".",""),"/",""),"-","")," ",""),"(",""),")",""),"+",""),1)&lt;&gt;"0"),AND(LEN(SUBSTITUTE(SUBSTITUTE(SUBSTITUTE(SUBSTITUTE(SUBSTITUTE(SUBSTITUTE(SUBSTITUTE(TRIM(M351),".",""),"/",""),"-","")," ",""),"(",""),")",""),"+",""))=11,LEFT(SUBSTITUTE(SUBSTITUTE(SUBSTITUTE(SUBSTITUTE(SUBSTITUTE(SUBSTITUTE(SUBSTITUTE(TRIM(M351),".",""),"/",""),"-","")," ",""),"(",""),")",""),"+",""),4)="0800")),"OK",IF(AND(LEN(SUBSTITUTE(SUBSTITUTE(SUBSTITUTE(SUBSTITUTE(SUBSTITUTE(SUBSTITUTE(SUBSTITUTE(TRIM(M351),".",""),"/",""),"-","")," ",""),"(",""),")",""),"+",""))=11,MID(SUBSTITUTE(SUBSTITUTE(SUBSTITUTE(SUBSTITUTE(SUBSTITUTE(SUBSTITUTE(SUBSTITUTE(TRIM(M351),".",""),"/",""),"-","")," ",""),"(",""),")",""),"+",""),3,1)="9"),"ERRO: é celular, use a coluna Celular","ERRO: DDD + 8 dígitos ou 0800 + 7")))</f>
      </c>
      <c r="X351" s="6">
        <f>IF(N351="","vazio",IF(AND(LEN(SUBSTITUTE(SUBSTITUTE(SUBSTITUTE(SUBSTITUTE(SUBSTITUTE(SUBSTITUTE(SUBSTITUTE(TRIM(N351),".",""),"/",""),"-","")," ",""),"(",""),")",""),"+",""))=11,MID(SUBSTITUTE(SUBSTITUTE(SUBSTITUTE(SUBSTITUTE(SUBSTITUTE(SUBSTITUTE(SUBSTITUTE(TRIM(N351),".",""),"/",""),"-","")," ",""),"(",""),")",""),"+",""),3,1)="9",LEFT(SUBSTITUTE(SUBSTITUTE(SUBSTITUTE(SUBSTITUTE(SUBSTITUTE(SUBSTITUTE(SUBSTITUTE(TRIM(N351),".",""),"/",""),"-","")," ",""),"(",""),")",""),"+",""),1)&lt;&gt;"0"),"OK",IF(LEN(SUBSTITUTE(SUBSTITUTE(SUBSTITUTE(SUBSTITUTE(SUBSTITUTE(SUBSTITUTE(SUBSTITUTE(TRIM(N351),".",""),"/",""),"-","")," ",""),"(",""),")",""),"+",""))=10,"ERRO: é fixo (ou falta o 9), use a coluna Telefone fixo","ERRO: DDD + 9 + 8 dígitos")))</f>
      </c>
      <c r="Y351" s="6">
        <f>IF(O351="","vazio",IF(AND(ISNUMBER(FIND("@",O351)),ISNUMBER(FIND(".",MID(O351,FIND("@",O351),99))),NOT(ISNUMBER(FIND(" ",TRIM(O351)))),NOT(ISNUMBER(FIND(";",O351))),NOT(ISNUMBER(FIND(",",O351)))),"OK","ERRO: um e-mail válido por linha"))</f>
      </c>
      <c r="Z351" s="6">
        <f>IF(AND(J351="",K351=""),"",IF(AND(J351&lt;&gt;"",K351&lt;&gt;""),"OK","pendente: só um nome (o GR completa ao converter)"))</f>
      </c>
      <c r="AA351" s="6">
        <f>IF(COUNTA(A351:S351)=0,"",IF(AND(A351&lt;&gt;"",B351&lt;&gt;"",C351&lt;&gt;"",D351&lt;&gt;"",E351&lt;&gt;"",F351&lt;&gt;"",G351&lt;&gt;"",H351&lt;&gt;"",OR(J351&lt;&gt;"",K351&lt;&gt;""),OR(M351&lt;&gt;"",N351&lt;&gt;"",O351&lt;&gt;"")),"OK","ERRO: faltam "&amp;IF(A351="","SDR; ","")&amp;IF(B351="","Proprietário; ","")&amp;IF(C351="","Origem; ","")&amp;IF(D351="","Temperatura; ","")&amp;IF(E351="","Segmento; ","")&amp;IF(F351="","Time/Cluster; ","")&amp;IF(G351="","CNPJ; ","")&amp;IF(H351="","Razão Social; ","")&amp;IF(AND(J351="",K351=""),"nome do contato; ","")&amp;IF(AND(M351="",N351="",O351=""),"telefone, celular ou e-mail; ","")))</f>
      </c>
      <c r="AB351" s="6">
        <f>IF(COUNTA(A351:S351)=0,"",IF(AND(U351="OK",V351="OK",LEFT(W351,4)&lt;&gt;"ERRO",LEFT(X351,4)&lt;&gt;"ERRO",LEFT(Y351,4)&lt;&gt;"ERRO",AA351="OK"),"OK","REVISAR"))</f>
      </c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5"/>
      <c r="K352" s="4"/>
      <c r="L352" s="4"/>
      <c r="M352" s="4"/>
      <c r="N352" s="4"/>
      <c r="O352" s="4"/>
      <c r="P352" s="4"/>
      <c r="Q352" s="4"/>
      <c r="R352" s="4"/>
      <c r="S352" s="4"/>
      <c r="T352" s="6">
        <f>IF(G352="","",SUBSTITUTE(SUBSTITUTE(SUBSTITUTE(SUBSTITUTE(SUBSTITUTE(SUBSTITUTE(SUBSTITUTE(TRIM(G352),".",""),"/",""),"-","")," ",""),"(",""),")",""),"+",""))</f>
      </c>
      <c r="U352" s="6">
        <f>IF(T352="","",IF(LEN(T352)&lt;&gt;14,"ERRO: "&amp;LEN(T352)&amp;" dígitos",IF(NOT(ISNUMBER(VALUE(T352))),"ERRO: não numérico",IF(LEN(SUBSTITUTE(T352,LEFT(T352,1),""))=0,"ERRO: dígitos repetidos",IF(AND(VALUE(MID(T352,13,1))=IF(MOD(SUMPRODUCT(--MID(T352,{1,2,3,4,5,6,7,8,9,10,11,12},1),{5,4,3,2,9,8,7,6,5,4,3,2}),11)&lt;2,0,11-MOD(SUMPRODUCT(--MID(T352,{1,2,3,4,5,6,7,8,9,10,11,12},1),{5,4,3,2,9,8,7,6,5,4,3,2}),11)),VALUE(MID(T352,14,1))=IF(MOD(SUMPRODUCT(--MID(T352,{1,2,3,4,5,6,7,8,9,10,11,12,13},1),{6,5,4,3,2,9,8,7,6,5,4,3,2}),11)&lt;2,0,11-MOD(SUMPRODUCT(--MID(T352,{1,2,3,4,5,6,7,8,9,10,11,12,13},1),{6,5,4,3,2,9,8,7,6,5,4,3,2}),11))),"OK","ERRO: dígito verificador")))))</f>
      </c>
      <c r="V352" s="6">
        <f>IF(T352="","",IF(COUNTIF($T$2:$T$1001,T352)&gt;1,"DUPLICADO","OK"))</f>
      </c>
      <c r="W352" s="6">
        <f>IF(M352="","vazio",IF(OR(AND(LEN(SUBSTITUTE(SUBSTITUTE(SUBSTITUTE(SUBSTITUTE(SUBSTITUTE(SUBSTITUTE(SUBSTITUTE(TRIM(M352),".",""),"/",""),"-","")," ",""),"(",""),")",""),"+",""))=10,LEFT(SUBSTITUTE(SUBSTITUTE(SUBSTITUTE(SUBSTITUTE(SUBSTITUTE(SUBSTITUTE(SUBSTITUTE(TRIM(M352),".",""),"/",""),"-","")," ",""),"(",""),")",""),"+",""),1)&lt;&gt;"0"),AND(LEN(SUBSTITUTE(SUBSTITUTE(SUBSTITUTE(SUBSTITUTE(SUBSTITUTE(SUBSTITUTE(SUBSTITUTE(TRIM(M352),".",""),"/",""),"-","")," ",""),"(",""),")",""),"+",""))=11,LEFT(SUBSTITUTE(SUBSTITUTE(SUBSTITUTE(SUBSTITUTE(SUBSTITUTE(SUBSTITUTE(SUBSTITUTE(TRIM(M352),".",""),"/",""),"-","")," ",""),"(",""),")",""),"+",""),4)="0800")),"OK",IF(AND(LEN(SUBSTITUTE(SUBSTITUTE(SUBSTITUTE(SUBSTITUTE(SUBSTITUTE(SUBSTITUTE(SUBSTITUTE(TRIM(M352),".",""),"/",""),"-","")," ",""),"(",""),")",""),"+",""))=11,MID(SUBSTITUTE(SUBSTITUTE(SUBSTITUTE(SUBSTITUTE(SUBSTITUTE(SUBSTITUTE(SUBSTITUTE(TRIM(M352),".",""),"/",""),"-","")," ",""),"(",""),")",""),"+",""),3,1)="9"),"ERRO: é celular, use a coluna Celular","ERRO: DDD + 8 dígitos ou 0800 + 7")))</f>
      </c>
      <c r="X352" s="6">
        <f>IF(N352="","vazio",IF(AND(LEN(SUBSTITUTE(SUBSTITUTE(SUBSTITUTE(SUBSTITUTE(SUBSTITUTE(SUBSTITUTE(SUBSTITUTE(TRIM(N352),".",""),"/",""),"-","")," ",""),"(",""),")",""),"+",""))=11,MID(SUBSTITUTE(SUBSTITUTE(SUBSTITUTE(SUBSTITUTE(SUBSTITUTE(SUBSTITUTE(SUBSTITUTE(TRIM(N352),".",""),"/",""),"-","")," ",""),"(",""),")",""),"+",""),3,1)="9",LEFT(SUBSTITUTE(SUBSTITUTE(SUBSTITUTE(SUBSTITUTE(SUBSTITUTE(SUBSTITUTE(SUBSTITUTE(TRIM(N352),".",""),"/",""),"-","")," ",""),"(",""),")",""),"+",""),1)&lt;&gt;"0"),"OK",IF(LEN(SUBSTITUTE(SUBSTITUTE(SUBSTITUTE(SUBSTITUTE(SUBSTITUTE(SUBSTITUTE(SUBSTITUTE(TRIM(N352),".",""),"/",""),"-","")," ",""),"(",""),")",""),"+",""))=10,"ERRO: é fixo (ou falta o 9), use a coluna Telefone fixo","ERRO: DDD + 9 + 8 dígitos")))</f>
      </c>
      <c r="Y352" s="6">
        <f>IF(O352="","vazio",IF(AND(ISNUMBER(FIND("@",O352)),ISNUMBER(FIND(".",MID(O352,FIND("@",O352),99))),NOT(ISNUMBER(FIND(" ",TRIM(O352)))),NOT(ISNUMBER(FIND(";",O352))),NOT(ISNUMBER(FIND(",",O352)))),"OK","ERRO: um e-mail válido por linha"))</f>
      </c>
      <c r="Z352" s="6">
        <f>IF(AND(J352="",K352=""),"",IF(AND(J352&lt;&gt;"",K352&lt;&gt;""),"OK","pendente: só um nome (o GR completa ao converter)"))</f>
      </c>
      <c r="AA352" s="6">
        <f>IF(COUNTA(A352:S352)=0,"",IF(AND(A352&lt;&gt;"",B352&lt;&gt;"",C352&lt;&gt;"",D352&lt;&gt;"",E352&lt;&gt;"",F352&lt;&gt;"",G352&lt;&gt;"",H352&lt;&gt;"",OR(J352&lt;&gt;"",K352&lt;&gt;""),OR(M352&lt;&gt;"",N352&lt;&gt;"",O352&lt;&gt;"")),"OK","ERRO: faltam "&amp;IF(A352="","SDR; ","")&amp;IF(B352="","Proprietário; ","")&amp;IF(C352="","Origem; ","")&amp;IF(D352="","Temperatura; ","")&amp;IF(E352="","Segmento; ","")&amp;IF(F352="","Time/Cluster; ","")&amp;IF(G352="","CNPJ; ","")&amp;IF(H352="","Razão Social; ","")&amp;IF(AND(J352="",K352=""),"nome do contato; ","")&amp;IF(AND(M352="",N352="",O352=""),"telefone, celular ou e-mail; ","")))</f>
      </c>
      <c r="AB352" s="6">
        <f>IF(COUNTA(A352:S352)=0,"",IF(AND(U352="OK",V352="OK",LEFT(W352,4)&lt;&gt;"ERRO",LEFT(X352,4)&lt;&gt;"ERRO",LEFT(Y352,4)&lt;&gt;"ERRO",AA352="OK"),"OK","REVISAR"))</f>
      </c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5"/>
      <c r="K353" s="4"/>
      <c r="L353" s="4"/>
      <c r="M353" s="4"/>
      <c r="N353" s="4"/>
      <c r="O353" s="4"/>
      <c r="P353" s="4"/>
      <c r="Q353" s="4"/>
      <c r="R353" s="4"/>
      <c r="S353" s="4"/>
      <c r="T353" s="6">
        <f>IF(G353="","",SUBSTITUTE(SUBSTITUTE(SUBSTITUTE(SUBSTITUTE(SUBSTITUTE(SUBSTITUTE(SUBSTITUTE(TRIM(G353),".",""),"/",""),"-","")," ",""),"(",""),")",""),"+",""))</f>
      </c>
      <c r="U353" s="6">
        <f>IF(T353="","",IF(LEN(T353)&lt;&gt;14,"ERRO: "&amp;LEN(T353)&amp;" dígitos",IF(NOT(ISNUMBER(VALUE(T353))),"ERRO: não numérico",IF(LEN(SUBSTITUTE(T353,LEFT(T353,1),""))=0,"ERRO: dígitos repetidos",IF(AND(VALUE(MID(T353,13,1))=IF(MOD(SUMPRODUCT(--MID(T353,{1,2,3,4,5,6,7,8,9,10,11,12},1),{5,4,3,2,9,8,7,6,5,4,3,2}),11)&lt;2,0,11-MOD(SUMPRODUCT(--MID(T353,{1,2,3,4,5,6,7,8,9,10,11,12},1),{5,4,3,2,9,8,7,6,5,4,3,2}),11)),VALUE(MID(T353,14,1))=IF(MOD(SUMPRODUCT(--MID(T353,{1,2,3,4,5,6,7,8,9,10,11,12,13},1),{6,5,4,3,2,9,8,7,6,5,4,3,2}),11)&lt;2,0,11-MOD(SUMPRODUCT(--MID(T353,{1,2,3,4,5,6,7,8,9,10,11,12,13},1),{6,5,4,3,2,9,8,7,6,5,4,3,2}),11))),"OK","ERRO: dígito verificador")))))</f>
      </c>
      <c r="V353" s="6">
        <f>IF(T353="","",IF(COUNTIF($T$2:$T$1001,T353)&gt;1,"DUPLICADO","OK"))</f>
      </c>
      <c r="W353" s="6">
        <f>IF(M353="","vazio",IF(OR(AND(LEN(SUBSTITUTE(SUBSTITUTE(SUBSTITUTE(SUBSTITUTE(SUBSTITUTE(SUBSTITUTE(SUBSTITUTE(TRIM(M353),".",""),"/",""),"-","")," ",""),"(",""),")",""),"+",""))=10,LEFT(SUBSTITUTE(SUBSTITUTE(SUBSTITUTE(SUBSTITUTE(SUBSTITUTE(SUBSTITUTE(SUBSTITUTE(TRIM(M353),".",""),"/",""),"-","")," ",""),"(",""),")",""),"+",""),1)&lt;&gt;"0"),AND(LEN(SUBSTITUTE(SUBSTITUTE(SUBSTITUTE(SUBSTITUTE(SUBSTITUTE(SUBSTITUTE(SUBSTITUTE(TRIM(M353),".",""),"/",""),"-","")," ",""),"(",""),")",""),"+",""))=11,LEFT(SUBSTITUTE(SUBSTITUTE(SUBSTITUTE(SUBSTITUTE(SUBSTITUTE(SUBSTITUTE(SUBSTITUTE(TRIM(M353),".",""),"/",""),"-","")," ",""),"(",""),")",""),"+",""),4)="0800")),"OK",IF(AND(LEN(SUBSTITUTE(SUBSTITUTE(SUBSTITUTE(SUBSTITUTE(SUBSTITUTE(SUBSTITUTE(SUBSTITUTE(TRIM(M353),".",""),"/",""),"-","")," ",""),"(",""),")",""),"+",""))=11,MID(SUBSTITUTE(SUBSTITUTE(SUBSTITUTE(SUBSTITUTE(SUBSTITUTE(SUBSTITUTE(SUBSTITUTE(TRIM(M353),".",""),"/",""),"-","")," ",""),"(",""),")",""),"+",""),3,1)="9"),"ERRO: é celular, use a coluna Celular","ERRO: DDD + 8 dígitos ou 0800 + 7")))</f>
      </c>
      <c r="X353" s="6">
        <f>IF(N353="","vazio",IF(AND(LEN(SUBSTITUTE(SUBSTITUTE(SUBSTITUTE(SUBSTITUTE(SUBSTITUTE(SUBSTITUTE(SUBSTITUTE(TRIM(N353),".",""),"/",""),"-","")," ",""),"(",""),")",""),"+",""))=11,MID(SUBSTITUTE(SUBSTITUTE(SUBSTITUTE(SUBSTITUTE(SUBSTITUTE(SUBSTITUTE(SUBSTITUTE(TRIM(N353),".",""),"/",""),"-","")," ",""),"(",""),")",""),"+",""),3,1)="9",LEFT(SUBSTITUTE(SUBSTITUTE(SUBSTITUTE(SUBSTITUTE(SUBSTITUTE(SUBSTITUTE(SUBSTITUTE(TRIM(N353),".",""),"/",""),"-","")," ",""),"(",""),")",""),"+",""),1)&lt;&gt;"0"),"OK",IF(LEN(SUBSTITUTE(SUBSTITUTE(SUBSTITUTE(SUBSTITUTE(SUBSTITUTE(SUBSTITUTE(SUBSTITUTE(TRIM(N353),".",""),"/",""),"-","")," ",""),"(",""),")",""),"+",""))=10,"ERRO: é fixo (ou falta o 9), use a coluna Telefone fixo","ERRO: DDD + 9 + 8 dígitos")))</f>
      </c>
      <c r="Y353" s="6">
        <f>IF(O353="","vazio",IF(AND(ISNUMBER(FIND("@",O353)),ISNUMBER(FIND(".",MID(O353,FIND("@",O353),99))),NOT(ISNUMBER(FIND(" ",TRIM(O353)))),NOT(ISNUMBER(FIND(";",O353))),NOT(ISNUMBER(FIND(",",O353)))),"OK","ERRO: um e-mail válido por linha"))</f>
      </c>
      <c r="Z353" s="6">
        <f>IF(AND(J353="",K353=""),"",IF(AND(J353&lt;&gt;"",K353&lt;&gt;""),"OK","pendente: só um nome (o GR completa ao converter)"))</f>
      </c>
      <c r="AA353" s="6">
        <f>IF(COUNTA(A353:S353)=0,"",IF(AND(A353&lt;&gt;"",B353&lt;&gt;"",C353&lt;&gt;"",D353&lt;&gt;"",E353&lt;&gt;"",F353&lt;&gt;"",G353&lt;&gt;"",H353&lt;&gt;"",OR(J353&lt;&gt;"",K353&lt;&gt;""),OR(M353&lt;&gt;"",N353&lt;&gt;"",O353&lt;&gt;"")),"OK","ERRO: faltam "&amp;IF(A353="","SDR; ","")&amp;IF(B353="","Proprietário; ","")&amp;IF(C353="","Origem; ","")&amp;IF(D353="","Temperatura; ","")&amp;IF(E353="","Segmento; ","")&amp;IF(F353="","Time/Cluster; ","")&amp;IF(G353="","CNPJ; ","")&amp;IF(H353="","Razão Social; ","")&amp;IF(AND(J353="",K353=""),"nome do contato; ","")&amp;IF(AND(M353="",N353="",O353=""),"telefone, celular ou e-mail; ","")))</f>
      </c>
      <c r="AB353" s="6">
        <f>IF(COUNTA(A353:S353)=0,"",IF(AND(U353="OK",V353="OK",LEFT(W353,4)&lt;&gt;"ERRO",LEFT(X353,4)&lt;&gt;"ERRO",LEFT(Y353,4)&lt;&gt;"ERRO",AA353="OK"),"OK","REVISAR"))</f>
      </c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5"/>
      <c r="K354" s="4"/>
      <c r="L354" s="4"/>
      <c r="M354" s="4"/>
      <c r="N354" s="4"/>
      <c r="O354" s="4"/>
      <c r="P354" s="4"/>
      <c r="Q354" s="4"/>
      <c r="R354" s="4"/>
      <c r="S354" s="4"/>
      <c r="T354" s="6">
        <f>IF(G354="","",SUBSTITUTE(SUBSTITUTE(SUBSTITUTE(SUBSTITUTE(SUBSTITUTE(SUBSTITUTE(SUBSTITUTE(TRIM(G354),".",""),"/",""),"-","")," ",""),"(",""),")",""),"+",""))</f>
      </c>
      <c r="U354" s="6">
        <f>IF(T354="","",IF(LEN(T354)&lt;&gt;14,"ERRO: "&amp;LEN(T354)&amp;" dígitos",IF(NOT(ISNUMBER(VALUE(T354))),"ERRO: não numérico",IF(LEN(SUBSTITUTE(T354,LEFT(T354,1),""))=0,"ERRO: dígitos repetidos",IF(AND(VALUE(MID(T354,13,1))=IF(MOD(SUMPRODUCT(--MID(T354,{1,2,3,4,5,6,7,8,9,10,11,12},1),{5,4,3,2,9,8,7,6,5,4,3,2}),11)&lt;2,0,11-MOD(SUMPRODUCT(--MID(T354,{1,2,3,4,5,6,7,8,9,10,11,12},1),{5,4,3,2,9,8,7,6,5,4,3,2}),11)),VALUE(MID(T354,14,1))=IF(MOD(SUMPRODUCT(--MID(T354,{1,2,3,4,5,6,7,8,9,10,11,12,13},1),{6,5,4,3,2,9,8,7,6,5,4,3,2}),11)&lt;2,0,11-MOD(SUMPRODUCT(--MID(T354,{1,2,3,4,5,6,7,8,9,10,11,12,13},1),{6,5,4,3,2,9,8,7,6,5,4,3,2}),11))),"OK","ERRO: dígito verificador")))))</f>
      </c>
      <c r="V354" s="6">
        <f>IF(T354="","",IF(COUNTIF($T$2:$T$1001,T354)&gt;1,"DUPLICADO","OK"))</f>
      </c>
      <c r="W354" s="6">
        <f>IF(M354="","vazio",IF(OR(AND(LEN(SUBSTITUTE(SUBSTITUTE(SUBSTITUTE(SUBSTITUTE(SUBSTITUTE(SUBSTITUTE(SUBSTITUTE(TRIM(M354),".",""),"/",""),"-","")," ",""),"(",""),")",""),"+",""))=10,LEFT(SUBSTITUTE(SUBSTITUTE(SUBSTITUTE(SUBSTITUTE(SUBSTITUTE(SUBSTITUTE(SUBSTITUTE(TRIM(M354),".",""),"/",""),"-","")," ",""),"(",""),")",""),"+",""),1)&lt;&gt;"0"),AND(LEN(SUBSTITUTE(SUBSTITUTE(SUBSTITUTE(SUBSTITUTE(SUBSTITUTE(SUBSTITUTE(SUBSTITUTE(TRIM(M354),".",""),"/",""),"-","")," ",""),"(",""),")",""),"+",""))=11,LEFT(SUBSTITUTE(SUBSTITUTE(SUBSTITUTE(SUBSTITUTE(SUBSTITUTE(SUBSTITUTE(SUBSTITUTE(TRIM(M354),".",""),"/",""),"-","")," ",""),"(",""),")",""),"+",""),4)="0800")),"OK",IF(AND(LEN(SUBSTITUTE(SUBSTITUTE(SUBSTITUTE(SUBSTITUTE(SUBSTITUTE(SUBSTITUTE(SUBSTITUTE(TRIM(M354),".",""),"/",""),"-","")," ",""),"(",""),")",""),"+",""))=11,MID(SUBSTITUTE(SUBSTITUTE(SUBSTITUTE(SUBSTITUTE(SUBSTITUTE(SUBSTITUTE(SUBSTITUTE(TRIM(M354),".",""),"/",""),"-","")," ",""),"(",""),")",""),"+",""),3,1)="9"),"ERRO: é celular, use a coluna Celular","ERRO: DDD + 8 dígitos ou 0800 + 7")))</f>
      </c>
      <c r="X354" s="6">
        <f>IF(N354="","vazio",IF(AND(LEN(SUBSTITUTE(SUBSTITUTE(SUBSTITUTE(SUBSTITUTE(SUBSTITUTE(SUBSTITUTE(SUBSTITUTE(TRIM(N354),".",""),"/",""),"-","")," ",""),"(",""),")",""),"+",""))=11,MID(SUBSTITUTE(SUBSTITUTE(SUBSTITUTE(SUBSTITUTE(SUBSTITUTE(SUBSTITUTE(SUBSTITUTE(TRIM(N354),".",""),"/",""),"-","")," ",""),"(",""),")",""),"+",""),3,1)="9",LEFT(SUBSTITUTE(SUBSTITUTE(SUBSTITUTE(SUBSTITUTE(SUBSTITUTE(SUBSTITUTE(SUBSTITUTE(TRIM(N354),".",""),"/",""),"-","")," ",""),"(",""),")",""),"+",""),1)&lt;&gt;"0"),"OK",IF(LEN(SUBSTITUTE(SUBSTITUTE(SUBSTITUTE(SUBSTITUTE(SUBSTITUTE(SUBSTITUTE(SUBSTITUTE(TRIM(N354),".",""),"/",""),"-","")," ",""),"(",""),")",""),"+",""))=10,"ERRO: é fixo (ou falta o 9), use a coluna Telefone fixo","ERRO: DDD + 9 + 8 dígitos")))</f>
      </c>
      <c r="Y354" s="6">
        <f>IF(O354="","vazio",IF(AND(ISNUMBER(FIND("@",O354)),ISNUMBER(FIND(".",MID(O354,FIND("@",O354),99))),NOT(ISNUMBER(FIND(" ",TRIM(O354)))),NOT(ISNUMBER(FIND(";",O354))),NOT(ISNUMBER(FIND(",",O354)))),"OK","ERRO: um e-mail válido por linha"))</f>
      </c>
      <c r="Z354" s="6">
        <f>IF(AND(J354="",K354=""),"",IF(AND(J354&lt;&gt;"",K354&lt;&gt;""),"OK","pendente: só um nome (o GR completa ao converter)"))</f>
      </c>
      <c r="AA354" s="6">
        <f>IF(COUNTA(A354:S354)=0,"",IF(AND(A354&lt;&gt;"",B354&lt;&gt;"",C354&lt;&gt;"",D354&lt;&gt;"",E354&lt;&gt;"",F354&lt;&gt;"",G354&lt;&gt;"",H354&lt;&gt;"",OR(J354&lt;&gt;"",K354&lt;&gt;""),OR(M354&lt;&gt;"",N354&lt;&gt;"",O354&lt;&gt;"")),"OK","ERRO: faltam "&amp;IF(A354="","SDR; ","")&amp;IF(B354="","Proprietário; ","")&amp;IF(C354="","Origem; ","")&amp;IF(D354="","Temperatura; ","")&amp;IF(E354="","Segmento; ","")&amp;IF(F354="","Time/Cluster; ","")&amp;IF(G354="","CNPJ; ","")&amp;IF(H354="","Razão Social; ","")&amp;IF(AND(J354="",K354=""),"nome do contato; ","")&amp;IF(AND(M354="",N354="",O354=""),"telefone, celular ou e-mail; ","")))</f>
      </c>
      <c r="AB354" s="6">
        <f>IF(COUNTA(A354:S354)=0,"",IF(AND(U354="OK",V354="OK",LEFT(W354,4)&lt;&gt;"ERRO",LEFT(X354,4)&lt;&gt;"ERRO",LEFT(Y354,4)&lt;&gt;"ERRO",AA354="OK"),"OK","REVISAR"))</f>
      </c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5"/>
      <c r="K355" s="4"/>
      <c r="L355" s="4"/>
      <c r="M355" s="4"/>
      <c r="N355" s="4"/>
      <c r="O355" s="4"/>
      <c r="P355" s="4"/>
      <c r="Q355" s="4"/>
      <c r="R355" s="4"/>
      <c r="S355" s="4"/>
      <c r="T355" s="6">
        <f>IF(G355="","",SUBSTITUTE(SUBSTITUTE(SUBSTITUTE(SUBSTITUTE(SUBSTITUTE(SUBSTITUTE(SUBSTITUTE(TRIM(G355),".",""),"/",""),"-","")," ",""),"(",""),")",""),"+",""))</f>
      </c>
      <c r="U355" s="6">
        <f>IF(T355="","",IF(LEN(T355)&lt;&gt;14,"ERRO: "&amp;LEN(T355)&amp;" dígitos",IF(NOT(ISNUMBER(VALUE(T355))),"ERRO: não numérico",IF(LEN(SUBSTITUTE(T355,LEFT(T355,1),""))=0,"ERRO: dígitos repetidos",IF(AND(VALUE(MID(T355,13,1))=IF(MOD(SUMPRODUCT(--MID(T355,{1,2,3,4,5,6,7,8,9,10,11,12},1),{5,4,3,2,9,8,7,6,5,4,3,2}),11)&lt;2,0,11-MOD(SUMPRODUCT(--MID(T355,{1,2,3,4,5,6,7,8,9,10,11,12},1),{5,4,3,2,9,8,7,6,5,4,3,2}),11)),VALUE(MID(T355,14,1))=IF(MOD(SUMPRODUCT(--MID(T355,{1,2,3,4,5,6,7,8,9,10,11,12,13},1),{6,5,4,3,2,9,8,7,6,5,4,3,2}),11)&lt;2,0,11-MOD(SUMPRODUCT(--MID(T355,{1,2,3,4,5,6,7,8,9,10,11,12,13},1),{6,5,4,3,2,9,8,7,6,5,4,3,2}),11))),"OK","ERRO: dígito verificador")))))</f>
      </c>
      <c r="V355" s="6">
        <f>IF(T355="","",IF(COUNTIF($T$2:$T$1001,T355)&gt;1,"DUPLICADO","OK"))</f>
      </c>
      <c r="W355" s="6">
        <f>IF(M355="","vazio",IF(OR(AND(LEN(SUBSTITUTE(SUBSTITUTE(SUBSTITUTE(SUBSTITUTE(SUBSTITUTE(SUBSTITUTE(SUBSTITUTE(TRIM(M355),".",""),"/",""),"-","")," ",""),"(",""),")",""),"+",""))=10,LEFT(SUBSTITUTE(SUBSTITUTE(SUBSTITUTE(SUBSTITUTE(SUBSTITUTE(SUBSTITUTE(SUBSTITUTE(TRIM(M355),".",""),"/",""),"-","")," ",""),"(",""),")",""),"+",""),1)&lt;&gt;"0"),AND(LEN(SUBSTITUTE(SUBSTITUTE(SUBSTITUTE(SUBSTITUTE(SUBSTITUTE(SUBSTITUTE(SUBSTITUTE(TRIM(M355),".",""),"/",""),"-","")," ",""),"(",""),")",""),"+",""))=11,LEFT(SUBSTITUTE(SUBSTITUTE(SUBSTITUTE(SUBSTITUTE(SUBSTITUTE(SUBSTITUTE(SUBSTITUTE(TRIM(M355),".",""),"/",""),"-","")," ",""),"(",""),")",""),"+",""),4)="0800")),"OK",IF(AND(LEN(SUBSTITUTE(SUBSTITUTE(SUBSTITUTE(SUBSTITUTE(SUBSTITUTE(SUBSTITUTE(SUBSTITUTE(TRIM(M355),".",""),"/",""),"-","")," ",""),"(",""),")",""),"+",""))=11,MID(SUBSTITUTE(SUBSTITUTE(SUBSTITUTE(SUBSTITUTE(SUBSTITUTE(SUBSTITUTE(SUBSTITUTE(TRIM(M355),".",""),"/",""),"-","")," ",""),"(",""),")",""),"+",""),3,1)="9"),"ERRO: é celular, use a coluna Celular","ERRO: DDD + 8 dígitos ou 0800 + 7")))</f>
      </c>
      <c r="X355" s="6">
        <f>IF(N355="","vazio",IF(AND(LEN(SUBSTITUTE(SUBSTITUTE(SUBSTITUTE(SUBSTITUTE(SUBSTITUTE(SUBSTITUTE(SUBSTITUTE(TRIM(N355),".",""),"/",""),"-","")," ",""),"(",""),")",""),"+",""))=11,MID(SUBSTITUTE(SUBSTITUTE(SUBSTITUTE(SUBSTITUTE(SUBSTITUTE(SUBSTITUTE(SUBSTITUTE(TRIM(N355),".",""),"/",""),"-","")," ",""),"(",""),")",""),"+",""),3,1)="9",LEFT(SUBSTITUTE(SUBSTITUTE(SUBSTITUTE(SUBSTITUTE(SUBSTITUTE(SUBSTITUTE(SUBSTITUTE(TRIM(N355),".",""),"/",""),"-","")," ",""),"(",""),")",""),"+",""),1)&lt;&gt;"0"),"OK",IF(LEN(SUBSTITUTE(SUBSTITUTE(SUBSTITUTE(SUBSTITUTE(SUBSTITUTE(SUBSTITUTE(SUBSTITUTE(TRIM(N355),".",""),"/",""),"-","")," ",""),"(",""),")",""),"+",""))=10,"ERRO: é fixo (ou falta o 9), use a coluna Telefone fixo","ERRO: DDD + 9 + 8 dígitos")))</f>
      </c>
      <c r="Y355" s="6">
        <f>IF(O355="","vazio",IF(AND(ISNUMBER(FIND("@",O355)),ISNUMBER(FIND(".",MID(O355,FIND("@",O355),99))),NOT(ISNUMBER(FIND(" ",TRIM(O355)))),NOT(ISNUMBER(FIND(";",O355))),NOT(ISNUMBER(FIND(",",O355)))),"OK","ERRO: um e-mail válido por linha"))</f>
      </c>
      <c r="Z355" s="6">
        <f>IF(AND(J355="",K355=""),"",IF(AND(J355&lt;&gt;"",K355&lt;&gt;""),"OK","pendente: só um nome (o GR completa ao converter)"))</f>
      </c>
      <c r="AA355" s="6">
        <f>IF(COUNTA(A355:S355)=0,"",IF(AND(A355&lt;&gt;"",B355&lt;&gt;"",C355&lt;&gt;"",D355&lt;&gt;"",E355&lt;&gt;"",F355&lt;&gt;"",G355&lt;&gt;"",H355&lt;&gt;"",OR(J355&lt;&gt;"",K355&lt;&gt;""),OR(M355&lt;&gt;"",N355&lt;&gt;"",O355&lt;&gt;"")),"OK","ERRO: faltam "&amp;IF(A355="","SDR; ","")&amp;IF(B355="","Proprietário; ","")&amp;IF(C355="","Origem; ","")&amp;IF(D355="","Temperatura; ","")&amp;IF(E355="","Segmento; ","")&amp;IF(F355="","Time/Cluster; ","")&amp;IF(G355="","CNPJ; ","")&amp;IF(H355="","Razão Social; ","")&amp;IF(AND(J355="",K355=""),"nome do contato; ","")&amp;IF(AND(M355="",N355="",O355=""),"telefone, celular ou e-mail; ","")))</f>
      </c>
      <c r="AB355" s="6">
        <f>IF(COUNTA(A355:S355)=0,"",IF(AND(U355="OK",V355="OK",LEFT(W355,4)&lt;&gt;"ERRO",LEFT(X355,4)&lt;&gt;"ERRO",LEFT(Y355,4)&lt;&gt;"ERRO",AA355="OK"),"OK","REVISAR"))</f>
      </c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5"/>
      <c r="K356" s="4"/>
      <c r="L356" s="4"/>
      <c r="M356" s="4"/>
      <c r="N356" s="4"/>
      <c r="O356" s="4"/>
      <c r="P356" s="4"/>
      <c r="Q356" s="4"/>
      <c r="R356" s="4"/>
      <c r="S356" s="4"/>
      <c r="T356" s="6">
        <f>IF(G356="","",SUBSTITUTE(SUBSTITUTE(SUBSTITUTE(SUBSTITUTE(SUBSTITUTE(SUBSTITUTE(SUBSTITUTE(TRIM(G356),".",""),"/",""),"-","")," ",""),"(",""),")",""),"+",""))</f>
      </c>
      <c r="U356" s="6">
        <f>IF(T356="","",IF(LEN(T356)&lt;&gt;14,"ERRO: "&amp;LEN(T356)&amp;" dígitos",IF(NOT(ISNUMBER(VALUE(T356))),"ERRO: não numérico",IF(LEN(SUBSTITUTE(T356,LEFT(T356,1),""))=0,"ERRO: dígitos repetidos",IF(AND(VALUE(MID(T356,13,1))=IF(MOD(SUMPRODUCT(--MID(T356,{1,2,3,4,5,6,7,8,9,10,11,12},1),{5,4,3,2,9,8,7,6,5,4,3,2}),11)&lt;2,0,11-MOD(SUMPRODUCT(--MID(T356,{1,2,3,4,5,6,7,8,9,10,11,12},1),{5,4,3,2,9,8,7,6,5,4,3,2}),11)),VALUE(MID(T356,14,1))=IF(MOD(SUMPRODUCT(--MID(T356,{1,2,3,4,5,6,7,8,9,10,11,12,13},1),{6,5,4,3,2,9,8,7,6,5,4,3,2}),11)&lt;2,0,11-MOD(SUMPRODUCT(--MID(T356,{1,2,3,4,5,6,7,8,9,10,11,12,13},1),{6,5,4,3,2,9,8,7,6,5,4,3,2}),11))),"OK","ERRO: dígito verificador")))))</f>
      </c>
      <c r="V356" s="6">
        <f>IF(T356="","",IF(COUNTIF($T$2:$T$1001,T356)&gt;1,"DUPLICADO","OK"))</f>
      </c>
      <c r="W356" s="6">
        <f>IF(M356="","vazio",IF(OR(AND(LEN(SUBSTITUTE(SUBSTITUTE(SUBSTITUTE(SUBSTITUTE(SUBSTITUTE(SUBSTITUTE(SUBSTITUTE(TRIM(M356),".",""),"/",""),"-","")," ",""),"(",""),")",""),"+",""))=10,LEFT(SUBSTITUTE(SUBSTITUTE(SUBSTITUTE(SUBSTITUTE(SUBSTITUTE(SUBSTITUTE(SUBSTITUTE(TRIM(M356),".",""),"/",""),"-","")," ",""),"(",""),")",""),"+",""),1)&lt;&gt;"0"),AND(LEN(SUBSTITUTE(SUBSTITUTE(SUBSTITUTE(SUBSTITUTE(SUBSTITUTE(SUBSTITUTE(SUBSTITUTE(TRIM(M356),".",""),"/",""),"-","")," ",""),"(",""),")",""),"+",""))=11,LEFT(SUBSTITUTE(SUBSTITUTE(SUBSTITUTE(SUBSTITUTE(SUBSTITUTE(SUBSTITUTE(SUBSTITUTE(TRIM(M356),".",""),"/",""),"-","")," ",""),"(",""),")",""),"+",""),4)="0800")),"OK",IF(AND(LEN(SUBSTITUTE(SUBSTITUTE(SUBSTITUTE(SUBSTITUTE(SUBSTITUTE(SUBSTITUTE(SUBSTITUTE(TRIM(M356),".",""),"/",""),"-","")," ",""),"(",""),")",""),"+",""))=11,MID(SUBSTITUTE(SUBSTITUTE(SUBSTITUTE(SUBSTITUTE(SUBSTITUTE(SUBSTITUTE(SUBSTITUTE(TRIM(M356),".",""),"/",""),"-","")," ",""),"(",""),")",""),"+",""),3,1)="9"),"ERRO: é celular, use a coluna Celular","ERRO: DDD + 8 dígitos ou 0800 + 7")))</f>
      </c>
      <c r="X356" s="6">
        <f>IF(N356="","vazio",IF(AND(LEN(SUBSTITUTE(SUBSTITUTE(SUBSTITUTE(SUBSTITUTE(SUBSTITUTE(SUBSTITUTE(SUBSTITUTE(TRIM(N356),".",""),"/",""),"-","")," ",""),"(",""),")",""),"+",""))=11,MID(SUBSTITUTE(SUBSTITUTE(SUBSTITUTE(SUBSTITUTE(SUBSTITUTE(SUBSTITUTE(SUBSTITUTE(TRIM(N356),".",""),"/",""),"-","")," ",""),"(",""),")",""),"+",""),3,1)="9",LEFT(SUBSTITUTE(SUBSTITUTE(SUBSTITUTE(SUBSTITUTE(SUBSTITUTE(SUBSTITUTE(SUBSTITUTE(TRIM(N356),".",""),"/",""),"-","")," ",""),"(",""),")",""),"+",""),1)&lt;&gt;"0"),"OK",IF(LEN(SUBSTITUTE(SUBSTITUTE(SUBSTITUTE(SUBSTITUTE(SUBSTITUTE(SUBSTITUTE(SUBSTITUTE(TRIM(N356),".",""),"/",""),"-","")," ",""),"(",""),")",""),"+",""))=10,"ERRO: é fixo (ou falta o 9), use a coluna Telefone fixo","ERRO: DDD + 9 + 8 dígitos")))</f>
      </c>
      <c r="Y356" s="6">
        <f>IF(O356="","vazio",IF(AND(ISNUMBER(FIND("@",O356)),ISNUMBER(FIND(".",MID(O356,FIND("@",O356),99))),NOT(ISNUMBER(FIND(" ",TRIM(O356)))),NOT(ISNUMBER(FIND(";",O356))),NOT(ISNUMBER(FIND(",",O356)))),"OK","ERRO: um e-mail válido por linha"))</f>
      </c>
      <c r="Z356" s="6">
        <f>IF(AND(J356="",K356=""),"",IF(AND(J356&lt;&gt;"",K356&lt;&gt;""),"OK","pendente: só um nome (o GR completa ao converter)"))</f>
      </c>
      <c r="AA356" s="6">
        <f>IF(COUNTA(A356:S356)=0,"",IF(AND(A356&lt;&gt;"",B356&lt;&gt;"",C356&lt;&gt;"",D356&lt;&gt;"",E356&lt;&gt;"",F356&lt;&gt;"",G356&lt;&gt;"",H356&lt;&gt;"",OR(J356&lt;&gt;"",K356&lt;&gt;""),OR(M356&lt;&gt;"",N356&lt;&gt;"",O356&lt;&gt;"")),"OK","ERRO: faltam "&amp;IF(A356="","SDR; ","")&amp;IF(B356="","Proprietário; ","")&amp;IF(C356="","Origem; ","")&amp;IF(D356="","Temperatura; ","")&amp;IF(E356="","Segmento; ","")&amp;IF(F356="","Time/Cluster; ","")&amp;IF(G356="","CNPJ; ","")&amp;IF(H356="","Razão Social; ","")&amp;IF(AND(J356="",K356=""),"nome do contato; ","")&amp;IF(AND(M356="",N356="",O356=""),"telefone, celular ou e-mail; ","")))</f>
      </c>
      <c r="AB356" s="6">
        <f>IF(COUNTA(A356:S356)=0,"",IF(AND(U356="OK",V356="OK",LEFT(W356,4)&lt;&gt;"ERRO",LEFT(X356,4)&lt;&gt;"ERRO",LEFT(Y356,4)&lt;&gt;"ERRO",AA356="OK"),"OK","REVISAR"))</f>
      </c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5"/>
      <c r="K357" s="4"/>
      <c r="L357" s="4"/>
      <c r="M357" s="4"/>
      <c r="N357" s="4"/>
      <c r="O357" s="4"/>
      <c r="P357" s="4"/>
      <c r="Q357" s="4"/>
      <c r="R357" s="4"/>
      <c r="S357" s="4"/>
      <c r="T357" s="6">
        <f>IF(G357="","",SUBSTITUTE(SUBSTITUTE(SUBSTITUTE(SUBSTITUTE(SUBSTITUTE(SUBSTITUTE(SUBSTITUTE(TRIM(G357),".",""),"/",""),"-","")," ",""),"(",""),")",""),"+",""))</f>
      </c>
      <c r="U357" s="6">
        <f>IF(T357="","",IF(LEN(T357)&lt;&gt;14,"ERRO: "&amp;LEN(T357)&amp;" dígitos",IF(NOT(ISNUMBER(VALUE(T357))),"ERRO: não numérico",IF(LEN(SUBSTITUTE(T357,LEFT(T357,1),""))=0,"ERRO: dígitos repetidos",IF(AND(VALUE(MID(T357,13,1))=IF(MOD(SUMPRODUCT(--MID(T357,{1,2,3,4,5,6,7,8,9,10,11,12},1),{5,4,3,2,9,8,7,6,5,4,3,2}),11)&lt;2,0,11-MOD(SUMPRODUCT(--MID(T357,{1,2,3,4,5,6,7,8,9,10,11,12},1),{5,4,3,2,9,8,7,6,5,4,3,2}),11)),VALUE(MID(T357,14,1))=IF(MOD(SUMPRODUCT(--MID(T357,{1,2,3,4,5,6,7,8,9,10,11,12,13},1),{6,5,4,3,2,9,8,7,6,5,4,3,2}),11)&lt;2,0,11-MOD(SUMPRODUCT(--MID(T357,{1,2,3,4,5,6,7,8,9,10,11,12,13},1),{6,5,4,3,2,9,8,7,6,5,4,3,2}),11))),"OK","ERRO: dígito verificador")))))</f>
      </c>
      <c r="V357" s="6">
        <f>IF(T357="","",IF(COUNTIF($T$2:$T$1001,T357)&gt;1,"DUPLICADO","OK"))</f>
      </c>
      <c r="W357" s="6">
        <f>IF(M357="","vazio",IF(OR(AND(LEN(SUBSTITUTE(SUBSTITUTE(SUBSTITUTE(SUBSTITUTE(SUBSTITUTE(SUBSTITUTE(SUBSTITUTE(TRIM(M357),".",""),"/",""),"-","")," ",""),"(",""),")",""),"+",""))=10,LEFT(SUBSTITUTE(SUBSTITUTE(SUBSTITUTE(SUBSTITUTE(SUBSTITUTE(SUBSTITUTE(SUBSTITUTE(TRIM(M357),".",""),"/",""),"-","")," ",""),"(",""),")",""),"+",""),1)&lt;&gt;"0"),AND(LEN(SUBSTITUTE(SUBSTITUTE(SUBSTITUTE(SUBSTITUTE(SUBSTITUTE(SUBSTITUTE(SUBSTITUTE(TRIM(M357),".",""),"/",""),"-","")," ",""),"(",""),")",""),"+",""))=11,LEFT(SUBSTITUTE(SUBSTITUTE(SUBSTITUTE(SUBSTITUTE(SUBSTITUTE(SUBSTITUTE(SUBSTITUTE(TRIM(M357),".",""),"/",""),"-","")," ",""),"(",""),")",""),"+",""),4)="0800")),"OK",IF(AND(LEN(SUBSTITUTE(SUBSTITUTE(SUBSTITUTE(SUBSTITUTE(SUBSTITUTE(SUBSTITUTE(SUBSTITUTE(TRIM(M357),".",""),"/",""),"-","")," ",""),"(",""),")",""),"+",""))=11,MID(SUBSTITUTE(SUBSTITUTE(SUBSTITUTE(SUBSTITUTE(SUBSTITUTE(SUBSTITUTE(SUBSTITUTE(TRIM(M357),".",""),"/",""),"-","")," ",""),"(",""),")",""),"+",""),3,1)="9"),"ERRO: é celular, use a coluna Celular","ERRO: DDD + 8 dígitos ou 0800 + 7")))</f>
      </c>
      <c r="X357" s="6">
        <f>IF(N357="","vazio",IF(AND(LEN(SUBSTITUTE(SUBSTITUTE(SUBSTITUTE(SUBSTITUTE(SUBSTITUTE(SUBSTITUTE(SUBSTITUTE(TRIM(N357),".",""),"/",""),"-","")," ",""),"(",""),")",""),"+",""))=11,MID(SUBSTITUTE(SUBSTITUTE(SUBSTITUTE(SUBSTITUTE(SUBSTITUTE(SUBSTITUTE(SUBSTITUTE(TRIM(N357),".",""),"/",""),"-","")," ",""),"(",""),")",""),"+",""),3,1)="9",LEFT(SUBSTITUTE(SUBSTITUTE(SUBSTITUTE(SUBSTITUTE(SUBSTITUTE(SUBSTITUTE(SUBSTITUTE(TRIM(N357),".",""),"/",""),"-","")," ",""),"(",""),")",""),"+",""),1)&lt;&gt;"0"),"OK",IF(LEN(SUBSTITUTE(SUBSTITUTE(SUBSTITUTE(SUBSTITUTE(SUBSTITUTE(SUBSTITUTE(SUBSTITUTE(TRIM(N357),".",""),"/",""),"-","")," ",""),"(",""),")",""),"+",""))=10,"ERRO: é fixo (ou falta o 9), use a coluna Telefone fixo","ERRO: DDD + 9 + 8 dígitos")))</f>
      </c>
      <c r="Y357" s="6">
        <f>IF(O357="","vazio",IF(AND(ISNUMBER(FIND("@",O357)),ISNUMBER(FIND(".",MID(O357,FIND("@",O357),99))),NOT(ISNUMBER(FIND(" ",TRIM(O357)))),NOT(ISNUMBER(FIND(";",O357))),NOT(ISNUMBER(FIND(",",O357)))),"OK","ERRO: um e-mail válido por linha"))</f>
      </c>
      <c r="Z357" s="6">
        <f>IF(AND(J357="",K357=""),"",IF(AND(J357&lt;&gt;"",K357&lt;&gt;""),"OK","pendente: só um nome (o GR completa ao converter)"))</f>
      </c>
      <c r="AA357" s="6">
        <f>IF(COUNTA(A357:S357)=0,"",IF(AND(A357&lt;&gt;"",B357&lt;&gt;"",C357&lt;&gt;"",D357&lt;&gt;"",E357&lt;&gt;"",F357&lt;&gt;"",G357&lt;&gt;"",H357&lt;&gt;"",OR(J357&lt;&gt;"",K357&lt;&gt;""),OR(M357&lt;&gt;"",N357&lt;&gt;"",O357&lt;&gt;"")),"OK","ERRO: faltam "&amp;IF(A357="","SDR; ","")&amp;IF(B357="","Proprietário; ","")&amp;IF(C357="","Origem; ","")&amp;IF(D357="","Temperatura; ","")&amp;IF(E357="","Segmento; ","")&amp;IF(F357="","Time/Cluster; ","")&amp;IF(G357="","CNPJ; ","")&amp;IF(H357="","Razão Social; ","")&amp;IF(AND(J357="",K357=""),"nome do contato; ","")&amp;IF(AND(M357="",N357="",O357=""),"telefone, celular ou e-mail; ","")))</f>
      </c>
      <c r="AB357" s="6">
        <f>IF(COUNTA(A357:S357)=0,"",IF(AND(U357="OK",V357="OK",LEFT(W357,4)&lt;&gt;"ERRO",LEFT(X357,4)&lt;&gt;"ERRO",LEFT(Y357,4)&lt;&gt;"ERRO",AA357="OK"),"OK","REVISAR"))</f>
      </c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5"/>
      <c r="K358" s="4"/>
      <c r="L358" s="4"/>
      <c r="M358" s="4"/>
      <c r="N358" s="4"/>
      <c r="O358" s="4"/>
      <c r="P358" s="4"/>
      <c r="Q358" s="4"/>
      <c r="R358" s="4"/>
      <c r="S358" s="4"/>
      <c r="T358" s="6">
        <f>IF(G358="","",SUBSTITUTE(SUBSTITUTE(SUBSTITUTE(SUBSTITUTE(SUBSTITUTE(SUBSTITUTE(SUBSTITUTE(TRIM(G358),".",""),"/",""),"-","")," ",""),"(",""),")",""),"+",""))</f>
      </c>
      <c r="U358" s="6">
        <f>IF(T358="","",IF(LEN(T358)&lt;&gt;14,"ERRO: "&amp;LEN(T358)&amp;" dígitos",IF(NOT(ISNUMBER(VALUE(T358))),"ERRO: não numérico",IF(LEN(SUBSTITUTE(T358,LEFT(T358,1),""))=0,"ERRO: dígitos repetidos",IF(AND(VALUE(MID(T358,13,1))=IF(MOD(SUMPRODUCT(--MID(T358,{1,2,3,4,5,6,7,8,9,10,11,12},1),{5,4,3,2,9,8,7,6,5,4,3,2}),11)&lt;2,0,11-MOD(SUMPRODUCT(--MID(T358,{1,2,3,4,5,6,7,8,9,10,11,12},1),{5,4,3,2,9,8,7,6,5,4,3,2}),11)),VALUE(MID(T358,14,1))=IF(MOD(SUMPRODUCT(--MID(T358,{1,2,3,4,5,6,7,8,9,10,11,12,13},1),{6,5,4,3,2,9,8,7,6,5,4,3,2}),11)&lt;2,0,11-MOD(SUMPRODUCT(--MID(T358,{1,2,3,4,5,6,7,8,9,10,11,12,13},1),{6,5,4,3,2,9,8,7,6,5,4,3,2}),11))),"OK","ERRO: dígito verificador")))))</f>
      </c>
      <c r="V358" s="6">
        <f>IF(T358="","",IF(COUNTIF($T$2:$T$1001,T358)&gt;1,"DUPLICADO","OK"))</f>
      </c>
      <c r="W358" s="6">
        <f>IF(M358="","vazio",IF(OR(AND(LEN(SUBSTITUTE(SUBSTITUTE(SUBSTITUTE(SUBSTITUTE(SUBSTITUTE(SUBSTITUTE(SUBSTITUTE(TRIM(M358),".",""),"/",""),"-","")," ",""),"(",""),")",""),"+",""))=10,LEFT(SUBSTITUTE(SUBSTITUTE(SUBSTITUTE(SUBSTITUTE(SUBSTITUTE(SUBSTITUTE(SUBSTITUTE(TRIM(M358),".",""),"/",""),"-","")," ",""),"(",""),")",""),"+",""),1)&lt;&gt;"0"),AND(LEN(SUBSTITUTE(SUBSTITUTE(SUBSTITUTE(SUBSTITUTE(SUBSTITUTE(SUBSTITUTE(SUBSTITUTE(TRIM(M358),".",""),"/",""),"-","")," ",""),"(",""),")",""),"+",""))=11,LEFT(SUBSTITUTE(SUBSTITUTE(SUBSTITUTE(SUBSTITUTE(SUBSTITUTE(SUBSTITUTE(SUBSTITUTE(TRIM(M358),".",""),"/",""),"-","")," ",""),"(",""),")",""),"+",""),4)="0800")),"OK",IF(AND(LEN(SUBSTITUTE(SUBSTITUTE(SUBSTITUTE(SUBSTITUTE(SUBSTITUTE(SUBSTITUTE(SUBSTITUTE(TRIM(M358),".",""),"/",""),"-","")," ",""),"(",""),")",""),"+",""))=11,MID(SUBSTITUTE(SUBSTITUTE(SUBSTITUTE(SUBSTITUTE(SUBSTITUTE(SUBSTITUTE(SUBSTITUTE(TRIM(M358),".",""),"/",""),"-","")," ",""),"(",""),")",""),"+",""),3,1)="9"),"ERRO: é celular, use a coluna Celular","ERRO: DDD + 8 dígitos ou 0800 + 7")))</f>
      </c>
      <c r="X358" s="6">
        <f>IF(N358="","vazio",IF(AND(LEN(SUBSTITUTE(SUBSTITUTE(SUBSTITUTE(SUBSTITUTE(SUBSTITUTE(SUBSTITUTE(SUBSTITUTE(TRIM(N358),".",""),"/",""),"-","")," ",""),"(",""),")",""),"+",""))=11,MID(SUBSTITUTE(SUBSTITUTE(SUBSTITUTE(SUBSTITUTE(SUBSTITUTE(SUBSTITUTE(SUBSTITUTE(TRIM(N358),".",""),"/",""),"-","")," ",""),"(",""),")",""),"+",""),3,1)="9",LEFT(SUBSTITUTE(SUBSTITUTE(SUBSTITUTE(SUBSTITUTE(SUBSTITUTE(SUBSTITUTE(SUBSTITUTE(TRIM(N358),".",""),"/",""),"-","")," ",""),"(",""),")",""),"+",""),1)&lt;&gt;"0"),"OK",IF(LEN(SUBSTITUTE(SUBSTITUTE(SUBSTITUTE(SUBSTITUTE(SUBSTITUTE(SUBSTITUTE(SUBSTITUTE(TRIM(N358),".",""),"/",""),"-","")," ",""),"(",""),")",""),"+",""))=10,"ERRO: é fixo (ou falta o 9), use a coluna Telefone fixo","ERRO: DDD + 9 + 8 dígitos")))</f>
      </c>
      <c r="Y358" s="6">
        <f>IF(O358="","vazio",IF(AND(ISNUMBER(FIND("@",O358)),ISNUMBER(FIND(".",MID(O358,FIND("@",O358),99))),NOT(ISNUMBER(FIND(" ",TRIM(O358)))),NOT(ISNUMBER(FIND(";",O358))),NOT(ISNUMBER(FIND(",",O358)))),"OK","ERRO: um e-mail válido por linha"))</f>
      </c>
      <c r="Z358" s="6">
        <f>IF(AND(J358="",K358=""),"",IF(AND(J358&lt;&gt;"",K358&lt;&gt;""),"OK","pendente: só um nome (o GR completa ao converter)"))</f>
      </c>
      <c r="AA358" s="6">
        <f>IF(COUNTA(A358:S358)=0,"",IF(AND(A358&lt;&gt;"",B358&lt;&gt;"",C358&lt;&gt;"",D358&lt;&gt;"",E358&lt;&gt;"",F358&lt;&gt;"",G358&lt;&gt;"",H358&lt;&gt;"",OR(J358&lt;&gt;"",K358&lt;&gt;""),OR(M358&lt;&gt;"",N358&lt;&gt;"",O358&lt;&gt;"")),"OK","ERRO: faltam "&amp;IF(A358="","SDR; ","")&amp;IF(B358="","Proprietário; ","")&amp;IF(C358="","Origem; ","")&amp;IF(D358="","Temperatura; ","")&amp;IF(E358="","Segmento; ","")&amp;IF(F358="","Time/Cluster; ","")&amp;IF(G358="","CNPJ; ","")&amp;IF(H358="","Razão Social; ","")&amp;IF(AND(J358="",K358=""),"nome do contato; ","")&amp;IF(AND(M358="",N358="",O358=""),"telefone, celular ou e-mail; ","")))</f>
      </c>
      <c r="AB358" s="6">
        <f>IF(COUNTA(A358:S358)=0,"",IF(AND(U358="OK",V358="OK",LEFT(W358,4)&lt;&gt;"ERRO",LEFT(X358,4)&lt;&gt;"ERRO",LEFT(Y358,4)&lt;&gt;"ERRO",AA358="OK"),"OK","REVISAR"))</f>
      </c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5"/>
      <c r="K359" s="4"/>
      <c r="L359" s="4"/>
      <c r="M359" s="4"/>
      <c r="N359" s="4"/>
      <c r="O359" s="4"/>
      <c r="P359" s="4"/>
      <c r="Q359" s="4"/>
      <c r="R359" s="4"/>
      <c r="S359" s="4"/>
      <c r="T359" s="6">
        <f>IF(G359="","",SUBSTITUTE(SUBSTITUTE(SUBSTITUTE(SUBSTITUTE(SUBSTITUTE(SUBSTITUTE(SUBSTITUTE(TRIM(G359),".",""),"/",""),"-","")," ",""),"(",""),")",""),"+",""))</f>
      </c>
      <c r="U359" s="6">
        <f>IF(T359="","",IF(LEN(T359)&lt;&gt;14,"ERRO: "&amp;LEN(T359)&amp;" dígitos",IF(NOT(ISNUMBER(VALUE(T359))),"ERRO: não numérico",IF(LEN(SUBSTITUTE(T359,LEFT(T359,1),""))=0,"ERRO: dígitos repetidos",IF(AND(VALUE(MID(T359,13,1))=IF(MOD(SUMPRODUCT(--MID(T359,{1,2,3,4,5,6,7,8,9,10,11,12},1),{5,4,3,2,9,8,7,6,5,4,3,2}),11)&lt;2,0,11-MOD(SUMPRODUCT(--MID(T359,{1,2,3,4,5,6,7,8,9,10,11,12},1),{5,4,3,2,9,8,7,6,5,4,3,2}),11)),VALUE(MID(T359,14,1))=IF(MOD(SUMPRODUCT(--MID(T359,{1,2,3,4,5,6,7,8,9,10,11,12,13},1),{6,5,4,3,2,9,8,7,6,5,4,3,2}),11)&lt;2,0,11-MOD(SUMPRODUCT(--MID(T359,{1,2,3,4,5,6,7,8,9,10,11,12,13},1),{6,5,4,3,2,9,8,7,6,5,4,3,2}),11))),"OK","ERRO: dígito verificador")))))</f>
      </c>
      <c r="V359" s="6">
        <f>IF(T359="","",IF(COUNTIF($T$2:$T$1001,T359)&gt;1,"DUPLICADO","OK"))</f>
      </c>
      <c r="W359" s="6">
        <f>IF(M359="","vazio",IF(OR(AND(LEN(SUBSTITUTE(SUBSTITUTE(SUBSTITUTE(SUBSTITUTE(SUBSTITUTE(SUBSTITUTE(SUBSTITUTE(TRIM(M359),".",""),"/",""),"-","")," ",""),"(",""),")",""),"+",""))=10,LEFT(SUBSTITUTE(SUBSTITUTE(SUBSTITUTE(SUBSTITUTE(SUBSTITUTE(SUBSTITUTE(SUBSTITUTE(TRIM(M359),".",""),"/",""),"-","")," ",""),"(",""),")",""),"+",""),1)&lt;&gt;"0"),AND(LEN(SUBSTITUTE(SUBSTITUTE(SUBSTITUTE(SUBSTITUTE(SUBSTITUTE(SUBSTITUTE(SUBSTITUTE(TRIM(M359),".",""),"/",""),"-","")," ",""),"(",""),")",""),"+",""))=11,LEFT(SUBSTITUTE(SUBSTITUTE(SUBSTITUTE(SUBSTITUTE(SUBSTITUTE(SUBSTITUTE(SUBSTITUTE(TRIM(M359),".",""),"/",""),"-","")," ",""),"(",""),")",""),"+",""),4)="0800")),"OK",IF(AND(LEN(SUBSTITUTE(SUBSTITUTE(SUBSTITUTE(SUBSTITUTE(SUBSTITUTE(SUBSTITUTE(SUBSTITUTE(TRIM(M359),".",""),"/",""),"-","")," ",""),"(",""),")",""),"+",""))=11,MID(SUBSTITUTE(SUBSTITUTE(SUBSTITUTE(SUBSTITUTE(SUBSTITUTE(SUBSTITUTE(SUBSTITUTE(TRIM(M359),".",""),"/",""),"-","")," ",""),"(",""),")",""),"+",""),3,1)="9"),"ERRO: é celular, use a coluna Celular","ERRO: DDD + 8 dígitos ou 0800 + 7")))</f>
      </c>
      <c r="X359" s="6">
        <f>IF(N359="","vazio",IF(AND(LEN(SUBSTITUTE(SUBSTITUTE(SUBSTITUTE(SUBSTITUTE(SUBSTITUTE(SUBSTITUTE(SUBSTITUTE(TRIM(N359),".",""),"/",""),"-","")," ",""),"(",""),")",""),"+",""))=11,MID(SUBSTITUTE(SUBSTITUTE(SUBSTITUTE(SUBSTITUTE(SUBSTITUTE(SUBSTITUTE(SUBSTITUTE(TRIM(N359),".",""),"/",""),"-","")," ",""),"(",""),")",""),"+",""),3,1)="9",LEFT(SUBSTITUTE(SUBSTITUTE(SUBSTITUTE(SUBSTITUTE(SUBSTITUTE(SUBSTITUTE(SUBSTITUTE(TRIM(N359),".",""),"/",""),"-","")," ",""),"(",""),")",""),"+",""),1)&lt;&gt;"0"),"OK",IF(LEN(SUBSTITUTE(SUBSTITUTE(SUBSTITUTE(SUBSTITUTE(SUBSTITUTE(SUBSTITUTE(SUBSTITUTE(TRIM(N359),".",""),"/",""),"-","")," ",""),"(",""),")",""),"+",""))=10,"ERRO: é fixo (ou falta o 9), use a coluna Telefone fixo","ERRO: DDD + 9 + 8 dígitos")))</f>
      </c>
      <c r="Y359" s="6">
        <f>IF(O359="","vazio",IF(AND(ISNUMBER(FIND("@",O359)),ISNUMBER(FIND(".",MID(O359,FIND("@",O359),99))),NOT(ISNUMBER(FIND(" ",TRIM(O359)))),NOT(ISNUMBER(FIND(";",O359))),NOT(ISNUMBER(FIND(",",O359)))),"OK","ERRO: um e-mail válido por linha"))</f>
      </c>
      <c r="Z359" s="6">
        <f>IF(AND(J359="",K359=""),"",IF(AND(J359&lt;&gt;"",K359&lt;&gt;""),"OK","pendente: só um nome (o GR completa ao converter)"))</f>
      </c>
      <c r="AA359" s="6">
        <f>IF(COUNTA(A359:S359)=0,"",IF(AND(A359&lt;&gt;"",B359&lt;&gt;"",C359&lt;&gt;"",D359&lt;&gt;"",E359&lt;&gt;"",F359&lt;&gt;"",G359&lt;&gt;"",H359&lt;&gt;"",OR(J359&lt;&gt;"",K359&lt;&gt;""),OR(M359&lt;&gt;"",N359&lt;&gt;"",O359&lt;&gt;"")),"OK","ERRO: faltam "&amp;IF(A359="","SDR; ","")&amp;IF(B359="","Proprietário; ","")&amp;IF(C359="","Origem; ","")&amp;IF(D359="","Temperatura; ","")&amp;IF(E359="","Segmento; ","")&amp;IF(F359="","Time/Cluster; ","")&amp;IF(G359="","CNPJ; ","")&amp;IF(H359="","Razão Social; ","")&amp;IF(AND(J359="",K359=""),"nome do contato; ","")&amp;IF(AND(M359="",N359="",O359=""),"telefone, celular ou e-mail; ","")))</f>
      </c>
      <c r="AB359" s="6">
        <f>IF(COUNTA(A359:S359)=0,"",IF(AND(U359="OK",V359="OK",LEFT(W359,4)&lt;&gt;"ERRO",LEFT(X359,4)&lt;&gt;"ERRO",LEFT(Y359,4)&lt;&gt;"ERRO",AA359="OK"),"OK","REVISAR"))</f>
      </c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5"/>
      <c r="K360" s="4"/>
      <c r="L360" s="4"/>
      <c r="M360" s="4"/>
      <c r="N360" s="4"/>
      <c r="O360" s="4"/>
      <c r="P360" s="4"/>
      <c r="Q360" s="4"/>
      <c r="R360" s="4"/>
      <c r="S360" s="4"/>
      <c r="T360" s="6">
        <f>IF(G360="","",SUBSTITUTE(SUBSTITUTE(SUBSTITUTE(SUBSTITUTE(SUBSTITUTE(SUBSTITUTE(SUBSTITUTE(TRIM(G360),".",""),"/",""),"-","")," ",""),"(",""),")",""),"+",""))</f>
      </c>
      <c r="U360" s="6">
        <f>IF(T360="","",IF(LEN(T360)&lt;&gt;14,"ERRO: "&amp;LEN(T360)&amp;" dígitos",IF(NOT(ISNUMBER(VALUE(T360))),"ERRO: não numérico",IF(LEN(SUBSTITUTE(T360,LEFT(T360,1),""))=0,"ERRO: dígitos repetidos",IF(AND(VALUE(MID(T360,13,1))=IF(MOD(SUMPRODUCT(--MID(T360,{1,2,3,4,5,6,7,8,9,10,11,12},1),{5,4,3,2,9,8,7,6,5,4,3,2}),11)&lt;2,0,11-MOD(SUMPRODUCT(--MID(T360,{1,2,3,4,5,6,7,8,9,10,11,12},1),{5,4,3,2,9,8,7,6,5,4,3,2}),11)),VALUE(MID(T360,14,1))=IF(MOD(SUMPRODUCT(--MID(T360,{1,2,3,4,5,6,7,8,9,10,11,12,13},1),{6,5,4,3,2,9,8,7,6,5,4,3,2}),11)&lt;2,0,11-MOD(SUMPRODUCT(--MID(T360,{1,2,3,4,5,6,7,8,9,10,11,12,13},1),{6,5,4,3,2,9,8,7,6,5,4,3,2}),11))),"OK","ERRO: dígito verificador")))))</f>
      </c>
      <c r="V360" s="6">
        <f>IF(T360="","",IF(COUNTIF($T$2:$T$1001,T360)&gt;1,"DUPLICADO","OK"))</f>
      </c>
      <c r="W360" s="6">
        <f>IF(M360="","vazio",IF(OR(AND(LEN(SUBSTITUTE(SUBSTITUTE(SUBSTITUTE(SUBSTITUTE(SUBSTITUTE(SUBSTITUTE(SUBSTITUTE(TRIM(M360),".",""),"/",""),"-","")," ",""),"(",""),")",""),"+",""))=10,LEFT(SUBSTITUTE(SUBSTITUTE(SUBSTITUTE(SUBSTITUTE(SUBSTITUTE(SUBSTITUTE(SUBSTITUTE(TRIM(M360),".",""),"/",""),"-","")," ",""),"(",""),")",""),"+",""),1)&lt;&gt;"0"),AND(LEN(SUBSTITUTE(SUBSTITUTE(SUBSTITUTE(SUBSTITUTE(SUBSTITUTE(SUBSTITUTE(SUBSTITUTE(TRIM(M360),".",""),"/",""),"-","")," ",""),"(",""),")",""),"+",""))=11,LEFT(SUBSTITUTE(SUBSTITUTE(SUBSTITUTE(SUBSTITUTE(SUBSTITUTE(SUBSTITUTE(SUBSTITUTE(TRIM(M360),".",""),"/",""),"-","")," ",""),"(",""),")",""),"+",""),4)="0800")),"OK",IF(AND(LEN(SUBSTITUTE(SUBSTITUTE(SUBSTITUTE(SUBSTITUTE(SUBSTITUTE(SUBSTITUTE(SUBSTITUTE(TRIM(M360),".",""),"/",""),"-","")," ",""),"(",""),")",""),"+",""))=11,MID(SUBSTITUTE(SUBSTITUTE(SUBSTITUTE(SUBSTITUTE(SUBSTITUTE(SUBSTITUTE(SUBSTITUTE(TRIM(M360),".",""),"/",""),"-","")," ",""),"(",""),")",""),"+",""),3,1)="9"),"ERRO: é celular, use a coluna Celular","ERRO: DDD + 8 dígitos ou 0800 + 7")))</f>
      </c>
      <c r="X360" s="6">
        <f>IF(N360="","vazio",IF(AND(LEN(SUBSTITUTE(SUBSTITUTE(SUBSTITUTE(SUBSTITUTE(SUBSTITUTE(SUBSTITUTE(SUBSTITUTE(TRIM(N360),".",""),"/",""),"-","")," ",""),"(",""),")",""),"+",""))=11,MID(SUBSTITUTE(SUBSTITUTE(SUBSTITUTE(SUBSTITUTE(SUBSTITUTE(SUBSTITUTE(SUBSTITUTE(TRIM(N360),".",""),"/",""),"-","")," ",""),"(",""),")",""),"+",""),3,1)="9",LEFT(SUBSTITUTE(SUBSTITUTE(SUBSTITUTE(SUBSTITUTE(SUBSTITUTE(SUBSTITUTE(SUBSTITUTE(TRIM(N360),".",""),"/",""),"-","")," ",""),"(",""),")",""),"+",""),1)&lt;&gt;"0"),"OK",IF(LEN(SUBSTITUTE(SUBSTITUTE(SUBSTITUTE(SUBSTITUTE(SUBSTITUTE(SUBSTITUTE(SUBSTITUTE(TRIM(N360),".",""),"/",""),"-","")," ",""),"(",""),")",""),"+",""))=10,"ERRO: é fixo (ou falta o 9), use a coluna Telefone fixo","ERRO: DDD + 9 + 8 dígitos")))</f>
      </c>
      <c r="Y360" s="6">
        <f>IF(O360="","vazio",IF(AND(ISNUMBER(FIND("@",O360)),ISNUMBER(FIND(".",MID(O360,FIND("@",O360),99))),NOT(ISNUMBER(FIND(" ",TRIM(O360)))),NOT(ISNUMBER(FIND(";",O360))),NOT(ISNUMBER(FIND(",",O360)))),"OK","ERRO: um e-mail válido por linha"))</f>
      </c>
      <c r="Z360" s="6">
        <f>IF(AND(J360="",K360=""),"",IF(AND(J360&lt;&gt;"",K360&lt;&gt;""),"OK","pendente: só um nome (o GR completa ao converter)"))</f>
      </c>
      <c r="AA360" s="6">
        <f>IF(COUNTA(A360:S360)=0,"",IF(AND(A360&lt;&gt;"",B360&lt;&gt;"",C360&lt;&gt;"",D360&lt;&gt;"",E360&lt;&gt;"",F360&lt;&gt;"",G360&lt;&gt;"",H360&lt;&gt;"",OR(J360&lt;&gt;"",K360&lt;&gt;""),OR(M360&lt;&gt;"",N360&lt;&gt;"",O360&lt;&gt;"")),"OK","ERRO: faltam "&amp;IF(A360="","SDR; ","")&amp;IF(B360="","Proprietário; ","")&amp;IF(C360="","Origem; ","")&amp;IF(D360="","Temperatura; ","")&amp;IF(E360="","Segmento; ","")&amp;IF(F360="","Time/Cluster; ","")&amp;IF(G360="","CNPJ; ","")&amp;IF(H360="","Razão Social; ","")&amp;IF(AND(J360="",K360=""),"nome do contato; ","")&amp;IF(AND(M360="",N360="",O360=""),"telefone, celular ou e-mail; ","")))</f>
      </c>
      <c r="AB360" s="6">
        <f>IF(COUNTA(A360:S360)=0,"",IF(AND(U360="OK",V360="OK",LEFT(W360,4)&lt;&gt;"ERRO",LEFT(X360,4)&lt;&gt;"ERRO",LEFT(Y360,4)&lt;&gt;"ERRO",AA360="OK"),"OK","REVISAR"))</f>
      </c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5"/>
      <c r="K361" s="4"/>
      <c r="L361" s="4"/>
      <c r="M361" s="4"/>
      <c r="N361" s="4"/>
      <c r="O361" s="4"/>
      <c r="P361" s="4"/>
      <c r="Q361" s="4"/>
      <c r="R361" s="4"/>
      <c r="S361" s="4"/>
      <c r="T361" s="6">
        <f>IF(G361="","",SUBSTITUTE(SUBSTITUTE(SUBSTITUTE(SUBSTITUTE(SUBSTITUTE(SUBSTITUTE(SUBSTITUTE(TRIM(G361),".",""),"/",""),"-","")," ",""),"(",""),")",""),"+",""))</f>
      </c>
      <c r="U361" s="6">
        <f>IF(T361="","",IF(LEN(T361)&lt;&gt;14,"ERRO: "&amp;LEN(T361)&amp;" dígitos",IF(NOT(ISNUMBER(VALUE(T361))),"ERRO: não numérico",IF(LEN(SUBSTITUTE(T361,LEFT(T361,1),""))=0,"ERRO: dígitos repetidos",IF(AND(VALUE(MID(T361,13,1))=IF(MOD(SUMPRODUCT(--MID(T361,{1,2,3,4,5,6,7,8,9,10,11,12},1),{5,4,3,2,9,8,7,6,5,4,3,2}),11)&lt;2,0,11-MOD(SUMPRODUCT(--MID(T361,{1,2,3,4,5,6,7,8,9,10,11,12},1),{5,4,3,2,9,8,7,6,5,4,3,2}),11)),VALUE(MID(T361,14,1))=IF(MOD(SUMPRODUCT(--MID(T361,{1,2,3,4,5,6,7,8,9,10,11,12,13},1),{6,5,4,3,2,9,8,7,6,5,4,3,2}),11)&lt;2,0,11-MOD(SUMPRODUCT(--MID(T361,{1,2,3,4,5,6,7,8,9,10,11,12,13},1),{6,5,4,3,2,9,8,7,6,5,4,3,2}),11))),"OK","ERRO: dígito verificador")))))</f>
      </c>
      <c r="V361" s="6">
        <f>IF(T361="","",IF(COUNTIF($T$2:$T$1001,T361)&gt;1,"DUPLICADO","OK"))</f>
      </c>
      <c r="W361" s="6">
        <f>IF(M361="","vazio",IF(OR(AND(LEN(SUBSTITUTE(SUBSTITUTE(SUBSTITUTE(SUBSTITUTE(SUBSTITUTE(SUBSTITUTE(SUBSTITUTE(TRIM(M361),".",""),"/",""),"-","")," ",""),"(",""),")",""),"+",""))=10,LEFT(SUBSTITUTE(SUBSTITUTE(SUBSTITUTE(SUBSTITUTE(SUBSTITUTE(SUBSTITUTE(SUBSTITUTE(TRIM(M361),".",""),"/",""),"-","")," ",""),"(",""),")",""),"+",""),1)&lt;&gt;"0"),AND(LEN(SUBSTITUTE(SUBSTITUTE(SUBSTITUTE(SUBSTITUTE(SUBSTITUTE(SUBSTITUTE(SUBSTITUTE(TRIM(M361),".",""),"/",""),"-","")," ",""),"(",""),")",""),"+",""))=11,LEFT(SUBSTITUTE(SUBSTITUTE(SUBSTITUTE(SUBSTITUTE(SUBSTITUTE(SUBSTITUTE(SUBSTITUTE(TRIM(M361),".",""),"/",""),"-","")," ",""),"(",""),")",""),"+",""),4)="0800")),"OK",IF(AND(LEN(SUBSTITUTE(SUBSTITUTE(SUBSTITUTE(SUBSTITUTE(SUBSTITUTE(SUBSTITUTE(SUBSTITUTE(TRIM(M361),".",""),"/",""),"-","")," ",""),"(",""),")",""),"+",""))=11,MID(SUBSTITUTE(SUBSTITUTE(SUBSTITUTE(SUBSTITUTE(SUBSTITUTE(SUBSTITUTE(SUBSTITUTE(TRIM(M361),".",""),"/",""),"-","")," ",""),"(",""),")",""),"+",""),3,1)="9"),"ERRO: é celular, use a coluna Celular","ERRO: DDD + 8 dígitos ou 0800 + 7")))</f>
      </c>
      <c r="X361" s="6">
        <f>IF(N361="","vazio",IF(AND(LEN(SUBSTITUTE(SUBSTITUTE(SUBSTITUTE(SUBSTITUTE(SUBSTITUTE(SUBSTITUTE(SUBSTITUTE(TRIM(N361),".",""),"/",""),"-","")," ",""),"(",""),")",""),"+",""))=11,MID(SUBSTITUTE(SUBSTITUTE(SUBSTITUTE(SUBSTITUTE(SUBSTITUTE(SUBSTITUTE(SUBSTITUTE(TRIM(N361),".",""),"/",""),"-","")," ",""),"(",""),")",""),"+",""),3,1)="9",LEFT(SUBSTITUTE(SUBSTITUTE(SUBSTITUTE(SUBSTITUTE(SUBSTITUTE(SUBSTITUTE(SUBSTITUTE(TRIM(N361),".",""),"/",""),"-","")," ",""),"(",""),")",""),"+",""),1)&lt;&gt;"0"),"OK",IF(LEN(SUBSTITUTE(SUBSTITUTE(SUBSTITUTE(SUBSTITUTE(SUBSTITUTE(SUBSTITUTE(SUBSTITUTE(TRIM(N361),".",""),"/",""),"-","")," ",""),"(",""),")",""),"+",""))=10,"ERRO: é fixo (ou falta o 9), use a coluna Telefone fixo","ERRO: DDD + 9 + 8 dígitos")))</f>
      </c>
      <c r="Y361" s="6">
        <f>IF(O361="","vazio",IF(AND(ISNUMBER(FIND("@",O361)),ISNUMBER(FIND(".",MID(O361,FIND("@",O361),99))),NOT(ISNUMBER(FIND(" ",TRIM(O361)))),NOT(ISNUMBER(FIND(";",O361))),NOT(ISNUMBER(FIND(",",O361)))),"OK","ERRO: um e-mail válido por linha"))</f>
      </c>
      <c r="Z361" s="6">
        <f>IF(AND(J361="",K361=""),"",IF(AND(J361&lt;&gt;"",K361&lt;&gt;""),"OK","pendente: só um nome (o GR completa ao converter)"))</f>
      </c>
      <c r="AA361" s="6">
        <f>IF(COUNTA(A361:S361)=0,"",IF(AND(A361&lt;&gt;"",B361&lt;&gt;"",C361&lt;&gt;"",D361&lt;&gt;"",E361&lt;&gt;"",F361&lt;&gt;"",G361&lt;&gt;"",H361&lt;&gt;"",OR(J361&lt;&gt;"",K361&lt;&gt;""),OR(M361&lt;&gt;"",N361&lt;&gt;"",O361&lt;&gt;"")),"OK","ERRO: faltam "&amp;IF(A361="","SDR; ","")&amp;IF(B361="","Proprietário; ","")&amp;IF(C361="","Origem; ","")&amp;IF(D361="","Temperatura; ","")&amp;IF(E361="","Segmento; ","")&amp;IF(F361="","Time/Cluster; ","")&amp;IF(G361="","CNPJ; ","")&amp;IF(H361="","Razão Social; ","")&amp;IF(AND(J361="",K361=""),"nome do contato; ","")&amp;IF(AND(M361="",N361="",O361=""),"telefone, celular ou e-mail; ","")))</f>
      </c>
      <c r="AB361" s="6">
        <f>IF(COUNTA(A361:S361)=0,"",IF(AND(U361="OK",V361="OK",LEFT(W361,4)&lt;&gt;"ERRO",LEFT(X361,4)&lt;&gt;"ERRO",LEFT(Y361,4)&lt;&gt;"ERRO",AA361="OK"),"OK","REVISAR"))</f>
      </c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5"/>
      <c r="K362" s="4"/>
      <c r="L362" s="4"/>
      <c r="M362" s="4"/>
      <c r="N362" s="4"/>
      <c r="O362" s="4"/>
      <c r="P362" s="4"/>
      <c r="Q362" s="4"/>
      <c r="R362" s="4"/>
      <c r="S362" s="4"/>
      <c r="T362" s="6">
        <f>IF(G362="","",SUBSTITUTE(SUBSTITUTE(SUBSTITUTE(SUBSTITUTE(SUBSTITUTE(SUBSTITUTE(SUBSTITUTE(TRIM(G362),".",""),"/",""),"-","")," ",""),"(",""),")",""),"+",""))</f>
      </c>
      <c r="U362" s="6">
        <f>IF(T362="","",IF(LEN(T362)&lt;&gt;14,"ERRO: "&amp;LEN(T362)&amp;" dígitos",IF(NOT(ISNUMBER(VALUE(T362))),"ERRO: não numérico",IF(LEN(SUBSTITUTE(T362,LEFT(T362,1),""))=0,"ERRO: dígitos repetidos",IF(AND(VALUE(MID(T362,13,1))=IF(MOD(SUMPRODUCT(--MID(T362,{1,2,3,4,5,6,7,8,9,10,11,12},1),{5,4,3,2,9,8,7,6,5,4,3,2}),11)&lt;2,0,11-MOD(SUMPRODUCT(--MID(T362,{1,2,3,4,5,6,7,8,9,10,11,12},1),{5,4,3,2,9,8,7,6,5,4,3,2}),11)),VALUE(MID(T362,14,1))=IF(MOD(SUMPRODUCT(--MID(T362,{1,2,3,4,5,6,7,8,9,10,11,12,13},1),{6,5,4,3,2,9,8,7,6,5,4,3,2}),11)&lt;2,0,11-MOD(SUMPRODUCT(--MID(T362,{1,2,3,4,5,6,7,8,9,10,11,12,13},1),{6,5,4,3,2,9,8,7,6,5,4,3,2}),11))),"OK","ERRO: dígito verificador")))))</f>
      </c>
      <c r="V362" s="6">
        <f>IF(T362="","",IF(COUNTIF($T$2:$T$1001,T362)&gt;1,"DUPLICADO","OK"))</f>
      </c>
      <c r="W362" s="6">
        <f>IF(M362="","vazio",IF(OR(AND(LEN(SUBSTITUTE(SUBSTITUTE(SUBSTITUTE(SUBSTITUTE(SUBSTITUTE(SUBSTITUTE(SUBSTITUTE(TRIM(M362),".",""),"/",""),"-","")," ",""),"(",""),")",""),"+",""))=10,LEFT(SUBSTITUTE(SUBSTITUTE(SUBSTITUTE(SUBSTITUTE(SUBSTITUTE(SUBSTITUTE(SUBSTITUTE(TRIM(M362),".",""),"/",""),"-","")," ",""),"(",""),")",""),"+",""),1)&lt;&gt;"0"),AND(LEN(SUBSTITUTE(SUBSTITUTE(SUBSTITUTE(SUBSTITUTE(SUBSTITUTE(SUBSTITUTE(SUBSTITUTE(TRIM(M362),".",""),"/",""),"-","")," ",""),"(",""),")",""),"+",""))=11,LEFT(SUBSTITUTE(SUBSTITUTE(SUBSTITUTE(SUBSTITUTE(SUBSTITUTE(SUBSTITUTE(SUBSTITUTE(TRIM(M362),".",""),"/",""),"-","")," ",""),"(",""),")",""),"+",""),4)="0800")),"OK",IF(AND(LEN(SUBSTITUTE(SUBSTITUTE(SUBSTITUTE(SUBSTITUTE(SUBSTITUTE(SUBSTITUTE(SUBSTITUTE(TRIM(M362),".",""),"/",""),"-","")," ",""),"(",""),")",""),"+",""))=11,MID(SUBSTITUTE(SUBSTITUTE(SUBSTITUTE(SUBSTITUTE(SUBSTITUTE(SUBSTITUTE(SUBSTITUTE(TRIM(M362),".",""),"/",""),"-","")," ",""),"(",""),")",""),"+",""),3,1)="9"),"ERRO: é celular, use a coluna Celular","ERRO: DDD + 8 dígitos ou 0800 + 7")))</f>
      </c>
      <c r="X362" s="6">
        <f>IF(N362="","vazio",IF(AND(LEN(SUBSTITUTE(SUBSTITUTE(SUBSTITUTE(SUBSTITUTE(SUBSTITUTE(SUBSTITUTE(SUBSTITUTE(TRIM(N362),".",""),"/",""),"-","")," ",""),"(",""),")",""),"+",""))=11,MID(SUBSTITUTE(SUBSTITUTE(SUBSTITUTE(SUBSTITUTE(SUBSTITUTE(SUBSTITUTE(SUBSTITUTE(TRIM(N362),".",""),"/",""),"-","")," ",""),"(",""),")",""),"+",""),3,1)="9",LEFT(SUBSTITUTE(SUBSTITUTE(SUBSTITUTE(SUBSTITUTE(SUBSTITUTE(SUBSTITUTE(SUBSTITUTE(TRIM(N362),".",""),"/",""),"-","")," ",""),"(",""),")",""),"+",""),1)&lt;&gt;"0"),"OK",IF(LEN(SUBSTITUTE(SUBSTITUTE(SUBSTITUTE(SUBSTITUTE(SUBSTITUTE(SUBSTITUTE(SUBSTITUTE(TRIM(N362),".",""),"/",""),"-","")," ",""),"(",""),")",""),"+",""))=10,"ERRO: é fixo (ou falta o 9), use a coluna Telefone fixo","ERRO: DDD + 9 + 8 dígitos")))</f>
      </c>
      <c r="Y362" s="6">
        <f>IF(O362="","vazio",IF(AND(ISNUMBER(FIND("@",O362)),ISNUMBER(FIND(".",MID(O362,FIND("@",O362),99))),NOT(ISNUMBER(FIND(" ",TRIM(O362)))),NOT(ISNUMBER(FIND(";",O362))),NOT(ISNUMBER(FIND(",",O362)))),"OK","ERRO: um e-mail válido por linha"))</f>
      </c>
      <c r="Z362" s="6">
        <f>IF(AND(J362="",K362=""),"",IF(AND(J362&lt;&gt;"",K362&lt;&gt;""),"OK","pendente: só um nome (o GR completa ao converter)"))</f>
      </c>
      <c r="AA362" s="6">
        <f>IF(COUNTA(A362:S362)=0,"",IF(AND(A362&lt;&gt;"",B362&lt;&gt;"",C362&lt;&gt;"",D362&lt;&gt;"",E362&lt;&gt;"",F362&lt;&gt;"",G362&lt;&gt;"",H362&lt;&gt;"",OR(J362&lt;&gt;"",K362&lt;&gt;""),OR(M362&lt;&gt;"",N362&lt;&gt;"",O362&lt;&gt;"")),"OK","ERRO: faltam "&amp;IF(A362="","SDR; ","")&amp;IF(B362="","Proprietário; ","")&amp;IF(C362="","Origem; ","")&amp;IF(D362="","Temperatura; ","")&amp;IF(E362="","Segmento; ","")&amp;IF(F362="","Time/Cluster; ","")&amp;IF(G362="","CNPJ; ","")&amp;IF(H362="","Razão Social; ","")&amp;IF(AND(J362="",K362=""),"nome do contato; ","")&amp;IF(AND(M362="",N362="",O362=""),"telefone, celular ou e-mail; ","")))</f>
      </c>
      <c r="AB362" s="6">
        <f>IF(COUNTA(A362:S362)=0,"",IF(AND(U362="OK",V362="OK",LEFT(W362,4)&lt;&gt;"ERRO",LEFT(X362,4)&lt;&gt;"ERRO",LEFT(Y362,4)&lt;&gt;"ERRO",AA362="OK"),"OK","REVISAR"))</f>
      </c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5"/>
      <c r="K363" s="4"/>
      <c r="L363" s="4"/>
      <c r="M363" s="4"/>
      <c r="N363" s="4"/>
      <c r="O363" s="4"/>
      <c r="P363" s="4"/>
      <c r="Q363" s="4"/>
      <c r="R363" s="4"/>
      <c r="S363" s="4"/>
      <c r="T363" s="6">
        <f>IF(G363="","",SUBSTITUTE(SUBSTITUTE(SUBSTITUTE(SUBSTITUTE(SUBSTITUTE(SUBSTITUTE(SUBSTITUTE(TRIM(G363),".",""),"/",""),"-","")," ",""),"(",""),")",""),"+",""))</f>
      </c>
      <c r="U363" s="6">
        <f>IF(T363="","",IF(LEN(T363)&lt;&gt;14,"ERRO: "&amp;LEN(T363)&amp;" dígitos",IF(NOT(ISNUMBER(VALUE(T363))),"ERRO: não numérico",IF(LEN(SUBSTITUTE(T363,LEFT(T363,1),""))=0,"ERRO: dígitos repetidos",IF(AND(VALUE(MID(T363,13,1))=IF(MOD(SUMPRODUCT(--MID(T363,{1,2,3,4,5,6,7,8,9,10,11,12},1),{5,4,3,2,9,8,7,6,5,4,3,2}),11)&lt;2,0,11-MOD(SUMPRODUCT(--MID(T363,{1,2,3,4,5,6,7,8,9,10,11,12},1),{5,4,3,2,9,8,7,6,5,4,3,2}),11)),VALUE(MID(T363,14,1))=IF(MOD(SUMPRODUCT(--MID(T363,{1,2,3,4,5,6,7,8,9,10,11,12,13},1),{6,5,4,3,2,9,8,7,6,5,4,3,2}),11)&lt;2,0,11-MOD(SUMPRODUCT(--MID(T363,{1,2,3,4,5,6,7,8,9,10,11,12,13},1),{6,5,4,3,2,9,8,7,6,5,4,3,2}),11))),"OK","ERRO: dígito verificador")))))</f>
      </c>
      <c r="V363" s="6">
        <f>IF(T363="","",IF(COUNTIF($T$2:$T$1001,T363)&gt;1,"DUPLICADO","OK"))</f>
      </c>
      <c r="W363" s="6">
        <f>IF(M363="","vazio",IF(OR(AND(LEN(SUBSTITUTE(SUBSTITUTE(SUBSTITUTE(SUBSTITUTE(SUBSTITUTE(SUBSTITUTE(SUBSTITUTE(TRIM(M363),".",""),"/",""),"-","")," ",""),"(",""),")",""),"+",""))=10,LEFT(SUBSTITUTE(SUBSTITUTE(SUBSTITUTE(SUBSTITUTE(SUBSTITUTE(SUBSTITUTE(SUBSTITUTE(TRIM(M363),".",""),"/",""),"-","")," ",""),"(",""),")",""),"+",""),1)&lt;&gt;"0"),AND(LEN(SUBSTITUTE(SUBSTITUTE(SUBSTITUTE(SUBSTITUTE(SUBSTITUTE(SUBSTITUTE(SUBSTITUTE(TRIM(M363),".",""),"/",""),"-","")," ",""),"(",""),")",""),"+",""))=11,LEFT(SUBSTITUTE(SUBSTITUTE(SUBSTITUTE(SUBSTITUTE(SUBSTITUTE(SUBSTITUTE(SUBSTITUTE(TRIM(M363),".",""),"/",""),"-","")," ",""),"(",""),")",""),"+",""),4)="0800")),"OK",IF(AND(LEN(SUBSTITUTE(SUBSTITUTE(SUBSTITUTE(SUBSTITUTE(SUBSTITUTE(SUBSTITUTE(SUBSTITUTE(TRIM(M363),".",""),"/",""),"-","")," ",""),"(",""),")",""),"+",""))=11,MID(SUBSTITUTE(SUBSTITUTE(SUBSTITUTE(SUBSTITUTE(SUBSTITUTE(SUBSTITUTE(SUBSTITUTE(TRIM(M363),".",""),"/",""),"-","")," ",""),"(",""),")",""),"+",""),3,1)="9"),"ERRO: é celular, use a coluna Celular","ERRO: DDD + 8 dígitos ou 0800 + 7")))</f>
      </c>
      <c r="X363" s="6">
        <f>IF(N363="","vazio",IF(AND(LEN(SUBSTITUTE(SUBSTITUTE(SUBSTITUTE(SUBSTITUTE(SUBSTITUTE(SUBSTITUTE(SUBSTITUTE(TRIM(N363),".",""),"/",""),"-","")," ",""),"(",""),")",""),"+",""))=11,MID(SUBSTITUTE(SUBSTITUTE(SUBSTITUTE(SUBSTITUTE(SUBSTITUTE(SUBSTITUTE(SUBSTITUTE(TRIM(N363),".",""),"/",""),"-","")," ",""),"(",""),")",""),"+",""),3,1)="9",LEFT(SUBSTITUTE(SUBSTITUTE(SUBSTITUTE(SUBSTITUTE(SUBSTITUTE(SUBSTITUTE(SUBSTITUTE(TRIM(N363),".",""),"/",""),"-","")," ",""),"(",""),")",""),"+",""),1)&lt;&gt;"0"),"OK",IF(LEN(SUBSTITUTE(SUBSTITUTE(SUBSTITUTE(SUBSTITUTE(SUBSTITUTE(SUBSTITUTE(SUBSTITUTE(TRIM(N363),".",""),"/",""),"-","")," ",""),"(",""),")",""),"+",""))=10,"ERRO: é fixo (ou falta o 9), use a coluna Telefone fixo","ERRO: DDD + 9 + 8 dígitos")))</f>
      </c>
      <c r="Y363" s="6">
        <f>IF(O363="","vazio",IF(AND(ISNUMBER(FIND("@",O363)),ISNUMBER(FIND(".",MID(O363,FIND("@",O363),99))),NOT(ISNUMBER(FIND(" ",TRIM(O363)))),NOT(ISNUMBER(FIND(";",O363))),NOT(ISNUMBER(FIND(",",O363)))),"OK","ERRO: um e-mail válido por linha"))</f>
      </c>
      <c r="Z363" s="6">
        <f>IF(AND(J363="",K363=""),"",IF(AND(J363&lt;&gt;"",K363&lt;&gt;""),"OK","pendente: só um nome (o GR completa ao converter)"))</f>
      </c>
      <c r="AA363" s="6">
        <f>IF(COUNTA(A363:S363)=0,"",IF(AND(A363&lt;&gt;"",B363&lt;&gt;"",C363&lt;&gt;"",D363&lt;&gt;"",E363&lt;&gt;"",F363&lt;&gt;"",G363&lt;&gt;"",H363&lt;&gt;"",OR(J363&lt;&gt;"",K363&lt;&gt;""),OR(M363&lt;&gt;"",N363&lt;&gt;"",O363&lt;&gt;"")),"OK","ERRO: faltam "&amp;IF(A363="","SDR; ","")&amp;IF(B363="","Proprietário; ","")&amp;IF(C363="","Origem; ","")&amp;IF(D363="","Temperatura; ","")&amp;IF(E363="","Segmento; ","")&amp;IF(F363="","Time/Cluster; ","")&amp;IF(G363="","CNPJ; ","")&amp;IF(H363="","Razão Social; ","")&amp;IF(AND(J363="",K363=""),"nome do contato; ","")&amp;IF(AND(M363="",N363="",O363=""),"telefone, celular ou e-mail; ","")))</f>
      </c>
      <c r="AB363" s="6">
        <f>IF(COUNTA(A363:S363)=0,"",IF(AND(U363="OK",V363="OK",LEFT(W363,4)&lt;&gt;"ERRO",LEFT(X363,4)&lt;&gt;"ERRO",LEFT(Y363,4)&lt;&gt;"ERRO",AA363="OK"),"OK","REVISAR"))</f>
      </c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5"/>
      <c r="K364" s="4"/>
      <c r="L364" s="4"/>
      <c r="M364" s="4"/>
      <c r="N364" s="4"/>
      <c r="O364" s="4"/>
      <c r="P364" s="4"/>
      <c r="Q364" s="4"/>
      <c r="R364" s="4"/>
      <c r="S364" s="4"/>
      <c r="T364" s="6">
        <f>IF(G364="","",SUBSTITUTE(SUBSTITUTE(SUBSTITUTE(SUBSTITUTE(SUBSTITUTE(SUBSTITUTE(SUBSTITUTE(TRIM(G364),".",""),"/",""),"-","")," ",""),"(",""),")",""),"+",""))</f>
      </c>
      <c r="U364" s="6">
        <f>IF(T364="","",IF(LEN(T364)&lt;&gt;14,"ERRO: "&amp;LEN(T364)&amp;" dígitos",IF(NOT(ISNUMBER(VALUE(T364))),"ERRO: não numérico",IF(LEN(SUBSTITUTE(T364,LEFT(T364,1),""))=0,"ERRO: dígitos repetidos",IF(AND(VALUE(MID(T364,13,1))=IF(MOD(SUMPRODUCT(--MID(T364,{1,2,3,4,5,6,7,8,9,10,11,12},1),{5,4,3,2,9,8,7,6,5,4,3,2}),11)&lt;2,0,11-MOD(SUMPRODUCT(--MID(T364,{1,2,3,4,5,6,7,8,9,10,11,12},1),{5,4,3,2,9,8,7,6,5,4,3,2}),11)),VALUE(MID(T364,14,1))=IF(MOD(SUMPRODUCT(--MID(T364,{1,2,3,4,5,6,7,8,9,10,11,12,13},1),{6,5,4,3,2,9,8,7,6,5,4,3,2}),11)&lt;2,0,11-MOD(SUMPRODUCT(--MID(T364,{1,2,3,4,5,6,7,8,9,10,11,12,13},1),{6,5,4,3,2,9,8,7,6,5,4,3,2}),11))),"OK","ERRO: dígito verificador")))))</f>
      </c>
      <c r="V364" s="6">
        <f>IF(T364="","",IF(COUNTIF($T$2:$T$1001,T364)&gt;1,"DUPLICADO","OK"))</f>
      </c>
      <c r="W364" s="6">
        <f>IF(M364="","vazio",IF(OR(AND(LEN(SUBSTITUTE(SUBSTITUTE(SUBSTITUTE(SUBSTITUTE(SUBSTITUTE(SUBSTITUTE(SUBSTITUTE(TRIM(M364),".",""),"/",""),"-","")," ",""),"(",""),")",""),"+",""))=10,LEFT(SUBSTITUTE(SUBSTITUTE(SUBSTITUTE(SUBSTITUTE(SUBSTITUTE(SUBSTITUTE(SUBSTITUTE(TRIM(M364),".",""),"/",""),"-","")," ",""),"(",""),")",""),"+",""),1)&lt;&gt;"0"),AND(LEN(SUBSTITUTE(SUBSTITUTE(SUBSTITUTE(SUBSTITUTE(SUBSTITUTE(SUBSTITUTE(SUBSTITUTE(TRIM(M364),".",""),"/",""),"-","")," ",""),"(",""),")",""),"+",""))=11,LEFT(SUBSTITUTE(SUBSTITUTE(SUBSTITUTE(SUBSTITUTE(SUBSTITUTE(SUBSTITUTE(SUBSTITUTE(TRIM(M364),".",""),"/",""),"-","")," ",""),"(",""),")",""),"+",""),4)="0800")),"OK",IF(AND(LEN(SUBSTITUTE(SUBSTITUTE(SUBSTITUTE(SUBSTITUTE(SUBSTITUTE(SUBSTITUTE(SUBSTITUTE(TRIM(M364),".",""),"/",""),"-","")," ",""),"(",""),")",""),"+",""))=11,MID(SUBSTITUTE(SUBSTITUTE(SUBSTITUTE(SUBSTITUTE(SUBSTITUTE(SUBSTITUTE(SUBSTITUTE(TRIM(M364),".",""),"/",""),"-","")," ",""),"(",""),")",""),"+",""),3,1)="9"),"ERRO: é celular, use a coluna Celular","ERRO: DDD + 8 dígitos ou 0800 + 7")))</f>
      </c>
      <c r="X364" s="6">
        <f>IF(N364="","vazio",IF(AND(LEN(SUBSTITUTE(SUBSTITUTE(SUBSTITUTE(SUBSTITUTE(SUBSTITUTE(SUBSTITUTE(SUBSTITUTE(TRIM(N364),".",""),"/",""),"-","")," ",""),"(",""),")",""),"+",""))=11,MID(SUBSTITUTE(SUBSTITUTE(SUBSTITUTE(SUBSTITUTE(SUBSTITUTE(SUBSTITUTE(SUBSTITUTE(TRIM(N364),".",""),"/",""),"-","")," ",""),"(",""),")",""),"+",""),3,1)="9",LEFT(SUBSTITUTE(SUBSTITUTE(SUBSTITUTE(SUBSTITUTE(SUBSTITUTE(SUBSTITUTE(SUBSTITUTE(TRIM(N364),".",""),"/",""),"-","")," ",""),"(",""),")",""),"+",""),1)&lt;&gt;"0"),"OK",IF(LEN(SUBSTITUTE(SUBSTITUTE(SUBSTITUTE(SUBSTITUTE(SUBSTITUTE(SUBSTITUTE(SUBSTITUTE(TRIM(N364),".",""),"/",""),"-","")," ",""),"(",""),")",""),"+",""))=10,"ERRO: é fixo (ou falta o 9), use a coluna Telefone fixo","ERRO: DDD + 9 + 8 dígitos")))</f>
      </c>
      <c r="Y364" s="6">
        <f>IF(O364="","vazio",IF(AND(ISNUMBER(FIND("@",O364)),ISNUMBER(FIND(".",MID(O364,FIND("@",O364),99))),NOT(ISNUMBER(FIND(" ",TRIM(O364)))),NOT(ISNUMBER(FIND(";",O364))),NOT(ISNUMBER(FIND(",",O364)))),"OK","ERRO: um e-mail válido por linha"))</f>
      </c>
      <c r="Z364" s="6">
        <f>IF(AND(J364="",K364=""),"",IF(AND(J364&lt;&gt;"",K364&lt;&gt;""),"OK","pendente: só um nome (o GR completa ao converter)"))</f>
      </c>
      <c r="AA364" s="6">
        <f>IF(COUNTA(A364:S364)=0,"",IF(AND(A364&lt;&gt;"",B364&lt;&gt;"",C364&lt;&gt;"",D364&lt;&gt;"",E364&lt;&gt;"",F364&lt;&gt;"",G364&lt;&gt;"",H364&lt;&gt;"",OR(J364&lt;&gt;"",K364&lt;&gt;""),OR(M364&lt;&gt;"",N364&lt;&gt;"",O364&lt;&gt;"")),"OK","ERRO: faltam "&amp;IF(A364="","SDR; ","")&amp;IF(B364="","Proprietário; ","")&amp;IF(C364="","Origem; ","")&amp;IF(D364="","Temperatura; ","")&amp;IF(E364="","Segmento; ","")&amp;IF(F364="","Time/Cluster; ","")&amp;IF(G364="","CNPJ; ","")&amp;IF(H364="","Razão Social; ","")&amp;IF(AND(J364="",K364=""),"nome do contato; ","")&amp;IF(AND(M364="",N364="",O364=""),"telefone, celular ou e-mail; ","")))</f>
      </c>
      <c r="AB364" s="6">
        <f>IF(COUNTA(A364:S364)=0,"",IF(AND(U364="OK",V364="OK",LEFT(W364,4)&lt;&gt;"ERRO",LEFT(X364,4)&lt;&gt;"ERRO",LEFT(Y364,4)&lt;&gt;"ERRO",AA364="OK"),"OK","REVISAR"))</f>
      </c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5"/>
      <c r="K365" s="4"/>
      <c r="L365" s="4"/>
      <c r="M365" s="4"/>
      <c r="N365" s="4"/>
      <c r="O365" s="4"/>
      <c r="P365" s="4"/>
      <c r="Q365" s="4"/>
      <c r="R365" s="4"/>
      <c r="S365" s="4"/>
      <c r="T365" s="6">
        <f>IF(G365="","",SUBSTITUTE(SUBSTITUTE(SUBSTITUTE(SUBSTITUTE(SUBSTITUTE(SUBSTITUTE(SUBSTITUTE(TRIM(G365),".",""),"/",""),"-","")," ",""),"(",""),")",""),"+",""))</f>
      </c>
      <c r="U365" s="6">
        <f>IF(T365="","",IF(LEN(T365)&lt;&gt;14,"ERRO: "&amp;LEN(T365)&amp;" dígitos",IF(NOT(ISNUMBER(VALUE(T365))),"ERRO: não numérico",IF(LEN(SUBSTITUTE(T365,LEFT(T365,1),""))=0,"ERRO: dígitos repetidos",IF(AND(VALUE(MID(T365,13,1))=IF(MOD(SUMPRODUCT(--MID(T365,{1,2,3,4,5,6,7,8,9,10,11,12},1),{5,4,3,2,9,8,7,6,5,4,3,2}),11)&lt;2,0,11-MOD(SUMPRODUCT(--MID(T365,{1,2,3,4,5,6,7,8,9,10,11,12},1),{5,4,3,2,9,8,7,6,5,4,3,2}),11)),VALUE(MID(T365,14,1))=IF(MOD(SUMPRODUCT(--MID(T365,{1,2,3,4,5,6,7,8,9,10,11,12,13},1),{6,5,4,3,2,9,8,7,6,5,4,3,2}),11)&lt;2,0,11-MOD(SUMPRODUCT(--MID(T365,{1,2,3,4,5,6,7,8,9,10,11,12,13},1),{6,5,4,3,2,9,8,7,6,5,4,3,2}),11))),"OK","ERRO: dígito verificador")))))</f>
      </c>
      <c r="V365" s="6">
        <f>IF(T365="","",IF(COUNTIF($T$2:$T$1001,T365)&gt;1,"DUPLICADO","OK"))</f>
      </c>
      <c r="W365" s="6">
        <f>IF(M365="","vazio",IF(OR(AND(LEN(SUBSTITUTE(SUBSTITUTE(SUBSTITUTE(SUBSTITUTE(SUBSTITUTE(SUBSTITUTE(SUBSTITUTE(TRIM(M365),".",""),"/",""),"-","")," ",""),"(",""),")",""),"+",""))=10,LEFT(SUBSTITUTE(SUBSTITUTE(SUBSTITUTE(SUBSTITUTE(SUBSTITUTE(SUBSTITUTE(SUBSTITUTE(TRIM(M365),".",""),"/",""),"-","")," ",""),"(",""),")",""),"+",""),1)&lt;&gt;"0"),AND(LEN(SUBSTITUTE(SUBSTITUTE(SUBSTITUTE(SUBSTITUTE(SUBSTITUTE(SUBSTITUTE(SUBSTITUTE(TRIM(M365),".",""),"/",""),"-","")," ",""),"(",""),")",""),"+",""))=11,LEFT(SUBSTITUTE(SUBSTITUTE(SUBSTITUTE(SUBSTITUTE(SUBSTITUTE(SUBSTITUTE(SUBSTITUTE(TRIM(M365),".",""),"/",""),"-","")," ",""),"(",""),")",""),"+",""),4)="0800")),"OK",IF(AND(LEN(SUBSTITUTE(SUBSTITUTE(SUBSTITUTE(SUBSTITUTE(SUBSTITUTE(SUBSTITUTE(SUBSTITUTE(TRIM(M365),".",""),"/",""),"-","")," ",""),"(",""),")",""),"+",""))=11,MID(SUBSTITUTE(SUBSTITUTE(SUBSTITUTE(SUBSTITUTE(SUBSTITUTE(SUBSTITUTE(SUBSTITUTE(TRIM(M365),".",""),"/",""),"-","")," ",""),"(",""),")",""),"+",""),3,1)="9"),"ERRO: é celular, use a coluna Celular","ERRO: DDD + 8 dígitos ou 0800 + 7")))</f>
      </c>
      <c r="X365" s="6">
        <f>IF(N365="","vazio",IF(AND(LEN(SUBSTITUTE(SUBSTITUTE(SUBSTITUTE(SUBSTITUTE(SUBSTITUTE(SUBSTITUTE(SUBSTITUTE(TRIM(N365),".",""),"/",""),"-","")," ",""),"(",""),")",""),"+",""))=11,MID(SUBSTITUTE(SUBSTITUTE(SUBSTITUTE(SUBSTITUTE(SUBSTITUTE(SUBSTITUTE(SUBSTITUTE(TRIM(N365),".",""),"/",""),"-","")," ",""),"(",""),")",""),"+",""),3,1)="9",LEFT(SUBSTITUTE(SUBSTITUTE(SUBSTITUTE(SUBSTITUTE(SUBSTITUTE(SUBSTITUTE(SUBSTITUTE(TRIM(N365),".",""),"/",""),"-","")," ",""),"(",""),")",""),"+",""),1)&lt;&gt;"0"),"OK",IF(LEN(SUBSTITUTE(SUBSTITUTE(SUBSTITUTE(SUBSTITUTE(SUBSTITUTE(SUBSTITUTE(SUBSTITUTE(TRIM(N365),".",""),"/",""),"-","")," ",""),"(",""),")",""),"+",""))=10,"ERRO: é fixo (ou falta o 9), use a coluna Telefone fixo","ERRO: DDD + 9 + 8 dígitos")))</f>
      </c>
      <c r="Y365" s="6">
        <f>IF(O365="","vazio",IF(AND(ISNUMBER(FIND("@",O365)),ISNUMBER(FIND(".",MID(O365,FIND("@",O365),99))),NOT(ISNUMBER(FIND(" ",TRIM(O365)))),NOT(ISNUMBER(FIND(";",O365))),NOT(ISNUMBER(FIND(",",O365)))),"OK","ERRO: um e-mail válido por linha"))</f>
      </c>
      <c r="Z365" s="6">
        <f>IF(AND(J365="",K365=""),"",IF(AND(J365&lt;&gt;"",K365&lt;&gt;""),"OK","pendente: só um nome (o GR completa ao converter)"))</f>
      </c>
      <c r="AA365" s="6">
        <f>IF(COUNTA(A365:S365)=0,"",IF(AND(A365&lt;&gt;"",B365&lt;&gt;"",C365&lt;&gt;"",D365&lt;&gt;"",E365&lt;&gt;"",F365&lt;&gt;"",G365&lt;&gt;"",H365&lt;&gt;"",OR(J365&lt;&gt;"",K365&lt;&gt;""),OR(M365&lt;&gt;"",N365&lt;&gt;"",O365&lt;&gt;"")),"OK","ERRO: faltam "&amp;IF(A365="","SDR; ","")&amp;IF(B365="","Proprietário; ","")&amp;IF(C365="","Origem; ","")&amp;IF(D365="","Temperatura; ","")&amp;IF(E365="","Segmento; ","")&amp;IF(F365="","Time/Cluster; ","")&amp;IF(G365="","CNPJ; ","")&amp;IF(H365="","Razão Social; ","")&amp;IF(AND(J365="",K365=""),"nome do contato; ","")&amp;IF(AND(M365="",N365="",O365=""),"telefone, celular ou e-mail; ","")))</f>
      </c>
      <c r="AB365" s="6">
        <f>IF(COUNTA(A365:S365)=0,"",IF(AND(U365="OK",V365="OK",LEFT(W365,4)&lt;&gt;"ERRO",LEFT(X365,4)&lt;&gt;"ERRO",LEFT(Y365,4)&lt;&gt;"ERRO",AA365="OK"),"OK","REVISAR"))</f>
      </c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5"/>
      <c r="K366" s="4"/>
      <c r="L366" s="4"/>
      <c r="M366" s="4"/>
      <c r="N366" s="4"/>
      <c r="O366" s="4"/>
      <c r="P366" s="4"/>
      <c r="Q366" s="4"/>
      <c r="R366" s="4"/>
      <c r="S366" s="4"/>
      <c r="T366" s="6">
        <f>IF(G366="","",SUBSTITUTE(SUBSTITUTE(SUBSTITUTE(SUBSTITUTE(SUBSTITUTE(SUBSTITUTE(SUBSTITUTE(TRIM(G366),".",""),"/",""),"-","")," ",""),"(",""),")",""),"+",""))</f>
      </c>
      <c r="U366" s="6">
        <f>IF(T366="","",IF(LEN(T366)&lt;&gt;14,"ERRO: "&amp;LEN(T366)&amp;" dígitos",IF(NOT(ISNUMBER(VALUE(T366))),"ERRO: não numérico",IF(LEN(SUBSTITUTE(T366,LEFT(T366,1),""))=0,"ERRO: dígitos repetidos",IF(AND(VALUE(MID(T366,13,1))=IF(MOD(SUMPRODUCT(--MID(T366,{1,2,3,4,5,6,7,8,9,10,11,12},1),{5,4,3,2,9,8,7,6,5,4,3,2}),11)&lt;2,0,11-MOD(SUMPRODUCT(--MID(T366,{1,2,3,4,5,6,7,8,9,10,11,12},1),{5,4,3,2,9,8,7,6,5,4,3,2}),11)),VALUE(MID(T366,14,1))=IF(MOD(SUMPRODUCT(--MID(T366,{1,2,3,4,5,6,7,8,9,10,11,12,13},1),{6,5,4,3,2,9,8,7,6,5,4,3,2}),11)&lt;2,0,11-MOD(SUMPRODUCT(--MID(T366,{1,2,3,4,5,6,7,8,9,10,11,12,13},1),{6,5,4,3,2,9,8,7,6,5,4,3,2}),11))),"OK","ERRO: dígito verificador")))))</f>
      </c>
      <c r="V366" s="6">
        <f>IF(T366="","",IF(COUNTIF($T$2:$T$1001,T366)&gt;1,"DUPLICADO","OK"))</f>
      </c>
      <c r="W366" s="6">
        <f>IF(M366="","vazio",IF(OR(AND(LEN(SUBSTITUTE(SUBSTITUTE(SUBSTITUTE(SUBSTITUTE(SUBSTITUTE(SUBSTITUTE(SUBSTITUTE(TRIM(M366),".",""),"/",""),"-","")," ",""),"(",""),")",""),"+",""))=10,LEFT(SUBSTITUTE(SUBSTITUTE(SUBSTITUTE(SUBSTITUTE(SUBSTITUTE(SUBSTITUTE(SUBSTITUTE(TRIM(M366),".",""),"/",""),"-","")," ",""),"(",""),")",""),"+",""),1)&lt;&gt;"0"),AND(LEN(SUBSTITUTE(SUBSTITUTE(SUBSTITUTE(SUBSTITUTE(SUBSTITUTE(SUBSTITUTE(SUBSTITUTE(TRIM(M366),".",""),"/",""),"-","")," ",""),"(",""),")",""),"+",""))=11,LEFT(SUBSTITUTE(SUBSTITUTE(SUBSTITUTE(SUBSTITUTE(SUBSTITUTE(SUBSTITUTE(SUBSTITUTE(TRIM(M366),".",""),"/",""),"-","")," ",""),"(",""),")",""),"+",""),4)="0800")),"OK",IF(AND(LEN(SUBSTITUTE(SUBSTITUTE(SUBSTITUTE(SUBSTITUTE(SUBSTITUTE(SUBSTITUTE(SUBSTITUTE(TRIM(M366),".",""),"/",""),"-","")," ",""),"(",""),")",""),"+",""))=11,MID(SUBSTITUTE(SUBSTITUTE(SUBSTITUTE(SUBSTITUTE(SUBSTITUTE(SUBSTITUTE(SUBSTITUTE(TRIM(M366),".",""),"/",""),"-","")," ",""),"(",""),")",""),"+",""),3,1)="9"),"ERRO: é celular, use a coluna Celular","ERRO: DDD + 8 dígitos ou 0800 + 7")))</f>
      </c>
      <c r="X366" s="6">
        <f>IF(N366="","vazio",IF(AND(LEN(SUBSTITUTE(SUBSTITUTE(SUBSTITUTE(SUBSTITUTE(SUBSTITUTE(SUBSTITUTE(SUBSTITUTE(TRIM(N366),".",""),"/",""),"-","")," ",""),"(",""),")",""),"+",""))=11,MID(SUBSTITUTE(SUBSTITUTE(SUBSTITUTE(SUBSTITUTE(SUBSTITUTE(SUBSTITUTE(SUBSTITUTE(TRIM(N366),".",""),"/",""),"-","")," ",""),"(",""),")",""),"+",""),3,1)="9",LEFT(SUBSTITUTE(SUBSTITUTE(SUBSTITUTE(SUBSTITUTE(SUBSTITUTE(SUBSTITUTE(SUBSTITUTE(TRIM(N366),".",""),"/",""),"-","")," ",""),"(",""),")",""),"+",""),1)&lt;&gt;"0"),"OK",IF(LEN(SUBSTITUTE(SUBSTITUTE(SUBSTITUTE(SUBSTITUTE(SUBSTITUTE(SUBSTITUTE(SUBSTITUTE(TRIM(N366),".",""),"/",""),"-","")," ",""),"(",""),")",""),"+",""))=10,"ERRO: é fixo (ou falta o 9), use a coluna Telefone fixo","ERRO: DDD + 9 + 8 dígitos")))</f>
      </c>
      <c r="Y366" s="6">
        <f>IF(O366="","vazio",IF(AND(ISNUMBER(FIND("@",O366)),ISNUMBER(FIND(".",MID(O366,FIND("@",O366),99))),NOT(ISNUMBER(FIND(" ",TRIM(O366)))),NOT(ISNUMBER(FIND(";",O366))),NOT(ISNUMBER(FIND(",",O366)))),"OK","ERRO: um e-mail válido por linha"))</f>
      </c>
      <c r="Z366" s="6">
        <f>IF(AND(J366="",K366=""),"",IF(AND(J366&lt;&gt;"",K366&lt;&gt;""),"OK","pendente: só um nome (o GR completa ao converter)"))</f>
      </c>
      <c r="AA366" s="6">
        <f>IF(COUNTA(A366:S366)=0,"",IF(AND(A366&lt;&gt;"",B366&lt;&gt;"",C366&lt;&gt;"",D366&lt;&gt;"",E366&lt;&gt;"",F366&lt;&gt;"",G366&lt;&gt;"",H366&lt;&gt;"",OR(J366&lt;&gt;"",K366&lt;&gt;""),OR(M366&lt;&gt;"",N366&lt;&gt;"",O366&lt;&gt;"")),"OK","ERRO: faltam "&amp;IF(A366="","SDR; ","")&amp;IF(B366="","Proprietário; ","")&amp;IF(C366="","Origem; ","")&amp;IF(D366="","Temperatura; ","")&amp;IF(E366="","Segmento; ","")&amp;IF(F366="","Time/Cluster; ","")&amp;IF(G366="","CNPJ; ","")&amp;IF(H366="","Razão Social; ","")&amp;IF(AND(J366="",K366=""),"nome do contato; ","")&amp;IF(AND(M366="",N366="",O366=""),"telefone, celular ou e-mail; ","")))</f>
      </c>
      <c r="AB366" s="6">
        <f>IF(COUNTA(A366:S366)=0,"",IF(AND(U366="OK",V366="OK",LEFT(W366,4)&lt;&gt;"ERRO",LEFT(X366,4)&lt;&gt;"ERRO",LEFT(Y366,4)&lt;&gt;"ERRO",AA366="OK"),"OK","REVISAR"))</f>
      </c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5"/>
      <c r="K367" s="4"/>
      <c r="L367" s="4"/>
      <c r="M367" s="4"/>
      <c r="N367" s="4"/>
      <c r="O367" s="4"/>
      <c r="P367" s="4"/>
      <c r="Q367" s="4"/>
      <c r="R367" s="4"/>
      <c r="S367" s="4"/>
      <c r="T367" s="6">
        <f>IF(G367="","",SUBSTITUTE(SUBSTITUTE(SUBSTITUTE(SUBSTITUTE(SUBSTITUTE(SUBSTITUTE(SUBSTITUTE(TRIM(G367),".",""),"/",""),"-","")," ",""),"(",""),")",""),"+",""))</f>
      </c>
      <c r="U367" s="6">
        <f>IF(T367="","",IF(LEN(T367)&lt;&gt;14,"ERRO: "&amp;LEN(T367)&amp;" dígitos",IF(NOT(ISNUMBER(VALUE(T367))),"ERRO: não numérico",IF(LEN(SUBSTITUTE(T367,LEFT(T367,1),""))=0,"ERRO: dígitos repetidos",IF(AND(VALUE(MID(T367,13,1))=IF(MOD(SUMPRODUCT(--MID(T367,{1,2,3,4,5,6,7,8,9,10,11,12},1),{5,4,3,2,9,8,7,6,5,4,3,2}),11)&lt;2,0,11-MOD(SUMPRODUCT(--MID(T367,{1,2,3,4,5,6,7,8,9,10,11,12},1),{5,4,3,2,9,8,7,6,5,4,3,2}),11)),VALUE(MID(T367,14,1))=IF(MOD(SUMPRODUCT(--MID(T367,{1,2,3,4,5,6,7,8,9,10,11,12,13},1),{6,5,4,3,2,9,8,7,6,5,4,3,2}),11)&lt;2,0,11-MOD(SUMPRODUCT(--MID(T367,{1,2,3,4,5,6,7,8,9,10,11,12,13},1),{6,5,4,3,2,9,8,7,6,5,4,3,2}),11))),"OK","ERRO: dígito verificador")))))</f>
      </c>
      <c r="V367" s="6">
        <f>IF(T367="","",IF(COUNTIF($T$2:$T$1001,T367)&gt;1,"DUPLICADO","OK"))</f>
      </c>
      <c r="W367" s="6">
        <f>IF(M367="","vazio",IF(OR(AND(LEN(SUBSTITUTE(SUBSTITUTE(SUBSTITUTE(SUBSTITUTE(SUBSTITUTE(SUBSTITUTE(SUBSTITUTE(TRIM(M367),".",""),"/",""),"-","")," ",""),"(",""),")",""),"+",""))=10,LEFT(SUBSTITUTE(SUBSTITUTE(SUBSTITUTE(SUBSTITUTE(SUBSTITUTE(SUBSTITUTE(SUBSTITUTE(TRIM(M367),".",""),"/",""),"-","")," ",""),"(",""),")",""),"+",""),1)&lt;&gt;"0"),AND(LEN(SUBSTITUTE(SUBSTITUTE(SUBSTITUTE(SUBSTITUTE(SUBSTITUTE(SUBSTITUTE(SUBSTITUTE(TRIM(M367),".",""),"/",""),"-","")," ",""),"(",""),")",""),"+",""))=11,LEFT(SUBSTITUTE(SUBSTITUTE(SUBSTITUTE(SUBSTITUTE(SUBSTITUTE(SUBSTITUTE(SUBSTITUTE(TRIM(M367),".",""),"/",""),"-","")," ",""),"(",""),")",""),"+",""),4)="0800")),"OK",IF(AND(LEN(SUBSTITUTE(SUBSTITUTE(SUBSTITUTE(SUBSTITUTE(SUBSTITUTE(SUBSTITUTE(SUBSTITUTE(TRIM(M367),".",""),"/",""),"-","")," ",""),"(",""),")",""),"+",""))=11,MID(SUBSTITUTE(SUBSTITUTE(SUBSTITUTE(SUBSTITUTE(SUBSTITUTE(SUBSTITUTE(SUBSTITUTE(TRIM(M367),".",""),"/",""),"-","")," ",""),"(",""),")",""),"+",""),3,1)="9"),"ERRO: é celular, use a coluna Celular","ERRO: DDD + 8 dígitos ou 0800 + 7")))</f>
      </c>
      <c r="X367" s="6">
        <f>IF(N367="","vazio",IF(AND(LEN(SUBSTITUTE(SUBSTITUTE(SUBSTITUTE(SUBSTITUTE(SUBSTITUTE(SUBSTITUTE(SUBSTITUTE(TRIM(N367),".",""),"/",""),"-","")," ",""),"(",""),")",""),"+",""))=11,MID(SUBSTITUTE(SUBSTITUTE(SUBSTITUTE(SUBSTITUTE(SUBSTITUTE(SUBSTITUTE(SUBSTITUTE(TRIM(N367),".",""),"/",""),"-","")," ",""),"(",""),")",""),"+",""),3,1)="9",LEFT(SUBSTITUTE(SUBSTITUTE(SUBSTITUTE(SUBSTITUTE(SUBSTITUTE(SUBSTITUTE(SUBSTITUTE(TRIM(N367),".",""),"/",""),"-","")," ",""),"(",""),")",""),"+",""),1)&lt;&gt;"0"),"OK",IF(LEN(SUBSTITUTE(SUBSTITUTE(SUBSTITUTE(SUBSTITUTE(SUBSTITUTE(SUBSTITUTE(SUBSTITUTE(TRIM(N367),".",""),"/",""),"-","")," ",""),"(",""),")",""),"+",""))=10,"ERRO: é fixo (ou falta o 9), use a coluna Telefone fixo","ERRO: DDD + 9 + 8 dígitos")))</f>
      </c>
      <c r="Y367" s="6">
        <f>IF(O367="","vazio",IF(AND(ISNUMBER(FIND("@",O367)),ISNUMBER(FIND(".",MID(O367,FIND("@",O367),99))),NOT(ISNUMBER(FIND(" ",TRIM(O367)))),NOT(ISNUMBER(FIND(";",O367))),NOT(ISNUMBER(FIND(",",O367)))),"OK","ERRO: um e-mail válido por linha"))</f>
      </c>
      <c r="Z367" s="6">
        <f>IF(AND(J367="",K367=""),"",IF(AND(J367&lt;&gt;"",K367&lt;&gt;""),"OK","pendente: só um nome (o GR completa ao converter)"))</f>
      </c>
      <c r="AA367" s="6">
        <f>IF(COUNTA(A367:S367)=0,"",IF(AND(A367&lt;&gt;"",B367&lt;&gt;"",C367&lt;&gt;"",D367&lt;&gt;"",E367&lt;&gt;"",F367&lt;&gt;"",G367&lt;&gt;"",H367&lt;&gt;"",OR(J367&lt;&gt;"",K367&lt;&gt;""),OR(M367&lt;&gt;"",N367&lt;&gt;"",O367&lt;&gt;"")),"OK","ERRO: faltam "&amp;IF(A367="","SDR; ","")&amp;IF(B367="","Proprietário; ","")&amp;IF(C367="","Origem; ","")&amp;IF(D367="","Temperatura; ","")&amp;IF(E367="","Segmento; ","")&amp;IF(F367="","Time/Cluster; ","")&amp;IF(G367="","CNPJ; ","")&amp;IF(H367="","Razão Social; ","")&amp;IF(AND(J367="",K367=""),"nome do contato; ","")&amp;IF(AND(M367="",N367="",O367=""),"telefone, celular ou e-mail; ","")))</f>
      </c>
      <c r="AB367" s="6">
        <f>IF(COUNTA(A367:S367)=0,"",IF(AND(U367="OK",V367="OK",LEFT(W367,4)&lt;&gt;"ERRO",LEFT(X367,4)&lt;&gt;"ERRO",LEFT(Y367,4)&lt;&gt;"ERRO",AA367="OK"),"OK","REVISAR"))</f>
      </c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5"/>
      <c r="K368" s="4"/>
      <c r="L368" s="4"/>
      <c r="M368" s="4"/>
      <c r="N368" s="4"/>
      <c r="O368" s="4"/>
      <c r="P368" s="4"/>
      <c r="Q368" s="4"/>
      <c r="R368" s="4"/>
      <c r="S368" s="4"/>
      <c r="T368" s="6">
        <f>IF(G368="","",SUBSTITUTE(SUBSTITUTE(SUBSTITUTE(SUBSTITUTE(SUBSTITUTE(SUBSTITUTE(SUBSTITUTE(TRIM(G368),".",""),"/",""),"-","")," ",""),"(",""),")",""),"+",""))</f>
      </c>
      <c r="U368" s="6">
        <f>IF(T368="","",IF(LEN(T368)&lt;&gt;14,"ERRO: "&amp;LEN(T368)&amp;" dígitos",IF(NOT(ISNUMBER(VALUE(T368))),"ERRO: não numérico",IF(LEN(SUBSTITUTE(T368,LEFT(T368,1),""))=0,"ERRO: dígitos repetidos",IF(AND(VALUE(MID(T368,13,1))=IF(MOD(SUMPRODUCT(--MID(T368,{1,2,3,4,5,6,7,8,9,10,11,12},1),{5,4,3,2,9,8,7,6,5,4,3,2}),11)&lt;2,0,11-MOD(SUMPRODUCT(--MID(T368,{1,2,3,4,5,6,7,8,9,10,11,12},1),{5,4,3,2,9,8,7,6,5,4,3,2}),11)),VALUE(MID(T368,14,1))=IF(MOD(SUMPRODUCT(--MID(T368,{1,2,3,4,5,6,7,8,9,10,11,12,13},1),{6,5,4,3,2,9,8,7,6,5,4,3,2}),11)&lt;2,0,11-MOD(SUMPRODUCT(--MID(T368,{1,2,3,4,5,6,7,8,9,10,11,12,13},1),{6,5,4,3,2,9,8,7,6,5,4,3,2}),11))),"OK","ERRO: dígito verificador")))))</f>
      </c>
      <c r="V368" s="6">
        <f>IF(T368="","",IF(COUNTIF($T$2:$T$1001,T368)&gt;1,"DUPLICADO","OK"))</f>
      </c>
      <c r="W368" s="6">
        <f>IF(M368="","vazio",IF(OR(AND(LEN(SUBSTITUTE(SUBSTITUTE(SUBSTITUTE(SUBSTITUTE(SUBSTITUTE(SUBSTITUTE(SUBSTITUTE(TRIM(M368),".",""),"/",""),"-","")," ",""),"(",""),")",""),"+",""))=10,LEFT(SUBSTITUTE(SUBSTITUTE(SUBSTITUTE(SUBSTITUTE(SUBSTITUTE(SUBSTITUTE(SUBSTITUTE(TRIM(M368),".",""),"/",""),"-","")," ",""),"(",""),")",""),"+",""),1)&lt;&gt;"0"),AND(LEN(SUBSTITUTE(SUBSTITUTE(SUBSTITUTE(SUBSTITUTE(SUBSTITUTE(SUBSTITUTE(SUBSTITUTE(TRIM(M368),".",""),"/",""),"-","")," ",""),"(",""),")",""),"+",""))=11,LEFT(SUBSTITUTE(SUBSTITUTE(SUBSTITUTE(SUBSTITUTE(SUBSTITUTE(SUBSTITUTE(SUBSTITUTE(TRIM(M368),".",""),"/",""),"-","")," ",""),"(",""),")",""),"+",""),4)="0800")),"OK",IF(AND(LEN(SUBSTITUTE(SUBSTITUTE(SUBSTITUTE(SUBSTITUTE(SUBSTITUTE(SUBSTITUTE(SUBSTITUTE(TRIM(M368),".",""),"/",""),"-","")," ",""),"(",""),")",""),"+",""))=11,MID(SUBSTITUTE(SUBSTITUTE(SUBSTITUTE(SUBSTITUTE(SUBSTITUTE(SUBSTITUTE(SUBSTITUTE(TRIM(M368),".",""),"/",""),"-","")," ",""),"(",""),")",""),"+",""),3,1)="9"),"ERRO: é celular, use a coluna Celular","ERRO: DDD + 8 dígitos ou 0800 + 7")))</f>
      </c>
      <c r="X368" s="6">
        <f>IF(N368="","vazio",IF(AND(LEN(SUBSTITUTE(SUBSTITUTE(SUBSTITUTE(SUBSTITUTE(SUBSTITUTE(SUBSTITUTE(SUBSTITUTE(TRIM(N368),".",""),"/",""),"-","")," ",""),"(",""),")",""),"+",""))=11,MID(SUBSTITUTE(SUBSTITUTE(SUBSTITUTE(SUBSTITUTE(SUBSTITUTE(SUBSTITUTE(SUBSTITUTE(TRIM(N368),".",""),"/",""),"-","")," ",""),"(",""),")",""),"+",""),3,1)="9",LEFT(SUBSTITUTE(SUBSTITUTE(SUBSTITUTE(SUBSTITUTE(SUBSTITUTE(SUBSTITUTE(SUBSTITUTE(TRIM(N368),".",""),"/",""),"-","")," ",""),"(",""),")",""),"+",""),1)&lt;&gt;"0"),"OK",IF(LEN(SUBSTITUTE(SUBSTITUTE(SUBSTITUTE(SUBSTITUTE(SUBSTITUTE(SUBSTITUTE(SUBSTITUTE(TRIM(N368),".",""),"/",""),"-","")," ",""),"(",""),")",""),"+",""))=10,"ERRO: é fixo (ou falta o 9), use a coluna Telefone fixo","ERRO: DDD + 9 + 8 dígitos")))</f>
      </c>
      <c r="Y368" s="6">
        <f>IF(O368="","vazio",IF(AND(ISNUMBER(FIND("@",O368)),ISNUMBER(FIND(".",MID(O368,FIND("@",O368),99))),NOT(ISNUMBER(FIND(" ",TRIM(O368)))),NOT(ISNUMBER(FIND(";",O368))),NOT(ISNUMBER(FIND(",",O368)))),"OK","ERRO: um e-mail válido por linha"))</f>
      </c>
      <c r="Z368" s="6">
        <f>IF(AND(J368="",K368=""),"",IF(AND(J368&lt;&gt;"",K368&lt;&gt;""),"OK","pendente: só um nome (o GR completa ao converter)"))</f>
      </c>
      <c r="AA368" s="6">
        <f>IF(COUNTA(A368:S368)=0,"",IF(AND(A368&lt;&gt;"",B368&lt;&gt;"",C368&lt;&gt;"",D368&lt;&gt;"",E368&lt;&gt;"",F368&lt;&gt;"",G368&lt;&gt;"",H368&lt;&gt;"",OR(J368&lt;&gt;"",K368&lt;&gt;""),OR(M368&lt;&gt;"",N368&lt;&gt;"",O368&lt;&gt;"")),"OK","ERRO: faltam "&amp;IF(A368="","SDR; ","")&amp;IF(B368="","Proprietário; ","")&amp;IF(C368="","Origem; ","")&amp;IF(D368="","Temperatura; ","")&amp;IF(E368="","Segmento; ","")&amp;IF(F368="","Time/Cluster; ","")&amp;IF(G368="","CNPJ; ","")&amp;IF(H368="","Razão Social; ","")&amp;IF(AND(J368="",K368=""),"nome do contato; ","")&amp;IF(AND(M368="",N368="",O368=""),"telefone, celular ou e-mail; ","")))</f>
      </c>
      <c r="AB368" s="6">
        <f>IF(COUNTA(A368:S368)=0,"",IF(AND(U368="OK",V368="OK",LEFT(W368,4)&lt;&gt;"ERRO",LEFT(X368,4)&lt;&gt;"ERRO",LEFT(Y368,4)&lt;&gt;"ERRO",AA368="OK"),"OK","REVISAR"))</f>
      </c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5"/>
      <c r="K369" s="4"/>
      <c r="L369" s="4"/>
      <c r="M369" s="4"/>
      <c r="N369" s="4"/>
      <c r="O369" s="4"/>
      <c r="P369" s="4"/>
      <c r="Q369" s="4"/>
      <c r="R369" s="4"/>
      <c r="S369" s="4"/>
      <c r="T369" s="6">
        <f>IF(G369="","",SUBSTITUTE(SUBSTITUTE(SUBSTITUTE(SUBSTITUTE(SUBSTITUTE(SUBSTITUTE(SUBSTITUTE(TRIM(G369),".",""),"/",""),"-","")," ",""),"(",""),")",""),"+",""))</f>
      </c>
      <c r="U369" s="6">
        <f>IF(T369="","",IF(LEN(T369)&lt;&gt;14,"ERRO: "&amp;LEN(T369)&amp;" dígitos",IF(NOT(ISNUMBER(VALUE(T369))),"ERRO: não numérico",IF(LEN(SUBSTITUTE(T369,LEFT(T369,1),""))=0,"ERRO: dígitos repetidos",IF(AND(VALUE(MID(T369,13,1))=IF(MOD(SUMPRODUCT(--MID(T369,{1,2,3,4,5,6,7,8,9,10,11,12},1),{5,4,3,2,9,8,7,6,5,4,3,2}),11)&lt;2,0,11-MOD(SUMPRODUCT(--MID(T369,{1,2,3,4,5,6,7,8,9,10,11,12},1),{5,4,3,2,9,8,7,6,5,4,3,2}),11)),VALUE(MID(T369,14,1))=IF(MOD(SUMPRODUCT(--MID(T369,{1,2,3,4,5,6,7,8,9,10,11,12,13},1),{6,5,4,3,2,9,8,7,6,5,4,3,2}),11)&lt;2,0,11-MOD(SUMPRODUCT(--MID(T369,{1,2,3,4,5,6,7,8,9,10,11,12,13},1),{6,5,4,3,2,9,8,7,6,5,4,3,2}),11))),"OK","ERRO: dígito verificador")))))</f>
      </c>
      <c r="V369" s="6">
        <f>IF(T369="","",IF(COUNTIF($T$2:$T$1001,T369)&gt;1,"DUPLICADO","OK"))</f>
      </c>
      <c r="W369" s="6">
        <f>IF(M369="","vazio",IF(OR(AND(LEN(SUBSTITUTE(SUBSTITUTE(SUBSTITUTE(SUBSTITUTE(SUBSTITUTE(SUBSTITUTE(SUBSTITUTE(TRIM(M369),".",""),"/",""),"-","")," ",""),"(",""),")",""),"+",""))=10,LEFT(SUBSTITUTE(SUBSTITUTE(SUBSTITUTE(SUBSTITUTE(SUBSTITUTE(SUBSTITUTE(SUBSTITUTE(TRIM(M369),".",""),"/",""),"-","")," ",""),"(",""),")",""),"+",""),1)&lt;&gt;"0"),AND(LEN(SUBSTITUTE(SUBSTITUTE(SUBSTITUTE(SUBSTITUTE(SUBSTITUTE(SUBSTITUTE(SUBSTITUTE(TRIM(M369),".",""),"/",""),"-","")," ",""),"(",""),")",""),"+",""))=11,LEFT(SUBSTITUTE(SUBSTITUTE(SUBSTITUTE(SUBSTITUTE(SUBSTITUTE(SUBSTITUTE(SUBSTITUTE(TRIM(M369),".",""),"/",""),"-","")," ",""),"(",""),")",""),"+",""),4)="0800")),"OK",IF(AND(LEN(SUBSTITUTE(SUBSTITUTE(SUBSTITUTE(SUBSTITUTE(SUBSTITUTE(SUBSTITUTE(SUBSTITUTE(TRIM(M369),".",""),"/",""),"-","")," ",""),"(",""),")",""),"+",""))=11,MID(SUBSTITUTE(SUBSTITUTE(SUBSTITUTE(SUBSTITUTE(SUBSTITUTE(SUBSTITUTE(SUBSTITUTE(TRIM(M369),".",""),"/",""),"-","")," ",""),"(",""),")",""),"+",""),3,1)="9"),"ERRO: é celular, use a coluna Celular","ERRO: DDD + 8 dígitos ou 0800 + 7")))</f>
      </c>
      <c r="X369" s="6">
        <f>IF(N369="","vazio",IF(AND(LEN(SUBSTITUTE(SUBSTITUTE(SUBSTITUTE(SUBSTITUTE(SUBSTITUTE(SUBSTITUTE(SUBSTITUTE(TRIM(N369),".",""),"/",""),"-","")," ",""),"(",""),")",""),"+",""))=11,MID(SUBSTITUTE(SUBSTITUTE(SUBSTITUTE(SUBSTITUTE(SUBSTITUTE(SUBSTITUTE(SUBSTITUTE(TRIM(N369),".",""),"/",""),"-","")," ",""),"(",""),")",""),"+",""),3,1)="9",LEFT(SUBSTITUTE(SUBSTITUTE(SUBSTITUTE(SUBSTITUTE(SUBSTITUTE(SUBSTITUTE(SUBSTITUTE(TRIM(N369),".",""),"/",""),"-","")," ",""),"(",""),")",""),"+",""),1)&lt;&gt;"0"),"OK",IF(LEN(SUBSTITUTE(SUBSTITUTE(SUBSTITUTE(SUBSTITUTE(SUBSTITUTE(SUBSTITUTE(SUBSTITUTE(TRIM(N369),".",""),"/",""),"-","")," ",""),"(",""),")",""),"+",""))=10,"ERRO: é fixo (ou falta o 9), use a coluna Telefone fixo","ERRO: DDD + 9 + 8 dígitos")))</f>
      </c>
      <c r="Y369" s="6">
        <f>IF(O369="","vazio",IF(AND(ISNUMBER(FIND("@",O369)),ISNUMBER(FIND(".",MID(O369,FIND("@",O369),99))),NOT(ISNUMBER(FIND(" ",TRIM(O369)))),NOT(ISNUMBER(FIND(";",O369))),NOT(ISNUMBER(FIND(",",O369)))),"OK","ERRO: um e-mail válido por linha"))</f>
      </c>
      <c r="Z369" s="6">
        <f>IF(AND(J369="",K369=""),"",IF(AND(J369&lt;&gt;"",K369&lt;&gt;""),"OK","pendente: só um nome (o GR completa ao converter)"))</f>
      </c>
      <c r="AA369" s="6">
        <f>IF(COUNTA(A369:S369)=0,"",IF(AND(A369&lt;&gt;"",B369&lt;&gt;"",C369&lt;&gt;"",D369&lt;&gt;"",E369&lt;&gt;"",F369&lt;&gt;"",G369&lt;&gt;"",H369&lt;&gt;"",OR(J369&lt;&gt;"",K369&lt;&gt;""),OR(M369&lt;&gt;"",N369&lt;&gt;"",O369&lt;&gt;"")),"OK","ERRO: faltam "&amp;IF(A369="","SDR; ","")&amp;IF(B369="","Proprietário; ","")&amp;IF(C369="","Origem; ","")&amp;IF(D369="","Temperatura; ","")&amp;IF(E369="","Segmento; ","")&amp;IF(F369="","Time/Cluster; ","")&amp;IF(G369="","CNPJ; ","")&amp;IF(H369="","Razão Social; ","")&amp;IF(AND(J369="",K369=""),"nome do contato; ","")&amp;IF(AND(M369="",N369="",O369=""),"telefone, celular ou e-mail; ","")))</f>
      </c>
      <c r="AB369" s="6">
        <f>IF(COUNTA(A369:S369)=0,"",IF(AND(U369="OK",V369="OK",LEFT(W369,4)&lt;&gt;"ERRO",LEFT(X369,4)&lt;&gt;"ERRO",LEFT(Y369,4)&lt;&gt;"ERRO",AA369="OK"),"OK","REVISAR"))</f>
      </c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5"/>
      <c r="K370" s="4"/>
      <c r="L370" s="4"/>
      <c r="M370" s="4"/>
      <c r="N370" s="4"/>
      <c r="O370" s="4"/>
      <c r="P370" s="4"/>
      <c r="Q370" s="4"/>
      <c r="R370" s="4"/>
      <c r="S370" s="4"/>
      <c r="T370" s="6">
        <f>IF(G370="","",SUBSTITUTE(SUBSTITUTE(SUBSTITUTE(SUBSTITUTE(SUBSTITUTE(SUBSTITUTE(SUBSTITUTE(TRIM(G370),".",""),"/",""),"-","")," ",""),"(",""),")",""),"+",""))</f>
      </c>
      <c r="U370" s="6">
        <f>IF(T370="","",IF(LEN(T370)&lt;&gt;14,"ERRO: "&amp;LEN(T370)&amp;" dígitos",IF(NOT(ISNUMBER(VALUE(T370))),"ERRO: não numérico",IF(LEN(SUBSTITUTE(T370,LEFT(T370,1),""))=0,"ERRO: dígitos repetidos",IF(AND(VALUE(MID(T370,13,1))=IF(MOD(SUMPRODUCT(--MID(T370,{1,2,3,4,5,6,7,8,9,10,11,12},1),{5,4,3,2,9,8,7,6,5,4,3,2}),11)&lt;2,0,11-MOD(SUMPRODUCT(--MID(T370,{1,2,3,4,5,6,7,8,9,10,11,12},1),{5,4,3,2,9,8,7,6,5,4,3,2}),11)),VALUE(MID(T370,14,1))=IF(MOD(SUMPRODUCT(--MID(T370,{1,2,3,4,5,6,7,8,9,10,11,12,13},1),{6,5,4,3,2,9,8,7,6,5,4,3,2}),11)&lt;2,0,11-MOD(SUMPRODUCT(--MID(T370,{1,2,3,4,5,6,7,8,9,10,11,12,13},1),{6,5,4,3,2,9,8,7,6,5,4,3,2}),11))),"OK","ERRO: dígito verificador")))))</f>
      </c>
      <c r="V370" s="6">
        <f>IF(T370="","",IF(COUNTIF($T$2:$T$1001,T370)&gt;1,"DUPLICADO","OK"))</f>
      </c>
      <c r="W370" s="6">
        <f>IF(M370="","vazio",IF(OR(AND(LEN(SUBSTITUTE(SUBSTITUTE(SUBSTITUTE(SUBSTITUTE(SUBSTITUTE(SUBSTITUTE(SUBSTITUTE(TRIM(M370),".",""),"/",""),"-","")," ",""),"(",""),")",""),"+",""))=10,LEFT(SUBSTITUTE(SUBSTITUTE(SUBSTITUTE(SUBSTITUTE(SUBSTITUTE(SUBSTITUTE(SUBSTITUTE(TRIM(M370),".",""),"/",""),"-","")," ",""),"(",""),")",""),"+",""),1)&lt;&gt;"0"),AND(LEN(SUBSTITUTE(SUBSTITUTE(SUBSTITUTE(SUBSTITUTE(SUBSTITUTE(SUBSTITUTE(SUBSTITUTE(TRIM(M370),".",""),"/",""),"-","")," ",""),"(",""),")",""),"+",""))=11,LEFT(SUBSTITUTE(SUBSTITUTE(SUBSTITUTE(SUBSTITUTE(SUBSTITUTE(SUBSTITUTE(SUBSTITUTE(TRIM(M370),".",""),"/",""),"-","")," ",""),"(",""),")",""),"+",""),4)="0800")),"OK",IF(AND(LEN(SUBSTITUTE(SUBSTITUTE(SUBSTITUTE(SUBSTITUTE(SUBSTITUTE(SUBSTITUTE(SUBSTITUTE(TRIM(M370),".",""),"/",""),"-","")," ",""),"(",""),")",""),"+",""))=11,MID(SUBSTITUTE(SUBSTITUTE(SUBSTITUTE(SUBSTITUTE(SUBSTITUTE(SUBSTITUTE(SUBSTITUTE(TRIM(M370),".",""),"/",""),"-","")," ",""),"(",""),")",""),"+",""),3,1)="9"),"ERRO: é celular, use a coluna Celular","ERRO: DDD + 8 dígitos ou 0800 + 7")))</f>
      </c>
      <c r="X370" s="6">
        <f>IF(N370="","vazio",IF(AND(LEN(SUBSTITUTE(SUBSTITUTE(SUBSTITUTE(SUBSTITUTE(SUBSTITUTE(SUBSTITUTE(SUBSTITUTE(TRIM(N370),".",""),"/",""),"-","")," ",""),"(",""),")",""),"+",""))=11,MID(SUBSTITUTE(SUBSTITUTE(SUBSTITUTE(SUBSTITUTE(SUBSTITUTE(SUBSTITUTE(SUBSTITUTE(TRIM(N370),".",""),"/",""),"-","")," ",""),"(",""),")",""),"+",""),3,1)="9",LEFT(SUBSTITUTE(SUBSTITUTE(SUBSTITUTE(SUBSTITUTE(SUBSTITUTE(SUBSTITUTE(SUBSTITUTE(TRIM(N370),".",""),"/",""),"-","")," ",""),"(",""),")",""),"+",""),1)&lt;&gt;"0"),"OK",IF(LEN(SUBSTITUTE(SUBSTITUTE(SUBSTITUTE(SUBSTITUTE(SUBSTITUTE(SUBSTITUTE(SUBSTITUTE(TRIM(N370),".",""),"/",""),"-","")," ",""),"(",""),")",""),"+",""))=10,"ERRO: é fixo (ou falta o 9), use a coluna Telefone fixo","ERRO: DDD + 9 + 8 dígitos")))</f>
      </c>
      <c r="Y370" s="6">
        <f>IF(O370="","vazio",IF(AND(ISNUMBER(FIND("@",O370)),ISNUMBER(FIND(".",MID(O370,FIND("@",O370),99))),NOT(ISNUMBER(FIND(" ",TRIM(O370)))),NOT(ISNUMBER(FIND(";",O370))),NOT(ISNUMBER(FIND(",",O370)))),"OK","ERRO: um e-mail válido por linha"))</f>
      </c>
      <c r="Z370" s="6">
        <f>IF(AND(J370="",K370=""),"",IF(AND(J370&lt;&gt;"",K370&lt;&gt;""),"OK","pendente: só um nome (o GR completa ao converter)"))</f>
      </c>
      <c r="AA370" s="6">
        <f>IF(COUNTA(A370:S370)=0,"",IF(AND(A370&lt;&gt;"",B370&lt;&gt;"",C370&lt;&gt;"",D370&lt;&gt;"",E370&lt;&gt;"",F370&lt;&gt;"",G370&lt;&gt;"",H370&lt;&gt;"",OR(J370&lt;&gt;"",K370&lt;&gt;""),OR(M370&lt;&gt;"",N370&lt;&gt;"",O370&lt;&gt;"")),"OK","ERRO: faltam "&amp;IF(A370="","SDR; ","")&amp;IF(B370="","Proprietário; ","")&amp;IF(C370="","Origem; ","")&amp;IF(D370="","Temperatura; ","")&amp;IF(E370="","Segmento; ","")&amp;IF(F370="","Time/Cluster; ","")&amp;IF(G370="","CNPJ; ","")&amp;IF(H370="","Razão Social; ","")&amp;IF(AND(J370="",K370=""),"nome do contato; ","")&amp;IF(AND(M370="",N370="",O370=""),"telefone, celular ou e-mail; ","")))</f>
      </c>
      <c r="AB370" s="6">
        <f>IF(COUNTA(A370:S370)=0,"",IF(AND(U370="OK",V370="OK",LEFT(W370,4)&lt;&gt;"ERRO",LEFT(X370,4)&lt;&gt;"ERRO",LEFT(Y370,4)&lt;&gt;"ERRO",AA370="OK"),"OK","REVISAR"))</f>
      </c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5"/>
      <c r="K371" s="4"/>
      <c r="L371" s="4"/>
      <c r="M371" s="4"/>
      <c r="N371" s="4"/>
      <c r="O371" s="4"/>
      <c r="P371" s="4"/>
      <c r="Q371" s="4"/>
      <c r="R371" s="4"/>
      <c r="S371" s="4"/>
      <c r="T371" s="6">
        <f>IF(G371="","",SUBSTITUTE(SUBSTITUTE(SUBSTITUTE(SUBSTITUTE(SUBSTITUTE(SUBSTITUTE(SUBSTITUTE(TRIM(G371),".",""),"/",""),"-","")," ",""),"(",""),")",""),"+",""))</f>
      </c>
      <c r="U371" s="6">
        <f>IF(T371="","",IF(LEN(T371)&lt;&gt;14,"ERRO: "&amp;LEN(T371)&amp;" dígitos",IF(NOT(ISNUMBER(VALUE(T371))),"ERRO: não numérico",IF(LEN(SUBSTITUTE(T371,LEFT(T371,1),""))=0,"ERRO: dígitos repetidos",IF(AND(VALUE(MID(T371,13,1))=IF(MOD(SUMPRODUCT(--MID(T371,{1,2,3,4,5,6,7,8,9,10,11,12},1),{5,4,3,2,9,8,7,6,5,4,3,2}),11)&lt;2,0,11-MOD(SUMPRODUCT(--MID(T371,{1,2,3,4,5,6,7,8,9,10,11,12},1),{5,4,3,2,9,8,7,6,5,4,3,2}),11)),VALUE(MID(T371,14,1))=IF(MOD(SUMPRODUCT(--MID(T371,{1,2,3,4,5,6,7,8,9,10,11,12,13},1),{6,5,4,3,2,9,8,7,6,5,4,3,2}),11)&lt;2,0,11-MOD(SUMPRODUCT(--MID(T371,{1,2,3,4,5,6,7,8,9,10,11,12,13},1),{6,5,4,3,2,9,8,7,6,5,4,3,2}),11))),"OK","ERRO: dígito verificador")))))</f>
      </c>
      <c r="V371" s="6">
        <f>IF(T371="","",IF(COUNTIF($T$2:$T$1001,T371)&gt;1,"DUPLICADO","OK"))</f>
      </c>
      <c r="W371" s="6">
        <f>IF(M371="","vazio",IF(OR(AND(LEN(SUBSTITUTE(SUBSTITUTE(SUBSTITUTE(SUBSTITUTE(SUBSTITUTE(SUBSTITUTE(SUBSTITUTE(TRIM(M371),".",""),"/",""),"-","")," ",""),"(",""),")",""),"+",""))=10,LEFT(SUBSTITUTE(SUBSTITUTE(SUBSTITUTE(SUBSTITUTE(SUBSTITUTE(SUBSTITUTE(SUBSTITUTE(TRIM(M371),".",""),"/",""),"-","")," ",""),"(",""),")",""),"+",""),1)&lt;&gt;"0"),AND(LEN(SUBSTITUTE(SUBSTITUTE(SUBSTITUTE(SUBSTITUTE(SUBSTITUTE(SUBSTITUTE(SUBSTITUTE(TRIM(M371),".",""),"/",""),"-","")," ",""),"(",""),")",""),"+",""))=11,LEFT(SUBSTITUTE(SUBSTITUTE(SUBSTITUTE(SUBSTITUTE(SUBSTITUTE(SUBSTITUTE(SUBSTITUTE(TRIM(M371),".",""),"/",""),"-","")," ",""),"(",""),")",""),"+",""),4)="0800")),"OK",IF(AND(LEN(SUBSTITUTE(SUBSTITUTE(SUBSTITUTE(SUBSTITUTE(SUBSTITUTE(SUBSTITUTE(SUBSTITUTE(TRIM(M371),".",""),"/",""),"-","")," ",""),"(",""),")",""),"+",""))=11,MID(SUBSTITUTE(SUBSTITUTE(SUBSTITUTE(SUBSTITUTE(SUBSTITUTE(SUBSTITUTE(SUBSTITUTE(TRIM(M371),".",""),"/",""),"-","")," ",""),"(",""),")",""),"+",""),3,1)="9"),"ERRO: é celular, use a coluna Celular","ERRO: DDD + 8 dígitos ou 0800 + 7")))</f>
      </c>
      <c r="X371" s="6">
        <f>IF(N371="","vazio",IF(AND(LEN(SUBSTITUTE(SUBSTITUTE(SUBSTITUTE(SUBSTITUTE(SUBSTITUTE(SUBSTITUTE(SUBSTITUTE(TRIM(N371),".",""),"/",""),"-","")," ",""),"(",""),")",""),"+",""))=11,MID(SUBSTITUTE(SUBSTITUTE(SUBSTITUTE(SUBSTITUTE(SUBSTITUTE(SUBSTITUTE(SUBSTITUTE(TRIM(N371),".",""),"/",""),"-","")," ",""),"(",""),")",""),"+",""),3,1)="9",LEFT(SUBSTITUTE(SUBSTITUTE(SUBSTITUTE(SUBSTITUTE(SUBSTITUTE(SUBSTITUTE(SUBSTITUTE(TRIM(N371),".",""),"/",""),"-","")," ",""),"(",""),")",""),"+",""),1)&lt;&gt;"0"),"OK",IF(LEN(SUBSTITUTE(SUBSTITUTE(SUBSTITUTE(SUBSTITUTE(SUBSTITUTE(SUBSTITUTE(SUBSTITUTE(TRIM(N371),".",""),"/",""),"-","")," ",""),"(",""),")",""),"+",""))=10,"ERRO: é fixo (ou falta o 9), use a coluna Telefone fixo","ERRO: DDD + 9 + 8 dígitos")))</f>
      </c>
      <c r="Y371" s="6">
        <f>IF(O371="","vazio",IF(AND(ISNUMBER(FIND("@",O371)),ISNUMBER(FIND(".",MID(O371,FIND("@",O371),99))),NOT(ISNUMBER(FIND(" ",TRIM(O371)))),NOT(ISNUMBER(FIND(";",O371))),NOT(ISNUMBER(FIND(",",O371)))),"OK","ERRO: um e-mail válido por linha"))</f>
      </c>
      <c r="Z371" s="6">
        <f>IF(AND(J371="",K371=""),"",IF(AND(J371&lt;&gt;"",K371&lt;&gt;""),"OK","pendente: só um nome (o GR completa ao converter)"))</f>
      </c>
      <c r="AA371" s="6">
        <f>IF(COUNTA(A371:S371)=0,"",IF(AND(A371&lt;&gt;"",B371&lt;&gt;"",C371&lt;&gt;"",D371&lt;&gt;"",E371&lt;&gt;"",F371&lt;&gt;"",G371&lt;&gt;"",H371&lt;&gt;"",OR(J371&lt;&gt;"",K371&lt;&gt;""),OR(M371&lt;&gt;"",N371&lt;&gt;"",O371&lt;&gt;"")),"OK","ERRO: faltam "&amp;IF(A371="","SDR; ","")&amp;IF(B371="","Proprietário; ","")&amp;IF(C371="","Origem; ","")&amp;IF(D371="","Temperatura; ","")&amp;IF(E371="","Segmento; ","")&amp;IF(F371="","Time/Cluster; ","")&amp;IF(G371="","CNPJ; ","")&amp;IF(H371="","Razão Social; ","")&amp;IF(AND(J371="",K371=""),"nome do contato; ","")&amp;IF(AND(M371="",N371="",O371=""),"telefone, celular ou e-mail; ","")))</f>
      </c>
      <c r="AB371" s="6">
        <f>IF(COUNTA(A371:S371)=0,"",IF(AND(U371="OK",V371="OK",LEFT(W371,4)&lt;&gt;"ERRO",LEFT(X371,4)&lt;&gt;"ERRO",LEFT(Y371,4)&lt;&gt;"ERRO",AA371="OK"),"OK","REVISAR"))</f>
      </c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5"/>
      <c r="K372" s="4"/>
      <c r="L372" s="4"/>
      <c r="M372" s="4"/>
      <c r="N372" s="4"/>
      <c r="O372" s="4"/>
      <c r="P372" s="4"/>
      <c r="Q372" s="4"/>
      <c r="R372" s="4"/>
      <c r="S372" s="4"/>
      <c r="T372" s="6">
        <f>IF(G372="","",SUBSTITUTE(SUBSTITUTE(SUBSTITUTE(SUBSTITUTE(SUBSTITUTE(SUBSTITUTE(SUBSTITUTE(TRIM(G372),".",""),"/",""),"-","")," ",""),"(",""),")",""),"+",""))</f>
      </c>
      <c r="U372" s="6">
        <f>IF(T372="","",IF(LEN(T372)&lt;&gt;14,"ERRO: "&amp;LEN(T372)&amp;" dígitos",IF(NOT(ISNUMBER(VALUE(T372))),"ERRO: não numérico",IF(LEN(SUBSTITUTE(T372,LEFT(T372,1),""))=0,"ERRO: dígitos repetidos",IF(AND(VALUE(MID(T372,13,1))=IF(MOD(SUMPRODUCT(--MID(T372,{1,2,3,4,5,6,7,8,9,10,11,12},1),{5,4,3,2,9,8,7,6,5,4,3,2}),11)&lt;2,0,11-MOD(SUMPRODUCT(--MID(T372,{1,2,3,4,5,6,7,8,9,10,11,12},1),{5,4,3,2,9,8,7,6,5,4,3,2}),11)),VALUE(MID(T372,14,1))=IF(MOD(SUMPRODUCT(--MID(T372,{1,2,3,4,5,6,7,8,9,10,11,12,13},1),{6,5,4,3,2,9,8,7,6,5,4,3,2}),11)&lt;2,0,11-MOD(SUMPRODUCT(--MID(T372,{1,2,3,4,5,6,7,8,9,10,11,12,13},1),{6,5,4,3,2,9,8,7,6,5,4,3,2}),11))),"OK","ERRO: dígito verificador")))))</f>
      </c>
      <c r="V372" s="6">
        <f>IF(T372="","",IF(COUNTIF($T$2:$T$1001,T372)&gt;1,"DUPLICADO","OK"))</f>
      </c>
      <c r="W372" s="6">
        <f>IF(M372="","vazio",IF(OR(AND(LEN(SUBSTITUTE(SUBSTITUTE(SUBSTITUTE(SUBSTITUTE(SUBSTITUTE(SUBSTITUTE(SUBSTITUTE(TRIM(M372),".",""),"/",""),"-","")," ",""),"(",""),")",""),"+",""))=10,LEFT(SUBSTITUTE(SUBSTITUTE(SUBSTITUTE(SUBSTITUTE(SUBSTITUTE(SUBSTITUTE(SUBSTITUTE(TRIM(M372),".",""),"/",""),"-","")," ",""),"(",""),")",""),"+",""),1)&lt;&gt;"0"),AND(LEN(SUBSTITUTE(SUBSTITUTE(SUBSTITUTE(SUBSTITUTE(SUBSTITUTE(SUBSTITUTE(SUBSTITUTE(TRIM(M372),".",""),"/",""),"-","")," ",""),"(",""),")",""),"+",""))=11,LEFT(SUBSTITUTE(SUBSTITUTE(SUBSTITUTE(SUBSTITUTE(SUBSTITUTE(SUBSTITUTE(SUBSTITUTE(TRIM(M372),".",""),"/",""),"-","")," ",""),"(",""),")",""),"+",""),4)="0800")),"OK",IF(AND(LEN(SUBSTITUTE(SUBSTITUTE(SUBSTITUTE(SUBSTITUTE(SUBSTITUTE(SUBSTITUTE(SUBSTITUTE(TRIM(M372),".",""),"/",""),"-","")," ",""),"(",""),")",""),"+",""))=11,MID(SUBSTITUTE(SUBSTITUTE(SUBSTITUTE(SUBSTITUTE(SUBSTITUTE(SUBSTITUTE(SUBSTITUTE(TRIM(M372),".",""),"/",""),"-","")," ",""),"(",""),")",""),"+",""),3,1)="9"),"ERRO: é celular, use a coluna Celular","ERRO: DDD + 8 dígitos ou 0800 + 7")))</f>
      </c>
      <c r="X372" s="6">
        <f>IF(N372="","vazio",IF(AND(LEN(SUBSTITUTE(SUBSTITUTE(SUBSTITUTE(SUBSTITUTE(SUBSTITUTE(SUBSTITUTE(SUBSTITUTE(TRIM(N372),".",""),"/",""),"-","")," ",""),"(",""),")",""),"+",""))=11,MID(SUBSTITUTE(SUBSTITUTE(SUBSTITUTE(SUBSTITUTE(SUBSTITUTE(SUBSTITUTE(SUBSTITUTE(TRIM(N372),".",""),"/",""),"-","")," ",""),"(",""),")",""),"+",""),3,1)="9",LEFT(SUBSTITUTE(SUBSTITUTE(SUBSTITUTE(SUBSTITUTE(SUBSTITUTE(SUBSTITUTE(SUBSTITUTE(TRIM(N372),".",""),"/",""),"-","")," ",""),"(",""),")",""),"+",""),1)&lt;&gt;"0"),"OK",IF(LEN(SUBSTITUTE(SUBSTITUTE(SUBSTITUTE(SUBSTITUTE(SUBSTITUTE(SUBSTITUTE(SUBSTITUTE(TRIM(N372),".",""),"/",""),"-","")," ",""),"(",""),")",""),"+",""))=10,"ERRO: é fixo (ou falta o 9), use a coluna Telefone fixo","ERRO: DDD + 9 + 8 dígitos")))</f>
      </c>
      <c r="Y372" s="6">
        <f>IF(O372="","vazio",IF(AND(ISNUMBER(FIND("@",O372)),ISNUMBER(FIND(".",MID(O372,FIND("@",O372),99))),NOT(ISNUMBER(FIND(" ",TRIM(O372)))),NOT(ISNUMBER(FIND(";",O372))),NOT(ISNUMBER(FIND(",",O372)))),"OK","ERRO: um e-mail válido por linha"))</f>
      </c>
      <c r="Z372" s="6">
        <f>IF(AND(J372="",K372=""),"",IF(AND(J372&lt;&gt;"",K372&lt;&gt;""),"OK","pendente: só um nome (o GR completa ao converter)"))</f>
      </c>
      <c r="AA372" s="6">
        <f>IF(COUNTA(A372:S372)=0,"",IF(AND(A372&lt;&gt;"",B372&lt;&gt;"",C372&lt;&gt;"",D372&lt;&gt;"",E372&lt;&gt;"",F372&lt;&gt;"",G372&lt;&gt;"",H372&lt;&gt;"",OR(J372&lt;&gt;"",K372&lt;&gt;""),OR(M372&lt;&gt;"",N372&lt;&gt;"",O372&lt;&gt;"")),"OK","ERRO: faltam "&amp;IF(A372="","SDR; ","")&amp;IF(B372="","Proprietário; ","")&amp;IF(C372="","Origem; ","")&amp;IF(D372="","Temperatura; ","")&amp;IF(E372="","Segmento; ","")&amp;IF(F372="","Time/Cluster; ","")&amp;IF(G372="","CNPJ; ","")&amp;IF(H372="","Razão Social; ","")&amp;IF(AND(J372="",K372=""),"nome do contato; ","")&amp;IF(AND(M372="",N372="",O372=""),"telefone, celular ou e-mail; ","")))</f>
      </c>
      <c r="AB372" s="6">
        <f>IF(COUNTA(A372:S372)=0,"",IF(AND(U372="OK",V372="OK",LEFT(W372,4)&lt;&gt;"ERRO",LEFT(X372,4)&lt;&gt;"ERRO",LEFT(Y372,4)&lt;&gt;"ERRO",AA372="OK"),"OK","REVISAR"))</f>
      </c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5"/>
      <c r="K373" s="4"/>
      <c r="L373" s="4"/>
      <c r="M373" s="4"/>
      <c r="N373" s="4"/>
      <c r="O373" s="4"/>
      <c r="P373" s="4"/>
      <c r="Q373" s="4"/>
      <c r="R373" s="4"/>
      <c r="S373" s="4"/>
      <c r="T373" s="6">
        <f>IF(G373="","",SUBSTITUTE(SUBSTITUTE(SUBSTITUTE(SUBSTITUTE(SUBSTITUTE(SUBSTITUTE(SUBSTITUTE(TRIM(G373),".",""),"/",""),"-","")," ",""),"(",""),")",""),"+",""))</f>
      </c>
      <c r="U373" s="6">
        <f>IF(T373="","",IF(LEN(T373)&lt;&gt;14,"ERRO: "&amp;LEN(T373)&amp;" dígitos",IF(NOT(ISNUMBER(VALUE(T373))),"ERRO: não numérico",IF(LEN(SUBSTITUTE(T373,LEFT(T373,1),""))=0,"ERRO: dígitos repetidos",IF(AND(VALUE(MID(T373,13,1))=IF(MOD(SUMPRODUCT(--MID(T373,{1,2,3,4,5,6,7,8,9,10,11,12},1),{5,4,3,2,9,8,7,6,5,4,3,2}),11)&lt;2,0,11-MOD(SUMPRODUCT(--MID(T373,{1,2,3,4,5,6,7,8,9,10,11,12},1),{5,4,3,2,9,8,7,6,5,4,3,2}),11)),VALUE(MID(T373,14,1))=IF(MOD(SUMPRODUCT(--MID(T373,{1,2,3,4,5,6,7,8,9,10,11,12,13},1),{6,5,4,3,2,9,8,7,6,5,4,3,2}),11)&lt;2,0,11-MOD(SUMPRODUCT(--MID(T373,{1,2,3,4,5,6,7,8,9,10,11,12,13},1),{6,5,4,3,2,9,8,7,6,5,4,3,2}),11))),"OK","ERRO: dígito verificador")))))</f>
      </c>
      <c r="V373" s="6">
        <f>IF(T373="","",IF(COUNTIF($T$2:$T$1001,T373)&gt;1,"DUPLICADO","OK"))</f>
      </c>
      <c r="W373" s="6">
        <f>IF(M373="","vazio",IF(OR(AND(LEN(SUBSTITUTE(SUBSTITUTE(SUBSTITUTE(SUBSTITUTE(SUBSTITUTE(SUBSTITUTE(SUBSTITUTE(TRIM(M373),".",""),"/",""),"-","")," ",""),"(",""),")",""),"+",""))=10,LEFT(SUBSTITUTE(SUBSTITUTE(SUBSTITUTE(SUBSTITUTE(SUBSTITUTE(SUBSTITUTE(SUBSTITUTE(TRIM(M373),".",""),"/",""),"-","")," ",""),"(",""),")",""),"+",""),1)&lt;&gt;"0"),AND(LEN(SUBSTITUTE(SUBSTITUTE(SUBSTITUTE(SUBSTITUTE(SUBSTITUTE(SUBSTITUTE(SUBSTITUTE(TRIM(M373),".",""),"/",""),"-","")," ",""),"(",""),")",""),"+",""))=11,LEFT(SUBSTITUTE(SUBSTITUTE(SUBSTITUTE(SUBSTITUTE(SUBSTITUTE(SUBSTITUTE(SUBSTITUTE(TRIM(M373),".",""),"/",""),"-","")," ",""),"(",""),")",""),"+",""),4)="0800")),"OK",IF(AND(LEN(SUBSTITUTE(SUBSTITUTE(SUBSTITUTE(SUBSTITUTE(SUBSTITUTE(SUBSTITUTE(SUBSTITUTE(TRIM(M373),".",""),"/",""),"-","")," ",""),"(",""),")",""),"+",""))=11,MID(SUBSTITUTE(SUBSTITUTE(SUBSTITUTE(SUBSTITUTE(SUBSTITUTE(SUBSTITUTE(SUBSTITUTE(TRIM(M373),".",""),"/",""),"-","")," ",""),"(",""),")",""),"+",""),3,1)="9"),"ERRO: é celular, use a coluna Celular","ERRO: DDD + 8 dígitos ou 0800 + 7")))</f>
      </c>
      <c r="X373" s="6">
        <f>IF(N373="","vazio",IF(AND(LEN(SUBSTITUTE(SUBSTITUTE(SUBSTITUTE(SUBSTITUTE(SUBSTITUTE(SUBSTITUTE(SUBSTITUTE(TRIM(N373),".",""),"/",""),"-","")," ",""),"(",""),")",""),"+",""))=11,MID(SUBSTITUTE(SUBSTITUTE(SUBSTITUTE(SUBSTITUTE(SUBSTITUTE(SUBSTITUTE(SUBSTITUTE(TRIM(N373),".",""),"/",""),"-","")," ",""),"(",""),")",""),"+",""),3,1)="9",LEFT(SUBSTITUTE(SUBSTITUTE(SUBSTITUTE(SUBSTITUTE(SUBSTITUTE(SUBSTITUTE(SUBSTITUTE(TRIM(N373),".",""),"/",""),"-","")," ",""),"(",""),")",""),"+",""),1)&lt;&gt;"0"),"OK",IF(LEN(SUBSTITUTE(SUBSTITUTE(SUBSTITUTE(SUBSTITUTE(SUBSTITUTE(SUBSTITUTE(SUBSTITUTE(TRIM(N373),".",""),"/",""),"-","")," ",""),"(",""),")",""),"+",""))=10,"ERRO: é fixo (ou falta o 9), use a coluna Telefone fixo","ERRO: DDD + 9 + 8 dígitos")))</f>
      </c>
      <c r="Y373" s="6">
        <f>IF(O373="","vazio",IF(AND(ISNUMBER(FIND("@",O373)),ISNUMBER(FIND(".",MID(O373,FIND("@",O373),99))),NOT(ISNUMBER(FIND(" ",TRIM(O373)))),NOT(ISNUMBER(FIND(";",O373))),NOT(ISNUMBER(FIND(",",O373)))),"OK","ERRO: um e-mail válido por linha"))</f>
      </c>
      <c r="Z373" s="6">
        <f>IF(AND(J373="",K373=""),"",IF(AND(J373&lt;&gt;"",K373&lt;&gt;""),"OK","pendente: só um nome (o GR completa ao converter)"))</f>
      </c>
      <c r="AA373" s="6">
        <f>IF(COUNTA(A373:S373)=0,"",IF(AND(A373&lt;&gt;"",B373&lt;&gt;"",C373&lt;&gt;"",D373&lt;&gt;"",E373&lt;&gt;"",F373&lt;&gt;"",G373&lt;&gt;"",H373&lt;&gt;"",OR(J373&lt;&gt;"",K373&lt;&gt;""),OR(M373&lt;&gt;"",N373&lt;&gt;"",O373&lt;&gt;"")),"OK","ERRO: faltam "&amp;IF(A373="","SDR; ","")&amp;IF(B373="","Proprietário; ","")&amp;IF(C373="","Origem; ","")&amp;IF(D373="","Temperatura; ","")&amp;IF(E373="","Segmento; ","")&amp;IF(F373="","Time/Cluster; ","")&amp;IF(G373="","CNPJ; ","")&amp;IF(H373="","Razão Social; ","")&amp;IF(AND(J373="",K373=""),"nome do contato; ","")&amp;IF(AND(M373="",N373="",O373=""),"telefone, celular ou e-mail; ","")))</f>
      </c>
      <c r="AB373" s="6">
        <f>IF(COUNTA(A373:S373)=0,"",IF(AND(U373="OK",V373="OK",LEFT(W373,4)&lt;&gt;"ERRO",LEFT(X373,4)&lt;&gt;"ERRO",LEFT(Y373,4)&lt;&gt;"ERRO",AA373="OK"),"OK","REVISAR"))</f>
      </c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5"/>
      <c r="K374" s="4"/>
      <c r="L374" s="4"/>
      <c r="M374" s="4"/>
      <c r="N374" s="4"/>
      <c r="O374" s="4"/>
      <c r="P374" s="4"/>
      <c r="Q374" s="4"/>
      <c r="R374" s="4"/>
      <c r="S374" s="4"/>
      <c r="T374" s="6">
        <f>IF(G374="","",SUBSTITUTE(SUBSTITUTE(SUBSTITUTE(SUBSTITUTE(SUBSTITUTE(SUBSTITUTE(SUBSTITUTE(TRIM(G374),".",""),"/",""),"-","")," ",""),"(",""),")",""),"+",""))</f>
      </c>
      <c r="U374" s="6">
        <f>IF(T374="","",IF(LEN(T374)&lt;&gt;14,"ERRO: "&amp;LEN(T374)&amp;" dígitos",IF(NOT(ISNUMBER(VALUE(T374))),"ERRO: não numérico",IF(LEN(SUBSTITUTE(T374,LEFT(T374,1),""))=0,"ERRO: dígitos repetidos",IF(AND(VALUE(MID(T374,13,1))=IF(MOD(SUMPRODUCT(--MID(T374,{1,2,3,4,5,6,7,8,9,10,11,12},1),{5,4,3,2,9,8,7,6,5,4,3,2}),11)&lt;2,0,11-MOD(SUMPRODUCT(--MID(T374,{1,2,3,4,5,6,7,8,9,10,11,12},1),{5,4,3,2,9,8,7,6,5,4,3,2}),11)),VALUE(MID(T374,14,1))=IF(MOD(SUMPRODUCT(--MID(T374,{1,2,3,4,5,6,7,8,9,10,11,12,13},1),{6,5,4,3,2,9,8,7,6,5,4,3,2}),11)&lt;2,0,11-MOD(SUMPRODUCT(--MID(T374,{1,2,3,4,5,6,7,8,9,10,11,12,13},1),{6,5,4,3,2,9,8,7,6,5,4,3,2}),11))),"OK","ERRO: dígito verificador")))))</f>
      </c>
      <c r="V374" s="6">
        <f>IF(T374="","",IF(COUNTIF($T$2:$T$1001,T374)&gt;1,"DUPLICADO","OK"))</f>
      </c>
      <c r="W374" s="6">
        <f>IF(M374="","vazio",IF(OR(AND(LEN(SUBSTITUTE(SUBSTITUTE(SUBSTITUTE(SUBSTITUTE(SUBSTITUTE(SUBSTITUTE(SUBSTITUTE(TRIM(M374),".",""),"/",""),"-","")," ",""),"(",""),")",""),"+",""))=10,LEFT(SUBSTITUTE(SUBSTITUTE(SUBSTITUTE(SUBSTITUTE(SUBSTITUTE(SUBSTITUTE(SUBSTITUTE(TRIM(M374),".",""),"/",""),"-","")," ",""),"(",""),")",""),"+",""),1)&lt;&gt;"0"),AND(LEN(SUBSTITUTE(SUBSTITUTE(SUBSTITUTE(SUBSTITUTE(SUBSTITUTE(SUBSTITUTE(SUBSTITUTE(TRIM(M374),".",""),"/",""),"-","")," ",""),"(",""),")",""),"+",""))=11,LEFT(SUBSTITUTE(SUBSTITUTE(SUBSTITUTE(SUBSTITUTE(SUBSTITUTE(SUBSTITUTE(SUBSTITUTE(TRIM(M374),".",""),"/",""),"-","")," ",""),"(",""),")",""),"+",""),4)="0800")),"OK",IF(AND(LEN(SUBSTITUTE(SUBSTITUTE(SUBSTITUTE(SUBSTITUTE(SUBSTITUTE(SUBSTITUTE(SUBSTITUTE(TRIM(M374),".",""),"/",""),"-","")," ",""),"(",""),")",""),"+",""))=11,MID(SUBSTITUTE(SUBSTITUTE(SUBSTITUTE(SUBSTITUTE(SUBSTITUTE(SUBSTITUTE(SUBSTITUTE(TRIM(M374),".",""),"/",""),"-","")," ",""),"(",""),")",""),"+",""),3,1)="9"),"ERRO: é celular, use a coluna Celular","ERRO: DDD + 8 dígitos ou 0800 + 7")))</f>
      </c>
      <c r="X374" s="6">
        <f>IF(N374="","vazio",IF(AND(LEN(SUBSTITUTE(SUBSTITUTE(SUBSTITUTE(SUBSTITUTE(SUBSTITUTE(SUBSTITUTE(SUBSTITUTE(TRIM(N374),".",""),"/",""),"-","")," ",""),"(",""),")",""),"+",""))=11,MID(SUBSTITUTE(SUBSTITUTE(SUBSTITUTE(SUBSTITUTE(SUBSTITUTE(SUBSTITUTE(SUBSTITUTE(TRIM(N374),".",""),"/",""),"-","")," ",""),"(",""),")",""),"+",""),3,1)="9",LEFT(SUBSTITUTE(SUBSTITUTE(SUBSTITUTE(SUBSTITUTE(SUBSTITUTE(SUBSTITUTE(SUBSTITUTE(TRIM(N374),".",""),"/",""),"-","")," ",""),"(",""),")",""),"+",""),1)&lt;&gt;"0"),"OK",IF(LEN(SUBSTITUTE(SUBSTITUTE(SUBSTITUTE(SUBSTITUTE(SUBSTITUTE(SUBSTITUTE(SUBSTITUTE(TRIM(N374),".",""),"/",""),"-","")," ",""),"(",""),")",""),"+",""))=10,"ERRO: é fixo (ou falta o 9), use a coluna Telefone fixo","ERRO: DDD + 9 + 8 dígitos")))</f>
      </c>
      <c r="Y374" s="6">
        <f>IF(O374="","vazio",IF(AND(ISNUMBER(FIND("@",O374)),ISNUMBER(FIND(".",MID(O374,FIND("@",O374),99))),NOT(ISNUMBER(FIND(" ",TRIM(O374)))),NOT(ISNUMBER(FIND(";",O374))),NOT(ISNUMBER(FIND(",",O374)))),"OK","ERRO: um e-mail válido por linha"))</f>
      </c>
      <c r="Z374" s="6">
        <f>IF(AND(J374="",K374=""),"",IF(AND(J374&lt;&gt;"",K374&lt;&gt;""),"OK","pendente: só um nome (o GR completa ao converter)"))</f>
      </c>
      <c r="AA374" s="6">
        <f>IF(COUNTA(A374:S374)=0,"",IF(AND(A374&lt;&gt;"",B374&lt;&gt;"",C374&lt;&gt;"",D374&lt;&gt;"",E374&lt;&gt;"",F374&lt;&gt;"",G374&lt;&gt;"",H374&lt;&gt;"",OR(J374&lt;&gt;"",K374&lt;&gt;""),OR(M374&lt;&gt;"",N374&lt;&gt;"",O374&lt;&gt;"")),"OK","ERRO: faltam "&amp;IF(A374="","SDR; ","")&amp;IF(B374="","Proprietário; ","")&amp;IF(C374="","Origem; ","")&amp;IF(D374="","Temperatura; ","")&amp;IF(E374="","Segmento; ","")&amp;IF(F374="","Time/Cluster; ","")&amp;IF(G374="","CNPJ; ","")&amp;IF(H374="","Razão Social; ","")&amp;IF(AND(J374="",K374=""),"nome do contato; ","")&amp;IF(AND(M374="",N374="",O374=""),"telefone, celular ou e-mail; ","")))</f>
      </c>
      <c r="AB374" s="6">
        <f>IF(COUNTA(A374:S374)=0,"",IF(AND(U374="OK",V374="OK",LEFT(W374,4)&lt;&gt;"ERRO",LEFT(X374,4)&lt;&gt;"ERRO",LEFT(Y374,4)&lt;&gt;"ERRO",AA374="OK"),"OK","REVISAR"))</f>
      </c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5"/>
      <c r="K375" s="4"/>
      <c r="L375" s="4"/>
      <c r="M375" s="4"/>
      <c r="N375" s="4"/>
      <c r="O375" s="4"/>
      <c r="P375" s="4"/>
      <c r="Q375" s="4"/>
      <c r="R375" s="4"/>
      <c r="S375" s="4"/>
      <c r="T375" s="6">
        <f>IF(G375="","",SUBSTITUTE(SUBSTITUTE(SUBSTITUTE(SUBSTITUTE(SUBSTITUTE(SUBSTITUTE(SUBSTITUTE(TRIM(G375),".",""),"/",""),"-","")," ",""),"(",""),")",""),"+",""))</f>
      </c>
      <c r="U375" s="6">
        <f>IF(T375="","",IF(LEN(T375)&lt;&gt;14,"ERRO: "&amp;LEN(T375)&amp;" dígitos",IF(NOT(ISNUMBER(VALUE(T375))),"ERRO: não numérico",IF(LEN(SUBSTITUTE(T375,LEFT(T375,1),""))=0,"ERRO: dígitos repetidos",IF(AND(VALUE(MID(T375,13,1))=IF(MOD(SUMPRODUCT(--MID(T375,{1,2,3,4,5,6,7,8,9,10,11,12},1),{5,4,3,2,9,8,7,6,5,4,3,2}),11)&lt;2,0,11-MOD(SUMPRODUCT(--MID(T375,{1,2,3,4,5,6,7,8,9,10,11,12},1),{5,4,3,2,9,8,7,6,5,4,3,2}),11)),VALUE(MID(T375,14,1))=IF(MOD(SUMPRODUCT(--MID(T375,{1,2,3,4,5,6,7,8,9,10,11,12,13},1),{6,5,4,3,2,9,8,7,6,5,4,3,2}),11)&lt;2,0,11-MOD(SUMPRODUCT(--MID(T375,{1,2,3,4,5,6,7,8,9,10,11,12,13},1),{6,5,4,3,2,9,8,7,6,5,4,3,2}),11))),"OK","ERRO: dígito verificador")))))</f>
      </c>
      <c r="V375" s="6">
        <f>IF(T375="","",IF(COUNTIF($T$2:$T$1001,T375)&gt;1,"DUPLICADO","OK"))</f>
      </c>
      <c r="W375" s="6">
        <f>IF(M375="","vazio",IF(OR(AND(LEN(SUBSTITUTE(SUBSTITUTE(SUBSTITUTE(SUBSTITUTE(SUBSTITUTE(SUBSTITUTE(SUBSTITUTE(TRIM(M375),".",""),"/",""),"-","")," ",""),"(",""),")",""),"+",""))=10,LEFT(SUBSTITUTE(SUBSTITUTE(SUBSTITUTE(SUBSTITUTE(SUBSTITUTE(SUBSTITUTE(SUBSTITUTE(TRIM(M375),".",""),"/",""),"-","")," ",""),"(",""),")",""),"+",""),1)&lt;&gt;"0"),AND(LEN(SUBSTITUTE(SUBSTITUTE(SUBSTITUTE(SUBSTITUTE(SUBSTITUTE(SUBSTITUTE(SUBSTITUTE(TRIM(M375),".",""),"/",""),"-","")," ",""),"(",""),")",""),"+",""))=11,LEFT(SUBSTITUTE(SUBSTITUTE(SUBSTITUTE(SUBSTITUTE(SUBSTITUTE(SUBSTITUTE(SUBSTITUTE(TRIM(M375),".",""),"/",""),"-","")," ",""),"(",""),")",""),"+",""),4)="0800")),"OK",IF(AND(LEN(SUBSTITUTE(SUBSTITUTE(SUBSTITUTE(SUBSTITUTE(SUBSTITUTE(SUBSTITUTE(SUBSTITUTE(TRIM(M375),".",""),"/",""),"-","")," ",""),"(",""),")",""),"+",""))=11,MID(SUBSTITUTE(SUBSTITUTE(SUBSTITUTE(SUBSTITUTE(SUBSTITUTE(SUBSTITUTE(SUBSTITUTE(TRIM(M375),".",""),"/",""),"-","")," ",""),"(",""),")",""),"+",""),3,1)="9"),"ERRO: é celular, use a coluna Celular","ERRO: DDD + 8 dígitos ou 0800 + 7")))</f>
      </c>
      <c r="X375" s="6">
        <f>IF(N375="","vazio",IF(AND(LEN(SUBSTITUTE(SUBSTITUTE(SUBSTITUTE(SUBSTITUTE(SUBSTITUTE(SUBSTITUTE(SUBSTITUTE(TRIM(N375),".",""),"/",""),"-","")," ",""),"(",""),")",""),"+",""))=11,MID(SUBSTITUTE(SUBSTITUTE(SUBSTITUTE(SUBSTITUTE(SUBSTITUTE(SUBSTITUTE(SUBSTITUTE(TRIM(N375),".",""),"/",""),"-","")," ",""),"(",""),")",""),"+",""),3,1)="9",LEFT(SUBSTITUTE(SUBSTITUTE(SUBSTITUTE(SUBSTITUTE(SUBSTITUTE(SUBSTITUTE(SUBSTITUTE(TRIM(N375),".",""),"/",""),"-","")," ",""),"(",""),")",""),"+",""),1)&lt;&gt;"0"),"OK",IF(LEN(SUBSTITUTE(SUBSTITUTE(SUBSTITUTE(SUBSTITUTE(SUBSTITUTE(SUBSTITUTE(SUBSTITUTE(TRIM(N375),".",""),"/",""),"-","")," ",""),"(",""),")",""),"+",""))=10,"ERRO: é fixo (ou falta o 9), use a coluna Telefone fixo","ERRO: DDD + 9 + 8 dígitos")))</f>
      </c>
      <c r="Y375" s="6">
        <f>IF(O375="","vazio",IF(AND(ISNUMBER(FIND("@",O375)),ISNUMBER(FIND(".",MID(O375,FIND("@",O375),99))),NOT(ISNUMBER(FIND(" ",TRIM(O375)))),NOT(ISNUMBER(FIND(";",O375))),NOT(ISNUMBER(FIND(",",O375)))),"OK","ERRO: um e-mail válido por linha"))</f>
      </c>
      <c r="Z375" s="6">
        <f>IF(AND(J375="",K375=""),"",IF(AND(J375&lt;&gt;"",K375&lt;&gt;""),"OK","pendente: só um nome (o GR completa ao converter)"))</f>
      </c>
      <c r="AA375" s="6">
        <f>IF(COUNTA(A375:S375)=0,"",IF(AND(A375&lt;&gt;"",B375&lt;&gt;"",C375&lt;&gt;"",D375&lt;&gt;"",E375&lt;&gt;"",F375&lt;&gt;"",G375&lt;&gt;"",H375&lt;&gt;"",OR(J375&lt;&gt;"",K375&lt;&gt;""),OR(M375&lt;&gt;"",N375&lt;&gt;"",O375&lt;&gt;"")),"OK","ERRO: faltam "&amp;IF(A375="","SDR; ","")&amp;IF(B375="","Proprietário; ","")&amp;IF(C375="","Origem; ","")&amp;IF(D375="","Temperatura; ","")&amp;IF(E375="","Segmento; ","")&amp;IF(F375="","Time/Cluster; ","")&amp;IF(G375="","CNPJ; ","")&amp;IF(H375="","Razão Social; ","")&amp;IF(AND(J375="",K375=""),"nome do contato; ","")&amp;IF(AND(M375="",N375="",O375=""),"telefone, celular ou e-mail; ","")))</f>
      </c>
      <c r="AB375" s="6">
        <f>IF(COUNTA(A375:S375)=0,"",IF(AND(U375="OK",V375="OK",LEFT(W375,4)&lt;&gt;"ERRO",LEFT(X375,4)&lt;&gt;"ERRO",LEFT(Y375,4)&lt;&gt;"ERRO",AA375="OK"),"OK","REVISAR"))</f>
      </c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5"/>
      <c r="K376" s="4"/>
      <c r="L376" s="4"/>
      <c r="M376" s="4"/>
      <c r="N376" s="4"/>
      <c r="O376" s="4"/>
      <c r="P376" s="4"/>
      <c r="Q376" s="4"/>
      <c r="R376" s="4"/>
      <c r="S376" s="4"/>
      <c r="T376" s="6">
        <f>IF(G376="","",SUBSTITUTE(SUBSTITUTE(SUBSTITUTE(SUBSTITUTE(SUBSTITUTE(SUBSTITUTE(SUBSTITUTE(TRIM(G376),".",""),"/",""),"-","")," ",""),"(",""),")",""),"+",""))</f>
      </c>
      <c r="U376" s="6">
        <f>IF(T376="","",IF(LEN(T376)&lt;&gt;14,"ERRO: "&amp;LEN(T376)&amp;" dígitos",IF(NOT(ISNUMBER(VALUE(T376))),"ERRO: não numérico",IF(LEN(SUBSTITUTE(T376,LEFT(T376,1),""))=0,"ERRO: dígitos repetidos",IF(AND(VALUE(MID(T376,13,1))=IF(MOD(SUMPRODUCT(--MID(T376,{1,2,3,4,5,6,7,8,9,10,11,12},1),{5,4,3,2,9,8,7,6,5,4,3,2}),11)&lt;2,0,11-MOD(SUMPRODUCT(--MID(T376,{1,2,3,4,5,6,7,8,9,10,11,12},1),{5,4,3,2,9,8,7,6,5,4,3,2}),11)),VALUE(MID(T376,14,1))=IF(MOD(SUMPRODUCT(--MID(T376,{1,2,3,4,5,6,7,8,9,10,11,12,13},1),{6,5,4,3,2,9,8,7,6,5,4,3,2}),11)&lt;2,0,11-MOD(SUMPRODUCT(--MID(T376,{1,2,3,4,5,6,7,8,9,10,11,12,13},1),{6,5,4,3,2,9,8,7,6,5,4,3,2}),11))),"OK","ERRO: dígito verificador")))))</f>
      </c>
      <c r="V376" s="6">
        <f>IF(T376="","",IF(COUNTIF($T$2:$T$1001,T376)&gt;1,"DUPLICADO","OK"))</f>
      </c>
      <c r="W376" s="6">
        <f>IF(M376="","vazio",IF(OR(AND(LEN(SUBSTITUTE(SUBSTITUTE(SUBSTITUTE(SUBSTITUTE(SUBSTITUTE(SUBSTITUTE(SUBSTITUTE(TRIM(M376),".",""),"/",""),"-","")," ",""),"(",""),")",""),"+",""))=10,LEFT(SUBSTITUTE(SUBSTITUTE(SUBSTITUTE(SUBSTITUTE(SUBSTITUTE(SUBSTITUTE(SUBSTITUTE(TRIM(M376),".",""),"/",""),"-","")," ",""),"(",""),")",""),"+",""),1)&lt;&gt;"0"),AND(LEN(SUBSTITUTE(SUBSTITUTE(SUBSTITUTE(SUBSTITUTE(SUBSTITUTE(SUBSTITUTE(SUBSTITUTE(TRIM(M376),".",""),"/",""),"-","")," ",""),"(",""),")",""),"+",""))=11,LEFT(SUBSTITUTE(SUBSTITUTE(SUBSTITUTE(SUBSTITUTE(SUBSTITUTE(SUBSTITUTE(SUBSTITUTE(TRIM(M376),".",""),"/",""),"-","")," ",""),"(",""),")",""),"+",""),4)="0800")),"OK",IF(AND(LEN(SUBSTITUTE(SUBSTITUTE(SUBSTITUTE(SUBSTITUTE(SUBSTITUTE(SUBSTITUTE(SUBSTITUTE(TRIM(M376),".",""),"/",""),"-","")," ",""),"(",""),")",""),"+",""))=11,MID(SUBSTITUTE(SUBSTITUTE(SUBSTITUTE(SUBSTITUTE(SUBSTITUTE(SUBSTITUTE(SUBSTITUTE(TRIM(M376),".",""),"/",""),"-","")," ",""),"(",""),")",""),"+",""),3,1)="9"),"ERRO: é celular, use a coluna Celular","ERRO: DDD + 8 dígitos ou 0800 + 7")))</f>
      </c>
      <c r="X376" s="6">
        <f>IF(N376="","vazio",IF(AND(LEN(SUBSTITUTE(SUBSTITUTE(SUBSTITUTE(SUBSTITUTE(SUBSTITUTE(SUBSTITUTE(SUBSTITUTE(TRIM(N376),".",""),"/",""),"-","")," ",""),"(",""),")",""),"+",""))=11,MID(SUBSTITUTE(SUBSTITUTE(SUBSTITUTE(SUBSTITUTE(SUBSTITUTE(SUBSTITUTE(SUBSTITUTE(TRIM(N376),".",""),"/",""),"-","")," ",""),"(",""),")",""),"+",""),3,1)="9",LEFT(SUBSTITUTE(SUBSTITUTE(SUBSTITUTE(SUBSTITUTE(SUBSTITUTE(SUBSTITUTE(SUBSTITUTE(TRIM(N376),".",""),"/",""),"-","")," ",""),"(",""),")",""),"+",""),1)&lt;&gt;"0"),"OK",IF(LEN(SUBSTITUTE(SUBSTITUTE(SUBSTITUTE(SUBSTITUTE(SUBSTITUTE(SUBSTITUTE(SUBSTITUTE(TRIM(N376),".",""),"/",""),"-","")," ",""),"(",""),")",""),"+",""))=10,"ERRO: é fixo (ou falta o 9), use a coluna Telefone fixo","ERRO: DDD + 9 + 8 dígitos")))</f>
      </c>
      <c r="Y376" s="6">
        <f>IF(O376="","vazio",IF(AND(ISNUMBER(FIND("@",O376)),ISNUMBER(FIND(".",MID(O376,FIND("@",O376),99))),NOT(ISNUMBER(FIND(" ",TRIM(O376)))),NOT(ISNUMBER(FIND(";",O376))),NOT(ISNUMBER(FIND(",",O376)))),"OK","ERRO: um e-mail válido por linha"))</f>
      </c>
      <c r="Z376" s="6">
        <f>IF(AND(J376="",K376=""),"",IF(AND(J376&lt;&gt;"",K376&lt;&gt;""),"OK","pendente: só um nome (o GR completa ao converter)"))</f>
      </c>
      <c r="AA376" s="6">
        <f>IF(COUNTA(A376:S376)=0,"",IF(AND(A376&lt;&gt;"",B376&lt;&gt;"",C376&lt;&gt;"",D376&lt;&gt;"",E376&lt;&gt;"",F376&lt;&gt;"",G376&lt;&gt;"",H376&lt;&gt;"",OR(J376&lt;&gt;"",K376&lt;&gt;""),OR(M376&lt;&gt;"",N376&lt;&gt;"",O376&lt;&gt;"")),"OK","ERRO: faltam "&amp;IF(A376="","SDR; ","")&amp;IF(B376="","Proprietário; ","")&amp;IF(C376="","Origem; ","")&amp;IF(D376="","Temperatura; ","")&amp;IF(E376="","Segmento; ","")&amp;IF(F376="","Time/Cluster; ","")&amp;IF(G376="","CNPJ; ","")&amp;IF(H376="","Razão Social; ","")&amp;IF(AND(J376="",K376=""),"nome do contato; ","")&amp;IF(AND(M376="",N376="",O376=""),"telefone, celular ou e-mail; ","")))</f>
      </c>
      <c r="AB376" s="6">
        <f>IF(COUNTA(A376:S376)=0,"",IF(AND(U376="OK",V376="OK",LEFT(W376,4)&lt;&gt;"ERRO",LEFT(X376,4)&lt;&gt;"ERRO",LEFT(Y376,4)&lt;&gt;"ERRO",AA376="OK"),"OK","REVISAR"))</f>
      </c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5"/>
      <c r="K377" s="4"/>
      <c r="L377" s="4"/>
      <c r="M377" s="4"/>
      <c r="N377" s="4"/>
      <c r="O377" s="4"/>
      <c r="P377" s="4"/>
      <c r="Q377" s="4"/>
      <c r="R377" s="4"/>
      <c r="S377" s="4"/>
      <c r="T377" s="6">
        <f>IF(G377="","",SUBSTITUTE(SUBSTITUTE(SUBSTITUTE(SUBSTITUTE(SUBSTITUTE(SUBSTITUTE(SUBSTITUTE(TRIM(G377),".",""),"/",""),"-","")," ",""),"(",""),")",""),"+",""))</f>
      </c>
      <c r="U377" s="6">
        <f>IF(T377="","",IF(LEN(T377)&lt;&gt;14,"ERRO: "&amp;LEN(T377)&amp;" dígitos",IF(NOT(ISNUMBER(VALUE(T377))),"ERRO: não numérico",IF(LEN(SUBSTITUTE(T377,LEFT(T377,1),""))=0,"ERRO: dígitos repetidos",IF(AND(VALUE(MID(T377,13,1))=IF(MOD(SUMPRODUCT(--MID(T377,{1,2,3,4,5,6,7,8,9,10,11,12},1),{5,4,3,2,9,8,7,6,5,4,3,2}),11)&lt;2,0,11-MOD(SUMPRODUCT(--MID(T377,{1,2,3,4,5,6,7,8,9,10,11,12},1),{5,4,3,2,9,8,7,6,5,4,3,2}),11)),VALUE(MID(T377,14,1))=IF(MOD(SUMPRODUCT(--MID(T377,{1,2,3,4,5,6,7,8,9,10,11,12,13},1),{6,5,4,3,2,9,8,7,6,5,4,3,2}),11)&lt;2,0,11-MOD(SUMPRODUCT(--MID(T377,{1,2,3,4,5,6,7,8,9,10,11,12,13},1),{6,5,4,3,2,9,8,7,6,5,4,3,2}),11))),"OK","ERRO: dígito verificador")))))</f>
      </c>
      <c r="V377" s="6">
        <f>IF(T377="","",IF(COUNTIF($T$2:$T$1001,T377)&gt;1,"DUPLICADO","OK"))</f>
      </c>
      <c r="W377" s="6">
        <f>IF(M377="","vazio",IF(OR(AND(LEN(SUBSTITUTE(SUBSTITUTE(SUBSTITUTE(SUBSTITUTE(SUBSTITUTE(SUBSTITUTE(SUBSTITUTE(TRIM(M377),".",""),"/",""),"-","")," ",""),"(",""),")",""),"+",""))=10,LEFT(SUBSTITUTE(SUBSTITUTE(SUBSTITUTE(SUBSTITUTE(SUBSTITUTE(SUBSTITUTE(SUBSTITUTE(TRIM(M377),".",""),"/",""),"-","")," ",""),"(",""),")",""),"+",""),1)&lt;&gt;"0"),AND(LEN(SUBSTITUTE(SUBSTITUTE(SUBSTITUTE(SUBSTITUTE(SUBSTITUTE(SUBSTITUTE(SUBSTITUTE(TRIM(M377),".",""),"/",""),"-","")," ",""),"(",""),")",""),"+",""))=11,LEFT(SUBSTITUTE(SUBSTITUTE(SUBSTITUTE(SUBSTITUTE(SUBSTITUTE(SUBSTITUTE(SUBSTITUTE(TRIM(M377),".",""),"/",""),"-","")," ",""),"(",""),")",""),"+",""),4)="0800")),"OK",IF(AND(LEN(SUBSTITUTE(SUBSTITUTE(SUBSTITUTE(SUBSTITUTE(SUBSTITUTE(SUBSTITUTE(SUBSTITUTE(TRIM(M377),".",""),"/",""),"-","")," ",""),"(",""),")",""),"+",""))=11,MID(SUBSTITUTE(SUBSTITUTE(SUBSTITUTE(SUBSTITUTE(SUBSTITUTE(SUBSTITUTE(SUBSTITUTE(TRIM(M377),".",""),"/",""),"-","")," ",""),"(",""),")",""),"+",""),3,1)="9"),"ERRO: é celular, use a coluna Celular","ERRO: DDD + 8 dígitos ou 0800 + 7")))</f>
      </c>
      <c r="X377" s="6">
        <f>IF(N377="","vazio",IF(AND(LEN(SUBSTITUTE(SUBSTITUTE(SUBSTITUTE(SUBSTITUTE(SUBSTITUTE(SUBSTITUTE(SUBSTITUTE(TRIM(N377),".",""),"/",""),"-","")," ",""),"(",""),")",""),"+",""))=11,MID(SUBSTITUTE(SUBSTITUTE(SUBSTITUTE(SUBSTITUTE(SUBSTITUTE(SUBSTITUTE(SUBSTITUTE(TRIM(N377),".",""),"/",""),"-","")," ",""),"(",""),")",""),"+",""),3,1)="9",LEFT(SUBSTITUTE(SUBSTITUTE(SUBSTITUTE(SUBSTITUTE(SUBSTITUTE(SUBSTITUTE(SUBSTITUTE(TRIM(N377),".",""),"/",""),"-","")," ",""),"(",""),")",""),"+",""),1)&lt;&gt;"0"),"OK",IF(LEN(SUBSTITUTE(SUBSTITUTE(SUBSTITUTE(SUBSTITUTE(SUBSTITUTE(SUBSTITUTE(SUBSTITUTE(TRIM(N377),".",""),"/",""),"-","")," ",""),"(",""),")",""),"+",""))=10,"ERRO: é fixo (ou falta o 9), use a coluna Telefone fixo","ERRO: DDD + 9 + 8 dígitos")))</f>
      </c>
      <c r="Y377" s="6">
        <f>IF(O377="","vazio",IF(AND(ISNUMBER(FIND("@",O377)),ISNUMBER(FIND(".",MID(O377,FIND("@",O377),99))),NOT(ISNUMBER(FIND(" ",TRIM(O377)))),NOT(ISNUMBER(FIND(";",O377))),NOT(ISNUMBER(FIND(",",O377)))),"OK","ERRO: um e-mail válido por linha"))</f>
      </c>
      <c r="Z377" s="6">
        <f>IF(AND(J377="",K377=""),"",IF(AND(J377&lt;&gt;"",K377&lt;&gt;""),"OK","pendente: só um nome (o GR completa ao converter)"))</f>
      </c>
      <c r="AA377" s="6">
        <f>IF(COUNTA(A377:S377)=0,"",IF(AND(A377&lt;&gt;"",B377&lt;&gt;"",C377&lt;&gt;"",D377&lt;&gt;"",E377&lt;&gt;"",F377&lt;&gt;"",G377&lt;&gt;"",H377&lt;&gt;"",OR(J377&lt;&gt;"",K377&lt;&gt;""),OR(M377&lt;&gt;"",N377&lt;&gt;"",O377&lt;&gt;"")),"OK","ERRO: faltam "&amp;IF(A377="","SDR; ","")&amp;IF(B377="","Proprietário; ","")&amp;IF(C377="","Origem; ","")&amp;IF(D377="","Temperatura; ","")&amp;IF(E377="","Segmento; ","")&amp;IF(F377="","Time/Cluster; ","")&amp;IF(G377="","CNPJ; ","")&amp;IF(H377="","Razão Social; ","")&amp;IF(AND(J377="",K377=""),"nome do contato; ","")&amp;IF(AND(M377="",N377="",O377=""),"telefone, celular ou e-mail; ","")))</f>
      </c>
      <c r="AB377" s="6">
        <f>IF(COUNTA(A377:S377)=0,"",IF(AND(U377="OK",V377="OK",LEFT(W377,4)&lt;&gt;"ERRO",LEFT(X377,4)&lt;&gt;"ERRO",LEFT(Y377,4)&lt;&gt;"ERRO",AA377="OK"),"OK","REVISAR"))</f>
      </c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5"/>
      <c r="K378" s="4"/>
      <c r="L378" s="4"/>
      <c r="M378" s="4"/>
      <c r="N378" s="4"/>
      <c r="O378" s="4"/>
      <c r="P378" s="4"/>
      <c r="Q378" s="4"/>
      <c r="R378" s="4"/>
      <c r="S378" s="4"/>
      <c r="T378" s="6">
        <f>IF(G378="","",SUBSTITUTE(SUBSTITUTE(SUBSTITUTE(SUBSTITUTE(SUBSTITUTE(SUBSTITUTE(SUBSTITUTE(TRIM(G378),".",""),"/",""),"-","")," ",""),"(",""),")",""),"+",""))</f>
      </c>
      <c r="U378" s="6">
        <f>IF(T378="","",IF(LEN(T378)&lt;&gt;14,"ERRO: "&amp;LEN(T378)&amp;" dígitos",IF(NOT(ISNUMBER(VALUE(T378))),"ERRO: não numérico",IF(LEN(SUBSTITUTE(T378,LEFT(T378,1),""))=0,"ERRO: dígitos repetidos",IF(AND(VALUE(MID(T378,13,1))=IF(MOD(SUMPRODUCT(--MID(T378,{1,2,3,4,5,6,7,8,9,10,11,12},1),{5,4,3,2,9,8,7,6,5,4,3,2}),11)&lt;2,0,11-MOD(SUMPRODUCT(--MID(T378,{1,2,3,4,5,6,7,8,9,10,11,12},1),{5,4,3,2,9,8,7,6,5,4,3,2}),11)),VALUE(MID(T378,14,1))=IF(MOD(SUMPRODUCT(--MID(T378,{1,2,3,4,5,6,7,8,9,10,11,12,13},1),{6,5,4,3,2,9,8,7,6,5,4,3,2}),11)&lt;2,0,11-MOD(SUMPRODUCT(--MID(T378,{1,2,3,4,5,6,7,8,9,10,11,12,13},1),{6,5,4,3,2,9,8,7,6,5,4,3,2}),11))),"OK","ERRO: dígito verificador")))))</f>
      </c>
      <c r="V378" s="6">
        <f>IF(T378="","",IF(COUNTIF($T$2:$T$1001,T378)&gt;1,"DUPLICADO","OK"))</f>
      </c>
      <c r="W378" s="6">
        <f>IF(M378="","vazio",IF(OR(AND(LEN(SUBSTITUTE(SUBSTITUTE(SUBSTITUTE(SUBSTITUTE(SUBSTITUTE(SUBSTITUTE(SUBSTITUTE(TRIM(M378),".",""),"/",""),"-","")," ",""),"(",""),")",""),"+",""))=10,LEFT(SUBSTITUTE(SUBSTITUTE(SUBSTITUTE(SUBSTITUTE(SUBSTITUTE(SUBSTITUTE(SUBSTITUTE(TRIM(M378),".",""),"/",""),"-","")," ",""),"(",""),")",""),"+",""),1)&lt;&gt;"0"),AND(LEN(SUBSTITUTE(SUBSTITUTE(SUBSTITUTE(SUBSTITUTE(SUBSTITUTE(SUBSTITUTE(SUBSTITUTE(TRIM(M378),".",""),"/",""),"-","")," ",""),"(",""),")",""),"+",""))=11,LEFT(SUBSTITUTE(SUBSTITUTE(SUBSTITUTE(SUBSTITUTE(SUBSTITUTE(SUBSTITUTE(SUBSTITUTE(TRIM(M378),".",""),"/",""),"-","")," ",""),"(",""),")",""),"+",""),4)="0800")),"OK",IF(AND(LEN(SUBSTITUTE(SUBSTITUTE(SUBSTITUTE(SUBSTITUTE(SUBSTITUTE(SUBSTITUTE(SUBSTITUTE(TRIM(M378),".",""),"/",""),"-","")," ",""),"(",""),")",""),"+",""))=11,MID(SUBSTITUTE(SUBSTITUTE(SUBSTITUTE(SUBSTITUTE(SUBSTITUTE(SUBSTITUTE(SUBSTITUTE(TRIM(M378),".",""),"/",""),"-","")," ",""),"(",""),")",""),"+",""),3,1)="9"),"ERRO: é celular, use a coluna Celular","ERRO: DDD + 8 dígitos ou 0800 + 7")))</f>
      </c>
      <c r="X378" s="6">
        <f>IF(N378="","vazio",IF(AND(LEN(SUBSTITUTE(SUBSTITUTE(SUBSTITUTE(SUBSTITUTE(SUBSTITUTE(SUBSTITUTE(SUBSTITUTE(TRIM(N378),".",""),"/",""),"-","")," ",""),"(",""),")",""),"+",""))=11,MID(SUBSTITUTE(SUBSTITUTE(SUBSTITUTE(SUBSTITUTE(SUBSTITUTE(SUBSTITUTE(SUBSTITUTE(TRIM(N378),".",""),"/",""),"-","")," ",""),"(",""),")",""),"+",""),3,1)="9",LEFT(SUBSTITUTE(SUBSTITUTE(SUBSTITUTE(SUBSTITUTE(SUBSTITUTE(SUBSTITUTE(SUBSTITUTE(TRIM(N378),".",""),"/",""),"-","")," ",""),"(",""),")",""),"+",""),1)&lt;&gt;"0"),"OK",IF(LEN(SUBSTITUTE(SUBSTITUTE(SUBSTITUTE(SUBSTITUTE(SUBSTITUTE(SUBSTITUTE(SUBSTITUTE(TRIM(N378),".",""),"/",""),"-","")," ",""),"(",""),")",""),"+",""))=10,"ERRO: é fixo (ou falta o 9), use a coluna Telefone fixo","ERRO: DDD + 9 + 8 dígitos")))</f>
      </c>
      <c r="Y378" s="6">
        <f>IF(O378="","vazio",IF(AND(ISNUMBER(FIND("@",O378)),ISNUMBER(FIND(".",MID(O378,FIND("@",O378),99))),NOT(ISNUMBER(FIND(" ",TRIM(O378)))),NOT(ISNUMBER(FIND(";",O378))),NOT(ISNUMBER(FIND(",",O378)))),"OK","ERRO: um e-mail válido por linha"))</f>
      </c>
      <c r="Z378" s="6">
        <f>IF(AND(J378="",K378=""),"",IF(AND(J378&lt;&gt;"",K378&lt;&gt;""),"OK","pendente: só um nome (o GR completa ao converter)"))</f>
      </c>
      <c r="AA378" s="6">
        <f>IF(COUNTA(A378:S378)=0,"",IF(AND(A378&lt;&gt;"",B378&lt;&gt;"",C378&lt;&gt;"",D378&lt;&gt;"",E378&lt;&gt;"",F378&lt;&gt;"",G378&lt;&gt;"",H378&lt;&gt;"",OR(J378&lt;&gt;"",K378&lt;&gt;""),OR(M378&lt;&gt;"",N378&lt;&gt;"",O378&lt;&gt;"")),"OK","ERRO: faltam "&amp;IF(A378="","SDR; ","")&amp;IF(B378="","Proprietário; ","")&amp;IF(C378="","Origem; ","")&amp;IF(D378="","Temperatura; ","")&amp;IF(E378="","Segmento; ","")&amp;IF(F378="","Time/Cluster; ","")&amp;IF(G378="","CNPJ; ","")&amp;IF(H378="","Razão Social; ","")&amp;IF(AND(J378="",K378=""),"nome do contato; ","")&amp;IF(AND(M378="",N378="",O378=""),"telefone, celular ou e-mail; ","")))</f>
      </c>
      <c r="AB378" s="6">
        <f>IF(COUNTA(A378:S378)=0,"",IF(AND(U378="OK",V378="OK",LEFT(W378,4)&lt;&gt;"ERRO",LEFT(X378,4)&lt;&gt;"ERRO",LEFT(Y378,4)&lt;&gt;"ERRO",AA378="OK"),"OK","REVISAR"))</f>
      </c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5"/>
      <c r="K379" s="4"/>
      <c r="L379" s="4"/>
      <c r="M379" s="4"/>
      <c r="N379" s="4"/>
      <c r="O379" s="4"/>
      <c r="P379" s="4"/>
      <c r="Q379" s="4"/>
      <c r="R379" s="4"/>
      <c r="S379" s="4"/>
      <c r="T379" s="6">
        <f>IF(G379="","",SUBSTITUTE(SUBSTITUTE(SUBSTITUTE(SUBSTITUTE(SUBSTITUTE(SUBSTITUTE(SUBSTITUTE(TRIM(G379),".",""),"/",""),"-","")," ",""),"(",""),")",""),"+",""))</f>
      </c>
      <c r="U379" s="6">
        <f>IF(T379="","",IF(LEN(T379)&lt;&gt;14,"ERRO: "&amp;LEN(T379)&amp;" dígitos",IF(NOT(ISNUMBER(VALUE(T379))),"ERRO: não numérico",IF(LEN(SUBSTITUTE(T379,LEFT(T379,1),""))=0,"ERRO: dígitos repetidos",IF(AND(VALUE(MID(T379,13,1))=IF(MOD(SUMPRODUCT(--MID(T379,{1,2,3,4,5,6,7,8,9,10,11,12},1),{5,4,3,2,9,8,7,6,5,4,3,2}),11)&lt;2,0,11-MOD(SUMPRODUCT(--MID(T379,{1,2,3,4,5,6,7,8,9,10,11,12},1),{5,4,3,2,9,8,7,6,5,4,3,2}),11)),VALUE(MID(T379,14,1))=IF(MOD(SUMPRODUCT(--MID(T379,{1,2,3,4,5,6,7,8,9,10,11,12,13},1),{6,5,4,3,2,9,8,7,6,5,4,3,2}),11)&lt;2,0,11-MOD(SUMPRODUCT(--MID(T379,{1,2,3,4,5,6,7,8,9,10,11,12,13},1),{6,5,4,3,2,9,8,7,6,5,4,3,2}),11))),"OK","ERRO: dígito verificador")))))</f>
      </c>
      <c r="V379" s="6">
        <f>IF(T379="","",IF(COUNTIF($T$2:$T$1001,T379)&gt;1,"DUPLICADO","OK"))</f>
      </c>
      <c r="W379" s="6">
        <f>IF(M379="","vazio",IF(OR(AND(LEN(SUBSTITUTE(SUBSTITUTE(SUBSTITUTE(SUBSTITUTE(SUBSTITUTE(SUBSTITUTE(SUBSTITUTE(TRIM(M379),".",""),"/",""),"-","")," ",""),"(",""),")",""),"+",""))=10,LEFT(SUBSTITUTE(SUBSTITUTE(SUBSTITUTE(SUBSTITUTE(SUBSTITUTE(SUBSTITUTE(SUBSTITUTE(TRIM(M379),".",""),"/",""),"-","")," ",""),"(",""),")",""),"+",""),1)&lt;&gt;"0"),AND(LEN(SUBSTITUTE(SUBSTITUTE(SUBSTITUTE(SUBSTITUTE(SUBSTITUTE(SUBSTITUTE(SUBSTITUTE(TRIM(M379),".",""),"/",""),"-","")," ",""),"(",""),")",""),"+",""))=11,LEFT(SUBSTITUTE(SUBSTITUTE(SUBSTITUTE(SUBSTITUTE(SUBSTITUTE(SUBSTITUTE(SUBSTITUTE(TRIM(M379),".",""),"/",""),"-","")," ",""),"(",""),")",""),"+",""),4)="0800")),"OK",IF(AND(LEN(SUBSTITUTE(SUBSTITUTE(SUBSTITUTE(SUBSTITUTE(SUBSTITUTE(SUBSTITUTE(SUBSTITUTE(TRIM(M379),".",""),"/",""),"-","")," ",""),"(",""),")",""),"+",""))=11,MID(SUBSTITUTE(SUBSTITUTE(SUBSTITUTE(SUBSTITUTE(SUBSTITUTE(SUBSTITUTE(SUBSTITUTE(TRIM(M379),".",""),"/",""),"-","")," ",""),"(",""),")",""),"+",""),3,1)="9"),"ERRO: é celular, use a coluna Celular","ERRO: DDD + 8 dígitos ou 0800 + 7")))</f>
      </c>
      <c r="X379" s="6">
        <f>IF(N379="","vazio",IF(AND(LEN(SUBSTITUTE(SUBSTITUTE(SUBSTITUTE(SUBSTITUTE(SUBSTITUTE(SUBSTITUTE(SUBSTITUTE(TRIM(N379),".",""),"/",""),"-","")," ",""),"(",""),")",""),"+",""))=11,MID(SUBSTITUTE(SUBSTITUTE(SUBSTITUTE(SUBSTITUTE(SUBSTITUTE(SUBSTITUTE(SUBSTITUTE(TRIM(N379),".",""),"/",""),"-","")," ",""),"(",""),")",""),"+",""),3,1)="9",LEFT(SUBSTITUTE(SUBSTITUTE(SUBSTITUTE(SUBSTITUTE(SUBSTITUTE(SUBSTITUTE(SUBSTITUTE(TRIM(N379),".",""),"/",""),"-","")," ",""),"(",""),")",""),"+",""),1)&lt;&gt;"0"),"OK",IF(LEN(SUBSTITUTE(SUBSTITUTE(SUBSTITUTE(SUBSTITUTE(SUBSTITUTE(SUBSTITUTE(SUBSTITUTE(TRIM(N379),".",""),"/",""),"-","")," ",""),"(",""),")",""),"+",""))=10,"ERRO: é fixo (ou falta o 9), use a coluna Telefone fixo","ERRO: DDD + 9 + 8 dígitos")))</f>
      </c>
      <c r="Y379" s="6">
        <f>IF(O379="","vazio",IF(AND(ISNUMBER(FIND("@",O379)),ISNUMBER(FIND(".",MID(O379,FIND("@",O379),99))),NOT(ISNUMBER(FIND(" ",TRIM(O379)))),NOT(ISNUMBER(FIND(";",O379))),NOT(ISNUMBER(FIND(",",O379)))),"OK","ERRO: um e-mail válido por linha"))</f>
      </c>
      <c r="Z379" s="6">
        <f>IF(AND(J379="",K379=""),"",IF(AND(J379&lt;&gt;"",K379&lt;&gt;""),"OK","pendente: só um nome (o GR completa ao converter)"))</f>
      </c>
      <c r="AA379" s="6">
        <f>IF(COUNTA(A379:S379)=0,"",IF(AND(A379&lt;&gt;"",B379&lt;&gt;"",C379&lt;&gt;"",D379&lt;&gt;"",E379&lt;&gt;"",F379&lt;&gt;"",G379&lt;&gt;"",H379&lt;&gt;"",OR(J379&lt;&gt;"",K379&lt;&gt;""),OR(M379&lt;&gt;"",N379&lt;&gt;"",O379&lt;&gt;"")),"OK","ERRO: faltam "&amp;IF(A379="","SDR; ","")&amp;IF(B379="","Proprietário; ","")&amp;IF(C379="","Origem; ","")&amp;IF(D379="","Temperatura; ","")&amp;IF(E379="","Segmento; ","")&amp;IF(F379="","Time/Cluster; ","")&amp;IF(G379="","CNPJ; ","")&amp;IF(H379="","Razão Social; ","")&amp;IF(AND(J379="",K379=""),"nome do contato; ","")&amp;IF(AND(M379="",N379="",O379=""),"telefone, celular ou e-mail; ","")))</f>
      </c>
      <c r="AB379" s="6">
        <f>IF(COUNTA(A379:S379)=0,"",IF(AND(U379="OK",V379="OK",LEFT(W379,4)&lt;&gt;"ERRO",LEFT(X379,4)&lt;&gt;"ERRO",LEFT(Y379,4)&lt;&gt;"ERRO",AA379="OK"),"OK","REVISAR"))</f>
      </c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5"/>
      <c r="K380" s="4"/>
      <c r="L380" s="4"/>
      <c r="M380" s="4"/>
      <c r="N380" s="4"/>
      <c r="O380" s="4"/>
      <c r="P380" s="4"/>
      <c r="Q380" s="4"/>
      <c r="R380" s="4"/>
      <c r="S380" s="4"/>
      <c r="T380" s="6">
        <f>IF(G380="","",SUBSTITUTE(SUBSTITUTE(SUBSTITUTE(SUBSTITUTE(SUBSTITUTE(SUBSTITUTE(SUBSTITUTE(TRIM(G380),".",""),"/",""),"-","")," ",""),"(",""),")",""),"+",""))</f>
      </c>
      <c r="U380" s="6">
        <f>IF(T380="","",IF(LEN(T380)&lt;&gt;14,"ERRO: "&amp;LEN(T380)&amp;" dígitos",IF(NOT(ISNUMBER(VALUE(T380))),"ERRO: não numérico",IF(LEN(SUBSTITUTE(T380,LEFT(T380,1),""))=0,"ERRO: dígitos repetidos",IF(AND(VALUE(MID(T380,13,1))=IF(MOD(SUMPRODUCT(--MID(T380,{1,2,3,4,5,6,7,8,9,10,11,12},1),{5,4,3,2,9,8,7,6,5,4,3,2}),11)&lt;2,0,11-MOD(SUMPRODUCT(--MID(T380,{1,2,3,4,5,6,7,8,9,10,11,12},1),{5,4,3,2,9,8,7,6,5,4,3,2}),11)),VALUE(MID(T380,14,1))=IF(MOD(SUMPRODUCT(--MID(T380,{1,2,3,4,5,6,7,8,9,10,11,12,13},1),{6,5,4,3,2,9,8,7,6,5,4,3,2}),11)&lt;2,0,11-MOD(SUMPRODUCT(--MID(T380,{1,2,3,4,5,6,7,8,9,10,11,12,13},1),{6,5,4,3,2,9,8,7,6,5,4,3,2}),11))),"OK","ERRO: dígito verificador")))))</f>
      </c>
      <c r="V380" s="6">
        <f>IF(T380="","",IF(COUNTIF($T$2:$T$1001,T380)&gt;1,"DUPLICADO","OK"))</f>
      </c>
      <c r="W380" s="6">
        <f>IF(M380="","vazio",IF(OR(AND(LEN(SUBSTITUTE(SUBSTITUTE(SUBSTITUTE(SUBSTITUTE(SUBSTITUTE(SUBSTITUTE(SUBSTITUTE(TRIM(M380),".",""),"/",""),"-","")," ",""),"(",""),")",""),"+",""))=10,LEFT(SUBSTITUTE(SUBSTITUTE(SUBSTITUTE(SUBSTITUTE(SUBSTITUTE(SUBSTITUTE(SUBSTITUTE(TRIM(M380),".",""),"/",""),"-","")," ",""),"(",""),")",""),"+",""),1)&lt;&gt;"0"),AND(LEN(SUBSTITUTE(SUBSTITUTE(SUBSTITUTE(SUBSTITUTE(SUBSTITUTE(SUBSTITUTE(SUBSTITUTE(TRIM(M380),".",""),"/",""),"-","")," ",""),"(",""),")",""),"+",""))=11,LEFT(SUBSTITUTE(SUBSTITUTE(SUBSTITUTE(SUBSTITUTE(SUBSTITUTE(SUBSTITUTE(SUBSTITUTE(TRIM(M380),".",""),"/",""),"-","")," ",""),"(",""),")",""),"+",""),4)="0800")),"OK",IF(AND(LEN(SUBSTITUTE(SUBSTITUTE(SUBSTITUTE(SUBSTITUTE(SUBSTITUTE(SUBSTITUTE(SUBSTITUTE(TRIM(M380),".",""),"/",""),"-","")," ",""),"(",""),")",""),"+",""))=11,MID(SUBSTITUTE(SUBSTITUTE(SUBSTITUTE(SUBSTITUTE(SUBSTITUTE(SUBSTITUTE(SUBSTITUTE(TRIM(M380),".",""),"/",""),"-","")," ",""),"(",""),")",""),"+",""),3,1)="9"),"ERRO: é celular, use a coluna Celular","ERRO: DDD + 8 dígitos ou 0800 + 7")))</f>
      </c>
      <c r="X380" s="6">
        <f>IF(N380="","vazio",IF(AND(LEN(SUBSTITUTE(SUBSTITUTE(SUBSTITUTE(SUBSTITUTE(SUBSTITUTE(SUBSTITUTE(SUBSTITUTE(TRIM(N380),".",""),"/",""),"-","")," ",""),"(",""),")",""),"+",""))=11,MID(SUBSTITUTE(SUBSTITUTE(SUBSTITUTE(SUBSTITUTE(SUBSTITUTE(SUBSTITUTE(SUBSTITUTE(TRIM(N380),".",""),"/",""),"-","")," ",""),"(",""),")",""),"+",""),3,1)="9",LEFT(SUBSTITUTE(SUBSTITUTE(SUBSTITUTE(SUBSTITUTE(SUBSTITUTE(SUBSTITUTE(SUBSTITUTE(TRIM(N380),".",""),"/",""),"-","")," ",""),"(",""),")",""),"+",""),1)&lt;&gt;"0"),"OK",IF(LEN(SUBSTITUTE(SUBSTITUTE(SUBSTITUTE(SUBSTITUTE(SUBSTITUTE(SUBSTITUTE(SUBSTITUTE(TRIM(N380),".",""),"/",""),"-","")," ",""),"(",""),")",""),"+",""))=10,"ERRO: é fixo (ou falta o 9), use a coluna Telefone fixo","ERRO: DDD + 9 + 8 dígitos")))</f>
      </c>
      <c r="Y380" s="6">
        <f>IF(O380="","vazio",IF(AND(ISNUMBER(FIND("@",O380)),ISNUMBER(FIND(".",MID(O380,FIND("@",O380),99))),NOT(ISNUMBER(FIND(" ",TRIM(O380)))),NOT(ISNUMBER(FIND(";",O380))),NOT(ISNUMBER(FIND(",",O380)))),"OK","ERRO: um e-mail válido por linha"))</f>
      </c>
      <c r="Z380" s="6">
        <f>IF(AND(J380="",K380=""),"",IF(AND(J380&lt;&gt;"",K380&lt;&gt;""),"OK","pendente: só um nome (o GR completa ao converter)"))</f>
      </c>
      <c r="AA380" s="6">
        <f>IF(COUNTA(A380:S380)=0,"",IF(AND(A380&lt;&gt;"",B380&lt;&gt;"",C380&lt;&gt;"",D380&lt;&gt;"",E380&lt;&gt;"",F380&lt;&gt;"",G380&lt;&gt;"",H380&lt;&gt;"",OR(J380&lt;&gt;"",K380&lt;&gt;""),OR(M380&lt;&gt;"",N380&lt;&gt;"",O380&lt;&gt;"")),"OK","ERRO: faltam "&amp;IF(A380="","SDR; ","")&amp;IF(B380="","Proprietário; ","")&amp;IF(C380="","Origem; ","")&amp;IF(D380="","Temperatura; ","")&amp;IF(E380="","Segmento; ","")&amp;IF(F380="","Time/Cluster; ","")&amp;IF(G380="","CNPJ; ","")&amp;IF(H380="","Razão Social; ","")&amp;IF(AND(J380="",K380=""),"nome do contato; ","")&amp;IF(AND(M380="",N380="",O380=""),"telefone, celular ou e-mail; ","")))</f>
      </c>
      <c r="AB380" s="6">
        <f>IF(COUNTA(A380:S380)=0,"",IF(AND(U380="OK",V380="OK",LEFT(W380,4)&lt;&gt;"ERRO",LEFT(X380,4)&lt;&gt;"ERRO",LEFT(Y380,4)&lt;&gt;"ERRO",AA380="OK"),"OK","REVISAR"))</f>
      </c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5"/>
      <c r="K381" s="4"/>
      <c r="L381" s="4"/>
      <c r="M381" s="4"/>
      <c r="N381" s="4"/>
      <c r="O381" s="4"/>
      <c r="P381" s="4"/>
      <c r="Q381" s="4"/>
      <c r="R381" s="4"/>
      <c r="S381" s="4"/>
      <c r="T381" s="6">
        <f>IF(G381="","",SUBSTITUTE(SUBSTITUTE(SUBSTITUTE(SUBSTITUTE(SUBSTITUTE(SUBSTITUTE(SUBSTITUTE(TRIM(G381),".",""),"/",""),"-","")," ",""),"(",""),")",""),"+",""))</f>
      </c>
      <c r="U381" s="6">
        <f>IF(T381="","",IF(LEN(T381)&lt;&gt;14,"ERRO: "&amp;LEN(T381)&amp;" dígitos",IF(NOT(ISNUMBER(VALUE(T381))),"ERRO: não numérico",IF(LEN(SUBSTITUTE(T381,LEFT(T381,1),""))=0,"ERRO: dígitos repetidos",IF(AND(VALUE(MID(T381,13,1))=IF(MOD(SUMPRODUCT(--MID(T381,{1,2,3,4,5,6,7,8,9,10,11,12},1),{5,4,3,2,9,8,7,6,5,4,3,2}),11)&lt;2,0,11-MOD(SUMPRODUCT(--MID(T381,{1,2,3,4,5,6,7,8,9,10,11,12},1),{5,4,3,2,9,8,7,6,5,4,3,2}),11)),VALUE(MID(T381,14,1))=IF(MOD(SUMPRODUCT(--MID(T381,{1,2,3,4,5,6,7,8,9,10,11,12,13},1),{6,5,4,3,2,9,8,7,6,5,4,3,2}),11)&lt;2,0,11-MOD(SUMPRODUCT(--MID(T381,{1,2,3,4,5,6,7,8,9,10,11,12,13},1),{6,5,4,3,2,9,8,7,6,5,4,3,2}),11))),"OK","ERRO: dígito verificador")))))</f>
      </c>
      <c r="V381" s="6">
        <f>IF(T381="","",IF(COUNTIF($T$2:$T$1001,T381)&gt;1,"DUPLICADO","OK"))</f>
      </c>
      <c r="W381" s="6">
        <f>IF(M381="","vazio",IF(OR(AND(LEN(SUBSTITUTE(SUBSTITUTE(SUBSTITUTE(SUBSTITUTE(SUBSTITUTE(SUBSTITUTE(SUBSTITUTE(TRIM(M381),".",""),"/",""),"-","")," ",""),"(",""),")",""),"+",""))=10,LEFT(SUBSTITUTE(SUBSTITUTE(SUBSTITUTE(SUBSTITUTE(SUBSTITUTE(SUBSTITUTE(SUBSTITUTE(TRIM(M381),".",""),"/",""),"-","")," ",""),"(",""),")",""),"+",""),1)&lt;&gt;"0"),AND(LEN(SUBSTITUTE(SUBSTITUTE(SUBSTITUTE(SUBSTITUTE(SUBSTITUTE(SUBSTITUTE(SUBSTITUTE(TRIM(M381),".",""),"/",""),"-","")," ",""),"(",""),")",""),"+",""))=11,LEFT(SUBSTITUTE(SUBSTITUTE(SUBSTITUTE(SUBSTITUTE(SUBSTITUTE(SUBSTITUTE(SUBSTITUTE(TRIM(M381),".",""),"/",""),"-","")," ",""),"(",""),")",""),"+",""),4)="0800")),"OK",IF(AND(LEN(SUBSTITUTE(SUBSTITUTE(SUBSTITUTE(SUBSTITUTE(SUBSTITUTE(SUBSTITUTE(SUBSTITUTE(TRIM(M381),".",""),"/",""),"-","")," ",""),"(",""),")",""),"+",""))=11,MID(SUBSTITUTE(SUBSTITUTE(SUBSTITUTE(SUBSTITUTE(SUBSTITUTE(SUBSTITUTE(SUBSTITUTE(TRIM(M381),".",""),"/",""),"-","")," ",""),"(",""),")",""),"+",""),3,1)="9"),"ERRO: é celular, use a coluna Celular","ERRO: DDD + 8 dígitos ou 0800 + 7")))</f>
      </c>
      <c r="X381" s="6">
        <f>IF(N381="","vazio",IF(AND(LEN(SUBSTITUTE(SUBSTITUTE(SUBSTITUTE(SUBSTITUTE(SUBSTITUTE(SUBSTITUTE(SUBSTITUTE(TRIM(N381),".",""),"/",""),"-","")," ",""),"(",""),")",""),"+",""))=11,MID(SUBSTITUTE(SUBSTITUTE(SUBSTITUTE(SUBSTITUTE(SUBSTITUTE(SUBSTITUTE(SUBSTITUTE(TRIM(N381),".",""),"/",""),"-","")," ",""),"(",""),")",""),"+",""),3,1)="9",LEFT(SUBSTITUTE(SUBSTITUTE(SUBSTITUTE(SUBSTITUTE(SUBSTITUTE(SUBSTITUTE(SUBSTITUTE(TRIM(N381),".",""),"/",""),"-","")," ",""),"(",""),")",""),"+",""),1)&lt;&gt;"0"),"OK",IF(LEN(SUBSTITUTE(SUBSTITUTE(SUBSTITUTE(SUBSTITUTE(SUBSTITUTE(SUBSTITUTE(SUBSTITUTE(TRIM(N381),".",""),"/",""),"-","")," ",""),"(",""),")",""),"+",""))=10,"ERRO: é fixo (ou falta o 9), use a coluna Telefone fixo","ERRO: DDD + 9 + 8 dígitos")))</f>
      </c>
      <c r="Y381" s="6">
        <f>IF(O381="","vazio",IF(AND(ISNUMBER(FIND("@",O381)),ISNUMBER(FIND(".",MID(O381,FIND("@",O381),99))),NOT(ISNUMBER(FIND(" ",TRIM(O381)))),NOT(ISNUMBER(FIND(";",O381))),NOT(ISNUMBER(FIND(",",O381)))),"OK","ERRO: um e-mail válido por linha"))</f>
      </c>
      <c r="Z381" s="6">
        <f>IF(AND(J381="",K381=""),"",IF(AND(J381&lt;&gt;"",K381&lt;&gt;""),"OK","pendente: só um nome (o GR completa ao converter)"))</f>
      </c>
      <c r="AA381" s="6">
        <f>IF(COUNTA(A381:S381)=0,"",IF(AND(A381&lt;&gt;"",B381&lt;&gt;"",C381&lt;&gt;"",D381&lt;&gt;"",E381&lt;&gt;"",F381&lt;&gt;"",G381&lt;&gt;"",H381&lt;&gt;"",OR(J381&lt;&gt;"",K381&lt;&gt;""),OR(M381&lt;&gt;"",N381&lt;&gt;"",O381&lt;&gt;"")),"OK","ERRO: faltam "&amp;IF(A381="","SDR; ","")&amp;IF(B381="","Proprietário; ","")&amp;IF(C381="","Origem; ","")&amp;IF(D381="","Temperatura; ","")&amp;IF(E381="","Segmento; ","")&amp;IF(F381="","Time/Cluster; ","")&amp;IF(G381="","CNPJ; ","")&amp;IF(H381="","Razão Social; ","")&amp;IF(AND(J381="",K381=""),"nome do contato; ","")&amp;IF(AND(M381="",N381="",O381=""),"telefone, celular ou e-mail; ","")))</f>
      </c>
      <c r="AB381" s="6">
        <f>IF(COUNTA(A381:S381)=0,"",IF(AND(U381="OK",V381="OK",LEFT(W381,4)&lt;&gt;"ERRO",LEFT(X381,4)&lt;&gt;"ERRO",LEFT(Y381,4)&lt;&gt;"ERRO",AA381="OK"),"OK","REVISAR"))</f>
      </c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5"/>
      <c r="K382" s="4"/>
      <c r="L382" s="4"/>
      <c r="M382" s="4"/>
      <c r="N382" s="4"/>
      <c r="O382" s="4"/>
      <c r="P382" s="4"/>
      <c r="Q382" s="4"/>
      <c r="R382" s="4"/>
      <c r="S382" s="4"/>
      <c r="T382" s="6">
        <f>IF(G382="","",SUBSTITUTE(SUBSTITUTE(SUBSTITUTE(SUBSTITUTE(SUBSTITUTE(SUBSTITUTE(SUBSTITUTE(TRIM(G382),".",""),"/",""),"-","")," ",""),"(",""),")",""),"+",""))</f>
      </c>
      <c r="U382" s="6">
        <f>IF(T382="","",IF(LEN(T382)&lt;&gt;14,"ERRO: "&amp;LEN(T382)&amp;" dígitos",IF(NOT(ISNUMBER(VALUE(T382))),"ERRO: não numérico",IF(LEN(SUBSTITUTE(T382,LEFT(T382,1),""))=0,"ERRO: dígitos repetidos",IF(AND(VALUE(MID(T382,13,1))=IF(MOD(SUMPRODUCT(--MID(T382,{1,2,3,4,5,6,7,8,9,10,11,12},1),{5,4,3,2,9,8,7,6,5,4,3,2}),11)&lt;2,0,11-MOD(SUMPRODUCT(--MID(T382,{1,2,3,4,5,6,7,8,9,10,11,12},1),{5,4,3,2,9,8,7,6,5,4,3,2}),11)),VALUE(MID(T382,14,1))=IF(MOD(SUMPRODUCT(--MID(T382,{1,2,3,4,5,6,7,8,9,10,11,12,13},1),{6,5,4,3,2,9,8,7,6,5,4,3,2}),11)&lt;2,0,11-MOD(SUMPRODUCT(--MID(T382,{1,2,3,4,5,6,7,8,9,10,11,12,13},1),{6,5,4,3,2,9,8,7,6,5,4,3,2}),11))),"OK","ERRO: dígito verificador")))))</f>
      </c>
      <c r="V382" s="6">
        <f>IF(T382="","",IF(COUNTIF($T$2:$T$1001,T382)&gt;1,"DUPLICADO","OK"))</f>
      </c>
      <c r="W382" s="6">
        <f>IF(M382="","vazio",IF(OR(AND(LEN(SUBSTITUTE(SUBSTITUTE(SUBSTITUTE(SUBSTITUTE(SUBSTITUTE(SUBSTITUTE(SUBSTITUTE(TRIM(M382),".",""),"/",""),"-","")," ",""),"(",""),")",""),"+",""))=10,LEFT(SUBSTITUTE(SUBSTITUTE(SUBSTITUTE(SUBSTITUTE(SUBSTITUTE(SUBSTITUTE(SUBSTITUTE(TRIM(M382),".",""),"/",""),"-","")," ",""),"(",""),")",""),"+",""),1)&lt;&gt;"0"),AND(LEN(SUBSTITUTE(SUBSTITUTE(SUBSTITUTE(SUBSTITUTE(SUBSTITUTE(SUBSTITUTE(SUBSTITUTE(TRIM(M382),".",""),"/",""),"-","")," ",""),"(",""),")",""),"+",""))=11,LEFT(SUBSTITUTE(SUBSTITUTE(SUBSTITUTE(SUBSTITUTE(SUBSTITUTE(SUBSTITUTE(SUBSTITUTE(TRIM(M382),".",""),"/",""),"-","")," ",""),"(",""),")",""),"+",""),4)="0800")),"OK",IF(AND(LEN(SUBSTITUTE(SUBSTITUTE(SUBSTITUTE(SUBSTITUTE(SUBSTITUTE(SUBSTITUTE(SUBSTITUTE(TRIM(M382),".",""),"/",""),"-","")," ",""),"(",""),")",""),"+",""))=11,MID(SUBSTITUTE(SUBSTITUTE(SUBSTITUTE(SUBSTITUTE(SUBSTITUTE(SUBSTITUTE(SUBSTITUTE(TRIM(M382),".",""),"/",""),"-","")," ",""),"(",""),")",""),"+",""),3,1)="9"),"ERRO: é celular, use a coluna Celular","ERRO: DDD + 8 dígitos ou 0800 + 7")))</f>
      </c>
      <c r="X382" s="6">
        <f>IF(N382="","vazio",IF(AND(LEN(SUBSTITUTE(SUBSTITUTE(SUBSTITUTE(SUBSTITUTE(SUBSTITUTE(SUBSTITUTE(SUBSTITUTE(TRIM(N382),".",""),"/",""),"-","")," ",""),"(",""),")",""),"+",""))=11,MID(SUBSTITUTE(SUBSTITUTE(SUBSTITUTE(SUBSTITUTE(SUBSTITUTE(SUBSTITUTE(SUBSTITUTE(TRIM(N382),".",""),"/",""),"-","")," ",""),"(",""),")",""),"+",""),3,1)="9",LEFT(SUBSTITUTE(SUBSTITUTE(SUBSTITUTE(SUBSTITUTE(SUBSTITUTE(SUBSTITUTE(SUBSTITUTE(TRIM(N382),".",""),"/",""),"-","")," ",""),"(",""),")",""),"+",""),1)&lt;&gt;"0"),"OK",IF(LEN(SUBSTITUTE(SUBSTITUTE(SUBSTITUTE(SUBSTITUTE(SUBSTITUTE(SUBSTITUTE(SUBSTITUTE(TRIM(N382),".",""),"/",""),"-","")," ",""),"(",""),")",""),"+",""))=10,"ERRO: é fixo (ou falta o 9), use a coluna Telefone fixo","ERRO: DDD + 9 + 8 dígitos")))</f>
      </c>
      <c r="Y382" s="6">
        <f>IF(O382="","vazio",IF(AND(ISNUMBER(FIND("@",O382)),ISNUMBER(FIND(".",MID(O382,FIND("@",O382),99))),NOT(ISNUMBER(FIND(" ",TRIM(O382)))),NOT(ISNUMBER(FIND(";",O382))),NOT(ISNUMBER(FIND(",",O382)))),"OK","ERRO: um e-mail válido por linha"))</f>
      </c>
      <c r="Z382" s="6">
        <f>IF(AND(J382="",K382=""),"",IF(AND(J382&lt;&gt;"",K382&lt;&gt;""),"OK","pendente: só um nome (o GR completa ao converter)"))</f>
      </c>
      <c r="AA382" s="6">
        <f>IF(COUNTA(A382:S382)=0,"",IF(AND(A382&lt;&gt;"",B382&lt;&gt;"",C382&lt;&gt;"",D382&lt;&gt;"",E382&lt;&gt;"",F382&lt;&gt;"",G382&lt;&gt;"",H382&lt;&gt;"",OR(J382&lt;&gt;"",K382&lt;&gt;""),OR(M382&lt;&gt;"",N382&lt;&gt;"",O382&lt;&gt;"")),"OK","ERRO: faltam "&amp;IF(A382="","SDR; ","")&amp;IF(B382="","Proprietário; ","")&amp;IF(C382="","Origem; ","")&amp;IF(D382="","Temperatura; ","")&amp;IF(E382="","Segmento; ","")&amp;IF(F382="","Time/Cluster; ","")&amp;IF(G382="","CNPJ; ","")&amp;IF(H382="","Razão Social; ","")&amp;IF(AND(J382="",K382=""),"nome do contato; ","")&amp;IF(AND(M382="",N382="",O382=""),"telefone, celular ou e-mail; ","")))</f>
      </c>
      <c r="AB382" s="6">
        <f>IF(COUNTA(A382:S382)=0,"",IF(AND(U382="OK",V382="OK",LEFT(W382,4)&lt;&gt;"ERRO",LEFT(X382,4)&lt;&gt;"ERRO",LEFT(Y382,4)&lt;&gt;"ERRO",AA382="OK"),"OK","REVISAR"))</f>
      </c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5"/>
      <c r="K383" s="4"/>
      <c r="L383" s="4"/>
      <c r="M383" s="4"/>
      <c r="N383" s="4"/>
      <c r="O383" s="4"/>
      <c r="P383" s="4"/>
      <c r="Q383" s="4"/>
      <c r="R383" s="4"/>
      <c r="S383" s="4"/>
      <c r="T383" s="6">
        <f>IF(G383="","",SUBSTITUTE(SUBSTITUTE(SUBSTITUTE(SUBSTITUTE(SUBSTITUTE(SUBSTITUTE(SUBSTITUTE(TRIM(G383),".",""),"/",""),"-","")," ",""),"(",""),")",""),"+",""))</f>
      </c>
      <c r="U383" s="6">
        <f>IF(T383="","",IF(LEN(T383)&lt;&gt;14,"ERRO: "&amp;LEN(T383)&amp;" dígitos",IF(NOT(ISNUMBER(VALUE(T383))),"ERRO: não numérico",IF(LEN(SUBSTITUTE(T383,LEFT(T383,1),""))=0,"ERRO: dígitos repetidos",IF(AND(VALUE(MID(T383,13,1))=IF(MOD(SUMPRODUCT(--MID(T383,{1,2,3,4,5,6,7,8,9,10,11,12},1),{5,4,3,2,9,8,7,6,5,4,3,2}),11)&lt;2,0,11-MOD(SUMPRODUCT(--MID(T383,{1,2,3,4,5,6,7,8,9,10,11,12},1),{5,4,3,2,9,8,7,6,5,4,3,2}),11)),VALUE(MID(T383,14,1))=IF(MOD(SUMPRODUCT(--MID(T383,{1,2,3,4,5,6,7,8,9,10,11,12,13},1),{6,5,4,3,2,9,8,7,6,5,4,3,2}),11)&lt;2,0,11-MOD(SUMPRODUCT(--MID(T383,{1,2,3,4,5,6,7,8,9,10,11,12,13},1),{6,5,4,3,2,9,8,7,6,5,4,3,2}),11))),"OK","ERRO: dígito verificador")))))</f>
      </c>
      <c r="V383" s="6">
        <f>IF(T383="","",IF(COUNTIF($T$2:$T$1001,T383)&gt;1,"DUPLICADO","OK"))</f>
      </c>
      <c r="W383" s="6">
        <f>IF(M383="","vazio",IF(OR(AND(LEN(SUBSTITUTE(SUBSTITUTE(SUBSTITUTE(SUBSTITUTE(SUBSTITUTE(SUBSTITUTE(SUBSTITUTE(TRIM(M383),".",""),"/",""),"-","")," ",""),"(",""),")",""),"+",""))=10,LEFT(SUBSTITUTE(SUBSTITUTE(SUBSTITUTE(SUBSTITUTE(SUBSTITUTE(SUBSTITUTE(SUBSTITUTE(TRIM(M383),".",""),"/",""),"-","")," ",""),"(",""),")",""),"+",""),1)&lt;&gt;"0"),AND(LEN(SUBSTITUTE(SUBSTITUTE(SUBSTITUTE(SUBSTITUTE(SUBSTITUTE(SUBSTITUTE(SUBSTITUTE(TRIM(M383),".",""),"/",""),"-","")," ",""),"(",""),")",""),"+",""))=11,LEFT(SUBSTITUTE(SUBSTITUTE(SUBSTITUTE(SUBSTITUTE(SUBSTITUTE(SUBSTITUTE(SUBSTITUTE(TRIM(M383),".",""),"/",""),"-","")," ",""),"(",""),")",""),"+",""),4)="0800")),"OK",IF(AND(LEN(SUBSTITUTE(SUBSTITUTE(SUBSTITUTE(SUBSTITUTE(SUBSTITUTE(SUBSTITUTE(SUBSTITUTE(TRIM(M383),".",""),"/",""),"-","")," ",""),"(",""),")",""),"+",""))=11,MID(SUBSTITUTE(SUBSTITUTE(SUBSTITUTE(SUBSTITUTE(SUBSTITUTE(SUBSTITUTE(SUBSTITUTE(TRIM(M383),".",""),"/",""),"-","")," ",""),"(",""),")",""),"+",""),3,1)="9"),"ERRO: é celular, use a coluna Celular","ERRO: DDD + 8 dígitos ou 0800 + 7")))</f>
      </c>
      <c r="X383" s="6">
        <f>IF(N383="","vazio",IF(AND(LEN(SUBSTITUTE(SUBSTITUTE(SUBSTITUTE(SUBSTITUTE(SUBSTITUTE(SUBSTITUTE(SUBSTITUTE(TRIM(N383),".",""),"/",""),"-","")," ",""),"(",""),")",""),"+",""))=11,MID(SUBSTITUTE(SUBSTITUTE(SUBSTITUTE(SUBSTITUTE(SUBSTITUTE(SUBSTITUTE(SUBSTITUTE(TRIM(N383),".",""),"/",""),"-","")," ",""),"(",""),")",""),"+",""),3,1)="9",LEFT(SUBSTITUTE(SUBSTITUTE(SUBSTITUTE(SUBSTITUTE(SUBSTITUTE(SUBSTITUTE(SUBSTITUTE(TRIM(N383),".",""),"/",""),"-","")," ",""),"(",""),")",""),"+",""),1)&lt;&gt;"0"),"OK",IF(LEN(SUBSTITUTE(SUBSTITUTE(SUBSTITUTE(SUBSTITUTE(SUBSTITUTE(SUBSTITUTE(SUBSTITUTE(TRIM(N383),".",""),"/",""),"-","")," ",""),"(",""),")",""),"+",""))=10,"ERRO: é fixo (ou falta o 9), use a coluna Telefone fixo","ERRO: DDD + 9 + 8 dígitos")))</f>
      </c>
      <c r="Y383" s="6">
        <f>IF(O383="","vazio",IF(AND(ISNUMBER(FIND("@",O383)),ISNUMBER(FIND(".",MID(O383,FIND("@",O383),99))),NOT(ISNUMBER(FIND(" ",TRIM(O383)))),NOT(ISNUMBER(FIND(";",O383))),NOT(ISNUMBER(FIND(",",O383)))),"OK","ERRO: um e-mail válido por linha"))</f>
      </c>
      <c r="Z383" s="6">
        <f>IF(AND(J383="",K383=""),"",IF(AND(J383&lt;&gt;"",K383&lt;&gt;""),"OK","pendente: só um nome (o GR completa ao converter)"))</f>
      </c>
      <c r="AA383" s="6">
        <f>IF(COUNTA(A383:S383)=0,"",IF(AND(A383&lt;&gt;"",B383&lt;&gt;"",C383&lt;&gt;"",D383&lt;&gt;"",E383&lt;&gt;"",F383&lt;&gt;"",G383&lt;&gt;"",H383&lt;&gt;"",OR(J383&lt;&gt;"",K383&lt;&gt;""),OR(M383&lt;&gt;"",N383&lt;&gt;"",O383&lt;&gt;"")),"OK","ERRO: faltam "&amp;IF(A383="","SDR; ","")&amp;IF(B383="","Proprietário; ","")&amp;IF(C383="","Origem; ","")&amp;IF(D383="","Temperatura; ","")&amp;IF(E383="","Segmento; ","")&amp;IF(F383="","Time/Cluster; ","")&amp;IF(G383="","CNPJ; ","")&amp;IF(H383="","Razão Social; ","")&amp;IF(AND(J383="",K383=""),"nome do contato; ","")&amp;IF(AND(M383="",N383="",O383=""),"telefone, celular ou e-mail; ","")))</f>
      </c>
      <c r="AB383" s="6">
        <f>IF(COUNTA(A383:S383)=0,"",IF(AND(U383="OK",V383="OK",LEFT(W383,4)&lt;&gt;"ERRO",LEFT(X383,4)&lt;&gt;"ERRO",LEFT(Y383,4)&lt;&gt;"ERRO",AA383="OK"),"OK","REVISAR"))</f>
      </c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5"/>
      <c r="K384" s="4"/>
      <c r="L384" s="4"/>
      <c r="M384" s="4"/>
      <c r="N384" s="4"/>
      <c r="O384" s="4"/>
      <c r="P384" s="4"/>
      <c r="Q384" s="4"/>
      <c r="R384" s="4"/>
      <c r="S384" s="4"/>
      <c r="T384" s="6">
        <f>IF(G384="","",SUBSTITUTE(SUBSTITUTE(SUBSTITUTE(SUBSTITUTE(SUBSTITUTE(SUBSTITUTE(SUBSTITUTE(TRIM(G384),".",""),"/",""),"-","")," ",""),"(",""),")",""),"+",""))</f>
      </c>
      <c r="U384" s="6">
        <f>IF(T384="","",IF(LEN(T384)&lt;&gt;14,"ERRO: "&amp;LEN(T384)&amp;" dígitos",IF(NOT(ISNUMBER(VALUE(T384))),"ERRO: não numérico",IF(LEN(SUBSTITUTE(T384,LEFT(T384,1),""))=0,"ERRO: dígitos repetidos",IF(AND(VALUE(MID(T384,13,1))=IF(MOD(SUMPRODUCT(--MID(T384,{1,2,3,4,5,6,7,8,9,10,11,12},1),{5,4,3,2,9,8,7,6,5,4,3,2}),11)&lt;2,0,11-MOD(SUMPRODUCT(--MID(T384,{1,2,3,4,5,6,7,8,9,10,11,12},1),{5,4,3,2,9,8,7,6,5,4,3,2}),11)),VALUE(MID(T384,14,1))=IF(MOD(SUMPRODUCT(--MID(T384,{1,2,3,4,5,6,7,8,9,10,11,12,13},1),{6,5,4,3,2,9,8,7,6,5,4,3,2}),11)&lt;2,0,11-MOD(SUMPRODUCT(--MID(T384,{1,2,3,4,5,6,7,8,9,10,11,12,13},1),{6,5,4,3,2,9,8,7,6,5,4,3,2}),11))),"OK","ERRO: dígito verificador")))))</f>
      </c>
      <c r="V384" s="6">
        <f>IF(T384="","",IF(COUNTIF($T$2:$T$1001,T384)&gt;1,"DUPLICADO","OK"))</f>
      </c>
      <c r="W384" s="6">
        <f>IF(M384="","vazio",IF(OR(AND(LEN(SUBSTITUTE(SUBSTITUTE(SUBSTITUTE(SUBSTITUTE(SUBSTITUTE(SUBSTITUTE(SUBSTITUTE(TRIM(M384),".",""),"/",""),"-","")," ",""),"(",""),")",""),"+",""))=10,LEFT(SUBSTITUTE(SUBSTITUTE(SUBSTITUTE(SUBSTITUTE(SUBSTITUTE(SUBSTITUTE(SUBSTITUTE(TRIM(M384),".",""),"/",""),"-","")," ",""),"(",""),")",""),"+",""),1)&lt;&gt;"0"),AND(LEN(SUBSTITUTE(SUBSTITUTE(SUBSTITUTE(SUBSTITUTE(SUBSTITUTE(SUBSTITUTE(SUBSTITUTE(TRIM(M384),".",""),"/",""),"-","")," ",""),"(",""),")",""),"+",""))=11,LEFT(SUBSTITUTE(SUBSTITUTE(SUBSTITUTE(SUBSTITUTE(SUBSTITUTE(SUBSTITUTE(SUBSTITUTE(TRIM(M384),".",""),"/",""),"-","")," ",""),"(",""),")",""),"+",""),4)="0800")),"OK",IF(AND(LEN(SUBSTITUTE(SUBSTITUTE(SUBSTITUTE(SUBSTITUTE(SUBSTITUTE(SUBSTITUTE(SUBSTITUTE(TRIM(M384),".",""),"/",""),"-","")," ",""),"(",""),")",""),"+",""))=11,MID(SUBSTITUTE(SUBSTITUTE(SUBSTITUTE(SUBSTITUTE(SUBSTITUTE(SUBSTITUTE(SUBSTITUTE(TRIM(M384),".",""),"/",""),"-","")," ",""),"(",""),")",""),"+",""),3,1)="9"),"ERRO: é celular, use a coluna Celular","ERRO: DDD + 8 dígitos ou 0800 + 7")))</f>
      </c>
      <c r="X384" s="6">
        <f>IF(N384="","vazio",IF(AND(LEN(SUBSTITUTE(SUBSTITUTE(SUBSTITUTE(SUBSTITUTE(SUBSTITUTE(SUBSTITUTE(SUBSTITUTE(TRIM(N384),".",""),"/",""),"-","")," ",""),"(",""),")",""),"+",""))=11,MID(SUBSTITUTE(SUBSTITUTE(SUBSTITUTE(SUBSTITUTE(SUBSTITUTE(SUBSTITUTE(SUBSTITUTE(TRIM(N384),".",""),"/",""),"-","")," ",""),"(",""),")",""),"+",""),3,1)="9",LEFT(SUBSTITUTE(SUBSTITUTE(SUBSTITUTE(SUBSTITUTE(SUBSTITUTE(SUBSTITUTE(SUBSTITUTE(TRIM(N384),".",""),"/",""),"-","")," ",""),"(",""),")",""),"+",""),1)&lt;&gt;"0"),"OK",IF(LEN(SUBSTITUTE(SUBSTITUTE(SUBSTITUTE(SUBSTITUTE(SUBSTITUTE(SUBSTITUTE(SUBSTITUTE(TRIM(N384),".",""),"/",""),"-","")," ",""),"(",""),")",""),"+",""))=10,"ERRO: é fixo (ou falta o 9), use a coluna Telefone fixo","ERRO: DDD + 9 + 8 dígitos")))</f>
      </c>
      <c r="Y384" s="6">
        <f>IF(O384="","vazio",IF(AND(ISNUMBER(FIND("@",O384)),ISNUMBER(FIND(".",MID(O384,FIND("@",O384),99))),NOT(ISNUMBER(FIND(" ",TRIM(O384)))),NOT(ISNUMBER(FIND(";",O384))),NOT(ISNUMBER(FIND(",",O384)))),"OK","ERRO: um e-mail válido por linha"))</f>
      </c>
      <c r="Z384" s="6">
        <f>IF(AND(J384="",K384=""),"",IF(AND(J384&lt;&gt;"",K384&lt;&gt;""),"OK","pendente: só um nome (o GR completa ao converter)"))</f>
      </c>
      <c r="AA384" s="6">
        <f>IF(COUNTA(A384:S384)=0,"",IF(AND(A384&lt;&gt;"",B384&lt;&gt;"",C384&lt;&gt;"",D384&lt;&gt;"",E384&lt;&gt;"",F384&lt;&gt;"",G384&lt;&gt;"",H384&lt;&gt;"",OR(J384&lt;&gt;"",K384&lt;&gt;""),OR(M384&lt;&gt;"",N384&lt;&gt;"",O384&lt;&gt;"")),"OK","ERRO: faltam "&amp;IF(A384="","SDR; ","")&amp;IF(B384="","Proprietário; ","")&amp;IF(C384="","Origem; ","")&amp;IF(D384="","Temperatura; ","")&amp;IF(E384="","Segmento; ","")&amp;IF(F384="","Time/Cluster; ","")&amp;IF(G384="","CNPJ; ","")&amp;IF(H384="","Razão Social; ","")&amp;IF(AND(J384="",K384=""),"nome do contato; ","")&amp;IF(AND(M384="",N384="",O384=""),"telefone, celular ou e-mail; ","")))</f>
      </c>
      <c r="AB384" s="6">
        <f>IF(COUNTA(A384:S384)=0,"",IF(AND(U384="OK",V384="OK",LEFT(W384,4)&lt;&gt;"ERRO",LEFT(X384,4)&lt;&gt;"ERRO",LEFT(Y384,4)&lt;&gt;"ERRO",AA384="OK"),"OK","REVISAR"))</f>
      </c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5"/>
      <c r="K385" s="4"/>
      <c r="L385" s="4"/>
      <c r="M385" s="4"/>
      <c r="N385" s="4"/>
      <c r="O385" s="4"/>
      <c r="P385" s="4"/>
      <c r="Q385" s="4"/>
      <c r="R385" s="4"/>
      <c r="S385" s="4"/>
      <c r="T385" s="6">
        <f>IF(G385="","",SUBSTITUTE(SUBSTITUTE(SUBSTITUTE(SUBSTITUTE(SUBSTITUTE(SUBSTITUTE(SUBSTITUTE(TRIM(G385),".",""),"/",""),"-","")," ",""),"(",""),")",""),"+",""))</f>
      </c>
      <c r="U385" s="6">
        <f>IF(T385="","",IF(LEN(T385)&lt;&gt;14,"ERRO: "&amp;LEN(T385)&amp;" dígitos",IF(NOT(ISNUMBER(VALUE(T385))),"ERRO: não numérico",IF(LEN(SUBSTITUTE(T385,LEFT(T385,1),""))=0,"ERRO: dígitos repetidos",IF(AND(VALUE(MID(T385,13,1))=IF(MOD(SUMPRODUCT(--MID(T385,{1,2,3,4,5,6,7,8,9,10,11,12},1),{5,4,3,2,9,8,7,6,5,4,3,2}),11)&lt;2,0,11-MOD(SUMPRODUCT(--MID(T385,{1,2,3,4,5,6,7,8,9,10,11,12},1),{5,4,3,2,9,8,7,6,5,4,3,2}),11)),VALUE(MID(T385,14,1))=IF(MOD(SUMPRODUCT(--MID(T385,{1,2,3,4,5,6,7,8,9,10,11,12,13},1),{6,5,4,3,2,9,8,7,6,5,4,3,2}),11)&lt;2,0,11-MOD(SUMPRODUCT(--MID(T385,{1,2,3,4,5,6,7,8,9,10,11,12,13},1),{6,5,4,3,2,9,8,7,6,5,4,3,2}),11))),"OK","ERRO: dígito verificador")))))</f>
      </c>
      <c r="V385" s="6">
        <f>IF(T385="","",IF(COUNTIF($T$2:$T$1001,T385)&gt;1,"DUPLICADO","OK"))</f>
      </c>
      <c r="W385" s="6">
        <f>IF(M385="","vazio",IF(OR(AND(LEN(SUBSTITUTE(SUBSTITUTE(SUBSTITUTE(SUBSTITUTE(SUBSTITUTE(SUBSTITUTE(SUBSTITUTE(TRIM(M385),".",""),"/",""),"-","")," ",""),"(",""),")",""),"+",""))=10,LEFT(SUBSTITUTE(SUBSTITUTE(SUBSTITUTE(SUBSTITUTE(SUBSTITUTE(SUBSTITUTE(SUBSTITUTE(TRIM(M385),".",""),"/",""),"-","")," ",""),"(",""),")",""),"+",""),1)&lt;&gt;"0"),AND(LEN(SUBSTITUTE(SUBSTITUTE(SUBSTITUTE(SUBSTITUTE(SUBSTITUTE(SUBSTITUTE(SUBSTITUTE(TRIM(M385),".",""),"/",""),"-","")," ",""),"(",""),")",""),"+",""))=11,LEFT(SUBSTITUTE(SUBSTITUTE(SUBSTITUTE(SUBSTITUTE(SUBSTITUTE(SUBSTITUTE(SUBSTITUTE(TRIM(M385),".",""),"/",""),"-","")," ",""),"(",""),")",""),"+",""),4)="0800")),"OK",IF(AND(LEN(SUBSTITUTE(SUBSTITUTE(SUBSTITUTE(SUBSTITUTE(SUBSTITUTE(SUBSTITUTE(SUBSTITUTE(TRIM(M385),".",""),"/",""),"-","")," ",""),"(",""),")",""),"+",""))=11,MID(SUBSTITUTE(SUBSTITUTE(SUBSTITUTE(SUBSTITUTE(SUBSTITUTE(SUBSTITUTE(SUBSTITUTE(TRIM(M385),".",""),"/",""),"-","")," ",""),"(",""),")",""),"+",""),3,1)="9"),"ERRO: é celular, use a coluna Celular","ERRO: DDD + 8 dígitos ou 0800 + 7")))</f>
      </c>
      <c r="X385" s="6">
        <f>IF(N385="","vazio",IF(AND(LEN(SUBSTITUTE(SUBSTITUTE(SUBSTITUTE(SUBSTITUTE(SUBSTITUTE(SUBSTITUTE(SUBSTITUTE(TRIM(N385),".",""),"/",""),"-","")," ",""),"(",""),")",""),"+",""))=11,MID(SUBSTITUTE(SUBSTITUTE(SUBSTITUTE(SUBSTITUTE(SUBSTITUTE(SUBSTITUTE(SUBSTITUTE(TRIM(N385),".",""),"/",""),"-","")," ",""),"(",""),")",""),"+",""),3,1)="9",LEFT(SUBSTITUTE(SUBSTITUTE(SUBSTITUTE(SUBSTITUTE(SUBSTITUTE(SUBSTITUTE(SUBSTITUTE(TRIM(N385),".",""),"/",""),"-","")," ",""),"(",""),")",""),"+",""),1)&lt;&gt;"0"),"OK",IF(LEN(SUBSTITUTE(SUBSTITUTE(SUBSTITUTE(SUBSTITUTE(SUBSTITUTE(SUBSTITUTE(SUBSTITUTE(TRIM(N385),".",""),"/",""),"-","")," ",""),"(",""),")",""),"+",""))=10,"ERRO: é fixo (ou falta o 9), use a coluna Telefone fixo","ERRO: DDD + 9 + 8 dígitos")))</f>
      </c>
      <c r="Y385" s="6">
        <f>IF(O385="","vazio",IF(AND(ISNUMBER(FIND("@",O385)),ISNUMBER(FIND(".",MID(O385,FIND("@",O385),99))),NOT(ISNUMBER(FIND(" ",TRIM(O385)))),NOT(ISNUMBER(FIND(";",O385))),NOT(ISNUMBER(FIND(",",O385)))),"OK","ERRO: um e-mail válido por linha"))</f>
      </c>
      <c r="Z385" s="6">
        <f>IF(AND(J385="",K385=""),"",IF(AND(J385&lt;&gt;"",K385&lt;&gt;""),"OK","pendente: só um nome (o GR completa ao converter)"))</f>
      </c>
      <c r="AA385" s="6">
        <f>IF(COUNTA(A385:S385)=0,"",IF(AND(A385&lt;&gt;"",B385&lt;&gt;"",C385&lt;&gt;"",D385&lt;&gt;"",E385&lt;&gt;"",F385&lt;&gt;"",G385&lt;&gt;"",H385&lt;&gt;"",OR(J385&lt;&gt;"",K385&lt;&gt;""),OR(M385&lt;&gt;"",N385&lt;&gt;"",O385&lt;&gt;"")),"OK","ERRO: faltam "&amp;IF(A385="","SDR; ","")&amp;IF(B385="","Proprietário; ","")&amp;IF(C385="","Origem; ","")&amp;IF(D385="","Temperatura; ","")&amp;IF(E385="","Segmento; ","")&amp;IF(F385="","Time/Cluster; ","")&amp;IF(G385="","CNPJ; ","")&amp;IF(H385="","Razão Social; ","")&amp;IF(AND(J385="",K385=""),"nome do contato; ","")&amp;IF(AND(M385="",N385="",O385=""),"telefone, celular ou e-mail; ","")))</f>
      </c>
      <c r="AB385" s="6">
        <f>IF(COUNTA(A385:S385)=0,"",IF(AND(U385="OK",V385="OK",LEFT(W385,4)&lt;&gt;"ERRO",LEFT(X385,4)&lt;&gt;"ERRO",LEFT(Y385,4)&lt;&gt;"ERRO",AA385="OK"),"OK","REVISAR"))</f>
      </c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5"/>
      <c r="K386" s="4"/>
      <c r="L386" s="4"/>
      <c r="M386" s="4"/>
      <c r="N386" s="4"/>
      <c r="O386" s="4"/>
      <c r="P386" s="4"/>
      <c r="Q386" s="4"/>
      <c r="R386" s="4"/>
      <c r="S386" s="4"/>
      <c r="T386" s="6">
        <f>IF(G386="","",SUBSTITUTE(SUBSTITUTE(SUBSTITUTE(SUBSTITUTE(SUBSTITUTE(SUBSTITUTE(SUBSTITUTE(TRIM(G386),".",""),"/",""),"-","")," ",""),"(",""),")",""),"+",""))</f>
      </c>
      <c r="U386" s="6">
        <f>IF(T386="","",IF(LEN(T386)&lt;&gt;14,"ERRO: "&amp;LEN(T386)&amp;" dígitos",IF(NOT(ISNUMBER(VALUE(T386))),"ERRO: não numérico",IF(LEN(SUBSTITUTE(T386,LEFT(T386,1),""))=0,"ERRO: dígitos repetidos",IF(AND(VALUE(MID(T386,13,1))=IF(MOD(SUMPRODUCT(--MID(T386,{1,2,3,4,5,6,7,8,9,10,11,12},1),{5,4,3,2,9,8,7,6,5,4,3,2}),11)&lt;2,0,11-MOD(SUMPRODUCT(--MID(T386,{1,2,3,4,5,6,7,8,9,10,11,12},1),{5,4,3,2,9,8,7,6,5,4,3,2}),11)),VALUE(MID(T386,14,1))=IF(MOD(SUMPRODUCT(--MID(T386,{1,2,3,4,5,6,7,8,9,10,11,12,13},1),{6,5,4,3,2,9,8,7,6,5,4,3,2}),11)&lt;2,0,11-MOD(SUMPRODUCT(--MID(T386,{1,2,3,4,5,6,7,8,9,10,11,12,13},1),{6,5,4,3,2,9,8,7,6,5,4,3,2}),11))),"OK","ERRO: dígito verificador")))))</f>
      </c>
      <c r="V386" s="6">
        <f>IF(T386="","",IF(COUNTIF($T$2:$T$1001,T386)&gt;1,"DUPLICADO","OK"))</f>
      </c>
      <c r="W386" s="6">
        <f>IF(M386="","vazio",IF(OR(AND(LEN(SUBSTITUTE(SUBSTITUTE(SUBSTITUTE(SUBSTITUTE(SUBSTITUTE(SUBSTITUTE(SUBSTITUTE(TRIM(M386),".",""),"/",""),"-","")," ",""),"(",""),")",""),"+",""))=10,LEFT(SUBSTITUTE(SUBSTITUTE(SUBSTITUTE(SUBSTITUTE(SUBSTITUTE(SUBSTITUTE(SUBSTITUTE(TRIM(M386),".",""),"/",""),"-","")," ",""),"(",""),")",""),"+",""),1)&lt;&gt;"0"),AND(LEN(SUBSTITUTE(SUBSTITUTE(SUBSTITUTE(SUBSTITUTE(SUBSTITUTE(SUBSTITUTE(SUBSTITUTE(TRIM(M386),".",""),"/",""),"-","")," ",""),"(",""),")",""),"+",""))=11,LEFT(SUBSTITUTE(SUBSTITUTE(SUBSTITUTE(SUBSTITUTE(SUBSTITUTE(SUBSTITUTE(SUBSTITUTE(TRIM(M386),".",""),"/",""),"-","")," ",""),"(",""),")",""),"+",""),4)="0800")),"OK",IF(AND(LEN(SUBSTITUTE(SUBSTITUTE(SUBSTITUTE(SUBSTITUTE(SUBSTITUTE(SUBSTITUTE(SUBSTITUTE(TRIM(M386),".",""),"/",""),"-","")," ",""),"(",""),")",""),"+",""))=11,MID(SUBSTITUTE(SUBSTITUTE(SUBSTITUTE(SUBSTITUTE(SUBSTITUTE(SUBSTITUTE(SUBSTITUTE(TRIM(M386),".",""),"/",""),"-","")," ",""),"(",""),")",""),"+",""),3,1)="9"),"ERRO: é celular, use a coluna Celular","ERRO: DDD + 8 dígitos ou 0800 + 7")))</f>
      </c>
      <c r="X386" s="6">
        <f>IF(N386="","vazio",IF(AND(LEN(SUBSTITUTE(SUBSTITUTE(SUBSTITUTE(SUBSTITUTE(SUBSTITUTE(SUBSTITUTE(SUBSTITUTE(TRIM(N386),".",""),"/",""),"-","")," ",""),"(",""),")",""),"+",""))=11,MID(SUBSTITUTE(SUBSTITUTE(SUBSTITUTE(SUBSTITUTE(SUBSTITUTE(SUBSTITUTE(SUBSTITUTE(TRIM(N386),".",""),"/",""),"-","")," ",""),"(",""),")",""),"+",""),3,1)="9",LEFT(SUBSTITUTE(SUBSTITUTE(SUBSTITUTE(SUBSTITUTE(SUBSTITUTE(SUBSTITUTE(SUBSTITUTE(TRIM(N386),".",""),"/",""),"-","")," ",""),"(",""),")",""),"+",""),1)&lt;&gt;"0"),"OK",IF(LEN(SUBSTITUTE(SUBSTITUTE(SUBSTITUTE(SUBSTITUTE(SUBSTITUTE(SUBSTITUTE(SUBSTITUTE(TRIM(N386),".",""),"/",""),"-","")," ",""),"(",""),")",""),"+",""))=10,"ERRO: é fixo (ou falta o 9), use a coluna Telefone fixo","ERRO: DDD + 9 + 8 dígitos")))</f>
      </c>
      <c r="Y386" s="6">
        <f>IF(O386="","vazio",IF(AND(ISNUMBER(FIND("@",O386)),ISNUMBER(FIND(".",MID(O386,FIND("@",O386),99))),NOT(ISNUMBER(FIND(" ",TRIM(O386)))),NOT(ISNUMBER(FIND(";",O386))),NOT(ISNUMBER(FIND(",",O386)))),"OK","ERRO: um e-mail válido por linha"))</f>
      </c>
      <c r="Z386" s="6">
        <f>IF(AND(J386="",K386=""),"",IF(AND(J386&lt;&gt;"",K386&lt;&gt;""),"OK","pendente: só um nome (o GR completa ao converter)"))</f>
      </c>
      <c r="AA386" s="6">
        <f>IF(COUNTA(A386:S386)=0,"",IF(AND(A386&lt;&gt;"",B386&lt;&gt;"",C386&lt;&gt;"",D386&lt;&gt;"",E386&lt;&gt;"",F386&lt;&gt;"",G386&lt;&gt;"",H386&lt;&gt;"",OR(J386&lt;&gt;"",K386&lt;&gt;""),OR(M386&lt;&gt;"",N386&lt;&gt;"",O386&lt;&gt;"")),"OK","ERRO: faltam "&amp;IF(A386="","SDR; ","")&amp;IF(B386="","Proprietário; ","")&amp;IF(C386="","Origem; ","")&amp;IF(D386="","Temperatura; ","")&amp;IF(E386="","Segmento; ","")&amp;IF(F386="","Time/Cluster; ","")&amp;IF(G386="","CNPJ; ","")&amp;IF(H386="","Razão Social; ","")&amp;IF(AND(J386="",K386=""),"nome do contato; ","")&amp;IF(AND(M386="",N386="",O386=""),"telefone, celular ou e-mail; ","")))</f>
      </c>
      <c r="AB386" s="6">
        <f>IF(COUNTA(A386:S386)=0,"",IF(AND(U386="OK",V386="OK",LEFT(W386,4)&lt;&gt;"ERRO",LEFT(X386,4)&lt;&gt;"ERRO",LEFT(Y386,4)&lt;&gt;"ERRO",AA386="OK"),"OK","REVISAR"))</f>
      </c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5"/>
      <c r="K387" s="4"/>
      <c r="L387" s="4"/>
      <c r="M387" s="4"/>
      <c r="N387" s="4"/>
      <c r="O387" s="4"/>
      <c r="P387" s="4"/>
      <c r="Q387" s="4"/>
      <c r="R387" s="4"/>
      <c r="S387" s="4"/>
      <c r="T387" s="6">
        <f>IF(G387="","",SUBSTITUTE(SUBSTITUTE(SUBSTITUTE(SUBSTITUTE(SUBSTITUTE(SUBSTITUTE(SUBSTITUTE(TRIM(G387),".",""),"/",""),"-","")," ",""),"(",""),")",""),"+",""))</f>
      </c>
      <c r="U387" s="6">
        <f>IF(T387="","",IF(LEN(T387)&lt;&gt;14,"ERRO: "&amp;LEN(T387)&amp;" dígitos",IF(NOT(ISNUMBER(VALUE(T387))),"ERRO: não numérico",IF(LEN(SUBSTITUTE(T387,LEFT(T387,1),""))=0,"ERRO: dígitos repetidos",IF(AND(VALUE(MID(T387,13,1))=IF(MOD(SUMPRODUCT(--MID(T387,{1,2,3,4,5,6,7,8,9,10,11,12},1),{5,4,3,2,9,8,7,6,5,4,3,2}),11)&lt;2,0,11-MOD(SUMPRODUCT(--MID(T387,{1,2,3,4,5,6,7,8,9,10,11,12},1),{5,4,3,2,9,8,7,6,5,4,3,2}),11)),VALUE(MID(T387,14,1))=IF(MOD(SUMPRODUCT(--MID(T387,{1,2,3,4,5,6,7,8,9,10,11,12,13},1),{6,5,4,3,2,9,8,7,6,5,4,3,2}),11)&lt;2,0,11-MOD(SUMPRODUCT(--MID(T387,{1,2,3,4,5,6,7,8,9,10,11,12,13},1),{6,5,4,3,2,9,8,7,6,5,4,3,2}),11))),"OK","ERRO: dígito verificador")))))</f>
      </c>
      <c r="V387" s="6">
        <f>IF(T387="","",IF(COUNTIF($T$2:$T$1001,T387)&gt;1,"DUPLICADO","OK"))</f>
      </c>
      <c r="W387" s="6">
        <f>IF(M387="","vazio",IF(OR(AND(LEN(SUBSTITUTE(SUBSTITUTE(SUBSTITUTE(SUBSTITUTE(SUBSTITUTE(SUBSTITUTE(SUBSTITUTE(TRIM(M387),".",""),"/",""),"-","")," ",""),"(",""),")",""),"+",""))=10,LEFT(SUBSTITUTE(SUBSTITUTE(SUBSTITUTE(SUBSTITUTE(SUBSTITUTE(SUBSTITUTE(SUBSTITUTE(TRIM(M387),".",""),"/",""),"-","")," ",""),"(",""),")",""),"+",""),1)&lt;&gt;"0"),AND(LEN(SUBSTITUTE(SUBSTITUTE(SUBSTITUTE(SUBSTITUTE(SUBSTITUTE(SUBSTITUTE(SUBSTITUTE(TRIM(M387),".",""),"/",""),"-","")," ",""),"(",""),")",""),"+",""))=11,LEFT(SUBSTITUTE(SUBSTITUTE(SUBSTITUTE(SUBSTITUTE(SUBSTITUTE(SUBSTITUTE(SUBSTITUTE(TRIM(M387),".",""),"/",""),"-","")," ",""),"(",""),")",""),"+",""),4)="0800")),"OK",IF(AND(LEN(SUBSTITUTE(SUBSTITUTE(SUBSTITUTE(SUBSTITUTE(SUBSTITUTE(SUBSTITUTE(SUBSTITUTE(TRIM(M387),".",""),"/",""),"-","")," ",""),"(",""),")",""),"+",""))=11,MID(SUBSTITUTE(SUBSTITUTE(SUBSTITUTE(SUBSTITUTE(SUBSTITUTE(SUBSTITUTE(SUBSTITUTE(TRIM(M387),".",""),"/",""),"-","")," ",""),"(",""),")",""),"+",""),3,1)="9"),"ERRO: é celular, use a coluna Celular","ERRO: DDD + 8 dígitos ou 0800 + 7")))</f>
      </c>
      <c r="X387" s="6">
        <f>IF(N387="","vazio",IF(AND(LEN(SUBSTITUTE(SUBSTITUTE(SUBSTITUTE(SUBSTITUTE(SUBSTITUTE(SUBSTITUTE(SUBSTITUTE(TRIM(N387),".",""),"/",""),"-","")," ",""),"(",""),")",""),"+",""))=11,MID(SUBSTITUTE(SUBSTITUTE(SUBSTITUTE(SUBSTITUTE(SUBSTITUTE(SUBSTITUTE(SUBSTITUTE(TRIM(N387),".",""),"/",""),"-","")," ",""),"(",""),")",""),"+",""),3,1)="9",LEFT(SUBSTITUTE(SUBSTITUTE(SUBSTITUTE(SUBSTITUTE(SUBSTITUTE(SUBSTITUTE(SUBSTITUTE(TRIM(N387),".",""),"/",""),"-","")," ",""),"(",""),")",""),"+",""),1)&lt;&gt;"0"),"OK",IF(LEN(SUBSTITUTE(SUBSTITUTE(SUBSTITUTE(SUBSTITUTE(SUBSTITUTE(SUBSTITUTE(SUBSTITUTE(TRIM(N387),".",""),"/",""),"-","")," ",""),"(",""),")",""),"+",""))=10,"ERRO: é fixo (ou falta o 9), use a coluna Telefone fixo","ERRO: DDD + 9 + 8 dígitos")))</f>
      </c>
      <c r="Y387" s="6">
        <f>IF(O387="","vazio",IF(AND(ISNUMBER(FIND("@",O387)),ISNUMBER(FIND(".",MID(O387,FIND("@",O387),99))),NOT(ISNUMBER(FIND(" ",TRIM(O387)))),NOT(ISNUMBER(FIND(";",O387))),NOT(ISNUMBER(FIND(",",O387)))),"OK","ERRO: um e-mail válido por linha"))</f>
      </c>
      <c r="Z387" s="6">
        <f>IF(AND(J387="",K387=""),"",IF(AND(J387&lt;&gt;"",K387&lt;&gt;""),"OK","pendente: só um nome (o GR completa ao converter)"))</f>
      </c>
      <c r="AA387" s="6">
        <f>IF(COUNTA(A387:S387)=0,"",IF(AND(A387&lt;&gt;"",B387&lt;&gt;"",C387&lt;&gt;"",D387&lt;&gt;"",E387&lt;&gt;"",F387&lt;&gt;"",G387&lt;&gt;"",H387&lt;&gt;"",OR(J387&lt;&gt;"",K387&lt;&gt;""),OR(M387&lt;&gt;"",N387&lt;&gt;"",O387&lt;&gt;"")),"OK","ERRO: faltam "&amp;IF(A387="","SDR; ","")&amp;IF(B387="","Proprietário; ","")&amp;IF(C387="","Origem; ","")&amp;IF(D387="","Temperatura; ","")&amp;IF(E387="","Segmento; ","")&amp;IF(F387="","Time/Cluster; ","")&amp;IF(G387="","CNPJ; ","")&amp;IF(H387="","Razão Social; ","")&amp;IF(AND(J387="",K387=""),"nome do contato; ","")&amp;IF(AND(M387="",N387="",O387=""),"telefone, celular ou e-mail; ","")))</f>
      </c>
      <c r="AB387" s="6">
        <f>IF(COUNTA(A387:S387)=0,"",IF(AND(U387="OK",V387="OK",LEFT(W387,4)&lt;&gt;"ERRO",LEFT(X387,4)&lt;&gt;"ERRO",LEFT(Y387,4)&lt;&gt;"ERRO",AA387="OK"),"OK","REVISAR"))</f>
      </c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5"/>
      <c r="K388" s="4"/>
      <c r="L388" s="4"/>
      <c r="M388" s="4"/>
      <c r="N388" s="4"/>
      <c r="O388" s="4"/>
      <c r="P388" s="4"/>
      <c r="Q388" s="4"/>
      <c r="R388" s="4"/>
      <c r="S388" s="4"/>
      <c r="T388" s="6">
        <f>IF(G388="","",SUBSTITUTE(SUBSTITUTE(SUBSTITUTE(SUBSTITUTE(SUBSTITUTE(SUBSTITUTE(SUBSTITUTE(TRIM(G388),".",""),"/",""),"-","")," ",""),"(",""),")",""),"+",""))</f>
      </c>
      <c r="U388" s="6">
        <f>IF(T388="","",IF(LEN(T388)&lt;&gt;14,"ERRO: "&amp;LEN(T388)&amp;" dígitos",IF(NOT(ISNUMBER(VALUE(T388))),"ERRO: não numérico",IF(LEN(SUBSTITUTE(T388,LEFT(T388,1),""))=0,"ERRO: dígitos repetidos",IF(AND(VALUE(MID(T388,13,1))=IF(MOD(SUMPRODUCT(--MID(T388,{1,2,3,4,5,6,7,8,9,10,11,12},1),{5,4,3,2,9,8,7,6,5,4,3,2}),11)&lt;2,0,11-MOD(SUMPRODUCT(--MID(T388,{1,2,3,4,5,6,7,8,9,10,11,12},1),{5,4,3,2,9,8,7,6,5,4,3,2}),11)),VALUE(MID(T388,14,1))=IF(MOD(SUMPRODUCT(--MID(T388,{1,2,3,4,5,6,7,8,9,10,11,12,13},1),{6,5,4,3,2,9,8,7,6,5,4,3,2}),11)&lt;2,0,11-MOD(SUMPRODUCT(--MID(T388,{1,2,3,4,5,6,7,8,9,10,11,12,13},1),{6,5,4,3,2,9,8,7,6,5,4,3,2}),11))),"OK","ERRO: dígito verificador")))))</f>
      </c>
      <c r="V388" s="6">
        <f>IF(T388="","",IF(COUNTIF($T$2:$T$1001,T388)&gt;1,"DUPLICADO","OK"))</f>
      </c>
      <c r="W388" s="6">
        <f>IF(M388="","vazio",IF(OR(AND(LEN(SUBSTITUTE(SUBSTITUTE(SUBSTITUTE(SUBSTITUTE(SUBSTITUTE(SUBSTITUTE(SUBSTITUTE(TRIM(M388),".",""),"/",""),"-","")," ",""),"(",""),")",""),"+",""))=10,LEFT(SUBSTITUTE(SUBSTITUTE(SUBSTITUTE(SUBSTITUTE(SUBSTITUTE(SUBSTITUTE(SUBSTITUTE(TRIM(M388),".",""),"/",""),"-","")," ",""),"(",""),")",""),"+",""),1)&lt;&gt;"0"),AND(LEN(SUBSTITUTE(SUBSTITUTE(SUBSTITUTE(SUBSTITUTE(SUBSTITUTE(SUBSTITUTE(SUBSTITUTE(TRIM(M388),".",""),"/",""),"-","")," ",""),"(",""),")",""),"+",""))=11,LEFT(SUBSTITUTE(SUBSTITUTE(SUBSTITUTE(SUBSTITUTE(SUBSTITUTE(SUBSTITUTE(SUBSTITUTE(TRIM(M388),".",""),"/",""),"-","")," ",""),"(",""),")",""),"+",""),4)="0800")),"OK",IF(AND(LEN(SUBSTITUTE(SUBSTITUTE(SUBSTITUTE(SUBSTITUTE(SUBSTITUTE(SUBSTITUTE(SUBSTITUTE(TRIM(M388),".",""),"/",""),"-","")," ",""),"(",""),")",""),"+",""))=11,MID(SUBSTITUTE(SUBSTITUTE(SUBSTITUTE(SUBSTITUTE(SUBSTITUTE(SUBSTITUTE(SUBSTITUTE(TRIM(M388),".",""),"/",""),"-","")," ",""),"(",""),")",""),"+",""),3,1)="9"),"ERRO: é celular, use a coluna Celular","ERRO: DDD + 8 dígitos ou 0800 + 7")))</f>
      </c>
      <c r="X388" s="6">
        <f>IF(N388="","vazio",IF(AND(LEN(SUBSTITUTE(SUBSTITUTE(SUBSTITUTE(SUBSTITUTE(SUBSTITUTE(SUBSTITUTE(SUBSTITUTE(TRIM(N388),".",""),"/",""),"-","")," ",""),"(",""),")",""),"+",""))=11,MID(SUBSTITUTE(SUBSTITUTE(SUBSTITUTE(SUBSTITUTE(SUBSTITUTE(SUBSTITUTE(SUBSTITUTE(TRIM(N388),".",""),"/",""),"-","")," ",""),"(",""),")",""),"+",""),3,1)="9",LEFT(SUBSTITUTE(SUBSTITUTE(SUBSTITUTE(SUBSTITUTE(SUBSTITUTE(SUBSTITUTE(SUBSTITUTE(TRIM(N388),".",""),"/",""),"-","")," ",""),"(",""),")",""),"+",""),1)&lt;&gt;"0"),"OK",IF(LEN(SUBSTITUTE(SUBSTITUTE(SUBSTITUTE(SUBSTITUTE(SUBSTITUTE(SUBSTITUTE(SUBSTITUTE(TRIM(N388),".",""),"/",""),"-","")," ",""),"(",""),")",""),"+",""))=10,"ERRO: é fixo (ou falta o 9), use a coluna Telefone fixo","ERRO: DDD + 9 + 8 dígitos")))</f>
      </c>
      <c r="Y388" s="6">
        <f>IF(O388="","vazio",IF(AND(ISNUMBER(FIND("@",O388)),ISNUMBER(FIND(".",MID(O388,FIND("@",O388),99))),NOT(ISNUMBER(FIND(" ",TRIM(O388)))),NOT(ISNUMBER(FIND(";",O388))),NOT(ISNUMBER(FIND(",",O388)))),"OK","ERRO: um e-mail válido por linha"))</f>
      </c>
      <c r="Z388" s="6">
        <f>IF(AND(J388="",K388=""),"",IF(AND(J388&lt;&gt;"",K388&lt;&gt;""),"OK","pendente: só um nome (o GR completa ao converter)"))</f>
      </c>
      <c r="AA388" s="6">
        <f>IF(COUNTA(A388:S388)=0,"",IF(AND(A388&lt;&gt;"",B388&lt;&gt;"",C388&lt;&gt;"",D388&lt;&gt;"",E388&lt;&gt;"",F388&lt;&gt;"",G388&lt;&gt;"",H388&lt;&gt;"",OR(J388&lt;&gt;"",K388&lt;&gt;""),OR(M388&lt;&gt;"",N388&lt;&gt;"",O388&lt;&gt;"")),"OK","ERRO: faltam "&amp;IF(A388="","SDR; ","")&amp;IF(B388="","Proprietário; ","")&amp;IF(C388="","Origem; ","")&amp;IF(D388="","Temperatura; ","")&amp;IF(E388="","Segmento; ","")&amp;IF(F388="","Time/Cluster; ","")&amp;IF(G388="","CNPJ; ","")&amp;IF(H388="","Razão Social; ","")&amp;IF(AND(J388="",K388=""),"nome do contato; ","")&amp;IF(AND(M388="",N388="",O388=""),"telefone, celular ou e-mail; ","")))</f>
      </c>
      <c r="AB388" s="6">
        <f>IF(COUNTA(A388:S388)=0,"",IF(AND(U388="OK",V388="OK",LEFT(W388,4)&lt;&gt;"ERRO",LEFT(X388,4)&lt;&gt;"ERRO",LEFT(Y388,4)&lt;&gt;"ERRO",AA388="OK"),"OK","REVISAR"))</f>
      </c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5"/>
      <c r="K389" s="4"/>
      <c r="L389" s="4"/>
      <c r="M389" s="4"/>
      <c r="N389" s="4"/>
      <c r="O389" s="4"/>
      <c r="P389" s="4"/>
      <c r="Q389" s="4"/>
      <c r="R389" s="4"/>
      <c r="S389" s="4"/>
      <c r="T389" s="6">
        <f>IF(G389="","",SUBSTITUTE(SUBSTITUTE(SUBSTITUTE(SUBSTITUTE(SUBSTITUTE(SUBSTITUTE(SUBSTITUTE(TRIM(G389),".",""),"/",""),"-","")," ",""),"(",""),")",""),"+",""))</f>
      </c>
      <c r="U389" s="6">
        <f>IF(T389="","",IF(LEN(T389)&lt;&gt;14,"ERRO: "&amp;LEN(T389)&amp;" dígitos",IF(NOT(ISNUMBER(VALUE(T389))),"ERRO: não numérico",IF(LEN(SUBSTITUTE(T389,LEFT(T389,1),""))=0,"ERRO: dígitos repetidos",IF(AND(VALUE(MID(T389,13,1))=IF(MOD(SUMPRODUCT(--MID(T389,{1,2,3,4,5,6,7,8,9,10,11,12},1),{5,4,3,2,9,8,7,6,5,4,3,2}),11)&lt;2,0,11-MOD(SUMPRODUCT(--MID(T389,{1,2,3,4,5,6,7,8,9,10,11,12},1),{5,4,3,2,9,8,7,6,5,4,3,2}),11)),VALUE(MID(T389,14,1))=IF(MOD(SUMPRODUCT(--MID(T389,{1,2,3,4,5,6,7,8,9,10,11,12,13},1),{6,5,4,3,2,9,8,7,6,5,4,3,2}),11)&lt;2,0,11-MOD(SUMPRODUCT(--MID(T389,{1,2,3,4,5,6,7,8,9,10,11,12,13},1),{6,5,4,3,2,9,8,7,6,5,4,3,2}),11))),"OK","ERRO: dígito verificador")))))</f>
      </c>
      <c r="V389" s="6">
        <f>IF(T389="","",IF(COUNTIF($T$2:$T$1001,T389)&gt;1,"DUPLICADO","OK"))</f>
      </c>
      <c r="W389" s="6">
        <f>IF(M389="","vazio",IF(OR(AND(LEN(SUBSTITUTE(SUBSTITUTE(SUBSTITUTE(SUBSTITUTE(SUBSTITUTE(SUBSTITUTE(SUBSTITUTE(TRIM(M389),".",""),"/",""),"-","")," ",""),"(",""),")",""),"+",""))=10,LEFT(SUBSTITUTE(SUBSTITUTE(SUBSTITUTE(SUBSTITUTE(SUBSTITUTE(SUBSTITUTE(SUBSTITUTE(TRIM(M389),".",""),"/",""),"-","")," ",""),"(",""),")",""),"+",""),1)&lt;&gt;"0"),AND(LEN(SUBSTITUTE(SUBSTITUTE(SUBSTITUTE(SUBSTITUTE(SUBSTITUTE(SUBSTITUTE(SUBSTITUTE(TRIM(M389),".",""),"/",""),"-","")," ",""),"(",""),")",""),"+",""))=11,LEFT(SUBSTITUTE(SUBSTITUTE(SUBSTITUTE(SUBSTITUTE(SUBSTITUTE(SUBSTITUTE(SUBSTITUTE(TRIM(M389),".",""),"/",""),"-","")," ",""),"(",""),")",""),"+",""),4)="0800")),"OK",IF(AND(LEN(SUBSTITUTE(SUBSTITUTE(SUBSTITUTE(SUBSTITUTE(SUBSTITUTE(SUBSTITUTE(SUBSTITUTE(TRIM(M389),".",""),"/",""),"-","")," ",""),"(",""),")",""),"+",""))=11,MID(SUBSTITUTE(SUBSTITUTE(SUBSTITUTE(SUBSTITUTE(SUBSTITUTE(SUBSTITUTE(SUBSTITUTE(TRIM(M389),".",""),"/",""),"-","")," ",""),"(",""),")",""),"+",""),3,1)="9"),"ERRO: é celular, use a coluna Celular","ERRO: DDD + 8 dígitos ou 0800 + 7")))</f>
      </c>
      <c r="X389" s="6">
        <f>IF(N389="","vazio",IF(AND(LEN(SUBSTITUTE(SUBSTITUTE(SUBSTITUTE(SUBSTITUTE(SUBSTITUTE(SUBSTITUTE(SUBSTITUTE(TRIM(N389),".",""),"/",""),"-","")," ",""),"(",""),")",""),"+",""))=11,MID(SUBSTITUTE(SUBSTITUTE(SUBSTITUTE(SUBSTITUTE(SUBSTITUTE(SUBSTITUTE(SUBSTITUTE(TRIM(N389),".",""),"/",""),"-","")," ",""),"(",""),")",""),"+",""),3,1)="9",LEFT(SUBSTITUTE(SUBSTITUTE(SUBSTITUTE(SUBSTITUTE(SUBSTITUTE(SUBSTITUTE(SUBSTITUTE(TRIM(N389),".",""),"/",""),"-","")," ",""),"(",""),")",""),"+",""),1)&lt;&gt;"0"),"OK",IF(LEN(SUBSTITUTE(SUBSTITUTE(SUBSTITUTE(SUBSTITUTE(SUBSTITUTE(SUBSTITUTE(SUBSTITUTE(TRIM(N389),".",""),"/",""),"-","")," ",""),"(",""),")",""),"+",""))=10,"ERRO: é fixo (ou falta o 9), use a coluna Telefone fixo","ERRO: DDD + 9 + 8 dígitos")))</f>
      </c>
      <c r="Y389" s="6">
        <f>IF(O389="","vazio",IF(AND(ISNUMBER(FIND("@",O389)),ISNUMBER(FIND(".",MID(O389,FIND("@",O389),99))),NOT(ISNUMBER(FIND(" ",TRIM(O389)))),NOT(ISNUMBER(FIND(";",O389))),NOT(ISNUMBER(FIND(",",O389)))),"OK","ERRO: um e-mail válido por linha"))</f>
      </c>
      <c r="Z389" s="6">
        <f>IF(AND(J389="",K389=""),"",IF(AND(J389&lt;&gt;"",K389&lt;&gt;""),"OK","pendente: só um nome (o GR completa ao converter)"))</f>
      </c>
      <c r="AA389" s="6">
        <f>IF(COUNTA(A389:S389)=0,"",IF(AND(A389&lt;&gt;"",B389&lt;&gt;"",C389&lt;&gt;"",D389&lt;&gt;"",E389&lt;&gt;"",F389&lt;&gt;"",G389&lt;&gt;"",H389&lt;&gt;"",OR(J389&lt;&gt;"",K389&lt;&gt;""),OR(M389&lt;&gt;"",N389&lt;&gt;"",O389&lt;&gt;"")),"OK","ERRO: faltam "&amp;IF(A389="","SDR; ","")&amp;IF(B389="","Proprietário; ","")&amp;IF(C389="","Origem; ","")&amp;IF(D389="","Temperatura; ","")&amp;IF(E389="","Segmento; ","")&amp;IF(F389="","Time/Cluster; ","")&amp;IF(G389="","CNPJ; ","")&amp;IF(H389="","Razão Social; ","")&amp;IF(AND(J389="",K389=""),"nome do contato; ","")&amp;IF(AND(M389="",N389="",O389=""),"telefone, celular ou e-mail; ","")))</f>
      </c>
      <c r="AB389" s="6">
        <f>IF(COUNTA(A389:S389)=0,"",IF(AND(U389="OK",V389="OK",LEFT(W389,4)&lt;&gt;"ERRO",LEFT(X389,4)&lt;&gt;"ERRO",LEFT(Y389,4)&lt;&gt;"ERRO",AA389="OK"),"OK","REVISAR"))</f>
      </c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5"/>
      <c r="K390" s="4"/>
      <c r="L390" s="4"/>
      <c r="M390" s="4"/>
      <c r="N390" s="4"/>
      <c r="O390" s="4"/>
      <c r="P390" s="4"/>
      <c r="Q390" s="4"/>
      <c r="R390" s="4"/>
      <c r="S390" s="4"/>
      <c r="T390" s="6">
        <f>IF(G390="","",SUBSTITUTE(SUBSTITUTE(SUBSTITUTE(SUBSTITUTE(SUBSTITUTE(SUBSTITUTE(SUBSTITUTE(TRIM(G390),".",""),"/",""),"-","")," ",""),"(",""),")",""),"+",""))</f>
      </c>
      <c r="U390" s="6">
        <f>IF(T390="","",IF(LEN(T390)&lt;&gt;14,"ERRO: "&amp;LEN(T390)&amp;" dígitos",IF(NOT(ISNUMBER(VALUE(T390))),"ERRO: não numérico",IF(LEN(SUBSTITUTE(T390,LEFT(T390,1),""))=0,"ERRO: dígitos repetidos",IF(AND(VALUE(MID(T390,13,1))=IF(MOD(SUMPRODUCT(--MID(T390,{1,2,3,4,5,6,7,8,9,10,11,12},1),{5,4,3,2,9,8,7,6,5,4,3,2}),11)&lt;2,0,11-MOD(SUMPRODUCT(--MID(T390,{1,2,3,4,5,6,7,8,9,10,11,12},1),{5,4,3,2,9,8,7,6,5,4,3,2}),11)),VALUE(MID(T390,14,1))=IF(MOD(SUMPRODUCT(--MID(T390,{1,2,3,4,5,6,7,8,9,10,11,12,13},1),{6,5,4,3,2,9,8,7,6,5,4,3,2}),11)&lt;2,0,11-MOD(SUMPRODUCT(--MID(T390,{1,2,3,4,5,6,7,8,9,10,11,12,13},1),{6,5,4,3,2,9,8,7,6,5,4,3,2}),11))),"OK","ERRO: dígito verificador")))))</f>
      </c>
      <c r="V390" s="6">
        <f>IF(T390="","",IF(COUNTIF($T$2:$T$1001,T390)&gt;1,"DUPLICADO","OK"))</f>
      </c>
      <c r="W390" s="6">
        <f>IF(M390="","vazio",IF(OR(AND(LEN(SUBSTITUTE(SUBSTITUTE(SUBSTITUTE(SUBSTITUTE(SUBSTITUTE(SUBSTITUTE(SUBSTITUTE(TRIM(M390),".",""),"/",""),"-","")," ",""),"(",""),")",""),"+",""))=10,LEFT(SUBSTITUTE(SUBSTITUTE(SUBSTITUTE(SUBSTITUTE(SUBSTITUTE(SUBSTITUTE(SUBSTITUTE(TRIM(M390),".",""),"/",""),"-","")," ",""),"(",""),")",""),"+",""),1)&lt;&gt;"0"),AND(LEN(SUBSTITUTE(SUBSTITUTE(SUBSTITUTE(SUBSTITUTE(SUBSTITUTE(SUBSTITUTE(SUBSTITUTE(TRIM(M390),".",""),"/",""),"-","")," ",""),"(",""),")",""),"+",""))=11,LEFT(SUBSTITUTE(SUBSTITUTE(SUBSTITUTE(SUBSTITUTE(SUBSTITUTE(SUBSTITUTE(SUBSTITUTE(TRIM(M390),".",""),"/",""),"-","")," ",""),"(",""),")",""),"+",""),4)="0800")),"OK",IF(AND(LEN(SUBSTITUTE(SUBSTITUTE(SUBSTITUTE(SUBSTITUTE(SUBSTITUTE(SUBSTITUTE(SUBSTITUTE(TRIM(M390),".",""),"/",""),"-","")," ",""),"(",""),")",""),"+",""))=11,MID(SUBSTITUTE(SUBSTITUTE(SUBSTITUTE(SUBSTITUTE(SUBSTITUTE(SUBSTITUTE(SUBSTITUTE(TRIM(M390),".",""),"/",""),"-","")," ",""),"(",""),")",""),"+",""),3,1)="9"),"ERRO: é celular, use a coluna Celular","ERRO: DDD + 8 dígitos ou 0800 + 7")))</f>
      </c>
      <c r="X390" s="6">
        <f>IF(N390="","vazio",IF(AND(LEN(SUBSTITUTE(SUBSTITUTE(SUBSTITUTE(SUBSTITUTE(SUBSTITUTE(SUBSTITUTE(SUBSTITUTE(TRIM(N390),".",""),"/",""),"-","")," ",""),"(",""),")",""),"+",""))=11,MID(SUBSTITUTE(SUBSTITUTE(SUBSTITUTE(SUBSTITUTE(SUBSTITUTE(SUBSTITUTE(SUBSTITUTE(TRIM(N390),".",""),"/",""),"-","")," ",""),"(",""),")",""),"+",""),3,1)="9",LEFT(SUBSTITUTE(SUBSTITUTE(SUBSTITUTE(SUBSTITUTE(SUBSTITUTE(SUBSTITUTE(SUBSTITUTE(TRIM(N390),".",""),"/",""),"-","")," ",""),"(",""),")",""),"+",""),1)&lt;&gt;"0"),"OK",IF(LEN(SUBSTITUTE(SUBSTITUTE(SUBSTITUTE(SUBSTITUTE(SUBSTITUTE(SUBSTITUTE(SUBSTITUTE(TRIM(N390),".",""),"/",""),"-","")," ",""),"(",""),")",""),"+",""))=10,"ERRO: é fixo (ou falta o 9), use a coluna Telefone fixo","ERRO: DDD + 9 + 8 dígitos")))</f>
      </c>
      <c r="Y390" s="6">
        <f>IF(O390="","vazio",IF(AND(ISNUMBER(FIND("@",O390)),ISNUMBER(FIND(".",MID(O390,FIND("@",O390),99))),NOT(ISNUMBER(FIND(" ",TRIM(O390)))),NOT(ISNUMBER(FIND(";",O390))),NOT(ISNUMBER(FIND(",",O390)))),"OK","ERRO: um e-mail válido por linha"))</f>
      </c>
      <c r="Z390" s="6">
        <f>IF(AND(J390="",K390=""),"",IF(AND(J390&lt;&gt;"",K390&lt;&gt;""),"OK","pendente: só um nome (o GR completa ao converter)"))</f>
      </c>
      <c r="AA390" s="6">
        <f>IF(COUNTA(A390:S390)=0,"",IF(AND(A390&lt;&gt;"",B390&lt;&gt;"",C390&lt;&gt;"",D390&lt;&gt;"",E390&lt;&gt;"",F390&lt;&gt;"",G390&lt;&gt;"",H390&lt;&gt;"",OR(J390&lt;&gt;"",K390&lt;&gt;""),OR(M390&lt;&gt;"",N390&lt;&gt;"",O390&lt;&gt;"")),"OK","ERRO: faltam "&amp;IF(A390="","SDR; ","")&amp;IF(B390="","Proprietário; ","")&amp;IF(C390="","Origem; ","")&amp;IF(D390="","Temperatura; ","")&amp;IF(E390="","Segmento; ","")&amp;IF(F390="","Time/Cluster; ","")&amp;IF(G390="","CNPJ; ","")&amp;IF(H390="","Razão Social; ","")&amp;IF(AND(J390="",K390=""),"nome do contato; ","")&amp;IF(AND(M390="",N390="",O390=""),"telefone, celular ou e-mail; ","")))</f>
      </c>
      <c r="AB390" s="6">
        <f>IF(COUNTA(A390:S390)=0,"",IF(AND(U390="OK",V390="OK",LEFT(W390,4)&lt;&gt;"ERRO",LEFT(X390,4)&lt;&gt;"ERRO",LEFT(Y390,4)&lt;&gt;"ERRO",AA390="OK"),"OK","REVISAR"))</f>
      </c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5"/>
      <c r="K391" s="4"/>
      <c r="L391" s="4"/>
      <c r="M391" s="4"/>
      <c r="N391" s="4"/>
      <c r="O391" s="4"/>
      <c r="P391" s="4"/>
      <c r="Q391" s="4"/>
      <c r="R391" s="4"/>
      <c r="S391" s="4"/>
      <c r="T391" s="6">
        <f>IF(G391="","",SUBSTITUTE(SUBSTITUTE(SUBSTITUTE(SUBSTITUTE(SUBSTITUTE(SUBSTITUTE(SUBSTITUTE(TRIM(G391),".",""),"/",""),"-","")," ",""),"(",""),")",""),"+",""))</f>
      </c>
      <c r="U391" s="6">
        <f>IF(T391="","",IF(LEN(T391)&lt;&gt;14,"ERRO: "&amp;LEN(T391)&amp;" dígitos",IF(NOT(ISNUMBER(VALUE(T391))),"ERRO: não numérico",IF(LEN(SUBSTITUTE(T391,LEFT(T391,1),""))=0,"ERRO: dígitos repetidos",IF(AND(VALUE(MID(T391,13,1))=IF(MOD(SUMPRODUCT(--MID(T391,{1,2,3,4,5,6,7,8,9,10,11,12},1),{5,4,3,2,9,8,7,6,5,4,3,2}),11)&lt;2,0,11-MOD(SUMPRODUCT(--MID(T391,{1,2,3,4,5,6,7,8,9,10,11,12},1),{5,4,3,2,9,8,7,6,5,4,3,2}),11)),VALUE(MID(T391,14,1))=IF(MOD(SUMPRODUCT(--MID(T391,{1,2,3,4,5,6,7,8,9,10,11,12,13},1),{6,5,4,3,2,9,8,7,6,5,4,3,2}),11)&lt;2,0,11-MOD(SUMPRODUCT(--MID(T391,{1,2,3,4,5,6,7,8,9,10,11,12,13},1),{6,5,4,3,2,9,8,7,6,5,4,3,2}),11))),"OK","ERRO: dígito verificador")))))</f>
      </c>
      <c r="V391" s="6">
        <f>IF(T391="","",IF(COUNTIF($T$2:$T$1001,T391)&gt;1,"DUPLICADO","OK"))</f>
      </c>
      <c r="W391" s="6">
        <f>IF(M391="","vazio",IF(OR(AND(LEN(SUBSTITUTE(SUBSTITUTE(SUBSTITUTE(SUBSTITUTE(SUBSTITUTE(SUBSTITUTE(SUBSTITUTE(TRIM(M391),".",""),"/",""),"-","")," ",""),"(",""),")",""),"+",""))=10,LEFT(SUBSTITUTE(SUBSTITUTE(SUBSTITUTE(SUBSTITUTE(SUBSTITUTE(SUBSTITUTE(SUBSTITUTE(TRIM(M391),".",""),"/",""),"-","")," ",""),"(",""),")",""),"+",""),1)&lt;&gt;"0"),AND(LEN(SUBSTITUTE(SUBSTITUTE(SUBSTITUTE(SUBSTITUTE(SUBSTITUTE(SUBSTITUTE(SUBSTITUTE(TRIM(M391),".",""),"/",""),"-","")," ",""),"(",""),")",""),"+",""))=11,LEFT(SUBSTITUTE(SUBSTITUTE(SUBSTITUTE(SUBSTITUTE(SUBSTITUTE(SUBSTITUTE(SUBSTITUTE(TRIM(M391),".",""),"/",""),"-","")," ",""),"(",""),")",""),"+",""),4)="0800")),"OK",IF(AND(LEN(SUBSTITUTE(SUBSTITUTE(SUBSTITUTE(SUBSTITUTE(SUBSTITUTE(SUBSTITUTE(SUBSTITUTE(TRIM(M391),".",""),"/",""),"-","")," ",""),"(",""),")",""),"+",""))=11,MID(SUBSTITUTE(SUBSTITUTE(SUBSTITUTE(SUBSTITUTE(SUBSTITUTE(SUBSTITUTE(SUBSTITUTE(TRIM(M391),".",""),"/",""),"-","")," ",""),"(",""),")",""),"+",""),3,1)="9"),"ERRO: é celular, use a coluna Celular","ERRO: DDD + 8 dígitos ou 0800 + 7")))</f>
      </c>
      <c r="X391" s="6">
        <f>IF(N391="","vazio",IF(AND(LEN(SUBSTITUTE(SUBSTITUTE(SUBSTITUTE(SUBSTITUTE(SUBSTITUTE(SUBSTITUTE(SUBSTITUTE(TRIM(N391),".",""),"/",""),"-","")," ",""),"(",""),")",""),"+",""))=11,MID(SUBSTITUTE(SUBSTITUTE(SUBSTITUTE(SUBSTITUTE(SUBSTITUTE(SUBSTITUTE(SUBSTITUTE(TRIM(N391),".",""),"/",""),"-","")," ",""),"(",""),")",""),"+",""),3,1)="9",LEFT(SUBSTITUTE(SUBSTITUTE(SUBSTITUTE(SUBSTITUTE(SUBSTITUTE(SUBSTITUTE(SUBSTITUTE(TRIM(N391),".",""),"/",""),"-","")," ",""),"(",""),")",""),"+",""),1)&lt;&gt;"0"),"OK",IF(LEN(SUBSTITUTE(SUBSTITUTE(SUBSTITUTE(SUBSTITUTE(SUBSTITUTE(SUBSTITUTE(SUBSTITUTE(TRIM(N391),".",""),"/",""),"-","")," ",""),"(",""),")",""),"+",""))=10,"ERRO: é fixo (ou falta o 9), use a coluna Telefone fixo","ERRO: DDD + 9 + 8 dígitos")))</f>
      </c>
      <c r="Y391" s="6">
        <f>IF(O391="","vazio",IF(AND(ISNUMBER(FIND("@",O391)),ISNUMBER(FIND(".",MID(O391,FIND("@",O391),99))),NOT(ISNUMBER(FIND(" ",TRIM(O391)))),NOT(ISNUMBER(FIND(";",O391))),NOT(ISNUMBER(FIND(",",O391)))),"OK","ERRO: um e-mail válido por linha"))</f>
      </c>
      <c r="Z391" s="6">
        <f>IF(AND(J391="",K391=""),"",IF(AND(J391&lt;&gt;"",K391&lt;&gt;""),"OK","pendente: só um nome (o GR completa ao converter)"))</f>
      </c>
      <c r="AA391" s="6">
        <f>IF(COUNTA(A391:S391)=0,"",IF(AND(A391&lt;&gt;"",B391&lt;&gt;"",C391&lt;&gt;"",D391&lt;&gt;"",E391&lt;&gt;"",F391&lt;&gt;"",G391&lt;&gt;"",H391&lt;&gt;"",OR(J391&lt;&gt;"",K391&lt;&gt;""),OR(M391&lt;&gt;"",N391&lt;&gt;"",O391&lt;&gt;"")),"OK","ERRO: faltam "&amp;IF(A391="","SDR; ","")&amp;IF(B391="","Proprietário; ","")&amp;IF(C391="","Origem; ","")&amp;IF(D391="","Temperatura; ","")&amp;IF(E391="","Segmento; ","")&amp;IF(F391="","Time/Cluster; ","")&amp;IF(G391="","CNPJ; ","")&amp;IF(H391="","Razão Social; ","")&amp;IF(AND(J391="",K391=""),"nome do contato; ","")&amp;IF(AND(M391="",N391="",O391=""),"telefone, celular ou e-mail; ","")))</f>
      </c>
      <c r="AB391" s="6">
        <f>IF(COUNTA(A391:S391)=0,"",IF(AND(U391="OK",V391="OK",LEFT(W391,4)&lt;&gt;"ERRO",LEFT(X391,4)&lt;&gt;"ERRO",LEFT(Y391,4)&lt;&gt;"ERRO",AA391="OK"),"OK","REVISAR"))</f>
      </c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5"/>
      <c r="K392" s="4"/>
      <c r="L392" s="4"/>
      <c r="M392" s="4"/>
      <c r="N392" s="4"/>
      <c r="O392" s="4"/>
      <c r="P392" s="4"/>
      <c r="Q392" s="4"/>
      <c r="R392" s="4"/>
      <c r="S392" s="4"/>
      <c r="T392" s="6">
        <f>IF(G392="","",SUBSTITUTE(SUBSTITUTE(SUBSTITUTE(SUBSTITUTE(SUBSTITUTE(SUBSTITUTE(SUBSTITUTE(TRIM(G392),".",""),"/",""),"-","")," ",""),"(",""),")",""),"+",""))</f>
      </c>
      <c r="U392" s="6">
        <f>IF(T392="","",IF(LEN(T392)&lt;&gt;14,"ERRO: "&amp;LEN(T392)&amp;" dígitos",IF(NOT(ISNUMBER(VALUE(T392))),"ERRO: não numérico",IF(LEN(SUBSTITUTE(T392,LEFT(T392,1),""))=0,"ERRO: dígitos repetidos",IF(AND(VALUE(MID(T392,13,1))=IF(MOD(SUMPRODUCT(--MID(T392,{1,2,3,4,5,6,7,8,9,10,11,12},1),{5,4,3,2,9,8,7,6,5,4,3,2}),11)&lt;2,0,11-MOD(SUMPRODUCT(--MID(T392,{1,2,3,4,5,6,7,8,9,10,11,12},1),{5,4,3,2,9,8,7,6,5,4,3,2}),11)),VALUE(MID(T392,14,1))=IF(MOD(SUMPRODUCT(--MID(T392,{1,2,3,4,5,6,7,8,9,10,11,12,13},1),{6,5,4,3,2,9,8,7,6,5,4,3,2}),11)&lt;2,0,11-MOD(SUMPRODUCT(--MID(T392,{1,2,3,4,5,6,7,8,9,10,11,12,13},1),{6,5,4,3,2,9,8,7,6,5,4,3,2}),11))),"OK","ERRO: dígito verificador")))))</f>
      </c>
      <c r="V392" s="6">
        <f>IF(T392="","",IF(COUNTIF($T$2:$T$1001,T392)&gt;1,"DUPLICADO","OK"))</f>
      </c>
      <c r="W392" s="6">
        <f>IF(M392="","vazio",IF(OR(AND(LEN(SUBSTITUTE(SUBSTITUTE(SUBSTITUTE(SUBSTITUTE(SUBSTITUTE(SUBSTITUTE(SUBSTITUTE(TRIM(M392),".",""),"/",""),"-","")," ",""),"(",""),")",""),"+",""))=10,LEFT(SUBSTITUTE(SUBSTITUTE(SUBSTITUTE(SUBSTITUTE(SUBSTITUTE(SUBSTITUTE(SUBSTITUTE(TRIM(M392),".",""),"/",""),"-","")," ",""),"(",""),")",""),"+",""),1)&lt;&gt;"0"),AND(LEN(SUBSTITUTE(SUBSTITUTE(SUBSTITUTE(SUBSTITUTE(SUBSTITUTE(SUBSTITUTE(SUBSTITUTE(TRIM(M392),".",""),"/",""),"-","")," ",""),"(",""),")",""),"+",""))=11,LEFT(SUBSTITUTE(SUBSTITUTE(SUBSTITUTE(SUBSTITUTE(SUBSTITUTE(SUBSTITUTE(SUBSTITUTE(TRIM(M392),".",""),"/",""),"-","")," ",""),"(",""),")",""),"+",""),4)="0800")),"OK",IF(AND(LEN(SUBSTITUTE(SUBSTITUTE(SUBSTITUTE(SUBSTITUTE(SUBSTITUTE(SUBSTITUTE(SUBSTITUTE(TRIM(M392),".",""),"/",""),"-","")," ",""),"(",""),")",""),"+",""))=11,MID(SUBSTITUTE(SUBSTITUTE(SUBSTITUTE(SUBSTITUTE(SUBSTITUTE(SUBSTITUTE(SUBSTITUTE(TRIM(M392),".",""),"/",""),"-","")," ",""),"(",""),")",""),"+",""),3,1)="9"),"ERRO: é celular, use a coluna Celular","ERRO: DDD + 8 dígitos ou 0800 + 7")))</f>
      </c>
      <c r="X392" s="6">
        <f>IF(N392="","vazio",IF(AND(LEN(SUBSTITUTE(SUBSTITUTE(SUBSTITUTE(SUBSTITUTE(SUBSTITUTE(SUBSTITUTE(SUBSTITUTE(TRIM(N392),".",""),"/",""),"-","")," ",""),"(",""),")",""),"+",""))=11,MID(SUBSTITUTE(SUBSTITUTE(SUBSTITUTE(SUBSTITUTE(SUBSTITUTE(SUBSTITUTE(SUBSTITUTE(TRIM(N392),".",""),"/",""),"-","")," ",""),"(",""),")",""),"+",""),3,1)="9",LEFT(SUBSTITUTE(SUBSTITUTE(SUBSTITUTE(SUBSTITUTE(SUBSTITUTE(SUBSTITUTE(SUBSTITUTE(TRIM(N392),".",""),"/",""),"-","")," ",""),"(",""),")",""),"+",""),1)&lt;&gt;"0"),"OK",IF(LEN(SUBSTITUTE(SUBSTITUTE(SUBSTITUTE(SUBSTITUTE(SUBSTITUTE(SUBSTITUTE(SUBSTITUTE(TRIM(N392),".",""),"/",""),"-","")," ",""),"(",""),")",""),"+",""))=10,"ERRO: é fixo (ou falta o 9), use a coluna Telefone fixo","ERRO: DDD + 9 + 8 dígitos")))</f>
      </c>
      <c r="Y392" s="6">
        <f>IF(O392="","vazio",IF(AND(ISNUMBER(FIND("@",O392)),ISNUMBER(FIND(".",MID(O392,FIND("@",O392),99))),NOT(ISNUMBER(FIND(" ",TRIM(O392)))),NOT(ISNUMBER(FIND(";",O392))),NOT(ISNUMBER(FIND(",",O392)))),"OK","ERRO: um e-mail válido por linha"))</f>
      </c>
      <c r="Z392" s="6">
        <f>IF(AND(J392="",K392=""),"",IF(AND(J392&lt;&gt;"",K392&lt;&gt;""),"OK","pendente: só um nome (o GR completa ao converter)"))</f>
      </c>
      <c r="AA392" s="6">
        <f>IF(COUNTA(A392:S392)=0,"",IF(AND(A392&lt;&gt;"",B392&lt;&gt;"",C392&lt;&gt;"",D392&lt;&gt;"",E392&lt;&gt;"",F392&lt;&gt;"",G392&lt;&gt;"",H392&lt;&gt;"",OR(J392&lt;&gt;"",K392&lt;&gt;""),OR(M392&lt;&gt;"",N392&lt;&gt;"",O392&lt;&gt;"")),"OK","ERRO: faltam "&amp;IF(A392="","SDR; ","")&amp;IF(B392="","Proprietário; ","")&amp;IF(C392="","Origem; ","")&amp;IF(D392="","Temperatura; ","")&amp;IF(E392="","Segmento; ","")&amp;IF(F392="","Time/Cluster; ","")&amp;IF(G392="","CNPJ; ","")&amp;IF(H392="","Razão Social; ","")&amp;IF(AND(J392="",K392=""),"nome do contato; ","")&amp;IF(AND(M392="",N392="",O392=""),"telefone, celular ou e-mail; ","")))</f>
      </c>
      <c r="AB392" s="6">
        <f>IF(COUNTA(A392:S392)=0,"",IF(AND(U392="OK",V392="OK",LEFT(W392,4)&lt;&gt;"ERRO",LEFT(X392,4)&lt;&gt;"ERRO",LEFT(Y392,4)&lt;&gt;"ERRO",AA392="OK"),"OK","REVISAR"))</f>
      </c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5"/>
      <c r="K393" s="4"/>
      <c r="L393" s="4"/>
      <c r="M393" s="4"/>
      <c r="N393" s="4"/>
      <c r="O393" s="4"/>
      <c r="P393" s="4"/>
      <c r="Q393" s="4"/>
      <c r="R393" s="4"/>
      <c r="S393" s="4"/>
      <c r="T393" s="6">
        <f>IF(G393="","",SUBSTITUTE(SUBSTITUTE(SUBSTITUTE(SUBSTITUTE(SUBSTITUTE(SUBSTITUTE(SUBSTITUTE(TRIM(G393),".",""),"/",""),"-","")," ",""),"(",""),")",""),"+",""))</f>
      </c>
      <c r="U393" s="6">
        <f>IF(T393="","",IF(LEN(T393)&lt;&gt;14,"ERRO: "&amp;LEN(T393)&amp;" dígitos",IF(NOT(ISNUMBER(VALUE(T393))),"ERRO: não numérico",IF(LEN(SUBSTITUTE(T393,LEFT(T393,1),""))=0,"ERRO: dígitos repetidos",IF(AND(VALUE(MID(T393,13,1))=IF(MOD(SUMPRODUCT(--MID(T393,{1,2,3,4,5,6,7,8,9,10,11,12},1),{5,4,3,2,9,8,7,6,5,4,3,2}),11)&lt;2,0,11-MOD(SUMPRODUCT(--MID(T393,{1,2,3,4,5,6,7,8,9,10,11,12},1),{5,4,3,2,9,8,7,6,5,4,3,2}),11)),VALUE(MID(T393,14,1))=IF(MOD(SUMPRODUCT(--MID(T393,{1,2,3,4,5,6,7,8,9,10,11,12,13},1),{6,5,4,3,2,9,8,7,6,5,4,3,2}),11)&lt;2,0,11-MOD(SUMPRODUCT(--MID(T393,{1,2,3,4,5,6,7,8,9,10,11,12,13},1),{6,5,4,3,2,9,8,7,6,5,4,3,2}),11))),"OK","ERRO: dígito verificador")))))</f>
      </c>
      <c r="V393" s="6">
        <f>IF(T393="","",IF(COUNTIF($T$2:$T$1001,T393)&gt;1,"DUPLICADO","OK"))</f>
      </c>
      <c r="W393" s="6">
        <f>IF(M393="","vazio",IF(OR(AND(LEN(SUBSTITUTE(SUBSTITUTE(SUBSTITUTE(SUBSTITUTE(SUBSTITUTE(SUBSTITUTE(SUBSTITUTE(TRIM(M393),".",""),"/",""),"-","")," ",""),"(",""),")",""),"+",""))=10,LEFT(SUBSTITUTE(SUBSTITUTE(SUBSTITUTE(SUBSTITUTE(SUBSTITUTE(SUBSTITUTE(SUBSTITUTE(TRIM(M393),".",""),"/",""),"-","")," ",""),"(",""),")",""),"+",""),1)&lt;&gt;"0"),AND(LEN(SUBSTITUTE(SUBSTITUTE(SUBSTITUTE(SUBSTITUTE(SUBSTITUTE(SUBSTITUTE(SUBSTITUTE(TRIM(M393),".",""),"/",""),"-","")," ",""),"(",""),")",""),"+",""))=11,LEFT(SUBSTITUTE(SUBSTITUTE(SUBSTITUTE(SUBSTITUTE(SUBSTITUTE(SUBSTITUTE(SUBSTITUTE(TRIM(M393),".",""),"/",""),"-","")," ",""),"(",""),")",""),"+",""),4)="0800")),"OK",IF(AND(LEN(SUBSTITUTE(SUBSTITUTE(SUBSTITUTE(SUBSTITUTE(SUBSTITUTE(SUBSTITUTE(SUBSTITUTE(TRIM(M393),".",""),"/",""),"-","")," ",""),"(",""),")",""),"+",""))=11,MID(SUBSTITUTE(SUBSTITUTE(SUBSTITUTE(SUBSTITUTE(SUBSTITUTE(SUBSTITUTE(SUBSTITUTE(TRIM(M393),".",""),"/",""),"-","")," ",""),"(",""),")",""),"+",""),3,1)="9"),"ERRO: é celular, use a coluna Celular","ERRO: DDD + 8 dígitos ou 0800 + 7")))</f>
      </c>
      <c r="X393" s="6">
        <f>IF(N393="","vazio",IF(AND(LEN(SUBSTITUTE(SUBSTITUTE(SUBSTITUTE(SUBSTITUTE(SUBSTITUTE(SUBSTITUTE(SUBSTITUTE(TRIM(N393),".",""),"/",""),"-","")," ",""),"(",""),")",""),"+",""))=11,MID(SUBSTITUTE(SUBSTITUTE(SUBSTITUTE(SUBSTITUTE(SUBSTITUTE(SUBSTITUTE(SUBSTITUTE(TRIM(N393),".",""),"/",""),"-","")," ",""),"(",""),")",""),"+",""),3,1)="9",LEFT(SUBSTITUTE(SUBSTITUTE(SUBSTITUTE(SUBSTITUTE(SUBSTITUTE(SUBSTITUTE(SUBSTITUTE(TRIM(N393),".",""),"/",""),"-","")," ",""),"(",""),")",""),"+",""),1)&lt;&gt;"0"),"OK",IF(LEN(SUBSTITUTE(SUBSTITUTE(SUBSTITUTE(SUBSTITUTE(SUBSTITUTE(SUBSTITUTE(SUBSTITUTE(TRIM(N393),".",""),"/",""),"-","")," ",""),"(",""),")",""),"+",""))=10,"ERRO: é fixo (ou falta o 9), use a coluna Telefone fixo","ERRO: DDD + 9 + 8 dígitos")))</f>
      </c>
      <c r="Y393" s="6">
        <f>IF(O393="","vazio",IF(AND(ISNUMBER(FIND("@",O393)),ISNUMBER(FIND(".",MID(O393,FIND("@",O393),99))),NOT(ISNUMBER(FIND(" ",TRIM(O393)))),NOT(ISNUMBER(FIND(";",O393))),NOT(ISNUMBER(FIND(",",O393)))),"OK","ERRO: um e-mail válido por linha"))</f>
      </c>
      <c r="Z393" s="6">
        <f>IF(AND(J393="",K393=""),"",IF(AND(J393&lt;&gt;"",K393&lt;&gt;""),"OK","pendente: só um nome (o GR completa ao converter)"))</f>
      </c>
      <c r="AA393" s="6">
        <f>IF(COUNTA(A393:S393)=0,"",IF(AND(A393&lt;&gt;"",B393&lt;&gt;"",C393&lt;&gt;"",D393&lt;&gt;"",E393&lt;&gt;"",F393&lt;&gt;"",G393&lt;&gt;"",H393&lt;&gt;"",OR(J393&lt;&gt;"",K393&lt;&gt;""),OR(M393&lt;&gt;"",N393&lt;&gt;"",O393&lt;&gt;"")),"OK","ERRO: faltam "&amp;IF(A393="","SDR; ","")&amp;IF(B393="","Proprietário; ","")&amp;IF(C393="","Origem; ","")&amp;IF(D393="","Temperatura; ","")&amp;IF(E393="","Segmento; ","")&amp;IF(F393="","Time/Cluster; ","")&amp;IF(G393="","CNPJ; ","")&amp;IF(H393="","Razão Social; ","")&amp;IF(AND(J393="",K393=""),"nome do contato; ","")&amp;IF(AND(M393="",N393="",O393=""),"telefone, celular ou e-mail; ","")))</f>
      </c>
      <c r="AB393" s="6">
        <f>IF(COUNTA(A393:S393)=0,"",IF(AND(U393="OK",V393="OK",LEFT(W393,4)&lt;&gt;"ERRO",LEFT(X393,4)&lt;&gt;"ERRO",LEFT(Y393,4)&lt;&gt;"ERRO",AA393="OK"),"OK","REVISAR"))</f>
      </c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5"/>
      <c r="K394" s="4"/>
      <c r="L394" s="4"/>
      <c r="M394" s="4"/>
      <c r="N394" s="4"/>
      <c r="O394" s="4"/>
      <c r="P394" s="4"/>
      <c r="Q394" s="4"/>
      <c r="R394" s="4"/>
      <c r="S394" s="4"/>
      <c r="T394" s="6">
        <f>IF(G394="","",SUBSTITUTE(SUBSTITUTE(SUBSTITUTE(SUBSTITUTE(SUBSTITUTE(SUBSTITUTE(SUBSTITUTE(TRIM(G394),".",""),"/",""),"-","")," ",""),"(",""),")",""),"+",""))</f>
      </c>
      <c r="U394" s="6">
        <f>IF(T394="","",IF(LEN(T394)&lt;&gt;14,"ERRO: "&amp;LEN(T394)&amp;" dígitos",IF(NOT(ISNUMBER(VALUE(T394))),"ERRO: não numérico",IF(LEN(SUBSTITUTE(T394,LEFT(T394,1),""))=0,"ERRO: dígitos repetidos",IF(AND(VALUE(MID(T394,13,1))=IF(MOD(SUMPRODUCT(--MID(T394,{1,2,3,4,5,6,7,8,9,10,11,12},1),{5,4,3,2,9,8,7,6,5,4,3,2}),11)&lt;2,0,11-MOD(SUMPRODUCT(--MID(T394,{1,2,3,4,5,6,7,8,9,10,11,12},1),{5,4,3,2,9,8,7,6,5,4,3,2}),11)),VALUE(MID(T394,14,1))=IF(MOD(SUMPRODUCT(--MID(T394,{1,2,3,4,5,6,7,8,9,10,11,12,13},1),{6,5,4,3,2,9,8,7,6,5,4,3,2}),11)&lt;2,0,11-MOD(SUMPRODUCT(--MID(T394,{1,2,3,4,5,6,7,8,9,10,11,12,13},1),{6,5,4,3,2,9,8,7,6,5,4,3,2}),11))),"OK","ERRO: dígito verificador")))))</f>
      </c>
      <c r="V394" s="6">
        <f>IF(T394="","",IF(COUNTIF($T$2:$T$1001,T394)&gt;1,"DUPLICADO","OK"))</f>
      </c>
      <c r="W394" s="6">
        <f>IF(M394="","vazio",IF(OR(AND(LEN(SUBSTITUTE(SUBSTITUTE(SUBSTITUTE(SUBSTITUTE(SUBSTITUTE(SUBSTITUTE(SUBSTITUTE(TRIM(M394),".",""),"/",""),"-","")," ",""),"(",""),")",""),"+",""))=10,LEFT(SUBSTITUTE(SUBSTITUTE(SUBSTITUTE(SUBSTITUTE(SUBSTITUTE(SUBSTITUTE(SUBSTITUTE(TRIM(M394),".",""),"/",""),"-","")," ",""),"(",""),")",""),"+",""),1)&lt;&gt;"0"),AND(LEN(SUBSTITUTE(SUBSTITUTE(SUBSTITUTE(SUBSTITUTE(SUBSTITUTE(SUBSTITUTE(SUBSTITUTE(TRIM(M394),".",""),"/",""),"-","")," ",""),"(",""),")",""),"+",""))=11,LEFT(SUBSTITUTE(SUBSTITUTE(SUBSTITUTE(SUBSTITUTE(SUBSTITUTE(SUBSTITUTE(SUBSTITUTE(TRIM(M394),".",""),"/",""),"-","")," ",""),"(",""),")",""),"+",""),4)="0800")),"OK",IF(AND(LEN(SUBSTITUTE(SUBSTITUTE(SUBSTITUTE(SUBSTITUTE(SUBSTITUTE(SUBSTITUTE(SUBSTITUTE(TRIM(M394),".",""),"/",""),"-","")," ",""),"(",""),")",""),"+",""))=11,MID(SUBSTITUTE(SUBSTITUTE(SUBSTITUTE(SUBSTITUTE(SUBSTITUTE(SUBSTITUTE(SUBSTITUTE(TRIM(M394),".",""),"/",""),"-","")," ",""),"(",""),")",""),"+",""),3,1)="9"),"ERRO: é celular, use a coluna Celular","ERRO: DDD + 8 dígitos ou 0800 + 7")))</f>
      </c>
      <c r="X394" s="6">
        <f>IF(N394="","vazio",IF(AND(LEN(SUBSTITUTE(SUBSTITUTE(SUBSTITUTE(SUBSTITUTE(SUBSTITUTE(SUBSTITUTE(SUBSTITUTE(TRIM(N394),".",""),"/",""),"-","")," ",""),"(",""),")",""),"+",""))=11,MID(SUBSTITUTE(SUBSTITUTE(SUBSTITUTE(SUBSTITUTE(SUBSTITUTE(SUBSTITUTE(SUBSTITUTE(TRIM(N394),".",""),"/",""),"-","")," ",""),"(",""),")",""),"+",""),3,1)="9",LEFT(SUBSTITUTE(SUBSTITUTE(SUBSTITUTE(SUBSTITUTE(SUBSTITUTE(SUBSTITUTE(SUBSTITUTE(TRIM(N394),".",""),"/",""),"-","")," ",""),"(",""),")",""),"+",""),1)&lt;&gt;"0"),"OK",IF(LEN(SUBSTITUTE(SUBSTITUTE(SUBSTITUTE(SUBSTITUTE(SUBSTITUTE(SUBSTITUTE(SUBSTITUTE(TRIM(N394),".",""),"/",""),"-","")," ",""),"(",""),")",""),"+",""))=10,"ERRO: é fixo (ou falta o 9), use a coluna Telefone fixo","ERRO: DDD + 9 + 8 dígitos")))</f>
      </c>
      <c r="Y394" s="6">
        <f>IF(O394="","vazio",IF(AND(ISNUMBER(FIND("@",O394)),ISNUMBER(FIND(".",MID(O394,FIND("@",O394),99))),NOT(ISNUMBER(FIND(" ",TRIM(O394)))),NOT(ISNUMBER(FIND(";",O394))),NOT(ISNUMBER(FIND(",",O394)))),"OK","ERRO: um e-mail válido por linha"))</f>
      </c>
      <c r="Z394" s="6">
        <f>IF(AND(J394="",K394=""),"",IF(AND(J394&lt;&gt;"",K394&lt;&gt;""),"OK","pendente: só um nome (o GR completa ao converter)"))</f>
      </c>
      <c r="AA394" s="6">
        <f>IF(COUNTA(A394:S394)=0,"",IF(AND(A394&lt;&gt;"",B394&lt;&gt;"",C394&lt;&gt;"",D394&lt;&gt;"",E394&lt;&gt;"",F394&lt;&gt;"",G394&lt;&gt;"",H394&lt;&gt;"",OR(J394&lt;&gt;"",K394&lt;&gt;""),OR(M394&lt;&gt;"",N394&lt;&gt;"",O394&lt;&gt;"")),"OK","ERRO: faltam "&amp;IF(A394="","SDR; ","")&amp;IF(B394="","Proprietário; ","")&amp;IF(C394="","Origem; ","")&amp;IF(D394="","Temperatura; ","")&amp;IF(E394="","Segmento; ","")&amp;IF(F394="","Time/Cluster; ","")&amp;IF(G394="","CNPJ; ","")&amp;IF(H394="","Razão Social; ","")&amp;IF(AND(J394="",K394=""),"nome do contato; ","")&amp;IF(AND(M394="",N394="",O394=""),"telefone, celular ou e-mail; ","")))</f>
      </c>
      <c r="AB394" s="6">
        <f>IF(COUNTA(A394:S394)=0,"",IF(AND(U394="OK",V394="OK",LEFT(W394,4)&lt;&gt;"ERRO",LEFT(X394,4)&lt;&gt;"ERRO",LEFT(Y394,4)&lt;&gt;"ERRO",AA394="OK"),"OK","REVISAR"))</f>
      </c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5"/>
      <c r="K395" s="4"/>
      <c r="L395" s="4"/>
      <c r="M395" s="4"/>
      <c r="N395" s="4"/>
      <c r="O395" s="4"/>
      <c r="P395" s="4"/>
      <c r="Q395" s="4"/>
      <c r="R395" s="4"/>
      <c r="S395" s="4"/>
      <c r="T395" s="6">
        <f>IF(G395="","",SUBSTITUTE(SUBSTITUTE(SUBSTITUTE(SUBSTITUTE(SUBSTITUTE(SUBSTITUTE(SUBSTITUTE(TRIM(G395),".",""),"/",""),"-","")," ",""),"(",""),")",""),"+",""))</f>
      </c>
      <c r="U395" s="6">
        <f>IF(T395="","",IF(LEN(T395)&lt;&gt;14,"ERRO: "&amp;LEN(T395)&amp;" dígitos",IF(NOT(ISNUMBER(VALUE(T395))),"ERRO: não numérico",IF(LEN(SUBSTITUTE(T395,LEFT(T395,1),""))=0,"ERRO: dígitos repetidos",IF(AND(VALUE(MID(T395,13,1))=IF(MOD(SUMPRODUCT(--MID(T395,{1,2,3,4,5,6,7,8,9,10,11,12},1),{5,4,3,2,9,8,7,6,5,4,3,2}),11)&lt;2,0,11-MOD(SUMPRODUCT(--MID(T395,{1,2,3,4,5,6,7,8,9,10,11,12},1),{5,4,3,2,9,8,7,6,5,4,3,2}),11)),VALUE(MID(T395,14,1))=IF(MOD(SUMPRODUCT(--MID(T395,{1,2,3,4,5,6,7,8,9,10,11,12,13},1),{6,5,4,3,2,9,8,7,6,5,4,3,2}),11)&lt;2,0,11-MOD(SUMPRODUCT(--MID(T395,{1,2,3,4,5,6,7,8,9,10,11,12,13},1),{6,5,4,3,2,9,8,7,6,5,4,3,2}),11))),"OK","ERRO: dígito verificador")))))</f>
      </c>
      <c r="V395" s="6">
        <f>IF(T395="","",IF(COUNTIF($T$2:$T$1001,T395)&gt;1,"DUPLICADO","OK"))</f>
      </c>
      <c r="W395" s="6">
        <f>IF(M395="","vazio",IF(OR(AND(LEN(SUBSTITUTE(SUBSTITUTE(SUBSTITUTE(SUBSTITUTE(SUBSTITUTE(SUBSTITUTE(SUBSTITUTE(TRIM(M395),".",""),"/",""),"-","")," ",""),"(",""),")",""),"+",""))=10,LEFT(SUBSTITUTE(SUBSTITUTE(SUBSTITUTE(SUBSTITUTE(SUBSTITUTE(SUBSTITUTE(SUBSTITUTE(TRIM(M395),".",""),"/",""),"-","")," ",""),"(",""),")",""),"+",""),1)&lt;&gt;"0"),AND(LEN(SUBSTITUTE(SUBSTITUTE(SUBSTITUTE(SUBSTITUTE(SUBSTITUTE(SUBSTITUTE(SUBSTITUTE(TRIM(M395),".",""),"/",""),"-","")," ",""),"(",""),")",""),"+",""))=11,LEFT(SUBSTITUTE(SUBSTITUTE(SUBSTITUTE(SUBSTITUTE(SUBSTITUTE(SUBSTITUTE(SUBSTITUTE(TRIM(M395),".",""),"/",""),"-","")," ",""),"(",""),")",""),"+",""),4)="0800")),"OK",IF(AND(LEN(SUBSTITUTE(SUBSTITUTE(SUBSTITUTE(SUBSTITUTE(SUBSTITUTE(SUBSTITUTE(SUBSTITUTE(TRIM(M395),".",""),"/",""),"-","")," ",""),"(",""),")",""),"+",""))=11,MID(SUBSTITUTE(SUBSTITUTE(SUBSTITUTE(SUBSTITUTE(SUBSTITUTE(SUBSTITUTE(SUBSTITUTE(TRIM(M395),".",""),"/",""),"-","")," ",""),"(",""),")",""),"+",""),3,1)="9"),"ERRO: é celular, use a coluna Celular","ERRO: DDD + 8 dígitos ou 0800 + 7")))</f>
      </c>
      <c r="X395" s="6">
        <f>IF(N395="","vazio",IF(AND(LEN(SUBSTITUTE(SUBSTITUTE(SUBSTITUTE(SUBSTITUTE(SUBSTITUTE(SUBSTITUTE(SUBSTITUTE(TRIM(N395),".",""),"/",""),"-","")," ",""),"(",""),")",""),"+",""))=11,MID(SUBSTITUTE(SUBSTITUTE(SUBSTITUTE(SUBSTITUTE(SUBSTITUTE(SUBSTITUTE(SUBSTITUTE(TRIM(N395),".",""),"/",""),"-","")," ",""),"(",""),")",""),"+",""),3,1)="9",LEFT(SUBSTITUTE(SUBSTITUTE(SUBSTITUTE(SUBSTITUTE(SUBSTITUTE(SUBSTITUTE(SUBSTITUTE(TRIM(N395),".",""),"/",""),"-","")," ",""),"(",""),")",""),"+",""),1)&lt;&gt;"0"),"OK",IF(LEN(SUBSTITUTE(SUBSTITUTE(SUBSTITUTE(SUBSTITUTE(SUBSTITUTE(SUBSTITUTE(SUBSTITUTE(TRIM(N395),".",""),"/",""),"-","")," ",""),"(",""),")",""),"+",""))=10,"ERRO: é fixo (ou falta o 9), use a coluna Telefone fixo","ERRO: DDD + 9 + 8 dígitos")))</f>
      </c>
      <c r="Y395" s="6">
        <f>IF(O395="","vazio",IF(AND(ISNUMBER(FIND("@",O395)),ISNUMBER(FIND(".",MID(O395,FIND("@",O395),99))),NOT(ISNUMBER(FIND(" ",TRIM(O395)))),NOT(ISNUMBER(FIND(";",O395))),NOT(ISNUMBER(FIND(",",O395)))),"OK","ERRO: um e-mail válido por linha"))</f>
      </c>
      <c r="Z395" s="6">
        <f>IF(AND(J395="",K395=""),"",IF(AND(J395&lt;&gt;"",K395&lt;&gt;""),"OK","pendente: só um nome (o GR completa ao converter)"))</f>
      </c>
      <c r="AA395" s="6">
        <f>IF(COUNTA(A395:S395)=0,"",IF(AND(A395&lt;&gt;"",B395&lt;&gt;"",C395&lt;&gt;"",D395&lt;&gt;"",E395&lt;&gt;"",F395&lt;&gt;"",G395&lt;&gt;"",H395&lt;&gt;"",OR(J395&lt;&gt;"",K395&lt;&gt;""),OR(M395&lt;&gt;"",N395&lt;&gt;"",O395&lt;&gt;"")),"OK","ERRO: faltam "&amp;IF(A395="","SDR; ","")&amp;IF(B395="","Proprietário; ","")&amp;IF(C395="","Origem; ","")&amp;IF(D395="","Temperatura; ","")&amp;IF(E395="","Segmento; ","")&amp;IF(F395="","Time/Cluster; ","")&amp;IF(G395="","CNPJ; ","")&amp;IF(H395="","Razão Social; ","")&amp;IF(AND(J395="",K395=""),"nome do contato; ","")&amp;IF(AND(M395="",N395="",O395=""),"telefone, celular ou e-mail; ","")))</f>
      </c>
      <c r="AB395" s="6">
        <f>IF(COUNTA(A395:S395)=0,"",IF(AND(U395="OK",V395="OK",LEFT(W395,4)&lt;&gt;"ERRO",LEFT(X395,4)&lt;&gt;"ERRO",LEFT(Y395,4)&lt;&gt;"ERRO",AA395="OK"),"OK","REVISAR"))</f>
      </c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5"/>
      <c r="K396" s="4"/>
      <c r="L396" s="4"/>
      <c r="M396" s="4"/>
      <c r="N396" s="4"/>
      <c r="O396" s="4"/>
      <c r="P396" s="4"/>
      <c r="Q396" s="4"/>
      <c r="R396" s="4"/>
      <c r="S396" s="4"/>
      <c r="T396" s="6">
        <f>IF(G396="","",SUBSTITUTE(SUBSTITUTE(SUBSTITUTE(SUBSTITUTE(SUBSTITUTE(SUBSTITUTE(SUBSTITUTE(TRIM(G396),".",""),"/",""),"-","")," ",""),"(",""),")",""),"+",""))</f>
      </c>
      <c r="U396" s="6">
        <f>IF(T396="","",IF(LEN(T396)&lt;&gt;14,"ERRO: "&amp;LEN(T396)&amp;" dígitos",IF(NOT(ISNUMBER(VALUE(T396))),"ERRO: não numérico",IF(LEN(SUBSTITUTE(T396,LEFT(T396,1),""))=0,"ERRO: dígitos repetidos",IF(AND(VALUE(MID(T396,13,1))=IF(MOD(SUMPRODUCT(--MID(T396,{1,2,3,4,5,6,7,8,9,10,11,12},1),{5,4,3,2,9,8,7,6,5,4,3,2}),11)&lt;2,0,11-MOD(SUMPRODUCT(--MID(T396,{1,2,3,4,5,6,7,8,9,10,11,12},1),{5,4,3,2,9,8,7,6,5,4,3,2}),11)),VALUE(MID(T396,14,1))=IF(MOD(SUMPRODUCT(--MID(T396,{1,2,3,4,5,6,7,8,9,10,11,12,13},1),{6,5,4,3,2,9,8,7,6,5,4,3,2}),11)&lt;2,0,11-MOD(SUMPRODUCT(--MID(T396,{1,2,3,4,5,6,7,8,9,10,11,12,13},1),{6,5,4,3,2,9,8,7,6,5,4,3,2}),11))),"OK","ERRO: dígito verificador")))))</f>
      </c>
      <c r="V396" s="6">
        <f>IF(T396="","",IF(COUNTIF($T$2:$T$1001,T396)&gt;1,"DUPLICADO","OK"))</f>
      </c>
      <c r="W396" s="6">
        <f>IF(M396="","vazio",IF(OR(AND(LEN(SUBSTITUTE(SUBSTITUTE(SUBSTITUTE(SUBSTITUTE(SUBSTITUTE(SUBSTITUTE(SUBSTITUTE(TRIM(M396),".",""),"/",""),"-","")," ",""),"(",""),")",""),"+",""))=10,LEFT(SUBSTITUTE(SUBSTITUTE(SUBSTITUTE(SUBSTITUTE(SUBSTITUTE(SUBSTITUTE(SUBSTITUTE(TRIM(M396),".",""),"/",""),"-","")," ",""),"(",""),")",""),"+",""),1)&lt;&gt;"0"),AND(LEN(SUBSTITUTE(SUBSTITUTE(SUBSTITUTE(SUBSTITUTE(SUBSTITUTE(SUBSTITUTE(SUBSTITUTE(TRIM(M396),".",""),"/",""),"-","")," ",""),"(",""),")",""),"+",""))=11,LEFT(SUBSTITUTE(SUBSTITUTE(SUBSTITUTE(SUBSTITUTE(SUBSTITUTE(SUBSTITUTE(SUBSTITUTE(TRIM(M396),".",""),"/",""),"-","")," ",""),"(",""),")",""),"+",""),4)="0800")),"OK",IF(AND(LEN(SUBSTITUTE(SUBSTITUTE(SUBSTITUTE(SUBSTITUTE(SUBSTITUTE(SUBSTITUTE(SUBSTITUTE(TRIM(M396),".",""),"/",""),"-","")," ",""),"(",""),")",""),"+",""))=11,MID(SUBSTITUTE(SUBSTITUTE(SUBSTITUTE(SUBSTITUTE(SUBSTITUTE(SUBSTITUTE(SUBSTITUTE(TRIM(M396),".",""),"/",""),"-","")," ",""),"(",""),")",""),"+",""),3,1)="9"),"ERRO: é celular, use a coluna Celular","ERRO: DDD + 8 dígitos ou 0800 + 7")))</f>
      </c>
      <c r="X396" s="6">
        <f>IF(N396="","vazio",IF(AND(LEN(SUBSTITUTE(SUBSTITUTE(SUBSTITUTE(SUBSTITUTE(SUBSTITUTE(SUBSTITUTE(SUBSTITUTE(TRIM(N396),".",""),"/",""),"-","")," ",""),"(",""),")",""),"+",""))=11,MID(SUBSTITUTE(SUBSTITUTE(SUBSTITUTE(SUBSTITUTE(SUBSTITUTE(SUBSTITUTE(SUBSTITUTE(TRIM(N396),".",""),"/",""),"-","")," ",""),"(",""),")",""),"+",""),3,1)="9",LEFT(SUBSTITUTE(SUBSTITUTE(SUBSTITUTE(SUBSTITUTE(SUBSTITUTE(SUBSTITUTE(SUBSTITUTE(TRIM(N396),".",""),"/",""),"-","")," ",""),"(",""),")",""),"+",""),1)&lt;&gt;"0"),"OK",IF(LEN(SUBSTITUTE(SUBSTITUTE(SUBSTITUTE(SUBSTITUTE(SUBSTITUTE(SUBSTITUTE(SUBSTITUTE(TRIM(N396),".",""),"/",""),"-","")," ",""),"(",""),")",""),"+",""))=10,"ERRO: é fixo (ou falta o 9), use a coluna Telefone fixo","ERRO: DDD + 9 + 8 dígitos")))</f>
      </c>
      <c r="Y396" s="6">
        <f>IF(O396="","vazio",IF(AND(ISNUMBER(FIND("@",O396)),ISNUMBER(FIND(".",MID(O396,FIND("@",O396),99))),NOT(ISNUMBER(FIND(" ",TRIM(O396)))),NOT(ISNUMBER(FIND(";",O396))),NOT(ISNUMBER(FIND(",",O396)))),"OK","ERRO: um e-mail válido por linha"))</f>
      </c>
      <c r="Z396" s="6">
        <f>IF(AND(J396="",K396=""),"",IF(AND(J396&lt;&gt;"",K396&lt;&gt;""),"OK","pendente: só um nome (o GR completa ao converter)"))</f>
      </c>
      <c r="AA396" s="6">
        <f>IF(COUNTA(A396:S396)=0,"",IF(AND(A396&lt;&gt;"",B396&lt;&gt;"",C396&lt;&gt;"",D396&lt;&gt;"",E396&lt;&gt;"",F396&lt;&gt;"",G396&lt;&gt;"",H396&lt;&gt;"",OR(J396&lt;&gt;"",K396&lt;&gt;""),OR(M396&lt;&gt;"",N396&lt;&gt;"",O396&lt;&gt;"")),"OK","ERRO: faltam "&amp;IF(A396="","SDR; ","")&amp;IF(B396="","Proprietário; ","")&amp;IF(C396="","Origem; ","")&amp;IF(D396="","Temperatura; ","")&amp;IF(E396="","Segmento; ","")&amp;IF(F396="","Time/Cluster; ","")&amp;IF(G396="","CNPJ; ","")&amp;IF(H396="","Razão Social; ","")&amp;IF(AND(J396="",K396=""),"nome do contato; ","")&amp;IF(AND(M396="",N396="",O396=""),"telefone, celular ou e-mail; ","")))</f>
      </c>
      <c r="AB396" s="6">
        <f>IF(COUNTA(A396:S396)=0,"",IF(AND(U396="OK",V396="OK",LEFT(W396,4)&lt;&gt;"ERRO",LEFT(X396,4)&lt;&gt;"ERRO",LEFT(Y396,4)&lt;&gt;"ERRO",AA396="OK"),"OK","REVISAR"))</f>
      </c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5"/>
      <c r="K397" s="4"/>
      <c r="L397" s="4"/>
      <c r="M397" s="4"/>
      <c r="N397" s="4"/>
      <c r="O397" s="4"/>
      <c r="P397" s="4"/>
      <c r="Q397" s="4"/>
      <c r="R397" s="4"/>
      <c r="S397" s="4"/>
      <c r="T397" s="6">
        <f>IF(G397="","",SUBSTITUTE(SUBSTITUTE(SUBSTITUTE(SUBSTITUTE(SUBSTITUTE(SUBSTITUTE(SUBSTITUTE(TRIM(G397),".",""),"/",""),"-","")," ",""),"(",""),")",""),"+",""))</f>
      </c>
      <c r="U397" s="6">
        <f>IF(T397="","",IF(LEN(T397)&lt;&gt;14,"ERRO: "&amp;LEN(T397)&amp;" dígitos",IF(NOT(ISNUMBER(VALUE(T397))),"ERRO: não numérico",IF(LEN(SUBSTITUTE(T397,LEFT(T397,1),""))=0,"ERRO: dígitos repetidos",IF(AND(VALUE(MID(T397,13,1))=IF(MOD(SUMPRODUCT(--MID(T397,{1,2,3,4,5,6,7,8,9,10,11,12},1),{5,4,3,2,9,8,7,6,5,4,3,2}),11)&lt;2,0,11-MOD(SUMPRODUCT(--MID(T397,{1,2,3,4,5,6,7,8,9,10,11,12},1),{5,4,3,2,9,8,7,6,5,4,3,2}),11)),VALUE(MID(T397,14,1))=IF(MOD(SUMPRODUCT(--MID(T397,{1,2,3,4,5,6,7,8,9,10,11,12,13},1),{6,5,4,3,2,9,8,7,6,5,4,3,2}),11)&lt;2,0,11-MOD(SUMPRODUCT(--MID(T397,{1,2,3,4,5,6,7,8,9,10,11,12,13},1),{6,5,4,3,2,9,8,7,6,5,4,3,2}),11))),"OK","ERRO: dígito verificador")))))</f>
      </c>
      <c r="V397" s="6">
        <f>IF(T397="","",IF(COUNTIF($T$2:$T$1001,T397)&gt;1,"DUPLICADO","OK"))</f>
      </c>
      <c r="W397" s="6">
        <f>IF(M397="","vazio",IF(OR(AND(LEN(SUBSTITUTE(SUBSTITUTE(SUBSTITUTE(SUBSTITUTE(SUBSTITUTE(SUBSTITUTE(SUBSTITUTE(TRIM(M397),".",""),"/",""),"-","")," ",""),"(",""),")",""),"+",""))=10,LEFT(SUBSTITUTE(SUBSTITUTE(SUBSTITUTE(SUBSTITUTE(SUBSTITUTE(SUBSTITUTE(SUBSTITUTE(TRIM(M397),".",""),"/",""),"-","")," ",""),"(",""),")",""),"+",""),1)&lt;&gt;"0"),AND(LEN(SUBSTITUTE(SUBSTITUTE(SUBSTITUTE(SUBSTITUTE(SUBSTITUTE(SUBSTITUTE(SUBSTITUTE(TRIM(M397),".",""),"/",""),"-","")," ",""),"(",""),")",""),"+",""))=11,LEFT(SUBSTITUTE(SUBSTITUTE(SUBSTITUTE(SUBSTITUTE(SUBSTITUTE(SUBSTITUTE(SUBSTITUTE(TRIM(M397),".",""),"/",""),"-","")," ",""),"(",""),")",""),"+",""),4)="0800")),"OK",IF(AND(LEN(SUBSTITUTE(SUBSTITUTE(SUBSTITUTE(SUBSTITUTE(SUBSTITUTE(SUBSTITUTE(SUBSTITUTE(TRIM(M397),".",""),"/",""),"-","")," ",""),"(",""),")",""),"+",""))=11,MID(SUBSTITUTE(SUBSTITUTE(SUBSTITUTE(SUBSTITUTE(SUBSTITUTE(SUBSTITUTE(SUBSTITUTE(TRIM(M397),".",""),"/",""),"-","")," ",""),"(",""),")",""),"+",""),3,1)="9"),"ERRO: é celular, use a coluna Celular","ERRO: DDD + 8 dígitos ou 0800 + 7")))</f>
      </c>
      <c r="X397" s="6">
        <f>IF(N397="","vazio",IF(AND(LEN(SUBSTITUTE(SUBSTITUTE(SUBSTITUTE(SUBSTITUTE(SUBSTITUTE(SUBSTITUTE(SUBSTITUTE(TRIM(N397),".",""),"/",""),"-","")," ",""),"(",""),")",""),"+",""))=11,MID(SUBSTITUTE(SUBSTITUTE(SUBSTITUTE(SUBSTITUTE(SUBSTITUTE(SUBSTITUTE(SUBSTITUTE(TRIM(N397),".",""),"/",""),"-","")," ",""),"(",""),")",""),"+",""),3,1)="9",LEFT(SUBSTITUTE(SUBSTITUTE(SUBSTITUTE(SUBSTITUTE(SUBSTITUTE(SUBSTITUTE(SUBSTITUTE(TRIM(N397),".",""),"/",""),"-","")," ",""),"(",""),")",""),"+",""),1)&lt;&gt;"0"),"OK",IF(LEN(SUBSTITUTE(SUBSTITUTE(SUBSTITUTE(SUBSTITUTE(SUBSTITUTE(SUBSTITUTE(SUBSTITUTE(TRIM(N397),".",""),"/",""),"-","")," ",""),"(",""),")",""),"+",""))=10,"ERRO: é fixo (ou falta o 9), use a coluna Telefone fixo","ERRO: DDD + 9 + 8 dígitos")))</f>
      </c>
      <c r="Y397" s="6">
        <f>IF(O397="","vazio",IF(AND(ISNUMBER(FIND("@",O397)),ISNUMBER(FIND(".",MID(O397,FIND("@",O397),99))),NOT(ISNUMBER(FIND(" ",TRIM(O397)))),NOT(ISNUMBER(FIND(";",O397))),NOT(ISNUMBER(FIND(",",O397)))),"OK","ERRO: um e-mail válido por linha"))</f>
      </c>
      <c r="Z397" s="6">
        <f>IF(AND(J397="",K397=""),"",IF(AND(J397&lt;&gt;"",K397&lt;&gt;""),"OK","pendente: só um nome (o GR completa ao converter)"))</f>
      </c>
      <c r="AA397" s="6">
        <f>IF(COUNTA(A397:S397)=0,"",IF(AND(A397&lt;&gt;"",B397&lt;&gt;"",C397&lt;&gt;"",D397&lt;&gt;"",E397&lt;&gt;"",F397&lt;&gt;"",G397&lt;&gt;"",H397&lt;&gt;"",OR(J397&lt;&gt;"",K397&lt;&gt;""),OR(M397&lt;&gt;"",N397&lt;&gt;"",O397&lt;&gt;"")),"OK","ERRO: faltam "&amp;IF(A397="","SDR; ","")&amp;IF(B397="","Proprietário; ","")&amp;IF(C397="","Origem; ","")&amp;IF(D397="","Temperatura; ","")&amp;IF(E397="","Segmento; ","")&amp;IF(F397="","Time/Cluster; ","")&amp;IF(G397="","CNPJ; ","")&amp;IF(H397="","Razão Social; ","")&amp;IF(AND(J397="",K397=""),"nome do contato; ","")&amp;IF(AND(M397="",N397="",O397=""),"telefone, celular ou e-mail; ","")))</f>
      </c>
      <c r="AB397" s="6">
        <f>IF(COUNTA(A397:S397)=0,"",IF(AND(U397="OK",V397="OK",LEFT(W397,4)&lt;&gt;"ERRO",LEFT(X397,4)&lt;&gt;"ERRO",LEFT(Y397,4)&lt;&gt;"ERRO",AA397="OK"),"OK","REVISAR"))</f>
      </c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5"/>
      <c r="K398" s="4"/>
      <c r="L398" s="4"/>
      <c r="M398" s="4"/>
      <c r="N398" s="4"/>
      <c r="O398" s="4"/>
      <c r="P398" s="4"/>
      <c r="Q398" s="4"/>
      <c r="R398" s="4"/>
      <c r="S398" s="4"/>
      <c r="T398" s="6">
        <f>IF(G398="","",SUBSTITUTE(SUBSTITUTE(SUBSTITUTE(SUBSTITUTE(SUBSTITUTE(SUBSTITUTE(SUBSTITUTE(TRIM(G398),".",""),"/",""),"-","")," ",""),"(",""),")",""),"+",""))</f>
      </c>
      <c r="U398" s="6">
        <f>IF(T398="","",IF(LEN(T398)&lt;&gt;14,"ERRO: "&amp;LEN(T398)&amp;" dígitos",IF(NOT(ISNUMBER(VALUE(T398))),"ERRO: não numérico",IF(LEN(SUBSTITUTE(T398,LEFT(T398,1),""))=0,"ERRO: dígitos repetidos",IF(AND(VALUE(MID(T398,13,1))=IF(MOD(SUMPRODUCT(--MID(T398,{1,2,3,4,5,6,7,8,9,10,11,12},1),{5,4,3,2,9,8,7,6,5,4,3,2}),11)&lt;2,0,11-MOD(SUMPRODUCT(--MID(T398,{1,2,3,4,5,6,7,8,9,10,11,12},1),{5,4,3,2,9,8,7,6,5,4,3,2}),11)),VALUE(MID(T398,14,1))=IF(MOD(SUMPRODUCT(--MID(T398,{1,2,3,4,5,6,7,8,9,10,11,12,13},1),{6,5,4,3,2,9,8,7,6,5,4,3,2}),11)&lt;2,0,11-MOD(SUMPRODUCT(--MID(T398,{1,2,3,4,5,6,7,8,9,10,11,12,13},1),{6,5,4,3,2,9,8,7,6,5,4,3,2}),11))),"OK","ERRO: dígito verificador")))))</f>
      </c>
      <c r="V398" s="6">
        <f>IF(T398="","",IF(COUNTIF($T$2:$T$1001,T398)&gt;1,"DUPLICADO","OK"))</f>
      </c>
      <c r="W398" s="6">
        <f>IF(M398="","vazio",IF(OR(AND(LEN(SUBSTITUTE(SUBSTITUTE(SUBSTITUTE(SUBSTITUTE(SUBSTITUTE(SUBSTITUTE(SUBSTITUTE(TRIM(M398),".",""),"/",""),"-","")," ",""),"(",""),")",""),"+",""))=10,LEFT(SUBSTITUTE(SUBSTITUTE(SUBSTITUTE(SUBSTITUTE(SUBSTITUTE(SUBSTITUTE(SUBSTITUTE(TRIM(M398),".",""),"/",""),"-","")," ",""),"(",""),")",""),"+",""),1)&lt;&gt;"0"),AND(LEN(SUBSTITUTE(SUBSTITUTE(SUBSTITUTE(SUBSTITUTE(SUBSTITUTE(SUBSTITUTE(SUBSTITUTE(TRIM(M398),".",""),"/",""),"-","")," ",""),"(",""),")",""),"+",""))=11,LEFT(SUBSTITUTE(SUBSTITUTE(SUBSTITUTE(SUBSTITUTE(SUBSTITUTE(SUBSTITUTE(SUBSTITUTE(TRIM(M398),".",""),"/",""),"-","")," ",""),"(",""),")",""),"+",""),4)="0800")),"OK",IF(AND(LEN(SUBSTITUTE(SUBSTITUTE(SUBSTITUTE(SUBSTITUTE(SUBSTITUTE(SUBSTITUTE(SUBSTITUTE(TRIM(M398),".",""),"/",""),"-","")," ",""),"(",""),")",""),"+",""))=11,MID(SUBSTITUTE(SUBSTITUTE(SUBSTITUTE(SUBSTITUTE(SUBSTITUTE(SUBSTITUTE(SUBSTITUTE(TRIM(M398),".",""),"/",""),"-","")," ",""),"(",""),")",""),"+",""),3,1)="9"),"ERRO: é celular, use a coluna Celular","ERRO: DDD + 8 dígitos ou 0800 + 7")))</f>
      </c>
      <c r="X398" s="6">
        <f>IF(N398="","vazio",IF(AND(LEN(SUBSTITUTE(SUBSTITUTE(SUBSTITUTE(SUBSTITUTE(SUBSTITUTE(SUBSTITUTE(SUBSTITUTE(TRIM(N398),".",""),"/",""),"-","")," ",""),"(",""),")",""),"+",""))=11,MID(SUBSTITUTE(SUBSTITUTE(SUBSTITUTE(SUBSTITUTE(SUBSTITUTE(SUBSTITUTE(SUBSTITUTE(TRIM(N398),".",""),"/",""),"-","")," ",""),"(",""),")",""),"+",""),3,1)="9",LEFT(SUBSTITUTE(SUBSTITUTE(SUBSTITUTE(SUBSTITUTE(SUBSTITUTE(SUBSTITUTE(SUBSTITUTE(TRIM(N398),".",""),"/",""),"-","")," ",""),"(",""),")",""),"+",""),1)&lt;&gt;"0"),"OK",IF(LEN(SUBSTITUTE(SUBSTITUTE(SUBSTITUTE(SUBSTITUTE(SUBSTITUTE(SUBSTITUTE(SUBSTITUTE(TRIM(N398),".",""),"/",""),"-","")," ",""),"(",""),")",""),"+",""))=10,"ERRO: é fixo (ou falta o 9), use a coluna Telefone fixo","ERRO: DDD + 9 + 8 dígitos")))</f>
      </c>
      <c r="Y398" s="6">
        <f>IF(O398="","vazio",IF(AND(ISNUMBER(FIND("@",O398)),ISNUMBER(FIND(".",MID(O398,FIND("@",O398),99))),NOT(ISNUMBER(FIND(" ",TRIM(O398)))),NOT(ISNUMBER(FIND(";",O398))),NOT(ISNUMBER(FIND(",",O398)))),"OK","ERRO: um e-mail válido por linha"))</f>
      </c>
      <c r="Z398" s="6">
        <f>IF(AND(J398="",K398=""),"",IF(AND(J398&lt;&gt;"",K398&lt;&gt;""),"OK","pendente: só um nome (o GR completa ao converter)"))</f>
      </c>
      <c r="AA398" s="6">
        <f>IF(COUNTA(A398:S398)=0,"",IF(AND(A398&lt;&gt;"",B398&lt;&gt;"",C398&lt;&gt;"",D398&lt;&gt;"",E398&lt;&gt;"",F398&lt;&gt;"",G398&lt;&gt;"",H398&lt;&gt;"",OR(J398&lt;&gt;"",K398&lt;&gt;""),OR(M398&lt;&gt;"",N398&lt;&gt;"",O398&lt;&gt;"")),"OK","ERRO: faltam "&amp;IF(A398="","SDR; ","")&amp;IF(B398="","Proprietário; ","")&amp;IF(C398="","Origem; ","")&amp;IF(D398="","Temperatura; ","")&amp;IF(E398="","Segmento; ","")&amp;IF(F398="","Time/Cluster; ","")&amp;IF(G398="","CNPJ; ","")&amp;IF(H398="","Razão Social; ","")&amp;IF(AND(J398="",K398=""),"nome do contato; ","")&amp;IF(AND(M398="",N398="",O398=""),"telefone, celular ou e-mail; ","")))</f>
      </c>
      <c r="AB398" s="6">
        <f>IF(COUNTA(A398:S398)=0,"",IF(AND(U398="OK",V398="OK",LEFT(W398,4)&lt;&gt;"ERRO",LEFT(X398,4)&lt;&gt;"ERRO",LEFT(Y398,4)&lt;&gt;"ERRO",AA398="OK"),"OK","REVISAR"))</f>
      </c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5"/>
      <c r="K399" s="4"/>
      <c r="L399" s="4"/>
      <c r="M399" s="4"/>
      <c r="N399" s="4"/>
      <c r="O399" s="4"/>
      <c r="P399" s="4"/>
      <c r="Q399" s="4"/>
      <c r="R399" s="4"/>
      <c r="S399" s="4"/>
      <c r="T399" s="6">
        <f>IF(G399="","",SUBSTITUTE(SUBSTITUTE(SUBSTITUTE(SUBSTITUTE(SUBSTITUTE(SUBSTITUTE(SUBSTITUTE(TRIM(G399),".",""),"/",""),"-","")," ",""),"(",""),")",""),"+",""))</f>
      </c>
      <c r="U399" s="6">
        <f>IF(T399="","",IF(LEN(T399)&lt;&gt;14,"ERRO: "&amp;LEN(T399)&amp;" dígitos",IF(NOT(ISNUMBER(VALUE(T399))),"ERRO: não numérico",IF(LEN(SUBSTITUTE(T399,LEFT(T399,1),""))=0,"ERRO: dígitos repetidos",IF(AND(VALUE(MID(T399,13,1))=IF(MOD(SUMPRODUCT(--MID(T399,{1,2,3,4,5,6,7,8,9,10,11,12},1),{5,4,3,2,9,8,7,6,5,4,3,2}),11)&lt;2,0,11-MOD(SUMPRODUCT(--MID(T399,{1,2,3,4,5,6,7,8,9,10,11,12},1),{5,4,3,2,9,8,7,6,5,4,3,2}),11)),VALUE(MID(T399,14,1))=IF(MOD(SUMPRODUCT(--MID(T399,{1,2,3,4,5,6,7,8,9,10,11,12,13},1),{6,5,4,3,2,9,8,7,6,5,4,3,2}),11)&lt;2,0,11-MOD(SUMPRODUCT(--MID(T399,{1,2,3,4,5,6,7,8,9,10,11,12,13},1),{6,5,4,3,2,9,8,7,6,5,4,3,2}),11))),"OK","ERRO: dígito verificador")))))</f>
      </c>
      <c r="V399" s="6">
        <f>IF(T399="","",IF(COUNTIF($T$2:$T$1001,T399)&gt;1,"DUPLICADO","OK"))</f>
      </c>
      <c r="W399" s="6">
        <f>IF(M399="","vazio",IF(OR(AND(LEN(SUBSTITUTE(SUBSTITUTE(SUBSTITUTE(SUBSTITUTE(SUBSTITUTE(SUBSTITUTE(SUBSTITUTE(TRIM(M399),".",""),"/",""),"-","")," ",""),"(",""),")",""),"+",""))=10,LEFT(SUBSTITUTE(SUBSTITUTE(SUBSTITUTE(SUBSTITUTE(SUBSTITUTE(SUBSTITUTE(SUBSTITUTE(TRIM(M399),".",""),"/",""),"-","")," ",""),"(",""),")",""),"+",""),1)&lt;&gt;"0"),AND(LEN(SUBSTITUTE(SUBSTITUTE(SUBSTITUTE(SUBSTITUTE(SUBSTITUTE(SUBSTITUTE(SUBSTITUTE(TRIM(M399),".",""),"/",""),"-","")," ",""),"(",""),")",""),"+",""))=11,LEFT(SUBSTITUTE(SUBSTITUTE(SUBSTITUTE(SUBSTITUTE(SUBSTITUTE(SUBSTITUTE(SUBSTITUTE(TRIM(M399),".",""),"/",""),"-","")," ",""),"(",""),")",""),"+",""),4)="0800")),"OK",IF(AND(LEN(SUBSTITUTE(SUBSTITUTE(SUBSTITUTE(SUBSTITUTE(SUBSTITUTE(SUBSTITUTE(SUBSTITUTE(TRIM(M399),".",""),"/",""),"-","")," ",""),"(",""),")",""),"+",""))=11,MID(SUBSTITUTE(SUBSTITUTE(SUBSTITUTE(SUBSTITUTE(SUBSTITUTE(SUBSTITUTE(SUBSTITUTE(TRIM(M399),".",""),"/",""),"-","")," ",""),"(",""),")",""),"+",""),3,1)="9"),"ERRO: é celular, use a coluna Celular","ERRO: DDD + 8 dígitos ou 0800 + 7")))</f>
      </c>
      <c r="X399" s="6">
        <f>IF(N399="","vazio",IF(AND(LEN(SUBSTITUTE(SUBSTITUTE(SUBSTITUTE(SUBSTITUTE(SUBSTITUTE(SUBSTITUTE(SUBSTITUTE(TRIM(N399),".",""),"/",""),"-","")," ",""),"(",""),")",""),"+",""))=11,MID(SUBSTITUTE(SUBSTITUTE(SUBSTITUTE(SUBSTITUTE(SUBSTITUTE(SUBSTITUTE(SUBSTITUTE(TRIM(N399),".",""),"/",""),"-","")," ",""),"(",""),")",""),"+",""),3,1)="9",LEFT(SUBSTITUTE(SUBSTITUTE(SUBSTITUTE(SUBSTITUTE(SUBSTITUTE(SUBSTITUTE(SUBSTITUTE(TRIM(N399),".",""),"/",""),"-","")," ",""),"(",""),")",""),"+",""),1)&lt;&gt;"0"),"OK",IF(LEN(SUBSTITUTE(SUBSTITUTE(SUBSTITUTE(SUBSTITUTE(SUBSTITUTE(SUBSTITUTE(SUBSTITUTE(TRIM(N399),".",""),"/",""),"-","")," ",""),"(",""),")",""),"+",""))=10,"ERRO: é fixo (ou falta o 9), use a coluna Telefone fixo","ERRO: DDD + 9 + 8 dígitos")))</f>
      </c>
      <c r="Y399" s="6">
        <f>IF(O399="","vazio",IF(AND(ISNUMBER(FIND("@",O399)),ISNUMBER(FIND(".",MID(O399,FIND("@",O399),99))),NOT(ISNUMBER(FIND(" ",TRIM(O399)))),NOT(ISNUMBER(FIND(";",O399))),NOT(ISNUMBER(FIND(",",O399)))),"OK","ERRO: um e-mail válido por linha"))</f>
      </c>
      <c r="Z399" s="6">
        <f>IF(AND(J399="",K399=""),"",IF(AND(J399&lt;&gt;"",K399&lt;&gt;""),"OK","pendente: só um nome (o GR completa ao converter)"))</f>
      </c>
      <c r="AA399" s="6">
        <f>IF(COUNTA(A399:S399)=0,"",IF(AND(A399&lt;&gt;"",B399&lt;&gt;"",C399&lt;&gt;"",D399&lt;&gt;"",E399&lt;&gt;"",F399&lt;&gt;"",G399&lt;&gt;"",H399&lt;&gt;"",OR(J399&lt;&gt;"",K399&lt;&gt;""),OR(M399&lt;&gt;"",N399&lt;&gt;"",O399&lt;&gt;"")),"OK","ERRO: faltam "&amp;IF(A399="","SDR; ","")&amp;IF(B399="","Proprietário; ","")&amp;IF(C399="","Origem; ","")&amp;IF(D399="","Temperatura; ","")&amp;IF(E399="","Segmento; ","")&amp;IF(F399="","Time/Cluster; ","")&amp;IF(G399="","CNPJ; ","")&amp;IF(H399="","Razão Social; ","")&amp;IF(AND(J399="",K399=""),"nome do contato; ","")&amp;IF(AND(M399="",N399="",O399=""),"telefone, celular ou e-mail; ","")))</f>
      </c>
      <c r="AB399" s="6">
        <f>IF(COUNTA(A399:S399)=0,"",IF(AND(U399="OK",V399="OK",LEFT(W399,4)&lt;&gt;"ERRO",LEFT(X399,4)&lt;&gt;"ERRO",LEFT(Y399,4)&lt;&gt;"ERRO",AA399="OK"),"OK","REVISAR"))</f>
      </c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5"/>
      <c r="K400" s="4"/>
      <c r="L400" s="4"/>
      <c r="M400" s="4"/>
      <c r="N400" s="4"/>
      <c r="O400" s="4"/>
      <c r="P400" s="4"/>
      <c r="Q400" s="4"/>
      <c r="R400" s="4"/>
      <c r="S400" s="4"/>
      <c r="T400" s="6">
        <f>IF(G400="","",SUBSTITUTE(SUBSTITUTE(SUBSTITUTE(SUBSTITUTE(SUBSTITUTE(SUBSTITUTE(SUBSTITUTE(TRIM(G400),".",""),"/",""),"-","")," ",""),"(",""),")",""),"+",""))</f>
      </c>
      <c r="U400" s="6">
        <f>IF(T400="","",IF(LEN(T400)&lt;&gt;14,"ERRO: "&amp;LEN(T400)&amp;" dígitos",IF(NOT(ISNUMBER(VALUE(T400))),"ERRO: não numérico",IF(LEN(SUBSTITUTE(T400,LEFT(T400,1),""))=0,"ERRO: dígitos repetidos",IF(AND(VALUE(MID(T400,13,1))=IF(MOD(SUMPRODUCT(--MID(T400,{1,2,3,4,5,6,7,8,9,10,11,12},1),{5,4,3,2,9,8,7,6,5,4,3,2}),11)&lt;2,0,11-MOD(SUMPRODUCT(--MID(T400,{1,2,3,4,5,6,7,8,9,10,11,12},1),{5,4,3,2,9,8,7,6,5,4,3,2}),11)),VALUE(MID(T400,14,1))=IF(MOD(SUMPRODUCT(--MID(T400,{1,2,3,4,5,6,7,8,9,10,11,12,13},1),{6,5,4,3,2,9,8,7,6,5,4,3,2}),11)&lt;2,0,11-MOD(SUMPRODUCT(--MID(T400,{1,2,3,4,5,6,7,8,9,10,11,12,13},1),{6,5,4,3,2,9,8,7,6,5,4,3,2}),11))),"OK","ERRO: dígito verificador")))))</f>
      </c>
      <c r="V400" s="6">
        <f>IF(T400="","",IF(COUNTIF($T$2:$T$1001,T400)&gt;1,"DUPLICADO","OK"))</f>
      </c>
      <c r="W400" s="6">
        <f>IF(M400="","vazio",IF(OR(AND(LEN(SUBSTITUTE(SUBSTITUTE(SUBSTITUTE(SUBSTITUTE(SUBSTITUTE(SUBSTITUTE(SUBSTITUTE(TRIM(M400),".",""),"/",""),"-","")," ",""),"(",""),")",""),"+",""))=10,LEFT(SUBSTITUTE(SUBSTITUTE(SUBSTITUTE(SUBSTITUTE(SUBSTITUTE(SUBSTITUTE(SUBSTITUTE(TRIM(M400),".",""),"/",""),"-","")," ",""),"(",""),")",""),"+",""),1)&lt;&gt;"0"),AND(LEN(SUBSTITUTE(SUBSTITUTE(SUBSTITUTE(SUBSTITUTE(SUBSTITUTE(SUBSTITUTE(SUBSTITUTE(TRIM(M400),".",""),"/",""),"-","")," ",""),"(",""),")",""),"+",""))=11,LEFT(SUBSTITUTE(SUBSTITUTE(SUBSTITUTE(SUBSTITUTE(SUBSTITUTE(SUBSTITUTE(SUBSTITUTE(TRIM(M400),".",""),"/",""),"-","")," ",""),"(",""),")",""),"+",""),4)="0800")),"OK",IF(AND(LEN(SUBSTITUTE(SUBSTITUTE(SUBSTITUTE(SUBSTITUTE(SUBSTITUTE(SUBSTITUTE(SUBSTITUTE(TRIM(M400),".",""),"/",""),"-","")," ",""),"(",""),")",""),"+",""))=11,MID(SUBSTITUTE(SUBSTITUTE(SUBSTITUTE(SUBSTITUTE(SUBSTITUTE(SUBSTITUTE(SUBSTITUTE(TRIM(M400),".",""),"/",""),"-","")," ",""),"(",""),")",""),"+",""),3,1)="9"),"ERRO: é celular, use a coluna Celular","ERRO: DDD + 8 dígitos ou 0800 + 7")))</f>
      </c>
      <c r="X400" s="6">
        <f>IF(N400="","vazio",IF(AND(LEN(SUBSTITUTE(SUBSTITUTE(SUBSTITUTE(SUBSTITUTE(SUBSTITUTE(SUBSTITUTE(SUBSTITUTE(TRIM(N400),".",""),"/",""),"-","")," ",""),"(",""),")",""),"+",""))=11,MID(SUBSTITUTE(SUBSTITUTE(SUBSTITUTE(SUBSTITUTE(SUBSTITUTE(SUBSTITUTE(SUBSTITUTE(TRIM(N400),".",""),"/",""),"-","")," ",""),"(",""),")",""),"+",""),3,1)="9",LEFT(SUBSTITUTE(SUBSTITUTE(SUBSTITUTE(SUBSTITUTE(SUBSTITUTE(SUBSTITUTE(SUBSTITUTE(TRIM(N400),".",""),"/",""),"-","")," ",""),"(",""),")",""),"+",""),1)&lt;&gt;"0"),"OK",IF(LEN(SUBSTITUTE(SUBSTITUTE(SUBSTITUTE(SUBSTITUTE(SUBSTITUTE(SUBSTITUTE(SUBSTITUTE(TRIM(N400),".",""),"/",""),"-","")," ",""),"(",""),")",""),"+",""))=10,"ERRO: é fixo (ou falta o 9), use a coluna Telefone fixo","ERRO: DDD + 9 + 8 dígitos")))</f>
      </c>
      <c r="Y400" s="6">
        <f>IF(O400="","vazio",IF(AND(ISNUMBER(FIND("@",O400)),ISNUMBER(FIND(".",MID(O400,FIND("@",O400),99))),NOT(ISNUMBER(FIND(" ",TRIM(O400)))),NOT(ISNUMBER(FIND(";",O400))),NOT(ISNUMBER(FIND(",",O400)))),"OK","ERRO: um e-mail válido por linha"))</f>
      </c>
      <c r="Z400" s="6">
        <f>IF(AND(J400="",K400=""),"",IF(AND(J400&lt;&gt;"",K400&lt;&gt;""),"OK","pendente: só um nome (o GR completa ao converter)"))</f>
      </c>
      <c r="AA400" s="6">
        <f>IF(COUNTA(A400:S400)=0,"",IF(AND(A400&lt;&gt;"",B400&lt;&gt;"",C400&lt;&gt;"",D400&lt;&gt;"",E400&lt;&gt;"",F400&lt;&gt;"",G400&lt;&gt;"",H400&lt;&gt;"",OR(J400&lt;&gt;"",K400&lt;&gt;""),OR(M400&lt;&gt;"",N400&lt;&gt;"",O400&lt;&gt;"")),"OK","ERRO: faltam "&amp;IF(A400="","SDR; ","")&amp;IF(B400="","Proprietário; ","")&amp;IF(C400="","Origem; ","")&amp;IF(D400="","Temperatura; ","")&amp;IF(E400="","Segmento; ","")&amp;IF(F400="","Time/Cluster; ","")&amp;IF(G400="","CNPJ; ","")&amp;IF(H400="","Razão Social; ","")&amp;IF(AND(J400="",K400=""),"nome do contato; ","")&amp;IF(AND(M400="",N400="",O400=""),"telefone, celular ou e-mail; ","")))</f>
      </c>
      <c r="AB400" s="6">
        <f>IF(COUNTA(A400:S400)=0,"",IF(AND(U400="OK",V400="OK",LEFT(W400,4)&lt;&gt;"ERRO",LEFT(X400,4)&lt;&gt;"ERRO",LEFT(Y400,4)&lt;&gt;"ERRO",AA400="OK"),"OK","REVISAR"))</f>
      </c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5"/>
      <c r="K401" s="4"/>
      <c r="L401" s="4"/>
      <c r="M401" s="4"/>
      <c r="N401" s="4"/>
      <c r="O401" s="4"/>
      <c r="P401" s="4"/>
      <c r="Q401" s="4"/>
      <c r="R401" s="4"/>
      <c r="S401" s="4"/>
      <c r="T401" s="6">
        <f>IF(G401="","",SUBSTITUTE(SUBSTITUTE(SUBSTITUTE(SUBSTITUTE(SUBSTITUTE(SUBSTITUTE(SUBSTITUTE(TRIM(G401),".",""),"/",""),"-","")," ",""),"(",""),")",""),"+",""))</f>
      </c>
      <c r="U401" s="6">
        <f>IF(T401="","",IF(LEN(T401)&lt;&gt;14,"ERRO: "&amp;LEN(T401)&amp;" dígitos",IF(NOT(ISNUMBER(VALUE(T401))),"ERRO: não numérico",IF(LEN(SUBSTITUTE(T401,LEFT(T401,1),""))=0,"ERRO: dígitos repetidos",IF(AND(VALUE(MID(T401,13,1))=IF(MOD(SUMPRODUCT(--MID(T401,{1,2,3,4,5,6,7,8,9,10,11,12},1),{5,4,3,2,9,8,7,6,5,4,3,2}),11)&lt;2,0,11-MOD(SUMPRODUCT(--MID(T401,{1,2,3,4,5,6,7,8,9,10,11,12},1),{5,4,3,2,9,8,7,6,5,4,3,2}),11)),VALUE(MID(T401,14,1))=IF(MOD(SUMPRODUCT(--MID(T401,{1,2,3,4,5,6,7,8,9,10,11,12,13},1),{6,5,4,3,2,9,8,7,6,5,4,3,2}),11)&lt;2,0,11-MOD(SUMPRODUCT(--MID(T401,{1,2,3,4,5,6,7,8,9,10,11,12,13},1),{6,5,4,3,2,9,8,7,6,5,4,3,2}),11))),"OK","ERRO: dígito verificador")))))</f>
      </c>
      <c r="V401" s="6">
        <f>IF(T401="","",IF(COUNTIF($T$2:$T$1001,T401)&gt;1,"DUPLICADO","OK"))</f>
      </c>
      <c r="W401" s="6">
        <f>IF(M401="","vazio",IF(OR(AND(LEN(SUBSTITUTE(SUBSTITUTE(SUBSTITUTE(SUBSTITUTE(SUBSTITUTE(SUBSTITUTE(SUBSTITUTE(TRIM(M401),".",""),"/",""),"-","")," ",""),"(",""),")",""),"+",""))=10,LEFT(SUBSTITUTE(SUBSTITUTE(SUBSTITUTE(SUBSTITUTE(SUBSTITUTE(SUBSTITUTE(SUBSTITUTE(TRIM(M401),".",""),"/",""),"-","")," ",""),"(",""),")",""),"+",""),1)&lt;&gt;"0"),AND(LEN(SUBSTITUTE(SUBSTITUTE(SUBSTITUTE(SUBSTITUTE(SUBSTITUTE(SUBSTITUTE(SUBSTITUTE(TRIM(M401),".",""),"/",""),"-","")," ",""),"(",""),")",""),"+",""))=11,LEFT(SUBSTITUTE(SUBSTITUTE(SUBSTITUTE(SUBSTITUTE(SUBSTITUTE(SUBSTITUTE(SUBSTITUTE(TRIM(M401),".",""),"/",""),"-","")," ",""),"(",""),")",""),"+",""),4)="0800")),"OK",IF(AND(LEN(SUBSTITUTE(SUBSTITUTE(SUBSTITUTE(SUBSTITUTE(SUBSTITUTE(SUBSTITUTE(SUBSTITUTE(TRIM(M401),".",""),"/",""),"-","")," ",""),"(",""),")",""),"+",""))=11,MID(SUBSTITUTE(SUBSTITUTE(SUBSTITUTE(SUBSTITUTE(SUBSTITUTE(SUBSTITUTE(SUBSTITUTE(TRIM(M401),".",""),"/",""),"-","")," ",""),"(",""),")",""),"+",""),3,1)="9"),"ERRO: é celular, use a coluna Celular","ERRO: DDD + 8 dígitos ou 0800 + 7")))</f>
      </c>
      <c r="X401" s="6">
        <f>IF(N401="","vazio",IF(AND(LEN(SUBSTITUTE(SUBSTITUTE(SUBSTITUTE(SUBSTITUTE(SUBSTITUTE(SUBSTITUTE(SUBSTITUTE(TRIM(N401),".",""),"/",""),"-","")," ",""),"(",""),")",""),"+",""))=11,MID(SUBSTITUTE(SUBSTITUTE(SUBSTITUTE(SUBSTITUTE(SUBSTITUTE(SUBSTITUTE(SUBSTITUTE(TRIM(N401),".",""),"/",""),"-","")," ",""),"(",""),")",""),"+",""),3,1)="9",LEFT(SUBSTITUTE(SUBSTITUTE(SUBSTITUTE(SUBSTITUTE(SUBSTITUTE(SUBSTITUTE(SUBSTITUTE(TRIM(N401),".",""),"/",""),"-","")," ",""),"(",""),")",""),"+",""),1)&lt;&gt;"0"),"OK",IF(LEN(SUBSTITUTE(SUBSTITUTE(SUBSTITUTE(SUBSTITUTE(SUBSTITUTE(SUBSTITUTE(SUBSTITUTE(TRIM(N401),".",""),"/",""),"-","")," ",""),"(",""),")",""),"+",""))=10,"ERRO: é fixo (ou falta o 9), use a coluna Telefone fixo","ERRO: DDD + 9 + 8 dígitos")))</f>
      </c>
      <c r="Y401" s="6">
        <f>IF(O401="","vazio",IF(AND(ISNUMBER(FIND("@",O401)),ISNUMBER(FIND(".",MID(O401,FIND("@",O401),99))),NOT(ISNUMBER(FIND(" ",TRIM(O401)))),NOT(ISNUMBER(FIND(";",O401))),NOT(ISNUMBER(FIND(",",O401)))),"OK","ERRO: um e-mail válido por linha"))</f>
      </c>
      <c r="Z401" s="6">
        <f>IF(AND(J401="",K401=""),"",IF(AND(J401&lt;&gt;"",K401&lt;&gt;""),"OK","pendente: só um nome (o GR completa ao converter)"))</f>
      </c>
      <c r="AA401" s="6">
        <f>IF(COUNTA(A401:S401)=0,"",IF(AND(A401&lt;&gt;"",B401&lt;&gt;"",C401&lt;&gt;"",D401&lt;&gt;"",E401&lt;&gt;"",F401&lt;&gt;"",G401&lt;&gt;"",H401&lt;&gt;"",OR(J401&lt;&gt;"",K401&lt;&gt;""),OR(M401&lt;&gt;"",N401&lt;&gt;"",O401&lt;&gt;"")),"OK","ERRO: faltam "&amp;IF(A401="","SDR; ","")&amp;IF(B401="","Proprietário; ","")&amp;IF(C401="","Origem; ","")&amp;IF(D401="","Temperatura; ","")&amp;IF(E401="","Segmento; ","")&amp;IF(F401="","Time/Cluster; ","")&amp;IF(G401="","CNPJ; ","")&amp;IF(H401="","Razão Social; ","")&amp;IF(AND(J401="",K401=""),"nome do contato; ","")&amp;IF(AND(M401="",N401="",O401=""),"telefone, celular ou e-mail; ","")))</f>
      </c>
      <c r="AB401" s="6">
        <f>IF(COUNTA(A401:S401)=0,"",IF(AND(U401="OK",V401="OK",LEFT(W401,4)&lt;&gt;"ERRO",LEFT(X401,4)&lt;&gt;"ERRO",LEFT(Y401,4)&lt;&gt;"ERRO",AA401="OK"),"OK","REVISAR"))</f>
      </c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5"/>
      <c r="K402" s="4"/>
      <c r="L402" s="4"/>
      <c r="M402" s="4"/>
      <c r="N402" s="4"/>
      <c r="O402" s="4"/>
      <c r="P402" s="4"/>
      <c r="Q402" s="4"/>
      <c r="R402" s="4"/>
      <c r="S402" s="4"/>
      <c r="T402" s="6">
        <f>IF(G402="","",SUBSTITUTE(SUBSTITUTE(SUBSTITUTE(SUBSTITUTE(SUBSTITUTE(SUBSTITUTE(SUBSTITUTE(TRIM(G402),".",""),"/",""),"-","")," ",""),"(",""),")",""),"+",""))</f>
      </c>
      <c r="U402" s="6">
        <f>IF(T402="","",IF(LEN(T402)&lt;&gt;14,"ERRO: "&amp;LEN(T402)&amp;" dígitos",IF(NOT(ISNUMBER(VALUE(T402))),"ERRO: não numérico",IF(LEN(SUBSTITUTE(T402,LEFT(T402,1),""))=0,"ERRO: dígitos repetidos",IF(AND(VALUE(MID(T402,13,1))=IF(MOD(SUMPRODUCT(--MID(T402,{1,2,3,4,5,6,7,8,9,10,11,12},1),{5,4,3,2,9,8,7,6,5,4,3,2}),11)&lt;2,0,11-MOD(SUMPRODUCT(--MID(T402,{1,2,3,4,5,6,7,8,9,10,11,12},1),{5,4,3,2,9,8,7,6,5,4,3,2}),11)),VALUE(MID(T402,14,1))=IF(MOD(SUMPRODUCT(--MID(T402,{1,2,3,4,5,6,7,8,9,10,11,12,13},1),{6,5,4,3,2,9,8,7,6,5,4,3,2}),11)&lt;2,0,11-MOD(SUMPRODUCT(--MID(T402,{1,2,3,4,5,6,7,8,9,10,11,12,13},1),{6,5,4,3,2,9,8,7,6,5,4,3,2}),11))),"OK","ERRO: dígito verificador")))))</f>
      </c>
      <c r="V402" s="6">
        <f>IF(T402="","",IF(COUNTIF($T$2:$T$1001,T402)&gt;1,"DUPLICADO","OK"))</f>
      </c>
      <c r="W402" s="6">
        <f>IF(M402="","vazio",IF(OR(AND(LEN(SUBSTITUTE(SUBSTITUTE(SUBSTITUTE(SUBSTITUTE(SUBSTITUTE(SUBSTITUTE(SUBSTITUTE(TRIM(M402),".",""),"/",""),"-","")," ",""),"(",""),")",""),"+",""))=10,LEFT(SUBSTITUTE(SUBSTITUTE(SUBSTITUTE(SUBSTITUTE(SUBSTITUTE(SUBSTITUTE(SUBSTITUTE(TRIM(M402),".",""),"/",""),"-","")," ",""),"(",""),")",""),"+",""),1)&lt;&gt;"0"),AND(LEN(SUBSTITUTE(SUBSTITUTE(SUBSTITUTE(SUBSTITUTE(SUBSTITUTE(SUBSTITUTE(SUBSTITUTE(TRIM(M402),".",""),"/",""),"-","")," ",""),"(",""),")",""),"+",""))=11,LEFT(SUBSTITUTE(SUBSTITUTE(SUBSTITUTE(SUBSTITUTE(SUBSTITUTE(SUBSTITUTE(SUBSTITUTE(TRIM(M402),".",""),"/",""),"-","")," ",""),"(",""),")",""),"+",""),4)="0800")),"OK",IF(AND(LEN(SUBSTITUTE(SUBSTITUTE(SUBSTITUTE(SUBSTITUTE(SUBSTITUTE(SUBSTITUTE(SUBSTITUTE(TRIM(M402),".",""),"/",""),"-","")," ",""),"(",""),")",""),"+",""))=11,MID(SUBSTITUTE(SUBSTITUTE(SUBSTITUTE(SUBSTITUTE(SUBSTITUTE(SUBSTITUTE(SUBSTITUTE(TRIM(M402),".",""),"/",""),"-","")," ",""),"(",""),")",""),"+",""),3,1)="9"),"ERRO: é celular, use a coluna Celular","ERRO: DDD + 8 dígitos ou 0800 + 7")))</f>
      </c>
      <c r="X402" s="6">
        <f>IF(N402="","vazio",IF(AND(LEN(SUBSTITUTE(SUBSTITUTE(SUBSTITUTE(SUBSTITUTE(SUBSTITUTE(SUBSTITUTE(SUBSTITUTE(TRIM(N402),".",""),"/",""),"-","")," ",""),"(",""),")",""),"+",""))=11,MID(SUBSTITUTE(SUBSTITUTE(SUBSTITUTE(SUBSTITUTE(SUBSTITUTE(SUBSTITUTE(SUBSTITUTE(TRIM(N402),".",""),"/",""),"-","")," ",""),"(",""),")",""),"+",""),3,1)="9",LEFT(SUBSTITUTE(SUBSTITUTE(SUBSTITUTE(SUBSTITUTE(SUBSTITUTE(SUBSTITUTE(SUBSTITUTE(TRIM(N402),".",""),"/",""),"-","")," ",""),"(",""),")",""),"+",""),1)&lt;&gt;"0"),"OK",IF(LEN(SUBSTITUTE(SUBSTITUTE(SUBSTITUTE(SUBSTITUTE(SUBSTITUTE(SUBSTITUTE(SUBSTITUTE(TRIM(N402),".",""),"/",""),"-","")," ",""),"(",""),")",""),"+",""))=10,"ERRO: é fixo (ou falta o 9), use a coluna Telefone fixo","ERRO: DDD + 9 + 8 dígitos")))</f>
      </c>
      <c r="Y402" s="6">
        <f>IF(O402="","vazio",IF(AND(ISNUMBER(FIND("@",O402)),ISNUMBER(FIND(".",MID(O402,FIND("@",O402),99))),NOT(ISNUMBER(FIND(" ",TRIM(O402)))),NOT(ISNUMBER(FIND(";",O402))),NOT(ISNUMBER(FIND(",",O402)))),"OK","ERRO: um e-mail válido por linha"))</f>
      </c>
      <c r="Z402" s="6">
        <f>IF(AND(J402="",K402=""),"",IF(AND(J402&lt;&gt;"",K402&lt;&gt;""),"OK","pendente: só um nome (o GR completa ao converter)"))</f>
      </c>
      <c r="AA402" s="6">
        <f>IF(COUNTA(A402:S402)=0,"",IF(AND(A402&lt;&gt;"",B402&lt;&gt;"",C402&lt;&gt;"",D402&lt;&gt;"",E402&lt;&gt;"",F402&lt;&gt;"",G402&lt;&gt;"",H402&lt;&gt;"",OR(J402&lt;&gt;"",K402&lt;&gt;""),OR(M402&lt;&gt;"",N402&lt;&gt;"",O402&lt;&gt;"")),"OK","ERRO: faltam "&amp;IF(A402="","SDR; ","")&amp;IF(B402="","Proprietário; ","")&amp;IF(C402="","Origem; ","")&amp;IF(D402="","Temperatura; ","")&amp;IF(E402="","Segmento; ","")&amp;IF(F402="","Time/Cluster; ","")&amp;IF(G402="","CNPJ; ","")&amp;IF(H402="","Razão Social; ","")&amp;IF(AND(J402="",K402=""),"nome do contato; ","")&amp;IF(AND(M402="",N402="",O402=""),"telefone, celular ou e-mail; ","")))</f>
      </c>
      <c r="AB402" s="6">
        <f>IF(COUNTA(A402:S402)=0,"",IF(AND(U402="OK",V402="OK",LEFT(W402,4)&lt;&gt;"ERRO",LEFT(X402,4)&lt;&gt;"ERRO",LEFT(Y402,4)&lt;&gt;"ERRO",AA402="OK"),"OK","REVISAR"))</f>
      </c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5"/>
      <c r="K403" s="4"/>
      <c r="L403" s="4"/>
      <c r="M403" s="4"/>
      <c r="N403" s="4"/>
      <c r="O403" s="4"/>
      <c r="P403" s="4"/>
      <c r="Q403" s="4"/>
      <c r="R403" s="4"/>
      <c r="S403" s="4"/>
      <c r="T403" s="6">
        <f>IF(G403="","",SUBSTITUTE(SUBSTITUTE(SUBSTITUTE(SUBSTITUTE(SUBSTITUTE(SUBSTITUTE(SUBSTITUTE(TRIM(G403),".",""),"/",""),"-","")," ",""),"(",""),")",""),"+",""))</f>
      </c>
      <c r="U403" s="6">
        <f>IF(T403="","",IF(LEN(T403)&lt;&gt;14,"ERRO: "&amp;LEN(T403)&amp;" dígitos",IF(NOT(ISNUMBER(VALUE(T403))),"ERRO: não numérico",IF(LEN(SUBSTITUTE(T403,LEFT(T403,1),""))=0,"ERRO: dígitos repetidos",IF(AND(VALUE(MID(T403,13,1))=IF(MOD(SUMPRODUCT(--MID(T403,{1,2,3,4,5,6,7,8,9,10,11,12},1),{5,4,3,2,9,8,7,6,5,4,3,2}),11)&lt;2,0,11-MOD(SUMPRODUCT(--MID(T403,{1,2,3,4,5,6,7,8,9,10,11,12},1),{5,4,3,2,9,8,7,6,5,4,3,2}),11)),VALUE(MID(T403,14,1))=IF(MOD(SUMPRODUCT(--MID(T403,{1,2,3,4,5,6,7,8,9,10,11,12,13},1),{6,5,4,3,2,9,8,7,6,5,4,3,2}),11)&lt;2,0,11-MOD(SUMPRODUCT(--MID(T403,{1,2,3,4,5,6,7,8,9,10,11,12,13},1),{6,5,4,3,2,9,8,7,6,5,4,3,2}),11))),"OK","ERRO: dígito verificador")))))</f>
      </c>
      <c r="V403" s="6">
        <f>IF(T403="","",IF(COUNTIF($T$2:$T$1001,T403)&gt;1,"DUPLICADO","OK"))</f>
      </c>
      <c r="W403" s="6">
        <f>IF(M403="","vazio",IF(OR(AND(LEN(SUBSTITUTE(SUBSTITUTE(SUBSTITUTE(SUBSTITUTE(SUBSTITUTE(SUBSTITUTE(SUBSTITUTE(TRIM(M403),".",""),"/",""),"-","")," ",""),"(",""),")",""),"+",""))=10,LEFT(SUBSTITUTE(SUBSTITUTE(SUBSTITUTE(SUBSTITUTE(SUBSTITUTE(SUBSTITUTE(SUBSTITUTE(TRIM(M403),".",""),"/",""),"-","")," ",""),"(",""),")",""),"+",""),1)&lt;&gt;"0"),AND(LEN(SUBSTITUTE(SUBSTITUTE(SUBSTITUTE(SUBSTITUTE(SUBSTITUTE(SUBSTITUTE(SUBSTITUTE(TRIM(M403),".",""),"/",""),"-","")," ",""),"(",""),")",""),"+",""))=11,LEFT(SUBSTITUTE(SUBSTITUTE(SUBSTITUTE(SUBSTITUTE(SUBSTITUTE(SUBSTITUTE(SUBSTITUTE(TRIM(M403),".",""),"/",""),"-","")," ",""),"(",""),")",""),"+",""),4)="0800")),"OK",IF(AND(LEN(SUBSTITUTE(SUBSTITUTE(SUBSTITUTE(SUBSTITUTE(SUBSTITUTE(SUBSTITUTE(SUBSTITUTE(TRIM(M403),".",""),"/",""),"-","")," ",""),"(",""),")",""),"+",""))=11,MID(SUBSTITUTE(SUBSTITUTE(SUBSTITUTE(SUBSTITUTE(SUBSTITUTE(SUBSTITUTE(SUBSTITUTE(TRIM(M403),".",""),"/",""),"-","")," ",""),"(",""),")",""),"+",""),3,1)="9"),"ERRO: é celular, use a coluna Celular","ERRO: DDD + 8 dígitos ou 0800 + 7")))</f>
      </c>
      <c r="X403" s="6">
        <f>IF(N403="","vazio",IF(AND(LEN(SUBSTITUTE(SUBSTITUTE(SUBSTITUTE(SUBSTITUTE(SUBSTITUTE(SUBSTITUTE(SUBSTITUTE(TRIM(N403),".",""),"/",""),"-","")," ",""),"(",""),")",""),"+",""))=11,MID(SUBSTITUTE(SUBSTITUTE(SUBSTITUTE(SUBSTITUTE(SUBSTITUTE(SUBSTITUTE(SUBSTITUTE(TRIM(N403),".",""),"/",""),"-","")," ",""),"(",""),")",""),"+",""),3,1)="9",LEFT(SUBSTITUTE(SUBSTITUTE(SUBSTITUTE(SUBSTITUTE(SUBSTITUTE(SUBSTITUTE(SUBSTITUTE(TRIM(N403),".",""),"/",""),"-","")," ",""),"(",""),")",""),"+",""),1)&lt;&gt;"0"),"OK",IF(LEN(SUBSTITUTE(SUBSTITUTE(SUBSTITUTE(SUBSTITUTE(SUBSTITUTE(SUBSTITUTE(SUBSTITUTE(TRIM(N403),".",""),"/",""),"-","")," ",""),"(",""),")",""),"+",""))=10,"ERRO: é fixo (ou falta o 9), use a coluna Telefone fixo","ERRO: DDD + 9 + 8 dígitos")))</f>
      </c>
      <c r="Y403" s="6">
        <f>IF(O403="","vazio",IF(AND(ISNUMBER(FIND("@",O403)),ISNUMBER(FIND(".",MID(O403,FIND("@",O403),99))),NOT(ISNUMBER(FIND(" ",TRIM(O403)))),NOT(ISNUMBER(FIND(";",O403))),NOT(ISNUMBER(FIND(",",O403)))),"OK","ERRO: um e-mail válido por linha"))</f>
      </c>
      <c r="Z403" s="6">
        <f>IF(AND(J403="",K403=""),"",IF(AND(J403&lt;&gt;"",K403&lt;&gt;""),"OK","pendente: só um nome (o GR completa ao converter)"))</f>
      </c>
      <c r="AA403" s="6">
        <f>IF(COUNTA(A403:S403)=0,"",IF(AND(A403&lt;&gt;"",B403&lt;&gt;"",C403&lt;&gt;"",D403&lt;&gt;"",E403&lt;&gt;"",F403&lt;&gt;"",G403&lt;&gt;"",H403&lt;&gt;"",OR(J403&lt;&gt;"",K403&lt;&gt;""),OR(M403&lt;&gt;"",N403&lt;&gt;"",O403&lt;&gt;"")),"OK","ERRO: faltam "&amp;IF(A403="","SDR; ","")&amp;IF(B403="","Proprietário; ","")&amp;IF(C403="","Origem; ","")&amp;IF(D403="","Temperatura; ","")&amp;IF(E403="","Segmento; ","")&amp;IF(F403="","Time/Cluster; ","")&amp;IF(G403="","CNPJ; ","")&amp;IF(H403="","Razão Social; ","")&amp;IF(AND(J403="",K403=""),"nome do contato; ","")&amp;IF(AND(M403="",N403="",O403=""),"telefone, celular ou e-mail; ","")))</f>
      </c>
      <c r="AB403" s="6">
        <f>IF(COUNTA(A403:S403)=0,"",IF(AND(U403="OK",V403="OK",LEFT(W403,4)&lt;&gt;"ERRO",LEFT(X403,4)&lt;&gt;"ERRO",LEFT(Y403,4)&lt;&gt;"ERRO",AA403="OK"),"OK","REVISAR"))</f>
      </c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5"/>
      <c r="K404" s="4"/>
      <c r="L404" s="4"/>
      <c r="M404" s="4"/>
      <c r="N404" s="4"/>
      <c r="O404" s="4"/>
      <c r="P404" s="4"/>
      <c r="Q404" s="4"/>
      <c r="R404" s="4"/>
      <c r="S404" s="4"/>
      <c r="T404" s="6">
        <f>IF(G404="","",SUBSTITUTE(SUBSTITUTE(SUBSTITUTE(SUBSTITUTE(SUBSTITUTE(SUBSTITUTE(SUBSTITUTE(TRIM(G404),".",""),"/",""),"-","")," ",""),"(",""),")",""),"+",""))</f>
      </c>
      <c r="U404" s="6">
        <f>IF(T404="","",IF(LEN(T404)&lt;&gt;14,"ERRO: "&amp;LEN(T404)&amp;" dígitos",IF(NOT(ISNUMBER(VALUE(T404))),"ERRO: não numérico",IF(LEN(SUBSTITUTE(T404,LEFT(T404,1),""))=0,"ERRO: dígitos repetidos",IF(AND(VALUE(MID(T404,13,1))=IF(MOD(SUMPRODUCT(--MID(T404,{1,2,3,4,5,6,7,8,9,10,11,12},1),{5,4,3,2,9,8,7,6,5,4,3,2}),11)&lt;2,0,11-MOD(SUMPRODUCT(--MID(T404,{1,2,3,4,5,6,7,8,9,10,11,12},1),{5,4,3,2,9,8,7,6,5,4,3,2}),11)),VALUE(MID(T404,14,1))=IF(MOD(SUMPRODUCT(--MID(T404,{1,2,3,4,5,6,7,8,9,10,11,12,13},1),{6,5,4,3,2,9,8,7,6,5,4,3,2}),11)&lt;2,0,11-MOD(SUMPRODUCT(--MID(T404,{1,2,3,4,5,6,7,8,9,10,11,12,13},1),{6,5,4,3,2,9,8,7,6,5,4,3,2}),11))),"OK","ERRO: dígito verificador")))))</f>
      </c>
      <c r="V404" s="6">
        <f>IF(T404="","",IF(COUNTIF($T$2:$T$1001,T404)&gt;1,"DUPLICADO","OK"))</f>
      </c>
      <c r="W404" s="6">
        <f>IF(M404="","vazio",IF(OR(AND(LEN(SUBSTITUTE(SUBSTITUTE(SUBSTITUTE(SUBSTITUTE(SUBSTITUTE(SUBSTITUTE(SUBSTITUTE(TRIM(M404),".",""),"/",""),"-","")," ",""),"(",""),")",""),"+",""))=10,LEFT(SUBSTITUTE(SUBSTITUTE(SUBSTITUTE(SUBSTITUTE(SUBSTITUTE(SUBSTITUTE(SUBSTITUTE(TRIM(M404),".",""),"/",""),"-","")," ",""),"(",""),")",""),"+",""),1)&lt;&gt;"0"),AND(LEN(SUBSTITUTE(SUBSTITUTE(SUBSTITUTE(SUBSTITUTE(SUBSTITUTE(SUBSTITUTE(SUBSTITUTE(TRIM(M404),".",""),"/",""),"-","")," ",""),"(",""),")",""),"+",""))=11,LEFT(SUBSTITUTE(SUBSTITUTE(SUBSTITUTE(SUBSTITUTE(SUBSTITUTE(SUBSTITUTE(SUBSTITUTE(TRIM(M404),".",""),"/",""),"-","")," ",""),"(",""),")",""),"+",""),4)="0800")),"OK",IF(AND(LEN(SUBSTITUTE(SUBSTITUTE(SUBSTITUTE(SUBSTITUTE(SUBSTITUTE(SUBSTITUTE(SUBSTITUTE(TRIM(M404),".",""),"/",""),"-","")," ",""),"(",""),")",""),"+",""))=11,MID(SUBSTITUTE(SUBSTITUTE(SUBSTITUTE(SUBSTITUTE(SUBSTITUTE(SUBSTITUTE(SUBSTITUTE(TRIM(M404),".",""),"/",""),"-","")," ",""),"(",""),")",""),"+",""),3,1)="9"),"ERRO: é celular, use a coluna Celular","ERRO: DDD + 8 dígitos ou 0800 + 7")))</f>
      </c>
      <c r="X404" s="6">
        <f>IF(N404="","vazio",IF(AND(LEN(SUBSTITUTE(SUBSTITUTE(SUBSTITUTE(SUBSTITUTE(SUBSTITUTE(SUBSTITUTE(SUBSTITUTE(TRIM(N404),".",""),"/",""),"-","")," ",""),"(",""),")",""),"+",""))=11,MID(SUBSTITUTE(SUBSTITUTE(SUBSTITUTE(SUBSTITUTE(SUBSTITUTE(SUBSTITUTE(SUBSTITUTE(TRIM(N404),".",""),"/",""),"-","")," ",""),"(",""),")",""),"+",""),3,1)="9",LEFT(SUBSTITUTE(SUBSTITUTE(SUBSTITUTE(SUBSTITUTE(SUBSTITUTE(SUBSTITUTE(SUBSTITUTE(TRIM(N404),".",""),"/",""),"-","")," ",""),"(",""),")",""),"+",""),1)&lt;&gt;"0"),"OK",IF(LEN(SUBSTITUTE(SUBSTITUTE(SUBSTITUTE(SUBSTITUTE(SUBSTITUTE(SUBSTITUTE(SUBSTITUTE(TRIM(N404),".",""),"/",""),"-","")," ",""),"(",""),")",""),"+",""))=10,"ERRO: é fixo (ou falta o 9), use a coluna Telefone fixo","ERRO: DDD + 9 + 8 dígitos")))</f>
      </c>
      <c r="Y404" s="6">
        <f>IF(O404="","vazio",IF(AND(ISNUMBER(FIND("@",O404)),ISNUMBER(FIND(".",MID(O404,FIND("@",O404),99))),NOT(ISNUMBER(FIND(" ",TRIM(O404)))),NOT(ISNUMBER(FIND(";",O404))),NOT(ISNUMBER(FIND(",",O404)))),"OK","ERRO: um e-mail válido por linha"))</f>
      </c>
      <c r="Z404" s="6">
        <f>IF(AND(J404="",K404=""),"",IF(AND(J404&lt;&gt;"",K404&lt;&gt;""),"OK","pendente: só um nome (o GR completa ao converter)"))</f>
      </c>
      <c r="AA404" s="6">
        <f>IF(COUNTA(A404:S404)=0,"",IF(AND(A404&lt;&gt;"",B404&lt;&gt;"",C404&lt;&gt;"",D404&lt;&gt;"",E404&lt;&gt;"",F404&lt;&gt;"",G404&lt;&gt;"",H404&lt;&gt;"",OR(J404&lt;&gt;"",K404&lt;&gt;""),OR(M404&lt;&gt;"",N404&lt;&gt;"",O404&lt;&gt;"")),"OK","ERRO: faltam "&amp;IF(A404="","SDR; ","")&amp;IF(B404="","Proprietário; ","")&amp;IF(C404="","Origem; ","")&amp;IF(D404="","Temperatura; ","")&amp;IF(E404="","Segmento; ","")&amp;IF(F404="","Time/Cluster; ","")&amp;IF(G404="","CNPJ; ","")&amp;IF(H404="","Razão Social; ","")&amp;IF(AND(J404="",K404=""),"nome do contato; ","")&amp;IF(AND(M404="",N404="",O404=""),"telefone, celular ou e-mail; ","")))</f>
      </c>
      <c r="AB404" s="6">
        <f>IF(COUNTA(A404:S404)=0,"",IF(AND(U404="OK",V404="OK",LEFT(W404,4)&lt;&gt;"ERRO",LEFT(X404,4)&lt;&gt;"ERRO",LEFT(Y404,4)&lt;&gt;"ERRO",AA404="OK"),"OK","REVISAR"))</f>
      </c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5"/>
      <c r="K405" s="4"/>
      <c r="L405" s="4"/>
      <c r="M405" s="4"/>
      <c r="N405" s="4"/>
      <c r="O405" s="4"/>
      <c r="P405" s="4"/>
      <c r="Q405" s="4"/>
      <c r="R405" s="4"/>
      <c r="S405" s="4"/>
      <c r="T405" s="6">
        <f>IF(G405="","",SUBSTITUTE(SUBSTITUTE(SUBSTITUTE(SUBSTITUTE(SUBSTITUTE(SUBSTITUTE(SUBSTITUTE(TRIM(G405),".",""),"/",""),"-","")," ",""),"(",""),")",""),"+",""))</f>
      </c>
      <c r="U405" s="6">
        <f>IF(T405="","",IF(LEN(T405)&lt;&gt;14,"ERRO: "&amp;LEN(T405)&amp;" dígitos",IF(NOT(ISNUMBER(VALUE(T405))),"ERRO: não numérico",IF(LEN(SUBSTITUTE(T405,LEFT(T405,1),""))=0,"ERRO: dígitos repetidos",IF(AND(VALUE(MID(T405,13,1))=IF(MOD(SUMPRODUCT(--MID(T405,{1,2,3,4,5,6,7,8,9,10,11,12},1),{5,4,3,2,9,8,7,6,5,4,3,2}),11)&lt;2,0,11-MOD(SUMPRODUCT(--MID(T405,{1,2,3,4,5,6,7,8,9,10,11,12},1),{5,4,3,2,9,8,7,6,5,4,3,2}),11)),VALUE(MID(T405,14,1))=IF(MOD(SUMPRODUCT(--MID(T405,{1,2,3,4,5,6,7,8,9,10,11,12,13},1),{6,5,4,3,2,9,8,7,6,5,4,3,2}),11)&lt;2,0,11-MOD(SUMPRODUCT(--MID(T405,{1,2,3,4,5,6,7,8,9,10,11,12,13},1),{6,5,4,3,2,9,8,7,6,5,4,3,2}),11))),"OK","ERRO: dígito verificador")))))</f>
      </c>
      <c r="V405" s="6">
        <f>IF(T405="","",IF(COUNTIF($T$2:$T$1001,T405)&gt;1,"DUPLICADO","OK"))</f>
      </c>
      <c r="W405" s="6">
        <f>IF(M405="","vazio",IF(OR(AND(LEN(SUBSTITUTE(SUBSTITUTE(SUBSTITUTE(SUBSTITUTE(SUBSTITUTE(SUBSTITUTE(SUBSTITUTE(TRIM(M405),".",""),"/",""),"-","")," ",""),"(",""),")",""),"+",""))=10,LEFT(SUBSTITUTE(SUBSTITUTE(SUBSTITUTE(SUBSTITUTE(SUBSTITUTE(SUBSTITUTE(SUBSTITUTE(TRIM(M405),".",""),"/",""),"-","")," ",""),"(",""),")",""),"+",""),1)&lt;&gt;"0"),AND(LEN(SUBSTITUTE(SUBSTITUTE(SUBSTITUTE(SUBSTITUTE(SUBSTITUTE(SUBSTITUTE(SUBSTITUTE(TRIM(M405),".",""),"/",""),"-","")," ",""),"(",""),")",""),"+",""))=11,LEFT(SUBSTITUTE(SUBSTITUTE(SUBSTITUTE(SUBSTITUTE(SUBSTITUTE(SUBSTITUTE(SUBSTITUTE(TRIM(M405),".",""),"/",""),"-","")," ",""),"(",""),")",""),"+",""),4)="0800")),"OK",IF(AND(LEN(SUBSTITUTE(SUBSTITUTE(SUBSTITUTE(SUBSTITUTE(SUBSTITUTE(SUBSTITUTE(SUBSTITUTE(TRIM(M405),".",""),"/",""),"-","")," ",""),"(",""),")",""),"+",""))=11,MID(SUBSTITUTE(SUBSTITUTE(SUBSTITUTE(SUBSTITUTE(SUBSTITUTE(SUBSTITUTE(SUBSTITUTE(TRIM(M405),".",""),"/",""),"-","")," ",""),"(",""),")",""),"+",""),3,1)="9"),"ERRO: é celular, use a coluna Celular","ERRO: DDD + 8 dígitos ou 0800 + 7")))</f>
      </c>
      <c r="X405" s="6">
        <f>IF(N405="","vazio",IF(AND(LEN(SUBSTITUTE(SUBSTITUTE(SUBSTITUTE(SUBSTITUTE(SUBSTITUTE(SUBSTITUTE(SUBSTITUTE(TRIM(N405),".",""),"/",""),"-","")," ",""),"(",""),")",""),"+",""))=11,MID(SUBSTITUTE(SUBSTITUTE(SUBSTITUTE(SUBSTITUTE(SUBSTITUTE(SUBSTITUTE(SUBSTITUTE(TRIM(N405),".",""),"/",""),"-","")," ",""),"(",""),")",""),"+",""),3,1)="9",LEFT(SUBSTITUTE(SUBSTITUTE(SUBSTITUTE(SUBSTITUTE(SUBSTITUTE(SUBSTITUTE(SUBSTITUTE(TRIM(N405),".",""),"/",""),"-","")," ",""),"(",""),")",""),"+",""),1)&lt;&gt;"0"),"OK",IF(LEN(SUBSTITUTE(SUBSTITUTE(SUBSTITUTE(SUBSTITUTE(SUBSTITUTE(SUBSTITUTE(SUBSTITUTE(TRIM(N405),".",""),"/",""),"-","")," ",""),"(",""),")",""),"+",""))=10,"ERRO: é fixo (ou falta o 9), use a coluna Telefone fixo","ERRO: DDD + 9 + 8 dígitos")))</f>
      </c>
      <c r="Y405" s="6">
        <f>IF(O405="","vazio",IF(AND(ISNUMBER(FIND("@",O405)),ISNUMBER(FIND(".",MID(O405,FIND("@",O405),99))),NOT(ISNUMBER(FIND(" ",TRIM(O405)))),NOT(ISNUMBER(FIND(";",O405))),NOT(ISNUMBER(FIND(",",O405)))),"OK","ERRO: um e-mail válido por linha"))</f>
      </c>
      <c r="Z405" s="6">
        <f>IF(AND(J405="",K405=""),"",IF(AND(J405&lt;&gt;"",K405&lt;&gt;""),"OK","pendente: só um nome (o GR completa ao converter)"))</f>
      </c>
      <c r="AA405" s="6">
        <f>IF(COUNTA(A405:S405)=0,"",IF(AND(A405&lt;&gt;"",B405&lt;&gt;"",C405&lt;&gt;"",D405&lt;&gt;"",E405&lt;&gt;"",F405&lt;&gt;"",G405&lt;&gt;"",H405&lt;&gt;"",OR(J405&lt;&gt;"",K405&lt;&gt;""),OR(M405&lt;&gt;"",N405&lt;&gt;"",O405&lt;&gt;"")),"OK","ERRO: faltam "&amp;IF(A405="","SDR; ","")&amp;IF(B405="","Proprietário; ","")&amp;IF(C405="","Origem; ","")&amp;IF(D405="","Temperatura; ","")&amp;IF(E405="","Segmento; ","")&amp;IF(F405="","Time/Cluster; ","")&amp;IF(G405="","CNPJ; ","")&amp;IF(H405="","Razão Social; ","")&amp;IF(AND(J405="",K405=""),"nome do contato; ","")&amp;IF(AND(M405="",N405="",O405=""),"telefone, celular ou e-mail; ","")))</f>
      </c>
      <c r="AB405" s="6">
        <f>IF(COUNTA(A405:S405)=0,"",IF(AND(U405="OK",V405="OK",LEFT(W405,4)&lt;&gt;"ERRO",LEFT(X405,4)&lt;&gt;"ERRO",LEFT(Y405,4)&lt;&gt;"ERRO",AA405="OK"),"OK","REVISAR"))</f>
      </c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5"/>
      <c r="K406" s="4"/>
      <c r="L406" s="4"/>
      <c r="M406" s="4"/>
      <c r="N406" s="4"/>
      <c r="O406" s="4"/>
      <c r="P406" s="4"/>
      <c r="Q406" s="4"/>
      <c r="R406" s="4"/>
      <c r="S406" s="4"/>
      <c r="T406" s="6">
        <f>IF(G406="","",SUBSTITUTE(SUBSTITUTE(SUBSTITUTE(SUBSTITUTE(SUBSTITUTE(SUBSTITUTE(SUBSTITUTE(TRIM(G406),".",""),"/",""),"-","")," ",""),"(",""),")",""),"+",""))</f>
      </c>
      <c r="U406" s="6">
        <f>IF(T406="","",IF(LEN(T406)&lt;&gt;14,"ERRO: "&amp;LEN(T406)&amp;" dígitos",IF(NOT(ISNUMBER(VALUE(T406))),"ERRO: não numérico",IF(LEN(SUBSTITUTE(T406,LEFT(T406,1),""))=0,"ERRO: dígitos repetidos",IF(AND(VALUE(MID(T406,13,1))=IF(MOD(SUMPRODUCT(--MID(T406,{1,2,3,4,5,6,7,8,9,10,11,12},1),{5,4,3,2,9,8,7,6,5,4,3,2}),11)&lt;2,0,11-MOD(SUMPRODUCT(--MID(T406,{1,2,3,4,5,6,7,8,9,10,11,12},1),{5,4,3,2,9,8,7,6,5,4,3,2}),11)),VALUE(MID(T406,14,1))=IF(MOD(SUMPRODUCT(--MID(T406,{1,2,3,4,5,6,7,8,9,10,11,12,13},1),{6,5,4,3,2,9,8,7,6,5,4,3,2}),11)&lt;2,0,11-MOD(SUMPRODUCT(--MID(T406,{1,2,3,4,5,6,7,8,9,10,11,12,13},1),{6,5,4,3,2,9,8,7,6,5,4,3,2}),11))),"OK","ERRO: dígito verificador")))))</f>
      </c>
      <c r="V406" s="6">
        <f>IF(T406="","",IF(COUNTIF($T$2:$T$1001,T406)&gt;1,"DUPLICADO","OK"))</f>
      </c>
      <c r="W406" s="6">
        <f>IF(M406="","vazio",IF(OR(AND(LEN(SUBSTITUTE(SUBSTITUTE(SUBSTITUTE(SUBSTITUTE(SUBSTITUTE(SUBSTITUTE(SUBSTITUTE(TRIM(M406),".",""),"/",""),"-","")," ",""),"(",""),")",""),"+",""))=10,LEFT(SUBSTITUTE(SUBSTITUTE(SUBSTITUTE(SUBSTITUTE(SUBSTITUTE(SUBSTITUTE(SUBSTITUTE(TRIM(M406),".",""),"/",""),"-","")," ",""),"(",""),")",""),"+",""),1)&lt;&gt;"0"),AND(LEN(SUBSTITUTE(SUBSTITUTE(SUBSTITUTE(SUBSTITUTE(SUBSTITUTE(SUBSTITUTE(SUBSTITUTE(TRIM(M406),".",""),"/",""),"-","")," ",""),"(",""),")",""),"+",""))=11,LEFT(SUBSTITUTE(SUBSTITUTE(SUBSTITUTE(SUBSTITUTE(SUBSTITUTE(SUBSTITUTE(SUBSTITUTE(TRIM(M406),".",""),"/",""),"-","")," ",""),"(",""),")",""),"+",""),4)="0800")),"OK",IF(AND(LEN(SUBSTITUTE(SUBSTITUTE(SUBSTITUTE(SUBSTITUTE(SUBSTITUTE(SUBSTITUTE(SUBSTITUTE(TRIM(M406),".",""),"/",""),"-","")," ",""),"(",""),")",""),"+",""))=11,MID(SUBSTITUTE(SUBSTITUTE(SUBSTITUTE(SUBSTITUTE(SUBSTITUTE(SUBSTITUTE(SUBSTITUTE(TRIM(M406),".",""),"/",""),"-","")," ",""),"(",""),")",""),"+",""),3,1)="9"),"ERRO: é celular, use a coluna Celular","ERRO: DDD + 8 dígitos ou 0800 + 7")))</f>
      </c>
      <c r="X406" s="6">
        <f>IF(N406="","vazio",IF(AND(LEN(SUBSTITUTE(SUBSTITUTE(SUBSTITUTE(SUBSTITUTE(SUBSTITUTE(SUBSTITUTE(SUBSTITUTE(TRIM(N406),".",""),"/",""),"-","")," ",""),"(",""),")",""),"+",""))=11,MID(SUBSTITUTE(SUBSTITUTE(SUBSTITUTE(SUBSTITUTE(SUBSTITUTE(SUBSTITUTE(SUBSTITUTE(TRIM(N406),".",""),"/",""),"-","")," ",""),"(",""),")",""),"+",""),3,1)="9",LEFT(SUBSTITUTE(SUBSTITUTE(SUBSTITUTE(SUBSTITUTE(SUBSTITUTE(SUBSTITUTE(SUBSTITUTE(TRIM(N406),".",""),"/",""),"-","")," ",""),"(",""),")",""),"+",""),1)&lt;&gt;"0"),"OK",IF(LEN(SUBSTITUTE(SUBSTITUTE(SUBSTITUTE(SUBSTITUTE(SUBSTITUTE(SUBSTITUTE(SUBSTITUTE(TRIM(N406),".",""),"/",""),"-","")," ",""),"(",""),")",""),"+",""))=10,"ERRO: é fixo (ou falta o 9), use a coluna Telefone fixo","ERRO: DDD + 9 + 8 dígitos")))</f>
      </c>
      <c r="Y406" s="6">
        <f>IF(O406="","vazio",IF(AND(ISNUMBER(FIND("@",O406)),ISNUMBER(FIND(".",MID(O406,FIND("@",O406),99))),NOT(ISNUMBER(FIND(" ",TRIM(O406)))),NOT(ISNUMBER(FIND(";",O406))),NOT(ISNUMBER(FIND(",",O406)))),"OK","ERRO: um e-mail válido por linha"))</f>
      </c>
      <c r="Z406" s="6">
        <f>IF(AND(J406="",K406=""),"",IF(AND(J406&lt;&gt;"",K406&lt;&gt;""),"OK","pendente: só um nome (o GR completa ao converter)"))</f>
      </c>
      <c r="AA406" s="6">
        <f>IF(COUNTA(A406:S406)=0,"",IF(AND(A406&lt;&gt;"",B406&lt;&gt;"",C406&lt;&gt;"",D406&lt;&gt;"",E406&lt;&gt;"",F406&lt;&gt;"",G406&lt;&gt;"",H406&lt;&gt;"",OR(J406&lt;&gt;"",K406&lt;&gt;""),OR(M406&lt;&gt;"",N406&lt;&gt;"",O406&lt;&gt;"")),"OK","ERRO: faltam "&amp;IF(A406="","SDR; ","")&amp;IF(B406="","Proprietário; ","")&amp;IF(C406="","Origem; ","")&amp;IF(D406="","Temperatura; ","")&amp;IF(E406="","Segmento; ","")&amp;IF(F406="","Time/Cluster; ","")&amp;IF(G406="","CNPJ; ","")&amp;IF(H406="","Razão Social; ","")&amp;IF(AND(J406="",K406=""),"nome do contato; ","")&amp;IF(AND(M406="",N406="",O406=""),"telefone, celular ou e-mail; ","")))</f>
      </c>
      <c r="AB406" s="6">
        <f>IF(COUNTA(A406:S406)=0,"",IF(AND(U406="OK",V406="OK",LEFT(W406,4)&lt;&gt;"ERRO",LEFT(X406,4)&lt;&gt;"ERRO",LEFT(Y406,4)&lt;&gt;"ERRO",AA406="OK"),"OK","REVISAR"))</f>
      </c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5"/>
      <c r="K407" s="4"/>
      <c r="L407" s="4"/>
      <c r="M407" s="4"/>
      <c r="N407" s="4"/>
      <c r="O407" s="4"/>
      <c r="P407" s="4"/>
      <c r="Q407" s="4"/>
      <c r="R407" s="4"/>
      <c r="S407" s="4"/>
      <c r="T407" s="6">
        <f>IF(G407="","",SUBSTITUTE(SUBSTITUTE(SUBSTITUTE(SUBSTITUTE(SUBSTITUTE(SUBSTITUTE(SUBSTITUTE(TRIM(G407),".",""),"/",""),"-","")," ",""),"(",""),")",""),"+",""))</f>
      </c>
      <c r="U407" s="6">
        <f>IF(T407="","",IF(LEN(T407)&lt;&gt;14,"ERRO: "&amp;LEN(T407)&amp;" dígitos",IF(NOT(ISNUMBER(VALUE(T407))),"ERRO: não numérico",IF(LEN(SUBSTITUTE(T407,LEFT(T407,1),""))=0,"ERRO: dígitos repetidos",IF(AND(VALUE(MID(T407,13,1))=IF(MOD(SUMPRODUCT(--MID(T407,{1,2,3,4,5,6,7,8,9,10,11,12},1),{5,4,3,2,9,8,7,6,5,4,3,2}),11)&lt;2,0,11-MOD(SUMPRODUCT(--MID(T407,{1,2,3,4,5,6,7,8,9,10,11,12},1),{5,4,3,2,9,8,7,6,5,4,3,2}),11)),VALUE(MID(T407,14,1))=IF(MOD(SUMPRODUCT(--MID(T407,{1,2,3,4,5,6,7,8,9,10,11,12,13},1),{6,5,4,3,2,9,8,7,6,5,4,3,2}),11)&lt;2,0,11-MOD(SUMPRODUCT(--MID(T407,{1,2,3,4,5,6,7,8,9,10,11,12,13},1),{6,5,4,3,2,9,8,7,6,5,4,3,2}),11))),"OK","ERRO: dígito verificador")))))</f>
      </c>
      <c r="V407" s="6">
        <f>IF(T407="","",IF(COUNTIF($T$2:$T$1001,T407)&gt;1,"DUPLICADO","OK"))</f>
      </c>
      <c r="W407" s="6">
        <f>IF(M407="","vazio",IF(OR(AND(LEN(SUBSTITUTE(SUBSTITUTE(SUBSTITUTE(SUBSTITUTE(SUBSTITUTE(SUBSTITUTE(SUBSTITUTE(TRIM(M407),".",""),"/",""),"-","")," ",""),"(",""),")",""),"+",""))=10,LEFT(SUBSTITUTE(SUBSTITUTE(SUBSTITUTE(SUBSTITUTE(SUBSTITUTE(SUBSTITUTE(SUBSTITUTE(TRIM(M407),".",""),"/",""),"-","")," ",""),"(",""),")",""),"+",""),1)&lt;&gt;"0"),AND(LEN(SUBSTITUTE(SUBSTITUTE(SUBSTITUTE(SUBSTITUTE(SUBSTITUTE(SUBSTITUTE(SUBSTITUTE(TRIM(M407),".",""),"/",""),"-","")," ",""),"(",""),")",""),"+",""))=11,LEFT(SUBSTITUTE(SUBSTITUTE(SUBSTITUTE(SUBSTITUTE(SUBSTITUTE(SUBSTITUTE(SUBSTITUTE(TRIM(M407),".",""),"/",""),"-","")," ",""),"(",""),")",""),"+",""),4)="0800")),"OK",IF(AND(LEN(SUBSTITUTE(SUBSTITUTE(SUBSTITUTE(SUBSTITUTE(SUBSTITUTE(SUBSTITUTE(SUBSTITUTE(TRIM(M407),".",""),"/",""),"-","")," ",""),"(",""),")",""),"+",""))=11,MID(SUBSTITUTE(SUBSTITUTE(SUBSTITUTE(SUBSTITUTE(SUBSTITUTE(SUBSTITUTE(SUBSTITUTE(TRIM(M407),".",""),"/",""),"-","")," ",""),"(",""),")",""),"+",""),3,1)="9"),"ERRO: é celular, use a coluna Celular","ERRO: DDD + 8 dígitos ou 0800 + 7")))</f>
      </c>
      <c r="X407" s="6">
        <f>IF(N407="","vazio",IF(AND(LEN(SUBSTITUTE(SUBSTITUTE(SUBSTITUTE(SUBSTITUTE(SUBSTITUTE(SUBSTITUTE(SUBSTITUTE(TRIM(N407),".",""),"/",""),"-","")," ",""),"(",""),")",""),"+",""))=11,MID(SUBSTITUTE(SUBSTITUTE(SUBSTITUTE(SUBSTITUTE(SUBSTITUTE(SUBSTITUTE(SUBSTITUTE(TRIM(N407),".",""),"/",""),"-","")," ",""),"(",""),")",""),"+",""),3,1)="9",LEFT(SUBSTITUTE(SUBSTITUTE(SUBSTITUTE(SUBSTITUTE(SUBSTITUTE(SUBSTITUTE(SUBSTITUTE(TRIM(N407),".",""),"/",""),"-","")," ",""),"(",""),")",""),"+",""),1)&lt;&gt;"0"),"OK",IF(LEN(SUBSTITUTE(SUBSTITUTE(SUBSTITUTE(SUBSTITUTE(SUBSTITUTE(SUBSTITUTE(SUBSTITUTE(TRIM(N407),".",""),"/",""),"-","")," ",""),"(",""),")",""),"+",""))=10,"ERRO: é fixo (ou falta o 9), use a coluna Telefone fixo","ERRO: DDD + 9 + 8 dígitos")))</f>
      </c>
      <c r="Y407" s="6">
        <f>IF(O407="","vazio",IF(AND(ISNUMBER(FIND("@",O407)),ISNUMBER(FIND(".",MID(O407,FIND("@",O407),99))),NOT(ISNUMBER(FIND(" ",TRIM(O407)))),NOT(ISNUMBER(FIND(";",O407))),NOT(ISNUMBER(FIND(",",O407)))),"OK","ERRO: um e-mail válido por linha"))</f>
      </c>
      <c r="Z407" s="6">
        <f>IF(AND(J407="",K407=""),"",IF(AND(J407&lt;&gt;"",K407&lt;&gt;""),"OK","pendente: só um nome (o GR completa ao converter)"))</f>
      </c>
      <c r="AA407" s="6">
        <f>IF(COUNTA(A407:S407)=0,"",IF(AND(A407&lt;&gt;"",B407&lt;&gt;"",C407&lt;&gt;"",D407&lt;&gt;"",E407&lt;&gt;"",F407&lt;&gt;"",G407&lt;&gt;"",H407&lt;&gt;"",OR(J407&lt;&gt;"",K407&lt;&gt;""),OR(M407&lt;&gt;"",N407&lt;&gt;"",O407&lt;&gt;"")),"OK","ERRO: faltam "&amp;IF(A407="","SDR; ","")&amp;IF(B407="","Proprietário; ","")&amp;IF(C407="","Origem; ","")&amp;IF(D407="","Temperatura; ","")&amp;IF(E407="","Segmento; ","")&amp;IF(F407="","Time/Cluster; ","")&amp;IF(G407="","CNPJ; ","")&amp;IF(H407="","Razão Social; ","")&amp;IF(AND(J407="",K407=""),"nome do contato; ","")&amp;IF(AND(M407="",N407="",O407=""),"telefone, celular ou e-mail; ","")))</f>
      </c>
      <c r="AB407" s="6">
        <f>IF(COUNTA(A407:S407)=0,"",IF(AND(U407="OK",V407="OK",LEFT(W407,4)&lt;&gt;"ERRO",LEFT(X407,4)&lt;&gt;"ERRO",LEFT(Y407,4)&lt;&gt;"ERRO",AA407="OK"),"OK","REVISAR"))</f>
      </c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5"/>
      <c r="K408" s="4"/>
      <c r="L408" s="4"/>
      <c r="M408" s="4"/>
      <c r="N408" s="4"/>
      <c r="O408" s="4"/>
      <c r="P408" s="4"/>
      <c r="Q408" s="4"/>
      <c r="R408" s="4"/>
      <c r="S408" s="4"/>
      <c r="T408" s="6">
        <f>IF(G408="","",SUBSTITUTE(SUBSTITUTE(SUBSTITUTE(SUBSTITUTE(SUBSTITUTE(SUBSTITUTE(SUBSTITUTE(TRIM(G408),".",""),"/",""),"-","")," ",""),"(",""),")",""),"+",""))</f>
      </c>
      <c r="U408" s="6">
        <f>IF(T408="","",IF(LEN(T408)&lt;&gt;14,"ERRO: "&amp;LEN(T408)&amp;" dígitos",IF(NOT(ISNUMBER(VALUE(T408))),"ERRO: não numérico",IF(LEN(SUBSTITUTE(T408,LEFT(T408,1),""))=0,"ERRO: dígitos repetidos",IF(AND(VALUE(MID(T408,13,1))=IF(MOD(SUMPRODUCT(--MID(T408,{1,2,3,4,5,6,7,8,9,10,11,12},1),{5,4,3,2,9,8,7,6,5,4,3,2}),11)&lt;2,0,11-MOD(SUMPRODUCT(--MID(T408,{1,2,3,4,5,6,7,8,9,10,11,12},1),{5,4,3,2,9,8,7,6,5,4,3,2}),11)),VALUE(MID(T408,14,1))=IF(MOD(SUMPRODUCT(--MID(T408,{1,2,3,4,5,6,7,8,9,10,11,12,13},1),{6,5,4,3,2,9,8,7,6,5,4,3,2}),11)&lt;2,0,11-MOD(SUMPRODUCT(--MID(T408,{1,2,3,4,5,6,7,8,9,10,11,12,13},1),{6,5,4,3,2,9,8,7,6,5,4,3,2}),11))),"OK","ERRO: dígito verificador")))))</f>
      </c>
      <c r="V408" s="6">
        <f>IF(T408="","",IF(COUNTIF($T$2:$T$1001,T408)&gt;1,"DUPLICADO","OK"))</f>
      </c>
      <c r="W408" s="6">
        <f>IF(M408="","vazio",IF(OR(AND(LEN(SUBSTITUTE(SUBSTITUTE(SUBSTITUTE(SUBSTITUTE(SUBSTITUTE(SUBSTITUTE(SUBSTITUTE(TRIM(M408),".",""),"/",""),"-","")," ",""),"(",""),")",""),"+",""))=10,LEFT(SUBSTITUTE(SUBSTITUTE(SUBSTITUTE(SUBSTITUTE(SUBSTITUTE(SUBSTITUTE(SUBSTITUTE(TRIM(M408),".",""),"/",""),"-","")," ",""),"(",""),")",""),"+",""),1)&lt;&gt;"0"),AND(LEN(SUBSTITUTE(SUBSTITUTE(SUBSTITUTE(SUBSTITUTE(SUBSTITUTE(SUBSTITUTE(SUBSTITUTE(TRIM(M408),".",""),"/",""),"-","")," ",""),"(",""),")",""),"+",""))=11,LEFT(SUBSTITUTE(SUBSTITUTE(SUBSTITUTE(SUBSTITUTE(SUBSTITUTE(SUBSTITUTE(SUBSTITUTE(TRIM(M408),".",""),"/",""),"-","")," ",""),"(",""),")",""),"+",""),4)="0800")),"OK",IF(AND(LEN(SUBSTITUTE(SUBSTITUTE(SUBSTITUTE(SUBSTITUTE(SUBSTITUTE(SUBSTITUTE(SUBSTITUTE(TRIM(M408),".",""),"/",""),"-","")," ",""),"(",""),")",""),"+",""))=11,MID(SUBSTITUTE(SUBSTITUTE(SUBSTITUTE(SUBSTITUTE(SUBSTITUTE(SUBSTITUTE(SUBSTITUTE(TRIM(M408),".",""),"/",""),"-","")," ",""),"(",""),")",""),"+",""),3,1)="9"),"ERRO: é celular, use a coluna Celular","ERRO: DDD + 8 dígitos ou 0800 + 7")))</f>
      </c>
      <c r="X408" s="6">
        <f>IF(N408="","vazio",IF(AND(LEN(SUBSTITUTE(SUBSTITUTE(SUBSTITUTE(SUBSTITUTE(SUBSTITUTE(SUBSTITUTE(SUBSTITUTE(TRIM(N408),".",""),"/",""),"-","")," ",""),"(",""),")",""),"+",""))=11,MID(SUBSTITUTE(SUBSTITUTE(SUBSTITUTE(SUBSTITUTE(SUBSTITUTE(SUBSTITUTE(SUBSTITUTE(TRIM(N408),".",""),"/",""),"-","")," ",""),"(",""),")",""),"+",""),3,1)="9",LEFT(SUBSTITUTE(SUBSTITUTE(SUBSTITUTE(SUBSTITUTE(SUBSTITUTE(SUBSTITUTE(SUBSTITUTE(TRIM(N408),".",""),"/",""),"-","")," ",""),"(",""),")",""),"+",""),1)&lt;&gt;"0"),"OK",IF(LEN(SUBSTITUTE(SUBSTITUTE(SUBSTITUTE(SUBSTITUTE(SUBSTITUTE(SUBSTITUTE(SUBSTITUTE(TRIM(N408),".",""),"/",""),"-","")," ",""),"(",""),")",""),"+",""))=10,"ERRO: é fixo (ou falta o 9), use a coluna Telefone fixo","ERRO: DDD + 9 + 8 dígitos")))</f>
      </c>
      <c r="Y408" s="6">
        <f>IF(O408="","vazio",IF(AND(ISNUMBER(FIND("@",O408)),ISNUMBER(FIND(".",MID(O408,FIND("@",O408),99))),NOT(ISNUMBER(FIND(" ",TRIM(O408)))),NOT(ISNUMBER(FIND(";",O408))),NOT(ISNUMBER(FIND(",",O408)))),"OK","ERRO: um e-mail válido por linha"))</f>
      </c>
      <c r="Z408" s="6">
        <f>IF(AND(J408="",K408=""),"",IF(AND(J408&lt;&gt;"",K408&lt;&gt;""),"OK","pendente: só um nome (o GR completa ao converter)"))</f>
      </c>
      <c r="AA408" s="6">
        <f>IF(COUNTA(A408:S408)=0,"",IF(AND(A408&lt;&gt;"",B408&lt;&gt;"",C408&lt;&gt;"",D408&lt;&gt;"",E408&lt;&gt;"",F408&lt;&gt;"",G408&lt;&gt;"",H408&lt;&gt;"",OR(J408&lt;&gt;"",K408&lt;&gt;""),OR(M408&lt;&gt;"",N408&lt;&gt;"",O408&lt;&gt;"")),"OK","ERRO: faltam "&amp;IF(A408="","SDR; ","")&amp;IF(B408="","Proprietário; ","")&amp;IF(C408="","Origem; ","")&amp;IF(D408="","Temperatura; ","")&amp;IF(E408="","Segmento; ","")&amp;IF(F408="","Time/Cluster; ","")&amp;IF(G408="","CNPJ; ","")&amp;IF(H408="","Razão Social; ","")&amp;IF(AND(J408="",K408=""),"nome do contato; ","")&amp;IF(AND(M408="",N408="",O408=""),"telefone, celular ou e-mail; ","")))</f>
      </c>
      <c r="AB408" s="6">
        <f>IF(COUNTA(A408:S408)=0,"",IF(AND(U408="OK",V408="OK",LEFT(W408,4)&lt;&gt;"ERRO",LEFT(X408,4)&lt;&gt;"ERRO",LEFT(Y408,4)&lt;&gt;"ERRO",AA408="OK"),"OK","REVISAR"))</f>
      </c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5"/>
      <c r="K409" s="4"/>
      <c r="L409" s="4"/>
      <c r="M409" s="4"/>
      <c r="N409" s="4"/>
      <c r="O409" s="4"/>
      <c r="P409" s="4"/>
      <c r="Q409" s="4"/>
      <c r="R409" s="4"/>
      <c r="S409" s="4"/>
      <c r="T409" s="6">
        <f>IF(G409="","",SUBSTITUTE(SUBSTITUTE(SUBSTITUTE(SUBSTITUTE(SUBSTITUTE(SUBSTITUTE(SUBSTITUTE(TRIM(G409),".",""),"/",""),"-","")," ",""),"(",""),")",""),"+",""))</f>
      </c>
      <c r="U409" s="6">
        <f>IF(T409="","",IF(LEN(T409)&lt;&gt;14,"ERRO: "&amp;LEN(T409)&amp;" dígitos",IF(NOT(ISNUMBER(VALUE(T409))),"ERRO: não numérico",IF(LEN(SUBSTITUTE(T409,LEFT(T409,1),""))=0,"ERRO: dígitos repetidos",IF(AND(VALUE(MID(T409,13,1))=IF(MOD(SUMPRODUCT(--MID(T409,{1,2,3,4,5,6,7,8,9,10,11,12},1),{5,4,3,2,9,8,7,6,5,4,3,2}),11)&lt;2,0,11-MOD(SUMPRODUCT(--MID(T409,{1,2,3,4,5,6,7,8,9,10,11,12},1),{5,4,3,2,9,8,7,6,5,4,3,2}),11)),VALUE(MID(T409,14,1))=IF(MOD(SUMPRODUCT(--MID(T409,{1,2,3,4,5,6,7,8,9,10,11,12,13},1),{6,5,4,3,2,9,8,7,6,5,4,3,2}),11)&lt;2,0,11-MOD(SUMPRODUCT(--MID(T409,{1,2,3,4,5,6,7,8,9,10,11,12,13},1),{6,5,4,3,2,9,8,7,6,5,4,3,2}),11))),"OK","ERRO: dígito verificador")))))</f>
      </c>
      <c r="V409" s="6">
        <f>IF(T409="","",IF(COUNTIF($T$2:$T$1001,T409)&gt;1,"DUPLICADO","OK"))</f>
      </c>
      <c r="W409" s="6">
        <f>IF(M409="","vazio",IF(OR(AND(LEN(SUBSTITUTE(SUBSTITUTE(SUBSTITUTE(SUBSTITUTE(SUBSTITUTE(SUBSTITUTE(SUBSTITUTE(TRIM(M409),".",""),"/",""),"-","")," ",""),"(",""),")",""),"+",""))=10,LEFT(SUBSTITUTE(SUBSTITUTE(SUBSTITUTE(SUBSTITUTE(SUBSTITUTE(SUBSTITUTE(SUBSTITUTE(TRIM(M409),".",""),"/",""),"-","")," ",""),"(",""),")",""),"+",""),1)&lt;&gt;"0"),AND(LEN(SUBSTITUTE(SUBSTITUTE(SUBSTITUTE(SUBSTITUTE(SUBSTITUTE(SUBSTITUTE(SUBSTITUTE(TRIM(M409),".",""),"/",""),"-","")," ",""),"(",""),")",""),"+",""))=11,LEFT(SUBSTITUTE(SUBSTITUTE(SUBSTITUTE(SUBSTITUTE(SUBSTITUTE(SUBSTITUTE(SUBSTITUTE(TRIM(M409),".",""),"/",""),"-","")," ",""),"(",""),")",""),"+",""),4)="0800")),"OK",IF(AND(LEN(SUBSTITUTE(SUBSTITUTE(SUBSTITUTE(SUBSTITUTE(SUBSTITUTE(SUBSTITUTE(SUBSTITUTE(TRIM(M409),".",""),"/",""),"-","")," ",""),"(",""),")",""),"+",""))=11,MID(SUBSTITUTE(SUBSTITUTE(SUBSTITUTE(SUBSTITUTE(SUBSTITUTE(SUBSTITUTE(SUBSTITUTE(TRIM(M409),".",""),"/",""),"-","")," ",""),"(",""),")",""),"+",""),3,1)="9"),"ERRO: é celular, use a coluna Celular","ERRO: DDD + 8 dígitos ou 0800 + 7")))</f>
      </c>
      <c r="X409" s="6">
        <f>IF(N409="","vazio",IF(AND(LEN(SUBSTITUTE(SUBSTITUTE(SUBSTITUTE(SUBSTITUTE(SUBSTITUTE(SUBSTITUTE(SUBSTITUTE(TRIM(N409),".",""),"/",""),"-","")," ",""),"(",""),")",""),"+",""))=11,MID(SUBSTITUTE(SUBSTITUTE(SUBSTITUTE(SUBSTITUTE(SUBSTITUTE(SUBSTITUTE(SUBSTITUTE(TRIM(N409),".",""),"/",""),"-","")," ",""),"(",""),")",""),"+",""),3,1)="9",LEFT(SUBSTITUTE(SUBSTITUTE(SUBSTITUTE(SUBSTITUTE(SUBSTITUTE(SUBSTITUTE(SUBSTITUTE(TRIM(N409),".",""),"/",""),"-","")," ",""),"(",""),")",""),"+",""),1)&lt;&gt;"0"),"OK",IF(LEN(SUBSTITUTE(SUBSTITUTE(SUBSTITUTE(SUBSTITUTE(SUBSTITUTE(SUBSTITUTE(SUBSTITUTE(TRIM(N409),".",""),"/",""),"-","")," ",""),"(",""),")",""),"+",""))=10,"ERRO: é fixo (ou falta o 9), use a coluna Telefone fixo","ERRO: DDD + 9 + 8 dígitos")))</f>
      </c>
      <c r="Y409" s="6">
        <f>IF(O409="","vazio",IF(AND(ISNUMBER(FIND("@",O409)),ISNUMBER(FIND(".",MID(O409,FIND("@",O409),99))),NOT(ISNUMBER(FIND(" ",TRIM(O409)))),NOT(ISNUMBER(FIND(";",O409))),NOT(ISNUMBER(FIND(",",O409)))),"OK","ERRO: um e-mail válido por linha"))</f>
      </c>
      <c r="Z409" s="6">
        <f>IF(AND(J409="",K409=""),"",IF(AND(J409&lt;&gt;"",K409&lt;&gt;""),"OK","pendente: só um nome (o GR completa ao converter)"))</f>
      </c>
      <c r="AA409" s="6">
        <f>IF(COUNTA(A409:S409)=0,"",IF(AND(A409&lt;&gt;"",B409&lt;&gt;"",C409&lt;&gt;"",D409&lt;&gt;"",E409&lt;&gt;"",F409&lt;&gt;"",G409&lt;&gt;"",H409&lt;&gt;"",OR(J409&lt;&gt;"",K409&lt;&gt;""),OR(M409&lt;&gt;"",N409&lt;&gt;"",O409&lt;&gt;"")),"OK","ERRO: faltam "&amp;IF(A409="","SDR; ","")&amp;IF(B409="","Proprietário; ","")&amp;IF(C409="","Origem; ","")&amp;IF(D409="","Temperatura; ","")&amp;IF(E409="","Segmento; ","")&amp;IF(F409="","Time/Cluster; ","")&amp;IF(G409="","CNPJ; ","")&amp;IF(H409="","Razão Social; ","")&amp;IF(AND(J409="",K409=""),"nome do contato; ","")&amp;IF(AND(M409="",N409="",O409=""),"telefone, celular ou e-mail; ","")))</f>
      </c>
      <c r="AB409" s="6">
        <f>IF(COUNTA(A409:S409)=0,"",IF(AND(U409="OK",V409="OK",LEFT(W409,4)&lt;&gt;"ERRO",LEFT(X409,4)&lt;&gt;"ERRO",LEFT(Y409,4)&lt;&gt;"ERRO",AA409="OK"),"OK","REVISAR"))</f>
      </c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5"/>
      <c r="K410" s="4"/>
      <c r="L410" s="4"/>
      <c r="M410" s="4"/>
      <c r="N410" s="4"/>
      <c r="O410" s="4"/>
      <c r="P410" s="4"/>
      <c r="Q410" s="4"/>
      <c r="R410" s="4"/>
      <c r="S410" s="4"/>
      <c r="T410" s="6">
        <f>IF(G410="","",SUBSTITUTE(SUBSTITUTE(SUBSTITUTE(SUBSTITUTE(SUBSTITUTE(SUBSTITUTE(SUBSTITUTE(TRIM(G410),".",""),"/",""),"-","")," ",""),"(",""),")",""),"+",""))</f>
      </c>
      <c r="U410" s="6">
        <f>IF(T410="","",IF(LEN(T410)&lt;&gt;14,"ERRO: "&amp;LEN(T410)&amp;" dígitos",IF(NOT(ISNUMBER(VALUE(T410))),"ERRO: não numérico",IF(LEN(SUBSTITUTE(T410,LEFT(T410,1),""))=0,"ERRO: dígitos repetidos",IF(AND(VALUE(MID(T410,13,1))=IF(MOD(SUMPRODUCT(--MID(T410,{1,2,3,4,5,6,7,8,9,10,11,12},1),{5,4,3,2,9,8,7,6,5,4,3,2}),11)&lt;2,0,11-MOD(SUMPRODUCT(--MID(T410,{1,2,3,4,5,6,7,8,9,10,11,12},1),{5,4,3,2,9,8,7,6,5,4,3,2}),11)),VALUE(MID(T410,14,1))=IF(MOD(SUMPRODUCT(--MID(T410,{1,2,3,4,5,6,7,8,9,10,11,12,13},1),{6,5,4,3,2,9,8,7,6,5,4,3,2}),11)&lt;2,0,11-MOD(SUMPRODUCT(--MID(T410,{1,2,3,4,5,6,7,8,9,10,11,12,13},1),{6,5,4,3,2,9,8,7,6,5,4,3,2}),11))),"OK","ERRO: dígito verificador")))))</f>
      </c>
      <c r="V410" s="6">
        <f>IF(T410="","",IF(COUNTIF($T$2:$T$1001,T410)&gt;1,"DUPLICADO","OK"))</f>
      </c>
      <c r="W410" s="6">
        <f>IF(M410="","vazio",IF(OR(AND(LEN(SUBSTITUTE(SUBSTITUTE(SUBSTITUTE(SUBSTITUTE(SUBSTITUTE(SUBSTITUTE(SUBSTITUTE(TRIM(M410),".",""),"/",""),"-","")," ",""),"(",""),")",""),"+",""))=10,LEFT(SUBSTITUTE(SUBSTITUTE(SUBSTITUTE(SUBSTITUTE(SUBSTITUTE(SUBSTITUTE(SUBSTITUTE(TRIM(M410),".",""),"/",""),"-","")," ",""),"(",""),")",""),"+",""),1)&lt;&gt;"0"),AND(LEN(SUBSTITUTE(SUBSTITUTE(SUBSTITUTE(SUBSTITUTE(SUBSTITUTE(SUBSTITUTE(SUBSTITUTE(TRIM(M410),".",""),"/",""),"-","")," ",""),"(",""),")",""),"+",""))=11,LEFT(SUBSTITUTE(SUBSTITUTE(SUBSTITUTE(SUBSTITUTE(SUBSTITUTE(SUBSTITUTE(SUBSTITUTE(TRIM(M410),".",""),"/",""),"-","")," ",""),"(",""),")",""),"+",""),4)="0800")),"OK",IF(AND(LEN(SUBSTITUTE(SUBSTITUTE(SUBSTITUTE(SUBSTITUTE(SUBSTITUTE(SUBSTITUTE(SUBSTITUTE(TRIM(M410),".",""),"/",""),"-","")," ",""),"(",""),")",""),"+",""))=11,MID(SUBSTITUTE(SUBSTITUTE(SUBSTITUTE(SUBSTITUTE(SUBSTITUTE(SUBSTITUTE(SUBSTITUTE(TRIM(M410),".",""),"/",""),"-","")," ",""),"(",""),")",""),"+",""),3,1)="9"),"ERRO: é celular, use a coluna Celular","ERRO: DDD + 8 dígitos ou 0800 + 7")))</f>
      </c>
      <c r="X410" s="6">
        <f>IF(N410="","vazio",IF(AND(LEN(SUBSTITUTE(SUBSTITUTE(SUBSTITUTE(SUBSTITUTE(SUBSTITUTE(SUBSTITUTE(SUBSTITUTE(TRIM(N410),".",""),"/",""),"-","")," ",""),"(",""),")",""),"+",""))=11,MID(SUBSTITUTE(SUBSTITUTE(SUBSTITUTE(SUBSTITUTE(SUBSTITUTE(SUBSTITUTE(SUBSTITUTE(TRIM(N410),".",""),"/",""),"-","")," ",""),"(",""),")",""),"+",""),3,1)="9",LEFT(SUBSTITUTE(SUBSTITUTE(SUBSTITUTE(SUBSTITUTE(SUBSTITUTE(SUBSTITUTE(SUBSTITUTE(TRIM(N410),".",""),"/",""),"-","")," ",""),"(",""),")",""),"+",""),1)&lt;&gt;"0"),"OK",IF(LEN(SUBSTITUTE(SUBSTITUTE(SUBSTITUTE(SUBSTITUTE(SUBSTITUTE(SUBSTITUTE(SUBSTITUTE(TRIM(N410),".",""),"/",""),"-","")," ",""),"(",""),")",""),"+",""))=10,"ERRO: é fixo (ou falta o 9), use a coluna Telefone fixo","ERRO: DDD + 9 + 8 dígitos")))</f>
      </c>
      <c r="Y410" s="6">
        <f>IF(O410="","vazio",IF(AND(ISNUMBER(FIND("@",O410)),ISNUMBER(FIND(".",MID(O410,FIND("@",O410),99))),NOT(ISNUMBER(FIND(" ",TRIM(O410)))),NOT(ISNUMBER(FIND(";",O410))),NOT(ISNUMBER(FIND(",",O410)))),"OK","ERRO: um e-mail válido por linha"))</f>
      </c>
      <c r="Z410" s="6">
        <f>IF(AND(J410="",K410=""),"",IF(AND(J410&lt;&gt;"",K410&lt;&gt;""),"OK","pendente: só um nome (o GR completa ao converter)"))</f>
      </c>
      <c r="AA410" s="6">
        <f>IF(COUNTA(A410:S410)=0,"",IF(AND(A410&lt;&gt;"",B410&lt;&gt;"",C410&lt;&gt;"",D410&lt;&gt;"",E410&lt;&gt;"",F410&lt;&gt;"",G410&lt;&gt;"",H410&lt;&gt;"",OR(J410&lt;&gt;"",K410&lt;&gt;""),OR(M410&lt;&gt;"",N410&lt;&gt;"",O410&lt;&gt;"")),"OK","ERRO: faltam "&amp;IF(A410="","SDR; ","")&amp;IF(B410="","Proprietário; ","")&amp;IF(C410="","Origem; ","")&amp;IF(D410="","Temperatura; ","")&amp;IF(E410="","Segmento; ","")&amp;IF(F410="","Time/Cluster; ","")&amp;IF(G410="","CNPJ; ","")&amp;IF(H410="","Razão Social; ","")&amp;IF(AND(J410="",K410=""),"nome do contato; ","")&amp;IF(AND(M410="",N410="",O410=""),"telefone, celular ou e-mail; ","")))</f>
      </c>
      <c r="AB410" s="6">
        <f>IF(COUNTA(A410:S410)=0,"",IF(AND(U410="OK",V410="OK",LEFT(W410,4)&lt;&gt;"ERRO",LEFT(X410,4)&lt;&gt;"ERRO",LEFT(Y410,4)&lt;&gt;"ERRO",AA410="OK"),"OK","REVISAR"))</f>
      </c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5"/>
      <c r="K411" s="4"/>
      <c r="L411" s="4"/>
      <c r="M411" s="4"/>
      <c r="N411" s="4"/>
      <c r="O411" s="4"/>
      <c r="P411" s="4"/>
      <c r="Q411" s="4"/>
      <c r="R411" s="4"/>
      <c r="S411" s="4"/>
      <c r="T411" s="6">
        <f>IF(G411="","",SUBSTITUTE(SUBSTITUTE(SUBSTITUTE(SUBSTITUTE(SUBSTITUTE(SUBSTITUTE(SUBSTITUTE(TRIM(G411),".",""),"/",""),"-","")," ",""),"(",""),")",""),"+",""))</f>
      </c>
      <c r="U411" s="6">
        <f>IF(T411="","",IF(LEN(T411)&lt;&gt;14,"ERRO: "&amp;LEN(T411)&amp;" dígitos",IF(NOT(ISNUMBER(VALUE(T411))),"ERRO: não numérico",IF(LEN(SUBSTITUTE(T411,LEFT(T411,1),""))=0,"ERRO: dígitos repetidos",IF(AND(VALUE(MID(T411,13,1))=IF(MOD(SUMPRODUCT(--MID(T411,{1,2,3,4,5,6,7,8,9,10,11,12},1),{5,4,3,2,9,8,7,6,5,4,3,2}),11)&lt;2,0,11-MOD(SUMPRODUCT(--MID(T411,{1,2,3,4,5,6,7,8,9,10,11,12},1),{5,4,3,2,9,8,7,6,5,4,3,2}),11)),VALUE(MID(T411,14,1))=IF(MOD(SUMPRODUCT(--MID(T411,{1,2,3,4,5,6,7,8,9,10,11,12,13},1),{6,5,4,3,2,9,8,7,6,5,4,3,2}),11)&lt;2,0,11-MOD(SUMPRODUCT(--MID(T411,{1,2,3,4,5,6,7,8,9,10,11,12,13},1),{6,5,4,3,2,9,8,7,6,5,4,3,2}),11))),"OK","ERRO: dígito verificador")))))</f>
      </c>
      <c r="V411" s="6">
        <f>IF(T411="","",IF(COUNTIF($T$2:$T$1001,T411)&gt;1,"DUPLICADO","OK"))</f>
      </c>
      <c r="W411" s="6">
        <f>IF(M411="","vazio",IF(OR(AND(LEN(SUBSTITUTE(SUBSTITUTE(SUBSTITUTE(SUBSTITUTE(SUBSTITUTE(SUBSTITUTE(SUBSTITUTE(TRIM(M411),".",""),"/",""),"-","")," ",""),"(",""),")",""),"+",""))=10,LEFT(SUBSTITUTE(SUBSTITUTE(SUBSTITUTE(SUBSTITUTE(SUBSTITUTE(SUBSTITUTE(SUBSTITUTE(TRIM(M411),".",""),"/",""),"-","")," ",""),"(",""),")",""),"+",""),1)&lt;&gt;"0"),AND(LEN(SUBSTITUTE(SUBSTITUTE(SUBSTITUTE(SUBSTITUTE(SUBSTITUTE(SUBSTITUTE(SUBSTITUTE(TRIM(M411),".",""),"/",""),"-","")," ",""),"(",""),")",""),"+",""))=11,LEFT(SUBSTITUTE(SUBSTITUTE(SUBSTITUTE(SUBSTITUTE(SUBSTITUTE(SUBSTITUTE(SUBSTITUTE(TRIM(M411),".",""),"/",""),"-","")," ",""),"(",""),")",""),"+",""),4)="0800")),"OK",IF(AND(LEN(SUBSTITUTE(SUBSTITUTE(SUBSTITUTE(SUBSTITUTE(SUBSTITUTE(SUBSTITUTE(SUBSTITUTE(TRIM(M411),".",""),"/",""),"-","")," ",""),"(",""),")",""),"+",""))=11,MID(SUBSTITUTE(SUBSTITUTE(SUBSTITUTE(SUBSTITUTE(SUBSTITUTE(SUBSTITUTE(SUBSTITUTE(TRIM(M411),".",""),"/",""),"-","")," ",""),"(",""),")",""),"+",""),3,1)="9"),"ERRO: é celular, use a coluna Celular","ERRO: DDD + 8 dígitos ou 0800 + 7")))</f>
      </c>
      <c r="X411" s="6">
        <f>IF(N411="","vazio",IF(AND(LEN(SUBSTITUTE(SUBSTITUTE(SUBSTITUTE(SUBSTITUTE(SUBSTITUTE(SUBSTITUTE(SUBSTITUTE(TRIM(N411),".",""),"/",""),"-","")," ",""),"(",""),")",""),"+",""))=11,MID(SUBSTITUTE(SUBSTITUTE(SUBSTITUTE(SUBSTITUTE(SUBSTITUTE(SUBSTITUTE(SUBSTITUTE(TRIM(N411),".",""),"/",""),"-","")," ",""),"(",""),")",""),"+",""),3,1)="9",LEFT(SUBSTITUTE(SUBSTITUTE(SUBSTITUTE(SUBSTITUTE(SUBSTITUTE(SUBSTITUTE(SUBSTITUTE(TRIM(N411),".",""),"/",""),"-","")," ",""),"(",""),")",""),"+",""),1)&lt;&gt;"0"),"OK",IF(LEN(SUBSTITUTE(SUBSTITUTE(SUBSTITUTE(SUBSTITUTE(SUBSTITUTE(SUBSTITUTE(SUBSTITUTE(TRIM(N411),".",""),"/",""),"-","")," ",""),"(",""),")",""),"+",""))=10,"ERRO: é fixo (ou falta o 9), use a coluna Telefone fixo","ERRO: DDD + 9 + 8 dígitos")))</f>
      </c>
      <c r="Y411" s="6">
        <f>IF(O411="","vazio",IF(AND(ISNUMBER(FIND("@",O411)),ISNUMBER(FIND(".",MID(O411,FIND("@",O411),99))),NOT(ISNUMBER(FIND(" ",TRIM(O411)))),NOT(ISNUMBER(FIND(";",O411))),NOT(ISNUMBER(FIND(",",O411)))),"OK","ERRO: um e-mail válido por linha"))</f>
      </c>
      <c r="Z411" s="6">
        <f>IF(AND(J411="",K411=""),"",IF(AND(J411&lt;&gt;"",K411&lt;&gt;""),"OK","pendente: só um nome (o GR completa ao converter)"))</f>
      </c>
      <c r="AA411" s="6">
        <f>IF(COUNTA(A411:S411)=0,"",IF(AND(A411&lt;&gt;"",B411&lt;&gt;"",C411&lt;&gt;"",D411&lt;&gt;"",E411&lt;&gt;"",F411&lt;&gt;"",G411&lt;&gt;"",H411&lt;&gt;"",OR(J411&lt;&gt;"",K411&lt;&gt;""),OR(M411&lt;&gt;"",N411&lt;&gt;"",O411&lt;&gt;"")),"OK","ERRO: faltam "&amp;IF(A411="","SDR; ","")&amp;IF(B411="","Proprietário; ","")&amp;IF(C411="","Origem; ","")&amp;IF(D411="","Temperatura; ","")&amp;IF(E411="","Segmento; ","")&amp;IF(F411="","Time/Cluster; ","")&amp;IF(G411="","CNPJ; ","")&amp;IF(H411="","Razão Social; ","")&amp;IF(AND(J411="",K411=""),"nome do contato; ","")&amp;IF(AND(M411="",N411="",O411=""),"telefone, celular ou e-mail; ","")))</f>
      </c>
      <c r="AB411" s="6">
        <f>IF(COUNTA(A411:S411)=0,"",IF(AND(U411="OK",V411="OK",LEFT(W411,4)&lt;&gt;"ERRO",LEFT(X411,4)&lt;&gt;"ERRO",LEFT(Y411,4)&lt;&gt;"ERRO",AA411="OK"),"OK","REVISAR"))</f>
      </c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5"/>
      <c r="K412" s="4"/>
      <c r="L412" s="4"/>
      <c r="M412" s="4"/>
      <c r="N412" s="4"/>
      <c r="O412" s="4"/>
      <c r="P412" s="4"/>
      <c r="Q412" s="4"/>
      <c r="R412" s="4"/>
      <c r="S412" s="4"/>
      <c r="T412" s="6">
        <f>IF(G412="","",SUBSTITUTE(SUBSTITUTE(SUBSTITUTE(SUBSTITUTE(SUBSTITUTE(SUBSTITUTE(SUBSTITUTE(TRIM(G412),".",""),"/",""),"-","")," ",""),"(",""),")",""),"+",""))</f>
      </c>
      <c r="U412" s="6">
        <f>IF(T412="","",IF(LEN(T412)&lt;&gt;14,"ERRO: "&amp;LEN(T412)&amp;" dígitos",IF(NOT(ISNUMBER(VALUE(T412))),"ERRO: não numérico",IF(LEN(SUBSTITUTE(T412,LEFT(T412,1),""))=0,"ERRO: dígitos repetidos",IF(AND(VALUE(MID(T412,13,1))=IF(MOD(SUMPRODUCT(--MID(T412,{1,2,3,4,5,6,7,8,9,10,11,12},1),{5,4,3,2,9,8,7,6,5,4,3,2}),11)&lt;2,0,11-MOD(SUMPRODUCT(--MID(T412,{1,2,3,4,5,6,7,8,9,10,11,12},1),{5,4,3,2,9,8,7,6,5,4,3,2}),11)),VALUE(MID(T412,14,1))=IF(MOD(SUMPRODUCT(--MID(T412,{1,2,3,4,5,6,7,8,9,10,11,12,13},1),{6,5,4,3,2,9,8,7,6,5,4,3,2}),11)&lt;2,0,11-MOD(SUMPRODUCT(--MID(T412,{1,2,3,4,5,6,7,8,9,10,11,12,13},1),{6,5,4,3,2,9,8,7,6,5,4,3,2}),11))),"OK","ERRO: dígito verificador")))))</f>
      </c>
      <c r="V412" s="6">
        <f>IF(T412="","",IF(COUNTIF($T$2:$T$1001,T412)&gt;1,"DUPLICADO","OK"))</f>
      </c>
      <c r="W412" s="6">
        <f>IF(M412="","vazio",IF(OR(AND(LEN(SUBSTITUTE(SUBSTITUTE(SUBSTITUTE(SUBSTITUTE(SUBSTITUTE(SUBSTITUTE(SUBSTITUTE(TRIM(M412),".",""),"/",""),"-","")," ",""),"(",""),")",""),"+",""))=10,LEFT(SUBSTITUTE(SUBSTITUTE(SUBSTITUTE(SUBSTITUTE(SUBSTITUTE(SUBSTITUTE(SUBSTITUTE(TRIM(M412),".",""),"/",""),"-","")," ",""),"(",""),")",""),"+",""),1)&lt;&gt;"0"),AND(LEN(SUBSTITUTE(SUBSTITUTE(SUBSTITUTE(SUBSTITUTE(SUBSTITUTE(SUBSTITUTE(SUBSTITUTE(TRIM(M412),".",""),"/",""),"-","")," ",""),"(",""),")",""),"+",""))=11,LEFT(SUBSTITUTE(SUBSTITUTE(SUBSTITUTE(SUBSTITUTE(SUBSTITUTE(SUBSTITUTE(SUBSTITUTE(TRIM(M412),".",""),"/",""),"-","")," ",""),"(",""),")",""),"+",""),4)="0800")),"OK",IF(AND(LEN(SUBSTITUTE(SUBSTITUTE(SUBSTITUTE(SUBSTITUTE(SUBSTITUTE(SUBSTITUTE(SUBSTITUTE(TRIM(M412),".",""),"/",""),"-","")," ",""),"(",""),")",""),"+",""))=11,MID(SUBSTITUTE(SUBSTITUTE(SUBSTITUTE(SUBSTITUTE(SUBSTITUTE(SUBSTITUTE(SUBSTITUTE(TRIM(M412),".",""),"/",""),"-","")," ",""),"(",""),")",""),"+",""),3,1)="9"),"ERRO: é celular, use a coluna Celular","ERRO: DDD + 8 dígitos ou 0800 + 7")))</f>
      </c>
      <c r="X412" s="6">
        <f>IF(N412="","vazio",IF(AND(LEN(SUBSTITUTE(SUBSTITUTE(SUBSTITUTE(SUBSTITUTE(SUBSTITUTE(SUBSTITUTE(SUBSTITUTE(TRIM(N412),".",""),"/",""),"-","")," ",""),"(",""),")",""),"+",""))=11,MID(SUBSTITUTE(SUBSTITUTE(SUBSTITUTE(SUBSTITUTE(SUBSTITUTE(SUBSTITUTE(SUBSTITUTE(TRIM(N412),".",""),"/",""),"-","")," ",""),"(",""),")",""),"+",""),3,1)="9",LEFT(SUBSTITUTE(SUBSTITUTE(SUBSTITUTE(SUBSTITUTE(SUBSTITUTE(SUBSTITUTE(SUBSTITUTE(TRIM(N412),".",""),"/",""),"-","")," ",""),"(",""),")",""),"+",""),1)&lt;&gt;"0"),"OK",IF(LEN(SUBSTITUTE(SUBSTITUTE(SUBSTITUTE(SUBSTITUTE(SUBSTITUTE(SUBSTITUTE(SUBSTITUTE(TRIM(N412),".",""),"/",""),"-","")," ",""),"(",""),")",""),"+",""))=10,"ERRO: é fixo (ou falta o 9), use a coluna Telefone fixo","ERRO: DDD + 9 + 8 dígitos")))</f>
      </c>
      <c r="Y412" s="6">
        <f>IF(O412="","vazio",IF(AND(ISNUMBER(FIND("@",O412)),ISNUMBER(FIND(".",MID(O412,FIND("@",O412),99))),NOT(ISNUMBER(FIND(" ",TRIM(O412)))),NOT(ISNUMBER(FIND(";",O412))),NOT(ISNUMBER(FIND(",",O412)))),"OK","ERRO: um e-mail válido por linha"))</f>
      </c>
      <c r="Z412" s="6">
        <f>IF(AND(J412="",K412=""),"",IF(AND(J412&lt;&gt;"",K412&lt;&gt;""),"OK","pendente: só um nome (o GR completa ao converter)"))</f>
      </c>
      <c r="AA412" s="6">
        <f>IF(COUNTA(A412:S412)=0,"",IF(AND(A412&lt;&gt;"",B412&lt;&gt;"",C412&lt;&gt;"",D412&lt;&gt;"",E412&lt;&gt;"",F412&lt;&gt;"",G412&lt;&gt;"",H412&lt;&gt;"",OR(J412&lt;&gt;"",K412&lt;&gt;""),OR(M412&lt;&gt;"",N412&lt;&gt;"",O412&lt;&gt;"")),"OK","ERRO: faltam "&amp;IF(A412="","SDR; ","")&amp;IF(B412="","Proprietário; ","")&amp;IF(C412="","Origem; ","")&amp;IF(D412="","Temperatura; ","")&amp;IF(E412="","Segmento; ","")&amp;IF(F412="","Time/Cluster; ","")&amp;IF(G412="","CNPJ; ","")&amp;IF(H412="","Razão Social; ","")&amp;IF(AND(J412="",K412=""),"nome do contato; ","")&amp;IF(AND(M412="",N412="",O412=""),"telefone, celular ou e-mail; ","")))</f>
      </c>
      <c r="AB412" s="6">
        <f>IF(COUNTA(A412:S412)=0,"",IF(AND(U412="OK",V412="OK",LEFT(W412,4)&lt;&gt;"ERRO",LEFT(X412,4)&lt;&gt;"ERRO",LEFT(Y412,4)&lt;&gt;"ERRO",AA412="OK"),"OK","REVISAR"))</f>
      </c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5"/>
      <c r="K413" s="4"/>
      <c r="L413" s="4"/>
      <c r="M413" s="4"/>
      <c r="N413" s="4"/>
      <c r="O413" s="4"/>
      <c r="P413" s="4"/>
      <c r="Q413" s="4"/>
      <c r="R413" s="4"/>
      <c r="S413" s="4"/>
      <c r="T413" s="6">
        <f>IF(G413="","",SUBSTITUTE(SUBSTITUTE(SUBSTITUTE(SUBSTITUTE(SUBSTITUTE(SUBSTITUTE(SUBSTITUTE(TRIM(G413),".",""),"/",""),"-","")," ",""),"(",""),")",""),"+",""))</f>
      </c>
      <c r="U413" s="6">
        <f>IF(T413="","",IF(LEN(T413)&lt;&gt;14,"ERRO: "&amp;LEN(T413)&amp;" dígitos",IF(NOT(ISNUMBER(VALUE(T413))),"ERRO: não numérico",IF(LEN(SUBSTITUTE(T413,LEFT(T413,1),""))=0,"ERRO: dígitos repetidos",IF(AND(VALUE(MID(T413,13,1))=IF(MOD(SUMPRODUCT(--MID(T413,{1,2,3,4,5,6,7,8,9,10,11,12},1),{5,4,3,2,9,8,7,6,5,4,3,2}),11)&lt;2,0,11-MOD(SUMPRODUCT(--MID(T413,{1,2,3,4,5,6,7,8,9,10,11,12},1),{5,4,3,2,9,8,7,6,5,4,3,2}),11)),VALUE(MID(T413,14,1))=IF(MOD(SUMPRODUCT(--MID(T413,{1,2,3,4,5,6,7,8,9,10,11,12,13},1),{6,5,4,3,2,9,8,7,6,5,4,3,2}),11)&lt;2,0,11-MOD(SUMPRODUCT(--MID(T413,{1,2,3,4,5,6,7,8,9,10,11,12,13},1),{6,5,4,3,2,9,8,7,6,5,4,3,2}),11))),"OK","ERRO: dígito verificador")))))</f>
      </c>
      <c r="V413" s="6">
        <f>IF(T413="","",IF(COUNTIF($T$2:$T$1001,T413)&gt;1,"DUPLICADO","OK"))</f>
      </c>
      <c r="W413" s="6">
        <f>IF(M413="","vazio",IF(OR(AND(LEN(SUBSTITUTE(SUBSTITUTE(SUBSTITUTE(SUBSTITUTE(SUBSTITUTE(SUBSTITUTE(SUBSTITUTE(TRIM(M413),".",""),"/",""),"-","")," ",""),"(",""),")",""),"+",""))=10,LEFT(SUBSTITUTE(SUBSTITUTE(SUBSTITUTE(SUBSTITUTE(SUBSTITUTE(SUBSTITUTE(SUBSTITUTE(TRIM(M413),".",""),"/",""),"-","")," ",""),"(",""),")",""),"+",""),1)&lt;&gt;"0"),AND(LEN(SUBSTITUTE(SUBSTITUTE(SUBSTITUTE(SUBSTITUTE(SUBSTITUTE(SUBSTITUTE(SUBSTITUTE(TRIM(M413),".",""),"/",""),"-","")," ",""),"(",""),")",""),"+",""))=11,LEFT(SUBSTITUTE(SUBSTITUTE(SUBSTITUTE(SUBSTITUTE(SUBSTITUTE(SUBSTITUTE(SUBSTITUTE(TRIM(M413),".",""),"/",""),"-","")," ",""),"(",""),")",""),"+",""),4)="0800")),"OK",IF(AND(LEN(SUBSTITUTE(SUBSTITUTE(SUBSTITUTE(SUBSTITUTE(SUBSTITUTE(SUBSTITUTE(SUBSTITUTE(TRIM(M413),".",""),"/",""),"-","")," ",""),"(",""),")",""),"+",""))=11,MID(SUBSTITUTE(SUBSTITUTE(SUBSTITUTE(SUBSTITUTE(SUBSTITUTE(SUBSTITUTE(SUBSTITUTE(TRIM(M413),".",""),"/",""),"-","")," ",""),"(",""),")",""),"+",""),3,1)="9"),"ERRO: é celular, use a coluna Celular","ERRO: DDD + 8 dígitos ou 0800 + 7")))</f>
      </c>
      <c r="X413" s="6">
        <f>IF(N413="","vazio",IF(AND(LEN(SUBSTITUTE(SUBSTITUTE(SUBSTITUTE(SUBSTITUTE(SUBSTITUTE(SUBSTITUTE(SUBSTITUTE(TRIM(N413),".",""),"/",""),"-","")," ",""),"(",""),")",""),"+",""))=11,MID(SUBSTITUTE(SUBSTITUTE(SUBSTITUTE(SUBSTITUTE(SUBSTITUTE(SUBSTITUTE(SUBSTITUTE(TRIM(N413),".",""),"/",""),"-","")," ",""),"(",""),")",""),"+",""),3,1)="9",LEFT(SUBSTITUTE(SUBSTITUTE(SUBSTITUTE(SUBSTITUTE(SUBSTITUTE(SUBSTITUTE(SUBSTITUTE(TRIM(N413),".",""),"/",""),"-","")," ",""),"(",""),")",""),"+",""),1)&lt;&gt;"0"),"OK",IF(LEN(SUBSTITUTE(SUBSTITUTE(SUBSTITUTE(SUBSTITUTE(SUBSTITUTE(SUBSTITUTE(SUBSTITUTE(TRIM(N413),".",""),"/",""),"-","")," ",""),"(",""),")",""),"+",""))=10,"ERRO: é fixo (ou falta o 9), use a coluna Telefone fixo","ERRO: DDD + 9 + 8 dígitos")))</f>
      </c>
      <c r="Y413" s="6">
        <f>IF(O413="","vazio",IF(AND(ISNUMBER(FIND("@",O413)),ISNUMBER(FIND(".",MID(O413,FIND("@",O413),99))),NOT(ISNUMBER(FIND(" ",TRIM(O413)))),NOT(ISNUMBER(FIND(";",O413))),NOT(ISNUMBER(FIND(",",O413)))),"OK","ERRO: um e-mail válido por linha"))</f>
      </c>
      <c r="Z413" s="6">
        <f>IF(AND(J413="",K413=""),"",IF(AND(J413&lt;&gt;"",K413&lt;&gt;""),"OK","pendente: só um nome (o GR completa ao converter)"))</f>
      </c>
      <c r="AA413" s="6">
        <f>IF(COUNTA(A413:S413)=0,"",IF(AND(A413&lt;&gt;"",B413&lt;&gt;"",C413&lt;&gt;"",D413&lt;&gt;"",E413&lt;&gt;"",F413&lt;&gt;"",G413&lt;&gt;"",H413&lt;&gt;"",OR(J413&lt;&gt;"",K413&lt;&gt;""),OR(M413&lt;&gt;"",N413&lt;&gt;"",O413&lt;&gt;"")),"OK","ERRO: faltam "&amp;IF(A413="","SDR; ","")&amp;IF(B413="","Proprietário; ","")&amp;IF(C413="","Origem; ","")&amp;IF(D413="","Temperatura; ","")&amp;IF(E413="","Segmento; ","")&amp;IF(F413="","Time/Cluster; ","")&amp;IF(G413="","CNPJ; ","")&amp;IF(H413="","Razão Social; ","")&amp;IF(AND(J413="",K413=""),"nome do contato; ","")&amp;IF(AND(M413="",N413="",O413=""),"telefone, celular ou e-mail; ","")))</f>
      </c>
      <c r="AB413" s="6">
        <f>IF(COUNTA(A413:S413)=0,"",IF(AND(U413="OK",V413="OK",LEFT(W413,4)&lt;&gt;"ERRO",LEFT(X413,4)&lt;&gt;"ERRO",LEFT(Y413,4)&lt;&gt;"ERRO",AA413="OK"),"OK","REVISAR"))</f>
      </c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5"/>
      <c r="K414" s="4"/>
      <c r="L414" s="4"/>
      <c r="M414" s="4"/>
      <c r="N414" s="4"/>
      <c r="O414" s="4"/>
      <c r="P414" s="4"/>
      <c r="Q414" s="4"/>
      <c r="R414" s="4"/>
      <c r="S414" s="4"/>
      <c r="T414" s="6">
        <f>IF(G414="","",SUBSTITUTE(SUBSTITUTE(SUBSTITUTE(SUBSTITUTE(SUBSTITUTE(SUBSTITUTE(SUBSTITUTE(TRIM(G414),".",""),"/",""),"-","")," ",""),"(",""),")",""),"+",""))</f>
      </c>
      <c r="U414" s="6">
        <f>IF(T414="","",IF(LEN(T414)&lt;&gt;14,"ERRO: "&amp;LEN(T414)&amp;" dígitos",IF(NOT(ISNUMBER(VALUE(T414))),"ERRO: não numérico",IF(LEN(SUBSTITUTE(T414,LEFT(T414,1),""))=0,"ERRO: dígitos repetidos",IF(AND(VALUE(MID(T414,13,1))=IF(MOD(SUMPRODUCT(--MID(T414,{1,2,3,4,5,6,7,8,9,10,11,12},1),{5,4,3,2,9,8,7,6,5,4,3,2}),11)&lt;2,0,11-MOD(SUMPRODUCT(--MID(T414,{1,2,3,4,5,6,7,8,9,10,11,12},1),{5,4,3,2,9,8,7,6,5,4,3,2}),11)),VALUE(MID(T414,14,1))=IF(MOD(SUMPRODUCT(--MID(T414,{1,2,3,4,5,6,7,8,9,10,11,12,13},1),{6,5,4,3,2,9,8,7,6,5,4,3,2}),11)&lt;2,0,11-MOD(SUMPRODUCT(--MID(T414,{1,2,3,4,5,6,7,8,9,10,11,12,13},1),{6,5,4,3,2,9,8,7,6,5,4,3,2}),11))),"OK","ERRO: dígito verificador")))))</f>
      </c>
      <c r="V414" s="6">
        <f>IF(T414="","",IF(COUNTIF($T$2:$T$1001,T414)&gt;1,"DUPLICADO","OK"))</f>
      </c>
      <c r="W414" s="6">
        <f>IF(M414="","vazio",IF(OR(AND(LEN(SUBSTITUTE(SUBSTITUTE(SUBSTITUTE(SUBSTITUTE(SUBSTITUTE(SUBSTITUTE(SUBSTITUTE(TRIM(M414),".",""),"/",""),"-","")," ",""),"(",""),")",""),"+",""))=10,LEFT(SUBSTITUTE(SUBSTITUTE(SUBSTITUTE(SUBSTITUTE(SUBSTITUTE(SUBSTITUTE(SUBSTITUTE(TRIM(M414),".",""),"/",""),"-","")," ",""),"(",""),")",""),"+",""),1)&lt;&gt;"0"),AND(LEN(SUBSTITUTE(SUBSTITUTE(SUBSTITUTE(SUBSTITUTE(SUBSTITUTE(SUBSTITUTE(SUBSTITUTE(TRIM(M414),".",""),"/",""),"-","")," ",""),"(",""),")",""),"+",""))=11,LEFT(SUBSTITUTE(SUBSTITUTE(SUBSTITUTE(SUBSTITUTE(SUBSTITUTE(SUBSTITUTE(SUBSTITUTE(TRIM(M414),".",""),"/",""),"-","")," ",""),"(",""),")",""),"+",""),4)="0800")),"OK",IF(AND(LEN(SUBSTITUTE(SUBSTITUTE(SUBSTITUTE(SUBSTITUTE(SUBSTITUTE(SUBSTITUTE(SUBSTITUTE(TRIM(M414),".",""),"/",""),"-","")," ",""),"(",""),")",""),"+",""))=11,MID(SUBSTITUTE(SUBSTITUTE(SUBSTITUTE(SUBSTITUTE(SUBSTITUTE(SUBSTITUTE(SUBSTITUTE(TRIM(M414),".",""),"/",""),"-","")," ",""),"(",""),")",""),"+",""),3,1)="9"),"ERRO: é celular, use a coluna Celular","ERRO: DDD + 8 dígitos ou 0800 + 7")))</f>
      </c>
      <c r="X414" s="6">
        <f>IF(N414="","vazio",IF(AND(LEN(SUBSTITUTE(SUBSTITUTE(SUBSTITUTE(SUBSTITUTE(SUBSTITUTE(SUBSTITUTE(SUBSTITUTE(TRIM(N414),".",""),"/",""),"-","")," ",""),"(",""),")",""),"+",""))=11,MID(SUBSTITUTE(SUBSTITUTE(SUBSTITUTE(SUBSTITUTE(SUBSTITUTE(SUBSTITUTE(SUBSTITUTE(TRIM(N414),".",""),"/",""),"-","")," ",""),"(",""),")",""),"+",""),3,1)="9",LEFT(SUBSTITUTE(SUBSTITUTE(SUBSTITUTE(SUBSTITUTE(SUBSTITUTE(SUBSTITUTE(SUBSTITUTE(TRIM(N414),".",""),"/",""),"-","")," ",""),"(",""),")",""),"+",""),1)&lt;&gt;"0"),"OK",IF(LEN(SUBSTITUTE(SUBSTITUTE(SUBSTITUTE(SUBSTITUTE(SUBSTITUTE(SUBSTITUTE(SUBSTITUTE(TRIM(N414),".",""),"/",""),"-","")," ",""),"(",""),")",""),"+",""))=10,"ERRO: é fixo (ou falta o 9), use a coluna Telefone fixo","ERRO: DDD + 9 + 8 dígitos")))</f>
      </c>
      <c r="Y414" s="6">
        <f>IF(O414="","vazio",IF(AND(ISNUMBER(FIND("@",O414)),ISNUMBER(FIND(".",MID(O414,FIND("@",O414),99))),NOT(ISNUMBER(FIND(" ",TRIM(O414)))),NOT(ISNUMBER(FIND(";",O414))),NOT(ISNUMBER(FIND(",",O414)))),"OK","ERRO: um e-mail válido por linha"))</f>
      </c>
      <c r="Z414" s="6">
        <f>IF(AND(J414="",K414=""),"",IF(AND(J414&lt;&gt;"",K414&lt;&gt;""),"OK","pendente: só um nome (o GR completa ao converter)"))</f>
      </c>
      <c r="AA414" s="6">
        <f>IF(COUNTA(A414:S414)=0,"",IF(AND(A414&lt;&gt;"",B414&lt;&gt;"",C414&lt;&gt;"",D414&lt;&gt;"",E414&lt;&gt;"",F414&lt;&gt;"",G414&lt;&gt;"",H414&lt;&gt;"",OR(J414&lt;&gt;"",K414&lt;&gt;""),OR(M414&lt;&gt;"",N414&lt;&gt;"",O414&lt;&gt;"")),"OK","ERRO: faltam "&amp;IF(A414="","SDR; ","")&amp;IF(B414="","Proprietário; ","")&amp;IF(C414="","Origem; ","")&amp;IF(D414="","Temperatura; ","")&amp;IF(E414="","Segmento; ","")&amp;IF(F414="","Time/Cluster; ","")&amp;IF(G414="","CNPJ; ","")&amp;IF(H414="","Razão Social; ","")&amp;IF(AND(J414="",K414=""),"nome do contato; ","")&amp;IF(AND(M414="",N414="",O414=""),"telefone, celular ou e-mail; ","")))</f>
      </c>
      <c r="AB414" s="6">
        <f>IF(COUNTA(A414:S414)=0,"",IF(AND(U414="OK",V414="OK",LEFT(W414,4)&lt;&gt;"ERRO",LEFT(X414,4)&lt;&gt;"ERRO",LEFT(Y414,4)&lt;&gt;"ERRO",AA414="OK"),"OK","REVISAR"))</f>
      </c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5"/>
      <c r="K415" s="4"/>
      <c r="L415" s="4"/>
      <c r="M415" s="4"/>
      <c r="N415" s="4"/>
      <c r="O415" s="4"/>
      <c r="P415" s="4"/>
      <c r="Q415" s="4"/>
      <c r="R415" s="4"/>
      <c r="S415" s="4"/>
      <c r="T415" s="6">
        <f>IF(G415="","",SUBSTITUTE(SUBSTITUTE(SUBSTITUTE(SUBSTITUTE(SUBSTITUTE(SUBSTITUTE(SUBSTITUTE(TRIM(G415),".",""),"/",""),"-","")," ",""),"(",""),")",""),"+",""))</f>
      </c>
      <c r="U415" s="6">
        <f>IF(T415="","",IF(LEN(T415)&lt;&gt;14,"ERRO: "&amp;LEN(T415)&amp;" dígitos",IF(NOT(ISNUMBER(VALUE(T415))),"ERRO: não numérico",IF(LEN(SUBSTITUTE(T415,LEFT(T415,1),""))=0,"ERRO: dígitos repetidos",IF(AND(VALUE(MID(T415,13,1))=IF(MOD(SUMPRODUCT(--MID(T415,{1,2,3,4,5,6,7,8,9,10,11,12},1),{5,4,3,2,9,8,7,6,5,4,3,2}),11)&lt;2,0,11-MOD(SUMPRODUCT(--MID(T415,{1,2,3,4,5,6,7,8,9,10,11,12},1),{5,4,3,2,9,8,7,6,5,4,3,2}),11)),VALUE(MID(T415,14,1))=IF(MOD(SUMPRODUCT(--MID(T415,{1,2,3,4,5,6,7,8,9,10,11,12,13},1),{6,5,4,3,2,9,8,7,6,5,4,3,2}),11)&lt;2,0,11-MOD(SUMPRODUCT(--MID(T415,{1,2,3,4,5,6,7,8,9,10,11,12,13},1),{6,5,4,3,2,9,8,7,6,5,4,3,2}),11))),"OK","ERRO: dígito verificador")))))</f>
      </c>
      <c r="V415" s="6">
        <f>IF(T415="","",IF(COUNTIF($T$2:$T$1001,T415)&gt;1,"DUPLICADO","OK"))</f>
      </c>
      <c r="W415" s="6">
        <f>IF(M415="","vazio",IF(OR(AND(LEN(SUBSTITUTE(SUBSTITUTE(SUBSTITUTE(SUBSTITUTE(SUBSTITUTE(SUBSTITUTE(SUBSTITUTE(TRIM(M415),".",""),"/",""),"-","")," ",""),"(",""),")",""),"+",""))=10,LEFT(SUBSTITUTE(SUBSTITUTE(SUBSTITUTE(SUBSTITUTE(SUBSTITUTE(SUBSTITUTE(SUBSTITUTE(TRIM(M415),".",""),"/",""),"-","")," ",""),"(",""),")",""),"+",""),1)&lt;&gt;"0"),AND(LEN(SUBSTITUTE(SUBSTITUTE(SUBSTITUTE(SUBSTITUTE(SUBSTITUTE(SUBSTITUTE(SUBSTITUTE(TRIM(M415),".",""),"/",""),"-","")," ",""),"(",""),")",""),"+",""))=11,LEFT(SUBSTITUTE(SUBSTITUTE(SUBSTITUTE(SUBSTITUTE(SUBSTITUTE(SUBSTITUTE(SUBSTITUTE(TRIM(M415),".",""),"/",""),"-","")," ",""),"(",""),")",""),"+",""),4)="0800")),"OK",IF(AND(LEN(SUBSTITUTE(SUBSTITUTE(SUBSTITUTE(SUBSTITUTE(SUBSTITUTE(SUBSTITUTE(SUBSTITUTE(TRIM(M415),".",""),"/",""),"-","")," ",""),"(",""),")",""),"+",""))=11,MID(SUBSTITUTE(SUBSTITUTE(SUBSTITUTE(SUBSTITUTE(SUBSTITUTE(SUBSTITUTE(SUBSTITUTE(TRIM(M415),".",""),"/",""),"-","")," ",""),"(",""),")",""),"+",""),3,1)="9"),"ERRO: é celular, use a coluna Celular","ERRO: DDD + 8 dígitos ou 0800 + 7")))</f>
      </c>
      <c r="X415" s="6">
        <f>IF(N415="","vazio",IF(AND(LEN(SUBSTITUTE(SUBSTITUTE(SUBSTITUTE(SUBSTITUTE(SUBSTITUTE(SUBSTITUTE(SUBSTITUTE(TRIM(N415),".",""),"/",""),"-","")," ",""),"(",""),")",""),"+",""))=11,MID(SUBSTITUTE(SUBSTITUTE(SUBSTITUTE(SUBSTITUTE(SUBSTITUTE(SUBSTITUTE(SUBSTITUTE(TRIM(N415),".",""),"/",""),"-","")," ",""),"(",""),")",""),"+",""),3,1)="9",LEFT(SUBSTITUTE(SUBSTITUTE(SUBSTITUTE(SUBSTITUTE(SUBSTITUTE(SUBSTITUTE(SUBSTITUTE(TRIM(N415),".",""),"/",""),"-","")," ",""),"(",""),")",""),"+",""),1)&lt;&gt;"0"),"OK",IF(LEN(SUBSTITUTE(SUBSTITUTE(SUBSTITUTE(SUBSTITUTE(SUBSTITUTE(SUBSTITUTE(SUBSTITUTE(TRIM(N415),".",""),"/",""),"-","")," ",""),"(",""),")",""),"+",""))=10,"ERRO: é fixo (ou falta o 9), use a coluna Telefone fixo","ERRO: DDD + 9 + 8 dígitos")))</f>
      </c>
      <c r="Y415" s="6">
        <f>IF(O415="","vazio",IF(AND(ISNUMBER(FIND("@",O415)),ISNUMBER(FIND(".",MID(O415,FIND("@",O415),99))),NOT(ISNUMBER(FIND(" ",TRIM(O415)))),NOT(ISNUMBER(FIND(";",O415))),NOT(ISNUMBER(FIND(",",O415)))),"OK","ERRO: um e-mail válido por linha"))</f>
      </c>
      <c r="Z415" s="6">
        <f>IF(AND(J415="",K415=""),"",IF(AND(J415&lt;&gt;"",K415&lt;&gt;""),"OK","pendente: só um nome (o GR completa ao converter)"))</f>
      </c>
      <c r="AA415" s="6">
        <f>IF(COUNTA(A415:S415)=0,"",IF(AND(A415&lt;&gt;"",B415&lt;&gt;"",C415&lt;&gt;"",D415&lt;&gt;"",E415&lt;&gt;"",F415&lt;&gt;"",G415&lt;&gt;"",H415&lt;&gt;"",OR(J415&lt;&gt;"",K415&lt;&gt;""),OR(M415&lt;&gt;"",N415&lt;&gt;"",O415&lt;&gt;"")),"OK","ERRO: faltam "&amp;IF(A415="","SDR; ","")&amp;IF(B415="","Proprietário; ","")&amp;IF(C415="","Origem; ","")&amp;IF(D415="","Temperatura; ","")&amp;IF(E415="","Segmento; ","")&amp;IF(F415="","Time/Cluster; ","")&amp;IF(G415="","CNPJ; ","")&amp;IF(H415="","Razão Social; ","")&amp;IF(AND(J415="",K415=""),"nome do contato; ","")&amp;IF(AND(M415="",N415="",O415=""),"telefone, celular ou e-mail; ","")))</f>
      </c>
      <c r="AB415" s="6">
        <f>IF(COUNTA(A415:S415)=0,"",IF(AND(U415="OK",V415="OK",LEFT(W415,4)&lt;&gt;"ERRO",LEFT(X415,4)&lt;&gt;"ERRO",LEFT(Y415,4)&lt;&gt;"ERRO",AA415="OK"),"OK","REVISAR"))</f>
      </c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5"/>
      <c r="K416" s="4"/>
      <c r="L416" s="4"/>
      <c r="M416" s="4"/>
      <c r="N416" s="4"/>
      <c r="O416" s="4"/>
      <c r="P416" s="4"/>
      <c r="Q416" s="4"/>
      <c r="R416" s="4"/>
      <c r="S416" s="4"/>
      <c r="T416" s="6">
        <f>IF(G416="","",SUBSTITUTE(SUBSTITUTE(SUBSTITUTE(SUBSTITUTE(SUBSTITUTE(SUBSTITUTE(SUBSTITUTE(TRIM(G416),".",""),"/",""),"-","")," ",""),"(",""),")",""),"+",""))</f>
      </c>
      <c r="U416" s="6">
        <f>IF(T416="","",IF(LEN(T416)&lt;&gt;14,"ERRO: "&amp;LEN(T416)&amp;" dígitos",IF(NOT(ISNUMBER(VALUE(T416))),"ERRO: não numérico",IF(LEN(SUBSTITUTE(T416,LEFT(T416,1),""))=0,"ERRO: dígitos repetidos",IF(AND(VALUE(MID(T416,13,1))=IF(MOD(SUMPRODUCT(--MID(T416,{1,2,3,4,5,6,7,8,9,10,11,12},1),{5,4,3,2,9,8,7,6,5,4,3,2}),11)&lt;2,0,11-MOD(SUMPRODUCT(--MID(T416,{1,2,3,4,5,6,7,8,9,10,11,12},1),{5,4,3,2,9,8,7,6,5,4,3,2}),11)),VALUE(MID(T416,14,1))=IF(MOD(SUMPRODUCT(--MID(T416,{1,2,3,4,5,6,7,8,9,10,11,12,13},1),{6,5,4,3,2,9,8,7,6,5,4,3,2}),11)&lt;2,0,11-MOD(SUMPRODUCT(--MID(T416,{1,2,3,4,5,6,7,8,9,10,11,12,13},1),{6,5,4,3,2,9,8,7,6,5,4,3,2}),11))),"OK","ERRO: dígito verificador")))))</f>
      </c>
      <c r="V416" s="6">
        <f>IF(T416="","",IF(COUNTIF($T$2:$T$1001,T416)&gt;1,"DUPLICADO","OK"))</f>
      </c>
      <c r="W416" s="6">
        <f>IF(M416="","vazio",IF(OR(AND(LEN(SUBSTITUTE(SUBSTITUTE(SUBSTITUTE(SUBSTITUTE(SUBSTITUTE(SUBSTITUTE(SUBSTITUTE(TRIM(M416),".",""),"/",""),"-","")," ",""),"(",""),")",""),"+",""))=10,LEFT(SUBSTITUTE(SUBSTITUTE(SUBSTITUTE(SUBSTITUTE(SUBSTITUTE(SUBSTITUTE(SUBSTITUTE(TRIM(M416),".",""),"/",""),"-","")," ",""),"(",""),")",""),"+",""),1)&lt;&gt;"0"),AND(LEN(SUBSTITUTE(SUBSTITUTE(SUBSTITUTE(SUBSTITUTE(SUBSTITUTE(SUBSTITUTE(SUBSTITUTE(TRIM(M416),".",""),"/",""),"-","")," ",""),"(",""),")",""),"+",""))=11,LEFT(SUBSTITUTE(SUBSTITUTE(SUBSTITUTE(SUBSTITUTE(SUBSTITUTE(SUBSTITUTE(SUBSTITUTE(TRIM(M416),".",""),"/",""),"-","")," ",""),"(",""),")",""),"+",""),4)="0800")),"OK",IF(AND(LEN(SUBSTITUTE(SUBSTITUTE(SUBSTITUTE(SUBSTITUTE(SUBSTITUTE(SUBSTITUTE(SUBSTITUTE(TRIM(M416),".",""),"/",""),"-","")," ",""),"(",""),")",""),"+",""))=11,MID(SUBSTITUTE(SUBSTITUTE(SUBSTITUTE(SUBSTITUTE(SUBSTITUTE(SUBSTITUTE(SUBSTITUTE(TRIM(M416),".",""),"/",""),"-","")," ",""),"(",""),")",""),"+",""),3,1)="9"),"ERRO: é celular, use a coluna Celular","ERRO: DDD + 8 dígitos ou 0800 + 7")))</f>
      </c>
      <c r="X416" s="6">
        <f>IF(N416="","vazio",IF(AND(LEN(SUBSTITUTE(SUBSTITUTE(SUBSTITUTE(SUBSTITUTE(SUBSTITUTE(SUBSTITUTE(SUBSTITUTE(TRIM(N416),".",""),"/",""),"-","")," ",""),"(",""),")",""),"+",""))=11,MID(SUBSTITUTE(SUBSTITUTE(SUBSTITUTE(SUBSTITUTE(SUBSTITUTE(SUBSTITUTE(SUBSTITUTE(TRIM(N416),".",""),"/",""),"-","")," ",""),"(",""),")",""),"+",""),3,1)="9",LEFT(SUBSTITUTE(SUBSTITUTE(SUBSTITUTE(SUBSTITUTE(SUBSTITUTE(SUBSTITUTE(SUBSTITUTE(TRIM(N416),".",""),"/",""),"-","")," ",""),"(",""),")",""),"+",""),1)&lt;&gt;"0"),"OK",IF(LEN(SUBSTITUTE(SUBSTITUTE(SUBSTITUTE(SUBSTITUTE(SUBSTITUTE(SUBSTITUTE(SUBSTITUTE(TRIM(N416),".",""),"/",""),"-","")," ",""),"(",""),")",""),"+",""))=10,"ERRO: é fixo (ou falta o 9), use a coluna Telefone fixo","ERRO: DDD + 9 + 8 dígitos")))</f>
      </c>
      <c r="Y416" s="6">
        <f>IF(O416="","vazio",IF(AND(ISNUMBER(FIND("@",O416)),ISNUMBER(FIND(".",MID(O416,FIND("@",O416),99))),NOT(ISNUMBER(FIND(" ",TRIM(O416)))),NOT(ISNUMBER(FIND(";",O416))),NOT(ISNUMBER(FIND(",",O416)))),"OK","ERRO: um e-mail válido por linha"))</f>
      </c>
      <c r="Z416" s="6">
        <f>IF(AND(J416="",K416=""),"",IF(AND(J416&lt;&gt;"",K416&lt;&gt;""),"OK","pendente: só um nome (o GR completa ao converter)"))</f>
      </c>
      <c r="AA416" s="6">
        <f>IF(COUNTA(A416:S416)=0,"",IF(AND(A416&lt;&gt;"",B416&lt;&gt;"",C416&lt;&gt;"",D416&lt;&gt;"",E416&lt;&gt;"",F416&lt;&gt;"",G416&lt;&gt;"",H416&lt;&gt;"",OR(J416&lt;&gt;"",K416&lt;&gt;""),OR(M416&lt;&gt;"",N416&lt;&gt;"",O416&lt;&gt;"")),"OK","ERRO: faltam "&amp;IF(A416="","SDR; ","")&amp;IF(B416="","Proprietário; ","")&amp;IF(C416="","Origem; ","")&amp;IF(D416="","Temperatura; ","")&amp;IF(E416="","Segmento; ","")&amp;IF(F416="","Time/Cluster; ","")&amp;IF(G416="","CNPJ; ","")&amp;IF(H416="","Razão Social; ","")&amp;IF(AND(J416="",K416=""),"nome do contato; ","")&amp;IF(AND(M416="",N416="",O416=""),"telefone, celular ou e-mail; ","")))</f>
      </c>
      <c r="AB416" s="6">
        <f>IF(COUNTA(A416:S416)=0,"",IF(AND(U416="OK",V416="OK",LEFT(W416,4)&lt;&gt;"ERRO",LEFT(X416,4)&lt;&gt;"ERRO",LEFT(Y416,4)&lt;&gt;"ERRO",AA416="OK"),"OK","REVISAR"))</f>
      </c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5"/>
      <c r="K417" s="4"/>
      <c r="L417" s="4"/>
      <c r="M417" s="4"/>
      <c r="N417" s="4"/>
      <c r="O417" s="4"/>
      <c r="P417" s="4"/>
      <c r="Q417" s="4"/>
      <c r="R417" s="4"/>
      <c r="S417" s="4"/>
      <c r="T417" s="6">
        <f>IF(G417="","",SUBSTITUTE(SUBSTITUTE(SUBSTITUTE(SUBSTITUTE(SUBSTITUTE(SUBSTITUTE(SUBSTITUTE(TRIM(G417),".",""),"/",""),"-","")," ",""),"(",""),")",""),"+",""))</f>
      </c>
      <c r="U417" s="6">
        <f>IF(T417="","",IF(LEN(T417)&lt;&gt;14,"ERRO: "&amp;LEN(T417)&amp;" dígitos",IF(NOT(ISNUMBER(VALUE(T417))),"ERRO: não numérico",IF(LEN(SUBSTITUTE(T417,LEFT(T417,1),""))=0,"ERRO: dígitos repetidos",IF(AND(VALUE(MID(T417,13,1))=IF(MOD(SUMPRODUCT(--MID(T417,{1,2,3,4,5,6,7,8,9,10,11,12},1),{5,4,3,2,9,8,7,6,5,4,3,2}),11)&lt;2,0,11-MOD(SUMPRODUCT(--MID(T417,{1,2,3,4,5,6,7,8,9,10,11,12},1),{5,4,3,2,9,8,7,6,5,4,3,2}),11)),VALUE(MID(T417,14,1))=IF(MOD(SUMPRODUCT(--MID(T417,{1,2,3,4,5,6,7,8,9,10,11,12,13},1),{6,5,4,3,2,9,8,7,6,5,4,3,2}),11)&lt;2,0,11-MOD(SUMPRODUCT(--MID(T417,{1,2,3,4,5,6,7,8,9,10,11,12,13},1),{6,5,4,3,2,9,8,7,6,5,4,3,2}),11))),"OK","ERRO: dígito verificador")))))</f>
      </c>
      <c r="V417" s="6">
        <f>IF(T417="","",IF(COUNTIF($T$2:$T$1001,T417)&gt;1,"DUPLICADO","OK"))</f>
      </c>
      <c r="W417" s="6">
        <f>IF(M417="","vazio",IF(OR(AND(LEN(SUBSTITUTE(SUBSTITUTE(SUBSTITUTE(SUBSTITUTE(SUBSTITUTE(SUBSTITUTE(SUBSTITUTE(TRIM(M417),".",""),"/",""),"-","")," ",""),"(",""),")",""),"+",""))=10,LEFT(SUBSTITUTE(SUBSTITUTE(SUBSTITUTE(SUBSTITUTE(SUBSTITUTE(SUBSTITUTE(SUBSTITUTE(TRIM(M417),".",""),"/",""),"-","")," ",""),"(",""),")",""),"+",""),1)&lt;&gt;"0"),AND(LEN(SUBSTITUTE(SUBSTITUTE(SUBSTITUTE(SUBSTITUTE(SUBSTITUTE(SUBSTITUTE(SUBSTITUTE(TRIM(M417),".",""),"/",""),"-","")," ",""),"(",""),")",""),"+",""))=11,LEFT(SUBSTITUTE(SUBSTITUTE(SUBSTITUTE(SUBSTITUTE(SUBSTITUTE(SUBSTITUTE(SUBSTITUTE(TRIM(M417),".",""),"/",""),"-","")," ",""),"(",""),")",""),"+",""),4)="0800")),"OK",IF(AND(LEN(SUBSTITUTE(SUBSTITUTE(SUBSTITUTE(SUBSTITUTE(SUBSTITUTE(SUBSTITUTE(SUBSTITUTE(TRIM(M417),".",""),"/",""),"-","")," ",""),"(",""),")",""),"+",""))=11,MID(SUBSTITUTE(SUBSTITUTE(SUBSTITUTE(SUBSTITUTE(SUBSTITUTE(SUBSTITUTE(SUBSTITUTE(TRIM(M417),".",""),"/",""),"-","")," ",""),"(",""),")",""),"+",""),3,1)="9"),"ERRO: é celular, use a coluna Celular","ERRO: DDD + 8 dígitos ou 0800 + 7")))</f>
      </c>
      <c r="X417" s="6">
        <f>IF(N417="","vazio",IF(AND(LEN(SUBSTITUTE(SUBSTITUTE(SUBSTITUTE(SUBSTITUTE(SUBSTITUTE(SUBSTITUTE(SUBSTITUTE(TRIM(N417),".",""),"/",""),"-","")," ",""),"(",""),")",""),"+",""))=11,MID(SUBSTITUTE(SUBSTITUTE(SUBSTITUTE(SUBSTITUTE(SUBSTITUTE(SUBSTITUTE(SUBSTITUTE(TRIM(N417),".",""),"/",""),"-","")," ",""),"(",""),")",""),"+",""),3,1)="9",LEFT(SUBSTITUTE(SUBSTITUTE(SUBSTITUTE(SUBSTITUTE(SUBSTITUTE(SUBSTITUTE(SUBSTITUTE(TRIM(N417),".",""),"/",""),"-","")," ",""),"(",""),")",""),"+",""),1)&lt;&gt;"0"),"OK",IF(LEN(SUBSTITUTE(SUBSTITUTE(SUBSTITUTE(SUBSTITUTE(SUBSTITUTE(SUBSTITUTE(SUBSTITUTE(TRIM(N417),".",""),"/",""),"-","")," ",""),"(",""),")",""),"+",""))=10,"ERRO: é fixo (ou falta o 9), use a coluna Telefone fixo","ERRO: DDD + 9 + 8 dígitos")))</f>
      </c>
      <c r="Y417" s="6">
        <f>IF(O417="","vazio",IF(AND(ISNUMBER(FIND("@",O417)),ISNUMBER(FIND(".",MID(O417,FIND("@",O417),99))),NOT(ISNUMBER(FIND(" ",TRIM(O417)))),NOT(ISNUMBER(FIND(";",O417))),NOT(ISNUMBER(FIND(",",O417)))),"OK","ERRO: um e-mail válido por linha"))</f>
      </c>
      <c r="Z417" s="6">
        <f>IF(AND(J417="",K417=""),"",IF(AND(J417&lt;&gt;"",K417&lt;&gt;""),"OK","pendente: só um nome (o GR completa ao converter)"))</f>
      </c>
      <c r="AA417" s="6">
        <f>IF(COUNTA(A417:S417)=0,"",IF(AND(A417&lt;&gt;"",B417&lt;&gt;"",C417&lt;&gt;"",D417&lt;&gt;"",E417&lt;&gt;"",F417&lt;&gt;"",G417&lt;&gt;"",H417&lt;&gt;"",OR(J417&lt;&gt;"",K417&lt;&gt;""),OR(M417&lt;&gt;"",N417&lt;&gt;"",O417&lt;&gt;"")),"OK","ERRO: faltam "&amp;IF(A417="","SDR; ","")&amp;IF(B417="","Proprietário; ","")&amp;IF(C417="","Origem; ","")&amp;IF(D417="","Temperatura; ","")&amp;IF(E417="","Segmento; ","")&amp;IF(F417="","Time/Cluster; ","")&amp;IF(G417="","CNPJ; ","")&amp;IF(H417="","Razão Social; ","")&amp;IF(AND(J417="",K417=""),"nome do contato; ","")&amp;IF(AND(M417="",N417="",O417=""),"telefone, celular ou e-mail; ","")))</f>
      </c>
      <c r="AB417" s="6">
        <f>IF(COUNTA(A417:S417)=0,"",IF(AND(U417="OK",V417="OK",LEFT(W417,4)&lt;&gt;"ERRO",LEFT(X417,4)&lt;&gt;"ERRO",LEFT(Y417,4)&lt;&gt;"ERRO",AA417="OK"),"OK","REVISAR"))</f>
      </c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5"/>
      <c r="K418" s="4"/>
      <c r="L418" s="4"/>
      <c r="M418" s="4"/>
      <c r="N418" s="4"/>
      <c r="O418" s="4"/>
      <c r="P418" s="4"/>
      <c r="Q418" s="4"/>
      <c r="R418" s="4"/>
      <c r="S418" s="4"/>
      <c r="T418" s="6">
        <f>IF(G418="","",SUBSTITUTE(SUBSTITUTE(SUBSTITUTE(SUBSTITUTE(SUBSTITUTE(SUBSTITUTE(SUBSTITUTE(TRIM(G418),".",""),"/",""),"-","")," ",""),"(",""),")",""),"+",""))</f>
      </c>
      <c r="U418" s="6">
        <f>IF(T418="","",IF(LEN(T418)&lt;&gt;14,"ERRO: "&amp;LEN(T418)&amp;" dígitos",IF(NOT(ISNUMBER(VALUE(T418))),"ERRO: não numérico",IF(LEN(SUBSTITUTE(T418,LEFT(T418,1),""))=0,"ERRO: dígitos repetidos",IF(AND(VALUE(MID(T418,13,1))=IF(MOD(SUMPRODUCT(--MID(T418,{1,2,3,4,5,6,7,8,9,10,11,12},1),{5,4,3,2,9,8,7,6,5,4,3,2}),11)&lt;2,0,11-MOD(SUMPRODUCT(--MID(T418,{1,2,3,4,5,6,7,8,9,10,11,12},1),{5,4,3,2,9,8,7,6,5,4,3,2}),11)),VALUE(MID(T418,14,1))=IF(MOD(SUMPRODUCT(--MID(T418,{1,2,3,4,5,6,7,8,9,10,11,12,13},1),{6,5,4,3,2,9,8,7,6,5,4,3,2}),11)&lt;2,0,11-MOD(SUMPRODUCT(--MID(T418,{1,2,3,4,5,6,7,8,9,10,11,12,13},1),{6,5,4,3,2,9,8,7,6,5,4,3,2}),11))),"OK","ERRO: dígito verificador")))))</f>
      </c>
      <c r="V418" s="6">
        <f>IF(T418="","",IF(COUNTIF($T$2:$T$1001,T418)&gt;1,"DUPLICADO","OK"))</f>
      </c>
      <c r="W418" s="6">
        <f>IF(M418="","vazio",IF(OR(AND(LEN(SUBSTITUTE(SUBSTITUTE(SUBSTITUTE(SUBSTITUTE(SUBSTITUTE(SUBSTITUTE(SUBSTITUTE(TRIM(M418),".",""),"/",""),"-","")," ",""),"(",""),")",""),"+",""))=10,LEFT(SUBSTITUTE(SUBSTITUTE(SUBSTITUTE(SUBSTITUTE(SUBSTITUTE(SUBSTITUTE(SUBSTITUTE(TRIM(M418),".",""),"/",""),"-","")," ",""),"(",""),")",""),"+",""),1)&lt;&gt;"0"),AND(LEN(SUBSTITUTE(SUBSTITUTE(SUBSTITUTE(SUBSTITUTE(SUBSTITUTE(SUBSTITUTE(SUBSTITUTE(TRIM(M418),".",""),"/",""),"-","")," ",""),"(",""),")",""),"+",""))=11,LEFT(SUBSTITUTE(SUBSTITUTE(SUBSTITUTE(SUBSTITUTE(SUBSTITUTE(SUBSTITUTE(SUBSTITUTE(TRIM(M418),".",""),"/",""),"-","")," ",""),"(",""),")",""),"+",""),4)="0800")),"OK",IF(AND(LEN(SUBSTITUTE(SUBSTITUTE(SUBSTITUTE(SUBSTITUTE(SUBSTITUTE(SUBSTITUTE(SUBSTITUTE(TRIM(M418),".",""),"/",""),"-","")," ",""),"(",""),")",""),"+",""))=11,MID(SUBSTITUTE(SUBSTITUTE(SUBSTITUTE(SUBSTITUTE(SUBSTITUTE(SUBSTITUTE(SUBSTITUTE(TRIM(M418),".",""),"/",""),"-","")," ",""),"(",""),")",""),"+",""),3,1)="9"),"ERRO: é celular, use a coluna Celular","ERRO: DDD + 8 dígitos ou 0800 + 7")))</f>
      </c>
      <c r="X418" s="6">
        <f>IF(N418="","vazio",IF(AND(LEN(SUBSTITUTE(SUBSTITUTE(SUBSTITUTE(SUBSTITUTE(SUBSTITUTE(SUBSTITUTE(SUBSTITUTE(TRIM(N418),".",""),"/",""),"-","")," ",""),"(",""),")",""),"+",""))=11,MID(SUBSTITUTE(SUBSTITUTE(SUBSTITUTE(SUBSTITUTE(SUBSTITUTE(SUBSTITUTE(SUBSTITUTE(TRIM(N418),".",""),"/",""),"-","")," ",""),"(",""),")",""),"+",""),3,1)="9",LEFT(SUBSTITUTE(SUBSTITUTE(SUBSTITUTE(SUBSTITUTE(SUBSTITUTE(SUBSTITUTE(SUBSTITUTE(TRIM(N418),".",""),"/",""),"-","")," ",""),"(",""),")",""),"+",""),1)&lt;&gt;"0"),"OK",IF(LEN(SUBSTITUTE(SUBSTITUTE(SUBSTITUTE(SUBSTITUTE(SUBSTITUTE(SUBSTITUTE(SUBSTITUTE(TRIM(N418),".",""),"/",""),"-","")," ",""),"(",""),")",""),"+",""))=10,"ERRO: é fixo (ou falta o 9), use a coluna Telefone fixo","ERRO: DDD + 9 + 8 dígitos")))</f>
      </c>
      <c r="Y418" s="6">
        <f>IF(O418="","vazio",IF(AND(ISNUMBER(FIND("@",O418)),ISNUMBER(FIND(".",MID(O418,FIND("@",O418),99))),NOT(ISNUMBER(FIND(" ",TRIM(O418)))),NOT(ISNUMBER(FIND(";",O418))),NOT(ISNUMBER(FIND(",",O418)))),"OK","ERRO: um e-mail válido por linha"))</f>
      </c>
      <c r="Z418" s="6">
        <f>IF(AND(J418="",K418=""),"",IF(AND(J418&lt;&gt;"",K418&lt;&gt;""),"OK","pendente: só um nome (o GR completa ao converter)"))</f>
      </c>
      <c r="AA418" s="6">
        <f>IF(COUNTA(A418:S418)=0,"",IF(AND(A418&lt;&gt;"",B418&lt;&gt;"",C418&lt;&gt;"",D418&lt;&gt;"",E418&lt;&gt;"",F418&lt;&gt;"",G418&lt;&gt;"",H418&lt;&gt;"",OR(J418&lt;&gt;"",K418&lt;&gt;""),OR(M418&lt;&gt;"",N418&lt;&gt;"",O418&lt;&gt;"")),"OK","ERRO: faltam "&amp;IF(A418="","SDR; ","")&amp;IF(B418="","Proprietário; ","")&amp;IF(C418="","Origem; ","")&amp;IF(D418="","Temperatura; ","")&amp;IF(E418="","Segmento; ","")&amp;IF(F418="","Time/Cluster; ","")&amp;IF(G418="","CNPJ; ","")&amp;IF(H418="","Razão Social; ","")&amp;IF(AND(J418="",K418=""),"nome do contato; ","")&amp;IF(AND(M418="",N418="",O418=""),"telefone, celular ou e-mail; ","")))</f>
      </c>
      <c r="AB418" s="6">
        <f>IF(COUNTA(A418:S418)=0,"",IF(AND(U418="OK",V418="OK",LEFT(W418,4)&lt;&gt;"ERRO",LEFT(X418,4)&lt;&gt;"ERRO",LEFT(Y418,4)&lt;&gt;"ERRO",AA418="OK"),"OK","REVISAR"))</f>
      </c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5"/>
      <c r="K419" s="4"/>
      <c r="L419" s="4"/>
      <c r="M419" s="4"/>
      <c r="N419" s="4"/>
      <c r="O419" s="4"/>
      <c r="P419" s="4"/>
      <c r="Q419" s="4"/>
      <c r="R419" s="4"/>
      <c r="S419" s="4"/>
      <c r="T419" s="6">
        <f>IF(G419="","",SUBSTITUTE(SUBSTITUTE(SUBSTITUTE(SUBSTITUTE(SUBSTITUTE(SUBSTITUTE(SUBSTITUTE(TRIM(G419),".",""),"/",""),"-","")," ",""),"(",""),")",""),"+",""))</f>
      </c>
      <c r="U419" s="6">
        <f>IF(T419="","",IF(LEN(T419)&lt;&gt;14,"ERRO: "&amp;LEN(T419)&amp;" dígitos",IF(NOT(ISNUMBER(VALUE(T419))),"ERRO: não numérico",IF(LEN(SUBSTITUTE(T419,LEFT(T419,1),""))=0,"ERRO: dígitos repetidos",IF(AND(VALUE(MID(T419,13,1))=IF(MOD(SUMPRODUCT(--MID(T419,{1,2,3,4,5,6,7,8,9,10,11,12},1),{5,4,3,2,9,8,7,6,5,4,3,2}),11)&lt;2,0,11-MOD(SUMPRODUCT(--MID(T419,{1,2,3,4,5,6,7,8,9,10,11,12},1),{5,4,3,2,9,8,7,6,5,4,3,2}),11)),VALUE(MID(T419,14,1))=IF(MOD(SUMPRODUCT(--MID(T419,{1,2,3,4,5,6,7,8,9,10,11,12,13},1),{6,5,4,3,2,9,8,7,6,5,4,3,2}),11)&lt;2,0,11-MOD(SUMPRODUCT(--MID(T419,{1,2,3,4,5,6,7,8,9,10,11,12,13},1),{6,5,4,3,2,9,8,7,6,5,4,3,2}),11))),"OK","ERRO: dígito verificador")))))</f>
      </c>
      <c r="V419" s="6">
        <f>IF(T419="","",IF(COUNTIF($T$2:$T$1001,T419)&gt;1,"DUPLICADO","OK"))</f>
      </c>
      <c r="W419" s="6">
        <f>IF(M419="","vazio",IF(OR(AND(LEN(SUBSTITUTE(SUBSTITUTE(SUBSTITUTE(SUBSTITUTE(SUBSTITUTE(SUBSTITUTE(SUBSTITUTE(TRIM(M419),".",""),"/",""),"-","")," ",""),"(",""),")",""),"+",""))=10,LEFT(SUBSTITUTE(SUBSTITUTE(SUBSTITUTE(SUBSTITUTE(SUBSTITUTE(SUBSTITUTE(SUBSTITUTE(TRIM(M419),".",""),"/",""),"-","")," ",""),"(",""),")",""),"+",""),1)&lt;&gt;"0"),AND(LEN(SUBSTITUTE(SUBSTITUTE(SUBSTITUTE(SUBSTITUTE(SUBSTITUTE(SUBSTITUTE(SUBSTITUTE(TRIM(M419),".",""),"/",""),"-","")," ",""),"(",""),")",""),"+",""))=11,LEFT(SUBSTITUTE(SUBSTITUTE(SUBSTITUTE(SUBSTITUTE(SUBSTITUTE(SUBSTITUTE(SUBSTITUTE(TRIM(M419),".",""),"/",""),"-","")," ",""),"(",""),")",""),"+",""),4)="0800")),"OK",IF(AND(LEN(SUBSTITUTE(SUBSTITUTE(SUBSTITUTE(SUBSTITUTE(SUBSTITUTE(SUBSTITUTE(SUBSTITUTE(TRIM(M419),".",""),"/",""),"-","")," ",""),"(",""),")",""),"+",""))=11,MID(SUBSTITUTE(SUBSTITUTE(SUBSTITUTE(SUBSTITUTE(SUBSTITUTE(SUBSTITUTE(SUBSTITUTE(TRIM(M419),".",""),"/",""),"-","")," ",""),"(",""),")",""),"+",""),3,1)="9"),"ERRO: é celular, use a coluna Celular","ERRO: DDD + 8 dígitos ou 0800 + 7")))</f>
      </c>
      <c r="X419" s="6">
        <f>IF(N419="","vazio",IF(AND(LEN(SUBSTITUTE(SUBSTITUTE(SUBSTITUTE(SUBSTITUTE(SUBSTITUTE(SUBSTITUTE(SUBSTITUTE(TRIM(N419),".",""),"/",""),"-","")," ",""),"(",""),")",""),"+",""))=11,MID(SUBSTITUTE(SUBSTITUTE(SUBSTITUTE(SUBSTITUTE(SUBSTITUTE(SUBSTITUTE(SUBSTITUTE(TRIM(N419),".",""),"/",""),"-","")," ",""),"(",""),")",""),"+",""),3,1)="9",LEFT(SUBSTITUTE(SUBSTITUTE(SUBSTITUTE(SUBSTITUTE(SUBSTITUTE(SUBSTITUTE(SUBSTITUTE(TRIM(N419),".",""),"/",""),"-","")," ",""),"(",""),")",""),"+",""),1)&lt;&gt;"0"),"OK",IF(LEN(SUBSTITUTE(SUBSTITUTE(SUBSTITUTE(SUBSTITUTE(SUBSTITUTE(SUBSTITUTE(SUBSTITUTE(TRIM(N419),".",""),"/",""),"-","")," ",""),"(",""),")",""),"+",""))=10,"ERRO: é fixo (ou falta o 9), use a coluna Telefone fixo","ERRO: DDD + 9 + 8 dígitos")))</f>
      </c>
      <c r="Y419" s="6">
        <f>IF(O419="","vazio",IF(AND(ISNUMBER(FIND("@",O419)),ISNUMBER(FIND(".",MID(O419,FIND("@",O419),99))),NOT(ISNUMBER(FIND(" ",TRIM(O419)))),NOT(ISNUMBER(FIND(";",O419))),NOT(ISNUMBER(FIND(",",O419)))),"OK","ERRO: um e-mail válido por linha"))</f>
      </c>
      <c r="Z419" s="6">
        <f>IF(AND(J419="",K419=""),"",IF(AND(J419&lt;&gt;"",K419&lt;&gt;""),"OK","pendente: só um nome (o GR completa ao converter)"))</f>
      </c>
      <c r="AA419" s="6">
        <f>IF(COUNTA(A419:S419)=0,"",IF(AND(A419&lt;&gt;"",B419&lt;&gt;"",C419&lt;&gt;"",D419&lt;&gt;"",E419&lt;&gt;"",F419&lt;&gt;"",G419&lt;&gt;"",H419&lt;&gt;"",OR(J419&lt;&gt;"",K419&lt;&gt;""),OR(M419&lt;&gt;"",N419&lt;&gt;"",O419&lt;&gt;"")),"OK","ERRO: faltam "&amp;IF(A419="","SDR; ","")&amp;IF(B419="","Proprietário; ","")&amp;IF(C419="","Origem; ","")&amp;IF(D419="","Temperatura; ","")&amp;IF(E419="","Segmento; ","")&amp;IF(F419="","Time/Cluster; ","")&amp;IF(G419="","CNPJ; ","")&amp;IF(H419="","Razão Social; ","")&amp;IF(AND(J419="",K419=""),"nome do contato; ","")&amp;IF(AND(M419="",N419="",O419=""),"telefone, celular ou e-mail; ","")))</f>
      </c>
      <c r="AB419" s="6">
        <f>IF(COUNTA(A419:S419)=0,"",IF(AND(U419="OK",V419="OK",LEFT(W419,4)&lt;&gt;"ERRO",LEFT(X419,4)&lt;&gt;"ERRO",LEFT(Y419,4)&lt;&gt;"ERRO",AA419="OK"),"OK","REVISAR"))</f>
      </c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5"/>
      <c r="K420" s="4"/>
      <c r="L420" s="4"/>
      <c r="M420" s="4"/>
      <c r="N420" s="4"/>
      <c r="O420" s="4"/>
      <c r="P420" s="4"/>
      <c r="Q420" s="4"/>
      <c r="R420" s="4"/>
      <c r="S420" s="4"/>
      <c r="T420" s="6">
        <f>IF(G420="","",SUBSTITUTE(SUBSTITUTE(SUBSTITUTE(SUBSTITUTE(SUBSTITUTE(SUBSTITUTE(SUBSTITUTE(TRIM(G420),".",""),"/",""),"-","")," ",""),"(",""),")",""),"+",""))</f>
      </c>
      <c r="U420" s="6">
        <f>IF(T420="","",IF(LEN(T420)&lt;&gt;14,"ERRO: "&amp;LEN(T420)&amp;" dígitos",IF(NOT(ISNUMBER(VALUE(T420))),"ERRO: não numérico",IF(LEN(SUBSTITUTE(T420,LEFT(T420,1),""))=0,"ERRO: dígitos repetidos",IF(AND(VALUE(MID(T420,13,1))=IF(MOD(SUMPRODUCT(--MID(T420,{1,2,3,4,5,6,7,8,9,10,11,12},1),{5,4,3,2,9,8,7,6,5,4,3,2}),11)&lt;2,0,11-MOD(SUMPRODUCT(--MID(T420,{1,2,3,4,5,6,7,8,9,10,11,12},1),{5,4,3,2,9,8,7,6,5,4,3,2}),11)),VALUE(MID(T420,14,1))=IF(MOD(SUMPRODUCT(--MID(T420,{1,2,3,4,5,6,7,8,9,10,11,12,13},1),{6,5,4,3,2,9,8,7,6,5,4,3,2}),11)&lt;2,0,11-MOD(SUMPRODUCT(--MID(T420,{1,2,3,4,5,6,7,8,9,10,11,12,13},1),{6,5,4,3,2,9,8,7,6,5,4,3,2}),11))),"OK","ERRO: dígito verificador")))))</f>
      </c>
      <c r="V420" s="6">
        <f>IF(T420="","",IF(COUNTIF($T$2:$T$1001,T420)&gt;1,"DUPLICADO","OK"))</f>
      </c>
      <c r="W420" s="6">
        <f>IF(M420="","vazio",IF(OR(AND(LEN(SUBSTITUTE(SUBSTITUTE(SUBSTITUTE(SUBSTITUTE(SUBSTITUTE(SUBSTITUTE(SUBSTITUTE(TRIM(M420),".",""),"/",""),"-","")," ",""),"(",""),")",""),"+",""))=10,LEFT(SUBSTITUTE(SUBSTITUTE(SUBSTITUTE(SUBSTITUTE(SUBSTITUTE(SUBSTITUTE(SUBSTITUTE(TRIM(M420),".",""),"/",""),"-","")," ",""),"(",""),")",""),"+",""),1)&lt;&gt;"0"),AND(LEN(SUBSTITUTE(SUBSTITUTE(SUBSTITUTE(SUBSTITUTE(SUBSTITUTE(SUBSTITUTE(SUBSTITUTE(TRIM(M420),".",""),"/",""),"-","")," ",""),"(",""),")",""),"+",""))=11,LEFT(SUBSTITUTE(SUBSTITUTE(SUBSTITUTE(SUBSTITUTE(SUBSTITUTE(SUBSTITUTE(SUBSTITUTE(TRIM(M420),".",""),"/",""),"-","")," ",""),"(",""),")",""),"+",""),4)="0800")),"OK",IF(AND(LEN(SUBSTITUTE(SUBSTITUTE(SUBSTITUTE(SUBSTITUTE(SUBSTITUTE(SUBSTITUTE(SUBSTITUTE(TRIM(M420),".",""),"/",""),"-","")," ",""),"(",""),")",""),"+",""))=11,MID(SUBSTITUTE(SUBSTITUTE(SUBSTITUTE(SUBSTITUTE(SUBSTITUTE(SUBSTITUTE(SUBSTITUTE(TRIM(M420),".",""),"/",""),"-","")," ",""),"(",""),")",""),"+",""),3,1)="9"),"ERRO: é celular, use a coluna Celular","ERRO: DDD + 8 dígitos ou 0800 + 7")))</f>
      </c>
      <c r="X420" s="6">
        <f>IF(N420="","vazio",IF(AND(LEN(SUBSTITUTE(SUBSTITUTE(SUBSTITUTE(SUBSTITUTE(SUBSTITUTE(SUBSTITUTE(SUBSTITUTE(TRIM(N420),".",""),"/",""),"-","")," ",""),"(",""),")",""),"+",""))=11,MID(SUBSTITUTE(SUBSTITUTE(SUBSTITUTE(SUBSTITUTE(SUBSTITUTE(SUBSTITUTE(SUBSTITUTE(TRIM(N420),".",""),"/",""),"-","")," ",""),"(",""),")",""),"+",""),3,1)="9",LEFT(SUBSTITUTE(SUBSTITUTE(SUBSTITUTE(SUBSTITUTE(SUBSTITUTE(SUBSTITUTE(SUBSTITUTE(TRIM(N420),".",""),"/",""),"-","")," ",""),"(",""),")",""),"+",""),1)&lt;&gt;"0"),"OK",IF(LEN(SUBSTITUTE(SUBSTITUTE(SUBSTITUTE(SUBSTITUTE(SUBSTITUTE(SUBSTITUTE(SUBSTITUTE(TRIM(N420),".",""),"/",""),"-","")," ",""),"(",""),")",""),"+",""))=10,"ERRO: é fixo (ou falta o 9), use a coluna Telefone fixo","ERRO: DDD + 9 + 8 dígitos")))</f>
      </c>
      <c r="Y420" s="6">
        <f>IF(O420="","vazio",IF(AND(ISNUMBER(FIND("@",O420)),ISNUMBER(FIND(".",MID(O420,FIND("@",O420),99))),NOT(ISNUMBER(FIND(" ",TRIM(O420)))),NOT(ISNUMBER(FIND(";",O420))),NOT(ISNUMBER(FIND(",",O420)))),"OK","ERRO: um e-mail válido por linha"))</f>
      </c>
      <c r="Z420" s="6">
        <f>IF(AND(J420="",K420=""),"",IF(AND(J420&lt;&gt;"",K420&lt;&gt;""),"OK","pendente: só um nome (o GR completa ao converter)"))</f>
      </c>
      <c r="AA420" s="6">
        <f>IF(COUNTA(A420:S420)=0,"",IF(AND(A420&lt;&gt;"",B420&lt;&gt;"",C420&lt;&gt;"",D420&lt;&gt;"",E420&lt;&gt;"",F420&lt;&gt;"",G420&lt;&gt;"",H420&lt;&gt;"",OR(J420&lt;&gt;"",K420&lt;&gt;""),OR(M420&lt;&gt;"",N420&lt;&gt;"",O420&lt;&gt;"")),"OK","ERRO: faltam "&amp;IF(A420="","SDR; ","")&amp;IF(B420="","Proprietário; ","")&amp;IF(C420="","Origem; ","")&amp;IF(D420="","Temperatura; ","")&amp;IF(E420="","Segmento; ","")&amp;IF(F420="","Time/Cluster; ","")&amp;IF(G420="","CNPJ; ","")&amp;IF(H420="","Razão Social; ","")&amp;IF(AND(J420="",K420=""),"nome do contato; ","")&amp;IF(AND(M420="",N420="",O420=""),"telefone, celular ou e-mail; ","")))</f>
      </c>
      <c r="AB420" s="6">
        <f>IF(COUNTA(A420:S420)=0,"",IF(AND(U420="OK",V420="OK",LEFT(W420,4)&lt;&gt;"ERRO",LEFT(X420,4)&lt;&gt;"ERRO",LEFT(Y420,4)&lt;&gt;"ERRO",AA420="OK"),"OK","REVISAR"))</f>
      </c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5"/>
      <c r="K421" s="4"/>
      <c r="L421" s="4"/>
      <c r="M421" s="4"/>
      <c r="N421" s="4"/>
      <c r="O421" s="4"/>
      <c r="P421" s="4"/>
      <c r="Q421" s="4"/>
      <c r="R421" s="4"/>
      <c r="S421" s="4"/>
      <c r="T421" s="6">
        <f>IF(G421="","",SUBSTITUTE(SUBSTITUTE(SUBSTITUTE(SUBSTITUTE(SUBSTITUTE(SUBSTITUTE(SUBSTITUTE(TRIM(G421),".",""),"/",""),"-","")," ",""),"(",""),")",""),"+",""))</f>
      </c>
      <c r="U421" s="6">
        <f>IF(T421="","",IF(LEN(T421)&lt;&gt;14,"ERRO: "&amp;LEN(T421)&amp;" dígitos",IF(NOT(ISNUMBER(VALUE(T421))),"ERRO: não numérico",IF(LEN(SUBSTITUTE(T421,LEFT(T421,1),""))=0,"ERRO: dígitos repetidos",IF(AND(VALUE(MID(T421,13,1))=IF(MOD(SUMPRODUCT(--MID(T421,{1,2,3,4,5,6,7,8,9,10,11,12},1),{5,4,3,2,9,8,7,6,5,4,3,2}),11)&lt;2,0,11-MOD(SUMPRODUCT(--MID(T421,{1,2,3,4,5,6,7,8,9,10,11,12},1),{5,4,3,2,9,8,7,6,5,4,3,2}),11)),VALUE(MID(T421,14,1))=IF(MOD(SUMPRODUCT(--MID(T421,{1,2,3,4,5,6,7,8,9,10,11,12,13},1),{6,5,4,3,2,9,8,7,6,5,4,3,2}),11)&lt;2,0,11-MOD(SUMPRODUCT(--MID(T421,{1,2,3,4,5,6,7,8,9,10,11,12,13},1),{6,5,4,3,2,9,8,7,6,5,4,3,2}),11))),"OK","ERRO: dígito verificador")))))</f>
      </c>
      <c r="V421" s="6">
        <f>IF(T421="","",IF(COUNTIF($T$2:$T$1001,T421)&gt;1,"DUPLICADO","OK"))</f>
      </c>
      <c r="W421" s="6">
        <f>IF(M421="","vazio",IF(OR(AND(LEN(SUBSTITUTE(SUBSTITUTE(SUBSTITUTE(SUBSTITUTE(SUBSTITUTE(SUBSTITUTE(SUBSTITUTE(TRIM(M421),".",""),"/",""),"-","")," ",""),"(",""),")",""),"+",""))=10,LEFT(SUBSTITUTE(SUBSTITUTE(SUBSTITUTE(SUBSTITUTE(SUBSTITUTE(SUBSTITUTE(SUBSTITUTE(TRIM(M421),".",""),"/",""),"-","")," ",""),"(",""),")",""),"+",""),1)&lt;&gt;"0"),AND(LEN(SUBSTITUTE(SUBSTITUTE(SUBSTITUTE(SUBSTITUTE(SUBSTITUTE(SUBSTITUTE(SUBSTITUTE(TRIM(M421),".",""),"/",""),"-","")," ",""),"(",""),")",""),"+",""))=11,LEFT(SUBSTITUTE(SUBSTITUTE(SUBSTITUTE(SUBSTITUTE(SUBSTITUTE(SUBSTITUTE(SUBSTITUTE(TRIM(M421),".",""),"/",""),"-","")," ",""),"(",""),")",""),"+",""),4)="0800")),"OK",IF(AND(LEN(SUBSTITUTE(SUBSTITUTE(SUBSTITUTE(SUBSTITUTE(SUBSTITUTE(SUBSTITUTE(SUBSTITUTE(TRIM(M421),".",""),"/",""),"-","")," ",""),"(",""),")",""),"+",""))=11,MID(SUBSTITUTE(SUBSTITUTE(SUBSTITUTE(SUBSTITUTE(SUBSTITUTE(SUBSTITUTE(SUBSTITUTE(TRIM(M421),".",""),"/",""),"-","")," ",""),"(",""),")",""),"+",""),3,1)="9"),"ERRO: é celular, use a coluna Celular","ERRO: DDD + 8 dígitos ou 0800 + 7")))</f>
      </c>
      <c r="X421" s="6">
        <f>IF(N421="","vazio",IF(AND(LEN(SUBSTITUTE(SUBSTITUTE(SUBSTITUTE(SUBSTITUTE(SUBSTITUTE(SUBSTITUTE(SUBSTITUTE(TRIM(N421),".",""),"/",""),"-","")," ",""),"(",""),")",""),"+",""))=11,MID(SUBSTITUTE(SUBSTITUTE(SUBSTITUTE(SUBSTITUTE(SUBSTITUTE(SUBSTITUTE(SUBSTITUTE(TRIM(N421),".",""),"/",""),"-","")," ",""),"(",""),")",""),"+",""),3,1)="9",LEFT(SUBSTITUTE(SUBSTITUTE(SUBSTITUTE(SUBSTITUTE(SUBSTITUTE(SUBSTITUTE(SUBSTITUTE(TRIM(N421),".",""),"/",""),"-","")," ",""),"(",""),")",""),"+",""),1)&lt;&gt;"0"),"OK",IF(LEN(SUBSTITUTE(SUBSTITUTE(SUBSTITUTE(SUBSTITUTE(SUBSTITUTE(SUBSTITUTE(SUBSTITUTE(TRIM(N421),".",""),"/",""),"-","")," ",""),"(",""),")",""),"+",""))=10,"ERRO: é fixo (ou falta o 9), use a coluna Telefone fixo","ERRO: DDD + 9 + 8 dígitos")))</f>
      </c>
      <c r="Y421" s="6">
        <f>IF(O421="","vazio",IF(AND(ISNUMBER(FIND("@",O421)),ISNUMBER(FIND(".",MID(O421,FIND("@",O421),99))),NOT(ISNUMBER(FIND(" ",TRIM(O421)))),NOT(ISNUMBER(FIND(";",O421))),NOT(ISNUMBER(FIND(",",O421)))),"OK","ERRO: um e-mail válido por linha"))</f>
      </c>
      <c r="Z421" s="6">
        <f>IF(AND(J421="",K421=""),"",IF(AND(J421&lt;&gt;"",K421&lt;&gt;""),"OK","pendente: só um nome (o GR completa ao converter)"))</f>
      </c>
      <c r="AA421" s="6">
        <f>IF(COUNTA(A421:S421)=0,"",IF(AND(A421&lt;&gt;"",B421&lt;&gt;"",C421&lt;&gt;"",D421&lt;&gt;"",E421&lt;&gt;"",F421&lt;&gt;"",G421&lt;&gt;"",H421&lt;&gt;"",OR(J421&lt;&gt;"",K421&lt;&gt;""),OR(M421&lt;&gt;"",N421&lt;&gt;"",O421&lt;&gt;"")),"OK","ERRO: faltam "&amp;IF(A421="","SDR; ","")&amp;IF(B421="","Proprietário; ","")&amp;IF(C421="","Origem; ","")&amp;IF(D421="","Temperatura; ","")&amp;IF(E421="","Segmento; ","")&amp;IF(F421="","Time/Cluster; ","")&amp;IF(G421="","CNPJ; ","")&amp;IF(H421="","Razão Social; ","")&amp;IF(AND(J421="",K421=""),"nome do contato; ","")&amp;IF(AND(M421="",N421="",O421=""),"telefone, celular ou e-mail; ","")))</f>
      </c>
      <c r="AB421" s="6">
        <f>IF(COUNTA(A421:S421)=0,"",IF(AND(U421="OK",V421="OK",LEFT(W421,4)&lt;&gt;"ERRO",LEFT(X421,4)&lt;&gt;"ERRO",LEFT(Y421,4)&lt;&gt;"ERRO",AA421="OK"),"OK","REVISAR"))</f>
      </c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5"/>
      <c r="K422" s="4"/>
      <c r="L422" s="4"/>
      <c r="M422" s="4"/>
      <c r="N422" s="4"/>
      <c r="O422" s="4"/>
      <c r="P422" s="4"/>
      <c r="Q422" s="4"/>
      <c r="R422" s="4"/>
      <c r="S422" s="4"/>
      <c r="T422" s="6">
        <f>IF(G422="","",SUBSTITUTE(SUBSTITUTE(SUBSTITUTE(SUBSTITUTE(SUBSTITUTE(SUBSTITUTE(SUBSTITUTE(TRIM(G422),".",""),"/",""),"-","")," ",""),"(",""),")",""),"+",""))</f>
      </c>
      <c r="U422" s="6">
        <f>IF(T422="","",IF(LEN(T422)&lt;&gt;14,"ERRO: "&amp;LEN(T422)&amp;" dígitos",IF(NOT(ISNUMBER(VALUE(T422))),"ERRO: não numérico",IF(LEN(SUBSTITUTE(T422,LEFT(T422,1),""))=0,"ERRO: dígitos repetidos",IF(AND(VALUE(MID(T422,13,1))=IF(MOD(SUMPRODUCT(--MID(T422,{1,2,3,4,5,6,7,8,9,10,11,12},1),{5,4,3,2,9,8,7,6,5,4,3,2}),11)&lt;2,0,11-MOD(SUMPRODUCT(--MID(T422,{1,2,3,4,5,6,7,8,9,10,11,12},1),{5,4,3,2,9,8,7,6,5,4,3,2}),11)),VALUE(MID(T422,14,1))=IF(MOD(SUMPRODUCT(--MID(T422,{1,2,3,4,5,6,7,8,9,10,11,12,13},1),{6,5,4,3,2,9,8,7,6,5,4,3,2}),11)&lt;2,0,11-MOD(SUMPRODUCT(--MID(T422,{1,2,3,4,5,6,7,8,9,10,11,12,13},1),{6,5,4,3,2,9,8,7,6,5,4,3,2}),11))),"OK","ERRO: dígito verificador")))))</f>
      </c>
      <c r="V422" s="6">
        <f>IF(T422="","",IF(COUNTIF($T$2:$T$1001,T422)&gt;1,"DUPLICADO","OK"))</f>
      </c>
      <c r="W422" s="6">
        <f>IF(M422="","vazio",IF(OR(AND(LEN(SUBSTITUTE(SUBSTITUTE(SUBSTITUTE(SUBSTITUTE(SUBSTITUTE(SUBSTITUTE(SUBSTITUTE(TRIM(M422),".",""),"/",""),"-","")," ",""),"(",""),")",""),"+",""))=10,LEFT(SUBSTITUTE(SUBSTITUTE(SUBSTITUTE(SUBSTITUTE(SUBSTITUTE(SUBSTITUTE(SUBSTITUTE(TRIM(M422),".",""),"/",""),"-","")," ",""),"(",""),")",""),"+",""),1)&lt;&gt;"0"),AND(LEN(SUBSTITUTE(SUBSTITUTE(SUBSTITUTE(SUBSTITUTE(SUBSTITUTE(SUBSTITUTE(SUBSTITUTE(TRIM(M422),".",""),"/",""),"-","")," ",""),"(",""),")",""),"+",""))=11,LEFT(SUBSTITUTE(SUBSTITUTE(SUBSTITUTE(SUBSTITUTE(SUBSTITUTE(SUBSTITUTE(SUBSTITUTE(TRIM(M422),".",""),"/",""),"-","")," ",""),"(",""),")",""),"+",""),4)="0800")),"OK",IF(AND(LEN(SUBSTITUTE(SUBSTITUTE(SUBSTITUTE(SUBSTITUTE(SUBSTITUTE(SUBSTITUTE(SUBSTITUTE(TRIM(M422),".",""),"/",""),"-","")," ",""),"(",""),")",""),"+",""))=11,MID(SUBSTITUTE(SUBSTITUTE(SUBSTITUTE(SUBSTITUTE(SUBSTITUTE(SUBSTITUTE(SUBSTITUTE(TRIM(M422),".",""),"/",""),"-","")," ",""),"(",""),")",""),"+",""),3,1)="9"),"ERRO: é celular, use a coluna Celular","ERRO: DDD + 8 dígitos ou 0800 + 7")))</f>
      </c>
      <c r="X422" s="6">
        <f>IF(N422="","vazio",IF(AND(LEN(SUBSTITUTE(SUBSTITUTE(SUBSTITUTE(SUBSTITUTE(SUBSTITUTE(SUBSTITUTE(SUBSTITUTE(TRIM(N422),".",""),"/",""),"-","")," ",""),"(",""),")",""),"+",""))=11,MID(SUBSTITUTE(SUBSTITUTE(SUBSTITUTE(SUBSTITUTE(SUBSTITUTE(SUBSTITUTE(SUBSTITUTE(TRIM(N422),".",""),"/",""),"-","")," ",""),"(",""),")",""),"+",""),3,1)="9",LEFT(SUBSTITUTE(SUBSTITUTE(SUBSTITUTE(SUBSTITUTE(SUBSTITUTE(SUBSTITUTE(SUBSTITUTE(TRIM(N422),".",""),"/",""),"-","")," ",""),"(",""),")",""),"+",""),1)&lt;&gt;"0"),"OK",IF(LEN(SUBSTITUTE(SUBSTITUTE(SUBSTITUTE(SUBSTITUTE(SUBSTITUTE(SUBSTITUTE(SUBSTITUTE(TRIM(N422),".",""),"/",""),"-","")," ",""),"(",""),")",""),"+",""))=10,"ERRO: é fixo (ou falta o 9), use a coluna Telefone fixo","ERRO: DDD + 9 + 8 dígitos")))</f>
      </c>
      <c r="Y422" s="6">
        <f>IF(O422="","vazio",IF(AND(ISNUMBER(FIND("@",O422)),ISNUMBER(FIND(".",MID(O422,FIND("@",O422),99))),NOT(ISNUMBER(FIND(" ",TRIM(O422)))),NOT(ISNUMBER(FIND(";",O422))),NOT(ISNUMBER(FIND(",",O422)))),"OK","ERRO: um e-mail válido por linha"))</f>
      </c>
      <c r="Z422" s="6">
        <f>IF(AND(J422="",K422=""),"",IF(AND(J422&lt;&gt;"",K422&lt;&gt;""),"OK","pendente: só um nome (o GR completa ao converter)"))</f>
      </c>
      <c r="AA422" s="6">
        <f>IF(COUNTA(A422:S422)=0,"",IF(AND(A422&lt;&gt;"",B422&lt;&gt;"",C422&lt;&gt;"",D422&lt;&gt;"",E422&lt;&gt;"",F422&lt;&gt;"",G422&lt;&gt;"",H422&lt;&gt;"",OR(J422&lt;&gt;"",K422&lt;&gt;""),OR(M422&lt;&gt;"",N422&lt;&gt;"",O422&lt;&gt;"")),"OK","ERRO: faltam "&amp;IF(A422="","SDR; ","")&amp;IF(B422="","Proprietário; ","")&amp;IF(C422="","Origem; ","")&amp;IF(D422="","Temperatura; ","")&amp;IF(E422="","Segmento; ","")&amp;IF(F422="","Time/Cluster; ","")&amp;IF(G422="","CNPJ; ","")&amp;IF(H422="","Razão Social; ","")&amp;IF(AND(J422="",K422=""),"nome do contato; ","")&amp;IF(AND(M422="",N422="",O422=""),"telefone, celular ou e-mail; ","")))</f>
      </c>
      <c r="AB422" s="6">
        <f>IF(COUNTA(A422:S422)=0,"",IF(AND(U422="OK",V422="OK",LEFT(W422,4)&lt;&gt;"ERRO",LEFT(X422,4)&lt;&gt;"ERRO",LEFT(Y422,4)&lt;&gt;"ERRO",AA422="OK"),"OK","REVISAR"))</f>
      </c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5"/>
      <c r="K423" s="4"/>
      <c r="L423" s="4"/>
      <c r="M423" s="4"/>
      <c r="N423" s="4"/>
      <c r="O423" s="4"/>
      <c r="P423" s="4"/>
      <c r="Q423" s="4"/>
      <c r="R423" s="4"/>
      <c r="S423" s="4"/>
      <c r="T423" s="6">
        <f>IF(G423="","",SUBSTITUTE(SUBSTITUTE(SUBSTITUTE(SUBSTITUTE(SUBSTITUTE(SUBSTITUTE(SUBSTITUTE(TRIM(G423),".",""),"/",""),"-","")," ",""),"(",""),")",""),"+",""))</f>
      </c>
      <c r="U423" s="6">
        <f>IF(T423="","",IF(LEN(T423)&lt;&gt;14,"ERRO: "&amp;LEN(T423)&amp;" dígitos",IF(NOT(ISNUMBER(VALUE(T423))),"ERRO: não numérico",IF(LEN(SUBSTITUTE(T423,LEFT(T423,1),""))=0,"ERRO: dígitos repetidos",IF(AND(VALUE(MID(T423,13,1))=IF(MOD(SUMPRODUCT(--MID(T423,{1,2,3,4,5,6,7,8,9,10,11,12},1),{5,4,3,2,9,8,7,6,5,4,3,2}),11)&lt;2,0,11-MOD(SUMPRODUCT(--MID(T423,{1,2,3,4,5,6,7,8,9,10,11,12},1),{5,4,3,2,9,8,7,6,5,4,3,2}),11)),VALUE(MID(T423,14,1))=IF(MOD(SUMPRODUCT(--MID(T423,{1,2,3,4,5,6,7,8,9,10,11,12,13},1),{6,5,4,3,2,9,8,7,6,5,4,3,2}),11)&lt;2,0,11-MOD(SUMPRODUCT(--MID(T423,{1,2,3,4,5,6,7,8,9,10,11,12,13},1),{6,5,4,3,2,9,8,7,6,5,4,3,2}),11))),"OK","ERRO: dígito verificador")))))</f>
      </c>
      <c r="V423" s="6">
        <f>IF(T423="","",IF(COUNTIF($T$2:$T$1001,T423)&gt;1,"DUPLICADO","OK"))</f>
      </c>
      <c r="W423" s="6">
        <f>IF(M423="","vazio",IF(OR(AND(LEN(SUBSTITUTE(SUBSTITUTE(SUBSTITUTE(SUBSTITUTE(SUBSTITUTE(SUBSTITUTE(SUBSTITUTE(TRIM(M423),".",""),"/",""),"-","")," ",""),"(",""),")",""),"+",""))=10,LEFT(SUBSTITUTE(SUBSTITUTE(SUBSTITUTE(SUBSTITUTE(SUBSTITUTE(SUBSTITUTE(SUBSTITUTE(TRIM(M423),".",""),"/",""),"-","")," ",""),"(",""),")",""),"+",""),1)&lt;&gt;"0"),AND(LEN(SUBSTITUTE(SUBSTITUTE(SUBSTITUTE(SUBSTITUTE(SUBSTITUTE(SUBSTITUTE(SUBSTITUTE(TRIM(M423),".",""),"/",""),"-","")," ",""),"(",""),")",""),"+",""))=11,LEFT(SUBSTITUTE(SUBSTITUTE(SUBSTITUTE(SUBSTITUTE(SUBSTITUTE(SUBSTITUTE(SUBSTITUTE(TRIM(M423),".",""),"/",""),"-","")," ",""),"(",""),")",""),"+",""),4)="0800")),"OK",IF(AND(LEN(SUBSTITUTE(SUBSTITUTE(SUBSTITUTE(SUBSTITUTE(SUBSTITUTE(SUBSTITUTE(SUBSTITUTE(TRIM(M423),".",""),"/",""),"-","")," ",""),"(",""),")",""),"+",""))=11,MID(SUBSTITUTE(SUBSTITUTE(SUBSTITUTE(SUBSTITUTE(SUBSTITUTE(SUBSTITUTE(SUBSTITUTE(TRIM(M423),".",""),"/",""),"-","")," ",""),"(",""),")",""),"+",""),3,1)="9"),"ERRO: é celular, use a coluna Celular","ERRO: DDD + 8 dígitos ou 0800 + 7")))</f>
      </c>
      <c r="X423" s="6">
        <f>IF(N423="","vazio",IF(AND(LEN(SUBSTITUTE(SUBSTITUTE(SUBSTITUTE(SUBSTITUTE(SUBSTITUTE(SUBSTITUTE(SUBSTITUTE(TRIM(N423),".",""),"/",""),"-","")," ",""),"(",""),")",""),"+",""))=11,MID(SUBSTITUTE(SUBSTITUTE(SUBSTITUTE(SUBSTITUTE(SUBSTITUTE(SUBSTITUTE(SUBSTITUTE(TRIM(N423),".",""),"/",""),"-","")," ",""),"(",""),")",""),"+",""),3,1)="9",LEFT(SUBSTITUTE(SUBSTITUTE(SUBSTITUTE(SUBSTITUTE(SUBSTITUTE(SUBSTITUTE(SUBSTITUTE(TRIM(N423),".",""),"/",""),"-","")," ",""),"(",""),")",""),"+",""),1)&lt;&gt;"0"),"OK",IF(LEN(SUBSTITUTE(SUBSTITUTE(SUBSTITUTE(SUBSTITUTE(SUBSTITUTE(SUBSTITUTE(SUBSTITUTE(TRIM(N423),".",""),"/",""),"-","")," ",""),"(",""),")",""),"+",""))=10,"ERRO: é fixo (ou falta o 9), use a coluna Telefone fixo","ERRO: DDD + 9 + 8 dígitos")))</f>
      </c>
      <c r="Y423" s="6">
        <f>IF(O423="","vazio",IF(AND(ISNUMBER(FIND("@",O423)),ISNUMBER(FIND(".",MID(O423,FIND("@",O423),99))),NOT(ISNUMBER(FIND(" ",TRIM(O423)))),NOT(ISNUMBER(FIND(";",O423))),NOT(ISNUMBER(FIND(",",O423)))),"OK","ERRO: um e-mail válido por linha"))</f>
      </c>
      <c r="Z423" s="6">
        <f>IF(AND(J423="",K423=""),"",IF(AND(J423&lt;&gt;"",K423&lt;&gt;""),"OK","pendente: só um nome (o GR completa ao converter)"))</f>
      </c>
      <c r="AA423" s="6">
        <f>IF(COUNTA(A423:S423)=0,"",IF(AND(A423&lt;&gt;"",B423&lt;&gt;"",C423&lt;&gt;"",D423&lt;&gt;"",E423&lt;&gt;"",F423&lt;&gt;"",G423&lt;&gt;"",H423&lt;&gt;"",OR(J423&lt;&gt;"",K423&lt;&gt;""),OR(M423&lt;&gt;"",N423&lt;&gt;"",O423&lt;&gt;"")),"OK","ERRO: faltam "&amp;IF(A423="","SDR; ","")&amp;IF(B423="","Proprietário; ","")&amp;IF(C423="","Origem; ","")&amp;IF(D423="","Temperatura; ","")&amp;IF(E423="","Segmento; ","")&amp;IF(F423="","Time/Cluster; ","")&amp;IF(G423="","CNPJ; ","")&amp;IF(H423="","Razão Social; ","")&amp;IF(AND(J423="",K423=""),"nome do contato; ","")&amp;IF(AND(M423="",N423="",O423=""),"telefone, celular ou e-mail; ","")))</f>
      </c>
      <c r="AB423" s="6">
        <f>IF(COUNTA(A423:S423)=0,"",IF(AND(U423="OK",V423="OK",LEFT(W423,4)&lt;&gt;"ERRO",LEFT(X423,4)&lt;&gt;"ERRO",LEFT(Y423,4)&lt;&gt;"ERRO",AA423="OK"),"OK","REVISAR"))</f>
      </c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5"/>
      <c r="K424" s="4"/>
      <c r="L424" s="4"/>
      <c r="M424" s="4"/>
      <c r="N424" s="4"/>
      <c r="O424" s="4"/>
      <c r="P424" s="4"/>
      <c r="Q424" s="4"/>
      <c r="R424" s="4"/>
      <c r="S424" s="4"/>
      <c r="T424" s="6">
        <f>IF(G424="","",SUBSTITUTE(SUBSTITUTE(SUBSTITUTE(SUBSTITUTE(SUBSTITUTE(SUBSTITUTE(SUBSTITUTE(TRIM(G424),".",""),"/",""),"-","")," ",""),"(",""),")",""),"+",""))</f>
      </c>
      <c r="U424" s="6">
        <f>IF(T424="","",IF(LEN(T424)&lt;&gt;14,"ERRO: "&amp;LEN(T424)&amp;" dígitos",IF(NOT(ISNUMBER(VALUE(T424))),"ERRO: não numérico",IF(LEN(SUBSTITUTE(T424,LEFT(T424,1),""))=0,"ERRO: dígitos repetidos",IF(AND(VALUE(MID(T424,13,1))=IF(MOD(SUMPRODUCT(--MID(T424,{1,2,3,4,5,6,7,8,9,10,11,12},1),{5,4,3,2,9,8,7,6,5,4,3,2}),11)&lt;2,0,11-MOD(SUMPRODUCT(--MID(T424,{1,2,3,4,5,6,7,8,9,10,11,12},1),{5,4,3,2,9,8,7,6,5,4,3,2}),11)),VALUE(MID(T424,14,1))=IF(MOD(SUMPRODUCT(--MID(T424,{1,2,3,4,5,6,7,8,9,10,11,12,13},1),{6,5,4,3,2,9,8,7,6,5,4,3,2}),11)&lt;2,0,11-MOD(SUMPRODUCT(--MID(T424,{1,2,3,4,5,6,7,8,9,10,11,12,13},1),{6,5,4,3,2,9,8,7,6,5,4,3,2}),11))),"OK","ERRO: dígito verificador")))))</f>
      </c>
      <c r="V424" s="6">
        <f>IF(T424="","",IF(COUNTIF($T$2:$T$1001,T424)&gt;1,"DUPLICADO","OK"))</f>
      </c>
      <c r="W424" s="6">
        <f>IF(M424="","vazio",IF(OR(AND(LEN(SUBSTITUTE(SUBSTITUTE(SUBSTITUTE(SUBSTITUTE(SUBSTITUTE(SUBSTITUTE(SUBSTITUTE(TRIM(M424),".",""),"/",""),"-","")," ",""),"(",""),")",""),"+",""))=10,LEFT(SUBSTITUTE(SUBSTITUTE(SUBSTITUTE(SUBSTITUTE(SUBSTITUTE(SUBSTITUTE(SUBSTITUTE(TRIM(M424),".",""),"/",""),"-","")," ",""),"(",""),")",""),"+",""),1)&lt;&gt;"0"),AND(LEN(SUBSTITUTE(SUBSTITUTE(SUBSTITUTE(SUBSTITUTE(SUBSTITUTE(SUBSTITUTE(SUBSTITUTE(TRIM(M424),".",""),"/",""),"-","")," ",""),"(",""),")",""),"+",""))=11,LEFT(SUBSTITUTE(SUBSTITUTE(SUBSTITUTE(SUBSTITUTE(SUBSTITUTE(SUBSTITUTE(SUBSTITUTE(TRIM(M424),".",""),"/",""),"-","")," ",""),"(",""),")",""),"+",""),4)="0800")),"OK",IF(AND(LEN(SUBSTITUTE(SUBSTITUTE(SUBSTITUTE(SUBSTITUTE(SUBSTITUTE(SUBSTITUTE(SUBSTITUTE(TRIM(M424),".",""),"/",""),"-","")," ",""),"(",""),")",""),"+",""))=11,MID(SUBSTITUTE(SUBSTITUTE(SUBSTITUTE(SUBSTITUTE(SUBSTITUTE(SUBSTITUTE(SUBSTITUTE(TRIM(M424),".",""),"/",""),"-","")," ",""),"(",""),")",""),"+",""),3,1)="9"),"ERRO: é celular, use a coluna Celular","ERRO: DDD + 8 dígitos ou 0800 + 7")))</f>
      </c>
      <c r="X424" s="6">
        <f>IF(N424="","vazio",IF(AND(LEN(SUBSTITUTE(SUBSTITUTE(SUBSTITUTE(SUBSTITUTE(SUBSTITUTE(SUBSTITUTE(SUBSTITUTE(TRIM(N424),".",""),"/",""),"-","")," ",""),"(",""),")",""),"+",""))=11,MID(SUBSTITUTE(SUBSTITUTE(SUBSTITUTE(SUBSTITUTE(SUBSTITUTE(SUBSTITUTE(SUBSTITUTE(TRIM(N424),".",""),"/",""),"-","")," ",""),"(",""),")",""),"+",""),3,1)="9",LEFT(SUBSTITUTE(SUBSTITUTE(SUBSTITUTE(SUBSTITUTE(SUBSTITUTE(SUBSTITUTE(SUBSTITUTE(TRIM(N424),".",""),"/",""),"-","")," ",""),"(",""),")",""),"+",""),1)&lt;&gt;"0"),"OK",IF(LEN(SUBSTITUTE(SUBSTITUTE(SUBSTITUTE(SUBSTITUTE(SUBSTITUTE(SUBSTITUTE(SUBSTITUTE(TRIM(N424),".",""),"/",""),"-","")," ",""),"(",""),")",""),"+",""))=10,"ERRO: é fixo (ou falta o 9), use a coluna Telefone fixo","ERRO: DDD + 9 + 8 dígitos")))</f>
      </c>
      <c r="Y424" s="6">
        <f>IF(O424="","vazio",IF(AND(ISNUMBER(FIND("@",O424)),ISNUMBER(FIND(".",MID(O424,FIND("@",O424),99))),NOT(ISNUMBER(FIND(" ",TRIM(O424)))),NOT(ISNUMBER(FIND(";",O424))),NOT(ISNUMBER(FIND(",",O424)))),"OK","ERRO: um e-mail válido por linha"))</f>
      </c>
      <c r="Z424" s="6">
        <f>IF(AND(J424="",K424=""),"",IF(AND(J424&lt;&gt;"",K424&lt;&gt;""),"OK","pendente: só um nome (o GR completa ao converter)"))</f>
      </c>
      <c r="AA424" s="6">
        <f>IF(COUNTA(A424:S424)=0,"",IF(AND(A424&lt;&gt;"",B424&lt;&gt;"",C424&lt;&gt;"",D424&lt;&gt;"",E424&lt;&gt;"",F424&lt;&gt;"",G424&lt;&gt;"",H424&lt;&gt;"",OR(J424&lt;&gt;"",K424&lt;&gt;""),OR(M424&lt;&gt;"",N424&lt;&gt;"",O424&lt;&gt;"")),"OK","ERRO: faltam "&amp;IF(A424="","SDR; ","")&amp;IF(B424="","Proprietário; ","")&amp;IF(C424="","Origem; ","")&amp;IF(D424="","Temperatura; ","")&amp;IF(E424="","Segmento; ","")&amp;IF(F424="","Time/Cluster; ","")&amp;IF(G424="","CNPJ; ","")&amp;IF(H424="","Razão Social; ","")&amp;IF(AND(J424="",K424=""),"nome do contato; ","")&amp;IF(AND(M424="",N424="",O424=""),"telefone, celular ou e-mail; ","")))</f>
      </c>
      <c r="AB424" s="6">
        <f>IF(COUNTA(A424:S424)=0,"",IF(AND(U424="OK",V424="OK",LEFT(W424,4)&lt;&gt;"ERRO",LEFT(X424,4)&lt;&gt;"ERRO",LEFT(Y424,4)&lt;&gt;"ERRO",AA424="OK"),"OK","REVISAR"))</f>
      </c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5"/>
      <c r="K425" s="4"/>
      <c r="L425" s="4"/>
      <c r="M425" s="4"/>
      <c r="N425" s="4"/>
      <c r="O425" s="4"/>
      <c r="P425" s="4"/>
      <c r="Q425" s="4"/>
      <c r="R425" s="4"/>
      <c r="S425" s="4"/>
      <c r="T425" s="6">
        <f>IF(G425="","",SUBSTITUTE(SUBSTITUTE(SUBSTITUTE(SUBSTITUTE(SUBSTITUTE(SUBSTITUTE(SUBSTITUTE(TRIM(G425),".",""),"/",""),"-","")," ",""),"(",""),")",""),"+",""))</f>
      </c>
      <c r="U425" s="6">
        <f>IF(T425="","",IF(LEN(T425)&lt;&gt;14,"ERRO: "&amp;LEN(T425)&amp;" dígitos",IF(NOT(ISNUMBER(VALUE(T425))),"ERRO: não numérico",IF(LEN(SUBSTITUTE(T425,LEFT(T425,1),""))=0,"ERRO: dígitos repetidos",IF(AND(VALUE(MID(T425,13,1))=IF(MOD(SUMPRODUCT(--MID(T425,{1,2,3,4,5,6,7,8,9,10,11,12},1),{5,4,3,2,9,8,7,6,5,4,3,2}),11)&lt;2,0,11-MOD(SUMPRODUCT(--MID(T425,{1,2,3,4,5,6,7,8,9,10,11,12},1),{5,4,3,2,9,8,7,6,5,4,3,2}),11)),VALUE(MID(T425,14,1))=IF(MOD(SUMPRODUCT(--MID(T425,{1,2,3,4,5,6,7,8,9,10,11,12,13},1),{6,5,4,3,2,9,8,7,6,5,4,3,2}),11)&lt;2,0,11-MOD(SUMPRODUCT(--MID(T425,{1,2,3,4,5,6,7,8,9,10,11,12,13},1),{6,5,4,3,2,9,8,7,6,5,4,3,2}),11))),"OK","ERRO: dígito verificador")))))</f>
      </c>
      <c r="V425" s="6">
        <f>IF(T425="","",IF(COUNTIF($T$2:$T$1001,T425)&gt;1,"DUPLICADO","OK"))</f>
      </c>
      <c r="W425" s="6">
        <f>IF(M425="","vazio",IF(OR(AND(LEN(SUBSTITUTE(SUBSTITUTE(SUBSTITUTE(SUBSTITUTE(SUBSTITUTE(SUBSTITUTE(SUBSTITUTE(TRIM(M425),".",""),"/",""),"-","")," ",""),"(",""),")",""),"+",""))=10,LEFT(SUBSTITUTE(SUBSTITUTE(SUBSTITUTE(SUBSTITUTE(SUBSTITUTE(SUBSTITUTE(SUBSTITUTE(TRIM(M425),".",""),"/",""),"-","")," ",""),"(",""),")",""),"+",""),1)&lt;&gt;"0"),AND(LEN(SUBSTITUTE(SUBSTITUTE(SUBSTITUTE(SUBSTITUTE(SUBSTITUTE(SUBSTITUTE(SUBSTITUTE(TRIM(M425),".",""),"/",""),"-","")," ",""),"(",""),")",""),"+",""))=11,LEFT(SUBSTITUTE(SUBSTITUTE(SUBSTITUTE(SUBSTITUTE(SUBSTITUTE(SUBSTITUTE(SUBSTITUTE(TRIM(M425),".",""),"/",""),"-","")," ",""),"(",""),")",""),"+",""),4)="0800")),"OK",IF(AND(LEN(SUBSTITUTE(SUBSTITUTE(SUBSTITUTE(SUBSTITUTE(SUBSTITUTE(SUBSTITUTE(SUBSTITUTE(TRIM(M425),".",""),"/",""),"-","")," ",""),"(",""),")",""),"+",""))=11,MID(SUBSTITUTE(SUBSTITUTE(SUBSTITUTE(SUBSTITUTE(SUBSTITUTE(SUBSTITUTE(SUBSTITUTE(TRIM(M425),".",""),"/",""),"-","")," ",""),"(",""),")",""),"+",""),3,1)="9"),"ERRO: é celular, use a coluna Celular","ERRO: DDD + 8 dígitos ou 0800 + 7")))</f>
      </c>
      <c r="X425" s="6">
        <f>IF(N425="","vazio",IF(AND(LEN(SUBSTITUTE(SUBSTITUTE(SUBSTITUTE(SUBSTITUTE(SUBSTITUTE(SUBSTITUTE(SUBSTITUTE(TRIM(N425),".",""),"/",""),"-","")," ",""),"(",""),")",""),"+",""))=11,MID(SUBSTITUTE(SUBSTITUTE(SUBSTITUTE(SUBSTITUTE(SUBSTITUTE(SUBSTITUTE(SUBSTITUTE(TRIM(N425),".",""),"/",""),"-","")," ",""),"(",""),")",""),"+",""),3,1)="9",LEFT(SUBSTITUTE(SUBSTITUTE(SUBSTITUTE(SUBSTITUTE(SUBSTITUTE(SUBSTITUTE(SUBSTITUTE(TRIM(N425),".",""),"/",""),"-","")," ",""),"(",""),")",""),"+",""),1)&lt;&gt;"0"),"OK",IF(LEN(SUBSTITUTE(SUBSTITUTE(SUBSTITUTE(SUBSTITUTE(SUBSTITUTE(SUBSTITUTE(SUBSTITUTE(TRIM(N425),".",""),"/",""),"-","")," ",""),"(",""),")",""),"+",""))=10,"ERRO: é fixo (ou falta o 9), use a coluna Telefone fixo","ERRO: DDD + 9 + 8 dígitos")))</f>
      </c>
      <c r="Y425" s="6">
        <f>IF(O425="","vazio",IF(AND(ISNUMBER(FIND("@",O425)),ISNUMBER(FIND(".",MID(O425,FIND("@",O425),99))),NOT(ISNUMBER(FIND(" ",TRIM(O425)))),NOT(ISNUMBER(FIND(";",O425))),NOT(ISNUMBER(FIND(",",O425)))),"OK","ERRO: um e-mail válido por linha"))</f>
      </c>
      <c r="Z425" s="6">
        <f>IF(AND(J425="",K425=""),"",IF(AND(J425&lt;&gt;"",K425&lt;&gt;""),"OK","pendente: só um nome (o GR completa ao converter)"))</f>
      </c>
      <c r="AA425" s="6">
        <f>IF(COUNTA(A425:S425)=0,"",IF(AND(A425&lt;&gt;"",B425&lt;&gt;"",C425&lt;&gt;"",D425&lt;&gt;"",E425&lt;&gt;"",F425&lt;&gt;"",G425&lt;&gt;"",H425&lt;&gt;"",OR(J425&lt;&gt;"",K425&lt;&gt;""),OR(M425&lt;&gt;"",N425&lt;&gt;"",O425&lt;&gt;"")),"OK","ERRO: faltam "&amp;IF(A425="","SDR; ","")&amp;IF(B425="","Proprietário; ","")&amp;IF(C425="","Origem; ","")&amp;IF(D425="","Temperatura; ","")&amp;IF(E425="","Segmento; ","")&amp;IF(F425="","Time/Cluster; ","")&amp;IF(G425="","CNPJ; ","")&amp;IF(H425="","Razão Social; ","")&amp;IF(AND(J425="",K425=""),"nome do contato; ","")&amp;IF(AND(M425="",N425="",O425=""),"telefone, celular ou e-mail; ","")))</f>
      </c>
      <c r="AB425" s="6">
        <f>IF(COUNTA(A425:S425)=0,"",IF(AND(U425="OK",V425="OK",LEFT(W425,4)&lt;&gt;"ERRO",LEFT(X425,4)&lt;&gt;"ERRO",LEFT(Y425,4)&lt;&gt;"ERRO",AA425="OK"),"OK","REVISAR"))</f>
      </c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5"/>
      <c r="K426" s="4"/>
      <c r="L426" s="4"/>
      <c r="M426" s="4"/>
      <c r="N426" s="4"/>
      <c r="O426" s="4"/>
      <c r="P426" s="4"/>
      <c r="Q426" s="4"/>
      <c r="R426" s="4"/>
      <c r="S426" s="4"/>
      <c r="T426" s="6">
        <f>IF(G426="","",SUBSTITUTE(SUBSTITUTE(SUBSTITUTE(SUBSTITUTE(SUBSTITUTE(SUBSTITUTE(SUBSTITUTE(TRIM(G426),".",""),"/",""),"-","")," ",""),"(",""),")",""),"+",""))</f>
      </c>
      <c r="U426" s="6">
        <f>IF(T426="","",IF(LEN(T426)&lt;&gt;14,"ERRO: "&amp;LEN(T426)&amp;" dígitos",IF(NOT(ISNUMBER(VALUE(T426))),"ERRO: não numérico",IF(LEN(SUBSTITUTE(T426,LEFT(T426,1),""))=0,"ERRO: dígitos repetidos",IF(AND(VALUE(MID(T426,13,1))=IF(MOD(SUMPRODUCT(--MID(T426,{1,2,3,4,5,6,7,8,9,10,11,12},1),{5,4,3,2,9,8,7,6,5,4,3,2}),11)&lt;2,0,11-MOD(SUMPRODUCT(--MID(T426,{1,2,3,4,5,6,7,8,9,10,11,12},1),{5,4,3,2,9,8,7,6,5,4,3,2}),11)),VALUE(MID(T426,14,1))=IF(MOD(SUMPRODUCT(--MID(T426,{1,2,3,4,5,6,7,8,9,10,11,12,13},1),{6,5,4,3,2,9,8,7,6,5,4,3,2}),11)&lt;2,0,11-MOD(SUMPRODUCT(--MID(T426,{1,2,3,4,5,6,7,8,9,10,11,12,13},1),{6,5,4,3,2,9,8,7,6,5,4,3,2}),11))),"OK","ERRO: dígito verificador")))))</f>
      </c>
      <c r="V426" s="6">
        <f>IF(T426="","",IF(COUNTIF($T$2:$T$1001,T426)&gt;1,"DUPLICADO","OK"))</f>
      </c>
      <c r="W426" s="6">
        <f>IF(M426="","vazio",IF(OR(AND(LEN(SUBSTITUTE(SUBSTITUTE(SUBSTITUTE(SUBSTITUTE(SUBSTITUTE(SUBSTITUTE(SUBSTITUTE(TRIM(M426),".",""),"/",""),"-","")," ",""),"(",""),")",""),"+",""))=10,LEFT(SUBSTITUTE(SUBSTITUTE(SUBSTITUTE(SUBSTITUTE(SUBSTITUTE(SUBSTITUTE(SUBSTITUTE(TRIM(M426),".",""),"/",""),"-","")," ",""),"(",""),")",""),"+",""),1)&lt;&gt;"0"),AND(LEN(SUBSTITUTE(SUBSTITUTE(SUBSTITUTE(SUBSTITUTE(SUBSTITUTE(SUBSTITUTE(SUBSTITUTE(TRIM(M426),".",""),"/",""),"-","")," ",""),"(",""),")",""),"+",""))=11,LEFT(SUBSTITUTE(SUBSTITUTE(SUBSTITUTE(SUBSTITUTE(SUBSTITUTE(SUBSTITUTE(SUBSTITUTE(TRIM(M426),".",""),"/",""),"-","")," ",""),"(",""),")",""),"+",""),4)="0800")),"OK",IF(AND(LEN(SUBSTITUTE(SUBSTITUTE(SUBSTITUTE(SUBSTITUTE(SUBSTITUTE(SUBSTITUTE(SUBSTITUTE(TRIM(M426),".",""),"/",""),"-","")," ",""),"(",""),")",""),"+",""))=11,MID(SUBSTITUTE(SUBSTITUTE(SUBSTITUTE(SUBSTITUTE(SUBSTITUTE(SUBSTITUTE(SUBSTITUTE(TRIM(M426),".",""),"/",""),"-","")," ",""),"(",""),")",""),"+",""),3,1)="9"),"ERRO: é celular, use a coluna Celular","ERRO: DDD + 8 dígitos ou 0800 + 7")))</f>
      </c>
      <c r="X426" s="6">
        <f>IF(N426="","vazio",IF(AND(LEN(SUBSTITUTE(SUBSTITUTE(SUBSTITUTE(SUBSTITUTE(SUBSTITUTE(SUBSTITUTE(SUBSTITUTE(TRIM(N426),".",""),"/",""),"-","")," ",""),"(",""),")",""),"+",""))=11,MID(SUBSTITUTE(SUBSTITUTE(SUBSTITUTE(SUBSTITUTE(SUBSTITUTE(SUBSTITUTE(SUBSTITUTE(TRIM(N426),".",""),"/",""),"-","")," ",""),"(",""),")",""),"+",""),3,1)="9",LEFT(SUBSTITUTE(SUBSTITUTE(SUBSTITUTE(SUBSTITUTE(SUBSTITUTE(SUBSTITUTE(SUBSTITUTE(TRIM(N426),".",""),"/",""),"-","")," ",""),"(",""),")",""),"+",""),1)&lt;&gt;"0"),"OK",IF(LEN(SUBSTITUTE(SUBSTITUTE(SUBSTITUTE(SUBSTITUTE(SUBSTITUTE(SUBSTITUTE(SUBSTITUTE(TRIM(N426),".",""),"/",""),"-","")," ",""),"(",""),")",""),"+",""))=10,"ERRO: é fixo (ou falta o 9), use a coluna Telefone fixo","ERRO: DDD + 9 + 8 dígitos")))</f>
      </c>
      <c r="Y426" s="6">
        <f>IF(O426="","vazio",IF(AND(ISNUMBER(FIND("@",O426)),ISNUMBER(FIND(".",MID(O426,FIND("@",O426),99))),NOT(ISNUMBER(FIND(" ",TRIM(O426)))),NOT(ISNUMBER(FIND(";",O426))),NOT(ISNUMBER(FIND(",",O426)))),"OK","ERRO: um e-mail válido por linha"))</f>
      </c>
      <c r="Z426" s="6">
        <f>IF(AND(J426="",K426=""),"",IF(AND(J426&lt;&gt;"",K426&lt;&gt;""),"OK","pendente: só um nome (o GR completa ao converter)"))</f>
      </c>
      <c r="AA426" s="6">
        <f>IF(COUNTA(A426:S426)=0,"",IF(AND(A426&lt;&gt;"",B426&lt;&gt;"",C426&lt;&gt;"",D426&lt;&gt;"",E426&lt;&gt;"",F426&lt;&gt;"",G426&lt;&gt;"",H426&lt;&gt;"",OR(J426&lt;&gt;"",K426&lt;&gt;""),OR(M426&lt;&gt;"",N426&lt;&gt;"",O426&lt;&gt;"")),"OK","ERRO: faltam "&amp;IF(A426="","SDR; ","")&amp;IF(B426="","Proprietário; ","")&amp;IF(C426="","Origem; ","")&amp;IF(D426="","Temperatura; ","")&amp;IF(E426="","Segmento; ","")&amp;IF(F426="","Time/Cluster; ","")&amp;IF(G426="","CNPJ; ","")&amp;IF(H426="","Razão Social; ","")&amp;IF(AND(J426="",K426=""),"nome do contato; ","")&amp;IF(AND(M426="",N426="",O426=""),"telefone, celular ou e-mail; ","")))</f>
      </c>
      <c r="AB426" s="6">
        <f>IF(COUNTA(A426:S426)=0,"",IF(AND(U426="OK",V426="OK",LEFT(W426,4)&lt;&gt;"ERRO",LEFT(X426,4)&lt;&gt;"ERRO",LEFT(Y426,4)&lt;&gt;"ERRO",AA426="OK"),"OK","REVISAR"))</f>
      </c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5"/>
      <c r="K427" s="4"/>
      <c r="L427" s="4"/>
      <c r="M427" s="4"/>
      <c r="N427" s="4"/>
      <c r="O427" s="4"/>
      <c r="P427" s="4"/>
      <c r="Q427" s="4"/>
      <c r="R427" s="4"/>
      <c r="S427" s="4"/>
      <c r="T427" s="6">
        <f>IF(G427="","",SUBSTITUTE(SUBSTITUTE(SUBSTITUTE(SUBSTITUTE(SUBSTITUTE(SUBSTITUTE(SUBSTITUTE(TRIM(G427),".",""),"/",""),"-","")," ",""),"(",""),")",""),"+",""))</f>
      </c>
      <c r="U427" s="6">
        <f>IF(T427="","",IF(LEN(T427)&lt;&gt;14,"ERRO: "&amp;LEN(T427)&amp;" dígitos",IF(NOT(ISNUMBER(VALUE(T427))),"ERRO: não numérico",IF(LEN(SUBSTITUTE(T427,LEFT(T427,1),""))=0,"ERRO: dígitos repetidos",IF(AND(VALUE(MID(T427,13,1))=IF(MOD(SUMPRODUCT(--MID(T427,{1,2,3,4,5,6,7,8,9,10,11,12},1),{5,4,3,2,9,8,7,6,5,4,3,2}),11)&lt;2,0,11-MOD(SUMPRODUCT(--MID(T427,{1,2,3,4,5,6,7,8,9,10,11,12},1),{5,4,3,2,9,8,7,6,5,4,3,2}),11)),VALUE(MID(T427,14,1))=IF(MOD(SUMPRODUCT(--MID(T427,{1,2,3,4,5,6,7,8,9,10,11,12,13},1),{6,5,4,3,2,9,8,7,6,5,4,3,2}),11)&lt;2,0,11-MOD(SUMPRODUCT(--MID(T427,{1,2,3,4,5,6,7,8,9,10,11,12,13},1),{6,5,4,3,2,9,8,7,6,5,4,3,2}),11))),"OK","ERRO: dígito verificador")))))</f>
      </c>
      <c r="V427" s="6">
        <f>IF(T427="","",IF(COUNTIF($T$2:$T$1001,T427)&gt;1,"DUPLICADO","OK"))</f>
      </c>
      <c r="W427" s="6">
        <f>IF(M427="","vazio",IF(OR(AND(LEN(SUBSTITUTE(SUBSTITUTE(SUBSTITUTE(SUBSTITUTE(SUBSTITUTE(SUBSTITUTE(SUBSTITUTE(TRIM(M427),".",""),"/",""),"-","")," ",""),"(",""),")",""),"+",""))=10,LEFT(SUBSTITUTE(SUBSTITUTE(SUBSTITUTE(SUBSTITUTE(SUBSTITUTE(SUBSTITUTE(SUBSTITUTE(TRIM(M427),".",""),"/",""),"-","")," ",""),"(",""),")",""),"+",""),1)&lt;&gt;"0"),AND(LEN(SUBSTITUTE(SUBSTITUTE(SUBSTITUTE(SUBSTITUTE(SUBSTITUTE(SUBSTITUTE(SUBSTITUTE(TRIM(M427),".",""),"/",""),"-","")," ",""),"(",""),")",""),"+",""))=11,LEFT(SUBSTITUTE(SUBSTITUTE(SUBSTITUTE(SUBSTITUTE(SUBSTITUTE(SUBSTITUTE(SUBSTITUTE(TRIM(M427),".",""),"/",""),"-","")," ",""),"(",""),")",""),"+",""),4)="0800")),"OK",IF(AND(LEN(SUBSTITUTE(SUBSTITUTE(SUBSTITUTE(SUBSTITUTE(SUBSTITUTE(SUBSTITUTE(SUBSTITUTE(TRIM(M427),".",""),"/",""),"-","")," ",""),"(",""),")",""),"+",""))=11,MID(SUBSTITUTE(SUBSTITUTE(SUBSTITUTE(SUBSTITUTE(SUBSTITUTE(SUBSTITUTE(SUBSTITUTE(TRIM(M427),".",""),"/",""),"-","")," ",""),"(",""),")",""),"+",""),3,1)="9"),"ERRO: é celular, use a coluna Celular","ERRO: DDD + 8 dígitos ou 0800 + 7")))</f>
      </c>
      <c r="X427" s="6">
        <f>IF(N427="","vazio",IF(AND(LEN(SUBSTITUTE(SUBSTITUTE(SUBSTITUTE(SUBSTITUTE(SUBSTITUTE(SUBSTITUTE(SUBSTITUTE(TRIM(N427),".",""),"/",""),"-","")," ",""),"(",""),")",""),"+",""))=11,MID(SUBSTITUTE(SUBSTITUTE(SUBSTITUTE(SUBSTITUTE(SUBSTITUTE(SUBSTITUTE(SUBSTITUTE(TRIM(N427),".",""),"/",""),"-","")," ",""),"(",""),")",""),"+",""),3,1)="9",LEFT(SUBSTITUTE(SUBSTITUTE(SUBSTITUTE(SUBSTITUTE(SUBSTITUTE(SUBSTITUTE(SUBSTITUTE(TRIM(N427),".",""),"/",""),"-","")," ",""),"(",""),")",""),"+",""),1)&lt;&gt;"0"),"OK",IF(LEN(SUBSTITUTE(SUBSTITUTE(SUBSTITUTE(SUBSTITUTE(SUBSTITUTE(SUBSTITUTE(SUBSTITUTE(TRIM(N427),".",""),"/",""),"-","")," ",""),"(",""),")",""),"+",""))=10,"ERRO: é fixo (ou falta o 9), use a coluna Telefone fixo","ERRO: DDD + 9 + 8 dígitos")))</f>
      </c>
      <c r="Y427" s="6">
        <f>IF(O427="","vazio",IF(AND(ISNUMBER(FIND("@",O427)),ISNUMBER(FIND(".",MID(O427,FIND("@",O427),99))),NOT(ISNUMBER(FIND(" ",TRIM(O427)))),NOT(ISNUMBER(FIND(";",O427))),NOT(ISNUMBER(FIND(",",O427)))),"OK","ERRO: um e-mail válido por linha"))</f>
      </c>
      <c r="Z427" s="6">
        <f>IF(AND(J427="",K427=""),"",IF(AND(J427&lt;&gt;"",K427&lt;&gt;""),"OK","pendente: só um nome (o GR completa ao converter)"))</f>
      </c>
      <c r="AA427" s="6">
        <f>IF(COUNTA(A427:S427)=0,"",IF(AND(A427&lt;&gt;"",B427&lt;&gt;"",C427&lt;&gt;"",D427&lt;&gt;"",E427&lt;&gt;"",F427&lt;&gt;"",G427&lt;&gt;"",H427&lt;&gt;"",OR(J427&lt;&gt;"",K427&lt;&gt;""),OR(M427&lt;&gt;"",N427&lt;&gt;"",O427&lt;&gt;"")),"OK","ERRO: faltam "&amp;IF(A427="","SDR; ","")&amp;IF(B427="","Proprietário; ","")&amp;IF(C427="","Origem; ","")&amp;IF(D427="","Temperatura; ","")&amp;IF(E427="","Segmento; ","")&amp;IF(F427="","Time/Cluster; ","")&amp;IF(G427="","CNPJ; ","")&amp;IF(H427="","Razão Social; ","")&amp;IF(AND(J427="",K427=""),"nome do contato; ","")&amp;IF(AND(M427="",N427="",O427=""),"telefone, celular ou e-mail; ","")))</f>
      </c>
      <c r="AB427" s="6">
        <f>IF(COUNTA(A427:S427)=0,"",IF(AND(U427="OK",V427="OK",LEFT(W427,4)&lt;&gt;"ERRO",LEFT(X427,4)&lt;&gt;"ERRO",LEFT(Y427,4)&lt;&gt;"ERRO",AA427="OK"),"OK","REVISAR"))</f>
      </c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5"/>
      <c r="K428" s="4"/>
      <c r="L428" s="4"/>
      <c r="M428" s="4"/>
      <c r="N428" s="4"/>
      <c r="O428" s="4"/>
      <c r="P428" s="4"/>
      <c r="Q428" s="4"/>
      <c r="R428" s="4"/>
      <c r="S428" s="4"/>
      <c r="T428" s="6">
        <f>IF(G428="","",SUBSTITUTE(SUBSTITUTE(SUBSTITUTE(SUBSTITUTE(SUBSTITUTE(SUBSTITUTE(SUBSTITUTE(TRIM(G428),".",""),"/",""),"-","")," ",""),"(",""),")",""),"+",""))</f>
      </c>
      <c r="U428" s="6">
        <f>IF(T428="","",IF(LEN(T428)&lt;&gt;14,"ERRO: "&amp;LEN(T428)&amp;" dígitos",IF(NOT(ISNUMBER(VALUE(T428))),"ERRO: não numérico",IF(LEN(SUBSTITUTE(T428,LEFT(T428,1),""))=0,"ERRO: dígitos repetidos",IF(AND(VALUE(MID(T428,13,1))=IF(MOD(SUMPRODUCT(--MID(T428,{1,2,3,4,5,6,7,8,9,10,11,12},1),{5,4,3,2,9,8,7,6,5,4,3,2}),11)&lt;2,0,11-MOD(SUMPRODUCT(--MID(T428,{1,2,3,4,5,6,7,8,9,10,11,12},1),{5,4,3,2,9,8,7,6,5,4,3,2}),11)),VALUE(MID(T428,14,1))=IF(MOD(SUMPRODUCT(--MID(T428,{1,2,3,4,5,6,7,8,9,10,11,12,13},1),{6,5,4,3,2,9,8,7,6,5,4,3,2}),11)&lt;2,0,11-MOD(SUMPRODUCT(--MID(T428,{1,2,3,4,5,6,7,8,9,10,11,12,13},1),{6,5,4,3,2,9,8,7,6,5,4,3,2}),11))),"OK","ERRO: dígito verificador")))))</f>
      </c>
      <c r="V428" s="6">
        <f>IF(T428="","",IF(COUNTIF($T$2:$T$1001,T428)&gt;1,"DUPLICADO","OK"))</f>
      </c>
      <c r="W428" s="6">
        <f>IF(M428="","vazio",IF(OR(AND(LEN(SUBSTITUTE(SUBSTITUTE(SUBSTITUTE(SUBSTITUTE(SUBSTITUTE(SUBSTITUTE(SUBSTITUTE(TRIM(M428),".",""),"/",""),"-","")," ",""),"(",""),")",""),"+",""))=10,LEFT(SUBSTITUTE(SUBSTITUTE(SUBSTITUTE(SUBSTITUTE(SUBSTITUTE(SUBSTITUTE(SUBSTITUTE(TRIM(M428),".",""),"/",""),"-","")," ",""),"(",""),")",""),"+",""),1)&lt;&gt;"0"),AND(LEN(SUBSTITUTE(SUBSTITUTE(SUBSTITUTE(SUBSTITUTE(SUBSTITUTE(SUBSTITUTE(SUBSTITUTE(TRIM(M428),".",""),"/",""),"-","")," ",""),"(",""),")",""),"+",""))=11,LEFT(SUBSTITUTE(SUBSTITUTE(SUBSTITUTE(SUBSTITUTE(SUBSTITUTE(SUBSTITUTE(SUBSTITUTE(TRIM(M428),".",""),"/",""),"-","")," ",""),"(",""),")",""),"+",""),4)="0800")),"OK",IF(AND(LEN(SUBSTITUTE(SUBSTITUTE(SUBSTITUTE(SUBSTITUTE(SUBSTITUTE(SUBSTITUTE(SUBSTITUTE(TRIM(M428),".",""),"/",""),"-","")," ",""),"(",""),")",""),"+",""))=11,MID(SUBSTITUTE(SUBSTITUTE(SUBSTITUTE(SUBSTITUTE(SUBSTITUTE(SUBSTITUTE(SUBSTITUTE(TRIM(M428),".",""),"/",""),"-","")," ",""),"(",""),")",""),"+",""),3,1)="9"),"ERRO: é celular, use a coluna Celular","ERRO: DDD + 8 dígitos ou 0800 + 7")))</f>
      </c>
      <c r="X428" s="6">
        <f>IF(N428="","vazio",IF(AND(LEN(SUBSTITUTE(SUBSTITUTE(SUBSTITUTE(SUBSTITUTE(SUBSTITUTE(SUBSTITUTE(SUBSTITUTE(TRIM(N428),".",""),"/",""),"-","")," ",""),"(",""),")",""),"+",""))=11,MID(SUBSTITUTE(SUBSTITUTE(SUBSTITUTE(SUBSTITUTE(SUBSTITUTE(SUBSTITUTE(SUBSTITUTE(TRIM(N428),".",""),"/",""),"-","")," ",""),"(",""),")",""),"+",""),3,1)="9",LEFT(SUBSTITUTE(SUBSTITUTE(SUBSTITUTE(SUBSTITUTE(SUBSTITUTE(SUBSTITUTE(SUBSTITUTE(TRIM(N428),".",""),"/",""),"-","")," ",""),"(",""),")",""),"+",""),1)&lt;&gt;"0"),"OK",IF(LEN(SUBSTITUTE(SUBSTITUTE(SUBSTITUTE(SUBSTITUTE(SUBSTITUTE(SUBSTITUTE(SUBSTITUTE(TRIM(N428),".",""),"/",""),"-","")," ",""),"(",""),")",""),"+",""))=10,"ERRO: é fixo (ou falta o 9), use a coluna Telefone fixo","ERRO: DDD + 9 + 8 dígitos")))</f>
      </c>
      <c r="Y428" s="6">
        <f>IF(O428="","vazio",IF(AND(ISNUMBER(FIND("@",O428)),ISNUMBER(FIND(".",MID(O428,FIND("@",O428),99))),NOT(ISNUMBER(FIND(" ",TRIM(O428)))),NOT(ISNUMBER(FIND(";",O428))),NOT(ISNUMBER(FIND(",",O428)))),"OK","ERRO: um e-mail válido por linha"))</f>
      </c>
      <c r="Z428" s="6">
        <f>IF(AND(J428="",K428=""),"",IF(AND(J428&lt;&gt;"",K428&lt;&gt;""),"OK","pendente: só um nome (o GR completa ao converter)"))</f>
      </c>
      <c r="AA428" s="6">
        <f>IF(COUNTA(A428:S428)=0,"",IF(AND(A428&lt;&gt;"",B428&lt;&gt;"",C428&lt;&gt;"",D428&lt;&gt;"",E428&lt;&gt;"",F428&lt;&gt;"",G428&lt;&gt;"",H428&lt;&gt;"",OR(J428&lt;&gt;"",K428&lt;&gt;""),OR(M428&lt;&gt;"",N428&lt;&gt;"",O428&lt;&gt;"")),"OK","ERRO: faltam "&amp;IF(A428="","SDR; ","")&amp;IF(B428="","Proprietário; ","")&amp;IF(C428="","Origem; ","")&amp;IF(D428="","Temperatura; ","")&amp;IF(E428="","Segmento; ","")&amp;IF(F428="","Time/Cluster; ","")&amp;IF(G428="","CNPJ; ","")&amp;IF(H428="","Razão Social; ","")&amp;IF(AND(J428="",K428=""),"nome do contato; ","")&amp;IF(AND(M428="",N428="",O428=""),"telefone, celular ou e-mail; ","")))</f>
      </c>
      <c r="AB428" s="6">
        <f>IF(COUNTA(A428:S428)=0,"",IF(AND(U428="OK",V428="OK",LEFT(W428,4)&lt;&gt;"ERRO",LEFT(X428,4)&lt;&gt;"ERRO",LEFT(Y428,4)&lt;&gt;"ERRO",AA428="OK"),"OK","REVISAR"))</f>
      </c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5"/>
      <c r="K429" s="4"/>
      <c r="L429" s="4"/>
      <c r="M429" s="4"/>
      <c r="N429" s="4"/>
      <c r="O429" s="4"/>
      <c r="P429" s="4"/>
      <c r="Q429" s="4"/>
      <c r="R429" s="4"/>
      <c r="S429" s="4"/>
      <c r="T429" s="6">
        <f>IF(G429="","",SUBSTITUTE(SUBSTITUTE(SUBSTITUTE(SUBSTITUTE(SUBSTITUTE(SUBSTITUTE(SUBSTITUTE(TRIM(G429),".",""),"/",""),"-","")," ",""),"(",""),")",""),"+",""))</f>
      </c>
      <c r="U429" s="6">
        <f>IF(T429="","",IF(LEN(T429)&lt;&gt;14,"ERRO: "&amp;LEN(T429)&amp;" dígitos",IF(NOT(ISNUMBER(VALUE(T429))),"ERRO: não numérico",IF(LEN(SUBSTITUTE(T429,LEFT(T429,1),""))=0,"ERRO: dígitos repetidos",IF(AND(VALUE(MID(T429,13,1))=IF(MOD(SUMPRODUCT(--MID(T429,{1,2,3,4,5,6,7,8,9,10,11,12},1),{5,4,3,2,9,8,7,6,5,4,3,2}),11)&lt;2,0,11-MOD(SUMPRODUCT(--MID(T429,{1,2,3,4,5,6,7,8,9,10,11,12},1),{5,4,3,2,9,8,7,6,5,4,3,2}),11)),VALUE(MID(T429,14,1))=IF(MOD(SUMPRODUCT(--MID(T429,{1,2,3,4,5,6,7,8,9,10,11,12,13},1),{6,5,4,3,2,9,8,7,6,5,4,3,2}),11)&lt;2,0,11-MOD(SUMPRODUCT(--MID(T429,{1,2,3,4,5,6,7,8,9,10,11,12,13},1),{6,5,4,3,2,9,8,7,6,5,4,3,2}),11))),"OK","ERRO: dígito verificador")))))</f>
      </c>
      <c r="V429" s="6">
        <f>IF(T429="","",IF(COUNTIF($T$2:$T$1001,T429)&gt;1,"DUPLICADO","OK"))</f>
      </c>
      <c r="W429" s="6">
        <f>IF(M429="","vazio",IF(OR(AND(LEN(SUBSTITUTE(SUBSTITUTE(SUBSTITUTE(SUBSTITUTE(SUBSTITUTE(SUBSTITUTE(SUBSTITUTE(TRIM(M429),".",""),"/",""),"-","")," ",""),"(",""),")",""),"+",""))=10,LEFT(SUBSTITUTE(SUBSTITUTE(SUBSTITUTE(SUBSTITUTE(SUBSTITUTE(SUBSTITUTE(SUBSTITUTE(TRIM(M429),".",""),"/",""),"-","")," ",""),"(",""),")",""),"+",""),1)&lt;&gt;"0"),AND(LEN(SUBSTITUTE(SUBSTITUTE(SUBSTITUTE(SUBSTITUTE(SUBSTITUTE(SUBSTITUTE(SUBSTITUTE(TRIM(M429),".",""),"/",""),"-","")," ",""),"(",""),")",""),"+",""))=11,LEFT(SUBSTITUTE(SUBSTITUTE(SUBSTITUTE(SUBSTITUTE(SUBSTITUTE(SUBSTITUTE(SUBSTITUTE(TRIM(M429),".",""),"/",""),"-","")," ",""),"(",""),")",""),"+",""),4)="0800")),"OK",IF(AND(LEN(SUBSTITUTE(SUBSTITUTE(SUBSTITUTE(SUBSTITUTE(SUBSTITUTE(SUBSTITUTE(SUBSTITUTE(TRIM(M429),".",""),"/",""),"-","")," ",""),"(",""),")",""),"+",""))=11,MID(SUBSTITUTE(SUBSTITUTE(SUBSTITUTE(SUBSTITUTE(SUBSTITUTE(SUBSTITUTE(SUBSTITUTE(TRIM(M429),".",""),"/",""),"-","")," ",""),"(",""),")",""),"+",""),3,1)="9"),"ERRO: é celular, use a coluna Celular","ERRO: DDD + 8 dígitos ou 0800 + 7")))</f>
      </c>
      <c r="X429" s="6">
        <f>IF(N429="","vazio",IF(AND(LEN(SUBSTITUTE(SUBSTITUTE(SUBSTITUTE(SUBSTITUTE(SUBSTITUTE(SUBSTITUTE(SUBSTITUTE(TRIM(N429),".",""),"/",""),"-","")," ",""),"(",""),")",""),"+",""))=11,MID(SUBSTITUTE(SUBSTITUTE(SUBSTITUTE(SUBSTITUTE(SUBSTITUTE(SUBSTITUTE(SUBSTITUTE(TRIM(N429),".",""),"/",""),"-","")," ",""),"(",""),")",""),"+",""),3,1)="9",LEFT(SUBSTITUTE(SUBSTITUTE(SUBSTITUTE(SUBSTITUTE(SUBSTITUTE(SUBSTITUTE(SUBSTITUTE(TRIM(N429),".",""),"/",""),"-","")," ",""),"(",""),")",""),"+",""),1)&lt;&gt;"0"),"OK",IF(LEN(SUBSTITUTE(SUBSTITUTE(SUBSTITUTE(SUBSTITUTE(SUBSTITUTE(SUBSTITUTE(SUBSTITUTE(TRIM(N429),".",""),"/",""),"-","")," ",""),"(",""),")",""),"+",""))=10,"ERRO: é fixo (ou falta o 9), use a coluna Telefone fixo","ERRO: DDD + 9 + 8 dígitos")))</f>
      </c>
      <c r="Y429" s="6">
        <f>IF(O429="","vazio",IF(AND(ISNUMBER(FIND("@",O429)),ISNUMBER(FIND(".",MID(O429,FIND("@",O429),99))),NOT(ISNUMBER(FIND(" ",TRIM(O429)))),NOT(ISNUMBER(FIND(";",O429))),NOT(ISNUMBER(FIND(",",O429)))),"OK","ERRO: um e-mail válido por linha"))</f>
      </c>
      <c r="Z429" s="6">
        <f>IF(AND(J429="",K429=""),"",IF(AND(J429&lt;&gt;"",K429&lt;&gt;""),"OK","pendente: só um nome (o GR completa ao converter)"))</f>
      </c>
      <c r="AA429" s="6">
        <f>IF(COUNTA(A429:S429)=0,"",IF(AND(A429&lt;&gt;"",B429&lt;&gt;"",C429&lt;&gt;"",D429&lt;&gt;"",E429&lt;&gt;"",F429&lt;&gt;"",G429&lt;&gt;"",H429&lt;&gt;"",OR(J429&lt;&gt;"",K429&lt;&gt;""),OR(M429&lt;&gt;"",N429&lt;&gt;"",O429&lt;&gt;"")),"OK","ERRO: faltam "&amp;IF(A429="","SDR; ","")&amp;IF(B429="","Proprietário; ","")&amp;IF(C429="","Origem; ","")&amp;IF(D429="","Temperatura; ","")&amp;IF(E429="","Segmento; ","")&amp;IF(F429="","Time/Cluster; ","")&amp;IF(G429="","CNPJ; ","")&amp;IF(H429="","Razão Social; ","")&amp;IF(AND(J429="",K429=""),"nome do contato; ","")&amp;IF(AND(M429="",N429="",O429=""),"telefone, celular ou e-mail; ","")))</f>
      </c>
      <c r="AB429" s="6">
        <f>IF(COUNTA(A429:S429)=0,"",IF(AND(U429="OK",V429="OK",LEFT(W429,4)&lt;&gt;"ERRO",LEFT(X429,4)&lt;&gt;"ERRO",LEFT(Y429,4)&lt;&gt;"ERRO",AA429="OK"),"OK","REVISAR"))</f>
      </c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5"/>
      <c r="K430" s="4"/>
      <c r="L430" s="4"/>
      <c r="M430" s="4"/>
      <c r="N430" s="4"/>
      <c r="O430" s="4"/>
      <c r="P430" s="4"/>
      <c r="Q430" s="4"/>
      <c r="R430" s="4"/>
      <c r="S430" s="4"/>
      <c r="T430" s="6">
        <f>IF(G430="","",SUBSTITUTE(SUBSTITUTE(SUBSTITUTE(SUBSTITUTE(SUBSTITUTE(SUBSTITUTE(SUBSTITUTE(TRIM(G430),".",""),"/",""),"-","")," ",""),"(",""),")",""),"+",""))</f>
      </c>
      <c r="U430" s="6">
        <f>IF(T430="","",IF(LEN(T430)&lt;&gt;14,"ERRO: "&amp;LEN(T430)&amp;" dígitos",IF(NOT(ISNUMBER(VALUE(T430))),"ERRO: não numérico",IF(LEN(SUBSTITUTE(T430,LEFT(T430,1),""))=0,"ERRO: dígitos repetidos",IF(AND(VALUE(MID(T430,13,1))=IF(MOD(SUMPRODUCT(--MID(T430,{1,2,3,4,5,6,7,8,9,10,11,12},1),{5,4,3,2,9,8,7,6,5,4,3,2}),11)&lt;2,0,11-MOD(SUMPRODUCT(--MID(T430,{1,2,3,4,5,6,7,8,9,10,11,12},1),{5,4,3,2,9,8,7,6,5,4,3,2}),11)),VALUE(MID(T430,14,1))=IF(MOD(SUMPRODUCT(--MID(T430,{1,2,3,4,5,6,7,8,9,10,11,12,13},1),{6,5,4,3,2,9,8,7,6,5,4,3,2}),11)&lt;2,0,11-MOD(SUMPRODUCT(--MID(T430,{1,2,3,4,5,6,7,8,9,10,11,12,13},1),{6,5,4,3,2,9,8,7,6,5,4,3,2}),11))),"OK","ERRO: dígito verificador")))))</f>
      </c>
      <c r="V430" s="6">
        <f>IF(T430="","",IF(COUNTIF($T$2:$T$1001,T430)&gt;1,"DUPLICADO","OK"))</f>
      </c>
      <c r="W430" s="6">
        <f>IF(M430="","vazio",IF(OR(AND(LEN(SUBSTITUTE(SUBSTITUTE(SUBSTITUTE(SUBSTITUTE(SUBSTITUTE(SUBSTITUTE(SUBSTITUTE(TRIM(M430),".",""),"/",""),"-","")," ",""),"(",""),")",""),"+",""))=10,LEFT(SUBSTITUTE(SUBSTITUTE(SUBSTITUTE(SUBSTITUTE(SUBSTITUTE(SUBSTITUTE(SUBSTITUTE(TRIM(M430),".",""),"/",""),"-","")," ",""),"(",""),")",""),"+",""),1)&lt;&gt;"0"),AND(LEN(SUBSTITUTE(SUBSTITUTE(SUBSTITUTE(SUBSTITUTE(SUBSTITUTE(SUBSTITUTE(SUBSTITUTE(TRIM(M430),".",""),"/",""),"-","")," ",""),"(",""),")",""),"+",""))=11,LEFT(SUBSTITUTE(SUBSTITUTE(SUBSTITUTE(SUBSTITUTE(SUBSTITUTE(SUBSTITUTE(SUBSTITUTE(TRIM(M430),".",""),"/",""),"-","")," ",""),"(",""),")",""),"+",""),4)="0800")),"OK",IF(AND(LEN(SUBSTITUTE(SUBSTITUTE(SUBSTITUTE(SUBSTITUTE(SUBSTITUTE(SUBSTITUTE(SUBSTITUTE(TRIM(M430),".",""),"/",""),"-","")," ",""),"(",""),")",""),"+",""))=11,MID(SUBSTITUTE(SUBSTITUTE(SUBSTITUTE(SUBSTITUTE(SUBSTITUTE(SUBSTITUTE(SUBSTITUTE(TRIM(M430),".",""),"/",""),"-","")," ",""),"(",""),")",""),"+",""),3,1)="9"),"ERRO: é celular, use a coluna Celular","ERRO: DDD + 8 dígitos ou 0800 + 7")))</f>
      </c>
      <c r="X430" s="6">
        <f>IF(N430="","vazio",IF(AND(LEN(SUBSTITUTE(SUBSTITUTE(SUBSTITUTE(SUBSTITUTE(SUBSTITUTE(SUBSTITUTE(SUBSTITUTE(TRIM(N430),".",""),"/",""),"-","")," ",""),"(",""),")",""),"+",""))=11,MID(SUBSTITUTE(SUBSTITUTE(SUBSTITUTE(SUBSTITUTE(SUBSTITUTE(SUBSTITUTE(SUBSTITUTE(TRIM(N430),".",""),"/",""),"-","")," ",""),"(",""),")",""),"+",""),3,1)="9",LEFT(SUBSTITUTE(SUBSTITUTE(SUBSTITUTE(SUBSTITUTE(SUBSTITUTE(SUBSTITUTE(SUBSTITUTE(TRIM(N430),".",""),"/",""),"-","")," ",""),"(",""),")",""),"+",""),1)&lt;&gt;"0"),"OK",IF(LEN(SUBSTITUTE(SUBSTITUTE(SUBSTITUTE(SUBSTITUTE(SUBSTITUTE(SUBSTITUTE(SUBSTITUTE(TRIM(N430),".",""),"/",""),"-","")," ",""),"(",""),")",""),"+",""))=10,"ERRO: é fixo (ou falta o 9), use a coluna Telefone fixo","ERRO: DDD + 9 + 8 dígitos")))</f>
      </c>
      <c r="Y430" s="6">
        <f>IF(O430="","vazio",IF(AND(ISNUMBER(FIND("@",O430)),ISNUMBER(FIND(".",MID(O430,FIND("@",O430),99))),NOT(ISNUMBER(FIND(" ",TRIM(O430)))),NOT(ISNUMBER(FIND(";",O430))),NOT(ISNUMBER(FIND(",",O430)))),"OK","ERRO: um e-mail válido por linha"))</f>
      </c>
      <c r="Z430" s="6">
        <f>IF(AND(J430="",K430=""),"",IF(AND(J430&lt;&gt;"",K430&lt;&gt;""),"OK","pendente: só um nome (o GR completa ao converter)"))</f>
      </c>
      <c r="AA430" s="6">
        <f>IF(COUNTA(A430:S430)=0,"",IF(AND(A430&lt;&gt;"",B430&lt;&gt;"",C430&lt;&gt;"",D430&lt;&gt;"",E430&lt;&gt;"",F430&lt;&gt;"",G430&lt;&gt;"",H430&lt;&gt;"",OR(J430&lt;&gt;"",K430&lt;&gt;""),OR(M430&lt;&gt;"",N430&lt;&gt;"",O430&lt;&gt;"")),"OK","ERRO: faltam "&amp;IF(A430="","SDR; ","")&amp;IF(B430="","Proprietário; ","")&amp;IF(C430="","Origem; ","")&amp;IF(D430="","Temperatura; ","")&amp;IF(E430="","Segmento; ","")&amp;IF(F430="","Time/Cluster; ","")&amp;IF(G430="","CNPJ; ","")&amp;IF(H430="","Razão Social; ","")&amp;IF(AND(J430="",K430=""),"nome do contato; ","")&amp;IF(AND(M430="",N430="",O430=""),"telefone, celular ou e-mail; ","")))</f>
      </c>
      <c r="AB430" s="6">
        <f>IF(COUNTA(A430:S430)=0,"",IF(AND(U430="OK",V430="OK",LEFT(W430,4)&lt;&gt;"ERRO",LEFT(X430,4)&lt;&gt;"ERRO",LEFT(Y430,4)&lt;&gt;"ERRO",AA430="OK"),"OK","REVISAR"))</f>
      </c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5"/>
      <c r="K431" s="4"/>
      <c r="L431" s="4"/>
      <c r="M431" s="4"/>
      <c r="N431" s="4"/>
      <c r="O431" s="4"/>
      <c r="P431" s="4"/>
      <c r="Q431" s="4"/>
      <c r="R431" s="4"/>
      <c r="S431" s="4"/>
      <c r="T431" s="6">
        <f>IF(G431="","",SUBSTITUTE(SUBSTITUTE(SUBSTITUTE(SUBSTITUTE(SUBSTITUTE(SUBSTITUTE(SUBSTITUTE(TRIM(G431),".",""),"/",""),"-","")," ",""),"(",""),")",""),"+",""))</f>
      </c>
      <c r="U431" s="6">
        <f>IF(T431="","",IF(LEN(T431)&lt;&gt;14,"ERRO: "&amp;LEN(T431)&amp;" dígitos",IF(NOT(ISNUMBER(VALUE(T431))),"ERRO: não numérico",IF(LEN(SUBSTITUTE(T431,LEFT(T431,1),""))=0,"ERRO: dígitos repetidos",IF(AND(VALUE(MID(T431,13,1))=IF(MOD(SUMPRODUCT(--MID(T431,{1,2,3,4,5,6,7,8,9,10,11,12},1),{5,4,3,2,9,8,7,6,5,4,3,2}),11)&lt;2,0,11-MOD(SUMPRODUCT(--MID(T431,{1,2,3,4,5,6,7,8,9,10,11,12},1),{5,4,3,2,9,8,7,6,5,4,3,2}),11)),VALUE(MID(T431,14,1))=IF(MOD(SUMPRODUCT(--MID(T431,{1,2,3,4,5,6,7,8,9,10,11,12,13},1),{6,5,4,3,2,9,8,7,6,5,4,3,2}),11)&lt;2,0,11-MOD(SUMPRODUCT(--MID(T431,{1,2,3,4,5,6,7,8,9,10,11,12,13},1),{6,5,4,3,2,9,8,7,6,5,4,3,2}),11))),"OK","ERRO: dígito verificador")))))</f>
      </c>
      <c r="V431" s="6">
        <f>IF(T431="","",IF(COUNTIF($T$2:$T$1001,T431)&gt;1,"DUPLICADO","OK"))</f>
      </c>
      <c r="W431" s="6">
        <f>IF(M431="","vazio",IF(OR(AND(LEN(SUBSTITUTE(SUBSTITUTE(SUBSTITUTE(SUBSTITUTE(SUBSTITUTE(SUBSTITUTE(SUBSTITUTE(TRIM(M431),".",""),"/",""),"-","")," ",""),"(",""),")",""),"+",""))=10,LEFT(SUBSTITUTE(SUBSTITUTE(SUBSTITUTE(SUBSTITUTE(SUBSTITUTE(SUBSTITUTE(SUBSTITUTE(TRIM(M431),".",""),"/",""),"-","")," ",""),"(",""),")",""),"+",""),1)&lt;&gt;"0"),AND(LEN(SUBSTITUTE(SUBSTITUTE(SUBSTITUTE(SUBSTITUTE(SUBSTITUTE(SUBSTITUTE(SUBSTITUTE(TRIM(M431),".",""),"/",""),"-","")," ",""),"(",""),")",""),"+",""))=11,LEFT(SUBSTITUTE(SUBSTITUTE(SUBSTITUTE(SUBSTITUTE(SUBSTITUTE(SUBSTITUTE(SUBSTITUTE(TRIM(M431),".",""),"/",""),"-","")," ",""),"(",""),")",""),"+",""),4)="0800")),"OK",IF(AND(LEN(SUBSTITUTE(SUBSTITUTE(SUBSTITUTE(SUBSTITUTE(SUBSTITUTE(SUBSTITUTE(SUBSTITUTE(TRIM(M431),".",""),"/",""),"-","")," ",""),"(",""),")",""),"+",""))=11,MID(SUBSTITUTE(SUBSTITUTE(SUBSTITUTE(SUBSTITUTE(SUBSTITUTE(SUBSTITUTE(SUBSTITUTE(TRIM(M431),".",""),"/",""),"-","")," ",""),"(",""),")",""),"+",""),3,1)="9"),"ERRO: é celular, use a coluna Celular","ERRO: DDD + 8 dígitos ou 0800 + 7")))</f>
      </c>
      <c r="X431" s="6">
        <f>IF(N431="","vazio",IF(AND(LEN(SUBSTITUTE(SUBSTITUTE(SUBSTITUTE(SUBSTITUTE(SUBSTITUTE(SUBSTITUTE(SUBSTITUTE(TRIM(N431),".",""),"/",""),"-","")," ",""),"(",""),")",""),"+",""))=11,MID(SUBSTITUTE(SUBSTITUTE(SUBSTITUTE(SUBSTITUTE(SUBSTITUTE(SUBSTITUTE(SUBSTITUTE(TRIM(N431),".",""),"/",""),"-","")," ",""),"(",""),")",""),"+",""),3,1)="9",LEFT(SUBSTITUTE(SUBSTITUTE(SUBSTITUTE(SUBSTITUTE(SUBSTITUTE(SUBSTITUTE(SUBSTITUTE(TRIM(N431),".",""),"/",""),"-","")," ",""),"(",""),")",""),"+",""),1)&lt;&gt;"0"),"OK",IF(LEN(SUBSTITUTE(SUBSTITUTE(SUBSTITUTE(SUBSTITUTE(SUBSTITUTE(SUBSTITUTE(SUBSTITUTE(TRIM(N431),".",""),"/",""),"-","")," ",""),"(",""),")",""),"+",""))=10,"ERRO: é fixo (ou falta o 9), use a coluna Telefone fixo","ERRO: DDD + 9 + 8 dígitos")))</f>
      </c>
      <c r="Y431" s="6">
        <f>IF(O431="","vazio",IF(AND(ISNUMBER(FIND("@",O431)),ISNUMBER(FIND(".",MID(O431,FIND("@",O431),99))),NOT(ISNUMBER(FIND(" ",TRIM(O431)))),NOT(ISNUMBER(FIND(";",O431))),NOT(ISNUMBER(FIND(",",O431)))),"OK","ERRO: um e-mail válido por linha"))</f>
      </c>
      <c r="Z431" s="6">
        <f>IF(AND(J431="",K431=""),"",IF(AND(J431&lt;&gt;"",K431&lt;&gt;""),"OK","pendente: só um nome (o GR completa ao converter)"))</f>
      </c>
      <c r="AA431" s="6">
        <f>IF(COUNTA(A431:S431)=0,"",IF(AND(A431&lt;&gt;"",B431&lt;&gt;"",C431&lt;&gt;"",D431&lt;&gt;"",E431&lt;&gt;"",F431&lt;&gt;"",G431&lt;&gt;"",H431&lt;&gt;"",OR(J431&lt;&gt;"",K431&lt;&gt;""),OR(M431&lt;&gt;"",N431&lt;&gt;"",O431&lt;&gt;"")),"OK","ERRO: faltam "&amp;IF(A431="","SDR; ","")&amp;IF(B431="","Proprietário; ","")&amp;IF(C431="","Origem; ","")&amp;IF(D431="","Temperatura; ","")&amp;IF(E431="","Segmento; ","")&amp;IF(F431="","Time/Cluster; ","")&amp;IF(G431="","CNPJ; ","")&amp;IF(H431="","Razão Social; ","")&amp;IF(AND(J431="",K431=""),"nome do contato; ","")&amp;IF(AND(M431="",N431="",O431=""),"telefone, celular ou e-mail; ","")))</f>
      </c>
      <c r="AB431" s="6">
        <f>IF(COUNTA(A431:S431)=0,"",IF(AND(U431="OK",V431="OK",LEFT(W431,4)&lt;&gt;"ERRO",LEFT(X431,4)&lt;&gt;"ERRO",LEFT(Y431,4)&lt;&gt;"ERRO",AA431="OK"),"OK","REVISAR"))</f>
      </c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5"/>
      <c r="K432" s="4"/>
      <c r="L432" s="4"/>
      <c r="M432" s="4"/>
      <c r="N432" s="4"/>
      <c r="O432" s="4"/>
      <c r="P432" s="4"/>
      <c r="Q432" s="4"/>
      <c r="R432" s="4"/>
      <c r="S432" s="4"/>
      <c r="T432" s="6">
        <f>IF(G432="","",SUBSTITUTE(SUBSTITUTE(SUBSTITUTE(SUBSTITUTE(SUBSTITUTE(SUBSTITUTE(SUBSTITUTE(TRIM(G432),".",""),"/",""),"-","")," ",""),"(",""),")",""),"+",""))</f>
      </c>
      <c r="U432" s="6">
        <f>IF(T432="","",IF(LEN(T432)&lt;&gt;14,"ERRO: "&amp;LEN(T432)&amp;" dígitos",IF(NOT(ISNUMBER(VALUE(T432))),"ERRO: não numérico",IF(LEN(SUBSTITUTE(T432,LEFT(T432,1),""))=0,"ERRO: dígitos repetidos",IF(AND(VALUE(MID(T432,13,1))=IF(MOD(SUMPRODUCT(--MID(T432,{1,2,3,4,5,6,7,8,9,10,11,12},1),{5,4,3,2,9,8,7,6,5,4,3,2}),11)&lt;2,0,11-MOD(SUMPRODUCT(--MID(T432,{1,2,3,4,5,6,7,8,9,10,11,12},1),{5,4,3,2,9,8,7,6,5,4,3,2}),11)),VALUE(MID(T432,14,1))=IF(MOD(SUMPRODUCT(--MID(T432,{1,2,3,4,5,6,7,8,9,10,11,12,13},1),{6,5,4,3,2,9,8,7,6,5,4,3,2}),11)&lt;2,0,11-MOD(SUMPRODUCT(--MID(T432,{1,2,3,4,5,6,7,8,9,10,11,12,13},1),{6,5,4,3,2,9,8,7,6,5,4,3,2}),11))),"OK","ERRO: dígito verificador")))))</f>
      </c>
      <c r="V432" s="6">
        <f>IF(T432="","",IF(COUNTIF($T$2:$T$1001,T432)&gt;1,"DUPLICADO","OK"))</f>
      </c>
      <c r="W432" s="6">
        <f>IF(M432="","vazio",IF(OR(AND(LEN(SUBSTITUTE(SUBSTITUTE(SUBSTITUTE(SUBSTITUTE(SUBSTITUTE(SUBSTITUTE(SUBSTITUTE(TRIM(M432),".",""),"/",""),"-","")," ",""),"(",""),")",""),"+",""))=10,LEFT(SUBSTITUTE(SUBSTITUTE(SUBSTITUTE(SUBSTITUTE(SUBSTITUTE(SUBSTITUTE(SUBSTITUTE(TRIM(M432),".",""),"/",""),"-","")," ",""),"(",""),")",""),"+",""),1)&lt;&gt;"0"),AND(LEN(SUBSTITUTE(SUBSTITUTE(SUBSTITUTE(SUBSTITUTE(SUBSTITUTE(SUBSTITUTE(SUBSTITUTE(TRIM(M432),".",""),"/",""),"-","")," ",""),"(",""),")",""),"+",""))=11,LEFT(SUBSTITUTE(SUBSTITUTE(SUBSTITUTE(SUBSTITUTE(SUBSTITUTE(SUBSTITUTE(SUBSTITUTE(TRIM(M432),".",""),"/",""),"-","")," ",""),"(",""),")",""),"+",""),4)="0800")),"OK",IF(AND(LEN(SUBSTITUTE(SUBSTITUTE(SUBSTITUTE(SUBSTITUTE(SUBSTITUTE(SUBSTITUTE(SUBSTITUTE(TRIM(M432),".",""),"/",""),"-","")," ",""),"(",""),")",""),"+",""))=11,MID(SUBSTITUTE(SUBSTITUTE(SUBSTITUTE(SUBSTITUTE(SUBSTITUTE(SUBSTITUTE(SUBSTITUTE(TRIM(M432),".",""),"/",""),"-","")," ",""),"(",""),")",""),"+",""),3,1)="9"),"ERRO: é celular, use a coluna Celular","ERRO: DDD + 8 dígitos ou 0800 + 7")))</f>
      </c>
      <c r="X432" s="6">
        <f>IF(N432="","vazio",IF(AND(LEN(SUBSTITUTE(SUBSTITUTE(SUBSTITUTE(SUBSTITUTE(SUBSTITUTE(SUBSTITUTE(SUBSTITUTE(TRIM(N432),".",""),"/",""),"-","")," ",""),"(",""),")",""),"+",""))=11,MID(SUBSTITUTE(SUBSTITUTE(SUBSTITUTE(SUBSTITUTE(SUBSTITUTE(SUBSTITUTE(SUBSTITUTE(TRIM(N432),".",""),"/",""),"-","")," ",""),"(",""),")",""),"+",""),3,1)="9",LEFT(SUBSTITUTE(SUBSTITUTE(SUBSTITUTE(SUBSTITUTE(SUBSTITUTE(SUBSTITUTE(SUBSTITUTE(TRIM(N432),".",""),"/",""),"-","")," ",""),"(",""),")",""),"+",""),1)&lt;&gt;"0"),"OK",IF(LEN(SUBSTITUTE(SUBSTITUTE(SUBSTITUTE(SUBSTITUTE(SUBSTITUTE(SUBSTITUTE(SUBSTITUTE(TRIM(N432),".",""),"/",""),"-","")," ",""),"(",""),")",""),"+",""))=10,"ERRO: é fixo (ou falta o 9), use a coluna Telefone fixo","ERRO: DDD + 9 + 8 dígitos")))</f>
      </c>
      <c r="Y432" s="6">
        <f>IF(O432="","vazio",IF(AND(ISNUMBER(FIND("@",O432)),ISNUMBER(FIND(".",MID(O432,FIND("@",O432),99))),NOT(ISNUMBER(FIND(" ",TRIM(O432)))),NOT(ISNUMBER(FIND(";",O432))),NOT(ISNUMBER(FIND(",",O432)))),"OK","ERRO: um e-mail válido por linha"))</f>
      </c>
      <c r="Z432" s="6">
        <f>IF(AND(J432="",K432=""),"",IF(AND(J432&lt;&gt;"",K432&lt;&gt;""),"OK","pendente: só um nome (o GR completa ao converter)"))</f>
      </c>
      <c r="AA432" s="6">
        <f>IF(COUNTA(A432:S432)=0,"",IF(AND(A432&lt;&gt;"",B432&lt;&gt;"",C432&lt;&gt;"",D432&lt;&gt;"",E432&lt;&gt;"",F432&lt;&gt;"",G432&lt;&gt;"",H432&lt;&gt;"",OR(J432&lt;&gt;"",K432&lt;&gt;""),OR(M432&lt;&gt;"",N432&lt;&gt;"",O432&lt;&gt;"")),"OK","ERRO: faltam "&amp;IF(A432="","SDR; ","")&amp;IF(B432="","Proprietário; ","")&amp;IF(C432="","Origem; ","")&amp;IF(D432="","Temperatura; ","")&amp;IF(E432="","Segmento; ","")&amp;IF(F432="","Time/Cluster; ","")&amp;IF(G432="","CNPJ; ","")&amp;IF(H432="","Razão Social; ","")&amp;IF(AND(J432="",K432=""),"nome do contato; ","")&amp;IF(AND(M432="",N432="",O432=""),"telefone, celular ou e-mail; ","")))</f>
      </c>
      <c r="AB432" s="6">
        <f>IF(COUNTA(A432:S432)=0,"",IF(AND(U432="OK",V432="OK",LEFT(W432,4)&lt;&gt;"ERRO",LEFT(X432,4)&lt;&gt;"ERRO",LEFT(Y432,4)&lt;&gt;"ERRO",AA432="OK"),"OK","REVISAR"))</f>
      </c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5"/>
      <c r="K433" s="4"/>
      <c r="L433" s="4"/>
      <c r="M433" s="4"/>
      <c r="N433" s="4"/>
      <c r="O433" s="4"/>
      <c r="P433" s="4"/>
      <c r="Q433" s="4"/>
      <c r="R433" s="4"/>
      <c r="S433" s="4"/>
      <c r="T433" s="6">
        <f>IF(G433="","",SUBSTITUTE(SUBSTITUTE(SUBSTITUTE(SUBSTITUTE(SUBSTITUTE(SUBSTITUTE(SUBSTITUTE(TRIM(G433),".",""),"/",""),"-","")," ",""),"(",""),")",""),"+",""))</f>
      </c>
      <c r="U433" s="6">
        <f>IF(T433="","",IF(LEN(T433)&lt;&gt;14,"ERRO: "&amp;LEN(T433)&amp;" dígitos",IF(NOT(ISNUMBER(VALUE(T433))),"ERRO: não numérico",IF(LEN(SUBSTITUTE(T433,LEFT(T433,1),""))=0,"ERRO: dígitos repetidos",IF(AND(VALUE(MID(T433,13,1))=IF(MOD(SUMPRODUCT(--MID(T433,{1,2,3,4,5,6,7,8,9,10,11,12},1),{5,4,3,2,9,8,7,6,5,4,3,2}),11)&lt;2,0,11-MOD(SUMPRODUCT(--MID(T433,{1,2,3,4,5,6,7,8,9,10,11,12},1),{5,4,3,2,9,8,7,6,5,4,3,2}),11)),VALUE(MID(T433,14,1))=IF(MOD(SUMPRODUCT(--MID(T433,{1,2,3,4,5,6,7,8,9,10,11,12,13},1),{6,5,4,3,2,9,8,7,6,5,4,3,2}),11)&lt;2,0,11-MOD(SUMPRODUCT(--MID(T433,{1,2,3,4,5,6,7,8,9,10,11,12,13},1),{6,5,4,3,2,9,8,7,6,5,4,3,2}),11))),"OK","ERRO: dígito verificador")))))</f>
      </c>
      <c r="V433" s="6">
        <f>IF(T433="","",IF(COUNTIF($T$2:$T$1001,T433)&gt;1,"DUPLICADO","OK"))</f>
      </c>
      <c r="W433" s="6">
        <f>IF(M433="","vazio",IF(OR(AND(LEN(SUBSTITUTE(SUBSTITUTE(SUBSTITUTE(SUBSTITUTE(SUBSTITUTE(SUBSTITUTE(SUBSTITUTE(TRIM(M433),".",""),"/",""),"-","")," ",""),"(",""),")",""),"+",""))=10,LEFT(SUBSTITUTE(SUBSTITUTE(SUBSTITUTE(SUBSTITUTE(SUBSTITUTE(SUBSTITUTE(SUBSTITUTE(TRIM(M433),".",""),"/",""),"-","")," ",""),"(",""),")",""),"+",""),1)&lt;&gt;"0"),AND(LEN(SUBSTITUTE(SUBSTITUTE(SUBSTITUTE(SUBSTITUTE(SUBSTITUTE(SUBSTITUTE(SUBSTITUTE(TRIM(M433),".",""),"/",""),"-","")," ",""),"(",""),")",""),"+",""))=11,LEFT(SUBSTITUTE(SUBSTITUTE(SUBSTITUTE(SUBSTITUTE(SUBSTITUTE(SUBSTITUTE(SUBSTITUTE(TRIM(M433),".",""),"/",""),"-","")," ",""),"(",""),")",""),"+",""),4)="0800")),"OK",IF(AND(LEN(SUBSTITUTE(SUBSTITUTE(SUBSTITUTE(SUBSTITUTE(SUBSTITUTE(SUBSTITUTE(SUBSTITUTE(TRIM(M433),".",""),"/",""),"-","")," ",""),"(",""),")",""),"+",""))=11,MID(SUBSTITUTE(SUBSTITUTE(SUBSTITUTE(SUBSTITUTE(SUBSTITUTE(SUBSTITUTE(SUBSTITUTE(TRIM(M433),".",""),"/",""),"-","")," ",""),"(",""),")",""),"+",""),3,1)="9"),"ERRO: é celular, use a coluna Celular","ERRO: DDD + 8 dígitos ou 0800 + 7")))</f>
      </c>
      <c r="X433" s="6">
        <f>IF(N433="","vazio",IF(AND(LEN(SUBSTITUTE(SUBSTITUTE(SUBSTITUTE(SUBSTITUTE(SUBSTITUTE(SUBSTITUTE(SUBSTITUTE(TRIM(N433),".",""),"/",""),"-","")," ",""),"(",""),")",""),"+",""))=11,MID(SUBSTITUTE(SUBSTITUTE(SUBSTITUTE(SUBSTITUTE(SUBSTITUTE(SUBSTITUTE(SUBSTITUTE(TRIM(N433),".",""),"/",""),"-","")," ",""),"(",""),")",""),"+",""),3,1)="9",LEFT(SUBSTITUTE(SUBSTITUTE(SUBSTITUTE(SUBSTITUTE(SUBSTITUTE(SUBSTITUTE(SUBSTITUTE(TRIM(N433),".",""),"/",""),"-","")," ",""),"(",""),")",""),"+",""),1)&lt;&gt;"0"),"OK",IF(LEN(SUBSTITUTE(SUBSTITUTE(SUBSTITUTE(SUBSTITUTE(SUBSTITUTE(SUBSTITUTE(SUBSTITUTE(TRIM(N433),".",""),"/",""),"-","")," ",""),"(",""),")",""),"+",""))=10,"ERRO: é fixo (ou falta o 9), use a coluna Telefone fixo","ERRO: DDD + 9 + 8 dígitos")))</f>
      </c>
      <c r="Y433" s="6">
        <f>IF(O433="","vazio",IF(AND(ISNUMBER(FIND("@",O433)),ISNUMBER(FIND(".",MID(O433,FIND("@",O433),99))),NOT(ISNUMBER(FIND(" ",TRIM(O433)))),NOT(ISNUMBER(FIND(";",O433))),NOT(ISNUMBER(FIND(",",O433)))),"OK","ERRO: um e-mail válido por linha"))</f>
      </c>
      <c r="Z433" s="6">
        <f>IF(AND(J433="",K433=""),"",IF(AND(J433&lt;&gt;"",K433&lt;&gt;""),"OK","pendente: só um nome (o GR completa ao converter)"))</f>
      </c>
      <c r="AA433" s="6">
        <f>IF(COUNTA(A433:S433)=0,"",IF(AND(A433&lt;&gt;"",B433&lt;&gt;"",C433&lt;&gt;"",D433&lt;&gt;"",E433&lt;&gt;"",F433&lt;&gt;"",G433&lt;&gt;"",H433&lt;&gt;"",OR(J433&lt;&gt;"",K433&lt;&gt;""),OR(M433&lt;&gt;"",N433&lt;&gt;"",O433&lt;&gt;"")),"OK","ERRO: faltam "&amp;IF(A433="","SDR; ","")&amp;IF(B433="","Proprietário; ","")&amp;IF(C433="","Origem; ","")&amp;IF(D433="","Temperatura; ","")&amp;IF(E433="","Segmento; ","")&amp;IF(F433="","Time/Cluster; ","")&amp;IF(G433="","CNPJ; ","")&amp;IF(H433="","Razão Social; ","")&amp;IF(AND(J433="",K433=""),"nome do contato; ","")&amp;IF(AND(M433="",N433="",O433=""),"telefone, celular ou e-mail; ","")))</f>
      </c>
      <c r="AB433" s="6">
        <f>IF(COUNTA(A433:S433)=0,"",IF(AND(U433="OK",V433="OK",LEFT(W433,4)&lt;&gt;"ERRO",LEFT(X433,4)&lt;&gt;"ERRO",LEFT(Y433,4)&lt;&gt;"ERRO",AA433="OK"),"OK","REVISAR"))</f>
      </c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5"/>
      <c r="K434" s="4"/>
      <c r="L434" s="4"/>
      <c r="M434" s="4"/>
      <c r="N434" s="4"/>
      <c r="O434" s="4"/>
      <c r="P434" s="4"/>
      <c r="Q434" s="4"/>
      <c r="R434" s="4"/>
      <c r="S434" s="4"/>
      <c r="T434" s="6">
        <f>IF(G434="","",SUBSTITUTE(SUBSTITUTE(SUBSTITUTE(SUBSTITUTE(SUBSTITUTE(SUBSTITUTE(SUBSTITUTE(TRIM(G434),".",""),"/",""),"-","")," ",""),"(",""),")",""),"+",""))</f>
      </c>
      <c r="U434" s="6">
        <f>IF(T434="","",IF(LEN(T434)&lt;&gt;14,"ERRO: "&amp;LEN(T434)&amp;" dígitos",IF(NOT(ISNUMBER(VALUE(T434))),"ERRO: não numérico",IF(LEN(SUBSTITUTE(T434,LEFT(T434,1),""))=0,"ERRO: dígitos repetidos",IF(AND(VALUE(MID(T434,13,1))=IF(MOD(SUMPRODUCT(--MID(T434,{1,2,3,4,5,6,7,8,9,10,11,12},1),{5,4,3,2,9,8,7,6,5,4,3,2}),11)&lt;2,0,11-MOD(SUMPRODUCT(--MID(T434,{1,2,3,4,5,6,7,8,9,10,11,12},1),{5,4,3,2,9,8,7,6,5,4,3,2}),11)),VALUE(MID(T434,14,1))=IF(MOD(SUMPRODUCT(--MID(T434,{1,2,3,4,5,6,7,8,9,10,11,12,13},1),{6,5,4,3,2,9,8,7,6,5,4,3,2}),11)&lt;2,0,11-MOD(SUMPRODUCT(--MID(T434,{1,2,3,4,5,6,7,8,9,10,11,12,13},1),{6,5,4,3,2,9,8,7,6,5,4,3,2}),11))),"OK","ERRO: dígito verificador")))))</f>
      </c>
      <c r="V434" s="6">
        <f>IF(T434="","",IF(COUNTIF($T$2:$T$1001,T434)&gt;1,"DUPLICADO","OK"))</f>
      </c>
      <c r="W434" s="6">
        <f>IF(M434="","vazio",IF(OR(AND(LEN(SUBSTITUTE(SUBSTITUTE(SUBSTITUTE(SUBSTITUTE(SUBSTITUTE(SUBSTITUTE(SUBSTITUTE(TRIM(M434),".",""),"/",""),"-","")," ",""),"(",""),")",""),"+",""))=10,LEFT(SUBSTITUTE(SUBSTITUTE(SUBSTITUTE(SUBSTITUTE(SUBSTITUTE(SUBSTITUTE(SUBSTITUTE(TRIM(M434),".",""),"/",""),"-","")," ",""),"(",""),")",""),"+",""),1)&lt;&gt;"0"),AND(LEN(SUBSTITUTE(SUBSTITUTE(SUBSTITUTE(SUBSTITUTE(SUBSTITUTE(SUBSTITUTE(SUBSTITUTE(TRIM(M434),".",""),"/",""),"-","")," ",""),"(",""),")",""),"+",""))=11,LEFT(SUBSTITUTE(SUBSTITUTE(SUBSTITUTE(SUBSTITUTE(SUBSTITUTE(SUBSTITUTE(SUBSTITUTE(TRIM(M434),".",""),"/",""),"-","")," ",""),"(",""),")",""),"+",""),4)="0800")),"OK",IF(AND(LEN(SUBSTITUTE(SUBSTITUTE(SUBSTITUTE(SUBSTITUTE(SUBSTITUTE(SUBSTITUTE(SUBSTITUTE(TRIM(M434),".",""),"/",""),"-","")," ",""),"(",""),")",""),"+",""))=11,MID(SUBSTITUTE(SUBSTITUTE(SUBSTITUTE(SUBSTITUTE(SUBSTITUTE(SUBSTITUTE(SUBSTITUTE(TRIM(M434),".",""),"/",""),"-","")," ",""),"(",""),")",""),"+",""),3,1)="9"),"ERRO: é celular, use a coluna Celular","ERRO: DDD + 8 dígitos ou 0800 + 7")))</f>
      </c>
      <c r="X434" s="6">
        <f>IF(N434="","vazio",IF(AND(LEN(SUBSTITUTE(SUBSTITUTE(SUBSTITUTE(SUBSTITUTE(SUBSTITUTE(SUBSTITUTE(SUBSTITUTE(TRIM(N434),".",""),"/",""),"-","")," ",""),"(",""),")",""),"+",""))=11,MID(SUBSTITUTE(SUBSTITUTE(SUBSTITUTE(SUBSTITUTE(SUBSTITUTE(SUBSTITUTE(SUBSTITUTE(TRIM(N434),".",""),"/",""),"-","")," ",""),"(",""),")",""),"+",""),3,1)="9",LEFT(SUBSTITUTE(SUBSTITUTE(SUBSTITUTE(SUBSTITUTE(SUBSTITUTE(SUBSTITUTE(SUBSTITUTE(TRIM(N434),".",""),"/",""),"-","")," ",""),"(",""),")",""),"+",""),1)&lt;&gt;"0"),"OK",IF(LEN(SUBSTITUTE(SUBSTITUTE(SUBSTITUTE(SUBSTITUTE(SUBSTITUTE(SUBSTITUTE(SUBSTITUTE(TRIM(N434),".",""),"/",""),"-","")," ",""),"(",""),")",""),"+",""))=10,"ERRO: é fixo (ou falta o 9), use a coluna Telefone fixo","ERRO: DDD + 9 + 8 dígitos")))</f>
      </c>
      <c r="Y434" s="6">
        <f>IF(O434="","vazio",IF(AND(ISNUMBER(FIND("@",O434)),ISNUMBER(FIND(".",MID(O434,FIND("@",O434),99))),NOT(ISNUMBER(FIND(" ",TRIM(O434)))),NOT(ISNUMBER(FIND(";",O434))),NOT(ISNUMBER(FIND(",",O434)))),"OK","ERRO: um e-mail válido por linha"))</f>
      </c>
      <c r="Z434" s="6">
        <f>IF(AND(J434="",K434=""),"",IF(AND(J434&lt;&gt;"",K434&lt;&gt;""),"OK","pendente: só um nome (o GR completa ao converter)"))</f>
      </c>
      <c r="AA434" s="6">
        <f>IF(COUNTA(A434:S434)=0,"",IF(AND(A434&lt;&gt;"",B434&lt;&gt;"",C434&lt;&gt;"",D434&lt;&gt;"",E434&lt;&gt;"",F434&lt;&gt;"",G434&lt;&gt;"",H434&lt;&gt;"",OR(J434&lt;&gt;"",K434&lt;&gt;""),OR(M434&lt;&gt;"",N434&lt;&gt;"",O434&lt;&gt;"")),"OK","ERRO: faltam "&amp;IF(A434="","SDR; ","")&amp;IF(B434="","Proprietário; ","")&amp;IF(C434="","Origem; ","")&amp;IF(D434="","Temperatura; ","")&amp;IF(E434="","Segmento; ","")&amp;IF(F434="","Time/Cluster; ","")&amp;IF(G434="","CNPJ; ","")&amp;IF(H434="","Razão Social; ","")&amp;IF(AND(J434="",K434=""),"nome do contato; ","")&amp;IF(AND(M434="",N434="",O434=""),"telefone, celular ou e-mail; ","")))</f>
      </c>
      <c r="AB434" s="6">
        <f>IF(COUNTA(A434:S434)=0,"",IF(AND(U434="OK",V434="OK",LEFT(W434,4)&lt;&gt;"ERRO",LEFT(X434,4)&lt;&gt;"ERRO",LEFT(Y434,4)&lt;&gt;"ERRO",AA434="OK"),"OK","REVISAR"))</f>
      </c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5"/>
      <c r="K435" s="4"/>
      <c r="L435" s="4"/>
      <c r="M435" s="4"/>
      <c r="N435" s="4"/>
      <c r="O435" s="4"/>
      <c r="P435" s="4"/>
      <c r="Q435" s="4"/>
      <c r="R435" s="4"/>
      <c r="S435" s="4"/>
      <c r="T435" s="6">
        <f>IF(G435="","",SUBSTITUTE(SUBSTITUTE(SUBSTITUTE(SUBSTITUTE(SUBSTITUTE(SUBSTITUTE(SUBSTITUTE(TRIM(G435),".",""),"/",""),"-","")," ",""),"(",""),")",""),"+",""))</f>
      </c>
      <c r="U435" s="6">
        <f>IF(T435="","",IF(LEN(T435)&lt;&gt;14,"ERRO: "&amp;LEN(T435)&amp;" dígitos",IF(NOT(ISNUMBER(VALUE(T435))),"ERRO: não numérico",IF(LEN(SUBSTITUTE(T435,LEFT(T435,1),""))=0,"ERRO: dígitos repetidos",IF(AND(VALUE(MID(T435,13,1))=IF(MOD(SUMPRODUCT(--MID(T435,{1,2,3,4,5,6,7,8,9,10,11,12},1),{5,4,3,2,9,8,7,6,5,4,3,2}),11)&lt;2,0,11-MOD(SUMPRODUCT(--MID(T435,{1,2,3,4,5,6,7,8,9,10,11,12},1),{5,4,3,2,9,8,7,6,5,4,3,2}),11)),VALUE(MID(T435,14,1))=IF(MOD(SUMPRODUCT(--MID(T435,{1,2,3,4,5,6,7,8,9,10,11,12,13},1),{6,5,4,3,2,9,8,7,6,5,4,3,2}),11)&lt;2,0,11-MOD(SUMPRODUCT(--MID(T435,{1,2,3,4,5,6,7,8,9,10,11,12,13},1),{6,5,4,3,2,9,8,7,6,5,4,3,2}),11))),"OK","ERRO: dígito verificador")))))</f>
      </c>
      <c r="V435" s="6">
        <f>IF(T435="","",IF(COUNTIF($T$2:$T$1001,T435)&gt;1,"DUPLICADO","OK"))</f>
      </c>
      <c r="W435" s="6">
        <f>IF(M435="","vazio",IF(OR(AND(LEN(SUBSTITUTE(SUBSTITUTE(SUBSTITUTE(SUBSTITUTE(SUBSTITUTE(SUBSTITUTE(SUBSTITUTE(TRIM(M435),".",""),"/",""),"-","")," ",""),"(",""),")",""),"+",""))=10,LEFT(SUBSTITUTE(SUBSTITUTE(SUBSTITUTE(SUBSTITUTE(SUBSTITUTE(SUBSTITUTE(SUBSTITUTE(TRIM(M435),".",""),"/",""),"-","")," ",""),"(",""),")",""),"+",""),1)&lt;&gt;"0"),AND(LEN(SUBSTITUTE(SUBSTITUTE(SUBSTITUTE(SUBSTITUTE(SUBSTITUTE(SUBSTITUTE(SUBSTITUTE(TRIM(M435),".",""),"/",""),"-","")," ",""),"(",""),")",""),"+",""))=11,LEFT(SUBSTITUTE(SUBSTITUTE(SUBSTITUTE(SUBSTITUTE(SUBSTITUTE(SUBSTITUTE(SUBSTITUTE(TRIM(M435),".",""),"/",""),"-","")," ",""),"(",""),")",""),"+",""),4)="0800")),"OK",IF(AND(LEN(SUBSTITUTE(SUBSTITUTE(SUBSTITUTE(SUBSTITUTE(SUBSTITUTE(SUBSTITUTE(SUBSTITUTE(TRIM(M435),".",""),"/",""),"-","")," ",""),"(",""),")",""),"+",""))=11,MID(SUBSTITUTE(SUBSTITUTE(SUBSTITUTE(SUBSTITUTE(SUBSTITUTE(SUBSTITUTE(SUBSTITUTE(TRIM(M435),".",""),"/",""),"-","")," ",""),"(",""),")",""),"+",""),3,1)="9"),"ERRO: é celular, use a coluna Celular","ERRO: DDD + 8 dígitos ou 0800 + 7")))</f>
      </c>
      <c r="X435" s="6">
        <f>IF(N435="","vazio",IF(AND(LEN(SUBSTITUTE(SUBSTITUTE(SUBSTITUTE(SUBSTITUTE(SUBSTITUTE(SUBSTITUTE(SUBSTITUTE(TRIM(N435),".",""),"/",""),"-","")," ",""),"(",""),")",""),"+",""))=11,MID(SUBSTITUTE(SUBSTITUTE(SUBSTITUTE(SUBSTITUTE(SUBSTITUTE(SUBSTITUTE(SUBSTITUTE(TRIM(N435),".",""),"/",""),"-","")," ",""),"(",""),")",""),"+",""),3,1)="9",LEFT(SUBSTITUTE(SUBSTITUTE(SUBSTITUTE(SUBSTITUTE(SUBSTITUTE(SUBSTITUTE(SUBSTITUTE(TRIM(N435),".",""),"/",""),"-","")," ",""),"(",""),")",""),"+",""),1)&lt;&gt;"0"),"OK",IF(LEN(SUBSTITUTE(SUBSTITUTE(SUBSTITUTE(SUBSTITUTE(SUBSTITUTE(SUBSTITUTE(SUBSTITUTE(TRIM(N435),".",""),"/",""),"-","")," ",""),"(",""),")",""),"+",""))=10,"ERRO: é fixo (ou falta o 9), use a coluna Telefone fixo","ERRO: DDD + 9 + 8 dígitos")))</f>
      </c>
      <c r="Y435" s="6">
        <f>IF(O435="","vazio",IF(AND(ISNUMBER(FIND("@",O435)),ISNUMBER(FIND(".",MID(O435,FIND("@",O435),99))),NOT(ISNUMBER(FIND(" ",TRIM(O435)))),NOT(ISNUMBER(FIND(";",O435))),NOT(ISNUMBER(FIND(",",O435)))),"OK","ERRO: um e-mail válido por linha"))</f>
      </c>
      <c r="Z435" s="6">
        <f>IF(AND(J435="",K435=""),"",IF(AND(J435&lt;&gt;"",K435&lt;&gt;""),"OK","pendente: só um nome (o GR completa ao converter)"))</f>
      </c>
      <c r="AA435" s="6">
        <f>IF(COUNTA(A435:S435)=0,"",IF(AND(A435&lt;&gt;"",B435&lt;&gt;"",C435&lt;&gt;"",D435&lt;&gt;"",E435&lt;&gt;"",F435&lt;&gt;"",G435&lt;&gt;"",H435&lt;&gt;"",OR(J435&lt;&gt;"",K435&lt;&gt;""),OR(M435&lt;&gt;"",N435&lt;&gt;"",O435&lt;&gt;"")),"OK","ERRO: faltam "&amp;IF(A435="","SDR; ","")&amp;IF(B435="","Proprietário; ","")&amp;IF(C435="","Origem; ","")&amp;IF(D435="","Temperatura; ","")&amp;IF(E435="","Segmento; ","")&amp;IF(F435="","Time/Cluster; ","")&amp;IF(G435="","CNPJ; ","")&amp;IF(H435="","Razão Social; ","")&amp;IF(AND(J435="",K435=""),"nome do contato; ","")&amp;IF(AND(M435="",N435="",O435=""),"telefone, celular ou e-mail; ","")))</f>
      </c>
      <c r="AB435" s="6">
        <f>IF(COUNTA(A435:S435)=0,"",IF(AND(U435="OK",V435="OK",LEFT(W435,4)&lt;&gt;"ERRO",LEFT(X435,4)&lt;&gt;"ERRO",LEFT(Y435,4)&lt;&gt;"ERRO",AA435="OK"),"OK","REVISAR"))</f>
      </c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5"/>
      <c r="K436" s="4"/>
      <c r="L436" s="4"/>
      <c r="M436" s="4"/>
      <c r="N436" s="4"/>
      <c r="O436" s="4"/>
      <c r="P436" s="4"/>
      <c r="Q436" s="4"/>
      <c r="R436" s="4"/>
      <c r="S436" s="4"/>
      <c r="T436" s="6">
        <f>IF(G436="","",SUBSTITUTE(SUBSTITUTE(SUBSTITUTE(SUBSTITUTE(SUBSTITUTE(SUBSTITUTE(SUBSTITUTE(TRIM(G436),".",""),"/",""),"-","")," ",""),"(",""),")",""),"+",""))</f>
      </c>
      <c r="U436" s="6">
        <f>IF(T436="","",IF(LEN(T436)&lt;&gt;14,"ERRO: "&amp;LEN(T436)&amp;" dígitos",IF(NOT(ISNUMBER(VALUE(T436))),"ERRO: não numérico",IF(LEN(SUBSTITUTE(T436,LEFT(T436,1),""))=0,"ERRO: dígitos repetidos",IF(AND(VALUE(MID(T436,13,1))=IF(MOD(SUMPRODUCT(--MID(T436,{1,2,3,4,5,6,7,8,9,10,11,12},1),{5,4,3,2,9,8,7,6,5,4,3,2}),11)&lt;2,0,11-MOD(SUMPRODUCT(--MID(T436,{1,2,3,4,5,6,7,8,9,10,11,12},1),{5,4,3,2,9,8,7,6,5,4,3,2}),11)),VALUE(MID(T436,14,1))=IF(MOD(SUMPRODUCT(--MID(T436,{1,2,3,4,5,6,7,8,9,10,11,12,13},1),{6,5,4,3,2,9,8,7,6,5,4,3,2}),11)&lt;2,0,11-MOD(SUMPRODUCT(--MID(T436,{1,2,3,4,5,6,7,8,9,10,11,12,13},1),{6,5,4,3,2,9,8,7,6,5,4,3,2}),11))),"OK","ERRO: dígito verificador")))))</f>
      </c>
      <c r="V436" s="6">
        <f>IF(T436="","",IF(COUNTIF($T$2:$T$1001,T436)&gt;1,"DUPLICADO","OK"))</f>
      </c>
      <c r="W436" s="6">
        <f>IF(M436="","vazio",IF(OR(AND(LEN(SUBSTITUTE(SUBSTITUTE(SUBSTITUTE(SUBSTITUTE(SUBSTITUTE(SUBSTITUTE(SUBSTITUTE(TRIM(M436),".",""),"/",""),"-","")," ",""),"(",""),")",""),"+",""))=10,LEFT(SUBSTITUTE(SUBSTITUTE(SUBSTITUTE(SUBSTITUTE(SUBSTITUTE(SUBSTITUTE(SUBSTITUTE(TRIM(M436),".",""),"/",""),"-","")," ",""),"(",""),")",""),"+",""),1)&lt;&gt;"0"),AND(LEN(SUBSTITUTE(SUBSTITUTE(SUBSTITUTE(SUBSTITUTE(SUBSTITUTE(SUBSTITUTE(SUBSTITUTE(TRIM(M436),".",""),"/",""),"-","")," ",""),"(",""),")",""),"+",""))=11,LEFT(SUBSTITUTE(SUBSTITUTE(SUBSTITUTE(SUBSTITUTE(SUBSTITUTE(SUBSTITUTE(SUBSTITUTE(TRIM(M436),".",""),"/",""),"-","")," ",""),"(",""),")",""),"+",""),4)="0800")),"OK",IF(AND(LEN(SUBSTITUTE(SUBSTITUTE(SUBSTITUTE(SUBSTITUTE(SUBSTITUTE(SUBSTITUTE(SUBSTITUTE(TRIM(M436),".",""),"/",""),"-","")," ",""),"(",""),")",""),"+",""))=11,MID(SUBSTITUTE(SUBSTITUTE(SUBSTITUTE(SUBSTITUTE(SUBSTITUTE(SUBSTITUTE(SUBSTITUTE(TRIM(M436),".",""),"/",""),"-","")," ",""),"(",""),")",""),"+",""),3,1)="9"),"ERRO: é celular, use a coluna Celular","ERRO: DDD + 8 dígitos ou 0800 + 7")))</f>
      </c>
      <c r="X436" s="6">
        <f>IF(N436="","vazio",IF(AND(LEN(SUBSTITUTE(SUBSTITUTE(SUBSTITUTE(SUBSTITUTE(SUBSTITUTE(SUBSTITUTE(SUBSTITUTE(TRIM(N436),".",""),"/",""),"-","")," ",""),"(",""),")",""),"+",""))=11,MID(SUBSTITUTE(SUBSTITUTE(SUBSTITUTE(SUBSTITUTE(SUBSTITUTE(SUBSTITUTE(SUBSTITUTE(TRIM(N436),".",""),"/",""),"-","")," ",""),"(",""),")",""),"+",""),3,1)="9",LEFT(SUBSTITUTE(SUBSTITUTE(SUBSTITUTE(SUBSTITUTE(SUBSTITUTE(SUBSTITUTE(SUBSTITUTE(TRIM(N436),".",""),"/",""),"-","")," ",""),"(",""),")",""),"+",""),1)&lt;&gt;"0"),"OK",IF(LEN(SUBSTITUTE(SUBSTITUTE(SUBSTITUTE(SUBSTITUTE(SUBSTITUTE(SUBSTITUTE(SUBSTITUTE(TRIM(N436),".",""),"/",""),"-","")," ",""),"(",""),")",""),"+",""))=10,"ERRO: é fixo (ou falta o 9), use a coluna Telefone fixo","ERRO: DDD + 9 + 8 dígitos")))</f>
      </c>
      <c r="Y436" s="6">
        <f>IF(O436="","vazio",IF(AND(ISNUMBER(FIND("@",O436)),ISNUMBER(FIND(".",MID(O436,FIND("@",O436),99))),NOT(ISNUMBER(FIND(" ",TRIM(O436)))),NOT(ISNUMBER(FIND(";",O436))),NOT(ISNUMBER(FIND(",",O436)))),"OK","ERRO: um e-mail válido por linha"))</f>
      </c>
      <c r="Z436" s="6">
        <f>IF(AND(J436="",K436=""),"",IF(AND(J436&lt;&gt;"",K436&lt;&gt;""),"OK","pendente: só um nome (o GR completa ao converter)"))</f>
      </c>
      <c r="AA436" s="6">
        <f>IF(COUNTA(A436:S436)=0,"",IF(AND(A436&lt;&gt;"",B436&lt;&gt;"",C436&lt;&gt;"",D436&lt;&gt;"",E436&lt;&gt;"",F436&lt;&gt;"",G436&lt;&gt;"",H436&lt;&gt;"",OR(J436&lt;&gt;"",K436&lt;&gt;""),OR(M436&lt;&gt;"",N436&lt;&gt;"",O436&lt;&gt;"")),"OK","ERRO: faltam "&amp;IF(A436="","SDR; ","")&amp;IF(B436="","Proprietário; ","")&amp;IF(C436="","Origem; ","")&amp;IF(D436="","Temperatura; ","")&amp;IF(E436="","Segmento; ","")&amp;IF(F436="","Time/Cluster; ","")&amp;IF(G436="","CNPJ; ","")&amp;IF(H436="","Razão Social; ","")&amp;IF(AND(J436="",K436=""),"nome do contato; ","")&amp;IF(AND(M436="",N436="",O436=""),"telefone, celular ou e-mail; ","")))</f>
      </c>
      <c r="AB436" s="6">
        <f>IF(COUNTA(A436:S436)=0,"",IF(AND(U436="OK",V436="OK",LEFT(W436,4)&lt;&gt;"ERRO",LEFT(X436,4)&lt;&gt;"ERRO",LEFT(Y436,4)&lt;&gt;"ERRO",AA436="OK"),"OK","REVISAR"))</f>
      </c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5"/>
      <c r="K437" s="4"/>
      <c r="L437" s="4"/>
      <c r="M437" s="4"/>
      <c r="N437" s="4"/>
      <c r="O437" s="4"/>
      <c r="P437" s="4"/>
      <c r="Q437" s="4"/>
      <c r="R437" s="4"/>
      <c r="S437" s="4"/>
      <c r="T437" s="6">
        <f>IF(G437="","",SUBSTITUTE(SUBSTITUTE(SUBSTITUTE(SUBSTITUTE(SUBSTITUTE(SUBSTITUTE(SUBSTITUTE(TRIM(G437),".",""),"/",""),"-","")," ",""),"(",""),")",""),"+",""))</f>
      </c>
      <c r="U437" s="6">
        <f>IF(T437="","",IF(LEN(T437)&lt;&gt;14,"ERRO: "&amp;LEN(T437)&amp;" dígitos",IF(NOT(ISNUMBER(VALUE(T437))),"ERRO: não numérico",IF(LEN(SUBSTITUTE(T437,LEFT(T437,1),""))=0,"ERRO: dígitos repetidos",IF(AND(VALUE(MID(T437,13,1))=IF(MOD(SUMPRODUCT(--MID(T437,{1,2,3,4,5,6,7,8,9,10,11,12},1),{5,4,3,2,9,8,7,6,5,4,3,2}),11)&lt;2,0,11-MOD(SUMPRODUCT(--MID(T437,{1,2,3,4,5,6,7,8,9,10,11,12},1),{5,4,3,2,9,8,7,6,5,4,3,2}),11)),VALUE(MID(T437,14,1))=IF(MOD(SUMPRODUCT(--MID(T437,{1,2,3,4,5,6,7,8,9,10,11,12,13},1),{6,5,4,3,2,9,8,7,6,5,4,3,2}),11)&lt;2,0,11-MOD(SUMPRODUCT(--MID(T437,{1,2,3,4,5,6,7,8,9,10,11,12,13},1),{6,5,4,3,2,9,8,7,6,5,4,3,2}),11))),"OK","ERRO: dígito verificador")))))</f>
      </c>
      <c r="V437" s="6">
        <f>IF(T437="","",IF(COUNTIF($T$2:$T$1001,T437)&gt;1,"DUPLICADO","OK"))</f>
      </c>
      <c r="W437" s="6">
        <f>IF(M437="","vazio",IF(OR(AND(LEN(SUBSTITUTE(SUBSTITUTE(SUBSTITUTE(SUBSTITUTE(SUBSTITUTE(SUBSTITUTE(SUBSTITUTE(TRIM(M437),".",""),"/",""),"-","")," ",""),"(",""),")",""),"+",""))=10,LEFT(SUBSTITUTE(SUBSTITUTE(SUBSTITUTE(SUBSTITUTE(SUBSTITUTE(SUBSTITUTE(SUBSTITUTE(TRIM(M437),".",""),"/",""),"-","")," ",""),"(",""),")",""),"+",""),1)&lt;&gt;"0"),AND(LEN(SUBSTITUTE(SUBSTITUTE(SUBSTITUTE(SUBSTITUTE(SUBSTITUTE(SUBSTITUTE(SUBSTITUTE(TRIM(M437),".",""),"/",""),"-","")," ",""),"(",""),")",""),"+",""))=11,LEFT(SUBSTITUTE(SUBSTITUTE(SUBSTITUTE(SUBSTITUTE(SUBSTITUTE(SUBSTITUTE(SUBSTITUTE(TRIM(M437),".",""),"/",""),"-","")," ",""),"(",""),")",""),"+",""),4)="0800")),"OK",IF(AND(LEN(SUBSTITUTE(SUBSTITUTE(SUBSTITUTE(SUBSTITUTE(SUBSTITUTE(SUBSTITUTE(SUBSTITUTE(TRIM(M437),".",""),"/",""),"-","")," ",""),"(",""),")",""),"+",""))=11,MID(SUBSTITUTE(SUBSTITUTE(SUBSTITUTE(SUBSTITUTE(SUBSTITUTE(SUBSTITUTE(SUBSTITUTE(TRIM(M437),".",""),"/",""),"-","")," ",""),"(",""),")",""),"+",""),3,1)="9"),"ERRO: é celular, use a coluna Celular","ERRO: DDD + 8 dígitos ou 0800 + 7")))</f>
      </c>
      <c r="X437" s="6">
        <f>IF(N437="","vazio",IF(AND(LEN(SUBSTITUTE(SUBSTITUTE(SUBSTITUTE(SUBSTITUTE(SUBSTITUTE(SUBSTITUTE(SUBSTITUTE(TRIM(N437),".",""),"/",""),"-","")," ",""),"(",""),")",""),"+",""))=11,MID(SUBSTITUTE(SUBSTITUTE(SUBSTITUTE(SUBSTITUTE(SUBSTITUTE(SUBSTITUTE(SUBSTITUTE(TRIM(N437),".",""),"/",""),"-","")," ",""),"(",""),")",""),"+",""),3,1)="9",LEFT(SUBSTITUTE(SUBSTITUTE(SUBSTITUTE(SUBSTITUTE(SUBSTITUTE(SUBSTITUTE(SUBSTITUTE(TRIM(N437),".",""),"/",""),"-","")," ",""),"(",""),")",""),"+",""),1)&lt;&gt;"0"),"OK",IF(LEN(SUBSTITUTE(SUBSTITUTE(SUBSTITUTE(SUBSTITUTE(SUBSTITUTE(SUBSTITUTE(SUBSTITUTE(TRIM(N437),".",""),"/",""),"-","")," ",""),"(",""),")",""),"+",""))=10,"ERRO: é fixo (ou falta o 9), use a coluna Telefone fixo","ERRO: DDD + 9 + 8 dígitos")))</f>
      </c>
      <c r="Y437" s="6">
        <f>IF(O437="","vazio",IF(AND(ISNUMBER(FIND("@",O437)),ISNUMBER(FIND(".",MID(O437,FIND("@",O437),99))),NOT(ISNUMBER(FIND(" ",TRIM(O437)))),NOT(ISNUMBER(FIND(";",O437))),NOT(ISNUMBER(FIND(",",O437)))),"OK","ERRO: um e-mail válido por linha"))</f>
      </c>
      <c r="Z437" s="6">
        <f>IF(AND(J437="",K437=""),"",IF(AND(J437&lt;&gt;"",K437&lt;&gt;""),"OK","pendente: só um nome (o GR completa ao converter)"))</f>
      </c>
      <c r="AA437" s="6">
        <f>IF(COUNTA(A437:S437)=0,"",IF(AND(A437&lt;&gt;"",B437&lt;&gt;"",C437&lt;&gt;"",D437&lt;&gt;"",E437&lt;&gt;"",F437&lt;&gt;"",G437&lt;&gt;"",H437&lt;&gt;"",OR(J437&lt;&gt;"",K437&lt;&gt;""),OR(M437&lt;&gt;"",N437&lt;&gt;"",O437&lt;&gt;"")),"OK","ERRO: faltam "&amp;IF(A437="","SDR; ","")&amp;IF(B437="","Proprietário; ","")&amp;IF(C437="","Origem; ","")&amp;IF(D437="","Temperatura; ","")&amp;IF(E437="","Segmento; ","")&amp;IF(F437="","Time/Cluster; ","")&amp;IF(G437="","CNPJ; ","")&amp;IF(H437="","Razão Social; ","")&amp;IF(AND(J437="",K437=""),"nome do contato; ","")&amp;IF(AND(M437="",N437="",O437=""),"telefone, celular ou e-mail; ","")))</f>
      </c>
      <c r="AB437" s="6">
        <f>IF(COUNTA(A437:S437)=0,"",IF(AND(U437="OK",V437="OK",LEFT(W437,4)&lt;&gt;"ERRO",LEFT(X437,4)&lt;&gt;"ERRO",LEFT(Y437,4)&lt;&gt;"ERRO",AA437="OK"),"OK","REVISAR"))</f>
      </c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5"/>
      <c r="K438" s="4"/>
      <c r="L438" s="4"/>
      <c r="M438" s="4"/>
      <c r="N438" s="4"/>
      <c r="O438" s="4"/>
      <c r="P438" s="4"/>
      <c r="Q438" s="4"/>
      <c r="R438" s="4"/>
      <c r="S438" s="4"/>
      <c r="T438" s="6">
        <f>IF(G438="","",SUBSTITUTE(SUBSTITUTE(SUBSTITUTE(SUBSTITUTE(SUBSTITUTE(SUBSTITUTE(SUBSTITUTE(TRIM(G438),".",""),"/",""),"-","")," ",""),"(",""),")",""),"+",""))</f>
      </c>
      <c r="U438" s="6">
        <f>IF(T438="","",IF(LEN(T438)&lt;&gt;14,"ERRO: "&amp;LEN(T438)&amp;" dígitos",IF(NOT(ISNUMBER(VALUE(T438))),"ERRO: não numérico",IF(LEN(SUBSTITUTE(T438,LEFT(T438,1),""))=0,"ERRO: dígitos repetidos",IF(AND(VALUE(MID(T438,13,1))=IF(MOD(SUMPRODUCT(--MID(T438,{1,2,3,4,5,6,7,8,9,10,11,12},1),{5,4,3,2,9,8,7,6,5,4,3,2}),11)&lt;2,0,11-MOD(SUMPRODUCT(--MID(T438,{1,2,3,4,5,6,7,8,9,10,11,12},1),{5,4,3,2,9,8,7,6,5,4,3,2}),11)),VALUE(MID(T438,14,1))=IF(MOD(SUMPRODUCT(--MID(T438,{1,2,3,4,5,6,7,8,9,10,11,12,13},1),{6,5,4,3,2,9,8,7,6,5,4,3,2}),11)&lt;2,0,11-MOD(SUMPRODUCT(--MID(T438,{1,2,3,4,5,6,7,8,9,10,11,12,13},1),{6,5,4,3,2,9,8,7,6,5,4,3,2}),11))),"OK","ERRO: dígito verificador")))))</f>
      </c>
      <c r="V438" s="6">
        <f>IF(T438="","",IF(COUNTIF($T$2:$T$1001,T438)&gt;1,"DUPLICADO","OK"))</f>
      </c>
      <c r="W438" s="6">
        <f>IF(M438="","vazio",IF(OR(AND(LEN(SUBSTITUTE(SUBSTITUTE(SUBSTITUTE(SUBSTITUTE(SUBSTITUTE(SUBSTITUTE(SUBSTITUTE(TRIM(M438),".",""),"/",""),"-","")," ",""),"(",""),")",""),"+",""))=10,LEFT(SUBSTITUTE(SUBSTITUTE(SUBSTITUTE(SUBSTITUTE(SUBSTITUTE(SUBSTITUTE(SUBSTITUTE(TRIM(M438),".",""),"/",""),"-","")," ",""),"(",""),")",""),"+",""),1)&lt;&gt;"0"),AND(LEN(SUBSTITUTE(SUBSTITUTE(SUBSTITUTE(SUBSTITUTE(SUBSTITUTE(SUBSTITUTE(SUBSTITUTE(TRIM(M438),".",""),"/",""),"-","")," ",""),"(",""),")",""),"+",""))=11,LEFT(SUBSTITUTE(SUBSTITUTE(SUBSTITUTE(SUBSTITUTE(SUBSTITUTE(SUBSTITUTE(SUBSTITUTE(TRIM(M438),".",""),"/",""),"-","")," ",""),"(",""),")",""),"+",""),4)="0800")),"OK",IF(AND(LEN(SUBSTITUTE(SUBSTITUTE(SUBSTITUTE(SUBSTITUTE(SUBSTITUTE(SUBSTITUTE(SUBSTITUTE(TRIM(M438),".",""),"/",""),"-","")," ",""),"(",""),")",""),"+",""))=11,MID(SUBSTITUTE(SUBSTITUTE(SUBSTITUTE(SUBSTITUTE(SUBSTITUTE(SUBSTITUTE(SUBSTITUTE(TRIM(M438),".",""),"/",""),"-","")," ",""),"(",""),")",""),"+",""),3,1)="9"),"ERRO: é celular, use a coluna Celular","ERRO: DDD + 8 dígitos ou 0800 + 7")))</f>
      </c>
      <c r="X438" s="6">
        <f>IF(N438="","vazio",IF(AND(LEN(SUBSTITUTE(SUBSTITUTE(SUBSTITUTE(SUBSTITUTE(SUBSTITUTE(SUBSTITUTE(SUBSTITUTE(TRIM(N438),".",""),"/",""),"-","")," ",""),"(",""),")",""),"+",""))=11,MID(SUBSTITUTE(SUBSTITUTE(SUBSTITUTE(SUBSTITUTE(SUBSTITUTE(SUBSTITUTE(SUBSTITUTE(TRIM(N438),".",""),"/",""),"-","")," ",""),"(",""),")",""),"+",""),3,1)="9",LEFT(SUBSTITUTE(SUBSTITUTE(SUBSTITUTE(SUBSTITUTE(SUBSTITUTE(SUBSTITUTE(SUBSTITUTE(TRIM(N438),".",""),"/",""),"-","")," ",""),"(",""),")",""),"+",""),1)&lt;&gt;"0"),"OK",IF(LEN(SUBSTITUTE(SUBSTITUTE(SUBSTITUTE(SUBSTITUTE(SUBSTITUTE(SUBSTITUTE(SUBSTITUTE(TRIM(N438),".",""),"/",""),"-","")," ",""),"(",""),")",""),"+",""))=10,"ERRO: é fixo (ou falta o 9), use a coluna Telefone fixo","ERRO: DDD + 9 + 8 dígitos")))</f>
      </c>
      <c r="Y438" s="6">
        <f>IF(O438="","vazio",IF(AND(ISNUMBER(FIND("@",O438)),ISNUMBER(FIND(".",MID(O438,FIND("@",O438),99))),NOT(ISNUMBER(FIND(" ",TRIM(O438)))),NOT(ISNUMBER(FIND(";",O438))),NOT(ISNUMBER(FIND(",",O438)))),"OK","ERRO: um e-mail válido por linha"))</f>
      </c>
      <c r="Z438" s="6">
        <f>IF(AND(J438="",K438=""),"",IF(AND(J438&lt;&gt;"",K438&lt;&gt;""),"OK","pendente: só um nome (o GR completa ao converter)"))</f>
      </c>
      <c r="AA438" s="6">
        <f>IF(COUNTA(A438:S438)=0,"",IF(AND(A438&lt;&gt;"",B438&lt;&gt;"",C438&lt;&gt;"",D438&lt;&gt;"",E438&lt;&gt;"",F438&lt;&gt;"",G438&lt;&gt;"",H438&lt;&gt;"",OR(J438&lt;&gt;"",K438&lt;&gt;""),OR(M438&lt;&gt;"",N438&lt;&gt;"",O438&lt;&gt;"")),"OK","ERRO: faltam "&amp;IF(A438="","SDR; ","")&amp;IF(B438="","Proprietário; ","")&amp;IF(C438="","Origem; ","")&amp;IF(D438="","Temperatura; ","")&amp;IF(E438="","Segmento; ","")&amp;IF(F438="","Time/Cluster; ","")&amp;IF(G438="","CNPJ; ","")&amp;IF(H438="","Razão Social; ","")&amp;IF(AND(J438="",K438=""),"nome do contato; ","")&amp;IF(AND(M438="",N438="",O438=""),"telefone, celular ou e-mail; ","")))</f>
      </c>
      <c r="AB438" s="6">
        <f>IF(COUNTA(A438:S438)=0,"",IF(AND(U438="OK",V438="OK",LEFT(W438,4)&lt;&gt;"ERRO",LEFT(X438,4)&lt;&gt;"ERRO",LEFT(Y438,4)&lt;&gt;"ERRO",AA438="OK"),"OK","REVISAR"))</f>
      </c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5"/>
      <c r="K439" s="4"/>
      <c r="L439" s="4"/>
      <c r="M439" s="4"/>
      <c r="N439" s="4"/>
      <c r="O439" s="4"/>
      <c r="P439" s="4"/>
      <c r="Q439" s="4"/>
      <c r="R439" s="4"/>
      <c r="S439" s="4"/>
      <c r="T439" s="6">
        <f>IF(G439="","",SUBSTITUTE(SUBSTITUTE(SUBSTITUTE(SUBSTITUTE(SUBSTITUTE(SUBSTITUTE(SUBSTITUTE(TRIM(G439),".",""),"/",""),"-","")," ",""),"(",""),")",""),"+",""))</f>
      </c>
      <c r="U439" s="6">
        <f>IF(T439="","",IF(LEN(T439)&lt;&gt;14,"ERRO: "&amp;LEN(T439)&amp;" dígitos",IF(NOT(ISNUMBER(VALUE(T439))),"ERRO: não numérico",IF(LEN(SUBSTITUTE(T439,LEFT(T439,1),""))=0,"ERRO: dígitos repetidos",IF(AND(VALUE(MID(T439,13,1))=IF(MOD(SUMPRODUCT(--MID(T439,{1,2,3,4,5,6,7,8,9,10,11,12},1),{5,4,3,2,9,8,7,6,5,4,3,2}),11)&lt;2,0,11-MOD(SUMPRODUCT(--MID(T439,{1,2,3,4,5,6,7,8,9,10,11,12},1),{5,4,3,2,9,8,7,6,5,4,3,2}),11)),VALUE(MID(T439,14,1))=IF(MOD(SUMPRODUCT(--MID(T439,{1,2,3,4,5,6,7,8,9,10,11,12,13},1),{6,5,4,3,2,9,8,7,6,5,4,3,2}),11)&lt;2,0,11-MOD(SUMPRODUCT(--MID(T439,{1,2,3,4,5,6,7,8,9,10,11,12,13},1),{6,5,4,3,2,9,8,7,6,5,4,3,2}),11))),"OK","ERRO: dígito verificador")))))</f>
      </c>
      <c r="V439" s="6">
        <f>IF(T439="","",IF(COUNTIF($T$2:$T$1001,T439)&gt;1,"DUPLICADO","OK"))</f>
      </c>
      <c r="W439" s="6">
        <f>IF(M439="","vazio",IF(OR(AND(LEN(SUBSTITUTE(SUBSTITUTE(SUBSTITUTE(SUBSTITUTE(SUBSTITUTE(SUBSTITUTE(SUBSTITUTE(TRIM(M439),".",""),"/",""),"-","")," ",""),"(",""),")",""),"+",""))=10,LEFT(SUBSTITUTE(SUBSTITUTE(SUBSTITUTE(SUBSTITUTE(SUBSTITUTE(SUBSTITUTE(SUBSTITUTE(TRIM(M439),".",""),"/",""),"-","")," ",""),"(",""),")",""),"+",""),1)&lt;&gt;"0"),AND(LEN(SUBSTITUTE(SUBSTITUTE(SUBSTITUTE(SUBSTITUTE(SUBSTITUTE(SUBSTITUTE(SUBSTITUTE(TRIM(M439),".",""),"/",""),"-","")," ",""),"(",""),")",""),"+",""))=11,LEFT(SUBSTITUTE(SUBSTITUTE(SUBSTITUTE(SUBSTITUTE(SUBSTITUTE(SUBSTITUTE(SUBSTITUTE(TRIM(M439),".",""),"/",""),"-","")," ",""),"(",""),")",""),"+",""),4)="0800")),"OK",IF(AND(LEN(SUBSTITUTE(SUBSTITUTE(SUBSTITUTE(SUBSTITUTE(SUBSTITUTE(SUBSTITUTE(SUBSTITUTE(TRIM(M439),".",""),"/",""),"-","")," ",""),"(",""),")",""),"+",""))=11,MID(SUBSTITUTE(SUBSTITUTE(SUBSTITUTE(SUBSTITUTE(SUBSTITUTE(SUBSTITUTE(SUBSTITUTE(TRIM(M439),".",""),"/",""),"-","")," ",""),"(",""),")",""),"+",""),3,1)="9"),"ERRO: é celular, use a coluna Celular","ERRO: DDD + 8 dígitos ou 0800 + 7")))</f>
      </c>
      <c r="X439" s="6">
        <f>IF(N439="","vazio",IF(AND(LEN(SUBSTITUTE(SUBSTITUTE(SUBSTITUTE(SUBSTITUTE(SUBSTITUTE(SUBSTITUTE(SUBSTITUTE(TRIM(N439),".",""),"/",""),"-","")," ",""),"(",""),")",""),"+",""))=11,MID(SUBSTITUTE(SUBSTITUTE(SUBSTITUTE(SUBSTITUTE(SUBSTITUTE(SUBSTITUTE(SUBSTITUTE(TRIM(N439),".",""),"/",""),"-","")," ",""),"(",""),")",""),"+",""),3,1)="9",LEFT(SUBSTITUTE(SUBSTITUTE(SUBSTITUTE(SUBSTITUTE(SUBSTITUTE(SUBSTITUTE(SUBSTITUTE(TRIM(N439),".",""),"/",""),"-","")," ",""),"(",""),")",""),"+",""),1)&lt;&gt;"0"),"OK",IF(LEN(SUBSTITUTE(SUBSTITUTE(SUBSTITUTE(SUBSTITUTE(SUBSTITUTE(SUBSTITUTE(SUBSTITUTE(TRIM(N439),".",""),"/",""),"-","")," ",""),"(",""),")",""),"+",""))=10,"ERRO: é fixo (ou falta o 9), use a coluna Telefone fixo","ERRO: DDD + 9 + 8 dígitos")))</f>
      </c>
      <c r="Y439" s="6">
        <f>IF(O439="","vazio",IF(AND(ISNUMBER(FIND("@",O439)),ISNUMBER(FIND(".",MID(O439,FIND("@",O439),99))),NOT(ISNUMBER(FIND(" ",TRIM(O439)))),NOT(ISNUMBER(FIND(";",O439))),NOT(ISNUMBER(FIND(",",O439)))),"OK","ERRO: um e-mail válido por linha"))</f>
      </c>
      <c r="Z439" s="6">
        <f>IF(AND(J439="",K439=""),"",IF(AND(J439&lt;&gt;"",K439&lt;&gt;""),"OK","pendente: só um nome (o GR completa ao converter)"))</f>
      </c>
      <c r="AA439" s="6">
        <f>IF(COUNTA(A439:S439)=0,"",IF(AND(A439&lt;&gt;"",B439&lt;&gt;"",C439&lt;&gt;"",D439&lt;&gt;"",E439&lt;&gt;"",F439&lt;&gt;"",G439&lt;&gt;"",H439&lt;&gt;"",OR(J439&lt;&gt;"",K439&lt;&gt;""),OR(M439&lt;&gt;"",N439&lt;&gt;"",O439&lt;&gt;"")),"OK","ERRO: faltam "&amp;IF(A439="","SDR; ","")&amp;IF(B439="","Proprietário; ","")&amp;IF(C439="","Origem; ","")&amp;IF(D439="","Temperatura; ","")&amp;IF(E439="","Segmento; ","")&amp;IF(F439="","Time/Cluster; ","")&amp;IF(G439="","CNPJ; ","")&amp;IF(H439="","Razão Social; ","")&amp;IF(AND(J439="",K439=""),"nome do contato; ","")&amp;IF(AND(M439="",N439="",O439=""),"telefone, celular ou e-mail; ","")))</f>
      </c>
      <c r="AB439" s="6">
        <f>IF(COUNTA(A439:S439)=0,"",IF(AND(U439="OK",V439="OK",LEFT(W439,4)&lt;&gt;"ERRO",LEFT(X439,4)&lt;&gt;"ERRO",LEFT(Y439,4)&lt;&gt;"ERRO",AA439="OK"),"OK","REVISAR"))</f>
      </c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5"/>
      <c r="K440" s="4"/>
      <c r="L440" s="4"/>
      <c r="M440" s="4"/>
      <c r="N440" s="4"/>
      <c r="O440" s="4"/>
      <c r="P440" s="4"/>
      <c r="Q440" s="4"/>
      <c r="R440" s="4"/>
      <c r="S440" s="4"/>
      <c r="T440" s="6">
        <f>IF(G440="","",SUBSTITUTE(SUBSTITUTE(SUBSTITUTE(SUBSTITUTE(SUBSTITUTE(SUBSTITUTE(SUBSTITUTE(TRIM(G440),".",""),"/",""),"-","")," ",""),"(",""),")",""),"+",""))</f>
      </c>
      <c r="U440" s="6">
        <f>IF(T440="","",IF(LEN(T440)&lt;&gt;14,"ERRO: "&amp;LEN(T440)&amp;" dígitos",IF(NOT(ISNUMBER(VALUE(T440))),"ERRO: não numérico",IF(LEN(SUBSTITUTE(T440,LEFT(T440,1),""))=0,"ERRO: dígitos repetidos",IF(AND(VALUE(MID(T440,13,1))=IF(MOD(SUMPRODUCT(--MID(T440,{1,2,3,4,5,6,7,8,9,10,11,12},1),{5,4,3,2,9,8,7,6,5,4,3,2}),11)&lt;2,0,11-MOD(SUMPRODUCT(--MID(T440,{1,2,3,4,5,6,7,8,9,10,11,12},1),{5,4,3,2,9,8,7,6,5,4,3,2}),11)),VALUE(MID(T440,14,1))=IF(MOD(SUMPRODUCT(--MID(T440,{1,2,3,4,5,6,7,8,9,10,11,12,13},1),{6,5,4,3,2,9,8,7,6,5,4,3,2}),11)&lt;2,0,11-MOD(SUMPRODUCT(--MID(T440,{1,2,3,4,5,6,7,8,9,10,11,12,13},1),{6,5,4,3,2,9,8,7,6,5,4,3,2}),11))),"OK","ERRO: dígito verificador")))))</f>
      </c>
      <c r="V440" s="6">
        <f>IF(T440="","",IF(COUNTIF($T$2:$T$1001,T440)&gt;1,"DUPLICADO","OK"))</f>
      </c>
      <c r="W440" s="6">
        <f>IF(M440="","vazio",IF(OR(AND(LEN(SUBSTITUTE(SUBSTITUTE(SUBSTITUTE(SUBSTITUTE(SUBSTITUTE(SUBSTITUTE(SUBSTITUTE(TRIM(M440),".",""),"/",""),"-","")," ",""),"(",""),")",""),"+",""))=10,LEFT(SUBSTITUTE(SUBSTITUTE(SUBSTITUTE(SUBSTITUTE(SUBSTITUTE(SUBSTITUTE(SUBSTITUTE(TRIM(M440),".",""),"/",""),"-","")," ",""),"(",""),")",""),"+",""),1)&lt;&gt;"0"),AND(LEN(SUBSTITUTE(SUBSTITUTE(SUBSTITUTE(SUBSTITUTE(SUBSTITUTE(SUBSTITUTE(SUBSTITUTE(TRIM(M440),".",""),"/",""),"-","")," ",""),"(",""),")",""),"+",""))=11,LEFT(SUBSTITUTE(SUBSTITUTE(SUBSTITUTE(SUBSTITUTE(SUBSTITUTE(SUBSTITUTE(SUBSTITUTE(TRIM(M440),".",""),"/",""),"-","")," ",""),"(",""),")",""),"+",""),4)="0800")),"OK",IF(AND(LEN(SUBSTITUTE(SUBSTITUTE(SUBSTITUTE(SUBSTITUTE(SUBSTITUTE(SUBSTITUTE(SUBSTITUTE(TRIM(M440),".",""),"/",""),"-","")," ",""),"(",""),")",""),"+",""))=11,MID(SUBSTITUTE(SUBSTITUTE(SUBSTITUTE(SUBSTITUTE(SUBSTITUTE(SUBSTITUTE(SUBSTITUTE(TRIM(M440),".",""),"/",""),"-","")," ",""),"(",""),")",""),"+",""),3,1)="9"),"ERRO: é celular, use a coluna Celular","ERRO: DDD + 8 dígitos ou 0800 + 7")))</f>
      </c>
      <c r="X440" s="6">
        <f>IF(N440="","vazio",IF(AND(LEN(SUBSTITUTE(SUBSTITUTE(SUBSTITUTE(SUBSTITUTE(SUBSTITUTE(SUBSTITUTE(SUBSTITUTE(TRIM(N440),".",""),"/",""),"-","")," ",""),"(",""),")",""),"+",""))=11,MID(SUBSTITUTE(SUBSTITUTE(SUBSTITUTE(SUBSTITUTE(SUBSTITUTE(SUBSTITUTE(SUBSTITUTE(TRIM(N440),".",""),"/",""),"-","")," ",""),"(",""),")",""),"+",""),3,1)="9",LEFT(SUBSTITUTE(SUBSTITUTE(SUBSTITUTE(SUBSTITUTE(SUBSTITUTE(SUBSTITUTE(SUBSTITUTE(TRIM(N440),".",""),"/",""),"-","")," ",""),"(",""),")",""),"+",""),1)&lt;&gt;"0"),"OK",IF(LEN(SUBSTITUTE(SUBSTITUTE(SUBSTITUTE(SUBSTITUTE(SUBSTITUTE(SUBSTITUTE(SUBSTITUTE(TRIM(N440),".",""),"/",""),"-","")," ",""),"(",""),")",""),"+",""))=10,"ERRO: é fixo (ou falta o 9), use a coluna Telefone fixo","ERRO: DDD + 9 + 8 dígitos")))</f>
      </c>
      <c r="Y440" s="6">
        <f>IF(O440="","vazio",IF(AND(ISNUMBER(FIND("@",O440)),ISNUMBER(FIND(".",MID(O440,FIND("@",O440),99))),NOT(ISNUMBER(FIND(" ",TRIM(O440)))),NOT(ISNUMBER(FIND(";",O440))),NOT(ISNUMBER(FIND(",",O440)))),"OK","ERRO: um e-mail válido por linha"))</f>
      </c>
      <c r="Z440" s="6">
        <f>IF(AND(J440="",K440=""),"",IF(AND(J440&lt;&gt;"",K440&lt;&gt;""),"OK","pendente: só um nome (o GR completa ao converter)"))</f>
      </c>
      <c r="AA440" s="6">
        <f>IF(COUNTA(A440:S440)=0,"",IF(AND(A440&lt;&gt;"",B440&lt;&gt;"",C440&lt;&gt;"",D440&lt;&gt;"",E440&lt;&gt;"",F440&lt;&gt;"",G440&lt;&gt;"",H440&lt;&gt;"",OR(J440&lt;&gt;"",K440&lt;&gt;""),OR(M440&lt;&gt;"",N440&lt;&gt;"",O440&lt;&gt;"")),"OK","ERRO: faltam "&amp;IF(A440="","SDR; ","")&amp;IF(B440="","Proprietário; ","")&amp;IF(C440="","Origem; ","")&amp;IF(D440="","Temperatura; ","")&amp;IF(E440="","Segmento; ","")&amp;IF(F440="","Time/Cluster; ","")&amp;IF(G440="","CNPJ; ","")&amp;IF(H440="","Razão Social; ","")&amp;IF(AND(J440="",K440=""),"nome do contato; ","")&amp;IF(AND(M440="",N440="",O440=""),"telefone, celular ou e-mail; ","")))</f>
      </c>
      <c r="AB440" s="6">
        <f>IF(COUNTA(A440:S440)=0,"",IF(AND(U440="OK",V440="OK",LEFT(W440,4)&lt;&gt;"ERRO",LEFT(X440,4)&lt;&gt;"ERRO",LEFT(Y440,4)&lt;&gt;"ERRO",AA440="OK"),"OK","REVISAR"))</f>
      </c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5"/>
      <c r="K441" s="4"/>
      <c r="L441" s="4"/>
      <c r="M441" s="4"/>
      <c r="N441" s="4"/>
      <c r="O441" s="4"/>
      <c r="P441" s="4"/>
      <c r="Q441" s="4"/>
      <c r="R441" s="4"/>
      <c r="S441" s="4"/>
      <c r="T441" s="6">
        <f>IF(G441="","",SUBSTITUTE(SUBSTITUTE(SUBSTITUTE(SUBSTITUTE(SUBSTITUTE(SUBSTITUTE(SUBSTITUTE(TRIM(G441),".",""),"/",""),"-","")," ",""),"(",""),")",""),"+",""))</f>
      </c>
      <c r="U441" s="6">
        <f>IF(T441="","",IF(LEN(T441)&lt;&gt;14,"ERRO: "&amp;LEN(T441)&amp;" dígitos",IF(NOT(ISNUMBER(VALUE(T441))),"ERRO: não numérico",IF(LEN(SUBSTITUTE(T441,LEFT(T441,1),""))=0,"ERRO: dígitos repetidos",IF(AND(VALUE(MID(T441,13,1))=IF(MOD(SUMPRODUCT(--MID(T441,{1,2,3,4,5,6,7,8,9,10,11,12},1),{5,4,3,2,9,8,7,6,5,4,3,2}),11)&lt;2,0,11-MOD(SUMPRODUCT(--MID(T441,{1,2,3,4,5,6,7,8,9,10,11,12},1),{5,4,3,2,9,8,7,6,5,4,3,2}),11)),VALUE(MID(T441,14,1))=IF(MOD(SUMPRODUCT(--MID(T441,{1,2,3,4,5,6,7,8,9,10,11,12,13},1),{6,5,4,3,2,9,8,7,6,5,4,3,2}),11)&lt;2,0,11-MOD(SUMPRODUCT(--MID(T441,{1,2,3,4,5,6,7,8,9,10,11,12,13},1),{6,5,4,3,2,9,8,7,6,5,4,3,2}),11))),"OK","ERRO: dígito verificador")))))</f>
      </c>
      <c r="V441" s="6">
        <f>IF(T441="","",IF(COUNTIF($T$2:$T$1001,T441)&gt;1,"DUPLICADO","OK"))</f>
      </c>
      <c r="W441" s="6">
        <f>IF(M441="","vazio",IF(OR(AND(LEN(SUBSTITUTE(SUBSTITUTE(SUBSTITUTE(SUBSTITUTE(SUBSTITUTE(SUBSTITUTE(SUBSTITUTE(TRIM(M441),".",""),"/",""),"-","")," ",""),"(",""),")",""),"+",""))=10,LEFT(SUBSTITUTE(SUBSTITUTE(SUBSTITUTE(SUBSTITUTE(SUBSTITUTE(SUBSTITUTE(SUBSTITUTE(TRIM(M441),".",""),"/",""),"-","")," ",""),"(",""),")",""),"+",""),1)&lt;&gt;"0"),AND(LEN(SUBSTITUTE(SUBSTITUTE(SUBSTITUTE(SUBSTITUTE(SUBSTITUTE(SUBSTITUTE(SUBSTITUTE(TRIM(M441),".",""),"/",""),"-","")," ",""),"(",""),")",""),"+",""))=11,LEFT(SUBSTITUTE(SUBSTITUTE(SUBSTITUTE(SUBSTITUTE(SUBSTITUTE(SUBSTITUTE(SUBSTITUTE(TRIM(M441),".",""),"/",""),"-","")," ",""),"(",""),")",""),"+",""),4)="0800")),"OK",IF(AND(LEN(SUBSTITUTE(SUBSTITUTE(SUBSTITUTE(SUBSTITUTE(SUBSTITUTE(SUBSTITUTE(SUBSTITUTE(TRIM(M441),".",""),"/",""),"-","")," ",""),"(",""),")",""),"+",""))=11,MID(SUBSTITUTE(SUBSTITUTE(SUBSTITUTE(SUBSTITUTE(SUBSTITUTE(SUBSTITUTE(SUBSTITUTE(TRIM(M441),".",""),"/",""),"-","")," ",""),"(",""),")",""),"+",""),3,1)="9"),"ERRO: é celular, use a coluna Celular","ERRO: DDD + 8 dígitos ou 0800 + 7")))</f>
      </c>
      <c r="X441" s="6">
        <f>IF(N441="","vazio",IF(AND(LEN(SUBSTITUTE(SUBSTITUTE(SUBSTITUTE(SUBSTITUTE(SUBSTITUTE(SUBSTITUTE(SUBSTITUTE(TRIM(N441),".",""),"/",""),"-","")," ",""),"(",""),")",""),"+",""))=11,MID(SUBSTITUTE(SUBSTITUTE(SUBSTITUTE(SUBSTITUTE(SUBSTITUTE(SUBSTITUTE(SUBSTITUTE(TRIM(N441),".",""),"/",""),"-","")," ",""),"(",""),")",""),"+",""),3,1)="9",LEFT(SUBSTITUTE(SUBSTITUTE(SUBSTITUTE(SUBSTITUTE(SUBSTITUTE(SUBSTITUTE(SUBSTITUTE(TRIM(N441),".",""),"/",""),"-","")," ",""),"(",""),")",""),"+",""),1)&lt;&gt;"0"),"OK",IF(LEN(SUBSTITUTE(SUBSTITUTE(SUBSTITUTE(SUBSTITUTE(SUBSTITUTE(SUBSTITUTE(SUBSTITUTE(TRIM(N441),".",""),"/",""),"-","")," ",""),"(",""),")",""),"+",""))=10,"ERRO: é fixo (ou falta o 9), use a coluna Telefone fixo","ERRO: DDD + 9 + 8 dígitos")))</f>
      </c>
      <c r="Y441" s="6">
        <f>IF(O441="","vazio",IF(AND(ISNUMBER(FIND("@",O441)),ISNUMBER(FIND(".",MID(O441,FIND("@",O441),99))),NOT(ISNUMBER(FIND(" ",TRIM(O441)))),NOT(ISNUMBER(FIND(";",O441))),NOT(ISNUMBER(FIND(",",O441)))),"OK","ERRO: um e-mail válido por linha"))</f>
      </c>
      <c r="Z441" s="6">
        <f>IF(AND(J441="",K441=""),"",IF(AND(J441&lt;&gt;"",K441&lt;&gt;""),"OK","pendente: só um nome (o GR completa ao converter)"))</f>
      </c>
      <c r="AA441" s="6">
        <f>IF(COUNTA(A441:S441)=0,"",IF(AND(A441&lt;&gt;"",B441&lt;&gt;"",C441&lt;&gt;"",D441&lt;&gt;"",E441&lt;&gt;"",F441&lt;&gt;"",G441&lt;&gt;"",H441&lt;&gt;"",OR(J441&lt;&gt;"",K441&lt;&gt;""),OR(M441&lt;&gt;"",N441&lt;&gt;"",O441&lt;&gt;"")),"OK","ERRO: faltam "&amp;IF(A441="","SDR; ","")&amp;IF(B441="","Proprietário; ","")&amp;IF(C441="","Origem; ","")&amp;IF(D441="","Temperatura; ","")&amp;IF(E441="","Segmento; ","")&amp;IF(F441="","Time/Cluster; ","")&amp;IF(G441="","CNPJ; ","")&amp;IF(H441="","Razão Social; ","")&amp;IF(AND(J441="",K441=""),"nome do contato; ","")&amp;IF(AND(M441="",N441="",O441=""),"telefone, celular ou e-mail; ","")))</f>
      </c>
      <c r="AB441" s="6">
        <f>IF(COUNTA(A441:S441)=0,"",IF(AND(U441="OK",V441="OK",LEFT(W441,4)&lt;&gt;"ERRO",LEFT(X441,4)&lt;&gt;"ERRO",LEFT(Y441,4)&lt;&gt;"ERRO",AA441="OK"),"OK","REVISAR"))</f>
      </c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5"/>
      <c r="K442" s="4"/>
      <c r="L442" s="4"/>
      <c r="M442" s="4"/>
      <c r="N442" s="4"/>
      <c r="O442" s="4"/>
      <c r="P442" s="4"/>
      <c r="Q442" s="4"/>
      <c r="R442" s="4"/>
      <c r="S442" s="4"/>
      <c r="T442" s="6">
        <f>IF(G442="","",SUBSTITUTE(SUBSTITUTE(SUBSTITUTE(SUBSTITUTE(SUBSTITUTE(SUBSTITUTE(SUBSTITUTE(TRIM(G442),".",""),"/",""),"-","")," ",""),"(",""),")",""),"+",""))</f>
      </c>
      <c r="U442" s="6">
        <f>IF(T442="","",IF(LEN(T442)&lt;&gt;14,"ERRO: "&amp;LEN(T442)&amp;" dígitos",IF(NOT(ISNUMBER(VALUE(T442))),"ERRO: não numérico",IF(LEN(SUBSTITUTE(T442,LEFT(T442,1),""))=0,"ERRO: dígitos repetidos",IF(AND(VALUE(MID(T442,13,1))=IF(MOD(SUMPRODUCT(--MID(T442,{1,2,3,4,5,6,7,8,9,10,11,12},1),{5,4,3,2,9,8,7,6,5,4,3,2}),11)&lt;2,0,11-MOD(SUMPRODUCT(--MID(T442,{1,2,3,4,5,6,7,8,9,10,11,12},1),{5,4,3,2,9,8,7,6,5,4,3,2}),11)),VALUE(MID(T442,14,1))=IF(MOD(SUMPRODUCT(--MID(T442,{1,2,3,4,5,6,7,8,9,10,11,12,13},1),{6,5,4,3,2,9,8,7,6,5,4,3,2}),11)&lt;2,0,11-MOD(SUMPRODUCT(--MID(T442,{1,2,3,4,5,6,7,8,9,10,11,12,13},1),{6,5,4,3,2,9,8,7,6,5,4,3,2}),11))),"OK","ERRO: dígito verificador")))))</f>
      </c>
      <c r="V442" s="6">
        <f>IF(T442="","",IF(COUNTIF($T$2:$T$1001,T442)&gt;1,"DUPLICADO","OK"))</f>
      </c>
      <c r="W442" s="6">
        <f>IF(M442="","vazio",IF(OR(AND(LEN(SUBSTITUTE(SUBSTITUTE(SUBSTITUTE(SUBSTITUTE(SUBSTITUTE(SUBSTITUTE(SUBSTITUTE(TRIM(M442),".",""),"/",""),"-","")," ",""),"(",""),")",""),"+",""))=10,LEFT(SUBSTITUTE(SUBSTITUTE(SUBSTITUTE(SUBSTITUTE(SUBSTITUTE(SUBSTITUTE(SUBSTITUTE(TRIM(M442),".",""),"/",""),"-","")," ",""),"(",""),")",""),"+",""),1)&lt;&gt;"0"),AND(LEN(SUBSTITUTE(SUBSTITUTE(SUBSTITUTE(SUBSTITUTE(SUBSTITUTE(SUBSTITUTE(SUBSTITUTE(TRIM(M442),".",""),"/",""),"-","")," ",""),"(",""),")",""),"+",""))=11,LEFT(SUBSTITUTE(SUBSTITUTE(SUBSTITUTE(SUBSTITUTE(SUBSTITUTE(SUBSTITUTE(SUBSTITUTE(TRIM(M442),".",""),"/",""),"-","")," ",""),"(",""),")",""),"+",""),4)="0800")),"OK",IF(AND(LEN(SUBSTITUTE(SUBSTITUTE(SUBSTITUTE(SUBSTITUTE(SUBSTITUTE(SUBSTITUTE(SUBSTITUTE(TRIM(M442),".",""),"/",""),"-","")," ",""),"(",""),")",""),"+",""))=11,MID(SUBSTITUTE(SUBSTITUTE(SUBSTITUTE(SUBSTITUTE(SUBSTITUTE(SUBSTITUTE(SUBSTITUTE(TRIM(M442),".",""),"/",""),"-","")," ",""),"(",""),")",""),"+",""),3,1)="9"),"ERRO: é celular, use a coluna Celular","ERRO: DDD + 8 dígitos ou 0800 + 7")))</f>
      </c>
      <c r="X442" s="6">
        <f>IF(N442="","vazio",IF(AND(LEN(SUBSTITUTE(SUBSTITUTE(SUBSTITUTE(SUBSTITUTE(SUBSTITUTE(SUBSTITUTE(SUBSTITUTE(TRIM(N442),".",""),"/",""),"-","")," ",""),"(",""),")",""),"+",""))=11,MID(SUBSTITUTE(SUBSTITUTE(SUBSTITUTE(SUBSTITUTE(SUBSTITUTE(SUBSTITUTE(SUBSTITUTE(TRIM(N442),".",""),"/",""),"-","")," ",""),"(",""),")",""),"+",""),3,1)="9",LEFT(SUBSTITUTE(SUBSTITUTE(SUBSTITUTE(SUBSTITUTE(SUBSTITUTE(SUBSTITUTE(SUBSTITUTE(TRIM(N442),".",""),"/",""),"-","")," ",""),"(",""),")",""),"+",""),1)&lt;&gt;"0"),"OK",IF(LEN(SUBSTITUTE(SUBSTITUTE(SUBSTITUTE(SUBSTITUTE(SUBSTITUTE(SUBSTITUTE(SUBSTITUTE(TRIM(N442),".",""),"/",""),"-","")," ",""),"(",""),")",""),"+",""))=10,"ERRO: é fixo (ou falta o 9), use a coluna Telefone fixo","ERRO: DDD + 9 + 8 dígitos")))</f>
      </c>
      <c r="Y442" s="6">
        <f>IF(O442="","vazio",IF(AND(ISNUMBER(FIND("@",O442)),ISNUMBER(FIND(".",MID(O442,FIND("@",O442),99))),NOT(ISNUMBER(FIND(" ",TRIM(O442)))),NOT(ISNUMBER(FIND(";",O442))),NOT(ISNUMBER(FIND(",",O442)))),"OK","ERRO: um e-mail válido por linha"))</f>
      </c>
      <c r="Z442" s="6">
        <f>IF(AND(J442="",K442=""),"",IF(AND(J442&lt;&gt;"",K442&lt;&gt;""),"OK","pendente: só um nome (o GR completa ao converter)"))</f>
      </c>
      <c r="AA442" s="6">
        <f>IF(COUNTA(A442:S442)=0,"",IF(AND(A442&lt;&gt;"",B442&lt;&gt;"",C442&lt;&gt;"",D442&lt;&gt;"",E442&lt;&gt;"",F442&lt;&gt;"",G442&lt;&gt;"",H442&lt;&gt;"",OR(J442&lt;&gt;"",K442&lt;&gt;""),OR(M442&lt;&gt;"",N442&lt;&gt;"",O442&lt;&gt;"")),"OK","ERRO: faltam "&amp;IF(A442="","SDR; ","")&amp;IF(B442="","Proprietário; ","")&amp;IF(C442="","Origem; ","")&amp;IF(D442="","Temperatura; ","")&amp;IF(E442="","Segmento; ","")&amp;IF(F442="","Time/Cluster; ","")&amp;IF(G442="","CNPJ; ","")&amp;IF(H442="","Razão Social; ","")&amp;IF(AND(J442="",K442=""),"nome do contato; ","")&amp;IF(AND(M442="",N442="",O442=""),"telefone, celular ou e-mail; ","")))</f>
      </c>
      <c r="AB442" s="6">
        <f>IF(COUNTA(A442:S442)=0,"",IF(AND(U442="OK",V442="OK",LEFT(W442,4)&lt;&gt;"ERRO",LEFT(X442,4)&lt;&gt;"ERRO",LEFT(Y442,4)&lt;&gt;"ERRO",AA442="OK"),"OK","REVISAR"))</f>
      </c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5"/>
      <c r="K443" s="4"/>
      <c r="L443" s="4"/>
      <c r="M443" s="4"/>
      <c r="N443" s="4"/>
      <c r="O443" s="4"/>
      <c r="P443" s="4"/>
      <c r="Q443" s="4"/>
      <c r="R443" s="4"/>
      <c r="S443" s="4"/>
      <c r="T443" s="6">
        <f>IF(G443="","",SUBSTITUTE(SUBSTITUTE(SUBSTITUTE(SUBSTITUTE(SUBSTITUTE(SUBSTITUTE(SUBSTITUTE(TRIM(G443),".",""),"/",""),"-","")," ",""),"(",""),")",""),"+",""))</f>
      </c>
      <c r="U443" s="6">
        <f>IF(T443="","",IF(LEN(T443)&lt;&gt;14,"ERRO: "&amp;LEN(T443)&amp;" dígitos",IF(NOT(ISNUMBER(VALUE(T443))),"ERRO: não numérico",IF(LEN(SUBSTITUTE(T443,LEFT(T443,1),""))=0,"ERRO: dígitos repetidos",IF(AND(VALUE(MID(T443,13,1))=IF(MOD(SUMPRODUCT(--MID(T443,{1,2,3,4,5,6,7,8,9,10,11,12},1),{5,4,3,2,9,8,7,6,5,4,3,2}),11)&lt;2,0,11-MOD(SUMPRODUCT(--MID(T443,{1,2,3,4,5,6,7,8,9,10,11,12},1),{5,4,3,2,9,8,7,6,5,4,3,2}),11)),VALUE(MID(T443,14,1))=IF(MOD(SUMPRODUCT(--MID(T443,{1,2,3,4,5,6,7,8,9,10,11,12,13},1),{6,5,4,3,2,9,8,7,6,5,4,3,2}),11)&lt;2,0,11-MOD(SUMPRODUCT(--MID(T443,{1,2,3,4,5,6,7,8,9,10,11,12,13},1),{6,5,4,3,2,9,8,7,6,5,4,3,2}),11))),"OK","ERRO: dígito verificador")))))</f>
      </c>
      <c r="V443" s="6">
        <f>IF(T443="","",IF(COUNTIF($T$2:$T$1001,T443)&gt;1,"DUPLICADO","OK"))</f>
      </c>
      <c r="W443" s="6">
        <f>IF(M443="","vazio",IF(OR(AND(LEN(SUBSTITUTE(SUBSTITUTE(SUBSTITUTE(SUBSTITUTE(SUBSTITUTE(SUBSTITUTE(SUBSTITUTE(TRIM(M443),".",""),"/",""),"-","")," ",""),"(",""),")",""),"+",""))=10,LEFT(SUBSTITUTE(SUBSTITUTE(SUBSTITUTE(SUBSTITUTE(SUBSTITUTE(SUBSTITUTE(SUBSTITUTE(TRIM(M443),".",""),"/",""),"-","")," ",""),"(",""),")",""),"+",""),1)&lt;&gt;"0"),AND(LEN(SUBSTITUTE(SUBSTITUTE(SUBSTITUTE(SUBSTITUTE(SUBSTITUTE(SUBSTITUTE(SUBSTITUTE(TRIM(M443),".",""),"/",""),"-","")," ",""),"(",""),")",""),"+",""))=11,LEFT(SUBSTITUTE(SUBSTITUTE(SUBSTITUTE(SUBSTITUTE(SUBSTITUTE(SUBSTITUTE(SUBSTITUTE(TRIM(M443),".",""),"/",""),"-","")," ",""),"(",""),")",""),"+",""),4)="0800")),"OK",IF(AND(LEN(SUBSTITUTE(SUBSTITUTE(SUBSTITUTE(SUBSTITUTE(SUBSTITUTE(SUBSTITUTE(SUBSTITUTE(TRIM(M443),".",""),"/",""),"-","")," ",""),"(",""),")",""),"+",""))=11,MID(SUBSTITUTE(SUBSTITUTE(SUBSTITUTE(SUBSTITUTE(SUBSTITUTE(SUBSTITUTE(SUBSTITUTE(TRIM(M443),".",""),"/",""),"-","")," ",""),"(",""),")",""),"+",""),3,1)="9"),"ERRO: é celular, use a coluna Celular","ERRO: DDD + 8 dígitos ou 0800 + 7")))</f>
      </c>
      <c r="X443" s="6">
        <f>IF(N443="","vazio",IF(AND(LEN(SUBSTITUTE(SUBSTITUTE(SUBSTITUTE(SUBSTITUTE(SUBSTITUTE(SUBSTITUTE(SUBSTITUTE(TRIM(N443),".",""),"/",""),"-","")," ",""),"(",""),")",""),"+",""))=11,MID(SUBSTITUTE(SUBSTITUTE(SUBSTITUTE(SUBSTITUTE(SUBSTITUTE(SUBSTITUTE(SUBSTITUTE(TRIM(N443),".",""),"/",""),"-","")," ",""),"(",""),")",""),"+",""),3,1)="9",LEFT(SUBSTITUTE(SUBSTITUTE(SUBSTITUTE(SUBSTITUTE(SUBSTITUTE(SUBSTITUTE(SUBSTITUTE(TRIM(N443),".",""),"/",""),"-","")," ",""),"(",""),")",""),"+",""),1)&lt;&gt;"0"),"OK",IF(LEN(SUBSTITUTE(SUBSTITUTE(SUBSTITUTE(SUBSTITUTE(SUBSTITUTE(SUBSTITUTE(SUBSTITUTE(TRIM(N443),".",""),"/",""),"-","")," ",""),"(",""),")",""),"+",""))=10,"ERRO: é fixo (ou falta o 9), use a coluna Telefone fixo","ERRO: DDD + 9 + 8 dígitos")))</f>
      </c>
      <c r="Y443" s="6">
        <f>IF(O443="","vazio",IF(AND(ISNUMBER(FIND("@",O443)),ISNUMBER(FIND(".",MID(O443,FIND("@",O443),99))),NOT(ISNUMBER(FIND(" ",TRIM(O443)))),NOT(ISNUMBER(FIND(";",O443))),NOT(ISNUMBER(FIND(",",O443)))),"OK","ERRO: um e-mail válido por linha"))</f>
      </c>
      <c r="Z443" s="6">
        <f>IF(AND(J443="",K443=""),"",IF(AND(J443&lt;&gt;"",K443&lt;&gt;""),"OK","pendente: só um nome (o GR completa ao converter)"))</f>
      </c>
      <c r="AA443" s="6">
        <f>IF(COUNTA(A443:S443)=0,"",IF(AND(A443&lt;&gt;"",B443&lt;&gt;"",C443&lt;&gt;"",D443&lt;&gt;"",E443&lt;&gt;"",F443&lt;&gt;"",G443&lt;&gt;"",H443&lt;&gt;"",OR(J443&lt;&gt;"",K443&lt;&gt;""),OR(M443&lt;&gt;"",N443&lt;&gt;"",O443&lt;&gt;"")),"OK","ERRO: faltam "&amp;IF(A443="","SDR; ","")&amp;IF(B443="","Proprietário; ","")&amp;IF(C443="","Origem; ","")&amp;IF(D443="","Temperatura; ","")&amp;IF(E443="","Segmento; ","")&amp;IF(F443="","Time/Cluster; ","")&amp;IF(G443="","CNPJ; ","")&amp;IF(H443="","Razão Social; ","")&amp;IF(AND(J443="",K443=""),"nome do contato; ","")&amp;IF(AND(M443="",N443="",O443=""),"telefone, celular ou e-mail; ","")))</f>
      </c>
      <c r="AB443" s="6">
        <f>IF(COUNTA(A443:S443)=0,"",IF(AND(U443="OK",V443="OK",LEFT(W443,4)&lt;&gt;"ERRO",LEFT(X443,4)&lt;&gt;"ERRO",LEFT(Y443,4)&lt;&gt;"ERRO",AA443="OK"),"OK","REVISAR"))</f>
      </c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5"/>
      <c r="K444" s="4"/>
      <c r="L444" s="4"/>
      <c r="M444" s="4"/>
      <c r="N444" s="4"/>
      <c r="O444" s="4"/>
      <c r="P444" s="4"/>
      <c r="Q444" s="4"/>
      <c r="R444" s="4"/>
      <c r="S444" s="4"/>
      <c r="T444" s="6">
        <f>IF(G444="","",SUBSTITUTE(SUBSTITUTE(SUBSTITUTE(SUBSTITUTE(SUBSTITUTE(SUBSTITUTE(SUBSTITUTE(TRIM(G444),".",""),"/",""),"-","")," ",""),"(",""),")",""),"+",""))</f>
      </c>
      <c r="U444" s="6">
        <f>IF(T444="","",IF(LEN(T444)&lt;&gt;14,"ERRO: "&amp;LEN(T444)&amp;" dígitos",IF(NOT(ISNUMBER(VALUE(T444))),"ERRO: não numérico",IF(LEN(SUBSTITUTE(T444,LEFT(T444,1),""))=0,"ERRO: dígitos repetidos",IF(AND(VALUE(MID(T444,13,1))=IF(MOD(SUMPRODUCT(--MID(T444,{1,2,3,4,5,6,7,8,9,10,11,12},1),{5,4,3,2,9,8,7,6,5,4,3,2}),11)&lt;2,0,11-MOD(SUMPRODUCT(--MID(T444,{1,2,3,4,5,6,7,8,9,10,11,12},1),{5,4,3,2,9,8,7,6,5,4,3,2}),11)),VALUE(MID(T444,14,1))=IF(MOD(SUMPRODUCT(--MID(T444,{1,2,3,4,5,6,7,8,9,10,11,12,13},1),{6,5,4,3,2,9,8,7,6,5,4,3,2}),11)&lt;2,0,11-MOD(SUMPRODUCT(--MID(T444,{1,2,3,4,5,6,7,8,9,10,11,12,13},1),{6,5,4,3,2,9,8,7,6,5,4,3,2}),11))),"OK","ERRO: dígito verificador")))))</f>
      </c>
      <c r="V444" s="6">
        <f>IF(T444="","",IF(COUNTIF($T$2:$T$1001,T444)&gt;1,"DUPLICADO","OK"))</f>
      </c>
      <c r="W444" s="6">
        <f>IF(M444="","vazio",IF(OR(AND(LEN(SUBSTITUTE(SUBSTITUTE(SUBSTITUTE(SUBSTITUTE(SUBSTITUTE(SUBSTITUTE(SUBSTITUTE(TRIM(M444),".",""),"/",""),"-","")," ",""),"(",""),")",""),"+",""))=10,LEFT(SUBSTITUTE(SUBSTITUTE(SUBSTITUTE(SUBSTITUTE(SUBSTITUTE(SUBSTITUTE(SUBSTITUTE(TRIM(M444),".",""),"/",""),"-","")," ",""),"(",""),")",""),"+",""),1)&lt;&gt;"0"),AND(LEN(SUBSTITUTE(SUBSTITUTE(SUBSTITUTE(SUBSTITUTE(SUBSTITUTE(SUBSTITUTE(SUBSTITUTE(TRIM(M444),".",""),"/",""),"-","")," ",""),"(",""),")",""),"+",""))=11,LEFT(SUBSTITUTE(SUBSTITUTE(SUBSTITUTE(SUBSTITUTE(SUBSTITUTE(SUBSTITUTE(SUBSTITUTE(TRIM(M444),".",""),"/",""),"-","")," ",""),"(",""),")",""),"+",""),4)="0800")),"OK",IF(AND(LEN(SUBSTITUTE(SUBSTITUTE(SUBSTITUTE(SUBSTITUTE(SUBSTITUTE(SUBSTITUTE(SUBSTITUTE(TRIM(M444),".",""),"/",""),"-","")," ",""),"(",""),")",""),"+",""))=11,MID(SUBSTITUTE(SUBSTITUTE(SUBSTITUTE(SUBSTITUTE(SUBSTITUTE(SUBSTITUTE(SUBSTITUTE(TRIM(M444),".",""),"/",""),"-","")," ",""),"(",""),")",""),"+",""),3,1)="9"),"ERRO: é celular, use a coluna Celular","ERRO: DDD + 8 dígitos ou 0800 + 7")))</f>
      </c>
      <c r="X444" s="6">
        <f>IF(N444="","vazio",IF(AND(LEN(SUBSTITUTE(SUBSTITUTE(SUBSTITUTE(SUBSTITUTE(SUBSTITUTE(SUBSTITUTE(SUBSTITUTE(TRIM(N444),".",""),"/",""),"-","")," ",""),"(",""),")",""),"+",""))=11,MID(SUBSTITUTE(SUBSTITUTE(SUBSTITUTE(SUBSTITUTE(SUBSTITUTE(SUBSTITUTE(SUBSTITUTE(TRIM(N444),".",""),"/",""),"-","")," ",""),"(",""),")",""),"+",""),3,1)="9",LEFT(SUBSTITUTE(SUBSTITUTE(SUBSTITUTE(SUBSTITUTE(SUBSTITUTE(SUBSTITUTE(SUBSTITUTE(TRIM(N444),".",""),"/",""),"-","")," ",""),"(",""),")",""),"+",""),1)&lt;&gt;"0"),"OK",IF(LEN(SUBSTITUTE(SUBSTITUTE(SUBSTITUTE(SUBSTITUTE(SUBSTITUTE(SUBSTITUTE(SUBSTITUTE(TRIM(N444),".",""),"/",""),"-","")," ",""),"(",""),")",""),"+",""))=10,"ERRO: é fixo (ou falta o 9), use a coluna Telefone fixo","ERRO: DDD + 9 + 8 dígitos")))</f>
      </c>
      <c r="Y444" s="6">
        <f>IF(O444="","vazio",IF(AND(ISNUMBER(FIND("@",O444)),ISNUMBER(FIND(".",MID(O444,FIND("@",O444),99))),NOT(ISNUMBER(FIND(" ",TRIM(O444)))),NOT(ISNUMBER(FIND(";",O444))),NOT(ISNUMBER(FIND(",",O444)))),"OK","ERRO: um e-mail válido por linha"))</f>
      </c>
      <c r="Z444" s="6">
        <f>IF(AND(J444="",K444=""),"",IF(AND(J444&lt;&gt;"",K444&lt;&gt;""),"OK","pendente: só um nome (o GR completa ao converter)"))</f>
      </c>
      <c r="AA444" s="6">
        <f>IF(COUNTA(A444:S444)=0,"",IF(AND(A444&lt;&gt;"",B444&lt;&gt;"",C444&lt;&gt;"",D444&lt;&gt;"",E444&lt;&gt;"",F444&lt;&gt;"",G444&lt;&gt;"",H444&lt;&gt;"",OR(J444&lt;&gt;"",K444&lt;&gt;""),OR(M444&lt;&gt;"",N444&lt;&gt;"",O444&lt;&gt;"")),"OK","ERRO: faltam "&amp;IF(A444="","SDR; ","")&amp;IF(B444="","Proprietário; ","")&amp;IF(C444="","Origem; ","")&amp;IF(D444="","Temperatura; ","")&amp;IF(E444="","Segmento; ","")&amp;IF(F444="","Time/Cluster; ","")&amp;IF(G444="","CNPJ; ","")&amp;IF(H444="","Razão Social; ","")&amp;IF(AND(J444="",K444=""),"nome do contato; ","")&amp;IF(AND(M444="",N444="",O444=""),"telefone, celular ou e-mail; ","")))</f>
      </c>
      <c r="AB444" s="6">
        <f>IF(COUNTA(A444:S444)=0,"",IF(AND(U444="OK",V444="OK",LEFT(W444,4)&lt;&gt;"ERRO",LEFT(X444,4)&lt;&gt;"ERRO",LEFT(Y444,4)&lt;&gt;"ERRO",AA444="OK"),"OK","REVISAR"))</f>
      </c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5"/>
      <c r="K445" s="4"/>
      <c r="L445" s="4"/>
      <c r="M445" s="4"/>
      <c r="N445" s="4"/>
      <c r="O445" s="4"/>
      <c r="P445" s="4"/>
      <c r="Q445" s="4"/>
      <c r="R445" s="4"/>
      <c r="S445" s="4"/>
      <c r="T445" s="6">
        <f>IF(G445="","",SUBSTITUTE(SUBSTITUTE(SUBSTITUTE(SUBSTITUTE(SUBSTITUTE(SUBSTITUTE(SUBSTITUTE(TRIM(G445),".",""),"/",""),"-","")," ",""),"(",""),")",""),"+",""))</f>
      </c>
      <c r="U445" s="6">
        <f>IF(T445="","",IF(LEN(T445)&lt;&gt;14,"ERRO: "&amp;LEN(T445)&amp;" dígitos",IF(NOT(ISNUMBER(VALUE(T445))),"ERRO: não numérico",IF(LEN(SUBSTITUTE(T445,LEFT(T445,1),""))=0,"ERRO: dígitos repetidos",IF(AND(VALUE(MID(T445,13,1))=IF(MOD(SUMPRODUCT(--MID(T445,{1,2,3,4,5,6,7,8,9,10,11,12},1),{5,4,3,2,9,8,7,6,5,4,3,2}),11)&lt;2,0,11-MOD(SUMPRODUCT(--MID(T445,{1,2,3,4,5,6,7,8,9,10,11,12},1),{5,4,3,2,9,8,7,6,5,4,3,2}),11)),VALUE(MID(T445,14,1))=IF(MOD(SUMPRODUCT(--MID(T445,{1,2,3,4,5,6,7,8,9,10,11,12,13},1),{6,5,4,3,2,9,8,7,6,5,4,3,2}),11)&lt;2,0,11-MOD(SUMPRODUCT(--MID(T445,{1,2,3,4,5,6,7,8,9,10,11,12,13},1),{6,5,4,3,2,9,8,7,6,5,4,3,2}),11))),"OK","ERRO: dígito verificador")))))</f>
      </c>
      <c r="V445" s="6">
        <f>IF(T445="","",IF(COUNTIF($T$2:$T$1001,T445)&gt;1,"DUPLICADO","OK"))</f>
      </c>
      <c r="W445" s="6">
        <f>IF(M445="","vazio",IF(OR(AND(LEN(SUBSTITUTE(SUBSTITUTE(SUBSTITUTE(SUBSTITUTE(SUBSTITUTE(SUBSTITUTE(SUBSTITUTE(TRIM(M445),".",""),"/",""),"-","")," ",""),"(",""),")",""),"+",""))=10,LEFT(SUBSTITUTE(SUBSTITUTE(SUBSTITUTE(SUBSTITUTE(SUBSTITUTE(SUBSTITUTE(SUBSTITUTE(TRIM(M445),".",""),"/",""),"-","")," ",""),"(",""),")",""),"+",""),1)&lt;&gt;"0"),AND(LEN(SUBSTITUTE(SUBSTITUTE(SUBSTITUTE(SUBSTITUTE(SUBSTITUTE(SUBSTITUTE(SUBSTITUTE(TRIM(M445),".",""),"/",""),"-","")," ",""),"(",""),")",""),"+",""))=11,LEFT(SUBSTITUTE(SUBSTITUTE(SUBSTITUTE(SUBSTITUTE(SUBSTITUTE(SUBSTITUTE(SUBSTITUTE(TRIM(M445),".",""),"/",""),"-","")," ",""),"(",""),")",""),"+",""),4)="0800")),"OK",IF(AND(LEN(SUBSTITUTE(SUBSTITUTE(SUBSTITUTE(SUBSTITUTE(SUBSTITUTE(SUBSTITUTE(SUBSTITUTE(TRIM(M445),".",""),"/",""),"-","")," ",""),"(",""),")",""),"+",""))=11,MID(SUBSTITUTE(SUBSTITUTE(SUBSTITUTE(SUBSTITUTE(SUBSTITUTE(SUBSTITUTE(SUBSTITUTE(TRIM(M445),".",""),"/",""),"-","")," ",""),"(",""),")",""),"+",""),3,1)="9"),"ERRO: é celular, use a coluna Celular","ERRO: DDD + 8 dígitos ou 0800 + 7")))</f>
      </c>
      <c r="X445" s="6">
        <f>IF(N445="","vazio",IF(AND(LEN(SUBSTITUTE(SUBSTITUTE(SUBSTITUTE(SUBSTITUTE(SUBSTITUTE(SUBSTITUTE(SUBSTITUTE(TRIM(N445),".",""),"/",""),"-","")," ",""),"(",""),")",""),"+",""))=11,MID(SUBSTITUTE(SUBSTITUTE(SUBSTITUTE(SUBSTITUTE(SUBSTITUTE(SUBSTITUTE(SUBSTITUTE(TRIM(N445),".",""),"/",""),"-","")," ",""),"(",""),")",""),"+",""),3,1)="9",LEFT(SUBSTITUTE(SUBSTITUTE(SUBSTITUTE(SUBSTITUTE(SUBSTITUTE(SUBSTITUTE(SUBSTITUTE(TRIM(N445),".",""),"/",""),"-","")," ",""),"(",""),")",""),"+",""),1)&lt;&gt;"0"),"OK",IF(LEN(SUBSTITUTE(SUBSTITUTE(SUBSTITUTE(SUBSTITUTE(SUBSTITUTE(SUBSTITUTE(SUBSTITUTE(TRIM(N445),".",""),"/",""),"-","")," ",""),"(",""),")",""),"+",""))=10,"ERRO: é fixo (ou falta o 9), use a coluna Telefone fixo","ERRO: DDD + 9 + 8 dígitos")))</f>
      </c>
      <c r="Y445" s="6">
        <f>IF(O445="","vazio",IF(AND(ISNUMBER(FIND("@",O445)),ISNUMBER(FIND(".",MID(O445,FIND("@",O445),99))),NOT(ISNUMBER(FIND(" ",TRIM(O445)))),NOT(ISNUMBER(FIND(";",O445))),NOT(ISNUMBER(FIND(",",O445)))),"OK","ERRO: um e-mail válido por linha"))</f>
      </c>
      <c r="Z445" s="6">
        <f>IF(AND(J445="",K445=""),"",IF(AND(J445&lt;&gt;"",K445&lt;&gt;""),"OK","pendente: só um nome (o GR completa ao converter)"))</f>
      </c>
      <c r="AA445" s="6">
        <f>IF(COUNTA(A445:S445)=0,"",IF(AND(A445&lt;&gt;"",B445&lt;&gt;"",C445&lt;&gt;"",D445&lt;&gt;"",E445&lt;&gt;"",F445&lt;&gt;"",G445&lt;&gt;"",H445&lt;&gt;"",OR(J445&lt;&gt;"",K445&lt;&gt;""),OR(M445&lt;&gt;"",N445&lt;&gt;"",O445&lt;&gt;"")),"OK","ERRO: faltam "&amp;IF(A445="","SDR; ","")&amp;IF(B445="","Proprietário; ","")&amp;IF(C445="","Origem; ","")&amp;IF(D445="","Temperatura; ","")&amp;IF(E445="","Segmento; ","")&amp;IF(F445="","Time/Cluster; ","")&amp;IF(G445="","CNPJ; ","")&amp;IF(H445="","Razão Social; ","")&amp;IF(AND(J445="",K445=""),"nome do contato; ","")&amp;IF(AND(M445="",N445="",O445=""),"telefone, celular ou e-mail; ","")))</f>
      </c>
      <c r="AB445" s="6">
        <f>IF(COUNTA(A445:S445)=0,"",IF(AND(U445="OK",V445="OK",LEFT(W445,4)&lt;&gt;"ERRO",LEFT(X445,4)&lt;&gt;"ERRO",LEFT(Y445,4)&lt;&gt;"ERRO",AA445="OK"),"OK","REVISAR"))</f>
      </c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5"/>
      <c r="K446" s="4"/>
      <c r="L446" s="4"/>
      <c r="M446" s="4"/>
      <c r="N446" s="4"/>
      <c r="O446" s="4"/>
      <c r="P446" s="4"/>
      <c r="Q446" s="4"/>
      <c r="R446" s="4"/>
      <c r="S446" s="4"/>
      <c r="T446" s="6">
        <f>IF(G446="","",SUBSTITUTE(SUBSTITUTE(SUBSTITUTE(SUBSTITUTE(SUBSTITUTE(SUBSTITUTE(SUBSTITUTE(TRIM(G446),".",""),"/",""),"-","")," ",""),"(",""),")",""),"+",""))</f>
      </c>
      <c r="U446" s="6">
        <f>IF(T446="","",IF(LEN(T446)&lt;&gt;14,"ERRO: "&amp;LEN(T446)&amp;" dígitos",IF(NOT(ISNUMBER(VALUE(T446))),"ERRO: não numérico",IF(LEN(SUBSTITUTE(T446,LEFT(T446,1),""))=0,"ERRO: dígitos repetidos",IF(AND(VALUE(MID(T446,13,1))=IF(MOD(SUMPRODUCT(--MID(T446,{1,2,3,4,5,6,7,8,9,10,11,12},1),{5,4,3,2,9,8,7,6,5,4,3,2}),11)&lt;2,0,11-MOD(SUMPRODUCT(--MID(T446,{1,2,3,4,5,6,7,8,9,10,11,12},1),{5,4,3,2,9,8,7,6,5,4,3,2}),11)),VALUE(MID(T446,14,1))=IF(MOD(SUMPRODUCT(--MID(T446,{1,2,3,4,5,6,7,8,9,10,11,12,13},1),{6,5,4,3,2,9,8,7,6,5,4,3,2}),11)&lt;2,0,11-MOD(SUMPRODUCT(--MID(T446,{1,2,3,4,5,6,7,8,9,10,11,12,13},1),{6,5,4,3,2,9,8,7,6,5,4,3,2}),11))),"OK","ERRO: dígito verificador")))))</f>
      </c>
      <c r="V446" s="6">
        <f>IF(T446="","",IF(COUNTIF($T$2:$T$1001,T446)&gt;1,"DUPLICADO","OK"))</f>
      </c>
      <c r="W446" s="6">
        <f>IF(M446="","vazio",IF(OR(AND(LEN(SUBSTITUTE(SUBSTITUTE(SUBSTITUTE(SUBSTITUTE(SUBSTITUTE(SUBSTITUTE(SUBSTITUTE(TRIM(M446),".",""),"/",""),"-","")," ",""),"(",""),")",""),"+",""))=10,LEFT(SUBSTITUTE(SUBSTITUTE(SUBSTITUTE(SUBSTITUTE(SUBSTITUTE(SUBSTITUTE(SUBSTITUTE(TRIM(M446),".",""),"/",""),"-","")," ",""),"(",""),")",""),"+",""),1)&lt;&gt;"0"),AND(LEN(SUBSTITUTE(SUBSTITUTE(SUBSTITUTE(SUBSTITUTE(SUBSTITUTE(SUBSTITUTE(SUBSTITUTE(TRIM(M446),".",""),"/",""),"-","")," ",""),"(",""),")",""),"+",""))=11,LEFT(SUBSTITUTE(SUBSTITUTE(SUBSTITUTE(SUBSTITUTE(SUBSTITUTE(SUBSTITUTE(SUBSTITUTE(TRIM(M446),".",""),"/",""),"-","")," ",""),"(",""),")",""),"+",""),4)="0800")),"OK",IF(AND(LEN(SUBSTITUTE(SUBSTITUTE(SUBSTITUTE(SUBSTITUTE(SUBSTITUTE(SUBSTITUTE(SUBSTITUTE(TRIM(M446),".",""),"/",""),"-","")," ",""),"(",""),")",""),"+",""))=11,MID(SUBSTITUTE(SUBSTITUTE(SUBSTITUTE(SUBSTITUTE(SUBSTITUTE(SUBSTITUTE(SUBSTITUTE(TRIM(M446),".",""),"/",""),"-","")," ",""),"(",""),")",""),"+",""),3,1)="9"),"ERRO: é celular, use a coluna Celular","ERRO: DDD + 8 dígitos ou 0800 + 7")))</f>
      </c>
      <c r="X446" s="6">
        <f>IF(N446="","vazio",IF(AND(LEN(SUBSTITUTE(SUBSTITUTE(SUBSTITUTE(SUBSTITUTE(SUBSTITUTE(SUBSTITUTE(SUBSTITUTE(TRIM(N446),".",""),"/",""),"-","")," ",""),"(",""),")",""),"+",""))=11,MID(SUBSTITUTE(SUBSTITUTE(SUBSTITUTE(SUBSTITUTE(SUBSTITUTE(SUBSTITUTE(SUBSTITUTE(TRIM(N446),".",""),"/",""),"-","")," ",""),"(",""),")",""),"+",""),3,1)="9",LEFT(SUBSTITUTE(SUBSTITUTE(SUBSTITUTE(SUBSTITUTE(SUBSTITUTE(SUBSTITUTE(SUBSTITUTE(TRIM(N446),".",""),"/",""),"-","")," ",""),"(",""),")",""),"+",""),1)&lt;&gt;"0"),"OK",IF(LEN(SUBSTITUTE(SUBSTITUTE(SUBSTITUTE(SUBSTITUTE(SUBSTITUTE(SUBSTITUTE(SUBSTITUTE(TRIM(N446),".",""),"/",""),"-","")," ",""),"(",""),")",""),"+",""))=10,"ERRO: é fixo (ou falta o 9), use a coluna Telefone fixo","ERRO: DDD + 9 + 8 dígitos")))</f>
      </c>
      <c r="Y446" s="6">
        <f>IF(O446="","vazio",IF(AND(ISNUMBER(FIND("@",O446)),ISNUMBER(FIND(".",MID(O446,FIND("@",O446),99))),NOT(ISNUMBER(FIND(" ",TRIM(O446)))),NOT(ISNUMBER(FIND(";",O446))),NOT(ISNUMBER(FIND(",",O446)))),"OK","ERRO: um e-mail válido por linha"))</f>
      </c>
      <c r="Z446" s="6">
        <f>IF(AND(J446="",K446=""),"",IF(AND(J446&lt;&gt;"",K446&lt;&gt;""),"OK","pendente: só um nome (o GR completa ao converter)"))</f>
      </c>
      <c r="AA446" s="6">
        <f>IF(COUNTA(A446:S446)=0,"",IF(AND(A446&lt;&gt;"",B446&lt;&gt;"",C446&lt;&gt;"",D446&lt;&gt;"",E446&lt;&gt;"",F446&lt;&gt;"",G446&lt;&gt;"",H446&lt;&gt;"",OR(J446&lt;&gt;"",K446&lt;&gt;""),OR(M446&lt;&gt;"",N446&lt;&gt;"",O446&lt;&gt;"")),"OK","ERRO: faltam "&amp;IF(A446="","SDR; ","")&amp;IF(B446="","Proprietário; ","")&amp;IF(C446="","Origem; ","")&amp;IF(D446="","Temperatura; ","")&amp;IF(E446="","Segmento; ","")&amp;IF(F446="","Time/Cluster; ","")&amp;IF(G446="","CNPJ; ","")&amp;IF(H446="","Razão Social; ","")&amp;IF(AND(J446="",K446=""),"nome do contato; ","")&amp;IF(AND(M446="",N446="",O446=""),"telefone, celular ou e-mail; ","")))</f>
      </c>
      <c r="AB446" s="6">
        <f>IF(COUNTA(A446:S446)=0,"",IF(AND(U446="OK",V446="OK",LEFT(W446,4)&lt;&gt;"ERRO",LEFT(X446,4)&lt;&gt;"ERRO",LEFT(Y446,4)&lt;&gt;"ERRO",AA446="OK"),"OK","REVISAR"))</f>
      </c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5"/>
      <c r="K447" s="4"/>
      <c r="L447" s="4"/>
      <c r="M447" s="4"/>
      <c r="N447" s="4"/>
      <c r="O447" s="4"/>
      <c r="P447" s="4"/>
      <c r="Q447" s="4"/>
      <c r="R447" s="4"/>
      <c r="S447" s="4"/>
      <c r="T447" s="6">
        <f>IF(G447="","",SUBSTITUTE(SUBSTITUTE(SUBSTITUTE(SUBSTITUTE(SUBSTITUTE(SUBSTITUTE(SUBSTITUTE(TRIM(G447),".",""),"/",""),"-","")," ",""),"(",""),")",""),"+",""))</f>
      </c>
      <c r="U447" s="6">
        <f>IF(T447="","",IF(LEN(T447)&lt;&gt;14,"ERRO: "&amp;LEN(T447)&amp;" dígitos",IF(NOT(ISNUMBER(VALUE(T447))),"ERRO: não numérico",IF(LEN(SUBSTITUTE(T447,LEFT(T447,1),""))=0,"ERRO: dígitos repetidos",IF(AND(VALUE(MID(T447,13,1))=IF(MOD(SUMPRODUCT(--MID(T447,{1,2,3,4,5,6,7,8,9,10,11,12},1),{5,4,3,2,9,8,7,6,5,4,3,2}),11)&lt;2,0,11-MOD(SUMPRODUCT(--MID(T447,{1,2,3,4,5,6,7,8,9,10,11,12},1),{5,4,3,2,9,8,7,6,5,4,3,2}),11)),VALUE(MID(T447,14,1))=IF(MOD(SUMPRODUCT(--MID(T447,{1,2,3,4,5,6,7,8,9,10,11,12,13},1),{6,5,4,3,2,9,8,7,6,5,4,3,2}),11)&lt;2,0,11-MOD(SUMPRODUCT(--MID(T447,{1,2,3,4,5,6,7,8,9,10,11,12,13},1),{6,5,4,3,2,9,8,7,6,5,4,3,2}),11))),"OK","ERRO: dígito verificador")))))</f>
      </c>
      <c r="V447" s="6">
        <f>IF(T447="","",IF(COUNTIF($T$2:$T$1001,T447)&gt;1,"DUPLICADO","OK"))</f>
      </c>
      <c r="W447" s="6">
        <f>IF(M447="","vazio",IF(OR(AND(LEN(SUBSTITUTE(SUBSTITUTE(SUBSTITUTE(SUBSTITUTE(SUBSTITUTE(SUBSTITUTE(SUBSTITUTE(TRIM(M447),".",""),"/",""),"-","")," ",""),"(",""),")",""),"+",""))=10,LEFT(SUBSTITUTE(SUBSTITUTE(SUBSTITUTE(SUBSTITUTE(SUBSTITUTE(SUBSTITUTE(SUBSTITUTE(TRIM(M447),".",""),"/",""),"-","")," ",""),"(",""),")",""),"+",""),1)&lt;&gt;"0"),AND(LEN(SUBSTITUTE(SUBSTITUTE(SUBSTITUTE(SUBSTITUTE(SUBSTITUTE(SUBSTITUTE(SUBSTITUTE(TRIM(M447),".",""),"/",""),"-","")," ",""),"(",""),")",""),"+",""))=11,LEFT(SUBSTITUTE(SUBSTITUTE(SUBSTITUTE(SUBSTITUTE(SUBSTITUTE(SUBSTITUTE(SUBSTITUTE(TRIM(M447),".",""),"/",""),"-","")," ",""),"(",""),")",""),"+",""),4)="0800")),"OK",IF(AND(LEN(SUBSTITUTE(SUBSTITUTE(SUBSTITUTE(SUBSTITUTE(SUBSTITUTE(SUBSTITUTE(SUBSTITUTE(TRIM(M447),".",""),"/",""),"-","")," ",""),"(",""),")",""),"+",""))=11,MID(SUBSTITUTE(SUBSTITUTE(SUBSTITUTE(SUBSTITUTE(SUBSTITUTE(SUBSTITUTE(SUBSTITUTE(TRIM(M447),".",""),"/",""),"-","")," ",""),"(",""),")",""),"+",""),3,1)="9"),"ERRO: é celular, use a coluna Celular","ERRO: DDD + 8 dígitos ou 0800 + 7")))</f>
      </c>
      <c r="X447" s="6">
        <f>IF(N447="","vazio",IF(AND(LEN(SUBSTITUTE(SUBSTITUTE(SUBSTITUTE(SUBSTITUTE(SUBSTITUTE(SUBSTITUTE(SUBSTITUTE(TRIM(N447),".",""),"/",""),"-","")," ",""),"(",""),")",""),"+",""))=11,MID(SUBSTITUTE(SUBSTITUTE(SUBSTITUTE(SUBSTITUTE(SUBSTITUTE(SUBSTITUTE(SUBSTITUTE(TRIM(N447),".",""),"/",""),"-","")," ",""),"(",""),")",""),"+",""),3,1)="9",LEFT(SUBSTITUTE(SUBSTITUTE(SUBSTITUTE(SUBSTITUTE(SUBSTITUTE(SUBSTITUTE(SUBSTITUTE(TRIM(N447),".",""),"/",""),"-","")," ",""),"(",""),")",""),"+",""),1)&lt;&gt;"0"),"OK",IF(LEN(SUBSTITUTE(SUBSTITUTE(SUBSTITUTE(SUBSTITUTE(SUBSTITUTE(SUBSTITUTE(SUBSTITUTE(TRIM(N447),".",""),"/",""),"-","")," ",""),"(",""),")",""),"+",""))=10,"ERRO: é fixo (ou falta o 9), use a coluna Telefone fixo","ERRO: DDD + 9 + 8 dígitos")))</f>
      </c>
      <c r="Y447" s="6">
        <f>IF(O447="","vazio",IF(AND(ISNUMBER(FIND("@",O447)),ISNUMBER(FIND(".",MID(O447,FIND("@",O447),99))),NOT(ISNUMBER(FIND(" ",TRIM(O447)))),NOT(ISNUMBER(FIND(";",O447))),NOT(ISNUMBER(FIND(",",O447)))),"OK","ERRO: um e-mail válido por linha"))</f>
      </c>
      <c r="Z447" s="6">
        <f>IF(AND(J447="",K447=""),"",IF(AND(J447&lt;&gt;"",K447&lt;&gt;""),"OK","pendente: só um nome (o GR completa ao converter)"))</f>
      </c>
      <c r="AA447" s="6">
        <f>IF(COUNTA(A447:S447)=0,"",IF(AND(A447&lt;&gt;"",B447&lt;&gt;"",C447&lt;&gt;"",D447&lt;&gt;"",E447&lt;&gt;"",F447&lt;&gt;"",G447&lt;&gt;"",H447&lt;&gt;"",OR(J447&lt;&gt;"",K447&lt;&gt;""),OR(M447&lt;&gt;"",N447&lt;&gt;"",O447&lt;&gt;"")),"OK","ERRO: faltam "&amp;IF(A447="","SDR; ","")&amp;IF(B447="","Proprietário; ","")&amp;IF(C447="","Origem; ","")&amp;IF(D447="","Temperatura; ","")&amp;IF(E447="","Segmento; ","")&amp;IF(F447="","Time/Cluster; ","")&amp;IF(G447="","CNPJ; ","")&amp;IF(H447="","Razão Social; ","")&amp;IF(AND(J447="",K447=""),"nome do contato; ","")&amp;IF(AND(M447="",N447="",O447=""),"telefone, celular ou e-mail; ","")))</f>
      </c>
      <c r="AB447" s="6">
        <f>IF(COUNTA(A447:S447)=0,"",IF(AND(U447="OK",V447="OK",LEFT(W447,4)&lt;&gt;"ERRO",LEFT(X447,4)&lt;&gt;"ERRO",LEFT(Y447,4)&lt;&gt;"ERRO",AA447="OK"),"OK","REVISAR"))</f>
      </c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5"/>
      <c r="K448" s="4"/>
      <c r="L448" s="4"/>
      <c r="M448" s="4"/>
      <c r="N448" s="4"/>
      <c r="O448" s="4"/>
      <c r="P448" s="4"/>
      <c r="Q448" s="4"/>
      <c r="R448" s="4"/>
      <c r="S448" s="4"/>
      <c r="T448" s="6">
        <f>IF(G448="","",SUBSTITUTE(SUBSTITUTE(SUBSTITUTE(SUBSTITUTE(SUBSTITUTE(SUBSTITUTE(SUBSTITUTE(TRIM(G448),".",""),"/",""),"-","")," ",""),"(",""),")",""),"+",""))</f>
      </c>
      <c r="U448" s="6">
        <f>IF(T448="","",IF(LEN(T448)&lt;&gt;14,"ERRO: "&amp;LEN(T448)&amp;" dígitos",IF(NOT(ISNUMBER(VALUE(T448))),"ERRO: não numérico",IF(LEN(SUBSTITUTE(T448,LEFT(T448,1),""))=0,"ERRO: dígitos repetidos",IF(AND(VALUE(MID(T448,13,1))=IF(MOD(SUMPRODUCT(--MID(T448,{1,2,3,4,5,6,7,8,9,10,11,12},1),{5,4,3,2,9,8,7,6,5,4,3,2}),11)&lt;2,0,11-MOD(SUMPRODUCT(--MID(T448,{1,2,3,4,5,6,7,8,9,10,11,12},1),{5,4,3,2,9,8,7,6,5,4,3,2}),11)),VALUE(MID(T448,14,1))=IF(MOD(SUMPRODUCT(--MID(T448,{1,2,3,4,5,6,7,8,9,10,11,12,13},1),{6,5,4,3,2,9,8,7,6,5,4,3,2}),11)&lt;2,0,11-MOD(SUMPRODUCT(--MID(T448,{1,2,3,4,5,6,7,8,9,10,11,12,13},1),{6,5,4,3,2,9,8,7,6,5,4,3,2}),11))),"OK","ERRO: dígito verificador")))))</f>
      </c>
      <c r="V448" s="6">
        <f>IF(T448="","",IF(COUNTIF($T$2:$T$1001,T448)&gt;1,"DUPLICADO","OK"))</f>
      </c>
      <c r="W448" s="6">
        <f>IF(M448="","vazio",IF(OR(AND(LEN(SUBSTITUTE(SUBSTITUTE(SUBSTITUTE(SUBSTITUTE(SUBSTITUTE(SUBSTITUTE(SUBSTITUTE(TRIM(M448),".",""),"/",""),"-","")," ",""),"(",""),")",""),"+",""))=10,LEFT(SUBSTITUTE(SUBSTITUTE(SUBSTITUTE(SUBSTITUTE(SUBSTITUTE(SUBSTITUTE(SUBSTITUTE(TRIM(M448),".",""),"/",""),"-","")," ",""),"(",""),")",""),"+",""),1)&lt;&gt;"0"),AND(LEN(SUBSTITUTE(SUBSTITUTE(SUBSTITUTE(SUBSTITUTE(SUBSTITUTE(SUBSTITUTE(SUBSTITUTE(TRIM(M448),".",""),"/",""),"-","")," ",""),"(",""),")",""),"+",""))=11,LEFT(SUBSTITUTE(SUBSTITUTE(SUBSTITUTE(SUBSTITUTE(SUBSTITUTE(SUBSTITUTE(SUBSTITUTE(TRIM(M448),".",""),"/",""),"-","")," ",""),"(",""),")",""),"+",""),4)="0800")),"OK",IF(AND(LEN(SUBSTITUTE(SUBSTITUTE(SUBSTITUTE(SUBSTITUTE(SUBSTITUTE(SUBSTITUTE(SUBSTITUTE(TRIM(M448),".",""),"/",""),"-","")," ",""),"(",""),")",""),"+",""))=11,MID(SUBSTITUTE(SUBSTITUTE(SUBSTITUTE(SUBSTITUTE(SUBSTITUTE(SUBSTITUTE(SUBSTITUTE(TRIM(M448),".",""),"/",""),"-","")," ",""),"(",""),")",""),"+",""),3,1)="9"),"ERRO: é celular, use a coluna Celular","ERRO: DDD + 8 dígitos ou 0800 + 7")))</f>
      </c>
      <c r="X448" s="6">
        <f>IF(N448="","vazio",IF(AND(LEN(SUBSTITUTE(SUBSTITUTE(SUBSTITUTE(SUBSTITUTE(SUBSTITUTE(SUBSTITUTE(SUBSTITUTE(TRIM(N448),".",""),"/",""),"-","")," ",""),"(",""),")",""),"+",""))=11,MID(SUBSTITUTE(SUBSTITUTE(SUBSTITUTE(SUBSTITUTE(SUBSTITUTE(SUBSTITUTE(SUBSTITUTE(TRIM(N448),".",""),"/",""),"-","")," ",""),"(",""),")",""),"+",""),3,1)="9",LEFT(SUBSTITUTE(SUBSTITUTE(SUBSTITUTE(SUBSTITUTE(SUBSTITUTE(SUBSTITUTE(SUBSTITUTE(TRIM(N448),".",""),"/",""),"-","")," ",""),"(",""),")",""),"+",""),1)&lt;&gt;"0"),"OK",IF(LEN(SUBSTITUTE(SUBSTITUTE(SUBSTITUTE(SUBSTITUTE(SUBSTITUTE(SUBSTITUTE(SUBSTITUTE(TRIM(N448),".",""),"/",""),"-","")," ",""),"(",""),")",""),"+",""))=10,"ERRO: é fixo (ou falta o 9), use a coluna Telefone fixo","ERRO: DDD + 9 + 8 dígitos")))</f>
      </c>
      <c r="Y448" s="6">
        <f>IF(O448="","vazio",IF(AND(ISNUMBER(FIND("@",O448)),ISNUMBER(FIND(".",MID(O448,FIND("@",O448),99))),NOT(ISNUMBER(FIND(" ",TRIM(O448)))),NOT(ISNUMBER(FIND(";",O448))),NOT(ISNUMBER(FIND(",",O448)))),"OK","ERRO: um e-mail válido por linha"))</f>
      </c>
      <c r="Z448" s="6">
        <f>IF(AND(J448="",K448=""),"",IF(AND(J448&lt;&gt;"",K448&lt;&gt;""),"OK","pendente: só um nome (o GR completa ao converter)"))</f>
      </c>
      <c r="AA448" s="6">
        <f>IF(COUNTA(A448:S448)=0,"",IF(AND(A448&lt;&gt;"",B448&lt;&gt;"",C448&lt;&gt;"",D448&lt;&gt;"",E448&lt;&gt;"",F448&lt;&gt;"",G448&lt;&gt;"",H448&lt;&gt;"",OR(J448&lt;&gt;"",K448&lt;&gt;""),OR(M448&lt;&gt;"",N448&lt;&gt;"",O448&lt;&gt;"")),"OK","ERRO: faltam "&amp;IF(A448="","SDR; ","")&amp;IF(B448="","Proprietário; ","")&amp;IF(C448="","Origem; ","")&amp;IF(D448="","Temperatura; ","")&amp;IF(E448="","Segmento; ","")&amp;IF(F448="","Time/Cluster; ","")&amp;IF(G448="","CNPJ; ","")&amp;IF(H448="","Razão Social; ","")&amp;IF(AND(J448="",K448=""),"nome do contato; ","")&amp;IF(AND(M448="",N448="",O448=""),"telefone, celular ou e-mail; ","")))</f>
      </c>
      <c r="AB448" s="6">
        <f>IF(COUNTA(A448:S448)=0,"",IF(AND(U448="OK",V448="OK",LEFT(W448,4)&lt;&gt;"ERRO",LEFT(X448,4)&lt;&gt;"ERRO",LEFT(Y448,4)&lt;&gt;"ERRO",AA448="OK"),"OK","REVISAR"))</f>
      </c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5"/>
      <c r="K449" s="4"/>
      <c r="L449" s="4"/>
      <c r="M449" s="4"/>
      <c r="N449" s="4"/>
      <c r="O449" s="4"/>
      <c r="P449" s="4"/>
      <c r="Q449" s="4"/>
      <c r="R449" s="4"/>
      <c r="S449" s="4"/>
      <c r="T449" s="6">
        <f>IF(G449="","",SUBSTITUTE(SUBSTITUTE(SUBSTITUTE(SUBSTITUTE(SUBSTITUTE(SUBSTITUTE(SUBSTITUTE(TRIM(G449),".",""),"/",""),"-","")," ",""),"(",""),")",""),"+",""))</f>
      </c>
      <c r="U449" s="6">
        <f>IF(T449="","",IF(LEN(T449)&lt;&gt;14,"ERRO: "&amp;LEN(T449)&amp;" dígitos",IF(NOT(ISNUMBER(VALUE(T449))),"ERRO: não numérico",IF(LEN(SUBSTITUTE(T449,LEFT(T449,1),""))=0,"ERRO: dígitos repetidos",IF(AND(VALUE(MID(T449,13,1))=IF(MOD(SUMPRODUCT(--MID(T449,{1,2,3,4,5,6,7,8,9,10,11,12},1),{5,4,3,2,9,8,7,6,5,4,3,2}),11)&lt;2,0,11-MOD(SUMPRODUCT(--MID(T449,{1,2,3,4,5,6,7,8,9,10,11,12},1),{5,4,3,2,9,8,7,6,5,4,3,2}),11)),VALUE(MID(T449,14,1))=IF(MOD(SUMPRODUCT(--MID(T449,{1,2,3,4,5,6,7,8,9,10,11,12,13},1),{6,5,4,3,2,9,8,7,6,5,4,3,2}),11)&lt;2,0,11-MOD(SUMPRODUCT(--MID(T449,{1,2,3,4,5,6,7,8,9,10,11,12,13},1),{6,5,4,3,2,9,8,7,6,5,4,3,2}),11))),"OK","ERRO: dígito verificador")))))</f>
      </c>
      <c r="V449" s="6">
        <f>IF(T449="","",IF(COUNTIF($T$2:$T$1001,T449)&gt;1,"DUPLICADO","OK"))</f>
      </c>
      <c r="W449" s="6">
        <f>IF(M449="","vazio",IF(OR(AND(LEN(SUBSTITUTE(SUBSTITUTE(SUBSTITUTE(SUBSTITUTE(SUBSTITUTE(SUBSTITUTE(SUBSTITUTE(TRIM(M449),".",""),"/",""),"-","")," ",""),"(",""),")",""),"+",""))=10,LEFT(SUBSTITUTE(SUBSTITUTE(SUBSTITUTE(SUBSTITUTE(SUBSTITUTE(SUBSTITUTE(SUBSTITUTE(TRIM(M449),".",""),"/",""),"-","")," ",""),"(",""),")",""),"+",""),1)&lt;&gt;"0"),AND(LEN(SUBSTITUTE(SUBSTITUTE(SUBSTITUTE(SUBSTITUTE(SUBSTITUTE(SUBSTITUTE(SUBSTITUTE(TRIM(M449),".",""),"/",""),"-","")," ",""),"(",""),")",""),"+",""))=11,LEFT(SUBSTITUTE(SUBSTITUTE(SUBSTITUTE(SUBSTITUTE(SUBSTITUTE(SUBSTITUTE(SUBSTITUTE(TRIM(M449),".",""),"/",""),"-","")," ",""),"(",""),")",""),"+",""),4)="0800")),"OK",IF(AND(LEN(SUBSTITUTE(SUBSTITUTE(SUBSTITUTE(SUBSTITUTE(SUBSTITUTE(SUBSTITUTE(SUBSTITUTE(TRIM(M449),".",""),"/",""),"-","")," ",""),"(",""),")",""),"+",""))=11,MID(SUBSTITUTE(SUBSTITUTE(SUBSTITUTE(SUBSTITUTE(SUBSTITUTE(SUBSTITUTE(SUBSTITUTE(TRIM(M449),".",""),"/",""),"-","")," ",""),"(",""),")",""),"+",""),3,1)="9"),"ERRO: é celular, use a coluna Celular","ERRO: DDD + 8 dígitos ou 0800 + 7")))</f>
      </c>
      <c r="X449" s="6">
        <f>IF(N449="","vazio",IF(AND(LEN(SUBSTITUTE(SUBSTITUTE(SUBSTITUTE(SUBSTITUTE(SUBSTITUTE(SUBSTITUTE(SUBSTITUTE(TRIM(N449),".",""),"/",""),"-","")," ",""),"(",""),")",""),"+",""))=11,MID(SUBSTITUTE(SUBSTITUTE(SUBSTITUTE(SUBSTITUTE(SUBSTITUTE(SUBSTITUTE(SUBSTITUTE(TRIM(N449),".",""),"/",""),"-","")," ",""),"(",""),")",""),"+",""),3,1)="9",LEFT(SUBSTITUTE(SUBSTITUTE(SUBSTITUTE(SUBSTITUTE(SUBSTITUTE(SUBSTITUTE(SUBSTITUTE(TRIM(N449),".",""),"/",""),"-","")," ",""),"(",""),")",""),"+",""),1)&lt;&gt;"0"),"OK",IF(LEN(SUBSTITUTE(SUBSTITUTE(SUBSTITUTE(SUBSTITUTE(SUBSTITUTE(SUBSTITUTE(SUBSTITUTE(TRIM(N449),".",""),"/",""),"-","")," ",""),"(",""),")",""),"+",""))=10,"ERRO: é fixo (ou falta o 9), use a coluna Telefone fixo","ERRO: DDD + 9 + 8 dígitos")))</f>
      </c>
      <c r="Y449" s="6">
        <f>IF(O449="","vazio",IF(AND(ISNUMBER(FIND("@",O449)),ISNUMBER(FIND(".",MID(O449,FIND("@",O449),99))),NOT(ISNUMBER(FIND(" ",TRIM(O449)))),NOT(ISNUMBER(FIND(";",O449))),NOT(ISNUMBER(FIND(",",O449)))),"OK","ERRO: um e-mail válido por linha"))</f>
      </c>
      <c r="Z449" s="6">
        <f>IF(AND(J449="",K449=""),"",IF(AND(J449&lt;&gt;"",K449&lt;&gt;""),"OK","pendente: só um nome (o GR completa ao converter)"))</f>
      </c>
      <c r="AA449" s="6">
        <f>IF(COUNTA(A449:S449)=0,"",IF(AND(A449&lt;&gt;"",B449&lt;&gt;"",C449&lt;&gt;"",D449&lt;&gt;"",E449&lt;&gt;"",F449&lt;&gt;"",G449&lt;&gt;"",H449&lt;&gt;"",OR(J449&lt;&gt;"",K449&lt;&gt;""),OR(M449&lt;&gt;"",N449&lt;&gt;"",O449&lt;&gt;"")),"OK","ERRO: faltam "&amp;IF(A449="","SDR; ","")&amp;IF(B449="","Proprietário; ","")&amp;IF(C449="","Origem; ","")&amp;IF(D449="","Temperatura; ","")&amp;IF(E449="","Segmento; ","")&amp;IF(F449="","Time/Cluster; ","")&amp;IF(G449="","CNPJ; ","")&amp;IF(H449="","Razão Social; ","")&amp;IF(AND(J449="",K449=""),"nome do contato; ","")&amp;IF(AND(M449="",N449="",O449=""),"telefone, celular ou e-mail; ","")))</f>
      </c>
      <c r="AB449" s="6">
        <f>IF(COUNTA(A449:S449)=0,"",IF(AND(U449="OK",V449="OK",LEFT(W449,4)&lt;&gt;"ERRO",LEFT(X449,4)&lt;&gt;"ERRO",LEFT(Y449,4)&lt;&gt;"ERRO",AA449="OK"),"OK","REVISAR"))</f>
      </c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5"/>
      <c r="K450" s="4"/>
      <c r="L450" s="4"/>
      <c r="M450" s="4"/>
      <c r="N450" s="4"/>
      <c r="O450" s="4"/>
      <c r="P450" s="4"/>
      <c r="Q450" s="4"/>
      <c r="R450" s="4"/>
      <c r="S450" s="4"/>
      <c r="T450" s="6">
        <f>IF(G450="","",SUBSTITUTE(SUBSTITUTE(SUBSTITUTE(SUBSTITUTE(SUBSTITUTE(SUBSTITUTE(SUBSTITUTE(TRIM(G450),".",""),"/",""),"-","")," ",""),"(",""),")",""),"+",""))</f>
      </c>
      <c r="U450" s="6">
        <f>IF(T450="","",IF(LEN(T450)&lt;&gt;14,"ERRO: "&amp;LEN(T450)&amp;" dígitos",IF(NOT(ISNUMBER(VALUE(T450))),"ERRO: não numérico",IF(LEN(SUBSTITUTE(T450,LEFT(T450,1),""))=0,"ERRO: dígitos repetidos",IF(AND(VALUE(MID(T450,13,1))=IF(MOD(SUMPRODUCT(--MID(T450,{1,2,3,4,5,6,7,8,9,10,11,12},1),{5,4,3,2,9,8,7,6,5,4,3,2}),11)&lt;2,0,11-MOD(SUMPRODUCT(--MID(T450,{1,2,3,4,5,6,7,8,9,10,11,12},1),{5,4,3,2,9,8,7,6,5,4,3,2}),11)),VALUE(MID(T450,14,1))=IF(MOD(SUMPRODUCT(--MID(T450,{1,2,3,4,5,6,7,8,9,10,11,12,13},1),{6,5,4,3,2,9,8,7,6,5,4,3,2}),11)&lt;2,0,11-MOD(SUMPRODUCT(--MID(T450,{1,2,3,4,5,6,7,8,9,10,11,12,13},1),{6,5,4,3,2,9,8,7,6,5,4,3,2}),11))),"OK","ERRO: dígito verificador")))))</f>
      </c>
      <c r="V450" s="6">
        <f>IF(T450="","",IF(COUNTIF($T$2:$T$1001,T450)&gt;1,"DUPLICADO","OK"))</f>
      </c>
      <c r="W450" s="6">
        <f>IF(M450="","vazio",IF(OR(AND(LEN(SUBSTITUTE(SUBSTITUTE(SUBSTITUTE(SUBSTITUTE(SUBSTITUTE(SUBSTITUTE(SUBSTITUTE(TRIM(M450),".",""),"/",""),"-","")," ",""),"(",""),")",""),"+",""))=10,LEFT(SUBSTITUTE(SUBSTITUTE(SUBSTITUTE(SUBSTITUTE(SUBSTITUTE(SUBSTITUTE(SUBSTITUTE(TRIM(M450),".",""),"/",""),"-","")," ",""),"(",""),")",""),"+",""),1)&lt;&gt;"0"),AND(LEN(SUBSTITUTE(SUBSTITUTE(SUBSTITUTE(SUBSTITUTE(SUBSTITUTE(SUBSTITUTE(SUBSTITUTE(TRIM(M450),".",""),"/",""),"-","")," ",""),"(",""),")",""),"+",""))=11,LEFT(SUBSTITUTE(SUBSTITUTE(SUBSTITUTE(SUBSTITUTE(SUBSTITUTE(SUBSTITUTE(SUBSTITUTE(TRIM(M450),".",""),"/",""),"-","")," ",""),"(",""),")",""),"+",""),4)="0800")),"OK",IF(AND(LEN(SUBSTITUTE(SUBSTITUTE(SUBSTITUTE(SUBSTITUTE(SUBSTITUTE(SUBSTITUTE(SUBSTITUTE(TRIM(M450),".",""),"/",""),"-","")," ",""),"(",""),")",""),"+",""))=11,MID(SUBSTITUTE(SUBSTITUTE(SUBSTITUTE(SUBSTITUTE(SUBSTITUTE(SUBSTITUTE(SUBSTITUTE(TRIM(M450),".",""),"/",""),"-","")," ",""),"(",""),")",""),"+",""),3,1)="9"),"ERRO: é celular, use a coluna Celular","ERRO: DDD + 8 dígitos ou 0800 + 7")))</f>
      </c>
      <c r="X450" s="6">
        <f>IF(N450="","vazio",IF(AND(LEN(SUBSTITUTE(SUBSTITUTE(SUBSTITUTE(SUBSTITUTE(SUBSTITUTE(SUBSTITUTE(SUBSTITUTE(TRIM(N450),".",""),"/",""),"-","")," ",""),"(",""),")",""),"+",""))=11,MID(SUBSTITUTE(SUBSTITUTE(SUBSTITUTE(SUBSTITUTE(SUBSTITUTE(SUBSTITUTE(SUBSTITUTE(TRIM(N450),".",""),"/",""),"-","")," ",""),"(",""),")",""),"+",""),3,1)="9",LEFT(SUBSTITUTE(SUBSTITUTE(SUBSTITUTE(SUBSTITUTE(SUBSTITUTE(SUBSTITUTE(SUBSTITUTE(TRIM(N450),".",""),"/",""),"-","")," ",""),"(",""),")",""),"+",""),1)&lt;&gt;"0"),"OK",IF(LEN(SUBSTITUTE(SUBSTITUTE(SUBSTITUTE(SUBSTITUTE(SUBSTITUTE(SUBSTITUTE(SUBSTITUTE(TRIM(N450),".",""),"/",""),"-","")," ",""),"(",""),")",""),"+",""))=10,"ERRO: é fixo (ou falta o 9), use a coluna Telefone fixo","ERRO: DDD + 9 + 8 dígitos")))</f>
      </c>
      <c r="Y450" s="6">
        <f>IF(O450="","vazio",IF(AND(ISNUMBER(FIND("@",O450)),ISNUMBER(FIND(".",MID(O450,FIND("@",O450),99))),NOT(ISNUMBER(FIND(" ",TRIM(O450)))),NOT(ISNUMBER(FIND(";",O450))),NOT(ISNUMBER(FIND(",",O450)))),"OK","ERRO: um e-mail válido por linha"))</f>
      </c>
      <c r="Z450" s="6">
        <f>IF(AND(J450="",K450=""),"",IF(AND(J450&lt;&gt;"",K450&lt;&gt;""),"OK","pendente: só um nome (o GR completa ao converter)"))</f>
      </c>
      <c r="AA450" s="6">
        <f>IF(COUNTA(A450:S450)=0,"",IF(AND(A450&lt;&gt;"",B450&lt;&gt;"",C450&lt;&gt;"",D450&lt;&gt;"",E450&lt;&gt;"",F450&lt;&gt;"",G450&lt;&gt;"",H450&lt;&gt;"",OR(J450&lt;&gt;"",K450&lt;&gt;""),OR(M450&lt;&gt;"",N450&lt;&gt;"",O450&lt;&gt;"")),"OK","ERRO: faltam "&amp;IF(A450="","SDR; ","")&amp;IF(B450="","Proprietário; ","")&amp;IF(C450="","Origem; ","")&amp;IF(D450="","Temperatura; ","")&amp;IF(E450="","Segmento; ","")&amp;IF(F450="","Time/Cluster; ","")&amp;IF(G450="","CNPJ; ","")&amp;IF(H450="","Razão Social; ","")&amp;IF(AND(J450="",K450=""),"nome do contato; ","")&amp;IF(AND(M450="",N450="",O450=""),"telefone, celular ou e-mail; ","")))</f>
      </c>
      <c r="AB450" s="6">
        <f>IF(COUNTA(A450:S450)=0,"",IF(AND(U450="OK",V450="OK",LEFT(W450,4)&lt;&gt;"ERRO",LEFT(X450,4)&lt;&gt;"ERRO",LEFT(Y450,4)&lt;&gt;"ERRO",AA450="OK"),"OK","REVISAR"))</f>
      </c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5"/>
      <c r="K451" s="4"/>
      <c r="L451" s="4"/>
      <c r="M451" s="4"/>
      <c r="N451" s="4"/>
      <c r="O451" s="4"/>
      <c r="P451" s="4"/>
      <c r="Q451" s="4"/>
      <c r="R451" s="4"/>
      <c r="S451" s="4"/>
      <c r="T451" s="6">
        <f>IF(G451="","",SUBSTITUTE(SUBSTITUTE(SUBSTITUTE(SUBSTITUTE(SUBSTITUTE(SUBSTITUTE(SUBSTITUTE(TRIM(G451),".",""),"/",""),"-","")," ",""),"(",""),")",""),"+",""))</f>
      </c>
      <c r="U451" s="6">
        <f>IF(T451="","",IF(LEN(T451)&lt;&gt;14,"ERRO: "&amp;LEN(T451)&amp;" dígitos",IF(NOT(ISNUMBER(VALUE(T451))),"ERRO: não numérico",IF(LEN(SUBSTITUTE(T451,LEFT(T451,1),""))=0,"ERRO: dígitos repetidos",IF(AND(VALUE(MID(T451,13,1))=IF(MOD(SUMPRODUCT(--MID(T451,{1,2,3,4,5,6,7,8,9,10,11,12},1),{5,4,3,2,9,8,7,6,5,4,3,2}),11)&lt;2,0,11-MOD(SUMPRODUCT(--MID(T451,{1,2,3,4,5,6,7,8,9,10,11,12},1),{5,4,3,2,9,8,7,6,5,4,3,2}),11)),VALUE(MID(T451,14,1))=IF(MOD(SUMPRODUCT(--MID(T451,{1,2,3,4,5,6,7,8,9,10,11,12,13},1),{6,5,4,3,2,9,8,7,6,5,4,3,2}),11)&lt;2,0,11-MOD(SUMPRODUCT(--MID(T451,{1,2,3,4,5,6,7,8,9,10,11,12,13},1),{6,5,4,3,2,9,8,7,6,5,4,3,2}),11))),"OK","ERRO: dígito verificador")))))</f>
      </c>
      <c r="V451" s="6">
        <f>IF(T451="","",IF(COUNTIF($T$2:$T$1001,T451)&gt;1,"DUPLICADO","OK"))</f>
      </c>
      <c r="W451" s="6">
        <f>IF(M451="","vazio",IF(OR(AND(LEN(SUBSTITUTE(SUBSTITUTE(SUBSTITUTE(SUBSTITUTE(SUBSTITUTE(SUBSTITUTE(SUBSTITUTE(TRIM(M451),".",""),"/",""),"-","")," ",""),"(",""),")",""),"+",""))=10,LEFT(SUBSTITUTE(SUBSTITUTE(SUBSTITUTE(SUBSTITUTE(SUBSTITUTE(SUBSTITUTE(SUBSTITUTE(TRIM(M451),".",""),"/",""),"-","")," ",""),"(",""),")",""),"+",""),1)&lt;&gt;"0"),AND(LEN(SUBSTITUTE(SUBSTITUTE(SUBSTITUTE(SUBSTITUTE(SUBSTITUTE(SUBSTITUTE(SUBSTITUTE(TRIM(M451),".",""),"/",""),"-","")," ",""),"(",""),")",""),"+",""))=11,LEFT(SUBSTITUTE(SUBSTITUTE(SUBSTITUTE(SUBSTITUTE(SUBSTITUTE(SUBSTITUTE(SUBSTITUTE(TRIM(M451),".",""),"/",""),"-","")," ",""),"(",""),")",""),"+",""),4)="0800")),"OK",IF(AND(LEN(SUBSTITUTE(SUBSTITUTE(SUBSTITUTE(SUBSTITUTE(SUBSTITUTE(SUBSTITUTE(SUBSTITUTE(TRIM(M451),".",""),"/",""),"-","")," ",""),"(",""),")",""),"+",""))=11,MID(SUBSTITUTE(SUBSTITUTE(SUBSTITUTE(SUBSTITUTE(SUBSTITUTE(SUBSTITUTE(SUBSTITUTE(TRIM(M451),".",""),"/",""),"-","")," ",""),"(",""),")",""),"+",""),3,1)="9"),"ERRO: é celular, use a coluna Celular","ERRO: DDD + 8 dígitos ou 0800 + 7")))</f>
      </c>
      <c r="X451" s="6">
        <f>IF(N451="","vazio",IF(AND(LEN(SUBSTITUTE(SUBSTITUTE(SUBSTITUTE(SUBSTITUTE(SUBSTITUTE(SUBSTITUTE(SUBSTITUTE(TRIM(N451),".",""),"/",""),"-","")," ",""),"(",""),")",""),"+",""))=11,MID(SUBSTITUTE(SUBSTITUTE(SUBSTITUTE(SUBSTITUTE(SUBSTITUTE(SUBSTITUTE(SUBSTITUTE(TRIM(N451),".",""),"/",""),"-","")," ",""),"(",""),")",""),"+",""),3,1)="9",LEFT(SUBSTITUTE(SUBSTITUTE(SUBSTITUTE(SUBSTITUTE(SUBSTITUTE(SUBSTITUTE(SUBSTITUTE(TRIM(N451),".",""),"/",""),"-","")," ",""),"(",""),")",""),"+",""),1)&lt;&gt;"0"),"OK",IF(LEN(SUBSTITUTE(SUBSTITUTE(SUBSTITUTE(SUBSTITUTE(SUBSTITUTE(SUBSTITUTE(SUBSTITUTE(TRIM(N451),".",""),"/",""),"-","")," ",""),"(",""),")",""),"+",""))=10,"ERRO: é fixo (ou falta o 9), use a coluna Telefone fixo","ERRO: DDD + 9 + 8 dígitos")))</f>
      </c>
      <c r="Y451" s="6">
        <f>IF(O451="","vazio",IF(AND(ISNUMBER(FIND("@",O451)),ISNUMBER(FIND(".",MID(O451,FIND("@",O451),99))),NOT(ISNUMBER(FIND(" ",TRIM(O451)))),NOT(ISNUMBER(FIND(";",O451))),NOT(ISNUMBER(FIND(",",O451)))),"OK","ERRO: um e-mail válido por linha"))</f>
      </c>
      <c r="Z451" s="6">
        <f>IF(AND(J451="",K451=""),"",IF(AND(J451&lt;&gt;"",K451&lt;&gt;""),"OK","pendente: só um nome (o GR completa ao converter)"))</f>
      </c>
      <c r="AA451" s="6">
        <f>IF(COUNTA(A451:S451)=0,"",IF(AND(A451&lt;&gt;"",B451&lt;&gt;"",C451&lt;&gt;"",D451&lt;&gt;"",E451&lt;&gt;"",F451&lt;&gt;"",G451&lt;&gt;"",H451&lt;&gt;"",OR(J451&lt;&gt;"",K451&lt;&gt;""),OR(M451&lt;&gt;"",N451&lt;&gt;"",O451&lt;&gt;"")),"OK","ERRO: faltam "&amp;IF(A451="","SDR; ","")&amp;IF(B451="","Proprietário; ","")&amp;IF(C451="","Origem; ","")&amp;IF(D451="","Temperatura; ","")&amp;IF(E451="","Segmento; ","")&amp;IF(F451="","Time/Cluster; ","")&amp;IF(G451="","CNPJ; ","")&amp;IF(H451="","Razão Social; ","")&amp;IF(AND(J451="",K451=""),"nome do contato; ","")&amp;IF(AND(M451="",N451="",O451=""),"telefone, celular ou e-mail; ","")))</f>
      </c>
      <c r="AB451" s="6">
        <f>IF(COUNTA(A451:S451)=0,"",IF(AND(U451="OK",V451="OK",LEFT(W451,4)&lt;&gt;"ERRO",LEFT(X451,4)&lt;&gt;"ERRO",LEFT(Y451,4)&lt;&gt;"ERRO",AA451="OK"),"OK","REVISAR"))</f>
      </c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5"/>
      <c r="K452" s="4"/>
      <c r="L452" s="4"/>
      <c r="M452" s="4"/>
      <c r="N452" s="4"/>
      <c r="O452" s="4"/>
      <c r="P452" s="4"/>
      <c r="Q452" s="4"/>
      <c r="R452" s="4"/>
      <c r="S452" s="4"/>
      <c r="T452" s="6">
        <f>IF(G452="","",SUBSTITUTE(SUBSTITUTE(SUBSTITUTE(SUBSTITUTE(SUBSTITUTE(SUBSTITUTE(SUBSTITUTE(TRIM(G452),".",""),"/",""),"-","")," ",""),"(",""),")",""),"+",""))</f>
      </c>
      <c r="U452" s="6">
        <f>IF(T452="","",IF(LEN(T452)&lt;&gt;14,"ERRO: "&amp;LEN(T452)&amp;" dígitos",IF(NOT(ISNUMBER(VALUE(T452))),"ERRO: não numérico",IF(LEN(SUBSTITUTE(T452,LEFT(T452,1),""))=0,"ERRO: dígitos repetidos",IF(AND(VALUE(MID(T452,13,1))=IF(MOD(SUMPRODUCT(--MID(T452,{1,2,3,4,5,6,7,8,9,10,11,12},1),{5,4,3,2,9,8,7,6,5,4,3,2}),11)&lt;2,0,11-MOD(SUMPRODUCT(--MID(T452,{1,2,3,4,5,6,7,8,9,10,11,12},1),{5,4,3,2,9,8,7,6,5,4,3,2}),11)),VALUE(MID(T452,14,1))=IF(MOD(SUMPRODUCT(--MID(T452,{1,2,3,4,5,6,7,8,9,10,11,12,13},1),{6,5,4,3,2,9,8,7,6,5,4,3,2}),11)&lt;2,0,11-MOD(SUMPRODUCT(--MID(T452,{1,2,3,4,5,6,7,8,9,10,11,12,13},1),{6,5,4,3,2,9,8,7,6,5,4,3,2}),11))),"OK","ERRO: dígito verificador")))))</f>
      </c>
      <c r="V452" s="6">
        <f>IF(T452="","",IF(COUNTIF($T$2:$T$1001,T452)&gt;1,"DUPLICADO","OK"))</f>
      </c>
      <c r="W452" s="6">
        <f>IF(M452="","vazio",IF(OR(AND(LEN(SUBSTITUTE(SUBSTITUTE(SUBSTITUTE(SUBSTITUTE(SUBSTITUTE(SUBSTITUTE(SUBSTITUTE(TRIM(M452),".",""),"/",""),"-","")," ",""),"(",""),")",""),"+",""))=10,LEFT(SUBSTITUTE(SUBSTITUTE(SUBSTITUTE(SUBSTITUTE(SUBSTITUTE(SUBSTITUTE(SUBSTITUTE(TRIM(M452),".",""),"/",""),"-","")," ",""),"(",""),")",""),"+",""),1)&lt;&gt;"0"),AND(LEN(SUBSTITUTE(SUBSTITUTE(SUBSTITUTE(SUBSTITUTE(SUBSTITUTE(SUBSTITUTE(SUBSTITUTE(TRIM(M452),".",""),"/",""),"-","")," ",""),"(",""),")",""),"+",""))=11,LEFT(SUBSTITUTE(SUBSTITUTE(SUBSTITUTE(SUBSTITUTE(SUBSTITUTE(SUBSTITUTE(SUBSTITUTE(TRIM(M452),".",""),"/",""),"-","")," ",""),"(",""),")",""),"+",""),4)="0800")),"OK",IF(AND(LEN(SUBSTITUTE(SUBSTITUTE(SUBSTITUTE(SUBSTITUTE(SUBSTITUTE(SUBSTITUTE(SUBSTITUTE(TRIM(M452),".",""),"/",""),"-","")," ",""),"(",""),")",""),"+",""))=11,MID(SUBSTITUTE(SUBSTITUTE(SUBSTITUTE(SUBSTITUTE(SUBSTITUTE(SUBSTITUTE(SUBSTITUTE(TRIM(M452),".",""),"/",""),"-","")," ",""),"(",""),")",""),"+",""),3,1)="9"),"ERRO: é celular, use a coluna Celular","ERRO: DDD + 8 dígitos ou 0800 + 7")))</f>
      </c>
      <c r="X452" s="6">
        <f>IF(N452="","vazio",IF(AND(LEN(SUBSTITUTE(SUBSTITUTE(SUBSTITUTE(SUBSTITUTE(SUBSTITUTE(SUBSTITUTE(SUBSTITUTE(TRIM(N452),".",""),"/",""),"-","")," ",""),"(",""),")",""),"+",""))=11,MID(SUBSTITUTE(SUBSTITUTE(SUBSTITUTE(SUBSTITUTE(SUBSTITUTE(SUBSTITUTE(SUBSTITUTE(TRIM(N452),".",""),"/",""),"-","")," ",""),"(",""),")",""),"+",""),3,1)="9",LEFT(SUBSTITUTE(SUBSTITUTE(SUBSTITUTE(SUBSTITUTE(SUBSTITUTE(SUBSTITUTE(SUBSTITUTE(TRIM(N452),".",""),"/",""),"-","")," ",""),"(",""),")",""),"+",""),1)&lt;&gt;"0"),"OK",IF(LEN(SUBSTITUTE(SUBSTITUTE(SUBSTITUTE(SUBSTITUTE(SUBSTITUTE(SUBSTITUTE(SUBSTITUTE(TRIM(N452),".",""),"/",""),"-","")," ",""),"(",""),")",""),"+",""))=10,"ERRO: é fixo (ou falta o 9), use a coluna Telefone fixo","ERRO: DDD + 9 + 8 dígitos")))</f>
      </c>
      <c r="Y452" s="6">
        <f>IF(O452="","vazio",IF(AND(ISNUMBER(FIND("@",O452)),ISNUMBER(FIND(".",MID(O452,FIND("@",O452),99))),NOT(ISNUMBER(FIND(" ",TRIM(O452)))),NOT(ISNUMBER(FIND(";",O452))),NOT(ISNUMBER(FIND(",",O452)))),"OK","ERRO: um e-mail válido por linha"))</f>
      </c>
      <c r="Z452" s="6">
        <f>IF(AND(J452="",K452=""),"",IF(AND(J452&lt;&gt;"",K452&lt;&gt;""),"OK","pendente: só um nome (o GR completa ao converter)"))</f>
      </c>
      <c r="AA452" s="6">
        <f>IF(COUNTA(A452:S452)=0,"",IF(AND(A452&lt;&gt;"",B452&lt;&gt;"",C452&lt;&gt;"",D452&lt;&gt;"",E452&lt;&gt;"",F452&lt;&gt;"",G452&lt;&gt;"",H452&lt;&gt;"",OR(J452&lt;&gt;"",K452&lt;&gt;""),OR(M452&lt;&gt;"",N452&lt;&gt;"",O452&lt;&gt;"")),"OK","ERRO: faltam "&amp;IF(A452="","SDR; ","")&amp;IF(B452="","Proprietário; ","")&amp;IF(C452="","Origem; ","")&amp;IF(D452="","Temperatura; ","")&amp;IF(E452="","Segmento; ","")&amp;IF(F452="","Time/Cluster; ","")&amp;IF(G452="","CNPJ; ","")&amp;IF(H452="","Razão Social; ","")&amp;IF(AND(J452="",K452=""),"nome do contato; ","")&amp;IF(AND(M452="",N452="",O452=""),"telefone, celular ou e-mail; ","")))</f>
      </c>
      <c r="AB452" s="6">
        <f>IF(COUNTA(A452:S452)=0,"",IF(AND(U452="OK",V452="OK",LEFT(W452,4)&lt;&gt;"ERRO",LEFT(X452,4)&lt;&gt;"ERRO",LEFT(Y452,4)&lt;&gt;"ERRO",AA452="OK"),"OK","REVISAR"))</f>
      </c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5"/>
      <c r="K453" s="4"/>
      <c r="L453" s="4"/>
      <c r="M453" s="4"/>
      <c r="N453" s="4"/>
      <c r="O453" s="4"/>
      <c r="P453" s="4"/>
      <c r="Q453" s="4"/>
      <c r="R453" s="4"/>
      <c r="S453" s="4"/>
      <c r="T453" s="6">
        <f>IF(G453="","",SUBSTITUTE(SUBSTITUTE(SUBSTITUTE(SUBSTITUTE(SUBSTITUTE(SUBSTITUTE(SUBSTITUTE(TRIM(G453),".",""),"/",""),"-","")," ",""),"(",""),")",""),"+",""))</f>
      </c>
      <c r="U453" s="6">
        <f>IF(T453="","",IF(LEN(T453)&lt;&gt;14,"ERRO: "&amp;LEN(T453)&amp;" dígitos",IF(NOT(ISNUMBER(VALUE(T453))),"ERRO: não numérico",IF(LEN(SUBSTITUTE(T453,LEFT(T453,1),""))=0,"ERRO: dígitos repetidos",IF(AND(VALUE(MID(T453,13,1))=IF(MOD(SUMPRODUCT(--MID(T453,{1,2,3,4,5,6,7,8,9,10,11,12},1),{5,4,3,2,9,8,7,6,5,4,3,2}),11)&lt;2,0,11-MOD(SUMPRODUCT(--MID(T453,{1,2,3,4,5,6,7,8,9,10,11,12},1),{5,4,3,2,9,8,7,6,5,4,3,2}),11)),VALUE(MID(T453,14,1))=IF(MOD(SUMPRODUCT(--MID(T453,{1,2,3,4,5,6,7,8,9,10,11,12,13},1),{6,5,4,3,2,9,8,7,6,5,4,3,2}),11)&lt;2,0,11-MOD(SUMPRODUCT(--MID(T453,{1,2,3,4,5,6,7,8,9,10,11,12,13},1),{6,5,4,3,2,9,8,7,6,5,4,3,2}),11))),"OK","ERRO: dígito verificador")))))</f>
      </c>
      <c r="V453" s="6">
        <f>IF(T453="","",IF(COUNTIF($T$2:$T$1001,T453)&gt;1,"DUPLICADO","OK"))</f>
      </c>
      <c r="W453" s="6">
        <f>IF(M453="","vazio",IF(OR(AND(LEN(SUBSTITUTE(SUBSTITUTE(SUBSTITUTE(SUBSTITUTE(SUBSTITUTE(SUBSTITUTE(SUBSTITUTE(TRIM(M453),".",""),"/",""),"-","")," ",""),"(",""),")",""),"+",""))=10,LEFT(SUBSTITUTE(SUBSTITUTE(SUBSTITUTE(SUBSTITUTE(SUBSTITUTE(SUBSTITUTE(SUBSTITUTE(TRIM(M453),".",""),"/",""),"-","")," ",""),"(",""),")",""),"+",""),1)&lt;&gt;"0"),AND(LEN(SUBSTITUTE(SUBSTITUTE(SUBSTITUTE(SUBSTITUTE(SUBSTITUTE(SUBSTITUTE(SUBSTITUTE(TRIM(M453),".",""),"/",""),"-","")," ",""),"(",""),")",""),"+",""))=11,LEFT(SUBSTITUTE(SUBSTITUTE(SUBSTITUTE(SUBSTITUTE(SUBSTITUTE(SUBSTITUTE(SUBSTITUTE(TRIM(M453),".",""),"/",""),"-","")," ",""),"(",""),")",""),"+",""),4)="0800")),"OK",IF(AND(LEN(SUBSTITUTE(SUBSTITUTE(SUBSTITUTE(SUBSTITUTE(SUBSTITUTE(SUBSTITUTE(SUBSTITUTE(TRIM(M453),".",""),"/",""),"-","")," ",""),"(",""),")",""),"+",""))=11,MID(SUBSTITUTE(SUBSTITUTE(SUBSTITUTE(SUBSTITUTE(SUBSTITUTE(SUBSTITUTE(SUBSTITUTE(TRIM(M453),".",""),"/",""),"-","")," ",""),"(",""),")",""),"+",""),3,1)="9"),"ERRO: é celular, use a coluna Celular","ERRO: DDD + 8 dígitos ou 0800 + 7")))</f>
      </c>
      <c r="X453" s="6">
        <f>IF(N453="","vazio",IF(AND(LEN(SUBSTITUTE(SUBSTITUTE(SUBSTITUTE(SUBSTITUTE(SUBSTITUTE(SUBSTITUTE(SUBSTITUTE(TRIM(N453),".",""),"/",""),"-","")," ",""),"(",""),")",""),"+",""))=11,MID(SUBSTITUTE(SUBSTITUTE(SUBSTITUTE(SUBSTITUTE(SUBSTITUTE(SUBSTITUTE(SUBSTITUTE(TRIM(N453),".",""),"/",""),"-","")," ",""),"(",""),")",""),"+",""),3,1)="9",LEFT(SUBSTITUTE(SUBSTITUTE(SUBSTITUTE(SUBSTITUTE(SUBSTITUTE(SUBSTITUTE(SUBSTITUTE(TRIM(N453),".",""),"/",""),"-","")," ",""),"(",""),")",""),"+",""),1)&lt;&gt;"0"),"OK",IF(LEN(SUBSTITUTE(SUBSTITUTE(SUBSTITUTE(SUBSTITUTE(SUBSTITUTE(SUBSTITUTE(SUBSTITUTE(TRIM(N453),".",""),"/",""),"-","")," ",""),"(",""),")",""),"+",""))=10,"ERRO: é fixo (ou falta o 9), use a coluna Telefone fixo","ERRO: DDD + 9 + 8 dígitos")))</f>
      </c>
      <c r="Y453" s="6">
        <f>IF(O453="","vazio",IF(AND(ISNUMBER(FIND("@",O453)),ISNUMBER(FIND(".",MID(O453,FIND("@",O453),99))),NOT(ISNUMBER(FIND(" ",TRIM(O453)))),NOT(ISNUMBER(FIND(";",O453))),NOT(ISNUMBER(FIND(",",O453)))),"OK","ERRO: um e-mail válido por linha"))</f>
      </c>
      <c r="Z453" s="6">
        <f>IF(AND(J453="",K453=""),"",IF(AND(J453&lt;&gt;"",K453&lt;&gt;""),"OK","pendente: só um nome (o GR completa ao converter)"))</f>
      </c>
      <c r="AA453" s="6">
        <f>IF(COUNTA(A453:S453)=0,"",IF(AND(A453&lt;&gt;"",B453&lt;&gt;"",C453&lt;&gt;"",D453&lt;&gt;"",E453&lt;&gt;"",F453&lt;&gt;"",G453&lt;&gt;"",H453&lt;&gt;"",OR(J453&lt;&gt;"",K453&lt;&gt;""),OR(M453&lt;&gt;"",N453&lt;&gt;"",O453&lt;&gt;"")),"OK","ERRO: faltam "&amp;IF(A453="","SDR; ","")&amp;IF(B453="","Proprietário; ","")&amp;IF(C453="","Origem; ","")&amp;IF(D453="","Temperatura; ","")&amp;IF(E453="","Segmento; ","")&amp;IF(F453="","Time/Cluster; ","")&amp;IF(G453="","CNPJ; ","")&amp;IF(H453="","Razão Social; ","")&amp;IF(AND(J453="",K453=""),"nome do contato; ","")&amp;IF(AND(M453="",N453="",O453=""),"telefone, celular ou e-mail; ","")))</f>
      </c>
      <c r="AB453" s="6">
        <f>IF(COUNTA(A453:S453)=0,"",IF(AND(U453="OK",V453="OK",LEFT(W453,4)&lt;&gt;"ERRO",LEFT(X453,4)&lt;&gt;"ERRO",LEFT(Y453,4)&lt;&gt;"ERRO",AA453="OK"),"OK","REVISAR"))</f>
      </c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5"/>
      <c r="K454" s="4"/>
      <c r="L454" s="4"/>
      <c r="M454" s="4"/>
      <c r="N454" s="4"/>
      <c r="O454" s="4"/>
      <c r="P454" s="4"/>
      <c r="Q454" s="4"/>
      <c r="R454" s="4"/>
      <c r="S454" s="4"/>
      <c r="T454" s="6">
        <f>IF(G454="","",SUBSTITUTE(SUBSTITUTE(SUBSTITUTE(SUBSTITUTE(SUBSTITUTE(SUBSTITUTE(SUBSTITUTE(TRIM(G454),".",""),"/",""),"-","")," ",""),"(",""),")",""),"+",""))</f>
      </c>
      <c r="U454" s="6">
        <f>IF(T454="","",IF(LEN(T454)&lt;&gt;14,"ERRO: "&amp;LEN(T454)&amp;" dígitos",IF(NOT(ISNUMBER(VALUE(T454))),"ERRO: não numérico",IF(LEN(SUBSTITUTE(T454,LEFT(T454,1),""))=0,"ERRO: dígitos repetidos",IF(AND(VALUE(MID(T454,13,1))=IF(MOD(SUMPRODUCT(--MID(T454,{1,2,3,4,5,6,7,8,9,10,11,12},1),{5,4,3,2,9,8,7,6,5,4,3,2}),11)&lt;2,0,11-MOD(SUMPRODUCT(--MID(T454,{1,2,3,4,5,6,7,8,9,10,11,12},1),{5,4,3,2,9,8,7,6,5,4,3,2}),11)),VALUE(MID(T454,14,1))=IF(MOD(SUMPRODUCT(--MID(T454,{1,2,3,4,5,6,7,8,9,10,11,12,13},1),{6,5,4,3,2,9,8,7,6,5,4,3,2}),11)&lt;2,0,11-MOD(SUMPRODUCT(--MID(T454,{1,2,3,4,5,6,7,8,9,10,11,12,13},1),{6,5,4,3,2,9,8,7,6,5,4,3,2}),11))),"OK","ERRO: dígito verificador")))))</f>
      </c>
      <c r="V454" s="6">
        <f>IF(T454="","",IF(COUNTIF($T$2:$T$1001,T454)&gt;1,"DUPLICADO","OK"))</f>
      </c>
      <c r="W454" s="6">
        <f>IF(M454="","vazio",IF(OR(AND(LEN(SUBSTITUTE(SUBSTITUTE(SUBSTITUTE(SUBSTITUTE(SUBSTITUTE(SUBSTITUTE(SUBSTITUTE(TRIM(M454),".",""),"/",""),"-","")," ",""),"(",""),")",""),"+",""))=10,LEFT(SUBSTITUTE(SUBSTITUTE(SUBSTITUTE(SUBSTITUTE(SUBSTITUTE(SUBSTITUTE(SUBSTITUTE(TRIM(M454),".",""),"/",""),"-","")," ",""),"(",""),")",""),"+",""),1)&lt;&gt;"0"),AND(LEN(SUBSTITUTE(SUBSTITUTE(SUBSTITUTE(SUBSTITUTE(SUBSTITUTE(SUBSTITUTE(SUBSTITUTE(TRIM(M454),".",""),"/",""),"-","")," ",""),"(",""),")",""),"+",""))=11,LEFT(SUBSTITUTE(SUBSTITUTE(SUBSTITUTE(SUBSTITUTE(SUBSTITUTE(SUBSTITUTE(SUBSTITUTE(TRIM(M454),".",""),"/",""),"-","")," ",""),"(",""),")",""),"+",""),4)="0800")),"OK",IF(AND(LEN(SUBSTITUTE(SUBSTITUTE(SUBSTITUTE(SUBSTITUTE(SUBSTITUTE(SUBSTITUTE(SUBSTITUTE(TRIM(M454),".",""),"/",""),"-","")," ",""),"(",""),")",""),"+",""))=11,MID(SUBSTITUTE(SUBSTITUTE(SUBSTITUTE(SUBSTITUTE(SUBSTITUTE(SUBSTITUTE(SUBSTITUTE(TRIM(M454),".",""),"/",""),"-","")," ",""),"(",""),")",""),"+",""),3,1)="9"),"ERRO: é celular, use a coluna Celular","ERRO: DDD + 8 dígitos ou 0800 + 7")))</f>
      </c>
      <c r="X454" s="6">
        <f>IF(N454="","vazio",IF(AND(LEN(SUBSTITUTE(SUBSTITUTE(SUBSTITUTE(SUBSTITUTE(SUBSTITUTE(SUBSTITUTE(SUBSTITUTE(TRIM(N454),".",""),"/",""),"-","")," ",""),"(",""),")",""),"+",""))=11,MID(SUBSTITUTE(SUBSTITUTE(SUBSTITUTE(SUBSTITUTE(SUBSTITUTE(SUBSTITUTE(SUBSTITUTE(TRIM(N454),".",""),"/",""),"-","")," ",""),"(",""),")",""),"+",""),3,1)="9",LEFT(SUBSTITUTE(SUBSTITUTE(SUBSTITUTE(SUBSTITUTE(SUBSTITUTE(SUBSTITUTE(SUBSTITUTE(TRIM(N454),".",""),"/",""),"-","")," ",""),"(",""),")",""),"+",""),1)&lt;&gt;"0"),"OK",IF(LEN(SUBSTITUTE(SUBSTITUTE(SUBSTITUTE(SUBSTITUTE(SUBSTITUTE(SUBSTITUTE(SUBSTITUTE(TRIM(N454),".",""),"/",""),"-","")," ",""),"(",""),")",""),"+",""))=10,"ERRO: é fixo (ou falta o 9), use a coluna Telefone fixo","ERRO: DDD + 9 + 8 dígitos")))</f>
      </c>
      <c r="Y454" s="6">
        <f>IF(O454="","vazio",IF(AND(ISNUMBER(FIND("@",O454)),ISNUMBER(FIND(".",MID(O454,FIND("@",O454),99))),NOT(ISNUMBER(FIND(" ",TRIM(O454)))),NOT(ISNUMBER(FIND(";",O454))),NOT(ISNUMBER(FIND(",",O454)))),"OK","ERRO: um e-mail válido por linha"))</f>
      </c>
      <c r="Z454" s="6">
        <f>IF(AND(J454="",K454=""),"",IF(AND(J454&lt;&gt;"",K454&lt;&gt;""),"OK","pendente: só um nome (o GR completa ao converter)"))</f>
      </c>
      <c r="AA454" s="6">
        <f>IF(COUNTA(A454:S454)=0,"",IF(AND(A454&lt;&gt;"",B454&lt;&gt;"",C454&lt;&gt;"",D454&lt;&gt;"",E454&lt;&gt;"",F454&lt;&gt;"",G454&lt;&gt;"",H454&lt;&gt;"",OR(J454&lt;&gt;"",K454&lt;&gt;""),OR(M454&lt;&gt;"",N454&lt;&gt;"",O454&lt;&gt;"")),"OK","ERRO: faltam "&amp;IF(A454="","SDR; ","")&amp;IF(B454="","Proprietário; ","")&amp;IF(C454="","Origem; ","")&amp;IF(D454="","Temperatura; ","")&amp;IF(E454="","Segmento; ","")&amp;IF(F454="","Time/Cluster; ","")&amp;IF(G454="","CNPJ; ","")&amp;IF(H454="","Razão Social; ","")&amp;IF(AND(J454="",K454=""),"nome do contato; ","")&amp;IF(AND(M454="",N454="",O454=""),"telefone, celular ou e-mail; ","")))</f>
      </c>
      <c r="AB454" s="6">
        <f>IF(COUNTA(A454:S454)=0,"",IF(AND(U454="OK",V454="OK",LEFT(W454,4)&lt;&gt;"ERRO",LEFT(X454,4)&lt;&gt;"ERRO",LEFT(Y454,4)&lt;&gt;"ERRO",AA454="OK"),"OK","REVISAR"))</f>
      </c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5"/>
      <c r="K455" s="4"/>
      <c r="L455" s="4"/>
      <c r="M455" s="4"/>
      <c r="N455" s="4"/>
      <c r="O455" s="4"/>
      <c r="P455" s="4"/>
      <c r="Q455" s="4"/>
      <c r="R455" s="4"/>
      <c r="S455" s="4"/>
      <c r="T455" s="6">
        <f>IF(G455="","",SUBSTITUTE(SUBSTITUTE(SUBSTITUTE(SUBSTITUTE(SUBSTITUTE(SUBSTITUTE(SUBSTITUTE(TRIM(G455),".",""),"/",""),"-","")," ",""),"(",""),")",""),"+",""))</f>
      </c>
      <c r="U455" s="6">
        <f>IF(T455="","",IF(LEN(T455)&lt;&gt;14,"ERRO: "&amp;LEN(T455)&amp;" dígitos",IF(NOT(ISNUMBER(VALUE(T455))),"ERRO: não numérico",IF(LEN(SUBSTITUTE(T455,LEFT(T455,1),""))=0,"ERRO: dígitos repetidos",IF(AND(VALUE(MID(T455,13,1))=IF(MOD(SUMPRODUCT(--MID(T455,{1,2,3,4,5,6,7,8,9,10,11,12},1),{5,4,3,2,9,8,7,6,5,4,3,2}),11)&lt;2,0,11-MOD(SUMPRODUCT(--MID(T455,{1,2,3,4,5,6,7,8,9,10,11,12},1),{5,4,3,2,9,8,7,6,5,4,3,2}),11)),VALUE(MID(T455,14,1))=IF(MOD(SUMPRODUCT(--MID(T455,{1,2,3,4,5,6,7,8,9,10,11,12,13},1),{6,5,4,3,2,9,8,7,6,5,4,3,2}),11)&lt;2,0,11-MOD(SUMPRODUCT(--MID(T455,{1,2,3,4,5,6,7,8,9,10,11,12,13},1),{6,5,4,3,2,9,8,7,6,5,4,3,2}),11))),"OK","ERRO: dígito verificador")))))</f>
      </c>
      <c r="V455" s="6">
        <f>IF(T455="","",IF(COUNTIF($T$2:$T$1001,T455)&gt;1,"DUPLICADO","OK"))</f>
      </c>
      <c r="W455" s="6">
        <f>IF(M455="","vazio",IF(OR(AND(LEN(SUBSTITUTE(SUBSTITUTE(SUBSTITUTE(SUBSTITUTE(SUBSTITUTE(SUBSTITUTE(SUBSTITUTE(TRIM(M455),".",""),"/",""),"-","")," ",""),"(",""),")",""),"+",""))=10,LEFT(SUBSTITUTE(SUBSTITUTE(SUBSTITUTE(SUBSTITUTE(SUBSTITUTE(SUBSTITUTE(SUBSTITUTE(TRIM(M455),".",""),"/",""),"-","")," ",""),"(",""),")",""),"+",""),1)&lt;&gt;"0"),AND(LEN(SUBSTITUTE(SUBSTITUTE(SUBSTITUTE(SUBSTITUTE(SUBSTITUTE(SUBSTITUTE(SUBSTITUTE(TRIM(M455),".",""),"/",""),"-","")," ",""),"(",""),")",""),"+",""))=11,LEFT(SUBSTITUTE(SUBSTITUTE(SUBSTITUTE(SUBSTITUTE(SUBSTITUTE(SUBSTITUTE(SUBSTITUTE(TRIM(M455),".",""),"/",""),"-","")," ",""),"(",""),")",""),"+",""),4)="0800")),"OK",IF(AND(LEN(SUBSTITUTE(SUBSTITUTE(SUBSTITUTE(SUBSTITUTE(SUBSTITUTE(SUBSTITUTE(SUBSTITUTE(TRIM(M455),".",""),"/",""),"-","")," ",""),"(",""),")",""),"+",""))=11,MID(SUBSTITUTE(SUBSTITUTE(SUBSTITUTE(SUBSTITUTE(SUBSTITUTE(SUBSTITUTE(SUBSTITUTE(TRIM(M455),".",""),"/",""),"-","")," ",""),"(",""),")",""),"+",""),3,1)="9"),"ERRO: é celular, use a coluna Celular","ERRO: DDD + 8 dígitos ou 0800 + 7")))</f>
      </c>
      <c r="X455" s="6">
        <f>IF(N455="","vazio",IF(AND(LEN(SUBSTITUTE(SUBSTITUTE(SUBSTITUTE(SUBSTITUTE(SUBSTITUTE(SUBSTITUTE(SUBSTITUTE(TRIM(N455),".",""),"/",""),"-","")," ",""),"(",""),")",""),"+",""))=11,MID(SUBSTITUTE(SUBSTITUTE(SUBSTITUTE(SUBSTITUTE(SUBSTITUTE(SUBSTITUTE(SUBSTITUTE(TRIM(N455),".",""),"/",""),"-","")," ",""),"(",""),")",""),"+",""),3,1)="9",LEFT(SUBSTITUTE(SUBSTITUTE(SUBSTITUTE(SUBSTITUTE(SUBSTITUTE(SUBSTITUTE(SUBSTITUTE(TRIM(N455),".",""),"/",""),"-","")," ",""),"(",""),")",""),"+",""),1)&lt;&gt;"0"),"OK",IF(LEN(SUBSTITUTE(SUBSTITUTE(SUBSTITUTE(SUBSTITUTE(SUBSTITUTE(SUBSTITUTE(SUBSTITUTE(TRIM(N455),".",""),"/",""),"-","")," ",""),"(",""),")",""),"+",""))=10,"ERRO: é fixo (ou falta o 9), use a coluna Telefone fixo","ERRO: DDD + 9 + 8 dígitos")))</f>
      </c>
      <c r="Y455" s="6">
        <f>IF(O455="","vazio",IF(AND(ISNUMBER(FIND("@",O455)),ISNUMBER(FIND(".",MID(O455,FIND("@",O455),99))),NOT(ISNUMBER(FIND(" ",TRIM(O455)))),NOT(ISNUMBER(FIND(";",O455))),NOT(ISNUMBER(FIND(",",O455)))),"OK","ERRO: um e-mail válido por linha"))</f>
      </c>
      <c r="Z455" s="6">
        <f>IF(AND(J455="",K455=""),"",IF(AND(J455&lt;&gt;"",K455&lt;&gt;""),"OK","pendente: só um nome (o GR completa ao converter)"))</f>
      </c>
      <c r="AA455" s="6">
        <f>IF(COUNTA(A455:S455)=0,"",IF(AND(A455&lt;&gt;"",B455&lt;&gt;"",C455&lt;&gt;"",D455&lt;&gt;"",E455&lt;&gt;"",F455&lt;&gt;"",G455&lt;&gt;"",H455&lt;&gt;"",OR(J455&lt;&gt;"",K455&lt;&gt;""),OR(M455&lt;&gt;"",N455&lt;&gt;"",O455&lt;&gt;"")),"OK","ERRO: faltam "&amp;IF(A455="","SDR; ","")&amp;IF(B455="","Proprietário; ","")&amp;IF(C455="","Origem; ","")&amp;IF(D455="","Temperatura; ","")&amp;IF(E455="","Segmento; ","")&amp;IF(F455="","Time/Cluster; ","")&amp;IF(G455="","CNPJ; ","")&amp;IF(H455="","Razão Social; ","")&amp;IF(AND(J455="",K455=""),"nome do contato; ","")&amp;IF(AND(M455="",N455="",O455=""),"telefone, celular ou e-mail; ","")))</f>
      </c>
      <c r="AB455" s="6">
        <f>IF(COUNTA(A455:S455)=0,"",IF(AND(U455="OK",V455="OK",LEFT(W455,4)&lt;&gt;"ERRO",LEFT(X455,4)&lt;&gt;"ERRO",LEFT(Y455,4)&lt;&gt;"ERRO",AA455="OK"),"OK","REVISAR"))</f>
      </c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5"/>
      <c r="K456" s="4"/>
      <c r="L456" s="4"/>
      <c r="M456" s="4"/>
      <c r="N456" s="4"/>
      <c r="O456" s="4"/>
      <c r="P456" s="4"/>
      <c r="Q456" s="4"/>
      <c r="R456" s="4"/>
      <c r="S456" s="4"/>
      <c r="T456" s="6">
        <f>IF(G456="","",SUBSTITUTE(SUBSTITUTE(SUBSTITUTE(SUBSTITUTE(SUBSTITUTE(SUBSTITUTE(SUBSTITUTE(TRIM(G456),".",""),"/",""),"-","")," ",""),"(",""),")",""),"+",""))</f>
      </c>
      <c r="U456" s="6">
        <f>IF(T456="","",IF(LEN(T456)&lt;&gt;14,"ERRO: "&amp;LEN(T456)&amp;" dígitos",IF(NOT(ISNUMBER(VALUE(T456))),"ERRO: não numérico",IF(LEN(SUBSTITUTE(T456,LEFT(T456,1),""))=0,"ERRO: dígitos repetidos",IF(AND(VALUE(MID(T456,13,1))=IF(MOD(SUMPRODUCT(--MID(T456,{1,2,3,4,5,6,7,8,9,10,11,12},1),{5,4,3,2,9,8,7,6,5,4,3,2}),11)&lt;2,0,11-MOD(SUMPRODUCT(--MID(T456,{1,2,3,4,5,6,7,8,9,10,11,12},1),{5,4,3,2,9,8,7,6,5,4,3,2}),11)),VALUE(MID(T456,14,1))=IF(MOD(SUMPRODUCT(--MID(T456,{1,2,3,4,5,6,7,8,9,10,11,12,13},1),{6,5,4,3,2,9,8,7,6,5,4,3,2}),11)&lt;2,0,11-MOD(SUMPRODUCT(--MID(T456,{1,2,3,4,5,6,7,8,9,10,11,12,13},1),{6,5,4,3,2,9,8,7,6,5,4,3,2}),11))),"OK","ERRO: dígito verificador")))))</f>
      </c>
      <c r="V456" s="6">
        <f>IF(T456="","",IF(COUNTIF($T$2:$T$1001,T456)&gt;1,"DUPLICADO","OK"))</f>
      </c>
      <c r="W456" s="6">
        <f>IF(M456="","vazio",IF(OR(AND(LEN(SUBSTITUTE(SUBSTITUTE(SUBSTITUTE(SUBSTITUTE(SUBSTITUTE(SUBSTITUTE(SUBSTITUTE(TRIM(M456),".",""),"/",""),"-","")," ",""),"(",""),")",""),"+",""))=10,LEFT(SUBSTITUTE(SUBSTITUTE(SUBSTITUTE(SUBSTITUTE(SUBSTITUTE(SUBSTITUTE(SUBSTITUTE(TRIM(M456),".",""),"/",""),"-","")," ",""),"(",""),")",""),"+",""),1)&lt;&gt;"0"),AND(LEN(SUBSTITUTE(SUBSTITUTE(SUBSTITUTE(SUBSTITUTE(SUBSTITUTE(SUBSTITUTE(SUBSTITUTE(TRIM(M456),".",""),"/",""),"-","")," ",""),"(",""),")",""),"+",""))=11,LEFT(SUBSTITUTE(SUBSTITUTE(SUBSTITUTE(SUBSTITUTE(SUBSTITUTE(SUBSTITUTE(SUBSTITUTE(TRIM(M456),".",""),"/",""),"-","")," ",""),"(",""),")",""),"+",""),4)="0800")),"OK",IF(AND(LEN(SUBSTITUTE(SUBSTITUTE(SUBSTITUTE(SUBSTITUTE(SUBSTITUTE(SUBSTITUTE(SUBSTITUTE(TRIM(M456),".",""),"/",""),"-","")," ",""),"(",""),")",""),"+",""))=11,MID(SUBSTITUTE(SUBSTITUTE(SUBSTITUTE(SUBSTITUTE(SUBSTITUTE(SUBSTITUTE(SUBSTITUTE(TRIM(M456),".",""),"/",""),"-","")," ",""),"(",""),")",""),"+",""),3,1)="9"),"ERRO: é celular, use a coluna Celular","ERRO: DDD + 8 dígitos ou 0800 + 7")))</f>
      </c>
      <c r="X456" s="6">
        <f>IF(N456="","vazio",IF(AND(LEN(SUBSTITUTE(SUBSTITUTE(SUBSTITUTE(SUBSTITUTE(SUBSTITUTE(SUBSTITUTE(SUBSTITUTE(TRIM(N456),".",""),"/",""),"-","")," ",""),"(",""),")",""),"+",""))=11,MID(SUBSTITUTE(SUBSTITUTE(SUBSTITUTE(SUBSTITUTE(SUBSTITUTE(SUBSTITUTE(SUBSTITUTE(TRIM(N456),".",""),"/",""),"-","")," ",""),"(",""),")",""),"+",""),3,1)="9",LEFT(SUBSTITUTE(SUBSTITUTE(SUBSTITUTE(SUBSTITUTE(SUBSTITUTE(SUBSTITUTE(SUBSTITUTE(TRIM(N456),".",""),"/",""),"-","")," ",""),"(",""),")",""),"+",""),1)&lt;&gt;"0"),"OK",IF(LEN(SUBSTITUTE(SUBSTITUTE(SUBSTITUTE(SUBSTITUTE(SUBSTITUTE(SUBSTITUTE(SUBSTITUTE(TRIM(N456),".",""),"/",""),"-","")," ",""),"(",""),")",""),"+",""))=10,"ERRO: é fixo (ou falta o 9), use a coluna Telefone fixo","ERRO: DDD + 9 + 8 dígitos")))</f>
      </c>
      <c r="Y456" s="6">
        <f>IF(O456="","vazio",IF(AND(ISNUMBER(FIND("@",O456)),ISNUMBER(FIND(".",MID(O456,FIND("@",O456),99))),NOT(ISNUMBER(FIND(" ",TRIM(O456)))),NOT(ISNUMBER(FIND(";",O456))),NOT(ISNUMBER(FIND(",",O456)))),"OK","ERRO: um e-mail válido por linha"))</f>
      </c>
      <c r="Z456" s="6">
        <f>IF(AND(J456="",K456=""),"",IF(AND(J456&lt;&gt;"",K456&lt;&gt;""),"OK","pendente: só um nome (o GR completa ao converter)"))</f>
      </c>
      <c r="AA456" s="6">
        <f>IF(COUNTA(A456:S456)=0,"",IF(AND(A456&lt;&gt;"",B456&lt;&gt;"",C456&lt;&gt;"",D456&lt;&gt;"",E456&lt;&gt;"",F456&lt;&gt;"",G456&lt;&gt;"",H456&lt;&gt;"",OR(J456&lt;&gt;"",K456&lt;&gt;""),OR(M456&lt;&gt;"",N456&lt;&gt;"",O456&lt;&gt;"")),"OK","ERRO: faltam "&amp;IF(A456="","SDR; ","")&amp;IF(B456="","Proprietário; ","")&amp;IF(C456="","Origem; ","")&amp;IF(D456="","Temperatura; ","")&amp;IF(E456="","Segmento; ","")&amp;IF(F456="","Time/Cluster; ","")&amp;IF(G456="","CNPJ; ","")&amp;IF(H456="","Razão Social; ","")&amp;IF(AND(J456="",K456=""),"nome do contato; ","")&amp;IF(AND(M456="",N456="",O456=""),"telefone, celular ou e-mail; ","")))</f>
      </c>
      <c r="AB456" s="6">
        <f>IF(COUNTA(A456:S456)=0,"",IF(AND(U456="OK",V456="OK",LEFT(W456,4)&lt;&gt;"ERRO",LEFT(X456,4)&lt;&gt;"ERRO",LEFT(Y456,4)&lt;&gt;"ERRO",AA456="OK"),"OK","REVISAR"))</f>
      </c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5"/>
      <c r="K457" s="4"/>
      <c r="L457" s="4"/>
      <c r="M457" s="4"/>
      <c r="N457" s="4"/>
      <c r="O457" s="4"/>
      <c r="P457" s="4"/>
      <c r="Q457" s="4"/>
      <c r="R457" s="4"/>
      <c r="S457" s="4"/>
      <c r="T457" s="6">
        <f>IF(G457="","",SUBSTITUTE(SUBSTITUTE(SUBSTITUTE(SUBSTITUTE(SUBSTITUTE(SUBSTITUTE(SUBSTITUTE(TRIM(G457),".",""),"/",""),"-","")," ",""),"(",""),")",""),"+",""))</f>
      </c>
      <c r="U457" s="6">
        <f>IF(T457="","",IF(LEN(T457)&lt;&gt;14,"ERRO: "&amp;LEN(T457)&amp;" dígitos",IF(NOT(ISNUMBER(VALUE(T457))),"ERRO: não numérico",IF(LEN(SUBSTITUTE(T457,LEFT(T457,1),""))=0,"ERRO: dígitos repetidos",IF(AND(VALUE(MID(T457,13,1))=IF(MOD(SUMPRODUCT(--MID(T457,{1,2,3,4,5,6,7,8,9,10,11,12},1),{5,4,3,2,9,8,7,6,5,4,3,2}),11)&lt;2,0,11-MOD(SUMPRODUCT(--MID(T457,{1,2,3,4,5,6,7,8,9,10,11,12},1),{5,4,3,2,9,8,7,6,5,4,3,2}),11)),VALUE(MID(T457,14,1))=IF(MOD(SUMPRODUCT(--MID(T457,{1,2,3,4,5,6,7,8,9,10,11,12,13},1),{6,5,4,3,2,9,8,7,6,5,4,3,2}),11)&lt;2,0,11-MOD(SUMPRODUCT(--MID(T457,{1,2,3,4,5,6,7,8,9,10,11,12,13},1),{6,5,4,3,2,9,8,7,6,5,4,3,2}),11))),"OK","ERRO: dígito verificador")))))</f>
      </c>
      <c r="V457" s="6">
        <f>IF(T457="","",IF(COUNTIF($T$2:$T$1001,T457)&gt;1,"DUPLICADO","OK"))</f>
      </c>
      <c r="W457" s="6">
        <f>IF(M457="","vazio",IF(OR(AND(LEN(SUBSTITUTE(SUBSTITUTE(SUBSTITUTE(SUBSTITUTE(SUBSTITUTE(SUBSTITUTE(SUBSTITUTE(TRIM(M457),".",""),"/",""),"-","")," ",""),"(",""),")",""),"+",""))=10,LEFT(SUBSTITUTE(SUBSTITUTE(SUBSTITUTE(SUBSTITUTE(SUBSTITUTE(SUBSTITUTE(SUBSTITUTE(TRIM(M457),".",""),"/",""),"-","")," ",""),"(",""),")",""),"+",""),1)&lt;&gt;"0"),AND(LEN(SUBSTITUTE(SUBSTITUTE(SUBSTITUTE(SUBSTITUTE(SUBSTITUTE(SUBSTITUTE(SUBSTITUTE(TRIM(M457),".",""),"/",""),"-","")," ",""),"(",""),")",""),"+",""))=11,LEFT(SUBSTITUTE(SUBSTITUTE(SUBSTITUTE(SUBSTITUTE(SUBSTITUTE(SUBSTITUTE(SUBSTITUTE(TRIM(M457),".",""),"/",""),"-","")," ",""),"(",""),")",""),"+",""),4)="0800")),"OK",IF(AND(LEN(SUBSTITUTE(SUBSTITUTE(SUBSTITUTE(SUBSTITUTE(SUBSTITUTE(SUBSTITUTE(SUBSTITUTE(TRIM(M457),".",""),"/",""),"-","")," ",""),"(",""),")",""),"+",""))=11,MID(SUBSTITUTE(SUBSTITUTE(SUBSTITUTE(SUBSTITUTE(SUBSTITUTE(SUBSTITUTE(SUBSTITUTE(TRIM(M457),".",""),"/",""),"-","")," ",""),"(",""),")",""),"+",""),3,1)="9"),"ERRO: é celular, use a coluna Celular","ERRO: DDD + 8 dígitos ou 0800 + 7")))</f>
      </c>
      <c r="X457" s="6">
        <f>IF(N457="","vazio",IF(AND(LEN(SUBSTITUTE(SUBSTITUTE(SUBSTITUTE(SUBSTITUTE(SUBSTITUTE(SUBSTITUTE(SUBSTITUTE(TRIM(N457),".",""),"/",""),"-","")," ",""),"(",""),")",""),"+",""))=11,MID(SUBSTITUTE(SUBSTITUTE(SUBSTITUTE(SUBSTITUTE(SUBSTITUTE(SUBSTITUTE(SUBSTITUTE(TRIM(N457),".",""),"/",""),"-","")," ",""),"(",""),")",""),"+",""),3,1)="9",LEFT(SUBSTITUTE(SUBSTITUTE(SUBSTITUTE(SUBSTITUTE(SUBSTITUTE(SUBSTITUTE(SUBSTITUTE(TRIM(N457),".",""),"/",""),"-","")," ",""),"(",""),")",""),"+",""),1)&lt;&gt;"0"),"OK",IF(LEN(SUBSTITUTE(SUBSTITUTE(SUBSTITUTE(SUBSTITUTE(SUBSTITUTE(SUBSTITUTE(SUBSTITUTE(TRIM(N457),".",""),"/",""),"-","")," ",""),"(",""),")",""),"+",""))=10,"ERRO: é fixo (ou falta o 9), use a coluna Telefone fixo","ERRO: DDD + 9 + 8 dígitos")))</f>
      </c>
      <c r="Y457" s="6">
        <f>IF(O457="","vazio",IF(AND(ISNUMBER(FIND("@",O457)),ISNUMBER(FIND(".",MID(O457,FIND("@",O457),99))),NOT(ISNUMBER(FIND(" ",TRIM(O457)))),NOT(ISNUMBER(FIND(";",O457))),NOT(ISNUMBER(FIND(",",O457)))),"OK","ERRO: um e-mail válido por linha"))</f>
      </c>
      <c r="Z457" s="6">
        <f>IF(AND(J457="",K457=""),"",IF(AND(J457&lt;&gt;"",K457&lt;&gt;""),"OK","pendente: só um nome (o GR completa ao converter)"))</f>
      </c>
      <c r="AA457" s="6">
        <f>IF(COUNTA(A457:S457)=0,"",IF(AND(A457&lt;&gt;"",B457&lt;&gt;"",C457&lt;&gt;"",D457&lt;&gt;"",E457&lt;&gt;"",F457&lt;&gt;"",G457&lt;&gt;"",H457&lt;&gt;"",OR(J457&lt;&gt;"",K457&lt;&gt;""),OR(M457&lt;&gt;"",N457&lt;&gt;"",O457&lt;&gt;"")),"OK","ERRO: faltam "&amp;IF(A457="","SDR; ","")&amp;IF(B457="","Proprietário; ","")&amp;IF(C457="","Origem; ","")&amp;IF(D457="","Temperatura; ","")&amp;IF(E457="","Segmento; ","")&amp;IF(F457="","Time/Cluster; ","")&amp;IF(G457="","CNPJ; ","")&amp;IF(H457="","Razão Social; ","")&amp;IF(AND(J457="",K457=""),"nome do contato; ","")&amp;IF(AND(M457="",N457="",O457=""),"telefone, celular ou e-mail; ","")))</f>
      </c>
      <c r="AB457" s="6">
        <f>IF(COUNTA(A457:S457)=0,"",IF(AND(U457="OK",V457="OK",LEFT(W457,4)&lt;&gt;"ERRO",LEFT(X457,4)&lt;&gt;"ERRO",LEFT(Y457,4)&lt;&gt;"ERRO",AA457="OK"),"OK","REVISAR"))</f>
      </c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5"/>
      <c r="K458" s="4"/>
      <c r="L458" s="4"/>
      <c r="M458" s="4"/>
      <c r="N458" s="4"/>
      <c r="O458" s="4"/>
      <c r="P458" s="4"/>
      <c r="Q458" s="4"/>
      <c r="R458" s="4"/>
      <c r="S458" s="4"/>
      <c r="T458" s="6">
        <f>IF(G458="","",SUBSTITUTE(SUBSTITUTE(SUBSTITUTE(SUBSTITUTE(SUBSTITUTE(SUBSTITUTE(SUBSTITUTE(TRIM(G458),".",""),"/",""),"-","")," ",""),"(",""),")",""),"+",""))</f>
      </c>
      <c r="U458" s="6">
        <f>IF(T458="","",IF(LEN(T458)&lt;&gt;14,"ERRO: "&amp;LEN(T458)&amp;" dígitos",IF(NOT(ISNUMBER(VALUE(T458))),"ERRO: não numérico",IF(LEN(SUBSTITUTE(T458,LEFT(T458,1),""))=0,"ERRO: dígitos repetidos",IF(AND(VALUE(MID(T458,13,1))=IF(MOD(SUMPRODUCT(--MID(T458,{1,2,3,4,5,6,7,8,9,10,11,12},1),{5,4,3,2,9,8,7,6,5,4,3,2}),11)&lt;2,0,11-MOD(SUMPRODUCT(--MID(T458,{1,2,3,4,5,6,7,8,9,10,11,12},1),{5,4,3,2,9,8,7,6,5,4,3,2}),11)),VALUE(MID(T458,14,1))=IF(MOD(SUMPRODUCT(--MID(T458,{1,2,3,4,5,6,7,8,9,10,11,12,13},1),{6,5,4,3,2,9,8,7,6,5,4,3,2}),11)&lt;2,0,11-MOD(SUMPRODUCT(--MID(T458,{1,2,3,4,5,6,7,8,9,10,11,12,13},1),{6,5,4,3,2,9,8,7,6,5,4,3,2}),11))),"OK","ERRO: dígito verificador")))))</f>
      </c>
      <c r="V458" s="6">
        <f>IF(T458="","",IF(COUNTIF($T$2:$T$1001,T458)&gt;1,"DUPLICADO","OK"))</f>
      </c>
      <c r="W458" s="6">
        <f>IF(M458="","vazio",IF(OR(AND(LEN(SUBSTITUTE(SUBSTITUTE(SUBSTITUTE(SUBSTITUTE(SUBSTITUTE(SUBSTITUTE(SUBSTITUTE(TRIM(M458),".",""),"/",""),"-","")," ",""),"(",""),")",""),"+",""))=10,LEFT(SUBSTITUTE(SUBSTITUTE(SUBSTITUTE(SUBSTITUTE(SUBSTITUTE(SUBSTITUTE(SUBSTITUTE(TRIM(M458),".",""),"/",""),"-","")," ",""),"(",""),")",""),"+",""),1)&lt;&gt;"0"),AND(LEN(SUBSTITUTE(SUBSTITUTE(SUBSTITUTE(SUBSTITUTE(SUBSTITUTE(SUBSTITUTE(SUBSTITUTE(TRIM(M458),".",""),"/",""),"-","")," ",""),"(",""),")",""),"+",""))=11,LEFT(SUBSTITUTE(SUBSTITUTE(SUBSTITUTE(SUBSTITUTE(SUBSTITUTE(SUBSTITUTE(SUBSTITUTE(TRIM(M458),".",""),"/",""),"-","")," ",""),"(",""),")",""),"+",""),4)="0800")),"OK",IF(AND(LEN(SUBSTITUTE(SUBSTITUTE(SUBSTITUTE(SUBSTITUTE(SUBSTITUTE(SUBSTITUTE(SUBSTITUTE(TRIM(M458),".",""),"/",""),"-","")," ",""),"(",""),")",""),"+",""))=11,MID(SUBSTITUTE(SUBSTITUTE(SUBSTITUTE(SUBSTITUTE(SUBSTITUTE(SUBSTITUTE(SUBSTITUTE(TRIM(M458),".",""),"/",""),"-","")," ",""),"(",""),")",""),"+",""),3,1)="9"),"ERRO: é celular, use a coluna Celular","ERRO: DDD + 8 dígitos ou 0800 + 7")))</f>
      </c>
      <c r="X458" s="6">
        <f>IF(N458="","vazio",IF(AND(LEN(SUBSTITUTE(SUBSTITUTE(SUBSTITUTE(SUBSTITUTE(SUBSTITUTE(SUBSTITUTE(SUBSTITUTE(TRIM(N458),".",""),"/",""),"-","")," ",""),"(",""),")",""),"+",""))=11,MID(SUBSTITUTE(SUBSTITUTE(SUBSTITUTE(SUBSTITUTE(SUBSTITUTE(SUBSTITUTE(SUBSTITUTE(TRIM(N458),".",""),"/",""),"-","")," ",""),"(",""),")",""),"+",""),3,1)="9",LEFT(SUBSTITUTE(SUBSTITUTE(SUBSTITUTE(SUBSTITUTE(SUBSTITUTE(SUBSTITUTE(SUBSTITUTE(TRIM(N458),".",""),"/",""),"-","")," ",""),"(",""),")",""),"+",""),1)&lt;&gt;"0"),"OK",IF(LEN(SUBSTITUTE(SUBSTITUTE(SUBSTITUTE(SUBSTITUTE(SUBSTITUTE(SUBSTITUTE(SUBSTITUTE(TRIM(N458),".",""),"/",""),"-","")," ",""),"(",""),")",""),"+",""))=10,"ERRO: é fixo (ou falta o 9), use a coluna Telefone fixo","ERRO: DDD + 9 + 8 dígitos")))</f>
      </c>
      <c r="Y458" s="6">
        <f>IF(O458="","vazio",IF(AND(ISNUMBER(FIND("@",O458)),ISNUMBER(FIND(".",MID(O458,FIND("@",O458),99))),NOT(ISNUMBER(FIND(" ",TRIM(O458)))),NOT(ISNUMBER(FIND(";",O458))),NOT(ISNUMBER(FIND(",",O458)))),"OK","ERRO: um e-mail válido por linha"))</f>
      </c>
      <c r="Z458" s="6">
        <f>IF(AND(J458="",K458=""),"",IF(AND(J458&lt;&gt;"",K458&lt;&gt;""),"OK","pendente: só um nome (o GR completa ao converter)"))</f>
      </c>
      <c r="AA458" s="6">
        <f>IF(COUNTA(A458:S458)=0,"",IF(AND(A458&lt;&gt;"",B458&lt;&gt;"",C458&lt;&gt;"",D458&lt;&gt;"",E458&lt;&gt;"",F458&lt;&gt;"",G458&lt;&gt;"",H458&lt;&gt;"",OR(J458&lt;&gt;"",K458&lt;&gt;""),OR(M458&lt;&gt;"",N458&lt;&gt;"",O458&lt;&gt;"")),"OK","ERRO: faltam "&amp;IF(A458="","SDR; ","")&amp;IF(B458="","Proprietário; ","")&amp;IF(C458="","Origem; ","")&amp;IF(D458="","Temperatura; ","")&amp;IF(E458="","Segmento; ","")&amp;IF(F458="","Time/Cluster; ","")&amp;IF(G458="","CNPJ; ","")&amp;IF(H458="","Razão Social; ","")&amp;IF(AND(J458="",K458=""),"nome do contato; ","")&amp;IF(AND(M458="",N458="",O458=""),"telefone, celular ou e-mail; ","")))</f>
      </c>
      <c r="AB458" s="6">
        <f>IF(COUNTA(A458:S458)=0,"",IF(AND(U458="OK",V458="OK",LEFT(W458,4)&lt;&gt;"ERRO",LEFT(X458,4)&lt;&gt;"ERRO",LEFT(Y458,4)&lt;&gt;"ERRO",AA458="OK"),"OK","REVISAR"))</f>
      </c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5"/>
      <c r="K459" s="4"/>
      <c r="L459" s="4"/>
      <c r="M459" s="4"/>
      <c r="N459" s="4"/>
      <c r="O459" s="4"/>
      <c r="P459" s="4"/>
      <c r="Q459" s="4"/>
      <c r="R459" s="4"/>
      <c r="S459" s="4"/>
      <c r="T459" s="6">
        <f>IF(G459="","",SUBSTITUTE(SUBSTITUTE(SUBSTITUTE(SUBSTITUTE(SUBSTITUTE(SUBSTITUTE(SUBSTITUTE(TRIM(G459),".",""),"/",""),"-","")," ",""),"(",""),")",""),"+",""))</f>
      </c>
      <c r="U459" s="6">
        <f>IF(T459="","",IF(LEN(T459)&lt;&gt;14,"ERRO: "&amp;LEN(T459)&amp;" dígitos",IF(NOT(ISNUMBER(VALUE(T459))),"ERRO: não numérico",IF(LEN(SUBSTITUTE(T459,LEFT(T459,1),""))=0,"ERRO: dígitos repetidos",IF(AND(VALUE(MID(T459,13,1))=IF(MOD(SUMPRODUCT(--MID(T459,{1,2,3,4,5,6,7,8,9,10,11,12},1),{5,4,3,2,9,8,7,6,5,4,3,2}),11)&lt;2,0,11-MOD(SUMPRODUCT(--MID(T459,{1,2,3,4,5,6,7,8,9,10,11,12},1),{5,4,3,2,9,8,7,6,5,4,3,2}),11)),VALUE(MID(T459,14,1))=IF(MOD(SUMPRODUCT(--MID(T459,{1,2,3,4,5,6,7,8,9,10,11,12,13},1),{6,5,4,3,2,9,8,7,6,5,4,3,2}),11)&lt;2,0,11-MOD(SUMPRODUCT(--MID(T459,{1,2,3,4,5,6,7,8,9,10,11,12,13},1),{6,5,4,3,2,9,8,7,6,5,4,3,2}),11))),"OK","ERRO: dígito verificador")))))</f>
      </c>
      <c r="V459" s="6">
        <f>IF(T459="","",IF(COUNTIF($T$2:$T$1001,T459)&gt;1,"DUPLICADO","OK"))</f>
      </c>
      <c r="W459" s="6">
        <f>IF(M459="","vazio",IF(OR(AND(LEN(SUBSTITUTE(SUBSTITUTE(SUBSTITUTE(SUBSTITUTE(SUBSTITUTE(SUBSTITUTE(SUBSTITUTE(TRIM(M459),".",""),"/",""),"-","")," ",""),"(",""),")",""),"+",""))=10,LEFT(SUBSTITUTE(SUBSTITUTE(SUBSTITUTE(SUBSTITUTE(SUBSTITUTE(SUBSTITUTE(SUBSTITUTE(TRIM(M459),".",""),"/",""),"-","")," ",""),"(",""),")",""),"+",""),1)&lt;&gt;"0"),AND(LEN(SUBSTITUTE(SUBSTITUTE(SUBSTITUTE(SUBSTITUTE(SUBSTITUTE(SUBSTITUTE(SUBSTITUTE(TRIM(M459),".",""),"/",""),"-","")," ",""),"(",""),")",""),"+",""))=11,LEFT(SUBSTITUTE(SUBSTITUTE(SUBSTITUTE(SUBSTITUTE(SUBSTITUTE(SUBSTITUTE(SUBSTITUTE(TRIM(M459),".",""),"/",""),"-","")," ",""),"(",""),")",""),"+",""),4)="0800")),"OK",IF(AND(LEN(SUBSTITUTE(SUBSTITUTE(SUBSTITUTE(SUBSTITUTE(SUBSTITUTE(SUBSTITUTE(SUBSTITUTE(TRIM(M459),".",""),"/",""),"-","")," ",""),"(",""),")",""),"+",""))=11,MID(SUBSTITUTE(SUBSTITUTE(SUBSTITUTE(SUBSTITUTE(SUBSTITUTE(SUBSTITUTE(SUBSTITUTE(TRIM(M459),".",""),"/",""),"-","")," ",""),"(",""),")",""),"+",""),3,1)="9"),"ERRO: é celular, use a coluna Celular","ERRO: DDD + 8 dígitos ou 0800 + 7")))</f>
      </c>
      <c r="X459" s="6">
        <f>IF(N459="","vazio",IF(AND(LEN(SUBSTITUTE(SUBSTITUTE(SUBSTITUTE(SUBSTITUTE(SUBSTITUTE(SUBSTITUTE(SUBSTITUTE(TRIM(N459),".",""),"/",""),"-","")," ",""),"(",""),")",""),"+",""))=11,MID(SUBSTITUTE(SUBSTITUTE(SUBSTITUTE(SUBSTITUTE(SUBSTITUTE(SUBSTITUTE(SUBSTITUTE(TRIM(N459),".",""),"/",""),"-","")," ",""),"(",""),")",""),"+",""),3,1)="9",LEFT(SUBSTITUTE(SUBSTITUTE(SUBSTITUTE(SUBSTITUTE(SUBSTITUTE(SUBSTITUTE(SUBSTITUTE(TRIM(N459),".",""),"/",""),"-","")," ",""),"(",""),")",""),"+",""),1)&lt;&gt;"0"),"OK",IF(LEN(SUBSTITUTE(SUBSTITUTE(SUBSTITUTE(SUBSTITUTE(SUBSTITUTE(SUBSTITUTE(SUBSTITUTE(TRIM(N459),".",""),"/",""),"-","")," ",""),"(",""),")",""),"+",""))=10,"ERRO: é fixo (ou falta o 9), use a coluna Telefone fixo","ERRO: DDD + 9 + 8 dígitos")))</f>
      </c>
      <c r="Y459" s="6">
        <f>IF(O459="","vazio",IF(AND(ISNUMBER(FIND("@",O459)),ISNUMBER(FIND(".",MID(O459,FIND("@",O459),99))),NOT(ISNUMBER(FIND(" ",TRIM(O459)))),NOT(ISNUMBER(FIND(";",O459))),NOT(ISNUMBER(FIND(",",O459)))),"OK","ERRO: um e-mail válido por linha"))</f>
      </c>
      <c r="Z459" s="6">
        <f>IF(AND(J459="",K459=""),"",IF(AND(J459&lt;&gt;"",K459&lt;&gt;""),"OK","pendente: só um nome (o GR completa ao converter)"))</f>
      </c>
      <c r="AA459" s="6">
        <f>IF(COUNTA(A459:S459)=0,"",IF(AND(A459&lt;&gt;"",B459&lt;&gt;"",C459&lt;&gt;"",D459&lt;&gt;"",E459&lt;&gt;"",F459&lt;&gt;"",G459&lt;&gt;"",H459&lt;&gt;"",OR(J459&lt;&gt;"",K459&lt;&gt;""),OR(M459&lt;&gt;"",N459&lt;&gt;"",O459&lt;&gt;"")),"OK","ERRO: faltam "&amp;IF(A459="","SDR; ","")&amp;IF(B459="","Proprietário; ","")&amp;IF(C459="","Origem; ","")&amp;IF(D459="","Temperatura; ","")&amp;IF(E459="","Segmento; ","")&amp;IF(F459="","Time/Cluster; ","")&amp;IF(G459="","CNPJ; ","")&amp;IF(H459="","Razão Social; ","")&amp;IF(AND(J459="",K459=""),"nome do contato; ","")&amp;IF(AND(M459="",N459="",O459=""),"telefone, celular ou e-mail; ","")))</f>
      </c>
      <c r="AB459" s="6">
        <f>IF(COUNTA(A459:S459)=0,"",IF(AND(U459="OK",V459="OK",LEFT(W459,4)&lt;&gt;"ERRO",LEFT(X459,4)&lt;&gt;"ERRO",LEFT(Y459,4)&lt;&gt;"ERRO",AA459="OK"),"OK","REVISAR"))</f>
      </c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5"/>
      <c r="K460" s="4"/>
      <c r="L460" s="4"/>
      <c r="M460" s="4"/>
      <c r="N460" s="4"/>
      <c r="O460" s="4"/>
      <c r="P460" s="4"/>
      <c r="Q460" s="4"/>
      <c r="R460" s="4"/>
      <c r="S460" s="4"/>
      <c r="T460" s="6">
        <f>IF(G460="","",SUBSTITUTE(SUBSTITUTE(SUBSTITUTE(SUBSTITUTE(SUBSTITUTE(SUBSTITUTE(SUBSTITUTE(TRIM(G460),".",""),"/",""),"-","")," ",""),"(",""),")",""),"+",""))</f>
      </c>
      <c r="U460" s="6">
        <f>IF(T460="","",IF(LEN(T460)&lt;&gt;14,"ERRO: "&amp;LEN(T460)&amp;" dígitos",IF(NOT(ISNUMBER(VALUE(T460))),"ERRO: não numérico",IF(LEN(SUBSTITUTE(T460,LEFT(T460,1),""))=0,"ERRO: dígitos repetidos",IF(AND(VALUE(MID(T460,13,1))=IF(MOD(SUMPRODUCT(--MID(T460,{1,2,3,4,5,6,7,8,9,10,11,12},1),{5,4,3,2,9,8,7,6,5,4,3,2}),11)&lt;2,0,11-MOD(SUMPRODUCT(--MID(T460,{1,2,3,4,5,6,7,8,9,10,11,12},1),{5,4,3,2,9,8,7,6,5,4,3,2}),11)),VALUE(MID(T460,14,1))=IF(MOD(SUMPRODUCT(--MID(T460,{1,2,3,4,5,6,7,8,9,10,11,12,13},1),{6,5,4,3,2,9,8,7,6,5,4,3,2}),11)&lt;2,0,11-MOD(SUMPRODUCT(--MID(T460,{1,2,3,4,5,6,7,8,9,10,11,12,13},1),{6,5,4,3,2,9,8,7,6,5,4,3,2}),11))),"OK","ERRO: dígito verificador")))))</f>
      </c>
      <c r="V460" s="6">
        <f>IF(T460="","",IF(COUNTIF($T$2:$T$1001,T460)&gt;1,"DUPLICADO","OK"))</f>
      </c>
      <c r="W460" s="6">
        <f>IF(M460="","vazio",IF(OR(AND(LEN(SUBSTITUTE(SUBSTITUTE(SUBSTITUTE(SUBSTITUTE(SUBSTITUTE(SUBSTITUTE(SUBSTITUTE(TRIM(M460),".",""),"/",""),"-","")," ",""),"(",""),")",""),"+",""))=10,LEFT(SUBSTITUTE(SUBSTITUTE(SUBSTITUTE(SUBSTITUTE(SUBSTITUTE(SUBSTITUTE(SUBSTITUTE(TRIM(M460),".",""),"/",""),"-","")," ",""),"(",""),")",""),"+",""),1)&lt;&gt;"0"),AND(LEN(SUBSTITUTE(SUBSTITUTE(SUBSTITUTE(SUBSTITUTE(SUBSTITUTE(SUBSTITUTE(SUBSTITUTE(TRIM(M460),".",""),"/",""),"-","")," ",""),"(",""),")",""),"+",""))=11,LEFT(SUBSTITUTE(SUBSTITUTE(SUBSTITUTE(SUBSTITUTE(SUBSTITUTE(SUBSTITUTE(SUBSTITUTE(TRIM(M460),".",""),"/",""),"-","")," ",""),"(",""),")",""),"+",""),4)="0800")),"OK",IF(AND(LEN(SUBSTITUTE(SUBSTITUTE(SUBSTITUTE(SUBSTITUTE(SUBSTITUTE(SUBSTITUTE(SUBSTITUTE(TRIM(M460),".",""),"/",""),"-","")," ",""),"(",""),")",""),"+",""))=11,MID(SUBSTITUTE(SUBSTITUTE(SUBSTITUTE(SUBSTITUTE(SUBSTITUTE(SUBSTITUTE(SUBSTITUTE(TRIM(M460),".",""),"/",""),"-","")," ",""),"(",""),")",""),"+",""),3,1)="9"),"ERRO: é celular, use a coluna Celular","ERRO: DDD + 8 dígitos ou 0800 + 7")))</f>
      </c>
      <c r="X460" s="6">
        <f>IF(N460="","vazio",IF(AND(LEN(SUBSTITUTE(SUBSTITUTE(SUBSTITUTE(SUBSTITUTE(SUBSTITUTE(SUBSTITUTE(SUBSTITUTE(TRIM(N460),".",""),"/",""),"-","")," ",""),"(",""),")",""),"+",""))=11,MID(SUBSTITUTE(SUBSTITUTE(SUBSTITUTE(SUBSTITUTE(SUBSTITUTE(SUBSTITUTE(SUBSTITUTE(TRIM(N460),".",""),"/",""),"-","")," ",""),"(",""),")",""),"+",""),3,1)="9",LEFT(SUBSTITUTE(SUBSTITUTE(SUBSTITUTE(SUBSTITUTE(SUBSTITUTE(SUBSTITUTE(SUBSTITUTE(TRIM(N460),".",""),"/",""),"-","")," ",""),"(",""),")",""),"+",""),1)&lt;&gt;"0"),"OK",IF(LEN(SUBSTITUTE(SUBSTITUTE(SUBSTITUTE(SUBSTITUTE(SUBSTITUTE(SUBSTITUTE(SUBSTITUTE(TRIM(N460),".",""),"/",""),"-","")," ",""),"(",""),")",""),"+",""))=10,"ERRO: é fixo (ou falta o 9), use a coluna Telefone fixo","ERRO: DDD + 9 + 8 dígitos")))</f>
      </c>
      <c r="Y460" s="6">
        <f>IF(O460="","vazio",IF(AND(ISNUMBER(FIND("@",O460)),ISNUMBER(FIND(".",MID(O460,FIND("@",O460),99))),NOT(ISNUMBER(FIND(" ",TRIM(O460)))),NOT(ISNUMBER(FIND(";",O460))),NOT(ISNUMBER(FIND(",",O460)))),"OK","ERRO: um e-mail válido por linha"))</f>
      </c>
      <c r="Z460" s="6">
        <f>IF(AND(J460="",K460=""),"",IF(AND(J460&lt;&gt;"",K460&lt;&gt;""),"OK","pendente: só um nome (o GR completa ao converter)"))</f>
      </c>
      <c r="AA460" s="6">
        <f>IF(COUNTA(A460:S460)=0,"",IF(AND(A460&lt;&gt;"",B460&lt;&gt;"",C460&lt;&gt;"",D460&lt;&gt;"",E460&lt;&gt;"",F460&lt;&gt;"",G460&lt;&gt;"",H460&lt;&gt;"",OR(J460&lt;&gt;"",K460&lt;&gt;""),OR(M460&lt;&gt;"",N460&lt;&gt;"",O460&lt;&gt;"")),"OK","ERRO: faltam "&amp;IF(A460="","SDR; ","")&amp;IF(B460="","Proprietário; ","")&amp;IF(C460="","Origem; ","")&amp;IF(D460="","Temperatura; ","")&amp;IF(E460="","Segmento; ","")&amp;IF(F460="","Time/Cluster; ","")&amp;IF(G460="","CNPJ; ","")&amp;IF(H460="","Razão Social; ","")&amp;IF(AND(J460="",K460=""),"nome do contato; ","")&amp;IF(AND(M460="",N460="",O460=""),"telefone, celular ou e-mail; ","")))</f>
      </c>
      <c r="AB460" s="6">
        <f>IF(COUNTA(A460:S460)=0,"",IF(AND(U460="OK",V460="OK",LEFT(W460,4)&lt;&gt;"ERRO",LEFT(X460,4)&lt;&gt;"ERRO",LEFT(Y460,4)&lt;&gt;"ERRO",AA460="OK"),"OK","REVISAR"))</f>
      </c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5"/>
      <c r="K461" s="4"/>
      <c r="L461" s="4"/>
      <c r="M461" s="4"/>
      <c r="N461" s="4"/>
      <c r="O461" s="4"/>
      <c r="P461" s="4"/>
      <c r="Q461" s="4"/>
      <c r="R461" s="4"/>
      <c r="S461" s="4"/>
      <c r="T461" s="6">
        <f>IF(G461="","",SUBSTITUTE(SUBSTITUTE(SUBSTITUTE(SUBSTITUTE(SUBSTITUTE(SUBSTITUTE(SUBSTITUTE(TRIM(G461),".",""),"/",""),"-","")," ",""),"(",""),")",""),"+",""))</f>
      </c>
      <c r="U461" s="6">
        <f>IF(T461="","",IF(LEN(T461)&lt;&gt;14,"ERRO: "&amp;LEN(T461)&amp;" dígitos",IF(NOT(ISNUMBER(VALUE(T461))),"ERRO: não numérico",IF(LEN(SUBSTITUTE(T461,LEFT(T461,1),""))=0,"ERRO: dígitos repetidos",IF(AND(VALUE(MID(T461,13,1))=IF(MOD(SUMPRODUCT(--MID(T461,{1,2,3,4,5,6,7,8,9,10,11,12},1),{5,4,3,2,9,8,7,6,5,4,3,2}),11)&lt;2,0,11-MOD(SUMPRODUCT(--MID(T461,{1,2,3,4,5,6,7,8,9,10,11,12},1),{5,4,3,2,9,8,7,6,5,4,3,2}),11)),VALUE(MID(T461,14,1))=IF(MOD(SUMPRODUCT(--MID(T461,{1,2,3,4,5,6,7,8,9,10,11,12,13},1),{6,5,4,3,2,9,8,7,6,5,4,3,2}),11)&lt;2,0,11-MOD(SUMPRODUCT(--MID(T461,{1,2,3,4,5,6,7,8,9,10,11,12,13},1),{6,5,4,3,2,9,8,7,6,5,4,3,2}),11))),"OK","ERRO: dígito verificador")))))</f>
      </c>
      <c r="V461" s="6">
        <f>IF(T461="","",IF(COUNTIF($T$2:$T$1001,T461)&gt;1,"DUPLICADO","OK"))</f>
      </c>
      <c r="W461" s="6">
        <f>IF(M461="","vazio",IF(OR(AND(LEN(SUBSTITUTE(SUBSTITUTE(SUBSTITUTE(SUBSTITUTE(SUBSTITUTE(SUBSTITUTE(SUBSTITUTE(TRIM(M461),".",""),"/",""),"-","")," ",""),"(",""),")",""),"+",""))=10,LEFT(SUBSTITUTE(SUBSTITUTE(SUBSTITUTE(SUBSTITUTE(SUBSTITUTE(SUBSTITUTE(SUBSTITUTE(TRIM(M461),".",""),"/",""),"-","")," ",""),"(",""),")",""),"+",""),1)&lt;&gt;"0"),AND(LEN(SUBSTITUTE(SUBSTITUTE(SUBSTITUTE(SUBSTITUTE(SUBSTITUTE(SUBSTITUTE(SUBSTITUTE(TRIM(M461),".",""),"/",""),"-","")," ",""),"(",""),")",""),"+",""))=11,LEFT(SUBSTITUTE(SUBSTITUTE(SUBSTITUTE(SUBSTITUTE(SUBSTITUTE(SUBSTITUTE(SUBSTITUTE(TRIM(M461),".",""),"/",""),"-","")," ",""),"(",""),")",""),"+",""),4)="0800")),"OK",IF(AND(LEN(SUBSTITUTE(SUBSTITUTE(SUBSTITUTE(SUBSTITUTE(SUBSTITUTE(SUBSTITUTE(SUBSTITUTE(TRIM(M461),".",""),"/",""),"-","")," ",""),"(",""),")",""),"+",""))=11,MID(SUBSTITUTE(SUBSTITUTE(SUBSTITUTE(SUBSTITUTE(SUBSTITUTE(SUBSTITUTE(SUBSTITUTE(TRIM(M461),".",""),"/",""),"-","")," ",""),"(",""),")",""),"+",""),3,1)="9"),"ERRO: é celular, use a coluna Celular","ERRO: DDD + 8 dígitos ou 0800 + 7")))</f>
      </c>
      <c r="X461" s="6">
        <f>IF(N461="","vazio",IF(AND(LEN(SUBSTITUTE(SUBSTITUTE(SUBSTITUTE(SUBSTITUTE(SUBSTITUTE(SUBSTITUTE(SUBSTITUTE(TRIM(N461),".",""),"/",""),"-","")," ",""),"(",""),")",""),"+",""))=11,MID(SUBSTITUTE(SUBSTITUTE(SUBSTITUTE(SUBSTITUTE(SUBSTITUTE(SUBSTITUTE(SUBSTITUTE(TRIM(N461),".",""),"/",""),"-","")," ",""),"(",""),")",""),"+",""),3,1)="9",LEFT(SUBSTITUTE(SUBSTITUTE(SUBSTITUTE(SUBSTITUTE(SUBSTITUTE(SUBSTITUTE(SUBSTITUTE(TRIM(N461),".",""),"/",""),"-","")," ",""),"(",""),")",""),"+",""),1)&lt;&gt;"0"),"OK",IF(LEN(SUBSTITUTE(SUBSTITUTE(SUBSTITUTE(SUBSTITUTE(SUBSTITUTE(SUBSTITUTE(SUBSTITUTE(TRIM(N461),".",""),"/",""),"-","")," ",""),"(",""),")",""),"+",""))=10,"ERRO: é fixo (ou falta o 9), use a coluna Telefone fixo","ERRO: DDD + 9 + 8 dígitos")))</f>
      </c>
      <c r="Y461" s="6">
        <f>IF(O461="","vazio",IF(AND(ISNUMBER(FIND("@",O461)),ISNUMBER(FIND(".",MID(O461,FIND("@",O461),99))),NOT(ISNUMBER(FIND(" ",TRIM(O461)))),NOT(ISNUMBER(FIND(";",O461))),NOT(ISNUMBER(FIND(",",O461)))),"OK","ERRO: um e-mail válido por linha"))</f>
      </c>
      <c r="Z461" s="6">
        <f>IF(AND(J461="",K461=""),"",IF(AND(J461&lt;&gt;"",K461&lt;&gt;""),"OK","pendente: só um nome (o GR completa ao converter)"))</f>
      </c>
      <c r="AA461" s="6">
        <f>IF(COUNTA(A461:S461)=0,"",IF(AND(A461&lt;&gt;"",B461&lt;&gt;"",C461&lt;&gt;"",D461&lt;&gt;"",E461&lt;&gt;"",F461&lt;&gt;"",G461&lt;&gt;"",H461&lt;&gt;"",OR(J461&lt;&gt;"",K461&lt;&gt;""),OR(M461&lt;&gt;"",N461&lt;&gt;"",O461&lt;&gt;"")),"OK","ERRO: faltam "&amp;IF(A461="","SDR; ","")&amp;IF(B461="","Proprietário; ","")&amp;IF(C461="","Origem; ","")&amp;IF(D461="","Temperatura; ","")&amp;IF(E461="","Segmento; ","")&amp;IF(F461="","Time/Cluster; ","")&amp;IF(G461="","CNPJ; ","")&amp;IF(H461="","Razão Social; ","")&amp;IF(AND(J461="",K461=""),"nome do contato; ","")&amp;IF(AND(M461="",N461="",O461=""),"telefone, celular ou e-mail; ","")))</f>
      </c>
      <c r="AB461" s="6">
        <f>IF(COUNTA(A461:S461)=0,"",IF(AND(U461="OK",V461="OK",LEFT(W461,4)&lt;&gt;"ERRO",LEFT(X461,4)&lt;&gt;"ERRO",LEFT(Y461,4)&lt;&gt;"ERRO",AA461="OK"),"OK","REVISAR"))</f>
      </c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5"/>
      <c r="K462" s="4"/>
      <c r="L462" s="4"/>
      <c r="M462" s="4"/>
      <c r="N462" s="4"/>
      <c r="O462" s="4"/>
      <c r="P462" s="4"/>
      <c r="Q462" s="4"/>
      <c r="R462" s="4"/>
      <c r="S462" s="4"/>
      <c r="T462" s="6">
        <f>IF(G462="","",SUBSTITUTE(SUBSTITUTE(SUBSTITUTE(SUBSTITUTE(SUBSTITUTE(SUBSTITUTE(SUBSTITUTE(TRIM(G462),".",""),"/",""),"-","")," ",""),"(",""),")",""),"+",""))</f>
      </c>
      <c r="U462" s="6">
        <f>IF(T462="","",IF(LEN(T462)&lt;&gt;14,"ERRO: "&amp;LEN(T462)&amp;" dígitos",IF(NOT(ISNUMBER(VALUE(T462))),"ERRO: não numérico",IF(LEN(SUBSTITUTE(T462,LEFT(T462,1),""))=0,"ERRO: dígitos repetidos",IF(AND(VALUE(MID(T462,13,1))=IF(MOD(SUMPRODUCT(--MID(T462,{1,2,3,4,5,6,7,8,9,10,11,12},1),{5,4,3,2,9,8,7,6,5,4,3,2}),11)&lt;2,0,11-MOD(SUMPRODUCT(--MID(T462,{1,2,3,4,5,6,7,8,9,10,11,12},1),{5,4,3,2,9,8,7,6,5,4,3,2}),11)),VALUE(MID(T462,14,1))=IF(MOD(SUMPRODUCT(--MID(T462,{1,2,3,4,5,6,7,8,9,10,11,12,13},1),{6,5,4,3,2,9,8,7,6,5,4,3,2}),11)&lt;2,0,11-MOD(SUMPRODUCT(--MID(T462,{1,2,3,4,5,6,7,8,9,10,11,12,13},1),{6,5,4,3,2,9,8,7,6,5,4,3,2}),11))),"OK","ERRO: dígito verificador")))))</f>
      </c>
      <c r="V462" s="6">
        <f>IF(T462="","",IF(COUNTIF($T$2:$T$1001,T462)&gt;1,"DUPLICADO","OK"))</f>
      </c>
      <c r="W462" s="6">
        <f>IF(M462="","vazio",IF(OR(AND(LEN(SUBSTITUTE(SUBSTITUTE(SUBSTITUTE(SUBSTITUTE(SUBSTITUTE(SUBSTITUTE(SUBSTITUTE(TRIM(M462),".",""),"/",""),"-","")," ",""),"(",""),")",""),"+",""))=10,LEFT(SUBSTITUTE(SUBSTITUTE(SUBSTITUTE(SUBSTITUTE(SUBSTITUTE(SUBSTITUTE(SUBSTITUTE(TRIM(M462),".",""),"/",""),"-","")," ",""),"(",""),")",""),"+",""),1)&lt;&gt;"0"),AND(LEN(SUBSTITUTE(SUBSTITUTE(SUBSTITUTE(SUBSTITUTE(SUBSTITUTE(SUBSTITUTE(SUBSTITUTE(TRIM(M462),".",""),"/",""),"-","")," ",""),"(",""),")",""),"+",""))=11,LEFT(SUBSTITUTE(SUBSTITUTE(SUBSTITUTE(SUBSTITUTE(SUBSTITUTE(SUBSTITUTE(SUBSTITUTE(TRIM(M462),".",""),"/",""),"-","")," ",""),"(",""),")",""),"+",""),4)="0800")),"OK",IF(AND(LEN(SUBSTITUTE(SUBSTITUTE(SUBSTITUTE(SUBSTITUTE(SUBSTITUTE(SUBSTITUTE(SUBSTITUTE(TRIM(M462),".",""),"/",""),"-","")," ",""),"(",""),")",""),"+",""))=11,MID(SUBSTITUTE(SUBSTITUTE(SUBSTITUTE(SUBSTITUTE(SUBSTITUTE(SUBSTITUTE(SUBSTITUTE(TRIM(M462),".",""),"/",""),"-","")," ",""),"(",""),")",""),"+",""),3,1)="9"),"ERRO: é celular, use a coluna Celular","ERRO: DDD + 8 dígitos ou 0800 + 7")))</f>
      </c>
      <c r="X462" s="6">
        <f>IF(N462="","vazio",IF(AND(LEN(SUBSTITUTE(SUBSTITUTE(SUBSTITUTE(SUBSTITUTE(SUBSTITUTE(SUBSTITUTE(SUBSTITUTE(TRIM(N462),".",""),"/",""),"-","")," ",""),"(",""),")",""),"+",""))=11,MID(SUBSTITUTE(SUBSTITUTE(SUBSTITUTE(SUBSTITUTE(SUBSTITUTE(SUBSTITUTE(SUBSTITUTE(TRIM(N462),".",""),"/",""),"-","")," ",""),"(",""),")",""),"+",""),3,1)="9",LEFT(SUBSTITUTE(SUBSTITUTE(SUBSTITUTE(SUBSTITUTE(SUBSTITUTE(SUBSTITUTE(SUBSTITUTE(TRIM(N462),".",""),"/",""),"-","")," ",""),"(",""),")",""),"+",""),1)&lt;&gt;"0"),"OK",IF(LEN(SUBSTITUTE(SUBSTITUTE(SUBSTITUTE(SUBSTITUTE(SUBSTITUTE(SUBSTITUTE(SUBSTITUTE(TRIM(N462),".",""),"/",""),"-","")," ",""),"(",""),")",""),"+",""))=10,"ERRO: é fixo (ou falta o 9), use a coluna Telefone fixo","ERRO: DDD + 9 + 8 dígitos")))</f>
      </c>
      <c r="Y462" s="6">
        <f>IF(O462="","vazio",IF(AND(ISNUMBER(FIND("@",O462)),ISNUMBER(FIND(".",MID(O462,FIND("@",O462),99))),NOT(ISNUMBER(FIND(" ",TRIM(O462)))),NOT(ISNUMBER(FIND(";",O462))),NOT(ISNUMBER(FIND(",",O462)))),"OK","ERRO: um e-mail válido por linha"))</f>
      </c>
      <c r="Z462" s="6">
        <f>IF(AND(J462="",K462=""),"",IF(AND(J462&lt;&gt;"",K462&lt;&gt;""),"OK","pendente: só um nome (o GR completa ao converter)"))</f>
      </c>
      <c r="AA462" s="6">
        <f>IF(COUNTA(A462:S462)=0,"",IF(AND(A462&lt;&gt;"",B462&lt;&gt;"",C462&lt;&gt;"",D462&lt;&gt;"",E462&lt;&gt;"",F462&lt;&gt;"",G462&lt;&gt;"",H462&lt;&gt;"",OR(J462&lt;&gt;"",K462&lt;&gt;""),OR(M462&lt;&gt;"",N462&lt;&gt;"",O462&lt;&gt;"")),"OK","ERRO: faltam "&amp;IF(A462="","SDR; ","")&amp;IF(B462="","Proprietário; ","")&amp;IF(C462="","Origem; ","")&amp;IF(D462="","Temperatura; ","")&amp;IF(E462="","Segmento; ","")&amp;IF(F462="","Time/Cluster; ","")&amp;IF(G462="","CNPJ; ","")&amp;IF(H462="","Razão Social; ","")&amp;IF(AND(J462="",K462=""),"nome do contato; ","")&amp;IF(AND(M462="",N462="",O462=""),"telefone, celular ou e-mail; ","")))</f>
      </c>
      <c r="AB462" s="6">
        <f>IF(COUNTA(A462:S462)=0,"",IF(AND(U462="OK",V462="OK",LEFT(W462,4)&lt;&gt;"ERRO",LEFT(X462,4)&lt;&gt;"ERRO",LEFT(Y462,4)&lt;&gt;"ERRO",AA462="OK"),"OK","REVISAR"))</f>
      </c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5"/>
      <c r="K463" s="4"/>
      <c r="L463" s="4"/>
      <c r="M463" s="4"/>
      <c r="N463" s="4"/>
      <c r="O463" s="4"/>
      <c r="P463" s="4"/>
      <c r="Q463" s="4"/>
      <c r="R463" s="4"/>
      <c r="S463" s="4"/>
      <c r="T463" s="6">
        <f>IF(G463="","",SUBSTITUTE(SUBSTITUTE(SUBSTITUTE(SUBSTITUTE(SUBSTITUTE(SUBSTITUTE(SUBSTITUTE(TRIM(G463),".",""),"/",""),"-","")," ",""),"(",""),")",""),"+",""))</f>
      </c>
      <c r="U463" s="6">
        <f>IF(T463="","",IF(LEN(T463)&lt;&gt;14,"ERRO: "&amp;LEN(T463)&amp;" dígitos",IF(NOT(ISNUMBER(VALUE(T463))),"ERRO: não numérico",IF(LEN(SUBSTITUTE(T463,LEFT(T463,1),""))=0,"ERRO: dígitos repetidos",IF(AND(VALUE(MID(T463,13,1))=IF(MOD(SUMPRODUCT(--MID(T463,{1,2,3,4,5,6,7,8,9,10,11,12},1),{5,4,3,2,9,8,7,6,5,4,3,2}),11)&lt;2,0,11-MOD(SUMPRODUCT(--MID(T463,{1,2,3,4,5,6,7,8,9,10,11,12},1),{5,4,3,2,9,8,7,6,5,4,3,2}),11)),VALUE(MID(T463,14,1))=IF(MOD(SUMPRODUCT(--MID(T463,{1,2,3,4,5,6,7,8,9,10,11,12,13},1),{6,5,4,3,2,9,8,7,6,5,4,3,2}),11)&lt;2,0,11-MOD(SUMPRODUCT(--MID(T463,{1,2,3,4,5,6,7,8,9,10,11,12,13},1),{6,5,4,3,2,9,8,7,6,5,4,3,2}),11))),"OK","ERRO: dígito verificador")))))</f>
      </c>
      <c r="V463" s="6">
        <f>IF(T463="","",IF(COUNTIF($T$2:$T$1001,T463)&gt;1,"DUPLICADO","OK"))</f>
      </c>
      <c r="W463" s="6">
        <f>IF(M463="","vazio",IF(OR(AND(LEN(SUBSTITUTE(SUBSTITUTE(SUBSTITUTE(SUBSTITUTE(SUBSTITUTE(SUBSTITUTE(SUBSTITUTE(TRIM(M463),".",""),"/",""),"-","")," ",""),"(",""),")",""),"+",""))=10,LEFT(SUBSTITUTE(SUBSTITUTE(SUBSTITUTE(SUBSTITUTE(SUBSTITUTE(SUBSTITUTE(SUBSTITUTE(TRIM(M463),".",""),"/",""),"-","")," ",""),"(",""),")",""),"+",""),1)&lt;&gt;"0"),AND(LEN(SUBSTITUTE(SUBSTITUTE(SUBSTITUTE(SUBSTITUTE(SUBSTITUTE(SUBSTITUTE(SUBSTITUTE(TRIM(M463),".",""),"/",""),"-","")," ",""),"(",""),")",""),"+",""))=11,LEFT(SUBSTITUTE(SUBSTITUTE(SUBSTITUTE(SUBSTITUTE(SUBSTITUTE(SUBSTITUTE(SUBSTITUTE(TRIM(M463),".",""),"/",""),"-","")," ",""),"(",""),")",""),"+",""),4)="0800")),"OK",IF(AND(LEN(SUBSTITUTE(SUBSTITUTE(SUBSTITUTE(SUBSTITUTE(SUBSTITUTE(SUBSTITUTE(SUBSTITUTE(TRIM(M463),".",""),"/",""),"-","")," ",""),"(",""),")",""),"+",""))=11,MID(SUBSTITUTE(SUBSTITUTE(SUBSTITUTE(SUBSTITUTE(SUBSTITUTE(SUBSTITUTE(SUBSTITUTE(TRIM(M463),".",""),"/",""),"-","")," ",""),"(",""),")",""),"+",""),3,1)="9"),"ERRO: é celular, use a coluna Celular","ERRO: DDD + 8 dígitos ou 0800 + 7")))</f>
      </c>
      <c r="X463" s="6">
        <f>IF(N463="","vazio",IF(AND(LEN(SUBSTITUTE(SUBSTITUTE(SUBSTITUTE(SUBSTITUTE(SUBSTITUTE(SUBSTITUTE(SUBSTITUTE(TRIM(N463),".",""),"/",""),"-","")," ",""),"(",""),")",""),"+",""))=11,MID(SUBSTITUTE(SUBSTITUTE(SUBSTITUTE(SUBSTITUTE(SUBSTITUTE(SUBSTITUTE(SUBSTITUTE(TRIM(N463),".",""),"/",""),"-","")," ",""),"(",""),")",""),"+",""),3,1)="9",LEFT(SUBSTITUTE(SUBSTITUTE(SUBSTITUTE(SUBSTITUTE(SUBSTITUTE(SUBSTITUTE(SUBSTITUTE(TRIM(N463),".",""),"/",""),"-","")," ",""),"(",""),")",""),"+",""),1)&lt;&gt;"0"),"OK",IF(LEN(SUBSTITUTE(SUBSTITUTE(SUBSTITUTE(SUBSTITUTE(SUBSTITUTE(SUBSTITUTE(SUBSTITUTE(TRIM(N463),".",""),"/",""),"-","")," ",""),"(",""),")",""),"+",""))=10,"ERRO: é fixo (ou falta o 9), use a coluna Telefone fixo","ERRO: DDD + 9 + 8 dígitos")))</f>
      </c>
      <c r="Y463" s="6">
        <f>IF(O463="","vazio",IF(AND(ISNUMBER(FIND("@",O463)),ISNUMBER(FIND(".",MID(O463,FIND("@",O463),99))),NOT(ISNUMBER(FIND(" ",TRIM(O463)))),NOT(ISNUMBER(FIND(";",O463))),NOT(ISNUMBER(FIND(",",O463)))),"OK","ERRO: um e-mail válido por linha"))</f>
      </c>
      <c r="Z463" s="6">
        <f>IF(AND(J463="",K463=""),"",IF(AND(J463&lt;&gt;"",K463&lt;&gt;""),"OK","pendente: só um nome (o GR completa ao converter)"))</f>
      </c>
      <c r="AA463" s="6">
        <f>IF(COUNTA(A463:S463)=0,"",IF(AND(A463&lt;&gt;"",B463&lt;&gt;"",C463&lt;&gt;"",D463&lt;&gt;"",E463&lt;&gt;"",F463&lt;&gt;"",G463&lt;&gt;"",H463&lt;&gt;"",OR(J463&lt;&gt;"",K463&lt;&gt;""),OR(M463&lt;&gt;"",N463&lt;&gt;"",O463&lt;&gt;"")),"OK","ERRO: faltam "&amp;IF(A463="","SDR; ","")&amp;IF(B463="","Proprietário; ","")&amp;IF(C463="","Origem; ","")&amp;IF(D463="","Temperatura; ","")&amp;IF(E463="","Segmento; ","")&amp;IF(F463="","Time/Cluster; ","")&amp;IF(G463="","CNPJ; ","")&amp;IF(H463="","Razão Social; ","")&amp;IF(AND(J463="",K463=""),"nome do contato; ","")&amp;IF(AND(M463="",N463="",O463=""),"telefone, celular ou e-mail; ","")))</f>
      </c>
      <c r="AB463" s="6">
        <f>IF(COUNTA(A463:S463)=0,"",IF(AND(U463="OK",V463="OK",LEFT(W463,4)&lt;&gt;"ERRO",LEFT(X463,4)&lt;&gt;"ERRO",LEFT(Y463,4)&lt;&gt;"ERRO",AA463="OK"),"OK","REVISAR"))</f>
      </c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5"/>
      <c r="K464" s="4"/>
      <c r="L464" s="4"/>
      <c r="M464" s="4"/>
      <c r="N464" s="4"/>
      <c r="O464" s="4"/>
      <c r="P464" s="4"/>
      <c r="Q464" s="4"/>
      <c r="R464" s="4"/>
      <c r="S464" s="4"/>
      <c r="T464" s="6">
        <f>IF(G464="","",SUBSTITUTE(SUBSTITUTE(SUBSTITUTE(SUBSTITUTE(SUBSTITUTE(SUBSTITUTE(SUBSTITUTE(TRIM(G464),".",""),"/",""),"-","")," ",""),"(",""),")",""),"+",""))</f>
      </c>
      <c r="U464" s="6">
        <f>IF(T464="","",IF(LEN(T464)&lt;&gt;14,"ERRO: "&amp;LEN(T464)&amp;" dígitos",IF(NOT(ISNUMBER(VALUE(T464))),"ERRO: não numérico",IF(LEN(SUBSTITUTE(T464,LEFT(T464,1),""))=0,"ERRO: dígitos repetidos",IF(AND(VALUE(MID(T464,13,1))=IF(MOD(SUMPRODUCT(--MID(T464,{1,2,3,4,5,6,7,8,9,10,11,12},1),{5,4,3,2,9,8,7,6,5,4,3,2}),11)&lt;2,0,11-MOD(SUMPRODUCT(--MID(T464,{1,2,3,4,5,6,7,8,9,10,11,12},1),{5,4,3,2,9,8,7,6,5,4,3,2}),11)),VALUE(MID(T464,14,1))=IF(MOD(SUMPRODUCT(--MID(T464,{1,2,3,4,5,6,7,8,9,10,11,12,13},1),{6,5,4,3,2,9,8,7,6,5,4,3,2}),11)&lt;2,0,11-MOD(SUMPRODUCT(--MID(T464,{1,2,3,4,5,6,7,8,9,10,11,12,13},1),{6,5,4,3,2,9,8,7,6,5,4,3,2}),11))),"OK","ERRO: dígito verificador")))))</f>
      </c>
      <c r="V464" s="6">
        <f>IF(T464="","",IF(COUNTIF($T$2:$T$1001,T464)&gt;1,"DUPLICADO","OK"))</f>
      </c>
      <c r="W464" s="6">
        <f>IF(M464="","vazio",IF(OR(AND(LEN(SUBSTITUTE(SUBSTITUTE(SUBSTITUTE(SUBSTITUTE(SUBSTITUTE(SUBSTITUTE(SUBSTITUTE(TRIM(M464),".",""),"/",""),"-","")," ",""),"(",""),")",""),"+",""))=10,LEFT(SUBSTITUTE(SUBSTITUTE(SUBSTITUTE(SUBSTITUTE(SUBSTITUTE(SUBSTITUTE(SUBSTITUTE(TRIM(M464),".",""),"/",""),"-","")," ",""),"(",""),")",""),"+",""),1)&lt;&gt;"0"),AND(LEN(SUBSTITUTE(SUBSTITUTE(SUBSTITUTE(SUBSTITUTE(SUBSTITUTE(SUBSTITUTE(SUBSTITUTE(TRIM(M464),".",""),"/",""),"-","")," ",""),"(",""),")",""),"+",""))=11,LEFT(SUBSTITUTE(SUBSTITUTE(SUBSTITUTE(SUBSTITUTE(SUBSTITUTE(SUBSTITUTE(SUBSTITUTE(TRIM(M464),".",""),"/",""),"-","")," ",""),"(",""),")",""),"+",""),4)="0800")),"OK",IF(AND(LEN(SUBSTITUTE(SUBSTITUTE(SUBSTITUTE(SUBSTITUTE(SUBSTITUTE(SUBSTITUTE(SUBSTITUTE(TRIM(M464),".",""),"/",""),"-","")," ",""),"(",""),")",""),"+",""))=11,MID(SUBSTITUTE(SUBSTITUTE(SUBSTITUTE(SUBSTITUTE(SUBSTITUTE(SUBSTITUTE(SUBSTITUTE(TRIM(M464),".",""),"/",""),"-","")," ",""),"(",""),")",""),"+",""),3,1)="9"),"ERRO: é celular, use a coluna Celular","ERRO: DDD + 8 dígitos ou 0800 + 7")))</f>
      </c>
      <c r="X464" s="6">
        <f>IF(N464="","vazio",IF(AND(LEN(SUBSTITUTE(SUBSTITUTE(SUBSTITUTE(SUBSTITUTE(SUBSTITUTE(SUBSTITUTE(SUBSTITUTE(TRIM(N464),".",""),"/",""),"-","")," ",""),"(",""),")",""),"+",""))=11,MID(SUBSTITUTE(SUBSTITUTE(SUBSTITUTE(SUBSTITUTE(SUBSTITUTE(SUBSTITUTE(SUBSTITUTE(TRIM(N464),".",""),"/",""),"-","")," ",""),"(",""),")",""),"+",""),3,1)="9",LEFT(SUBSTITUTE(SUBSTITUTE(SUBSTITUTE(SUBSTITUTE(SUBSTITUTE(SUBSTITUTE(SUBSTITUTE(TRIM(N464),".",""),"/",""),"-","")," ",""),"(",""),")",""),"+",""),1)&lt;&gt;"0"),"OK",IF(LEN(SUBSTITUTE(SUBSTITUTE(SUBSTITUTE(SUBSTITUTE(SUBSTITUTE(SUBSTITUTE(SUBSTITUTE(TRIM(N464),".",""),"/",""),"-","")," ",""),"(",""),")",""),"+",""))=10,"ERRO: é fixo (ou falta o 9), use a coluna Telefone fixo","ERRO: DDD + 9 + 8 dígitos")))</f>
      </c>
      <c r="Y464" s="6">
        <f>IF(O464="","vazio",IF(AND(ISNUMBER(FIND("@",O464)),ISNUMBER(FIND(".",MID(O464,FIND("@",O464),99))),NOT(ISNUMBER(FIND(" ",TRIM(O464)))),NOT(ISNUMBER(FIND(";",O464))),NOT(ISNUMBER(FIND(",",O464)))),"OK","ERRO: um e-mail válido por linha"))</f>
      </c>
      <c r="Z464" s="6">
        <f>IF(AND(J464="",K464=""),"",IF(AND(J464&lt;&gt;"",K464&lt;&gt;""),"OK","pendente: só um nome (o GR completa ao converter)"))</f>
      </c>
      <c r="AA464" s="6">
        <f>IF(COUNTA(A464:S464)=0,"",IF(AND(A464&lt;&gt;"",B464&lt;&gt;"",C464&lt;&gt;"",D464&lt;&gt;"",E464&lt;&gt;"",F464&lt;&gt;"",G464&lt;&gt;"",H464&lt;&gt;"",OR(J464&lt;&gt;"",K464&lt;&gt;""),OR(M464&lt;&gt;"",N464&lt;&gt;"",O464&lt;&gt;"")),"OK","ERRO: faltam "&amp;IF(A464="","SDR; ","")&amp;IF(B464="","Proprietário; ","")&amp;IF(C464="","Origem; ","")&amp;IF(D464="","Temperatura; ","")&amp;IF(E464="","Segmento; ","")&amp;IF(F464="","Time/Cluster; ","")&amp;IF(G464="","CNPJ; ","")&amp;IF(H464="","Razão Social; ","")&amp;IF(AND(J464="",K464=""),"nome do contato; ","")&amp;IF(AND(M464="",N464="",O464=""),"telefone, celular ou e-mail; ","")))</f>
      </c>
      <c r="AB464" s="6">
        <f>IF(COUNTA(A464:S464)=0,"",IF(AND(U464="OK",V464="OK",LEFT(W464,4)&lt;&gt;"ERRO",LEFT(X464,4)&lt;&gt;"ERRO",LEFT(Y464,4)&lt;&gt;"ERRO",AA464="OK"),"OK","REVISAR"))</f>
      </c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5"/>
      <c r="K465" s="4"/>
      <c r="L465" s="4"/>
      <c r="M465" s="4"/>
      <c r="N465" s="4"/>
      <c r="O465" s="4"/>
      <c r="P465" s="4"/>
      <c r="Q465" s="4"/>
      <c r="R465" s="4"/>
      <c r="S465" s="4"/>
      <c r="T465" s="6">
        <f>IF(G465="","",SUBSTITUTE(SUBSTITUTE(SUBSTITUTE(SUBSTITUTE(SUBSTITUTE(SUBSTITUTE(SUBSTITUTE(TRIM(G465),".",""),"/",""),"-","")," ",""),"(",""),")",""),"+",""))</f>
      </c>
      <c r="U465" s="6">
        <f>IF(T465="","",IF(LEN(T465)&lt;&gt;14,"ERRO: "&amp;LEN(T465)&amp;" dígitos",IF(NOT(ISNUMBER(VALUE(T465))),"ERRO: não numérico",IF(LEN(SUBSTITUTE(T465,LEFT(T465,1),""))=0,"ERRO: dígitos repetidos",IF(AND(VALUE(MID(T465,13,1))=IF(MOD(SUMPRODUCT(--MID(T465,{1,2,3,4,5,6,7,8,9,10,11,12},1),{5,4,3,2,9,8,7,6,5,4,3,2}),11)&lt;2,0,11-MOD(SUMPRODUCT(--MID(T465,{1,2,3,4,5,6,7,8,9,10,11,12},1),{5,4,3,2,9,8,7,6,5,4,3,2}),11)),VALUE(MID(T465,14,1))=IF(MOD(SUMPRODUCT(--MID(T465,{1,2,3,4,5,6,7,8,9,10,11,12,13},1),{6,5,4,3,2,9,8,7,6,5,4,3,2}),11)&lt;2,0,11-MOD(SUMPRODUCT(--MID(T465,{1,2,3,4,5,6,7,8,9,10,11,12,13},1),{6,5,4,3,2,9,8,7,6,5,4,3,2}),11))),"OK","ERRO: dígito verificador")))))</f>
      </c>
      <c r="V465" s="6">
        <f>IF(T465="","",IF(COUNTIF($T$2:$T$1001,T465)&gt;1,"DUPLICADO","OK"))</f>
      </c>
      <c r="W465" s="6">
        <f>IF(M465="","vazio",IF(OR(AND(LEN(SUBSTITUTE(SUBSTITUTE(SUBSTITUTE(SUBSTITUTE(SUBSTITUTE(SUBSTITUTE(SUBSTITUTE(TRIM(M465),".",""),"/",""),"-","")," ",""),"(",""),")",""),"+",""))=10,LEFT(SUBSTITUTE(SUBSTITUTE(SUBSTITUTE(SUBSTITUTE(SUBSTITUTE(SUBSTITUTE(SUBSTITUTE(TRIM(M465),".",""),"/",""),"-","")," ",""),"(",""),")",""),"+",""),1)&lt;&gt;"0"),AND(LEN(SUBSTITUTE(SUBSTITUTE(SUBSTITUTE(SUBSTITUTE(SUBSTITUTE(SUBSTITUTE(SUBSTITUTE(TRIM(M465),".",""),"/",""),"-","")," ",""),"(",""),")",""),"+",""))=11,LEFT(SUBSTITUTE(SUBSTITUTE(SUBSTITUTE(SUBSTITUTE(SUBSTITUTE(SUBSTITUTE(SUBSTITUTE(TRIM(M465),".",""),"/",""),"-","")," ",""),"(",""),")",""),"+",""),4)="0800")),"OK",IF(AND(LEN(SUBSTITUTE(SUBSTITUTE(SUBSTITUTE(SUBSTITUTE(SUBSTITUTE(SUBSTITUTE(SUBSTITUTE(TRIM(M465),".",""),"/",""),"-","")," ",""),"(",""),")",""),"+",""))=11,MID(SUBSTITUTE(SUBSTITUTE(SUBSTITUTE(SUBSTITUTE(SUBSTITUTE(SUBSTITUTE(SUBSTITUTE(TRIM(M465),".",""),"/",""),"-","")," ",""),"(",""),")",""),"+",""),3,1)="9"),"ERRO: é celular, use a coluna Celular","ERRO: DDD + 8 dígitos ou 0800 + 7")))</f>
      </c>
      <c r="X465" s="6">
        <f>IF(N465="","vazio",IF(AND(LEN(SUBSTITUTE(SUBSTITUTE(SUBSTITUTE(SUBSTITUTE(SUBSTITUTE(SUBSTITUTE(SUBSTITUTE(TRIM(N465),".",""),"/",""),"-","")," ",""),"(",""),")",""),"+",""))=11,MID(SUBSTITUTE(SUBSTITUTE(SUBSTITUTE(SUBSTITUTE(SUBSTITUTE(SUBSTITUTE(SUBSTITUTE(TRIM(N465),".",""),"/",""),"-","")," ",""),"(",""),")",""),"+",""),3,1)="9",LEFT(SUBSTITUTE(SUBSTITUTE(SUBSTITUTE(SUBSTITUTE(SUBSTITUTE(SUBSTITUTE(SUBSTITUTE(TRIM(N465),".",""),"/",""),"-","")," ",""),"(",""),")",""),"+",""),1)&lt;&gt;"0"),"OK",IF(LEN(SUBSTITUTE(SUBSTITUTE(SUBSTITUTE(SUBSTITUTE(SUBSTITUTE(SUBSTITUTE(SUBSTITUTE(TRIM(N465),".",""),"/",""),"-","")," ",""),"(",""),")",""),"+",""))=10,"ERRO: é fixo (ou falta o 9), use a coluna Telefone fixo","ERRO: DDD + 9 + 8 dígitos")))</f>
      </c>
      <c r="Y465" s="6">
        <f>IF(O465="","vazio",IF(AND(ISNUMBER(FIND("@",O465)),ISNUMBER(FIND(".",MID(O465,FIND("@",O465),99))),NOT(ISNUMBER(FIND(" ",TRIM(O465)))),NOT(ISNUMBER(FIND(";",O465))),NOT(ISNUMBER(FIND(",",O465)))),"OK","ERRO: um e-mail válido por linha"))</f>
      </c>
      <c r="Z465" s="6">
        <f>IF(AND(J465="",K465=""),"",IF(AND(J465&lt;&gt;"",K465&lt;&gt;""),"OK","pendente: só um nome (o GR completa ao converter)"))</f>
      </c>
      <c r="AA465" s="6">
        <f>IF(COUNTA(A465:S465)=0,"",IF(AND(A465&lt;&gt;"",B465&lt;&gt;"",C465&lt;&gt;"",D465&lt;&gt;"",E465&lt;&gt;"",F465&lt;&gt;"",G465&lt;&gt;"",H465&lt;&gt;"",OR(J465&lt;&gt;"",K465&lt;&gt;""),OR(M465&lt;&gt;"",N465&lt;&gt;"",O465&lt;&gt;"")),"OK","ERRO: faltam "&amp;IF(A465="","SDR; ","")&amp;IF(B465="","Proprietário; ","")&amp;IF(C465="","Origem; ","")&amp;IF(D465="","Temperatura; ","")&amp;IF(E465="","Segmento; ","")&amp;IF(F465="","Time/Cluster; ","")&amp;IF(G465="","CNPJ; ","")&amp;IF(H465="","Razão Social; ","")&amp;IF(AND(J465="",K465=""),"nome do contato; ","")&amp;IF(AND(M465="",N465="",O465=""),"telefone, celular ou e-mail; ","")))</f>
      </c>
      <c r="AB465" s="6">
        <f>IF(COUNTA(A465:S465)=0,"",IF(AND(U465="OK",V465="OK",LEFT(W465,4)&lt;&gt;"ERRO",LEFT(X465,4)&lt;&gt;"ERRO",LEFT(Y465,4)&lt;&gt;"ERRO",AA465="OK"),"OK","REVISAR"))</f>
      </c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5"/>
      <c r="K466" s="4"/>
      <c r="L466" s="4"/>
      <c r="M466" s="4"/>
      <c r="N466" s="4"/>
      <c r="O466" s="4"/>
      <c r="P466" s="4"/>
      <c r="Q466" s="4"/>
      <c r="R466" s="4"/>
      <c r="S466" s="4"/>
      <c r="T466" s="6">
        <f>IF(G466="","",SUBSTITUTE(SUBSTITUTE(SUBSTITUTE(SUBSTITUTE(SUBSTITUTE(SUBSTITUTE(SUBSTITUTE(TRIM(G466),".",""),"/",""),"-","")," ",""),"(",""),")",""),"+",""))</f>
      </c>
      <c r="U466" s="6">
        <f>IF(T466="","",IF(LEN(T466)&lt;&gt;14,"ERRO: "&amp;LEN(T466)&amp;" dígitos",IF(NOT(ISNUMBER(VALUE(T466))),"ERRO: não numérico",IF(LEN(SUBSTITUTE(T466,LEFT(T466,1),""))=0,"ERRO: dígitos repetidos",IF(AND(VALUE(MID(T466,13,1))=IF(MOD(SUMPRODUCT(--MID(T466,{1,2,3,4,5,6,7,8,9,10,11,12},1),{5,4,3,2,9,8,7,6,5,4,3,2}),11)&lt;2,0,11-MOD(SUMPRODUCT(--MID(T466,{1,2,3,4,5,6,7,8,9,10,11,12},1),{5,4,3,2,9,8,7,6,5,4,3,2}),11)),VALUE(MID(T466,14,1))=IF(MOD(SUMPRODUCT(--MID(T466,{1,2,3,4,5,6,7,8,9,10,11,12,13},1),{6,5,4,3,2,9,8,7,6,5,4,3,2}),11)&lt;2,0,11-MOD(SUMPRODUCT(--MID(T466,{1,2,3,4,5,6,7,8,9,10,11,12,13},1),{6,5,4,3,2,9,8,7,6,5,4,3,2}),11))),"OK","ERRO: dígito verificador")))))</f>
      </c>
      <c r="V466" s="6">
        <f>IF(T466="","",IF(COUNTIF($T$2:$T$1001,T466)&gt;1,"DUPLICADO","OK"))</f>
      </c>
      <c r="W466" s="6">
        <f>IF(M466="","vazio",IF(OR(AND(LEN(SUBSTITUTE(SUBSTITUTE(SUBSTITUTE(SUBSTITUTE(SUBSTITUTE(SUBSTITUTE(SUBSTITUTE(TRIM(M466),".",""),"/",""),"-","")," ",""),"(",""),")",""),"+",""))=10,LEFT(SUBSTITUTE(SUBSTITUTE(SUBSTITUTE(SUBSTITUTE(SUBSTITUTE(SUBSTITUTE(SUBSTITUTE(TRIM(M466),".",""),"/",""),"-","")," ",""),"(",""),")",""),"+",""),1)&lt;&gt;"0"),AND(LEN(SUBSTITUTE(SUBSTITUTE(SUBSTITUTE(SUBSTITUTE(SUBSTITUTE(SUBSTITUTE(SUBSTITUTE(TRIM(M466),".",""),"/",""),"-","")," ",""),"(",""),")",""),"+",""))=11,LEFT(SUBSTITUTE(SUBSTITUTE(SUBSTITUTE(SUBSTITUTE(SUBSTITUTE(SUBSTITUTE(SUBSTITUTE(TRIM(M466),".",""),"/",""),"-","")," ",""),"(",""),")",""),"+",""),4)="0800")),"OK",IF(AND(LEN(SUBSTITUTE(SUBSTITUTE(SUBSTITUTE(SUBSTITUTE(SUBSTITUTE(SUBSTITUTE(SUBSTITUTE(TRIM(M466),".",""),"/",""),"-","")," ",""),"(",""),")",""),"+",""))=11,MID(SUBSTITUTE(SUBSTITUTE(SUBSTITUTE(SUBSTITUTE(SUBSTITUTE(SUBSTITUTE(SUBSTITUTE(TRIM(M466),".",""),"/",""),"-","")," ",""),"(",""),")",""),"+",""),3,1)="9"),"ERRO: é celular, use a coluna Celular","ERRO: DDD + 8 dígitos ou 0800 + 7")))</f>
      </c>
      <c r="X466" s="6">
        <f>IF(N466="","vazio",IF(AND(LEN(SUBSTITUTE(SUBSTITUTE(SUBSTITUTE(SUBSTITUTE(SUBSTITUTE(SUBSTITUTE(SUBSTITUTE(TRIM(N466),".",""),"/",""),"-","")," ",""),"(",""),")",""),"+",""))=11,MID(SUBSTITUTE(SUBSTITUTE(SUBSTITUTE(SUBSTITUTE(SUBSTITUTE(SUBSTITUTE(SUBSTITUTE(TRIM(N466),".",""),"/",""),"-","")," ",""),"(",""),")",""),"+",""),3,1)="9",LEFT(SUBSTITUTE(SUBSTITUTE(SUBSTITUTE(SUBSTITUTE(SUBSTITUTE(SUBSTITUTE(SUBSTITUTE(TRIM(N466),".",""),"/",""),"-","")," ",""),"(",""),")",""),"+",""),1)&lt;&gt;"0"),"OK",IF(LEN(SUBSTITUTE(SUBSTITUTE(SUBSTITUTE(SUBSTITUTE(SUBSTITUTE(SUBSTITUTE(SUBSTITUTE(TRIM(N466),".",""),"/",""),"-","")," ",""),"(",""),")",""),"+",""))=10,"ERRO: é fixo (ou falta o 9), use a coluna Telefone fixo","ERRO: DDD + 9 + 8 dígitos")))</f>
      </c>
      <c r="Y466" s="6">
        <f>IF(O466="","vazio",IF(AND(ISNUMBER(FIND("@",O466)),ISNUMBER(FIND(".",MID(O466,FIND("@",O466),99))),NOT(ISNUMBER(FIND(" ",TRIM(O466)))),NOT(ISNUMBER(FIND(";",O466))),NOT(ISNUMBER(FIND(",",O466)))),"OK","ERRO: um e-mail válido por linha"))</f>
      </c>
      <c r="Z466" s="6">
        <f>IF(AND(J466="",K466=""),"",IF(AND(J466&lt;&gt;"",K466&lt;&gt;""),"OK","pendente: só um nome (o GR completa ao converter)"))</f>
      </c>
      <c r="AA466" s="6">
        <f>IF(COUNTA(A466:S466)=0,"",IF(AND(A466&lt;&gt;"",B466&lt;&gt;"",C466&lt;&gt;"",D466&lt;&gt;"",E466&lt;&gt;"",F466&lt;&gt;"",G466&lt;&gt;"",H466&lt;&gt;"",OR(J466&lt;&gt;"",K466&lt;&gt;""),OR(M466&lt;&gt;"",N466&lt;&gt;"",O466&lt;&gt;"")),"OK","ERRO: faltam "&amp;IF(A466="","SDR; ","")&amp;IF(B466="","Proprietário; ","")&amp;IF(C466="","Origem; ","")&amp;IF(D466="","Temperatura; ","")&amp;IF(E466="","Segmento; ","")&amp;IF(F466="","Time/Cluster; ","")&amp;IF(G466="","CNPJ; ","")&amp;IF(H466="","Razão Social; ","")&amp;IF(AND(J466="",K466=""),"nome do contato; ","")&amp;IF(AND(M466="",N466="",O466=""),"telefone, celular ou e-mail; ","")))</f>
      </c>
      <c r="AB466" s="6">
        <f>IF(COUNTA(A466:S466)=0,"",IF(AND(U466="OK",V466="OK",LEFT(W466,4)&lt;&gt;"ERRO",LEFT(X466,4)&lt;&gt;"ERRO",LEFT(Y466,4)&lt;&gt;"ERRO",AA466="OK"),"OK","REVISAR"))</f>
      </c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5"/>
      <c r="K467" s="4"/>
      <c r="L467" s="4"/>
      <c r="M467" s="4"/>
      <c r="N467" s="4"/>
      <c r="O467" s="4"/>
      <c r="P467" s="4"/>
      <c r="Q467" s="4"/>
      <c r="R467" s="4"/>
      <c r="S467" s="4"/>
      <c r="T467" s="6">
        <f>IF(G467="","",SUBSTITUTE(SUBSTITUTE(SUBSTITUTE(SUBSTITUTE(SUBSTITUTE(SUBSTITUTE(SUBSTITUTE(TRIM(G467),".",""),"/",""),"-","")," ",""),"(",""),")",""),"+",""))</f>
      </c>
      <c r="U467" s="6">
        <f>IF(T467="","",IF(LEN(T467)&lt;&gt;14,"ERRO: "&amp;LEN(T467)&amp;" dígitos",IF(NOT(ISNUMBER(VALUE(T467))),"ERRO: não numérico",IF(LEN(SUBSTITUTE(T467,LEFT(T467,1),""))=0,"ERRO: dígitos repetidos",IF(AND(VALUE(MID(T467,13,1))=IF(MOD(SUMPRODUCT(--MID(T467,{1,2,3,4,5,6,7,8,9,10,11,12},1),{5,4,3,2,9,8,7,6,5,4,3,2}),11)&lt;2,0,11-MOD(SUMPRODUCT(--MID(T467,{1,2,3,4,5,6,7,8,9,10,11,12},1),{5,4,3,2,9,8,7,6,5,4,3,2}),11)),VALUE(MID(T467,14,1))=IF(MOD(SUMPRODUCT(--MID(T467,{1,2,3,4,5,6,7,8,9,10,11,12,13},1),{6,5,4,3,2,9,8,7,6,5,4,3,2}),11)&lt;2,0,11-MOD(SUMPRODUCT(--MID(T467,{1,2,3,4,5,6,7,8,9,10,11,12,13},1),{6,5,4,3,2,9,8,7,6,5,4,3,2}),11))),"OK","ERRO: dígito verificador")))))</f>
      </c>
      <c r="V467" s="6">
        <f>IF(T467="","",IF(COUNTIF($T$2:$T$1001,T467)&gt;1,"DUPLICADO","OK"))</f>
      </c>
      <c r="W467" s="6">
        <f>IF(M467="","vazio",IF(OR(AND(LEN(SUBSTITUTE(SUBSTITUTE(SUBSTITUTE(SUBSTITUTE(SUBSTITUTE(SUBSTITUTE(SUBSTITUTE(TRIM(M467),".",""),"/",""),"-","")," ",""),"(",""),")",""),"+",""))=10,LEFT(SUBSTITUTE(SUBSTITUTE(SUBSTITUTE(SUBSTITUTE(SUBSTITUTE(SUBSTITUTE(SUBSTITUTE(TRIM(M467),".",""),"/",""),"-","")," ",""),"(",""),")",""),"+",""),1)&lt;&gt;"0"),AND(LEN(SUBSTITUTE(SUBSTITUTE(SUBSTITUTE(SUBSTITUTE(SUBSTITUTE(SUBSTITUTE(SUBSTITUTE(TRIM(M467),".",""),"/",""),"-","")," ",""),"(",""),")",""),"+",""))=11,LEFT(SUBSTITUTE(SUBSTITUTE(SUBSTITUTE(SUBSTITUTE(SUBSTITUTE(SUBSTITUTE(SUBSTITUTE(TRIM(M467),".",""),"/",""),"-","")," ",""),"(",""),")",""),"+",""),4)="0800")),"OK",IF(AND(LEN(SUBSTITUTE(SUBSTITUTE(SUBSTITUTE(SUBSTITUTE(SUBSTITUTE(SUBSTITUTE(SUBSTITUTE(TRIM(M467),".",""),"/",""),"-","")," ",""),"(",""),")",""),"+",""))=11,MID(SUBSTITUTE(SUBSTITUTE(SUBSTITUTE(SUBSTITUTE(SUBSTITUTE(SUBSTITUTE(SUBSTITUTE(TRIM(M467),".",""),"/",""),"-","")," ",""),"(",""),")",""),"+",""),3,1)="9"),"ERRO: é celular, use a coluna Celular","ERRO: DDD + 8 dígitos ou 0800 + 7")))</f>
      </c>
      <c r="X467" s="6">
        <f>IF(N467="","vazio",IF(AND(LEN(SUBSTITUTE(SUBSTITUTE(SUBSTITUTE(SUBSTITUTE(SUBSTITUTE(SUBSTITUTE(SUBSTITUTE(TRIM(N467),".",""),"/",""),"-","")," ",""),"(",""),")",""),"+",""))=11,MID(SUBSTITUTE(SUBSTITUTE(SUBSTITUTE(SUBSTITUTE(SUBSTITUTE(SUBSTITUTE(SUBSTITUTE(TRIM(N467),".",""),"/",""),"-","")," ",""),"(",""),")",""),"+",""),3,1)="9",LEFT(SUBSTITUTE(SUBSTITUTE(SUBSTITUTE(SUBSTITUTE(SUBSTITUTE(SUBSTITUTE(SUBSTITUTE(TRIM(N467),".",""),"/",""),"-","")," ",""),"(",""),")",""),"+",""),1)&lt;&gt;"0"),"OK",IF(LEN(SUBSTITUTE(SUBSTITUTE(SUBSTITUTE(SUBSTITUTE(SUBSTITUTE(SUBSTITUTE(SUBSTITUTE(TRIM(N467),".",""),"/",""),"-","")," ",""),"(",""),")",""),"+",""))=10,"ERRO: é fixo (ou falta o 9), use a coluna Telefone fixo","ERRO: DDD + 9 + 8 dígitos")))</f>
      </c>
      <c r="Y467" s="6">
        <f>IF(O467="","vazio",IF(AND(ISNUMBER(FIND("@",O467)),ISNUMBER(FIND(".",MID(O467,FIND("@",O467),99))),NOT(ISNUMBER(FIND(" ",TRIM(O467)))),NOT(ISNUMBER(FIND(";",O467))),NOT(ISNUMBER(FIND(",",O467)))),"OK","ERRO: um e-mail válido por linha"))</f>
      </c>
      <c r="Z467" s="6">
        <f>IF(AND(J467="",K467=""),"",IF(AND(J467&lt;&gt;"",K467&lt;&gt;""),"OK","pendente: só um nome (o GR completa ao converter)"))</f>
      </c>
      <c r="AA467" s="6">
        <f>IF(COUNTA(A467:S467)=0,"",IF(AND(A467&lt;&gt;"",B467&lt;&gt;"",C467&lt;&gt;"",D467&lt;&gt;"",E467&lt;&gt;"",F467&lt;&gt;"",G467&lt;&gt;"",H467&lt;&gt;"",OR(J467&lt;&gt;"",K467&lt;&gt;""),OR(M467&lt;&gt;"",N467&lt;&gt;"",O467&lt;&gt;"")),"OK","ERRO: faltam "&amp;IF(A467="","SDR; ","")&amp;IF(B467="","Proprietário; ","")&amp;IF(C467="","Origem; ","")&amp;IF(D467="","Temperatura; ","")&amp;IF(E467="","Segmento; ","")&amp;IF(F467="","Time/Cluster; ","")&amp;IF(G467="","CNPJ; ","")&amp;IF(H467="","Razão Social; ","")&amp;IF(AND(J467="",K467=""),"nome do contato; ","")&amp;IF(AND(M467="",N467="",O467=""),"telefone, celular ou e-mail; ","")))</f>
      </c>
      <c r="AB467" s="6">
        <f>IF(COUNTA(A467:S467)=0,"",IF(AND(U467="OK",V467="OK",LEFT(W467,4)&lt;&gt;"ERRO",LEFT(X467,4)&lt;&gt;"ERRO",LEFT(Y467,4)&lt;&gt;"ERRO",AA467="OK"),"OK","REVISAR"))</f>
      </c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5"/>
      <c r="K468" s="4"/>
      <c r="L468" s="4"/>
      <c r="M468" s="4"/>
      <c r="N468" s="4"/>
      <c r="O468" s="4"/>
      <c r="P468" s="4"/>
      <c r="Q468" s="4"/>
      <c r="R468" s="4"/>
      <c r="S468" s="4"/>
      <c r="T468" s="6">
        <f>IF(G468="","",SUBSTITUTE(SUBSTITUTE(SUBSTITUTE(SUBSTITUTE(SUBSTITUTE(SUBSTITUTE(SUBSTITUTE(TRIM(G468),".",""),"/",""),"-","")," ",""),"(",""),")",""),"+",""))</f>
      </c>
      <c r="U468" s="6">
        <f>IF(T468="","",IF(LEN(T468)&lt;&gt;14,"ERRO: "&amp;LEN(T468)&amp;" dígitos",IF(NOT(ISNUMBER(VALUE(T468))),"ERRO: não numérico",IF(LEN(SUBSTITUTE(T468,LEFT(T468,1),""))=0,"ERRO: dígitos repetidos",IF(AND(VALUE(MID(T468,13,1))=IF(MOD(SUMPRODUCT(--MID(T468,{1,2,3,4,5,6,7,8,9,10,11,12},1),{5,4,3,2,9,8,7,6,5,4,3,2}),11)&lt;2,0,11-MOD(SUMPRODUCT(--MID(T468,{1,2,3,4,5,6,7,8,9,10,11,12},1),{5,4,3,2,9,8,7,6,5,4,3,2}),11)),VALUE(MID(T468,14,1))=IF(MOD(SUMPRODUCT(--MID(T468,{1,2,3,4,5,6,7,8,9,10,11,12,13},1),{6,5,4,3,2,9,8,7,6,5,4,3,2}),11)&lt;2,0,11-MOD(SUMPRODUCT(--MID(T468,{1,2,3,4,5,6,7,8,9,10,11,12,13},1),{6,5,4,3,2,9,8,7,6,5,4,3,2}),11))),"OK","ERRO: dígito verificador")))))</f>
      </c>
      <c r="V468" s="6">
        <f>IF(T468="","",IF(COUNTIF($T$2:$T$1001,T468)&gt;1,"DUPLICADO","OK"))</f>
      </c>
      <c r="W468" s="6">
        <f>IF(M468="","vazio",IF(OR(AND(LEN(SUBSTITUTE(SUBSTITUTE(SUBSTITUTE(SUBSTITUTE(SUBSTITUTE(SUBSTITUTE(SUBSTITUTE(TRIM(M468),".",""),"/",""),"-","")," ",""),"(",""),")",""),"+",""))=10,LEFT(SUBSTITUTE(SUBSTITUTE(SUBSTITUTE(SUBSTITUTE(SUBSTITUTE(SUBSTITUTE(SUBSTITUTE(TRIM(M468),".",""),"/",""),"-","")," ",""),"(",""),")",""),"+",""),1)&lt;&gt;"0"),AND(LEN(SUBSTITUTE(SUBSTITUTE(SUBSTITUTE(SUBSTITUTE(SUBSTITUTE(SUBSTITUTE(SUBSTITUTE(TRIM(M468),".",""),"/",""),"-","")," ",""),"(",""),")",""),"+",""))=11,LEFT(SUBSTITUTE(SUBSTITUTE(SUBSTITUTE(SUBSTITUTE(SUBSTITUTE(SUBSTITUTE(SUBSTITUTE(TRIM(M468),".",""),"/",""),"-","")," ",""),"(",""),")",""),"+",""),4)="0800")),"OK",IF(AND(LEN(SUBSTITUTE(SUBSTITUTE(SUBSTITUTE(SUBSTITUTE(SUBSTITUTE(SUBSTITUTE(SUBSTITUTE(TRIM(M468),".",""),"/",""),"-","")," ",""),"(",""),")",""),"+",""))=11,MID(SUBSTITUTE(SUBSTITUTE(SUBSTITUTE(SUBSTITUTE(SUBSTITUTE(SUBSTITUTE(SUBSTITUTE(TRIM(M468),".",""),"/",""),"-","")," ",""),"(",""),")",""),"+",""),3,1)="9"),"ERRO: é celular, use a coluna Celular","ERRO: DDD + 8 dígitos ou 0800 + 7")))</f>
      </c>
      <c r="X468" s="6">
        <f>IF(N468="","vazio",IF(AND(LEN(SUBSTITUTE(SUBSTITUTE(SUBSTITUTE(SUBSTITUTE(SUBSTITUTE(SUBSTITUTE(SUBSTITUTE(TRIM(N468),".",""),"/",""),"-","")," ",""),"(",""),")",""),"+",""))=11,MID(SUBSTITUTE(SUBSTITUTE(SUBSTITUTE(SUBSTITUTE(SUBSTITUTE(SUBSTITUTE(SUBSTITUTE(TRIM(N468),".",""),"/",""),"-","")," ",""),"(",""),")",""),"+",""),3,1)="9",LEFT(SUBSTITUTE(SUBSTITUTE(SUBSTITUTE(SUBSTITUTE(SUBSTITUTE(SUBSTITUTE(SUBSTITUTE(TRIM(N468),".",""),"/",""),"-","")," ",""),"(",""),")",""),"+",""),1)&lt;&gt;"0"),"OK",IF(LEN(SUBSTITUTE(SUBSTITUTE(SUBSTITUTE(SUBSTITUTE(SUBSTITUTE(SUBSTITUTE(SUBSTITUTE(TRIM(N468),".",""),"/",""),"-","")," ",""),"(",""),")",""),"+",""))=10,"ERRO: é fixo (ou falta o 9), use a coluna Telefone fixo","ERRO: DDD + 9 + 8 dígitos")))</f>
      </c>
      <c r="Y468" s="6">
        <f>IF(O468="","vazio",IF(AND(ISNUMBER(FIND("@",O468)),ISNUMBER(FIND(".",MID(O468,FIND("@",O468),99))),NOT(ISNUMBER(FIND(" ",TRIM(O468)))),NOT(ISNUMBER(FIND(";",O468))),NOT(ISNUMBER(FIND(",",O468)))),"OK","ERRO: um e-mail válido por linha"))</f>
      </c>
      <c r="Z468" s="6">
        <f>IF(AND(J468="",K468=""),"",IF(AND(J468&lt;&gt;"",K468&lt;&gt;""),"OK","pendente: só um nome (o GR completa ao converter)"))</f>
      </c>
      <c r="AA468" s="6">
        <f>IF(COUNTA(A468:S468)=0,"",IF(AND(A468&lt;&gt;"",B468&lt;&gt;"",C468&lt;&gt;"",D468&lt;&gt;"",E468&lt;&gt;"",F468&lt;&gt;"",G468&lt;&gt;"",H468&lt;&gt;"",OR(J468&lt;&gt;"",K468&lt;&gt;""),OR(M468&lt;&gt;"",N468&lt;&gt;"",O468&lt;&gt;"")),"OK","ERRO: faltam "&amp;IF(A468="","SDR; ","")&amp;IF(B468="","Proprietário; ","")&amp;IF(C468="","Origem; ","")&amp;IF(D468="","Temperatura; ","")&amp;IF(E468="","Segmento; ","")&amp;IF(F468="","Time/Cluster; ","")&amp;IF(G468="","CNPJ; ","")&amp;IF(H468="","Razão Social; ","")&amp;IF(AND(J468="",K468=""),"nome do contato; ","")&amp;IF(AND(M468="",N468="",O468=""),"telefone, celular ou e-mail; ","")))</f>
      </c>
      <c r="AB468" s="6">
        <f>IF(COUNTA(A468:S468)=0,"",IF(AND(U468="OK",V468="OK",LEFT(W468,4)&lt;&gt;"ERRO",LEFT(X468,4)&lt;&gt;"ERRO",LEFT(Y468,4)&lt;&gt;"ERRO",AA468="OK"),"OK","REVISAR"))</f>
      </c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5"/>
      <c r="K469" s="4"/>
      <c r="L469" s="4"/>
      <c r="M469" s="4"/>
      <c r="N469" s="4"/>
      <c r="O469" s="4"/>
      <c r="P469" s="4"/>
      <c r="Q469" s="4"/>
      <c r="R469" s="4"/>
      <c r="S469" s="4"/>
      <c r="T469" s="6">
        <f>IF(G469="","",SUBSTITUTE(SUBSTITUTE(SUBSTITUTE(SUBSTITUTE(SUBSTITUTE(SUBSTITUTE(SUBSTITUTE(TRIM(G469),".",""),"/",""),"-","")," ",""),"(",""),")",""),"+",""))</f>
      </c>
      <c r="U469" s="6">
        <f>IF(T469="","",IF(LEN(T469)&lt;&gt;14,"ERRO: "&amp;LEN(T469)&amp;" dígitos",IF(NOT(ISNUMBER(VALUE(T469))),"ERRO: não numérico",IF(LEN(SUBSTITUTE(T469,LEFT(T469,1),""))=0,"ERRO: dígitos repetidos",IF(AND(VALUE(MID(T469,13,1))=IF(MOD(SUMPRODUCT(--MID(T469,{1,2,3,4,5,6,7,8,9,10,11,12},1),{5,4,3,2,9,8,7,6,5,4,3,2}),11)&lt;2,0,11-MOD(SUMPRODUCT(--MID(T469,{1,2,3,4,5,6,7,8,9,10,11,12},1),{5,4,3,2,9,8,7,6,5,4,3,2}),11)),VALUE(MID(T469,14,1))=IF(MOD(SUMPRODUCT(--MID(T469,{1,2,3,4,5,6,7,8,9,10,11,12,13},1),{6,5,4,3,2,9,8,7,6,5,4,3,2}),11)&lt;2,0,11-MOD(SUMPRODUCT(--MID(T469,{1,2,3,4,5,6,7,8,9,10,11,12,13},1),{6,5,4,3,2,9,8,7,6,5,4,3,2}),11))),"OK","ERRO: dígito verificador")))))</f>
      </c>
      <c r="V469" s="6">
        <f>IF(T469="","",IF(COUNTIF($T$2:$T$1001,T469)&gt;1,"DUPLICADO","OK"))</f>
      </c>
      <c r="W469" s="6">
        <f>IF(M469="","vazio",IF(OR(AND(LEN(SUBSTITUTE(SUBSTITUTE(SUBSTITUTE(SUBSTITUTE(SUBSTITUTE(SUBSTITUTE(SUBSTITUTE(TRIM(M469),".",""),"/",""),"-","")," ",""),"(",""),")",""),"+",""))=10,LEFT(SUBSTITUTE(SUBSTITUTE(SUBSTITUTE(SUBSTITUTE(SUBSTITUTE(SUBSTITUTE(SUBSTITUTE(TRIM(M469),".",""),"/",""),"-","")," ",""),"(",""),")",""),"+",""),1)&lt;&gt;"0"),AND(LEN(SUBSTITUTE(SUBSTITUTE(SUBSTITUTE(SUBSTITUTE(SUBSTITUTE(SUBSTITUTE(SUBSTITUTE(TRIM(M469),".",""),"/",""),"-","")," ",""),"(",""),")",""),"+",""))=11,LEFT(SUBSTITUTE(SUBSTITUTE(SUBSTITUTE(SUBSTITUTE(SUBSTITUTE(SUBSTITUTE(SUBSTITUTE(TRIM(M469),".",""),"/",""),"-","")," ",""),"(",""),")",""),"+",""),4)="0800")),"OK",IF(AND(LEN(SUBSTITUTE(SUBSTITUTE(SUBSTITUTE(SUBSTITUTE(SUBSTITUTE(SUBSTITUTE(SUBSTITUTE(TRIM(M469),".",""),"/",""),"-","")," ",""),"(",""),")",""),"+",""))=11,MID(SUBSTITUTE(SUBSTITUTE(SUBSTITUTE(SUBSTITUTE(SUBSTITUTE(SUBSTITUTE(SUBSTITUTE(TRIM(M469),".",""),"/",""),"-","")," ",""),"(",""),")",""),"+",""),3,1)="9"),"ERRO: é celular, use a coluna Celular","ERRO: DDD + 8 dígitos ou 0800 + 7")))</f>
      </c>
      <c r="X469" s="6">
        <f>IF(N469="","vazio",IF(AND(LEN(SUBSTITUTE(SUBSTITUTE(SUBSTITUTE(SUBSTITUTE(SUBSTITUTE(SUBSTITUTE(SUBSTITUTE(TRIM(N469),".",""),"/",""),"-","")," ",""),"(",""),")",""),"+",""))=11,MID(SUBSTITUTE(SUBSTITUTE(SUBSTITUTE(SUBSTITUTE(SUBSTITUTE(SUBSTITUTE(SUBSTITUTE(TRIM(N469),".",""),"/",""),"-","")," ",""),"(",""),")",""),"+",""),3,1)="9",LEFT(SUBSTITUTE(SUBSTITUTE(SUBSTITUTE(SUBSTITUTE(SUBSTITUTE(SUBSTITUTE(SUBSTITUTE(TRIM(N469),".",""),"/",""),"-","")," ",""),"(",""),")",""),"+",""),1)&lt;&gt;"0"),"OK",IF(LEN(SUBSTITUTE(SUBSTITUTE(SUBSTITUTE(SUBSTITUTE(SUBSTITUTE(SUBSTITUTE(SUBSTITUTE(TRIM(N469),".",""),"/",""),"-","")," ",""),"(",""),")",""),"+",""))=10,"ERRO: é fixo (ou falta o 9), use a coluna Telefone fixo","ERRO: DDD + 9 + 8 dígitos")))</f>
      </c>
      <c r="Y469" s="6">
        <f>IF(O469="","vazio",IF(AND(ISNUMBER(FIND("@",O469)),ISNUMBER(FIND(".",MID(O469,FIND("@",O469),99))),NOT(ISNUMBER(FIND(" ",TRIM(O469)))),NOT(ISNUMBER(FIND(";",O469))),NOT(ISNUMBER(FIND(",",O469)))),"OK","ERRO: um e-mail válido por linha"))</f>
      </c>
      <c r="Z469" s="6">
        <f>IF(AND(J469="",K469=""),"",IF(AND(J469&lt;&gt;"",K469&lt;&gt;""),"OK","pendente: só um nome (o GR completa ao converter)"))</f>
      </c>
      <c r="AA469" s="6">
        <f>IF(COUNTA(A469:S469)=0,"",IF(AND(A469&lt;&gt;"",B469&lt;&gt;"",C469&lt;&gt;"",D469&lt;&gt;"",E469&lt;&gt;"",F469&lt;&gt;"",G469&lt;&gt;"",H469&lt;&gt;"",OR(J469&lt;&gt;"",K469&lt;&gt;""),OR(M469&lt;&gt;"",N469&lt;&gt;"",O469&lt;&gt;"")),"OK","ERRO: faltam "&amp;IF(A469="","SDR; ","")&amp;IF(B469="","Proprietário; ","")&amp;IF(C469="","Origem; ","")&amp;IF(D469="","Temperatura; ","")&amp;IF(E469="","Segmento; ","")&amp;IF(F469="","Time/Cluster; ","")&amp;IF(G469="","CNPJ; ","")&amp;IF(H469="","Razão Social; ","")&amp;IF(AND(J469="",K469=""),"nome do contato; ","")&amp;IF(AND(M469="",N469="",O469=""),"telefone, celular ou e-mail; ","")))</f>
      </c>
      <c r="AB469" s="6">
        <f>IF(COUNTA(A469:S469)=0,"",IF(AND(U469="OK",V469="OK",LEFT(W469,4)&lt;&gt;"ERRO",LEFT(X469,4)&lt;&gt;"ERRO",LEFT(Y469,4)&lt;&gt;"ERRO",AA469="OK"),"OK","REVISAR"))</f>
      </c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5"/>
      <c r="K470" s="4"/>
      <c r="L470" s="4"/>
      <c r="M470" s="4"/>
      <c r="N470" s="4"/>
      <c r="O470" s="4"/>
      <c r="P470" s="4"/>
      <c r="Q470" s="4"/>
      <c r="R470" s="4"/>
      <c r="S470" s="4"/>
      <c r="T470" s="6">
        <f>IF(G470="","",SUBSTITUTE(SUBSTITUTE(SUBSTITUTE(SUBSTITUTE(SUBSTITUTE(SUBSTITUTE(SUBSTITUTE(TRIM(G470),".",""),"/",""),"-","")," ",""),"(",""),")",""),"+",""))</f>
      </c>
      <c r="U470" s="6">
        <f>IF(T470="","",IF(LEN(T470)&lt;&gt;14,"ERRO: "&amp;LEN(T470)&amp;" dígitos",IF(NOT(ISNUMBER(VALUE(T470))),"ERRO: não numérico",IF(LEN(SUBSTITUTE(T470,LEFT(T470,1),""))=0,"ERRO: dígitos repetidos",IF(AND(VALUE(MID(T470,13,1))=IF(MOD(SUMPRODUCT(--MID(T470,{1,2,3,4,5,6,7,8,9,10,11,12},1),{5,4,3,2,9,8,7,6,5,4,3,2}),11)&lt;2,0,11-MOD(SUMPRODUCT(--MID(T470,{1,2,3,4,5,6,7,8,9,10,11,12},1),{5,4,3,2,9,8,7,6,5,4,3,2}),11)),VALUE(MID(T470,14,1))=IF(MOD(SUMPRODUCT(--MID(T470,{1,2,3,4,5,6,7,8,9,10,11,12,13},1),{6,5,4,3,2,9,8,7,6,5,4,3,2}),11)&lt;2,0,11-MOD(SUMPRODUCT(--MID(T470,{1,2,3,4,5,6,7,8,9,10,11,12,13},1),{6,5,4,3,2,9,8,7,6,5,4,3,2}),11))),"OK","ERRO: dígito verificador")))))</f>
      </c>
      <c r="V470" s="6">
        <f>IF(T470="","",IF(COUNTIF($T$2:$T$1001,T470)&gt;1,"DUPLICADO","OK"))</f>
      </c>
      <c r="W470" s="6">
        <f>IF(M470="","vazio",IF(OR(AND(LEN(SUBSTITUTE(SUBSTITUTE(SUBSTITUTE(SUBSTITUTE(SUBSTITUTE(SUBSTITUTE(SUBSTITUTE(TRIM(M470),".",""),"/",""),"-","")," ",""),"(",""),")",""),"+",""))=10,LEFT(SUBSTITUTE(SUBSTITUTE(SUBSTITUTE(SUBSTITUTE(SUBSTITUTE(SUBSTITUTE(SUBSTITUTE(TRIM(M470),".",""),"/",""),"-","")," ",""),"(",""),")",""),"+",""),1)&lt;&gt;"0"),AND(LEN(SUBSTITUTE(SUBSTITUTE(SUBSTITUTE(SUBSTITUTE(SUBSTITUTE(SUBSTITUTE(SUBSTITUTE(TRIM(M470),".",""),"/",""),"-","")," ",""),"(",""),")",""),"+",""))=11,LEFT(SUBSTITUTE(SUBSTITUTE(SUBSTITUTE(SUBSTITUTE(SUBSTITUTE(SUBSTITUTE(SUBSTITUTE(TRIM(M470),".",""),"/",""),"-","")," ",""),"(",""),")",""),"+",""),4)="0800")),"OK",IF(AND(LEN(SUBSTITUTE(SUBSTITUTE(SUBSTITUTE(SUBSTITUTE(SUBSTITUTE(SUBSTITUTE(SUBSTITUTE(TRIM(M470),".",""),"/",""),"-","")," ",""),"(",""),")",""),"+",""))=11,MID(SUBSTITUTE(SUBSTITUTE(SUBSTITUTE(SUBSTITUTE(SUBSTITUTE(SUBSTITUTE(SUBSTITUTE(TRIM(M470),".",""),"/",""),"-","")," ",""),"(",""),")",""),"+",""),3,1)="9"),"ERRO: é celular, use a coluna Celular","ERRO: DDD + 8 dígitos ou 0800 + 7")))</f>
      </c>
      <c r="X470" s="6">
        <f>IF(N470="","vazio",IF(AND(LEN(SUBSTITUTE(SUBSTITUTE(SUBSTITUTE(SUBSTITUTE(SUBSTITUTE(SUBSTITUTE(SUBSTITUTE(TRIM(N470),".",""),"/",""),"-","")," ",""),"(",""),")",""),"+",""))=11,MID(SUBSTITUTE(SUBSTITUTE(SUBSTITUTE(SUBSTITUTE(SUBSTITUTE(SUBSTITUTE(SUBSTITUTE(TRIM(N470),".",""),"/",""),"-","")," ",""),"(",""),")",""),"+",""),3,1)="9",LEFT(SUBSTITUTE(SUBSTITUTE(SUBSTITUTE(SUBSTITUTE(SUBSTITUTE(SUBSTITUTE(SUBSTITUTE(TRIM(N470),".",""),"/",""),"-","")," ",""),"(",""),")",""),"+",""),1)&lt;&gt;"0"),"OK",IF(LEN(SUBSTITUTE(SUBSTITUTE(SUBSTITUTE(SUBSTITUTE(SUBSTITUTE(SUBSTITUTE(SUBSTITUTE(TRIM(N470),".",""),"/",""),"-","")," ",""),"(",""),")",""),"+",""))=10,"ERRO: é fixo (ou falta o 9), use a coluna Telefone fixo","ERRO: DDD + 9 + 8 dígitos")))</f>
      </c>
      <c r="Y470" s="6">
        <f>IF(O470="","vazio",IF(AND(ISNUMBER(FIND("@",O470)),ISNUMBER(FIND(".",MID(O470,FIND("@",O470),99))),NOT(ISNUMBER(FIND(" ",TRIM(O470)))),NOT(ISNUMBER(FIND(";",O470))),NOT(ISNUMBER(FIND(",",O470)))),"OK","ERRO: um e-mail válido por linha"))</f>
      </c>
      <c r="Z470" s="6">
        <f>IF(AND(J470="",K470=""),"",IF(AND(J470&lt;&gt;"",K470&lt;&gt;""),"OK","pendente: só um nome (o GR completa ao converter)"))</f>
      </c>
      <c r="AA470" s="6">
        <f>IF(COUNTA(A470:S470)=0,"",IF(AND(A470&lt;&gt;"",B470&lt;&gt;"",C470&lt;&gt;"",D470&lt;&gt;"",E470&lt;&gt;"",F470&lt;&gt;"",G470&lt;&gt;"",H470&lt;&gt;"",OR(J470&lt;&gt;"",K470&lt;&gt;""),OR(M470&lt;&gt;"",N470&lt;&gt;"",O470&lt;&gt;"")),"OK","ERRO: faltam "&amp;IF(A470="","SDR; ","")&amp;IF(B470="","Proprietário; ","")&amp;IF(C470="","Origem; ","")&amp;IF(D470="","Temperatura; ","")&amp;IF(E470="","Segmento; ","")&amp;IF(F470="","Time/Cluster; ","")&amp;IF(G470="","CNPJ; ","")&amp;IF(H470="","Razão Social; ","")&amp;IF(AND(J470="",K470=""),"nome do contato; ","")&amp;IF(AND(M470="",N470="",O470=""),"telefone, celular ou e-mail; ","")))</f>
      </c>
      <c r="AB470" s="6">
        <f>IF(COUNTA(A470:S470)=0,"",IF(AND(U470="OK",V470="OK",LEFT(W470,4)&lt;&gt;"ERRO",LEFT(X470,4)&lt;&gt;"ERRO",LEFT(Y470,4)&lt;&gt;"ERRO",AA470="OK"),"OK","REVISAR"))</f>
      </c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5"/>
      <c r="K471" s="4"/>
      <c r="L471" s="4"/>
      <c r="M471" s="4"/>
      <c r="N471" s="4"/>
      <c r="O471" s="4"/>
      <c r="P471" s="4"/>
      <c r="Q471" s="4"/>
      <c r="R471" s="4"/>
      <c r="S471" s="4"/>
      <c r="T471" s="6">
        <f>IF(G471="","",SUBSTITUTE(SUBSTITUTE(SUBSTITUTE(SUBSTITUTE(SUBSTITUTE(SUBSTITUTE(SUBSTITUTE(TRIM(G471),".",""),"/",""),"-","")," ",""),"(",""),")",""),"+",""))</f>
      </c>
      <c r="U471" s="6">
        <f>IF(T471="","",IF(LEN(T471)&lt;&gt;14,"ERRO: "&amp;LEN(T471)&amp;" dígitos",IF(NOT(ISNUMBER(VALUE(T471))),"ERRO: não numérico",IF(LEN(SUBSTITUTE(T471,LEFT(T471,1),""))=0,"ERRO: dígitos repetidos",IF(AND(VALUE(MID(T471,13,1))=IF(MOD(SUMPRODUCT(--MID(T471,{1,2,3,4,5,6,7,8,9,10,11,12},1),{5,4,3,2,9,8,7,6,5,4,3,2}),11)&lt;2,0,11-MOD(SUMPRODUCT(--MID(T471,{1,2,3,4,5,6,7,8,9,10,11,12},1),{5,4,3,2,9,8,7,6,5,4,3,2}),11)),VALUE(MID(T471,14,1))=IF(MOD(SUMPRODUCT(--MID(T471,{1,2,3,4,5,6,7,8,9,10,11,12,13},1),{6,5,4,3,2,9,8,7,6,5,4,3,2}),11)&lt;2,0,11-MOD(SUMPRODUCT(--MID(T471,{1,2,3,4,5,6,7,8,9,10,11,12,13},1),{6,5,4,3,2,9,8,7,6,5,4,3,2}),11))),"OK","ERRO: dígito verificador")))))</f>
      </c>
      <c r="V471" s="6">
        <f>IF(T471="","",IF(COUNTIF($T$2:$T$1001,T471)&gt;1,"DUPLICADO","OK"))</f>
      </c>
      <c r="W471" s="6">
        <f>IF(M471="","vazio",IF(OR(AND(LEN(SUBSTITUTE(SUBSTITUTE(SUBSTITUTE(SUBSTITUTE(SUBSTITUTE(SUBSTITUTE(SUBSTITUTE(TRIM(M471),".",""),"/",""),"-","")," ",""),"(",""),")",""),"+",""))=10,LEFT(SUBSTITUTE(SUBSTITUTE(SUBSTITUTE(SUBSTITUTE(SUBSTITUTE(SUBSTITUTE(SUBSTITUTE(TRIM(M471),".",""),"/",""),"-","")," ",""),"(",""),")",""),"+",""),1)&lt;&gt;"0"),AND(LEN(SUBSTITUTE(SUBSTITUTE(SUBSTITUTE(SUBSTITUTE(SUBSTITUTE(SUBSTITUTE(SUBSTITUTE(TRIM(M471),".",""),"/",""),"-","")," ",""),"(",""),")",""),"+",""))=11,LEFT(SUBSTITUTE(SUBSTITUTE(SUBSTITUTE(SUBSTITUTE(SUBSTITUTE(SUBSTITUTE(SUBSTITUTE(TRIM(M471),".",""),"/",""),"-","")," ",""),"(",""),")",""),"+",""),4)="0800")),"OK",IF(AND(LEN(SUBSTITUTE(SUBSTITUTE(SUBSTITUTE(SUBSTITUTE(SUBSTITUTE(SUBSTITUTE(SUBSTITUTE(TRIM(M471),".",""),"/",""),"-","")," ",""),"(",""),")",""),"+",""))=11,MID(SUBSTITUTE(SUBSTITUTE(SUBSTITUTE(SUBSTITUTE(SUBSTITUTE(SUBSTITUTE(SUBSTITUTE(TRIM(M471),".",""),"/",""),"-","")," ",""),"(",""),")",""),"+",""),3,1)="9"),"ERRO: é celular, use a coluna Celular","ERRO: DDD + 8 dígitos ou 0800 + 7")))</f>
      </c>
      <c r="X471" s="6">
        <f>IF(N471="","vazio",IF(AND(LEN(SUBSTITUTE(SUBSTITUTE(SUBSTITUTE(SUBSTITUTE(SUBSTITUTE(SUBSTITUTE(SUBSTITUTE(TRIM(N471),".",""),"/",""),"-","")," ",""),"(",""),")",""),"+",""))=11,MID(SUBSTITUTE(SUBSTITUTE(SUBSTITUTE(SUBSTITUTE(SUBSTITUTE(SUBSTITUTE(SUBSTITUTE(TRIM(N471),".",""),"/",""),"-","")," ",""),"(",""),")",""),"+",""),3,1)="9",LEFT(SUBSTITUTE(SUBSTITUTE(SUBSTITUTE(SUBSTITUTE(SUBSTITUTE(SUBSTITUTE(SUBSTITUTE(TRIM(N471),".",""),"/",""),"-","")," ",""),"(",""),")",""),"+",""),1)&lt;&gt;"0"),"OK",IF(LEN(SUBSTITUTE(SUBSTITUTE(SUBSTITUTE(SUBSTITUTE(SUBSTITUTE(SUBSTITUTE(SUBSTITUTE(TRIM(N471),".",""),"/",""),"-","")," ",""),"(",""),")",""),"+",""))=10,"ERRO: é fixo (ou falta o 9), use a coluna Telefone fixo","ERRO: DDD + 9 + 8 dígitos")))</f>
      </c>
      <c r="Y471" s="6">
        <f>IF(O471="","vazio",IF(AND(ISNUMBER(FIND("@",O471)),ISNUMBER(FIND(".",MID(O471,FIND("@",O471),99))),NOT(ISNUMBER(FIND(" ",TRIM(O471)))),NOT(ISNUMBER(FIND(";",O471))),NOT(ISNUMBER(FIND(",",O471)))),"OK","ERRO: um e-mail válido por linha"))</f>
      </c>
      <c r="Z471" s="6">
        <f>IF(AND(J471="",K471=""),"",IF(AND(J471&lt;&gt;"",K471&lt;&gt;""),"OK","pendente: só um nome (o GR completa ao converter)"))</f>
      </c>
      <c r="AA471" s="6">
        <f>IF(COUNTA(A471:S471)=0,"",IF(AND(A471&lt;&gt;"",B471&lt;&gt;"",C471&lt;&gt;"",D471&lt;&gt;"",E471&lt;&gt;"",F471&lt;&gt;"",G471&lt;&gt;"",H471&lt;&gt;"",OR(J471&lt;&gt;"",K471&lt;&gt;""),OR(M471&lt;&gt;"",N471&lt;&gt;"",O471&lt;&gt;"")),"OK","ERRO: faltam "&amp;IF(A471="","SDR; ","")&amp;IF(B471="","Proprietário; ","")&amp;IF(C471="","Origem; ","")&amp;IF(D471="","Temperatura; ","")&amp;IF(E471="","Segmento; ","")&amp;IF(F471="","Time/Cluster; ","")&amp;IF(G471="","CNPJ; ","")&amp;IF(H471="","Razão Social; ","")&amp;IF(AND(J471="",K471=""),"nome do contato; ","")&amp;IF(AND(M471="",N471="",O471=""),"telefone, celular ou e-mail; ","")))</f>
      </c>
      <c r="AB471" s="6">
        <f>IF(COUNTA(A471:S471)=0,"",IF(AND(U471="OK",V471="OK",LEFT(W471,4)&lt;&gt;"ERRO",LEFT(X471,4)&lt;&gt;"ERRO",LEFT(Y471,4)&lt;&gt;"ERRO",AA471="OK"),"OK","REVISAR"))</f>
      </c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5"/>
      <c r="K472" s="4"/>
      <c r="L472" s="4"/>
      <c r="M472" s="4"/>
      <c r="N472" s="4"/>
      <c r="O472" s="4"/>
      <c r="P472" s="4"/>
      <c r="Q472" s="4"/>
      <c r="R472" s="4"/>
      <c r="S472" s="4"/>
      <c r="T472" s="6">
        <f>IF(G472="","",SUBSTITUTE(SUBSTITUTE(SUBSTITUTE(SUBSTITUTE(SUBSTITUTE(SUBSTITUTE(SUBSTITUTE(TRIM(G472),".",""),"/",""),"-","")," ",""),"(",""),")",""),"+",""))</f>
      </c>
      <c r="U472" s="6">
        <f>IF(T472="","",IF(LEN(T472)&lt;&gt;14,"ERRO: "&amp;LEN(T472)&amp;" dígitos",IF(NOT(ISNUMBER(VALUE(T472))),"ERRO: não numérico",IF(LEN(SUBSTITUTE(T472,LEFT(T472,1),""))=0,"ERRO: dígitos repetidos",IF(AND(VALUE(MID(T472,13,1))=IF(MOD(SUMPRODUCT(--MID(T472,{1,2,3,4,5,6,7,8,9,10,11,12},1),{5,4,3,2,9,8,7,6,5,4,3,2}),11)&lt;2,0,11-MOD(SUMPRODUCT(--MID(T472,{1,2,3,4,5,6,7,8,9,10,11,12},1),{5,4,3,2,9,8,7,6,5,4,3,2}),11)),VALUE(MID(T472,14,1))=IF(MOD(SUMPRODUCT(--MID(T472,{1,2,3,4,5,6,7,8,9,10,11,12,13},1),{6,5,4,3,2,9,8,7,6,5,4,3,2}),11)&lt;2,0,11-MOD(SUMPRODUCT(--MID(T472,{1,2,3,4,5,6,7,8,9,10,11,12,13},1),{6,5,4,3,2,9,8,7,6,5,4,3,2}),11))),"OK","ERRO: dígito verificador")))))</f>
      </c>
      <c r="V472" s="6">
        <f>IF(T472="","",IF(COUNTIF($T$2:$T$1001,T472)&gt;1,"DUPLICADO","OK"))</f>
      </c>
      <c r="W472" s="6">
        <f>IF(M472="","vazio",IF(OR(AND(LEN(SUBSTITUTE(SUBSTITUTE(SUBSTITUTE(SUBSTITUTE(SUBSTITUTE(SUBSTITUTE(SUBSTITUTE(TRIM(M472),".",""),"/",""),"-","")," ",""),"(",""),")",""),"+",""))=10,LEFT(SUBSTITUTE(SUBSTITUTE(SUBSTITUTE(SUBSTITUTE(SUBSTITUTE(SUBSTITUTE(SUBSTITUTE(TRIM(M472),".",""),"/",""),"-","")," ",""),"(",""),")",""),"+",""),1)&lt;&gt;"0"),AND(LEN(SUBSTITUTE(SUBSTITUTE(SUBSTITUTE(SUBSTITUTE(SUBSTITUTE(SUBSTITUTE(SUBSTITUTE(TRIM(M472),".",""),"/",""),"-","")," ",""),"(",""),")",""),"+",""))=11,LEFT(SUBSTITUTE(SUBSTITUTE(SUBSTITUTE(SUBSTITUTE(SUBSTITUTE(SUBSTITUTE(SUBSTITUTE(TRIM(M472),".",""),"/",""),"-","")," ",""),"(",""),")",""),"+",""),4)="0800")),"OK",IF(AND(LEN(SUBSTITUTE(SUBSTITUTE(SUBSTITUTE(SUBSTITUTE(SUBSTITUTE(SUBSTITUTE(SUBSTITUTE(TRIM(M472),".",""),"/",""),"-","")," ",""),"(",""),")",""),"+",""))=11,MID(SUBSTITUTE(SUBSTITUTE(SUBSTITUTE(SUBSTITUTE(SUBSTITUTE(SUBSTITUTE(SUBSTITUTE(TRIM(M472),".",""),"/",""),"-","")," ",""),"(",""),")",""),"+",""),3,1)="9"),"ERRO: é celular, use a coluna Celular","ERRO: DDD + 8 dígitos ou 0800 + 7")))</f>
      </c>
      <c r="X472" s="6">
        <f>IF(N472="","vazio",IF(AND(LEN(SUBSTITUTE(SUBSTITUTE(SUBSTITUTE(SUBSTITUTE(SUBSTITUTE(SUBSTITUTE(SUBSTITUTE(TRIM(N472),".",""),"/",""),"-","")," ",""),"(",""),")",""),"+",""))=11,MID(SUBSTITUTE(SUBSTITUTE(SUBSTITUTE(SUBSTITUTE(SUBSTITUTE(SUBSTITUTE(SUBSTITUTE(TRIM(N472),".",""),"/",""),"-","")," ",""),"(",""),")",""),"+",""),3,1)="9",LEFT(SUBSTITUTE(SUBSTITUTE(SUBSTITUTE(SUBSTITUTE(SUBSTITUTE(SUBSTITUTE(SUBSTITUTE(TRIM(N472),".",""),"/",""),"-","")," ",""),"(",""),")",""),"+",""),1)&lt;&gt;"0"),"OK",IF(LEN(SUBSTITUTE(SUBSTITUTE(SUBSTITUTE(SUBSTITUTE(SUBSTITUTE(SUBSTITUTE(SUBSTITUTE(TRIM(N472),".",""),"/",""),"-","")," ",""),"(",""),")",""),"+",""))=10,"ERRO: é fixo (ou falta o 9), use a coluna Telefone fixo","ERRO: DDD + 9 + 8 dígitos")))</f>
      </c>
      <c r="Y472" s="6">
        <f>IF(O472="","vazio",IF(AND(ISNUMBER(FIND("@",O472)),ISNUMBER(FIND(".",MID(O472,FIND("@",O472),99))),NOT(ISNUMBER(FIND(" ",TRIM(O472)))),NOT(ISNUMBER(FIND(";",O472))),NOT(ISNUMBER(FIND(",",O472)))),"OK","ERRO: um e-mail válido por linha"))</f>
      </c>
      <c r="Z472" s="6">
        <f>IF(AND(J472="",K472=""),"",IF(AND(J472&lt;&gt;"",K472&lt;&gt;""),"OK","pendente: só um nome (o GR completa ao converter)"))</f>
      </c>
      <c r="AA472" s="6">
        <f>IF(COUNTA(A472:S472)=0,"",IF(AND(A472&lt;&gt;"",B472&lt;&gt;"",C472&lt;&gt;"",D472&lt;&gt;"",E472&lt;&gt;"",F472&lt;&gt;"",G472&lt;&gt;"",H472&lt;&gt;"",OR(J472&lt;&gt;"",K472&lt;&gt;""),OR(M472&lt;&gt;"",N472&lt;&gt;"",O472&lt;&gt;"")),"OK","ERRO: faltam "&amp;IF(A472="","SDR; ","")&amp;IF(B472="","Proprietário; ","")&amp;IF(C472="","Origem; ","")&amp;IF(D472="","Temperatura; ","")&amp;IF(E472="","Segmento; ","")&amp;IF(F472="","Time/Cluster; ","")&amp;IF(G472="","CNPJ; ","")&amp;IF(H472="","Razão Social; ","")&amp;IF(AND(J472="",K472=""),"nome do contato; ","")&amp;IF(AND(M472="",N472="",O472=""),"telefone, celular ou e-mail; ","")))</f>
      </c>
      <c r="AB472" s="6">
        <f>IF(COUNTA(A472:S472)=0,"",IF(AND(U472="OK",V472="OK",LEFT(W472,4)&lt;&gt;"ERRO",LEFT(X472,4)&lt;&gt;"ERRO",LEFT(Y472,4)&lt;&gt;"ERRO",AA472="OK"),"OK","REVISAR"))</f>
      </c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5"/>
      <c r="K473" s="4"/>
      <c r="L473" s="4"/>
      <c r="M473" s="4"/>
      <c r="N473" s="4"/>
      <c r="O473" s="4"/>
      <c r="P473" s="4"/>
      <c r="Q473" s="4"/>
      <c r="R473" s="4"/>
      <c r="S473" s="4"/>
      <c r="T473" s="6">
        <f>IF(G473="","",SUBSTITUTE(SUBSTITUTE(SUBSTITUTE(SUBSTITUTE(SUBSTITUTE(SUBSTITUTE(SUBSTITUTE(TRIM(G473),".",""),"/",""),"-","")," ",""),"(",""),")",""),"+",""))</f>
      </c>
      <c r="U473" s="6">
        <f>IF(T473="","",IF(LEN(T473)&lt;&gt;14,"ERRO: "&amp;LEN(T473)&amp;" dígitos",IF(NOT(ISNUMBER(VALUE(T473))),"ERRO: não numérico",IF(LEN(SUBSTITUTE(T473,LEFT(T473,1),""))=0,"ERRO: dígitos repetidos",IF(AND(VALUE(MID(T473,13,1))=IF(MOD(SUMPRODUCT(--MID(T473,{1,2,3,4,5,6,7,8,9,10,11,12},1),{5,4,3,2,9,8,7,6,5,4,3,2}),11)&lt;2,0,11-MOD(SUMPRODUCT(--MID(T473,{1,2,3,4,5,6,7,8,9,10,11,12},1),{5,4,3,2,9,8,7,6,5,4,3,2}),11)),VALUE(MID(T473,14,1))=IF(MOD(SUMPRODUCT(--MID(T473,{1,2,3,4,5,6,7,8,9,10,11,12,13},1),{6,5,4,3,2,9,8,7,6,5,4,3,2}),11)&lt;2,0,11-MOD(SUMPRODUCT(--MID(T473,{1,2,3,4,5,6,7,8,9,10,11,12,13},1),{6,5,4,3,2,9,8,7,6,5,4,3,2}),11))),"OK","ERRO: dígito verificador")))))</f>
      </c>
      <c r="V473" s="6">
        <f>IF(T473="","",IF(COUNTIF($T$2:$T$1001,T473)&gt;1,"DUPLICADO","OK"))</f>
      </c>
      <c r="W473" s="6">
        <f>IF(M473="","vazio",IF(OR(AND(LEN(SUBSTITUTE(SUBSTITUTE(SUBSTITUTE(SUBSTITUTE(SUBSTITUTE(SUBSTITUTE(SUBSTITUTE(TRIM(M473),".",""),"/",""),"-","")," ",""),"(",""),")",""),"+",""))=10,LEFT(SUBSTITUTE(SUBSTITUTE(SUBSTITUTE(SUBSTITUTE(SUBSTITUTE(SUBSTITUTE(SUBSTITUTE(TRIM(M473),".",""),"/",""),"-","")," ",""),"(",""),")",""),"+",""),1)&lt;&gt;"0"),AND(LEN(SUBSTITUTE(SUBSTITUTE(SUBSTITUTE(SUBSTITUTE(SUBSTITUTE(SUBSTITUTE(SUBSTITUTE(TRIM(M473),".",""),"/",""),"-","")," ",""),"(",""),")",""),"+",""))=11,LEFT(SUBSTITUTE(SUBSTITUTE(SUBSTITUTE(SUBSTITUTE(SUBSTITUTE(SUBSTITUTE(SUBSTITUTE(TRIM(M473),".",""),"/",""),"-","")," ",""),"(",""),")",""),"+",""),4)="0800")),"OK",IF(AND(LEN(SUBSTITUTE(SUBSTITUTE(SUBSTITUTE(SUBSTITUTE(SUBSTITUTE(SUBSTITUTE(SUBSTITUTE(TRIM(M473),".",""),"/",""),"-","")," ",""),"(",""),")",""),"+",""))=11,MID(SUBSTITUTE(SUBSTITUTE(SUBSTITUTE(SUBSTITUTE(SUBSTITUTE(SUBSTITUTE(SUBSTITUTE(TRIM(M473),".",""),"/",""),"-","")," ",""),"(",""),")",""),"+",""),3,1)="9"),"ERRO: é celular, use a coluna Celular","ERRO: DDD + 8 dígitos ou 0800 + 7")))</f>
      </c>
      <c r="X473" s="6">
        <f>IF(N473="","vazio",IF(AND(LEN(SUBSTITUTE(SUBSTITUTE(SUBSTITUTE(SUBSTITUTE(SUBSTITUTE(SUBSTITUTE(SUBSTITUTE(TRIM(N473),".",""),"/",""),"-","")," ",""),"(",""),")",""),"+",""))=11,MID(SUBSTITUTE(SUBSTITUTE(SUBSTITUTE(SUBSTITUTE(SUBSTITUTE(SUBSTITUTE(SUBSTITUTE(TRIM(N473),".",""),"/",""),"-","")," ",""),"(",""),")",""),"+",""),3,1)="9",LEFT(SUBSTITUTE(SUBSTITUTE(SUBSTITUTE(SUBSTITUTE(SUBSTITUTE(SUBSTITUTE(SUBSTITUTE(TRIM(N473),".",""),"/",""),"-","")," ",""),"(",""),")",""),"+",""),1)&lt;&gt;"0"),"OK",IF(LEN(SUBSTITUTE(SUBSTITUTE(SUBSTITUTE(SUBSTITUTE(SUBSTITUTE(SUBSTITUTE(SUBSTITUTE(TRIM(N473),".",""),"/",""),"-","")," ",""),"(",""),")",""),"+",""))=10,"ERRO: é fixo (ou falta o 9), use a coluna Telefone fixo","ERRO: DDD + 9 + 8 dígitos")))</f>
      </c>
      <c r="Y473" s="6">
        <f>IF(O473="","vazio",IF(AND(ISNUMBER(FIND("@",O473)),ISNUMBER(FIND(".",MID(O473,FIND("@",O473),99))),NOT(ISNUMBER(FIND(" ",TRIM(O473)))),NOT(ISNUMBER(FIND(";",O473))),NOT(ISNUMBER(FIND(",",O473)))),"OK","ERRO: um e-mail válido por linha"))</f>
      </c>
      <c r="Z473" s="6">
        <f>IF(AND(J473="",K473=""),"",IF(AND(J473&lt;&gt;"",K473&lt;&gt;""),"OK","pendente: só um nome (o GR completa ao converter)"))</f>
      </c>
      <c r="AA473" s="6">
        <f>IF(COUNTA(A473:S473)=0,"",IF(AND(A473&lt;&gt;"",B473&lt;&gt;"",C473&lt;&gt;"",D473&lt;&gt;"",E473&lt;&gt;"",F473&lt;&gt;"",G473&lt;&gt;"",H473&lt;&gt;"",OR(J473&lt;&gt;"",K473&lt;&gt;""),OR(M473&lt;&gt;"",N473&lt;&gt;"",O473&lt;&gt;"")),"OK","ERRO: faltam "&amp;IF(A473="","SDR; ","")&amp;IF(B473="","Proprietário; ","")&amp;IF(C473="","Origem; ","")&amp;IF(D473="","Temperatura; ","")&amp;IF(E473="","Segmento; ","")&amp;IF(F473="","Time/Cluster; ","")&amp;IF(G473="","CNPJ; ","")&amp;IF(H473="","Razão Social; ","")&amp;IF(AND(J473="",K473=""),"nome do contato; ","")&amp;IF(AND(M473="",N473="",O473=""),"telefone, celular ou e-mail; ","")))</f>
      </c>
      <c r="AB473" s="6">
        <f>IF(COUNTA(A473:S473)=0,"",IF(AND(U473="OK",V473="OK",LEFT(W473,4)&lt;&gt;"ERRO",LEFT(X473,4)&lt;&gt;"ERRO",LEFT(Y473,4)&lt;&gt;"ERRO",AA473="OK"),"OK","REVISAR"))</f>
      </c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5"/>
      <c r="K474" s="4"/>
      <c r="L474" s="4"/>
      <c r="M474" s="4"/>
      <c r="N474" s="4"/>
      <c r="O474" s="4"/>
      <c r="P474" s="4"/>
      <c r="Q474" s="4"/>
      <c r="R474" s="4"/>
      <c r="S474" s="4"/>
      <c r="T474" s="6">
        <f>IF(G474="","",SUBSTITUTE(SUBSTITUTE(SUBSTITUTE(SUBSTITUTE(SUBSTITUTE(SUBSTITUTE(SUBSTITUTE(TRIM(G474),".",""),"/",""),"-","")," ",""),"(",""),")",""),"+",""))</f>
      </c>
      <c r="U474" s="6">
        <f>IF(T474="","",IF(LEN(T474)&lt;&gt;14,"ERRO: "&amp;LEN(T474)&amp;" dígitos",IF(NOT(ISNUMBER(VALUE(T474))),"ERRO: não numérico",IF(LEN(SUBSTITUTE(T474,LEFT(T474,1),""))=0,"ERRO: dígitos repetidos",IF(AND(VALUE(MID(T474,13,1))=IF(MOD(SUMPRODUCT(--MID(T474,{1,2,3,4,5,6,7,8,9,10,11,12},1),{5,4,3,2,9,8,7,6,5,4,3,2}),11)&lt;2,0,11-MOD(SUMPRODUCT(--MID(T474,{1,2,3,4,5,6,7,8,9,10,11,12},1),{5,4,3,2,9,8,7,6,5,4,3,2}),11)),VALUE(MID(T474,14,1))=IF(MOD(SUMPRODUCT(--MID(T474,{1,2,3,4,5,6,7,8,9,10,11,12,13},1),{6,5,4,3,2,9,8,7,6,5,4,3,2}),11)&lt;2,0,11-MOD(SUMPRODUCT(--MID(T474,{1,2,3,4,5,6,7,8,9,10,11,12,13},1),{6,5,4,3,2,9,8,7,6,5,4,3,2}),11))),"OK","ERRO: dígito verificador")))))</f>
      </c>
      <c r="V474" s="6">
        <f>IF(T474="","",IF(COUNTIF($T$2:$T$1001,T474)&gt;1,"DUPLICADO","OK"))</f>
      </c>
      <c r="W474" s="6">
        <f>IF(M474="","vazio",IF(OR(AND(LEN(SUBSTITUTE(SUBSTITUTE(SUBSTITUTE(SUBSTITUTE(SUBSTITUTE(SUBSTITUTE(SUBSTITUTE(TRIM(M474),".",""),"/",""),"-","")," ",""),"(",""),")",""),"+",""))=10,LEFT(SUBSTITUTE(SUBSTITUTE(SUBSTITUTE(SUBSTITUTE(SUBSTITUTE(SUBSTITUTE(SUBSTITUTE(TRIM(M474),".",""),"/",""),"-","")," ",""),"(",""),")",""),"+",""),1)&lt;&gt;"0"),AND(LEN(SUBSTITUTE(SUBSTITUTE(SUBSTITUTE(SUBSTITUTE(SUBSTITUTE(SUBSTITUTE(SUBSTITUTE(TRIM(M474),".",""),"/",""),"-","")," ",""),"(",""),")",""),"+",""))=11,LEFT(SUBSTITUTE(SUBSTITUTE(SUBSTITUTE(SUBSTITUTE(SUBSTITUTE(SUBSTITUTE(SUBSTITUTE(TRIM(M474),".",""),"/",""),"-","")," ",""),"(",""),")",""),"+",""),4)="0800")),"OK",IF(AND(LEN(SUBSTITUTE(SUBSTITUTE(SUBSTITUTE(SUBSTITUTE(SUBSTITUTE(SUBSTITUTE(SUBSTITUTE(TRIM(M474),".",""),"/",""),"-","")," ",""),"(",""),")",""),"+",""))=11,MID(SUBSTITUTE(SUBSTITUTE(SUBSTITUTE(SUBSTITUTE(SUBSTITUTE(SUBSTITUTE(SUBSTITUTE(TRIM(M474),".",""),"/",""),"-","")," ",""),"(",""),")",""),"+",""),3,1)="9"),"ERRO: é celular, use a coluna Celular","ERRO: DDD + 8 dígitos ou 0800 + 7")))</f>
      </c>
      <c r="X474" s="6">
        <f>IF(N474="","vazio",IF(AND(LEN(SUBSTITUTE(SUBSTITUTE(SUBSTITUTE(SUBSTITUTE(SUBSTITUTE(SUBSTITUTE(SUBSTITUTE(TRIM(N474),".",""),"/",""),"-","")," ",""),"(",""),")",""),"+",""))=11,MID(SUBSTITUTE(SUBSTITUTE(SUBSTITUTE(SUBSTITUTE(SUBSTITUTE(SUBSTITUTE(SUBSTITUTE(TRIM(N474),".",""),"/",""),"-","")," ",""),"(",""),")",""),"+",""),3,1)="9",LEFT(SUBSTITUTE(SUBSTITUTE(SUBSTITUTE(SUBSTITUTE(SUBSTITUTE(SUBSTITUTE(SUBSTITUTE(TRIM(N474),".",""),"/",""),"-","")," ",""),"(",""),")",""),"+",""),1)&lt;&gt;"0"),"OK",IF(LEN(SUBSTITUTE(SUBSTITUTE(SUBSTITUTE(SUBSTITUTE(SUBSTITUTE(SUBSTITUTE(SUBSTITUTE(TRIM(N474),".",""),"/",""),"-","")," ",""),"(",""),")",""),"+",""))=10,"ERRO: é fixo (ou falta o 9), use a coluna Telefone fixo","ERRO: DDD + 9 + 8 dígitos")))</f>
      </c>
      <c r="Y474" s="6">
        <f>IF(O474="","vazio",IF(AND(ISNUMBER(FIND("@",O474)),ISNUMBER(FIND(".",MID(O474,FIND("@",O474),99))),NOT(ISNUMBER(FIND(" ",TRIM(O474)))),NOT(ISNUMBER(FIND(";",O474))),NOT(ISNUMBER(FIND(",",O474)))),"OK","ERRO: um e-mail válido por linha"))</f>
      </c>
      <c r="Z474" s="6">
        <f>IF(AND(J474="",K474=""),"",IF(AND(J474&lt;&gt;"",K474&lt;&gt;""),"OK","pendente: só um nome (o GR completa ao converter)"))</f>
      </c>
      <c r="AA474" s="6">
        <f>IF(COUNTA(A474:S474)=0,"",IF(AND(A474&lt;&gt;"",B474&lt;&gt;"",C474&lt;&gt;"",D474&lt;&gt;"",E474&lt;&gt;"",F474&lt;&gt;"",G474&lt;&gt;"",H474&lt;&gt;"",OR(J474&lt;&gt;"",K474&lt;&gt;""),OR(M474&lt;&gt;"",N474&lt;&gt;"",O474&lt;&gt;"")),"OK","ERRO: faltam "&amp;IF(A474="","SDR; ","")&amp;IF(B474="","Proprietário; ","")&amp;IF(C474="","Origem; ","")&amp;IF(D474="","Temperatura; ","")&amp;IF(E474="","Segmento; ","")&amp;IF(F474="","Time/Cluster; ","")&amp;IF(G474="","CNPJ; ","")&amp;IF(H474="","Razão Social; ","")&amp;IF(AND(J474="",K474=""),"nome do contato; ","")&amp;IF(AND(M474="",N474="",O474=""),"telefone, celular ou e-mail; ","")))</f>
      </c>
      <c r="AB474" s="6">
        <f>IF(COUNTA(A474:S474)=0,"",IF(AND(U474="OK",V474="OK",LEFT(W474,4)&lt;&gt;"ERRO",LEFT(X474,4)&lt;&gt;"ERRO",LEFT(Y474,4)&lt;&gt;"ERRO",AA474="OK"),"OK","REVISAR"))</f>
      </c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5"/>
      <c r="K475" s="4"/>
      <c r="L475" s="4"/>
      <c r="M475" s="4"/>
      <c r="N475" s="4"/>
      <c r="O475" s="4"/>
      <c r="P475" s="4"/>
      <c r="Q475" s="4"/>
      <c r="R475" s="4"/>
      <c r="S475" s="4"/>
      <c r="T475" s="6">
        <f>IF(G475="","",SUBSTITUTE(SUBSTITUTE(SUBSTITUTE(SUBSTITUTE(SUBSTITUTE(SUBSTITUTE(SUBSTITUTE(TRIM(G475),".",""),"/",""),"-","")," ",""),"(",""),")",""),"+",""))</f>
      </c>
      <c r="U475" s="6">
        <f>IF(T475="","",IF(LEN(T475)&lt;&gt;14,"ERRO: "&amp;LEN(T475)&amp;" dígitos",IF(NOT(ISNUMBER(VALUE(T475))),"ERRO: não numérico",IF(LEN(SUBSTITUTE(T475,LEFT(T475,1),""))=0,"ERRO: dígitos repetidos",IF(AND(VALUE(MID(T475,13,1))=IF(MOD(SUMPRODUCT(--MID(T475,{1,2,3,4,5,6,7,8,9,10,11,12},1),{5,4,3,2,9,8,7,6,5,4,3,2}),11)&lt;2,0,11-MOD(SUMPRODUCT(--MID(T475,{1,2,3,4,5,6,7,8,9,10,11,12},1),{5,4,3,2,9,8,7,6,5,4,3,2}),11)),VALUE(MID(T475,14,1))=IF(MOD(SUMPRODUCT(--MID(T475,{1,2,3,4,5,6,7,8,9,10,11,12,13},1),{6,5,4,3,2,9,8,7,6,5,4,3,2}),11)&lt;2,0,11-MOD(SUMPRODUCT(--MID(T475,{1,2,3,4,5,6,7,8,9,10,11,12,13},1),{6,5,4,3,2,9,8,7,6,5,4,3,2}),11))),"OK","ERRO: dígito verificador")))))</f>
      </c>
      <c r="V475" s="6">
        <f>IF(T475="","",IF(COUNTIF($T$2:$T$1001,T475)&gt;1,"DUPLICADO","OK"))</f>
      </c>
      <c r="W475" s="6">
        <f>IF(M475="","vazio",IF(OR(AND(LEN(SUBSTITUTE(SUBSTITUTE(SUBSTITUTE(SUBSTITUTE(SUBSTITUTE(SUBSTITUTE(SUBSTITUTE(TRIM(M475),".",""),"/",""),"-","")," ",""),"(",""),")",""),"+",""))=10,LEFT(SUBSTITUTE(SUBSTITUTE(SUBSTITUTE(SUBSTITUTE(SUBSTITUTE(SUBSTITUTE(SUBSTITUTE(TRIM(M475),".",""),"/",""),"-","")," ",""),"(",""),")",""),"+",""),1)&lt;&gt;"0"),AND(LEN(SUBSTITUTE(SUBSTITUTE(SUBSTITUTE(SUBSTITUTE(SUBSTITUTE(SUBSTITUTE(SUBSTITUTE(TRIM(M475),".",""),"/",""),"-","")," ",""),"(",""),")",""),"+",""))=11,LEFT(SUBSTITUTE(SUBSTITUTE(SUBSTITUTE(SUBSTITUTE(SUBSTITUTE(SUBSTITUTE(SUBSTITUTE(TRIM(M475),".",""),"/",""),"-","")," ",""),"(",""),")",""),"+",""),4)="0800")),"OK",IF(AND(LEN(SUBSTITUTE(SUBSTITUTE(SUBSTITUTE(SUBSTITUTE(SUBSTITUTE(SUBSTITUTE(SUBSTITUTE(TRIM(M475),".",""),"/",""),"-","")," ",""),"(",""),")",""),"+",""))=11,MID(SUBSTITUTE(SUBSTITUTE(SUBSTITUTE(SUBSTITUTE(SUBSTITUTE(SUBSTITUTE(SUBSTITUTE(TRIM(M475),".",""),"/",""),"-","")," ",""),"(",""),")",""),"+",""),3,1)="9"),"ERRO: é celular, use a coluna Celular","ERRO: DDD + 8 dígitos ou 0800 + 7")))</f>
      </c>
      <c r="X475" s="6">
        <f>IF(N475="","vazio",IF(AND(LEN(SUBSTITUTE(SUBSTITUTE(SUBSTITUTE(SUBSTITUTE(SUBSTITUTE(SUBSTITUTE(SUBSTITUTE(TRIM(N475),".",""),"/",""),"-","")," ",""),"(",""),")",""),"+",""))=11,MID(SUBSTITUTE(SUBSTITUTE(SUBSTITUTE(SUBSTITUTE(SUBSTITUTE(SUBSTITUTE(SUBSTITUTE(TRIM(N475),".",""),"/",""),"-","")," ",""),"(",""),")",""),"+",""),3,1)="9",LEFT(SUBSTITUTE(SUBSTITUTE(SUBSTITUTE(SUBSTITUTE(SUBSTITUTE(SUBSTITUTE(SUBSTITUTE(TRIM(N475),".",""),"/",""),"-","")," ",""),"(",""),")",""),"+",""),1)&lt;&gt;"0"),"OK",IF(LEN(SUBSTITUTE(SUBSTITUTE(SUBSTITUTE(SUBSTITUTE(SUBSTITUTE(SUBSTITUTE(SUBSTITUTE(TRIM(N475),".",""),"/",""),"-","")," ",""),"(",""),")",""),"+",""))=10,"ERRO: é fixo (ou falta o 9), use a coluna Telefone fixo","ERRO: DDD + 9 + 8 dígitos")))</f>
      </c>
      <c r="Y475" s="6">
        <f>IF(O475="","vazio",IF(AND(ISNUMBER(FIND("@",O475)),ISNUMBER(FIND(".",MID(O475,FIND("@",O475),99))),NOT(ISNUMBER(FIND(" ",TRIM(O475)))),NOT(ISNUMBER(FIND(";",O475))),NOT(ISNUMBER(FIND(",",O475)))),"OK","ERRO: um e-mail válido por linha"))</f>
      </c>
      <c r="Z475" s="6">
        <f>IF(AND(J475="",K475=""),"",IF(AND(J475&lt;&gt;"",K475&lt;&gt;""),"OK","pendente: só um nome (o GR completa ao converter)"))</f>
      </c>
      <c r="AA475" s="6">
        <f>IF(COUNTA(A475:S475)=0,"",IF(AND(A475&lt;&gt;"",B475&lt;&gt;"",C475&lt;&gt;"",D475&lt;&gt;"",E475&lt;&gt;"",F475&lt;&gt;"",G475&lt;&gt;"",H475&lt;&gt;"",OR(J475&lt;&gt;"",K475&lt;&gt;""),OR(M475&lt;&gt;"",N475&lt;&gt;"",O475&lt;&gt;"")),"OK","ERRO: faltam "&amp;IF(A475="","SDR; ","")&amp;IF(B475="","Proprietário; ","")&amp;IF(C475="","Origem; ","")&amp;IF(D475="","Temperatura; ","")&amp;IF(E475="","Segmento; ","")&amp;IF(F475="","Time/Cluster; ","")&amp;IF(G475="","CNPJ; ","")&amp;IF(H475="","Razão Social; ","")&amp;IF(AND(J475="",K475=""),"nome do contato; ","")&amp;IF(AND(M475="",N475="",O475=""),"telefone, celular ou e-mail; ","")))</f>
      </c>
      <c r="AB475" s="6">
        <f>IF(COUNTA(A475:S475)=0,"",IF(AND(U475="OK",V475="OK",LEFT(W475,4)&lt;&gt;"ERRO",LEFT(X475,4)&lt;&gt;"ERRO",LEFT(Y475,4)&lt;&gt;"ERRO",AA475="OK"),"OK","REVISAR"))</f>
      </c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5"/>
      <c r="K476" s="4"/>
      <c r="L476" s="4"/>
      <c r="M476" s="4"/>
      <c r="N476" s="4"/>
      <c r="O476" s="4"/>
      <c r="P476" s="4"/>
      <c r="Q476" s="4"/>
      <c r="R476" s="4"/>
      <c r="S476" s="4"/>
      <c r="T476" s="6">
        <f>IF(G476="","",SUBSTITUTE(SUBSTITUTE(SUBSTITUTE(SUBSTITUTE(SUBSTITUTE(SUBSTITUTE(SUBSTITUTE(TRIM(G476),".",""),"/",""),"-","")," ",""),"(",""),")",""),"+",""))</f>
      </c>
      <c r="U476" s="6">
        <f>IF(T476="","",IF(LEN(T476)&lt;&gt;14,"ERRO: "&amp;LEN(T476)&amp;" dígitos",IF(NOT(ISNUMBER(VALUE(T476))),"ERRO: não numérico",IF(LEN(SUBSTITUTE(T476,LEFT(T476,1),""))=0,"ERRO: dígitos repetidos",IF(AND(VALUE(MID(T476,13,1))=IF(MOD(SUMPRODUCT(--MID(T476,{1,2,3,4,5,6,7,8,9,10,11,12},1),{5,4,3,2,9,8,7,6,5,4,3,2}),11)&lt;2,0,11-MOD(SUMPRODUCT(--MID(T476,{1,2,3,4,5,6,7,8,9,10,11,12},1),{5,4,3,2,9,8,7,6,5,4,3,2}),11)),VALUE(MID(T476,14,1))=IF(MOD(SUMPRODUCT(--MID(T476,{1,2,3,4,5,6,7,8,9,10,11,12,13},1),{6,5,4,3,2,9,8,7,6,5,4,3,2}),11)&lt;2,0,11-MOD(SUMPRODUCT(--MID(T476,{1,2,3,4,5,6,7,8,9,10,11,12,13},1),{6,5,4,3,2,9,8,7,6,5,4,3,2}),11))),"OK","ERRO: dígito verificador")))))</f>
      </c>
      <c r="V476" s="6">
        <f>IF(T476="","",IF(COUNTIF($T$2:$T$1001,T476)&gt;1,"DUPLICADO","OK"))</f>
      </c>
      <c r="W476" s="6">
        <f>IF(M476="","vazio",IF(OR(AND(LEN(SUBSTITUTE(SUBSTITUTE(SUBSTITUTE(SUBSTITUTE(SUBSTITUTE(SUBSTITUTE(SUBSTITUTE(TRIM(M476),".",""),"/",""),"-","")," ",""),"(",""),")",""),"+",""))=10,LEFT(SUBSTITUTE(SUBSTITUTE(SUBSTITUTE(SUBSTITUTE(SUBSTITUTE(SUBSTITUTE(SUBSTITUTE(TRIM(M476),".",""),"/",""),"-","")," ",""),"(",""),")",""),"+",""),1)&lt;&gt;"0"),AND(LEN(SUBSTITUTE(SUBSTITUTE(SUBSTITUTE(SUBSTITUTE(SUBSTITUTE(SUBSTITUTE(SUBSTITUTE(TRIM(M476),".",""),"/",""),"-","")," ",""),"(",""),")",""),"+",""))=11,LEFT(SUBSTITUTE(SUBSTITUTE(SUBSTITUTE(SUBSTITUTE(SUBSTITUTE(SUBSTITUTE(SUBSTITUTE(TRIM(M476),".",""),"/",""),"-","")," ",""),"(",""),")",""),"+",""),4)="0800")),"OK",IF(AND(LEN(SUBSTITUTE(SUBSTITUTE(SUBSTITUTE(SUBSTITUTE(SUBSTITUTE(SUBSTITUTE(SUBSTITUTE(TRIM(M476),".",""),"/",""),"-","")," ",""),"(",""),")",""),"+",""))=11,MID(SUBSTITUTE(SUBSTITUTE(SUBSTITUTE(SUBSTITUTE(SUBSTITUTE(SUBSTITUTE(SUBSTITUTE(TRIM(M476),".",""),"/",""),"-","")," ",""),"(",""),")",""),"+",""),3,1)="9"),"ERRO: é celular, use a coluna Celular","ERRO: DDD + 8 dígitos ou 0800 + 7")))</f>
      </c>
      <c r="X476" s="6">
        <f>IF(N476="","vazio",IF(AND(LEN(SUBSTITUTE(SUBSTITUTE(SUBSTITUTE(SUBSTITUTE(SUBSTITUTE(SUBSTITUTE(SUBSTITUTE(TRIM(N476),".",""),"/",""),"-","")," ",""),"(",""),")",""),"+",""))=11,MID(SUBSTITUTE(SUBSTITUTE(SUBSTITUTE(SUBSTITUTE(SUBSTITUTE(SUBSTITUTE(SUBSTITUTE(TRIM(N476),".",""),"/",""),"-","")," ",""),"(",""),")",""),"+",""),3,1)="9",LEFT(SUBSTITUTE(SUBSTITUTE(SUBSTITUTE(SUBSTITUTE(SUBSTITUTE(SUBSTITUTE(SUBSTITUTE(TRIM(N476),".",""),"/",""),"-","")," ",""),"(",""),")",""),"+",""),1)&lt;&gt;"0"),"OK",IF(LEN(SUBSTITUTE(SUBSTITUTE(SUBSTITUTE(SUBSTITUTE(SUBSTITUTE(SUBSTITUTE(SUBSTITUTE(TRIM(N476),".",""),"/",""),"-","")," ",""),"(",""),")",""),"+",""))=10,"ERRO: é fixo (ou falta o 9), use a coluna Telefone fixo","ERRO: DDD + 9 + 8 dígitos")))</f>
      </c>
      <c r="Y476" s="6">
        <f>IF(O476="","vazio",IF(AND(ISNUMBER(FIND("@",O476)),ISNUMBER(FIND(".",MID(O476,FIND("@",O476),99))),NOT(ISNUMBER(FIND(" ",TRIM(O476)))),NOT(ISNUMBER(FIND(";",O476))),NOT(ISNUMBER(FIND(",",O476)))),"OK","ERRO: um e-mail válido por linha"))</f>
      </c>
      <c r="Z476" s="6">
        <f>IF(AND(J476="",K476=""),"",IF(AND(J476&lt;&gt;"",K476&lt;&gt;""),"OK","pendente: só um nome (o GR completa ao converter)"))</f>
      </c>
      <c r="AA476" s="6">
        <f>IF(COUNTA(A476:S476)=0,"",IF(AND(A476&lt;&gt;"",B476&lt;&gt;"",C476&lt;&gt;"",D476&lt;&gt;"",E476&lt;&gt;"",F476&lt;&gt;"",G476&lt;&gt;"",H476&lt;&gt;"",OR(J476&lt;&gt;"",K476&lt;&gt;""),OR(M476&lt;&gt;"",N476&lt;&gt;"",O476&lt;&gt;"")),"OK","ERRO: faltam "&amp;IF(A476="","SDR; ","")&amp;IF(B476="","Proprietário; ","")&amp;IF(C476="","Origem; ","")&amp;IF(D476="","Temperatura; ","")&amp;IF(E476="","Segmento; ","")&amp;IF(F476="","Time/Cluster; ","")&amp;IF(G476="","CNPJ; ","")&amp;IF(H476="","Razão Social; ","")&amp;IF(AND(J476="",K476=""),"nome do contato; ","")&amp;IF(AND(M476="",N476="",O476=""),"telefone, celular ou e-mail; ","")))</f>
      </c>
      <c r="AB476" s="6">
        <f>IF(COUNTA(A476:S476)=0,"",IF(AND(U476="OK",V476="OK",LEFT(W476,4)&lt;&gt;"ERRO",LEFT(X476,4)&lt;&gt;"ERRO",LEFT(Y476,4)&lt;&gt;"ERRO",AA476="OK"),"OK","REVISAR"))</f>
      </c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5"/>
      <c r="K477" s="4"/>
      <c r="L477" s="4"/>
      <c r="M477" s="4"/>
      <c r="N477" s="4"/>
      <c r="O477" s="4"/>
      <c r="P477" s="4"/>
      <c r="Q477" s="4"/>
      <c r="R477" s="4"/>
      <c r="S477" s="4"/>
      <c r="T477" s="6">
        <f>IF(G477="","",SUBSTITUTE(SUBSTITUTE(SUBSTITUTE(SUBSTITUTE(SUBSTITUTE(SUBSTITUTE(SUBSTITUTE(TRIM(G477),".",""),"/",""),"-","")," ",""),"(",""),")",""),"+",""))</f>
      </c>
      <c r="U477" s="6">
        <f>IF(T477="","",IF(LEN(T477)&lt;&gt;14,"ERRO: "&amp;LEN(T477)&amp;" dígitos",IF(NOT(ISNUMBER(VALUE(T477))),"ERRO: não numérico",IF(LEN(SUBSTITUTE(T477,LEFT(T477,1),""))=0,"ERRO: dígitos repetidos",IF(AND(VALUE(MID(T477,13,1))=IF(MOD(SUMPRODUCT(--MID(T477,{1,2,3,4,5,6,7,8,9,10,11,12},1),{5,4,3,2,9,8,7,6,5,4,3,2}),11)&lt;2,0,11-MOD(SUMPRODUCT(--MID(T477,{1,2,3,4,5,6,7,8,9,10,11,12},1),{5,4,3,2,9,8,7,6,5,4,3,2}),11)),VALUE(MID(T477,14,1))=IF(MOD(SUMPRODUCT(--MID(T477,{1,2,3,4,5,6,7,8,9,10,11,12,13},1),{6,5,4,3,2,9,8,7,6,5,4,3,2}),11)&lt;2,0,11-MOD(SUMPRODUCT(--MID(T477,{1,2,3,4,5,6,7,8,9,10,11,12,13},1),{6,5,4,3,2,9,8,7,6,5,4,3,2}),11))),"OK","ERRO: dígito verificador")))))</f>
      </c>
      <c r="V477" s="6">
        <f>IF(T477="","",IF(COUNTIF($T$2:$T$1001,T477)&gt;1,"DUPLICADO","OK"))</f>
      </c>
      <c r="W477" s="6">
        <f>IF(M477="","vazio",IF(OR(AND(LEN(SUBSTITUTE(SUBSTITUTE(SUBSTITUTE(SUBSTITUTE(SUBSTITUTE(SUBSTITUTE(SUBSTITUTE(TRIM(M477),".",""),"/",""),"-","")," ",""),"(",""),")",""),"+",""))=10,LEFT(SUBSTITUTE(SUBSTITUTE(SUBSTITUTE(SUBSTITUTE(SUBSTITUTE(SUBSTITUTE(SUBSTITUTE(TRIM(M477),".",""),"/",""),"-","")," ",""),"(",""),")",""),"+",""),1)&lt;&gt;"0"),AND(LEN(SUBSTITUTE(SUBSTITUTE(SUBSTITUTE(SUBSTITUTE(SUBSTITUTE(SUBSTITUTE(SUBSTITUTE(TRIM(M477),".",""),"/",""),"-","")," ",""),"(",""),")",""),"+",""))=11,LEFT(SUBSTITUTE(SUBSTITUTE(SUBSTITUTE(SUBSTITUTE(SUBSTITUTE(SUBSTITUTE(SUBSTITUTE(TRIM(M477),".",""),"/",""),"-","")," ",""),"(",""),")",""),"+",""),4)="0800")),"OK",IF(AND(LEN(SUBSTITUTE(SUBSTITUTE(SUBSTITUTE(SUBSTITUTE(SUBSTITUTE(SUBSTITUTE(SUBSTITUTE(TRIM(M477),".",""),"/",""),"-","")," ",""),"(",""),")",""),"+",""))=11,MID(SUBSTITUTE(SUBSTITUTE(SUBSTITUTE(SUBSTITUTE(SUBSTITUTE(SUBSTITUTE(SUBSTITUTE(TRIM(M477),".",""),"/",""),"-","")," ",""),"(",""),")",""),"+",""),3,1)="9"),"ERRO: é celular, use a coluna Celular","ERRO: DDD + 8 dígitos ou 0800 + 7")))</f>
      </c>
      <c r="X477" s="6">
        <f>IF(N477="","vazio",IF(AND(LEN(SUBSTITUTE(SUBSTITUTE(SUBSTITUTE(SUBSTITUTE(SUBSTITUTE(SUBSTITUTE(SUBSTITUTE(TRIM(N477),".",""),"/",""),"-","")," ",""),"(",""),")",""),"+",""))=11,MID(SUBSTITUTE(SUBSTITUTE(SUBSTITUTE(SUBSTITUTE(SUBSTITUTE(SUBSTITUTE(SUBSTITUTE(TRIM(N477),".",""),"/",""),"-","")," ",""),"(",""),")",""),"+",""),3,1)="9",LEFT(SUBSTITUTE(SUBSTITUTE(SUBSTITUTE(SUBSTITUTE(SUBSTITUTE(SUBSTITUTE(SUBSTITUTE(TRIM(N477),".",""),"/",""),"-","")," ",""),"(",""),")",""),"+",""),1)&lt;&gt;"0"),"OK",IF(LEN(SUBSTITUTE(SUBSTITUTE(SUBSTITUTE(SUBSTITUTE(SUBSTITUTE(SUBSTITUTE(SUBSTITUTE(TRIM(N477),".",""),"/",""),"-","")," ",""),"(",""),")",""),"+",""))=10,"ERRO: é fixo (ou falta o 9), use a coluna Telefone fixo","ERRO: DDD + 9 + 8 dígitos")))</f>
      </c>
      <c r="Y477" s="6">
        <f>IF(O477="","vazio",IF(AND(ISNUMBER(FIND("@",O477)),ISNUMBER(FIND(".",MID(O477,FIND("@",O477),99))),NOT(ISNUMBER(FIND(" ",TRIM(O477)))),NOT(ISNUMBER(FIND(";",O477))),NOT(ISNUMBER(FIND(",",O477)))),"OK","ERRO: um e-mail válido por linha"))</f>
      </c>
      <c r="Z477" s="6">
        <f>IF(AND(J477="",K477=""),"",IF(AND(J477&lt;&gt;"",K477&lt;&gt;""),"OK","pendente: só um nome (o GR completa ao converter)"))</f>
      </c>
      <c r="AA477" s="6">
        <f>IF(COUNTA(A477:S477)=0,"",IF(AND(A477&lt;&gt;"",B477&lt;&gt;"",C477&lt;&gt;"",D477&lt;&gt;"",E477&lt;&gt;"",F477&lt;&gt;"",G477&lt;&gt;"",H477&lt;&gt;"",OR(J477&lt;&gt;"",K477&lt;&gt;""),OR(M477&lt;&gt;"",N477&lt;&gt;"",O477&lt;&gt;"")),"OK","ERRO: faltam "&amp;IF(A477="","SDR; ","")&amp;IF(B477="","Proprietário; ","")&amp;IF(C477="","Origem; ","")&amp;IF(D477="","Temperatura; ","")&amp;IF(E477="","Segmento; ","")&amp;IF(F477="","Time/Cluster; ","")&amp;IF(G477="","CNPJ; ","")&amp;IF(H477="","Razão Social; ","")&amp;IF(AND(J477="",K477=""),"nome do contato; ","")&amp;IF(AND(M477="",N477="",O477=""),"telefone, celular ou e-mail; ","")))</f>
      </c>
      <c r="AB477" s="6">
        <f>IF(COUNTA(A477:S477)=0,"",IF(AND(U477="OK",V477="OK",LEFT(W477,4)&lt;&gt;"ERRO",LEFT(X477,4)&lt;&gt;"ERRO",LEFT(Y477,4)&lt;&gt;"ERRO",AA477="OK"),"OK","REVISAR"))</f>
      </c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5"/>
      <c r="K478" s="4"/>
      <c r="L478" s="4"/>
      <c r="M478" s="4"/>
      <c r="N478" s="4"/>
      <c r="O478" s="4"/>
      <c r="P478" s="4"/>
      <c r="Q478" s="4"/>
      <c r="R478" s="4"/>
      <c r="S478" s="4"/>
      <c r="T478" s="6">
        <f>IF(G478="","",SUBSTITUTE(SUBSTITUTE(SUBSTITUTE(SUBSTITUTE(SUBSTITUTE(SUBSTITUTE(SUBSTITUTE(TRIM(G478),".",""),"/",""),"-","")," ",""),"(",""),")",""),"+",""))</f>
      </c>
      <c r="U478" s="6">
        <f>IF(T478="","",IF(LEN(T478)&lt;&gt;14,"ERRO: "&amp;LEN(T478)&amp;" dígitos",IF(NOT(ISNUMBER(VALUE(T478))),"ERRO: não numérico",IF(LEN(SUBSTITUTE(T478,LEFT(T478,1),""))=0,"ERRO: dígitos repetidos",IF(AND(VALUE(MID(T478,13,1))=IF(MOD(SUMPRODUCT(--MID(T478,{1,2,3,4,5,6,7,8,9,10,11,12},1),{5,4,3,2,9,8,7,6,5,4,3,2}),11)&lt;2,0,11-MOD(SUMPRODUCT(--MID(T478,{1,2,3,4,5,6,7,8,9,10,11,12},1),{5,4,3,2,9,8,7,6,5,4,3,2}),11)),VALUE(MID(T478,14,1))=IF(MOD(SUMPRODUCT(--MID(T478,{1,2,3,4,5,6,7,8,9,10,11,12,13},1),{6,5,4,3,2,9,8,7,6,5,4,3,2}),11)&lt;2,0,11-MOD(SUMPRODUCT(--MID(T478,{1,2,3,4,5,6,7,8,9,10,11,12,13},1),{6,5,4,3,2,9,8,7,6,5,4,3,2}),11))),"OK","ERRO: dígito verificador")))))</f>
      </c>
      <c r="V478" s="6">
        <f>IF(T478="","",IF(COUNTIF($T$2:$T$1001,T478)&gt;1,"DUPLICADO","OK"))</f>
      </c>
      <c r="W478" s="6">
        <f>IF(M478="","vazio",IF(OR(AND(LEN(SUBSTITUTE(SUBSTITUTE(SUBSTITUTE(SUBSTITUTE(SUBSTITUTE(SUBSTITUTE(SUBSTITUTE(TRIM(M478),".",""),"/",""),"-","")," ",""),"(",""),")",""),"+",""))=10,LEFT(SUBSTITUTE(SUBSTITUTE(SUBSTITUTE(SUBSTITUTE(SUBSTITUTE(SUBSTITUTE(SUBSTITUTE(TRIM(M478),".",""),"/",""),"-","")," ",""),"(",""),")",""),"+",""),1)&lt;&gt;"0"),AND(LEN(SUBSTITUTE(SUBSTITUTE(SUBSTITUTE(SUBSTITUTE(SUBSTITUTE(SUBSTITUTE(SUBSTITUTE(TRIM(M478),".",""),"/",""),"-","")," ",""),"(",""),")",""),"+",""))=11,LEFT(SUBSTITUTE(SUBSTITUTE(SUBSTITUTE(SUBSTITUTE(SUBSTITUTE(SUBSTITUTE(SUBSTITUTE(TRIM(M478),".",""),"/",""),"-","")," ",""),"(",""),")",""),"+",""),4)="0800")),"OK",IF(AND(LEN(SUBSTITUTE(SUBSTITUTE(SUBSTITUTE(SUBSTITUTE(SUBSTITUTE(SUBSTITUTE(SUBSTITUTE(TRIM(M478),".",""),"/",""),"-","")," ",""),"(",""),")",""),"+",""))=11,MID(SUBSTITUTE(SUBSTITUTE(SUBSTITUTE(SUBSTITUTE(SUBSTITUTE(SUBSTITUTE(SUBSTITUTE(TRIM(M478),".",""),"/",""),"-","")," ",""),"(",""),")",""),"+",""),3,1)="9"),"ERRO: é celular, use a coluna Celular","ERRO: DDD + 8 dígitos ou 0800 + 7")))</f>
      </c>
      <c r="X478" s="6">
        <f>IF(N478="","vazio",IF(AND(LEN(SUBSTITUTE(SUBSTITUTE(SUBSTITUTE(SUBSTITUTE(SUBSTITUTE(SUBSTITUTE(SUBSTITUTE(TRIM(N478),".",""),"/",""),"-","")," ",""),"(",""),")",""),"+",""))=11,MID(SUBSTITUTE(SUBSTITUTE(SUBSTITUTE(SUBSTITUTE(SUBSTITUTE(SUBSTITUTE(SUBSTITUTE(TRIM(N478),".",""),"/",""),"-","")," ",""),"(",""),")",""),"+",""),3,1)="9",LEFT(SUBSTITUTE(SUBSTITUTE(SUBSTITUTE(SUBSTITUTE(SUBSTITUTE(SUBSTITUTE(SUBSTITUTE(TRIM(N478),".",""),"/",""),"-","")," ",""),"(",""),")",""),"+",""),1)&lt;&gt;"0"),"OK",IF(LEN(SUBSTITUTE(SUBSTITUTE(SUBSTITUTE(SUBSTITUTE(SUBSTITUTE(SUBSTITUTE(SUBSTITUTE(TRIM(N478),".",""),"/",""),"-","")," ",""),"(",""),")",""),"+",""))=10,"ERRO: é fixo (ou falta o 9), use a coluna Telefone fixo","ERRO: DDD + 9 + 8 dígitos")))</f>
      </c>
      <c r="Y478" s="6">
        <f>IF(O478="","vazio",IF(AND(ISNUMBER(FIND("@",O478)),ISNUMBER(FIND(".",MID(O478,FIND("@",O478),99))),NOT(ISNUMBER(FIND(" ",TRIM(O478)))),NOT(ISNUMBER(FIND(";",O478))),NOT(ISNUMBER(FIND(",",O478)))),"OK","ERRO: um e-mail válido por linha"))</f>
      </c>
      <c r="Z478" s="6">
        <f>IF(AND(J478="",K478=""),"",IF(AND(J478&lt;&gt;"",K478&lt;&gt;""),"OK","pendente: só um nome (o GR completa ao converter)"))</f>
      </c>
      <c r="AA478" s="6">
        <f>IF(COUNTA(A478:S478)=0,"",IF(AND(A478&lt;&gt;"",B478&lt;&gt;"",C478&lt;&gt;"",D478&lt;&gt;"",E478&lt;&gt;"",F478&lt;&gt;"",G478&lt;&gt;"",H478&lt;&gt;"",OR(J478&lt;&gt;"",K478&lt;&gt;""),OR(M478&lt;&gt;"",N478&lt;&gt;"",O478&lt;&gt;"")),"OK","ERRO: faltam "&amp;IF(A478="","SDR; ","")&amp;IF(B478="","Proprietário; ","")&amp;IF(C478="","Origem; ","")&amp;IF(D478="","Temperatura; ","")&amp;IF(E478="","Segmento; ","")&amp;IF(F478="","Time/Cluster; ","")&amp;IF(G478="","CNPJ; ","")&amp;IF(H478="","Razão Social; ","")&amp;IF(AND(J478="",K478=""),"nome do contato; ","")&amp;IF(AND(M478="",N478="",O478=""),"telefone, celular ou e-mail; ","")))</f>
      </c>
      <c r="AB478" s="6">
        <f>IF(COUNTA(A478:S478)=0,"",IF(AND(U478="OK",V478="OK",LEFT(W478,4)&lt;&gt;"ERRO",LEFT(X478,4)&lt;&gt;"ERRO",LEFT(Y478,4)&lt;&gt;"ERRO",AA478="OK"),"OK","REVISAR"))</f>
      </c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5"/>
      <c r="K479" s="4"/>
      <c r="L479" s="4"/>
      <c r="M479" s="4"/>
      <c r="N479" s="4"/>
      <c r="O479" s="4"/>
      <c r="P479" s="4"/>
      <c r="Q479" s="4"/>
      <c r="R479" s="4"/>
      <c r="S479" s="4"/>
      <c r="T479" s="6">
        <f>IF(G479="","",SUBSTITUTE(SUBSTITUTE(SUBSTITUTE(SUBSTITUTE(SUBSTITUTE(SUBSTITUTE(SUBSTITUTE(TRIM(G479),".",""),"/",""),"-","")," ",""),"(",""),")",""),"+",""))</f>
      </c>
      <c r="U479" s="6">
        <f>IF(T479="","",IF(LEN(T479)&lt;&gt;14,"ERRO: "&amp;LEN(T479)&amp;" dígitos",IF(NOT(ISNUMBER(VALUE(T479))),"ERRO: não numérico",IF(LEN(SUBSTITUTE(T479,LEFT(T479,1),""))=0,"ERRO: dígitos repetidos",IF(AND(VALUE(MID(T479,13,1))=IF(MOD(SUMPRODUCT(--MID(T479,{1,2,3,4,5,6,7,8,9,10,11,12},1),{5,4,3,2,9,8,7,6,5,4,3,2}),11)&lt;2,0,11-MOD(SUMPRODUCT(--MID(T479,{1,2,3,4,5,6,7,8,9,10,11,12},1),{5,4,3,2,9,8,7,6,5,4,3,2}),11)),VALUE(MID(T479,14,1))=IF(MOD(SUMPRODUCT(--MID(T479,{1,2,3,4,5,6,7,8,9,10,11,12,13},1),{6,5,4,3,2,9,8,7,6,5,4,3,2}),11)&lt;2,0,11-MOD(SUMPRODUCT(--MID(T479,{1,2,3,4,5,6,7,8,9,10,11,12,13},1),{6,5,4,3,2,9,8,7,6,5,4,3,2}),11))),"OK","ERRO: dígito verificador")))))</f>
      </c>
      <c r="V479" s="6">
        <f>IF(T479="","",IF(COUNTIF($T$2:$T$1001,T479)&gt;1,"DUPLICADO","OK"))</f>
      </c>
      <c r="W479" s="6">
        <f>IF(M479="","vazio",IF(OR(AND(LEN(SUBSTITUTE(SUBSTITUTE(SUBSTITUTE(SUBSTITUTE(SUBSTITUTE(SUBSTITUTE(SUBSTITUTE(TRIM(M479),".",""),"/",""),"-","")," ",""),"(",""),")",""),"+",""))=10,LEFT(SUBSTITUTE(SUBSTITUTE(SUBSTITUTE(SUBSTITUTE(SUBSTITUTE(SUBSTITUTE(SUBSTITUTE(TRIM(M479),".",""),"/",""),"-","")," ",""),"(",""),")",""),"+",""),1)&lt;&gt;"0"),AND(LEN(SUBSTITUTE(SUBSTITUTE(SUBSTITUTE(SUBSTITUTE(SUBSTITUTE(SUBSTITUTE(SUBSTITUTE(TRIM(M479),".",""),"/",""),"-","")," ",""),"(",""),")",""),"+",""))=11,LEFT(SUBSTITUTE(SUBSTITUTE(SUBSTITUTE(SUBSTITUTE(SUBSTITUTE(SUBSTITUTE(SUBSTITUTE(TRIM(M479),".",""),"/",""),"-","")," ",""),"(",""),")",""),"+",""),4)="0800")),"OK",IF(AND(LEN(SUBSTITUTE(SUBSTITUTE(SUBSTITUTE(SUBSTITUTE(SUBSTITUTE(SUBSTITUTE(SUBSTITUTE(TRIM(M479),".",""),"/",""),"-","")," ",""),"(",""),")",""),"+",""))=11,MID(SUBSTITUTE(SUBSTITUTE(SUBSTITUTE(SUBSTITUTE(SUBSTITUTE(SUBSTITUTE(SUBSTITUTE(TRIM(M479),".",""),"/",""),"-","")," ",""),"(",""),")",""),"+",""),3,1)="9"),"ERRO: é celular, use a coluna Celular","ERRO: DDD + 8 dígitos ou 0800 + 7")))</f>
      </c>
      <c r="X479" s="6">
        <f>IF(N479="","vazio",IF(AND(LEN(SUBSTITUTE(SUBSTITUTE(SUBSTITUTE(SUBSTITUTE(SUBSTITUTE(SUBSTITUTE(SUBSTITUTE(TRIM(N479),".",""),"/",""),"-","")," ",""),"(",""),")",""),"+",""))=11,MID(SUBSTITUTE(SUBSTITUTE(SUBSTITUTE(SUBSTITUTE(SUBSTITUTE(SUBSTITUTE(SUBSTITUTE(TRIM(N479),".",""),"/",""),"-","")," ",""),"(",""),")",""),"+",""),3,1)="9",LEFT(SUBSTITUTE(SUBSTITUTE(SUBSTITUTE(SUBSTITUTE(SUBSTITUTE(SUBSTITUTE(SUBSTITUTE(TRIM(N479),".",""),"/",""),"-","")," ",""),"(",""),")",""),"+",""),1)&lt;&gt;"0"),"OK",IF(LEN(SUBSTITUTE(SUBSTITUTE(SUBSTITUTE(SUBSTITUTE(SUBSTITUTE(SUBSTITUTE(SUBSTITUTE(TRIM(N479),".",""),"/",""),"-","")," ",""),"(",""),")",""),"+",""))=10,"ERRO: é fixo (ou falta o 9), use a coluna Telefone fixo","ERRO: DDD + 9 + 8 dígitos")))</f>
      </c>
      <c r="Y479" s="6">
        <f>IF(O479="","vazio",IF(AND(ISNUMBER(FIND("@",O479)),ISNUMBER(FIND(".",MID(O479,FIND("@",O479),99))),NOT(ISNUMBER(FIND(" ",TRIM(O479)))),NOT(ISNUMBER(FIND(";",O479))),NOT(ISNUMBER(FIND(",",O479)))),"OK","ERRO: um e-mail válido por linha"))</f>
      </c>
      <c r="Z479" s="6">
        <f>IF(AND(J479="",K479=""),"",IF(AND(J479&lt;&gt;"",K479&lt;&gt;""),"OK","pendente: só um nome (o GR completa ao converter)"))</f>
      </c>
      <c r="AA479" s="6">
        <f>IF(COUNTA(A479:S479)=0,"",IF(AND(A479&lt;&gt;"",B479&lt;&gt;"",C479&lt;&gt;"",D479&lt;&gt;"",E479&lt;&gt;"",F479&lt;&gt;"",G479&lt;&gt;"",H479&lt;&gt;"",OR(J479&lt;&gt;"",K479&lt;&gt;""),OR(M479&lt;&gt;"",N479&lt;&gt;"",O479&lt;&gt;"")),"OK","ERRO: faltam "&amp;IF(A479="","SDR; ","")&amp;IF(B479="","Proprietário; ","")&amp;IF(C479="","Origem; ","")&amp;IF(D479="","Temperatura; ","")&amp;IF(E479="","Segmento; ","")&amp;IF(F479="","Time/Cluster; ","")&amp;IF(G479="","CNPJ; ","")&amp;IF(H479="","Razão Social; ","")&amp;IF(AND(J479="",K479=""),"nome do contato; ","")&amp;IF(AND(M479="",N479="",O479=""),"telefone, celular ou e-mail; ","")))</f>
      </c>
      <c r="AB479" s="6">
        <f>IF(COUNTA(A479:S479)=0,"",IF(AND(U479="OK",V479="OK",LEFT(W479,4)&lt;&gt;"ERRO",LEFT(X479,4)&lt;&gt;"ERRO",LEFT(Y479,4)&lt;&gt;"ERRO",AA479="OK"),"OK","REVISAR"))</f>
      </c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5"/>
      <c r="K480" s="4"/>
      <c r="L480" s="4"/>
      <c r="M480" s="4"/>
      <c r="N480" s="4"/>
      <c r="O480" s="4"/>
      <c r="P480" s="4"/>
      <c r="Q480" s="4"/>
      <c r="R480" s="4"/>
      <c r="S480" s="4"/>
      <c r="T480" s="6">
        <f>IF(G480="","",SUBSTITUTE(SUBSTITUTE(SUBSTITUTE(SUBSTITUTE(SUBSTITUTE(SUBSTITUTE(SUBSTITUTE(TRIM(G480),".",""),"/",""),"-","")," ",""),"(",""),")",""),"+",""))</f>
      </c>
      <c r="U480" s="6">
        <f>IF(T480="","",IF(LEN(T480)&lt;&gt;14,"ERRO: "&amp;LEN(T480)&amp;" dígitos",IF(NOT(ISNUMBER(VALUE(T480))),"ERRO: não numérico",IF(LEN(SUBSTITUTE(T480,LEFT(T480,1),""))=0,"ERRO: dígitos repetidos",IF(AND(VALUE(MID(T480,13,1))=IF(MOD(SUMPRODUCT(--MID(T480,{1,2,3,4,5,6,7,8,9,10,11,12},1),{5,4,3,2,9,8,7,6,5,4,3,2}),11)&lt;2,0,11-MOD(SUMPRODUCT(--MID(T480,{1,2,3,4,5,6,7,8,9,10,11,12},1),{5,4,3,2,9,8,7,6,5,4,3,2}),11)),VALUE(MID(T480,14,1))=IF(MOD(SUMPRODUCT(--MID(T480,{1,2,3,4,5,6,7,8,9,10,11,12,13},1),{6,5,4,3,2,9,8,7,6,5,4,3,2}),11)&lt;2,0,11-MOD(SUMPRODUCT(--MID(T480,{1,2,3,4,5,6,7,8,9,10,11,12,13},1),{6,5,4,3,2,9,8,7,6,5,4,3,2}),11))),"OK","ERRO: dígito verificador")))))</f>
      </c>
      <c r="V480" s="6">
        <f>IF(T480="","",IF(COUNTIF($T$2:$T$1001,T480)&gt;1,"DUPLICADO","OK"))</f>
      </c>
      <c r="W480" s="6">
        <f>IF(M480="","vazio",IF(OR(AND(LEN(SUBSTITUTE(SUBSTITUTE(SUBSTITUTE(SUBSTITUTE(SUBSTITUTE(SUBSTITUTE(SUBSTITUTE(TRIM(M480),".",""),"/",""),"-","")," ",""),"(",""),")",""),"+",""))=10,LEFT(SUBSTITUTE(SUBSTITUTE(SUBSTITUTE(SUBSTITUTE(SUBSTITUTE(SUBSTITUTE(SUBSTITUTE(TRIM(M480),".",""),"/",""),"-","")," ",""),"(",""),")",""),"+",""),1)&lt;&gt;"0"),AND(LEN(SUBSTITUTE(SUBSTITUTE(SUBSTITUTE(SUBSTITUTE(SUBSTITUTE(SUBSTITUTE(SUBSTITUTE(TRIM(M480),".",""),"/",""),"-","")," ",""),"(",""),")",""),"+",""))=11,LEFT(SUBSTITUTE(SUBSTITUTE(SUBSTITUTE(SUBSTITUTE(SUBSTITUTE(SUBSTITUTE(SUBSTITUTE(TRIM(M480),".",""),"/",""),"-","")," ",""),"(",""),")",""),"+",""),4)="0800")),"OK",IF(AND(LEN(SUBSTITUTE(SUBSTITUTE(SUBSTITUTE(SUBSTITUTE(SUBSTITUTE(SUBSTITUTE(SUBSTITUTE(TRIM(M480),".",""),"/",""),"-","")," ",""),"(",""),")",""),"+",""))=11,MID(SUBSTITUTE(SUBSTITUTE(SUBSTITUTE(SUBSTITUTE(SUBSTITUTE(SUBSTITUTE(SUBSTITUTE(TRIM(M480),".",""),"/",""),"-","")," ",""),"(",""),")",""),"+",""),3,1)="9"),"ERRO: é celular, use a coluna Celular","ERRO: DDD + 8 dígitos ou 0800 + 7")))</f>
      </c>
      <c r="X480" s="6">
        <f>IF(N480="","vazio",IF(AND(LEN(SUBSTITUTE(SUBSTITUTE(SUBSTITUTE(SUBSTITUTE(SUBSTITUTE(SUBSTITUTE(SUBSTITUTE(TRIM(N480),".",""),"/",""),"-","")," ",""),"(",""),")",""),"+",""))=11,MID(SUBSTITUTE(SUBSTITUTE(SUBSTITUTE(SUBSTITUTE(SUBSTITUTE(SUBSTITUTE(SUBSTITUTE(TRIM(N480),".",""),"/",""),"-","")," ",""),"(",""),")",""),"+",""),3,1)="9",LEFT(SUBSTITUTE(SUBSTITUTE(SUBSTITUTE(SUBSTITUTE(SUBSTITUTE(SUBSTITUTE(SUBSTITUTE(TRIM(N480),".",""),"/",""),"-","")," ",""),"(",""),")",""),"+",""),1)&lt;&gt;"0"),"OK",IF(LEN(SUBSTITUTE(SUBSTITUTE(SUBSTITUTE(SUBSTITUTE(SUBSTITUTE(SUBSTITUTE(SUBSTITUTE(TRIM(N480),".",""),"/",""),"-","")," ",""),"(",""),")",""),"+",""))=10,"ERRO: é fixo (ou falta o 9), use a coluna Telefone fixo","ERRO: DDD + 9 + 8 dígitos")))</f>
      </c>
      <c r="Y480" s="6">
        <f>IF(O480="","vazio",IF(AND(ISNUMBER(FIND("@",O480)),ISNUMBER(FIND(".",MID(O480,FIND("@",O480),99))),NOT(ISNUMBER(FIND(" ",TRIM(O480)))),NOT(ISNUMBER(FIND(";",O480))),NOT(ISNUMBER(FIND(",",O480)))),"OK","ERRO: um e-mail válido por linha"))</f>
      </c>
      <c r="Z480" s="6">
        <f>IF(AND(J480="",K480=""),"",IF(AND(J480&lt;&gt;"",K480&lt;&gt;""),"OK","pendente: só um nome (o GR completa ao converter)"))</f>
      </c>
      <c r="AA480" s="6">
        <f>IF(COUNTA(A480:S480)=0,"",IF(AND(A480&lt;&gt;"",B480&lt;&gt;"",C480&lt;&gt;"",D480&lt;&gt;"",E480&lt;&gt;"",F480&lt;&gt;"",G480&lt;&gt;"",H480&lt;&gt;"",OR(J480&lt;&gt;"",K480&lt;&gt;""),OR(M480&lt;&gt;"",N480&lt;&gt;"",O480&lt;&gt;"")),"OK","ERRO: faltam "&amp;IF(A480="","SDR; ","")&amp;IF(B480="","Proprietário; ","")&amp;IF(C480="","Origem; ","")&amp;IF(D480="","Temperatura; ","")&amp;IF(E480="","Segmento; ","")&amp;IF(F480="","Time/Cluster; ","")&amp;IF(G480="","CNPJ; ","")&amp;IF(H480="","Razão Social; ","")&amp;IF(AND(J480="",K480=""),"nome do contato; ","")&amp;IF(AND(M480="",N480="",O480=""),"telefone, celular ou e-mail; ","")))</f>
      </c>
      <c r="AB480" s="6">
        <f>IF(COUNTA(A480:S480)=0,"",IF(AND(U480="OK",V480="OK",LEFT(W480,4)&lt;&gt;"ERRO",LEFT(X480,4)&lt;&gt;"ERRO",LEFT(Y480,4)&lt;&gt;"ERRO",AA480="OK"),"OK","REVISAR"))</f>
      </c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5"/>
      <c r="K481" s="4"/>
      <c r="L481" s="4"/>
      <c r="M481" s="4"/>
      <c r="N481" s="4"/>
      <c r="O481" s="4"/>
      <c r="P481" s="4"/>
      <c r="Q481" s="4"/>
      <c r="R481" s="4"/>
      <c r="S481" s="4"/>
      <c r="T481" s="6">
        <f>IF(G481="","",SUBSTITUTE(SUBSTITUTE(SUBSTITUTE(SUBSTITUTE(SUBSTITUTE(SUBSTITUTE(SUBSTITUTE(TRIM(G481),".",""),"/",""),"-","")," ",""),"(",""),")",""),"+",""))</f>
      </c>
      <c r="U481" s="6">
        <f>IF(T481="","",IF(LEN(T481)&lt;&gt;14,"ERRO: "&amp;LEN(T481)&amp;" dígitos",IF(NOT(ISNUMBER(VALUE(T481))),"ERRO: não numérico",IF(LEN(SUBSTITUTE(T481,LEFT(T481,1),""))=0,"ERRO: dígitos repetidos",IF(AND(VALUE(MID(T481,13,1))=IF(MOD(SUMPRODUCT(--MID(T481,{1,2,3,4,5,6,7,8,9,10,11,12},1),{5,4,3,2,9,8,7,6,5,4,3,2}),11)&lt;2,0,11-MOD(SUMPRODUCT(--MID(T481,{1,2,3,4,5,6,7,8,9,10,11,12},1),{5,4,3,2,9,8,7,6,5,4,3,2}),11)),VALUE(MID(T481,14,1))=IF(MOD(SUMPRODUCT(--MID(T481,{1,2,3,4,5,6,7,8,9,10,11,12,13},1),{6,5,4,3,2,9,8,7,6,5,4,3,2}),11)&lt;2,0,11-MOD(SUMPRODUCT(--MID(T481,{1,2,3,4,5,6,7,8,9,10,11,12,13},1),{6,5,4,3,2,9,8,7,6,5,4,3,2}),11))),"OK","ERRO: dígito verificador")))))</f>
      </c>
      <c r="V481" s="6">
        <f>IF(T481="","",IF(COUNTIF($T$2:$T$1001,T481)&gt;1,"DUPLICADO","OK"))</f>
      </c>
      <c r="W481" s="6">
        <f>IF(M481="","vazio",IF(OR(AND(LEN(SUBSTITUTE(SUBSTITUTE(SUBSTITUTE(SUBSTITUTE(SUBSTITUTE(SUBSTITUTE(SUBSTITUTE(TRIM(M481),".",""),"/",""),"-","")," ",""),"(",""),")",""),"+",""))=10,LEFT(SUBSTITUTE(SUBSTITUTE(SUBSTITUTE(SUBSTITUTE(SUBSTITUTE(SUBSTITUTE(SUBSTITUTE(TRIM(M481),".",""),"/",""),"-","")," ",""),"(",""),")",""),"+",""),1)&lt;&gt;"0"),AND(LEN(SUBSTITUTE(SUBSTITUTE(SUBSTITUTE(SUBSTITUTE(SUBSTITUTE(SUBSTITUTE(SUBSTITUTE(TRIM(M481),".",""),"/",""),"-","")," ",""),"(",""),")",""),"+",""))=11,LEFT(SUBSTITUTE(SUBSTITUTE(SUBSTITUTE(SUBSTITUTE(SUBSTITUTE(SUBSTITUTE(SUBSTITUTE(TRIM(M481),".",""),"/",""),"-","")," ",""),"(",""),")",""),"+",""),4)="0800")),"OK",IF(AND(LEN(SUBSTITUTE(SUBSTITUTE(SUBSTITUTE(SUBSTITUTE(SUBSTITUTE(SUBSTITUTE(SUBSTITUTE(TRIM(M481),".",""),"/",""),"-","")," ",""),"(",""),")",""),"+",""))=11,MID(SUBSTITUTE(SUBSTITUTE(SUBSTITUTE(SUBSTITUTE(SUBSTITUTE(SUBSTITUTE(SUBSTITUTE(TRIM(M481),".",""),"/",""),"-","")," ",""),"(",""),")",""),"+",""),3,1)="9"),"ERRO: é celular, use a coluna Celular","ERRO: DDD + 8 dígitos ou 0800 + 7")))</f>
      </c>
      <c r="X481" s="6">
        <f>IF(N481="","vazio",IF(AND(LEN(SUBSTITUTE(SUBSTITUTE(SUBSTITUTE(SUBSTITUTE(SUBSTITUTE(SUBSTITUTE(SUBSTITUTE(TRIM(N481),".",""),"/",""),"-","")," ",""),"(",""),")",""),"+",""))=11,MID(SUBSTITUTE(SUBSTITUTE(SUBSTITUTE(SUBSTITUTE(SUBSTITUTE(SUBSTITUTE(SUBSTITUTE(TRIM(N481),".",""),"/",""),"-","")," ",""),"(",""),")",""),"+",""),3,1)="9",LEFT(SUBSTITUTE(SUBSTITUTE(SUBSTITUTE(SUBSTITUTE(SUBSTITUTE(SUBSTITUTE(SUBSTITUTE(TRIM(N481),".",""),"/",""),"-","")," ",""),"(",""),")",""),"+",""),1)&lt;&gt;"0"),"OK",IF(LEN(SUBSTITUTE(SUBSTITUTE(SUBSTITUTE(SUBSTITUTE(SUBSTITUTE(SUBSTITUTE(SUBSTITUTE(TRIM(N481),".",""),"/",""),"-","")," ",""),"(",""),")",""),"+",""))=10,"ERRO: é fixo (ou falta o 9), use a coluna Telefone fixo","ERRO: DDD + 9 + 8 dígitos")))</f>
      </c>
      <c r="Y481" s="6">
        <f>IF(O481="","vazio",IF(AND(ISNUMBER(FIND("@",O481)),ISNUMBER(FIND(".",MID(O481,FIND("@",O481),99))),NOT(ISNUMBER(FIND(" ",TRIM(O481)))),NOT(ISNUMBER(FIND(";",O481))),NOT(ISNUMBER(FIND(",",O481)))),"OK","ERRO: um e-mail válido por linha"))</f>
      </c>
      <c r="Z481" s="6">
        <f>IF(AND(J481="",K481=""),"",IF(AND(J481&lt;&gt;"",K481&lt;&gt;""),"OK","pendente: só um nome (o GR completa ao converter)"))</f>
      </c>
      <c r="AA481" s="6">
        <f>IF(COUNTA(A481:S481)=0,"",IF(AND(A481&lt;&gt;"",B481&lt;&gt;"",C481&lt;&gt;"",D481&lt;&gt;"",E481&lt;&gt;"",F481&lt;&gt;"",G481&lt;&gt;"",H481&lt;&gt;"",OR(J481&lt;&gt;"",K481&lt;&gt;""),OR(M481&lt;&gt;"",N481&lt;&gt;"",O481&lt;&gt;"")),"OK","ERRO: faltam "&amp;IF(A481="","SDR; ","")&amp;IF(B481="","Proprietário; ","")&amp;IF(C481="","Origem; ","")&amp;IF(D481="","Temperatura; ","")&amp;IF(E481="","Segmento; ","")&amp;IF(F481="","Time/Cluster; ","")&amp;IF(G481="","CNPJ; ","")&amp;IF(H481="","Razão Social; ","")&amp;IF(AND(J481="",K481=""),"nome do contato; ","")&amp;IF(AND(M481="",N481="",O481=""),"telefone, celular ou e-mail; ","")))</f>
      </c>
      <c r="AB481" s="6">
        <f>IF(COUNTA(A481:S481)=0,"",IF(AND(U481="OK",V481="OK",LEFT(W481,4)&lt;&gt;"ERRO",LEFT(X481,4)&lt;&gt;"ERRO",LEFT(Y481,4)&lt;&gt;"ERRO",AA481="OK"),"OK","REVISAR"))</f>
      </c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5"/>
      <c r="K482" s="4"/>
      <c r="L482" s="4"/>
      <c r="M482" s="4"/>
      <c r="N482" s="4"/>
      <c r="O482" s="4"/>
      <c r="P482" s="4"/>
      <c r="Q482" s="4"/>
      <c r="R482" s="4"/>
      <c r="S482" s="4"/>
      <c r="T482" s="6">
        <f>IF(G482="","",SUBSTITUTE(SUBSTITUTE(SUBSTITUTE(SUBSTITUTE(SUBSTITUTE(SUBSTITUTE(SUBSTITUTE(TRIM(G482),".",""),"/",""),"-","")," ",""),"(",""),")",""),"+",""))</f>
      </c>
      <c r="U482" s="6">
        <f>IF(T482="","",IF(LEN(T482)&lt;&gt;14,"ERRO: "&amp;LEN(T482)&amp;" dígitos",IF(NOT(ISNUMBER(VALUE(T482))),"ERRO: não numérico",IF(LEN(SUBSTITUTE(T482,LEFT(T482,1),""))=0,"ERRO: dígitos repetidos",IF(AND(VALUE(MID(T482,13,1))=IF(MOD(SUMPRODUCT(--MID(T482,{1,2,3,4,5,6,7,8,9,10,11,12},1),{5,4,3,2,9,8,7,6,5,4,3,2}),11)&lt;2,0,11-MOD(SUMPRODUCT(--MID(T482,{1,2,3,4,5,6,7,8,9,10,11,12},1),{5,4,3,2,9,8,7,6,5,4,3,2}),11)),VALUE(MID(T482,14,1))=IF(MOD(SUMPRODUCT(--MID(T482,{1,2,3,4,5,6,7,8,9,10,11,12,13},1),{6,5,4,3,2,9,8,7,6,5,4,3,2}),11)&lt;2,0,11-MOD(SUMPRODUCT(--MID(T482,{1,2,3,4,5,6,7,8,9,10,11,12,13},1),{6,5,4,3,2,9,8,7,6,5,4,3,2}),11))),"OK","ERRO: dígito verificador")))))</f>
      </c>
      <c r="V482" s="6">
        <f>IF(T482="","",IF(COUNTIF($T$2:$T$1001,T482)&gt;1,"DUPLICADO","OK"))</f>
      </c>
      <c r="W482" s="6">
        <f>IF(M482="","vazio",IF(OR(AND(LEN(SUBSTITUTE(SUBSTITUTE(SUBSTITUTE(SUBSTITUTE(SUBSTITUTE(SUBSTITUTE(SUBSTITUTE(TRIM(M482),".",""),"/",""),"-","")," ",""),"(",""),")",""),"+",""))=10,LEFT(SUBSTITUTE(SUBSTITUTE(SUBSTITUTE(SUBSTITUTE(SUBSTITUTE(SUBSTITUTE(SUBSTITUTE(TRIM(M482),".",""),"/",""),"-","")," ",""),"(",""),")",""),"+",""),1)&lt;&gt;"0"),AND(LEN(SUBSTITUTE(SUBSTITUTE(SUBSTITUTE(SUBSTITUTE(SUBSTITUTE(SUBSTITUTE(SUBSTITUTE(TRIM(M482),".",""),"/",""),"-","")," ",""),"(",""),")",""),"+",""))=11,LEFT(SUBSTITUTE(SUBSTITUTE(SUBSTITUTE(SUBSTITUTE(SUBSTITUTE(SUBSTITUTE(SUBSTITUTE(TRIM(M482),".",""),"/",""),"-","")," ",""),"(",""),")",""),"+",""),4)="0800")),"OK",IF(AND(LEN(SUBSTITUTE(SUBSTITUTE(SUBSTITUTE(SUBSTITUTE(SUBSTITUTE(SUBSTITUTE(SUBSTITUTE(TRIM(M482),".",""),"/",""),"-","")," ",""),"(",""),")",""),"+",""))=11,MID(SUBSTITUTE(SUBSTITUTE(SUBSTITUTE(SUBSTITUTE(SUBSTITUTE(SUBSTITUTE(SUBSTITUTE(TRIM(M482),".",""),"/",""),"-","")," ",""),"(",""),")",""),"+",""),3,1)="9"),"ERRO: é celular, use a coluna Celular","ERRO: DDD + 8 dígitos ou 0800 + 7")))</f>
      </c>
      <c r="X482" s="6">
        <f>IF(N482="","vazio",IF(AND(LEN(SUBSTITUTE(SUBSTITUTE(SUBSTITUTE(SUBSTITUTE(SUBSTITUTE(SUBSTITUTE(SUBSTITUTE(TRIM(N482),".",""),"/",""),"-","")," ",""),"(",""),")",""),"+",""))=11,MID(SUBSTITUTE(SUBSTITUTE(SUBSTITUTE(SUBSTITUTE(SUBSTITUTE(SUBSTITUTE(SUBSTITUTE(TRIM(N482),".",""),"/",""),"-","")," ",""),"(",""),")",""),"+",""),3,1)="9",LEFT(SUBSTITUTE(SUBSTITUTE(SUBSTITUTE(SUBSTITUTE(SUBSTITUTE(SUBSTITUTE(SUBSTITUTE(TRIM(N482),".",""),"/",""),"-","")," ",""),"(",""),")",""),"+",""),1)&lt;&gt;"0"),"OK",IF(LEN(SUBSTITUTE(SUBSTITUTE(SUBSTITUTE(SUBSTITUTE(SUBSTITUTE(SUBSTITUTE(SUBSTITUTE(TRIM(N482),".",""),"/",""),"-","")," ",""),"(",""),")",""),"+",""))=10,"ERRO: é fixo (ou falta o 9), use a coluna Telefone fixo","ERRO: DDD + 9 + 8 dígitos")))</f>
      </c>
      <c r="Y482" s="6">
        <f>IF(O482="","vazio",IF(AND(ISNUMBER(FIND("@",O482)),ISNUMBER(FIND(".",MID(O482,FIND("@",O482),99))),NOT(ISNUMBER(FIND(" ",TRIM(O482)))),NOT(ISNUMBER(FIND(";",O482))),NOT(ISNUMBER(FIND(",",O482)))),"OK","ERRO: um e-mail válido por linha"))</f>
      </c>
      <c r="Z482" s="6">
        <f>IF(AND(J482="",K482=""),"",IF(AND(J482&lt;&gt;"",K482&lt;&gt;""),"OK","pendente: só um nome (o GR completa ao converter)"))</f>
      </c>
      <c r="AA482" s="6">
        <f>IF(COUNTA(A482:S482)=0,"",IF(AND(A482&lt;&gt;"",B482&lt;&gt;"",C482&lt;&gt;"",D482&lt;&gt;"",E482&lt;&gt;"",F482&lt;&gt;"",G482&lt;&gt;"",H482&lt;&gt;"",OR(J482&lt;&gt;"",K482&lt;&gt;""),OR(M482&lt;&gt;"",N482&lt;&gt;"",O482&lt;&gt;"")),"OK","ERRO: faltam "&amp;IF(A482="","SDR; ","")&amp;IF(B482="","Proprietário; ","")&amp;IF(C482="","Origem; ","")&amp;IF(D482="","Temperatura; ","")&amp;IF(E482="","Segmento; ","")&amp;IF(F482="","Time/Cluster; ","")&amp;IF(G482="","CNPJ; ","")&amp;IF(H482="","Razão Social; ","")&amp;IF(AND(J482="",K482=""),"nome do contato; ","")&amp;IF(AND(M482="",N482="",O482=""),"telefone, celular ou e-mail; ","")))</f>
      </c>
      <c r="AB482" s="6">
        <f>IF(COUNTA(A482:S482)=0,"",IF(AND(U482="OK",V482="OK",LEFT(W482,4)&lt;&gt;"ERRO",LEFT(X482,4)&lt;&gt;"ERRO",LEFT(Y482,4)&lt;&gt;"ERRO",AA482="OK"),"OK","REVISAR"))</f>
      </c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5"/>
      <c r="K483" s="4"/>
      <c r="L483" s="4"/>
      <c r="M483" s="4"/>
      <c r="N483" s="4"/>
      <c r="O483" s="4"/>
      <c r="P483" s="4"/>
      <c r="Q483" s="4"/>
      <c r="R483" s="4"/>
      <c r="S483" s="4"/>
      <c r="T483" s="6">
        <f>IF(G483="","",SUBSTITUTE(SUBSTITUTE(SUBSTITUTE(SUBSTITUTE(SUBSTITUTE(SUBSTITUTE(SUBSTITUTE(TRIM(G483),".",""),"/",""),"-","")," ",""),"(",""),")",""),"+",""))</f>
      </c>
      <c r="U483" s="6">
        <f>IF(T483="","",IF(LEN(T483)&lt;&gt;14,"ERRO: "&amp;LEN(T483)&amp;" dígitos",IF(NOT(ISNUMBER(VALUE(T483))),"ERRO: não numérico",IF(LEN(SUBSTITUTE(T483,LEFT(T483,1),""))=0,"ERRO: dígitos repetidos",IF(AND(VALUE(MID(T483,13,1))=IF(MOD(SUMPRODUCT(--MID(T483,{1,2,3,4,5,6,7,8,9,10,11,12},1),{5,4,3,2,9,8,7,6,5,4,3,2}),11)&lt;2,0,11-MOD(SUMPRODUCT(--MID(T483,{1,2,3,4,5,6,7,8,9,10,11,12},1),{5,4,3,2,9,8,7,6,5,4,3,2}),11)),VALUE(MID(T483,14,1))=IF(MOD(SUMPRODUCT(--MID(T483,{1,2,3,4,5,6,7,8,9,10,11,12,13},1),{6,5,4,3,2,9,8,7,6,5,4,3,2}),11)&lt;2,0,11-MOD(SUMPRODUCT(--MID(T483,{1,2,3,4,5,6,7,8,9,10,11,12,13},1),{6,5,4,3,2,9,8,7,6,5,4,3,2}),11))),"OK","ERRO: dígito verificador")))))</f>
      </c>
      <c r="V483" s="6">
        <f>IF(T483="","",IF(COUNTIF($T$2:$T$1001,T483)&gt;1,"DUPLICADO","OK"))</f>
      </c>
      <c r="W483" s="6">
        <f>IF(M483="","vazio",IF(OR(AND(LEN(SUBSTITUTE(SUBSTITUTE(SUBSTITUTE(SUBSTITUTE(SUBSTITUTE(SUBSTITUTE(SUBSTITUTE(TRIM(M483),".",""),"/",""),"-","")," ",""),"(",""),")",""),"+",""))=10,LEFT(SUBSTITUTE(SUBSTITUTE(SUBSTITUTE(SUBSTITUTE(SUBSTITUTE(SUBSTITUTE(SUBSTITUTE(TRIM(M483),".",""),"/",""),"-","")," ",""),"(",""),")",""),"+",""),1)&lt;&gt;"0"),AND(LEN(SUBSTITUTE(SUBSTITUTE(SUBSTITUTE(SUBSTITUTE(SUBSTITUTE(SUBSTITUTE(SUBSTITUTE(TRIM(M483),".",""),"/",""),"-","")," ",""),"(",""),")",""),"+",""))=11,LEFT(SUBSTITUTE(SUBSTITUTE(SUBSTITUTE(SUBSTITUTE(SUBSTITUTE(SUBSTITUTE(SUBSTITUTE(TRIM(M483),".",""),"/",""),"-","")," ",""),"(",""),")",""),"+",""),4)="0800")),"OK",IF(AND(LEN(SUBSTITUTE(SUBSTITUTE(SUBSTITUTE(SUBSTITUTE(SUBSTITUTE(SUBSTITUTE(SUBSTITUTE(TRIM(M483),".",""),"/",""),"-","")," ",""),"(",""),")",""),"+",""))=11,MID(SUBSTITUTE(SUBSTITUTE(SUBSTITUTE(SUBSTITUTE(SUBSTITUTE(SUBSTITUTE(SUBSTITUTE(TRIM(M483),".",""),"/",""),"-","")," ",""),"(",""),")",""),"+",""),3,1)="9"),"ERRO: é celular, use a coluna Celular","ERRO: DDD + 8 dígitos ou 0800 + 7")))</f>
      </c>
      <c r="X483" s="6">
        <f>IF(N483="","vazio",IF(AND(LEN(SUBSTITUTE(SUBSTITUTE(SUBSTITUTE(SUBSTITUTE(SUBSTITUTE(SUBSTITUTE(SUBSTITUTE(TRIM(N483),".",""),"/",""),"-","")," ",""),"(",""),")",""),"+",""))=11,MID(SUBSTITUTE(SUBSTITUTE(SUBSTITUTE(SUBSTITUTE(SUBSTITUTE(SUBSTITUTE(SUBSTITUTE(TRIM(N483),".",""),"/",""),"-","")," ",""),"(",""),")",""),"+",""),3,1)="9",LEFT(SUBSTITUTE(SUBSTITUTE(SUBSTITUTE(SUBSTITUTE(SUBSTITUTE(SUBSTITUTE(SUBSTITUTE(TRIM(N483),".",""),"/",""),"-","")," ",""),"(",""),")",""),"+",""),1)&lt;&gt;"0"),"OK",IF(LEN(SUBSTITUTE(SUBSTITUTE(SUBSTITUTE(SUBSTITUTE(SUBSTITUTE(SUBSTITUTE(SUBSTITUTE(TRIM(N483),".",""),"/",""),"-","")," ",""),"(",""),")",""),"+",""))=10,"ERRO: é fixo (ou falta o 9), use a coluna Telefone fixo","ERRO: DDD + 9 + 8 dígitos")))</f>
      </c>
      <c r="Y483" s="6">
        <f>IF(O483="","vazio",IF(AND(ISNUMBER(FIND("@",O483)),ISNUMBER(FIND(".",MID(O483,FIND("@",O483),99))),NOT(ISNUMBER(FIND(" ",TRIM(O483)))),NOT(ISNUMBER(FIND(";",O483))),NOT(ISNUMBER(FIND(",",O483)))),"OK","ERRO: um e-mail válido por linha"))</f>
      </c>
      <c r="Z483" s="6">
        <f>IF(AND(J483="",K483=""),"",IF(AND(J483&lt;&gt;"",K483&lt;&gt;""),"OK","pendente: só um nome (o GR completa ao converter)"))</f>
      </c>
      <c r="AA483" s="6">
        <f>IF(COUNTA(A483:S483)=0,"",IF(AND(A483&lt;&gt;"",B483&lt;&gt;"",C483&lt;&gt;"",D483&lt;&gt;"",E483&lt;&gt;"",F483&lt;&gt;"",G483&lt;&gt;"",H483&lt;&gt;"",OR(J483&lt;&gt;"",K483&lt;&gt;""),OR(M483&lt;&gt;"",N483&lt;&gt;"",O483&lt;&gt;"")),"OK","ERRO: faltam "&amp;IF(A483="","SDR; ","")&amp;IF(B483="","Proprietário; ","")&amp;IF(C483="","Origem; ","")&amp;IF(D483="","Temperatura; ","")&amp;IF(E483="","Segmento; ","")&amp;IF(F483="","Time/Cluster; ","")&amp;IF(G483="","CNPJ; ","")&amp;IF(H483="","Razão Social; ","")&amp;IF(AND(J483="",K483=""),"nome do contato; ","")&amp;IF(AND(M483="",N483="",O483=""),"telefone, celular ou e-mail; ","")))</f>
      </c>
      <c r="AB483" s="6">
        <f>IF(COUNTA(A483:S483)=0,"",IF(AND(U483="OK",V483="OK",LEFT(W483,4)&lt;&gt;"ERRO",LEFT(X483,4)&lt;&gt;"ERRO",LEFT(Y483,4)&lt;&gt;"ERRO",AA483="OK"),"OK","REVISAR"))</f>
      </c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5"/>
      <c r="K484" s="4"/>
      <c r="L484" s="4"/>
      <c r="M484" s="4"/>
      <c r="N484" s="4"/>
      <c r="O484" s="4"/>
      <c r="P484" s="4"/>
      <c r="Q484" s="4"/>
      <c r="R484" s="4"/>
      <c r="S484" s="4"/>
      <c r="T484" s="6">
        <f>IF(G484="","",SUBSTITUTE(SUBSTITUTE(SUBSTITUTE(SUBSTITUTE(SUBSTITUTE(SUBSTITUTE(SUBSTITUTE(TRIM(G484),".",""),"/",""),"-","")," ",""),"(",""),")",""),"+",""))</f>
      </c>
      <c r="U484" s="6">
        <f>IF(T484="","",IF(LEN(T484)&lt;&gt;14,"ERRO: "&amp;LEN(T484)&amp;" dígitos",IF(NOT(ISNUMBER(VALUE(T484))),"ERRO: não numérico",IF(LEN(SUBSTITUTE(T484,LEFT(T484,1),""))=0,"ERRO: dígitos repetidos",IF(AND(VALUE(MID(T484,13,1))=IF(MOD(SUMPRODUCT(--MID(T484,{1,2,3,4,5,6,7,8,9,10,11,12},1),{5,4,3,2,9,8,7,6,5,4,3,2}),11)&lt;2,0,11-MOD(SUMPRODUCT(--MID(T484,{1,2,3,4,5,6,7,8,9,10,11,12},1),{5,4,3,2,9,8,7,6,5,4,3,2}),11)),VALUE(MID(T484,14,1))=IF(MOD(SUMPRODUCT(--MID(T484,{1,2,3,4,5,6,7,8,9,10,11,12,13},1),{6,5,4,3,2,9,8,7,6,5,4,3,2}),11)&lt;2,0,11-MOD(SUMPRODUCT(--MID(T484,{1,2,3,4,5,6,7,8,9,10,11,12,13},1),{6,5,4,3,2,9,8,7,6,5,4,3,2}),11))),"OK","ERRO: dígito verificador")))))</f>
      </c>
      <c r="V484" s="6">
        <f>IF(T484="","",IF(COUNTIF($T$2:$T$1001,T484)&gt;1,"DUPLICADO","OK"))</f>
      </c>
      <c r="W484" s="6">
        <f>IF(M484="","vazio",IF(OR(AND(LEN(SUBSTITUTE(SUBSTITUTE(SUBSTITUTE(SUBSTITUTE(SUBSTITUTE(SUBSTITUTE(SUBSTITUTE(TRIM(M484),".",""),"/",""),"-","")," ",""),"(",""),")",""),"+",""))=10,LEFT(SUBSTITUTE(SUBSTITUTE(SUBSTITUTE(SUBSTITUTE(SUBSTITUTE(SUBSTITUTE(SUBSTITUTE(TRIM(M484),".",""),"/",""),"-","")," ",""),"(",""),")",""),"+",""),1)&lt;&gt;"0"),AND(LEN(SUBSTITUTE(SUBSTITUTE(SUBSTITUTE(SUBSTITUTE(SUBSTITUTE(SUBSTITUTE(SUBSTITUTE(TRIM(M484),".",""),"/",""),"-","")," ",""),"(",""),")",""),"+",""))=11,LEFT(SUBSTITUTE(SUBSTITUTE(SUBSTITUTE(SUBSTITUTE(SUBSTITUTE(SUBSTITUTE(SUBSTITUTE(TRIM(M484),".",""),"/",""),"-","")," ",""),"(",""),")",""),"+",""),4)="0800")),"OK",IF(AND(LEN(SUBSTITUTE(SUBSTITUTE(SUBSTITUTE(SUBSTITUTE(SUBSTITUTE(SUBSTITUTE(SUBSTITUTE(TRIM(M484),".",""),"/",""),"-","")," ",""),"(",""),")",""),"+",""))=11,MID(SUBSTITUTE(SUBSTITUTE(SUBSTITUTE(SUBSTITUTE(SUBSTITUTE(SUBSTITUTE(SUBSTITUTE(TRIM(M484),".",""),"/",""),"-","")," ",""),"(",""),")",""),"+",""),3,1)="9"),"ERRO: é celular, use a coluna Celular","ERRO: DDD + 8 dígitos ou 0800 + 7")))</f>
      </c>
      <c r="X484" s="6">
        <f>IF(N484="","vazio",IF(AND(LEN(SUBSTITUTE(SUBSTITUTE(SUBSTITUTE(SUBSTITUTE(SUBSTITUTE(SUBSTITUTE(SUBSTITUTE(TRIM(N484),".",""),"/",""),"-","")," ",""),"(",""),")",""),"+",""))=11,MID(SUBSTITUTE(SUBSTITUTE(SUBSTITUTE(SUBSTITUTE(SUBSTITUTE(SUBSTITUTE(SUBSTITUTE(TRIM(N484),".",""),"/",""),"-","")," ",""),"(",""),")",""),"+",""),3,1)="9",LEFT(SUBSTITUTE(SUBSTITUTE(SUBSTITUTE(SUBSTITUTE(SUBSTITUTE(SUBSTITUTE(SUBSTITUTE(TRIM(N484),".",""),"/",""),"-","")," ",""),"(",""),")",""),"+",""),1)&lt;&gt;"0"),"OK",IF(LEN(SUBSTITUTE(SUBSTITUTE(SUBSTITUTE(SUBSTITUTE(SUBSTITUTE(SUBSTITUTE(SUBSTITUTE(TRIM(N484),".",""),"/",""),"-","")," ",""),"(",""),")",""),"+",""))=10,"ERRO: é fixo (ou falta o 9), use a coluna Telefone fixo","ERRO: DDD + 9 + 8 dígitos")))</f>
      </c>
      <c r="Y484" s="6">
        <f>IF(O484="","vazio",IF(AND(ISNUMBER(FIND("@",O484)),ISNUMBER(FIND(".",MID(O484,FIND("@",O484),99))),NOT(ISNUMBER(FIND(" ",TRIM(O484)))),NOT(ISNUMBER(FIND(";",O484))),NOT(ISNUMBER(FIND(",",O484)))),"OK","ERRO: um e-mail válido por linha"))</f>
      </c>
      <c r="Z484" s="6">
        <f>IF(AND(J484="",K484=""),"",IF(AND(J484&lt;&gt;"",K484&lt;&gt;""),"OK","pendente: só um nome (o GR completa ao converter)"))</f>
      </c>
      <c r="AA484" s="6">
        <f>IF(COUNTA(A484:S484)=0,"",IF(AND(A484&lt;&gt;"",B484&lt;&gt;"",C484&lt;&gt;"",D484&lt;&gt;"",E484&lt;&gt;"",F484&lt;&gt;"",G484&lt;&gt;"",H484&lt;&gt;"",OR(J484&lt;&gt;"",K484&lt;&gt;""),OR(M484&lt;&gt;"",N484&lt;&gt;"",O484&lt;&gt;"")),"OK","ERRO: faltam "&amp;IF(A484="","SDR; ","")&amp;IF(B484="","Proprietário; ","")&amp;IF(C484="","Origem; ","")&amp;IF(D484="","Temperatura; ","")&amp;IF(E484="","Segmento; ","")&amp;IF(F484="","Time/Cluster; ","")&amp;IF(G484="","CNPJ; ","")&amp;IF(H484="","Razão Social; ","")&amp;IF(AND(J484="",K484=""),"nome do contato; ","")&amp;IF(AND(M484="",N484="",O484=""),"telefone, celular ou e-mail; ","")))</f>
      </c>
      <c r="AB484" s="6">
        <f>IF(COUNTA(A484:S484)=0,"",IF(AND(U484="OK",V484="OK",LEFT(W484,4)&lt;&gt;"ERRO",LEFT(X484,4)&lt;&gt;"ERRO",LEFT(Y484,4)&lt;&gt;"ERRO",AA484="OK"),"OK","REVISAR"))</f>
      </c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5"/>
      <c r="K485" s="4"/>
      <c r="L485" s="4"/>
      <c r="M485" s="4"/>
      <c r="N485" s="4"/>
      <c r="O485" s="4"/>
      <c r="P485" s="4"/>
      <c r="Q485" s="4"/>
      <c r="R485" s="4"/>
      <c r="S485" s="4"/>
      <c r="T485" s="6">
        <f>IF(G485="","",SUBSTITUTE(SUBSTITUTE(SUBSTITUTE(SUBSTITUTE(SUBSTITUTE(SUBSTITUTE(SUBSTITUTE(TRIM(G485),".",""),"/",""),"-","")," ",""),"(",""),")",""),"+",""))</f>
      </c>
      <c r="U485" s="6">
        <f>IF(T485="","",IF(LEN(T485)&lt;&gt;14,"ERRO: "&amp;LEN(T485)&amp;" dígitos",IF(NOT(ISNUMBER(VALUE(T485))),"ERRO: não numérico",IF(LEN(SUBSTITUTE(T485,LEFT(T485,1),""))=0,"ERRO: dígitos repetidos",IF(AND(VALUE(MID(T485,13,1))=IF(MOD(SUMPRODUCT(--MID(T485,{1,2,3,4,5,6,7,8,9,10,11,12},1),{5,4,3,2,9,8,7,6,5,4,3,2}),11)&lt;2,0,11-MOD(SUMPRODUCT(--MID(T485,{1,2,3,4,5,6,7,8,9,10,11,12},1),{5,4,3,2,9,8,7,6,5,4,3,2}),11)),VALUE(MID(T485,14,1))=IF(MOD(SUMPRODUCT(--MID(T485,{1,2,3,4,5,6,7,8,9,10,11,12,13},1),{6,5,4,3,2,9,8,7,6,5,4,3,2}),11)&lt;2,0,11-MOD(SUMPRODUCT(--MID(T485,{1,2,3,4,5,6,7,8,9,10,11,12,13},1),{6,5,4,3,2,9,8,7,6,5,4,3,2}),11))),"OK","ERRO: dígito verificador")))))</f>
      </c>
      <c r="V485" s="6">
        <f>IF(T485="","",IF(COUNTIF($T$2:$T$1001,T485)&gt;1,"DUPLICADO","OK"))</f>
      </c>
      <c r="W485" s="6">
        <f>IF(M485="","vazio",IF(OR(AND(LEN(SUBSTITUTE(SUBSTITUTE(SUBSTITUTE(SUBSTITUTE(SUBSTITUTE(SUBSTITUTE(SUBSTITUTE(TRIM(M485),".",""),"/",""),"-","")," ",""),"(",""),")",""),"+",""))=10,LEFT(SUBSTITUTE(SUBSTITUTE(SUBSTITUTE(SUBSTITUTE(SUBSTITUTE(SUBSTITUTE(SUBSTITUTE(TRIM(M485),".",""),"/",""),"-","")," ",""),"(",""),")",""),"+",""),1)&lt;&gt;"0"),AND(LEN(SUBSTITUTE(SUBSTITUTE(SUBSTITUTE(SUBSTITUTE(SUBSTITUTE(SUBSTITUTE(SUBSTITUTE(TRIM(M485),".",""),"/",""),"-","")," ",""),"(",""),")",""),"+",""))=11,LEFT(SUBSTITUTE(SUBSTITUTE(SUBSTITUTE(SUBSTITUTE(SUBSTITUTE(SUBSTITUTE(SUBSTITUTE(TRIM(M485),".",""),"/",""),"-","")," ",""),"(",""),")",""),"+",""),4)="0800")),"OK",IF(AND(LEN(SUBSTITUTE(SUBSTITUTE(SUBSTITUTE(SUBSTITUTE(SUBSTITUTE(SUBSTITUTE(SUBSTITUTE(TRIM(M485),".",""),"/",""),"-","")," ",""),"(",""),")",""),"+",""))=11,MID(SUBSTITUTE(SUBSTITUTE(SUBSTITUTE(SUBSTITUTE(SUBSTITUTE(SUBSTITUTE(SUBSTITUTE(TRIM(M485),".",""),"/",""),"-","")," ",""),"(",""),")",""),"+",""),3,1)="9"),"ERRO: é celular, use a coluna Celular","ERRO: DDD + 8 dígitos ou 0800 + 7")))</f>
      </c>
      <c r="X485" s="6">
        <f>IF(N485="","vazio",IF(AND(LEN(SUBSTITUTE(SUBSTITUTE(SUBSTITUTE(SUBSTITUTE(SUBSTITUTE(SUBSTITUTE(SUBSTITUTE(TRIM(N485),".",""),"/",""),"-","")," ",""),"(",""),")",""),"+",""))=11,MID(SUBSTITUTE(SUBSTITUTE(SUBSTITUTE(SUBSTITUTE(SUBSTITUTE(SUBSTITUTE(SUBSTITUTE(TRIM(N485),".",""),"/",""),"-","")," ",""),"(",""),")",""),"+",""),3,1)="9",LEFT(SUBSTITUTE(SUBSTITUTE(SUBSTITUTE(SUBSTITUTE(SUBSTITUTE(SUBSTITUTE(SUBSTITUTE(TRIM(N485),".",""),"/",""),"-","")," ",""),"(",""),")",""),"+",""),1)&lt;&gt;"0"),"OK",IF(LEN(SUBSTITUTE(SUBSTITUTE(SUBSTITUTE(SUBSTITUTE(SUBSTITUTE(SUBSTITUTE(SUBSTITUTE(TRIM(N485),".",""),"/",""),"-","")," ",""),"(",""),")",""),"+",""))=10,"ERRO: é fixo (ou falta o 9), use a coluna Telefone fixo","ERRO: DDD + 9 + 8 dígitos")))</f>
      </c>
      <c r="Y485" s="6">
        <f>IF(O485="","vazio",IF(AND(ISNUMBER(FIND("@",O485)),ISNUMBER(FIND(".",MID(O485,FIND("@",O485),99))),NOT(ISNUMBER(FIND(" ",TRIM(O485)))),NOT(ISNUMBER(FIND(";",O485))),NOT(ISNUMBER(FIND(",",O485)))),"OK","ERRO: um e-mail válido por linha"))</f>
      </c>
      <c r="Z485" s="6">
        <f>IF(AND(J485="",K485=""),"",IF(AND(J485&lt;&gt;"",K485&lt;&gt;""),"OK","pendente: só um nome (o GR completa ao converter)"))</f>
      </c>
      <c r="AA485" s="6">
        <f>IF(COUNTA(A485:S485)=0,"",IF(AND(A485&lt;&gt;"",B485&lt;&gt;"",C485&lt;&gt;"",D485&lt;&gt;"",E485&lt;&gt;"",F485&lt;&gt;"",G485&lt;&gt;"",H485&lt;&gt;"",OR(J485&lt;&gt;"",K485&lt;&gt;""),OR(M485&lt;&gt;"",N485&lt;&gt;"",O485&lt;&gt;"")),"OK","ERRO: faltam "&amp;IF(A485="","SDR; ","")&amp;IF(B485="","Proprietário; ","")&amp;IF(C485="","Origem; ","")&amp;IF(D485="","Temperatura; ","")&amp;IF(E485="","Segmento; ","")&amp;IF(F485="","Time/Cluster; ","")&amp;IF(G485="","CNPJ; ","")&amp;IF(H485="","Razão Social; ","")&amp;IF(AND(J485="",K485=""),"nome do contato; ","")&amp;IF(AND(M485="",N485="",O485=""),"telefone, celular ou e-mail; ","")))</f>
      </c>
      <c r="AB485" s="6">
        <f>IF(COUNTA(A485:S485)=0,"",IF(AND(U485="OK",V485="OK",LEFT(W485,4)&lt;&gt;"ERRO",LEFT(X485,4)&lt;&gt;"ERRO",LEFT(Y485,4)&lt;&gt;"ERRO",AA485="OK"),"OK","REVISAR"))</f>
      </c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5"/>
      <c r="K486" s="4"/>
      <c r="L486" s="4"/>
      <c r="M486" s="4"/>
      <c r="N486" s="4"/>
      <c r="O486" s="4"/>
      <c r="P486" s="4"/>
      <c r="Q486" s="4"/>
      <c r="R486" s="4"/>
      <c r="S486" s="4"/>
      <c r="T486" s="6">
        <f>IF(G486="","",SUBSTITUTE(SUBSTITUTE(SUBSTITUTE(SUBSTITUTE(SUBSTITUTE(SUBSTITUTE(SUBSTITUTE(TRIM(G486),".",""),"/",""),"-","")," ",""),"(",""),")",""),"+",""))</f>
      </c>
      <c r="U486" s="6">
        <f>IF(T486="","",IF(LEN(T486)&lt;&gt;14,"ERRO: "&amp;LEN(T486)&amp;" dígitos",IF(NOT(ISNUMBER(VALUE(T486))),"ERRO: não numérico",IF(LEN(SUBSTITUTE(T486,LEFT(T486,1),""))=0,"ERRO: dígitos repetidos",IF(AND(VALUE(MID(T486,13,1))=IF(MOD(SUMPRODUCT(--MID(T486,{1,2,3,4,5,6,7,8,9,10,11,12},1),{5,4,3,2,9,8,7,6,5,4,3,2}),11)&lt;2,0,11-MOD(SUMPRODUCT(--MID(T486,{1,2,3,4,5,6,7,8,9,10,11,12},1),{5,4,3,2,9,8,7,6,5,4,3,2}),11)),VALUE(MID(T486,14,1))=IF(MOD(SUMPRODUCT(--MID(T486,{1,2,3,4,5,6,7,8,9,10,11,12,13},1),{6,5,4,3,2,9,8,7,6,5,4,3,2}),11)&lt;2,0,11-MOD(SUMPRODUCT(--MID(T486,{1,2,3,4,5,6,7,8,9,10,11,12,13},1),{6,5,4,3,2,9,8,7,6,5,4,3,2}),11))),"OK","ERRO: dígito verificador")))))</f>
      </c>
      <c r="V486" s="6">
        <f>IF(T486="","",IF(COUNTIF($T$2:$T$1001,T486)&gt;1,"DUPLICADO","OK"))</f>
      </c>
      <c r="W486" s="6">
        <f>IF(M486="","vazio",IF(OR(AND(LEN(SUBSTITUTE(SUBSTITUTE(SUBSTITUTE(SUBSTITUTE(SUBSTITUTE(SUBSTITUTE(SUBSTITUTE(TRIM(M486),".",""),"/",""),"-","")," ",""),"(",""),")",""),"+",""))=10,LEFT(SUBSTITUTE(SUBSTITUTE(SUBSTITUTE(SUBSTITUTE(SUBSTITUTE(SUBSTITUTE(SUBSTITUTE(TRIM(M486),".",""),"/",""),"-","")," ",""),"(",""),")",""),"+",""),1)&lt;&gt;"0"),AND(LEN(SUBSTITUTE(SUBSTITUTE(SUBSTITUTE(SUBSTITUTE(SUBSTITUTE(SUBSTITUTE(SUBSTITUTE(TRIM(M486),".",""),"/",""),"-","")," ",""),"(",""),")",""),"+",""))=11,LEFT(SUBSTITUTE(SUBSTITUTE(SUBSTITUTE(SUBSTITUTE(SUBSTITUTE(SUBSTITUTE(SUBSTITUTE(TRIM(M486),".",""),"/",""),"-","")," ",""),"(",""),")",""),"+",""),4)="0800")),"OK",IF(AND(LEN(SUBSTITUTE(SUBSTITUTE(SUBSTITUTE(SUBSTITUTE(SUBSTITUTE(SUBSTITUTE(SUBSTITUTE(TRIM(M486),".",""),"/",""),"-","")," ",""),"(",""),")",""),"+",""))=11,MID(SUBSTITUTE(SUBSTITUTE(SUBSTITUTE(SUBSTITUTE(SUBSTITUTE(SUBSTITUTE(SUBSTITUTE(TRIM(M486),".",""),"/",""),"-","")," ",""),"(",""),")",""),"+",""),3,1)="9"),"ERRO: é celular, use a coluna Celular","ERRO: DDD + 8 dígitos ou 0800 + 7")))</f>
      </c>
      <c r="X486" s="6">
        <f>IF(N486="","vazio",IF(AND(LEN(SUBSTITUTE(SUBSTITUTE(SUBSTITUTE(SUBSTITUTE(SUBSTITUTE(SUBSTITUTE(SUBSTITUTE(TRIM(N486),".",""),"/",""),"-","")," ",""),"(",""),")",""),"+",""))=11,MID(SUBSTITUTE(SUBSTITUTE(SUBSTITUTE(SUBSTITUTE(SUBSTITUTE(SUBSTITUTE(SUBSTITUTE(TRIM(N486),".",""),"/",""),"-","")," ",""),"(",""),")",""),"+",""),3,1)="9",LEFT(SUBSTITUTE(SUBSTITUTE(SUBSTITUTE(SUBSTITUTE(SUBSTITUTE(SUBSTITUTE(SUBSTITUTE(TRIM(N486),".",""),"/",""),"-","")," ",""),"(",""),")",""),"+",""),1)&lt;&gt;"0"),"OK",IF(LEN(SUBSTITUTE(SUBSTITUTE(SUBSTITUTE(SUBSTITUTE(SUBSTITUTE(SUBSTITUTE(SUBSTITUTE(TRIM(N486),".",""),"/",""),"-","")," ",""),"(",""),")",""),"+",""))=10,"ERRO: é fixo (ou falta o 9), use a coluna Telefone fixo","ERRO: DDD + 9 + 8 dígitos")))</f>
      </c>
      <c r="Y486" s="6">
        <f>IF(O486="","vazio",IF(AND(ISNUMBER(FIND("@",O486)),ISNUMBER(FIND(".",MID(O486,FIND("@",O486),99))),NOT(ISNUMBER(FIND(" ",TRIM(O486)))),NOT(ISNUMBER(FIND(";",O486))),NOT(ISNUMBER(FIND(",",O486)))),"OK","ERRO: um e-mail válido por linha"))</f>
      </c>
      <c r="Z486" s="6">
        <f>IF(AND(J486="",K486=""),"",IF(AND(J486&lt;&gt;"",K486&lt;&gt;""),"OK","pendente: só um nome (o GR completa ao converter)"))</f>
      </c>
      <c r="AA486" s="6">
        <f>IF(COUNTA(A486:S486)=0,"",IF(AND(A486&lt;&gt;"",B486&lt;&gt;"",C486&lt;&gt;"",D486&lt;&gt;"",E486&lt;&gt;"",F486&lt;&gt;"",G486&lt;&gt;"",H486&lt;&gt;"",OR(J486&lt;&gt;"",K486&lt;&gt;""),OR(M486&lt;&gt;"",N486&lt;&gt;"",O486&lt;&gt;"")),"OK","ERRO: faltam "&amp;IF(A486="","SDR; ","")&amp;IF(B486="","Proprietário; ","")&amp;IF(C486="","Origem; ","")&amp;IF(D486="","Temperatura; ","")&amp;IF(E486="","Segmento; ","")&amp;IF(F486="","Time/Cluster; ","")&amp;IF(G486="","CNPJ; ","")&amp;IF(H486="","Razão Social; ","")&amp;IF(AND(J486="",K486=""),"nome do contato; ","")&amp;IF(AND(M486="",N486="",O486=""),"telefone, celular ou e-mail; ","")))</f>
      </c>
      <c r="AB486" s="6">
        <f>IF(COUNTA(A486:S486)=0,"",IF(AND(U486="OK",V486="OK",LEFT(W486,4)&lt;&gt;"ERRO",LEFT(X486,4)&lt;&gt;"ERRO",LEFT(Y486,4)&lt;&gt;"ERRO",AA486="OK"),"OK","REVISAR"))</f>
      </c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5"/>
      <c r="K487" s="4"/>
      <c r="L487" s="4"/>
      <c r="M487" s="4"/>
      <c r="N487" s="4"/>
      <c r="O487" s="4"/>
      <c r="P487" s="4"/>
      <c r="Q487" s="4"/>
      <c r="R487" s="4"/>
      <c r="S487" s="4"/>
      <c r="T487" s="6">
        <f>IF(G487="","",SUBSTITUTE(SUBSTITUTE(SUBSTITUTE(SUBSTITUTE(SUBSTITUTE(SUBSTITUTE(SUBSTITUTE(TRIM(G487),".",""),"/",""),"-","")," ",""),"(",""),")",""),"+",""))</f>
      </c>
      <c r="U487" s="6">
        <f>IF(T487="","",IF(LEN(T487)&lt;&gt;14,"ERRO: "&amp;LEN(T487)&amp;" dígitos",IF(NOT(ISNUMBER(VALUE(T487))),"ERRO: não numérico",IF(LEN(SUBSTITUTE(T487,LEFT(T487,1),""))=0,"ERRO: dígitos repetidos",IF(AND(VALUE(MID(T487,13,1))=IF(MOD(SUMPRODUCT(--MID(T487,{1,2,3,4,5,6,7,8,9,10,11,12},1),{5,4,3,2,9,8,7,6,5,4,3,2}),11)&lt;2,0,11-MOD(SUMPRODUCT(--MID(T487,{1,2,3,4,5,6,7,8,9,10,11,12},1),{5,4,3,2,9,8,7,6,5,4,3,2}),11)),VALUE(MID(T487,14,1))=IF(MOD(SUMPRODUCT(--MID(T487,{1,2,3,4,5,6,7,8,9,10,11,12,13},1),{6,5,4,3,2,9,8,7,6,5,4,3,2}),11)&lt;2,0,11-MOD(SUMPRODUCT(--MID(T487,{1,2,3,4,5,6,7,8,9,10,11,12,13},1),{6,5,4,3,2,9,8,7,6,5,4,3,2}),11))),"OK","ERRO: dígito verificador")))))</f>
      </c>
      <c r="V487" s="6">
        <f>IF(T487="","",IF(COUNTIF($T$2:$T$1001,T487)&gt;1,"DUPLICADO","OK"))</f>
      </c>
      <c r="W487" s="6">
        <f>IF(M487="","vazio",IF(OR(AND(LEN(SUBSTITUTE(SUBSTITUTE(SUBSTITUTE(SUBSTITUTE(SUBSTITUTE(SUBSTITUTE(SUBSTITUTE(TRIM(M487),".",""),"/",""),"-","")," ",""),"(",""),")",""),"+",""))=10,LEFT(SUBSTITUTE(SUBSTITUTE(SUBSTITUTE(SUBSTITUTE(SUBSTITUTE(SUBSTITUTE(SUBSTITUTE(TRIM(M487),".",""),"/",""),"-","")," ",""),"(",""),")",""),"+",""),1)&lt;&gt;"0"),AND(LEN(SUBSTITUTE(SUBSTITUTE(SUBSTITUTE(SUBSTITUTE(SUBSTITUTE(SUBSTITUTE(SUBSTITUTE(TRIM(M487),".",""),"/",""),"-","")," ",""),"(",""),")",""),"+",""))=11,LEFT(SUBSTITUTE(SUBSTITUTE(SUBSTITUTE(SUBSTITUTE(SUBSTITUTE(SUBSTITUTE(SUBSTITUTE(TRIM(M487),".",""),"/",""),"-","")," ",""),"(",""),")",""),"+",""),4)="0800")),"OK",IF(AND(LEN(SUBSTITUTE(SUBSTITUTE(SUBSTITUTE(SUBSTITUTE(SUBSTITUTE(SUBSTITUTE(SUBSTITUTE(TRIM(M487),".",""),"/",""),"-","")," ",""),"(",""),")",""),"+",""))=11,MID(SUBSTITUTE(SUBSTITUTE(SUBSTITUTE(SUBSTITUTE(SUBSTITUTE(SUBSTITUTE(SUBSTITUTE(TRIM(M487),".",""),"/",""),"-","")," ",""),"(",""),")",""),"+",""),3,1)="9"),"ERRO: é celular, use a coluna Celular","ERRO: DDD + 8 dígitos ou 0800 + 7")))</f>
      </c>
      <c r="X487" s="6">
        <f>IF(N487="","vazio",IF(AND(LEN(SUBSTITUTE(SUBSTITUTE(SUBSTITUTE(SUBSTITUTE(SUBSTITUTE(SUBSTITUTE(SUBSTITUTE(TRIM(N487),".",""),"/",""),"-","")," ",""),"(",""),")",""),"+",""))=11,MID(SUBSTITUTE(SUBSTITUTE(SUBSTITUTE(SUBSTITUTE(SUBSTITUTE(SUBSTITUTE(SUBSTITUTE(TRIM(N487),".",""),"/",""),"-","")," ",""),"(",""),")",""),"+",""),3,1)="9",LEFT(SUBSTITUTE(SUBSTITUTE(SUBSTITUTE(SUBSTITUTE(SUBSTITUTE(SUBSTITUTE(SUBSTITUTE(TRIM(N487),".",""),"/",""),"-","")," ",""),"(",""),")",""),"+",""),1)&lt;&gt;"0"),"OK",IF(LEN(SUBSTITUTE(SUBSTITUTE(SUBSTITUTE(SUBSTITUTE(SUBSTITUTE(SUBSTITUTE(SUBSTITUTE(TRIM(N487),".",""),"/",""),"-","")," ",""),"(",""),")",""),"+",""))=10,"ERRO: é fixo (ou falta o 9), use a coluna Telefone fixo","ERRO: DDD + 9 + 8 dígitos")))</f>
      </c>
      <c r="Y487" s="6">
        <f>IF(O487="","vazio",IF(AND(ISNUMBER(FIND("@",O487)),ISNUMBER(FIND(".",MID(O487,FIND("@",O487),99))),NOT(ISNUMBER(FIND(" ",TRIM(O487)))),NOT(ISNUMBER(FIND(";",O487))),NOT(ISNUMBER(FIND(",",O487)))),"OK","ERRO: um e-mail válido por linha"))</f>
      </c>
      <c r="Z487" s="6">
        <f>IF(AND(J487="",K487=""),"",IF(AND(J487&lt;&gt;"",K487&lt;&gt;""),"OK","pendente: só um nome (o GR completa ao converter)"))</f>
      </c>
      <c r="AA487" s="6">
        <f>IF(COUNTA(A487:S487)=0,"",IF(AND(A487&lt;&gt;"",B487&lt;&gt;"",C487&lt;&gt;"",D487&lt;&gt;"",E487&lt;&gt;"",F487&lt;&gt;"",G487&lt;&gt;"",H487&lt;&gt;"",OR(J487&lt;&gt;"",K487&lt;&gt;""),OR(M487&lt;&gt;"",N487&lt;&gt;"",O487&lt;&gt;"")),"OK","ERRO: faltam "&amp;IF(A487="","SDR; ","")&amp;IF(B487="","Proprietário; ","")&amp;IF(C487="","Origem; ","")&amp;IF(D487="","Temperatura; ","")&amp;IF(E487="","Segmento; ","")&amp;IF(F487="","Time/Cluster; ","")&amp;IF(G487="","CNPJ; ","")&amp;IF(H487="","Razão Social; ","")&amp;IF(AND(J487="",K487=""),"nome do contato; ","")&amp;IF(AND(M487="",N487="",O487=""),"telefone, celular ou e-mail; ","")))</f>
      </c>
      <c r="AB487" s="6">
        <f>IF(COUNTA(A487:S487)=0,"",IF(AND(U487="OK",V487="OK",LEFT(W487,4)&lt;&gt;"ERRO",LEFT(X487,4)&lt;&gt;"ERRO",LEFT(Y487,4)&lt;&gt;"ERRO",AA487="OK"),"OK","REVISAR"))</f>
      </c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5"/>
      <c r="K488" s="4"/>
      <c r="L488" s="4"/>
      <c r="M488" s="4"/>
      <c r="N488" s="4"/>
      <c r="O488" s="4"/>
      <c r="P488" s="4"/>
      <c r="Q488" s="4"/>
      <c r="R488" s="4"/>
      <c r="S488" s="4"/>
      <c r="T488" s="6">
        <f>IF(G488="","",SUBSTITUTE(SUBSTITUTE(SUBSTITUTE(SUBSTITUTE(SUBSTITUTE(SUBSTITUTE(SUBSTITUTE(TRIM(G488),".",""),"/",""),"-","")," ",""),"(",""),")",""),"+",""))</f>
      </c>
      <c r="U488" s="6">
        <f>IF(T488="","",IF(LEN(T488)&lt;&gt;14,"ERRO: "&amp;LEN(T488)&amp;" dígitos",IF(NOT(ISNUMBER(VALUE(T488))),"ERRO: não numérico",IF(LEN(SUBSTITUTE(T488,LEFT(T488,1),""))=0,"ERRO: dígitos repetidos",IF(AND(VALUE(MID(T488,13,1))=IF(MOD(SUMPRODUCT(--MID(T488,{1,2,3,4,5,6,7,8,9,10,11,12},1),{5,4,3,2,9,8,7,6,5,4,3,2}),11)&lt;2,0,11-MOD(SUMPRODUCT(--MID(T488,{1,2,3,4,5,6,7,8,9,10,11,12},1),{5,4,3,2,9,8,7,6,5,4,3,2}),11)),VALUE(MID(T488,14,1))=IF(MOD(SUMPRODUCT(--MID(T488,{1,2,3,4,5,6,7,8,9,10,11,12,13},1),{6,5,4,3,2,9,8,7,6,5,4,3,2}),11)&lt;2,0,11-MOD(SUMPRODUCT(--MID(T488,{1,2,3,4,5,6,7,8,9,10,11,12,13},1),{6,5,4,3,2,9,8,7,6,5,4,3,2}),11))),"OK","ERRO: dígito verificador")))))</f>
      </c>
      <c r="V488" s="6">
        <f>IF(T488="","",IF(COUNTIF($T$2:$T$1001,T488)&gt;1,"DUPLICADO","OK"))</f>
      </c>
      <c r="W488" s="6">
        <f>IF(M488="","vazio",IF(OR(AND(LEN(SUBSTITUTE(SUBSTITUTE(SUBSTITUTE(SUBSTITUTE(SUBSTITUTE(SUBSTITUTE(SUBSTITUTE(TRIM(M488),".",""),"/",""),"-","")," ",""),"(",""),")",""),"+",""))=10,LEFT(SUBSTITUTE(SUBSTITUTE(SUBSTITUTE(SUBSTITUTE(SUBSTITUTE(SUBSTITUTE(SUBSTITUTE(TRIM(M488),".",""),"/",""),"-","")," ",""),"(",""),")",""),"+",""),1)&lt;&gt;"0"),AND(LEN(SUBSTITUTE(SUBSTITUTE(SUBSTITUTE(SUBSTITUTE(SUBSTITUTE(SUBSTITUTE(SUBSTITUTE(TRIM(M488),".",""),"/",""),"-","")," ",""),"(",""),")",""),"+",""))=11,LEFT(SUBSTITUTE(SUBSTITUTE(SUBSTITUTE(SUBSTITUTE(SUBSTITUTE(SUBSTITUTE(SUBSTITUTE(TRIM(M488),".",""),"/",""),"-","")," ",""),"(",""),")",""),"+",""),4)="0800")),"OK",IF(AND(LEN(SUBSTITUTE(SUBSTITUTE(SUBSTITUTE(SUBSTITUTE(SUBSTITUTE(SUBSTITUTE(SUBSTITUTE(TRIM(M488),".",""),"/",""),"-","")," ",""),"(",""),")",""),"+",""))=11,MID(SUBSTITUTE(SUBSTITUTE(SUBSTITUTE(SUBSTITUTE(SUBSTITUTE(SUBSTITUTE(SUBSTITUTE(TRIM(M488),".",""),"/",""),"-","")," ",""),"(",""),")",""),"+",""),3,1)="9"),"ERRO: é celular, use a coluna Celular","ERRO: DDD + 8 dígitos ou 0800 + 7")))</f>
      </c>
      <c r="X488" s="6">
        <f>IF(N488="","vazio",IF(AND(LEN(SUBSTITUTE(SUBSTITUTE(SUBSTITUTE(SUBSTITUTE(SUBSTITUTE(SUBSTITUTE(SUBSTITUTE(TRIM(N488),".",""),"/",""),"-","")," ",""),"(",""),")",""),"+",""))=11,MID(SUBSTITUTE(SUBSTITUTE(SUBSTITUTE(SUBSTITUTE(SUBSTITUTE(SUBSTITUTE(SUBSTITUTE(TRIM(N488),".",""),"/",""),"-","")," ",""),"(",""),")",""),"+",""),3,1)="9",LEFT(SUBSTITUTE(SUBSTITUTE(SUBSTITUTE(SUBSTITUTE(SUBSTITUTE(SUBSTITUTE(SUBSTITUTE(TRIM(N488),".",""),"/",""),"-","")," ",""),"(",""),")",""),"+",""),1)&lt;&gt;"0"),"OK",IF(LEN(SUBSTITUTE(SUBSTITUTE(SUBSTITUTE(SUBSTITUTE(SUBSTITUTE(SUBSTITUTE(SUBSTITUTE(TRIM(N488),".",""),"/",""),"-","")," ",""),"(",""),")",""),"+",""))=10,"ERRO: é fixo (ou falta o 9), use a coluna Telefone fixo","ERRO: DDD + 9 + 8 dígitos")))</f>
      </c>
      <c r="Y488" s="6">
        <f>IF(O488="","vazio",IF(AND(ISNUMBER(FIND("@",O488)),ISNUMBER(FIND(".",MID(O488,FIND("@",O488),99))),NOT(ISNUMBER(FIND(" ",TRIM(O488)))),NOT(ISNUMBER(FIND(";",O488))),NOT(ISNUMBER(FIND(",",O488)))),"OK","ERRO: um e-mail válido por linha"))</f>
      </c>
      <c r="Z488" s="6">
        <f>IF(AND(J488="",K488=""),"",IF(AND(J488&lt;&gt;"",K488&lt;&gt;""),"OK","pendente: só um nome (o GR completa ao converter)"))</f>
      </c>
      <c r="AA488" s="6">
        <f>IF(COUNTA(A488:S488)=0,"",IF(AND(A488&lt;&gt;"",B488&lt;&gt;"",C488&lt;&gt;"",D488&lt;&gt;"",E488&lt;&gt;"",F488&lt;&gt;"",G488&lt;&gt;"",H488&lt;&gt;"",OR(J488&lt;&gt;"",K488&lt;&gt;""),OR(M488&lt;&gt;"",N488&lt;&gt;"",O488&lt;&gt;"")),"OK","ERRO: faltam "&amp;IF(A488="","SDR; ","")&amp;IF(B488="","Proprietário; ","")&amp;IF(C488="","Origem; ","")&amp;IF(D488="","Temperatura; ","")&amp;IF(E488="","Segmento; ","")&amp;IF(F488="","Time/Cluster; ","")&amp;IF(G488="","CNPJ; ","")&amp;IF(H488="","Razão Social; ","")&amp;IF(AND(J488="",K488=""),"nome do contato; ","")&amp;IF(AND(M488="",N488="",O488=""),"telefone, celular ou e-mail; ","")))</f>
      </c>
      <c r="AB488" s="6">
        <f>IF(COUNTA(A488:S488)=0,"",IF(AND(U488="OK",V488="OK",LEFT(W488,4)&lt;&gt;"ERRO",LEFT(X488,4)&lt;&gt;"ERRO",LEFT(Y488,4)&lt;&gt;"ERRO",AA488="OK"),"OK","REVISAR"))</f>
      </c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5"/>
      <c r="K489" s="4"/>
      <c r="L489" s="4"/>
      <c r="M489" s="4"/>
      <c r="N489" s="4"/>
      <c r="O489" s="4"/>
      <c r="P489" s="4"/>
      <c r="Q489" s="4"/>
      <c r="R489" s="4"/>
      <c r="S489" s="4"/>
      <c r="T489" s="6">
        <f>IF(G489="","",SUBSTITUTE(SUBSTITUTE(SUBSTITUTE(SUBSTITUTE(SUBSTITUTE(SUBSTITUTE(SUBSTITUTE(TRIM(G489),".",""),"/",""),"-","")," ",""),"(",""),")",""),"+",""))</f>
      </c>
      <c r="U489" s="6">
        <f>IF(T489="","",IF(LEN(T489)&lt;&gt;14,"ERRO: "&amp;LEN(T489)&amp;" dígitos",IF(NOT(ISNUMBER(VALUE(T489))),"ERRO: não numérico",IF(LEN(SUBSTITUTE(T489,LEFT(T489,1),""))=0,"ERRO: dígitos repetidos",IF(AND(VALUE(MID(T489,13,1))=IF(MOD(SUMPRODUCT(--MID(T489,{1,2,3,4,5,6,7,8,9,10,11,12},1),{5,4,3,2,9,8,7,6,5,4,3,2}),11)&lt;2,0,11-MOD(SUMPRODUCT(--MID(T489,{1,2,3,4,5,6,7,8,9,10,11,12},1),{5,4,3,2,9,8,7,6,5,4,3,2}),11)),VALUE(MID(T489,14,1))=IF(MOD(SUMPRODUCT(--MID(T489,{1,2,3,4,5,6,7,8,9,10,11,12,13},1),{6,5,4,3,2,9,8,7,6,5,4,3,2}),11)&lt;2,0,11-MOD(SUMPRODUCT(--MID(T489,{1,2,3,4,5,6,7,8,9,10,11,12,13},1),{6,5,4,3,2,9,8,7,6,5,4,3,2}),11))),"OK","ERRO: dígito verificador")))))</f>
      </c>
      <c r="V489" s="6">
        <f>IF(T489="","",IF(COUNTIF($T$2:$T$1001,T489)&gt;1,"DUPLICADO","OK"))</f>
      </c>
      <c r="W489" s="6">
        <f>IF(M489="","vazio",IF(OR(AND(LEN(SUBSTITUTE(SUBSTITUTE(SUBSTITUTE(SUBSTITUTE(SUBSTITUTE(SUBSTITUTE(SUBSTITUTE(TRIM(M489),".",""),"/",""),"-","")," ",""),"(",""),")",""),"+",""))=10,LEFT(SUBSTITUTE(SUBSTITUTE(SUBSTITUTE(SUBSTITUTE(SUBSTITUTE(SUBSTITUTE(SUBSTITUTE(TRIM(M489),".",""),"/",""),"-","")," ",""),"(",""),")",""),"+",""),1)&lt;&gt;"0"),AND(LEN(SUBSTITUTE(SUBSTITUTE(SUBSTITUTE(SUBSTITUTE(SUBSTITUTE(SUBSTITUTE(SUBSTITUTE(TRIM(M489),".",""),"/",""),"-","")," ",""),"(",""),")",""),"+",""))=11,LEFT(SUBSTITUTE(SUBSTITUTE(SUBSTITUTE(SUBSTITUTE(SUBSTITUTE(SUBSTITUTE(SUBSTITUTE(TRIM(M489),".",""),"/",""),"-","")," ",""),"(",""),")",""),"+",""),4)="0800")),"OK",IF(AND(LEN(SUBSTITUTE(SUBSTITUTE(SUBSTITUTE(SUBSTITUTE(SUBSTITUTE(SUBSTITUTE(SUBSTITUTE(TRIM(M489),".",""),"/",""),"-","")," ",""),"(",""),")",""),"+",""))=11,MID(SUBSTITUTE(SUBSTITUTE(SUBSTITUTE(SUBSTITUTE(SUBSTITUTE(SUBSTITUTE(SUBSTITUTE(TRIM(M489),".",""),"/",""),"-","")," ",""),"(",""),")",""),"+",""),3,1)="9"),"ERRO: é celular, use a coluna Celular","ERRO: DDD + 8 dígitos ou 0800 + 7")))</f>
      </c>
      <c r="X489" s="6">
        <f>IF(N489="","vazio",IF(AND(LEN(SUBSTITUTE(SUBSTITUTE(SUBSTITUTE(SUBSTITUTE(SUBSTITUTE(SUBSTITUTE(SUBSTITUTE(TRIM(N489),".",""),"/",""),"-","")," ",""),"(",""),")",""),"+",""))=11,MID(SUBSTITUTE(SUBSTITUTE(SUBSTITUTE(SUBSTITUTE(SUBSTITUTE(SUBSTITUTE(SUBSTITUTE(TRIM(N489),".",""),"/",""),"-","")," ",""),"(",""),")",""),"+",""),3,1)="9",LEFT(SUBSTITUTE(SUBSTITUTE(SUBSTITUTE(SUBSTITUTE(SUBSTITUTE(SUBSTITUTE(SUBSTITUTE(TRIM(N489),".",""),"/",""),"-","")," ",""),"(",""),")",""),"+",""),1)&lt;&gt;"0"),"OK",IF(LEN(SUBSTITUTE(SUBSTITUTE(SUBSTITUTE(SUBSTITUTE(SUBSTITUTE(SUBSTITUTE(SUBSTITUTE(TRIM(N489),".",""),"/",""),"-","")," ",""),"(",""),")",""),"+",""))=10,"ERRO: é fixo (ou falta o 9), use a coluna Telefone fixo","ERRO: DDD + 9 + 8 dígitos")))</f>
      </c>
      <c r="Y489" s="6">
        <f>IF(O489="","vazio",IF(AND(ISNUMBER(FIND("@",O489)),ISNUMBER(FIND(".",MID(O489,FIND("@",O489),99))),NOT(ISNUMBER(FIND(" ",TRIM(O489)))),NOT(ISNUMBER(FIND(";",O489))),NOT(ISNUMBER(FIND(",",O489)))),"OK","ERRO: um e-mail válido por linha"))</f>
      </c>
      <c r="Z489" s="6">
        <f>IF(AND(J489="",K489=""),"",IF(AND(J489&lt;&gt;"",K489&lt;&gt;""),"OK","pendente: só um nome (o GR completa ao converter)"))</f>
      </c>
      <c r="AA489" s="6">
        <f>IF(COUNTA(A489:S489)=0,"",IF(AND(A489&lt;&gt;"",B489&lt;&gt;"",C489&lt;&gt;"",D489&lt;&gt;"",E489&lt;&gt;"",F489&lt;&gt;"",G489&lt;&gt;"",H489&lt;&gt;"",OR(J489&lt;&gt;"",K489&lt;&gt;""),OR(M489&lt;&gt;"",N489&lt;&gt;"",O489&lt;&gt;"")),"OK","ERRO: faltam "&amp;IF(A489="","SDR; ","")&amp;IF(B489="","Proprietário; ","")&amp;IF(C489="","Origem; ","")&amp;IF(D489="","Temperatura; ","")&amp;IF(E489="","Segmento; ","")&amp;IF(F489="","Time/Cluster; ","")&amp;IF(G489="","CNPJ; ","")&amp;IF(H489="","Razão Social; ","")&amp;IF(AND(J489="",K489=""),"nome do contato; ","")&amp;IF(AND(M489="",N489="",O489=""),"telefone, celular ou e-mail; ","")))</f>
      </c>
      <c r="AB489" s="6">
        <f>IF(COUNTA(A489:S489)=0,"",IF(AND(U489="OK",V489="OK",LEFT(W489,4)&lt;&gt;"ERRO",LEFT(X489,4)&lt;&gt;"ERRO",LEFT(Y489,4)&lt;&gt;"ERRO",AA489="OK"),"OK","REVISAR"))</f>
      </c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5"/>
      <c r="K490" s="4"/>
      <c r="L490" s="4"/>
      <c r="M490" s="4"/>
      <c r="N490" s="4"/>
      <c r="O490" s="4"/>
      <c r="P490" s="4"/>
      <c r="Q490" s="4"/>
      <c r="R490" s="4"/>
      <c r="S490" s="4"/>
      <c r="T490" s="6">
        <f>IF(G490="","",SUBSTITUTE(SUBSTITUTE(SUBSTITUTE(SUBSTITUTE(SUBSTITUTE(SUBSTITUTE(SUBSTITUTE(TRIM(G490),".",""),"/",""),"-","")," ",""),"(",""),")",""),"+",""))</f>
      </c>
      <c r="U490" s="6">
        <f>IF(T490="","",IF(LEN(T490)&lt;&gt;14,"ERRO: "&amp;LEN(T490)&amp;" dígitos",IF(NOT(ISNUMBER(VALUE(T490))),"ERRO: não numérico",IF(LEN(SUBSTITUTE(T490,LEFT(T490,1),""))=0,"ERRO: dígitos repetidos",IF(AND(VALUE(MID(T490,13,1))=IF(MOD(SUMPRODUCT(--MID(T490,{1,2,3,4,5,6,7,8,9,10,11,12},1),{5,4,3,2,9,8,7,6,5,4,3,2}),11)&lt;2,0,11-MOD(SUMPRODUCT(--MID(T490,{1,2,3,4,5,6,7,8,9,10,11,12},1),{5,4,3,2,9,8,7,6,5,4,3,2}),11)),VALUE(MID(T490,14,1))=IF(MOD(SUMPRODUCT(--MID(T490,{1,2,3,4,5,6,7,8,9,10,11,12,13},1),{6,5,4,3,2,9,8,7,6,5,4,3,2}),11)&lt;2,0,11-MOD(SUMPRODUCT(--MID(T490,{1,2,3,4,5,6,7,8,9,10,11,12,13},1),{6,5,4,3,2,9,8,7,6,5,4,3,2}),11))),"OK","ERRO: dígito verificador")))))</f>
      </c>
      <c r="V490" s="6">
        <f>IF(T490="","",IF(COUNTIF($T$2:$T$1001,T490)&gt;1,"DUPLICADO","OK"))</f>
      </c>
      <c r="W490" s="6">
        <f>IF(M490="","vazio",IF(OR(AND(LEN(SUBSTITUTE(SUBSTITUTE(SUBSTITUTE(SUBSTITUTE(SUBSTITUTE(SUBSTITUTE(SUBSTITUTE(TRIM(M490),".",""),"/",""),"-","")," ",""),"(",""),")",""),"+",""))=10,LEFT(SUBSTITUTE(SUBSTITUTE(SUBSTITUTE(SUBSTITUTE(SUBSTITUTE(SUBSTITUTE(SUBSTITUTE(TRIM(M490),".",""),"/",""),"-","")," ",""),"(",""),")",""),"+",""),1)&lt;&gt;"0"),AND(LEN(SUBSTITUTE(SUBSTITUTE(SUBSTITUTE(SUBSTITUTE(SUBSTITUTE(SUBSTITUTE(SUBSTITUTE(TRIM(M490),".",""),"/",""),"-","")," ",""),"(",""),")",""),"+",""))=11,LEFT(SUBSTITUTE(SUBSTITUTE(SUBSTITUTE(SUBSTITUTE(SUBSTITUTE(SUBSTITUTE(SUBSTITUTE(TRIM(M490),".",""),"/",""),"-","")," ",""),"(",""),")",""),"+",""),4)="0800")),"OK",IF(AND(LEN(SUBSTITUTE(SUBSTITUTE(SUBSTITUTE(SUBSTITUTE(SUBSTITUTE(SUBSTITUTE(SUBSTITUTE(TRIM(M490),".",""),"/",""),"-","")," ",""),"(",""),")",""),"+",""))=11,MID(SUBSTITUTE(SUBSTITUTE(SUBSTITUTE(SUBSTITUTE(SUBSTITUTE(SUBSTITUTE(SUBSTITUTE(TRIM(M490),".",""),"/",""),"-","")," ",""),"(",""),")",""),"+",""),3,1)="9"),"ERRO: é celular, use a coluna Celular","ERRO: DDD + 8 dígitos ou 0800 + 7")))</f>
      </c>
      <c r="X490" s="6">
        <f>IF(N490="","vazio",IF(AND(LEN(SUBSTITUTE(SUBSTITUTE(SUBSTITUTE(SUBSTITUTE(SUBSTITUTE(SUBSTITUTE(SUBSTITUTE(TRIM(N490),".",""),"/",""),"-","")," ",""),"(",""),")",""),"+",""))=11,MID(SUBSTITUTE(SUBSTITUTE(SUBSTITUTE(SUBSTITUTE(SUBSTITUTE(SUBSTITUTE(SUBSTITUTE(TRIM(N490),".",""),"/",""),"-","")," ",""),"(",""),")",""),"+",""),3,1)="9",LEFT(SUBSTITUTE(SUBSTITUTE(SUBSTITUTE(SUBSTITUTE(SUBSTITUTE(SUBSTITUTE(SUBSTITUTE(TRIM(N490),".",""),"/",""),"-","")," ",""),"(",""),")",""),"+",""),1)&lt;&gt;"0"),"OK",IF(LEN(SUBSTITUTE(SUBSTITUTE(SUBSTITUTE(SUBSTITUTE(SUBSTITUTE(SUBSTITUTE(SUBSTITUTE(TRIM(N490),".",""),"/",""),"-","")," ",""),"(",""),")",""),"+",""))=10,"ERRO: é fixo (ou falta o 9), use a coluna Telefone fixo","ERRO: DDD + 9 + 8 dígitos")))</f>
      </c>
      <c r="Y490" s="6">
        <f>IF(O490="","vazio",IF(AND(ISNUMBER(FIND("@",O490)),ISNUMBER(FIND(".",MID(O490,FIND("@",O490),99))),NOT(ISNUMBER(FIND(" ",TRIM(O490)))),NOT(ISNUMBER(FIND(";",O490))),NOT(ISNUMBER(FIND(",",O490)))),"OK","ERRO: um e-mail válido por linha"))</f>
      </c>
      <c r="Z490" s="6">
        <f>IF(AND(J490="",K490=""),"",IF(AND(J490&lt;&gt;"",K490&lt;&gt;""),"OK","pendente: só um nome (o GR completa ao converter)"))</f>
      </c>
      <c r="AA490" s="6">
        <f>IF(COUNTA(A490:S490)=0,"",IF(AND(A490&lt;&gt;"",B490&lt;&gt;"",C490&lt;&gt;"",D490&lt;&gt;"",E490&lt;&gt;"",F490&lt;&gt;"",G490&lt;&gt;"",H490&lt;&gt;"",OR(J490&lt;&gt;"",K490&lt;&gt;""),OR(M490&lt;&gt;"",N490&lt;&gt;"",O490&lt;&gt;"")),"OK","ERRO: faltam "&amp;IF(A490="","SDR; ","")&amp;IF(B490="","Proprietário; ","")&amp;IF(C490="","Origem; ","")&amp;IF(D490="","Temperatura; ","")&amp;IF(E490="","Segmento; ","")&amp;IF(F490="","Time/Cluster; ","")&amp;IF(G490="","CNPJ; ","")&amp;IF(H490="","Razão Social; ","")&amp;IF(AND(J490="",K490=""),"nome do contato; ","")&amp;IF(AND(M490="",N490="",O490=""),"telefone, celular ou e-mail; ","")))</f>
      </c>
      <c r="AB490" s="6">
        <f>IF(COUNTA(A490:S490)=0,"",IF(AND(U490="OK",V490="OK",LEFT(W490,4)&lt;&gt;"ERRO",LEFT(X490,4)&lt;&gt;"ERRO",LEFT(Y490,4)&lt;&gt;"ERRO",AA490="OK"),"OK","REVISAR"))</f>
      </c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5"/>
      <c r="K491" s="4"/>
      <c r="L491" s="4"/>
      <c r="M491" s="4"/>
      <c r="N491" s="4"/>
      <c r="O491" s="4"/>
      <c r="P491" s="4"/>
      <c r="Q491" s="4"/>
      <c r="R491" s="4"/>
      <c r="S491" s="4"/>
      <c r="T491" s="6">
        <f>IF(G491="","",SUBSTITUTE(SUBSTITUTE(SUBSTITUTE(SUBSTITUTE(SUBSTITUTE(SUBSTITUTE(SUBSTITUTE(TRIM(G491),".",""),"/",""),"-","")," ",""),"(",""),")",""),"+",""))</f>
      </c>
      <c r="U491" s="6">
        <f>IF(T491="","",IF(LEN(T491)&lt;&gt;14,"ERRO: "&amp;LEN(T491)&amp;" dígitos",IF(NOT(ISNUMBER(VALUE(T491))),"ERRO: não numérico",IF(LEN(SUBSTITUTE(T491,LEFT(T491,1),""))=0,"ERRO: dígitos repetidos",IF(AND(VALUE(MID(T491,13,1))=IF(MOD(SUMPRODUCT(--MID(T491,{1,2,3,4,5,6,7,8,9,10,11,12},1),{5,4,3,2,9,8,7,6,5,4,3,2}),11)&lt;2,0,11-MOD(SUMPRODUCT(--MID(T491,{1,2,3,4,5,6,7,8,9,10,11,12},1),{5,4,3,2,9,8,7,6,5,4,3,2}),11)),VALUE(MID(T491,14,1))=IF(MOD(SUMPRODUCT(--MID(T491,{1,2,3,4,5,6,7,8,9,10,11,12,13},1),{6,5,4,3,2,9,8,7,6,5,4,3,2}),11)&lt;2,0,11-MOD(SUMPRODUCT(--MID(T491,{1,2,3,4,5,6,7,8,9,10,11,12,13},1),{6,5,4,3,2,9,8,7,6,5,4,3,2}),11))),"OK","ERRO: dígito verificador")))))</f>
      </c>
      <c r="V491" s="6">
        <f>IF(T491="","",IF(COUNTIF($T$2:$T$1001,T491)&gt;1,"DUPLICADO","OK"))</f>
      </c>
      <c r="W491" s="6">
        <f>IF(M491="","vazio",IF(OR(AND(LEN(SUBSTITUTE(SUBSTITUTE(SUBSTITUTE(SUBSTITUTE(SUBSTITUTE(SUBSTITUTE(SUBSTITUTE(TRIM(M491),".",""),"/",""),"-","")," ",""),"(",""),")",""),"+",""))=10,LEFT(SUBSTITUTE(SUBSTITUTE(SUBSTITUTE(SUBSTITUTE(SUBSTITUTE(SUBSTITUTE(SUBSTITUTE(TRIM(M491),".",""),"/",""),"-","")," ",""),"(",""),")",""),"+",""),1)&lt;&gt;"0"),AND(LEN(SUBSTITUTE(SUBSTITUTE(SUBSTITUTE(SUBSTITUTE(SUBSTITUTE(SUBSTITUTE(SUBSTITUTE(TRIM(M491),".",""),"/",""),"-","")," ",""),"(",""),")",""),"+",""))=11,LEFT(SUBSTITUTE(SUBSTITUTE(SUBSTITUTE(SUBSTITUTE(SUBSTITUTE(SUBSTITUTE(SUBSTITUTE(TRIM(M491),".",""),"/",""),"-","")," ",""),"(",""),")",""),"+",""),4)="0800")),"OK",IF(AND(LEN(SUBSTITUTE(SUBSTITUTE(SUBSTITUTE(SUBSTITUTE(SUBSTITUTE(SUBSTITUTE(SUBSTITUTE(TRIM(M491),".",""),"/",""),"-","")," ",""),"(",""),")",""),"+",""))=11,MID(SUBSTITUTE(SUBSTITUTE(SUBSTITUTE(SUBSTITUTE(SUBSTITUTE(SUBSTITUTE(SUBSTITUTE(TRIM(M491),".",""),"/",""),"-","")," ",""),"(",""),")",""),"+",""),3,1)="9"),"ERRO: é celular, use a coluna Celular","ERRO: DDD + 8 dígitos ou 0800 + 7")))</f>
      </c>
      <c r="X491" s="6">
        <f>IF(N491="","vazio",IF(AND(LEN(SUBSTITUTE(SUBSTITUTE(SUBSTITUTE(SUBSTITUTE(SUBSTITUTE(SUBSTITUTE(SUBSTITUTE(TRIM(N491),".",""),"/",""),"-","")," ",""),"(",""),")",""),"+",""))=11,MID(SUBSTITUTE(SUBSTITUTE(SUBSTITUTE(SUBSTITUTE(SUBSTITUTE(SUBSTITUTE(SUBSTITUTE(TRIM(N491),".",""),"/",""),"-","")," ",""),"(",""),")",""),"+",""),3,1)="9",LEFT(SUBSTITUTE(SUBSTITUTE(SUBSTITUTE(SUBSTITUTE(SUBSTITUTE(SUBSTITUTE(SUBSTITUTE(TRIM(N491),".",""),"/",""),"-","")," ",""),"(",""),")",""),"+",""),1)&lt;&gt;"0"),"OK",IF(LEN(SUBSTITUTE(SUBSTITUTE(SUBSTITUTE(SUBSTITUTE(SUBSTITUTE(SUBSTITUTE(SUBSTITUTE(TRIM(N491),".",""),"/",""),"-","")," ",""),"(",""),")",""),"+",""))=10,"ERRO: é fixo (ou falta o 9), use a coluna Telefone fixo","ERRO: DDD + 9 + 8 dígitos")))</f>
      </c>
      <c r="Y491" s="6">
        <f>IF(O491="","vazio",IF(AND(ISNUMBER(FIND("@",O491)),ISNUMBER(FIND(".",MID(O491,FIND("@",O491),99))),NOT(ISNUMBER(FIND(" ",TRIM(O491)))),NOT(ISNUMBER(FIND(";",O491))),NOT(ISNUMBER(FIND(",",O491)))),"OK","ERRO: um e-mail válido por linha"))</f>
      </c>
      <c r="Z491" s="6">
        <f>IF(AND(J491="",K491=""),"",IF(AND(J491&lt;&gt;"",K491&lt;&gt;""),"OK","pendente: só um nome (o GR completa ao converter)"))</f>
      </c>
      <c r="AA491" s="6">
        <f>IF(COUNTA(A491:S491)=0,"",IF(AND(A491&lt;&gt;"",B491&lt;&gt;"",C491&lt;&gt;"",D491&lt;&gt;"",E491&lt;&gt;"",F491&lt;&gt;"",G491&lt;&gt;"",H491&lt;&gt;"",OR(J491&lt;&gt;"",K491&lt;&gt;""),OR(M491&lt;&gt;"",N491&lt;&gt;"",O491&lt;&gt;"")),"OK","ERRO: faltam "&amp;IF(A491="","SDR; ","")&amp;IF(B491="","Proprietário; ","")&amp;IF(C491="","Origem; ","")&amp;IF(D491="","Temperatura; ","")&amp;IF(E491="","Segmento; ","")&amp;IF(F491="","Time/Cluster; ","")&amp;IF(G491="","CNPJ; ","")&amp;IF(H491="","Razão Social; ","")&amp;IF(AND(J491="",K491=""),"nome do contato; ","")&amp;IF(AND(M491="",N491="",O491=""),"telefone, celular ou e-mail; ","")))</f>
      </c>
      <c r="AB491" s="6">
        <f>IF(COUNTA(A491:S491)=0,"",IF(AND(U491="OK",V491="OK",LEFT(W491,4)&lt;&gt;"ERRO",LEFT(X491,4)&lt;&gt;"ERRO",LEFT(Y491,4)&lt;&gt;"ERRO",AA491="OK"),"OK","REVISAR"))</f>
      </c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5"/>
      <c r="K492" s="4"/>
      <c r="L492" s="4"/>
      <c r="M492" s="4"/>
      <c r="N492" s="4"/>
      <c r="O492" s="4"/>
      <c r="P492" s="4"/>
      <c r="Q492" s="4"/>
      <c r="R492" s="4"/>
      <c r="S492" s="4"/>
      <c r="T492" s="6">
        <f>IF(G492="","",SUBSTITUTE(SUBSTITUTE(SUBSTITUTE(SUBSTITUTE(SUBSTITUTE(SUBSTITUTE(SUBSTITUTE(TRIM(G492),".",""),"/",""),"-","")," ",""),"(",""),")",""),"+",""))</f>
      </c>
      <c r="U492" s="6">
        <f>IF(T492="","",IF(LEN(T492)&lt;&gt;14,"ERRO: "&amp;LEN(T492)&amp;" dígitos",IF(NOT(ISNUMBER(VALUE(T492))),"ERRO: não numérico",IF(LEN(SUBSTITUTE(T492,LEFT(T492,1),""))=0,"ERRO: dígitos repetidos",IF(AND(VALUE(MID(T492,13,1))=IF(MOD(SUMPRODUCT(--MID(T492,{1,2,3,4,5,6,7,8,9,10,11,12},1),{5,4,3,2,9,8,7,6,5,4,3,2}),11)&lt;2,0,11-MOD(SUMPRODUCT(--MID(T492,{1,2,3,4,5,6,7,8,9,10,11,12},1),{5,4,3,2,9,8,7,6,5,4,3,2}),11)),VALUE(MID(T492,14,1))=IF(MOD(SUMPRODUCT(--MID(T492,{1,2,3,4,5,6,7,8,9,10,11,12,13},1),{6,5,4,3,2,9,8,7,6,5,4,3,2}),11)&lt;2,0,11-MOD(SUMPRODUCT(--MID(T492,{1,2,3,4,5,6,7,8,9,10,11,12,13},1),{6,5,4,3,2,9,8,7,6,5,4,3,2}),11))),"OK","ERRO: dígito verificador")))))</f>
      </c>
      <c r="V492" s="6">
        <f>IF(T492="","",IF(COUNTIF($T$2:$T$1001,T492)&gt;1,"DUPLICADO","OK"))</f>
      </c>
      <c r="W492" s="6">
        <f>IF(M492="","vazio",IF(OR(AND(LEN(SUBSTITUTE(SUBSTITUTE(SUBSTITUTE(SUBSTITUTE(SUBSTITUTE(SUBSTITUTE(SUBSTITUTE(TRIM(M492),".",""),"/",""),"-","")," ",""),"(",""),")",""),"+",""))=10,LEFT(SUBSTITUTE(SUBSTITUTE(SUBSTITUTE(SUBSTITUTE(SUBSTITUTE(SUBSTITUTE(SUBSTITUTE(TRIM(M492),".",""),"/",""),"-","")," ",""),"(",""),")",""),"+",""),1)&lt;&gt;"0"),AND(LEN(SUBSTITUTE(SUBSTITUTE(SUBSTITUTE(SUBSTITUTE(SUBSTITUTE(SUBSTITUTE(SUBSTITUTE(TRIM(M492),".",""),"/",""),"-","")," ",""),"(",""),")",""),"+",""))=11,LEFT(SUBSTITUTE(SUBSTITUTE(SUBSTITUTE(SUBSTITUTE(SUBSTITUTE(SUBSTITUTE(SUBSTITUTE(TRIM(M492),".",""),"/",""),"-","")," ",""),"(",""),")",""),"+",""),4)="0800")),"OK",IF(AND(LEN(SUBSTITUTE(SUBSTITUTE(SUBSTITUTE(SUBSTITUTE(SUBSTITUTE(SUBSTITUTE(SUBSTITUTE(TRIM(M492),".",""),"/",""),"-","")," ",""),"(",""),")",""),"+",""))=11,MID(SUBSTITUTE(SUBSTITUTE(SUBSTITUTE(SUBSTITUTE(SUBSTITUTE(SUBSTITUTE(SUBSTITUTE(TRIM(M492),".",""),"/",""),"-","")," ",""),"(",""),")",""),"+",""),3,1)="9"),"ERRO: é celular, use a coluna Celular","ERRO: DDD + 8 dígitos ou 0800 + 7")))</f>
      </c>
      <c r="X492" s="6">
        <f>IF(N492="","vazio",IF(AND(LEN(SUBSTITUTE(SUBSTITUTE(SUBSTITUTE(SUBSTITUTE(SUBSTITUTE(SUBSTITUTE(SUBSTITUTE(TRIM(N492),".",""),"/",""),"-","")," ",""),"(",""),")",""),"+",""))=11,MID(SUBSTITUTE(SUBSTITUTE(SUBSTITUTE(SUBSTITUTE(SUBSTITUTE(SUBSTITUTE(SUBSTITUTE(TRIM(N492),".",""),"/",""),"-","")," ",""),"(",""),")",""),"+",""),3,1)="9",LEFT(SUBSTITUTE(SUBSTITUTE(SUBSTITUTE(SUBSTITUTE(SUBSTITUTE(SUBSTITUTE(SUBSTITUTE(TRIM(N492),".",""),"/",""),"-","")," ",""),"(",""),")",""),"+",""),1)&lt;&gt;"0"),"OK",IF(LEN(SUBSTITUTE(SUBSTITUTE(SUBSTITUTE(SUBSTITUTE(SUBSTITUTE(SUBSTITUTE(SUBSTITUTE(TRIM(N492),".",""),"/",""),"-","")," ",""),"(",""),")",""),"+",""))=10,"ERRO: é fixo (ou falta o 9), use a coluna Telefone fixo","ERRO: DDD + 9 + 8 dígitos")))</f>
      </c>
      <c r="Y492" s="6">
        <f>IF(O492="","vazio",IF(AND(ISNUMBER(FIND("@",O492)),ISNUMBER(FIND(".",MID(O492,FIND("@",O492),99))),NOT(ISNUMBER(FIND(" ",TRIM(O492)))),NOT(ISNUMBER(FIND(";",O492))),NOT(ISNUMBER(FIND(",",O492)))),"OK","ERRO: um e-mail válido por linha"))</f>
      </c>
      <c r="Z492" s="6">
        <f>IF(AND(J492="",K492=""),"",IF(AND(J492&lt;&gt;"",K492&lt;&gt;""),"OK","pendente: só um nome (o GR completa ao converter)"))</f>
      </c>
      <c r="AA492" s="6">
        <f>IF(COUNTA(A492:S492)=0,"",IF(AND(A492&lt;&gt;"",B492&lt;&gt;"",C492&lt;&gt;"",D492&lt;&gt;"",E492&lt;&gt;"",F492&lt;&gt;"",G492&lt;&gt;"",H492&lt;&gt;"",OR(J492&lt;&gt;"",K492&lt;&gt;""),OR(M492&lt;&gt;"",N492&lt;&gt;"",O492&lt;&gt;"")),"OK","ERRO: faltam "&amp;IF(A492="","SDR; ","")&amp;IF(B492="","Proprietário; ","")&amp;IF(C492="","Origem; ","")&amp;IF(D492="","Temperatura; ","")&amp;IF(E492="","Segmento; ","")&amp;IF(F492="","Time/Cluster; ","")&amp;IF(G492="","CNPJ; ","")&amp;IF(H492="","Razão Social; ","")&amp;IF(AND(J492="",K492=""),"nome do contato; ","")&amp;IF(AND(M492="",N492="",O492=""),"telefone, celular ou e-mail; ","")))</f>
      </c>
      <c r="AB492" s="6">
        <f>IF(COUNTA(A492:S492)=0,"",IF(AND(U492="OK",V492="OK",LEFT(W492,4)&lt;&gt;"ERRO",LEFT(X492,4)&lt;&gt;"ERRO",LEFT(Y492,4)&lt;&gt;"ERRO",AA492="OK"),"OK","REVISAR"))</f>
      </c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5"/>
      <c r="K493" s="4"/>
      <c r="L493" s="4"/>
      <c r="M493" s="4"/>
      <c r="N493" s="4"/>
      <c r="O493" s="4"/>
      <c r="P493" s="4"/>
      <c r="Q493" s="4"/>
      <c r="R493" s="4"/>
      <c r="S493" s="4"/>
      <c r="T493" s="6">
        <f>IF(G493="","",SUBSTITUTE(SUBSTITUTE(SUBSTITUTE(SUBSTITUTE(SUBSTITUTE(SUBSTITUTE(SUBSTITUTE(TRIM(G493),".",""),"/",""),"-","")," ",""),"(",""),")",""),"+",""))</f>
      </c>
      <c r="U493" s="6">
        <f>IF(T493="","",IF(LEN(T493)&lt;&gt;14,"ERRO: "&amp;LEN(T493)&amp;" dígitos",IF(NOT(ISNUMBER(VALUE(T493))),"ERRO: não numérico",IF(LEN(SUBSTITUTE(T493,LEFT(T493,1),""))=0,"ERRO: dígitos repetidos",IF(AND(VALUE(MID(T493,13,1))=IF(MOD(SUMPRODUCT(--MID(T493,{1,2,3,4,5,6,7,8,9,10,11,12},1),{5,4,3,2,9,8,7,6,5,4,3,2}),11)&lt;2,0,11-MOD(SUMPRODUCT(--MID(T493,{1,2,3,4,5,6,7,8,9,10,11,12},1),{5,4,3,2,9,8,7,6,5,4,3,2}),11)),VALUE(MID(T493,14,1))=IF(MOD(SUMPRODUCT(--MID(T493,{1,2,3,4,5,6,7,8,9,10,11,12,13},1),{6,5,4,3,2,9,8,7,6,5,4,3,2}),11)&lt;2,0,11-MOD(SUMPRODUCT(--MID(T493,{1,2,3,4,5,6,7,8,9,10,11,12,13},1),{6,5,4,3,2,9,8,7,6,5,4,3,2}),11))),"OK","ERRO: dígito verificador")))))</f>
      </c>
      <c r="V493" s="6">
        <f>IF(T493="","",IF(COUNTIF($T$2:$T$1001,T493)&gt;1,"DUPLICADO","OK"))</f>
      </c>
      <c r="W493" s="6">
        <f>IF(M493="","vazio",IF(OR(AND(LEN(SUBSTITUTE(SUBSTITUTE(SUBSTITUTE(SUBSTITUTE(SUBSTITUTE(SUBSTITUTE(SUBSTITUTE(TRIM(M493),".",""),"/",""),"-","")," ",""),"(",""),")",""),"+",""))=10,LEFT(SUBSTITUTE(SUBSTITUTE(SUBSTITUTE(SUBSTITUTE(SUBSTITUTE(SUBSTITUTE(SUBSTITUTE(TRIM(M493),".",""),"/",""),"-","")," ",""),"(",""),")",""),"+",""),1)&lt;&gt;"0"),AND(LEN(SUBSTITUTE(SUBSTITUTE(SUBSTITUTE(SUBSTITUTE(SUBSTITUTE(SUBSTITUTE(SUBSTITUTE(TRIM(M493),".",""),"/",""),"-","")," ",""),"(",""),")",""),"+",""))=11,LEFT(SUBSTITUTE(SUBSTITUTE(SUBSTITUTE(SUBSTITUTE(SUBSTITUTE(SUBSTITUTE(SUBSTITUTE(TRIM(M493),".",""),"/",""),"-","")," ",""),"(",""),")",""),"+",""),4)="0800")),"OK",IF(AND(LEN(SUBSTITUTE(SUBSTITUTE(SUBSTITUTE(SUBSTITUTE(SUBSTITUTE(SUBSTITUTE(SUBSTITUTE(TRIM(M493),".",""),"/",""),"-","")," ",""),"(",""),")",""),"+",""))=11,MID(SUBSTITUTE(SUBSTITUTE(SUBSTITUTE(SUBSTITUTE(SUBSTITUTE(SUBSTITUTE(SUBSTITUTE(TRIM(M493),".",""),"/",""),"-","")," ",""),"(",""),")",""),"+",""),3,1)="9"),"ERRO: é celular, use a coluna Celular","ERRO: DDD + 8 dígitos ou 0800 + 7")))</f>
      </c>
      <c r="X493" s="6">
        <f>IF(N493="","vazio",IF(AND(LEN(SUBSTITUTE(SUBSTITUTE(SUBSTITUTE(SUBSTITUTE(SUBSTITUTE(SUBSTITUTE(SUBSTITUTE(TRIM(N493),".",""),"/",""),"-","")," ",""),"(",""),")",""),"+",""))=11,MID(SUBSTITUTE(SUBSTITUTE(SUBSTITUTE(SUBSTITUTE(SUBSTITUTE(SUBSTITUTE(SUBSTITUTE(TRIM(N493),".",""),"/",""),"-","")," ",""),"(",""),")",""),"+",""),3,1)="9",LEFT(SUBSTITUTE(SUBSTITUTE(SUBSTITUTE(SUBSTITUTE(SUBSTITUTE(SUBSTITUTE(SUBSTITUTE(TRIM(N493),".",""),"/",""),"-","")," ",""),"(",""),")",""),"+",""),1)&lt;&gt;"0"),"OK",IF(LEN(SUBSTITUTE(SUBSTITUTE(SUBSTITUTE(SUBSTITUTE(SUBSTITUTE(SUBSTITUTE(SUBSTITUTE(TRIM(N493),".",""),"/",""),"-","")," ",""),"(",""),")",""),"+",""))=10,"ERRO: é fixo (ou falta o 9), use a coluna Telefone fixo","ERRO: DDD + 9 + 8 dígitos")))</f>
      </c>
      <c r="Y493" s="6">
        <f>IF(O493="","vazio",IF(AND(ISNUMBER(FIND("@",O493)),ISNUMBER(FIND(".",MID(O493,FIND("@",O493),99))),NOT(ISNUMBER(FIND(" ",TRIM(O493)))),NOT(ISNUMBER(FIND(";",O493))),NOT(ISNUMBER(FIND(",",O493)))),"OK","ERRO: um e-mail válido por linha"))</f>
      </c>
      <c r="Z493" s="6">
        <f>IF(AND(J493="",K493=""),"",IF(AND(J493&lt;&gt;"",K493&lt;&gt;""),"OK","pendente: só um nome (o GR completa ao converter)"))</f>
      </c>
      <c r="AA493" s="6">
        <f>IF(COUNTA(A493:S493)=0,"",IF(AND(A493&lt;&gt;"",B493&lt;&gt;"",C493&lt;&gt;"",D493&lt;&gt;"",E493&lt;&gt;"",F493&lt;&gt;"",G493&lt;&gt;"",H493&lt;&gt;"",OR(J493&lt;&gt;"",K493&lt;&gt;""),OR(M493&lt;&gt;"",N493&lt;&gt;"",O493&lt;&gt;"")),"OK","ERRO: faltam "&amp;IF(A493="","SDR; ","")&amp;IF(B493="","Proprietário; ","")&amp;IF(C493="","Origem; ","")&amp;IF(D493="","Temperatura; ","")&amp;IF(E493="","Segmento; ","")&amp;IF(F493="","Time/Cluster; ","")&amp;IF(G493="","CNPJ; ","")&amp;IF(H493="","Razão Social; ","")&amp;IF(AND(J493="",K493=""),"nome do contato; ","")&amp;IF(AND(M493="",N493="",O493=""),"telefone, celular ou e-mail; ","")))</f>
      </c>
      <c r="AB493" s="6">
        <f>IF(COUNTA(A493:S493)=0,"",IF(AND(U493="OK",V493="OK",LEFT(W493,4)&lt;&gt;"ERRO",LEFT(X493,4)&lt;&gt;"ERRO",LEFT(Y493,4)&lt;&gt;"ERRO",AA493="OK"),"OK","REVISAR"))</f>
      </c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5"/>
      <c r="K494" s="4"/>
      <c r="L494" s="4"/>
      <c r="M494" s="4"/>
      <c r="N494" s="4"/>
      <c r="O494" s="4"/>
      <c r="P494" s="4"/>
      <c r="Q494" s="4"/>
      <c r="R494" s="4"/>
      <c r="S494" s="4"/>
      <c r="T494" s="6">
        <f>IF(G494="","",SUBSTITUTE(SUBSTITUTE(SUBSTITUTE(SUBSTITUTE(SUBSTITUTE(SUBSTITUTE(SUBSTITUTE(TRIM(G494),".",""),"/",""),"-","")," ",""),"(",""),")",""),"+",""))</f>
      </c>
      <c r="U494" s="6">
        <f>IF(T494="","",IF(LEN(T494)&lt;&gt;14,"ERRO: "&amp;LEN(T494)&amp;" dígitos",IF(NOT(ISNUMBER(VALUE(T494))),"ERRO: não numérico",IF(LEN(SUBSTITUTE(T494,LEFT(T494,1),""))=0,"ERRO: dígitos repetidos",IF(AND(VALUE(MID(T494,13,1))=IF(MOD(SUMPRODUCT(--MID(T494,{1,2,3,4,5,6,7,8,9,10,11,12},1),{5,4,3,2,9,8,7,6,5,4,3,2}),11)&lt;2,0,11-MOD(SUMPRODUCT(--MID(T494,{1,2,3,4,5,6,7,8,9,10,11,12},1),{5,4,3,2,9,8,7,6,5,4,3,2}),11)),VALUE(MID(T494,14,1))=IF(MOD(SUMPRODUCT(--MID(T494,{1,2,3,4,5,6,7,8,9,10,11,12,13},1),{6,5,4,3,2,9,8,7,6,5,4,3,2}),11)&lt;2,0,11-MOD(SUMPRODUCT(--MID(T494,{1,2,3,4,5,6,7,8,9,10,11,12,13},1),{6,5,4,3,2,9,8,7,6,5,4,3,2}),11))),"OK","ERRO: dígito verificador")))))</f>
      </c>
      <c r="V494" s="6">
        <f>IF(T494="","",IF(COUNTIF($T$2:$T$1001,T494)&gt;1,"DUPLICADO","OK"))</f>
      </c>
      <c r="W494" s="6">
        <f>IF(M494="","vazio",IF(OR(AND(LEN(SUBSTITUTE(SUBSTITUTE(SUBSTITUTE(SUBSTITUTE(SUBSTITUTE(SUBSTITUTE(SUBSTITUTE(TRIM(M494),".",""),"/",""),"-","")," ",""),"(",""),")",""),"+",""))=10,LEFT(SUBSTITUTE(SUBSTITUTE(SUBSTITUTE(SUBSTITUTE(SUBSTITUTE(SUBSTITUTE(SUBSTITUTE(TRIM(M494),".",""),"/",""),"-","")," ",""),"(",""),")",""),"+",""),1)&lt;&gt;"0"),AND(LEN(SUBSTITUTE(SUBSTITUTE(SUBSTITUTE(SUBSTITUTE(SUBSTITUTE(SUBSTITUTE(SUBSTITUTE(TRIM(M494),".",""),"/",""),"-","")," ",""),"(",""),")",""),"+",""))=11,LEFT(SUBSTITUTE(SUBSTITUTE(SUBSTITUTE(SUBSTITUTE(SUBSTITUTE(SUBSTITUTE(SUBSTITUTE(TRIM(M494),".",""),"/",""),"-","")," ",""),"(",""),")",""),"+",""),4)="0800")),"OK",IF(AND(LEN(SUBSTITUTE(SUBSTITUTE(SUBSTITUTE(SUBSTITUTE(SUBSTITUTE(SUBSTITUTE(SUBSTITUTE(TRIM(M494),".",""),"/",""),"-","")," ",""),"(",""),")",""),"+",""))=11,MID(SUBSTITUTE(SUBSTITUTE(SUBSTITUTE(SUBSTITUTE(SUBSTITUTE(SUBSTITUTE(SUBSTITUTE(TRIM(M494),".",""),"/",""),"-","")," ",""),"(",""),")",""),"+",""),3,1)="9"),"ERRO: é celular, use a coluna Celular","ERRO: DDD + 8 dígitos ou 0800 + 7")))</f>
      </c>
      <c r="X494" s="6">
        <f>IF(N494="","vazio",IF(AND(LEN(SUBSTITUTE(SUBSTITUTE(SUBSTITUTE(SUBSTITUTE(SUBSTITUTE(SUBSTITUTE(SUBSTITUTE(TRIM(N494),".",""),"/",""),"-","")," ",""),"(",""),")",""),"+",""))=11,MID(SUBSTITUTE(SUBSTITUTE(SUBSTITUTE(SUBSTITUTE(SUBSTITUTE(SUBSTITUTE(SUBSTITUTE(TRIM(N494),".",""),"/",""),"-","")," ",""),"(",""),")",""),"+",""),3,1)="9",LEFT(SUBSTITUTE(SUBSTITUTE(SUBSTITUTE(SUBSTITUTE(SUBSTITUTE(SUBSTITUTE(SUBSTITUTE(TRIM(N494),".",""),"/",""),"-","")," ",""),"(",""),")",""),"+",""),1)&lt;&gt;"0"),"OK",IF(LEN(SUBSTITUTE(SUBSTITUTE(SUBSTITUTE(SUBSTITUTE(SUBSTITUTE(SUBSTITUTE(SUBSTITUTE(TRIM(N494),".",""),"/",""),"-","")," ",""),"(",""),")",""),"+",""))=10,"ERRO: é fixo (ou falta o 9), use a coluna Telefone fixo","ERRO: DDD + 9 + 8 dígitos")))</f>
      </c>
      <c r="Y494" s="6">
        <f>IF(O494="","vazio",IF(AND(ISNUMBER(FIND("@",O494)),ISNUMBER(FIND(".",MID(O494,FIND("@",O494),99))),NOT(ISNUMBER(FIND(" ",TRIM(O494)))),NOT(ISNUMBER(FIND(";",O494))),NOT(ISNUMBER(FIND(",",O494)))),"OK","ERRO: um e-mail válido por linha"))</f>
      </c>
      <c r="Z494" s="6">
        <f>IF(AND(J494="",K494=""),"",IF(AND(J494&lt;&gt;"",K494&lt;&gt;""),"OK","pendente: só um nome (o GR completa ao converter)"))</f>
      </c>
      <c r="AA494" s="6">
        <f>IF(COUNTA(A494:S494)=0,"",IF(AND(A494&lt;&gt;"",B494&lt;&gt;"",C494&lt;&gt;"",D494&lt;&gt;"",E494&lt;&gt;"",F494&lt;&gt;"",G494&lt;&gt;"",H494&lt;&gt;"",OR(J494&lt;&gt;"",K494&lt;&gt;""),OR(M494&lt;&gt;"",N494&lt;&gt;"",O494&lt;&gt;"")),"OK","ERRO: faltam "&amp;IF(A494="","SDR; ","")&amp;IF(B494="","Proprietário; ","")&amp;IF(C494="","Origem; ","")&amp;IF(D494="","Temperatura; ","")&amp;IF(E494="","Segmento; ","")&amp;IF(F494="","Time/Cluster; ","")&amp;IF(G494="","CNPJ; ","")&amp;IF(H494="","Razão Social; ","")&amp;IF(AND(J494="",K494=""),"nome do contato; ","")&amp;IF(AND(M494="",N494="",O494=""),"telefone, celular ou e-mail; ","")))</f>
      </c>
      <c r="AB494" s="6">
        <f>IF(COUNTA(A494:S494)=0,"",IF(AND(U494="OK",V494="OK",LEFT(W494,4)&lt;&gt;"ERRO",LEFT(X494,4)&lt;&gt;"ERRO",LEFT(Y494,4)&lt;&gt;"ERRO",AA494="OK"),"OK","REVISAR"))</f>
      </c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5"/>
      <c r="K495" s="4"/>
      <c r="L495" s="4"/>
      <c r="M495" s="4"/>
      <c r="N495" s="4"/>
      <c r="O495" s="4"/>
      <c r="P495" s="4"/>
      <c r="Q495" s="4"/>
      <c r="R495" s="4"/>
      <c r="S495" s="4"/>
      <c r="T495" s="6">
        <f>IF(G495="","",SUBSTITUTE(SUBSTITUTE(SUBSTITUTE(SUBSTITUTE(SUBSTITUTE(SUBSTITUTE(SUBSTITUTE(TRIM(G495),".",""),"/",""),"-","")," ",""),"(",""),")",""),"+",""))</f>
      </c>
      <c r="U495" s="6">
        <f>IF(T495="","",IF(LEN(T495)&lt;&gt;14,"ERRO: "&amp;LEN(T495)&amp;" dígitos",IF(NOT(ISNUMBER(VALUE(T495))),"ERRO: não numérico",IF(LEN(SUBSTITUTE(T495,LEFT(T495,1),""))=0,"ERRO: dígitos repetidos",IF(AND(VALUE(MID(T495,13,1))=IF(MOD(SUMPRODUCT(--MID(T495,{1,2,3,4,5,6,7,8,9,10,11,12},1),{5,4,3,2,9,8,7,6,5,4,3,2}),11)&lt;2,0,11-MOD(SUMPRODUCT(--MID(T495,{1,2,3,4,5,6,7,8,9,10,11,12},1),{5,4,3,2,9,8,7,6,5,4,3,2}),11)),VALUE(MID(T495,14,1))=IF(MOD(SUMPRODUCT(--MID(T495,{1,2,3,4,5,6,7,8,9,10,11,12,13},1),{6,5,4,3,2,9,8,7,6,5,4,3,2}),11)&lt;2,0,11-MOD(SUMPRODUCT(--MID(T495,{1,2,3,4,5,6,7,8,9,10,11,12,13},1),{6,5,4,3,2,9,8,7,6,5,4,3,2}),11))),"OK","ERRO: dígito verificador")))))</f>
      </c>
      <c r="V495" s="6">
        <f>IF(T495="","",IF(COUNTIF($T$2:$T$1001,T495)&gt;1,"DUPLICADO","OK"))</f>
      </c>
      <c r="W495" s="6">
        <f>IF(M495="","vazio",IF(OR(AND(LEN(SUBSTITUTE(SUBSTITUTE(SUBSTITUTE(SUBSTITUTE(SUBSTITUTE(SUBSTITUTE(SUBSTITUTE(TRIM(M495),".",""),"/",""),"-","")," ",""),"(",""),")",""),"+",""))=10,LEFT(SUBSTITUTE(SUBSTITUTE(SUBSTITUTE(SUBSTITUTE(SUBSTITUTE(SUBSTITUTE(SUBSTITUTE(TRIM(M495),".",""),"/",""),"-","")," ",""),"(",""),")",""),"+",""),1)&lt;&gt;"0"),AND(LEN(SUBSTITUTE(SUBSTITUTE(SUBSTITUTE(SUBSTITUTE(SUBSTITUTE(SUBSTITUTE(SUBSTITUTE(TRIM(M495),".",""),"/",""),"-","")," ",""),"(",""),")",""),"+",""))=11,LEFT(SUBSTITUTE(SUBSTITUTE(SUBSTITUTE(SUBSTITUTE(SUBSTITUTE(SUBSTITUTE(SUBSTITUTE(TRIM(M495),".",""),"/",""),"-","")," ",""),"(",""),")",""),"+",""),4)="0800")),"OK",IF(AND(LEN(SUBSTITUTE(SUBSTITUTE(SUBSTITUTE(SUBSTITUTE(SUBSTITUTE(SUBSTITUTE(SUBSTITUTE(TRIM(M495),".",""),"/",""),"-","")," ",""),"(",""),")",""),"+",""))=11,MID(SUBSTITUTE(SUBSTITUTE(SUBSTITUTE(SUBSTITUTE(SUBSTITUTE(SUBSTITUTE(SUBSTITUTE(TRIM(M495),".",""),"/",""),"-","")," ",""),"(",""),")",""),"+",""),3,1)="9"),"ERRO: é celular, use a coluna Celular","ERRO: DDD + 8 dígitos ou 0800 + 7")))</f>
      </c>
      <c r="X495" s="6">
        <f>IF(N495="","vazio",IF(AND(LEN(SUBSTITUTE(SUBSTITUTE(SUBSTITUTE(SUBSTITUTE(SUBSTITUTE(SUBSTITUTE(SUBSTITUTE(TRIM(N495),".",""),"/",""),"-","")," ",""),"(",""),")",""),"+",""))=11,MID(SUBSTITUTE(SUBSTITUTE(SUBSTITUTE(SUBSTITUTE(SUBSTITUTE(SUBSTITUTE(SUBSTITUTE(TRIM(N495),".",""),"/",""),"-","")," ",""),"(",""),")",""),"+",""),3,1)="9",LEFT(SUBSTITUTE(SUBSTITUTE(SUBSTITUTE(SUBSTITUTE(SUBSTITUTE(SUBSTITUTE(SUBSTITUTE(TRIM(N495),".",""),"/",""),"-","")," ",""),"(",""),")",""),"+",""),1)&lt;&gt;"0"),"OK",IF(LEN(SUBSTITUTE(SUBSTITUTE(SUBSTITUTE(SUBSTITUTE(SUBSTITUTE(SUBSTITUTE(SUBSTITUTE(TRIM(N495),".",""),"/",""),"-","")," ",""),"(",""),")",""),"+",""))=10,"ERRO: é fixo (ou falta o 9), use a coluna Telefone fixo","ERRO: DDD + 9 + 8 dígitos")))</f>
      </c>
      <c r="Y495" s="6">
        <f>IF(O495="","vazio",IF(AND(ISNUMBER(FIND("@",O495)),ISNUMBER(FIND(".",MID(O495,FIND("@",O495),99))),NOT(ISNUMBER(FIND(" ",TRIM(O495)))),NOT(ISNUMBER(FIND(";",O495))),NOT(ISNUMBER(FIND(",",O495)))),"OK","ERRO: um e-mail válido por linha"))</f>
      </c>
      <c r="Z495" s="6">
        <f>IF(AND(J495="",K495=""),"",IF(AND(J495&lt;&gt;"",K495&lt;&gt;""),"OK","pendente: só um nome (o GR completa ao converter)"))</f>
      </c>
      <c r="AA495" s="6">
        <f>IF(COUNTA(A495:S495)=0,"",IF(AND(A495&lt;&gt;"",B495&lt;&gt;"",C495&lt;&gt;"",D495&lt;&gt;"",E495&lt;&gt;"",F495&lt;&gt;"",G495&lt;&gt;"",H495&lt;&gt;"",OR(J495&lt;&gt;"",K495&lt;&gt;""),OR(M495&lt;&gt;"",N495&lt;&gt;"",O495&lt;&gt;"")),"OK","ERRO: faltam "&amp;IF(A495="","SDR; ","")&amp;IF(B495="","Proprietário; ","")&amp;IF(C495="","Origem; ","")&amp;IF(D495="","Temperatura; ","")&amp;IF(E495="","Segmento; ","")&amp;IF(F495="","Time/Cluster; ","")&amp;IF(G495="","CNPJ; ","")&amp;IF(H495="","Razão Social; ","")&amp;IF(AND(J495="",K495=""),"nome do contato; ","")&amp;IF(AND(M495="",N495="",O495=""),"telefone, celular ou e-mail; ","")))</f>
      </c>
      <c r="AB495" s="6">
        <f>IF(COUNTA(A495:S495)=0,"",IF(AND(U495="OK",V495="OK",LEFT(W495,4)&lt;&gt;"ERRO",LEFT(X495,4)&lt;&gt;"ERRO",LEFT(Y495,4)&lt;&gt;"ERRO",AA495="OK"),"OK","REVISAR"))</f>
      </c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5"/>
      <c r="K496" s="4"/>
      <c r="L496" s="4"/>
      <c r="M496" s="4"/>
      <c r="N496" s="4"/>
      <c r="O496" s="4"/>
      <c r="P496" s="4"/>
      <c r="Q496" s="4"/>
      <c r="R496" s="4"/>
      <c r="S496" s="4"/>
      <c r="T496" s="6">
        <f>IF(G496="","",SUBSTITUTE(SUBSTITUTE(SUBSTITUTE(SUBSTITUTE(SUBSTITUTE(SUBSTITUTE(SUBSTITUTE(TRIM(G496),".",""),"/",""),"-","")," ",""),"(",""),")",""),"+",""))</f>
      </c>
      <c r="U496" s="6">
        <f>IF(T496="","",IF(LEN(T496)&lt;&gt;14,"ERRO: "&amp;LEN(T496)&amp;" dígitos",IF(NOT(ISNUMBER(VALUE(T496))),"ERRO: não numérico",IF(LEN(SUBSTITUTE(T496,LEFT(T496,1),""))=0,"ERRO: dígitos repetidos",IF(AND(VALUE(MID(T496,13,1))=IF(MOD(SUMPRODUCT(--MID(T496,{1,2,3,4,5,6,7,8,9,10,11,12},1),{5,4,3,2,9,8,7,6,5,4,3,2}),11)&lt;2,0,11-MOD(SUMPRODUCT(--MID(T496,{1,2,3,4,5,6,7,8,9,10,11,12},1),{5,4,3,2,9,8,7,6,5,4,3,2}),11)),VALUE(MID(T496,14,1))=IF(MOD(SUMPRODUCT(--MID(T496,{1,2,3,4,5,6,7,8,9,10,11,12,13},1),{6,5,4,3,2,9,8,7,6,5,4,3,2}),11)&lt;2,0,11-MOD(SUMPRODUCT(--MID(T496,{1,2,3,4,5,6,7,8,9,10,11,12,13},1),{6,5,4,3,2,9,8,7,6,5,4,3,2}),11))),"OK","ERRO: dígito verificador")))))</f>
      </c>
      <c r="V496" s="6">
        <f>IF(T496="","",IF(COUNTIF($T$2:$T$1001,T496)&gt;1,"DUPLICADO","OK"))</f>
      </c>
      <c r="W496" s="6">
        <f>IF(M496="","vazio",IF(OR(AND(LEN(SUBSTITUTE(SUBSTITUTE(SUBSTITUTE(SUBSTITUTE(SUBSTITUTE(SUBSTITUTE(SUBSTITUTE(TRIM(M496),".",""),"/",""),"-","")," ",""),"(",""),")",""),"+",""))=10,LEFT(SUBSTITUTE(SUBSTITUTE(SUBSTITUTE(SUBSTITUTE(SUBSTITUTE(SUBSTITUTE(SUBSTITUTE(TRIM(M496),".",""),"/",""),"-","")," ",""),"(",""),")",""),"+",""),1)&lt;&gt;"0"),AND(LEN(SUBSTITUTE(SUBSTITUTE(SUBSTITUTE(SUBSTITUTE(SUBSTITUTE(SUBSTITUTE(SUBSTITUTE(TRIM(M496),".",""),"/",""),"-","")," ",""),"(",""),")",""),"+",""))=11,LEFT(SUBSTITUTE(SUBSTITUTE(SUBSTITUTE(SUBSTITUTE(SUBSTITUTE(SUBSTITUTE(SUBSTITUTE(TRIM(M496),".",""),"/",""),"-","")," ",""),"(",""),")",""),"+",""),4)="0800")),"OK",IF(AND(LEN(SUBSTITUTE(SUBSTITUTE(SUBSTITUTE(SUBSTITUTE(SUBSTITUTE(SUBSTITUTE(SUBSTITUTE(TRIM(M496),".",""),"/",""),"-","")," ",""),"(",""),")",""),"+",""))=11,MID(SUBSTITUTE(SUBSTITUTE(SUBSTITUTE(SUBSTITUTE(SUBSTITUTE(SUBSTITUTE(SUBSTITUTE(TRIM(M496),".",""),"/",""),"-","")," ",""),"(",""),")",""),"+",""),3,1)="9"),"ERRO: é celular, use a coluna Celular","ERRO: DDD + 8 dígitos ou 0800 + 7")))</f>
      </c>
      <c r="X496" s="6">
        <f>IF(N496="","vazio",IF(AND(LEN(SUBSTITUTE(SUBSTITUTE(SUBSTITUTE(SUBSTITUTE(SUBSTITUTE(SUBSTITUTE(SUBSTITUTE(TRIM(N496),".",""),"/",""),"-","")," ",""),"(",""),")",""),"+",""))=11,MID(SUBSTITUTE(SUBSTITUTE(SUBSTITUTE(SUBSTITUTE(SUBSTITUTE(SUBSTITUTE(SUBSTITUTE(TRIM(N496),".",""),"/",""),"-","")," ",""),"(",""),")",""),"+",""),3,1)="9",LEFT(SUBSTITUTE(SUBSTITUTE(SUBSTITUTE(SUBSTITUTE(SUBSTITUTE(SUBSTITUTE(SUBSTITUTE(TRIM(N496),".",""),"/",""),"-","")," ",""),"(",""),")",""),"+",""),1)&lt;&gt;"0"),"OK",IF(LEN(SUBSTITUTE(SUBSTITUTE(SUBSTITUTE(SUBSTITUTE(SUBSTITUTE(SUBSTITUTE(SUBSTITUTE(TRIM(N496),".",""),"/",""),"-","")," ",""),"(",""),")",""),"+",""))=10,"ERRO: é fixo (ou falta o 9), use a coluna Telefone fixo","ERRO: DDD + 9 + 8 dígitos")))</f>
      </c>
      <c r="Y496" s="6">
        <f>IF(O496="","vazio",IF(AND(ISNUMBER(FIND("@",O496)),ISNUMBER(FIND(".",MID(O496,FIND("@",O496),99))),NOT(ISNUMBER(FIND(" ",TRIM(O496)))),NOT(ISNUMBER(FIND(";",O496))),NOT(ISNUMBER(FIND(",",O496)))),"OK","ERRO: um e-mail válido por linha"))</f>
      </c>
      <c r="Z496" s="6">
        <f>IF(AND(J496="",K496=""),"",IF(AND(J496&lt;&gt;"",K496&lt;&gt;""),"OK","pendente: só um nome (o GR completa ao converter)"))</f>
      </c>
      <c r="AA496" s="6">
        <f>IF(COUNTA(A496:S496)=0,"",IF(AND(A496&lt;&gt;"",B496&lt;&gt;"",C496&lt;&gt;"",D496&lt;&gt;"",E496&lt;&gt;"",F496&lt;&gt;"",G496&lt;&gt;"",H496&lt;&gt;"",OR(J496&lt;&gt;"",K496&lt;&gt;""),OR(M496&lt;&gt;"",N496&lt;&gt;"",O496&lt;&gt;"")),"OK","ERRO: faltam "&amp;IF(A496="","SDR; ","")&amp;IF(B496="","Proprietário; ","")&amp;IF(C496="","Origem; ","")&amp;IF(D496="","Temperatura; ","")&amp;IF(E496="","Segmento; ","")&amp;IF(F496="","Time/Cluster; ","")&amp;IF(G496="","CNPJ; ","")&amp;IF(H496="","Razão Social; ","")&amp;IF(AND(J496="",K496=""),"nome do contato; ","")&amp;IF(AND(M496="",N496="",O496=""),"telefone, celular ou e-mail; ","")))</f>
      </c>
      <c r="AB496" s="6">
        <f>IF(COUNTA(A496:S496)=0,"",IF(AND(U496="OK",V496="OK",LEFT(W496,4)&lt;&gt;"ERRO",LEFT(X496,4)&lt;&gt;"ERRO",LEFT(Y496,4)&lt;&gt;"ERRO",AA496="OK"),"OK","REVISAR"))</f>
      </c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5"/>
      <c r="K497" s="4"/>
      <c r="L497" s="4"/>
      <c r="M497" s="4"/>
      <c r="N497" s="4"/>
      <c r="O497" s="4"/>
      <c r="P497" s="4"/>
      <c r="Q497" s="4"/>
      <c r="R497" s="4"/>
      <c r="S497" s="4"/>
      <c r="T497" s="6">
        <f>IF(G497="","",SUBSTITUTE(SUBSTITUTE(SUBSTITUTE(SUBSTITUTE(SUBSTITUTE(SUBSTITUTE(SUBSTITUTE(TRIM(G497),".",""),"/",""),"-","")," ",""),"(",""),")",""),"+",""))</f>
      </c>
      <c r="U497" s="6">
        <f>IF(T497="","",IF(LEN(T497)&lt;&gt;14,"ERRO: "&amp;LEN(T497)&amp;" dígitos",IF(NOT(ISNUMBER(VALUE(T497))),"ERRO: não numérico",IF(LEN(SUBSTITUTE(T497,LEFT(T497,1),""))=0,"ERRO: dígitos repetidos",IF(AND(VALUE(MID(T497,13,1))=IF(MOD(SUMPRODUCT(--MID(T497,{1,2,3,4,5,6,7,8,9,10,11,12},1),{5,4,3,2,9,8,7,6,5,4,3,2}),11)&lt;2,0,11-MOD(SUMPRODUCT(--MID(T497,{1,2,3,4,5,6,7,8,9,10,11,12},1),{5,4,3,2,9,8,7,6,5,4,3,2}),11)),VALUE(MID(T497,14,1))=IF(MOD(SUMPRODUCT(--MID(T497,{1,2,3,4,5,6,7,8,9,10,11,12,13},1),{6,5,4,3,2,9,8,7,6,5,4,3,2}),11)&lt;2,0,11-MOD(SUMPRODUCT(--MID(T497,{1,2,3,4,5,6,7,8,9,10,11,12,13},1),{6,5,4,3,2,9,8,7,6,5,4,3,2}),11))),"OK","ERRO: dígito verificador")))))</f>
      </c>
      <c r="V497" s="6">
        <f>IF(T497="","",IF(COUNTIF($T$2:$T$1001,T497)&gt;1,"DUPLICADO","OK"))</f>
      </c>
      <c r="W497" s="6">
        <f>IF(M497="","vazio",IF(OR(AND(LEN(SUBSTITUTE(SUBSTITUTE(SUBSTITUTE(SUBSTITUTE(SUBSTITUTE(SUBSTITUTE(SUBSTITUTE(TRIM(M497),".",""),"/",""),"-","")," ",""),"(",""),")",""),"+",""))=10,LEFT(SUBSTITUTE(SUBSTITUTE(SUBSTITUTE(SUBSTITUTE(SUBSTITUTE(SUBSTITUTE(SUBSTITUTE(TRIM(M497),".",""),"/",""),"-","")," ",""),"(",""),")",""),"+",""),1)&lt;&gt;"0"),AND(LEN(SUBSTITUTE(SUBSTITUTE(SUBSTITUTE(SUBSTITUTE(SUBSTITUTE(SUBSTITUTE(SUBSTITUTE(TRIM(M497),".",""),"/",""),"-","")," ",""),"(",""),")",""),"+",""))=11,LEFT(SUBSTITUTE(SUBSTITUTE(SUBSTITUTE(SUBSTITUTE(SUBSTITUTE(SUBSTITUTE(SUBSTITUTE(TRIM(M497),".",""),"/",""),"-","")," ",""),"(",""),")",""),"+",""),4)="0800")),"OK",IF(AND(LEN(SUBSTITUTE(SUBSTITUTE(SUBSTITUTE(SUBSTITUTE(SUBSTITUTE(SUBSTITUTE(SUBSTITUTE(TRIM(M497),".",""),"/",""),"-","")," ",""),"(",""),")",""),"+",""))=11,MID(SUBSTITUTE(SUBSTITUTE(SUBSTITUTE(SUBSTITUTE(SUBSTITUTE(SUBSTITUTE(SUBSTITUTE(TRIM(M497),".",""),"/",""),"-","")," ",""),"(",""),")",""),"+",""),3,1)="9"),"ERRO: é celular, use a coluna Celular","ERRO: DDD + 8 dígitos ou 0800 + 7")))</f>
      </c>
      <c r="X497" s="6">
        <f>IF(N497="","vazio",IF(AND(LEN(SUBSTITUTE(SUBSTITUTE(SUBSTITUTE(SUBSTITUTE(SUBSTITUTE(SUBSTITUTE(SUBSTITUTE(TRIM(N497),".",""),"/",""),"-","")," ",""),"(",""),")",""),"+",""))=11,MID(SUBSTITUTE(SUBSTITUTE(SUBSTITUTE(SUBSTITUTE(SUBSTITUTE(SUBSTITUTE(SUBSTITUTE(TRIM(N497),".",""),"/",""),"-","")," ",""),"(",""),")",""),"+",""),3,1)="9",LEFT(SUBSTITUTE(SUBSTITUTE(SUBSTITUTE(SUBSTITUTE(SUBSTITUTE(SUBSTITUTE(SUBSTITUTE(TRIM(N497),".",""),"/",""),"-","")," ",""),"(",""),")",""),"+",""),1)&lt;&gt;"0"),"OK",IF(LEN(SUBSTITUTE(SUBSTITUTE(SUBSTITUTE(SUBSTITUTE(SUBSTITUTE(SUBSTITUTE(SUBSTITUTE(TRIM(N497),".",""),"/",""),"-","")," ",""),"(",""),")",""),"+",""))=10,"ERRO: é fixo (ou falta o 9), use a coluna Telefone fixo","ERRO: DDD + 9 + 8 dígitos")))</f>
      </c>
      <c r="Y497" s="6">
        <f>IF(O497="","vazio",IF(AND(ISNUMBER(FIND("@",O497)),ISNUMBER(FIND(".",MID(O497,FIND("@",O497),99))),NOT(ISNUMBER(FIND(" ",TRIM(O497)))),NOT(ISNUMBER(FIND(";",O497))),NOT(ISNUMBER(FIND(",",O497)))),"OK","ERRO: um e-mail válido por linha"))</f>
      </c>
      <c r="Z497" s="6">
        <f>IF(AND(J497="",K497=""),"",IF(AND(J497&lt;&gt;"",K497&lt;&gt;""),"OK","pendente: só um nome (o GR completa ao converter)"))</f>
      </c>
      <c r="AA497" s="6">
        <f>IF(COUNTA(A497:S497)=0,"",IF(AND(A497&lt;&gt;"",B497&lt;&gt;"",C497&lt;&gt;"",D497&lt;&gt;"",E497&lt;&gt;"",F497&lt;&gt;"",G497&lt;&gt;"",H497&lt;&gt;"",OR(J497&lt;&gt;"",K497&lt;&gt;""),OR(M497&lt;&gt;"",N497&lt;&gt;"",O497&lt;&gt;"")),"OK","ERRO: faltam "&amp;IF(A497="","SDR; ","")&amp;IF(B497="","Proprietário; ","")&amp;IF(C497="","Origem; ","")&amp;IF(D497="","Temperatura; ","")&amp;IF(E497="","Segmento; ","")&amp;IF(F497="","Time/Cluster; ","")&amp;IF(G497="","CNPJ; ","")&amp;IF(H497="","Razão Social; ","")&amp;IF(AND(J497="",K497=""),"nome do contato; ","")&amp;IF(AND(M497="",N497="",O497=""),"telefone, celular ou e-mail; ","")))</f>
      </c>
      <c r="AB497" s="6">
        <f>IF(COUNTA(A497:S497)=0,"",IF(AND(U497="OK",V497="OK",LEFT(W497,4)&lt;&gt;"ERRO",LEFT(X497,4)&lt;&gt;"ERRO",LEFT(Y497,4)&lt;&gt;"ERRO",AA497="OK"),"OK","REVISAR"))</f>
      </c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5"/>
      <c r="K498" s="4"/>
      <c r="L498" s="4"/>
      <c r="M498" s="4"/>
      <c r="N498" s="4"/>
      <c r="O498" s="4"/>
      <c r="P498" s="4"/>
      <c r="Q498" s="4"/>
      <c r="R498" s="4"/>
      <c r="S498" s="4"/>
      <c r="T498" s="6">
        <f>IF(G498="","",SUBSTITUTE(SUBSTITUTE(SUBSTITUTE(SUBSTITUTE(SUBSTITUTE(SUBSTITUTE(SUBSTITUTE(TRIM(G498),".",""),"/",""),"-","")," ",""),"(",""),")",""),"+",""))</f>
      </c>
      <c r="U498" s="6">
        <f>IF(T498="","",IF(LEN(T498)&lt;&gt;14,"ERRO: "&amp;LEN(T498)&amp;" dígitos",IF(NOT(ISNUMBER(VALUE(T498))),"ERRO: não numérico",IF(LEN(SUBSTITUTE(T498,LEFT(T498,1),""))=0,"ERRO: dígitos repetidos",IF(AND(VALUE(MID(T498,13,1))=IF(MOD(SUMPRODUCT(--MID(T498,{1,2,3,4,5,6,7,8,9,10,11,12},1),{5,4,3,2,9,8,7,6,5,4,3,2}),11)&lt;2,0,11-MOD(SUMPRODUCT(--MID(T498,{1,2,3,4,5,6,7,8,9,10,11,12},1),{5,4,3,2,9,8,7,6,5,4,3,2}),11)),VALUE(MID(T498,14,1))=IF(MOD(SUMPRODUCT(--MID(T498,{1,2,3,4,5,6,7,8,9,10,11,12,13},1),{6,5,4,3,2,9,8,7,6,5,4,3,2}),11)&lt;2,0,11-MOD(SUMPRODUCT(--MID(T498,{1,2,3,4,5,6,7,8,9,10,11,12,13},1),{6,5,4,3,2,9,8,7,6,5,4,3,2}),11))),"OK","ERRO: dígito verificador")))))</f>
      </c>
      <c r="V498" s="6">
        <f>IF(T498="","",IF(COUNTIF($T$2:$T$1001,T498)&gt;1,"DUPLICADO","OK"))</f>
      </c>
      <c r="W498" s="6">
        <f>IF(M498="","vazio",IF(OR(AND(LEN(SUBSTITUTE(SUBSTITUTE(SUBSTITUTE(SUBSTITUTE(SUBSTITUTE(SUBSTITUTE(SUBSTITUTE(TRIM(M498),".",""),"/",""),"-","")," ",""),"(",""),")",""),"+",""))=10,LEFT(SUBSTITUTE(SUBSTITUTE(SUBSTITUTE(SUBSTITUTE(SUBSTITUTE(SUBSTITUTE(SUBSTITUTE(TRIM(M498),".",""),"/",""),"-","")," ",""),"(",""),")",""),"+",""),1)&lt;&gt;"0"),AND(LEN(SUBSTITUTE(SUBSTITUTE(SUBSTITUTE(SUBSTITUTE(SUBSTITUTE(SUBSTITUTE(SUBSTITUTE(TRIM(M498),".",""),"/",""),"-","")," ",""),"(",""),")",""),"+",""))=11,LEFT(SUBSTITUTE(SUBSTITUTE(SUBSTITUTE(SUBSTITUTE(SUBSTITUTE(SUBSTITUTE(SUBSTITUTE(TRIM(M498),".",""),"/",""),"-","")," ",""),"(",""),")",""),"+",""),4)="0800")),"OK",IF(AND(LEN(SUBSTITUTE(SUBSTITUTE(SUBSTITUTE(SUBSTITUTE(SUBSTITUTE(SUBSTITUTE(SUBSTITUTE(TRIM(M498),".",""),"/",""),"-","")," ",""),"(",""),")",""),"+",""))=11,MID(SUBSTITUTE(SUBSTITUTE(SUBSTITUTE(SUBSTITUTE(SUBSTITUTE(SUBSTITUTE(SUBSTITUTE(TRIM(M498),".",""),"/",""),"-","")," ",""),"(",""),")",""),"+",""),3,1)="9"),"ERRO: é celular, use a coluna Celular","ERRO: DDD + 8 dígitos ou 0800 + 7")))</f>
      </c>
      <c r="X498" s="6">
        <f>IF(N498="","vazio",IF(AND(LEN(SUBSTITUTE(SUBSTITUTE(SUBSTITUTE(SUBSTITUTE(SUBSTITUTE(SUBSTITUTE(SUBSTITUTE(TRIM(N498),".",""),"/",""),"-","")," ",""),"(",""),")",""),"+",""))=11,MID(SUBSTITUTE(SUBSTITUTE(SUBSTITUTE(SUBSTITUTE(SUBSTITUTE(SUBSTITUTE(SUBSTITUTE(TRIM(N498),".",""),"/",""),"-","")," ",""),"(",""),")",""),"+",""),3,1)="9",LEFT(SUBSTITUTE(SUBSTITUTE(SUBSTITUTE(SUBSTITUTE(SUBSTITUTE(SUBSTITUTE(SUBSTITUTE(TRIM(N498),".",""),"/",""),"-","")," ",""),"(",""),")",""),"+",""),1)&lt;&gt;"0"),"OK",IF(LEN(SUBSTITUTE(SUBSTITUTE(SUBSTITUTE(SUBSTITUTE(SUBSTITUTE(SUBSTITUTE(SUBSTITUTE(TRIM(N498),".",""),"/",""),"-","")," ",""),"(",""),")",""),"+",""))=10,"ERRO: é fixo (ou falta o 9), use a coluna Telefone fixo","ERRO: DDD + 9 + 8 dígitos")))</f>
      </c>
      <c r="Y498" s="6">
        <f>IF(O498="","vazio",IF(AND(ISNUMBER(FIND("@",O498)),ISNUMBER(FIND(".",MID(O498,FIND("@",O498),99))),NOT(ISNUMBER(FIND(" ",TRIM(O498)))),NOT(ISNUMBER(FIND(";",O498))),NOT(ISNUMBER(FIND(",",O498)))),"OK","ERRO: um e-mail válido por linha"))</f>
      </c>
      <c r="Z498" s="6">
        <f>IF(AND(J498="",K498=""),"",IF(AND(J498&lt;&gt;"",K498&lt;&gt;""),"OK","pendente: só um nome (o GR completa ao converter)"))</f>
      </c>
      <c r="AA498" s="6">
        <f>IF(COUNTA(A498:S498)=0,"",IF(AND(A498&lt;&gt;"",B498&lt;&gt;"",C498&lt;&gt;"",D498&lt;&gt;"",E498&lt;&gt;"",F498&lt;&gt;"",G498&lt;&gt;"",H498&lt;&gt;"",OR(J498&lt;&gt;"",K498&lt;&gt;""),OR(M498&lt;&gt;"",N498&lt;&gt;"",O498&lt;&gt;"")),"OK","ERRO: faltam "&amp;IF(A498="","SDR; ","")&amp;IF(B498="","Proprietário; ","")&amp;IF(C498="","Origem; ","")&amp;IF(D498="","Temperatura; ","")&amp;IF(E498="","Segmento; ","")&amp;IF(F498="","Time/Cluster; ","")&amp;IF(G498="","CNPJ; ","")&amp;IF(H498="","Razão Social; ","")&amp;IF(AND(J498="",K498=""),"nome do contato; ","")&amp;IF(AND(M498="",N498="",O498=""),"telefone, celular ou e-mail; ","")))</f>
      </c>
      <c r="AB498" s="6">
        <f>IF(COUNTA(A498:S498)=0,"",IF(AND(U498="OK",V498="OK",LEFT(W498,4)&lt;&gt;"ERRO",LEFT(X498,4)&lt;&gt;"ERRO",LEFT(Y498,4)&lt;&gt;"ERRO",AA498="OK"),"OK","REVISAR"))</f>
      </c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5"/>
      <c r="K499" s="4"/>
      <c r="L499" s="4"/>
      <c r="M499" s="4"/>
      <c r="N499" s="4"/>
      <c r="O499" s="4"/>
      <c r="P499" s="4"/>
      <c r="Q499" s="4"/>
      <c r="R499" s="4"/>
      <c r="S499" s="4"/>
      <c r="T499" s="6">
        <f>IF(G499="","",SUBSTITUTE(SUBSTITUTE(SUBSTITUTE(SUBSTITUTE(SUBSTITUTE(SUBSTITUTE(SUBSTITUTE(TRIM(G499),".",""),"/",""),"-","")," ",""),"(",""),")",""),"+",""))</f>
      </c>
      <c r="U499" s="6">
        <f>IF(T499="","",IF(LEN(T499)&lt;&gt;14,"ERRO: "&amp;LEN(T499)&amp;" dígitos",IF(NOT(ISNUMBER(VALUE(T499))),"ERRO: não numérico",IF(LEN(SUBSTITUTE(T499,LEFT(T499,1),""))=0,"ERRO: dígitos repetidos",IF(AND(VALUE(MID(T499,13,1))=IF(MOD(SUMPRODUCT(--MID(T499,{1,2,3,4,5,6,7,8,9,10,11,12},1),{5,4,3,2,9,8,7,6,5,4,3,2}),11)&lt;2,0,11-MOD(SUMPRODUCT(--MID(T499,{1,2,3,4,5,6,7,8,9,10,11,12},1),{5,4,3,2,9,8,7,6,5,4,3,2}),11)),VALUE(MID(T499,14,1))=IF(MOD(SUMPRODUCT(--MID(T499,{1,2,3,4,5,6,7,8,9,10,11,12,13},1),{6,5,4,3,2,9,8,7,6,5,4,3,2}),11)&lt;2,0,11-MOD(SUMPRODUCT(--MID(T499,{1,2,3,4,5,6,7,8,9,10,11,12,13},1),{6,5,4,3,2,9,8,7,6,5,4,3,2}),11))),"OK","ERRO: dígito verificador")))))</f>
      </c>
      <c r="V499" s="6">
        <f>IF(T499="","",IF(COUNTIF($T$2:$T$1001,T499)&gt;1,"DUPLICADO","OK"))</f>
      </c>
      <c r="W499" s="6">
        <f>IF(M499="","vazio",IF(OR(AND(LEN(SUBSTITUTE(SUBSTITUTE(SUBSTITUTE(SUBSTITUTE(SUBSTITUTE(SUBSTITUTE(SUBSTITUTE(TRIM(M499),".",""),"/",""),"-","")," ",""),"(",""),")",""),"+",""))=10,LEFT(SUBSTITUTE(SUBSTITUTE(SUBSTITUTE(SUBSTITUTE(SUBSTITUTE(SUBSTITUTE(SUBSTITUTE(TRIM(M499),".",""),"/",""),"-","")," ",""),"(",""),")",""),"+",""),1)&lt;&gt;"0"),AND(LEN(SUBSTITUTE(SUBSTITUTE(SUBSTITUTE(SUBSTITUTE(SUBSTITUTE(SUBSTITUTE(SUBSTITUTE(TRIM(M499),".",""),"/",""),"-","")," ",""),"(",""),")",""),"+",""))=11,LEFT(SUBSTITUTE(SUBSTITUTE(SUBSTITUTE(SUBSTITUTE(SUBSTITUTE(SUBSTITUTE(SUBSTITUTE(TRIM(M499),".",""),"/",""),"-","")," ",""),"(",""),")",""),"+",""),4)="0800")),"OK",IF(AND(LEN(SUBSTITUTE(SUBSTITUTE(SUBSTITUTE(SUBSTITUTE(SUBSTITUTE(SUBSTITUTE(SUBSTITUTE(TRIM(M499),".",""),"/",""),"-","")," ",""),"(",""),")",""),"+",""))=11,MID(SUBSTITUTE(SUBSTITUTE(SUBSTITUTE(SUBSTITUTE(SUBSTITUTE(SUBSTITUTE(SUBSTITUTE(TRIM(M499),".",""),"/",""),"-","")," ",""),"(",""),")",""),"+",""),3,1)="9"),"ERRO: é celular, use a coluna Celular","ERRO: DDD + 8 dígitos ou 0800 + 7")))</f>
      </c>
      <c r="X499" s="6">
        <f>IF(N499="","vazio",IF(AND(LEN(SUBSTITUTE(SUBSTITUTE(SUBSTITUTE(SUBSTITUTE(SUBSTITUTE(SUBSTITUTE(SUBSTITUTE(TRIM(N499),".",""),"/",""),"-","")," ",""),"(",""),")",""),"+",""))=11,MID(SUBSTITUTE(SUBSTITUTE(SUBSTITUTE(SUBSTITUTE(SUBSTITUTE(SUBSTITUTE(SUBSTITUTE(TRIM(N499),".",""),"/",""),"-","")," ",""),"(",""),")",""),"+",""),3,1)="9",LEFT(SUBSTITUTE(SUBSTITUTE(SUBSTITUTE(SUBSTITUTE(SUBSTITUTE(SUBSTITUTE(SUBSTITUTE(TRIM(N499),".",""),"/",""),"-","")," ",""),"(",""),")",""),"+",""),1)&lt;&gt;"0"),"OK",IF(LEN(SUBSTITUTE(SUBSTITUTE(SUBSTITUTE(SUBSTITUTE(SUBSTITUTE(SUBSTITUTE(SUBSTITUTE(TRIM(N499),".",""),"/",""),"-","")," ",""),"(",""),")",""),"+",""))=10,"ERRO: é fixo (ou falta o 9), use a coluna Telefone fixo","ERRO: DDD + 9 + 8 dígitos")))</f>
      </c>
      <c r="Y499" s="6">
        <f>IF(O499="","vazio",IF(AND(ISNUMBER(FIND("@",O499)),ISNUMBER(FIND(".",MID(O499,FIND("@",O499),99))),NOT(ISNUMBER(FIND(" ",TRIM(O499)))),NOT(ISNUMBER(FIND(";",O499))),NOT(ISNUMBER(FIND(",",O499)))),"OK","ERRO: um e-mail válido por linha"))</f>
      </c>
      <c r="Z499" s="6">
        <f>IF(AND(J499="",K499=""),"",IF(AND(J499&lt;&gt;"",K499&lt;&gt;""),"OK","pendente: só um nome (o GR completa ao converter)"))</f>
      </c>
      <c r="AA499" s="6">
        <f>IF(COUNTA(A499:S499)=0,"",IF(AND(A499&lt;&gt;"",B499&lt;&gt;"",C499&lt;&gt;"",D499&lt;&gt;"",E499&lt;&gt;"",F499&lt;&gt;"",G499&lt;&gt;"",H499&lt;&gt;"",OR(J499&lt;&gt;"",K499&lt;&gt;""),OR(M499&lt;&gt;"",N499&lt;&gt;"",O499&lt;&gt;"")),"OK","ERRO: faltam "&amp;IF(A499="","SDR; ","")&amp;IF(B499="","Proprietário; ","")&amp;IF(C499="","Origem; ","")&amp;IF(D499="","Temperatura; ","")&amp;IF(E499="","Segmento; ","")&amp;IF(F499="","Time/Cluster; ","")&amp;IF(G499="","CNPJ; ","")&amp;IF(H499="","Razão Social; ","")&amp;IF(AND(J499="",K499=""),"nome do contato; ","")&amp;IF(AND(M499="",N499="",O499=""),"telefone, celular ou e-mail; ","")))</f>
      </c>
      <c r="AB499" s="6">
        <f>IF(COUNTA(A499:S499)=0,"",IF(AND(U499="OK",V499="OK",LEFT(W499,4)&lt;&gt;"ERRO",LEFT(X499,4)&lt;&gt;"ERRO",LEFT(Y499,4)&lt;&gt;"ERRO",AA499="OK"),"OK","REVISAR"))</f>
      </c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5"/>
      <c r="K500" s="4"/>
      <c r="L500" s="4"/>
      <c r="M500" s="4"/>
      <c r="N500" s="4"/>
      <c r="O500" s="4"/>
      <c r="P500" s="4"/>
      <c r="Q500" s="4"/>
      <c r="R500" s="4"/>
      <c r="S500" s="4"/>
      <c r="T500" s="6">
        <f>IF(G500="","",SUBSTITUTE(SUBSTITUTE(SUBSTITUTE(SUBSTITUTE(SUBSTITUTE(SUBSTITUTE(SUBSTITUTE(TRIM(G500),".",""),"/",""),"-","")," ",""),"(",""),")",""),"+",""))</f>
      </c>
      <c r="U500" s="6">
        <f>IF(T500="","",IF(LEN(T500)&lt;&gt;14,"ERRO: "&amp;LEN(T500)&amp;" dígitos",IF(NOT(ISNUMBER(VALUE(T500))),"ERRO: não numérico",IF(LEN(SUBSTITUTE(T500,LEFT(T500,1),""))=0,"ERRO: dígitos repetidos",IF(AND(VALUE(MID(T500,13,1))=IF(MOD(SUMPRODUCT(--MID(T500,{1,2,3,4,5,6,7,8,9,10,11,12},1),{5,4,3,2,9,8,7,6,5,4,3,2}),11)&lt;2,0,11-MOD(SUMPRODUCT(--MID(T500,{1,2,3,4,5,6,7,8,9,10,11,12},1),{5,4,3,2,9,8,7,6,5,4,3,2}),11)),VALUE(MID(T500,14,1))=IF(MOD(SUMPRODUCT(--MID(T500,{1,2,3,4,5,6,7,8,9,10,11,12,13},1),{6,5,4,3,2,9,8,7,6,5,4,3,2}),11)&lt;2,0,11-MOD(SUMPRODUCT(--MID(T500,{1,2,3,4,5,6,7,8,9,10,11,12,13},1),{6,5,4,3,2,9,8,7,6,5,4,3,2}),11))),"OK","ERRO: dígito verificador")))))</f>
      </c>
      <c r="V500" s="6">
        <f>IF(T500="","",IF(COUNTIF($T$2:$T$1001,T500)&gt;1,"DUPLICADO","OK"))</f>
      </c>
      <c r="W500" s="6">
        <f>IF(M500="","vazio",IF(OR(AND(LEN(SUBSTITUTE(SUBSTITUTE(SUBSTITUTE(SUBSTITUTE(SUBSTITUTE(SUBSTITUTE(SUBSTITUTE(TRIM(M500),".",""),"/",""),"-","")," ",""),"(",""),")",""),"+",""))=10,LEFT(SUBSTITUTE(SUBSTITUTE(SUBSTITUTE(SUBSTITUTE(SUBSTITUTE(SUBSTITUTE(SUBSTITUTE(TRIM(M500),".",""),"/",""),"-","")," ",""),"(",""),")",""),"+",""),1)&lt;&gt;"0"),AND(LEN(SUBSTITUTE(SUBSTITUTE(SUBSTITUTE(SUBSTITUTE(SUBSTITUTE(SUBSTITUTE(SUBSTITUTE(TRIM(M500),".",""),"/",""),"-","")," ",""),"(",""),")",""),"+",""))=11,LEFT(SUBSTITUTE(SUBSTITUTE(SUBSTITUTE(SUBSTITUTE(SUBSTITUTE(SUBSTITUTE(SUBSTITUTE(TRIM(M500),".",""),"/",""),"-","")," ",""),"(",""),")",""),"+",""),4)="0800")),"OK",IF(AND(LEN(SUBSTITUTE(SUBSTITUTE(SUBSTITUTE(SUBSTITUTE(SUBSTITUTE(SUBSTITUTE(SUBSTITUTE(TRIM(M500),".",""),"/",""),"-","")," ",""),"(",""),")",""),"+",""))=11,MID(SUBSTITUTE(SUBSTITUTE(SUBSTITUTE(SUBSTITUTE(SUBSTITUTE(SUBSTITUTE(SUBSTITUTE(TRIM(M500),".",""),"/",""),"-","")," ",""),"(",""),")",""),"+",""),3,1)="9"),"ERRO: é celular, use a coluna Celular","ERRO: DDD + 8 dígitos ou 0800 + 7")))</f>
      </c>
      <c r="X500" s="6">
        <f>IF(N500="","vazio",IF(AND(LEN(SUBSTITUTE(SUBSTITUTE(SUBSTITUTE(SUBSTITUTE(SUBSTITUTE(SUBSTITUTE(SUBSTITUTE(TRIM(N500),".",""),"/",""),"-","")," ",""),"(",""),")",""),"+",""))=11,MID(SUBSTITUTE(SUBSTITUTE(SUBSTITUTE(SUBSTITUTE(SUBSTITUTE(SUBSTITUTE(SUBSTITUTE(TRIM(N500),".",""),"/",""),"-","")," ",""),"(",""),")",""),"+",""),3,1)="9",LEFT(SUBSTITUTE(SUBSTITUTE(SUBSTITUTE(SUBSTITUTE(SUBSTITUTE(SUBSTITUTE(SUBSTITUTE(TRIM(N500),".",""),"/",""),"-","")," ",""),"(",""),")",""),"+",""),1)&lt;&gt;"0"),"OK",IF(LEN(SUBSTITUTE(SUBSTITUTE(SUBSTITUTE(SUBSTITUTE(SUBSTITUTE(SUBSTITUTE(SUBSTITUTE(TRIM(N500),".",""),"/",""),"-","")," ",""),"(",""),")",""),"+",""))=10,"ERRO: é fixo (ou falta o 9), use a coluna Telefone fixo","ERRO: DDD + 9 + 8 dígitos")))</f>
      </c>
      <c r="Y500" s="6">
        <f>IF(O500="","vazio",IF(AND(ISNUMBER(FIND("@",O500)),ISNUMBER(FIND(".",MID(O500,FIND("@",O500),99))),NOT(ISNUMBER(FIND(" ",TRIM(O500)))),NOT(ISNUMBER(FIND(";",O500))),NOT(ISNUMBER(FIND(",",O500)))),"OK","ERRO: um e-mail válido por linha"))</f>
      </c>
      <c r="Z500" s="6">
        <f>IF(AND(J500="",K500=""),"",IF(AND(J500&lt;&gt;"",K500&lt;&gt;""),"OK","pendente: só um nome (o GR completa ao converter)"))</f>
      </c>
      <c r="AA500" s="6">
        <f>IF(COUNTA(A500:S500)=0,"",IF(AND(A500&lt;&gt;"",B500&lt;&gt;"",C500&lt;&gt;"",D500&lt;&gt;"",E500&lt;&gt;"",F500&lt;&gt;"",G500&lt;&gt;"",H500&lt;&gt;"",OR(J500&lt;&gt;"",K500&lt;&gt;""),OR(M500&lt;&gt;"",N500&lt;&gt;"",O500&lt;&gt;"")),"OK","ERRO: faltam "&amp;IF(A500="","SDR; ","")&amp;IF(B500="","Proprietário; ","")&amp;IF(C500="","Origem; ","")&amp;IF(D500="","Temperatura; ","")&amp;IF(E500="","Segmento; ","")&amp;IF(F500="","Time/Cluster; ","")&amp;IF(G500="","CNPJ; ","")&amp;IF(H500="","Razão Social; ","")&amp;IF(AND(J500="",K500=""),"nome do contato; ","")&amp;IF(AND(M500="",N500="",O500=""),"telefone, celular ou e-mail; ","")))</f>
      </c>
      <c r="AB500" s="6">
        <f>IF(COUNTA(A500:S500)=0,"",IF(AND(U500="OK",V500="OK",LEFT(W500,4)&lt;&gt;"ERRO",LEFT(X500,4)&lt;&gt;"ERRO",LEFT(Y500,4)&lt;&gt;"ERRO",AA500="OK"),"OK","REVISAR"))</f>
      </c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5"/>
      <c r="K501" s="4"/>
      <c r="L501" s="4"/>
      <c r="M501" s="4"/>
      <c r="N501" s="4"/>
      <c r="O501" s="4"/>
      <c r="P501" s="4"/>
      <c r="Q501" s="4"/>
      <c r="R501" s="4"/>
      <c r="S501" s="4"/>
      <c r="T501" s="6">
        <f>IF(G501="","",SUBSTITUTE(SUBSTITUTE(SUBSTITUTE(SUBSTITUTE(SUBSTITUTE(SUBSTITUTE(SUBSTITUTE(TRIM(G501),".",""),"/",""),"-","")," ",""),"(",""),")",""),"+",""))</f>
      </c>
      <c r="U501" s="6">
        <f>IF(T501="","",IF(LEN(T501)&lt;&gt;14,"ERRO: "&amp;LEN(T501)&amp;" dígitos",IF(NOT(ISNUMBER(VALUE(T501))),"ERRO: não numérico",IF(LEN(SUBSTITUTE(T501,LEFT(T501,1),""))=0,"ERRO: dígitos repetidos",IF(AND(VALUE(MID(T501,13,1))=IF(MOD(SUMPRODUCT(--MID(T501,{1,2,3,4,5,6,7,8,9,10,11,12},1),{5,4,3,2,9,8,7,6,5,4,3,2}),11)&lt;2,0,11-MOD(SUMPRODUCT(--MID(T501,{1,2,3,4,5,6,7,8,9,10,11,12},1),{5,4,3,2,9,8,7,6,5,4,3,2}),11)),VALUE(MID(T501,14,1))=IF(MOD(SUMPRODUCT(--MID(T501,{1,2,3,4,5,6,7,8,9,10,11,12,13},1),{6,5,4,3,2,9,8,7,6,5,4,3,2}),11)&lt;2,0,11-MOD(SUMPRODUCT(--MID(T501,{1,2,3,4,5,6,7,8,9,10,11,12,13},1),{6,5,4,3,2,9,8,7,6,5,4,3,2}),11))),"OK","ERRO: dígito verificador")))))</f>
      </c>
      <c r="V501" s="6">
        <f>IF(T501="","",IF(COUNTIF($T$2:$T$1001,T501)&gt;1,"DUPLICADO","OK"))</f>
      </c>
      <c r="W501" s="6">
        <f>IF(M501="","vazio",IF(OR(AND(LEN(SUBSTITUTE(SUBSTITUTE(SUBSTITUTE(SUBSTITUTE(SUBSTITUTE(SUBSTITUTE(SUBSTITUTE(TRIM(M501),".",""),"/",""),"-","")," ",""),"(",""),")",""),"+",""))=10,LEFT(SUBSTITUTE(SUBSTITUTE(SUBSTITUTE(SUBSTITUTE(SUBSTITUTE(SUBSTITUTE(SUBSTITUTE(TRIM(M501),".",""),"/",""),"-","")," ",""),"(",""),")",""),"+",""),1)&lt;&gt;"0"),AND(LEN(SUBSTITUTE(SUBSTITUTE(SUBSTITUTE(SUBSTITUTE(SUBSTITUTE(SUBSTITUTE(SUBSTITUTE(TRIM(M501),".",""),"/",""),"-","")," ",""),"(",""),")",""),"+",""))=11,LEFT(SUBSTITUTE(SUBSTITUTE(SUBSTITUTE(SUBSTITUTE(SUBSTITUTE(SUBSTITUTE(SUBSTITUTE(TRIM(M501),".",""),"/",""),"-","")," ",""),"(",""),")",""),"+",""),4)="0800")),"OK",IF(AND(LEN(SUBSTITUTE(SUBSTITUTE(SUBSTITUTE(SUBSTITUTE(SUBSTITUTE(SUBSTITUTE(SUBSTITUTE(TRIM(M501),".",""),"/",""),"-","")," ",""),"(",""),")",""),"+",""))=11,MID(SUBSTITUTE(SUBSTITUTE(SUBSTITUTE(SUBSTITUTE(SUBSTITUTE(SUBSTITUTE(SUBSTITUTE(TRIM(M501),".",""),"/",""),"-","")," ",""),"(",""),")",""),"+",""),3,1)="9"),"ERRO: é celular, use a coluna Celular","ERRO: DDD + 8 dígitos ou 0800 + 7")))</f>
      </c>
      <c r="X501" s="6">
        <f>IF(N501="","vazio",IF(AND(LEN(SUBSTITUTE(SUBSTITUTE(SUBSTITUTE(SUBSTITUTE(SUBSTITUTE(SUBSTITUTE(SUBSTITUTE(TRIM(N501),".",""),"/",""),"-","")," ",""),"(",""),")",""),"+",""))=11,MID(SUBSTITUTE(SUBSTITUTE(SUBSTITUTE(SUBSTITUTE(SUBSTITUTE(SUBSTITUTE(SUBSTITUTE(TRIM(N501),".",""),"/",""),"-","")," ",""),"(",""),")",""),"+",""),3,1)="9",LEFT(SUBSTITUTE(SUBSTITUTE(SUBSTITUTE(SUBSTITUTE(SUBSTITUTE(SUBSTITUTE(SUBSTITUTE(TRIM(N501),".",""),"/",""),"-","")," ",""),"(",""),")",""),"+",""),1)&lt;&gt;"0"),"OK",IF(LEN(SUBSTITUTE(SUBSTITUTE(SUBSTITUTE(SUBSTITUTE(SUBSTITUTE(SUBSTITUTE(SUBSTITUTE(TRIM(N501),".",""),"/",""),"-","")," ",""),"(",""),")",""),"+",""))=10,"ERRO: é fixo (ou falta o 9), use a coluna Telefone fixo","ERRO: DDD + 9 + 8 dígitos")))</f>
      </c>
      <c r="Y501" s="6">
        <f>IF(O501="","vazio",IF(AND(ISNUMBER(FIND("@",O501)),ISNUMBER(FIND(".",MID(O501,FIND("@",O501),99))),NOT(ISNUMBER(FIND(" ",TRIM(O501)))),NOT(ISNUMBER(FIND(";",O501))),NOT(ISNUMBER(FIND(",",O501)))),"OK","ERRO: um e-mail válido por linha"))</f>
      </c>
      <c r="Z501" s="6">
        <f>IF(AND(J501="",K501=""),"",IF(AND(J501&lt;&gt;"",K501&lt;&gt;""),"OK","pendente: só um nome (o GR completa ao converter)"))</f>
      </c>
      <c r="AA501" s="6">
        <f>IF(COUNTA(A501:S501)=0,"",IF(AND(A501&lt;&gt;"",B501&lt;&gt;"",C501&lt;&gt;"",D501&lt;&gt;"",E501&lt;&gt;"",F501&lt;&gt;"",G501&lt;&gt;"",H501&lt;&gt;"",OR(J501&lt;&gt;"",K501&lt;&gt;""),OR(M501&lt;&gt;"",N501&lt;&gt;"",O501&lt;&gt;"")),"OK","ERRO: faltam "&amp;IF(A501="","SDR; ","")&amp;IF(B501="","Proprietário; ","")&amp;IF(C501="","Origem; ","")&amp;IF(D501="","Temperatura; ","")&amp;IF(E501="","Segmento; ","")&amp;IF(F501="","Time/Cluster; ","")&amp;IF(G501="","CNPJ; ","")&amp;IF(H501="","Razão Social; ","")&amp;IF(AND(J501="",K501=""),"nome do contato; ","")&amp;IF(AND(M501="",N501="",O501=""),"telefone, celular ou e-mail; ","")))</f>
      </c>
      <c r="AB501" s="6">
        <f>IF(COUNTA(A501:S501)=0,"",IF(AND(U501="OK",V501="OK",LEFT(W501,4)&lt;&gt;"ERRO",LEFT(X501,4)&lt;&gt;"ERRO",LEFT(Y501,4)&lt;&gt;"ERRO",AA501="OK"),"OK","REVISAR"))</f>
      </c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5"/>
      <c r="K502" s="4"/>
      <c r="L502" s="4"/>
      <c r="M502" s="4"/>
      <c r="N502" s="4"/>
      <c r="O502" s="4"/>
      <c r="P502" s="4"/>
      <c r="Q502" s="4"/>
      <c r="R502" s="4"/>
      <c r="S502" s="4"/>
      <c r="T502" s="6">
        <f>IF(G502="","",SUBSTITUTE(SUBSTITUTE(SUBSTITUTE(SUBSTITUTE(SUBSTITUTE(SUBSTITUTE(SUBSTITUTE(TRIM(G502),".",""),"/",""),"-","")," ",""),"(",""),")",""),"+",""))</f>
      </c>
      <c r="U502" s="6">
        <f>IF(T502="","",IF(LEN(T502)&lt;&gt;14,"ERRO: "&amp;LEN(T502)&amp;" dígitos",IF(NOT(ISNUMBER(VALUE(T502))),"ERRO: não numérico",IF(LEN(SUBSTITUTE(T502,LEFT(T502,1),""))=0,"ERRO: dígitos repetidos",IF(AND(VALUE(MID(T502,13,1))=IF(MOD(SUMPRODUCT(--MID(T502,{1,2,3,4,5,6,7,8,9,10,11,12},1),{5,4,3,2,9,8,7,6,5,4,3,2}),11)&lt;2,0,11-MOD(SUMPRODUCT(--MID(T502,{1,2,3,4,5,6,7,8,9,10,11,12},1),{5,4,3,2,9,8,7,6,5,4,3,2}),11)),VALUE(MID(T502,14,1))=IF(MOD(SUMPRODUCT(--MID(T502,{1,2,3,4,5,6,7,8,9,10,11,12,13},1),{6,5,4,3,2,9,8,7,6,5,4,3,2}),11)&lt;2,0,11-MOD(SUMPRODUCT(--MID(T502,{1,2,3,4,5,6,7,8,9,10,11,12,13},1),{6,5,4,3,2,9,8,7,6,5,4,3,2}),11))),"OK","ERRO: dígito verificador")))))</f>
      </c>
      <c r="V502" s="6">
        <f>IF(T502="","",IF(COUNTIF($T$2:$T$1001,T502)&gt;1,"DUPLICADO","OK"))</f>
      </c>
      <c r="W502" s="6">
        <f>IF(M502="","vazio",IF(OR(AND(LEN(SUBSTITUTE(SUBSTITUTE(SUBSTITUTE(SUBSTITUTE(SUBSTITUTE(SUBSTITUTE(SUBSTITUTE(TRIM(M502),".",""),"/",""),"-","")," ",""),"(",""),")",""),"+",""))=10,LEFT(SUBSTITUTE(SUBSTITUTE(SUBSTITUTE(SUBSTITUTE(SUBSTITUTE(SUBSTITUTE(SUBSTITUTE(TRIM(M502),".",""),"/",""),"-","")," ",""),"(",""),")",""),"+",""),1)&lt;&gt;"0"),AND(LEN(SUBSTITUTE(SUBSTITUTE(SUBSTITUTE(SUBSTITUTE(SUBSTITUTE(SUBSTITUTE(SUBSTITUTE(TRIM(M502),".",""),"/",""),"-","")," ",""),"(",""),")",""),"+",""))=11,LEFT(SUBSTITUTE(SUBSTITUTE(SUBSTITUTE(SUBSTITUTE(SUBSTITUTE(SUBSTITUTE(SUBSTITUTE(TRIM(M502),".",""),"/",""),"-","")," ",""),"(",""),")",""),"+",""),4)="0800")),"OK",IF(AND(LEN(SUBSTITUTE(SUBSTITUTE(SUBSTITUTE(SUBSTITUTE(SUBSTITUTE(SUBSTITUTE(SUBSTITUTE(TRIM(M502),".",""),"/",""),"-","")," ",""),"(",""),")",""),"+",""))=11,MID(SUBSTITUTE(SUBSTITUTE(SUBSTITUTE(SUBSTITUTE(SUBSTITUTE(SUBSTITUTE(SUBSTITUTE(TRIM(M502),".",""),"/",""),"-","")," ",""),"(",""),")",""),"+",""),3,1)="9"),"ERRO: é celular, use a coluna Celular","ERRO: DDD + 8 dígitos ou 0800 + 7")))</f>
      </c>
      <c r="X502" s="6">
        <f>IF(N502="","vazio",IF(AND(LEN(SUBSTITUTE(SUBSTITUTE(SUBSTITUTE(SUBSTITUTE(SUBSTITUTE(SUBSTITUTE(SUBSTITUTE(TRIM(N502),".",""),"/",""),"-","")," ",""),"(",""),")",""),"+",""))=11,MID(SUBSTITUTE(SUBSTITUTE(SUBSTITUTE(SUBSTITUTE(SUBSTITUTE(SUBSTITUTE(SUBSTITUTE(TRIM(N502),".",""),"/",""),"-","")," ",""),"(",""),")",""),"+",""),3,1)="9",LEFT(SUBSTITUTE(SUBSTITUTE(SUBSTITUTE(SUBSTITUTE(SUBSTITUTE(SUBSTITUTE(SUBSTITUTE(TRIM(N502),".",""),"/",""),"-","")," ",""),"(",""),")",""),"+",""),1)&lt;&gt;"0"),"OK",IF(LEN(SUBSTITUTE(SUBSTITUTE(SUBSTITUTE(SUBSTITUTE(SUBSTITUTE(SUBSTITUTE(SUBSTITUTE(TRIM(N502),".",""),"/",""),"-","")," ",""),"(",""),")",""),"+",""))=10,"ERRO: é fixo (ou falta o 9), use a coluna Telefone fixo","ERRO: DDD + 9 + 8 dígitos")))</f>
      </c>
      <c r="Y502" s="6">
        <f>IF(O502="","vazio",IF(AND(ISNUMBER(FIND("@",O502)),ISNUMBER(FIND(".",MID(O502,FIND("@",O502),99))),NOT(ISNUMBER(FIND(" ",TRIM(O502)))),NOT(ISNUMBER(FIND(";",O502))),NOT(ISNUMBER(FIND(",",O502)))),"OK","ERRO: um e-mail válido por linha"))</f>
      </c>
      <c r="Z502" s="6">
        <f>IF(AND(J502="",K502=""),"",IF(AND(J502&lt;&gt;"",K502&lt;&gt;""),"OK","pendente: só um nome (o GR completa ao converter)"))</f>
      </c>
      <c r="AA502" s="6">
        <f>IF(COUNTA(A502:S502)=0,"",IF(AND(A502&lt;&gt;"",B502&lt;&gt;"",C502&lt;&gt;"",D502&lt;&gt;"",E502&lt;&gt;"",F502&lt;&gt;"",G502&lt;&gt;"",H502&lt;&gt;"",OR(J502&lt;&gt;"",K502&lt;&gt;""),OR(M502&lt;&gt;"",N502&lt;&gt;"",O502&lt;&gt;"")),"OK","ERRO: faltam "&amp;IF(A502="","SDR; ","")&amp;IF(B502="","Proprietário; ","")&amp;IF(C502="","Origem; ","")&amp;IF(D502="","Temperatura; ","")&amp;IF(E502="","Segmento; ","")&amp;IF(F502="","Time/Cluster; ","")&amp;IF(G502="","CNPJ; ","")&amp;IF(H502="","Razão Social; ","")&amp;IF(AND(J502="",K502=""),"nome do contato; ","")&amp;IF(AND(M502="",N502="",O502=""),"telefone, celular ou e-mail; ","")))</f>
      </c>
      <c r="AB502" s="6">
        <f>IF(COUNTA(A502:S502)=0,"",IF(AND(U502="OK",V502="OK",LEFT(W502,4)&lt;&gt;"ERRO",LEFT(X502,4)&lt;&gt;"ERRO",LEFT(Y502,4)&lt;&gt;"ERRO",AA502="OK"),"OK","REVISAR"))</f>
      </c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5"/>
      <c r="K503" s="4"/>
      <c r="L503" s="4"/>
      <c r="M503" s="4"/>
      <c r="N503" s="4"/>
      <c r="O503" s="4"/>
      <c r="P503" s="4"/>
      <c r="Q503" s="4"/>
      <c r="R503" s="4"/>
      <c r="S503" s="4"/>
      <c r="T503" s="6">
        <f>IF(G503="","",SUBSTITUTE(SUBSTITUTE(SUBSTITUTE(SUBSTITUTE(SUBSTITUTE(SUBSTITUTE(SUBSTITUTE(TRIM(G503),".",""),"/",""),"-","")," ",""),"(",""),")",""),"+",""))</f>
      </c>
      <c r="U503" s="6">
        <f>IF(T503="","",IF(LEN(T503)&lt;&gt;14,"ERRO: "&amp;LEN(T503)&amp;" dígitos",IF(NOT(ISNUMBER(VALUE(T503))),"ERRO: não numérico",IF(LEN(SUBSTITUTE(T503,LEFT(T503,1),""))=0,"ERRO: dígitos repetidos",IF(AND(VALUE(MID(T503,13,1))=IF(MOD(SUMPRODUCT(--MID(T503,{1,2,3,4,5,6,7,8,9,10,11,12},1),{5,4,3,2,9,8,7,6,5,4,3,2}),11)&lt;2,0,11-MOD(SUMPRODUCT(--MID(T503,{1,2,3,4,5,6,7,8,9,10,11,12},1),{5,4,3,2,9,8,7,6,5,4,3,2}),11)),VALUE(MID(T503,14,1))=IF(MOD(SUMPRODUCT(--MID(T503,{1,2,3,4,5,6,7,8,9,10,11,12,13},1),{6,5,4,3,2,9,8,7,6,5,4,3,2}),11)&lt;2,0,11-MOD(SUMPRODUCT(--MID(T503,{1,2,3,4,5,6,7,8,9,10,11,12,13},1),{6,5,4,3,2,9,8,7,6,5,4,3,2}),11))),"OK","ERRO: dígito verificador")))))</f>
      </c>
      <c r="V503" s="6">
        <f>IF(T503="","",IF(COUNTIF($T$2:$T$1001,T503)&gt;1,"DUPLICADO","OK"))</f>
      </c>
      <c r="W503" s="6">
        <f>IF(M503="","vazio",IF(OR(AND(LEN(SUBSTITUTE(SUBSTITUTE(SUBSTITUTE(SUBSTITUTE(SUBSTITUTE(SUBSTITUTE(SUBSTITUTE(TRIM(M503),".",""),"/",""),"-","")," ",""),"(",""),")",""),"+",""))=10,LEFT(SUBSTITUTE(SUBSTITUTE(SUBSTITUTE(SUBSTITUTE(SUBSTITUTE(SUBSTITUTE(SUBSTITUTE(TRIM(M503),".",""),"/",""),"-","")," ",""),"(",""),")",""),"+",""),1)&lt;&gt;"0"),AND(LEN(SUBSTITUTE(SUBSTITUTE(SUBSTITUTE(SUBSTITUTE(SUBSTITUTE(SUBSTITUTE(SUBSTITUTE(TRIM(M503),".",""),"/",""),"-","")," ",""),"(",""),")",""),"+",""))=11,LEFT(SUBSTITUTE(SUBSTITUTE(SUBSTITUTE(SUBSTITUTE(SUBSTITUTE(SUBSTITUTE(SUBSTITUTE(TRIM(M503),".",""),"/",""),"-","")," ",""),"(",""),")",""),"+",""),4)="0800")),"OK",IF(AND(LEN(SUBSTITUTE(SUBSTITUTE(SUBSTITUTE(SUBSTITUTE(SUBSTITUTE(SUBSTITUTE(SUBSTITUTE(TRIM(M503),".",""),"/",""),"-","")," ",""),"(",""),")",""),"+",""))=11,MID(SUBSTITUTE(SUBSTITUTE(SUBSTITUTE(SUBSTITUTE(SUBSTITUTE(SUBSTITUTE(SUBSTITUTE(TRIM(M503),".",""),"/",""),"-","")," ",""),"(",""),")",""),"+",""),3,1)="9"),"ERRO: é celular, use a coluna Celular","ERRO: DDD + 8 dígitos ou 0800 + 7")))</f>
      </c>
      <c r="X503" s="6">
        <f>IF(N503="","vazio",IF(AND(LEN(SUBSTITUTE(SUBSTITUTE(SUBSTITUTE(SUBSTITUTE(SUBSTITUTE(SUBSTITUTE(SUBSTITUTE(TRIM(N503),".",""),"/",""),"-","")," ",""),"(",""),")",""),"+",""))=11,MID(SUBSTITUTE(SUBSTITUTE(SUBSTITUTE(SUBSTITUTE(SUBSTITUTE(SUBSTITUTE(SUBSTITUTE(TRIM(N503),".",""),"/",""),"-","")," ",""),"(",""),")",""),"+",""),3,1)="9",LEFT(SUBSTITUTE(SUBSTITUTE(SUBSTITUTE(SUBSTITUTE(SUBSTITUTE(SUBSTITUTE(SUBSTITUTE(TRIM(N503),".",""),"/",""),"-","")," ",""),"(",""),")",""),"+",""),1)&lt;&gt;"0"),"OK",IF(LEN(SUBSTITUTE(SUBSTITUTE(SUBSTITUTE(SUBSTITUTE(SUBSTITUTE(SUBSTITUTE(SUBSTITUTE(TRIM(N503),".",""),"/",""),"-","")," ",""),"(",""),")",""),"+",""))=10,"ERRO: é fixo (ou falta o 9), use a coluna Telefone fixo","ERRO: DDD + 9 + 8 dígitos")))</f>
      </c>
      <c r="Y503" s="6">
        <f>IF(O503="","vazio",IF(AND(ISNUMBER(FIND("@",O503)),ISNUMBER(FIND(".",MID(O503,FIND("@",O503),99))),NOT(ISNUMBER(FIND(" ",TRIM(O503)))),NOT(ISNUMBER(FIND(";",O503))),NOT(ISNUMBER(FIND(",",O503)))),"OK","ERRO: um e-mail válido por linha"))</f>
      </c>
      <c r="Z503" s="6">
        <f>IF(AND(J503="",K503=""),"",IF(AND(J503&lt;&gt;"",K503&lt;&gt;""),"OK","pendente: só um nome (o GR completa ao converter)"))</f>
      </c>
      <c r="AA503" s="6">
        <f>IF(COUNTA(A503:S503)=0,"",IF(AND(A503&lt;&gt;"",B503&lt;&gt;"",C503&lt;&gt;"",D503&lt;&gt;"",E503&lt;&gt;"",F503&lt;&gt;"",G503&lt;&gt;"",H503&lt;&gt;"",OR(J503&lt;&gt;"",K503&lt;&gt;""),OR(M503&lt;&gt;"",N503&lt;&gt;"",O503&lt;&gt;"")),"OK","ERRO: faltam "&amp;IF(A503="","SDR; ","")&amp;IF(B503="","Proprietário; ","")&amp;IF(C503="","Origem; ","")&amp;IF(D503="","Temperatura; ","")&amp;IF(E503="","Segmento; ","")&amp;IF(F503="","Time/Cluster; ","")&amp;IF(G503="","CNPJ; ","")&amp;IF(H503="","Razão Social; ","")&amp;IF(AND(J503="",K503=""),"nome do contato; ","")&amp;IF(AND(M503="",N503="",O503=""),"telefone, celular ou e-mail; ","")))</f>
      </c>
      <c r="AB503" s="6">
        <f>IF(COUNTA(A503:S503)=0,"",IF(AND(U503="OK",V503="OK",LEFT(W503,4)&lt;&gt;"ERRO",LEFT(X503,4)&lt;&gt;"ERRO",LEFT(Y503,4)&lt;&gt;"ERRO",AA503="OK"),"OK","REVISAR"))</f>
      </c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5"/>
      <c r="K504" s="4"/>
      <c r="L504" s="4"/>
      <c r="M504" s="4"/>
      <c r="N504" s="4"/>
      <c r="O504" s="4"/>
      <c r="P504" s="4"/>
      <c r="Q504" s="4"/>
      <c r="R504" s="4"/>
      <c r="S504" s="4"/>
      <c r="T504" s="6">
        <f>IF(G504="","",SUBSTITUTE(SUBSTITUTE(SUBSTITUTE(SUBSTITUTE(SUBSTITUTE(SUBSTITUTE(SUBSTITUTE(TRIM(G504),".",""),"/",""),"-","")," ",""),"(",""),")",""),"+",""))</f>
      </c>
      <c r="U504" s="6">
        <f>IF(T504="","",IF(LEN(T504)&lt;&gt;14,"ERRO: "&amp;LEN(T504)&amp;" dígitos",IF(NOT(ISNUMBER(VALUE(T504))),"ERRO: não numérico",IF(LEN(SUBSTITUTE(T504,LEFT(T504,1),""))=0,"ERRO: dígitos repetidos",IF(AND(VALUE(MID(T504,13,1))=IF(MOD(SUMPRODUCT(--MID(T504,{1,2,3,4,5,6,7,8,9,10,11,12},1),{5,4,3,2,9,8,7,6,5,4,3,2}),11)&lt;2,0,11-MOD(SUMPRODUCT(--MID(T504,{1,2,3,4,5,6,7,8,9,10,11,12},1),{5,4,3,2,9,8,7,6,5,4,3,2}),11)),VALUE(MID(T504,14,1))=IF(MOD(SUMPRODUCT(--MID(T504,{1,2,3,4,5,6,7,8,9,10,11,12,13},1),{6,5,4,3,2,9,8,7,6,5,4,3,2}),11)&lt;2,0,11-MOD(SUMPRODUCT(--MID(T504,{1,2,3,4,5,6,7,8,9,10,11,12,13},1),{6,5,4,3,2,9,8,7,6,5,4,3,2}),11))),"OK","ERRO: dígito verificador")))))</f>
      </c>
      <c r="V504" s="6">
        <f>IF(T504="","",IF(COUNTIF($T$2:$T$1001,T504)&gt;1,"DUPLICADO","OK"))</f>
      </c>
      <c r="W504" s="6">
        <f>IF(M504="","vazio",IF(OR(AND(LEN(SUBSTITUTE(SUBSTITUTE(SUBSTITUTE(SUBSTITUTE(SUBSTITUTE(SUBSTITUTE(SUBSTITUTE(TRIM(M504),".",""),"/",""),"-","")," ",""),"(",""),")",""),"+",""))=10,LEFT(SUBSTITUTE(SUBSTITUTE(SUBSTITUTE(SUBSTITUTE(SUBSTITUTE(SUBSTITUTE(SUBSTITUTE(TRIM(M504),".",""),"/",""),"-","")," ",""),"(",""),")",""),"+",""),1)&lt;&gt;"0"),AND(LEN(SUBSTITUTE(SUBSTITUTE(SUBSTITUTE(SUBSTITUTE(SUBSTITUTE(SUBSTITUTE(SUBSTITUTE(TRIM(M504),".",""),"/",""),"-","")," ",""),"(",""),")",""),"+",""))=11,LEFT(SUBSTITUTE(SUBSTITUTE(SUBSTITUTE(SUBSTITUTE(SUBSTITUTE(SUBSTITUTE(SUBSTITUTE(TRIM(M504),".",""),"/",""),"-","")," ",""),"(",""),")",""),"+",""),4)="0800")),"OK",IF(AND(LEN(SUBSTITUTE(SUBSTITUTE(SUBSTITUTE(SUBSTITUTE(SUBSTITUTE(SUBSTITUTE(SUBSTITUTE(TRIM(M504),".",""),"/",""),"-","")," ",""),"(",""),")",""),"+",""))=11,MID(SUBSTITUTE(SUBSTITUTE(SUBSTITUTE(SUBSTITUTE(SUBSTITUTE(SUBSTITUTE(SUBSTITUTE(TRIM(M504),".",""),"/",""),"-","")," ",""),"(",""),")",""),"+",""),3,1)="9"),"ERRO: é celular, use a coluna Celular","ERRO: DDD + 8 dígitos ou 0800 + 7")))</f>
      </c>
      <c r="X504" s="6">
        <f>IF(N504="","vazio",IF(AND(LEN(SUBSTITUTE(SUBSTITUTE(SUBSTITUTE(SUBSTITUTE(SUBSTITUTE(SUBSTITUTE(SUBSTITUTE(TRIM(N504),".",""),"/",""),"-","")," ",""),"(",""),")",""),"+",""))=11,MID(SUBSTITUTE(SUBSTITUTE(SUBSTITUTE(SUBSTITUTE(SUBSTITUTE(SUBSTITUTE(SUBSTITUTE(TRIM(N504),".",""),"/",""),"-","")," ",""),"(",""),")",""),"+",""),3,1)="9",LEFT(SUBSTITUTE(SUBSTITUTE(SUBSTITUTE(SUBSTITUTE(SUBSTITUTE(SUBSTITUTE(SUBSTITUTE(TRIM(N504),".",""),"/",""),"-","")," ",""),"(",""),")",""),"+",""),1)&lt;&gt;"0"),"OK",IF(LEN(SUBSTITUTE(SUBSTITUTE(SUBSTITUTE(SUBSTITUTE(SUBSTITUTE(SUBSTITUTE(SUBSTITUTE(TRIM(N504),".",""),"/",""),"-","")," ",""),"(",""),")",""),"+",""))=10,"ERRO: é fixo (ou falta o 9), use a coluna Telefone fixo","ERRO: DDD + 9 + 8 dígitos")))</f>
      </c>
      <c r="Y504" s="6">
        <f>IF(O504="","vazio",IF(AND(ISNUMBER(FIND("@",O504)),ISNUMBER(FIND(".",MID(O504,FIND("@",O504),99))),NOT(ISNUMBER(FIND(" ",TRIM(O504)))),NOT(ISNUMBER(FIND(";",O504))),NOT(ISNUMBER(FIND(",",O504)))),"OK","ERRO: um e-mail válido por linha"))</f>
      </c>
      <c r="Z504" s="6">
        <f>IF(AND(J504="",K504=""),"",IF(AND(J504&lt;&gt;"",K504&lt;&gt;""),"OK","pendente: só um nome (o GR completa ao converter)"))</f>
      </c>
      <c r="AA504" s="6">
        <f>IF(COUNTA(A504:S504)=0,"",IF(AND(A504&lt;&gt;"",B504&lt;&gt;"",C504&lt;&gt;"",D504&lt;&gt;"",E504&lt;&gt;"",F504&lt;&gt;"",G504&lt;&gt;"",H504&lt;&gt;"",OR(J504&lt;&gt;"",K504&lt;&gt;""),OR(M504&lt;&gt;"",N504&lt;&gt;"",O504&lt;&gt;"")),"OK","ERRO: faltam "&amp;IF(A504="","SDR; ","")&amp;IF(B504="","Proprietário; ","")&amp;IF(C504="","Origem; ","")&amp;IF(D504="","Temperatura; ","")&amp;IF(E504="","Segmento; ","")&amp;IF(F504="","Time/Cluster; ","")&amp;IF(G504="","CNPJ; ","")&amp;IF(H504="","Razão Social; ","")&amp;IF(AND(J504="",K504=""),"nome do contato; ","")&amp;IF(AND(M504="",N504="",O504=""),"telefone, celular ou e-mail; ","")))</f>
      </c>
      <c r="AB504" s="6">
        <f>IF(COUNTA(A504:S504)=0,"",IF(AND(U504="OK",V504="OK",LEFT(W504,4)&lt;&gt;"ERRO",LEFT(X504,4)&lt;&gt;"ERRO",LEFT(Y504,4)&lt;&gt;"ERRO",AA504="OK"),"OK","REVISAR"))</f>
      </c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5"/>
      <c r="K505" s="4"/>
      <c r="L505" s="4"/>
      <c r="M505" s="4"/>
      <c r="N505" s="4"/>
      <c r="O505" s="4"/>
      <c r="P505" s="4"/>
      <c r="Q505" s="4"/>
      <c r="R505" s="4"/>
      <c r="S505" s="4"/>
      <c r="T505" s="6">
        <f>IF(G505="","",SUBSTITUTE(SUBSTITUTE(SUBSTITUTE(SUBSTITUTE(SUBSTITUTE(SUBSTITUTE(SUBSTITUTE(TRIM(G505),".",""),"/",""),"-","")," ",""),"(",""),")",""),"+",""))</f>
      </c>
      <c r="U505" s="6">
        <f>IF(T505="","",IF(LEN(T505)&lt;&gt;14,"ERRO: "&amp;LEN(T505)&amp;" dígitos",IF(NOT(ISNUMBER(VALUE(T505))),"ERRO: não numérico",IF(LEN(SUBSTITUTE(T505,LEFT(T505,1),""))=0,"ERRO: dígitos repetidos",IF(AND(VALUE(MID(T505,13,1))=IF(MOD(SUMPRODUCT(--MID(T505,{1,2,3,4,5,6,7,8,9,10,11,12},1),{5,4,3,2,9,8,7,6,5,4,3,2}),11)&lt;2,0,11-MOD(SUMPRODUCT(--MID(T505,{1,2,3,4,5,6,7,8,9,10,11,12},1),{5,4,3,2,9,8,7,6,5,4,3,2}),11)),VALUE(MID(T505,14,1))=IF(MOD(SUMPRODUCT(--MID(T505,{1,2,3,4,5,6,7,8,9,10,11,12,13},1),{6,5,4,3,2,9,8,7,6,5,4,3,2}),11)&lt;2,0,11-MOD(SUMPRODUCT(--MID(T505,{1,2,3,4,5,6,7,8,9,10,11,12,13},1),{6,5,4,3,2,9,8,7,6,5,4,3,2}),11))),"OK","ERRO: dígito verificador")))))</f>
      </c>
      <c r="V505" s="6">
        <f>IF(T505="","",IF(COUNTIF($T$2:$T$1001,T505)&gt;1,"DUPLICADO","OK"))</f>
      </c>
      <c r="W505" s="6">
        <f>IF(M505="","vazio",IF(OR(AND(LEN(SUBSTITUTE(SUBSTITUTE(SUBSTITUTE(SUBSTITUTE(SUBSTITUTE(SUBSTITUTE(SUBSTITUTE(TRIM(M505),".",""),"/",""),"-","")," ",""),"(",""),")",""),"+",""))=10,LEFT(SUBSTITUTE(SUBSTITUTE(SUBSTITUTE(SUBSTITUTE(SUBSTITUTE(SUBSTITUTE(SUBSTITUTE(TRIM(M505),".",""),"/",""),"-","")," ",""),"(",""),")",""),"+",""),1)&lt;&gt;"0"),AND(LEN(SUBSTITUTE(SUBSTITUTE(SUBSTITUTE(SUBSTITUTE(SUBSTITUTE(SUBSTITUTE(SUBSTITUTE(TRIM(M505),".",""),"/",""),"-","")," ",""),"(",""),")",""),"+",""))=11,LEFT(SUBSTITUTE(SUBSTITUTE(SUBSTITUTE(SUBSTITUTE(SUBSTITUTE(SUBSTITUTE(SUBSTITUTE(TRIM(M505),".",""),"/",""),"-","")," ",""),"(",""),")",""),"+",""),4)="0800")),"OK",IF(AND(LEN(SUBSTITUTE(SUBSTITUTE(SUBSTITUTE(SUBSTITUTE(SUBSTITUTE(SUBSTITUTE(SUBSTITUTE(TRIM(M505),".",""),"/",""),"-","")," ",""),"(",""),")",""),"+",""))=11,MID(SUBSTITUTE(SUBSTITUTE(SUBSTITUTE(SUBSTITUTE(SUBSTITUTE(SUBSTITUTE(SUBSTITUTE(TRIM(M505),".",""),"/",""),"-","")," ",""),"(",""),")",""),"+",""),3,1)="9"),"ERRO: é celular, use a coluna Celular","ERRO: DDD + 8 dígitos ou 0800 + 7")))</f>
      </c>
      <c r="X505" s="6">
        <f>IF(N505="","vazio",IF(AND(LEN(SUBSTITUTE(SUBSTITUTE(SUBSTITUTE(SUBSTITUTE(SUBSTITUTE(SUBSTITUTE(SUBSTITUTE(TRIM(N505),".",""),"/",""),"-","")," ",""),"(",""),")",""),"+",""))=11,MID(SUBSTITUTE(SUBSTITUTE(SUBSTITUTE(SUBSTITUTE(SUBSTITUTE(SUBSTITUTE(SUBSTITUTE(TRIM(N505),".",""),"/",""),"-","")," ",""),"(",""),")",""),"+",""),3,1)="9",LEFT(SUBSTITUTE(SUBSTITUTE(SUBSTITUTE(SUBSTITUTE(SUBSTITUTE(SUBSTITUTE(SUBSTITUTE(TRIM(N505),".",""),"/",""),"-","")," ",""),"(",""),")",""),"+",""),1)&lt;&gt;"0"),"OK",IF(LEN(SUBSTITUTE(SUBSTITUTE(SUBSTITUTE(SUBSTITUTE(SUBSTITUTE(SUBSTITUTE(SUBSTITUTE(TRIM(N505),".",""),"/",""),"-","")," ",""),"(",""),")",""),"+",""))=10,"ERRO: é fixo (ou falta o 9), use a coluna Telefone fixo","ERRO: DDD + 9 + 8 dígitos")))</f>
      </c>
      <c r="Y505" s="6">
        <f>IF(O505="","vazio",IF(AND(ISNUMBER(FIND("@",O505)),ISNUMBER(FIND(".",MID(O505,FIND("@",O505),99))),NOT(ISNUMBER(FIND(" ",TRIM(O505)))),NOT(ISNUMBER(FIND(";",O505))),NOT(ISNUMBER(FIND(",",O505)))),"OK","ERRO: um e-mail válido por linha"))</f>
      </c>
      <c r="Z505" s="6">
        <f>IF(AND(J505="",K505=""),"",IF(AND(J505&lt;&gt;"",K505&lt;&gt;""),"OK","pendente: só um nome (o GR completa ao converter)"))</f>
      </c>
      <c r="AA505" s="6">
        <f>IF(COUNTA(A505:S505)=0,"",IF(AND(A505&lt;&gt;"",B505&lt;&gt;"",C505&lt;&gt;"",D505&lt;&gt;"",E505&lt;&gt;"",F505&lt;&gt;"",G505&lt;&gt;"",H505&lt;&gt;"",OR(J505&lt;&gt;"",K505&lt;&gt;""),OR(M505&lt;&gt;"",N505&lt;&gt;"",O505&lt;&gt;"")),"OK","ERRO: faltam "&amp;IF(A505="","SDR; ","")&amp;IF(B505="","Proprietário; ","")&amp;IF(C505="","Origem; ","")&amp;IF(D505="","Temperatura; ","")&amp;IF(E505="","Segmento; ","")&amp;IF(F505="","Time/Cluster; ","")&amp;IF(G505="","CNPJ; ","")&amp;IF(H505="","Razão Social; ","")&amp;IF(AND(J505="",K505=""),"nome do contato; ","")&amp;IF(AND(M505="",N505="",O505=""),"telefone, celular ou e-mail; ","")))</f>
      </c>
      <c r="AB505" s="6">
        <f>IF(COUNTA(A505:S505)=0,"",IF(AND(U505="OK",V505="OK",LEFT(W505,4)&lt;&gt;"ERRO",LEFT(X505,4)&lt;&gt;"ERRO",LEFT(Y505,4)&lt;&gt;"ERRO",AA505="OK"),"OK","REVISAR"))</f>
      </c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5"/>
      <c r="K506" s="4"/>
      <c r="L506" s="4"/>
      <c r="M506" s="4"/>
      <c r="N506" s="4"/>
      <c r="O506" s="4"/>
      <c r="P506" s="4"/>
      <c r="Q506" s="4"/>
      <c r="R506" s="4"/>
      <c r="S506" s="4"/>
      <c r="T506" s="6">
        <f>IF(G506="","",SUBSTITUTE(SUBSTITUTE(SUBSTITUTE(SUBSTITUTE(SUBSTITUTE(SUBSTITUTE(SUBSTITUTE(TRIM(G506),".",""),"/",""),"-","")," ",""),"(",""),")",""),"+",""))</f>
      </c>
      <c r="U506" s="6">
        <f>IF(T506="","",IF(LEN(T506)&lt;&gt;14,"ERRO: "&amp;LEN(T506)&amp;" dígitos",IF(NOT(ISNUMBER(VALUE(T506))),"ERRO: não numérico",IF(LEN(SUBSTITUTE(T506,LEFT(T506,1),""))=0,"ERRO: dígitos repetidos",IF(AND(VALUE(MID(T506,13,1))=IF(MOD(SUMPRODUCT(--MID(T506,{1,2,3,4,5,6,7,8,9,10,11,12},1),{5,4,3,2,9,8,7,6,5,4,3,2}),11)&lt;2,0,11-MOD(SUMPRODUCT(--MID(T506,{1,2,3,4,5,6,7,8,9,10,11,12},1),{5,4,3,2,9,8,7,6,5,4,3,2}),11)),VALUE(MID(T506,14,1))=IF(MOD(SUMPRODUCT(--MID(T506,{1,2,3,4,5,6,7,8,9,10,11,12,13},1),{6,5,4,3,2,9,8,7,6,5,4,3,2}),11)&lt;2,0,11-MOD(SUMPRODUCT(--MID(T506,{1,2,3,4,5,6,7,8,9,10,11,12,13},1),{6,5,4,3,2,9,8,7,6,5,4,3,2}),11))),"OK","ERRO: dígito verificador")))))</f>
      </c>
      <c r="V506" s="6">
        <f>IF(T506="","",IF(COUNTIF($T$2:$T$1001,T506)&gt;1,"DUPLICADO","OK"))</f>
      </c>
      <c r="W506" s="6">
        <f>IF(M506="","vazio",IF(OR(AND(LEN(SUBSTITUTE(SUBSTITUTE(SUBSTITUTE(SUBSTITUTE(SUBSTITUTE(SUBSTITUTE(SUBSTITUTE(TRIM(M506),".",""),"/",""),"-","")," ",""),"(",""),")",""),"+",""))=10,LEFT(SUBSTITUTE(SUBSTITUTE(SUBSTITUTE(SUBSTITUTE(SUBSTITUTE(SUBSTITUTE(SUBSTITUTE(TRIM(M506),".",""),"/",""),"-","")," ",""),"(",""),")",""),"+",""),1)&lt;&gt;"0"),AND(LEN(SUBSTITUTE(SUBSTITUTE(SUBSTITUTE(SUBSTITUTE(SUBSTITUTE(SUBSTITUTE(SUBSTITUTE(TRIM(M506),".",""),"/",""),"-","")," ",""),"(",""),")",""),"+",""))=11,LEFT(SUBSTITUTE(SUBSTITUTE(SUBSTITUTE(SUBSTITUTE(SUBSTITUTE(SUBSTITUTE(SUBSTITUTE(TRIM(M506),".",""),"/",""),"-","")," ",""),"(",""),")",""),"+",""),4)="0800")),"OK",IF(AND(LEN(SUBSTITUTE(SUBSTITUTE(SUBSTITUTE(SUBSTITUTE(SUBSTITUTE(SUBSTITUTE(SUBSTITUTE(TRIM(M506),".",""),"/",""),"-","")," ",""),"(",""),")",""),"+",""))=11,MID(SUBSTITUTE(SUBSTITUTE(SUBSTITUTE(SUBSTITUTE(SUBSTITUTE(SUBSTITUTE(SUBSTITUTE(TRIM(M506),".",""),"/",""),"-","")," ",""),"(",""),")",""),"+",""),3,1)="9"),"ERRO: é celular, use a coluna Celular","ERRO: DDD + 8 dígitos ou 0800 + 7")))</f>
      </c>
      <c r="X506" s="6">
        <f>IF(N506="","vazio",IF(AND(LEN(SUBSTITUTE(SUBSTITUTE(SUBSTITUTE(SUBSTITUTE(SUBSTITUTE(SUBSTITUTE(SUBSTITUTE(TRIM(N506),".",""),"/",""),"-","")," ",""),"(",""),")",""),"+",""))=11,MID(SUBSTITUTE(SUBSTITUTE(SUBSTITUTE(SUBSTITUTE(SUBSTITUTE(SUBSTITUTE(SUBSTITUTE(TRIM(N506),".",""),"/",""),"-","")," ",""),"(",""),")",""),"+",""),3,1)="9",LEFT(SUBSTITUTE(SUBSTITUTE(SUBSTITUTE(SUBSTITUTE(SUBSTITUTE(SUBSTITUTE(SUBSTITUTE(TRIM(N506),".",""),"/",""),"-","")," ",""),"(",""),")",""),"+",""),1)&lt;&gt;"0"),"OK",IF(LEN(SUBSTITUTE(SUBSTITUTE(SUBSTITUTE(SUBSTITUTE(SUBSTITUTE(SUBSTITUTE(SUBSTITUTE(TRIM(N506),".",""),"/",""),"-","")," ",""),"(",""),")",""),"+",""))=10,"ERRO: é fixo (ou falta o 9), use a coluna Telefone fixo","ERRO: DDD + 9 + 8 dígitos")))</f>
      </c>
      <c r="Y506" s="6">
        <f>IF(O506="","vazio",IF(AND(ISNUMBER(FIND("@",O506)),ISNUMBER(FIND(".",MID(O506,FIND("@",O506),99))),NOT(ISNUMBER(FIND(" ",TRIM(O506)))),NOT(ISNUMBER(FIND(";",O506))),NOT(ISNUMBER(FIND(",",O506)))),"OK","ERRO: um e-mail válido por linha"))</f>
      </c>
      <c r="Z506" s="6">
        <f>IF(AND(J506="",K506=""),"",IF(AND(J506&lt;&gt;"",K506&lt;&gt;""),"OK","pendente: só um nome (o GR completa ao converter)"))</f>
      </c>
      <c r="AA506" s="6">
        <f>IF(COUNTA(A506:S506)=0,"",IF(AND(A506&lt;&gt;"",B506&lt;&gt;"",C506&lt;&gt;"",D506&lt;&gt;"",E506&lt;&gt;"",F506&lt;&gt;"",G506&lt;&gt;"",H506&lt;&gt;"",OR(J506&lt;&gt;"",K506&lt;&gt;""),OR(M506&lt;&gt;"",N506&lt;&gt;"",O506&lt;&gt;"")),"OK","ERRO: faltam "&amp;IF(A506="","SDR; ","")&amp;IF(B506="","Proprietário; ","")&amp;IF(C506="","Origem; ","")&amp;IF(D506="","Temperatura; ","")&amp;IF(E506="","Segmento; ","")&amp;IF(F506="","Time/Cluster; ","")&amp;IF(G506="","CNPJ; ","")&amp;IF(H506="","Razão Social; ","")&amp;IF(AND(J506="",K506=""),"nome do contato; ","")&amp;IF(AND(M506="",N506="",O506=""),"telefone, celular ou e-mail; ","")))</f>
      </c>
      <c r="AB506" s="6">
        <f>IF(COUNTA(A506:S506)=0,"",IF(AND(U506="OK",V506="OK",LEFT(W506,4)&lt;&gt;"ERRO",LEFT(X506,4)&lt;&gt;"ERRO",LEFT(Y506,4)&lt;&gt;"ERRO",AA506="OK"),"OK","REVISAR"))</f>
      </c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5"/>
      <c r="K507" s="4"/>
      <c r="L507" s="4"/>
      <c r="M507" s="4"/>
      <c r="N507" s="4"/>
      <c r="O507" s="4"/>
      <c r="P507" s="4"/>
      <c r="Q507" s="4"/>
      <c r="R507" s="4"/>
      <c r="S507" s="4"/>
      <c r="T507" s="6">
        <f>IF(G507="","",SUBSTITUTE(SUBSTITUTE(SUBSTITUTE(SUBSTITUTE(SUBSTITUTE(SUBSTITUTE(SUBSTITUTE(TRIM(G507),".",""),"/",""),"-","")," ",""),"(",""),")",""),"+",""))</f>
      </c>
      <c r="U507" s="6">
        <f>IF(T507="","",IF(LEN(T507)&lt;&gt;14,"ERRO: "&amp;LEN(T507)&amp;" dígitos",IF(NOT(ISNUMBER(VALUE(T507))),"ERRO: não numérico",IF(LEN(SUBSTITUTE(T507,LEFT(T507,1),""))=0,"ERRO: dígitos repetidos",IF(AND(VALUE(MID(T507,13,1))=IF(MOD(SUMPRODUCT(--MID(T507,{1,2,3,4,5,6,7,8,9,10,11,12},1),{5,4,3,2,9,8,7,6,5,4,3,2}),11)&lt;2,0,11-MOD(SUMPRODUCT(--MID(T507,{1,2,3,4,5,6,7,8,9,10,11,12},1),{5,4,3,2,9,8,7,6,5,4,3,2}),11)),VALUE(MID(T507,14,1))=IF(MOD(SUMPRODUCT(--MID(T507,{1,2,3,4,5,6,7,8,9,10,11,12,13},1),{6,5,4,3,2,9,8,7,6,5,4,3,2}),11)&lt;2,0,11-MOD(SUMPRODUCT(--MID(T507,{1,2,3,4,5,6,7,8,9,10,11,12,13},1),{6,5,4,3,2,9,8,7,6,5,4,3,2}),11))),"OK","ERRO: dígito verificador")))))</f>
      </c>
      <c r="V507" s="6">
        <f>IF(T507="","",IF(COUNTIF($T$2:$T$1001,T507)&gt;1,"DUPLICADO","OK"))</f>
      </c>
      <c r="W507" s="6">
        <f>IF(M507="","vazio",IF(OR(AND(LEN(SUBSTITUTE(SUBSTITUTE(SUBSTITUTE(SUBSTITUTE(SUBSTITUTE(SUBSTITUTE(SUBSTITUTE(TRIM(M507),".",""),"/",""),"-","")," ",""),"(",""),")",""),"+",""))=10,LEFT(SUBSTITUTE(SUBSTITUTE(SUBSTITUTE(SUBSTITUTE(SUBSTITUTE(SUBSTITUTE(SUBSTITUTE(TRIM(M507),".",""),"/",""),"-","")," ",""),"(",""),")",""),"+",""),1)&lt;&gt;"0"),AND(LEN(SUBSTITUTE(SUBSTITUTE(SUBSTITUTE(SUBSTITUTE(SUBSTITUTE(SUBSTITUTE(SUBSTITUTE(TRIM(M507),".",""),"/",""),"-","")," ",""),"(",""),")",""),"+",""))=11,LEFT(SUBSTITUTE(SUBSTITUTE(SUBSTITUTE(SUBSTITUTE(SUBSTITUTE(SUBSTITUTE(SUBSTITUTE(TRIM(M507),".",""),"/",""),"-","")," ",""),"(",""),")",""),"+",""),4)="0800")),"OK",IF(AND(LEN(SUBSTITUTE(SUBSTITUTE(SUBSTITUTE(SUBSTITUTE(SUBSTITUTE(SUBSTITUTE(SUBSTITUTE(TRIM(M507),".",""),"/",""),"-","")," ",""),"(",""),")",""),"+",""))=11,MID(SUBSTITUTE(SUBSTITUTE(SUBSTITUTE(SUBSTITUTE(SUBSTITUTE(SUBSTITUTE(SUBSTITUTE(TRIM(M507),".",""),"/",""),"-","")," ",""),"(",""),")",""),"+",""),3,1)="9"),"ERRO: é celular, use a coluna Celular","ERRO: DDD + 8 dígitos ou 0800 + 7")))</f>
      </c>
      <c r="X507" s="6">
        <f>IF(N507="","vazio",IF(AND(LEN(SUBSTITUTE(SUBSTITUTE(SUBSTITUTE(SUBSTITUTE(SUBSTITUTE(SUBSTITUTE(SUBSTITUTE(TRIM(N507),".",""),"/",""),"-","")," ",""),"(",""),")",""),"+",""))=11,MID(SUBSTITUTE(SUBSTITUTE(SUBSTITUTE(SUBSTITUTE(SUBSTITUTE(SUBSTITUTE(SUBSTITUTE(TRIM(N507),".",""),"/",""),"-","")," ",""),"(",""),")",""),"+",""),3,1)="9",LEFT(SUBSTITUTE(SUBSTITUTE(SUBSTITUTE(SUBSTITUTE(SUBSTITUTE(SUBSTITUTE(SUBSTITUTE(TRIM(N507),".",""),"/",""),"-","")," ",""),"(",""),")",""),"+",""),1)&lt;&gt;"0"),"OK",IF(LEN(SUBSTITUTE(SUBSTITUTE(SUBSTITUTE(SUBSTITUTE(SUBSTITUTE(SUBSTITUTE(SUBSTITUTE(TRIM(N507),".",""),"/",""),"-","")," ",""),"(",""),")",""),"+",""))=10,"ERRO: é fixo (ou falta o 9), use a coluna Telefone fixo","ERRO: DDD + 9 + 8 dígitos")))</f>
      </c>
      <c r="Y507" s="6">
        <f>IF(O507="","vazio",IF(AND(ISNUMBER(FIND("@",O507)),ISNUMBER(FIND(".",MID(O507,FIND("@",O507),99))),NOT(ISNUMBER(FIND(" ",TRIM(O507)))),NOT(ISNUMBER(FIND(";",O507))),NOT(ISNUMBER(FIND(",",O507)))),"OK","ERRO: um e-mail válido por linha"))</f>
      </c>
      <c r="Z507" s="6">
        <f>IF(AND(J507="",K507=""),"",IF(AND(J507&lt;&gt;"",K507&lt;&gt;""),"OK","pendente: só um nome (o GR completa ao converter)"))</f>
      </c>
      <c r="AA507" s="6">
        <f>IF(COUNTA(A507:S507)=0,"",IF(AND(A507&lt;&gt;"",B507&lt;&gt;"",C507&lt;&gt;"",D507&lt;&gt;"",E507&lt;&gt;"",F507&lt;&gt;"",G507&lt;&gt;"",H507&lt;&gt;"",OR(J507&lt;&gt;"",K507&lt;&gt;""),OR(M507&lt;&gt;"",N507&lt;&gt;"",O507&lt;&gt;"")),"OK","ERRO: faltam "&amp;IF(A507="","SDR; ","")&amp;IF(B507="","Proprietário; ","")&amp;IF(C507="","Origem; ","")&amp;IF(D507="","Temperatura; ","")&amp;IF(E507="","Segmento; ","")&amp;IF(F507="","Time/Cluster; ","")&amp;IF(G507="","CNPJ; ","")&amp;IF(H507="","Razão Social; ","")&amp;IF(AND(J507="",K507=""),"nome do contato; ","")&amp;IF(AND(M507="",N507="",O507=""),"telefone, celular ou e-mail; ","")))</f>
      </c>
      <c r="AB507" s="6">
        <f>IF(COUNTA(A507:S507)=0,"",IF(AND(U507="OK",V507="OK",LEFT(W507,4)&lt;&gt;"ERRO",LEFT(X507,4)&lt;&gt;"ERRO",LEFT(Y507,4)&lt;&gt;"ERRO",AA507="OK"),"OK","REVISAR"))</f>
      </c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5"/>
      <c r="K508" s="4"/>
      <c r="L508" s="4"/>
      <c r="M508" s="4"/>
      <c r="N508" s="4"/>
      <c r="O508" s="4"/>
      <c r="P508" s="4"/>
      <c r="Q508" s="4"/>
      <c r="R508" s="4"/>
      <c r="S508" s="4"/>
      <c r="T508" s="6">
        <f>IF(G508="","",SUBSTITUTE(SUBSTITUTE(SUBSTITUTE(SUBSTITUTE(SUBSTITUTE(SUBSTITUTE(SUBSTITUTE(TRIM(G508),".",""),"/",""),"-","")," ",""),"(",""),")",""),"+",""))</f>
      </c>
      <c r="U508" s="6">
        <f>IF(T508="","",IF(LEN(T508)&lt;&gt;14,"ERRO: "&amp;LEN(T508)&amp;" dígitos",IF(NOT(ISNUMBER(VALUE(T508))),"ERRO: não numérico",IF(LEN(SUBSTITUTE(T508,LEFT(T508,1),""))=0,"ERRO: dígitos repetidos",IF(AND(VALUE(MID(T508,13,1))=IF(MOD(SUMPRODUCT(--MID(T508,{1,2,3,4,5,6,7,8,9,10,11,12},1),{5,4,3,2,9,8,7,6,5,4,3,2}),11)&lt;2,0,11-MOD(SUMPRODUCT(--MID(T508,{1,2,3,4,5,6,7,8,9,10,11,12},1),{5,4,3,2,9,8,7,6,5,4,3,2}),11)),VALUE(MID(T508,14,1))=IF(MOD(SUMPRODUCT(--MID(T508,{1,2,3,4,5,6,7,8,9,10,11,12,13},1),{6,5,4,3,2,9,8,7,6,5,4,3,2}),11)&lt;2,0,11-MOD(SUMPRODUCT(--MID(T508,{1,2,3,4,5,6,7,8,9,10,11,12,13},1),{6,5,4,3,2,9,8,7,6,5,4,3,2}),11))),"OK","ERRO: dígito verificador")))))</f>
      </c>
      <c r="V508" s="6">
        <f>IF(T508="","",IF(COUNTIF($T$2:$T$1001,T508)&gt;1,"DUPLICADO","OK"))</f>
      </c>
      <c r="W508" s="6">
        <f>IF(M508="","vazio",IF(OR(AND(LEN(SUBSTITUTE(SUBSTITUTE(SUBSTITUTE(SUBSTITUTE(SUBSTITUTE(SUBSTITUTE(SUBSTITUTE(TRIM(M508),".",""),"/",""),"-","")," ",""),"(",""),")",""),"+",""))=10,LEFT(SUBSTITUTE(SUBSTITUTE(SUBSTITUTE(SUBSTITUTE(SUBSTITUTE(SUBSTITUTE(SUBSTITUTE(TRIM(M508),".",""),"/",""),"-","")," ",""),"(",""),")",""),"+",""),1)&lt;&gt;"0"),AND(LEN(SUBSTITUTE(SUBSTITUTE(SUBSTITUTE(SUBSTITUTE(SUBSTITUTE(SUBSTITUTE(SUBSTITUTE(TRIM(M508),".",""),"/",""),"-","")," ",""),"(",""),")",""),"+",""))=11,LEFT(SUBSTITUTE(SUBSTITUTE(SUBSTITUTE(SUBSTITUTE(SUBSTITUTE(SUBSTITUTE(SUBSTITUTE(TRIM(M508),".",""),"/",""),"-","")," ",""),"(",""),")",""),"+",""),4)="0800")),"OK",IF(AND(LEN(SUBSTITUTE(SUBSTITUTE(SUBSTITUTE(SUBSTITUTE(SUBSTITUTE(SUBSTITUTE(SUBSTITUTE(TRIM(M508),".",""),"/",""),"-","")," ",""),"(",""),")",""),"+",""))=11,MID(SUBSTITUTE(SUBSTITUTE(SUBSTITUTE(SUBSTITUTE(SUBSTITUTE(SUBSTITUTE(SUBSTITUTE(TRIM(M508),".",""),"/",""),"-","")," ",""),"(",""),")",""),"+",""),3,1)="9"),"ERRO: é celular, use a coluna Celular","ERRO: DDD + 8 dígitos ou 0800 + 7")))</f>
      </c>
      <c r="X508" s="6">
        <f>IF(N508="","vazio",IF(AND(LEN(SUBSTITUTE(SUBSTITUTE(SUBSTITUTE(SUBSTITUTE(SUBSTITUTE(SUBSTITUTE(SUBSTITUTE(TRIM(N508),".",""),"/",""),"-","")," ",""),"(",""),")",""),"+",""))=11,MID(SUBSTITUTE(SUBSTITUTE(SUBSTITUTE(SUBSTITUTE(SUBSTITUTE(SUBSTITUTE(SUBSTITUTE(TRIM(N508),".",""),"/",""),"-","")," ",""),"(",""),")",""),"+",""),3,1)="9",LEFT(SUBSTITUTE(SUBSTITUTE(SUBSTITUTE(SUBSTITUTE(SUBSTITUTE(SUBSTITUTE(SUBSTITUTE(TRIM(N508),".",""),"/",""),"-","")," ",""),"(",""),")",""),"+",""),1)&lt;&gt;"0"),"OK",IF(LEN(SUBSTITUTE(SUBSTITUTE(SUBSTITUTE(SUBSTITUTE(SUBSTITUTE(SUBSTITUTE(SUBSTITUTE(TRIM(N508),".",""),"/",""),"-","")," ",""),"(",""),")",""),"+",""))=10,"ERRO: é fixo (ou falta o 9), use a coluna Telefone fixo","ERRO: DDD + 9 + 8 dígitos")))</f>
      </c>
      <c r="Y508" s="6">
        <f>IF(O508="","vazio",IF(AND(ISNUMBER(FIND("@",O508)),ISNUMBER(FIND(".",MID(O508,FIND("@",O508),99))),NOT(ISNUMBER(FIND(" ",TRIM(O508)))),NOT(ISNUMBER(FIND(";",O508))),NOT(ISNUMBER(FIND(",",O508)))),"OK","ERRO: um e-mail válido por linha"))</f>
      </c>
      <c r="Z508" s="6">
        <f>IF(AND(J508="",K508=""),"",IF(AND(J508&lt;&gt;"",K508&lt;&gt;""),"OK","pendente: só um nome (o GR completa ao converter)"))</f>
      </c>
      <c r="AA508" s="6">
        <f>IF(COUNTA(A508:S508)=0,"",IF(AND(A508&lt;&gt;"",B508&lt;&gt;"",C508&lt;&gt;"",D508&lt;&gt;"",E508&lt;&gt;"",F508&lt;&gt;"",G508&lt;&gt;"",H508&lt;&gt;"",OR(J508&lt;&gt;"",K508&lt;&gt;""),OR(M508&lt;&gt;"",N508&lt;&gt;"",O508&lt;&gt;"")),"OK","ERRO: faltam "&amp;IF(A508="","SDR; ","")&amp;IF(B508="","Proprietário; ","")&amp;IF(C508="","Origem; ","")&amp;IF(D508="","Temperatura; ","")&amp;IF(E508="","Segmento; ","")&amp;IF(F508="","Time/Cluster; ","")&amp;IF(G508="","CNPJ; ","")&amp;IF(H508="","Razão Social; ","")&amp;IF(AND(J508="",K508=""),"nome do contato; ","")&amp;IF(AND(M508="",N508="",O508=""),"telefone, celular ou e-mail; ","")))</f>
      </c>
      <c r="AB508" s="6">
        <f>IF(COUNTA(A508:S508)=0,"",IF(AND(U508="OK",V508="OK",LEFT(W508,4)&lt;&gt;"ERRO",LEFT(X508,4)&lt;&gt;"ERRO",LEFT(Y508,4)&lt;&gt;"ERRO",AA508="OK"),"OK","REVISAR"))</f>
      </c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5"/>
      <c r="K509" s="4"/>
      <c r="L509" s="4"/>
      <c r="M509" s="4"/>
      <c r="N509" s="4"/>
      <c r="O509" s="4"/>
      <c r="P509" s="4"/>
      <c r="Q509" s="4"/>
      <c r="R509" s="4"/>
      <c r="S509" s="4"/>
      <c r="T509" s="6">
        <f>IF(G509="","",SUBSTITUTE(SUBSTITUTE(SUBSTITUTE(SUBSTITUTE(SUBSTITUTE(SUBSTITUTE(SUBSTITUTE(TRIM(G509),".",""),"/",""),"-","")," ",""),"(",""),")",""),"+",""))</f>
      </c>
      <c r="U509" s="6">
        <f>IF(T509="","",IF(LEN(T509)&lt;&gt;14,"ERRO: "&amp;LEN(T509)&amp;" dígitos",IF(NOT(ISNUMBER(VALUE(T509))),"ERRO: não numérico",IF(LEN(SUBSTITUTE(T509,LEFT(T509,1),""))=0,"ERRO: dígitos repetidos",IF(AND(VALUE(MID(T509,13,1))=IF(MOD(SUMPRODUCT(--MID(T509,{1,2,3,4,5,6,7,8,9,10,11,12},1),{5,4,3,2,9,8,7,6,5,4,3,2}),11)&lt;2,0,11-MOD(SUMPRODUCT(--MID(T509,{1,2,3,4,5,6,7,8,9,10,11,12},1),{5,4,3,2,9,8,7,6,5,4,3,2}),11)),VALUE(MID(T509,14,1))=IF(MOD(SUMPRODUCT(--MID(T509,{1,2,3,4,5,6,7,8,9,10,11,12,13},1),{6,5,4,3,2,9,8,7,6,5,4,3,2}),11)&lt;2,0,11-MOD(SUMPRODUCT(--MID(T509,{1,2,3,4,5,6,7,8,9,10,11,12,13},1),{6,5,4,3,2,9,8,7,6,5,4,3,2}),11))),"OK","ERRO: dígito verificador")))))</f>
      </c>
      <c r="V509" s="6">
        <f>IF(T509="","",IF(COUNTIF($T$2:$T$1001,T509)&gt;1,"DUPLICADO","OK"))</f>
      </c>
      <c r="W509" s="6">
        <f>IF(M509="","vazio",IF(OR(AND(LEN(SUBSTITUTE(SUBSTITUTE(SUBSTITUTE(SUBSTITUTE(SUBSTITUTE(SUBSTITUTE(SUBSTITUTE(TRIM(M509),".",""),"/",""),"-","")," ",""),"(",""),")",""),"+",""))=10,LEFT(SUBSTITUTE(SUBSTITUTE(SUBSTITUTE(SUBSTITUTE(SUBSTITUTE(SUBSTITUTE(SUBSTITUTE(TRIM(M509),".",""),"/",""),"-","")," ",""),"(",""),")",""),"+",""),1)&lt;&gt;"0"),AND(LEN(SUBSTITUTE(SUBSTITUTE(SUBSTITUTE(SUBSTITUTE(SUBSTITUTE(SUBSTITUTE(SUBSTITUTE(TRIM(M509),".",""),"/",""),"-","")," ",""),"(",""),")",""),"+",""))=11,LEFT(SUBSTITUTE(SUBSTITUTE(SUBSTITUTE(SUBSTITUTE(SUBSTITUTE(SUBSTITUTE(SUBSTITUTE(TRIM(M509),".",""),"/",""),"-","")," ",""),"(",""),")",""),"+",""),4)="0800")),"OK",IF(AND(LEN(SUBSTITUTE(SUBSTITUTE(SUBSTITUTE(SUBSTITUTE(SUBSTITUTE(SUBSTITUTE(SUBSTITUTE(TRIM(M509),".",""),"/",""),"-","")," ",""),"(",""),")",""),"+",""))=11,MID(SUBSTITUTE(SUBSTITUTE(SUBSTITUTE(SUBSTITUTE(SUBSTITUTE(SUBSTITUTE(SUBSTITUTE(TRIM(M509),".",""),"/",""),"-","")," ",""),"(",""),")",""),"+",""),3,1)="9"),"ERRO: é celular, use a coluna Celular","ERRO: DDD + 8 dígitos ou 0800 + 7")))</f>
      </c>
      <c r="X509" s="6">
        <f>IF(N509="","vazio",IF(AND(LEN(SUBSTITUTE(SUBSTITUTE(SUBSTITUTE(SUBSTITUTE(SUBSTITUTE(SUBSTITUTE(SUBSTITUTE(TRIM(N509),".",""),"/",""),"-","")," ",""),"(",""),")",""),"+",""))=11,MID(SUBSTITUTE(SUBSTITUTE(SUBSTITUTE(SUBSTITUTE(SUBSTITUTE(SUBSTITUTE(SUBSTITUTE(TRIM(N509),".",""),"/",""),"-","")," ",""),"(",""),")",""),"+",""),3,1)="9",LEFT(SUBSTITUTE(SUBSTITUTE(SUBSTITUTE(SUBSTITUTE(SUBSTITUTE(SUBSTITUTE(SUBSTITUTE(TRIM(N509),".",""),"/",""),"-","")," ",""),"(",""),")",""),"+",""),1)&lt;&gt;"0"),"OK",IF(LEN(SUBSTITUTE(SUBSTITUTE(SUBSTITUTE(SUBSTITUTE(SUBSTITUTE(SUBSTITUTE(SUBSTITUTE(TRIM(N509),".",""),"/",""),"-","")," ",""),"(",""),")",""),"+",""))=10,"ERRO: é fixo (ou falta o 9), use a coluna Telefone fixo","ERRO: DDD + 9 + 8 dígitos")))</f>
      </c>
      <c r="Y509" s="6">
        <f>IF(O509="","vazio",IF(AND(ISNUMBER(FIND("@",O509)),ISNUMBER(FIND(".",MID(O509,FIND("@",O509),99))),NOT(ISNUMBER(FIND(" ",TRIM(O509)))),NOT(ISNUMBER(FIND(";",O509))),NOT(ISNUMBER(FIND(",",O509)))),"OK","ERRO: um e-mail válido por linha"))</f>
      </c>
      <c r="Z509" s="6">
        <f>IF(AND(J509="",K509=""),"",IF(AND(J509&lt;&gt;"",K509&lt;&gt;""),"OK","pendente: só um nome (o GR completa ao converter)"))</f>
      </c>
      <c r="AA509" s="6">
        <f>IF(COUNTA(A509:S509)=0,"",IF(AND(A509&lt;&gt;"",B509&lt;&gt;"",C509&lt;&gt;"",D509&lt;&gt;"",E509&lt;&gt;"",F509&lt;&gt;"",G509&lt;&gt;"",H509&lt;&gt;"",OR(J509&lt;&gt;"",K509&lt;&gt;""),OR(M509&lt;&gt;"",N509&lt;&gt;"",O509&lt;&gt;"")),"OK","ERRO: faltam "&amp;IF(A509="","SDR; ","")&amp;IF(B509="","Proprietário; ","")&amp;IF(C509="","Origem; ","")&amp;IF(D509="","Temperatura; ","")&amp;IF(E509="","Segmento; ","")&amp;IF(F509="","Time/Cluster; ","")&amp;IF(G509="","CNPJ; ","")&amp;IF(H509="","Razão Social; ","")&amp;IF(AND(J509="",K509=""),"nome do contato; ","")&amp;IF(AND(M509="",N509="",O509=""),"telefone, celular ou e-mail; ","")))</f>
      </c>
      <c r="AB509" s="6">
        <f>IF(COUNTA(A509:S509)=0,"",IF(AND(U509="OK",V509="OK",LEFT(W509,4)&lt;&gt;"ERRO",LEFT(X509,4)&lt;&gt;"ERRO",LEFT(Y509,4)&lt;&gt;"ERRO",AA509="OK"),"OK","REVISAR"))</f>
      </c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5"/>
      <c r="K510" s="4"/>
      <c r="L510" s="4"/>
      <c r="M510" s="4"/>
      <c r="N510" s="4"/>
      <c r="O510" s="4"/>
      <c r="P510" s="4"/>
      <c r="Q510" s="4"/>
      <c r="R510" s="4"/>
      <c r="S510" s="4"/>
      <c r="T510" s="6">
        <f>IF(G510="","",SUBSTITUTE(SUBSTITUTE(SUBSTITUTE(SUBSTITUTE(SUBSTITUTE(SUBSTITUTE(SUBSTITUTE(TRIM(G510),".",""),"/",""),"-","")," ",""),"(",""),")",""),"+",""))</f>
      </c>
      <c r="U510" s="6">
        <f>IF(T510="","",IF(LEN(T510)&lt;&gt;14,"ERRO: "&amp;LEN(T510)&amp;" dígitos",IF(NOT(ISNUMBER(VALUE(T510))),"ERRO: não numérico",IF(LEN(SUBSTITUTE(T510,LEFT(T510,1),""))=0,"ERRO: dígitos repetidos",IF(AND(VALUE(MID(T510,13,1))=IF(MOD(SUMPRODUCT(--MID(T510,{1,2,3,4,5,6,7,8,9,10,11,12},1),{5,4,3,2,9,8,7,6,5,4,3,2}),11)&lt;2,0,11-MOD(SUMPRODUCT(--MID(T510,{1,2,3,4,5,6,7,8,9,10,11,12},1),{5,4,3,2,9,8,7,6,5,4,3,2}),11)),VALUE(MID(T510,14,1))=IF(MOD(SUMPRODUCT(--MID(T510,{1,2,3,4,5,6,7,8,9,10,11,12,13},1),{6,5,4,3,2,9,8,7,6,5,4,3,2}),11)&lt;2,0,11-MOD(SUMPRODUCT(--MID(T510,{1,2,3,4,5,6,7,8,9,10,11,12,13},1),{6,5,4,3,2,9,8,7,6,5,4,3,2}),11))),"OK","ERRO: dígito verificador")))))</f>
      </c>
      <c r="V510" s="6">
        <f>IF(T510="","",IF(COUNTIF($T$2:$T$1001,T510)&gt;1,"DUPLICADO","OK"))</f>
      </c>
      <c r="W510" s="6">
        <f>IF(M510="","vazio",IF(OR(AND(LEN(SUBSTITUTE(SUBSTITUTE(SUBSTITUTE(SUBSTITUTE(SUBSTITUTE(SUBSTITUTE(SUBSTITUTE(TRIM(M510),".",""),"/",""),"-","")," ",""),"(",""),")",""),"+",""))=10,LEFT(SUBSTITUTE(SUBSTITUTE(SUBSTITUTE(SUBSTITUTE(SUBSTITUTE(SUBSTITUTE(SUBSTITUTE(TRIM(M510),".",""),"/",""),"-","")," ",""),"(",""),")",""),"+",""),1)&lt;&gt;"0"),AND(LEN(SUBSTITUTE(SUBSTITUTE(SUBSTITUTE(SUBSTITUTE(SUBSTITUTE(SUBSTITUTE(SUBSTITUTE(TRIM(M510),".",""),"/",""),"-","")," ",""),"(",""),")",""),"+",""))=11,LEFT(SUBSTITUTE(SUBSTITUTE(SUBSTITUTE(SUBSTITUTE(SUBSTITUTE(SUBSTITUTE(SUBSTITUTE(TRIM(M510),".",""),"/",""),"-","")," ",""),"(",""),")",""),"+",""),4)="0800")),"OK",IF(AND(LEN(SUBSTITUTE(SUBSTITUTE(SUBSTITUTE(SUBSTITUTE(SUBSTITUTE(SUBSTITUTE(SUBSTITUTE(TRIM(M510),".",""),"/",""),"-","")," ",""),"(",""),")",""),"+",""))=11,MID(SUBSTITUTE(SUBSTITUTE(SUBSTITUTE(SUBSTITUTE(SUBSTITUTE(SUBSTITUTE(SUBSTITUTE(TRIM(M510),".",""),"/",""),"-","")," ",""),"(",""),")",""),"+",""),3,1)="9"),"ERRO: é celular, use a coluna Celular","ERRO: DDD + 8 dígitos ou 0800 + 7")))</f>
      </c>
      <c r="X510" s="6">
        <f>IF(N510="","vazio",IF(AND(LEN(SUBSTITUTE(SUBSTITUTE(SUBSTITUTE(SUBSTITUTE(SUBSTITUTE(SUBSTITUTE(SUBSTITUTE(TRIM(N510),".",""),"/",""),"-","")," ",""),"(",""),")",""),"+",""))=11,MID(SUBSTITUTE(SUBSTITUTE(SUBSTITUTE(SUBSTITUTE(SUBSTITUTE(SUBSTITUTE(SUBSTITUTE(TRIM(N510),".",""),"/",""),"-","")," ",""),"(",""),")",""),"+",""),3,1)="9",LEFT(SUBSTITUTE(SUBSTITUTE(SUBSTITUTE(SUBSTITUTE(SUBSTITUTE(SUBSTITUTE(SUBSTITUTE(TRIM(N510),".",""),"/",""),"-","")," ",""),"(",""),")",""),"+",""),1)&lt;&gt;"0"),"OK",IF(LEN(SUBSTITUTE(SUBSTITUTE(SUBSTITUTE(SUBSTITUTE(SUBSTITUTE(SUBSTITUTE(SUBSTITUTE(TRIM(N510),".",""),"/",""),"-","")," ",""),"(",""),")",""),"+",""))=10,"ERRO: é fixo (ou falta o 9), use a coluna Telefone fixo","ERRO: DDD + 9 + 8 dígitos")))</f>
      </c>
      <c r="Y510" s="6">
        <f>IF(O510="","vazio",IF(AND(ISNUMBER(FIND("@",O510)),ISNUMBER(FIND(".",MID(O510,FIND("@",O510),99))),NOT(ISNUMBER(FIND(" ",TRIM(O510)))),NOT(ISNUMBER(FIND(";",O510))),NOT(ISNUMBER(FIND(",",O510)))),"OK","ERRO: um e-mail válido por linha"))</f>
      </c>
      <c r="Z510" s="6">
        <f>IF(AND(J510="",K510=""),"",IF(AND(J510&lt;&gt;"",K510&lt;&gt;""),"OK","pendente: só um nome (o GR completa ao converter)"))</f>
      </c>
      <c r="AA510" s="6">
        <f>IF(COUNTA(A510:S510)=0,"",IF(AND(A510&lt;&gt;"",B510&lt;&gt;"",C510&lt;&gt;"",D510&lt;&gt;"",E510&lt;&gt;"",F510&lt;&gt;"",G510&lt;&gt;"",H510&lt;&gt;"",OR(J510&lt;&gt;"",K510&lt;&gt;""),OR(M510&lt;&gt;"",N510&lt;&gt;"",O510&lt;&gt;"")),"OK","ERRO: faltam "&amp;IF(A510="","SDR; ","")&amp;IF(B510="","Proprietário; ","")&amp;IF(C510="","Origem; ","")&amp;IF(D510="","Temperatura; ","")&amp;IF(E510="","Segmento; ","")&amp;IF(F510="","Time/Cluster; ","")&amp;IF(G510="","CNPJ; ","")&amp;IF(H510="","Razão Social; ","")&amp;IF(AND(J510="",K510=""),"nome do contato; ","")&amp;IF(AND(M510="",N510="",O510=""),"telefone, celular ou e-mail; ","")))</f>
      </c>
      <c r="AB510" s="6">
        <f>IF(COUNTA(A510:S510)=0,"",IF(AND(U510="OK",V510="OK",LEFT(W510,4)&lt;&gt;"ERRO",LEFT(X510,4)&lt;&gt;"ERRO",LEFT(Y510,4)&lt;&gt;"ERRO",AA510="OK"),"OK","REVISAR"))</f>
      </c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5"/>
      <c r="K511" s="4"/>
      <c r="L511" s="4"/>
      <c r="M511" s="4"/>
      <c r="N511" s="4"/>
      <c r="O511" s="4"/>
      <c r="P511" s="4"/>
      <c r="Q511" s="4"/>
      <c r="R511" s="4"/>
      <c r="S511" s="4"/>
      <c r="T511" s="6">
        <f>IF(G511="","",SUBSTITUTE(SUBSTITUTE(SUBSTITUTE(SUBSTITUTE(SUBSTITUTE(SUBSTITUTE(SUBSTITUTE(TRIM(G511),".",""),"/",""),"-","")," ",""),"(",""),")",""),"+",""))</f>
      </c>
      <c r="U511" s="6">
        <f>IF(T511="","",IF(LEN(T511)&lt;&gt;14,"ERRO: "&amp;LEN(T511)&amp;" dígitos",IF(NOT(ISNUMBER(VALUE(T511))),"ERRO: não numérico",IF(LEN(SUBSTITUTE(T511,LEFT(T511,1),""))=0,"ERRO: dígitos repetidos",IF(AND(VALUE(MID(T511,13,1))=IF(MOD(SUMPRODUCT(--MID(T511,{1,2,3,4,5,6,7,8,9,10,11,12},1),{5,4,3,2,9,8,7,6,5,4,3,2}),11)&lt;2,0,11-MOD(SUMPRODUCT(--MID(T511,{1,2,3,4,5,6,7,8,9,10,11,12},1),{5,4,3,2,9,8,7,6,5,4,3,2}),11)),VALUE(MID(T511,14,1))=IF(MOD(SUMPRODUCT(--MID(T511,{1,2,3,4,5,6,7,8,9,10,11,12,13},1),{6,5,4,3,2,9,8,7,6,5,4,3,2}),11)&lt;2,0,11-MOD(SUMPRODUCT(--MID(T511,{1,2,3,4,5,6,7,8,9,10,11,12,13},1),{6,5,4,3,2,9,8,7,6,5,4,3,2}),11))),"OK","ERRO: dígito verificador")))))</f>
      </c>
      <c r="V511" s="6">
        <f>IF(T511="","",IF(COUNTIF($T$2:$T$1001,T511)&gt;1,"DUPLICADO","OK"))</f>
      </c>
      <c r="W511" s="6">
        <f>IF(M511="","vazio",IF(OR(AND(LEN(SUBSTITUTE(SUBSTITUTE(SUBSTITUTE(SUBSTITUTE(SUBSTITUTE(SUBSTITUTE(SUBSTITUTE(TRIM(M511),".",""),"/",""),"-","")," ",""),"(",""),")",""),"+",""))=10,LEFT(SUBSTITUTE(SUBSTITUTE(SUBSTITUTE(SUBSTITUTE(SUBSTITUTE(SUBSTITUTE(SUBSTITUTE(TRIM(M511),".",""),"/",""),"-","")," ",""),"(",""),")",""),"+",""),1)&lt;&gt;"0"),AND(LEN(SUBSTITUTE(SUBSTITUTE(SUBSTITUTE(SUBSTITUTE(SUBSTITUTE(SUBSTITUTE(SUBSTITUTE(TRIM(M511),".",""),"/",""),"-","")," ",""),"(",""),")",""),"+",""))=11,LEFT(SUBSTITUTE(SUBSTITUTE(SUBSTITUTE(SUBSTITUTE(SUBSTITUTE(SUBSTITUTE(SUBSTITUTE(TRIM(M511),".",""),"/",""),"-","")," ",""),"(",""),")",""),"+",""),4)="0800")),"OK",IF(AND(LEN(SUBSTITUTE(SUBSTITUTE(SUBSTITUTE(SUBSTITUTE(SUBSTITUTE(SUBSTITUTE(SUBSTITUTE(TRIM(M511),".",""),"/",""),"-","")," ",""),"(",""),")",""),"+",""))=11,MID(SUBSTITUTE(SUBSTITUTE(SUBSTITUTE(SUBSTITUTE(SUBSTITUTE(SUBSTITUTE(SUBSTITUTE(TRIM(M511),".",""),"/",""),"-","")," ",""),"(",""),")",""),"+",""),3,1)="9"),"ERRO: é celular, use a coluna Celular","ERRO: DDD + 8 dígitos ou 0800 + 7")))</f>
      </c>
      <c r="X511" s="6">
        <f>IF(N511="","vazio",IF(AND(LEN(SUBSTITUTE(SUBSTITUTE(SUBSTITUTE(SUBSTITUTE(SUBSTITUTE(SUBSTITUTE(SUBSTITUTE(TRIM(N511),".",""),"/",""),"-","")," ",""),"(",""),")",""),"+",""))=11,MID(SUBSTITUTE(SUBSTITUTE(SUBSTITUTE(SUBSTITUTE(SUBSTITUTE(SUBSTITUTE(SUBSTITUTE(TRIM(N511),".",""),"/",""),"-","")," ",""),"(",""),")",""),"+",""),3,1)="9",LEFT(SUBSTITUTE(SUBSTITUTE(SUBSTITUTE(SUBSTITUTE(SUBSTITUTE(SUBSTITUTE(SUBSTITUTE(TRIM(N511),".",""),"/",""),"-","")," ",""),"(",""),")",""),"+",""),1)&lt;&gt;"0"),"OK",IF(LEN(SUBSTITUTE(SUBSTITUTE(SUBSTITUTE(SUBSTITUTE(SUBSTITUTE(SUBSTITUTE(SUBSTITUTE(TRIM(N511),".",""),"/",""),"-","")," ",""),"(",""),")",""),"+",""))=10,"ERRO: é fixo (ou falta o 9), use a coluna Telefone fixo","ERRO: DDD + 9 + 8 dígitos")))</f>
      </c>
      <c r="Y511" s="6">
        <f>IF(O511="","vazio",IF(AND(ISNUMBER(FIND("@",O511)),ISNUMBER(FIND(".",MID(O511,FIND("@",O511),99))),NOT(ISNUMBER(FIND(" ",TRIM(O511)))),NOT(ISNUMBER(FIND(";",O511))),NOT(ISNUMBER(FIND(",",O511)))),"OK","ERRO: um e-mail válido por linha"))</f>
      </c>
      <c r="Z511" s="6">
        <f>IF(AND(J511="",K511=""),"",IF(AND(J511&lt;&gt;"",K511&lt;&gt;""),"OK","pendente: só um nome (o GR completa ao converter)"))</f>
      </c>
      <c r="AA511" s="6">
        <f>IF(COUNTA(A511:S511)=0,"",IF(AND(A511&lt;&gt;"",B511&lt;&gt;"",C511&lt;&gt;"",D511&lt;&gt;"",E511&lt;&gt;"",F511&lt;&gt;"",G511&lt;&gt;"",H511&lt;&gt;"",OR(J511&lt;&gt;"",K511&lt;&gt;""),OR(M511&lt;&gt;"",N511&lt;&gt;"",O511&lt;&gt;"")),"OK","ERRO: faltam "&amp;IF(A511="","SDR; ","")&amp;IF(B511="","Proprietário; ","")&amp;IF(C511="","Origem; ","")&amp;IF(D511="","Temperatura; ","")&amp;IF(E511="","Segmento; ","")&amp;IF(F511="","Time/Cluster; ","")&amp;IF(G511="","CNPJ; ","")&amp;IF(H511="","Razão Social; ","")&amp;IF(AND(J511="",K511=""),"nome do contato; ","")&amp;IF(AND(M511="",N511="",O511=""),"telefone, celular ou e-mail; ","")))</f>
      </c>
      <c r="AB511" s="6">
        <f>IF(COUNTA(A511:S511)=0,"",IF(AND(U511="OK",V511="OK",LEFT(W511,4)&lt;&gt;"ERRO",LEFT(X511,4)&lt;&gt;"ERRO",LEFT(Y511,4)&lt;&gt;"ERRO",AA511="OK"),"OK","REVISAR"))</f>
      </c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5"/>
      <c r="K512" s="4"/>
      <c r="L512" s="4"/>
      <c r="M512" s="4"/>
      <c r="N512" s="4"/>
      <c r="O512" s="4"/>
      <c r="P512" s="4"/>
      <c r="Q512" s="4"/>
      <c r="R512" s="4"/>
      <c r="S512" s="4"/>
      <c r="T512" s="6">
        <f>IF(G512="","",SUBSTITUTE(SUBSTITUTE(SUBSTITUTE(SUBSTITUTE(SUBSTITUTE(SUBSTITUTE(SUBSTITUTE(TRIM(G512),".",""),"/",""),"-","")," ",""),"(",""),")",""),"+",""))</f>
      </c>
      <c r="U512" s="6">
        <f>IF(T512="","",IF(LEN(T512)&lt;&gt;14,"ERRO: "&amp;LEN(T512)&amp;" dígitos",IF(NOT(ISNUMBER(VALUE(T512))),"ERRO: não numérico",IF(LEN(SUBSTITUTE(T512,LEFT(T512,1),""))=0,"ERRO: dígitos repetidos",IF(AND(VALUE(MID(T512,13,1))=IF(MOD(SUMPRODUCT(--MID(T512,{1,2,3,4,5,6,7,8,9,10,11,12},1),{5,4,3,2,9,8,7,6,5,4,3,2}),11)&lt;2,0,11-MOD(SUMPRODUCT(--MID(T512,{1,2,3,4,5,6,7,8,9,10,11,12},1),{5,4,3,2,9,8,7,6,5,4,3,2}),11)),VALUE(MID(T512,14,1))=IF(MOD(SUMPRODUCT(--MID(T512,{1,2,3,4,5,6,7,8,9,10,11,12,13},1),{6,5,4,3,2,9,8,7,6,5,4,3,2}),11)&lt;2,0,11-MOD(SUMPRODUCT(--MID(T512,{1,2,3,4,5,6,7,8,9,10,11,12,13},1),{6,5,4,3,2,9,8,7,6,5,4,3,2}),11))),"OK","ERRO: dígito verificador")))))</f>
      </c>
      <c r="V512" s="6">
        <f>IF(T512="","",IF(COUNTIF($T$2:$T$1001,T512)&gt;1,"DUPLICADO","OK"))</f>
      </c>
      <c r="W512" s="6">
        <f>IF(M512="","vazio",IF(OR(AND(LEN(SUBSTITUTE(SUBSTITUTE(SUBSTITUTE(SUBSTITUTE(SUBSTITUTE(SUBSTITUTE(SUBSTITUTE(TRIM(M512),".",""),"/",""),"-","")," ",""),"(",""),")",""),"+",""))=10,LEFT(SUBSTITUTE(SUBSTITUTE(SUBSTITUTE(SUBSTITUTE(SUBSTITUTE(SUBSTITUTE(SUBSTITUTE(TRIM(M512),".",""),"/",""),"-","")," ",""),"(",""),")",""),"+",""),1)&lt;&gt;"0"),AND(LEN(SUBSTITUTE(SUBSTITUTE(SUBSTITUTE(SUBSTITUTE(SUBSTITUTE(SUBSTITUTE(SUBSTITUTE(TRIM(M512),".",""),"/",""),"-","")," ",""),"(",""),")",""),"+",""))=11,LEFT(SUBSTITUTE(SUBSTITUTE(SUBSTITUTE(SUBSTITUTE(SUBSTITUTE(SUBSTITUTE(SUBSTITUTE(TRIM(M512),".",""),"/",""),"-","")," ",""),"(",""),")",""),"+",""),4)="0800")),"OK",IF(AND(LEN(SUBSTITUTE(SUBSTITUTE(SUBSTITUTE(SUBSTITUTE(SUBSTITUTE(SUBSTITUTE(SUBSTITUTE(TRIM(M512),".",""),"/",""),"-","")," ",""),"(",""),")",""),"+",""))=11,MID(SUBSTITUTE(SUBSTITUTE(SUBSTITUTE(SUBSTITUTE(SUBSTITUTE(SUBSTITUTE(SUBSTITUTE(TRIM(M512),".",""),"/",""),"-","")," ",""),"(",""),")",""),"+",""),3,1)="9"),"ERRO: é celular, use a coluna Celular","ERRO: DDD + 8 dígitos ou 0800 + 7")))</f>
      </c>
      <c r="X512" s="6">
        <f>IF(N512="","vazio",IF(AND(LEN(SUBSTITUTE(SUBSTITUTE(SUBSTITUTE(SUBSTITUTE(SUBSTITUTE(SUBSTITUTE(SUBSTITUTE(TRIM(N512),".",""),"/",""),"-","")," ",""),"(",""),")",""),"+",""))=11,MID(SUBSTITUTE(SUBSTITUTE(SUBSTITUTE(SUBSTITUTE(SUBSTITUTE(SUBSTITUTE(SUBSTITUTE(TRIM(N512),".",""),"/",""),"-","")," ",""),"(",""),")",""),"+",""),3,1)="9",LEFT(SUBSTITUTE(SUBSTITUTE(SUBSTITUTE(SUBSTITUTE(SUBSTITUTE(SUBSTITUTE(SUBSTITUTE(TRIM(N512),".",""),"/",""),"-","")," ",""),"(",""),")",""),"+",""),1)&lt;&gt;"0"),"OK",IF(LEN(SUBSTITUTE(SUBSTITUTE(SUBSTITUTE(SUBSTITUTE(SUBSTITUTE(SUBSTITUTE(SUBSTITUTE(TRIM(N512),".",""),"/",""),"-","")," ",""),"(",""),")",""),"+",""))=10,"ERRO: é fixo (ou falta o 9), use a coluna Telefone fixo","ERRO: DDD + 9 + 8 dígitos")))</f>
      </c>
      <c r="Y512" s="6">
        <f>IF(O512="","vazio",IF(AND(ISNUMBER(FIND("@",O512)),ISNUMBER(FIND(".",MID(O512,FIND("@",O512),99))),NOT(ISNUMBER(FIND(" ",TRIM(O512)))),NOT(ISNUMBER(FIND(";",O512))),NOT(ISNUMBER(FIND(",",O512)))),"OK","ERRO: um e-mail válido por linha"))</f>
      </c>
      <c r="Z512" s="6">
        <f>IF(AND(J512="",K512=""),"",IF(AND(J512&lt;&gt;"",K512&lt;&gt;""),"OK","pendente: só um nome (o GR completa ao converter)"))</f>
      </c>
      <c r="AA512" s="6">
        <f>IF(COUNTA(A512:S512)=0,"",IF(AND(A512&lt;&gt;"",B512&lt;&gt;"",C512&lt;&gt;"",D512&lt;&gt;"",E512&lt;&gt;"",F512&lt;&gt;"",G512&lt;&gt;"",H512&lt;&gt;"",OR(J512&lt;&gt;"",K512&lt;&gt;""),OR(M512&lt;&gt;"",N512&lt;&gt;"",O512&lt;&gt;"")),"OK","ERRO: faltam "&amp;IF(A512="","SDR; ","")&amp;IF(B512="","Proprietário; ","")&amp;IF(C512="","Origem; ","")&amp;IF(D512="","Temperatura; ","")&amp;IF(E512="","Segmento; ","")&amp;IF(F512="","Time/Cluster; ","")&amp;IF(G512="","CNPJ; ","")&amp;IF(H512="","Razão Social; ","")&amp;IF(AND(J512="",K512=""),"nome do contato; ","")&amp;IF(AND(M512="",N512="",O512=""),"telefone, celular ou e-mail; ","")))</f>
      </c>
      <c r="AB512" s="6">
        <f>IF(COUNTA(A512:S512)=0,"",IF(AND(U512="OK",V512="OK",LEFT(W512,4)&lt;&gt;"ERRO",LEFT(X512,4)&lt;&gt;"ERRO",LEFT(Y512,4)&lt;&gt;"ERRO",AA512="OK"),"OK","REVISAR"))</f>
      </c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5"/>
      <c r="K513" s="4"/>
      <c r="L513" s="4"/>
      <c r="M513" s="4"/>
      <c r="N513" s="4"/>
      <c r="O513" s="4"/>
      <c r="P513" s="4"/>
      <c r="Q513" s="4"/>
      <c r="R513" s="4"/>
      <c r="S513" s="4"/>
      <c r="T513" s="6">
        <f>IF(G513="","",SUBSTITUTE(SUBSTITUTE(SUBSTITUTE(SUBSTITUTE(SUBSTITUTE(SUBSTITUTE(SUBSTITUTE(TRIM(G513),".",""),"/",""),"-","")," ",""),"(",""),")",""),"+",""))</f>
      </c>
      <c r="U513" s="6">
        <f>IF(T513="","",IF(LEN(T513)&lt;&gt;14,"ERRO: "&amp;LEN(T513)&amp;" dígitos",IF(NOT(ISNUMBER(VALUE(T513))),"ERRO: não numérico",IF(LEN(SUBSTITUTE(T513,LEFT(T513,1),""))=0,"ERRO: dígitos repetidos",IF(AND(VALUE(MID(T513,13,1))=IF(MOD(SUMPRODUCT(--MID(T513,{1,2,3,4,5,6,7,8,9,10,11,12},1),{5,4,3,2,9,8,7,6,5,4,3,2}),11)&lt;2,0,11-MOD(SUMPRODUCT(--MID(T513,{1,2,3,4,5,6,7,8,9,10,11,12},1),{5,4,3,2,9,8,7,6,5,4,3,2}),11)),VALUE(MID(T513,14,1))=IF(MOD(SUMPRODUCT(--MID(T513,{1,2,3,4,5,6,7,8,9,10,11,12,13},1),{6,5,4,3,2,9,8,7,6,5,4,3,2}),11)&lt;2,0,11-MOD(SUMPRODUCT(--MID(T513,{1,2,3,4,5,6,7,8,9,10,11,12,13},1),{6,5,4,3,2,9,8,7,6,5,4,3,2}),11))),"OK","ERRO: dígito verificador")))))</f>
      </c>
      <c r="V513" s="6">
        <f>IF(T513="","",IF(COUNTIF($T$2:$T$1001,T513)&gt;1,"DUPLICADO","OK"))</f>
      </c>
      <c r="W513" s="6">
        <f>IF(M513="","vazio",IF(OR(AND(LEN(SUBSTITUTE(SUBSTITUTE(SUBSTITUTE(SUBSTITUTE(SUBSTITUTE(SUBSTITUTE(SUBSTITUTE(TRIM(M513),".",""),"/",""),"-","")," ",""),"(",""),")",""),"+",""))=10,LEFT(SUBSTITUTE(SUBSTITUTE(SUBSTITUTE(SUBSTITUTE(SUBSTITUTE(SUBSTITUTE(SUBSTITUTE(TRIM(M513),".",""),"/",""),"-","")," ",""),"(",""),")",""),"+",""),1)&lt;&gt;"0"),AND(LEN(SUBSTITUTE(SUBSTITUTE(SUBSTITUTE(SUBSTITUTE(SUBSTITUTE(SUBSTITUTE(SUBSTITUTE(TRIM(M513),".",""),"/",""),"-","")," ",""),"(",""),")",""),"+",""))=11,LEFT(SUBSTITUTE(SUBSTITUTE(SUBSTITUTE(SUBSTITUTE(SUBSTITUTE(SUBSTITUTE(SUBSTITUTE(TRIM(M513),".",""),"/",""),"-","")," ",""),"(",""),")",""),"+",""),4)="0800")),"OK",IF(AND(LEN(SUBSTITUTE(SUBSTITUTE(SUBSTITUTE(SUBSTITUTE(SUBSTITUTE(SUBSTITUTE(SUBSTITUTE(TRIM(M513),".",""),"/",""),"-","")," ",""),"(",""),")",""),"+",""))=11,MID(SUBSTITUTE(SUBSTITUTE(SUBSTITUTE(SUBSTITUTE(SUBSTITUTE(SUBSTITUTE(SUBSTITUTE(TRIM(M513),".",""),"/",""),"-","")," ",""),"(",""),")",""),"+",""),3,1)="9"),"ERRO: é celular, use a coluna Celular","ERRO: DDD + 8 dígitos ou 0800 + 7")))</f>
      </c>
      <c r="X513" s="6">
        <f>IF(N513="","vazio",IF(AND(LEN(SUBSTITUTE(SUBSTITUTE(SUBSTITUTE(SUBSTITUTE(SUBSTITUTE(SUBSTITUTE(SUBSTITUTE(TRIM(N513),".",""),"/",""),"-","")," ",""),"(",""),")",""),"+",""))=11,MID(SUBSTITUTE(SUBSTITUTE(SUBSTITUTE(SUBSTITUTE(SUBSTITUTE(SUBSTITUTE(SUBSTITUTE(TRIM(N513),".",""),"/",""),"-","")," ",""),"(",""),")",""),"+",""),3,1)="9",LEFT(SUBSTITUTE(SUBSTITUTE(SUBSTITUTE(SUBSTITUTE(SUBSTITUTE(SUBSTITUTE(SUBSTITUTE(TRIM(N513),".",""),"/",""),"-","")," ",""),"(",""),")",""),"+",""),1)&lt;&gt;"0"),"OK",IF(LEN(SUBSTITUTE(SUBSTITUTE(SUBSTITUTE(SUBSTITUTE(SUBSTITUTE(SUBSTITUTE(SUBSTITUTE(TRIM(N513),".",""),"/",""),"-","")," ",""),"(",""),")",""),"+",""))=10,"ERRO: é fixo (ou falta o 9), use a coluna Telefone fixo","ERRO: DDD + 9 + 8 dígitos")))</f>
      </c>
      <c r="Y513" s="6">
        <f>IF(O513="","vazio",IF(AND(ISNUMBER(FIND("@",O513)),ISNUMBER(FIND(".",MID(O513,FIND("@",O513),99))),NOT(ISNUMBER(FIND(" ",TRIM(O513)))),NOT(ISNUMBER(FIND(";",O513))),NOT(ISNUMBER(FIND(",",O513)))),"OK","ERRO: um e-mail válido por linha"))</f>
      </c>
      <c r="Z513" s="6">
        <f>IF(AND(J513="",K513=""),"",IF(AND(J513&lt;&gt;"",K513&lt;&gt;""),"OK","pendente: só um nome (o GR completa ao converter)"))</f>
      </c>
      <c r="AA513" s="6">
        <f>IF(COUNTA(A513:S513)=0,"",IF(AND(A513&lt;&gt;"",B513&lt;&gt;"",C513&lt;&gt;"",D513&lt;&gt;"",E513&lt;&gt;"",F513&lt;&gt;"",G513&lt;&gt;"",H513&lt;&gt;"",OR(J513&lt;&gt;"",K513&lt;&gt;""),OR(M513&lt;&gt;"",N513&lt;&gt;"",O513&lt;&gt;"")),"OK","ERRO: faltam "&amp;IF(A513="","SDR; ","")&amp;IF(B513="","Proprietário; ","")&amp;IF(C513="","Origem; ","")&amp;IF(D513="","Temperatura; ","")&amp;IF(E513="","Segmento; ","")&amp;IF(F513="","Time/Cluster; ","")&amp;IF(G513="","CNPJ; ","")&amp;IF(H513="","Razão Social; ","")&amp;IF(AND(J513="",K513=""),"nome do contato; ","")&amp;IF(AND(M513="",N513="",O513=""),"telefone, celular ou e-mail; ","")))</f>
      </c>
      <c r="AB513" s="6">
        <f>IF(COUNTA(A513:S513)=0,"",IF(AND(U513="OK",V513="OK",LEFT(W513,4)&lt;&gt;"ERRO",LEFT(X513,4)&lt;&gt;"ERRO",LEFT(Y513,4)&lt;&gt;"ERRO",AA513="OK"),"OK","REVISAR"))</f>
      </c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5"/>
      <c r="K514" s="4"/>
      <c r="L514" s="4"/>
      <c r="M514" s="4"/>
      <c r="N514" s="4"/>
      <c r="O514" s="4"/>
      <c r="P514" s="4"/>
      <c r="Q514" s="4"/>
      <c r="R514" s="4"/>
      <c r="S514" s="4"/>
      <c r="T514" s="6">
        <f>IF(G514="","",SUBSTITUTE(SUBSTITUTE(SUBSTITUTE(SUBSTITUTE(SUBSTITUTE(SUBSTITUTE(SUBSTITUTE(TRIM(G514),".",""),"/",""),"-","")," ",""),"(",""),")",""),"+",""))</f>
      </c>
      <c r="U514" s="6">
        <f>IF(T514="","",IF(LEN(T514)&lt;&gt;14,"ERRO: "&amp;LEN(T514)&amp;" dígitos",IF(NOT(ISNUMBER(VALUE(T514))),"ERRO: não numérico",IF(LEN(SUBSTITUTE(T514,LEFT(T514,1),""))=0,"ERRO: dígitos repetidos",IF(AND(VALUE(MID(T514,13,1))=IF(MOD(SUMPRODUCT(--MID(T514,{1,2,3,4,5,6,7,8,9,10,11,12},1),{5,4,3,2,9,8,7,6,5,4,3,2}),11)&lt;2,0,11-MOD(SUMPRODUCT(--MID(T514,{1,2,3,4,5,6,7,8,9,10,11,12},1),{5,4,3,2,9,8,7,6,5,4,3,2}),11)),VALUE(MID(T514,14,1))=IF(MOD(SUMPRODUCT(--MID(T514,{1,2,3,4,5,6,7,8,9,10,11,12,13},1),{6,5,4,3,2,9,8,7,6,5,4,3,2}),11)&lt;2,0,11-MOD(SUMPRODUCT(--MID(T514,{1,2,3,4,5,6,7,8,9,10,11,12,13},1),{6,5,4,3,2,9,8,7,6,5,4,3,2}),11))),"OK","ERRO: dígito verificador")))))</f>
      </c>
      <c r="V514" s="6">
        <f>IF(T514="","",IF(COUNTIF($T$2:$T$1001,T514)&gt;1,"DUPLICADO","OK"))</f>
      </c>
      <c r="W514" s="6">
        <f>IF(M514="","vazio",IF(OR(AND(LEN(SUBSTITUTE(SUBSTITUTE(SUBSTITUTE(SUBSTITUTE(SUBSTITUTE(SUBSTITUTE(SUBSTITUTE(TRIM(M514),".",""),"/",""),"-","")," ",""),"(",""),")",""),"+",""))=10,LEFT(SUBSTITUTE(SUBSTITUTE(SUBSTITUTE(SUBSTITUTE(SUBSTITUTE(SUBSTITUTE(SUBSTITUTE(TRIM(M514),".",""),"/",""),"-","")," ",""),"(",""),")",""),"+",""),1)&lt;&gt;"0"),AND(LEN(SUBSTITUTE(SUBSTITUTE(SUBSTITUTE(SUBSTITUTE(SUBSTITUTE(SUBSTITUTE(SUBSTITUTE(TRIM(M514),".",""),"/",""),"-","")," ",""),"(",""),")",""),"+",""))=11,LEFT(SUBSTITUTE(SUBSTITUTE(SUBSTITUTE(SUBSTITUTE(SUBSTITUTE(SUBSTITUTE(SUBSTITUTE(TRIM(M514),".",""),"/",""),"-","")," ",""),"(",""),")",""),"+",""),4)="0800")),"OK",IF(AND(LEN(SUBSTITUTE(SUBSTITUTE(SUBSTITUTE(SUBSTITUTE(SUBSTITUTE(SUBSTITUTE(SUBSTITUTE(TRIM(M514),".",""),"/",""),"-","")," ",""),"(",""),")",""),"+",""))=11,MID(SUBSTITUTE(SUBSTITUTE(SUBSTITUTE(SUBSTITUTE(SUBSTITUTE(SUBSTITUTE(SUBSTITUTE(TRIM(M514),".",""),"/",""),"-","")," ",""),"(",""),")",""),"+",""),3,1)="9"),"ERRO: é celular, use a coluna Celular","ERRO: DDD + 8 dígitos ou 0800 + 7")))</f>
      </c>
      <c r="X514" s="6">
        <f>IF(N514="","vazio",IF(AND(LEN(SUBSTITUTE(SUBSTITUTE(SUBSTITUTE(SUBSTITUTE(SUBSTITUTE(SUBSTITUTE(SUBSTITUTE(TRIM(N514),".",""),"/",""),"-","")," ",""),"(",""),")",""),"+",""))=11,MID(SUBSTITUTE(SUBSTITUTE(SUBSTITUTE(SUBSTITUTE(SUBSTITUTE(SUBSTITUTE(SUBSTITUTE(TRIM(N514),".",""),"/",""),"-","")," ",""),"(",""),")",""),"+",""),3,1)="9",LEFT(SUBSTITUTE(SUBSTITUTE(SUBSTITUTE(SUBSTITUTE(SUBSTITUTE(SUBSTITUTE(SUBSTITUTE(TRIM(N514),".",""),"/",""),"-","")," ",""),"(",""),")",""),"+",""),1)&lt;&gt;"0"),"OK",IF(LEN(SUBSTITUTE(SUBSTITUTE(SUBSTITUTE(SUBSTITUTE(SUBSTITUTE(SUBSTITUTE(SUBSTITUTE(TRIM(N514),".",""),"/",""),"-","")," ",""),"(",""),")",""),"+",""))=10,"ERRO: é fixo (ou falta o 9), use a coluna Telefone fixo","ERRO: DDD + 9 + 8 dígitos")))</f>
      </c>
      <c r="Y514" s="6">
        <f>IF(O514="","vazio",IF(AND(ISNUMBER(FIND("@",O514)),ISNUMBER(FIND(".",MID(O514,FIND("@",O514),99))),NOT(ISNUMBER(FIND(" ",TRIM(O514)))),NOT(ISNUMBER(FIND(";",O514))),NOT(ISNUMBER(FIND(",",O514)))),"OK","ERRO: um e-mail válido por linha"))</f>
      </c>
      <c r="Z514" s="6">
        <f>IF(AND(J514="",K514=""),"",IF(AND(J514&lt;&gt;"",K514&lt;&gt;""),"OK","pendente: só um nome (o GR completa ao converter)"))</f>
      </c>
      <c r="AA514" s="6">
        <f>IF(COUNTA(A514:S514)=0,"",IF(AND(A514&lt;&gt;"",B514&lt;&gt;"",C514&lt;&gt;"",D514&lt;&gt;"",E514&lt;&gt;"",F514&lt;&gt;"",G514&lt;&gt;"",H514&lt;&gt;"",OR(J514&lt;&gt;"",K514&lt;&gt;""),OR(M514&lt;&gt;"",N514&lt;&gt;"",O514&lt;&gt;"")),"OK","ERRO: faltam "&amp;IF(A514="","SDR; ","")&amp;IF(B514="","Proprietário; ","")&amp;IF(C514="","Origem; ","")&amp;IF(D514="","Temperatura; ","")&amp;IF(E514="","Segmento; ","")&amp;IF(F514="","Time/Cluster; ","")&amp;IF(G514="","CNPJ; ","")&amp;IF(H514="","Razão Social; ","")&amp;IF(AND(J514="",K514=""),"nome do contato; ","")&amp;IF(AND(M514="",N514="",O514=""),"telefone, celular ou e-mail; ","")))</f>
      </c>
      <c r="AB514" s="6">
        <f>IF(COUNTA(A514:S514)=0,"",IF(AND(U514="OK",V514="OK",LEFT(W514,4)&lt;&gt;"ERRO",LEFT(X514,4)&lt;&gt;"ERRO",LEFT(Y514,4)&lt;&gt;"ERRO",AA514="OK"),"OK","REVISAR"))</f>
      </c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5"/>
      <c r="K515" s="4"/>
      <c r="L515" s="4"/>
      <c r="M515" s="4"/>
      <c r="N515" s="4"/>
      <c r="O515" s="4"/>
      <c r="P515" s="4"/>
      <c r="Q515" s="4"/>
      <c r="R515" s="4"/>
      <c r="S515" s="4"/>
      <c r="T515" s="6">
        <f>IF(G515="","",SUBSTITUTE(SUBSTITUTE(SUBSTITUTE(SUBSTITUTE(SUBSTITUTE(SUBSTITUTE(SUBSTITUTE(TRIM(G515),".",""),"/",""),"-","")," ",""),"(",""),")",""),"+",""))</f>
      </c>
      <c r="U515" s="6">
        <f>IF(T515="","",IF(LEN(T515)&lt;&gt;14,"ERRO: "&amp;LEN(T515)&amp;" dígitos",IF(NOT(ISNUMBER(VALUE(T515))),"ERRO: não numérico",IF(LEN(SUBSTITUTE(T515,LEFT(T515,1),""))=0,"ERRO: dígitos repetidos",IF(AND(VALUE(MID(T515,13,1))=IF(MOD(SUMPRODUCT(--MID(T515,{1,2,3,4,5,6,7,8,9,10,11,12},1),{5,4,3,2,9,8,7,6,5,4,3,2}),11)&lt;2,0,11-MOD(SUMPRODUCT(--MID(T515,{1,2,3,4,5,6,7,8,9,10,11,12},1),{5,4,3,2,9,8,7,6,5,4,3,2}),11)),VALUE(MID(T515,14,1))=IF(MOD(SUMPRODUCT(--MID(T515,{1,2,3,4,5,6,7,8,9,10,11,12,13},1),{6,5,4,3,2,9,8,7,6,5,4,3,2}),11)&lt;2,0,11-MOD(SUMPRODUCT(--MID(T515,{1,2,3,4,5,6,7,8,9,10,11,12,13},1),{6,5,4,3,2,9,8,7,6,5,4,3,2}),11))),"OK","ERRO: dígito verificador")))))</f>
      </c>
      <c r="V515" s="6">
        <f>IF(T515="","",IF(COUNTIF($T$2:$T$1001,T515)&gt;1,"DUPLICADO","OK"))</f>
      </c>
      <c r="W515" s="6">
        <f>IF(M515="","vazio",IF(OR(AND(LEN(SUBSTITUTE(SUBSTITUTE(SUBSTITUTE(SUBSTITUTE(SUBSTITUTE(SUBSTITUTE(SUBSTITUTE(TRIM(M515),".",""),"/",""),"-","")," ",""),"(",""),")",""),"+",""))=10,LEFT(SUBSTITUTE(SUBSTITUTE(SUBSTITUTE(SUBSTITUTE(SUBSTITUTE(SUBSTITUTE(SUBSTITUTE(TRIM(M515),".",""),"/",""),"-","")," ",""),"(",""),")",""),"+",""),1)&lt;&gt;"0"),AND(LEN(SUBSTITUTE(SUBSTITUTE(SUBSTITUTE(SUBSTITUTE(SUBSTITUTE(SUBSTITUTE(SUBSTITUTE(TRIM(M515),".",""),"/",""),"-","")," ",""),"(",""),")",""),"+",""))=11,LEFT(SUBSTITUTE(SUBSTITUTE(SUBSTITUTE(SUBSTITUTE(SUBSTITUTE(SUBSTITUTE(SUBSTITUTE(TRIM(M515),".",""),"/",""),"-","")," ",""),"(",""),")",""),"+",""),4)="0800")),"OK",IF(AND(LEN(SUBSTITUTE(SUBSTITUTE(SUBSTITUTE(SUBSTITUTE(SUBSTITUTE(SUBSTITUTE(SUBSTITUTE(TRIM(M515),".",""),"/",""),"-","")," ",""),"(",""),")",""),"+",""))=11,MID(SUBSTITUTE(SUBSTITUTE(SUBSTITUTE(SUBSTITUTE(SUBSTITUTE(SUBSTITUTE(SUBSTITUTE(TRIM(M515),".",""),"/",""),"-","")," ",""),"(",""),")",""),"+",""),3,1)="9"),"ERRO: é celular, use a coluna Celular","ERRO: DDD + 8 dígitos ou 0800 + 7")))</f>
      </c>
      <c r="X515" s="6">
        <f>IF(N515="","vazio",IF(AND(LEN(SUBSTITUTE(SUBSTITUTE(SUBSTITUTE(SUBSTITUTE(SUBSTITUTE(SUBSTITUTE(SUBSTITUTE(TRIM(N515),".",""),"/",""),"-","")," ",""),"(",""),")",""),"+",""))=11,MID(SUBSTITUTE(SUBSTITUTE(SUBSTITUTE(SUBSTITUTE(SUBSTITUTE(SUBSTITUTE(SUBSTITUTE(TRIM(N515),".",""),"/",""),"-","")," ",""),"(",""),")",""),"+",""),3,1)="9",LEFT(SUBSTITUTE(SUBSTITUTE(SUBSTITUTE(SUBSTITUTE(SUBSTITUTE(SUBSTITUTE(SUBSTITUTE(TRIM(N515),".",""),"/",""),"-","")," ",""),"(",""),")",""),"+",""),1)&lt;&gt;"0"),"OK",IF(LEN(SUBSTITUTE(SUBSTITUTE(SUBSTITUTE(SUBSTITUTE(SUBSTITUTE(SUBSTITUTE(SUBSTITUTE(TRIM(N515),".",""),"/",""),"-","")," ",""),"(",""),")",""),"+",""))=10,"ERRO: é fixo (ou falta o 9), use a coluna Telefone fixo","ERRO: DDD + 9 + 8 dígitos")))</f>
      </c>
      <c r="Y515" s="6">
        <f>IF(O515="","vazio",IF(AND(ISNUMBER(FIND("@",O515)),ISNUMBER(FIND(".",MID(O515,FIND("@",O515),99))),NOT(ISNUMBER(FIND(" ",TRIM(O515)))),NOT(ISNUMBER(FIND(";",O515))),NOT(ISNUMBER(FIND(",",O515)))),"OK","ERRO: um e-mail válido por linha"))</f>
      </c>
      <c r="Z515" s="6">
        <f>IF(AND(J515="",K515=""),"",IF(AND(J515&lt;&gt;"",K515&lt;&gt;""),"OK","pendente: só um nome (o GR completa ao converter)"))</f>
      </c>
      <c r="AA515" s="6">
        <f>IF(COUNTA(A515:S515)=0,"",IF(AND(A515&lt;&gt;"",B515&lt;&gt;"",C515&lt;&gt;"",D515&lt;&gt;"",E515&lt;&gt;"",F515&lt;&gt;"",G515&lt;&gt;"",H515&lt;&gt;"",OR(J515&lt;&gt;"",K515&lt;&gt;""),OR(M515&lt;&gt;"",N515&lt;&gt;"",O515&lt;&gt;"")),"OK","ERRO: faltam "&amp;IF(A515="","SDR; ","")&amp;IF(B515="","Proprietário; ","")&amp;IF(C515="","Origem; ","")&amp;IF(D515="","Temperatura; ","")&amp;IF(E515="","Segmento; ","")&amp;IF(F515="","Time/Cluster; ","")&amp;IF(G515="","CNPJ; ","")&amp;IF(H515="","Razão Social; ","")&amp;IF(AND(J515="",K515=""),"nome do contato; ","")&amp;IF(AND(M515="",N515="",O515=""),"telefone, celular ou e-mail; ","")))</f>
      </c>
      <c r="AB515" s="6">
        <f>IF(COUNTA(A515:S515)=0,"",IF(AND(U515="OK",V515="OK",LEFT(W515,4)&lt;&gt;"ERRO",LEFT(X515,4)&lt;&gt;"ERRO",LEFT(Y515,4)&lt;&gt;"ERRO",AA515="OK"),"OK","REVISAR"))</f>
      </c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5"/>
      <c r="K516" s="4"/>
      <c r="L516" s="4"/>
      <c r="M516" s="4"/>
      <c r="N516" s="4"/>
      <c r="O516" s="4"/>
      <c r="P516" s="4"/>
      <c r="Q516" s="4"/>
      <c r="R516" s="4"/>
      <c r="S516" s="4"/>
      <c r="T516" s="6">
        <f>IF(G516="","",SUBSTITUTE(SUBSTITUTE(SUBSTITUTE(SUBSTITUTE(SUBSTITUTE(SUBSTITUTE(SUBSTITUTE(TRIM(G516),".",""),"/",""),"-","")," ",""),"(",""),")",""),"+",""))</f>
      </c>
      <c r="U516" s="6">
        <f>IF(T516="","",IF(LEN(T516)&lt;&gt;14,"ERRO: "&amp;LEN(T516)&amp;" dígitos",IF(NOT(ISNUMBER(VALUE(T516))),"ERRO: não numérico",IF(LEN(SUBSTITUTE(T516,LEFT(T516,1),""))=0,"ERRO: dígitos repetidos",IF(AND(VALUE(MID(T516,13,1))=IF(MOD(SUMPRODUCT(--MID(T516,{1,2,3,4,5,6,7,8,9,10,11,12},1),{5,4,3,2,9,8,7,6,5,4,3,2}),11)&lt;2,0,11-MOD(SUMPRODUCT(--MID(T516,{1,2,3,4,5,6,7,8,9,10,11,12},1),{5,4,3,2,9,8,7,6,5,4,3,2}),11)),VALUE(MID(T516,14,1))=IF(MOD(SUMPRODUCT(--MID(T516,{1,2,3,4,5,6,7,8,9,10,11,12,13},1),{6,5,4,3,2,9,8,7,6,5,4,3,2}),11)&lt;2,0,11-MOD(SUMPRODUCT(--MID(T516,{1,2,3,4,5,6,7,8,9,10,11,12,13},1),{6,5,4,3,2,9,8,7,6,5,4,3,2}),11))),"OK","ERRO: dígito verificador")))))</f>
      </c>
      <c r="V516" s="6">
        <f>IF(T516="","",IF(COUNTIF($T$2:$T$1001,T516)&gt;1,"DUPLICADO","OK"))</f>
      </c>
      <c r="W516" s="6">
        <f>IF(M516="","vazio",IF(OR(AND(LEN(SUBSTITUTE(SUBSTITUTE(SUBSTITUTE(SUBSTITUTE(SUBSTITUTE(SUBSTITUTE(SUBSTITUTE(TRIM(M516),".",""),"/",""),"-","")," ",""),"(",""),")",""),"+",""))=10,LEFT(SUBSTITUTE(SUBSTITUTE(SUBSTITUTE(SUBSTITUTE(SUBSTITUTE(SUBSTITUTE(SUBSTITUTE(TRIM(M516),".",""),"/",""),"-","")," ",""),"(",""),")",""),"+",""),1)&lt;&gt;"0"),AND(LEN(SUBSTITUTE(SUBSTITUTE(SUBSTITUTE(SUBSTITUTE(SUBSTITUTE(SUBSTITUTE(SUBSTITUTE(TRIM(M516),".",""),"/",""),"-","")," ",""),"(",""),")",""),"+",""))=11,LEFT(SUBSTITUTE(SUBSTITUTE(SUBSTITUTE(SUBSTITUTE(SUBSTITUTE(SUBSTITUTE(SUBSTITUTE(TRIM(M516),".",""),"/",""),"-","")," ",""),"(",""),")",""),"+",""),4)="0800")),"OK",IF(AND(LEN(SUBSTITUTE(SUBSTITUTE(SUBSTITUTE(SUBSTITUTE(SUBSTITUTE(SUBSTITUTE(SUBSTITUTE(TRIM(M516),".",""),"/",""),"-","")," ",""),"(",""),")",""),"+",""))=11,MID(SUBSTITUTE(SUBSTITUTE(SUBSTITUTE(SUBSTITUTE(SUBSTITUTE(SUBSTITUTE(SUBSTITUTE(TRIM(M516),".",""),"/",""),"-","")," ",""),"(",""),")",""),"+",""),3,1)="9"),"ERRO: é celular, use a coluna Celular","ERRO: DDD + 8 dígitos ou 0800 + 7")))</f>
      </c>
      <c r="X516" s="6">
        <f>IF(N516="","vazio",IF(AND(LEN(SUBSTITUTE(SUBSTITUTE(SUBSTITUTE(SUBSTITUTE(SUBSTITUTE(SUBSTITUTE(SUBSTITUTE(TRIM(N516),".",""),"/",""),"-","")," ",""),"(",""),")",""),"+",""))=11,MID(SUBSTITUTE(SUBSTITUTE(SUBSTITUTE(SUBSTITUTE(SUBSTITUTE(SUBSTITUTE(SUBSTITUTE(TRIM(N516),".",""),"/",""),"-","")," ",""),"(",""),")",""),"+",""),3,1)="9",LEFT(SUBSTITUTE(SUBSTITUTE(SUBSTITUTE(SUBSTITUTE(SUBSTITUTE(SUBSTITUTE(SUBSTITUTE(TRIM(N516),".",""),"/",""),"-","")," ",""),"(",""),")",""),"+",""),1)&lt;&gt;"0"),"OK",IF(LEN(SUBSTITUTE(SUBSTITUTE(SUBSTITUTE(SUBSTITUTE(SUBSTITUTE(SUBSTITUTE(SUBSTITUTE(TRIM(N516),".",""),"/",""),"-","")," ",""),"(",""),")",""),"+",""))=10,"ERRO: é fixo (ou falta o 9), use a coluna Telefone fixo","ERRO: DDD + 9 + 8 dígitos")))</f>
      </c>
      <c r="Y516" s="6">
        <f>IF(O516="","vazio",IF(AND(ISNUMBER(FIND("@",O516)),ISNUMBER(FIND(".",MID(O516,FIND("@",O516),99))),NOT(ISNUMBER(FIND(" ",TRIM(O516)))),NOT(ISNUMBER(FIND(";",O516))),NOT(ISNUMBER(FIND(",",O516)))),"OK","ERRO: um e-mail válido por linha"))</f>
      </c>
      <c r="Z516" s="6">
        <f>IF(AND(J516="",K516=""),"",IF(AND(J516&lt;&gt;"",K516&lt;&gt;""),"OK","pendente: só um nome (o GR completa ao converter)"))</f>
      </c>
      <c r="AA516" s="6">
        <f>IF(COUNTA(A516:S516)=0,"",IF(AND(A516&lt;&gt;"",B516&lt;&gt;"",C516&lt;&gt;"",D516&lt;&gt;"",E516&lt;&gt;"",F516&lt;&gt;"",G516&lt;&gt;"",H516&lt;&gt;"",OR(J516&lt;&gt;"",K516&lt;&gt;""),OR(M516&lt;&gt;"",N516&lt;&gt;"",O516&lt;&gt;"")),"OK","ERRO: faltam "&amp;IF(A516="","SDR; ","")&amp;IF(B516="","Proprietário; ","")&amp;IF(C516="","Origem; ","")&amp;IF(D516="","Temperatura; ","")&amp;IF(E516="","Segmento; ","")&amp;IF(F516="","Time/Cluster; ","")&amp;IF(G516="","CNPJ; ","")&amp;IF(H516="","Razão Social; ","")&amp;IF(AND(J516="",K516=""),"nome do contato; ","")&amp;IF(AND(M516="",N516="",O516=""),"telefone, celular ou e-mail; ","")))</f>
      </c>
      <c r="AB516" s="6">
        <f>IF(COUNTA(A516:S516)=0,"",IF(AND(U516="OK",V516="OK",LEFT(W516,4)&lt;&gt;"ERRO",LEFT(X516,4)&lt;&gt;"ERRO",LEFT(Y516,4)&lt;&gt;"ERRO",AA516="OK"),"OK","REVISAR"))</f>
      </c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5"/>
      <c r="K517" s="4"/>
      <c r="L517" s="4"/>
      <c r="M517" s="4"/>
      <c r="N517" s="4"/>
      <c r="O517" s="4"/>
      <c r="P517" s="4"/>
      <c r="Q517" s="4"/>
      <c r="R517" s="4"/>
      <c r="S517" s="4"/>
      <c r="T517" s="6">
        <f>IF(G517="","",SUBSTITUTE(SUBSTITUTE(SUBSTITUTE(SUBSTITUTE(SUBSTITUTE(SUBSTITUTE(SUBSTITUTE(TRIM(G517),".",""),"/",""),"-","")," ",""),"(",""),")",""),"+",""))</f>
      </c>
      <c r="U517" s="6">
        <f>IF(T517="","",IF(LEN(T517)&lt;&gt;14,"ERRO: "&amp;LEN(T517)&amp;" dígitos",IF(NOT(ISNUMBER(VALUE(T517))),"ERRO: não numérico",IF(LEN(SUBSTITUTE(T517,LEFT(T517,1),""))=0,"ERRO: dígitos repetidos",IF(AND(VALUE(MID(T517,13,1))=IF(MOD(SUMPRODUCT(--MID(T517,{1,2,3,4,5,6,7,8,9,10,11,12},1),{5,4,3,2,9,8,7,6,5,4,3,2}),11)&lt;2,0,11-MOD(SUMPRODUCT(--MID(T517,{1,2,3,4,5,6,7,8,9,10,11,12},1),{5,4,3,2,9,8,7,6,5,4,3,2}),11)),VALUE(MID(T517,14,1))=IF(MOD(SUMPRODUCT(--MID(T517,{1,2,3,4,5,6,7,8,9,10,11,12,13},1),{6,5,4,3,2,9,8,7,6,5,4,3,2}),11)&lt;2,0,11-MOD(SUMPRODUCT(--MID(T517,{1,2,3,4,5,6,7,8,9,10,11,12,13},1),{6,5,4,3,2,9,8,7,6,5,4,3,2}),11))),"OK","ERRO: dígito verificador")))))</f>
      </c>
      <c r="V517" s="6">
        <f>IF(T517="","",IF(COUNTIF($T$2:$T$1001,T517)&gt;1,"DUPLICADO","OK"))</f>
      </c>
      <c r="W517" s="6">
        <f>IF(M517="","vazio",IF(OR(AND(LEN(SUBSTITUTE(SUBSTITUTE(SUBSTITUTE(SUBSTITUTE(SUBSTITUTE(SUBSTITUTE(SUBSTITUTE(TRIM(M517),".",""),"/",""),"-","")," ",""),"(",""),")",""),"+",""))=10,LEFT(SUBSTITUTE(SUBSTITUTE(SUBSTITUTE(SUBSTITUTE(SUBSTITUTE(SUBSTITUTE(SUBSTITUTE(TRIM(M517),".",""),"/",""),"-","")," ",""),"(",""),")",""),"+",""),1)&lt;&gt;"0"),AND(LEN(SUBSTITUTE(SUBSTITUTE(SUBSTITUTE(SUBSTITUTE(SUBSTITUTE(SUBSTITUTE(SUBSTITUTE(TRIM(M517),".",""),"/",""),"-","")," ",""),"(",""),")",""),"+",""))=11,LEFT(SUBSTITUTE(SUBSTITUTE(SUBSTITUTE(SUBSTITUTE(SUBSTITUTE(SUBSTITUTE(SUBSTITUTE(TRIM(M517),".",""),"/",""),"-","")," ",""),"(",""),")",""),"+",""),4)="0800")),"OK",IF(AND(LEN(SUBSTITUTE(SUBSTITUTE(SUBSTITUTE(SUBSTITUTE(SUBSTITUTE(SUBSTITUTE(SUBSTITUTE(TRIM(M517),".",""),"/",""),"-","")," ",""),"(",""),")",""),"+",""))=11,MID(SUBSTITUTE(SUBSTITUTE(SUBSTITUTE(SUBSTITUTE(SUBSTITUTE(SUBSTITUTE(SUBSTITUTE(TRIM(M517),".",""),"/",""),"-","")," ",""),"(",""),")",""),"+",""),3,1)="9"),"ERRO: é celular, use a coluna Celular","ERRO: DDD + 8 dígitos ou 0800 + 7")))</f>
      </c>
      <c r="X517" s="6">
        <f>IF(N517="","vazio",IF(AND(LEN(SUBSTITUTE(SUBSTITUTE(SUBSTITUTE(SUBSTITUTE(SUBSTITUTE(SUBSTITUTE(SUBSTITUTE(TRIM(N517),".",""),"/",""),"-","")," ",""),"(",""),")",""),"+",""))=11,MID(SUBSTITUTE(SUBSTITUTE(SUBSTITUTE(SUBSTITUTE(SUBSTITUTE(SUBSTITUTE(SUBSTITUTE(TRIM(N517),".",""),"/",""),"-","")," ",""),"(",""),")",""),"+",""),3,1)="9",LEFT(SUBSTITUTE(SUBSTITUTE(SUBSTITUTE(SUBSTITUTE(SUBSTITUTE(SUBSTITUTE(SUBSTITUTE(TRIM(N517),".",""),"/",""),"-","")," ",""),"(",""),")",""),"+",""),1)&lt;&gt;"0"),"OK",IF(LEN(SUBSTITUTE(SUBSTITUTE(SUBSTITUTE(SUBSTITUTE(SUBSTITUTE(SUBSTITUTE(SUBSTITUTE(TRIM(N517),".",""),"/",""),"-","")," ",""),"(",""),")",""),"+",""))=10,"ERRO: é fixo (ou falta o 9), use a coluna Telefone fixo","ERRO: DDD + 9 + 8 dígitos")))</f>
      </c>
      <c r="Y517" s="6">
        <f>IF(O517="","vazio",IF(AND(ISNUMBER(FIND("@",O517)),ISNUMBER(FIND(".",MID(O517,FIND("@",O517),99))),NOT(ISNUMBER(FIND(" ",TRIM(O517)))),NOT(ISNUMBER(FIND(";",O517))),NOT(ISNUMBER(FIND(",",O517)))),"OK","ERRO: um e-mail válido por linha"))</f>
      </c>
      <c r="Z517" s="6">
        <f>IF(AND(J517="",K517=""),"",IF(AND(J517&lt;&gt;"",K517&lt;&gt;""),"OK","pendente: só um nome (o GR completa ao converter)"))</f>
      </c>
      <c r="AA517" s="6">
        <f>IF(COUNTA(A517:S517)=0,"",IF(AND(A517&lt;&gt;"",B517&lt;&gt;"",C517&lt;&gt;"",D517&lt;&gt;"",E517&lt;&gt;"",F517&lt;&gt;"",G517&lt;&gt;"",H517&lt;&gt;"",OR(J517&lt;&gt;"",K517&lt;&gt;""),OR(M517&lt;&gt;"",N517&lt;&gt;"",O517&lt;&gt;"")),"OK","ERRO: faltam "&amp;IF(A517="","SDR; ","")&amp;IF(B517="","Proprietário; ","")&amp;IF(C517="","Origem; ","")&amp;IF(D517="","Temperatura; ","")&amp;IF(E517="","Segmento; ","")&amp;IF(F517="","Time/Cluster; ","")&amp;IF(G517="","CNPJ; ","")&amp;IF(H517="","Razão Social; ","")&amp;IF(AND(J517="",K517=""),"nome do contato; ","")&amp;IF(AND(M517="",N517="",O517=""),"telefone, celular ou e-mail; ","")))</f>
      </c>
      <c r="AB517" s="6">
        <f>IF(COUNTA(A517:S517)=0,"",IF(AND(U517="OK",V517="OK",LEFT(W517,4)&lt;&gt;"ERRO",LEFT(X517,4)&lt;&gt;"ERRO",LEFT(Y517,4)&lt;&gt;"ERRO",AA517="OK"),"OK","REVISAR"))</f>
      </c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5"/>
      <c r="K518" s="4"/>
      <c r="L518" s="4"/>
      <c r="M518" s="4"/>
      <c r="N518" s="4"/>
      <c r="O518" s="4"/>
      <c r="P518" s="4"/>
      <c r="Q518" s="4"/>
      <c r="R518" s="4"/>
      <c r="S518" s="4"/>
      <c r="T518" s="6">
        <f>IF(G518="","",SUBSTITUTE(SUBSTITUTE(SUBSTITUTE(SUBSTITUTE(SUBSTITUTE(SUBSTITUTE(SUBSTITUTE(TRIM(G518),".",""),"/",""),"-","")," ",""),"(",""),")",""),"+",""))</f>
      </c>
      <c r="U518" s="6">
        <f>IF(T518="","",IF(LEN(T518)&lt;&gt;14,"ERRO: "&amp;LEN(T518)&amp;" dígitos",IF(NOT(ISNUMBER(VALUE(T518))),"ERRO: não numérico",IF(LEN(SUBSTITUTE(T518,LEFT(T518,1),""))=0,"ERRO: dígitos repetidos",IF(AND(VALUE(MID(T518,13,1))=IF(MOD(SUMPRODUCT(--MID(T518,{1,2,3,4,5,6,7,8,9,10,11,12},1),{5,4,3,2,9,8,7,6,5,4,3,2}),11)&lt;2,0,11-MOD(SUMPRODUCT(--MID(T518,{1,2,3,4,5,6,7,8,9,10,11,12},1),{5,4,3,2,9,8,7,6,5,4,3,2}),11)),VALUE(MID(T518,14,1))=IF(MOD(SUMPRODUCT(--MID(T518,{1,2,3,4,5,6,7,8,9,10,11,12,13},1),{6,5,4,3,2,9,8,7,6,5,4,3,2}),11)&lt;2,0,11-MOD(SUMPRODUCT(--MID(T518,{1,2,3,4,5,6,7,8,9,10,11,12,13},1),{6,5,4,3,2,9,8,7,6,5,4,3,2}),11))),"OK","ERRO: dígito verificador")))))</f>
      </c>
      <c r="V518" s="6">
        <f>IF(T518="","",IF(COUNTIF($T$2:$T$1001,T518)&gt;1,"DUPLICADO","OK"))</f>
      </c>
      <c r="W518" s="6">
        <f>IF(M518="","vazio",IF(OR(AND(LEN(SUBSTITUTE(SUBSTITUTE(SUBSTITUTE(SUBSTITUTE(SUBSTITUTE(SUBSTITUTE(SUBSTITUTE(TRIM(M518),".",""),"/",""),"-","")," ",""),"(",""),")",""),"+",""))=10,LEFT(SUBSTITUTE(SUBSTITUTE(SUBSTITUTE(SUBSTITUTE(SUBSTITUTE(SUBSTITUTE(SUBSTITUTE(TRIM(M518),".",""),"/",""),"-","")," ",""),"(",""),")",""),"+",""),1)&lt;&gt;"0"),AND(LEN(SUBSTITUTE(SUBSTITUTE(SUBSTITUTE(SUBSTITUTE(SUBSTITUTE(SUBSTITUTE(SUBSTITUTE(TRIM(M518),".",""),"/",""),"-","")," ",""),"(",""),")",""),"+",""))=11,LEFT(SUBSTITUTE(SUBSTITUTE(SUBSTITUTE(SUBSTITUTE(SUBSTITUTE(SUBSTITUTE(SUBSTITUTE(TRIM(M518),".",""),"/",""),"-","")," ",""),"(",""),")",""),"+",""),4)="0800")),"OK",IF(AND(LEN(SUBSTITUTE(SUBSTITUTE(SUBSTITUTE(SUBSTITUTE(SUBSTITUTE(SUBSTITUTE(SUBSTITUTE(TRIM(M518),".",""),"/",""),"-","")," ",""),"(",""),")",""),"+",""))=11,MID(SUBSTITUTE(SUBSTITUTE(SUBSTITUTE(SUBSTITUTE(SUBSTITUTE(SUBSTITUTE(SUBSTITUTE(TRIM(M518),".",""),"/",""),"-","")," ",""),"(",""),")",""),"+",""),3,1)="9"),"ERRO: é celular, use a coluna Celular","ERRO: DDD + 8 dígitos ou 0800 + 7")))</f>
      </c>
      <c r="X518" s="6">
        <f>IF(N518="","vazio",IF(AND(LEN(SUBSTITUTE(SUBSTITUTE(SUBSTITUTE(SUBSTITUTE(SUBSTITUTE(SUBSTITUTE(SUBSTITUTE(TRIM(N518),".",""),"/",""),"-","")," ",""),"(",""),")",""),"+",""))=11,MID(SUBSTITUTE(SUBSTITUTE(SUBSTITUTE(SUBSTITUTE(SUBSTITUTE(SUBSTITUTE(SUBSTITUTE(TRIM(N518),".",""),"/",""),"-","")," ",""),"(",""),")",""),"+",""),3,1)="9",LEFT(SUBSTITUTE(SUBSTITUTE(SUBSTITUTE(SUBSTITUTE(SUBSTITUTE(SUBSTITUTE(SUBSTITUTE(TRIM(N518),".",""),"/",""),"-","")," ",""),"(",""),")",""),"+",""),1)&lt;&gt;"0"),"OK",IF(LEN(SUBSTITUTE(SUBSTITUTE(SUBSTITUTE(SUBSTITUTE(SUBSTITUTE(SUBSTITUTE(SUBSTITUTE(TRIM(N518),".",""),"/",""),"-","")," ",""),"(",""),")",""),"+",""))=10,"ERRO: é fixo (ou falta o 9), use a coluna Telefone fixo","ERRO: DDD + 9 + 8 dígitos")))</f>
      </c>
      <c r="Y518" s="6">
        <f>IF(O518="","vazio",IF(AND(ISNUMBER(FIND("@",O518)),ISNUMBER(FIND(".",MID(O518,FIND("@",O518),99))),NOT(ISNUMBER(FIND(" ",TRIM(O518)))),NOT(ISNUMBER(FIND(";",O518))),NOT(ISNUMBER(FIND(",",O518)))),"OK","ERRO: um e-mail válido por linha"))</f>
      </c>
      <c r="Z518" s="6">
        <f>IF(AND(J518="",K518=""),"",IF(AND(J518&lt;&gt;"",K518&lt;&gt;""),"OK","pendente: só um nome (o GR completa ao converter)"))</f>
      </c>
      <c r="AA518" s="6">
        <f>IF(COUNTA(A518:S518)=0,"",IF(AND(A518&lt;&gt;"",B518&lt;&gt;"",C518&lt;&gt;"",D518&lt;&gt;"",E518&lt;&gt;"",F518&lt;&gt;"",G518&lt;&gt;"",H518&lt;&gt;"",OR(J518&lt;&gt;"",K518&lt;&gt;""),OR(M518&lt;&gt;"",N518&lt;&gt;"",O518&lt;&gt;"")),"OK","ERRO: faltam "&amp;IF(A518="","SDR; ","")&amp;IF(B518="","Proprietário; ","")&amp;IF(C518="","Origem; ","")&amp;IF(D518="","Temperatura; ","")&amp;IF(E518="","Segmento; ","")&amp;IF(F518="","Time/Cluster; ","")&amp;IF(G518="","CNPJ; ","")&amp;IF(H518="","Razão Social; ","")&amp;IF(AND(J518="",K518=""),"nome do contato; ","")&amp;IF(AND(M518="",N518="",O518=""),"telefone, celular ou e-mail; ","")))</f>
      </c>
      <c r="AB518" s="6">
        <f>IF(COUNTA(A518:S518)=0,"",IF(AND(U518="OK",V518="OK",LEFT(W518,4)&lt;&gt;"ERRO",LEFT(X518,4)&lt;&gt;"ERRO",LEFT(Y518,4)&lt;&gt;"ERRO",AA518="OK"),"OK","REVISAR"))</f>
      </c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5"/>
      <c r="K519" s="4"/>
      <c r="L519" s="4"/>
      <c r="M519" s="4"/>
      <c r="N519" s="4"/>
      <c r="O519" s="4"/>
      <c r="P519" s="4"/>
      <c r="Q519" s="4"/>
      <c r="R519" s="4"/>
      <c r="S519" s="4"/>
      <c r="T519" s="6">
        <f>IF(G519="","",SUBSTITUTE(SUBSTITUTE(SUBSTITUTE(SUBSTITUTE(SUBSTITUTE(SUBSTITUTE(SUBSTITUTE(TRIM(G519),".",""),"/",""),"-","")," ",""),"(",""),")",""),"+",""))</f>
      </c>
      <c r="U519" s="6">
        <f>IF(T519="","",IF(LEN(T519)&lt;&gt;14,"ERRO: "&amp;LEN(T519)&amp;" dígitos",IF(NOT(ISNUMBER(VALUE(T519))),"ERRO: não numérico",IF(LEN(SUBSTITUTE(T519,LEFT(T519,1),""))=0,"ERRO: dígitos repetidos",IF(AND(VALUE(MID(T519,13,1))=IF(MOD(SUMPRODUCT(--MID(T519,{1,2,3,4,5,6,7,8,9,10,11,12},1),{5,4,3,2,9,8,7,6,5,4,3,2}),11)&lt;2,0,11-MOD(SUMPRODUCT(--MID(T519,{1,2,3,4,5,6,7,8,9,10,11,12},1),{5,4,3,2,9,8,7,6,5,4,3,2}),11)),VALUE(MID(T519,14,1))=IF(MOD(SUMPRODUCT(--MID(T519,{1,2,3,4,5,6,7,8,9,10,11,12,13},1),{6,5,4,3,2,9,8,7,6,5,4,3,2}),11)&lt;2,0,11-MOD(SUMPRODUCT(--MID(T519,{1,2,3,4,5,6,7,8,9,10,11,12,13},1),{6,5,4,3,2,9,8,7,6,5,4,3,2}),11))),"OK","ERRO: dígito verificador")))))</f>
      </c>
      <c r="V519" s="6">
        <f>IF(T519="","",IF(COUNTIF($T$2:$T$1001,T519)&gt;1,"DUPLICADO","OK"))</f>
      </c>
      <c r="W519" s="6">
        <f>IF(M519="","vazio",IF(OR(AND(LEN(SUBSTITUTE(SUBSTITUTE(SUBSTITUTE(SUBSTITUTE(SUBSTITUTE(SUBSTITUTE(SUBSTITUTE(TRIM(M519),".",""),"/",""),"-","")," ",""),"(",""),")",""),"+",""))=10,LEFT(SUBSTITUTE(SUBSTITUTE(SUBSTITUTE(SUBSTITUTE(SUBSTITUTE(SUBSTITUTE(SUBSTITUTE(TRIM(M519),".",""),"/",""),"-","")," ",""),"(",""),")",""),"+",""),1)&lt;&gt;"0"),AND(LEN(SUBSTITUTE(SUBSTITUTE(SUBSTITUTE(SUBSTITUTE(SUBSTITUTE(SUBSTITUTE(SUBSTITUTE(TRIM(M519),".",""),"/",""),"-","")," ",""),"(",""),")",""),"+",""))=11,LEFT(SUBSTITUTE(SUBSTITUTE(SUBSTITUTE(SUBSTITUTE(SUBSTITUTE(SUBSTITUTE(SUBSTITUTE(TRIM(M519),".",""),"/",""),"-","")," ",""),"(",""),")",""),"+",""),4)="0800")),"OK",IF(AND(LEN(SUBSTITUTE(SUBSTITUTE(SUBSTITUTE(SUBSTITUTE(SUBSTITUTE(SUBSTITUTE(SUBSTITUTE(TRIM(M519),".",""),"/",""),"-","")," ",""),"(",""),")",""),"+",""))=11,MID(SUBSTITUTE(SUBSTITUTE(SUBSTITUTE(SUBSTITUTE(SUBSTITUTE(SUBSTITUTE(SUBSTITUTE(TRIM(M519),".",""),"/",""),"-","")," ",""),"(",""),")",""),"+",""),3,1)="9"),"ERRO: é celular, use a coluna Celular","ERRO: DDD + 8 dígitos ou 0800 + 7")))</f>
      </c>
      <c r="X519" s="6">
        <f>IF(N519="","vazio",IF(AND(LEN(SUBSTITUTE(SUBSTITUTE(SUBSTITUTE(SUBSTITUTE(SUBSTITUTE(SUBSTITUTE(SUBSTITUTE(TRIM(N519),".",""),"/",""),"-","")," ",""),"(",""),")",""),"+",""))=11,MID(SUBSTITUTE(SUBSTITUTE(SUBSTITUTE(SUBSTITUTE(SUBSTITUTE(SUBSTITUTE(SUBSTITUTE(TRIM(N519),".",""),"/",""),"-","")," ",""),"(",""),")",""),"+",""),3,1)="9",LEFT(SUBSTITUTE(SUBSTITUTE(SUBSTITUTE(SUBSTITUTE(SUBSTITUTE(SUBSTITUTE(SUBSTITUTE(TRIM(N519),".",""),"/",""),"-","")," ",""),"(",""),")",""),"+",""),1)&lt;&gt;"0"),"OK",IF(LEN(SUBSTITUTE(SUBSTITUTE(SUBSTITUTE(SUBSTITUTE(SUBSTITUTE(SUBSTITUTE(SUBSTITUTE(TRIM(N519),".",""),"/",""),"-","")," ",""),"(",""),")",""),"+",""))=10,"ERRO: é fixo (ou falta o 9), use a coluna Telefone fixo","ERRO: DDD + 9 + 8 dígitos")))</f>
      </c>
      <c r="Y519" s="6">
        <f>IF(O519="","vazio",IF(AND(ISNUMBER(FIND("@",O519)),ISNUMBER(FIND(".",MID(O519,FIND("@",O519),99))),NOT(ISNUMBER(FIND(" ",TRIM(O519)))),NOT(ISNUMBER(FIND(";",O519))),NOT(ISNUMBER(FIND(",",O519)))),"OK","ERRO: um e-mail válido por linha"))</f>
      </c>
      <c r="Z519" s="6">
        <f>IF(AND(J519="",K519=""),"",IF(AND(J519&lt;&gt;"",K519&lt;&gt;""),"OK","pendente: só um nome (o GR completa ao converter)"))</f>
      </c>
      <c r="AA519" s="6">
        <f>IF(COUNTA(A519:S519)=0,"",IF(AND(A519&lt;&gt;"",B519&lt;&gt;"",C519&lt;&gt;"",D519&lt;&gt;"",E519&lt;&gt;"",F519&lt;&gt;"",G519&lt;&gt;"",H519&lt;&gt;"",OR(J519&lt;&gt;"",K519&lt;&gt;""),OR(M519&lt;&gt;"",N519&lt;&gt;"",O519&lt;&gt;"")),"OK","ERRO: faltam "&amp;IF(A519="","SDR; ","")&amp;IF(B519="","Proprietário; ","")&amp;IF(C519="","Origem; ","")&amp;IF(D519="","Temperatura; ","")&amp;IF(E519="","Segmento; ","")&amp;IF(F519="","Time/Cluster; ","")&amp;IF(G519="","CNPJ; ","")&amp;IF(H519="","Razão Social; ","")&amp;IF(AND(J519="",K519=""),"nome do contato; ","")&amp;IF(AND(M519="",N519="",O519=""),"telefone, celular ou e-mail; ","")))</f>
      </c>
      <c r="AB519" s="6">
        <f>IF(COUNTA(A519:S519)=0,"",IF(AND(U519="OK",V519="OK",LEFT(W519,4)&lt;&gt;"ERRO",LEFT(X519,4)&lt;&gt;"ERRO",LEFT(Y519,4)&lt;&gt;"ERRO",AA519="OK"),"OK","REVISAR"))</f>
      </c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5"/>
      <c r="K520" s="4"/>
      <c r="L520" s="4"/>
      <c r="M520" s="4"/>
      <c r="N520" s="4"/>
      <c r="O520" s="4"/>
      <c r="P520" s="4"/>
      <c r="Q520" s="4"/>
      <c r="R520" s="4"/>
      <c r="S520" s="4"/>
      <c r="T520" s="6">
        <f>IF(G520="","",SUBSTITUTE(SUBSTITUTE(SUBSTITUTE(SUBSTITUTE(SUBSTITUTE(SUBSTITUTE(SUBSTITUTE(TRIM(G520),".",""),"/",""),"-","")," ",""),"(",""),")",""),"+",""))</f>
      </c>
      <c r="U520" s="6">
        <f>IF(T520="","",IF(LEN(T520)&lt;&gt;14,"ERRO: "&amp;LEN(T520)&amp;" dígitos",IF(NOT(ISNUMBER(VALUE(T520))),"ERRO: não numérico",IF(LEN(SUBSTITUTE(T520,LEFT(T520,1),""))=0,"ERRO: dígitos repetidos",IF(AND(VALUE(MID(T520,13,1))=IF(MOD(SUMPRODUCT(--MID(T520,{1,2,3,4,5,6,7,8,9,10,11,12},1),{5,4,3,2,9,8,7,6,5,4,3,2}),11)&lt;2,0,11-MOD(SUMPRODUCT(--MID(T520,{1,2,3,4,5,6,7,8,9,10,11,12},1),{5,4,3,2,9,8,7,6,5,4,3,2}),11)),VALUE(MID(T520,14,1))=IF(MOD(SUMPRODUCT(--MID(T520,{1,2,3,4,5,6,7,8,9,10,11,12,13},1),{6,5,4,3,2,9,8,7,6,5,4,3,2}),11)&lt;2,0,11-MOD(SUMPRODUCT(--MID(T520,{1,2,3,4,5,6,7,8,9,10,11,12,13},1),{6,5,4,3,2,9,8,7,6,5,4,3,2}),11))),"OK","ERRO: dígito verificador")))))</f>
      </c>
      <c r="V520" s="6">
        <f>IF(T520="","",IF(COUNTIF($T$2:$T$1001,T520)&gt;1,"DUPLICADO","OK"))</f>
      </c>
      <c r="W520" s="6">
        <f>IF(M520="","vazio",IF(OR(AND(LEN(SUBSTITUTE(SUBSTITUTE(SUBSTITUTE(SUBSTITUTE(SUBSTITUTE(SUBSTITUTE(SUBSTITUTE(TRIM(M520),".",""),"/",""),"-","")," ",""),"(",""),")",""),"+",""))=10,LEFT(SUBSTITUTE(SUBSTITUTE(SUBSTITUTE(SUBSTITUTE(SUBSTITUTE(SUBSTITUTE(SUBSTITUTE(TRIM(M520),".",""),"/",""),"-","")," ",""),"(",""),")",""),"+",""),1)&lt;&gt;"0"),AND(LEN(SUBSTITUTE(SUBSTITUTE(SUBSTITUTE(SUBSTITUTE(SUBSTITUTE(SUBSTITUTE(SUBSTITUTE(TRIM(M520),".",""),"/",""),"-","")," ",""),"(",""),")",""),"+",""))=11,LEFT(SUBSTITUTE(SUBSTITUTE(SUBSTITUTE(SUBSTITUTE(SUBSTITUTE(SUBSTITUTE(SUBSTITUTE(TRIM(M520),".",""),"/",""),"-","")," ",""),"(",""),")",""),"+",""),4)="0800")),"OK",IF(AND(LEN(SUBSTITUTE(SUBSTITUTE(SUBSTITUTE(SUBSTITUTE(SUBSTITUTE(SUBSTITUTE(SUBSTITUTE(TRIM(M520),".",""),"/",""),"-","")," ",""),"(",""),")",""),"+",""))=11,MID(SUBSTITUTE(SUBSTITUTE(SUBSTITUTE(SUBSTITUTE(SUBSTITUTE(SUBSTITUTE(SUBSTITUTE(TRIM(M520),".",""),"/",""),"-","")," ",""),"(",""),")",""),"+",""),3,1)="9"),"ERRO: é celular, use a coluna Celular","ERRO: DDD + 8 dígitos ou 0800 + 7")))</f>
      </c>
      <c r="X520" s="6">
        <f>IF(N520="","vazio",IF(AND(LEN(SUBSTITUTE(SUBSTITUTE(SUBSTITUTE(SUBSTITUTE(SUBSTITUTE(SUBSTITUTE(SUBSTITUTE(TRIM(N520),".",""),"/",""),"-","")," ",""),"(",""),")",""),"+",""))=11,MID(SUBSTITUTE(SUBSTITUTE(SUBSTITUTE(SUBSTITUTE(SUBSTITUTE(SUBSTITUTE(SUBSTITUTE(TRIM(N520),".",""),"/",""),"-","")," ",""),"(",""),")",""),"+",""),3,1)="9",LEFT(SUBSTITUTE(SUBSTITUTE(SUBSTITUTE(SUBSTITUTE(SUBSTITUTE(SUBSTITUTE(SUBSTITUTE(TRIM(N520),".",""),"/",""),"-","")," ",""),"(",""),")",""),"+",""),1)&lt;&gt;"0"),"OK",IF(LEN(SUBSTITUTE(SUBSTITUTE(SUBSTITUTE(SUBSTITUTE(SUBSTITUTE(SUBSTITUTE(SUBSTITUTE(TRIM(N520),".",""),"/",""),"-","")," ",""),"(",""),")",""),"+",""))=10,"ERRO: é fixo (ou falta o 9), use a coluna Telefone fixo","ERRO: DDD + 9 + 8 dígitos")))</f>
      </c>
      <c r="Y520" s="6">
        <f>IF(O520="","vazio",IF(AND(ISNUMBER(FIND("@",O520)),ISNUMBER(FIND(".",MID(O520,FIND("@",O520),99))),NOT(ISNUMBER(FIND(" ",TRIM(O520)))),NOT(ISNUMBER(FIND(";",O520))),NOT(ISNUMBER(FIND(",",O520)))),"OK","ERRO: um e-mail válido por linha"))</f>
      </c>
      <c r="Z520" s="6">
        <f>IF(AND(J520="",K520=""),"",IF(AND(J520&lt;&gt;"",K520&lt;&gt;""),"OK","pendente: só um nome (o GR completa ao converter)"))</f>
      </c>
      <c r="AA520" s="6">
        <f>IF(COUNTA(A520:S520)=0,"",IF(AND(A520&lt;&gt;"",B520&lt;&gt;"",C520&lt;&gt;"",D520&lt;&gt;"",E520&lt;&gt;"",F520&lt;&gt;"",G520&lt;&gt;"",H520&lt;&gt;"",OR(J520&lt;&gt;"",K520&lt;&gt;""),OR(M520&lt;&gt;"",N520&lt;&gt;"",O520&lt;&gt;"")),"OK","ERRO: faltam "&amp;IF(A520="","SDR; ","")&amp;IF(B520="","Proprietário; ","")&amp;IF(C520="","Origem; ","")&amp;IF(D520="","Temperatura; ","")&amp;IF(E520="","Segmento; ","")&amp;IF(F520="","Time/Cluster; ","")&amp;IF(G520="","CNPJ; ","")&amp;IF(H520="","Razão Social; ","")&amp;IF(AND(J520="",K520=""),"nome do contato; ","")&amp;IF(AND(M520="",N520="",O520=""),"telefone, celular ou e-mail; ","")))</f>
      </c>
      <c r="AB520" s="6">
        <f>IF(COUNTA(A520:S520)=0,"",IF(AND(U520="OK",V520="OK",LEFT(W520,4)&lt;&gt;"ERRO",LEFT(X520,4)&lt;&gt;"ERRO",LEFT(Y520,4)&lt;&gt;"ERRO",AA520="OK"),"OK","REVISAR"))</f>
      </c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5"/>
      <c r="K521" s="4"/>
      <c r="L521" s="4"/>
      <c r="M521" s="4"/>
      <c r="N521" s="4"/>
      <c r="O521" s="4"/>
      <c r="P521" s="4"/>
      <c r="Q521" s="4"/>
      <c r="R521" s="4"/>
      <c r="S521" s="4"/>
      <c r="T521" s="6">
        <f>IF(G521="","",SUBSTITUTE(SUBSTITUTE(SUBSTITUTE(SUBSTITUTE(SUBSTITUTE(SUBSTITUTE(SUBSTITUTE(TRIM(G521),".",""),"/",""),"-","")," ",""),"(",""),")",""),"+",""))</f>
      </c>
      <c r="U521" s="6">
        <f>IF(T521="","",IF(LEN(T521)&lt;&gt;14,"ERRO: "&amp;LEN(T521)&amp;" dígitos",IF(NOT(ISNUMBER(VALUE(T521))),"ERRO: não numérico",IF(LEN(SUBSTITUTE(T521,LEFT(T521,1),""))=0,"ERRO: dígitos repetidos",IF(AND(VALUE(MID(T521,13,1))=IF(MOD(SUMPRODUCT(--MID(T521,{1,2,3,4,5,6,7,8,9,10,11,12},1),{5,4,3,2,9,8,7,6,5,4,3,2}),11)&lt;2,0,11-MOD(SUMPRODUCT(--MID(T521,{1,2,3,4,5,6,7,8,9,10,11,12},1),{5,4,3,2,9,8,7,6,5,4,3,2}),11)),VALUE(MID(T521,14,1))=IF(MOD(SUMPRODUCT(--MID(T521,{1,2,3,4,5,6,7,8,9,10,11,12,13},1),{6,5,4,3,2,9,8,7,6,5,4,3,2}),11)&lt;2,0,11-MOD(SUMPRODUCT(--MID(T521,{1,2,3,4,5,6,7,8,9,10,11,12,13},1),{6,5,4,3,2,9,8,7,6,5,4,3,2}),11))),"OK","ERRO: dígito verificador")))))</f>
      </c>
      <c r="V521" s="6">
        <f>IF(T521="","",IF(COUNTIF($T$2:$T$1001,T521)&gt;1,"DUPLICADO","OK"))</f>
      </c>
      <c r="W521" s="6">
        <f>IF(M521="","vazio",IF(OR(AND(LEN(SUBSTITUTE(SUBSTITUTE(SUBSTITUTE(SUBSTITUTE(SUBSTITUTE(SUBSTITUTE(SUBSTITUTE(TRIM(M521),".",""),"/",""),"-","")," ",""),"(",""),")",""),"+",""))=10,LEFT(SUBSTITUTE(SUBSTITUTE(SUBSTITUTE(SUBSTITUTE(SUBSTITUTE(SUBSTITUTE(SUBSTITUTE(TRIM(M521),".",""),"/",""),"-","")," ",""),"(",""),")",""),"+",""),1)&lt;&gt;"0"),AND(LEN(SUBSTITUTE(SUBSTITUTE(SUBSTITUTE(SUBSTITUTE(SUBSTITUTE(SUBSTITUTE(SUBSTITUTE(TRIM(M521),".",""),"/",""),"-","")," ",""),"(",""),")",""),"+",""))=11,LEFT(SUBSTITUTE(SUBSTITUTE(SUBSTITUTE(SUBSTITUTE(SUBSTITUTE(SUBSTITUTE(SUBSTITUTE(TRIM(M521),".",""),"/",""),"-","")," ",""),"(",""),")",""),"+",""),4)="0800")),"OK",IF(AND(LEN(SUBSTITUTE(SUBSTITUTE(SUBSTITUTE(SUBSTITUTE(SUBSTITUTE(SUBSTITUTE(SUBSTITUTE(TRIM(M521),".",""),"/",""),"-","")," ",""),"(",""),")",""),"+",""))=11,MID(SUBSTITUTE(SUBSTITUTE(SUBSTITUTE(SUBSTITUTE(SUBSTITUTE(SUBSTITUTE(SUBSTITUTE(TRIM(M521),".",""),"/",""),"-","")," ",""),"(",""),")",""),"+",""),3,1)="9"),"ERRO: é celular, use a coluna Celular","ERRO: DDD + 8 dígitos ou 0800 + 7")))</f>
      </c>
      <c r="X521" s="6">
        <f>IF(N521="","vazio",IF(AND(LEN(SUBSTITUTE(SUBSTITUTE(SUBSTITUTE(SUBSTITUTE(SUBSTITUTE(SUBSTITUTE(SUBSTITUTE(TRIM(N521),".",""),"/",""),"-","")," ",""),"(",""),")",""),"+",""))=11,MID(SUBSTITUTE(SUBSTITUTE(SUBSTITUTE(SUBSTITUTE(SUBSTITUTE(SUBSTITUTE(SUBSTITUTE(TRIM(N521),".",""),"/",""),"-","")," ",""),"(",""),")",""),"+",""),3,1)="9",LEFT(SUBSTITUTE(SUBSTITUTE(SUBSTITUTE(SUBSTITUTE(SUBSTITUTE(SUBSTITUTE(SUBSTITUTE(TRIM(N521),".",""),"/",""),"-","")," ",""),"(",""),")",""),"+",""),1)&lt;&gt;"0"),"OK",IF(LEN(SUBSTITUTE(SUBSTITUTE(SUBSTITUTE(SUBSTITUTE(SUBSTITUTE(SUBSTITUTE(SUBSTITUTE(TRIM(N521),".",""),"/",""),"-","")," ",""),"(",""),")",""),"+",""))=10,"ERRO: é fixo (ou falta o 9), use a coluna Telefone fixo","ERRO: DDD + 9 + 8 dígitos")))</f>
      </c>
      <c r="Y521" s="6">
        <f>IF(O521="","vazio",IF(AND(ISNUMBER(FIND("@",O521)),ISNUMBER(FIND(".",MID(O521,FIND("@",O521),99))),NOT(ISNUMBER(FIND(" ",TRIM(O521)))),NOT(ISNUMBER(FIND(";",O521))),NOT(ISNUMBER(FIND(",",O521)))),"OK","ERRO: um e-mail válido por linha"))</f>
      </c>
      <c r="Z521" s="6">
        <f>IF(AND(J521="",K521=""),"",IF(AND(J521&lt;&gt;"",K521&lt;&gt;""),"OK","pendente: só um nome (o GR completa ao converter)"))</f>
      </c>
      <c r="AA521" s="6">
        <f>IF(COUNTA(A521:S521)=0,"",IF(AND(A521&lt;&gt;"",B521&lt;&gt;"",C521&lt;&gt;"",D521&lt;&gt;"",E521&lt;&gt;"",F521&lt;&gt;"",G521&lt;&gt;"",H521&lt;&gt;"",OR(J521&lt;&gt;"",K521&lt;&gt;""),OR(M521&lt;&gt;"",N521&lt;&gt;"",O521&lt;&gt;"")),"OK","ERRO: faltam "&amp;IF(A521="","SDR; ","")&amp;IF(B521="","Proprietário; ","")&amp;IF(C521="","Origem; ","")&amp;IF(D521="","Temperatura; ","")&amp;IF(E521="","Segmento; ","")&amp;IF(F521="","Time/Cluster; ","")&amp;IF(G521="","CNPJ; ","")&amp;IF(H521="","Razão Social; ","")&amp;IF(AND(J521="",K521=""),"nome do contato; ","")&amp;IF(AND(M521="",N521="",O521=""),"telefone, celular ou e-mail; ","")))</f>
      </c>
      <c r="AB521" s="6">
        <f>IF(COUNTA(A521:S521)=0,"",IF(AND(U521="OK",V521="OK",LEFT(W521,4)&lt;&gt;"ERRO",LEFT(X521,4)&lt;&gt;"ERRO",LEFT(Y521,4)&lt;&gt;"ERRO",AA521="OK"),"OK","REVISAR"))</f>
      </c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5"/>
      <c r="K522" s="4"/>
      <c r="L522" s="4"/>
      <c r="M522" s="4"/>
      <c r="N522" s="4"/>
      <c r="O522" s="4"/>
      <c r="P522" s="4"/>
      <c r="Q522" s="4"/>
      <c r="R522" s="4"/>
      <c r="S522" s="4"/>
      <c r="T522" s="6">
        <f>IF(G522="","",SUBSTITUTE(SUBSTITUTE(SUBSTITUTE(SUBSTITUTE(SUBSTITUTE(SUBSTITUTE(SUBSTITUTE(TRIM(G522),".",""),"/",""),"-","")," ",""),"(",""),")",""),"+",""))</f>
      </c>
      <c r="U522" s="6">
        <f>IF(T522="","",IF(LEN(T522)&lt;&gt;14,"ERRO: "&amp;LEN(T522)&amp;" dígitos",IF(NOT(ISNUMBER(VALUE(T522))),"ERRO: não numérico",IF(LEN(SUBSTITUTE(T522,LEFT(T522,1),""))=0,"ERRO: dígitos repetidos",IF(AND(VALUE(MID(T522,13,1))=IF(MOD(SUMPRODUCT(--MID(T522,{1,2,3,4,5,6,7,8,9,10,11,12},1),{5,4,3,2,9,8,7,6,5,4,3,2}),11)&lt;2,0,11-MOD(SUMPRODUCT(--MID(T522,{1,2,3,4,5,6,7,8,9,10,11,12},1),{5,4,3,2,9,8,7,6,5,4,3,2}),11)),VALUE(MID(T522,14,1))=IF(MOD(SUMPRODUCT(--MID(T522,{1,2,3,4,5,6,7,8,9,10,11,12,13},1),{6,5,4,3,2,9,8,7,6,5,4,3,2}),11)&lt;2,0,11-MOD(SUMPRODUCT(--MID(T522,{1,2,3,4,5,6,7,8,9,10,11,12,13},1),{6,5,4,3,2,9,8,7,6,5,4,3,2}),11))),"OK","ERRO: dígito verificador")))))</f>
      </c>
      <c r="V522" s="6">
        <f>IF(T522="","",IF(COUNTIF($T$2:$T$1001,T522)&gt;1,"DUPLICADO","OK"))</f>
      </c>
      <c r="W522" s="6">
        <f>IF(M522="","vazio",IF(OR(AND(LEN(SUBSTITUTE(SUBSTITUTE(SUBSTITUTE(SUBSTITUTE(SUBSTITUTE(SUBSTITUTE(SUBSTITUTE(TRIM(M522),".",""),"/",""),"-","")," ",""),"(",""),")",""),"+",""))=10,LEFT(SUBSTITUTE(SUBSTITUTE(SUBSTITUTE(SUBSTITUTE(SUBSTITUTE(SUBSTITUTE(SUBSTITUTE(TRIM(M522),".",""),"/",""),"-","")," ",""),"(",""),")",""),"+",""),1)&lt;&gt;"0"),AND(LEN(SUBSTITUTE(SUBSTITUTE(SUBSTITUTE(SUBSTITUTE(SUBSTITUTE(SUBSTITUTE(SUBSTITUTE(TRIM(M522),".",""),"/",""),"-","")," ",""),"(",""),")",""),"+",""))=11,LEFT(SUBSTITUTE(SUBSTITUTE(SUBSTITUTE(SUBSTITUTE(SUBSTITUTE(SUBSTITUTE(SUBSTITUTE(TRIM(M522),".",""),"/",""),"-","")," ",""),"(",""),")",""),"+",""),4)="0800")),"OK",IF(AND(LEN(SUBSTITUTE(SUBSTITUTE(SUBSTITUTE(SUBSTITUTE(SUBSTITUTE(SUBSTITUTE(SUBSTITUTE(TRIM(M522),".",""),"/",""),"-","")," ",""),"(",""),")",""),"+",""))=11,MID(SUBSTITUTE(SUBSTITUTE(SUBSTITUTE(SUBSTITUTE(SUBSTITUTE(SUBSTITUTE(SUBSTITUTE(TRIM(M522),".",""),"/",""),"-","")," ",""),"(",""),")",""),"+",""),3,1)="9"),"ERRO: é celular, use a coluna Celular","ERRO: DDD + 8 dígitos ou 0800 + 7")))</f>
      </c>
      <c r="X522" s="6">
        <f>IF(N522="","vazio",IF(AND(LEN(SUBSTITUTE(SUBSTITUTE(SUBSTITUTE(SUBSTITUTE(SUBSTITUTE(SUBSTITUTE(SUBSTITUTE(TRIM(N522),".",""),"/",""),"-","")," ",""),"(",""),")",""),"+",""))=11,MID(SUBSTITUTE(SUBSTITUTE(SUBSTITUTE(SUBSTITUTE(SUBSTITUTE(SUBSTITUTE(SUBSTITUTE(TRIM(N522),".",""),"/",""),"-","")," ",""),"(",""),")",""),"+",""),3,1)="9",LEFT(SUBSTITUTE(SUBSTITUTE(SUBSTITUTE(SUBSTITUTE(SUBSTITUTE(SUBSTITUTE(SUBSTITUTE(TRIM(N522),".",""),"/",""),"-","")," ",""),"(",""),")",""),"+",""),1)&lt;&gt;"0"),"OK",IF(LEN(SUBSTITUTE(SUBSTITUTE(SUBSTITUTE(SUBSTITUTE(SUBSTITUTE(SUBSTITUTE(SUBSTITUTE(TRIM(N522),".",""),"/",""),"-","")," ",""),"(",""),")",""),"+",""))=10,"ERRO: é fixo (ou falta o 9), use a coluna Telefone fixo","ERRO: DDD + 9 + 8 dígitos")))</f>
      </c>
      <c r="Y522" s="6">
        <f>IF(O522="","vazio",IF(AND(ISNUMBER(FIND("@",O522)),ISNUMBER(FIND(".",MID(O522,FIND("@",O522),99))),NOT(ISNUMBER(FIND(" ",TRIM(O522)))),NOT(ISNUMBER(FIND(";",O522))),NOT(ISNUMBER(FIND(",",O522)))),"OK","ERRO: um e-mail válido por linha"))</f>
      </c>
      <c r="Z522" s="6">
        <f>IF(AND(J522="",K522=""),"",IF(AND(J522&lt;&gt;"",K522&lt;&gt;""),"OK","pendente: só um nome (o GR completa ao converter)"))</f>
      </c>
      <c r="AA522" s="6">
        <f>IF(COUNTA(A522:S522)=0,"",IF(AND(A522&lt;&gt;"",B522&lt;&gt;"",C522&lt;&gt;"",D522&lt;&gt;"",E522&lt;&gt;"",F522&lt;&gt;"",G522&lt;&gt;"",H522&lt;&gt;"",OR(J522&lt;&gt;"",K522&lt;&gt;""),OR(M522&lt;&gt;"",N522&lt;&gt;"",O522&lt;&gt;"")),"OK","ERRO: faltam "&amp;IF(A522="","SDR; ","")&amp;IF(B522="","Proprietário; ","")&amp;IF(C522="","Origem; ","")&amp;IF(D522="","Temperatura; ","")&amp;IF(E522="","Segmento; ","")&amp;IF(F522="","Time/Cluster; ","")&amp;IF(G522="","CNPJ; ","")&amp;IF(H522="","Razão Social; ","")&amp;IF(AND(J522="",K522=""),"nome do contato; ","")&amp;IF(AND(M522="",N522="",O522=""),"telefone, celular ou e-mail; ","")))</f>
      </c>
      <c r="AB522" s="6">
        <f>IF(COUNTA(A522:S522)=0,"",IF(AND(U522="OK",V522="OK",LEFT(W522,4)&lt;&gt;"ERRO",LEFT(X522,4)&lt;&gt;"ERRO",LEFT(Y522,4)&lt;&gt;"ERRO",AA522="OK"),"OK","REVISAR"))</f>
      </c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5"/>
      <c r="K523" s="4"/>
      <c r="L523" s="4"/>
      <c r="M523" s="4"/>
      <c r="N523" s="4"/>
      <c r="O523" s="4"/>
      <c r="P523" s="4"/>
      <c r="Q523" s="4"/>
      <c r="R523" s="4"/>
      <c r="S523" s="4"/>
      <c r="T523" s="6">
        <f>IF(G523="","",SUBSTITUTE(SUBSTITUTE(SUBSTITUTE(SUBSTITUTE(SUBSTITUTE(SUBSTITUTE(SUBSTITUTE(TRIM(G523),".",""),"/",""),"-","")," ",""),"(",""),")",""),"+",""))</f>
      </c>
      <c r="U523" s="6">
        <f>IF(T523="","",IF(LEN(T523)&lt;&gt;14,"ERRO: "&amp;LEN(T523)&amp;" dígitos",IF(NOT(ISNUMBER(VALUE(T523))),"ERRO: não numérico",IF(LEN(SUBSTITUTE(T523,LEFT(T523,1),""))=0,"ERRO: dígitos repetidos",IF(AND(VALUE(MID(T523,13,1))=IF(MOD(SUMPRODUCT(--MID(T523,{1,2,3,4,5,6,7,8,9,10,11,12},1),{5,4,3,2,9,8,7,6,5,4,3,2}),11)&lt;2,0,11-MOD(SUMPRODUCT(--MID(T523,{1,2,3,4,5,6,7,8,9,10,11,12},1),{5,4,3,2,9,8,7,6,5,4,3,2}),11)),VALUE(MID(T523,14,1))=IF(MOD(SUMPRODUCT(--MID(T523,{1,2,3,4,5,6,7,8,9,10,11,12,13},1),{6,5,4,3,2,9,8,7,6,5,4,3,2}),11)&lt;2,0,11-MOD(SUMPRODUCT(--MID(T523,{1,2,3,4,5,6,7,8,9,10,11,12,13},1),{6,5,4,3,2,9,8,7,6,5,4,3,2}),11))),"OK","ERRO: dígito verificador")))))</f>
      </c>
      <c r="V523" s="6">
        <f>IF(T523="","",IF(COUNTIF($T$2:$T$1001,T523)&gt;1,"DUPLICADO","OK"))</f>
      </c>
      <c r="W523" s="6">
        <f>IF(M523="","vazio",IF(OR(AND(LEN(SUBSTITUTE(SUBSTITUTE(SUBSTITUTE(SUBSTITUTE(SUBSTITUTE(SUBSTITUTE(SUBSTITUTE(TRIM(M523),".",""),"/",""),"-","")," ",""),"(",""),")",""),"+",""))=10,LEFT(SUBSTITUTE(SUBSTITUTE(SUBSTITUTE(SUBSTITUTE(SUBSTITUTE(SUBSTITUTE(SUBSTITUTE(TRIM(M523),".",""),"/",""),"-","")," ",""),"(",""),")",""),"+",""),1)&lt;&gt;"0"),AND(LEN(SUBSTITUTE(SUBSTITUTE(SUBSTITUTE(SUBSTITUTE(SUBSTITUTE(SUBSTITUTE(SUBSTITUTE(TRIM(M523),".",""),"/",""),"-","")," ",""),"(",""),")",""),"+",""))=11,LEFT(SUBSTITUTE(SUBSTITUTE(SUBSTITUTE(SUBSTITUTE(SUBSTITUTE(SUBSTITUTE(SUBSTITUTE(TRIM(M523),".",""),"/",""),"-","")," ",""),"(",""),")",""),"+",""),4)="0800")),"OK",IF(AND(LEN(SUBSTITUTE(SUBSTITUTE(SUBSTITUTE(SUBSTITUTE(SUBSTITUTE(SUBSTITUTE(SUBSTITUTE(TRIM(M523),".",""),"/",""),"-","")," ",""),"(",""),")",""),"+",""))=11,MID(SUBSTITUTE(SUBSTITUTE(SUBSTITUTE(SUBSTITUTE(SUBSTITUTE(SUBSTITUTE(SUBSTITUTE(TRIM(M523),".",""),"/",""),"-","")," ",""),"(",""),")",""),"+",""),3,1)="9"),"ERRO: é celular, use a coluna Celular","ERRO: DDD + 8 dígitos ou 0800 + 7")))</f>
      </c>
      <c r="X523" s="6">
        <f>IF(N523="","vazio",IF(AND(LEN(SUBSTITUTE(SUBSTITUTE(SUBSTITUTE(SUBSTITUTE(SUBSTITUTE(SUBSTITUTE(SUBSTITUTE(TRIM(N523),".",""),"/",""),"-","")," ",""),"(",""),")",""),"+",""))=11,MID(SUBSTITUTE(SUBSTITUTE(SUBSTITUTE(SUBSTITUTE(SUBSTITUTE(SUBSTITUTE(SUBSTITUTE(TRIM(N523),".",""),"/",""),"-","")," ",""),"(",""),")",""),"+",""),3,1)="9",LEFT(SUBSTITUTE(SUBSTITUTE(SUBSTITUTE(SUBSTITUTE(SUBSTITUTE(SUBSTITUTE(SUBSTITUTE(TRIM(N523),".",""),"/",""),"-","")," ",""),"(",""),")",""),"+",""),1)&lt;&gt;"0"),"OK",IF(LEN(SUBSTITUTE(SUBSTITUTE(SUBSTITUTE(SUBSTITUTE(SUBSTITUTE(SUBSTITUTE(SUBSTITUTE(TRIM(N523),".",""),"/",""),"-","")," ",""),"(",""),")",""),"+",""))=10,"ERRO: é fixo (ou falta o 9), use a coluna Telefone fixo","ERRO: DDD + 9 + 8 dígitos")))</f>
      </c>
      <c r="Y523" s="6">
        <f>IF(O523="","vazio",IF(AND(ISNUMBER(FIND("@",O523)),ISNUMBER(FIND(".",MID(O523,FIND("@",O523),99))),NOT(ISNUMBER(FIND(" ",TRIM(O523)))),NOT(ISNUMBER(FIND(";",O523))),NOT(ISNUMBER(FIND(",",O523)))),"OK","ERRO: um e-mail válido por linha"))</f>
      </c>
      <c r="Z523" s="6">
        <f>IF(AND(J523="",K523=""),"",IF(AND(J523&lt;&gt;"",K523&lt;&gt;""),"OK","pendente: só um nome (o GR completa ao converter)"))</f>
      </c>
      <c r="AA523" s="6">
        <f>IF(COUNTA(A523:S523)=0,"",IF(AND(A523&lt;&gt;"",B523&lt;&gt;"",C523&lt;&gt;"",D523&lt;&gt;"",E523&lt;&gt;"",F523&lt;&gt;"",G523&lt;&gt;"",H523&lt;&gt;"",OR(J523&lt;&gt;"",K523&lt;&gt;""),OR(M523&lt;&gt;"",N523&lt;&gt;"",O523&lt;&gt;"")),"OK","ERRO: faltam "&amp;IF(A523="","SDR; ","")&amp;IF(B523="","Proprietário; ","")&amp;IF(C523="","Origem; ","")&amp;IF(D523="","Temperatura; ","")&amp;IF(E523="","Segmento; ","")&amp;IF(F523="","Time/Cluster; ","")&amp;IF(G523="","CNPJ; ","")&amp;IF(H523="","Razão Social; ","")&amp;IF(AND(J523="",K523=""),"nome do contato; ","")&amp;IF(AND(M523="",N523="",O523=""),"telefone, celular ou e-mail; ","")))</f>
      </c>
      <c r="AB523" s="6">
        <f>IF(COUNTA(A523:S523)=0,"",IF(AND(U523="OK",V523="OK",LEFT(W523,4)&lt;&gt;"ERRO",LEFT(X523,4)&lt;&gt;"ERRO",LEFT(Y523,4)&lt;&gt;"ERRO",AA523="OK"),"OK","REVISAR"))</f>
      </c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5"/>
      <c r="K524" s="4"/>
      <c r="L524" s="4"/>
      <c r="M524" s="4"/>
      <c r="N524" s="4"/>
      <c r="O524" s="4"/>
      <c r="P524" s="4"/>
      <c r="Q524" s="4"/>
      <c r="R524" s="4"/>
      <c r="S524" s="4"/>
      <c r="T524" s="6">
        <f>IF(G524="","",SUBSTITUTE(SUBSTITUTE(SUBSTITUTE(SUBSTITUTE(SUBSTITUTE(SUBSTITUTE(SUBSTITUTE(TRIM(G524),".",""),"/",""),"-","")," ",""),"(",""),")",""),"+",""))</f>
      </c>
      <c r="U524" s="6">
        <f>IF(T524="","",IF(LEN(T524)&lt;&gt;14,"ERRO: "&amp;LEN(T524)&amp;" dígitos",IF(NOT(ISNUMBER(VALUE(T524))),"ERRO: não numérico",IF(LEN(SUBSTITUTE(T524,LEFT(T524,1),""))=0,"ERRO: dígitos repetidos",IF(AND(VALUE(MID(T524,13,1))=IF(MOD(SUMPRODUCT(--MID(T524,{1,2,3,4,5,6,7,8,9,10,11,12},1),{5,4,3,2,9,8,7,6,5,4,3,2}),11)&lt;2,0,11-MOD(SUMPRODUCT(--MID(T524,{1,2,3,4,5,6,7,8,9,10,11,12},1),{5,4,3,2,9,8,7,6,5,4,3,2}),11)),VALUE(MID(T524,14,1))=IF(MOD(SUMPRODUCT(--MID(T524,{1,2,3,4,5,6,7,8,9,10,11,12,13},1),{6,5,4,3,2,9,8,7,6,5,4,3,2}),11)&lt;2,0,11-MOD(SUMPRODUCT(--MID(T524,{1,2,3,4,5,6,7,8,9,10,11,12,13},1),{6,5,4,3,2,9,8,7,6,5,4,3,2}),11))),"OK","ERRO: dígito verificador")))))</f>
      </c>
      <c r="V524" s="6">
        <f>IF(T524="","",IF(COUNTIF($T$2:$T$1001,T524)&gt;1,"DUPLICADO","OK"))</f>
      </c>
      <c r="W524" s="6">
        <f>IF(M524="","vazio",IF(OR(AND(LEN(SUBSTITUTE(SUBSTITUTE(SUBSTITUTE(SUBSTITUTE(SUBSTITUTE(SUBSTITUTE(SUBSTITUTE(TRIM(M524),".",""),"/",""),"-","")," ",""),"(",""),")",""),"+",""))=10,LEFT(SUBSTITUTE(SUBSTITUTE(SUBSTITUTE(SUBSTITUTE(SUBSTITUTE(SUBSTITUTE(SUBSTITUTE(TRIM(M524),".",""),"/",""),"-","")," ",""),"(",""),")",""),"+",""),1)&lt;&gt;"0"),AND(LEN(SUBSTITUTE(SUBSTITUTE(SUBSTITUTE(SUBSTITUTE(SUBSTITUTE(SUBSTITUTE(SUBSTITUTE(TRIM(M524),".",""),"/",""),"-","")," ",""),"(",""),")",""),"+",""))=11,LEFT(SUBSTITUTE(SUBSTITUTE(SUBSTITUTE(SUBSTITUTE(SUBSTITUTE(SUBSTITUTE(SUBSTITUTE(TRIM(M524),".",""),"/",""),"-","")," ",""),"(",""),")",""),"+",""),4)="0800")),"OK",IF(AND(LEN(SUBSTITUTE(SUBSTITUTE(SUBSTITUTE(SUBSTITUTE(SUBSTITUTE(SUBSTITUTE(SUBSTITUTE(TRIM(M524),".",""),"/",""),"-","")," ",""),"(",""),")",""),"+",""))=11,MID(SUBSTITUTE(SUBSTITUTE(SUBSTITUTE(SUBSTITUTE(SUBSTITUTE(SUBSTITUTE(SUBSTITUTE(TRIM(M524),".",""),"/",""),"-","")," ",""),"(",""),")",""),"+",""),3,1)="9"),"ERRO: é celular, use a coluna Celular","ERRO: DDD + 8 dígitos ou 0800 + 7")))</f>
      </c>
      <c r="X524" s="6">
        <f>IF(N524="","vazio",IF(AND(LEN(SUBSTITUTE(SUBSTITUTE(SUBSTITUTE(SUBSTITUTE(SUBSTITUTE(SUBSTITUTE(SUBSTITUTE(TRIM(N524),".",""),"/",""),"-","")," ",""),"(",""),")",""),"+",""))=11,MID(SUBSTITUTE(SUBSTITUTE(SUBSTITUTE(SUBSTITUTE(SUBSTITUTE(SUBSTITUTE(SUBSTITUTE(TRIM(N524),".",""),"/",""),"-","")," ",""),"(",""),")",""),"+",""),3,1)="9",LEFT(SUBSTITUTE(SUBSTITUTE(SUBSTITUTE(SUBSTITUTE(SUBSTITUTE(SUBSTITUTE(SUBSTITUTE(TRIM(N524),".",""),"/",""),"-","")," ",""),"(",""),")",""),"+",""),1)&lt;&gt;"0"),"OK",IF(LEN(SUBSTITUTE(SUBSTITUTE(SUBSTITUTE(SUBSTITUTE(SUBSTITUTE(SUBSTITUTE(SUBSTITUTE(TRIM(N524),".",""),"/",""),"-","")," ",""),"(",""),")",""),"+",""))=10,"ERRO: é fixo (ou falta o 9), use a coluna Telefone fixo","ERRO: DDD + 9 + 8 dígitos")))</f>
      </c>
      <c r="Y524" s="6">
        <f>IF(O524="","vazio",IF(AND(ISNUMBER(FIND("@",O524)),ISNUMBER(FIND(".",MID(O524,FIND("@",O524),99))),NOT(ISNUMBER(FIND(" ",TRIM(O524)))),NOT(ISNUMBER(FIND(";",O524))),NOT(ISNUMBER(FIND(",",O524)))),"OK","ERRO: um e-mail válido por linha"))</f>
      </c>
      <c r="Z524" s="6">
        <f>IF(AND(J524="",K524=""),"",IF(AND(J524&lt;&gt;"",K524&lt;&gt;""),"OK","pendente: só um nome (o GR completa ao converter)"))</f>
      </c>
      <c r="AA524" s="6">
        <f>IF(COUNTA(A524:S524)=0,"",IF(AND(A524&lt;&gt;"",B524&lt;&gt;"",C524&lt;&gt;"",D524&lt;&gt;"",E524&lt;&gt;"",F524&lt;&gt;"",G524&lt;&gt;"",H524&lt;&gt;"",OR(J524&lt;&gt;"",K524&lt;&gt;""),OR(M524&lt;&gt;"",N524&lt;&gt;"",O524&lt;&gt;"")),"OK","ERRO: faltam "&amp;IF(A524="","SDR; ","")&amp;IF(B524="","Proprietário; ","")&amp;IF(C524="","Origem; ","")&amp;IF(D524="","Temperatura; ","")&amp;IF(E524="","Segmento; ","")&amp;IF(F524="","Time/Cluster; ","")&amp;IF(G524="","CNPJ; ","")&amp;IF(H524="","Razão Social; ","")&amp;IF(AND(J524="",K524=""),"nome do contato; ","")&amp;IF(AND(M524="",N524="",O524=""),"telefone, celular ou e-mail; ","")))</f>
      </c>
      <c r="AB524" s="6">
        <f>IF(COUNTA(A524:S524)=0,"",IF(AND(U524="OK",V524="OK",LEFT(W524,4)&lt;&gt;"ERRO",LEFT(X524,4)&lt;&gt;"ERRO",LEFT(Y524,4)&lt;&gt;"ERRO",AA524="OK"),"OK","REVISAR"))</f>
      </c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5"/>
      <c r="K525" s="4"/>
      <c r="L525" s="4"/>
      <c r="M525" s="4"/>
      <c r="N525" s="4"/>
      <c r="O525" s="4"/>
      <c r="P525" s="4"/>
      <c r="Q525" s="4"/>
      <c r="R525" s="4"/>
      <c r="S525" s="4"/>
      <c r="T525" s="6">
        <f>IF(G525="","",SUBSTITUTE(SUBSTITUTE(SUBSTITUTE(SUBSTITUTE(SUBSTITUTE(SUBSTITUTE(SUBSTITUTE(TRIM(G525),".",""),"/",""),"-","")," ",""),"(",""),")",""),"+",""))</f>
      </c>
      <c r="U525" s="6">
        <f>IF(T525="","",IF(LEN(T525)&lt;&gt;14,"ERRO: "&amp;LEN(T525)&amp;" dígitos",IF(NOT(ISNUMBER(VALUE(T525))),"ERRO: não numérico",IF(LEN(SUBSTITUTE(T525,LEFT(T525,1),""))=0,"ERRO: dígitos repetidos",IF(AND(VALUE(MID(T525,13,1))=IF(MOD(SUMPRODUCT(--MID(T525,{1,2,3,4,5,6,7,8,9,10,11,12},1),{5,4,3,2,9,8,7,6,5,4,3,2}),11)&lt;2,0,11-MOD(SUMPRODUCT(--MID(T525,{1,2,3,4,5,6,7,8,9,10,11,12},1),{5,4,3,2,9,8,7,6,5,4,3,2}),11)),VALUE(MID(T525,14,1))=IF(MOD(SUMPRODUCT(--MID(T525,{1,2,3,4,5,6,7,8,9,10,11,12,13},1),{6,5,4,3,2,9,8,7,6,5,4,3,2}),11)&lt;2,0,11-MOD(SUMPRODUCT(--MID(T525,{1,2,3,4,5,6,7,8,9,10,11,12,13},1),{6,5,4,3,2,9,8,7,6,5,4,3,2}),11))),"OK","ERRO: dígito verificador")))))</f>
      </c>
      <c r="V525" s="6">
        <f>IF(T525="","",IF(COUNTIF($T$2:$T$1001,T525)&gt;1,"DUPLICADO","OK"))</f>
      </c>
      <c r="W525" s="6">
        <f>IF(M525="","vazio",IF(OR(AND(LEN(SUBSTITUTE(SUBSTITUTE(SUBSTITUTE(SUBSTITUTE(SUBSTITUTE(SUBSTITUTE(SUBSTITUTE(TRIM(M525),".",""),"/",""),"-","")," ",""),"(",""),")",""),"+",""))=10,LEFT(SUBSTITUTE(SUBSTITUTE(SUBSTITUTE(SUBSTITUTE(SUBSTITUTE(SUBSTITUTE(SUBSTITUTE(TRIM(M525),".",""),"/",""),"-","")," ",""),"(",""),")",""),"+",""),1)&lt;&gt;"0"),AND(LEN(SUBSTITUTE(SUBSTITUTE(SUBSTITUTE(SUBSTITUTE(SUBSTITUTE(SUBSTITUTE(SUBSTITUTE(TRIM(M525),".",""),"/",""),"-","")," ",""),"(",""),")",""),"+",""))=11,LEFT(SUBSTITUTE(SUBSTITUTE(SUBSTITUTE(SUBSTITUTE(SUBSTITUTE(SUBSTITUTE(SUBSTITUTE(TRIM(M525),".",""),"/",""),"-","")," ",""),"(",""),")",""),"+",""),4)="0800")),"OK",IF(AND(LEN(SUBSTITUTE(SUBSTITUTE(SUBSTITUTE(SUBSTITUTE(SUBSTITUTE(SUBSTITUTE(SUBSTITUTE(TRIM(M525),".",""),"/",""),"-","")," ",""),"(",""),")",""),"+",""))=11,MID(SUBSTITUTE(SUBSTITUTE(SUBSTITUTE(SUBSTITUTE(SUBSTITUTE(SUBSTITUTE(SUBSTITUTE(TRIM(M525),".",""),"/",""),"-","")," ",""),"(",""),")",""),"+",""),3,1)="9"),"ERRO: é celular, use a coluna Celular","ERRO: DDD + 8 dígitos ou 0800 + 7")))</f>
      </c>
      <c r="X525" s="6">
        <f>IF(N525="","vazio",IF(AND(LEN(SUBSTITUTE(SUBSTITUTE(SUBSTITUTE(SUBSTITUTE(SUBSTITUTE(SUBSTITUTE(SUBSTITUTE(TRIM(N525),".",""),"/",""),"-","")," ",""),"(",""),")",""),"+",""))=11,MID(SUBSTITUTE(SUBSTITUTE(SUBSTITUTE(SUBSTITUTE(SUBSTITUTE(SUBSTITUTE(SUBSTITUTE(TRIM(N525),".",""),"/",""),"-","")," ",""),"(",""),")",""),"+",""),3,1)="9",LEFT(SUBSTITUTE(SUBSTITUTE(SUBSTITUTE(SUBSTITUTE(SUBSTITUTE(SUBSTITUTE(SUBSTITUTE(TRIM(N525),".",""),"/",""),"-","")," ",""),"(",""),")",""),"+",""),1)&lt;&gt;"0"),"OK",IF(LEN(SUBSTITUTE(SUBSTITUTE(SUBSTITUTE(SUBSTITUTE(SUBSTITUTE(SUBSTITUTE(SUBSTITUTE(TRIM(N525),".",""),"/",""),"-","")," ",""),"(",""),")",""),"+",""))=10,"ERRO: é fixo (ou falta o 9), use a coluna Telefone fixo","ERRO: DDD + 9 + 8 dígitos")))</f>
      </c>
      <c r="Y525" s="6">
        <f>IF(O525="","vazio",IF(AND(ISNUMBER(FIND("@",O525)),ISNUMBER(FIND(".",MID(O525,FIND("@",O525),99))),NOT(ISNUMBER(FIND(" ",TRIM(O525)))),NOT(ISNUMBER(FIND(";",O525))),NOT(ISNUMBER(FIND(",",O525)))),"OK","ERRO: um e-mail válido por linha"))</f>
      </c>
      <c r="Z525" s="6">
        <f>IF(AND(J525="",K525=""),"",IF(AND(J525&lt;&gt;"",K525&lt;&gt;""),"OK","pendente: só um nome (o GR completa ao converter)"))</f>
      </c>
      <c r="AA525" s="6">
        <f>IF(COUNTA(A525:S525)=0,"",IF(AND(A525&lt;&gt;"",B525&lt;&gt;"",C525&lt;&gt;"",D525&lt;&gt;"",E525&lt;&gt;"",F525&lt;&gt;"",G525&lt;&gt;"",H525&lt;&gt;"",OR(J525&lt;&gt;"",K525&lt;&gt;""),OR(M525&lt;&gt;"",N525&lt;&gt;"",O525&lt;&gt;"")),"OK","ERRO: faltam "&amp;IF(A525="","SDR; ","")&amp;IF(B525="","Proprietário; ","")&amp;IF(C525="","Origem; ","")&amp;IF(D525="","Temperatura; ","")&amp;IF(E525="","Segmento; ","")&amp;IF(F525="","Time/Cluster; ","")&amp;IF(G525="","CNPJ; ","")&amp;IF(H525="","Razão Social; ","")&amp;IF(AND(J525="",K525=""),"nome do contato; ","")&amp;IF(AND(M525="",N525="",O525=""),"telefone, celular ou e-mail; ","")))</f>
      </c>
      <c r="AB525" s="6">
        <f>IF(COUNTA(A525:S525)=0,"",IF(AND(U525="OK",V525="OK",LEFT(W525,4)&lt;&gt;"ERRO",LEFT(X525,4)&lt;&gt;"ERRO",LEFT(Y525,4)&lt;&gt;"ERRO",AA525="OK"),"OK","REVISAR"))</f>
      </c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5"/>
      <c r="K526" s="4"/>
      <c r="L526" s="4"/>
      <c r="M526" s="4"/>
      <c r="N526" s="4"/>
      <c r="O526" s="4"/>
      <c r="P526" s="4"/>
      <c r="Q526" s="4"/>
      <c r="R526" s="4"/>
      <c r="S526" s="4"/>
      <c r="T526" s="6">
        <f>IF(G526="","",SUBSTITUTE(SUBSTITUTE(SUBSTITUTE(SUBSTITUTE(SUBSTITUTE(SUBSTITUTE(SUBSTITUTE(TRIM(G526),".",""),"/",""),"-","")," ",""),"(",""),")",""),"+",""))</f>
      </c>
      <c r="U526" s="6">
        <f>IF(T526="","",IF(LEN(T526)&lt;&gt;14,"ERRO: "&amp;LEN(T526)&amp;" dígitos",IF(NOT(ISNUMBER(VALUE(T526))),"ERRO: não numérico",IF(LEN(SUBSTITUTE(T526,LEFT(T526,1),""))=0,"ERRO: dígitos repetidos",IF(AND(VALUE(MID(T526,13,1))=IF(MOD(SUMPRODUCT(--MID(T526,{1,2,3,4,5,6,7,8,9,10,11,12},1),{5,4,3,2,9,8,7,6,5,4,3,2}),11)&lt;2,0,11-MOD(SUMPRODUCT(--MID(T526,{1,2,3,4,5,6,7,8,9,10,11,12},1),{5,4,3,2,9,8,7,6,5,4,3,2}),11)),VALUE(MID(T526,14,1))=IF(MOD(SUMPRODUCT(--MID(T526,{1,2,3,4,5,6,7,8,9,10,11,12,13},1),{6,5,4,3,2,9,8,7,6,5,4,3,2}),11)&lt;2,0,11-MOD(SUMPRODUCT(--MID(T526,{1,2,3,4,5,6,7,8,9,10,11,12,13},1),{6,5,4,3,2,9,8,7,6,5,4,3,2}),11))),"OK","ERRO: dígito verificador")))))</f>
      </c>
      <c r="V526" s="6">
        <f>IF(T526="","",IF(COUNTIF($T$2:$T$1001,T526)&gt;1,"DUPLICADO","OK"))</f>
      </c>
      <c r="W526" s="6">
        <f>IF(M526="","vazio",IF(OR(AND(LEN(SUBSTITUTE(SUBSTITUTE(SUBSTITUTE(SUBSTITUTE(SUBSTITUTE(SUBSTITUTE(SUBSTITUTE(TRIM(M526),".",""),"/",""),"-","")," ",""),"(",""),")",""),"+",""))=10,LEFT(SUBSTITUTE(SUBSTITUTE(SUBSTITUTE(SUBSTITUTE(SUBSTITUTE(SUBSTITUTE(SUBSTITUTE(TRIM(M526),".",""),"/",""),"-","")," ",""),"(",""),")",""),"+",""),1)&lt;&gt;"0"),AND(LEN(SUBSTITUTE(SUBSTITUTE(SUBSTITUTE(SUBSTITUTE(SUBSTITUTE(SUBSTITUTE(SUBSTITUTE(TRIM(M526),".",""),"/",""),"-","")," ",""),"(",""),")",""),"+",""))=11,LEFT(SUBSTITUTE(SUBSTITUTE(SUBSTITUTE(SUBSTITUTE(SUBSTITUTE(SUBSTITUTE(SUBSTITUTE(TRIM(M526),".",""),"/",""),"-","")," ",""),"(",""),")",""),"+",""),4)="0800")),"OK",IF(AND(LEN(SUBSTITUTE(SUBSTITUTE(SUBSTITUTE(SUBSTITUTE(SUBSTITUTE(SUBSTITUTE(SUBSTITUTE(TRIM(M526),".",""),"/",""),"-","")," ",""),"(",""),")",""),"+",""))=11,MID(SUBSTITUTE(SUBSTITUTE(SUBSTITUTE(SUBSTITUTE(SUBSTITUTE(SUBSTITUTE(SUBSTITUTE(TRIM(M526),".",""),"/",""),"-","")," ",""),"(",""),")",""),"+",""),3,1)="9"),"ERRO: é celular, use a coluna Celular","ERRO: DDD + 8 dígitos ou 0800 + 7")))</f>
      </c>
      <c r="X526" s="6">
        <f>IF(N526="","vazio",IF(AND(LEN(SUBSTITUTE(SUBSTITUTE(SUBSTITUTE(SUBSTITUTE(SUBSTITUTE(SUBSTITUTE(SUBSTITUTE(TRIM(N526),".",""),"/",""),"-","")," ",""),"(",""),")",""),"+",""))=11,MID(SUBSTITUTE(SUBSTITUTE(SUBSTITUTE(SUBSTITUTE(SUBSTITUTE(SUBSTITUTE(SUBSTITUTE(TRIM(N526),".",""),"/",""),"-","")," ",""),"(",""),")",""),"+",""),3,1)="9",LEFT(SUBSTITUTE(SUBSTITUTE(SUBSTITUTE(SUBSTITUTE(SUBSTITUTE(SUBSTITUTE(SUBSTITUTE(TRIM(N526),".",""),"/",""),"-","")," ",""),"(",""),")",""),"+",""),1)&lt;&gt;"0"),"OK",IF(LEN(SUBSTITUTE(SUBSTITUTE(SUBSTITUTE(SUBSTITUTE(SUBSTITUTE(SUBSTITUTE(SUBSTITUTE(TRIM(N526),".",""),"/",""),"-","")," ",""),"(",""),")",""),"+",""))=10,"ERRO: é fixo (ou falta o 9), use a coluna Telefone fixo","ERRO: DDD + 9 + 8 dígitos")))</f>
      </c>
      <c r="Y526" s="6">
        <f>IF(O526="","vazio",IF(AND(ISNUMBER(FIND("@",O526)),ISNUMBER(FIND(".",MID(O526,FIND("@",O526),99))),NOT(ISNUMBER(FIND(" ",TRIM(O526)))),NOT(ISNUMBER(FIND(";",O526))),NOT(ISNUMBER(FIND(",",O526)))),"OK","ERRO: um e-mail válido por linha"))</f>
      </c>
      <c r="Z526" s="6">
        <f>IF(AND(J526="",K526=""),"",IF(AND(J526&lt;&gt;"",K526&lt;&gt;""),"OK","pendente: só um nome (o GR completa ao converter)"))</f>
      </c>
      <c r="AA526" s="6">
        <f>IF(COUNTA(A526:S526)=0,"",IF(AND(A526&lt;&gt;"",B526&lt;&gt;"",C526&lt;&gt;"",D526&lt;&gt;"",E526&lt;&gt;"",F526&lt;&gt;"",G526&lt;&gt;"",H526&lt;&gt;"",OR(J526&lt;&gt;"",K526&lt;&gt;""),OR(M526&lt;&gt;"",N526&lt;&gt;"",O526&lt;&gt;"")),"OK","ERRO: faltam "&amp;IF(A526="","SDR; ","")&amp;IF(B526="","Proprietário; ","")&amp;IF(C526="","Origem; ","")&amp;IF(D526="","Temperatura; ","")&amp;IF(E526="","Segmento; ","")&amp;IF(F526="","Time/Cluster; ","")&amp;IF(G526="","CNPJ; ","")&amp;IF(H526="","Razão Social; ","")&amp;IF(AND(J526="",K526=""),"nome do contato; ","")&amp;IF(AND(M526="",N526="",O526=""),"telefone, celular ou e-mail; ","")))</f>
      </c>
      <c r="AB526" s="6">
        <f>IF(COUNTA(A526:S526)=0,"",IF(AND(U526="OK",V526="OK",LEFT(W526,4)&lt;&gt;"ERRO",LEFT(X526,4)&lt;&gt;"ERRO",LEFT(Y526,4)&lt;&gt;"ERRO",AA526="OK"),"OK","REVISAR"))</f>
      </c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5"/>
      <c r="K527" s="4"/>
      <c r="L527" s="4"/>
      <c r="M527" s="4"/>
      <c r="N527" s="4"/>
      <c r="O527" s="4"/>
      <c r="P527" s="4"/>
      <c r="Q527" s="4"/>
      <c r="R527" s="4"/>
      <c r="S527" s="4"/>
      <c r="T527" s="6">
        <f>IF(G527="","",SUBSTITUTE(SUBSTITUTE(SUBSTITUTE(SUBSTITUTE(SUBSTITUTE(SUBSTITUTE(SUBSTITUTE(TRIM(G527),".",""),"/",""),"-","")," ",""),"(",""),")",""),"+",""))</f>
      </c>
      <c r="U527" s="6">
        <f>IF(T527="","",IF(LEN(T527)&lt;&gt;14,"ERRO: "&amp;LEN(T527)&amp;" dígitos",IF(NOT(ISNUMBER(VALUE(T527))),"ERRO: não numérico",IF(LEN(SUBSTITUTE(T527,LEFT(T527,1),""))=0,"ERRO: dígitos repetidos",IF(AND(VALUE(MID(T527,13,1))=IF(MOD(SUMPRODUCT(--MID(T527,{1,2,3,4,5,6,7,8,9,10,11,12},1),{5,4,3,2,9,8,7,6,5,4,3,2}),11)&lt;2,0,11-MOD(SUMPRODUCT(--MID(T527,{1,2,3,4,5,6,7,8,9,10,11,12},1),{5,4,3,2,9,8,7,6,5,4,3,2}),11)),VALUE(MID(T527,14,1))=IF(MOD(SUMPRODUCT(--MID(T527,{1,2,3,4,5,6,7,8,9,10,11,12,13},1),{6,5,4,3,2,9,8,7,6,5,4,3,2}),11)&lt;2,0,11-MOD(SUMPRODUCT(--MID(T527,{1,2,3,4,5,6,7,8,9,10,11,12,13},1),{6,5,4,3,2,9,8,7,6,5,4,3,2}),11))),"OK","ERRO: dígito verificador")))))</f>
      </c>
      <c r="V527" s="6">
        <f>IF(T527="","",IF(COUNTIF($T$2:$T$1001,T527)&gt;1,"DUPLICADO","OK"))</f>
      </c>
      <c r="W527" s="6">
        <f>IF(M527="","vazio",IF(OR(AND(LEN(SUBSTITUTE(SUBSTITUTE(SUBSTITUTE(SUBSTITUTE(SUBSTITUTE(SUBSTITUTE(SUBSTITUTE(TRIM(M527),".",""),"/",""),"-","")," ",""),"(",""),")",""),"+",""))=10,LEFT(SUBSTITUTE(SUBSTITUTE(SUBSTITUTE(SUBSTITUTE(SUBSTITUTE(SUBSTITUTE(SUBSTITUTE(TRIM(M527),".",""),"/",""),"-","")," ",""),"(",""),")",""),"+",""),1)&lt;&gt;"0"),AND(LEN(SUBSTITUTE(SUBSTITUTE(SUBSTITUTE(SUBSTITUTE(SUBSTITUTE(SUBSTITUTE(SUBSTITUTE(TRIM(M527),".",""),"/",""),"-","")," ",""),"(",""),")",""),"+",""))=11,LEFT(SUBSTITUTE(SUBSTITUTE(SUBSTITUTE(SUBSTITUTE(SUBSTITUTE(SUBSTITUTE(SUBSTITUTE(TRIM(M527),".",""),"/",""),"-","")," ",""),"(",""),")",""),"+",""),4)="0800")),"OK",IF(AND(LEN(SUBSTITUTE(SUBSTITUTE(SUBSTITUTE(SUBSTITUTE(SUBSTITUTE(SUBSTITUTE(SUBSTITUTE(TRIM(M527),".",""),"/",""),"-","")," ",""),"(",""),")",""),"+",""))=11,MID(SUBSTITUTE(SUBSTITUTE(SUBSTITUTE(SUBSTITUTE(SUBSTITUTE(SUBSTITUTE(SUBSTITUTE(TRIM(M527),".",""),"/",""),"-","")," ",""),"(",""),")",""),"+",""),3,1)="9"),"ERRO: é celular, use a coluna Celular","ERRO: DDD + 8 dígitos ou 0800 + 7")))</f>
      </c>
      <c r="X527" s="6">
        <f>IF(N527="","vazio",IF(AND(LEN(SUBSTITUTE(SUBSTITUTE(SUBSTITUTE(SUBSTITUTE(SUBSTITUTE(SUBSTITUTE(SUBSTITUTE(TRIM(N527),".",""),"/",""),"-","")," ",""),"(",""),")",""),"+",""))=11,MID(SUBSTITUTE(SUBSTITUTE(SUBSTITUTE(SUBSTITUTE(SUBSTITUTE(SUBSTITUTE(SUBSTITUTE(TRIM(N527),".",""),"/",""),"-","")," ",""),"(",""),")",""),"+",""),3,1)="9",LEFT(SUBSTITUTE(SUBSTITUTE(SUBSTITUTE(SUBSTITUTE(SUBSTITUTE(SUBSTITUTE(SUBSTITUTE(TRIM(N527),".",""),"/",""),"-","")," ",""),"(",""),")",""),"+",""),1)&lt;&gt;"0"),"OK",IF(LEN(SUBSTITUTE(SUBSTITUTE(SUBSTITUTE(SUBSTITUTE(SUBSTITUTE(SUBSTITUTE(SUBSTITUTE(TRIM(N527),".",""),"/",""),"-","")," ",""),"(",""),")",""),"+",""))=10,"ERRO: é fixo (ou falta o 9), use a coluna Telefone fixo","ERRO: DDD + 9 + 8 dígitos")))</f>
      </c>
      <c r="Y527" s="6">
        <f>IF(O527="","vazio",IF(AND(ISNUMBER(FIND("@",O527)),ISNUMBER(FIND(".",MID(O527,FIND("@",O527),99))),NOT(ISNUMBER(FIND(" ",TRIM(O527)))),NOT(ISNUMBER(FIND(";",O527))),NOT(ISNUMBER(FIND(",",O527)))),"OK","ERRO: um e-mail válido por linha"))</f>
      </c>
      <c r="Z527" s="6">
        <f>IF(AND(J527="",K527=""),"",IF(AND(J527&lt;&gt;"",K527&lt;&gt;""),"OK","pendente: só um nome (o GR completa ao converter)"))</f>
      </c>
      <c r="AA527" s="6">
        <f>IF(COUNTA(A527:S527)=0,"",IF(AND(A527&lt;&gt;"",B527&lt;&gt;"",C527&lt;&gt;"",D527&lt;&gt;"",E527&lt;&gt;"",F527&lt;&gt;"",G527&lt;&gt;"",H527&lt;&gt;"",OR(J527&lt;&gt;"",K527&lt;&gt;""),OR(M527&lt;&gt;"",N527&lt;&gt;"",O527&lt;&gt;"")),"OK","ERRO: faltam "&amp;IF(A527="","SDR; ","")&amp;IF(B527="","Proprietário; ","")&amp;IF(C527="","Origem; ","")&amp;IF(D527="","Temperatura; ","")&amp;IF(E527="","Segmento; ","")&amp;IF(F527="","Time/Cluster; ","")&amp;IF(G527="","CNPJ; ","")&amp;IF(H527="","Razão Social; ","")&amp;IF(AND(J527="",K527=""),"nome do contato; ","")&amp;IF(AND(M527="",N527="",O527=""),"telefone, celular ou e-mail; ","")))</f>
      </c>
      <c r="AB527" s="6">
        <f>IF(COUNTA(A527:S527)=0,"",IF(AND(U527="OK",V527="OK",LEFT(W527,4)&lt;&gt;"ERRO",LEFT(X527,4)&lt;&gt;"ERRO",LEFT(Y527,4)&lt;&gt;"ERRO",AA527="OK"),"OK","REVISAR"))</f>
      </c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5"/>
      <c r="K528" s="4"/>
      <c r="L528" s="4"/>
      <c r="M528" s="4"/>
      <c r="N528" s="4"/>
      <c r="O528" s="4"/>
      <c r="P528" s="4"/>
      <c r="Q528" s="4"/>
      <c r="R528" s="4"/>
      <c r="S528" s="4"/>
      <c r="T528" s="6">
        <f>IF(G528="","",SUBSTITUTE(SUBSTITUTE(SUBSTITUTE(SUBSTITUTE(SUBSTITUTE(SUBSTITUTE(SUBSTITUTE(TRIM(G528),".",""),"/",""),"-","")," ",""),"(",""),")",""),"+",""))</f>
      </c>
      <c r="U528" s="6">
        <f>IF(T528="","",IF(LEN(T528)&lt;&gt;14,"ERRO: "&amp;LEN(T528)&amp;" dígitos",IF(NOT(ISNUMBER(VALUE(T528))),"ERRO: não numérico",IF(LEN(SUBSTITUTE(T528,LEFT(T528,1),""))=0,"ERRO: dígitos repetidos",IF(AND(VALUE(MID(T528,13,1))=IF(MOD(SUMPRODUCT(--MID(T528,{1,2,3,4,5,6,7,8,9,10,11,12},1),{5,4,3,2,9,8,7,6,5,4,3,2}),11)&lt;2,0,11-MOD(SUMPRODUCT(--MID(T528,{1,2,3,4,5,6,7,8,9,10,11,12},1),{5,4,3,2,9,8,7,6,5,4,3,2}),11)),VALUE(MID(T528,14,1))=IF(MOD(SUMPRODUCT(--MID(T528,{1,2,3,4,5,6,7,8,9,10,11,12,13},1),{6,5,4,3,2,9,8,7,6,5,4,3,2}),11)&lt;2,0,11-MOD(SUMPRODUCT(--MID(T528,{1,2,3,4,5,6,7,8,9,10,11,12,13},1),{6,5,4,3,2,9,8,7,6,5,4,3,2}),11))),"OK","ERRO: dígito verificador")))))</f>
      </c>
      <c r="V528" s="6">
        <f>IF(T528="","",IF(COUNTIF($T$2:$T$1001,T528)&gt;1,"DUPLICADO","OK"))</f>
      </c>
      <c r="W528" s="6">
        <f>IF(M528="","vazio",IF(OR(AND(LEN(SUBSTITUTE(SUBSTITUTE(SUBSTITUTE(SUBSTITUTE(SUBSTITUTE(SUBSTITUTE(SUBSTITUTE(TRIM(M528),".",""),"/",""),"-","")," ",""),"(",""),")",""),"+",""))=10,LEFT(SUBSTITUTE(SUBSTITUTE(SUBSTITUTE(SUBSTITUTE(SUBSTITUTE(SUBSTITUTE(SUBSTITUTE(TRIM(M528),".",""),"/",""),"-","")," ",""),"(",""),")",""),"+",""),1)&lt;&gt;"0"),AND(LEN(SUBSTITUTE(SUBSTITUTE(SUBSTITUTE(SUBSTITUTE(SUBSTITUTE(SUBSTITUTE(SUBSTITUTE(TRIM(M528),".",""),"/",""),"-","")," ",""),"(",""),")",""),"+",""))=11,LEFT(SUBSTITUTE(SUBSTITUTE(SUBSTITUTE(SUBSTITUTE(SUBSTITUTE(SUBSTITUTE(SUBSTITUTE(TRIM(M528),".",""),"/",""),"-","")," ",""),"(",""),")",""),"+",""),4)="0800")),"OK",IF(AND(LEN(SUBSTITUTE(SUBSTITUTE(SUBSTITUTE(SUBSTITUTE(SUBSTITUTE(SUBSTITUTE(SUBSTITUTE(TRIM(M528),".",""),"/",""),"-","")," ",""),"(",""),")",""),"+",""))=11,MID(SUBSTITUTE(SUBSTITUTE(SUBSTITUTE(SUBSTITUTE(SUBSTITUTE(SUBSTITUTE(SUBSTITUTE(TRIM(M528),".",""),"/",""),"-","")," ",""),"(",""),")",""),"+",""),3,1)="9"),"ERRO: é celular, use a coluna Celular","ERRO: DDD + 8 dígitos ou 0800 + 7")))</f>
      </c>
      <c r="X528" s="6">
        <f>IF(N528="","vazio",IF(AND(LEN(SUBSTITUTE(SUBSTITUTE(SUBSTITUTE(SUBSTITUTE(SUBSTITUTE(SUBSTITUTE(SUBSTITUTE(TRIM(N528),".",""),"/",""),"-","")," ",""),"(",""),")",""),"+",""))=11,MID(SUBSTITUTE(SUBSTITUTE(SUBSTITUTE(SUBSTITUTE(SUBSTITUTE(SUBSTITUTE(SUBSTITUTE(TRIM(N528),".",""),"/",""),"-","")," ",""),"(",""),")",""),"+",""),3,1)="9",LEFT(SUBSTITUTE(SUBSTITUTE(SUBSTITUTE(SUBSTITUTE(SUBSTITUTE(SUBSTITUTE(SUBSTITUTE(TRIM(N528),".",""),"/",""),"-","")," ",""),"(",""),")",""),"+",""),1)&lt;&gt;"0"),"OK",IF(LEN(SUBSTITUTE(SUBSTITUTE(SUBSTITUTE(SUBSTITUTE(SUBSTITUTE(SUBSTITUTE(SUBSTITUTE(TRIM(N528),".",""),"/",""),"-","")," ",""),"(",""),")",""),"+",""))=10,"ERRO: é fixo (ou falta o 9), use a coluna Telefone fixo","ERRO: DDD + 9 + 8 dígitos")))</f>
      </c>
      <c r="Y528" s="6">
        <f>IF(O528="","vazio",IF(AND(ISNUMBER(FIND("@",O528)),ISNUMBER(FIND(".",MID(O528,FIND("@",O528),99))),NOT(ISNUMBER(FIND(" ",TRIM(O528)))),NOT(ISNUMBER(FIND(";",O528))),NOT(ISNUMBER(FIND(",",O528)))),"OK","ERRO: um e-mail válido por linha"))</f>
      </c>
      <c r="Z528" s="6">
        <f>IF(AND(J528="",K528=""),"",IF(AND(J528&lt;&gt;"",K528&lt;&gt;""),"OK","pendente: só um nome (o GR completa ao converter)"))</f>
      </c>
      <c r="AA528" s="6">
        <f>IF(COUNTA(A528:S528)=0,"",IF(AND(A528&lt;&gt;"",B528&lt;&gt;"",C528&lt;&gt;"",D528&lt;&gt;"",E528&lt;&gt;"",F528&lt;&gt;"",G528&lt;&gt;"",H528&lt;&gt;"",OR(J528&lt;&gt;"",K528&lt;&gt;""),OR(M528&lt;&gt;"",N528&lt;&gt;"",O528&lt;&gt;"")),"OK","ERRO: faltam "&amp;IF(A528="","SDR; ","")&amp;IF(B528="","Proprietário; ","")&amp;IF(C528="","Origem; ","")&amp;IF(D528="","Temperatura; ","")&amp;IF(E528="","Segmento; ","")&amp;IF(F528="","Time/Cluster; ","")&amp;IF(G528="","CNPJ; ","")&amp;IF(H528="","Razão Social; ","")&amp;IF(AND(J528="",K528=""),"nome do contato; ","")&amp;IF(AND(M528="",N528="",O528=""),"telefone, celular ou e-mail; ","")))</f>
      </c>
      <c r="AB528" s="6">
        <f>IF(COUNTA(A528:S528)=0,"",IF(AND(U528="OK",V528="OK",LEFT(W528,4)&lt;&gt;"ERRO",LEFT(X528,4)&lt;&gt;"ERRO",LEFT(Y528,4)&lt;&gt;"ERRO",AA528="OK"),"OK","REVISAR"))</f>
      </c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5"/>
      <c r="K529" s="4"/>
      <c r="L529" s="4"/>
      <c r="M529" s="4"/>
      <c r="N529" s="4"/>
      <c r="O529" s="4"/>
      <c r="P529" s="4"/>
      <c r="Q529" s="4"/>
      <c r="R529" s="4"/>
      <c r="S529" s="4"/>
      <c r="T529" s="6">
        <f>IF(G529="","",SUBSTITUTE(SUBSTITUTE(SUBSTITUTE(SUBSTITUTE(SUBSTITUTE(SUBSTITUTE(SUBSTITUTE(TRIM(G529),".",""),"/",""),"-","")," ",""),"(",""),")",""),"+",""))</f>
      </c>
      <c r="U529" s="6">
        <f>IF(T529="","",IF(LEN(T529)&lt;&gt;14,"ERRO: "&amp;LEN(T529)&amp;" dígitos",IF(NOT(ISNUMBER(VALUE(T529))),"ERRO: não numérico",IF(LEN(SUBSTITUTE(T529,LEFT(T529,1),""))=0,"ERRO: dígitos repetidos",IF(AND(VALUE(MID(T529,13,1))=IF(MOD(SUMPRODUCT(--MID(T529,{1,2,3,4,5,6,7,8,9,10,11,12},1),{5,4,3,2,9,8,7,6,5,4,3,2}),11)&lt;2,0,11-MOD(SUMPRODUCT(--MID(T529,{1,2,3,4,5,6,7,8,9,10,11,12},1),{5,4,3,2,9,8,7,6,5,4,3,2}),11)),VALUE(MID(T529,14,1))=IF(MOD(SUMPRODUCT(--MID(T529,{1,2,3,4,5,6,7,8,9,10,11,12,13},1),{6,5,4,3,2,9,8,7,6,5,4,3,2}),11)&lt;2,0,11-MOD(SUMPRODUCT(--MID(T529,{1,2,3,4,5,6,7,8,9,10,11,12,13},1),{6,5,4,3,2,9,8,7,6,5,4,3,2}),11))),"OK","ERRO: dígito verificador")))))</f>
      </c>
      <c r="V529" s="6">
        <f>IF(T529="","",IF(COUNTIF($T$2:$T$1001,T529)&gt;1,"DUPLICADO","OK"))</f>
      </c>
      <c r="W529" s="6">
        <f>IF(M529="","vazio",IF(OR(AND(LEN(SUBSTITUTE(SUBSTITUTE(SUBSTITUTE(SUBSTITUTE(SUBSTITUTE(SUBSTITUTE(SUBSTITUTE(TRIM(M529),".",""),"/",""),"-","")," ",""),"(",""),")",""),"+",""))=10,LEFT(SUBSTITUTE(SUBSTITUTE(SUBSTITUTE(SUBSTITUTE(SUBSTITUTE(SUBSTITUTE(SUBSTITUTE(TRIM(M529),".",""),"/",""),"-","")," ",""),"(",""),")",""),"+",""),1)&lt;&gt;"0"),AND(LEN(SUBSTITUTE(SUBSTITUTE(SUBSTITUTE(SUBSTITUTE(SUBSTITUTE(SUBSTITUTE(SUBSTITUTE(TRIM(M529),".",""),"/",""),"-","")," ",""),"(",""),")",""),"+",""))=11,LEFT(SUBSTITUTE(SUBSTITUTE(SUBSTITUTE(SUBSTITUTE(SUBSTITUTE(SUBSTITUTE(SUBSTITUTE(TRIM(M529),".",""),"/",""),"-","")," ",""),"(",""),")",""),"+",""),4)="0800")),"OK",IF(AND(LEN(SUBSTITUTE(SUBSTITUTE(SUBSTITUTE(SUBSTITUTE(SUBSTITUTE(SUBSTITUTE(SUBSTITUTE(TRIM(M529),".",""),"/",""),"-","")," ",""),"(",""),")",""),"+",""))=11,MID(SUBSTITUTE(SUBSTITUTE(SUBSTITUTE(SUBSTITUTE(SUBSTITUTE(SUBSTITUTE(SUBSTITUTE(TRIM(M529),".",""),"/",""),"-","")," ",""),"(",""),")",""),"+",""),3,1)="9"),"ERRO: é celular, use a coluna Celular","ERRO: DDD + 8 dígitos ou 0800 + 7")))</f>
      </c>
      <c r="X529" s="6">
        <f>IF(N529="","vazio",IF(AND(LEN(SUBSTITUTE(SUBSTITUTE(SUBSTITUTE(SUBSTITUTE(SUBSTITUTE(SUBSTITUTE(SUBSTITUTE(TRIM(N529),".",""),"/",""),"-","")," ",""),"(",""),")",""),"+",""))=11,MID(SUBSTITUTE(SUBSTITUTE(SUBSTITUTE(SUBSTITUTE(SUBSTITUTE(SUBSTITUTE(SUBSTITUTE(TRIM(N529),".",""),"/",""),"-","")," ",""),"(",""),")",""),"+",""),3,1)="9",LEFT(SUBSTITUTE(SUBSTITUTE(SUBSTITUTE(SUBSTITUTE(SUBSTITUTE(SUBSTITUTE(SUBSTITUTE(TRIM(N529),".",""),"/",""),"-","")," ",""),"(",""),")",""),"+",""),1)&lt;&gt;"0"),"OK",IF(LEN(SUBSTITUTE(SUBSTITUTE(SUBSTITUTE(SUBSTITUTE(SUBSTITUTE(SUBSTITUTE(SUBSTITUTE(TRIM(N529),".",""),"/",""),"-","")," ",""),"(",""),")",""),"+",""))=10,"ERRO: é fixo (ou falta o 9), use a coluna Telefone fixo","ERRO: DDD + 9 + 8 dígitos")))</f>
      </c>
      <c r="Y529" s="6">
        <f>IF(O529="","vazio",IF(AND(ISNUMBER(FIND("@",O529)),ISNUMBER(FIND(".",MID(O529,FIND("@",O529),99))),NOT(ISNUMBER(FIND(" ",TRIM(O529)))),NOT(ISNUMBER(FIND(";",O529))),NOT(ISNUMBER(FIND(",",O529)))),"OK","ERRO: um e-mail válido por linha"))</f>
      </c>
      <c r="Z529" s="6">
        <f>IF(AND(J529="",K529=""),"",IF(AND(J529&lt;&gt;"",K529&lt;&gt;""),"OK","pendente: só um nome (o GR completa ao converter)"))</f>
      </c>
      <c r="AA529" s="6">
        <f>IF(COUNTA(A529:S529)=0,"",IF(AND(A529&lt;&gt;"",B529&lt;&gt;"",C529&lt;&gt;"",D529&lt;&gt;"",E529&lt;&gt;"",F529&lt;&gt;"",G529&lt;&gt;"",H529&lt;&gt;"",OR(J529&lt;&gt;"",K529&lt;&gt;""),OR(M529&lt;&gt;"",N529&lt;&gt;"",O529&lt;&gt;"")),"OK","ERRO: faltam "&amp;IF(A529="","SDR; ","")&amp;IF(B529="","Proprietário; ","")&amp;IF(C529="","Origem; ","")&amp;IF(D529="","Temperatura; ","")&amp;IF(E529="","Segmento; ","")&amp;IF(F529="","Time/Cluster; ","")&amp;IF(G529="","CNPJ; ","")&amp;IF(H529="","Razão Social; ","")&amp;IF(AND(J529="",K529=""),"nome do contato; ","")&amp;IF(AND(M529="",N529="",O529=""),"telefone, celular ou e-mail; ","")))</f>
      </c>
      <c r="AB529" s="6">
        <f>IF(COUNTA(A529:S529)=0,"",IF(AND(U529="OK",V529="OK",LEFT(W529,4)&lt;&gt;"ERRO",LEFT(X529,4)&lt;&gt;"ERRO",LEFT(Y529,4)&lt;&gt;"ERRO",AA529="OK"),"OK","REVISAR"))</f>
      </c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5"/>
      <c r="K530" s="4"/>
      <c r="L530" s="4"/>
      <c r="M530" s="4"/>
      <c r="N530" s="4"/>
      <c r="O530" s="4"/>
      <c r="P530" s="4"/>
      <c r="Q530" s="4"/>
      <c r="R530" s="4"/>
      <c r="S530" s="4"/>
      <c r="T530" s="6">
        <f>IF(G530="","",SUBSTITUTE(SUBSTITUTE(SUBSTITUTE(SUBSTITUTE(SUBSTITUTE(SUBSTITUTE(SUBSTITUTE(TRIM(G530),".",""),"/",""),"-","")," ",""),"(",""),")",""),"+",""))</f>
      </c>
      <c r="U530" s="6">
        <f>IF(T530="","",IF(LEN(T530)&lt;&gt;14,"ERRO: "&amp;LEN(T530)&amp;" dígitos",IF(NOT(ISNUMBER(VALUE(T530))),"ERRO: não numérico",IF(LEN(SUBSTITUTE(T530,LEFT(T530,1),""))=0,"ERRO: dígitos repetidos",IF(AND(VALUE(MID(T530,13,1))=IF(MOD(SUMPRODUCT(--MID(T530,{1,2,3,4,5,6,7,8,9,10,11,12},1),{5,4,3,2,9,8,7,6,5,4,3,2}),11)&lt;2,0,11-MOD(SUMPRODUCT(--MID(T530,{1,2,3,4,5,6,7,8,9,10,11,12},1),{5,4,3,2,9,8,7,6,5,4,3,2}),11)),VALUE(MID(T530,14,1))=IF(MOD(SUMPRODUCT(--MID(T530,{1,2,3,4,5,6,7,8,9,10,11,12,13},1),{6,5,4,3,2,9,8,7,6,5,4,3,2}),11)&lt;2,0,11-MOD(SUMPRODUCT(--MID(T530,{1,2,3,4,5,6,7,8,9,10,11,12,13},1),{6,5,4,3,2,9,8,7,6,5,4,3,2}),11))),"OK","ERRO: dígito verificador")))))</f>
      </c>
      <c r="V530" s="6">
        <f>IF(T530="","",IF(COUNTIF($T$2:$T$1001,T530)&gt;1,"DUPLICADO","OK"))</f>
      </c>
      <c r="W530" s="6">
        <f>IF(M530="","vazio",IF(OR(AND(LEN(SUBSTITUTE(SUBSTITUTE(SUBSTITUTE(SUBSTITUTE(SUBSTITUTE(SUBSTITUTE(SUBSTITUTE(TRIM(M530),".",""),"/",""),"-","")," ",""),"(",""),")",""),"+",""))=10,LEFT(SUBSTITUTE(SUBSTITUTE(SUBSTITUTE(SUBSTITUTE(SUBSTITUTE(SUBSTITUTE(SUBSTITUTE(TRIM(M530),".",""),"/",""),"-","")," ",""),"(",""),")",""),"+",""),1)&lt;&gt;"0"),AND(LEN(SUBSTITUTE(SUBSTITUTE(SUBSTITUTE(SUBSTITUTE(SUBSTITUTE(SUBSTITUTE(SUBSTITUTE(TRIM(M530),".",""),"/",""),"-","")," ",""),"(",""),")",""),"+",""))=11,LEFT(SUBSTITUTE(SUBSTITUTE(SUBSTITUTE(SUBSTITUTE(SUBSTITUTE(SUBSTITUTE(SUBSTITUTE(TRIM(M530),".",""),"/",""),"-","")," ",""),"(",""),")",""),"+",""),4)="0800")),"OK",IF(AND(LEN(SUBSTITUTE(SUBSTITUTE(SUBSTITUTE(SUBSTITUTE(SUBSTITUTE(SUBSTITUTE(SUBSTITUTE(TRIM(M530),".",""),"/",""),"-","")," ",""),"(",""),")",""),"+",""))=11,MID(SUBSTITUTE(SUBSTITUTE(SUBSTITUTE(SUBSTITUTE(SUBSTITUTE(SUBSTITUTE(SUBSTITUTE(TRIM(M530),".",""),"/",""),"-","")," ",""),"(",""),")",""),"+",""),3,1)="9"),"ERRO: é celular, use a coluna Celular","ERRO: DDD + 8 dígitos ou 0800 + 7")))</f>
      </c>
      <c r="X530" s="6">
        <f>IF(N530="","vazio",IF(AND(LEN(SUBSTITUTE(SUBSTITUTE(SUBSTITUTE(SUBSTITUTE(SUBSTITUTE(SUBSTITUTE(SUBSTITUTE(TRIM(N530),".",""),"/",""),"-","")," ",""),"(",""),")",""),"+",""))=11,MID(SUBSTITUTE(SUBSTITUTE(SUBSTITUTE(SUBSTITUTE(SUBSTITUTE(SUBSTITUTE(SUBSTITUTE(TRIM(N530),".",""),"/",""),"-","")," ",""),"(",""),")",""),"+",""),3,1)="9",LEFT(SUBSTITUTE(SUBSTITUTE(SUBSTITUTE(SUBSTITUTE(SUBSTITUTE(SUBSTITUTE(SUBSTITUTE(TRIM(N530),".",""),"/",""),"-","")," ",""),"(",""),")",""),"+",""),1)&lt;&gt;"0"),"OK",IF(LEN(SUBSTITUTE(SUBSTITUTE(SUBSTITUTE(SUBSTITUTE(SUBSTITUTE(SUBSTITUTE(SUBSTITUTE(TRIM(N530),".",""),"/",""),"-","")," ",""),"(",""),")",""),"+",""))=10,"ERRO: é fixo (ou falta o 9), use a coluna Telefone fixo","ERRO: DDD + 9 + 8 dígitos")))</f>
      </c>
      <c r="Y530" s="6">
        <f>IF(O530="","vazio",IF(AND(ISNUMBER(FIND("@",O530)),ISNUMBER(FIND(".",MID(O530,FIND("@",O530),99))),NOT(ISNUMBER(FIND(" ",TRIM(O530)))),NOT(ISNUMBER(FIND(";",O530))),NOT(ISNUMBER(FIND(",",O530)))),"OK","ERRO: um e-mail válido por linha"))</f>
      </c>
      <c r="Z530" s="6">
        <f>IF(AND(J530="",K530=""),"",IF(AND(J530&lt;&gt;"",K530&lt;&gt;""),"OK","pendente: só um nome (o GR completa ao converter)"))</f>
      </c>
      <c r="AA530" s="6">
        <f>IF(COUNTA(A530:S530)=0,"",IF(AND(A530&lt;&gt;"",B530&lt;&gt;"",C530&lt;&gt;"",D530&lt;&gt;"",E530&lt;&gt;"",F530&lt;&gt;"",G530&lt;&gt;"",H530&lt;&gt;"",OR(J530&lt;&gt;"",K530&lt;&gt;""),OR(M530&lt;&gt;"",N530&lt;&gt;"",O530&lt;&gt;"")),"OK","ERRO: faltam "&amp;IF(A530="","SDR; ","")&amp;IF(B530="","Proprietário; ","")&amp;IF(C530="","Origem; ","")&amp;IF(D530="","Temperatura; ","")&amp;IF(E530="","Segmento; ","")&amp;IF(F530="","Time/Cluster; ","")&amp;IF(G530="","CNPJ; ","")&amp;IF(H530="","Razão Social; ","")&amp;IF(AND(J530="",K530=""),"nome do contato; ","")&amp;IF(AND(M530="",N530="",O530=""),"telefone, celular ou e-mail; ","")))</f>
      </c>
      <c r="AB530" s="6">
        <f>IF(COUNTA(A530:S530)=0,"",IF(AND(U530="OK",V530="OK",LEFT(W530,4)&lt;&gt;"ERRO",LEFT(X530,4)&lt;&gt;"ERRO",LEFT(Y530,4)&lt;&gt;"ERRO",AA530="OK"),"OK","REVISAR"))</f>
      </c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5"/>
      <c r="K531" s="4"/>
      <c r="L531" s="4"/>
      <c r="M531" s="4"/>
      <c r="N531" s="4"/>
      <c r="O531" s="4"/>
      <c r="P531" s="4"/>
      <c r="Q531" s="4"/>
      <c r="R531" s="4"/>
      <c r="S531" s="4"/>
      <c r="T531" s="6">
        <f>IF(G531="","",SUBSTITUTE(SUBSTITUTE(SUBSTITUTE(SUBSTITUTE(SUBSTITUTE(SUBSTITUTE(SUBSTITUTE(TRIM(G531),".",""),"/",""),"-","")," ",""),"(",""),")",""),"+",""))</f>
      </c>
      <c r="U531" s="6">
        <f>IF(T531="","",IF(LEN(T531)&lt;&gt;14,"ERRO: "&amp;LEN(T531)&amp;" dígitos",IF(NOT(ISNUMBER(VALUE(T531))),"ERRO: não numérico",IF(LEN(SUBSTITUTE(T531,LEFT(T531,1),""))=0,"ERRO: dígitos repetidos",IF(AND(VALUE(MID(T531,13,1))=IF(MOD(SUMPRODUCT(--MID(T531,{1,2,3,4,5,6,7,8,9,10,11,12},1),{5,4,3,2,9,8,7,6,5,4,3,2}),11)&lt;2,0,11-MOD(SUMPRODUCT(--MID(T531,{1,2,3,4,5,6,7,8,9,10,11,12},1),{5,4,3,2,9,8,7,6,5,4,3,2}),11)),VALUE(MID(T531,14,1))=IF(MOD(SUMPRODUCT(--MID(T531,{1,2,3,4,5,6,7,8,9,10,11,12,13},1),{6,5,4,3,2,9,8,7,6,5,4,3,2}),11)&lt;2,0,11-MOD(SUMPRODUCT(--MID(T531,{1,2,3,4,5,6,7,8,9,10,11,12,13},1),{6,5,4,3,2,9,8,7,6,5,4,3,2}),11))),"OK","ERRO: dígito verificador")))))</f>
      </c>
      <c r="V531" s="6">
        <f>IF(T531="","",IF(COUNTIF($T$2:$T$1001,T531)&gt;1,"DUPLICADO","OK"))</f>
      </c>
      <c r="W531" s="6">
        <f>IF(M531="","vazio",IF(OR(AND(LEN(SUBSTITUTE(SUBSTITUTE(SUBSTITUTE(SUBSTITUTE(SUBSTITUTE(SUBSTITUTE(SUBSTITUTE(TRIM(M531),".",""),"/",""),"-","")," ",""),"(",""),")",""),"+",""))=10,LEFT(SUBSTITUTE(SUBSTITUTE(SUBSTITUTE(SUBSTITUTE(SUBSTITUTE(SUBSTITUTE(SUBSTITUTE(TRIM(M531),".",""),"/",""),"-","")," ",""),"(",""),")",""),"+",""),1)&lt;&gt;"0"),AND(LEN(SUBSTITUTE(SUBSTITUTE(SUBSTITUTE(SUBSTITUTE(SUBSTITUTE(SUBSTITUTE(SUBSTITUTE(TRIM(M531),".",""),"/",""),"-","")," ",""),"(",""),")",""),"+",""))=11,LEFT(SUBSTITUTE(SUBSTITUTE(SUBSTITUTE(SUBSTITUTE(SUBSTITUTE(SUBSTITUTE(SUBSTITUTE(TRIM(M531),".",""),"/",""),"-","")," ",""),"(",""),")",""),"+",""),4)="0800")),"OK",IF(AND(LEN(SUBSTITUTE(SUBSTITUTE(SUBSTITUTE(SUBSTITUTE(SUBSTITUTE(SUBSTITUTE(SUBSTITUTE(TRIM(M531),".",""),"/",""),"-","")," ",""),"(",""),")",""),"+",""))=11,MID(SUBSTITUTE(SUBSTITUTE(SUBSTITUTE(SUBSTITUTE(SUBSTITUTE(SUBSTITUTE(SUBSTITUTE(TRIM(M531),".",""),"/",""),"-","")," ",""),"(",""),")",""),"+",""),3,1)="9"),"ERRO: é celular, use a coluna Celular","ERRO: DDD + 8 dígitos ou 0800 + 7")))</f>
      </c>
      <c r="X531" s="6">
        <f>IF(N531="","vazio",IF(AND(LEN(SUBSTITUTE(SUBSTITUTE(SUBSTITUTE(SUBSTITUTE(SUBSTITUTE(SUBSTITUTE(SUBSTITUTE(TRIM(N531),".",""),"/",""),"-","")," ",""),"(",""),")",""),"+",""))=11,MID(SUBSTITUTE(SUBSTITUTE(SUBSTITUTE(SUBSTITUTE(SUBSTITUTE(SUBSTITUTE(SUBSTITUTE(TRIM(N531),".",""),"/",""),"-","")," ",""),"(",""),")",""),"+",""),3,1)="9",LEFT(SUBSTITUTE(SUBSTITUTE(SUBSTITUTE(SUBSTITUTE(SUBSTITUTE(SUBSTITUTE(SUBSTITUTE(TRIM(N531),".",""),"/",""),"-","")," ",""),"(",""),")",""),"+",""),1)&lt;&gt;"0"),"OK",IF(LEN(SUBSTITUTE(SUBSTITUTE(SUBSTITUTE(SUBSTITUTE(SUBSTITUTE(SUBSTITUTE(SUBSTITUTE(TRIM(N531),".",""),"/",""),"-","")," ",""),"(",""),")",""),"+",""))=10,"ERRO: é fixo (ou falta o 9), use a coluna Telefone fixo","ERRO: DDD + 9 + 8 dígitos")))</f>
      </c>
      <c r="Y531" s="6">
        <f>IF(O531="","vazio",IF(AND(ISNUMBER(FIND("@",O531)),ISNUMBER(FIND(".",MID(O531,FIND("@",O531),99))),NOT(ISNUMBER(FIND(" ",TRIM(O531)))),NOT(ISNUMBER(FIND(";",O531))),NOT(ISNUMBER(FIND(",",O531)))),"OK","ERRO: um e-mail válido por linha"))</f>
      </c>
      <c r="Z531" s="6">
        <f>IF(AND(J531="",K531=""),"",IF(AND(J531&lt;&gt;"",K531&lt;&gt;""),"OK","pendente: só um nome (o GR completa ao converter)"))</f>
      </c>
      <c r="AA531" s="6">
        <f>IF(COUNTA(A531:S531)=0,"",IF(AND(A531&lt;&gt;"",B531&lt;&gt;"",C531&lt;&gt;"",D531&lt;&gt;"",E531&lt;&gt;"",F531&lt;&gt;"",G531&lt;&gt;"",H531&lt;&gt;"",OR(J531&lt;&gt;"",K531&lt;&gt;""),OR(M531&lt;&gt;"",N531&lt;&gt;"",O531&lt;&gt;"")),"OK","ERRO: faltam "&amp;IF(A531="","SDR; ","")&amp;IF(B531="","Proprietário; ","")&amp;IF(C531="","Origem; ","")&amp;IF(D531="","Temperatura; ","")&amp;IF(E531="","Segmento; ","")&amp;IF(F531="","Time/Cluster; ","")&amp;IF(G531="","CNPJ; ","")&amp;IF(H531="","Razão Social; ","")&amp;IF(AND(J531="",K531=""),"nome do contato; ","")&amp;IF(AND(M531="",N531="",O531=""),"telefone, celular ou e-mail; ","")))</f>
      </c>
      <c r="AB531" s="6">
        <f>IF(COUNTA(A531:S531)=0,"",IF(AND(U531="OK",V531="OK",LEFT(W531,4)&lt;&gt;"ERRO",LEFT(X531,4)&lt;&gt;"ERRO",LEFT(Y531,4)&lt;&gt;"ERRO",AA531="OK"),"OK","REVISAR"))</f>
      </c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5"/>
      <c r="K532" s="4"/>
      <c r="L532" s="4"/>
      <c r="M532" s="4"/>
      <c r="N532" s="4"/>
      <c r="O532" s="4"/>
      <c r="P532" s="4"/>
      <c r="Q532" s="4"/>
      <c r="R532" s="4"/>
      <c r="S532" s="4"/>
      <c r="T532" s="6">
        <f>IF(G532="","",SUBSTITUTE(SUBSTITUTE(SUBSTITUTE(SUBSTITUTE(SUBSTITUTE(SUBSTITUTE(SUBSTITUTE(TRIM(G532),".",""),"/",""),"-","")," ",""),"(",""),")",""),"+",""))</f>
      </c>
      <c r="U532" s="6">
        <f>IF(T532="","",IF(LEN(T532)&lt;&gt;14,"ERRO: "&amp;LEN(T532)&amp;" dígitos",IF(NOT(ISNUMBER(VALUE(T532))),"ERRO: não numérico",IF(LEN(SUBSTITUTE(T532,LEFT(T532,1),""))=0,"ERRO: dígitos repetidos",IF(AND(VALUE(MID(T532,13,1))=IF(MOD(SUMPRODUCT(--MID(T532,{1,2,3,4,5,6,7,8,9,10,11,12},1),{5,4,3,2,9,8,7,6,5,4,3,2}),11)&lt;2,0,11-MOD(SUMPRODUCT(--MID(T532,{1,2,3,4,5,6,7,8,9,10,11,12},1),{5,4,3,2,9,8,7,6,5,4,3,2}),11)),VALUE(MID(T532,14,1))=IF(MOD(SUMPRODUCT(--MID(T532,{1,2,3,4,5,6,7,8,9,10,11,12,13},1),{6,5,4,3,2,9,8,7,6,5,4,3,2}),11)&lt;2,0,11-MOD(SUMPRODUCT(--MID(T532,{1,2,3,4,5,6,7,8,9,10,11,12,13},1),{6,5,4,3,2,9,8,7,6,5,4,3,2}),11))),"OK","ERRO: dígito verificador")))))</f>
      </c>
      <c r="V532" s="6">
        <f>IF(T532="","",IF(COUNTIF($T$2:$T$1001,T532)&gt;1,"DUPLICADO","OK"))</f>
      </c>
      <c r="W532" s="6">
        <f>IF(M532="","vazio",IF(OR(AND(LEN(SUBSTITUTE(SUBSTITUTE(SUBSTITUTE(SUBSTITUTE(SUBSTITUTE(SUBSTITUTE(SUBSTITUTE(TRIM(M532),".",""),"/",""),"-","")," ",""),"(",""),")",""),"+",""))=10,LEFT(SUBSTITUTE(SUBSTITUTE(SUBSTITUTE(SUBSTITUTE(SUBSTITUTE(SUBSTITUTE(SUBSTITUTE(TRIM(M532),".",""),"/",""),"-","")," ",""),"(",""),")",""),"+",""),1)&lt;&gt;"0"),AND(LEN(SUBSTITUTE(SUBSTITUTE(SUBSTITUTE(SUBSTITUTE(SUBSTITUTE(SUBSTITUTE(SUBSTITUTE(TRIM(M532),".",""),"/",""),"-","")," ",""),"(",""),")",""),"+",""))=11,LEFT(SUBSTITUTE(SUBSTITUTE(SUBSTITUTE(SUBSTITUTE(SUBSTITUTE(SUBSTITUTE(SUBSTITUTE(TRIM(M532),".",""),"/",""),"-","")," ",""),"(",""),")",""),"+",""),4)="0800")),"OK",IF(AND(LEN(SUBSTITUTE(SUBSTITUTE(SUBSTITUTE(SUBSTITUTE(SUBSTITUTE(SUBSTITUTE(SUBSTITUTE(TRIM(M532),".",""),"/",""),"-","")," ",""),"(",""),")",""),"+",""))=11,MID(SUBSTITUTE(SUBSTITUTE(SUBSTITUTE(SUBSTITUTE(SUBSTITUTE(SUBSTITUTE(SUBSTITUTE(TRIM(M532),".",""),"/",""),"-","")," ",""),"(",""),")",""),"+",""),3,1)="9"),"ERRO: é celular, use a coluna Celular","ERRO: DDD + 8 dígitos ou 0800 + 7")))</f>
      </c>
      <c r="X532" s="6">
        <f>IF(N532="","vazio",IF(AND(LEN(SUBSTITUTE(SUBSTITUTE(SUBSTITUTE(SUBSTITUTE(SUBSTITUTE(SUBSTITUTE(SUBSTITUTE(TRIM(N532),".",""),"/",""),"-","")," ",""),"(",""),")",""),"+",""))=11,MID(SUBSTITUTE(SUBSTITUTE(SUBSTITUTE(SUBSTITUTE(SUBSTITUTE(SUBSTITUTE(SUBSTITUTE(TRIM(N532),".",""),"/",""),"-","")," ",""),"(",""),")",""),"+",""),3,1)="9",LEFT(SUBSTITUTE(SUBSTITUTE(SUBSTITUTE(SUBSTITUTE(SUBSTITUTE(SUBSTITUTE(SUBSTITUTE(TRIM(N532),".",""),"/",""),"-","")," ",""),"(",""),")",""),"+",""),1)&lt;&gt;"0"),"OK",IF(LEN(SUBSTITUTE(SUBSTITUTE(SUBSTITUTE(SUBSTITUTE(SUBSTITUTE(SUBSTITUTE(SUBSTITUTE(TRIM(N532),".",""),"/",""),"-","")," ",""),"(",""),")",""),"+",""))=10,"ERRO: é fixo (ou falta o 9), use a coluna Telefone fixo","ERRO: DDD + 9 + 8 dígitos")))</f>
      </c>
      <c r="Y532" s="6">
        <f>IF(O532="","vazio",IF(AND(ISNUMBER(FIND("@",O532)),ISNUMBER(FIND(".",MID(O532,FIND("@",O532),99))),NOT(ISNUMBER(FIND(" ",TRIM(O532)))),NOT(ISNUMBER(FIND(";",O532))),NOT(ISNUMBER(FIND(",",O532)))),"OK","ERRO: um e-mail válido por linha"))</f>
      </c>
      <c r="Z532" s="6">
        <f>IF(AND(J532="",K532=""),"",IF(AND(J532&lt;&gt;"",K532&lt;&gt;""),"OK","pendente: só um nome (o GR completa ao converter)"))</f>
      </c>
      <c r="AA532" s="6">
        <f>IF(COUNTA(A532:S532)=0,"",IF(AND(A532&lt;&gt;"",B532&lt;&gt;"",C532&lt;&gt;"",D532&lt;&gt;"",E532&lt;&gt;"",F532&lt;&gt;"",G532&lt;&gt;"",H532&lt;&gt;"",OR(J532&lt;&gt;"",K532&lt;&gt;""),OR(M532&lt;&gt;"",N532&lt;&gt;"",O532&lt;&gt;"")),"OK","ERRO: faltam "&amp;IF(A532="","SDR; ","")&amp;IF(B532="","Proprietário; ","")&amp;IF(C532="","Origem; ","")&amp;IF(D532="","Temperatura; ","")&amp;IF(E532="","Segmento; ","")&amp;IF(F532="","Time/Cluster; ","")&amp;IF(G532="","CNPJ; ","")&amp;IF(H532="","Razão Social; ","")&amp;IF(AND(J532="",K532=""),"nome do contato; ","")&amp;IF(AND(M532="",N532="",O532=""),"telefone, celular ou e-mail; ","")))</f>
      </c>
      <c r="AB532" s="6">
        <f>IF(COUNTA(A532:S532)=0,"",IF(AND(U532="OK",V532="OK",LEFT(W532,4)&lt;&gt;"ERRO",LEFT(X532,4)&lt;&gt;"ERRO",LEFT(Y532,4)&lt;&gt;"ERRO",AA532="OK"),"OK","REVISAR"))</f>
      </c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5"/>
      <c r="K533" s="4"/>
      <c r="L533" s="4"/>
      <c r="M533" s="4"/>
      <c r="N533" s="4"/>
      <c r="O533" s="4"/>
      <c r="P533" s="4"/>
      <c r="Q533" s="4"/>
      <c r="R533" s="4"/>
      <c r="S533" s="4"/>
      <c r="T533" s="6">
        <f>IF(G533="","",SUBSTITUTE(SUBSTITUTE(SUBSTITUTE(SUBSTITUTE(SUBSTITUTE(SUBSTITUTE(SUBSTITUTE(TRIM(G533),".",""),"/",""),"-","")," ",""),"(",""),")",""),"+",""))</f>
      </c>
      <c r="U533" s="6">
        <f>IF(T533="","",IF(LEN(T533)&lt;&gt;14,"ERRO: "&amp;LEN(T533)&amp;" dígitos",IF(NOT(ISNUMBER(VALUE(T533))),"ERRO: não numérico",IF(LEN(SUBSTITUTE(T533,LEFT(T533,1),""))=0,"ERRO: dígitos repetidos",IF(AND(VALUE(MID(T533,13,1))=IF(MOD(SUMPRODUCT(--MID(T533,{1,2,3,4,5,6,7,8,9,10,11,12},1),{5,4,3,2,9,8,7,6,5,4,3,2}),11)&lt;2,0,11-MOD(SUMPRODUCT(--MID(T533,{1,2,3,4,5,6,7,8,9,10,11,12},1),{5,4,3,2,9,8,7,6,5,4,3,2}),11)),VALUE(MID(T533,14,1))=IF(MOD(SUMPRODUCT(--MID(T533,{1,2,3,4,5,6,7,8,9,10,11,12,13},1),{6,5,4,3,2,9,8,7,6,5,4,3,2}),11)&lt;2,0,11-MOD(SUMPRODUCT(--MID(T533,{1,2,3,4,5,6,7,8,9,10,11,12,13},1),{6,5,4,3,2,9,8,7,6,5,4,3,2}),11))),"OK","ERRO: dígito verificador")))))</f>
      </c>
      <c r="V533" s="6">
        <f>IF(T533="","",IF(COUNTIF($T$2:$T$1001,T533)&gt;1,"DUPLICADO","OK"))</f>
      </c>
      <c r="W533" s="6">
        <f>IF(M533="","vazio",IF(OR(AND(LEN(SUBSTITUTE(SUBSTITUTE(SUBSTITUTE(SUBSTITUTE(SUBSTITUTE(SUBSTITUTE(SUBSTITUTE(TRIM(M533),".",""),"/",""),"-","")," ",""),"(",""),")",""),"+",""))=10,LEFT(SUBSTITUTE(SUBSTITUTE(SUBSTITUTE(SUBSTITUTE(SUBSTITUTE(SUBSTITUTE(SUBSTITUTE(TRIM(M533),".",""),"/",""),"-","")," ",""),"(",""),")",""),"+",""),1)&lt;&gt;"0"),AND(LEN(SUBSTITUTE(SUBSTITUTE(SUBSTITUTE(SUBSTITUTE(SUBSTITUTE(SUBSTITUTE(SUBSTITUTE(TRIM(M533),".",""),"/",""),"-","")," ",""),"(",""),")",""),"+",""))=11,LEFT(SUBSTITUTE(SUBSTITUTE(SUBSTITUTE(SUBSTITUTE(SUBSTITUTE(SUBSTITUTE(SUBSTITUTE(TRIM(M533),".",""),"/",""),"-","")," ",""),"(",""),")",""),"+",""),4)="0800")),"OK",IF(AND(LEN(SUBSTITUTE(SUBSTITUTE(SUBSTITUTE(SUBSTITUTE(SUBSTITUTE(SUBSTITUTE(SUBSTITUTE(TRIM(M533),".",""),"/",""),"-","")," ",""),"(",""),")",""),"+",""))=11,MID(SUBSTITUTE(SUBSTITUTE(SUBSTITUTE(SUBSTITUTE(SUBSTITUTE(SUBSTITUTE(SUBSTITUTE(TRIM(M533),".",""),"/",""),"-","")," ",""),"(",""),")",""),"+",""),3,1)="9"),"ERRO: é celular, use a coluna Celular","ERRO: DDD + 8 dígitos ou 0800 + 7")))</f>
      </c>
      <c r="X533" s="6">
        <f>IF(N533="","vazio",IF(AND(LEN(SUBSTITUTE(SUBSTITUTE(SUBSTITUTE(SUBSTITUTE(SUBSTITUTE(SUBSTITUTE(SUBSTITUTE(TRIM(N533),".",""),"/",""),"-","")," ",""),"(",""),")",""),"+",""))=11,MID(SUBSTITUTE(SUBSTITUTE(SUBSTITUTE(SUBSTITUTE(SUBSTITUTE(SUBSTITUTE(SUBSTITUTE(TRIM(N533),".",""),"/",""),"-","")," ",""),"(",""),")",""),"+",""),3,1)="9",LEFT(SUBSTITUTE(SUBSTITUTE(SUBSTITUTE(SUBSTITUTE(SUBSTITUTE(SUBSTITUTE(SUBSTITUTE(TRIM(N533),".",""),"/",""),"-","")," ",""),"(",""),")",""),"+",""),1)&lt;&gt;"0"),"OK",IF(LEN(SUBSTITUTE(SUBSTITUTE(SUBSTITUTE(SUBSTITUTE(SUBSTITUTE(SUBSTITUTE(SUBSTITUTE(TRIM(N533),".",""),"/",""),"-","")," ",""),"(",""),")",""),"+",""))=10,"ERRO: é fixo (ou falta o 9), use a coluna Telefone fixo","ERRO: DDD + 9 + 8 dígitos")))</f>
      </c>
      <c r="Y533" s="6">
        <f>IF(O533="","vazio",IF(AND(ISNUMBER(FIND("@",O533)),ISNUMBER(FIND(".",MID(O533,FIND("@",O533),99))),NOT(ISNUMBER(FIND(" ",TRIM(O533)))),NOT(ISNUMBER(FIND(";",O533))),NOT(ISNUMBER(FIND(",",O533)))),"OK","ERRO: um e-mail válido por linha"))</f>
      </c>
      <c r="Z533" s="6">
        <f>IF(AND(J533="",K533=""),"",IF(AND(J533&lt;&gt;"",K533&lt;&gt;""),"OK","pendente: só um nome (o GR completa ao converter)"))</f>
      </c>
      <c r="AA533" s="6">
        <f>IF(COUNTA(A533:S533)=0,"",IF(AND(A533&lt;&gt;"",B533&lt;&gt;"",C533&lt;&gt;"",D533&lt;&gt;"",E533&lt;&gt;"",F533&lt;&gt;"",G533&lt;&gt;"",H533&lt;&gt;"",OR(J533&lt;&gt;"",K533&lt;&gt;""),OR(M533&lt;&gt;"",N533&lt;&gt;"",O533&lt;&gt;"")),"OK","ERRO: faltam "&amp;IF(A533="","SDR; ","")&amp;IF(B533="","Proprietário; ","")&amp;IF(C533="","Origem; ","")&amp;IF(D533="","Temperatura; ","")&amp;IF(E533="","Segmento; ","")&amp;IF(F533="","Time/Cluster; ","")&amp;IF(G533="","CNPJ; ","")&amp;IF(H533="","Razão Social; ","")&amp;IF(AND(J533="",K533=""),"nome do contato; ","")&amp;IF(AND(M533="",N533="",O533=""),"telefone, celular ou e-mail; ","")))</f>
      </c>
      <c r="AB533" s="6">
        <f>IF(COUNTA(A533:S533)=0,"",IF(AND(U533="OK",V533="OK",LEFT(W533,4)&lt;&gt;"ERRO",LEFT(X533,4)&lt;&gt;"ERRO",LEFT(Y533,4)&lt;&gt;"ERRO",AA533="OK"),"OK","REVISAR"))</f>
      </c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5"/>
      <c r="K534" s="4"/>
      <c r="L534" s="4"/>
      <c r="M534" s="4"/>
      <c r="N534" s="4"/>
      <c r="O534" s="4"/>
      <c r="P534" s="4"/>
      <c r="Q534" s="4"/>
      <c r="R534" s="4"/>
      <c r="S534" s="4"/>
      <c r="T534" s="6">
        <f>IF(G534="","",SUBSTITUTE(SUBSTITUTE(SUBSTITUTE(SUBSTITUTE(SUBSTITUTE(SUBSTITUTE(SUBSTITUTE(TRIM(G534),".",""),"/",""),"-","")," ",""),"(",""),")",""),"+",""))</f>
      </c>
      <c r="U534" s="6">
        <f>IF(T534="","",IF(LEN(T534)&lt;&gt;14,"ERRO: "&amp;LEN(T534)&amp;" dígitos",IF(NOT(ISNUMBER(VALUE(T534))),"ERRO: não numérico",IF(LEN(SUBSTITUTE(T534,LEFT(T534,1),""))=0,"ERRO: dígitos repetidos",IF(AND(VALUE(MID(T534,13,1))=IF(MOD(SUMPRODUCT(--MID(T534,{1,2,3,4,5,6,7,8,9,10,11,12},1),{5,4,3,2,9,8,7,6,5,4,3,2}),11)&lt;2,0,11-MOD(SUMPRODUCT(--MID(T534,{1,2,3,4,5,6,7,8,9,10,11,12},1),{5,4,3,2,9,8,7,6,5,4,3,2}),11)),VALUE(MID(T534,14,1))=IF(MOD(SUMPRODUCT(--MID(T534,{1,2,3,4,5,6,7,8,9,10,11,12,13},1),{6,5,4,3,2,9,8,7,6,5,4,3,2}),11)&lt;2,0,11-MOD(SUMPRODUCT(--MID(T534,{1,2,3,4,5,6,7,8,9,10,11,12,13},1),{6,5,4,3,2,9,8,7,6,5,4,3,2}),11))),"OK","ERRO: dígito verificador")))))</f>
      </c>
      <c r="V534" s="6">
        <f>IF(T534="","",IF(COUNTIF($T$2:$T$1001,T534)&gt;1,"DUPLICADO","OK"))</f>
      </c>
      <c r="W534" s="6">
        <f>IF(M534="","vazio",IF(OR(AND(LEN(SUBSTITUTE(SUBSTITUTE(SUBSTITUTE(SUBSTITUTE(SUBSTITUTE(SUBSTITUTE(SUBSTITUTE(TRIM(M534),".",""),"/",""),"-","")," ",""),"(",""),")",""),"+",""))=10,LEFT(SUBSTITUTE(SUBSTITUTE(SUBSTITUTE(SUBSTITUTE(SUBSTITUTE(SUBSTITUTE(SUBSTITUTE(TRIM(M534),".",""),"/",""),"-","")," ",""),"(",""),")",""),"+",""),1)&lt;&gt;"0"),AND(LEN(SUBSTITUTE(SUBSTITUTE(SUBSTITUTE(SUBSTITUTE(SUBSTITUTE(SUBSTITUTE(SUBSTITUTE(TRIM(M534),".",""),"/",""),"-","")," ",""),"(",""),")",""),"+",""))=11,LEFT(SUBSTITUTE(SUBSTITUTE(SUBSTITUTE(SUBSTITUTE(SUBSTITUTE(SUBSTITUTE(SUBSTITUTE(TRIM(M534),".",""),"/",""),"-","")," ",""),"(",""),")",""),"+",""),4)="0800")),"OK",IF(AND(LEN(SUBSTITUTE(SUBSTITUTE(SUBSTITUTE(SUBSTITUTE(SUBSTITUTE(SUBSTITUTE(SUBSTITUTE(TRIM(M534),".",""),"/",""),"-","")," ",""),"(",""),")",""),"+",""))=11,MID(SUBSTITUTE(SUBSTITUTE(SUBSTITUTE(SUBSTITUTE(SUBSTITUTE(SUBSTITUTE(SUBSTITUTE(TRIM(M534),".",""),"/",""),"-","")," ",""),"(",""),")",""),"+",""),3,1)="9"),"ERRO: é celular, use a coluna Celular","ERRO: DDD + 8 dígitos ou 0800 + 7")))</f>
      </c>
      <c r="X534" s="6">
        <f>IF(N534="","vazio",IF(AND(LEN(SUBSTITUTE(SUBSTITUTE(SUBSTITUTE(SUBSTITUTE(SUBSTITUTE(SUBSTITUTE(SUBSTITUTE(TRIM(N534),".",""),"/",""),"-","")," ",""),"(",""),")",""),"+",""))=11,MID(SUBSTITUTE(SUBSTITUTE(SUBSTITUTE(SUBSTITUTE(SUBSTITUTE(SUBSTITUTE(SUBSTITUTE(TRIM(N534),".",""),"/",""),"-","")," ",""),"(",""),")",""),"+",""),3,1)="9",LEFT(SUBSTITUTE(SUBSTITUTE(SUBSTITUTE(SUBSTITUTE(SUBSTITUTE(SUBSTITUTE(SUBSTITUTE(TRIM(N534),".",""),"/",""),"-","")," ",""),"(",""),")",""),"+",""),1)&lt;&gt;"0"),"OK",IF(LEN(SUBSTITUTE(SUBSTITUTE(SUBSTITUTE(SUBSTITUTE(SUBSTITUTE(SUBSTITUTE(SUBSTITUTE(TRIM(N534),".",""),"/",""),"-","")," ",""),"(",""),")",""),"+",""))=10,"ERRO: é fixo (ou falta o 9), use a coluna Telefone fixo","ERRO: DDD + 9 + 8 dígitos")))</f>
      </c>
      <c r="Y534" s="6">
        <f>IF(O534="","vazio",IF(AND(ISNUMBER(FIND("@",O534)),ISNUMBER(FIND(".",MID(O534,FIND("@",O534),99))),NOT(ISNUMBER(FIND(" ",TRIM(O534)))),NOT(ISNUMBER(FIND(";",O534))),NOT(ISNUMBER(FIND(",",O534)))),"OK","ERRO: um e-mail válido por linha"))</f>
      </c>
      <c r="Z534" s="6">
        <f>IF(AND(J534="",K534=""),"",IF(AND(J534&lt;&gt;"",K534&lt;&gt;""),"OK","pendente: só um nome (o GR completa ao converter)"))</f>
      </c>
      <c r="AA534" s="6">
        <f>IF(COUNTA(A534:S534)=0,"",IF(AND(A534&lt;&gt;"",B534&lt;&gt;"",C534&lt;&gt;"",D534&lt;&gt;"",E534&lt;&gt;"",F534&lt;&gt;"",G534&lt;&gt;"",H534&lt;&gt;"",OR(J534&lt;&gt;"",K534&lt;&gt;""),OR(M534&lt;&gt;"",N534&lt;&gt;"",O534&lt;&gt;"")),"OK","ERRO: faltam "&amp;IF(A534="","SDR; ","")&amp;IF(B534="","Proprietário; ","")&amp;IF(C534="","Origem; ","")&amp;IF(D534="","Temperatura; ","")&amp;IF(E534="","Segmento; ","")&amp;IF(F534="","Time/Cluster; ","")&amp;IF(G534="","CNPJ; ","")&amp;IF(H534="","Razão Social; ","")&amp;IF(AND(J534="",K534=""),"nome do contato; ","")&amp;IF(AND(M534="",N534="",O534=""),"telefone, celular ou e-mail; ","")))</f>
      </c>
      <c r="AB534" s="6">
        <f>IF(COUNTA(A534:S534)=0,"",IF(AND(U534="OK",V534="OK",LEFT(W534,4)&lt;&gt;"ERRO",LEFT(X534,4)&lt;&gt;"ERRO",LEFT(Y534,4)&lt;&gt;"ERRO",AA534="OK"),"OK","REVISAR"))</f>
      </c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5"/>
      <c r="K535" s="4"/>
      <c r="L535" s="4"/>
      <c r="M535" s="4"/>
      <c r="N535" s="4"/>
      <c r="O535" s="4"/>
      <c r="P535" s="4"/>
      <c r="Q535" s="4"/>
      <c r="R535" s="4"/>
      <c r="S535" s="4"/>
      <c r="T535" s="6">
        <f>IF(G535="","",SUBSTITUTE(SUBSTITUTE(SUBSTITUTE(SUBSTITUTE(SUBSTITUTE(SUBSTITUTE(SUBSTITUTE(TRIM(G535),".",""),"/",""),"-","")," ",""),"(",""),")",""),"+",""))</f>
      </c>
      <c r="U535" s="6">
        <f>IF(T535="","",IF(LEN(T535)&lt;&gt;14,"ERRO: "&amp;LEN(T535)&amp;" dígitos",IF(NOT(ISNUMBER(VALUE(T535))),"ERRO: não numérico",IF(LEN(SUBSTITUTE(T535,LEFT(T535,1),""))=0,"ERRO: dígitos repetidos",IF(AND(VALUE(MID(T535,13,1))=IF(MOD(SUMPRODUCT(--MID(T535,{1,2,3,4,5,6,7,8,9,10,11,12},1),{5,4,3,2,9,8,7,6,5,4,3,2}),11)&lt;2,0,11-MOD(SUMPRODUCT(--MID(T535,{1,2,3,4,5,6,7,8,9,10,11,12},1),{5,4,3,2,9,8,7,6,5,4,3,2}),11)),VALUE(MID(T535,14,1))=IF(MOD(SUMPRODUCT(--MID(T535,{1,2,3,4,5,6,7,8,9,10,11,12,13},1),{6,5,4,3,2,9,8,7,6,5,4,3,2}),11)&lt;2,0,11-MOD(SUMPRODUCT(--MID(T535,{1,2,3,4,5,6,7,8,9,10,11,12,13},1),{6,5,4,3,2,9,8,7,6,5,4,3,2}),11))),"OK","ERRO: dígito verificador")))))</f>
      </c>
      <c r="V535" s="6">
        <f>IF(T535="","",IF(COUNTIF($T$2:$T$1001,T535)&gt;1,"DUPLICADO","OK"))</f>
      </c>
      <c r="W535" s="6">
        <f>IF(M535="","vazio",IF(OR(AND(LEN(SUBSTITUTE(SUBSTITUTE(SUBSTITUTE(SUBSTITUTE(SUBSTITUTE(SUBSTITUTE(SUBSTITUTE(TRIM(M535),".",""),"/",""),"-","")," ",""),"(",""),")",""),"+",""))=10,LEFT(SUBSTITUTE(SUBSTITUTE(SUBSTITUTE(SUBSTITUTE(SUBSTITUTE(SUBSTITUTE(SUBSTITUTE(TRIM(M535),".",""),"/",""),"-","")," ",""),"(",""),")",""),"+",""),1)&lt;&gt;"0"),AND(LEN(SUBSTITUTE(SUBSTITUTE(SUBSTITUTE(SUBSTITUTE(SUBSTITUTE(SUBSTITUTE(SUBSTITUTE(TRIM(M535),".",""),"/",""),"-","")," ",""),"(",""),")",""),"+",""))=11,LEFT(SUBSTITUTE(SUBSTITUTE(SUBSTITUTE(SUBSTITUTE(SUBSTITUTE(SUBSTITUTE(SUBSTITUTE(TRIM(M535),".",""),"/",""),"-","")," ",""),"(",""),")",""),"+",""),4)="0800")),"OK",IF(AND(LEN(SUBSTITUTE(SUBSTITUTE(SUBSTITUTE(SUBSTITUTE(SUBSTITUTE(SUBSTITUTE(SUBSTITUTE(TRIM(M535),".",""),"/",""),"-","")," ",""),"(",""),")",""),"+",""))=11,MID(SUBSTITUTE(SUBSTITUTE(SUBSTITUTE(SUBSTITUTE(SUBSTITUTE(SUBSTITUTE(SUBSTITUTE(TRIM(M535),".",""),"/",""),"-","")," ",""),"(",""),")",""),"+",""),3,1)="9"),"ERRO: é celular, use a coluna Celular","ERRO: DDD + 8 dígitos ou 0800 + 7")))</f>
      </c>
      <c r="X535" s="6">
        <f>IF(N535="","vazio",IF(AND(LEN(SUBSTITUTE(SUBSTITUTE(SUBSTITUTE(SUBSTITUTE(SUBSTITUTE(SUBSTITUTE(SUBSTITUTE(TRIM(N535),".",""),"/",""),"-","")," ",""),"(",""),")",""),"+",""))=11,MID(SUBSTITUTE(SUBSTITUTE(SUBSTITUTE(SUBSTITUTE(SUBSTITUTE(SUBSTITUTE(SUBSTITUTE(TRIM(N535),".",""),"/",""),"-","")," ",""),"(",""),")",""),"+",""),3,1)="9",LEFT(SUBSTITUTE(SUBSTITUTE(SUBSTITUTE(SUBSTITUTE(SUBSTITUTE(SUBSTITUTE(SUBSTITUTE(TRIM(N535),".",""),"/",""),"-","")," ",""),"(",""),")",""),"+",""),1)&lt;&gt;"0"),"OK",IF(LEN(SUBSTITUTE(SUBSTITUTE(SUBSTITUTE(SUBSTITUTE(SUBSTITUTE(SUBSTITUTE(SUBSTITUTE(TRIM(N535),".",""),"/",""),"-","")," ",""),"(",""),")",""),"+",""))=10,"ERRO: é fixo (ou falta o 9), use a coluna Telefone fixo","ERRO: DDD + 9 + 8 dígitos")))</f>
      </c>
      <c r="Y535" s="6">
        <f>IF(O535="","vazio",IF(AND(ISNUMBER(FIND("@",O535)),ISNUMBER(FIND(".",MID(O535,FIND("@",O535),99))),NOT(ISNUMBER(FIND(" ",TRIM(O535)))),NOT(ISNUMBER(FIND(";",O535))),NOT(ISNUMBER(FIND(",",O535)))),"OK","ERRO: um e-mail válido por linha"))</f>
      </c>
      <c r="Z535" s="6">
        <f>IF(AND(J535="",K535=""),"",IF(AND(J535&lt;&gt;"",K535&lt;&gt;""),"OK","pendente: só um nome (o GR completa ao converter)"))</f>
      </c>
      <c r="AA535" s="6">
        <f>IF(COUNTA(A535:S535)=0,"",IF(AND(A535&lt;&gt;"",B535&lt;&gt;"",C535&lt;&gt;"",D535&lt;&gt;"",E535&lt;&gt;"",F535&lt;&gt;"",G535&lt;&gt;"",H535&lt;&gt;"",OR(J535&lt;&gt;"",K535&lt;&gt;""),OR(M535&lt;&gt;"",N535&lt;&gt;"",O535&lt;&gt;"")),"OK","ERRO: faltam "&amp;IF(A535="","SDR; ","")&amp;IF(B535="","Proprietário; ","")&amp;IF(C535="","Origem; ","")&amp;IF(D535="","Temperatura; ","")&amp;IF(E535="","Segmento; ","")&amp;IF(F535="","Time/Cluster; ","")&amp;IF(G535="","CNPJ; ","")&amp;IF(H535="","Razão Social; ","")&amp;IF(AND(J535="",K535=""),"nome do contato; ","")&amp;IF(AND(M535="",N535="",O535=""),"telefone, celular ou e-mail; ","")))</f>
      </c>
      <c r="AB535" s="6">
        <f>IF(COUNTA(A535:S535)=0,"",IF(AND(U535="OK",V535="OK",LEFT(W535,4)&lt;&gt;"ERRO",LEFT(X535,4)&lt;&gt;"ERRO",LEFT(Y535,4)&lt;&gt;"ERRO",AA535="OK"),"OK","REVISAR"))</f>
      </c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5"/>
      <c r="K536" s="4"/>
      <c r="L536" s="4"/>
      <c r="M536" s="4"/>
      <c r="N536" s="4"/>
      <c r="O536" s="4"/>
      <c r="P536" s="4"/>
      <c r="Q536" s="4"/>
      <c r="R536" s="4"/>
      <c r="S536" s="4"/>
      <c r="T536" s="6">
        <f>IF(G536="","",SUBSTITUTE(SUBSTITUTE(SUBSTITUTE(SUBSTITUTE(SUBSTITUTE(SUBSTITUTE(SUBSTITUTE(TRIM(G536),".",""),"/",""),"-","")," ",""),"(",""),")",""),"+",""))</f>
      </c>
      <c r="U536" s="6">
        <f>IF(T536="","",IF(LEN(T536)&lt;&gt;14,"ERRO: "&amp;LEN(T536)&amp;" dígitos",IF(NOT(ISNUMBER(VALUE(T536))),"ERRO: não numérico",IF(LEN(SUBSTITUTE(T536,LEFT(T536,1),""))=0,"ERRO: dígitos repetidos",IF(AND(VALUE(MID(T536,13,1))=IF(MOD(SUMPRODUCT(--MID(T536,{1,2,3,4,5,6,7,8,9,10,11,12},1),{5,4,3,2,9,8,7,6,5,4,3,2}),11)&lt;2,0,11-MOD(SUMPRODUCT(--MID(T536,{1,2,3,4,5,6,7,8,9,10,11,12},1),{5,4,3,2,9,8,7,6,5,4,3,2}),11)),VALUE(MID(T536,14,1))=IF(MOD(SUMPRODUCT(--MID(T536,{1,2,3,4,5,6,7,8,9,10,11,12,13},1),{6,5,4,3,2,9,8,7,6,5,4,3,2}),11)&lt;2,0,11-MOD(SUMPRODUCT(--MID(T536,{1,2,3,4,5,6,7,8,9,10,11,12,13},1),{6,5,4,3,2,9,8,7,6,5,4,3,2}),11))),"OK","ERRO: dígito verificador")))))</f>
      </c>
      <c r="V536" s="6">
        <f>IF(T536="","",IF(COUNTIF($T$2:$T$1001,T536)&gt;1,"DUPLICADO","OK"))</f>
      </c>
      <c r="W536" s="6">
        <f>IF(M536="","vazio",IF(OR(AND(LEN(SUBSTITUTE(SUBSTITUTE(SUBSTITUTE(SUBSTITUTE(SUBSTITUTE(SUBSTITUTE(SUBSTITUTE(TRIM(M536),".",""),"/",""),"-","")," ",""),"(",""),")",""),"+",""))=10,LEFT(SUBSTITUTE(SUBSTITUTE(SUBSTITUTE(SUBSTITUTE(SUBSTITUTE(SUBSTITUTE(SUBSTITUTE(TRIM(M536),".",""),"/",""),"-","")," ",""),"(",""),")",""),"+",""),1)&lt;&gt;"0"),AND(LEN(SUBSTITUTE(SUBSTITUTE(SUBSTITUTE(SUBSTITUTE(SUBSTITUTE(SUBSTITUTE(SUBSTITUTE(TRIM(M536),".",""),"/",""),"-","")," ",""),"(",""),")",""),"+",""))=11,LEFT(SUBSTITUTE(SUBSTITUTE(SUBSTITUTE(SUBSTITUTE(SUBSTITUTE(SUBSTITUTE(SUBSTITUTE(TRIM(M536),".",""),"/",""),"-","")," ",""),"(",""),")",""),"+",""),4)="0800")),"OK",IF(AND(LEN(SUBSTITUTE(SUBSTITUTE(SUBSTITUTE(SUBSTITUTE(SUBSTITUTE(SUBSTITUTE(SUBSTITUTE(TRIM(M536),".",""),"/",""),"-","")," ",""),"(",""),")",""),"+",""))=11,MID(SUBSTITUTE(SUBSTITUTE(SUBSTITUTE(SUBSTITUTE(SUBSTITUTE(SUBSTITUTE(SUBSTITUTE(TRIM(M536),".",""),"/",""),"-","")," ",""),"(",""),")",""),"+",""),3,1)="9"),"ERRO: é celular, use a coluna Celular","ERRO: DDD + 8 dígitos ou 0800 + 7")))</f>
      </c>
      <c r="X536" s="6">
        <f>IF(N536="","vazio",IF(AND(LEN(SUBSTITUTE(SUBSTITUTE(SUBSTITUTE(SUBSTITUTE(SUBSTITUTE(SUBSTITUTE(SUBSTITUTE(TRIM(N536),".",""),"/",""),"-","")," ",""),"(",""),")",""),"+",""))=11,MID(SUBSTITUTE(SUBSTITUTE(SUBSTITUTE(SUBSTITUTE(SUBSTITUTE(SUBSTITUTE(SUBSTITUTE(TRIM(N536),".",""),"/",""),"-","")," ",""),"(",""),")",""),"+",""),3,1)="9",LEFT(SUBSTITUTE(SUBSTITUTE(SUBSTITUTE(SUBSTITUTE(SUBSTITUTE(SUBSTITUTE(SUBSTITUTE(TRIM(N536),".",""),"/",""),"-","")," ",""),"(",""),")",""),"+",""),1)&lt;&gt;"0"),"OK",IF(LEN(SUBSTITUTE(SUBSTITUTE(SUBSTITUTE(SUBSTITUTE(SUBSTITUTE(SUBSTITUTE(SUBSTITUTE(TRIM(N536),".",""),"/",""),"-","")," ",""),"(",""),")",""),"+",""))=10,"ERRO: é fixo (ou falta o 9), use a coluna Telefone fixo","ERRO: DDD + 9 + 8 dígitos")))</f>
      </c>
      <c r="Y536" s="6">
        <f>IF(O536="","vazio",IF(AND(ISNUMBER(FIND("@",O536)),ISNUMBER(FIND(".",MID(O536,FIND("@",O536),99))),NOT(ISNUMBER(FIND(" ",TRIM(O536)))),NOT(ISNUMBER(FIND(";",O536))),NOT(ISNUMBER(FIND(",",O536)))),"OK","ERRO: um e-mail válido por linha"))</f>
      </c>
      <c r="Z536" s="6">
        <f>IF(AND(J536="",K536=""),"",IF(AND(J536&lt;&gt;"",K536&lt;&gt;""),"OK","pendente: só um nome (o GR completa ao converter)"))</f>
      </c>
      <c r="AA536" s="6">
        <f>IF(COUNTA(A536:S536)=0,"",IF(AND(A536&lt;&gt;"",B536&lt;&gt;"",C536&lt;&gt;"",D536&lt;&gt;"",E536&lt;&gt;"",F536&lt;&gt;"",G536&lt;&gt;"",H536&lt;&gt;"",OR(J536&lt;&gt;"",K536&lt;&gt;""),OR(M536&lt;&gt;"",N536&lt;&gt;"",O536&lt;&gt;"")),"OK","ERRO: faltam "&amp;IF(A536="","SDR; ","")&amp;IF(B536="","Proprietário; ","")&amp;IF(C536="","Origem; ","")&amp;IF(D536="","Temperatura; ","")&amp;IF(E536="","Segmento; ","")&amp;IF(F536="","Time/Cluster; ","")&amp;IF(G536="","CNPJ; ","")&amp;IF(H536="","Razão Social; ","")&amp;IF(AND(J536="",K536=""),"nome do contato; ","")&amp;IF(AND(M536="",N536="",O536=""),"telefone, celular ou e-mail; ","")))</f>
      </c>
      <c r="AB536" s="6">
        <f>IF(COUNTA(A536:S536)=0,"",IF(AND(U536="OK",V536="OK",LEFT(W536,4)&lt;&gt;"ERRO",LEFT(X536,4)&lt;&gt;"ERRO",LEFT(Y536,4)&lt;&gt;"ERRO",AA536="OK"),"OK","REVISAR"))</f>
      </c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5"/>
      <c r="K537" s="4"/>
      <c r="L537" s="4"/>
      <c r="M537" s="4"/>
      <c r="N537" s="4"/>
      <c r="O537" s="4"/>
      <c r="P537" s="4"/>
      <c r="Q537" s="4"/>
      <c r="R537" s="4"/>
      <c r="S537" s="4"/>
      <c r="T537" s="6">
        <f>IF(G537="","",SUBSTITUTE(SUBSTITUTE(SUBSTITUTE(SUBSTITUTE(SUBSTITUTE(SUBSTITUTE(SUBSTITUTE(TRIM(G537),".",""),"/",""),"-","")," ",""),"(",""),")",""),"+",""))</f>
      </c>
      <c r="U537" s="6">
        <f>IF(T537="","",IF(LEN(T537)&lt;&gt;14,"ERRO: "&amp;LEN(T537)&amp;" dígitos",IF(NOT(ISNUMBER(VALUE(T537))),"ERRO: não numérico",IF(LEN(SUBSTITUTE(T537,LEFT(T537,1),""))=0,"ERRO: dígitos repetidos",IF(AND(VALUE(MID(T537,13,1))=IF(MOD(SUMPRODUCT(--MID(T537,{1,2,3,4,5,6,7,8,9,10,11,12},1),{5,4,3,2,9,8,7,6,5,4,3,2}),11)&lt;2,0,11-MOD(SUMPRODUCT(--MID(T537,{1,2,3,4,5,6,7,8,9,10,11,12},1),{5,4,3,2,9,8,7,6,5,4,3,2}),11)),VALUE(MID(T537,14,1))=IF(MOD(SUMPRODUCT(--MID(T537,{1,2,3,4,5,6,7,8,9,10,11,12,13},1),{6,5,4,3,2,9,8,7,6,5,4,3,2}),11)&lt;2,0,11-MOD(SUMPRODUCT(--MID(T537,{1,2,3,4,5,6,7,8,9,10,11,12,13},1),{6,5,4,3,2,9,8,7,6,5,4,3,2}),11))),"OK","ERRO: dígito verificador")))))</f>
      </c>
      <c r="V537" s="6">
        <f>IF(T537="","",IF(COUNTIF($T$2:$T$1001,T537)&gt;1,"DUPLICADO","OK"))</f>
      </c>
      <c r="W537" s="6">
        <f>IF(M537="","vazio",IF(OR(AND(LEN(SUBSTITUTE(SUBSTITUTE(SUBSTITUTE(SUBSTITUTE(SUBSTITUTE(SUBSTITUTE(SUBSTITUTE(TRIM(M537),".",""),"/",""),"-","")," ",""),"(",""),")",""),"+",""))=10,LEFT(SUBSTITUTE(SUBSTITUTE(SUBSTITUTE(SUBSTITUTE(SUBSTITUTE(SUBSTITUTE(SUBSTITUTE(TRIM(M537),".",""),"/",""),"-","")," ",""),"(",""),")",""),"+",""),1)&lt;&gt;"0"),AND(LEN(SUBSTITUTE(SUBSTITUTE(SUBSTITUTE(SUBSTITUTE(SUBSTITUTE(SUBSTITUTE(SUBSTITUTE(TRIM(M537),".",""),"/",""),"-","")," ",""),"(",""),")",""),"+",""))=11,LEFT(SUBSTITUTE(SUBSTITUTE(SUBSTITUTE(SUBSTITUTE(SUBSTITUTE(SUBSTITUTE(SUBSTITUTE(TRIM(M537),".",""),"/",""),"-","")," ",""),"(",""),")",""),"+",""),4)="0800")),"OK",IF(AND(LEN(SUBSTITUTE(SUBSTITUTE(SUBSTITUTE(SUBSTITUTE(SUBSTITUTE(SUBSTITUTE(SUBSTITUTE(TRIM(M537),".",""),"/",""),"-","")," ",""),"(",""),")",""),"+",""))=11,MID(SUBSTITUTE(SUBSTITUTE(SUBSTITUTE(SUBSTITUTE(SUBSTITUTE(SUBSTITUTE(SUBSTITUTE(TRIM(M537),".",""),"/",""),"-","")," ",""),"(",""),")",""),"+",""),3,1)="9"),"ERRO: é celular, use a coluna Celular","ERRO: DDD + 8 dígitos ou 0800 + 7")))</f>
      </c>
      <c r="X537" s="6">
        <f>IF(N537="","vazio",IF(AND(LEN(SUBSTITUTE(SUBSTITUTE(SUBSTITUTE(SUBSTITUTE(SUBSTITUTE(SUBSTITUTE(SUBSTITUTE(TRIM(N537),".",""),"/",""),"-","")," ",""),"(",""),")",""),"+",""))=11,MID(SUBSTITUTE(SUBSTITUTE(SUBSTITUTE(SUBSTITUTE(SUBSTITUTE(SUBSTITUTE(SUBSTITUTE(TRIM(N537),".",""),"/",""),"-","")," ",""),"(",""),")",""),"+",""),3,1)="9",LEFT(SUBSTITUTE(SUBSTITUTE(SUBSTITUTE(SUBSTITUTE(SUBSTITUTE(SUBSTITUTE(SUBSTITUTE(TRIM(N537),".",""),"/",""),"-","")," ",""),"(",""),")",""),"+",""),1)&lt;&gt;"0"),"OK",IF(LEN(SUBSTITUTE(SUBSTITUTE(SUBSTITUTE(SUBSTITUTE(SUBSTITUTE(SUBSTITUTE(SUBSTITUTE(TRIM(N537),".",""),"/",""),"-","")," ",""),"(",""),")",""),"+",""))=10,"ERRO: é fixo (ou falta o 9), use a coluna Telefone fixo","ERRO: DDD + 9 + 8 dígitos")))</f>
      </c>
      <c r="Y537" s="6">
        <f>IF(O537="","vazio",IF(AND(ISNUMBER(FIND("@",O537)),ISNUMBER(FIND(".",MID(O537,FIND("@",O537),99))),NOT(ISNUMBER(FIND(" ",TRIM(O537)))),NOT(ISNUMBER(FIND(";",O537))),NOT(ISNUMBER(FIND(",",O537)))),"OK","ERRO: um e-mail válido por linha"))</f>
      </c>
      <c r="Z537" s="6">
        <f>IF(AND(J537="",K537=""),"",IF(AND(J537&lt;&gt;"",K537&lt;&gt;""),"OK","pendente: só um nome (o GR completa ao converter)"))</f>
      </c>
      <c r="AA537" s="6">
        <f>IF(COUNTA(A537:S537)=0,"",IF(AND(A537&lt;&gt;"",B537&lt;&gt;"",C537&lt;&gt;"",D537&lt;&gt;"",E537&lt;&gt;"",F537&lt;&gt;"",G537&lt;&gt;"",H537&lt;&gt;"",OR(J537&lt;&gt;"",K537&lt;&gt;""),OR(M537&lt;&gt;"",N537&lt;&gt;"",O537&lt;&gt;"")),"OK","ERRO: faltam "&amp;IF(A537="","SDR; ","")&amp;IF(B537="","Proprietário; ","")&amp;IF(C537="","Origem; ","")&amp;IF(D537="","Temperatura; ","")&amp;IF(E537="","Segmento; ","")&amp;IF(F537="","Time/Cluster; ","")&amp;IF(G537="","CNPJ; ","")&amp;IF(H537="","Razão Social; ","")&amp;IF(AND(J537="",K537=""),"nome do contato; ","")&amp;IF(AND(M537="",N537="",O537=""),"telefone, celular ou e-mail; ","")))</f>
      </c>
      <c r="AB537" s="6">
        <f>IF(COUNTA(A537:S537)=0,"",IF(AND(U537="OK",V537="OK",LEFT(W537,4)&lt;&gt;"ERRO",LEFT(X537,4)&lt;&gt;"ERRO",LEFT(Y537,4)&lt;&gt;"ERRO",AA537="OK"),"OK","REVISAR"))</f>
      </c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5"/>
      <c r="K538" s="4"/>
      <c r="L538" s="4"/>
      <c r="M538" s="4"/>
      <c r="N538" s="4"/>
      <c r="O538" s="4"/>
      <c r="P538" s="4"/>
      <c r="Q538" s="4"/>
      <c r="R538" s="4"/>
      <c r="S538" s="4"/>
      <c r="T538" s="6">
        <f>IF(G538="","",SUBSTITUTE(SUBSTITUTE(SUBSTITUTE(SUBSTITUTE(SUBSTITUTE(SUBSTITUTE(SUBSTITUTE(TRIM(G538),".",""),"/",""),"-","")," ",""),"(",""),")",""),"+",""))</f>
      </c>
      <c r="U538" s="6">
        <f>IF(T538="","",IF(LEN(T538)&lt;&gt;14,"ERRO: "&amp;LEN(T538)&amp;" dígitos",IF(NOT(ISNUMBER(VALUE(T538))),"ERRO: não numérico",IF(LEN(SUBSTITUTE(T538,LEFT(T538,1),""))=0,"ERRO: dígitos repetidos",IF(AND(VALUE(MID(T538,13,1))=IF(MOD(SUMPRODUCT(--MID(T538,{1,2,3,4,5,6,7,8,9,10,11,12},1),{5,4,3,2,9,8,7,6,5,4,3,2}),11)&lt;2,0,11-MOD(SUMPRODUCT(--MID(T538,{1,2,3,4,5,6,7,8,9,10,11,12},1),{5,4,3,2,9,8,7,6,5,4,3,2}),11)),VALUE(MID(T538,14,1))=IF(MOD(SUMPRODUCT(--MID(T538,{1,2,3,4,5,6,7,8,9,10,11,12,13},1),{6,5,4,3,2,9,8,7,6,5,4,3,2}),11)&lt;2,0,11-MOD(SUMPRODUCT(--MID(T538,{1,2,3,4,5,6,7,8,9,10,11,12,13},1),{6,5,4,3,2,9,8,7,6,5,4,3,2}),11))),"OK","ERRO: dígito verificador")))))</f>
      </c>
      <c r="V538" s="6">
        <f>IF(T538="","",IF(COUNTIF($T$2:$T$1001,T538)&gt;1,"DUPLICADO","OK"))</f>
      </c>
      <c r="W538" s="6">
        <f>IF(M538="","vazio",IF(OR(AND(LEN(SUBSTITUTE(SUBSTITUTE(SUBSTITUTE(SUBSTITUTE(SUBSTITUTE(SUBSTITUTE(SUBSTITUTE(TRIM(M538),".",""),"/",""),"-","")," ",""),"(",""),")",""),"+",""))=10,LEFT(SUBSTITUTE(SUBSTITUTE(SUBSTITUTE(SUBSTITUTE(SUBSTITUTE(SUBSTITUTE(SUBSTITUTE(TRIM(M538),".",""),"/",""),"-","")," ",""),"(",""),")",""),"+",""),1)&lt;&gt;"0"),AND(LEN(SUBSTITUTE(SUBSTITUTE(SUBSTITUTE(SUBSTITUTE(SUBSTITUTE(SUBSTITUTE(SUBSTITUTE(TRIM(M538),".",""),"/",""),"-","")," ",""),"(",""),")",""),"+",""))=11,LEFT(SUBSTITUTE(SUBSTITUTE(SUBSTITUTE(SUBSTITUTE(SUBSTITUTE(SUBSTITUTE(SUBSTITUTE(TRIM(M538),".",""),"/",""),"-","")," ",""),"(",""),")",""),"+",""),4)="0800")),"OK",IF(AND(LEN(SUBSTITUTE(SUBSTITUTE(SUBSTITUTE(SUBSTITUTE(SUBSTITUTE(SUBSTITUTE(SUBSTITUTE(TRIM(M538),".",""),"/",""),"-","")," ",""),"(",""),")",""),"+",""))=11,MID(SUBSTITUTE(SUBSTITUTE(SUBSTITUTE(SUBSTITUTE(SUBSTITUTE(SUBSTITUTE(SUBSTITUTE(TRIM(M538),".",""),"/",""),"-","")," ",""),"(",""),")",""),"+",""),3,1)="9"),"ERRO: é celular, use a coluna Celular","ERRO: DDD + 8 dígitos ou 0800 + 7")))</f>
      </c>
      <c r="X538" s="6">
        <f>IF(N538="","vazio",IF(AND(LEN(SUBSTITUTE(SUBSTITUTE(SUBSTITUTE(SUBSTITUTE(SUBSTITUTE(SUBSTITUTE(SUBSTITUTE(TRIM(N538),".",""),"/",""),"-","")," ",""),"(",""),")",""),"+",""))=11,MID(SUBSTITUTE(SUBSTITUTE(SUBSTITUTE(SUBSTITUTE(SUBSTITUTE(SUBSTITUTE(SUBSTITUTE(TRIM(N538),".",""),"/",""),"-","")," ",""),"(",""),")",""),"+",""),3,1)="9",LEFT(SUBSTITUTE(SUBSTITUTE(SUBSTITUTE(SUBSTITUTE(SUBSTITUTE(SUBSTITUTE(SUBSTITUTE(TRIM(N538),".",""),"/",""),"-","")," ",""),"(",""),")",""),"+",""),1)&lt;&gt;"0"),"OK",IF(LEN(SUBSTITUTE(SUBSTITUTE(SUBSTITUTE(SUBSTITUTE(SUBSTITUTE(SUBSTITUTE(SUBSTITUTE(TRIM(N538),".",""),"/",""),"-","")," ",""),"(",""),")",""),"+",""))=10,"ERRO: é fixo (ou falta o 9), use a coluna Telefone fixo","ERRO: DDD + 9 + 8 dígitos")))</f>
      </c>
      <c r="Y538" s="6">
        <f>IF(O538="","vazio",IF(AND(ISNUMBER(FIND("@",O538)),ISNUMBER(FIND(".",MID(O538,FIND("@",O538),99))),NOT(ISNUMBER(FIND(" ",TRIM(O538)))),NOT(ISNUMBER(FIND(";",O538))),NOT(ISNUMBER(FIND(",",O538)))),"OK","ERRO: um e-mail válido por linha"))</f>
      </c>
      <c r="Z538" s="6">
        <f>IF(AND(J538="",K538=""),"",IF(AND(J538&lt;&gt;"",K538&lt;&gt;""),"OK","pendente: só um nome (o GR completa ao converter)"))</f>
      </c>
      <c r="AA538" s="6">
        <f>IF(COUNTA(A538:S538)=0,"",IF(AND(A538&lt;&gt;"",B538&lt;&gt;"",C538&lt;&gt;"",D538&lt;&gt;"",E538&lt;&gt;"",F538&lt;&gt;"",G538&lt;&gt;"",H538&lt;&gt;"",OR(J538&lt;&gt;"",K538&lt;&gt;""),OR(M538&lt;&gt;"",N538&lt;&gt;"",O538&lt;&gt;"")),"OK","ERRO: faltam "&amp;IF(A538="","SDR; ","")&amp;IF(B538="","Proprietário; ","")&amp;IF(C538="","Origem; ","")&amp;IF(D538="","Temperatura; ","")&amp;IF(E538="","Segmento; ","")&amp;IF(F538="","Time/Cluster; ","")&amp;IF(G538="","CNPJ; ","")&amp;IF(H538="","Razão Social; ","")&amp;IF(AND(J538="",K538=""),"nome do contato; ","")&amp;IF(AND(M538="",N538="",O538=""),"telefone, celular ou e-mail; ","")))</f>
      </c>
      <c r="AB538" s="6">
        <f>IF(COUNTA(A538:S538)=0,"",IF(AND(U538="OK",V538="OK",LEFT(W538,4)&lt;&gt;"ERRO",LEFT(X538,4)&lt;&gt;"ERRO",LEFT(Y538,4)&lt;&gt;"ERRO",AA538="OK"),"OK","REVISAR"))</f>
      </c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5"/>
      <c r="K539" s="4"/>
      <c r="L539" s="4"/>
      <c r="M539" s="4"/>
      <c r="N539" s="4"/>
      <c r="O539" s="4"/>
      <c r="P539" s="4"/>
      <c r="Q539" s="4"/>
      <c r="R539" s="4"/>
      <c r="S539" s="4"/>
      <c r="T539" s="6">
        <f>IF(G539="","",SUBSTITUTE(SUBSTITUTE(SUBSTITUTE(SUBSTITUTE(SUBSTITUTE(SUBSTITUTE(SUBSTITUTE(TRIM(G539),".",""),"/",""),"-","")," ",""),"(",""),")",""),"+",""))</f>
      </c>
      <c r="U539" s="6">
        <f>IF(T539="","",IF(LEN(T539)&lt;&gt;14,"ERRO: "&amp;LEN(T539)&amp;" dígitos",IF(NOT(ISNUMBER(VALUE(T539))),"ERRO: não numérico",IF(LEN(SUBSTITUTE(T539,LEFT(T539,1),""))=0,"ERRO: dígitos repetidos",IF(AND(VALUE(MID(T539,13,1))=IF(MOD(SUMPRODUCT(--MID(T539,{1,2,3,4,5,6,7,8,9,10,11,12},1),{5,4,3,2,9,8,7,6,5,4,3,2}),11)&lt;2,0,11-MOD(SUMPRODUCT(--MID(T539,{1,2,3,4,5,6,7,8,9,10,11,12},1),{5,4,3,2,9,8,7,6,5,4,3,2}),11)),VALUE(MID(T539,14,1))=IF(MOD(SUMPRODUCT(--MID(T539,{1,2,3,4,5,6,7,8,9,10,11,12,13},1),{6,5,4,3,2,9,8,7,6,5,4,3,2}),11)&lt;2,0,11-MOD(SUMPRODUCT(--MID(T539,{1,2,3,4,5,6,7,8,9,10,11,12,13},1),{6,5,4,3,2,9,8,7,6,5,4,3,2}),11))),"OK","ERRO: dígito verificador")))))</f>
      </c>
      <c r="V539" s="6">
        <f>IF(T539="","",IF(COUNTIF($T$2:$T$1001,T539)&gt;1,"DUPLICADO","OK"))</f>
      </c>
      <c r="W539" s="6">
        <f>IF(M539="","vazio",IF(OR(AND(LEN(SUBSTITUTE(SUBSTITUTE(SUBSTITUTE(SUBSTITUTE(SUBSTITUTE(SUBSTITUTE(SUBSTITUTE(TRIM(M539),".",""),"/",""),"-","")," ",""),"(",""),")",""),"+",""))=10,LEFT(SUBSTITUTE(SUBSTITUTE(SUBSTITUTE(SUBSTITUTE(SUBSTITUTE(SUBSTITUTE(SUBSTITUTE(TRIM(M539),".",""),"/",""),"-","")," ",""),"(",""),")",""),"+",""),1)&lt;&gt;"0"),AND(LEN(SUBSTITUTE(SUBSTITUTE(SUBSTITUTE(SUBSTITUTE(SUBSTITUTE(SUBSTITUTE(SUBSTITUTE(TRIM(M539),".",""),"/",""),"-","")," ",""),"(",""),")",""),"+",""))=11,LEFT(SUBSTITUTE(SUBSTITUTE(SUBSTITUTE(SUBSTITUTE(SUBSTITUTE(SUBSTITUTE(SUBSTITUTE(TRIM(M539),".",""),"/",""),"-","")," ",""),"(",""),")",""),"+",""),4)="0800")),"OK",IF(AND(LEN(SUBSTITUTE(SUBSTITUTE(SUBSTITUTE(SUBSTITUTE(SUBSTITUTE(SUBSTITUTE(SUBSTITUTE(TRIM(M539),".",""),"/",""),"-","")," ",""),"(",""),")",""),"+",""))=11,MID(SUBSTITUTE(SUBSTITUTE(SUBSTITUTE(SUBSTITUTE(SUBSTITUTE(SUBSTITUTE(SUBSTITUTE(TRIM(M539),".",""),"/",""),"-","")," ",""),"(",""),")",""),"+",""),3,1)="9"),"ERRO: é celular, use a coluna Celular","ERRO: DDD + 8 dígitos ou 0800 + 7")))</f>
      </c>
      <c r="X539" s="6">
        <f>IF(N539="","vazio",IF(AND(LEN(SUBSTITUTE(SUBSTITUTE(SUBSTITUTE(SUBSTITUTE(SUBSTITUTE(SUBSTITUTE(SUBSTITUTE(TRIM(N539),".",""),"/",""),"-","")," ",""),"(",""),")",""),"+",""))=11,MID(SUBSTITUTE(SUBSTITUTE(SUBSTITUTE(SUBSTITUTE(SUBSTITUTE(SUBSTITUTE(SUBSTITUTE(TRIM(N539),".",""),"/",""),"-","")," ",""),"(",""),")",""),"+",""),3,1)="9",LEFT(SUBSTITUTE(SUBSTITUTE(SUBSTITUTE(SUBSTITUTE(SUBSTITUTE(SUBSTITUTE(SUBSTITUTE(TRIM(N539),".",""),"/",""),"-","")," ",""),"(",""),")",""),"+",""),1)&lt;&gt;"0"),"OK",IF(LEN(SUBSTITUTE(SUBSTITUTE(SUBSTITUTE(SUBSTITUTE(SUBSTITUTE(SUBSTITUTE(SUBSTITUTE(TRIM(N539),".",""),"/",""),"-","")," ",""),"(",""),")",""),"+",""))=10,"ERRO: é fixo (ou falta o 9), use a coluna Telefone fixo","ERRO: DDD + 9 + 8 dígitos")))</f>
      </c>
      <c r="Y539" s="6">
        <f>IF(O539="","vazio",IF(AND(ISNUMBER(FIND("@",O539)),ISNUMBER(FIND(".",MID(O539,FIND("@",O539),99))),NOT(ISNUMBER(FIND(" ",TRIM(O539)))),NOT(ISNUMBER(FIND(";",O539))),NOT(ISNUMBER(FIND(",",O539)))),"OK","ERRO: um e-mail válido por linha"))</f>
      </c>
      <c r="Z539" s="6">
        <f>IF(AND(J539="",K539=""),"",IF(AND(J539&lt;&gt;"",K539&lt;&gt;""),"OK","pendente: só um nome (o GR completa ao converter)"))</f>
      </c>
      <c r="AA539" s="6">
        <f>IF(COUNTA(A539:S539)=0,"",IF(AND(A539&lt;&gt;"",B539&lt;&gt;"",C539&lt;&gt;"",D539&lt;&gt;"",E539&lt;&gt;"",F539&lt;&gt;"",G539&lt;&gt;"",H539&lt;&gt;"",OR(J539&lt;&gt;"",K539&lt;&gt;""),OR(M539&lt;&gt;"",N539&lt;&gt;"",O539&lt;&gt;"")),"OK","ERRO: faltam "&amp;IF(A539="","SDR; ","")&amp;IF(B539="","Proprietário; ","")&amp;IF(C539="","Origem; ","")&amp;IF(D539="","Temperatura; ","")&amp;IF(E539="","Segmento; ","")&amp;IF(F539="","Time/Cluster; ","")&amp;IF(G539="","CNPJ; ","")&amp;IF(H539="","Razão Social; ","")&amp;IF(AND(J539="",K539=""),"nome do contato; ","")&amp;IF(AND(M539="",N539="",O539=""),"telefone, celular ou e-mail; ","")))</f>
      </c>
      <c r="AB539" s="6">
        <f>IF(COUNTA(A539:S539)=0,"",IF(AND(U539="OK",V539="OK",LEFT(W539,4)&lt;&gt;"ERRO",LEFT(X539,4)&lt;&gt;"ERRO",LEFT(Y539,4)&lt;&gt;"ERRO",AA539="OK"),"OK","REVISAR"))</f>
      </c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5"/>
      <c r="K540" s="4"/>
      <c r="L540" s="4"/>
      <c r="M540" s="4"/>
      <c r="N540" s="4"/>
      <c r="O540" s="4"/>
      <c r="P540" s="4"/>
      <c r="Q540" s="4"/>
      <c r="R540" s="4"/>
      <c r="S540" s="4"/>
      <c r="T540" s="6">
        <f>IF(G540="","",SUBSTITUTE(SUBSTITUTE(SUBSTITUTE(SUBSTITUTE(SUBSTITUTE(SUBSTITUTE(SUBSTITUTE(TRIM(G540),".",""),"/",""),"-","")," ",""),"(",""),")",""),"+",""))</f>
      </c>
      <c r="U540" s="6">
        <f>IF(T540="","",IF(LEN(T540)&lt;&gt;14,"ERRO: "&amp;LEN(T540)&amp;" dígitos",IF(NOT(ISNUMBER(VALUE(T540))),"ERRO: não numérico",IF(LEN(SUBSTITUTE(T540,LEFT(T540,1),""))=0,"ERRO: dígitos repetidos",IF(AND(VALUE(MID(T540,13,1))=IF(MOD(SUMPRODUCT(--MID(T540,{1,2,3,4,5,6,7,8,9,10,11,12},1),{5,4,3,2,9,8,7,6,5,4,3,2}),11)&lt;2,0,11-MOD(SUMPRODUCT(--MID(T540,{1,2,3,4,5,6,7,8,9,10,11,12},1),{5,4,3,2,9,8,7,6,5,4,3,2}),11)),VALUE(MID(T540,14,1))=IF(MOD(SUMPRODUCT(--MID(T540,{1,2,3,4,5,6,7,8,9,10,11,12,13},1),{6,5,4,3,2,9,8,7,6,5,4,3,2}),11)&lt;2,0,11-MOD(SUMPRODUCT(--MID(T540,{1,2,3,4,5,6,7,8,9,10,11,12,13},1),{6,5,4,3,2,9,8,7,6,5,4,3,2}),11))),"OK","ERRO: dígito verificador")))))</f>
      </c>
      <c r="V540" s="6">
        <f>IF(T540="","",IF(COUNTIF($T$2:$T$1001,T540)&gt;1,"DUPLICADO","OK"))</f>
      </c>
      <c r="W540" s="6">
        <f>IF(M540="","vazio",IF(OR(AND(LEN(SUBSTITUTE(SUBSTITUTE(SUBSTITUTE(SUBSTITUTE(SUBSTITUTE(SUBSTITUTE(SUBSTITUTE(TRIM(M540),".",""),"/",""),"-","")," ",""),"(",""),")",""),"+",""))=10,LEFT(SUBSTITUTE(SUBSTITUTE(SUBSTITUTE(SUBSTITUTE(SUBSTITUTE(SUBSTITUTE(SUBSTITUTE(TRIM(M540),".",""),"/",""),"-","")," ",""),"(",""),")",""),"+",""),1)&lt;&gt;"0"),AND(LEN(SUBSTITUTE(SUBSTITUTE(SUBSTITUTE(SUBSTITUTE(SUBSTITUTE(SUBSTITUTE(SUBSTITUTE(TRIM(M540),".",""),"/",""),"-","")," ",""),"(",""),")",""),"+",""))=11,LEFT(SUBSTITUTE(SUBSTITUTE(SUBSTITUTE(SUBSTITUTE(SUBSTITUTE(SUBSTITUTE(SUBSTITUTE(TRIM(M540),".",""),"/",""),"-","")," ",""),"(",""),")",""),"+",""),4)="0800")),"OK",IF(AND(LEN(SUBSTITUTE(SUBSTITUTE(SUBSTITUTE(SUBSTITUTE(SUBSTITUTE(SUBSTITUTE(SUBSTITUTE(TRIM(M540),".",""),"/",""),"-","")," ",""),"(",""),")",""),"+",""))=11,MID(SUBSTITUTE(SUBSTITUTE(SUBSTITUTE(SUBSTITUTE(SUBSTITUTE(SUBSTITUTE(SUBSTITUTE(TRIM(M540),".",""),"/",""),"-","")," ",""),"(",""),")",""),"+",""),3,1)="9"),"ERRO: é celular, use a coluna Celular","ERRO: DDD + 8 dígitos ou 0800 + 7")))</f>
      </c>
      <c r="X540" s="6">
        <f>IF(N540="","vazio",IF(AND(LEN(SUBSTITUTE(SUBSTITUTE(SUBSTITUTE(SUBSTITUTE(SUBSTITUTE(SUBSTITUTE(SUBSTITUTE(TRIM(N540),".",""),"/",""),"-","")," ",""),"(",""),")",""),"+",""))=11,MID(SUBSTITUTE(SUBSTITUTE(SUBSTITUTE(SUBSTITUTE(SUBSTITUTE(SUBSTITUTE(SUBSTITUTE(TRIM(N540),".",""),"/",""),"-","")," ",""),"(",""),")",""),"+",""),3,1)="9",LEFT(SUBSTITUTE(SUBSTITUTE(SUBSTITUTE(SUBSTITUTE(SUBSTITUTE(SUBSTITUTE(SUBSTITUTE(TRIM(N540),".",""),"/",""),"-","")," ",""),"(",""),")",""),"+",""),1)&lt;&gt;"0"),"OK",IF(LEN(SUBSTITUTE(SUBSTITUTE(SUBSTITUTE(SUBSTITUTE(SUBSTITUTE(SUBSTITUTE(SUBSTITUTE(TRIM(N540),".",""),"/",""),"-","")," ",""),"(",""),")",""),"+",""))=10,"ERRO: é fixo (ou falta o 9), use a coluna Telefone fixo","ERRO: DDD + 9 + 8 dígitos")))</f>
      </c>
      <c r="Y540" s="6">
        <f>IF(O540="","vazio",IF(AND(ISNUMBER(FIND("@",O540)),ISNUMBER(FIND(".",MID(O540,FIND("@",O540),99))),NOT(ISNUMBER(FIND(" ",TRIM(O540)))),NOT(ISNUMBER(FIND(";",O540))),NOT(ISNUMBER(FIND(",",O540)))),"OK","ERRO: um e-mail válido por linha"))</f>
      </c>
      <c r="Z540" s="6">
        <f>IF(AND(J540="",K540=""),"",IF(AND(J540&lt;&gt;"",K540&lt;&gt;""),"OK","pendente: só um nome (o GR completa ao converter)"))</f>
      </c>
      <c r="AA540" s="6">
        <f>IF(COUNTA(A540:S540)=0,"",IF(AND(A540&lt;&gt;"",B540&lt;&gt;"",C540&lt;&gt;"",D540&lt;&gt;"",E540&lt;&gt;"",F540&lt;&gt;"",G540&lt;&gt;"",H540&lt;&gt;"",OR(J540&lt;&gt;"",K540&lt;&gt;""),OR(M540&lt;&gt;"",N540&lt;&gt;"",O540&lt;&gt;"")),"OK","ERRO: faltam "&amp;IF(A540="","SDR; ","")&amp;IF(B540="","Proprietário; ","")&amp;IF(C540="","Origem; ","")&amp;IF(D540="","Temperatura; ","")&amp;IF(E540="","Segmento; ","")&amp;IF(F540="","Time/Cluster; ","")&amp;IF(G540="","CNPJ; ","")&amp;IF(H540="","Razão Social; ","")&amp;IF(AND(J540="",K540=""),"nome do contato; ","")&amp;IF(AND(M540="",N540="",O540=""),"telefone, celular ou e-mail; ","")))</f>
      </c>
      <c r="AB540" s="6">
        <f>IF(COUNTA(A540:S540)=0,"",IF(AND(U540="OK",V540="OK",LEFT(W540,4)&lt;&gt;"ERRO",LEFT(X540,4)&lt;&gt;"ERRO",LEFT(Y540,4)&lt;&gt;"ERRO",AA540="OK"),"OK","REVISAR"))</f>
      </c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5"/>
      <c r="K541" s="4"/>
      <c r="L541" s="4"/>
      <c r="M541" s="4"/>
      <c r="N541" s="4"/>
      <c r="O541" s="4"/>
      <c r="P541" s="4"/>
      <c r="Q541" s="4"/>
      <c r="R541" s="4"/>
      <c r="S541" s="4"/>
      <c r="T541" s="6">
        <f>IF(G541="","",SUBSTITUTE(SUBSTITUTE(SUBSTITUTE(SUBSTITUTE(SUBSTITUTE(SUBSTITUTE(SUBSTITUTE(TRIM(G541),".",""),"/",""),"-","")," ",""),"(",""),")",""),"+",""))</f>
      </c>
      <c r="U541" s="6">
        <f>IF(T541="","",IF(LEN(T541)&lt;&gt;14,"ERRO: "&amp;LEN(T541)&amp;" dígitos",IF(NOT(ISNUMBER(VALUE(T541))),"ERRO: não numérico",IF(LEN(SUBSTITUTE(T541,LEFT(T541,1),""))=0,"ERRO: dígitos repetidos",IF(AND(VALUE(MID(T541,13,1))=IF(MOD(SUMPRODUCT(--MID(T541,{1,2,3,4,5,6,7,8,9,10,11,12},1),{5,4,3,2,9,8,7,6,5,4,3,2}),11)&lt;2,0,11-MOD(SUMPRODUCT(--MID(T541,{1,2,3,4,5,6,7,8,9,10,11,12},1),{5,4,3,2,9,8,7,6,5,4,3,2}),11)),VALUE(MID(T541,14,1))=IF(MOD(SUMPRODUCT(--MID(T541,{1,2,3,4,5,6,7,8,9,10,11,12,13},1),{6,5,4,3,2,9,8,7,6,5,4,3,2}),11)&lt;2,0,11-MOD(SUMPRODUCT(--MID(T541,{1,2,3,4,5,6,7,8,9,10,11,12,13},1),{6,5,4,3,2,9,8,7,6,5,4,3,2}),11))),"OK","ERRO: dígito verificador")))))</f>
      </c>
      <c r="V541" s="6">
        <f>IF(T541="","",IF(COUNTIF($T$2:$T$1001,T541)&gt;1,"DUPLICADO","OK"))</f>
      </c>
      <c r="W541" s="6">
        <f>IF(M541="","vazio",IF(OR(AND(LEN(SUBSTITUTE(SUBSTITUTE(SUBSTITUTE(SUBSTITUTE(SUBSTITUTE(SUBSTITUTE(SUBSTITUTE(TRIM(M541),".",""),"/",""),"-","")," ",""),"(",""),")",""),"+",""))=10,LEFT(SUBSTITUTE(SUBSTITUTE(SUBSTITUTE(SUBSTITUTE(SUBSTITUTE(SUBSTITUTE(SUBSTITUTE(TRIM(M541),".",""),"/",""),"-","")," ",""),"(",""),")",""),"+",""),1)&lt;&gt;"0"),AND(LEN(SUBSTITUTE(SUBSTITUTE(SUBSTITUTE(SUBSTITUTE(SUBSTITUTE(SUBSTITUTE(SUBSTITUTE(TRIM(M541),".",""),"/",""),"-","")," ",""),"(",""),")",""),"+",""))=11,LEFT(SUBSTITUTE(SUBSTITUTE(SUBSTITUTE(SUBSTITUTE(SUBSTITUTE(SUBSTITUTE(SUBSTITUTE(TRIM(M541),".",""),"/",""),"-","")," ",""),"(",""),")",""),"+",""),4)="0800")),"OK",IF(AND(LEN(SUBSTITUTE(SUBSTITUTE(SUBSTITUTE(SUBSTITUTE(SUBSTITUTE(SUBSTITUTE(SUBSTITUTE(TRIM(M541),".",""),"/",""),"-","")," ",""),"(",""),")",""),"+",""))=11,MID(SUBSTITUTE(SUBSTITUTE(SUBSTITUTE(SUBSTITUTE(SUBSTITUTE(SUBSTITUTE(SUBSTITUTE(TRIM(M541),".",""),"/",""),"-","")," ",""),"(",""),")",""),"+",""),3,1)="9"),"ERRO: é celular, use a coluna Celular","ERRO: DDD + 8 dígitos ou 0800 + 7")))</f>
      </c>
      <c r="X541" s="6">
        <f>IF(N541="","vazio",IF(AND(LEN(SUBSTITUTE(SUBSTITUTE(SUBSTITUTE(SUBSTITUTE(SUBSTITUTE(SUBSTITUTE(SUBSTITUTE(TRIM(N541),".",""),"/",""),"-","")," ",""),"(",""),")",""),"+",""))=11,MID(SUBSTITUTE(SUBSTITUTE(SUBSTITUTE(SUBSTITUTE(SUBSTITUTE(SUBSTITUTE(SUBSTITUTE(TRIM(N541),".",""),"/",""),"-","")," ",""),"(",""),")",""),"+",""),3,1)="9",LEFT(SUBSTITUTE(SUBSTITUTE(SUBSTITUTE(SUBSTITUTE(SUBSTITUTE(SUBSTITUTE(SUBSTITUTE(TRIM(N541),".",""),"/",""),"-","")," ",""),"(",""),")",""),"+",""),1)&lt;&gt;"0"),"OK",IF(LEN(SUBSTITUTE(SUBSTITUTE(SUBSTITUTE(SUBSTITUTE(SUBSTITUTE(SUBSTITUTE(SUBSTITUTE(TRIM(N541),".",""),"/",""),"-","")," ",""),"(",""),")",""),"+",""))=10,"ERRO: é fixo (ou falta o 9), use a coluna Telefone fixo","ERRO: DDD + 9 + 8 dígitos")))</f>
      </c>
      <c r="Y541" s="6">
        <f>IF(O541="","vazio",IF(AND(ISNUMBER(FIND("@",O541)),ISNUMBER(FIND(".",MID(O541,FIND("@",O541),99))),NOT(ISNUMBER(FIND(" ",TRIM(O541)))),NOT(ISNUMBER(FIND(";",O541))),NOT(ISNUMBER(FIND(",",O541)))),"OK","ERRO: um e-mail válido por linha"))</f>
      </c>
      <c r="Z541" s="6">
        <f>IF(AND(J541="",K541=""),"",IF(AND(J541&lt;&gt;"",K541&lt;&gt;""),"OK","pendente: só um nome (o GR completa ao converter)"))</f>
      </c>
      <c r="AA541" s="6">
        <f>IF(COUNTA(A541:S541)=0,"",IF(AND(A541&lt;&gt;"",B541&lt;&gt;"",C541&lt;&gt;"",D541&lt;&gt;"",E541&lt;&gt;"",F541&lt;&gt;"",G541&lt;&gt;"",H541&lt;&gt;"",OR(J541&lt;&gt;"",K541&lt;&gt;""),OR(M541&lt;&gt;"",N541&lt;&gt;"",O541&lt;&gt;"")),"OK","ERRO: faltam "&amp;IF(A541="","SDR; ","")&amp;IF(B541="","Proprietário; ","")&amp;IF(C541="","Origem; ","")&amp;IF(D541="","Temperatura; ","")&amp;IF(E541="","Segmento; ","")&amp;IF(F541="","Time/Cluster; ","")&amp;IF(G541="","CNPJ; ","")&amp;IF(H541="","Razão Social; ","")&amp;IF(AND(J541="",K541=""),"nome do contato; ","")&amp;IF(AND(M541="",N541="",O541=""),"telefone, celular ou e-mail; ","")))</f>
      </c>
      <c r="AB541" s="6">
        <f>IF(COUNTA(A541:S541)=0,"",IF(AND(U541="OK",V541="OK",LEFT(W541,4)&lt;&gt;"ERRO",LEFT(X541,4)&lt;&gt;"ERRO",LEFT(Y541,4)&lt;&gt;"ERRO",AA541="OK"),"OK","REVISAR"))</f>
      </c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5"/>
      <c r="K542" s="4"/>
      <c r="L542" s="4"/>
      <c r="M542" s="4"/>
      <c r="N542" s="4"/>
      <c r="O542" s="4"/>
      <c r="P542" s="4"/>
      <c r="Q542" s="4"/>
      <c r="R542" s="4"/>
      <c r="S542" s="4"/>
      <c r="T542" s="6">
        <f>IF(G542="","",SUBSTITUTE(SUBSTITUTE(SUBSTITUTE(SUBSTITUTE(SUBSTITUTE(SUBSTITUTE(SUBSTITUTE(TRIM(G542),".",""),"/",""),"-","")," ",""),"(",""),")",""),"+",""))</f>
      </c>
      <c r="U542" s="6">
        <f>IF(T542="","",IF(LEN(T542)&lt;&gt;14,"ERRO: "&amp;LEN(T542)&amp;" dígitos",IF(NOT(ISNUMBER(VALUE(T542))),"ERRO: não numérico",IF(LEN(SUBSTITUTE(T542,LEFT(T542,1),""))=0,"ERRO: dígitos repetidos",IF(AND(VALUE(MID(T542,13,1))=IF(MOD(SUMPRODUCT(--MID(T542,{1,2,3,4,5,6,7,8,9,10,11,12},1),{5,4,3,2,9,8,7,6,5,4,3,2}),11)&lt;2,0,11-MOD(SUMPRODUCT(--MID(T542,{1,2,3,4,5,6,7,8,9,10,11,12},1),{5,4,3,2,9,8,7,6,5,4,3,2}),11)),VALUE(MID(T542,14,1))=IF(MOD(SUMPRODUCT(--MID(T542,{1,2,3,4,5,6,7,8,9,10,11,12,13},1),{6,5,4,3,2,9,8,7,6,5,4,3,2}),11)&lt;2,0,11-MOD(SUMPRODUCT(--MID(T542,{1,2,3,4,5,6,7,8,9,10,11,12,13},1),{6,5,4,3,2,9,8,7,6,5,4,3,2}),11))),"OK","ERRO: dígito verificador")))))</f>
      </c>
      <c r="V542" s="6">
        <f>IF(T542="","",IF(COUNTIF($T$2:$T$1001,T542)&gt;1,"DUPLICADO","OK"))</f>
      </c>
      <c r="W542" s="6">
        <f>IF(M542="","vazio",IF(OR(AND(LEN(SUBSTITUTE(SUBSTITUTE(SUBSTITUTE(SUBSTITUTE(SUBSTITUTE(SUBSTITUTE(SUBSTITUTE(TRIM(M542),".",""),"/",""),"-","")," ",""),"(",""),")",""),"+",""))=10,LEFT(SUBSTITUTE(SUBSTITUTE(SUBSTITUTE(SUBSTITUTE(SUBSTITUTE(SUBSTITUTE(SUBSTITUTE(TRIM(M542),".",""),"/",""),"-","")," ",""),"(",""),")",""),"+",""),1)&lt;&gt;"0"),AND(LEN(SUBSTITUTE(SUBSTITUTE(SUBSTITUTE(SUBSTITUTE(SUBSTITUTE(SUBSTITUTE(SUBSTITUTE(TRIM(M542),".",""),"/",""),"-","")," ",""),"(",""),")",""),"+",""))=11,LEFT(SUBSTITUTE(SUBSTITUTE(SUBSTITUTE(SUBSTITUTE(SUBSTITUTE(SUBSTITUTE(SUBSTITUTE(TRIM(M542),".",""),"/",""),"-","")," ",""),"(",""),")",""),"+",""),4)="0800")),"OK",IF(AND(LEN(SUBSTITUTE(SUBSTITUTE(SUBSTITUTE(SUBSTITUTE(SUBSTITUTE(SUBSTITUTE(SUBSTITUTE(TRIM(M542),".",""),"/",""),"-","")," ",""),"(",""),")",""),"+",""))=11,MID(SUBSTITUTE(SUBSTITUTE(SUBSTITUTE(SUBSTITUTE(SUBSTITUTE(SUBSTITUTE(SUBSTITUTE(TRIM(M542),".",""),"/",""),"-","")," ",""),"(",""),")",""),"+",""),3,1)="9"),"ERRO: é celular, use a coluna Celular","ERRO: DDD + 8 dígitos ou 0800 + 7")))</f>
      </c>
      <c r="X542" s="6">
        <f>IF(N542="","vazio",IF(AND(LEN(SUBSTITUTE(SUBSTITUTE(SUBSTITUTE(SUBSTITUTE(SUBSTITUTE(SUBSTITUTE(SUBSTITUTE(TRIM(N542),".",""),"/",""),"-","")," ",""),"(",""),")",""),"+",""))=11,MID(SUBSTITUTE(SUBSTITUTE(SUBSTITUTE(SUBSTITUTE(SUBSTITUTE(SUBSTITUTE(SUBSTITUTE(TRIM(N542),".",""),"/",""),"-","")," ",""),"(",""),")",""),"+",""),3,1)="9",LEFT(SUBSTITUTE(SUBSTITUTE(SUBSTITUTE(SUBSTITUTE(SUBSTITUTE(SUBSTITUTE(SUBSTITUTE(TRIM(N542),".",""),"/",""),"-","")," ",""),"(",""),")",""),"+",""),1)&lt;&gt;"0"),"OK",IF(LEN(SUBSTITUTE(SUBSTITUTE(SUBSTITUTE(SUBSTITUTE(SUBSTITUTE(SUBSTITUTE(SUBSTITUTE(TRIM(N542),".",""),"/",""),"-","")," ",""),"(",""),")",""),"+",""))=10,"ERRO: é fixo (ou falta o 9), use a coluna Telefone fixo","ERRO: DDD + 9 + 8 dígitos")))</f>
      </c>
      <c r="Y542" s="6">
        <f>IF(O542="","vazio",IF(AND(ISNUMBER(FIND("@",O542)),ISNUMBER(FIND(".",MID(O542,FIND("@",O542),99))),NOT(ISNUMBER(FIND(" ",TRIM(O542)))),NOT(ISNUMBER(FIND(";",O542))),NOT(ISNUMBER(FIND(",",O542)))),"OK","ERRO: um e-mail válido por linha"))</f>
      </c>
      <c r="Z542" s="6">
        <f>IF(AND(J542="",K542=""),"",IF(AND(J542&lt;&gt;"",K542&lt;&gt;""),"OK","pendente: só um nome (o GR completa ao converter)"))</f>
      </c>
      <c r="AA542" s="6">
        <f>IF(COUNTA(A542:S542)=0,"",IF(AND(A542&lt;&gt;"",B542&lt;&gt;"",C542&lt;&gt;"",D542&lt;&gt;"",E542&lt;&gt;"",F542&lt;&gt;"",G542&lt;&gt;"",H542&lt;&gt;"",OR(J542&lt;&gt;"",K542&lt;&gt;""),OR(M542&lt;&gt;"",N542&lt;&gt;"",O542&lt;&gt;"")),"OK","ERRO: faltam "&amp;IF(A542="","SDR; ","")&amp;IF(B542="","Proprietário; ","")&amp;IF(C542="","Origem; ","")&amp;IF(D542="","Temperatura; ","")&amp;IF(E542="","Segmento; ","")&amp;IF(F542="","Time/Cluster; ","")&amp;IF(G542="","CNPJ; ","")&amp;IF(H542="","Razão Social; ","")&amp;IF(AND(J542="",K542=""),"nome do contato; ","")&amp;IF(AND(M542="",N542="",O542=""),"telefone, celular ou e-mail; ","")))</f>
      </c>
      <c r="AB542" s="6">
        <f>IF(COUNTA(A542:S542)=0,"",IF(AND(U542="OK",V542="OK",LEFT(W542,4)&lt;&gt;"ERRO",LEFT(X542,4)&lt;&gt;"ERRO",LEFT(Y542,4)&lt;&gt;"ERRO",AA542="OK"),"OK","REVISAR"))</f>
      </c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5"/>
      <c r="K543" s="4"/>
      <c r="L543" s="4"/>
      <c r="M543" s="4"/>
      <c r="N543" s="4"/>
      <c r="O543" s="4"/>
      <c r="P543" s="4"/>
      <c r="Q543" s="4"/>
      <c r="R543" s="4"/>
      <c r="S543" s="4"/>
      <c r="T543" s="6">
        <f>IF(G543="","",SUBSTITUTE(SUBSTITUTE(SUBSTITUTE(SUBSTITUTE(SUBSTITUTE(SUBSTITUTE(SUBSTITUTE(TRIM(G543),".",""),"/",""),"-","")," ",""),"(",""),")",""),"+",""))</f>
      </c>
      <c r="U543" s="6">
        <f>IF(T543="","",IF(LEN(T543)&lt;&gt;14,"ERRO: "&amp;LEN(T543)&amp;" dígitos",IF(NOT(ISNUMBER(VALUE(T543))),"ERRO: não numérico",IF(LEN(SUBSTITUTE(T543,LEFT(T543,1),""))=0,"ERRO: dígitos repetidos",IF(AND(VALUE(MID(T543,13,1))=IF(MOD(SUMPRODUCT(--MID(T543,{1,2,3,4,5,6,7,8,9,10,11,12},1),{5,4,3,2,9,8,7,6,5,4,3,2}),11)&lt;2,0,11-MOD(SUMPRODUCT(--MID(T543,{1,2,3,4,5,6,7,8,9,10,11,12},1),{5,4,3,2,9,8,7,6,5,4,3,2}),11)),VALUE(MID(T543,14,1))=IF(MOD(SUMPRODUCT(--MID(T543,{1,2,3,4,5,6,7,8,9,10,11,12,13},1),{6,5,4,3,2,9,8,7,6,5,4,3,2}),11)&lt;2,0,11-MOD(SUMPRODUCT(--MID(T543,{1,2,3,4,5,6,7,8,9,10,11,12,13},1),{6,5,4,3,2,9,8,7,6,5,4,3,2}),11))),"OK","ERRO: dígito verificador")))))</f>
      </c>
      <c r="V543" s="6">
        <f>IF(T543="","",IF(COUNTIF($T$2:$T$1001,T543)&gt;1,"DUPLICADO","OK"))</f>
      </c>
      <c r="W543" s="6">
        <f>IF(M543="","vazio",IF(OR(AND(LEN(SUBSTITUTE(SUBSTITUTE(SUBSTITUTE(SUBSTITUTE(SUBSTITUTE(SUBSTITUTE(SUBSTITUTE(TRIM(M543),".",""),"/",""),"-","")," ",""),"(",""),")",""),"+",""))=10,LEFT(SUBSTITUTE(SUBSTITUTE(SUBSTITUTE(SUBSTITUTE(SUBSTITUTE(SUBSTITUTE(SUBSTITUTE(TRIM(M543),".",""),"/",""),"-","")," ",""),"(",""),")",""),"+",""),1)&lt;&gt;"0"),AND(LEN(SUBSTITUTE(SUBSTITUTE(SUBSTITUTE(SUBSTITUTE(SUBSTITUTE(SUBSTITUTE(SUBSTITUTE(TRIM(M543),".",""),"/",""),"-","")," ",""),"(",""),")",""),"+",""))=11,LEFT(SUBSTITUTE(SUBSTITUTE(SUBSTITUTE(SUBSTITUTE(SUBSTITUTE(SUBSTITUTE(SUBSTITUTE(TRIM(M543),".",""),"/",""),"-","")," ",""),"(",""),")",""),"+",""),4)="0800")),"OK",IF(AND(LEN(SUBSTITUTE(SUBSTITUTE(SUBSTITUTE(SUBSTITUTE(SUBSTITUTE(SUBSTITUTE(SUBSTITUTE(TRIM(M543),".",""),"/",""),"-","")," ",""),"(",""),")",""),"+",""))=11,MID(SUBSTITUTE(SUBSTITUTE(SUBSTITUTE(SUBSTITUTE(SUBSTITUTE(SUBSTITUTE(SUBSTITUTE(TRIM(M543),".",""),"/",""),"-","")," ",""),"(",""),")",""),"+",""),3,1)="9"),"ERRO: é celular, use a coluna Celular","ERRO: DDD + 8 dígitos ou 0800 + 7")))</f>
      </c>
      <c r="X543" s="6">
        <f>IF(N543="","vazio",IF(AND(LEN(SUBSTITUTE(SUBSTITUTE(SUBSTITUTE(SUBSTITUTE(SUBSTITUTE(SUBSTITUTE(SUBSTITUTE(TRIM(N543),".",""),"/",""),"-","")," ",""),"(",""),")",""),"+",""))=11,MID(SUBSTITUTE(SUBSTITUTE(SUBSTITUTE(SUBSTITUTE(SUBSTITUTE(SUBSTITUTE(SUBSTITUTE(TRIM(N543),".",""),"/",""),"-","")," ",""),"(",""),")",""),"+",""),3,1)="9",LEFT(SUBSTITUTE(SUBSTITUTE(SUBSTITUTE(SUBSTITUTE(SUBSTITUTE(SUBSTITUTE(SUBSTITUTE(TRIM(N543),".",""),"/",""),"-","")," ",""),"(",""),")",""),"+",""),1)&lt;&gt;"0"),"OK",IF(LEN(SUBSTITUTE(SUBSTITUTE(SUBSTITUTE(SUBSTITUTE(SUBSTITUTE(SUBSTITUTE(SUBSTITUTE(TRIM(N543),".",""),"/",""),"-","")," ",""),"(",""),")",""),"+",""))=10,"ERRO: é fixo (ou falta o 9), use a coluna Telefone fixo","ERRO: DDD + 9 + 8 dígitos")))</f>
      </c>
      <c r="Y543" s="6">
        <f>IF(O543="","vazio",IF(AND(ISNUMBER(FIND("@",O543)),ISNUMBER(FIND(".",MID(O543,FIND("@",O543),99))),NOT(ISNUMBER(FIND(" ",TRIM(O543)))),NOT(ISNUMBER(FIND(";",O543))),NOT(ISNUMBER(FIND(",",O543)))),"OK","ERRO: um e-mail válido por linha"))</f>
      </c>
      <c r="Z543" s="6">
        <f>IF(AND(J543="",K543=""),"",IF(AND(J543&lt;&gt;"",K543&lt;&gt;""),"OK","pendente: só um nome (o GR completa ao converter)"))</f>
      </c>
      <c r="AA543" s="6">
        <f>IF(COUNTA(A543:S543)=0,"",IF(AND(A543&lt;&gt;"",B543&lt;&gt;"",C543&lt;&gt;"",D543&lt;&gt;"",E543&lt;&gt;"",F543&lt;&gt;"",G543&lt;&gt;"",H543&lt;&gt;"",OR(J543&lt;&gt;"",K543&lt;&gt;""),OR(M543&lt;&gt;"",N543&lt;&gt;"",O543&lt;&gt;"")),"OK","ERRO: faltam "&amp;IF(A543="","SDR; ","")&amp;IF(B543="","Proprietário; ","")&amp;IF(C543="","Origem; ","")&amp;IF(D543="","Temperatura; ","")&amp;IF(E543="","Segmento; ","")&amp;IF(F543="","Time/Cluster; ","")&amp;IF(G543="","CNPJ; ","")&amp;IF(H543="","Razão Social; ","")&amp;IF(AND(J543="",K543=""),"nome do contato; ","")&amp;IF(AND(M543="",N543="",O543=""),"telefone, celular ou e-mail; ","")))</f>
      </c>
      <c r="AB543" s="6">
        <f>IF(COUNTA(A543:S543)=0,"",IF(AND(U543="OK",V543="OK",LEFT(W543,4)&lt;&gt;"ERRO",LEFT(X543,4)&lt;&gt;"ERRO",LEFT(Y543,4)&lt;&gt;"ERRO",AA543="OK"),"OK","REVISAR"))</f>
      </c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5"/>
      <c r="K544" s="4"/>
      <c r="L544" s="4"/>
      <c r="M544" s="4"/>
      <c r="N544" s="4"/>
      <c r="O544" s="4"/>
      <c r="P544" s="4"/>
      <c r="Q544" s="4"/>
      <c r="R544" s="4"/>
      <c r="S544" s="4"/>
      <c r="T544" s="6">
        <f>IF(G544="","",SUBSTITUTE(SUBSTITUTE(SUBSTITUTE(SUBSTITUTE(SUBSTITUTE(SUBSTITUTE(SUBSTITUTE(TRIM(G544),".",""),"/",""),"-","")," ",""),"(",""),")",""),"+",""))</f>
      </c>
      <c r="U544" s="6">
        <f>IF(T544="","",IF(LEN(T544)&lt;&gt;14,"ERRO: "&amp;LEN(T544)&amp;" dígitos",IF(NOT(ISNUMBER(VALUE(T544))),"ERRO: não numérico",IF(LEN(SUBSTITUTE(T544,LEFT(T544,1),""))=0,"ERRO: dígitos repetidos",IF(AND(VALUE(MID(T544,13,1))=IF(MOD(SUMPRODUCT(--MID(T544,{1,2,3,4,5,6,7,8,9,10,11,12},1),{5,4,3,2,9,8,7,6,5,4,3,2}),11)&lt;2,0,11-MOD(SUMPRODUCT(--MID(T544,{1,2,3,4,5,6,7,8,9,10,11,12},1),{5,4,3,2,9,8,7,6,5,4,3,2}),11)),VALUE(MID(T544,14,1))=IF(MOD(SUMPRODUCT(--MID(T544,{1,2,3,4,5,6,7,8,9,10,11,12,13},1),{6,5,4,3,2,9,8,7,6,5,4,3,2}),11)&lt;2,0,11-MOD(SUMPRODUCT(--MID(T544,{1,2,3,4,5,6,7,8,9,10,11,12,13},1),{6,5,4,3,2,9,8,7,6,5,4,3,2}),11))),"OK","ERRO: dígito verificador")))))</f>
      </c>
      <c r="V544" s="6">
        <f>IF(T544="","",IF(COUNTIF($T$2:$T$1001,T544)&gt;1,"DUPLICADO","OK"))</f>
      </c>
      <c r="W544" s="6">
        <f>IF(M544="","vazio",IF(OR(AND(LEN(SUBSTITUTE(SUBSTITUTE(SUBSTITUTE(SUBSTITUTE(SUBSTITUTE(SUBSTITUTE(SUBSTITUTE(TRIM(M544),".",""),"/",""),"-","")," ",""),"(",""),")",""),"+",""))=10,LEFT(SUBSTITUTE(SUBSTITUTE(SUBSTITUTE(SUBSTITUTE(SUBSTITUTE(SUBSTITUTE(SUBSTITUTE(TRIM(M544),".",""),"/",""),"-","")," ",""),"(",""),")",""),"+",""),1)&lt;&gt;"0"),AND(LEN(SUBSTITUTE(SUBSTITUTE(SUBSTITUTE(SUBSTITUTE(SUBSTITUTE(SUBSTITUTE(SUBSTITUTE(TRIM(M544),".",""),"/",""),"-","")," ",""),"(",""),")",""),"+",""))=11,LEFT(SUBSTITUTE(SUBSTITUTE(SUBSTITUTE(SUBSTITUTE(SUBSTITUTE(SUBSTITUTE(SUBSTITUTE(TRIM(M544),".",""),"/",""),"-","")," ",""),"(",""),")",""),"+",""),4)="0800")),"OK",IF(AND(LEN(SUBSTITUTE(SUBSTITUTE(SUBSTITUTE(SUBSTITUTE(SUBSTITUTE(SUBSTITUTE(SUBSTITUTE(TRIM(M544),".",""),"/",""),"-","")," ",""),"(",""),")",""),"+",""))=11,MID(SUBSTITUTE(SUBSTITUTE(SUBSTITUTE(SUBSTITUTE(SUBSTITUTE(SUBSTITUTE(SUBSTITUTE(TRIM(M544),".",""),"/",""),"-","")," ",""),"(",""),")",""),"+",""),3,1)="9"),"ERRO: é celular, use a coluna Celular","ERRO: DDD + 8 dígitos ou 0800 + 7")))</f>
      </c>
      <c r="X544" s="6">
        <f>IF(N544="","vazio",IF(AND(LEN(SUBSTITUTE(SUBSTITUTE(SUBSTITUTE(SUBSTITUTE(SUBSTITUTE(SUBSTITUTE(SUBSTITUTE(TRIM(N544),".",""),"/",""),"-","")," ",""),"(",""),")",""),"+",""))=11,MID(SUBSTITUTE(SUBSTITUTE(SUBSTITUTE(SUBSTITUTE(SUBSTITUTE(SUBSTITUTE(SUBSTITUTE(TRIM(N544),".",""),"/",""),"-","")," ",""),"(",""),")",""),"+",""),3,1)="9",LEFT(SUBSTITUTE(SUBSTITUTE(SUBSTITUTE(SUBSTITUTE(SUBSTITUTE(SUBSTITUTE(SUBSTITUTE(TRIM(N544),".",""),"/",""),"-","")," ",""),"(",""),")",""),"+",""),1)&lt;&gt;"0"),"OK",IF(LEN(SUBSTITUTE(SUBSTITUTE(SUBSTITUTE(SUBSTITUTE(SUBSTITUTE(SUBSTITUTE(SUBSTITUTE(TRIM(N544),".",""),"/",""),"-","")," ",""),"(",""),")",""),"+",""))=10,"ERRO: é fixo (ou falta o 9), use a coluna Telefone fixo","ERRO: DDD + 9 + 8 dígitos")))</f>
      </c>
      <c r="Y544" s="6">
        <f>IF(O544="","vazio",IF(AND(ISNUMBER(FIND("@",O544)),ISNUMBER(FIND(".",MID(O544,FIND("@",O544),99))),NOT(ISNUMBER(FIND(" ",TRIM(O544)))),NOT(ISNUMBER(FIND(";",O544))),NOT(ISNUMBER(FIND(",",O544)))),"OK","ERRO: um e-mail válido por linha"))</f>
      </c>
      <c r="Z544" s="6">
        <f>IF(AND(J544="",K544=""),"",IF(AND(J544&lt;&gt;"",K544&lt;&gt;""),"OK","pendente: só um nome (o GR completa ao converter)"))</f>
      </c>
      <c r="AA544" s="6">
        <f>IF(COUNTA(A544:S544)=0,"",IF(AND(A544&lt;&gt;"",B544&lt;&gt;"",C544&lt;&gt;"",D544&lt;&gt;"",E544&lt;&gt;"",F544&lt;&gt;"",G544&lt;&gt;"",H544&lt;&gt;"",OR(J544&lt;&gt;"",K544&lt;&gt;""),OR(M544&lt;&gt;"",N544&lt;&gt;"",O544&lt;&gt;"")),"OK","ERRO: faltam "&amp;IF(A544="","SDR; ","")&amp;IF(B544="","Proprietário; ","")&amp;IF(C544="","Origem; ","")&amp;IF(D544="","Temperatura; ","")&amp;IF(E544="","Segmento; ","")&amp;IF(F544="","Time/Cluster; ","")&amp;IF(G544="","CNPJ; ","")&amp;IF(H544="","Razão Social; ","")&amp;IF(AND(J544="",K544=""),"nome do contato; ","")&amp;IF(AND(M544="",N544="",O544=""),"telefone, celular ou e-mail; ","")))</f>
      </c>
      <c r="AB544" s="6">
        <f>IF(COUNTA(A544:S544)=0,"",IF(AND(U544="OK",V544="OK",LEFT(W544,4)&lt;&gt;"ERRO",LEFT(X544,4)&lt;&gt;"ERRO",LEFT(Y544,4)&lt;&gt;"ERRO",AA544="OK"),"OK","REVISAR"))</f>
      </c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5"/>
      <c r="K545" s="4"/>
      <c r="L545" s="4"/>
      <c r="M545" s="4"/>
      <c r="N545" s="4"/>
      <c r="O545" s="4"/>
      <c r="P545" s="4"/>
      <c r="Q545" s="4"/>
      <c r="R545" s="4"/>
      <c r="S545" s="4"/>
      <c r="T545" s="6">
        <f>IF(G545="","",SUBSTITUTE(SUBSTITUTE(SUBSTITUTE(SUBSTITUTE(SUBSTITUTE(SUBSTITUTE(SUBSTITUTE(TRIM(G545),".",""),"/",""),"-","")," ",""),"(",""),")",""),"+",""))</f>
      </c>
      <c r="U545" s="6">
        <f>IF(T545="","",IF(LEN(T545)&lt;&gt;14,"ERRO: "&amp;LEN(T545)&amp;" dígitos",IF(NOT(ISNUMBER(VALUE(T545))),"ERRO: não numérico",IF(LEN(SUBSTITUTE(T545,LEFT(T545,1),""))=0,"ERRO: dígitos repetidos",IF(AND(VALUE(MID(T545,13,1))=IF(MOD(SUMPRODUCT(--MID(T545,{1,2,3,4,5,6,7,8,9,10,11,12},1),{5,4,3,2,9,8,7,6,5,4,3,2}),11)&lt;2,0,11-MOD(SUMPRODUCT(--MID(T545,{1,2,3,4,5,6,7,8,9,10,11,12},1),{5,4,3,2,9,8,7,6,5,4,3,2}),11)),VALUE(MID(T545,14,1))=IF(MOD(SUMPRODUCT(--MID(T545,{1,2,3,4,5,6,7,8,9,10,11,12,13},1),{6,5,4,3,2,9,8,7,6,5,4,3,2}),11)&lt;2,0,11-MOD(SUMPRODUCT(--MID(T545,{1,2,3,4,5,6,7,8,9,10,11,12,13},1),{6,5,4,3,2,9,8,7,6,5,4,3,2}),11))),"OK","ERRO: dígito verificador")))))</f>
      </c>
      <c r="V545" s="6">
        <f>IF(T545="","",IF(COUNTIF($T$2:$T$1001,T545)&gt;1,"DUPLICADO","OK"))</f>
      </c>
      <c r="W545" s="6">
        <f>IF(M545="","vazio",IF(OR(AND(LEN(SUBSTITUTE(SUBSTITUTE(SUBSTITUTE(SUBSTITUTE(SUBSTITUTE(SUBSTITUTE(SUBSTITUTE(TRIM(M545),".",""),"/",""),"-","")," ",""),"(",""),")",""),"+",""))=10,LEFT(SUBSTITUTE(SUBSTITUTE(SUBSTITUTE(SUBSTITUTE(SUBSTITUTE(SUBSTITUTE(SUBSTITUTE(TRIM(M545),".",""),"/",""),"-","")," ",""),"(",""),")",""),"+",""),1)&lt;&gt;"0"),AND(LEN(SUBSTITUTE(SUBSTITUTE(SUBSTITUTE(SUBSTITUTE(SUBSTITUTE(SUBSTITUTE(SUBSTITUTE(TRIM(M545),".",""),"/",""),"-","")," ",""),"(",""),")",""),"+",""))=11,LEFT(SUBSTITUTE(SUBSTITUTE(SUBSTITUTE(SUBSTITUTE(SUBSTITUTE(SUBSTITUTE(SUBSTITUTE(TRIM(M545),".",""),"/",""),"-","")," ",""),"(",""),")",""),"+",""),4)="0800")),"OK",IF(AND(LEN(SUBSTITUTE(SUBSTITUTE(SUBSTITUTE(SUBSTITUTE(SUBSTITUTE(SUBSTITUTE(SUBSTITUTE(TRIM(M545),".",""),"/",""),"-","")," ",""),"(",""),")",""),"+",""))=11,MID(SUBSTITUTE(SUBSTITUTE(SUBSTITUTE(SUBSTITUTE(SUBSTITUTE(SUBSTITUTE(SUBSTITUTE(TRIM(M545),".",""),"/",""),"-","")," ",""),"(",""),")",""),"+",""),3,1)="9"),"ERRO: é celular, use a coluna Celular","ERRO: DDD + 8 dígitos ou 0800 + 7")))</f>
      </c>
      <c r="X545" s="6">
        <f>IF(N545="","vazio",IF(AND(LEN(SUBSTITUTE(SUBSTITUTE(SUBSTITUTE(SUBSTITUTE(SUBSTITUTE(SUBSTITUTE(SUBSTITUTE(TRIM(N545),".",""),"/",""),"-","")," ",""),"(",""),")",""),"+",""))=11,MID(SUBSTITUTE(SUBSTITUTE(SUBSTITUTE(SUBSTITUTE(SUBSTITUTE(SUBSTITUTE(SUBSTITUTE(TRIM(N545),".",""),"/",""),"-","")," ",""),"(",""),")",""),"+",""),3,1)="9",LEFT(SUBSTITUTE(SUBSTITUTE(SUBSTITUTE(SUBSTITUTE(SUBSTITUTE(SUBSTITUTE(SUBSTITUTE(TRIM(N545),".",""),"/",""),"-","")," ",""),"(",""),")",""),"+",""),1)&lt;&gt;"0"),"OK",IF(LEN(SUBSTITUTE(SUBSTITUTE(SUBSTITUTE(SUBSTITUTE(SUBSTITUTE(SUBSTITUTE(SUBSTITUTE(TRIM(N545),".",""),"/",""),"-","")," ",""),"(",""),")",""),"+",""))=10,"ERRO: é fixo (ou falta o 9), use a coluna Telefone fixo","ERRO: DDD + 9 + 8 dígitos")))</f>
      </c>
      <c r="Y545" s="6">
        <f>IF(O545="","vazio",IF(AND(ISNUMBER(FIND("@",O545)),ISNUMBER(FIND(".",MID(O545,FIND("@",O545),99))),NOT(ISNUMBER(FIND(" ",TRIM(O545)))),NOT(ISNUMBER(FIND(";",O545))),NOT(ISNUMBER(FIND(",",O545)))),"OK","ERRO: um e-mail válido por linha"))</f>
      </c>
      <c r="Z545" s="6">
        <f>IF(AND(J545="",K545=""),"",IF(AND(J545&lt;&gt;"",K545&lt;&gt;""),"OK","pendente: só um nome (o GR completa ao converter)"))</f>
      </c>
      <c r="AA545" s="6">
        <f>IF(COUNTA(A545:S545)=0,"",IF(AND(A545&lt;&gt;"",B545&lt;&gt;"",C545&lt;&gt;"",D545&lt;&gt;"",E545&lt;&gt;"",F545&lt;&gt;"",G545&lt;&gt;"",H545&lt;&gt;"",OR(J545&lt;&gt;"",K545&lt;&gt;""),OR(M545&lt;&gt;"",N545&lt;&gt;"",O545&lt;&gt;"")),"OK","ERRO: faltam "&amp;IF(A545="","SDR; ","")&amp;IF(B545="","Proprietário; ","")&amp;IF(C545="","Origem; ","")&amp;IF(D545="","Temperatura; ","")&amp;IF(E545="","Segmento; ","")&amp;IF(F545="","Time/Cluster; ","")&amp;IF(G545="","CNPJ; ","")&amp;IF(H545="","Razão Social; ","")&amp;IF(AND(J545="",K545=""),"nome do contato; ","")&amp;IF(AND(M545="",N545="",O545=""),"telefone, celular ou e-mail; ","")))</f>
      </c>
      <c r="AB545" s="6">
        <f>IF(COUNTA(A545:S545)=0,"",IF(AND(U545="OK",V545="OK",LEFT(W545,4)&lt;&gt;"ERRO",LEFT(X545,4)&lt;&gt;"ERRO",LEFT(Y545,4)&lt;&gt;"ERRO",AA545="OK"),"OK","REVISAR"))</f>
      </c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5"/>
      <c r="K546" s="4"/>
      <c r="L546" s="4"/>
      <c r="M546" s="4"/>
      <c r="N546" s="4"/>
      <c r="O546" s="4"/>
      <c r="P546" s="4"/>
      <c r="Q546" s="4"/>
      <c r="R546" s="4"/>
      <c r="S546" s="4"/>
      <c r="T546" s="6">
        <f>IF(G546="","",SUBSTITUTE(SUBSTITUTE(SUBSTITUTE(SUBSTITUTE(SUBSTITUTE(SUBSTITUTE(SUBSTITUTE(TRIM(G546),".",""),"/",""),"-","")," ",""),"(",""),")",""),"+",""))</f>
      </c>
      <c r="U546" s="6">
        <f>IF(T546="","",IF(LEN(T546)&lt;&gt;14,"ERRO: "&amp;LEN(T546)&amp;" dígitos",IF(NOT(ISNUMBER(VALUE(T546))),"ERRO: não numérico",IF(LEN(SUBSTITUTE(T546,LEFT(T546,1),""))=0,"ERRO: dígitos repetidos",IF(AND(VALUE(MID(T546,13,1))=IF(MOD(SUMPRODUCT(--MID(T546,{1,2,3,4,5,6,7,8,9,10,11,12},1),{5,4,3,2,9,8,7,6,5,4,3,2}),11)&lt;2,0,11-MOD(SUMPRODUCT(--MID(T546,{1,2,3,4,5,6,7,8,9,10,11,12},1),{5,4,3,2,9,8,7,6,5,4,3,2}),11)),VALUE(MID(T546,14,1))=IF(MOD(SUMPRODUCT(--MID(T546,{1,2,3,4,5,6,7,8,9,10,11,12,13},1),{6,5,4,3,2,9,8,7,6,5,4,3,2}),11)&lt;2,0,11-MOD(SUMPRODUCT(--MID(T546,{1,2,3,4,5,6,7,8,9,10,11,12,13},1),{6,5,4,3,2,9,8,7,6,5,4,3,2}),11))),"OK","ERRO: dígito verificador")))))</f>
      </c>
      <c r="V546" s="6">
        <f>IF(T546="","",IF(COUNTIF($T$2:$T$1001,T546)&gt;1,"DUPLICADO","OK"))</f>
      </c>
      <c r="W546" s="6">
        <f>IF(M546="","vazio",IF(OR(AND(LEN(SUBSTITUTE(SUBSTITUTE(SUBSTITUTE(SUBSTITUTE(SUBSTITUTE(SUBSTITUTE(SUBSTITUTE(TRIM(M546),".",""),"/",""),"-","")," ",""),"(",""),")",""),"+",""))=10,LEFT(SUBSTITUTE(SUBSTITUTE(SUBSTITUTE(SUBSTITUTE(SUBSTITUTE(SUBSTITUTE(SUBSTITUTE(TRIM(M546),".",""),"/",""),"-","")," ",""),"(",""),")",""),"+",""),1)&lt;&gt;"0"),AND(LEN(SUBSTITUTE(SUBSTITUTE(SUBSTITUTE(SUBSTITUTE(SUBSTITUTE(SUBSTITUTE(SUBSTITUTE(TRIM(M546),".",""),"/",""),"-","")," ",""),"(",""),")",""),"+",""))=11,LEFT(SUBSTITUTE(SUBSTITUTE(SUBSTITUTE(SUBSTITUTE(SUBSTITUTE(SUBSTITUTE(SUBSTITUTE(TRIM(M546),".",""),"/",""),"-","")," ",""),"(",""),")",""),"+",""),4)="0800")),"OK",IF(AND(LEN(SUBSTITUTE(SUBSTITUTE(SUBSTITUTE(SUBSTITUTE(SUBSTITUTE(SUBSTITUTE(SUBSTITUTE(TRIM(M546),".",""),"/",""),"-","")," ",""),"(",""),")",""),"+",""))=11,MID(SUBSTITUTE(SUBSTITUTE(SUBSTITUTE(SUBSTITUTE(SUBSTITUTE(SUBSTITUTE(SUBSTITUTE(TRIM(M546),".",""),"/",""),"-","")," ",""),"(",""),")",""),"+",""),3,1)="9"),"ERRO: é celular, use a coluna Celular","ERRO: DDD + 8 dígitos ou 0800 + 7")))</f>
      </c>
      <c r="X546" s="6">
        <f>IF(N546="","vazio",IF(AND(LEN(SUBSTITUTE(SUBSTITUTE(SUBSTITUTE(SUBSTITUTE(SUBSTITUTE(SUBSTITUTE(SUBSTITUTE(TRIM(N546),".",""),"/",""),"-","")," ",""),"(",""),")",""),"+",""))=11,MID(SUBSTITUTE(SUBSTITUTE(SUBSTITUTE(SUBSTITUTE(SUBSTITUTE(SUBSTITUTE(SUBSTITUTE(TRIM(N546),".",""),"/",""),"-","")," ",""),"(",""),")",""),"+",""),3,1)="9",LEFT(SUBSTITUTE(SUBSTITUTE(SUBSTITUTE(SUBSTITUTE(SUBSTITUTE(SUBSTITUTE(SUBSTITUTE(TRIM(N546),".",""),"/",""),"-","")," ",""),"(",""),")",""),"+",""),1)&lt;&gt;"0"),"OK",IF(LEN(SUBSTITUTE(SUBSTITUTE(SUBSTITUTE(SUBSTITUTE(SUBSTITUTE(SUBSTITUTE(SUBSTITUTE(TRIM(N546),".",""),"/",""),"-","")," ",""),"(",""),")",""),"+",""))=10,"ERRO: é fixo (ou falta o 9), use a coluna Telefone fixo","ERRO: DDD + 9 + 8 dígitos")))</f>
      </c>
      <c r="Y546" s="6">
        <f>IF(O546="","vazio",IF(AND(ISNUMBER(FIND("@",O546)),ISNUMBER(FIND(".",MID(O546,FIND("@",O546),99))),NOT(ISNUMBER(FIND(" ",TRIM(O546)))),NOT(ISNUMBER(FIND(";",O546))),NOT(ISNUMBER(FIND(",",O546)))),"OK","ERRO: um e-mail válido por linha"))</f>
      </c>
      <c r="Z546" s="6">
        <f>IF(AND(J546="",K546=""),"",IF(AND(J546&lt;&gt;"",K546&lt;&gt;""),"OK","pendente: só um nome (o GR completa ao converter)"))</f>
      </c>
      <c r="AA546" s="6">
        <f>IF(COUNTA(A546:S546)=0,"",IF(AND(A546&lt;&gt;"",B546&lt;&gt;"",C546&lt;&gt;"",D546&lt;&gt;"",E546&lt;&gt;"",F546&lt;&gt;"",G546&lt;&gt;"",H546&lt;&gt;"",OR(J546&lt;&gt;"",K546&lt;&gt;""),OR(M546&lt;&gt;"",N546&lt;&gt;"",O546&lt;&gt;"")),"OK","ERRO: faltam "&amp;IF(A546="","SDR; ","")&amp;IF(B546="","Proprietário; ","")&amp;IF(C546="","Origem; ","")&amp;IF(D546="","Temperatura; ","")&amp;IF(E546="","Segmento; ","")&amp;IF(F546="","Time/Cluster; ","")&amp;IF(G546="","CNPJ; ","")&amp;IF(H546="","Razão Social; ","")&amp;IF(AND(J546="",K546=""),"nome do contato; ","")&amp;IF(AND(M546="",N546="",O546=""),"telefone, celular ou e-mail; ","")))</f>
      </c>
      <c r="AB546" s="6">
        <f>IF(COUNTA(A546:S546)=0,"",IF(AND(U546="OK",V546="OK",LEFT(W546,4)&lt;&gt;"ERRO",LEFT(X546,4)&lt;&gt;"ERRO",LEFT(Y546,4)&lt;&gt;"ERRO",AA546="OK"),"OK","REVISAR"))</f>
      </c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5"/>
      <c r="K547" s="4"/>
      <c r="L547" s="4"/>
      <c r="M547" s="4"/>
      <c r="N547" s="4"/>
      <c r="O547" s="4"/>
      <c r="P547" s="4"/>
      <c r="Q547" s="4"/>
      <c r="R547" s="4"/>
      <c r="S547" s="4"/>
      <c r="T547" s="6">
        <f>IF(G547="","",SUBSTITUTE(SUBSTITUTE(SUBSTITUTE(SUBSTITUTE(SUBSTITUTE(SUBSTITUTE(SUBSTITUTE(TRIM(G547),".",""),"/",""),"-","")," ",""),"(",""),")",""),"+",""))</f>
      </c>
      <c r="U547" s="6">
        <f>IF(T547="","",IF(LEN(T547)&lt;&gt;14,"ERRO: "&amp;LEN(T547)&amp;" dígitos",IF(NOT(ISNUMBER(VALUE(T547))),"ERRO: não numérico",IF(LEN(SUBSTITUTE(T547,LEFT(T547,1),""))=0,"ERRO: dígitos repetidos",IF(AND(VALUE(MID(T547,13,1))=IF(MOD(SUMPRODUCT(--MID(T547,{1,2,3,4,5,6,7,8,9,10,11,12},1),{5,4,3,2,9,8,7,6,5,4,3,2}),11)&lt;2,0,11-MOD(SUMPRODUCT(--MID(T547,{1,2,3,4,5,6,7,8,9,10,11,12},1),{5,4,3,2,9,8,7,6,5,4,3,2}),11)),VALUE(MID(T547,14,1))=IF(MOD(SUMPRODUCT(--MID(T547,{1,2,3,4,5,6,7,8,9,10,11,12,13},1),{6,5,4,3,2,9,8,7,6,5,4,3,2}),11)&lt;2,0,11-MOD(SUMPRODUCT(--MID(T547,{1,2,3,4,5,6,7,8,9,10,11,12,13},1),{6,5,4,3,2,9,8,7,6,5,4,3,2}),11))),"OK","ERRO: dígito verificador")))))</f>
      </c>
      <c r="V547" s="6">
        <f>IF(T547="","",IF(COUNTIF($T$2:$T$1001,T547)&gt;1,"DUPLICADO","OK"))</f>
      </c>
      <c r="W547" s="6">
        <f>IF(M547="","vazio",IF(OR(AND(LEN(SUBSTITUTE(SUBSTITUTE(SUBSTITUTE(SUBSTITUTE(SUBSTITUTE(SUBSTITUTE(SUBSTITUTE(TRIM(M547),".",""),"/",""),"-","")," ",""),"(",""),")",""),"+",""))=10,LEFT(SUBSTITUTE(SUBSTITUTE(SUBSTITUTE(SUBSTITUTE(SUBSTITUTE(SUBSTITUTE(SUBSTITUTE(TRIM(M547),".",""),"/",""),"-","")," ",""),"(",""),")",""),"+",""),1)&lt;&gt;"0"),AND(LEN(SUBSTITUTE(SUBSTITUTE(SUBSTITUTE(SUBSTITUTE(SUBSTITUTE(SUBSTITUTE(SUBSTITUTE(TRIM(M547),".",""),"/",""),"-","")," ",""),"(",""),")",""),"+",""))=11,LEFT(SUBSTITUTE(SUBSTITUTE(SUBSTITUTE(SUBSTITUTE(SUBSTITUTE(SUBSTITUTE(SUBSTITUTE(TRIM(M547),".",""),"/",""),"-","")," ",""),"(",""),")",""),"+",""),4)="0800")),"OK",IF(AND(LEN(SUBSTITUTE(SUBSTITUTE(SUBSTITUTE(SUBSTITUTE(SUBSTITUTE(SUBSTITUTE(SUBSTITUTE(TRIM(M547),".",""),"/",""),"-","")," ",""),"(",""),")",""),"+",""))=11,MID(SUBSTITUTE(SUBSTITUTE(SUBSTITUTE(SUBSTITUTE(SUBSTITUTE(SUBSTITUTE(SUBSTITUTE(TRIM(M547),".",""),"/",""),"-","")," ",""),"(",""),")",""),"+",""),3,1)="9"),"ERRO: é celular, use a coluna Celular","ERRO: DDD + 8 dígitos ou 0800 + 7")))</f>
      </c>
      <c r="X547" s="6">
        <f>IF(N547="","vazio",IF(AND(LEN(SUBSTITUTE(SUBSTITUTE(SUBSTITUTE(SUBSTITUTE(SUBSTITUTE(SUBSTITUTE(SUBSTITUTE(TRIM(N547),".",""),"/",""),"-","")," ",""),"(",""),")",""),"+",""))=11,MID(SUBSTITUTE(SUBSTITUTE(SUBSTITUTE(SUBSTITUTE(SUBSTITUTE(SUBSTITUTE(SUBSTITUTE(TRIM(N547),".",""),"/",""),"-","")," ",""),"(",""),")",""),"+",""),3,1)="9",LEFT(SUBSTITUTE(SUBSTITUTE(SUBSTITUTE(SUBSTITUTE(SUBSTITUTE(SUBSTITUTE(SUBSTITUTE(TRIM(N547),".",""),"/",""),"-","")," ",""),"(",""),")",""),"+",""),1)&lt;&gt;"0"),"OK",IF(LEN(SUBSTITUTE(SUBSTITUTE(SUBSTITUTE(SUBSTITUTE(SUBSTITUTE(SUBSTITUTE(SUBSTITUTE(TRIM(N547),".",""),"/",""),"-","")," ",""),"(",""),")",""),"+",""))=10,"ERRO: é fixo (ou falta o 9), use a coluna Telefone fixo","ERRO: DDD + 9 + 8 dígitos")))</f>
      </c>
      <c r="Y547" s="6">
        <f>IF(O547="","vazio",IF(AND(ISNUMBER(FIND("@",O547)),ISNUMBER(FIND(".",MID(O547,FIND("@",O547),99))),NOT(ISNUMBER(FIND(" ",TRIM(O547)))),NOT(ISNUMBER(FIND(";",O547))),NOT(ISNUMBER(FIND(",",O547)))),"OK","ERRO: um e-mail válido por linha"))</f>
      </c>
      <c r="Z547" s="6">
        <f>IF(AND(J547="",K547=""),"",IF(AND(J547&lt;&gt;"",K547&lt;&gt;""),"OK","pendente: só um nome (o GR completa ao converter)"))</f>
      </c>
      <c r="AA547" s="6">
        <f>IF(COUNTA(A547:S547)=0,"",IF(AND(A547&lt;&gt;"",B547&lt;&gt;"",C547&lt;&gt;"",D547&lt;&gt;"",E547&lt;&gt;"",F547&lt;&gt;"",G547&lt;&gt;"",H547&lt;&gt;"",OR(J547&lt;&gt;"",K547&lt;&gt;""),OR(M547&lt;&gt;"",N547&lt;&gt;"",O547&lt;&gt;"")),"OK","ERRO: faltam "&amp;IF(A547="","SDR; ","")&amp;IF(B547="","Proprietário; ","")&amp;IF(C547="","Origem; ","")&amp;IF(D547="","Temperatura; ","")&amp;IF(E547="","Segmento; ","")&amp;IF(F547="","Time/Cluster; ","")&amp;IF(G547="","CNPJ; ","")&amp;IF(H547="","Razão Social; ","")&amp;IF(AND(J547="",K547=""),"nome do contato; ","")&amp;IF(AND(M547="",N547="",O547=""),"telefone, celular ou e-mail; ","")))</f>
      </c>
      <c r="AB547" s="6">
        <f>IF(COUNTA(A547:S547)=0,"",IF(AND(U547="OK",V547="OK",LEFT(W547,4)&lt;&gt;"ERRO",LEFT(X547,4)&lt;&gt;"ERRO",LEFT(Y547,4)&lt;&gt;"ERRO",AA547="OK"),"OK","REVISAR"))</f>
      </c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5"/>
      <c r="K548" s="4"/>
      <c r="L548" s="4"/>
      <c r="M548" s="4"/>
      <c r="N548" s="4"/>
      <c r="O548" s="4"/>
      <c r="P548" s="4"/>
      <c r="Q548" s="4"/>
      <c r="R548" s="4"/>
      <c r="S548" s="4"/>
      <c r="T548" s="6">
        <f>IF(G548="","",SUBSTITUTE(SUBSTITUTE(SUBSTITUTE(SUBSTITUTE(SUBSTITUTE(SUBSTITUTE(SUBSTITUTE(TRIM(G548),".",""),"/",""),"-","")," ",""),"(",""),")",""),"+",""))</f>
      </c>
      <c r="U548" s="6">
        <f>IF(T548="","",IF(LEN(T548)&lt;&gt;14,"ERRO: "&amp;LEN(T548)&amp;" dígitos",IF(NOT(ISNUMBER(VALUE(T548))),"ERRO: não numérico",IF(LEN(SUBSTITUTE(T548,LEFT(T548,1),""))=0,"ERRO: dígitos repetidos",IF(AND(VALUE(MID(T548,13,1))=IF(MOD(SUMPRODUCT(--MID(T548,{1,2,3,4,5,6,7,8,9,10,11,12},1),{5,4,3,2,9,8,7,6,5,4,3,2}),11)&lt;2,0,11-MOD(SUMPRODUCT(--MID(T548,{1,2,3,4,5,6,7,8,9,10,11,12},1),{5,4,3,2,9,8,7,6,5,4,3,2}),11)),VALUE(MID(T548,14,1))=IF(MOD(SUMPRODUCT(--MID(T548,{1,2,3,4,5,6,7,8,9,10,11,12,13},1),{6,5,4,3,2,9,8,7,6,5,4,3,2}),11)&lt;2,0,11-MOD(SUMPRODUCT(--MID(T548,{1,2,3,4,5,6,7,8,9,10,11,12,13},1),{6,5,4,3,2,9,8,7,6,5,4,3,2}),11))),"OK","ERRO: dígito verificador")))))</f>
      </c>
      <c r="V548" s="6">
        <f>IF(T548="","",IF(COUNTIF($T$2:$T$1001,T548)&gt;1,"DUPLICADO","OK"))</f>
      </c>
      <c r="W548" s="6">
        <f>IF(M548="","vazio",IF(OR(AND(LEN(SUBSTITUTE(SUBSTITUTE(SUBSTITUTE(SUBSTITUTE(SUBSTITUTE(SUBSTITUTE(SUBSTITUTE(TRIM(M548),".",""),"/",""),"-","")," ",""),"(",""),")",""),"+",""))=10,LEFT(SUBSTITUTE(SUBSTITUTE(SUBSTITUTE(SUBSTITUTE(SUBSTITUTE(SUBSTITUTE(SUBSTITUTE(TRIM(M548),".",""),"/",""),"-","")," ",""),"(",""),")",""),"+",""),1)&lt;&gt;"0"),AND(LEN(SUBSTITUTE(SUBSTITUTE(SUBSTITUTE(SUBSTITUTE(SUBSTITUTE(SUBSTITUTE(SUBSTITUTE(TRIM(M548),".",""),"/",""),"-","")," ",""),"(",""),")",""),"+",""))=11,LEFT(SUBSTITUTE(SUBSTITUTE(SUBSTITUTE(SUBSTITUTE(SUBSTITUTE(SUBSTITUTE(SUBSTITUTE(TRIM(M548),".",""),"/",""),"-","")," ",""),"(",""),")",""),"+",""),4)="0800")),"OK",IF(AND(LEN(SUBSTITUTE(SUBSTITUTE(SUBSTITUTE(SUBSTITUTE(SUBSTITUTE(SUBSTITUTE(SUBSTITUTE(TRIM(M548),".",""),"/",""),"-","")," ",""),"(",""),")",""),"+",""))=11,MID(SUBSTITUTE(SUBSTITUTE(SUBSTITUTE(SUBSTITUTE(SUBSTITUTE(SUBSTITUTE(SUBSTITUTE(TRIM(M548),".",""),"/",""),"-","")," ",""),"(",""),")",""),"+",""),3,1)="9"),"ERRO: é celular, use a coluna Celular","ERRO: DDD + 8 dígitos ou 0800 + 7")))</f>
      </c>
      <c r="X548" s="6">
        <f>IF(N548="","vazio",IF(AND(LEN(SUBSTITUTE(SUBSTITUTE(SUBSTITUTE(SUBSTITUTE(SUBSTITUTE(SUBSTITUTE(SUBSTITUTE(TRIM(N548),".",""),"/",""),"-","")," ",""),"(",""),")",""),"+",""))=11,MID(SUBSTITUTE(SUBSTITUTE(SUBSTITUTE(SUBSTITUTE(SUBSTITUTE(SUBSTITUTE(SUBSTITUTE(TRIM(N548),".",""),"/",""),"-","")," ",""),"(",""),")",""),"+",""),3,1)="9",LEFT(SUBSTITUTE(SUBSTITUTE(SUBSTITUTE(SUBSTITUTE(SUBSTITUTE(SUBSTITUTE(SUBSTITUTE(TRIM(N548),".",""),"/",""),"-","")," ",""),"(",""),")",""),"+",""),1)&lt;&gt;"0"),"OK",IF(LEN(SUBSTITUTE(SUBSTITUTE(SUBSTITUTE(SUBSTITUTE(SUBSTITUTE(SUBSTITUTE(SUBSTITUTE(TRIM(N548),".",""),"/",""),"-","")," ",""),"(",""),")",""),"+",""))=10,"ERRO: é fixo (ou falta o 9), use a coluna Telefone fixo","ERRO: DDD + 9 + 8 dígitos")))</f>
      </c>
      <c r="Y548" s="6">
        <f>IF(O548="","vazio",IF(AND(ISNUMBER(FIND("@",O548)),ISNUMBER(FIND(".",MID(O548,FIND("@",O548),99))),NOT(ISNUMBER(FIND(" ",TRIM(O548)))),NOT(ISNUMBER(FIND(";",O548))),NOT(ISNUMBER(FIND(",",O548)))),"OK","ERRO: um e-mail válido por linha"))</f>
      </c>
      <c r="Z548" s="6">
        <f>IF(AND(J548="",K548=""),"",IF(AND(J548&lt;&gt;"",K548&lt;&gt;""),"OK","pendente: só um nome (o GR completa ao converter)"))</f>
      </c>
      <c r="AA548" s="6">
        <f>IF(COUNTA(A548:S548)=0,"",IF(AND(A548&lt;&gt;"",B548&lt;&gt;"",C548&lt;&gt;"",D548&lt;&gt;"",E548&lt;&gt;"",F548&lt;&gt;"",G548&lt;&gt;"",H548&lt;&gt;"",OR(J548&lt;&gt;"",K548&lt;&gt;""),OR(M548&lt;&gt;"",N548&lt;&gt;"",O548&lt;&gt;"")),"OK","ERRO: faltam "&amp;IF(A548="","SDR; ","")&amp;IF(B548="","Proprietário; ","")&amp;IF(C548="","Origem; ","")&amp;IF(D548="","Temperatura; ","")&amp;IF(E548="","Segmento; ","")&amp;IF(F548="","Time/Cluster; ","")&amp;IF(G548="","CNPJ; ","")&amp;IF(H548="","Razão Social; ","")&amp;IF(AND(J548="",K548=""),"nome do contato; ","")&amp;IF(AND(M548="",N548="",O548=""),"telefone, celular ou e-mail; ","")))</f>
      </c>
      <c r="AB548" s="6">
        <f>IF(COUNTA(A548:S548)=0,"",IF(AND(U548="OK",V548="OK",LEFT(W548,4)&lt;&gt;"ERRO",LEFT(X548,4)&lt;&gt;"ERRO",LEFT(Y548,4)&lt;&gt;"ERRO",AA548="OK"),"OK","REVISAR"))</f>
      </c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5"/>
      <c r="K549" s="4"/>
      <c r="L549" s="4"/>
      <c r="M549" s="4"/>
      <c r="N549" s="4"/>
      <c r="O549" s="4"/>
      <c r="P549" s="4"/>
      <c r="Q549" s="4"/>
      <c r="R549" s="4"/>
      <c r="S549" s="4"/>
      <c r="T549" s="6">
        <f>IF(G549="","",SUBSTITUTE(SUBSTITUTE(SUBSTITUTE(SUBSTITUTE(SUBSTITUTE(SUBSTITUTE(SUBSTITUTE(TRIM(G549),".",""),"/",""),"-","")," ",""),"(",""),")",""),"+",""))</f>
      </c>
      <c r="U549" s="6">
        <f>IF(T549="","",IF(LEN(T549)&lt;&gt;14,"ERRO: "&amp;LEN(T549)&amp;" dígitos",IF(NOT(ISNUMBER(VALUE(T549))),"ERRO: não numérico",IF(LEN(SUBSTITUTE(T549,LEFT(T549,1),""))=0,"ERRO: dígitos repetidos",IF(AND(VALUE(MID(T549,13,1))=IF(MOD(SUMPRODUCT(--MID(T549,{1,2,3,4,5,6,7,8,9,10,11,12},1),{5,4,3,2,9,8,7,6,5,4,3,2}),11)&lt;2,0,11-MOD(SUMPRODUCT(--MID(T549,{1,2,3,4,5,6,7,8,9,10,11,12},1),{5,4,3,2,9,8,7,6,5,4,3,2}),11)),VALUE(MID(T549,14,1))=IF(MOD(SUMPRODUCT(--MID(T549,{1,2,3,4,5,6,7,8,9,10,11,12,13},1),{6,5,4,3,2,9,8,7,6,5,4,3,2}),11)&lt;2,0,11-MOD(SUMPRODUCT(--MID(T549,{1,2,3,4,5,6,7,8,9,10,11,12,13},1),{6,5,4,3,2,9,8,7,6,5,4,3,2}),11))),"OK","ERRO: dígito verificador")))))</f>
      </c>
      <c r="V549" s="6">
        <f>IF(T549="","",IF(COUNTIF($T$2:$T$1001,T549)&gt;1,"DUPLICADO","OK"))</f>
      </c>
      <c r="W549" s="6">
        <f>IF(M549="","vazio",IF(OR(AND(LEN(SUBSTITUTE(SUBSTITUTE(SUBSTITUTE(SUBSTITUTE(SUBSTITUTE(SUBSTITUTE(SUBSTITUTE(TRIM(M549),".",""),"/",""),"-","")," ",""),"(",""),")",""),"+",""))=10,LEFT(SUBSTITUTE(SUBSTITUTE(SUBSTITUTE(SUBSTITUTE(SUBSTITUTE(SUBSTITUTE(SUBSTITUTE(TRIM(M549),".",""),"/",""),"-","")," ",""),"(",""),")",""),"+",""),1)&lt;&gt;"0"),AND(LEN(SUBSTITUTE(SUBSTITUTE(SUBSTITUTE(SUBSTITUTE(SUBSTITUTE(SUBSTITUTE(SUBSTITUTE(TRIM(M549),".",""),"/",""),"-","")," ",""),"(",""),")",""),"+",""))=11,LEFT(SUBSTITUTE(SUBSTITUTE(SUBSTITUTE(SUBSTITUTE(SUBSTITUTE(SUBSTITUTE(SUBSTITUTE(TRIM(M549),".",""),"/",""),"-","")," ",""),"(",""),")",""),"+",""),4)="0800")),"OK",IF(AND(LEN(SUBSTITUTE(SUBSTITUTE(SUBSTITUTE(SUBSTITUTE(SUBSTITUTE(SUBSTITUTE(SUBSTITUTE(TRIM(M549),".",""),"/",""),"-","")," ",""),"(",""),")",""),"+",""))=11,MID(SUBSTITUTE(SUBSTITUTE(SUBSTITUTE(SUBSTITUTE(SUBSTITUTE(SUBSTITUTE(SUBSTITUTE(TRIM(M549),".",""),"/",""),"-","")," ",""),"(",""),")",""),"+",""),3,1)="9"),"ERRO: é celular, use a coluna Celular","ERRO: DDD + 8 dígitos ou 0800 + 7")))</f>
      </c>
      <c r="X549" s="6">
        <f>IF(N549="","vazio",IF(AND(LEN(SUBSTITUTE(SUBSTITUTE(SUBSTITUTE(SUBSTITUTE(SUBSTITUTE(SUBSTITUTE(SUBSTITUTE(TRIM(N549),".",""),"/",""),"-","")," ",""),"(",""),")",""),"+",""))=11,MID(SUBSTITUTE(SUBSTITUTE(SUBSTITUTE(SUBSTITUTE(SUBSTITUTE(SUBSTITUTE(SUBSTITUTE(TRIM(N549),".",""),"/",""),"-","")," ",""),"(",""),")",""),"+",""),3,1)="9",LEFT(SUBSTITUTE(SUBSTITUTE(SUBSTITUTE(SUBSTITUTE(SUBSTITUTE(SUBSTITUTE(SUBSTITUTE(TRIM(N549),".",""),"/",""),"-","")," ",""),"(",""),")",""),"+",""),1)&lt;&gt;"0"),"OK",IF(LEN(SUBSTITUTE(SUBSTITUTE(SUBSTITUTE(SUBSTITUTE(SUBSTITUTE(SUBSTITUTE(SUBSTITUTE(TRIM(N549),".",""),"/",""),"-","")," ",""),"(",""),")",""),"+",""))=10,"ERRO: é fixo (ou falta o 9), use a coluna Telefone fixo","ERRO: DDD + 9 + 8 dígitos")))</f>
      </c>
      <c r="Y549" s="6">
        <f>IF(O549="","vazio",IF(AND(ISNUMBER(FIND("@",O549)),ISNUMBER(FIND(".",MID(O549,FIND("@",O549),99))),NOT(ISNUMBER(FIND(" ",TRIM(O549)))),NOT(ISNUMBER(FIND(";",O549))),NOT(ISNUMBER(FIND(",",O549)))),"OK","ERRO: um e-mail válido por linha"))</f>
      </c>
      <c r="Z549" s="6">
        <f>IF(AND(J549="",K549=""),"",IF(AND(J549&lt;&gt;"",K549&lt;&gt;""),"OK","pendente: só um nome (o GR completa ao converter)"))</f>
      </c>
      <c r="AA549" s="6">
        <f>IF(COUNTA(A549:S549)=0,"",IF(AND(A549&lt;&gt;"",B549&lt;&gt;"",C549&lt;&gt;"",D549&lt;&gt;"",E549&lt;&gt;"",F549&lt;&gt;"",G549&lt;&gt;"",H549&lt;&gt;"",OR(J549&lt;&gt;"",K549&lt;&gt;""),OR(M549&lt;&gt;"",N549&lt;&gt;"",O549&lt;&gt;"")),"OK","ERRO: faltam "&amp;IF(A549="","SDR; ","")&amp;IF(B549="","Proprietário; ","")&amp;IF(C549="","Origem; ","")&amp;IF(D549="","Temperatura; ","")&amp;IF(E549="","Segmento; ","")&amp;IF(F549="","Time/Cluster; ","")&amp;IF(G549="","CNPJ; ","")&amp;IF(H549="","Razão Social; ","")&amp;IF(AND(J549="",K549=""),"nome do contato; ","")&amp;IF(AND(M549="",N549="",O549=""),"telefone, celular ou e-mail; ","")))</f>
      </c>
      <c r="AB549" s="6">
        <f>IF(COUNTA(A549:S549)=0,"",IF(AND(U549="OK",V549="OK",LEFT(W549,4)&lt;&gt;"ERRO",LEFT(X549,4)&lt;&gt;"ERRO",LEFT(Y549,4)&lt;&gt;"ERRO",AA549="OK"),"OK","REVISAR"))</f>
      </c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5"/>
      <c r="K550" s="4"/>
      <c r="L550" s="4"/>
      <c r="M550" s="4"/>
      <c r="N550" s="4"/>
      <c r="O550" s="4"/>
      <c r="P550" s="4"/>
      <c r="Q550" s="4"/>
      <c r="R550" s="4"/>
      <c r="S550" s="4"/>
      <c r="T550" s="6">
        <f>IF(G550="","",SUBSTITUTE(SUBSTITUTE(SUBSTITUTE(SUBSTITUTE(SUBSTITUTE(SUBSTITUTE(SUBSTITUTE(TRIM(G550),".",""),"/",""),"-","")," ",""),"(",""),")",""),"+",""))</f>
      </c>
      <c r="U550" s="6">
        <f>IF(T550="","",IF(LEN(T550)&lt;&gt;14,"ERRO: "&amp;LEN(T550)&amp;" dígitos",IF(NOT(ISNUMBER(VALUE(T550))),"ERRO: não numérico",IF(LEN(SUBSTITUTE(T550,LEFT(T550,1),""))=0,"ERRO: dígitos repetidos",IF(AND(VALUE(MID(T550,13,1))=IF(MOD(SUMPRODUCT(--MID(T550,{1,2,3,4,5,6,7,8,9,10,11,12},1),{5,4,3,2,9,8,7,6,5,4,3,2}),11)&lt;2,0,11-MOD(SUMPRODUCT(--MID(T550,{1,2,3,4,5,6,7,8,9,10,11,12},1),{5,4,3,2,9,8,7,6,5,4,3,2}),11)),VALUE(MID(T550,14,1))=IF(MOD(SUMPRODUCT(--MID(T550,{1,2,3,4,5,6,7,8,9,10,11,12,13},1),{6,5,4,3,2,9,8,7,6,5,4,3,2}),11)&lt;2,0,11-MOD(SUMPRODUCT(--MID(T550,{1,2,3,4,5,6,7,8,9,10,11,12,13},1),{6,5,4,3,2,9,8,7,6,5,4,3,2}),11))),"OK","ERRO: dígito verificador")))))</f>
      </c>
      <c r="V550" s="6">
        <f>IF(T550="","",IF(COUNTIF($T$2:$T$1001,T550)&gt;1,"DUPLICADO","OK"))</f>
      </c>
      <c r="W550" s="6">
        <f>IF(M550="","vazio",IF(OR(AND(LEN(SUBSTITUTE(SUBSTITUTE(SUBSTITUTE(SUBSTITUTE(SUBSTITUTE(SUBSTITUTE(SUBSTITUTE(TRIM(M550),".",""),"/",""),"-","")," ",""),"(",""),")",""),"+",""))=10,LEFT(SUBSTITUTE(SUBSTITUTE(SUBSTITUTE(SUBSTITUTE(SUBSTITUTE(SUBSTITUTE(SUBSTITUTE(TRIM(M550),".",""),"/",""),"-","")," ",""),"(",""),")",""),"+",""),1)&lt;&gt;"0"),AND(LEN(SUBSTITUTE(SUBSTITUTE(SUBSTITUTE(SUBSTITUTE(SUBSTITUTE(SUBSTITUTE(SUBSTITUTE(TRIM(M550),".",""),"/",""),"-","")," ",""),"(",""),")",""),"+",""))=11,LEFT(SUBSTITUTE(SUBSTITUTE(SUBSTITUTE(SUBSTITUTE(SUBSTITUTE(SUBSTITUTE(SUBSTITUTE(TRIM(M550),".",""),"/",""),"-","")," ",""),"(",""),")",""),"+",""),4)="0800")),"OK",IF(AND(LEN(SUBSTITUTE(SUBSTITUTE(SUBSTITUTE(SUBSTITUTE(SUBSTITUTE(SUBSTITUTE(SUBSTITUTE(TRIM(M550),".",""),"/",""),"-","")," ",""),"(",""),")",""),"+",""))=11,MID(SUBSTITUTE(SUBSTITUTE(SUBSTITUTE(SUBSTITUTE(SUBSTITUTE(SUBSTITUTE(SUBSTITUTE(TRIM(M550),".",""),"/",""),"-","")," ",""),"(",""),")",""),"+",""),3,1)="9"),"ERRO: é celular, use a coluna Celular","ERRO: DDD + 8 dígitos ou 0800 + 7")))</f>
      </c>
      <c r="X550" s="6">
        <f>IF(N550="","vazio",IF(AND(LEN(SUBSTITUTE(SUBSTITUTE(SUBSTITUTE(SUBSTITUTE(SUBSTITUTE(SUBSTITUTE(SUBSTITUTE(TRIM(N550),".",""),"/",""),"-","")," ",""),"(",""),")",""),"+",""))=11,MID(SUBSTITUTE(SUBSTITUTE(SUBSTITUTE(SUBSTITUTE(SUBSTITUTE(SUBSTITUTE(SUBSTITUTE(TRIM(N550),".",""),"/",""),"-","")," ",""),"(",""),")",""),"+",""),3,1)="9",LEFT(SUBSTITUTE(SUBSTITUTE(SUBSTITUTE(SUBSTITUTE(SUBSTITUTE(SUBSTITUTE(SUBSTITUTE(TRIM(N550),".",""),"/",""),"-","")," ",""),"(",""),")",""),"+",""),1)&lt;&gt;"0"),"OK",IF(LEN(SUBSTITUTE(SUBSTITUTE(SUBSTITUTE(SUBSTITUTE(SUBSTITUTE(SUBSTITUTE(SUBSTITUTE(TRIM(N550),".",""),"/",""),"-","")," ",""),"(",""),")",""),"+",""))=10,"ERRO: é fixo (ou falta o 9), use a coluna Telefone fixo","ERRO: DDD + 9 + 8 dígitos")))</f>
      </c>
      <c r="Y550" s="6">
        <f>IF(O550="","vazio",IF(AND(ISNUMBER(FIND("@",O550)),ISNUMBER(FIND(".",MID(O550,FIND("@",O550),99))),NOT(ISNUMBER(FIND(" ",TRIM(O550)))),NOT(ISNUMBER(FIND(";",O550))),NOT(ISNUMBER(FIND(",",O550)))),"OK","ERRO: um e-mail válido por linha"))</f>
      </c>
      <c r="Z550" s="6">
        <f>IF(AND(J550="",K550=""),"",IF(AND(J550&lt;&gt;"",K550&lt;&gt;""),"OK","pendente: só um nome (o GR completa ao converter)"))</f>
      </c>
      <c r="AA550" s="6">
        <f>IF(COUNTA(A550:S550)=0,"",IF(AND(A550&lt;&gt;"",B550&lt;&gt;"",C550&lt;&gt;"",D550&lt;&gt;"",E550&lt;&gt;"",F550&lt;&gt;"",G550&lt;&gt;"",H550&lt;&gt;"",OR(J550&lt;&gt;"",K550&lt;&gt;""),OR(M550&lt;&gt;"",N550&lt;&gt;"",O550&lt;&gt;"")),"OK","ERRO: faltam "&amp;IF(A550="","SDR; ","")&amp;IF(B550="","Proprietário; ","")&amp;IF(C550="","Origem; ","")&amp;IF(D550="","Temperatura; ","")&amp;IF(E550="","Segmento; ","")&amp;IF(F550="","Time/Cluster; ","")&amp;IF(G550="","CNPJ; ","")&amp;IF(H550="","Razão Social; ","")&amp;IF(AND(J550="",K550=""),"nome do contato; ","")&amp;IF(AND(M550="",N550="",O550=""),"telefone, celular ou e-mail; ","")))</f>
      </c>
      <c r="AB550" s="6">
        <f>IF(COUNTA(A550:S550)=0,"",IF(AND(U550="OK",V550="OK",LEFT(W550,4)&lt;&gt;"ERRO",LEFT(X550,4)&lt;&gt;"ERRO",LEFT(Y550,4)&lt;&gt;"ERRO",AA550="OK"),"OK","REVISAR"))</f>
      </c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5"/>
      <c r="K551" s="4"/>
      <c r="L551" s="4"/>
      <c r="M551" s="4"/>
      <c r="N551" s="4"/>
      <c r="O551" s="4"/>
      <c r="P551" s="4"/>
      <c r="Q551" s="4"/>
      <c r="R551" s="4"/>
      <c r="S551" s="4"/>
      <c r="T551" s="6">
        <f>IF(G551="","",SUBSTITUTE(SUBSTITUTE(SUBSTITUTE(SUBSTITUTE(SUBSTITUTE(SUBSTITUTE(SUBSTITUTE(TRIM(G551),".",""),"/",""),"-","")," ",""),"(",""),")",""),"+",""))</f>
      </c>
      <c r="U551" s="6">
        <f>IF(T551="","",IF(LEN(T551)&lt;&gt;14,"ERRO: "&amp;LEN(T551)&amp;" dígitos",IF(NOT(ISNUMBER(VALUE(T551))),"ERRO: não numérico",IF(LEN(SUBSTITUTE(T551,LEFT(T551,1),""))=0,"ERRO: dígitos repetidos",IF(AND(VALUE(MID(T551,13,1))=IF(MOD(SUMPRODUCT(--MID(T551,{1,2,3,4,5,6,7,8,9,10,11,12},1),{5,4,3,2,9,8,7,6,5,4,3,2}),11)&lt;2,0,11-MOD(SUMPRODUCT(--MID(T551,{1,2,3,4,5,6,7,8,9,10,11,12},1),{5,4,3,2,9,8,7,6,5,4,3,2}),11)),VALUE(MID(T551,14,1))=IF(MOD(SUMPRODUCT(--MID(T551,{1,2,3,4,5,6,7,8,9,10,11,12,13},1),{6,5,4,3,2,9,8,7,6,5,4,3,2}),11)&lt;2,0,11-MOD(SUMPRODUCT(--MID(T551,{1,2,3,4,5,6,7,8,9,10,11,12,13},1),{6,5,4,3,2,9,8,7,6,5,4,3,2}),11))),"OK","ERRO: dígito verificador")))))</f>
      </c>
      <c r="V551" s="6">
        <f>IF(T551="","",IF(COUNTIF($T$2:$T$1001,T551)&gt;1,"DUPLICADO","OK"))</f>
      </c>
      <c r="W551" s="6">
        <f>IF(M551="","vazio",IF(OR(AND(LEN(SUBSTITUTE(SUBSTITUTE(SUBSTITUTE(SUBSTITUTE(SUBSTITUTE(SUBSTITUTE(SUBSTITUTE(TRIM(M551),".",""),"/",""),"-","")," ",""),"(",""),")",""),"+",""))=10,LEFT(SUBSTITUTE(SUBSTITUTE(SUBSTITUTE(SUBSTITUTE(SUBSTITUTE(SUBSTITUTE(SUBSTITUTE(TRIM(M551),".",""),"/",""),"-","")," ",""),"(",""),")",""),"+",""),1)&lt;&gt;"0"),AND(LEN(SUBSTITUTE(SUBSTITUTE(SUBSTITUTE(SUBSTITUTE(SUBSTITUTE(SUBSTITUTE(SUBSTITUTE(TRIM(M551),".",""),"/",""),"-","")," ",""),"(",""),")",""),"+",""))=11,LEFT(SUBSTITUTE(SUBSTITUTE(SUBSTITUTE(SUBSTITUTE(SUBSTITUTE(SUBSTITUTE(SUBSTITUTE(TRIM(M551),".",""),"/",""),"-","")," ",""),"(",""),")",""),"+",""),4)="0800")),"OK",IF(AND(LEN(SUBSTITUTE(SUBSTITUTE(SUBSTITUTE(SUBSTITUTE(SUBSTITUTE(SUBSTITUTE(SUBSTITUTE(TRIM(M551),".",""),"/",""),"-","")," ",""),"(",""),")",""),"+",""))=11,MID(SUBSTITUTE(SUBSTITUTE(SUBSTITUTE(SUBSTITUTE(SUBSTITUTE(SUBSTITUTE(SUBSTITUTE(TRIM(M551),".",""),"/",""),"-","")," ",""),"(",""),")",""),"+",""),3,1)="9"),"ERRO: é celular, use a coluna Celular","ERRO: DDD + 8 dígitos ou 0800 + 7")))</f>
      </c>
      <c r="X551" s="6">
        <f>IF(N551="","vazio",IF(AND(LEN(SUBSTITUTE(SUBSTITUTE(SUBSTITUTE(SUBSTITUTE(SUBSTITUTE(SUBSTITUTE(SUBSTITUTE(TRIM(N551),".",""),"/",""),"-","")," ",""),"(",""),")",""),"+",""))=11,MID(SUBSTITUTE(SUBSTITUTE(SUBSTITUTE(SUBSTITUTE(SUBSTITUTE(SUBSTITUTE(SUBSTITUTE(TRIM(N551),".",""),"/",""),"-","")," ",""),"(",""),")",""),"+",""),3,1)="9",LEFT(SUBSTITUTE(SUBSTITUTE(SUBSTITUTE(SUBSTITUTE(SUBSTITUTE(SUBSTITUTE(SUBSTITUTE(TRIM(N551),".",""),"/",""),"-","")," ",""),"(",""),")",""),"+",""),1)&lt;&gt;"0"),"OK",IF(LEN(SUBSTITUTE(SUBSTITUTE(SUBSTITUTE(SUBSTITUTE(SUBSTITUTE(SUBSTITUTE(SUBSTITUTE(TRIM(N551),".",""),"/",""),"-","")," ",""),"(",""),")",""),"+",""))=10,"ERRO: é fixo (ou falta o 9), use a coluna Telefone fixo","ERRO: DDD + 9 + 8 dígitos")))</f>
      </c>
      <c r="Y551" s="6">
        <f>IF(O551="","vazio",IF(AND(ISNUMBER(FIND("@",O551)),ISNUMBER(FIND(".",MID(O551,FIND("@",O551),99))),NOT(ISNUMBER(FIND(" ",TRIM(O551)))),NOT(ISNUMBER(FIND(";",O551))),NOT(ISNUMBER(FIND(",",O551)))),"OK","ERRO: um e-mail válido por linha"))</f>
      </c>
      <c r="Z551" s="6">
        <f>IF(AND(J551="",K551=""),"",IF(AND(J551&lt;&gt;"",K551&lt;&gt;""),"OK","pendente: só um nome (o GR completa ao converter)"))</f>
      </c>
      <c r="AA551" s="6">
        <f>IF(COUNTA(A551:S551)=0,"",IF(AND(A551&lt;&gt;"",B551&lt;&gt;"",C551&lt;&gt;"",D551&lt;&gt;"",E551&lt;&gt;"",F551&lt;&gt;"",G551&lt;&gt;"",H551&lt;&gt;"",OR(J551&lt;&gt;"",K551&lt;&gt;""),OR(M551&lt;&gt;"",N551&lt;&gt;"",O551&lt;&gt;"")),"OK","ERRO: faltam "&amp;IF(A551="","SDR; ","")&amp;IF(B551="","Proprietário; ","")&amp;IF(C551="","Origem; ","")&amp;IF(D551="","Temperatura; ","")&amp;IF(E551="","Segmento; ","")&amp;IF(F551="","Time/Cluster; ","")&amp;IF(G551="","CNPJ; ","")&amp;IF(H551="","Razão Social; ","")&amp;IF(AND(J551="",K551=""),"nome do contato; ","")&amp;IF(AND(M551="",N551="",O551=""),"telefone, celular ou e-mail; ","")))</f>
      </c>
      <c r="AB551" s="6">
        <f>IF(COUNTA(A551:S551)=0,"",IF(AND(U551="OK",V551="OK",LEFT(W551,4)&lt;&gt;"ERRO",LEFT(X551,4)&lt;&gt;"ERRO",LEFT(Y551,4)&lt;&gt;"ERRO",AA551="OK"),"OK","REVISAR"))</f>
      </c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5"/>
      <c r="K552" s="4"/>
      <c r="L552" s="4"/>
      <c r="M552" s="4"/>
      <c r="N552" s="4"/>
      <c r="O552" s="4"/>
      <c r="P552" s="4"/>
      <c r="Q552" s="4"/>
      <c r="R552" s="4"/>
      <c r="S552" s="4"/>
      <c r="T552" s="6">
        <f>IF(G552="","",SUBSTITUTE(SUBSTITUTE(SUBSTITUTE(SUBSTITUTE(SUBSTITUTE(SUBSTITUTE(SUBSTITUTE(TRIM(G552),".",""),"/",""),"-","")," ",""),"(",""),")",""),"+",""))</f>
      </c>
      <c r="U552" s="6">
        <f>IF(T552="","",IF(LEN(T552)&lt;&gt;14,"ERRO: "&amp;LEN(T552)&amp;" dígitos",IF(NOT(ISNUMBER(VALUE(T552))),"ERRO: não numérico",IF(LEN(SUBSTITUTE(T552,LEFT(T552,1),""))=0,"ERRO: dígitos repetidos",IF(AND(VALUE(MID(T552,13,1))=IF(MOD(SUMPRODUCT(--MID(T552,{1,2,3,4,5,6,7,8,9,10,11,12},1),{5,4,3,2,9,8,7,6,5,4,3,2}),11)&lt;2,0,11-MOD(SUMPRODUCT(--MID(T552,{1,2,3,4,5,6,7,8,9,10,11,12},1),{5,4,3,2,9,8,7,6,5,4,3,2}),11)),VALUE(MID(T552,14,1))=IF(MOD(SUMPRODUCT(--MID(T552,{1,2,3,4,5,6,7,8,9,10,11,12,13},1),{6,5,4,3,2,9,8,7,6,5,4,3,2}),11)&lt;2,0,11-MOD(SUMPRODUCT(--MID(T552,{1,2,3,4,5,6,7,8,9,10,11,12,13},1),{6,5,4,3,2,9,8,7,6,5,4,3,2}),11))),"OK","ERRO: dígito verificador")))))</f>
      </c>
      <c r="V552" s="6">
        <f>IF(T552="","",IF(COUNTIF($T$2:$T$1001,T552)&gt;1,"DUPLICADO","OK"))</f>
      </c>
      <c r="W552" s="6">
        <f>IF(M552="","vazio",IF(OR(AND(LEN(SUBSTITUTE(SUBSTITUTE(SUBSTITUTE(SUBSTITUTE(SUBSTITUTE(SUBSTITUTE(SUBSTITUTE(TRIM(M552),".",""),"/",""),"-","")," ",""),"(",""),")",""),"+",""))=10,LEFT(SUBSTITUTE(SUBSTITUTE(SUBSTITUTE(SUBSTITUTE(SUBSTITUTE(SUBSTITUTE(SUBSTITUTE(TRIM(M552),".",""),"/",""),"-","")," ",""),"(",""),")",""),"+",""),1)&lt;&gt;"0"),AND(LEN(SUBSTITUTE(SUBSTITUTE(SUBSTITUTE(SUBSTITUTE(SUBSTITUTE(SUBSTITUTE(SUBSTITUTE(TRIM(M552),".",""),"/",""),"-","")," ",""),"(",""),")",""),"+",""))=11,LEFT(SUBSTITUTE(SUBSTITUTE(SUBSTITUTE(SUBSTITUTE(SUBSTITUTE(SUBSTITUTE(SUBSTITUTE(TRIM(M552),".",""),"/",""),"-","")," ",""),"(",""),")",""),"+",""),4)="0800")),"OK",IF(AND(LEN(SUBSTITUTE(SUBSTITUTE(SUBSTITUTE(SUBSTITUTE(SUBSTITUTE(SUBSTITUTE(SUBSTITUTE(TRIM(M552),".",""),"/",""),"-","")," ",""),"(",""),")",""),"+",""))=11,MID(SUBSTITUTE(SUBSTITUTE(SUBSTITUTE(SUBSTITUTE(SUBSTITUTE(SUBSTITUTE(SUBSTITUTE(TRIM(M552),".",""),"/",""),"-","")," ",""),"(",""),")",""),"+",""),3,1)="9"),"ERRO: é celular, use a coluna Celular","ERRO: DDD + 8 dígitos ou 0800 + 7")))</f>
      </c>
      <c r="X552" s="6">
        <f>IF(N552="","vazio",IF(AND(LEN(SUBSTITUTE(SUBSTITUTE(SUBSTITUTE(SUBSTITUTE(SUBSTITUTE(SUBSTITUTE(SUBSTITUTE(TRIM(N552),".",""),"/",""),"-","")," ",""),"(",""),")",""),"+",""))=11,MID(SUBSTITUTE(SUBSTITUTE(SUBSTITUTE(SUBSTITUTE(SUBSTITUTE(SUBSTITUTE(SUBSTITUTE(TRIM(N552),".",""),"/",""),"-","")," ",""),"(",""),")",""),"+",""),3,1)="9",LEFT(SUBSTITUTE(SUBSTITUTE(SUBSTITUTE(SUBSTITUTE(SUBSTITUTE(SUBSTITUTE(SUBSTITUTE(TRIM(N552),".",""),"/",""),"-","")," ",""),"(",""),")",""),"+",""),1)&lt;&gt;"0"),"OK",IF(LEN(SUBSTITUTE(SUBSTITUTE(SUBSTITUTE(SUBSTITUTE(SUBSTITUTE(SUBSTITUTE(SUBSTITUTE(TRIM(N552),".",""),"/",""),"-","")," ",""),"(",""),")",""),"+",""))=10,"ERRO: é fixo (ou falta o 9), use a coluna Telefone fixo","ERRO: DDD + 9 + 8 dígitos")))</f>
      </c>
      <c r="Y552" s="6">
        <f>IF(O552="","vazio",IF(AND(ISNUMBER(FIND("@",O552)),ISNUMBER(FIND(".",MID(O552,FIND("@",O552),99))),NOT(ISNUMBER(FIND(" ",TRIM(O552)))),NOT(ISNUMBER(FIND(";",O552))),NOT(ISNUMBER(FIND(",",O552)))),"OK","ERRO: um e-mail válido por linha"))</f>
      </c>
      <c r="Z552" s="6">
        <f>IF(AND(J552="",K552=""),"",IF(AND(J552&lt;&gt;"",K552&lt;&gt;""),"OK","pendente: só um nome (o GR completa ao converter)"))</f>
      </c>
      <c r="AA552" s="6">
        <f>IF(COUNTA(A552:S552)=0,"",IF(AND(A552&lt;&gt;"",B552&lt;&gt;"",C552&lt;&gt;"",D552&lt;&gt;"",E552&lt;&gt;"",F552&lt;&gt;"",G552&lt;&gt;"",H552&lt;&gt;"",OR(J552&lt;&gt;"",K552&lt;&gt;""),OR(M552&lt;&gt;"",N552&lt;&gt;"",O552&lt;&gt;"")),"OK","ERRO: faltam "&amp;IF(A552="","SDR; ","")&amp;IF(B552="","Proprietário; ","")&amp;IF(C552="","Origem; ","")&amp;IF(D552="","Temperatura; ","")&amp;IF(E552="","Segmento; ","")&amp;IF(F552="","Time/Cluster; ","")&amp;IF(G552="","CNPJ; ","")&amp;IF(H552="","Razão Social; ","")&amp;IF(AND(J552="",K552=""),"nome do contato; ","")&amp;IF(AND(M552="",N552="",O552=""),"telefone, celular ou e-mail; ","")))</f>
      </c>
      <c r="AB552" s="6">
        <f>IF(COUNTA(A552:S552)=0,"",IF(AND(U552="OK",V552="OK",LEFT(W552,4)&lt;&gt;"ERRO",LEFT(X552,4)&lt;&gt;"ERRO",LEFT(Y552,4)&lt;&gt;"ERRO",AA552="OK"),"OK","REVISAR"))</f>
      </c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5"/>
      <c r="K553" s="4"/>
      <c r="L553" s="4"/>
      <c r="M553" s="4"/>
      <c r="N553" s="4"/>
      <c r="O553" s="4"/>
      <c r="P553" s="4"/>
      <c r="Q553" s="4"/>
      <c r="R553" s="4"/>
      <c r="S553" s="4"/>
      <c r="T553" s="6">
        <f>IF(G553="","",SUBSTITUTE(SUBSTITUTE(SUBSTITUTE(SUBSTITUTE(SUBSTITUTE(SUBSTITUTE(SUBSTITUTE(TRIM(G553),".",""),"/",""),"-","")," ",""),"(",""),")",""),"+",""))</f>
      </c>
      <c r="U553" s="6">
        <f>IF(T553="","",IF(LEN(T553)&lt;&gt;14,"ERRO: "&amp;LEN(T553)&amp;" dígitos",IF(NOT(ISNUMBER(VALUE(T553))),"ERRO: não numérico",IF(LEN(SUBSTITUTE(T553,LEFT(T553,1),""))=0,"ERRO: dígitos repetidos",IF(AND(VALUE(MID(T553,13,1))=IF(MOD(SUMPRODUCT(--MID(T553,{1,2,3,4,5,6,7,8,9,10,11,12},1),{5,4,3,2,9,8,7,6,5,4,3,2}),11)&lt;2,0,11-MOD(SUMPRODUCT(--MID(T553,{1,2,3,4,5,6,7,8,9,10,11,12},1),{5,4,3,2,9,8,7,6,5,4,3,2}),11)),VALUE(MID(T553,14,1))=IF(MOD(SUMPRODUCT(--MID(T553,{1,2,3,4,5,6,7,8,9,10,11,12,13},1),{6,5,4,3,2,9,8,7,6,5,4,3,2}),11)&lt;2,0,11-MOD(SUMPRODUCT(--MID(T553,{1,2,3,4,5,6,7,8,9,10,11,12,13},1),{6,5,4,3,2,9,8,7,6,5,4,3,2}),11))),"OK","ERRO: dígito verificador")))))</f>
      </c>
      <c r="V553" s="6">
        <f>IF(T553="","",IF(COUNTIF($T$2:$T$1001,T553)&gt;1,"DUPLICADO","OK"))</f>
      </c>
      <c r="W553" s="6">
        <f>IF(M553="","vazio",IF(OR(AND(LEN(SUBSTITUTE(SUBSTITUTE(SUBSTITUTE(SUBSTITUTE(SUBSTITUTE(SUBSTITUTE(SUBSTITUTE(TRIM(M553),".",""),"/",""),"-","")," ",""),"(",""),")",""),"+",""))=10,LEFT(SUBSTITUTE(SUBSTITUTE(SUBSTITUTE(SUBSTITUTE(SUBSTITUTE(SUBSTITUTE(SUBSTITUTE(TRIM(M553),".",""),"/",""),"-","")," ",""),"(",""),")",""),"+",""),1)&lt;&gt;"0"),AND(LEN(SUBSTITUTE(SUBSTITUTE(SUBSTITUTE(SUBSTITUTE(SUBSTITUTE(SUBSTITUTE(SUBSTITUTE(TRIM(M553),".",""),"/",""),"-","")," ",""),"(",""),")",""),"+",""))=11,LEFT(SUBSTITUTE(SUBSTITUTE(SUBSTITUTE(SUBSTITUTE(SUBSTITUTE(SUBSTITUTE(SUBSTITUTE(TRIM(M553),".",""),"/",""),"-","")," ",""),"(",""),")",""),"+",""),4)="0800")),"OK",IF(AND(LEN(SUBSTITUTE(SUBSTITUTE(SUBSTITUTE(SUBSTITUTE(SUBSTITUTE(SUBSTITUTE(SUBSTITUTE(TRIM(M553),".",""),"/",""),"-","")," ",""),"(",""),")",""),"+",""))=11,MID(SUBSTITUTE(SUBSTITUTE(SUBSTITUTE(SUBSTITUTE(SUBSTITUTE(SUBSTITUTE(SUBSTITUTE(TRIM(M553),".",""),"/",""),"-","")," ",""),"(",""),")",""),"+",""),3,1)="9"),"ERRO: é celular, use a coluna Celular","ERRO: DDD + 8 dígitos ou 0800 + 7")))</f>
      </c>
      <c r="X553" s="6">
        <f>IF(N553="","vazio",IF(AND(LEN(SUBSTITUTE(SUBSTITUTE(SUBSTITUTE(SUBSTITUTE(SUBSTITUTE(SUBSTITUTE(SUBSTITUTE(TRIM(N553),".",""),"/",""),"-","")," ",""),"(",""),")",""),"+",""))=11,MID(SUBSTITUTE(SUBSTITUTE(SUBSTITUTE(SUBSTITUTE(SUBSTITUTE(SUBSTITUTE(SUBSTITUTE(TRIM(N553),".",""),"/",""),"-","")," ",""),"(",""),")",""),"+",""),3,1)="9",LEFT(SUBSTITUTE(SUBSTITUTE(SUBSTITUTE(SUBSTITUTE(SUBSTITUTE(SUBSTITUTE(SUBSTITUTE(TRIM(N553),".",""),"/",""),"-","")," ",""),"(",""),")",""),"+",""),1)&lt;&gt;"0"),"OK",IF(LEN(SUBSTITUTE(SUBSTITUTE(SUBSTITUTE(SUBSTITUTE(SUBSTITUTE(SUBSTITUTE(SUBSTITUTE(TRIM(N553),".",""),"/",""),"-","")," ",""),"(",""),")",""),"+",""))=10,"ERRO: é fixo (ou falta o 9), use a coluna Telefone fixo","ERRO: DDD + 9 + 8 dígitos")))</f>
      </c>
      <c r="Y553" s="6">
        <f>IF(O553="","vazio",IF(AND(ISNUMBER(FIND("@",O553)),ISNUMBER(FIND(".",MID(O553,FIND("@",O553),99))),NOT(ISNUMBER(FIND(" ",TRIM(O553)))),NOT(ISNUMBER(FIND(";",O553))),NOT(ISNUMBER(FIND(",",O553)))),"OK","ERRO: um e-mail válido por linha"))</f>
      </c>
      <c r="Z553" s="6">
        <f>IF(AND(J553="",K553=""),"",IF(AND(J553&lt;&gt;"",K553&lt;&gt;""),"OK","pendente: só um nome (o GR completa ao converter)"))</f>
      </c>
      <c r="AA553" s="6">
        <f>IF(COUNTA(A553:S553)=0,"",IF(AND(A553&lt;&gt;"",B553&lt;&gt;"",C553&lt;&gt;"",D553&lt;&gt;"",E553&lt;&gt;"",F553&lt;&gt;"",G553&lt;&gt;"",H553&lt;&gt;"",OR(J553&lt;&gt;"",K553&lt;&gt;""),OR(M553&lt;&gt;"",N553&lt;&gt;"",O553&lt;&gt;"")),"OK","ERRO: faltam "&amp;IF(A553="","SDR; ","")&amp;IF(B553="","Proprietário; ","")&amp;IF(C553="","Origem; ","")&amp;IF(D553="","Temperatura; ","")&amp;IF(E553="","Segmento; ","")&amp;IF(F553="","Time/Cluster; ","")&amp;IF(G553="","CNPJ; ","")&amp;IF(H553="","Razão Social; ","")&amp;IF(AND(J553="",K553=""),"nome do contato; ","")&amp;IF(AND(M553="",N553="",O553=""),"telefone, celular ou e-mail; ","")))</f>
      </c>
      <c r="AB553" s="6">
        <f>IF(COUNTA(A553:S553)=0,"",IF(AND(U553="OK",V553="OK",LEFT(W553,4)&lt;&gt;"ERRO",LEFT(X553,4)&lt;&gt;"ERRO",LEFT(Y553,4)&lt;&gt;"ERRO",AA553="OK"),"OK","REVISAR"))</f>
      </c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5"/>
      <c r="K554" s="4"/>
      <c r="L554" s="4"/>
      <c r="M554" s="4"/>
      <c r="N554" s="4"/>
      <c r="O554" s="4"/>
      <c r="P554" s="4"/>
      <c r="Q554" s="4"/>
      <c r="R554" s="4"/>
      <c r="S554" s="4"/>
      <c r="T554" s="6">
        <f>IF(G554="","",SUBSTITUTE(SUBSTITUTE(SUBSTITUTE(SUBSTITUTE(SUBSTITUTE(SUBSTITUTE(SUBSTITUTE(TRIM(G554),".",""),"/",""),"-","")," ",""),"(",""),")",""),"+",""))</f>
      </c>
      <c r="U554" s="6">
        <f>IF(T554="","",IF(LEN(T554)&lt;&gt;14,"ERRO: "&amp;LEN(T554)&amp;" dígitos",IF(NOT(ISNUMBER(VALUE(T554))),"ERRO: não numérico",IF(LEN(SUBSTITUTE(T554,LEFT(T554,1),""))=0,"ERRO: dígitos repetidos",IF(AND(VALUE(MID(T554,13,1))=IF(MOD(SUMPRODUCT(--MID(T554,{1,2,3,4,5,6,7,8,9,10,11,12},1),{5,4,3,2,9,8,7,6,5,4,3,2}),11)&lt;2,0,11-MOD(SUMPRODUCT(--MID(T554,{1,2,3,4,5,6,7,8,9,10,11,12},1),{5,4,3,2,9,8,7,6,5,4,3,2}),11)),VALUE(MID(T554,14,1))=IF(MOD(SUMPRODUCT(--MID(T554,{1,2,3,4,5,6,7,8,9,10,11,12,13},1),{6,5,4,3,2,9,8,7,6,5,4,3,2}),11)&lt;2,0,11-MOD(SUMPRODUCT(--MID(T554,{1,2,3,4,5,6,7,8,9,10,11,12,13},1),{6,5,4,3,2,9,8,7,6,5,4,3,2}),11))),"OK","ERRO: dígito verificador")))))</f>
      </c>
      <c r="V554" s="6">
        <f>IF(T554="","",IF(COUNTIF($T$2:$T$1001,T554)&gt;1,"DUPLICADO","OK"))</f>
      </c>
      <c r="W554" s="6">
        <f>IF(M554="","vazio",IF(OR(AND(LEN(SUBSTITUTE(SUBSTITUTE(SUBSTITUTE(SUBSTITUTE(SUBSTITUTE(SUBSTITUTE(SUBSTITUTE(TRIM(M554),".",""),"/",""),"-","")," ",""),"(",""),")",""),"+",""))=10,LEFT(SUBSTITUTE(SUBSTITUTE(SUBSTITUTE(SUBSTITUTE(SUBSTITUTE(SUBSTITUTE(SUBSTITUTE(TRIM(M554),".",""),"/",""),"-","")," ",""),"(",""),")",""),"+",""),1)&lt;&gt;"0"),AND(LEN(SUBSTITUTE(SUBSTITUTE(SUBSTITUTE(SUBSTITUTE(SUBSTITUTE(SUBSTITUTE(SUBSTITUTE(TRIM(M554),".",""),"/",""),"-","")," ",""),"(",""),")",""),"+",""))=11,LEFT(SUBSTITUTE(SUBSTITUTE(SUBSTITUTE(SUBSTITUTE(SUBSTITUTE(SUBSTITUTE(SUBSTITUTE(TRIM(M554),".",""),"/",""),"-","")," ",""),"(",""),")",""),"+",""),4)="0800")),"OK",IF(AND(LEN(SUBSTITUTE(SUBSTITUTE(SUBSTITUTE(SUBSTITUTE(SUBSTITUTE(SUBSTITUTE(SUBSTITUTE(TRIM(M554),".",""),"/",""),"-","")," ",""),"(",""),")",""),"+",""))=11,MID(SUBSTITUTE(SUBSTITUTE(SUBSTITUTE(SUBSTITUTE(SUBSTITUTE(SUBSTITUTE(SUBSTITUTE(TRIM(M554),".",""),"/",""),"-","")," ",""),"(",""),")",""),"+",""),3,1)="9"),"ERRO: é celular, use a coluna Celular","ERRO: DDD + 8 dígitos ou 0800 + 7")))</f>
      </c>
      <c r="X554" s="6">
        <f>IF(N554="","vazio",IF(AND(LEN(SUBSTITUTE(SUBSTITUTE(SUBSTITUTE(SUBSTITUTE(SUBSTITUTE(SUBSTITUTE(SUBSTITUTE(TRIM(N554),".",""),"/",""),"-","")," ",""),"(",""),")",""),"+",""))=11,MID(SUBSTITUTE(SUBSTITUTE(SUBSTITUTE(SUBSTITUTE(SUBSTITUTE(SUBSTITUTE(SUBSTITUTE(TRIM(N554),".",""),"/",""),"-","")," ",""),"(",""),")",""),"+",""),3,1)="9",LEFT(SUBSTITUTE(SUBSTITUTE(SUBSTITUTE(SUBSTITUTE(SUBSTITUTE(SUBSTITUTE(SUBSTITUTE(TRIM(N554),".",""),"/",""),"-","")," ",""),"(",""),")",""),"+",""),1)&lt;&gt;"0"),"OK",IF(LEN(SUBSTITUTE(SUBSTITUTE(SUBSTITUTE(SUBSTITUTE(SUBSTITUTE(SUBSTITUTE(SUBSTITUTE(TRIM(N554),".",""),"/",""),"-","")," ",""),"(",""),")",""),"+",""))=10,"ERRO: é fixo (ou falta o 9), use a coluna Telefone fixo","ERRO: DDD + 9 + 8 dígitos")))</f>
      </c>
      <c r="Y554" s="6">
        <f>IF(O554="","vazio",IF(AND(ISNUMBER(FIND("@",O554)),ISNUMBER(FIND(".",MID(O554,FIND("@",O554),99))),NOT(ISNUMBER(FIND(" ",TRIM(O554)))),NOT(ISNUMBER(FIND(";",O554))),NOT(ISNUMBER(FIND(",",O554)))),"OK","ERRO: um e-mail válido por linha"))</f>
      </c>
      <c r="Z554" s="6">
        <f>IF(AND(J554="",K554=""),"",IF(AND(J554&lt;&gt;"",K554&lt;&gt;""),"OK","pendente: só um nome (o GR completa ao converter)"))</f>
      </c>
      <c r="AA554" s="6">
        <f>IF(COUNTA(A554:S554)=0,"",IF(AND(A554&lt;&gt;"",B554&lt;&gt;"",C554&lt;&gt;"",D554&lt;&gt;"",E554&lt;&gt;"",F554&lt;&gt;"",G554&lt;&gt;"",H554&lt;&gt;"",OR(J554&lt;&gt;"",K554&lt;&gt;""),OR(M554&lt;&gt;"",N554&lt;&gt;"",O554&lt;&gt;"")),"OK","ERRO: faltam "&amp;IF(A554="","SDR; ","")&amp;IF(B554="","Proprietário; ","")&amp;IF(C554="","Origem; ","")&amp;IF(D554="","Temperatura; ","")&amp;IF(E554="","Segmento; ","")&amp;IF(F554="","Time/Cluster; ","")&amp;IF(G554="","CNPJ; ","")&amp;IF(H554="","Razão Social; ","")&amp;IF(AND(J554="",K554=""),"nome do contato; ","")&amp;IF(AND(M554="",N554="",O554=""),"telefone, celular ou e-mail; ","")))</f>
      </c>
      <c r="AB554" s="6">
        <f>IF(COUNTA(A554:S554)=0,"",IF(AND(U554="OK",V554="OK",LEFT(W554,4)&lt;&gt;"ERRO",LEFT(X554,4)&lt;&gt;"ERRO",LEFT(Y554,4)&lt;&gt;"ERRO",AA554="OK"),"OK","REVISAR"))</f>
      </c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5"/>
      <c r="K555" s="4"/>
      <c r="L555" s="4"/>
      <c r="M555" s="4"/>
      <c r="N555" s="4"/>
      <c r="O555" s="4"/>
      <c r="P555" s="4"/>
      <c r="Q555" s="4"/>
      <c r="R555" s="4"/>
      <c r="S555" s="4"/>
      <c r="T555" s="6">
        <f>IF(G555="","",SUBSTITUTE(SUBSTITUTE(SUBSTITUTE(SUBSTITUTE(SUBSTITUTE(SUBSTITUTE(SUBSTITUTE(TRIM(G555),".",""),"/",""),"-","")," ",""),"(",""),")",""),"+",""))</f>
      </c>
      <c r="U555" s="6">
        <f>IF(T555="","",IF(LEN(T555)&lt;&gt;14,"ERRO: "&amp;LEN(T555)&amp;" dígitos",IF(NOT(ISNUMBER(VALUE(T555))),"ERRO: não numérico",IF(LEN(SUBSTITUTE(T555,LEFT(T555,1),""))=0,"ERRO: dígitos repetidos",IF(AND(VALUE(MID(T555,13,1))=IF(MOD(SUMPRODUCT(--MID(T555,{1,2,3,4,5,6,7,8,9,10,11,12},1),{5,4,3,2,9,8,7,6,5,4,3,2}),11)&lt;2,0,11-MOD(SUMPRODUCT(--MID(T555,{1,2,3,4,5,6,7,8,9,10,11,12},1),{5,4,3,2,9,8,7,6,5,4,3,2}),11)),VALUE(MID(T555,14,1))=IF(MOD(SUMPRODUCT(--MID(T555,{1,2,3,4,5,6,7,8,9,10,11,12,13},1),{6,5,4,3,2,9,8,7,6,5,4,3,2}),11)&lt;2,0,11-MOD(SUMPRODUCT(--MID(T555,{1,2,3,4,5,6,7,8,9,10,11,12,13},1),{6,5,4,3,2,9,8,7,6,5,4,3,2}),11))),"OK","ERRO: dígito verificador")))))</f>
      </c>
      <c r="V555" s="6">
        <f>IF(T555="","",IF(COUNTIF($T$2:$T$1001,T555)&gt;1,"DUPLICADO","OK"))</f>
      </c>
      <c r="W555" s="6">
        <f>IF(M555="","vazio",IF(OR(AND(LEN(SUBSTITUTE(SUBSTITUTE(SUBSTITUTE(SUBSTITUTE(SUBSTITUTE(SUBSTITUTE(SUBSTITUTE(TRIM(M555),".",""),"/",""),"-","")," ",""),"(",""),")",""),"+",""))=10,LEFT(SUBSTITUTE(SUBSTITUTE(SUBSTITUTE(SUBSTITUTE(SUBSTITUTE(SUBSTITUTE(SUBSTITUTE(TRIM(M555),".",""),"/",""),"-","")," ",""),"(",""),")",""),"+",""),1)&lt;&gt;"0"),AND(LEN(SUBSTITUTE(SUBSTITUTE(SUBSTITUTE(SUBSTITUTE(SUBSTITUTE(SUBSTITUTE(SUBSTITUTE(TRIM(M555),".",""),"/",""),"-","")," ",""),"(",""),")",""),"+",""))=11,LEFT(SUBSTITUTE(SUBSTITUTE(SUBSTITUTE(SUBSTITUTE(SUBSTITUTE(SUBSTITUTE(SUBSTITUTE(TRIM(M555),".",""),"/",""),"-","")," ",""),"(",""),")",""),"+",""),4)="0800")),"OK",IF(AND(LEN(SUBSTITUTE(SUBSTITUTE(SUBSTITUTE(SUBSTITUTE(SUBSTITUTE(SUBSTITUTE(SUBSTITUTE(TRIM(M555),".",""),"/",""),"-","")," ",""),"(",""),")",""),"+",""))=11,MID(SUBSTITUTE(SUBSTITUTE(SUBSTITUTE(SUBSTITUTE(SUBSTITUTE(SUBSTITUTE(SUBSTITUTE(TRIM(M555),".",""),"/",""),"-","")," ",""),"(",""),")",""),"+",""),3,1)="9"),"ERRO: é celular, use a coluna Celular","ERRO: DDD + 8 dígitos ou 0800 + 7")))</f>
      </c>
      <c r="X555" s="6">
        <f>IF(N555="","vazio",IF(AND(LEN(SUBSTITUTE(SUBSTITUTE(SUBSTITUTE(SUBSTITUTE(SUBSTITUTE(SUBSTITUTE(SUBSTITUTE(TRIM(N555),".",""),"/",""),"-","")," ",""),"(",""),")",""),"+",""))=11,MID(SUBSTITUTE(SUBSTITUTE(SUBSTITUTE(SUBSTITUTE(SUBSTITUTE(SUBSTITUTE(SUBSTITUTE(TRIM(N555),".",""),"/",""),"-","")," ",""),"(",""),")",""),"+",""),3,1)="9",LEFT(SUBSTITUTE(SUBSTITUTE(SUBSTITUTE(SUBSTITUTE(SUBSTITUTE(SUBSTITUTE(SUBSTITUTE(TRIM(N555),".",""),"/",""),"-","")," ",""),"(",""),")",""),"+",""),1)&lt;&gt;"0"),"OK",IF(LEN(SUBSTITUTE(SUBSTITUTE(SUBSTITUTE(SUBSTITUTE(SUBSTITUTE(SUBSTITUTE(SUBSTITUTE(TRIM(N555),".",""),"/",""),"-","")," ",""),"(",""),")",""),"+",""))=10,"ERRO: é fixo (ou falta o 9), use a coluna Telefone fixo","ERRO: DDD + 9 + 8 dígitos")))</f>
      </c>
      <c r="Y555" s="6">
        <f>IF(O555="","vazio",IF(AND(ISNUMBER(FIND("@",O555)),ISNUMBER(FIND(".",MID(O555,FIND("@",O555),99))),NOT(ISNUMBER(FIND(" ",TRIM(O555)))),NOT(ISNUMBER(FIND(";",O555))),NOT(ISNUMBER(FIND(",",O555)))),"OK","ERRO: um e-mail válido por linha"))</f>
      </c>
      <c r="Z555" s="6">
        <f>IF(AND(J555="",K555=""),"",IF(AND(J555&lt;&gt;"",K555&lt;&gt;""),"OK","pendente: só um nome (o GR completa ao converter)"))</f>
      </c>
      <c r="AA555" s="6">
        <f>IF(COUNTA(A555:S555)=0,"",IF(AND(A555&lt;&gt;"",B555&lt;&gt;"",C555&lt;&gt;"",D555&lt;&gt;"",E555&lt;&gt;"",F555&lt;&gt;"",G555&lt;&gt;"",H555&lt;&gt;"",OR(J555&lt;&gt;"",K555&lt;&gt;""),OR(M555&lt;&gt;"",N555&lt;&gt;"",O555&lt;&gt;"")),"OK","ERRO: faltam "&amp;IF(A555="","SDR; ","")&amp;IF(B555="","Proprietário; ","")&amp;IF(C555="","Origem; ","")&amp;IF(D555="","Temperatura; ","")&amp;IF(E555="","Segmento; ","")&amp;IF(F555="","Time/Cluster; ","")&amp;IF(G555="","CNPJ; ","")&amp;IF(H555="","Razão Social; ","")&amp;IF(AND(J555="",K555=""),"nome do contato; ","")&amp;IF(AND(M555="",N555="",O555=""),"telefone, celular ou e-mail; ","")))</f>
      </c>
      <c r="AB555" s="6">
        <f>IF(COUNTA(A555:S555)=0,"",IF(AND(U555="OK",V555="OK",LEFT(W555,4)&lt;&gt;"ERRO",LEFT(X555,4)&lt;&gt;"ERRO",LEFT(Y555,4)&lt;&gt;"ERRO",AA555="OK"),"OK","REVISAR"))</f>
      </c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5"/>
      <c r="K556" s="4"/>
      <c r="L556" s="4"/>
      <c r="M556" s="4"/>
      <c r="N556" s="4"/>
      <c r="O556" s="4"/>
      <c r="P556" s="4"/>
      <c r="Q556" s="4"/>
      <c r="R556" s="4"/>
      <c r="S556" s="4"/>
      <c r="T556" s="6">
        <f>IF(G556="","",SUBSTITUTE(SUBSTITUTE(SUBSTITUTE(SUBSTITUTE(SUBSTITUTE(SUBSTITUTE(SUBSTITUTE(TRIM(G556),".",""),"/",""),"-","")," ",""),"(",""),")",""),"+",""))</f>
      </c>
      <c r="U556" s="6">
        <f>IF(T556="","",IF(LEN(T556)&lt;&gt;14,"ERRO: "&amp;LEN(T556)&amp;" dígitos",IF(NOT(ISNUMBER(VALUE(T556))),"ERRO: não numérico",IF(LEN(SUBSTITUTE(T556,LEFT(T556,1),""))=0,"ERRO: dígitos repetidos",IF(AND(VALUE(MID(T556,13,1))=IF(MOD(SUMPRODUCT(--MID(T556,{1,2,3,4,5,6,7,8,9,10,11,12},1),{5,4,3,2,9,8,7,6,5,4,3,2}),11)&lt;2,0,11-MOD(SUMPRODUCT(--MID(T556,{1,2,3,4,5,6,7,8,9,10,11,12},1),{5,4,3,2,9,8,7,6,5,4,3,2}),11)),VALUE(MID(T556,14,1))=IF(MOD(SUMPRODUCT(--MID(T556,{1,2,3,4,5,6,7,8,9,10,11,12,13},1),{6,5,4,3,2,9,8,7,6,5,4,3,2}),11)&lt;2,0,11-MOD(SUMPRODUCT(--MID(T556,{1,2,3,4,5,6,7,8,9,10,11,12,13},1),{6,5,4,3,2,9,8,7,6,5,4,3,2}),11))),"OK","ERRO: dígito verificador")))))</f>
      </c>
      <c r="V556" s="6">
        <f>IF(T556="","",IF(COUNTIF($T$2:$T$1001,T556)&gt;1,"DUPLICADO","OK"))</f>
      </c>
      <c r="W556" s="6">
        <f>IF(M556="","vazio",IF(OR(AND(LEN(SUBSTITUTE(SUBSTITUTE(SUBSTITUTE(SUBSTITUTE(SUBSTITUTE(SUBSTITUTE(SUBSTITUTE(TRIM(M556),".",""),"/",""),"-","")," ",""),"(",""),")",""),"+",""))=10,LEFT(SUBSTITUTE(SUBSTITUTE(SUBSTITUTE(SUBSTITUTE(SUBSTITUTE(SUBSTITUTE(SUBSTITUTE(TRIM(M556),".",""),"/",""),"-","")," ",""),"(",""),")",""),"+",""),1)&lt;&gt;"0"),AND(LEN(SUBSTITUTE(SUBSTITUTE(SUBSTITUTE(SUBSTITUTE(SUBSTITUTE(SUBSTITUTE(SUBSTITUTE(TRIM(M556),".",""),"/",""),"-","")," ",""),"(",""),")",""),"+",""))=11,LEFT(SUBSTITUTE(SUBSTITUTE(SUBSTITUTE(SUBSTITUTE(SUBSTITUTE(SUBSTITUTE(SUBSTITUTE(TRIM(M556),".",""),"/",""),"-","")," ",""),"(",""),")",""),"+",""),4)="0800")),"OK",IF(AND(LEN(SUBSTITUTE(SUBSTITUTE(SUBSTITUTE(SUBSTITUTE(SUBSTITUTE(SUBSTITUTE(SUBSTITUTE(TRIM(M556),".",""),"/",""),"-","")," ",""),"(",""),")",""),"+",""))=11,MID(SUBSTITUTE(SUBSTITUTE(SUBSTITUTE(SUBSTITUTE(SUBSTITUTE(SUBSTITUTE(SUBSTITUTE(TRIM(M556),".",""),"/",""),"-","")," ",""),"(",""),")",""),"+",""),3,1)="9"),"ERRO: é celular, use a coluna Celular","ERRO: DDD + 8 dígitos ou 0800 + 7")))</f>
      </c>
      <c r="X556" s="6">
        <f>IF(N556="","vazio",IF(AND(LEN(SUBSTITUTE(SUBSTITUTE(SUBSTITUTE(SUBSTITUTE(SUBSTITUTE(SUBSTITUTE(SUBSTITUTE(TRIM(N556),".",""),"/",""),"-","")," ",""),"(",""),")",""),"+",""))=11,MID(SUBSTITUTE(SUBSTITUTE(SUBSTITUTE(SUBSTITUTE(SUBSTITUTE(SUBSTITUTE(SUBSTITUTE(TRIM(N556),".",""),"/",""),"-","")," ",""),"(",""),")",""),"+",""),3,1)="9",LEFT(SUBSTITUTE(SUBSTITUTE(SUBSTITUTE(SUBSTITUTE(SUBSTITUTE(SUBSTITUTE(SUBSTITUTE(TRIM(N556),".",""),"/",""),"-","")," ",""),"(",""),")",""),"+",""),1)&lt;&gt;"0"),"OK",IF(LEN(SUBSTITUTE(SUBSTITUTE(SUBSTITUTE(SUBSTITUTE(SUBSTITUTE(SUBSTITUTE(SUBSTITUTE(TRIM(N556),".",""),"/",""),"-","")," ",""),"(",""),")",""),"+",""))=10,"ERRO: é fixo (ou falta o 9), use a coluna Telefone fixo","ERRO: DDD + 9 + 8 dígitos")))</f>
      </c>
      <c r="Y556" s="6">
        <f>IF(O556="","vazio",IF(AND(ISNUMBER(FIND("@",O556)),ISNUMBER(FIND(".",MID(O556,FIND("@",O556),99))),NOT(ISNUMBER(FIND(" ",TRIM(O556)))),NOT(ISNUMBER(FIND(";",O556))),NOT(ISNUMBER(FIND(",",O556)))),"OK","ERRO: um e-mail válido por linha"))</f>
      </c>
      <c r="Z556" s="6">
        <f>IF(AND(J556="",K556=""),"",IF(AND(J556&lt;&gt;"",K556&lt;&gt;""),"OK","pendente: só um nome (o GR completa ao converter)"))</f>
      </c>
      <c r="AA556" s="6">
        <f>IF(COUNTA(A556:S556)=0,"",IF(AND(A556&lt;&gt;"",B556&lt;&gt;"",C556&lt;&gt;"",D556&lt;&gt;"",E556&lt;&gt;"",F556&lt;&gt;"",G556&lt;&gt;"",H556&lt;&gt;"",OR(J556&lt;&gt;"",K556&lt;&gt;""),OR(M556&lt;&gt;"",N556&lt;&gt;"",O556&lt;&gt;"")),"OK","ERRO: faltam "&amp;IF(A556="","SDR; ","")&amp;IF(B556="","Proprietário; ","")&amp;IF(C556="","Origem; ","")&amp;IF(D556="","Temperatura; ","")&amp;IF(E556="","Segmento; ","")&amp;IF(F556="","Time/Cluster; ","")&amp;IF(G556="","CNPJ; ","")&amp;IF(H556="","Razão Social; ","")&amp;IF(AND(J556="",K556=""),"nome do contato; ","")&amp;IF(AND(M556="",N556="",O556=""),"telefone, celular ou e-mail; ","")))</f>
      </c>
      <c r="AB556" s="6">
        <f>IF(COUNTA(A556:S556)=0,"",IF(AND(U556="OK",V556="OK",LEFT(W556,4)&lt;&gt;"ERRO",LEFT(X556,4)&lt;&gt;"ERRO",LEFT(Y556,4)&lt;&gt;"ERRO",AA556="OK"),"OK","REVISAR"))</f>
      </c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5"/>
      <c r="K557" s="4"/>
      <c r="L557" s="4"/>
      <c r="M557" s="4"/>
      <c r="N557" s="4"/>
      <c r="O557" s="4"/>
      <c r="P557" s="4"/>
      <c r="Q557" s="4"/>
      <c r="R557" s="4"/>
      <c r="S557" s="4"/>
      <c r="T557" s="6">
        <f>IF(G557="","",SUBSTITUTE(SUBSTITUTE(SUBSTITUTE(SUBSTITUTE(SUBSTITUTE(SUBSTITUTE(SUBSTITUTE(TRIM(G557),".",""),"/",""),"-","")," ",""),"(",""),")",""),"+",""))</f>
      </c>
      <c r="U557" s="6">
        <f>IF(T557="","",IF(LEN(T557)&lt;&gt;14,"ERRO: "&amp;LEN(T557)&amp;" dígitos",IF(NOT(ISNUMBER(VALUE(T557))),"ERRO: não numérico",IF(LEN(SUBSTITUTE(T557,LEFT(T557,1),""))=0,"ERRO: dígitos repetidos",IF(AND(VALUE(MID(T557,13,1))=IF(MOD(SUMPRODUCT(--MID(T557,{1,2,3,4,5,6,7,8,9,10,11,12},1),{5,4,3,2,9,8,7,6,5,4,3,2}),11)&lt;2,0,11-MOD(SUMPRODUCT(--MID(T557,{1,2,3,4,5,6,7,8,9,10,11,12},1),{5,4,3,2,9,8,7,6,5,4,3,2}),11)),VALUE(MID(T557,14,1))=IF(MOD(SUMPRODUCT(--MID(T557,{1,2,3,4,5,6,7,8,9,10,11,12,13},1),{6,5,4,3,2,9,8,7,6,5,4,3,2}),11)&lt;2,0,11-MOD(SUMPRODUCT(--MID(T557,{1,2,3,4,5,6,7,8,9,10,11,12,13},1),{6,5,4,3,2,9,8,7,6,5,4,3,2}),11))),"OK","ERRO: dígito verificador")))))</f>
      </c>
      <c r="V557" s="6">
        <f>IF(T557="","",IF(COUNTIF($T$2:$T$1001,T557)&gt;1,"DUPLICADO","OK"))</f>
      </c>
      <c r="W557" s="6">
        <f>IF(M557="","vazio",IF(OR(AND(LEN(SUBSTITUTE(SUBSTITUTE(SUBSTITUTE(SUBSTITUTE(SUBSTITUTE(SUBSTITUTE(SUBSTITUTE(TRIM(M557),".",""),"/",""),"-","")," ",""),"(",""),")",""),"+",""))=10,LEFT(SUBSTITUTE(SUBSTITUTE(SUBSTITUTE(SUBSTITUTE(SUBSTITUTE(SUBSTITUTE(SUBSTITUTE(TRIM(M557),".",""),"/",""),"-","")," ",""),"(",""),")",""),"+",""),1)&lt;&gt;"0"),AND(LEN(SUBSTITUTE(SUBSTITUTE(SUBSTITUTE(SUBSTITUTE(SUBSTITUTE(SUBSTITUTE(SUBSTITUTE(TRIM(M557),".",""),"/",""),"-","")," ",""),"(",""),")",""),"+",""))=11,LEFT(SUBSTITUTE(SUBSTITUTE(SUBSTITUTE(SUBSTITUTE(SUBSTITUTE(SUBSTITUTE(SUBSTITUTE(TRIM(M557),".",""),"/",""),"-","")," ",""),"(",""),")",""),"+",""),4)="0800")),"OK",IF(AND(LEN(SUBSTITUTE(SUBSTITUTE(SUBSTITUTE(SUBSTITUTE(SUBSTITUTE(SUBSTITUTE(SUBSTITUTE(TRIM(M557),".",""),"/",""),"-","")," ",""),"(",""),")",""),"+",""))=11,MID(SUBSTITUTE(SUBSTITUTE(SUBSTITUTE(SUBSTITUTE(SUBSTITUTE(SUBSTITUTE(SUBSTITUTE(TRIM(M557),".",""),"/",""),"-","")," ",""),"(",""),")",""),"+",""),3,1)="9"),"ERRO: é celular, use a coluna Celular","ERRO: DDD + 8 dígitos ou 0800 + 7")))</f>
      </c>
      <c r="X557" s="6">
        <f>IF(N557="","vazio",IF(AND(LEN(SUBSTITUTE(SUBSTITUTE(SUBSTITUTE(SUBSTITUTE(SUBSTITUTE(SUBSTITUTE(SUBSTITUTE(TRIM(N557),".",""),"/",""),"-","")," ",""),"(",""),")",""),"+",""))=11,MID(SUBSTITUTE(SUBSTITUTE(SUBSTITUTE(SUBSTITUTE(SUBSTITUTE(SUBSTITUTE(SUBSTITUTE(TRIM(N557),".",""),"/",""),"-","")," ",""),"(",""),")",""),"+",""),3,1)="9",LEFT(SUBSTITUTE(SUBSTITUTE(SUBSTITUTE(SUBSTITUTE(SUBSTITUTE(SUBSTITUTE(SUBSTITUTE(TRIM(N557),".",""),"/",""),"-","")," ",""),"(",""),")",""),"+",""),1)&lt;&gt;"0"),"OK",IF(LEN(SUBSTITUTE(SUBSTITUTE(SUBSTITUTE(SUBSTITUTE(SUBSTITUTE(SUBSTITUTE(SUBSTITUTE(TRIM(N557),".",""),"/",""),"-","")," ",""),"(",""),")",""),"+",""))=10,"ERRO: é fixo (ou falta o 9), use a coluna Telefone fixo","ERRO: DDD + 9 + 8 dígitos")))</f>
      </c>
      <c r="Y557" s="6">
        <f>IF(O557="","vazio",IF(AND(ISNUMBER(FIND("@",O557)),ISNUMBER(FIND(".",MID(O557,FIND("@",O557),99))),NOT(ISNUMBER(FIND(" ",TRIM(O557)))),NOT(ISNUMBER(FIND(";",O557))),NOT(ISNUMBER(FIND(",",O557)))),"OK","ERRO: um e-mail válido por linha"))</f>
      </c>
      <c r="Z557" s="6">
        <f>IF(AND(J557="",K557=""),"",IF(AND(J557&lt;&gt;"",K557&lt;&gt;""),"OK","pendente: só um nome (o GR completa ao converter)"))</f>
      </c>
      <c r="AA557" s="6">
        <f>IF(COUNTA(A557:S557)=0,"",IF(AND(A557&lt;&gt;"",B557&lt;&gt;"",C557&lt;&gt;"",D557&lt;&gt;"",E557&lt;&gt;"",F557&lt;&gt;"",G557&lt;&gt;"",H557&lt;&gt;"",OR(J557&lt;&gt;"",K557&lt;&gt;""),OR(M557&lt;&gt;"",N557&lt;&gt;"",O557&lt;&gt;"")),"OK","ERRO: faltam "&amp;IF(A557="","SDR; ","")&amp;IF(B557="","Proprietário; ","")&amp;IF(C557="","Origem; ","")&amp;IF(D557="","Temperatura; ","")&amp;IF(E557="","Segmento; ","")&amp;IF(F557="","Time/Cluster; ","")&amp;IF(G557="","CNPJ; ","")&amp;IF(H557="","Razão Social; ","")&amp;IF(AND(J557="",K557=""),"nome do contato; ","")&amp;IF(AND(M557="",N557="",O557=""),"telefone, celular ou e-mail; ","")))</f>
      </c>
      <c r="AB557" s="6">
        <f>IF(COUNTA(A557:S557)=0,"",IF(AND(U557="OK",V557="OK",LEFT(W557,4)&lt;&gt;"ERRO",LEFT(X557,4)&lt;&gt;"ERRO",LEFT(Y557,4)&lt;&gt;"ERRO",AA557="OK"),"OK","REVISAR"))</f>
      </c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5"/>
      <c r="K558" s="4"/>
      <c r="L558" s="4"/>
      <c r="M558" s="4"/>
      <c r="N558" s="4"/>
      <c r="O558" s="4"/>
      <c r="P558" s="4"/>
      <c r="Q558" s="4"/>
      <c r="R558" s="4"/>
      <c r="S558" s="4"/>
      <c r="T558" s="6">
        <f>IF(G558="","",SUBSTITUTE(SUBSTITUTE(SUBSTITUTE(SUBSTITUTE(SUBSTITUTE(SUBSTITUTE(SUBSTITUTE(TRIM(G558),".",""),"/",""),"-","")," ",""),"(",""),")",""),"+",""))</f>
      </c>
      <c r="U558" s="6">
        <f>IF(T558="","",IF(LEN(T558)&lt;&gt;14,"ERRO: "&amp;LEN(T558)&amp;" dígitos",IF(NOT(ISNUMBER(VALUE(T558))),"ERRO: não numérico",IF(LEN(SUBSTITUTE(T558,LEFT(T558,1),""))=0,"ERRO: dígitos repetidos",IF(AND(VALUE(MID(T558,13,1))=IF(MOD(SUMPRODUCT(--MID(T558,{1,2,3,4,5,6,7,8,9,10,11,12},1),{5,4,3,2,9,8,7,6,5,4,3,2}),11)&lt;2,0,11-MOD(SUMPRODUCT(--MID(T558,{1,2,3,4,5,6,7,8,9,10,11,12},1),{5,4,3,2,9,8,7,6,5,4,3,2}),11)),VALUE(MID(T558,14,1))=IF(MOD(SUMPRODUCT(--MID(T558,{1,2,3,4,5,6,7,8,9,10,11,12,13},1),{6,5,4,3,2,9,8,7,6,5,4,3,2}),11)&lt;2,0,11-MOD(SUMPRODUCT(--MID(T558,{1,2,3,4,5,6,7,8,9,10,11,12,13},1),{6,5,4,3,2,9,8,7,6,5,4,3,2}),11))),"OK","ERRO: dígito verificador")))))</f>
      </c>
      <c r="V558" s="6">
        <f>IF(T558="","",IF(COUNTIF($T$2:$T$1001,T558)&gt;1,"DUPLICADO","OK"))</f>
      </c>
      <c r="W558" s="6">
        <f>IF(M558="","vazio",IF(OR(AND(LEN(SUBSTITUTE(SUBSTITUTE(SUBSTITUTE(SUBSTITUTE(SUBSTITUTE(SUBSTITUTE(SUBSTITUTE(TRIM(M558),".",""),"/",""),"-","")," ",""),"(",""),")",""),"+",""))=10,LEFT(SUBSTITUTE(SUBSTITUTE(SUBSTITUTE(SUBSTITUTE(SUBSTITUTE(SUBSTITUTE(SUBSTITUTE(TRIM(M558),".",""),"/",""),"-","")," ",""),"(",""),")",""),"+",""),1)&lt;&gt;"0"),AND(LEN(SUBSTITUTE(SUBSTITUTE(SUBSTITUTE(SUBSTITUTE(SUBSTITUTE(SUBSTITUTE(SUBSTITUTE(TRIM(M558),".",""),"/",""),"-","")," ",""),"(",""),")",""),"+",""))=11,LEFT(SUBSTITUTE(SUBSTITUTE(SUBSTITUTE(SUBSTITUTE(SUBSTITUTE(SUBSTITUTE(SUBSTITUTE(TRIM(M558),".",""),"/",""),"-","")," ",""),"(",""),")",""),"+",""),4)="0800")),"OK",IF(AND(LEN(SUBSTITUTE(SUBSTITUTE(SUBSTITUTE(SUBSTITUTE(SUBSTITUTE(SUBSTITUTE(SUBSTITUTE(TRIM(M558),".",""),"/",""),"-","")," ",""),"(",""),")",""),"+",""))=11,MID(SUBSTITUTE(SUBSTITUTE(SUBSTITUTE(SUBSTITUTE(SUBSTITUTE(SUBSTITUTE(SUBSTITUTE(TRIM(M558),".",""),"/",""),"-","")," ",""),"(",""),")",""),"+",""),3,1)="9"),"ERRO: é celular, use a coluna Celular","ERRO: DDD + 8 dígitos ou 0800 + 7")))</f>
      </c>
      <c r="X558" s="6">
        <f>IF(N558="","vazio",IF(AND(LEN(SUBSTITUTE(SUBSTITUTE(SUBSTITUTE(SUBSTITUTE(SUBSTITUTE(SUBSTITUTE(SUBSTITUTE(TRIM(N558),".",""),"/",""),"-","")," ",""),"(",""),")",""),"+",""))=11,MID(SUBSTITUTE(SUBSTITUTE(SUBSTITUTE(SUBSTITUTE(SUBSTITUTE(SUBSTITUTE(SUBSTITUTE(TRIM(N558),".",""),"/",""),"-","")," ",""),"(",""),")",""),"+",""),3,1)="9",LEFT(SUBSTITUTE(SUBSTITUTE(SUBSTITUTE(SUBSTITUTE(SUBSTITUTE(SUBSTITUTE(SUBSTITUTE(TRIM(N558),".",""),"/",""),"-","")," ",""),"(",""),")",""),"+",""),1)&lt;&gt;"0"),"OK",IF(LEN(SUBSTITUTE(SUBSTITUTE(SUBSTITUTE(SUBSTITUTE(SUBSTITUTE(SUBSTITUTE(SUBSTITUTE(TRIM(N558),".",""),"/",""),"-","")," ",""),"(",""),")",""),"+",""))=10,"ERRO: é fixo (ou falta o 9), use a coluna Telefone fixo","ERRO: DDD + 9 + 8 dígitos")))</f>
      </c>
      <c r="Y558" s="6">
        <f>IF(O558="","vazio",IF(AND(ISNUMBER(FIND("@",O558)),ISNUMBER(FIND(".",MID(O558,FIND("@",O558),99))),NOT(ISNUMBER(FIND(" ",TRIM(O558)))),NOT(ISNUMBER(FIND(";",O558))),NOT(ISNUMBER(FIND(",",O558)))),"OK","ERRO: um e-mail válido por linha"))</f>
      </c>
      <c r="Z558" s="6">
        <f>IF(AND(J558="",K558=""),"",IF(AND(J558&lt;&gt;"",K558&lt;&gt;""),"OK","pendente: só um nome (o GR completa ao converter)"))</f>
      </c>
      <c r="AA558" s="6">
        <f>IF(COUNTA(A558:S558)=0,"",IF(AND(A558&lt;&gt;"",B558&lt;&gt;"",C558&lt;&gt;"",D558&lt;&gt;"",E558&lt;&gt;"",F558&lt;&gt;"",G558&lt;&gt;"",H558&lt;&gt;"",OR(J558&lt;&gt;"",K558&lt;&gt;""),OR(M558&lt;&gt;"",N558&lt;&gt;"",O558&lt;&gt;"")),"OK","ERRO: faltam "&amp;IF(A558="","SDR; ","")&amp;IF(B558="","Proprietário; ","")&amp;IF(C558="","Origem; ","")&amp;IF(D558="","Temperatura; ","")&amp;IF(E558="","Segmento; ","")&amp;IF(F558="","Time/Cluster; ","")&amp;IF(G558="","CNPJ; ","")&amp;IF(H558="","Razão Social; ","")&amp;IF(AND(J558="",K558=""),"nome do contato; ","")&amp;IF(AND(M558="",N558="",O558=""),"telefone, celular ou e-mail; ","")))</f>
      </c>
      <c r="AB558" s="6">
        <f>IF(COUNTA(A558:S558)=0,"",IF(AND(U558="OK",V558="OK",LEFT(W558,4)&lt;&gt;"ERRO",LEFT(X558,4)&lt;&gt;"ERRO",LEFT(Y558,4)&lt;&gt;"ERRO",AA558="OK"),"OK","REVISAR"))</f>
      </c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5"/>
      <c r="K559" s="4"/>
      <c r="L559" s="4"/>
      <c r="M559" s="4"/>
      <c r="N559" s="4"/>
      <c r="O559" s="4"/>
      <c r="P559" s="4"/>
      <c r="Q559" s="4"/>
      <c r="R559" s="4"/>
      <c r="S559" s="4"/>
      <c r="T559" s="6">
        <f>IF(G559="","",SUBSTITUTE(SUBSTITUTE(SUBSTITUTE(SUBSTITUTE(SUBSTITUTE(SUBSTITUTE(SUBSTITUTE(TRIM(G559),".",""),"/",""),"-","")," ",""),"(",""),")",""),"+",""))</f>
      </c>
      <c r="U559" s="6">
        <f>IF(T559="","",IF(LEN(T559)&lt;&gt;14,"ERRO: "&amp;LEN(T559)&amp;" dígitos",IF(NOT(ISNUMBER(VALUE(T559))),"ERRO: não numérico",IF(LEN(SUBSTITUTE(T559,LEFT(T559,1),""))=0,"ERRO: dígitos repetidos",IF(AND(VALUE(MID(T559,13,1))=IF(MOD(SUMPRODUCT(--MID(T559,{1,2,3,4,5,6,7,8,9,10,11,12},1),{5,4,3,2,9,8,7,6,5,4,3,2}),11)&lt;2,0,11-MOD(SUMPRODUCT(--MID(T559,{1,2,3,4,5,6,7,8,9,10,11,12},1),{5,4,3,2,9,8,7,6,5,4,3,2}),11)),VALUE(MID(T559,14,1))=IF(MOD(SUMPRODUCT(--MID(T559,{1,2,3,4,5,6,7,8,9,10,11,12,13},1),{6,5,4,3,2,9,8,7,6,5,4,3,2}),11)&lt;2,0,11-MOD(SUMPRODUCT(--MID(T559,{1,2,3,4,5,6,7,8,9,10,11,12,13},1),{6,5,4,3,2,9,8,7,6,5,4,3,2}),11))),"OK","ERRO: dígito verificador")))))</f>
      </c>
      <c r="V559" s="6">
        <f>IF(T559="","",IF(COUNTIF($T$2:$T$1001,T559)&gt;1,"DUPLICADO","OK"))</f>
      </c>
      <c r="W559" s="6">
        <f>IF(M559="","vazio",IF(OR(AND(LEN(SUBSTITUTE(SUBSTITUTE(SUBSTITUTE(SUBSTITUTE(SUBSTITUTE(SUBSTITUTE(SUBSTITUTE(TRIM(M559),".",""),"/",""),"-","")," ",""),"(",""),")",""),"+",""))=10,LEFT(SUBSTITUTE(SUBSTITUTE(SUBSTITUTE(SUBSTITUTE(SUBSTITUTE(SUBSTITUTE(SUBSTITUTE(TRIM(M559),".",""),"/",""),"-","")," ",""),"(",""),")",""),"+",""),1)&lt;&gt;"0"),AND(LEN(SUBSTITUTE(SUBSTITUTE(SUBSTITUTE(SUBSTITUTE(SUBSTITUTE(SUBSTITUTE(SUBSTITUTE(TRIM(M559),".",""),"/",""),"-","")," ",""),"(",""),")",""),"+",""))=11,LEFT(SUBSTITUTE(SUBSTITUTE(SUBSTITUTE(SUBSTITUTE(SUBSTITUTE(SUBSTITUTE(SUBSTITUTE(TRIM(M559),".",""),"/",""),"-","")," ",""),"(",""),")",""),"+",""),4)="0800")),"OK",IF(AND(LEN(SUBSTITUTE(SUBSTITUTE(SUBSTITUTE(SUBSTITUTE(SUBSTITUTE(SUBSTITUTE(SUBSTITUTE(TRIM(M559),".",""),"/",""),"-","")," ",""),"(",""),")",""),"+",""))=11,MID(SUBSTITUTE(SUBSTITUTE(SUBSTITUTE(SUBSTITUTE(SUBSTITUTE(SUBSTITUTE(SUBSTITUTE(TRIM(M559),".",""),"/",""),"-","")," ",""),"(",""),")",""),"+",""),3,1)="9"),"ERRO: é celular, use a coluna Celular","ERRO: DDD + 8 dígitos ou 0800 + 7")))</f>
      </c>
      <c r="X559" s="6">
        <f>IF(N559="","vazio",IF(AND(LEN(SUBSTITUTE(SUBSTITUTE(SUBSTITUTE(SUBSTITUTE(SUBSTITUTE(SUBSTITUTE(SUBSTITUTE(TRIM(N559),".",""),"/",""),"-","")," ",""),"(",""),")",""),"+",""))=11,MID(SUBSTITUTE(SUBSTITUTE(SUBSTITUTE(SUBSTITUTE(SUBSTITUTE(SUBSTITUTE(SUBSTITUTE(TRIM(N559),".",""),"/",""),"-","")," ",""),"(",""),")",""),"+",""),3,1)="9",LEFT(SUBSTITUTE(SUBSTITUTE(SUBSTITUTE(SUBSTITUTE(SUBSTITUTE(SUBSTITUTE(SUBSTITUTE(TRIM(N559),".",""),"/",""),"-","")," ",""),"(",""),")",""),"+",""),1)&lt;&gt;"0"),"OK",IF(LEN(SUBSTITUTE(SUBSTITUTE(SUBSTITUTE(SUBSTITUTE(SUBSTITUTE(SUBSTITUTE(SUBSTITUTE(TRIM(N559),".",""),"/",""),"-","")," ",""),"(",""),")",""),"+",""))=10,"ERRO: é fixo (ou falta o 9), use a coluna Telefone fixo","ERRO: DDD + 9 + 8 dígitos")))</f>
      </c>
      <c r="Y559" s="6">
        <f>IF(O559="","vazio",IF(AND(ISNUMBER(FIND("@",O559)),ISNUMBER(FIND(".",MID(O559,FIND("@",O559),99))),NOT(ISNUMBER(FIND(" ",TRIM(O559)))),NOT(ISNUMBER(FIND(";",O559))),NOT(ISNUMBER(FIND(",",O559)))),"OK","ERRO: um e-mail válido por linha"))</f>
      </c>
      <c r="Z559" s="6">
        <f>IF(AND(J559="",K559=""),"",IF(AND(J559&lt;&gt;"",K559&lt;&gt;""),"OK","pendente: só um nome (o GR completa ao converter)"))</f>
      </c>
      <c r="AA559" s="6">
        <f>IF(COUNTA(A559:S559)=0,"",IF(AND(A559&lt;&gt;"",B559&lt;&gt;"",C559&lt;&gt;"",D559&lt;&gt;"",E559&lt;&gt;"",F559&lt;&gt;"",G559&lt;&gt;"",H559&lt;&gt;"",OR(J559&lt;&gt;"",K559&lt;&gt;""),OR(M559&lt;&gt;"",N559&lt;&gt;"",O559&lt;&gt;"")),"OK","ERRO: faltam "&amp;IF(A559="","SDR; ","")&amp;IF(B559="","Proprietário; ","")&amp;IF(C559="","Origem; ","")&amp;IF(D559="","Temperatura; ","")&amp;IF(E559="","Segmento; ","")&amp;IF(F559="","Time/Cluster; ","")&amp;IF(G559="","CNPJ; ","")&amp;IF(H559="","Razão Social; ","")&amp;IF(AND(J559="",K559=""),"nome do contato; ","")&amp;IF(AND(M559="",N559="",O559=""),"telefone, celular ou e-mail; ","")))</f>
      </c>
      <c r="AB559" s="6">
        <f>IF(COUNTA(A559:S559)=0,"",IF(AND(U559="OK",V559="OK",LEFT(W559,4)&lt;&gt;"ERRO",LEFT(X559,4)&lt;&gt;"ERRO",LEFT(Y559,4)&lt;&gt;"ERRO",AA559="OK"),"OK","REVISAR"))</f>
      </c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5"/>
      <c r="K560" s="4"/>
      <c r="L560" s="4"/>
      <c r="M560" s="4"/>
      <c r="N560" s="4"/>
      <c r="O560" s="4"/>
      <c r="P560" s="4"/>
      <c r="Q560" s="4"/>
      <c r="R560" s="4"/>
      <c r="S560" s="4"/>
      <c r="T560" s="6">
        <f>IF(G560="","",SUBSTITUTE(SUBSTITUTE(SUBSTITUTE(SUBSTITUTE(SUBSTITUTE(SUBSTITUTE(SUBSTITUTE(TRIM(G560),".",""),"/",""),"-","")," ",""),"(",""),")",""),"+",""))</f>
      </c>
      <c r="U560" s="6">
        <f>IF(T560="","",IF(LEN(T560)&lt;&gt;14,"ERRO: "&amp;LEN(T560)&amp;" dígitos",IF(NOT(ISNUMBER(VALUE(T560))),"ERRO: não numérico",IF(LEN(SUBSTITUTE(T560,LEFT(T560,1),""))=0,"ERRO: dígitos repetidos",IF(AND(VALUE(MID(T560,13,1))=IF(MOD(SUMPRODUCT(--MID(T560,{1,2,3,4,5,6,7,8,9,10,11,12},1),{5,4,3,2,9,8,7,6,5,4,3,2}),11)&lt;2,0,11-MOD(SUMPRODUCT(--MID(T560,{1,2,3,4,5,6,7,8,9,10,11,12},1),{5,4,3,2,9,8,7,6,5,4,3,2}),11)),VALUE(MID(T560,14,1))=IF(MOD(SUMPRODUCT(--MID(T560,{1,2,3,4,5,6,7,8,9,10,11,12,13},1),{6,5,4,3,2,9,8,7,6,5,4,3,2}),11)&lt;2,0,11-MOD(SUMPRODUCT(--MID(T560,{1,2,3,4,5,6,7,8,9,10,11,12,13},1),{6,5,4,3,2,9,8,7,6,5,4,3,2}),11))),"OK","ERRO: dígito verificador")))))</f>
      </c>
      <c r="V560" s="6">
        <f>IF(T560="","",IF(COUNTIF($T$2:$T$1001,T560)&gt;1,"DUPLICADO","OK"))</f>
      </c>
      <c r="W560" s="6">
        <f>IF(M560="","vazio",IF(OR(AND(LEN(SUBSTITUTE(SUBSTITUTE(SUBSTITUTE(SUBSTITUTE(SUBSTITUTE(SUBSTITUTE(SUBSTITUTE(TRIM(M560),".",""),"/",""),"-","")," ",""),"(",""),")",""),"+",""))=10,LEFT(SUBSTITUTE(SUBSTITUTE(SUBSTITUTE(SUBSTITUTE(SUBSTITUTE(SUBSTITUTE(SUBSTITUTE(TRIM(M560),".",""),"/",""),"-","")," ",""),"(",""),")",""),"+",""),1)&lt;&gt;"0"),AND(LEN(SUBSTITUTE(SUBSTITUTE(SUBSTITUTE(SUBSTITUTE(SUBSTITUTE(SUBSTITUTE(SUBSTITUTE(TRIM(M560),".",""),"/",""),"-","")," ",""),"(",""),")",""),"+",""))=11,LEFT(SUBSTITUTE(SUBSTITUTE(SUBSTITUTE(SUBSTITUTE(SUBSTITUTE(SUBSTITUTE(SUBSTITUTE(TRIM(M560),".",""),"/",""),"-","")," ",""),"(",""),")",""),"+",""),4)="0800")),"OK",IF(AND(LEN(SUBSTITUTE(SUBSTITUTE(SUBSTITUTE(SUBSTITUTE(SUBSTITUTE(SUBSTITUTE(SUBSTITUTE(TRIM(M560),".",""),"/",""),"-","")," ",""),"(",""),")",""),"+",""))=11,MID(SUBSTITUTE(SUBSTITUTE(SUBSTITUTE(SUBSTITUTE(SUBSTITUTE(SUBSTITUTE(SUBSTITUTE(TRIM(M560),".",""),"/",""),"-","")," ",""),"(",""),")",""),"+",""),3,1)="9"),"ERRO: é celular, use a coluna Celular","ERRO: DDD + 8 dígitos ou 0800 + 7")))</f>
      </c>
      <c r="X560" s="6">
        <f>IF(N560="","vazio",IF(AND(LEN(SUBSTITUTE(SUBSTITUTE(SUBSTITUTE(SUBSTITUTE(SUBSTITUTE(SUBSTITUTE(SUBSTITUTE(TRIM(N560),".",""),"/",""),"-","")," ",""),"(",""),")",""),"+",""))=11,MID(SUBSTITUTE(SUBSTITUTE(SUBSTITUTE(SUBSTITUTE(SUBSTITUTE(SUBSTITUTE(SUBSTITUTE(TRIM(N560),".",""),"/",""),"-","")," ",""),"(",""),")",""),"+",""),3,1)="9",LEFT(SUBSTITUTE(SUBSTITUTE(SUBSTITUTE(SUBSTITUTE(SUBSTITUTE(SUBSTITUTE(SUBSTITUTE(TRIM(N560),".",""),"/",""),"-","")," ",""),"(",""),")",""),"+",""),1)&lt;&gt;"0"),"OK",IF(LEN(SUBSTITUTE(SUBSTITUTE(SUBSTITUTE(SUBSTITUTE(SUBSTITUTE(SUBSTITUTE(SUBSTITUTE(TRIM(N560),".",""),"/",""),"-","")," ",""),"(",""),")",""),"+",""))=10,"ERRO: é fixo (ou falta o 9), use a coluna Telefone fixo","ERRO: DDD + 9 + 8 dígitos")))</f>
      </c>
      <c r="Y560" s="6">
        <f>IF(O560="","vazio",IF(AND(ISNUMBER(FIND("@",O560)),ISNUMBER(FIND(".",MID(O560,FIND("@",O560),99))),NOT(ISNUMBER(FIND(" ",TRIM(O560)))),NOT(ISNUMBER(FIND(";",O560))),NOT(ISNUMBER(FIND(",",O560)))),"OK","ERRO: um e-mail válido por linha"))</f>
      </c>
      <c r="Z560" s="6">
        <f>IF(AND(J560="",K560=""),"",IF(AND(J560&lt;&gt;"",K560&lt;&gt;""),"OK","pendente: só um nome (o GR completa ao converter)"))</f>
      </c>
      <c r="AA560" s="6">
        <f>IF(COUNTA(A560:S560)=0,"",IF(AND(A560&lt;&gt;"",B560&lt;&gt;"",C560&lt;&gt;"",D560&lt;&gt;"",E560&lt;&gt;"",F560&lt;&gt;"",G560&lt;&gt;"",H560&lt;&gt;"",OR(J560&lt;&gt;"",K560&lt;&gt;""),OR(M560&lt;&gt;"",N560&lt;&gt;"",O560&lt;&gt;"")),"OK","ERRO: faltam "&amp;IF(A560="","SDR; ","")&amp;IF(B560="","Proprietário; ","")&amp;IF(C560="","Origem; ","")&amp;IF(D560="","Temperatura; ","")&amp;IF(E560="","Segmento; ","")&amp;IF(F560="","Time/Cluster; ","")&amp;IF(G560="","CNPJ; ","")&amp;IF(H560="","Razão Social; ","")&amp;IF(AND(J560="",K560=""),"nome do contato; ","")&amp;IF(AND(M560="",N560="",O560=""),"telefone, celular ou e-mail; ","")))</f>
      </c>
      <c r="AB560" s="6">
        <f>IF(COUNTA(A560:S560)=0,"",IF(AND(U560="OK",V560="OK",LEFT(W560,4)&lt;&gt;"ERRO",LEFT(X560,4)&lt;&gt;"ERRO",LEFT(Y560,4)&lt;&gt;"ERRO",AA560="OK"),"OK","REVISAR"))</f>
      </c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5"/>
      <c r="K561" s="4"/>
      <c r="L561" s="4"/>
      <c r="M561" s="4"/>
      <c r="N561" s="4"/>
      <c r="O561" s="4"/>
      <c r="P561" s="4"/>
      <c r="Q561" s="4"/>
      <c r="R561" s="4"/>
      <c r="S561" s="4"/>
      <c r="T561" s="6">
        <f>IF(G561="","",SUBSTITUTE(SUBSTITUTE(SUBSTITUTE(SUBSTITUTE(SUBSTITUTE(SUBSTITUTE(SUBSTITUTE(TRIM(G561),".",""),"/",""),"-","")," ",""),"(",""),")",""),"+",""))</f>
      </c>
      <c r="U561" s="6">
        <f>IF(T561="","",IF(LEN(T561)&lt;&gt;14,"ERRO: "&amp;LEN(T561)&amp;" dígitos",IF(NOT(ISNUMBER(VALUE(T561))),"ERRO: não numérico",IF(LEN(SUBSTITUTE(T561,LEFT(T561,1),""))=0,"ERRO: dígitos repetidos",IF(AND(VALUE(MID(T561,13,1))=IF(MOD(SUMPRODUCT(--MID(T561,{1,2,3,4,5,6,7,8,9,10,11,12},1),{5,4,3,2,9,8,7,6,5,4,3,2}),11)&lt;2,0,11-MOD(SUMPRODUCT(--MID(T561,{1,2,3,4,5,6,7,8,9,10,11,12},1),{5,4,3,2,9,8,7,6,5,4,3,2}),11)),VALUE(MID(T561,14,1))=IF(MOD(SUMPRODUCT(--MID(T561,{1,2,3,4,5,6,7,8,9,10,11,12,13},1),{6,5,4,3,2,9,8,7,6,5,4,3,2}),11)&lt;2,0,11-MOD(SUMPRODUCT(--MID(T561,{1,2,3,4,5,6,7,8,9,10,11,12,13},1),{6,5,4,3,2,9,8,7,6,5,4,3,2}),11))),"OK","ERRO: dígito verificador")))))</f>
      </c>
      <c r="V561" s="6">
        <f>IF(T561="","",IF(COUNTIF($T$2:$T$1001,T561)&gt;1,"DUPLICADO","OK"))</f>
      </c>
      <c r="W561" s="6">
        <f>IF(M561="","vazio",IF(OR(AND(LEN(SUBSTITUTE(SUBSTITUTE(SUBSTITUTE(SUBSTITUTE(SUBSTITUTE(SUBSTITUTE(SUBSTITUTE(TRIM(M561),".",""),"/",""),"-","")," ",""),"(",""),")",""),"+",""))=10,LEFT(SUBSTITUTE(SUBSTITUTE(SUBSTITUTE(SUBSTITUTE(SUBSTITUTE(SUBSTITUTE(SUBSTITUTE(TRIM(M561),".",""),"/",""),"-","")," ",""),"(",""),")",""),"+",""),1)&lt;&gt;"0"),AND(LEN(SUBSTITUTE(SUBSTITUTE(SUBSTITUTE(SUBSTITUTE(SUBSTITUTE(SUBSTITUTE(SUBSTITUTE(TRIM(M561),".",""),"/",""),"-","")," ",""),"(",""),")",""),"+",""))=11,LEFT(SUBSTITUTE(SUBSTITUTE(SUBSTITUTE(SUBSTITUTE(SUBSTITUTE(SUBSTITUTE(SUBSTITUTE(TRIM(M561),".",""),"/",""),"-","")," ",""),"(",""),")",""),"+",""),4)="0800")),"OK",IF(AND(LEN(SUBSTITUTE(SUBSTITUTE(SUBSTITUTE(SUBSTITUTE(SUBSTITUTE(SUBSTITUTE(SUBSTITUTE(TRIM(M561),".",""),"/",""),"-","")," ",""),"(",""),")",""),"+",""))=11,MID(SUBSTITUTE(SUBSTITUTE(SUBSTITUTE(SUBSTITUTE(SUBSTITUTE(SUBSTITUTE(SUBSTITUTE(TRIM(M561),".",""),"/",""),"-","")," ",""),"(",""),")",""),"+",""),3,1)="9"),"ERRO: é celular, use a coluna Celular","ERRO: DDD + 8 dígitos ou 0800 + 7")))</f>
      </c>
      <c r="X561" s="6">
        <f>IF(N561="","vazio",IF(AND(LEN(SUBSTITUTE(SUBSTITUTE(SUBSTITUTE(SUBSTITUTE(SUBSTITUTE(SUBSTITUTE(SUBSTITUTE(TRIM(N561),".",""),"/",""),"-","")," ",""),"(",""),")",""),"+",""))=11,MID(SUBSTITUTE(SUBSTITUTE(SUBSTITUTE(SUBSTITUTE(SUBSTITUTE(SUBSTITUTE(SUBSTITUTE(TRIM(N561),".",""),"/",""),"-","")," ",""),"(",""),")",""),"+",""),3,1)="9",LEFT(SUBSTITUTE(SUBSTITUTE(SUBSTITUTE(SUBSTITUTE(SUBSTITUTE(SUBSTITUTE(SUBSTITUTE(TRIM(N561),".",""),"/",""),"-","")," ",""),"(",""),")",""),"+",""),1)&lt;&gt;"0"),"OK",IF(LEN(SUBSTITUTE(SUBSTITUTE(SUBSTITUTE(SUBSTITUTE(SUBSTITUTE(SUBSTITUTE(SUBSTITUTE(TRIM(N561),".",""),"/",""),"-","")," ",""),"(",""),")",""),"+",""))=10,"ERRO: é fixo (ou falta o 9), use a coluna Telefone fixo","ERRO: DDD + 9 + 8 dígitos")))</f>
      </c>
      <c r="Y561" s="6">
        <f>IF(O561="","vazio",IF(AND(ISNUMBER(FIND("@",O561)),ISNUMBER(FIND(".",MID(O561,FIND("@",O561),99))),NOT(ISNUMBER(FIND(" ",TRIM(O561)))),NOT(ISNUMBER(FIND(";",O561))),NOT(ISNUMBER(FIND(",",O561)))),"OK","ERRO: um e-mail válido por linha"))</f>
      </c>
      <c r="Z561" s="6">
        <f>IF(AND(J561="",K561=""),"",IF(AND(J561&lt;&gt;"",K561&lt;&gt;""),"OK","pendente: só um nome (o GR completa ao converter)"))</f>
      </c>
      <c r="AA561" s="6">
        <f>IF(COUNTA(A561:S561)=0,"",IF(AND(A561&lt;&gt;"",B561&lt;&gt;"",C561&lt;&gt;"",D561&lt;&gt;"",E561&lt;&gt;"",F561&lt;&gt;"",G561&lt;&gt;"",H561&lt;&gt;"",OR(J561&lt;&gt;"",K561&lt;&gt;""),OR(M561&lt;&gt;"",N561&lt;&gt;"",O561&lt;&gt;"")),"OK","ERRO: faltam "&amp;IF(A561="","SDR; ","")&amp;IF(B561="","Proprietário; ","")&amp;IF(C561="","Origem; ","")&amp;IF(D561="","Temperatura; ","")&amp;IF(E561="","Segmento; ","")&amp;IF(F561="","Time/Cluster; ","")&amp;IF(G561="","CNPJ; ","")&amp;IF(H561="","Razão Social; ","")&amp;IF(AND(J561="",K561=""),"nome do contato; ","")&amp;IF(AND(M561="",N561="",O561=""),"telefone, celular ou e-mail; ","")))</f>
      </c>
      <c r="AB561" s="6">
        <f>IF(COUNTA(A561:S561)=0,"",IF(AND(U561="OK",V561="OK",LEFT(W561,4)&lt;&gt;"ERRO",LEFT(X561,4)&lt;&gt;"ERRO",LEFT(Y561,4)&lt;&gt;"ERRO",AA561="OK"),"OK","REVISAR"))</f>
      </c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5"/>
      <c r="K562" s="4"/>
      <c r="L562" s="4"/>
      <c r="M562" s="4"/>
      <c r="N562" s="4"/>
      <c r="O562" s="4"/>
      <c r="P562" s="4"/>
      <c r="Q562" s="4"/>
      <c r="R562" s="4"/>
      <c r="S562" s="4"/>
      <c r="T562" s="6">
        <f>IF(G562="","",SUBSTITUTE(SUBSTITUTE(SUBSTITUTE(SUBSTITUTE(SUBSTITUTE(SUBSTITUTE(SUBSTITUTE(TRIM(G562),".",""),"/",""),"-","")," ",""),"(",""),")",""),"+",""))</f>
      </c>
      <c r="U562" s="6">
        <f>IF(T562="","",IF(LEN(T562)&lt;&gt;14,"ERRO: "&amp;LEN(T562)&amp;" dígitos",IF(NOT(ISNUMBER(VALUE(T562))),"ERRO: não numérico",IF(LEN(SUBSTITUTE(T562,LEFT(T562,1),""))=0,"ERRO: dígitos repetidos",IF(AND(VALUE(MID(T562,13,1))=IF(MOD(SUMPRODUCT(--MID(T562,{1,2,3,4,5,6,7,8,9,10,11,12},1),{5,4,3,2,9,8,7,6,5,4,3,2}),11)&lt;2,0,11-MOD(SUMPRODUCT(--MID(T562,{1,2,3,4,5,6,7,8,9,10,11,12},1),{5,4,3,2,9,8,7,6,5,4,3,2}),11)),VALUE(MID(T562,14,1))=IF(MOD(SUMPRODUCT(--MID(T562,{1,2,3,4,5,6,7,8,9,10,11,12,13},1),{6,5,4,3,2,9,8,7,6,5,4,3,2}),11)&lt;2,0,11-MOD(SUMPRODUCT(--MID(T562,{1,2,3,4,5,6,7,8,9,10,11,12,13},1),{6,5,4,3,2,9,8,7,6,5,4,3,2}),11))),"OK","ERRO: dígito verificador")))))</f>
      </c>
      <c r="V562" s="6">
        <f>IF(T562="","",IF(COUNTIF($T$2:$T$1001,T562)&gt;1,"DUPLICADO","OK"))</f>
      </c>
      <c r="W562" s="6">
        <f>IF(M562="","vazio",IF(OR(AND(LEN(SUBSTITUTE(SUBSTITUTE(SUBSTITUTE(SUBSTITUTE(SUBSTITUTE(SUBSTITUTE(SUBSTITUTE(TRIM(M562),".",""),"/",""),"-","")," ",""),"(",""),")",""),"+",""))=10,LEFT(SUBSTITUTE(SUBSTITUTE(SUBSTITUTE(SUBSTITUTE(SUBSTITUTE(SUBSTITUTE(SUBSTITUTE(TRIM(M562),".",""),"/",""),"-","")," ",""),"(",""),")",""),"+",""),1)&lt;&gt;"0"),AND(LEN(SUBSTITUTE(SUBSTITUTE(SUBSTITUTE(SUBSTITUTE(SUBSTITUTE(SUBSTITUTE(SUBSTITUTE(TRIM(M562),".",""),"/",""),"-","")," ",""),"(",""),")",""),"+",""))=11,LEFT(SUBSTITUTE(SUBSTITUTE(SUBSTITUTE(SUBSTITUTE(SUBSTITUTE(SUBSTITUTE(SUBSTITUTE(TRIM(M562),".",""),"/",""),"-","")," ",""),"(",""),")",""),"+",""),4)="0800")),"OK",IF(AND(LEN(SUBSTITUTE(SUBSTITUTE(SUBSTITUTE(SUBSTITUTE(SUBSTITUTE(SUBSTITUTE(SUBSTITUTE(TRIM(M562),".",""),"/",""),"-","")," ",""),"(",""),")",""),"+",""))=11,MID(SUBSTITUTE(SUBSTITUTE(SUBSTITUTE(SUBSTITUTE(SUBSTITUTE(SUBSTITUTE(SUBSTITUTE(TRIM(M562),".",""),"/",""),"-","")," ",""),"(",""),")",""),"+",""),3,1)="9"),"ERRO: é celular, use a coluna Celular","ERRO: DDD + 8 dígitos ou 0800 + 7")))</f>
      </c>
      <c r="X562" s="6">
        <f>IF(N562="","vazio",IF(AND(LEN(SUBSTITUTE(SUBSTITUTE(SUBSTITUTE(SUBSTITUTE(SUBSTITUTE(SUBSTITUTE(SUBSTITUTE(TRIM(N562),".",""),"/",""),"-","")," ",""),"(",""),")",""),"+",""))=11,MID(SUBSTITUTE(SUBSTITUTE(SUBSTITUTE(SUBSTITUTE(SUBSTITUTE(SUBSTITUTE(SUBSTITUTE(TRIM(N562),".",""),"/",""),"-","")," ",""),"(",""),")",""),"+",""),3,1)="9",LEFT(SUBSTITUTE(SUBSTITUTE(SUBSTITUTE(SUBSTITUTE(SUBSTITUTE(SUBSTITUTE(SUBSTITUTE(TRIM(N562),".",""),"/",""),"-","")," ",""),"(",""),")",""),"+",""),1)&lt;&gt;"0"),"OK",IF(LEN(SUBSTITUTE(SUBSTITUTE(SUBSTITUTE(SUBSTITUTE(SUBSTITUTE(SUBSTITUTE(SUBSTITUTE(TRIM(N562),".",""),"/",""),"-","")," ",""),"(",""),")",""),"+",""))=10,"ERRO: é fixo (ou falta o 9), use a coluna Telefone fixo","ERRO: DDD + 9 + 8 dígitos")))</f>
      </c>
      <c r="Y562" s="6">
        <f>IF(O562="","vazio",IF(AND(ISNUMBER(FIND("@",O562)),ISNUMBER(FIND(".",MID(O562,FIND("@",O562),99))),NOT(ISNUMBER(FIND(" ",TRIM(O562)))),NOT(ISNUMBER(FIND(";",O562))),NOT(ISNUMBER(FIND(",",O562)))),"OK","ERRO: um e-mail válido por linha"))</f>
      </c>
      <c r="Z562" s="6">
        <f>IF(AND(J562="",K562=""),"",IF(AND(J562&lt;&gt;"",K562&lt;&gt;""),"OK","pendente: só um nome (o GR completa ao converter)"))</f>
      </c>
      <c r="AA562" s="6">
        <f>IF(COUNTA(A562:S562)=0,"",IF(AND(A562&lt;&gt;"",B562&lt;&gt;"",C562&lt;&gt;"",D562&lt;&gt;"",E562&lt;&gt;"",F562&lt;&gt;"",G562&lt;&gt;"",H562&lt;&gt;"",OR(J562&lt;&gt;"",K562&lt;&gt;""),OR(M562&lt;&gt;"",N562&lt;&gt;"",O562&lt;&gt;"")),"OK","ERRO: faltam "&amp;IF(A562="","SDR; ","")&amp;IF(B562="","Proprietário; ","")&amp;IF(C562="","Origem; ","")&amp;IF(D562="","Temperatura; ","")&amp;IF(E562="","Segmento; ","")&amp;IF(F562="","Time/Cluster; ","")&amp;IF(G562="","CNPJ; ","")&amp;IF(H562="","Razão Social; ","")&amp;IF(AND(J562="",K562=""),"nome do contato; ","")&amp;IF(AND(M562="",N562="",O562=""),"telefone, celular ou e-mail; ","")))</f>
      </c>
      <c r="AB562" s="6">
        <f>IF(COUNTA(A562:S562)=0,"",IF(AND(U562="OK",V562="OK",LEFT(W562,4)&lt;&gt;"ERRO",LEFT(X562,4)&lt;&gt;"ERRO",LEFT(Y562,4)&lt;&gt;"ERRO",AA562="OK"),"OK","REVISAR"))</f>
      </c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5"/>
      <c r="K563" s="4"/>
      <c r="L563" s="4"/>
      <c r="M563" s="4"/>
      <c r="N563" s="4"/>
      <c r="O563" s="4"/>
      <c r="P563" s="4"/>
      <c r="Q563" s="4"/>
      <c r="R563" s="4"/>
      <c r="S563" s="4"/>
      <c r="T563" s="6">
        <f>IF(G563="","",SUBSTITUTE(SUBSTITUTE(SUBSTITUTE(SUBSTITUTE(SUBSTITUTE(SUBSTITUTE(SUBSTITUTE(TRIM(G563),".",""),"/",""),"-","")," ",""),"(",""),")",""),"+",""))</f>
      </c>
      <c r="U563" s="6">
        <f>IF(T563="","",IF(LEN(T563)&lt;&gt;14,"ERRO: "&amp;LEN(T563)&amp;" dígitos",IF(NOT(ISNUMBER(VALUE(T563))),"ERRO: não numérico",IF(LEN(SUBSTITUTE(T563,LEFT(T563,1),""))=0,"ERRO: dígitos repetidos",IF(AND(VALUE(MID(T563,13,1))=IF(MOD(SUMPRODUCT(--MID(T563,{1,2,3,4,5,6,7,8,9,10,11,12},1),{5,4,3,2,9,8,7,6,5,4,3,2}),11)&lt;2,0,11-MOD(SUMPRODUCT(--MID(T563,{1,2,3,4,5,6,7,8,9,10,11,12},1),{5,4,3,2,9,8,7,6,5,4,3,2}),11)),VALUE(MID(T563,14,1))=IF(MOD(SUMPRODUCT(--MID(T563,{1,2,3,4,5,6,7,8,9,10,11,12,13},1),{6,5,4,3,2,9,8,7,6,5,4,3,2}),11)&lt;2,0,11-MOD(SUMPRODUCT(--MID(T563,{1,2,3,4,5,6,7,8,9,10,11,12,13},1),{6,5,4,3,2,9,8,7,6,5,4,3,2}),11))),"OK","ERRO: dígito verificador")))))</f>
      </c>
      <c r="V563" s="6">
        <f>IF(T563="","",IF(COUNTIF($T$2:$T$1001,T563)&gt;1,"DUPLICADO","OK"))</f>
      </c>
      <c r="W563" s="6">
        <f>IF(M563="","vazio",IF(OR(AND(LEN(SUBSTITUTE(SUBSTITUTE(SUBSTITUTE(SUBSTITUTE(SUBSTITUTE(SUBSTITUTE(SUBSTITUTE(TRIM(M563),".",""),"/",""),"-","")," ",""),"(",""),")",""),"+",""))=10,LEFT(SUBSTITUTE(SUBSTITUTE(SUBSTITUTE(SUBSTITUTE(SUBSTITUTE(SUBSTITUTE(SUBSTITUTE(TRIM(M563),".",""),"/",""),"-","")," ",""),"(",""),")",""),"+",""),1)&lt;&gt;"0"),AND(LEN(SUBSTITUTE(SUBSTITUTE(SUBSTITUTE(SUBSTITUTE(SUBSTITUTE(SUBSTITUTE(SUBSTITUTE(TRIM(M563),".",""),"/",""),"-","")," ",""),"(",""),")",""),"+",""))=11,LEFT(SUBSTITUTE(SUBSTITUTE(SUBSTITUTE(SUBSTITUTE(SUBSTITUTE(SUBSTITUTE(SUBSTITUTE(TRIM(M563),".",""),"/",""),"-","")," ",""),"(",""),")",""),"+",""),4)="0800")),"OK",IF(AND(LEN(SUBSTITUTE(SUBSTITUTE(SUBSTITUTE(SUBSTITUTE(SUBSTITUTE(SUBSTITUTE(SUBSTITUTE(TRIM(M563),".",""),"/",""),"-","")," ",""),"(",""),")",""),"+",""))=11,MID(SUBSTITUTE(SUBSTITUTE(SUBSTITUTE(SUBSTITUTE(SUBSTITUTE(SUBSTITUTE(SUBSTITUTE(TRIM(M563),".",""),"/",""),"-","")," ",""),"(",""),")",""),"+",""),3,1)="9"),"ERRO: é celular, use a coluna Celular","ERRO: DDD + 8 dígitos ou 0800 + 7")))</f>
      </c>
      <c r="X563" s="6">
        <f>IF(N563="","vazio",IF(AND(LEN(SUBSTITUTE(SUBSTITUTE(SUBSTITUTE(SUBSTITUTE(SUBSTITUTE(SUBSTITUTE(SUBSTITUTE(TRIM(N563),".",""),"/",""),"-","")," ",""),"(",""),")",""),"+",""))=11,MID(SUBSTITUTE(SUBSTITUTE(SUBSTITUTE(SUBSTITUTE(SUBSTITUTE(SUBSTITUTE(SUBSTITUTE(TRIM(N563),".",""),"/",""),"-","")," ",""),"(",""),")",""),"+",""),3,1)="9",LEFT(SUBSTITUTE(SUBSTITUTE(SUBSTITUTE(SUBSTITUTE(SUBSTITUTE(SUBSTITUTE(SUBSTITUTE(TRIM(N563),".",""),"/",""),"-","")," ",""),"(",""),")",""),"+",""),1)&lt;&gt;"0"),"OK",IF(LEN(SUBSTITUTE(SUBSTITUTE(SUBSTITUTE(SUBSTITUTE(SUBSTITUTE(SUBSTITUTE(SUBSTITUTE(TRIM(N563),".",""),"/",""),"-","")," ",""),"(",""),")",""),"+",""))=10,"ERRO: é fixo (ou falta o 9), use a coluna Telefone fixo","ERRO: DDD + 9 + 8 dígitos")))</f>
      </c>
      <c r="Y563" s="6">
        <f>IF(O563="","vazio",IF(AND(ISNUMBER(FIND("@",O563)),ISNUMBER(FIND(".",MID(O563,FIND("@",O563),99))),NOT(ISNUMBER(FIND(" ",TRIM(O563)))),NOT(ISNUMBER(FIND(";",O563))),NOT(ISNUMBER(FIND(",",O563)))),"OK","ERRO: um e-mail válido por linha"))</f>
      </c>
      <c r="Z563" s="6">
        <f>IF(AND(J563="",K563=""),"",IF(AND(J563&lt;&gt;"",K563&lt;&gt;""),"OK","pendente: só um nome (o GR completa ao converter)"))</f>
      </c>
      <c r="AA563" s="6">
        <f>IF(COUNTA(A563:S563)=0,"",IF(AND(A563&lt;&gt;"",B563&lt;&gt;"",C563&lt;&gt;"",D563&lt;&gt;"",E563&lt;&gt;"",F563&lt;&gt;"",G563&lt;&gt;"",H563&lt;&gt;"",OR(J563&lt;&gt;"",K563&lt;&gt;""),OR(M563&lt;&gt;"",N563&lt;&gt;"",O563&lt;&gt;"")),"OK","ERRO: faltam "&amp;IF(A563="","SDR; ","")&amp;IF(B563="","Proprietário; ","")&amp;IF(C563="","Origem; ","")&amp;IF(D563="","Temperatura; ","")&amp;IF(E563="","Segmento; ","")&amp;IF(F563="","Time/Cluster; ","")&amp;IF(G563="","CNPJ; ","")&amp;IF(H563="","Razão Social; ","")&amp;IF(AND(J563="",K563=""),"nome do contato; ","")&amp;IF(AND(M563="",N563="",O563=""),"telefone, celular ou e-mail; ","")))</f>
      </c>
      <c r="AB563" s="6">
        <f>IF(COUNTA(A563:S563)=0,"",IF(AND(U563="OK",V563="OK",LEFT(W563,4)&lt;&gt;"ERRO",LEFT(X563,4)&lt;&gt;"ERRO",LEFT(Y563,4)&lt;&gt;"ERRO",AA563="OK"),"OK","REVISAR"))</f>
      </c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5"/>
      <c r="K564" s="4"/>
      <c r="L564" s="4"/>
      <c r="M564" s="4"/>
      <c r="N564" s="4"/>
      <c r="O564" s="4"/>
      <c r="P564" s="4"/>
      <c r="Q564" s="4"/>
      <c r="R564" s="4"/>
      <c r="S564" s="4"/>
      <c r="T564" s="6">
        <f>IF(G564="","",SUBSTITUTE(SUBSTITUTE(SUBSTITUTE(SUBSTITUTE(SUBSTITUTE(SUBSTITUTE(SUBSTITUTE(TRIM(G564),".",""),"/",""),"-","")," ",""),"(",""),")",""),"+",""))</f>
      </c>
      <c r="U564" s="6">
        <f>IF(T564="","",IF(LEN(T564)&lt;&gt;14,"ERRO: "&amp;LEN(T564)&amp;" dígitos",IF(NOT(ISNUMBER(VALUE(T564))),"ERRO: não numérico",IF(LEN(SUBSTITUTE(T564,LEFT(T564,1),""))=0,"ERRO: dígitos repetidos",IF(AND(VALUE(MID(T564,13,1))=IF(MOD(SUMPRODUCT(--MID(T564,{1,2,3,4,5,6,7,8,9,10,11,12},1),{5,4,3,2,9,8,7,6,5,4,3,2}),11)&lt;2,0,11-MOD(SUMPRODUCT(--MID(T564,{1,2,3,4,5,6,7,8,9,10,11,12},1),{5,4,3,2,9,8,7,6,5,4,3,2}),11)),VALUE(MID(T564,14,1))=IF(MOD(SUMPRODUCT(--MID(T564,{1,2,3,4,5,6,7,8,9,10,11,12,13},1),{6,5,4,3,2,9,8,7,6,5,4,3,2}),11)&lt;2,0,11-MOD(SUMPRODUCT(--MID(T564,{1,2,3,4,5,6,7,8,9,10,11,12,13},1),{6,5,4,3,2,9,8,7,6,5,4,3,2}),11))),"OK","ERRO: dígito verificador")))))</f>
      </c>
      <c r="V564" s="6">
        <f>IF(T564="","",IF(COUNTIF($T$2:$T$1001,T564)&gt;1,"DUPLICADO","OK"))</f>
      </c>
      <c r="W564" s="6">
        <f>IF(M564="","vazio",IF(OR(AND(LEN(SUBSTITUTE(SUBSTITUTE(SUBSTITUTE(SUBSTITUTE(SUBSTITUTE(SUBSTITUTE(SUBSTITUTE(TRIM(M564),".",""),"/",""),"-","")," ",""),"(",""),")",""),"+",""))=10,LEFT(SUBSTITUTE(SUBSTITUTE(SUBSTITUTE(SUBSTITUTE(SUBSTITUTE(SUBSTITUTE(SUBSTITUTE(TRIM(M564),".",""),"/",""),"-","")," ",""),"(",""),")",""),"+",""),1)&lt;&gt;"0"),AND(LEN(SUBSTITUTE(SUBSTITUTE(SUBSTITUTE(SUBSTITUTE(SUBSTITUTE(SUBSTITUTE(SUBSTITUTE(TRIM(M564),".",""),"/",""),"-","")," ",""),"(",""),")",""),"+",""))=11,LEFT(SUBSTITUTE(SUBSTITUTE(SUBSTITUTE(SUBSTITUTE(SUBSTITUTE(SUBSTITUTE(SUBSTITUTE(TRIM(M564),".",""),"/",""),"-","")," ",""),"(",""),")",""),"+",""),4)="0800")),"OK",IF(AND(LEN(SUBSTITUTE(SUBSTITUTE(SUBSTITUTE(SUBSTITUTE(SUBSTITUTE(SUBSTITUTE(SUBSTITUTE(TRIM(M564),".",""),"/",""),"-","")," ",""),"(",""),")",""),"+",""))=11,MID(SUBSTITUTE(SUBSTITUTE(SUBSTITUTE(SUBSTITUTE(SUBSTITUTE(SUBSTITUTE(SUBSTITUTE(TRIM(M564),".",""),"/",""),"-","")," ",""),"(",""),")",""),"+",""),3,1)="9"),"ERRO: é celular, use a coluna Celular","ERRO: DDD + 8 dígitos ou 0800 + 7")))</f>
      </c>
      <c r="X564" s="6">
        <f>IF(N564="","vazio",IF(AND(LEN(SUBSTITUTE(SUBSTITUTE(SUBSTITUTE(SUBSTITUTE(SUBSTITUTE(SUBSTITUTE(SUBSTITUTE(TRIM(N564),".",""),"/",""),"-","")," ",""),"(",""),")",""),"+",""))=11,MID(SUBSTITUTE(SUBSTITUTE(SUBSTITUTE(SUBSTITUTE(SUBSTITUTE(SUBSTITUTE(SUBSTITUTE(TRIM(N564),".",""),"/",""),"-","")," ",""),"(",""),")",""),"+",""),3,1)="9",LEFT(SUBSTITUTE(SUBSTITUTE(SUBSTITUTE(SUBSTITUTE(SUBSTITUTE(SUBSTITUTE(SUBSTITUTE(TRIM(N564),".",""),"/",""),"-","")," ",""),"(",""),")",""),"+",""),1)&lt;&gt;"0"),"OK",IF(LEN(SUBSTITUTE(SUBSTITUTE(SUBSTITUTE(SUBSTITUTE(SUBSTITUTE(SUBSTITUTE(SUBSTITUTE(TRIM(N564),".",""),"/",""),"-","")," ",""),"(",""),")",""),"+",""))=10,"ERRO: é fixo (ou falta o 9), use a coluna Telefone fixo","ERRO: DDD + 9 + 8 dígitos")))</f>
      </c>
      <c r="Y564" s="6">
        <f>IF(O564="","vazio",IF(AND(ISNUMBER(FIND("@",O564)),ISNUMBER(FIND(".",MID(O564,FIND("@",O564),99))),NOT(ISNUMBER(FIND(" ",TRIM(O564)))),NOT(ISNUMBER(FIND(";",O564))),NOT(ISNUMBER(FIND(",",O564)))),"OK","ERRO: um e-mail válido por linha"))</f>
      </c>
      <c r="Z564" s="6">
        <f>IF(AND(J564="",K564=""),"",IF(AND(J564&lt;&gt;"",K564&lt;&gt;""),"OK","pendente: só um nome (o GR completa ao converter)"))</f>
      </c>
      <c r="AA564" s="6">
        <f>IF(COUNTA(A564:S564)=0,"",IF(AND(A564&lt;&gt;"",B564&lt;&gt;"",C564&lt;&gt;"",D564&lt;&gt;"",E564&lt;&gt;"",F564&lt;&gt;"",G564&lt;&gt;"",H564&lt;&gt;"",OR(J564&lt;&gt;"",K564&lt;&gt;""),OR(M564&lt;&gt;"",N564&lt;&gt;"",O564&lt;&gt;"")),"OK","ERRO: faltam "&amp;IF(A564="","SDR; ","")&amp;IF(B564="","Proprietário; ","")&amp;IF(C564="","Origem; ","")&amp;IF(D564="","Temperatura; ","")&amp;IF(E564="","Segmento; ","")&amp;IF(F564="","Time/Cluster; ","")&amp;IF(G564="","CNPJ; ","")&amp;IF(H564="","Razão Social; ","")&amp;IF(AND(J564="",K564=""),"nome do contato; ","")&amp;IF(AND(M564="",N564="",O564=""),"telefone, celular ou e-mail; ","")))</f>
      </c>
      <c r="AB564" s="6">
        <f>IF(COUNTA(A564:S564)=0,"",IF(AND(U564="OK",V564="OK",LEFT(W564,4)&lt;&gt;"ERRO",LEFT(X564,4)&lt;&gt;"ERRO",LEFT(Y564,4)&lt;&gt;"ERRO",AA564="OK"),"OK","REVISAR"))</f>
      </c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5"/>
      <c r="K565" s="4"/>
      <c r="L565" s="4"/>
      <c r="M565" s="4"/>
      <c r="N565" s="4"/>
      <c r="O565" s="4"/>
      <c r="P565" s="4"/>
      <c r="Q565" s="4"/>
      <c r="R565" s="4"/>
      <c r="S565" s="4"/>
      <c r="T565" s="6">
        <f>IF(G565="","",SUBSTITUTE(SUBSTITUTE(SUBSTITUTE(SUBSTITUTE(SUBSTITUTE(SUBSTITUTE(SUBSTITUTE(TRIM(G565),".",""),"/",""),"-","")," ",""),"(",""),")",""),"+",""))</f>
      </c>
      <c r="U565" s="6">
        <f>IF(T565="","",IF(LEN(T565)&lt;&gt;14,"ERRO: "&amp;LEN(T565)&amp;" dígitos",IF(NOT(ISNUMBER(VALUE(T565))),"ERRO: não numérico",IF(LEN(SUBSTITUTE(T565,LEFT(T565,1),""))=0,"ERRO: dígitos repetidos",IF(AND(VALUE(MID(T565,13,1))=IF(MOD(SUMPRODUCT(--MID(T565,{1,2,3,4,5,6,7,8,9,10,11,12},1),{5,4,3,2,9,8,7,6,5,4,3,2}),11)&lt;2,0,11-MOD(SUMPRODUCT(--MID(T565,{1,2,3,4,5,6,7,8,9,10,11,12},1),{5,4,3,2,9,8,7,6,5,4,3,2}),11)),VALUE(MID(T565,14,1))=IF(MOD(SUMPRODUCT(--MID(T565,{1,2,3,4,5,6,7,8,9,10,11,12,13},1),{6,5,4,3,2,9,8,7,6,5,4,3,2}),11)&lt;2,0,11-MOD(SUMPRODUCT(--MID(T565,{1,2,3,4,5,6,7,8,9,10,11,12,13},1),{6,5,4,3,2,9,8,7,6,5,4,3,2}),11))),"OK","ERRO: dígito verificador")))))</f>
      </c>
      <c r="V565" s="6">
        <f>IF(T565="","",IF(COUNTIF($T$2:$T$1001,T565)&gt;1,"DUPLICADO","OK"))</f>
      </c>
      <c r="W565" s="6">
        <f>IF(M565="","vazio",IF(OR(AND(LEN(SUBSTITUTE(SUBSTITUTE(SUBSTITUTE(SUBSTITUTE(SUBSTITUTE(SUBSTITUTE(SUBSTITUTE(TRIM(M565),".",""),"/",""),"-","")," ",""),"(",""),")",""),"+",""))=10,LEFT(SUBSTITUTE(SUBSTITUTE(SUBSTITUTE(SUBSTITUTE(SUBSTITUTE(SUBSTITUTE(SUBSTITUTE(TRIM(M565),".",""),"/",""),"-","")," ",""),"(",""),")",""),"+",""),1)&lt;&gt;"0"),AND(LEN(SUBSTITUTE(SUBSTITUTE(SUBSTITUTE(SUBSTITUTE(SUBSTITUTE(SUBSTITUTE(SUBSTITUTE(TRIM(M565),".",""),"/",""),"-","")," ",""),"(",""),")",""),"+",""))=11,LEFT(SUBSTITUTE(SUBSTITUTE(SUBSTITUTE(SUBSTITUTE(SUBSTITUTE(SUBSTITUTE(SUBSTITUTE(TRIM(M565),".",""),"/",""),"-","")," ",""),"(",""),")",""),"+",""),4)="0800")),"OK",IF(AND(LEN(SUBSTITUTE(SUBSTITUTE(SUBSTITUTE(SUBSTITUTE(SUBSTITUTE(SUBSTITUTE(SUBSTITUTE(TRIM(M565),".",""),"/",""),"-","")," ",""),"(",""),")",""),"+",""))=11,MID(SUBSTITUTE(SUBSTITUTE(SUBSTITUTE(SUBSTITUTE(SUBSTITUTE(SUBSTITUTE(SUBSTITUTE(TRIM(M565),".",""),"/",""),"-","")," ",""),"(",""),")",""),"+",""),3,1)="9"),"ERRO: é celular, use a coluna Celular","ERRO: DDD + 8 dígitos ou 0800 + 7")))</f>
      </c>
      <c r="X565" s="6">
        <f>IF(N565="","vazio",IF(AND(LEN(SUBSTITUTE(SUBSTITUTE(SUBSTITUTE(SUBSTITUTE(SUBSTITUTE(SUBSTITUTE(SUBSTITUTE(TRIM(N565),".",""),"/",""),"-","")," ",""),"(",""),")",""),"+",""))=11,MID(SUBSTITUTE(SUBSTITUTE(SUBSTITUTE(SUBSTITUTE(SUBSTITUTE(SUBSTITUTE(SUBSTITUTE(TRIM(N565),".",""),"/",""),"-","")," ",""),"(",""),")",""),"+",""),3,1)="9",LEFT(SUBSTITUTE(SUBSTITUTE(SUBSTITUTE(SUBSTITUTE(SUBSTITUTE(SUBSTITUTE(SUBSTITUTE(TRIM(N565),".",""),"/",""),"-","")," ",""),"(",""),")",""),"+",""),1)&lt;&gt;"0"),"OK",IF(LEN(SUBSTITUTE(SUBSTITUTE(SUBSTITUTE(SUBSTITUTE(SUBSTITUTE(SUBSTITUTE(SUBSTITUTE(TRIM(N565),".",""),"/",""),"-","")," ",""),"(",""),")",""),"+",""))=10,"ERRO: é fixo (ou falta o 9), use a coluna Telefone fixo","ERRO: DDD + 9 + 8 dígitos")))</f>
      </c>
      <c r="Y565" s="6">
        <f>IF(O565="","vazio",IF(AND(ISNUMBER(FIND("@",O565)),ISNUMBER(FIND(".",MID(O565,FIND("@",O565),99))),NOT(ISNUMBER(FIND(" ",TRIM(O565)))),NOT(ISNUMBER(FIND(";",O565))),NOT(ISNUMBER(FIND(",",O565)))),"OK","ERRO: um e-mail válido por linha"))</f>
      </c>
      <c r="Z565" s="6">
        <f>IF(AND(J565="",K565=""),"",IF(AND(J565&lt;&gt;"",K565&lt;&gt;""),"OK","pendente: só um nome (o GR completa ao converter)"))</f>
      </c>
      <c r="AA565" s="6">
        <f>IF(COUNTA(A565:S565)=0,"",IF(AND(A565&lt;&gt;"",B565&lt;&gt;"",C565&lt;&gt;"",D565&lt;&gt;"",E565&lt;&gt;"",F565&lt;&gt;"",G565&lt;&gt;"",H565&lt;&gt;"",OR(J565&lt;&gt;"",K565&lt;&gt;""),OR(M565&lt;&gt;"",N565&lt;&gt;"",O565&lt;&gt;"")),"OK","ERRO: faltam "&amp;IF(A565="","SDR; ","")&amp;IF(B565="","Proprietário; ","")&amp;IF(C565="","Origem; ","")&amp;IF(D565="","Temperatura; ","")&amp;IF(E565="","Segmento; ","")&amp;IF(F565="","Time/Cluster; ","")&amp;IF(G565="","CNPJ; ","")&amp;IF(H565="","Razão Social; ","")&amp;IF(AND(J565="",K565=""),"nome do contato; ","")&amp;IF(AND(M565="",N565="",O565=""),"telefone, celular ou e-mail; ","")))</f>
      </c>
      <c r="AB565" s="6">
        <f>IF(COUNTA(A565:S565)=0,"",IF(AND(U565="OK",V565="OK",LEFT(W565,4)&lt;&gt;"ERRO",LEFT(X565,4)&lt;&gt;"ERRO",LEFT(Y565,4)&lt;&gt;"ERRO",AA565="OK"),"OK","REVISAR"))</f>
      </c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5"/>
      <c r="K566" s="4"/>
      <c r="L566" s="4"/>
      <c r="M566" s="4"/>
      <c r="N566" s="4"/>
      <c r="O566" s="4"/>
      <c r="P566" s="4"/>
      <c r="Q566" s="4"/>
      <c r="R566" s="4"/>
      <c r="S566" s="4"/>
      <c r="T566" s="6">
        <f>IF(G566="","",SUBSTITUTE(SUBSTITUTE(SUBSTITUTE(SUBSTITUTE(SUBSTITUTE(SUBSTITUTE(SUBSTITUTE(TRIM(G566),".",""),"/",""),"-","")," ",""),"(",""),")",""),"+",""))</f>
      </c>
      <c r="U566" s="6">
        <f>IF(T566="","",IF(LEN(T566)&lt;&gt;14,"ERRO: "&amp;LEN(T566)&amp;" dígitos",IF(NOT(ISNUMBER(VALUE(T566))),"ERRO: não numérico",IF(LEN(SUBSTITUTE(T566,LEFT(T566,1),""))=0,"ERRO: dígitos repetidos",IF(AND(VALUE(MID(T566,13,1))=IF(MOD(SUMPRODUCT(--MID(T566,{1,2,3,4,5,6,7,8,9,10,11,12},1),{5,4,3,2,9,8,7,6,5,4,3,2}),11)&lt;2,0,11-MOD(SUMPRODUCT(--MID(T566,{1,2,3,4,5,6,7,8,9,10,11,12},1),{5,4,3,2,9,8,7,6,5,4,3,2}),11)),VALUE(MID(T566,14,1))=IF(MOD(SUMPRODUCT(--MID(T566,{1,2,3,4,5,6,7,8,9,10,11,12,13},1),{6,5,4,3,2,9,8,7,6,5,4,3,2}),11)&lt;2,0,11-MOD(SUMPRODUCT(--MID(T566,{1,2,3,4,5,6,7,8,9,10,11,12,13},1),{6,5,4,3,2,9,8,7,6,5,4,3,2}),11))),"OK","ERRO: dígito verificador")))))</f>
      </c>
      <c r="V566" s="6">
        <f>IF(T566="","",IF(COUNTIF($T$2:$T$1001,T566)&gt;1,"DUPLICADO","OK"))</f>
      </c>
      <c r="W566" s="6">
        <f>IF(M566="","vazio",IF(OR(AND(LEN(SUBSTITUTE(SUBSTITUTE(SUBSTITUTE(SUBSTITUTE(SUBSTITUTE(SUBSTITUTE(SUBSTITUTE(TRIM(M566),".",""),"/",""),"-","")," ",""),"(",""),")",""),"+",""))=10,LEFT(SUBSTITUTE(SUBSTITUTE(SUBSTITUTE(SUBSTITUTE(SUBSTITUTE(SUBSTITUTE(SUBSTITUTE(TRIM(M566),".",""),"/",""),"-","")," ",""),"(",""),")",""),"+",""),1)&lt;&gt;"0"),AND(LEN(SUBSTITUTE(SUBSTITUTE(SUBSTITUTE(SUBSTITUTE(SUBSTITUTE(SUBSTITUTE(SUBSTITUTE(TRIM(M566),".",""),"/",""),"-","")," ",""),"(",""),")",""),"+",""))=11,LEFT(SUBSTITUTE(SUBSTITUTE(SUBSTITUTE(SUBSTITUTE(SUBSTITUTE(SUBSTITUTE(SUBSTITUTE(TRIM(M566),".",""),"/",""),"-","")," ",""),"(",""),")",""),"+",""),4)="0800")),"OK",IF(AND(LEN(SUBSTITUTE(SUBSTITUTE(SUBSTITUTE(SUBSTITUTE(SUBSTITUTE(SUBSTITUTE(SUBSTITUTE(TRIM(M566),".",""),"/",""),"-","")," ",""),"(",""),")",""),"+",""))=11,MID(SUBSTITUTE(SUBSTITUTE(SUBSTITUTE(SUBSTITUTE(SUBSTITUTE(SUBSTITUTE(SUBSTITUTE(TRIM(M566),".",""),"/",""),"-","")," ",""),"(",""),")",""),"+",""),3,1)="9"),"ERRO: é celular, use a coluna Celular","ERRO: DDD + 8 dígitos ou 0800 + 7")))</f>
      </c>
      <c r="X566" s="6">
        <f>IF(N566="","vazio",IF(AND(LEN(SUBSTITUTE(SUBSTITUTE(SUBSTITUTE(SUBSTITUTE(SUBSTITUTE(SUBSTITUTE(SUBSTITUTE(TRIM(N566),".",""),"/",""),"-","")," ",""),"(",""),")",""),"+",""))=11,MID(SUBSTITUTE(SUBSTITUTE(SUBSTITUTE(SUBSTITUTE(SUBSTITUTE(SUBSTITUTE(SUBSTITUTE(TRIM(N566),".",""),"/",""),"-","")," ",""),"(",""),")",""),"+",""),3,1)="9",LEFT(SUBSTITUTE(SUBSTITUTE(SUBSTITUTE(SUBSTITUTE(SUBSTITUTE(SUBSTITUTE(SUBSTITUTE(TRIM(N566),".",""),"/",""),"-","")," ",""),"(",""),")",""),"+",""),1)&lt;&gt;"0"),"OK",IF(LEN(SUBSTITUTE(SUBSTITUTE(SUBSTITUTE(SUBSTITUTE(SUBSTITUTE(SUBSTITUTE(SUBSTITUTE(TRIM(N566),".",""),"/",""),"-","")," ",""),"(",""),")",""),"+",""))=10,"ERRO: é fixo (ou falta o 9), use a coluna Telefone fixo","ERRO: DDD + 9 + 8 dígitos")))</f>
      </c>
      <c r="Y566" s="6">
        <f>IF(O566="","vazio",IF(AND(ISNUMBER(FIND("@",O566)),ISNUMBER(FIND(".",MID(O566,FIND("@",O566),99))),NOT(ISNUMBER(FIND(" ",TRIM(O566)))),NOT(ISNUMBER(FIND(";",O566))),NOT(ISNUMBER(FIND(",",O566)))),"OK","ERRO: um e-mail válido por linha"))</f>
      </c>
      <c r="Z566" s="6">
        <f>IF(AND(J566="",K566=""),"",IF(AND(J566&lt;&gt;"",K566&lt;&gt;""),"OK","pendente: só um nome (o GR completa ao converter)"))</f>
      </c>
      <c r="AA566" s="6">
        <f>IF(COUNTA(A566:S566)=0,"",IF(AND(A566&lt;&gt;"",B566&lt;&gt;"",C566&lt;&gt;"",D566&lt;&gt;"",E566&lt;&gt;"",F566&lt;&gt;"",G566&lt;&gt;"",H566&lt;&gt;"",OR(J566&lt;&gt;"",K566&lt;&gt;""),OR(M566&lt;&gt;"",N566&lt;&gt;"",O566&lt;&gt;"")),"OK","ERRO: faltam "&amp;IF(A566="","SDR; ","")&amp;IF(B566="","Proprietário; ","")&amp;IF(C566="","Origem; ","")&amp;IF(D566="","Temperatura; ","")&amp;IF(E566="","Segmento; ","")&amp;IF(F566="","Time/Cluster; ","")&amp;IF(G566="","CNPJ; ","")&amp;IF(H566="","Razão Social; ","")&amp;IF(AND(J566="",K566=""),"nome do contato; ","")&amp;IF(AND(M566="",N566="",O566=""),"telefone, celular ou e-mail; ","")))</f>
      </c>
      <c r="AB566" s="6">
        <f>IF(COUNTA(A566:S566)=0,"",IF(AND(U566="OK",V566="OK",LEFT(W566,4)&lt;&gt;"ERRO",LEFT(X566,4)&lt;&gt;"ERRO",LEFT(Y566,4)&lt;&gt;"ERRO",AA566="OK"),"OK","REVISAR"))</f>
      </c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5"/>
      <c r="K567" s="4"/>
      <c r="L567" s="4"/>
      <c r="M567" s="4"/>
      <c r="N567" s="4"/>
      <c r="O567" s="4"/>
      <c r="P567" s="4"/>
      <c r="Q567" s="4"/>
      <c r="R567" s="4"/>
      <c r="S567" s="4"/>
      <c r="T567" s="6">
        <f>IF(G567="","",SUBSTITUTE(SUBSTITUTE(SUBSTITUTE(SUBSTITUTE(SUBSTITUTE(SUBSTITUTE(SUBSTITUTE(TRIM(G567),".",""),"/",""),"-","")," ",""),"(",""),")",""),"+",""))</f>
      </c>
      <c r="U567" s="6">
        <f>IF(T567="","",IF(LEN(T567)&lt;&gt;14,"ERRO: "&amp;LEN(T567)&amp;" dígitos",IF(NOT(ISNUMBER(VALUE(T567))),"ERRO: não numérico",IF(LEN(SUBSTITUTE(T567,LEFT(T567,1),""))=0,"ERRO: dígitos repetidos",IF(AND(VALUE(MID(T567,13,1))=IF(MOD(SUMPRODUCT(--MID(T567,{1,2,3,4,5,6,7,8,9,10,11,12},1),{5,4,3,2,9,8,7,6,5,4,3,2}),11)&lt;2,0,11-MOD(SUMPRODUCT(--MID(T567,{1,2,3,4,5,6,7,8,9,10,11,12},1),{5,4,3,2,9,8,7,6,5,4,3,2}),11)),VALUE(MID(T567,14,1))=IF(MOD(SUMPRODUCT(--MID(T567,{1,2,3,4,5,6,7,8,9,10,11,12,13},1),{6,5,4,3,2,9,8,7,6,5,4,3,2}),11)&lt;2,0,11-MOD(SUMPRODUCT(--MID(T567,{1,2,3,4,5,6,7,8,9,10,11,12,13},1),{6,5,4,3,2,9,8,7,6,5,4,3,2}),11))),"OK","ERRO: dígito verificador")))))</f>
      </c>
      <c r="V567" s="6">
        <f>IF(T567="","",IF(COUNTIF($T$2:$T$1001,T567)&gt;1,"DUPLICADO","OK"))</f>
      </c>
      <c r="W567" s="6">
        <f>IF(M567="","vazio",IF(OR(AND(LEN(SUBSTITUTE(SUBSTITUTE(SUBSTITUTE(SUBSTITUTE(SUBSTITUTE(SUBSTITUTE(SUBSTITUTE(TRIM(M567),".",""),"/",""),"-","")," ",""),"(",""),")",""),"+",""))=10,LEFT(SUBSTITUTE(SUBSTITUTE(SUBSTITUTE(SUBSTITUTE(SUBSTITUTE(SUBSTITUTE(SUBSTITUTE(TRIM(M567),".",""),"/",""),"-","")," ",""),"(",""),")",""),"+",""),1)&lt;&gt;"0"),AND(LEN(SUBSTITUTE(SUBSTITUTE(SUBSTITUTE(SUBSTITUTE(SUBSTITUTE(SUBSTITUTE(SUBSTITUTE(TRIM(M567),".",""),"/",""),"-","")," ",""),"(",""),")",""),"+",""))=11,LEFT(SUBSTITUTE(SUBSTITUTE(SUBSTITUTE(SUBSTITUTE(SUBSTITUTE(SUBSTITUTE(SUBSTITUTE(TRIM(M567),".",""),"/",""),"-","")," ",""),"(",""),")",""),"+",""),4)="0800")),"OK",IF(AND(LEN(SUBSTITUTE(SUBSTITUTE(SUBSTITUTE(SUBSTITUTE(SUBSTITUTE(SUBSTITUTE(SUBSTITUTE(TRIM(M567),".",""),"/",""),"-","")," ",""),"(",""),")",""),"+",""))=11,MID(SUBSTITUTE(SUBSTITUTE(SUBSTITUTE(SUBSTITUTE(SUBSTITUTE(SUBSTITUTE(SUBSTITUTE(TRIM(M567),".",""),"/",""),"-","")," ",""),"(",""),")",""),"+",""),3,1)="9"),"ERRO: é celular, use a coluna Celular","ERRO: DDD + 8 dígitos ou 0800 + 7")))</f>
      </c>
      <c r="X567" s="6">
        <f>IF(N567="","vazio",IF(AND(LEN(SUBSTITUTE(SUBSTITUTE(SUBSTITUTE(SUBSTITUTE(SUBSTITUTE(SUBSTITUTE(SUBSTITUTE(TRIM(N567),".",""),"/",""),"-","")," ",""),"(",""),")",""),"+",""))=11,MID(SUBSTITUTE(SUBSTITUTE(SUBSTITUTE(SUBSTITUTE(SUBSTITUTE(SUBSTITUTE(SUBSTITUTE(TRIM(N567),".",""),"/",""),"-","")," ",""),"(",""),")",""),"+",""),3,1)="9",LEFT(SUBSTITUTE(SUBSTITUTE(SUBSTITUTE(SUBSTITUTE(SUBSTITUTE(SUBSTITUTE(SUBSTITUTE(TRIM(N567),".",""),"/",""),"-","")," ",""),"(",""),")",""),"+",""),1)&lt;&gt;"0"),"OK",IF(LEN(SUBSTITUTE(SUBSTITUTE(SUBSTITUTE(SUBSTITUTE(SUBSTITUTE(SUBSTITUTE(SUBSTITUTE(TRIM(N567),".",""),"/",""),"-","")," ",""),"(",""),")",""),"+",""))=10,"ERRO: é fixo (ou falta o 9), use a coluna Telefone fixo","ERRO: DDD + 9 + 8 dígitos")))</f>
      </c>
      <c r="Y567" s="6">
        <f>IF(O567="","vazio",IF(AND(ISNUMBER(FIND("@",O567)),ISNUMBER(FIND(".",MID(O567,FIND("@",O567),99))),NOT(ISNUMBER(FIND(" ",TRIM(O567)))),NOT(ISNUMBER(FIND(";",O567))),NOT(ISNUMBER(FIND(",",O567)))),"OK","ERRO: um e-mail válido por linha"))</f>
      </c>
      <c r="Z567" s="6">
        <f>IF(AND(J567="",K567=""),"",IF(AND(J567&lt;&gt;"",K567&lt;&gt;""),"OK","pendente: só um nome (o GR completa ao converter)"))</f>
      </c>
      <c r="AA567" s="6">
        <f>IF(COUNTA(A567:S567)=0,"",IF(AND(A567&lt;&gt;"",B567&lt;&gt;"",C567&lt;&gt;"",D567&lt;&gt;"",E567&lt;&gt;"",F567&lt;&gt;"",G567&lt;&gt;"",H567&lt;&gt;"",OR(J567&lt;&gt;"",K567&lt;&gt;""),OR(M567&lt;&gt;"",N567&lt;&gt;"",O567&lt;&gt;"")),"OK","ERRO: faltam "&amp;IF(A567="","SDR; ","")&amp;IF(B567="","Proprietário; ","")&amp;IF(C567="","Origem; ","")&amp;IF(D567="","Temperatura; ","")&amp;IF(E567="","Segmento; ","")&amp;IF(F567="","Time/Cluster; ","")&amp;IF(G567="","CNPJ; ","")&amp;IF(H567="","Razão Social; ","")&amp;IF(AND(J567="",K567=""),"nome do contato; ","")&amp;IF(AND(M567="",N567="",O567=""),"telefone, celular ou e-mail; ","")))</f>
      </c>
      <c r="AB567" s="6">
        <f>IF(COUNTA(A567:S567)=0,"",IF(AND(U567="OK",V567="OK",LEFT(W567,4)&lt;&gt;"ERRO",LEFT(X567,4)&lt;&gt;"ERRO",LEFT(Y567,4)&lt;&gt;"ERRO",AA567="OK"),"OK","REVISAR"))</f>
      </c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5"/>
      <c r="K568" s="4"/>
      <c r="L568" s="4"/>
      <c r="M568" s="4"/>
      <c r="N568" s="4"/>
      <c r="O568" s="4"/>
      <c r="P568" s="4"/>
      <c r="Q568" s="4"/>
      <c r="R568" s="4"/>
      <c r="S568" s="4"/>
      <c r="T568" s="6">
        <f>IF(G568="","",SUBSTITUTE(SUBSTITUTE(SUBSTITUTE(SUBSTITUTE(SUBSTITUTE(SUBSTITUTE(SUBSTITUTE(TRIM(G568),".",""),"/",""),"-","")," ",""),"(",""),")",""),"+",""))</f>
      </c>
      <c r="U568" s="6">
        <f>IF(T568="","",IF(LEN(T568)&lt;&gt;14,"ERRO: "&amp;LEN(T568)&amp;" dígitos",IF(NOT(ISNUMBER(VALUE(T568))),"ERRO: não numérico",IF(LEN(SUBSTITUTE(T568,LEFT(T568,1),""))=0,"ERRO: dígitos repetidos",IF(AND(VALUE(MID(T568,13,1))=IF(MOD(SUMPRODUCT(--MID(T568,{1,2,3,4,5,6,7,8,9,10,11,12},1),{5,4,3,2,9,8,7,6,5,4,3,2}),11)&lt;2,0,11-MOD(SUMPRODUCT(--MID(T568,{1,2,3,4,5,6,7,8,9,10,11,12},1),{5,4,3,2,9,8,7,6,5,4,3,2}),11)),VALUE(MID(T568,14,1))=IF(MOD(SUMPRODUCT(--MID(T568,{1,2,3,4,5,6,7,8,9,10,11,12,13},1),{6,5,4,3,2,9,8,7,6,5,4,3,2}),11)&lt;2,0,11-MOD(SUMPRODUCT(--MID(T568,{1,2,3,4,5,6,7,8,9,10,11,12,13},1),{6,5,4,3,2,9,8,7,6,5,4,3,2}),11))),"OK","ERRO: dígito verificador")))))</f>
      </c>
      <c r="V568" s="6">
        <f>IF(T568="","",IF(COUNTIF($T$2:$T$1001,T568)&gt;1,"DUPLICADO","OK"))</f>
      </c>
      <c r="W568" s="6">
        <f>IF(M568="","vazio",IF(OR(AND(LEN(SUBSTITUTE(SUBSTITUTE(SUBSTITUTE(SUBSTITUTE(SUBSTITUTE(SUBSTITUTE(SUBSTITUTE(TRIM(M568),".",""),"/",""),"-","")," ",""),"(",""),")",""),"+",""))=10,LEFT(SUBSTITUTE(SUBSTITUTE(SUBSTITUTE(SUBSTITUTE(SUBSTITUTE(SUBSTITUTE(SUBSTITUTE(TRIM(M568),".",""),"/",""),"-","")," ",""),"(",""),")",""),"+",""),1)&lt;&gt;"0"),AND(LEN(SUBSTITUTE(SUBSTITUTE(SUBSTITUTE(SUBSTITUTE(SUBSTITUTE(SUBSTITUTE(SUBSTITUTE(TRIM(M568),".",""),"/",""),"-","")," ",""),"(",""),")",""),"+",""))=11,LEFT(SUBSTITUTE(SUBSTITUTE(SUBSTITUTE(SUBSTITUTE(SUBSTITUTE(SUBSTITUTE(SUBSTITUTE(TRIM(M568),".",""),"/",""),"-","")," ",""),"(",""),")",""),"+",""),4)="0800")),"OK",IF(AND(LEN(SUBSTITUTE(SUBSTITUTE(SUBSTITUTE(SUBSTITUTE(SUBSTITUTE(SUBSTITUTE(SUBSTITUTE(TRIM(M568),".",""),"/",""),"-","")," ",""),"(",""),")",""),"+",""))=11,MID(SUBSTITUTE(SUBSTITUTE(SUBSTITUTE(SUBSTITUTE(SUBSTITUTE(SUBSTITUTE(SUBSTITUTE(TRIM(M568),".",""),"/",""),"-","")," ",""),"(",""),")",""),"+",""),3,1)="9"),"ERRO: é celular, use a coluna Celular","ERRO: DDD + 8 dígitos ou 0800 + 7")))</f>
      </c>
      <c r="X568" s="6">
        <f>IF(N568="","vazio",IF(AND(LEN(SUBSTITUTE(SUBSTITUTE(SUBSTITUTE(SUBSTITUTE(SUBSTITUTE(SUBSTITUTE(SUBSTITUTE(TRIM(N568),".",""),"/",""),"-","")," ",""),"(",""),")",""),"+",""))=11,MID(SUBSTITUTE(SUBSTITUTE(SUBSTITUTE(SUBSTITUTE(SUBSTITUTE(SUBSTITUTE(SUBSTITUTE(TRIM(N568),".",""),"/",""),"-","")," ",""),"(",""),")",""),"+",""),3,1)="9",LEFT(SUBSTITUTE(SUBSTITUTE(SUBSTITUTE(SUBSTITUTE(SUBSTITUTE(SUBSTITUTE(SUBSTITUTE(TRIM(N568),".",""),"/",""),"-","")," ",""),"(",""),")",""),"+",""),1)&lt;&gt;"0"),"OK",IF(LEN(SUBSTITUTE(SUBSTITUTE(SUBSTITUTE(SUBSTITUTE(SUBSTITUTE(SUBSTITUTE(SUBSTITUTE(TRIM(N568),".",""),"/",""),"-","")," ",""),"(",""),")",""),"+",""))=10,"ERRO: é fixo (ou falta o 9), use a coluna Telefone fixo","ERRO: DDD + 9 + 8 dígitos")))</f>
      </c>
      <c r="Y568" s="6">
        <f>IF(O568="","vazio",IF(AND(ISNUMBER(FIND("@",O568)),ISNUMBER(FIND(".",MID(O568,FIND("@",O568),99))),NOT(ISNUMBER(FIND(" ",TRIM(O568)))),NOT(ISNUMBER(FIND(";",O568))),NOT(ISNUMBER(FIND(",",O568)))),"OK","ERRO: um e-mail válido por linha"))</f>
      </c>
      <c r="Z568" s="6">
        <f>IF(AND(J568="",K568=""),"",IF(AND(J568&lt;&gt;"",K568&lt;&gt;""),"OK","pendente: só um nome (o GR completa ao converter)"))</f>
      </c>
      <c r="AA568" s="6">
        <f>IF(COUNTA(A568:S568)=0,"",IF(AND(A568&lt;&gt;"",B568&lt;&gt;"",C568&lt;&gt;"",D568&lt;&gt;"",E568&lt;&gt;"",F568&lt;&gt;"",G568&lt;&gt;"",H568&lt;&gt;"",OR(J568&lt;&gt;"",K568&lt;&gt;""),OR(M568&lt;&gt;"",N568&lt;&gt;"",O568&lt;&gt;"")),"OK","ERRO: faltam "&amp;IF(A568="","SDR; ","")&amp;IF(B568="","Proprietário; ","")&amp;IF(C568="","Origem; ","")&amp;IF(D568="","Temperatura; ","")&amp;IF(E568="","Segmento; ","")&amp;IF(F568="","Time/Cluster; ","")&amp;IF(G568="","CNPJ; ","")&amp;IF(H568="","Razão Social; ","")&amp;IF(AND(J568="",K568=""),"nome do contato; ","")&amp;IF(AND(M568="",N568="",O568=""),"telefone, celular ou e-mail; ","")))</f>
      </c>
      <c r="AB568" s="6">
        <f>IF(COUNTA(A568:S568)=0,"",IF(AND(U568="OK",V568="OK",LEFT(W568,4)&lt;&gt;"ERRO",LEFT(X568,4)&lt;&gt;"ERRO",LEFT(Y568,4)&lt;&gt;"ERRO",AA568="OK"),"OK","REVISAR"))</f>
      </c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5"/>
      <c r="K569" s="4"/>
      <c r="L569" s="4"/>
      <c r="M569" s="4"/>
      <c r="N569" s="4"/>
      <c r="O569" s="4"/>
      <c r="P569" s="4"/>
      <c r="Q569" s="4"/>
      <c r="R569" s="4"/>
      <c r="S569" s="4"/>
      <c r="T569" s="6">
        <f>IF(G569="","",SUBSTITUTE(SUBSTITUTE(SUBSTITUTE(SUBSTITUTE(SUBSTITUTE(SUBSTITUTE(SUBSTITUTE(TRIM(G569),".",""),"/",""),"-","")," ",""),"(",""),")",""),"+",""))</f>
      </c>
      <c r="U569" s="6">
        <f>IF(T569="","",IF(LEN(T569)&lt;&gt;14,"ERRO: "&amp;LEN(T569)&amp;" dígitos",IF(NOT(ISNUMBER(VALUE(T569))),"ERRO: não numérico",IF(LEN(SUBSTITUTE(T569,LEFT(T569,1),""))=0,"ERRO: dígitos repetidos",IF(AND(VALUE(MID(T569,13,1))=IF(MOD(SUMPRODUCT(--MID(T569,{1,2,3,4,5,6,7,8,9,10,11,12},1),{5,4,3,2,9,8,7,6,5,4,3,2}),11)&lt;2,0,11-MOD(SUMPRODUCT(--MID(T569,{1,2,3,4,5,6,7,8,9,10,11,12},1),{5,4,3,2,9,8,7,6,5,4,3,2}),11)),VALUE(MID(T569,14,1))=IF(MOD(SUMPRODUCT(--MID(T569,{1,2,3,4,5,6,7,8,9,10,11,12,13},1),{6,5,4,3,2,9,8,7,6,5,4,3,2}),11)&lt;2,0,11-MOD(SUMPRODUCT(--MID(T569,{1,2,3,4,5,6,7,8,9,10,11,12,13},1),{6,5,4,3,2,9,8,7,6,5,4,3,2}),11))),"OK","ERRO: dígito verificador")))))</f>
      </c>
      <c r="V569" s="6">
        <f>IF(T569="","",IF(COUNTIF($T$2:$T$1001,T569)&gt;1,"DUPLICADO","OK"))</f>
      </c>
      <c r="W569" s="6">
        <f>IF(M569="","vazio",IF(OR(AND(LEN(SUBSTITUTE(SUBSTITUTE(SUBSTITUTE(SUBSTITUTE(SUBSTITUTE(SUBSTITUTE(SUBSTITUTE(TRIM(M569),".",""),"/",""),"-","")," ",""),"(",""),")",""),"+",""))=10,LEFT(SUBSTITUTE(SUBSTITUTE(SUBSTITUTE(SUBSTITUTE(SUBSTITUTE(SUBSTITUTE(SUBSTITUTE(TRIM(M569),".",""),"/",""),"-","")," ",""),"(",""),")",""),"+",""),1)&lt;&gt;"0"),AND(LEN(SUBSTITUTE(SUBSTITUTE(SUBSTITUTE(SUBSTITUTE(SUBSTITUTE(SUBSTITUTE(SUBSTITUTE(TRIM(M569),".",""),"/",""),"-","")," ",""),"(",""),")",""),"+",""))=11,LEFT(SUBSTITUTE(SUBSTITUTE(SUBSTITUTE(SUBSTITUTE(SUBSTITUTE(SUBSTITUTE(SUBSTITUTE(TRIM(M569),".",""),"/",""),"-","")," ",""),"(",""),")",""),"+",""),4)="0800")),"OK",IF(AND(LEN(SUBSTITUTE(SUBSTITUTE(SUBSTITUTE(SUBSTITUTE(SUBSTITUTE(SUBSTITUTE(SUBSTITUTE(TRIM(M569),".",""),"/",""),"-","")," ",""),"(",""),")",""),"+",""))=11,MID(SUBSTITUTE(SUBSTITUTE(SUBSTITUTE(SUBSTITUTE(SUBSTITUTE(SUBSTITUTE(SUBSTITUTE(TRIM(M569),".",""),"/",""),"-","")," ",""),"(",""),")",""),"+",""),3,1)="9"),"ERRO: é celular, use a coluna Celular","ERRO: DDD + 8 dígitos ou 0800 + 7")))</f>
      </c>
      <c r="X569" s="6">
        <f>IF(N569="","vazio",IF(AND(LEN(SUBSTITUTE(SUBSTITUTE(SUBSTITUTE(SUBSTITUTE(SUBSTITUTE(SUBSTITUTE(SUBSTITUTE(TRIM(N569),".",""),"/",""),"-","")," ",""),"(",""),")",""),"+",""))=11,MID(SUBSTITUTE(SUBSTITUTE(SUBSTITUTE(SUBSTITUTE(SUBSTITUTE(SUBSTITUTE(SUBSTITUTE(TRIM(N569),".",""),"/",""),"-","")," ",""),"(",""),")",""),"+",""),3,1)="9",LEFT(SUBSTITUTE(SUBSTITUTE(SUBSTITUTE(SUBSTITUTE(SUBSTITUTE(SUBSTITUTE(SUBSTITUTE(TRIM(N569),".",""),"/",""),"-","")," ",""),"(",""),")",""),"+",""),1)&lt;&gt;"0"),"OK",IF(LEN(SUBSTITUTE(SUBSTITUTE(SUBSTITUTE(SUBSTITUTE(SUBSTITUTE(SUBSTITUTE(SUBSTITUTE(TRIM(N569),".",""),"/",""),"-","")," ",""),"(",""),")",""),"+",""))=10,"ERRO: é fixo (ou falta o 9), use a coluna Telefone fixo","ERRO: DDD + 9 + 8 dígitos")))</f>
      </c>
      <c r="Y569" s="6">
        <f>IF(O569="","vazio",IF(AND(ISNUMBER(FIND("@",O569)),ISNUMBER(FIND(".",MID(O569,FIND("@",O569),99))),NOT(ISNUMBER(FIND(" ",TRIM(O569)))),NOT(ISNUMBER(FIND(";",O569))),NOT(ISNUMBER(FIND(",",O569)))),"OK","ERRO: um e-mail válido por linha"))</f>
      </c>
      <c r="Z569" s="6">
        <f>IF(AND(J569="",K569=""),"",IF(AND(J569&lt;&gt;"",K569&lt;&gt;""),"OK","pendente: só um nome (o GR completa ao converter)"))</f>
      </c>
      <c r="AA569" s="6">
        <f>IF(COUNTA(A569:S569)=0,"",IF(AND(A569&lt;&gt;"",B569&lt;&gt;"",C569&lt;&gt;"",D569&lt;&gt;"",E569&lt;&gt;"",F569&lt;&gt;"",G569&lt;&gt;"",H569&lt;&gt;"",OR(J569&lt;&gt;"",K569&lt;&gt;""),OR(M569&lt;&gt;"",N569&lt;&gt;"",O569&lt;&gt;"")),"OK","ERRO: faltam "&amp;IF(A569="","SDR; ","")&amp;IF(B569="","Proprietário; ","")&amp;IF(C569="","Origem; ","")&amp;IF(D569="","Temperatura; ","")&amp;IF(E569="","Segmento; ","")&amp;IF(F569="","Time/Cluster; ","")&amp;IF(G569="","CNPJ; ","")&amp;IF(H569="","Razão Social; ","")&amp;IF(AND(J569="",K569=""),"nome do contato; ","")&amp;IF(AND(M569="",N569="",O569=""),"telefone, celular ou e-mail; ","")))</f>
      </c>
      <c r="AB569" s="6">
        <f>IF(COUNTA(A569:S569)=0,"",IF(AND(U569="OK",V569="OK",LEFT(W569,4)&lt;&gt;"ERRO",LEFT(X569,4)&lt;&gt;"ERRO",LEFT(Y569,4)&lt;&gt;"ERRO",AA569="OK"),"OK","REVISAR"))</f>
      </c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5"/>
      <c r="K570" s="4"/>
      <c r="L570" s="4"/>
      <c r="M570" s="4"/>
      <c r="N570" s="4"/>
      <c r="O570" s="4"/>
      <c r="P570" s="4"/>
      <c r="Q570" s="4"/>
      <c r="R570" s="4"/>
      <c r="S570" s="4"/>
      <c r="T570" s="6">
        <f>IF(G570="","",SUBSTITUTE(SUBSTITUTE(SUBSTITUTE(SUBSTITUTE(SUBSTITUTE(SUBSTITUTE(SUBSTITUTE(TRIM(G570),".",""),"/",""),"-","")," ",""),"(",""),")",""),"+",""))</f>
      </c>
      <c r="U570" s="6">
        <f>IF(T570="","",IF(LEN(T570)&lt;&gt;14,"ERRO: "&amp;LEN(T570)&amp;" dígitos",IF(NOT(ISNUMBER(VALUE(T570))),"ERRO: não numérico",IF(LEN(SUBSTITUTE(T570,LEFT(T570,1),""))=0,"ERRO: dígitos repetidos",IF(AND(VALUE(MID(T570,13,1))=IF(MOD(SUMPRODUCT(--MID(T570,{1,2,3,4,5,6,7,8,9,10,11,12},1),{5,4,3,2,9,8,7,6,5,4,3,2}),11)&lt;2,0,11-MOD(SUMPRODUCT(--MID(T570,{1,2,3,4,5,6,7,8,9,10,11,12},1),{5,4,3,2,9,8,7,6,5,4,3,2}),11)),VALUE(MID(T570,14,1))=IF(MOD(SUMPRODUCT(--MID(T570,{1,2,3,4,5,6,7,8,9,10,11,12,13},1),{6,5,4,3,2,9,8,7,6,5,4,3,2}),11)&lt;2,0,11-MOD(SUMPRODUCT(--MID(T570,{1,2,3,4,5,6,7,8,9,10,11,12,13},1),{6,5,4,3,2,9,8,7,6,5,4,3,2}),11))),"OK","ERRO: dígito verificador")))))</f>
      </c>
      <c r="V570" s="6">
        <f>IF(T570="","",IF(COUNTIF($T$2:$T$1001,T570)&gt;1,"DUPLICADO","OK"))</f>
      </c>
      <c r="W570" s="6">
        <f>IF(M570="","vazio",IF(OR(AND(LEN(SUBSTITUTE(SUBSTITUTE(SUBSTITUTE(SUBSTITUTE(SUBSTITUTE(SUBSTITUTE(SUBSTITUTE(TRIM(M570),".",""),"/",""),"-","")," ",""),"(",""),")",""),"+",""))=10,LEFT(SUBSTITUTE(SUBSTITUTE(SUBSTITUTE(SUBSTITUTE(SUBSTITUTE(SUBSTITUTE(SUBSTITUTE(TRIM(M570),".",""),"/",""),"-","")," ",""),"(",""),")",""),"+",""),1)&lt;&gt;"0"),AND(LEN(SUBSTITUTE(SUBSTITUTE(SUBSTITUTE(SUBSTITUTE(SUBSTITUTE(SUBSTITUTE(SUBSTITUTE(TRIM(M570),".",""),"/",""),"-","")," ",""),"(",""),")",""),"+",""))=11,LEFT(SUBSTITUTE(SUBSTITUTE(SUBSTITUTE(SUBSTITUTE(SUBSTITUTE(SUBSTITUTE(SUBSTITUTE(TRIM(M570),".",""),"/",""),"-","")," ",""),"(",""),")",""),"+",""),4)="0800")),"OK",IF(AND(LEN(SUBSTITUTE(SUBSTITUTE(SUBSTITUTE(SUBSTITUTE(SUBSTITUTE(SUBSTITUTE(SUBSTITUTE(TRIM(M570),".",""),"/",""),"-","")," ",""),"(",""),")",""),"+",""))=11,MID(SUBSTITUTE(SUBSTITUTE(SUBSTITUTE(SUBSTITUTE(SUBSTITUTE(SUBSTITUTE(SUBSTITUTE(TRIM(M570),".",""),"/",""),"-","")," ",""),"(",""),")",""),"+",""),3,1)="9"),"ERRO: é celular, use a coluna Celular","ERRO: DDD + 8 dígitos ou 0800 + 7")))</f>
      </c>
      <c r="X570" s="6">
        <f>IF(N570="","vazio",IF(AND(LEN(SUBSTITUTE(SUBSTITUTE(SUBSTITUTE(SUBSTITUTE(SUBSTITUTE(SUBSTITUTE(SUBSTITUTE(TRIM(N570),".",""),"/",""),"-","")," ",""),"(",""),")",""),"+",""))=11,MID(SUBSTITUTE(SUBSTITUTE(SUBSTITUTE(SUBSTITUTE(SUBSTITUTE(SUBSTITUTE(SUBSTITUTE(TRIM(N570),".",""),"/",""),"-","")," ",""),"(",""),")",""),"+",""),3,1)="9",LEFT(SUBSTITUTE(SUBSTITUTE(SUBSTITUTE(SUBSTITUTE(SUBSTITUTE(SUBSTITUTE(SUBSTITUTE(TRIM(N570),".",""),"/",""),"-","")," ",""),"(",""),")",""),"+",""),1)&lt;&gt;"0"),"OK",IF(LEN(SUBSTITUTE(SUBSTITUTE(SUBSTITUTE(SUBSTITUTE(SUBSTITUTE(SUBSTITUTE(SUBSTITUTE(TRIM(N570),".",""),"/",""),"-","")," ",""),"(",""),")",""),"+",""))=10,"ERRO: é fixo (ou falta o 9), use a coluna Telefone fixo","ERRO: DDD + 9 + 8 dígitos")))</f>
      </c>
      <c r="Y570" s="6">
        <f>IF(O570="","vazio",IF(AND(ISNUMBER(FIND("@",O570)),ISNUMBER(FIND(".",MID(O570,FIND("@",O570),99))),NOT(ISNUMBER(FIND(" ",TRIM(O570)))),NOT(ISNUMBER(FIND(";",O570))),NOT(ISNUMBER(FIND(",",O570)))),"OK","ERRO: um e-mail válido por linha"))</f>
      </c>
      <c r="Z570" s="6">
        <f>IF(AND(J570="",K570=""),"",IF(AND(J570&lt;&gt;"",K570&lt;&gt;""),"OK","pendente: só um nome (o GR completa ao converter)"))</f>
      </c>
      <c r="AA570" s="6">
        <f>IF(COUNTA(A570:S570)=0,"",IF(AND(A570&lt;&gt;"",B570&lt;&gt;"",C570&lt;&gt;"",D570&lt;&gt;"",E570&lt;&gt;"",F570&lt;&gt;"",G570&lt;&gt;"",H570&lt;&gt;"",OR(J570&lt;&gt;"",K570&lt;&gt;""),OR(M570&lt;&gt;"",N570&lt;&gt;"",O570&lt;&gt;"")),"OK","ERRO: faltam "&amp;IF(A570="","SDR; ","")&amp;IF(B570="","Proprietário; ","")&amp;IF(C570="","Origem; ","")&amp;IF(D570="","Temperatura; ","")&amp;IF(E570="","Segmento; ","")&amp;IF(F570="","Time/Cluster; ","")&amp;IF(G570="","CNPJ; ","")&amp;IF(H570="","Razão Social; ","")&amp;IF(AND(J570="",K570=""),"nome do contato; ","")&amp;IF(AND(M570="",N570="",O570=""),"telefone, celular ou e-mail; ","")))</f>
      </c>
      <c r="AB570" s="6">
        <f>IF(COUNTA(A570:S570)=0,"",IF(AND(U570="OK",V570="OK",LEFT(W570,4)&lt;&gt;"ERRO",LEFT(X570,4)&lt;&gt;"ERRO",LEFT(Y570,4)&lt;&gt;"ERRO",AA570="OK"),"OK","REVISAR"))</f>
      </c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5"/>
      <c r="K571" s="4"/>
      <c r="L571" s="4"/>
      <c r="M571" s="4"/>
      <c r="N571" s="4"/>
      <c r="O571" s="4"/>
      <c r="P571" s="4"/>
      <c r="Q571" s="4"/>
      <c r="R571" s="4"/>
      <c r="S571" s="4"/>
      <c r="T571" s="6">
        <f>IF(G571="","",SUBSTITUTE(SUBSTITUTE(SUBSTITUTE(SUBSTITUTE(SUBSTITUTE(SUBSTITUTE(SUBSTITUTE(TRIM(G571),".",""),"/",""),"-","")," ",""),"(",""),")",""),"+",""))</f>
      </c>
      <c r="U571" s="6">
        <f>IF(T571="","",IF(LEN(T571)&lt;&gt;14,"ERRO: "&amp;LEN(T571)&amp;" dígitos",IF(NOT(ISNUMBER(VALUE(T571))),"ERRO: não numérico",IF(LEN(SUBSTITUTE(T571,LEFT(T571,1),""))=0,"ERRO: dígitos repetidos",IF(AND(VALUE(MID(T571,13,1))=IF(MOD(SUMPRODUCT(--MID(T571,{1,2,3,4,5,6,7,8,9,10,11,12},1),{5,4,3,2,9,8,7,6,5,4,3,2}),11)&lt;2,0,11-MOD(SUMPRODUCT(--MID(T571,{1,2,3,4,5,6,7,8,9,10,11,12},1),{5,4,3,2,9,8,7,6,5,4,3,2}),11)),VALUE(MID(T571,14,1))=IF(MOD(SUMPRODUCT(--MID(T571,{1,2,3,4,5,6,7,8,9,10,11,12,13},1),{6,5,4,3,2,9,8,7,6,5,4,3,2}),11)&lt;2,0,11-MOD(SUMPRODUCT(--MID(T571,{1,2,3,4,5,6,7,8,9,10,11,12,13},1),{6,5,4,3,2,9,8,7,6,5,4,3,2}),11))),"OK","ERRO: dígito verificador")))))</f>
      </c>
      <c r="V571" s="6">
        <f>IF(T571="","",IF(COUNTIF($T$2:$T$1001,T571)&gt;1,"DUPLICADO","OK"))</f>
      </c>
      <c r="W571" s="6">
        <f>IF(M571="","vazio",IF(OR(AND(LEN(SUBSTITUTE(SUBSTITUTE(SUBSTITUTE(SUBSTITUTE(SUBSTITUTE(SUBSTITUTE(SUBSTITUTE(TRIM(M571),".",""),"/",""),"-","")," ",""),"(",""),")",""),"+",""))=10,LEFT(SUBSTITUTE(SUBSTITUTE(SUBSTITUTE(SUBSTITUTE(SUBSTITUTE(SUBSTITUTE(SUBSTITUTE(TRIM(M571),".",""),"/",""),"-","")," ",""),"(",""),")",""),"+",""),1)&lt;&gt;"0"),AND(LEN(SUBSTITUTE(SUBSTITUTE(SUBSTITUTE(SUBSTITUTE(SUBSTITUTE(SUBSTITUTE(SUBSTITUTE(TRIM(M571),".",""),"/",""),"-","")," ",""),"(",""),")",""),"+",""))=11,LEFT(SUBSTITUTE(SUBSTITUTE(SUBSTITUTE(SUBSTITUTE(SUBSTITUTE(SUBSTITUTE(SUBSTITUTE(TRIM(M571),".",""),"/",""),"-","")," ",""),"(",""),")",""),"+",""),4)="0800")),"OK",IF(AND(LEN(SUBSTITUTE(SUBSTITUTE(SUBSTITUTE(SUBSTITUTE(SUBSTITUTE(SUBSTITUTE(SUBSTITUTE(TRIM(M571),".",""),"/",""),"-","")," ",""),"(",""),")",""),"+",""))=11,MID(SUBSTITUTE(SUBSTITUTE(SUBSTITUTE(SUBSTITUTE(SUBSTITUTE(SUBSTITUTE(SUBSTITUTE(TRIM(M571),".",""),"/",""),"-","")," ",""),"(",""),")",""),"+",""),3,1)="9"),"ERRO: é celular, use a coluna Celular","ERRO: DDD + 8 dígitos ou 0800 + 7")))</f>
      </c>
      <c r="X571" s="6">
        <f>IF(N571="","vazio",IF(AND(LEN(SUBSTITUTE(SUBSTITUTE(SUBSTITUTE(SUBSTITUTE(SUBSTITUTE(SUBSTITUTE(SUBSTITUTE(TRIM(N571),".",""),"/",""),"-","")," ",""),"(",""),")",""),"+",""))=11,MID(SUBSTITUTE(SUBSTITUTE(SUBSTITUTE(SUBSTITUTE(SUBSTITUTE(SUBSTITUTE(SUBSTITUTE(TRIM(N571),".",""),"/",""),"-","")," ",""),"(",""),")",""),"+",""),3,1)="9",LEFT(SUBSTITUTE(SUBSTITUTE(SUBSTITUTE(SUBSTITUTE(SUBSTITUTE(SUBSTITUTE(SUBSTITUTE(TRIM(N571),".",""),"/",""),"-","")," ",""),"(",""),")",""),"+",""),1)&lt;&gt;"0"),"OK",IF(LEN(SUBSTITUTE(SUBSTITUTE(SUBSTITUTE(SUBSTITUTE(SUBSTITUTE(SUBSTITUTE(SUBSTITUTE(TRIM(N571),".",""),"/",""),"-","")," ",""),"(",""),")",""),"+",""))=10,"ERRO: é fixo (ou falta o 9), use a coluna Telefone fixo","ERRO: DDD + 9 + 8 dígitos")))</f>
      </c>
      <c r="Y571" s="6">
        <f>IF(O571="","vazio",IF(AND(ISNUMBER(FIND("@",O571)),ISNUMBER(FIND(".",MID(O571,FIND("@",O571),99))),NOT(ISNUMBER(FIND(" ",TRIM(O571)))),NOT(ISNUMBER(FIND(";",O571))),NOT(ISNUMBER(FIND(",",O571)))),"OK","ERRO: um e-mail válido por linha"))</f>
      </c>
      <c r="Z571" s="6">
        <f>IF(AND(J571="",K571=""),"",IF(AND(J571&lt;&gt;"",K571&lt;&gt;""),"OK","pendente: só um nome (o GR completa ao converter)"))</f>
      </c>
      <c r="AA571" s="6">
        <f>IF(COUNTA(A571:S571)=0,"",IF(AND(A571&lt;&gt;"",B571&lt;&gt;"",C571&lt;&gt;"",D571&lt;&gt;"",E571&lt;&gt;"",F571&lt;&gt;"",G571&lt;&gt;"",H571&lt;&gt;"",OR(J571&lt;&gt;"",K571&lt;&gt;""),OR(M571&lt;&gt;"",N571&lt;&gt;"",O571&lt;&gt;"")),"OK","ERRO: faltam "&amp;IF(A571="","SDR; ","")&amp;IF(B571="","Proprietário; ","")&amp;IF(C571="","Origem; ","")&amp;IF(D571="","Temperatura; ","")&amp;IF(E571="","Segmento; ","")&amp;IF(F571="","Time/Cluster; ","")&amp;IF(G571="","CNPJ; ","")&amp;IF(H571="","Razão Social; ","")&amp;IF(AND(J571="",K571=""),"nome do contato; ","")&amp;IF(AND(M571="",N571="",O571=""),"telefone, celular ou e-mail; ","")))</f>
      </c>
      <c r="AB571" s="6">
        <f>IF(COUNTA(A571:S571)=0,"",IF(AND(U571="OK",V571="OK",LEFT(W571,4)&lt;&gt;"ERRO",LEFT(X571,4)&lt;&gt;"ERRO",LEFT(Y571,4)&lt;&gt;"ERRO",AA571="OK"),"OK","REVISAR"))</f>
      </c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5"/>
      <c r="K572" s="4"/>
      <c r="L572" s="4"/>
      <c r="M572" s="4"/>
      <c r="N572" s="4"/>
      <c r="O572" s="4"/>
      <c r="P572" s="4"/>
      <c r="Q572" s="4"/>
      <c r="R572" s="4"/>
      <c r="S572" s="4"/>
      <c r="T572" s="6">
        <f>IF(G572="","",SUBSTITUTE(SUBSTITUTE(SUBSTITUTE(SUBSTITUTE(SUBSTITUTE(SUBSTITUTE(SUBSTITUTE(TRIM(G572),".",""),"/",""),"-","")," ",""),"(",""),")",""),"+",""))</f>
      </c>
      <c r="U572" s="6">
        <f>IF(T572="","",IF(LEN(T572)&lt;&gt;14,"ERRO: "&amp;LEN(T572)&amp;" dígitos",IF(NOT(ISNUMBER(VALUE(T572))),"ERRO: não numérico",IF(LEN(SUBSTITUTE(T572,LEFT(T572,1),""))=0,"ERRO: dígitos repetidos",IF(AND(VALUE(MID(T572,13,1))=IF(MOD(SUMPRODUCT(--MID(T572,{1,2,3,4,5,6,7,8,9,10,11,12},1),{5,4,3,2,9,8,7,6,5,4,3,2}),11)&lt;2,0,11-MOD(SUMPRODUCT(--MID(T572,{1,2,3,4,5,6,7,8,9,10,11,12},1),{5,4,3,2,9,8,7,6,5,4,3,2}),11)),VALUE(MID(T572,14,1))=IF(MOD(SUMPRODUCT(--MID(T572,{1,2,3,4,5,6,7,8,9,10,11,12,13},1),{6,5,4,3,2,9,8,7,6,5,4,3,2}),11)&lt;2,0,11-MOD(SUMPRODUCT(--MID(T572,{1,2,3,4,5,6,7,8,9,10,11,12,13},1),{6,5,4,3,2,9,8,7,6,5,4,3,2}),11))),"OK","ERRO: dígito verificador")))))</f>
      </c>
      <c r="V572" s="6">
        <f>IF(T572="","",IF(COUNTIF($T$2:$T$1001,T572)&gt;1,"DUPLICADO","OK"))</f>
      </c>
      <c r="W572" s="6">
        <f>IF(M572="","vazio",IF(OR(AND(LEN(SUBSTITUTE(SUBSTITUTE(SUBSTITUTE(SUBSTITUTE(SUBSTITUTE(SUBSTITUTE(SUBSTITUTE(TRIM(M572),".",""),"/",""),"-","")," ",""),"(",""),")",""),"+",""))=10,LEFT(SUBSTITUTE(SUBSTITUTE(SUBSTITUTE(SUBSTITUTE(SUBSTITUTE(SUBSTITUTE(SUBSTITUTE(TRIM(M572),".",""),"/",""),"-","")," ",""),"(",""),")",""),"+",""),1)&lt;&gt;"0"),AND(LEN(SUBSTITUTE(SUBSTITUTE(SUBSTITUTE(SUBSTITUTE(SUBSTITUTE(SUBSTITUTE(SUBSTITUTE(TRIM(M572),".",""),"/",""),"-","")," ",""),"(",""),")",""),"+",""))=11,LEFT(SUBSTITUTE(SUBSTITUTE(SUBSTITUTE(SUBSTITUTE(SUBSTITUTE(SUBSTITUTE(SUBSTITUTE(TRIM(M572),".",""),"/",""),"-","")," ",""),"(",""),")",""),"+",""),4)="0800")),"OK",IF(AND(LEN(SUBSTITUTE(SUBSTITUTE(SUBSTITUTE(SUBSTITUTE(SUBSTITUTE(SUBSTITUTE(SUBSTITUTE(TRIM(M572),".",""),"/",""),"-","")," ",""),"(",""),")",""),"+",""))=11,MID(SUBSTITUTE(SUBSTITUTE(SUBSTITUTE(SUBSTITUTE(SUBSTITUTE(SUBSTITUTE(SUBSTITUTE(TRIM(M572),".",""),"/",""),"-","")," ",""),"(",""),")",""),"+",""),3,1)="9"),"ERRO: é celular, use a coluna Celular","ERRO: DDD + 8 dígitos ou 0800 + 7")))</f>
      </c>
      <c r="X572" s="6">
        <f>IF(N572="","vazio",IF(AND(LEN(SUBSTITUTE(SUBSTITUTE(SUBSTITUTE(SUBSTITUTE(SUBSTITUTE(SUBSTITUTE(SUBSTITUTE(TRIM(N572),".",""),"/",""),"-","")," ",""),"(",""),")",""),"+",""))=11,MID(SUBSTITUTE(SUBSTITUTE(SUBSTITUTE(SUBSTITUTE(SUBSTITUTE(SUBSTITUTE(SUBSTITUTE(TRIM(N572),".",""),"/",""),"-","")," ",""),"(",""),")",""),"+",""),3,1)="9",LEFT(SUBSTITUTE(SUBSTITUTE(SUBSTITUTE(SUBSTITUTE(SUBSTITUTE(SUBSTITUTE(SUBSTITUTE(TRIM(N572),".",""),"/",""),"-","")," ",""),"(",""),")",""),"+",""),1)&lt;&gt;"0"),"OK",IF(LEN(SUBSTITUTE(SUBSTITUTE(SUBSTITUTE(SUBSTITUTE(SUBSTITUTE(SUBSTITUTE(SUBSTITUTE(TRIM(N572),".",""),"/",""),"-","")," ",""),"(",""),")",""),"+",""))=10,"ERRO: é fixo (ou falta o 9), use a coluna Telefone fixo","ERRO: DDD + 9 + 8 dígitos")))</f>
      </c>
      <c r="Y572" s="6">
        <f>IF(O572="","vazio",IF(AND(ISNUMBER(FIND("@",O572)),ISNUMBER(FIND(".",MID(O572,FIND("@",O572),99))),NOT(ISNUMBER(FIND(" ",TRIM(O572)))),NOT(ISNUMBER(FIND(";",O572))),NOT(ISNUMBER(FIND(",",O572)))),"OK","ERRO: um e-mail válido por linha"))</f>
      </c>
      <c r="Z572" s="6">
        <f>IF(AND(J572="",K572=""),"",IF(AND(J572&lt;&gt;"",K572&lt;&gt;""),"OK","pendente: só um nome (o GR completa ao converter)"))</f>
      </c>
      <c r="AA572" s="6">
        <f>IF(COUNTA(A572:S572)=0,"",IF(AND(A572&lt;&gt;"",B572&lt;&gt;"",C572&lt;&gt;"",D572&lt;&gt;"",E572&lt;&gt;"",F572&lt;&gt;"",G572&lt;&gt;"",H572&lt;&gt;"",OR(J572&lt;&gt;"",K572&lt;&gt;""),OR(M572&lt;&gt;"",N572&lt;&gt;"",O572&lt;&gt;"")),"OK","ERRO: faltam "&amp;IF(A572="","SDR; ","")&amp;IF(B572="","Proprietário; ","")&amp;IF(C572="","Origem; ","")&amp;IF(D572="","Temperatura; ","")&amp;IF(E572="","Segmento; ","")&amp;IF(F572="","Time/Cluster; ","")&amp;IF(G572="","CNPJ; ","")&amp;IF(H572="","Razão Social; ","")&amp;IF(AND(J572="",K572=""),"nome do contato; ","")&amp;IF(AND(M572="",N572="",O572=""),"telefone, celular ou e-mail; ","")))</f>
      </c>
      <c r="AB572" s="6">
        <f>IF(COUNTA(A572:S572)=0,"",IF(AND(U572="OK",V572="OK",LEFT(W572,4)&lt;&gt;"ERRO",LEFT(X572,4)&lt;&gt;"ERRO",LEFT(Y572,4)&lt;&gt;"ERRO",AA572="OK"),"OK","REVISAR"))</f>
      </c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5"/>
      <c r="K573" s="4"/>
      <c r="L573" s="4"/>
      <c r="M573" s="4"/>
      <c r="N573" s="4"/>
      <c r="O573" s="4"/>
      <c r="P573" s="4"/>
      <c r="Q573" s="4"/>
      <c r="R573" s="4"/>
      <c r="S573" s="4"/>
      <c r="T573" s="6">
        <f>IF(G573="","",SUBSTITUTE(SUBSTITUTE(SUBSTITUTE(SUBSTITUTE(SUBSTITUTE(SUBSTITUTE(SUBSTITUTE(TRIM(G573),".",""),"/",""),"-","")," ",""),"(",""),")",""),"+",""))</f>
      </c>
      <c r="U573" s="6">
        <f>IF(T573="","",IF(LEN(T573)&lt;&gt;14,"ERRO: "&amp;LEN(T573)&amp;" dígitos",IF(NOT(ISNUMBER(VALUE(T573))),"ERRO: não numérico",IF(LEN(SUBSTITUTE(T573,LEFT(T573,1),""))=0,"ERRO: dígitos repetidos",IF(AND(VALUE(MID(T573,13,1))=IF(MOD(SUMPRODUCT(--MID(T573,{1,2,3,4,5,6,7,8,9,10,11,12},1),{5,4,3,2,9,8,7,6,5,4,3,2}),11)&lt;2,0,11-MOD(SUMPRODUCT(--MID(T573,{1,2,3,4,5,6,7,8,9,10,11,12},1),{5,4,3,2,9,8,7,6,5,4,3,2}),11)),VALUE(MID(T573,14,1))=IF(MOD(SUMPRODUCT(--MID(T573,{1,2,3,4,5,6,7,8,9,10,11,12,13},1),{6,5,4,3,2,9,8,7,6,5,4,3,2}),11)&lt;2,0,11-MOD(SUMPRODUCT(--MID(T573,{1,2,3,4,5,6,7,8,9,10,11,12,13},1),{6,5,4,3,2,9,8,7,6,5,4,3,2}),11))),"OK","ERRO: dígito verificador")))))</f>
      </c>
      <c r="V573" s="6">
        <f>IF(T573="","",IF(COUNTIF($T$2:$T$1001,T573)&gt;1,"DUPLICADO","OK"))</f>
      </c>
      <c r="W573" s="6">
        <f>IF(M573="","vazio",IF(OR(AND(LEN(SUBSTITUTE(SUBSTITUTE(SUBSTITUTE(SUBSTITUTE(SUBSTITUTE(SUBSTITUTE(SUBSTITUTE(TRIM(M573),".",""),"/",""),"-","")," ",""),"(",""),")",""),"+",""))=10,LEFT(SUBSTITUTE(SUBSTITUTE(SUBSTITUTE(SUBSTITUTE(SUBSTITUTE(SUBSTITUTE(SUBSTITUTE(TRIM(M573),".",""),"/",""),"-","")," ",""),"(",""),")",""),"+",""),1)&lt;&gt;"0"),AND(LEN(SUBSTITUTE(SUBSTITUTE(SUBSTITUTE(SUBSTITUTE(SUBSTITUTE(SUBSTITUTE(SUBSTITUTE(TRIM(M573),".",""),"/",""),"-","")," ",""),"(",""),")",""),"+",""))=11,LEFT(SUBSTITUTE(SUBSTITUTE(SUBSTITUTE(SUBSTITUTE(SUBSTITUTE(SUBSTITUTE(SUBSTITUTE(TRIM(M573),".",""),"/",""),"-","")," ",""),"(",""),")",""),"+",""),4)="0800")),"OK",IF(AND(LEN(SUBSTITUTE(SUBSTITUTE(SUBSTITUTE(SUBSTITUTE(SUBSTITUTE(SUBSTITUTE(SUBSTITUTE(TRIM(M573),".",""),"/",""),"-","")," ",""),"(",""),")",""),"+",""))=11,MID(SUBSTITUTE(SUBSTITUTE(SUBSTITUTE(SUBSTITUTE(SUBSTITUTE(SUBSTITUTE(SUBSTITUTE(TRIM(M573),".",""),"/",""),"-","")," ",""),"(",""),")",""),"+",""),3,1)="9"),"ERRO: é celular, use a coluna Celular","ERRO: DDD + 8 dígitos ou 0800 + 7")))</f>
      </c>
      <c r="X573" s="6">
        <f>IF(N573="","vazio",IF(AND(LEN(SUBSTITUTE(SUBSTITUTE(SUBSTITUTE(SUBSTITUTE(SUBSTITUTE(SUBSTITUTE(SUBSTITUTE(TRIM(N573),".",""),"/",""),"-","")," ",""),"(",""),")",""),"+",""))=11,MID(SUBSTITUTE(SUBSTITUTE(SUBSTITUTE(SUBSTITUTE(SUBSTITUTE(SUBSTITUTE(SUBSTITUTE(TRIM(N573),".",""),"/",""),"-","")," ",""),"(",""),")",""),"+",""),3,1)="9",LEFT(SUBSTITUTE(SUBSTITUTE(SUBSTITUTE(SUBSTITUTE(SUBSTITUTE(SUBSTITUTE(SUBSTITUTE(TRIM(N573),".",""),"/",""),"-","")," ",""),"(",""),")",""),"+",""),1)&lt;&gt;"0"),"OK",IF(LEN(SUBSTITUTE(SUBSTITUTE(SUBSTITUTE(SUBSTITUTE(SUBSTITUTE(SUBSTITUTE(SUBSTITUTE(TRIM(N573),".",""),"/",""),"-","")," ",""),"(",""),")",""),"+",""))=10,"ERRO: é fixo (ou falta o 9), use a coluna Telefone fixo","ERRO: DDD + 9 + 8 dígitos")))</f>
      </c>
      <c r="Y573" s="6">
        <f>IF(O573="","vazio",IF(AND(ISNUMBER(FIND("@",O573)),ISNUMBER(FIND(".",MID(O573,FIND("@",O573),99))),NOT(ISNUMBER(FIND(" ",TRIM(O573)))),NOT(ISNUMBER(FIND(";",O573))),NOT(ISNUMBER(FIND(",",O573)))),"OK","ERRO: um e-mail válido por linha"))</f>
      </c>
      <c r="Z573" s="6">
        <f>IF(AND(J573="",K573=""),"",IF(AND(J573&lt;&gt;"",K573&lt;&gt;""),"OK","pendente: só um nome (o GR completa ao converter)"))</f>
      </c>
      <c r="AA573" s="6">
        <f>IF(COUNTA(A573:S573)=0,"",IF(AND(A573&lt;&gt;"",B573&lt;&gt;"",C573&lt;&gt;"",D573&lt;&gt;"",E573&lt;&gt;"",F573&lt;&gt;"",G573&lt;&gt;"",H573&lt;&gt;"",OR(J573&lt;&gt;"",K573&lt;&gt;""),OR(M573&lt;&gt;"",N573&lt;&gt;"",O573&lt;&gt;"")),"OK","ERRO: faltam "&amp;IF(A573="","SDR; ","")&amp;IF(B573="","Proprietário; ","")&amp;IF(C573="","Origem; ","")&amp;IF(D573="","Temperatura; ","")&amp;IF(E573="","Segmento; ","")&amp;IF(F573="","Time/Cluster; ","")&amp;IF(G573="","CNPJ; ","")&amp;IF(H573="","Razão Social; ","")&amp;IF(AND(J573="",K573=""),"nome do contato; ","")&amp;IF(AND(M573="",N573="",O573=""),"telefone, celular ou e-mail; ","")))</f>
      </c>
      <c r="AB573" s="6">
        <f>IF(COUNTA(A573:S573)=0,"",IF(AND(U573="OK",V573="OK",LEFT(W573,4)&lt;&gt;"ERRO",LEFT(X573,4)&lt;&gt;"ERRO",LEFT(Y573,4)&lt;&gt;"ERRO",AA573="OK"),"OK","REVISAR"))</f>
      </c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5"/>
      <c r="K574" s="4"/>
      <c r="L574" s="4"/>
      <c r="M574" s="4"/>
      <c r="N574" s="4"/>
      <c r="O574" s="4"/>
      <c r="P574" s="4"/>
      <c r="Q574" s="4"/>
      <c r="R574" s="4"/>
      <c r="S574" s="4"/>
      <c r="T574" s="6">
        <f>IF(G574="","",SUBSTITUTE(SUBSTITUTE(SUBSTITUTE(SUBSTITUTE(SUBSTITUTE(SUBSTITUTE(SUBSTITUTE(TRIM(G574),".",""),"/",""),"-","")," ",""),"(",""),")",""),"+",""))</f>
      </c>
      <c r="U574" s="6">
        <f>IF(T574="","",IF(LEN(T574)&lt;&gt;14,"ERRO: "&amp;LEN(T574)&amp;" dígitos",IF(NOT(ISNUMBER(VALUE(T574))),"ERRO: não numérico",IF(LEN(SUBSTITUTE(T574,LEFT(T574,1),""))=0,"ERRO: dígitos repetidos",IF(AND(VALUE(MID(T574,13,1))=IF(MOD(SUMPRODUCT(--MID(T574,{1,2,3,4,5,6,7,8,9,10,11,12},1),{5,4,3,2,9,8,7,6,5,4,3,2}),11)&lt;2,0,11-MOD(SUMPRODUCT(--MID(T574,{1,2,3,4,5,6,7,8,9,10,11,12},1),{5,4,3,2,9,8,7,6,5,4,3,2}),11)),VALUE(MID(T574,14,1))=IF(MOD(SUMPRODUCT(--MID(T574,{1,2,3,4,5,6,7,8,9,10,11,12,13},1),{6,5,4,3,2,9,8,7,6,5,4,3,2}),11)&lt;2,0,11-MOD(SUMPRODUCT(--MID(T574,{1,2,3,4,5,6,7,8,9,10,11,12,13},1),{6,5,4,3,2,9,8,7,6,5,4,3,2}),11))),"OK","ERRO: dígito verificador")))))</f>
      </c>
      <c r="V574" s="6">
        <f>IF(T574="","",IF(COUNTIF($T$2:$T$1001,T574)&gt;1,"DUPLICADO","OK"))</f>
      </c>
      <c r="W574" s="6">
        <f>IF(M574="","vazio",IF(OR(AND(LEN(SUBSTITUTE(SUBSTITUTE(SUBSTITUTE(SUBSTITUTE(SUBSTITUTE(SUBSTITUTE(SUBSTITUTE(TRIM(M574),".",""),"/",""),"-","")," ",""),"(",""),")",""),"+",""))=10,LEFT(SUBSTITUTE(SUBSTITUTE(SUBSTITUTE(SUBSTITUTE(SUBSTITUTE(SUBSTITUTE(SUBSTITUTE(TRIM(M574),".",""),"/",""),"-","")," ",""),"(",""),")",""),"+",""),1)&lt;&gt;"0"),AND(LEN(SUBSTITUTE(SUBSTITUTE(SUBSTITUTE(SUBSTITUTE(SUBSTITUTE(SUBSTITUTE(SUBSTITUTE(TRIM(M574),".",""),"/",""),"-","")," ",""),"(",""),")",""),"+",""))=11,LEFT(SUBSTITUTE(SUBSTITUTE(SUBSTITUTE(SUBSTITUTE(SUBSTITUTE(SUBSTITUTE(SUBSTITUTE(TRIM(M574),".",""),"/",""),"-","")," ",""),"(",""),")",""),"+",""),4)="0800")),"OK",IF(AND(LEN(SUBSTITUTE(SUBSTITUTE(SUBSTITUTE(SUBSTITUTE(SUBSTITUTE(SUBSTITUTE(SUBSTITUTE(TRIM(M574),".",""),"/",""),"-","")," ",""),"(",""),")",""),"+",""))=11,MID(SUBSTITUTE(SUBSTITUTE(SUBSTITUTE(SUBSTITUTE(SUBSTITUTE(SUBSTITUTE(SUBSTITUTE(TRIM(M574),".",""),"/",""),"-","")," ",""),"(",""),")",""),"+",""),3,1)="9"),"ERRO: é celular, use a coluna Celular","ERRO: DDD + 8 dígitos ou 0800 + 7")))</f>
      </c>
      <c r="X574" s="6">
        <f>IF(N574="","vazio",IF(AND(LEN(SUBSTITUTE(SUBSTITUTE(SUBSTITUTE(SUBSTITUTE(SUBSTITUTE(SUBSTITUTE(SUBSTITUTE(TRIM(N574),".",""),"/",""),"-","")," ",""),"(",""),")",""),"+",""))=11,MID(SUBSTITUTE(SUBSTITUTE(SUBSTITUTE(SUBSTITUTE(SUBSTITUTE(SUBSTITUTE(SUBSTITUTE(TRIM(N574),".",""),"/",""),"-","")," ",""),"(",""),")",""),"+",""),3,1)="9",LEFT(SUBSTITUTE(SUBSTITUTE(SUBSTITUTE(SUBSTITUTE(SUBSTITUTE(SUBSTITUTE(SUBSTITUTE(TRIM(N574),".",""),"/",""),"-","")," ",""),"(",""),")",""),"+",""),1)&lt;&gt;"0"),"OK",IF(LEN(SUBSTITUTE(SUBSTITUTE(SUBSTITUTE(SUBSTITUTE(SUBSTITUTE(SUBSTITUTE(SUBSTITUTE(TRIM(N574),".",""),"/",""),"-","")," ",""),"(",""),")",""),"+",""))=10,"ERRO: é fixo (ou falta o 9), use a coluna Telefone fixo","ERRO: DDD + 9 + 8 dígitos")))</f>
      </c>
      <c r="Y574" s="6">
        <f>IF(O574="","vazio",IF(AND(ISNUMBER(FIND("@",O574)),ISNUMBER(FIND(".",MID(O574,FIND("@",O574),99))),NOT(ISNUMBER(FIND(" ",TRIM(O574)))),NOT(ISNUMBER(FIND(";",O574))),NOT(ISNUMBER(FIND(",",O574)))),"OK","ERRO: um e-mail válido por linha"))</f>
      </c>
      <c r="Z574" s="6">
        <f>IF(AND(J574="",K574=""),"",IF(AND(J574&lt;&gt;"",K574&lt;&gt;""),"OK","pendente: só um nome (o GR completa ao converter)"))</f>
      </c>
      <c r="AA574" s="6">
        <f>IF(COUNTA(A574:S574)=0,"",IF(AND(A574&lt;&gt;"",B574&lt;&gt;"",C574&lt;&gt;"",D574&lt;&gt;"",E574&lt;&gt;"",F574&lt;&gt;"",G574&lt;&gt;"",H574&lt;&gt;"",OR(J574&lt;&gt;"",K574&lt;&gt;""),OR(M574&lt;&gt;"",N574&lt;&gt;"",O574&lt;&gt;"")),"OK","ERRO: faltam "&amp;IF(A574="","SDR; ","")&amp;IF(B574="","Proprietário; ","")&amp;IF(C574="","Origem; ","")&amp;IF(D574="","Temperatura; ","")&amp;IF(E574="","Segmento; ","")&amp;IF(F574="","Time/Cluster; ","")&amp;IF(G574="","CNPJ; ","")&amp;IF(H574="","Razão Social; ","")&amp;IF(AND(J574="",K574=""),"nome do contato; ","")&amp;IF(AND(M574="",N574="",O574=""),"telefone, celular ou e-mail; ","")))</f>
      </c>
      <c r="AB574" s="6">
        <f>IF(COUNTA(A574:S574)=0,"",IF(AND(U574="OK",V574="OK",LEFT(W574,4)&lt;&gt;"ERRO",LEFT(X574,4)&lt;&gt;"ERRO",LEFT(Y574,4)&lt;&gt;"ERRO",AA574="OK"),"OK","REVISAR"))</f>
      </c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5"/>
      <c r="K575" s="4"/>
      <c r="L575" s="4"/>
      <c r="M575" s="4"/>
      <c r="N575" s="4"/>
      <c r="O575" s="4"/>
      <c r="P575" s="4"/>
      <c r="Q575" s="4"/>
      <c r="R575" s="4"/>
      <c r="S575" s="4"/>
      <c r="T575" s="6">
        <f>IF(G575="","",SUBSTITUTE(SUBSTITUTE(SUBSTITUTE(SUBSTITUTE(SUBSTITUTE(SUBSTITUTE(SUBSTITUTE(TRIM(G575),".",""),"/",""),"-","")," ",""),"(",""),")",""),"+",""))</f>
      </c>
      <c r="U575" s="6">
        <f>IF(T575="","",IF(LEN(T575)&lt;&gt;14,"ERRO: "&amp;LEN(T575)&amp;" dígitos",IF(NOT(ISNUMBER(VALUE(T575))),"ERRO: não numérico",IF(LEN(SUBSTITUTE(T575,LEFT(T575,1),""))=0,"ERRO: dígitos repetidos",IF(AND(VALUE(MID(T575,13,1))=IF(MOD(SUMPRODUCT(--MID(T575,{1,2,3,4,5,6,7,8,9,10,11,12},1),{5,4,3,2,9,8,7,6,5,4,3,2}),11)&lt;2,0,11-MOD(SUMPRODUCT(--MID(T575,{1,2,3,4,5,6,7,8,9,10,11,12},1),{5,4,3,2,9,8,7,6,5,4,3,2}),11)),VALUE(MID(T575,14,1))=IF(MOD(SUMPRODUCT(--MID(T575,{1,2,3,4,5,6,7,8,9,10,11,12,13},1),{6,5,4,3,2,9,8,7,6,5,4,3,2}),11)&lt;2,0,11-MOD(SUMPRODUCT(--MID(T575,{1,2,3,4,5,6,7,8,9,10,11,12,13},1),{6,5,4,3,2,9,8,7,6,5,4,3,2}),11))),"OK","ERRO: dígito verificador")))))</f>
      </c>
      <c r="V575" s="6">
        <f>IF(T575="","",IF(COUNTIF($T$2:$T$1001,T575)&gt;1,"DUPLICADO","OK"))</f>
      </c>
      <c r="W575" s="6">
        <f>IF(M575="","vazio",IF(OR(AND(LEN(SUBSTITUTE(SUBSTITUTE(SUBSTITUTE(SUBSTITUTE(SUBSTITUTE(SUBSTITUTE(SUBSTITUTE(TRIM(M575),".",""),"/",""),"-","")," ",""),"(",""),")",""),"+",""))=10,LEFT(SUBSTITUTE(SUBSTITUTE(SUBSTITUTE(SUBSTITUTE(SUBSTITUTE(SUBSTITUTE(SUBSTITUTE(TRIM(M575),".",""),"/",""),"-","")," ",""),"(",""),")",""),"+",""),1)&lt;&gt;"0"),AND(LEN(SUBSTITUTE(SUBSTITUTE(SUBSTITUTE(SUBSTITUTE(SUBSTITUTE(SUBSTITUTE(SUBSTITUTE(TRIM(M575),".",""),"/",""),"-","")," ",""),"(",""),")",""),"+",""))=11,LEFT(SUBSTITUTE(SUBSTITUTE(SUBSTITUTE(SUBSTITUTE(SUBSTITUTE(SUBSTITUTE(SUBSTITUTE(TRIM(M575),".",""),"/",""),"-","")," ",""),"(",""),")",""),"+",""),4)="0800")),"OK",IF(AND(LEN(SUBSTITUTE(SUBSTITUTE(SUBSTITUTE(SUBSTITUTE(SUBSTITUTE(SUBSTITUTE(SUBSTITUTE(TRIM(M575),".",""),"/",""),"-","")," ",""),"(",""),")",""),"+",""))=11,MID(SUBSTITUTE(SUBSTITUTE(SUBSTITUTE(SUBSTITUTE(SUBSTITUTE(SUBSTITUTE(SUBSTITUTE(TRIM(M575),".",""),"/",""),"-","")," ",""),"(",""),")",""),"+",""),3,1)="9"),"ERRO: é celular, use a coluna Celular","ERRO: DDD + 8 dígitos ou 0800 + 7")))</f>
      </c>
      <c r="X575" s="6">
        <f>IF(N575="","vazio",IF(AND(LEN(SUBSTITUTE(SUBSTITUTE(SUBSTITUTE(SUBSTITUTE(SUBSTITUTE(SUBSTITUTE(SUBSTITUTE(TRIM(N575),".",""),"/",""),"-","")," ",""),"(",""),")",""),"+",""))=11,MID(SUBSTITUTE(SUBSTITUTE(SUBSTITUTE(SUBSTITUTE(SUBSTITUTE(SUBSTITUTE(SUBSTITUTE(TRIM(N575),".",""),"/",""),"-","")," ",""),"(",""),")",""),"+",""),3,1)="9",LEFT(SUBSTITUTE(SUBSTITUTE(SUBSTITUTE(SUBSTITUTE(SUBSTITUTE(SUBSTITUTE(SUBSTITUTE(TRIM(N575),".",""),"/",""),"-","")," ",""),"(",""),")",""),"+",""),1)&lt;&gt;"0"),"OK",IF(LEN(SUBSTITUTE(SUBSTITUTE(SUBSTITUTE(SUBSTITUTE(SUBSTITUTE(SUBSTITUTE(SUBSTITUTE(TRIM(N575),".",""),"/",""),"-","")," ",""),"(",""),")",""),"+",""))=10,"ERRO: é fixo (ou falta o 9), use a coluna Telefone fixo","ERRO: DDD + 9 + 8 dígitos")))</f>
      </c>
      <c r="Y575" s="6">
        <f>IF(O575="","vazio",IF(AND(ISNUMBER(FIND("@",O575)),ISNUMBER(FIND(".",MID(O575,FIND("@",O575),99))),NOT(ISNUMBER(FIND(" ",TRIM(O575)))),NOT(ISNUMBER(FIND(";",O575))),NOT(ISNUMBER(FIND(",",O575)))),"OK","ERRO: um e-mail válido por linha"))</f>
      </c>
      <c r="Z575" s="6">
        <f>IF(AND(J575="",K575=""),"",IF(AND(J575&lt;&gt;"",K575&lt;&gt;""),"OK","pendente: só um nome (o GR completa ao converter)"))</f>
      </c>
      <c r="AA575" s="6">
        <f>IF(COUNTA(A575:S575)=0,"",IF(AND(A575&lt;&gt;"",B575&lt;&gt;"",C575&lt;&gt;"",D575&lt;&gt;"",E575&lt;&gt;"",F575&lt;&gt;"",G575&lt;&gt;"",H575&lt;&gt;"",OR(J575&lt;&gt;"",K575&lt;&gt;""),OR(M575&lt;&gt;"",N575&lt;&gt;"",O575&lt;&gt;"")),"OK","ERRO: faltam "&amp;IF(A575="","SDR; ","")&amp;IF(B575="","Proprietário; ","")&amp;IF(C575="","Origem; ","")&amp;IF(D575="","Temperatura; ","")&amp;IF(E575="","Segmento; ","")&amp;IF(F575="","Time/Cluster; ","")&amp;IF(G575="","CNPJ; ","")&amp;IF(H575="","Razão Social; ","")&amp;IF(AND(J575="",K575=""),"nome do contato; ","")&amp;IF(AND(M575="",N575="",O575=""),"telefone, celular ou e-mail; ","")))</f>
      </c>
      <c r="AB575" s="6">
        <f>IF(COUNTA(A575:S575)=0,"",IF(AND(U575="OK",V575="OK",LEFT(W575,4)&lt;&gt;"ERRO",LEFT(X575,4)&lt;&gt;"ERRO",LEFT(Y575,4)&lt;&gt;"ERRO",AA575="OK"),"OK","REVISAR"))</f>
      </c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5"/>
      <c r="K576" s="4"/>
      <c r="L576" s="4"/>
      <c r="M576" s="4"/>
      <c r="N576" s="4"/>
      <c r="O576" s="4"/>
      <c r="P576" s="4"/>
      <c r="Q576" s="4"/>
      <c r="R576" s="4"/>
      <c r="S576" s="4"/>
      <c r="T576" s="6">
        <f>IF(G576="","",SUBSTITUTE(SUBSTITUTE(SUBSTITUTE(SUBSTITUTE(SUBSTITUTE(SUBSTITUTE(SUBSTITUTE(TRIM(G576),".",""),"/",""),"-","")," ",""),"(",""),")",""),"+",""))</f>
      </c>
      <c r="U576" s="6">
        <f>IF(T576="","",IF(LEN(T576)&lt;&gt;14,"ERRO: "&amp;LEN(T576)&amp;" dígitos",IF(NOT(ISNUMBER(VALUE(T576))),"ERRO: não numérico",IF(LEN(SUBSTITUTE(T576,LEFT(T576,1),""))=0,"ERRO: dígitos repetidos",IF(AND(VALUE(MID(T576,13,1))=IF(MOD(SUMPRODUCT(--MID(T576,{1,2,3,4,5,6,7,8,9,10,11,12},1),{5,4,3,2,9,8,7,6,5,4,3,2}),11)&lt;2,0,11-MOD(SUMPRODUCT(--MID(T576,{1,2,3,4,5,6,7,8,9,10,11,12},1),{5,4,3,2,9,8,7,6,5,4,3,2}),11)),VALUE(MID(T576,14,1))=IF(MOD(SUMPRODUCT(--MID(T576,{1,2,3,4,5,6,7,8,9,10,11,12,13},1),{6,5,4,3,2,9,8,7,6,5,4,3,2}),11)&lt;2,0,11-MOD(SUMPRODUCT(--MID(T576,{1,2,3,4,5,6,7,8,9,10,11,12,13},1),{6,5,4,3,2,9,8,7,6,5,4,3,2}),11))),"OK","ERRO: dígito verificador")))))</f>
      </c>
      <c r="V576" s="6">
        <f>IF(T576="","",IF(COUNTIF($T$2:$T$1001,T576)&gt;1,"DUPLICADO","OK"))</f>
      </c>
      <c r="W576" s="6">
        <f>IF(M576="","vazio",IF(OR(AND(LEN(SUBSTITUTE(SUBSTITUTE(SUBSTITUTE(SUBSTITUTE(SUBSTITUTE(SUBSTITUTE(SUBSTITUTE(TRIM(M576),".",""),"/",""),"-","")," ",""),"(",""),")",""),"+",""))=10,LEFT(SUBSTITUTE(SUBSTITUTE(SUBSTITUTE(SUBSTITUTE(SUBSTITUTE(SUBSTITUTE(SUBSTITUTE(TRIM(M576),".",""),"/",""),"-","")," ",""),"(",""),")",""),"+",""),1)&lt;&gt;"0"),AND(LEN(SUBSTITUTE(SUBSTITUTE(SUBSTITUTE(SUBSTITUTE(SUBSTITUTE(SUBSTITUTE(SUBSTITUTE(TRIM(M576),".",""),"/",""),"-","")," ",""),"(",""),")",""),"+",""))=11,LEFT(SUBSTITUTE(SUBSTITUTE(SUBSTITUTE(SUBSTITUTE(SUBSTITUTE(SUBSTITUTE(SUBSTITUTE(TRIM(M576),".",""),"/",""),"-","")," ",""),"(",""),")",""),"+",""),4)="0800")),"OK",IF(AND(LEN(SUBSTITUTE(SUBSTITUTE(SUBSTITUTE(SUBSTITUTE(SUBSTITUTE(SUBSTITUTE(SUBSTITUTE(TRIM(M576),".",""),"/",""),"-","")," ",""),"(",""),")",""),"+",""))=11,MID(SUBSTITUTE(SUBSTITUTE(SUBSTITUTE(SUBSTITUTE(SUBSTITUTE(SUBSTITUTE(SUBSTITUTE(TRIM(M576),".",""),"/",""),"-","")," ",""),"(",""),")",""),"+",""),3,1)="9"),"ERRO: é celular, use a coluna Celular","ERRO: DDD + 8 dígitos ou 0800 + 7")))</f>
      </c>
      <c r="X576" s="6">
        <f>IF(N576="","vazio",IF(AND(LEN(SUBSTITUTE(SUBSTITUTE(SUBSTITUTE(SUBSTITUTE(SUBSTITUTE(SUBSTITUTE(SUBSTITUTE(TRIM(N576),".",""),"/",""),"-","")," ",""),"(",""),")",""),"+",""))=11,MID(SUBSTITUTE(SUBSTITUTE(SUBSTITUTE(SUBSTITUTE(SUBSTITUTE(SUBSTITUTE(SUBSTITUTE(TRIM(N576),".",""),"/",""),"-","")," ",""),"(",""),")",""),"+",""),3,1)="9",LEFT(SUBSTITUTE(SUBSTITUTE(SUBSTITUTE(SUBSTITUTE(SUBSTITUTE(SUBSTITUTE(SUBSTITUTE(TRIM(N576),".",""),"/",""),"-","")," ",""),"(",""),")",""),"+",""),1)&lt;&gt;"0"),"OK",IF(LEN(SUBSTITUTE(SUBSTITUTE(SUBSTITUTE(SUBSTITUTE(SUBSTITUTE(SUBSTITUTE(SUBSTITUTE(TRIM(N576),".",""),"/",""),"-","")," ",""),"(",""),")",""),"+",""))=10,"ERRO: é fixo (ou falta o 9), use a coluna Telefone fixo","ERRO: DDD + 9 + 8 dígitos")))</f>
      </c>
      <c r="Y576" s="6">
        <f>IF(O576="","vazio",IF(AND(ISNUMBER(FIND("@",O576)),ISNUMBER(FIND(".",MID(O576,FIND("@",O576),99))),NOT(ISNUMBER(FIND(" ",TRIM(O576)))),NOT(ISNUMBER(FIND(";",O576))),NOT(ISNUMBER(FIND(",",O576)))),"OK","ERRO: um e-mail válido por linha"))</f>
      </c>
      <c r="Z576" s="6">
        <f>IF(AND(J576="",K576=""),"",IF(AND(J576&lt;&gt;"",K576&lt;&gt;""),"OK","pendente: só um nome (o GR completa ao converter)"))</f>
      </c>
      <c r="AA576" s="6">
        <f>IF(COUNTA(A576:S576)=0,"",IF(AND(A576&lt;&gt;"",B576&lt;&gt;"",C576&lt;&gt;"",D576&lt;&gt;"",E576&lt;&gt;"",F576&lt;&gt;"",G576&lt;&gt;"",H576&lt;&gt;"",OR(J576&lt;&gt;"",K576&lt;&gt;""),OR(M576&lt;&gt;"",N576&lt;&gt;"",O576&lt;&gt;"")),"OK","ERRO: faltam "&amp;IF(A576="","SDR; ","")&amp;IF(B576="","Proprietário; ","")&amp;IF(C576="","Origem; ","")&amp;IF(D576="","Temperatura; ","")&amp;IF(E576="","Segmento; ","")&amp;IF(F576="","Time/Cluster; ","")&amp;IF(G576="","CNPJ; ","")&amp;IF(H576="","Razão Social; ","")&amp;IF(AND(J576="",K576=""),"nome do contato; ","")&amp;IF(AND(M576="",N576="",O576=""),"telefone, celular ou e-mail; ","")))</f>
      </c>
      <c r="AB576" s="6">
        <f>IF(COUNTA(A576:S576)=0,"",IF(AND(U576="OK",V576="OK",LEFT(W576,4)&lt;&gt;"ERRO",LEFT(X576,4)&lt;&gt;"ERRO",LEFT(Y576,4)&lt;&gt;"ERRO",AA576="OK"),"OK","REVISAR"))</f>
      </c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5"/>
      <c r="K577" s="4"/>
      <c r="L577" s="4"/>
      <c r="M577" s="4"/>
      <c r="N577" s="4"/>
      <c r="O577" s="4"/>
      <c r="P577" s="4"/>
      <c r="Q577" s="4"/>
      <c r="R577" s="4"/>
      <c r="S577" s="4"/>
      <c r="T577" s="6">
        <f>IF(G577="","",SUBSTITUTE(SUBSTITUTE(SUBSTITUTE(SUBSTITUTE(SUBSTITUTE(SUBSTITUTE(SUBSTITUTE(TRIM(G577),".",""),"/",""),"-","")," ",""),"(",""),")",""),"+",""))</f>
      </c>
      <c r="U577" s="6">
        <f>IF(T577="","",IF(LEN(T577)&lt;&gt;14,"ERRO: "&amp;LEN(T577)&amp;" dígitos",IF(NOT(ISNUMBER(VALUE(T577))),"ERRO: não numérico",IF(LEN(SUBSTITUTE(T577,LEFT(T577,1),""))=0,"ERRO: dígitos repetidos",IF(AND(VALUE(MID(T577,13,1))=IF(MOD(SUMPRODUCT(--MID(T577,{1,2,3,4,5,6,7,8,9,10,11,12},1),{5,4,3,2,9,8,7,6,5,4,3,2}),11)&lt;2,0,11-MOD(SUMPRODUCT(--MID(T577,{1,2,3,4,5,6,7,8,9,10,11,12},1),{5,4,3,2,9,8,7,6,5,4,3,2}),11)),VALUE(MID(T577,14,1))=IF(MOD(SUMPRODUCT(--MID(T577,{1,2,3,4,5,6,7,8,9,10,11,12,13},1),{6,5,4,3,2,9,8,7,6,5,4,3,2}),11)&lt;2,0,11-MOD(SUMPRODUCT(--MID(T577,{1,2,3,4,5,6,7,8,9,10,11,12,13},1),{6,5,4,3,2,9,8,7,6,5,4,3,2}),11))),"OK","ERRO: dígito verificador")))))</f>
      </c>
      <c r="V577" s="6">
        <f>IF(T577="","",IF(COUNTIF($T$2:$T$1001,T577)&gt;1,"DUPLICADO","OK"))</f>
      </c>
      <c r="W577" s="6">
        <f>IF(M577="","vazio",IF(OR(AND(LEN(SUBSTITUTE(SUBSTITUTE(SUBSTITUTE(SUBSTITUTE(SUBSTITUTE(SUBSTITUTE(SUBSTITUTE(TRIM(M577),".",""),"/",""),"-","")," ",""),"(",""),")",""),"+",""))=10,LEFT(SUBSTITUTE(SUBSTITUTE(SUBSTITUTE(SUBSTITUTE(SUBSTITUTE(SUBSTITUTE(SUBSTITUTE(TRIM(M577),".",""),"/",""),"-","")," ",""),"(",""),")",""),"+",""),1)&lt;&gt;"0"),AND(LEN(SUBSTITUTE(SUBSTITUTE(SUBSTITUTE(SUBSTITUTE(SUBSTITUTE(SUBSTITUTE(SUBSTITUTE(TRIM(M577),".",""),"/",""),"-","")," ",""),"(",""),")",""),"+",""))=11,LEFT(SUBSTITUTE(SUBSTITUTE(SUBSTITUTE(SUBSTITUTE(SUBSTITUTE(SUBSTITUTE(SUBSTITUTE(TRIM(M577),".",""),"/",""),"-","")," ",""),"(",""),")",""),"+",""),4)="0800")),"OK",IF(AND(LEN(SUBSTITUTE(SUBSTITUTE(SUBSTITUTE(SUBSTITUTE(SUBSTITUTE(SUBSTITUTE(SUBSTITUTE(TRIM(M577),".",""),"/",""),"-","")," ",""),"(",""),")",""),"+",""))=11,MID(SUBSTITUTE(SUBSTITUTE(SUBSTITUTE(SUBSTITUTE(SUBSTITUTE(SUBSTITUTE(SUBSTITUTE(TRIM(M577),".",""),"/",""),"-","")," ",""),"(",""),")",""),"+",""),3,1)="9"),"ERRO: é celular, use a coluna Celular","ERRO: DDD + 8 dígitos ou 0800 + 7")))</f>
      </c>
      <c r="X577" s="6">
        <f>IF(N577="","vazio",IF(AND(LEN(SUBSTITUTE(SUBSTITUTE(SUBSTITUTE(SUBSTITUTE(SUBSTITUTE(SUBSTITUTE(SUBSTITUTE(TRIM(N577),".",""),"/",""),"-","")," ",""),"(",""),")",""),"+",""))=11,MID(SUBSTITUTE(SUBSTITUTE(SUBSTITUTE(SUBSTITUTE(SUBSTITUTE(SUBSTITUTE(SUBSTITUTE(TRIM(N577),".",""),"/",""),"-","")," ",""),"(",""),")",""),"+",""),3,1)="9",LEFT(SUBSTITUTE(SUBSTITUTE(SUBSTITUTE(SUBSTITUTE(SUBSTITUTE(SUBSTITUTE(SUBSTITUTE(TRIM(N577),".",""),"/",""),"-","")," ",""),"(",""),")",""),"+",""),1)&lt;&gt;"0"),"OK",IF(LEN(SUBSTITUTE(SUBSTITUTE(SUBSTITUTE(SUBSTITUTE(SUBSTITUTE(SUBSTITUTE(SUBSTITUTE(TRIM(N577),".",""),"/",""),"-","")," ",""),"(",""),")",""),"+",""))=10,"ERRO: é fixo (ou falta o 9), use a coluna Telefone fixo","ERRO: DDD + 9 + 8 dígitos")))</f>
      </c>
      <c r="Y577" s="6">
        <f>IF(O577="","vazio",IF(AND(ISNUMBER(FIND("@",O577)),ISNUMBER(FIND(".",MID(O577,FIND("@",O577),99))),NOT(ISNUMBER(FIND(" ",TRIM(O577)))),NOT(ISNUMBER(FIND(";",O577))),NOT(ISNUMBER(FIND(",",O577)))),"OK","ERRO: um e-mail válido por linha"))</f>
      </c>
      <c r="Z577" s="6">
        <f>IF(AND(J577="",K577=""),"",IF(AND(J577&lt;&gt;"",K577&lt;&gt;""),"OK","pendente: só um nome (o GR completa ao converter)"))</f>
      </c>
      <c r="AA577" s="6">
        <f>IF(COUNTA(A577:S577)=0,"",IF(AND(A577&lt;&gt;"",B577&lt;&gt;"",C577&lt;&gt;"",D577&lt;&gt;"",E577&lt;&gt;"",F577&lt;&gt;"",G577&lt;&gt;"",H577&lt;&gt;"",OR(J577&lt;&gt;"",K577&lt;&gt;""),OR(M577&lt;&gt;"",N577&lt;&gt;"",O577&lt;&gt;"")),"OK","ERRO: faltam "&amp;IF(A577="","SDR; ","")&amp;IF(B577="","Proprietário; ","")&amp;IF(C577="","Origem; ","")&amp;IF(D577="","Temperatura; ","")&amp;IF(E577="","Segmento; ","")&amp;IF(F577="","Time/Cluster; ","")&amp;IF(G577="","CNPJ; ","")&amp;IF(H577="","Razão Social; ","")&amp;IF(AND(J577="",K577=""),"nome do contato; ","")&amp;IF(AND(M577="",N577="",O577=""),"telefone, celular ou e-mail; ","")))</f>
      </c>
      <c r="AB577" s="6">
        <f>IF(COUNTA(A577:S577)=0,"",IF(AND(U577="OK",V577="OK",LEFT(W577,4)&lt;&gt;"ERRO",LEFT(X577,4)&lt;&gt;"ERRO",LEFT(Y577,4)&lt;&gt;"ERRO",AA577="OK"),"OK","REVISAR"))</f>
      </c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5"/>
      <c r="K578" s="4"/>
      <c r="L578" s="4"/>
      <c r="M578" s="4"/>
      <c r="N578" s="4"/>
      <c r="O578" s="4"/>
      <c r="P578" s="4"/>
      <c r="Q578" s="4"/>
      <c r="R578" s="4"/>
      <c r="S578" s="4"/>
      <c r="T578" s="6">
        <f>IF(G578="","",SUBSTITUTE(SUBSTITUTE(SUBSTITUTE(SUBSTITUTE(SUBSTITUTE(SUBSTITUTE(SUBSTITUTE(TRIM(G578),".",""),"/",""),"-","")," ",""),"(",""),")",""),"+",""))</f>
      </c>
      <c r="U578" s="6">
        <f>IF(T578="","",IF(LEN(T578)&lt;&gt;14,"ERRO: "&amp;LEN(T578)&amp;" dígitos",IF(NOT(ISNUMBER(VALUE(T578))),"ERRO: não numérico",IF(LEN(SUBSTITUTE(T578,LEFT(T578,1),""))=0,"ERRO: dígitos repetidos",IF(AND(VALUE(MID(T578,13,1))=IF(MOD(SUMPRODUCT(--MID(T578,{1,2,3,4,5,6,7,8,9,10,11,12},1),{5,4,3,2,9,8,7,6,5,4,3,2}),11)&lt;2,0,11-MOD(SUMPRODUCT(--MID(T578,{1,2,3,4,5,6,7,8,9,10,11,12},1),{5,4,3,2,9,8,7,6,5,4,3,2}),11)),VALUE(MID(T578,14,1))=IF(MOD(SUMPRODUCT(--MID(T578,{1,2,3,4,5,6,7,8,9,10,11,12,13},1),{6,5,4,3,2,9,8,7,6,5,4,3,2}),11)&lt;2,0,11-MOD(SUMPRODUCT(--MID(T578,{1,2,3,4,5,6,7,8,9,10,11,12,13},1),{6,5,4,3,2,9,8,7,6,5,4,3,2}),11))),"OK","ERRO: dígito verificador")))))</f>
      </c>
      <c r="V578" s="6">
        <f>IF(T578="","",IF(COUNTIF($T$2:$T$1001,T578)&gt;1,"DUPLICADO","OK"))</f>
      </c>
      <c r="W578" s="6">
        <f>IF(M578="","vazio",IF(OR(AND(LEN(SUBSTITUTE(SUBSTITUTE(SUBSTITUTE(SUBSTITUTE(SUBSTITUTE(SUBSTITUTE(SUBSTITUTE(TRIM(M578),".",""),"/",""),"-","")," ",""),"(",""),")",""),"+",""))=10,LEFT(SUBSTITUTE(SUBSTITUTE(SUBSTITUTE(SUBSTITUTE(SUBSTITUTE(SUBSTITUTE(SUBSTITUTE(TRIM(M578),".",""),"/",""),"-","")," ",""),"(",""),")",""),"+",""),1)&lt;&gt;"0"),AND(LEN(SUBSTITUTE(SUBSTITUTE(SUBSTITUTE(SUBSTITUTE(SUBSTITUTE(SUBSTITUTE(SUBSTITUTE(TRIM(M578),".",""),"/",""),"-","")," ",""),"(",""),")",""),"+",""))=11,LEFT(SUBSTITUTE(SUBSTITUTE(SUBSTITUTE(SUBSTITUTE(SUBSTITUTE(SUBSTITUTE(SUBSTITUTE(TRIM(M578),".",""),"/",""),"-","")," ",""),"(",""),")",""),"+",""),4)="0800")),"OK",IF(AND(LEN(SUBSTITUTE(SUBSTITUTE(SUBSTITUTE(SUBSTITUTE(SUBSTITUTE(SUBSTITUTE(SUBSTITUTE(TRIM(M578),".",""),"/",""),"-","")," ",""),"(",""),")",""),"+",""))=11,MID(SUBSTITUTE(SUBSTITUTE(SUBSTITUTE(SUBSTITUTE(SUBSTITUTE(SUBSTITUTE(SUBSTITUTE(TRIM(M578),".",""),"/",""),"-","")," ",""),"(",""),")",""),"+",""),3,1)="9"),"ERRO: é celular, use a coluna Celular","ERRO: DDD + 8 dígitos ou 0800 + 7")))</f>
      </c>
      <c r="X578" s="6">
        <f>IF(N578="","vazio",IF(AND(LEN(SUBSTITUTE(SUBSTITUTE(SUBSTITUTE(SUBSTITUTE(SUBSTITUTE(SUBSTITUTE(SUBSTITUTE(TRIM(N578),".",""),"/",""),"-","")," ",""),"(",""),")",""),"+",""))=11,MID(SUBSTITUTE(SUBSTITUTE(SUBSTITUTE(SUBSTITUTE(SUBSTITUTE(SUBSTITUTE(SUBSTITUTE(TRIM(N578),".",""),"/",""),"-","")," ",""),"(",""),")",""),"+",""),3,1)="9",LEFT(SUBSTITUTE(SUBSTITUTE(SUBSTITUTE(SUBSTITUTE(SUBSTITUTE(SUBSTITUTE(SUBSTITUTE(TRIM(N578),".",""),"/",""),"-","")," ",""),"(",""),")",""),"+",""),1)&lt;&gt;"0"),"OK",IF(LEN(SUBSTITUTE(SUBSTITUTE(SUBSTITUTE(SUBSTITUTE(SUBSTITUTE(SUBSTITUTE(SUBSTITUTE(TRIM(N578),".",""),"/",""),"-","")," ",""),"(",""),")",""),"+",""))=10,"ERRO: é fixo (ou falta o 9), use a coluna Telefone fixo","ERRO: DDD + 9 + 8 dígitos")))</f>
      </c>
      <c r="Y578" s="6">
        <f>IF(O578="","vazio",IF(AND(ISNUMBER(FIND("@",O578)),ISNUMBER(FIND(".",MID(O578,FIND("@",O578),99))),NOT(ISNUMBER(FIND(" ",TRIM(O578)))),NOT(ISNUMBER(FIND(";",O578))),NOT(ISNUMBER(FIND(",",O578)))),"OK","ERRO: um e-mail válido por linha"))</f>
      </c>
      <c r="Z578" s="6">
        <f>IF(AND(J578="",K578=""),"",IF(AND(J578&lt;&gt;"",K578&lt;&gt;""),"OK","pendente: só um nome (o GR completa ao converter)"))</f>
      </c>
      <c r="AA578" s="6">
        <f>IF(COUNTA(A578:S578)=0,"",IF(AND(A578&lt;&gt;"",B578&lt;&gt;"",C578&lt;&gt;"",D578&lt;&gt;"",E578&lt;&gt;"",F578&lt;&gt;"",G578&lt;&gt;"",H578&lt;&gt;"",OR(J578&lt;&gt;"",K578&lt;&gt;""),OR(M578&lt;&gt;"",N578&lt;&gt;"",O578&lt;&gt;"")),"OK","ERRO: faltam "&amp;IF(A578="","SDR; ","")&amp;IF(B578="","Proprietário; ","")&amp;IF(C578="","Origem; ","")&amp;IF(D578="","Temperatura; ","")&amp;IF(E578="","Segmento; ","")&amp;IF(F578="","Time/Cluster; ","")&amp;IF(G578="","CNPJ; ","")&amp;IF(H578="","Razão Social; ","")&amp;IF(AND(J578="",K578=""),"nome do contato; ","")&amp;IF(AND(M578="",N578="",O578=""),"telefone, celular ou e-mail; ","")))</f>
      </c>
      <c r="AB578" s="6">
        <f>IF(COUNTA(A578:S578)=0,"",IF(AND(U578="OK",V578="OK",LEFT(W578,4)&lt;&gt;"ERRO",LEFT(X578,4)&lt;&gt;"ERRO",LEFT(Y578,4)&lt;&gt;"ERRO",AA578="OK"),"OK","REVISAR"))</f>
      </c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5"/>
      <c r="K579" s="4"/>
      <c r="L579" s="4"/>
      <c r="M579" s="4"/>
      <c r="N579" s="4"/>
      <c r="O579" s="4"/>
      <c r="P579" s="4"/>
      <c r="Q579" s="4"/>
      <c r="R579" s="4"/>
      <c r="S579" s="4"/>
      <c r="T579" s="6">
        <f>IF(G579="","",SUBSTITUTE(SUBSTITUTE(SUBSTITUTE(SUBSTITUTE(SUBSTITUTE(SUBSTITUTE(SUBSTITUTE(TRIM(G579),".",""),"/",""),"-","")," ",""),"(",""),")",""),"+",""))</f>
      </c>
      <c r="U579" s="6">
        <f>IF(T579="","",IF(LEN(T579)&lt;&gt;14,"ERRO: "&amp;LEN(T579)&amp;" dígitos",IF(NOT(ISNUMBER(VALUE(T579))),"ERRO: não numérico",IF(LEN(SUBSTITUTE(T579,LEFT(T579,1),""))=0,"ERRO: dígitos repetidos",IF(AND(VALUE(MID(T579,13,1))=IF(MOD(SUMPRODUCT(--MID(T579,{1,2,3,4,5,6,7,8,9,10,11,12},1),{5,4,3,2,9,8,7,6,5,4,3,2}),11)&lt;2,0,11-MOD(SUMPRODUCT(--MID(T579,{1,2,3,4,5,6,7,8,9,10,11,12},1),{5,4,3,2,9,8,7,6,5,4,3,2}),11)),VALUE(MID(T579,14,1))=IF(MOD(SUMPRODUCT(--MID(T579,{1,2,3,4,5,6,7,8,9,10,11,12,13},1),{6,5,4,3,2,9,8,7,6,5,4,3,2}),11)&lt;2,0,11-MOD(SUMPRODUCT(--MID(T579,{1,2,3,4,5,6,7,8,9,10,11,12,13},1),{6,5,4,3,2,9,8,7,6,5,4,3,2}),11))),"OK","ERRO: dígito verificador")))))</f>
      </c>
      <c r="V579" s="6">
        <f>IF(T579="","",IF(COUNTIF($T$2:$T$1001,T579)&gt;1,"DUPLICADO","OK"))</f>
      </c>
      <c r="W579" s="6">
        <f>IF(M579="","vazio",IF(OR(AND(LEN(SUBSTITUTE(SUBSTITUTE(SUBSTITUTE(SUBSTITUTE(SUBSTITUTE(SUBSTITUTE(SUBSTITUTE(TRIM(M579),".",""),"/",""),"-","")," ",""),"(",""),")",""),"+",""))=10,LEFT(SUBSTITUTE(SUBSTITUTE(SUBSTITUTE(SUBSTITUTE(SUBSTITUTE(SUBSTITUTE(SUBSTITUTE(TRIM(M579),".",""),"/",""),"-","")," ",""),"(",""),")",""),"+",""),1)&lt;&gt;"0"),AND(LEN(SUBSTITUTE(SUBSTITUTE(SUBSTITUTE(SUBSTITUTE(SUBSTITUTE(SUBSTITUTE(SUBSTITUTE(TRIM(M579),".",""),"/",""),"-","")," ",""),"(",""),")",""),"+",""))=11,LEFT(SUBSTITUTE(SUBSTITUTE(SUBSTITUTE(SUBSTITUTE(SUBSTITUTE(SUBSTITUTE(SUBSTITUTE(TRIM(M579),".",""),"/",""),"-","")," ",""),"(",""),")",""),"+",""),4)="0800")),"OK",IF(AND(LEN(SUBSTITUTE(SUBSTITUTE(SUBSTITUTE(SUBSTITUTE(SUBSTITUTE(SUBSTITUTE(SUBSTITUTE(TRIM(M579),".",""),"/",""),"-","")," ",""),"(",""),")",""),"+",""))=11,MID(SUBSTITUTE(SUBSTITUTE(SUBSTITUTE(SUBSTITUTE(SUBSTITUTE(SUBSTITUTE(SUBSTITUTE(TRIM(M579),".",""),"/",""),"-","")," ",""),"(",""),")",""),"+",""),3,1)="9"),"ERRO: é celular, use a coluna Celular","ERRO: DDD + 8 dígitos ou 0800 + 7")))</f>
      </c>
      <c r="X579" s="6">
        <f>IF(N579="","vazio",IF(AND(LEN(SUBSTITUTE(SUBSTITUTE(SUBSTITUTE(SUBSTITUTE(SUBSTITUTE(SUBSTITUTE(SUBSTITUTE(TRIM(N579),".",""),"/",""),"-","")," ",""),"(",""),")",""),"+",""))=11,MID(SUBSTITUTE(SUBSTITUTE(SUBSTITUTE(SUBSTITUTE(SUBSTITUTE(SUBSTITUTE(SUBSTITUTE(TRIM(N579),".",""),"/",""),"-","")," ",""),"(",""),")",""),"+",""),3,1)="9",LEFT(SUBSTITUTE(SUBSTITUTE(SUBSTITUTE(SUBSTITUTE(SUBSTITUTE(SUBSTITUTE(SUBSTITUTE(TRIM(N579),".",""),"/",""),"-","")," ",""),"(",""),")",""),"+",""),1)&lt;&gt;"0"),"OK",IF(LEN(SUBSTITUTE(SUBSTITUTE(SUBSTITUTE(SUBSTITUTE(SUBSTITUTE(SUBSTITUTE(SUBSTITUTE(TRIM(N579),".",""),"/",""),"-","")," ",""),"(",""),")",""),"+",""))=10,"ERRO: é fixo (ou falta o 9), use a coluna Telefone fixo","ERRO: DDD + 9 + 8 dígitos")))</f>
      </c>
      <c r="Y579" s="6">
        <f>IF(O579="","vazio",IF(AND(ISNUMBER(FIND("@",O579)),ISNUMBER(FIND(".",MID(O579,FIND("@",O579),99))),NOT(ISNUMBER(FIND(" ",TRIM(O579)))),NOT(ISNUMBER(FIND(";",O579))),NOT(ISNUMBER(FIND(",",O579)))),"OK","ERRO: um e-mail válido por linha"))</f>
      </c>
      <c r="Z579" s="6">
        <f>IF(AND(J579="",K579=""),"",IF(AND(J579&lt;&gt;"",K579&lt;&gt;""),"OK","pendente: só um nome (o GR completa ao converter)"))</f>
      </c>
      <c r="AA579" s="6">
        <f>IF(COUNTA(A579:S579)=0,"",IF(AND(A579&lt;&gt;"",B579&lt;&gt;"",C579&lt;&gt;"",D579&lt;&gt;"",E579&lt;&gt;"",F579&lt;&gt;"",G579&lt;&gt;"",H579&lt;&gt;"",OR(J579&lt;&gt;"",K579&lt;&gt;""),OR(M579&lt;&gt;"",N579&lt;&gt;"",O579&lt;&gt;"")),"OK","ERRO: faltam "&amp;IF(A579="","SDR; ","")&amp;IF(B579="","Proprietário; ","")&amp;IF(C579="","Origem; ","")&amp;IF(D579="","Temperatura; ","")&amp;IF(E579="","Segmento; ","")&amp;IF(F579="","Time/Cluster; ","")&amp;IF(G579="","CNPJ; ","")&amp;IF(H579="","Razão Social; ","")&amp;IF(AND(J579="",K579=""),"nome do contato; ","")&amp;IF(AND(M579="",N579="",O579=""),"telefone, celular ou e-mail; ","")))</f>
      </c>
      <c r="AB579" s="6">
        <f>IF(COUNTA(A579:S579)=0,"",IF(AND(U579="OK",V579="OK",LEFT(W579,4)&lt;&gt;"ERRO",LEFT(X579,4)&lt;&gt;"ERRO",LEFT(Y579,4)&lt;&gt;"ERRO",AA579="OK"),"OK","REVISAR"))</f>
      </c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5"/>
      <c r="K580" s="4"/>
      <c r="L580" s="4"/>
      <c r="M580" s="4"/>
      <c r="N580" s="4"/>
      <c r="O580" s="4"/>
      <c r="P580" s="4"/>
      <c r="Q580" s="4"/>
      <c r="R580" s="4"/>
      <c r="S580" s="4"/>
      <c r="T580" s="6">
        <f>IF(G580="","",SUBSTITUTE(SUBSTITUTE(SUBSTITUTE(SUBSTITUTE(SUBSTITUTE(SUBSTITUTE(SUBSTITUTE(TRIM(G580),".",""),"/",""),"-","")," ",""),"(",""),")",""),"+",""))</f>
      </c>
      <c r="U580" s="6">
        <f>IF(T580="","",IF(LEN(T580)&lt;&gt;14,"ERRO: "&amp;LEN(T580)&amp;" dígitos",IF(NOT(ISNUMBER(VALUE(T580))),"ERRO: não numérico",IF(LEN(SUBSTITUTE(T580,LEFT(T580,1),""))=0,"ERRO: dígitos repetidos",IF(AND(VALUE(MID(T580,13,1))=IF(MOD(SUMPRODUCT(--MID(T580,{1,2,3,4,5,6,7,8,9,10,11,12},1),{5,4,3,2,9,8,7,6,5,4,3,2}),11)&lt;2,0,11-MOD(SUMPRODUCT(--MID(T580,{1,2,3,4,5,6,7,8,9,10,11,12},1),{5,4,3,2,9,8,7,6,5,4,3,2}),11)),VALUE(MID(T580,14,1))=IF(MOD(SUMPRODUCT(--MID(T580,{1,2,3,4,5,6,7,8,9,10,11,12,13},1),{6,5,4,3,2,9,8,7,6,5,4,3,2}),11)&lt;2,0,11-MOD(SUMPRODUCT(--MID(T580,{1,2,3,4,5,6,7,8,9,10,11,12,13},1),{6,5,4,3,2,9,8,7,6,5,4,3,2}),11))),"OK","ERRO: dígito verificador")))))</f>
      </c>
      <c r="V580" s="6">
        <f>IF(T580="","",IF(COUNTIF($T$2:$T$1001,T580)&gt;1,"DUPLICADO","OK"))</f>
      </c>
      <c r="W580" s="6">
        <f>IF(M580="","vazio",IF(OR(AND(LEN(SUBSTITUTE(SUBSTITUTE(SUBSTITUTE(SUBSTITUTE(SUBSTITUTE(SUBSTITUTE(SUBSTITUTE(TRIM(M580),".",""),"/",""),"-","")," ",""),"(",""),")",""),"+",""))=10,LEFT(SUBSTITUTE(SUBSTITUTE(SUBSTITUTE(SUBSTITUTE(SUBSTITUTE(SUBSTITUTE(SUBSTITUTE(TRIM(M580),".",""),"/",""),"-","")," ",""),"(",""),")",""),"+",""),1)&lt;&gt;"0"),AND(LEN(SUBSTITUTE(SUBSTITUTE(SUBSTITUTE(SUBSTITUTE(SUBSTITUTE(SUBSTITUTE(SUBSTITUTE(TRIM(M580),".",""),"/",""),"-","")," ",""),"(",""),")",""),"+",""))=11,LEFT(SUBSTITUTE(SUBSTITUTE(SUBSTITUTE(SUBSTITUTE(SUBSTITUTE(SUBSTITUTE(SUBSTITUTE(TRIM(M580),".",""),"/",""),"-","")," ",""),"(",""),")",""),"+",""),4)="0800")),"OK",IF(AND(LEN(SUBSTITUTE(SUBSTITUTE(SUBSTITUTE(SUBSTITUTE(SUBSTITUTE(SUBSTITUTE(SUBSTITUTE(TRIM(M580),".",""),"/",""),"-","")," ",""),"(",""),")",""),"+",""))=11,MID(SUBSTITUTE(SUBSTITUTE(SUBSTITUTE(SUBSTITUTE(SUBSTITUTE(SUBSTITUTE(SUBSTITUTE(TRIM(M580),".",""),"/",""),"-","")," ",""),"(",""),")",""),"+",""),3,1)="9"),"ERRO: é celular, use a coluna Celular","ERRO: DDD + 8 dígitos ou 0800 + 7")))</f>
      </c>
      <c r="X580" s="6">
        <f>IF(N580="","vazio",IF(AND(LEN(SUBSTITUTE(SUBSTITUTE(SUBSTITUTE(SUBSTITUTE(SUBSTITUTE(SUBSTITUTE(SUBSTITUTE(TRIM(N580),".",""),"/",""),"-","")," ",""),"(",""),")",""),"+",""))=11,MID(SUBSTITUTE(SUBSTITUTE(SUBSTITUTE(SUBSTITUTE(SUBSTITUTE(SUBSTITUTE(SUBSTITUTE(TRIM(N580),".",""),"/",""),"-","")," ",""),"(",""),")",""),"+",""),3,1)="9",LEFT(SUBSTITUTE(SUBSTITUTE(SUBSTITUTE(SUBSTITUTE(SUBSTITUTE(SUBSTITUTE(SUBSTITUTE(TRIM(N580),".",""),"/",""),"-","")," ",""),"(",""),")",""),"+",""),1)&lt;&gt;"0"),"OK",IF(LEN(SUBSTITUTE(SUBSTITUTE(SUBSTITUTE(SUBSTITUTE(SUBSTITUTE(SUBSTITUTE(SUBSTITUTE(TRIM(N580),".",""),"/",""),"-","")," ",""),"(",""),")",""),"+",""))=10,"ERRO: é fixo (ou falta o 9), use a coluna Telefone fixo","ERRO: DDD + 9 + 8 dígitos")))</f>
      </c>
      <c r="Y580" s="6">
        <f>IF(O580="","vazio",IF(AND(ISNUMBER(FIND("@",O580)),ISNUMBER(FIND(".",MID(O580,FIND("@",O580),99))),NOT(ISNUMBER(FIND(" ",TRIM(O580)))),NOT(ISNUMBER(FIND(";",O580))),NOT(ISNUMBER(FIND(",",O580)))),"OK","ERRO: um e-mail válido por linha"))</f>
      </c>
      <c r="Z580" s="6">
        <f>IF(AND(J580="",K580=""),"",IF(AND(J580&lt;&gt;"",K580&lt;&gt;""),"OK","pendente: só um nome (o GR completa ao converter)"))</f>
      </c>
      <c r="AA580" s="6">
        <f>IF(COUNTA(A580:S580)=0,"",IF(AND(A580&lt;&gt;"",B580&lt;&gt;"",C580&lt;&gt;"",D580&lt;&gt;"",E580&lt;&gt;"",F580&lt;&gt;"",G580&lt;&gt;"",H580&lt;&gt;"",OR(J580&lt;&gt;"",K580&lt;&gt;""),OR(M580&lt;&gt;"",N580&lt;&gt;"",O580&lt;&gt;"")),"OK","ERRO: faltam "&amp;IF(A580="","SDR; ","")&amp;IF(B580="","Proprietário; ","")&amp;IF(C580="","Origem; ","")&amp;IF(D580="","Temperatura; ","")&amp;IF(E580="","Segmento; ","")&amp;IF(F580="","Time/Cluster; ","")&amp;IF(G580="","CNPJ; ","")&amp;IF(H580="","Razão Social; ","")&amp;IF(AND(J580="",K580=""),"nome do contato; ","")&amp;IF(AND(M580="",N580="",O580=""),"telefone, celular ou e-mail; ","")))</f>
      </c>
      <c r="AB580" s="6">
        <f>IF(COUNTA(A580:S580)=0,"",IF(AND(U580="OK",V580="OK",LEFT(W580,4)&lt;&gt;"ERRO",LEFT(X580,4)&lt;&gt;"ERRO",LEFT(Y580,4)&lt;&gt;"ERRO",AA580="OK"),"OK","REVISAR"))</f>
      </c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5"/>
      <c r="K581" s="4"/>
      <c r="L581" s="4"/>
      <c r="M581" s="4"/>
      <c r="N581" s="4"/>
      <c r="O581" s="4"/>
      <c r="P581" s="4"/>
      <c r="Q581" s="4"/>
      <c r="R581" s="4"/>
      <c r="S581" s="4"/>
      <c r="T581" s="6">
        <f>IF(G581="","",SUBSTITUTE(SUBSTITUTE(SUBSTITUTE(SUBSTITUTE(SUBSTITUTE(SUBSTITUTE(SUBSTITUTE(TRIM(G581),".",""),"/",""),"-","")," ",""),"(",""),")",""),"+",""))</f>
      </c>
      <c r="U581" s="6">
        <f>IF(T581="","",IF(LEN(T581)&lt;&gt;14,"ERRO: "&amp;LEN(T581)&amp;" dígitos",IF(NOT(ISNUMBER(VALUE(T581))),"ERRO: não numérico",IF(LEN(SUBSTITUTE(T581,LEFT(T581,1),""))=0,"ERRO: dígitos repetidos",IF(AND(VALUE(MID(T581,13,1))=IF(MOD(SUMPRODUCT(--MID(T581,{1,2,3,4,5,6,7,8,9,10,11,12},1),{5,4,3,2,9,8,7,6,5,4,3,2}),11)&lt;2,0,11-MOD(SUMPRODUCT(--MID(T581,{1,2,3,4,5,6,7,8,9,10,11,12},1),{5,4,3,2,9,8,7,6,5,4,3,2}),11)),VALUE(MID(T581,14,1))=IF(MOD(SUMPRODUCT(--MID(T581,{1,2,3,4,5,6,7,8,9,10,11,12,13},1),{6,5,4,3,2,9,8,7,6,5,4,3,2}),11)&lt;2,0,11-MOD(SUMPRODUCT(--MID(T581,{1,2,3,4,5,6,7,8,9,10,11,12,13},1),{6,5,4,3,2,9,8,7,6,5,4,3,2}),11))),"OK","ERRO: dígito verificador")))))</f>
      </c>
      <c r="V581" s="6">
        <f>IF(T581="","",IF(COUNTIF($T$2:$T$1001,T581)&gt;1,"DUPLICADO","OK"))</f>
      </c>
      <c r="W581" s="6">
        <f>IF(M581="","vazio",IF(OR(AND(LEN(SUBSTITUTE(SUBSTITUTE(SUBSTITUTE(SUBSTITUTE(SUBSTITUTE(SUBSTITUTE(SUBSTITUTE(TRIM(M581),".",""),"/",""),"-","")," ",""),"(",""),")",""),"+",""))=10,LEFT(SUBSTITUTE(SUBSTITUTE(SUBSTITUTE(SUBSTITUTE(SUBSTITUTE(SUBSTITUTE(SUBSTITUTE(TRIM(M581),".",""),"/",""),"-","")," ",""),"(",""),")",""),"+",""),1)&lt;&gt;"0"),AND(LEN(SUBSTITUTE(SUBSTITUTE(SUBSTITUTE(SUBSTITUTE(SUBSTITUTE(SUBSTITUTE(SUBSTITUTE(TRIM(M581),".",""),"/",""),"-","")," ",""),"(",""),")",""),"+",""))=11,LEFT(SUBSTITUTE(SUBSTITUTE(SUBSTITUTE(SUBSTITUTE(SUBSTITUTE(SUBSTITUTE(SUBSTITUTE(TRIM(M581),".",""),"/",""),"-","")," ",""),"(",""),")",""),"+",""),4)="0800")),"OK",IF(AND(LEN(SUBSTITUTE(SUBSTITUTE(SUBSTITUTE(SUBSTITUTE(SUBSTITUTE(SUBSTITUTE(SUBSTITUTE(TRIM(M581),".",""),"/",""),"-","")," ",""),"(",""),")",""),"+",""))=11,MID(SUBSTITUTE(SUBSTITUTE(SUBSTITUTE(SUBSTITUTE(SUBSTITUTE(SUBSTITUTE(SUBSTITUTE(TRIM(M581),".",""),"/",""),"-","")," ",""),"(",""),")",""),"+",""),3,1)="9"),"ERRO: é celular, use a coluna Celular","ERRO: DDD + 8 dígitos ou 0800 + 7")))</f>
      </c>
      <c r="X581" s="6">
        <f>IF(N581="","vazio",IF(AND(LEN(SUBSTITUTE(SUBSTITUTE(SUBSTITUTE(SUBSTITUTE(SUBSTITUTE(SUBSTITUTE(SUBSTITUTE(TRIM(N581),".",""),"/",""),"-","")," ",""),"(",""),")",""),"+",""))=11,MID(SUBSTITUTE(SUBSTITUTE(SUBSTITUTE(SUBSTITUTE(SUBSTITUTE(SUBSTITUTE(SUBSTITUTE(TRIM(N581),".",""),"/",""),"-","")," ",""),"(",""),")",""),"+",""),3,1)="9",LEFT(SUBSTITUTE(SUBSTITUTE(SUBSTITUTE(SUBSTITUTE(SUBSTITUTE(SUBSTITUTE(SUBSTITUTE(TRIM(N581),".",""),"/",""),"-","")," ",""),"(",""),")",""),"+",""),1)&lt;&gt;"0"),"OK",IF(LEN(SUBSTITUTE(SUBSTITUTE(SUBSTITUTE(SUBSTITUTE(SUBSTITUTE(SUBSTITUTE(SUBSTITUTE(TRIM(N581),".",""),"/",""),"-","")," ",""),"(",""),")",""),"+",""))=10,"ERRO: é fixo (ou falta o 9), use a coluna Telefone fixo","ERRO: DDD + 9 + 8 dígitos")))</f>
      </c>
      <c r="Y581" s="6">
        <f>IF(O581="","vazio",IF(AND(ISNUMBER(FIND("@",O581)),ISNUMBER(FIND(".",MID(O581,FIND("@",O581),99))),NOT(ISNUMBER(FIND(" ",TRIM(O581)))),NOT(ISNUMBER(FIND(";",O581))),NOT(ISNUMBER(FIND(",",O581)))),"OK","ERRO: um e-mail válido por linha"))</f>
      </c>
      <c r="Z581" s="6">
        <f>IF(AND(J581="",K581=""),"",IF(AND(J581&lt;&gt;"",K581&lt;&gt;""),"OK","pendente: só um nome (o GR completa ao converter)"))</f>
      </c>
      <c r="AA581" s="6">
        <f>IF(COUNTA(A581:S581)=0,"",IF(AND(A581&lt;&gt;"",B581&lt;&gt;"",C581&lt;&gt;"",D581&lt;&gt;"",E581&lt;&gt;"",F581&lt;&gt;"",G581&lt;&gt;"",H581&lt;&gt;"",OR(J581&lt;&gt;"",K581&lt;&gt;""),OR(M581&lt;&gt;"",N581&lt;&gt;"",O581&lt;&gt;"")),"OK","ERRO: faltam "&amp;IF(A581="","SDR; ","")&amp;IF(B581="","Proprietário; ","")&amp;IF(C581="","Origem; ","")&amp;IF(D581="","Temperatura; ","")&amp;IF(E581="","Segmento; ","")&amp;IF(F581="","Time/Cluster; ","")&amp;IF(G581="","CNPJ; ","")&amp;IF(H581="","Razão Social; ","")&amp;IF(AND(J581="",K581=""),"nome do contato; ","")&amp;IF(AND(M581="",N581="",O581=""),"telefone, celular ou e-mail; ","")))</f>
      </c>
      <c r="AB581" s="6">
        <f>IF(COUNTA(A581:S581)=0,"",IF(AND(U581="OK",V581="OK",LEFT(W581,4)&lt;&gt;"ERRO",LEFT(X581,4)&lt;&gt;"ERRO",LEFT(Y581,4)&lt;&gt;"ERRO",AA581="OK"),"OK","REVISAR"))</f>
      </c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5"/>
      <c r="K582" s="4"/>
      <c r="L582" s="4"/>
      <c r="M582" s="4"/>
      <c r="N582" s="4"/>
      <c r="O582" s="4"/>
      <c r="P582" s="4"/>
      <c r="Q582" s="4"/>
      <c r="R582" s="4"/>
      <c r="S582" s="4"/>
      <c r="T582" s="6">
        <f>IF(G582="","",SUBSTITUTE(SUBSTITUTE(SUBSTITUTE(SUBSTITUTE(SUBSTITUTE(SUBSTITUTE(SUBSTITUTE(TRIM(G582),".",""),"/",""),"-","")," ",""),"(",""),")",""),"+",""))</f>
      </c>
      <c r="U582" s="6">
        <f>IF(T582="","",IF(LEN(T582)&lt;&gt;14,"ERRO: "&amp;LEN(T582)&amp;" dígitos",IF(NOT(ISNUMBER(VALUE(T582))),"ERRO: não numérico",IF(LEN(SUBSTITUTE(T582,LEFT(T582,1),""))=0,"ERRO: dígitos repetidos",IF(AND(VALUE(MID(T582,13,1))=IF(MOD(SUMPRODUCT(--MID(T582,{1,2,3,4,5,6,7,8,9,10,11,12},1),{5,4,3,2,9,8,7,6,5,4,3,2}),11)&lt;2,0,11-MOD(SUMPRODUCT(--MID(T582,{1,2,3,4,5,6,7,8,9,10,11,12},1),{5,4,3,2,9,8,7,6,5,4,3,2}),11)),VALUE(MID(T582,14,1))=IF(MOD(SUMPRODUCT(--MID(T582,{1,2,3,4,5,6,7,8,9,10,11,12,13},1),{6,5,4,3,2,9,8,7,6,5,4,3,2}),11)&lt;2,0,11-MOD(SUMPRODUCT(--MID(T582,{1,2,3,4,5,6,7,8,9,10,11,12,13},1),{6,5,4,3,2,9,8,7,6,5,4,3,2}),11))),"OK","ERRO: dígito verificador")))))</f>
      </c>
      <c r="V582" s="6">
        <f>IF(T582="","",IF(COUNTIF($T$2:$T$1001,T582)&gt;1,"DUPLICADO","OK"))</f>
      </c>
      <c r="W582" s="6">
        <f>IF(M582="","vazio",IF(OR(AND(LEN(SUBSTITUTE(SUBSTITUTE(SUBSTITUTE(SUBSTITUTE(SUBSTITUTE(SUBSTITUTE(SUBSTITUTE(TRIM(M582),".",""),"/",""),"-","")," ",""),"(",""),")",""),"+",""))=10,LEFT(SUBSTITUTE(SUBSTITUTE(SUBSTITUTE(SUBSTITUTE(SUBSTITUTE(SUBSTITUTE(SUBSTITUTE(TRIM(M582),".",""),"/",""),"-","")," ",""),"(",""),")",""),"+",""),1)&lt;&gt;"0"),AND(LEN(SUBSTITUTE(SUBSTITUTE(SUBSTITUTE(SUBSTITUTE(SUBSTITUTE(SUBSTITUTE(SUBSTITUTE(TRIM(M582),".",""),"/",""),"-","")," ",""),"(",""),")",""),"+",""))=11,LEFT(SUBSTITUTE(SUBSTITUTE(SUBSTITUTE(SUBSTITUTE(SUBSTITUTE(SUBSTITUTE(SUBSTITUTE(TRIM(M582),".",""),"/",""),"-","")," ",""),"(",""),")",""),"+",""),4)="0800")),"OK",IF(AND(LEN(SUBSTITUTE(SUBSTITUTE(SUBSTITUTE(SUBSTITUTE(SUBSTITUTE(SUBSTITUTE(SUBSTITUTE(TRIM(M582),".",""),"/",""),"-","")," ",""),"(",""),")",""),"+",""))=11,MID(SUBSTITUTE(SUBSTITUTE(SUBSTITUTE(SUBSTITUTE(SUBSTITUTE(SUBSTITUTE(SUBSTITUTE(TRIM(M582),".",""),"/",""),"-","")," ",""),"(",""),")",""),"+",""),3,1)="9"),"ERRO: é celular, use a coluna Celular","ERRO: DDD + 8 dígitos ou 0800 + 7")))</f>
      </c>
      <c r="X582" s="6">
        <f>IF(N582="","vazio",IF(AND(LEN(SUBSTITUTE(SUBSTITUTE(SUBSTITUTE(SUBSTITUTE(SUBSTITUTE(SUBSTITUTE(SUBSTITUTE(TRIM(N582),".",""),"/",""),"-","")," ",""),"(",""),")",""),"+",""))=11,MID(SUBSTITUTE(SUBSTITUTE(SUBSTITUTE(SUBSTITUTE(SUBSTITUTE(SUBSTITUTE(SUBSTITUTE(TRIM(N582),".",""),"/",""),"-","")," ",""),"(",""),")",""),"+",""),3,1)="9",LEFT(SUBSTITUTE(SUBSTITUTE(SUBSTITUTE(SUBSTITUTE(SUBSTITUTE(SUBSTITUTE(SUBSTITUTE(TRIM(N582),".",""),"/",""),"-","")," ",""),"(",""),")",""),"+",""),1)&lt;&gt;"0"),"OK",IF(LEN(SUBSTITUTE(SUBSTITUTE(SUBSTITUTE(SUBSTITUTE(SUBSTITUTE(SUBSTITUTE(SUBSTITUTE(TRIM(N582),".",""),"/",""),"-","")," ",""),"(",""),")",""),"+",""))=10,"ERRO: é fixo (ou falta o 9), use a coluna Telefone fixo","ERRO: DDD + 9 + 8 dígitos")))</f>
      </c>
      <c r="Y582" s="6">
        <f>IF(O582="","vazio",IF(AND(ISNUMBER(FIND("@",O582)),ISNUMBER(FIND(".",MID(O582,FIND("@",O582),99))),NOT(ISNUMBER(FIND(" ",TRIM(O582)))),NOT(ISNUMBER(FIND(";",O582))),NOT(ISNUMBER(FIND(",",O582)))),"OK","ERRO: um e-mail válido por linha"))</f>
      </c>
      <c r="Z582" s="6">
        <f>IF(AND(J582="",K582=""),"",IF(AND(J582&lt;&gt;"",K582&lt;&gt;""),"OK","pendente: só um nome (o GR completa ao converter)"))</f>
      </c>
      <c r="AA582" s="6">
        <f>IF(COUNTA(A582:S582)=0,"",IF(AND(A582&lt;&gt;"",B582&lt;&gt;"",C582&lt;&gt;"",D582&lt;&gt;"",E582&lt;&gt;"",F582&lt;&gt;"",G582&lt;&gt;"",H582&lt;&gt;"",OR(J582&lt;&gt;"",K582&lt;&gt;""),OR(M582&lt;&gt;"",N582&lt;&gt;"",O582&lt;&gt;"")),"OK","ERRO: faltam "&amp;IF(A582="","SDR; ","")&amp;IF(B582="","Proprietário; ","")&amp;IF(C582="","Origem; ","")&amp;IF(D582="","Temperatura; ","")&amp;IF(E582="","Segmento; ","")&amp;IF(F582="","Time/Cluster; ","")&amp;IF(G582="","CNPJ; ","")&amp;IF(H582="","Razão Social; ","")&amp;IF(AND(J582="",K582=""),"nome do contato; ","")&amp;IF(AND(M582="",N582="",O582=""),"telefone, celular ou e-mail; ","")))</f>
      </c>
      <c r="AB582" s="6">
        <f>IF(COUNTA(A582:S582)=0,"",IF(AND(U582="OK",V582="OK",LEFT(W582,4)&lt;&gt;"ERRO",LEFT(X582,4)&lt;&gt;"ERRO",LEFT(Y582,4)&lt;&gt;"ERRO",AA582="OK"),"OK","REVISAR"))</f>
      </c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5"/>
      <c r="K583" s="4"/>
      <c r="L583" s="4"/>
      <c r="M583" s="4"/>
      <c r="N583" s="4"/>
      <c r="O583" s="4"/>
      <c r="P583" s="4"/>
      <c r="Q583" s="4"/>
      <c r="R583" s="4"/>
      <c r="S583" s="4"/>
      <c r="T583" s="6">
        <f>IF(G583="","",SUBSTITUTE(SUBSTITUTE(SUBSTITUTE(SUBSTITUTE(SUBSTITUTE(SUBSTITUTE(SUBSTITUTE(TRIM(G583),".",""),"/",""),"-","")," ",""),"(",""),")",""),"+",""))</f>
      </c>
      <c r="U583" s="6">
        <f>IF(T583="","",IF(LEN(T583)&lt;&gt;14,"ERRO: "&amp;LEN(T583)&amp;" dígitos",IF(NOT(ISNUMBER(VALUE(T583))),"ERRO: não numérico",IF(LEN(SUBSTITUTE(T583,LEFT(T583,1),""))=0,"ERRO: dígitos repetidos",IF(AND(VALUE(MID(T583,13,1))=IF(MOD(SUMPRODUCT(--MID(T583,{1,2,3,4,5,6,7,8,9,10,11,12},1),{5,4,3,2,9,8,7,6,5,4,3,2}),11)&lt;2,0,11-MOD(SUMPRODUCT(--MID(T583,{1,2,3,4,5,6,7,8,9,10,11,12},1),{5,4,3,2,9,8,7,6,5,4,3,2}),11)),VALUE(MID(T583,14,1))=IF(MOD(SUMPRODUCT(--MID(T583,{1,2,3,4,5,6,7,8,9,10,11,12,13},1),{6,5,4,3,2,9,8,7,6,5,4,3,2}),11)&lt;2,0,11-MOD(SUMPRODUCT(--MID(T583,{1,2,3,4,5,6,7,8,9,10,11,12,13},1),{6,5,4,3,2,9,8,7,6,5,4,3,2}),11))),"OK","ERRO: dígito verificador")))))</f>
      </c>
      <c r="V583" s="6">
        <f>IF(T583="","",IF(COUNTIF($T$2:$T$1001,T583)&gt;1,"DUPLICADO","OK"))</f>
      </c>
      <c r="W583" s="6">
        <f>IF(M583="","vazio",IF(OR(AND(LEN(SUBSTITUTE(SUBSTITUTE(SUBSTITUTE(SUBSTITUTE(SUBSTITUTE(SUBSTITUTE(SUBSTITUTE(TRIM(M583),".",""),"/",""),"-","")," ",""),"(",""),")",""),"+",""))=10,LEFT(SUBSTITUTE(SUBSTITUTE(SUBSTITUTE(SUBSTITUTE(SUBSTITUTE(SUBSTITUTE(SUBSTITUTE(TRIM(M583),".",""),"/",""),"-","")," ",""),"(",""),")",""),"+",""),1)&lt;&gt;"0"),AND(LEN(SUBSTITUTE(SUBSTITUTE(SUBSTITUTE(SUBSTITUTE(SUBSTITUTE(SUBSTITUTE(SUBSTITUTE(TRIM(M583),".",""),"/",""),"-","")," ",""),"(",""),")",""),"+",""))=11,LEFT(SUBSTITUTE(SUBSTITUTE(SUBSTITUTE(SUBSTITUTE(SUBSTITUTE(SUBSTITUTE(SUBSTITUTE(TRIM(M583),".",""),"/",""),"-","")," ",""),"(",""),")",""),"+",""),4)="0800")),"OK",IF(AND(LEN(SUBSTITUTE(SUBSTITUTE(SUBSTITUTE(SUBSTITUTE(SUBSTITUTE(SUBSTITUTE(SUBSTITUTE(TRIM(M583),".",""),"/",""),"-","")," ",""),"(",""),")",""),"+",""))=11,MID(SUBSTITUTE(SUBSTITUTE(SUBSTITUTE(SUBSTITUTE(SUBSTITUTE(SUBSTITUTE(SUBSTITUTE(TRIM(M583),".",""),"/",""),"-","")," ",""),"(",""),")",""),"+",""),3,1)="9"),"ERRO: é celular, use a coluna Celular","ERRO: DDD + 8 dígitos ou 0800 + 7")))</f>
      </c>
      <c r="X583" s="6">
        <f>IF(N583="","vazio",IF(AND(LEN(SUBSTITUTE(SUBSTITUTE(SUBSTITUTE(SUBSTITUTE(SUBSTITUTE(SUBSTITUTE(SUBSTITUTE(TRIM(N583),".",""),"/",""),"-","")," ",""),"(",""),")",""),"+",""))=11,MID(SUBSTITUTE(SUBSTITUTE(SUBSTITUTE(SUBSTITUTE(SUBSTITUTE(SUBSTITUTE(SUBSTITUTE(TRIM(N583),".",""),"/",""),"-","")," ",""),"(",""),")",""),"+",""),3,1)="9",LEFT(SUBSTITUTE(SUBSTITUTE(SUBSTITUTE(SUBSTITUTE(SUBSTITUTE(SUBSTITUTE(SUBSTITUTE(TRIM(N583),".",""),"/",""),"-","")," ",""),"(",""),")",""),"+",""),1)&lt;&gt;"0"),"OK",IF(LEN(SUBSTITUTE(SUBSTITUTE(SUBSTITUTE(SUBSTITUTE(SUBSTITUTE(SUBSTITUTE(SUBSTITUTE(TRIM(N583),".",""),"/",""),"-","")," ",""),"(",""),")",""),"+",""))=10,"ERRO: é fixo (ou falta o 9), use a coluna Telefone fixo","ERRO: DDD + 9 + 8 dígitos")))</f>
      </c>
      <c r="Y583" s="6">
        <f>IF(O583="","vazio",IF(AND(ISNUMBER(FIND("@",O583)),ISNUMBER(FIND(".",MID(O583,FIND("@",O583),99))),NOT(ISNUMBER(FIND(" ",TRIM(O583)))),NOT(ISNUMBER(FIND(";",O583))),NOT(ISNUMBER(FIND(",",O583)))),"OK","ERRO: um e-mail válido por linha"))</f>
      </c>
      <c r="Z583" s="6">
        <f>IF(AND(J583="",K583=""),"",IF(AND(J583&lt;&gt;"",K583&lt;&gt;""),"OK","pendente: só um nome (o GR completa ao converter)"))</f>
      </c>
      <c r="AA583" s="6">
        <f>IF(COUNTA(A583:S583)=0,"",IF(AND(A583&lt;&gt;"",B583&lt;&gt;"",C583&lt;&gt;"",D583&lt;&gt;"",E583&lt;&gt;"",F583&lt;&gt;"",G583&lt;&gt;"",H583&lt;&gt;"",OR(J583&lt;&gt;"",K583&lt;&gt;""),OR(M583&lt;&gt;"",N583&lt;&gt;"",O583&lt;&gt;"")),"OK","ERRO: faltam "&amp;IF(A583="","SDR; ","")&amp;IF(B583="","Proprietário; ","")&amp;IF(C583="","Origem; ","")&amp;IF(D583="","Temperatura; ","")&amp;IF(E583="","Segmento; ","")&amp;IF(F583="","Time/Cluster; ","")&amp;IF(G583="","CNPJ; ","")&amp;IF(H583="","Razão Social; ","")&amp;IF(AND(J583="",K583=""),"nome do contato; ","")&amp;IF(AND(M583="",N583="",O583=""),"telefone, celular ou e-mail; ","")))</f>
      </c>
      <c r="AB583" s="6">
        <f>IF(COUNTA(A583:S583)=0,"",IF(AND(U583="OK",V583="OK",LEFT(W583,4)&lt;&gt;"ERRO",LEFT(X583,4)&lt;&gt;"ERRO",LEFT(Y583,4)&lt;&gt;"ERRO",AA583="OK"),"OK","REVISAR"))</f>
      </c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5"/>
      <c r="K584" s="4"/>
      <c r="L584" s="4"/>
      <c r="M584" s="4"/>
      <c r="N584" s="4"/>
      <c r="O584" s="4"/>
      <c r="P584" s="4"/>
      <c r="Q584" s="4"/>
      <c r="R584" s="4"/>
      <c r="S584" s="4"/>
      <c r="T584" s="6">
        <f>IF(G584="","",SUBSTITUTE(SUBSTITUTE(SUBSTITUTE(SUBSTITUTE(SUBSTITUTE(SUBSTITUTE(SUBSTITUTE(TRIM(G584),".",""),"/",""),"-","")," ",""),"(",""),")",""),"+",""))</f>
      </c>
      <c r="U584" s="6">
        <f>IF(T584="","",IF(LEN(T584)&lt;&gt;14,"ERRO: "&amp;LEN(T584)&amp;" dígitos",IF(NOT(ISNUMBER(VALUE(T584))),"ERRO: não numérico",IF(LEN(SUBSTITUTE(T584,LEFT(T584,1),""))=0,"ERRO: dígitos repetidos",IF(AND(VALUE(MID(T584,13,1))=IF(MOD(SUMPRODUCT(--MID(T584,{1,2,3,4,5,6,7,8,9,10,11,12},1),{5,4,3,2,9,8,7,6,5,4,3,2}),11)&lt;2,0,11-MOD(SUMPRODUCT(--MID(T584,{1,2,3,4,5,6,7,8,9,10,11,12},1),{5,4,3,2,9,8,7,6,5,4,3,2}),11)),VALUE(MID(T584,14,1))=IF(MOD(SUMPRODUCT(--MID(T584,{1,2,3,4,5,6,7,8,9,10,11,12,13},1),{6,5,4,3,2,9,8,7,6,5,4,3,2}),11)&lt;2,0,11-MOD(SUMPRODUCT(--MID(T584,{1,2,3,4,5,6,7,8,9,10,11,12,13},1),{6,5,4,3,2,9,8,7,6,5,4,3,2}),11))),"OK","ERRO: dígito verificador")))))</f>
      </c>
      <c r="V584" s="6">
        <f>IF(T584="","",IF(COUNTIF($T$2:$T$1001,T584)&gt;1,"DUPLICADO","OK"))</f>
      </c>
      <c r="W584" s="6">
        <f>IF(M584="","vazio",IF(OR(AND(LEN(SUBSTITUTE(SUBSTITUTE(SUBSTITUTE(SUBSTITUTE(SUBSTITUTE(SUBSTITUTE(SUBSTITUTE(TRIM(M584),".",""),"/",""),"-","")," ",""),"(",""),")",""),"+",""))=10,LEFT(SUBSTITUTE(SUBSTITUTE(SUBSTITUTE(SUBSTITUTE(SUBSTITUTE(SUBSTITUTE(SUBSTITUTE(TRIM(M584),".",""),"/",""),"-","")," ",""),"(",""),")",""),"+",""),1)&lt;&gt;"0"),AND(LEN(SUBSTITUTE(SUBSTITUTE(SUBSTITUTE(SUBSTITUTE(SUBSTITUTE(SUBSTITUTE(SUBSTITUTE(TRIM(M584),".",""),"/",""),"-","")," ",""),"(",""),")",""),"+",""))=11,LEFT(SUBSTITUTE(SUBSTITUTE(SUBSTITUTE(SUBSTITUTE(SUBSTITUTE(SUBSTITUTE(SUBSTITUTE(TRIM(M584),".",""),"/",""),"-","")," ",""),"(",""),")",""),"+",""),4)="0800")),"OK",IF(AND(LEN(SUBSTITUTE(SUBSTITUTE(SUBSTITUTE(SUBSTITUTE(SUBSTITUTE(SUBSTITUTE(SUBSTITUTE(TRIM(M584),".",""),"/",""),"-","")," ",""),"(",""),")",""),"+",""))=11,MID(SUBSTITUTE(SUBSTITUTE(SUBSTITUTE(SUBSTITUTE(SUBSTITUTE(SUBSTITUTE(SUBSTITUTE(TRIM(M584),".",""),"/",""),"-","")," ",""),"(",""),")",""),"+",""),3,1)="9"),"ERRO: é celular, use a coluna Celular","ERRO: DDD + 8 dígitos ou 0800 + 7")))</f>
      </c>
      <c r="X584" s="6">
        <f>IF(N584="","vazio",IF(AND(LEN(SUBSTITUTE(SUBSTITUTE(SUBSTITUTE(SUBSTITUTE(SUBSTITUTE(SUBSTITUTE(SUBSTITUTE(TRIM(N584),".",""),"/",""),"-","")," ",""),"(",""),")",""),"+",""))=11,MID(SUBSTITUTE(SUBSTITUTE(SUBSTITUTE(SUBSTITUTE(SUBSTITUTE(SUBSTITUTE(SUBSTITUTE(TRIM(N584),".",""),"/",""),"-","")," ",""),"(",""),")",""),"+",""),3,1)="9",LEFT(SUBSTITUTE(SUBSTITUTE(SUBSTITUTE(SUBSTITUTE(SUBSTITUTE(SUBSTITUTE(SUBSTITUTE(TRIM(N584),".",""),"/",""),"-","")," ",""),"(",""),")",""),"+",""),1)&lt;&gt;"0"),"OK",IF(LEN(SUBSTITUTE(SUBSTITUTE(SUBSTITUTE(SUBSTITUTE(SUBSTITUTE(SUBSTITUTE(SUBSTITUTE(TRIM(N584),".",""),"/",""),"-","")," ",""),"(",""),")",""),"+",""))=10,"ERRO: é fixo (ou falta o 9), use a coluna Telefone fixo","ERRO: DDD + 9 + 8 dígitos")))</f>
      </c>
      <c r="Y584" s="6">
        <f>IF(O584="","vazio",IF(AND(ISNUMBER(FIND("@",O584)),ISNUMBER(FIND(".",MID(O584,FIND("@",O584),99))),NOT(ISNUMBER(FIND(" ",TRIM(O584)))),NOT(ISNUMBER(FIND(";",O584))),NOT(ISNUMBER(FIND(",",O584)))),"OK","ERRO: um e-mail válido por linha"))</f>
      </c>
      <c r="Z584" s="6">
        <f>IF(AND(J584="",K584=""),"",IF(AND(J584&lt;&gt;"",K584&lt;&gt;""),"OK","pendente: só um nome (o GR completa ao converter)"))</f>
      </c>
      <c r="AA584" s="6">
        <f>IF(COUNTA(A584:S584)=0,"",IF(AND(A584&lt;&gt;"",B584&lt;&gt;"",C584&lt;&gt;"",D584&lt;&gt;"",E584&lt;&gt;"",F584&lt;&gt;"",G584&lt;&gt;"",H584&lt;&gt;"",OR(J584&lt;&gt;"",K584&lt;&gt;""),OR(M584&lt;&gt;"",N584&lt;&gt;"",O584&lt;&gt;"")),"OK","ERRO: faltam "&amp;IF(A584="","SDR; ","")&amp;IF(B584="","Proprietário; ","")&amp;IF(C584="","Origem; ","")&amp;IF(D584="","Temperatura; ","")&amp;IF(E584="","Segmento; ","")&amp;IF(F584="","Time/Cluster; ","")&amp;IF(G584="","CNPJ; ","")&amp;IF(H584="","Razão Social; ","")&amp;IF(AND(J584="",K584=""),"nome do contato; ","")&amp;IF(AND(M584="",N584="",O584=""),"telefone, celular ou e-mail; ","")))</f>
      </c>
      <c r="AB584" s="6">
        <f>IF(COUNTA(A584:S584)=0,"",IF(AND(U584="OK",V584="OK",LEFT(W584,4)&lt;&gt;"ERRO",LEFT(X584,4)&lt;&gt;"ERRO",LEFT(Y584,4)&lt;&gt;"ERRO",AA584="OK"),"OK","REVISAR"))</f>
      </c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5"/>
      <c r="K585" s="4"/>
      <c r="L585" s="4"/>
      <c r="M585" s="4"/>
      <c r="N585" s="4"/>
      <c r="O585" s="4"/>
      <c r="P585" s="4"/>
      <c r="Q585" s="4"/>
      <c r="R585" s="4"/>
      <c r="S585" s="4"/>
      <c r="T585" s="6">
        <f>IF(G585="","",SUBSTITUTE(SUBSTITUTE(SUBSTITUTE(SUBSTITUTE(SUBSTITUTE(SUBSTITUTE(SUBSTITUTE(TRIM(G585),".",""),"/",""),"-","")," ",""),"(",""),")",""),"+",""))</f>
      </c>
      <c r="U585" s="6">
        <f>IF(T585="","",IF(LEN(T585)&lt;&gt;14,"ERRO: "&amp;LEN(T585)&amp;" dígitos",IF(NOT(ISNUMBER(VALUE(T585))),"ERRO: não numérico",IF(LEN(SUBSTITUTE(T585,LEFT(T585,1),""))=0,"ERRO: dígitos repetidos",IF(AND(VALUE(MID(T585,13,1))=IF(MOD(SUMPRODUCT(--MID(T585,{1,2,3,4,5,6,7,8,9,10,11,12},1),{5,4,3,2,9,8,7,6,5,4,3,2}),11)&lt;2,0,11-MOD(SUMPRODUCT(--MID(T585,{1,2,3,4,5,6,7,8,9,10,11,12},1),{5,4,3,2,9,8,7,6,5,4,3,2}),11)),VALUE(MID(T585,14,1))=IF(MOD(SUMPRODUCT(--MID(T585,{1,2,3,4,5,6,7,8,9,10,11,12,13},1),{6,5,4,3,2,9,8,7,6,5,4,3,2}),11)&lt;2,0,11-MOD(SUMPRODUCT(--MID(T585,{1,2,3,4,5,6,7,8,9,10,11,12,13},1),{6,5,4,3,2,9,8,7,6,5,4,3,2}),11))),"OK","ERRO: dígito verificador")))))</f>
      </c>
      <c r="V585" s="6">
        <f>IF(T585="","",IF(COUNTIF($T$2:$T$1001,T585)&gt;1,"DUPLICADO","OK"))</f>
      </c>
      <c r="W585" s="6">
        <f>IF(M585="","vazio",IF(OR(AND(LEN(SUBSTITUTE(SUBSTITUTE(SUBSTITUTE(SUBSTITUTE(SUBSTITUTE(SUBSTITUTE(SUBSTITUTE(TRIM(M585),".",""),"/",""),"-","")," ",""),"(",""),")",""),"+",""))=10,LEFT(SUBSTITUTE(SUBSTITUTE(SUBSTITUTE(SUBSTITUTE(SUBSTITUTE(SUBSTITUTE(SUBSTITUTE(TRIM(M585),".",""),"/",""),"-","")," ",""),"(",""),")",""),"+",""),1)&lt;&gt;"0"),AND(LEN(SUBSTITUTE(SUBSTITUTE(SUBSTITUTE(SUBSTITUTE(SUBSTITUTE(SUBSTITUTE(SUBSTITUTE(TRIM(M585),".",""),"/",""),"-","")," ",""),"(",""),")",""),"+",""))=11,LEFT(SUBSTITUTE(SUBSTITUTE(SUBSTITUTE(SUBSTITUTE(SUBSTITUTE(SUBSTITUTE(SUBSTITUTE(TRIM(M585),".",""),"/",""),"-","")," ",""),"(",""),")",""),"+",""),4)="0800")),"OK",IF(AND(LEN(SUBSTITUTE(SUBSTITUTE(SUBSTITUTE(SUBSTITUTE(SUBSTITUTE(SUBSTITUTE(SUBSTITUTE(TRIM(M585),".",""),"/",""),"-","")," ",""),"(",""),")",""),"+",""))=11,MID(SUBSTITUTE(SUBSTITUTE(SUBSTITUTE(SUBSTITUTE(SUBSTITUTE(SUBSTITUTE(SUBSTITUTE(TRIM(M585),".",""),"/",""),"-","")," ",""),"(",""),")",""),"+",""),3,1)="9"),"ERRO: é celular, use a coluna Celular","ERRO: DDD + 8 dígitos ou 0800 + 7")))</f>
      </c>
      <c r="X585" s="6">
        <f>IF(N585="","vazio",IF(AND(LEN(SUBSTITUTE(SUBSTITUTE(SUBSTITUTE(SUBSTITUTE(SUBSTITUTE(SUBSTITUTE(SUBSTITUTE(TRIM(N585),".",""),"/",""),"-","")," ",""),"(",""),")",""),"+",""))=11,MID(SUBSTITUTE(SUBSTITUTE(SUBSTITUTE(SUBSTITUTE(SUBSTITUTE(SUBSTITUTE(SUBSTITUTE(TRIM(N585),".",""),"/",""),"-","")," ",""),"(",""),")",""),"+",""),3,1)="9",LEFT(SUBSTITUTE(SUBSTITUTE(SUBSTITUTE(SUBSTITUTE(SUBSTITUTE(SUBSTITUTE(SUBSTITUTE(TRIM(N585),".",""),"/",""),"-","")," ",""),"(",""),")",""),"+",""),1)&lt;&gt;"0"),"OK",IF(LEN(SUBSTITUTE(SUBSTITUTE(SUBSTITUTE(SUBSTITUTE(SUBSTITUTE(SUBSTITUTE(SUBSTITUTE(TRIM(N585),".",""),"/",""),"-","")," ",""),"(",""),")",""),"+",""))=10,"ERRO: é fixo (ou falta o 9), use a coluna Telefone fixo","ERRO: DDD + 9 + 8 dígitos")))</f>
      </c>
      <c r="Y585" s="6">
        <f>IF(O585="","vazio",IF(AND(ISNUMBER(FIND("@",O585)),ISNUMBER(FIND(".",MID(O585,FIND("@",O585),99))),NOT(ISNUMBER(FIND(" ",TRIM(O585)))),NOT(ISNUMBER(FIND(";",O585))),NOT(ISNUMBER(FIND(",",O585)))),"OK","ERRO: um e-mail válido por linha"))</f>
      </c>
      <c r="Z585" s="6">
        <f>IF(AND(J585="",K585=""),"",IF(AND(J585&lt;&gt;"",K585&lt;&gt;""),"OK","pendente: só um nome (o GR completa ao converter)"))</f>
      </c>
      <c r="AA585" s="6">
        <f>IF(COUNTA(A585:S585)=0,"",IF(AND(A585&lt;&gt;"",B585&lt;&gt;"",C585&lt;&gt;"",D585&lt;&gt;"",E585&lt;&gt;"",F585&lt;&gt;"",G585&lt;&gt;"",H585&lt;&gt;"",OR(J585&lt;&gt;"",K585&lt;&gt;""),OR(M585&lt;&gt;"",N585&lt;&gt;"",O585&lt;&gt;"")),"OK","ERRO: faltam "&amp;IF(A585="","SDR; ","")&amp;IF(B585="","Proprietário; ","")&amp;IF(C585="","Origem; ","")&amp;IF(D585="","Temperatura; ","")&amp;IF(E585="","Segmento; ","")&amp;IF(F585="","Time/Cluster; ","")&amp;IF(G585="","CNPJ; ","")&amp;IF(H585="","Razão Social; ","")&amp;IF(AND(J585="",K585=""),"nome do contato; ","")&amp;IF(AND(M585="",N585="",O585=""),"telefone, celular ou e-mail; ","")))</f>
      </c>
      <c r="AB585" s="6">
        <f>IF(COUNTA(A585:S585)=0,"",IF(AND(U585="OK",V585="OK",LEFT(W585,4)&lt;&gt;"ERRO",LEFT(X585,4)&lt;&gt;"ERRO",LEFT(Y585,4)&lt;&gt;"ERRO",AA585="OK"),"OK","REVISAR"))</f>
      </c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5"/>
      <c r="K586" s="4"/>
      <c r="L586" s="4"/>
      <c r="M586" s="4"/>
      <c r="N586" s="4"/>
      <c r="O586" s="4"/>
      <c r="P586" s="4"/>
      <c r="Q586" s="4"/>
      <c r="R586" s="4"/>
      <c r="S586" s="4"/>
      <c r="T586" s="6">
        <f>IF(G586="","",SUBSTITUTE(SUBSTITUTE(SUBSTITUTE(SUBSTITUTE(SUBSTITUTE(SUBSTITUTE(SUBSTITUTE(TRIM(G586),".",""),"/",""),"-","")," ",""),"(",""),")",""),"+",""))</f>
      </c>
      <c r="U586" s="6">
        <f>IF(T586="","",IF(LEN(T586)&lt;&gt;14,"ERRO: "&amp;LEN(T586)&amp;" dígitos",IF(NOT(ISNUMBER(VALUE(T586))),"ERRO: não numérico",IF(LEN(SUBSTITUTE(T586,LEFT(T586,1),""))=0,"ERRO: dígitos repetidos",IF(AND(VALUE(MID(T586,13,1))=IF(MOD(SUMPRODUCT(--MID(T586,{1,2,3,4,5,6,7,8,9,10,11,12},1),{5,4,3,2,9,8,7,6,5,4,3,2}),11)&lt;2,0,11-MOD(SUMPRODUCT(--MID(T586,{1,2,3,4,5,6,7,8,9,10,11,12},1),{5,4,3,2,9,8,7,6,5,4,3,2}),11)),VALUE(MID(T586,14,1))=IF(MOD(SUMPRODUCT(--MID(T586,{1,2,3,4,5,6,7,8,9,10,11,12,13},1),{6,5,4,3,2,9,8,7,6,5,4,3,2}),11)&lt;2,0,11-MOD(SUMPRODUCT(--MID(T586,{1,2,3,4,5,6,7,8,9,10,11,12,13},1),{6,5,4,3,2,9,8,7,6,5,4,3,2}),11))),"OK","ERRO: dígito verificador")))))</f>
      </c>
      <c r="V586" s="6">
        <f>IF(T586="","",IF(COUNTIF($T$2:$T$1001,T586)&gt;1,"DUPLICADO","OK"))</f>
      </c>
      <c r="W586" s="6">
        <f>IF(M586="","vazio",IF(OR(AND(LEN(SUBSTITUTE(SUBSTITUTE(SUBSTITUTE(SUBSTITUTE(SUBSTITUTE(SUBSTITUTE(SUBSTITUTE(TRIM(M586),".",""),"/",""),"-","")," ",""),"(",""),")",""),"+",""))=10,LEFT(SUBSTITUTE(SUBSTITUTE(SUBSTITUTE(SUBSTITUTE(SUBSTITUTE(SUBSTITUTE(SUBSTITUTE(TRIM(M586),".",""),"/",""),"-","")," ",""),"(",""),")",""),"+",""),1)&lt;&gt;"0"),AND(LEN(SUBSTITUTE(SUBSTITUTE(SUBSTITUTE(SUBSTITUTE(SUBSTITUTE(SUBSTITUTE(SUBSTITUTE(TRIM(M586),".",""),"/",""),"-","")," ",""),"(",""),")",""),"+",""))=11,LEFT(SUBSTITUTE(SUBSTITUTE(SUBSTITUTE(SUBSTITUTE(SUBSTITUTE(SUBSTITUTE(SUBSTITUTE(TRIM(M586),".",""),"/",""),"-","")," ",""),"(",""),")",""),"+",""),4)="0800")),"OK",IF(AND(LEN(SUBSTITUTE(SUBSTITUTE(SUBSTITUTE(SUBSTITUTE(SUBSTITUTE(SUBSTITUTE(SUBSTITUTE(TRIM(M586),".",""),"/",""),"-","")," ",""),"(",""),")",""),"+",""))=11,MID(SUBSTITUTE(SUBSTITUTE(SUBSTITUTE(SUBSTITUTE(SUBSTITUTE(SUBSTITUTE(SUBSTITUTE(TRIM(M586),".",""),"/",""),"-","")," ",""),"(",""),")",""),"+",""),3,1)="9"),"ERRO: é celular, use a coluna Celular","ERRO: DDD + 8 dígitos ou 0800 + 7")))</f>
      </c>
      <c r="X586" s="6">
        <f>IF(N586="","vazio",IF(AND(LEN(SUBSTITUTE(SUBSTITUTE(SUBSTITUTE(SUBSTITUTE(SUBSTITUTE(SUBSTITUTE(SUBSTITUTE(TRIM(N586),".",""),"/",""),"-","")," ",""),"(",""),")",""),"+",""))=11,MID(SUBSTITUTE(SUBSTITUTE(SUBSTITUTE(SUBSTITUTE(SUBSTITUTE(SUBSTITUTE(SUBSTITUTE(TRIM(N586),".",""),"/",""),"-","")," ",""),"(",""),")",""),"+",""),3,1)="9",LEFT(SUBSTITUTE(SUBSTITUTE(SUBSTITUTE(SUBSTITUTE(SUBSTITUTE(SUBSTITUTE(SUBSTITUTE(TRIM(N586),".",""),"/",""),"-","")," ",""),"(",""),")",""),"+",""),1)&lt;&gt;"0"),"OK",IF(LEN(SUBSTITUTE(SUBSTITUTE(SUBSTITUTE(SUBSTITUTE(SUBSTITUTE(SUBSTITUTE(SUBSTITUTE(TRIM(N586),".",""),"/",""),"-","")," ",""),"(",""),")",""),"+",""))=10,"ERRO: é fixo (ou falta o 9), use a coluna Telefone fixo","ERRO: DDD + 9 + 8 dígitos")))</f>
      </c>
      <c r="Y586" s="6">
        <f>IF(O586="","vazio",IF(AND(ISNUMBER(FIND("@",O586)),ISNUMBER(FIND(".",MID(O586,FIND("@",O586),99))),NOT(ISNUMBER(FIND(" ",TRIM(O586)))),NOT(ISNUMBER(FIND(";",O586))),NOT(ISNUMBER(FIND(",",O586)))),"OK","ERRO: um e-mail válido por linha"))</f>
      </c>
      <c r="Z586" s="6">
        <f>IF(AND(J586="",K586=""),"",IF(AND(J586&lt;&gt;"",K586&lt;&gt;""),"OK","pendente: só um nome (o GR completa ao converter)"))</f>
      </c>
      <c r="AA586" s="6">
        <f>IF(COUNTA(A586:S586)=0,"",IF(AND(A586&lt;&gt;"",B586&lt;&gt;"",C586&lt;&gt;"",D586&lt;&gt;"",E586&lt;&gt;"",F586&lt;&gt;"",G586&lt;&gt;"",H586&lt;&gt;"",OR(J586&lt;&gt;"",K586&lt;&gt;""),OR(M586&lt;&gt;"",N586&lt;&gt;"",O586&lt;&gt;"")),"OK","ERRO: faltam "&amp;IF(A586="","SDR; ","")&amp;IF(B586="","Proprietário; ","")&amp;IF(C586="","Origem; ","")&amp;IF(D586="","Temperatura; ","")&amp;IF(E586="","Segmento; ","")&amp;IF(F586="","Time/Cluster; ","")&amp;IF(G586="","CNPJ; ","")&amp;IF(H586="","Razão Social; ","")&amp;IF(AND(J586="",K586=""),"nome do contato; ","")&amp;IF(AND(M586="",N586="",O586=""),"telefone, celular ou e-mail; ","")))</f>
      </c>
      <c r="AB586" s="6">
        <f>IF(COUNTA(A586:S586)=0,"",IF(AND(U586="OK",V586="OK",LEFT(W586,4)&lt;&gt;"ERRO",LEFT(X586,4)&lt;&gt;"ERRO",LEFT(Y586,4)&lt;&gt;"ERRO",AA586="OK"),"OK","REVISAR"))</f>
      </c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5"/>
      <c r="K587" s="4"/>
      <c r="L587" s="4"/>
      <c r="M587" s="4"/>
      <c r="N587" s="4"/>
      <c r="O587" s="4"/>
      <c r="P587" s="4"/>
      <c r="Q587" s="4"/>
      <c r="R587" s="4"/>
      <c r="S587" s="4"/>
      <c r="T587" s="6">
        <f>IF(G587="","",SUBSTITUTE(SUBSTITUTE(SUBSTITUTE(SUBSTITUTE(SUBSTITUTE(SUBSTITUTE(SUBSTITUTE(TRIM(G587),".",""),"/",""),"-","")," ",""),"(",""),")",""),"+",""))</f>
      </c>
      <c r="U587" s="6">
        <f>IF(T587="","",IF(LEN(T587)&lt;&gt;14,"ERRO: "&amp;LEN(T587)&amp;" dígitos",IF(NOT(ISNUMBER(VALUE(T587))),"ERRO: não numérico",IF(LEN(SUBSTITUTE(T587,LEFT(T587,1),""))=0,"ERRO: dígitos repetidos",IF(AND(VALUE(MID(T587,13,1))=IF(MOD(SUMPRODUCT(--MID(T587,{1,2,3,4,5,6,7,8,9,10,11,12},1),{5,4,3,2,9,8,7,6,5,4,3,2}),11)&lt;2,0,11-MOD(SUMPRODUCT(--MID(T587,{1,2,3,4,5,6,7,8,9,10,11,12},1),{5,4,3,2,9,8,7,6,5,4,3,2}),11)),VALUE(MID(T587,14,1))=IF(MOD(SUMPRODUCT(--MID(T587,{1,2,3,4,5,6,7,8,9,10,11,12,13},1),{6,5,4,3,2,9,8,7,6,5,4,3,2}),11)&lt;2,0,11-MOD(SUMPRODUCT(--MID(T587,{1,2,3,4,5,6,7,8,9,10,11,12,13},1),{6,5,4,3,2,9,8,7,6,5,4,3,2}),11))),"OK","ERRO: dígito verificador")))))</f>
      </c>
      <c r="V587" s="6">
        <f>IF(T587="","",IF(COUNTIF($T$2:$T$1001,T587)&gt;1,"DUPLICADO","OK"))</f>
      </c>
      <c r="W587" s="6">
        <f>IF(M587="","vazio",IF(OR(AND(LEN(SUBSTITUTE(SUBSTITUTE(SUBSTITUTE(SUBSTITUTE(SUBSTITUTE(SUBSTITUTE(SUBSTITUTE(TRIM(M587),".",""),"/",""),"-","")," ",""),"(",""),")",""),"+",""))=10,LEFT(SUBSTITUTE(SUBSTITUTE(SUBSTITUTE(SUBSTITUTE(SUBSTITUTE(SUBSTITUTE(SUBSTITUTE(TRIM(M587),".",""),"/",""),"-","")," ",""),"(",""),")",""),"+",""),1)&lt;&gt;"0"),AND(LEN(SUBSTITUTE(SUBSTITUTE(SUBSTITUTE(SUBSTITUTE(SUBSTITUTE(SUBSTITUTE(SUBSTITUTE(TRIM(M587),".",""),"/",""),"-","")," ",""),"(",""),")",""),"+",""))=11,LEFT(SUBSTITUTE(SUBSTITUTE(SUBSTITUTE(SUBSTITUTE(SUBSTITUTE(SUBSTITUTE(SUBSTITUTE(TRIM(M587),".",""),"/",""),"-","")," ",""),"(",""),")",""),"+",""),4)="0800")),"OK",IF(AND(LEN(SUBSTITUTE(SUBSTITUTE(SUBSTITUTE(SUBSTITUTE(SUBSTITUTE(SUBSTITUTE(SUBSTITUTE(TRIM(M587),".",""),"/",""),"-","")," ",""),"(",""),")",""),"+",""))=11,MID(SUBSTITUTE(SUBSTITUTE(SUBSTITUTE(SUBSTITUTE(SUBSTITUTE(SUBSTITUTE(SUBSTITUTE(TRIM(M587),".",""),"/",""),"-","")," ",""),"(",""),")",""),"+",""),3,1)="9"),"ERRO: é celular, use a coluna Celular","ERRO: DDD + 8 dígitos ou 0800 + 7")))</f>
      </c>
      <c r="X587" s="6">
        <f>IF(N587="","vazio",IF(AND(LEN(SUBSTITUTE(SUBSTITUTE(SUBSTITUTE(SUBSTITUTE(SUBSTITUTE(SUBSTITUTE(SUBSTITUTE(TRIM(N587),".",""),"/",""),"-","")," ",""),"(",""),")",""),"+",""))=11,MID(SUBSTITUTE(SUBSTITUTE(SUBSTITUTE(SUBSTITUTE(SUBSTITUTE(SUBSTITUTE(SUBSTITUTE(TRIM(N587),".",""),"/",""),"-","")," ",""),"(",""),")",""),"+",""),3,1)="9",LEFT(SUBSTITUTE(SUBSTITUTE(SUBSTITUTE(SUBSTITUTE(SUBSTITUTE(SUBSTITUTE(SUBSTITUTE(TRIM(N587),".",""),"/",""),"-","")," ",""),"(",""),")",""),"+",""),1)&lt;&gt;"0"),"OK",IF(LEN(SUBSTITUTE(SUBSTITUTE(SUBSTITUTE(SUBSTITUTE(SUBSTITUTE(SUBSTITUTE(SUBSTITUTE(TRIM(N587),".",""),"/",""),"-","")," ",""),"(",""),")",""),"+",""))=10,"ERRO: é fixo (ou falta o 9), use a coluna Telefone fixo","ERRO: DDD + 9 + 8 dígitos")))</f>
      </c>
      <c r="Y587" s="6">
        <f>IF(O587="","vazio",IF(AND(ISNUMBER(FIND("@",O587)),ISNUMBER(FIND(".",MID(O587,FIND("@",O587),99))),NOT(ISNUMBER(FIND(" ",TRIM(O587)))),NOT(ISNUMBER(FIND(";",O587))),NOT(ISNUMBER(FIND(",",O587)))),"OK","ERRO: um e-mail válido por linha"))</f>
      </c>
      <c r="Z587" s="6">
        <f>IF(AND(J587="",K587=""),"",IF(AND(J587&lt;&gt;"",K587&lt;&gt;""),"OK","pendente: só um nome (o GR completa ao converter)"))</f>
      </c>
      <c r="AA587" s="6">
        <f>IF(COUNTA(A587:S587)=0,"",IF(AND(A587&lt;&gt;"",B587&lt;&gt;"",C587&lt;&gt;"",D587&lt;&gt;"",E587&lt;&gt;"",F587&lt;&gt;"",G587&lt;&gt;"",H587&lt;&gt;"",OR(J587&lt;&gt;"",K587&lt;&gt;""),OR(M587&lt;&gt;"",N587&lt;&gt;"",O587&lt;&gt;"")),"OK","ERRO: faltam "&amp;IF(A587="","SDR; ","")&amp;IF(B587="","Proprietário; ","")&amp;IF(C587="","Origem; ","")&amp;IF(D587="","Temperatura; ","")&amp;IF(E587="","Segmento; ","")&amp;IF(F587="","Time/Cluster; ","")&amp;IF(G587="","CNPJ; ","")&amp;IF(H587="","Razão Social; ","")&amp;IF(AND(J587="",K587=""),"nome do contato; ","")&amp;IF(AND(M587="",N587="",O587=""),"telefone, celular ou e-mail; ","")))</f>
      </c>
      <c r="AB587" s="6">
        <f>IF(COUNTA(A587:S587)=0,"",IF(AND(U587="OK",V587="OK",LEFT(W587,4)&lt;&gt;"ERRO",LEFT(X587,4)&lt;&gt;"ERRO",LEFT(Y587,4)&lt;&gt;"ERRO",AA587="OK"),"OK","REVISAR"))</f>
      </c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5"/>
      <c r="K588" s="4"/>
      <c r="L588" s="4"/>
      <c r="M588" s="4"/>
      <c r="N588" s="4"/>
      <c r="O588" s="4"/>
      <c r="P588" s="4"/>
      <c r="Q588" s="4"/>
      <c r="R588" s="4"/>
      <c r="S588" s="4"/>
      <c r="T588" s="6">
        <f>IF(G588="","",SUBSTITUTE(SUBSTITUTE(SUBSTITUTE(SUBSTITUTE(SUBSTITUTE(SUBSTITUTE(SUBSTITUTE(TRIM(G588),".",""),"/",""),"-","")," ",""),"(",""),")",""),"+",""))</f>
      </c>
      <c r="U588" s="6">
        <f>IF(T588="","",IF(LEN(T588)&lt;&gt;14,"ERRO: "&amp;LEN(T588)&amp;" dígitos",IF(NOT(ISNUMBER(VALUE(T588))),"ERRO: não numérico",IF(LEN(SUBSTITUTE(T588,LEFT(T588,1),""))=0,"ERRO: dígitos repetidos",IF(AND(VALUE(MID(T588,13,1))=IF(MOD(SUMPRODUCT(--MID(T588,{1,2,3,4,5,6,7,8,9,10,11,12},1),{5,4,3,2,9,8,7,6,5,4,3,2}),11)&lt;2,0,11-MOD(SUMPRODUCT(--MID(T588,{1,2,3,4,5,6,7,8,9,10,11,12},1),{5,4,3,2,9,8,7,6,5,4,3,2}),11)),VALUE(MID(T588,14,1))=IF(MOD(SUMPRODUCT(--MID(T588,{1,2,3,4,5,6,7,8,9,10,11,12,13},1),{6,5,4,3,2,9,8,7,6,5,4,3,2}),11)&lt;2,0,11-MOD(SUMPRODUCT(--MID(T588,{1,2,3,4,5,6,7,8,9,10,11,12,13},1),{6,5,4,3,2,9,8,7,6,5,4,3,2}),11))),"OK","ERRO: dígito verificador")))))</f>
      </c>
      <c r="V588" s="6">
        <f>IF(T588="","",IF(COUNTIF($T$2:$T$1001,T588)&gt;1,"DUPLICADO","OK"))</f>
      </c>
      <c r="W588" s="6">
        <f>IF(M588="","vazio",IF(OR(AND(LEN(SUBSTITUTE(SUBSTITUTE(SUBSTITUTE(SUBSTITUTE(SUBSTITUTE(SUBSTITUTE(SUBSTITUTE(TRIM(M588),".",""),"/",""),"-","")," ",""),"(",""),")",""),"+",""))=10,LEFT(SUBSTITUTE(SUBSTITUTE(SUBSTITUTE(SUBSTITUTE(SUBSTITUTE(SUBSTITUTE(SUBSTITUTE(TRIM(M588),".",""),"/",""),"-","")," ",""),"(",""),")",""),"+",""),1)&lt;&gt;"0"),AND(LEN(SUBSTITUTE(SUBSTITUTE(SUBSTITUTE(SUBSTITUTE(SUBSTITUTE(SUBSTITUTE(SUBSTITUTE(TRIM(M588),".",""),"/",""),"-","")," ",""),"(",""),")",""),"+",""))=11,LEFT(SUBSTITUTE(SUBSTITUTE(SUBSTITUTE(SUBSTITUTE(SUBSTITUTE(SUBSTITUTE(SUBSTITUTE(TRIM(M588),".",""),"/",""),"-","")," ",""),"(",""),")",""),"+",""),4)="0800")),"OK",IF(AND(LEN(SUBSTITUTE(SUBSTITUTE(SUBSTITUTE(SUBSTITUTE(SUBSTITUTE(SUBSTITUTE(SUBSTITUTE(TRIM(M588),".",""),"/",""),"-","")," ",""),"(",""),")",""),"+",""))=11,MID(SUBSTITUTE(SUBSTITUTE(SUBSTITUTE(SUBSTITUTE(SUBSTITUTE(SUBSTITUTE(SUBSTITUTE(TRIM(M588),".",""),"/",""),"-","")," ",""),"(",""),")",""),"+",""),3,1)="9"),"ERRO: é celular, use a coluna Celular","ERRO: DDD + 8 dígitos ou 0800 + 7")))</f>
      </c>
      <c r="X588" s="6">
        <f>IF(N588="","vazio",IF(AND(LEN(SUBSTITUTE(SUBSTITUTE(SUBSTITUTE(SUBSTITUTE(SUBSTITUTE(SUBSTITUTE(SUBSTITUTE(TRIM(N588),".",""),"/",""),"-","")," ",""),"(",""),")",""),"+",""))=11,MID(SUBSTITUTE(SUBSTITUTE(SUBSTITUTE(SUBSTITUTE(SUBSTITUTE(SUBSTITUTE(SUBSTITUTE(TRIM(N588),".",""),"/",""),"-","")," ",""),"(",""),")",""),"+",""),3,1)="9",LEFT(SUBSTITUTE(SUBSTITUTE(SUBSTITUTE(SUBSTITUTE(SUBSTITUTE(SUBSTITUTE(SUBSTITUTE(TRIM(N588),".",""),"/",""),"-","")," ",""),"(",""),")",""),"+",""),1)&lt;&gt;"0"),"OK",IF(LEN(SUBSTITUTE(SUBSTITUTE(SUBSTITUTE(SUBSTITUTE(SUBSTITUTE(SUBSTITUTE(SUBSTITUTE(TRIM(N588),".",""),"/",""),"-","")," ",""),"(",""),")",""),"+",""))=10,"ERRO: é fixo (ou falta o 9), use a coluna Telefone fixo","ERRO: DDD + 9 + 8 dígitos")))</f>
      </c>
      <c r="Y588" s="6">
        <f>IF(O588="","vazio",IF(AND(ISNUMBER(FIND("@",O588)),ISNUMBER(FIND(".",MID(O588,FIND("@",O588),99))),NOT(ISNUMBER(FIND(" ",TRIM(O588)))),NOT(ISNUMBER(FIND(";",O588))),NOT(ISNUMBER(FIND(",",O588)))),"OK","ERRO: um e-mail válido por linha"))</f>
      </c>
      <c r="Z588" s="6">
        <f>IF(AND(J588="",K588=""),"",IF(AND(J588&lt;&gt;"",K588&lt;&gt;""),"OK","pendente: só um nome (o GR completa ao converter)"))</f>
      </c>
      <c r="AA588" s="6">
        <f>IF(COUNTA(A588:S588)=0,"",IF(AND(A588&lt;&gt;"",B588&lt;&gt;"",C588&lt;&gt;"",D588&lt;&gt;"",E588&lt;&gt;"",F588&lt;&gt;"",G588&lt;&gt;"",H588&lt;&gt;"",OR(J588&lt;&gt;"",K588&lt;&gt;""),OR(M588&lt;&gt;"",N588&lt;&gt;"",O588&lt;&gt;"")),"OK","ERRO: faltam "&amp;IF(A588="","SDR; ","")&amp;IF(B588="","Proprietário; ","")&amp;IF(C588="","Origem; ","")&amp;IF(D588="","Temperatura; ","")&amp;IF(E588="","Segmento; ","")&amp;IF(F588="","Time/Cluster; ","")&amp;IF(G588="","CNPJ; ","")&amp;IF(H588="","Razão Social; ","")&amp;IF(AND(J588="",K588=""),"nome do contato; ","")&amp;IF(AND(M588="",N588="",O588=""),"telefone, celular ou e-mail; ","")))</f>
      </c>
      <c r="AB588" s="6">
        <f>IF(COUNTA(A588:S588)=0,"",IF(AND(U588="OK",V588="OK",LEFT(W588,4)&lt;&gt;"ERRO",LEFT(X588,4)&lt;&gt;"ERRO",LEFT(Y588,4)&lt;&gt;"ERRO",AA588="OK"),"OK","REVISAR"))</f>
      </c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5"/>
      <c r="K589" s="4"/>
      <c r="L589" s="4"/>
      <c r="M589" s="4"/>
      <c r="N589" s="4"/>
      <c r="O589" s="4"/>
      <c r="P589" s="4"/>
      <c r="Q589" s="4"/>
      <c r="R589" s="4"/>
      <c r="S589" s="4"/>
      <c r="T589" s="6">
        <f>IF(G589="","",SUBSTITUTE(SUBSTITUTE(SUBSTITUTE(SUBSTITUTE(SUBSTITUTE(SUBSTITUTE(SUBSTITUTE(TRIM(G589),".",""),"/",""),"-","")," ",""),"(",""),")",""),"+",""))</f>
      </c>
      <c r="U589" s="6">
        <f>IF(T589="","",IF(LEN(T589)&lt;&gt;14,"ERRO: "&amp;LEN(T589)&amp;" dígitos",IF(NOT(ISNUMBER(VALUE(T589))),"ERRO: não numérico",IF(LEN(SUBSTITUTE(T589,LEFT(T589,1),""))=0,"ERRO: dígitos repetidos",IF(AND(VALUE(MID(T589,13,1))=IF(MOD(SUMPRODUCT(--MID(T589,{1,2,3,4,5,6,7,8,9,10,11,12},1),{5,4,3,2,9,8,7,6,5,4,3,2}),11)&lt;2,0,11-MOD(SUMPRODUCT(--MID(T589,{1,2,3,4,5,6,7,8,9,10,11,12},1),{5,4,3,2,9,8,7,6,5,4,3,2}),11)),VALUE(MID(T589,14,1))=IF(MOD(SUMPRODUCT(--MID(T589,{1,2,3,4,5,6,7,8,9,10,11,12,13},1),{6,5,4,3,2,9,8,7,6,5,4,3,2}),11)&lt;2,0,11-MOD(SUMPRODUCT(--MID(T589,{1,2,3,4,5,6,7,8,9,10,11,12,13},1),{6,5,4,3,2,9,8,7,6,5,4,3,2}),11))),"OK","ERRO: dígito verificador")))))</f>
      </c>
      <c r="V589" s="6">
        <f>IF(T589="","",IF(COUNTIF($T$2:$T$1001,T589)&gt;1,"DUPLICADO","OK"))</f>
      </c>
      <c r="W589" s="6">
        <f>IF(M589="","vazio",IF(OR(AND(LEN(SUBSTITUTE(SUBSTITUTE(SUBSTITUTE(SUBSTITUTE(SUBSTITUTE(SUBSTITUTE(SUBSTITUTE(TRIM(M589),".",""),"/",""),"-","")," ",""),"(",""),")",""),"+",""))=10,LEFT(SUBSTITUTE(SUBSTITUTE(SUBSTITUTE(SUBSTITUTE(SUBSTITUTE(SUBSTITUTE(SUBSTITUTE(TRIM(M589),".",""),"/",""),"-","")," ",""),"(",""),")",""),"+",""),1)&lt;&gt;"0"),AND(LEN(SUBSTITUTE(SUBSTITUTE(SUBSTITUTE(SUBSTITUTE(SUBSTITUTE(SUBSTITUTE(SUBSTITUTE(TRIM(M589),".",""),"/",""),"-","")," ",""),"(",""),")",""),"+",""))=11,LEFT(SUBSTITUTE(SUBSTITUTE(SUBSTITUTE(SUBSTITUTE(SUBSTITUTE(SUBSTITUTE(SUBSTITUTE(TRIM(M589),".",""),"/",""),"-","")," ",""),"(",""),")",""),"+",""),4)="0800")),"OK",IF(AND(LEN(SUBSTITUTE(SUBSTITUTE(SUBSTITUTE(SUBSTITUTE(SUBSTITUTE(SUBSTITUTE(SUBSTITUTE(TRIM(M589),".",""),"/",""),"-","")," ",""),"(",""),")",""),"+",""))=11,MID(SUBSTITUTE(SUBSTITUTE(SUBSTITUTE(SUBSTITUTE(SUBSTITUTE(SUBSTITUTE(SUBSTITUTE(TRIM(M589),".",""),"/",""),"-","")," ",""),"(",""),")",""),"+",""),3,1)="9"),"ERRO: é celular, use a coluna Celular","ERRO: DDD + 8 dígitos ou 0800 + 7")))</f>
      </c>
      <c r="X589" s="6">
        <f>IF(N589="","vazio",IF(AND(LEN(SUBSTITUTE(SUBSTITUTE(SUBSTITUTE(SUBSTITUTE(SUBSTITUTE(SUBSTITUTE(SUBSTITUTE(TRIM(N589),".",""),"/",""),"-","")," ",""),"(",""),")",""),"+",""))=11,MID(SUBSTITUTE(SUBSTITUTE(SUBSTITUTE(SUBSTITUTE(SUBSTITUTE(SUBSTITUTE(SUBSTITUTE(TRIM(N589),".",""),"/",""),"-","")," ",""),"(",""),")",""),"+",""),3,1)="9",LEFT(SUBSTITUTE(SUBSTITUTE(SUBSTITUTE(SUBSTITUTE(SUBSTITUTE(SUBSTITUTE(SUBSTITUTE(TRIM(N589),".",""),"/",""),"-","")," ",""),"(",""),")",""),"+",""),1)&lt;&gt;"0"),"OK",IF(LEN(SUBSTITUTE(SUBSTITUTE(SUBSTITUTE(SUBSTITUTE(SUBSTITUTE(SUBSTITUTE(SUBSTITUTE(TRIM(N589),".",""),"/",""),"-","")," ",""),"(",""),")",""),"+",""))=10,"ERRO: é fixo (ou falta o 9), use a coluna Telefone fixo","ERRO: DDD + 9 + 8 dígitos")))</f>
      </c>
      <c r="Y589" s="6">
        <f>IF(O589="","vazio",IF(AND(ISNUMBER(FIND("@",O589)),ISNUMBER(FIND(".",MID(O589,FIND("@",O589),99))),NOT(ISNUMBER(FIND(" ",TRIM(O589)))),NOT(ISNUMBER(FIND(";",O589))),NOT(ISNUMBER(FIND(",",O589)))),"OK","ERRO: um e-mail válido por linha"))</f>
      </c>
      <c r="Z589" s="6">
        <f>IF(AND(J589="",K589=""),"",IF(AND(J589&lt;&gt;"",K589&lt;&gt;""),"OK","pendente: só um nome (o GR completa ao converter)"))</f>
      </c>
      <c r="AA589" s="6">
        <f>IF(COUNTA(A589:S589)=0,"",IF(AND(A589&lt;&gt;"",B589&lt;&gt;"",C589&lt;&gt;"",D589&lt;&gt;"",E589&lt;&gt;"",F589&lt;&gt;"",G589&lt;&gt;"",H589&lt;&gt;"",OR(J589&lt;&gt;"",K589&lt;&gt;""),OR(M589&lt;&gt;"",N589&lt;&gt;"",O589&lt;&gt;"")),"OK","ERRO: faltam "&amp;IF(A589="","SDR; ","")&amp;IF(B589="","Proprietário; ","")&amp;IF(C589="","Origem; ","")&amp;IF(D589="","Temperatura; ","")&amp;IF(E589="","Segmento; ","")&amp;IF(F589="","Time/Cluster; ","")&amp;IF(G589="","CNPJ; ","")&amp;IF(H589="","Razão Social; ","")&amp;IF(AND(J589="",K589=""),"nome do contato; ","")&amp;IF(AND(M589="",N589="",O589=""),"telefone, celular ou e-mail; ","")))</f>
      </c>
      <c r="AB589" s="6">
        <f>IF(COUNTA(A589:S589)=0,"",IF(AND(U589="OK",V589="OK",LEFT(W589,4)&lt;&gt;"ERRO",LEFT(X589,4)&lt;&gt;"ERRO",LEFT(Y589,4)&lt;&gt;"ERRO",AA589="OK"),"OK","REVISAR"))</f>
      </c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5"/>
      <c r="K590" s="4"/>
      <c r="L590" s="4"/>
      <c r="M590" s="4"/>
      <c r="N590" s="4"/>
      <c r="O590" s="4"/>
      <c r="P590" s="4"/>
      <c r="Q590" s="4"/>
      <c r="R590" s="4"/>
      <c r="S590" s="4"/>
      <c r="T590" s="6">
        <f>IF(G590="","",SUBSTITUTE(SUBSTITUTE(SUBSTITUTE(SUBSTITUTE(SUBSTITUTE(SUBSTITUTE(SUBSTITUTE(TRIM(G590),".",""),"/",""),"-","")," ",""),"(",""),")",""),"+",""))</f>
      </c>
      <c r="U590" s="6">
        <f>IF(T590="","",IF(LEN(T590)&lt;&gt;14,"ERRO: "&amp;LEN(T590)&amp;" dígitos",IF(NOT(ISNUMBER(VALUE(T590))),"ERRO: não numérico",IF(LEN(SUBSTITUTE(T590,LEFT(T590,1),""))=0,"ERRO: dígitos repetidos",IF(AND(VALUE(MID(T590,13,1))=IF(MOD(SUMPRODUCT(--MID(T590,{1,2,3,4,5,6,7,8,9,10,11,12},1),{5,4,3,2,9,8,7,6,5,4,3,2}),11)&lt;2,0,11-MOD(SUMPRODUCT(--MID(T590,{1,2,3,4,5,6,7,8,9,10,11,12},1),{5,4,3,2,9,8,7,6,5,4,3,2}),11)),VALUE(MID(T590,14,1))=IF(MOD(SUMPRODUCT(--MID(T590,{1,2,3,4,5,6,7,8,9,10,11,12,13},1),{6,5,4,3,2,9,8,7,6,5,4,3,2}),11)&lt;2,0,11-MOD(SUMPRODUCT(--MID(T590,{1,2,3,4,5,6,7,8,9,10,11,12,13},1),{6,5,4,3,2,9,8,7,6,5,4,3,2}),11))),"OK","ERRO: dígito verificador")))))</f>
      </c>
      <c r="V590" s="6">
        <f>IF(T590="","",IF(COUNTIF($T$2:$T$1001,T590)&gt;1,"DUPLICADO","OK"))</f>
      </c>
      <c r="W590" s="6">
        <f>IF(M590="","vazio",IF(OR(AND(LEN(SUBSTITUTE(SUBSTITUTE(SUBSTITUTE(SUBSTITUTE(SUBSTITUTE(SUBSTITUTE(SUBSTITUTE(TRIM(M590),".",""),"/",""),"-","")," ",""),"(",""),")",""),"+",""))=10,LEFT(SUBSTITUTE(SUBSTITUTE(SUBSTITUTE(SUBSTITUTE(SUBSTITUTE(SUBSTITUTE(SUBSTITUTE(TRIM(M590),".",""),"/",""),"-","")," ",""),"(",""),")",""),"+",""),1)&lt;&gt;"0"),AND(LEN(SUBSTITUTE(SUBSTITUTE(SUBSTITUTE(SUBSTITUTE(SUBSTITUTE(SUBSTITUTE(SUBSTITUTE(TRIM(M590),".",""),"/",""),"-","")," ",""),"(",""),")",""),"+",""))=11,LEFT(SUBSTITUTE(SUBSTITUTE(SUBSTITUTE(SUBSTITUTE(SUBSTITUTE(SUBSTITUTE(SUBSTITUTE(TRIM(M590),".",""),"/",""),"-","")," ",""),"(",""),")",""),"+",""),4)="0800")),"OK",IF(AND(LEN(SUBSTITUTE(SUBSTITUTE(SUBSTITUTE(SUBSTITUTE(SUBSTITUTE(SUBSTITUTE(SUBSTITUTE(TRIM(M590),".",""),"/",""),"-","")," ",""),"(",""),")",""),"+",""))=11,MID(SUBSTITUTE(SUBSTITUTE(SUBSTITUTE(SUBSTITUTE(SUBSTITUTE(SUBSTITUTE(SUBSTITUTE(TRIM(M590),".",""),"/",""),"-","")," ",""),"(",""),")",""),"+",""),3,1)="9"),"ERRO: é celular, use a coluna Celular","ERRO: DDD + 8 dígitos ou 0800 + 7")))</f>
      </c>
      <c r="X590" s="6">
        <f>IF(N590="","vazio",IF(AND(LEN(SUBSTITUTE(SUBSTITUTE(SUBSTITUTE(SUBSTITUTE(SUBSTITUTE(SUBSTITUTE(SUBSTITUTE(TRIM(N590),".",""),"/",""),"-","")," ",""),"(",""),")",""),"+",""))=11,MID(SUBSTITUTE(SUBSTITUTE(SUBSTITUTE(SUBSTITUTE(SUBSTITUTE(SUBSTITUTE(SUBSTITUTE(TRIM(N590),".",""),"/",""),"-","")," ",""),"(",""),")",""),"+",""),3,1)="9",LEFT(SUBSTITUTE(SUBSTITUTE(SUBSTITUTE(SUBSTITUTE(SUBSTITUTE(SUBSTITUTE(SUBSTITUTE(TRIM(N590),".",""),"/",""),"-","")," ",""),"(",""),")",""),"+",""),1)&lt;&gt;"0"),"OK",IF(LEN(SUBSTITUTE(SUBSTITUTE(SUBSTITUTE(SUBSTITUTE(SUBSTITUTE(SUBSTITUTE(SUBSTITUTE(TRIM(N590),".",""),"/",""),"-","")," ",""),"(",""),")",""),"+",""))=10,"ERRO: é fixo (ou falta o 9), use a coluna Telefone fixo","ERRO: DDD + 9 + 8 dígitos")))</f>
      </c>
      <c r="Y590" s="6">
        <f>IF(O590="","vazio",IF(AND(ISNUMBER(FIND("@",O590)),ISNUMBER(FIND(".",MID(O590,FIND("@",O590),99))),NOT(ISNUMBER(FIND(" ",TRIM(O590)))),NOT(ISNUMBER(FIND(";",O590))),NOT(ISNUMBER(FIND(",",O590)))),"OK","ERRO: um e-mail válido por linha"))</f>
      </c>
      <c r="Z590" s="6">
        <f>IF(AND(J590="",K590=""),"",IF(AND(J590&lt;&gt;"",K590&lt;&gt;""),"OK","pendente: só um nome (o GR completa ao converter)"))</f>
      </c>
      <c r="AA590" s="6">
        <f>IF(COUNTA(A590:S590)=0,"",IF(AND(A590&lt;&gt;"",B590&lt;&gt;"",C590&lt;&gt;"",D590&lt;&gt;"",E590&lt;&gt;"",F590&lt;&gt;"",G590&lt;&gt;"",H590&lt;&gt;"",OR(J590&lt;&gt;"",K590&lt;&gt;""),OR(M590&lt;&gt;"",N590&lt;&gt;"",O590&lt;&gt;"")),"OK","ERRO: faltam "&amp;IF(A590="","SDR; ","")&amp;IF(B590="","Proprietário; ","")&amp;IF(C590="","Origem; ","")&amp;IF(D590="","Temperatura; ","")&amp;IF(E590="","Segmento; ","")&amp;IF(F590="","Time/Cluster; ","")&amp;IF(G590="","CNPJ; ","")&amp;IF(H590="","Razão Social; ","")&amp;IF(AND(J590="",K590=""),"nome do contato; ","")&amp;IF(AND(M590="",N590="",O590=""),"telefone, celular ou e-mail; ","")))</f>
      </c>
      <c r="AB590" s="6">
        <f>IF(COUNTA(A590:S590)=0,"",IF(AND(U590="OK",V590="OK",LEFT(W590,4)&lt;&gt;"ERRO",LEFT(X590,4)&lt;&gt;"ERRO",LEFT(Y590,4)&lt;&gt;"ERRO",AA590="OK"),"OK","REVISAR"))</f>
      </c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5"/>
      <c r="K591" s="4"/>
      <c r="L591" s="4"/>
      <c r="M591" s="4"/>
      <c r="N591" s="4"/>
      <c r="O591" s="4"/>
      <c r="P591" s="4"/>
      <c r="Q591" s="4"/>
      <c r="R591" s="4"/>
      <c r="S591" s="4"/>
      <c r="T591" s="6">
        <f>IF(G591="","",SUBSTITUTE(SUBSTITUTE(SUBSTITUTE(SUBSTITUTE(SUBSTITUTE(SUBSTITUTE(SUBSTITUTE(TRIM(G591),".",""),"/",""),"-","")," ",""),"(",""),")",""),"+",""))</f>
      </c>
      <c r="U591" s="6">
        <f>IF(T591="","",IF(LEN(T591)&lt;&gt;14,"ERRO: "&amp;LEN(T591)&amp;" dígitos",IF(NOT(ISNUMBER(VALUE(T591))),"ERRO: não numérico",IF(LEN(SUBSTITUTE(T591,LEFT(T591,1),""))=0,"ERRO: dígitos repetidos",IF(AND(VALUE(MID(T591,13,1))=IF(MOD(SUMPRODUCT(--MID(T591,{1,2,3,4,5,6,7,8,9,10,11,12},1),{5,4,3,2,9,8,7,6,5,4,3,2}),11)&lt;2,0,11-MOD(SUMPRODUCT(--MID(T591,{1,2,3,4,5,6,7,8,9,10,11,12},1),{5,4,3,2,9,8,7,6,5,4,3,2}),11)),VALUE(MID(T591,14,1))=IF(MOD(SUMPRODUCT(--MID(T591,{1,2,3,4,5,6,7,8,9,10,11,12,13},1),{6,5,4,3,2,9,8,7,6,5,4,3,2}),11)&lt;2,0,11-MOD(SUMPRODUCT(--MID(T591,{1,2,3,4,5,6,7,8,9,10,11,12,13},1),{6,5,4,3,2,9,8,7,6,5,4,3,2}),11))),"OK","ERRO: dígito verificador")))))</f>
      </c>
      <c r="V591" s="6">
        <f>IF(T591="","",IF(COUNTIF($T$2:$T$1001,T591)&gt;1,"DUPLICADO","OK"))</f>
      </c>
      <c r="W591" s="6">
        <f>IF(M591="","vazio",IF(OR(AND(LEN(SUBSTITUTE(SUBSTITUTE(SUBSTITUTE(SUBSTITUTE(SUBSTITUTE(SUBSTITUTE(SUBSTITUTE(TRIM(M591),".",""),"/",""),"-","")," ",""),"(",""),")",""),"+",""))=10,LEFT(SUBSTITUTE(SUBSTITUTE(SUBSTITUTE(SUBSTITUTE(SUBSTITUTE(SUBSTITUTE(SUBSTITUTE(TRIM(M591),".",""),"/",""),"-","")," ",""),"(",""),")",""),"+",""),1)&lt;&gt;"0"),AND(LEN(SUBSTITUTE(SUBSTITUTE(SUBSTITUTE(SUBSTITUTE(SUBSTITUTE(SUBSTITUTE(SUBSTITUTE(TRIM(M591),".",""),"/",""),"-","")," ",""),"(",""),")",""),"+",""))=11,LEFT(SUBSTITUTE(SUBSTITUTE(SUBSTITUTE(SUBSTITUTE(SUBSTITUTE(SUBSTITUTE(SUBSTITUTE(TRIM(M591),".",""),"/",""),"-","")," ",""),"(",""),")",""),"+",""),4)="0800")),"OK",IF(AND(LEN(SUBSTITUTE(SUBSTITUTE(SUBSTITUTE(SUBSTITUTE(SUBSTITUTE(SUBSTITUTE(SUBSTITUTE(TRIM(M591),".",""),"/",""),"-","")," ",""),"(",""),")",""),"+",""))=11,MID(SUBSTITUTE(SUBSTITUTE(SUBSTITUTE(SUBSTITUTE(SUBSTITUTE(SUBSTITUTE(SUBSTITUTE(TRIM(M591),".",""),"/",""),"-","")," ",""),"(",""),")",""),"+",""),3,1)="9"),"ERRO: é celular, use a coluna Celular","ERRO: DDD + 8 dígitos ou 0800 + 7")))</f>
      </c>
      <c r="X591" s="6">
        <f>IF(N591="","vazio",IF(AND(LEN(SUBSTITUTE(SUBSTITUTE(SUBSTITUTE(SUBSTITUTE(SUBSTITUTE(SUBSTITUTE(SUBSTITUTE(TRIM(N591),".",""),"/",""),"-","")," ",""),"(",""),")",""),"+",""))=11,MID(SUBSTITUTE(SUBSTITUTE(SUBSTITUTE(SUBSTITUTE(SUBSTITUTE(SUBSTITUTE(SUBSTITUTE(TRIM(N591),".",""),"/",""),"-","")," ",""),"(",""),")",""),"+",""),3,1)="9",LEFT(SUBSTITUTE(SUBSTITUTE(SUBSTITUTE(SUBSTITUTE(SUBSTITUTE(SUBSTITUTE(SUBSTITUTE(TRIM(N591),".",""),"/",""),"-","")," ",""),"(",""),")",""),"+",""),1)&lt;&gt;"0"),"OK",IF(LEN(SUBSTITUTE(SUBSTITUTE(SUBSTITUTE(SUBSTITUTE(SUBSTITUTE(SUBSTITUTE(SUBSTITUTE(TRIM(N591),".",""),"/",""),"-","")," ",""),"(",""),")",""),"+",""))=10,"ERRO: é fixo (ou falta o 9), use a coluna Telefone fixo","ERRO: DDD + 9 + 8 dígitos")))</f>
      </c>
      <c r="Y591" s="6">
        <f>IF(O591="","vazio",IF(AND(ISNUMBER(FIND("@",O591)),ISNUMBER(FIND(".",MID(O591,FIND("@",O591),99))),NOT(ISNUMBER(FIND(" ",TRIM(O591)))),NOT(ISNUMBER(FIND(";",O591))),NOT(ISNUMBER(FIND(",",O591)))),"OK","ERRO: um e-mail válido por linha"))</f>
      </c>
      <c r="Z591" s="6">
        <f>IF(AND(J591="",K591=""),"",IF(AND(J591&lt;&gt;"",K591&lt;&gt;""),"OK","pendente: só um nome (o GR completa ao converter)"))</f>
      </c>
      <c r="AA591" s="6">
        <f>IF(COUNTA(A591:S591)=0,"",IF(AND(A591&lt;&gt;"",B591&lt;&gt;"",C591&lt;&gt;"",D591&lt;&gt;"",E591&lt;&gt;"",F591&lt;&gt;"",G591&lt;&gt;"",H591&lt;&gt;"",OR(J591&lt;&gt;"",K591&lt;&gt;""),OR(M591&lt;&gt;"",N591&lt;&gt;"",O591&lt;&gt;"")),"OK","ERRO: faltam "&amp;IF(A591="","SDR; ","")&amp;IF(B591="","Proprietário; ","")&amp;IF(C591="","Origem; ","")&amp;IF(D591="","Temperatura; ","")&amp;IF(E591="","Segmento; ","")&amp;IF(F591="","Time/Cluster; ","")&amp;IF(G591="","CNPJ; ","")&amp;IF(H591="","Razão Social; ","")&amp;IF(AND(J591="",K591=""),"nome do contato; ","")&amp;IF(AND(M591="",N591="",O591=""),"telefone, celular ou e-mail; ","")))</f>
      </c>
      <c r="AB591" s="6">
        <f>IF(COUNTA(A591:S591)=0,"",IF(AND(U591="OK",V591="OK",LEFT(W591,4)&lt;&gt;"ERRO",LEFT(X591,4)&lt;&gt;"ERRO",LEFT(Y591,4)&lt;&gt;"ERRO",AA591="OK"),"OK","REVISAR"))</f>
      </c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5"/>
      <c r="K592" s="4"/>
      <c r="L592" s="4"/>
      <c r="M592" s="4"/>
      <c r="N592" s="4"/>
      <c r="O592" s="4"/>
      <c r="P592" s="4"/>
      <c r="Q592" s="4"/>
      <c r="R592" s="4"/>
      <c r="S592" s="4"/>
      <c r="T592" s="6">
        <f>IF(G592="","",SUBSTITUTE(SUBSTITUTE(SUBSTITUTE(SUBSTITUTE(SUBSTITUTE(SUBSTITUTE(SUBSTITUTE(TRIM(G592),".",""),"/",""),"-","")," ",""),"(",""),")",""),"+",""))</f>
      </c>
      <c r="U592" s="6">
        <f>IF(T592="","",IF(LEN(T592)&lt;&gt;14,"ERRO: "&amp;LEN(T592)&amp;" dígitos",IF(NOT(ISNUMBER(VALUE(T592))),"ERRO: não numérico",IF(LEN(SUBSTITUTE(T592,LEFT(T592,1),""))=0,"ERRO: dígitos repetidos",IF(AND(VALUE(MID(T592,13,1))=IF(MOD(SUMPRODUCT(--MID(T592,{1,2,3,4,5,6,7,8,9,10,11,12},1),{5,4,3,2,9,8,7,6,5,4,3,2}),11)&lt;2,0,11-MOD(SUMPRODUCT(--MID(T592,{1,2,3,4,5,6,7,8,9,10,11,12},1),{5,4,3,2,9,8,7,6,5,4,3,2}),11)),VALUE(MID(T592,14,1))=IF(MOD(SUMPRODUCT(--MID(T592,{1,2,3,4,5,6,7,8,9,10,11,12,13},1),{6,5,4,3,2,9,8,7,6,5,4,3,2}),11)&lt;2,0,11-MOD(SUMPRODUCT(--MID(T592,{1,2,3,4,5,6,7,8,9,10,11,12,13},1),{6,5,4,3,2,9,8,7,6,5,4,3,2}),11))),"OK","ERRO: dígito verificador")))))</f>
      </c>
      <c r="V592" s="6">
        <f>IF(T592="","",IF(COUNTIF($T$2:$T$1001,T592)&gt;1,"DUPLICADO","OK"))</f>
      </c>
      <c r="W592" s="6">
        <f>IF(M592="","vazio",IF(OR(AND(LEN(SUBSTITUTE(SUBSTITUTE(SUBSTITUTE(SUBSTITUTE(SUBSTITUTE(SUBSTITUTE(SUBSTITUTE(TRIM(M592),".",""),"/",""),"-","")," ",""),"(",""),")",""),"+",""))=10,LEFT(SUBSTITUTE(SUBSTITUTE(SUBSTITUTE(SUBSTITUTE(SUBSTITUTE(SUBSTITUTE(SUBSTITUTE(TRIM(M592),".",""),"/",""),"-","")," ",""),"(",""),")",""),"+",""),1)&lt;&gt;"0"),AND(LEN(SUBSTITUTE(SUBSTITUTE(SUBSTITUTE(SUBSTITUTE(SUBSTITUTE(SUBSTITUTE(SUBSTITUTE(TRIM(M592),".",""),"/",""),"-","")," ",""),"(",""),")",""),"+",""))=11,LEFT(SUBSTITUTE(SUBSTITUTE(SUBSTITUTE(SUBSTITUTE(SUBSTITUTE(SUBSTITUTE(SUBSTITUTE(TRIM(M592),".",""),"/",""),"-","")," ",""),"(",""),")",""),"+",""),4)="0800")),"OK",IF(AND(LEN(SUBSTITUTE(SUBSTITUTE(SUBSTITUTE(SUBSTITUTE(SUBSTITUTE(SUBSTITUTE(SUBSTITUTE(TRIM(M592),".",""),"/",""),"-","")," ",""),"(",""),")",""),"+",""))=11,MID(SUBSTITUTE(SUBSTITUTE(SUBSTITUTE(SUBSTITUTE(SUBSTITUTE(SUBSTITUTE(SUBSTITUTE(TRIM(M592),".",""),"/",""),"-","")," ",""),"(",""),")",""),"+",""),3,1)="9"),"ERRO: é celular, use a coluna Celular","ERRO: DDD + 8 dígitos ou 0800 + 7")))</f>
      </c>
      <c r="X592" s="6">
        <f>IF(N592="","vazio",IF(AND(LEN(SUBSTITUTE(SUBSTITUTE(SUBSTITUTE(SUBSTITUTE(SUBSTITUTE(SUBSTITUTE(SUBSTITUTE(TRIM(N592),".",""),"/",""),"-","")," ",""),"(",""),")",""),"+",""))=11,MID(SUBSTITUTE(SUBSTITUTE(SUBSTITUTE(SUBSTITUTE(SUBSTITUTE(SUBSTITUTE(SUBSTITUTE(TRIM(N592),".",""),"/",""),"-","")," ",""),"(",""),")",""),"+",""),3,1)="9",LEFT(SUBSTITUTE(SUBSTITUTE(SUBSTITUTE(SUBSTITUTE(SUBSTITUTE(SUBSTITUTE(SUBSTITUTE(TRIM(N592),".",""),"/",""),"-","")," ",""),"(",""),")",""),"+",""),1)&lt;&gt;"0"),"OK",IF(LEN(SUBSTITUTE(SUBSTITUTE(SUBSTITUTE(SUBSTITUTE(SUBSTITUTE(SUBSTITUTE(SUBSTITUTE(TRIM(N592),".",""),"/",""),"-","")," ",""),"(",""),")",""),"+",""))=10,"ERRO: é fixo (ou falta o 9), use a coluna Telefone fixo","ERRO: DDD + 9 + 8 dígitos")))</f>
      </c>
      <c r="Y592" s="6">
        <f>IF(O592="","vazio",IF(AND(ISNUMBER(FIND("@",O592)),ISNUMBER(FIND(".",MID(O592,FIND("@",O592),99))),NOT(ISNUMBER(FIND(" ",TRIM(O592)))),NOT(ISNUMBER(FIND(";",O592))),NOT(ISNUMBER(FIND(",",O592)))),"OK","ERRO: um e-mail válido por linha"))</f>
      </c>
      <c r="Z592" s="6">
        <f>IF(AND(J592="",K592=""),"",IF(AND(J592&lt;&gt;"",K592&lt;&gt;""),"OK","pendente: só um nome (o GR completa ao converter)"))</f>
      </c>
      <c r="AA592" s="6">
        <f>IF(COUNTA(A592:S592)=0,"",IF(AND(A592&lt;&gt;"",B592&lt;&gt;"",C592&lt;&gt;"",D592&lt;&gt;"",E592&lt;&gt;"",F592&lt;&gt;"",G592&lt;&gt;"",H592&lt;&gt;"",OR(J592&lt;&gt;"",K592&lt;&gt;""),OR(M592&lt;&gt;"",N592&lt;&gt;"",O592&lt;&gt;"")),"OK","ERRO: faltam "&amp;IF(A592="","SDR; ","")&amp;IF(B592="","Proprietário; ","")&amp;IF(C592="","Origem; ","")&amp;IF(D592="","Temperatura; ","")&amp;IF(E592="","Segmento; ","")&amp;IF(F592="","Time/Cluster; ","")&amp;IF(G592="","CNPJ; ","")&amp;IF(H592="","Razão Social; ","")&amp;IF(AND(J592="",K592=""),"nome do contato; ","")&amp;IF(AND(M592="",N592="",O592=""),"telefone, celular ou e-mail; ","")))</f>
      </c>
      <c r="AB592" s="6">
        <f>IF(COUNTA(A592:S592)=0,"",IF(AND(U592="OK",V592="OK",LEFT(W592,4)&lt;&gt;"ERRO",LEFT(X592,4)&lt;&gt;"ERRO",LEFT(Y592,4)&lt;&gt;"ERRO",AA592="OK"),"OK","REVISAR"))</f>
      </c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5"/>
      <c r="K593" s="4"/>
      <c r="L593" s="4"/>
      <c r="M593" s="4"/>
      <c r="N593" s="4"/>
      <c r="O593" s="4"/>
      <c r="P593" s="4"/>
      <c r="Q593" s="4"/>
      <c r="R593" s="4"/>
      <c r="S593" s="4"/>
      <c r="T593" s="6">
        <f>IF(G593="","",SUBSTITUTE(SUBSTITUTE(SUBSTITUTE(SUBSTITUTE(SUBSTITUTE(SUBSTITUTE(SUBSTITUTE(TRIM(G593),".",""),"/",""),"-","")," ",""),"(",""),")",""),"+",""))</f>
      </c>
      <c r="U593" s="6">
        <f>IF(T593="","",IF(LEN(T593)&lt;&gt;14,"ERRO: "&amp;LEN(T593)&amp;" dígitos",IF(NOT(ISNUMBER(VALUE(T593))),"ERRO: não numérico",IF(LEN(SUBSTITUTE(T593,LEFT(T593,1),""))=0,"ERRO: dígitos repetidos",IF(AND(VALUE(MID(T593,13,1))=IF(MOD(SUMPRODUCT(--MID(T593,{1,2,3,4,5,6,7,8,9,10,11,12},1),{5,4,3,2,9,8,7,6,5,4,3,2}),11)&lt;2,0,11-MOD(SUMPRODUCT(--MID(T593,{1,2,3,4,5,6,7,8,9,10,11,12},1),{5,4,3,2,9,8,7,6,5,4,3,2}),11)),VALUE(MID(T593,14,1))=IF(MOD(SUMPRODUCT(--MID(T593,{1,2,3,4,5,6,7,8,9,10,11,12,13},1),{6,5,4,3,2,9,8,7,6,5,4,3,2}),11)&lt;2,0,11-MOD(SUMPRODUCT(--MID(T593,{1,2,3,4,5,6,7,8,9,10,11,12,13},1),{6,5,4,3,2,9,8,7,6,5,4,3,2}),11))),"OK","ERRO: dígito verificador")))))</f>
      </c>
      <c r="V593" s="6">
        <f>IF(T593="","",IF(COUNTIF($T$2:$T$1001,T593)&gt;1,"DUPLICADO","OK"))</f>
      </c>
      <c r="W593" s="6">
        <f>IF(M593="","vazio",IF(OR(AND(LEN(SUBSTITUTE(SUBSTITUTE(SUBSTITUTE(SUBSTITUTE(SUBSTITUTE(SUBSTITUTE(SUBSTITUTE(TRIM(M593),".",""),"/",""),"-","")," ",""),"(",""),")",""),"+",""))=10,LEFT(SUBSTITUTE(SUBSTITUTE(SUBSTITUTE(SUBSTITUTE(SUBSTITUTE(SUBSTITUTE(SUBSTITUTE(TRIM(M593),".",""),"/",""),"-","")," ",""),"(",""),")",""),"+",""),1)&lt;&gt;"0"),AND(LEN(SUBSTITUTE(SUBSTITUTE(SUBSTITUTE(SUBSTITUTE(SUBSTITUTE(SUBSTITUTE(SUBSTITUTE(TRIM(M593),".",""),"/",""),"-","")," ",""),"(",""),")",""),"+",""))=11,LEFT(SUBSTITUTE(SUBSTITUTE(SUBSTITUTE(SUBSTITUTE(SUBSTITUTE(SUBSTITUTE(SUBSTITUTE(TRIM(M593),".",""),"/",""),"-","")," ",""),"(",""),")",""),"+",""),4)="0800")),"OK",IF(AND(LEN(SUBSTITUTE(SUBSTITUTE(SUBSTITUTE(SUBSTITUTE(SUBSTITUTE(SUBSTITUTE(SUBSTITUTE(TRIM(M593),".",""),"/",""),"-","")," ",""),"(",""),")",""),"+",""))=11,MID(SUBSTITUTE(SUBSTITUTE(SUBSTITUTE(SUBSTITUTE(SUBSTITUTE(SUBSTITUTE(SUBSTITUTE(TRIM(M593),".",""),"/",""),"-","")," ",""),"(",""),")",""),"+",""),3,1)="9"),"ERRO: é celular, use a coluna Celular","ERRO: DDD + 8 dígitos ou 0800 + 7")))</f>
      </c>
      <c r="X593" s="6">
        <f>IF(N593="","vazio",IF(AND(LEN(SUBSTITUTE(SUBSTITUTE(SUBSTITUTE(SUBSTITUTE(SUBSTITUTE(SUBSTITUTE(SUBSTITUTE(TRIM(N593),".",""),"/",""),"-","")," ",""),"(",""),")",""),"+",""))=11,MID(SUBSTITUTE(SUBSTITUTE(SUBSTITUTE(SUBSTITUTE(SUBSTITUTE(SUBSTITUTE(SUBSTITUTE(TRIM(N593),".",""),"/",""),"-","")," ",""),"(",""),")",""),"+",""),3,1)="9",LEFT(SUBSTITUTE(SUBSTITUTE(SUBSTITUTE(SUBSTITUTE(SUBSTITUTE(SUBSTITUTE(SUBSTITUTE(TRIM(N593),".",""),"/",""),"-","")," ",""),"(",""),")",""),"+",""),1)&lt;&gt;"0"),"OK",IF(LEN(SUBSTITUTE(SUBSTITUTE(SUBSTITUTE(SUBSTITUTE(SUBSTITUTE(SUBSTITUTE(SUBSTITUTE(TRIM(N593),".",""),"/",""),"-","")," ",""),"(",""),")",""),"+",""))=10,"ERRO: é fixo (ou falta o 9), use a coluna Telefone fixo","ERRO: DDD + 9 + 8 dígitos")))</f>
      </c>
      <c r="Y593" s="6">
        <f>IF(O593="","vazio",IF(AND(ISNUMBER(FIND("@",O593)),ISNUMBER(FIND(".",MID(O593,FIND("@",O593),99))),NOT(ISNUMBER(FIND(" ",TRIM(O593)))),NOT(ISNUMBER(FIND(";",O593))),NOT(ISNUMBER(FIND(",",O593)))),"OK","ERRO: um e-mail válido por linha"))</f>
      </c>
      <c r="Z593" s="6">
        <f>IF(AND(J593="",K593=""),"",IF(AND(J593&lt;&gt;"",K593&lt;&gt;""),"OK","pendente: só um nome (o GR completa ao converter)"))</f>
      </c>
      <c r="AA593" s="6">
        <f>IF(COUNTA(A593:S593)=0,"",IF(AND(A593&lt;&gt;"",B593&lt;&gt;"",C593&lt;&gt;"",D593&lt;&gt;"",E593&lt;&gt;"",F593&lt;&gt;"",G593&lt;&gt;"",H593&lt;&gt;"",OR(J593&lt;&gt;"",K593&lt;&gt;""),OR(M593&lt;&gt;"",N593&lt;&gt;"",O593&lt;&gt;"")),"OK","ERRO: faltam "&amp;IF(A593="","SDR; ","")&amp;IF(B593="","Proprietário; ","")&amp;IF(C593="","Origem; ","")&amp;IF(D593="","Temperatura; ","")&amp;IF(E593="","Segmento; ","")&amp;IF(F593="","Time/Cluster; ","")&amp;IF(G593="","CNPJ; ","")&amp;IF(H593="","Razão Social; ","")&amp;IF(AND(J593="",K593=""),"nome do contato; ","")&amp;IF(AND(M593="",N593="",O593=""),"telefone, celular ou e-mail; ","")))</f>
      </c>
      <c r="AB593" s="6">
        <f>IF(COUNTA(A593:S593)=0,"",IF(AND(U593="OK",V593="OK",LEFT(W593,4)&lt;&gt;"ERRO",LEFT(X593,4)&lt;&gt;"ERRO",LEFT(Y593,4)&lt;&gt;"ERRO",AA593="OK"),"OK","REVISAR"))</f>
      </c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5"/>
      <c r="K594" s="4"/>
      <c r="L594" s="4"/>
      <c r="M594" s="4"/>
      <c r="N594" s="4"/>
      <c r="O594" s="4"/>
      <c r="P594" s="4"/>
      <c r="Q594" s="4"/>
      <c r="R594" s="4"/>
      <c r="S594" s="4"/>
      <c r="T594" s="6">
        <f>IF(G594="","",SUBSTITUTE(SUBSTITUTE(SUBSTITUTE(SUBSTITUTE(SUBSTITUTE(SUBSTITUTE(SUBSTITUTE(TRIM(G594),".",""),"/",""),"-","")," ",""),"(",""),")",""),"+",""))</f>
      </c>
      <c r="U594" s="6">
        <f>IF(T594="","",IF(LEN(T594)&lt;&gt;14,"ERRO: "&amp;LEN(T594)&amp;" dígitos",IF(NOT(ISNUMBER(VALUE(T594))),"ERRO: não numérico",IF(LEN(SUBSTITUTE(T594,LEFT(T594,1),""))=0,"ERRO: dígitos repetidos",IF(AND(VALUE(MID(T594,13,1))=IF(MOD(SUMPRODUCT(--MID(T594,{1,2,3,4,5,6,7,8,9,10,11,12},1),{5,4,3,2,9,8,7,6,5,4,3,2}),11)&lt;2,0,11-MOD(SUMPRODUCT(--MID(T594,{1,2,3,4,5,6,7,8,9,10,11,12},1),{5,4,3,2,9,8,7,6,5,4,3,2}),11)),VALUE(MID(T594,14,1))=IF(MOD(SUMPRODUCT(--MID(T594,{1,2,3,4,5,6,7,8,9,10,11,12,13},1),{6,5,4,3,2,9,8,7,6,5,4,3,2}),11)&lt;2,0,11-MOD(SUMPRODUCT(--MID(T594,{1,2,3,4,5,6,7,8,9,10,11,12,13},1),{6,5,4,3,2,9,8,7,6,5,4,3,2}),11))),"OK","ERRO: dígito verificador")))))</f>
      </c>
      <c r="V594" s="6">
        <f>IF(T594="","",IF(COUNTIF($T$2:$T$1001,T594)&gt;1,"DUPLICADO","OK"))</f>
      </c>
      <c r="W594" s="6">
        <f>IF(M594="","vazio",IF(OR(AND(LEN(SUBSTITUTE(SUBSTITUTE(SUBSTITUTE(SUBSTITUTE(SUBSTITUTE(SUBSTITUTE(SUBSTITUTE(TRIM(M594),".",""),"/",""),"-","")," ",""),"(",""),")",""),"+",""))=10,LEFT(SUBSTITUTE(SUBSTITUTE(SUBSTITUTE(SUBSTITUTE(SUBSTITUTE(SUBSTITUTE(SUBSTITUTE(TRIM(M594),".",""),"/",""),"-","")," ",""),"(",""),")",""),"+",""),1)&lt;&gt;"0"),AND(LEN(SUBSTITUTE(SUBSTITUTE(SUBSTITUTE(SUBSTITUTE(SUBSTITUTE(SUBSTITUTE(SUBSTITUTE(TRIM(M594),".",""),"/",""),"-","")," ",""),"(",""),")",""),"+",""))=11,LEFT(SUBSTITUTE(SUBSTITUTE(SUBSTITUTE(SUBSTITUTE(SUBSTITUTE(SUBSTITUTE(SUBSTITUTE(TRIM(M594),".",""),"/",""),"-","")," ",""),"(",""),")",""),"+",""),4)="0800")),"OK",IF(AND(LEN(SUBSTITUTE(SUBSTITUTE(SUBSTITUTE(SUBSTITUTE(SUBSTITUTE(SUBSTITUTE(SUBSTITUTE(TRIM(M594),".",""),"/",""),"-","")," ",""),"(",""),")",""),"+",""))=11,MID(SUBSTITUTE(SUBSTITUTE(SUBSTITUTE(SUBSTITUTE(SUBSTITUTE(SUBSTITUTE(SUBSTITUTE(TRIM(M594),".",""),"/",""),"-","")," ",""),"(",""),")",""),"+",""),3,1)="9"),"ERRO: é celular, use a coluna Celular","ERRO: DDD + 8 dígitos ou 0800 + 7")))</f>
      </c>
      <c r="X594" s="6">
        <f>IF(N594="","vazio",IF(AND(LEN(SUBSTITUTE(SUBSTITUTE(SUBSTITUTE(SUBSTITUTE(SUBSTITUTE(SUBSTITUTE(SUBSTITUTE(TRIM(N594),".",""),"/",""),"-","")," ",""),"(",""),")",""),"+",""))=11,MID(SUBSTITUTE(SUBSTITUTE(SUBSTITUTE(SUBSTITUTE(SUBSTITUTE(SUBSTITUTE(SUBSTITUTE(TRIM(N594),".",""),"/",""),"-","")," ",""),"(",""),")",""),"+",""),3,1)="9",LEFT(SUBSTITUTE(SUBSTITUTE(SUBSTITUTE(SUBSTITUTE(SUBSTITUTE(SUBSTITUTE(SUBSTITUTE(TRIM(N594),".",""),"/",""),"-","")," ",""),"(",""),")",""),"+",""),1)&lt;&gt;"0"),"OK",IF(LEN(SUBSTITUTE(SUBSTITUTE(SUBSTITUTE(SUBSTITUTE(SUBSTITUTE(SUBSTITUTE(SUBSTITUTE(TRIM(N594),".",""),"/",""),"-","")," ",""),"(",""),")",""),"+",""))=10,"ERRO: é fixo (ou falta o 9), use a coluna Telefone fixo","ERRO: DDD + 9 + 8 dígitos")))</f>
      </c>
      <c r="Y594" s="6">
        <f>IF(O594="","vazio",IF(AND(ISNUMBER(FIND("@",O594)),ISNUMBER(FIND(".",MID(O594,FIND("@",O594),99))),NOT(ISNUMBER(FIND(" ",TRIM(O594)))),NOT(ISNUMBER(FIND(";",O594))),NOT(ISNUMBER(FIND(",",O594)))),"OK","ERRO: um e-mail válido por linha"))</f>
      </c>
      <c r="Z594" s="6">
        <f>IF(AND(J594="",K594=""),"",IF(AND(J594&lt;&gt;"",K594&lt;&gt;""),"OK","pendente: só um nome (o GR completa ao converter)"))</f>
      </c>
      <c r="AA594" s="6">
        <f>IF(COUNTA(A594:S594)=0,"",IF(AND(A594&lt;&gt;"",B594&lt;&gt;"",C594&lt;&gt;"",D594&lt;&gt;"",E594&lt;&gt;"",F594&lt;&gt;"",G594&lt;&gt;"",H594&lt;&gt;"",OR(J594&lt;&gt;"",K594&lt;&gt;""),OR(M594&lt;&gt;"",N594&lt;&gt;"",O594&lt;&gt;"")),"OK","ERRO: faltam "&amp;IF(A594="","SDR; ","")&amp;IF(B594="","Proprietário; ","")&amp;IF(C594="","Origem; ","")&amp;IF(D594="","Temperatura; ","")&amp;IF(E594="","Segmento; ","")&amp;IF(F594="","Time/Cluster; ","")&amp;IF(G594="","CNPJ; ","")&amp;IF(H594="","Razão Social; ","")&amp;IF(AND(J594="",K594=""),"nome do contato; ","")&amp;IF(AND(M594="",N594="",O594=""),"telefone, celular ou e-mail; ","")))</f>
      </c>
      <c r="AB594" s="6">
        <f>IF(COUNTA(A594:S594)=0,"",IF(AND(U594="OK",V594="OK",LEFT(W594,4)&lt;&gt;"ERRO",LEFT(X594,4)&lt;&gt;"ERRO",LEFT(Y594,4)&lt;&gt;"ERRO",AA594="OK"),"OK","REVISAR"))</f>
      </c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5"/>
      <c r="K595" s="4"/>
      <c r="L595" s="4"/>
      <c r="M595" s="4"/>
      <c r="N595" s="4"/>
      <c r="O595" s="4"/>
      <c r="P595" s="4"/>
      <c r="Q595" s="4"/>
      <c r="R595" s="4"/>
      <c r="S595" s="4"/>
      <c r="T595" s="6">
        <f>IF(G595="","",SUBSTITUTE(SUBSTITUTE(SUBSTITUTE(SUBSTITUTE(SUBSTITUTE(SUBSTITUTE(SUBSTITUTE(TRIM(G595),".",""),"/",""),"-","")," ",""),"(",""),")",""),"+",""))</f>
      </c>
      <c r="U595" s="6">
        <f>IF(T595="","",IF(LEN(T595)&lt;&gt;14,"ERRO: "&amp;LEN(T595)&amp;" dígitos",IF(NOT(ISNUMBER(VALUE(T595))),"ERRO: não numérico",IF(LEN(SUBSTITUTE(T595,LEFT(T595,1),""))=0,"ERRO: dígitos repetidos",IF(AND(VALUE(MID(T595,13,1))=IF(MOD(SUMPRODUCT(--MID(T595,{1,2,3,4,5,6,7,8,9,10,11,12},1),{5,4,3,2,9,8,7,6,5,4,3,2}),11)&lt;2,0,11-MOD(SUMPRODUCT(--MID(T595,{1,2,3,4,5,6,7,8,9,10,11,12},1),{5,4,3,2,9,8,7,6,5,4,3,2}),11)),VALUE(MID(T595,14,1))=IF(MOD(SUMPRODUCT(--MID(T595,{1,2,3,4,5,6,7,8,9,10,11,12,13},1),{6,5,4,3,2,9,8,7,6,5,4,3,2}),11)&lt;2,0,11-MOD(SUMPRODUCT(--MID(T595,{1,2,3,4,5,6,7,8,9,10,11,12,13},1),{6,5,4,3,2,9,8,7,6,5,4,3,2}),11))),"OK","ERRO: dígito verificador")))))</f>
      </c>
      <c r="V595" s="6">
        <f>IF(T595="","",IF(COUNTIF($T$2:$T$1001,T595)&gt;1,"DUPLICADO","OK"))</f>
      </c>
      <c r="W595" s="6">
        <f>IF(M595="","vazio",IF(OR(AND(LEN(SUBSTITUTE(SUBSTITUTE(SUBSTITUTE(SUBSTITUTE(SUBSTITUTE(SUBSTITUTE(SUBSTITUTE(TRIM(M595),".",""),"/",""),"-","")," ",""),"(",""),")",""),"+",""))=10,LEFT(SUBSTITUTE(SUBSTITUTE(SUBSTITUTE(SUBSTITUTE(SUBSTITUTE(SUBSTITUTE(SUBSTITUTE(TRIM(M595),".",""),"/",""),"-","")," ",""),"(",""),")",""),"+",""),1)&lt;&gt;"0"),AND(LEN(SUBSTITUTE(SUBSTITUTE(SUBSTITUTE(SUBSTITUTE(SUBSTITUTE(SUBSTITUTE(SUBSTITUTE(TRIM(M595),".",""),"/",""),"-","")," ",""),"(",""),")",""),"+",""))=11,LEFT(SUBSTITUTE(SUBSTITUTE(SUBSTITUTE(SUBSTITUTE(SUBSTITUTE(SUBSTITUTE(SUBSTITUTE(TRIM(M595),".",""),"/",""),"-","")," ",""),"(",""),")",""),"+",""),4)="0800")),"OK",IF(AND(LEN(SUBSTITUTE(SUBSTITUTE(SUBSTITUTE(SUBSTITUTE(SUBSTITUTE(SUBSTITUTE(SUBSTITUTE(TRIM(M595),".",""),"/",""),"-","")," ",""),"(",""),")",""),"+",""))=11,MID(SUBSTITUTE(SUBSTITUTE(SUBSTITUTE(SUBSTITUTE(SUBSTITUTE(SUBSTITUTE(SUBSTITUTE(TRIM(M595),".",""),"/",""),"-","")," ",""),"(",""),")",""),"+",""),3,1)="9"),"ERRO: é celular, use a coluna Celular","ERRO: DDD + 8 dígitos ou 0800 + 7")))</f>
      </c>
      <c r="X595" s="6">
        <f>IF(N595="","vazio",IF(AND(LEN(SUBSTITUTE(SUBSTITUTE(SUBSTITUTE(SUBSTITUTE(SUBSTITUTE(SUBSTITUTE(SUBSTITUTE(TRIM(N595),".",""),"/",""),"-","")," ",""),"(",""),")",""),"+",""))=11,MID(SUBSTITUTE(SUBSTITUTE(SUBSTITUTE(SUBSTITUTE(SUBSTITUTE(SUBSTITUTE(SUBSTITUTE(TRIM(N595),".",""),"/",""),"-","")," ",""),"(",""),")",""),"+",""),3,1)="9",LEFT(SUBSTITUTE(SUBSTITUTE(SUBSTITUTE(SUBSTITUTE(SUBSTITUTE(SUBSTITUTE(SUBSTITUTE(TRIM(N595),".",""),"/",""),"-","")," ",""),"(",""),")",""),"+",""),1)&lt;&gt;"0"),"OK",IF(LEN(SUBSTITUTE(SUBSTITUTE(SUBSTITUTE(SUBSTITUTE(SUBSTITUTE(SUBSTITUTE(SUBSTITUTE(TRIM(N595),".",""),"/",""),"-","")," ",""),"(",""),")",""),"+",""))=10,"ERRO: é fixo (ou falta o 9), use a coluna Telefone fixo","ERRO: DDD + 9 + 8 dígitos")))</f>
      </c>
      <c r="Y595" s="6">
        <f>IF(O595="","vazio",IF(AND(ISNUMBER(FIND("@",O595)),ISNUMBER(FIND(".",MID(O595,FIND("@",O595),99))),NOT(ISNUMBER(FIND(" ",TRIM(O595)))),NOT(ISNUMBER(FIND(";",O595))),NOT(ISNUMBER(FIND(",",O595)))),"OK","ERRO: um e-mail válido por linha"))</f>
      </c>
      <c r="Z595" s="6">
        <f>IF(AND(J595="",K595=""),"",IF(AND(J595&lt;&gt;"",K595&lt;&gt;""),"OK","pendente: só um nome (o GR completa ao converter)"))</f>
      </c>
      <c r="AA595" s="6">
        <f>IF(COUNTA(A595:S595)=0,"",IF(AND(A595&lt;&gt;"",B595&lt;&gt;"",C595&lt;&gt;"",D595&lt;&gt;"",E595&lt;&gt;"",F595&lt;&gt;"",G595&lt;&gt;"",H595&lt;&gt;"",OR(J595&lt;&gt;"",K595&lt;&gt;""),OR(M595&lt;&gt;"",N595&lt;&gt;"",O595&lt;&gt;"")),"OK","ERRO: faltam "&amp;IF(A595="","SDR; ","")&amp;IF(B595="","Proprietário; ","")&amp;IF(C595="","Origem; ","")&amp;IF(D595="","Temperatura; ","")&amp;IF(E595="","Segmento; ","")&amp;IF(F595="","Time/Cluster; ","")&amp;IF(G595="","CNPJ; ","")&amp;IF(H595="","Razão Social; ","")&amp;IF(AND(J595="",K595=""),"nome do contato; ","")&amp;IF(AND(M595="",N595="",O595=""),"telefone, celular ou e-mail; ","")))</f>
      </c>
      <c r="AB595" s="6">
        <f>IF(COUNTA(A595:S595)=0,"",IF(AND(U595="OK",V595="OK",LEFT(W595,4)&lt;&gt;"ERRO",LEFT(X595,4)&lt;&gt;"ERRO",LEFT(Y595,4)&lt;&gt;"ERRO",AA595="OK"),"OK","REVISAR"))</f>
      </c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5"/>
      <c r="K596" s="4"/>
      <c r="L596" s="4"/>
      <c r="M596" s="4"/>
      <c r="N596" s="4"/>
      <c r="O596" s="4"/>
      <c r="P596" s="4"/>
      <c r="Q596" s="4"/>
      <c r="R596" s="4"/>
      <c r="S596" s="4"/>
      <c r="T596" s="6">
        <f>IF(G596="","",SUBSTITUTE(SUBSTITUTE(SUBSTITUTE(SUBSTITUTE(SUBSTITUTE(SUBSTITUTE(SUBSTITUTE(TRIM(G596),".",""),"/",""),"-","")," ",""),"(",""),")",""),"+",""))</f>
      </c>
      <c r="U596" s="6">
        <f>IF(T596="","",IF(LEN(T596)&lt;&gt;14,"ERRO: "&amp;LEN(T596)&amp;" dígitos",IF(NOT(ISNUMBER(VALUE(T596))),"ERRO: não numérico",IF(LEN(SUBSTITUTE(T596,LEFT(T596,1),""))=0,"ERRO: dígitos repetidos",IF(AND(VALUE(MID(T596,13,1))=IF(MOD(SUMPRODUCT(--MID(T596,{1,2,3,4,5,6,7,8,9,10,11,12},1),{5,4,3,2,9,8,7,6,5,4,3,2}),11)&lt;2,0,11-MOD(SUMPRODUCT(--MID(T596,{1,2,3,4,5,6,7,8,9,10,11,12},1),{5,4,3,2,9,8,7,6,5,4,3,2}),11)),VALUE(MID(T596,14,1))=IF(MOD(SUMPRODUCT(--MID(T596,{1,2,3,4,5,6,7,8,9,10,11,12,13},1),{6,5,4,3,2,9,8,7,6,5,4,3,2}),11)&lt;2,0,11-MOD(SUMPRODUCT(--MID(T596,{1,2,3,4,5,6,7,8,9,10,11,12,13},1),{6,5,4,3,2,9,8,7,6,5,4,3,2}),11))),"OK","ERRO: dígito verificador")))))</f>
      </c>
      <c r="V596" s="6">
        <f>IF(T596="","",IF(COUNTIF($T$2:$T$1001,T596)&gt;1,"DUPLICADO","OK"))</f>
      </c>
      <c r="W596" s="6">
        <f>IF(M596="","vazio",IF(OR(AND(LEN(SUBSTITUTE(SUBSTITUTE(SUBSTITUTE(SUBSTITUTE(SUBSTITUTE(SUBSTITUTE(SUBSTITUTE(TRIM(M596),".",""),"/",""),"-","")," ",""),"(",""),")",""),"+",""))=10,LEFT(SUBSTITUTE(SUBSTITUTE(SUBSTITUTE(SUBSTITUTE(SUBSTITUTE(SUBSTITUTE(SUBSTITUTE(TRIM(M596),".",""),"/",""),"-","")," ",""),"(",""),")",""),"+",""),1)&lt;&gt;"0"),AND(LEN(SUBSTITUTE(SUBSTITUTE(SUBSTITUTE(SUBSTITUTE(SUBSTITUTE(SUBSTITUTE(SUBSTITUTE(TRIM(M596),".",""),"/",""),"-","")," ",""),"(",""),")",""),"+",""))=11,LEFT(SUBSTITUTE(SUBSTITUTE(SUBSTITUTE(SUBSTITUTE(SUBSTITUTE(SUBSTITUTE(SUBSTITUTE(TRIM(M596),".",""),"/",""),"-","")," ",""),"(",""),")",""),"+",""),4)="0800")),"OK",IF(AND(LEN(SUBSTITUTE(SUBSTITUTE(SUBSTITUTE(SUBSTITUTE(SUBSTITUTE(SUBSTITUTE(SUBSTITUTE(TRIM(M596),".",""),"/",""),"-","")," ",""),"(",""),")",""),"+",""))=11,MID(SUBSTITUTE(SUBSTITUTE(SUBSTITUTE(SUBSTITUTE(SUBSTITUTE(SUBSTITUTE(SUBSTITUTE(TRIM(M596),".",""),"/",""),"-","")," ",""),"(",""),")",""),"+",""),3,1)="9"),"ERRO: é celular, use a coluna Celular","ERRO: DDD + 8 dígitos ou 0800 + 7")))</f>
      </c>
      <c r="X596" s="6">
        <f>IF(N596="","vazio",IF(AND(LEN(SUBSTITUTE(SUBSTITUTE(SUBSTITUTE(SUBSTITUTE(SUBSTITUTE(SUBSTITUTE(SUBSTITUTE(TRIM(N596),".",""),"/",""),"-","")," ",""),"(",""),")",""),"+",""))=11,MID(SUBSTITUTE(SUBSTITUTE(SUBSTITUTE(SUBSTITUTE(SUBSTITUTE(SUBSTITUTE(SUBSTITUTE(TRIM(N596),".",""),"/",""),"-","")," ",""),"(",""),")",""),"+",""),3,1)="9",LEFT(SUBSTITUTE(SUBSTITUTE(SUBSTITUTE(SUBSTITUTE(SUBSTITUTE(SUBSTITUTE(SUBSTITUTE(TRIM(N596),".",""),"/",""),"-","")," ",""),"(",""),")",""),"+",""),1)&lt;&gt;"0"),"OK",IF(LEN(SUBSTITUTE(SUBSTITUTE(SUBSTITUTE(SUBSTITUTE(SUBSTITUTE(SUBSTITUTE(SUBSTITUTE(TRIM(N596),".",""),"/",""),"-","")," ",""),"(",""),")",""),"+",""))=10,"ERRO: é fixo (ou falta o 9), use a coluna Telefone fixo","ERRO: DDD + 9 + 8 dígitos")))</f>
      </c>
      <c r="Y596" s="6">
        <f>IF(O596="","vazio",IF(AND(ISNUMBER(FIND("@",O596)),ISNUMBER(FIND(".",MID(O596,FIND("@",O596),99))),NOT(ISNUMBER(FIND(" ",TRIM(O596)))),NOT(ISNUMBER(FIND(";",O596))),NOT(ISNUMBER(FIND(",",O596)))),"OK","ERRO: um e-mail válido por linha"))</f>
      </c>
      <c r="Z596" s="6">
        <f>IF(AND(J596="",K596=""),"",IF(AND(J596&lt;&gt;"",K596&lt;&gt;""),"OK","pendente: só um nome (o GR completa ao converter)"))</f>
      </c>
      <c r="AA596" s="6">
        <f>IF(COUNTA(A596:S596)=0,"",IF(AND(A596&lt;&gt;"",B596&lt;&gt;"",C596&lt;&gt;"",D596&lt;&gt;"",E596&lt;&gt;"",F596&lt;&gt;"",G596&lt;&gt;"",H596&lt;&gt;"",OR(J596&lt;&gt;"",K596&lt;&gt;""),OR(M596&lt;&gt;"",N596&lt;&gt;"",O596&lt;&gt;"")),"OK","ERRO: faltam "&amp;IF(A596="","SDR; ","")&amp;IF(B596="","Proprietário; ","")&amp;IF(C596="","Origem; ","")&amp;IF(D596="","Temperatura; ","")&amp;IF(E596="","Segmento; ","")&amp;IF(F596="","Time/Cluster; ","")&amp;IF(G596="","CNPJ; ","")&amp;IF(H596="","Razão Social; ","")&amp;IF(AND(J596="",K596=""),"nome do contato; ","")&amp;IF(AND(M596="",N596="",O596=""),"telefone, celular ou e-mail; ","")))</f>
      </c>
      <c r="AB596" s="6">
        <f>IF(COUNTA(A596:S596)=0,"",IF(AND(U596="OK",V596="OK",LEFT(W596,4)&lt;&gt;"ERRO",LEFT(X596,4)&lt;&gt;"ERRO",LEFT(Y596,4)&lt;&gt;"ERRO",AA596="OK"),"OK","REVISAR"))</f>
      </c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5"/>
      <c r="K597" s="4"/>
      <c r="L597" s="4"/>
      <c r="M597" s="4"/>
      <c r="N597" s="4"/>
      <c r="O597" s="4"/>
      <c r="P597" s="4"/>
      <c r="Q597" s="4"/>
      <c r="R597" s="4"/>
      <c r="S597" s="4"/>
      <c r="T597" s="6">
        <f>IF(G597="","",SUBSTITUTE(SUBSTITUTE(SUBSTITUTE(SUBSTITUTE(SUBSTITUTE(SUBSTITUTE(SUBSTITUTE(TRIM(G597),".",""),"/",""),"-","")," ",""),"(",""),")",""),"+",""))</f>
      </c>
      <c r="U597" s="6">
        <f>IF(T597="","",IF(LEN(T597)&lt;&gt;14,"ERRO: "&amp;LEN(T597)&amp;" dígitos",IF(NOT(ISNUMBER(VALUE(T597))),"ERRO: não numérico",IF(LEN(SUBSTITUTE(T597,LEFT(T597,1),""))=0,"ERRO: dígitos repetidos",IF(AND(VALUE(MID(T597,13,1))=IF(MOD(SUMPRODUCT(--MID(T597,{1,2,3,4,5,6,7,8,9,10,11,12},1),{5,4,3,2,9,8,7,6,5,4,3,2}),11)&lt;2,0,11-MOD(SUMPRODUCT(--MID(T597,{1,2,3,4,5,6,7,8,9,10,11,12},1),{5,4,3,2,9,8,7,6,5,4,3,2}),11)),VALUE(MID(T597,14,1))=IF(MOD(SUMPRODUCT(--MID(T597,{1,2,3,4,5,6,7,8,9,10,11,12,13},1),{6,5,4,3,2,9,8,7,6,5,4,3,2}),11)&lt;2,0,11-MOD(SUMPRODUCT(--MID(T597,{1,2,3,4,5,6,7,8,9,10,11,12,13},1),{6,5,4,3,2,9,8,7,6,5,4,3,2}),11))),"OK","ERRO: dígito verificador")))))</f>
      </c>
      <c r="V597" s="6">
        <f>IF(T597="","",IF(COUNTIF($T$2:$T$1001,T597)&gt;1,"DUPLICADO","OK"))</f>
      </c>
      <c r="W597" s="6">
        <f>IF(M597="","vazio",IF(OR(AND(LEN(SUBSTITUTE(SUBSTITUTE(SUBSTITUTE(SUBSTITUTE(SUBSTITUTE(SUBSTITUTE(SUBSTITUTE(TRIM(M597),".",""),"/",""),"-","")," ",""),"(",""),")",""),"+",""))=10,LEFT(SUBSTITUTE(SUBSTITUTE(SUBSTITUTE(SUBSTITUTE(SUBSTITUTE(SUBSTITUTE(SUBSTITUTE(TRIM(M597),".",""),"/",""),"-","")," ",""),"(",""),")",""),"+",""),1)&lt;&gt;"0"),AND(LEN(SUBSTITUTE(SUBSTITUTE(SUBSTITUTE(SUBSTITUTE(SUBSTITUTE(SUBSTITUTE(SUBSTITUTE(TRIM(M597),".",""),"/",""),"-","")," ",""),"(",""),")",""),"+",""))=11,LEFT(SUBSTITUTE(SUBSTITUTE(SUBSTITUTE(SUBSTITUTE(SUBSTITUTE(SUBSTITUTE(SUBSTITUTE(TRIM(M597),".",""),"/",""),"-","")," ",""),"(",""),")",""),"+",""),4)="0800")),"OK",IF(AND(LEN(SUBSTITUTE(SUBSTITUTE(SUBSTITUTE(SUBSTITUTE(SUBSTITUTE(SUBSTITUTE(SUBSTITUTE(TRIM(M597),".",""),"/",""),"-","")," ",""),"(",""),")",""),"+",""))=11,MID(SUBSTITUTE(SUBSTITUTE(SUBSTITUTE(SUBSTITUTE(SUBSTITUTE(SUBSTITUTE(SUBSTITUTE(TRIM(M597),".",""),"/",""),"-","")," ",""),"(",""),")",""),"+",""),3,1)="9"),"ERRO: é celular, use a coluna Celular","ERRO: DDD + 8 dígitos ou 0800 + 7")))</f>
      </c>
      <c r="X597" s="6">
        <f>IF(N597="","vazio",IF(AND(LEN(SUBSTITUTE(SUBSTITUTE(SUBSTITUTE(SUBSTITUTE(SUBSTITUTE(SUBSTITUTE(SUBSTITUTE(TRIM(N597),".",""),"/",""),"-","")," ",""),"(",""),")",""),"+",""))=11,MID(SUBSTITUTE(SUBSTITUTE(SUBSTITUTE(SUBSTITUTE(SUBSTITUTE(SUBSTITUTE(SUBSTITUTE(TRIM(N597),".",""),"/",""),"-","")," ",""),"(",""),")",""),"+",""),3,1)="9",LEFT(SUBSTITUTE(SUBSTITUTE(SUBSTITUTE(SUBSTITUTE(SUBSTITUTE(SUBSTITUTE(SUBSTITUTE(TRIM(N597),".",""),"/",""),"-","")," ",""),"(",""),")",""),"+",""),1)&lt;&gt;"0"),"OK",IF(LEN(SUBSTITUTE(SUBSTITUTE(SUBSTITUTE(SUBSTITUTE(SUBSTITUTE(SUBSTITUTE(SUBSTITUTE(TRIM(N597),".",""),"/",""),"-","")," ",""),"(",""),")",""),"+",""))=10,"ERRO: é fixo (ou falta o 9), use a coluna Telefone fixo","ERRO: DDD + 9 + 8 dígitos")))</f>
      </c>
      <c r="Y597" s="6">
        <f>IF(O597="","vazio",IF(AND(ISNUMBER(FIND("@",O597)),ISNUMBER(FIND(".",MID(O597,FIND("@",O597),99))),NOT(ISNUMBER(FIND(" ",TRIM(O597)))),NOT(ISNUMBER(FIND(";",O597))),NOT(ISNUMBER(FIND(",",O597)))),"OK","ERRO: um e-mail válido por linha"))</f>
      </c>
      <c r="Z597" s="6">
        <f>IF(AND(J597="",K597=""),"",IF(AND(J597&lt;&gt;"",K597&lt;&gt;""),"OK","pendente: só um nome (o GR completa ao converter)"))</f>
      </c>
      <c r="AA597" s="6">
        <f>IF(COUNTA(A597:S597)=0,"",IF(AND(A597&lt;&gt;"",B597&lt;&gt;"",C597&lt;&gt;"",D597&lt;&gt;"",E597&lt;&gt;"",F597&lt;&gt;"",G597&lt;&gt;"",H597&lt;&gt;"",OR(J597&lt;&gt;"",K597&lt;&gt;""),OR(M597&lt;&gt;"",N597&lt;&gt;"",O597&lt;&gt;"")),"OK","ERRO: faltam "&amp;IF(A597="","SDR; ","")&amp;IF(B597="","Proprietário; ","")&amp;IF(C597="","Origem; ","")&amp;IF(D597="","Temperatura; ","")&amp;IF(E597="","Segmento; ","")&amp;IF(F597="","Time/Cluster; ","")&amp;IF(G597="","CNPJ; ","")&amp;IF(H597="","Razão Social; ","")&amp;IF(AND(J597="",K597=""),"nome do contato; ","")&amp;IF(AND(M597="",N597="",O597=""),"telefone, celular ou e-mail; ","")))</f>
      </c>
      <c r="AB597" s="6">
        <f>IF(COUNTA(A597:S597)=0,"",IF(AND(U597="OK",V597="OK",LEFT(W597,4)&lt;&gt;"ERRO",LEFT(X597,4)&lt;&gt;"ERRO",LEFT(Y597,4)&lt;&gt;"ERRO",AA597="OK"),"OK","REVISAR"))</f>
      </c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5"/>
      <c r="K598" s="4"/>
      <c r="L598" s="4"/>
      <c r="M598" s="4"/>
      <c r="N598" s="4"/>
      <c r="O598" s="4"/>
      <c r="P598" s="4"/>
      <c r="Q598" s="4"/>
      <c r="R598" s="4"/>
      <c r="S598" s="4"/>
      <c r="T598" s="6">
        <f>IF(G598="","",SUBSTITUTE(SUBSTITUTE(SUBSTITUTE(SUBSTITUTE(SUBSTITUTE(SUBSTITUTE(SUBSTITUTE(TRIM(G598),".",""),"/",""),"-","")," ",""),"(",""),")",""),"+",""))</f>
      </c>
      <c r="U598" s="6">
        <f>IF(T598="","",IF(LEN(T598)&lt;&gt;14,"ERRO: "&amp;LEN(T598)&amp;" dígitos",IF(NOT(ISNUMBER(VALUE(T598))),"ERRO: não numérico",IF(LEN(SUBSTITUTE(T598,LEFT(T598,1),""))=0,"ERRO: dígitos repetidos",IF(AND(VALUE(MID(T598,13,1))=IF(MOD(SUMPRODUCT(--MID(T598,{1,2,3,4,5,6,7,8,9,10,11,12},1),{5,4,3,2,9,8,7,6,5,4,3,2}),11)&lt;2,0,11-MOD(SUMPRODUCT(--MID(T598,{1,2,3,4,5,6,7,8,9,10,11,12},1),{5,4,3,2,9,8,7,6,5,4,3,2}),11)),VALUE(MID(T598,14,1))=IF(MOD(SUMPRODUCT(--MID(T598,{1,2,3,4,5,6,7,8,9,10,11,12,13},1),{6,5,4,3,2,9,8,7,6,5,4,3,2}),11)&lt;2,0,11-MOD(SUMPRODUCT(--MID(T598,{1,2,3,4,5,6,7,8,9,10,11,12,13},1),{6,5,4,3,2,9,8,7,6,5,4,3,2}),11))),"OK","ERRO: dígito verificador")))))</f>
      </c>
      <c r="V598" s="6">
        <f>IF(T598="","",IF(COUNTIF($T$2:$T$1001,T598)&gt;1,"DUPLICADO","OK"))</f>
      </c>
      <c r="W598" s="6">
        <f>IF(M598="","vazio",IF(OR(AND(LEN(SUBSTITUTE(SUBSTITUTE(SUBSTITUTE(SUBSTITUTE(SUBSTITUTE(SUBSTITUTE(SUBSTITUTE(TRIM(M598),".",""),"/",""),"-","")," ",""),"(",""),")",""),"+",""))=10,LEFT(SUBSTITUTE(SUBSTITUTE(SUBSTITUTE(SUBSTITUTE(SUBSTITUTE(SUBSTITUTE(SUBSTITUTE(TRIM(M598),".",""),"/",""),"-","")," ",""),"(",""),")",""),"+",""),1)&lt;&gt;"0"),AND(LEN(SUBSTITUTE(SUBSTITUTE(SUBSTITUTE(SUBSTITUTE(SUBSTITUTE(SUBSTITUTE(SUBSTITUTE(TRIM(M598),".",""),"/",""),"-","")," ",""),"(",""),")",""),"+",""))=11,LEFT(SUBSTITUTE(SUBSTITUTE(SUBSTITUTE(SUBSTITUTE(SUBSTITUTE(SUBSTITUTE(SUBSTITUTE(TRIM(M598),".",""),"/",""),"-","")," ",""),"(",""),")",""),"+",""),4)="0800")),"OK",IF(AND(LEN(SUBSTITUTE(SUBSTITUTE(SUBSTITUTE(SUBSTITUTE(SUBSTITUTE(SUBSTITUTE(SUBSTITUTE(TRIM(M598),".",""),"/",""),"-","")," ",""),"(",""),")",""),"+",""))=11,MID(SUBSTITUTE(SUBSTITUTE(SUBSTITUTE(SUBSTITUTE(SUBSTITUTE(SUBSTITUTE(SUBSTITUTE(TRIM(M598),".",""),"/",""),"-","")," ",""),"(",""),")",""),"+",""),3,1)="9"),"ERRO: é celular, use a coluna Celular","ERRO: DDD + 8 dígitos ou 0800 + 7")))</f>
      </c>
      <c r="X598" s="6">
        <f>IF(N598="","vazio",IF(AND(LEN(SUBSTITUTE(SUBSTITUTE(SUBSTITUTE(SUBSTITUTE(SUBSTITUTE(SUBSTITUTE(SUBSTITUTE(TRIM(N598),".",""),"/",""),"-","")," ",""),"(",""),")",""),"+",""))=11,MID(SUBSTITUTE(SUBSTITUTE(SUBSTITUTE(SUBSTITUTE(SUBSTITUTE(SUBSTITUTE(SUBSTITUTE(TRIM(N598),".",""),"/",""),"-","")," ",""),"(",""),")",""),"+",""),3,1)="9",LEFT(SUBSTITUTE(SUBSTITUTE(SUBSTITUTE(SUBSTITUTE(SUBSTITUTE(SUBSTITUTE(SUBSTITUTE(TRIM(N598),".",""),"/",""),"-","")," ",""),"(",""),")",""),"+",""),1)&lt;&gt;"0"),"OK",IF(LEN(SUBSTITUTE(SUBSTITUTE(SUBSTITUTE(SUBSTITUTE(SUBSTITUTE(SUBSTITUTE(SUBSTITUTE(TRIM(N598),".",""),"/",""),"-","")," ",""),"(",""),")",""),"+",""))=10,"ERRO: é fixo (ou falta o 9), use a coluna Telefone fixo","ERRO: DDD + 9 + 8 dígitos")))</f>
      </c>
      <c r="Y598" s="6">
        <f>IF(O598="","vazio",IF(AND(ISNUMBER(FIND("@",O598)),ISNUMBER(FIND(".",MID(O598,FIND("@",O598),99))),NOT(ISNUMBER(FIND(" ",TRIM(O598)))),NOT(ISNUMBER(FIND(";",O598))),NOT(ISNUMBER(FIND(",",O598)))),"OK","ERRO: um e-mail válido por linha"))</f>
      </c>
      <c r="Z598" s="6">
        <f>IF(AND(J598="",K598=""),"",IF(AND(J598&lt;&gt;"",K598&lt;&gt;""),"OK","pendente: só um nome (o GR completa ao converter)"))</f>
      </c>
      <c r="AA598" s="6">
        <f>IF(COUNTA(A598:S598)=0,"",IF(AND(A598&lt;&gt;"",B598&lt;&gt;"",C598&lt;&gt;"",D598&lt;&gt;"",E598&lt;&gt;"",F598&lt;&gt;"",G598&lt;&gt;"",H598&lt;&gt;"",OR(J598&lt;&gt;"",K598&lt;&gt;""),OR(M598&lt;&gt;"",N598&lt;&gt;"",O598&lt;&gt;"")),"OK","ERRO: faltam "&amp;IF(A598="","SDR; ","")&amp;IF(B598="","Proprietário; ","")&amp;IF(C598="","Origem; ","")&amp;IF(D598="","Temperatura; ","")&amp;IF(E598="","Segmento; ","")&amp;IF(F598="","Time/Cluster; ","")&amp;IF(G598="","CNPJ; ","")&amp;IF(H598="","Razão Social; ","")&amp;IF(AND(J598="",K598=""),"nome do contato; ","")&amp;IF(AND(M598="",N598="",O598=""),"telefone, celular ou e-mail; ","")))</f>
      </c>
      <c r="AB598" s="6">
        <f>IF(COUNTA(A598:S598)=0,"",IF(AND(U598="OK",V598="OK",LEFT(W598,4)&lt;&gt;"ERRO",LEFT(X598,4)&lt;&gt;"ERRO",LEFT(Y598,4)&lt;&gt;"ERRO",AA598="OK"),"OK","REVISAR"))</f>
      </c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5"/>
      <c r="K599" s="4"/>
      <c r="L599" s="4"/>
      <c r="M599" s="4"/>
      <c r="N599" s="4"/>
      <c r="O599" s="4"/>
      <c r="P599" s="4"/>
      <c r="Q599" s="4"/>
      <c r="R599" s="4"/>
      <c r="S599" s="4"/>
      <c r="T599" s="6">
        <f>IF(G599="","",SUBSTITUTE(SUBSTITUTE(SUBSTITUTE(SUBSTITUTE(SUBSTITUTE(SUBSTITUTE(SUBSTITUTE(TRIM(G599),".",""),"/",""),"-","")," ",""),"(",""),")",""),"+",""))</f>
      </c>
      <c r="U599" s="6">
        <f>IF(T599="","",IF(LEN(T599)&lt;&gt;14,"ERRO: "&amp;LEN(T599)&amp;" dígitos",IF(NOT(ISNUMBER(VALUE(T599))),"ERRO: não numérico",IF(LEN(SUBSTITUTE(T599,LEFT(T599,1),""))=0,"ERRO: dígitos repetidos",IF(AND(VALUE(MID(T599,13,1))=IF(MOD(SUMPRODUCT(--MID(T599,{1,2,3,4,5,6,7,8,9,10,11,12},1),{5,4,3,2,9,8,7,6,5,4,3,2}),11)&lt;2,0,11-MOD(SUMPRODUCT(--MID(T599,{1,2,3,4,5,6,7,8,9,10,11,12},1),{5,4,3,2,9,8,7,6,5,4,3,2}),11)),VALUE(MID(T599,14,1))=IF(MOD(SUMPRODUCT(--MID(T599,{1,2,3,4,5,6,7,8,9,10,11,12,13},1),{6,5,4,3,2,9,8,7,6,5,4,3,2}),11)&lt;2,0,11-MOD(SUMPRODUCT(--MID(T599,{1,2,3,4,5,6,7,8,9,10,11,12,13},1),{6,5,4,3,2,9,8,7,6,5,4,3,2}),11))),"OK","ERRO: dígito verificador")))))</f>
      </c>
      <c r="V599" s="6">
        <f>IF(T599="","",IF(COUNTIF($T$2:$T$1001,T599)&gt;1,"DUPLICADO","OK"))</f>
      </c>
      <c r="W599" s="6">
        <f>IF(M599="","vazio",IF(OR(AND(LEN(SUBSTITUTE(SUBSTITUTE(SUBSTITUTE(SUBSTITUTE(SUBSTITUTE(SUBSTITUTE(SUBSTITUTE(TRIM(M599),".",""),"/",""),"-","")," ",""),"(",""),")",""),"+",""))=10,LEFT(SUBSTITUTE(SUBSTITUTE(SUBSTITUTE(SUBSTITUTE(SUBSTITUTE(SUBSTITUTE(SUBSTITUTE(TRIM(M599),".",""),"/",""),"-","")," ",""),"(",""),")",""),"+",""),1)&lt;&gt;"0"),AND(LEN(SUBSTITUTE(SUBSTITUTE(SUBSTITUTE(SUBSTITUTE(SUBSTITUTE(SUBSTITUTE(SUBSTITUTE(TRIM(M599),".",""),"/",""),"-","")," ",""),"(",""),")",""),"+",""))=11,LEFT(SUBSTITUTE(SUBSTITUTE(SUBSTITUTE(SUBSTITUTE(SUBSTITUTE(SUBSTITUTE(SUBSTITUTE(TRIM(M599),".",""),"/",""),"-","")," ",""),"(",""),")",""),"+",""),4)="0800")),"OK",IF(AND(LEN(SUBSTITUTE(SUBSTITUTE(SUBSTITUTE(SUBSTITUTE(SUBSTITUTE(SUBSTITUTE(SUBSTITUTE(TRIM(M599),".",""),"/",""),"-","")," ",""),"(",""),")",""),"+",""))=11,MID(SUBSTITUTE(SUBSTITUTE(SUBSTITUTE(SUBSTITUTE(SUBSTITUTE(SUBSTITUTE(SUBSTITUTE(TRIM(M599),".",""),"/",""),"-","")," ",""),"(",""),")",""),"+",""),3,1)="9"),"ERRO: é celular, use a coluna Celular","ERRO: DDD + 8 dígitos ou 0800 + 7")))</f>
      </c>
      <c r="X599" s="6">
        <f>IF(N599="","vazio",IF(AND(LEN(SUBSTITUTE(SUBSTITUTE(SUBSTITUTE(SUBSTITUTE(SUBSTITUTE(SUBSTITUTE(SUBSTITUTE(TRIM(N599),".",""),"/",""),"-","")," ",""),"(",""),")",""),"+",""))=11,MID(SUBSTITUTE(SUBSTITUTE(SUBSTITUTE(SUBSTITUTE(SUBSTITUTE(SUBSTITUTE(SUBSTITUTE(TRIM(N599),".",""),"/",""),"-","")," ",""),"(",""),")",""),"+",""),3,1)="9",LEFT(SUBSTITUTE(SUBSTITUTE(SUBSTITUTE(SUBSTITUTE(SUBSTITUTE(SUBSTITUTE(SUBSTITUTE(TRIM(N599),".",""),"/",""),"-","")," ",""),"(",""),")",""),"+",""),1)&lt;&gt;"0"),"OK",IF(LEN(SUBSTITUTE(SUBSTITUTE(SUBSTITUTE(SUBSTITUTE(SUBSTITUTE(SUBSTITUTE(SUBSTITUTE(TRIM(N599),".",""),"/",""),"-","")," ",""),"(",""),")",""),"+",""))=10,"ERRO: é fixo (ou falta o 9), use a coluna Telefone fixo","ERRO: DDD + 9 + 8 dígitos")))</f>
      </c>
      <c r="Y599" s="6">
        <f>IF(O599="","vazio",IF(AND(ISNUMBER(FIND("@",O599)),ISNUMBER(FIND(".",MID(O599,FIND("@",O599),99))),NOT(ISNUMBER(FIND(" ",TRIM(O599)))),NOT(ISNUMBER(FIND(";",O599))),NOT(ISNUMBER(FIND(",",O599)))),"OK","ERRO: um e-mail válido por linha"))</f>
      </c>
      <c r="Z599" s="6">
        <f>IF(AND(J599="",K599=""),"",IF(AND(J599&lt;&gt;"",K599&lt;&gt;""),"OK","pendente: só um nome (o GR completa ao converter)"))</f>
      </c>
      <c r="AA599" s="6">
        <f>IF(COUNTA(A599:S599)=0,"",IF(AND(A599&lt;&gt;"",B599&lt;&gt;"",C599&lt;&gt;"",D599&lt;&gt;"",E599&lt;&gt;"",F599&lt;&gt;"",G599&lt;&gt;"",H599&lt;&gt;"",OR(J599&lt;&gt;"",K599&lt;&gt;""),OR(M599&lt;&gt;"",N599&lt;&gt;"",O599&lt;&gt;"")),"OK","ERRO: faltam "&amp;IF(A599="","SDR; ","")&amp;IF(B599="","Proprietário; ","")&amp;IF(C599="","Origem; ","")&amp;IF(D599="","Temperatura; ","")&amp;IF(E599="","Segmento; ","")&amp;IF(F599="","Time/Cluster; ","")&amp;IF(G599="","CNPJ; ","")&amp;IF(H599="","Razão Social; ","")&amp;IF(AND(J599="",K599=""),"nome do contato; ","")&amp;IF(AND(M599="",N599="",O599=""),"telefone, celular ou e-mail; ","")))</f>
      </c>
      <c r="AB599" s="6">
        <f>IF(COUNTA(A599:S599)=0,"",IF(AND(U599="OK",V599="OK",LEFT(W599,4)&lt;&gt;"ERRO",LEFT(X599,4)&lt;&gt;"ERRO",LEFT(Y599,4)&lt;&gt;"ERRO",AA599="OK"),"OK","REVISAR"))</f>
      </c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5"/>
      <c r="K600" s="4"/>
      <c r="L600" s="4"/>
      <c r="M600" s="4"/>
      <c r="N600" s="4"/>
      <c r="O600" s="4"/>
      <c r="P600" s="4"/>
      <c r="Q600" s="4"/>
      <c r="R600" s="4"/>
      <c r="S600" s="4"/>
      <c r="T600" s="6">
        <f>IF(G600="","",SUBSTITUTE(SUBSTITUTE(SUBSTITUTE(SUBSTITUTE(SUBSTITUTE(SUBSTITUTE(SUBSTITUTE(TRIM(G600),".",""),"/",""),"-","")," ",""),"(",""),")",""),"+",""))</f>
      </c>
      <c r="U600" s="6">
        <f>IF(T600="","",IF(LEN(T600)&lt;&gt;14,"ERRO: "&amp;LEN(T600)&amp;" dígitos",IF(NOT(ISNUMBER(VALUE(T600))),"ERRO: não numérico",IF(LEN(SUBSTITUTE(T600,LEFT(T600,1),""))=0,"ERRO: dígitos repetidos",IF(AND(VALUE(MID(T600,13,1))=IF(MOD(SUMPRODUCT(--MID(T600,{1,2,3,4,5,6,7,8,9,10,11,12},1),{5,4,3,2,9,8,7,6,5,4,3,2}),11)&lt;2,0,11-MOD(SUMPRODUCT(--MID(T600,{1,2,3,4,5,6,7,8,9,10,11,12},1),{5,4,3,2,9,8,7,6,5,4,3,2}),11)),VALUE(MID(T600,14,1))=IF(MOD(SUMPRODUCT(--MID(T600,{1,2,3,4,5,6,7,8,9,10,11,12,13},1),{6,5,4,3,2,9,8,7,6,5,4,3,2}),11)&lt;2,0,11-MOD(SUMPRODUCT(--MID(T600,{1,2,3,4,5,6,7,8,9,10,11,12,13},1),{6,5,4,3,2,9,8,7,6,5,4,3,2}),11))),"OK","ERRO: dígito verificador")))))</f>
      </c>
      <c r="V600" s="6">
        <f>IF(T600="","",IF(COUNTIF($T$2:$T$1001,T600)&gt;1,"DUPLICADO","OK"))</f>
      </c>
      <c r="W600" s="6">
        <f>IF(M600="","vazio",IF(OR(AND(LEN(SUBSTITUTE(SUBSTITUTE(SUBSTITUTE(SUBSTITUTE(SUBSTITUTE(SUBSTITUTE(SUBSTITUTE(TRIM(M600),".",""),"/",""),"-","")," ",""),"(",""),")",""),"+",""))=10,LEFT(SUBSTITUTE(SUBSTITUTE(SUBSTITUTE(SUBSTITUTE(SUBSTITUTE(SUBSTITUTE(SUBSTITUTE(TRIM(M600),".",""),"/",""),"-","")," ",""),"(",""),")",""),"+",""),1)&lt;&gt;"0"),AND(LEN(SUBSTITUTE(SUBSTITUTE(SUBSTITUTE(SUBSTITUTE(SUBSTITUTE(SUBSTITUTE(SUBSTITUTE(TRIM(M600),".",""),"/",""),"-","")," ",""),"(",""),")",""),"+",""))=11,LEFT(SUBSTITUTE(SUBSTITUTE(SUBSTITUTE(SUBSTITUTE(SUBSTITUTE(SUBSTITUTE(SUBSTITUTE(TRIM(M600),".",""),"/",""),"-","")," ",""),"(",""),")",""),"+",""),4)="0800")),"OK",IF(AND(LEN(SUBSTITUTE(SUBSTITUTE(SUBSTITUTE(SUBSTITUTE(SUBSTITUTE(SUBSTITUTE(SUBSTITUTE(TRIM(M600),".",""),"/",""),"-","")," ",""),"(",""),")",""),"+",""))=11,MID(SUBSTITUTE(SUBSTITUTE(SUBSTITUTE(SUBSTITUTE(SUBSTITUTE(SUBSTITUTE(SUBSTITUTE(TRIM(M600),".",""),"/",""),"-","")," ",""),"(",""),")",""),"+",""),3,1)="9"),"ERRO: é celular, use a coluna Celular","ERRO: DDD + 8 dígitos ou 0800 + 7")))</f>
      </c>
      <c r="X600" s="6">
        <f>IF(N600="","vazio",IF(AND(LEN(SUBSTITUTE(SUBSTITUTE(SUBSTITUTE(SUBSTITUTE(SUBSTITUTE(SUBSTITUTE(SUBSTITUTE(TRIM(N600),".",""),"/",""),"-","")," ",""),"(",""),")",""),"+",""))=11,MID(SUBSTITUTE(SUBSTITUTE(SUBSTITUTE(SUBSTITUTE(SUBSTITUTE(SUBSTITUTE(SUBSTITUTE(TRIM(N600),".",""),"/",""),"-","")," ",""),"(",""),")",""),"+",""),3,1)="9",LEFT(SUBSTITUTE(SUBSTITUTE(SUBSTITUTE(SUBSTITUTE(SUBSTITUTE(SUBSTITUTE(SUBSTITUTE(TRIM(N600),".",""),"/",""),"-","")," ",""),"(",""),")",""),"+",""),1)&lt;&gt;"0"),"OK",IF(LEN(SUBSTITUTE(SUBSTITUTE(SUBSTITUTE(SUBSTITUTE(SUBSTITUTE(SUBSTITUTE(SUBSTITUTE(TRIM(N600),".",""),"/",""),"-","")," ",""),"(",""),")",""),"+",""))=10,"ERRO: é fixo (ou falta o 9), use a coluna Telefone fixo","ERRO: DDD + 9 + 8 dígitos")))</f>
      </c>
      <c r="Y600" s="6">
        <f>IF(O600="","vazio",IF(AND(ISNUMBER(FIND("@",O600)),ISNUMBER(FIND(".",MID(O600,FIND("@",O600),99))),NOT(ISNUMBER(FIND(" ",TRIM(O600)))),NOT(ISNUMBER(FIND(";",O600))),NOT(ISNUMBER(FIND(",",O600)))),"OK","ERRO: um e-mail válido por linha"))</f>
      </c>
      <c r="Z600" s="6">
        <f>IF(AND(J600="",K600=""),"",IF(AND(J600&lt;&gt;"",K600&lt;&gt;""),"OK","pendente: só um nome (o GR completa ao converter)"))</f>
      </c>
      <c r="AA600" s="6">
        <f>IF(COUNTA(A600:S600)=0,"",IF(AND(A600&lt;&gt;"",B600&lt;&gt;"",C600&lt;&gt;"",D600&lt;&gt;"",E600&lt;&gt;"",F600&lt;&gt;"",G600&lt;&gt;"",H600&lt;&gt;"",OR(J600&lt;&gt;"",K600&lt;&gt;""),OR(M600&lt;&gt;"",N600&lt;&gt;"",O600&lt;&gt;"")),"OK","ERRO: faltam "&amp;IF(A600="","SDR; ","")&amp;IF(B600="","Proprietário; ","")&amp;IF(C600="","Origem; ","")&amp;IF(D600="","Temperatura; ","")&amp;IF(E600="","Segmento; ","")&amp;IF(F600="","Time/Cluster; ","")&amp;IF(G600="","CNPJ; ","")&amp;IF(H600="","Razão Social; ","")&amp;IF(AND(J600="",K600=""),"nome do contato; ","")&amp;IF(AND(M600="",N600="",O600=""),"telefone, celular ou e-mail; ","")))</f>
      </c>
      <c r="AB600" s="6">
        <f>IF(COUNTA(A600:S600)=0,"",IF(AND(U600="OK",V600="OK",LEFT(W600,4)&lt;&gt;"ERRO",LEFT(X600,4)&lt;&gt;"ERRO",LEFT(Y600,4)&lt;&gt;"ERRO",AA600="OK"),"OK","REVISAR"))</f>
      </c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5"/>
      <c r="K601" s="4"/>
      <c r="L601" s="4"/>
      <c r="M601" s="4"/>
      <c r="N601" s="4"/>
      <c r="O601" s="4"/>
      <c r="P601" s="4"/>
      <c r="Q601" s="4"/>
      <c r="R601" s="4"/>
      <c r="S601" s="4"/>
      <c r="T601" s="6">
        <f>IF(G601="","",SUBSTITUTE(SUBSTITUTE(SUBSTITUTE(SUBSTITUTE(SUBSTITUTE(SUBSTITUTE(SUBSTITUTE(TRIM(G601),".",""),"/",""),"-","")," ",""),"(",""),")",""),"+",""))</f>
      </c>
      <c r="U601" s="6">
        <f>IF(T601="","",IF(LEN(T601)&lt;&gt;14,"ERRO: "&amp;LEN(T601)&amp;" dígitos",IF(NOT(ISNUMBER(VALUE(T601))),"ERRO: não numérico",IF(LEN(SUBSTITUTE(T601,LEFT(T601,1),""))=0,"ERRO: dígitos repetidos",IF(AND(VALUE(MID(T601,13,1))=IF(MOD(SUMPRODUCT(--MID(T601,{1,2,3,4,5,6,7,8,9,10,11,12},1),{5,4,3,2,9,8,7,6,5,4,3,2}),11)&lt;2,0,11-MOD(SUMPRODUCT(--MID(T601,{1,2,3,4,5,6,7,8,9,10,11,12},1),{5,4,3,2,9,8,7,6,5,4,3,2}),11)),VALUE(MID(T601,14,1))=IF(MOD(SUMPRODUCT(--MID(T601,{1,2,3,4,5,6,7,8,9,10,11,12,13},1),{6,5,4,3,2,9,8,7,6,5,4,3,2}),11)&lt;2,0,11-MOD(SUMPRODUCT(--MID(T601,{1,2,3,4,5,6,7,8,9,10,11,12,13},1),{6,5,4,3,2,9,8,7,6,5,4,3,2}),11))),"OK","ERRO: dígito verificador")))))</f>
      </c>
      <c r="V601" s="6">
        <f>IF(T601="","",IF(COUNTIF($T$2:$T$1001,T601)&gt;1,"DUPLICADO","OK"))</f>
      </c>
      <c r="W601" s="6">
        <f>IF(M601="","vazio",IF(OR(AND(LEN(SUBSTITUTE(SUBSTITUTE(SUBSTITUTE(SUBSTITUTE(SUBSTITUTE(SUBSTITUTE(SUBSTITUTE(TRIM(M601),".",""),"/",""),"-","")," ",""),"(",""),")",""),"+",""))=10,LEFT(SUBSTITUTE(SUBSTITUTE(SUBSTITUTE(SUBSTITUTE(SUBSTITUTE(SUBSTITUTE(SUBSTITUTE(TRIM(M601),".",""),"/",""),"-","")," ",""),"(",""),")",""),"+",""),1)&lt;&gt;"0"),AND(LEN(SUBSTITUTE(SUBSTITUTE(SUBSTITUTE(SUBSTITUTE(SUBSTITUTE(SUBSTITUTE(SUBSTITUTE(TRIM(M601),".",""),"/",""),"-","")," ",""),"(",""),")",""),"+",""))=11,LEFT(SUBSTITUTE(SUBSTITUTE(SUBSTITUTE(SUBSTITUTE(SUBSTITUTE(SUBSTITUTE(SUBSTITUTE(TRIM(M601),".",""),"/",""),"-","")," ",""),"(",""),")",""),"+",""),4)="0800")),"OK",IF(AND(LEN(SUBSTITUTE(SUBSTITUTE(SUBSTITUTE(SUBSTITUTE(SUBSTITUTE(SUBSTITUTE(SUBSTITUTE(TRIM(M601),".",""),"/",""),"-","")," ",""),"(",""),")",""),"+",""))=11,MID(SUBSTITUTE(SUBSTITUTE(SUBSTITUTE(SUBSTITUTE(SUBSTITUTE(SUBSTITUTE(SUBSTITUTE(TRIM(M601),".",""),"/",""),"-","")," ",""),"(",""),")",""),"+",""),3,1)="9"),"ERRO: é celular, use a coluna Celular","ERRO: DDD + 8 dígitos ou 0800 + 7")))</f>
      </c>
      <c r="X601" s="6">
        <f>IF(N601="","vazio",IF(AND(LEN(SUBSTITUTE(SUBSTITUTE(SUBSTITUTE(SUBSTITUTE(SUBSTITUTE(SUBSTITUTE(SUBSTITUTE(TRIM(N601),".",""),"/",""),"-","")," ",""),"(",""),")",""),"+",""))=11,MID(SUBSTITUTE(SUBSTITUTE(SUBSTITUTE(SUBSTITUTE(SUBSTITUTE(SUBSTITUTE(SUBSTITUTE(TRIM(N601),".",""),"/",""),"-","")," ",""),"(",""),")",""),"+",""),3,1)="9",LEFT(SUBSTITUTE(SUBSTITUTE(SUBSTITUTE(SUBSTITUTE(SUBSTITUTE(SUBSTITUTE(SUBSTITUTE(TRIM(N601),".",""),"/",""),"-","")," ",""),"(",""),")",""),"+",""),1)&lt;&gt;"0"),"OK",IF(LEN(SUBSTITUTE(SUBSTITUTE(SUBSTITUTE(SUBSTITUTE(SUBSTITUTE(SUBSTITUTE(SUBSTITUTE(TRIM(N601),".",""),"/",""),"-","")," ",""),"(",""),")",""),"+",""))=10,"ERRO: é fixo (ou falta o 9), use a coluna Telefone fixo","ERRO: DDD + 9 + 8 dígitos")))</f>
      </c>
      <c r="Y601" s="6">
        <f>IF(O601="","vazio",IF(AND(ISNUMBER(FIND("@",O601)),ISNUMBER(FIND(".",MID(O601,FIND("@",O601),99))),NOT(ISNUMBER(FIND(" ",TRIM(O601)))),NOT(ISNUMBER(FIND(";",O601))),NOT(ISNUMBER(FIND(",",O601)))),"OK","ERRO: um e-mail válido por linha"))</f>
      </c>
      <c r="Z601" s="6">
        <f>IF(AND(J601="",K601=""),"",IF(AND(J601&lt;&gt;"",K601&lt;&gt;""),"OK","pendente: só um nome (o GR completa ao converter)"))</f>
      </c>
      <c r="AA601" s="6">
        <f>IF(COUNTA(A601:S601)=0,"",IF(AND(A601&lt;&gt;"",B601&lt;&gt;"",C601&lt;&gt;"",D601&lt;&gt;"",E601&lt;&gt;"",F601&lt;&gt;"",G601&lt;&gt;"",H601&lt;&gt;"",OR(J601&lt;&gt;"",K601&lt;&gt;""),OR(M601&lt;&gt;"",N601&lt;&gt;"",O601&lt;&gt;"")),"OK","ERRO: faltam "&amp;IF(A601="","SDR; ","")&amp;IF(B601="","Proprietário; ","")&amp;IF(C601="","Origem; ","")&amp;IF(D601="","Temperatura; ","")&amp;IF(E601="","Segmento; ","")&amp;IF(F601="","Time/Cluster; ","")&amp;IF(G601="","CNPJ; ","")&amp;IF(H601="","Razão Social; ","")&amp;IF(AND(J601="",K601=""),"nome do contato; ","")&amp;IF(AND(M601="",N601="",O601=""),"telefone, celular ou e-mail; ","")))</f>
      </c>
      <c r="AB601" s="6">
        <f>IF(COUNTA(A601:S601)=0,"",IF(AND(U601="OK",V601="OK",LEFT(W601,4)&lt;&gt;"ERRO",LEFT(X601,4)&lt;&gt;"ERRO",LEFT(Y601,4)&lt;&gt;"ERRO",AA601="OK"),"OK","REVISAR"))</f>
      </c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5"/>
      <c r="K602" s="4"/>
      <c r="L602" s="4"/>
      <c r="M602" s="4"/>
      <c r="N602" s="4"/>
      <c r="O602" s="4"/>
      <c r="P602" s="4"/>
      <c r="Q602" s="4"/>
      <c r="R602" s="4"/>
      <c r="S602" s="4"/>
      <c r="T602" s="6">
        <f>IF(G602="","",SUBSTITUTE(SUBSTITUTE(SUBSTITUTE(SUBSTITUTE(SUBSTITUTE(SUBSTITUTE(SUBSTITUTE(TRIM(G602),".",""),"/",""),"-","")," ",""),"(",""),")",""),"+",""))</f>
      </c>
      <c r="U602" s="6">
        <f>IF(T602="","",IF(LEN(T602)&lt;&gt;14,"ERRO: "&amp;LEN(T602)&amp;" dígitos",IF(NOT(ISNUMBER(VALUE(T602))),"ERRO: não numérico",IF(LEN(SUBSTITUTE(T602,LEFT(T602,1),""))=0,"ERRO: dígitos repetidos",IF(AND(VALUE(MID(T602,13,1))=IF(MOD(SUMPRODUCT(--MID(T602,{1,2,3,4,5,6,7,8,9,10,11,12},1),{5,4,3,2,9,8,7,6,5,4,3,2}),11)&lt;2,0,11-MOD(SUMPRODUCT(--MID(T602,{1,2,3,4,5,6,7,8,9,10,11,12},1),{5,4,3,2,9,8,7,6,5,4,3,2}),11)),VALUE(MID(T602,14,1))=IF(MOD(SUMPRODUCT(--MID(T602,{1,2,3,4,5,6,7,8,9,10,11,12,13},1),{6,5,4,3,2,9,8,7,6,5,4,3,2}),11)&lt;2,0,11-MOD(SUMPRODUCT(--MID(T602,{1,2,3,4,5,6,7,8,9,10,11,12,13},1),{6,5,4,3,2,9,8,7,6,5,4,3,2}),11))),"OK","ERRO: dígito verificador")))))</f>
      </c>
      <c r="V602" s="6">
        <f>IF(T602="","",IF(COUNTIF($T$2:$T$1001,T602)&gt;1,"DUPLICADO","OK"))</f>
      </c>
      <c r="W602" s="6">
        <f>IF(M602="","vazio",IF(OR(AND(LEN(SUBSTITUTE(SUBSTITUTE(SUBSTITUTE(SUBSTITUTE(SUBSTITUTE(SUBSTITUTE(SUBSTITUTE(TRIM(M602),".",""),"/",""),"-","")," ",""),"(",""),")",""),"+",""))=10,LEFT(SUBSTITUTE(SUBSTITUTE(SUBSTITUTE(SUBSTITUTE(SUBSTITUTE(SUBSTITUTE(SUBSTITUTE(TRIM(M602),".",""),"/",""),"-","")," ",""),"(",""),")",""),"+",""),1)&lt;&gt;"0"),AND(LEN(SUBSTITUTE(SUBSTITUTE(SUBSTITUTE(SUBSTITUTE(SUBSTITUTE(SUBSTITUTE(SUBSTITUTE(TRIM(M602),".",""),"/",""),"-","")," ",""),"(",""),")",""),"+",""))=11,LEFT(SUBSTITUTE(SUBSTITUTE(SUBSTITUTE(SUBSTITUTE(SUBSTITUTE(SUBSTITUTE(SUBSTITUTE(TRIM(M602),".",""),"/",""),"-","")," ",""),"(",""),")",""),"+",""),4)="0800")),"OK",IF(AND(LEN(SUBSTITUTE(SUBSTITUTE(SUBSTITUTE(SUBSTITUTE(SUBSTITUTE(SUBSTITUTE(SUBSTITUTE(TRIM(M602),".",""),"/",""),"-","")," ",""),"(",""),")",""),"+",""))=11,MID(SUBSTITUTE(SUBSTITUTE(SUBSTITUTE(SUBSTITUTE(SUBSTITUTE(SUBSTITUTE(SUBSTITUTE(TRIM(M602),".",""),"/",""),"-","")," ",""),"(",""),")",""),"+",""),3,1)="9"),"ERRO: é celular, use a coluna Celular","ERRO: DDD + 8 dígitos ou 0800 + 7")))</f>
      </c>
      <c r="X602" s="6">
        <f>IF(N602="","vazio",IF(AND(LEN(SUBSTITUTE(SUBSTITUTE(SUBSTITUTE(SUBSTITUTE(SUBSTITUTE(SUBSTITUTE(SUBSTITUTE(TRIM(N602),".",""),"/",""),"-","")," ",""),"(",""),")",""),"+",""))=11,MID(SUBSTITUTE(SUBSTITUTE(SUBSTITUTE(SUBSTITUTE(SUBSTITUTE(SUBSTITUTE(SUBSTITUTE(TRIM(N602),".",""),"/",""),"-","")," ",""),"(",""),")",""),"+",""),3,1)="9",LEFT(SUBSTITUTE(SUBSTITUTE(SUBSTITUTE(SUBSTITUTE(SUBSTITUTE(SUBSTITUTE(SUBSTITUTE(TRIM(N602),".",""),"/",""),"-","")," ",""),"(",""),")",""),"+",""),1)&lt;&gt;"0"),"OK",IF(LEN(SUBSTITUTE(SUBSTITUTE(SUBSTITUTE(SUBSTITUTE(SUBSTITUTE(SUBSTITUTE(SUBSTITUTE(TRIM(N602),".",""),"/",""),"-","")," ",""),"(",""),")",""),"+",""))=10,"ERRO: é fixo (ou falta o 9), use a coluna Telefone fixo","ERRO: DDD + 9 + 8 dígitos")))</f>
      </c>
      <c r="Y602" s="6">
        <f>IF(O602="","vazio",IF(AND(ISNUMBER(FIND("@",O602)),ISNUMBER(FIND(".",MID(O602,FIND("@",O602),99))),NOT(ISNUMBER(FIND(" ",TRIM(O602)))),NOT(ISNUMBER(FIND(";",O602))),NOT(ISNUMBER(FIND(",",O602)))),"OK","ERRO: um e-mail válido por linha"))</f>
      </c>
      <c r="Z602" s="6">
        <f>IF(AND(J602="",K602=""),"",IF(AND(J602&lt;&gt;"",K602&lt;&gt;""),"OK","pendente: só um nome (o GR completa ao converter)"))</f>
      </c>
      <c r="AA602" s="6">
        <f>IF(COUNTA(A602:S602)=0,"",IF(AND(A602&lt;&gt;"",B602&lt;&gt;"",C602&lt;&gt;"",D602&lt;&gt;"",E602&lt;&gt;"",F602&lt;&gt;"",G602&lt;&gt;"",H602&lt;&gt;"",OR(J602&lt;&gt;"",K602&lt;&gt;""),OR(M602&lt;&gt;"",N602&lt;&gt;"",O602&lt;&gt;"")),"OK","ERRO: faltam "&amp;IF(A602="","SDR; ","")&amp;IF(B602="","Proprietário; ","")&amp;IF(C602="","Origem; ","")&amp;IF(D602="","Temperatura; ","")&amp;IF(E602="","Segmento; ","")&amp;IF(F602="","Time/Cluster; ","")&amp;IF(G602="","CNPJ; ","")&amp;IF(H602="","Razão Social; ","")&amp;IF(AND(J602="",K602=""),"nome do contato; ","")&amp;IF(AND(M602="",N602="",O602=""),"telefone, celular ou e-mail; ","")))</f>
      </c>
      <c r="AB602" s="6">
        <f>IF(COUNTA(A602:S602)=0,"",IF(AND(U602="OK",V602="OK",LEFT(W602,4)&lt;&gt;"ERRO",LEFT(X602,4)&lt;&gt;"ERRO",LEFT(Y602,4)&lt;&gt;"ERRO",AA602="OK"),"OK","REVISAR"))</f>
      </c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5"/>
      <c r="K603" s="4"/>
      <c r="L603" s="4"/>
      <c r="M603" s="4"/>
      <c r="N603" s="4"/>
      <c r="O603" s="4"/>
      <c r="P603" s="4"/>
      <c r="Q603" s="4"/>
      <c r="R603" s="4"/>
      <c r="S603" s="4"/>
      <c r="T603" s="6">
        <f>IF(G603="","",SUBSTITUTE(SUBSTITUTE(SUBSTITUTE(SUBSTITUTE(SUBSTITUTE(SUBSTITUTE(SUBSTITUTE(TRIM(G603),".",""),"/",""),"-","")," ",""),"(",""),")",""),"+",""))</f>
      </c>
      <c r="U603" s="6">
        <f>IF(T603="","",IF(LEN(T603)&lt;&gt;14,"ERRO: "&amp;LEN(T603)&amp;" dígitos",IF(NOT(ISNUMBER(VALUE(T603))),"ERRO: não numérico",IF(LEN(SUBSTITUTE(T603,LEFT(T603,1),""))=0,"ERRO: dígitos repetidos",IF(AND(VALUE(MID(T603,13,1))=IF(MOD(SUMPRODUCT(--MID(T603,{1,2,3,4,5,6,7,8,9,10,11,12},1),{5,4,3,2,9,8,7,6,5,4,3,2}),11)&lt;2,0,11-MOD(SUMPRODUCT(--MID(T603,{1,2,3,4,5,6,7,8,9,10,11,12},1),{5,4,3,2,9,8,7,6,5,4,3,2}),11)),VALUE(MID(T603,14,1))=IF(MOD(SUMPRODUCT(--MID(T603,{1,2,3,4,5,6,7,8,9,10,11,12,13},1),{6,5,4,3,2,9,8,7,6,5,4,3,2}),11)&lt;2,0,11-MOD(SUMPRODUCT(--MID(T603,{1,2,3,4,5,6,7,8,9,10,11,12,13},1),{6,5,4,3,2,9,8,7,6,5,4,3,2}),11))),"OK","ERRO: dígito verificador")))))</f>
      </c>
      <c r="V603" s="6">
        <f>IF(T603="","",IF(COUNTIF($T$2:$T$1001,T603)&gt;1,"DUPLICADO","OK"))</f>
      </c>
      <c r="W603" s="6">
        <f>IF(M603="","vazio",IF(OR(AND(LEN(SUBSTITUTE(SUBSTITUTE(SUBSTITUTE(SUBSTITUTE(SUBSTITUTE(SUBSTITUTE(SUBSTITUTE(TRIM(M603),".",""),"/",""),"-","")," ",""),"(",""),")",""),"+",""))=10,LEFT(SUBSTITUTE(SUBSTITUTE(SUBSTITUTE(SUBSTITUTE(SUBSTITUTE(SUBSTITUTE(SUBSTITUTE(TRIM(M603),".",""),"/",""),"-","")," ",""),"(",""),")",""),"+",""),1)&lt;&gt;"0"),AND(LEN(SUBSTITUTE(SUBSTITUTE(SUBSTITUTE(SUBSTITUTE(SUBSTITUTE(SUBSTITUTE(SUBSTITUTE(TRIM(M603),".",""),"/",""),"-","")," ",""),"(",""),")",""),"+",""))=11,LEFT(SUBSTITUTE(SUBSTITUTE(SUBSTITUTE(SUBSTITUTE(SUBSTITUTE(SUBSTITUTE(SUBSTITUTE(TRIM(M603),".",""),"/",""),"-","")," ",""),"(",""),")",""),"+",""),4)="0800")),"OK",IF(AND(LEN(SUBSTITUTE(SUBSTITUTE(SUBSTITUTE(SUBSTITUTE(SUBSTITUTE(SUBSTITUTE(SUBSTITUTE(TRIM(M603),".",""),"/",""),"-","")," ",""),"(",""),")",""),"+",""))=11,MID(SUBSTITUTE(SUBSTITUTE(SUBSTITUTE(SUBSTITUTE(SUBSTITUTE(SUBSTITUTE(SUBSTITUTE(TRIM(M603),".",""),"/",""),"-","")," ",""),"(",""),")",""),"+",""),3,1)="9"),"ERRO: é celular, use a coluna Celular","ERRO: DDD + 8 dígitos ou 0800 + 7")))</f>
      </c>
      <c r="X603" s="6">
        <f>IF(N603="","vazio",IF(AND(LEN(SUBSTITUTE(SUBSTITUTE(SUBSTITUTE(SUBSTITUTE(SUBSTITUTE(SUBSTITUTE(SUBSTITUTE(TRIM(N603),".",""),"/",""),"-","")," ",""),"(",""),")",""),"+",""))=11,MID(SUBSTITUTE(SUBSTITUTE(SUBSTITUTE(SUBSTITUTE(SUBSTITUTE(SUBSTITUTE(SUBSTITUTE(TRIM(N603),".",""),"/",""),"-","")," ",""),"(",""),")",""),"+",""),3,1)="9",LEFT(SUBSTITUTE(SUBSTITUTE(SUBSTITUTE(SUBSTITUTE(SUBSTITUTE(SUBSTITUTE(SUBSTITUTE(TRIM(N603),".",""),"/",""),"-","")," ",""),"(",""),")",""),"+",""),1)&lt;&gt;"0"),"OK",IF(LEN(SUBSTITUTE(SUBSTITUTE(SUBSTITUTE(SUBSTITUTE(SUBSTITUTE(SUBSTITUTE(SUBSTITUTE(TRIM(N603),".",""),"/",""),"-","")," ",""),"(",""),")",""),"+",""))=10,"ERRO: é fixo (ou falta o 9), use a coluna Telefone fixo","ERRO: DDD + 9 + 8 dígitos")))</f>
      </c>
      <c r="Y603" s="6">
        <f>IF(O603="","vazio",IF(AND(ISNUMBER(FIND("@",O603)),ISNUMBER(FIND(".",MID(O603,FIND("@",O603),99))),NOT(ISNUMBER(FIND(" ",TRIM(O603)))),NOT(ISNUMBER(FIND(";",O603))),NOT(ISNUMBER(FIND(",",O603)))),"OK","ERRO: um e-mail válido por linha"))</f>
      </c>
      <c r="Z603" s="6">
        <f>IF(AND(J603="",K603=""),"",IF(AND(J603&lt;&gt;"",K603&lt;&gt;""),"OK","pendente: só um nome (o GR completa ao converter)"))</f>
      </c>
      <c r="AA603" s="6">
        <f>IF(COUNTA(A603:S603)=0,"",IF(AND(A603&lt;&gt;"",B603&lt;&gt;"",C603&lt;&gt;"",D603&lt;&gt;"",E603&lt;&gt;"",F603&lt;&gt;"",G603&lt;&gt;"",H603&lt;&gt;"",OR(J603&lt;&gt;"",K603&lt;&gt;""),OR(M603&lt;&gt;"",N603&lt;&gt;"",O603&lt;&gt;"")),"OK","ERRO: faltam "&amp;IF(A603="","SDR; ","")&amp;IF(B603="","Proprietário; ","")&amp;IF(C603="","Origem; ","")&amp;IF(D603="","Temperatura; ","")&amp;IF(E603="","Segmento; ","")&amp;IF(F603="","Time/Cluster; ","")&amp;IF(G603="","CNPJ; ","")&amp;IF(H603="","Razão Social; ","")&amp;IF(AND(J603="",K603=""),"nome do contato; ","")&amp;IF(AND(M603="",N603="",O603=""),"telefone, celular ou e-mail; ","")))</f>
      </c>
      <c r="AB603" s="6">
        <f>IF(COUNTA(A603:S603)=0,"",IF(AND(U603="OK",V603="OK",LEFT(W603,4)&lt;&gt;"ERRO",LEFT(X603,4)&lt;&gt;"ERRO",LEFT(Y603,4)&lt;&gt;"ERRO",AA603="OK"),"OK","REVISAR"))</f>
      </c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5"/>
      <c r="K604" s="4"/>
      <c r="L604" s="4"/>
      <c r="M604" s="4"/>
      <c r="N604" s="4"/>
      <c r="O604" s="4"/>
      <c r="P604" s="4"/>
      <c r="Q604" s="4"/>
      <c r="R604" s="4"/>
      <c r="S604" s="4"/>
      <c r="T604" s="6">
        <f>IF(G604="","",SUBSTITUTE(SUBSTITUTE(SUBSTITUTE(SUBSTITUTE(SUBSTITUTE(SUBSTITUTE(SUBSTITUTE(TRIM(G604),".",""),"/",""),"-","")," ",""),"(",""),")",""),"+",""))</f>
      </c>
      <c r="U604" s="6">
        <f>IF(T604="","",IF(LEN(T604)&lt;&gt;14,"ERRO: "&amp;LEN(T604)&amp;" dígitos",IF(NOT(ISNUMBER(VALUE(T604))),"ERRO: não numérico",IF(LEN(SUBSTITUTE(T604,LEFT(T604,1),""))=0,"ERRO: dígitos repetidos",IF(AND(VALUE(MID(T604,13,1))=IF(MOD(SUMPRODUCT(--MID(T604,{1,2,3,4,5,6,7,8,9,10,11,12},1),{5,4,3,2,9,8,7,6,5,4,3,2}),11)&lt;2,0,11-MOD(SUMPRODUCT(--MID(T604,{1,2,3,4,5,6,7,8,9,10,11,12},1),{5,4,3,2,9,8,7,6,5,4,3,2}),11)),VALUE(MID(T604,14,1))=IF(MOD(SUMPRODUCT(--MID(T604,{1,2,3,4,5,6,7,8,9,10,11,12,13},1),{6,5,4,3,2,9,8,7,6,5,4,3,2}),11)&lt;2,0,11-MOD(SUMPRODUCT(--MID(T604,{1,2,3,4,5,6,7,8,9,10,11,12,13},1),{6,5,4,3,2,9,8,7,6,5,4,3,2}),11))),"OK","ERRO: dígito verificador")))))</f>
      </c>
      <c r="V604" s="6">
        <f>IF(T604="","",IF(COUNTIF($T$2:$T$1001,T604)&gt;1,"DUPLICADO","OK"))</f>
      </c>
      <c r="W604" s="6">
        <f>IF(M604="","vazio",IF(OR(AND(LEN(SUBSTITUTE(SUBSTITUTE(SUBSTITUTE(SUBSTITUTE(SUBSTITUTE(SUBSTITUTE(SUBSTITUTE(TRIM(M604),".",""),"/",""),"-","")," ",""),"(",""),")",""),"+",""))=10,LEFT(SUBSTITUTE(SUBSTITUTE(SUBSTITUTE(SUBSTITUTE(SUBSTITUTE(SUBSTITUTE(SUBSTITUTE(TRIM(M604),".",""),"/",""),"-","")," ",""),"(",""),")",""),"+",""),1)&lt;&gt;"0"),AND(LEN(SUBSTITUTE(SUBSTITUTE(SUBSTITUTE(SUBSTITUTE(SUBSTITUTE(SUBSTITUTE(SUBSTITUTE(TRIM(M604),".",""),"/",""),"-","")," ",""),"(",""),")",""),"+",""))=11,LEFT(SUBSTITUTE(SUBSTITUTE(SUBSTITUTE(SUBSTITUTE(SUBSTITUTE(SUBSTITUTE(SUBSTITUTE(TRIM(M604),".",""),"/",""),"-","")," ",""),"(",""),")",""),"+",""),4)="0800")),"OK",IF(AND(LEN(SUBSTITUTE(SUBSTITUTE(SUBSTITUTE(SUBSTITUTE(SUBSTITUTE(SUBSTITUTE(SUBSTITUTE(TRIM(M604),".",""),"/",""),"-","")," ",""),"(",""),")",""),"+",""))=11,MID(SUBSTITUTE(SUBSTITUTE(SUBSTITUTE(SUBSTITUTE(SUBSTITUTE(SUBSTITUTE(SUBSTITUTE(TRIM(M604),".",""),"/",""),"-","")," ",""),"(",""),")",""),"+",""),3,1)="9"),"ERRO: é celular, use a coluna Celular","ERRO: DDD + 8 dígitos ou 0800 + 7")))</f>
      </c>
      <c r="X604" s="6">
        <f>IF(N604="","vazio",IF(AND(LEN(SUBSTITUTE(SUBSTITUTE(SUBSTITUTE(SUBSTITUTE(SUBSTITUTE(SUBSTITUTE(SUBSTITUTE(TRIM(N604),".",""),"/",""),"-","")," ",""),"(",""),")",""),"+",""))=11,MID(SUBSTITUTE(SUBSTITUTE(SUBSTITUTE(SUBSTITUTE(SUBSTITUTE(SUBSTITUTE(SUBSTITUTE(TRIM(N604),".",""),"/",""),"-","")," ",""),"(",""),")",""),"+",""),3,1)="9",LEFT(SUBSTITUTE(SUBSTITUTE(SUBSTITUTE(SUBSTITUTE(SUBSTITUTE(SUBSTITUTE(SUBSTITUTE(TRIM(N604),".",""),"/",""),"-","")," ",""),"(",""),")",""),"+",""),1)&lt;&gt;"0"),"OK",IF(LEN(SUBSTITUTE(SUBSTITUTE(SUBSTITUTE(SUBSTITUTE(SUBSTITUTE(SUBSTITUTE(SUBSTITUTE(TRIM(N604),".",""),"/",""),"-","")," ",""),"(",""),")",""),"+",""))=10,"ERRO: é fixo (ou falta o 9), use a coluna Telefone fixo","ERRO: DDD + 9 + 8 dígitos")))</f>
      </c>
      <c r="Y604" s="6">
        <f>IF(O604="","vazio",IF(AND(ISNUMBER(FIND("@",O604)),ISNUMBER(FIND(".",MID(O604,FIND("@",O604),99))),NOT(ISNUMBER(FIND(" ",TRIM(O604)))),NOT(ISNUMBER(FIND(";",O604))),NOT(ISNUMBER(FIND(",",O604)))),"OK","ERRO: um e-mail válido por linha"))</f>
      </c>
      <c r="Z604" s="6">
        <f>IF(AND(J604="",K604=""),"",IF(AND(J604&lt;&gt;"",K604&lt;&gt;""),"OK","pendente: só um nome (o GR completa ao converter)"))</f>
      </c>
      <c r="AA604" s="6">
        <f>IF(COUNTA(A604:S604)=0,"",IF(AND(A604&lt;&gt;"",B604&lt;&gt;"",C604&lt;&gt;"",D604&lt;&gt;"",E604&lt;&gt;"",F604&lt;&gt;"",G604&lt;&gt;"",H604&lt;&gt;"",OR(J604&lt;&gt;"",K604&lt;&gt;""),OR(M604&lt;&gt;"",N604&lt;&gt;"",O604&lt;&gt;"")),"OK","ERRO: faltam "&amp;IF(A604="","SDR; ","")&amp;IF(B604="","Proprietário; ","")&amp;IF(C604="","Origem; ","")&amp;IF(D604="","Temperatura; ","")&amp;IF(E604="","Segmento; ","")&amp;IF(F604="","Time/Cluster; ","")&amp;IF(G604="","CNPJ; ","")&amp;IF(H604="","Razão Social; ","")&amp;IF(AND(J604="",K604=""),"nome do contato; ","")&amp;IF(AND(M604="",N604="",O604=""),"telefone, celular ou e-mail; ","")))</f>
      </c>
      <c r="AB604" s="6">
        <f>IF(COUNTA(A604:S604)=0,"",IF(AND(U604="OK",V604="OK",LEFT(W604,4)&lt;&gt;"ERRO",LEFT(X604,4)&lt;&gt;"ERRO",LEFT(Y604,4)&lt;&gt;"ERRO",AA604="OK"),"OK","REVISAR"))</f>
      </c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5"/>
      <c r="K605" s="4"/>
      <c r="L605" s="4"/>
      <c r="M605" s="4"/>
      <c r="N605" s="4"/>
      <c r="O605" s="4"/>
      <c r="P605" s="4"/>
      <c r="Q605" s="4"/>
      <c r="R605" s="4"/>
      <c r="S605" s="4"/>
      <c r="T605" s="6">
        <f>IF(G605="","",SUBSTITUTE(SUBSTITUTE(SUBSTITUTE(SUBSTITUTE(SUBSTITUTE(SUBSTITUTE(SUBSTITUTE(TRIM(G605),".",""),"/",""),"-","")," ",""),"(",""),")",""),"+",""))</f>
      </c>
      <c r="U605" s="6">
        <f>IF(T605="","",IF(LEN(T605)&lt;&gt;14,"ERRO: "&amp;LEN(T605)&amp;" dígitos",IF(NOT(ISNUMBER(VALUE(T605))),"ERRO: não numérico",IF(LEN(SUBSTITUTE(T605,LEFT(T605,1),""))=0,"ERRO: dígitos repetidos",IF(AND(VALUE(MID(T605,13,1))=IF(MOD(SUMPRODUCT(--MID(T605,{1,2,3,4,5,6,7,8,9,10,11,12},1),{5,4,3,2,9,8,7,6,5,4,3,2}),11)&lt;2,0,11-MOD(SUMPRODUCT(--MID(T605,{1,2,3,4,5,6,7,8,9,10,11,12},1),{5,4,3,2,9,8,7,6,5,4,3,2}),11)),VALUE(MID(T605,14,1))=IF(MOD(SUMPRODUCT(--MID(T605,{1,2,3,4,5,6,7,8,9,10,11,12,13},1),{6,5,4,3,2,9,8,7,6,5,4,3,2}),11)&lt;2,0,11-MOD(SUMPRODUCT(--MID(T605,{1,2,3,4,5,6,7,8,9,10,11,12,13},1),{6,5,4,3,2,9,8,7,6,5,4,3,2}),11))),"OK","ERRO: dígito verificador")))))</f>
      </c>
      <c r="V605" s="6">
        <f>IF(T605="","",IF(COUNTIF($T$2:$T$1001,T605)&gt;1,"DUPLICADO","OK"))</f>
      </c>
      <c r="W605" s="6">
        <f>IF(M605="","vazio",IF(OR(AND(LEN(SUBSTITUTE(SUBSTITUTE(SUBSTITUTE(SUBSTITUTE(SUBSTITUTE(SUBSTITUTE(SUBSTITUTE(TRIM(M605),".",""),"/",""),"-","")," ",""),"(",""),")",""),"+",""))=10,LEFT(SUBSTITUTE(SUBSTITUTE(SUBSTITUTE(SUBSTITUTE(SUBSTITUTE(SUBSTITUTE(SUBSTITUTE(TRIM(M605),".",""),"/",""),"-","")," ",""),"(",""),")",""),"+",""),1)&lt;&gt;"0"),AND(LEN(SUBSTITUTE(SUBSTITUTE(SUBSTITUTE(SUBSTITUTE(SUBSTITUTE(SUBSTITUTE(SUBSTITUTE(TRIM(M605),".",""),"/",""),"-","")," ",""),"(",""),")",""),"+",""))=11,LEFT(SUBSTITUTE(SUBSTITUTE(SUBSTITUTE(SUBSTITUTE(SUBSTITUTE(SUBSTITUTE(SUBSTITUTE(TRIM(M605),".",""),"/",""),"-","")," ",""),"(",""),")",""),"+",""),4)="0800")),"OK",IF(AND(LEN(SUBSTITUTE(SUBSTITUTE(SUBSTITUTE(SUBSTITUTE(SUBSTITUTE(SUBSTITUTE(SUBSTITUTE(TRIM(M605),".",""),"/",""),"-","")," ",""),"(",""),")",""),"+",""))=11,MID(SUBSTITUTE(SUBSTITUTE(SUBSTITUTE(SUBSTITUTE(SUBSTITUTE(SUBSTITUTE(SUBSTITUTE(TRIM(M605),".",""),"/",""),"-","")," ",""),"(",""),")",""),"+",""),3,1)="9"),"ERRO: é celular, use a coluna Celular","ERRO: DDD + 8 dígitos ou 0800 + 7")))</f>
      </c>
      <c r="X605" s="6">
        <f>IF(N605="","vazio",IF(AND(LEN(SUBSTITUTE(SUBSTITUTE(SUBSTITUTE(SUBSTITUTE(SUBSTITUTE(SUBSTITUTE(SUBSTITUTE(TRIM(N605),".",""),"/",""),"-","")," ",""),"(",""),")",""),"+",""))=11,MID(SUBSTITUTE(SUBSTITUTE(SUBSTITUTE(SUBSTITUTE(SUBSTITUTE(SUBSTITUTE(SUBSTITUTE(TRIM(N605),".",""),"/",""),"-","")," ",""),"(",""),")",""),"+",""),3,1)="9",LEFT(SUBSTITUTE(SUBSTITUTE(SUBSTITUTE(SUBSTITUTE(SUBSTITUTE(SUBSTITUTE(SUBSTITUTE(TRIM(N605),".",""),"/",""),"-","")," ",""),"(",""),")",""),"+",""),1)&lt;&gt;"0"),"OK",IF(LEN(SUBSTITUTE(SUBSTITUTE(SUBSTITUTE(SUBSTITUTE(SUBSTITUTE(SUBSTITUTE(SUBSTITUTE(TRIM(N605),".",""),"/",""),"-","")," ",""),"(",""),")",""),"+",""))=10,"ERRO: é fixo (ou falta o 9), use a coluna Telefone fixo","ERRO: DDD + 9 + 8 dígitos")))</f>
      </c>
      <c r="Y605" s="6">
        <f>IF(O605="","vazio",IF(AND(ISNUMBER(FIND("@",O605)),ISNUMBER(FIND(".",MID(O605,FIND("@",O605),99))),NOT(ISNUMBER(FIND(" ",TRIM(O605)))),NOT(ISNUMBER(FIND(";",O605))),NOT(ISNUMBER(FIND(",",O605)))),"OK","ERRO: um e-mail válido por linha"))</f>
      </c>
      <c r="Z605" s="6">
        <f>IF(AND(J605="",K605=""),"",IF(AND(J605&lt;&gt;"",K605&lt;&gt;""),"OK","pendente: só um nome (o GR completa ao converter)"))</f>
      </c>
      <c r="AA605" s="6">
        <f>IF(COUNTA(A605:S605)=0,"",IF(AND(A605&lt;&gt;"",B605&lt;&gt;"",C605&lt;&gt;"",D605&lt;&gt;"",E605&lt;&gt;"",F605&lt;&gt;"",G605&lt;&gt;"",H605&lt;&gt;"",OR(J605&lt;&gt;"",K605&lt;&gt;""),OR(M605&lt;&gt;"",N605&lt;&gt;"",O605&lt;&gt;"")),"OK","ERRO: faltam "&amp;IF(A605="","SDR; ","")&amp;IF(B605="","Proprietário; ","")&amp;IF(C605="","Origem; ","")&amp;IF(D605="","Temperatura; ","")&amp;IF(E605="","Segmento; ","")&amp;IF(F605="","Time/Cluster; ","")&amp;IF(G605="","CNPJ; ","")&amp;IF(H605="","Razão Social; ","")&amp;IF(AND(J605="",K605=""),"nome do contato; ","")&amp;IF(AND(M605="",N605="",O605=""),"telefone, celular ou e-mail; ","")))</f>
      </c>
      <c r="AB605" s="6">
        <f>IF(COUNTA(A605:S605)=0,"",IF(AND(U605="OK",V605="OK",LEFT(W605,4)&lt;&gt;"ERRO",LEFT(X605,4)&lt;&gt;"ERRO",LEFT(Y605,4)&lt;&gt;"ERRO",AA605="OK"),"OK","REVISAR"))</f>
      </c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5"/>
      <c r="K606" s="4"/>
      <c r="L606" s="4"/>
      <c r="M606" s="4"/>
      <c r="N606" s="4"/>
      <c r="O606" s="4"/>
      <c r="P606" s="4"/>
      <c r="Q606" s="4"/>
      <c r="R606" s="4"/>
      <c r="S606" s="4"/>
      <c r="T606" s="6">
        <f>IF(G606="","",SUBSTITUTE(SUBSTITUTE(SUBSTITUTE(SUBSTITUTE(SUBSTITUTE(SUBSTITUTE(SUBSTITUTE(TRIM(G606),".",""),"/",""),"-","")," ",""),"(",""),")",""),"+",""))</f>
      </c>
      <c r="U606" s="6">
        <f>IF(T606="","",IF(LEN(T606)&lt;&gt;14,"ERRO: "&amp;LEN(T606)&amp;" dígitos",IF(NOT(ISNUMBER(VALUE(T606))),"ERRO: não numérico",IF(LEN(SUBSTITUTE(T606,LEFT(T606,1),""))=0,"ERRO: dígitos repetidos",IF(AND(VALUE(MID(T606,13,1))=IF(MOD(SUMPRODUCT(--MID(T606,{1,2,3,4,5,6,7,8,9,10,11,12},1),{5,4,3,2,9,8,7,6,5,4,3,2}),11)&lt;2,0,11-MOD(SUMPRODUCT(--MID(T606,{1,2,3,4,5,6,7,8,9,10,11,12},1),{5,4,3,2,9,8,7,6,5,4,3,2}),11)),VALUE(MID(T606,14,1))=IF(MOD(SUMPRODUCT(--MID(T606,{1,2,3,4,5,6,7,8,9,10,11,12,13},1),{6,5,4,3,2,9,8,7,6,5,4,3,2}),11)&lt;2,0,11-MOD(SUMPRODUCT(--MID(T606,{1,2,3,4,5,6,7,8,9,10,11,12,13},1),{6,5,4,3,2,9,8,7,6,5,4,3,2}),11))),"OK","ERRO: dígito verificador")))))</f>
      </c>
      <c r="V606" s="6">
        <f>IF(T606="","",IF(COUNTIF($T$2:$T$1001,T606)&gt;1,"DUPLICADO","OK"))</f>
      </c>
      <c r="W606" s="6">
        <f>IF(M606="","vazio",IF(OR(AND(LEN(SUBSTITUTE(SUBSTITUTE(SUBSTITUTE(SUBSTITUTE(SUBSTITUTE(SUBSTITUTE(SUBSTITUTE(TRIM(M606),".",""),"/",""),"-","")," ",""),"(",""),")",""),"+",""))=10,LEFT(SUBSTITUTE(SUBSTITUTE(SUBSTITUTE(SUBSTITUTE(SUBSTITUTE(SUBSTITUTE(SUBSTITUTE(TRIM(M606),".",""),"/",""),"-","")," ",""),"(",""),")",""),"+",""),1)&lt;&gt;"0"),AND(LEN(SUBSTITUTE(SUBSTITUTE(SUBSTITUTE(SUBSTITUTE(SUBSTITUTE(SUBSTITUTE(SUBSTITUTE(TRIM(M606),".",""),"/",""),"-","")," ",""),"(",""),")",""),"+",""))=11,LEFT(SUBSTITUTE(SUBSTITUTE(SUBSTITUTE(SUBSTITUTE(SUBSTITUTE(SUBSTITUTE(SUBSTITUTE(TRIM(M606),".",""),"/",""),"-","")," ",""),"(",""),")",""),"+",""),4)="0800")),"OK",IF(AND(LEN(SUBSTITUTE(SUBSTITUTE(SUBSTITUTE(SUBSTITUTE(SUBSTITUTE(SUBSTITUTE(SUBSTITUTE(TRIM(M606),".",""),"/",""),"-","")," ",""),"(",""),")",""),"+",""))=11,MID(SUBSTITUTE(SUBSTITUTE(SUBSTITUTE(SUBSTITUTE(SUBSTITUTE(SUBSTITUTE(SUBSTITUTE(TRIM(M606),".",""),"/",""),"-","")," ",""),"(",""),")",""),"+",""),3,1)="9"),"ERRO: é celular, use a coluna Celular","ERRO: DDD + 8 dígitos ou 0800 + 7")))</f>
      </c>
      <c r="X606" s="6">
        <f>IF(N606="","vazio",IF(AND(LEN(SUBSTITUTE(SUBSTITUTE(SUBSTITUTE(SUBSTITUTE(SUBSTITUTE(SUBSTITUTE(SUBSTITUTE(TRIM(N606),".",""),"/",""),"-","")," ",""),"(",""),")",""),"+",""))=11,MID(SUBSTITUTE(SUBSTITUTE(SUBSTITUTE(SUBSTITUTE(SUBSTITUTE(SUBSTITUTE(SUBSTITUTE(TRIM(N606),".",""),"/",""),"-","")," ",""),"(",""),")",""),"+",""),3,1)="9",LEFT(SUBSTITUTE(SUBSTITUTE(SUBSTITUTE(SUBSTITUTE(SUBSTITUTE(SUBSTITUTE(SUBSTITUTE(TRIM(N606),".",""),"/",""),"-","")," ",""),"(",""),")",""),"+",""),1)&lt;&gt;"0"),"OK",IF(LEN(SUBSTITUTE(SUBSTITUTE(SUBSTITUTE(SUBSTITUTE(SUBSTITUTE(SUBSTITUTE(SUBSTITUTE(TRIM(N606),".",""),"/",""),"-","")," ",""),"(",""),")",""),"+",""))=10,"ERRO: é fixo (ou falta o 9), use a coluna Telefone fixo","ERRO: DDD + 9 + 8 dígitos")))</f>
      </c>
      <c r="Y606" s="6">
        <f>IF(O606="","vazio",IF(AND(ISNUMBER(FIND("@",O606)),ISNUMBER(FIND(".",MID(O606,FIND("@",O606),99))),NOT(ISNUMBER(FIND(" ",TRIM(O606)))),NOT(ISNUMBER(FIND(";",O606))),NOT(ISNUMBER(FIND(",",O606)))),"OK","ERRO: um e-mail válido por linha"))</f>
      </c>
      <c r="Z606" s="6">
        <f>IF(AND(J606="",K606=""),"",IF(AND(J606&lt;&gt;"",K606&lt;&gt;""),"OK","pendente: só um nome (o GR completa ao converter)"))</f>
      </c>
      <c r="AA606" s="6">
        <f>IF(COUNTA(A606:S606)=0,"",IF(AND(A606&lt;&gt;"",B606&lt;&gt;"",C606&lt;&gt;"",D606&lt;&gt;"",E606&lt;&gt;"",F606&lt;&gt;"",G606&lt;&gt;"",H606&lt;&gt;"",OR(J606&lt;&gt;"",K606&lt;&gt;""),OR(M606&lt;&gt;"",N606&lt;&gt;"",O606&lt;&gt;"")),"OK","ERRO: faltam "&amp;IF(A606="","SDR; ","")&amp;IF(B606="","Proprietário; ","")&amp;IF(C606="","Origem; ","")&amp;IF(D606="","Temperatura; ","")&amp;IF(E606="","Segmento; ","")&amp;IF(F606="","Time/Cluster; ","")&amp;IF(G606="","CNPJ; ","")&amp;IF(H606="","Razão Social; ","")&amp;IF(AND(J606="",K606=""),"nome do contato; ","")&amp;IF(AND(M606="",N606="",O606=""),"telefone, celular ou e-mail; ","")))</f>
      </c>
      <c r="AB606" s="6">
        <f>IF(COUNTA(A606:S606)=0,"",IF(AND(U606="OK",V606="OK",LEFT(W606,4)&lt;&gt;"ERRO",LEFT(X606,4)&lt;&gt;"ERRO",LEFT(Y606,4)&lt;&gt;"ERRO",AA606="OK"),"OK","REVISAR"))</f>
      </c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5"/>
      <c r="K607" s="4"/>
      <c r="L607" s="4"/>
      <c r="M607" s="4"/>
      <c r="N607" s="4"/>
      <c r="O607" s="4"/>
      <c r="P607" s="4"/>
      <c r="Q607" s="4"/>
      <c r="R607" s="4"/>
      <c r="S607" s="4"/>
      <c r="T607" s="6">
        <f>IF(G607="","",SUBSTITUTE(SUBSTITUTE(SUBSTITUTE(SUBSTITUTE(SUBSTITUTE(SUBSTITUTE(SUBSTITUTE(TRIM(G607),".",""),"/",""),"-","")," ",""),"(",""),")",""),"+",""))</f>
      </c>
      <c r="U607" s="6">
        <f>IF(T607="","",IF(LEN(T607)&lt;&gt;14,"ERRO: "&amp;LEN(T607)&amp;" dígitos",IF(NOT(ISNUMBER(VALUE(T607))),"ERRO: não numérico",IF(LEN(SUBSTITUTE(T607,LEFT(T607,1),""))=0,"ERRO: dígitos repetidos",IF(AND(VALUE(MID(T607,13,1))=IF(MOD(SUMPRODUCT(--MID(T607,{1,2,3,4,5,6,7,8,9,10,11,12},1),{5,4,3,2,9,8,7,6,5,4,3,2}),11)&lt;2,0,11-MOD(SUMPRODUCT(--MID(T607,{1,2,3,4,5,6,7,8,9,10,11,12},1),{5,4,3,2,9,8,7,6,5,4,3,2}),11)),VALUE(MID(T607,14,1))=IF(MOD(SUMPRODUCT(--MID(T607,{1,2,3,4,5,6,7,8,9,10,11,12,13},1),{6,5,4,3,2,9,8,7,6,5,4,3,2}),11)&lt;2,0,11-MOD(SUMPRODUCT(--MID(T607,{1,2,3,4,5,6,7,8,9,10,11,12,13},1),{6,5,4,3,2,9,8,7,6,5,4,3,2}),11))),"OK","ERRO: dígito verificador")))))</f>
      </c>
      <c r="V607" s="6">
        <f>IF(T607="","",IF(COUNTIF($T$2:$T$1001,T607)&gt;1,"DUPLICADO","OK"))</f>
      </c>
      <c r="W607" s="6">
        <f>IF(M607="","vazio",IF(OR(AND(LEN(SUBSTITUTE(SUBSTITUTE(SUBSTITUTE(SUBSTITUTE(SUBSTITUTE(SUBSTITUTE(SUBSTITUTE(TRIM(M607),".",""),"/",""),"-","")," ",""),"(",""),")",""),"+",""))=10,LEFT(SUBSTITUTE(SUBSTITUTE(SUBSTITUTE(SUBSTITUTE(SUBSTITUTE(SUBSTITUTE(SUBSTITUTE(TRIM(M607),".",""),"/",""),"-","")," ",""),"(",""),")",""),"+",""),1)&lt;&gt;"0"),AND(LEN(SUBSTITUTE(SUBSTITUTE(SUBSTITUTE(SUBSTITUTE(SUBSTITUTE(SUBSTITUTE(SUBSTITUTE(TRIM(M607),".",""),"/",""),"-","")," ",""),"(",""),")",""),"+",""))=11,LEFT(SUBSTITUTE(SUBSTITUTE(SUBSTITUTE(SUBSTITUTE(SUBSTITUTE(SUBSTITUTE(SUBSTITUTE(TRIM(M607),".",""),"/",""),"-","")," ",""),"(",""),")",""),"+",""),4)="0800")),"OK",IF(AND(LEN(SUBSTITUTE(SUBSTITUTE(SUBSTITUTE(SUBSTITUTE(SUBSTITUTE(SUBSTITUTE(SUBSTITUTE(TRIM(M607),".",""),"/",""),"-","")," ",""),"(",""),")",""),"+",""))=11,MID(SUBSTITUTE(SUBSTITUTE(SUBSTITUTE(SUBSTITUTE(SUBSTITUTE(SUBSTITUTE(SUBSTITUTE(TRIM(M607),".",""),"/",""),"-","")," ",""),"(",""),")",""),"+",""),3,1)="9"),"ERRO: é celular, use a coluna Celular","ERRO: DDD + 8 dígitos ou 0800 + 7")))</f>
      </c>
      <c r="X607" s="6">
        <f>IF(N607="","vazio",IF(AND(LEN(SUBSTITUTE(SUBSTITUTE(SUBSTITUTE(SUBSTITUTE(SUBSTITUTE(SUBSTITUTE(SUBSTITUTE(TRIM(N607),".",""),"/",""),"-","")," ",""),"(",""),")",""),"+",""))=11,MID(SUBSTITUTE(SUBSTITUTE(SUBSTITUTE(SUBSTITUTE(SUBSTITUTE(SUBSTITUTE(SUBSTITUTE(TRIM(N607),".",""),"/",""),"-","")," ",""),"(",""),")",""),"+",""),3,1)="9",LEFT(SUBSTITUTE(SUBSTITUTE(SUBSTITUTE(SUBSTITUTE(SUBSTITUTE(SUBSTITUTE(SUBSTITUTE(TRIM(N607),".",""),"/",""),"-","")," ",""),"(",""),")",""),"+",""),1)&lt;&gt;"0"),"OK",IF(LEN(SUBSTITUTE(SUBSTITUTE(SUBSTITUTE(SUBSTITUTE(SUBSTITUTE(SUBSTITUTE(SUBSTITUTE(TRIM(N607),".",""),"/",""),"-","")," ",""),"(",""),")",""),"+",""))=10,"ERRO: é fixo (ou falta o 9), use a coluna Telefone fixo","ERRO: DDD + 9 + 8 dígitos")))</f>
      </c>
      <c r="Y607" s="6">
        <f>IF(O607="","vazio",IF(AND(ISNUMBER(FIND("@",O607)),ISNUMBER(FIND(".",MID(O607,FIND("@",O607),99))),NOT(ISNUMBER(FIND(" ",TRIM(O607)))),NOT(ISNUMBER(FIND(";",O607))),NOT(ISNUMBER(FIND(",",O607)))),"OK","ERRO: um e-mail válido por linha"))</f>
      </c>
      <c r="Z607" s="6">
        <f>IF(AND(J607="",K607=""),"",IF(AND(J607&lt;&gt;"",K607&lt;&gt;""),"OK","pendente: só um nome (o GR completa ao converter)"))</f>
      </c>
      <c r="AA607" s="6">
        <f>IF(COUNTA(A607:S607)=0,"",IF(AND(A607&lt;&gt;"",B607&lt;&gt;"",C607&lt;&gt;"",D607&lt;&gt;"",E607&lt;&gt;"",F607&lt;&gt;"",G607&lt;&gt;"",H607&lt;&gt;"",OR(J607&lt;&gt;"",K607&lt;&gt;""),OR(M607&lt;&gt;"",N607&lt;&gt;"",O607&lt;&gt;"")),"OK","ERRO: faltam "&amp;IF(A607="","SDR; ","")&amp;IF(B607="","Proprietário; ","")&amp;IF(C607="","Origem; ","")&amp;IF(D607="","Temperatura; ","")&amp;IF(E607="","Segmento; ","")&amp;IF(F607="","Time/Cluster; ","")&amp;IF(G607="","CNPJ; ","")&amp;IF(H607="","Razão Social; ","")&amp;IF(AND(J607="",K607=""),"nome do contato; ","")&amp;IF(AND(M607="",N607="",O607=""),"telefone, celular ou e-mail; ","")))</f>
      </c>
      <c r="AB607" s="6">
        <f>IF(COUNTA(A607:S607)=0,"",IF(AND(U607="OK",V607="OK",LEFT(W607,4)&lt;&gt;"ERRO",LEFT(X607,4)&lt;&gt;"ERRO",LEFT(Y607,4)&lt;&gt;"ERRO",AA607="OK"),"OK","REVISAR"))</f>
      </c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5"/>
      <c r="K608" s="4"/>
      <c r="L608" s="4"/>
      <c r="M608" s="4"/>
      <c r="N608" s="4"/>
      <c r="O608" s="4"/>
      <c r="P608" s="4"/>
      <c r="Q608" s="4"/>
      <c r="R608" s="4"/>
      <c r="S608" s="4"/>
      <c r="T608" s="6">
        <f>IF(G608="","",SUBSTITUTE(SUBSTITUTE(SUBSTITUTE(SUBSTITUTE(SUBSTITUTE(SUBSTITUTE(SUBSTITUTE(TRIM(G608),".",""),"/",""),"-","")," ",""),"(",""),")",""),"+",""))</f>
      </c>
      <c r="U608" s="6">
        <f>IF(T608="","",IF(LEN(T608)&lt;&gt;14,"ERRO: "&amp;LEN(T608)&amp;" dígitos",IF(NOT(ISNUMBER(VALUE(T608))),"ERRO: não numérico",IF(LEN(SUBSTITUTE(T608,LEFT(T608,1),""))=0,"ERRO: dígitos repetidos",IF(AND(VALUE(MID(T608,13,1))=IF(MOD(SUMPRODUCT(--MID(T608,{1,2,3,4,5,6,7,8,9,10,11,12},1),{5,4,3,2,9,8,7,6,5,4,3,2}),11)&lt;2,0,11-MOD(SUMPRODUCT(--MID(T608,{1,2,3,4,5,6,7,8,9,10,11,12},1),{5,4,3,2,9,8,7,6,5,4,3,2}),11)),VALUE(MID(T608,14,1))=IF(MOD(SUMPRODUCT(--MID(T608,{1,2,3,4,5,6,7,8,9,10,11,12,13},1),{6,5,4,3,2,9,8,7,6,5,4,3,2}),11)&lt;2,0,11-MOD(SUMPRODUCT(--MID(T608,{1,2,3,4,5,6,7,8,9,10,11,12,13},1),{6,5,4,3,2,9,8,7,6,5,4,3,2}),11))),"OK","ERRO: dígito verificador")))))</f>
      </c>
      <c r="V608" s="6">
        <f>IF(T608="","",IF(COUNTIF($T$2:$T$1001,T608)&gt;1,"DUPLICADO","OK"))</f>
      </c>
      <c r="W608" s="6">
        <f>IF(M608="","vazio",IF(OR(AND(LEN(SUBSTITUTE(SUBSTITUTE(SUBSTITUTE(SUBSTITUTE(SUBSTITUTE(SUBSTITUTE(SUBSTITUTE(TRIM(M608),".",""),"/",""),"-","")," ",""),"(",""),")",""),"+",""))=10,LEFT(SUBSTITUTE(SUBSTITUTE(SUBSTITUTE(SUBSTITUTE(SUBSTITUTE(SUBSTITUTE(SUBSTITUTE(TRIM(M608),".",""),"/",""),"-","")," ",""),"(",""),")",""),"+",""),1)&lt;&gt;"0"),AND(LEN(SUBSTITUTE(SUBSTITUTE(SUBSTITUTE(SUBSTITUTE(SUBSTITUTE(SUBSTITUTE(SUBSTITUTE(TRIM(M608),".",""),"/",""),"-","")," ",""),"(",""),")",""),"+",""))=11,LEFT(SUBSTITUTE(SUBSTITUTE(SUBSTITUTE(SUBSTITUTE(SUBSTITUTE(SUBSTITUTE(SUBSTITUTE(TRIM(M608),".",""),"/",""),"-","")," ",""),"(",""),")",""),"+",""),4)="0800")),"OK",IF(AND(LEN(SUBSTITUTE(SUBSTITUTE(SUBSTITUTE(SUBSTITUTE(SUBSTITUTE(SUBSTITUTE(SUBSTITUTE(TRIM(M608),".",""),"/",""),"-","")," ",""),"(",""),")",""),"+",""))=11,MID(SUBSTITUTE(SUBSTITUTE(SUBSTITUTE(SUBSTITUTE(SUBSTITUTE(SUBSTITUTE(SUBSTITUTE(TRIM(M608),".",""),"/",""),"-","")," ",""),"(",""),")",""),"+",""),3,1)="9"),"ERRO: é celular, use a coluna Celular","ERRO: DDD + 8 dígitos ou 0800 + 7")))</f>
      </c>
      <c r="X608" s="6">
        <f>IF(N608="","vazio",IF(AND(LEN(SUBSTITUTE(SUBSTITUTE(SUBSTITUTE(SUBSTITUTE(SUBSTITUTE(SUBSTITUTE(SUBSTITUTE(TRIM(N608),".",""),"/",""),"-","")," ",""),"(",""),")",""),"+",""))=11,MID(SUBSTITUTE(SUBSTITUTE(SUBSTITUTE(SUBSTITUTE(SUBSTITUTE(SUBSTITUTE(SUBSTITUTE(TRIM(N608),".",""),"/",""),"-","")," ",""),"(",""),")",""),"+",""),3,1)="9",LEFT(SUBSTITUTE(SUBSTITUTE(SUBSTITUTE(SUBSTITUTE(SUBSTITUTE(SUBSTITUTE(SUBSTITUTE(TRIM(N608),".",""),"/",""),"-","")," ",""),"(",""),")",""),"+",""),1)&lt;&gt;"0"),"OK",IF(LEN(SUBSTITUTE(SUBSTITUTE(SUBSTITUTE(SUBSTITUTE(SUBSTITUTE(SUBSTITUTE(SUBSTITUTE(TRIM(N608),".",""),"/",""),"-","")," ",""),"(",""),")",""),"+",""))=10,"ERRO: é fixo (ou falta o 9), use a coluna Telefone fixo","ERRO: DDD + 9 + 8 dígitos")))</f>
      </c>
      <c r="Y608" s="6">
        <f>IF(O608="","vazio",IF(AND(ISNUMBER(FIND("@",O608)),ISNUMBER(FIND(".",MID(O608,FIND("@",O608),99))),NOT(ISNUMBER(FIND(" ",TRIM(O608)))),NOT(ISNUMBER(FIND(";",O608))),NOT(ISNUMBER(FIND(",",O608)))),"OK","ERRO: um e-mail válido por linha"))</f>
      </c>
      <c r="Z608" s="6">
        <f>IF(AND(J608="",K608=""),"",IF(AND(J608&lt;&gt;"",K608&lt;&gt;""),"OK","pendente: só um nome (o GR completa ao converter)"))</f>
      </c>
      <c r="AA608" s="6">
        <f>IF(COUNTA(A608:S608)=0,"",IF(AND(A608&lt;&gt;"",B608&lt;&gt;"",C608&lt;&gt;"",D608&lt;&gt;"",E608&lt;&gt;"",F608&lt;&gt;"",G608&lt;&gt;"",H608&lt;&gt;"",OR(J608&lt;&gt;"",K608&lt;&gt;""),OR(M608&lt;&gt;"",N608&lt;&gt;"",O608&lt;&gt;"")),"OK","ERRO: faltam "&amp;IF(A608="","SDR; ","")&amp;IF(B608="","Proprietário; ","")&amp;IF(C608="","Origem; ","")&amp;IF(D608="","Temperatura; ","")&amp;IF(E608="","Segmento; ","")&amp;IF(F608="","Time/Cluster; ","")&amp;IF(G608="","CNPJ; ","")&amp;IF(H608="","Razão Social; ","")&amp;IF(AND(J608="",K608=""),"nome do contato; ","")&amp;IF(AND(M608="",N608="",O608=""),"telefone, celular ou e-mail; ","")))</f>
      </c>
      <c r="AB608" s="6">
        <f>IF(COUNTA(A608:S608)=0,"",IF(AND(U608="OK",V608="OK",LEFT(W608,4)&lt;&gt;"ERRO",LEFT(X608,4)&lt;&gt;"ERRO",LEFT(Y608,4)&lt;&gt;"ERRO",AA608="OK"),"OK","REVISAR"))</f>
      </c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5"/>
      <c r="K609" s="4"/>
      <c r="L609" s="4"/>
      <c r="M609" s="4"/>
      <c r="N609" s="4"/>
      <c r="O609" s="4"/>
      <c r="P609" s="4"/>
      <c r="Q609" s="4"/>
      <c r="R609" s="4"/>
      <c r="S609" s="4"/>
      <c r="T609" s="6">
        <f>IF(G609="","",SUBSTITUTE(SUBSTITUTE(SUBSTITUTE(SUBSTITUTE(SUBSTITUTE(SUBSTITUTE(SUBSTITUTE(TRIM(G609),".",""),"/",""),"-","")," ",""),"(",""),")",""),"+",""))</f>
      </c>
      <c r="U609" s="6">
        <f>IF(T609="","",IF(LEN(T609)&lt;&gt;14,"ERRO: "&amp;LEN(T609)&amp;" dígitos",IF(NOT(ISNUMBER(VALUE(T609))),"ERRO: não numérico",IF(LEN(SUBSTITUTE(T609,LEFT(T609,1),""))=0,"ERRO: dígitos repetidos",IF(AND(VALUE(MID(T609,13,1))=IF(MOD(SUMPRODUCT(--MID(T609,{1,2,3,4,5,6,7,8,9,10,11,12},1),{5,4,3,2,9,8,7,6,5,4,3,2}),11)&lt;2,0,11-MOD(SUMPRODUCT(--MID(T609,{1,2,3,4,5,6,7,8,9,10,11,12},1),{5,4,3,2,9,8,7,6,5,4,3,2}),11)),VALUE(MID(T609,14,1))=IF(MOD(SUMPRODUCT(--MID(T609,{1,2,3,4,5,6,7,8,9,10,11,12,13},1),{6,5,4,3,2,9,8,7,6,5,4,3,2}),11)&lt;2,0,11-MOD(SUMPRODUCT(--MID(T609,{1,2,3,4,5,6,7,8,9,10,11,12,13},1),{6,5,4,3,2,9,8,7,6,5,4,3,2}),11))),"OK","ERRO: dígito verificador")))))</f>
      </c>
      <c r="V609" s="6">
        <f>IF(T609="","",IF(COUNTIF($T$2:$T$1001,T609)&gt;1,"DUPLICADO","OK"))</f>
      </c>
      <c r="W609" s="6">
        <f>IF(M609="","vazio",IF(OR(AND(LEN(SUBSTITUTE(SUBSTITUTE(SUBSTITUTE(SUBSTITUTE(SUBSTITUTE(SUBSTITUTE(SUBSTITUTE(TRIM(M609),".",""),"/",""),"-","")," ",""),"(",""),")",""),"+",""))=10,LEFT(SUBSTITUTE(SUBSTITUTE(SUBSTITUTE(SUBSTITUTE(SUBSTITUTE(SUBSTITUTE(SUBSTITUTE(TRIM(M609),".",""),"/",""),"-","")," ",""),"(",""),")",""),"+",""),1)&lt;&gt;"0"),AND(LEN(SUBSTITUTE(SUBSTITUTE(SUBSTITUTE(SUBSTITUTE(SUBSTITUTE(SUBSTITUTE(SUBSTITUTE(TRIM(M609),".",""),"/",""),"-","")," ",""),"(",""),")",""),"+",""))=11,LEFT(SUBSTITUTE(SUBSTITUTE(SUBSTITUTE(SUBSTITUTE(SUBSTITUTE(SUBSTITUTE(SUBSTITUTE(TRIM(M609),".",""),"/",""),"-","")," ",""),"(",""),")",""),"+",""),4)="0800")),"OK",IF(AND(LEN(SUBSTITUTE(SUBSTITUTE(SUBSTITUTE(SUBSTITUTE(SUBSTITUTE(SUBSTITUTE(SUBSTITUTE(TRIM(M609),".",""),"/",""),"-","")," ",""),"(",""),")",""),"+",""))=11,MID(SUBSTITUTE(SUBSTITUTE(SUBSTITUTE(SUBSTITUTE(SUBSTITUTE(SUBSTITUTE(SUBSTITUTE(TRIM(M609),".",""),"/",""),"-","")," ",""),"(",""),")",""),"+",""),3,1)="9"),"ERRO: é celular, use a coluna Celular","ERRO: DDD + 8 dígitos ou 0800 + 7")))</f>
      </c>
      <c r="X609" s="6">
        <f>IF(N609="","vazio",IF(AND(LEN(SUBSTITUTE(SUBSTITUTE(SUBSTITUTE(SUBSTITUTE(SUBSTITUTE(SUBSTITUTE(SUBSTITUTE(TRIM(N609),".",""),"/",""),"-","")," ",""),"(",""),")",""),"+",""))=11,MID(SUBSTITUTE(SUBSTITUTE(SUBSTITUTE(SUBSTITUTE(SUBSTITUTE(SUBSTITUTE(SUBSTITUTE(TRIM(N609),".",""),"/",""),"-","")," ",""),"(",""),")",""),"+",""),3,1)="9",LEFT(SUBSTITUTE(SUBSTITUTE(SUBSTITUTE(SUBSTITUTE(SUBSTITUTE(SUBSTITUTE(SUBSTITUTE(TRIM(N609),".",""),"/",""),"-","")," ",""),"(",""),")",""),"+",""),1)&lt;&gt;"0"),"OK",IF(LEN(SUBSTITUTE(SUBSTITUTE(SUBSTITUTE(SUBSTITUTE(SUBSTITUTE(SUBSTITUTE(SUBSTITUTE(TRIM(N609),".",""),"/",""),"-","")," ",""),"(",""),")",""),"+",""))=10,"ERRO: é fixo (ou falta o 9), use a coluna Telefone fixo","ERRO: DDD + 9 + 8 dígitos")))</f>
      </c>
      <c r="Y609" s="6">
        <f>IF(O609="","vazio",IF(AND(ISNUMBER(FIND("@",O609)),ISNUMBER(FIND(".",MID(O609,FIND("@",O609),99))),NOT(ISNUMBER(FIND(" ",TRIM(O609)))),NOT(ISNUMBER(FIND(";",O609))),NOT(ISNUMBER(FIND(",",O609)))),"OK","ERRO: um e-mail válido por linha"))</f>
      </c>
      <c r="Z609" s="6">
        <f>IF(AND(J609="",K609=""),"",IF(AND(J609&lt;&gt;"",K609&lt;&gt;""),"OK","pendente: só um nome (o GR completa ao converter)"))</f>
      </c>
      <c r="AA609" s="6">
        <f>IF(COUNTA(A609:S609)=0,"",IF(AND(A609&lt;&gt;"",B609&lt;&gt;"",C609&lt;&gt;"",D609&lt;&gt;"",E609&lt;&gt;"",F609&lt;&gt;"",G609&lt;&gt;"",H609&lt;&gt;"",OR(J609&lt;&gt;"",K609&lt;&gt;""),OR(M609&lt;&gt;"",N609&lt;&gt;"",O609&lt;&gt;"")),"OK","ERRO: faltam "&amp;IF(A609="","SDR; ","")&amp;IF(B609="","Proprietário; ","")&amp;IF(C609="","Origem; ","")&amp;IF(D609="","Temperatura; ","")&amp;IF(E609="","Segmento; ","")&amp;IF(F609="","Time/Cluster; ","")&amp;IF(G609="","CNPJ; ","")&amp;IF(H609="","Razão Social; ","")&amp;IF(AND(J609="",K609=""),"nome do contato; ","")&amp;IF(AND(M609="",N609="",O609=""),"telefone, celular ou e-mail; ","")))</f>
      </c>
      <c r="AB609" s="6">
        <f>IF(COUNTA(A609:S609)=0,"",IF(AND(U609="OK",V609="OK",LEFT(W609,4)&lt;&gt;"ERRO",LEFT(X609,4)&lt;&gt;"ERRO",LEFT(Y609,4)&lt;&gt;"ERRO",AA609="OK"),"OK","REVISAR"))</f>
      </c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5"/>
      <c r="K610" s="4"/>
      <c r="L610" s="4"/>
      <c r="M610" s="4"/>
      <c r="N610" s="4"/>
      <c r="O610" s="4"/>
      <c r="P610" s="4"/>
      <c r="Q610" s="4"/>
      <c r="R610" s="4"/>
      <c r="S610" s="4"/>
      <c r="T610" s="6">
        <f>IF(G610="","",SUBSTITUTE(SUBSTITUTE(SUBSTITUTE(SUBSTITUTE(SUBSTITUTE(SUBSTITUTE(SUBSTITUTE(TRIM(G610),".",""),"/",""),"-","")," ",""),"(",""),")",""),"+",""))</f>
      </c>
      <c r="U610" s="6">
        <f>IF(T610="","",IF(LEN(T610)&lt;&gt;14,"ERRO: "&amp;LEN(T610)&amp;" dígitos",IF(NOT(ISNUMBER(VALUE(T610))),"ERRO: não numérico",IF(LEN(SUBSTITUTE(T610,LEFT(T610,1),""))=0,"ERRO: dígitos repetidos",IF(AND(VALUE(MID(T610,13,1))=IF(MOD(SUMPRODUCT(--MID(T610,{1,2,3,4,5,6,7,8,9,10,11,12},1),{5,4,3,2,9,8,7,6,5,4,3,2}),11)&lt;2,0,11-MOD(SUMPRODUCT(--MID(T610,{1,2,3,4,5,6,7,8,9,10,11,12},1),{5,4,3,2,9,8,7,6,5,4,3,2}),11)),VALUE(MID(T610,14,1))=IF(MOD(SUMPRODUCT(--MID(T610,{1,2,3,4,5,6,7,8,9,10,11,12,13},1),{6,5,4,3,2,9,8,7,6,5,4,3,2}),11)&lt;2,0,11-MOD(SUMPRODUCT(--MID(T610,{1,2,3,4,5,6,7,8,9,10,11,12,13},1),{6,5,4,3,2,9,8,7,6,5,4,3,2}),11))),"OK","ERRO: dígito verificador")))))</f>
      </c>
      <c r="V610" s="6">
        <f>IF(T610="","",IF(COUNTIF($T$2:$T$1001,T610)&gt;1,"DUPLICADO","OK"))</f>
      </c>
      <c r="W610" s="6">
        <f>IF(M610="","vazio",IF(OR(AND(LEN(SUBSTITUTE(SUBSTITUTE(SUBSTITUTE(SUBSTITUTE(SUBSTITUTE(SUBSTITUTE(SUBSTITUTE(TRIM(M610),".",""),"/",""),"-","")," ",""),"(",""),")",""),"+",""))=10,LEFT(SUBSTITUTE(SUBSTITUTE(SUBSTITUTE(SUBSTITUTE(SUBSTITUTE(SUBSTITUTE(SUBSTITUTE(TRIM(M610),".",""),"/",""),"-","")," ",""),"(",""),")",""),"+",""),1)&lt;&gt;"0"),AND(LEN(SUBSTITUTE(SUBSTITUTE(SUBSTITUTE(SUBSTITUTE(SUBSTITUTE(SUBSTITUTE(SUBSTITUTE(TRIM(M610),".",""),"/",""),"-","")," ",""),"(",""),")",""),"+",""))=11,LEFT(SUBSTITUTE(SUBSTITUTE(SUBSTITUTE(SUBSTITUTE(SUBSTITUTE(SUBSTITUTE(SUBSTITUTE(TRIM(M610),".",""),"/",""),"-","")," ",""),"(",""),")",""),"+",""),4)="0800")),"OK",IF(AND(LEN(SUBSTITUTE(SUBSTITUTE(SUBSTITUTE(SUBSTITUTE(SUBSTITUTE(SUBSTITUTE(SUBSTITUTE(TRIM(M610),".",""),"/",""),"-","")," ",""),"(",""),")",""),"+",""))=11,MID(SUBSTITUTE(SUBSTITUTE(SUBSTITUTE(SUBSTITUTE(SUBSTITUTE(SUBSTITUTE(SUBSTITUTE(TRIM(M610),".",""),"/",""),"-","")," ",""),"(",""),")",""),"+",""),3,1)="9"),"ERRO: é celular, use a coluna Celular","ERRO: DDD + 8 dígitos ou 0800 + 7")))</f>
      </c>
      <c r="X610" s="6">
        <f>IF(N610="","vazio",IF(AND(LEN(SUBSTITUTE(SUBSTITUTE(SUBSTITUTE(SUBSTITUTE(SUBSTITUTE(SUBSTITUTE(SUBSTITUTE(TRIM(N610),".",""),"/",""),"-","")," ",""),"(",""),")",""),"+",""))=11,MID(SUBSTITUTE(SUBSTITUTE(SUBSTITUTE(SUBSTITUTE(SUBSTITUTE(SUBSTITUTE(SUBSTITUTE(TRIM(N610),".",""),"/",""),"-","")," ",""),"(",""),")",""),"+",""),3,1)="9",LEFT(SUBSTITUTE(SUBSTITUTE(SUBSTITUTE(SUBSTITUTE(SUBSTITUTE(SUBSTITUTE(SUBSTITUTE(TRIM(N610),".",""),"/",""),"-","")," ",""),"(",""),")",""),"+",""),1)&lt;&gt;"0"),"OK",IF(LEN(SUBSTITUTE(SUBSTITUTE(SUBSTITUTE(SUBSTITUTE(SUBSTITUTE(SUBSTITUTE(SUBSTITUTE(TRIM(N610),".",""),"/",""),"-","")," ",""),"(",""),")",""),"+",""))=10,"ERRO: é fixo (ou falta o 9), use a coluna Telefone fixo","ERRO: DDD + 9 + 8 dígitos")))</f>
      </c>
      <c r="Y610" s="6">
        <f>IF(O610="","vazio",IF(AND(ISNUMBER(FIND("@",O610)),ISNUMBER(FIND(".",MID(O610,FIND("@",O610),99))),NOT(ISNUMBER(FIND(" ",TRIM(O610)))),NOT(ISNUMBER(FIND(";",O610))),NOT(ISNUMBER(FIND(",",O610)))),"OK","ERRO: um e-mail válido por linha"))</f>
      </c>
      <c r="Z610" s="6">
        <f>IF(AND(J610="",K610=""),"",IF(AND(J610&lt;&gt;"",K610&lt;&gt;""),"OK","pendente: só um nome (o GR completa ao converter)"))</f>
      </c>
      <c r="AA610" s="6">
        <f>IF(COUNTA(A610:S610)=0,"",IF(AND(A610&lt;&gt;"",B610&lt;&gt;"",C610&lt;&gt;"",D610&lt;&gt;"",E610&lt;&gt;"",F610&lt;&gt;"",G610&lt;&gt;"",H610&lt;&gt;"",OR(J610&lt;&gt;"",K610&lt;&gt;""),OR(M610&lt;&gt;"",N610&lt;&gt;"",O610&lt;&gt;"")),"OK","ERRO: faltam "&amp;IF(A610="","SDR; ","")&amp;IF(B610="","Proprietário; ","")&amp;IF(C610="","Origem; ","")&amp;IF(D610="","Temperatura; ","")&amp;IF(E610="","Segmento; ","")&amp;IF(F610="","Time/Cluster; ","")&amp;IF(G610="","CNPJ; ","")&amp;IF(H610="","Razão Social; ","")&amp;IF(AND(J610="",K610=""),"nome do contato; ","")&amp;IF(AND(M610="",N610="",O610=""),"telefone, celular ou e-mail; ","")))</f>
      </c>
      <c r="AB610" s="6">
        <f>IF(COUNTA(A610:S610)=0,"",IF(AND(U610="OK",V610="OK",LEFT(W610,4)&lt;&gt;"ERRO",LEFT(X610,4)&lt;&gt;"ERRO",LEFT(Y610,4)&lt;&gt;"ERRO",AA610="OK"),"OK","REVISAR"))</f>
      </c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5"/>
      <c r="K611" s="4"/>
      <c r="L611" s="4"/>
      <c r="M611" s="4"/>
      <c r="N611" s="4"/>
      <c r="O611" s="4"/>
      <c r="P611" s="4"/>
      <c r="Q611" s="4"/>
      <c r="R611" s="4"/>
      <c r="S611" s="4"/>
      <c r="T611" s="6">
        <f>IF(G611="","",SUBSTITUTE(SUBSTITUTE(SUBSTITUTE(SUBSTITUTE(SUBSTITUTE(SUBSTITUTE(SUBSTITUTE(TRIM(G611),".",""),"/",""),"-","")," ",""),"(",""),")",""),"+",""))</f>
      </c>
      <c r="U611" s="6">
        <f>IF(T611="","",IF(LEN(T611)&lt;&gt;14,"ERRO: "&amp;LEN(T611)&amp;" dígitos",IF(NOT(ISNUMBER(VALUE(T611))),"ERRO: não numérico",IF(LEN(SUBSTITUTE(T611,LEFT(T611,1),""))=0,"ERRO: dígitos repetidos",IF(AND(VALUE(MID(T611,13,1))=IF(MOD(SUMPRODUCT(--MID(T611,{1,2,3,4,5,6,7,8,9,10,11,12},1),{5,4,3,2,9,8,7,6,5,4,3,2}),11)&lt;2,0,11-MOD(SUMPRODUCT(--MID(T611,{1,2,3,4,5,6,7,8,9,10,11,12},1),{5,4,3,2,9,8,7,6,5,4,3,2}),11)),VALUE(MID(T611,14,1))=IF(MOD(SUMPRODUCT(--MID(T611,{1,2,3,4,5,6,7,8,9,10,11,12,13},1),{6,5,4,3,2,9,8,7,6,5,4,3,2}),11)&lt;2,0,11-MOD(SUMPRODUCT(--MID(T611,{1,2,3,4,5,6,7,8,9,10,11,12,13},1),{6,5,4,3,2,9,8,7,6,5,4,3,2}),11))),"OK","ERRO: dígito verificador")))))</f>
      </c>
      <c r="V611" s="6">
        <f>IF(T611="","",IF(COUNTIF($T$2:$T$1001,T611)&gt;1,"DUPLICADO","OK"))</f>
      </c>
      <c r="W611" s="6">
        <f>IF(M611="","vazio",IF(OR(AND(LEN(SUBSTITUTE(SUBSTITUTE(SUBSTITUTE(SUBSTITUTE(SUBSTITUTE(SUBSTITUTE(SUBSTITUTE(TRIM(M611),".",""),"/",""),"-","")," ",""),"(",""),")",""),"+",""))=10,LEFT(SUBSTITUTE(SUBSTITUTE(SUBSTITUTE(SUBSTITUTE(SUBSTITUTE(SUBSTITUTE(SUBSTITUTE(TRIM(M611),".",""),"/",""),"-","")," ",""),"(",""),")",""),"+",""),1)&lt;&gt;"0"),AND(LEN(SUBSTITUTE(SUBSTITUTE(SUBSTITUTE(SUBSTITUTE(SUBSTITUTE(SUBSTITUTE(SUBSTITUTE(TRIM(M611),".",""),"/",""),"-","")," ",""),"(",""),")",""),"+",""))=11,LEFT(SUBSTITUTE(SUBSTITUTE(SUBSTITUTE(SUBSTITUTE(SUBSTITUTE(SUBSTITUTE(SUBSTITUTE(TRIM(M611),".",""),"/",""),"-","")," ",""),"(",""),")",""),"+",""),4)="0800")),"OK",IF(AND(LEN(SUBSTITUTE(SUBSTITUTE(SUBSTITUTE(SUBSTITUTE(SUBSTITUTE(SUBSTITUTE(SUBSTITUTE(TRIM(M611),".",""),"/",""),"-","")," ",""),"(",""),")",""),"+",""))=11,MID(SUBSTITUTE(SUBSTITUTE(SUBSTITUTE(SUBSTITUTE(SUBSTITUTE(SUBSTITUTE(SUBSTITUTE(TRIM(M611),".",""),"/",""),"-","")," ",""),"(",""),")",""),"+",""),3,1)="9"),"ERRO: é celular, use a coluna Celular","ERRO: DDD + 8 dígitos ou 0800 + 7")))</f>
      </c>
      <c r="X611" s="6">
        <f>IF(N611="","vazio",IF(AND(LEN(SUBSTITUTE(SUBSTITUTE(SUBSTITUTE(SUBSTITUTE(SUBSTITUTE(SUBSTITUTE(SUBSTITUTE(TRIM(N611),".",""),"/",""),"-","")," ",""),"(",""),")",""),"+",""))=11,MID(SUBSTITUTE(SUBSTITUTE(SUBSTITUTE(SUBSTITUTE(SUBSTITUTE(SUBSTITUTE(SUBSTITUTE(TRIM(N611),".",""),"/",""),"-","")," ",""),"(",""),")",""),"+",""),3,1)="9",LEFT(SUBSTITUTE(SUBSTITUTE(SUBSTITUTE(SUBSTITUTE(SUBSTITUTE(SUBSTITUTE(SUBSTITUTE(TRIM(N611),".",""),"/",""),"-","")," ",""),"(",""),")",""),"+",""),1)&lt;&gt;"0"),"OK",IF(LEN(SUBSTITUTE(SUBSTITUTE(SUBSTITUTE(SUBSTITUTE(SUBSTITUTE(SUBSTITUTE(SUBSTITUTE(TRIM(N611),".",""),"/",""),"-","")," ",""),"(",""),")",""),"+",""))=10,"ERRO: é fixo (ou falta o 9), use a coluna Telefone fixo","ERRO: DDD + 9 + 8 dígitos")))</f>
      </c>
      <c r="Y611" s="6">
        <f>IF(O611="","vazio",IF(AND(ISNUMBER(FIND("@",O611)),ISNUMBER(FIND(".",MID(O611,FIND("@",O611),99))),NOT(ISNUMBER(FIND(" ",TRIM(O611)))),NOT(ISNUMBER(FIND(";",O611))),NOT(ISNUMBER(FIND(",",O611)))),"OK","ERRO: um e-mail válido por linha"))</f>
      </c>
      <c r="Z611" s="6">
        <f>IF(AND(J611="",K611=""),"",IF(AND(J611&lt;&gt;"",K611&lt;&gt;""),"OK","pendente: só um nome (o GR completa ao converter)"))</f>
      </c>
      <c r="AA611" s="6">
        <f>IF(COUNTA(A611:S611)=0,"",IF(AND(A611&lt;&gt;"",B611&lt;&gt;"",C611&lt;&gt;"",D611&lt;&gt;"",E611&lt;&gt;"",F611&lt;&gt;"",G611&lt;&gt;"",H611&lt;&gt;"",OR(J611&lt;&gt;"",K611&lt;&gt;""),OR(M611&lt;&gt;"",N611&lt;&gt;"",O611&lt;&gt;"")),"OK","ERRO: faltam "&amp;IF(A611="","SDR; ","")&amp;IF(B611="","Proprietário; ","")&amp;IF(C611="","Origem; ","")&amp;IF(D611="","Temperatura; ","")&amp;IF(E611="","Segmento; ","")&amp;IF(F611="","Time/Cluster; ","")&amp;IF(G611="","CNPJ; ","")&amp;IF(H611="","Razão Social; ","")&amp;IF(AND(J611="",K611=""),"nome do contato; ","")&amp;IF(AND(M611="",N611="",O611=""),"telefone, celular ou e-mail; ","")))</f>
      </c>
      <c r="AB611" s="6">
        <f>IF(COUNTA(A611:S611)=0,"",IF(AND(U611="OK",V611="OK",LEFT(W611,4)&lt;&gt;"ERRO",LEFT(X611,4)&lt;&gt;"ERRO",LEFT(Y611,4)&lt;&gt;"ERRO",AA611="OK"),"OK","REVISAR"))</f>
      </c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5"/>
      <c r="K612" s="4"/>
      <c r="L612" s="4"/>
      <c r="M612" s="4"/>
      <c r="N612" s="4"/>
      <c r="O612" s="4"/>
      <c r="P612" s="4"/>
      <c r="Q612" s="4"/>
      <c r="R612" s="4"/>
      <c r="S612" s="4"/>
      <c r="T612" s="6">
        <f>IF(G612="","",SUBSTITUTE(SUBSTITUTE(SUBSTITUTE(SUBSTITUTE(SUBSTITUTE(SUBSTITUTE(SUBSTITUTE(TRIM(G612),".",""),"/",""),"-","")," ",""),"(",""),")",""),"+",""))</f>
      </c>
      <c r="U612" s="6">
        <f>IF(T612="","",IF(LEN(T612)&lt;&gt;14,"ERRO: "&amp;LEN(T612)&amp;" dígitos",IF(NOT(ISNUMBER(VALUE(T612))),"ERRO: não numérico",IF(LEN(SUBSTITUTE(T612,LEFT(T612,1),""))=0,"ERRO: dígitos repetidos",IF(AND(VALUE(MID(T612,13,1))=IF(MOD(SUMPRODUCT(--MID(T612,{1,2,3,4,5,6,7,8,9,10,11,12},1),{5,4,3,2,9,8,7,6,5,4,3,2}),11)&lt;2,0,11-MOD(SUMPRODUCT(--MID(T612,{1,2,3,4,5,6,7,8,9,10,11,12},1),{5,4,3,2,9,8,7,6,5,4,3,2}),11)),VALUE(MID(T612,14,1))=IF(MOD(SUMPRODUCT(--MID(T612,{1,2,3,4,5,6,7,8,9,10,11,12,13},1),{6,5,4,3,2,9,8,7,6,5,4,3,2}),11)&lt;2,0,11-MOD(SUMPRODUCT(--MID(T612,{1,2,3,4,5,6,7,8,9,10,11,12,13},1),{6,5,4,3,2,9,8,7,6,5,4,3,2}),11))),"OK","ERRO: dígito verificador")))))</f>
      </c>
      <c r="V612" s="6">
        <f>IF(T612="","",IF(COUNTIF($T$2:$T$1001,T612)&gt;1,"DUPLICADO","OK"))</f>
      </c>
      <c r="W612" s="6">
        <f>IF(M612="","vazio",IF(OR(AND(LEN(SUBSTITUTE(SUBSTITUTE(SUBSTITUTE(SUBSTITUTE(SUBSTITUTE(SUBSTITUTE(SUBSTITUTE(TRIM(M612),".",""),"/",""),"-","")," ",""),"(",""),")",""),"+",""))=10,LEFT(SUBSTITUTE(SUBSTITUTE(SUBSTITUTE(SUBSTITUTE(SUBSTITUTE(SUBSTITUTE(SUBSTITUTE(TRIM(M612),".",""),"/",""),"-","")," ",""),"(",""),")",""),"+",""),1)&lt;&gt;"0"),AND(LEN(SUBSTITUTE(SUBSTITUTE(SUBSTITUTE(SUBSTITUTE(SUBSTITUTE(SUBSTITUTE(SUBSTITUTE(TRIM(M612),".",""),"/",""),"-","")," ",""),"(",""),")",""),"+",""))=11,LEFT(SUBSTITUTE(SUBSTITUTE(SUBSTITUTE(SUBSTITUTE(SUBSTITUTE(SUBSTITUTE(SUBSTITUTE(TRIM(M612),".",""),"/",""),"-","")," ",""),"(",""),")",""),"+",""),4)="0800")),"OK",IF(AND(LEN(SUBSTITUTE(SUBSTITUTE(SUBSTITUTE(SUBSTITUTE(SUBSTITUTE(SUBSTITUTE(SUBSTITUTE(TRIM(M612),".",""),"/",""),"-","")," ",""),"(",""),")",""),"+",""))=11,MID(SUBSTITUTE(SUBSTITUTE(SUBSTITUTE(SUBSTITUTE(SUBSTITUTE(SUBSTITUTE(SUBSTITUTE(TRIM(M612),".",""),"/",""),"-","")," ",""),"(",""),")",""),"+",""),3,1)="9"),"ERRO: é celular, use a coluna Celular","ERRO: DDD + 8 dígitos ou 0800 + 7")))</f>
      </c>
      <c r="X612" s="6">
        <f>IF(N612="","vazio",IF(AND(LEN(SUBSTITUTE(SUBSTITUTE(SUBSTITUTE(SUBSTITUTE(SUBSTITUTE(SUBSTITUTE(SUBSTITUTE(TRIM(N612),".",""),"/",""),"-","")," ",""),"(",""),")",""),"+",""))=11,MID(SUBSTITUTE(SUBSTITUTE(SUBSTITUTE(SUBSTITUTE(SUBSTITUTE(SUBSTITUTE(SUBSTITUTE(TRIM(N612),".",""),"/",""),"-","")," ",""),"(",""),")",""),"+",""),3,1)="9",LEFT(SUBSTITUTE(SUBSTITUTE(SUBSTITUTE(SUBSTITUTE(SUBSTITUTE(SUBSTITUTE(SUBSTITUTE(TRIM(N612),".",""),"/",""),"-","")," ",""),"(",""),")",""),"+",""),1)&lt;&gt;"0"),"OK",IF(LEN(SUBSTITUTE(SUBSTITUTE(SUBSTITUTE(SUBSTITUTE(SUBSTITUTE(SUBSTITUTE(SUBSTITUTE(TRIM(N612),".",""),"/",""),"-","")," ",""),"(",""),")",""),"+",""))=10,"ERRO: é fixo (ou falta o 9), use a coluna Telefone fixo","ERRO: DDD + 9 + 8 dígitos")))</f>
      </c>
      <c r="Y612" s="6">
        <f>IF(O612="","vazio",IF(AND(ISNUMBER(FIND("@",O612)),ISNUMBER(FIND(".",MID(O612,FIND("@",O612),99))),NOT(ISNUMBER(FIND(" ",TRIM(O612)))),NOT(ISNUMBER(FIND(";",O612))),NOT(ISNUMBER(FIND(",",O612)))),"OK","ERRO: um e-mail válido por linha"))</f>
      </c>
      <c r="Z612" s="6">
        <f>IF(AND(J612="",K612=""),"",IF(AND(J612&lt;&gt;"",K612&lt;&gt;""),"OK","pendente: só um nome (o GR completa ao converter)"))</f>
      </c>
      <c r="AA612" s="6">
        <f>IF(COUNTA(A612:S612)=0,"",IF(AND(A612&lt;&gt;"",B612&lt;&gt;"",C612&lt;&gt;"",D612&lt;&gt;"",E612&lt;&gt;"",F612&lt;&gt;"",G612&lt;&gt;"",H612&lt;&gt;"",OR(J612&lt;&gt;"",K612&lt;&gt;""),OR(M612&lt;&gt;"",N612&lt;&gt;"",O612&lt;&gt;"")),"OK","ERRO: faltam "&amp;IF(A612="","SDR; ","")&amp;IF(B612="","Proprietário; ","")&amp;IF(C612="","Origem; ","")&amp;IF(D612="","Temperatura; ","")&amp;IF(E612="","Segmento; ","")&amp;IF(F612="","Time/Cluster; ","")&amp;IF(G612="","CNPJ; ","")&amp;IF(H612="","Razão Social; ","")&amp;IF(AND(J612="",K612=""),"nome do contato; ","")&amp;IF(AND(M612="",N612="",O612=""),"telefone, celular ou e-mail; ","")))</f>
      </c>
      <c r="AB612" s="6">
        <f>IF(COUNTA(A612:S612)=0,"",IF(AND(U612="OK",V612="OK",LEFT(W612,4)&lt;&gt;"ERRO",LEFT(X612,4)&lt;&gt;"ERRO",LEFT(Y612,4)&lt;&gt;"ERRO",AA612="OK"),"OK","REVISAR"))</f>
      </c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5"/>
      <c r="K613" s="4"/>
      <c r="L613" s="4"/>
      <c r="M613" s="4"/>
      <c r="N613" s="4"/>
      <c r="O613" s="4"/>
      <c r="P613" s="4"/>
      <c r="Q613" s="4"/>
      <c r="R613" s="4"/>
      <c r="S613" s="4"/>
      <c r="T613" s="6">
        <f>IF(G613="","",SUBSTITUTE(SUBSTITUTE(SUBSTITUTE(SUBSTITUTE(SUBSTITUTE(SUBSTITUTE(SUBSTITUTE(TRIM(G613),".",""),"/",""),"-","")," ",""),"(",""),")",""),"+",""))</f>
      </c>
      <c r="U613" s="6">
        <f>IF(T613="","",IF(LEN(T613)&lt;&gt;14,"ERRO: "&amp;LEN(T613)&amp;" dígitos",IF(NOT(ISNUMBER(VALUE(T613))),"ERRO: não numérico",IF(LEN(SUBSTITUTE(T613,LEFT(T613,1),""))=0,"ERRO: dígitos repetidos",IF(AND(VALUE(MID(T613,13,1))=IF(MOD(SUMPRODUCT(--MID(T613,{1,2,3,4,5,6,7,8,9,10,11,12},1),{5,4,3,2,9,8,7,6,5,4,3,2}),11)&lt;2,0,11-MOD(SUMPRODUCT(--MID(T613,{1,2,3,4,5,6,7,8,9,10,11,12},1),{5,4,3,2,9,8,7,6,5,4,3,2}),11)),VALUE(MID(T613,14,1))=IF(MOD(SUMPRODUCT(--MID(T613,{1,2,3,4,5,6,7,8,9,10,11,12,13},1),{6,5,4,3,2,9,8,7,6,5,4,3,2}),11)&lt;2,0,11-MOD(SUMPRODUCT(--MID(T613,{1,2,3,4,5,6,7,8,9,10,11,12,13},1),{6,5,4,3,2,9,8,7,6,5,4,3,2}),11))),"OK","ERRO: dígito verificador")))))</f>
      </c>
      <c r="V613" s="6">
        <f>IF(T613="","",IF(COUNTIF($T$2:$T$1001,T613)&gt;1,"DUPLICADO","OK"))</f>
      </c>
      <c r="W613" s="6">
        <f>IF(M613="","vazio",IF(OR(AND(LEN(SUBSTITUTE(SUBSTITUTE(SUBSTITUTE(SUBSTITUTE(SUBSTITUTE(SUBSTITUTE(SUBSTITUTE(TRIM(M613),".",""),"/",""),"-","")," ",""),"(",""),")",""),"+",""))=10,LEFT(SUBSTITUTE(SUBSTITUTE(SUBSTITUTE(SUBSTITUTE(SUBSTITUTE(SUBSTITUTE(SUBSTITUTE(TRIM(M613),".",""),"/",""),"-","")," ",""),"(",""),")",""),"+",""),1)&lt;&gt;"0"),AND(LEN(SUBSTITUTE(SUBSTITUTE(SUBSTITUTE(SUBSTITUTE(SUBSTITUTE(SUBSTITUTE(SUBSTITUTE(TRIM(M613),".",""),"/",""),"-","")," ",""),"(",""),")",""),"+",""))=11,LEFT(SUBSTITUTE(SUBSTITUTE(SUBSTITUTE(SUBSTITUTE(SUBSTITUTE(SUBSTITUTE(SUBSTITUTE(TRIM(M613),".",""),"/",""),"-","")," ",""),"(",""),")",""),"+",""),4)="0800")),"OK",IF(AND(LEN(SUBSTITUTE(SUBSTITUTE(SUBSTITUTE(SUBSTITUTE(SUBSTITUTE(SUBSTITUTE(SUBSTITUTE(TRIM(M613),".",""),"/",""),"-","")," ",""),"(",""),")",""),"+",""))=11,MID(SUBSTITUTE(SUBSTITUTE(SUBSTITUTE(SUBSTITUTE(SUBSTITUTE(SUBSTITUTE(SUBSTITUTE(TRIM(M613),".",""),"/",""),"-","")," ",""),"(",""),")",""),"+",""),3,1)="9"),"ERRO: é celular, use a coluna Celular","ERRO: DDD + 8 dígitos ou 0800 + 7")))</f>
      </c>
      <c r="X613" s="6">
        <f>IF(N613="","vazio",IF(AND(LEN(SUBSTITUTE(SUBSTITUTE(SUBSTITUTE(SUBSTITUTE(SUBSTITUTE(SUBSTITUTE(SUBSTITUTE(TRIM(N613),".",""),"/",""),"-","")," ",""),"(",""),")",""),"+",""))=11,MID(SUBSTITUTE(SUBSTITUTE(SUBSTITUTE(SUBSTITUTE(SUBSTITUTE(SUBSTITUTE(SUBSTITUTE(TRIM(N613),".",""),"/",""),"-","")," ",""),"(",""),")",""),"+",""),3,1)="9",LEFT(SUBSTITUTE(SUBSTITUTE(SUBSTITUTE(SUBSTITUTE(SUBSTITUTE(SUBSTITUTE(SUBSTITUTE(TRIM(N613),".",""),"/",""),"-","")," ",""),"(",""),")",""),"+",""),1)&lt;&gt;"0"),"OK",IF(LEN(SUBSTITUTE(SUBSTITUTE(SUBSTITUTE(SUBSTITUTE(SUBSTITUTE(SUBSTITUTE(SUBSTITUTE(TRIM(N613),".",""),"/",""),"-","")," ",""),"(",""),")",""),"+",""))=10,"ERRO: é fixo (ou falta o 9), use a coluna Telefone fixo","ERRO: DDD + 9 + 8 dígitos")))</f>
      </c>
      <c r="Y613" s="6">
        <f>IF(O613="","vazio",IF(AND(ISNUMBER(FIND("@",O613)),ISNUMBER(FIND(".",MID(O613,FIND("@",O613),99))),NOT(ISNUMBER(FIND(" ",TRIM(O613)))),NOT(ISNUMBER(FIND(";",O613))),NOT(ISNUMBER(FIND(",",O613)))),"OK","ERRO: um e-mail válido por linha"))</f>
      </c>
      <c r="Z613" s="6">
        <f>IF(AND(J613="",K613=""),"",IF(AND(J613&lt;&gt;"",K613&lt;&gt;""),"OK","pendente: só um nome (o GR completa ao converter)"))</f>
      </c>
      <c r="AA613" s="6">
        <f>IF(COUNTA(A613:S613)=0,"",IF(AND(A613&lt;&gt;"",B613&lt;&gt;"",C613&lt;&gt;"",D613&lt;&gt;"",E613&lt;&gt;"",F613&lt;&gt;"",G613&lt;&gt;"",H613&lt;&gt;"",OR(J613&lt;&gt;"",K613&lt;&gt;""),OR(M613&lt;&gt;"",N613&lt;&gt;"",O613&lt;&gt;"")),"OK","ERRO: faltam "&amp;IF(A613="","SDR; ","")&amp;IF(B613="","Proprietário; ","")&amp;IF(C613="","Origem; ","")&amp;IF(D613="","Temperatura; ","")&amp;IF(E613="","Segmento; ","")&amp;IF(F613="","Time/Cluster; ","")&amp;IF(G613="","CNPJ; ","")&amp;IF(H613="","Razão Social; ","")&amp;IF(AND(J613="",K613=""),"nome do contato; ","")&amp;IF(AND(M613="",N613="",O613=""),"telefone, celular ou e-mail; ","")))</f>
      </c>
      <c r="AB613" s="6">
        <f>IF(COUNTA(A613:S613)=0,"",IF(AND(U613="OK",V613="OK",LEFT(W613,4)&lt;&gt;"ERRO",LEFT(X613,4)&lt;&gt;"ERRO",LEFT(Y613,4)&lt;&gt;"ERRO",AA613="OK"),"OK","REVISAR"))</f>
      </c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5"/>
      <c r="K614" s="4"/>
      <c r="L614" s="4"/>
      <c r="M614" s="4"/>
      <c r="N614" s="4"/>
      <c r="O614" s="4"/>
      <c r="P614" s="4"/>
      <c r="Q614" s="4"/>
      <c r="R614" s="4"/>
      <c r="S614" s="4"/>
      <c r="T614" s="6">
        <f>IF(G614="","",SUBSTITUTE(SUBSTITUTE(SUBSTITUTE(SUBSTITUTE(SUBSTITUTE(SUBSTITUTE(SUBSTITUTE(TRIM(G614),".",""),"/",""),"-","")," ",""),"(",""),")",""),"+",""))</f>
      </c>
      <c r="U614" s="6">
        <f>IF(T614="","",IF(LEN(T614)&lt;&gt;14,"ERRO: "&amp;LEN(T614)&amp;" dígitos",IF(NOT(ISNUMBER(VALUE(T614))),"ERRO: não numérico",IF(LEN(SUBSTITUTE(T614,LEFT(T614,1),""))=0,"ERRO: dígitos repetidos",IF(AND(VALUE(MID(T614,13,1))=IF(MOD(SUMPRODUCT(--MID(T614,{1,2,3,4,5,6,7,8,9,10,11,12},1),{5,4,3,2,9,8,7,6,5,4,3,2}),11)&lt;2,0,11-MOD(SUMPRODUCT(--MID(T614,{1,2,3,4,5,6,7,8,9,10,11,12},1),{5,4,3,2,9,8,7,6,5,4,3,2}),11)),VALUE(MID(T614,14,1))=IF(MOD(SUMPRODUCT(--MID(T614,{1,2,3,4,5,6,7,8,9,10,11,12,13},1),{6,5,4,3,2,9,8,7,6,5,4,3,2}),11)&lt;2,0,11-MOD(SUMPRODUCT(--MID(T614,{1,2,3,4,5,6,7,8,9,10,11,12,13},1),{6,5,4,3,2,9,8,7,6,5,4,3,2}),11))),"OK","ERRO: dígito verificador")))))</f>
      </c>
      <c r="V614" s="6">
        <f>IF(T614="","",IF(COUNTIF($T$2:$T$1001,T614)&gt;1,"DUPLICADO","OK"))</f>
      </c>
      <c r="W614" s="6">
        <f>IF(M614="","vazio",IF(OR(AND(LEN(SUBSTITUTE(SUBSTITUTE(SUBSTITUTE(SUBSTITUTE(SUBSTITUTE(SUBSTITUTE(SUBSTITUTE(TRIM(M614),".",""),"/",""),"-","")," ",""),"(",""),")",""),"+",""))=10,LEFT(SUBSTITUTE(SUBSTITUTE(SUBSTITUTE(SUBSTITUTE(SUBSTITUTE(SUBSTITUTE(SUBSTITUTE(TRIM(M614),".",""),"/",""),"-","")," ",""),"(",""),")",""),"+",""),1)&lt;&gt;"0"),AND(LEN(SUBSTITUTE(SUBSTITUTE(SUBSTITUTE(SUBSTITUTE(SUBSTITUTE(SUBSTITUTE(SUBSTITUTE(TRIM(M614),".",""),"/",""),"-","")," ",""),"(",""),")",""),"+",""))=11,LEFT(SUBSTITUTE(SUBSTITUTE(SUBSTITUTE(SUBSTITUTE(SUBSTITUTE(SUBSTITUTE(SUBSTITUTE(TRIM(M614),".",""),"/",""),"-","")," ",""),"(",""),")",""),"+",""),4)="0800")),"OK",IF(AND(LEN(SUBSTITUTE(SUBSTITUTE(SUBSTITUTE(SUBSTITUTE(SUBSTITUTE(SUBSTITUTE(SUBSTITUTE(TRIM(M614),".",""),"/",""),"-","")," ",""),"(",""),")",""),"+",""))=11,MID(SUBSTITUTE(SUBSTITUTE(SUBSTITUTE(SUBSTITUTE(SUBSTITUTE(SUBSTITUTE(SUBSTITUTE(TRIM(M614),".",""),"/",""),"-","")," ",""),"(",""),")",""),"+",""),3,1)="9"),"ERRO: é celular, use a coluna Celular","ERRO: DDD + 8 dígitos ou 0800 + 7")))</f>
      </c>
      <c r="X614" s="6">
        <f>IF(N614="","vazio",IF(AND(LEN(SUBSTITUTE(SUBSTITUTE(SUBSTITUTE(SUBSTITUTE(SUBSTITUTE(SUBSTITUTE(SUBSTITUTE(TRIM(N614),".",""),"/",""),"-","")," ",""),"(",""),")",""),"+",""))=11,MID(SUBSTITUTE(SUBSTITUTE(SUBSTITUTE(SUBSTITUTE(SUBSTITUTE(SUBSTITUTE(SUBSTITUTE(TRIM(N614),".",""),"/",""),"-","")," ",""),"(",""),")",""),"+",""),3,1)="9",LEFT(SUBSTITUTE(SUBSTITUTE(SUBSTITUTE(SUBSTITUTE(SUBSTITUTE(SUBSTITUTE(SUBSTITUTE(TRIM(N614),".",""),"/",""),"-","")," ",""),"(",""),")",""),"+",""),1)&lt;&gt;"0"),"OK",IF(LEN(SUBSTITUTE(SUBSTITUTE(SUBSTITUTE(SUBSTITUTE(SUBSTITUTE(SUBSTITUTE(SUBSTITUTE(TRIM(N614),".",""),"/",""),"-","")," ",""),"(",""),")",""),"+",""))=10,"ERRO: é fixo (ou falta o 9), use a coluna Telefone fixo","ERRO: DDD + 9 + 8 dígitos")))</f>
      </c>
      <c r="Y614" s="6">
        <f>IF(O614="","vazio",IF(AND(ISNUMBER(FIND("@",O614)),ISNUMBER(FIND(".",MID(O614,FIND("@",O614),99))),NOT(ISNUMBER(FIND(" ",TRIM(O614)))),NOT(ISNUMBER(FIND(";",O614))),NOT(ISNUMBER(FIND(",",O614)))),"OK","ERRO: um e-mail válido por linha"))</f>
      </c>
      <c r="Z614" s="6">
        <f>IF(AND(J614="",K614=""),"",IF(AND(J614&lt;&gt;"",K614&lt;&gt;""),"OK","pendente: só um nome (o GR completa ao converter)"))</f>
      </c>
      <c r="AA614" s="6">
        <f>IF(COUNTA(A614:S614)=0,"",IF(AND(A614&lt;&gt;"",B614&lt;&gt;"",C614&lt;&gt;"",D614&lt;&gt;"",E614&lt;&gt;"",F614&lt;&gt;"",G614&lt;&gt;"",H614&lt;&gt;"",OR(J614&lt;&gt;"",K614&lt;&gt;""),OR(M614&lt;&gt;"",N614&lt;&gt;"",O614&lt;&gt;"")),"OK","ERRO: faltam "&amp;IF(A614="","SDR; ","")&amp;IF(B614="","Proprietário; ","")&amp;IF(C614="","Origem; ","")&amp;IF(D614="","Temperatura; ","")&amp;IF(E614="","Segmento; ","")&amp;IF(F614="","Time/Cluster; ","")&amp;IF(G614="","CNPJ; ","")&amp;IF(H614="","Razão Social; ","")&amp;IF(AND(J614="",K614=""),"nome do contato; ","")&amp;IF(AND(M614="",N614="",O614=""),"telefone, celular ou e-mail; ","")))</f>
      </c>
      <c r="AB614" s="6">
        <f>IF(COUNTA(A614:S614)=0,"",IF(AND(U614="OK",V614="OK",LEFT(W614,4)&lt;&gt;"ERRO",LEFT(X614,4)&lt;&gt;"ERRO",LEFT(Y614,4)&lt;&gt;"ERRO",AA614="OK"),"OK","REVISAR"))</f>
      </c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5"/>
      <c r="K615" s="4"/>
      <c r="L615" s="4"/>
      <c r="M615" s="4"/>
      <c r="N615" s="4"/>
      <c r="O615" s="4"/>
      <c r="P615" s="4"/>
      <c r="Q615" s="4"/>
      <c r="R615" s="4"/>
      <c r="S615" s="4"/>
      <c r="T615" s="6">
        <f>IF(G615="","",SUBSTITUTE(SUBSTITUTE(SUBSTITUTE(SUBSTITUTE(SUBSTITUTE(SUBSTITUTE(SUBSTITUTE(TRIM(G615),".",""),"/",""),"-","")," ",""),"(",""),")",""),"+",""))</f>
      </c>
      <c r="U615" s="6">
        <f>IF(T615="","",IF(LEN(T615)&lt;&gt;14,"ERRO: "&amp;LEN(T615)&amp;" dígitos",IF(NOT(ISNUMBER(VALUE(T615))),"ERRO: não numérico",IF(LEN(SUBSTITUTE(T615,LEFT(T615,1),""))=0,"ERRO: dígitos repetidos",IF(AND(VALUE(MID(T615,13,1))=IF(MOD(SUMPRODUCT(--MID(T615,{1,2,3,4,5,6,7,8,9,10,11,12},1),{5,4,3,2,9,8,7,6,5,4,3,2}),11)&lt;2,0,11-MOD(SUMPRODUCT(--MID(T615,{1,2,3,4,5,6,7,8,9,10,11,12},1),{5,4,3,2,9,8,7,6,5,4,3,2}),11)),VALUE(MID(T615,14,1))=IF(MOD(SUMPRODUCT(--MID(T615,{1,2,3,4,5,6,7,8,9,10,11,12,13},1),{6,5,4,3,2,9,8,7,6,5,4,3,2}),11)&lt;2,0,11-MOD(SUMPRODUCT(--MID(T615,{1,2,3,4,5,6,7,8,9,10,11,12,13},1),{6,5,4,3,2,9,8,7,6,5,4,3,2}),11))),"OK","ERRO: dígito verificador")))))</f>
      </c>
      <c r="V615" s="6">
        <f>IF(T615="","",IF(COUNTIF($T$2:$T$1001,T615)&gt;1,"DUPLICADO","OK"))</f>
      </c>
      <c r="W615" s="6">
        <f>IF(M615="","vazio",IF(OR(AND(LEN(SUBSTITUTE(SUBSTITUTE(SUBSTITUTE(SUBSTITUTE(SUBSTITUTE(SUBSTITUTE(SUBSTITUTE(TRIM(M615),".",""),"/",""),"-","")," ",""),"(",""),")",""),"+",""))=10,LEFT(SUBSTITUTE(SUBSTITUTE(SUBSTITUTE(SUBSTITUTE(SUBSTITUTE(SUBSTITUTE(SUBSTITUTE(TRIM(M615),".",""),"/",""),"-","")," ",""),"(",""),")",""),"+",""),1)&lt;&gt;"0"),AND(LEN(SUBSTITUTE(SUBSTITUTE(SUBSTITUTE(SUBSTITUTE(SUBSTITUTE(SUBSTITUTE(SUBSTITUTE(TRIM(M615),".",""),"/",""),"-","")," ",""),"(",""),")",""),"+",""))=11,LEFT(SUBSTITUTE(SUBSTITUTE(SUBSTITUTE(SUBSTITUTE(SUBSTITUTE(SUBSTITUTE(SUBSTITUTE(TRIM(M615),".",""),"/",""),"-","")," ",""),"(",""),")",""),"+",""),4)="0800")),"OK",IF(AND(LEN(SUBSTITUTE(SUBSTITUTE(SUBSTITUTE(SUBSTITUTE(SUBSTITUTE(SUBSTITUTE(SUBSTITUTE(TRIM(M615),".",""),"/",""),"-","")," ",""),"(",""),")",""),"+",""))=11,MID(SUBSTITUTE(SUBSTITUTE(SUBSTITUTE(SUBSTITUTE(SUBSTITUTE(SUBSTITUTE(SUBSTITUTE(TRIM(M615),".",""),"/",""),"-","")," ",""),"(",""),")",""),"+",""),3,1)="9"),"ERRO: é celular, use a coluna Celular","ERRO: DDD + 8 dígitos ou 0800 + 7")))</f>
      </c>
      <c r="X615" s="6">
        <f>IF(N615="","vazio",IF(AND(LEN(SUBSTITUTE(SUBSTITUTE(SUBSTITUTE(SUBSTITUTE(SUBSTITUTE(SUBSTITUTE(SUBSTITUTE(TRIM(N615),".",""),"/",""),"-","")," ",""),"(",""),")",""),"+",""))=11,MID(SUBSTITUTE(SUBSTITUTE(SUBSTITUTE(SUBSTITUTE(SUBSTITUTE(SUBSTITUTE(SUBSTITUTE(TRIM(N615),".",""),"/",""),"-","")," ",""),"(",""),")",""),"+",""),3,1)="9",LEFT(SUBSTITUTE(SUBSTITUTE(SUBSTITUTE(SUBSTITUTE(SUBSTITUTE(SUBSTITUTE(SUBSTITUTE(TRIM(N615),".",""),"/",""),"-","")," ",""),"(",""),")",""),"+",""),1)&lt;&gt;"0"),"OK",IF(LEN(SUBSTITUTE(SUBSTITUTE(SUBSTITUTE(SUBSTITUTE(SUBSTITUTE(SUBSTITUTE(SUBSTITUTE(TRIM(N615),".",""),"/",""),"-","")," ",""),"(",""),")",""),"+",""))=10,"ERRO: é fixo (ou falta o 9), use a coluna Telefone fixo","ERRO: DDD + 9 + 8 dígitos")))</f>
      </c>
      <c r="Y615" s="6">
        <f>IF(O615="","vazio",IF(AND(ISNUMBER(FIND("@",O615)),ISNUMBER(FIND(".",MID(O615,FIND("@",O615),99))),NOT(ISNUMBER(FIND(" ",TRIM(O615)))),NOT(ISNUMBER(FIND(";",O615))),NOT(ISNUMBER(FIND(",",O615)))),"OK","ERRO: um e-mail válido por linha"))</f>
      </c>
      <c r="Z615" s="6">
        <f>IF(AND(J615="",K615=""),"",IF(AND(J615&lt;&gt;"",K615&lt;&gt;""),"OK","pendente: só um nome (o GR completa ao converter)"))</f>
      </c>
      <c r="AA615" s="6">
        <f>IF(COUNTA(A615:S615)=0,"",IF(AND(A615&lt;&gt;"",B615&lt;&gt;"",C615&lt;&gt;"",D615&lt;&gt;"",E615&lt;&gt;"",F615&lt;&gt;"",G615&lt;&gt;"",H615&lt;&gt;"",OR(J615&lt;&gt;"",K615&lt;&gt;""),OR(M615&lt;&gt;"",N615&lt;&gt;"",O615&lt;&gt;"")),"OK","ERRO: faltam "&amp;IF(A615="","SDR; ","")&amp;IF(B615="","Proprietário; ","")&amp;IF(C615="","Origem; ","")&amp;IF(D615="","Temperatura; ","")&amp;IF(E615="","Segmento; ","")&amp;IF(F615="","Time/Cluster; ","")&amp;IF(G615="","CNPJ; ","")&amp;IF(H615="","Razão Social; ","")&amp;IF(AND(J615="",K615=""),"nome do contato; ","")&amp;IF(AND(M615="",N615="",O615=""),"telefone, celular ou e-mail; ","")))</f>
      </c>
      <c r="AB615" s="6">
        <f>IF(COUNTA(A615:S615)=0,"",IF(AND(U615="OK",V615="OK",LEFT(W615,4)&lt;&gt;"ERRO",LEFT(X615,4)&lt;&gt;"ERRO",LEFT(Y615,4)&lt;&gt;"ERRO",AA615="OK"),"OK","REVISAR"))</f>
      </c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5"/>
      <c r="K616" s="4"/>
      <c r="L616" s="4"/>
      <c r="M616" s="4"/>
      <c r="N616" s="4"/>
      <c r="O616" s="4"/>
      <c r="P616" s="4"/>
      <c r="Q616" s="4"/>
      <c r="R616" s="4"/>
      <c r="S616" s="4"/>
      <c r="T616" s="6">
        <f>IF(G616="","",SUBSTITUTE(SUBSTITUTE(SUBSTITUTE(SUBSTITUTE(SUBSTITUTE(SUBSTITUTE(SUBSTITUTE(TRIM(G616),".",""),"/",""),"-","")," ",""),"(",""),")",""),"+",""))</f>
      </c>
      <c r="U616" s="6">
        <f>IF(T616="","",IF(LEN(T616)&lt;&gt;14,"ERRO: "&amp;LEN(T616)&amp;" dígitos",IF(NOT(ISNUMBER(VALUE(T616))),"ERRO: não numérico",IF(LEN(SUBSTITUTE(T616,LEFT(T616,1),""))=0,"ERRO: dígitos repetidos",IF(AND(VALUE(MID(T616,13,1))=IF(MOD(SUMPRODUCT(--MID(T616,{1,2,3,4,5,6,7,8,9,10,11,12},1),{5,4,3,2,9,8,7,6,5,4,3,2}),11)&lt;2,0,11-MOD(SUMPRODUCT(--MID(T616,{1,2,3,4,5,6,7,8,9,10,11,12},1),{5,4,3,2,9,8,7,6,5,4,3,2}),11)),VALUE(MID(T616,14,1))=IF(MOD(SUMPRODUCT(--MID(T616,{1,2,3,4,5,6,7,8,9,10,11,12,13},1),{6,5,4,3,2,9,8,7,6,5,4,3,2}),11)&lt;2,0,11-MOD(SUMPRODUCT(--MID(T616,{1,2,3,4,5,6,7,8,9,10,11,12,13},1),{6,5,4,3,2,9,8,7,6,5,4,3,2}),11))),"OK","ERRO: dígito verificador")))))</f>
      </c>
      <c r="V616" s="6">
        <f>IF(T616="","",IF(COUNTIF($T$2:$T$1001,T616)&gt;1,"DUPLICADO","OK"))</f>
      </c>
      <c r="W616" s="6">
        <f>IF(M616="","vazio",IF(OR(AND(LEN(SUBSTITUTE(SUBSTITUTE(SUBSTITUTE(SUBSTITUTE(SUBSTITUTE(SUBSTITUTE(SUBSTITUTE(TRIM(M616),".",""),"/",""),"-","")," ",""),"(",""),")",""),"+",""))=10,LEFT(SUBSTITUTE(SUBSTITUTE(SUBSTITUTE(SUBSTITUTE(SUBSTITUTE(SUBSTITUTE(SUBSTITUTE(TRIM(M616),".",""),"/",""),"-","")," ",""),"(",""),")",""),"+",""),1)&lt;&gt;"0"),AND(LEN(SUBSTITUTE(SUBSTITUTE(SUBSTITUTE(SUBSTITUTE(SUBSTITUTE(SUBSTITUTE(SUBSTITUTE(TRIM(M616),".",""),"/",""),"-","")," ",""),"(",""),")",""),"+",""))=11,LEFT(SUBSTITUTE(SUBSTITUTE(SUBSTITUTE(SUBSTITUTE(SUBSTITUTE(SUBSTITUTE(SUBSTITUTE(TRIM(M616),".",""),"/",""),"-","")," ",""),"(",""),")",""),"+",""),4)="0800")),"OK",IF(AND(LEN(SUBSTITUTE(SUBSTITUTE(SUBSTITUTE(SUBSTITUTE(SUBSTITUTE(SUBSTITUTE(SUBSTITUTE(TRIM(M616),".",""),"/",""),"-","")," ",""),"(",""),")",""),"+",""))=11,MID(SUBSTITUTE(SUBSTITUTE(SUBSTITUTE(SUBSTITUTE(SUBSTITUTE(SUBSTITUTE(SUBSTITUTE(TRIM(M616),".",""),"/",""),"-","")," ",""),"(",""),")",""),"+",""),3,1)="9"),"ERRO: é celular, use a coluna Celular","ERRO: DDD + 8 dígitos ou 0800 + 7")))</f>
      </c>
      <c r="X616" s="6">
        <f>IF(N616="","vazio",IF(AND(LEN(SUBSTITUTE(SUBSTITUTE(SUBSTITUTE(SUBSTITUTE(SUBSTITUTE(SUBSTITUTE(SUBSTITUTE(TRIM(N616),".",""),"/",""),"-","")," ",""),"(",""),")",""),"+",""))=11,MID(SUBSTITUTE(SUBSTITUTE(SUBSTITUTE(SUBSTITUTE(SUBSTITUTE(SUBSTITUTE(SUBSTITUTE(TRIM(N616),".",""),"/",""),"-","")," ",""),"(",""),")",""),"+",""),3,1)="9",LEFT(SUBSTITUTE(SUBSTITUTE(SUBSTITUTE(SUBSTITUTE(SUBSTITUTE(SUBSTITUTE(SUBSTITUTE(TRIM(N616),".",""),"/",""),"-","")," ",""),"(",""),")",""),"+",""),1)&lt;&gt;"0"),"OK",IF(LEN(SUBSTITUTE(SUBSTITUTE(SUBSTITUTE(SUBSTITUTE(SUBSTITUTE(SUBSTITUTE(SUBSTITUTE(TRIM(N616),".",""),"/",""),"-","")," ",""),"(",""),")",""),"+",""))=10,"ERRO: é fixo (ou falta o 9), use a coluna Telefone fixo","ERRO: DDD + 9 + 8 dígitos")))</f>
      </c>
      <c r="Y616" s="6">
        <f>IF(O616="","vazio",IF(AND(ISNUMBER(FIND("@",O616)),ISNUMBER(FIND(".",MID(O616,FIND("@",O616),99))),NOT(ISNUMBER(FIND(" ",TRIM(O616)))),NOT(ISNUMBER(FIND(";",O616))),NOT(ISNUMBER(FIND(",",O616)))),"OK","ERRO: um e-mail válido por linha"))</f>
      </c>
      <c r="Z616" s="6">
        <f>IF(AND(J616="",K616=""),"",IF(AND(J616&lt;&gt;"",K616&lt;&gt;""),"OK","pendente: só um nome (o GR completa ao converter)"))</f>
      </c>
      <c r="AA616" s="6">
        <f>IF(COUNTA(A616:S616)=0,"",IF(AND(A616&lt;&gt;"",B616&lt;&gt;"",C616&lt;&gt;"",D616&lt;&gt;"",E616&lt;&gt;"",F616&lt;&gt;"",G616&lt;&gt;"",H616&lt;&gt;"",OR(J616&lt;&gt;"",K616&lt;&gt;""),OR(M616&lt;&gt;"",N616&lt;&gt;"",O616&lt;&gt;"")),"OK","ERRO: faltam "&amp;IF(A616="","SDR; ","")&amp;IF(B616="","Proprietário; ","")&amp;IF(C616="","Origem; ","")&amp;IF(D616="","Temperatura; ","")&amp;IF(E616="","Segmento; ","")&amp;IF(F616="","Time/Cluster; ","")&amp;IF(G616="","CNPJ; ","")&amp;IF(H616="","Razão Social; ","")&amp;IF(AND(J616="",K616=""),"nome do contato; ","")&amp;IF(AND(M616="",N616="",O616=""),"telefone, celular ou e-mail; ","")))</f>
      </c>
      <c r="AB616" s="6">
        <f>IF(COUNTA(A616:S616)=0,"",IF(AND(U616="OK",V616="OK",LEFT(W616,4)&lt;&gt;"ERRO",LEFT(X616,4)&lt;&gt;"ERRO",LEFT(Y616,4)&lt;&gt;"ERRO",AA616="OK"),"OK","REVISAR"))</f>
      </c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5"/>
      <c r="K617" s="4"/>
      <c r="L617" s="4"/>
      <c r="M617" s="4"/>
      <c r="N617" s="4"/>
      <c r="O617" s="4"/>
      <c r="P617" s="4"/>
      <c r="Q617" s="4"/>
      <c r="R617" s="4"/>
      <c r="S617" s="4"/>
      <c r="T617" s="6">
        <f>IF(G617="","",SUBSTITUTE(SUBSTITUTE(SUBSTITUTE(SUBSTITUTE(SUBSTITUTE(SUBSTITUTE(SUBSTITUTE(TRIM(G617),".",""),"/",""),"-","")," ",""),"(",""),")",""),"+",""))</f>
      </c>
      <c r="U617" s="6">
        <f>IF(T617="","",IF(LEN(T617)&lt;&gt;14,"ERRO: "&amp;LEN(T617)&amp;" dígitos",IF(NOT(ISNUMBER(VALUE(T617))),"ERRO: não numérico",IF(LEN(SUBSTITUTE(T617,LEFT(T617,1),""))=0,"ERRO: dígitos repetidos",IF(AND(VALUE(MID(T617,13,1))=IF(MOD(SUMPRODUCT(--MID(T617,{1,2,3,4,5,6,7,8,9,10,11,12},1),{5,4,3,2,9,8,7,6,5,4,3,2}),11)&lt;2,0,11-MOD(SUMPRODUCT(--MID(T617,{1,2,3,4,5,6,7,8,9,10,11,12},1),{5,4,3,2,9,8,7,6,5,4,3,2}),11)),VALUE(MID(T617,14,1))=IF(MOD(SUMPRODUCT(--MID(T617,{1,2,3,4,5,6,7,8,9,10,11,12,13},1),{6,5,4,3,2,9,8,7,6,5,4,3,2}),11)&lt;2,0,11-MOD(SUMPRODUCT(--MID(T617,{1,2,3,4,5,6,7,8,9,10,11,12,13},1),{6,5,4,3,2,9,8,7,6,5,4,3,2}),11))),"OK","ERRO: dígito verificador")))))</f>
      </c>
      <c r="V617" s="6">
        <f>IF(T617="","",IF(COUNTIF($T$2:$T$1001,T617)&gt;1,"DUPLICADO","OK"))</f>
      </c>
      <c r="W617" s="6">
        <f>IF(M617="","vazio",IF(OR(AND(LEN(SUBSTITUTE(SUBSTITUTE(SUBSTITUTE(SUBSTITUTE(SUBSTITUTE(SUBSTITUTE(SUBSTITUTE(TRIM(M617),".",""),"/",""),"-","")," ",""),"(",""),")",""),"+",""))=10,LEFT(SUBSTITUTE(SUBSTITUTE(SUBSTITUTE(SUBSTITUTE(SUBSTITUTE(SUBSTITUTE(SUBSTITUTE(TRIM(M617),".",""),"/",""),"-","")," ",""),"(",""),")",""),"+",""),1)&lt;&gt;"0"),AND(LEN(SUBSTITUTE(SUBSTITUTE(SUBSTITUTE(SUBSTITUTE(SUBSTITUTE(SUBSTITUTE(SUBSTITUTE(TRIM(M617),".",""),"/",""),"-","")," ",""),"(",""),")",""),"+",""))=11,LEFT(SUBSTITUTE(SUBSTITUTE(SUBSTITUTE(SUBSTITUTE(SUBSTITUTE(SUBSTITUTE(SUBSTITUTE(TRIM(M617),".",""),"/",""),"-","")," ",""),"(",""),")",""),"+",""),4)="0800")),"OK",IF(AND(LEN(SUBSTITUTE(SUBSTITUTE(SUBSTITUTE(SUBSTITUTE(SUBSTITUTE(SUBSTITUTE(SUBSTITUTE(TRIM(M617),".",""),"/",""),"-","")," ",""),"(",""),")",""),"+",""))=11,MID(SUBSTITUTE(SUBSTITUTE(SUBSTITUTE(SUBSTITUTE(SUBSTITUTE(SUBSTITUTE(SUBSTITUTE(TRIM(M617),".",""),"/",""),"-","")," ",""),"(",""),")",""),"+",""),3,1)="9"),"ERRO: é celular, use a coluna Celular","ERRO: DDD + 8 dígitos ou 0800 + 7")))</f>
      </c>
      <c r="X617" s="6">
        <f>IF(N617="","vazio",IF(AND(LEN(SUBSTITUTE(SUBSTITUTE(SUBSTITUTE(SUBSTITUTE(SUBSTITUTE(SUBSTITUTE(SUBSTITUTE(TRIM(N617),".",""),"/",""),"-","")," ",""),"(",""),")",""),"+",""))=11,MID(SUBSTITUTE(SUBSTITUTE(SUBSTITUTE(SUBSTITUTE(SUBSTITUTE(SUBSTITUTE(SUBSTITUTE(TRIM(N617),".",""),"/",""),"-","")," ",""),"(",""),")",""),"+",""),3,1)="9",LEFT(SUBSTITUTE(SUBSTITUTE(SUBSTITUTE(SUBSTITUTE(SUBSTITUTE(SUBSTITUTE(SUBSTITUTE(TRIM(N617),".",""),"/",""),"-","")," ",""),"(",""),")",""),"+",""),1)&lt;&gt;"0"),"OK",IF(LEN(SUBSTITUTE(SUBSTITUTE(SUBSTITUTE(SUBSTITUTE(SUBSTITUTE(SUBSTITUTE(SUBSTITUTE(TRIM(N617),".",""),"/",""),"-","")," ",""),"(",""),")",""),"+",""))=10,"ERRO: é fixo (ou falta o 9), use a coluna Telefone fixo","ERRO: DDD + 9 + 8 dígitos")))</f>
      </c>
      <c r="Y617" s="6">
        <f>IF(O617="","vazio",IF(AND(ISNUMBER(FIND("@",O617)),ISNUMBER(FIND(".",MID(O617,FIND("@",O617),99))),NOT(ISNUMBER(FIND(" ",TRIM(O617)))),NOT(ISNUMBER(FIND(";",O617))),NOT(ISNUMBER(FIND(",",O617)))),"OK","ERRO: um e-mail válido por linha"))</f>
      </c>
      <c r="Z617" s="6">
        <f>IF(AND(J617="",K617=""),"",IF(AND(J617&lt;&gt;"",K617&lt;&gt;""),"OK","pendente: só um nome (o GR completa ao converter)"))</f>
      </c>
      <c r="AA617" s="6">
        <f>IF(COUNTA(A617:S617)=0,"",IF(AND(A617&lt;&gt;"",B617&lt;&gt;"",C617&lt;&gt;"",D617&lt;&gt;"",E617&lt;&gt;"",F617&lt;&gt;"",G617&lt;&gt;"",H617&lt;&gt;"",OR(J617&lt;&gt;"",K617&lt;&gt;""),OR(M617&lt;&gt;"",N617&lt;&gt;"",O617&lt;&gt;"")),"OK","ERRO: faltam "&amp;IF(A617="","SDR; ","")&amp;IF(B617="","Proprietário; ","")&amp;IF(C617="","Origem; ","")&amp;IF(D617="","Temperatura; ","")&amp;IF(E617="","Segmento; ","")&amp;IF(F617="","Time/Cluster; ","")&amp;IF(G617="","CNPJ; ","")&amp;IF(H617="","Razão Social; ","")&amp;IF(AND(J617="",K617=""),"nome do contato; ","")&amp;IF(AND(M617="",N617="",O617=""),"telefone, celular ou e-mail; ","")))</f>
      </c>
      <c r="AB617" s="6">
        <f>IF(COUNTA(A617:S617)=0,"",IF(AND(U617="OK",V617="OK",LEFT(W617,4)&lt;&gt;"ERRO",LEFT(X617,4)&lt;&gt;"ERRO",LEFT(Y617,4)&lt;&gt;"ERRO",AA617="OK"),"OK","REVISAR"))</f>
      </c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5"/>
      <c r="K618" s="4"/>
      <c r="L618" s="4"/>
      <c r="M618" s="4"/>
      <c r="N618" s="4"/>
      <c r="O618" s="4"/>
      <c r="P618" s="4"/>
      <c r="Q618" s="4"/>
      <c r="R618" s="4"/>
      <c r="S618" s="4"/>
      <c r="T618" s="6">
        <f>IF(G618="","",SUBSTITUTE(SUBSTITUTE(SUBSTITUTE(SUBSTITUTE(SUBSTITUTE(SUBSTITUTE(SUBSTITUTE(TRIM(G618),".",""),"/",""),"-","")," ",""),"(",""),")",""),"+",""))</f>
      </c>
      <c r="U618" s="6">
        <f>IF(T618="","",IF(LEN(T618)&lt;&gt;14,"ERRO: "&amp;LEN(T618)&amp;" dígitos",IF(NOT(ISNUMBER(VALUE(T618))),"ERRO: não numérico",IF(LEN(SUBSTITUTE(T618,LEFT(T618,1),""))=0,"ERRO: dígitos repetidos",IF(AND(VALUE(MID(T618,13,1))=IF(MOD(SUMPRODUCT(--MID(T618,{1,2,3,4,5,6,7,8,9,10,11,12},1),{5,4,3,2,9,8,7,6,5,4,3,2}),11)&lt;2,0,11-MOD(SUMPRODUCT(--MID(T618,{1,2,3,4,5,6,7,8,9,10,11,12},1),{5,4,3,2,9,8,7,6,5,4,3,2}),11)),VALUE(MID(T618,14,1))=IF(MOD(SUMPRODUCT(--MID(T618,{1,2,3,4,5,6,7,8,9,10,11,12,13},1),{6,5,4,3,2,9,8,7,6,5,4,3,2}),11)&lt;2,0,11-MOD(SUMPRODUCT(--MID(T618,{1,2,3,4,5,6,7,8,9,10,11,12,13},1),{6,5,4,3,2,9,8,7,6,5,4,3,2}),11))),"OK","ERRO: dígito verificador")))))</f>
      </c>
      <c r="V618" s="6">
        <f>IF(T618="","",IF(COUNTIF($T$2:$T$1001,T618)&gt;1,"DUPLICADO","OK"))</f>
      </c>
      <c r="W618" s="6">
        <f>IF(M618="","vazio",IF(OR(AND(LEN(SUBSTITUTE(SUBSTITUTE(SUBSTITUTE(SUBSTITUTE(SUBSTITUTE(SUBSTITUTE(SUBSTITUTE(TRIM(M618),".",""),"/",""),"-","")," ",""),"(",""),")",""),"+",""))=10,LEFT(SUBSTITUTE(SUBSTITUTE(SUBSTITUTE(SUBSTITUTE(SUBSTITUTE(SUBSTITUTE(SUBSTITUTE(TRIM(M618),".",""),"/",""),"-","")," ",""),"(",""),")",""),"+",""),1)&lt;&gt;"0"),AND(LEN(SUBSTITUTE(SUBSTITUTE(SUBSTITUTE(SUBSTITUTE(SUBSTITUTE(SUBSTITUTE(SUBSTITUTE(TRIM(M618),".",""),"/",""),"-","")," ",""),"(",""),")",""),"+",""))=11,LEFT(SUBSTITUTE(SUBSTITUTE(SUBSTITUTE(SUBSTITUTE(SUBSTITUTE(SUBSTITUTE(SUBSTITUTE(TRIM(M618),".",""),"/",""),"-","")," ",""),"(",""),")",""),"+",""),4)="0800")),"OK",IF(AND(LEN(SUBSTITUTE(SUBSTITUTE(SUBSTITUTE(SUBSTITUTE(SUBSTITUTE(SUBSTITUTE(SUBSTITUTE(TRIM(M618),".",""),"/",""),"-","")," ",""),"(",""),")",""),"+",""))=11,MID(SUBSTITUTE(SUBSTITUTE(SUBSTITUTE(SUBSTITUTE(SUBSTITUTE(SUBSTITUTE(SUBSTITUTE(TRIM(M618),".",""),"/",""),"-","")," ",""),"(",""),")",""),"+",""),3,1)="9"),"ERRO: é celular, use a coluna Celular","ERRO: DDD + 8 dígitos ou 0800 + 7")))</f>
      </c>
      <c r="X618" s="6">
        <f>IF(N618="","vazio",IF(AND(LEN(SUBSTITUTE(SUBSTITUTE(SUBSTITUTE(SUBSTITUTE(SUBSTITUTE(SUBSTITUTE(SUBSTITUTE(TRIM(N618),".",""),"/",""),"-","")," ",""),"(",""),")",""),"+",""))=11,MID(SUBSTITUTE(SUBSTITUTE(SUBSTITUTE(SUBSTITUTE(SUBSTITUTE(SUBSTITUTE(SUBSTITUTE(TRIM(N618),".",""),"/",""),"-","")," ",""),"(",""),")",""),"+",""),3,1)="9",LEFT(SUBSTITUTE(SUBSTITUTE(SUBSTITUTE(SUBSTITUTE(SUBSTITUTE(SUBSTITUTE(SUBSTITUTE(TRIM(N618),".",""),"/",""),"-","")," ",""),"(",""),")",""),"+",""),1)&lt;&gt;"0"),"OK",IF(LEN(SUBSTITUTE(SUBSTITUTE(SUBSTITUTE(SUBSTITUTE(SUBSTITUTE(SUBSTITUTE(SUBSTITUTE(TRIM(N618),".",""),"/",""),"-","")," ",""),"(",""),")",""),"+",""))=10,"ERRO: é fixo (ou falta o 9), use a coluna Telefone fixo","ERRO: DDD + 9 + 8 dígitos")))</f>
      </c>
      <c r="Y618" s="6">
        <f>IF(O618="","vazio",IF(AND(ISNUMBER(FIND("@",O618)),ISNUMBER(FIND(".",MID(O618,FIND("@",O618),99))),NOT(ISNUMBER(FIND(" ",TRIM(O618)))),NOT(ISNUMBER(FIND(";",O618))),NOT(ISNUMBER(FIND(",",O618)))),"OK","ERRO: um e-mail válido por linha"))</f>
      </c>
      <c r="Z618" s="6">
        <f>IF(AND(J618="",K618=""),"",IF(AND(J618&lt;&gt;"",K618&lt;&gt;""),"OK","pendente: só um nome (o GR completa ao converter)"))</f>
      </c>
      <c r="AA618" s="6">
        <f>IF(COUNTA(A618:S618)=0,"",IF(AND(A618&lt;&gt;"",B618&lt;&gt;"",C618&lt;&gt;"",D618&lt;&gt;"",E618&lt;&gt;"",F618&lt;&gt;"",G618&lt;&gt;"",H618&lt;&gt;"",OR(J618&lt;&gt;"",K618&lt;&gt;""),OR(M618&lt;&gt;"",N618&lt;&gt;"",O618&lt;&gt;"")),"OK","ERRO: faltam "&amp;IF(A618="","SDR; ","")&amp;IF(B618="","Proprietário; ","")&amp;IF(C618="","Origem; ","")&amp;IF(D618="","Temperatura; ","")&amp;IF(E618="","Segmento; ","")&amp;IF(F618="","Time/Cluster; ","")&amp;IF(G618="","CNPJ; ","")&amp;IF(H618="","Razão Social; ","")&amp;IF(AND(J618="",K618=""),"nome do contato; ","")&amp;IF(AND(M618="",N618="",O618=""),"telefone, celular ou e-mail; ","")))</f>
      </c>
      <c r="AB618" s="6">
        <f>IF(COUNTA(A618:S618)=0,"",IF(AND(U618="OK",V618="OK",LEFT(W618,4)&lt;&gt;"ERRO",LEFT(X618,4)&lt;&gt;"ERRO",LEFT(Y618,4)&lt;&gt;"ERRO",AA618="OK"),"OK","REVISAR"))</f>
      </c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5"/>
      <c r="K619" s="4"/>
      <c r="L619" s="4"/>
      <c r="M619" s="4"/>
      <c r="N619" s="4"/>
      <c r="O619" s="4"/>
      <c r="P619" s="4"/>
      <c r="Q619" s="4"/>
      <c r="R619" s="4"/>
      <c r="S619" s="4"/>
      <c r="T619" s="6">
        <f>IF(G619="","",SUBSTITUTE(SUBSTITUTE(SUBSTITUTE(SUBSTITUTE(SUBSTITUTE(SUBSTITUTE(SUBSTITUTE(TRIM(G619),".",""),"/",""),"-","")," ",""),"(",""),")",""),"+",""))</f>
      </c>
      <c r="U619" s="6">
        <f>IF(T619="","",IF(LEN(T619)&lt;&gt;14,"ERRO: "&amp;LEN(T619)&amp;" dígitos",IF(NOT(ISNUMBER(VALUE(T619))),"ERRO: não numérico",IF(LEN(SUBSTITUTE(T619,LEFT(T619,1),""))=0,"ERRO: dígitos repetidos",IF(AND(VALUE(MID(T619,13,1))=IF(MOD(SUMPRODUCT(--MID(T619,{1,2,3,4,5,6,7,8,9,10,11,12},1),{5,4,3,2,9,8,7,6,5,4,3,2}),11)&lt;2,0,11-MOD(SUMPRODUCT(--MID(T619,{1,2,3,4,5,6,7,8,9,10,11,12},1),{5,4,3,2,9,8,7,6,5,4,3,2}),11)),VALUE(MID(T619,14,1))=IF(MOD(SUMPRODUCT(--MID(T619,{1,2,3,4,5,6,7,8,9,10,11,12,13},1),{6,5,4,3,2,9,8,7,6,5,4,3,2}),11)&lt;2,0,11-MOD(SUMPRODUCT(--MID(T619,{1,2,3,4,5,6,7,8,9,10,11,12,13},1),{6,5,4,3,2,9,8,7,6,5,4,3,2}),11))),"OK","ERRO: dígito verificador")))))</f>
      </c>
      <c r="V619" s="6">
        <f>IF(T619="","",IF(COUNTIF($T$2:$T$1001,T619)&gt;1,"DUPLICADO","OK"))</f>
      </c>
      <c r="W619" s="6">
        <f>IF(M619="","vazio",IF(OR(AND(LEN(SUBSTITUTE(SUBSTITUTE(SUBSTITUTE(SUBSTITUTE(SUBSTITUTE(SUBSTITUTE(SUBSTITUTE(TRIM(M619),".",""),"/",""),"-","")," ",""),"(",""),")",""),"+",""))=10,LEFT(SUBSTITUTE(SUBSTITUTE(SUBSTITUTE(SUBSTITUTE(SUBSTITUTE(SUBSTITUTE(SUBSTITUTE(TRIM(M619),".",""),"/",""),"-","")," ",""),"(",""),")",""),"+",""),1)&lt;&gt;"0"),AND(LEN(SUBSTITUTE(SUBSTITUTE(SUBSTITUTE(SUBSTITUTE(SUBSTITUTE(SUBSTITUTE(SUBSTITUTE(TRIM(M619),".",""),"/",""),"-","")," ",""),"(",""),")",""),"+",""))=11,LEFT(SUBSTITUTE(SUBSTITUTE(SUBSTITUTE(SUBSTITUTE(SUBSTITUTE(SUBSTITUTE(SUBSTITUTE(TRIM(M619),".",""),"/",""),"-","")," ",""),"(",""),")",""),"+",""),4)="0800")),"OK",IF(AND(LEN(SUBSTITUTE(SUBSTITUTE(SUBSTITUTE(SUBSTITUTE(SUBSTITUTE(SUBSTITUTE(SUBSTITUTE(TRIM(M619),".",""),"/",""),"-","")," ",""),"(",""),")",""),"+",""))=11,MID(SUBSTITUTE(SUBSTITUTE(SUBSTITUTE(SUBSTITUTE(SUBSTITUTE(SUBSTITUTE(SUBSTITUTE(TRIM(M619),".",""),"/",""),"-","")," ",""),"(",""),")",""),"+",""),3,1)="9"),"ERRO: é celular, use a coluna Celular","ERRO: DDD + 8 dígitos ou 0800 + 7")))</f>
      </c>
      <c r="X619" s="6">
        <f>IF(N619="","vazio",IF(AND(LEN(SUBSTITUTE(SUBSTITUTE(SUBSTITUTE(SUBSTITUTE(SUBSTITUTE(SUBSTITUTE(SUBSTITUTE(TRIM(N619),".",""),"/",""),"-","")," ",""),"(",""),")",""),"+",""))=11,MID(SUBSTITUTE(SUBSTITUTE(SUBSTITUTE(SUBSTITUTE(SUBSTITUTE(SUBSTITUTE(SUBSTITUTE(TRIM(N619),".",""),"/",""),"-","")," ",""),"(",""),")",""),"+",""),3,1)="9",LEFT(SUBSTITUTE(SUBSTITUTE(SUBSTITUTE(SUBSTITUTE(SUBSTITUTE(SUBSTITUTE(SUBSTITUTE(TRIM(N619),".",""),"/",""),"-","")," ",""),"(",""),")",""),"+",""),1)&lt;&gt;"0"),"OK",IF(LEN(SUBSTITUTE(SUBSTITUTE(SUBSTITUTE(SUBSTITUTE(SUBSTITUTE(SUBSTITUTE(SUBSTITUTE(TRIM(N619),".",""),"/",""),"-","")," ",""),"(",""),")",""),"+",""))=10,"ERRO: é fixo (ou falta o 9), use a coluna Telefone fixo","ERRO: DDD + 9 + 8 dígitos")))</f>
      </c>
      <c r="Y619" s="6">
        <f>IF(O619="","vazio",IF(AND(ISNUMBER(FIND("@",O619)),ISNUMBER(FIND(".",MID(O619,FIND("@",O619),99))),NOT(ISNUMBER(FIND(" ",TRIM(O619)))),NOT(ISNUMBER(FIND(";",O619))),NOT(ISNUMBER(FIND(",",O619)))),"OK","ERRO: um e-mail válido por linha"))</f>
      </c>
      <c r="Z619" s="6">
        <f>IF(AND(J619="",K619=""),"",IF(AND(J619&lt;&gt;"",K619&lt;&gt;""),"OK","pendente: só um nome (o GR completa ao converter)"))</f>
      </c>
      <c r="AA619" s="6">
        <f>IF(COUNTA(A619:S619)=0,"",IF(AND(A619&lt;&gt;"",B619&lt;&gt;"",C619&lt;&gt;"",D619&lt;&gt;"",E619&lt;&gt;"",F619&lt;&gt;"",G619&lt;&gt;"",H619&lt;&gt;"",OR(J619&lt;&gt;"",K619&lt;&gt;""),OR(M619&lt;&gt;"",N619&lt;&gt;"",O619&lt;&gt;"")),"OK","ERRO: faltam "&amp;IF(A619="","SDR; ","")&amp;IF(B619="","Proprietário; ","")&amp;IF(C619="","Origem; ","")&amp;IF(D619="","Temperatura; ","")&amp;IF(E619="","Segmento; ","")&amp;IF(F619="","Time/Cluster; ","")&amp;IF(G619="","CNPJ; ","")&amp;IF(H619="","Razão Social; ","")&amp;IF(AND(J619="",K619=""),"nome do contato; ","")&amp;IF(AND(M619="",N619="",O619=""),"telefone, celular ou e-mail; ","")))</f>
      </c>
      <c r="AB619" s="6">
        <f>IF(COUNTA(A619:S619)=0,"",IF(AND(U619="OK",V619="OK",LEFT(W619,4)&lt;&gt;"ERRO",LEFT(X619,4)&lt;&gt;"ERRO",LEFT(Y619,4)&lt;&gt;"ERRO",AA619="OK"),"OK","REVISAR"))</f>
      </c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5"/>
      <c r="K620" s="4"/>
      <c r="L620" s="4"/>
      <c r="M620" s="4"/>
      <c r="N620" s="4"/>
      <c r="O620" s="4"/>
      <c r="P620" s="4"/>
      <c r="Q620" s="4"/>
      <c r="R620" s="4"/>
      <c r="S620" s="4"/>
      <c r="T620" s="6">
        <f>IF(G620="","",SUBSTITUTE(SUBSTITUTE(SUBSTITUTE(SUBSTITUTE(SUBSTITUTE(SUBSTITUTE(SUBSTITUTE(TRIM(G620),".",""),"/",""),"-","")," ",""),"(",""),")",""),"+",""))</f>
      </c>
      <c r="U620" s="6">
        <f>IF(T620="","",IF(LEN(T620)&lt;&gt;14,"ERRO: "&amp;LEN(T620)&amp;" dígitos",IF(NOT(ISNUMBER(VALUE(T620))),"ERRO: não numérico",IF(LEN(SUBSTITUTE(T620,LEFT(T620,1),""))=0,"ERRO: dígitos repetidos",IF(AND(VALUE(MID(T620,13,1))=IF(MOD(SUMPRODUCT(--MID(T620,{1,2,3,4,5,6,7,8,9,10,11,12},1),{5,4,3,2,9,8,7,6,5,4,3,2}),11)&lt;2,0,11-MOD(SUMPRODUCT(--MID(T620,{1,2,3,4,5,6,7,8,9,10,11,12},1),{5,4,3,2,9,8,7,6,5,4,3,2}),11)),VALUE(MID(T620,14,1))=IF(MOD(SUMPRODUCT(--MID(T620,{1,2,3,4,5,6,7,8,9,10,11,12,13},1),{6,5,4,3,2,9,8,7,6,5,4,3,2}),11)&lt;2,0,11-MOD(SUMPRODUCT(--MID(T620,{1,2,3,4,5,6,7,8,9,10,11,12,13},1),{6,5,4,3,2,9,8,7,6,5,4,3,2}),11))),"OK","ERRO: dígito verificador")))))</f>
      </c>
      <c r="V620" s="6">
        <f>IF(T620="","",IF(COUNTIF($T$2:$T$1001,T620)&gt;1,"DUPLICADO","OK"))</f>
      </c>
      <c r="W620" s="6">
        <f>IF(M620="","vazio",IF(OR(AND(LEN(SUBSTITUTE(SUBSTITUTE(SUBSTITUTE(SUBSTITUTE(SUBSTITUTE(SUBSTITUTE(SUBSTITUTE(TRIM(M620),".",""),"/",""),"-","")," ",""),"(",""),")",""),"+",""))=10,LEFT(SUBSTITUTE(SUBSTITUTE(SUBSTITUTE(SUBSTITUTE(SUBSTITUTE(SUBSTITUTE(SUBSTITUTE(TRIM(M620),".",""),"/",""),"-","")," ",""),"(",""),")",""),"+",""),1)&lt;&gt;"0"),AND(LEN(SUBSTITUTE(SUBSTITUTE(SUBSTITUTE(SUBSTITUTE(SUBSTITUTE(SUBSTITUTE(SUBSTITUTE(TRIM(M620),".",""),"/",""),"-","")," ",""),"(",""),")",""),"+",""))=11,LEFT(SUBSTITUTE(SUBSTITUTE(SUBSTITUTE(SUBSTITUTE(SUBSTITUTE(SUBSTITUTE(SUBSTITUTE(TRIM(M620),".",""),"/",""),"-","")," ",""),"(",""),")",""),"+",""),4)="0800")),"OK",IF(AND(LEN(SUBSTITUTE(SUBSTITUTE(SUBSTITUTE(SUBSTITUTE(SUBSTITUTE(SUBSTITUTE(SUBSTITUTE(TRIM(M620),".",""),"/",""),"-","")," ",""),"(",""),")",""),"+",""))=11,MID(SUBSTITUTE(SUBSTITUTE(SUBSTITUTE(SUBSTITUTE(SUBSTITUTE(SUBSTITUTE(SUBSTITUTE(TRIM(M620),".",""),"/",""),"-","")," ",""),"(",""),")",""),"+",""),3,1)="9"),"ERRO: é celular, use a coluna Celular","ERRO: DDD + 8 dígitos ou 0800 + 7")))</f>
      </c>
      <c r="X620" s="6">
        <f>IF(N620="","vazio",IF(AND(LEN(SUBSTITUTE(SUBSTITUTE(SUBSTITUTE(SUBSTITUTE(SUBSTITUTE(SUBSTITUTE(SUBSTITUTE(TRIM(N620),".",""),"/",""),"-","")," ",""),"(",""),")",""),"+",""))=11,MID(SUBSTITUTE(SUBSTITUTE(SUBSTITUTE(SUBSTITUTE(SUBSTITUTE(SUBSTITUTE(SUBSTITUTE(TRIM(N620),".",""),"/",""),"-","")," ",""),"(",""),")",""),"+",""),3,1)="9",LEFT(SUBSTITUTE(SUBSTITUTE(SUBSTITUTE(SUBSTITUTE(SUBSTITUTE(SUBSTITUTE(SUBSTITUTE(TRIM(N620),".",""),"/",""),"-","")," ",""),"(",""),")",""),"+",""),1)&lt;&gt;"0"),"OK",IF(LEN(SUBSTITUTE(SUBSTITUTE(SUBSTITUTE(SUBSTITUTE(SUBSTITUTE(SUBSTITUTE(SUBSTITUTE(TRIM(N620),".",""),"/",""),"-","")," ",""),"(",""),")",""),"+",""))=10,"ERRO: é fixo (ou falta o 9), use a coluna Telefone fixo","ERRO: DDD + 9 + 8 dígitos")))</f>
      </c>
      <c r="Y620" s="6">
        <f>IF(O620="","vazio",IF(AND(ISNUMBER(FIND("@",O620)),ISNUMBER(FIND(".",MID(O620,FIND("@",O620),99))),NOT(ISNUMBER(FIND(" ",TRIM(O620)))),NOT(ISNUMBER(FIND(";",O620))),NOT(ISNUMBER(FIND(",",O620)))),"OK","ERRO: um e-mail válido por linha"))</f>
      </c>
      <c r="Z620" s="6">
        <f>IF(AND(J620="",K620=""),"",IF(AND(J620&lt;&gt;"",K620&lt;&gt;""),"OK","pendente: só um nome (o GR completa ao converter)"))</f>
      </c>
      <c r="AA620" s="6">
        <f>IF(COUNTA(A620:S620)=0,"",IF(AND(A620&lt;&gt;"",B620&lt;&gt;"",C620&lt;&gt;"",D620&lt;&gt;"",E620&lt;&gt;"",F620&lt;&gt;"",G620&lt;&gt;"",H620&lt;&gt;"",OR(J620&lt;&gt;"",K620&lt;&gt;""),OR(M620&lt;&gt;"",N620&lt;&gt;"",O620&lt;&gt;"")),"OK","ERRO: faltam "&amp;IF(A620="","SDR; ","")&amp;IF(B620="","Proprietário; ","")&amp;IF(C620="","Origem; ","")&amp;IF(D620="","Temperatura; ","")&amp;IF(E620="","Segmento; ","")&amp;IF(F620="","Time/Cluster; ","")&amp;IF(G620="","CNPJ; ","")&amp;IF(H620="","Razão Social; ","")&amp;IF(AND(J620="",K620=""),"nome do contato; ","")&amp;IF(AND(M620="",N620="",O620=""),"telefone, celular ou e-mail; ","")))</f>
      </c>
      <c r="AB620" s="6">
        <f>IF(COUNTA(A620:S620)=0,"",IF(AND(U620="OK",V620="OK",LEFT(W620,4)&lt;&gt;"ERRO",LEFT(X620,4)&lt;&gt;"ERRO",LEFT(Y620,4)&lt;&gt;"ERRO",AA620="OK"),"OK","REVISAR"))</f>
      </c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5"/>
      <c r="K621" s="4"/>
      <c r="L621" s="4"/>
      <c r="M621" s="4"/>
      <c r="N621" s="4"/>
      <c r="O621" s="4"/>
      <c r="P621" s="4"/>
      <c r="Q621" s="4"/>
      <c r="R621" s="4"/>
      <c r="S621" s="4"/>
      <c r="T621" s="6">
        <f>IF(G621="","",SUBSTITUTE(SUBSTITUTE(SUBSTITUTE(SUBSTITUTE(SUBSTITUTE(SUBSTITUTE(SUBSTITUTE(TRIM(G621),".",""),"/",""),"-","")," ",""),"(",""),")",""),"+",""))</f>
      </c>
      <c r="U621" s="6">
        <f>IF(T621="","",IF(LEN(T621)&lt;&gt;14,"ERRO: "&amp;LEN(T621)&amp;" dígitos",IF(NOT(ISNUMBER(VALUE(T621))),"ERRO: não numérico",IF(LEN(SUBSTITUTE(T621,LEFT(T621,1),""))=0,"ERRO: dígitos repetidos",IF(AND(VALUE(MID(T621,13,1))=IF(MOD(SUMPRODUCT(--MID(T621,{1,2,3,4,5,6,7,8,9,10,11,12},1),{5,4,3,2,9,8,7,6,5,4,3,2}),11)&lt;2,0,11-MOD(SUMPRODUCT(--MID(T621,{1,2,3,4,5,6,7,8,9,10,11,12},1),{5,4,3,2,9,8,7,6,5,4,3,2}),11)),VALUE(MID(T621,14,1))=IF(MOD(SUMPRODUCT(--MID(T621,{1,2,3,4,5,6,7,8,9,10,11,12,13},1),{6,5,4,3,2,9,8,7,6,5,4,3,2}),11)&lt;2,0,11-MOD(SUMPRODUCT(--MID(T621,{1,2,3,4,5,6,7,8,9,10,11,12,13},1),{6,5,4,3,2,9,8,7,6,5,4,3,2}),11))),"OK","ERRO: dígito verificador")))))</f>
      </c>
      <c r="V621" s="6">
        <f>IF(T621="","",IF(COUNTIF($T$2:$T$1001,T621)&gt;1,"DUPLICADO","OK"))</f>
      </c>
      <c r="W621" s="6">
        <f>IF(M621="","vazio",IF(OR(AND(LEN(SUBSTITUTE(SUBSTITUTE(SUBSTITUTE(SUBSTITUTE(SUBSTITUTE(SUBSTITUTE(SUBSTITUTE(TRIM(M621),".",""),"/",""),"-","")," ",""),"(",""),")",""),"+",""))=10,LEFT(SUBSTITUTE(SUBSTITUTE(SUBSTITUTE(SUBSTITUTE(SUBSTITUTE(SUBSTITUTE(SUBSTITUTE(TRIM(M621),".",""),"/",""),"-","")," ",""),"(",""),")",""),"+",""),1)&lt;&gt;"0"),AND(LEN(SUBSTITUTE(SUBSTITUTE(SUBSTITUTE(SUBSTITUTE(SUBSTITUTE(SUBSTITUTE(SUBSTITUTE(TRIM(M621),".",""),"/",""),"-","")," ",""),"(",""),")",""),"+",""))=11,LEFT(SUBSTITUTE(SUBSTITUTE(SUBSTITUTE(SUBSTITUTE(SUBSTITUTE(SUBSTITUTE(SUBSTITUTE(TRIM(M621),".",""),"/",""),"-","")," ",""),"(",""),")",""),"+",""),4)="0800")),"OK",IF(AND(LEN(SUBSTITUTE(SUBSTITUTE(SUBSTITUTE(SUBSTITUTE(SUBSTITUTE(SUBSTITUTE(SUBSTITUTE(TRIM(M621),".",""),"/",""),"-","")," ",""),"(",""),")",""),"+",""))=11,MID(SUBSTITUTE(SUBSTITUTE(SUBSTITUTE(SUBSTITUTE(SUBSTITUTE(SUBSTITUTE(SUBSTITUTE(TRIM(M621),".",""),"/",""),"-","")," ",""),"(",""),")",""),"+",""),3,1)="9"),"ERRO: é celular, use a coluna Celular","ERRO: DDD + 8 dígitos ou 0800 + 7")))</f>
      </c>
      <c r="X621" s="6">
        <f>IF(N621="","vazio",IF(AND(LEN(SUBSTITUTE(SUBSTITUTE(SUBSTITUTE(SUBSTITUTE(SUBSTITUTE(SUBSTITUTE(SUBSTITUTE(TRIM(N621),".",""),"/",""),"-","")," ",""),"(",""),")",""),"+",""))=11,MID(SUBSTITUTE(SUBSTITUTE(SUBSTITUTE(SUBSTITUTE(SUBSTITUTE(SUBSTITUTE(SUBSTITUTE(TRIM(N621),".",""),"/",""),"-","")," ",""),"(",""),")",""),"+",""),3,1)="9",LEFT(SUBSTITUTE(SUBSTITUTE(SUBSTITUTE(SUBSTITUTE(SUBSTITUTE(SUBSTITUTE(SUBSTITUTE(TRIM(N621),".",""),"/",""),"-","")," ",""),"(",""),")",""),"+",""),1)&lt;&gt;"0"),"OK",IF(LEN(SUBSTITUTE(SUBSTITUTE(SUBSTITUTE(SUBSTITUTE(SUBSTITUTE(SUBSTITUTE(SUBSTITUTE(TRIM(N621),".",""),"/",""),"-","")," ",""),"(",""),")",""),"+",""))=10,"ERRO: é fixo (ou falta o 9), use a coluna Telefone fixo","ERRO: DDD + 9 + 8 dígitos")))</f>
      </c>
      <c r="Y621" s="6">
        <f>IF(O621="","vazio",IF(AND(ISNUMBER(FIND("@",O621)),ISNUMBER(FIND(".",MID(O621,FIND("@",O621),99))),NOT(ISNUMBER(FIND(" ",TRIM(O621)))),NOT(ISNUMBER(FIND(";",O621))),NOT(ISNUMBER(FIND(",",O621)))),"OK","ERRO: um e-mail válido por linha"))</f>
      </c>
      <c r="Z621" s="6">
        <f>IF(AND(J621="",K621=""),"",IF(AND(J621&lt;&gt;"",K621&lt;&gt;""),"OK","pendente: só um nome (o GR completa ao converter)"))</f>
      </c>
      <c r="AA621" s="6">
        <f>IF(COUNTA(A621:S621)=0,"",IF(AND(A621&lt;&gt;"",B621&lt;&gt;"",C621&lt;&gt;"",D621&lt;&gt;"",E621&lt;&gt;"",F621&lt;&gt;"",G621&lt;&gt;"",H621&lt;&gt;"",OR(J621&lt;&gt;"",K621&lt;&gt;""),OR(M621&lt;&gt;"",N621&lt;&gt;"",O621&lt;&gt;"")),"OK","ERRO: faltam "&amp;IF(A621="","SDR; ","")&amp;IF(B621="","Proprietário; ","")&amp;IF(C621="","Origem; ","")&amp;IF(D621="","Temperatura; ","")&amp;IF(E621="","Segmento; ","")&amp;IF(F621="","Time/Cluster; ","")&amp;IF(G621="","CNPJ; ","")&amp;IF(H621="","Razão Social; ","")&amp;IF(AND(J621="",K621=""),"nome do contato; ","")&amp;IF(AND(M621="",N621="",O621=""),"telefone, celular ou e-mail; ","")))</f>
      </c>
      <c r="AB621" s="6">
        <f>IF(COUNTA(A621:S621)=0,"",IF(AND(U621="OK",V621="OK",LEFT(W621,4)&lt;&gt;"ERRO",LEFT(X621,4)&lt;&gt;"ERRO",LEFT(Y621,4)&lt;&gt;"ERRO",AA621="OK"),"OK","REVISAR"))</f>
      </c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5"/>
      <c r="K622" s="4"/>
      <c r="L622" s="4"/>
      <c r="M622" s="4"/>
      <c r="N622" s="4"/>
      <c r="O622" s="4"/>
      <c r="P622" s="4"/>
      <c r="Q622" s="4"/>
      <c r="R622" s="4"/>
      <c r="S622" s="4"/>
      <c r="T622" s="6">
        <f>IF(G622="","",SUBSTITUTE(SUBSTITUTE(SUBSTITUTE(SUBSTITUTE(SUBSTITUTE(SUBSTITUTE(SUBSTITUTE(TRIM(G622),".",""),"/",""),"-","")," ",""),"(",""),")",""),"+",""))</f>
      </c>
      <c r="U622" s="6">
        <f>IF(T622="","",IF(LEN(T622)&lt;&gt;14,"ERRO: "&amp;LEN(T622)&amp;" dígitos",IF(NOT(ISNUMBER(VALUE(T622))),"ERRO: não numérico",IF(LEN(SUBSTITUTE(T622,LEFT(T622,1),""))=0,"ERRO: dígitos repetidos",IF(AND(VALUE(MID(T622,13,1))=IF(MOD(SUMPRODUCT(--MID(T622,{1,2,3,4,5,6,7,8,9,10,11,12},1),{5,4,3,2,9,8,7,6,5,4,3,2}),11)&lt;2,0,11-MOD(SUMPRODUCT(--MID(T622,{1,2,3,4,5,6,7,8,9,10,11,12},1),{5,4,3,2,9,8,7,6,5,4,3,2}),11)),VALUE(MID(T622,14,1))=IF(MOD(SUMPRODUCT(--MID(T622,{1,2,3,4,5,6,7,8,9,10,11,12,13},1),{6,5,4,3,2,9,8,7,6,5,4,3,2}),11)&lt;2,0,11-MOD(SUMPRODUCT(--MID(T622,{1,2,3,4,5,6,7,8,9,10,11,12,13},1),{6,5,4,3,2,9,8,7,6,5,4,3,2}),11))),"OK","ERRO: dígito verificador")))))</f>
      </c>
      <c r="V622" s="6">
        <f>IF(T622="","",IF(COUNTIF($T$2:$T$1001,T622)&gt;1,"DUPLICADO","OK"))</f>
      </c>
      <c r="W622" s="6">
        <f>IF(M622="","vazio",IF(OR(AND(LEN(SUBSTITUTE(SUBSTITUTE(SUBSTITUTE(SUBSTITUTE(SUBSTITUTE(SUBSTITUTE(SUBSTITUTE(TRIM(M622),".",""),"/",""),"-","")," ",""),"(",""),")",""),"+",""))=10,LEFT(SUBSTITUTE(SUBSTITUTE(SUBSTITUTE(SUBSTITUTE(SUBSTITUTE(SUBSTITUTE(SUBSTITUTE(TRIM(M622),".",""),"/",""),"-","")," ",""),"(",""),")",""),"+",""),1)&lt;&gt;"0"),AND(LEN(SUBSTITUTE(SUBSTITUTE(SUBSTITUTE(SUBSTITUTE(SUBSTITUTE(SUBSTITUTE(SUBSTITUTE(TRIM(M622),".",""),"/",""),"-","")," ",""),"(",""),")",""),"+",""))=11,LEFT(SUBSTITUTE(SUBSTITUTE(SUBSTITUTE(SUBSTITUTE(SUBSTITUTE(SUBSTITUTE(SUBSTITUTE(TRIM(M622),".",""),"/",""),"-","")," ",""),"(",""),")",""),"+",""),4)="0800")),"OK",IF(AND(LEN(SUBSTITUTE(SUBSTITUTE(SUBSTITUTE(SUBSTITUTE(SUBSTITUTE(SUBSTITUTE(SUBSTITUTE(TRIM(M622),".",""),"/",""),"-","")," ",""),"(",""),")",""),"+",""))=11,MID(SUBSTITUTE(SUBSTITUTE(SUBSTITUTE(SUBSTITUTE(SUBSTITUTE(SUBSTITUTE(SUBSTITUTE(TRIM(M622),".",""),"/",""),"-","")," ",""),"(",""),")",""),"+",""),3,1)="9"),"ERRO: é celular, use a coluna Celular","ERRO: DDD + 8 dígitos ou 0800 + 7")))</f>
      </c>
      <c r="X622" s="6">
        <f>IF(N622="","vazio",IF(AND(LEN(SUBSTITUTE(SUBSTITUTE(SUBSTITUTE(SUBSTITUTE(SUBSTITUTE(SUBSTITUTE(SUBSTITUTE(TRIM(N622),".",""),"/",""),"-","")," ",""),"(",""),")",""),"+",""))=11,MID(SUBSTITUTE(SUBSTITUTE(SUBSTITUTE(SUBSTITUTE(SUBSTITUTE(SUBSTITUTE(SUBSTITUTE(TRIM(N622),".",""),"/",""),"-","")," ",""),"(",""),")",""),"+",""),3,1)="9",LEFT(SUBSTITUTE(SUBSTITUTE(SUBSTITUTE(SUBSTITUTE(SUBSTITUTE(SUBSTITUTE(SUBSTITUTE(TRIM(N622),".",""),"/",""),"-","")," ",""),"(",""),")",""),"+",""),1)&lt;&gt;"0"),"OK",IF(LEN(SUBSTITUTE(SUBSTITUTE(SUBSTITUTE(SUBSTITUTE(SUBSTITUTE(SUBSTITUTE(SUBSTITUTE(TRIM(N622),".",""),"/",""),"-","")," ",""),"(",""),")",""),"+",""))=10,"ERRO: é fixo (ou falta o 9), use a coluna Telefone fixo","ERRO: DDD + 9 + 8 dígitos")))</f>
      </c>
      <c r="Y622" s="6">
        <f>IF(O622="","vazio",IF(AND(ISNUMBER(FIND("@",O622)),ISNUMBER(FIND(".",MID(O622,FIND("@",O622),99))),NOT(ISNUMBER(FIND(" ",TRIM(O622)))),NOT(ISNUMBER(FIND(";",O622))),NOT(ISNUMBER(FIND(",",O622)))),"OK","ERRO: um e-mail válido por linha"))</f>
      </c>
      <c r="Z622" s="6">
        <f>IF(AND(J622="",K622=""),"",IF(AND(J622&lt;&gt;"",K622&lt;&gt;""),"OK","pendente: só um nome (o GR completa ao converter)"))</f>
      </c>
      <c r="AA622" s="6">
        <f>IF(COUNTA(A622:S622)=0,"",IF(AND(A622&lt;&gt;"",B622&lt;&gt;"",C622&lt;&gt;"",D622&lt;&gt;"",E622&lt;&gt;"",F622&lt;&gt;"",G622&lt;&gt;"",H622&lt;&gt;"",OR(J622&lt;&gt;"",K622&lt;&gt;""),OR(M622&lt;&gt;"",N622&lt;&gt;"",O622&lt;&gt;"")),"OK","ERRO: faltam "&amp;IF(A622="","SDR; ","")&amp;IF(B622="","Proprietário; ","")&amp;IF(C622="","Origem; ","")&amp;IF(D622="","Temperatura; ","")&amp;IF(E622="","Segmento; ","")&amp;IF(F622="","Time/Cluster; ","")&amp;IF(G622="","CNPJ; ","")&amp;IF(H622="","Razão Social; ","")&amp;IF(AND(J622="",K622=""),"nome do contato; ","")&amp;IF(AND(M622="",N622="",O622=""),"telefone, celular ou e-mail; ","")))</f>
      </c>
      <c r="AB622" s="6">
        <f>IF(COUNTA(A622:S622)=0,"",IF(AND(U622="OK",V622="OK",LEFT(W622,4)&lt;&gt;"ERRO",LEFT(X622,4)&lt;&gt;"ERRO",LEFT(Y622,4)&lt;&gt;"ERRO",AA622="OK"),"OK","REVISAR"))</f>
      </c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5"/>
      <c r="K623" s="4"/>
      <c r="L623" s="4"/>
      <c r="M623" s="4"/>
      <c r="N623" s="4"/>
      <c r="O623" s="4"/>
      <c r="P623" s="4"/>
      <c r="Q623" s="4"/>
      <c r="R623" s="4"/>
      <c r="S623" s="4"/>
      <c r="T623" s="6">
        <f>IF(G623="","",SUBSTITUTE(SUBSTITUTE(SUBSTITUTE(SUBSTITUTE(SUBSTITUTE(SUBSTITUTE(SUBSTITUTE(TRIM(G623),".",""),"/",""),"-","")," ",""),"(",""),")",""),"+",""))</f>
      </c>
      <c r="U623" s="6">
        <f>IF(T623="","",IF(LEN(T623)&lt;&gt;14,"ERRO: "&amp;LEN(T623)&amp;" dígitos",IF(NOT(ISNUMBER(VALUE(T623))),"ERRO: não numérico",IF(LEN(SUBSTITUTE(T623,LEFT(T623,1),""))=0,"ERRO: dígitos repetidos",IF(AND(VALUE(MID(T623,13,1))=IF(MOD(SUMPRODUCT(--MID(T623,{1,2,3,4,5,6,7,8,9,10,11,12},1),{5,4,3,2,9,8,7,6,5,4,3,2}),11)&lt;2,0,11-MOD(SUMPRODUCT(--MID(T623,{1,2,3,4,5,6,7,8,9,10,11,12},1),{5,4,3,2,9,8,7,6,5,4,3,2}),11)),VALUE(MID(T623,14,1))=IF(MOD(SUMPRODUCT(--MID(T623,{1,2,3,4,5,6,7,8,9,10,11,12,13},1),{6,5,4,3,2,9,8,7,6,5,4,3,2}),11)&lt;2,0,11-MOD(SUMPRODUCT(--MID(T623,{1,2,3,4,5,6,7,8,9,10,11,12,13},1),{6,5,4,3,2,9,8,7,6,5,4,3,2}),11))),"OK","ERRO: dígito verificador")))))</f>
      </c>
      <c r="V623" s="6">
        <f>IF(T623="","",IF(COUNTIF($T$2:$T$1001,T623)&gt;1,"DUPLICADO","OK"))</f>
      </c>
      <c r="W623" s="6">
        <f>IF(M623="","vazio",IF(OR(AND(LEN(SUBSTITUTE(SUBSTITUTE(SUBSTITUTE(SUBSTITUTE(SUBSTITUTE(SUBSTITUTE(SUBSTITUTE(TRIM(M623),".",""),"/",""),"-","")," ",""),"(",""),")",""),"+",""))=10,LEFT(SUBSTITUTE(SUBSTITUTE(SUBSTITUTE(SUBSTITUTE(SUBSTITUTE(SUBSTITUTE(SUBSTITUTE(TRIM(M623),".",""),"/",""),"-","")," ",""),"(",""),")",""),"+",""),1)&lt;&gt;"0"),AND(LEN(SUBSTITUTE(SUBSTITUTE(SUBSTITUTE(SUBSTITUTE(SUBSTITUTE(SUBSTITUTE(SUBSTITUTE(TRIM(M623),".",""),"/",""),"-","")," ",""),"(",""),")",""),"+",""))=11,LEFT(SUBSTITUTE(SUBSTITUTE(SUBSTITUTE(SUBSTITUTE(SUBSTITUTE(SUBSTITUTE(SUBSTITUTE(TRIM(M623),".",""),"/",""),"-","")," ",""),"(",""),")",""),"+",""),4)="0800")),"OK",IF(AND(LEN(SUBSTITUTE(SUBSTITUTE(SUBSTITUTE(SUBSTITUTE(SUBSTITUTE(SUBSTITUTE(SUBSTITUTE(TRIM(M623),".",""),"/",""),"-","")," ",""),"(",""),")",""),"+",""))=11,MID(SUBSTITUTE(SUBSTITUTE(SUBSTITUTE(SUBSTITUTE(SUBSTITUTE(SUBSTITUTE(SUBSTITUTE(TRIM(M623),".",""),"/",""),"-","")," ",""),"(",""),")",""),"+",""),3,1)="9"),"ERRO: é celular, use a coluna Celular","ERRO: DDD + 8 dígitos ou 0800 + 7")))</f>
      </c>
      <c r="X623" s="6">
        <f>IF(N623="","vazio",IF(AND(LEN(SUBSTITUTE(SUBSTITUTE(SUBSTITUTE(SUBSTITUTE(SUBSTITUTE(SUBSTITUTE(SUBSTITUTE(TRIM(N623),".",""),"/",""),"-","")," ",""),"(",""),")",""),"+",""))=11,MID(SUBSTITUTE(SUBSTITUTE(SUBSTITUTE(SUBSTITUTE(SUBSTITUTE(SUBSTITUTE(SUBSTITUTE(TRIM(N623),".",""),"/",""),"-","")," ",""),"(",""),")",""),"+",""),3,1)="9",LEFT(SUBSTITUTE(SUBSTITUTE(SUBSTITUTE(SUBSTITUTE(SUBSTITUTE(SUBSTITUTE(SUBSTITUTE(TRIM(N623),".",""),"/",""),"-","")," ",""),"(",""),")",""),"+",""),1)&lt;&gt;"0"),"OK",IF(LEN(SUBSTITUTE(SUBSTITUTE(SUBSTITUTE(SUBSTITUTE(SUBSTITUTE(SUBSTITUTE(SUBSTITUTE(TRIM(N623),".",""),"/",""),"-","")," ",""),"(",""),")",""),"+",""))=10,"ERRO: é fixo (ou falta o 9), use a coluna Telefone fixo","ERRO: DDD + 9 + 8 dígitos")))</f>
      </c>
      <c r="Y623" s="6">
        <f>IF(O623="","vazio",IF(AND(ISNUMBER(FIND("@",O623)),ISNUMBER(FIND(".",MID(O623,FIND("@",O623),99))),NOT(ISNUMBER(FIND(" ",TRIM(O623)))),NOT(ISNUMBER(FIND(";",O623))),NOT(ISNUMBER(FIND(",",O623)))),"OK","ERRO: um e-mail válido por linha"))</f>
      </c>
      <c r="Z623" s="6">
        <f>IF(AND(J623="",K623=""),"",IF(AND(J623&lt;&gt;"",K623&lt;&gt;""),"OK","pendente: só um nome (o GR completa ao converter)"))</f>
      </c>
      <c r="AA623" s="6">
        <f>IF(COUNTA(A623:S623)=0,"",IF(AND(A623&lt;&gt;"",B623&lt;&gt;"",C623&lt;&gt;"",D623&lt;&gt;"",E623&lt;&gt;"",F623&lt;&gt;"",G623&lt;&gt;"",H623&lt;&gt;"",OR(J623&lt;&gt;"",K623&lt;&gt;""),OR(M623&lt;&gt;"",N623&lt;&gt;"",O623&lt;&gt;"")),"OK","ERRO: faltam "&amp;IF(A623="","SDR; ","")&amp;IF(B623="","Proprietário; ","")&amp;IF(C623="","Origem; ","")&amp;IF(D623="","Temperatura; ","")&amp;IF(E623="","Segmento; ","")&amp;IF(F623="","Time/Cluster; ","")&amp;IF(G623="","CNPJ; ","")&amp;IF(H623="","Razão Social; ","")&amp;IF(AND(J623="",K623=""),"nome do contato; ","")&amp;IF(AND(M623="",N623="",O623=""),"telefone, celular ou e-mail; ","")))</f>
      </c>
      <c r="AB623" s="6">
        <f>IF(COUNTA(A623:S623)=0,"",IF(AND(U623="OK",V623="OK",LEFT(W623,4)&lt;&gt;"ERRO",LEFT(X623,4)&lt;&gt;"ERRO",LEFT(Y623,4)&lt;&gt;"ERRO",AA623="OK"),"OK","REVISAR"))</f>
      </c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5"/>
      <c r="K624" s="4"/>
      <c r="L624" s="4"/>
      <c r="M624" s="4"/>
      <c r="N624" s="4"/>
      <c r="O624" s="4"/>
      <c r="P624" s="4"/>
      <c r="Q624" s="4"/>
      <c r="R624" s="4"/>
      <c r="S624" s="4"/>
      <c r="T624" s="6">
        <f>IF(G624="","",SUBSTITUTE(SUBSTITUTE(SUBSTITUTE(SUBSTITUTE(SUBSTITUTE(SUBSTITUTE(SUBSTITUTE(TRIM(G624),".",""),"/",""),"-","")," ",""),"(",""),")",""),"+",""))</f>
      </c>
      <c r="U624" s="6">
        <f>IF(T624="","",IF(LEN(T624)&lt;&gt;14,"ERRO: "&amp;LEN(T624)&amp;" dígitos",IF(NOT(ISNUMBER(VALUE(T624))),"ERRO: não numérico",IF(LEN(SUBSTITUTE(T624,LEFT(T624,1),""))=0,"ERRO: dígitos repetidos",IF(AND(VALUE(MID(T624,13,1))=IF(MOD(SUMPRODUCT(--MID(T624,{1,2,3,4,5,6,7,8,9,10,11,12},1),{5,4,3,2,9,8,7,6,5,4,3,2}),11)&lt;2,0,11-MOD(SUMPRODUCT(--MID(T624,{1,2,3,4,5,6,7,8,9,10,11,12},1),{5,4,3,2,9,8,7,6,5,4,3,2}),11)),VALUE(MID(T624,14,1))=IF(MOD(SUMPRODUCT(--MID(T624,{1,2,3,4,5,6,7,8,9,10,11,12,13},1),{6,5,4,3,2,9,8,7,6,5,4,3,2}),11)&lt;2,0,11-MOD(SUMPRODUCT(--MID(T624,{1,2,3,4,5,6,7,8,9,10,11,12,13},1),{6,5,4,3,2,9,8,7,6,5,4,3,2}),11))),"OK","ERRO: dígito verificador")))))</f>
      </c>
      <c r="V624" s="6">
        <f>IF(T624="","",IF(COUNTIF($T$2:$T$1001,T624)&gt;1,"DUPLICADO","OK"))</f>
      </c>
      <c r="W624" s="6">
        <f>IF(M624="","vazio",IF(OR(AND(LEN(SUBSTITUTE(SUBSTITUTE(SUBSTITUTE(SUBSTITUTE(SUBSTITUTE(SUBSTITUTE(SUBSTITUTE(TRIM(M624),".",""),"/",""),"-","")," ",""),"(",""),")",""),"+",""))=10,LEFT(SUBSTITUTE(SUBSTITUTE(SUBSTITUTE(SUBSTITUTE(SUBSTITUTE(SUBSTITUTE(SUBSTITUTE(TRIM(M624),".",""),"/",""),"-","")," ",""),"(",""),")",""),"+",""),1)&lt;&gt;"0"),AND(LEN(SUBSTITUTE(SUBSTITUTE(SUBSTITUTE(SUBSTITUTE(SUBSTITUTE(SUBSTITUTE(SUBSTITUTE(TRIM(M624),".",""),"/",""),"-","")," ",""),"(",""),")",""),"+",""))=11,LEFT(SUBSTITUTE(SUBSTITUTE(SUBSTITUTE(SUBSTITUTE(SUBSTITUTE(SUBSTITUTE(SUBSTITUTE(TRIM(M624),".",""),"/",""),"-","")," ",""),"(",""),")",""),"+",""),4)="0800")),"OK",IF(AND(LEN(SUBSTITUTE(SUBSTITUTE(SUBSTITUTE(SUBSTITUTE(SUBSTITUTE(SUBSTITUTE(SUBSTITUTE(TRIM(M624),".",""),"/",""),"-","")," ",""),"(",""),")",""),"+",""))=11,MID(SUBSTITUTE(SUBSTITUTE(SUBSTITUTE(SUBSTITUTE(SUBSTITUTE(SUBSTITUTE(SUBSTITUTE(TRIM(M624),".",""),"/",""),"-","")," ",""),"(",""),")",""),"+",""),3,1)="9"),"ERRO: é celular, use a coluna Celular","ERRO: DDD + 8 dígitos ou 0800 + 7")))</f>
      </c>
      <c r="X624" s="6">
        <f>IF(N624="","vazio",IF(AND(LEN(SUBSTITUTE(SUBSTITUTE(SUBSTITUTE(SUBSTITUTE(SUBSTITUTE(SUBSTITUTE(SUBSTITUTE(TRIM(N624),".",""),"/",""),"-","")," ",""),"(",""),")",""),"+",""))=11,MID(SUBSTITUTE(SUBSTITUTE(SUBSTITUTE(SUBSTITUTE(SUBSTITUTE(SUBSTITUTE(SUBSTITUTE(TRIM(N624),".",""),"/",""),"-","")," ",""),"(",""),")",""),"+",""),3,1)="9",LEFT(SUBSTITUTE(SUBSTITUTE(SUBSTITUTE(SUBSTITUTE(SUBSTITUTE(SUBSTITUTE(SUBSTITUTE(TRIM(N624),".",""),"/",""),"-","")," ",""),"(",""),")",""),"+",""),1)&lt;&gt;"0"),"OK",IF(LEN(SUBSTITUTE(SUBSTITUTE(SUBSTITUTE(SUBSTITUTE(SUBSTITUTE(SUBSTITUTE(SUBSTITUTE(TRIM(N624),".",""),"/",""),"-","")," ",""),"(",""),")",""),"+",""))=10,"ERRO: é fixo (ou falta o 9), use a coluna Telefone fixo","ERRO: DDD + 9 + 8 dígitos")))</f>
      </c>
      <c r="Y624" s="6">
        <f>IF(O624="","vazio",IF(AND(ISNUMBER(FIND("@",O624)),ISNUMBER(FIND(".",MID(O624,FIND("@",O624),99))),NOT(ISNUMBER(FIND(" ",TRIM(O624)))),NOT(ISNUMBER(FIND(";",O624))),NOT(ISNUMBER(FIND(",",O624)))),"OK","ERRO: um e-mail válido por linha"))</f>
      </c>
      <c r="Z624" s="6">
        <f>IF(AND(J624="",K624=""),"",IF(AND(J624&lt;&gt;"",K624&lt;&gt;""),"OK","pendente: só um nome (o GR completa ao converter)"))</f>
      </c>
      <c r="AA624" s="6">
        <f>IF(COUNTA(A624:S624)=0,"",IF(AND(A624&lt;&gt;"",B624&lt;&gt;"",C624&lt;&gt;"",D624&lt;&gt;"",E624&lt;&gt;"",F624&lt;&gt;"",G624&lt;&gt;"",H624&lt;&gt;"",OR(J624&lt;&gt;"",K624&lt;&gt;""),OR(M624&lt;&gt;"",N624&lt;&gt;"",O624&lt;&gt;"")),"OK","ERRO: faltam "&amp;IF(A624="","SDR; ","")&amp;IF(B624="","Proprietário; ","")&amp;IF(C624="","Origem; ","")&amp;IF(D624="","Temperatura; ","")&amp;IF(E624="","Segmento; ","")&amp;IF(F624="","Time/Cluster; ","")&amp;IF(G624="","CNPJ; ","")&amp;IF(H624="","Razão Social; ","")&amp;IF(AND(J624="",K624=""),"nome do contato; ","")&amp;IF(AND(M624="",N624="",O624=""),"telefone, celular ou e-mail; ","")))</f>
      </c>
      <c r="AB624" s="6">
        <f>IF(COUNTA(A624:S624)=0,"",IF(AND(U624="OK",V624="OK",LEFT(W624,4)&lt;&gt;"ERRO",LEFT(X624,4)&lt;&gt;"ERRO",LEFT(Y624,4)&lt;&gt;"ERRO",AA624="OK"),"OK","REVISAR"))</f>
      </c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5"/>
      <c r="K625" s="4"/>
      <c r="L625" s="4"/>
      <c r="M625" s="4"/>
      <c r="N625" s="4"/>
      <c r="O625" s="4"/>
      <c r="P625" s="4"/>
      <c r="Q625" s="4"/>
      <c r="R625" s="4"/>
      <c r="S625" s="4"/>
      <c r="T625" s="6">
        <f>IF(G625="","",SUBSTITUTE(SUBSTITUTE(SUBSTITUTE(SUBSTITUTE(SUBSTITUTE(SUBSTITUTE(SUBSTITUTE(TRIM(G625),".",""),"/",""),"-","")," ",""),"(",""),")",""),"+",""))</f>
      </c>
      <c r="U625" s="6">
        <f>IF(T625="","",IF(LEN(T625)&lt;&gt;14,"ERRO: "&amp;LEN(T625)&amp;" dígitos",IF(NOT(ISNUMBER(VALUE(T625))),"ERRO: não numérico",IF(LEN(SUBSTITUTE(T625,LEFT(T625,1),""))=0,"ERRO: dígitos repetidos",IF(AND(VALUE(MID(T625,13,1))=IF(MOD(SUMPRODUCT(--MID(T625,{1,2,3,4,5,6,7,8,9,10,11,12},1),{5,4,3,2,9,8,7,6,5,4,3,2}),11)&lt;2,0,11-MOD(SUMPRODUCT(--MID(T625,{1,2,3,4,5,6,7,8,9,10,11,12},1),{5,4,3,2,9,8,7,6,5,4,3,2}),11)),VALUE(MID(T625,14,1))=IF(MOD(SUMPRODUCT(--MID(T625,{1,2,3,4,5,6,7,8,9,10,11,12,13},1),{6,5,4,3,2,9,8,7,6,5,4,3,2}),11)&lt;2,0,11-MOD(SUMPRODUCT(--MID(T625,{1,2,3,4,5,6,7,8,9,10,11,12,13},1),{6,5,4,3,2,9,8,7,6,5,4,3,2}),11))),"OK","ERRO: dígito verificador")))))</f>
      </c>
      <c r="V625" s="6">
        <f>IF(T625="","",IF(COUNTIF($T$2:$T$1001,T625)&gt;1,"DUPLICADO","OK"))</f>
      </c>
      <c r="W625" s="6">
        <f>IF(M625="","vazio",IF(OR(AND(LEN(SUBSTITUTE(SUBSTITUTE(SUBSTITUTE(SUBSTITUTE(SUBSTITUTE(SUBSTITUTE(SUBSTITUTE(TRIM(M625),".",""),"/",""),"-","")," ",""),"(",""),")",""),"+",""))=10,LEFT(SUBSTITUTE(SUBSTITUTE(SUBSTITUTE(SUBSTITUTE(SUBSTITUTE(SUBSTITUTE(SUBSTITUTE(TRIM(M625),".",""),"/",""),"-","")," ",""),"(",""),")",""),"+",""),1)&lt;&gt;"0"),AND(LEN(SUBSTITUTE(SUBSTITUTE(SUBSTITUTE(SUBSTITUTE(SUBSTITUTE(SUBSTITUTE(SUBSTITUTE(TRIM(M625),".",""),"/",""),"-","")," ",""),"(",""),")",""),"+",""))=11,LEFT(SUBSTITUTE(SUBSTITUTE(SUBSTITUTE(SUBSTITUTE(SUBSTITUTE(SUBSTITUTE(SUBSTITUTE(TRIM(M625),".",""),"/",""),"-","")," ",""),"(",""),")",""),"+",""),4)="0800")),"OK",IF(AND(LEN(SUBSTITUTE(SUBSTITUTE(SUBSTITUTE(SUBSTITUTE(SUBSTITUTE(SUBSTITUTE(SUBSTITUTE(TRIM(M625),".",""),"/",""),"-","")," ",""),"(",""),")",""),"+",""))=11,MID(SUBSTITUTE(SUBSTITUTE(SUBSTITUTE(SUBSTITUTE(SUBSTITUTE(SUBSTITUTE(SUBSTITUTE(TRIM(M625),".",""),"/",""),"-","")," ",""),"(",""),")",""),"+",""),3,1)="9"),"ERRO: é celular, use a coluna Celular","ERRO: DDD + 8 dígitos ou 0800 + 7")))</f>
      </c>
      <c r="X625" s="6">
        <f>IF(N625="","vazio",IF(AND(LEN(SUBSTITUTE(SUBSTITUTE(SUBSTITUTE(SUBSTITUTE(SUBSTITUTE(SUBSTITUTE(SUBSTITUTE(TRIM(N625),".",""),"/",""),"-","")," ",""),"(",""),")",""),"+",""))=11,MID(SUBSTITUTE(SUBSTITUTE(SUBSTITUTE(SUBSTITUTE(SUBSTITUTE(SUBSTITUTE(SUBSTITUTE(TRIM(N625),".",""),"/",""),"-","")," ",""),"(",""),")",""),"+",""),3,1)="9",LEFT(SUBSTITUTE(SUBSTITUTE(SUBSTITUTE(SUBSTITUTE(SUBSTITUTE(SUBSTITUTE(SUBSTITUTE(TRIM(N625),".",""),"/",""),"-","")," ",""),"(",""),")",""),"+",""),1)&lt;&gt;"0"),"OK",IF(LEN(SUBSTITUTE(SUBSTITUTE(SUBSTITUTE(SUBSTITUTE(SUBSTITUTE(SUBSTITUTE(SUBSTITUTE(TRIM(N625),".",""),"/",""),"-","")," ",""),"(",""),")",""),"+",""))=10,"ERRO: é fixo (ou falta o 9), use a coluna Telefone fixo","ERRO: DDD + 9 + 8 dígitos")))</f>
      </c>
      <c r="Y625" s="6">
        <f>IF(O625="","vazio",IF(AND(ISNUMBER(FIND("@",O625)),ISNUMBER(FIND(".",MID(O625,FIND("@",O625),99))),NOT(ISNUMBER(FIND(" ",TRIM(O625)))),NOT(ISNUMBER(FIND(";",O625))),NOT(ISNUMBER(FIND(",",O625)))),"OK","ERRO: um e-mail válido por linha"))</f>
      </c>
      <c r="Z625" s="6">
        <f>IF(AND(J625="",K625=""),"",IF(AND(J625&lt;&gt;"",K625&lt;&gt;""),"OK","pendente: só um nome (o GR completa ao converter)"))</f>
      </c>
      <c r="AA625" s="6">
        <f>IF(COUNTA(A625:S625)=0,"",IF(AND(A625&lt;&gt;"",B625&lt;&gt;"",C625&lt;&gt;"",D625&lt;&gt;"",E625&lt;&gt;"",F625&lt;&gt;"",G625&lt;&gt;"",H625&lt;&gt;"",OR(J625&lt;&gt;"",K625&lt;&gt;""),OR(M625&lt;&gt;"",N625&lt;&gt;"",O625&lt;&gt;"")),"OK","ERRO: faltam "&amp;IF(A625="","SDR; ","")&amp;IF(B625="","Proprietário; ","")&amp;IF(C625="","Origem; ","")&amp;IF(D625="","Temperatura; ","")&amp;IF(E625="","Segmento; ","")&amp;IF(F625="","Time/Cluster; ","")&amp;IF(G625="","CNPJ; ","")&amp;IF(H625="","Razão Social; ","")&amp;IF(AND(J625="",K625=""),"nome do contato; ","")&amp;IF(AND(M625="",N625="",O625=""),"telefone, celular ou e-mail; ","")))</f>
      </c>
      <c r="AB625" s="6">
        <f>IF(COUNTA(A625:S625)=0,"",IF(AND(U625="OK",V625="OK",LEFT(W625,4)&lt;&gt;"ERRO",LEFT(X625,4)&lt;&gt;"ERRO",LEFT(Y625,4)&lt;&gt;"ERRO",AA625="OK"),"OK","REVISAR"))</f>
      </c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5"/>
      <c r="K626" s="4"/>
      <c r="L626" s="4"/>
      <c r="M626" s="4"/>
      <c r="N626" s="4"/>
      <c r="O626" s="4"/>
      <c r="P626" s="4"/>
      <c r="Q626" s="4"/>
      <c r="R626" s="4"/>
      <c r="S626" s="4"/>
      <c r="T626" s="6">
        <f>IF(G626="","",SUBSTITUTE(SUBSTITUTE(SUBSTITUTE(SUBSTITUTE(SUBSTITUTE(SUBSTITUTE(SUBSTITUTE(TRIM(G626),".",""),"/",""),"-","")," ",""),"(",""),")",""),"+",""))</f>
      </c>
      <c r="U626" s="6">
        <f>IF(T626="","",IF(LEN(T626)&lt;&gt;14,"ERRO: "&amp;LEN(T626)&amp;" dígitos",IF(NOT(ISNUMBER(VALUE(T626))),"ERRO: não numérico",IF(LEN(SUBSTITUTE(T626,LEFT(T626,1),""))=0,"ERRO: dígitos repetidos",IF(AND(VALUE(MID(T626,13,1))=IF(MOD(SUMPRODUCT(--MID(T626,{1,2,3,4,5,6,7,8,9,10,11,12},1),{5,4,3,2,9,8,7,6,5,4,3,2}),11)&lt;2,0,11-MOD(SUMPRODUCT(--MID(T626,{1,2,3,4,5,6,7,8,9,10,11,12},1),{5,4,3,2,9,8,7,6,5,4,3,2}),11)),VALUE(MID(T626,14,1))=IF(MOD(SUMPRODUCT(--MID(T626,{1,2,3,4,5,6,7,8,9,10,11,12,13},1),{6,5,4,3,2,9,8,7,6,5,4,3,2}),11)&lt;2,0,11-MOD(SUMPRODUCT(--MID(T626,{1,2,3,4,5,6,7,8,9,10,11,12,13},1),{6,5,4,3,2,9,8,7,6,5,4,3,2}),11))),"OK","ERRO: dígito verificador")))))</f>
      </c>
      <c r="V626" s="6">
        <f>IF(T626="","",IF(COUNTIF($T$2:$T$1001,T626)&gt;1,"DUPLICADO","OK"))</f>
      </c>
      <c r="W626" s="6">
        <f>IF(M626="","vazio",IF(OR(AND(LEN(SUBSTITUTE(SUBSTITUTE(SUBSTITUTE(SUBSTITUTE(SUBSTITUTE(SUBSTITUTE(SUBSTITUTE(TRIM(M626),".",""),"/",""),"-","")," ",""),"(",""),")",""),"+",""))=10,LEFT(SUBSTITUTE(SUBSTITUTE(SUBSTITUTE(SUBSTITUTE(SUBSTITUTE(SUBSTITUTE(SUBSTITUTE(TRIM(M626),".",""),"/",""),"-","")," ",""),"(",""),")",""),"+",""),1)&lt;&gt;"0"),AND(LEN(SUBSTITUTE(SUBSTITUTE(SUBSTITUTE(SUBSTITUTE(SUBSTITUTE(SUBSTITUTE(SUBSTITUTE(TRIM(M626),".",""),"/",""),"-","")," ",""),"(",""),")",""),"+",""))=11,LEFT(SUBSTITUTE(SUBSTITUTE(SUBSTITUTE(SUBSTITUTE(SUBSTITUTE(SUBSTITUTE(SUBSTITUTE(TRIM(M626),".",""),"/",""),"-","")," ",""),"(",""),")",""),"+",""),4)="0800")),"OK",IF(AND(LEN(SUBSTITUTE(SUBSTITUTE(SUBSTITUTE(SUBSTITUTE(SUBSTITUTE(SUBSTITUTE(SUBSTITUTE(TRIM(M626),".",""),"/",""),"-","")," ",""),"(",""),")",""),"+",""))=11,MID(SUBSTITUTE(SUBSTITUTE(SUBSTITUTE(SUBSTITUTE(SUBSTITUTE(SUBSTITUTE(SUBSTITUTE(TRIM(M626),".",""),"/",""),"-","")," ",""),"(",""),")",""),"+",""),3,1)="9"),"ERRO: é celular, use a coluna Celular","ERRO: DDD + 8 dígitos ou 0800 + 7")))</f>
      </c>
      <c r="X626" s="6">
        <f>IF(N626="","vazio",IF(AND(LEN(SUBSTITUTE(SUBSTITUTE(SUBSTITUTE(SUBSTITUTE(SUBSTITUTE(SUBSTITUTE(SUBSTITUTE(TRIM(N626),".",""),"/",""),"-","")," ",""),"(",""),")",""),"+",""))=11,MID(SUBSTITUTE(SUBSTITUTE(SUBSTITUTE(SUBSTITUTE(SUBSTITUTE(SUBSTITUTE(SUBSTITUTE(TRIM(N626),".",""),"/",""),"-","")," ",""),"(",""),")",""),"+",""),3,1)="9",LEFT(SUBSTITUTE(SUBSTITUTE(SUBSTITUTE(SUBSTITUTE(SUBSTITUTE(SUBSTITUTE(SUBSTITUTE(TRIM(N626),".",""),"/",""),"-","")," ",""),"(",""),")",""),"+",""),1)&lt;&gt;"0"),"OK",IF(LEN(SUBSTITUTE(SUBSTITUTE(SUBSTITUTE(SUBSTITUTE(SUBSTITUTE(SUBSTITUTE(SUBSTITUTE(TRIM(N626),".",""),"/",""),"-","")," ",""),"(",""),")",""),"+",""))=10,"ERRO: é fixo (ou falta o 9), use a coluna Telefone fixo","ERRO: DDD + 9 + 8 dígitos")))</f>
      </c>
      <c r="Y626" s="6">
        <f>IF(O626="","vazio",IF(AND(ISNUMBER(FIND("@",O626)),ISNUMBER(FIND(".",MID(O626,FIND("@",O626),99))),NOT(ISNUMBER(FIND(" ",TRIM(O626)))),NOT(ISNUMBER(FIND(";",O626))),NOT(ISNUMBER(FIND(",",O626)))),"OK","ERRO: um e-mail válido por linha"))</f>
      </c>
      <c r="Z626" s="6">
        <f>IF(AND(J626="",K626=""),"",IF(AND(J626&lt;&gt;"",K626&lt;&gt;""),"OK","pendente: só um nome (o GR completa ao converter)"))</f>
      </c>
      <c r="AA626" s="6">
        <f>IF(COUNTA(A626:S626)=0,"",IF(AND(A626&lt;&gt;"",B626&lt;&gt;"",C626&lt;&gt;"",D626&lt;&gt;"",E626&lt;&gt;"",F626&lt;&gt;"",G626&lt;&gt;"",H626&lt;&gt;"",OR(J626&lt;&gt;"",K626&lt;&gt;""),OR(M626&lt;&gt;"",N626&lt;&gt;"",O626&lt;&gt;"")),"OK","ERRO: faltam "&amp;IF(A626="","SDR; ","")&amp;IF(B626="","Proprietário; ","")&amp;IF(C626="","Origem; ","")&amp;IF(D626="","Temperatura; ","")&amp;IF(E626="","Segmento; ","")&amp;IF(F626="","Time/Cluster; ","")&amp;IF(G626="","CNPJ; ","")&amp;IF(H626="","Razão Social; ","")&amp;IF(AND(J626="",K626=""),"nome do contato; ","")&amp;IF(AND(M626="",N626="",O626=""),"telefone, celular ou e-mail; ","")))</f>
      </c>
      <c r="AB626" s="6">
        <f>IF(COUNTA(A626:S626)=0,"",IF(AND(U626="OK",V626="OK",LEFT(W626,4)&lt;&gt;"ERRO",LEFT(X626,4)&lt;&gt;"ERRO",LEFT(Y626,4)&lt;&gt;"ERRO",AA626="OK"),"OK","REVISAR"))</f>
      </c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5"/>
      <c r="K627" s="4"/>
      <c r="L627" s="4"/>
      <c r="M627" s="4"/>
      <c r="N627" s="4"/>
      <c r="O627" s="4"/>
      <c r="P627" s="4"/>
      <c r="Q627" s="4"/>
      <c r="R627" s="4"/>
      <c r="S627" s="4"/>
      <c r="T627" s="6">
        <f>IF(G627="","",SUBSTITUTE(SUBSTITUTE(SUBSTITUTE(SUBSTITUTE(SUBSTITUTE(SUBSTITUTE(SUBSTITUTE(TRIM(G627),".",""),"/",""),"-","")," ",""),"(",""),")",""),"+",""))</f>
      </c>
      <c r="U627" s="6">
        <f>IF(T627="","",IF(LEN(T627)&lt;&gt;14,"ERRO: "&amp;LEN(T627)&amp;" dígitos",IF(NOT(ISNUMBER(VALUE(T627))),"ERRO: não numérico",IF(LEN(SUBSTITUTE(T627,LEFT(T627,1),""))=0,"ERRO: dígitos repetidos",IF(AND(VALUE(MID(T627,13,1))=IF(MOD(SUMPRODUCT(--MID(T627,{1,2,3,4,5,6,7,8,9,10,11,12},1),{5,4,3,2,9,8,7,6,5,4,3,2}),11)&lt;2,0,11-MOD(SUMPRODUCT(--MID(T627,{1,2,3,4,5,6,7,8,9,10,11,12},1),{5,4,3,2,9,8,7,6,5,4,3,2}),11)),VALUE(MID(T627,14,1))=IF(MOD(SUMPRODUCT(--MID(T627,{1,2,3,4,5,6,7,8,9,10,11,12,13},1),{6,5,4,3,2,9,8,7,6,5,4,3,2}),11)&lt;2,0,11-MOD(SUMPRODUCT(--MID(T627,{1,2,3,4,5,6,7,8,9,10,11,12,13},1),{6,5,4,3,2,9,8,7,6,5,4,3,2}),11))),"OK","ERRO: dígito verificador")))))</f>
      </c>
      <c r="V627" s="6">
        <f>IF(T627="","",IF(COUNTIF($T$2:$T$1001,T627)&gt;1,"DUPLICADO","OK"))</f>
      </c>
      <c r="W627" s="6">
        <f>IF(M627="","vazio",IF(OR(AND(LEN(SUBSTITUTE(SUBSTITUTE(SUBSTITUTE(SUBSTITUTE(SUBSTITUTE(SUBSTITUTE(SUBSTITUTE(TRIM(M627),".",""),"/",""),"-","")," ",""),"(",""),")",""),"+",""))=10,LEFT(SUBSTITUTE(SUBSTITUTE(SUBSTITUTE(SUBSTITUTE(SUBSTITUTE(SUBSTITUTE(SUBSTITUTE(TRIM(M627),".",""),"/",""),"-","")," ",""),"(",""),")",""),"+",""),1)&lt;&gt;"0"),AND(LEN(SUBSTITUTE(SUBSTITUTE(SUBSTITUTE(SUBSTITUTE(SUBSTITUTE(SUBSTITUTE(SUBSTITUTE(TRIM(M627),".",""),"/",""),"-","")," ",""),"(",""),")",""),"+",""))=11,LEFT(SUBSTITUTE(SUBSTITUTE(SUBSTITUTE(SUBSTITUTE(SUBSTITUTE(SUBSTITUTE(SUBSTITUTE(TRIM(M627),".",""),"/",""),"-","")," ",""),"(",""),")",""),"+",""),4)="0800")),"OK",IF(AND(LEN(SUBSTITUTE(SUBSTITUTE(SUBSTITUTE(SUBSTITUTE(SUBSTITUTE(SUBSTITUTE(SUBSTITUTE(TRIM(M627),".",""),"/",""),"-","")," ",""),"(",""),")",""),"+",""))=11,MID(SUBSTITUTE(SUBSTITUTE(SUBSTITUTE(SUBSTITUTE(SUBSTITUTE(SUBSTITUTE(SUBSTITUTE(TRIM(M627),".",""),"/",""),"-","")," ",""),"(",""),")",""),"+",""),3,1)="9"),"ERRO: é celular, use a coluna Celular","ERRO: DDD + 8 dígitos ou 0800 + 7")))</f>
      </c>
      <c r="X627" s="6">
        <f>IF(N627="","vazio",IF(AND(LEN(SUBSTITUTE(SUBSTITUTE(SUBSTITUTE(SUBSTITUTE(SUBSTITUTE(SUBSTITUTE(SUBSTITUTE(TRIM(N627),".",""),"/",""),"-","")," ",""),"(",""),")",""),"+",""))=11,MID(SUBSTITUTE(SUBSTITUTE(SUBSTITUTE(SUBSTITUTE(SUBSTITUTE(SUBSTITUTE(SUBSTITUTE(TRIM(N627),".",""),"/",""),"-","")," ",""),"(",""),")",""),"+",""),3,1)="9",LEFT(SUBSTITUTE(SUBSTITUTE(SUBSTITUTE(SUBSTITUTE(SUBSTITUTE(SUBSTITUTE(SUBSTITUTE(TRIM(N627),".",""),"/",""),"-","")," ",""),"(",""),")",""),"+",""),1)&lt;&gt;"0"),"OK",IF(LEN(SUBSTITUTE(SUBSTITUTE(SUBSTITUTE(SUBSTITUTE(SUBSTITUTE(SUBSTITUTE(SUBSTITUTE(TRIM(N627),".",""),"/",""),"-","")," ",""),"(",""),")",""),"+",""))=10,"ERRO: é fixo (ou falta o 9), use a coluna Telefone fixo","ERRO: DDD + 9 + 8 dígitos")))</f>
      </c>
      <c r="Y627" s="6">
        <f>IF(O627="","vazio",IF(AND(ISNUMBER(FIND("@",O627)),ISNUMBER(FIND(".",MID(O627,FIND("@",O627),99))),NOT(ISNUMBER(FIND(" ",TRIM(O627)))),NOT(ISNUMBER(FIND(";",O627))),NOT(ISNUMBER(FIND(",",O627)))),"OK","ERRO: um e-mail válido por linha"))</f>
      </c>
      <c r="Z627" s="6">
        <f>IF(AND(J627="",K627=""),"",IF(AND(J627&lt;&gt;"",K627&lt;&gt;""),"OK","pendente: só um nome (o GR completa ao converter)"))</f>
      </c>
      <c r="AA627" s="6">
        <f>IF(COUNTA(A627:S627)=0,"",IF(AND(A627&lt;&gt;"",B627&lt;&gt;"",C627&lt;&gt;"",D627&lt;&gt;"",E627&lt;&gt;"",F627&lt;&gt;"",G627&lt;&gt;"",H627&lt;&gt;"",OR(J627&lt;&gt;"",K627&lt;&gt;""),OR(M627&lt;&gt;"",N627&lt;&gt;"",O627&lt;&gt;"")),"OK","ERRO: faltam "&amp;IF(A627="","SDR; ","")&amp;IF(B627="","Proprietário; ","")&amp;IF(C627="","Origem; ","")&amp;IF(D627="","Temperatura; ","")&amp;IF(E627="","Segmento; ","")&amp;IF(F627="","Time/Cluster; ","")&amp;IF(G627="","CNPJ; ","")&amp;IF(H627="","Razão Social; ","")&amp;IF(AND(J627="",K627=""),"nome do contato; ","")&amp;IF(AND(M627="",N627="",O627=""),"telefone, celular ou e-mail; ","")))</f>
      </c>
      <c r="AB627" s="6">
        <f>IF(COUNTA(A627:S627)=0,"",IF(AND(U627="OK",V627="OK",LEFT(W627,4)&lt;&gt;"ERRO",LEFT(X627,4)&lt;&gt;"ERRO",LEFT(Y627,4)&lt;&gt;"ERRO",AA627="OK"),"OK","REVISAR"))</f>
      </c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5"/>
      <c r="K628" s="4"/>
      <c r="L628" s="4"/>
      <c r="M628" s="4"/>
      <c r="N628" s="4"/>
      <c r="O628" s="4"/>
      <c r="P628" s="4"/>
      <c r="Q628" s="4"/>
      <c r="R628" s="4"/>
      <c r="S628" s="4"/>
      <c r="T628" s="6">
        <f>IF(G628="","",SUBSTITUTE(SUBSTITUTE(SUBSTITUTE(SUBSTITUTE(SUBSTITUTE(SUBSTITUTE(SUBSTITUTE(TRIM(G628),".",""),"/",""),"-","")," ",""),"(",""),")",""),"+",""))</f>
      </c>
      <c r="U628" s="6">
        <f>IF(T628="","",IF(LEN(T628)&lt;&gt;14,"ERRO: "&amp;LEN(T628)&amp;" dígitos",IF(NOT(ISNUMBER(VALUE(T628))),"ERRO: não numérico",IF(LEN(SUBSTITUTE(T628,LEFT(T628,1),""))=0,"ERRO: dígitos repetidos",IF(AND(VALUE(MID(T628,13,1))=IF(MOD(SUMPRODUCT(--MID(T628,{1,2,3,4,5,6,7,8,9,10,11,12},1),{5,4,3,2,9,8,7,6,5,4,3,2}),11)&lt;2,0,11-MOD(SUMPRODUCT(--MID(T628,{1,2,3,4,5,6,7,8,9,10,11,12},1),{5,4,3,2,9,8,7,6,5,4,3,2}),11)),VALUE(MID(T628,14,1))=IF(MOD(SUMPRODUCT(--MID(T628,{1,2,3,4,5,6,7,8,9,10,11,12,13},1),{6,5,4,3,2,9,8,7,6,5,4,3,2}),11)&lt;2,0,11-MOD(SUMPRODUCT(--MID(T628,{1,2,3,4,5,6,7,8,9,10,11,12,13},1),{6,5,4,3,2,9,8,7,6,5,4,3,2}),11))),"OK","ERRO: dígito verificador")))))</f>
      </c>
      <c r="V628" s="6">
        <f>IF(T628="","",IF(COUNTIF($T$2:$T$1001,T628)&gt;1,"DUPLICADO","OK"))</f>
      </c>
      <c r="W628" s="6">
        <f>IF(M628="","vazio",IF(OR(AND(LEN(SUBSTITUTE(SUBSTITUTE(SUBSTITUTE(SUBSTITUTE(SUBSTITUTE(SUBSTITUTE(SUBSTITUTE(TRIM(M628),".",""),"/",""),"-","")," ",""),"(",""),")",""),"+",""))=10,LEFT(SUBSTITUTE(SUBSTITUTE(SUBSTITUTE(SUBSTITUTE(SUBSTITUTE(SUBSTITUTE(SUBSTITUTE(TRIM(M628),".",""),"/",""),"-","")," ",""),"(",""),")",""),"+",""),1)&lt;&gt;"0"),AND(LEN(SUBSTITUTE(SUBSTITUTE(SUBSTITUTE(SUBSTITUTE(SUBSTITUTE(SUBSTITUTE(SUBSTITUTE(TRIM(M628),".",""),"/",""),"-","")," ",""),"(",""),")",""),"+",""))=11,LEFT(SUBSTITUTE(SUBSTITUTE(SUBSTITUTE(SUBSTITUTE(SUBSTITUTE(SUBSTITUTE(SUBSTITUTE(TRIM(M628),".",""),"/",""),"-","")," ",""),"(",""),")",""),"+",""),4)="0800")),"OK",IF(AND(LEN(SUBSTITUTE(SUBSTITUTE(SUBSTITUTE(SUBSTITUTE(SUBSTITUTE(SUBSTITUTE(SUBSTITUTE(TRIM(M628),".",""),"/",""),"-","")," ",""),"(",""),")",""),"+",""))=11,MID(SUBSTITUTE(SUBSTITUTE(SUBSTITUTE(SUBSTITUTE(SUBSTITUTE(SUBSTITUTE(SUBSTITUTE(TRIM(M628),".",""),"/",""),"-","")," ",""),"(",""),")",""),"+",""),3,1)="9"),"ERRO: é celular, use a coluna Celular","ERRO: DDD + 8 dígitos ou 0800 + 7")))</f>
      </c>
      <c r="X628" s="6">
        <f>IF(N628="","vazio",IF(AND(LEN(SUBSTITUTE(SUBSTITUTE(SUBSTITUTE(SUBSTITUTE(SUBSTITUTE(SUBSTITUTE(SUBSTITUTE(TRIM(N628),".",""),"/",""),"-","")," ",""),"(",""),")",""),"+",""))=11,MID(SUBSTITUTE(SUBSTITUTE(SUBSTITUTE(SUBSTITUTE(SUBSTITUTE(SUBSTITUTE(SUBSTITUTE(TRIM(N628),".",""),"/",""),"-","")," ",""),"(",""),")",""),"+",""),3,1)="9",LEFT(SUBSTITUTE(SUBSTITUTE(SUBSTITUTE(SUBSTITUTE(SUBSTITUTE(SUBSTITUTE(SUBSTITUTE(TRIM(N628),".",""),"/",""),"-","")," ",""),"(",""),")",""),"+",""),1)&lt;&gt;"0"),"OK",IF(LEN(SUBSTITUTE(SUBSTITUTE(SUBSTITUTE(SUBSTITUTE(SUBSTITUTE(SUBSTITUTE(SUBSTITUTE(TRIM(N628),".",""),"/",""),"-","")," ",""),"(",""),")",""),"+",""))=10,"ERRO: é fixo (ou falta o 9), use a coluna Telefone fixo","ERRO: DDD + 9 + 8 dígitos")))</f>
      </c>
      <c r="Y628" s="6">
        <f>IF(O628="","vazio",IF(AND(ISNUMBER(FIND("@",O628)),ISNUMBER(FIND(".",MID(O628,FIND("@",O628),99))),NOT(ISNUMBER(FIND(" ",TRIM(O628)))),NOT(ISNUMBER(FIND(";",O628))),NOT(ISNUMBER(FIND(",",O628)))),"OK","ERRO: um e-mail válido por linha"))</f>
      </c>
      <c r="Z628" s="6">
        <f>IF(AND(J628="",K628=""),"",IF(AND(J628&lt;&gt;"",K628&lt;&gt;""),"OK","pendente: só um nome (o GR completa ao converter)"))</f>
      </c>
      <c r="AA628" s="6">
        <f>IF(COUNTA(A628:S628)=0,"",IF(AND(A628&lt;&gt;"",B628&lt;&gt;"",C628&lt;&gt;"",D628&lt;&gt;"",E628&lt;&gt;"",F628&lt;&gt;"",G628&lt;&gt;"",H628&lt;&gt;"",OR(J628&lt;&gt;"",K628&lt;&gt;""),OR(M628&lt;&gt;"",N628&lt;&gt;"",O628&lt;&gt;"")),"OK","ERRO: faltam "&amp;IF(A628="","SDR; ","")&amp;IF(B628="","Proprietário; ","")&amp;IF(C628="","Origem; ","")&amp;IF(D628="","Temperatura; ","")&amp;IF(E628="","Segmento; ","")&amp;IF(F628="","Time/Cluster; ","")&amp;IF(G628="","CNPJ; ","")&amp;IF(H628="","Razão Social; ","")&amp;IF(AND(J628="",K628=""),"nome do contato; ","")&amp;IF(AND(M628="",N628="",O628=""),"telefone, celular ou e-mail; ","")))</f>
      </c>
      <c r="AB628" s="6">
        <f>IF(COUNTA(A628:S628)=0,"",IF(AND(U628="OK",V628="OK",LEFT(W628,4)&lt;&gt;"ERRO",LEFT(X628,4)&lt;&gt;"ERRO",LEFT(Y628,4)&lt;&gt;"ERRO",AA628="OK"),"OK","REVISAR"))</f>
      </c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5"/>
      <c r="K629" s="4"/>
      <c r="L629" s="4"/>
      <c r="M629" s="4"/>
      <c r="N629" s="4"/>
      <c r="O629" s="4"/>
      <c r="P629" s="4"/>
      <c r="Q629" s="4"/>
      <c r="R629" s="4"/>
      <c r="S629" s="4"/>
      <c r="T629" s="6">
        <f>IF(G629="","",SUBSTITUTE(SUBSTITUTE(SUBSTITUTE(SUBSTITUTE(SUBSTITUTE(SUBSTITUTE(SUBSTITUTE(TRIM(G629),".",""),"/",""),"-","")," ",""),"(",""),")",""),"+",""))</f>
      </c>
      <c r="U629" s="6">
        <f>IF(T629="","",IF(LEN(T629)&lt;&gt;14,"ERRO: "&amp;LEN(T629)&amp;" dígitos",IF(NOT(ISNUMBER(VALUE(T629))),"ERRO: não numérico",IF(LEN(SUBSTITUTE(T629,LEFT(T629,1),""))=0,"ERRO: dígitos repetidos",IF(AND(VALUE(MID(T629,13,1))=IF(MOD(SUMPRODUCT(--MID(T629,{1,2,3,4,5,6,7,8,9,10,11,12},1),{5,4,3,2,9,8,7,6,5,4,3,2}),11)&lt;2,0,11-MOD(SUMPRODUCT(--MID(T629,{1,2,3,4,5,6,7,8,9,10,11,12},1),{5,4,3,2,9,8,7,6,5,4,3,2}),11)),VALUE(MID(T629,14,1))=IF(MOD(SUMPRODUCT(--MID(T629,{1,2,3,4,5,6,7,8,9,10,11,12,13},1),{6,5,4,3,2,9,8,7,6,5,4,3,2}),11)&lt;2,0,11-MOD(SUMPRODUCT(--MID(T629,{1,2,3,4,5,6,7,8,9,10,11,12,13},1),{6,5,4,3,2,9,8,7,6,5,4,3,2}),11))),"OK","ERRO: dígito verificador")))))</f>
      </c>
      <c r="V629" s="6">
        <f>IF(T629="","",IF(COUNTIF($T$2:$T$1001,T629)&gt;1,"DUPLICADO","OK"))</f>
      </c>
      <c r="W629" s="6">
        <f>IF(M629="","vazio",IF(OR(AND(LEN(SUBSTITUTE(SUBSTITUTE(SUBSTITUTE(SUBSTITUTE(SUBSTITUTE(SUBSTITUTE(SUBSTITUTE(TRIM(M629),".",""),"/",""),"-","")," ",""),"(",""),")",""),"+",""))=10,LEFT(SUBSTITUTE(SUBSTITUTE(SUBSTITUTE(SUBSTITUTE(SUBSTITUTE(SUBSTITUTE(SUBSTITUTE(TRIM(M629),".",""),"/",""),"-","")," ",""),"(",""),")",""),"+",""),1)&lt;&gt;"0"),AND(LEN(SUBSTITUTE(SUBSTITUTE(SUBSTITUTE(SUBSTITUTE(SUBSTITUTE(SUBSTITUTE(SUBSTITUTE(TRIM(M629),".",""),"/",""),"-","")," ",""),"(",""),")",""),"+",""))=11,LEFT(SUBSTITUTE(SUBSTITUTE(SUBSTITUTE(SUBSTITUTE(SUBSTITUTE(SUBSTITUTE(SUBSTITUTE(TRIM(M629),".",""),"/",""),"-","")," ",""),"(",""),")",""),"+",""),4)="0800")),"OK",IF(AND(LEN(SUBSTITUTE(SUBSTITUTE(SUBSTITUTE(SUBSTITUTE(SUBSTITUTE(SUBSTITUTE(SUBSTITUTE(TRIM(M629),".",""),"/",""),"-","")," ",""),"(",""),")",""),"+",""))=11,MID(SUBSTITUTE(SUBSTITUTE(SUBSTITUTE(SUBSTITUTE(SUBSTITUTE(SUBSTITUTE(SUBSTITUTE(TRIM(M629),".",""),"/",""),"-","")," ",""),"(",""),")",""),"+",""),3,1)="9"),"ERRO: é celular, use a coluna Celular","ERRO: DDD + 8 dígitos ou 0800 + 7")))</f>
      </c>
      <c r="X629" s="6">
        <f>IF(N629="","vazio",IF(AND(LEN(SUBSTITUTE(SUBSTITUTE(SUBSTITUTE(SUBSTITUTE(SUBSTITUTE(SUBSTITUTE(SUBSTITUTE(TRIM(N629),".",""),"/",""),"-","")," ",""),"(",""),")",""),"+",""))=11,MID(SUBSTITUTE(SUBSTITUTE(SUBSTITUTE(SUBSTITUTE(SUBSTITUTE(SUBSTITUTE(SUBSTITUTE(TRIM(N629),".",""),"/",""),"-","")," ",""),"(",""),")",""),"+",""),3,1)="9",LEFT(SUBSTITUTE(SUBSTITUTE(SUBSTITUTE(SUBSTITUTE(SUBSTITUTE(SUBSTITUTE(SUBSTITUTE(TRIM(N629),".",""),"/",""),"-","")," ",""),"(",""),")",""),"+",""),1)&lt;&gt;"0"),"OK",IF(LEN(SUBSTITUTE(SUBSTITUTE(SUBSTITUTE(SUBSTITUTE(SUBSTITUTE(SUBSTITUTE(SUBSTITUTE(TRIM(N629),".",""),"/",""),"-","")," ",""),"(",""),")",""),"+",""))=10,"ERRO: é fixo (ou falta o 9), use a coluna Telefone fixo","ERRO: DDD + 9 + 8 dígitos")))</f>
      </c>
      <c r="Y629" s="6">
        <f>IF(O629="","vazio",IF(AND(ISNUMBER(FIND("@",O629)),ISNUMBER(FIND(".",MID(O629,FIND("@",O629),99))),NOT(ISNUMBER(FIND(" ",TRIM(O629)))),NOT(ISNUMBER(FIND(";",O629))),NOT(ISNUMBER(FIND(",",O629)))),"OK","ERRO: um e-mail válido por linha"))</f>
      </c>
      <c r="Z629" s="6">
        <f>IF(AND(J629="",K629=""),"",IF(AND(J629&lt;&gt;"",K629&lt;&gt;""),"OK","pendente: só um nome (o GR completa ao converter)"))</f>
      </c>
      <c r="AA629" s="6">
        <f>IF(COUNTA(A629:S629)=0,"",IF(AND(A629&lt;&gt;"",B629&lt;&gt;"",C629&lt;&gt;"",D629&lt;&gt;"",E629&lt;&gt;"",F629&lt;&gt;"",G629&lt;&gt;"",H629&lt;&gt;"",OR(J629&lt;&gt;"",K629&lt;&gt;""),OR(M629&lt;&gt;"",N629&lt;&gt;"",O629&lt;&gt;"")),"OK","ERRO: faltam "&amp;IF(A629="","SDR; ","")&amp;IF(B629="","Proprietário; ","")&amp;IF(C629="","Origem; ","")&amp;IF(D629="","Temperatura; ","")&amp;IF(E629="","Segmento; ","")&amp;IF(F629="","Time/Cluster; ","")&amp;IF(G629="","CNPJ; ","")&amp;IF(H629="","Razão Social; ","")&amp;IF(AND(J629="",K629=""),"nome do contato; ","")&amp;IF(AND(M629="",N629="",O629=""),"telefone, celular ou e-mail; ","")))</f>
      </c>
      <c r="AB629" s="6">
        <f>IF(COUNTA(A629:S629)=0,"",IF(AND(U629="OK",V629="OK",LEFT(W629,4)&lt;&gt;"ERRO",LEFT(X629,4)&lt;&gt;"ERRO",LEFT(Y629,4)&lt;&gt;"ERRO",AA629="OK"),"OK","REVISAR"))</f>
      </c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5"/>
      <c r="K630" s="4"/>
      <c r="L630" s="4"/>
      <c r="M630" s="4"/>
      <c r="N630" s="4"/>
      <c r="O630" s="4"/>
      <c r="P630" s="4"/>
      <c r="Q630" s="4"/>
      <c r="R630" s="4"/>
      <c r="S630" s="4"/>
      <c r="T630" s="6">
        <f>IF(G630="","",SUBSTITUTE(SUBSTITUTE(SUBSTITUTE(SUBSTITUTE(SUBSTITUTE(SUBSTITUTE(SUBSTITUTE(TRIM(G630),".",""),"/",""),"-","")," ",""),"(",""),")",""),"+",""))</f>
      </c>
      <c r="U630" s="6">
        <f>IF(T630="","",IF(LEN(T630)&lt;&gt;14,"ERRO: "&amp;LEN(T630)&amp;" dígitos",IF(NOT(ISNUMBER(VALUE(T630))),"ERRO: não numérico",IF(LEN(SUBSTITUTE(T630,LEFT(T630,1),""))=0,"ERRO: dígitos repetidos",IF(AND(VALUE(MID(T630,13,1))=IF(MOD(SUMPRODUCT(--MID(T630,{1,2,3,4,5,6,7,8,9,10,11,12},1),{5,4,3,2,9,8,7,6,5,4,3,2}),11)&lt;2,0,11-MOD(SUMPRODUCT(--MID(T630,{1,2,3,4,5,6,7,8,9,10,11,12},1),{5,4,3,2,9,8,7,6,5,4,3,2}),11)),VALUE(MID(T630,14,1))=IF(MOD(SUMPRODUCT(--MID(T630,{1,2,3,4,5,6,7,8,9,10,11,12,13},1),{6,5,4,3,2,9,8,7,6,5,4,3,2}),11)&lt;2,0,11-MOD(SUMPRODUCT(--MID(T630,{1,2,3,4,5,6,7,8,9,10,11,12,13},1),{6,5,4,3,2,9,8,7,6,5,4,3,2}),11))),"OK","ERRO: dígito verificador")))))</f>
      </c>
      <c r="V630" s="6">
        <f>IF(T630="","",IF(COUNTIF($T$2:$T$1001,T630)&gt;1,"DUPLICADO","OK"))</f>
      </c>
      <c r="W630" s="6">
        <f>IF(M630="","vazio",IF(OR(AND(LEN(SUBSTITUTE(SUBSTITUTE(SUBSTITUTE(SUBSTITUTE(SUBSTITUTE(SUBSTITUTE(SUBSTITUTE(TRIM(M630),".",""),"/",""),"-","")," ",""),"(",""),")",""),"+",""))=10,LEFT(SUBSTITUTE(SUBSTITUTE(SUBSTITUTE(SUBSTITUTE(SUBSTITUTE(SUBSTITUTE(SUBSTITUTE(TRIM(M630),".",""),"/",""),"-","")," ",""),"(",""),")",""),"+",""),1)&lt;&gt;"0"),AND(LEN(SUBSTITUTE(SUBSTITUTE(SUBSTITUTE(SUBSTITUTE(SUBSTITUTE(SUBSTITUTE(SUBSTITUTE(TRIM(M630),".",""),"/",""),"-","")," ",""),"(",""),")",""),"+",""))=11,LEFT(SUBSTITUTE(SUBSTITUTE(SUBSTITUTE(SUBSTITUTE(SUBSTITUTE(SUBSTITUTE(SUBSTITUTE(TRIM(M630),".",""),"/",""),"-","")," ",""),"(",""),")",""),"+",""),4)="0800")),"OK",IF(AND(LEN(SUBSTITUTE(SUBSTITUTE(SUBSTITUTE(SUBSTITUTE(SUBSTITUTE(SUBSTITUTE(SUBSTITUTE(TRIM(M630),".",""),"/",""),"-","")," ",""),"(",""),")",""),"+",""))=11,MID(SUBSTITUTE(SUBSTITUTE(SUBSTITUTE(SUBSTITUTE(SUBSTITUTE(SUBSTITUTE(SUBSTITUTE(TRIM(M630),".",""),"/",""),"-","")," ",""),"(",""),")",""),"+",""),3,1)="9"),"ERRO: é celular, use a coluna Celular","ERRO: DDD + 8 dígitos ou 0800 + 7")))</f>
      </c>
      <c r="X630" s="6">
        <f>IF(N630="","vazio",IF(AND(LEN(SUBSTITUTE(SUBSTITUTE(SUBSTITUTE(SUBSTITUTE(SUBSTITUTE(SUBSTITUTE(SUBSTITUTE(TRIM(N630),".",""),"/",""),"-","")," ",""),"(",""),")",""),"+",""))=11,MID(SUBSTITUTE(SUBSTITUTE(SUBSTITUTE(SUBSTITUTE(SUBSTITUTE(SUBSTITUTE(SUBSTITUTE(TRIM(N630),".",""),"/",""),"-","")," ",""),"(",""),")",""),"+",""),3,1)="9",LEFT(SUBSTITUTE(SUBSTITUTE(SUBSTITUTE(SUBSTITUTE(SUBSTITUTE(SUBSTITUTE(SUBSTITUTE(TRIM(N630),".",""),"/",""),"-","")," ",""),"(",""),")",""),"+",""),1)&lt;&gt;"0"),"OK",IF(LEN(SUBSTITUTE(SUBSTITUTE(SUBSTITUTE(SUBSTITUTE(SUBSTITUTE(SUBSTITUTE(SUBSTITUTE(TRIM(N630),".",""),"/",""),"-","")," ",""),"(",""),")",""),"+",""))=10,"ERRO: é fixo (ou falta o 9), use a coluna Telefone fixo","ERRO: DDD + 9 + 8 dígitos")))</f>
      </c>
      <c r="Y630" s="6">
        <f>IF(O630="","vazio",IF(AND(ISNUMBER(FIND("@",O630)),ISNUMBER(FIND(".",MID(O630,FIND("@",O630),99))),NOT(ISNUMBER(FIND(" ",TRIM(O630)))),NOT(ISNUMBER(FIND(";",O630))),NOT(ISNUMBER(FIND(",",O630)))),"OK","ERRO: um e-mail válido por linha"))</f>
      </c>
      <c r="Z630" s="6">
        <f>IF(AND(J630="",K630=""),"",IF(AND(J630&lt;&gt;"",K630&lt;&gt;""),"OK","pendente: só um nome (o GR completa ao converter)"))</f>
      </c>
      <c r="AA630" s="6">
        <f>IF(COUNTA(A630:S630)=0,"",IF(AND(A630&lt;&gt;"",B630&lt;&gt;"",C630&lt;&gt;"",D630&lt;&gt;"",E630&lt;&gt;"",F630&lt;&gt;"",G630&lt;&gt;"",H630&lt;&gt;"",OR(J630&lt;&gt;"",K630&lt;&gt;""),OR(M630&lt;&gt;"",N630&lt;&gt;"",O630&lt;&gt;"")),"OK","ERRO: faltam "&amp;IF(A630="","SDR; ","")&amp;IF(B630="","Proprietário; ","")&amp;IF(C630="","Origem; ","")&amp;IF(D630="","Temperatura; ","")&amp;IF(E630="","Segmento; ","")&amp;IF(F630="","Time/Cluster; ","")&amp;IF(G630="","CNPJ; ","")&amp;IF(H630="","Razão Social; ","")&amp;IF(AND(J630="",K630=""),"nome do contato; ","")&amp;IF(AND(M630="",N630="",O630=""),"telefone, celular ou e-mail; ","")))</f>
      </c>
      <c r="AB630" s="6">
        <f>IF(COUNTA(A630:S630)=0,"",IF(AND(U630="OK",V630="OK",LEFT(W630,4)&lt;&gt;"ERRO",LEFT(X630,4)&lt;&gt;"ERRO",LEFT(Y630,4)&lt;&gt;"ERRO",AA630="OK"),"OK","REVISAR"))</f>
      </c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5"/>
      <c r="K631" s="4"/>
      <c r="L631" s="4"/>
      <c r="M631" s="4"/>
      <c r="N631" s="4"/>
      <c r="O631" s="4"/>
      <c r="P631" s="4"/>
      <c r="Q631" s="4"/>
      <c r="R631" s="4"/>
      <c r="S631" s="4"/>
      <c r="T631" s="6">
        <f>IF(G631="","",SUBSTITUTE(SUBSTITUTE(SUBSTITUTE(SUBSTITUTE(SUBSTITUTE(SUBSTITUTE(SUBSTITUTE(TRIM(G631),".",""),"/",""),"-","")," ",""),"(",""),")",""),"+",""))</f>
      </c>
      <c r="U631" s="6">
        <f>IF(T631="","",IF(LEN(T631)&lt;&gt;14,"ERRO: "&amp;LEN(T631)&amp;" dígitos",IF(NOT(ISNUMBER(VALUE(T631))),"ERRO: não numérico",IF(LEN(SUBSTITUTE(T631,LEFT(T631,1),""))=0,"ERRO: dígitos repetidos",IF(AND(VALUE(MID(T631,13,1))=IF(MOD(SUMPRODUCT(--MID(T631,{1,2,3,4,5,6,7,8,9,10,11,12},1),{5,4,3,2,9,8,7,6,5,4,3,2}),11)&lt;2,0,11-MOD(SUMPRODUCT(--MID(T631,{1,2,3,4,5,6,7,8,9,10,11,12},1),{5,4,3,2,9,8,7,6,5,4,3,2}),11)),VALUE(MID(T631,14,1))=IF(MOD(SUMPRODUCT(--MID(T631,{1,2,3,4,5,6,7,8,9,10,11,12,13},1),{6,5,4,3,2,9,8,7,6,5,4,3,2}),11)&lt;2,0,11-MOD(SUMPRODUCT(--MID(T631,{1,2,3,4,5,6,7,8,9,10,11,12,13},1),{6,5,4,3,2,9,8,7,6,5,4,3,2}),11))),"OK","ERRO: dígito verificador")))))</f>
      </c>
      <c r="V631" s="6">
        <f>IF(T631="","",IF(COUNTIF($T$2:$T$1001,T631)&gt;1,"DUPLICADO","OK"))</f>
      </c>
      <c r="W631" s="6">
        <f>IF(M631="","vazio",IF(OR(AND(LEN(SUBSTITUTE(SUBSTITUTE(SUBSTITUTE(SUBSTITUTE(SUBSTITUTE(SUBSTITUTE(SUBSTITUTE(TRIM(M631),".",""),"/",""),"-","")," ",""),"(",""),")",""),"+",""))=10,LEFT(SUBSTITUTE(SUBSTITUTE(SUBSTITUTE(SUBSTITUTE(SUBSTITUTE(SUBSTITUTE(SUBSTITUTE(TRIM(M631),".",""),"/",""),"-","")," ",""),"(",""),")",""),"+",""),1)&lt;&gt;"0"),AND(LEN(SUBSTITUTE(SUBSTITUTE(SUBSTITUTE(SUBSTITUTE(SUBSTITUTE(SUBSTITUTE(SUBSTITUTE(TRIM(M631),".",""),"/",""),"-","")," ",""),"(",""),")",""),"+",""))=11,LEFT(SUBSTITUTE(SUBSTITUTE(SUBSTITUTE(SUBSTITUTE(SUBSTITUTE(SUBSTITUTE(SUBSTITUTE(TRIM(M631),".",""),"/",""),"-","")," ",""),"(",""),")",""),"+",""),4)="0800")),"OK",IF(AND(LEN(SUBSTITUTE(SUBSTITUTE(SUBSTITUTE(SUBSTITUTE(SUBSTITUTE(SUBSTITUTE(SUBSTITUTE(TRIM(M631),".",""),"/",""),"-","")," ",""),"(",""),")",""),"+",""))=11,MID(SUBSTITUTE(SUBSTITUTE(SUBSTITUTE(SUBSTITUTE(SUBSTITUTE(SUBSTITUTE(SUBSTITUTE(TRIM(M631),".",""),"/",""),"-","")," ",""),"(",""),")",""),"+",""),3,1)="9"),"ERRO: é celular, use a coluna Celular","ERRO: DDD + 8 dígitos ou 0800 + 7")))</f>
      </c>
      <c r="X631" s="6">
        <f>IF(N631="","vazio",IF(AND(LEN(SUBSTITUTE(SUBSTITUTE(SUBSTITUTE(SUBSTITUTE(SUBSTITUTE(SUBSTITUTE(SUBSTITUTE(TRIM(N631),".",""),"/",""),"-","")," ",""),"(",""),")",""),"+",""))=11,MID(SUBSTITUTE(SUBSTITUTE(SUBSTITUTE(SUBSTITUTE(SUBSTITUTE(SUBSTITUTE(SUBSTITUTE(TRIM(N631),".",""),"/",""),"-","")," ",""),"(",""),")",""),"+",""),3,1)="9",LEFT(SUBSTITUTE(SUBSTITUTE(SUBSTITUTE(SUBSTITUTE(SUBSTITUTE(SUBSTITUTE(SUBSTITUTE(TRIM(N631),".",""),"/",""),"-","")," ",""),"(",""),")",""),"+",""),1)&lt;&gt;"0"),"OK",IF(LEN(SUBSTITUTE(SUBSTITUTE(SUBSTITUTE(SUBSTITUTE(SUBSTITUTE(SUBSTITUTE(SUBSTITUTE(TRIM(N631),".",""),"/",""),"-","")," ",""),"(",""),")",""),"+",""))=10,"ERRO: é fixo (ou falta o 9), use a coluna Telefone fixo","ERRO: DDD + 9 + 8 dígitos")))</f>
      </c>
      <c r="Y631" s="6">
        <f>IF(O631="","vazio",IF(AND(ISNUMBER(FIND("@",O631)),ISNUMBER(FIND(".",MID(O631,FIND("@",O631),99))),NOT(ISNUMBER(FIND(" ",TRIM(O631)))),NOT(ISNUMBER(FIND(";",O631))),NOT(ISNUMBER(FIND(",",O631)))),"OK","ERRO: um e-mail válido por linha"))</f>
      </c>
      <c r="Z631" s="6">
        <f>IF(AND(J631="",K631=""),"",IF(AND(J631&lt;&gt;"",K631&lt;&gt;""),"OK","pendente: só um nome (o GR completa ao converter)"))</f>
      </c>
      <c r="AA631" s="6">
        <f>IF(COUNTA(A631:S631)=0,"",IF(AND(A631&lt;&gt;"",B631&lt;&gt;"",C631&lt;&gt;"",D631&lt;&gt;"",E631&lt;&gt;"",F631&lt;&gt;"",G631&lt;&gt;"",H631&lt;&gt;"",OR(J631&lt;&gt;"",K631&lt;&gt;""),OR(M631&lt;&gt;"",N631&lt;&gt;"",O631&lt;&gt;"")),"OK","ERRO: faltam "&amp;IF(A631="","SDR; ","")&amp;IF(B631="","Proprietário; ","")&amp;IF(C631="","Origem; ","")&amp;IF(D631="","Temperatura; ","")&amp;IF(E631="","Segmento; ","")&amp;IF(F631="","Time/Cluster; ","")&amp;IF(G631="","CNPJ; ","")&amp;IF(H631="","Razão Social; ","")&amp;IF(AND(J631="",K631=""),"nome do contato; ","")&amp;IF(AND(M631="",N631="",O631=""),"telefone, celular ou e-mail; ","")))</f>
      </c>
      <c r="AB631" s="6">
        <f>IF(COUNTA(A631:S631)=0,"",IF(AND(U631="OK",V631="OK",LEFT(W631,4)&lt;&gt;"ERRO",LEFT(X631,4)&lt;&gt;"ERRO",LEFT(Y631,4)&lt;&gt;"ERRO",AA631="OK"),"OK","REVISAR"))</f>
      </c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5"/>
      <c r="K632" s="4"/>
      <c r="L632" s="4"/>
      <c r="M632" s="4"/>
      <c r="N632" s="4"/>
      <c r="O632" s="4"/>
      <c r="P632" s="4"/>
      <c r="Q632" s="4"/>
      <c r="R632" s="4"/>
      <c r="S632" s="4"/>
      <c r="T632" s="6">
        <f>IF(G632="","",SUBSTITUTE(SUBSTITUTE(SUBSTITUTE(SUBSTITUTE(SUBSTITUTE(SUBSTITUTE(SUBSTITUTE(TRIM(G632),".",""),"/",""),"-","")," ",""),"(",""),")",""),"+",""))</f>
      </c>
      <c r="U632" s="6">
        <f>IF(T632="","",IF(LEN(T632)&lt;&gt;14,"ERRO: "&amp;LEN(T632)&amp;" dígitos",IF(NOT(ISNUMBER(VALUE(T632))),"ERRO: não numérico",IF(LEN(SUBSTITUTE(T632,LEFT(T632,1),""))=0,"ERRO: dígitos repetidos",IF(AND(VALUE(MID(T632,13,1))=IF(MOD(SUMPRODUCT(--MID(T632,{1,2,3,4,5,6,7,8,9,10,11,12},1),{5,4,3,2,9,8,7,6,5,4,3,2}),11)&lt;2,0,11-MOD(SUMPRODUCT(--MID(T632,{1,2,3,4,5,6,7,8,9,10,11,12},1),{5,4,3,2,9,8,7,6,5,4,3,2}),11)),VALUE(MID(T632,14,1))=IF(MOD(SUMPRODUCT(--MID(T632,{1,2,3,4,5,6,7,8,9,10,11,12,13},1),{6,5,4,3,2,9,8,7,6,5,4,3,2}),11)&lt;2,0,11-MOD(SUMPRODUCT(--MID(T632,{1,2,3,4,5,6,7,8,9,10,11,12,13},1),{6,5,4,3,2,9,8,7,6,5,4,3,2}),11))),"OK","ERRO: dígito verificador")))))</f>
      </c>
      <c r="V632" s="6">
        <f>IF(T632="","",IF(COUNTIF($T$2:$T$1001,T632)&gt;1,"DUPLICADO","OK"))</f>
      </c>
      <c r="W632" s="6">
        <f>IF(M632="","vazio",IF(OR(AND(LEN(SUBSTITUTE(SUBSTITUTE(SUBSTITUTE(SUBSTITUTE(SUBSTITUTE(SUBSTITUTE(SUBSTITUTE(TRIM(M632),".",""),"/",""),"-","")," ",""),"(",""),")",""),"+",""))=10,LEFT(SUBSTITUTE(SUBSTITUTE(SUBSTITUTE(SUBSTITUTE(SUBSTITUTE(SUBSTITUTE(SUBSTITUTE(TRIM(M632),".",""),"/",""),"-","")," ",""),"(",""),")",""),"+",""),1)&lt;&gt;"0"),AND(LEN(SUBSTITUTE(SUBSTITUTE(SUBSTITUTE(SUBSTITUTE(SUBSTITUTE(SUBSTITUTE(SUBSTITUTE(TRIM(M632),".",""),"/",""),"-","")," ",""),"(",""),")",""),"+",""))=11,LEFT(SUBSTITUTE(SUBSTITUTE(SUBSTITUTE(SUBSTITUTE(SUBSTITUTE(SUBSTITUTE(SUBSTITUTE(TRIM(M632),".",""),"/",""),"-","")," ",""),"(",""),")",""),"+",""),4)="0800")),"OK",IF(AND(LEN(SUBSTITUTE(SUBSTITUTE(SUBSTITUTE(SUBSTITUTE(SUBSTITUTE(SUBSTITUTE(SUBSTITUTE(TRIM(M632),".",""),"/",""),"-","")," ",""),"(",""),")",""),"+",""))=11,MID(SUBSTITUTE(SUBSTITUTE(SUBSTITUTE(SUBSTITUTE(SUBSTITUTE(SUBSTITUTE(SUBSTITUTE(TRIM(M632),".",""),"/",""),"-","")," ",""),"(",""),")",""),"+",""),3,1)="9"),"ERRO: é celular, use a coluna Celular","ERRO: DDD + 8 dígitos ou 0800 + 7")))</f>
      </c>
      <c r="X632" s="6">
        <f>IF(N632="","vazio",IF(AND(LEN(SUBSTITUTE(SUBSTITUTE(SUBSTITUTE(SUBSTITUTE(SUBSTITUTE(SUBSTITUTE(SUBSTITUTE(TRIM(N632),".",""),"/",""),"-","")," ",""),"(",""),")",""),"+",""))=11,MID(SUBSTITUTE(SUBSTITUTE(SUBSTITUTE(SUBSTITUTE(SUBSTITUTE(SUBSTITUTE(SUBSTITUTE(TRIM(N632),".",""),"/",""),"-","")," ",""),"(",""),")",""),"+",""),3,1)="9",LEFT(SUBSTITUTE(SUBSTITUTE(SUBSTITUTE(SUBSTITUTE(SUBSTITUTE(SUBSTITUTE(SUBSTITUTE(TRIM(N632),".",""),"/",""),"-","")," ",""),"(",""),")",""),"+",""),1)&lt;&gt;"0"),"OK",IF(LEN(SUBSTITUTE(SUBSTITUTE(SUBSTITUTE(SUBSTITUTE(SUBSTITUTE(SUBSTITUTE(SUBSTITUTE(TRIM(N632),".",""),"/",""),"-","")," ",""),"(",""),")",""),"+",""))=10,"ERRO: é fixo (ou falta o 9), use a coluna Telefone fixo","ERRO: DDD + 9 + 8 dígitos")))</f>
      </c>
      <c r="Y632" s="6">
        <f>IF(O632="","vazio",IF(AND(ISNUMBER(FIND("@",O632)),ISNUMBER(FIND(".",MID(O632,FIND("@",O632),99))),NOT(ISNUMBER(FIND(" ",TRIM(O632)))),NOT(ISNUMBER(FIND(";",O632))),NOT(ISNUMBER(FIND(",",O632)))),"OK","ERRO: um e-mail válido por linha"))</f>
      </c>
      <c r="Z632" s="6">
        <f>IF(AND(J632="",K632=""),"",IF(AND(J632&lt;&gt;"",K632&lt;&gt;""),"OK","pendente: só um nome (o GR completa ao converter)"))</f>
      </c>
      <c r="AA632" s="6">
        <f>IF(COUNTA(A632:S632)=0,"",IF(AND(A632&lt;&gt;"",B632&lt;&gt;"",C632&lt;&gt;"",D632&lt;&gt;"",E632&lt;&gt;"",F632&lt;&gt;"",G632&lt;&gt;"",H632&lt;&gt;"",OR(J632&lt;&gt;"",K632&lt;&gt;""),OR(M632&lt;&gt;"",N632&lt;&gt;"",O632&lt;&gt;"")),"OK","ERRO: faltam "&amp;IF(A632="","SDR; ","")&amp;IF(B632="","Proprietário; ","")&amp;IF(C632="","Origem; ","")&amp;IF(D632="","Temperatura; ","")&amp;IF(E632="","Segmento; ","")&amp;IF(F632="","Time/Cluster; ","")&amp;IF(G632="","CNPJ; ","")&amp;IF(H632="","Razão Social; ","")&amp;IF(AND(J632="",K632=""),"nome do contato; ","")&amp;IF(AND(M632="",N632="",O632=""),"telefone, celular ou e-mail; ","")))</f>
      </c>
      <c r="AB632" s="6">
        <f>IF(COUNTA(A632:S632)=0,"",IF(AND(U632="OK",V632="OK",LEFT(W632,4)&lt;&gt;"ERRO",LEFT(X632,4)&lt;&gt;"ERRO",LEFT(Y632,4)&lt;&gt;"ERRO",AA632="OK"),"OK","REVISAR"))</f>
      </c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5"/>
      <c r="K633" s="4"/>
      <c r="L633" s="4"/>
      <c r="M633" s="4"/>
      <c r="N633" s="4"/>
      <c r="O633" s="4"/>
      <c r="P633" s="4"/>
      <c r="Q633" s="4"/>
      <c r="R633" s="4"/>
      <c r="S633" s="4"/>
      <c r="T633" s="6">
        <f>IF(G633="","",SUBSTITUTE(SUBSTITUTE(SUBSTITUTE(SUBSTITUTE(SUBSTITUTE(SUBSTITUTE(SUBSTITUTE(TRIM(G633),".",""),"/",""),"-","")," ",""),"(",""),")",""),"+",""))</f>
      </c>
      <c r="U633" s="6">
        <f>IF(T633="","",IF(LEN(T633)&lt;&gt;14,"ERRO: "&amp;LEN(T633)&amp;" dígitos",IF(NOT(ISNUMBER(VALUE(T633))),"ERRO: não numérico",IF(LEN(SUBSTITUTE(T633,LEFT(T633,1),""))=0,"ERRO: dígitos repetidos",IF(AND(VALUE(MID(T633,13,1))=IF(MOD(SUMPRODUCT(--MID(T633,{1,2,3,4,5,6,7,8,9,10,11,12},1),{5,4,3,2,9,8,7,6,5,4,3,2}),11)&lt;2,0,11-MOD(SUMPRODUCT(--MID(T633,{1,2,3,4,5,6,7,8,9,10,11,12},1),{5,4,3,2,9,8,7,6,5,4,3,2}),11)),VALUE(MID(T633,14,1))=IF(MOD(SUMPRODUCT(--MID(T633,{1,2,3,4,5,6,7,8,9,10,11,12,13},1),{6,5,4,3,2,9,8,7,6,5,4,3,2}),11)&lt;2,0,11-MOD(SUMPRODUCT(--MID(T633,{1,2,3,4,5,6,7,8,9,10,11,12,13},1),{6,5,4,3,2,9,8,7,6,5,4,3,2}),11))),"OK","ERRO: dígito verificador")))))</f>
      </c>
      <c r="V633" s="6">
        <f>IF(T633="","",IF(COUNTIF($T$2:$T$1001,T633)&gt;1,"DUPLICADO","OK"))</f>
      </c>
      <c r="W633" s="6">
        <f>IF(M633="","vazio",IF(OR(AND(LEN(SUBSTITUTE(SUBSTITUTE(SUBSTITUTE(SUBSTITUTE(SUBSTITUTE(SUBSTITUTE(SUBSTITUTE(TRIM(M633),".",""),"/",""),"-","")," ",""),"(",""),")",""),"+",""))=10,LEFT(SUBSTITUTE(SUBSTITUTE(SUBSTITUTE(SUBSTITUTE(SUBSTITUTE(SUBSTITUTE(SUBSTITUTE(TRIM(M633),".",""),"/",""),"-","")," ",""),"(",""),")",""),"+",""),1)&lt;&gt;"0"),AND(LEN(SUBSTITUTE(SUBSTITUTE(SUBSTITUTE(SUBSTITUTE(SUBSTITUTE(SUBSTITUTE(SUBSTITUTE(TRIM(M633),".",""),"/",""),"-","")," ",""),"(",""),")",""),"+",""))=11,LEFT(SUBSTITUTE(SUBSTITUTE(SUBSTITUTE(SUBSTITUTE(SUBSTITUTE(SUBSTITUTE(SUBSTITUTE(TRIM(M633),".",""),"/",""),"-","")," ",""),"(",""),")",""),"+",""),4)="0800")),"OK",IF(AND(LEN(SUBSTITUTE(SUBSTITUTE(SUBSTITUTE(SUBSTITUTE(SUBSTITUTE(SUBSTITUTE(SUBSTITUTE(TRIM(M633),".",""),"/",""),"-","")," ",""),"(",""),")",""),"+",""))=11,MID(SUBSTITUTE(SUBSTITUTE(SUBSTITUTE(SUBSTITUTE(SUBSTITUTE(SUBSTITUTE(SUBSTITUTE(TRIM(M633),".",""),"/",""),"-","")," ",""),"(",""),")",""),"+",""),3,1)="9"),"ERRO: é celular, use a coluna Celular","ERRO: DDD + 8 dígitos ou 0800 + 7")))</f>
      </c>
      <c r="X633" s="6">
        <f>IF(N633="","vazio",IF(AND(LEN(SUBSTITUTE(SUBSTITUTE(SUBSTITUTE(SUBSTITUTE(SUBSTITUTE(SUBSTITUTE(SUBSTITUTE(TRIM(N633),".",""),"/",""),"-","")," ",""),"(",""),")",""),"+",""))=11,MID(SUBSTITUTE(SUBSTITUTE(SUBSTITUTE(SUBSTITUTE(SUBSTITUTE(SUBSTITUTE(SUBSTITUTE(TRIM(N633),".",""),"/",""),"-","")," ",""),"(",""),")",""),"+",""),3,1)="9",LEFT(SUBSTITUTE(SUBSTITUTE(SUBSTITUTE(SUBSTITUTE(SUBSTITUTE(SUBSTITUTE(SUBSTITUTE(TRIM(N633),".",""),"/",""),"-","")," ",""),"(",""),")",""),"+",""),1)&lt;&gt;"0"),"OK",IF(LEN(SUBSTITUTE(SUBSTITUTE(SUBSTITUTE(SUBSTITUTE(SUBSTITUTE(SUBSTITUTE(SUBSTITUTE(TRIM(N633),".",""),"/",""),"-","")," ",""),"(",""),")",""),"+",""))=10,"ERRO: é fixo (ou falta o 9), use a coluna Telefone fixo","ERRO: DDD + 9 + 8 dígitos")))</f>
      </c>
      <c r="Y633" s="6">
        <f>IF(O633="","vazio",IF(AND(ISNUMBER(FIND("@",O633)),ISNUMBER(FIND(".",MID(O633,FIND("@",O633),99))),NOT(ISNUMBER(FIND(" ",TRIM(O633)))),NOT(ISNUMBER(FIND(";",O633))),NOT(ISNUMBER(FIND(",",O633)))),"OK","ERRO: um e-mail válido por linha"))</f>
      </c>
      <c r="Z633" s="6">
        <f>IF(AND(J633="",K633=""),"",IF(AND(J633&lt;&gt;"",K633&lt;&gt;""),"OK","pendente: só um nome (o GR completa ao converter)"))</f>
      </c>
      <c r="AA633" s="6">
        <f>IF(COUNTA(A633:S633)=0,"",IF(AND(A633&lt;&gt;"",B633&lt;&gt;"",C633&lt;&gt;"",D633&lt;&gt;"",E633&lt;&gt;"",F633&lt;&gt;"",G633&lt;&gt;"",H633&lt;&gt;"",OR(J633&lt;&gt;"",K633&lt;&gt;""),OR(M633&lt;&gt;"",N633&lt;&gt;"",O633&lt;&gt;"")),"OK","ERRO: faltam "&amp;IF(A633="","SDR; ","")&amp;IF(B633="","Proprietário; ","")&amp;IF(C633="","Origem; ","")&amp;IF(D633="","Temperatura; ","")&amp;IF(E633="","Segmento; ","")&amp;IF(F633="","Time/Cluster; ","")&amp;IF(G633="","CNPJ; ","")&amp;IF(H633="","Razão Social; ","")&amp;IF(AND(J633="",K633=""),"nome do contato; ","")&amp;IF(AND(M633="",N633="",O633=""),"telefone, celular ou e-mail; ","")))</f>
      </c>
      <c r="AB633" s="6">
        <f>IF(COUNTA(A633:S633)=0,"",IF(AND(U633="OK",V633="OK",LEFT(W633,4)&lt;&gt;"ERRO",LEFT(X633,4)&lt;&gt;"ERRO",LEFT(Y633,4)&lt;&gt;"ERRO",AA633="OK"),"OK","REVISAR"))</f>
      </c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5"/>
      <c r="K634" s="4"/>
      <c r="L634" s="4"/>
      <c r="M634" s="4"/>
      <c r="N634" s="4"/>
      <c r="O634" s="4"/>
      <c r="P634" s="4"/>
      <c r="Q634" s="4"/>
      <c r="R634" s="4"/>
      <c r="S634" s="4"/>
      <c r="T634" s="6">
        <f>IF(G634="","",SUBSTITUTE(SUBSTITUTE(SUBSTITUTE(SUBSTITUTE(SUBSTITUTE(SUBSTITUTE(SUBSTITUTE(TRIM(G634),".",""),"/",""),"-","")," ",""),"(",""),")",""),"+",""))</f>
      </c>
      <c r="U634" s="6">
        <f>IF(T634="","",IF(LEN(T634)&lt;&gt;14,"ERRO: "&amp;LEN(T634)&amp;" dígitos",IF(NOT(ISNUMBER(VALUE(T634))),"ERRO: não numérico",IF(LEN(SUBSTITUTE(T634,LEFT(T634,1),""))=0,"ERRO: dígitos repetidos",IF(AND(VALUE(MID(T634,13,1))=IF(MOD(SUMPRODUCT(--MID(T634,{1,2,3,4,5,6,7,8,9,10,11,12},1),{5,4,3,2,9,8,7,6,5,4,3,2}),11)&lt;2,0,11-MOD(SUMPRODUCT(--MID(T634,{1,2,3,4,5,6,7,8,9,10,11,12},1),{5,4,3,2,9,8,7,6,5,4,3,2}),11)),VALUE(MID(T634,14,1))=IF(MOD(SUMPRODUCT(--MID(T634,{1,2,3,4,5,6,7,8,9,10,11,12,13},1),{6,5,4,3,2,9,8,7,6,5,4,3,2}),11)&lt;2,0,11-MOD(SUMPRODUCT(--MID(T634,{1,2,3,4,5,6,7,8,9,10,11,12,13},1),{6,5,4,3,2,9,8,7,6,5,4,3,2}),11))),"OK","ERRO: dígito verificador")))))</f>
      </c>
      <c r="V634" s="6">
        <f>IF(T634="","",IF(COUNTIF($T$2:$T$1001,T634)&gt;1,"DUPLICADO","OK"))</f>
      </c>
      <c r="W634" s="6">
        <f>IF(M634="","vazio",IF(OR(AND(LEN(SUBSTITUTE(SUBSTITUTE(SUBSTITUTE(SUBSTITUTE(SUBSTITUTE(SUBSTITUTE(SUBSTITUTE(TRIM(M634),".",""),"/",""),"-","")," ",""),"(",""),")",""),"+",""))=10,LEFT(SUBSTITUTE(SUBSTITUTE(SUBSTITUTE(SUBSTITUTE(SUBSTITUTE(SUBSTITUTE(SUBSTITUTE(TRIM(M634),".",""),"/",""),"-","")," ",""),"(",""),")",""),"+",""),1)&lt;&gt;"0"),AND(LEN(SUBSTITUTE(SUBSTITUTE(SUBSTITUTE(SUBSTITUTE(SUBSTITUTE(SUBSTITUTE(SUBSTITUTE(TRIM(M634),".",""),"/",""),"-","")," ",""),"(",""),")",""),"+",""))=11,LEFT(SUBSTITUTE(SUBSTITUTE(SUBSTITUTE(SUBSTITUTE(SUBSTITUTE(SUBSTITUTE(SUBSTITUTE(TRIM(M634),".",""),"/",""),"-","")," ",""),"(",""),")",""),"+",""),4)="0800")),"OK",IF(AND(LEN(SUBSTITUTE(SUBSTITUTE(SUBSTITUTE(SUBSTITUTE(SUBSTITUTE(SUBSTITUTE(SUBSTITUTE(TRIM(M634),".",""),"/",""),"-","")," ",""),"(",""),")",""),"+",""))=11,MID(SUBSTITUTE(SUBSTITUTE(SUBSTITUTE(SUBSTITUTE(SUBSTITUTE(SUBSTITUTE(SUBSTITUTE(TRIM(M634),".",""),"/",""),"-","")," ",""),"(",""),")",""),"+",""),3,1)="9"),"ERRO: é celular, use a coluna Celular","ERRO: DDD + 8 dígitos ou 0800 + 7")))</f>
      </c>
      <c r="X634" s="6">
        <f>IF(N634="","vazio",IF(AND(LEN(SUBSTITUTE(SUBSTITUTE(SUBSTITUTE(SUBSTITUTE(SUBSTITUTE(SUBSTITUTE(SUBSTITUTE(TRIM(N634),".",""),"/",""),"-","")," ",""),"(",""),")",""),"+",""))=11,MID(SUBSTITUTE(SUBSTITUTE(SUBSTITUTE(SUBSTITUTE(SUBSTITUTE(SUBSTITUTE(SUBSTITUTE(TRIM(N634),".",""),"/",""),"-","")," ",""),"(",""),")",""),"+",""),3,1)="9",LEFT(SUBSTITUTE(SUBSTITUTE(SUBSTITUTE(SUBSTITUTE(SUBSTITUTE(SUBSTITUTE(SUBSTITUTE(TRIM(N634),".",""),"/",""),"-","")," ",""),"(",""),")",""),"+",""),1)&lt;&gt;"0"),"OK",IF(LEN(SUBSTITUTE(SUBSTITUTE(SUBSTITUTE(SUBSTITUTE(SUBSTITUTE(SUBSTITUTE(SUBSTITUTE(TRIM(N634),".",""),"/",""),"-","")," ",""),"(",""),")",""),"+",""))=10,"ERRO: é fixo (ou falta o 9), use a coluna Telefone fixo","ERRO: DDD + 9 + 8 dígitos")))</f>
      </c>
      <c r="Y634" s="6">
        <f>IF(O634="","vazio",IF(AND(ISNUMBER(FIND("@",O634)),ISNUMBER(FIND(".",MID(O634,FIND("@",O634),99))),NOT(ISNUMBER(FIND(" ",TRIM(O634)))),NOT(ISNUMBER(FIND(";",O634))),NOT(ISNUMBER(FIND(",",O634)))),"OK","ERRO: um e-mail válido por linha"))</f>
      </c>
      <c r="Z634" s="6">
        <f>IF(AND(J634="",K634=""),"",IF(AND(J634&lt;&gt;"",K634&lt;&gt;""),"OK","pendente: só um nome (o GR completa ao converter)"))</f>
      </c>
      <c r="AA634" s="6">
        <f>IF(COUNTA(A634:S634)=0,"",IF(AND(A634&lt;&gt;"",B634&lt;&gt;"",C634&lt;&gt;"",D634&lt;&gt;"",E634&lt;&gt;"",F634&lt;&gt;"",G634&lt;&gt;"",H634&lt;&gt;"",OR(J634&lt;&gt;"",K634&lt;&gt;""),OR(M634&lt;&gt;"",N634&lt;&gt;"",O634&lt;&gt;"")),"OK","ERRO: faltam "&amp;IF(A634="","SDR; ","")&amp;IF(B634="","Proprietário; ","")&amp;IF(C634="","Origem; ","")&amp;IF(D634="","Temperatura; ","")&amp;IF(E634="","Segmento; ","")&amp;IF(F634="","Time/Cluster; ","")&amp;IF(G634="","CNPJ; ","")&amp;IF(H634="","Razão Social; ","")&amp;IF(AND(J634="",K634=""),"nome do contato; ","")&amp;IF(AND(M634="",N634="",O634=""),"telefone, celular ou e-mail; ","")))</f>
      </c>
      <c r="AB634" s="6">
        <f>IF(COUNTA(A634:S634)=0,"",IF(AND(U634="OK",V634="OK",LEFT(W634,4)&lt;&gt;"ERRO",LEFT(X634,4)&lt;&gt;"ERRO",LEFT(Y634,4)&lt;&gt;"ERRO",AA634="OK"),"OK","REVISAR"))</f>
      </c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5"/>
      <c r="K635" s="4"/>
      <c r="L635" s="4"/>
      <c r="M635" s="4"/>
      <c r="N635" s="4"/>
      <c r="O635" s="4"/>
      <c r="P635" s="4"/>
      <c r="Q635" s="4"/>
      <c r="R635" s="4"/>
      <c r="S635" s="4"/>
      <c r="T635" s="6">
        <f>IF(G635="","",SUBSTITUTE(SUBSTITUTE(SUBSTITUTE(SUBSTITUTE(SUBSTITUTE(SUBSTITUTE(SUBSTITUTE(TRIM(G635),".",""),"/",""),"-","")," ",""),"(",""),")",""),"+",""))</f>
      </c>
      <c r="U635" s="6">
        <f>IF(T635="","",IF(LEN(T635)&lt;&gt;14,"ERRO: "&amp;LEN(T635)&amp;" dígitos",IF(NOT(ISNUMBER(VALUE(T635))),"ERRO: não numérico",IF(LEN(SUBSTITUTE(T635,LEFT(T635,1),""))=0,"ERRO: dígitos repetidos",IF(AND(VALUE(MID(T635,13,1))=IF(MOD(SUMPRODUCT(--MID(T635,{1,2,3,4,5,6,7,8,9,10,11,12},1),{5,4,3,2,9,8,7,6,5,4,3,2}),11)&lt;2,0,11-MOD(SUMPRODUCT(--MID(T635,{1,2,3,4,5,6,7,8,9,10,11,12},1),{5,4,3,2,9,8,7,6,5,4,3,2}),11)),VALUE(MID(T635,14,1))=IF(MOD(SUMPRODUCT(--MID(T635,{1,2,3,4,5,6,7,8,9,10,11,12,13},1),{6,5,4,3,2,9,8,7,6,5,4,3,2}),11)&lt;2,0,11-MOD(SUMPRODUCT(--MID(T635,{1,2,3,4,5,6,7,8,9,10,11,12,13},1),{6,5,4,3,2,9,8,7,6,5,4,3,2}),11))),"OK","ERRO: dígito verificador")))))</f>
      </c>
      <c r="V635" s="6">
        <f>IF(T635="","",IF(COUNTIF($T$2:$T$1001,T635)&gt;1,"DUPLICADO","OK"))</f>
      </c>
      <c r="W635" s="6">
        <f>IF(M635="","vazio",IF(OR(AND(LEN(SUBSTITUTE(SUBSTITUTE(SUBSTITUTE(SUBSTITUTE(SUBSTITUTE(SUBSTITUTE(SUBSTITUTE(TRIM(M635),".",""),"/",""),"-","")," ",""),"(",""),")",""),"+",""))=10,LEFT(SUBSTITUTE(SUBSTITUTE(SUBSTITUTE(SUBSTITUTE(SUBSTITUTE(SUBSTITUTE(SUBSTITUTE(TRIM(M635),".",""),"/",""),"-","")," ",""),"(",""),")",""),"+",""),1)&lt;&gt;"0"),AND(LEN(SUBSTITUTE(SUBSTITUTE(SUBSTITUTE(SUBSTITUTE(SUBSTITUTE(SUBSTITUTE(SUBSTITUTE(TRIM(M635),".",""),"/",""),"-","")," ",""),"(",""),")",""),"+",""))=11,LEFT(SUBSTITUTE(SUBSTITUTE(SUBSTITUTE(SUBSTITUTE(SUBSTITUTE(SUBSTITUTE(SUBSTITUTE(TRIM(M635),".",""),"/",""),"-","")," ",""),"(",""),")",""),"+",""),4)="0800")),"OK",IF(AND(LEN(SUBSTITUTE(SUBSTITUTE(SUBSTITUTE(SUBSTITUTE(SUBSTITUTE(SUBSTITUTE(SUBSTITUTE(TRIM(M635),".",""),"/",""),"-","")," ",""),"(",""),")",""),"+",""))=11,MID(SUBSTITUTE(SUBSTITUTE(SUBSTITUTE(SUBSTITUTE(SUBSTITUTE(SUBSTITUTE(SUBSTITUTE(TRIM(M635),".",""),"/",""),"-","")," ",""),"(",""),")",""),"+",""),3,1)="9"),"ERRO: é celular, use a coluna Celular","ERRO: DDD + 8 dígitos ou 0800 + 7")))</f>
      </c>
      <c r="X635" s="6">
        <f>IF(N635="","vazio",IF(AND(LEN(SUBSTITUTE(SUBSTITUTE(SUBSTITUTE(SUBSTITUTE(SUBSTITUTE(SUBSTITUTE(SUBSTITUTE(TRIM(N635),".",""),"/",""),"-","")," ",""),"(",""),")",""),"+",""))=11,MID(SUBSTITUTE(SUBSTITUTE(SUBSTITUTE(SUBSTITUTE(SUBSTITUTE(SUBSTITUTE(SUBSTITUTE(TRIM(N635),".",""),"/",""),"-","")," ",""),"(",""),")",""),"+",""),3,1)="9",LEFT(SUBSTITUTE(SUBSTITUTE(SUBSTITUTE(SUBSTITUTE(SUBSTITUTE(SUBSTITUTE(SUBSTITUTE(TRIM(N635),".",""),"/",""),"-","")," ",""),"(",""),")",""),"+",""),1)&lt;&gt;"0"),"OK",IF(LEN(SUBSTITUTE(SUBSTITUTE(SUBSTITUTE(SUBSTITUTE(SUBSTITUTE(SUBSTITUTE(SUBSTITUTE(TRIM(N635),".",""),"/",""),"-","")," ",""),"(",""),")",""),"+",""))=10,"ERRO: é fixo (ou falta o 9), use a coluna Telefone fixo","ERRO: DDD + 9 + 8 dígitos")))</f>
      </c>
      <c r="Y635" s="6">
        <f>IF(O635="","vazio",IF(AND(ISNUMBER(FIND("@",O635)),ISNUMBER(FIND(".",MID(O635,FIND("@",O635),99))),NOT(ISNUMBER(FIND(" ",TRIM(O635)))),NOT(ISNUMBER(FIND(";",O635))),NOT(ISNUMBER(FIND(",",O635)))),"OK","ERRO: um e-mail válido por linha"))</f>
      </c>
      <c r="Z635" s="6">
        <f>IF(AND(J635="",K635=""),"",IF(AND(J635&lt;&gt;"",K635&lt;&gt;""),"OK","pendente: só um nome (o GR completa ao converter)"))</f>
      </c>
      <c r="AA635" s="6">
        <f>IF(COUNTA(A635:S635)=0,"",IF(AND(A635&lt;&gt;"",B635&lt;&gt;"",C635&lt;&gt;"",D635&lt;&gt;"",E635&lt;&gt;"",F635&lt;&gt;"",G635&lt;&gt;"",H635&lt;&gt;"",OR(J635&lt;&gt;"",K635&lt;&gt;""),OR(M635&lt;&gt;"",N635&lt;&gt;"",O635&lt;&gt;"")),"OK","ERRO: faltam "&amp;IF(A635="","SDR; ","")&amp;IF(B635="","Proprietário; ","")&amp;IF(C635="","Origem; ","")&amp;IF(D635="","Temperatura; ","")&amp;IF(E635="","Segmento; ","")&amp;IF(F635="","Time/Cluster; ","")&amp;IF(G635="","CNPJ; ","")&amp;IF(H635="","Razão Social; ","")&amp;IF(AND(J635="",K635=""),"nome do contato; ","")&amp;IF(AND(M635="",N635="",O635=""),"telefone, celular ou e-mail; ","")))</f>
      </c>
      <c r="AB635" s="6">
        <f>IF(COUNTA(A635:S635)=0,"",IF(AND(U635="OK",V635="OK",LEFT(W635,4)&lt;&gt;"ERRO",LEFT(X635,4)&lt;&gt;"ERRO",LEFT(Y635,4)&lt;&gt;"ERRO",AA635="OK"),"OK","REVISAR"))</f>
      </c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5"/>
      <c r="K636" s="4"/>
      <c r="L636" s="4"/>
      <c r="M636" s="4"/>
      <c r="N636" s="4"/>
      <c r="O636" s="4"/>
      <c r="P636" s="4"/>
      <c r="Q636" s="4"/>
      <c r="R636" s="4"/>
      <c r="S636" s="4"/>
      <c r="T636" s="6">
        <f>IF(G636="","",SUBSTITUTE(SUBSTITUTE(SUBSTITUTE(SUBSTITUTE(SUBSTITUTE(SUBSTITUTE(SUBSTITUTE(TRIM(G636),".",""),"/",""),"-","")," ",""),"(",""),")",""),"+",""))</f>
      </c>
      <c r="U636" s="6">
        <f>IF(T636="","",IF(LEN(T636)&lt;&gt;14,"ERRO: "&amp;LEN(T636)&amp;" dígitos",IF(NOT(ISNUMBER(VALUE(T636))),"ERRO: não numérico",IF(LEN(SUBSTITUTE(T636,LEFT(T636,1),""))=0,"ERRO: dígitos repetidos",IF(AND(VALUE(MID(T636,13,1))=IF(MOD(SUMPRODUCT(--MID(T636,{1,2,3,4,5,6,7,8,9,10,11,12},1),{5,4,3,2,9,8,7,6,5,4,3,2}),11)&lt;2,0,11-MOD(SUMPRODUCT(--MID(T636,{1,2,3,4,5,6,7,8,9,10,11,12},1),{5,4,3,2,9,8,7,6,5,4,3,2}),11)),VALUE(MID(T636,14,1))=IF(MOD(SUMPRODUCT(--MID(T636,{1,2,3,4,5,6,7,8,9,10,11,12,13},1),{6,5,4,3,2,9,8,7,6,5,4,3,2}),11)&lt;2,0,11-MOD(SUMPRODUCT(--MID(T636,{1,2,3,4,5,6,7,8,9,10,11,12,13},1),{6,5,4,3,2,9,8,7,6,5,4,3,2}),11))),"OK","ERRO: dígito verificador")))))</f>
      </c>
      <c r="V636" s="6">
        <f>IF(T636="","",IF(COUNTIF($T$2:$T$1001,T636)&gt;1,"DUPLICADO","OK"))</f>
      </c>
      <c r="W636" s="6">
        <f>IF(M636="","vazio",IF(OR(AND(LEN(SUBSTITUTE(SUBSTITUTE(SUBSTITUTE(SUBSTITUTE(SUBSTITUTE(SUBSTITUTE(SUBSTITUTE(TRIM(M636),".",""),"/",""),"-","")," ",""),"(",""),")",""),"+",""))=10,LEFT(SUBSTITUTE(SUBSTITUTE(SUBSTITUTE(SUBSTITUTE(SUBSTITUTE(SUBSTITUTE(SUBSTITUTE(TRIM(M636),".",""),"/",""),"-","")," ",""),"(",""),")",""),"+",""),1)&lt;&gt;"0"),AND(LEN(SUBSTITUTE(SUBSTITUTE(SUBSTITUTE(SUBSTITUTE(SUBSTITUTE(SUBSTITUTE(SUBSTITUTE(TRIM(M636),".",""),"/",""),"-","")," ",""),"(",""),")",""),"+",""))=11,LEFT(SUBSTITUTE(SUBSTITUTE(SUBSTITUTE(SUBSTITUTE(SUBSTITUTE(SUBSTITUTE(SUBSTITUTE(TRIM(M636),".",""),"/",""),"-","")," ",""),"(",""),")",""),"+",""),4)="0800")),"OK",IF(AND(LEN(SUBSTITUTE(SUBSTITUTE(SUBSTITUTE(SUBSTITUTE(SUBSTITUTE(SUBSTITUTE(SUBSTITUTE(TRIM(M636),".",""),"/",""),"-","")," ",""),"(",""),")",""),"+",""))=11,MID(SUBSTITUTE(SUBSTITUTE(SUBSTITUTE(SUBSTITUTE(SUBSTITUTE(SUBSTITUTE(SUBSTITUTE(TRIM(M636),".",""),"/",""),"-","")," ",""),"(",""),")",""),"+",""),3,1)="9"),"ERRO: é celular, use a coluna Celular","ERRO: DDD + 8 dígitos ou 0800 + 7")))</f>
      </c>
      <c r="X636" s="6">
        <f>IF(N636="","vazio",IF(AND(LEN(SUBSTITUTE(SUBSTITUTE(SUBSTITUTE(SUBSTITUTE(SUBSTITUTE(SUBSTITUTE(SUBSTITUTE(TRIM(N636),".",""),"/",""),"-","")," ",""),"(",""),")",""),"+",""))=11,MID(SUBSTITUTE(SUBSTITUTE(SUBSTITUTE(SUBSTITUTE(SUBSTITUTE(SUBSTITUTE(SUBSTITUTE(TRIM(N636),".",""),"/",""),"-","")," ",""),"(",""),")",""),"+",""),3,1)="9",LEFT(SUBSTITUTE(SUBSTITUTE(SUBSTITUTE(SUBSTITUTE(SUBSTITUTE(SUBSTITUTE(SUBSTITUTE(TRIM(N636),".",""),"/",""),"-","")," ",""),"(",""),")",""),"+",""),1)&lt;&gt;"0"),"OK",IF(LEN(SUBSTITUTE(SUBSTITUTE(SUBSTITUTE(SUBSTITUTE(SUBSTITUTE(SUBSTITUTE(SUBSTITUTE(TRIM(N636),".",""),"/",""),"-","")," ",""),"(",""),")",""),"+",""))=10,"ERRO: é fixo (ou falta o 9), use a coluna Telefone fixo","ERRO: DDD + 9 + 8 dígitos")))</f>
      </c>
      <c r="Y636" s="6">
        <f>IF(O636="","vazio",IF(AND(ISNUMBER(FIND("@",O636)),ISNUMBER(FIND(".",MID(O636,FIND("@",O636),99))),NOT(ISNUMBER(FIND(" ",TRIM(O636)))),NOT(ISNUMBER(FIND(";",O636))),NOT(ISNUMBER(FIND(",",O636)))),"OK","ERRO: um e-mail válido por linha"))</f>
      </c>
      <c r="Z636" s="6">
        <f>IF(AND(J636="",K636=""),"",IF(AND(J636&lt;&gt;"",K636&lt;&gt;""),"OK","pendente: só um nome (o GR completa ao converter)"))</f>
      </c>
      <c r="AA636" s="6">
        <f>IF(COUNTA(A636:S636)=0,"",IF(AND(A636&lt;&gt;"",B636&lt;&gt;"",C636&lt;&gt;"",D636&lt;&gt;"",E636&lt;&gt;"",F636&lt;&gt;"",G636&lt;&gt;"",H636&lt;&gt;"",OR(J636&lt;&gt;"",K636&lt;&gt;""),OR(M636&lt;&gt;"",N636&lt;&gt;"",O636&lt;&gt;"")),"OK","ERRO: faltam "&amp;IF(A636="","SDR; ","")&amp;IF(B636="","Proprietário; ","")&amp;IF(C636="","Origem; ","")&amp;IF(D636="","Temperatura; ","")&amp;IF(E636="","Segmento; ","")&amp;IF(F636="","Time/Cluster; ","")&amp;IF(G636="","CNPJ; ","")&amp;IF(H636="","Razão Social; ","")&amp;IF(AND(J636="",K636=""),"nome do contato; ","")&amp;IF(AND(M636="",N636="",O636=""),"telefone, celular ou e-mail; ","")))</f>
      </c>
      <c r="AB636" s="6">
        <f>IF(COUNTA(A636:S636)=0,"",IF(AND(U636="OK",V636="OK",LEFT(W636,4)&lt;&gt;"ERRO",LEFT(X636,4)&lt;&gt;"ERRO",LEFT(Y636,4)&lt;&gt;"ERRO",AA636="OK"),"OK","REVISAR"))</f>
      </c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5"/>
      <c r="K637" s="4"/>
      <c r="L637" s="4"/>
      <c r="M637" s="4"/>
      <c r="N637" s="4"/>
      <c r="O637" s="4"/>
      <c r="P637" s="4"/>
      <c r="Q637" s="4"/>
      <c r="R637" s="4"/>
      <c r="S637" s="4"/>
      <c r="T637" s="6">
        <f>IF(G637="","",SUBSTITUTE(SUBSTITUTE(SUBSTITUTE(SUBSTITUTE(SUBSTITUTE(SUBSTITUTE(SUBSTITUTE(TRIM(G637),".",""),"/",""),"-","")," ",""),"(",""),")",""),"+",""))</f>
      </c>
      <c r="U637" s="6">
        <f>IF(T637="","",IF(LEN(T637)&lt;&gt;14,"ERRO: "&amp;LEN(T637)&amp;" dígitos",IF(NOT(ISNUMBER(VALUE(T637))),"ERRO: não numérico",IF(LEN(SUBSTITUTE(T637,LEFT(T637,1),""))=0,"ERRO: dígitos repetidos",IF(AND(VALUE(MID(T637,13,1))=IF(MOD(SUMPRODUCT(--MID(T637,{1,2,3,4,5,6,7,8,9,10,11,12},1),{5,4,3,2,9,8,7,6,5,4,3,2}),11)&lt;2,0,11-MOD(SUMPRODUCT(--MID(T637,{1,2,3,4,5,6,7,8,9,10,11,12},1),{5,4,3,2,9,8,7,6,5,4,3,2}),11)),VALUE(MID(T637,14,1))=IF(MOD(SUMPRODUCT(--MID(T637,{1,2,3,4,5,6,7,8,9,10,11,12,13},1),{6,5,4,3,2,9,8,7,6,5,4,3,2}),11)&lt;2,0,11-MOD(SUMPRODUCT(--MID(T637,{1,2,3,4,5,6,7,8,9,10,11,12,13},1),{6,5,4,3,2,9,8,7,6,5,4,3,2}),11))),"OK","ERRO: dígito verificador")))))</f>
      </c>
      <c r="V637" s="6">
        <f>IF(T637="","",IF(COUNTIF($T$2:$T$1001,T637)&gt;1,"DUPLICADO","OK"))</f>
      </c>
      <c r="W637" s="6">
        <f>IF(M637="","vazio",IF(OR(AND(LEN(SUBSTITUTE(SUBSTITUTE(SUBSTITUTE(SUBSTITUTE(SUBSTITUTE(SUBSTITUTE(SUBSTITUTE(TRIM(M637),".",""),"/",""),"-","")," ",""),"(",""),")",""),"+",""))=10,LEFT(SUBSTITUTE(SUBSTITUTE(SUBSTITUTE(SUBSTITUTE(SUBSTITUTE(SUBSTITUTE(SUBSTITUTE(TRIM(M637),".",""),"/",""),"-","")," ",""),"(",""),")",""),"+",""),1)&lt;&gt;"0"),AND(LEN(SUBSTITUTE(SUBSTITUTE(SUBSTITUTE(SUBSTITUTE(SUBSTITUTE(SUBSTITUTE(SUBSTITUTE(TRIM(M637),".",""),"/",""),"-","")," ",""),"(",""),")",""),"+",""))=11,LEFT(SUBSTITUTE(SUBSTITUTE(SUBSTITUTE(SUBSTITUTE(SUBSTITUTE(SUBSTITUTE(SUBSTITUTE(TRIM(M637),".",""),"/",""),"-","")," ",""),"(",""),")",""),"+",""),4)="0800")),"OK",IF(AND(LEN(SUBSTITUTE(SUBSTITUTE(SUBSTITUTE(SUBSTITUTE(SUBSTITUTE(SUBSTITUTE(SUBSTITUTE(TRIM(M637),".",""),"/",""),"-","")," ",""),"(",""),")",""),"+",""))=11,MID(SUBSTITUTE(SUBSTITUTE(SUBSTITUTE(SUBSTITUTE(SUBSTITUTE(SUBSTITUTE(SUBSTITUTE(TRIM(M637),".",""),"/",""),"-","")," ",""),"(",""),")",""),"+",""),3,1)="9"),"ERRO: é celular, use a coluna Celular","ERRO: DDD + 8 dígitos ou 0800 + 7")))</f>
      </c>
      <c r="X637" s="6">
        <f>IF(N637="","vazio",IF(AND(LEN(SUBSTITUTE(SUBSTITUTE(SUBSTITUTE(SUBSTITUTE(SUBSTITUTE(SUBSTITUTE(SUBSTITUTE(TRIM(N637),".",""),"/",""),"-","")," ",""),"(",""),")",""),"+",""))=11,MID(SUBSTITUTE(SUBSTITUTE(SUBSTITUTE(SUBSTITUTE(SUBSTITUTE(SUBSTITUTE(SUBSTITUTE(TRIM(N637),".",""),"/",""),"-","")," ",""),"(",""),")",""),"+",""),3,1)="9",LEFT(SUBSTITUTE(SUBSTITUTE(SUBSTITUTE(SUBSTITUTE(SUBSTITUTE(SUBSTITUTE(SUBSTITUTE(TRIM(N637),".",""),"/",""),"-","")," ",""),"(",""),")",""),"+",""),1)&lt;&gt;"0"),"OK",IF(LEN(SUBSTITUTE(SUBSTITUTE(SUBSTITUTE(SUBSTITUTE(SUBSTITUTE(SUBSTITUTE(SUBSTITUTE(TRIM(N637),".",""),"/",""),"-","")," ",""),"(",""),")",""),"+",""))=10,"ERRO: é fixo (ou falta o 9), use a coluna Telefone fixo","ERRO: DDD + 9 + 8 dígitos")))</f>
      </c>
      <c r="Y637" s="6">
        <f>IF(O637="","vazio",IF(AND(ISNUMBER(FIND("@",O637)),ISNUMBER(FIND(".",MID(O637,FIND("@",O637),99))),NOT(ISNUMBER(FIND(" ",TRIM(O637)))),NOT(ISNUMBER(FIND(";",O637))),NOT(ISNUMBER(FIND(",",O637)))),"OK","ERRO: um e-mail válido por linha"))</f>
      </c>
      <c r="Z637" s="6">
        <f>IF(AND(J637="",K637=""),"",IF(AND(J637&lt;&gt;"",K637&lt;&gt;""),"OK","pendente: só um nome (o GR completa ao converter)"))</f>
      </c>
      <c r="AA637" s="6">
        <f>IF(COUNTA(A637:S637)=0,"",IF(AND(A637&lt;&gt;"",B637&lt;&gt;"",C637&lt;&gt;"",D637&lt;&gt;"",E637&lt;&gt;"",F637&lt;&gt;"",G637&lt;&gt;"",H637&lt;&gt;"",OR(J637&lt;&gt;"",K637&lt;&gt;""),OR(M637&lt;&gt;"",N637&lt;&gt;"",O637&lt;&gt;"")),"OK","ERRO: faltam "&amp;IF(A637="","SDR; ","")&amp;IF(B637="","Proprietário; ","")&amp;IF(C637="","Origem; ","")&amp;IF(D637="","Temperatura; ","")&amp;IF(E637="","Segmento; ","")&amp;IF(F637="","Time/Cluster; ","")&amp;IF(G637="","CNPJ; ","")&amp;IF(H637="","Razão Social; ","")&amp;IF(AND(J637="",K637=""),"nome do contato; ","")&amp;IF(AND(M637="",N637="",O637=""),"telefone, celular ou e-mail; ","")))</f>
      </c>
      <c r="AB637" s="6">
        <f>IF(COUNTA(A637:S637)=0,"",IF(AND(U637="OK",V637="OK",LEFT(W637,4)&lt;&gt;"ERRO",LEFT(X637,4)&lt;&gt;"ERRO",LEFT(Y637,4)&lt;&gt;"ERRO",AA637="OK"),"OK","REVISAR"))</f>
      </c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5"/>
      <c r="K638" s="4"/>
      <c r="L638" s="4"/>
      <c r="M638" s="4"/>
      <c r="N638" s="4"/>
      <c r="O638" s="4"/>
      <c r="P638" s="4"/>
      <c r="Q638" s="4"/>
      <c r="R638" s="4"/>
      <c r="S638" s="4"/>
      <c r="T638" s="6">
        <f>IF(G638="","",SUBSTITUTE(SUBSTITUTE(SUBSTITUTE(SUBSTITUTE(SUBSTITUTE(SUBSTITUTE(SUBSTITUTE(TRIM(G638),".",""),"/",""),"-","")," ",""),"(",""),")",""),"+",""))</f>
      </c>
      <c r="U638" s="6">
        <f>IF(T638="","",IF(LEN(T638)&lt;&gt;14,"ERRO: "&amp;LEN(T638)&amp;" dígitos",IF(NOT(ISNUMBER(VALUE(T638))),"ERRO: não numérico",IF(LEN(SUBSTITUTE(T638,LEFT(T638,1),""))=0,"ERRO: dígitos repetidos",IF(AND(VALUE(MID(T638,13,1))=IF(MOD(SUMPRODUCT(--MID(T638,{1,2,3,4,5,6,7,8,9,10,11,12},1),{5,4,3,2,9,8,7,6,5,4,3,2}),11)&lt;2,0,11-MOD(SUMPRODUCT(--MID(T638,{1,2,3,4,5,6,7,8,9,10,11,12},1),{5,4,3,2,9,8,7,6,5,4,3,2}),11)),VALUE(MID(T638,14,1))=IF(MOD(SUMPRODUCT(--MID(T638,{1,2,3,4,5,6,7,8,9,10,11,12,13},1),{6,5,4,3,2,9,8,7,6,5,4,3,2}),11)&lt;2,0,11-MOD(SUMPRODUCT(--MID(T638,{1,2,3,4,5,6,7,8,9,10,11,12,13},1),{6,5,4,3,2,9,8,7,6,5,4,3,2}),11))),"OK","ERRO: dígito verificador")))))</f>
      </c>
      <c r="V638" s="6">
        <f>IF(T638="","",IF(COUNTIF($T$2:$T$1001,T638)&gt;1,"DUPLICADO","OK"))</f>
      </c>
      <c r="W638" s="6">
        <f>IF(M638="","vazio",IF(OR(AND(LEN(SUBSTITUTE(SUBSTITUTE(SUBSTITUTE(SUBSTITUTE(SUBSTITUTE(SUBSTITUTE(SUBSTITUTE(TRIM(M638),".",""),"/",""),"-","")," ",""),"(",""),")",""),"+",""))=10,LEFT(SUBSTITUTE(SUBSTITUTE(SUBSTITUTE(SUBSTITUTE(SUBSTITUTE(SUBSTITUTE(SUBSTITUTE(TRIM(M638),".",""),"/",""),"-","")," ",""),"(",""),")",""),"+",""),1)&lt;&gt;"0"),AND(LEN(SUBSTITUTE(SUBSTITUTE(SUBSTITUTE(SUBSTITUTE(SUBSTITUTE(SUBSTITUTE(SUBSTITUTE(TRIM(M638),".",""),"/",""),"-","")," ",""),"(",""),")",""),"+",""))=11,LEFT(SUBSTITUTE(SUBSTITUTE(SUBSTITUTE(SUBSTITUTE(SUBSTITUTE(SUBSTITUTE(SUBSTITUTE(TRIM(M638),".",""),"/",""),"-","")," ",""),"(",""),")",""),"+",""),4)="0800")),"OK",IF(AND(LEN(SUBSTITUTE(SUBSTITUTE(SUBSTITUTE(SUBSTITUTE(SUBSTITUTE(SUBSTITUTE(SUBSTITUTE(TRIM(M638),".",""),"/",""),"-","")," ",""),"(",""),")",""),"+",""))=11,MID(SUBSTITUTE(SUBSTITUTE(SUBSTITUTE(SUBSTITUTE(SUBSTITUTE(SUBSTITUTE(SUBSTITUTE(TRIM(M638),".",""),"/",""),"-","")," ",""),"(",""),")",""),"+",""),3,1)="9"),"ERRO: é celular, use a coluna Celular","ERRO: DDD + 8 dígitos ou 0800 + 7")))</f>
      </c>
      <c r="X638" s="6">
        <f>IF(N638="","vazio",IF(AND(LEN(SUBSTITUTE(SUBSTITUTE(SUBSTITUTE(SUBSTITUTE(SUBSTITUTE(SUBSTITUTE(SUBSTITUTE(TRIM(N638),".",""),"/",""),"-","")," ",""),"(",""),")",""),"+",""))=11,MID(SUBSTITUTE(SUBSTITUTE(SUBSTITUTE(SUBSTITUTE(SUBSTITUTE(SUBSTITUTE(SUBSTITUTE(TRIM(N638),".",""),"/",""),"-","")," ",""),"(",""),")",""),"+",""),3,1)="9",LEFT(SUBSTITUTE(SUBSTITUTE(SUBSTITUTE(SUBSTITUTE(SUBSTITUTE(SUBSTITUTE(SUBSTITUTE(TRIM(N638),".",""),"/",""),"-","")," ",""),"(",""),")",""),"+",""),1)&lt;&gt;"0"),"OK",IF(LEN(SUBSTITUTE(SUBSTITUTE(SUBSTITUTE(SUBSTITUTE(SUBSTITUTE(SUBSTITUTE(SUBSTITUTE(TRIM(N638),".",""),"/",""),"-","")," ",""),"(",""),")",""),"+",""))=10,"ERRO: é fixo (ou falta o 9), use a coluna Telefone fixo","ERRO: DDD + 9 + 8 dígitos")))</f>
      </c>
      <c r="Y638" s="6">
        <f>IF(O638="","vazio",IF(AND(ISNUMBER(FIND("@",O638)),ISNUMBER(FIND(".",MID(O638,FIND("@",O638),99))),NOT(ISNUMBER(FIND(" ",TRIM(O638)))),NOT(ISNUMBER(FIND(";",O638))),NOT(ISNUMBER(FIND(",",O638)))),"OK","ERRO: um e-mail válido por linha"))</f>
      </c>
      <c r="Z638" s="6">
        <f>IF(AND(J638="",K638=""),"",IF(AND(J638&lt;&gt;"",K638&lt;&gt;""),"OK","pendente: só um nome (o GR completa ao converter)"))</f>
      </c>
      <c r="AA638" s="6">
        <f>IF(COUNTA(A638:S638)=0,"",IF(AND(A638&lt;&gt;"",B638&lt;&gt;"",C638&lt;&gt;"",D638&lt;&gt;"",E638&lt;&gt;"",F638&lt;&gt;"",G638&lt;&gt;"",H638&lt;&gt;"",OR(J638&lt;&gt;"",K638&lt;&gt;""),OR(M638&lt;&gt;"",N638&lt;&gt;"",O638&lt;&gt;"")),"OK","ERRO: faltam "&amp;IF(A638="","SDR; ","")&amp;IF(B638="","Proprietário; ","")&amp;IF(C638="","Origem; ","")&amp;IF(D638="","Temperatura; ","")&amp;IF(E638="","Segmento; ","")&amp;IF(F638="","Time/Cluster; ","")&amp;IF(G638="","CNPJ; ","")&amp;IF(H638="","Razão Social; ","")&amp;IF(AND(J638="",K638=""),"nome do contato; ","")&amp;IF(AND(M638="",N638="",O638=""),"telefone, celular ou e-mail; ","")))</f>
      </c>
      <c r="AB638" s="6">
        <f>IF(COUNTA(A638:S638)=0,"",IF(AND(U638="OK",V638="OK",LEFT(W638,4)&lt;&gt;"ERRO",LEFT(X638,4)&lt;&gt;"ERRO",LEFT(Y638,4)&lt;&gt;"ERRO",AA638="OK"),"OK","REVISAR"))</f>
      </c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5"/>
      <c r="K639" s="4"/>
      <c r="L639" s="4"/>
      <c r="M639" s="4"/>
      <c r="N639" s="4"/>
      <c r="O639" s="4"/>
      <c r="P639" s="4"/>
      <c r="Q639" s="4"/>
      <c r="R639" s="4"/>
      <c r="S639" s="4"/>
      <c r="T639" s="6">
        <f>IF(G639="","",SUBSTITUTE(SUBSTITUTE(SUBSTITUTE(SUBSTITUTE(SUBSTITUTE(SUBSTITUTE(SUBSTITUTE(TRIM(G639),".",""),"/",""),"-","")," ",""),"(",""),")",""),"+",""))</f>
      </c>
      <c r="U639" s="6">
        <f>IF(T639="","",IF(LEN(T639)&lt;&gt;14,"ERRO: "&amp;LEN(T639)&amp;" dígitos",IF(NOT(ISNUMBER(VALUE(T639))),"ERRO: não numérico",IF(LEN(SUBSTITUTE(T639,LEFT(T639,1),""))=0,"ERRO: dígitos repetidos",IF(AND(VALUE(MID(T639,13,1))=IF(MOD(SUMPRODUCT(--MID(T639,{1,2,3,4,5,6,7,8,9,10,11,12},1),{5,4,3,2,9,8,7,6,5,4,3,2}),11)&lt;2,0,11-MOD(SUMPRODUCT(--MID(T639,{1,2,3,4,5,6,7,8,9,10,11,12},1),{5,4,3,2,9,8,7,6,5,4,3,2}),11)),VALUE(MID(T639,14,1))=IF(MOD(SUMPRODUCT(--MID(T639,{1,2,3,4,5,6,7,8,9,10,11,12,13},1),{6,5,4,3,2,9,8,7,6,5,4,3,2}),11)&lt;2,0,11-MOD(SUMPRODUCT(--MID(T639,{1,2,3,4,5,6,7,8,9,10,11,12,13},1),{6,5,4,3,2,9,8,7,6,5,4,3,2}),11))),"OK","ERRO: dígito verificador")))))</f>
      </c>
      <c r="V639" s="6">
        <f>IF(T639="","",IF(COUNTIF($T$2:$T$1001,T639)&gt;1,"DUPLICADO","OK"))</f>
      </c>
      <c r="W639" s="6">
        <f>IF(M639="","vazio",IF(OR(AND(LEN(SUBSTITUTE(SUBSTITUTE(SUBSTITUTE(SUBSTITUTE(SUBSTITUTE(SUBSTITUTE(SUBSTITUTE(TRIM(M639),".",""),"/",""),"-","")," ",""),"(",""),")",""),"+",""))=10,LEFT(SUBSTITUTE(SUBSTITUTE(SUBSTITUTE(SUBSTITUTE(SUBSTITUTE(SUBSTITUTE(SUBSTITUTE(TRIM(M639),".",""),"/",""),"-","")," ",""),"(",""),")",""),"+",""),1)&lt;&gt;"0"),AND(LEN(SUBSTITUTE(SUBSTITUTE(SUBSTITUTE(SUBSTITUTE(SUBSTITUTE(SUBSTITUTE(SUBSTITUTE(TRIM(M639),".",""),"/",""),"-","")," ",""),"(",""),")",""),"+",""))=11,LEFT(SUBSTITUTE(SUBSTITUTE(SUBSTITUTE(SUBSTITUTE(SUBSTITUTE(SUBSTITUTE(SUBSTITUTE(TRIM(M639),".",""),"/",""),"-","")," ",""),"(",""),")",""),"+",""),4)="0800")),"OK",IF(AND(LEN(SUBSTITUTE(SUBSTITUTE(SUBSTITUTE(SUBSTITUTE(SUBSTITUTE(SUBSTITUTE(SUBSTITUTE(TRIM(M639),".",""),"/",""),"-","")," ",""),"(",""),")",""),"+",""))=11,MID(SUBSTITUTE(SUBSTITUTE(SUBSTITUTE(SUBSTITUTE(SUBSTITUTE(SUBSTITUTE(SUBSTITUTE(TRIM(M639),".",""),"/",""),"-","")," ",""),"(",""),")",""),"+",""),3,1)="9"),"ERRO: é celular, use a coluna Celular","ERRO: DDD + 8 dígitos ou 0800 + 7")))</f>
      </c>
      <c r="X639" s="6">
        <f>IF(N639="","vazio",IF(AND(LEN(SUBSTITUTE(SUBSTITUTE(SUBSTITUTE(SUBSTITUTE(SUBSTITUTE(SUBSTITUTE(SUBSTITUTE(TRIM(N639),".",""),"/",""),"-","")," ",""),"(",""),")",""),"+",""))=11,MID(SUBSTITUTE(SUBSTITUTE(SUBSTITUTE(SUBSTITUTE(SUBSTITUTE(SUBSTITUTE(SUBSTITUTE(TRIM(N639),".",""),"/",""),"-","")," ",""),"(",""),")",""),"+",""),3,1)="9",LEFT(SUBSTITUTE(SUBSTITUTE(SUBSTITUTE(SUBSTITUTE(SUBSTITUTE(SUBSTITUTE(SUBSTITUTE(TRIM(N639),".",""),"/",""),"-","")," ",""),"(",""),")",""),"+",""),1)&lt;&gt;"0"),"OK",IF(LEN(SUBSTITUTE(SUBSTITUTE(SUBSTITUTE(SUBSTITUTE(SUBSTITUTE(SUBSTITUTE(SUBSTITUTE(TRIM(N639),".",""),"/",""),"-","")," ",""),"(",""),")",""),"+",""))=10,"ERRO: é fixo (ou falta o 9), use a coluna Telefone fixo","ERRO: DDD + 9 + 8 dígitos")))</f>
      </c>
      <c r="Y639" s="6">
        <f>IF(O639="","vazio",IF(AND(ISNUMBER(FIND("@",O639)),ISNUMBER(FIND(".",MID(O639,FIND("@",O639),99))),NOT(ISNUMBER(FIND(" ",TRIM(O639)))),NOT(ISNUMBER(FIND(";",O639))),NOT(ISNUMBER(FIND(",",O639)))),"OK","ERRO: um e-mail válido por linha"))</f>
      </c>
      <c r="Z639" s="6">
        <f>IF(AND(J639="",K639=""),"",IF(AND(J639&lt;&gt;"",K639&lt;&gt;""),"OK","pendente: só um nome (o GR completa ao converter)"))</f>
      </c>
      <c r="AA639" s="6">
        <f>IF(COUNTA(A639:S639)=0,"",IF(AND(A639&lt;&gt;"",B639&lt;&gt;"",C639&lt;&gt;"",D639&lt;&gt;"",E639&lt;&gt;"",F639&lt;&gt;"",G639&lt;&gt;"",H639&lt;&gt;"",OR(J639&lt;&gt;"",K639&lt;&gt;""),OR(M639&lt;&gt;"",N639&lt;&gt;"",O639&lt;&gt;"")),"OK","ERRO: faltam "&amp;IF(A639="","SDR; ","")&amp;IF(B639="","Proprietário; ","")&amp;IF(C639="","Origem; ","")&amp;IF(D639="","Temperatura; ","")&amp;IF(E639="","Segmento; ","")&amp;IF(F639="","Time/Cluster; ","")&amp;IF(G639="","CNPJ; ","")&amp;IF(H639="","Razão Social; ","")&amp;IF(AND(J639="",K639=""),"nome do contato; ","")&amp;IF(AND(M639="",N639="",O639=""),"telefone, celular ou e-mail; ","")))</f>
      </c>
      <c r="AB639" s="6">
        <f>IF(COUNTA(A639:S639)=0,"",IF(AND(U639="OK",V639="OK",LEFT(W639,4)&lt;&gt;"ERRO",LEFT(X639,4)&lt;&gt;"ERRO",LEFT(Y639,4)&lt;&gt;"ERRO",AA639="OK"),"OK","REVISAR"))</f>
      </c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5"/>
      <c r="K640" s="4"/>
      <c r="L640" s="4"/>
      <c r="M640" s="4"/>
      <c r="N640" s="4"/>
      <c r="O640" s="4"/>
      <c r="P640" s="4"/>
      <c r="Q640" s="4"/>
      <c r="R640" s="4"/>
      <c r="S640" s="4"/>
      <c r="T640" s="6">
        <f>IF(G640="","",SUBSTITUTE(SUBSTITUTE(SUBSTITUTE(SUBSTITUTE(SUBSTITUTE(SUBSTITUTE(SUBSTITUTE(TRIM(G640),".",""),"/",""),"-","")," ",""),"(",""),")",""),"+",""))</f>
      </c>
      <c r="U640" s="6">
        <f>IF(T640="","",IF(LEN(T640)&lt;&gt;14,"ERRO: "&amp;LEN(T640)&amp;" dígitos",IF(NOT(ISNUMBER(VALUE(T640))),"ERRO: não numérico",IF(LEN(SUBSTITUTE(T640,LEFT(T640,1),""))=0,"ERRO: dígitos repetidos",IF(AND(VALUE(MID(T640,13,1))=IF(MOD(SUMPRODUCT(--MID(T640,{1,2,3,4,5,6,7,8,9,10,11,12},1),{5,4,3,2,9,8,7,6,5,4,3,2}),11)&lt;2,0,11-MOD(SUMPRODUCT(--MID(T640,{1,2,3,4,5,6,7,8,9,10,11,12},1),{5,4,3,2,9,8,7,6,5,4,3,2}),11)),VALUE(MID(T640,14,1))=IF(MOD(SUMPRODUCT(--MID(T640,{1,2,3,4,5,6,7,8,9,10,11,12,13},1),{6,5,4,3,2,9,8,7,6,5,4,3,2}),11)&lt;2,0,11-MOD(SUMPRODUCT(--MID(T640,{1,2,3,4,5,6,7,8,9,10,11,12,13},1),{6,5,4,3,2,9,8,7,6,5,4,3,2}),11))),"OK","ERRO: dígito verificador")))))</f>
      </c>
      <c r="V640" s="6">
        <f>IF(T640="","",IF(COUNTIF($T$2:$T$1001,T640)&gt;1,"DUPLICADO","OK"))</f>
      </c>
      <c r="W640" s="6">
        <f>IF(M640="","vazio",IF(OR(AND(LEN(SUBSTITUTE(SUBSTITUTE(SUBSTITUTE(SUBSTITUTE(SUBSTITUTE(SUBSTITUTE(SUBSTITUTE(TRIM(M640),".",""),"/",""),"-","")," ",""),"(",""),")",""),"+",""))=10,LEFT(SUBSTITUTE(SUBSTITUTE(SUBSTITUTE(SUBSTITUTE(SUBSTITUTE(SUBSTITUTE(SUBSTITUTE(TRIM(M640),".",""),"/",""),"-","")," ",""),"(",""),")",""),"+",""),1)&lt;&gt;"0"),AND(LEN(SUBSTITUTE(SUBSTITUTE(SUBSTITUTE(SUBSTITUTE(SUBSTITUTE(SUBSTITUTE(SUBSTITUTE(TRIM(M640),".",""),"/",""),"-","")," ",""),"(",""),")",""),"+",""))=11,LEFT(SUBSTITUTE(SUBSTITUTE(SUBSTITUTE(SUBSTITUTE(SUBSTITUTE(SUBSTITUTE(SUBSTITUTE(TRIM(M640),".",""),"/",""),"-","")," ",""),"(",""),")",""),"+",""),4)="0800")),"OK",IF(AND(LEN(SUBSTITUTE(SUBSTITUTE(SUBSTITUTE(SUBSTITUTE(SUBSTITUTE(SUBSTITUTE(SUBSTITUTE(TRIM(M640),".",""),"/",""),"-","")," ",""),"(",""),")",""),"+",""))=11,MID(SUBSTITUTE(SUBSTITUTE(SUBSTITUTE(SUBSTITUTE(SUBSTITUTE(SUBSTITUTE(SUBSTITUTE(TRIM(M640),".",""),"/",""),"-","")," ",""),"(",""),")",""),"+",""),3,1)="9"),"ERRO: é celular, use a coluna Celular","ERRO: DDD + 8 dígitos ou 0800 + 7")))</f>
      </c>
      <c r="X640" s="6">
        <f>IF(N640="","vazio",IF(AND(LEN(SUBSTITUTE(SUBSTITUTE(SUBSTITUTE(SUBSTITUTE(SUBSTITUTE(SUBSTITUTE(SUBSTITUTE(TRIM(N640),".",""),"/",""),"-","")," ",""),"(",""),")",""),"+",""))=11,MID(SUBSTITUTE(SUBSTITUTE(SUBSTITUTE(SUBSTITUTE(SUBSTITUTE(SUBSTITUTE(SUBSTITUTE(TRIM(N640),".",""),"/",""),"-","")," ",""),"(",""),")",""),"+",""),3,1)="9",LEFT(SUBSTITUTE(SUBSTITUTE(SUBSTITUTE(SUBSTITUTE(SUBSTITUTE(SUBSTITUTE(SUBSTITUTE(TRIM(N640),".",""),"/",""),"-","")," ",""),"(",""),")",""),"+",""),1)&lt;&gt;"0"),"OK",IF(LEN(SUBSTITUTE(SUBSTITUTE(SUBSTITUTE(SUBSTITUTE(SUBSTITUTE(SUBSTITUTE(SUBSTITUTE(TRIM(N640),".",""),"/",""),"-","")," ",""),"(",""),")",""),"+",""))=10,"ERRO: é fixo (ou falta o 9), use a coluna Telefone fixo","ERRO: DDD + 9 + 8 dígitos")))</f>
      </c>
      <c r="Y640" s="6">
        <f>IF(O640="","vazio",IF(AND(ISNUMBER(FIND("@",O640)),ISNUMBER(FIND(".",MID(O640,FIND("@",O640),99))),NOT(ISNUMBER(FIND(" ",TRIM(O640)))),NOT(ISNUMBER(FIND(";",O640))),NOT(ISNUMBER(FIND(",",O640)))),"OK","ERRO: um e-mail válido por linha"))</f>
      </c>
      <c r="Z640" s="6">
        <f>IF(AND(J640="",K640=""),"",IF(AND(J640&lt;&gt;"",K640&lt;&gt;""),"OK","pendente: só um nome (o GR completa ao converter)"))</f>
      </c>
      <c r="AA640" s="6">
        <f>IF(COUNTA(A640:S640)=0,"",IF(AND(A640&lt;&gt;"",B640&lt;&gt;"",C640&lt;&gt;"",D640&lt;&gt;"",E640&lt;&gt;"",F640&lt;&gt;"",G640&lt;&gt;"",H640&lt;&gt;"",OR(J640&lt;&gt;"",K640&lt;&gt;""),OR(M640&lt;&gt;"",N640&lt;&gt;"",O640&lt;&gt;"")),"OK","ERRO: faltam "&amp;IF(A640="","SDR; ","")&amp;IF(B640="","Proprietário; ","")&amp;IF(C640="","Origem; ","")&amp;IF(D640="","Temperatura; ","")&amp;IF(E640="","Segmento; ","")&amp;IF(F640="","Time/Cluster; ","")&amp;IF(G640="","CNPJ; ","")&amp;IF(H640="","Razão Social; ","")&amp;IF(AND(J640="",K640=""),"nome do contato; ","")&amp;IF(AND(M640="",N640="",O640=""),"telefone, celular ou e-mail; ","")))</f>
      </c>
      <c r="AB640" s="6">
        <f>IF(COUNTA(A640:S640)=0,"",IF(AND(U640="OK",V640="OK",LEFT(W640,4)&lt;&gt;"ERRO",LEFT(X640,4)&lt;&gt;"ERRO",LEFT(Y640,4)&lt;&gt;"ERRO",AA640="OK"),"OK","REVISAR"))</f>
      </c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5"/>
      <c r="K641" s="4"/>
      <c r="L641" s="4"/>
      <c r="M641" s="4"/>
      <c r="N641" s="4"/>
      <c r="O641" s="4"/>
      <c r="P641" s="4"/>
      <c r="Q641" s="4"/>
      <c r="R641" s="4"/>
      <c r="S641" s="4"/>
      <c r="T641" s="6">
        <f>IF(G641="","",SUBSTITUTE(SUBSTITUTE(SUBSTITUTE(SUBSTITUTE(SUBSTITUTE(SUBSTITUTE(SUBSTITUTE(TRIM(G641),".",""),"/",""),"-","")," ",""),"(",""),")",""),"+",""))</f>
      </c>
      <c r="U641" s="6">
        <f>IF(T641="","",IF(LEN(T641)&lt;&gt;14,"ERRO: "&amp;LEN(T641)&amp;" dígitos",IF(NOT(ISNUMBER(VALUE(T641))),"ERRO: não numérico",IF(LEN(SUBSTITUTE(T641,LEFT(T641,1),""))=0,"ERRO: dígitos repetidos",IF(AND(VALUE(MID(T641,13,1))=IF(MOD(SUMPRODUCT(--MID(T641,{1,2,3,4,5,6,7,8,9,10,11,12},1),{5,4,3,2,9,8,7,6,5,4,3,2}),11)&lt;2,0,11-MOD(SUMPRODUCT(--MID(T641,{1,2,3,4,5,6,7,8,9,10,11,12},1),{5,4,3,2,9,8,7,6,5,4,3,2}),11)),VALUE(MID(T641,14,1))=IF(MOD(SUMPRODUCT(--MID(T641,{1,2,3,4,5,6,7,8,9,10,11,12,13},1),{6,5,4,3,2,9,8,7,6,5,4,3,2}),11)&lt;2,0,11-MOD(SUMPRODUCT(--MID(T641,{1,2,3,4,5,6,7,8,9,10,11,12,13},1),{6,5,4,3,2,9,8,7,6,5,4,3,2}),11))),"OK","ERRO: dígito verificador")))))</f>
      </c>
      <c r="V641" s="6">
        <f>IF(T641="","",IF(COUNTIF($T$2:$T$1001,T641)&gt;1,"DUPLICADO","OK"))</f>
      </c>
      <c r="W641" s="6">
        <f>IF(M641="","vazio",IF(OR(AND(LEN(SUBSTITUTE(SUBSTITUTE(SUBSTITUTE(SUBSTITUTE(SUBSTITUTE(SUBSTITUTE(SUBSTITUTE(TRIM(M641),".",""),"/",""),"-","")," ",""),"(",""),")",""),"+",""))=10,LEFT(SUBSTITUTE(SUBSTITUTE(SUBSTITUTE(SUBSTITUTE(SUBSTITUTE(SUBSTITUTE(SUBSTITUTE(TRIM(M641),".",""),"/",""),"-","")," ",""),"(",""),")",""),"+",""),1)&lt;&gt;"0"),AND(LEN(SUBSTITUTE(SUBSTITUTE(SUBSTITUTE(SUBSTITUTE(SUBSTITUTE(SUBSTITUTE(SUBSTITUTE(TRIM(M641),".",""),"/",""),"-","")," ",""),"(",""),")",""),"+",""))=11,LEFT(SUBSTITUTE(SUBSTITUTE(SUBSTITUTE(SUBSTITUTE(SUBSTITUTE(SUBSTITUTE(SUBSTITUTE(TRIM(M641),".",""),"/",""),"-","")," ",""),"(",""),")",""),"+",""),4)="0800")),"OK",IF(AND(LEN(SUBSTITUTE(SUBSTITUTE(SUBSTITUTE(SUBSTITUTE(SUBSTITUTE(SUBSTITUTE(SUBSTITUTE(TRIM(M641),".",""),"/",""),"-","")," ",""),"(",""),")",""),"+",""))=11,MID(SUBSTITUTE(SUBSTITUTE(SUBSTITUTE(SUBSTITUTE(SUBSTITUTE(SUBSTITUTE(SUBSTITUTE(TRIM(M641),".",""),"/",""),"-","")," ",""),"(",""),")",""),"+",""),3,1)="9"),"ERRO: é celular, use a coluna Celular","ERRO: DDD + 8 dígitos ou 0800 + 7")))</f>
      </c>
      <c r="X641" s="6">
        <f>IF(N641="","vazio",IF(AND(LEN(SUBSTITUTE(SUBSTITUTE(SUBSTITUTE(SUBSTITUTE(SUBSTITUTE(SUBSTITUTE(SUBSTITUTE(TRIM(N641),".",""),"/",""),"-","")," ",""),"(",""),")",""),"+",""))=11,MID(SUBSTITUTE(SUBSTITUTE(SUBSTITUTE(SUBSTITUTE(SUBSTITUTE(SUBSTITUTE(SUBSTITUTE(TRIM(N641),".",""),"/",""),"-","")," ",""),"(",""),")",""),"+",""),3,1)="9",LEFT(SUBSTITUTE(SUBSTITUTE(SUBSTITUTE(SUBSTITUTE(SUBSTITUTE(SUBSTITUTE(SUBSTITUTE(TRIM(N641),".",""),"/",""),"-","")," ",""),"(",""),")",""),"+",""),1)&lt;&gt;"0"),"OK",IF(LEN(SUBSTITUTE(SUBSTITUTE(SUBSTITUTE(SUBSTITUTE(SUBSTITUTE(SUBSTITUTE(SUBSTITUTE(TRIM(N641),".",""),"/",""),"-","")," ",""),"(",""),")",""),"+",""))=10,"ERRO: é fixo (ou falta o 9), use a coluna Telefone fixo","ERRO: DDD + 9 + 8 dígitos")))</f>
      </c>
      <c r="Y641" s="6">
        <f>IF(O641="","vazio",IF(AND(ISNUMBER(FIND("@",O641)),ISNUMBER(FIND(".",MID(O641,FIND("@",O641),99))),NOT(ISNUMBER(FIND(" ",TRIM(O641)))),NOT(ISNUMBER(FIND(";",O641))),NOT(ISNUMBER(FIND(",",O641)))),"OK","ERRO: um e-mail válido por linha"))</f>
      </c>
      <c r="Z641" s="6">
        <f>IF(AND(J641="",K641=""),"",IF(AND(J641&lt;&gt;"",K641&lt;&gt;""),"OK","pendente: só um nome (o GR completa ao converter)"))</f>
      </c>
      <c r="AA641" s="6">
        <f>IF(COUNTA(A641:S641)=0,"",IF(AND(A641&lt;&gt;"",B641&lt;&gt;"",C641&lt;&gt;"",D641&lt;&gt;"",E641&lt;&gt;"",F641&lt;&gt;"",G641&lt;&gt;"",H641&lt;&gt;"",OR(J641&lt;&gt;"",K641&lt;&gt;""),OR(M641&lt;&gt;"",N641&lt;&gt;"",O641&lt;&gt;"")),"OK","ERRO: faltam "&amp;IF(A641="","SDR; ","")&amp;IF(B641="","Proprietário; ","")&amp;IF(C641="","Origem; ","")&amp;IF(D641="","Temperatura; ","")&amp;IF(E641="","Segmento; ","")&amp;IF(F641="","Time/Cluster; ","")&amp;IF(G641="","CNPJ; ","")&amp;IF(H641="","Razão Social; ","")&amp;IF(AND(J641="",K641=""),"nome do contato; ","")&amp;IF(AND(M641="",N641="",O641=""),"telefone, celular ou e-mail; ","")))</f>
      </c>
      <c r="AB641" s="6">
        <f>IF(COUNTA(A641:S641)=0,"",IF(AND(U641="OK",V641="OK",LEFT(W641,4)&lt;&gt;"ERRO",LEFT(X641,4)&lt;&gt;"ERRO",LEFT(Y641,4)&lt;&gt;"ERRO",AA641="OK"),"OK","REVISAR"))</f>
      </c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5"/>
      <c r="K642" s="4"/>
      <c r="L642" s="4"/>
      <c r="M642" s="4"/>
      <c r="N642" s="4"/>
      <c r="O642" s="4"/>
      <c r="P642" s="4"/>
      <c r="Q642" s="4"/>
      <c r="R642" s="4"/>
      <c r="S642" s="4"/>
      <c r="T642" s="6">
        <f>IF(G642="","",SUBSTITUTE(SUBSTITUTE(SUBSTITUTE(SUBSTITUTE(SUBSTITUTE(SUBSTITUTE(SUBSTITUTE(TRIM(G642),".",""),"/",""),"-","")," ",""),"(",""),")",""),"+",""))</f>
      </c>
      <c r="U642" s="6">
        <f>IF(T642="","",IF(LEN(T642)&lt;&gt;14,"ERRO: "&amp;LEN(T642)&amp;" dígitos",IF(NOT(ISNUMBER(VALUE(T642))),"ERRO: não numérico",IF(LEN(SUBSTITUTE(T642,LEFT(T642,1),""))=0,"ERRO: dígitos repetidos",IF(AND(VALUE(MID(T642,13,1))=IF(MOD(SUMPRODUCT(--MID(T642,{1,2,3,4,5,6,7,8,9,10,11,12},1),{5,4,3,2,9,8,7,6,5,4,3,2}),11)&lt;2,0,11-MOD(SUMPRODUCT(--MID(T642,{1,2,3,4,5,6,7,8,9,10,11,12},1),{5,4,3,2,9,8,7,6,5,4,3,2}),11)),VALUE(MID(T642,14,1))=IF(MOD(SUMPRODUCT(--MID(T642,{1,2,3,4,5,6,7,8,9,10,11,12,13},1),{6,5,4,3,2,9,8,7,6,5,4,3,2}),11)&lt;2,0,11-MOD(SUMPRODUCT(--MID(T642,{1,2,3,4,5,6,7,8,9,10,11,12,13},1),{6,5,4,3,2,9,8,7,6,5,4,3,2}),11))),"OK","ERRO: dígito verificador")))))</f>
      </c>
      <c r="V642" s="6">
        <f>IF(T642="","",IF(COUNTIF($T$2:$T$1001,T642)&gt;1,"DUPLICADO","OK"))</f>
      </c>
      <c r="W642" s="6">
        <f>IF(M642="","vazio",IF(OR(AND(LEN(SUBSTITUTE(SUBSTITUTE(SUBSTITUTE(SUBSTITUTE(SUBSTITUTE(SUBSTITUTE(SUBSTITUTE(TRIM(M642),".",""),"/",""),"-","")," ",""),"(",""),")",""),"+",""))=10,LEFT(SUBSTITUTE(SUBSTITUTE(SUBSTITUTE(SUBSTITUTE(SUBSTITUTE(SUBSTITUTE(SUBSTITUTE(TRIM(M642),".",""),"/",""),"-","")," ",""),"(",""),")",""),"+",""),1)&lt;&gt;"0"),AND(LEN(SUBSTITUTE(SUBSTITUTE(SUBSTITUTE(SUBSTITUTE(SUBSTITUTE(SUBSTITUTE(SUBSTITUTE(TRIM(M642),".",""),"/",""),"-","")," ",""),"(",""),")",""),"+",""))=11,LEFT(SUBSTITUTE(SUBSTITUTE(SUBSTITUTE(SUBSTITUTE(SUBSTITUTE(SUBSTITUTE(SUBSTITUTE(TRIM(M642),".",""),"/",""),"-","")," ",""),"(",""),")",""),"+",""),4)="0800")),"OK",IF(AND(LEN(SUBSTITUTE(SUBSTITUTE(SUBSTITUTE(SUBSTITUTE(SUBSTITUTE(SUBSTITUTE(SUBSTITUTE(TRIM(M642),".",""),"/",""),"-","")," ",""),"(",""),")",""),"+",""))=11,MID(SUBSTITUTE(SUBSTITUTE(SUBSTITUTE(SUBSTITUTE(SUBSTITUTE(SUBSTITUTE(SUBSTITUTE(TRIM(M642),".",""),"/",""),"-","")," ",""),"(",""),")",""),"+",""),3,1)="9"),"ERRO: é celular, use a coluna Celular","ERRO: DDD + 8 dígitos ou 0800 + 7")))</f>
      </c>
      <c r="X642" s="6">
        <f>IF(N642="","vazio",IF(AND(LEN(SUBSTITUTE(SUBSTITUTE(SUBSTITUTE(SUBSTITUTE(SUBSTITUTE(SUBSTITUTE(SUBSTITUTE(TRIM(N642),".",""),"/",""),"-","")," ",""),"(",""),")",""),"+",""))=11,MID(SUBSTITUTE(SUBSTITUTE(SUBSTITUTE(SUBSTITUTE(SUBSTITUTE(SUBSTITUTE(SUBSTITUTE(TRIM(N642),".",""),"/",""),"-","")," ",""),"(",""),")",""),"+",""),3,1)="9",LEFT(SUBSTITUTE(SUBSTITUTE(SUBSTITUTE(SUBSTITUTE(SUBSTITUTE(SUBSTITUTE(SUBSTITUTE(TRIM(N642),".",""),"/",""),"-","")," ",""),"(",""),")",""),"+",""),1)&lt;&gt;"0"),"OK",IF(LEN(SUBSTITUTE(SUBSTITUTE(SUBSTITUTE(SUBSTITUTE(SUBSTITUTE(SUBSTITUTE(SUBSTITUTE(TRIM(N642),".",""),"/",""),"-","")," ",""),"(",""),")",""),"+",""))=10,"ERRO: é fixo (ou falta o 9), use a coluna Telefone fixo","ERRO: DDD + 9 + 8 dígitos")))</f>
      </c>
      <c r="Y642" s="6">
        <f>IF(O642="","vazio",IF(AND(ISNUMBER(FIND("@",O642)),ISNUMBER(FIND(".",MID(O642,FIND("@",O642),99))),NOT(ISNUMBER(FIND(" ",TRIM(O642)))),NOT(ISNUMBER(FIND(";",O642))),NOT(ISNUMBER(FIND(",",O642)))),"OK","ERRO: um e-mail válido por linha"))</f>
      </c>
      <c r="Z642" s="6">
        <f>IF(AND(J642="",K642=""),"",IF(AND(J642&lt;&gt;"",K642&lt;&gt;""),"OK","pendente: só um nome (o GR completa ao converter)"))</f>
      </c>
      <c r="AA642" s="6">
        <f>IF(COUNTA(A642:S642)=0,"",IF(AND(A642&lt;&gt;"",B642&lt;&gt;"",C642&lt;&gt;"",D642&lt;&gt;"",E642&lt;&gt;"",F642&lt;&gt;"",G642&lt;&gt;"",H642&lt;&gt;"",OR(J642&lt;&gt;"",K642&lt;&gt;""),OR(M642&lt;&gt;"",N642&lt;&gt;"",O642&lt;&gt;"")),"OK","ERRO: faltam "&amp;IF(A642="","SDR; ","")&amp;IF(B642="","Proprietário; ","")&amp;IF(C642="","Origem; ","")&amp;IF(D642="","Temperatura; ","")&amp;IF(E642="","Segmento; ","")&amp;IF(F642="","Time/Cluster; ","")&amp;IF(G642="","CNPJ; ","")&amp;IF(H642="","Razão Social; ","")&amp;IF(AND(J642="",K642=""),"nome do contato; ","")&amp;IF(AND(M642="",N642="",O642=""),"telefone, celular ou e-mail; ","")))</f>
      </c>
      <c r="AB642" s="6">
        <f>IF(COUNTA(A642:S642)=0,"",IF(AND(U642="OK",V642="OK",LEFT(W642,4)&lt;&gt;"ERRO",LEFT(X642,4)&lt;&gt;"ERRO",LEFT(Y642,4)&lt;&gt;"ERRO",AA642="OK"),"OK","REVISAR"))</f>
      </c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5"/>
      <c r="K643" s="4"/>
      <c r="L643" s="4"/>
      <c r="M643" s="4"/>
      <c r="N643" s="4"/>
      <c r="O643" s="4"/>
      <c r="P643" s="4"/>
      <c r="Q643" s="4"/>
      <c r="R643" s="4"/>
      <c r="S643" s="4"/>
      <c r="T643" s="6">
        <f>IF(G643="","",SUBSTITUTE(SUBSTITUTE(SUBSTITUTE(SUBSTITUTE(SUBSTITUTE(SUBSTITUTE(SUBSTITUTE(TRIM(G643),".",""),"/",""),"-","")," ",""),"(",""),")",""),"+",""))</f>
      </c>
      <c r="U643" s="6">
        <f>IF(T643="","",IF(LEN(T643)&lt;&gt;14,"ERRO: "&amp;LEN(T643)&amp;" dígitos",IF(NOT(ISNUMBER(VALUE(T643))),"ERRO: não numérico",IF(LEN(SUBSTITUTE(T643,LEFT(T643,1),""))=0,"ERRO: dígitos repetidos",IF(AND(VALUE(MID(T643,13,1))=IF(MOD(SUMPRODUCT(--MID(T643,{1,2,3,4,5,6,7,8,9,10,11,12},1),{5,4,3,2,9,8,7,6,5,4,3,2}),11)&lt;2,0,11-MOD(SUMPRODUCT(--MID(T643,{1,2,3,4,5,6,7,8,9,10,11,12},1),{5,4,3,2,9,8,7,6,5,4,3,2}),11)),VALUE(MID(T643,14,1))=IF(MOD(SUMPRODUCT(--MID(T643,{1,2,3,4,5,6,7,8,9,10,11,12,13},1),{6,5,4,3,2,9,8,7,6,5,4,3,2}),11)&lt;2,0,11-MOD(SUMPRODUCT(--MID(T643,{1,2,3,4,5,6,7,8,9,10,11,12,13},1),{6,5,4,3,2,9,8,7,6,5,4,3,2}),11))),"OK","ERRO: dígito verificador")))))</f>
      </c>
      <c r="V643" s="6">
        <f>IF(T643="","",IF(COUNTIF($T$2:$T$1001,T643)&gt;1,"DUPLICADO","OK"))</f>
      </c>
      <c r="W643" s="6">
        <f>IF(M643="","vazio",IF(OR(AND(LEN(SUBSTITUTE(SUBSTITUTE(SUBSTITUTE(SUBSTITUTE(SUBSTITUTE(SUBSTITUTE(SUBSTITUTE(TRIM(M643),".",""),"/",""),"-","")," ",""),"(",""),")",""),"+",""))=10,LEFT(SUBSTITUTE(SUBSTITUTE(SUBSTITUTE(SUBSTITUTE(SUBSTITUTE(SUBSTITUTE(SUBSTITUTE(TRIM(M643),".",""),"/",""),"-","")," ",""),"(",""),")",""),"+",""),1)&lt;&gt;"0"),AND(LEN(SUBSTITUTE(SUBSTITUTE(SUBSTITUTE(SUBSTITUTE(SUBSTITUTE(SUBSTITUTE(SUBSTITUTE(TRIM(M643),".",""),"/",""),"-","")," ",""),"(",""),")",""),"+",""))=11,LEFT(SUBSTITUTE(SUBSTITUTE(SUBSTITUTE(SUBSTITUTE(SUBSTITUTE(SUBSTITUTE(SUBSTITUTE(TRIM(M643),".",""),"/",""),"-","")," ",""),"(",""),")",""),"+",""),4)="0800")),"OK",IF(AND(LEN(SUBSTITUTE(SUBSTITUTE(SUBSTITUTE(SUBSTITUTE(SUBSTITUTE(SUBSTITUTE(SUBSTITUTE(TRIM(M643),".",""),"/",""),"-","")," ",""),"(",""),")",""),"+",""))=11,MID(SUBSTITUTE(SUBSTITUTE(SUBSTITUTE(SUBSTITUTE(SUBSTITUTE(SUBSTITUTE(SUBSTITUTE(TRIM(M643),".",""),"/",""),"-","")," ",""),"(",""),")",""),"+",""),3,1)="9"),"ERRO: é celular, use a coluna Celular","ERRO: DDD + 8 dígitos ou 0800 + 7")))</f>
      </c>
      <c r="X643" s="6">
        <f>IF(N643="","vazio",IF(AND(LEN(SUBSTITUTE(SUBSTITUTE(SUBSTITUTE(SUBSTITUTE(SUBSTITUTE(SUBSTITUTE(SUBSTITUTE(TRIM(N643),".",""),"/",""),"-","")," ",""),"(",""),")",""),"+",""))=11,MID(SUBSTITUTE(SUBSTITUTE(SUBSTITUTE(SUBSTITUTE(SUBSTITUTE(SUBSTITUTE(SUBSTITUTE(TRIM(N643),".",""),"/",""),"-","")," ",""),"(",""),")",""),"+",""),3,1)="9",LEFT(SUBSTITUTE(SUBSTITUTE(SUBSTITUTE(SUBSTITUTE(SUBSTITUTE(SUBSTITUTE(SUBSTITUTE(TRIM(N643),".",""),"/",""),"-","")," ",""),"(",""),")",""),"+",""),1)&lt;&gt;"0"),"OK",IF(LEN(SUBSTITUTE(SUBSTITUTE(SUBSTITUTE(SUBSTITUTE(SUBSTITUTE(SUBSTITUTE(SUBSTITUTE(TRIM(N643),".",""),"/",""),"-","")," ",""),"(",""),")",""),"+",""))=10,"ERRO: é fixo (ou falta o 9), use a coluna Telefone fixo","ERRO: DDD + 9 + 8 dígitos")))</f>
      </c>
      <c r="Y643" s="6">
        <f>IF(O643="","vazio",IF(AND(ISNUMBER(FIND("@",O643)),ISNUMBER(FIND(".",MID(O643,FIND("@",O643),99))),NOT(ISNUMBER(FIND(" ",TRIM(O643)))),NOT(ISNUMBER(FIND(";",O643))),NOT(ISNUMBER(FIND(",",O643)))),"OK","ERRO: um e-mail válido por linha"))</f>
      </c>
      <c r="Z643" s="6">
        <f>IF(AND(J643="",K643=""),"",IF(AND(J643&lt;&gt;"",K643&lt;&gt;""),"OK","pendente: só um nome (o GR completa ao converter)"))</f>
      </c>
      <c r="AA643" s="6">
        <f>IF(COUNTA(A643:S643)=0,"",IF(AND(A643&lt;&gt;"",B643&lt;&gt;"",C643&lt;&gt;"",D643&lt;&gt;"",E643&lt;&gt;"",F643&lt;&gt;"",G643&lt;&gt;"",H643&lt;&gt;"",OR(J643&lt;&gt;"",K643&lt;&gt;""),OR(M643&lt;&gt;"",N643&lt;&gt;"",O643&lt;&gt;"")),"OK","ERRO: faltam "&amp;IF(A643="","SDR; ","")&amp;IF(B643="","Proprietário; ","")&amp;IF(C643="","Origem; ","")&amp;IF(D643="","Temperatura; ","")&amp;IF(E643="","Segmento; ","")&amp;IF(F643="","Time/Cluster; ","")&amp;IF(G643="","CNPJ; ","")&amp;IF(H643="","Razão Social; ","")&amp;IF(AND(J643="",K643=""),"nome do contato; ","")&amp;IF(AND(M643="",N643="",O643=""),"telefone, celular ou e-mail; ","")))</f>
      </c>
      <c r="AB643" s="6">
        <f>IF(COUNTA(A643:S643)=0,"",IF(AND(U643="OK",V643="OK",LEFT(W643,4)&lt;&gt;"ERRO",LEFT(X643,4)&lt;&gt;"ERRO",LEFT(Y643,4)&lt;&gt;"ERRO",AA643="OK"),"OK","REVISAR"))</f>
      </c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5"/>
      <c r="K644" s="4"/>
      <c r="L644" s="4"/>
      <c r="M644" s="4"/>
      <c r="N644" s="4"/>
      <c r="O644" s="4"/>
      <c r="P644" s="4"/>
      <c r="Q644" s="4"/>
      <c r="R644" s="4"/>
      <c r="S644" s="4"/>
      <c r="T644" s="6">
        <f>IF(G644="","",SUBSTITUTE(SUBSTITUTE(SUBSTITUTE(SUBSTITUTE(SUBSTITUTE(SUBSTITUTE(SUBSTITUTE(TRIM(G644),".",""),"/",""),"-","")," ",""),"(",""),")",""),"+",""))</f>
      </c>
      <c r="U644" s="6">
        <f>IF(T644="","",IF(LEN(T644)&lt;&gt;14,"ERRO: "&amp;LEN(T644)&amp;" dígitos",IF(NOT(ISNUMBER(VALUE(T644))),"ERRO: não numérico",IF(LEN(SUBSTITUTE(T644,LEFT(T644,1),""))=0,"ERRO: dígitos repetidos",IF(AND(VALUE(MID(T644,13,1))=IF(MOD(SUMPRODUCT(--MID(T644,{1,2,3,4,5,6,7,8,9,10,11,12},1),{5,4,3,2,9,8,7,6,5,4,3,2}),11)&lt;2,0,11-MOD(SUMPRODUCT(--MID(T644,{1,2,3,4,5,6,7,8,9,10,11,12},1),{5,4,3,2,9,8,7,6,5,4,3,2}),11)),VALUE(MID(T644,14,1))=IF(MOD(SUMPRODUCT(--MID(T644,{1,2,3,4,5,6,7,8,9,10,11,12,13},1),{6,5,4,3,2,9,8,7,6,5,4,3,2}),11)&lt;2,0,11-MOD(SUMPRODUCT(--MID(T644,{1,2,3,4,5,6,7,8,9,10,11,12,13},1),{6,5,4,3,2,9,8,7,6,5,4,3,2}),11))),"OK","ERRO: dígito verificador")))))</f>
      </c>
      <c r="V644" s="6">
        <f>IF(T644="","",IF(COUNTIF($T$2:$T$1001,T644)&gt;1,"DUPLICADO","OK"))</f>
      </c>
      <c r="W644" s="6">
        <f>IF(M644="","vazio",IF(OR(AND(LEN(SUBSTITUTE(SUBSTITUTE(SUBSTITUTE(SUBSTITUTE(SUBSTITUTE(SUBSTITUTE(SUBSTITUTE(TRIM(M644),".",""),"/",""),"-","")," ",""),"(",""),")",""),"+",""))=10,LEFT(SUBSTITUTE(SUBSTITUTE(SUBSTITUTE(SUBSTITUTE(SUBSTITUTE(SUBSTITUTE(SUBSTITUTE(TRIM(M644),".",""),"/",""),"-","")," ",""),"(",""),")",""),"+",""),1)&lt;&gt;"0"),AND(LEN(SUBSTITUTE(SUBSTITUTE(SUBSTITUTE(SUBSTITUTE(SUBSTITUTE(SUBSTITUTE(SUBSTITUTE(TRIM(M644),".",""),"/",""),"-","")," ",""),"(",""),")",""),"+",""))=11,LEFT(SUBSTITUTE(SUBSTITUTE(SUBSTITUTE(SUBSTITUTE(SUBSTITUTE(SUBSTITUTE(SUBSTITUTE(TRIM(M644),".",""),"/",""),"-","")," ",""),"(",""),")",""),"+",""),4)="0800")),"OK",IF(AND(LEN(SUBSTITUTE(SUBSTITUTE(SUBSTITUTE(SUBSTITUTE(SUBSTITUTE(SUBSTITUTE(SUBSTITUTE(TRIM(M644),".",""),"/",""),"-","")," ",""),"(",""),")",""),"+",""))=11,MID(SUBSTITUTE(SUBSTITUTE(SUBSTITUTE(SUBSTITUTE(SUBSTITUTE(SUBSTITUTE(SUBSTITUTE(TRIM(M644),".",""),"/",""),"-","")," ",""),"(",""),")",""),"+",""),3,1)="9"),"ERRO: é celular, use a coluna Celular","ERRO: DDD + 8 dígitos ou 0800 + 7")))</f>
      </c>
      <c r="X644" s="6">
        <f>IF(N644="","vazio",IF(AND(LEN(SUBSTITUTE(SUBSTITUTE(SUBSTITUTE(SUBSTITUTE(SUBSTITUTE(SUBSTITUTE(SUBSTITUTE(TRIM(N644),".",""),"/",""),"-","")," ",""),"(",""),")",""),"+",""))=11,MID(SUBSTITUTE(SUBSTITUTE(SUBSTITUTE(SUBSTITUTE(SUBSTITUTE(SUBSTITUTE(SUBSTITUTE(TRIM(N644),".",""),"/",""),"-","")," ",""),"(",""),")",""),"+",""),3,1)="9",LEFT(SUBSTITUTE(SUBSTITUTE(SUBSTITUTE(SUBSTITUTE(SUBSTITUTE(SUBSTITUTE(SUBSTITUTE(TRIM(N644),".",""),"/",""),"-","")," ",""),"(",""),")",""),"+",""),1)&lt;&gt;"0"),"OK",IF(LEN(SUBSTITUTE(SUBSTITUTE(SUBSTITUTE(SUBSTITUTE(SUBSTITUTE(SUBSTITUTE(SUBSTITUTE(TRIM(N644),".",""),"/",""),"-","")," ",""),"(",""),")",""),"+",""))=10,"ERRO: é fixo (ou falta o 9), use a coluna Telefone fixo","ERRO: DDD + 9 + 8 dígitos")))</f>
      </c>
      <c r="Y644" s="6">
        <f>IF(O644="","vazio",IF(AND(ISNUMBER(FIND("@",O644)),ISNUMBER(FIND(".",MID(O644,FIND("@",O644),99))),NOT(ISNUMBER(FIND(" ",TRIM(O644)))),NOT(ISNUMBER(FIND(";",O644))),NOT(ISNUMBER(FIND(",",O644)))),"OK","ERRO: um e-mail válido por linha"))</f>
      </c>
      <c r="Z644" s="6">
        <f>IF(AND(J644="",K644=""),"",IF(AND(J644&lt;&gt;"",K644&lt;&gt;""),"OK","pendente: só um nome (o GR completa ao converter)"))</f>
      </c>
      <c r="AA644" s="6">
        <f>IF(COUNTA(A644:S644)=0,"",IF(AND(A644&lt;&gt;"",B644&lt;&gt;"",C644&lt;&gt;"",D644&lt;&gt;"",E644&lt;&gt;"",F644&lt;&gt;"",G644&lt;&gt;"",H644&lt;&gt;"",OR(J644&lt;&gt;"",K644&lt;&gt;""),OR(M644&lt;&gt;"",N644&lt;&gt;"",O644&lt;&gt;"")),"OK","ERRO: faltam "&amp;IF(A644="","SDR; ","")&amp;IF(B644="","Proprietário; ","")&amp;IF(C644="","Origem; ","")&amp;IF(D644="","Temperatura; ","")&amp;IF(E644="","Segmento; ","")&amp;IF(F644="","Time/Cluster; ","")&amp;IF(G644="","CNPJ; ","")&amp;IF(H644="","Razão Social; ","")&amp;IF(AND(J644="",K644=""),"nome do contato; ","")&amp;IF(AND(M644="",N644="",O644=""),"telefone, celular ou e-mail; ","")))</f>
      </c>
      <c r="AB644" s="6">
        <f>IF(COUNTA(A644:S644)=0,"",IF(AND(U644="OK",V644="OK",LEFT(W644,4)&lt;&gt;"ERRO",LEFT(X644,4)&lt;&gt;"ERRO",LEFT(Y644,4)&lt;&gt;"ERRO",AA644="OK"),"OK","REVISAR"))</f>
      </c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5"/>
      <c r="K645" s="4"/>
      <c r="L645" s="4"/>
      <c r="M645" s="4"/>
      <c r="N645" s="4"/>
      <c r="O645" s="4"/>
      <c r="P645" s="4"/>
      <c r="Q645" s="4"/>
      <c r="R645" s="4"/>
      <c r="S645" s="4"/>
      <c r="T645" s="6">
        <f>IF(G645="","",SUBSTITUTE(SUBSTITUTE(SUBSTITUTE(SUBSTITUTE(SUBSTITUTE(SUBSTITUTE(SUBSTITUTE(TRIM(G645),".",""),"/",""),"-","")," ",""),"(",""),")",""),"+",""))</f>
      </c>
      <c r="U645" s="6">
        <f>IF(T645="","",IF(LEN(T645)&lt;&gt;14,"ERRO: "&amp;LEN(T645)&amp;" dígitos",IF(NOT(ISNUMBER(VALUE(T645))),"ERRO: não numérico",IF(LEN(SUBSTITUTE(T645,LEFT(T645,1),""))=0,"ERRO: dígitos repetidos",IF(AND(VALUE(MID(T645,13,1))=IF(MOD(SUMPRODUCT(--MID(T645,{1,2,3,4,5,6,7,8,9,10,11,12},1),{5,4,3,2,9,8,7,6,5,4,3,2}),11)&lt;2,0,11-MOD(SUMPRODUCT(--MID(T645,{1,2,3,4,5,6,7,8,9,10,11,12},1),{5,4,3,2,9,8,7,6,5,4,3,2}),11)),VALUE(MID(T645,14,1))=IF(MOD(SUMPRODUCT(--MID(T645,{1,2,3,4,5,6,7,8,9,10,11,12,13},1),{6,5,4,3,2,9,8,7,6,5,4,3,2}),11)&lt;2,0,11-MOD(SUMPRODUCT(--MID(T645,{1,2,3,4,5,6,7,8,9,10,11,12,13},1),{6,5,4,3,2,9,8,7,6,5,4,3,2}),11))),"OK","ERRO: dígito verificador")))))</f>
      </c>
      <c r="V645" s="6">
        <f>IF(T645="","",IF(COUNTIF($T$2:$T$1001,T645)&gt;1,"DUPLICADO","OK"))</f>
      </c>
      <c r="W645" s="6">
        <f>IF(M645="","vazio",IF(OR(AND(LEN(SUBSTITUTE(SUBSTITUTE(SUBSTITUTE(SUBSTITUTE(SUBSTITUTE(SUBSTITUTE(SUBSTITUTE(TRIM(M645),".",""),"/",""),"-","")," ",""),"(",""),")",""),"+",""))=10,LEFT(SUBSTITUTE(SUBSTITUTE(SUBSTITUTE(SUBSTITUTE(SUBSTITUTE(SUBSTITUTE(SUBSTITUTE(TRIM(M645),".",""),"/",""),"-","")," ",""),"(",""),")",""),"+",""),1)&lt;&gt;"0"),AND(LEN(SUBSTITUTE(SUBSTITUTE(SUBSTITUTE(SUBSTITUTE(SUBSTITUTE(SUBSTITUTE(SUBSTITUTE(TRIM(M645),".",""),"/",""),"-","")," ",""),"(",""),")",""),"+",""))=11,LEFT(SUBSTITUTE(SUBSTITUTE(SUBSTITUTE(SUBSTITUTE(SUBSTITUTE(SUBSTITUTE(SUBSTITUTE(TRIM(M645),".",""),"/",""),"-","")," ",""),"(",""),")",""),"+",""),4)="0800")),"OK",IF(AND(LEN(SUBSTITUTE(SUBSTITUTE(SUBSTITUTE(SUBSTITUTE(SUBSTITUTE(SUBSTITUTE(SUBSTITUTE(TRIM(M645),".",""),"/",""),"-","")," ",""),"(",""),")",""),"+",""))=11,MID(SUBSTITUTE(SUBSTITUTE(SUBSTITUTE(SUBSTITUTE(SUBSTITUTE(SUBSTITUTE(SUBSTITUTE(TRIM(M645),".",""),"/",""),"-","")," ",""),"(",""),")",""),"+",""),3,1)="9"),"ERRO: é celular, use a coluna Celular","ERRO: DDD + 8 dígitos ou 0800 + 7")))</f>
      </c>
      <c r="X645" s="6">
        <f>IF(N645="","vazio",IF(AND(LEN(SUBSTITUTE(SUBSTITUTE(SUBSTITUTE(SUBSTITUTE(SUBSTITUTE(SUBSTITUTE(SUBSTITUTE(TRIM(N645),".",""),"/",""),"-","")," ",""),"(",""),")",""),"+",""))=11,MID(SUBSTITUTE(SUBSTITUTE(SUBSTITUTE(SUBSTITUTE(SUBSTITUTE(SUBSTITUTE(SUBSTITUTE(TRIM(N645),".",""),"/",""),"-","")," ",""),"(",""),")",""),"+",""),3,1)="9",LEFT(SUBSTITUTE(SUBSTITUTE(SUBSTITUTE(SUBSTITUTE(SUBSTITUTE(SUBSTITUTE(SUBSTITUTE(TRIM(N645),".",""),"/",""),"-","")," ",""),"(",""),")",""),"+",""),1)&lt;&gt;"0"),"OK",IF(LEN(SUBSTITUTE(SUBSTITUTE(SUBSTITUTE(SUBSTITUTE(SUBSTITUTE(SUBSTITUTE(SUBSTITUTE(TRIM(N645),".",""),"/",""),"-","")," ",""),"(",""),")",""),"+",""))=10,"ERRO: é fixo (ou falta o 9), use a coluna Telefone fixo","ERRO: DDD + 9 + 8 dígitos")))</f>
      </c>
      <c r="Y645" s="6">
        <f>IF(O645="","vazio",IF(AND(ISNUMBER(FIND("@",O645)),ISNUMBER(FIND(".",MID(O645,FIND("@",O645),99))),NOT(ISNUMBER(FIND(" ",TRIM(O645)))),NOT(ISNUMBER(FIND(";",O645))),NOT(ISNUMBER(FIND(",",O645)))),"OK","ERRO: um e-mail válido por linha"))</f>
      </c>
      <c r="Z645" s="6">
        <f>IF(AND(J645="",K645=""),"",IF(AND(J645&lt;&gt;"",K645&lt;&gt;""),"OK","pendente: só um nome (o GR completa ao converter)"))</f>
      </c>
      <c r="AA645" s="6">
        <f>IF(COUNTA(A645:S645)=0,"",IF(AND(A645&lt;&gt;"",B645&lt;&gt;"",C645&lt;&gt;"",D645&lt;&gt;"",E645&lt;&gt;"",F645&lt;&gt;"",G645&lt;&gt;"",H645&lt;&gt;"",OR(J645&lt;&gt;"",K645&lt;&gt;""),OR(M645&lt;&gt;"",N645&lt;&gt;"",O645&lt;&gt;"")),"OK","ERRO: faltam "&amp;IF(A645="","SDR; ","")&amp;IF(B645="","Proprietário; ","")&amp;IF(C645="","Origem; ","")&amp;IF(D645="","Temperatura; ","")&amp;IF(E645="","Segmento; ","")&amp;IF(F645="","Time/Cluster; ","")&amp;IF(G645="","CNPJ; ","")&amp;IF(H645="","Razão Social; ","")&amp;IF(AND(J645="",K645=""),"nome do contato; ","")&amp;IF(AND(M645="",N645="",O645=""),"telefone, celular ou e-mail; ","")))</f>
      </c>
      <c r="AB645" s="6">
        <f>IF(COUNTA(A645:S645)=0,"",IF(AND(U645="OK",V645="OK",LEFT(W645,4)&lt;&gt;"ERRO",LEFT(X645,4)&lt;&gt;"ERRO",LEFT(Y645,4)&lt;&gt;"ERRO",AA645="OK"),"OK","REVISAR"))</f>
      </c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5"/>
      <c r="K646" s="4"/>
      <c r="L646" s="4"/>
      <c r="M646" s="4"/>
      <c r="N646" s="4"/>
      <c r="O646" s="4"/>
      <c r="P646" s="4"/>
      <c r="Q646" s="4"/>
      <c r="R646" s="4"/>
      <c r="S646" s="4"/>
      <c r="T646" s="6">
        <f>IF(G646="","",SUBSTITUTE(SUBSTITUTE(SUBSTITUTE(SUBSTITUTE(SUBSTITUTE(SUBSTITUTE(SUBSTITUTE(TRIM(G646),".",""),"/",""),"-","")," ",""),"(",""),")",""),"+",""))</f>
      </c>
      <c r="U646" s="6">
        <f>IF(T646="","",IF(LEN(T646)&lt;&gt;14,"ERRO: "&amp;LEN(T646)&amp;" dígitos",IF(NOT(ISNUMBER(VALUE(T646))),"ERRO: não numérico",IF(LEN(SUBSTITUTE(T646,LEFT(T646,1),""))=0,"ERRO: dígitos repetidos",IF(AND(VALUE(MID(T646,13,1))=IF(MOD(SUMPRODUCT(--MID(T646,{1,2,3,4,5,6,7,8,9,10,11,12},1),{5,4,3,2,9,8,7,6,5,4,3,2}),11)&lt;2,0,11-MOD(SUMPRODUCT(--MID(T646,{1,2,3,4,5,6,7,8,9,10,11,12},1),{5,4,3,2,9,8,7,6,5,4,3,2}),11)),VALUE(MID(T646,14,1))=IF(MOD(SUMPRODUCT(--MID(T646,{1,2,3,4,5,6,7,8,9,10,11,12,13},1),{6,5,4,3,2,9,8,7,6,5,4,3,2}),11)&lt;2,0,11-MOD(SUMPRODUCT(--MID(T646,{1,2,3,4,5,6,7,8,9,10,11,12,13},1),{6,5,4,3,2,9,8,7,6,5,4,3,2}),11))),"OK","ERRO: dígito verificador")))))</f>
      </c>
      <c r="V646" s="6">
        <f>IF(T646="","",IF(COUNTIF($T$2:$T$1001,T646)&gt;1,"DUPLICADO","OK"))</f>
      </c>
      <c r="W646" s="6">
        <f>IF(M646="","vazio",IF(OR(AND(LEN(SUBSTITUTE(SUBSTITUTE(SUBSTITUTE(SUBSTITUTE(SUBSTITUTE(SUBSTITUTE(SUBSTITUTE(TRIM(M646),".",""),"/",""),"-","")," ",""),"(",""),")",""),"+",""))=10,LEFT(SUBSTITUTE(SUBSTITUTE(SUBSTITUTE(SUBSTITUTE(SUBSTITUTE(SUBSTITUTE(SUBSTITUTE(TRIM(M646),".",""),"/",""),"-","")," ",""),"(",""),")",""),"+",""),1)&lt;&gt;"0"),AND(LEN(SUBSTITUTE(SUBSTITUTE(SUBSTITUTE(SUBSTITUTE(SUBSTITUTE(SUBSTITUTE(SUBSTITUTE(TRIM(M646),".",""),"/",""),"-","")," ",""),"(",""),")",""),"+",""))=11,LEFT(SUBSTITUTE(SUBSTITUTE(SUBSTITUTE(SUBSTITUTE(SUBSTITUTE(SUBSTITUTE(SUBSTITUTE(TRIM(M646),".",""),"/",""),"-","")," ",""),"(",""),")",""),"+",""),4)="0800")),"OK",IF(AND(LEN(SUBSTITUTE(SUBSTITUTE(SUBSTITUTE(SUBSTITUTE(SUBSTITUTE(SUBSTITUTE(SUBSTITUTE(TRIM(M646),".",""),"/",""),"-","")," ",""),"(",""),")",""),"+",""))=11,MID(SUBSTITUTE(SUBSTITUTE(SUBSTITUTE(SUBSTITUTE(SUBSTITUTE(SUBSTITUTE(SUBSTITUTE(TRIM(M646),".",""),"/",""),"-","")," ",""),"(",""),")",""),"+",""),3,1)="9"),"ERRO: é celular, use a coluna Celular","ERRO: DDD + 8 dígitos ou 0800 + 7")))</f>
      </c>
      <c r="X646" s="6">
        <f>IF(N646="","vazio",IF(AND(LEN(SUBSTITUTE(SUBSTITUTE(SUBSTITUTE(SUBSTITUTE(SUBSTITUTE(SUBSTITUTE(SUBSTITUTE(TRIM(N646),".",""),"/",""),"-","")," ",""),"(",""),")",""),"+",""))=11,MID(SUBSTITUTE(SUBSTITUTE(SUBSTITUTE(SUBSTITUTE(SUBSTITUTE(SUBSTITUTE(SUBSTITUTE(TRIM(N646),".",""),"/",""),"-","")," ",""),"(",""),")",""),"+",""),3,1)="9",LEFT(SUBSTITUTE(SUBSTITUTE(SUBSTITUTE(SUBSTITUTE(SUBSTITUTE(SUBSTITUTE(SUBSTITUTE(TRIM(N646),".",""),"/",""),"-","")," ",""),"(",""),")",""),"+",""),1)&lt;&gt;"0"),"OK",IF(LEN(SUBSTITUTE(SUBSTITUTE(SUBSTITUTE(SUBSTITUTE(SUBSTITUTE(SUBSTITUTE(SUBSTITUTE(TRIM(N646),".",""),"/",""),"-","")," ",""),"(",""),")",""),"+",""))=10,"ERRO: é fixo (ou falta o 9), use a coluna Telefone fixo","ERRO: DDD + 9 + 8 dígitos")))</f>
      </c>
      <c r="Y646" s="6">
        <f>IF(O646="","vazio",IF(AND(ISNUMBER(FIND("@",O646)),ISNUMBER(FIND(".",MID(O646,FIND("@",O646),99))),NOT(ISNUMBER(FIND(" ",TRIM(O646)))),NOT(ISNUMBER(FIND(";",O646))),NOT(ISNUMBER(FIND(",",O646)))),"OK","ERRO: um e-mail válido por linha"))</f>
      </c>
      <c r="Z646" s="6">
        <f>IF(AND(J646="",K646=""),"",IF(AND(J646&lt;&gt;"",K646&lt;&gt;""),"OK","pendente: só um nome (o GR completa ao converter)"))</f>
      </c>
      <c r="AA646" s="6">
        <f>IF(COUNTA(A646:S646)=0,"",IF(AND(A646&lt;&gt;"",B646&lt;&gt;"",C646&lt;&gt;"",D646&lt;&gt;"",E646&lt;&gt;"",F646&lt;&gt;"",G646&lt;&gt;"",H646&lt;&gt;"",OR(J646&lt;&gt;"",K646&lt;&gt;""),OR(M646&lt;&gt;"",N646&lt;&gt;"",O646&lt;&gt;"")),"OK","ERRO: faltam "&amp;IF(A646="","SDR; ","")&amp;IF(B646="","Proprietário; ","")&amp;IF(C646="","Origem; ","")&amp;IF(D646="","Temperatura; ","")&amp;IF(E646="","Segmento; ","")&amp;IF(F646="","Time/Cluster; ","")&amp;IF(G646="","CNPJ; ","")&amp;IF(H646="","Razão Social; ","")&amp;IF(AND(J646="",K646=""),"nome do contato; ","")&amp;IF(AND(M646="",N646="",O646=""),"telefone, celular ou e-mail; ","")))</f>
      </c>
      <c r="AB646" s="6">
        <f>IF(COUNTA(A646:S646)=0,"",IF(AND(U646="OK",V646="OK",LEFT(W646,4)&lt;&gt;"ERRO",LEFT(X646,4)&lt;&gt;"ERRO",LEFT(Y646,4)&lt;&gt;"ERRO",AA646="OK"),"OK","REVISAR"))</f>
      </c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5"/>
      <c r="K647" s="4"/>
      <c r="L647" s="4"/>
      <c r="M647" s="4"/>
      <c r="N647" s="4"/>
      <c r="O647" s="4"/>
      <c r="P647" s="4"/>
      <c r="Q647" s="4"/>
      <c r="R647" s="4"/>
      <c r="S647" s="4"/>
      <c r="T647" s="6">
        <f>IF(G647="","",SUBSTITUTE(SUBSTITUTE(SUBSTITUTE(SUBSTITUTE(SUBSTITUTE(SUBSTITUTE(SUBSTITUTE(TRIM(G647),".",""),"/",""),"-","")," ",""),"(",""),")",""),"+",""))</f>
      </c>
      <c r="U647" s="6">
        <f>IF(T647="","",IF(LEN(T647)&lt;&gt;14,"ERRO: "&amp;LEN(T647)&amp;" dígitos",IF(NOT(ISNUMBER(VALUE(T647))),"ERRO: não numérico",IF(LEN(SUBSTITUTE(T647,LEFT(T647,1),""))=0,"ERRO: dígitos repetidos",IF(AND(VALUE(MID(T647,13,1))=IF(MOD(SUMPRODUCT(--MID(T647,{1,2,3,4,5,6,7,8,9,10,11,12},1),{5,4,3,2,9,8,7,6,5,4,3,2}),11)&lt;2,0,11-MOD(SUMPRODUCT(--MID(T647,{1,2,3,4,5,6,7,8,9,10,11,12},1),{5,4,3,2,9,8,7,6,5,4,3,2}),11)),VALUE(MID(T647,14,1))=IF(MOD(SUMPRODUCT(--MID(T647,{1,2,3,4,5,6,7,8,9,10,11,12,13},1),{6,5,4,3,2,9,8,7,6,5,4,3,2}),11)&lt;2,0,11-MOD(SUMPRODUCT(--MID(T647,{1,2,3,4,5,6,7,8,9,10,11,12,13},1),{6,5,4,3,2,9,8,7,6,5,4,3,2}),11))),"OK","ERRO: dígito verificador")))))</f>
      </c>
      <c r="V647" s="6">
        <f>IF(T647="","",IF(COUNTIF($T$2:$T$1001,T647)&gt;1,"DUPLICADO","OK"))</f>
      </c>
      <c r="W647" s="6">
        <f>IF(M647="","vazio",IF(OR(AND(LEN(SUBSTITUTE(SUBSTITUTE(SUBSTITUTE(SUBSTITUTE(SUBSTITUTE(SUBSTITUTE(SUBSTITUTE(TRIM(M647),".",""),"/",""),"-","")," ",""),"(",""),")",""),"+",""))=10,LEFT(SUBSTITUTE(SUBSTITUTE(SUBSTITUTE(SUBSTITUTE(SUBSTITUTE(SUBSTITUTE(SUBSTITUTE(TRIM(M647),".",""),"/",""),"-","")," ",""),"(",""),")",""),"+",""),1)&lt;&gt;"0"),AND(LEN(SUBSTITUTE(SUBSTITUTE(SUBSTITUTE(SUBSTITUTE(SUBSTITUTE(SUBSTITUTE(SUBSTITUTE(TRIM(M647),".",""),"/",""),"-","")," ",""),"(",""),")",""),"+",""))=11,LEFT(SUBSTITUTE(SUBSTITUTE(SUBSTITUTE(SUBSTITUTE(SUBSTITUTE(SUBSTITUTE(SUBSTITUTE(TRIM(M647),".",""),"/",""),"-","")," ",""),"(",""),")",""),"+",""),4)="0800")),"OK",IF(AND(LEN(SUBSTITUTE(SUBSTITUTE(SUBSTITUTE(SUBSTITUTE(SUBSTITUTE(SUBSTITUTE(SUBSTITUTE(TRIM(M647),".",""),"/",""),"-","")," ",""),"(",""),")",""),"+",""))=11,MID(SUBSTITUTE(SUBSTITUTE(SUBSTITUTE(SUBSTITUTE(SUBSTITUTE(SUBSTITUTE(SUBSTITUTE(TRIM(M647),".",""),"/",""),"-","")," ",""),"(",""),")",""),"+",""),3,1)="9"),"ERRO: é celular, use a coluna Celular","ERRO: DDD + 8 dígitos ou 0800 + 7")))</f>
      </c>
      <c r="X647" s="6">
        <f>IF(N647="","vazio",IF(AND(LEN(SUBSTITUTE(SUBSTITUTE(SUBSTITUTE(SUBSTITUTE(SUBSTITUTE(SUBSTITUTE(SUBSTITUTE(TRIM(N647),".",""),"/",""),"-","")," ",""),"(",""),")",""),"+",""))=11,MID(SUBSTITUTE(SUBSTITUTE(SUBSTITUTE(SUBSTITUTE(SUBSTITUTE(SUBSTITUTE(SUBSTITUTE(TRIM(N647),".",""),"/",""),"-","")," ",""),"(",""),")",""),"+",""),3,1)="9",LEFT(SUBSTITUTE(SUBSTITUTE(SUBSTITUTE(SUBSTITUTE(SUBSTITUTE(SUBSTITUTE(SUBSTITUTE(TRIM(N647),".",""),"/",""),"-","")," ",""),"(",""),")",""),"+",""),1)&lt;&gt;"0"),"OK",IF(LEN(SUBSTITUTE(SUBSTITUTE(SUBSTITUTE(SUBSTITUTE(SUBSTITUTE(SUBSTITUTE(SUBSTITUTE(TRIM(N647),".",""),"/",""),"-","")," ",""),"(",""),")",""),"+",""))=10,"ERRO: é fixo (ou falta o 9), use a coluna Telefone fixo","ERRO: DDD + 9 + 8 dígitos")))</f>
      </c>
      <c r="Y647" s="6">
        <f>IF(O647="","vazio",IF(AND(ISNUMBER(FIND("@",O647)),ISNUMBER(FIND(".",MID(O647,FIND("@",O647),99))),NOT(ISNUMBER(FIND(" ",TRIM(O647)))),NOT(ISNUMBER(FIND(";",O647))),NOT(ISNUMBER(FIND(",",O647)))),"OK","ERRO: um e-mail válido por linha"))</f>
      </c>
      <c r="Z647" s="6">
        <f>IF(AND(J647="",K647=""),"",IF(AND(J647&lt;&gt;"",K647&lt;&gt;""),"OK","pendente: só um nome (o GR completa ao converter)"))</f>
      </c>
      <c r="AA647" s="6">
        <f>IF(COUNTA(A647:S647)=0,"",IF(AND(A647&lt;&gt;"",B647&lt;&gt;"",C647&lt;&gt;"",D647&lt;&gt;"",E647&lt;&gt;"",F647&lt;&gt;"",G647&lt;&gt;"",H647&lt;&gt;"",OR(J647&lt;&gt;"",K647&lt;&gt;""),OR(M647&lt;&gt;"",N647&lt;&gt;"",O647&lt;&gt;"")),"OK","ERRO: faltam "&amp;IF(A647="","SDR; ","")&amp;IF(B647="","Proprietário; ","")&amp;IF(C647="","Origem; ","")&amp;IF(D647="","Temperatura; ","")&amp;IF(E647="","Segmento; ","")&amp;IF(F647="","Time/Cluster; ","")&amp;IF(G647="","CNPJ; ","")&amp;IF(H647="","Razão Social; ","")&amp;IF(AND(J647="",K647=""),"nome do contato; ","")&amp;IF(AND(M647="",N647="",O647=""),"telefone, celular ou e-mail; ","")))</f>
      </c>
      <c r="AB647" s="6">
        <f>IF(COUNTA(A647:S647)=0,"",IF(AND(U647="OK",V647="OK",LEFT(W647,4)&lt;&gt;"ERRO",LEFT(X647,4)&lt;&gt;"ERRO",LEFT(Y647,4)&lt;&gt;"ERRO",AA647="OK"),"OK","REVISAR"))</f>
      </c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5"/>
      <c r="K648" s="4"/>
      <c r="L648" s="4"/>
      <c r="M648" s="4"/>
      <c r="N648" s="4"/>
      <c r="O648" s="4"/>
      <c r="P648" s="4"/>
      <c r="Q648" s="4"/>
      <c r="R648" s="4"/>
      <c r="S648" s="4"/>
      <c r="T648" s="6">
        <f>IF(G648="","",SUBSTITUTE(SUBSTITUTE(SUBSTITUTE(SUBSTITUTE(SUBSTITUTE(SUBSTITUTE(SUBSTITUTE(TRIM(G648),".",""),"/",""),"-","")," ",""),"(",""),")",""),"+",""))</f>
      </c>
      <c r="U648" s="6">
        <f>IF(T648="","",IF(LEN(T648)&lt;&gt;14,"ERRO: "&amp;LEN(T648)&amp;" dígitos",IF(NOT(ISNUMBER(VALUE(T648))),"ERRO: não numérico",IF(LEN(SUBSTITUTE(T648,LEFT(T648,1),""))=0,"ERRO: dígitos repetidos",IF(AND(VALUE(MID(T648,13,1))=IF(MOD(SUMPRODUCT(--MID(T648,{1,2,3,4,5,6,7,8,9,10,11,12},1),{5,4,3,2,9,8,7,6,5,4,3,2}),11)&lt;2,0,11-MOD(SUMPRODUCT(--MID(T648,{1,2,3,4,5,6,7,8,9,10,11,12},1),{5,4,3,2,9,8,7,6,5,4,3,2}),11)),VALUE(MID(T648,14,1))=IF(MOD(SUMPRODUCT(--MID(T648,{1,2,3,4,5,6,7,8,9,10,11,12,13},1),{6,5,4,3,2,9,8,7,6,5,4,3,2}),11)&lt;2,0,11-MOD(SUMPRODUCT(--MID(T648,{1,2,3,4,5,6,7,8,9,10,11,12,13},1),{6,5,4,3,2,9,8,7,6,5,4,3,2}),11))),"OK","ERRO: dígito verificador")))))</f>
      </c>
      <c r="V648" s="6">
        <f>IF(T648="","",IF(COUNTIF($T$2:$T$1001,T648)&gt;1,"DUPLICADO","OK"))</f>
      </c>
      <c r="W648" s="6">
        <f>IF(M648="","vazio",IF(OR(AND(LEN(SUBSTITUTE(SUBSTITUTE(SUBSTITUTE(SUBSTITUTE(SUBSTITUTE(SUBSTITUTE(SUBSTITUTE(TRIM(M648),".",""),"/",""),"-","")," ",""),"(",""),")",""),"+",""))=10,LEFT(SUBSTITUTE(SUBSTITUTE(SUBSTITUTE(SUBSTITUTE(SUBSTITUTE(SUBSTITUTE(SUBSTITUTE(TRIM(M648),".",""),"/",""),"-","")," ",""),"(",""),")",""),"+",""),1)&lt;&gt;"0"),AND(LEN(SUBSTITUTE(SUBSTITUTE(SUBSTITUTE(SUBSTITUTE(SUBSTITUTE(SUBSTITUTE(SUBSTITUTE(TRIM(M648),".",""),"/",""),"-","")," ",""),"(",""),")",""),"+",""))=11,LEFT(SUBSTITUTE(SUBSTITUTE(SUBSTITUTE(SUBSTITUTE(SUBSTITUTE(SUBSTITUTE(SUBSTITUTE(TRIM(M648),".",""),"/",""),"-","")," ",""),"(",""),")",""),"+",""),4)="0800")),"OK",IF(AND(LEN(SUBSTITUTE(SUBSTITUTE(SUBSTITUTE(SUBSTITUTE(SUBSTITUTE(SUBSTITUTE(SUBSTITUTE(TRIM(M648),".",""),"/",""),"-","")," ",""),"(",""),")",""),"+",""))=11,MID(SUBSTITUTE(SUBSTITUTE(SUBSTITUTE(SUBSTITUTE(SUBSTITUTE(SUBSTITUTE(SUBSTITUTE(TRIM(M648),".",""),"/",""),"-","")," ",""),"(",""),")",""),"+",""),3,1)="9"),"ERRO: é celular, use a coluna Celular","ERRO: DDD + 8 dígitos ou 0800 + 7")))</f>
      </c>
      <c r="X648" s="6">
        <f>IF(N648="","vazio",IF(AND(LEN(SUBSTITUTE(SUBSTITUTE(SUBSTITUTE(SUBSTITUTE(SUBSTITUTE(SUBSTITUTE(SUBSTITUTE(TRIM(N648),".",""),"/",""),"-","")," ",""),"(",""),")",""),"+",""))=11,MID(SUBSTITUTE(SUBSTITUTE(SUBSTITUTE(SUBSTITUTE(SUBSTITUTE(SUBSTITUTE(SUBSTITUTE(TRIM(N648),".",""),"/",""),"-","")," ",""),"(",""),")",""),"+",""),3,1)="9",LEFT(SUBSTITUTE(SUBSTITUTE(SUBSTITUTE(SUBSTITUTE(SUBSTITUTE(SUBSTITUTE(SUBSTITUTE(TRIM(N648),".",""),"/",""),"-","")," ",""),"(",""),")",""),"+",""),1)&lt;&gt;"0"),"OK",IF(LEN(SUBSTITUTE(SUBSTITUTE(SUBSTITUTE(SUBSTITUTE(SUBSTITUTE(SUBSTITUTE(SUBSTITUTE(TRIM(N648),".",""),"/",""),"-","")," ",""),"(",""),")",""),"+",""))=10,"ERRO: é fixo (ou falta o 9), use a coluna Telefone fixo","ERRO: DDD + 9 + 8 dígitos")))</f>
      </c>
      <c r="Y648" s="6">
        <f>IF(O648="","vazio",IF(AND(ISNUMBER(FIND("@",O648)),ISNUMBER(FIND(".",MID(O648,FIND("@",O648),99))),NOT(ISNUMBER(FIND(" ",TRIM(O648)))),NOT(ISNUMBER(FIND(";",O648))),NOT(ISNUMBER(FIND(",",O648)))),"OK","ERRO: um e-mail válido por linha"))</f>
      </c>
      <c r="Z648" s="6">
        <f>IF(AND(J648="",K648=""),"",IF(AND(J648&lt;&gt;"",K648&lt;&gt;""),"OK","pendente: só um nome (o GR completa ao converter)"))</f>
      </c>
      <c r="AA648" s="6">
        <f>IF(COUNTA(A648:S648)=0,"",IF(AND(A648&lt;&gt;"",B648&lt;&gt;"",C648&lt;&gt;"",D648&lt;&gt;"",E648&lt;&gt;"",F648&lt;&gt;"",G648&lt;&gt;"",H648&lt;&gt;"",OR(J648&lt;&gt;"",K648&lt;&gt;""),OR(M648&lt;&gt;"",N648&lt;&gt;"",O648&lt;&gt;"")),"OK","ERRO: faltam "&amp;IF(A648="","SDR; ","")&amp;IF(B648="","Proprietário; ","")&amp;IF(C648="","Origem; ","")&amp;IF(D648="","Temperatura; ","")&amp;IF(E648="","Segmento; ","")&amp;IF(F648="","Time/Cluster; ","")&amp;IF(G648="","CNPJ; ","")&amp;IF(H648="","Razão Social; ","")&amp;IF(AND(J648="",K648=""),"nome do contato; ","")&amp;IF(AND(M648="",N648="",O648=""),"telefone, celular ou e-mail; ","")))</f>
      </c>
      <c r="AB648" s="6">
        <f>IF(COUNTA(A648:S648)=0,"",IF(AND(U648="OK",V648="OK",LEFT(W648,4)&lt;&gt;"ERRO",LEFT(X648,4)&lt;&gt;"ERRO",LEFT(Y648,4)&lt;&gt;"ERRO",AA648="OK"),"OK","REVISAR"))</f>
      </c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5"/>
      <c r="K649" s="4"/>
      <c r="L649" s="4"/>
      <c r="M649" s="4"/>
      <c r="N649" s="4"/>
      <c r="O649" s="4"/>
      <c r="P649" s="4"/>
      <c r="Q649" s="4"/>
      <c r="R649" s="4"/>
      <c r="S649" s="4"/>
      <c r="T649" s="6">
        <f>IF(G649="","",SUBSTITUTE(SUBSTITUTE(SUBSTITUTE(SUBSTITUTE(SUBSTITUTE(SUBSTITUTE(SUBSTITUTE(TRIM(G649),".",""),"/",""),"-","")," ",""),"(",""),")",""),"+",""))</f>
      </c>
      <c r="U649" s="6">
        <f>IF(T649="","",IF(LEN(T649)&lt;&gt;14,"ERRO: "&amp;LEN(T649)&amp;" dígitos",IF(NOT(ISNUMBER(VALUE(T649))),"ERRO: não numérico",IF(LEN(SUBSTITUTE(T649,LEFT(T649,1),""))=0,"ERRO: dígitos repetidos",IF(AND(VALUE(MID(T649,13,1))=IF(MOD(SUMPRODUCT(--MID(T649,{1,2,3,4,5,6,7,8,9,10,11,12},1),{5,4,3,2,9,8,7,6,5,4,3,2}),11)&lt;2,0,11-MOD(SUMPRODUCT(--MID(T649,{1,2,3,4,5,6,7,8,9,10,11,12},1),{5,4,3,2,9,8,7,6,5,4,3,2}),11)),VALUE(MID(T649,14,1))=IF(MOD(SUMPRODUCT(--MID(T649,{1,2,3,4,5,6,7,8,9,10,11,12,13},1),{6,5,4,3,2,9,8,7,6,5,4,3,2}),11)&lt;2,0,11-MOD(SUMPRODUCT(--MID(T649,{1,2,3,4,5,6,7,8,9,10,11,12,13},1),{6,5,4,3,2,9,8,7,6,5,4,3,2}),11))),"OK","ERRO: dígito verificador")))))</f>
      </c>
      <c r="V649" s="6">
        <f>IF(T649="","",IF(COUNTIF($T$2:$T$1001,T649)&gt;1,"DUPLICADO","OK"))</f>
      </c>
      <c r="W649" s="6">
        <f>IF(M649="","vazio",IF(OR(AND(LEN(SUBSTITUTE(SUBSTITUTE(SUBSTITUTE(SUBSTITUTE(SUBSTITUTE(SUBSTITUTE(SUBSTITUTE(TRIM(M649),".",""),"/",""),"-","")," ",""),"(",""),")",""),"+",""))=10,LEFT(SUBSTITUTE(SUBSTITUTE(SUBSTITUTE(SUBSTITUTE(SUBSTITUTE(SUBSTITUTE(SUBSTITUTE(TRIM(M649),".",""),"/",""),"-","")," ",""),"(",""),")",""),"+",""),1)&lt;&gt;"0"),AND(LEN(SUBSTITUTE(SUBSTITUTE(SUBSTITUTE(SUBSTITUTE(SUBSTITUTE(SUBSTITUTE(SUBSTITUTE(TRIM(M649),".",""),"/",""),"-","")," ",""),"(",""),")",""),"+",""))=11,LEFT(SUBSTITUTE(SUBSTITUTE(SUBSTITUTE(SUBSTITUTE(SUBSTITUTE(SUBSTITUTE(SUBSTITUTE(TRIM(M649),".",""),"/",""),"-","")," ",""),"(",""),")",""),"+",""),4)="0800")),"OK",IF(AND(LEN(SUBSTITUTE(SUBSTITUTE(SUBSTITUTE(SUBSTITUTE(SUBSTITUTE(SUBSTITUTE(SUBSTITUTE(TRIM(M649),".",""),"/",""),"-","")," ",""),"(",""),")",""),"+",""))=11,MID(SUBSTITUTE(SUBSTITUTE(SUBSTITUTE(SUBSTITUTE(SUBSTITUTE(SUBSTITUTE(SUBSTITUTE(TRIM(M649),".",""),"/",""),"-","")," ",""),"(",""),")",""),"+",""),3,1)="9"),"ERRO: é celular, use a coluna Celular","ERRO: DDD + 8 dígitos ou 0800 + 7")))</f>
      </c>
      <c r="X649" s="6">
        <f>IF(N649="","vazio",IF(AND(LEN(SUBSTITUTE(SUBSTITUTE(SUBSTITUTE(SUBSTITUTE(SUBSTITUTE(SUBSTITUTE(SUBSTITUTE(TRIM(N649),".",""),"/",""),"-","")," ",""),"(",""),")",""),"+",""))=11,MID(SUBSTITUTE(SUBSTITUTE(SUBSTITUTE(SUBSTITUTE(SUBSTITUTE(SUBSTITUTE(SUBSTITUTE(TRIM(N649),".",""),"/",""),"-","")," ",""),"(",""),")",""),"+",""),3,1)="9",LEFT(SUBSTITUTE(SUBSTITUTE(SUBSTITUTE(SUBSTITUTE(SUBSTITUTE(SUBSTITUTE(SUBSTITUTE(TRIM(N649),".",""),"/",""),"-","")," ",""),"(",""),")",""),"+",""),1)&lt;&gt;"0"),"OK",IF(LEN(SUBSTITUTE(SUBSTITUTE(SUBSTITUTE(SUBSTITUTE(SUBSTITUTE(SUBSTITUTE(SUBSTITUTE(TRIM(N649),".",""),"/",""),"-","")," ",""),"(",""),")",""),"+",""))=10,"ERRO: é fixo (ou falta o 9), use a coluna Telefone fixo","ERRO: DDD + 9 + 8 dígitos")))</f>
      </c>
      <c r="Y649" s="6">
        <f>IF(O649="","vazio",IF(AND(ISNUMBER(FIND("@",O649)),ISNUMBER(FIND(".",MID(O649,FIND("@",O649),99))),NOT(ISNUMBER(FIND(" ",TRIM(O649)))),NOT(ISNUMBER(FIND(";",O649))),NOT(ISNUMBER(FIND(",",O649)))),"OK","ERRO: um e-mail válido por linha"))</f>
      </c>
      <c r="Z649" s="6">
        <f>IF(AND(J649="",K649=""),"",IF(AND(J649&lt;&gt;"",K649&lt;&gt;""),"OK","pendente: só um nome (o GR completa ao converter)"))</f>
      </c>
      <c r="AA649" s="6">
        <f>IF(COUNTA(A649:S649)=0,"",IF(AND(A649&lt;&gt;"",B649&lt;&gt;"",C649&lt;&gt;"",D649&lt;&gt;"",E649&lt;&gt;"",F649&lt;&gt;"",G649&lt;&gt;"",H649&lt;&gt;"",OR(J649&lt;&gt;"",K649&lt;&gt;""),OR(M649&lt;&gt;"",N649&lt;&gt;"",O649&lt;&gt;"")),"OK","ERRO: faltam "&amp;IF(A649="","SDR; ","")&amp;IF(B649="","Proprietário; ","")&amp;IF(C649="","Origem; ","")&amp;IF(D649="","Temperatura; ","")&amp;IF(E649="","Segmento; ","")&amp;IF(F649="","Time/Cluster; ","")&amp;IF(G649="","CNPJ; ","")&amp;IF(H649="","Razão Social; ","")&amp;IF(AND(J649="",K649=""),"nome do contato; ","")&amp;IF(AND(M649="",N649="",O649=""),"telefone, celular ou e-mail; ","")))</f>
      </c>
      <c r="AB649" s="6">
        <f>IF(COUNTA(A649:S649)=0,"",IF(AND(U649="OK",V649="OK",LEFT(W649,4)&lt;&gt;"ERRO",LEFT(X649,4)&lt;&gt;"ERRO",LEFT(Y649,4)&lt;&gt;"ERRO",AA649="OK"),"OK","REVISAR"))</f>
      </c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5"/>
      <c r="K650" s="4"/>
      <c r="L650" s="4"/>
      <c r="M650" s="4"/>
      <c r="N650" s="4"/>
      <c r="O650" s="4"/>
      <c r="P650" s="4"/>
      <c r="Q650" s="4"/>
      <c r="R650" s="4"/>
      <c r="S650" s="4"/>
      <c r="T650" s="6">
        <f>IF(G650="","",SUBSTITUTE(SUBSTITUTE(SUBSTITUTE(SUBSTITUTE(SUBSTITUTE(SUBSTITUTE(SUBSTITUTE(TRIM(G650),".",""),"/",""),"-","")," ",""),"(",""),")",""),"+",""))</f>
      </c>
      <c r="U650" s="6">
        <f>IF(T650="","",IF(LEN(T650)&lt;&gt;14,"ERRO: "&amp;LEN(T650)&amp;" dígitos",IF(NOT(ISNUMBER(VALUE(T650))),"ERRO: não numérico",IF(LEN(SUBSTITUTE(T650,LEFT(T650,1),""))=0,"ERRO: dígitos repetidos",IF(AND(VALUE(MID(T650,13,1))=IF(MOD(SUMPRODUCT(--MID(T650,{1,2,3,4,5,6,7,8,9,10,11,12},1),{5,4,3,2,9,8,7,6,5,4,3,2}),11)&lt;2,0,11-MOD(SUMPRODUCT(--MID(T650,{1,2,3,4,5,6,7,8,9,10,11,12},1),{5,4,3,2,9,8,7,6,5,4,3,2}),11)),VALUE(MID(T650,14,1))=IF(MOD(SUMPRODUCT(--MID(T650,{1,2,3,4,5,6,7,8,9,10,11,12,13},1),{6,5,4,3,2,9,8,7,6,5,4,3,2}),11)&lt;2,0,11-MOD(SUMPRODUCT(--MID(T650,{1,2,3,4,5,6,7,8,9,10,11,12,13},1),{6,5,4,3,2,9,8,7,6,5,4,3,2}),11))),"OK","ERRO: dígito verificador")))))</f>
      </c>
      <c r="V650" s="6">
        <f>IF(T650="","",IF(COUNTIF($T$2:$T$1001,T650)&gt;1,"DUPLICADO","OK"))</f>
      </c>
      <c r="W650" s="6">
        <f>IF(M650="","vazio",IF(OR(AND(LEN(SUBSTITUTE(SUBSTITUTE(SUBSTITUTE(SUBSTITUTE(SUBSTITUTE(SUBSTITUTE(SUBSTITUTE(TRIM(M650),".",""),"/",""),"-","")," ",""),"(",""),")",""),"+",""))=10,LEFT(SUBSTITUTE(SUBSTITUTE(SUBSTITUTE(SUBSTITUTE(SUBSTITUTE(SUBSTITUTE(SUBSTITUTE(TRIM(M650),".",""),"/",""),"-","")," ",""),"(",""),")",""),"+",""),1)&lt;&gt;"0"),AND(LEN(SUBSTITUTE(SUBSTITUTE(SUBSTITUTE(SUBSTITUTE(SUBSTITUTE(SUBSTITUTE(SUBSTITUTE(TRIM(M650),".",""),"/",""),"-","")," ",""),"(",""),")",""),"+",""))=11,LEFT(SUBSTITUTE(SUBSTITUTE(SUBSTITUTE(SUBSTITUTE(SUBSTITUTE(SUBSTITUTE(SUBSTITUTE(TRIM(M650),".",""),"/",""),"-","")," ",""),"(",""),")",""),"+",""),4)="0800")),"OK",IF(AND(LEN(SUBSTITUTE(SUBSTITUTE(SUBSTITUTE(SUBSTITUTE(SUBSTITUTE(SUBSTITUTE(SUBSTITUTE(TRIM(M650),".",""),"/",""),"-","")," ",""),"(",""),")",""),"+",""))=11,MID(SUBSTITUTE(SUBSTITUTE(SUBSTITUTE(SUBSTITUTE(SUBSTITUTE(SUBSTITUTE(SUBSTITUTE(TRIM(M650),".",""),"/",""),"-","")," ",""),"(",""),")",""),"+",""),3,1)="9"),"ERRO: é celular, use a coluna Celular","ERRO: DDD + 8 dígitos ou 0800 + 7")))</f>
      </c>
      <c r="X650" s="6">
        <f>IF(N650="","vazio",IF(AND(LEN(SUBSTITUTE(SUBSTITUTE(SUBSTITUTE(SUBSTITUTE(SUBSTITUTE(SUBSTITUTE(SUBSTITUTE(TRIM(N650),".",""),"/",""),"-","")," ",""),"(",""),")",""),"+",""))=11,MID(SUBSTITUTE(SUBSTITUTE(SUBSTITUTE(SUBSTITUTE(SUBSTITUTE(SUBSTITUTE(SUBSTITUTE(TRIM(N650),".",""),"/",""),"-","")," ",""),"(",""),")",""),"+",""),3,1)="9",LEFT(SUBSTITUTE(SUBSTITUTE(SUBSTITUTE(SUBSTITUTE(SUBSTITUTE(SUBSTITUTE(SUBSTITUTE(TRIM(N650),".",""),"/",""),"-","")," ",""),"(",""),")",""),"+",""),1)&lt;&gt;"0"),"OK",IF(LEN(SUBSTITUTE(SUBSTITUTE(SUBSTITUTE(SUBSTITUTE(SUBSTITUTE(SUBSTITUTE(SUBSTITUTE(TRIM(N650),".",""),"/",""),"-","")," ",""),"(",""),")",""),"+",""))=10,"ERRO: é fixo (ou falta o 9), use a coluna Telefone fixo","ERRO: DDD + 9 + 8 dígitos")))</f>
      </c>
      <c r="Y650" s="6">
        <f>IF(O650="","vazio",IF(AND(ISNUMBER(FIND("@",O650)),ISNUMBER(FIND(".",MID(O650,FIND("@",O650),99))),NOT(ISNUMBER(FIND(" ",TRIM(O650)))),NOT(ISNUMBER(FIND(";",O650))),NOT(ISNUMBER(FIND(",",O650)))),"OK","ERRO: um e-mail válido por linha"))</f>
      </c>
      <c r="Z650" s="6">
        <f>IF(AND(J650="",K650=""),"",IF(AND(J650&lt;&gt;"",K650&lt;&gt;""),"OK","pendente: só um nome (o GR completa ao converter)"))</f>
      </c>
      <c r="AA650" s="6">
        <f>IF(COUNTA(A650:S650)=0,"",IF(AND(A650&lt;&gt;"",B650&lt;&gt;"",C650&lt;&gt;"",D650&lt;&gt;"",E650&lt;&gt;"",F650&lt;&gt;"",G650&lt;&gt;"",H650&lt;&gt;"",OR(J650&lt;&gt;"",K650&lt;&gt;""),OR(M650&lt;&gt;"",N650&lt;&gt;"",O650&lt;&gt;"")),"OK","ERRO: faltam "&amp;IF(A650="","SDR; ","")&amp;IF(B650="","Proprietário; ","")&amp;IF(C650="","Origem; ","")&amp;IF(D650="","Temperatura; ","")&amp;IF(E650="","Segmento; ","")&amp;IF(F650="","Time/Cluster; ","")&amp;IF(G650="","CNPJ; ","")&amp;IF(H650="","Razão Social; ","")&amp;IF(AND(J650="",K650=""),"nome do contato; ","")&amp;IF(AND(M650="",N650="",O650=""),"telefone, celular ou e-mail; ","")))</f>
      </c>
      <c r="AB650" s="6">
        <f>IF(COUNTA(A650:S650)=0,"",IF(AND(U650="OK",V650="OK",LEFT(W650,4)&lt;&gt;"ERRO",LEFT(X650,4)&lt;&gt;"ERRO",LEFT(Y650,4)&lt;&gt;"ERRO",AA650="OK"),"OK","REVISAR"))</f>
      </c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5"/>
      <c r="K651" s="4"/>
      <c r="L651" s="4"/>
      <c r="M651" s="4"/>
      <c r="N651" s="4"/>
      <c r="O651" s="4"/>
      <c r="P651" s="4"/>
      <c r="Q651" s="4"/>
      <c r="R651" s="4"/>
      <c r="S651" s="4"/>
      <c r="T651" s="6">
        <f>IF(G651="","",SUBSTITUTE(SUBSTITUTE(SUBSTITUTE(SUBSTITUTE(SUBSTITUTE(SUBSTITUTE(SUBSTITUTE(TRIM(G651),".",""),"/",""),"-","")," ",""),"(",""),")",""),"+",""))</f>
      </c>
      <c r="U651" s="6">
        <f>IF(T651="","",IF(LEN(T651)&lt;&gt;14,"ERRO: "&amp;LEN(T651)&amp;" dígitos",IF(NOT(ISNUMBER(VALUE(T651))),"ERRO: não numérico",IF(LEN(SUBSTITUTE(T651,LEFT(T651,1),""))=0,"ERRO: dígitos repetidos",IF(AND(VALUE(MID(T651,13,1))=IF(MOD(SUMPRODUCT(--MID(T651,{1,2,3,4,5,6,7,8,9,10,11,12},1),{5,4,3,2,9,8,7,6,5,4,3,2}),11)&lt;2,0,11-MOD(SUMPRODUCT(--MID(T651,{1,2,3,4,5,6,7,8,9,10,11,12},1),{5,4,3,2,9,8,7,6,5,4,3,2}),11)),VALUE(MID(T651,14,1))=IF(MOD(SUMPRODUCT(--MID(T651,{1,2,3,4,5,6,7,8,9,10,11,12,13},1),{6,5,4,3,2,9,8,7,6,5,4,3,2}),11)&lt;2,0,11-MOD(SUMPRODUCT(--MID(T651,{1,2,3,4,5,6,7,8,9,10,11,12,13},1),{6,5,4,3,2,9,8,7,6,5,4,3,2}),11))),"OK","ERRO: dígito verificador")))))</f>
      </c>
      <c r="V651" s="6">
        <f>IF(T651="","",IF(COUNTIF($T$2:$T$1001,T651)&gt;1,"DUPLICADO","OK"))</f>
      </c>
      <c r="W651" s="6">
        <f>IF(M651="","vazio",IF(OR(AND(LEN(SUBSTITUTE(SUBSTITUTE(SUBSTITUTE(SUBSTITUTE(SUBSTITUTE(SUBSTITUTE(SUBSTITUTE(TRIM(M651),".",""),"/",""),"-","")," ",""),"(",""),")",""),"+",""))=10,LEFT(SUBSTITUTE(SUBSTITUTE(SUBSTITUTE(SUBSTITUTE(SUBSTITUTE(SUBSTITUTE(SUBSTITUTE(TRIM(M651),".",""),"/",""),"-","")," ",""),"(",""),")",""),"+",""),1)&lt;&gt;"0"),AND(LEN(SUBSTITUTE(SUBSTITUTE(SUBSTITUTE(SUBSTITUTE(SUBSTITUTE(SUBSTITUTE(SUBSTITUTE(TRIM(M651),".",""),"/",""),"-","")," ",""),"(",""),")",""),"+",""))=11,LEFT(SUBSTITUTE(SUBSTITUTE(SUBSTITUTE(SUBSTITUTE(SUBSTITUTE(SUBSTITUTE(SUBSTITUTE(TRIM(M651),".",""),"/",""),"-","")," ",""),"(",""),")",""),"+",""),4)="0800")),"OK",IF(AND(LEN(SUBSTITUTE(SUBSTITUTE(SUBSTITUTE(SUBSTITUTE(SUBSTITUTE(SUBSTITUTE(SUBSTITUTE(TRIM(M651),".",""),"/",""),"-","")," ",""),"(",""),")",""),"+",""))=11,MID(SUBSTITUTE(SUBSTITUTE(SUBSTITUTE(SUBSTITUTE(SUBSTITUTE(SUBSTITUTE(SUBSTITUTE(TRIM(M651),".",""),"/",""),"-","")," ",""),"(",""),")",""),"+",""),3,1)="9"),"ERRO: é celular, use a coluna Celular","ERRO: DDD + 8 dígitos ou 0800 + 7")))</f>
      </c>
      <c r="X651" s="6">
        <f>IF(N651="","vazio",IF(AND(LEN(SUBSTITUTE(SUBSTITUTE(SUBSTITUTE(SUBSTITUTE(SUBSTITUTE(SUBSTITUTE(SUBSTITUTE(TRIM(N651),".",""),"/",""),"-","")," ",""),"(",""),")",""),"+",""))=11,MID(SUBSTITUTE(SUBSTITUTE(SUBSTITUTE(SUBSTITUTE(SUBSTITUTE(SUBSTITUTE(SUBSTITUTE(TRIM(N651),".",""),"/",""),"-","")," ",""),"(",""),")",""),"+",""),3,1)="9",LEFT(SUBSTITUTE(SUBSTITUTE(SUBSTITUTE(SUBSTITUTE(SUBSTITUTE(SUBSTITUTE(SUBSTITUTE(TRIM(N651),".",""),"/",""),"-","")," ",""),"(",""),")",""),"+",""),1)&lt;&gt;"0"),"OK",IF(LEN(SUBSTITUTE(SUBSTITUTE(SUBSTITUTE(SUBSTITUTE(SUBSTITUTE(SUBSTITUTE(SUBSTITUTE(TRIM(N651),".",""),"/",""),"-","")," ",""),"(",""),")",""),"+",""))=10,"ERRO: é fixo (ou falta o 9), use a coluna Telefone fixo","ERRO: DDD + 9 + 8 dígitos")))</f>
      </c>
      <c r="Y651" s="6">
        <f>IF(O651="","vazio",IF(AND(ISNUMBER(FIND("@",O651)),ISNUMBER(FIND(".",MID(O651,FIND("@",O651),99))),NOT(ISNUMBER(FIND(" ",TRIM(O651)))),NOT(ISNUMBER(FIND(";",O651))),NOT(ISNUMBER(FIND(",",O651)))),"OK","ERRO: um e-mail válido por linha"))</f>
      </c>
      <c r="Z651" s="6">
        <f>IF(AND(J651="",K651=""),"",IF(AND(J651&lt;&gt;"",K651&lt;&gt;""),"OK","pendente: só um nome (o GR completa ao converter)"))</f>
      </c>
      <c r="AA651" s="6">
        <f>IF(COUNTA(A651:S651)=0,"",IF(AND(A651&lt;&gt;"",B651&lt;&gt;"",C651&lt;&gt;"",D651&lt;&gt;"",E651&lt;&gt;"",F651&lt;&gt;"",G651&lt;&gt;"",H651&lt;&gt;"",OR(J651&lt;&gt;"",K651&lt;&gt;""),OR(M651&lt;&gt;"",N651&lt;&gt;"",O651&lt;&gt;"")),"OK","ERRO: faltam "&amp;IF(A651="","SDR; ","")&amp;IF(B651="","Proprietário; ","")&amp;IF(C651="","Origem; ","")&amp;IF(D651="","Temperatura; ","")&amp;IF(E651="","Segmento; ","")&amp;IF(F651="","Time/Cluster; ","")&amp;IF(G651="","CNPJ; ","")&amp;IF(H651="","Razão Social; ","")&amp;IF(AND(J651="",K651=""),"nome do contato; ","")&amp;IF(AND(M651="",N651="",O651=""),"telefone, celular ou e-mail; ","")))</f>
      </c>
      <c r="AB651" s="6">
        <f>IF(COUNTA(A651:S651)=0,"",IF(AND(U651="OK",V651="OK",LEFT(W651,4)&lt;&gt;"ERRO",LEFT(X651,4)&lt;&gt;"ERRO",LEFT(Y651,4)&lt;&gt;"ERRO",AA651="OK"),"OK","REVISAR"))</f>
      </c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5"/>
      <c r="K652" s="4"/>
      <c r="L652" s="4"/>
      <c r="M652" s="4"/>
      <c r="N652" s="4"/>
      <c r="O652" s="4"/>
      <c r="P652" s="4"/>
      <c r="Q652" s="4"/>
      <c r="R652" s="4"/>
      <c r="S652" s="4"/>
      <c r="T652" s="6">
        <f>IF(G652="","",SUBSTITUTE(SUBSTITUTE(SUBSTITUTE(SUBSTITUTE(SUBSTITUTE(SUBSTITUTE(SUBSTITUTE(TRIM(G652),".",""),"/",""),"-","")," ",""),"(",""),")",""),"+",""))</f>
      </c>
      <c r="U652" s="6">
        <f>IF(T652="","",IF(LEN(T652)&lt;&gt;14,"ERRO: "&amp;LEN(T652)&amp;" dígitos",IF(NOT(ISNUMBER(VALUE(T652))),"ERRO: não numérico",IF(LEN(SUBSTITUTE(T652,LEFT(T652,1),""))=0,"ERRO: dígitos repetidos",IF(AND(VALUE(MID(T652,13,1))=IF(MOD(SUMPRODUCT(--MID(T652,{1,2,3,4,5,6,7,8,9,10,11,12},1),{5,4,3,2,9,8,7,6,5,4,3,2}),11)&lt;2,0,11-MOD(SUMPRODUCT(--MID(T652,{1,2,3,4,5,6,7,8,9,10,11,12},1),{5,4,3,2,9,8,7,6,5,4,3,2}),11)),VALUE(MID(T652,14,1))=IF(MOD(SUMPRODUCT(--MID(T652,{1,2,3,4,5,6,7,8,9,10,11,12,13},1),{6,5,4,3,2,9,8,7,6,5,4,3,2}),11)&lt;2,0,11-MOD(SUMPRODUCT(--MID(T652,{1,2,3,4,5,6,7,8,9,10,11,12,13},1),{6,5,4,3,2,9,8,7,6,5,4,3,2}),11))),"OK","ERRO: dígito verificador")))))</f>
      </c>
      <c r="V652" s="6">
        <f>IF(T652="","",IF(COUNTIF($T$2:$T$1001,T652)&gt;1,"DUPLICADO","OK"))</f>
      </c>
      <c r="W652" s="6">
        <f>IF(M652="","vazio",IF(OR(AND(LEN(SUBSTITUTE(SUBSTITUTE(SUBSTITUTE(SUBSTITUTE(SUBSTITUTE(SUBSTITUTE(SUBSTITUTE(TRIM(M652),".",""),"/",""),"-","")," ",""),"(",""),")",""),"+",""))=10,LEFT(SUBSTITUTE(SUBSTITUTE(SUBSTITUTE(SUBSTITUTE(SUBSTITUTE(SUBSTITUTE(SUBSTITUTE(TRIM(M652),".",""),"/",""),"-","")," ",""),"(",""),")",""),"+",""),1)&lt;&gt;"0"),AND(LEN(SUBSTITUTE(SUBSTITUTE(SUBSTITUTE(SUBSTITUTE(SUBSTITUTE(SUBSTITUTE(SUBSTITUTE(TRIM(M652),".",""),"/",""),"-","")," ",""),"(",""),")",""),"+",""))=11,LEFT(SUBSTITUTE(SUBSTITUTE(SUBSTITUTE(SUBSTITUTE(SUBSTITUTE(SUBSTITUTE(SUBSTITUTE(TRIM(M652),".",""),"/",""),"-","")," ",""),"(",""),")",""),"+",""),4)="0800")),"OK",IF(AND(LEN(SUBSTITUTE(SUBSTITUTE(SUBSTITUTE(SUBSTITUTE(SUBSTITUTE(SUBSTITUTE(SUBSTITUTE(TRIM(M652),".",""),"/",""),"-","")," ",""),"(",""),")",""),"+",""))=11,MID(SUBSTITUTE(SUBSTITUTE(SUBSTITUTE(SUBSTITUTE(SUBSTITUTE(SUBSTITUTE(SUBSTITUTE(TRIM(M652),".",""),"/",""),"-","")," ",""),"(",""),")",""),"+",""),3,1)="9"),"ERRO: é celular, use a coluna Celular","ERRO: DDD + 8 dígitos ou 0800 + 7")))</f>
      </c>
      <c r="X652" s="6">
        <f>IF(N652="","vazio",IF(AND(LEN(SUBSTITUTE(SUBSTITUTE(SUBSTITUTE(SUBSTITUTE(SUBSTITUTE(SUBSTITUTE(SUBSTITUTE(TRIM(N652),".",""),"/",""),"-","")," ",""),"(",""),")",""),"+",""))=11,MID(SUBSTITUTE(SUBSTITUTE(SUBSTITUTE(SUBSTITUTE(SUBSTITUTE(SUBSTITUTE(SUBSTITUTE(TRIM(N652),".",""),"/",""),"-","")," ",""),"(",""),")",""),"+",""),3,1)="9",LEFT(SUBSTITUTE(SUBSTITUTE(SUBSTITUTE(SUBSTITUTE(SUBSTITUTE(SUBSTITUTE(SUBSTITUTE(TRIM(N652),".",""),"/",""),"-","")," ",""),"(",""),")",""),"+",""),1)&lt;&gt;"0"),"OK",IF(LEN(SUBSTITUTE(SUBSTITUTE(SUBSTITUTE(SUBSTITUTE(SUBSTITUTE(SUBSTITUTE(SUBSTITUTE(TRIM(N652),".",""),"/",""),"-","")," ",""),"(",""),")",""),"+",""))=10,"ERRO: é fixo (ou falta o 9), use a coluna Telefone fixo","ERRO: DDD + 9 + 8 dígitos")))</f>
      </c>
      <c r="Y652" s="6">
        <f>IF(O652="","vazio",IF(AND(ISNUMBER(FIND("@",O652)),ISNUMBER(FIND(".",MID(O652,FIND("@",O652),99))),NOT(ISNUMBER(FIND(" ",TRIM(O652)))),NOT(ISNUMBER(FIND(";",O652))),NOT(ISNUMBER(FIND(",",O652)))),"OK","ERRO: um e-mail válido por linha"))</f>
      </c>
      <c r="Z652" s="6">
        <f>IF(AND(J652="",K652=""),"",IF(AND(J652&lt;&gt;"",K652&lt;&gt;""),"OK","pendente: só um nome (o GR completa ao converter)"))</f>
      </c>
      <c r="AA652" s="6">
        <f>IF(COUNTA(A652:S652)=0,"",IF(AND(A652&lt;&gt;"",B652&lt;&gt;"",C652&lt;&gt;"",D652&lt;&gt;"",E652&lt;&gt;"",F652&lt;&gt;"",G652&lt;&gt;"",H652&lt;&gt;"",OR(J652&lt;&gt;"",K652&lt;&gt;""),OR(M652&lt;&gt;"",N652&lt;&gt;"",O652&lt;&gt;"")),"OK","ERRO: faltam "&amp;IF(A652="","SDR; ","")&amp;IF(B652="","Proprietário; ","")&amp;IF(C652="","Origem; ","")&amp;IF(D652="","Temperatura; ","")&amp;IF(E652="","Segmento; ","")&amp;IF(F652="","Time/Cluster; ","")&amp;IF(G652="","CNPJ; ","")&amp;IF(H652="","Razão Social; ","")&amp;IF(AND(J652="",K652=""),"nome do contato; ","")&amp;IF(AND(M652="",N652="",O652=""),"telefone, celular ou e-mail; ","")))</f>
      </c>
      <c r="AB652" s="6">
        <f>IF(COUNTA(A652:S652)=0,"",IF(AND(U652="OK",V652="OK",LEFT(W652,4)&lt;&gt;"ERRO",LEFT(X652,4)&lt;&gt;"ERRO",LEFT(Y652,4)&lt;&gt;"ERRO",AA652="OK"),"OK","REVISAR"))</f>
      </c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5"/>
      <c r="K653" s="4"/>
      <c r="L653" s="4"/>
      <c r="M653" s="4"/>
      <c r="N653" s="4"/>
      <c r="O653" s="4"/>
      <c r="P653" s="4"/>
      <c r="Q653" s="4"/>
      <c r="R653" s="4"/>
      <c r="S653" s="4"/>
      <c r="T653" s="6">
        <f>IF(G653="","",SUBSTITUTE(SUBSTITUTE(SUBSTITUTE(SUBSTITUTE(SUBSTITUTE(SUBSTITUTE(SUBSTITUTE(TRIM(G653),".",""),"/",""),"-","")," ",""),"(",""),")",""),"+",""))</f>
      </c>
      <c r="U653" s="6">
        <f>IF(T653="","",IF(LEN(T653)&lt;&gt;14,"ERRO: "&amp;LEN(T653)&amp;" dígitos",IF(NOT(ISNUMBER(VALUE(T653))),"ERRO: não numérico",IF(LEN(SUBSTITUTE(T653,LEFT(T653,1),""))=0,"ERRO: dígitos repetidos",IF(AND(VALUE(MID(T653,13,1))=IF(MOD(SUMPRODUCT(--MID(T653,{1,2,3,4,5,6,7,8,9,10,11,12},1),{5,4,3,2,9,8,7,6,5,4,3,2}),11)&lt;2,0,11-MOD(SUMPRODUCT(--MID(T653,{1,2,3,4,5,6,7,8,9,10,11,12},1),{5,4,3,2,9,8,7,6,5,4,3,2}),11)),VALUE(MID(T653,14,1))=IF(MOD(SUMPRODUCT(--MID(T653,{1,2,3,4,5,6,7,8,9,10,11,12,13},1),{6,5,4,3,2,9,8,7,6,5,4,3,2}),11)&lt;2,0,11-MOD(SUMPRODUCT(--MID(T653,{1,2,3,4,5,6,7,8,9,10,11,12,13},1),{6,5,4,3,2,9,8,7,6,5,4,3,2}),11))),"OK","ERRO: dígito verificador")))))</f>
      </c>
      <c r="V653" s="6">
        <f>IF(T653="","",IF(COUNTIF($T$2:$T$1001,T653)&gt;1,"DUPLICADO","OK"))</f>
      </c>
      <c r="W653" s="6">
        <f>IF(M653="","vazio",IF(OR(AND(LEN(SUBSTITUTE(SUBSTITUTE(SUBSTITUTE(SUBSTITUTE(SUBSTITUTE(SUBSTITUTE(SUBSTITUTE(TRIM(M653),".",""),"/",""),"-","")," ",""),"(",""),")",""),"+",""))=10,LEFT(SUBSTITUTE(SUBSTITUTE(SUBSTITUTE(SUBSTITUTE(SUBSTITUTE(SUBSTITUTE(SUBSTITUTE(TRIM(M653),".",""),"/",""),"-","")," ",""),"(",""),")",""),"+",""),1)&lt;&gt;"0"),AND(LEN(SUBSTITUTE(SUBSTITUTE(SUBSTITUTE(SUBSTITUTE(SUBSTITUTE(SUBSTITUTE(SUBSTITUTE(TRIM(M653),".",""),"/",""),"-","")," ",""),"(",""),")",""),"+",""))=11,LEFT(SUBSTITUTE(SUBSTITUTE(SUBSTITUTE(SUBSTITUTE(SUBSTITUTE(SUBSTITUTE(SUBSTITUTE(TRIM(M653),".",""),"/",""),"-","")," ",""),"(",""),")",""),"+",""),4)="0800")),"OK",IF(AND(LEN(SUBSTITUTE(SUBSTITUTE(SUBSTITUTE(SUBSTITUTE(SUBSTITUTE(SUBSTITUTE(SUBSTITUTE(TRIM(M653),".",""),"/",""),"-","")," ",""),"(",""),")",""),"+",""))=11,MID(SUBSTITUTE(SUBSTITUTE(SUBSTITUTE(SUBSTITUTE(SUBSTITUTE(SUBSTITUTE(SUBSTITUTE(TRIM(M653),".",""),"/",""),"-","")," ",""),"(",""),")",""),"+",""),3,1)="9"),"ERRO: é celular, use a coluna Celular","ERRO: DDD + 8 dígitos ou 0800 + 7")))</f>
      </c>
      <c r="X653" s="6">
        <f>IF(N653="","vazio",IF(AND(LEN(SUBSTITUTE(SUBSTITUTE(SUBSTITUTE(SUBSTITUTE(SUBSTITUTE(SUBSTITUTE(SUBSTITUTE(TRIM(N653),".",""),"/",""),"-","")," ",""),"(",""),")",""),"+",""))=11,MID(SUBSTITUTE(SUBSTITUTE(SUBSTITUTE(SUBSTITUTE(SUBSTITUTE(SUBSTITUTE(SUBSTITUTE(TRIM(N653),".",""),"/",""),"-","")," ",""),"(",""),")",""),"+",""),3,1)="9",LEFT(SUBSTITUTE(SUBSTITUTE(SUBSTITUTE(SUBSTITUTE(SUBSTITUTE(SUBSTITUTE(SUBSTITUTE(TRIM(N653),".",""),"/",""),"-","")," ",""),"(",""),")",""),"+",""),1)&lt;&gt;"0"),"OK",IF(LEN(SUBSTITUTE(SUBSTITUTE(SUBSTITUTE(SUBSTITUTE(SUBSTITUTE(SUBSTITUTE(SUBSTITUTE(TRIM(N653),".",""),"/",""),"-","")," ",""),"(",""),")",""),"+",""))=10,"ERRO: é fixo (ou falta o 9), use a coluna Telefone fixo","ERRO: DDD + 9 + 8 dígitos")))</f>
      </c>
      <c r="Y653" s="6">
        <f>IF(O653="","vazio",IF(AND(ISNUMBER(FIND("@",O653)),ISNUMBER(FIND(".",MID(O653,FIND("@",O653),99))),NOT(ISNUMBER(FIND(" ",TRIM(O653)))),NOT(ISNUMBER(FIND(";",O653))),NOT(ISNUMBER(FIND(",",O653)))),"OK","ERRO: um e-mail válido por linha"))</f>
      </c>
      <c r="Z653" s="6">
        <f>IF(AND(J653="",K653=""),"",IF(AND(J653&lt;&gt;"",K653&lt;&gt;""),"OK","pendente: só um nome (o GR completa ao converter)"))</f>
      </c>
      <c r="AA653" s="6">
        <f>IF(COUNTA(A653:S653)=0,"",IF(AND(A653&lt;&gt;"",B653&lt;&gt;"",C653&lt;&gt;"",D653&lt;&gt;"",E653&lt;&gt;"",F653&lt;&gt;"",G653&lt;&gt;"",H653&lt;&gt;"",OR(J653&lt;&gt;"",K653&lt;&gt;""),OR(M653&lt;&gt;"",N653&lt;&gt;"",O653&lt;&gt;"")),"OK","ERRO: faltam "&amp;IF(A653="","SDR; ","")&amp;IF(B653="","Proprietário; ","")&amp;IF(C653="","Origem; ","")&amp;IF(D653="","Temperatura; ","")&amp;IF(E653="","Segmento; ","")&amp;IF(F653="","Time/Cluster; ","")&amp;IF(G653="","CNPJ; ","")&amp;IF(H653="","Razão Social; ","")&amp;IF(AND(J653="",K653=""),"nome do contato; ","")&amp;IF(AND(M653="",N653="",O653=""),"telefone, celular ou e-mail; ","")))</f>
      </c>
      <c r="AB653" s="6">
        <f>IF(COUNTA(A653:S653)=0,"",IF(AND(U653="OK",V653="OK",LEFT(W653,4)&lt;&gt;"ERRO",LEFT(X653,4)&lt;&gt;"ERRO",LEFT(Y653,4)&lt;&gt;"ERRO",AA653="OK"),"OK","REVISAR"))</f>
      </c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5"/>
      <c r="K654" s="4"/>
      <c r="L654" s="4"/>
      <c r="M654" s="4"/>
      <c r="N654" s="4"/>
      <c r="O654" s="4"/>
      <c r="P654" s="4"/>
      <c r="Q654" s="4"/>
      <c r="R654" s="4"/>
      <c r="S654" s="4"/>
      <c r="T654" s="6">
        <f>IF(G654="","",SUBSTITUTE(SUBSTITUTE(SUBSTITUTE(SUBSTITUTE(SUBSTITUTE(SUBSTITUTE(SUBSTITUTE(TRIM(G654),".",""),"/",""),"-","")," ",""),"(",""),")",""),"+",""))</f>
      </c>
      <c r="U654" s="6">
        <f>IF(T654="","",IF(LEN(T654)&lt;&gt;14,"ERRO: "&amp;LEN(T654)&amp;" dígitos",IF(NOT(ISNUMBER(VALUE(T654))),"ERRO: não numérico",IF(LEN(SUBSTITUTE(T654,LEFT(T654,1),""))=0,"ERRO: dígitos repetidos",IF(AND(VALUE(MID(T654,13,1))=IF(MOD(SUMPRODUCT(--MID(T654,{1,2,3,4,5,6,7,8,9,10,11,12},1),{5,4,3,2,9,8,7,6,5,4,3,2}),11)&lt;2,0,11-MOD(SUMPRODUCT(--MID(T654,{1,2,3,4,5,6,7,8,9,10,11,12},1),{5,4,3,2,9,8,7,6,5,4,3,2}),11)),VALUE(MID(T654,14,1))=IF(MOD(SUMPRODUCT(--MID(T654,{1,2,3,4,5,6,7,8,9,10,11,12,13},1),{6,5,4,3,2,9,8,7,6,5,4,3,2}),11)&lt;2,0,11-MOD(SUMPRODUCT(--MID(T654,{1,2,3,4,5,6,7,8,9,10,11,12,13},1),{6,5,4,3,2,9,8,7,6,5,4,3,2}),11))),"OK","ERRO: dígito verificador")))))</f>
      </c>
      <c r="V654" s="6">
        <f>IF(T654="","",IF(COUNTIF($T$2:$T$1001,T654)&gt;1,"DUPLICADO","OK"))</f>
      </c>
      <c r="W654" s="6">
        <f>IF(M654="","vazio",IF(OR(AND(LEN(SUBSTITUTE(SUBSTITUTE(SUBSTITUTE(SUBSTITUTE(SUBSTITUTE(SUBSTITUTE(SUBSTITUTE(TRIM(M654),".",""),"/",""),"-","")," ",""),"(",""),")",""),"+",""))=10,LEFT(SUBSTITUTE(SUBSTITUTE(SUBSTITUTE(SUBSTITUTE(SUBSTITUTE(SUBSTITUTE(SUBSTITUTE(TRIM(M654),".",""),"/",""),"-","")," ",""),"(",""),")",""),"+",""),1)&lt;&gt;"0"),AND(LEN(SUBSTITUTE(SUBSTITUTE(SUBSTITUTE(SUBSTITUTE(SUBSTITUTE(SUBSTITUTE(SUBSTITUTE(TRIM(M654),".",""),"/",""),"-","")," ",""),"(",""),")",""),"+",""))=11,LEFT(SUBSTITUTE(SUBSTITUTE(SUBSTITUTE(SUBSTITUTE(SUBSTITUTE(SUBSTITUTE(SUBSTITUTE(TRIM(M654),".",""),"/",""),"-","")," ",""),"(",""),")",""),"+",""),4)="0800")),"OK",IF(AND(LEN(SUBSTITUTE(SUBSTITUTE(SUBSTITUTE(SUBSTITUTE(SUBSTITUTE(SUBSTITUTE(SUBSTITUTE(TRIM(M654),".",""),"/",""),"-","")," ",""),"(",""),")",""),"+",""))=11,MID(SUBSTITUTE(SUBSTITUTE(SUBSTITUTE(SUBSTITUTE(SUBSTITUTE(SUBSTITUTE(SUBSTITUTE(TRIM(M654),".",""),"/",""),"-","")," ",""),"(",""),")",""),"+",""),3,1)="9"),"ERRO: é celular, use a coluna Celular","ERRO: DDD + 8 dígitos ou 0800 + 7")))</f>
      </c>
      <c r="X654" s="6">
        <f>IF(N654="","vazio",IF(AND(LEN(SUBSTITUTE(SUBSTITUTE(SUBSTITUTE(SUBSTITUTE(SUBSTITUTE(SUBSTITUTE(SUBSTITUTE(TRIM(N654),".",""),"/",""),"-","")," ",""),"(",""),")",""),"+",""))=11,MID(SUBSTITUTE(SUBSTITUTE(SUBSTITUTE(SUBSTITUTE(SUBSTITUTE(SUBSTITUTE(SUBSTITUTE(TRIM(N654),".",""),"/",""),"-","")," ",""),"(",""),")",""),"+",""),3,1)="9",LEFT(SUBSTITUTE(SUBSTITUTE(SUBSTITUTE(SUBSTITUTE(SUBSTITUTE(SUBSTITUTE(SUBSTITUTE(TRIM(N654),".",""),"/",""),"-","")," ",""),"(",""),")",""),"+",""),1)&lt;&gt;"0"),"OK",IF(LEN(SUBSTITUTE(SUBSTITUTE(SUBSTITUTE(SUBSTITUTE(SUBSTITUTE(SUBSTITUTE(SUBSTITUTE(TRIM(N654),".",""),"/",""),"-","")," ",""),"(",""),")",""),"+",""))=10,"ERRO: é fixo (ou falta o 9), use a coluna Telefone fixo","ERRO: DDD + 9 + 8 dígitos")))</f>
      </c>
      <c r="Y654" s="6">
        <f>IF(O654="","vazio",IF(AND(ISNUMBER(FIND("@",O654)),ISNUMBER(FIND(".",MID(O654,FIND("@",O654),99))),NOT(ISNUMBER(FIND(" ",TRIM(O654)))),NOT(ISNUMBER(FIND(";",O654))),NOT(ISNUMBER(FIND(",",O654)))),"OK","ERRO: um e-mail válido por linha"))</f>
      </c>
      <c r="Z654" s="6">
        <f>IF(AND(J654="",K654=""),"",IF(AND(J654&lt;&gt;"",K654&lt;&gt;""),"OK","pendente: só um nome (o GR completa ao converter)"))</f>
      </c>
      <c r="AA654" s="6">
        <f>IF(COUNTA(A654:S654)=0,"",IF(AND(A654&lt;&gt;"",B654&lt;&gt;"",C654&lt;&gt;"",D654&lt;&gt;"",E654&lt;&gt;"",F654&lt;&gt;"",G654&lt;&gt;"",H654&lt;&gt;"",OR(J654&lt;&gt;"",K654&lt;&gt;""),OR(M654&lt;&gt;"",N654&lt;&gt;"",O654&lt;&gt;"")),"OK","ERRO: faltam "&amp;IF(A654="","SDR; ","")&amp;IF(B654="","Proprietário; ","")&amp;IF(C654="","Origem; ","")&amp;IF(D654="","Temperatura; ","")&amp;IF(E654="","Segmento; ","")&amp;IF(F654="","Time/Cluster; ","")&amp;IF(G654="","CNPJ; ","")&amp;IF(H654="","Razão Social; ","")&amp;IF(AND(J654="",K654=""),"nome do contato; ","")&amp;IF(AND(M654="",N654="",O654=""),"telefone, celular ou e-mail; ","")))</f>
      </c>
      <c r="AB654" s="6">
        <f>IF(COUNTA(A654:S654)=0,"",IF(AND(U654="OK",V654="OK",LEFT(W654,4)&lt;&gt;"ERRO",LEFT(X654,4)&lt;&gt;"ERRO",LEFT(Y654,4)&lt;&gt;"ERRO",AA654="OK"),"OK","REVISAR"))</f>
      </c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5"/>
      <c r="K655" s="4"/>
      <c r="L655" s="4"/>
      <c r="M655" s="4"/>
      <c r="N655" s="4"/>
      <c r="O655" s="4"/>
      <c r="P655" s="4"/>
      <c r="Q655" s="4"/>
      <c r="R655" s="4"/>
      <c r="S655" s="4"/>
      <c r="T655" s="6">
        <f>IF(G655="","",SUBSTITUTE(SUBSTITUTE(SUBSTITUTE(SUBSTITUTE(SUBSTITUTE(SUBSTITUTE(SUBSTITUTE(TRIM(G655),".",""),"/",""),"-","")," ",""),"(",""),")",""),"+",""))</f>
      </c>
      <c r="U655" s="6">
        <f>IF(T655="","",IF(LEN(T655)&lt;&gt;14,"ERRO: "&amp;LEN(T655)&amp;" dígitos",IF(NOT(ISNUMBER(VALUE(T655))),"ERRO: não numérico",IF(LEN(SUBSTITUTE(T655,LEFT(T655,1),""))=0,"ERRO: dígitos repetidos",IF(AND(VALUE(MID(T655,13,1))=IF(MOD(SUMPRODUCT(--MID(T655,{1,2,3,4,5,6,7,8,9,10,11,12},1),{5,4,3,2,9,8,7,6,5,4,3,2}),11)&lt;2,0,11-MOD(SUMPRODUCT(--MID(T655,{1,2,3,4,5,6,7,8,9,10,11,12},1),{5,4,3,2,9,8,7,6,5,4,3,2}),11)),VALUE(MID(T655,14,1))=IF(MOD(SUMPRODUCT(--MID(T655,{1,2,3,4,5,6,7,8,9,10,11,12,13},1),{6,5,4,3,2,9,8,7,6,5,4,3,2}),11)&lt;2,0,11-MOD(SUMPRODUCT(--MID(T655,{1,2,3,4,5,6,7,8,9,10,11,12,13},1),{6,5,4,3,2,9,8,7,6,5,4,3,2}),11))),"OK","ERRO: dígito verificador")))))</f>
      </c>
      <c r="V655" s="6">
        <f>IF(T655="","",IF(COUNTIF($T$2:$T$1001,T655)&gt;1,"DUPLICADO","OK"))</f>
      </c>
      <c r="W655" s="6">
        <f>IF(M655="","vazio",IF(OR(AND(LEN(SUBSTITUTE(SUBSTITUTE(SUBSTITUTE(SUBSTITUTE(SUBSTITUTE(SUBSTITUTE(SUBSTITUTE(TRIM(M655),".",""),"/",""),"-","")," ",""),"(",""),")",""),"+",""))=10,LEFT(SUBSTITUTE(SUBSTITUTE(SUBSTITUTE(SUBSTITUTE(SUBSTITUTE(SUBSTITUTE(SUBSTITUTE(TRIM(M655),".",""),"/",""),"-","")," ",""),"(",""),")",""),"+",""),1)&lt;&gt;"0"),AND(LEN(SUBSTITUTE(SUBSTITUTE(SUBSTITUTE(SUBSTITUTE(SUBSTITUTE(SUBSTITUTE(SUBSTITUTE(TRIM(M655),".",""),"/",""),"-","")," ",""),"(",""),")",""),"+",""))=11,LEFT(SUBSTITUTE(SUBSTITUTE(SUBSTITUTE(SUBSTITUTE(SUBSTITUTE(SUBSTITUTE(SUBSTITUTE(TRIM(M655),".",""),"/",""),"-","")," ",""),"(",""),")",""),"+",""),4)="0800")),"OK",IF(AND(LEN(SUBSTITUTE(SUBSTITUTE(SUBSTITUTE(SUBSTITUTE(SUBSTITUTE(SUBSTITUTE(SUBSTITUTE(TRIM(M655),".",""),"/",""),"-","")," ",""),"(",""),")",""),"+",""))=11,MID(SUBSTITUTE(SUBSTITUTE(SUBSTITUTE(SUBSTITUTE(SUBSTITUTE(SUBSTITUTE(SUBSTITUTE(TRIM(M655),".",""),"/",""),"-","")," ",""),"(",""),")",""),"+",""),3,1)="9"),"ERRO: é celular, use a coluna Celular","ERRO: DDD + 8 dígitos ou 0800 + 7")))</f>
      </c>
      <c r="X655" s="6">
        <f>IF(N655="","vazio",IF(AND(LEN(SUBSTITUTE(SUBSTITUTE(SUBSTITUTE(SUBSTITUTE(SUBSTITUTE(SUBSTITUTE(SUBSTITUTE(TRIM(N655),".",""),"/",""),"-","")," ",""),"(",""),")",""),"+",""))=11,MID(SUBSTITUTE(SUBSTITUTE(SUBSTITUTE(SUBSTITUTE(SUBSTITUTE(SUBSTITUTE(SUBSTITUTE(TRIM(N655),".",""),"/",""),"-","")," ",""),"(",""),")",""),"+",""),3,1)="9",LEFT(SUBSTITUTE(SUBSTITUTE(SUBSTITUTE(SUBSTITUTE(SUBSTITUTE(SUBSTITUTE(SUBSTITUTE(TRIM(N655),".",""),"/",""),"-","")," ",""),"(",""),")",""),"+",""),1)&lt;&gt;"0"),"OK",IF(LEN(SUBSTITUTE(SUBSTITUTE(SUBSTITUTE(SUBSTITUTE(SUBSTITUTE(SUBSTITUTE(SUBSTITUTE(TRIM(N655),".",""),"/",""),"-","")," ",""),"(",""),")",""),"+",""))=10,"ERRO: é fixo (ou falta o 9), use a coluna Telefone fixo","ERRO: DDD + 9 + 8 dígitos")))</f>
      </c>
      <c r="Y655" s="6">
        <f>IF(O655="","vazio",IF(AND(ISNUMBER(FIND("@",O655)),ISNUMBER(FIND(".",MID(O655,FIND("@",O655),99))),NOT(ISNUMBER(FIND(" ",TRIM(O655)))),NOT(ISNUMBER(FIND(";",O655))),NOT(ISNUMBER(FIND(",",O655)))),"OK","ERRO: um e-mail válido por linha"))</f>
      </c>
      <c r="Z655" s="6">
        <f>IF(AND(J655="",K655=""),"",IF(AND(J655&lt;&gt;"",K655&lt;&gt;""),"OK","pendente: só um nome (o GR completa ao converter)"))</f>
      </c>
      <c r="AA655" s="6">
        <f>IF(COUNTA(A655:S655)=0,"",IF(AND(A655&lt;&gt;"",B655&lt;&gt;"",C655&lt;&gt;"",D655&lt;&gt;"",E655&lt;&gt;"",F655&lt;&gt;"",G655&lt;&gt;"",H655&lt;&gt;"",OR(J655&lt;&gt;"",K655&lt;&gt;""),OR(M655&lt;&gt;"",N655&lt;&gt;"",O655&lt;&gt;"")),"OK","ERRO: faltam "&amp;IF(A655="","SDR; ","")&amp;IF(B655="","Proprietário; ","")&amp;IF(C655="","Origem; ","")&amp;IF(D655="","Temperatura; ","")&amp;IF(E655="","Segmento; ","")&amp;IF(F655="","Time/Cluster; ","")&amp;IF(G655="","CNPJ; ","")&amp;IF(H655="","Razão Social; ","")&amp;IF(AND(J655="",K655=""),"nome do contato; ","")&amp;IF(AND(M655="",N655="",O655=""),"telefone, celular ou e-mail; ","")))</f>
      </c>
      <c r="AB655" s="6">
        <f>IF(COUNTA(A655:S655)=0,"",IF(AND(U655="OK",V655="OK",LEFT(W655,4)&lt;&gt;"ERRO",LEFT(X655,4)&lt;&gt;"ERRO",LEFT(Y655,4)&lt;&gt;"ERRO",AA655="OK"),"OK","REVISAR"))</f>
      </c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5"/>
      <c r="K656" s="4"/>
      <c r="L656" s="4"/>
      <c r="M656" s="4"/>
      <c r="N656" s="4"/>
      <c r="O656" s="4"/>
      <c r="P656" s="4"/>
      <c r="Q656" s="4"/>
      <c r="R656" s="4"/>
      <c r="S656" s="4"/>
      <c r="T656" s="6">
        <f>IF(G656="","",SUBSTITUTE(SUBSTITUTE(SUBSTITUTE(SUBSTITUTE(SUBSTITUTE(SUBSTITUTE(SUBSTITUTE(TRIM(G656),".",""),"/",""),"-","")," ",""),"(",""),")",""),"+",""))</f>
      </c>
      <c r="U656" s="6">
        <f>IF(T656="","",IF(LEN(T656)&lt;&gt;14,"ERRO: "&amp;LEN(T656)&amp;" dígitos",IF(NOT(ISNUMBER(VALUE(T656))),"ERRO: não numérico",IF(LEN(SUBSTITUTE(T656,LEFT(T656,1),""))=0,"ERRO: dígitos repetidos",IF(AND(VALUE(MID(T656,13,1))=IF(MOD(SUMPRODUCT(--MID(T656,{1,2,3,4,5,6,7,8,9,10,11,12},1),{5,4,3,2,9,8,7,6,5,4,3,2}),11)&lt;2,0,11-MOD(SUMPRODUCT(--MID(T656,{1,2,3,4,5,6,7,8,9,10,11,12},1),{5,4,3,2,9,8,7,6,5,4,3,2}),11)),VALUE(MID(T656,14,1))=IF(MOD(SUMPRODUCT(--MID(T656,{1,2,3,4,5,6,7,8,9,10,11,12,13},1),{6,5,4,3,2,9,8,7,6,5,4,3,2}),11)&lt;2,0,11-MOD(SUMPRODUCT(--MID(T656,{1,2,3,4,5,6,7,8,9,10,11,12,13},1),{6,5,4,3,2,9,8,7,6,5,4,3,2}),11))),"OK","ERRO: dígito verificador")))))</f>
      </c>
      <c r="V656" s="6">
        <f>IF(T656="","",IF(COUNTIF($T$2:$T$1001,T656)&gt;1,"DUPLICADO","OK"))</f>
      </c>
      <c r="W656" s="6">
        <f>IF(M656="","vazio",IF(OR(AND(LEN(SUBSTITUTE(SUBSTITUTE(SUBSTITUTE(SUBSTITUTE(SUBSTITUTE(SUBSTITUTE(SUBSTITUTE(TRIM(M656),".",""),"/",""),"-","")," ",""),"(",""),")",""),"+",""))=10,LEFT(SUBSTITUTE(SUBSTITUTE(SUBSTITUTE(SUBSTITUTE(SUBSTITUTE(SUBSTITUTE(SUBSTITUTE(TRIM(M656),".",""),"/",""),"-","")," ",""),"(",""),")",""),"+",""),1)&lt;&gt;"0"),AND(LEN(SUBSTITUTE(SUBSTITUTE(SUBSTITUTE(SUBSTITUTE(SUBSTITUTE(SUBSTITUTE(SUBSTITUTE(TRIM(M656),".",""),"/",""),"-","")," ",""),"(",""),")",""),"+",""))=11,LEFT(SUBSTITUTE(SUBSTITUTE(SUBSTITUTE(SUBSTITUTE(SUBSTITUTE(SUBSTITUTE(SUBSTITUTE(TRIM(M656),".",""),"/",""),"-","")," ",""),"(",""),")",""),"+",""),4)="0800")),"OK",IF(AND(LEN(SUBSTITUTE(SUBSTITUTE(SUBSTITUTE(SUBSTITUTE(SUBSTITUTE(SUBSTITUTE(SUBSTITUTE(TRIM(M656),".",""),"/",""),"-","")," ",""),"(",""),")",""),"+",""))=11,MID(SUBSTITUTE(SUBSTITUTE(SUBSTITUTE(SUBSTITUTE(SUBSTITUTE(SUBSTITUTE(SUBSTITUTE(TRIM(M656),".",""),"/",""),"-","")," ",""),"(",""),")",""),"+",""),3,1)="9"),"ERRO: é celular, use a coluna Celular","ERRO: DDD + 8 dígitos ou 0800 + 7")))</f>
      </c>
      <c r="X656" s="6">
        <f>IF(N656="","vazio",IF(AND(LEN(SUBSTITUTE(SUBSTITUTE(SUBSTITUTE(SUBSTITUTE(SUBSTITUTE(SUBSTITUTE(SUBSTITUTE(TRIM(N656),".",""),"/",""),"-","")," ",""),"(",""),")",""),"+",""))=11,MID(SUBSTITUTE(SUBSTITUTE(SUBSTITUTE(SUBSTITUTE(SUBSTITUTE(SUBSTITUTE(SUBSTITUTE(TRIM(N656),".",""),"/",""),"-","")," ",""),"(",""),")",""),"+",""),3,1)="9",LEFT(SUBSTITUTE(SUBSTITUTE(SUBSTITUTE(SUBSTITUTE(SUBSTITUTE(SUBSTITUTE(SUBSTITUTE(TRIM(N656),".",""),"/",""),"-","")," ",""),"(",""),")",""),"+",""),1)&lt;&gt;"0"),"OK",IF(LEN(SUBSTITUTE(SUBSTITUTE(SUBSTITUTE(SUBSTITUTE(SUBSTITUTE(SUBSTITUTE(SUBSTITUTE(TRIM(N656),".",""),"/",""),"-","")," ",""),"(",""),")",""),"+",""))=10,"ERRO: é fixo (ou falta o 9), use a coluna Telefone fixo","ERRO: DDD + 9 + 8 dígitos")))</f>
      </c>
      <c r="Y656" s="6">
        <f>IF(O656="","vazio",IF(AND(ISNUMBER(FIND("@",O656)),ISNUMBER(FIND(".",MID(O656,FIND("@",O656),99))),NOT(ISNUMBER(FIND(" ",TRIM(O656)))),NOT(ISNUMBER(FIND(";",O656))),NOT(ISNUMBER(FIND(",",O656)))),"OK","ERRO: um e-mail válido por linha"))</f>
      </c>
      <c r="Z656" s="6">
        <f>IF(AND(J656="",K656=""),"",IF(AND(J656&lt;&gt;"",K656&lt;&gt;""),"OK","pendente: só um nome (o GR completa ao converter)"))</f>
      </c>
      <c r="AA656" s="6">
        <f>IF(COUNTA(A656:S656)=0,"",IF(AND(A656&lt;&gt;"",B656&lt;&gt;"",C656&lt;&gt;"",D656&lt;&gt;"",E656&lt;&gt;"",F656&lt;&gt;"",G656&lt;&gt;"",H656&lt;&gt;"",OR(J656&lt;&gt;"",K656&lt;&gt;""),OR(M656&lt;&gt;"",N656&lt;&gt;"",O656&lt;&gt;"")),"OK","ERRO: faltam "&amp;IF(A656="","SDR; ","")&amp;IF(B656="","Proprietário; ","")&amp;IF(C656="","Origem; ","")&amp;IF(D656="","Temperatura; ","")&amp;IF(E656="","Segmento; ","")&amp;IF(F656="","Time/Cluster; ","")&amp;IF(G656="","CNPJ; ","")&amp;IF(H656="","Razão Social; ","")&amp;IF(AND(J656="",K656=""),"nome do contato; ","")&amp;IF(AND(M656="",N656="",O656=""),"telefone, celular ou e-mail; ","")))</f>
      </c>
      <c r="AB656" s="6">
        <f>IF(COUNTA(A656:S656)=0,"",IF(AND(U656="OK",V656="OK",LEFT(W656,4)&lt;&gt;"ERRO",LEFT(X656,4)&lt;&gt;"ERRO",LEFT(Y656,4)&lt;&gt;"ERRO",AA656="OK"),"OK","REVISAR"))</f>
      </c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5"/>
      <c r="K657" s="4"/>
      <c r="L657" s="4"/>
      <c r="M657" s="4"/>
      <c r="N657" s="4"/>
      <c r="O657" s="4"/>
      <c r="P657" s="4"/>
      <c r="Q657" s="4"/>
      <c r="R657" s="4"/>
      <c r="S657" s="4"/>
      <c r="T657" s="6">
        <f>IF(G657="","",SUBSTITUTE(SUBSTITUTE(SUBSTITUTE(SUBSTITUTE(SUBSTITUTE(SUBSTITUTE(SUBSTITUTE(TRIM(G657),".",""),"/",""),"-","")," ",""),"(",""),")",""),"+",""))</f>
      </c>
      <c r="U657" s="6">
        <f>IF(T657="","",IF(LEN(T657)&lt;&gt;14,"ERRO: "&amp;LEN(T657)&amp;" dígitos",IF(NOT(ISNUMBER(VALUE(T657))),"ERRO: não numérico",IF(LEN(SUBSTITUTE(T657,LEFT(T657,1),""))=0,"ERRO: dígitos repetidos",IF(AND(VALUE(MID(T657,13,1))=IF(MOD(SUMPRODUCT(--MID(T657,{1,2,3,4,5,6,7,8,9,10,11,12},1),{5,4,3,2,9,8,7,6,5,4,3,2}),11)&lt;2,0,11-MOD(SUMPRODUCT(--MID(T657,{1,2,3,4,5,6,7,8,9,10,11,12},1),{5,4,3,2,9,8,7,6,5,4,3,2}),11)),VALUE(MID(T657,14,1))=IF(MOD(SUMPRODUCT(--MID(T657,{1,2,3,4,5,6,7,8,9,10,11,12,13},1),{6,5,4,3,2,9,8,7,6,5,4,3,2}),11)&lt;2,0,11-MOD(SUMPRODUCT(--MID(T657,{1,2,3,4,5,6,7,8,9,10,11,12,13},1),{6,5,4,3,2,9,8,7,6,5,4,3,2}),11))),"OK","ERRO: dígito verificador")))))</f>
      </c>
      <c r="V657" s="6">
        <f>IF(T657="","",IF(COUNTIF($T$2:$T$1001,T657)&gt;1,"DUPLICADO","OK"))</f>
      </c>
      <c r="W657" s="6">
        <f>IF(M657="","vazio",IF(OR(AND(LEN(SUBSTITUTE(SUBSTITUTE(SUBSTITUTE(SUBSTITUTE(SUBSTITUTE(SUBSTITUTE(SUBSTITUTE(TRIM(M657),".",""),"/",""),"-","")," ",""),"(",""),")",""),"+",""))=10,LEFT(SUBSTITUTE(SUBSTITUTE(SUBSTITUTE(SUBSTITUTE(SUBSTITUTE(SUBSTITUTE(SUBSTITUTE(TRIM(M657),".",""),"/",""),"-","")," ",""),"(",""),")",""),"+",""),1)&lt;&gt;"0"),AND(LEN(SUBSTITUTE(SUBSTITUTE(SUBSTITUTE(SUBSTITUTE(SUBSTITUTE(SUBSTITUTE(SUBSTITUTE(TRIM(M657),".",""),"/",""),"-","")," ",""),"(",""),")",""),"+",""))=11,LEFT(SUBSTITUTE(SUBSTITUTE(SUBSTITUTE(SUBSTITUTE(SUBSTITUTE(SUBSTITUTE(SUBSTITUTE(TRIM(M657),".",""),"/",""),"-","")," ",""),"(",""),")",""),"+",""),4)="0800")),"OK",IF(AND(LEN(SUBSTITUTE(SUBSTITUTE(SUBSTITUTE(SUBSTITUTE(SUBSTITUTE(SUBSTITUTE(SUBSTITUTE(TRIM(M657),".",""),"/",""),"-","")," ",""),"(",""),")",""),"+",""))=11,MID(SUBSTITUTE(SUBSTITUTE(SUBSTITUTE(SUBSTITUTE(SUBSTITUTE(SUBSTITUTE(SUBSTITUTE(TRIM(M657),".",""),"/",""),"-","")," ",""),"(",""),")",""),"+",""),3,1)="9"),"ERRO: é celular, use a coluna Celular","ERRO: DDD + 8 dígitos ou 0800 + 7")))</f>
      </c>
      <c r="X657" s="6">
        <f>IF(N657="","vazio",IF(AND(LEN(SUBSTITUTE(SUBSTITUTE(SUBSTITUTE(SUBSTITUTE(SUBSTITUTE(SUBSTITUTE(SUBSTITUTE(TRIM(N657),".",""),"/",""),"-","")," ",""),"(",""),")",""),"+",""))=11,MID(SUBSTITUTE(SUBSTITUTE(SUBSTITUTE(SUBSTITUTE(SUBSTITUTE(SUBSTITUTE(SUBSTITUTE(TRIM(N657),".",""),"/",""),"-","")," ",""),"(",""),")",""),"+",""),3,1)="9",LEFT(SUBSTITUTE(SUBSTITUTE(SUBSTITUTE(SUBSTITUTE(SUBSTITUTE(SUBSTITUTE(SUBSTITUTE(TRIM(N657),".",""),"/",""),"-","")," ",""),"(",""),")",""),"+",""),1)&lt;&gt;"0"),"OK",IF(LEN(SUBSTITUTE(SUBSTITUTE(SUBSTITUTE(SUBSTITUTE(SUBSTITUTE(SUBSTITUTE(SUBSTITUTE(TRIM(N657),".",""),"/",""),"-","")," ",""),"(",""),")",""),"+",""))=10,"ERRO: é fixo (ou falta o 9), use a coluna Telefone fixo","ERRO: DDD + 9 + 8 dígitos")))</f>
      </c>
      <c r="Y657" s="6">
        <f>IF(O657="","vazio",IF(AND(ISNUMBER(FIND("@",O657)),ISNUMBER(FIND(".",MID(O657,FIND("@",O657),99))),NOT(ISNUMBER(FIND(" ",TRIM(O657)))),NOT(ISNUMBER(FIND(";",O657))),NOT(ISNUMBER(FIND(",",O657)))),"OK","ERRO: um e-mail válido por linha"))</f>
      </c>
      <c r="Z657" s="6">
        <f>IF(AND(J657="",K657=""),"",IF(AND(J657&lt;&gt;"",K657&lt;&gt;""),"OK","pendente: só um nome (o GR completa ao converter)"))</f>
      </c>
      <c r="AA657" s="6">
        <f>IF(COUNTA(A657:S657)=0,"",IF(AND(A657&lt;&gt;"",B657&lt;&gt;"",C657&lt;&gt;"",D657&lt;&gt;"",E657&lt;&gt;"",F657&lt;&gt;"",G657&lt;&gt;"",H657&lt;&gt;"",OR(J657&lt;&gt;"",K657&lt;&gt;""),OR(M657&lt;&gt;"",N657&lt;&gt;"",O657&lt;&gt;"")),"OK","ERRO: faltam "&amp;IF(A657="","SDR; ","")&amp;IF(B657="","Proprietário; ","")&amp;IF(C657="","Origem; ","")&amp;IF(D657="","Temperatura; ","")&amp;IF(E657="","Segmento; ","")&amp;IF(F657="","Time/Cluster; ","")&amp;IF(G657="","CNPJ; ","")&amp;IF(H657="","Razão Social; ","")&amp;IF(AND(J657="",K657=""),"nome do contato; ","")&amp;IF(AND(M657="",N657="",O657=""),"telefone, celular ou e-mail; ","")))</f>
      </c>
      <c r="AB657" s="6">
        <f>IF(COUNTA(A657:S657)=0,"",IF(AND(U657="OK",V657="OK",LEFT(W657,4)&lt;&gt;"ERRO",LEFT(X657,4)&lt;&gt;"ERRO",LEFT(Y657,4)&lt;&gt;"ERRO",AA657="OK"),"OK","REVISAR"))</f>
      </c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5"/>
      <c r="K658" s="4"/>
      <c r="L658" s="4"/>
      <c r="M658" s="4"/>
      <c r="N658" s="4"/>
      <c r="O658" s="4"/>
      <c r="P658" s="4"/>
      <c r="Q658" s="4"/>
      <c r="R658" s="4"/>
      <c r="S658" s="4"/>
      <c r="T658" s="6">
        <f>IF(G658="","",SUBSTITUTE(SUBSTITUTE(SUBSTITUTE(SUBSTITUTE(SUBSTITUTE(SUBSTITUTE(SUBSTITUTE(TRIM(G658),".",""),"/",""),"-","")," ",""),"(",""),")",""),"+",""))</f>
      </c>
      <c r="U658" s="6">
        <f>IF(T658="","",IF(LEN(T658)&lt;&gt;14,"ERRO: "&amp;LEN(T658)&amp;" dígitos",IF(NOT(ISNUMBER(VALUE(T658))),"ERRO: não numérico",IF(LEN(SUBSTITUTE(T658,LEFT(T658,1),""))=0,"ERRO: dígitos repetidos",IF(AND(VALUE(MID(T658,13,1))=IF(MOD(SUMPRODUCT(--MID(T658,{1,2,3,4,5,6,7,8,9,10,11,12},1),{5,4,3,2,9,8,7,6,5,4,3,2}),11)&lt;2,0,11-MOD(SUMPRODUCT(--MID(T658,{1,2,3,4,5,6,7,8,9,10,11,12},1),{5,4,3,2,9,8,7,6,5,4,3,2}),11)),VALUE(MID(T658,14,1))=IF(MOD(SUMPRODUCT(--MID(T658,{1,2,3,4,5,6,7,8,9,10,11,12,13},1),{6,5,4,3,2,9,8,7,6,5,4,3,2}),11)&lt;2,0,11-MOD(SUMPRODUCT(--MID(T658,{1,2,3,4,5,6,7,8,9,10,11,12,13},1),{6,5,4,3,2,9,8,7,6,5,4,3,2}),11))),"OK","ERRO: dígito verificador")))))</f>
      </c>
      <c r="V658" s="6">
        <f>IF(T658="","",IF(COUNTIF($T$2:$T$1001,T658)&gt;1,"DUPLICADO","OK"))</f>
      </c>
      <c r="W658" s="6">
        <f>IF(M658="","vazio",IF(OR(AND(LEN(SUBSTITUTE(SUBSTITUTE(SUBSTITUTE(SUBSTITUTE(SUBSTITUTE(SUBSTITUTE(SUBSTITUTE(TRIM(M658),".",""),"/",""),"-","")," ",""),"(",""),")",""),"+",""))=10,LEFT(SUBSTITUTE(SUBSTITUTE(SUBSTITUTE(SUBSTITUTE(SUBSTITUTE(SUBSTITUTE(SUBSTITUTE(TRIM(M658),".",""),"/",""),"-","")," ",""),"(",""),")",""),"+",""),1)&lt;&gt;"0"),AND(LEN(SUBSTITUTE(SUBSTITUTE(SUBSTITUTE(SUBSTITUTE(SUBSTITUTE(SUBSTITUTE(SUBSTITUTE(TRIM(M658),".",""),"/",""),"-","")," ",""),"(",""),")",""),"+",""))=11,LEFT(SUBSTITUTE(SUBSTITUTE(SUBSTITUTE(SUBSTITUTE(SUBSTITUTE(SUBSTITUTE(SUBSTITUTE(TRIM(M658),".",""),"/",""),"-","")," ",""),"(",""),")",""),"+",""),4)="0800")),"OK",IF(AND(LEN(SUBSTITUTE(SUBSTITUTE(SUBSTITUTE(SUBSTITUTE(SUBSTITUTE(SUBSTITUTE(SUBSTITUTE(TRIM(M658),".",""),"/",""),"-","")," ",""),"(",""),")",""),"+",""))=11,MID(SUBSTITUTE(SUBSTITUTE(SUBSTITUTE(SUBSTITUTE(SUBSTITUTE(SUBSTITUTE(SUBSTITUTE(TRIM(M658),".",""),"/",""),"-","")," ",""),"(",""),")",""),"+",""),3,1)="9"),"ERRO: é celular, use a coluna Celular","ERRO: DDD + 8 dígitos ou 0800 + 7")))</f>
      </c>
      <c r="X658" s="6">
        <f>IF(N658="","vazio",IF(AND(LEN(SUBSTITUTE(SUBSTITUTE(SUBSTITUTE(SUBSTITUTE(SUBSTITUTE(SUBSTITUTE(SUBSTITUTE(TRIM(N658),".",""),"/",""),"-","")," ",""),"(",""),")",""),"+",""))=11,MID(SUBSTITUTE(SUBSTITUTE(SUBSTITUTE(SUBSTITUTE(SUBSTITUTE(SUBSTITUTE(SUBSTITUTE(TRIM(N658),".",""),"/",""),"-","")," ",""),"(",""),")",""),"+",""),3,1)="9",LEFT(SUBSTITUTE(SUBSTITUTE(SUBSTITUTE(SUBSTITUTE(SUBSTITUTE(SUBSTITUTE(SUBSTITUTE(TRIM(N658),".",""),"/",""),"-","")," ",""),"(",""),")",""),"+",""),1)&lt;&gt;"0"),"OK",IF(LEN(SUBSTITUTE(SUBSTITUTE(SUBSTITUTE(SUBSTITUTE(SUBSTITUTE(SUBSTITUTE(SUBSTITUTE(TRIM(N658),".",""),"/",""),"-","")," ",""),"(",""),")",""),"+",""))=10,"ERRO: é fixo (ou falta o 9), use a coluna Telefone fixo","ERRO: DDD + 9 + 8 dígitos")))</f>
      </c>
      <c r="Y658" s="6">
        <f>IF(O658="","vazio",IF(AND(ISNUMBER(FIND("@",O658)),ISNUMBER(FIND(".",MID(O658,FIND("@",O658),99))),NOT(ISNUMBER(FIND(" ",TRIM(O658)))),NOT(ISNUMBER(FIND(";",O658))),NOT(ISNUMBER(FIND(",",O658)))),"OK","ERRO: um e-mail válido por linha"))</f>
      </c>
      <c r="Z658" s="6">
        <f>IF(AND(J658="",K658=""),"",IF(AND(J658&lt;&gt;"",K658&lt;&gt;""),"OK","pendente: só um nome (o GR completa ao converter)"))</f>
      </c>
      <c r="AA658" s="6">
        <f>IF(COUNTA(A658:S658)=0,"",IF(AND(A658&lt;&gt;"",B658&lt;&gt;"",C658&lt;&gt;"",D658&lt;&gt;"",E658&lt;&gt;"",F658&lt;&gt;"",G658&lt;&gt;"",H658&lt;&gt;"",OR(J658&lt;&gt;"",K658&lt;&gt;""),OR(M658&lt;&gt;"",N658&lt;&gt;"",O658&lt;&gt;"")),"OK","ERRO: faltam "&amp;IF(A658="","SDR; ","")&amp;IF(B658="","Proprietário; ","")&amp;IF(C658="","Origem; ","")&amp;IF(D658="","Temperatura; ","")&amp;IF(E658="","Segmento; ","")&amp;IF(F658="","Time/Cluster; ","")&amp;IF(G658="","CNPJ; ","")&amp;IF(H658="","Razão Social; ","")&amp;IF(AND(J658="",K658=""),"nome do contato; ","")&amp;IF(AND(M658="",N658="",O658=""),"telefone, celular ou e-mail; ","")))</f>
      </c>
      <c r="AB658" s="6">
        <f>IF(COUNTA(A658:S658)=0,"",IF(AND(U658="OK",V658="OK",LEFT(W658,4)&lt;&gt;"ERRO",LEFT(X658,4)&lt;&gt;"ERRO",LEFT(Y658,4)&lt;&gt;"ERRO",AA658="OK"),"OK","REVISAR"))</f>
      </c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5"/>
      <c r="K659" s="4"/>
      <c r="L659" s="4"/>
      <c r="M659" s="4"/>
      <c r="N659" s="4"/>
      <c r="O659" s="4"/>
      <c r="P659" s="4"/>
      <c r="Q659" s="4"/>
      <c r="R659" s="4"/>
      <c r="S659" s="4"/>
      <c r="T659" s="6">
        <f>IF(G659="","",SUBSTITUTE(SUBSTITUTE(SUBSTITUTE(SUBSTITUTE(SUBSTITUTE(SUBSTITUTE(SUBSTITUTE(TRIM(G659),".",""),"/",""),"-","")," ",""),"(",""),")",""),"+",""))</f>
      </c>
      <c r="U659" s="6">
        <f>IF(T659="","",IF(LEN(T659)&lt;&gt;14,"ERRO: "&amp;LEN(T659)&amp;" dígitos",IF(NOT(ISNUMBER(VALUE(T659))),"ERRO: não numérico",IF(LEN(SUBSTITUTE(T659,LEFT(T659,1),""))=0,"ERRO: dígitos repetidos",IF(AND(VALUE(MID(T659,13,1))=IF(MOD(SUMPRODUCT(--MID(T659,{1,2,3,4,5,6,7,8,9,10,11,12},1),{5,4,3,2,9,8,7,6,5,4,3,2}),11)&lt;2,0,11-MOD(SUMPRODUCT(--MID(T659,{1,2,3,4,5,6,7,8,9,10,11,12},1),{5,4,3,2,9,8,7,6,5,4,3,2}),11)),VALUE(MID(T659,14,1))=IF(MOD(SUMPRODUCT(--MID(T659,{1,2,3,4,5,6,7,8,9,10,11,12,13},1),{6,5,4,3,2,9,8,7,6,5,4,3,2}),11)&lt;2,0,11-MOD(SUMPRODUCT(--MID(T659,{1,2,3,4,5,6,7,8,9,10,11,12,13},1),{6,5,4,3,2,9,8,7,6,5,4,3,2}),11))),"OK","ERRO: dígito verificador")))))</f>
      </c>
      <c r="V659" s="6">
        <f>IF(T659="","",IF(COUNTIF($T$2:$T$1001,T659)&gt;1,"DUPLICADO","OK"))</f>
      </c>
      <c r="W659" s="6">
        <f>IF(M659="","vazio",IF(OR(AND(LEN(SUBSTITUTE(SUBSTITUTE(SUBSTITUTE(SUBSTITUTE(SUBSTITUTE(SUBSTITUTE(SUBSTITUTE(TRIM(M659),".",""),"/",""),"-","")," ",""),"(",""),")",""),"+",""))=10,LEFT(SUBSTITUTE(SUBSTITUTE(SUBSTITUTE(SUBSTITUTE(SUBSTITUTE(SUBSTITUTE(SUBSTITUTE(TRIM(M659),".",""),"/",""),"-","")," ",""),"(",""),")",""),"+",""),1)&lt;&gt;"0"),AND(LEN(SUBSTITUTE(SUBSTITUTE(SUBSTITUTE(SUBSTITUTE(SUBSTITUTE(SUBSTITUTE(SUBSTITUTE(TRIM(M659),".",""),"/",""),"-","")," ",""),"(",""),")",""),"+",""))=11,LEFT(SUBSTITUTE(SUBSTITUTE(SUBSTITUTE(SUBSTITUTE(SUBSTITUTE(SUBSTITUTE(SUBSTITUTE(TRIM(M659),".",""),"/",""),"-","")," ",""),"(",""),")",""),"+",""),4)="0800")),"OK",IF(AND(LEN(SUBSTITUTE(SUBSTITUTE(SUBSTITUTE(SUBSTITUTE(SUBSTITUTE(SUBSTITUTE(SUBSTITUTE(TRIM(M659),".",""),"/",""),"-","")," ",""),"(",""),")",""),"+",""))=11,MID(SUBSTITUTE(SUBSTITUTE(SUBSTITUTE(SUBSTITUTE(SUBSTITUTE(SUBSTITUTE(SUBSTITUTE(TRIM(M659),".",""),"/",""),"-","")," ",""),"(",""),")",""),"+",""),3,1)="9"),"ERRO: é celular, use a coluna Celular","ERRO: DDD + 8 dígitos ou 0800 + 7")))</f>
      </c>
      <c r="X659" s="6">
        <f>IF(N659="","vazio",IF(AND(LEN(SUBSTITUTE(SUBSTITUTE(SUBSTITUTE(SUBSTITUTE(SUBSTITUTE(SUBSTITUTE(SUBSTITUTE(TRIM(N659),".",""),"/",""),"-","")," ",""),"(",""),")",""),"+",""))=11,MID(SUBSTITUTE(SUBSTITUTE(SUBSTITUTE(SUBSTITUTE(SUBSTITUTE(SUBSTITUTE(SUBSTITUTE(TRIM(N659),".",""),"/",""),"-","")," ",""),"(",""),")",""),"+",""),3,1)="9",LEFT(SUBSTITUTE(SUBSTITUTE(SUBSTITUTE(SUBSTITUTE(SUBSTITUTE(SUBSTITUTE(SUBSTITUTE(TRIM(N659),".",""),"/",""),"-","")," ",""),"(",""),")",""),"+",""),1)&lt;&gt;"0"),"OK",IF(LEN(SUBSTITUTE(SUBSTITUTE(SUBSTITUTE(SUBSTITUTE(SUBSTITUTE(SUBSTITUTE(SUBSTITUTE(TRIM(N659),".",""),"/",""),"-","")," ",""),"(",""),")",""),"+",""))=10,"ERRO: é fixo (ou falta o 9), use a coluna Telefone fixo","ERRO: DDD + 9 + 8 dígitos")))</f>
      </c>
      <c r="Y659" s="6">
        <f>IF(O659="","vazio",IF(AND(ISNUMBER(FIND("@",O659)),ISNUMBER(FIND(".",MID(O659,FIND("@",O659),99))),NOT(ISNUMBER(FIND(" ",TRIM(O659)))),NOT(ISNUMBER(FIND(";",O659))),NOT(ISNUMBER(FIND(",",O659)))),"OK","ERRO: um e-mail válido por linha"))</f>
      </c>
      <c r="Z659" s="6">
        <f>IF(AND(J659="",K659=""),"",IF(AND(J659&lt;&gt;"",K659&lt;&gt;""),"OK","pendente: só um nome (o GR completa ao converter)"))</f>
      </c>
      <c r="AA659" s="6">
        <f>IF(COUNTA(A659:S659)=0,"",IF(AND(A659&lt;&gt;"",B659&lt;&gt;"",C659&lt;&gt;"",D659&lt;&gt;"",E659&lt;&gt;"",F659&lt;&gt;"",G659&lt;&gt;"",H659&lt;&gt;"",OR(J659&lt;&gt;"",K659&lt;&gt;""),OR(M659&lt;&gt;"",N659&lt;&gt;"",O659&lt;&gt;"")),"OK","ERRO: faltam "&amp;IF(A659="","SDR; ","")&amp;IF(B659="","Proprietário; ","")&amp;IF(C659="","Origem; ","")&amp;IF(D659="","Temperatura; ","")&amp;IF(E659="","Segmento; ","")&amp;IF(F659="","Time/Cluster; ","")&amp;IF(G659="","CNPJ; ","")&amp;IF(H659="","Razão Social; ","")&amp;IF(AND(J659="",K659=""),"nome do contato; ","")&amp;IF(AND(M659="",N659="",O659=""),"telefone, celular ou e-mail; ","")))</f>
      </c>
      <c r="AB659" s="6">
        <f>IF(COUNTA(A659:S659)=0,"",IF(AND(U659="OK",V659="OK",LEFT(W659,4)&lt;&gt;"ERRO",LEFT(X659,4)&lt;&gt;"ERRO",LEFT(Y659,4)&lt;&gt;"ERRO",AA659="OK"),"OK","REVISAR"))</f>
      </c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5"/>
      <c r="K660" s="4"/>
      <c r="L660" s="4"/>
      <c r="M660" s="4"/>
      <c r="N660" s="4"/>
      <c r="O660" s="4"/>
      <c r="P660" s="4"/>
      <c r="Q660" s="4"/>
      <c r="R660" s="4"/>
      <c r="S660" s="4"/>
      <c r="T660" s="6">
        <f>IF(G660="","",SUBSTITUTE(SUBSTITUTE(SUBSTITUTE(SUBSTITUTE(SUBSTITUTE(SUBSTITUTE(SUBSTITUTE(TRIM(G660),".",""),"/",""),"-","")," ",""),"(",""),")",""),"+",""))</f>
      </c>
      <c r="U660" s="6">
        <f>IF(T660="","",IF(LEN(T660)&lt;&gt;14,"ERRO: "&amp;LEN(T660)&amp;" dígitos",IF(NOT(ISNUMBER(VALUE(T660))),"ERRO: não numérico",IF(LEN(SUBSTITUTE(T660,LEFT(T660,1),""))=0,"ERRO: dígitos repetidos",IF(AND(VALUE(MID(T660,13,1))=IF(MOD(SUMPRODUCT(--MID(T660,{1,2,3,4,5,6,7,8,9,10,11,12},1),{5,4,3,2,9,8,7,6,5,4,3,2}),11)&lt;2,0,11-MOD(SUMPRODUCT(--MID(T660,{1,2,3,4,5,6,7,8,9,10,11,12},1),{5,4,3,2,9,8,7,6,5,4,3,2}),11)),VALUE(MID(T660,14,1))=IF(MOD(SUMPRODUCT(--MID(T660,{1,2,3,4,5,6,7,8,9,10,11,12,13},1),{6,5,4,3,2,9,8,7,6,5,4,3,2}),11)&lt;2,0,11-MOD(SUMPRODUCT(--MID(T660,{1,2,3,4,5,6,7,8,9,10,11,12,13},1),{6,5,4,3,2,9,8,7,6,5,4,3,2}),11))),"OK","ERRO: dígito verificador")))))</f>
      </c>
      <c r="V660" s="6">
        <f>IF(T660="","",IF(COUNTIF($T$2:$T$1001,T660)&gt;1,"DUPLICADO","OK"))</f>
      </c>
      <c r="W660" s="6">
        <f>IF(M660="","vazio",IF(OR(AND(LEN(SUBSTITUTE(SUBSTITUTE(SUBSTITUTE(SUBSTITUTE(SUBSTITUTE(SUBSTITUTE(SUBSTITUTE(TRIM(M660),".",""),"/",""),"-","")," ",""),"(",""),")",""),"+",""))=10,LEFT(SUBSTITUTE(SUBSTITUTE(SUBSTITUTE(SUBSTITUTE(SUBSTITUTE(SUBSTITUTE(SUBSTITUTE(TRIM(M660),".",""),"/",""),"-","")," ",""),"(",""),")",""),"+",""),1)&lt;&gt;"0"),AND(LEN(SUBSTITUTE(SUBSTITUTE(SUBSTITUTE(SUBSTITUTE(SUBSTITUTE(SUBSTITUTE(SUBSTITUTE(TRIM(M660),".",""),"/",""),"-","")," ",""),"(",""),")",""),"+",""))=11,LEFT(SUBSTITUTE(SUBSTITUTE(SUBSTITUTE(SUBSTITUTE(SUBSTITUTE(SUBSTITUTE(SUBSTITUTE(TRIM(M660),".",""),"/",""),"-","")," ",""),"(",""),")",""),"+",""),4)="0800")),"OK",IF(AND(LEN(SUBSTITUTE(SUBSTITUTE(SUBSTITUTE(SUBSTITUTE(SUBSTITUTE(SUBSTITUTE(SUBSTITUTE(TRIM(M660),".",""),"/",""),"-","")," ",""),"(",""),")",""),"+",""))=11,MID(SUBSTITUTE(SUBSTITUTE(SUBSTITUTE(SUBSTITUTE(SUBSTITUTE(SUBSTITUTE(SUBSTITUTE(TRIM(M660),".",""),"/",""),"-","")," ",""),"(",""),")",""),"+",""),3,1)="9"),"ERRO: é celular, use a coluna Celular","ERRO: DDD + 8 dígitos ou 0800 + 7")))</f>
      </c>
      <c r="X660" s="6">
        <f>IF(N660="","vazio",IF(AND(LEN(SUBSTITUTE(SUBSTITUTE(SUBSTITUTE(SUBSTITUTE(SUBSTITUTE(SUBSTITUTE(SUBSTITUTE(TRIM(N660),".",""),"/",""),"-","")," ",""),"(",""),")",""),"+",""))=11,MID(SUBSTITUTE(SUBSTITUTE(SUBSTITUTE(SUBSTITUTE(SUBSTITUTE(SUBSTITUTE(SUBSTITUTE(TRIM(N660),".",""),"/",""),"-","")," ",""),"(",""),")",""),"+",""),3,1)="9",LEFT(SUBSTITUTE(SUBSTITUTE(SUBSTITUTE(SUBSTITUTE(SUBSTITUTE(SUBSTITUTE(SUBSTITUTE(TRIM(N660),".",""),"/",""),"-","")," ",""),"(",""),")",""),"+",""),1)&lt;&gt;"0"),"OK",IF(LEN(SUBSTITUTE(SUBSTITUTE(SUBSTITUTE(SUBSTITUTE(SUBSTITUTE(SUBSTITUTE(SUBSTITUTE(TRIM(N660),".",""),"/",""),"-","")," ",""),"(",""),")",""),"+",""))=10,"ERRO: é fixo (ou falta o 9), use a coluna Telefone fixo","ERRO: DDD + 9 + 8 dígitos")))</f>
      </c>
      <c r="Y660" s="6">
        <f>IF(O660="","vazio",IF(AND(ISNUMBER(FIND("@",O660)),ISNUMBER(FIND(".",MID(O660,FIND("@",O660),99))),NOT(ISNUMBER(FIND(" ",TRIM(O660)))),NOT(ISNUMBER(FIND(";",O660))),NOT(ISNUMBER(FIND(",",O660)))),"OK","ERRO: um e-mail válido por linha"))</f>
      </c>
      <c r="Z660" s="6">
        <f>IF(AND(J660="",K660=""),"",IF(AND(J660&lt;&gt;"",K660&lt;&gt;""),"OK","pendente: só um nome (o GR completa ao converter)"))</f>
      </c>
      <c r="AA660" s="6">
        <f>IF(COUNTA(A660:S660)=0,"",IF(AND(A660&lt;&gt;"",B660&lt;&gt;"",C660&lt;&gt;"",D660&lt;&gt;"",E660&lt;&gt;"",F660&lt;&gt;"",G660&lt;&gt;"",H660&lt;&gt;"",OR(J660&lt;&gt;"",K660&lt;&gt;""),OR(M660&lt;&gt;"",N660&lt;&gt;"",O660&lt;&gt;"")),"OK","ERRO: faltam "&amp;IF(A660="","SDR; ","")&amp;IF(B660="","Proprietário; ","")&amp;IF(C660="","Origem; ","")&amp;IF(D660="","Temperatura; ","")&amp;IF(E660="","Segmento; ","")&amp;IF(F660="","Time/Cluster; ","")&amp;IF(G660="","CNPJ; ","")&amp;IF(H660="","Razão Social; ","")&amp;IF(AND(J660="",K660=""),"nome do contato; ","")&amp;IF(AND(M660="",N660="",O660=""),"telefone, celular ou e-mail; ","")))</f>
      </c>
      <c r="AB660" s="6">
        <f>IF(COUNTA(A660:S660)=0,"",IF(AND(U660="OK",V660="OK",LEFT(W660,4)&lt;&gt;"ERRO",LEFT(X660,4)&lt;&gt;"ERRO",LEFT(Y660,4)&lt;&gt;"ERRO",AA660="OK"),"OK","REVISAR"))</f>
      </c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5"/>
      <c r="K661" s="4"/>
      <c r="L661" s="4"/>
      <c r="M661" s="4"/>
      <c r="N661" s="4"/>
      <c r="O661" s="4"/>
      <c r="P661" s="4"/>
      <c r="Q661" s="4"/>
      <c r="R661" s="4"/>
      <c r="S661" s="4"/>
      <c r="T661" s="6">
        <f>IF(G661="","",SUBSTITUTE(SUBSTITUTE(SUBSTITUTE(SUBSTITUTE(SUBSTITUTE(SUBSTITUTE(SUBSTITUTE(TRIM(G661),".",""),"/",""),"-","")," ",""),"(",""),")",""),"+",""))</f>
      </c>
      <c r="U661" s="6">
        <f>IF(T661="","",IF(LEN(T661)&lt;&gt;14,"ERRO: "&amp;LEN(T661)&amp;" dígitos",IF(NOT(ISNUMBER(VALUE(T661))),"ERRO: não numérico",IF(LEN(SUBSTITUTE(T661,LEFT(T661,1),""))=0,"ERRO: dígitos repetidos",IF(AND(VALUE(MID(T661,13,1))=IF(MOD(SUMPRODUCT(--MID(T661,{1,2,3,4,5,6,7,8,9,10,11,12},1),{5,4,3,2,9,8,7,6,5,4,3,2}),11)&lt;2,0,11-MOD(SUMPRODUCT(--MID(T661,{1,2,3,4,5,6,7,8,9,10,11,12},1),{5,4,3,2,9,8,7,6,5,4,3,2}),11)),VALUE(MID(T661,14,1))=IF(MOD(SUMPRODUCT(--MID(T661,{1,2,3,4,5,6,7,8,9,10,11,12,13},1),{6,5,4,3,2,9,8,7,6,5,4,3,2}),11)&lt;2,0,11-MOD(SUMPRODUCT(--MID(T661,{1,2,3,4,5,6,7,8,9,10,11,12,13},1),{6,5,4,3,2,9,8,7,6,5,4,3,2}),11))),"OK","ERRO: dígito verificador")))))</f>
      </c>
      <c r="V661" s="6">
        <f>IF(T661="","",IF(COUNTIF($T$2:$T$1001,T661)&gt;1,"DUPLICADO","OK"))</f>
      </c>
      <c r="W661" s="6">
        <f>IF(M661="","vazio",IF(OR(AND(LEN(SUBSTITUTE(SUBSTITUTE(SUBSTITUTE(SUBSTITUTE(SUBSTITUTE(SUBSTITUTE(SUBSTITUTE(TRIM(M661),".",""),"/",""),"-","")," ",""),"(",""),")",""),"+",""))=10,LEFT(SUBSTITUTE(SUBSTITUTE(SUBSTITUTE(SUBSTITUTE(SUBSTITUTE(SUBSTITUTE(SUBSTITUTE(TRIM(M661),".",""),"/",""),"-","")," ",""),"(",""),")",""),"+",""),1)&lt;&gt;"0"),AND(LEN(SUBSTITUTE(SUBSTITUTE(SUBSTITUTE(SUBSTITUTE(SUBSTITUTE(SUBSTITUTE(SUBSTITUTE(TRIM(M661),".",""),"/",""),"-","")," ",""),"(",""),")",""),"+",""))=11,LEFT(SUBSTITUTE(SUBSTITUTE(SUBSTITUTE(SUBSTITUTE(SUBSTITUTE(SUBSTITUTE(SUBSTITUTE(TRIM(M661),".",""),"/",""),"-","")," ",""),"(",""),")",""),"+",""),4)="0800")),"OK",IF(AND(LEN(SUBSTITUTE(SUBSTITUTE(SUBSTITUTE(SUBSTITUTE(SUBSTITUTE(SUBSTITUTE(SUBSTITUTE(TRIM(M661),".",""),"/",""),"-","")," ",""),"(",""),")",""),"+",""))=11,MID(SUBSTITUTE(SUBSTITUTE(SUBSTITUTE(SUBSTITUTE(SUBSTITUTE(SUBSTITUTE(SUBSTITUTE(TRIM(M661),".",""),"/",""),"-","")," ",""),"(",""),")",""),"+",""),3,1)="9"),"ERRO: é celular, use a coluna Celular","ERRO: DDD + 8 dígitos ou 0800 + 7")))</f>
      </c>
      <c r="X661" s="6">
        <f>IF(N661="","vazio",IF(AND(LEN(SUBSTITUTE(SUBSTITUTE(SUBSTITUTE(SUBSTITUTE(SUBSTITUTE(SUBSTITUTE(SUBSTITUTE(TRIM(N661),".",""),"/",""),"-","")," ",""),"(",""),")",""),"+",""))=11,MID(SUBSTITUTE(SUBSTITUTE(SUBSTITUTE(SUBSTITUTE(SUBSTITUTE(SUBSTITUTE(SUBSTITUTE(TRIM(N661),".",""),"/",""),"-","")," ",""),"(",""),")",""),"+",""),3,1)="9",LEFT(SUBSTITUTE(SUBSTITUTE(SUBSTITUTE(SUBSTITUTE(SUBSTITUTE(SUBSTITUTE(SUBSTITUTE(TRIM(N661),".",""),"/",""),"-","")," ",""),"(",""),")",""),"+",""),1)&lt;&gt;"0"),"OK",IF(LEN(SUBSTITUTE(SUBSTITUTE(SUBSTITUTE(SUBSTITUTE(SUBSTITUTE(SUBSTITUTE(SUBSTITUTE(TRIM(N661),".",""),"/",""),"-","")," ",""),"(",""),")",""),"+",""))=10,"ERRO: é fixo (ou falta o 9), use a coluna Telefone fixo","ERRO: DDD + 9 + 8 dígitos")))</f>
      </c>
      <c r="Y661" s="6">
        <f>IF(O661="","vazio",IF(AND(ISNUMBER(FIND("@",O661)),ISNUMBER(FIND(".",MID(O661,FIND("@",O661),99))),NOT(ISNUMBER(FIND(" ",TRIM(O661)))),NOT(ISNUMBER(FIND(";",O661))),NOT(ISNUMBER(FIND(",",O661)))),"OK","ERRO: um e-mail válido por linha"))</f>
      </c>
      <c r="Z661" s="6">
        <f>IF(AND(J661="",K661=""),"",IF(AND(J661&lt;&gt;"",K661&lt;&gt;""),"OK","pendente: só um nome (o GR completa ao converter)"))</f>
      </c>
      <c r="AA661" s="6">
        <f>IF(COUNTA(A661:S661)=0,"",IF(AND(A661&lt;&gt;"",B661&lt;&gt;"",C661&lt;&gt;"",D661&lt;&gt;"",E661&lt;&gt;"",F661&lt;&gt;"",G661&lt;&gt;"",H661&lt;&gt;"",OR(J661&lt;&gt;"",K661&lt;&gt;""),OR(M661&lt;&gt;"",N661&lt;&gt;"",O661&lt;&gt;"")),"OK","ERRO: faltam "&amp;IF(A661="","SDR; ","")&amp;IF(B661="","Proprietário; ","")&amp;IF(C661="","Origem; ","")&amp;IF(D661="","Temperatura; ","")&amp;IF(E661="","Segmento; ","")&amp;IF(F661="","Time/Cluster; ","")&amp;IF(G661="","CNPJ; ","")&amp;IF(H661="","Razão Social; ","")&amp;IF(AND(J661="",K661=""),"nome do contato; ","")&amp;IF(AND(M661="",N661="",O661=""),"telefone, celular ou e-mail; ","")))</f>
      </c>
      <c r="AB661" s="6">
        <f>IF(COUNTA(A661:S661)=0,"",IF(AND(U661="OK",V661="OK",LEFT(W661,4)&lt;&gt;"ERRO",LEFT(X661,4)&lt;&gt;"ERRO",LEFT(Y661,4)&lt;&gt;"ERRO",AA661="OK"),"OK","REVISAR"))</f>
      </c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5"/>
      <c r="K662" s="4"/>
      <c r="L662" s="4"/>
      <c r="M662" s="4"/>
      <c r="N662" s="4"/>
      <c r="O662" s="4"/>
      <c r="P662" s="4"/>
      <c r="Q662" s="4"/>
      <c r="R662" s="4"/>
      <c r="S662" s="4"/>
      <c r="T662" s="6">
        <f>IF(G662="","",SUBSTITUTE(SUBSTITUTE(SUBSTITUTE(SUBSTITUTE(SUBSTITUTE(SUBSTITUTE(SUBSTITUTE(TRIM(G662),".",""),"/",""),"-","")," ",""),"(",""),")",""),"+",""))</f>
      </c>
      <c r="U662" s="6">
        <f>IF(T662="","",IF(LEN(T662)&lt;&gt;14,"ERRO: "&amp;LEN(T662)&amp;" dígitos",IF(NOT(ISNUMBER(VALUE(T662))),"ERRO: não numérico",IF(LEN(SUBSTITUTE(T662,LEFT(T662,1),""))=0,"ERRO: dígitos repetidos",IF(AND(VALUE(MID(T662,13,1))=IF(MOD(SUMPRODUCT(--MID(T662,{1,2,3,4,5,6,7,8,9,10,11,12},1),{5,4,3,2,9,8,7,6,5,4,3,2}),11)&lt;2,0,11-MOD(SUMPRODUCT(--MID(T662,{1,2,3,4,5,6,7,8,9,10,11,12},1),{5,4,3,2,9,8,7,6,5,4,3,2}),11)),VALUE(MID(T662,14,1))=IF(MOD(SUMPRODUCT(--MID(T662,{1,2,3,4,5,6,7,8,9,10,11,12,13},1),{6,5,4,3,2,9,8,7,6,5,4,3,2}),11)&lt;2,0,11-MOD(SUMPRODUCT(--MID(T662,{1,2,3,4,5,6,7,8,9,10,11,12,13},1),{6,5,4,3,2,9,8,7,6,5,4,3,2}),11))),"OK","ERRO: dígito verificador")))))</f>
      </c>
      <c r="V662" s="6">
        <f>IF(T662="","",IF(COUNTIF($T$2:$T$1001,T662)&gt;1,"DUPLICADO","OK"))</f>
      </c>
      <c r="W662" s="6">
        <f>IF(M662="","vazio",IF(OR(AND(LEN(SUBSTITUTE(SUBSTITUTE(SUBSTITUTE(SUBSTITUTE(SUBSTITUTE(SUBSTITUTE(SUBSTITUTE(TRIM(M662),".",""),"/",""),"-","")," ",""),"(",""),")",""),"+",""))=10,LEFT(SUBSTITUTE(SUBSTITUTE(SUBSTITUTE(SUBSTITUTE(SUBSTITUTE(SUBSTITUTE(SUBSTITUTE(TRIM(M662),".",""),"/",""),"-","")," ",""),"(",""),")",""),"+",""),1)&lt;&gt;"0"),AND(LEN(SUBSTITUTE(SUBSTITUTE(SUBSTITUTE(SUBSTITUTE(SUBSTITUTE(SUBSTITUTE(SUBSTITUTE(TRIM(M662),".",""),"/",""),"-","")," ",""),"(",""),")",""),"+",""))=11,LEFT(SUBSTITUTE(SUBSTITUTE(SUBSTITUTE(SUBSTITUTE(SUBSTITUTE(SUBSTITUTE(SUBSTITUTE(TRIM(M662),".",""),"/",""),"-","")," ",""),"(",""),")",""),"+",""),4)="0800")),"OK",IF(AND(LEN(SUBSTITUTE(SUBSTITUTE(SUBSTITUTE(SUBSTITUTE(SUBSTITUTE(SUBSTITUTE(SUBSTITUTE(TRIM(M662),".",""),"/",""),"-","")," ",""),"(",""),")",""),"+",""))=11,MID(SUBSTITUTE(SUBSTITUTE(SUBSTITUTE(SUBSTITUTE(SUBSTITUTE(SUBSTITUTE(SUBSTITUTE(TRIM(M662),".",""),"/",""),"-","")," ",""),"(",""),")",""),"+",""),3,1)="9"),"ERRO: é celular, use a coluna Celular","ERRO: DDD + 8 dígitos ou 0800 + 7")))</f>
      </c>
      <c r="X662" s="6">
        <f>IF(N662="","vazio",IF(AND(LEN(SUBSTITUTE(SUBSTITUTE(SUBSTITUTE(SUBSTITUTE(SUBSTITUTE(SUBSTITUTE(SUBSTITUTE(TRIM(N662),".",""),"/",""),"-","")," ",""),"(",""),")",""),"+",""))=11,MID(SUBSTITUTE(SUBSTITUTE(SUBSTITUTE(SUBSTITUTE(SUBSTITUTE(SUBSTITUTE(SUBSTITUTE(TRIM(N662),".",""),"/",""),"-","")," ",""),"(",""),")",""),"+",""),3,1)="9",LEFT(SUBSTITUTE(SUBSTITUTE(SUBSTITUTE(SUBSTITUTE(SUBSTITUTE(SUBSTITUTE(SUBSTITUTE(TRIM(N662),".",""),"/",""),"-","")," ",""),"(",""),")",""),"+",""),1)&lt;&gt;"0"),"OK",IF(LEN(SUBSTITUTE(SUBSTITUTE(SUBSTITUTE(SUBSTITUTE(SUBSTITUTE(SUBSTITUTE(SUBSTITUTE(TRIM(N662),".",""),"/",""),"-","")," ",""),"(",""),")",""),"+",""))=10,"ERRO: é fixo (ou falta o 9), use a coluna Telefone fixo","ERRO: DDD + 9 + 8 dígitos")))</f>
      </c>
      <c r="Y662" s="6">
        <f>IF(O662="","vazio",IF(AND(ISNUMBER(FIND("@",O662)),ISNUMBER(FIND(".",MID(O662,FIND("@",O662),99))),NOT(ISNUMBER(FIND(" ",TRIM(O662)))),NOT(ISNUMBER(FIND(";",O662))),NOT(ISNUMBER(FIND(",",O662)))),"OK","ERRO: um e-mail válido por linha"))</f>
      </c>
      <c r="Z662" s="6">
        <f>IF(AND(J662="",K662=""),"",IF(AND(J662&lt;&gt;"",K662&lt;&gt;""),"OK","pendente: só um nome (o GR completa ao converter)"))</f>
      </c>
      <c r="AA662" s="6">
        <f>IF(COUNTA(A662:S662)=0,"",IF(AND(A662&lt;&gt;"",B662&lt;&gt;"",C662&lt;&gt;"",D662&lt;&gt;"",E662&lt;&gt;"",F662&lt;&gt;"",G662&lt;&gt;"",H662&lt;&gt;"",OR(J662&lt;&gt;"",K662&lt;&gt;""),OR(M662&lt;&gt;"",N662&lt;&gt;"",O662&lt;&gt;"")),"OK","ERRO: faltam "&amp;IF(A662="","SDR; ","")&amp;IF(B662="","Proprietário; ","")&amp;IF(C662="","Origem; ","")&amp;IF(D662="","Temperatura; ","")&amp;IF(E662="","Segmento; ","")&amp;IF(F662="","Time/Cluster; ","")&amp;IF(G662="","CNPJ; ","")&amp;IF(H662="","Razão Social; ","")&amp;IF(AND(J662="",K662=""),"nome do contato; ","")&amp;IF(AND(M662="",N662="",O662=""),"telefone, celular ou e-mail; ","")))</f>
      </c>
      <c r="AB662" s="6">
        <f>IF(COUNTA(A662:S662)=0,"",IF(AND(U662="OK",V662="OK",LEFT(W662,4)&lt;&gt;"ERRO",LEFT(X662,4)&lt;&gt;"ERRO",LEFT(Y662,4)&lt;&gt;"ERRO",AA662="OK"),"OK","REVISAR"))</f>
      </c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5"/>
      <c r="K663" s="4"/>
      <c r="L663" s="4"/>
      <c r="M663" s="4"/>
      <c r="N663" s="4"/>
      <c r="O663" s="4"/>
      <c r="P663" s="4"/>
      <c r="Q663" s="4"/>
      <c r="R663" s="4"/>
      <c r="S663" s="4"/>
      <c r="T663" s="6">
        <f>IF(G663="","",SUBSTITUTE(SUBSTITUTE(SUBSTITUTE(SUBSTITUTE(SUBSTITUTE(SUBSTITUTE(SUBSTITUTE(TRIM(G663),".",""),"/",""),"-","")," ",""),"(",""),")",""),"+",""))</f>
      </c>
      <c r="U663" s="6">
        <f>IF(T663="","",IF(LEN(T663)&lt;&gt;14,"ERRO: "&amp;LEN(T663)&amp;" dígitos",IF(NOT(ISNUMBER(VALUE(T663))),"ERRO: não numérico",IF(LEN(SUBSTITUTE(T663,LEFT(T663,1),""))=0,"ERRO: dígitos repetidos",IF(AND(VALUE(MID(T663,13,1))=IF(MOD(SUMPRODUCT(--MID(T663,{1,2,3,4,5,6,7,8,9,10,11,12},1),{5,4,3,2,9,8,7,6,5,4,3,2}),11)&lt;2,0,11-MOD(SUMPRODUCT(--MID(T663,{1,2,3,4,5,6,7,8,9,10,11,12},1),{5,4,3,2,9,8,7,6,5,4,3,2}),11)),VALUE(MID(T663,14,1))=IF(MOD(SUMPRODUCT(--MID(T663,{1,2,3,4,5,6,7,8,9,10,11,12,13},1),{6,5,4,3,2,9,8,7,6,5,4,3,2}),11)&lt;2,0,11-MOD(SUMPRODUCT(--MID(T663,{1,2,3,4,5,6,7,8,9,10,11,12,13},1),{6,5,4,3,2,9,8,7,6,5,4,3,2}),11))),"OK","ERRO: dígito verificador")))))</f>
      </c>
      <c r="V663" s="6">
        <f>IF(T663="","",IF(COUNTIF($T$2:$T$1001,T663)&gt;1,"DUPLICADO","OK"))</f>
      </c>
      <c r="W663" s="6">
        <f>IF(M663="","vazio",IF(OR(AND(LEN(SUBSTITUTE(SUBSTITUTE(SUBSTITUTE(SUBSTITUTE(SUBSTITUTE(SUBSTITUTE(SUBSTITUTE(TRIM(M663),".",""),"/",""),"-","")," ",""),"(",""),")",""),"+",""))=10,LEFT(SUBSTITUTE(SUBSTITUTE(SUBSTITUTE(SUBSTITUTE(SUBSTITUTE(SUBSTITUTE(SUBSTITUTE(TRIM(M663),".",""),"/",""),"-","")," ",""),"(",""),")",""),"+",""),1)&lt;&gt;"0"),AND(LEN(SUBSTITUTE(SUBSTITUTE(SUBSTITUTE(SUBSTITUTE(SUBSTITUTE(SUBSTITUTE(SUBSTITUTE(TRIM(M663),".",""),"/",""),"-","")," ",""),"(",""),")",""),"+",""))=11,LEFT(SUBSTITUTE(SUBSTITUTE(SUBSTITUTE(SUBSTITUTE(SUBSTITUTE(SUBSTITUTE(SUBSTITUTE(TRIM(M663),".",""),"/",""),"-","")," ",""),"(",""),")",""),"+",""),4)="0800")),"OK",IF(AND(LEN(SUBSTITUTE(SUBSTITUTE(SUBSTITUTE(SUBSTITUTE(SUBSTITUTE(SUBSTITUTE(SUBSTITUTE(TRIM(M663),".",""),"/",""),"-","")," ",""),"(",""),")",""),"+",""))=11,MID(SUBSTITUTE(SUBSTITUTE(SUBSTITUTE(SUBSTITUTE(SUBSTITUTE(SUBSTITUTE(SUBSTITUTE(TRIM(M663),".",""),"/",""),"-","")," ",""),"(",""),")",""),"+",""),3,1)="9"),"ERRO: é celular, use a coluna Celular","ERRO: DDD + 8 dígitos ou 0800 + 7")))</f>
      </c>
      <c r="X663" s="6">
        <f>IF(N663="","vazio",IF(AND(LEN(SUBSTITUTE(SUBSTITUTE(SUBSTITUTE(SUBSTITUTE(SUBSTITUTE(SUBSTITUTE(SUBSTITUTE(TRIM(N663),".",""),"/",""),"-","")," ",""),"(",""),")",""),"+",""))=11,MID(SUBSTITUTE(SUBSTITUTE(SUBSTITUTE(SUBSTITUTE(SUBSTITUTE(SUBSTITUTE(SUBSTITUTE(TRIM(N663),".",""),"/",""),"-","")," ",""),"(",""),")",""),"+",""),3,1)="9",LEFT(SUBSTITUTE(SUBSTITUTE(SUBSTITUTE(SUBSTITUTE(SUBSTITUTE(SUBSTITUTE(SUBSTITUTE(TRIM(N663),".",""),"/",""),"-","")," ",""),"(",""),")",""),"+",""),1)&lt;&gt;"0"),"OK",IF(LEN(SUBSTITUTE(SUBSTITUTE(SUBSTITUTE(SUBSTITUTE(SUBSTITUTE(SUBSTITUTE(SUBSTITUTE(TRIM(N663),".",""),"/",""),"-","")," ",""),"(",""),")",""),"+",""))=10,"ERRO: é fixo (ou falta o 9), use a coluna Telefone fixo","ERRO: DDD + 9 + 8 dígitos")))</f>
      </c>
      <c r="Y663" s="6">
        <f>IF(O663="","vazio",IF(AND(ISNUMBER(FIND("@",O663)),ISNUMBER(FIND(".",MID(O663,FIND("@",O663),99))),NOT(ISNUMBER(FIND(" ",TRIM(O663)))),NOT(ISNUMBER(FIND(";",O663))),NOT(ISNUMBER(FIND(",",O663)))),"OK","ERRO: um e-mail válido por linha"))</f>
      </c>
      <c r="Z663" s="6">
        <f>IF(AND(J663="",K663=""),"",IF(AND(J663&lt;&gt;"",K663&lt;&gt;""),"OK","pendente: só um nome (o GR completa ao converter)"))</f>
      </c>
      <c r="AA663" s="6">
        <f>IF(COUNTA(A663:S663)=0,"",IF(AND(A663&lt;&gt;"",B663&lt;&gt;"",C663&lt;&gt;"",D663&lt;&gt;"",E663&lt;&gt;"",F663&lt;&gt;"",G663&lt;&gt;"",H663&lt;&gt;"",OR(J663&lt;&gt;"",K663&lt;&gt;""),OR(M663&lt;&gt;"",N663&lt;&gt;"",O663&lt;&gt;"")),"OK","ERRO: faltam "&amp;IF(A663="","SDR; ","")&amp;IF(B663="","Proprietário; ","")&amp;IF(C663="","Origem; ","")&amp;IF(D663="","Temperatura; ","")&amp;IF(E663="","Segmento; ","")&amp;IF(F663="","Time/Cluster; ","")&amp;IF(G663="","CNPJ; ","")&amp;IF(H663="","Razão Social; ","")&amp;IF(AND(J663="",K663=""),"nome do contato; ","")&amp;IF(AND(M663="",N663="",O663=""),"telefone, celular ou e-mail; ","")))</f>
      </c>
      <c r="AB663" s="6">
        <f>IF(COUNTA(A663:S663)=0,"",IF(AND(U663="OK",V663="OK",LEFT(W663,4)&lt;&gt;"ERRO",LEFT(X663,4)&lt;&gt;"ERRO",LEFT(Y663,4)&lt;&gt;"ERRO",AA663="OK"),"OK","REVISAR"))</f>
      </c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5"/>
      <c r="K664" s="4"/>
      <c r="L664" s="4"/>
      <c r="M664" s="4"/>
      <c r="N664" s="4"/>
      <c r="O664" s="4"/>
      <c r="P664" s="4"/>
      <c r="Q664" s="4"/>
      <c r="R664" s="4"/>
      <c r="S664" s="4"/>
      <c r="T664" s="6">
        <f>IF(G664="","",SUBSTITUTE(SUBSTITUTE(SUBSTITUTE(SUBSTITUTE(SUBSTITUTE(SUBSTITUTE(SUBSTITUTE(TRIM(G664),".",""),"/",""),"-","")," ",""),"(",""),")",""),"+",""))</f>
      </c>
      <c r="U664" s="6">
        <f>IF(T664="","",IF(LEN(T664)&lt;&gt;14,"ERRO: "&amp;LEN(T664)&amp;" dígitos",IF(NOT(ISNUMBER(VALUE(T664))),"ERRO: não numérico",IF(LEN(SUBSTITUTE(T664,LEFT(T664,1),""))=0,"ERRO: dígitos repetidos",IF(AND(VALUE(MID(T664,13,1))=IF(MOD(SUMPRODUCT(--MID(T664,{1,2,3,4,5,6,7,8,9,10,11,12},1),{5,4,3,2,9,8,7,6,5,4,3,2}),11)&lt;2,0,11-MOD(SUMPRODUCT(--MID(T664,{1,2,3,4,5,6,7,8,9,10,11,12},1),{5,4,3,2,9,8,7,6,5,4,3,2}),11)),VALUE(MID(T664,14,1))=IF(MOD(SUMPRODUCT(--MID(T664,{1,2,3,4,5,6,7,8,9,10,11,12,13},1),{6,5,4,3,2,9,8,7,6,5,4,3,2}),11)&lt;2,0,11-MOD(SUMPRODUCT(--MID(T664,{1,2,3,4,5,6,7,8,9,10,11,12,13},1),{6,5,4,3,2,9,8,7,6,5,4,3,2}),11))),"OK","ERRO: dígito verificador")))))</f>
      </c>
      <c r="V664" s="6">
        <f>IF(T664="","",IF(COUNTIF($T$2:$T$1001,T664)&gt;1,"DUPLICADO","OK"))</f>
      </c>
      <c r="W664" s="6">
        <f>IF(M664="","vazio",IF(OR(AND(LEN(SUBSTITUTE(SUBSTITUTE(SUBSTITUTE(SUBSTITUTE(SUBSTITUTE(SUBSTITUTE(SUBSTITUTE(TRIM(M664),".",""),"/",""),"-","")," ",""),"(",""),")",""),"+",""))=10,LEFT(SUBSTITUTE(SUBSTITUTE(SUBSTITUTE(SUBSTITUTE(SUBSTITUTE(SUBSTITUTE(SUBSTITUTE(TRIM(M664),".",""),"/",""),"-","")," ",""),"(",""),")",""),"+",""),1)&lt;&gt;"0"),AND(LEN(SUBSTITUTE(SUBSTITUTE(SUBSTITUTE(SUBSTITUTE(SUBSTITUTE(SUBSTITUTE(SUBSTITUTE(TRIM(M664),".",""),"/",""),"-","")," ",""),"(",""),")",""),"+",""))=11,LEFT(SUBSTITUTE(SUBSTITUTE(SUBSTITUTE(SUBSTITUTE(SUBSTITUTE(SUBSTITUTE(SUBSTITUTE(TRIM(M664),".",""),"/",""),"-","")," ",""),"(",""),")",""),"+",""),4)="0800")),"OK",IF(AND(LEN(SUBSTITUTE(SUBSTITUTE(SUBSTITUTE(SUBSTITUTE(SUBSTITUTE(SUBSTITUTE(SUBSTITUTE(TRIM(M664),".",""),"/",""),"-","")," ",""),"(",""),")",""),"+",""))=11,MID(SUBSTITUTE(SUBSTITUTE(SUBSTITUTE(SUBSTITUTE(SUBSTITUTE(SUBSTITUTE(SUBSTITUTE(TRIM(M664),".",""),"/",""),"-","")," ",""),"(",""),")",""),"+",""),3,1)="9"),"ERRO: é celular, use a coluna Celular","ERRO: DDD + 8 dígitos ou 0800 + 7")))</f>
      </c>
      <c r="X664" s="6">
        <f>IF(N664="","vazio",IF(AND(LEN(SUBSTITUTE(SUBSTITUTE(SUBSTITUTE(SUBSTITUTE(SUBSTITUTE(SUBSTITUTE(SUBSTITUTE(TRIM(N664),".",""),"/",""),"-","")," ",""),"(",""),")",""),"+",""))=11,MID(SUBSTITUTE(SUBSTITUTE(SUBSTITUTE(SUBSTITUTE(SUBSTITUTE(SUBSTITUTE(SUBSTITUTE(TRIM(N664),".",""),"/",""),"-","")," ",""),"(",""),")",""),"+",""),3,1)="9",LEFT(SUBSTITUTE(SUBSTITUTE(SUBSTITUTE(SUBSTITUTE(SUBSTITUTE(SUBSTITUTE(SUBSTITUTE(TRIM(N664),".",""),"/",""),"-","")," ",""),"(",""),")",""),"+",""),1)&lt;&gt;"0"),"OK",IF(LEN(SUBSTITUTE(SUBSTITUTE(SUBSTITUTE(SUBSTITUTE(SUBSTITUTE(SUBSTITUTE(SUBSTITUTE(TRIM(N664),".",""),"/",""),"-","")," ",""),"(",""),")",""),"+",""))=10,"ERRO: é fixo (ou falta o 9), use a coluna Telefone fixo","ERRO: DDD + 9 + 8 dígitos")))</f>
      </c>
      <c r="Y664" s="6">
        <f>IF(O664="","vazio",IF(AND(ISNUMBER(FIND("@",O664)),ISNUMBER(FIND(".",MID(O664,FIND("@",O664),99))),NOT(ISNUMBER(FIND(" ",TRIM(O664)))),NOT(ISNUMBER(FIND(";",O664))),NOT(ISNUMBER(FIND(",",O664)))),"OK","ERRO: um e-mail válido por linha"))</f>
      </c>
      <c r="Z664" s="6">
        <f>IF(AND(J664="",K664=""),"",IF(AND(J664&lt;&gt;"",K664&lt;&gt;""),"OK","pendente: só um nome (o GR completa ao converter)"))</f>
      </c>
      <c r="AA664" s="6">
        <f>IF(COUNTA(A664:S664)=0,"",IF(AND(A664&lt;&gt;"",B664&lt;&gt;"",C664&lt;&gt;"",D664&lt;&gt;"",E664&lt;&gt;"",F664&lt;&gt;"",G664&lt;&gt;"",H664&lt;&gt;"",OR(J664&lt;&gt;"",K664&lt;&gt;""),OR(M664&lt;&gt;"",N664&lt;&gt;"",O664&lt;&gt;"")),"OK","ERRO: faltam "&amp;IF(A664="","SDR; ","")&amp;IF(B664="","Proprietário; ","")&amp;IF(C664="","Origem; ","")&amp;IF(D664="","Temperatura; ","")&amp;IF(E664="","Segmento; ","")&amp;IF(F664="","Time/Cluster; ","")&amp;IF(G664="","CNPJ; ","")&amp;IF(H664="","Razão Social; ","")&amp;IF(AND(J664="",K664=""),"nome do contato; ","")&amp;IF(AND(M664="",N664="",O664=""),"telefone, celular ou e-mail; ","")))</f>
      </c>
      <c r="AB664" s="6">
        <f>IF(COUNTA(A664:S664)=0,"",IF(AND(U664="OK",V664="OK",LEFT(W664,4)&lt;&gt;"ERRO",LEFT(X664,4)&lt;&gt;"ERRO",LEFT(Y664,4)&lt;&gt;"ERRO",AA664="OK"),"OK","REVISAR"))</f>
      </c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5"/>
      <c r="K665" s="4"/>
      <c r="L665" s="4"/>
      <c r="M665" s="4"/>
      <c r="N665" s="4"/>
      <c r="O665" s="4"/>
      <c r="P665" s="4"/>
      <c r="Q665" s="4"/>
      <c r="R665" s="4"/>
      <c r="S665" s="4"/>
      <c r="T665" s="6">
        <f>IF(G665="","",SUBSTITUTE(SUBSTITUTE(SUBSTITUTE(SUBSTITUTE(SUBSTITUTE(SUBSTITUTE(SUBSTITUTE(TRIM(G665),".",""),"/",""),"-","")," ",""),"(",""),")",""),"+",""))</f>
      </c>
      <c r="U665" s="6">
        <f>IF(T665="","",IF(LEN(T665)&lt;&gt;14,"ERRO: "&amp;LEN(T665)&amp;" dígitos",IF(NOT(ISNUMBER(VALUE(T665))),"ERRO: não numérico",IF(LEN(SUBSTITUTE(T665,LEFT(T665,1),""))=0,"ERRO: dígitos repetidos",IF(AND(VALUE(MID(T665,13,1))=IF(MOD(SUMPRODUCT(--MID(T665,{1,2,3,4,5,6,7,8,9,10,11,12},1),{5,4,3,2,9,8,7,6,5,4,3,2}),11)&lt;2,0,11-MOD(SUMPRODUCT(--MID(T665,{1,2,3,4,5,6,7,8,9,10,11,12},1),{5,4,3,2,9,8,7,6,5,4,3,2}),11)),VALUE(MID(T665,14,1))=IF(MOD(SUMPRODUCT(--MID(T665,{1,2,3,4,5,6,7,8,9,10,11,12,13},1),{6,5,4,3,2,9,8,7,6,5,4,3,2}),11)&lt;2,0,11-MOD(SUMPRODUCT(--MID(T665,{1,2,3,4,5,6,7,8,9,10,11,12,13},1),{6,5,4,3,2,9,8,7,6,5,4,3,2}),11))),"OK","ERRO: dígito verificador")))))</f>
      </c>
      <c r="V665" s="6">
        <f>IF(T665="","",IF(COUNTIF($T$2:$T$1001,T665)&gt;1,"DUPLICADO","OK"))</f>
      </c>
      <c r="W665" s="6">
        <f>IF(M665="","vazio",IF(OR(AND(LEN(SUBSTITUTE(SUBSTITUTE(SUBSTITUTE(SUBSTITUTE(SUBSTITUTE(SUBSTITUTE(SUBSTITUTE(TRIM(M665),".",""),"/",""),"-","")," ",""),"(",""),")",""),"+",""))=10,LEFT(SUBSTITUTE(SUBSTITUTE(SUBSTITUTE(SUBSTITUTE(SUBSTITUTE(SUBSTITUTE(SUBSTITUTE(TRIM(M665),".",""),"/",""),"-","")," ",""),"(",""),")",""),"+",""),1)&lt;&gt;"0"),AND(LEN(SUBSTITUTE(SUBSTITUTE(SUBSTITUTE(SUBSTITUTE(SUBSTITUTE(SUBSTITUTE(SUBSTITUTE(TRIM(M665),".",""),"/",""),"-","")," ",""),"(",""),")",""),"+",""))=11,LEFT(SUBSTITUTE(SUBSTITUTE(SUBSTITUTE(SUBSTITUTE(SUBSTITUTE(SUBSTITUTE(SUBSTITUTE(TRIM(M665),".",""),"/",""),"-","")," ",""),"(",""),")",""),"+",""),4)="0800")),"OK",IF(AND(LEN(SUBSTITUTE(SUBSTITUTE(SUBSTITUTE(SUBSTITUTE(SUBSTITUTE(SUBSTITUTE(SUBSTITUTE(TRIM(M665),".",""),"/",""),"-","")," ",""),"(",""),")",""),"+",""))=11,MID(SUBSTITUTE(SUBSTITUTE(SUBSTITUTE(SUBSTITUTE(SUBSTITUTE(SUBSTITUTE(SUBSTITUTE(TRIM(M665),".",""),"/",""),"-","")," ",""),"(",""),")",""),"+",""),3,1)="9"),"ERRO: é celular, use a coluna Celular","ERRO: DDD + 8 dígitos ou 0800 + 7")))</f>
      </c>
      <c r="X665" s="6">
        <f>IF(N665="","vazio",IF(AND(LEN(SUBSTITUTE(SUBSTITUTE(SUBSTITUTE(SUBSTITUTE(SUBSTITUTE(SUBSTITUTE(SUBSTITUTE(TRIM(N665),".",""),"/",""),"-","")," ",""),"(",""),")",""),"+",""))=11,MID(SUBSTITUTE(SUBSTITUTE(SUBSTITUTE(SUBSTITUTE(SUBSTITUTE(SUBSTITUTE(SUBSTITUTE(TRIM(N665),".",""),"/",""),"-","")," ",""),"(",""),")",""),"+",""),3,1)="9",LEFT(SUBSTITUTE(SUBSTITUTE(SUBSTITUTE(SUBSTITUTE(SUBSTITUTE(SUBSTITUTE(SUBSTITUTE(TRIM(N665),".",""),"/",""),"-","")," ",""),"(",""),")",""),"+",""),1)&lt;&gt;"0"),"OK",IF(LEN(SUBSTITUTE(SUBSTITUTE(SUBSTITUTE(SUBSTITUTE(SUBSTITUTE(SUBSTITUTE(SUBSTITUTE(TRIM(N665),".",""),"/",""),"-","")," ",""),"(",""),")",""),"+",""))=10,"ERRO: é fixo (ou falta o 9), use a coluna Telefone fixo","ERRO: DDD + 9 + 8 dígitos")))</f>
      </c>
      <c r="Y665" s="6">
        <f>IF(O665="","vazio",IF(AND(ISNUMBER(FIND("@",O665)),ISNUMBER(FIND(".",MID(O665,FIND("@",O665),99))),NOT(ISNUMBER(FIND(" ",TRIM(O665)))),NOT(ISNUMBER(FIND(";",O665))),NOT(ISNUMBER(FIND(",",O665)))),"OK","ERRO: um e-mail válido por linha"))</f>
      </c>
      <c r="Z665" s="6">
        <f>IF(AND(J665="",K665=""),"",IF(AND(J665&lt;&gt;"",K665&lt;&gt;""),"OK","pendente: só um nome (o GR completa ao converter)"))</f>
      </c>
      <c r="AA665" s="6">
        <f>IF(COUNTA(A665:S665)=0,"",IF(AND(A665&lt;&gt;"",B665&lt;&gt;"",C665&lt;&gt;"",D665&lt;&gt;"",E665&lt;&gt;"",F665&lt;&gt;"",G665&lt;&gt;"",H665&lt;&gt;"",OR(J665&lt;&gt;"",K665&lt;&gt;""),OR(M665&lt;&gt;"",N665&lt;&gt;"",O665&lt;&gt;"")),"OK","ERRO: faltam "&amp;IF(A665="","SDR; ","")&amp;IF(B665="","Proprietário; ","")&amp;IF(C665="","Origem; ","")&amp;IF(D665="","Temperatura; ","")&amp;IF(E665="","Segmento; ","")&amp;IF(F665="","Time/Cluster; ","")&amp;IF(G665="","CNPJ; ","")&amp;IF(H665="","Razão Social; ","")&amp;IF(AND(J665="",K665=""),"nome do contato; ","")&amp;IF(AND(M665="",N665="",O665=""),"telefone, celular ou e-mail; ","")))</f>
      </c>
      <c r="AB665" s="6">
        <f>IF(COUNTA(A665:S665)=0,"",IF(AND(U665="OK",V665="OK",LEFT(W665,4)&lt;&gt;"ERRO",LEFT(X665,4)&lt;&gt;"ERRO",LEFT(Y665,4)&lt;&gt;"ERRO",AA665="OK"),"OK","REVISAR"))</f>
      </c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5"/>
      <c r="K666" s="4"/>
      <c r="L666" s="4"/>
      <c r="M666" s="4"/>
      <c r="N666" s="4"/>
      <c r="O666" s="4"/>
      <c r="P666" s="4"/>
      <c r="Q666" s="4"/>
      <c r="R666" s="4"/>
      <c r="S666" s="4"/>
      <c r="T666" s="6">
        <f>IF(G666="","",SUBSTITUTE(SUBSTITUTE(SUBSTITUTE(SUBSTITUTE(SUBSTITUTE(SUBSTITUTE(SUBSTITUTE(TRIM(G666),".",""),"/",""),"-","")," ",""),"(",""),")",""),"+",""))</f>
      </c>
      <c r="U666" s="6">
        <f>IF(T666="","",IF(LEN(T666)&lt;&gt;14,"ERRO: "&amp;LEN(T666)&amp;" dígitos",IF(NOT(ISNUMBER(VALUE(T666))),"ERRO: não numérico",IF(LEN(SUBSTITUTE(T666,LEFT(T666,1),""))=0,"ERRO: dígitos repetidos",IF(AND(VALUE(MID(T666,13,1))=IF(MOD(SUMPRODUCT(--MID(T666,{1,2,3,4,5,6,7,8,9,10,11,12},1),{5,4,3,2,9,8,7,6,5,4,3,2}),11)&lt;2,0,11-MOD(SUMPRODUCT(--MID(T666,{1,2,3,4,5,6,7,8,9,10,11,12},1),{5,4,3,2,9,8,7,6,5,4,3,2}),11)),VALUE(MID(T666,14,1))=IF(MOD(SUMPRODUCT(--MID(T666,{1,2,3,4,5,6,7,8,9,10,11,12,13},1),{6,5,4,3,2,9,8,7,6,5,4,3,2}),11)&lt;2,0,11-MOD(SUMPRODUCT(--MID(T666,{1,2,3,4,5,6,7,8,9,10,11,12,13},1),{6,5,4,3,2,9,8,7,6,5,4,3,2}),11))),"OK","ERRO: dígito verificador")))))</f>
      </c>
      <c r="V666" s="6">
        <f>IF(T666="","",IF(COUNTIF($T$2:$T$1001,T666)&gt;1,"DUPLICADO","OK"))</f>
      </c>
      <c r="W666" s="6">
        <f>IF(M666="","vazio",IF(OR(AND(LEN(SUBSTITUTE(SUBSTITUTE(SUBSTITUTE(SUBSTITUTE(SUBSTITUTE(SUBSTITUTE(SUBSTITUTE(TRIM(M666),".",""),"/",""),"-","")," ",""),"(",""),")",""),"+",""))=10,LEFT(SUBSTITUTE(SUBSTITUTE(SUBSTITUTE(SUBSTITUTE(SUBSTITUTE(SUBSTITUTE(SUBSTITUTE(TRIM(M666),".",""),"/",""),"-","")," ",""),"(",""),")",""),"+",""),1)&lt;&gt;"0"),AND(LEN(SUBSTITUTE(SUBSTITUTE(SUBSTITUTE(SUBSTITUTE(SUBSTITUTE(SUBSTITUTE(SUBSTITUTE(TRIM(M666),".",""),"/",""),"-","")," ",""),"(",""),")",""),"+",""))=11,LEFT(SUBSTITUTE(SUBSTITUTE(SUBSTITUTE(SUBSTITUTE(SUBSTITUTE(SUBSTITUTE(SUBSTITUTE(TRIM(M666),".",""),"/",""),"-","")," ",""),"(",""),")",""),"+",""),4)="0800")),"OK",IF(AND(LEN(SUBSTITUTE(SUBSTITUTE(SUBSTITUTE(SUBSTITUTE(SUBSTITUTE(SUBSTITUTE(SUBSTITUTE(TRIM(M666),".",""),"/",""),"-","")," ",""),"(",""),")",""),"+",""))=11,MID(SUBSTITUTE(SUBSTITUTE(SUBSTITUTE(SUBSTITUTE(SUBSTITUTE(SUBSTITUTE(SUBSTITUTE(TRIM(M666),".",""),"/",""),"-","")," ",""),"(",""),")",""),"+",""),3,1)="9"),"ERRO: é celular, use a coluna Celular","ERRO: DDD + 8 dígitos ou 0800 + 7")))</f>
      </c>
      <c r="X666" s="6">
        <f>IF(N666="","vazio",IF(AND(LEN(SUBSTITUTE(SUBSTITUTE(SUBSTITUTE(SUBSTITUTE(SUBSTITUTE(SUBSTITUTE(SUBSTITUTE(TRIM(N666),".",""),"/",""),"-","")," ",""),"(",""),")",""),"+",""))=11,MID(SUBSTITUTE(SUBSTITUTE(SUBSTITUTE(SUBSTITUTE(SUBSTITUTE(SUBSTITUTE(SUBSTITUTE(TRIM(N666),".",""),"/",""),"-","")," ",""),"(",""),")",""),"+",""),3,1)="9",LEFT(SUBSTITUTE(SUBSTITUTE(SUBSTITUTE(SUBSTITUTE(SUBSTITUTE(SUBSTITUTE(SUBSTITUTE(TRIM(N666),".",""),"/",""),"-","")," ",""),"(",""),")",""),"+",""),1)&lt;&gt;"0"),"OK",IF(LEN(SUBSTITUTE(SUBSTITUTE(SUBSTITUTE(SUBSTITUTE(SUBSTITUTE(SUBSTITUTE(SUBSTITUTE(TRIM(N666),".",""),"/",""),"-","")," ",""),"(",""),")",""),"+",""))=10,"ERRO: é fixo (ou falta o 9), use a coluna Telefone fixo","ERRO: DDD + 9 + 8 dígitos")))</f>
      </c>
      <c r="Y666" s="6">
        <f>IF(O666="","vazio",IF(AND(ISNUMBER(FIND("@",O666)),ISNUMBER(FIND(".",MID(O666,FIND("@",O666),99))),NOT(ISNUMBER(FIND(" ",TRIM(O666)))),NOT(ISNUMBER(FIND(";",O666))),NOT(ISNUMBER(FIND(",",O666)))),"OK","ERRO: um e-mail válido por linha"))</f>
      </c>
      <c r="Z666" s="6">
        <f>IF(AND(J666="",K666=""),"",IF(AND(J666&lt;&gt;"",K666&lt;&gt;""),"OK","pendente: só um nome (o GR completa ao converter)"))</f>
      </c>
      <c r="AA666" s="6">
        <f>IF(COUNTA(A666:S666)=0,"",IF(AND(A666&lt;&gt;"",B666&lt;&gt;"",C666&lt;&gt;"",D666&lt;&gt;"",E666&lt;&gt;"",F666&lt;&gt;"",G666&lt;&gt;"",H666&lt;&gt;"",OR(J666&lt;&gt;"",K666&lt;&gt;""),OR(M666&lt;&gt;"",N666&lt;&gt;"",O666&lt;&gt;"")),"OK","ERRO: faltam "&amp;IF(A666="","SDR; ","")&amp;IF(B666="","Proprietário; ","")&amp;IF(C666="","Origem; ","")&amp;IF(D666="","Temperatura; ","")&amp;IF(E666="","Segmento; ","")&amp;IF(F666="","Time/Cluster; ","")&amp;IF(G666="","CNPJ; ","")&amp;IF(H666="","Razão Social; ","")&amp;IF(AND(J666="",K666=""),"nome do contato; ","")&amp;IF(AND(M666="",N666="",O666=""),"telefone, celular ou e-mail; ","")))</f>
      </c>
      <c r="AB666" s="6">
        <f>IF(COUNTA(A666:S666)=0,"",IF(AND(U666="OK",V666="OK",LEFT(W666,4)&lt;&gt;"ERRO",LEFT(X666,4)&lt;&gt;"ERRO",LEFT(Y666,4)&lt;&gt;"ERRO",AA666="OK"),"OK","REVISAR"))</f>
      </c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5"/>
      <c r="K667" s="4"/>
      <c r="L667" s="4"/>
      <c r="M667" s="4"/>
      <c r="N667" s="4"/>
      <c r="O667" s="4"/>
      <c r="P667" s="4"/>
      <c r="Q667" s="4"/>
      <c r="R667" s="4"/>
      <c r="S667" s="4"/>
      <c r="T667" s="6">
        <f>IF(G667="","",SUBSTITUTE(SUBSTITUTE(SUBSTITUTE(SUBSTITUTE(SUBSTITUTE(SUBSTITUTE(SUBSTITUTE(TRIM(G667),".",""),"/",""),"-","")," ",""),"(",""),")",""),"+",""))</f>
      </c>
      <c r="U667" s="6">
        <f>IF(T667="","",IF(LEN(T667)&lt;&gt;14,"ERRO: "&amp;LEN(T667)&amp;" dígitos",IF(NOT(ISNUMBER(VALUE(T667))),"ERRO: não numérico",IF(LEN(SUBSTITUTE(T667,LEFT(T667,1),""))=0,"ERRO: dígitos repetidos",IF(AND(VALUE(MID(T667,13,1))=IF(MOD(SUMPRODUCT(--MID(T667,{1,2,3,4,5,6,7,8,9,10,11,12},1),{5,4,3,2,9,8,7,6,5,4,3,2}),11)&lt;2,0,11-MOD(SUMPRODUCT(--MID(T667,{1,2,3,4,5,6,7,8,9,10,11,12},1),{5,4,3,2,9,8,7,6,5,4,3,2}),11)),VALUE(MID(T667,14,1))=IF(MOD(SUMPRODUCT(--MID(T667,{1,2,3,4,5,6,7,8,9,10,11,12,13},1),{6,5,4,3,2,9,8,7,6,5,4,3,2}),11)&lt;2,0,11-MOD(SUMPRODUCT(--MID(T667,{1,2,3,4,5,6,7,8,9,10,11,12,13},1),{6,5,4,3,2,9,8,7,6,5,4,3,2}),11))),"OK","ERRO: dígito verificador")))))</f>
      </c>
      <c r="V667" s="6">
        <f>IF(T667="","",IF(COUNTIF($T$2:$T$1001,T667)&gt;1,"DUPLICADO","OK"))</f>
      </c>
      <c r="W667" s="6">
        <f>IF(M667="","vazio",IF(OR(AND(LEN(SUBSTITUTE(SUBSTITUTE(SUBSTITUTE(SUBSTITUTE(SUBSTITUTE(SUBSTITUTE(SUBSTITUTE(TRIM(M667),".",""),"/",""),"-","")," ",""),"(",""),")",""),"+",""))=10,LEFT(SUBSTITUTE(SUBSTITUTE(SUBSTITUTE(SUBSTITUTE(SUBSTITUTE(SUBSTITUTE(SUBSTITUTE(TRIM(M667),".",""),"/",""),"-","")," ",""),"(",""),")",""),"+",""),1)&lt;&gt;"0"),AND(LEN(SUBSTITUTE(SUBSTITUTE(SUBSTITUTE(SUBSTITUTE(SUBSTITUTE(SUBSTITUTE(SUBSTITUTE(TRIM(M667),".",""),"/",""),"-","")," ",""),"(",""),")",""),"+",""))=11,LEFT(SUBSTITUTE(SUBSTITUTE(SUBSTITUTE(SUBSTITUTE(SUBSTITUTE(SUBSTITUTE(SUBSTITUTE(TRIM(M667),".",""),"/",""),"-","")," ",""),"(",""),")",""),"+",""),4)="0800")),"OK",IF(AND(LEN(SUBSTITUTE(SUBSTITUTE(SUBSTITUTE(SUBSTITUTE(SUBSTITUTE(SUBSTITUTE(SUBSTITUTE(TRIM(M667),".",""),"/",""),"-","")," ",""),"(",""),")",""),"+",""))=11,MID(SUBSTITUTE(SUBSTITUTE(SUBSTITUTE(SUBSTITUTE(SUBSTITUTE(SUBSTITUTE(SUBSTITUTE(TRIM(M667),".",""),"/",""),"-","")," ",""),"(",""),")",""),"+",""),3,1)="9"),"ERRO: é celular, use a coluna Celular","ERRO: DDD + 8 dígitos ou 0800 + 7")))</f>
      </c>
      <c r="X667" s="6">
        <f>IF(N667="","vazio",IF(AND(LEN(SUBSTITUTE(SUBSTITUTE(SUBSTITUTE(SUBSTITUTE(SUBSTITUTE(SUBSTITUTE(SUBSTITUTE(TRIM(N667),".",""),"/",""),"-","")," ",""),"(",""),")",""),"+",""))=11,MID(SUBSTITUTE(SUBSTITUTE(SUBSTITUTE(SUBSTITUTE(SUBSTITUTE(SUBSTITUTE(SUBSTITUTE(TRIM(N667),".",""),"/",""),"-","")," ",""),"(",""),")",""),"+",""),3,1)="9",LEFT(SUBSTITUTE(SUBSTITUTE(SUBSTITUTE(SUBSTITUTE(SUBSTITUTE(SUBSTITUTE(SUBSTITUTE(TRIM(N667),".",""),"/",""),"-","")," ",""),"(",""),")",""),"+",""),1)&lt;&gt;"0"),"OK",IF(LEN(SUBSTITUTE(SUBSTITUTE(SUBSTITUTE(SUBSTITUTE(SUBSTITUTE(SUBSTITUTE(SUBSTITUTE(TRIM(N667),".",""),"/",""),"-","")," ",""),"(",""),")",""),"+",""))=10,"ERRO: é fixo (ou falta o 9), use a coluna Telefone fixo","ERRO: DDD + 9 + 8 dígitos")))</f>
      </c>
      <c r="Y667" s="6">
        <f>IF(O667="","vazio",IF(AND(ISNUMBER(FIND("@",O667)),ISNUMBER(FIND(".",MID(O667,FIND("@",O667),99))),NOT(ISNUMBER(FIND(" ",TRIM(O667)))),NOT(ISNUMBER(FIND(";",O667))),NOT(ISNUMBER(FIND(",",O667)))),"OK","ERRO: um e-mail válido por linha"))</f>
      </c>
      <c r="Z667" s="6">
        <f>IF(AND(J667="",K667=""),"",IF(AND(J667&lt;&gt;"",K667&lt;&gt;""),"OK","pendente: só um nome (o GR completa ao converter)"))</f>
      </c>
      <c r="AA667" s="6">
        <f>IF(COUNTA(A667:S667)=0,"",IF(AND(A667&lt;&gt;"",B667&lt;&gt;"",C667&lt;&gt;"",D667&lt;&gt;"",E667&lt;&gt;"",F667&lt;&gt;"",G667&lt;&gt;"",H667&lt;&gt;"",OR(J667&lt;&gt;"",K667&lt;&gt;""),OR(M667&lt;&gt;"",N667&lt;&gt;"",O667&lt;&gt;"")),"OK","ERRO: faltam "&amp;IF(A667="","SDR; ","")&amp;IF(B667="","Proprietário; ","")&amp;IF(C667="","Origem; ","")&amp;IF(D667="","Temperatura; ","")&amp;IF(E667="","Segmento; ","")&amp;IF(F667="","Time/Cluster; ","")&amp;IF(G667="","CNPJ; ","")&amp;IF(H667="","Razão Social; ","")&amp;IF(AND(J667="",K667=""),"nome do contato; ","")&amp;IF(AND(M667="",N667="",O667=""),"telefone, celular ou e-mail; ","")))</f>
      </c>
      <c r="AB667" s="6">
        <f>IF(COUNTA(A667:S667)=0,"",IF(AND(U667="OK",V667="OK",LEFT(W667,4)&lt;&gt;"ERRO",LEFT(X667,4)&lt;&gt;"ERRO",LEFT(Y667,4)&lt;&gt;"ERRO",AA667="OK"),"OK","REVISAR"))</f>
      </c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5"/>
      <c r="K668" s="4"/>
      <c r="L668" s="4"/>
      <c r="M668" s="4"/>
      <c r="N668" s="4"/>
      <c r="O668" s="4"/>
      <c r="P668" s="4"/>
      <c r="Q668" s="4"/>
      <c r="R668" s="4"/>
      <c r="S668" s="4"/>
      <c r="T668" s="6">
        <f>IF(G668="","",SUBSTITUTE(SUBSTITUTE(SUBSTITUTE(SUBSTITUTE(SUBSTITUTE(SUBSTITUTE(SUBSTITUTE(TRIM(G668),".",""),"/",""),"-","")," ",""),"(",""),")",""),"+",""))</f>
      </c>
      <c r="U668" s="6">
        <f>IF(T668="","",IF(LEN(T668)&lt;&gt;14,"ERRO: "&amp;LEN(T668)&amp;" dígitos",IF(NOT(ISNUMBER(VALUE(T668))),"ERRO: não numérico",IF(LEN(SUBSTITUTE(T668,LEFT(T668,1),""))=0,"ERRO: dígitos repetidos",IF(AND(VALUE(MID(T668,13,1))=IF(MOD(SUMPRODUCT(--MID(T668,{1,2,3,4,5,6,7,8,9,10,11,12},1),{5,4,3,2,9,8,7,6,5,4,3,2}),11)&lt;2,0,11-MOD(SUMPRODUCT(--MID(T668,{1,2,3,4,5,6,7,8,9,10,11,12},1),{5,4,3,2,9,8,7,6,5,4,3,2}),11)),VALUE(MID(T668,14,1))=IF(MOD(SUMPRODUCT(--MID(T668,{1,2,3,4,5,6,7,8,9,10,11,12,13},1),{6,5,4,3,2,9,8,7,6,5,4,3,2}),11)&lt;2,0,11-MOD(SUMPRODUCT(--MID(T668,{1,2,3,4,5,6,7,8,9,10,11,12,13},1),{6,5,4,3,2,9,8,7,6,5,4,3,2}),11))),"OK","ERRO: dígito verificador")))))</f>
      </c>
      <c r="V668" s="6">
        <f>IF(T668="","",IF(COUNTIF($T$2:$T$1001,T668)&gt;1,"DUPLICADO","OK"))</f>
      </c>
      <c r="W668" s="6">
        <f>IF(M668="","vazio",IF(OR(AND(LEN(SUBSTITUTE(SUBSTITUTE(SUBSTITUTE(SUBSTITUTE(SUBSTITUTE(SUBSTITUTE(SUBSTITUTE(TRIM(M668),".",""),"/",""),"-","")," ",""),"(",""),")",""),"+",""))=10,LEFT(SUBSTITUTE(SUBSTITUTE(SUBSTITUTE(SUBSTITUTE(SUBSTITUTE(SUBSTITUTE(SUBSTITUTE(TRIM(M668),".",""),"/",""),"-","")," ",""),"(",""),")",""),"+",""),1)&lt;&gt;"0"),AND(LEN(SUBSTITUTE(SUBSTITUTE(SUBSTITUTE(SUBSTITUTE(SUBSTITUTE(SUBSTITUTE(SUBSTITUTE(TRIM(M668),".",""),"/",""),"-","")," ",""),"(",""),")",""),"+",""))=11,LEFT(SUBSTITUTE(SUBSTITUTE(SUBSTITUTE(SUBSTITUTE(SUBSTITUTE(SUBSTITUTE(SUBSTITUTE(TRIM(M668),".",""),"/",""),"-","")," ",""),"(",""),")",""),"+",""),4)="0800")),"OK",IF(AND(LEN(SUBSTITUTE(SUBSTITUTE(SUBSTITUTE(SUBSTITUTE(SUBSTITUTE(SUBSTITUTE(SUBSTITUTE(TRIM(M668),".",""),"/",""),"-","")," ",""),"(",""),")",""),"+",""))=11,MID(SUBSTITUTE(SUBSTITUTE(SUBSTITUTE(SUBSTITUTE(SUBSTITUTE(SUBSTITUTE(SUBSTITUTE(TRIM(M668),".",""),"/",""),"-","")," ",""),"(",""),")",""),"+",""),3,1)="9"),"ERRO: é celular, use a coluna Celular","ERRO: DDD + 8 dígitos ou 0800 + 7")))</f>
      </c>
      <c r="X668" s="6">
        <f>IF(N668="","vazio",IF(AND(LEN(SUBSTITUTE(SUBSTITUTE(SUBSTITUTE(SUBSTITUTE(SUBSTITUTE(SUBSTITUTE(SUBSTITUTE(TRIM(N668),".",""),"/",""),"-","")," ",""),"(",""),")",""),"+",""))=11,MID(SUBSTITUTE(SUBSTITUTE(SUBSTITUTE(SUBSTITUTE(SUBSTITUTE(SUBSTITUTE(SUBSTITUTE(TRIM(N668),".",""),"/",""),"-","")," ",""),"(",""),")",""),"+",""),3,1)="9",LEFT(SUBSTITUTE(SUBSTITUTE(SUBSTITUTE(SUBSTITUTE(SUBSTITUTE(SUBSTITUTE(SUBSTITUTE(TRIM(N668),".",""),"/",""),"-","")," ",""),"(",""),")",""),"+",""),1)&lt;&gt;"0"),"OK",IF(LEN(SUBSTITUTE(SUBSTITUTE(SUBSTITUTE(SUBSTITUTE(SUBSTITUTE(SUBSTITUTE(SUBSTITUTE(TRIM(N668),".",""),"/",""),"-","")," ",""),"(",""),")",""),"+",""))=10,"ERRO: é fixo (ou falta o 9), use a coluna Telefone fixo","ERRO: DDD + 9 + 8 dígitos")))</f>
      </c>
      <c r="Y668" s="6">
        <f>IF(O668="","vazio",IF(AND(ISNUMBER(FIND("@",O668)),ISNUMBER(FIND(".",MID(O668,FIND("@",O668),99))),NOT(ISNUMBER(FIND(" ",TRIM(O668)))),NOT(ISNUMBER(FIND(";",O668))),NOT(ISNUMBER(FIND(",",O668)))),"OK","ERRO: um e-mail válido por linha"))</f>
      </c>
      <c r="Z668" s="6">
        <f>IF(AND(J668="",K668=""),"",IF(AND(J668&lt;&gt;"",K668&lt;&gt;""),"OK","pendente: só um nome (o GR completa ao converter)"))</f>
      </c>
      <c r="AA668" s="6">
        <f>IF(COUNTA(A668:S668)=0,"",IF(AND(A668&lt;&gt;"",B668&lt;&gt;"",C668&lt;&gt;"",D668&lt;&gt;"",E668&lt;&gt;"",F668&lt;&gt;"",G668&lt;&gt;"",H668&lt;&gt;"",OR(J668&lt;&gt;"",K668&lt;&gt;""),OR(M668&lt;&gt;"",N668&lt;&gt;"",O668&lt;&gt;"")),"OK","ERRO: faltam "&amp;IF(A668="","SDR; ","")&amp;IF(B668="","Proprietário; ","")&amp;IF(C668="","Origem; ","")&amp;IF(D668="","Temperatura; ","")&amp;IF(E668="","Segmento; ","")&amp;IF(F668="","Time/Cluster; ","")&amp;IF(G668="","CNPJ; ","")&amp;IF(H668="","Razão Social; ","")&amp;IF(AND(J668="",K668=""),"nome do contato; ","")&amp;IF(AND(M668="",N668="",O668=""),"telefone, celular ou e-mail; ","")))</f>
      </c>
      <c r="AB668" s="6">
        <f>IF(COUNTA(A668:S668)=0,"",IF(AND(U668="OK",V668="OK",LEFT(W668,4)&lt;&gt;"ERRO",LEFT(X668,4)&lt;&gt;"ERRO",LEFT(Y668,4)&lt;&gt;"ERRO",AA668="OK"),"OK","REVISAR"))</f>
      </c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5"/>
      <c r="K669" s="4"/>
      <c r="L669" s="4"/>
      <c r="M669" s="4"/>
      <c r="N669" s="4"/>
      <c r="O669" s="4"/>
      <c r="P669" s="4"/>
      <c r="Q669" s="4"/>
      <c r="R669" s="4"/>
      <c r="S669" s="4"/>
      <c r="T669" s="6">
        <f>IF(G669="","",SUBSTITUTE(SUBSTITUTE(SUBSTITUTE(SUBSTITUTE(SUBSTITUTE(SUBSTITUTE(SUBSTITUTE(TRIM(G669),".",""),"/",""),"-","")," ",""),"(",""),")",""),"+",""))</f>
      </c>
      <c r="U669" s="6">
        <f>IF(T669="","",IF(LEN(T669)&lt;&gt;14,"ERRO: "&amp;LEN(T669)&amp;" dígitos",IF(NOT(ISNUMBER(VALUE(T669))),"ERRO: não numérico",IF(LEN(SUBSTITUTE(T669,LEFT(T669,1),""))=0,"ERRO: dígitos repetidos",IF(AND(VALUE(MID(T669,13,1))=IF(MOD(SUMPRODUCT(--MID(T669,{1,2,3,4,5,6,7,8,9,10,11,12},1),{5,4,3,2,9,8,7,6,5,4,3,2}),11)&lt;2,0,11-MOD(SUMPRODUCT(--MID(T669,{1,2,3,4,5,6,7,8,9,10,11,12},1),{5,4,3,2,9,8,7,6,5,4,3,2}),11)),VALUE(MID(T669,14,1))=IF(MOD(SUMPRODUCT(--MID(T669,{1,2,3,4,5,6,7,8,9,10,11,12,13},1),{6,5,4,3,2,9,8,7,6,5,4,3,2}),11)&lt;2,0,11-MOD(SUMPRODUCT(--MID(T669,{1,2,3,4,5,6,7,8,9,10,11,12,13},1),{6,5,4,3,2,9,8,7,6,5,4,3,2}),11))),"OK","ERRO: dígito verificador")))))</f>
      </c>
      <c r="V669" s="6">
        <f>IF(T669="","",IF(COUNTIF($T$2:$T$1001,T669)&gt;1,"DUPLICADO","OK"))</f>
      </c>
      <c r="W669" s="6">
        <f>IF(M669="","vazio",IF(OR(AND(LEN(SUBSTITUTE(SUBSTITUTE(SUBSTITUTE(SUBSTITUTE(SUBSTITUTE(SUBSTITUTE(SUBSTITUTE(TRIM(M669),".",""),"/",""),"-","")," ",""),"(",""),")",""),"+",""))=10,LEFT(SUBSTITUTE(SUBSTITUTE(SUBSTITUTE(SUBSTITUTE(SUBSTITUTE(SUBSTITUTE(SUBSTITUTE(TRIM(M669),".",""),"/",""),"-","")," ",""),"(",""),")",""),"+",""),1)&lt;&gt;"0"),AND(LEN(SUBSTITUTE(SUBSTITUTE(SUBSTITUTE(SUBSTITUTE(SUBSTITUTE(SUBSTITUTE(SUBSTITUTE(TRIM(M669),".",""),"/",""),"-","")," ",""),"(",""),")",""),"+",""))=11,LEFT(SUBSTITUTE(SUBSTITUTE(SUBSTITUTE(SUBSTITUTE(SUBSTITUTE(SUBSTITUTE(SUBSTITUTE(TRIM(M669),".",""),"/",""),"-","")," ",""),"(",""),")",""),"+",""),4)="0800")),"OK",IF(AND(LEN(SUBSTITUTE(SUBSTITUTE(SUBSTITUTE(SUBSTITUTE(SUBSTITUTE(SUBSTITUTE(SUBSTITUTE(TRIM(M669),".",""),"/",""),"-","")," ",""),"(",""),")",""),"+",""))=11,MID(SUBSTITUTE(SUBSTITUTE(SUBSTITUTE(SUBSTITUTE(SUBSTITUTE(SUBSTITUTE(SUBSTITUTE(TRIM(M669),".",""),"/",""),"-","")," ",""),"(",""),")",""),"+",""),3,1)="9"),"ERRO: é celular, use a coluna Celular","ERRO: DDD + 8 dígitos ou 0800 + 7")))</f>
      </c>
      <c r="X669" s="6">
        <f>IF(N669="","vazio",IF(AND(LEN(SUBSTITUTE(SUBSTITUTE(SUBSTITUTE(SUBSTITUTE(SUBSTITUTE(SUBSTITUTE(SUBSTITUTE(TRIM(N669),".",""),"/",""),"-","")," ",""),"(",""),")",""),"+",""))=11,MID(SUBSTITUTE(SUBSTITUTE(SUBSTITUTE(SUBSTITUTE(SUBSTITUTE(SUBSTITUTE(SUBSTITUTE(TRIM(N669),".",""),"/",""),"-","")," ",""),"(",""),")",""),"+",""),3,1)="9",LEFT(SUBSTITUTE(SUBSTITUTE(SUBSTITUTE(SUBSTITUTE(SUBSTITUTE(SUBSTITUTE(SUBSTITUTE(TRIM(N669),".",""),"/",""),"-","")," ",""),"(",""),")",""),"+",""),1)&lt;&gt;"0"),"OK",IF(LEN(SUBSTITUTE(SUBSTITUTE(SUBSTITUTE(SUBSTITUTE(SUBSTITUTE(SUBSTITUTE(SUBSTITUTE(TRIM(N669),".",""),"/",""),"-","")," ",""),"(",""),")",""),"+",""))=10,"ERRO: é fixo (ou falta o 9), use a coluna Telefone fixo","ERRO: DDD + 9 + 8 dígitos")))</f>
      </c>
      <c r="Y669" s="6">
        <f>IF(O669="","vazio",IF(AND(ISNUMBER(FIND("@",O669)),ISNUMBER(FIND(".",MID(O669,FIND("@",O669),99))),NOT(ISNUMBER(FIND(" ",TRIM(O669)))),NOT(ISNUMBER(FIND(";",O669))),NOT(ISNUMBER(FIND(",",O669)))),"OK","ERRO: um e-mail válido por linha"))</f>
      </c>
      <c r="Z669" s="6">
        <f>IF(AND(J669="",K669=""),"",IF(AND(J669&lt;&gt;"",K669&lt;&gt;""),"OK","pendente: só um nome (o GR completa ao converter)"))</f>
      </c>
      <c r="AA669" s="6">
        <f>IF(COUNTA(A669:S669)=0,"",IF(AND(A669&lt;&gt;"",B669&lt;&gt;"",C669&lt;&gt;"",D669&lt;&gt;"",E669&lt;&gt;"",F669&lt;&gt;"",G669&lt;&gt;"",H669&lt;&gt;"",OR(J669&lt;&gt;"",K669&lt;&gt;""),OR(M669&lt;&gt;"",N669&lt;&gt;"",O669&lt;&gt;"")),"OK","ERRO: faltam "&amp;IF(A669="","SDR; ","")&amp;IF(B669="","Proprietário; ","")&amp;IF(C669="","Origem; ","")&amp;IF(D669="","Temperatura; ","")&amp;IF(E669="","Segmento; ","")&amp;IF(F669="","Time/Cluster; ","")&amp;IF(G669="","CNPJ; ","")&amp;IF(H669="","Razão Social; ","")&amp;IF(AND(J669="",K669=""),"nome do contato; ","")&amp;IF(AND(M669="",N669="",O669=""),"telefone, celular ou e-mail; ","")))</f>
      </c>
      <c r="AB669" s="6">
        <f>IF(COUNTA(A669:S669)=0,"",IF(AND(U669="OK",V669="OK",LEFT(W669,4)&lt;&gt;"ERRO",LEFT(X669,4)&lt;&gt;"ERRO",LEFT(Y669,4)&lt;&gt;"ERRO",AA669="OK"),"OK","REVISAR"))</f>
      </c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5"/>
      <c r="K670" s="4"/>
      <c r="L670" s="4"/>
      <c r="M670" s="4"/>
      <c r="N670" s="4"/>
      <c r="O670" s="4"/>
      <c r="P670" s="4"/>
      <c r="Q670" s="4"/>
      <c r="R670" s="4"/>
      <c r="S670" s="4"/>
      <c r="T670" s="6">
        <f>IF(G670="","",SUBSTITUTE(SUBSTITUTE(SUBSTITUTE(SUBSTITUTE(SUBSTITUTE(SUBSTITUTE(SUBSTITUTE(TRIM(G670),".",""),"/",""),"-","")," ",""),"(",""),")",""),"+",""))</f>
      </c>
      <c r="U670" s="6">
        <f>IF(T670="","",IF(LEN(T670)&lt;&gt;14,"ERRO: "&amp;LEN(T670)&amp;" dígitos",IF(NOT(ISNUMBER(VALUE(T670))),"ERRO: não numérico",IF(LEN(SUBSTITUTE(T670,LEFT(T670,1),""))=0,"ERRO: dígitos repetidos",IF(AND(VALUE(MID(T670,13,1))=IF(MOD(SUMPRODUCT(--MID(T670,{1,2,3,4,5,6,7,8,9,10,11,12},1),{5,4,3,2,9,8,7,6,5,4,3,2}),11)&lt;2,0,11-MOD(SUMPRODUCT(--MID(T670,{1,2,3,4,5,6,7,8,9,10,11,12},1),{5,4,3,2,9,8,7,6,5,4,3,2}),11)),VALUE(MID(T670,14,1))=IF(MOD(SUMPRODUCT(--MID(T670,{1,2,3,4,5,6,7,8,9,10,11,12,13},1),{6,5,4,3,2,9,8,7,6,5,4,3,2}),11)&lt;2,0,11-MOD(SUMPRODUCT(--MID(T670,{1,2,3,4,5,6,7,8,9,10,11,12,13},1),{6,5,4,3,2,9,8,7,6,5,4,3,2}),11))),"OK","ERRO: dígito verificador")))))</f>
      </c>
      <c r="V670" s="6">
        <f>IF(T670="","",IF(COUNTIF($T$2:$T$1001,T670)&gt;1,"DUPLICADO","OK"))</f>
      </c>
      <c r="W670" s="6">
        <f>IF(M670="","vazio",IF(OR(AND(LEN(SUBSTITUTE(SUBSTITUTE(SUBSTITUTE(SUBSTITUTE(SUBSTITUTE(SUBSTITUTE(SUBSTITUTE(TRIM(M670),".",""),"/",""),"-","")," ",""),"(",""),")",""),"+",""))=10,LEFT(SUBSTITUTE(SUBSTITUTE(SUBSTITUTE(SUBSTITUTE(SUBSTITUTE(SUBSTITUTE(SUBSTITUTE(TRIM(M670),".",""),"/",""),"-","")," ",""),"(",""),")",""),"+",""),1)&lt;&gt;"0"),AND(LEN(SUBSTITUTE(SUBSTITUTE(SUBSTITUTE(SUBSTITUTE(SUBSTITUTE(SUBSTITUTE(SUBSTITUTE(TRIM(M670),".",""),"/",""),"-","")," ",""),"(",""),")",""),"+",""))=11,LEFT(SUBSTITUTE(SUBSTITUTE(SUBSTITUTE(SUBSTITUTE(SUBSTITUTE(SUBSTITUTE(SUBSTITUTE(TRIM(M670),".",""),"/",""),"-","")," ",""),"(",""),")",""),"+",""),4)="0800")),"OK",IF(AND(LEN(SUBSTITUTE(SUBSTITUTE(SUBSTITUTE(SUBSTITUTE(SUBSTITUTE(SUBSTITUTE(SUBSTITUTE(TRIM(M670),".",""),"/",""),"-","")," ",""),"(",""),")",""),"+",""))=11,MID(SUBSTITUTE(SUBSTITUTE(SUBSTITUTE(SUBSTITUTE(SUBSTITUTE(SUBSTITUTE(SUBSTITUTE(TRIM(M670),".",""),"/",""),"-","")," ",""),"(",""),")",""),"+",""),3,1)="9"),"ERRO: é celular, use a coluna Celular","ERRO: DDD + 8 dígitos ou 0800 + 7")))</f>
      </c>
      <c r="X670" s="6">
        <f>IF(N670="","vazio",IF(AND(LEN(SUBSTITUTE(SUBSTITUTE(SUBSTITUTE(SUBSTITUTE(SUBSTITUTE(SUBSTITUTE(SUBSTITUTE(TRIM(N670),".",""),"/",""),"-","")," ",""),"(",""),")",""),"+",""))=11,MID(SUBSTITUTE(SUBSTITUTE(SUBSTITUTE(SUBSTITUTE(SUBSTITUTE(SUBSTITUTE(SUBSTITUTE(TRIM(N670),".",""),"/",""),"-","")," ",""),"(",""),")",""),"+",""),3,1)="9",LEFT(SUBSTITUTE(SUBSTITUTE(SUBSTITUTE(SUBSTITUTE(SUBSTITUTE(SUBSTITUTE(SUBSTITUTE(TRIM(N670),".",""),"/",""),"-","")," ",""),"(",""),")",""),"+",""),1)&lt;&gt;"0"),"OK",IF(LEN(SUBSTITUTE(SUBSTITUTE(SUBSTITUTE(SUBSTITUTE(SUBSTITUTE(SUBSTITUTE(SUBSTITUTE(TRIM(N670),".",""),"/",""),"-","")," ",""),"(",""),")",""),"+",""))=10,"ERRO: é fixo (ou falta o 9), use a coluna Telefone fixo","ERRO: DDD + 9 + 8 dígitos")))</f>
      </c>
      <c r="Y670" s="6">
        <f>IF(O670="","vazio",IF(AND(ISNUMBER(FIND("@",O670)),ISNUMBER(FIND(".",MID(O670,FIND("@",O670),99))),NOT(ISNUMBER(FIND(" ",TRIM(O670)))),NOT(ISNUMBER(FIND(";",O670))),NOT(ISNUMBER(FIND(",",O670)))),"OK","ERRO: um e-mail válido por linha"))</f>
      </c>
      <c r="Z670" s="6">
        <f>IF(AND(J670="",K670=""),"",IF(AND(J670&lt;&gt;"",K670&lt;&gt;""),"OK","pendente: só um nome (o GR completa ao converter)"))</f>
      </c>
      <c r="AA670" s="6">
        <f>IF(COUNTA(A670:S670)=0,"",IF(AND(A670&lt;&gt;"",B670&lt;&gt;"",C670&lt;&gt;"",D670&lt;&gt;"",E670&lt;&gt;"",F670&lt;&gt;"",G670&lt;&gt;"",H670&lt;&gt;"",OR(J670&lt;&gt;"",K670&lt;&gt;""),OR(M670&lt;&gt;"",N670&lt;&gt;"",O670&lt;&gt;"")),"OK","ERRO: faltam "&amp;IF(A670="","SDR; ","")&amp;IF(B670="","Proprietário; ","")&amp;IF(C670="","Origem; ","")&amp;IF(D670="","Temperatura; ","")&amp;IF(E670="","Segmento; ","")&amp;IF(F670="","Time/Cluster; ","")&amp;IF(G670="","CNPJ; ","")&amp;IF(H670="","Razão Social; ","")&amp;IF(AND(J670="",K670=""),"nome do contato; ","")&amp;IF(AND(M670="",N670="",O670=""),"telefone, celular ou e-mail; ","")))</f>
      </c>
      <c r="AB670" s="6">
        <f>IF(COUNTA(A670:S670)=0,"",IF(AND(U670="OK",V670="OK",LEFT(W670,4)&lt;&gt;"ERRO",LEFT(X670,4)&lt;&gt;"ERRO",LEFT(Y670,4)&lt;&gt;"ERRO",AA670="OK"),"OK","REVISAR"))</f>
      </c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5"/>
      <c r="K671" s="4"/>
      <c r="L671" s="4"/>
      <c r="M671" s="4"/>
      <c r="N671" s="4"/>
      <c r="O671" s="4"/>
      <c r="P671" s="4"/>
      <c r="Q671" s="4"/>
      <c r="R671" s="4"/>
      <c r="S671" s="4"/>
      <c r="T671" s="6">
        <f>IF(G671="","",SUBSTITUTE(SUBSTITUTE(SUBSTITUTE(SUBSTITUTE(SUBSTITUTE(SUBSTITUTE(SUBSTITUTE(TRIM(G671),".",""),"/",""),"-","")," ",""),"(",""),")",""),"+",""))</f>
      </c>
      <c r="U671" s="6">
        <f>IF(T671="","",IF(LEN(T671)&lt;&gt;14,"ERRO: "&amp;LEN(T671)&amp;" dígitos",IF(NOT(ISNUMBER(VALUE(T671))),"ERRO: não numérico",IF(LEN(SUBSTITUTE(T671,LEFT(T671,1),""))=0,"ERRO: dígitos repetidos",IF(AND(VALUE(MID(T671,13,1))=IF(MOD(SUMPRODUCT(--MID(T671,{1,2,3,4,5,6,7,8,9,10,11,12},1),{5,4,3,2,9,8,7,6,5,4,3,2}),11)&lt;2,0,11-MOD(SUMPRODUCT(--MID(T671,{1,2,3,4,5,6,7,8,9,10,11,12},1),{5,4,3,2,9,8,7,6,5,4,3,2}),11)),VALUE(MID(T671,14,1))=IF(MOD(SUMPRODUCT(--MID(T671,{1,2,3,4,5,6,7,8,9,10,11,12,13},1),{6,5,4,3,2,9,8,7,6,5,4,3,2}),11)&lt;2,0,11-MOD(SUMPRODUCT(--MID(T671,{1,2,3,4,5,6,7,8,9,10,11,12,13},1),{6,5,4,3,2,9,8,7,6,5,4,3,2}),11))),"OK","ERRO: dígito verificador")))))</f>
      </c>
      <c r="V671" s="6">
        <f>IF(T671="","",IF(COUNTIF($T$2:$T$1001,T671)&gt;1,"DUPLICADO","OK"))</f>
      </c>
      <c r="W671" s="6">
        <f>IF(M671="","vazio",IF(OR(AND(LEN(SUBSTITUTE(SUBSTITUTE(SUBSTITUTE(SUBSTITUTE(SUBSTITUTE(SUBSTITUTE(SUBSTITUTE(TRIM(M671),".",""),"/",""),"-","")," ",""),"(",""),")",""),"+",""))=10,LEFT(SUBSTITUTE(SUBSTITUTE(SUBSTITUTE(SUBSTITUTE(SUBSTITUTE(SUBSTITUTE(SUBSTITUTE(TRIM(M671),".",""),"/",""),"-","")," ",""),"(",""),")",""),"+",""),1)&lt;&gt;"0"),AND(LEN(SUBSTITUTE(SUBSTITUTE(SUBSTITUTE(SUBSTITUTE(SUBSTITUTE(SUBSTITUTE(SUBSTITUTE(TRIM(M671),".",""),"/",""),"-","")," ",""),"(",""),")",""),"+",""))=11,LEFT(SUBSTITUTE(SUBSTITUTE(SUBSTITUTE(SUBSTITUTE(SUBSTITUTE(SUBSTITUTE(SUBSTITUTE(TRIM(M671),".",""),"/",""),"-","")," ",""),"(",""),")",""),"+",""),4)="0800")),"OK",IF(AND(LEN(SUBSTITUTE(SUBSTITUTE(SUBSTITUTE(SUBSTITUTE(SUBSTITUTE(SUBSTITUTE(SUBSTITUTE(TRIM(M671),".",""),"/",""),"-","")," ",""),"(",""),")",""),"+",""))=11,MID(SUBSTITUTE(SUBSTITUTE(SUBSTITUTE(SUBSTITUTE(SUBSTITUTE(SUBSTITUTE(SUBSTITUTE(TRIM(M671),".",""),"/",""),"-","")," ",""),"(",""),")",""),"+",""),3,1)="9"),"ERRO: é celular, use a coluna Celular","ERRO: DDD + 8 dígitos ou 0800 + 7")))</f>
      </c>
      <c r="X671" s="6">
        <f>IF(N671="","vazio",IF(AND(LEN(SUBSTITUTE(SUBSTITUTE(SUBSTITUTE(SUBSTITUTE(SUBSTITUTE(SUBSTITUTE(SUBSTITUTE(TRIM(N671),".",""),"/",""),"-","")," ",""),"(",""),")",""),"+",""))=11,MID(SUBSTITUTE(SUBSTITUTE(SUBSTITUTE(SUBSTITUTE(SUBSTITUTE(SUBSTITUTE(SUBSTITUTE(TRIM(N671),".",""),"/",""),"-","")," ",""),"(",""),")",""),"+",""),3,1)="9",LEFT(SUBSTITUTE(SUBSTITUTE(SUBSTITUTE(SUBSTITUTE(SUBSTITUTE(SUBSTITUTE(SUBSTITUTE(TRIM(N671),".",""),"/",""),"-","")," ",""),"(",""),")",""),"+",""),1)&lt;&gt;"0"),"OK",IF(LEN(SUBSTITUTE(SUBSTITUTE(SUBSTITUTE(SUBSTITUTE(SUBSTITUTE(SUBSTITUTE(SUBSTITUTE(TRIM(N671),".",""),"/",""),"-","")," ",""),"(",""),")",""),"+",""))=10,"ERRO: é fixo (ou falta o 9), use a coluna Telefone fixo","ERRO: DDD + 9 + 8 dígitos")))</f>
      </c>
      <c r="Y671" s="6">
        <f>IF(O671="","vazio",IF(AND(ISNUMBER(FIND("@",O671)),ISNUMBER(FIND(".",MID(O671,FIND("@",O671),99))),NOT(ISNUMBER(FIND(" ",TRIM(O671)))),NOT(ISNUMBER(FIND(";",O671))),NOT(ISNUMBER(FIND(",",O671)))),"OK","ERRO: um e-mail válido por linha"))</f>
      </c>
      <c r="Z671" s="6">
        <f>IF(AND(J671="",K671=""),"",IF(AND(J671&lt;&gt;"",K671&lt;&gt;""),"OK","pendente: só um nome (o GR completa ao converter)"))</f>
      </c>
      <c r="AA671" s="6">
        <f>IF(COUNTA(A671:S671)=0,"",IF(AND(A671&lt;&gt;"",B671&lt;&gt;"",C671&lt;&gt;"",D671&lt;&gt;"",E671&lt;&gt;"",F671&lt;&gt;"",G671&lt;&gt;"",H671&lt;&gt;"",OR(J671&lt;&gt;"",K671&lt;&gt;""),OR(M671&lt;&gt;"",N671&lt;&gt;"",O671&lt;&gt;"")),"OK","ERRO: faltam "&amp;IF(A671="","SDR; ","")&amp;IF(B671="","Proprietário; ","")&amp;IF(C671="","Origem; ","")&amp;IF(D671="","Temperatura; ","")&amp;IF(E671="","Segmento; ","")&amp;IF(F671="","Time/Cluster; ","")&amp;IF(G671="","CNPJ; ","")&amp;IF(H671="","Razão Social; ","")&amp;IF(AND(J671="",K671=""),"nome do contato; ","")&amp;IF(AND(M671="",N671="",O671=""),"telefone, celular ou e-mail; ","")))</f>
      </c>
      <c r="AB671" s="6">
        <f>IF(COUNTA(A671:S671)=0,"",IF(AND(U671="OK",V671="OK",LEFT(W671,4)&lt;&gt;"ERRO",LEFT(X671,4)&lt;&gt;"ERRO",LEFT(Y671,4)&lt;&gt;"ERRO",AA671="OK"),"OK","REVISAR"))</f>
      </c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5"/>
      <c r="K672" s="4"/>
      <c r="L672" s="4"/>
      <c r="M672" s="4"/>
      <c r="N672" s="4"/>
      <c r="O672" s="4"/>
      <c r="P672" s="4"/>
      <c r="Q672" s="4"/>
      <c r="R672" s="4"/>
      <c r="S672" s="4"/>
      <c r="T672" s="6">
        <f>IF(G672="","",SUBSTITUTE(SUBSTITUTE(SUBSTITUTE(SUBSTITUTE(SUBSTITUTE(SUBSTITUTE(SUBSTITUTE(TRIM(G672),".",""),"/",""),"-","")," ",""),"(",""),")",""),"+",""))</f>
      </c>
      <c r="U672" s="6">
        <f>IF(T672="","",IF(LEN(T672)&lt;&gt;14,"ERRO: "&amp;LEN(T672)&amp;" dígitos",IF(NOT(ISNUMBER(VALUE(T672))),"ERRO: não numérico",IF(LEN(SUBSTITUTE(T672,LEFT(T672,1),""))=0,"ERRO: dígitos repetidos",IF(AND(VALUE(MID(T672,13,1))=IF(MOD(SUMPRODUCT(--MID(T672,{1,2,3,4,5,6,7,8,9,10,11,12},1),{5,4,3,2,9,8,7,6,5,4,3,2}),11)&lt;2,0,11-MOD(SUMPRODUCT(--MID(T672,{1,2,3,4,5,6,7,8,9,10,11,12},1),{5,4,3,2,9,8,7,6,5,4,3,2}),11)),VALUE(MID(T672,14,1))=IF(MOD(SUMPRODUCT(--MID(T672,{1,2,3,4,5,6,7,8,9,10,11,12,13},1),{6,5,4,3,2,9,8,7,6,5,4,3,2}),11)&lt;2,0,11-MOD(SUMPRODUCT(--MID(T672,{1,2,3,4,5,6,7,8,9,10,11,12,13},1),{6,5,4,3,2,9,8,7,6,5,4,3,2}),11))),"OK","ERRO: dígito verificador")))))</f>
      </c>
      <c r="V672" s="6">
        <f>IF(T672="","",IF(COUNTIF($T$2:$T$1001,T672)&gt;1,"DUPLICADO","OK"))</f>
      </c>
      <c r="W672" s="6">
        <f>IF(M672="","vazio",IF(OR(AND(LEN(SUBSTITUTE(SUBSTITUTE(SUBSTITUTE(SUBSTITUTE(SUBSTITUTE(SUBSTITUTE(SUBSTITUTE(TRIM(M672),".",""),"/",""),"-","")," ",""),"(",""),")",""),"+",""))=10,LEFT(SUBSTITUTE(SUBSTITUTE(SUBSTITUTE(SUBSTITUTE(SUBSTITUTE(SUBSTITUTE(SUBSTITUTE(TRIM(M672),".",""),"/",""),"-","")," ",""),"(",""),")",""),"+",""),1)&lt;&gt;"0"),AND(LEN(SUBSTITUTE(SUBSTITUTE(SUBSTITUTE(SUBSTITUTE(SUBSTITUTE(SUBSTITUTE(SUBSTITUTE(TRIM(M672),".",""),"/",""),"-","")," ",""),"(",""),")",""),"+",""))=11,LEFT(SUBSTITUTE(SUBSTITUTE(SUBSTITUTE(SUBSTITUTE(SUBSTITUTE(SUBSTITUTE(SUBSTITUTE(TRIM(M672),".",""),"/",""),"-","")," ",""),"(",""),")",""),"+",""),4)="0800")),"OK",IF(AND(LEN(SUBSTITUTE(SUBSTITUTE(SUBSTITUTE(SUBSTITUTE(SUBSTITUTE(SUBSTITUTE(SUBSTITUTE(TRIM(M672),".",""),"/",""),"-","")," ",""),"(",""),")",""),"+",""))=11,MID(SUBSTITUTE(SUBSTITUTE(SUBSTITUTE(SUBSTITUTE(SUBSTITUTE(SUBSTITUTE(SUBSTITUTE(TRIM(M672),".",""),"/",""),"-","")," ",""),"(",""),")",""),"+",""),3,1)="9"),"ERRO: é celular, use a coluna Celular","ERRO: DDD + 8 dígitos ou 0800 + 7")))</f>
      </c>
      <c r="X672" s="6">
        <f>IF(N672="","vazio",IF(AND(LEN(SUBSTITUTE(SUBSTITUTE(SUBSTITUTE(SUBSTITUTE(SUBSTITUTE(SUBSTITUTE(SUBSTITUTE(TRIM(N672),".",""),"/",""),"-","")," ",""),"(",""),")",""),"+",""))=11,MID(SUBSTITUTE(SUBSTITUTE(SUBSTITUTE(SUBSTITUTE(SUBSTITUTE(SUBSTITUTE(SUBSTITUTE(TRIM(N672),".",""),"/",""),"-","")," ",""),"(",""),")",""),"+",""),3,1)="9",LEFT(SUBSTITUTE(SUBSTITUTE(SUBSTITUTE(SUBSTITUTE(SUBSTITUTE(SUBSTITUTE(SUBSTITUTE(TRIM(N672),".",""),"/",""),"-","")," ",""),"(",""),")",""),"+",""),1)&lt;&gt;"0"),"OK",IF(LEN(SUBSTITUTE(SUBSTITUTE(SUBSTITUTE(SUBSTITUTE(SUBSTITUTE(SUBSTITUTE(SUBSTITUTE(TRIM(N672),".",""),"/",""),"-","")," ",""),"(",""),")",""),"+",""))=10,"ERRO: é fixo (ou falta o 9), use a coluna Telefone fixo","ERRO: DDD + 9 + 8 dígitos")))</f>
      </c>
      <c r="Y672" s="6">
        <f>IF(O672="","vazio",IF(AND(ISNUMBER(FIND("@",O672)),ISNUMBER(FIND(".",MID(O672,FIND("@",O672),99))),NOT(ISNUMBER(FIND(" ",TRIM(O672)))),NOT(ISNUMBER(FIND(";",O672))),NOT(ISNUMBER(FIND(",",O672)))),"OK","ERRO: um e-mail válido por linha"))</f>
      </c>
      <c r="Z672" s="6">
        <f>IF(AND(J672="",K672=""),"",IF(AND(J672&lt;&gt;"",K672&lt;&gt;""),"OK","pendente: só um nome (o GR completa ao converter)"))</f>
      </c>
      <c r="AA672" s="6">
        <f>IF(COUNTA(A672:S672)=0,"",IF(AND(A672&lt;&gt;"",B672&lt;&gt;"",C672&lt;&gt;"",D672&lt;&gt;"",E672&lt;&gt;"",F672&lt;&gt;"",G672&lt;&gt;"",H672&lt;&gt;"",OR(J672&lt;&gt;"",K672&lt;&gt;""),OR(M672&lt;&gt;"",N672&lt;&gt;"",O672&lt;&gt;"")),"OK","ERRO: faltam "&amp;IF(A672="","SDR; ","")&amp;IF(B672="","Proprietário; ","")&amp;IF(C672="","Origem; ","")&amp;IF(D672="","Temperatura; ","")&amp;IF(E672="","Segmento; ","")&amp;IF(F672="","Time/Cluster; ","")&amp;IF(G672="","CNPJ; ","")&amp;IF(H672="","Razão Social; ","")&amp;IF(AND(J672="",K672=""),"nome do contato; ","")&amp;IF(AND(M672="",N672="",O672=""),"telefone, celular ou e-mail; ","")))</f>
      </c>
      <c r="AB672" s="6">
        <f>IF(COUNTA(A672:S672)=0,"",IF(AND(U672="OK",V672="OK",LEFT(W672,4)&lt;&gt;"ERRO",LEFT(X672,4)&lt;&gt;"ERRO",LEFT(Y672,4)&lt;&gt;"ERRO",AA672="OK"),"OK","REVISAR"))</f>
      </c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5"/>
      <c r="K673" s="4"/>
      <c r="L673" s="4"/>
      <c r="M673" s="4"/>
      <c r="N673" s="4"/>
      <c r="O673" s="4"/>
      <c r="P673" s="4"/>
      <c r="Q673" s="4"/>
      <c r="R673" s="4"/>
      <c r="S673" s="4"/>
      <c r="T673" s="6">
        <f>IF(G673="","",SUBSTITUTE(SUBSTITUTE(SUBSTITUTE(SUBSTITUTE(SUBSTITUTE(SUBSTITUTE(SUBSTITUTE(TRIM(G673),".",""),"/",""),"-","")," ",""),"(",""),")",""),"+",""))</f>
      </c>
      <c r="U673" s="6">
        <f>IF(T673="","",IF(LEN(T673)&lt;&gt;14,"ERRO: "&amp;LEN(T673)&amp;" dígitos",IF(NOT(ISNUMBER(VALUE(T673))),"ERRO: não numérico",IF(LEN(SUBSTITUTE(T673,LEFT(T673,1),""))=0,"ERRO: dígitos repetidos",IF(AND(VALUE(MID(T673,13,1))=IF(MOD(SUMPRODUCT(--MID(T673,{1,2,3,4,5,6,7,8,9,10,11,12},1),{5,4,3,2,9,8,7,6,5,4,3,2}),11)&lt;2,0,11-MOD(SUMPRODUCT(--MID(T673,{1,2,3,4,5,6,7,8,9,10,11,12},1),{5,4,3,2,9,8,7,6,5,4,3,2}),11)),VALUE(MID(T673,14,1))=IF(MOD(SUMPRODUCT(--MID(T673,{1,2,3,4,5,6,7,8,9,10,11,12,13},1),{6,5,4,3,2,9,8,7,6,5,4,3,2}),11)&lt;2,0,11-MOD(SUMPRODUCT(--MID(T673,{1,2,3,4,5,6,7,8,9,10,11,12,13},1),{6,5,4,3,2,9,8,7,6,5,4,3,2}),11))),"OK","ERRO: dígito verificador")))))</f>
      </c>
      <c r="V673" s="6">
        <f>IF(T673="","",IF(COUNTIF($T$2:$T$1001,T673)&gt;1,"DUPLICADO","OK"))</f>
      </c>
      <c r="W673" s="6">
        <f>IF(M673="","vazio",IF(OR(AND(LEN(SUBSTITUTE(SUBSTITUTE(SUBSTITUTE(SUBSTITUTE(SUBSTITUTE(SUBSTITUTE(SUBSTITUTE(TRIM(M673),".",""),"/",""),"-","")," ",""),"(",""),")",""),"+",""))=10,LEFT(SUBSTITUTE(SUBSTITUTE(SUBSTITUTE(SUBSTITUTE(SUBSTITUTE(SUBSTITUTE(SUBSTITUTE(TRIM(M673),".",""),"/",""),"-","")," ",""),"(",""),")",""),"+",""),1)&lt;&gt;"0"),AND(LEN(SUBSTITUTE(SUBSTITUTE(SUBSTITUTE(SUBSTITUTE(SUBSTITUTE(SUBSTITUTE(SUBSTITUTE(TRIM(M673),".",""),"/",""),"-","")," ",""),"(",""),")",""),"+",""))=11,LEFT(SUBSTITUTE(SUBSTITUTE(SUBSTITUTE(SUBSTITUTE(SUBSTITUTE(SUBSTITUTE(SUBSTITUTE(TRIM(M673),".",""),"/",""),"-","")," ",""),"(",""),")",""),"+",""),4)="0800")),"OK",IF(AND(LEN(SUBSTITUTE(SUBSTITUTE(SUBSTITUTE(SUBSTITUTE(SUBSTITUTE(SUBSTITUTE(SUBSTITUTE(TRIM(M673),".",""),"/",""),"-","")," ",""),"(",""),")",""),"+",""))=11,MID(SUBSTITUTE(SUBSTITUTE(SUBSTITUTE(SUBSTITUTE(SUBSTITUTE(SUBSTITUTE(SUBSTITUTE(TRIM(M673),".",""),"/",""),"-","")," ",""),"(",""),")",""),"+",""),3,1)="9"),"ERRO: é celular, use a coluna Celular","ERRO: DDD + 8 dígitos ou 0800 + 7")))</f>
      </c>
      <c r="X673" s="6">
        <f>IF(N673="","vazio",IF(AND(LEN(SUBSTITUTE(SUBSTITUTE(SUBSTITUTE(SUBSTITUTE(SUBSTITUTE(SUBSTITUTE(SUBSTITUTE(TRIM(N673),".",""),"/",""),"-","")," ",""),"(",""),")",""),"+",""))=11,MID(SUBSTITUTE(SUBSTITUTE(SUBSTITUTE(SUBSTITUTE(SUBSTITUTE(SUBSTITUTE(SUBSTITUTE(TRIM(N673),".",""),"/",""),"-","")," ",""),"(",""),")",""),"+",""),3,1)="9",LEFT(SUBSTITUTE(SUBSTITUTE(SUBSTITUTE(SUBSTITUTE(SUBSTITUTE(SUBSTITUTE(SUBSTITUTE(TRIM(N673),".",""),"/",""),"-","")," ",""),"(",""),")",""),"+",""),1)&lt;&gt;"0"),"OK",IF(LEN(SUBSTITUTE(SUBSTITUTE(SUBSTITUTE(SUBSTITUTE(SUBSTITUTE(SUBSTITUTE(SUBSTITUTE(TRIM(N673),".",""),"/",""),"-","")," ",""),"(",""),")",""),"+",""))=10,"ERRO: é fixo (ou falta o 9), use a coluna Telefone fixo","ERRO: DDD + 9 + 8 dígitos")))</f>
      </c>
      <c r="Y673" s="6">
        <f>IF(O673="","vazio",IF(AND(ISNUMBER(FIND("@",O673)),ISNUMBER(FIND(".",MID(O673,FIND("@",O673),99))),NOT(ISNUMBER(FIND(" ",TRIM(O673)))),NOT(ISNUMBER(FIND(";",O673))),NOT(ISNUMBER(FIND(",",O673)))),"OK","ERRO: um e-mail válido por linha"))</f>
      </c>
      <c r="Z673" s="6">
        <f>IF(AND(J673="",K673=""),"",IF(AND(J673&lt;&gt;"",K673&lt;&gt;""),"OK","pendente: só um nome (o GR completa ao converter)"))</f>
      </c>
      <c r="AA673" s="6">
        <f>IF(COUNTA(A673:S673)=0,"",IF(AND(A673&lt;&gt;"",B673&lt;&gt;"",C673&lt;&gt;"",D673&lt;&gt;"",E673&lt;&gt;"",F673&lt;&gt;"",G673&lt;&gt;"",H673&lt;&gt;"",OR(J673&lt;&gt;"",K673&lt;&gt;""),OR(M673&lt;&gt;"",N673&lt;&gt;"",O673&lt;&gt;"")),"OK","ERRO: faltam "&amp;IF(A673="","SDR; ","")&amp;IF(B673="","Proprietário; ","")&amp;IF(C673="","Origem; ","")&amp;IF(D673="","Temperatura; ","")&amp;IF(E673="","Segmento; ","")&amp;IF(F673="","Time/Cluster; ","")&amp;IF(G673="","CNPJ; ","")&amp;IF(H673="","Razão Social; ","")&amp;IF(AND(J673="",K673=""),"nome do contato; ","")&amp;IF(AND(M673="",N673="",O673=""),"telefone, celular ou e-mail; ","")))</f>
      </c>
      <c r="AB673" s="6">
        <f>IF(COUNTA(A673:S673)=0,"",IF(AND(U673="OK",V673="OK",LEFT(W673,4)&lt;&gt;"ERRO",LEFT(X673,4)&lt;&gt;"ERRO",LEFT(Y673,4)&lt;&gt;"ERRO",AA673="OK"),"OK","REVISAR"))</f>
      </c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5"/>
      <c r="K674" s="4"/>
      <c r="L674" s="4"/>
      <c r="M674" s="4"/>
      <c r="N674" s="4"/>
      <c r="O674" s="4"/>
      <c r="P674" s="4"/>
      <c r="Q674" s="4"/>
      <c r="R674" s="4"/>
      <c r="S674" s="4"/>
      <c r="T674" s="6">
        <f>IF(G674="","",SUBSTITUTE(SUBSTITUTE(SUBSTITUTE(SUBSTITUTE(SUBSTITUTE(SUBSTITUTE(SUBSTITUTE(TRIM(G674),".",""),"/",""),"-","")," ",""),"(",""),")",""),"+",""))</f>
      </c>
      <c r="U674" s="6">
        <f>IF(T674="","",IF(LEN(T674)&lt;&gt;14,"ERRO: "&amp;LEN(T674)&amp;" dígitos",IF(NOT(ISNUMBER(VALUE(T674))),"ERRO: não numérico",IF(LEN(SUBSTITUTE(T674,LEFT(T674,1),""))=0,"ERRO: dígitos repetidos",IF(AND(VALUE(MID(T674,13,1))=IF(MOD(SUMPRODUCT(--MID(T674,{1,2,3,4,5,6,7,8,9,10,11,12},1),{5,4,3,2,9,8,7,6,5,4,3,2}),11)&lt;2,0,11-MOD(SUMPRODUCT(--MID(T674,{1,2,3,4,5,6,7,8,9,10,11,12},1),{5,4,3,2,9,8,7,6,5,4,3,2}),11)),VALUE(MID(T674,14,1))=IF(MOD(SUMPRODUCT(--MID(T674,{1,2,3,4,5,6,7,8,9,10,11,12,13},1),{6,5,4,3,2,9,8,7,6,5,4,3,2}),11)&lt;2,0,11-MOD(SUMPRODUCT(--MID(T674,{1,2,3,4,5,6,7,8,9,10,11,12,13},1),{6,5,4,3,2,9,8,7,6,5,4,3,2}),11))),"OK","ERRO: dígito verificador")))))</f>
      </c>
      <c r="V674" s="6">
        <f>IF(T674="","",IF(COUNTIF($T$2:$T$1001,T674)&gt;1,"DUPLICADO","OK"))</f>
      </c>
      <c r="W674" s="6">
        <f>IF(M674="","vazio",IF(OR(AND(LEN(SUBSTITUTE(SUBSTITUTE(SUBSTITUTE(SUBSTITUTE(SUBSTITUTE(SUBSTITUTE(SUBSTITUTE(TRIM(M674),".",""),"/",""),"-","")," ",""),"(",""),")",""),"+",""))=10,LEFT(SUBSTITUTE(SUBSTITUTE(SUBSTITUTE(SUBSTITUTE(SUBSTITUTE(SUBSTITUTE(SUBSTITUTE(TRIM(M674),".",""),"/",""),"-","")," ",""),"(",""),")",""),"+",""),1)&lt;&gt;"0"),AND(LEN(SUBSTITUTE(SUBSTITUTE(SUBSTITUTE(SUBSTITUTE(SUBSTITUTE(SUBSTITUTE(SUBSTITUTE(TRIM(M674),".",""),"/",""),"-","")," ",""),"(",""),")",""),"+",""))=11,LEFT(SUBSTITUTE(SUBSTITUTE(SUBSTITUTE(SUBSTITUTE(SUBSTITUTE(SUBSTITUTE(SUBSTITUTE(TRIM(M674),".",""),"/",""),"-","")," ",""),"(",""),")",""),"+",""),4)="0800")),"OK",IF(AND(LEN(SUBSTITUTE(SUBSTITUTE(SUBSTITUTE(SUBSTITUTE(SUBSTITUTE(SUBSTITUTE(SUBSTITUTE(TRIM(M674),".",""),"/",""),"-","")," ",""),"(",""),")",""),"+",""))=11,MID(SUBSTITUTE(SUBSTITUTE(SUBSTITUTE(SUBSTITUTE(SUBSTITUTE(SUBSTITUTE(SUBSTITUTE(TRIM(M674),".",""),"/",""),"-","")," ",""),"(",""),")",""),"+",""),3,1)="9"),"ERRO: é celular, use a coluna Celular","ERRO: DDD + 8 dígitos ou 0800 + 7")))</f>
      </c>
      <c r="X674" s="6">
        <f>IF(N674="","vazio",IF(AND(LEN(SUBSTITUTE(SUBSTITUTE(SUBSTITUTE(SUBSTITUTE(SUBSTITUTE(SUBSTITUTE(SUBSTITUTE(TRIM(N674),".",""),"/",""),"-","")," ",""),"(",""),")",""),"+",""))=11,MID(SUBSTITUTE(SUBSTITUTE(SUBSTITUTE(SUBSTITUTE(SUBSTITUTE(SUBSTITUTE(SUBSTITUTE(TRIM(N674),".",""),"/",""),"-","")," ",""),"(",""),")",""),"+",""),3,1)="9",LEFT(SUBSTITUTE(SUBSTITUTE(SUBSTITUTE(SUBSTITUTE(SUBSTITUTE(SUBSTITUTE(SUBSTITUTE(TRIM(N674),".",""),"/",""),"-","")," ",""),"(",""),")",""),"+",""),1)&lt;&gt;"0"),"OK",IF(LEN(SUBSTITUTE(SUBSTITUTE(SUBSTITUTE(SUBSTITUTE(SUBSTITUTE(SUBSTITUTE(SUBSTITUTE(TRIM(N674),".",""),"/",""),"-","")," ",""),"(",""),")",""),"+",""))=10,"ERRO: é fixo (ou falta o 9), use a coluna Telefone fixo","ERRO: DDD + 9 + 8 dígitos")))</f>
      </c>
      <c r="Y674" s="6">
        <f>IF(O674="","vazio",IF(AND(ISNUMBER(FIND("@",O674)),ISNUMBER(FIND(".",MID(O674,FIND("@",O674),99))),NOT(ISNUMBER(FIND(" ",TRIM(O674)))),NOT(ISNUMBER(FIND(";",O674))),NOT(ISNUMBER(FIND(",",O674)))),"OK","ERRO: um e-mail válido por linha"))</f>
      </c>
      <c r="Z674" s="6">
        <f>IF(AND(J674="",K674=""),"",IF(AND(J674&lt;&gt;"",K674&lt;&gt;""),"OK","pendente: só um nome (o GR completa ao converter)"))</f>
      </c>
      <c r="AA674" s="6">
        <f>IF(COUNTA(A674:S674)=0,"",IF(AND(A674&lt;&gt;"",B674&lt;&gt;"",C674&lt;&gt;"",D674&lt;&gt;"",E674&lt;&gt;"",F674&lt;&gt;"",G674&lt;&gt;"",H674&lt;&gt;"",OR(J674&lt;&gt;"",K674&lt;&gt;""),OR(M674&lt;&gt;"",N674&lt;&gt;"",O674&lt;&gt;"")),"OK","ERRO: faltam "&amp;IF(A674="","SDR; ","")&amp;IF(B674="","Proprietário; ","")&amp;IF(C674="","Origem; ","")&amp;IF(D674="","Temperatura; ","")&amp;IF(E674="","Segmento; ","")&amp;IF(F674="","Time/Cluster; ","")&amp;IF(G674="","CNPJ; ","")&amp;IF(H674="","Razão Social; ","")&amp;IF(AND(J674="",K674=""),"nome do contato; ","")&amp;IF(AND(M674="",N674="",O674=""),"telefone, celular ou e-mail; ","")))</f>
      </c>
      <c r="AB674" s="6">
        <f>IF(COUNTA(A674:S674)=0,"",IF(AND(U674="OK",V674="OK",LEFT(W674,4)&lt;&gt;"ERRO",LEFT(X674,4)&lt;&gt;"ERRO",LEFT(Y674,4)&lt;&gt;"ERRO",AA674="OK"),"OK","REVISAR"))</f>
      </c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5"/>
      <c r="K675" s="4"/>
      <c r="L675" s="4"/>
      <c r="M675" s="4"/>
      <c r="N675" s="4"/>
      <c r="O675" s="4"/>
      <c r="P675" s="4"/>
      <c r="Q675" s="4"/>
      <c r="R675" s="4"/>
      <c r="S675" s="4"/>
      <c r="T675" s="6">
        <f>IF(G675="","",SUBSTITUTE(SUBSTITUTE(SUBSTITUTE(SUBSTITUTE(SUBSTITUTE(SUBSTITUTE(SUBSTITUTE(TRIM(G675),".",""),"/",""),"-","")," ",""),"(",""),")",""),"+",""))</f>
      </c>
      <c r="U675" s="6">
        <f>IF(T675="","",IF(LEN(T675)&lt;&gt;14,"ERRO: "&amp;LEN(T675)&amp;" dígitos",IF(NOT(ISNUMBER(VALUE(T675))),"ERRO: não numérico",IF(LEN(SUBSTITUTE(T675,LEFT(T675,1),""))=0,"ERRO: dígitos repetidos",IF(AND(VALUE(MID(T675,13,1))=IF(MOD(SUMPRODUCT(--MID(T675,{1,2,3,4,5,6,7,8,9,10,11,12},1),{5,4,3,2,9,8,7,6,5,4,3,2}),11)&lt;2,0,11-MOD(SUMPRODUCT(--MID(T675,{1,2,3,4,5,6,7,8,9,10,11,12},1),{5,4,3,2,9,8,7,6,5,4,3,2}),11)),VALUE(MID(T675,14,1))=IF(MOD(SUMPRODUCT(--MID(T675,{1,2,3,4,5,6,7,8,9,10,11,12,13},1),{6,5,4,3,2,9,8,7,6,5,4,3,2}),11)&lt;2,0,11-MOD(SUMPRODUCT(--MID(T675,{1,2,3,4,5,6,7,8,9,10,11,12,13},1),{6,5,4,3,2,9,8,7,6,5,4,3,2}),11))),"OK","ERRO: dígito verificador")))))</f>
      </c>
      <c r="V675" s="6">
        <f>IF(T675="","",IF(COUNTIF($T$2:$T$1001,T675)&gt;1,"DUPLICADO","OK"))</f>
      </c>
      <c r="W675" s="6">
        <f>IF(M675="","vazio",IF(OR(AND(LEN(SUBSTITUTE(SUBSTITUTE(SUBSTITUTE(SUBSTITUTE(SUBSTITUTE(SUBSTITUTE(SUBSTITUTE(TRIM(M675),".",""),"/",""),"-","")," ",""),"(",""),")",""),"+",""))=10,LEFT(SUBSTITUTE(SUBSTITUTE(SUBSTITUTE(SUBSTITUTE(SUBSTITUTE(SUBSTITUTE(SUBSTITUTE(TRIM(M675),".",""),"/",""),"-","")," ",""),"(",""),")",""),"+",""),1)&lt;&gt;"0"),AND(LEN(SUBSTITUTE(SUBSTITUTE(SUBSTITUTE(SUBSTITUTE(SUBSTITUTE(SUBSTITUTE(SUBSTITUTE(TRIM(M675),".",""),"/",""),"-","")," ",""),"(",""),")",""),"+",""))=11,LEFT(SUBSTITUTE(SUBSTITUTE(SUBSTITUTE(SUBSTITUTE(SUBSTITUTE(SUBSTITUTE(SUBSTITUTE(TRIM(M675),".",""),"/",""),"-","")," ",""),"(",""),")",""),"+",""),4)="0800")),"OK",IF(AND(LEN(SUBSTITUTE(SUBSTITUTE(SUBSTITUTE(SUBSTITUTE(SUBSTITUTE(SUBSTITUTE(SUBSTITUTE(TRIM(M675),".",""),"/",""),"-","")," ",""),"(",""),")",""),"+",""))=11,MID(SUBSTITUTE(SUBSTITUTE(SUBSTITUTE(SUBSTITUTE(SUBSTITUTE(SUBSTITUTE(SUBSTITUTE(TRIM(M675),".",""),"/",""),"-","")," ",""),"(",""),")",""),"+",""),3,1)="9"),"ERRO: é celular, use a coluna Celular","ERRO: DDD + 8 dígitos ou 0800 + 7")))</f>
      </c>
      <c r="X675" s="6">
        <f>IF(N675="","vazio",IF(AND(LEN(SUBSTITUTE(SUBSTITUTE(SUBSTITUTE(SUBSTITUTE(SUBSTITUTE(SUBSTITUTE(SUBSTITUTE(TRIM(N675),".",""),"/",""),"-","")," ",""),"(",""),")",""),"+",""))=11,MID(SUBSTITUTE(SUBSTITUTE(SUBSTITUTE(SUBSTITUTE(SUBSTITUTE(SUBSTITUTE(SUBSTITUTE(TRIM(N675),".",""),"/",""),"-","")," ",""),"(",""),")",""),"+",""),3,1)="9",LEFT(SUBSTITUTE(SUBSTITUTE(SUBSTITUTE(SUBSTITUTE(SUBSTITUTE(SUBSTITUTE(SUBSTITUTE(TRIM(N675),".",""),"/",""),"-","")," ",""),"(",""),")",""),"+",""),1)&lt;&gt;"0"),"OK",IF(LEN(SUBSTITUTE(SUBSTITUTE(SUBSTITUTE(SUBSTITUTE(SUBSTITUTE(SUBSTITUTE(SUBSTITUTE(TRIM(N675),".",""),"/",""),"-","")," ",""),"(",""),")",""),"+",""))=10,"ERRO: é fixo (ou falta o 9), use a coluna Telefone fixo","ERRO: DDD + 9 + 8 dígitos")))</f>
      </c>
      <c r="Y675" s="6">
        <f>IF(O675="","vazio",IF(AND(ISNUMBER(FIND("@",O675)),ISNUMBER(FIND(".",MID(O675,FIND("@",O675),99))),NOT(ISNUMBER(FIND(" ",TRIM(O675)))),NOT(ISNUMBER(FIND(";",O675))),NOT(ISNUMBER(FIND(",",O675)))),"OK","ERRO: um e-mail válido por linha"))</f>
      </c>
      <c r="Z675" s="6">
        <f>IF(AND(J675="",K675=""),"",IF(AND(J675&lt;&gt;"",K675&lt;&gt;""),"OK","pendente: só um nome (o GR completa ao converter)"))</f>
      </c>
      <c r="AA675" s="6">
        <f>IF(COUNTA(A675:S675)=0,"",IF(AND(A675&lt;&gt;"",B675&lt;&gt;"",C675&lt;&gt;"",D675&lt;&gt;"",E675&lt;&gt;"",F675&lt;&gt;"",G675&lt;&gt;"",H675&lt;&gt;"",OR(J675&lt;&gt;"",K675&lt;&gt;""),OR(M675&lt;&gt;"",N675&lt;&gt;"",O675&lt;&gt;"")),"OK","ERRO: faltam "&amp;IF(A675="","SDR; ","")&amp;IF(B675="","Proprietário; ","")&amp;IF(C675="","Origem; ","")&amp;IF(D675="","Temperatura; ","")&amp;IF(E675="","Segmento; ","")&amp;IF(F675="","Time/Cluster; ","")&amp;IF(G675="","CNPJ; ","")&amp;IF(H675="","Razão Social; ","")&amp;IF(AND(J675="",K675=""),"nome do contato; ","")&amp;IF(AND(M675="",N675="",O675=""),"telefone, celular ou e-mail; ","")))</f>
      </c>
      <c r="AB675" s="6">
        <f>IF(COUNTA(A675:S675)=0,"",IF(AND(U675="OK",V675="OK",LEFT(W675,4)&lt;&gt;"ERRO",LEFT(X675,4)&lt;&gt;"ERRO",LEFT(Y675,4)&lt;&gt;"ERRO",AA675="OK"),"OK","REVISAR"))</f>
      </c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5"/>
      <c r="K676" s="4"/>
      <c r="L676" s="4"/>
      <c r="M676" s="4"/>
      <c r="N676" s="4"/>
      <c r="O676" s="4"/>
      <c r="P676" s="4"/>
      <c r="Q676" s="4"/>
      <c r="R676" s="4"/>
      <c r="S676" s="4"/>
      <c r="T676" s="6">
        <f>IF(G676="","",SUBSTITUTE(SUBSTITUTE(SUBSTITUTE(SUBSTITUTE(SUBSTITUTE(SUBSTITUTE(SUBSTITUTE(TRIM(G676),".",""),"/",""),"-","")," ",""),"(",""),")",""),"+",""))</f>
      </c>
      <c r="U676" s="6">
        <f>IF(T676="","",IF(LEN(T676)&lt;&gt;14,"ERRO: "&amp;LEN(T676)&amp;" dígitos",IF(NOT(ISNUMBER(VALUE(T676))),"ERRO: não numérico",IF(LEN(SUBSTITUTE(T676,LEFT(T676,1),""))=0,"ERRO: dígitos repetidos",IF(AND(VALUE(MID(T676,13,1))=IF(MOD(SUMPRODUCT(--MID(T676,{1,2,3,4,5,6,7,8,9,10,11,12},1),{5,4,3,2,9,8,7,6,5,4,3,2}),11)&lt;2,0,11-MOD(SUMPRODUCT(--MID(T676,{1,2,3,4,5,6,7,8,9,10,11,12},1),{5,4,3,2,9,8,7,6,5,4,3,2}),11)),VALUE(MID(T676,14,1))=IF(MOD(SUMPRODUCT(--MID(T676,{1,2,3,4,5,6,7,8,9,10,11,12,13},1),{6,5,4,3,2,9,8,7,6,5,4,3,2}),11)&lt;2,0,11-MOD(SUMPRODUCT(--MID(T676,{1,2,3,4,5,6,7,8,9,10,11,12,13},1),{6,5,4,3,2,9,8,7,6,5,4,3,2}),11))),"OK","ERRO: dígito verificador")))))</f>
      </c>
      <c r="V676" s="6">
        <f>IF(T676="","",IF(COUNTIF($T$2:$T$1001,T676)&gt;1,"DUPLICADO","OK"))</f>
      </c>
      <c r="W676" s="6">
        <f>IF(M676="","vazio",IF(OR(AND(LEN(SUBSTITUTE(SUBSTITUTE(SUBSTITUTE(SUBSTITUTE(SUBSTITUTE(SUBSTITUTE(SUBSTITUTE(TRIM(M676),".",""),"/",""),"-","")," ",""),"(",""),")",""),"+",""))=10,LEFT(SUBSTITUTE(SUBSTITUTE(SUBSTITUTE(SUBSTITUTE(SUBSTITUTE(SUBSTITUTE(SUBSTITUTE(TRIM(M676),".",""),"/",""),"-","")," ",""),"(",""),")",""),"+",""),1)&lt;&gt;"0"),AND(LEN(SUBSTITUTE(SUBSTITUTE(SUBSTITUTE(SUBSTITUTE(SUBSTITUTE(SUBSTITUTE(SUBSTITUTE(TRIM(M676),".",""),"/",""),"-","")," ",""),"(",""),")",""),"+",""))=11,LEFT(SUBSTITUTE(SUBSTITUTE(SUBSTITUTE(SUBSTITUTE(SUBSTITUTE(SUBSTITUTE(SUBSTITUTE(TRIM(M676),".",""),"/",""),"-","")," ",""),"(",""),")",""),"+",""),4)="0800")),"OK",IF(AND(LEN(SUBSTITUTE(SUBSTITUTE(SUBSTITUTE(SUBSTITUTE(SUBSTITUTE(SUBSTITUTE(SUBSTITUTE(TRIM(M676),".",""),"/",""),"-","")," ",""),"(",""),")",""),"+",""))=11,MID(SUBSTITUTE(SUBSTITUTE(SUBSTITUTE(SUBSTITUTE(SUBSTITUTE(SUBSTITUTE(SUBSTITUTE(TRIM(M676),".",""),"/",""),"-","")," ",""),"(",""),")",""),"+",""),3,1)="9"),"ERRO: é celular, use a coluna Celular","ERRO: DDD + 8 dígitos ou 0800 + 7")))</f>
      </c>
      <c r="X676" s="6">
        <f>IF(N676="","vazio",IF(AND(LEN(SUBSTITUTE(SUBSTITUTE(SUBSTITUTE(SUBSTITUTE(SUBSTITUTE(SUBSTITUTE(SUBSTITUTE(TRIM(N676),".",""),"/",""),"-","")," ",""),"(",""),")",""),"+",""))=11,MID(SUBSTITUTE(SUBSTITUTE(SUBSTITUTE(SUBSTITUTE(SUBSTITUTE(SUBSTITUTE(SUBSTITUTE(TRIM(N676),".",""),"/",""),"-","")," ",""),"(",""),")",""),"+",""),3,1)="9",LEFT(SUBSTITUTE(SUBSTITUTE(SUBSTITUTE(SUBSTITUTE(SUBSTITUTE(SUBSTITUTE(SUBSTITUTE(TRIM(N676),".",""),"/",""),"-","")," ",""),"(",""),")",""),"+",""),1)&lt;&gt;"0"),"OK",IF(LEN(SUBSTITUTE(SUBSTITUTE(SUBSTITUTE(SUBSTITUTE(SUBSTITUTE(SUBSTITUTE(SUBSTITUTE(TRIM(N676),".",""),"/",""),"-","")," ",""),"(",""),")",""),"+",""))=10,"ERRO: é fixo (ou falta o 9), use a coluna Telefone fixo","ERRO: DDD + 9 + 8 dígitos")))</f>
      </c>
      <c r="Y676" s="6">
        <f>IF(O676="","vazio",IF(AND(ISNUMBER(FIND("@",O676)),ISNUMBER(FIND(".",MID(O676,FIND("@",O676),99))),NOT(ISNUMBER(FIND(" ",TRIM(O676)))),NOT(ISNUMBER(FIND(";",O676))),NOT(ISNUMBER(FIND(",",O676)))),"OK","ERRO: um e-mail válido por linha"))</f>
      </c>
      <c r="Z676" s="6">
        <f>IF(AND(J676="",K676=""),"",IF(AND(J676&lt;&gt;"",K676&lt;&gt;""),"OK","pendente: só um nome (o GR completa ao converter)"))</f>
      </c>
      <c r="AA676" s="6">
        <f>IF(COUNTA(A676:S676)=0,"",IF(AND(A676&lt;&gt;"",B676&lt;&gt;"",C676&lt;&gt;"",D676&lt;&gt;"",E676&lt;&gt;"",F676&lt;&gt;"",G676&lt;&gt;"",H676&lt;&gt;"",OR(J676&lt;&gt;"",K676&lt;&gt;""),OR(M676&lt;&gt;"",N676&lt;&gt;"",O676&lt;&gt;"")),"OK","ERRO: faltam "&amp;IF(A676="","SDR; ","")&amp;IF(B676="","Proprietário; ","")&amp;IF(C676="","Origem; ","")&amp;IF(D676="","Temperatura; ","")&amp;IF(E676="","Segmento; ","")&amp;IF(F676="","Time/Cluster; ","")&amp;IF(G676="","CNPJ; ","")&amp;IF(H676="","Razão Social; ","")&amp;IF(AND(J676="",K676=""),"nome do contato; ","")&amp;IF(AND(M676="",N676="",O676=""),"telefone, celular ou e-mail; ","")))</f>
      </c>
      <c r="AB676" s="6">
        <f>IF(COUNTA(A676:S676)=0,"",IF(AND(U676="OK",V676="OK",LEFT(W676,4)&lt;&gt;"ERRO",LEFT(X676,4)&lt;&gt;"ERRO",LEFT(Y676,4)&lt;&gt;"ERRO",AA676="OK"),"OK","REVISAR"))</f>
      </c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5"/>
      <c r="K677" s="4"/>
      <c r="L677" s="4"/>
      <c r="M677" s="4"/>
      <c r="N677" s="4"/>
      <c r="O677" s="4"/>
      <c r="P677" s="4"/>
      <c r="Q677" s="4"/>
      <c r="R677" s="4"/>
      <c r="S677" s="4"/>
      <c r="T677" s="6">
        <f>IF(G677="","",SUBSTITUTE(SUBSTITUTE(SUBSTITUTE(SUBSTITUTE(SUBSTITUTE(SUBSTITUTE(SUBSTITUTE(TRIM(G677),".",""),"/",""),"-","")," ",""),"(",""),")",""),"+",""))</f>
      </c>
      <c r="U677" s="6">
        <f>IF(T677="","",IF(LEN(T677)&lt;&gt;14,"ERRO: "&amp;LEN(T677)&amp;" dígitos",IF(NOT(ISNUMBER(VALUE(T677))),"ERRO: não numérico",IF(LEN(SUBSTITUTE(T677,LEFT(T677,1),""))=0,"ERRO: dígitos repetidos",IF(AND(VALUE(MID(T677,13,1))=IF(MOD(SUMPRODUCT(--MID(T677,{1,2,3,4,5,6,7,8,9,10,11,12},1),{5,4,3,2,9,8,7,6,5,4,3,2}),11)&lt;2,0,11-MOD(SUMPRODUCT(--MID(T677,{1,2,3,4,5,6,7,8,9,10,11,12},1),{5,4,3,2,9,8,7,6,5,4,3,2}),11)),VALUE(MID(T677,14,1))=IF(MOD(SUMPRODUCT(--MID(T677,{1,2,3,4,5,6,7,8,9,10,11,12,13},1),{6,5,4,3,2,9,8,7,6,5,4,3,2}),11)&lt;2,0,11-MOD(SUMPRODUCT(--MID(T677,{1,2,3,4,5,6,7,8,9,10,11,12,13},1),{6,5,4,3,2,9,8,7,6,5,4,3,2}),11))),"OK","ERRO: dígito verificador")))))</f>
      </c>
      <c r="V677" s="6">
        <f>IF(T677="","",IF(COUNTIF($T$2:$T$1001,T677)&gt;1,"DUPLICADO","OK"))</f>
      </c>
      <c r="W677" s="6">
        <f>IF(M677="","vazio",IF(OR(AND(LEN(SUBSTITUTE(SUBSTITUTE(SUBSTITUTE(SUBSTITUTE(SUBSTITUTE(SUBSTITUTE(SUBSTITUTE(TRIM(M677),".",""),"/",""),"-","")," ",""),"(",""),")",""),"+",""))=10,LEFT(SUBSTITUTE(SUBSTITUTE(SUBSTITUTE(SUBSTITUTE(SUBSTITUTE(SUBSTITUTE(SUBSTITUTE(TRIM(M677),".",""),"/",""),"-","")," ",""),"(",""),")",""),"+",""),1)&lt;&gt;"0"),AND(LEN(SUBSTITUTE(SUBSTITUTE(SUBSTITUTE(SUBSTITUTE(SUBSTITUTE(SUBSTITUTE(SUBSTITUTE(TRIM(M677),".",""),"/",""),"-","")," ",""),"(",""),")",""),"+",""))=11,LEFT(SUBSTITUTE(SUBSTITUTE(SUBSTITUTE(SUBSTITUTE(SUBSTITUTE(SUBSTITUTE(SUBSTITUTE(TRIM(M677),".",""),"/",""),"-","")," ",""),"(",""),")",""),"+",""),4)="0800")),"OK",IF(AND(LEN(SUBSTITUTE(SUBSTITUTE(SUBSTITUTE(SUBSTITUTE(SUBSTITUTE(SUBSTITUTE(SUBSTITUTE(TRIM(M677),".",""),"/",""),"-","")," ",""),"(",""),")",""),"+",""))=11,MID(SUBSTITUTE(SUBSTITUTE(SUBSTITUTE(SUBSTITUTE(SUBSTITUTE(SUBSTITUTE(SUBSTITUTE(TRIM(M677),".",""),"/",""),"-","")," ",""),"(",""),")",""),"+",""),3,1)="9"),"ERRO: é celular, use a coluna Celular","ERRO: DDD + 8 dígitos ou 0800 + 7")))</f>
      </c>
      <c r="X677" s="6">
        <f>IF(N677="","vazio",IF(AND(LEN(SUBSTITUTE(SUBSTITUTE(SUBSTITUTE(SUBSTITUTE(SUBSTITUTE(SUBSTITUTE(SUBSTITUTE(TRIM(N677),".",""),"/",""),"-","")," ",""),"(",""),")",""),"+",""))=11,MID(SUBSTITUTE(SUBSTITUTE(SUBSTITUTE(SUBSTITUTE(SUBSTITUTE(SUBSTITUTE(SUBSTITUTE(TRIM(N677),".",""),"/",""),"-","")," ",""),"(",""),")",""),"+",""),3,1)="9",LEFT(SUBSTITUTE(SUBSTITUTE(SUBSTITUTE(SUBSTITUTE(SUBSTITUTE(SUBSTITUTE(SUBSTITUTE(TRIM(N677),".",""),"/",""),"-","")," ",""),"(",""),")",""),"+",""),1)&lt;&gt;"0"),"OK",IF(LEN(SUBSTITUTE(SUBSTITUTE(SUBSTITUTE(SUBSTITUTE(SUBSTITUTE(SUBSTITUTE(SUBSTITUTE(TRIM(N677),".",""),"/",""),"-","")," ",""),"(",""),")",""),"+",""))=10,"ERRO: é fixo (ou falta o 9), use a coluna Telefone fixo","ERRO: DDD + 9 + 8 dígitos")))</f>
      </c>
      <c r="Y677" s="6">
        <f>IF(O677="","vazio",IF(AND(ISNUMBER(FIND("@",O677)),ISNUMBER(FIND(".",MID(O677,FIND("@",O677),99))),NOT(ISNUMBER(FIND(" ",TRIM(O677)))),NOT(ISNUMBER(FIND(";",O677))),NOT(ISNUMBER(FIND(",",O677)))),"OK","ERRO: um e-mail válido por linha"))</f>
      </c>
      <c r="Z677" s="6">
        <f>IF(AND(J677="",K677=""),"",IF(AND(J677&lt;&gt;"",K677&lt;&gt;""),"OK","pendente: só um nome (o GR completa ao converter)"))</f>
      </c>
      <c r="AA677" s="6">
        <f>IF(COUNTA(A677:S677)=0,"",IF(AND(A677&lt;&gt;"",B677&lt;&gt;"",C677&lt;&gt;"",D677&lt;&gt;"",E677&lt;&gt;"",F677&lt;&gt;"",G677&lt;&gt;"",H677&lt;&gt;"",OR(J677&lt;&gt;"",K677&lt;&gt;""),OR(M677&lt;&gt;"",N677&lt;&gt;"",O677&lt;&gt;"")),"OK","ERRO: faltam "&amp;IF(A677="","SDR; ","")&amp;IF(B677="","Proprietário; ","")&amp;IF(C677="","Origem; ","")&amp;IF(D677="","Temperatura; ","")&amp;IF(E677="","Segmento; ","")&amp;IF(F677="","Time/Cluster; ","")&amp;IF(G677="","CNPJ; ","")&amp;IF(H677="","Razão Social; ","")&amp;IF(AND(J677="",K677=""),"nome do contato; ","")&amp;IF(AND(M677="",N677="",O677=""),"telefone, celular ou e-mail; ","")))</f>
      </c>
      <c r="AB677" s="6">
        <f>IF(COUNTA(A677:S677)=0,"",IF(AND(U677="OK",V677="OK",LEFT(W677,4)&lt;&gt;"ERRO",LEFT(X677,4)&lt;&gt;"ERRO",LEFT(Y677,4)&lt;&gt;"ERRO",AA677="OK"),"OK","REVISAR"))</f>
      </c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5"/>
      <c r="K678" s="4"/>
      <c r="L678" s="4"/>
      <c r="M678" s="4"/>
      <c r="N678" s="4"/>
      <c r="O678" s="4"/>
      <c r="P678" s="4"/>
      <c r="Q678" s="4"/>
      <c r="R678" s="4"/>
      <c r="S678" s="4"/>
      <c r="T678" s="6">
        <f>IF(G678="","",SUBSTITUTE(SUBSTITUTE(SUBSTITUTE(SUBSTITUTE(SUBSTITUTE(SUBSTITUTE(SUBSTITUTE(TRIM(G678),".",""),"/",""),"-","")," ",""),"(",""),")",""),"+",""))</f>
      </c>
      <c r="U678" s="6">
        <f>IF(T678="","",IF(LEN(T678)&lt;&gt;14,"ERRO: "&amp;LEN(T678)&amp;" dígitos",IF(NOT(ISNUMBER(VALUE(T678))),"ERRO: não numérico",IF(LEN(SUBSTITUTE(T678,LEFT(T678,1),""))=0,"ERRO: dígitos repetidos",IF(AND(VALUE(MID(T678,13,1))=IF(MOD(SUMPRODUCT(--MID(T678,{1,2,3,4,5,6,7,8,9,10,11,12},1),{5,4,3,2,9,8,7,6,5,4,3,2}),11)&lt;2,0,11-MOD(SUMPRODUCT(--MID(T678,{1,2,3,4,5,6,7,8,9,10,11,12},1),{5,4,3,2,9,8,7,6,5,4,3,2}),11)),VALUE(MID(T678,14,1))=IF(MOD(SUMPRODUCT(--MID(T678,{1,2,3,4,5,6,7,8,9,10,11,12,13},1),{6,5,4,3,2,9,8,7,6,5,4,3,2}),11)&lt;2,0,11-MOD(SUMPRODUCT(--MID(T678,{1,2,3,4,5,6,7,8,9,10,11,12,13},1),{6,5,4,3,2,9,8,7,6,5,4,3,2}),11))),"OK","ERRO: dígito verificador")))))</f>
      </c>
      <c r="V678" s="6">
        <f>IF(T678="","",IF(COUNTIF($T$2:$T$1001,T678)&gt;1,"DUPLICADO","OK"))</f>
      </c>
      <c r="W678" s="6">
        <f>IF(M678="","vazio",IF(OR(AND(LEN(SUBSTITUTE(SUBSTITUTE(SUBSTITUTE(SUBSTITUTE(SUBSTITUTE(SUBSTITUTE(SUBSTITUTE(TRIM(M678),".",""),"/",""),"-","")," ",""),"(",""),")",""),"+",""))=10,LEFT(SUBSTITUTE(SUBSTITUTE(SUBSTITUTE(SUBSTITUTE(SUBSTITUTE(SUBSTITUTE(SUBSTITUTE(TRIM(M678),".",""),"/",""),"-","")," ",""),"(",""),")",""),"+",""),1)&lt;&gt;"0"),AND(LEN(SUBSTITUTE(SUBSTITUTE(SUBSTITUTE(SUBSTITUTE(SUBSTITUTE(SUBSTITUTE(SUBSTITUTE(TRIM(M678),".",""),"/",""),"-","")," ",""),"(",""),")",""),"+",""))=11,LEFT(SUBSTITUTE(SUBSTITUTE(SUBSTITUTE(SUBSTITUTE(SUBSTITUTE(SUBSTITUTE(SUBSTITUTE(TRIM(M678),".",""),"/",""),"-","")," ",""),"(",""),")",""),"+",""),4)="0800")),"OK",IF(AND(LEN(SUBSTITUTE(SUBSTITUTE(SUBSTITUTE(SUBSTITUTE(SUBSTITUTE(SUBSTITUTE(SUBSTITUTE(TRIM(M678),".",""),"/",""),"-","")," ",""),"(",""),")",""),"+",""))=11,MID(SUBSTITUTE(SUBSTITUTE(SUBSTITUTE(SUBSTITUTE(SUBSTITUTE(SUBSTITUTE(SUBSTITUTE(TRIM(M678),".",""),"/",""),"-","")," ",""),"(",""),")",""),"+",""),3,1)="9"),"ERRO: é celular, use a coluna Celular","ERRO: DDD + 8 dígitos ou 0800 + 7")))</f>
      </c>
      <c r="X678" s="6">
        <f>IF(N678="","vazio",IF(AND(LEN(SUBSTITUTE(SUBSTITUTE(SUBSTITUTE(SUBSTITUTE(SUBSTITUTE(SUBSTITUTE(SUBSTITUTE(TRIM(N678),".",""),"/",""),"-","")," ",""),"(",""),")",""),"+",""))=11,MID(SUBSTITUTE(SUBSTITUTE(SUBSTITUTE(SUBSTITUTE(SUBSTITUTE(SUBSTITUTE(SUBSTITUTE(TRIM(N678),".",""),"/",""),"-","")," ",""),"(",""),")",""),"+",""),3,1)="9",LEFT(SUBSTITUTE(SUBSTITUTE(SUBSTITUTE(SUBSTITUTE(SUBSTITUTE(SUBSTITUTE(SUBSTITUTE(TRIM(N678),".",""),"/",""),"-","")," ",""),"(",""),")",""),"+",""),1)&lt;&gt;"0"),"OK",IF(LEN(SUBSTITUTE(SUBSTITUTE(SUBSTITUTE(SUBSTITUTE(SUBSTITUTE(SUBSTITUTE(SUBSTITUTE(TRIM(N678),".",""),"/",""),"-","")," ",""),"(",""),")",""),"+",""))=10,"ERRO: é fixo (ou falta o 9), use a coluna Telefone fixo","ERRO: DDD + 9 + 8 dígitos")))</f>
      </c>
      <c r="Y678" s="6">
        <f>IF(O678="","vazio",IF(AND(ISNUMBER(FIND("@",O678)),ISNUMBER(FIND(".",MID(O678,FIND("@",O678),99))),NOT(ISNUMBER(FIND(" ",TRIM(O678)))),NOT(ISNUMBER(FIND(";",O678))),NOT(ISNUMBER(FIND(",",O678)))),"OK","ERRO: um e-mail válido por linha"))</f>
      </c>
      <c r="Z678" s="6">
        <f>IF(AND(J678="",K678=""),"",IF(AND(J678&lt;&gt;"",K678&lt;&gt;""),"OK","pendente: só um nome (o GR completa ao converter)"))</f>
      </c>
      <c r="AA678" s="6">
        <f>IF(COUNTA(A678:S678)=0,"",IF(AND(A678&lt;&gt;"",B678&lt;&gt;"",C678&lt;&gt;"",D678&lt;&gt;"",E678&lt;&gt;"",F678&lt;&gt;"",G678&lt;&gt;"",H678&lt;&gt;"",OR(J678&lt;&gt;"",K678&lt;&gt;""),OR(M678&lt;&gt;"",N678&lt;&gt;"",O678&lt;&gt;"")),"OK","ERRO: faltam "&amp;IF(A678="","SDR; ","")&amp;IF(B678="","Proprietário; ","")&amp;IF(C678="","Origem; ","")&amp;IF(D678="","Temperatura; ","")&amp;IF(E678="","Segmento; ","")&amp;IF(F678="","Time/Cluster; ","")&amp;IF(G678="","CNPJ; ","")&amp;IF(H678="","Razão Social; ","")&amp;IF(AND(J678="",K678=""),"nome do contato; ","")&amp;IF(AND(M678="",N678="",O678=""),"telefone, celular ou e-mail; ","")))</f>
      </c>
      <c r="AB678" s="6">
        <f>IF(COUNTA(A678:S678)=0,"",IF(AND(U678="OK",V678="OK",LEFT(W678,4)&lt;&gt;"ERRO",LEFT(X678,4)&lt;&gt;"ERRO",LEFT(Y678,4)&lt;&gt;"ERRO",AA678="OK"),"OK","REVISAR"))</f>
      </c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5"/>
      <c r="K679" s="4"/>
      <c r="L679" s="4"/>
      <c r="M679" s="4"/>
      <c r="N679" s="4"/>
      <c r="O679" s="4"/>
      <c r="P679" s="4"/>
      <c r="Q679" s="4"/>
      <c r="R679" s="4"/>
      <c r="S679" s="4"/>
      <c r="T679" s="6">
        <f>IF(G679="","",SUBSTITUTE(SUBSTITUTE(SUBSTITUTE(SUBSTITUTE(SUBSTITUTE(SUBSTITUTE(SUBSTITUTE(TRIM(G679),".",""),"/",""),"-","")," ",""),"(",""),")",""),"+",""))</f>
      </c>
      <c r="U679" s="6">
        <f>IF(T679="","",IF(LEN(T679)&lt;&gt;14,"ERRO: "&amp;LEN(T679)&amp;" dígitos",IF(NOT(ISNUMBER(VALUE(T679))),"ERRO: não numérico",IF(LEN(SUBSTITUTE(T679,LEFT(T679,1),""))=0,"ERRO: dígitos repetidos",IF(AND(VALUE(MID(T679,13,1))=IF(MOD(SUMPRODUCT(--MID(T679,{1,2,3,4,5,6,7,8,9,10,11,12},1),{5,4,3,2,9,8,7,6,5,4,3,2}),11)&lt;2,0,11-MOD(SUMPRODUCT(--MID(T679,{1,2,3,4,5,6,7,8,9,10,11,12},1),{5,4,3,2,9,8,7,6,5,4,3,2}),11)),VALUE(MID(T679,14,1))=IF(MOD(SUMPRODUCT(--MID(T679,{1,2,3,4,5,6,7,8,9,10,11,12,13},1),{6,5,4,3,2,9,8,7,6,5,4,3,2}),11)&lt;2,0,11-MOD(SUMPRODUCT(--MID(T679,{1,2,3,4,5,6,7,8,9,10,11,12,13},1),{6,5,4,3,2,9,8,7,6,5,4,3,2}),11))),"OK","ERRO: dígito verificador")))))</f>
      </c>
      <c r="V679" s="6">
        <f>IF(T679="","",IF(COUNTIF($T$2:$T$1001,T679)&gt;1,"DUPLICADO","OK"))</f>
      </c>
      <c r="W679" s="6">
        <f>IF(M679="","vazio",IF(OR(AND(LEN(SUBSTITUTE(SUBSTITUTE(SUBSTITUTE(SUBSTITUTE(SUBSTITUTE(SUBSTITUTE(SUBSTITUTE(TRIM(M679),".",""),"/",""),"-","")," ",""),"(",""),")",""),"+",""))=10,LEFT(SUBSTITUTE(SUBSTITUTE(SUBSTITUTE(SUBSTITUTE(SUBSTITUTE(SUBSTITUTE(SUBSTITUTE(TRIM(M679),".",""),"/",""),"-","")," ",""),"(",""),")",""),"+",""),1)&lt;&gt;"0"),AND(LEN(SUBSTITUTE(SUBSTITUTE(SUBSTITUTE(SUBSTITUTE(SUBSTITUTE(SUBSTITUTE(SUBSTITUTE(TRIM(M679),".",""),"/",""),"-","")," ",""),"(",""),")",""),"+",""))=11,LEFT(SUBSTITUTE(SUBSTITUTE(SUBSTITUTE(SUBSTITUTE(SUBSTITUTE(SUBSTITUTE(SUBSTITUTE(TRIM(M679),".",""),"/",""),"-","")," ",""),"(",""),")",""),"+",""),4)="0800")),"OK",IF(AND(LEN(SUBSTITUTE(SUBSTITUTE(SUBSTITUTE(SUBSTITUTE(SUBSTITUTE(SUBSTITUTE(SUBSTITUTE(TRIM(M679),".",""),"/",""),"-","")," ",""),"(",""),")",""),"+",""))=11,MID(SUBSTITUTE(SUBSTITUTE(SUBSTITUTE(SUBSTITUTE(SUBSTITUTE(SUBSTITUTE(SUBSTITUTE(TRIM(M679),".",""),"/",""),"-","")," ",""),"(",""),")",""),"+",""),3,1)="9"),"ERRO: é celular, use a coluna Celular","ERRO: DDD + 8 dígitos ou 0800 + 7")))</f>
      </c>
      <c r="X679" s="6">
        <f>IF(N679="","vazio",IF(AND(LEN(SUBSTITUTE(SUBSTITUTE(SUBSTITUTE(SUBSTITUTE(SUBSTITUTE(SUBSTITUTE(SUBSTITUTE(TRIM(N679),".",""),"/",""),"-","")," ",""),"(",""),")",""),"+",""))=11,MID(SUBSTITUTE(SUBSTITUTE(SUBSTITUTE(SUBSTITUTE(SUBSTITUTE(SUBSTITUTE(SUBSTITUTE(TRIM(N679),".",""),"/",""),"-","")," ",""),"(",""),")",""),"+",""),3,1)="9",LEFT(SUBSTITUTE(SUBSTITUTE(SUBSTITUTE(SUBSTITUTE(SUBSTITUTE(SUBSTITUTE(SUBSTITUTE(TRIM(N679),".",""),"/",""),"-","")," ",""),"(",""),")",""),"+",""),1)&lt;&gt;"0"),"OK",IF(LEN(SUBSTITUTE(SUBSTITUTE(SUBSTITUTE(SUBSTITUTE(SUBSTITUTE(SUBSTITUTE(SUBSTITUTE(TRIM(N679),".",""),"/",""),"-","")," ",""),"(",""),")",""),"+",""))=10,"ERRO: é fixo (ou falta o 9), use a coluna Telefone fixo","ERRO: DDD + 9 + 8 dígitos")))</f>
      </c>
      <c r="Y679" s="6">
        <f>IF(O679="","vazio",IF(AND(ISNUMBER(FIND("@",O679)),ISNUMBER(FIND(".",MID(O679,FIND("@",O679),99))),NOT(ISNUMBER(FIND(" ",TRIM(O679)))),NOT(ISNUMBER(FIND(";",O679))),NOT(ISNUMBER(FIND(",",O679)))),"OK","ERRO: um e-mail válido por linha"))</f>
      </c>
      <c r="Z679" s="6">
        <f>IF(AND(J679="",K679=""),"",IF(AND(J679&lt;&gt;"",K679&lt;&gt;""),"OK","pendente: só um nome (o GR completa ao converter)"))</f>
      </c>
      <c r="AA679" s="6">
        <f>IF(COUNTA(A679:S679)=0,"",IF(AND(A679&lt;&gt;"",B679&lt;&gt;"",C679&lt;&gt;"",D679&lt;&gt;"",E679&lt;&gt;"",F679&lt;&gt;"",G679&lt;&gt;"",H679&lt;&gt;"",OR(J679&lt;&gt;"",K679&lt;&gt;""),OR(M679&lt;&gt;"",N679&lt;&gt;"",O679&lt;&gt;"")),"OK","ERRO: faltam "&amp;IF(A679="","SDR; ","")&amp;IF(B679="","Proprietário; ","")&amp;IF(C679="","Origem; ","")&amp;IF(D679="","Temperatura; ","")&amp;IF(E679="","Segmento; ","")&amp;IF(F679="","Time/Cluster; ","")&amp;IF(G679="","CNPJ; ","")&amp;IF(H679="","Razão Social; ","")&amp;IF(AND(J679="",K679=""),"nome do contato; ","")&amp;IF(AND(M679="",N679="",O679=""),"telefone, celular ou e-mail; ","")))</f>
      </c>
      <c r="AB679" s="6">
        <f>IF(COUNTA(A679:S679)=0,"",IF(AND(U679="OK",V679="OK",LEFT(W679,4)&lt;&gt;"ERRO",LEFT(X679,4)&lt;&gt;"ERRO",LEFT(Y679,4)&lt;&gt;"ERRO",AA679="OK"),"OK","REVISAR"))</f>
      </c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5"/>
      <c r="K680" s="4"/>
      <c r="L680" s="4"/>
      <c r="M680" s="4"/>
      <c r="N680" s="4"/>
      <c r="O680" s="4"/>
      <c r="P680" s="4"/>
      <c r="Q680" s="4"/>
      <c r="R680" s="4"/>
      <c r="S680" s="4"/>
      <c r="T680" s="6">
        <f>IF(G680="","",SUBSTITUTE(SUBSTITUTE(SUBSTITUTE(SUBSTITUTE(SUBSTITUTE(SUBSTITUTE(SUBSTITUTE(TRIM(G680),".",""),"/",""),"-","")," ",""),"(",""),")",""),"+",""))</f>
      </c>
      <c r="U680" s="6">
        <f>IF(T680="","",IF(LEN(T680)&lt;&gt;14,"ERRO: "&amp;LEN(T680)&amp;" dígitos",IF(NOT(ISNUMBER(VALUE(T680))),"ERRO: não numérico",IF(LEN(SUBSTITUTE(T680,LEFT(T680,1),""))=0,"ERRO: dígitos repetidos",IF(AND(VALUE(MID(T680,13,1))=IF(MOD(SUMPRODUCT(--MID(T680,{1,2,3,4,5,6,7,8,9,10,11,12},1),{5,4,3,2,9,8,7,6,5,4,3,2}),11)&lt;2,0,11-MOD(SUMPRODUCT(--MID(T680,{1,2,3,4,5,6,7,8,9,10,11,12},1),{5,4,3,2,9,8,7,6,5,4,3,2}),11)),VALUE(MID(T680,14,1))=IF(MOD(SUMPRODUCT(--MID(T680,{1,2,3,4,5,6,7,8,9,10,11,12,13},1),{6,5,4,3,2,9,8,7,6,5,4,3,2}),11)&lt;2,0,11-MOD(SUMPRODUCT(--MID(T680,{1,2,3,4,5,6,7,8,9,10,11,12,13},1),{6,5,4,3,2,9,8,7,6,5,4,3,2}),11))),"OK","ERRO: dígito verificador")))))</f>
      </c>
      <c r="V680" s="6">
        <f>IF(T680="","",IF(COUNTIF($T$2:$T$1001,T680)&gt;1,"DUPLICADO","OK"))</f>
      </c>
      <c r="W680" s="6">
        <f>IF(M680="","vazio",IF(OR(AND(LEN(SUBSTITUTE(SUBSTITUTE(SUBSTITUTE(SUBSTITUTE(SUBSTITUTE(SUBSTITUTE(SUBSTITUTE(TRIM(M680),".",""),"/",""),"-","")," ",""),"(",""),")",""),"+",""))=10,LEFT(SUBSTITUTE(SUBSTITUTE(SUBSTITUTE(SUBSTITUTE(SUBSTITUTE(SUBSTITUTE(SUBSTITUTE(TRIM(M680),".",""),"/",""),"-","")," ",""),"(",""),")",""),"+",""),1)&lt;&gt;"0"),AND(LEN(SUBSTITUTE(SUBSTITUTE(SUBSTITUTE(SUBSTITUTE(SUBSTITUTE(SUBSTITUTE(SUBSTITUTE(TRIM(M680),".",""),"/",""),"-","")," ",""),"(",""),")",""),"+",""))=11,LEFT(SUBSTITUTE(SUBSTITUTE(SUBSTITUTE(SUBSTITUTE(SUBSTITUTE(SUBSTITUTE(SUBSTITUTE(TRIM(M680),".",""),"/",""),"-","")," ",""),"(",""),")",""),"+",""),4)="0800")),"OK",IF(AND(LEN(SUBSTITUTE(SUBSTITUTE(SUBSTITUTE(SUBSTITUTE(SUBSTITUTE(SUBSTITUTE(SUBSTITUTE(TRIM(M680),".",""),"/",""),"-","")," ",""),"(",""),")",""),"+",""))=11,MID(SUBSTITUTE(SUBSTITUTE(SUBSTITUTE(SUBSTITUTE(SUBSTITUTE(SUBSTITUTE(SUBSTITUTE(TRIM(M680),".",""),"/",""),"-","")," ",""),"(",""),")",""),"+",""),3,1)="9"),"ERRO: é celular, use a coluna Celular","ERRO: DDD + 8 dígitos ou 0800 + 7")))</f>
      </c>
      <c r="X680" s="6">
        <f>IF(N680="","vazio",IF(AND(LEN(SUBSTITUTE(SUBSTITUTE(SUBSTITUTE(SUBSTITUTE(SUBSTITUTE(SUBSTITUTE(SUBSTITUTE(TRIM(N680),".",""),"/",""),"-","")," ",""),"(",""),")",""),"+",""))=11,MID(SUBSTITUTE(SUBSTITUTE(SUBSTITUTE(SUBSTITUTE(SUBSTITUTE(SUBSTITUTE(SUBSTITUTE(TRIM(N680),".",""),"/",""),"-","")," ",""),"(",""),")",""),"+",""),3,1)="9",LEFT(SUBSTITUTE(SUBSTITUTE(SUBSTITUTE(SUBSTITUTE(SUBSTITUTE(SUBSTITUTE(SUBSTITUTE(TRIM(N680),".",""),"/",""),"-","")," ",""),"(",""),")",""),"+",""),1)&lt;&gt;"0"),"OK",IF(LEN(SUBSTITUTE(SUBSTITUTE(SUBSTITUTE(SUBSTITUTE(SUBSTITUTE(SUBSTITUTE(SUBSTITUTE(TRIM(N680),".",""),"/",""),"-","")," ",""),"(",""),")",""),"+",""))=10,"ERRO: é fixo (ou falta o 9), use a coluna Telefone fixo","ERRO: DDD + 9 + 8 dígitos")))</f>
      </c>
      <c r="Y680" s="6">
        <f>IF(O680="","vazio",IF(AND(ISNUMBER(FIND("@",O680)),ISNUMBER(FIND(".",MID(O680,FIND("@",O680),99))),NOT(ISNUMBER(FIND(" ",TRIM(O680)))),NOT(ISNUMBER(FIND(";",O680))),NOT(ISNUMBER(FIND(",",O680)))),"OK","ERRO: um e-mail válido por linha"))</f>
      </c>
      <c r="Z680" s="6">
        <f>IF(AND(J680="",K680=""),"",IF(AND(J680&lt;&gt;"",K680&lt;&gt;""),"OK","pendente: só um nome (o GR completa ao converter)"))</f>
      </c>
      <c r="AA680" s="6">
        <f>IF(COUNTA(A680:S680)=0,"",IF(AND(A680&lt;&gt;"",B680&lt;&gt;"",C680&lt;&gt;"",D680&lt;&gt;"",E680&lt;&gt;"",F680&lt;&gt;"",G680&lt;&gt;"",H680&lt;&gt;"",OR(J680&lt;&gt;"",K680&lt;&gt;""),OR(M680&lt;&gt;"",N680&lt;&gt;"",O680&lt;&gt;"")),"OK","ERRO: faltam "&amp;IF(A680="","SDR; ","")&amp;IF(B680="","Proprietário; ","")&amp;IF(C680="","Origem; ","")&amp;IF(D680="","Temperatura; ","")&amp;IF(E680="","Segmento; ","")&amp;IF(F680="","Time/Cluster; ","")&amp;IF(G680="","CNPJ; ","")&amp;IF(H680="","Razão Social; ","")&amp;IF(AND(J680="",K680=""),"nome do contato; ","")&amp;IF(AND(M680="",N680="",O680=""),"telefone, celular ou e-mail; ","")))</f>
      </c>
      <c r="AB680" s="6">
        <f>IF(COUNTA(A680:S680)=0,"",IF(AND(U680="OK",V680="OK",LEFT(W680,4)&lt;&gt;"ERRO",LEFT(X680,4)&lt;&gt;"ERRO",LEFT(Y680,4)&lt;&gt;"ERRO",AA680="OK"),"OK","REVISAR"))</f>
      </c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5"/>
      <c r="K681" s="4"/>
      <c r="L681" s="4"/>
      <c r="M681" s="4"/>
      <c r="N681" s="4"/>
      <c r="O681" s="4"/>
      <c r="P681" s="4"/>
      <c r="Q681" s="4"/>
      <c r="R681" s="4"/>
      <c r="S681" s="4"/>
      <c r="T681" s="6">
        <f>IF(G681="","",SUBSTITUTE(SUBSTITUTE(SUBSTITUTE(SUBSTITUTE(SUBSTITUTE(SUBSTITUTE(SUBSTITUTE(TRIM(G681),".",""),"/",""),"-","")," ",""),"(",""),")",""),"+",""))</f>
      </c>
      <c r="U681" s="6">
        <f>IF(T681="","",IF(LEN(T681)&lt;&gt;14,"ERRO: "&amp;LEN(T681)&amp;" dígitos",IF(NOT(ISNUMBER(VALUE(T681))),"ERRO: não numérico",IF(LEN(SUBSTITUTE(T681,LEFT(T681,1),""))=0,"ERRO: dígitos repetidos",IF(AND(VALUE(MID(T681,13,1))=IF(MOD(SUMPRODUCT(--MID(T681,{1,2,3,4,5,6,7,8,9,10,11,12},1),{5,4,3,2,9,8,7,6,5,4,3,2}),11)&lt;2,0,11-MOD(SUMPRODUCT(--MID(T681,{1,2,3,4,5,6,7,8,9,10,11,12},1),{5,4,3,2,9,8,7,6,5,4,3,2}),11)),VALUE(MID(T681,14,1))=IF(MOD(SUMPRODUCT(--MID(T681,{1,2,3,4,5,6,7,8,9,10,11,12,13},1),{6,5,4,3,2,9,8,7,6,5,4,3,2}),11)&lt;2,0,11-MOD(SUMPRODUCT(--MID(T681,{1,2,3,4,5,6,7,8,9,10,11,12,13},1),{6,5,4,3,2,9,8,7,6,5,4,3,2}),11))),"OK","ERRO: dígito verificador")))))</f>
      </c>
      <c r="V681" s="6">
        <f>IF(T681="","",IF(COUNTIF($T$2:$T$1001,T681)&gt;1,"DUPLICADO","OK"))</f>
      </c>
      <c r="W681" s="6">
        <f>IF(M681="","vazio",IF(OR(AND(LEN(SUBSTITUTE(SUBSTITUTE(SUBSTITUTE(SUBSTITUTE(SUBSTITUTE(SUBSTITUTE(SUBSTITUTE(TRIM(M681),".",""),"/",""),"-","")," ",""),"(",""),")",""),"+",""))=10,LEFT(SUBSTITUTE(SUBSTITUTE(SUBSTITUTE(SUBSTITUTE(SUBSTITUTE(SUBSTITUTE(SUBSTITUTE(TRIM(M681),".",""),"/",""),"-","")," ",""),"(",""),")",""),"+",""),1)&lt;&gt;"0"),AND(LEN(SUBSTITUTE(SUBSTITUTE(SUBSTITUTE(SUBSTITUTE(SUBSTITUTE(SUBSTITUTE(SUBSTITUTE(TRIM(M681),".",""),"/",""),"-","")," ",""),"(",""),")",""),"+",""))=11,LEFT(SUBSTITUTE(SUBSTITUTE(SUBSTITUTE(SUBSTITUTE(SUBSTITUTE(SUBSTITUTE(SUBSTITUTE(TRIM(M681),".",""),"/",""),"-","")," ",""),"(",""),")",""),"+",""),4)="0800")),"OK",IF(AND(LEN(SUBSTITUTE(SUBSTITUTE(SUBSTITUTE(SUBSTITUTE(SUBSTITUTE(SUBSTITUTE(SUBSTITUTE(TRIM(M681),".",""),"/",""),"-","")," ",""),"(",""),")",""),"+",""))=11,MID(SUBSTITUTE(SUBSTITUTE(SUBSTITUTE(SUBSTITUTE(SUBSTITUTE(SUBSTITUTE(SUBSTITUTE(TRIM(M681),".",""),"/",""),"-","")," ",""),"(",""),")",""),"+",""),3,1)="9"),"ERRO: é celular, use a coluna Celular","ERRO: DDD + 8 dígitos ou 0800 + 7")))</f>
      </c>
      <c r="X681" s="6">
        <f>IF(N681="","vazio",IF(AND(LEN(SUBSTITUTE(SUBSTITUTE(SUBSTITUTE(SUBSTITUTE(SUBSTITUTE(SUBSTITUTE(SUBSTITUTE(TRIM(N681),".",""),"/",""),"-","")," ",""),"(",""),")",""),"+",""))=11,MID(SUBSTITUTE(SUBSTITUTE(SUBSTITUTE(SUBSTITUTE(SUBSTITUTE(SUBSTITUTE(SUBSTITUTE(TRIM(N681),".",""),"/",""),"-","")," ",""),"(",""),")",""),"+",""),3,1)="9",LEFT(SUBSTITUTE(SUBSTITUTE(SUBSTITUTE(SUBSTITUTE(SUBSTITUTE(SUBSTITUTE(SUBSTITUTE(TRIM(N681),".",""),"/",""),"-","")," ",""),"(",""),")",""),"+",""),1)&lt;&gt;"0"),"OK",IF(LEN(SUBSTITUTE(SUBSTITUTE(SUBSTITUTE(SUBSTITUTE(SUBSTITUTE(SUBSTITUTE(SUBSTITUTE(TRIM(N681),".",""),"/",""),"-","")," ",""),"(",""),")",""),"+",""))=10,"ERRO: é fixo (ou falta o 9), use a coluna Telefone fixo","ERRO: DDD + 9 + 8 dígitos")))</f>
      </c>
      <c r="Y681" s="6">
        <f>IF(O681="","vazio",IF(AND(ISNUMBER(FIND("@",O681)),ISNUMBER(FIND(".",MID(O681,FIND("@",O681),99))),NOT(ISNUMBER(FIND(" ",TRIM(O681)))),NOT(ISNUMBER(FIND(";",O681))),NOT(ISNUMBER(FIND(",",O681)))),"OK","ERRO: um e-mail válido por linha"))</f>
      </c>
      <c r="Z681" s="6">
        <f>IF(AND(J681="",K681=""),"",IF(AND(J681&lt;&gt;"",K681&lt;&gt;""),"OK","pendente: só um nome (o GR completa ao converter)"))</f>
      </c>
      <c r="AA681" s="6">
        <f>IF(COUNTA(A681:S681)=0,"",IF(AND(A681&lt;&gt;"",B681&lt;&gt;"",C681&lt;&gt;"",D681&lt;&gt;"",E681&lt;&gt;"",F681&lt;&gt;"",G681&lt;&gt;"",H681&lt;&gt;"",OR(J681&lt;&gt;"",K681&lt;&gt;""),OR(M681&lt;&gt;"",N681&lt;&gt;"",O681&lt;&gt;"")),"OK","ERRO: faltam "&amp;IF(A681="","SDR; ","")&amp;IF(B681="","Proprietário; ","")&amp;IF(C681="","Origem; ","")&amp;IF(D681="","Temperatura; ","")&amp;IF(E681="","Segmento; ","")&amp;IF(F681="","Time/Cluster; ","")&amp;IF(G681="","CNPJ; ","")&amp;IF(H681="","Razão Social; ","")&amp;IF(AND(J681="",K681=""),"nome do contato; ","")&amp;IF(AND(M681="",N681="",O681=""),"telefone, celular ou e-mail; ","")))</f>
      </c>
      <c r="AB681" s="6">
        <f>IF(COUNTA(A681:S681)=0,"",IF(AND(U681="OK",V681="OK",LEFT(W681,4)&lt;&gt;"ERRO",LEFT(X681,4)&lt;&gt;"ERRO",LEFT(Y681,4)&lt;&gt;"ERRO",AA681="OK"),"OK","REVISAR"))</f>
      </c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5"/>
      <c r="K682" s="4"/>
      <c r="L682" s="4"/>
      <c r="M682" s="4"/>
      <c r="N682" s="4"/>
      <c r="O682" s="4"/>
      <c r="P682" s="4"/>
      <c r="Q682" s="4"/>
      <c r="R682" s="4"/>
      <c r="S682" s="4"/>
      <c r="T682" s="6">
        <f>IF(G682="","",SUBSTITUTE(SUBSTITUTE(SUBSTITUTE(SUBSTITUTE(SUBSTITUTE(SUBSTITUTE(SUBSTITUTE(TRIM(G682),".",""),"/",""),"-","")," ",""),"(",""),")",""),"+",""))</f>
      </c>
      <c r="U682" s="6">
        <f>IF(T682="","",IF(LEN(T682)&lt;&gt;14,"ERRO: "&amp;LEN(T682)&amp;" dígitos",IF(NOT(ISNUMBER(VALUE(T682))),"ERRO: não numérico",IF(LEN(SUBSTITUTE(T682,LEFT(T682,1),""))=0,"ERRO: dígitos repetidos",IF(AND(VALUE(MID(T682,13,1))=IF(MOD(SUMPRODUCT(--MID(T682,{1,2,3,4,5,6,7,8,9,10,11,12},1),{5,4,3,2,9,8,7,6,5,4,3,2}),11)&lt;2,0,11-MOD(SUMPRODUCT(--MID(T682,{1,2,3,4,5,6,7,8,9,10,11,12},1),{5,4,3,2,9,8,7,6,5,4,3,2}),11)),VALUE(MID(T682,14,1))=IF(MOD(SUMPRODUCT(--MID(T682,{1,2,3,4,5,6,7,8,9,10,11,12,13},1),{6,5,4,3,2,9,8,7,6,5,4,3,2}),11)&lt;2,0,11-MOD(SUMPRODUCT(--MID(T682,{1,2,3,4,5,6,7,8,9,10,11,12,13},1),{6,5,4,3,2,9,8,7,6,5,4,3,2}),11))),"OK","ERRO: dígito verificador")))))</f>
      </c>
      <c r="V682" s="6">
        <f>IF(T682="","",IF(COUNTIF($T$2:$T$1001,T682)&gt;1,"DUPLICADO","OK"))</f>
      </c>
      <c r="W682" s="6">
        <f>IF(M682="","vazio",IF(OR(AND(LEN(SUBSTITUTE(SUBSTITUTE(SUBSTITUTE(SUBSTITUTE(SUBSTITUTE(SUBSTITUTE(SUBSTITUTE(TRIM(M682),".",""),"/",""),"-","")," ",""),"(",""),")",""),"+",""))=10,LEFT(SUBSTITUTE(SUBSTITUTE(SUBSTITUTE(SUBSTITUTE(SUBSTITUTE(SUBSTITUTE(SUBSTITUTE(TRIM(M682),".",""),"/",""),"-","")," ",""),"(",""),")",""),"+",""),1)&lt;&gt;"0"),AND(LEN(SUBSTITUTE(SUBSTITUTE(SUBSTITUTE(SUBSTITUTE(SUBSTITUTE(SUBSTITUTE(SUBSTITUTE(TRIM(M682),".",""),"/",""),"-","")," ",""),"(",""),")",""),"+",""))=11,LEFT(SUBSTITUTE(SUBSTITUTE(SUBSTITUTE(SUBSTITUTE(SUBSTITUTE(SUBSTITUTE(SUBSTITUTE(TRIM(M682),".",""),"/",""),"-","")," ",""),"(",""),")",""),"+",""),4)="0800")),"OK",IF(AND(LEN(SUBSTITUTE(SUBSTITUTE(SUBSTITUTE(SUBSTITUTE(SUBSTITUTE(SUBSTITUTE(SUBSTITUTE(TRIM(M682),".",""),"/",""),"-","")," ",""),"(",""),")",""),"+",""))=11,MID(SUBSTITUTE(SUBSTITUTE(SUBSTITUTE(SUBSTITUTE(SUBSTITUTE(SUBSTITUTE(SUBSTITUTE(TRIM(M682),".",""),"/",""),"-","")," ",""),"(",""),")",""),"+",""),3,1)="9"),"ERRO: é celular, use a coluna Celular","ERRO: DDD + 8 dígitos ou 0800 + 7")))</f>
      </c>
      <c r="X682" s="6">
        <f>IF(N682="","vazio",IF(AND(LEN(SUBSTITUTE(SUBSTITUTE(SUBSTITUTE(SUBSTITUTE(SUBSTITUTE(SUBSTITUTE(SUBSTITUTE(TRIM(N682),".",""),"/",""),"-","")," ",""),"(",""),")",""),"+",""))=11,MID(SUBSTITUTE(SUBSTITUTE(SUBSTITUTE(SUBSTITUTE(SUBSTITUTE(SUBSTITUTE(SUBSTITUTE(TRIM(N682),".",""),"/",""),"-","")," ",""),"(",""),")",""),"+",""),3,1)="9",LEFT(SUBSTITUTE(SUBSTITUTE(SUBSTITUTE(SUBSTITUTE(SUBSTITUTE(SUBSTITUTE(SUBSTITUTE(TRIM(N682),".",""),"/",""),"-","")," ",""),"(",""),")",""),"+",""),1)&lt;&gt;"0"),"OK",IF(LEN(SUBSTITUTE(SUBSTITUTE(SUBSTITUTE(SUBSTITUTE(SUBSTITUTE(SUBSTITUTE(SUBSTITUTE(TRIM(N682),".",""),"/",""),"-","")," ",""),"(",""),")",""),"+",""))=10,"ERRO: é fixo (ou falta o 9), use a coluna Telefone fixo","ERRO: DDD + 9 + 8 dígitos")))</f>
      </c>
      <c r="Y682" s="6">
        <f>IF(O682="","vazio",IF(AND(ISNUMBER(FIND("@",O682)),ISNUMBER(FIND(".",MID(O682,FIND("@",O682),99))),NOT(ISNUMBER(FIND(" ",TRIM(O682)))),NOT(ISNUMBER(FIND(";",O682))),NOT(ISNUMBER(FIND(",",O682)))),"OK","ERRO: um e-mail válido por linha"))</f>
      </c>
      <c r="Z682" s="6">
        <f>IF(AND(J682="",K682=""),"",IF(AND(J682&lt;&gt;"",K682&lt;&gt;""),"OK","pendente: só um nome (o GR completa ao converter)"))</f>
      </c>
      <c r="AA682" s="6">
        <f>IF(COUNTA(A682:S682)=0,"",IF(AND(A682&lt;&gt;"",B682&lt;&gt;"",C682&lt;&gt;"",D682&lt;&gt;"",E682&lt;&gt;"",F682&lt;&gt;"",G682&lt;&gt;"",H682&lt;&gt;"",OR(J682&lt;&gt;"",K682&lt;&gt;""),OR(M682&lt;&gt;"",N682&lt;&gt;"",O682&lt;&gt;"")),"OK","ERRO: faltam "&amp;IF(A682="","SDR; ","")&amp;IF(B682="","Proprietário; ","")&amp;IF(C682="","Origem; ","")&amp;IF(D682="","Temperatura; ","")&amp;IF(E682="","Segmento; ","")&amp;IF(F682="","Time/Cluster; ","")&amp;IF(G682="","CNPJ; ","")&amp;IF(H682="","Razão Social; ","")&amp;IF(AND(J682="",K682=""),"nome do contato; ","")&amp;IF(AND(M682="",N682="",O682=""),"telefone, celular ou e-mail; ","")))</f>
      </c>
      <c r="AB682" s="6">
        <f>IF(COUNTA(A682:S682)=0,"",IF(AND(U682="OK",V682="OK",LEFT(W682,4)&lt;&gt;"ERRO",LEFT(X682,4)&lt;&gt;"ERRO",LEFT(Y682,4)&lt;&gt;"ERRO",AA682="OK"),"OK","REVISAR"))</f>
      </c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5"/>
      <c r="K683" s="4"/>
      <c r="L683" s="4"/>
      <c r="M683" s="4"/>
      <c r="N683" s="4"/>
      <c r="O683" s="4"/>
      <c r="P683" s="4"/>
      <c r="Q683" s="4"/>
      <c r="R683" s="4"/>
      <c r="S683" s="4"/>
      <c r="T683" s="6">
        <f>IF(G683="","",SUBSTITUTE(SUBSTITUTE(SUBSTITUTE(SUBSTITUTE(SUBSTITUTE(SUBSTITUTE(SUBSTITUTE(TRIM(G683),".",""),"/",""),"-","")," ",""),"(",""),")",""),"+",""))</f>
      </c>
      <c r="U683" s="6">
        <f>IF(T683="","",IF(LEN(T683)&lt;&gt;14,"ERRO: "&amp;LEN(T683)&amp;" dígitos",IF(NOT(ISNUMBER(VALUE(T683))),"ERRO: não numérico",IF(LEN(SUBSTITUTE(T683,LEFT(T683,1),""))=0,"ERRO: dígitos repetidos",IF(AND(VALUE(MID(T683,13,1))=IF(MOD(SUMPRODUCT(--MID(T683,{1,2,3,4,5,6,7,8,9,10,11,12},1),{5,4,3,2,9,8,7,6,5,4,3,2}),11)&lt;2,0,11-MOD(SUMPRODUCT(--MID(T683,{1,2,3,4,5,6,7,8,9,10,11,12},1),{5,4,3,2,9,8,7,6,5,4,3,2}),11)),VALUE(MID(T683,14,1))=IF(MOD(SUMPRODUCT(--MID(T683,{1,2,3,4,5,6,7,8,9,10,11,12,13},1),{6,5,4,3,2,9,8,7,6,5,4,3,2}),11)&lt;2,0,11-MOD(SUMPRODUCT(--MID(T683,{1,2,3,4,5,6,7,8,9,10,11,12,13},1),{6,5,4,3,2,9,8,7,6,5,4,3,2}),11))),"OK","ERRO: dígito verificador")))))</f>
      </c>
      <c r="V683" s="6">
        <f>IF(T683="","",IF(COUNTIF($T$2:$T$1001,T683)&gt;1,"DUPLICADO","OK"))</f>
      </c>
      <c r="W683" s="6">
        <f>IF(M683="","vazio",IF(OR(AND(LEN(SUBSTITUTE(SUBSTITUTE(SUBSTITUTE(SUBSTITUTE(SUBSTITUTE(SUBSTITUTE(SUBSTITUTE(TRIM(M683),".",""),"/",""),"-","")," ",""),"(",""),")",""),"+",""))=10,LEFT(SUBSTITUTE(SUBSTITUTE(SUBSTITUTE(SUBSTITUTE(SUBSTITUTE(SUBSTITUTE(SUBSTITUTE(TRIM(M683),".",""),"/",""),"-","")," ",""),"(",""),")",""),"+",""),1)&lt;&gt;"0"),AND(LEN(SUBSTITUTE(SUBSTITUTE(SUBSTITUTE(SUBSTITUTE(SUBSTITUTE(SUBSTITUTE(SUBSTITUTE(TRIM(M683),".",""),"/",""),"-","")," ",""),"(",""),")",""),"+",""))=11,LEFT(SUBSTITUTE(SUBSTITUTE(SUBSTITUTE(SUBSTITUTE(SUBSTITUTE(SUBSTITUTE(SUBSTITUTE(TRIM(M683),".",""),"/",""),"-","")," ",""),"(",""),")",""),"+",""),4)="0800")),"OK",IF(AND(LEN(SUBSTITUTE(SUBSTITUTE(SUBSTITUTE(SUBSTITUTE(SUBSTITUTE(SUBSTITUTE(SUBSTITUTE(TRIM(M683),".",""),"/",""),"-","")," ",""),"(",""),")",""),"+",""))=11,MID(SUBSTITUTE(SUBSTITUTE(SUBSTITUTE(SUBSTITUTE(SUBSTITUTE(SUBSTITUTE(SUBSTITUTE(TRIM(M683),".",""),"/",""),"-","")," ",""),"(",""),")",""),"+",""),3,1)="9"),"ERRO: é celular, use a coluna Celular","ERRO: DDD + 8 dígitos ou 0800 + 7")))</f>
      </c>
      <c r="X683" s="6">
        <f>IF(N683="","vazio",IF(AND(LEN(SUBSTITUTE(SUBSTITUTE(SUBSTITUTE(SUBSTITUTE(SUBSTITUTE(SUBSTITUTE(SUBSTITUTE(TRIM(N683),".",""),"/",""),"-","")," ",""),"(",""),")",""),"+",""))=11,MID(SUBSTITUTE(SUBSTITUTE(SUBSTITUTE(SUBSTITUTE(SUBSTITUTE(SUBSTITUTE(SUBSTITUTE(TRIM(N683),".",""),"/",""),"-","")," ",""),"(",""),")",""),"+",""),3,1)="9",LEFT(SUBSTITUTE(SUBSTITUTE(SUBSTITUTE(SUBSTITUTE(SUBSTITUTE(SUBSTITUTE(SUBSTITUTE(TRIM(N683),".",""),"/",""),"-","")," ",""),"(",""),")",""),"+",""),1)&lt;&gt;"0"),"OK",IF(LEN(SUBSTITUTE(SUBSTITUTE(SUBSTITUTE(SUBSTITUTE(SUBSTITUTE(SUBSTITUTE(SUBSTITUTE(TRIM(N683),".",""),"/",""),"-","")," ",""),"(",""),")",""),"+",""))=10,"ERRO: é fixo (ou falta o 9), use a coluna Telefone fixo","ERRO: DDD + 9 + 8 dígitos")))</f>
      </c>
      <c r="Y683" s="6">
        <f>IF(O683="","vazio",IF(AND(ISNUMBER(FIND("@",O683)),ISNUMBER(FIND(".",MID(O683,FIND("@",O683),99))),NOT(ISNUMBER(FIND(" ",TRIM(O683)))),NOT(ISNUMBER(FIND(";",O683))),NOT(ISNUMBER(FIND(",",O683)))),"OK","ERRO: um e-mail válido por linha"))</f>
      </c>
      <c r="Z683" s="6">
        <f>IF(AND(J683="",K683=""),"",IF(AND(J683&lt;&gt;"",K683&lt;&gt;""),"OK","pendente: só um nome (o GR completa ao converter)"))</f>
      </c>
      <c r="AA683" s="6">
        <f>IF(COUNTA(A683:S683)=0,"",IF(AND(A683&lt;&gt;"",B683&lt;&gt;"",C683&lt;&gt;"",D683&lt;&gt;"",E683&lt;&gt;"",F683&lt;&gt;"",G683&lt;&gt;"",H683&lt;&gt;"",OR(J683&lt;&gt;"",K683&lt;&gt;""),OR(M683&lt;&gt;"",N683&lt;&gt;"",O683&lt;&gt;"")),"OK","ERRO: faltam "&amp;IF(A683="","SDR; ","")&amp;IF(B683="","Proprietário; ","")&amp;IF(C683="","Origem; ","")&amp;IF(D683="","Temperatura; ","")&amp;IF(E683="","Segmento; ","")&amp;IF(F683="","Time/Cluster; ","")&amp;IF(G683="","CNPJ; ","")&amp;IF(H683="","Razão Social; ","")&amp;IF(AND(J683="",K683=""),"nome do contato; ","")&amp;IF(AND(M683="",N683="",O683=""),"telefone, celular ou e-mail; ","")))</f>
      </c>
      <c r="AB683" s="6">
        <f>IF(COUNTA(A683:S683)=0,"",IF(AND(U683="OK",V683="OK",LEFT(W683,4)&lt;&gt;"ERRO",LEFT(X683,4)&lt;&gt;"ERRO",LEFT(Y683,4)&lt;&gt;"ERRO",AA683="OK"),"OK","REVISAR"))</f>
      </c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5"/>
      <c r="K684" s="4"/>
      <c r="L684" s="4"/>
      <c r="M684" s="4"/>
      <c r="N684" s="4"/>
      <c r="O684" s="4"/>
      <c r="P684" s="4"/>
      <c r="Q684" s="4"/>
      <c r="R684" s="4"/>
      <c r="S684" s="4"/>
      <c r="T684" s="6">
        <f>IF(G684="","",SUBSTITUTE(SUBSTITUTE(SUBSTITUTE(SUBSTITUTE(SUBSTITUTE(SUBSTITUTE(SUBSTITUTE(TRIM(G684),".",""),"/",""),"-","")," ",""),"(",""),")",""),"+",""))</f>
      </c>
      <c r="U684" s="6">
        <f>IF(T684="","",IF(LEN(T684)&lt;&gt;14,"ERRO: "&amp;LEN(T684)&amp;" dígitos",IF(NOT(ISNUMBER(VALUE(T684))),"ERRO: não numérico",IF(LEN(SUBSTITUTE(T684,LEFT(T684,1),""))=0,"ERRO: dígitos repetidos",IF(AND(VALUE(MID(T684,13,1))=IF(MOD(SUMPRODUCT(--MID(T684,{1,2,3,4,5,6,7,8,9,10,11,12},1),{5,4,3,2,9,8,7,6,5,4,3,2}),11)&lt;2,0,11-MOD(SUMPRODUCT(--MID(T684,{1,2,3,4,5,6,7,8,9,10,11,12},1),{5,4,3,2,9,8,7,6,5,4,3,2}),11)),VALUE(MID(T684,14,1))=IF(MOD(SUMPRODUCT(--MID(T684,{1,2,3,4,5,6,7,8,9,10,11,12,13},1),{6,5,4,3,2,9,8,7,6,5,4,3,2}),11)&lt;2,0,11-MOD(SUMPRODUCT(--MID(T684,{1,2,3,4,5,6,7,8,9,10,11,12,13},1),{6,5,4,3,2,9,8,7,6,5,4,3,2}),11))),"OK","ERRO: dígito verificador")))))</f>
      </c>
      <c r="V684" s="6">
        <f>IF(T684="","",IF(COUNTIF($T$2:$T$1001,T684)&gt;1,"DUPLICADO","OK"))</f>
      </c>
      <c r="W684" s="6">
        <f>IF(M684="","vazio",IF(OR(AND(LEN(SUBSTITUTE(SUBSTITUTE(SUBSTITUTE(SUBSTITUTE(SUBSTITUTE(SUBSTITUTE(SUBSTITUTE(TRIM(M684),".",""),"/",""),"-","")," ",""),"(",""),")",""),"+",""))=10,LEFT(SUBSTITUTE(SUBSTITUTE(SUBSTITUTE(SUBSTITUTE(SUBSTITUTE(SUBSTITUTE(SUBSTITUTE(TRIM(M684),".",""),"/",""),"-","")," ",""),"(",""),")",""),"+",""),1)&lt;&gt;"0"),AND(LEN(SUBSTITUTE(SUBSTITUTE(SUBSTITUTE(SUBSTITUTE(SUBSTITUTE(SUBSTITUTE(SUBSTITUTE(TRIM(M684),".",""),"/",""),"-","")," ",""),"(",""),")",""),"+",""))=11,LEFT(SUBSTITUTE(SUBSTITUTE(SUBSTITUTE(SUBSTITUTE(SUBSTITUTE(SUBSTITUTE(SUBSTITUTE(TRIM(M684),".",""),"/",""),"-","")," ",""),"(",""),")",""),"+",""),4)="0800")),"OK",IF(AND(LEN(SUBSTITUTE(SUBSTITUTE(SUBSTITUTE(SUBSTITUTE(SUBSTITUTE(SUBSTITUTE(SUBSTITUTE(TRIM(M684),".",""),"/",""),"-","")," ",""),"(",""),")",""),"+",""))=11,MID(SUBSTITUTE(SUBSTITUTE(SUBSTITUTE(SUBSTITUTE(SUBSTITUTE(SUBSTITUTE(SUBSTITUTE(TRIM(M684),".",""),"/",""),"-","")," ",""),"(",""),")",""),"+",""),3,1)="9"),"ERRO: é celular, use a coluna Celular","ERRO: DDD + 8 dígitos ou 0800 + 7")))</f>
      </c>
      <c r="X684" s="6">
        <f>IF(N684="","vazio",IF(AND(LEN(SUBSTITUTE(SUBSTITUTE(SUBSTITUTE(SUBSTITUTE(SUBSTITUTE(SUBSTITUTE(SUBSTITUTE(TRIM(N684),".",""),"/",""),"-","")," ",""),"(",""),")",""),"+",""))=11,MID(SUBSTITUTE(SUBSTITUTE(SUBSTITUTE(SUBSTITUTE(SUBSTITUTE(SUBSTITUTE(SUBSTITUTE(TRIM(N684),".",""),"/",""),"-","")," ",""),"(",""),")",""),"+",""),3,1)="9",LEFT(SUBSTITUTE(SUBSTITUTE(SUBSTITUTE(SUBSTITUTE(SUBSTITUTE(SUBSTITUTE(SUBSTITUTE(TRIM(N684),".",""),"/",""),"-","")," ",""),"(",""),")",""),"+",""),1)&lt;&gt;"0"),"OK",IF(LEN(SUBSTITUTE(SUBSTITUTE(SUBSTITUTE(SUBSTITUTE(SUBSTITUTE(SUBSTITUTE(SUBSTITUTE(TRIM(N684),".",""),"/",""),"-","")," ",""),"(",""),")",""),"+",""))=10,"ERRO: é fixo (ou falta o 9), use a coluna Telefone fixo","ERRO: DDD + 9 + 8 dígitos")))</f>
      </c>
      <c r="Y684" s="6">
        <f>IF(O684="","vazio",IF(AND(ISNUMBER(FIND("@",O684)),ISNUMBER(FIND(".",MID(O684,FIND("@",O684),99))),NOT(ISNUMBER(FIND(" ",TRIM(O684)))),NOT(ISNUMBER(FIND(";",O684))),NOT(ISNUMBER(FIND(",",O684)))),"OK","ERRO: um e-mail válido por linha"))</f>
      </c>
      <c r="Z684" s="6">
        <f>IF(AND(J684="",K684=""),"",IF(AND(J684&lt;&gt;"",K684&lt;&gt;""),"OK","pendente: só um nome (o GR completa ao converter)"))</f>
      </c>
      <c r="AA684" s="6">
        <f>IF(COUNTA(A684:S684)=0,"",IF(AND(A684&lt;&gt;"",B684&lt;&gt;"",C684&lt;&gt;"",D684&lt;&gt;"",E684&lt;&gt;"",F684&lt;&gt;"",G684&lt;&gt;"",H684&lt;&gt;"",OR(J684&lt;&gt;"",K684&lt;&gt;""),OR(M684&lt;&gt;"",N684&lt;&gt;"",O684&lt;&gt;"")),"OK","ERRO: faltam "&amp;IF(A684="","SDR; ","")&amp;IF(B684="","Proprietário; ","")&amp;IF(C684="","Origem; ","")&amp;IF(D684="","Temperatura; ","")&amp;IF(E684="","Segmento; ","")&amp;IF(F684="","Time/Cluster; ","")&amp;IF(G684="","CNPJ; ","")&amp;IF(H684="","Razão Social; ","")&amp;IF(AND(J684="",K684=""),"nome do contato; ","")&amp;IF(AND(M684="",N684="",O684=""),"telefone, celular ou e-mail; ","")))</f>
      </c>
      <c r="AB684" s="6">
        <f>IF(COUNTA(A684:S684)=0,"",IF(AND(U684="OK",V684="OK",LEFT(W684,4)&lt;&gt;"ERRO",LEFT(X684,4)&lt;&gt;"ERRO",LEFT(Y684,4)&lt;&gt;"ERRO",AA684="OK"),"OK","REVISAR"))</f>
      </c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5"/>
      <c r="K685" s="4"/>
      <c r="L685" s="4"/>
      <c r="M685" s="4"/>
      <c r="N685" s="4"/>
      <c r="O685" s="4"/>
      <c r="P685" s="4"/>
      <c r="Q685" s="4"/>
      <c r="R685" s="4"/>
      <c r="S685" s="4"/>
      <c r="T685" s="6">
        <f>IF(G685="","",SUBSTITUTE(SUBSTITUTE(SUBSTITUTE(SUBSTITUTE(SUBSTITUTE(SUBSTITUTE(SUBSTITUTE(TRIM(G685),".",""),"/",""),"-","")," ",""),"(",""),")",""),"+",""))</f>
      </c>
      <c r="U685" s="6">
        <f>IF(T685="","",IF(LEN(T685)&lt;&gt;14,"ERRO: "&amp;LEN(T685)&amp;" dígitos",IF(NOT(ISNUMBER(VALUE(T685))),"ERRO: não numérico",IF(LEN(SUBSTITUTE(T685,LEFT(T685,1),""))=0,"ERRO: dígitos repetidos",IF(AND(VALUE(MID(T685,13,1))=IF(MOD(SUMPRODUCT(--MID(T685,{1,2,3,4,5,6,7,8,9,10,11,12},1),{5,4,3,2,9,8,7,6,5,4,3,2}),11)&lt;2,0,11-MOD(SUMPRODUCT(--MID(T685,{1,2,3,4,5,6,7,8,9,10,11,12},1),{5,4,3,2,9,8,7,6,5,4,3,2}),11)),VALUE(MID(T685,14,1))=IF(MOD(SUMPRODUCT(--MID(T685,{1,2,3,4,5,6,7,8,9,10,11,12,13},1),{6,5,4,3,2,9,8,7,6,5,4,3,2}),11)&lt;2,0,11-MOD(SUMPRODUCT(--MID(T685,{1,2,3,4,5,6,7,8,9,10,11,12,13},1),{6,5,4,3,2,9,8,7,6,5,4,3,2}),11))),"OK","ERRO: dígito verificador")))))</f>
      </c>
      <c r="V685" s="6">
        <f>IF(T685="","",IF(COUNTIF($T$2:$T$1001,T685)&gt;1,"DUPLICADO","OK"))</f>
      </c>
      <c r="W685" s="6">
        <f>IF(M685="","vazio",IF(OR(AND(LEN(SUBSTITUTE(SUBSTITUTE(SUBSTITUTE(SUBSTITUTE(SUBSTITUTE(SUBSTITUTE(SUBSTITUTE(TRIM(M685),".",""),"/",""),"-","")," ",""),"(",""),")",""),"+",""))=10,LEFT(SUBSTITUTE(SUBSTITUTE(SUBSTITUTE(SUBSTITUTE(SUBSTITUTE(SUBSTITUTE(SUBSTITUTE(TRIM(M685),".",""),"/",""),"-","")," ",""),"(",""),")",""),"+",""),1)&lt;&gt;"0"),AND(LEN(SUBSTITUTE(SUBSTITUTE(SUBSTITUTE(SUBSTITUTE(SUBSTITUTE(SUBSTITUTE(SUBSTITUTE(TRIM(M685),".",""),"/",""),"-","")," ",""),"(",""),")",""),"+",""))=11,LEFT(SUBSTITUTE(SUBSTITUTE(SUBSTITUTE(SUBSTITUTE(SUBSTITUTE(SUBSTITUTE(SUBSTITUTE(TRIM(M685),".",""),"/",""),"-","")," ",""),"(",""),")",""),"+",""),4)="0800")),"OK",IF(AND(LEN(SUBSTITUTE(SUBSTITUTE(SUBSTITUTE(SUBSTITUTE(SUBSTITUTE(SUBSTITUTE(SUBSTITUTE(TRIM(M685),".",""),"/",""),"-","")," ",""),"(",""),")",""),"+",""))=11,MID(SUBSTITUTE(SUBSTITUTE(SUBSTITUTE(SUBSTITUTE(SUBSTITUTE(SUBSTITUTE(SUBSTITUTE(TRIM(M685),".",""),"/",""),"-","")," ",""),"(",""),")",""),"+",""),3,1)="9"),"ERRO: é celular, use a coluna Celular","ERRO: DDD + 8 dígitos ou 0800 + 7")))</f>
      </c>
      <c r="X685" s="6">
        <f>IF(N685="","vazio",IF(AND(LEN(SUBSTITUTE(SUBSTITUTE(SUBSTITUTE(SUBSTITUTE(SUBSTITUTE(SUBSTITUTE(SUBSTITUTE(TRIM(N685),".",""),"/",""),"-","")," ",""),"(",""),")",""),"+",""))=11,MID(SUBSTITUTE(SUBSTITUTE(SUBSTITUTE(SUBSTITUTE(SUBSTITUTE(SUBSTITUTE(SUBSTITUTE(TRIM(N685),".",""),"/",""),"-","")," ",""),"(",""),")",""),"+",""),3,1)="9",LEFT(SUBSTITUTE(SUBSTITUTE(SUBSTITUTE(SUBSTITUTE(SUBSTITUTE(SUBSTITUTE(SUBSTITUTE(TRIM(N685),".",""),"/",""),"-","")," ",""),"(",""),")",""),"+",""),1)&lt;&gt;"0"),"OK",IF(LEN(SUBSTITUTE(SUBSTITUTE(SUBSTITUTE(SUBSTITUTE(SUBSTITUTE(SUBSTITUTE(SUBSTITUTE(TRIM(N685),".",""),"/",""),"-","")," ",""),"(",""),")",""),"+",""))=10,"ERRO: é fixo (ou falta o 9), use a coluna Telefone fixo","ERRO: DDD + 9 + 8 dígitos")))</f>
      </c>
      <c r="Y685" s="6">
        <f>IF(O685="","vazio",IF(AND(ISNUMBER(FIND("@",O685)),ISNUMBER(FIND(".",MID(O685,FIND("@",O685),99))),NOT(ISNUMBER(FIND(" ",TRIM(O685)))),NOT(ISNUMBER(FIND(";",O685))),NOT(ISNUMBER(FIND(",",O685)))),"OK","ERRO: um e-mail válido por linha"))</f>
      </c>
      <c r="Z685" s="6">
        <f>IF(AND(J685="",K685=""),"",IF(AND(J685&lt;&gt;"",K685&lt;&gt;""),"OK","pendente: só um nome (o GR completa ao converter)"))</f>
      </c>
      <c r="AA685" s="6">
        <f>IF(COUNTA(A685:S685)=0,"",IF(AND(A685&lt;&gt;"",B685&lt;&gt;"",C685&lt;&gt;"",D685&lt;&gt;"",E685&lt;&gt;"",F685&lt;&gt;"",G685&lt;&gt;"",H685&lt;&gt;"",OR(J685&lt;&gt;"",K685&lt;&gt;""),OR(M685&lt;&gt;"",N685&lt;&gt;"",O685&lt;&gt;"")),"OK","ERRO: faltam "&amp;IF(A685="","SDR; ","")&amp;IF(B685="","Proprietário; ","")&amp;IF(C685="","Origem; ","")&amp;IF(D685="","Temperatura; ","")&amp;IF(E685="","Segmento; ","")&amp;IF(F685="","Time/Cluster; ","")&amp;IF(G685="","CNPJ; ","")&amp;IF(H685="","Razão Social; ","")&amp;IF(AND(J685="",K685=""),"nome do contato; ","")&amp;IF(AND(M685="",N685="",O685=""),"telefone, celular ou e-mail; ","")))</f>
      </c>
      <c r="AB685" s="6">
        <f>IF(COUNTA(A685:S685)=0,"",IF(AND(U685="OK",V685="OK",LEFT(W685,4)&lt;&gt;"ERRO",LEFT(X685,4)&lt;&gt;"ERRO",LEFT(Y685,4)&lt;&gt;"ERRO",AA685="OK"),"OK","REVISAR"))</f>
      </c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5"/>
      <c r="K686" s="4"/>
      <c r="L686" s="4"/>
      <c r="M686" s="4"/>
      <c r="N686" s="4"/>
      <c r="O686" s="4"/>
      <c r="P686" s="4"/>
      <c r="Q686" s="4"/>
      <c r="R686" s="4"/>
      <c r="S686" s="4"/>
      <c r="T686" s="6">
        <f>IF(G686="","",SUBSTITUTE(SUBSTITUTE(SUBSTITUTE(SUBSTITUTE(SUBSTITUTE(SUBSTITUTE(SUBSTITUTE(TRIM(G686),".",""),"/",""),"-","")," ",""),"(",""),")",""),"+",""))</f>
      </c>
      <c r="U686" s="6">
        <f>IF(T686="","",IF(LEN(T686)&lt;&gt;14,"ERRO: "&amp;LEN(T686)&amp;" dígitos",IF(NOT(ISNUMBER(VALUE(T686))),"ERRO: não numérico",IF(LEN(SUBSTITUTE(T686,LEFT(T686,1),""))=0,"ERRO: dígitos repetidos",IF(AND(VALUE(MID(T686,13,1))=IF(MOD(SUMPRODUCT(--MID(T686,{1,2,3,4,5,6,7,8,9,10,11,12},1),{5,4,3,2,9,8,7,6,5,4,3,2}),11)&lt;2,0,11-MOD(SUMPRODUCT(--MID(T686,{1,2,3,4,5,6,7,8,9,10,11,12},1),{5,4,3,2,9,8,7,6,5,4,3,2}),11)),VALUE(MID(T686,14,1))=IF(MOD(SUMPRODUCT(--MID(T686,{1,2,3,4,5,6,7,8,9,10,11,12,13},1),{6,5,4,3,2,9,8,7,6,5,4,3,2}),11)&lt;2,0,11-MOD(SUMPRODUCT(--MID(T686,{1,2,3,4,5,6,7,8,9,10,11,12,13},1),{6,5,4,3,2,9,8,7,6,5,4,3,2}),11))),"OK","ERRO: dígito verificador")))))</f>
      </c>
      <c r="V686" s="6">
        <f>IF(T686="","",IF(COUNTIF($T$2:$T$1001,T686)&gt;1,"DUPLICADO","OK"))</f>
      </c>
      <c r="W686" s="6">
        <f>IF(M686="","vazio",IF(OR(AND(LEN(SUBSTITUTE(SUBSTITUTE(SUBSTITUTE(SUBSTITUTE(SUBSTITUTE(SUBSTITUTE(SUBSTITUTE(TRIM(M686),".",""),"/",""),"-","")," ",""),"(",""),")",""),"+",""))=10,LEFT(SUBSTITUTE(SUBSTITUTE(SUBSTITUTE(SUBSTITUTE(SUBSTITUTE(SUBSTITUTE(SUBSTITUTE(TRIM(M686),".",""),"/",""),"-","")," ",""),"(",""),")",""),"+",""),1)&lt;&gt;"0"),AND(LEN(SUBSTITUTE(SUBSTITUTE(SUBSTITUTE(SUBSTITUTE(SUBSTITUTE(SUBSTITUTE(SUBSTITUTE(TRIM(M686),".",""),"/",""),"-","")," ",""),"(",""),")",""),"+",""))=11,LEFT(SUBSTITUTE(SUBSTITUTE(SUBSTITUTE(SUBSTITUTE(SUBSTITUTE(SUBSTITUTE(SUBSTITUTE(TRIM(M686),".",""),"/",""),"-","")," ",""),"(",""),")",""),"+",""),4)="0800")),"OK",IF(AND(LEN(SUBSTITUTE(SUBSTITUTE(SUBSTITUTE(SUBSTITUTE(SUBSTITUTE(SUBSTITUTE(SUBSTITUTE(TRIM(M686),".",""),"/",""),"-","")," ",""),"(",""),")",""),"+",""))=11,MID(SUBSTITUTE(SUBSTITUTE(SUBSTITUTE(SUBSTITUTE(SUBSTITUTE(SUBSTITUTE(SUBSTITUTE(TRIM(M686),".",""),"/",""),"-","")," ",""),"(",""),")",""),"+",""),3,1)="9"),"ERRO: é celular, use a coluna Celular","ERRO: DDD + 8 dígitos ou 0800 + 7")))</f>
      </c>
      <c r="X686" s="6">
        <f>IF(N686="","vazio",IF(AND(LEN(SUBSTITUTE(SUBSTITUTE(SUBSTITUTE(SUBSTITUTE(SUBSTITUTE(SUBSTITUTE(SUBSTITUTE(TRIM(N686),".",""),"/",""),"-","")," ",""),"(",""),")",""),"+",""))=11,MID(SUBSTITUTE(SUBSTITUTE(SUBSTITUTE(SUBSTITUTE(SUBSTITUTE(SUBSTITUTE(SUBSTITUTE(TRIM(N686),".",""),"/",""),"-","")," ",""),"(",""),")",""),"+",""),3,1)="9",LEFT(SUBSTITUTE(SUBSTITUTE(SUBSTITUTE(SUBSTITUTE(SUBSTITUTE(SUBSTITUTE(SUBSTITUTE(TRIM(N686),".",""),"/",""),"-","")," ",""),"(",""),")",""),"+",""),1)&lt;&gt;"0"),"OK",IF(LEN(SUBSTITUTE(SUBSTITUTE(SUBSTITUTE(SUBSTITUTE(SUBSTITUTE(SUBSTITUTE(SUBSTITUTE(TRIM(N686),".",""),"/",""),"-","")," ",""),"(",""),")",""),"+",""))=10,"ERRO: é fixo (ou falta o 9), use a coluna Telefone fixo","ERRO: DDD + 9 + 8 dígitos")))</f>
      </c>
      <c r="Y686" s="6">
        <f>IF(O686="","vazio",IF(AND(ISNUMBER(FIND("@",O686)),ISNUMBER(FIND(".",MID(O686,FIND("@",O686),99))),NOT(ISNUMBER(FIND(" ",TRIM(O686)))),NOT(ISNUMBER(FIND(";",O686))),NOT(ISNUMBER(FIND(",",O686)))),"OK","ERRO: um e-mail válido por linha"))</f>
      </c>
      <c r="Z686" s="6">
        <f>IF(AND(J686="",K686=""),"",IF(AND(J686&lt;&gt;"",K686&lt;&gt;""),"OK","pendente: só um nome (o GR completa ao converter)"))</f>
      </c>
      <c r="AA686" s="6">
        <f>IF(COUNTA(A686:S686)=0,"",IF(AND(A686&lt;&gt;"",B686&lt;&gt;"",C686&lt;&gt;"",D686&lt;&gt;"",E686&lt;&gt;"",F686&lt;&gt;"",G686&lt;&gt;"",H686&lt;&gt;"",OR(J686&lt;&gt;"",K686&lt;&gt;""),OR(M686&lt;&gt;"",N686&lt;&gt;"",O686&lt;&gt;"")),"OK","ERRO: faltam "&amp;IF(A686="","SDR; ","")&amp;IF(B686="","Proprietário; ","")&amp;IF(C686="","Origem; ","")&amp;IF(D686="","Temperatura; ","")&amp;IF(E686="","Segmento; ","")&amp;IF(F686="","Time/Cluster; ","")&amp;IF(G686="","CNPJ; ","")&amp;IF(H686="","Razão Social; ","")&amp;IF(AND(J686="",K686=""),"nome do contato; ","")&amp;IF(AND(M686="",N686="",O686=""),"telefone, celular ou e-mail; ","")))</f>
      </c>
      <c r="AB686" s="6">
        <f>IF(COUNTA(A686:S686)=0,"",IF(AND(U686="OK",V686="OK",LEFT(W686,4)&lt;&gt;"ERRO",LEFT(X686,4)&lt;&gt;"ERRO",LEFT(Y686,4)&lt;&gt;"ERRO",AA686="OK"),"OK","REVISAR"))</f>
      </c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5"/>
      <c r="K687" s="4"/>
      <c r="L687" s="4"/>
      <c r="M687" s="4"/>
      <c r="N687" s="4"/>
      <c r="O687" s="4"/>
      <c r="P687" s="4"/>
      <c r="Q687" s="4"/>
      <c r="R687" s="4"/>
      <c r="S687" s="4"/>
      <c r="T687" s="6">
        <f>IF(G687="","",SUBSTITUTE(SUBSTITUTE(SUBSTITUTE(SUBSTITUTE(SUBSTITUTE(SUBSTITUTE(SUBSTITUTE(TRIM(G687),".",""),"/",""),"-","")," ",""),"(",""),")",""),"+",""))</f>
      </c>
      <c r="U687" s="6">
        <f>IF(T687="","",IF(LEN(T687)&lt;&gt;14,"ERRO: "&amp;LEN(T687)&amp;" dígitos",IF(NOT(ISNUMBER(VALUE(T687))),"ERRO: não numérico",IF(LEN(SUBSTITUTE(T687,LEFT(T687,1),""))=0,"ERRO: dígitos repetidos",IF(AND(VALUE(MID(T687,13,1))=IF(MOD(SUMPRODUCT(--MID(T687,{1,2,3,4,5,6,7,8,9,10,11,12},1),{5,4,3,2,9,8,7,6,5,4,3,2}),11)&lt;2,0,11-MOD(SUMPRODUCT(--MID(T687,{1,2,3,4,5,6,7,8,9,10,11,12},1),{5,4,3,2,9,8,7,6,5,4,3,2}),11)),VALUE(MID(T687,14,1))=IF(MOD(SUMPRODUCT(--MID(T687,{1,2,3,4,5,6,7,8,9,10,11,12,13},1),{6,5,4,3,2,9,8,7,6,5,4,3,2}),11)&lt;2,0,11-MOD(SUMPRODUCT(--MID(T687,{1,2,3,4,5,6,7,8,9,10,11,12,13},1),{6,5,4,3,2,9,8,7,6,5,4,3,2}),11))),"OK","ERRO: dígito verificador")))))</f>
      </c>
      <c r="V687" s="6">
        <f>IF(T687="","",IF(COUNTIF($T$2:$T$1001,T687)&gt;1,"DUPLICADO","OK"))</f>
      </c>
      <c r="W687" s="6">
        <f>IF(M687="","vazio",IF(OR(AND(LEN(SUBSTITUTE(SUBSTITUTE(SUBSTITUTE(SUBSTITUTE(SUBSTITUTE(SUBSTITUTE(SUBSTITUTE(TRIM(M687),".",""),"/",""),"-","")," ",""),"(",""),")",""),"+",""))=10,LEFT(SUBSTITUTE(SUBSTITUTE(SUBSTITUTE(SUBSTITUTE(SUBSTITUTE(SUBSTITUTE(SUBSTITUTE(TRIM(M687),".",""),"/",""),"-","")," ",""),"(",""),")",""),"+",""),1)&lt;&gt;"0"),AND(LEN(SUBSTITUTE(SUBSTITUTE(SUBSTITUTE(SUBSTITUTE(SUBSTITUTE(SUBSTITUTE(SUBSTITUTE(TRIM(M687),".",""),"/",""),"-","")," ",""),"(",""),")",""),"+",""))=11,LEFT(SUBSTITUTE(SUBSTITUTE(SUBSTITUTE(SUBSTITUTE(SUBSTITUTE(SUBSTITUTE(SUBSTITUTE(TRIM(M687),".",""),"/",""),"-","")," ",""),"(",""),")",""),"+",""),4)="0800")),"OK",IF(AND(LEN(SUBSTITUTE(SUBSTITUTE(SUBSTITUTE(SUBSTITUTE(SUBSTITUTE(SUBSTITUTE(SUBSTITUTE(TRIM(M687),".",""),"/",""),"-","")," ",""),"(",""),")",""),"+",""))=11,MID(SUBSTITUTE(SUBSTITUTE(SUBSTITUTE(SUBSTITUTE(SUBSTITUTE(SUBSTITUTE(SUBSTITUTE(TRIM(M687),".",""),"/",""),"-","")," ",""),"(",""),")",""),"+",""),3,1)="9"),"ERRO: é celular, use a coluna Celular","ERRO: DDD + 8 dígitos ou 0800 + 7")))</f>
      </c>
      <c r="X687" s="6">
        <f>IF(N687="","vazio",IF(AND(LEN(SUBSTITUTE(SUBSTITUTE(SUBSTITUTE(SUBSTITUTE(SUBSTITUTE(SUBSTITUTE(SUBSTITUTE(TRIM(N687),".",""),"/",""),"-","")," ",""),"(",""),")",""),"+",""))=11,MID(SUBSTITUTE(SUBSTITUTE(SUBSTITUTE(SUBSTITUTE(SUBSTITUTE(SUBSTITUTE(SUBSTITUTE(TRIM(N687),".",""),"/",""),"-","")," ",""),"(",""),")",""),"+",""),3,1)="9",LEFT(SUBSTITUTE(SUBSTITUTE(SUBSTITUTE(SUBSTITUTE(SUBSTITUTE(SUBSTITUTE(SUBSTITUTE(TRIM(N687),".",""),"/",""),"-","")," ",""),"(",""),")",""),"+",""),1)&lt;&gt;"0"),"OK",IF(LEN(SUBSTITUTE(SUBSTITUTE(SUBSTITUTE(SUBSTITUTE(SUBSTITUTE(SUBSTITUTE(SUBSTITUTE(TRIM(N687),".",""),"/",""),"-","")," ",""),"(",""),")",""),"+",""))=10,"ERRO: é fixo (ou falta o 9), use a coluna Telefone fixo","ERRO: DDD + 9 + 8 dígitos")))</f>
      </c>
      <c r="Y687" s="6">
        <f>IF(O687="","vazio",IF(AND(ISNUMBER(FIND("@",O687)),ISNUMBER(FIND(".",MID(O687,FIND("@",O687),99))),NOT(ISNUMBER(FIND(" ",TRIM(O687)))),NOT(ISNUMBER(FIND(";",O687))),NOT(ISNUMBER(FIND(",",O687)))),"OK","ERRO: um e-mail válido por linha"))</f>
      </c>
      <c r="Z687" s="6">
        <f>IF(AND(J687="",K687=""),"",IF(AND(J687&lt;&gt;"",K687&lt;&gt;""),"OK","pendente: só um nome (o GR completa ao converter)"))</f>
      </c>
      <c r="AA687" s="6">
        <f>IF(COUNTA(A687:S687)=0,"",IF(AND(A687&lt;&gt;"",B687&lt;&gt;"",C687&lt;&gt;"",D687&lt;&gt;"",E687&lt;&gt;"",F687&lt;&gt;"",G687&lt;&gt;"",H687&lt;&gt;"",OR(J687&lt;&gt;"",K687&lt;&gt;""),OR(M687&lt;&gt;"",N687&lt;&gt;"",O687&lt;&gt;"")),"OK","ERRO: faltam "&amp;IF(A687="","SDR; ","")&amp;IF(B687="","Proprietário; ","")&amp;IF(C687="","Origem; ","")&amp;IF(D687="","Temperatura; ","")&amp;IF(E687="","Segmento; ","")&amp;IF(F687="","Time/Cluster; ","")&amp;IF(G687="","CNPJ; ","")&amp;IF(H687="","Razão Social; ","")&amp;IF(AND(J687="",K687=""),"nome do contato; ","")&amp;IF(AND(M687="",N687="",O687=""),"telefone, celular ou e-mail; ","")))</f>
      </c>
      <c r="AB687" s="6">
        <f>IF(COUNTA(A687:S687)=0,"",IF(AND(U687="OK",V687="OK",LEFT(W687,4)&lt;&gt;"ERRO",LEFT(X687,4)&lt;&gt;"ERRO",LEFT(Y687,4)&lt;&gt;"ERRO",AA687="OK"),"OK","REVISAR"))</f>
      </c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5"/>
      <c r="K688" s="4"/>
      <c r="L688" s="4"/>
      <c r="M688" s="4"/>
      <c r="N688" s="4"/>
      <c r="O688" s="4"/>
      <c r="P688" s="4"/>
      <c r="Q688" s="4"/>
      <c r="R688" s="4"/>
      <c r="S688" s="4"/>
      <c r="T688" s="6">
        <f>IF(G688="","",SUBSTITUTE(SUBSTITUTE(SUBSTITUTE(SUBSTITUTE(SUBSTITUTE(SUBSTITUTE(SUBSTITUTE(TRIM(G688),".",""),"/",""),"-","")," ",""),"(",""),")",""),"+",""))</f>
      </c>
      <c r="U688" s="6">
        <f>IF(T688="","",IF(LEN(T688)&lt;&gt;14,"ERRO: "&amp;LEN(T688)&amp;" dígitos",IF(NOT(ISNUMBER(VALUE(T688))),"ERRO: não numérico",IF(LEN(SUBSTITUTE(T688,LEFT(T688,1),""))=0,"ERRO: dígitos repetidos",IF(AND(VALUE(MID(T688,13,1))=IF(MOD(SUMPRODUCT(--MID(T688,{1,2,3,4,5,6,7,8,9,10,11,12},1),{5,4,3,2,9,8,7,6,5,4,3,2}),11)&lt;2,0,11-MOD(SUMPRODUCT(--MID(T688,{1,2,3,4,5,6,7,8,9,10,11,12},1),{5,4,3,2,9,8,7,6,5,4,3,2}),11)),VALUE(MID(T688,14,1))=IF(MOD(SUMPRODUCT(--MID(T688,{1,2,3,4,5,6,7,8,9,10,11,12,13},1),{6,5,4,3,2,9,8,7,6,5,4,3,2}),11)&lt;2,0,11-MOD(SUMPRODUCT(--MID(T688,{1,2,3,4,5,6,7,8,9,10,11,12,13},1),{6,5,4,3,2,9,8,7,6,5,4,3,2}),11))),"OK","ERRO: dígito verificador")))))</f>
      </c>
      <c r="V688" s="6">
        <f>IF(T688="","",IF(COUNTIF($T$2:$T$1001,T688)&gt;1,"DUPLICADO","OK"))</f>
      </c>
      <c r="W688" s="6">
        <f>IF(M688="","vazio",IF(OR(AND(LEN(SUBSTITUTE(SUBSTITUTE(SUBSTITUTE(SUBSTITUTE(SUBSTITUTE(SUBSTITUTE(SUBSTITUTE(TRIM(M688),".",""),"/",""),"-","")," ",""),"(",""),")",""),"+",""))=10,LEFT(SUBSTITUTE(SUBSTITUTE(SUBSTITUTE(SUBSTITUTE(SUBSTITUTE(SUBSTITUTE(SUBSTITUTE(TRIM(M688),".",""),"/",""),"-","")," ",""),"(",""),")",""),"+",""),1)&lt;&gt;"0"),AND(LEN(SUBSTITUTE(SUBSTITUTE(SUBSTITUTE(SUBSTITUTE(SUBSTITUTE(SUBSTITUTE(SUBSTITUTE(TRIM(M688),".",""),"/",""),"-","")," ",""),"(",""),")",""),"+",""))=11,LEFT(SUBSTITUTE(SUBSTITUTE(SUBSTITUTE(SUBSTITUTE(SUBSTITUTE(SUBSTITUTE(SUBSTITUTE(TRIM(M688),".",""),"/",""),"-","")," ",""),"(",""),")",""),"+",""),4)="0800")),"OK",IF(AND(LEN(SUBSTITUTE(SUBSTITUTE(SUBSTITUTE(SUBSTITUTE(SUBSTITUTE(SUBSTITUTE(SUBSTITUTE(TRIM(M688),".",""),"/",""),"-","")," ",""),"(",""),")",""),"+",""))=11,MID(SUBSTITUTE(SUBSTITUTE(SUBSTITUTE(SUBSTITUTE(SUBSTITUTE(SUBSTITUTE(SUBSTITUTE(TRIM(M688),".",""),"/",""),"-","")," ",""),"(",""),")",""),"+",""),3,1)="9"),"ERRO: é celular, use a coluna Celular","ERRO: DDD + 8 dígitos ou 0800 + 7")))</f>
      </c>
      <c r="X688" s="6">
        <f>IF(N688="","vazio",IF(AND(LEN(SUBSTITUTE(SUBSTITUTE(SUBSTITUTE(SUBSTITUTE(SUBSTITUTE(SUBSTITUTE(SUBSTITUTE(TRIM(N688),".",""),"/",""),"-","")," ",""),"(",""),")",""),"+",""))=11,MID(SUBSTITUTE(SUBSTITUTE(SUBSTITUTE(SUBSTITUTE(SUBSTITUTE(SUBSTITUTE(SUBSTITUTE(TRIM(N688),".",""),"/",""),"-","")," ",""),"(",""),")",""),"+",""),3,1)="9",LEFT(SUBSTITUTE(SUBSTITUTE(SUBSTITUTE(SUBSTITUTE(SUBSTITUTE(SUBSTITUTE(SUBSTITUTE(TRIM(N688),".",""),"/",""),"-","")," ",""),"(",""),")",""),"+",""),1)&lt;&gt;"0"),"OK",IF(LEN(SUBSTITUTE(SUBSTITUTE(SUBSTITUTE(SUBSTITUTE(SUBSTITUTE(SUBSTITUTE(SUBSTITUTE(TRIM(N688),".",""),"/",""),"-","")," ",""),"(",""),")",""),"+",""))=10,"ERRO: é fixo (ou falta o 9), use a coluna Telefone fixo","ERRO: DDD + 9 + 8 dígitos")))</f>
      </c>
      <c r="Y688" s="6">
        <f>IF(O688="","vazio",IF(AND(ISNUMBER(FIND("@",O688)),ISNUMBER(FIND(".",MID(O688,FIND("@",O688),99))),NOT(ISNUMBER(FIND(" ",TRIM(O688)))),NOT(ISNUMBER(FIND(";",O688))),NOT(ISNUMBER(FIND(",",O688)))),"OK","ERRO: um e-mail válido por linha"))</f>
      </c>
      <c r="Z688" s="6">
        <f>IF(AND(J688="",K688=""),"",IF(AND(J688&lt;&gt;"",K688&lt;&gt;""),"OK","pendente: só um nome (o GR completa ao converter)"))</f>
      </c>
      <c r="AA688" s="6">
        <f>IF(COUNTA(A688:S688)=0,"",IF(AND(A688&lt;&gt;"",B688&lt;&gt;"",C688&lt;&gt;"",D688&lt;&gt;"",E688&lt;&gt;"",F688&lt;&gt;"",G688&lt;&gt;"",H688&lt;&gt;"",OR(J688&lt;&gt;"",K688&lt;&gt;""),OR(M688&lt;&gt;"",N688&lt;&gt;"",O688&lt;&gt;"")),"OK","ERRO: faltam "&amp;IF(A688="","SDR; ","")&amp;IF(B688="","Proprietário; ","")&amp;IF(C688="","Origem; ","")&amp;IF(D688="","Temperatura; ","")&amp;IF(E688="","Segmento; ","")&amp;IF(F688="","Time/Cluster; ","")&amp;IF(G688="","CNPJ; ","")&amp;IF(H688="","Razão Social; ","")&amp;IF(AND(J688="",K688=""),"nome do contato; ","")&amp;IF(AND(M688="",N688="",O688=""),"telefone, celular ou e-mail; ","")))</f>
      </c>
      <c r="AB688" s="6">
        <f>IF(COUNTA(A688:S688)=0,"",IF(AND(U688="OK",V688="OK",LEFT(W688,4)&lt;&gt;"ERRO",LEFT(X688,4)&lt;&gt;"ERRO",LEFT(Y688,4)&lt;&gt;"ERRO",AA688="OK"),"OK","REVISAR"))</f>
      </c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5"/>
      <c r="K689" s="4"/>
      <c r="L689" s="4"/>
      <c r="M689" s="4"/>
      <c r="N689" s="4"/>
      <c r="O689" s="4"/>
      <c r="P689" s="4"/>
      <c r="Q689" s="4"/>
      <c r="R689" s="4"/>
      <c r="S689" s="4"/>
      <c r="T689" s="6">
        <f>IF(G689="","",SUBSTITUTE(SUBSTITUTE(SUBSTITUTE(SUBSTITUTE(SUBSTITUTE(SUBSTITUTE(SUBSTITUTE(TRIM(G689),".",""),"/",""),"-","")," ",""),"(",""),")",""),"+",""))</f>
      </c>
      <c r="U689" s="6">
        <f>IF(T689="","",IF(LEN(T689)&lt;&gt;14,"ERRO: "&amp;LEN(T689)&amp;" dígitos",IF(NOT(ISNUMBER(VALUE(T689))),"ERRO: não numérico",IF(LEN(SUBSTITUTE(T689,LEFT(T689,1),""))=0,"ERRO: dígitos repetidos",IF(AND(VALUE(MID(T689,13,1))=IF(MOD(SUMPRODUCT(--MID(T689,{1,2,3,4,5,6,7,8,9,10,11,12},1),{5,4,3,2,9,8,7,6,5,4,3,2}),11)&lt;2,0,11-MOD(SUMPRODUCT(--MID(T689,{1,2,3,4,5,6,7,8,9,10,11,12},1),{5,4,3,2,9,8,7,6,5,4,3,2}),11)),VALUE(MID(T689,14,1))=IF(MOD(SUMPRODUCT(--MID(T689,{1,2,3,4,5,6,7,8,9,10,11,12,13},1),{6,5,4,3,2,9,8,7,6,5,4,3,2}),11)&lt;2,0,11-MOD(SUMPRODUCT(--MID(T689,{1,2,3,4,5,6,7,8,9,10,11,12,13},1),{6,5,4,3,2,9,8,7,6,5,4,3,2}),11))),"OK","ERRO: dígito verificador")))))</f>
      </c>
      <c r="V689" s="6">
        <f>IF(T689="","",IF(COUNTIF($T$2:$T$1001,T689)&gt;1,"DUPLICADO","OK"))</f>
      </c>
      <c r="W689" s="6">
        <f>IF(M689="","vazio",IF(OR(AND(LEN(SUBSTITUTE(SUBSTITUTE(SUBSTITUTE(SUBSTITUTE(SUBSTITUTE(SUBSTITUTE(SUBSTITUTE(TRIM(M689),".",""),"/",""),"-","")," ",""),"(",""),")",""),"+",""))=10,LEFT(SUBSTITUTE(SUBSTITUTE(SUBSTITUTE(SUBSTITUTE(SUBSTITUTE(SUBSTITUTE(SUBSTITUTE(TRIM(M689),".",""),"/",""),"-","")," ",""),"(",""),")",""),"+",""),1)&lt;&gt;"0"),AND(LEN(SUBSTITUTE(SUBSTITUTE(SUBSTITUTE(SUBSTITUTE(SUBSTITUTE(SUBSTITUTE(SUBSTITUTE(TRIM(M689),".",""),"/",""),"-","")," ",""),"(",""),")",""),"+",""))=11,LEFT(SUBSTITUTE(SUBSTITUTE(SUBSTITUTE(SUBSTITUTE(SUBSTITUTE(SUBSTITUTE(SUBSTITUTE(TRIM(M689),".",""),"/",""),"-","")," ",""),"(",""),")",""),"+",""),4)="0800")),"OK",IF(AND(LEN(SUBSTITUTE(SUBSTITUTE(SUBSTITUTE(SUBSTITUTE(SUBSTITUTE(SUBSTITUTE(SUBSTITUTE(TRIM(M689),".",""),"/",""),"-","")," ",""),"(",""),")",""),"+",""))=11,MID(SUBSTITUTE(SUBSTITUTE(SUBSTITUTE(SUBSTITUTE(SUBSTITUTE(SUBSTITUTE(SUBSTITUTE(TRIM(M689),".",""),"/",""),"-","")," ",""),"(",""),")",""),"+",""),3,1)="9"),"ERRO: é celular, use a coluna Celular","ERRO: DDD + 8 dígitos ou 0800 + 7")))</f>
      </c>
      <c r="X689" s="6">
        <f>IF(N689="","vazio",IF(AND(LEN(SUBSTITUTE(SUBSTITUTE(SUBSTITUTE(SUBSTITUTE(SUBSTITUTE(SUBSTITUTE(SUBSTITUTE(TRIM(N689),".",""),"/",""),"-","")," ",""),"(",""),")",""),"+",""))=11,MID(SUBSTITUTE(SUBSTITUTE(SUBSTITUTE(SUBSTITUTE(SUBSTITUTE(SUBSTITUTE(SUBSTITUTE(TRIM(N689),".",""),"/",""),"-","")," ",""),"(",""),")",""),"+",""),3,1)="9",LEFT(SUBSTITUTE(SUBSTITUTE(SUBSTITUTE(SUBSTITUTE(SUBSTITUTE(SUBSTITUTE(SUBSTITUTE(TRIM(N689),".",""),"/",""),"-","")," ",""),"(",""),")",""),"+",""),1)&lt;&gt;"0"),"OK",IF(LEN(SUBSTITUTE(SUBSTITUTE(SUBSTITUTE(SUBSTITUTE(SUBSTITUTE(SUBSTITUTE(SUBSTITUTE(TRIM(N689),".",""),"/",""),"-","")," ",""),"(",""),")",""),"+",""))=10,"ERRO: é fixo (ou falta o 9), use a coluna Telefone fixo","ERRO: DDD + 9 + 8 dígitos")))</f>
      </c>
      <c r="Y689" s="6">
        <f>IF(O689="","vazio",IF(AND(ISNUMBER(FIND("@",O689)),ISNUMBER(FIND(".",MID(O689,FIND("@",O689),99))),NOT(ISNUMBER(FIND(" ",TRIM(O689)))),NOT(ISNUMBER(FIND(";",O689))),NOT(ISNUMBER(FIND(",",O689)))),"OK","ERRO: um e-mail válido por linha"))</f>
      </c>
      <c r="Z689" s="6">
        <f>IF(AND(J689="",K689=""),"",IF(AND(J689&lt;&gt;"",K689&lt;&gt;""),"OK","pendente: só um nome (o GR completa ao converter)"))</f>
      </c>
      <c r="AA689" s="6">
        <f>IF(COUNTA(A689:S689)=0,"",IF(AND(A689&lt;&gt;"",B689&lt;&gt;"",C689&lt;&gt;"",D689&lt;&gt;"",E689&lt;&gt;"",F689&lt;&gt;"",G689&lt;&gt;"",H689&lt;&gt;"",OR(J689&lt;&gt;"",K689&lt;&gt;""),OR(M689&lt;&gt;"",N689&lt;&gt;"",O689&lt;&gt;"")),"OK","ERRO: faltam "&amp;IF(A689="","SDR; ","")&amp;IF(B689="","Proprietário; ","")&amp;IF(C689="","Origem; ","")&amp;IF(D689="","Temperatura; ","")&amp;IF(E689="","Segmento; ","")&amp;IF(F689="","Time/Cluster; ","")&amp;IF(G689="","CNPJ; ","")&amp;IF(H689="","Razão Social; ","")&amp;IF(AND(J689="",K689=""),"nome do contato; ","")&amp;IF(AND(M689="",N689="",O689=""),"telefone, celular ou e-mail; ","")))</f>
      </c>
      <c r="AB689" s="6">
        <f>IF(COUNTA(A689:S689)=0,"",IF(AND(U689="OK",V689="OK",LEFT(W689,4)&lt;&gt;"ERRO",LEFT(X689,4)&lt;&gt;"ERRO",LEFT(Y689,4)&lt;&gt;"ERRO",AA689="OK"),"OK","REVISAR"))</f>
      </c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5"/>
      <c r="K690" s="4"/>
      <c r="L690" s="4"/>
      <c r="M690" s="4"/>
      <c r="N690" s="4"/>
      <c r="O690" s="4"/>
      <c r="P690" s="4"/>
      <c r="Q690" s="4"/>
      <c r="R690" s="4"/>
      <c r="S690" s="4"/>
      <c r="T690" s="6">
        <f>IF(G690="","",SUBSTITUTE(SUBSTITUTE(SUBSTITUTE(SUBSTITUTE(SUBSTITUTE(SUBSTITUTE(SUBSTITUTE(TRIM(G690),".",""),"/",""),"-","")," ",""),"(",""),")",""),"+",""))</f>
      </c>
      <c r="U690" s="6">
        <f>IF(T690="","",IF(LEN(T690)&lt;&gt;14,"ERRO: "&amp;LEN(T690)&amp;" dígitos",IF(NOT(ISNUMBER(VALUE(T690))),"ERRO: não numérico",IF(LEN(SUBSTITUTE(T690,LEFT(T690,1),""))=0,"ERRO: dígitos repetidos",IF(AND(VALUE(MID(T690,13,1))=IF(MOD(SUMPRODUCT(--MID(T690,{1,2,3,4,5,6,7,8,9,10,11,12},1),{5,4,3,2,9,8,7,6,5,4,3,2}),11)&lt;2,0,11-MOD(SUMPRODUCT(--MID(T690,{1,2,3,4,5,6,7,8,9,10,11,12},1),{5,4,3,2,9,8,7,6,5,4,3,2}),11)),VALUE(MID(T690,14,1))=IF(MOD(SUMPRODUCT(--MID(T690,{1,2,3,4,5,6,7,8,9,10,11,12,13},1),{6,5,4,3,2,9,8,7,6,5,4,3,2}),11)&lt;2,0,11-MOD(SUMPRODUCT(--MID(T690,{1,2,3,4,5,6,7,8,9,10,11,12,13},1),{6,5,4,3,2,9,8,7,6,5,4,3,2}),11))),"OK","ERRO: dígito verificador")))))</f>
      </c>
      <c r="V690" s="6">
        <f>IF(T690="","",IF(COUNTIF($T$2:$T$1001,T690)&gt;1,"DUPLICADO","OK"))</f>
      </c>
      <c r="W690" s="6">
        <f>IF(M690="","vazio",IF(OR(AND(LEN(SUBSTITUTE(SUBSTITUTE(SUBSTITUTE(SUBSTITUTE(SUBSTITUTE(SUBSTITUTE(SUBSTITUTE(TRIM(M690),".",""),"/",""),"-","")," ",""),"(",""),")",""),"+",""))=10,LEFT(SUBSTITUTE(SUBSTITUTE(SUBSTITUTE(SUBSTITUTE(SUBSTITUTE(SUBSTITUTE(SUBSTITUTE(TRIM(M690),".",""),"/",""),"-","")," ",""),"(",""),")",""),"+",""),1)&lt;&gt;"0"),AND(LEN(SUBSTITUTE(SUBSTITUTE(SUBSTITUTE(SUBSTITUTE(SUBSTITUTE(SUBSTITUTE(SUBSTITUTE(TRIM(M690),".",""),"/",""),"-","")," ",""),"(",""),")",""),"+",""))=11,LEFT(SUBSTITUTE(SUBSTITUTE(SUBSTITUTE(SUBSTITUTE(SUBSTITUTE(SUBSTITUTE(SUBSTITUTE(TRIM(M690),".",""),"/",""),"-","")," ",""),"(",""),")",""),"+",""),4)="0800")),"OK",IF(AND(LEN(SUBSTITUTE(SUBSTITUTE(SUBSTITUTE(SUBSTITUTE(SUBSTITUTE(SUBSTITUTE(SUBSTITUTE(TRIM(M690),".",""),"/",""),"-","")," ",""),"(",""),")",""),"+",""))=11,MID(SUBSTITUTE(SUBSTITUTE(SUBSTITUTE(SUBSTITUTE(SUBSTITUTE(SUBSTITUTE(SUBSTITUTE(TRIM(M690),".",""),"/",""),"-","")," ",""),"(",""),")",""),"+",""),3,1)="9"),"ERRO: é celular, use a coluna Celular","ERRO: DDD + 8 dígitos ou 0800 + 7")))</f>
      </c>
      <c r="X690" s="6">
        <f>IF(N690="","vazio",IF(AND(LEN(SUBSTITUTE(SUBSTITUTE(SUBSTITUTE(SUBSTITUTE(SUBSTITUTE(SUBSTITUTE(SUBSTITUTE(TRIM(N690),".",""),"/",""),"-","")," ",""),"(",""),")",""),"+",""))=11,MID(SUBSTITUTE(SUBSTITUTE(SUBSTITUTE(SUBSTITUTE(SUBSTITUTE(SUBSTITUTE(SUBSTITUTE(TRIM(N690),".",""),"/",""),"-","")," ",""),"(",""),")",""),"+",""),3,1)="9",LEFT(SUBSTITUTE(SUBSTITUTE(SUBSTITUTE(SUBSTITUTE(SUBSTITUTE(SUBSTITUTE(SUBSTITUTE(TRIM(N690),".",""),"/",""),"-","")," ",""),"(",""),")",""),"+",""),1)&lt;&gt;"0"),"OK",IF(LEN(SUBSTITUTE(SUBSTITUTE(SUBSTITUTE(SUBSTITUTE(SUBSTITUTE(SUBSTITUTE(SUBSTITUTE(TRIM(N690),".",""),"/",""),"-","")," ",""),"(",""),")",""),"+",""))=10,"ERRO: é fixo (ou falta o 9), use a coluna Telefone fixo","ERRO: DDD + 9 + 8 dígitos")))</f>
      </c>
      <c r="Y690" s="6">
        <f>IF(O690="","vazio",IF(AND(ISNUMBER(FIND("@",O690)),ISNUMBER(FIND(".",MID(O690,FIND("@",O690),99))),NOT(ISNUMBER(FIND(" ",TRIM(O690)))),NOT(ISNUMBER(FIND(";",O690))),NOT(ISNUMBER(FIND(",",O690)))),"OK","ERRO: um e-mail válido por linha"))</f>
      </c>
      <c r="Z690" s="6">
        <f>IF(AND(J690="",K690=""),"",IF(AND(J690&lt;&gt;"",K690&lt;&gt;""),"OK","pendente: só um nome (o GR completa ao converter)"))</f>
      </c>
      <c r="AA690" s="6">
        <f>IF(COUNTA(A690:S690)=0,"",IF(AND(A690&lt;&gt;"",B690&lt;&gt;"",C690&lt;&gt;"",D690&lt;&gt;"",E690&lt;&gt;"",F690&lt;&gt;"",G690&lt;&gt;"",H690&lt;&gt;"",OR(J690&lt;&gt;"",K690&lt;&gt;""),OR(M690&lt;&gt;"",N690&lt;&gt;"",O690&lt;&gt;"")),"OK","ERRO: faltam "&amp;IF(A690="","SDR; ","")&amp;IF(B690="","Proprietário; ","")&amp;IF(C690="","Origem; ","")&amp;IF(D690="","Temperatura; ","")&amp;IF(E690="","Segmento; ","")&amp;IF(F690="","Time/Cluster; ","")&amp;IF(G690="","CNPJ; ","")&amp;IF(H690="","Razão Social; ","")&amp;IF(AND(J690="",K690=""),"nome do contato; ","")&amp;IF(AND(M690="",N690="",O690=""),"telefone, celular ou e-mail; ","")))</f>
      </c>
      <c r="AB690" s="6">
        <f>IF(COUNTA(A690:S690)=0,"",IF(AND(U690="OK",V690="OK",LEFT(W690,4)&lt;&gt;"ERRO",LEFT(X690,4)&lt;&gt;"ERRO",LEFT(Y690,4)&lt;&gt;"ERRO",AA690="OK"),"OK","REVISAR"))</f>
      </c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5"/>
      <c r="K691" s="4"/>
      <c r="L691" s="4"/>
      <c r="M691" s="4"/>
      <c r="N691" s="4"/>
      <c r="O691" s="4"/>
      <c r="P691" s="4"/>
      <c r="Q691" s="4"/>
      <c r="R691" s="4"/>
      <c r="S691" s="4"/>
      <c r="T691" s="6">
        <f>IF(G691="","",SUBSTITUTE(SUBSTITUTE(SUBSTITUTE(SUBSTITUTE(SUBSTITUTE(SUBSTITUTE(SUBSTITUTE(TRIM(G691),".",""),"/",""),"-","")," ",""),"(",""),")",""),"+",""))</f>
      </c>
      <c r="U691" s="6">
        <f>IF(T691="","",IF(LEN(T691)&lt;&gt;14,"ERRO: "&amp;LEN(T691)&amp;" dígitos",IF(NOT(ISNUMBER(VALUE(T691))),"ERRO: não numérico",IF(LEN(SUBSTITUTE(T691,LEFT(T691,1),""))=0,"ERRO: dígitos repetidos",IF(AND(VALUE(MID(T691,13,1))=IF(MOD(SUMPRODUCT(--MID(T691,{1,2,3,4,5,6,7,8,9,10,11,12},1),{5,4,3,2,9,8,7,6,5,4,3,2}),11)&lt;2,0,11-MOD(SUMPRODUCT(--MID(T691,{1,2,3,4,5,6,7,8,9,10,11,12},1),{5,4,3,2,9,8,7,6,5,4,3,2}),11)),VALUE(MID(T691,14,1))=IF(MOD(SUMPRODUCT(--MID(T691,{1,2,3,4,5,6,7,8,9,10,11,12,13},1),{6,5,4,3,2,9,8,7,6,5,4,3,2}),11)&lt;2,0,11-MOD(SUMPRODUCT(--MID(T691,{1,2,3,4,5,6,7,8,9,10,11,12,13},1),{6,5,4,3,2,9,8,7,6,5,4,3,2}),11))),"OK","ERRO: dígito verificador")))))</f>
      </c>
      <c r="V691" s="6">
        <f>IF(T691="","",IF(COUNTIF($T$2:$T$1001,T691)&gt;1,"DUPLICADO","OK"))</f>
      </c>
      <c r="W691" s="6">
        <f>IF(M691="","vazio",IF(OR(AND(LEN(SUBSTITUTE(SUBSTITUTE(SUBSTITUTE(SUBSTITUTE(SUBSTITUTE(SUBSTITUTE(SUBSTITUTE(TRIM(M691),".",""),"/",""),"-","")," ",""),"(",""),")",""),"+",""))=10,LEFT(SUBSTITUTE(SUBSTITUTE(SUBSTITUTE(SUBSTITUTE(SUBSTITUTE(SUBSTITUTE(SUBSTITUTE(TRIM(M691),".",""),"/",""),"-","")," ",""),"(",""),")",""),"+",""),1)&lt;&gt;"0"),AND(LEN(SUBSTITUTE(SUBSTITUTE(SUBSTITUTE(SUBSTITUTE(SUBSTITUTE(SUBSTITUTE(SUBSTITUTE(TRIM(M691),".",""),"/",""),"-","")," ",""),"(",""),")",""),"+",""))=11,LEFT(SUBSTITUTE(SUBSTITUTE(SUBSTITUTE(SUBSTITUTE(SUBSTITUTE(SUBSTITUTE(SUBSTITUTE(TRIM(M691),".",""),"/",""),"-","")," ",""),"(",""),")",""),"+",""),4)="0800")),"OK",IF(AND(LEN(SUBSTITUTE(SUBSTITUTE(SUBSTITUTE(SUBSTITUTE(SUBSTITUTE(SUBSTITUTE(SUBSTITUTE(TRIM(M691),".",""),"/",""),"-","")," ",""),"(",""),")",""),"+",""))=11,MID(SUBSTITUTE(SUBSTITUTE(SUBSTITUTE(SUBSTITUTE(SUBSTITUTE(SUBSTITUTE(SUBSTITUTE(TRIM(M691),".",""),"/",""),"-","")," ",""),"(",""),")",""),"+",""),3,1)="9"),"ERRO: é celular, use a coluna Celular","ERRO: DDD + 8 dígitos ou 0800 + 7")))</f>
      </c>
      <c r="X691" s="6">
        <f>IF(N691="","vazio",IF(AND(LEN(SUBSTITUTE(SUBSTITUTE(SUBSTITUTE(SUBSTITUTE(SUBSTITUTE(SUBSTITUTE(SUBSTITUTE(TRIM(N691),".",""),"/",""),"-","")," ",""),"(",""),")",""),"+",""))=11,MID(SUBSTITUTE(SUBSTITUTE(SUBSTITUTE(SUBSTITUTE(SUBSTITUTE(SUBSTITUTE(SUBSTITUTE(TRIM(N691),".",""),"/",""),"-","")," ",""),"(",""),")",""),"+",""),3,1)="9",LEFT(SUBSTITUTE(SUBSTITUTE(SUBSTITUTE(SUBSTITUTE(SUBSTITUTE(SUBSTITUTE(SUBSTITUTE(TRIM(N691),".",""),"/",""),"-","")," ",""),"(",""),")",""),"+",""),1)&lt;&gt;"0"),"OK",IF(LEN(SUBSTITUTE(SUBSTITUTE(SUBSTITUTE(SUBSTITUTE(SUBSTITUTE(SUBSTITUTE(SUBSTITUTE(TRIM(N691),".",""),"/",""),"-","")," ",""),"(",""),")",""),"+",""))=10,"ERRO: é fixo (ou falta o 9), use a coluna Telefone fixo","ERRO: DDD + 9 + 8 dígitos")))</f>
      </c>
      <c r="Y691" s="6">
        <f>IF(O691="","vazio",IF(AND(ISNUMBER(FIND("@",O691)),ISNUMBER(FIND(".",MID(O691,FIND("@",O691),99))),NOT(ISNUMBER(FIND(" ",TRIM(O691)))),NOT(ISNUMBER(FIND(";",O691))),NOT(ISNUMBER(FIND(",",O691)))),"OK","ERRO: um e-mail válido por linha"))</f>
      </c>
      <c r="Z691" s="6">
        <f>IF(AND(J691="",K691=""),"",IF(AND(J691&lt;&gt;"",K691&lt;&gt;""),"OK","pendente: só um nome (o GR completa ao converter)"))</f>
      </c>
      <c r="AA691" s="6">
        <f>IF(COUNTA(A691:S691)=0,"",IF(AND(A691&lt;&gt;"",B691&lt;&gt;"",C691&lt;&gt;"",D691&lt;&gt;"",E691&lt;&gt;"",F691&lt;&gt;"",G691&lt;&gt;"",H691&lt;&gt;"",OR(J691&lt;&gt;"",K691&lt;&gt;""),OR(M691&lt;&gt;"",N691&lt;&gt;"",O691&lt;&gt;"")),"OK","ERRO: faltam "&amp;IF(A691="","SDR; ","")&amp;IF(B691="","Proprietário; ","")&amp;IF(C691="","Origem; ","")&amp;IF(D691="","Temperatura; ","")&amp;IF(E691="","Segmento; ","")&amp;IF(F691="","Time/Cluster; ","")&amp;IF(G691="","CNPJ; ","")&amp;IF(H691="","Razão Social; ","")&amp;IF(AND(J691="",K691=""),"nome do contato; ","")&amp;IF(AND(M691="",N691="",O691=""),"telefone, celular ou e-mail; ","")))</f>
      </c>
      <c r="AB691" s="6">
        <f>IF(COUNTA(A691:S691)=0,"",IF(AND(U691="OK",V691="OK",LEFT(W691,4)&lt;&gt;"ERRO",LEFT(X691,4)&lt;&gt;"ERRO",LEFT(Y691,4)&lt;&gt;"ERRO",AA691="OK"),"OK","REVISAR"))</f>
      </c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5"/>
      <c r="K692" s="4"/>
      <c r="L692" s="4"/>
      <c r="M692" s="4"/>
      <c r="N692" s="4"/>
      <c r="O692" s="4"/>
      <c r="P692" s="4"/>
      <c r="Q692" s="4"/>
      <c r="R692" s="4"/>
      <c r="S692" s="4"/>
      <c r="T692" s="6">
        <f>IF(G692="","",SUBSTITUTE(SUBSTITUTE(SUBSTITUTE(SUBSTITUTE(SUBSTITUTE(SUBSTITUTE(SUBSTITUTE(TRIM(G692),".",""),"/",""),"-","")," ",""),"(",""),")",""),"+",""))</f>
      </c>
      <c r="U692" s="6">
        <f>IF(T692="","",IF(LEN(T692)&lt;&gt;14,"ERRO: "&amp;LEN(T692)&amp;" dígitos",IF(NOT(ISNUMBER(VALUE(T692))),"ERRO: não numérico",IF(LEN(SUBSTITUTE(T692,LEFT(T692,1),""))=0,"ERRO: dígitos repetidos",IF(AND(VALUE(MID(T692,13,1))=IF(MOD(SUMPRODUCT(--MID(T692,{1,2,3,4,5,6,7,8,9,10,11,12},1),{5,4,3,2,9,8,7,6,5,4,3,2}),11)&lt;2,0,11-MOD(SUMPRODUCT(--MID(T692,{1,2,3,4,5,6,7,8,9,10,11,12},1),{5,4,3,2,9,8,7,6,5,4,3,2}),11)),VALUE(MID(T692,14,1))=IF(MOD(SUMPRODUCT(--MID(T692,{1,2,3,4,5,6,7,8,9,10,11,12,13},1),{6,5,4,3,2,9,8,7,6,5,4,3,2}),11)&lt;2,0,11-MOD(SUMPRODUCT(--MID(T692,{1,2,3,4,5,6,7,8,9,10,11,12,13},1),{6,5,4,3,2,9,8,7,6,5,4,3,2}),11))),"OK","ERRO: dígito verificador")))))</f>
      </c>
      <c r="V692" s="6">
        <f>IF(T692="","",IF(COUNTIF($T$2:$T$1001,T692)&gt;1,"DUPLICADO","OK"))</f>
      </c>
      <c r="W692" s="6">
        <f>IF(M692="","vazio",IF(OR(AND(LEN(SUBSTITUTE(SUBSTITUTE(SUBSTITUTE(SUBSTITUTE(SUBSTITUTE(SUBSTITUTE(SUBSTITUTE(TRIM(M692),".",""),"/",""),"-","")," ",""),"(",""),")",""),"+",""))=10,LEFT(SUBSTITUTE(SUBSTITUTE(SUBSTITUTE(SUBSTITUTE(SUBSTITUTE(SUBSTITUTE(SUBSTITUTE(TRIM(M692),".",""),"/",""),"-","")," ",""),"(",""),")",""),"+",""),1)&lt;&gt;"0"),AND(LEN(SUBSTITUTE(SUBSTITUTE(SUBSTITUTE(SUBSTITUTE(SUBSTITUTE(SUBSTITUTE(SUBSTITUTE(TRIM(M692),".",""),"/",""),"-","")," ",""),"(",""),")",""),"+",""))=11,LEFT(SUBSTITUTE(SUBSTITUTE(SUBSTITUTE(SUBSTITUTE(SUBSTITUTE(SUBSTITUTE(SUBSTITUTE(TRIM(M692),".",""),"/",""),"-","")," ",""),"(",""),")",""),"+",""),4)="0800")),"OK",IF(AND(LEN(SUBSTITUTE(SUBSTITUTE(SUBSTITUTE(SUBSTITUTE(SUBSTITUTE(SUBSTITUTE(SUBSTITUTE(TRIM(M692),".",""),"/",""),"-","")," ",""),"(",""),")",""),"+",""))=11,MID(SUBSTITUTE(SUBSTITUTE(SUBSTITUTE(SUBSTITUTE(SUBSTITUTE(SUBSTITUTE(SUBSTITUTE(TRIM(M692),".",""),"/",""),"-","")," ",""),"(",""),")",""),"+",""),3,1)="9"),"ERRO: é celular, use a coluna Celular","ERRO: DDD + 8 dígitos ou 0800 + 7")))</f>
      </c>
      <c r="X692" s="6">
        <f>IF(N692="","vazio",IF(AND(LEN(SUBSTITUTE(SUBSTITUTE(SUBSTITUTE(SUBSTITUTE(SUBSTITUTE(SUBSTITUTE(SUBSTITUTE(TRIM(N692),".",""),"/",""),"-","")," ",""),"(",""),")",""),"+",""))=11,MID(SUBSTITUTE(SUBSTITUTE(SUBSTITUTE(SUBSTITUTE(SUBSTITUTE(SUBSTITUTE(SUBSTITUTE(TRIM(N692),".",""),"/",""),"-","")," ",""),"(",""),")",""),"+",""),3,1)="9",LEFT(SUBSTITUTE(SUBSTITUTE(SUBSTITUTE(SUBSTITUTE(SUBSTITUTE(SUBSTITUTE(SUBSTITUTE(TRIM(N692),".",""),"/",""),"-","")," ",""),"(",""),")",""),"+",""),1)&lt;&gt;"0"),"OK",IF(LEN(SUBSTITUTE(SUBSTITUTE(SUBSTITUTE(SUBSTITUTE(SUBSTITUTE(SUBSTITUTE(SUBSTITUTE(TRIM(N692),".",""),"/",""),"-","")," ",""),"(",""),")",""),"+",""))=10,"ERRO: é fixo (ou falta o 9), use a coluna Telefone fixo","ERRO: DDD + 9 + 8 dígitos")))</f>
      </c>
      <c r="Y692" s="6">
        <f>IF(O692="","vazio",IF(AND(ISNUMBER(FIND("@",O692)),ISNUMBER(FIND(".",MID(O692,FIND("@",O692),99))),NOT(ISNUMBER(FIND(" ",TRIM(O692)))),NOT(ISNUMBER(FIND(";",O692))),NOT(ISNUMBER(FIND(",",O692)))),"OK","ERRO: um e-mail válido por linha"))</f>
      </c>
      <c r="Z692" s="6">
        <f>IF(AND(J692="",K692=""),"",IF(AND(J692&lt;&gt;"",K692&lt;&gt;""),"OK","pendente: só um nome (o GR completa ao converter)"))</f>
      </c>
      <c r="AA692" s="6">
        <f>IF(COUNTA(A692:S692)=0,"",IF(AND(A692&lt;&gt;"",B692&lt;&gt;"",C692&lt;&gt;"",D692&lt;&gt;"",E692&lt;&gt;"",F692&lt;&gt;"",G692&lt;&gt;"",H692&lt;&gt;"",OR(J692&lt;&gt;"",K692&lt;&gt;""),OR(M692&lt;&gt;"",N692&lt;&gt;"",O692&lt;&gt;"")),"OK","ERRO: faltam "&amp;IF(A692="","SDR; ","")&amp;IF(B692="","Proprietário; ","")&amp;IF(C692="","Origem; ","")&amp;IF(D692="","Temperatura; ","")&amp;IF(E692="","Segmento; ","")&amp;IF(F692="","Time/Cluster; ","")&amp;IF(G692="","CNPJ; ","")&amp;IF(H692="","Razão Social; ","")&amp;IF(AND(J692="",K692=""),"nome do contato; ","")&amp;IF(AND(M692="",N692="",O692=""),"telefone, celular ou e-mail; ","")))</f>
      </c>
      <c r="AB692" s="6">
        <f>IF(COUNTA(A692:S692)=0,"",IF(AND(U692="OK",V692="OK",LEFT(W692,4)&lt;&gt;"ERRO",LEFT(X692,4)&lt;&gt;"ERRO",LEFT(Y692,4)&lt;&gt;"ERRO",AA692="OK"),"OK","REVISAR"))</f>
      </c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5"/>
      <c r="K693" s="4"/>
      <c r="L693" s="4"/>
      <c r="M693" s="4"/>
      <c r="N693" s="4"/>
      <c r="O693" s="4"/>
      <c r="P693" s="4"/>
      <c r="Q693" s="4"/>
      <c r="R693" s="4"/>
      <c r="S693" s="4"/>
      <c r="T693" s="6">
        <f>IF(G693="","",SUBSTITUTE(SUBSTITUTE(SUBSTITUTE(SUBSTITUTE(SUBSTITUTE(SUBSTITUTE(SUBSTITUTE(TRIM(G693),".",""),"/",""),"-","")," ",""),"(",""),")",""),"+",""))</f>
      </c>
      <c r="U693" s="6">
        <f>IF(T693="","",IF(LEN(T693)&lt;&gt;14,"ERRO: "&amp;LEN(T693)&amp;" dígitos",IF(NOT(ISNUMBER(VALUE(T693))),"ERRO: não numérico",IF(LEN(SUBSTITUTE(T693,LEFT(T693,1),""))=0,"ERRO: dígitos repetidos",IF(AND(VALUE(MID(T693,13,1))=IF(MOD(SUMPRODUCT(--MID(T693,{1,2,3,4,5,6,7,8,9,10,11,12},1),{5,4,3,2,9,8,7,6,5,4,3,2}),11)&lt;2,0,11-MOD(SUMPRODUCT(--MID(T693,{1,2,3,4,5,6,7,8,9,10,11,12},1),{5,4,3,2,9,8,7,6,5,4,3,2}),11)),VALUE(MID(T693,14,1))=IF(MOD(SUMPRODUCT(--MID(T693,{1,2,3,4,5,6,7,8,9,10,11,12,13},1),{6,5,4,3,2,9,8,7,6,5,4,3,2}),11)&lt;2,0,11-MOD(SUMPRODUCT(--MID(T693,{1,2,3,4,5,6,7,8,9,10,11,12,13},1),{6,5,4,3,2,9,8,7,6,5,4,3,2}),11))),"OK","ERRO: dígito verificador")))))</f>
      </c>
      <c r="V693" s="6">
        <f>IF(T693="","",IF(COUNTIF($T$2:$T$1001,T693)&gt;1,"DUPLICADO","OK"))</f>
      </c>
      <c r="W693" s="6">
        <f>IF(M693="","vazio",IF(OR(AND(LEN(SUBSTITUTE(SUBSTITUTE(SUBSTITUTE(SUBSTITUTE(SUBSTITUTE(SUBSTITUTE(SUBSTITUTE(TRIM(M693),".",""),"/",""),"-","")," ",""),"(",""),")",""),"+",""))=10,LEFT(SUBSTITUTE(SUBSTITUTE(SUBSTITUTE(SUBSTITUTE(SUBSTITUTE(SUBSTITUTE(SUBSTITUTE(TRIM(M693),".",""),"/",""),"-","")," ",""),"(",""),")",""),"+",""),1)&lt;&gt;"0"),AND(LEN(SUBSTITUTE(SUBSTITUTE(SUBSTITUTE(SUBSTITUTE(SUBSTITUTE(SUBSTITUTE(SUBSTITUTE(TRIM(M693),".",""),"/",""),"-","")," ",""),"(",""),")",""),"+",""))=11,LEFT(SUBSTITUTE(SUBSTITUTE(SUBSTITUTE(SUBSTITUTE(SUBSTITUTE(SUBSTITUTE(SUBSTITUTE(TRIM(M693),".",""),"/",""),"-","")," ",""),"(",""),")",""),"+",""),4)="0800")),"OK",IF(AND(LEN(SUBSTITUTE(SUBSTITUTE(SUBSTITUTE(SUBSTITUTE(SUBSTITUTE(SUBSTITUTE(SUBSTITUTE(TRIM(M693),".",""),"/",""),"-","")," ",""),"(",""),")",""),"+",""))=11,MID(SUBSTITUTE(SUBSTITUTE(SUBSTITUTE(SUBSTITUTE(SUBSTITUTE(SUBSTITUTE(SUBSTITUTE(TRIM(M693),".",""),"/",""),"-","")," ",""),"(",""),")",""),"+",""),3,1)="9"),"ERRO: é celular, use a coluna Celular","ERRO: DDD + 8 dígitos ou 0800 + 7")))</f>
      </c>
      <c r="X693" s="6">
        <f>IF(N693="","vazio",IF(AND(LEN(SUBSTITUTE(SUBSTITUTE(SUBSTITUTE(SUBSTITUTE(SUBSTITUTE(SUBSTITUTE(SUBSTITUTE(TRIM(N693),".",""),"/",""),"-","")," ",""),"(",""),")",""),"+",""))=11,MID(SUBSTITUTE(SUBSTITUTE(SUBSTITUTE(SUBSTITUTE(SUBSTITUTE(SUBSTITUTE(SUBSTITUTE(TRIM(N693),".",""),"/",""),"-","")," ",""),"(",""),")",""),"+",""),3,1)="9",LEFT(SUBSTITUTE(SUBSTITUTE(SUBSTITUTE(SUBSTITUTE(SUBSTITUTE(SUBSTITUTE(SUBSTITUTE(TRIM(N693),".",""),"/",""),"-","")," ",""),"(",""),")",""),"+",""),1)&lt;&gt;"0"),"OK",IF(LEN(SUBSTITUTE(SUBSTITUTE(SUBSTITUTE(SUBSTITUTE(SUBSTITUTE(SUBSTITUTE(SUBSTITUTE(TRIM(N693),".",""),"/",""),"-","")," ",""),"(",""),")",""),"+",""))=10,"ERRO: é fixo (ou falta o 9), use a coluna Telefone fixo","ERRO: DDD + 9 + 8 dígitos")))</f>
      </c>
      <c r="Y693" s="6">
        <f>IF(O693="","vazio",IF(AND(ISNUMBER(FIND("@",O693)),ISNUMBER(FIND(".",MID(O693,FIND("@",O693),99))),NOT(ISNUMBER(FIND(" ",TRIM(O693)))),NOT(ISNUMBER(FIND(";",O693))),NOT(ISNUMBER(FIND(",",O693)))),"OK","ERRO: um e-mail válido por linha"))</f>
      </c>
      <c r="Z693" s="6">
        <f>IF(AND(J693="",K693=""),"",IF(AND(J693&lt;&gt;"",K693&lt;&gt;""),"OK","pendente: só um nome (o GR completa ao converter)"))</f>
      </c>
      <c r="AA693" s="6">
        <f>IF(COUNTA(A693:S693)=0,"",IF(AND(A693&lt;&gt;"",B693&lt;&gt;"",C693&lt;&gt;"",D693&lt;&gt;"",E693&lt;&gt;"",F693&lt;&gt;"",G693&lt;&gt;"",H693&lt;&gt;"",OR(J693&lt;&gt;"",K693&lt;&gt;""),OR(M693&lt;&gt;"",N693&lt;&gt;"",O693&lt;&gt;"")),"OK","ERRO: faltam "&amp;IF(A693="","SDR; ","")&amp;IF(B693="","Proprietário; ","")&amp;IF(C693="","Origem; ","")&amp;IF(D693="","Temperatura; ","")&amp;IF(E693="","Segmento; ","")&amp;IF(F693="","Time/Cluster; ","")&amp;IF(G693="","CNPJ; ","")&amp;IF(H693="","Razão Social; ","")&amp;IF(AND(J693="",K693=""),"nome do contato; ","")&amp;IF(AND(M693="",N693="",O693=""),"telefone, celular ou e-mail; ","")))</f>
      </c>
      <c r="AB693" s="6">
        <f>IF(COUNTA(A693:S693)=0,"",IF(AND(U693="OK",V693="OK",LEFT(W693,4)&lt;&gt;"ERRO",LEFT(X693,4)&lt;&gt;"ERRO",LEFT(Y693,4)&lt;&gt;"ERRO",AA693="OK"),"OK","REVISAR"))</f>
      </c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5"/>
      <c r="K694" s="4"/>
      <c r="L694" s="4"/>
      <c r="M694" s="4"/>
      <c r="N694" s="4"/>
      <c r="O694" s="4"/>
      <c r="P694" s="4"/>
      <c r="Q694" s="4"/>
      <c r="R694" s="4"/>
      <c r="S694" s="4"/>
      <c r="T694" s="6">
        <f>IF(G694="","",SUBSTITUTE(SUBSTITUTE(SUBSTITUTE(SUBSTITUTE(SUBSTITUTE(SUBSTITUTE(SUBSTITUTE(TRIM(G694),".",""),"/",""),"-","")," ",""),"(",""),")",""),"+",""))</f>
      </c>
      <c r="U694" s="6">
        <f>IF(T694="","",IF(LEN(T694)&lt;&gt;14,"ERRO: "&amp;LEN(T694)&amp;" dígitos",IF(NOT(ISNUMBER(VALUE(T694))),"ERRO: não numérico",IF(LEN(SUBSTITUTE(T694,LEFT(T694,1),""))=0,"ERRO: dígitos repetidos",IF(AND(VALUE(MID(T694,13,1))=IF(MOD(SUMPRODUCT(--MID(T694,{1,2,3,4,5,6,7,8,9,10,11,12},1),{5,4,3,2,9,8,7,6,5,4,3,2}),11)&lt;2,0,11-MOD(SUMPRODUCT(--MID(T694,{1,2,3,4,5,6,7,8,9,10,11,12},1),{5,4,3,2,9,8,7,6,5,4,3,2}),11)),VALUE(MID(T694,14,1))=IF(MOD(SUMPRODUCT(--MID(T694,{1,2,3,4,5,6,7,8,9,10,11,12,13},1),{6,5,4,3,2,9,8,7,6,5,4,3,2}),11)&lt;2,0,11-MOD(SUMPRODUCT(--MID(T694,{1,2,3,4,5,6,7,8,9,10,11,12,13},1),{6,5,4,3,2,9,8,7,6,5,4,3,2}),11))),"OK","ERRO: dígito verificador")))))</f>
      </c>
      <c r="V694" s="6">
        <f>IF(T694="","",IF(COUNTIF($T$2:$T$1001,T694)&gt;1,"DUPLICADO","OK"))</f>
      </c>
      <c r="W694" s="6">
        <f>IF(M694="","vazio",IF(OR(AND(LEN(SUBSTITUTE(SUBSTITUTE(SUBSTITUTE(SUBSTITUTE(SUBSTITUTE(SUBSTITUTE(SUBSTITUTE(TRIM(M694),".",""),"/",""),"-","")," ",""),"(",""),")",""),"+",""))=10,LEFT(SUBSTITUTE(SUBSTITUTE(SUBSTITUTE(SUBSTITUTE(SUBSTITUTE(SUBSTITUTE(SUBSTITUTE(TRIM(M694),".",""),"/",""),"-","")," ",""),"(",""),")",""),"+",""),1)&lt;&gt;"0"),AND(LEN(SUBSTITUTE(SUBSTITUTE(SUBSTITUTE(SUBSTITUTE(SUBSTITUTE(SUBSTITUTE(SUBSTITUTE(TRIM(M694),".",""),"/",""),"-","")," ",""),"(",""),")",""),"+",""))=11,LEFT(SUBSTITUTE(SUBSTITUTE(SUBSTITUTE(SUBSTITUTE(SUBSTITUTE(SUBSTITUTE(SUBSTITUTE(TRIM(M694),".",""),"/",""),"-","")," ",""),"(",""),")",""),"+",""),4)="0800")),"OK",IF(AND(LEN(SUBSTITUTE(SUBSTITUTE(SUBSTITUTE(SUBSTITUTE(SUBSTITUTE(SUBSTITUTE(SUBSTITUTE(TRIM(M694),".",""),"/",""),"-","")," ",""),"(",""),")",""),"+",""))=11,MID(SUBSTITUTE(SUBSTITUTE(SUBSTITUTE(SUBSTITUTE(SUBSTITUTE(SUBSTITUTE(SUBSTITUTE(TRIM(M694),".",""),"/",""),"-","")," ",""),"(",""),")",""),"+",""),3,1)="9"),"ERRO: é celular, use a coluna Celular","ERRO: DDD + 8 dígitos ou 0800 + 7")))</f>
      </c>
      <c r="X694" s="6">
        <f>IF(N694="","vazio",IF(AND(LEN(SUBSTITUTE(SUBSTITUTE(SUBSTITUTE(SUBSTITUTE(SUBSTITUTE(SUBSTITUTE(SUBSTITUTE(TRIM(N694),".",""),"/",""),"-","")," ",""),"(",""),")",""),"+",""))=11,MID(SUBSTITUTE(SUBSTITUTE(SUBSTITUTE(SUBSTITUTE(SUBSTITUTE(SUBSTITUTE(SUBSTITUTE(TRIM(N694),".",""),"/",""),"-","")," ",""),"(",""),")",""),"+",""),3,1)="9",LEFT(SUBSTITUTE(SUBSTITUTE(SUBSTITUTE(SUBSTITUTE(SUBSTITUTE(SUBSTITUTE(SUBSTITUTE(TRIM(N694),".",""),"/",""),"-","")," ",""),"(",""),")",""),"+",""),1)&lt;&gt;"0"),"OK",IF(LEN(SUBSTITUTE(SUBSTITUTE(SUBSTITUTE(SUBSTITUTE(SUBSTITUTE(SUBSTITUTE(SUBSTITUTE(TRIM(N694),".",""),"/",""),"-","")," ",""),"(",""),")",""),"+",""))=10,"ERRO: é fixo (ou falta o 9), use a coluna Telefone fixo","ERRO: DDD + 9 + 8 dígitos")))</f>
      </c>
      <c r="Y694" s="6">
        <f>IF(O694="","vazio",IF(AND(ISNUMBER(FIND("@",O694)),ISNUMBER(FIND(".",MID(O694,FIND("@",O694),99))),NOT(ISNUMBER(FIND(" ",TRIM(O694)))),NOT(ISNUMBER(FIND(";",O694))),NOT(ISNUMBER(FIND(",",O694)))),"OK","ERRO: um e-mail válido por linha"))</f>
      </c>
      <c r="Z694" s="6">
        <f>IF(AND(J694="",K694=""),"",IF(AND(J694&lt;&gt;"",K694&lt;&gt;""),"OK","pendente: só um nome (o GR completa ao converter)"))</f>
      </c>
      <c r="AA694" s="6">
        <f>IF(COUNTA(A694:S694)=0,"",IF(AND(A694&lt;&gt;"",B694&lt;&gt;"",C694&lt;&gt;"",D694&lt;&gt;"",E694&lt;&gt;"",F694&lt;&gt;"",G694&lt;&gt;"",H694&lt;&gt;"",OR(J694&lt;&gt;"",K694&lt;&gt;""),OR(M694&lt;&gt;"",N694&lt;&gt;"",O694&lt;&gt;"")),"OK","ERRO: faltam "&amp;IF(A694="","SDR; ","")&amp;IF(B694="","Proprietário; ","")&amp;IF(C694="","Origem; ","")&amp;IF(D694="","Temperatura; ","")&amp;IF(E694="","Segmento; ","")&amp;IF(F694="","Time/Cluster; ","")&amp;IF(G694="","CNPJ; ","")&amp;IF(H694="","Razão Social; ","")&amp;IF(AND(J694="",K694=""),"nome do contato; ","")&amp;IF(AND(M694="",N694="",O694=""),"telefone, celular ou e-mail; ","")))</f>
      </c>
      <c r="AB694" s="6">
        <f>IF(COUNTA(A694:S694)=0,"",IF(AND(U694="OK",V694="OK",LEFT(W694,4)&lt;&gt;"ERRO",LEFT(X694,4)&lt;&gt;"ERRO",LEFT(Y694,4)&lt;&gt;"ERRO",AA694="OK"),"OK","REVISAR"))</f>
      </c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5"/>
      <c r="K695" s="4"/>
      <c r="L695" s="4"/>
      <c r="M695" s="4"/>
      <c r="N695" s="4"/>
      <c r="O695" s="4"/>
      <c r="P695" s="4"/>
      <c r="Q695" s="4"/>
      <c r="R695" s="4"/>
      <c r="S695" s="4"/>
      <c r="T695" s="6">
        <f>IF(G695="","",SUBSTITUTE(SUBSTITUTE(SUBSTITUTE(SUBSTITUTE(SUBSTITUTE(SUBSTITUTE(SUBSTITUTE(TRIM(G695),".",""),"/",""),"-","")," ",""),"(",""),")",""),"+",""))</f>
      </c>
      <c r="U695" s="6">
        <f>IF(T695="","",IF(LEN(T695)&lt;&gt;14,"ERRO: "&amp;LEN(T695)&amp;" dígitos",IF(NOT(ISNUMBER(VALUE(T695))),"ERRO: não numérico",IF(LEN(SUBSTITUTE(T695,LEFT(T695,1),""))=0,"ERRO: dígitos repetidos",IF(AND(VALUE(MID(T695,13,1))=IF(MOD(SUMPRODUCT(--MID(T695,{1,2,3,4,5,6,7,8,9,10,11,12},1),{5,4,3,2,9,8,7,6,5,4,3,2}),11)&lt;2,0,11-MOD(SUMPRODUCT(--MID(T695,{1,2,3,4,5,6,7,8,9,10,11,12},1),{5,4,3,2,9,8,7,6,5,4,3,2}),11)),VALUE(MID(T695,14,1))=IF(MOD(SUMPRODUCT(--MID(T695,{1,2,3,4,5,6,7,8,9,10,11,12,13},1),{6,5,4,3,2,9,8,7,6,5,4,3,2}),11)&lt;2,0,11-MOD(SUMPRODUCT(--MID(T695,{1,2,3,4,5,6,7,8,9,10,11,12,13},1),{6,5,4,3,2,9,8,7,6,5,4,3,2}),11))),"OK","ERRO: dígito verificador")))))</f>
      </c>
      <c r="V695" s="6">
        <f>IF(T695="","",IF(COUNTIF($T$2:$T$1001,T695)&gt;1,"DUPLICADO","OK"))</f>
      </c>
      <c r="W695" s="6">
        <f>IF(M695="","vazio",IF(OR(AND(LEN(SUBSTITUTE(SUBSTITUTE(SUBSTITUTE(SUBSTITUTE(SUBSTITUTE(SUBSTITUTE(SUBSTITUTE(TRIM(M695),".",""),"/",""),"-","")," ",""),"(",""),")",""),"+",""))=10,LEFT(SUBSTITUTE(SUBSTITUTE(SUBSTITUTE(SUBSTITUTE(SUBSTITUTE(SUBSTITUTE(SUBSTITUTE(TRIM(M695),".",""),"/",""),"-","")," ",""),"(",""),")",""),"+",""),1)&lt;&gt;"0"),AND(LEN(SUBSTITUTE(SUBSTITUTE(SUBSTITUTE(SUBSTITUTE(SUBSTITUTE(SUBSTITUTE(SUBSTITUTE(TRIM(M695),".",""),"/",""),"-","")," ",""),"(",""),")",""),"+",""))=11,LEFT(SUBSTITUTE(SUBSTITUTE(SUBSTITUTE(SUBSTITUTE(SUBSTITUTE(SUBSTITUTE(SUBSTITUTE(TRIM(M695),".",""),"/",""),"-","")," ",""),"(",""),")",""),"+",""),4)="0800")),"OK",IF(AND(LEN(SUBSTITUTE(SUBSTITUTE(SUBSTITUTE(SUBSTITUTE(SUBSTITUTE(SUBSTITUTE(SUBSTITUTE(TRIM(M695),".",""),"/",""),"-","")," ",""),"(",""),")",""),"+",""))=11,MID(SUBSTITUTE(SUBSTITUTE(SUBSTITUTE(SUBSTITUTE(SUBSTITUTE(SUBSTITUTE(SUBSTITUTE(TRIM(M695),".",""),"/",""),"-","")," ",""),"(",""),")",""),"+",""),3,1)="9"),"ERRO: é celular, use a coluna Celular","ERRO: DDD + 8 dígitos ou 0800 + 7")))</f>
      </c>
      <c r="X695" s="6">
        <f>IF(N695="","vazio",IF(AND(LEN(SUBSTITUTE(SUBSTITUTE(SUBSTITUTE(SUBSTITUTE(SUBSTITUTE(SUBSTITUTE(SUBSTITUTE(TRIM(N695),".",""),"/",""),"-","")," ",""),"(",""),")",""),"+",""))=11,MID(SUBSTITUTE(SUBSTITUTE(SUBSTITUTE(SUBSTITUTE(SUBSTITUTE(SUBSTITUTE(SUBSTITUTE(TRIM(N695),".",""),"/",""),"-","")," ",""),"(",""),")",""),"+",""),3,1)="9",LEFT(SUBSTITUTE(SUBSTITUTE(SUBSTITUTE(SUBSTITUTE(SUBSTITUTE(SUBSTITUTE(SUBSTITUTE(TRIM(N695),".",""),"/",""),"-","")," ",""),"(",""),")",""),"+",""),1)&lt;&gt;"0"),"OK",IF(LEN(SUBSTITUTE(SUBSTITUTE(SUBSTITUTE(SUBSTITUTE(SUBSTITUTE(SUBSTITUTE(SUBSTITUTE(TRIM(N695),".",""),"/",""),"-","")," ",""),"(",""),")",""),"+",""))=10,"ERRO: é fixo (ou falta o 9), use a coluna Telefone fixo","ERRO: DDD + 9 + 8 dígitos")))</f>
      </c>
      <c r="Y695" s="6">
        <f>IF(O695="","vazio",IF(AND(ISNUMBER(FIND("@",O695)),ISNUMBER(FIND(".",MID(O695,FIND("@",O695),99))),NOT(ISNUMBER(FIND(" ",TRIM(O695)))),NOT(ISNUMBER(FIND(";",O695))),NOT(ISNUMBER(FIND(",",O695)))),"OK","ERRO: um e-mail válido por linha"))</f>
      </c>
      <c r="Z695" s="6">
        <f>IF(AND(J695="",K695=""),"",IF(AND(J695&lt;&gt;"",K695&lt;&gt;""),"OK","pendente: só um nome (o GR completa ao converter)"))</f>
      </c>
      <c r="AA695" s="6">
        <f>IF(COUNTA(A695:S695)=0,"",IF(AND(A695&lt;&gt;"",B695&lt;&gt;"",C695&lt;&gt;"",D695&lt;&gt;"",E695&lt;&gt;"",F695&lt;&gt;"",G695&lt;&gt;"",H695&lt;&gt;"",OR(J695&lt;&gt;"",K695&lt;&gt;""),OR(M695&lt;&gt;"",N695&lt;&gt;"",O695&lt;&gt;"")),"OK","ERRO: faltam "&amp;IF(A695="","SDR; ","")&amp;IF(B695="","Proprietário; ","")&amp;IF(C695="","Origem; ","")&amp;IF(D695="","Temperatura; ","")&amp;IF(E695="","Segmento; ","")&amp;IF(F695="","Time/Cluster; ","")&amp;IF(G695="","CNPJ; ","")&amp;IF(H695="","Razão Social; ","")&amp;IF(AND(J695="",K695=""),"nome do contato; ","")&amp;IF(AND(M695="",N695="",O695=""),"telefone, celular ou e-mail; ","")))</f>
      </c>
      <c r="AB695" s="6">
        <f>IF(COUNTA(A695:S695)=0,"",IF(AND(U695="OK",V695="OK",LEFT(W695,4)&lt;&gt;"ERRO",LEFT(X695,4)&lt;&gt;"ERRO",LEFT(Y695,4)&lt;&gt;"ERRO",AA695="OK"),"OK","REVISAR"))</f>
      </c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5"/>
      <c r="K696" s="4"/>
      <c r="L696" s="4"/>
      <c r="M696" s="4"/>
      <c r="N696" s="4"/>
      <c r="O696" s="4"/>
      <c r="P696" s="4"/>
      <c r="Q696" s="4"/>
      <c r="R696" s="4"/>
      <c r="S696" s="4"/>
      <c r="T696" s="6">
        <f>IF(G696="","",SUBSTITUTE(SUBSTITUTE(SUBSTITUTE(SUBSTITUTE(SUBSTITUTE(SUBSTITUTE(SUBSTITUTE(TRIM(G696),".",""),"/",""),"-","")," ",""),"(",""),")",""),"+",""))</f>
      </c>
      <c r="U696" s="6">
        <f>IF(T696="","",IF(LEN(T696)&lt;&gt;14,"ERRO: "&amp;LEN(T696)&amp;" dígitos",IF(NOT(ISNUMBER(VALUE(T696))),"ERRO: não numérico",IF(LEN(SUBSTITUTE(T696,LEFT(T696,1),""))=0,"ERRO: dígitos repetidos",IF(AND(VALUE(MID(T696,13,1))=IF(MOD(SUMPRODUCT(--MID(T696,{1,2,3,4,5,6,7,8,9,10,11,12},1),{5,4,3,2,9,8,7,6,5,4,3,2}),11)&lt;2,0,11-MOD(SUMPRODUCT(--MID(T696,{1,2,3,4,5,6,7,8,9,10,11,12},1),{5,4,3,2,9,8,7,6,5,4,3,2}),11)),VALUE(MID(T696,14,1))=IF(MOD(SUMPRODUCT(--MID(T696,{1,2,3,4,5,6,7,8,9,10,11,12,13},1),{6,5,4,3,2,9,8,7,6,5,4,3,2}),11)&lt;2,0,11-MOD(SUMPRODUCT(--MID(T696,{1,2,3,4,5,6,7,8,9,10,11,12,13},1),{6,5,4,3,2,9,8,7,6,5,4,3,2}),11))),"OK","ERRO: dígito verificador")))))</f>
      </c>
      <c r="V696" s="6">
        <f>IF(T696="","",IF(COUNTIF($T$2:$T$1001,T696)&gt;1,"DUPLICADO","OK"))</f>
      </c>
      <c r="W696" s="6">
        <f>IF(M696="","vazio",IF(OR(AND(LEN(SUBSTITUTE(SUBSTITUTE(SUBSTITUTE(SUBSTITUTE(SUBSTITUTE(SUBSTITUTE(SUBSTITUTE(TRIM(M696),".",""),"/",""),"-","")," ",""),"(",""),")",""),"+",""))=10,LEFT(SUBSTITUTE(SUBSTITUTE(SUBSTITUTE(SUBSTITUTE(SUBSTITUTE(SUBSTITUTE(SUBSTITUTE(TRIM(M696),".",""),"/",""),"-","")," ",""),"(",""),")",""),"+",""),1)&lt;&gt;"0"),AND(LEN(SUBSTITUTE(SUBSTITUTE(SUBSTITUTE(SUBSTITUTE(SUBSTITUTE(SUBSTITUTE(SUBSTITUTE(TRIM(M696),".",""),"/",""),"-","")," ",""),"(",""),")",""),"+",""))=11,LEFT(SUBSTITUTE(SUBSTITUTE(SUBSTITUTE(SUBSTITUTE(SUBSTITUTE(SUBSTITUTE(SUBSTITUTE(TRIM(M696),".",""),"/",""),"-","")," ",""),"(",""),")",""),"+",""),4)="0800")),"OK",IF(AND(LEN(SUBSTITUTE(SUBSTITUTE(SUBSTITUTE(SUBSTITUTE(SUBSTITUTE(SUBSTITUTE(SUBSTITUTE(TRIM(M696),".",""),"/",""),"-","")," ",""),"(",""),")",""),"+",""))=11,MID(SUBSTITUTE(SUBSTITUTE(SUBSTITUTE(SUBSTITUTE(SUBSTITUTE(SUBSTITUTE(SUBSTITUTE(TRIM(M696),".",""),"/",""),"-","")," ",""),"(",""),")",""),"+",""),3,1)="9"),"ERRO: é celular, use a coluna Celular","ERRO: DDD + 8 dígitos ou 0800 + 7")))</f>
      </c>
      <c r="X696" s="6">
        <f>IF(N696="","vazio",IF(AND(LEN(SUBSTITUTE(SUBSTITUTE(SUBSTITUTE(SUBSTITUTE(SUBSTITUTE(SUBSTITUTE(SUBSTITUTE(TRIM(N696),".",""),"/",""),"-","")," ",""),"(",""),")",""),"+",""))=11,MID(SUBSTITUTE(SUBSTITUTE(SUBSTITUTE(SUBSTITUTE(SUBSTITUTE(SUBSTITUTE(SUBSTITUTE(TRIM(N696),".",""),"/",""),"-","")," ",""),"(",""),")",""),"+",""),3,1)="9",LEFT(SUBSTITUTE(SUBSTITUTE(SUBSTITUTE(SUBSTITUTE(SUBSTITUTE(SUBSTITUTE(SUBSTITUTE(TRIM(N696),".",""),"/",""),"-","")," ",""),"(",""),")",""),"+",""),1)&lt;&gt;"0"),"OK",IF(LEN(SUBSTITUTE(SUBSTITUTE(SUBSTITUTE(SUBSTITUTE(SUBSTITUTE(SUBSTITUTE(SUBSTITUTE(TRIM(N696),".",""),"/",""),"-","")," ",""),"(",""),")",""),"+",""))=10,"ERRO: é fixo (ou falta o 9), use a coluna Telefone fixo","ERRO: DDD + 9 + 8 dígitos")))</f>
      </c>
      <c r="Y696" s="6">
        <f>IF(O696="","vazio",IF(AND(ISNUMBER(FIND("@",O696)),ISNUMBER(FIND(".",MID(O696,FIND("@",O696),99))),NOT(ISNUMBER(FIND(" ",TRIM(O696)))),NOT(ISNUMBER(FIND(";",O696))),NOT(ISNUMBER(FIND(",",O696)))),"OK","ERRO: um e-mail válido por linha"))</f>
      </c>
      <c r="Z696" s="6">
        <f>IF(AND(J696="",K696=""),"",IF(AND(J696&lt;&gt;"",K696&lt;&gt;""),"OK","pendente: só um nome (o GR completa ao converter)"))</f>
      </c>
      <c r="AA696" s="6">
        <f>IF(COUNTA(A696:S696)=0,"",IF(AND(A696&lt;&gt;"",B696&lt;&gt;"",C696&lt;&gt;"",D696&lt;&gt;"",E696&lt;&gt;"",F696&lt;&gt;"",G696&lt;&gt;"",H696&lt;&gt;"",OR(J696&lt;&gt;"",K696&lt;&gt;""),OR(M696&lt;&gt;"",N696&lt;&gt;"",O696&lt;&gt;"")),"OK","ERRO: faltam "&amp;IF(A696="","SDR; ","")&amp;IF(B696="","Proprietário; ","")&amp;IF(C696="","Origem; ","")&amp;IF(D696="","Temperatura; ","")&amp;IF(E696="","Segmento; ","")&amp;IF(F696="","Time/Cluster; ","")&amp;IF(G696="","CNPJ; ","")&amp;IF(H696="","Razão Social; ","")&amp;IF(AND(J696="",K696=""),"nome do contato; ","")&amp;IF(AND(M696="",N696="",O696=""),"telefone, celular ou e-mail; ","")))</f>
      </c>
      <c r="AB696" s="6">
        <f>IF(COUNTA(A696:S696)=0,"",IF(AND(U696="OK",V696="OK",LEFT(W696,4)&lt;&gt;"ERRO",LEFT(X696,4)&lt;&gt;"ERRO",LEFT(Y696,4)&lt;&gt;"ERRO",AA696="OK"),"OK","REVISAR"))</f>
      </c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5"/>
      <c r="K697" s="4"/>
      <c r="L697" s="4"/>
      <c r="M697" s="4"/>
      <c r="N697" s="4"/>
      <c r="O697" s="4"/>
      <c r="P697" s="4"/>
      <c r="Q697" s="4"/>
      <c r="R697" s="4"/>
      <c r="S697" s="4"/>
      <c r="T697" s="6">
        <f>IF(G697="","",SUBSTITUTE(SUBSTITUTE(SUBSTITUTE(SUBSTITUTE(SUBSTITUTE(SUBSTITUTE(SUBSTITUTE(TRIM(G697),".",""),"/",""),"-","")," ",""),"(",""),")",""),"+",""))</f>
      </c>
      <c r="U697" s="6">
        <f>IF(T697="","",IF(LEN(T697)&lt;&gt;14,"ERRO: "&amp;LEN(T697)&amp;" dígitos",IF(NOT(ISNUMBER(VALUE(T697))),"ERRO: não numérico",IF(LEN(SUBSTITUTE(T697,LEFT(T697,1),""))=0,"ERRO: dígitos repetidos",IF(AND(VALUE(MID(T697,13,1))=IF(MOD(SUMPRODUCT(--MID(T697,{1,2,3,4,5,6,7,8,9,10,11,12},1),{5,4,3,2,9,8,7,6,5,4,3,2}),11)&lt;2,0,11-MOD(SUMPRODUCT(--MID(T697,{1,2,3,4,5,6,7,8,9,10,11,12},1),{5,4,3,2,9,8,7,6,5,4,3,2}),11)),VALUE(MID(T697,14,1))=IF(MOD(SUMPRODUCT(--MID(T697,{1,2,3,4,5,6,7,8,9,10,11,12,13},1),{6,5,4,3,2,9,8,7,6,5,4,3,2}),11)&lt;2,0,11-MOD(SUMPRODUCT(--MID(T697,{1,2,3,4,5,6,7,8,9,10,11,12,13},1),{6,5,4,3,2,9,8,7,6,5,4,3,2}),11))),"OK","ERRO: dígito verificador")))))</f>
      </c>
      <c r="V697" s="6">
        <f>IF(T697="","",IF(COUNTIF($T$2:$T$1001,T697)&gt;1,"DUPLICADO","OK"))</f>
      </c>
      <c r="W697" s="6">
        <f>IF(M697="","vazio",IF(OR(AND(LEN(SUBSTITUTE(SUBSTITUTE(SUBSTITUTE(SUBSTITUTE(SUBSTITUTE(SUBSTITUTE(SUBSTITUTE(TRIM(M697),".",""),"/",""),"-","")," ",""),"(",""),")",""),"+",""))=10,LEFT(SUBSTITUTE(SUBSTITUTE(SUBSTITUTE(SUBSTITUTE(SUBSTITUTE(SUBSTITUTE(SUBSTITUTE(TRIM(M697),".",""),"/",""),"-","")," ",""),"(",""),")",""),"+",""),1)&lt;&gt;"0"),AND(LEN(SUBSTITUTE(SUBSTITUTE(SUBSTITUTE(SUBSTITUTE(SUBSTITUTE(SUBSTITUTE(SUBSTITUTE(TRIM(M697),".",""),"/",""),"-","")," ",""),"(",""),")",""),"+",""))=11,LEFT(SUBSTITUTE(SUBSTITUTE(SUBSTITUTE(SUBSTITUTE(SUBSTITUTE(SUBSTITUTE(SUBSTITUTE(TRIM(M697),".",""),"/",""),"-","")," ",""),"(",""),")",""),"+",""),4)="0800")),"OK",IF(AND(LEN(SUBSTITUTE(SUBSTITUTE(SUBSTITUTE(SUBSTITUTE(SUBSTITUTE(SUBSTITUTE(SUBSTITUTE(TRIM(M697),".",""),"/",""),"-","")," ",""),"(",""),")",""),"+",""))=11,MID(SUBSTITUTE(SUBSTITUTE(SUBSTITUTE(SUBSTITUTE(SUBSTITUTE(SUBSTITUTE(SUBSTITUTE(TRIM(M697),".",""),"/",""),"-","")," ",""),"(",""),")",""),"+",""),3,1)="9"),"ERRO: é celular, use a coluna Celular","ERRO: DDD + 8 dígitos ou 0800 + 7")))</f>
      </c>
      <c r="X697" s="6">
        <f>IF(N697="","vazio",IF(AND(LEN(SUBSTITUTE(SUBSTITUTE(SUBSTITUTE(SUBSTITUTE(SUBSTITUTE(SUBSTITUTE(SUBSTITUTE(TRIM(N697),".",""),"/",""),"-","")," ",""),"(",""),")",""),"+",""))=11,MID(SUBSTITUTE(SUBSTITUTE(SUBSTITUTE(SUBSTITUTE(SUBSTITUTE(SUBSTITUTE(SUBSTITUTE(TRIM(N697),".",""),"/",""),"-","")," ",""),"(",""),")",""),"+",""),3,1)="9",LEFT(SUBSTITUTE(SUBSTITUTE(SUBSTITUTE(SUBSTITUTE(SUBSTITUTE(SUBSTITUTE(SUBSTITUTE(TRIM(N697),".",""),"/",""),"-","")," ",""),"(",""),")",""),"+",""),1)&lt;&gt;"0"),"OK",IF(LEN(SUBSTITUTE(SUBSTITUTE(SUBSTITUTE(SUBSTITUTE(SUBSTITUTE(SUBSTITUTE(SUBSTITUTE(TRIM(N697),".",""),"/",""),"-","")," ",""),"(",""),")",""),"+",""))=10,"ERRO: é fixo (ou falta o 9), use a coluna Telefone fixo","ERRO: DDD + 9 + 8 dígitos")))</f>
      </c>
      <c r="Y697" s="6">
        <f>IF(O697="","vazio",IF(AND(ISNUMBER(FIND("@",O697)),ISNUMBER(FIND(".",MID(O697,FIND("@",O697),99))),NOT(ISNUMBER(FIND(" ",TRIM(O697)))),NOT(ISNUMBER(FIND(";",O697))),NOT(ISNUMBER(FIND(",",O697)))),"OK","ERRO: um e-mail válido por linha"))</f>
      </c>
      <c r="Z697" s="6">
        <f>IF(AND(J697="",K697=""),"",IF(AND(J697&lt;&gt;"",K697&lt;&gt;""),"OK","pendente: só um nome (o GR completa ao converter)"))</f>
      </c>
      <c r="AA697" s="6">
        <f>IF(COUNTA(A697:S697)=0,"",IF(AND(A697&lt;&gt;"",B697&lt;&gt;"",C697&lt;&gt;"",D697&lt;&gt;"",E697&lt;&gt;"",F697&lt;&gt;"",G697&lt;&gt;"",H697&lt;&gt;"",OR(J697&lt;&gt;"",K697&lt;&gt;""),OR(M697&lt;&gt;"",N697&lt;&gt;"",O697&lt;&gt;"")),"OK","ERRO: faltam "&amp;IF(A697="","SDR; ","")&amp;IF(B697="","Proprietário; ","")&amp;IF(C697="","Origem; ","")&amp;IF(D697="","Temperatura; ","")&amp;IF(E697="","Segmento; ","")&amp;IF(F697="","Time/Cluster; ","")&amp;IF(G697="","CNPJ; ","")&amp;IF(H697="","Razão Social; ","")&amp;IF(AND(J697="",K697=""),"nome do contato; ","")&amp;IF(AND(M697="",N697="",O697=""),"telefone, celular ou e-mail; ","")))</f>
      </c>
      <c r="AB697" s="6">
        <f>IF(COUNTA(A697:S697)=0,"",IF(AND(U697="OK",V697="OK",LEFT(W697,4)&lt;&gt;"ERRO",LEFT(X697,4)&lt;&gt;"ERRO",LEFT(Y697,4)&lt;&gt;"ERRO",AA697="OK"),"OK","REVISAR"))</f>
      </c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5"/>
      <c r="K698" s="4"/>
      <c r="L698" s="4"/>
      <c r="M698" s="4"/>
      <c r="N698" s="4"/>
      <c r="O698" s="4"/>
      <c r="P698" s="4"/>
      <c r="Q698" s="4"/>
      <c r="R698" s="4"/>
      <c r="S698" s="4"/>
      <c r="T698" s="6">
        <f>IF(G698="","",SUBSTITUTE(SUBSTITUTE(SUBSTITUTE(SUBSTITUTE(SUBSTITUTE(SUBSTITUTE(SUBSTITUTE(TRIM(G698),".",""),"/",""),"-","")," ",""),"(",""),")",""),"+",""))</f>
      </c>
      <c r="U698" s="6">
        <f>IF(T698="","",IF(LEN(T698)&lt;&gt;14,"ERRO: "&amp;LEN(T698)&amp;" dígitos",IF(NOT(ISNUMBER(VALUE(T698))),"ERRO: não numérico",IF(LEN(SUBSTITUTE(T698,LEFT(T698,1),""))=0,"ERRO: dígitos repetidos",IF(AND(VALUE(MID(T698,13,1))=IF(MOD(SUMPRODUCT(--MID(T698,{1,2,3,4,5,6,7,8,9,10,11,12},1),{5,4,3,2,9,8,7,6,5,4,3,2}),11)&lt;2,0,11-MOD(SUMPRODUCT(--MID(T698,{1,2,3,4,5,6,7,8,9,10,11,12},1),{5,4,3,2,9,8,7,6,5,4,3,2}),11)),VALUE(MID(T698,14,1))=IF(MOD(SUMPRODUCT(--MID(T698,{1,2,3,4,5,6,7,8,9,10,11,12,13},1),{6,5,4,3,2,9,8,7,6,5,4,3,2}),11)&lt;2,0,11-MOD(SUMPRODUCT(--MID(T698,{1,2,3,4,5,6,7,8,9,10,11,12,13},1),{6,5,4,3,2,9,8,7,6,5,4,3,2}),11))),"OK","ERRO: dígito verificador")))))</f>
      </c>
      <c r="V698" s="6">
        <f>IF(T698="","",IF(COUNTIF($T$2:$T$1001,T698)&gt;1,"DUPLICADO","OK"))</f>
      </c>
      <c r="W698" s="6">
        <f>IF(M698="","vazio",IF(OR(AND(LEN(SUBSTITUTE(SUBSTITUTE(SUBSTITUTE(SUBSTITUTE(SUBSTITUTE(SUBSTITUTE(SUBSTITUTE(TRIM(M698),".",""),"/",""),"-","")," ",""),"(",""),")",""),"+",""))=10,LEFT(SUBSTITUTE(SUBSTITUTE(SUBSTITUTE(SUBSTITUTE(SUBSTITUTE(SUBSTITUTE(SUBSTITUTE(TRIM(M698),".",""),"/",""),"-","")," ",""),"(",""),")",""),"+",""),1)&lt;&gt;"0"),AND(LEN(SUBSTITUTE(SUBSTITUTE(SUBSTITUTE(SUBSTITUTE(SUBSTITUTE(SUBSTITUTE(SUBSTITUTE(TRIM(M698),".",""),"/",""),"-","")," ",""),"(",""),")",""),"+",""))=11,LEFT(SUBSTITUTE(SUBSTITUTE(SUBSTITUTE(SUBSTITUTE(SUBSTITUTE(SUBSTITUTE(SUBSTITUTE(TRIM(M698),".",""),"/",""),"-","")," ",""),"(",""),")",""),"+",""),4)="0800")),"OK",IF(AND(LEN(SUBSTITUTE(SUBSTITUTE(SUBSTITUTE(SUBSTITUTE(SUBSTITUTE(SUBSTITUTE(SUBSTITUTE(TRIM(M698),".",""),"/",""),"-","")," ",""),"(",""),")",""),"+",""))=11,MID(SUBSTITUTE(SUBSTITUTE(SUBSTITUTE(SUBSTITUTE(SUBSTITUTE(SUBSTITUTE(SUBSTITUTE(TRIM(M698),".",""),"/",""),"-","")," ",""),"(",""),")",""),"+",""),3,1)="9"),"ERRO: é celular, use a coluna Celular","ERRO: DDD + 8 dígitos ou 0800 + 7")))</f>
      </c>
      <c r="X698" s="6">
        <f>IF(N698="","vazio",IF(AND(LEN(SUBSTITUTE(SUBSTITUTE(SUBSTITUTE(SUBSTITUTE(SUBSTITUTE(SUBSTITUTE(SUBSTITUTE(TRIM(N698),".",""),"/",""),"-","")," ",""),"(",""),")",""),"+",""))=11,MID(SUBSTITUTE(SUBSTITUTE(SUBSTITUTE(SUBSTITUTE(SUBSTITUTE(SUBSTITUTE(SUBSTITUTE(TRIM(N698),".",""),"/",""),"-","")," ",""),"(",""),")",""),"+",""),3,1)="9",LEFT(SUBSTITUTE(SUBSTITUTE(SUBSTITUTE(SUBSTITUTE(SUBSTITUTE(SUBSTITUTE(SUBSTITUTE(TRIM(N698),".",""),"/",""),"-","")," ",""),"(",""),")",""),"+",""),1)&lt;&gt;"0"),"OK",IF(LEN(SUBSTITUTE(SUBSTITUTE(SUBSTITUTE(SUBSTITUTE(SUBSTITUTE(SUBSTITUTE(SUBSTITUTE(TRIM(N698),".",""),"/",""),"-","")," ",""),"(",""),")",""),"+",""))=10,"ERRO: é fixo (ou falta o 9), use a coluna Telefone fixo","ERRO: DDD + 9 + 8 dígitos")))</f>
      </c>
      <c r="Y698" s="6">
        <f>IF(O698="","vazio",IF(AND(ISNUMBER(FIND("@",O698)),ISNUMBER(FIND(".",MID(O698,FIND("@",O698),99))),NOT(ISNUMBER(FIND(" ",TRIM(O698)))),NOT(ISNUMBER(FIND(";",O698))),NOT(ISNUMBER(FIND(",",O698)))),"OK","ERRO: um e-mail válido por linha"))</f>
      </c>
      <c r="Z698" s="6">
        <f>IF(AND(J698="",K698=""),"",IF(AND(J698&lt;&gt;"",K698&lt;&gt;""),"OK","pendente: só um nome (o GR completa ao converter)"))</f>
      </c>
      <c r="AA698" s="6">
        <f>IF(COUNTA(A698:S698)=0,"",IF(AND(A698&lt;&gt;"",B698&lt;&gt;"",C698&lt;&gt;"",D698&lt;&gt;"",E698&lt;&gt;"",F698&lt;&gt;"",G698&lt;&gt;"",H698&lt;&gt;"",OR(J698&lt;&gt;"",K698&lt;&gt;""),OR(M698&lt;&gt;"",N698&lt;&gt;"",O698&lt;&gt;"")),"OK","ERRO: faltam "&amp;IF(A698="","SDR; ","")&amp;IF(B698="","Proprietário; ","")&amp;IF(C698="","Origem; ","")&amp;IF(D698="","Temperatura; ","")&amp;IF(E698="","Segmento; ","")&amp;IF(F698="","Time/Cluster; ","")&amp;IF(G698="","CNPJ; ","")&amp;IF(H698="","Razão Social; ","")&amp;IF(AND(J698="",K698=""),"nome do contato; ","")&amp;IF(AND(M698="",N698="",O698=""),"telefone, celular ou e-mail; ","")))</f>
      </c>
      <c r="AB698" s="6">
        <f>IF(COUNTA(A698:S698)=0,"",IF(AND(U698="OK",V698="OK",LEFT(W698,4)&lt;&gt;"ERRO",LEFT(X698,4)&lt;&gt;"ERRO",LEFT(Y698,4)&lt;&gt;"ERRO",AA698="OK"),"OK","REVISAR"))</f>
      </c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5"/>
      <c r="K699" s="4"/>
      <c r="L699" s="4"/>
      <c r="M699" s="4"/>
      <c r="N699" s="4"/>
      <c r="O699" s="4"/>
      <c r="P699" s="4"/>
      <c r="Q699" s="4"/>
      <c r="R699" s="4"/>
      <c r="S699" s="4"/>
      <c r="T699" s="6">
        <f>IF(G699="","",SUBSTITUTE(SUBSTITUTE(SUBSTITUTE(SUBSTITUTE(SUBSTITUTE(SUBSTITUTE(SUBSTITUTE(TRIM(G699),".",""),"/",""),"-","")," ",""),"(",""),")",""),"+",""))</f>
      </c>
      <c r="U699" s="6">
        <f>IF(T699="","",IF(LEN(T699)&lt;&gt;14,"ERRO: "&amp;LEN(T699)&amp;" dígitos",IF(NOT(ISNUMBER(VALUE(T699))),"ERRO: não numérico",IF(LEN(SUBSTITUTE(T699,LEFT(T699,1),""))=0,"ERRO: dígitos repetidos",IF(AND(VALUE(MID(T699,13,1))=IF(MOD(SUMPRODUCT(--MID(T699,{1,2,3,4,5,6,7,8,9,10,11,12},1),{5,4,3,2,9,8,7,6,5,4,3,2}),11)&lt;2,0,11-MOD(SUMPRODUCT(--MID(T699,{1,2,3,4,5,6,7,8,9,10,11,12},1),{5,4,3,2,9,8,7,6,5,4,3,2}),11)),VALUE(MID(T699,14,1))=IF(MOD(SUMPRODUCT(--MID(T699,{1,2,3,4,5,6,7,8,9,10,11,12,13},1),{6,5,4,3,2,9,8,7,6,5,4,3,2}),11)&lt;2,0,11-MOD(SUMPRODUCT(--MID(T699,{1,2,3,4,5,6,7,8,9,10,11,12,13},1),{6,5,4,3,2,9,8,7,6,5,4,3,2}),11))),"OK","ERRO: dígito verificador")))))</f>
      </c>
      <c r="V699" s="6">
        <f>IF(T699="","",IF(COUNTIF($T$2:$T$1001,T699)&gt;1,"DUPLICADO","OK"))</f>
      </c>
      <c r="W699" s="6">
        <f>IF(M699="","vazio",IF(OR(AND(LEN(SUBSTITUTE(SUBSTITUTE(SUBSTITUTE(SUBSTITUTE(SUBSTITUTE(SUBSTITUTE(SUBSTITUTE(TRIM(M699),".",""),"/",""),"-","")," ",""),"(",""),")",""),"+",""))=10,LEFT(SUBSTITUTE(SUBSTITUTE(SUBSTITUTE(SUBSTITUTE(SUBSTITUTE(SUBSTITUTE(SUBSTITUTE(TRIM(M699),".",""),"/",""),"-","")," ",""),"(",""),")",""),"+",""),1)&lt;&gt;"0"),AND(LEN(SUBSTITUTE(SUBSTITUTE(SUBSTITUTE(SUBSTITUTE(SUBSTITUTE(SUBSTITUTE(SUBSTITUTE(TRIM(M699),".",""),"/",""),"-","")," ",""),"(",""),")",""),"+",""))=11,LEFT(SUBSTITUTE(SUBSTITUTE(SUBSTITUTE(SUBSTITUTE(SUBSTITUTE(SUBSTITUTE(SUBSTITUTE(TRIM(M699),".",""),"/",""),"-","")," ",""),"(",""),")",""),"+",""),4)="0800")),"OK",IF(AND(LEN(SUBSTITUTE(SUBSTITUTE(SUBSTITUTE(SUBSTITUTE(SUBSTITUTE(SUBSTITUTE(SUBSTITUTE(TRIM(M699),".",""),"/",""),"-","")," ",""),"(",""),")",""),"+",""))=11,MID(SUBSTITUTE(SUBSTITUTE(SUBSTITUTE(SUBSTITUTE(SUBSTITUTE(SUBSTITUTE(SUBSTITUTE(TRIM(M699),".",""),"/",""),"-","")," ",""),"(",""),")",""),"+",""),3,1)="9"),"ERRO: é celular, use a coluna Celular","ERRO: DDD + 8 dígitos ou 0800 + 7")))</f>
      </c>
      <c r="X699" s="6">
        <f>IF(N699="","vazio",IF(AND(LEN(SUBSTITUTE(SUBSTITUTE(SUBSTITUTE(SUBSTITUTE(SUBSTITUTE(SUBSTITUTE(SUBSTITUTE(TRIM(N699),".",""),"/",""),"-","")," ",""),"(",""),")",""),"+",""))=11,MID(SUBSTITUTE(SUBSTITUTE(SUBSTITUTE(SUBSTITUTE(SUBSTITUTE(SUBSTITUTE(SUBSTITUTE(TRIM(N699),".",""),"/",""),"-","")," ",""),"(",""),")",""),"+",""),3,1)="9",LEFT(SUBSTITUTE(SUBSTITUTE(SUBSTITUTE(SUBSTITUTE(SUBSTITUTE(SUBSTITUTE(SUBSTITUTE(TRIM(N699),".",""),"/",""),"-","")," ",""),"(",""),")",""),"+",""),1)&lt;&gt;"0"),"OK",IF(LEN(SUBSTITUTE(SUBSTITUTE(SUBSTITUTE(SUBSTITUTE(SUBSTITUTE(SUBSTITUTE(SUBSTITUTE(TRIM(N699),".",""),"/",""),"-","")," ",""),"(",""),")",""),"+",""))=10,"ERRO: é fixo (ou falta o 9), use a coluna Telefone fixo","ERRO: DDD + 9 + 8 dígitos")))</f>
      </c>
      <c r="Y699" s="6">
        <f>IF(O699="","vazio",IF(AND(ISNUMBER(FIND("@",O699)),ISNUMBER(FIND(".",MID(O699,FIND("@",O699),99))),NOT(ISNUMBER(FIND(" ",TRIM(O699)))),NOT(ISNUMBER(FIND(";",O699))),NOT(ISNUMBER(FIND(",",O699)))),"OK","ERRO: um e-mail válido por linha"))</f>
      </c>
      <c r="Z699" s="6">
        <f>IF(AND(J699="",K699=""),"",IF(AND(J699&lt;&gt;"",K699&lt;&gt;""),"OK","pendente: só um nome (o GR completa ao converter)"))</f>
      </c>
      <c r="AA699" s="6">
        <f>IF(COUNTA(A699:S699)=0,"",IF(AND(A699&lt;&gt;"",B699&lt;&gt;"",C699&lt;&gt;"",D699&lt;&gt;"",E699&lt;&gt;"",F699&lt;&gt;"",G699&lt;&gt;"",H699&lt;&gt;"",OR(J699&lt;&gt;"",K699&lt;&gt;""),OR(M699&lt;&gt;"",N699&lt;&gt;"",O699&lt;&gt;"")),"OK","ERRO: faltam "&amp;IF(A699="","SDR; ","")&amp;IF(B699="","Proprietário; ","")&amp;IF(C699="","Origem; ","")&amp;IF(D699="","Temperatura; ","")&amp;IF(E699="","Segmento; ","")&amp;IF(F699="","Time/Cluster; ","")&amp;IF(G699="","CNPJ; ","")&amp;IF(H699="","Razão Social; ","")&amp;IF(AND(J699="",K699=""),"nome do contato; ","")&amp;IF(AND(M699="",N699="",O699=""),"telefone, celular ou e-mail; ","")))</f>
      </c>
      <c r="AB699" s="6">
        <f>IF(COUNTA(A699:S699)=0,"",IF(AND(U699="OK",V699="OK",LEFT(W699,4)&lt;&gt;"ERRO",LEFT(X699,4)&lt;&gt;"ERRO",LEFT(Y699,4)&lt;&gt;"ERRO",AA699="OK"),"OK","REVISAR"))</f>
      </c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5"/>
      <c r="K700" s="4"/>
      <c r="L700" s="4"/>
      <c r="M700" s="4"/>
      <c r="N700" s="4"/>
      <c r="O700" s="4"/>
      <c r="P700" s="4"/>
      <c r="Q700" s="4"/>
      <c r="R700" s="4"/>
      <c r="S700" s="4"/>
      <c r="T700" s="6">
        <f>IF(G700="","",SUBSTITUTE(SUBSTITUTE(SUBSTITUTE(SUBSTITUTE(SUBSTITUTE(SUBSTITUTE(SUBSTITUTE(TRIM(G700),".",""),"/",""),"-","")," ",""),"(",""),")",""),"+",""))</f>
      </c>
      <c r="U700" s="6">
        <f>IF(T700="","",IF(LEN(T700)&lt;&gt;14,"ERRO: "&amp;LEN(T700)&amp;" dígitos",IF(NOT(ISNUMBER(VALUE(T700))),"ERRO: não numérico",IF(LEN(SUBSTITUTE(T700,LEFT(T700,1),""))=0,"ERRO: dígitos repetidos",IF(AND(VALUE(MID(T700,13,1))=IF(MOD(SUMPRODUCT(--MID(T700,{1,2,3,4,5,6,7,8,9,10,11,12},1),{5,4,3,2,9,8,7,6,5,4,3,2}),11)&lt;2,0,11-MOD(SUMPRODUCT(--MID(T700,{1,2,3,4,5,6,7,8,9,10,11,12},1),{5,4,3,2,9,8,7,6,5,4,3,2}),11)),VALUE(MID(T700,14,1))=IF(MOD(SUMPRODUCT(--MID(T700,{1,2,3,4,5,6,7,8,9,10,11,12,13},1),{6,5,4,3,2,9,8,7,6,5,4,3,2}),11)&lt;2,0,11-MOD(SUMPRODUCT(--MID(T700,{1,2,3,4,5,6,7,8,9,10,11,12,13},1),{6,5,4,3,2,9,8,7,6,5,4,3,2}),11))),"OK","ERRO: dígito verificador")))))</f>
      </c>
      <c r="V700" s="6">
        <f>IF(T700="","",IF(COUNTIF($T$2:$T$1001,T700)&gt;1,"DUPLICADO","OK"))</f>
      </c>
      <c r="W700" s="6">
        <f>IF(M700="","vazio",IF(OR(AND(LEN(SUBSTITUTE(SUBSTITUTE(SUBSTITUTE(SUBSTITUTE(SUBSTITUTE(SUBSTITUTE(SUBSTITUTE(TRIM(M700),".",""),"/",""),"-","")," ",""),"(",""),")",""),"+",""))=10,LEFT(SUBSTITUTE(SUBSTITUTE(SUBSTITUTE(SUBSTITUTE(SUBSTITUTE(SUBSTITUTE(SUBSTITUTE(TRIM(M700),".",""),"/",""),"-","")," ",""),"(",""),")",""),"+",""),1)&lt;&gt;"0"),AND(LEN(SUBSTITUTE(SUBSTITUTE(SUBSTITUTE(SUBSTITUTE(SUBSTITUTE(SUBSTITUTE(SUBSTITUTE(TRIM(M700),".",""),"/",""),"-","")," ",""),"(",""),")",""),"+",""))=11,LEFT(SUBSTITUTE(SUBSTITUTE(SUBSTITUTE(SUBSTITUTE(SUBSTITUTE(SUBSTITUTE(SUBSTITUTE(TRIM(M700),".",""),"/",""),"-","")," ",""),"(",""),")",""),"+",""),4)="0800")),"OK",IF(AND(LEN(SUBSTITUTE(SUBSTITUTE(SUBSTITUTE(SUBSTITUTE(SUBSTITUTE(SUBSTITUTE(SUBSTITUTE(TRIM(M700),".",""),"/",""),"-","")," ",""),"(",""),")",""),"+",""))=11,MID(SUBSTITUTE(SUBSTITUTE(SUBSTITUTE(SUBSTITUTE(SUBSTITUTE(SUBSTITUTE(SUBSTITUTE(TRIM(M700),".",""),"/",""),"-","")," ",""),"(",""),")",""),"+",""),3,1)="9"),"ERRO: é celular, use a coluna Celular","ERRO: DDD + 8 dígitos ou 0800 + 7")))</f>
      </c>
      <c r="X700" s="6">
        <f>IF(N700="","vazio",IF(AND(LEN(SUBSTITUTE(SUBSTITUTE(SUBSTITUTE(SUBSTITUTE(SUBSTITUTE(SUBSTITUTE(SUBSTITUTE(TRIM(N700),".",""),"/",""),"-","")," ",""),"(",""),")",""),"+",""))=11,MID(SUBSTITUTE(SUBSTITUTE(SUBSTITUTE(SUBSTITUTE(SUBSTITUTE(SUBSTITUTE(SUBSTITUTE(TRIM(N700),".",""),"/",""),"-","")," ",""),"(",""),")",""),"+",""),3,1)="9",LEFT(SUBSTITUTE(SUBSTITUTE(SUBSTITUTE(SUBSTITUTE(SUBSTITUTE(SUBSTITUTE(SUBSTITUTE(TRIM(N700),".",""),"/",""),"-","")," ",""),"(",""),")",""),"+",""),1)&lt;&gt;"0"),"OK",IF(LEN(SUBSTITUTE(SUBSTITUTE(SUBSTITUTE(SUBSTITUTE(SUBSTITUTE(SUBSTITUTE(SUBSTITUTE(TRIM(N700),".",""),"/",""),"-","")," ",""),"(",""),")",""),"+",""))=10,"ERRO: é fixo (ou falta o 9), use a coluna Telefone fixo","ERRO: DDD + 9 + 8 dígitos")))</f>
      </c>
      <c r="Y700" s="6">
        <f>IF(O700="","vazio",IF(AND(ISNUMBER(FIND("@",O700)),ISNUMBER(FIND(".",MID(O700,FIND("@",O700),99))),NOT(ISNUMBER(FIND(" ",TRIM(O700)))),NOT(ISNUMBER(FIND(";",O700))),NOT(ISNUMBER(FIND(",",O700)))),"OK","ERRO: um e-mail válido por linha"))</f>
      </c>
      <c r="Z700" s="6">
        <f>IF(AND(J700="",K700=""),"",IF(AND(J700&lt;&gt;"",K700&lt;&gt;""),"OK","pendente: só um nome (o GR completa ao converter)"))</f>
      </c>
      <c r="AA700" s="6">
        <f>IF(COUNTA(A700:S700)=0,"",IF(AND(A700&lt;&gt;"",B700&lt;&gt;"",C700&lt;&gt;"",D700&lt;&gt;"",E700&lt;&gt;"",F700&lt;&gt;"",G700&lt;&gt;"",H700&lt;&gt;"",OR(J700&lt;&gt;"",K700&lt;&gt;""),OR(M700&lt;&gt;"",N700&lt;&gt;"",O700&lt;&gt;"")),"OK","ERRO: faltam "&amp;IF(A700="","SDR; ","")&amp;IF(B700="","Proprietário; ","")&amp;IF(C700="","Origem; ","")&amp;IF(D700="","Temperatura; ","")&amp;IF(E700="","Segmento; ","")&amp;IF(F700="","Time/Cluster; ","")&amp;IF(G700="","CNPJ; ","")&amp;IF(H700="","Razão Social; ","")&amp;IF(AND(J700="",K700=""),"nome do contato; ","")&amp;IF(AND(M700="",N700="",O700=""),"telefone, celular ou e-mail; ","")))</f>
      </c>
      <c r="AB700" s="6">
        <f>IF(COUNTA(A700:S700)=0,"",IF(AND(U700="OK",V700="OK",LEFT(W700,4)&lt;&gt;"ERRO",LEFT(X700,4)&lt;&gt;"ERRO",LEFT(Y700,4)&lt;&gt;"ERRO",AA700="OK"),"OK","REVISAR"))</f>
      </c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5"/>
      <c r="K701" s="4"/>
      <c r="L701" s="4"/>
      <c r="M701" s="4"/>
      <c r="N701" s="4"/>
      <c r="O701" s="4"/>
      <c r="P701" s="4"/>
      <c r="Q701" s="4"/>
      <c r="R701" s="4"/>
      <c r="S701" s="4"/>
      <c r="T701" s="6">
        <f>IF(G701="","",SUBSTITUTE(SUBSTITUTE(SUBSTITUTE(SUBSTITUTE(SUBSTITUTE(SUBSTITUTE(SUBSTITUTE(TRIM(G701),".",""),"/",""),"-","")," ",""),"(",""),")",""),"+",""))</f>
      </c>
      <c r="U701" s="6">
        <f>IF(T701="","",IF(LEN(T701)&lt;&gt;14,"ERRO: "&amp;LEN(T701)&amp;" dígitos",IF(NOT(ISNUMBER(VALUE(T701))),"ERRO: não numérico",IF(LEN(SUBSTITUTE(T701,LEFT(T701,1),""))=0,"ERRO: dígitos repetidos",IF(AND(VALUE(MID(T701,13,1))=IF(MOD(SUMPRODUCT(--MID(T701,{1,2,3,4,5,6,7,8,9,10,11,12},1),{5,4,3,2,9,8,7,6,5,4,3,2}),11)&lt;2,0,11-MOD(SUMPRODUCT(--MID(T701,{1,2,3,4,5,6,7,8,9,10,11,12},1),{5,4,3,2,9,8,7,6,5,4,3,2}),11)),VALUE(MID(T701,14,1))=IF(MOD(SUMPRODUCT(--MID(T701,{1,2,3,4,5,6,7,8,9,10,11,12,13},1),{6,5,4,3,2,9,8,7,6,5,4,3,2}),11)&lt;2,0,11-MOD(SUMPRODUCT(--MID(T701,{1,2,3,4,5,6,7,8,9,10,11,12,13},1),{6,5,4,3,2,9,8,7,6,5,4,3,2}),11))),"OK","ERRO: dígito verificador")))))</f>
      </c>
      <c r="V701" s="6">
        <f>IF(T701="","",IF(COUNTIF($T$2:$T$1001,T701)&gt;1,"DUPLICADO","OK"))</f>
      </c>
      <c r="W701" s="6">
        <f>IF(M701="","vazio",IF(OR(AND(LEN(SUBSTITUTE(SUBSTITUTE(SUBSTITUTE(SUBSTITUTE(SUBSTITUTE(SUBSTITUTE(SUBSTITUTE(TRIM(M701),".",""),"/",""),"-","")," ",""),"(",""),")",""),"+",""))=10,LEFT(SUBSTITUTE(SUBSTITUTE(SUBSTITUTE(SUBSTITUTE(SUBSTITUTE(SUBSTITUTE(SUBSTITUTE(TRIM(M701),".",""),"/",""),"-","")," ",""),"(",""),")",""),"+",""),1)&lt;&gt;"0"),AND(LEN(SUBSTITUTE(SUBSTITUTE(SUBSTITUTE(SUBSTITUTE(SUBSTITUTE(SUBSTITUTE(SUBSTITUTE(TRIM(M701),".",""),"/",""),"-","")," ",""),"(",""),")",""),"+",""))=11,LEFT(SUBSTITUTE(SUBSTITUTE(SUBSTITUTE(SUBSTITUTE(SUBSTITUTE(SUBSTITUTE(SUBSTITUTE(TRIM(M701),".",""),"/",""),"-","")," ",""),"(",""),")",""),"+",""),4)="0800")),"OK",IF(AND(LEN(SUBSTITUTE(SUBSTITUTE(SUBSTITUTE(SUBSTITUTE(SUBSTITUTE(SUBSTITUTE(SUBSTITUTE(TRIM(M701),".",""),"/",""),"-","")," ",""),"(",""),")",""),"+",""))=11,MID(SUBSTITUTE(SUBSTITUTE(SUBSTITUTE(SUBSTITUTE(SUBSTITUTE(SUBSTITUTE(SUBSTITUTE(TRIM(M701),".",""),"/",""),"-","")," ",""),"(",""),")",""),"+",""),3,1)="9"),"ERRO: é celular, use a coluna Celular","ERRO: DDD + 8 dígitos ou 0800 + 7")))</f>
      </c>
      <c r="X701" s="6">
        <f>IF(N701="","vazio",IF(AND(LEN(SUBSTITUTE(SUBSTITUTE(SUBSTITUTE(SUBSTITUTE(SUBSTITUTE(SUBSTITUTE(SUBSTITUTE(TRIM(N701),".",""),"/",""),"-","")," ",""),"(",""),")",""),"+",""))=11,MID(SUBSTITUTE(SUBSTITUTE(SUBSTITUTE(SUBSTITUTE(SUBSTITUTE(SUBSTITUTE(SUBSTITUTE(TRIM(N701),".",""),"/",""),"-","")," ",""),"(",""),")",""),"+",""),3,1)="9",LEFT(SUBSTITUTE(SUBSTITUTE(SUBSTITUTE(SUBSTITUTE(SUBSTITUTE(SUBSTITUTE(SUBSTITUTE(TRIM(N701),".",""),"/",""),"-","")," ",""),"(",""),")",""),"+",""),1)&lt;&gt;"0"),"OK",IF(LEN(SUBSTITUTE(SUBSTITUTE(SUBSTITUTE(SUBSTITUTE(SUBSTITUTE(SUBSTITUTE(SUBSTITUTE(TRIM(N701),".",""),"/",""),"-","")," ",""),"(",""),")",""),"+",""))=10,"ERRO: é fixo (ou falta o 9), use a coluna Telefone fixo","ERRO: DDD + 9 + 8 dígitos")))</f>
      </c>
      <c r="Y701" s="6">
        <f>IF(O701="","vazio",IF(AND(ISNUMBER(FIND("@",O701)),ISNUMBER(FIND(".",MID(O701,FIND("@",O701),99))),NOT(ISNUMBER(FIND(" ",TRIM(O701)))),NOT(ISNUMBER(FIND(";",O701))),NOT(ISNUMBER(FIND(",",O701)))),"OK","ERRO: um e-mail válido por linha"))</f>
      </c>
      <c r="Z701" s="6">
        <f>IF(AND(J701="",K701=""),"",IF(AND(J701&lt;&gt;"",K701&lt;&gt;""),"OK","pendente: só um nome (o GR completa ao converter)"))</f>
      </c>
      <c r="AA701" s="6">
        <f>IF(COUNTA(A701:S701)=0,"",IF(AND(A701&lt;&gt;"",B701&lt;&gt;"",C701&lt;&gt;"",D701&lt;&gt;"",E701&lt;&gt;"",F701&lt;&gt;"",G701&lt;&gt;"",H701&lt;&gt;"",OR(J701&lt;&gt;"",K701&lt;&gt;""),OR(M701&lt;&gt;"",N701&lt;&gt;"",O701&lt;&gt;"")),"OK","ERRO: faltam "&amp;IF(A701="","SDR; ","")&amp;IF(B701="","Proprietário; ","")&amp;IF(C701="","Origem; ","")&amp;IF(D701="","Temperatura; ","")&amp;IF(E701="","Segmento; ","")&amp;IF(F701="","Time/Cluster; ","")&amp;IF(G701="","CNPJ; ","")&amp;IF(H701="","Razão Social; ","")&amp;IF(AND(J701="",K701=""),"nome do contato; ","")&amp;IF(AND(M701="",N701="",O701=""),"telefone, celular ou e-mail; ","")))</f>
      </c>
      <c r="AB701" s="6">
        <f>IF(COUNTA(A701:S701)=0,"",IF(AND(U701="OK",V701="OK",LEFT(W701,4)&lt;&gt;"ERRO",LEFT(X701,4)&lt;&gt;"ERRO",LEFT(Y701,4)&lt;&gt;"ERRO",AA701="OK"),"OK","REVISAR"))</f>
      </c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5"/>
      <c r="K702" s="4"/>
      <c r="L702" s="4"/>
      <c r="M702" s="4"/>
      <c r="N702" s="4"/>
      <c r="O702" s="4"/>
      <c r="P702" s="4"/>
      <c r="Q702" s="4"/>
      <c r="R702" s="4"/>
      <c r="S702" s="4"/>
      <c r="T702" s="6">
        <f>IF(G702="","",SUBSTITUTE(SUBSTITUTE(SUBSTITUTE(SUBSTITUTE(SUBSTITUTE(SUBSTITUTE(SUBSTITUTE(TRIM(G702),".",""),"/",""),"-","")," ",""),"(",""),")",""),"+",""))</f>
      </c>
      <c r="U702" s="6">
        <f>IF(T702="","",IF(LEN(T702)&lt;&gt;14,"ERRO: "&amp;LEN(T702)&amp;" dígitos",IF(NOT(ISNUMBER(VALUE(T702))),"ERRO: não numérico",IF(LEN(SUBSTITUTE(T702,LEFT(T702,1),""))=0,"ERRO: dígitos repetidos",IF(AND(VALUE(MID(T702,13,1))=IF(MOD(SUMPRODUCT(--MID(T702,{1,2,3,4,5,6,7,8,9,10,11,12},1),{5,4,3,2,9,8,7,6,5,4,3,2}),11)&lt;2,0,11-MOD(SUMPRODUCT(--MID(T702,{1,2,3,4,5,6,7,8,9,10,11,12},1),{5,4,3,2,9,8,7,6,5,4,3,2}),11)),VALUE(MID(T702,14,1))=IF(MOD(SUMPRODUCT(--MID(T702,{1,2,3,4,5,6,7,8,9,10,11,12,13},1),{6,5,4,3,2,9,8,7,6,5,4,3,2}),11)&lt;2,0,11-MOD(SUMPRODUCT(--MID(T702,{1,2,3,4,5,6,7,8,9,10,11,12,13},1),{6,5,4,3,2,9,8,7,6,5,4,3,2}),11))),"OK","ERRO: dígito verificador")))))</f>
      </c>
      <c r="V702" s="6">
        <f>IF(T702="","",IF(COUNTIF($T$2:$T$1001,T702)&gt;1,"DUPLICADO","OK"))</f>
      </c>
      <c r="W702" s="6">
        <f>IF(M702="","vazio",IF(OR(AND(LEN(SUBSTITUTE(SUBSTITUTE(SUBSTITUTE(SUBSTITUTE(SUBSTITUTE(SUBSTITUTE(SUBSTITUTE(TRIM(M702),".",""),"/",""),"-","")," ",""),"(",""),")",""),"+",""))=10,LEFT(SUBSTITUTE(SUBSTITUTE(SUBSTITUTE(SUBSTITUTE(SUBSTITUTE(SUBSTITUTE(SUBSTITUTE(TRIM(M702),".",""),"/",""),"-","")," ",""),"(",""),")",""),"+",""),1)&lt;&gt;"0"),AND(LEN(SUBSTITUTE(SUBSTITUTE(SUBSTITUTE(SUBSTITUTE(SUBSTITUTE(SUBSTITUTE(SUBSTITUTE(TRIM(M702),".",""),"/",""),"-","")," ",""),"(",""),")",""),"+",""))=11,LEFT(SUBSTITUTE(SUBSTITUTE(SUBSTITUTE(SUBSTITUTE(SUBSTITUTE(SUBSTITUTE(SUBSTITUTE(TRIM(M702),".",""),"/",""),"-","")," ",""),"(",""),")",""),"+",""),4)="0800")),"OK",IF(AND(LEN(SUBSTITUTE(SUBSTITUTE(SUBSTITUTE(SUBSTITUTE(SUBSTITUTE(SUBSTITUTE(SUBSTITUTE(TRIM(M702),".",""),"/",""),"-","")," ",""),"(",""),")",""),"+",""))=11,MID(SUBSTITUTE(SUBSTITUTE(SUBSTITUTE(SUBSTITUTE(SUBSTITUTE(SUBSTITUTE(SUBSTITUTE(TRIM(M702),".",""),"/",""),"-","")," ",""),"(",""),")",""),"+",""),3,1)="9"),"ERRO: é celular, use a coluna Celular","ERRO: DDD + 8 dígitos ou 0800 + 7")))</f>
      </c>
      <c r="X702" s="6">
        <f>IF(N702="","vazio",IF(AND(LEN(SUBSTITUTE(SUBSTITUTE(SUBSTITUTE(SUBSTITUTE(SUBSTITUTE(SUBSTITUTE(SUBSTITUTE(TRIM(N702),".",""),"/",""),"-","")," ",""),"(",""),")",""),"+",""))=11,MID(SUBSTITUTE(SUBSTITUTE(SUBSTITUTE(SUBSTITUTE(SUBSTITUTE(SUBSTITUTE(SUBSTITUTE(TRIM(N702),".",""),"/",""),"-","")," ",""),"(",""),")",""),"+",""),3,1)="9",LEFT(SUBSTITUTE(SUBSTITUTE(SUBSTITUTE(SUBSTITUTE(SUBSTITUTE(SUBSTITUTE(SUBSTITUTE(TRIM(N702),".",""),"/",""),"-","")," ",""),"(",""),")",""),"+",""),1)&lt;&gt;"0"),"OK",IF(LEN(SUBSTITUTE(SUBSTITUTE(SUBSTITUTE(SUBSTITUTE(SUBSTITUTE(SUBSTITUTE(SUBSTITUTE(TRIM(N702),".",""),"/",""),"-","")," ",""),"(",""),")",""),"+",""))=10,"ERRO: é fixo (ou falta o 9), use a coluna Telefone fixo","ERRO: DDD + 9 + 8 dígitos")))</f>
      </c>
      <c r="Y702" s="6">
        <f>IF(O702="","vazio",IF(AND(ISNUMBER(FIND("@",O702)),ISNUMBER(FIND(".",MID(O702,FIND("@",O702),99))),NOT(ISNUMBER(FIND(" ",TRIM(O702)))),NOT(ISNUMBER(FIND(";",O702))),NOT(ISNUMBER(FIND(",",O702)))),"OK","ERRO: um e-mail válido por linha"))</f>
      </c>
      <c r="Z702" s="6">
        <f>IF(AND(J702="",K702=""),"",IF(AND(J702&lt;&gt;"",K702&lt;&gt;""),"OK","pendente: só um nome (o GR completa ao converter)"))</f>
      </c>
      <c r="AA702" s="6">
        <f>IF(COUNTA(A702:S702)=0,"",IF(AND(A702&lt;&gt;"",B702&lt;&gt;"",C702&lt;&gt;"",D702&lt;&gt;"",E702&lt;&gt;"",F702&lt;&gt;"",G702&lt;&gt;"",H702&lt;&gt;"",OR(J702&lt;&gt;"",K702&lt;&gt;""),OR(M702&lt;&gt;"",N702&lt;&gt;"",O702&lt;&gt;"")),"OK","ERRO: faltam "&amp;IF(A702="","SDR; ","")&amp;IF(B702="","Proprietário; ","")&amp;IF(C702="","Origem; ","")&amp;IF(D702="","Temperatura; ","")&amp;IF(E702="","Segmento; ","")&amp;IF(F702="","Time/Cluster; ","")&amp;IF(G702="","CNPJ; ","")&amp;IF(H702="","Razão Social; ","")&amp;IF(AND(J702="",K702=""),"nome do contato; ","")&amp;IF(AND(M702="",N702="",O702=""),"telefone, celular ou e-mail; ","")))</f>
      </c>
      <c r="AB702" s="6">
        <f>IF(COUNTA(A702:S702)=0,"",IF(AND(U702="OK",V702="OK",LEFT(W702,4)&lt;&gt;"ERRO",LEFT(X702,4)&lt;&gt;"ERRO",LEFT(Y702,4)&lt;&gt;"ERRO",AA702="OK"),"OK","REVISAR"))</f>
      </c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5"/>
      <c r="K703" s="4"/>
      <c r="L703" s="4"/>
      <c r="M703" s="4"/>
      <c r="N703" s="4"/>
      <c r="O703" s="4"/>
      <c r="P703" s="4"/>
      <c r="Q703" s="4"/>
      <c r="R703" s="4"/>
      <c r="S703" s="4"/>
      <c r="T703" s="6">
        <f>IF(G703="","",SUBSTITUTE(SUBSTITUTE(SUBSTITUTE(SUBSTITUTE(SUBSTITUTE(SUBSTITUTE(SUBSTITUTE(TRIM(G703),".",""),"/",""),"-","")," ",""),"(",""),")",""),"+",""))</f>
      </c>
      <c r="U703" s="6">
        <f>IF(T703="","",IF(LEN(T703)&lt;&gt;14,"ERRO: "&amp;LEN(T703)&amp;" dígitos",IF(NOT(ISNUMBER(VALUE(T703))),"ERRO: não numérico",IF(LEN(SUBSTITUTE(T703,LEFT(T703,1),""))=0,"ERRO: dígitos repetidos",IF(AND(VALUE(MID(T703,13,1))=IF(MOD(SUMPRODUCT(--MID(T703,{1,2,3,4,5,6,7,8,9,10,11,12},1),{5,4,3,2,9,8,7,6,5,4,3,2}),11)&lt;2,0,11-MOD(SUMPRODUCT(--MID(T703,{1,2,3,4,5,6,7,8,9,10,11,12},1),{5,4,3,2,9,8,7,6,5,4,3,2}),11)),VALUE(MID(T703,14,1))=IF(MOD(SUMPRODUCT(--MID(T703,{1,2,3,4,5,6,7,8,9,10,11,12,13},1),{6,5,4,3,2,9,8,7,6,5,4,3,2}),11)&lt;2,0,11-MOD(SUMPRODUCT(--MID(T703,{1,2,3,4,5,6,7,8,9,10,11,12,13},1),{6,5,4,3,2,9,8,7,6,5,4,3,2}),11))),"OK","ERRO: dígito verificador")))))</f>
      </c>
      <c r="V703" s="6">
        <f>IF(T703="","",IF(COUNTIF($T$2:$T$1001,T703)&gt;1,"DUPLICADO","OK"))</f>
      </c>
      <c r="W703" s="6">
        <f>IF(M703="","vazio",IF(OR(AND(LEN(SUBSTITUTE(SUBSTITUTE(SUBSTITUTE(SUBSTITUTE(SUBSTITUTE(SUBSTITUTE(SUBSTITUTE(TRIM(M703),".",""),"/",""),"-","")," ",""),"(",""),")",""),"+",""))=10,LEFT(SUBSTITUTE(SUBSTITUTE(SUBSTITUTE(SUBSTITUTE(SUBSTITUTE(SUBSTITUTE(SUBSTITUTE(TRIM(M703),".",""),"/",""),"-","")," ",""),"(",""),")",""),"+",""),1)&lt;&gt;"0"),AND(LEN(SUBSTITUTE(SUBSTITUTE(SUBSTITUTE(SUBSTITUTE(SUBSTITUTE(SUBSTITUTE(SUBSTITUTE(TRIM(M703),".",""),"/",""),"-","")," ",""),"(",""),")",""),"+",""))=11,LEFT(SUBSTITUTE(SUBSTITUTE(SUBSTITUTE(SUBSTITUTE(SUBSTITUTE(SUBSTITUTE(SUBSTITUTE(TRIM(M703),".",""),"/",""),"-","")," ",""),"(",""),")",""),"+",""),4)="0800")),"OK",IF(AND(LEN(SUBSTITUTE(SUBSTITUTE(SUBSTITUTE(SUBSTITUTE(SUBSTITUTE(SUBSTITUTE(SUBSTITUTE(TRIM(M703),".",""),"/",""),"-","")," ",""),"(",""),")",""),"+",""))=11,MID(SUBSTITUTE(SUBSTITUTE(SUBSTITUTE(SUBSTITUTE(SUBSTITUTE(SUBSTITUTE(SUBSTITUTE(TRIM(M703),".",""),"/",""),"-","")," ",""),"(",""),")",""),"+",""),3,1)="9"),"ERRO: é celular, use a coluna Celular","ERRO: DDD + 8 dígitos ou 0800 + 7")))</f>
      </c>
      <c r="X703" s="6">
        <f>IF(N703="","vazio",IF(AND(LEN(SUBSTITUTE(SUBSTITUTE(SUBSTITUTE(SUBSTITUTE(SUBSTITUTE(SUBSTITUTE(SUBSTITUTE(TRIM(N703),".",""),"/",""),"-","")," ",""),"(",""),")",""),"+",""))=11,MID(SUBSTITUTE(SUBSTITUTE(SUBSTITUTE(SUBSTITUTE(SUBSTITUTE(SUBSTITUTE(SUBSTITUTE(TRIM(N703),".",""),"/",""),"-","")," ",""),"(",""),")",""),"+",""),3,1)="9",LEFT(SUBSTITUTE(SUBSTITUTE(SUBSTITUTE(SUBSTITUTE(SUBSTITUTE(SUBSTITUTE(SUBSTITUTE(TRIM(N703),".",""),"/",""),"-","")," ",""),"(",""),")",""),"+",""),1)&lt;&gt;"0"),"OK",IF(LEN(SUBSTITUTE(SUBSTITUTE(SUBSTITUTE(SUBSTITUTE(SUBSTITUTE(SUBSTITUTE(SUBSTITUTE(TRIM(N703),".",""),"/",""),"-","")," ",""),"(",""),")",""),"+",""))=10,"ERRO: é fixo (ou falta o 9), use a coluna Telefone fixo","ERRO: DDD + 9 + 8 dígitos")))</f>
      </c>
      <c r="Y703" s="6">
        <f>IF(O703="","vazio",IF(AND(ISNUMBER(FIND("@",O703)),ISNUMBER(FIND(".",MID(O703,FIND("@",O703),99))),NOT(ISNUMBER(FIND(" ",TRIM(O703)))),NOT(ISNUMBER(FIND(";",O703))),NOT(ISNUMBER(FIND(",",O703)))),"OK","ERRO: um e-mail válido por linha"))</f>
      </c>
      <c r="Z703" s="6">
        <f>IF(AND(J703="",K703=""),"",IF(AND(J703&lt;&gt;"",K703&lt;&gt;""),"OK","pendente: só um nome (o GR completa ao converter)"))</f>
      </c>
      <c r="AA703" s="6">
        <f>IF(COUNTA(A703:S703)=0,"",IF(AND(A703&lt;&gt;"",B703&lt;&gt;"",C703&lt;&gt;"",D703&lt;&gt;"",E703&lt;&gt;"",F703&lt;&gt;"",G703&lt;&gt;"",H703&lt;&gt;"",OR(J703&lt;&gt;"",K703&lt;&gt;""),OR(M703&lt;&gt;"",N703&lt;&gt;"",O703&lt;&gt;"")),"OK","ERRO: faltam "&amp;IF(A703="","SDR; ","")&amp;IF(B703="","Proprietário; ","")&amp;IF(C703="","Origem; ","")&amp;IF(D703="","Temperatura; ","")&amp;IF(E703="","Segmento; ","")&amp;IF(F703="","Time/Cluster; ","")&amp;IF(G703="","CNPJ; ","")&amp;IF(H703="","Razão Social; ","")&amp;IF(AND(J703="",K703=""),"nome do contato; ","")&amp;IF(AND(M703="",N703="",O703=""),"telefone, celular ou e-mail; ","")))</f>
      </c>
      <c r="AB703" s="6">
        <f>IF(COUNTA(A703:S703)=0,"",IF(AND(U703="OK",V703="OK",LEFT(W703,4)&lt;&gt;"ERRO",LEFT(X703,4)&lt;&gt;"ERRO",LEFT(Y703,4)&lt;&gt;"ERRO",AA703="OK"),"OK","REVISAR"))</f>
      </c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5"/>
      <c r="K704" s="4"/>
      <c r="L704" s="4"/>
      <c r="M704" s="4"/>
      <c r="N704" s="4"/>
      <c r="O704" s="4"/>
      <c r="P704" s="4"/>
      <c r="Q704" s="4"/>
      <c r="R704" s="4"/>
      <c r="S704" s="4"/>
      <c r="T704" s="6">
        <f>IF(G704="","",SUBSTITUTE(SUBSTITUTE(SUBSTITUTE(SUBSTITUTE(SUBSTITUTE(SUBSTITUTE(SUBSTITUTE(TRIM(G704),".",""),"/",""),"-","")," ",""),"(",""),")",""),"+",""))</f>
      </c>
      <c r="U704" s="6">
        <f>IF(T704="","",IF(LEN(T704)&lt;&gt;14,"ERRO: "&amp;LEN(T704)&amp;" dígitos",IF(NOT(ISNUMBER(VALUE(T704))),"ERRO: não numérico",IF(LEN(SUBSTITUTE(T704,LEFT(T704,1),""))=0,"ERRO: dígitos repetidos",IF(AND(VALUE(MID(T704,13,1))=IF(MOD(SUMPRODUCT(--MID(T704,{1,2,3,4,5,6,7,8,9,10,11,12},1),{5,4,3,2,9,8,7,6,5,4,3,2}),11)&lt;2,0,11-MOD(SUMPRODUCT(--MID(T704,{1,2,3,4,5,6,7,8,9,10,11,12},1),{5,4,3,2,9,8,7,6,5,4,3,2}),11)),VALUE(MID(T704,14,1))=IF(MOD(SUMPRODUCT(--MID(T704,{1,2,3,4,5,6,7,8,9,10,11,12,13},1),{6,5,4,3,2,9,8,7,6,5,4,3,2}),11)&lt;2,0,11-MOD(SUMPRODUCT(--MID(T704,{1,2,3,4,5,6,7,8,9,10,11,12,13},1),{6,5,4,3,2,9,8,7,6,5,4,3,2}),11))),"OK","ERRO: dígito verificador")))))</f>
      </c>
      <c r="V704" s="6">
        <f>IF(T704="","",IF(COUNTIF($T$2:$T$1001,T704)&gt;1,"DUPLICADO","OK"))</f>
      </c>
      <c r="W704" s="6">
        <f>IF(M704="","vazio",IF(OR(AND(LEN(SUBSTITUTE(SUBSTITUTE(SUBSTITUTE(SUBSTITUTE(SUBSTITUTE(SUBSTITUTE(SUBSTITUTE(TRIM(M704),".",""),"/",""),"-","")," ",""),"(",""),")",""),"+",""))=10,LEFT(SUBSTITUTE(SUBSTITUTE(SUBSTITUTE(SUBSTITUTE(SUBSTITUTE(SUBSTITUTE(SUBSTITUTE(TRIM(M704),".",""),"/",""),"-","")," ",""),"(",""),")",""),"+",""),1)&lt;&gt;"0"),AND(LEN(SUBSTITUTE(SUBSTITUTE(SUBSTITUTE(SUBSTITUTE(SUBSTITUTE(SUBSTITUTE(SUBSTITUTE(TRIM(M704),".",""),"/",""),"-","")," ",""),"(",""),")",""),"+",""))=11,LEFT(SUBSTITUTE(SUBSTITUTE(SUBSTITUTE(SUBSTITUTE(SUBSTITUTE(SUBSTITUTE(SUBSTITUTE(TRIM(M704),".",""),"/",""),"-","")," ",""),"(",""),")",""),"+",""),4)="0800")),"OK",IF(AND(LEN(SUBSTITUTE(SUBSTITUTE(SUBSTITUTE(SUBSTITUTE(SUBSTITUTE(SUBSTITUTE(SUBSTITUTE(TRIM(M704),".",""),"/",""),"-","")," ",""),"(",""),")",""),"+",""))=11,MID(SUBSTITUTE(SUBSTITUTE(SUBSTITUTE(SUBSTITUTE(SUBSTITUTE(SUBSTITUTE(SUBSTITUTE(TRIM(M704),".",""),"/",""),"-","")," ",""),"(",""),")",""),"+",""),3,1)="9"),"ERRO: é celular, use a coluna Celular","ERRO: DDD + 8 dígitos ou 0800 + 7")))</f>
      </c>
      <c r="X704" s="6">
        <f>IF(N704="","vazio",IF(AND(LEN(SUBSTITUTE(SUBSTITUTE(SUBSTITUTE(SUBSTITUTE(SUBSTITUTE(SUBSTITUTE(SUBSTITUTE(TRIM(N704),".",""),"/",""),"-","")," ",""),"(",""),")",""),"+",""))=11,MID(SUBSTITUTE(SUBSTITUTE(SUBSTITUTE(SUBSTITUTE(SUBSTITUTE(SUBSTITUTE(SUBSTITUTE(TRIM(N704),".",""),"/",""),"-","")," ",""),"(",""),")",""),"+",""),3,1)="9",LEFT(SUBSTITUTE(SUBSTITUTE(SUBSTITUTE(SUBSTITUTE(SUBSTITUTE(SUBSTITUTE(SUBSTITUTE(TRIM(N704),".",""),"/",""),"-","")," ",""),"(",""),")",""),"+",""),1)&lt;&gt;"0"),"OK",IF(LEN(SUBSTITUTE(SUBSTITUTE(SUBSTITUTE(SUBSTITUTE(SUBSTITUTE(SUBSTITUTE(SUBSTITUTE(TRIM(N704),".",""),"/",""),"-","")," ",""),"(",""),")",""),"+",""))=10,"ERRO: é fixo (ou falta o 9), use a coluna Telefone fixo","ERRO: DDD + 9 + 8 dígitos")))</f>
      </c>
      <c r="Y704" s="6">
        <f>IF(O704="","vazio",IF(AND(ISNUMBER(FIND("@",O704)),ISNUMBER(FIND(".",MID(O704,FIND("@",O704),99))),NOT(ISNUMBER(FIND(" ",TRIM(O704)))),NOT(ISNUMBER(FIND(";",O704))),NOT(ISNUMBER(FIND(",",O704)))),"OK","ERRO: um e-mail válido por linha"))</f>
      </c>
      <c r="Z704" s="6">
        <f>IF(AND(J704="",K704=""),"",IF(AND(J704&lt;&gt;"",K704&lt;&gt;""),"OK","pendente: só um nome (o GR completa ao converter)"))</f>
      </c>
      <c r="AA704" s="6">
        <f>IF(COUNTA(A704:S704)=0,"",IF(AND(A704&lt;&gt;"",B704&lt;&gt;"",C704&lt;&gt;"",D704&lt;&gt;"",E704&lt;&gt;"",F704&lt;&gt;"",G704&lt;&gt;"",H704&lt;&gt;"",OR(J704&lt;&gt;"",K704&lt;&gt;""),OR(M704&lt;&gt;"",N704&lt;&gt;"",O704&lt;&gt;"")),"OK","ERRO: faltam "&amp;IF(A704="","SDR; ","")&amp;IF(B704="","Proprietário; ","")&amp;IF(C704="","Origem; ","")&amp;IF(D704="","Temperatura; ","")&amp;IF(E704="","Segmento; ","")&amp;IF(F704="","Time/Cluster; ","")&amp;IF(G704="","CNPJ; ","")&amp;IF(H704="","Razão Social; ","")&amp;IF(AND(J704="",K704=""),"nome do contato; ","")&amp;IF(AND(M704="",N704="",O704=""),"telefone, celular ou e-mail; ","")))</f>
      </c>
      <c r="AB704" s="6">
        <f>IF(COUNTA(A704:S704)=0,"",IF(AND(U704="OK",V704="OK",LEFT(W704,4)&lt;&gt;"ERRO",LEFT(X704,4)&lt;&gt;"ERRO",LEFT(Y704,4)&lt;&gt;"ERRO",AA704="OK"),"OK","REVISAR"))</f>
      </c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5"/>
      <c r="K705" s="4"/>
      <c r="L705" s="4"/>
      <c r="M705" s="4"/>
      <c r="N705" s="4"/>
      <c r="O705" s="4"/>
      <c r="P705" s="4"/>
      <c r="Q705" s="4"/>
      <c r="R705" s="4"/>
      <c r="S705" s="4"/>
      <c r="T705" s="6">
        <f>IF(G705="","",SUBSTITUTE(SUBSTITUTE(SUBSTITUTE(SUBSTITUTE(SUBSTITUTE(SUBSTITUTE(SUBSTITUTE(TRIM(G705),".",""),"/",""),"-","")," ",""),"(",""),")",""),"+",""))</f>
      </c>
      <c r="U705" s="6">
        <f>IF(T705="","",IF(LEN(T705)&lt;&gt;14,"ERRO: "&amp;LEN(T705)&amp;" dígitos",IF(NOT(ISNUMBER(VALUE(T705))),"ERRO: não numérico",IF(LEN(SUBSTITUTE(T705,LEFT(T705,1),""))=0,"ERRO: dígitos repetidos",IF(AND(VALUE(MID(T705,13,1))=IF(MOD(SUMPRODUCT(--MID(T705,{1,2,3,4,5,6,7,8,9,10,11,12},1),{5,4,3,2,9,8,7,6,5,4,3,2}),11)&lt;2,0,11-MOD(SUMPRODUCT(--MID(T705,{1,2,3,4,5,6,7,8,9,10,11,12},1),{5,4,3,2,9,8,7,6,5,4,3,2}),11)),VALUE(MID(T705,14,1))=IF(MOD(SUMPRODUCT(--MID(T705,{1,2,3,4,5,6,7,8,9,10,11,12,13},1),{6,5,4,3,2,9,8,7,6,5,4,3,2}),11)&lt;2,0,11-MOD(SUMPRODUCT(--MID(T705,{1,2,3,4,5,6,7,8,9,10,11,12,13},1),{6,5,4,3,2,9,8,7,6,5,4,3,2}),11))),"OK","ERRO: dígito verificador")))))</f>
      </c>
      <c r="V705" s="6">
        <f>IF(T705="","",IF(COUNTIF($T$2:$T$1001,T705)&gt;1,"DUPLICADO","OK"))</f>
      </c>
      <c r="W705" s="6">
        <f>IF(M705="","vazio",IF(OR(AND(LEN(SUBSTITUTE(SUBSTITUTE(SUBSTITUTE(SUBSTITUTE(SUBSTITUTE(SUBSTITUTE(SUBSTITUTE(TRIM(M705),".",""),"/",""),"-","")," ",""),"(",""),")",""),"+",""))=10,LEFT(SUBSTITUTE(SUBSTITUTE(SUBSTITUTE(SUBSTITUTE(SUBSTITUTE(SUBSTITUTE(SUBSTITUTE(TRIM(M705),".",""),"/",""),"-","")," ",""),"(",""),")",""),"+",""),1)&lt;&gt;"0"),AND(LEN(SUBSTITUTE(SUBSTITUTE(SUBSTITUTE(SUBSTITUTE(SUBSTITUTE(SUBSTITUTE(SUBSTITUTE(TRIM(M705),".",""),"/",""),"-","")," ",""),"(",""),")",""),"+",""))=11,LEFT(SUBSTITUTE(SUBSTITUTE(SUBSTITUTE(SUBSTITUTE(SUBSTITUTE(SUBSTITUTE(SUBSTITUTE(TRIM(M705),".",""),"/",""),"-","")," ",""),"(",""),")",""),"+",""),4)="0800")),"OK",IF(AND(LEN(SUBSTITUTE(SUBSTITUTE(SUBSTITUTE(SUBSTITUTE(SUBSTITUTE(SUBSTITUTE(SUBSTITUTE(TRIM(M705),".",""),"/",""),"-","")," ",""),"(",""),")",""),"+",""))=11,MID(SUBSTITUTE(SUBSTITUTE(SUBSTITUTE(SUBSTITUTE(SUBSTITUTE(SUBSTITUTE(SUBSTITUTE(TRIM(M705),".",""),"/",""),"-","")," ",""),"(",""),")",""),"+",""),3,1)="9"),"ERRO: é celular, use a coluna Celular","ERRO: DDD + 8 dígitos ou 0800 + 7")))</f>
      </c>
      <c r="X705" s="6">
        <f>IF(N705="","vazio",IF(AND(LEN(SUBSTITUTE(SUBSTITUTE(SUBSTITUTE(SUBSTITUTE(SUBSTITUTE(SUBSTITUTE(SUBSTITUTE(TRIM(N705),".",""),"/",""),"-","")," ",""),"(",""),")",""),"+",""))=11,MID(SUBSTITUTE(SUBSTITUTE(SUBSTITUTE(SUBSTITUTE(SUBSTITUTE(SUBSTITUTE(SUBSTITUTE(TRIM(N705),".",""),"/",""),"-","")," ",""),"(",""),")",""),"+",""),3,1)="9",LEFT(SUBSTITUTE(SUBSTITUTE(SUBSTITUTE(SUBSTITUTE(SUBSTITUTE(SUBSTITUTE(SUBSTITUTE(TRIM(N705),".",""),"/",""),"-","")," ",""),"(",""),")",""),"+",""),1)&lt;&gt;"0"),"OK",IF(LEN(SUBSTITUTE(SUBSTITUTE(SUBSTITUTE(SUBSTITUTE(SUBSTITUTE(SUBSTITUTE(SUBSTITUTE(TRIM(N705),".",""),"/",""),"-","")," ",""),"(",""),")",""),"+",""))=10,"ERRO: é fixo (ou falta o 9), use a coluna Telefone fixo","ERRO: DDD + 9 + 8 dígitos")))</f>
      </c>
      <c r="Y705" s="6">
        <f>IF(O705="","vazio",IF(AND(ISNUMBER(FIND("@",O705)),ISNUMBER(FIND(".",MID(O705,FIND("@",O705),99))),NOT(ISNUMBER(FIND(" ",TRIM(O705)))),NOT(ISNUMBER(FIND(";",O705))),NOT(ISNUMBER(FIND(",",O705)))),"OK","ERRO: um e-mail válido por linha"))</f>
      </c>
      <c r="Z705" s="6">
        <f>IF(AND(J705="",K705=""),"",IF(AND(J705&lt;&gt;"",K705&lt;&gt;""),"OK","pendente: só um nome (o GR completa ao converter)"))</f>
      </c>
      <c r="AA705" s="6">
        <f>IF(COUNTA(A705:S705)=0,"",IF(AND(A705&lt;&gt;"",B705&lt;&gt;"",C705&lt;&gt;"",D705&lt;&gt;"",E705&lt;&gt;"",F705&lt;&gt;"",G705&lt;&gt;"",H705&lt;&gt;"",OR(J705&lt;&gt;"",K705&lt;&gt;""),OR(M705&lt;&gt;"",N705&lt;&gt;"",O705&lt;&gt;"")),"OK","ERRO: faltam "&amp;IF(A705="","SDR; ","")&amp;IF(B705="","Proprietário; ","")&amp;IF(C705="","Origem; ","")&amp;IF(D705="","Temperatura; ","")&amp;IF(E705="","Segmento; ","")&amp;IF(F705="","Time/Cluster; ","")&amp;IF(G705="","CNPJ; ","")&amp;IF(H705="","Razão Social; ","")&amp;IF(AND(J705="",K705=""),"nome do contato; ","")&amp;IF(AND(M705="",N705="",O705=""),"telefone, celular ou e-mail; ","")))</f>
      </c>
      <c r="AB705" s="6">
        <f>IF(COUNTA(A705:S705)=0,"",IF(AND(U705="OK",V705="OK",LEFT(W705,4)&lt;&gt;"ERRO",LEFT(X705,4)&lt;&gt;"ERRO",LEFT(Y705,4)&lt;&gt;"ERRO",AA705="OK"),"OK","REVISAR"))</f>
      </c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5"/>
      <c r="K706" s="4"/>
      <c r="L706" s="4"/>
      <c r="M706" s="4"/>
      <c r="N706" s="4"/>
      <c r="O706" s="4"/>
      <c r="P706" s="4"/>
      <c r="Q706" s="4"/>
      <c r="R706" s="4"/>
      <c r="S706" s="4"/>
      <c r="T706" s="6">
        <f>IF(G706="","",SUBSTITUTE(SUBSTITUTE(SUBSTITUTE(SUBSTITUTE(SUBSTITUTE(SUBSTITUTE(SUBSTITUTE(TRIM(G706),".",""),"/",""),"-","")," ",""),"(",""),")",""),"+",""))</f>
      </c>
      <c r="U706" s="6">
        <f>IF(T706="","",IF(LEN(T706)&lt;&gt;14,"ERRO: "&amp;LEN(T706)&amp;" dígitos",IF(NOT(ISNUMBER(VALUE(T706))),"ERRO: não numérico",IF(LEN(SUBSTITUTE(T706,LEFT(T706,1),""))=0,"ERRO: dígitos repetidos",IF(AND(VALUE(MID(T706,13,1))=IF(MOD(SUMPRODUCT(--MID(T706,{1,2,3,4,5,6,7,8,9,10,11,12},1),{5,4,3,2,9,8,7,6,5,4,3,2}),11)&lt;2,0,11-MOD(SUMPRODUCT(--MID(T706,{1,2,3,4,5,6,7,8,9,10,11,12},1),{5,4,3,2,9,8,7,6,5,4,3,2}),11)),VALUE(MID(T706,14,1))=IF(MOD(SUMPRODUCT(--MID(T706,{1,2,3,4,5,6,7,8,9,10,11,12,13},1),{6,5,4,3,2,9,8,7,6,5,4,3,2}),11)&lt;2,0,11-MOD(SUMPRODUCT(--MID(T706,{1,2,3,4,5,6,7,8,9,10,11,12,13},1),{6,5,4,3,2,9,8,7,6,5,4,3,2}),11))),"OK","ERRO: dígito verificador")))))</f>
      </c>
      <c r="V706" s="6">
        <f>IF(T706="","",IF(COUNTIF($T$2:$T$1001,T706)&gt;1,"DUPLICADO","OK"))</f>
      </c>
      <c r="W706" s="6">
        <f>IF(M706="","vazio",IF(OR(AND(LEN(SUBSTITUTE(SUBSTITUTE(SUBSTITUTE(SUBSTITUTE(SUBSTITUTE(SUBSTITUTE(SUBSTITUTE(TRIM(M706),".",""),"/",""),"-","")," ",""),"(",""),")",""),"+",""))=10,LEFT(SUBSTITUTE(SUBSTITUTE(SUBSTITUTE(SUBSTITUTE(SUBSTITUTE(SUBSTITUTE(SUBSTITUTE(TRIM(M706),".",""),"/",""),"-","")," ",""),"(",""),")",""),"+",""),1)&lt;&gt;"0"),AND(LEN(SUBSTITUTE(SUBSTITUTE(SUBSTITUTE(SUBSTITUTE(SUBSTITUTE(SUBSTITUTE(SUBSTITUTE(TRIM(M706),".",""),"/",""),"-","")," ",""),"(",""),")",""),"+",""))=11,LEFT(SUBSTITUTE(SUBSTITUTE(SUBSTITUTE(SUBSTITUTE(SUBSTITUTE(SUBSTITUTE(SUBSTITUTE(TRIM(M706),".",""),"/",""),"-","")," ",""),"(",""),")",""),"+",""),4)="0800")),"OK",IF(AND(LEN(SUBSTITUTE(SUBSTITUTE(SUBSTITUTE(SUBSTITUTE(SUBSTITUTE(SUBSTITUTE(SUBSTITUTE(TRIM(M706),".",""),"/",""),"-","")," ",""),"(",""),")",""),"+",""))=11,MID(SUBSTITUTE(SUBSTITUTE(SUBSTITUTE(SUBSTITUTE(SUBSTITUTE(SUBSTITUTE(SUBSTITUTE(TRIM(M706),".",""),"/",""),"-","")," ",""),"(",""),")",""),"+",""),3,1)="9"),"ERRO: é celular, use a coluna Celular","ERRO: DDD + 8 dígitos ou 0800 + 7")))</f>
      </c>
      <c r="X706" s="6">
        <f>IF(N706="","vazio",IF(AND(LEN(SUBSTITUTE(SUBSTITUTE(SUBSTITUTE(SUBSTITUTE(SUBSTITUTE(SUBSTITUTE(SUBSTITUTE(TRIM(N706),".",""),"/",""),"-","")," ",""),"(",""),")",""),"+",""))=11,MID(SUBSTITUTE(SUBSTITUTE(SUBSTITUTE(SUBSTITUTE(SUBSTITUTE(SUBSTITUTE(SUBSTITUTE(TRIM(N706),".",""),"/",""),"-","")," ",""),"(",""),")",""),"+",""),3,1)="9",LEFT(SUBSTITUTE(SUBSTITUTE(SUBSTITUTE(SUBSTITUTE(SUBSTITUTE(SUBSTITUTE(SUBSTITUTE(TRIM(N706),".",""),"/",""),"-","")," ",""),"(",""),")",""),"+",""),1)&lt;&gt;"0"),"OK",IF(LEN(SUBSTITUTE(SUBSTITUTE(SUBSTITUTE(SUBSTITUTE(SUBSTITUTE(SUBSTITUTE(SUBSTITUTE(TRIM(N706),".",""),"/",""),"-","")," ",""),"(",""),")",""),"+",""))=10,"ERRO: é fixo (ou falta o 9), use a coluna Telefone fixo","ERRO: DDD + 9 + 8 dígitos")))</f>
      </c>
      <c r="Y706" s="6">
        <f>IF(O706="","vazio",IF(AND(ISNUMBER(FIND("@",O706)),ISNUMBER(FIND(".",MID(O706,FIND("@",O706),99))),NOT(ISNUMBER(FIND(" ",TRIM(O706)))),NOT(ISNUMBER(FIND(";",O706))),NOT(ISNUMBER(FIND(",",O706)))),"OK","ERRO: um e-mail válido por linha"))</f>
      </c>
      <c r="Z706" s="6">
        <f>IF(AND(J706="",K706=""),"",IF(AND(J706&lt;&gt;"",K706&lt;&gt;""),"OK","pendente: só um nome (o GR completa ao converter)"))</f>
      </c>
      <c r="AA706" s="6">
        <f>IF(COUNTA(A706:S706)=0,"",IF(AND(A706&lt;&gt;"",B706&lt;&gt;"",C706&lt;&gt;"",D706&lt;&gt;"",E706&lt;&gt;"",F706&lt;&gt;"",G706&lt;&gt;"",H706&lt;&gt;"",OR(J706&lt;&gt;"",K706&lt;&gt;""),OR(M706&lt;&gt;"",N706&lt;&gt;"",O706&lt;&gt;"")),"OK","ERRO: faltam "&amp;IF(A706="","SDR; ","")&amp;IF(B706="","Proprietário; ","")&amp;IF(C706="","Origem; ","")&amp;IF(D706="","Temperatura; ","")&amp;IF(E706="","Segmento; ","")&amp;IF(F706="","Time/Cluster; ","")&amp;IF(G706="","CNPJ; ","")&amp;IF(H706="","Razão Social; ","")&amp;IF(AND(J706="",K706=""),"nome do contato; ","")&amp;IF(AND(M706="",N706="",O706=""),"telefone, celular ou e-mail; ","")))</f>
      </c>
      <c r="AB706" s="6">
        <f>IF(COUNTA(A706:S706)=0,"",IF(AND(U706="OK",V706="OK",LEFT(W706,4)&lt;&gt;"ERRO",LEFT(X706,4)&lt;&gt;"ERRO",LEFT(Y706,4)&lt;&gt;"ERRO",AA706="OK"),"OK","REVISAR"))</f>
      </c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5"/>
      <c r="K707" s="4"/>
      <c r="L707" s="4"/>
      <c r="M707" s="4"/>
      <c r="N707" s="4"/>
      <c r="O707" s="4"/>
      <c r="P707" s="4"/>
      <c r="Q707" s="4"/>
      <c r="R707" s="4"/>
      <c r="S707" s="4"/>
      <c r="T707" s="6">
        <f>IF(G707="","",SUBSTITUTE(SUBSTITUTE(SUBSTITUTE(SUBSTITUTE(SUBSTITUTE(SUBSTITUTE(SUBSTITUTE(TRIM(G707),".",""),"/",""),"-","")," ",""),"(",""),")",""),"+",""))</f>
      </c>
      <c r="U707" s="6">
        <f>IF(T707="","",IF(LEN(T707)&lt;&gt;14,"ERRO: "&amp;LEN(T707)&amp;" dígitos",IF(NOT(ISNUMBER(VALUE(T707))),"ERRO: não numérico",IF(LEN(SUBSTITUTE(T707,LEFT(T707,1),""))=0,"ERRO: dígitos repetidos",IF(AND(VALUE(MID(T707,13,1))=IF(MOD(SUMPRODUCT(--MID(T707,{1,2,3,4,5,6,7,8,9,10,11,12},1),{5,4,3,2,9,8,7,6,5,4,3,2}),11)&lt;2,0,11-MOD(SUMPRODUCT(--MID(T707,{1,2,3,4,5,6,7,8,9,10,11,12},1),{5,4,3,2,9,8,7,6,5,4,3,2}),11)),VALUE(MID(T707,14,1))=IF(MOD(SUMPRODUCT(--MID(T707,{1,2,3,4,5,6,7,8,9,10,11,12,13},1),{6,5,4,3,2,9,8,7,6,5,4,3,2}),11)&lt;2,0,11-MOD(SUMPRODUCT(--MID(T707,{1,2,3,4,5,6,7,8,9,10,11,12,13},1),{6,5,4,3,2,9,8,7,6,5,4,3,2}),11))),"OK","ERRO: dígito verificador")))))</f>
      </c>
      <c r="V707" s="6">
        <f>IF(T707="","",IF(COUNTIF($T$2:$T$1001,T707)&gt;1,"DUPLICADO","OK"))</f>
      </c>
      <c r="W707" s="6">
        <f>IF(M707="","vazio",IF(OR(AND(LEN(SUBSTITUTE(SUBSTITUTE(SUBSTITUTE(SUBSTITUTE(SUBSTITUTE(SUBSTITUTE(SUBSTITUTE(TRIM(M707),".",""),"/",""),"-","")," ",""),"(",""),")",""),"+",""))=10,LEFT(SUBSTITUTE(SUBSTITUTE(SUBSTITUTE(SUBSTITUTE(SUBSTITUTE(SUBSTITUTE(SUBSTITUTE(TRIM(M707),".",""),"/",""),"-","")," ",""),"(",""),")",""),"+",""),1)&lt;&gt;"0"),AND(LEN(SUBSTITUTE(SUBSTITUTE(SUBSTITUTE(SUBSTITUTE(SUBSTITUTE(SUBSTITUTE(SUBSTITUTE(TRIM(M707),".",""),"/",""),"-","")," ",""),"(",""),")",""),"+",""))=11,LEFT(SUBSTITUTE(SUBSTITUTE(SUBSTITUTE(SUBSTITUTE(SUBSTITUTE(SUBSTITUTE(SUBSTITUTE(TRIM(M707),".",""),"/",""),"-","")," ",""),"(",""),")",""),"+",""),4)="0800")),"OK",IF(AND(LEN(SUBSTITUTE(SUBSTITUTE(SUBSTITUTE(SUBSTITUTE(SUBSTITUTE(SUBSTITUTE(SUBSTITUTE(TRIM(M707),".",""),"/",""),"-","")," ",""),"(",""),")",""),"+",""))=11,MID(SUBSTITUTE(SUBSTITUTE(SUBSTITUTE(SUBSTITUTE(SUBSTITUTE(SUBSTITUTE(SUBSTITUTE(TRIM(M707),".",""),"/",""),"-","")," ",""),"(",""),")",""),"+",""),3,1)="9"),"ERRO: é celular, use a coluna Celular","ERRO: DDD + 8 dígitos ou 0800 + 7")))</f>
      </c>
      <c r="X707" s="6">
        <f>IF(N707="","vazio",IF(AND(LEN(SUBSTITUTE(SUBSTITUTE(SUBSTITUTE(SUBSTITUTE(SUBSTITUTE(SUBSTITUTE(SUBSTITUTE(TRIM(N707),".",""),"/",""),"-","")," ",""),"(",""),")",""),"+",""))=11,MID(SUBSTITUTE(SUBSTITUTE(SUBSTITUTE(SUBSTITUTE(SUBSTITUTE(SUBSTITUTE(SUBSTITUTE(TRIM(N707),".",""),"/",""),"-","")," ",""),"(",""),")",""),"+",""),3,1)="9",LEFT(SUBSTITUTE(SUBSTITUTE(SUBSTITUTE(SUBSTITUTE(SUBSTITUTE(SUBSTITUTE(SUBSTITUTE(TRIM(N707),".",""),"/",""),"-","")," ",""),"(",""),")",""),"+",""),1)&lt;&gt;"0"),"OK",IF(LEN(SUBSTITUTE(SUBSTITUTE(SUBSTITUTE(SUBSTITUTE(SUBSTITUTE(SUBSTITUTE(SUBSTITUTE(TRIM(N707),".",""),"/",""),"-","")," ",""),"(",""),")",""),"+",""))=10,"ERRO: é fixo (ou falta o 9), use a coluna Telefone fixo","ERRO: DDD + 9 + 8 dígitos")))</f>
      </c>
      <c r="Y707" s="6">
        <f>IF(O707="","vazio",IF(AND(ISNUMBER(FIND("@",O707)),ISNUMBER(FIND(".",MID(O707,FIND("@",O707),99))),NOT(ISNUMBER(FIND(" ",TRIM(O707)))),NOT(ISNUMBER(FIND(";",O707))),NOT(ISNUMBER(FIND(",",O707)))),"OK","ERRO: um e-mail válido por linha"))</f>
      </c>
      <c r="Z707" s="6">
        <f>IF(AND(J707="",K707=""),"",IF(AND(J707&lt;&gt;"",K707&lt;&gt;""),"OK","pendente: só um nome (o GR completa ao converter)"))</f>
      </c>
      <c r="AA707" s="6">
        <f>IF(COUNTA(A707:S707)=0,"",IF(AND(A707&lt;&gt;"",B707&lt;&gt;"",C707&lt;&gt;"",D707&lt;&gt;"",E707&lt;&gt;"",F707&lt;&gt;"",G707&lt;&gt;"",H707&lt;&gt;"",OR(J707&lt;&gt;"",K707&lt;&gt;""),OR(M707&lt;&gt;"",N707&lt;&gt;"",O707&lt;&gt;"")),"OK","ERRO: faltam "&amp;IF(A707="","SDR; ","")&amp;IF(B707="","Proprietário; ","")&amp;IF(C707="","Origem; ","")&amp;IF(D707="","Temperatura; ","")&amp;IF(E707="","Segmento; ","")&amp;IF(F707="","Time/Cluster; ","")&amp;IF(G707="","CNPJ; ","")&amp;IF(H707="","Razão Social; ","")&amp;IF(AND(J707="",K707=""),"nome do contato; ","")&amp;IF(AND(M707="",N707="",O707=""),"telefone, celular ou e-mail; ","")))</f>
      </c>
      <c r="AB707" s="6">
        <f>IF(COUNTA(A707:S707)=0,"",IF(AND(U707="OK",V707="OK",LEFT(W707,4)&lt;&gt;"ERRO",LEFT(X707,4)&lt;&gt;"ERRO",LEFT(Y707,4)&lt;&gt;"ERRO",AA707="OK"),"OK","REVISAR"))</f>
      </c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5"/>
      <c r="K708" s="4"/>
      <c r="L708" s="4"/>
      <c r="M708" s="4"/>
      <c r="N708" s="4"/>
      <c r="O708" s="4"/>
      <c r="P708" s="4"/>
      <c r="Q708" s="4"/>
      <c r="R708" s="4"/>
      <c r="S708" s="4"/>
      <c r="T708" s="6">
        <f>IF(G708="","",SUBSTITUTE(SUBSTITUTE(SUBSTITUTE(SUBSTITUTE(SUBSTITUTE(SUBSTITUTE(SUBSTITUTE(TRIM(G708),".",""),"/",""),"-","")," ",""),"(",""),")",""),"+",""))</f>
      </c>
      <c r="U708" s="6">
        <f>IF(T708="","",IF(LEN(T708)&lt;&gt;14,"ERRO: "&amp;LEN(T708)&amp;" dígitos",IF(NOT(ISNUMBER(VALUE(T708))),"ERRO: não numérico",IF(LEN(SUBSTITUTE(T708,LEFT(T708,1),""))=0,"ERRO: dígitos repetidos",IF(AND(VALUE(MID(T708,13,1))=IF(MOD(SUMPRODUCT(--MID(T708,{1,2,3,4,5,6,7,8,9,10,11,12},1),{5,4,3,2,9,8,7,6,5,4,3,2}),11)&lt;2,0,11-MOD(SUMPRODUCT(--MID(T708,{1,2,3,4,5,6,7,8,9,10,11,12},1),{5,4,3,2,9,8,7,6,5,4,3,2}),11)),VALUE(MID(T708,14,1))=IF(MOD(SUMPRODUCT(--MID(T708,{1,2,3,4,5,6,7,8,9,10,11,12,13},1),{6,5,4,3,2,9,8,7,6,5,4,3,2}),11)&lt;2,0,11-MOD(SUMPRODUCT(--MID(T708,{1,2,3,4,5,6,7,8,9,10,11,12,13},1),{6,5,4,3,2,9,8,7,6,5,4,3,2}),11))),"OK","ERRO: dígito verificador")))))</f>
      </c>
      <c r="V708" s="6">
        <f>IF(T708="","",IF(COUNTIF($T$2:$T$1001,T708)&gt;1,"DUPLICADO","OK"))</f>
      </c>
      <c r="W708" s="6">
        <f>IF(M708="","vazio",IF(OR(AND(LEN(SUBSTITUTE(SUBSTITUTE(SUBSTITUTE(SUBSTITUTE(SUBSTITUTE(SUBSTITUTE(SUBSTITUTE(TRIM(M708),".",""),"/",""),"-","")," ",""),"(",""),")",""),"+",""))=10,LEFT(SUBSTITUTE(SUBSTITUTE(SUBSTITUTE(SUBSTITUTE(SUBSTITUTE(SUBSTITUTE(SUBSTITUTE(TRIM(M708),".",""),"/",""),"-","")," ",""),"(",""),")",""),"+",""),1)&lt;&gt;"0"),AND(LEN(SUBSTITUTE(SUBSTITUTE(SUBSTITUTE(SUBSTITUTE(SUBSTITUTE(SUBSTITUTE(SUBSTITUTE(TRIM(M708),".",""),"/",""),"-","")," ",""),"(",""),")",""),"+",""))=11,LEFT(SUBSTITUTE(SUBSTITUTE(SUBSTITUTE(SUBSTITUTE(SUBSTITUTE(SUBSTITUTE(SUBSTITUTE(TRIM(M708),".",""),"/",""),"-","")," ",""),"(",""),")",""),"+",""),4)="0800")),"OK",IF(AND(LEN(SUBSTITUTE(SUBSTITUTE(SUBSTITUTE(SUBSTITUTE(SUBSTITUTE(SUBSTITUTE(SUBSTITUTE(TRIM(M708),".",""),"/",""),"-","")," ",""),"(",""),")",""),"+",""))=11,MID(SUBSTITUTE(SUBSTITUTE(SUBSTITUTE(SUBSTITUTE(SUBSTITUTE(SUBSTITUTE(SUBSTITUTE(TRIM(M708),".",""),"/",""),"-","")," ",""),"(",""),")",""),"+",""),3,1)="9"),"ERRO: é celular, use a coluna Celular","ERRO: DDD + 8 dígitos ou 0800 + 7")))</f>
      </c>
      <c r="X708" s="6">
        <f>IF(N708="","vazio",IF(AND(LEN(SUBSTITUTE(SUBSTITUTE(SUBSTITUTE(SUBSTITUTE(SUBSTITUTE(SUBSTITUTE(SUBSTITUTE(TRIM(N708),".",""),"/",""),"-","")," ",""),"(",""),")",""),"+",""))=11,MID(SUBSTITUTE(SUBSTITUTE(SUBSTITUTE(SUBSTITUTE(SUBSTITUTE(SUBSTITUTE(SUBSTITUTE(TRIM(N708),".",""),"/",""),"-","")," ",""),"(",""),")",""),"+",""),3,1)="9",LEFT(SUBSTITUTE(SUBSTITUTE(SUBSTITUTE(SUBSTITUTE(SUBSTITUTE(SUBSTITUTE(SUBSTITUTE(TRIM(N708),".",""),"/",""),"-","")," ",""),"(",""),")",""),"+",""),1)&lt;&gt;"0"),"OK",IF(LEN(SUBSTITUTE(SUBSTITUTE(SUBSTITUTE(SUBSTITUTE(SUBSTITUTE(SUBSTITUTE(SUBSTITUTE(TRIM(N708),".",""),"/",""),"-","")," ",""),"(",""),")",""),"+",""))=10,"ERRO: é fixo (ou falta o 9), use a coluna Telefone fixo","ERRO: DDD + 9 + 8 dígitos")))</f>
      </c>
      <c r="Y708" s="6">
        <f>IF(O708="","vazio",IF(AND(ISNUMBER(FIND("@",O708)),ISNUMBER(FIND(".",MID(O708,FIND("@",O708),99))),NOT(ISNUMBER(FIND(" ",TRIM(O708)))),NOT(ISNUMBER(FIND(";",O708))),NOT(ISNUMBER(FIND(",",O708)))),"OK","ERRO: um e-mail válido por linha"))</f>
      </c>
      <c r="Z708" s="6">
        <f>IF(AND(J708="",K708=""),"",IF(AND(J708&lt;&gt;"",K708&lt;&gt;""),"OK","pendente: só um nome (o GR completa ao converter)"))</f>
      </c>
      <c r="AA708" s="6">
        <f>IF(COUNTA(A708:S708)=0,"",IF(AND(A708&lt;&gt;"",B708&lt;&gt;"",C708&lt;&gt;"",D708&lt;&gt;"",E708&lt;&gt;"",F708&lt;&gt;"",G708&lt;&gt;"",H708&lt;&gt;"",OR(J708&lt;&gt;"",K708&lt;&gt;""),OR(M708&lt;&gt;"",N708&lt;&gt;"",O708&lt;&gt;"")),"OK","ERRO: faltam "&amp;IF(A708="","SDR; ","")&amp;IF(B708="","Proprietário; ","")&amp;IF(C708="","Origem; ","")&amp;IF(D708="","Temperatura; ","")&amp;IF(E708="","Segmento; ","")&amp;IF(F708="","Time/Cluster; ","")&amp;IF(G708="","CNPJ; ","")&amp;IF(H708="","Razão Social; ","")&amp;IF(AND(J708="",K708=""),"nome do contato; ","")&amp;IF(AND(M708="",N708="",O708=""),"telefone, celular ou e-mail; ","")))</f>
      </c>
      <c r="AB708" s="6">
        <f>IF(COUNTA(A708:S708)=0,"",IF(AND(U708="OK",V708="OK",LEFT(W708,4)&lt;&gt;"ERRO",LEFT(X708,4)&lt;&gt;"ERRO",LEFT(Y708,4)&lt;&gt;"ERRO",AA708="OK"),"OK","REVISAR"))</f>
      </c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5"/>
      <c r="K709" s="4"/>
      <c r="L709" s="4"/>
      <c r="M709" s="4"/>
      <c r="N709" s="4"/>
      <c r="O709" s="4"/>
      <c r="P709" s="4"/>
      <c r="Q709" s="4"/>
      <c r="R709" s="4"/>
      <c r="S709" s="4"/>
      <c r="T709" s="6">
        <f>IF(G709="","",SUBSTITUTE(SUBSTITUTE(SUBSTITUTE(SUBSTITUTE(SUBSTITUTE(SUBSTITUTE(SUBSTITUTE(TRIM(G709),".",""),"/",""),"-","")," ",""),"(",""),")",""),"+",""))</f>
      </c>
      <c r="U709" s="6">
        <f>IF(T709="","",IF(LEN(T709)&lt;&gt;14,"ERRO: "&amp;LEN(T709)&amp;" dígitos",IF(NOT(ISNUMBER(VALUE(T709))),"ERRO: não numérico",IF(LEN(SUBSTITUTE(T709,LEFT(T709,1),""))=0,"ERRO: dígitos repetidos",IF(AND(VALUE(MID(T709,13,1))=IF(MOD(SUMPRODUCT(--MID(T709,{1,2,3,4,5,6,7,8,9,10,11,12},1),{5,4,3,2,9,8,7,6,5,4,3,2}),11)&lt;2,0,11-MOD(SUMPRODUCT(--MID(T709,{1,2,3,4,5,6,7,8,9,10,11,12},1),{5,4,3,2,9,8,7,6,5,4,3,2}),11)),VALUE(MID(T709,14,1))=IF(MOD(SUMPRODUCT(--MID(T709,{1,2,3,4,5,6,7,8,9,10,11,12,13},1),{6,5,4,3,2,9,8,7,6,5,4,3,2}),11)&lt;2,0,11-MOD(SUMPRODUCT(--MID(T709,{1,2,3,4,5,6,7,8,9,10,11,12,13},1),{6,5,4,3,2,9,8,7,6,5,4,3,2}),11))),"OK","ERRO: dígito verificador")))))</f>
      </c>
      <c r="V709" s="6">
        <f>IF(T709="","",IF(COUNTIF($T$2:$T$1001,T709)&gt;1,"DUPLICADO","OK"))</f>
      </c>
      <c r="W709" s="6">
        <f>IF(M709="","vazio",IF(OR(AND(LEN(SUBSTITUTE(SUBSTITUTE(SUBSTITUTE(SUBSTITUTE(SUBSTITUTE(SUBSTITUTE(SUBSTITUTE(TRIM(M709),".",""),"/",""),"-","")," ",""),"(",""),")",""),"+",""))=10,LEFT(SUBSTITUTE(SUBSTITUTE(SUBSTITUTE(SUBSTITUTE(SUBSTITUTE(SUBSTITUTE(SUBSTITUTE(TRIM(M709),".",""),"/",""),"-","")," ",""),"(",""),")",""),"+",""),1)&lt;&gt;"0"),AND(LEN(SUBSTITUTE(SUBSTITUTE(SUBSTITUTE(SUBSTITUTE(SUBSTITUTE(SUBSTITUTE(SUBSTITUTE(TRIM(M709),".",""),"/",""),"-","")," ",""),"(",""),")",""),"+",""))=11,LEFT(SUBSTITUTE(SUBSTITUTE(SUBSTITUTE(SUBSTITUTE(SUBSTITUTE(SUBSTITUTE(SUBSTITUTE(TRIM(M709),".",""),"/",""),"-","")," ",""),"(",""),")",""),"+",""),4)="0800")),"OK",IF(AND(LEN(SUBSTITUTE(SUBSTITUTE(SUBSTITUTE(SUBSTITUTE(SUBSTITUTE(SUBSTITUTE(SUBSTITUTE(TRIM(M709),".",""),"/",""),"-","")," ",""),"(",""),")",""),"+",""))=11,MID(SUBSTITUTE(SUBSTITUTE(SUBSTITUTE(SUBSTITUTE(SUBSTITUTE(SUBSTITUTE(SUBSTITUTE(TRIM(M709),".",""),"/",""),"-","")," ",""),"(",""),")",""),"+",""),3,1)="9"),"ERRO: é celular, use a coluna Celular","ERRO: DDD + 8 dígitos ou 0800 + 7")))</f>
      </c>
      <c r="X709" s="6">
        <f>IF(N709="","vazio",IF(AND(LEN(SUBSTITUTE(SUBSTITUTE(SUBSTITUTE(SUBSTITUTE(SUBSTITUTE(SUBSTITUTE(SUBSTITUTE(TRIM(N709),".",""),"/",""),"-","")," ",""),"(",""),")",""),"+",""))=11,MID(SUBSTITUTE(SUBSTITUTE(SUBSTITUTE(SUBSTITUTE(SUBSTITUTE(SUBSTITUTE(SUBSTITUTE(TRIM(N709),".",""),"/",""),"-","")," ",""),"(",""),")",""),"+",""),3,1)="9",LEFT(SUBSTITUTE(SUBSTITUTE(SUBSTITUTE(SUBSTITUTE(SUBSTITUTE(SUBSTITUTE(SUBSTITUTE(TRIM(N709),".",""),"/",""),"-","")," ",""),"(",""),")",""),"+",""),1)&lt;&gt;"0"),"OK",IF(LEN(SUBSTITUTE(SUBSTITUTE(SUBSTITUTE(SUBSTITUTE(SUBSTITUTE(SUBSTITUTE(SUBSTITUTE(TRIM(N709),".",""),"/",""),"-","")," ",""),"(",""),")",""),"+",""))=10,"ERRO: é fixo (ou falta o 9), use a coluna Telefone fixo","ERRO: DDD + 9 + 8 dígitos")))</f>
      </c>
      <c r="Y709" s="6">
        <f>IF(O709="","vazio",IF(AND(ISNUMBER(FIND("@",O709)),ISNUMBER(FIND(".",MID(O709,FIND("@",O709),99))),NOT(ISNUMBER(FIND(" ",TRIM(O709)))),NOT(ISNUMBER(FIND(";",O709))),NOT(ISNUMBER(FIND(",",O709)))),"OK","ERRO: um e-mail válido por linha"))</f>
      </c>
      <c r="Z709" s="6">
        <f>IF(AND(J709="",K709=""),"",IF(AND(J709&lt;&gt;"",K709&lt;&gt;""),"OK","pendente: só um nome (o GR completa ao converter)"))</f>
      </c>
      <c r="AA709" s="6">
        <f>IF(COUNTA(A709:S709)=0,"",IF(AND(A709&lt;&gt;"",B709&lt;&gt;"",C709&lt;&gt;"",D709&lt;&gt;"",E709&lt;&gt;"",F709&lt;&gt;"",G709&lt;&gt;"",H709&lt;&gt;"",OR(J709&lt;&gt;"",K709&lt;&gt;""),OR(M709&lt;&gt;"",N709&lt;&gt;"",O709&lt;&gt;"")),"OK","ERRO: faltam "&amp;IF(A709="","SDR; ","")&amp;IF(B709="","Proprietário; ","")&amp;IF(C709="","Origem; ","")&amp;IF(D709="","Temperatura; ","")&amp;IF(E709="","Segmento; ","")&amp;IF(F709="","Time/Cluster; ","")&amp;IF(G709="","CNPJ; ","")&amp;IF(H709="","Razão Social; ","")&amp;IF(AND(J709="",K709=""),"nome do contato; ","")&amp;IF(AND(M709="",N709="",O709=""),"telefone, celular ou e-mail; ","")))</f>
      </c>
      <c r="AB709" s="6">
        <f>IF(COUNTA(A709:S709)=0,"",IF(AND(U709="OK",V709="OK",LEFT(W709,4)&lt;&gt;"ERRO",LEFT(X709,4)&lt;&gt;"ERRO",LEFT(Y709,4)&lt;&gt;"ERRO",AA709="OK"),"OK","REVISAR"))</f>
      </c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5"/>
      <c r="K710" s="4"/>
      <c r="L710" s="4"/>
      <c r="M710" s="4"/>
      <c r="N710" s="4"/>
      <c r="O710" s="4"/>
      <c r="P710" s="4"/>
      <c r="Q710" s="4"/>
      <c r="R710" s="4"/>
      <c r="S710" s="4"/>
      <c r="T710" s="6">
        <f>IF(G710="","",SUBSTITUTE(SUBSTITUTE(SUBSTITUTE(SUBSTITUTE(SUBSTITUTE(SUBSTITUTE(SUBSTITUTE(TRIM(G710),".",""),"/",""),"-","")," ",""),"(",""),")",""),"+",""))</f>
      </c>
      <c r="U710" s="6">
        <f>IF(T710="","",IF(LEN(T710)&lt;&gt;14,"ERRO: "&amp;LEN(T710)&amp;" dígitos",IF(NOT(ISNUMBER(VALUE(T710))),"ERRO: não numérico",IF(LEN(SUBSTITUTE(T710,LEFT(T710,1),""))=0,"ERRO: dígitos repetidos",IF(AND(VALUE(MID(T710,13,1))=IF(MOD(SUMPRODUCT(--MID(T710,{1,2,3,4,5,6,7,8,9,10,11,12},1),{5,4,3,2,9,8,7,6,5,4,3,2}),11)&lt;2,0,11-MOD(SUMPRODUCT(--MID(T710,{1,2,3,4,5,6,7,8,9,10,11,12},1),{5,4,3,2,9,8,7,6,5,4,3,2}),11)),VALUE(MID(T710,14,1))=IF(MOD(SUMPRODUCT(--MID(T710,{1,2,3,4,5,6,7,8,9,10,11,12,13},1),{6,5,4,3,2,9,8,7,6,5,4,3,2}),11)&lt;2,0,11-MOD(SUMPRODUCT(--MID(T710,{1,2,3,4,5,6,7,8,9,10,11,12,13},1),{6,5,4,3,2,9,8,7,6,5,4,3,2}),11))),"OK","ERRO: dígito verificador")))))</f>
      </c>
      <c r="V710" s="6">
        <f>IF(T710="","",IF(COUNTIF($T$2:$T$1001,T710)&gt;1,"DUPLICADO","OK"))</f>
      </c>
      <c r="W710" s="6">
        <f>IF(M710="","vazio",IF(OR(AND(LEN(SUBSTITUTE(SUBSTITUTE(SUBSTITUTE(SUBSTITUTE(SUBSTITUTE(SUBSTITUTE(SUBSTITUTE(TRIM(M710),".",""),"/",""),"-","")," ",""),"(",""),")",""),"+",""))=10,LEFT(SUBSTITUTE(SUBSTITUTE(SUBSTITUTE(SUBSTITUTE(SUBSTITUTE(SUBSTITUTE(SUBSTITUTE(TRIM(M710),".",""),"/",""),"-","")," ",""),"(",""),")",""),"+",""),1)&lt;&gt;"0"),AND(LEN(SUBSTITUTE(SUBSTITUTE(SUBSTITUTE(SUBSTITUTE(SUBSTITUTE(SUBSTITUTE(SUBSTITUTE(TRIM(M710),".",""),"/",""),"-","")," ",""),"(",""),")",""),"+",""))=11,LEFT(SUBSTITUTE(SUBSTITUTE(SUBSTITUTE(SUBSTITUTE(SUBSTITUTE(SUBSTITUTE(SUBSTITUTE(TRIM(M710),".",""),"/",""),"-","")," ",""),"(",""),")",""),"+",""),4)="0800")),"OK",IF(AND(LEN(SUBSTITUTE(SUBSTITUTE(SUBSTITUTE(SUBSTITUTE(SUBSTITUTE(SUBSTITUTE(SUBSTITUTE(TRIM(M710),".",""),"/",""),"-","")," ",""),"(",""),")",""),"+",""))=11,MID(SUBSTITUTE(SUBSTITUTE(SUBSTITUTE(SUBSTITUTE(SUBSTITUTE(SUBSTITUTE(SUBSTITUTE(TRIM(M710),".",""),"/",""),"-","")," ",""),"(",""),")",""),"+",""),3,1)="9"),"ERRO: é celular, use a coluna Celular","ERRO: DDD + 8 dígitos ou 0800 + 7")))</f>
      </c>
      <c r="X710" s="6">
        <f>IF(N710="","vazio",IF(AND(LEN(SUBSTITUTE(SUBSTITUTE(SUBSTITUTE(SUBSTITUTE(SUBSTITUTE(SUBSTITUTE(SUBSTITUTE(TRIM(N710),".",""),"/",""),"-","")," ",""),"(",""),")",""),"+",""))=11,MID(SUBSTITUTE(SUBSTITUTE(SUBSTITUTE(SUBSTITUTE(SUBSTITUTE(SUBSTITUTE(SUBSTITUTE(TRIM(N710),".",""),"/",""),"-","")," ",""),"(",""),")",""),"+",""),3,1)="9",LEFT(SUBSTITUTE(SUBSTITUTE(SUBSTITUTE(SUBSTITUTE(SUBSTITUTE(SUBSTITUTE(SUBSTITUTE(TRIM(N710),".",""),"/",""),"-","")," ",""),"(",""),")",""),"+",""),1)&lt;&gt;"0"),"OK",IF(LEN(SUBSTITUTE(SUBSTITUTE(SUBSTITUTE(SUBSTITUTE(SUBSTITUTE(SUBSTITUTE(SUBSTITUTE(TRIM(N710),".",""),"/",""),"-","")," ",""),"(",""),")",""),"+",""))=10,"ERRO: é fixo (ou falta o 9), use a coluna Telefone fixo","ERRO: DDD + 9 + 8 dígitos")))</f>
      </c>
      <c r="Y710" s="6">
        <f>IF(O710="","vazio",IF(AND(ISNUMBER(FIND("@",O710)),ISNUMBER(FIND(".",MID(O710,FIND("@",O710),99))),NOT(ISNUMBER(FIND(" ",TRIM(O710)))),NOT(ISNUMBER(FIND(";",O710))),NOT(ISNUMBER(FIND(",",O710)))),"OK","ERRO: um e-mail válido por linha"))</f>
      </c>
      <c r="Z710" s="6">
        <f>IF(AND(J710="",K710=""),"",IF(AND(J710&lt;&gt;"",K710&lt;&gt;""),"OK","pendente: só um nome (o GR completa ao converter)"))</f>
      </c>
      <c r="AA710" s="6">
        <f>IF(COUNTA(A710:S710)=0,"",IF(AND(A710&lt;&gt;"",B710&lt;&gt;"",C710&lt;&gt;"",D710&lt;&gt;"",E710&lt;&gt;"",F710&lt;&gt;"",G710&lt;&gt;"",H710&lt;&gt;"",OR(J710&lt;&gt;"",K710&lt;&gt;""),OR(M710&lt;&gt;"",N710&lt;&gt;"",O710&lt;&gt;"")),"OK","ERRO: faltam "&amp;IF(A710="","SDR; ","")&amp;IF(B710="","Proprietário; ","")&amp;IF(C710="","Origem; ","")&amp;IF(D710="","Temperatura; ","")&amp;IF(E710="","Segmento; ","")&amp;IF(F710="","Time/Cluster; ","")&amp;IF(G710="","CNPJ; ","")&amp;IF(H710="","Razão Social; ","")&amp;IF(AND(J710="",K710=""),"nome do contato; ","")&amp;IF(AND(M710="",N710="",O710=""),"telefone, celular ou e-mail; ","")))</f>
      </c>
      <c r="AB710" s="6">
        <f>IF(COUNTA(A710:S710)=0,"",IF(AND(U710="OK",V710="OK",LEFT(W710,4)&lt;&gt;"ERRO",LEFT(X710,4)&lt;&gt;"ERRO",LEFT(Y710,4)&lt;&gt;"ERRO",AA710="OK"),"OK","REVISAR"))</f>
      </c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5"/>
      <c r="K711" s="4"/>
      <c r="L711" s="4"/>
      <c r="M711" s="4"/>
      <c r="N711" s="4"/>
      <c r="O711" s="4"/>
      <c r="P711" s="4"/>
      <c r="Q711" s="4"/>
      <c r="R711" s="4"/>
      <c r="S711" s="4"/>
      <c r="T711" s="6">
        <f>IF(G711="","",SUBSTITUTE(SUBSTITUTE(SUBSTITUTE(SUBSTITUTE(SUBSTITUTE(SUBSTITUTE(SUBSTITUTE(TRIM(G711),".",""),"/",""),"-","")," ",""),"(",""),")",""),"+",""))</f>
      </c>
      <c r="U711" s="6">
        <f>IF(T711="","",IF(LEN(T711)&lt;&gt;14,"ERRO: "&amp;LEN(T711)&amp;" dígitos",IF(NOT(ISNUMBER(VALUE(T711))),"ERRO: não numérico",IF(LEN(SUBSTITUTE(T711,LEFT(T711,1),""))=0,"ERRO: dígitos repetidos",IF(AND(VALUE(MID(T711,13,1))=IF(MOD(SUMPRODUCT(--MID(T711,{1,2,3,4,5,6,7,8,9,10,11,12},1),{5,4,3,2,9,8,7,6,5,4,3,2}),11)&lt;2,0,11-MOD(SUMPRODUCT(--MID(T711,{1,2,3,4,5,6,7,8,9,10,11,12},1),{5,4,3,2,9,8,7,6,5,4,3,2}),11)),VALUE(MID(T711,14,1))=IF(MOD(SUMPRODUCT(--MID(T711,{1,2,3,4,5,6,7,8,9,10,11,12,13},1),{6,5,4,3,2,9,8,7,6,5,4,3,2}),11)&lt;2,0,11-MOD(SUMPRODUCT(--MID(T711,{1,2,3,4,5,6,7,8,9,10,11,12,13},1),{6,5,4,3,2,9,8,7,6,5,4,3,2}),11))),"OK","ERRO: dígito verificador")))))</f>
      </c>
      <c r="V711" s="6">
        <f>IF(T711="","",IF(COUNTIF($T$2:$T$1001,T711)&gt;1,"DUPLICADO","OK"))</f>
      </c>
      <c r="W711" s="6">
        <f>IF(M711="","vazio",IF(OR(AND(LEN(SUBSTITUTE(SUBSTITUTE(SUBSTITUTE(SUBSTITUTE(SUBSTITUTE(SUBSTITUTE(SUBSTITUTE(TRIM(M711),".",""),"/",""),"-","")," ",""),"(",""),")",""),"+",""))=10,LEFT(SUBSTITUTE(SUBSTITUTE(SUBSTITUTE(SUBSTITUTE(SUBSTITUTE(SUBSTITUTE(SUBSTITUTE(TRIM(M711),".",""),"/",""),"-","")," ",""),"(",""),")",""),"+",""),1)&lt;&gt;"0"),AND(LEN(SUBSTITUTE(SUBSTITUTE(SUBSTITUTE(SUBSTITUTE(SUBSTITUTE(SUBSTITUTE(SUBSTITUTE(TRIM(M711),".",""),"/",""),"-","")," ",""),"(",""),")",""),"+",""))=11,LEFT(SUBSTITUTE(SUBSTITUTE(SUBSTITUTE(SUBSTITUTE(SUBSTITUTE(SUBSTITUTE(SUBSTITUTE(TRIM(M711),".",""),"/",""),"-","")," ",""),"(",""),")",""),"+",""),4)="0800")),"OK",IF(AND(LEN(SUBSTITUTE(SUBSTITUTE(SUBSTITUTE(SUBSTITUTE(SUBSTITUTE(SUBSTITUTE(SUBSTITUTE(TRIM(M711),".",""),"/",""),"-","")," ",""),"(",""),")",""),"+",""))=11,MID(SUBSTITUTE(SUBSTITUTE(SUBSTITUTE(SUBSTITUTE(SUBSTITUTE(SUBSTITUTE(SUBSTITUTE(TRIM(M711),".",""),"/",""),"-","")," ",""),"(",""),")",""),"+",""),3,1)="9"),"ERRO: é celular, use a coluna Celular","ERRO: DDD + 8 dígitos ou 0800 + 7")))</f>
      </c>
      <c r="X711" s="6">
        <f>IF(N711="","vazio",IF(AND(LEN(SUBSTITUTE(SUBSTITUTE(SUBSTITUTE(SUBSTITUTE(SUBSTITUTE(SUBSTITUTE(SUBSTITUTE(TRIM(N711),".",""),"/",""),"-","")," ",""),"(",""),")",""),"+",""))=11,MID(SUBSTITUTE(SUBSTITUTE(SUBSTITUTE(SUBSTITUTE(SUBSTITUTE(SUBSTITUTE(SUBSTITUTE(TRIM(N711),".",""),"/",""),"-","")," ",""),"(",""),")",""),"+",""),3,1)="9",LEFT(SUBSTITUTE(SUBSTITUTE(SUBSTITUTE(SUBSTITUTE(SUBSTITUTE(SUBSTITUTE(SUBSTITUTE(TRIM(N711),".",""),"/",""),"-","")," ",""),"(",""),")",""),"+",""),1)&lt;&gt;"0"),"OK",IF(LEN(SUBSTITUTE(SUBSTITUTE(SUBSTITUTE(SUBSTITUTE(SUBSTITUTE(SUBSTITUTE(SUBSTITUTE(TRIM(N711),".",""),"/",""),"-","")," ",""),"(",""),")",""),"+",""))=10,"ERRO: é fixo (ou falta o 9), use a coluna Telefone fixo","ERRO: DDD + 9 + 8 dígitos")))</f>
      </c>
      <c r="Y711" s="6">
        <f>IF(O711="","vazio",IF(AND(ISNUMBER(FIND("@",O711)),ISNUMBER(FIND(".",MID(O711,FIND("@",O711),99))),NOT(ISNUMBER(FIND(" ",TRIM(O711)))),NOT(ISNUMBER(FIND(";",O711))),NOT(ISNUMBER(FIND(",",O711)))),"OK","ERRO: um e-mail válido por linha"))</f>
      </c>
      <c r="Z711" s="6">
        <f>IF(AND(J711="",K711=""),"",IF(AND(J711&lt;&gt;"",K711&lt;&gt;""),"OK","pendente: só um nome (o GR completa ao converter)"))</f>
      </c>
      <c r="AA711" s="6">
        <f>IF(COUNTA(A711:S711)=0,"",IF(AND(A711&lt;&gt;"",B711&lt;&gt;"",C711&lt;&gt;"",D711&lt;&gt;"",E711&lt;&gt;"",F711&lt;&gt;"",G711&lt;&gt;"",H711&lt;&gt;"",OR(J711&lt;&gt;"",K711&lt;&gt;""),OR(M711&lt;&gt;"",N711&lt;&gt;"",O711&lt;&gt;"")),"OK","ERRO: faltam "&amp;IF(A711="","SDR; ","")&amp;IF(B711="","Proprietário; ","")&amp;IF(C711="","Origem; ","")&amp;IF(D711="","Temperatura; ","")&amp;IF(E711="","Segmento; ","")&amp;IF(F711="","Time/Cluster; ","")&amp;IF(G711="","CNPJ; ","")&amp;IF(H711="","Razão Social; ","")&amp;IF(AND(J711="",K711=""),"nome do contato; ","")&amp;IF(AND(M711="",N711="",O711=""),"telefone, celular ou e-mail; ","")))</f>
      </c>
      <c r="AB711" s="6">
        <f>IF(COUNTA(A711:S711)=0,"",IF(AND(U711="OK",V711="OK",LEFT(W711,4)&lt;&gt;"ERRO",LEFT(X711,4)&lt;&gt;"ERRO",LEFT(Y711,4)&lt;&gt;"ERRO",AA711="OK"),"OK","REVISAR"))</f>
      </c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5"/>
      <c r="K712" s="4"/>
      <c r="L712" s="4"/>
      <c r="M712" s="4"/>
      <c r="N712" s="4"/>
      <c r="O712" s="4"/>
      <c r="P712" s="4"/>
      <c r="Q712" s="4"/>
      <c r="R712" s="4"/>
      <c r="S712" s="4"/>
      <c r="T712" s="6">
        <f>IF(G712="","",SUBSTITUTE(SUBSTITUTE(SUBSTITUTE(SUBSTITUTE(SUBSTITUTE(SUBSTITUTE(SUBSTITUTE(TRIM(G712),".",""),"/",""),"-","")," ",""),"(",""),")",""),"+",""))</f>
      </c>
      <c r="U712" s="6">
        <f>IF(T712="","",IF(LEN(T712)&lt;&gt;14,"ERRO: "&amp;LEN(T712)&amp;" dígitos",IF(NOT(ISNUMBER(VALUE(T712))),"ERRO: não numérico",IF(LEN(SUBSTITUTE(T712,LEFT(T712,1),""))=0,"ERRO: dígitos repetidos",IF(AND(VALUE(MID(T712,13,1))=IF(MOD(SUMPRODUCT(--MID(T712,{1,2,3,4,5,6,7,8,9,10,11,12},1),{5,4,3,2,9,8,7,6,5,4,3,2}),11)&lt;2,0,11-MOD(SUMPRODUCT(--MID(T712,{1,2,3,4,5,6,7,8,9,10,11,12},1),{5,4,3,2,9,8,7,6,5,4,3,2}),11)),VALUE(MID(T712,14,1))=IF(MOD(SUMPRODUCT(--MID(T712,{1,2,3,4,5,6,7,8,9,10,11,12,13},1),{6,5,4,3,2,9,8,7,6,5,4,3,2}),11)&lt;2,0,11-MOD(SUMPRODUCT(--MID(T712,{1,2,3,4,5,6,7,8,9,10,11,12,13},1),{6,5,4,3,2,9,8,7,6,5,4,3,2}),11))),"OK","ERRO: dígito verificador")))))</f>
      </c>
      <c r="V712" s="6">
        <f>IF(T712="","",IF(COUNTIF($T$2:$T$1001,T712)&gt;1,"DUPLICADO","OK"))</f>
      </c>
      <c r="W712" s="6">
        <f>IF(M712="","vazio",IF(OR(AND(LEN(SUBSTITUTE(SUBSTITUTE(SUBSTITUTE(SUBSTITUTE(SUBSTITUTE(SUBSTITUTE(SUBSTITUTE(TRIM(M712),".",""),"/",""),"-","")," ",""),"(",""),")",""),"+",""))=10,LEFT(SUBSTITUTE(SUBSTITUTE(SUBSTITUTE(SUBSTITUTE(SUBSTITUTE(SUBSTITUTE(SUBSTITUTE(TRIM(M712),".",""),"/",""),"-","")," ",""),"(",""),")",""),"+",""),1)&lt;&gt;"0"),AND(LEN(SUBSTITUTE(SUBSTITUTE(SUBSTITUTE(SUBSTITUTE(SUBSTITUTE(SUBSTITUTE(SUBSTITUTE(TRIM(M712),".",""),"/",""),"-","")," ",""),"(",""),")",""),"+",""))=11,LEFT(SUBSTITUTE(SUBSTITUTE(SUBSTITUTE(SUBSTITUTE(SUBSTITUTE(SUBSTITUTE(SUBSTITUTE(TRIM(M712),".",""),"/",""),"-","")," ",""),"(",""),")",""),"+",""),4)="0800")),"OK",IF(AND(LEN(SUBSTITUTE(SUBSTITUTE(SUBSTITUTE(SUBSTITUTE(SUBSTITUTE(SUBSTITUTE(SUBSTITUTE(TRIM(M712),".",""),"/",""),"-","")," ",""),"(",""),")",""),"+",""))=11,MID(SUBSTITUTE(SUBSTITUTE(SUBSTITUTE(SUBSTITUTE(SUBSTITUTE(SUBSTITUTE(SUBSTITUTE(TRIM(M712),".",""),"/",""),"-","")," ",""),"(",""),")",""),"+",""),3,1)="9"),"ERRO: é celular, use a coluna Celular","ERRO: DDD + 8 dígitos ou 0800 + 7")))</f>
      </c>
      <c r="X712" s="6">
        <f>IF(N712="","vazio",IF(AND(LEN(SUBSTITUTE(SUBSTITUTE(SUBSTITUTE(SUBSTITUTE(SUBSTITUTE(SUBSTITUTE(SUBSTITUTE(TRIM(N712),".",""),"/",""),"-","")," ",""),"(",""),")",""),"+",""))=11,MID(SUBSTITUTE(SUBSTITUTE(SUBSTITUTE(SUBSTITUTE(SUBSTITUTE(SUBSTITUTE(SUBSTITUTE(TRIM(N712),".",""),"/",""),"-","")," ",""),"(",""),")",""),"+",""),3,1)="9",LEFT(SUBSTITUTE(SUBSTITUTE(SUBSTITUTE(SUBSTITUTE(SUBSTITUTE(SUBSTITUTE(SUBSTITUTE(TRIM(N712),".",""),"/",""),"-","")," ",""),"(",""),")",""),"+",""),1)&lt;&gt;"0"),"OK",IF(LEN(SUBSTITUTE(SUBSTITUTE(SUBSTITUTE(SUBSTITUTE(SUBSTITUTE(SUBSTITUTE(SUBSTITUTE(TRIM(N712),".",""),"/",""),"-","")," ",""),"(",""),")",""),"+",""))=10,"ERRO: é fixo (ou falta o 9), use a coluna Telefone fixo","ERRO: DDD + 9 + 8 dígitos")))</f>
      </c>
      <c r="Y712" s="6">
        <f>IF(O712="","vazio",IF(AND(ISNUMBER(FIND("@",O712)),ISNUMBER(FIND(".",MID(O712,FIND("@",O712),99))),NOT(ISNUMBER(FIND(" ",TRIM(O712)))),NOT(ISNUMBER(FIND(";",O712))),NOT(ISNUMBER(FIND(",",O712)))),"OK","ERRO: um e-mail válido por linha"))</f>
      </c>
      <c r="Z712" s="6">
        <f>IF(AND(J712="",K712=""),"",IF(AND(J712&lt;&gt;"",K712&lt;&gt;""),"OK","pendente: só um nome (o GR completa ao converter)"))</f>
      </c>
      <c r="AA712" s="6">
        <f>IF(COUNTA(A712:S712)=0,"",IF(AND(A712&lt;&gt;"",B712&lt;&gt;"",C712&lt;&gt;"",D712&lt;&gt;"",E712&lt;&gt;"",F712&lt;&gt;"",G712&lt;&gt;"",H712&lt;&gt;"",OR(J712&lt;&gt;"",K712&lt;&gt;""),OR(M712&lt;&gt;"",N712&lt;&gt;"",O712&lt;&gt;"")),"OK","ERRO: faltam "&amp;IF(A712="","SDR; ","")&amp;IF(B712="","Proprietário; ","")&amp;IF(C712="","Origem; ","")&amp;IF(D712="","Temperatura; ","")&amp;IF(E712="","Segmento; ","")&amp;IF(F712="","Time/Cluster; ","")&amp;IF(G712="","CNPJ; ","")&amp;IF(H712="","Razão Social; ","")&amp;IF(AND(J712="",K712=""),"nome do contato; ","")&amp;IF(AND(M712="",N712="",O712=""),"telefone, celular ou e-mail; ","")))</f>
      </c>
      <c r="AB712" s="6">
        <f>IF(COUNTA(A712:S712)=0,"",IF(AND(U712="OK",V712="OK",LEFT(W712,4)&lt;&gt;"ERRO",LEFT(X712,4)&lt;&gt;"ERRO",LEFT(Y712,4)&lt;&gt;"ERRO",AA712="OK"),"OK","REVISAR"))</f>
      </c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5"/>
      <c r="K713" s="4"/>
      <c r="L713" s="4"/>
      <c r="M713" s="4"/>
      <c r="N713" s="4"/>
      <c r="O713" s="4"/>
      <c r="P713" s="4"/>
      <c r="Q713" s="4"/>
      <c r="R713" s="4"/>
      <c r="S713" s="4"/>
      <c r="T713" s="6">
        <f>IF(G713="","",SUBSTITUTE(SUBSTITUTE(SUBSTITUTE(SUBSTITUTE(SUBSTITUTE(SUBSTITUTE(SUBSTITUTE(TRIM(G713),".",""),"/",""),"-","")," ",""),"(",""),")",""),"+",""))</f>
      </c>
      <c r="U713" s="6">
        <f>IF(T713="","",IF(LEN(T713)&lt;&gt;14,"ERRO: "&amp;LEN(T713)&amp;" dígitos",IF(NOT(ISNUMBER(VALUE(T713))),"ERRO: não numérico",IF(LEN(SUBSTITUTE(T713,LEFT(T713,1),""))=0,"ERRO: dígitos repetidos",IF(AND(VALUE(MID(T713,13,1))=IF(MOD(SUMPRODUCT(--MID(T713,{1,2,3,4,5,6,7,8,9,10,11,12},1),{5,4,3,2,9,8,7,6,5,4,3,2}),11)&lt;2,0,11-MOD(SUMPRODUCT(--MID(T713,{1,2,3,4,5,6,7,8,9,10,11,12},1),{5,4,3,2,9,8,7,6,5,4,3,2}),11)),VALUE(MID(T713,14,1))=IF(MOD(SUMPRODUCT(--MID(T713,{1,2,3,4,5,6,7,8,9,10,11,12,13},1),{6,5,4,3,2,9,8,7,6,5,4,3,2}),11)&lt;2,0,11-MOD(SUMPRODUCT(--MID(T713,{1,2,3,4,5,6,7,8,9,10,11,12,13},1),{6,5,4,3,2,9,8,7,6,5,4,3,2}),11))),"OK","ERRO: dígito verificador")))))</f>
      </c>
      <c r="V713" s="6">
        <f>IF(T713="","",IF(COUNTIF($T$2:$T$1001,T713)&gt;1,"DUPLICADO","OK"))</f>
      </c>
      <c r="W713" s="6">
        <f>IF(M713="","vazio",IF(OR(AND(LEN(SUBSTITUTE(SUBSTITUTE(SUBSTITUTE(SUBSTITUTE(SUBSTITUTE(SUBSTITUTE(SUBSTITUTE(TRIM(M713),".",""),"/",""),"-","")," ",""),"(",""),")",""),"+",""))=10,LEFT(SUBSTITUTE(SUBSTITUTE(SUBSTITUTE(SUBSTITUTE(SUBSTITUTE(SUBSTITUTE(SUBSTITUTE(TRIM(M713),".",""),"/",""),"-","")," ",""),"(",""),")",""),"+",""),1)&lt;&gt;"0"),AND(LEN(SUBSTITUTE(SUBSTITUTE(SUBSTITUTE(SUBSTITUTE(SUBSTITUTE(SUBSTITUTE(SUBSTITUTE(TRIM(M713),".",""),"/",""),"-","")," ",""),"(",""),")",""),"+",""))=11,LEFT(SUBSTITUTE(SUBSTITUTE(SUBSTITUTE(SUBSTITUTE(SUBSTITUTE(SUBSTITUTE(SUBSTITUTE(TRIM(M713),".",""),"/",""),"-","")," ",""),"(",""),")",""),"+",""),4)="0800")),"OK",IF(AND(LEN(SUBSTITUTE(SUBSTITUTE(SUBSTITUTE(SUBSTITUTE(SUBSTITUTE(SUBSTITUTE(SUBSTITUTE(TRIM(M713),".",""),"/",""),"-","")," ",""),"(",""),")",""),"+",""))=11,MID(SUBSTITUTE(SUBSTITUTE(SUBSTITUTE(SUBSTITUTE(SUBSTITUTE(SUBSTITUTE(SUBSTITUTE(TRIM(M713),".",""),"/",""),"-","")," ",""),"(",""),")",""),"+",""),3,1)="9"),"ERRO: é celular, use a coluna Celular","ERRO: DDD + 8 dígitos ou 0800 + 7")))</f>
      </c>
      <c r="X713" s="6">
        <f>IF(N713="","vazio",IF(AND(LEN(SUBSTITUTE(SUBSTITUTE(SUBSTITUTE(SUBSTITUTE(SUBSTITUTE(SUBSTITUTE(SUBSTITUTE(TRIM(N713),".",""),"/",""),"-","")," ",""),"(",""),")",""),"+",""))=11,MID(SUBSTITUTE(SUBSTITUTE(SUBSTITUTE(SUBSTITUTE(SUBSTITUTE(SUBSTITUTE(SUBSTITUTE(TRIM(N713),".",""),"/",""),"-","")," ",""),"(",""),")",""),"+",""),3,1)="9",LEFT(SUBSTITUTE(SUBSTITUTE(SUBSTITUTE(SUBSTITUTE(SUBSTITUTE(SUBSTITUTE(SUBSTITUTE(TRIM(N713),".",""),"/",""),"-","")," ",""),"(",""),")",""),"+",""),1)&lt;&gt;"0"),"OK",IF(LEN(SUBSTITUTE(SUBSTITUTE(SUBSTITUTE(SUBSTITUTE(SUBSTITUTE(SUBSTITUTE(SUBSTITUTE(TRIM(N713),".",""),"/",""),"-","")," ",""),"(",""),")",""),"+",""))=10,"ERRO: é fixo (ou falta o 9), use a coluna Telefone fixo","ERRO: DDD + 9 + 8 dígitos")))</f>
      </c>
      <c r="Y713" s="6">
        <f>IF(O713="","vazio",IF(AND(ISNUMBER(FIND("@",O713)),ISNUMBER(FIND(".",MID(O713,FIND("@",O713),99))),NOT(ISNUMBER(FIND(" ",TRIM(O713)))),NOT(ISNUMBER(FIND(";",O713))),NOT(ISNUMBER(FIND(",",O713)))),"OK","ERRO: um e-mail válido por linha"))</f>
      </c>
      <c r="Z713" s="6">
        <f>IF(AND(J713="",K713=""),"",IF(AND(J713&lt;&gt;"",K713&lt;&gt;""),"OK","pendente: só um nome (o GR completa ao converter)"))</f>
      </c>
      <c r="AA713" s="6">
        <f>IF(COUNTA(A713:S713)=0,"",IF(AND(A713&lt;&gt;"",B713&lt;&gt;"",C713&lt;&gt;"",D713&lt;&gt;"",E713&lt;&gt;"",F713&lt;&gt;"",G713&lt;&gt;"",H713&lt;&gt;"",OR(J713&lt;&gt;"",K713&lt;&gt;""),OR(M713&lt;&gt;"",N713&lt;&gt;"",O713&lt;&gt;"")),"OK","ERRO: faltam "&amp;IF(A713="","SDR; ","")&amp;IF(B713="","Proprietário; ","")&amp;IF(C713="","Origem; ","")&amp;IF(D713="","Temperatura; ","")&amp;IF(E713="","Segmento; ","")&amp;IF(F713="","Time/Cluster; ","")&amp;IF(G713="","CNPJ; ","")&amp;IF(H713="","Razão Social; ","")&amp;IF(AND(J713="",K713=""),"nome do contato; ","")&amp;IF(AND(M713="",N713="",O713=""),"telefone, celular ou e-mail; ","")))</f>
      </c>
      <c r="AB713" s="6">
        <f>IF(COUNTA(A713:S713)=0,"",IF(AND(U713="OK",V713="OK",LEFT(W713,4)&lt;&gt;"ERRO",LEFT(X713,4)&lt;&gt;"ERRO",LEFT(Y713,4)&lt;&gt;"ERRO",AA713="OK"),"OK","REVISAR"))</f>
      </c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5"/>
      <c r="K714" s="4"/>
      <c r="L714" s="4"/>
      <c r="M714" s="4"/>
      <c r="N714" s="4"/>
      <c r="O714" s="4"/>
      <c r="P714" s="4"/>
      <c r="Q714" s="4"/>
      <c r="R714" s="4"/>
      <c r="S714" s="4"/>
      <c r="T714" s="6">
        <f>IF(G714="","",SUBSTITUTE(SUBSTITUTE(SUBSTITUTE(SUBSTITUTE(SUBSTITUTE(SUBSTITUTE(SUBSTITUTE(TRIM(G714),".",""),"/",""),"-","")," ",""),"(",""),")",""),"+",""))</f>
      </c>
      <c r="U714" s="6">
        <f>IF(T714="","",IF(LEN(T714)&lt;&gt;14,"ERRO: "&amp;LEN(T714)&amp;" dígitos",IF(NOT(ISNUMBER(VALUE(T714))),"ERRO: não numérico",IF(LEN(SUBSTITUTE(T714,LEFT(T714,1),""))=0,"ERRO: dígitos repetidos",IF(AND(VALUE(MID(T714,13,1))=IF(MOD(SUMPRODUCT(--MID(T714,{1,2,3,4,5,6,7,8,9,10,11,12},1),{5,4,3,2,9,8,7,6,5,4,3,2}),11)&lt;2,0,11-MOD(SUMPRODUCT(--MID(T714,{1,2,3,4,5,6,7,8,9,10,11,12},1),{5,4,3,2,9,8,7,6,5,4,3,2}),11)),VALUE(MID(T714,14,1))=IF(MOD(SUMPRODUCT(--MID(T714,{1,2,3,4,5,6,7,8,9,10,11,12,13},1),{6,5,4,3,2,9,8,7,6,5,4,3,2}),11)&lt;2,0,11-MOD(SUMPRODUCT(--MID(T714,{1,2,3,4,5,6,7,8,9,10,11,12,13},1),{6,5,4,3,2,9,8,7,6,5,4,3,2}),11))),"OK","ERRO: dígito verificador")))))</f>
      </c>
      <c r="V714" s="6">
        <f>IF(T714="","",IF(COUNTIF($T$2:$T$1001,T714)&gt;1,"DUPLICADO","OK"))</f>
      </c>
      <c r="W714" s="6">
        <f>IF(M714="","vazio",IF(OR(AND(LEN(SUBSTITUTE(SUBSTITUTE(SUBSTITUTE(SUBSTITUTE(SUBSTITUTE(SUBSTITUTE(SUBSTITUTE(TRIM(M714),".",""),"/",""),"-","")," ",""),"(",""),")",""),"+",""))=10,LEFT(SUBSTITUTE(SUBSTITUTE(SUBSTITUTE(SUBSTITUTE(SUBSTITUTE(SUBSTITUTE(SUBSTITUTE(TRIM(M714),".",""),"/",""),"-","")," ",""),"(",""),")",""),"+",""),1)&lt;&gt;"0"),AND(LEN(SUBSTITUTE(SUBSTITUTE(SUBSTITUTE(SUBSTITUTE(SUBSTITUTE(SUBSTITUTE(SUBSTITUTE(TRIM(M714),".",""),"/",""),"-","")," ",""),"(",""),")",""),"+",""))=11,LEFT(SUBSTITUTE(SUBSTITUTE(SUBSTITUTE(SUBSTITUTE(SUBSTITUTE(SUBSTITUTE(SUBSTITUTE(TRIM(M714),".",""),"/",""),"-","")," ",""),"(",""),")",""),"+",""),4)="0800")),"OK",IF(AND(LEN(SUBSTITUTE(SUBSTITUTE(SUBSTITUTE(SUBSTITUTE(SUBSTITUTE(SUBSTITUTE(SUBSTITUTE(TRIM(M714),".",""),"/",""),"-","")," ",""),"(",""),")",""),"+",""))=11,MID(SUBSTITUTE(SUBSTITUTE(SUBSTITUTE(SUBSTITUTE(SUBSTITUTE(SUBSTITUTE(SUBSTITUTE(TRIM(M714),".",""),"/",""),"-","")," ",""),"(",""),")",""),"+",""),3,1)="9"),"ERRO: é celular, use a coluna Celular","ERRO: DDD + 8 dígitos ou 0800 + 7")))</f>
      </c>
      <c r="X714" s="6">
        <f>IF(N714="","vazio",IF(AND(LEN(SUBSTITUTE(SUBSTITUTE(SUBSTITUTE(SUBSTITUTE(SUBSTITUTE(SUBSTITUTE(SUBSTITUTE(TRIM(N714),".",""),"/",""),"-","")," ",""),"(",""),")",""),"+",""))=11,MID(SUBSTITUTE(SUBSTITUTE(SUBSTITUTE(SUBSTITUTE(SUBSTITUTE(SUBSTITUTE(SUBSTITUTE(TRIM(N714),".",""),"/",""),"-","")," ",""),"(",""),")",""),"+",""),3,1)="9",LEFT(SUBSTITUTE(SUBSTITUTE(SUBSTITUTE(SUBSTITUTE(SUBSTITUTE(SUBSTITUTE(SUBSTITUTE(TRIM(N714),".",""),"/",""),"-","")," ",""),"(",""),")",""),"+",""),1)&lt;&gt;"0"),"OK",IF(LEN(SUBSTITUTE(SUBSTITUTE(SUBSTITUTE(SUBSTITUTE(SUBSTITUTE(SUBSTITUTE(SUBSTITUTE(TRIM(N714),".",""),"/",""),"-","")," ",""),"(",""),")",""),"+",""))=10,"ERRO: é fixo (ou falta o 9), use a coluna Telefone fixo","ERRO: DDD + 9 + 8 dígitos")))</f>
      </c>
      <c r="Y714" s="6">
        <f>IF(O714="","vazio",IF(AND(ISNUMBER(FIND("@",O714)),ISNUMBER(FIND(".",MID(O714,FIND("@",O714),99))),NOT(ISNUMBER(FIND(" ",TRIM(O714)))),NOT(ISNUMBER(FIND(";",O714))),NOT(ISNUMBER(FIND(",",O714)))),"OK","ERRO: um e-mail válido por linha"))</f>
      </c>
      <c r="Z714" s="6">
        <f>IF(AND(J714="",K714=""),"",IF(AND(J714&lt;&gt;"",K714&lt;&gt;""),"OK","pendente: só um nome (o GR completa ao converter)"))</f>
      </c>
      <c r="AA714" s="6">
        <f>IF(COUNTA(A714:S714)=0,"",IF(AND(A714&lt;&gt;"",B714&lt;&gt;"",C714&lt;&gt;"",D714&lt;&gt;"",E714&lt;&gt;"",F714&lt;&gt;"",G714&lt;&gt;"",H714&lt;&gt;"",OR(J714&lt;&gt;"",K714&lt;&gt;""),OR(M714&lt;&gt;"",N714&lt;&gt;"",O714&lt;&gt;"")),"OK","ERRO: faltam "&amp;IF(A714="","SDR; ","")&amp;IF(B714="","Proprietário; ","")&amp;IF(C714="","Origem; ","")&amp;IF(D714="","Temperatura; ","")&amp;IF(E714="","Segmento; ","")&amp;IF(F714="","Time/Cluster; ","")&amp;IF(G714="","CNPJ; ","")&amp;IF(H714="","Razão Social; ","")&amp;IF(AND(J714="",K714=""),"nome do contato; ","")&amp;IF(AND(M714="",N714="",O714=""),"telefone, celular ou e-mail; ","")))</f>
      </c>
      <c r="AB714" s="6">
        <f>IF(COUNTA(A714:S714)=0,"",IF(AND(U714="OK",V714="OK",LEFT(W714,4)&lt;&gt;"ERRO",LEFT(X714,4)&lt;&gt;"ERRO",LEFT(Y714,4)&lt;&gt;"ERRO",AA714="OK"),"OK","REVISAR"))</f>
      </c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5"/>
      <c r="K715" s="4"/>
      <c r="L715" s="4"/>
      <c r="M715" s="4"/>
      <c r="N715" s="4"/>
      <c r="O715" s="4"/>
      <c r="P715" s="4"/>
      <c r="Q715" s="4"/>
      <c r="R715" s="4"/>
      <c r="S715" s="4"/>
      <c r="T715" s="6">
        <f>IF(G715="","",SUBSTITUTE(SUBSTITUTE(SUBSTITUTE(SUBSTITUTE(SUBSTITUTE(SUBSTITUTE(SUBSTITUTE(TRIM(G715),".",""),"/",""),"-","")," ",""),"(",""),")",""),"+",""))</f>
      </c>
      <c r="U715" s="6">
        <f>IF(T715="","",IF(LEN(T715)&lt;&gt;14,"ERRO: "&amp;LEN(T715)&amp;" dígitos",IF(NOT(ISNUMBER(VALUE(T715))),"ERRO: não numérico",IF(LEN(SUBSTITUTE(T715,LEFT(T715,1),""))=0,"ERRO: dígitos repetidos",IF(AND(VALUE(MID(T715,13,1))=IF(MOD(SUMPRODUCT(--MID(T715,{1,2,3,4,5,6,7,8,9,10,11,12},1),{5,4,3,2,9,8,7,6,5,4,3,2}),11)&lt;2,0,11-MOD(SUMPRODUCT(--MID(T715,{1,2,3,4,5,6,7,8,9,10,11,12},1),{5,4,3,2,9,8,7,6,5,4,3,2}),11)),VALUE(MID(T715,14,1))=IF(MOD(SUMPRODUCT(--MID(T715,{1,2,3,4,5,6,7,8,9,10,11,12,13},1),{6,5,4,3,2,9,8,7,6,5,4,3,2}),11)&lt;2,0,11-MOD(SUMPRODUCT(--MID(T715,{1,2,3,4,5,6,7,8,9,10,11,12,13},1),{6,5,4,3,2,9,8,7,6,5,4,3,2}),11))),"OK","ERRO: dígito verificador")))))</f>
      </c>
      <c r="V715" s="6">
        <f>IF(T715="","",IF(COUNTIF($T$2:$T$1001,T715)&gt;1,"DUPLICADO","OK"))</f>
      </c>
      <c r="W715" s="6">
        <f>IF(M715="","vazio",IF(OR(AND(LEN(SUBSTITUTE(SUBSTITUTE(SUBSTITUTE(SUBSTITUTE(SUBSTITUTE(SUBSTITUTE(SUBSTITUTE(TRIM(M715),".",""),"/",""),"-","")," ",""),"(",""),")",""),"+",""))=10,LEFT(SUBSTITUTE(SUBSTITUTE(SUBSTITUTE(SUBSTITUTE(SUBSTITUTE(SUBSTITUTE(SUBSTITUTE(TRIM(M715),".",""),"/",""),"-","")," ",""),"(",""),")",""),"+",""),1)&lt;&gt;"0"),AND(LEN(SUBSTITUTE(SUBSTITUTE(SUBSTITUTE(SUBSTITUTE(SUBSTITUTE(SUBSTITUTE(SUBSTITUTE(TRIM(M715),".",""),"/",""),"-","")," ",""),"(",""),")",""),"+",""))=11,LEFT(SUBSTITUTE(SUBSTITUTE(SUBSTITUTE(SUBSTITUTE(SUBSTITUTE(SUBSTITUTE(SUBSTITUTE(TRIM(M715),".",""),"/",""),"-","")," ",""),"(",""),")",""),"+",""),4)="0800")),"OK",IF(AND(LEN(SUBSTITUTE(SUBSTITUTE(SUBSTITUTE(SUBSTITUTE(SUBSTITUTE(SUBSTITUTE(SUBSTITUTE(TRIM(M715),".",""),"/",""),"-","")," ",""),"(",""),")",""),"+",""))=11,MID(SUBSTITUTE(SUBSTITUTE(SUBSTITUTE(SUBSTITUTE(SUBSTITUTE(SUBSTITUTE(SUBSTITUTE(TRIM(M715),".",""),"/",""),"-","")," ",""),"(",""),")",""),"+",""),3,1)="9"),"ERRO: é celular, use a coluna Celular","ERRO: DDD + 8 dígitos ou 0800 + 7")))</f>
      </c>
      <c r="X715" s="6">
        <f>IF(N715="","vazio",IF(AND(LEN(SUBSTITUTE(SUBSTITUTE(SUBSTITUTE(SUBSTITUTE(SUBSTITUTE(SUBSTITUTE(SUBSTITUTE(TRIM(N715),".",""),"/",""),"-","")," ",""),"(",""),")",""),"+",""))=11,MID(SUBSTITUTE(SUBSTITUTE(SUBSTITUTE(SUBSTITUTE(SUBSTITUTE(SUBSTITUTE(SUBSTITUTE(TRIM(N715),".",""),"/",""),"-","")," ",""),"(",""),")",""),"+",""),3,1)="9",LEFT(SUBSTITUTE(SUBSTITUTE(SUBSTITUTE(SUBSTITUTE(SUBSTITUTE(SUBSTITUTE(SUBSTITUTE(TRIM(N715),".",""),"/",""),"-","")," ",""),"(",""),")",""),"+",""),1)&lt;&gt;"0"),"OK",IF(LEN(SUBSTITUTE(SUBSTITUTE(SUBSTITUTE(SUBSTITUTE(SUBSTITUTE(SUBSTITUTE(SUBSTITUTE(TRIM(N715),".",""),"/",""),"-","")," ",""),"(",""),")",""),"+",""))=10,"ERRO: é fixo (ou falta o 9), use a coluna Telefone fixo","ERRO: DDD + 9 + 8 dígitos")))</f>
      </c>
      <c r="Y715" s="6">
        <f>IF(O715="","vazio",IF(AND(ISNUMBER(FIND("@",O715)),ISNUMBER(FIND(".",MID(O715,FIND("@",O715),99))),NOT(ISNUMBER(FIND(" ",TRIM(O715)))),NOT(ISNUMBER(FIND(";",O715))),NOT(ISNUMBER(FIND(",",O715)))),"OK","ERRO: um e-mail válido por linha"))</f>
      </c>
      <c r="Z715" s="6">
        <f>IF(AND(J715="",K715=""),"",IF(AND(J715&lt;&gt;"",K715&lt;&gt;""),"OK","pendente: só um nome (o GR completa ao converter)"))</f>
      </c>
      <c r="AA715" s="6">
        <f>IF(COUNTA(A715:S715)=0,"",IF(AND(A715&lt;&gt;"",B715&lt;&gt;"",C715&lt;&gt;"",D715&lt;&gt;"",E715&lt;&gt;"",F715&lt;&gt;"",G715&lt;&gt;"",H715&lt;&gt;"",OR(J715&lt;&gt;"",K715&lt;&gt;""),OR(M715&lt;&gt;"",N715&lt;&gt;"",O715&lt;&gt;"")),"OK","ERRO: faltam "&amp;IF(A715="","SDR; ","")&amp;IF(B715="","Proprietário; ","")&amp;IF(C715="","Origem; ","")&amp;IF(D715="","Temperatura; ","")&amp;IF(E715="","Segmento; ","")&amp;IF(F715="","Time/Cluster; ","")&amp;IF(G715="","CNPJ; ","")&amp;IF(H715="","Razão Social; ","")&amp;IF(AND(J715="",K715=""),"nome do contato; ","")&amp;IF(AND(M715="",N715="",O715=""),"telefone, celular ou e-mail; ","")))</f>
      </c>
      <c r="AB715" s="6">
        <f>IF(COUNTA(A715:S715)=0,"",IF(AND(U715="OK",V715="OK",LEFT(W715,4)&lt;&gt;"ERRO",LEFT(X715,4)&lt;&gt;"ERRO",LEFT(Y715,4)&lt;&gt;"ERRO",AA715="OK"),"OK","REVISAR"))</f>
      </c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5"/>
      <c r="K716" s="4"/>
      <c r="L716" s="4"/>
      <c r="M716" s="4"/>
      <c r="N716" s="4"/>
      <c r="O716" s="4"/>
      <c r="P716" s="4"/>
      <c r="Q716" s="4"/>
      <c r="R716" s="4"/>
      <c r="S716" s="4"/>
      <c r="T716" s="6">
        <f>IF(G716="","",SUBSTITUTE(SUBSTITUTE(SUBSTITUTE(SUBSTITUTE(SUBSTITUTE(SUBSTITUTE(SUBSTITUTE(TRIM(G716),".",""),"/",""),"-","")," ",""),"(",""),")",""),"+",""))</f>
      </c>
      <c r="U716" s="6">
        <f>IF(T716="","",IF(LEN(T716)&lt;&gt;14,"ERRO: "&amp;LEN(T716)&amp;" dígitos",IF(NOT(ISNUMBER(VALUE(T716))),"ERRO: não numérico",IF(LEN(SUBSTITUTE(T716,LEFT(T716,1),""))=0,"ERRO: dígitos repetidos",IF(AND(VALUE(MID(T716,13,1))=IF(MOD(SUMPRODUCT(--MID(T716,{1,2,3,4,5,6,7,8,9,10,11,12},1),{5,4,3,2,9,8,7,6,5,4,3,2}),11)&lt;2,0,11-MOD(SUMPRODUCT(--MID(T716,{1,2,3,4,5,6,7,8,9,10,11,12},1),{5,4,3,2,9,8,7,6,5,4,3,2}),11)),VALUE(MID(T716,14,1))=IF(MOD(SUMPRODUCT(--MID(T716,{1,2,3,4,5,6,7,8,9,10,11,12,13},1),{6,5,4,3,2,9,8,7,6,5,4,3,2}),11)&lt;2,0,11-MOD(SUMPRODUCT(--MID(T716,{1,2,3,4,5,6,7,8,9,10,11,12,13},1),{6,5,4,3,2,9,8,7,6,5,4,3,2}),11))),"OK","ERRO: dígito verificador")))))</f>
      </c>
      <c r="V716" s="6">
        <f>IF(T716="","",IF(COUNTIF($T$2:$T$1001,T716)&gt;1,"DUPLICADO","OK"))</f>
      </c>
      <c r="W716" s="6">
        <f>IF(M716="","vazio",IF(OR(AND(LEN(SUBSTITUTE(SUBSTITUTE(SUBSTITUTE(SUBSTITUTE(SUBSTITUTE(SUBSTITUTE(SUBSTITUTE(TRIM(M716),".",""),"/",""),"-","")," ",""),"(",""),")",""),"+",""))=10,LEFT(SUBSTITUTE(SUBSTITUTE(SUBSTITUTE(SUBSTITUTE(SUBSTITUTE(SUBSTITUTE(SUBSTITUTE(TRIM(M716),".",""),"/",""),"-","")," ",""),"(",""),")",""),"+",""),1)&lt;&gt;"0"),AND(LEN(SUBSTITUTE(SUBSTITUTE(SUBSTITUTE(SUBSTITUTE(SUBSTITUTE(SUBSTITUTE(SUBSTITUTE(TRIM(M716),".",""),"/",""),"-","")," ",""),"(",""),")",""),"+",""))=11,LEFT(SUBSTITUTE(SUBSTITUTE(SUBSTITUTE(SUBSTITUTE(SUBSTITUTE(SUBSTITUTE(SUBSTITUTE(TRIM(M716),".",""),"/",""),"-","")," ",""),"(",""),")",""),"+",""),4)="0800")),"OK",IF(AND(LEN(SUBSTITUTE(SUBSTITUTE(SUBSTITUTE(SUBSTITUTE(SUBSTITUTE(SUBSTITUTE(SUBSTITUTE(TRIM(M716),".",""),"/",""),"-","")," ",""),"(",""),")",""),"+",""))=11,MID(SUBSTITUTE(SUBSTITUTE(SUBSTITUTE(SUBSTITUTE(SUBSTITUTE(SUBSTITUTE(SUBSTITUTE(TRIM(M716),".",""),"/",""),"-","")," ",""),"(",""),")",""),"+",""),3,1)="9"),"ERRO: é celular, use a coluna Celular","ERRO: DDD + 8 dígitos ou 0800 + 7")))</f>
      </c>
      <c r="X716" s="6">
        <f>IF(N716="","vazio",IF(AND(LEN(SUBSTITUTE(SUBSTITUTE(SUBSTITUTE(SUBSTITUTE(SUBSTITUTE(SUBSTITUTE(SUBSTITUTE(TRIM(N716),".",""),"/",""),"-","")," ",""),"(",""),")",""),"+",""))=11,MID(SUBSTITUTE(SUBSTITUTE(SUBSTITUTE(SUBSTITUTE(SUBSTITUTE(SUBSTITUTE(SUBSTITUTE(TRIM(N716),".",""),"/",""),"-","")," ",""),"(",""),")",""),"+",""),3,1)="9",LEFT(SUBSTITUTE(SUBSTITUTE(SUBSTITUTE(SUBSTITUTE(SUBSTITUTE(SUBSTITUTE(SUBSTITUTE(TRIM(N716),".",""),"/",""),"-","")," ",""),"(",""),")",""),"+",""),1)&lt;&gt;"0"),"OK",IF(LEN(SUBSTITUTE(SUBSTITUTE(SUBSTITUTE(SUBSTITUTE(SUBSTITUTE(SUBSTITUTE(SUBSTITUTE(TRIM(N716),".",""),"/",""),"-","")," ",""),"(",""),")",""),"+",""))=10,"ERRO: é fixo (ou falta o 9), use a coluna Telefone fixo","ERRO: DDD + 9 + 8 dígitos")))</f>
      </c>
      <c r="Y716" s="6">
        <f>IF(O716="","vazio",IF(AND(ISNUMBER(FIND("@",O716)),ISNUMBER(FIND(".",MID(O716,FIND("@",O716),99))),NOT(ISNUMBER(FIND(" ",TRIM(O716)))),NOT(ISNUMBER(FIND(";",O716))),NOT(ISNUMBER(FIND(",",O716)))),"OK","ERRO: um e-mail válido por linha"))</f>
      </c>
      <c r="Z716" s="6">
        <f>IF(AND(J716="",K716=""),"",IF(AND(J716&lt;&gt;"",K716&lt;&gt;""),"OK","pendente: só um nome (o GR completa ao converter)"))</f>
      </c>
      <c r="AA716" s="6">
        <f>IF(COUNTA(A716:S716)=0,"",IF(AND(A716&lt;&gt;"",B716&lt;&gt;"",C716&lt;&gt;"",D716&lt;&gt;"",E716&lt;&gt;"",F716&lt;&gt;"",G716&lt;&gt;"",H716&lt;&gt;"",OR(J716&lt;&gt;"",K716&lt;&gt;""),OR(M716&lt;&gt;"",N716&lt;&gt;"",O716&lt;&gt;"")),"OK","ERRO: faltam "&amp;IF(A716="","SDR; ","")&amp;IF(B716="","Proprietário; ","")&amp;IF(C716="","Origem; ","")&amp;IF(D716="","Temperatura; ","")&amp;IF(E716="","Segmento; ","")&amp;IF(F716="","Time/Cluster; ","")&amp;IF(G716="","CNPJ; ","")&amp;IF(H716="","Razão Social; ","")&amp;IF(AND(J716="",K716=""),"nome do contato; ","")&amp;IF(AND(M716="",N716="",O716=""),"telefone, celular ou e-mail; ","")))</f>
      </c>
      <c r="AB716" s="6">
        <f>IF(COUNTA(A716:S716)=0,"",IF(AND(U716="OK",V716="OK",LEFT(W716,4)&lt;&gt;"ERRO",LEFT(X716,4)&lt;&gt;"ERRO",LEFT(Y716,4)&lt;&gt;"ERRO",AA716="OK"),"OK","REVISAR"))</f>
      </c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5"/>
      <c r="K717" s="4"/>
      <c r="L717" s="4"/>
      <c r="M717" s="4"/>
      <c r="N717" s="4"/>
      <c r="O717" s="4"/>
      <c r="P717" s="4"/>
      <c r="Q717" s="4"/>
      <c r="R717" s="4"/>
      <c r="S717" s="4"/>
      <c r="T717" s="6">
        <f>IF(G717="","",SUBSTITUTE(SUBSTITUTE(SUBSTITUTE(SUBSTITUTE(SUBSTITUTE(SUBSTITUTE(SUBSTITUTE(TRIM(G717),".",""),"/",""),"-","")," ",""),"(",""),")",""),"+",""))</f>
      </c>
      <c r="U717" s="6">
        <f>IF(T717="","",IF(LEN(T717)&lt;&gt;14,"ERRO: "&amp;LEN(T717)&amp;" dígitos",IF(NOT(ISNUMBER(VALUE(T717))),"ERRO: não numérico",IF(LEN(SUBSTITUTE(T717,LEFT(T717,1),""))=0,"ERRO: dígitos repetidos",IF(AND(VALUE(MID(T717,13,1))=IF(MOD(SUMPRODUCT(--MID(T717,{1,2,3,4,5,6,7,8,9,10,11,12},1),{5,4,3,2,9,8,7,6,5,4,3,2}),11)&lt;2,0,11-MOD(SUMPRODUCT(--MID(T717,{1,2,3,4,5,6,7,8,9,10,11,12},1),{5,4,3,2,9,8,7,6,5,4,3,2}),11)),VALUE(MID(T717,14,1))=IF(MOD(SUMPRODUCT(--MID(T717,{1,2,3,4,5,6,7,8,9,10,11,12,13},1),{6,5,4,3,2,9,8,7,6,5,4,3,2}),11)&lt;2,0,11-MOD(SUMPRODUCT(--MID(T717,{1,2,3,4,5,6,7,8,9,10,11,12,13},1),{6,5,4,3,2,9,8,7,6,5,4,3,2}),11))),"OK","ERRO: dígito verificador")))))</f>
      </c>
      <c r="V717" s="6">
        <f>IF(T717="","",IF(COUNTIF($T$2:$T$1001,T717)&gt;1,"DUPLICADO","OK"))</f>
      </c>
      <c r="W717" s="6">
        <f>IF(M717="","vazio",IF(OR(AND(LEN(SUBSTITUTE(SUBSTITUTE(SUBSTITUTE(SUBSTITUTE(SUBSTITUTE(SUBSTITUTE(SUBSTITUTE(TRIM(M717),".",""),"/",""),"-","")," ",""),"(",""),")",""),"+",""))=10,LEFT(SUBSTITUTE(SUBSTITUTE(SUBSTITUTE(SUBSTITUTE(SUBSTITUTE(SUBSTITUTE(SUBSTITUTE(TRIM(M717),".",""),"/",""),"-","")," ",""),"(",""),")",""),"+",""),1)&lt;&gt;"0"),AND(LEN(SUBSTITUTE(SUBSTITUTE(SUBSTITUTE(SUBSTITUTE(SUBSTITUTE(SUBSTITUTE(SUBSTITUTE(TRIM(M717),".",""),"/",""),"-","")," ",""),"(",""),")",""),"+",""))=11,LEFT(SUBSTITUTE(SUBSTITUTE(SUBSTITUTE(SUBSTITUTE(SUBSTITUTE(SUBSTITUTE(SUBSTITUTE(TRIM(M717),".",""),"/",""),"-","")," ",""),"(",""),")",""),"+",""),4)="0800")),"OK",IF(AND(LEN(SUBSTITUTE(SUBSTITUTE(SUBSTITUTE(SUBSTITUTE(SUBSTITUTE(SUBSTITUTE(SUBSTITUTE(TRIM(M717),".",""),"/",""),"-","")," ",""),"(",""),")",""),"+",""))=11,MID(SUBSTITUTE(SUBSTITUTE(SUBSTITUTE(SUBSTITUTE(SUBSTITUTE(SUBSTITUTE(SUBSTITUTE(TRIM(M717),".",""),"/",""),"-","")," ",""),"(",""),")",""),"+",""),3,1)="9"),"ERRO: é celular, use a coluna Celular","ERRO: DDD + 8 dígitos ou 0800 + 7")))</f>
      </c>
      <c r="X717" s="6">
        <f>IF(N717="","vazio",IF(AND(LEN(SUBSTITUTE(SUBSTITUTE(SUBSTITUTE(SUBSTITUTE(SUBSTITUTE(SUBSTITUTE(SUBSTITUTE(TRIM(N717),".",""),"/",""),"-","")," ",""),"(",""),")",""),"+",""))=11,MID(SUBSTITUTE(SUBSTITUTE(SUBSTITUTE(SUBSTITUTE(SUBSTITUTE(SUBSTITUTE(SUBSTITUTE(TRIM(N717),".",""),"/",""),"-","")," ",""),"(",""),")",""),"+",""),3,1)="9",LEFT(SUBSTITUTE(SUBSTITUTE(SUBSTITUTE(SUBSTITUTE(SUBSTITUTE(SUBSTITUTE(SUBSTITUTE(TRIM(N717),".",""),"/",""),"-","")," ",""),"(",""),")",""),"+",""),1)&lt;&gt;"0"),"OK",IF(LEN(SUBSTITUTE(SUBSTITUTE(SUBSTITUTE(SUBSTITUTE(SUBSTITUTE(SUBSTITUTE(SUBSTITUTE(TRIM(N717),".",""),"/",""),"-","")," ",""),"(",""),")",""),"+",""))=10,"ERRO: é fixo (ou falta o 9), use a coluna Telefone fixo","ERRO: DDD + 9 + 8 dígitos")))</f>
      </c>
      <c r="Y717" s="6">
        <f>IF(O717="","vazio",IF(AND(ISNUMBER(FIND("@",O717)),ISNUMBER(FIND(".",MID(O717,FIND("@",O717),99))),NOT(ISNUMBER(FIND(" ",TRIM(O717)))),NOT(ISNUMBER(FIND(";",O717))),NOT(ISNUMBER(FIND(",",O717)))),"OK","ERRO: um e-mail válido por linha"))</f>
      </c>
      <c r="Z717" s="6">
        <f>IF(AND(J717="",K717=""),"",IF(AND(J717&lt;&gt;"",K717&lt;&gt;""),"OK","pendente: só um nome (o GR completa ao converter)"))</f>
      </c>
      <c r="AA717" s="6">
        <f>IF(COUNTA(A717:S717)=0,"",IF(AND(A717&lt;&gt;"",B717&lt;&gt;"",C717&lt;&gt;"",D717&lt;&gt;"",E717&lt;&gt;"",F717&lt;&gt;"",G717&lt;&gt;"",H717&lt;&gt;"",OR(J717&lt;&gt;"",K717&lt;&gt;""),OR(M717&lt;&gt;"",N717&lt;&gt;"",O717&lt;&gt;"")),"OK","ERRO: faltam "&amp;IF(A717="","SDR; ","")&amp;IF(B717="","Proprietário; ","")&amp;IF(C717="","Origem; ","")&amp;IF(D717="","Temperatura; ","")&amp;IF(E717="","Segmento; ","")&amp;IF(F717="","Time/Cluster; ","")&amp;IF(G717="","CNPJ; ","")&amp;IF(H717="","Razão Social; ","")&amp;IF(AND(J717="",K717=""),"nome do contato; ","")&amp;IF(AND(M717="",N717="",O717=""),"telefone, celular ou e-mail; ","")))</f>
      </c>
      <c r="AB717" s="6">
        <f>IF(COUNTA(A717:S717)=0,"",IF(AND(U717="OK",V717="OK",LEFT(W717,4)&lt;&gt;"ERRO",LEFT(X717,4)&lt;&gt;"ERRO",LEFT(Y717,4)&lt;&gt;"ERRO",AA717="OK"),"OK","REVISAR"))</f>
      </c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5"/>
      <c r="K718" s="4"/>
      <c r="L718" s="4"/>
      <c r="M718" s="4"/>
      <c r="N718" s="4"/>
      <c r="O718" s="4"/>
      <c r="P718" s="4"/>
      <c r="Q718" s="4"/>
      <c r="R718" s="4"/>
      <c r="S718" s="4"/>
      <c r="T718" s="6">
        <f>IF(G718="","",SUBSTITUTE(SUBSTITUTE(SUBSTITUTE(SUBSTITUTE(SUBSTITUTE(SUBSTITUTE(SUBSTITUTE(TRIM(G718),".",""),"/",""),"-","")," ",""),"(",""),")",""),"+",""))</f>
      </c>
      <c r="U718" s="6">
        <f>IF(T718="","",IF(LEN(T718)&lt;&gt;14,"ERRO: "&amp;LEN(T718)&amp;" dígitos",IF(NOT(ISNUMBER(VALUE(T718))),"ERRO: não numérico",IF(LEN(SUBSTITUTE(T718,LEFT(T718,1),""))=0,"ERRO: dígitos repetidos",IF(AND(VALUE(MID(T718,13,1))=IF(MOD(SUMPRODUCT(--MID(T718,{1,2,3,4,5,6,7,8,9,10,11,12},1),{5,4,3,2,9,8,7,6,5,4,3,2}),11)&lt;2,0,11-MOD(SUMPRODUCT(--MID(T718,{1,2,3,4,5,6,7,8,9,10,11,12},1),{5,4,3,2,9,8,7,6,5,4,3,2}),11)),VALUE(MID(T718,14,1))=IF(MOD(SUMPRODUCT(--MID(T718,{1,2,3,4,5,6,7,8,9,10,11,12,13},1),{6,5,4,3,2,9,8,7,6,5,4,3,2}),11)&lt;2,0,11-MOD(SUMPRODUCT(--MID(T718,{1,2,3,4,5,6,7,8,9,10,11,12,13},1),{6,5,4,3,2,9,8,7,6,5,4,3,2}),11))),"OK","ERRO: dígito verificador")))))</f>
      </c>
      <c r="V718" s="6">
        <f>IF(T718="","",IF(COUNTIF($T$2:$T$1001,T718)&gt;1,"DUPLICADO","OK"))</f>
      </c>
      <c r="W718" s="6">
        <f>IF(M718="","vazio",IF(OR(AND(LEN(SUBSTITUTE(SUBSTITUTE(SUBSTITUTE(SUBSTITUTE(SUBSTITUTE(SUBSTITUTE(SUBSTITUTE(TRIM(M718),".",""),"/",""),"-","")," ",""),"(",""),")",""),"+",""))=10,LEFT(SUBSTITUTE(SUBSTITUTE(SUBSTITUTE(SUBSTITUTE(SUBSTITUTE(SUBSTITUTE(SUBSTITUTE(TRIM(M718),".",""),"/",""),"-","")," ",""),"(",""),")",""),"+",""),1)&lt;&gt;"0"),AND(LEN(SUBSTITUTE(SUBSTITUTE(SUBSTITUTE(SUBSTITUTE(SUBSTITUTE(SUBSTITUTE(SUBSTITUTE(TRIM(M718),".",""),"/",""),"-","")," ",""),"(",""),")",""),"+",""))=11,LEFT(SUBSTITUTE(SUBSTITUTE(SUBSTITUTE(SUBSTITUTE(SUBSTITUTE(SUBSTITUTE(SUBSTITUTE(TRIM(M718),".",""),"/",""),"-","")," ",""),"(",""),")",""),"+",""),4)="0800")),"OK",IF(AND(LEN(SUBSTITUTE(SUBSTITUTE(SUBSTITUTE(SUBSTITUTE(SUBSTITUTE(SUBSTITUTE(SUBSTITUTE(TRIM(M718),".",""),"/",""),"-","")," ",""),"(",""),")",""),"+",""))=11,MID(SUBSTITUTE(SUBSTITUTE(SUBSTITUTE(SUBSTITUTE(SUBSTITUTE(SUBSTITUTE(SUBSTITUTE(TRIM(M718),".",""),"/",""),"-","")," ",""),"(",""),")",""),"+",""),3,1)="9"),"ERRO: é celular, use a coluna Celular","ERRO: DDD + 8 dígitos ou 0800 + 7")))</f>
      </c>
      <c r="X718" s="6">
        <f>IF(N718="","vazio",IF(AND(LEN(SUBSTITUTE(SUBSTITUTE(SUBSTITUTE(SUBSTITUTE(SUBSTITUTE(SUBSTITUTE(SUBSTITUTE(TRIM(N718),".",""),"/",""),"-","")," ",""),"(",""),")",""),"+",""))=11,MID(SUBSTITUTE(SUBSTITUTE(SUBSTITUTE(SUBSTITUTE(SUBSTITUTE(SUBSTITUTE(SUBSTITUTE(TRIM(N718),".",""),"/",""),"-","")," ",""),"(",""),")",""),"+",""),3,1)="9",LEFT(SUBSTITUTE(SUBSTITUTE(SUBSTITUTE(SUBSTITUTE(SUBSTITUTE(SUBSTITUTE(SUBSTITUTE(TRIM(N718),".",""),"/",""),"-","")," ",""),"(",""),")",""),"+",""),1)&lt;&gt;"0"),"OK",IF(LEN(SUBSTITUTE(SUBSTITUTE(SUBSTITUTE(SUBSTITUTE(SUBSTITUTE(SUBSTITUTE(SUBSTITUTE(TRIM(N718),".",""),"/",""),"-","")," ",""),"(",""),")",""),"+",""))=10,"ERRO: é fixo (ou falta o 9), use a coluna Telefone fixo","ERRO: DDD + 9 + 8 dígitos")))</f>
      </c>
      <c r="Y718" s="6">
        <f>IF(O718="","vazio",IF(AND(ISNUMBER(FIND("@",O718)),ISNUMBER(FIND(".",MID(O718,FIND("@",O718),99))),NOT(ISNUMBER(FIND(" ",TRIM(O718)))),NOT(ISNUMBER(FIND(";",O718))),NOT(ISNUMBER(FIND(",",O718)))),"OK","ERRO: um e-mail válido por linha"))</f>
      </c>
      <c r="Z718" s="6">
        <f>IF(AND(J718="",K718=""),"",IF(AND(J718&lt;&gt;"",K718&lt;&gt;""),"OK","pendente: só um nome (o GR completa ao converter)"))</f>
      </c>
      <c r="AA718" s="6">
        <f>IF(COUNTA(A718:S718)=0,"",IF(AND(A718&lt;&gt;"",B718&lt;&gt;"",C718&lt;&gt;"",D718&lt;&gt;"",E718&lt;&gt;"",F718&lt;&gt;"",G718&lt;&gt;"",H718&lt;&gt;"",OR(J718&lt;&gt;"",K718&lt;&gt;""),OR(M718&lt;&gt;"",N718&lt;&gt;"",O718&lt;&gt;"")),"OK","ERRO: faltam "&amp;IF(A718="","SDR; ","")&amp;IF(B718="","Proprietário; ","")&amp;IF(C718="","Origem; ","")&amp;IF(D718="","Temperatura; ","")&amp;IF(E718="","Segmento; ","")&amp;IF(F718="","Time/Cluster; ","")&amp;IF(G718="","CNPJ; ","")&amp;IF(H718="","Razão Social; ","")&amp;IF(AND(J718="",K718=""),"nome do contato; ","")&amp;IF(AND(M718="",N718="",O718=""),"telefone, celular ou e-mail; ","")))</f>
      </c>
      <c r="AB718" s="6">
        <f>IF(COUNTA(A718:S718)=0,"",IF(AND(U718="OK",V718="OK",LEFT(W718,4)&lt;&gt;"ERRO",LEFT(X718,4)&lt;&gt;"ERRO",LEFT(Y718,4)&lt;&gt;"ERRO",AA718="OK"),"OK","REVISAR"))</f>
      </c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5"/>
      <c r="K719" s="4"/>
      <c r="L719" s="4"/>
      <c r="M719" s="4"/>
      <c r="N719" s="4"/>
      <c r="O719" s="4"/>
      <c r="P719" s="4"/>
      <c r="Q719" s="4"/>
      <c r="R719" s="4"/>
      <c r="S719" s="4"/>
      <c r="T719" s="6">
        <f>IF(G719="","",SUBSTITUTE(SUBSTITUTE(SUBSTITUTE(SUBSTITUTE(SUBSTITUTE(SUBSTITUTE(SUBSTITUTE(TRIM(G719),".",""),"/",""),"-","")," ",""),"(",""),")",""),"+",""))</f>
      </c>
      <c r="U719" s="6">
        <f>IF(T719="","",IF(LEN(T719)&lt;&gt;14,"ERRO: "&amp;LEN(T719)&amp;" dígitos",IF(NOT(ISNUMBER(VALUE(T719))),"ERRO: não numérico",IF(LEN(SUBSTITUTE(T719,LEFT(T719,1),""))=0,"ERRO: dígitos repetidos",IF(AND(VALUE(MID(T719,13,1))=IF(MOD(SUMPRODUCT(--MID(T719,{1,2,3,4,5,6,7,8,9,10,11,12},1),{5,4,3,2,9,8,7,6,5,4,3,2}),11)&lt;2,0,11-MOD(SUMPRODUCT(--MID(T719,{1,2,3,4,5,6,7,8,9,10,11,12},1),{5,4,3,2,9,8,7,6,5,4,3,2}),11)),VALUE(MID(T719,14,1))=IF(MOD(SUMPRODUCT(--MID(T719,{1,2,3,4,5,6,7,8,9,10,11,12,13},1),{6,5,4,3,2,9,8,7,6,5,4,3,2}),11)&lt;2,0,11-MOD(SUMPRODUCT(--MID(T719,{1,2,3,4,5,6,7,8,9,10,11,12,13},1),{6,5,4,3,2,9,8,7,6,5,4,3,2}),11))),"OK","ERRO: dígito verificador")))))</f>
      </c>
      <c r="V719" s="6">
        <f>IF(T719="","",IF(COUNTIF($T$2:$T$1001,T719)&gt;1,"DUPLICADO","OK"))</f>
      </c>
      <c r="W719" s="6">
        <f>IF(M719="","vazio",IF(OR(AND(LEN(SUBSTITUTE(SUBSTITUTE(SUBSTITUTE(SUBSTITUTE(SUBSTITUTE(SUBSTITUTE(SUBSTITUTE(TRIM(M719),".",""),"/",""),"-","")," ",""),"(",""),")",""),"+",""))=10,LEFT(SUBSTITUTE(SUBSTITUTE(SUBSTITUTE(SUBSTITUTE(SUBSTITUTE(SUBSTITUTE(SUBSTITUTE(TRIM(M719),".",""),"/",""),"-","")," ",""),"(",""),")",""),"+",""),1)&lt;&gt;"0"),AND(LEN(SUBSTITUTE(SUBSTITUTE(SUBSTITUTE(SUBSTITUTE(SUBSTITUTE(SUBSTITUTE(SUBSTITUTE(TRIM(M719),".",""),"/",""),"-","")," ",""),"(",""),")",""),"+",""))=11,LEFT(SUBSTITUTE(SUBSTITUTE(SUBSTITUTE(SUBSTITUTE(SUBSTITUTE(SUBSTITUTE(SUBSTITUTE(TRIM(M719),".",""),"/",""),"-","")," ",""),"(",""),")",""),"+",""),4)="0800")),"OK",IF(AND(LEN(SUBSTITUTE(SUBSTITUTE(SUBSTITUTE(SUBSTITUTE(SUBSTITUTE(SUBSTITUTE(SUBSTITUTE(TRIM(M719),".",""),"/",""),"-","")," ",""),"(",""),")",""),"+",""))=11,MID(SUBSTITUTE(SUBSTITUTE(SUBSTITUTE(SUBSTITUTE(SUBSTITUTE(SUBSTITUTE(SUBSTITUTE(TRIM(M719),".",""),"/",""),"-","")," ",""),"(",""),")",""),"+",""),3,1)="9"),"ERRO: é celular, use a coluna Celular","ERRO: DDD + 8 dígitos ou 0800 + 7")))</f>
      </c>
      <c r="X719" s="6">
        <f>IF(N719="","vazio",IF(AND(LEN(SUBSTITUTE(SUBSTITUTE(SUBSTITUTE(SUBSTITUTE(SUBSTITUTE(SUBSTITUTE(SUBSTITUTE(TRIM(N719),".",""),"/",""),"-","")," ",""),"(",""),")",""),"+",""))=11,MID(SUBSTITUTE(SUBSTITUTE(SUBSTITUTE(SUBSTITUTE(SUBSTITUTE(SUBSTITUTE(SUBSTITUTE(TRIM(N719),".",""),"/",""),"-","")," ",""),"(",""),")",""),"+",""),3,1)="9",LEFT(SUBSTITUTE(SUBSTITUTE(SUBSTITUTE(SUBSTITUTE(SUBSTITUTE(SUBSTITUTE(SUBSTITUTE(TRIM(N719),".",""),"/",""),"-","")," ",""),"(",""),")",""),"+",""),1)&lt;&gt;"0"),"OK",IF(LEN(SUBSTITUTE(SUBSTITUTE(SUBSTITUTE(SUBSTITUTE(SUBSTITUTE(SUBSTITUTE(SUBSTITUTE(TRIM(N719),".",""),"/",""),"-","")," ",""),"(",""),")",""),"+",""))=10,"ERRO: é fixo (ou falta o 9), use a coluna Telefone fixo","ERRO: DDD + 9 + 8 dígitos")))</f>
      </c>
      <c r="Y719" s="6">
        <f>IF(O719="","vazio",IF(AND(ISNUMBER(FIND("@",O719)),ISNUMBER(FIND(".",MID(O719,FIND("@",O719),99))),NOT(ISNUMBER(FIND(" ",TRIM(O719)))),NOT(ISNUMBER(FIND(";",O719))),NOT(ISNUMBER(FIND(",",O719)))),"OK","ERRO: um e-mail válido por linha"))</f>
      </c>
      <c r="Z719" s="6">
        <f>IF(AND(J719="",K719=""),"",IF(AND(J719&lt;&gt;"",K719&lt;&gt;""),"OK","pendente: só um nome (o GR completa ao converter)"))</f>
      </c>
      <c r="AA719" s="6">
        <f>IF(COUNTA(A719:S719)=0,"",IF(AND(A719&lt;&gt;"",B719&lt;&gt;"",C719&lt;&gt;"",D719&lt;&gt;"",E719&lt;&gt;"",F719&lt;&gt;"",G719&lt;&gt;"",H719&lt;&gt;"",OR(J719&lt;&gt;"",K719&lt;&gt;""),OR(M719&lt;&gt;"",N719&lt;&gt;"",O719&lt;&gt;"")),"OK","ERRO: faltam "&amp;IF(A719="","SDR; ","")&amp;IF(B719="","Proprietário; ","")&amp;IF(C719="","Origem; ","")&amp;IF(D719="","Temperatura; ","")&amp;IF(E719="","Segmento; ","")&amp;IF(F719="","Time/Cluster; ","")&amp;IF(G719="","CNPJ; ","")&amp;IF(H719="","Razão Social; ","")&amp;IF(AND(J719="",K719=""),"nome do contato; ","")&amp;IF(AND(M719="",N719="",O719=""),"telefone, celular ou e-mail; ","")))</f>
      </c>
      <c r="AB719" s="6">
        <f>IF(COUNTA(A719:S719)=0,"",IF(AND(U719="OK",V719="OK",LEFT(W719,4)&lt;&gt;"ERRO",LEFT(X719,4)&lt;&gt;"ERRO",LEFT(Y719,4)&lt;&gt;"ERRO",AA719="OK"),"OK","REVISAR"))</f>
      </c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5"/>
      <c r="K720" s="4"/>
      <c r="L720" s="4"/>
      <c r="M720" s="4"/>
      <c r="N720" s="4"/>
      <c r="O720" s="4"/>
      <c r="P720" s="4"/>
      <c r="Q720" s="4"/>
      <c r="R720" s="4"/>
      <c r="S720" s="4"/>
      <c r="T720" s="6">
        <f>IF(G720="","",SUBSTITUTE(SUBSTITUTE(SUBSTITUTE(SUBSTITUTE(SUBSTITUTE(SUBSTITUTE(SUBSTITUTE(TRIM(G720),".",""),"/",""),"-","")," ",""),"(",""),")",""),"+",""))</f>
      </c>
      <c r="U720" s="6">
        <f>IF(T720="","",IF(LEN(T720)&lt;&gt;14,"ERRO: "&amp;LEN(T720)&amp;" dígitos",IF(NOT(ISNUMBER(VALUE(T720))),"ERRO: não numérico",IF(LEN(SUBSTITUTE(T720,LEFT(T720,1),""))=0,"ERRO: dígitos repetidos",IF(AND(VALUE(MID(T720,13,1))=IF(MOD(SUMPRODUCT(--MID(T720,{1,2,3,4,5,6,7,8,9,10,11,12},1),{5,4,3,2,9,8,7,6,5,4,3,2}),11)&lt;2,0,11-MOD(SUMPRODUCT(--MID(T720,{1,2,3,4,5,6,7,8,9,10,11,12},1),{5,4,3,2,9,8,7,6,5,4,3,2}),11)),VALUE(MID(T720,14,1))=IF(MOD(SUMPRODUCT(--MID(T720,{1,2,3,4,5,6,7,8,9,10,11,12,13},1),{6,5,4,3,2,9,8,7,6,5,4,3,2}),11)&lt;2,0,11-MOD(SUMPRODUCT(--MID(T720,{1,2,3,4,5,6,7,8,9,10,11,12,13},1),{6,5,4,3,2,9,8,7,6,5,4,3,2}),11))),"OK","ERRO: dígito verificador")))))</f>
      </c>
      <c r="V720" s="6">
        <f>IF(T720="","",IF(COUNTIF($T$2:$T$1001,T720)&gt;1,"DUPLICADO","OK"))</f>
      </c>
      <c r="W720" s="6">
        <f>IF(M720="","vazio",IF(OR(AND(LEN(SUBSTITUTE(SUBSTITUTE(SUBSTITUTE(SUBSTITUTE(SUBSTITUTE(SUBSTITUTE(SUBSTITUTE(TRIM(M720),".",""),"/",""),"-","")," ",""),"(",""),")",""),"+",""))=10,LEFT(SUBSTITUTE(SUBSTITUTE(SUBSTITUTE(SUBSTITUTE(SUBSTITUTE(SUBSTITUTE(SUBSTITUTE(TRIM(M720),".",""),"/",""),"-","")," ",""),"(",""),")",""),"+",""),1)&lt;&gt;"0"),AND(LEN(SUBSTITUTE(SUBSTITUTE(SUBSTITUTE(SUBSTITUTE(SUBSTITUTE(SUBSTITUTE(SUBSTITUTE(TRIM(M720),".",""),"/",""),"-","")," ",""),"(",""),")",""),"+",""))=11,LEFT(SUBSTITUTE(SUBSTITUTE(SUBSTITUTE(SUBSTITUTE(SUBSTITUTE(SUBSTITUTE(SUBSTITUTE(TRIM(M720),".",""),"/",""),"-","")," ",""),"(",""),")",""),"+",""),4)="0800")),"OK",IF(AND(LEN(SUBSTITUTE(SUBSTITUTE(SUBSTITUTE(SUBSTITUTE(SUBSTITUTE(SUBSTITUTE(SUBSTITUTE(TRIM(M720),".",""),"/",""),"-","")," ",""),"(",""),")",""),"+",""))=11,MID(SUBSTITUTE(SUBSTITUTE(SUBSTITUTE(SUBSTITUTE(SUBSTITUTE(SUBSTITUTE(SUBSTITUTE(TRIM(M720),".",""),"/",""),"-","")," ",""),"(",""),")",""),"+",""),3,1)="9"),"ERRO: é celular, use a coluna Celular","ERRO: DDD + 8 dígitos ou 0800 + 7")))</f>
      </c>
      <c r="X720" s="6">
        <f>IF(N720="","vazio",IF(AND(LEN(SUBSTITUTE(SUBSTITUTE(SUBSTITUTE(SUBSTITUTE(SUBSTITUTE(SUBSTITUTE(SUBSTITUTE(TRIM(N720),".",""),"/",""),"-","")," ",""),"(",""),")",""),"+",""))=11,MID(SUBSTITUTE(SUBSTITUTE(SUBSTITUTE(SUBSTITUTE(SUBSTITUTE(SUBSTITUTE(SUBSTITUTE(TRIM(N720),".",""),"/",""),"-","")," ",""),"(",""),")",""),"+",""),3,1)="9",LEFT(SUBSTITUTE(SUBSTITUTE(SUBSTITUTE(SUBSTITUTE(SUBSTITUTE(SUBSTITUTE(SUBSTITUTE(TRIM(N720),".",""),"/",""),"-","")," ",""),"(",""),")",""),"+",""),1)&lt;&gt;"0"),"OK",IF(LEN(SUBSTITUTE(SUBSTITUTE(SUBSTITUTE(SUBSTITUTE(SUBSTITUTE(SUBSTITUTE(SUBSTITUTE(TRIM(N720),".",""),"/",""),"-","")," ",""),"(",""),")",""),"+",""))=10,"ERRO: é fixo (ou falta o 9), use a coluna Telefone fixo","ERRO: DDD + 9 + 8 dígitos")))</f>
      </c>
      <c r="Y720" s="6">
        <f>IF(O720="","vazio",IF(AND(ISNUMBER(FIND("@",O720)),ISNUMBER(FIND(".",MID(O720,FIND("@",O720),99))),NOT(ISNUMBER(FIND(" ",TRIM(O720)))),NOT(ISNUMBER(FIND(";",O720))),NOT(ISNUMBER(FIND(",",O720)))),"OK","ERRO: um e-mail válido por linha"))</f>
      </c>
      <c r="Z720" s="6">
        <f>IF(AND(J720="",K720=""),"",IF(AND(J720&lt;&gt;"",K720&lt;&gt;""),"OK","pendente: só um nome (o GR completa ao converter)"))</f>
      </c>
      <c r="AA720" s="6">
        <f>IF(COUNTA(A720:S720)=0,"",IF(AND(A720&lt;&gt;"",B720&lt;&gt;"",C720&lt;&gt;"",D720&lt;&gt;"",E720&lt;&gt;"",F720&lt;&gt;"",G720&lt;&gt;"",H720&lt;&gt;"",OR(J720&lt;&gt;"",K720&lt;&gt;""),OR(M720&lt;&gt;"",N720&lt;&gt;"",O720&lt;&gt;"")),"OK","ERRO: faltam "&amp;IF(A720="","SDR; ","")&amp;IF(B720="","Proprietário; ","")&amp;IF(C720="","Origem; ","")&amp;IF(D720="","Temperatura; ","")&amp;IF(E720="","Segmento; ","")&amp;IF(F720="","Time/Cluster; ","")&amp;IF(G720="","CNPJ; ","")&amp;IF(H720="","Razão Social; ","")&amp;IF(AND(J720="",K720=""),"nome do contato; ","")&amp;IF(AND(M720="",N720="",O720=""),"telefone, celular ou e-mail; ","")))</f>
      </c>
      <c r="AB720" s="6">
        <f>IF(COUNTA(A720:S720)=0,"",IF(AND(U720="OK",V720="OK",LEFT(W720,4)&lt;&gt;"ERRO",LEFT(X720,4)&lt;&gt;"ERRO",LEFT(Y720,4)&lt;&gt;"ERRO",AA720="OK"),"OK","REVISAR"))</f>
      </c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5"/>
      <c r="K721" s="4"/>
      <c r="L721" s="4"/>
      <c r="M721" s="4"/>
      <c r="N721" s="4"/>
      <c r="O721" s="4"/>
      <c r="P721" s="4"/>
      <c r="Q721" s="4"/>
      <c r="R721" s="4"/>
      <c r="S721" s="4"/>
      <c r="T721" s="6">
        <f>IF(G721="","",SUBSTITUTE(SUBSTITUTE(SUBSTITUTE(SUBSTITUTE(SUBSTITUTE(SUBSTITUTE(SUBSTITUTE(TRIM(G721),".",""),"/",""),"-","")," ",""),"(",""),")",""),"+",""))</f>
      </c>
      <c r="U721" s="6">
        <f>IF(T721="","",IF(LEN(T721)&lt;&gt;14,"ERRO: "&amp;LEN(T721)&amp;" dígitos",IF(NOT(ISNUMBER(VALUE(T721))),"ERRO: não numérico",IF(LEN(SUBSTITUTE(T721,LEFT(T721,1),""))=0,"ERRO: dígitos repetidos",IF(AND(VALUE(MID(T721,13,1))=IF(MOD(SUMPRODUCT(--MID(T721,{1,2,3,4,5,6,7,8,9,10,11,12},1),{5,4,3,2,9,8,7,6,5,4,3,2}),11)&lt;2,0,11-MOD(SUMPRODUCT(--MID(T721,{1,2,3,4,5,6,7,8,9,10,11,12},1),{5,4,3,2,9,8,7,6,5,4,3,2}),11)),VALUE(MID(T721,14,1))=IF(MOD(SUMPRODUCT(--MID(T721,{1,2,3,4,5,6,7,8,9,10,11,12,13},1),{6,5,4,3,2,9,8,7,6,5,4,3,2}),11)&lt;2,0,11-MOD(SUMPRODUCT(--MID(T721,{1,2,3,4,5,6,7,8,9,10,11,12,13},1),{6,5,4,3,2,9,8,7,6,5,4,3,2}),11))),"OK","ERRO: dígito verificador")))))</f>
      </c>
      <c r="V721" s="6">
        <f>IF(T721="","",IF(COUNTIF($T$2:$T$1001,T721)&gt;1,"DUPLICADO","OK"))</f>
      </c>
      <c r="W721" s="6">
        <f>IF(M721="","vazio",IF(OR(AND(LEN(SUBSTITUTE(SUBSTITUTE(SUBSTITUTE(SUBSTITUTE(SUBSTITUTE(SUBSTITUTE(SUBSTITUTE(TRIM(M721),".",""),"/",""),"-","")," ",""),"(",""),")",""),"+",""))=10,LEFT(SUBSTITUTE(SUBSTITUTE(SUBSTITUTE(SUBSTITUTE(SUBSTITUTE(SUBSTITUTE(SUBSTITUTE(TRIM(M721),".",""),"/",""),"-","")," ",""),"(",""),")",""),"+",""),1)&lt;&gt;"0"),AND(LEN(SUBSTITUTE(SUBSTITUTE(SUBSTITUTE(SUBSTITUTE(SUBSTITUTE(SUBSTITUTE(SUBSTITUTE(TRIM(M721),".",""),"/",""),"-","")," ",""),"(",""),")",""),"+",""))=11,LEFT(SUBSTITUTE(SUBSTITUTE(SUBSTITUTE(SUBSTITUTE(SUBSTITUTE(SUBSTITUTE(SUBSTITUTE(TRIM(M721),".",""),"/",""),"-","")," ",""),"(",""),")",""),"+",""),4)="0800")),"OK",IF(AND(LEN(SUBSTITUTE(SUBSTITUTE(SUBSTITUTE(SUBSTITUTE(SUBSTITUTE(SUBSTITUTE(SUBSTITUTE(TRIM(M721),".",""),"/",""),"-","")," ",""),"(",""),")",""),"+",""))=11,MID(SUBSTITUTE(SUBSTITUTE(SUBSTITUTE(SUBSTITUTE(SUBSTITUTE(SUBSTITUTE(SUBSTITUTE(TRIM(M721),".",""),"/",""),"-","")," ",""),"(",""),")",""),"+",""),3,1)="9"),"ERRO: é celular, use a coluna Celular","ERRO: DDD + 8 dígitos ou 0800 + 7")))</f>
      </c>
      <c r="X721" s="6">
        <f>IF(N721="","vazio",IF(AND(LEN(SUBSTITUTE(SUBSTITUTE(SUBSTITUTE(SUBSTITUTE(SUBSTITUTE(SUBSTITUTE(SUBSTITUTE(TRIM(N721),".",""),"/",""),"-","")," ",""),"(",""),")",""),"+",""))=11,MID(SUBSTITUTE(SUBSTITUTE(SUBSTITUTE(SUBSTITUTE(SUBSTITUTE(SUBSTITUTE(SUBSTITUTE(TRIM(N721),".",""),"/",""),"-","")," ",""),"(",""),")",""),"+",""),3,1)="9",LEFT(SUBSTITUTE(SUBSTITUTE(SUBSTITUTE(SUBSTITUTE(SUBSTITUTE(SUBSTITUTE(SUBSTITUTE(TRIM(N721),".",""),"/",""),"-","")," ",""),"(",""),")",""),"+",""),1)&lt;&gt;"0"),"OK",IF(LEN(SUBSTITUTE(SUBSTITUTE(SUBSTITUTE(SUBSTITUTE(SUBSTITUTE(SUBSTITUTE(SUBSTITUTE(TRIM(N721),".",""),"/",""),"-","")," ",""),"(",""),")",""),"+",""))=10,"ERRO: é fixo (ou falta o 9), use a coluna Telefone fixo","ERRO: DDD + 9 + 8 dígitos")))</f>
      </c>
      <c r="Y721" s="6">
        <f>IF(O721="","vazio",IF(AND(ISNUMBER(FIND("@",O721)),ISNUMBER(FIND(".",MID(O721,FIND("@",O721),99))),NOT(ISNUMBER(FIND(" ",TRIM(O721)))),NOT(ISNUMBER(FIND(";",O721))),NOT(ISNUMBER(FIND(",",O721)))),"OK","ERRO: um e-mail válido por linha"))</f>
      </c>
      <c r="Z721" s="6">
        <f>IF(AND(J721="",K721=""),"",IF(AND(J721&lt;&gt;"",K721&lt;&gt;""),"OK","pendente: só um nome (o GR completa ao converter)"))</f>
      </c>
      <c r="AA721" s="6">
        <f>IF(COUNTA(A721:S721)=0,"",IF(AND(A721&lt;&gt;"",B721&lt;&gt;"",C721&lt;&gt;"",D721&lt;&gt;"",E721&lt;&gt;"",F721&lt;&gt;"",G721&lt;&gt;"",H721&lt;&gt;"",OR(J721&lt;&gt;"",K721&lt;&gt;""),OR(M721&lt;&gt;"",N721&lt;&gt;"",O721&lt;&gt;"")),"OK","ERRO: faltam "&amp;IF(A721="","SDR; ","")&amp;IF(B721="","Proprietário; ","")&amp;IF(C721="","Origem; ","")&amp;IF(D721="","Temperatura; ","")&amp;IF(E721="","Segmento; ","")&amp;IF(F721="","Time/Cluster; ","")&amp;IF(G721="","CNPJ; ","")&amp;IF(H721="","Razão Social; ","")&amp;IF(AND(J721="",K721=""),"nome do contato; ","")&amp;IF(AND(M721="",N721="",O721=""),"telefone, celular ou e-mail; ","")))</f>
      </c>
      <c r="AB721" s="6">
        <f>IF(COUNTA(A721:S721)=0,"",IF(AND(U721="OK",V721="OK",LEFT(W721,4)&lt;&gt;"ERRO",LEFT(X721,4)&lt;&gt;"ERRO",LEFT(Y721,4)&lt;&gt;"ERRO",AA721="OK"),"OK","REVISAR"))</f>
      </c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5"/>
      <c r="K722" s="4"/>
      <c r="L722" s="4"/>
      <c r="M722" s="4"/>
      <c r="N722" s="4"/>
      <c r="O722" s="4"/>
      <c r="P722" s="4"/>
      <c r="Q722" s="4"/>
      <c r="R722" s="4"/>
      <c r="S722" s="4"/>
      <c r="T722" s="6">
        <f>IF(G722="","",SUBSTITUTE(SUBSTITUTE(SUBSTITUTE(SUBSTITUTE(SUBSTITUTE(SUBSTITUTE(SUBSTITUTE(TRIM(G722),".",""),"/",""),"-","")," ",""),"(",""),")",""),"+",""))</f>
      </c>
      <c r="U722" s="6">
        <f>IF(T722="","",IF(LEN(T722)&lt;&gt;14,"ERRO: "&amp;LEN(T722)&amp;" dígitos",IF(NOT(ISNUMBER(VALUE(T722))),"ERRO: não numérico",IF(LEN(SUBSTITUTE(T722,LEFT(T722,1),""))=0,"ERRO: dígitos repetidos",IF(AND(VALUE(MID(T722,13,1))=IF(MOD(SUMPRODUCT(--MID(T722,{1,2,3,4,5,6,7,8,9,10,11,12},1),{5,4,3,2,9,8,7,6,5,4,3,2}),11)&lt;2,0,11-MOD(SUMPRODUCT(--MID(T722,{1,2,3,4,5,6,7,8,9,10,11,12},1),{5,4,3,2,9,8,7,6,5,4,3,2}),11)),VALUE(MID(T722,14,1))=IF(MOD(SUMPRODUCT(--MID(T722,{1,2,3,4,5,6,7,8,9,10,11,12,13},1),{6,5,4,3,2,9,8,7,6,5,4,3,2}),11)&lt;2,0,11-MOD(SUMPRODUCT(--MID(T722,{1,2,3,4,5,6,7,8,9,10,11,12,13},1),{6,5,4,3,2,9,8,7,6,5,4,3,2}),11))),"OK","ERRO: dígito verificador")))))</f>
      </c>
      <c r="V722" s="6">
        <f>IF(T722="","",IF(COUNTIF($T$2:$T$1001,T722)&gt;1,"DUPLICADO","OK"))</f>
      </c>
      <c r="W722" s="6">
        <f>IF(M722="","vazio",IF(OR(AND(LEN(SUBSTITUTE(SUBSTITUTE(SUBSTITUTE(SUBSTITUTE(SUBSTITUTE(SUBSTITUTE(SUBSTITUTE(TRIM(M722),".",""),"/",""),"-","")," ",""),"(",""),")",""),"+",""))=10,LEFT(SUBSTITUTE(SUBSTITUTE(SUBSTITUTE(SUBSTITUTE(SUBSTITUTE(SUBSTITUTE(SUBSTITUTE(TRIM(M722),".",""),"/",""),"-","")," ",""),"(",""),")",""),"+",""),1)&lt;&gt;"0"),AND(LEN(SUBSTITUTE(SUBSTITUTE(SUBSTITUTE(SUBSTITUTE(SUBSTITUTE(SUBSTITUTE(SUBSTITUTE(TRIM(M722),".",""),"/",""),"-","")," ",""),"(",""),")",""),"+",""))=11,LEFT(SUBSTITUTE(SUBSTITUTE(SUBSTITUTE(SUBSTITUTE(SUBSTITUTE(SUBSTITUTE(SUBSTITUTE(TRIM(M722),".",""),"/",""),"-","")," ",""),"(",""),")",""),"+",""),4)="0800")),"OK",IF(AND(LEN(SUBSTITUTE(SUBSTITUTE(SUBSTITUTE(SUBSTITUTE(SUBSTITUTE(SUBSTITUTE(SUBSTITUTE(TRIM(M722),".",""),"/",""),"-","")," ",""),"(",""),")",""),"+",""))=11,MID(SUBSTITUTE(SUBSTITUTE(SUBSTITUTE(SUBSTITUTE(SUBSTITUTE(SUBSTITUTE(SUBSTITUTE(TRIM(M722),".",""),"/",""),"-","")," ",""),"(",""),")",""),"+",""),3,1)="9"),"ERRO: é celular, use a coluna Celular","ERRO: DDD + 8 dígitos ou 0800 + 7")))</f>
      </c>
      <c r="X722" s="6">
        <f>IF(N722="","vazio",IF(AND(LEN(SUBSTITUTE(SUBSTITUTE(SUBSTITUTE(SUBSTITUTE(SUBSTITUTE(SUBSTITUTE(SUBSTITUTE(TRIM(N722),".",""),"/",""),"-","")," ",""),"(",""),")",""),"+",""))=11,MID(SUBSTITUTE(SUBSTITUTE(SUBSTITUTE(SUBSTITUTE(SUBSTITUTE(SUBSTITUTE(SUBSTITUTE(TRIM(N722),".",""),"/",""),"-","")," ",""),"(",""),")",""),"+",""),3,1)="9",LEFT(SUBSTITUTE(SUBSTITUTE(SUBSTITUTE(SUBSTITUTE(SUBSTITUTE(SUBSTITUTE(SUBSTITUTE(TRIM(N722),".",""),"/",""),"-","")," ",""),"(",""),")",""),"+",""),1)&lt;&gt;"0"),"OK",IF(LEN(SUBSTITUTE(SUBSTITUTE(SUBSTITUTE(SUBSTITUTE(SUBSTITUTE(SUBSTITUTE(SUBSTITUTE(TRIM(N722),".",""),"/",""),"-","")," ",""),"(",""),")",""),"+",""))=10,"ERRO: é fixo (ou falta o 9), use a coluna Telefone fixo","ERRO: DDD + 9 + 8 dígitos")))</f>
      </c>
      <c r="Y722" s="6">
        <f>IF(O722="","vazio",IF(AND(ISNUMBER(FIND("@",O722)),ISNUMBER(FIND(".",MID(O722,FIND("@",O722),99))),NOT(ISNUMBER(FIND(" ",TRIM(O722)))),NOT(ISNUMBER(FIND(";",O722))),NOT(ISNUMBER(FIND(",",O722)))),"OK","ERRO: um e-mail válido por linha"))</f>
      </c>
      <c r="Z722" s="6">
        <f>IF(AND(J722="",K722=""),"",IF(AND(J722&lt;&gt;"",K722&lt;&gt;""),"OK","pendente: só um nome (o GR completa ao converter)"))</f>
      </c>
      <c r="AA722" s="6">
        <f>IF(COUNTA(A722:S722)=0,"",IF(AND(A722&lt;&gt;"",B722&lt;&gt;"",C722&lt;&gt;"",D722&lt;&gt;"",E722&lt;&gt;"",F722&lt;&gt;"",G722&lt;&gt;"",H722&lt;&gt;"",OR(J722&lt;&gt;"",K722&lt;&gt;""),OR(M722&lt;&gt;"",N722&lt;&gt;"",O722&lt;&gt;"")),"OK","ERRO: faltam "&amp;IF(A722="","SDR; ","")&amp;IF(B722="","Proprietário; ","")&amp;IF(C722="","Origem; ","")&amp;IF(D722="","Temperatura; ","")&amp;IF(E722="","Segmento; ","")&amp;IF(F722="","Time/Cluster; ","")&amp;IF(G722="","CNPJ; ","")&amp;IF(H722="","Razão Social; ","")&amp;IF(AND(J722="",K722=""),"nome do contato; ","")&amp;IF(AND(M722="",N722="",O722=""),"telefone, celular ou e-mail; ","")))</f>
      </c>
      <c r="AB722" s="6">
        <f>IF(COUNTA(A722:S722)=0,"",IF(AND(U722="OK",V722="OK",LEFT(W722,4)&lt;&gt;"ERRO",LEFT(X722,4)&lt;&gt;"ERRO",LEFT(Y722,4)&lt;&gt;"ERRO",AA722="OK"),"OK","REVISAR"))</f>
      </c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5"/>
      <c r="K723" s="4"/>
      <c r="L723" s="4"/>
      <c r="M723" s="4"/>
      <c r="N723" s="4"/>
      <c r="O723" s="4"/>
      <c r="P723" s="4"/>
      <c r="Q723" s="4"/>
      <c r="R723" s="4"/>
      <c r="S723" s="4"/>
      <c r="T723" s="6">
        <f>IF(G723="","",SUBSTITUTE(SUBSTITUTE(SUBSTITUTE(SUBSTITUTE(SUBSTITUTE(SUBSTITUTE(SUBSTITUTE(TRIM(G723),".",""),"/",""),"-","")," ",""),"(",""),")",""),"+",""))</f>
      </c>
      <c r="U723" s="6">
        <f>IF(T723="","",IF(LEN(T723)&lt;&gt;14,"ERRO: "&amp;LEN(T723)&amp;" dígitos",IF(NOT(ISNUMBER(VALUE(T723))),"ERRO: não numérico",IF(LEN(SUBSTITUTE(T723,LEFT(T723,1),""))=0,"ERRO: dígitos repetidos",IF(AND(VALUE(MID(T723,13,1))=IF(MOD(SUMPRODUCT(--MID(T723,{1,2,3,4,5,6,7,8,9,10,11,12},1),{5,4,3,2,9,8,7,6,5,4,3,2}),11)&lt;2,0,11-MOD(SUMPRODUCT(--MID(T723,{1,2,3,4,5,6,7,8,9,10,11,12},1),{5,4,3,2,9,8,7,6,5,4,3,2}),11)),VALUE(MID(T723,14,1))=IF(MOD(SUMPRODUCT(--MID(T723,{1,2,3,4,5,6,7,8,9,10,11,12,13},1),{6,5,4,3,2,9,8,7,6,5,4,3,2}),11)&lt;2,0,11-MOD(SUMPRODUCT(--MID(T723,{1,2,3,4,5,6,7,8,9,10,11,12,13},1),{6,5,4,3,2,9,8,7,6,5,4,3,2}),11))),"OK","ERRO: dígito verificador")))))</f>
      </c>
      <c r="V723" s="6">
        <f>IF(T723="","",IF(COUNTIF($T$2:$T$1001,T723)&gt;1,"DUPLICADO","OK"))</f>
      </c>
      <c r="W723" s="6">
        <f>IF(M723="","vazio",IF(OR(AND(LEN(SUBSTITUTE(SUBSTITUTE(SUBSTITUTE(SUBSTITUTE(SUBSTITUTE(SUBSTITUTE(SUBSTITUTE(TRIM(M723),".",""),"/",""),"-","")," ",""),"(",""),")",""),"+",""))=10,LEFT(SUBSTITUTE(SUBSTITUTE(SUBSTITUTE(SUBSTITUTE(SUBSTITUTE(SUBSTITUTE(SUBSTITUTE(TRIM(M723),".",""),"/",""),"-","")," ",""),"(",""),")",""),"+",""),1)&lt;&gt;"0"),AND(LEN(SUBSTITUTE(SUBSTITUTE(SUBSTITUTE(SUBSTITUTE(SUBSTITUTE(SUBSTITUTE(SUBSTITUTE(TRIM(M723),".",""),"/",""),"-","")," ",""),"(",""),")",""),"+",""))=11,LEFT(SUBSTITUTE(SUBSTITUTE(SUBSTITUTE(SUBSTITUTE(SUBSTITUTE(SUBSTITUTE(SUBSTITUTE(TRIM(M723),".",""),"/",""),"-","")," ",""),"(",""),")",""),"+",""),4)="0800")),"OK",IF(AND(LEN(SUBSTITUTE(SUBSTITUTE(SUBSTITUTE(SUBSTITUTE(SUBSTITUTE(SUBSTITUTE(SUBSTITUTE(TRIM(M723),".",""),"/",""),"-","")," ",""),"(",""),")",""),"+",""))=11,MID(SUBSTITUTE(SUBSTITUTE(SUBSTITUTE(SUBSTITUTE(SUBSTITUTE(SUBSTITUTE(SUBSTITUTE(TRIM(M723),".",""),"/",""),"-","")," ",""),"(",""),")",""),"+",""),3,1)="9"),"ERRO: é celular, use a coluna Celular","ERRO: DDD + 8 dígitos ou 0800 + 7")))</f>
      </c>
      <c r="X723" s="6">
        <f>IF(N723="","vazio",IF(AND(LEN(SUBSTITUTE(SUBSTITUTE(SUBSTITUTE(SUBSTITUTE(SUBSTITUTE(SUBSTITUTE(SUBSTITUTE(TRIM(N723),".",""),"/",""),"-","")," ",""),"(",""),")",""),"+",""))=11,MID(SUBSTITUTE(SUBSTITUTE(SUBSTITUTE(SUBSTITUTE(SUBSTITUTE(SUBSTITUTE(SUBSTITUTE(TRIM(N723),".",""),"/",""),"-","")," ",""),"(",""),")",""),"+",""),3,1)="9",LEFT(SUBSTITUTE(SUBSTITUTE(SUBSTITUTE(SUBSTITUTE(SUBSTITUTE(SUBSTITUTE(SUBSTITUTE(TRIM(N723),".",""),"/",""),"-","")," ",""),"(",""),")",""),"+",""),1)&lt;&gt;"0"),"OK",IF(LEN(SUBSTITUTE(SUBSTITUTE(SUBSTITUTE(SUBSTITUTE(SUBSTITUTE(SUBSTITUTE(SUBSTITUTE(TRIM(N723),".",""),"/",""),"-","")," ",""),"(",""),")",""),"+",""))=10,"ERRO: é fixo (ou falta o 9), use a coluna Telefone fixo","ERRO: DDD + 9 + 8 dígitos")))</f>
      </c>
      <c r="Y723" s="6">
        <f>IF(O723="","vazio",IF(AND(ISNUMBER(FIND("@",O723)),ISNUMBER(FIND(".",MID(O723,FIND("@",O723),99))),NOT(ISNUMBER(FIND(" ",TRIM(O723)))),NOT(ISNUMBER(FIND(";",O723))),NOT(ISNUMBER(FIND(",",O723)))),"OK","ERRO: um e-mail válido por linha"))</f>
      </c>
      <c r="Z723" s="6">
        <f>IF(AND(J723="",K723=""),"",IF(AND(J723&lt;&gt;"",K723&lt;&gt;""),"OK","pendente: só um nome (o GR completa ao converter)"))</f>
      </c>
      <c r="AA723" s="6">
        <f>IF(COUNTA(A723:S723)=0,"",IF(AND(A723&lt;&gt;"",B723&lt;&gt;"",C723&lt;&gt;"",D723&lt;&gt;"",E723&lt;&gt;"",F723&lt;&gt;"",G723&lt;&gt;"",H723&lt;&gt;"",OR(J723&lt;&gt;"",K723&lt;&gt;""),OR(M723&lt;&gt;"",N723&lt;&gt;"",O723&lt;&gt;"")),"OK","ERRO: faltam "&amp;IF(A723="","SDR; ","")&amp;IF(B723="","Proprietário; ","")&amp;IF(C723="","Origem; ","")&amp;IF(D723="","Temperatura; ","")&amp;IF(E723="","Segmento; ","")&amp;IF(F723="","Time/Cluster; ","")&amp;IF(G723="","CNPJ; ","")&amp;IF(H723="","Razão Social; ","")&amp;IF(AND(J723="",K723=""),"nome do contato; ","")&amp;IF(AND(M723="",N723="",O723=""),"telefone, celular ou e-mail; ","")))</f>
      </c>
      <c r="AB723" s="6">
        <f>IF(COUNTA(A723:S723)=0,"",IF(AND(U723="OK",V723="OK",LEFT(W723,4)&lt;&gt;"ERRO",LEFT(X723,4)&lt;&gt;"ERRO",LEFT(Y723,4)&lt;&gt;"ERRO",AA723="OK"),"OK","REVISAR"))</f>
      </c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5"/>
      <c r="K724" s="4"/>
      <c r="L724" s="4"/>
      <c r="M724" s="4"/>
      <c r="N724" s="4"/>
      <c r="O724" s="4"/>
      <c r="P724" s="4"/>
      <c r="Q724" s="4"/>
      <c r="R724" s="4"/>
      <c r="S724" s="4"/>
      <c r="T724" s="6">
        <f>IF(G724="","",SUBSTITUTE(SUBSTITUTE(SUBSTITUTE(SUBSTITUTE(SUBSTITUTE(SUBSTITUTE(SUBSTITUTE(TRIM(G724),".",""),"/",""),"-","")," ",""),"(",""),")",""),"+",""))</f>
      </c>
      <c r="U724" s="6">
        <f>IF(T724="","",IF(LEN(T724)&lt;&gt;14,"ERRO: "&amp;LEN(T724)&amp;" dígitos",IF(NOT(ISNUMBER(VALUE(T724))),"ERRO: não numérico",IF(LEN(SUBSTITUTE(T724,LEFT(T724,1),""))=0,"ERRO: dígitos repetidos",IF(AND(VALUE(MID(T724,13,1))=IF(MOD(SUMPRODUCT(--MID(T724,{1,2,3,4,5,6,7,8,9,10,11,12},1),{5,4,3,2,9,8,7,6,5,4,3,2}),11)&lt;2,0,11-MOD(SUMPRODUCT(--MID(T724,{1,2,3,4,5,6,7,8,9,10,11,12},1),{5,4,3,2,9,8,7,6,5,4,3,2}),11)),VALUE(MID(T724,14,1))=IF(MOD(SUMPRODUCT(--MID(T724,{1,2,3,4,5,6,7,8,9,10,11,12,13},1),{6,5,4,3,2,9,8,7,6,5,4,3,2}),11)&lt;2,0,11-MOD(SUMPRODUCT(--MID(T724,{1,2,3,4,5,6,7,8,9,10,11,12,13},1),{6,5,4,3,2,9,8,7,6,5,4,3,2}),11))),"OK","ERRO: dígito verificador")))))</f>
      </c>
      <c r="V724" s="6">
        <f>IF(T724="","",IF(COUNTIF($T$2:$T$1001,T724)&gt;1,"DUPLICADO","OK"))</f>
      </c>
      <c r="W724" s="6">
        <f>IF(M724="","vazio",IF(OR(AND(LEN(SUBSTITUTE(SUBSTITUTE(SUBSTITUTE(SUBSTITUTE(SUBSTITUTE(SUBSTITUTE(SUBSTITUTE(TRIM(M724),".",""),"/",""),"-","")," ",""),"(",""),")",""),"+",""))=10,LEFT(SUBSTITUTE(SUBSTITUTE(SUBSTITUTE(SUBSTITUTE(SUBSTITUTE(SUBSTITUTE(SUBSTITUTE(TRIM(M724),".",""),"/",""),"-","")," ",""),"(",""),")",""),"+",""),1)&lt;&gt;"0"),AND(LEN(SUBSTITUTE(SUBSTITUTE(SUBSTITUTE(SUBSTITUTE(SUBSTITUTE(SUBSTITUTE(SUBSTITUTE(TRIM(M724),".",""),"/",""),"-","")," ",""),"(",""),")",""),"+",""))=11,LEFT(SUBSTITUTE(SUBSTITUTE(SUBSTITUTE(SUBSTITUTE(SUBSTITUTE(SUBSTITUTE(SUBSTITUTE(TRIM(M724),".",""),"/",""),"-","")," ",""),"(",""),")",""),"+",""),4)="0800")),"OK",IF(AND(LEN(SUBSTITUTE(SUBSTITUTE(SUBSTITUTE(SUBSTITUTE(SUBSTITUTE(SUBSTITUTE(SUBSTITUTE(TRIM(M724),".",""),"/",""),"-","")," ",""),"(",""),")",""),"+",""))=11,MID(SUBSTITUTE(SUBSTITUTE(SUBSTITUTE(SUBSTITUTE(SUBSTITUTE(SUBSTITUTE(SUBSTITUTE(TRIM(M724),".",""),"/",""),"-","")," ",""),"(",""),")",""),"+",""),3,1)="9"),"ERRO: é celular, use a coluna Celular","ERRO: DDD + 8 dígitos ou 0800 + 7")))</f>
      </c>
      <c r="X724" s="6">
        <f>IF(N724="","vazio",IF(AND(LEN(SUBSTITUTE(SUBSTITUTE(SUBSTITUTE(SUBSTITUTE(SUBSTITUTE(SUBSTITUTE(SUBSTITUTE(TRIM(N724),".",""),"/",""),"-","")," ",""),"(",""),")",""),"+",""))=11,MID(SUBSTITUTE(SUBSTITUTE(SUBSTITUTE(SUBSTITUTE(SUBSTITUTE(SUBSTITUTE(SUBSTITUTE(TRIM(N724),".",""),"/",""),"-","")," ",""),"(",""),")",""),"+",""),3,1)="9",LEFT(SUBSTITUTE(SUBSTITUTE(SUBSTITUTE(SUBSTITUTE(SUBSTITUTE(SUBSTITUTE(SUBSTITUTE(TRIM(N724),".",""),"/",""),"-","")," ",""),"(",""),")",""),"+",""),1)&lt;&gt;"0"),"OK",IF(LEN(SUBSTITUTE(SUBSTITUTE(SUBSTITUTE(SUBSTITUTE(SUBSTITUTE(SUBSTITUTE(SUBSTITUTE(TRIM(N724),".",""),"/",""),"-","")," ",""),"(",""),")",""),"+",""))=10,"ERRO: é fixo (ou falta o 9), use a coluna Telefone fixo","ERRO: DDD + 9 + 8 dígitos")))</f>
      </c>
      <c r="Y724" s="6">
        <f>IF(O724="","vazio",IF(AND(ISNUMBER(FIND("@",O724)),ISNUMBER(FIND(".",MID(O724,FIND("@",O724),99))),NOT(ISNUMBER(FIND(" ",TRIM(O724)))),NOT(ISNUMBER(FIND(";",O724))),NOT(ISNUMBER(FIND(",",O724)))),"OK","ERRO: um e-mail válido por linha"))</f>
      </c>
      <c r="Z724" s="6">
        <f>IF(AND(J724="",K724=""),"",IF(AND(J724&lt;&gt;"",K724&lt;&gt;""),"OK","pendente: só um nome (o GR completa ao converter)"))</f>
      </c>
      <c r="AA724" s="6">
        <f>IF(COUNTA(A724:S724)=0,"",IF(AND(A724&lt;&gt;"",B724&lt;&gt;"",C724&lt;&gt;"",D724&lt;&gt;"",E724&lt;&gt;"",F724&lt;&gt;"",G724&lt;&gt;"",H724&lt;&gt;"",OR(J724&lt;&gt;"",K724&lt;&gt;""),OR(M724&lt;&gt;"",N724&lt;&gt;"",O724&lt;&gt;"")),"OK","ERRO: faltam "&amp;IF(A724="","SDR; ","")&amp;IF(B724="","Proprietário; ","")&amp;IF(C724="","Origem; ","")&amp;IF(D724="","Temperatura; ","")&amp;IF(E724="","Segmento; ","")&amp;IF(F724="","Time/Cluster; ","")&amp;IF(G724="","CNPJ; ","")&amp;IF(H724="","Razão Social; ","")&amp;IF(AND(J724="",K724=""),"nome do contato; ","")&amp;IF(AND(M724="",N724="",O724=""),"telefone, celular ou e-mail; ","")))</f>
      </c>
      <c r="AB724" s="6">
        <f>IF(COUNTA(A724:S724)=0,"",IF(AND(U724="OK",V724="OK",LEFT(W724,4)&lt;&gt;"ERRO",LEFT(X724,4)&lt;&gt;"ERRO",LEFT(Y724,4)&lt;&gt;"ERRO",AA724="OK"),"OK","REVISAR"))</f>
      </c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5"/>
      <c r="K725" s="4"/>
      <c r="L725" s="4"/>
      <c r="M725" s="4"/>
      <c r="N725" s="4"/>
      <c r="O725" s="4"/>
      <c r="P725" s="4"/>
      <c r="Q725" s="4"/>
      <c r="R725" s="4"/>
      <c r="S725" s="4"/>
      <c r="T725" s="6">
        <f>IF(G725="","",SUBSTITUTE(SUBSTITUTE(SUBSTITUTE(SUBSTITUTE(SUBSTITUTE(SUBSTITUTE(SUBSTITUTE(TRIM(G725),".",""),"/",""),"-","")," ",""),"(",""),")",""),"+",""))</f>
      </c>
      <c r="U725" s="6">
        <f>IF(T725="","",IF(LEN(T725)&lt;&gt;14,"ERRO: "&amp;LEN(T725)&amp;" dígitos",IF(NOT(ISNUMBER(VALUE(T725))),"ERRO: não numérico",IF(LEN(SUBSTITUTE(T725,LEFT(T725,1),""))=0,"ERRO: dígitos repetidos",IF(AND(VALUE(MID(T725,13,1))=IF(MOD(SUMPRODUCT(--MID(T725,{1,2,3,4,5,6,7,8,9,10,11,12},1),{5,4,3,2,9,8,7,6,5,4,3,2}),11)&lt;2,0,11-MOD(SUMPRODUCT(--MID(T725,{1,2,3,4,5,6,7,8,9,10,11,12},1),{5,4,3,2,9,8,7,6,5,4,3,2}),11)),VALUE(MID(T725,14,1))=IF(MOD(SUMPRODUCT(--MID(T725,{1,2,3,4,5,6,7,8,9,10,11,12,13},1),{6,5,4,3,2,9,8,7,6,5,4,3,2}),11)&lt;2,0,11-MOD(SUMPRODUCT(--MID(T725,{1,2,3,4,5,6,7,8,9,10,11,12,13},1),{6,5,4,3,2,9,8,7,6,5,4,3,2}),11))),"OK","ERRO: dígito verificador")))))</f>
      </c>
      <c r="V725" s="6">
        <f>IF(T725="","",IF(COUNTIF($T$2:$T$1001,T725)&gt;1,"DUPLICADO","OK"))</f>
      </c>
      <c r="W725" s="6">
        <f>IF(M725="","vazio",IF(OR(AND(LEN(SUBSTITUTE(SUBSTITUTE(SUBSTITUTE(SUBSTITUTE(SUBSTITUTE(SUBSTITUTE(SUBSTITUTE(TRIM(M725),".",""),"/",""),"-","")," ",""),"(",""),")",""),"+",""))=10,LEFT(SUBSTITUTE(SUBSTITUTE(SUBSTITUTE(SUBSTITUTE(SUBSTITUTE(SUBSTITUTE(SUBSTITUTE(TRIM(M725),".",""),"/",""),"-","")," ",""),"(",""),")",""),"+",""),1)&lt;&gt;"0"),AND(LEN(SUBSTITUTE(SUBSTITUTE(SUBSTITUTE(SUBSTITUTE(SUBSTITUTE(SUBSTITUTE(SUBSTITUTE(TRIM(M725),".",""),"/",""),"-","")," ",""),"(",""),")",""),"+",""))=11,LEFT(SUBSTITUTE(SUBSTITUTE(SUBSTITUTE(SUBSTITUTE(SUBSTITUTE(SUBSTITUTE(SUBSTITUTE(TRIM(M725),".",""),"/",""),"-","")," ",""),"(",""),")",""),"+",""),4)="0800")),"OK",IF(AND(LEN(SUBSTITUTE(SUBSTITUTE(SUBSTITUTE(SUBSTITUTE(SUBSTITUTE(SUBSTITUTE(SUBSTITUTE(TRIM(M725),".",""),"/",""),"-","")," ",""),"(",""),")",""),"+",""))=11,MID(SUBSTITUTE(SUBSTITUTE(SUBSTITUTE(SUBSTITUTE(SUBSTITUTE(SUBSTITUTE(SUBSTITUTE(TRIM(M725),".",""),"/",""),"-","")," ",""),"(",""),")",""),"+",""),3,1)="9"),"ERRO: é celular, use a coluna Celular","ERRO: DDD + 8 dígitos ou 0800 + 7")))</f>
      </c>
      <c r="X725" s="6">
        <f>IF(N725="","vazio",IF(AND(LEN(SUBSTITUTE(SUBSTITUTE(SUBSTITUTE(SUBSTITUTE(SUBSTITUTE(SUBSTITUTE(SUBSTITUTE(TRIM(N725),".",""),"/",""),"-","")," ",""),"(",""),")",""),"+",""))=11,MID(SUBSTITUTE(SUBSTITUTE(SUBSTITUTE(SUBSTITUTE(SUBSTITUTE(SUBSTITUTE(SUBSTITUTE(TRIM(N725),".",""),"/",""),"-","")," ",""),"(",""),")",""),"+",""),3,1)="9",LEFT(SUBSTITUTE(SUBSTITUTE(SUBSTITUTE(SUBSTITUTE(SUBSTITUTE(SUBSTITUTE(SUBSTITUTE(TRIM(N725),".",""),"/",""),"-","")," ",""),"(",""),")",""),"+",""),1)&lt;&gt;"0"),"OK",IF(LEN(SUBSTITUTE(SUBSTITUTE(SUBSTITUTE(SUBSTITUTE(SUBSTITUTE(SUBSTITUTE(SUBSTITUTE(TRIM(N725),".",""),"/",""),"-","")," ",""),"(",""),")",""),"+",""))=10,"ERRO: é fixo (ou falta o 9), use a coluna Telefone fixo","ERRO: DDD + 9 + 8 dígitos")))</f>
      </c>
      <c r="Y725" s="6">
        <f>IF(O725="","vazio",IF(AND(ISNUMBER(FIND("@",O725)),ISNUMBER(FIND(".",MID(O725,FIND("@",O725),99))),NOT(ISNUMBER(FIND(" ",TRIM(O725)))),NOT(ISNUMBER(FIND(";",O725))),NOT(ISNUMBER(FIND(",",O725)))),"OK","ERRO: um e-mail válido por linha"))</f>
      </c>
      <c r="Z725" s="6">
        <f>IF(AND(J725="",K725=""),"",IF(AND(J725&lt;&gt;"",K725&lt;&gt;""),"OK","pendente: só um nome (o GR completa ao converter)"))</f>
      </c>
      <c r="AA725" s="6">
        <f>IF(COUNTA(A725:S725)=0,"",IF(AND(A725&lt;&gt;"",B725&lt;&gt;"",C725&lt;&gt;"",D725&lt;&gt;"",E725&lt;&gt;"",F725&lt;&gt;"",G725&lt;&gt;"",H725&lt;&gt;"",OR(J725&lt;&gt;"",K725&lt;&gt;""),OR(M725&lt;&gt;"",N725&lt;&gt;"",O725&lt;&gt;"")),"OK","ERRO: faltam "&amp;IF(A725="","SDR; ","")&amp;IF(B725="","Proprietário; ","")&amp;IF(C725="","Origem; ","")&amp;IF(D725="","Temperatura; ","")&amp;IF(E725="","Segmento; ","")&amp;IF(F725="","Time/Cluster; ","")&amp;IF(G725="","CNPJ; ","")&amp;IF(H725="","Razão Social; ","")&amp;IF(AND(J725="",K725=""),"nome do contato; ","")&amp;IF(AND(M725="",N725="",O725=""),"telefone, celular ou e-mail; ","")))</f>
      </c>
      <c r="AB725" s="6">
        <f>IF(COUNTA(A725:S725)=0,"",IF(AND(U725="OK",V725="OK",LEFT(W725,4)&lt;&gt;"ERRO",LEFT(X725,4)&lt;&gt;"ERRO",LEFT(Y725,4)&lt;&gt;"ERRO",AA725="OK"),"OK","REVISAR"))</f>
      </c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5"/>
      <c r="K726" s="4"/>
      <c r="L726" s="4"/>
      <c r="M726" s="4"/>
      <c r="N726" s="4"/>
      <c r="O726" s="4"/>
      <c r="P726" s="4"/>
      <c r="Q726" s="4"/>
      <c r="R726" s="4"/>
      <c r="S726" s="4"/>
      <c r="T726" s="6">
        <f>IF(G726="","",SUBSTITUTE(SUBSTITUTE(SUBSTITUTE(SUBSTITUTE(SUBSTITUTE(SUBSTITUTE(SUBSTITUTE(TRIM(G726),".",""),"/",""),"-","")," ",""),"(",""),")",""),"+",""))</f>
      </c>
      <c r="U726" s="6">
        <f>IF(T726="","",IF(LEN(T726)&lt;&gt;14,"ERRO: "&amp;LEN(T726)&amp;" dígitos",IF(NOT(ISNUMBER(VALUE(T726))),"ERRO: não numérico",IF(LEN(SUBSTITUTE(T726,LEFT(T726,1),""))=0,"ERRO: dígitos repetidos",IF(AND(VALUE(MID(T726,13,1))=IF(MOD(SUMPRODUCT(--MID(T726,{1,2,3,4,5,6,7,8,9,10,11,12},1),{5,4,3,2,9,8,7,6,5,4,3,2}),11)&lt;2,0,11-MOD(SUMPRODUCT(--MID(T726,{1,2,3,4,5,6,7,8,9,10,11,12},1),{5,4,3,2,9,8,7,6,5,4,3,2}),11)),VALUE(MID(T726,14,1))=IF(MOD(SUMPRODUCT(--MID(T726,{1,2,3,4,5,6,7,8,9,10,11,12,13},1),{6,5,4,3,2,9,8,7,6,5,4,3,2}),11)&lt;2,0,11-MOD(SUMPRODUCT(--MID(T726,{1,2,3,4,5,6,7,8,9,10,11,12,13},1),{6,5,4,3,2,9,8,7,6,5,4,3,2}),11))),"OK","ERRO: dígito verificador")))))</f>
      </c>
      <c r="V726" s="6">
        <f>IF(T726="","",IF(COUNTIF($T$2:$T$1001,T726)&gt;1,"DUPLICADO","OK"))</f>
      </c>
      <c r="W726" s="6">
        <f>IF(M726="","vazio",IF(OR(AND(LEN(SUBSTITUTE(SUBSTITUTE(SUBSTITUTE(SUBSTITUTE(SUBSTITUTE(SUBSTITUTE(SUBSTITUTE(TRIM(M726),".",""),"/",""),"-","")," ",""),"(",""),")",""),"+",""))=10,LEFT(SUBSTITUTE(SUBSTITUTE(SUBSTITUTE(SUBSTITUTE(SUBSTITUTE(SUBSTITUTE(SUBSTITUTE(TRIM(M726),".",""),"/",""),"-","")," ",""),"(",""),")",""),"+",""),1)&lt;&gt;"0"),AND(LEN(SUBSTITUTE(SUBSTITUTE(SUBSTITUTE(SUBSTITUTE(SUBSTITUTE(SUBSTITUTE(SUBSTITUTE(TRIM(M726),".",""),"/",""),"-","")," ",""),"(",""),")",""),"+",""))=11,LEFT(SUBSTITUTE(SUBSTITUTE(SUBSTITUTE(SUBSTITUTE(SUBSTITUTE(SUBSTITUTE(SUBSTITUTE(TRIM(M726),".",""),"/",""),"-","")," ",""),"(",""),")",""),"+",""),4)="0800")),"OK",IF(AND(LEN(SUBSTITUTE(SUBSTITUTE(SUBSTITUTE(SUBSTITUTE(SUBSTITUTE(SUBSTITUTE(SUBSTITUTE(TRIM(M726),".",""),"/",""),"-","")," ",""),"(",""),")",""),"+",""))=11,MID(SUBSTITUTE(SUBSTITUTE(SUBSTITUTE(SUBSTITUTE(SUBSTITUTE(SUBSTITUTE(SUBSTITUTE(TRIM(M726),".",""),"/",""),"-","")," ",""),"(",""),")",""),"+",""),3,1)="9"),"ERRO: é celular, use a coluna Celular","ERRO: DDD + 8 dígitos ou 0800 + 7")))</f>
      </c>
      <c r="X726" s="6">
        <f>IF(N726="","vazio",IF(AND(LEN(SUBSTITUTE(SUBSTITUTE(SUBSTITUTE(SUBSTITUTE(SUBSTITUTE(SUBSTITUTE(SUBSTITUTE(TRIM(N726),".",""),"/",""),"-","")," ",""),"(",""),")",""),"+",""))=11,MID(SUBSTITUTE(SUBSTITUTE(SUBSTITUTE(SUBSTITUTE(SUBSTITUTE(SUBSTITUTE(SUBSTITUTE(TRIM(N726),".",""),"/",""),"-","")," ",""),"(",""),")",""),"+",""),3,1)="9",LEFT(SUBSTITUTE(SUBSTITUTE(SUBSTITUTE(SUBSTITUTE(SUBSTITUTE(SUBSTITUTE(SUBSTITUTE(TRIM(N726),".",""),"/",""),"-","")," ",""),"(",""),")",""),"+",""),1)&lt;&gt;"0"),"OK",IF(LEN(SUBSTITUTE(SUBSTITUTE(SUBSTITUTE(SUBSTITUTE(SUBSTITUTE(SUBSTITUTE(SUBSTITUTE(TRIM(N726),".",""),"/",""),"-","")," ",""),"(",""),")",""),"+",""))=10,"ERRO: é fixo (ou falta o 9), use a coluna Telefone fixo","ERRO: DDD + 9 + 8 dígitos")))</f>
      </c>
      <c r="Y726" s="6">
        <f>IF(O726="","vazio",IF(AND(ISNUMBER(FIND("@",O726)),ISNUMBER(FIND(".",MID(O726,FIND("@",O726),99))),NOT(ISNUMBER(FIND(" ",TRIM(O726)))),NOT(ISNUMBER(FIND(";",O726))),NOT(ISNUMBER(FIND(",",O726)))),"OK","ERRO: um e-mail válido por linha"))</f>
      </c>
      <c r="Z726" s="6">
        <f>IF(AND(J726="",K726=""),"",IF(AND(J726&lt;&gt;"",K726&lt;&gt;""),"OK","pendente: só um nome (o GR completa ao converter)"))</f>
      </c>
      <c r="AA726" s="6">
        <f>IF(COUNTA(A726:S726)=0,"",IF(AND(A726&lt;&gt;"",B726&lt;&gt;"",C726&lt;&gt;"",D726&lt;&gt;"",E726&lt;&gt;"",F726&lt;&gt;"",G726&lt;&gt;"",H726&lt;&gt;"",OR(J726&lt;&gt;"",K726&lt;&gt;""),OR(M726&lt;&gt;"",N726&lt;&gt;"",O726&lt;&gt;"")),"OK","ERRO: faltam "&amp;IF(A726="","SDR; ","")&amp;IF(B726="","Proprietário; ","")&amp;IF(C726="","Origem; ","")&amp;IF(D726="","Temperatura; ","")&amp;IF(E726="","Segmento; ","")&amp;IF(F726="","Time/Cluster; ","")&amp;IF(G726="","CNPJ; ","")&amp;IF(H726="","Razão Social; ","")&amp;IF(AND(J726="",K726=""),"nome do contato; ","")&amp;IF(AND(M726="",N726="",O726=""),"telefone, celular ou e-mail; ","")))</f>
      </c>
      <c r="AB726" s="6">
        <f>IF(COUNTA(A726:S726)=0,"",IF(AND(U726="OK",V726="OK",LEFT(W726,4)&lt;&gt;"ERRO",LEFT(X726,4)&lt;&gt;"ERRO",LEFT(Y726,4)&lt;&gt;"ERRO",AA726="OK"),"OK","REVISAR"))</f>
      </c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5"/>
      <c r="K727" s="4"/>
      <c r="L727" s="4"/>
      <c r="M727" s="4"/>
      <c r="N727" s="4"/>
      <c r="O727" s="4"/>
      <c r="P727" s="4"/>
      <c r="Q727" s="4"/>
      <c r="R727" s="4"/>
      <c r="S727" s="4"/>
      <c r="T727" s="6">
        <f>IF(G727="","",SUBSTITUTE(SUBSTITUTE(SUBSTITUTE(SUBSTITUTE(SUBSTITUTE(SUBSTITUTE(SUBSTITUTE(TRIM(G727),".",""),"/",""),"-","")," ",""),"(",""),")",""),"+",""))</f>
      </c>
      <c r="U727" s="6">
        <f>IF(T727="","",IF(LEN(T727)&lt;&gt;14,"ERRO: "&amp;LEN(T727)&amp;" dígitos",IF(NOT(ISNUMBER(VALUE(T727))),"ERRO: não numérico",IF(LEN(SUBSTITUTE(T727,LEFT(T727,1),""))=0,"ERRO: dígitos repetidos",IF(AND(VALUE(MID(T727,13,1))=IF(MOD(SUMPRODUCT(--MID(T727,{1,2,3,4,5,6,7,8,9,10,11,12},1),{5,4,3,2,9,8,7,6,5,4,3,2}),11)&lt;2,0,11-MOD(SUMPRODUCT(--MID(T727,{1,2,3,4,5,6,7,8,9,10,11,12},1),{5,4,3,2,9,8,7,6,5,4,3,2}),11)),VALUE(MID(T727,14,1))=IF(MOD(SUMPRODUCT(--MID(T727,{1,2,3,4,5,6,7,8,9,10,11,12,13},1),{6,5,4,3,2,9,8,7,6,5,4,3,2}),11)&lt;2,0,11-MOD(SUMPRODUCT(--MID(T727,{1,2,3,4,5,6,7,8,9,10,11,12,13},1),{6,5,4,3,2,9,8,7,6,5,4,3,2}),11))),"OK","ERRO: dígito verificador")))))</f>
      </c>
      <c r="V727" s="6">
        <f>IF(T727="","",IF(COUNTIF($T$2:$T$1001,T727)&gt;1,"DUPLICADO","OK"))</f>
      </c>
      <c r="W727" s="6">
        <f>IF(M727="","vazio",IF(OR(AND(LEN(SUBSTITUTE(SUBSTITUTE(SUBSTITUTE(SUBSTITUTE(SUBSTITUTE(SUBSTITUTE(SUBSTITUTE(TRIM(M727),".",""),"/",""),"-","")," ",""),"(",""),")",""),"+",""))=10,LEFT(SUBSTITUTE(SUBSTITUTE(SUBSTITUTE(SUBSTITUTE(SUBSTITUTE(SUBSTITUTE(SUBSTITUTE(TRIM(M727),".",""),"/",""),"-","")," ",""),"(",""),")",""),"+",""),1)&lt;&gt;"0"),AND(LEN(SUBSTITUTE(SUBSTITUTE(SUBSTITUTE(SUBSTITUTE(SUBSTITUTE(SUBSTITUTE(SUBSTITUTE(TRIM(M727),".",""),"/",""),"-","")," ",""),"(",""),")",""),"+",""))=11,LEFT(SUBSTITUTE(SUBSTITUTE(SUBSTITUTE(SUBSTITUTE(SUBSTITUTE(SUBSTITUTE(SUBSTITUTE(TRIM(M727),".",""),"/",""),"-","")," ",""),"(",""),")",""),"+",""),4)="0800")),"OK",IF(AND(LEN(SUBSTITUTE(SUBSTITUTE(SUBSTITUTE(SUBSTITUTE(SUBSTITUTE(SUBSTITUTE(SUBSTITUTE(TRIM(M727),".",""),"/",""),"-","")," ",""),"(",""),")",""),"+",""))=11,MID(SUBSTITUTE(SUBSTITUTE(SUBSTITUTE(SUBSTITUTE(SUBSTITUTE(SUBSTITUTE(SUBSTITUTE(TRIM(M727),".",""),"/",""),"-","")," ",""),"(",""),")",""),"+",""),3,1)="9"),"ERRO: é celular, use a coluna Celular","ERRO: DDD + 8 dígitos ou 0800 + 7")))</f>
      </c>
      <c r="X727" s="6">
        <f>IF(N727="","vazio",IF(AND(LEN(SUBSTITUTE(SUBSTITUTE(SUBSTITUTE(SUBSTITUTE(SUBSTITUTE(SUBSTITUTE(SUBSTITUTE(TRIM(N727),".",""),"/",""),"-","")," ",""),"(",""),")",""),"+",""))=11,MID(SUBSTITUTE(SUBSTITUTE(SUBSTITUTE(SUBSTITUTE(SUBSTITUTE(SUBSTITUTE(SUBSTITUTE(TRIM(N727),".",""),"/",""),"-","")," ",""),"(",""),")",""),"+",""),3,1)="9",LEFT(SUBSTITUTE(SUBSTITUTE(SUBSTITUTE(SUBSTITUTE(SUBSTITUTE(SUBSTITUTE(SUBSTITUTE(TRIM(N727),".",""),"/",""),"-","")," ",""),"(",""),")",""),"+",""),1)&lt;&gt;"0"),"OK",IF(LEN(SUBSTITUTE(SUBSTITUTE(SUBSTITUTE(SUBSTITUTE(SUBSTITUTE(SUBSTITUTE(SUBSTITUTE(TRIM(N727),".",""),"/",""),"-","")," ",""),"(",""),")",""),"+",""))=10,"ERRO: é fixo (ou falta o 9), use a coluna Telefone fixo","ERRO: DDD + 9 + 8 dígitos")))</f>
      </c>
      <c r="Y727" s="6">
        <f>IF(O727="","vazio",IF(AND(ISNUMBER(FIND("@",O727)),ISNUMBER(FIND(".",MID(O727,FIND("@",O727),99))),NOT(ISNUMBER(FIND(" ",TRIM(O727)))),NOT(ISNUMBER(FIND(";",O727))),NOT(ISNUMBER(FIND(",",O727)))),"OK","ERRO: um e-mail válido por linha"))</f>
      </c>
      <c r="Z727" s="6">
        <f>IF(AND(J727="",K727=""),"",IF(AND(J727&lt;&gt;"",K727&lt;&gt;""),"OK","pendente: só um nome (o GR completa ao converter)"))</f>
      </c>
      <c r="AA727" s="6">
        <f>IF(COUNTA(A727:S727)=0,"",IF(AND(A727&lt;&gt;"",B727&lt;&gt;"",C727&lt;&gt;"",D727&lt;&gt;"",E727&lt;&gt;"",F727&lt;&gt;"",G727&lt;&gt;"",H727&lt;&gt;"",OR(J727&lt;&gt;"",K727&lt;&gt;""),OR(M727&lt;&gt;"",N727&lt;&gt;"",O727&lt;&gt;"")),"OK","ERRO: faltam "&amp;IF(A727="","SDR; ","")&amp;IF(B727="","Proprietário; ","")&amp;IF(C727="","Origem; ","")&amp;IF(D727="","Temperatura; ","")&amp;IF(E727="","Segmento; ","")&amp;IF(F727="","Time/Cluster; ","")&amp;IF(G727="","CNPJ; ","")&amp;IF(H727="","Razão Social; ","")&amp;IF(AND(J727="",K727=""),"nome do contato; ","")&amp;IF(AND(M727="",N727="",O727=""),"telefone, celular ou e-mail; ","")))</f>
      </c>
      <c r="AB727" s="6">
        <f>IF(COUNTA(A727:S727)=0,"",IF(AND(U727="OK",V727="OK",LEFT(W727,4)&lt;&gt;"ERRO",LEFT(X727,4)&lt;&gt;"ERRO",LEFT(Y727,4)&lt;&gt;"ERRO",AA727="OK"),"OK","REVISAR"))</f>
      </c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5"/>
      <c r="K728" s="4"/>
      <c r="L728" s="4"/>
      <c r="M728" s="4"/>
      <c r="N728" s="4"/>
      <c r="O728" s="4"/>
      <c r="P728" s="4"/>
      <c r="Q728" s="4"/>
      <c r="R728" s="4"/>
      <c r="S728" s="4"/>
      <c r="T728" s="6">
        <f>IF(G728="","",SUBSTITUTE(SUBSTITUTE(SUBSTITUTE(SUBSTITUTE(SUBSTITUTE(SUBSTITUTE(SUBSTITUTE(TRIM(G728),".",""),"/",""),"-","")," ",""),"(",""),")",""),"+",""))</f>
      </c>
      <c r="U728" s="6">
        <f>IF(T728="","",IF(LEN(T728)&lt;&gt;14,"ERRO: "&amp;LEN(T728)&amp;" dígitos",IF(NOT(ISNUMBER(VALUE(T728))),"ERRO: não numérico",IF(LEN(SUBSTITUTE(T728,LEFT(T728,1),""))=0,"ERRO: dígitos repetidos",IF(AND(VALUE(MID(T728,13,1))=IF(MOD(SUMPRODUCT(--MID(T728,{1,2,3,4,5,6,7,8,9,10,11,12},1),{5,4,3,2,9,8,7,6,5,4,3,2}),11)&lt;2,0,11-MOD(SUMPRODUCT(--MID(T728,{1,2,3,4,5,6,7,8,9,10,11,12},1),{5,4,3,2,9,8,7,6,5,4,3,2}),11)),VALUE(MID(T728,14,1))=IF(MOD(SUMPRODUCT(--MID(T728,{1,2,3,4,5,6,7,8,9,10,11,12,13},1),{6,5,4,3,2,9,8,7,6,5,4,3,2}),11)&lt;2,0,11-MOD(SUMPRODUCT(--MID(T728,{1,2,3,4,5,6,7,8,9,10,11,12,13},1),{6,5,4,3,2,9,8,7,6,5,4,3,2}),11))),"OK","ERRO: dígito verificador")))))</f>
      </c>
      <c r="V728" s="6">
        <f>IF(T728="","",IF(COUNTIF($T$2:$T$1001,T728)&gt;1,"DUPLICADO","OK"))</f>
      </c>
      <c r="W728" s="6">
        <f>IF(M728="","vazio",IF(OR(AND(LEN(SUBSTITUTE(SUBSTITUTE(SUBSTITUTE(SUBSTITUTE(SUBSTITUTE(SUBSTITUTE(SUBSTITUTE(TRIM(M728),".",""),"/",""),"-","")," ",""),"(",""),")",""),"+",""))=10,LEFT(SUBSTITUTE(SUBSTITUTE(SUBSTITUTE(SUBSTITUTE(SUBSTITUTE(SUBSTITUTE(SUBSTITUTE(TRIM(M728),".",""),"/",""),"-","")," ",""),"(",""),")",""),"+",""),1)&lt;&gt;"0"),AND(LEN(SUBSTITUTE(SUBSTITUTE(SUBSTITUTE(SUBSTITUTE(SUBSTITUTE(SUBSTITUTE(SUBSTITUTE(TRIM(M728),".",""),"/",""),"-","")," ",""),"(",""),")",""),"+",""))=11,LEFT(SUBSTITUTE(SUBSTITUTE(SUBSTITUTE(SUBSTITUTE(SUBSTITUTE(SUBSTITUTE(SUBSTITUTE(TRIM(M728),".",""),"/",""),"-","")," ",""),"(",""),")",""),"+",""),4)="0800")),"OK",IF(AND(LEN(SUBSTITUTE(SUBSTITUTE(SUBSTITUTE(SUBSTITUTE(SUBSTITUTE(SUBSTITUTE(SUBSTITUTE(TRIM(M728),".",""),"/",""),"-","")," ",""),"(",""),")",""),"+",""))=11,MID(SUBSTITUTE(SUBSTITUTE(SUBSTITUTE(SUBSTITUTE(SUBSTITUTE(SUBSTITUTE(SUBSTITUTE(TRIM(M728),".",""),"/",""),"-","")," ",""),"(",""),")",""),"+",""),3,1)="9"),"ERRO: é celular, use a coluna Celular","ERRO: DDD + 8 dígitos ou 0800 + 7")))</f>
      </c>
      <c r="X728" s="6">
        <f>IF(N728="","vazio",IF(AND(LEN(SUBSTITUTE(SUBSTITUTE(SUBSTITUTE(SUBSTITUTE(SUBSTITUTE(SUBSTITUTE(SUBSTITUTE(TRIM(N728),".",""),"/",""),"-","")," ",""),"(",""),")",""),"+",""))=11,MID(SUBSTITUTE(SUBSTITUTE(SUBSTITUTE(SUBSTITUTE(SUBSTITUTE(SUBSTITUTE(SUBSTITUTE(TRIM(N728),".",""),"/",""),"-","")," ",""),"(",""),")",""),"+",""),3,1)="9",LEFT(SUBSTITUTE(SUBSTITUTE(SUBSTITUTE(SUBSTITUTE(SUBSTITUTE(SUBSTITUTE(SUBSTITUTE(TRIM(N728),".",""),"/",""),"-","")," ",""),"(",""),")",""),"+",""),1)&lt;&gt;"0"),"OK",IF(LEN(SUBSTITUTE(SUBSTITUTE(SUBSTITUTE(SUBSTITUTE(SUBSTITUTE(SUBSTITUTE(SUBSTITUTE(TRIM(N728),".",""),"/",""),"-","")," ",""),"(",""),")",""),"+",""))=10,"ERRO: é fixo (ou falta o 9), use a coluna Telefone fixo","ERRO: DDD + 9 + 8 dígitos")))</f>
      </c>
      <c r="Y728" s="6">
        <f>IF(O728="","vazio",IF(AND(ISNUMBER(FIND("@",O728)),ISNUMBER(FIND(".",MID(O728,FIND("@",O728),99))),NOT(ISNUMBER(FIND(" ",TRIM(O728)))),NOT(ISNUMBER(FIND(";",O728))),NOT(ISNUMBER(FIND(",",O728)))),"OK","ERRO: um e-mail válido por linha"))</f>
      </c>
      <c r="Z728" s="6">
        <f>IF(AND(J728="",K728=""),"",IF(AND(J728&lt;&gt;"",K728&lt;&gt;""),"OK","pendente: só um nome (o GR completa ao converter)"))</f>
      </c>
      <c r="AA728" s="6">
        <f>IF(COUNTA(A728:S728)=0,"",IF(AND(A728&lt;&gt;"",B728&lt;&gt;"",C728&lt;&gt;"",D728&lt;&gt;"",E728&lt;&gt;"",F728&lt;&gt;"",G728&lt;&gt;"",H728&lt;&gt;"",OR(J728&lt;&gt;"",K728&lt;&gt;""),OR(M728&lt;&gt;"",N728&lt;&gt;"",O728&lt;&gt;"")),"OK","ERRO: faltam "&amp;IF(A728="","SDR; ","")&amp;IF(B728="","Proprietário; ","")&amp;IF(C728="","Origem; ","")&amp;IF(D728="","Temperatura; ","")&amp;IF(E728="","Segmento; ","")&amp;IF(F728="","Time/Cluster; ","")&amp;IF(G728="","CNPJ; ","")&amp;IF(H728="","Razão Social; ","")&amp;IF(AND(J728="",K728=""),"nome do contato; ","")&amp;IF(AND(M728="",N728="",O728=""),"telefone, celular ou e-mail; ","")))</f>
      </c>
      <c r="AB728" s="6">
        <f>IF(COUNTA(A728:S728)=0,"",IF(AND(U728="OK",V728="OK",LEFT(W728,4)&lt;&gt;"ERRO",LEFT(X728,4)&lt;&gt;"ERRO",LEFT(Y728,4)&lt;&gt;"ERRO",AA728="OK"),"OK","REVISAR"))</f>
      </c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5"/>
      <c r="K729" s="4"/>
      <c r="L729" s="4"/>
      <c r="M729" s="4"/>
      <c r="N729" s="4"/>
      <c r="O729" s="4"/>
      <c r="P729" s="4"/>
      <c r="Q729" s="4"/>
      <c r="R729" s="4"/>
      <c r="S729" s="4"/>
      <c r="T729" s="6">
        <f>IF(G729="","",SUBSTITUTE(SUBSTITUTE(SUBSTITUTE(SUBSTITUTE(SUBSTITUTE(SUBSTITUTE(SUBSTITUTE(TRIM(G729),".",""),"/",""),"-","")," ",""),"(",""),")",""),"+",""))</f>
      </c>
      <c r="U729" s="6">
        <f>IF(T729="","",IF(LEN(T729)&lt;&gt;14,"ERRO: "&amp;LEN(T729)&amp;" dígitos",IF(NOT(ISNUMBER(VALUE(T729))),"ERRO: não numérico",IF(LEN(SUBSTITUTE(T729,LEFT(T729,1),""))=0,"ERRO: dígitos repetidos",IF(AND(VALUE(MID(T729,13,1))=IF(MOD(SUMPRODUCT(--MID(T729,{1,2,3,4,5,6,7,8,9,10,11,12},1),{5,4,3,2,9,8,7,6,5,4,3,2}),11)&lt;2,0,11-MOD(SUMPRODUCT(--MID(T729,{1,2,3,4,5,6,7,8,9,10,11,12},1),{5,4,3,2,9,8,7,6,5,4,3,2}),11)),VALUE(MID(T729,14,1))=IF(MOD(SUMPRODUCT(--MID(T729,{1,2,3,4,5,6,7,8,9,10,11,12,13},1),{6,5,4,3,2,9,8,7,6,5,4,3,2}),11)&lt;2,0,11-MOD(SUMPRODUCT(--MID(T729,{1,2,3,4,5,6,7,8,9,10,11,12,13},1),{6,5,4,3,2,9,8,7,6,5,4,3,2}),11))),"OK","ERRO: dígito verificador")))))</f>
      </c>
      <c r="V729" s="6">
        <f>IF(T729="","",IF(COUNTIF($T$2:$T$1001,T729)&gt;1,"DUPLICADO","OK"))</f>
      </c>
      <c r="W729" s="6">
        <f>IF(M729="","vazio",IF(OR(AND(LEN(SUBSTITUTE(SUBSTITUTE(SUBSTITUTE(SUBSTITUTE(SUBSTITUTE(SUBSTITUTE(SUBSTITUTE(TRIM(M729),".",""),"/",""),"-","")," ",""),"(",""),")",""),"+",""))=10,LEFT(SUBSTITUTE(SUBSTITUTE(SUBSTITUTE(SUBSTITUTE(SUBSTITUTE(SUBSTITUTE(SUBSTITUTE(TRIM(M729),".",""),"/",""),"-","")," ",""),"(",""),")",""),"+",""),1)&lt;&gt;"0"),AND(LEN(SUBSTITUTE(SUBSTITUTE(SUBSTITUTE(SUBSTITUTE(SUBSTITUTE(SUBSTITUTE(SUBSTITUTE(TRIM(M729),".",""),"/",""),"-","")," ",""),"(",""),")",""),"+",""))=11,LEFT(SUBSTITUTE(SUBSTITUTE(SUBSTITUTE(SUBSTITUTE(SUBSTITUTE(SUBSTITUTE(SUBSTITUTE(TRIM(M729),".",""),"/",""),"-","")," ",""),"(",""),")",""),"+",""),4)="0800")),"OK",IF(AND(LEN(SUBSTITUTE(SUBSTITUTE(SUBSTITUTE(SUBSTITUTE(SUBSTITUTE(SUBSTITUTE(SUBSTITUTE(TRIM(M729),".",""),"/",""),"-","")," ",""),"(",""),")",""),"+",""))=11,MID(SUBSTITUTE(SUBSTITUTE(SUBSTITUTE(SUBSTITUTE(SUBSTITUTE(SUBSTITUTE(SUBSTITUTE(TRIM(M729),".",""),"/",""),"-","")," ",""),"(",""),")",""),"+",""),3,1)="9"),"ERRO: é celular, use a coluna Celular","ERRO: DDD + 8 dígitos ou 0800 + 7")))</f>
      </c>
      <c r="X729" s="6">
        <f>IF(N729="","vazio",IF(AND(LEN(SUBSTITUTE(SUBSTITUTE(SUBSTITUTE(SUBSTITUTE(SUBSTITUTE(SUBSTITUTE(SUBSTITUTE(TRIM(N729),".",""),"/",""),"-","")," ",""),"(",""),")",""),"+",""))=11,MID(SUBSTITUTE(SUBSTITUTE(SUBSTITUTE(SUBSTITUTE(SUBSTITUTE(SUBSTITUTE(SUBSTITUTE(TRIM(N729),".",""),"/",""),"-","")," ",""),"(",""),")",""),"+",""),3,1)="9",LEFT(SUBSTITUTE(SUBSTITUTE(SUBSTITUTE(SUBSTITUTE(SUBSTITUTE(SUBSTITUTE(SUBSTITUTE(TRIM(N729),".",""),"/",""),"-","")," ",""),"(",""),")",""),"+",""),1)&lt;&gt;"0"),"OK",IF(LEN(SUBSTITUTE(SUBSTITUTE(SUBSTITUTE(SUBSTITUTE(SUBSTITUTE(SUBSTITUTE(SUBSTITUTE(TRIM(N729),".",""),"/",""),"-","")," ",""),"(",""),")",""),"+",""))=10,"ERRO: é fixo (ou falta o 9), use a coluna Telefone fixo","ERRO: DDD + 9 + 8 dígitos")))</f>
      </c>
      <c r="Y729" s="6">
        <f>IF(O729="","vazio",IF(AND(ISNUMBER(FIND("@",O729)),ISNUMBER(FIND(".",MID(O729,FIND("@",O729),99))),NOT(ISNUMBER(FIND(" ",TRIM(O729)))),NOT(ISNUMBER(FIND(";",O729))),NOT(ISNUMBER(FIND(",",O729)))),"OK","ERRO: um e-mail válido por linha"))</f>
      </c>
      <c r="Z729" s="6">
        <f>IF(AND(J729="",K729=""),"",IF(AND(J729&lt;&gt;"",K729&lt;&gt;""),"OK","pendente: só um nome (o GR completa ao converter)"))</f>
      </c>
      <c r="AA729" s="6">
        <f>IF(COUNTA(A729:S729)=0,"",IF(AND(A729&lt;&gt;"",B729&lt;&gt;"",C729&lt;&gt;"",D729&lt;&gt;"",E729&lt;&gt;"",F729&lt;&gt;"",G729&lt;&gt;"",H729&lt;&gt;"",OR(J729&lt;&gt;"",K729&lt;&gt;""),OR(M729&lt;&gt;"",N729&lt;&gt;"",O729&lt;&gt;"")),"OK","ERRO: faltam "&amp;IF(A729="","SDR; ","")&amp;IF(B729="","Proprietário; ","")&amp;IF(C729="","Origem; ","")&amp;IF(D729="","Temperatura; ","")&amp;IF(E729="","Segmento; ","")&amp;IF(F729="","Time/Cluster; ","")&amp;IF(G729="","CNPJ; ","")&amp;IF(H729="","Razão Social; ","")&amp;IF(AND(J729="",K729=""),"nome do contato; ","")&amp;IF(AND(M729="",N729="",O729=""),"telefone, celular ou e-mail; ","")))</f>
      </c>
      <c r="AB729" s="6">
        <f>IF(COUNTA(A729:S729)=0,"",IF(AND(U729="OK",V729="OK",LEFT(W729,4)&lt;&gt;"ERRO",LEFT(X729,4)&lt;&gt;"ERRO",LEFT(Y729,4)&lt;&gt;"ERRO",AA729="OK"),"OK","REVISAR"))</f>
      </c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5"/>
      <c r="K730" s="4"/>
      <c r="L730" s="4"/>
      <c r="M730" s="4"/>
      <c r="N730" s="4"/>
      <c r="O730" s="4"/>
      <c r="P730" s="4"/>
      <c r="Q730" s="4"/>
      <c r="R730" s="4"/>
      <c r="S730" s="4"/>
      <c r="T730" s="6">
        <f>IF(G730="","",SUBSTITUTE(SUBSTITUTE(SUBSTITUTE(SUBSTITUTE(SUBSTITUTE(SUBSTITUTE(SUBSTITUTE(TRIM(G730),".",""),"/",""),"-","")," ",""),"(",""),")",""),"+",""))</f>
      </c>
      <c r="U730" s="6">
        <f>IF(T730="","",IF(LEN(T730)&lt;&gt;14,"ERRO: "&amp;LEN(T730)&amp;" dígitos",IF(NOT(ISNUMBER(VALUE(T730))),"ERRO: não numérico",IF(LEN(SUBSTITUTE(T730,LEFT(T730,1),""))=0,"ERRO: dígitos repetidos",IF(AND(VALUE(MID(T730,13,1))=IF(MOD(SUMPRODUCT(--MID(T730,{1,2,3,4,5,6,7,8,9,10,11,12},1),{5,4,3,2,9,8,7,6,5,4,3,2}),11)&lt;2,0,11-MOD(SUMPRODUCT(--MID(T730,{1,2,3,4,5,6,7,8,9,10,11,12},1),{5,4,3,2,9,8,7,6,5,4,3,2}),11)),VALUE(MID(T730,14,1))=IF(MOD(SUMPRODUCT(--MID(T730,{1,2,3,4,5,6,7,8,9,10,11,12,13},1),{6,5,4,3,2,9,8,7,6,5,4,3,2}),11)&lt;2,0,11-MOD(SUMPRODUCT(--MID(T730,{1,2,3,4,5,6,7,8,9,10,11,12,13},1),{6,5,4,3,2,9,8,7,6,5,4,3,2}),11))),"OK","ERRO: dígito verificador")))))</f>
      </c>
      <c r="V730" s="6">
        <f>IF(T730="","",IF(COUNTIF($T$2:$T$1001,T730)&gt;1,"DUPLICADO","OK"))</f>
      </c>
      <c r="W730" s="6">
        <f>IF(M730="","vazio",IF(OR(AND(LEN(SUBSTITUTE(SUBSTITUTE(SUBSTITUTE(SUBSTITUTE(SUBSTITUTE(SUBSTITUTE(SUBSTITUTE(TRIM(M730),".",""),"/",""),"-","")," ",""),"(",""),")",""),"+",""))=10,LEFT(SUBSTITUTE(SUBSTITUTE(SUBSTITUTE(SUBSTITUTE(SUBSTITUTE(SUBSTITUTE(SUBSTITUTE(TRIM(M730),".",""),"/",""),"-","")," ",""),"(",""),")",""),"+",""),1)&lt;&gt;"0"),AND(LEN(SUBSTITUTE(SUBSTITUTE(SUBSTITUTE(SUBSTITUTE(SUBSTITUTE(SUBSTITUTE(SUBSTITUTE(TRIM(M730),".",""),"/",""),"-","")," ",""),"(",""),")",""),"+",""))=11,LEFT(SUBSTITUTE(SUBSTITUTE(SUBSTITUTE(SUBSTITUTE(SUBSTITUTE(SUBSTITUTE(SUBSTITUTE(TRIM(M730),".",""),"/",""),"-","")," ",""),"(",""),")",""),"+",""),4)="0800")),"OK",IF(AND(LEN(SUBSTITUTE(SUBSTITUTE(SUBSTITUTE(SUBSTITUTE(SUBSTITUTE(SUBSTITUTE(SUBSTITUTE(TRIM(M730),".",""),"/",""),"-","")," ",""),"(",""),")",""),"+",""))=11,MID(SUBSTITUTE(SUBSTITUTE(SUBSTITUTE(SUBSTITUTE(SUBSTITUTE(SUBSTITUTE(SUBSTITUTE(TRIM(M730),".",""),"/",""),"-","")," ",""),"(",""),")",""),"+",""),3,1)="9"),"ERRO: é celular, use a coluna Celular","ERRO: DDD + 8 dígitos ou 0800 + 7")))</f>
      </c>
      <c r="X730" s="6">
        <f>IF(N730="","vazio",IF(AND(LEN(SUBSTITUTE(SUBSTITUTE(SUBSTITUTE(SUBSTITUTE(SUBSTITUTE(SUBSTITUTE(SUBSTITUTE(TRIM(N730),".",""),"/",""),"-","")," ",""),"(",""),")",""),"+",""))=11,MID(SUBSTITUTE(SUBSTITUTE(SUBSTITUTE(SUBSTITUTE(SUBSTITUTE(SUBSTITUTE(SUBSTITUTE(TRIM(N730),".",""),"/",""),"-","")," ",""),"(",""),")",""),"+",""),3,1)="9",LEFT(SUBSTITUTE(SUBSTITUTE(SUBSTITUTE(SUBSTITUTE(SUBSTITUTE(SUBSTITUTE(SUBSTITUTE(TRIM(N730),".",""),"/",""),"-","")," ",""),"(",""),")",""),"+",""),1)&lt;&gt;"0"),"OK",IF(LEN(SUBSTITUTE(SUBSTITUTE(SUBSTITUTE(SUBSTITUTE(SUBSTITUTE(SUBSTITUTE(SUBSTITUTE(TRIM(N730),".",""),"/",""),"-","")," ",""),"(",""),")",""),"+",""))=10,"ERRO: é fixo (ou falta o 9), use a coluna Telefone fixo","ERRO: DDD + 9 + 8 dígitos")))</f>
      </c>
      <c r="Y730" s="6">
        <f>IF(O730="","vazio",IF(AND(ISNUMBER(FIND("@",O730)),ISNUMBER(FIND(".",MID(O730,FIND("@",O730),99))),NOT(ISNUMBER(FIND(" ",TRIM(O730)))),NOT(ISNUMBER(FIND(";",O730))),NOT(ISNUMBER(FIND(",",O730)))),"OK","ERRO: um e-mail válido por linha"))</f>
      </c>
      <c r="Z730" s="6">
        <f>IF(AND(J730="",K730=""),"",IF(AND(J730&lt;&gt;"",K730&lt;&gt;""),"OK","pendente: só um nome (o GR completa ao converter)"))</f>
      </c>
      <c r="AA730" s="6">
        <f>IF(COUNTA(A730:S730)=0,"",IF(AND(A730&lt;&gt;"",B730&lt;&gt;"",C730&lt;&gt;"",D730&lt;&gt;"",E730&lt;&gt;"",F730&lt;&gt;"",G730&lt;&gt;"",H730&lt;&gt;"",OR(J730&lt;&gt;"",K730&lt;&gt;""),OR(M730&lt;&gt;"",N730&lt;&gt;"",O730&lt;&gt;"")),"OK","ERRO: faltam "&amp;IF(A730="","SDR; ","")&amp;IF(B730="","Proprietário; ","")&amp;IF(C730="","Origem; ","")&amp;IF(D730="","Temperatura; ","")&amp;IF(E730="","Segmento; ","")&amp;IF(F730="","Time/Cluster; ","")&amp;IF(G730="","CNPJ; ","")&amp;IF(H730="","Razão Social; ","")&amp;IF(AND(J730="",K730=""),"nome do contato; ","")&amp;IF(AND(M730="",N730="",O730=""),"telefone, celular ou e-mail; ","")))</f>
      </c>
      <c r="AB730" s="6">
        <f>IF(COUNTA(A730:S730)=0,"",IF(AND(U730="OK",V730="OK",LEFT(W730,4)&lt;&gt;"ERRO",LEFT(X730,4)&lt;&gt;"ERRO",LEFT(Y730,4)&lt;&gt;"ERRO",AA730="OK"),"OK","REVISAR"))</f>
      </c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5"/>
      <c r="K731" s="4"/>
      <c r="L731" s="4"/>
      <c r="M731" s="4"/>
      <c r="N731" s="4"/>
      <c r="O731" s="4"/>
      <c r="P731" s="4"/>
      <c r="Q731" s="4"/>
      <c r="R731" s="4"/>
      <c r="S731" s="4"/>
      <c r="T731" s="6">
        <f>IF(G731="","",SUBSTITUTE(SUBSTITUTE(SUBSTITUTE(SUBSTITUTE(SUBSTITUTE(SUBSTITUTE(SUBSTITUTE(TRIM(G731),".",""),"/",""),"-","")," ",""),"(",""),")",""),"+",""))</f>
      </c>
      <c r="U731" s="6">
        <f>IF(T731="","",IF(LEN(T731)&lt;&gt;14,"ERRO: "&amp;LEN(T731)&amp;" dígitos",IF(NOT(ISNUMBER(VALUE(T731))),"ERRO: não numérico",IF(LEN(SUBSTITUTE(T731,LEFT(T731,1),""))=0,"ERRO: dígitos repetidos",IF(AND(VALUE(MID(T731,13,1))=IF(MOD(SUMPRODUCT(--MID(T731,{1,2,3,4,5,6,7,8,9,10,11,12},1),{5,4,3,2,9,8,7,6,5,4,3,2}),11)&lt;2,0,11-MOD(SUMPRODUCT(--MID(T731,{1,2,3,4,5,6,7,8,9,10,11,12},1),{5,4,3,2,9,8,7,6,5,4,3,2}),11)),VALUE(MID(T731,14,1))=IF(MOD(SUMPRODUCT(--MID(T731,{1,2,3,4,5,6,7,8,9,10,11,12,13},1),{6,5,4,3,2,9,8,7,6,5,4,3,2}),11)&lt;2,0,11-MOD(SUMPRODUCT(--MID(T731,{1,2,3,4,5,6,7,8,9,10,11,12,13},1),{6,5,4,3,2,9,8,7,6,5,4,3,2}),11))),"OK","ERRO: dígito verificador")))))</f>
      </c>
      <c r="V731" s="6">
        <f>IF(T731="","",IF(COUNTIF($T$2:$T$1001,T731)&gt;1,"DUPLICADO","OK"))</f>
      </c>
      <c r="W731" s="6">
        <f>IF(M731="","vazio",IF(OR(AND(LEN(SUBSTITUTE(SUBSTITUTE(SUBSTITUTE(SUBSTITUTE(SUBSTITUTE(SUBSTITUTE(SUBSTITUTE(TRIM(M731),".",""),"/",""),"-","")," ",""),"(",""),")",""),"+",""))=10,LEFT(SUBSTITUTE(SUBSTITUTE(SUBSTITUTE(SUBSTITUTE(SUBSTITUTE(SUBSTITUTE(SUBSTITUTE(TRIM(M731),".",""),"/",""),"-","")," ",""),"(",""),")",""),"+",""),1)&lt;&gt;"0"),AND(LEN(SUBSTITUTE(SUBSTITUTE(SUBSTITUTE(SUBSTITUTE(SUBSTITUTE(SUBSTITUTE(SUBSTITUTE(TRIM(M731),".",""),"/",""),"-","")," ",""),"(",""),")",""),"+",""))=11,LEFT(SUBSTITUTE(SUBSTITUTE(SUBSTITUTE(SUBSTITUTE(SUBSTITUTE(SUBSTITUTE(SUBSTITUTE(TRIM(M731),".",""),"/",""),"-","")," ",""),"(",""),")",""),"+",""),4)="0800")),"OK",IF(AND(LEN(SUBSTITUTE(SUBSTITUTE(SUBSTITUTE(SUBSTITUTE(SUBSTITUTE(SUBSTITUTE(SUBSTITUTE(TRIM(M731),".",""),"/",""),"-","")," ",""),"(",""),")",""),"+",""))=11,MID(SUBSTITUTE(SUBSTITUTE(SUBSTITUTE(SUBSTITUTE(SUBSTITUTE(SUBSTITUTE(SUBSTITUTE(TRIM(M731),".",""),"/",""),"-","")," ",""),"(",""),")",""),"+",""),3,1)="9"),"ERRO: é celular, use a coluna Celular","ERRO: DDD + 8 dígitos ou 0800 + 7")))</f>
      </c>
      <c r="X731" s="6">
        <f>IF(N731="","vazio",IF(AND(LEN(SUBSTITUTE(SUBSTITUTE(SUBSTITUTE(SUBSTITUTE(SUBSTITUTE(SUBSTITUTE(SUBSTITUTE(TRIM(N731),".",""),"/",""),"-","")," ",""),"(",""),")",""),"+",""))=11,MID(SUBSTITUTE(SUBSTITUTE(SUBSTITUTE(SUBSTITUTE(SUBSTITUTE(SUBSTITUTE(SUBSTITUTE(TRIM(N731),".",""),"/",""),"-","")," ",""),"(",""),")",""),"+",""),3,1)="9",LEFT(SUBSTITUTE(SUBSTITUTE(SUBSTITUTE(SUBSTITUTE(SUBSTITUTE(SUBSTITUTE(SUBSTITUTE(TRIM(N731),".",""),"/",""),"-","")," ",""),"(",""),")",""),"+",""),1)&lt;&gt;"0"),"OK",IF(LEN(SUBSTITUTE(SUBSTITUTE(SUBSTITUTE(SUBSTITUTE(SUBSTITUTE(SUBSTITUTE(SUBSTITUTE(TRIM(N731),".",""),"/",""),"-","")," ",""),"(",""),")",""),"+",""))=10,"ERRO: é fixo (ou falta o 9), use a coluna Telefone fixo","ERRO: DDD + 9 + 8 dígitos")))</f>
      </c>
      <c r="Y731" s="6">
        <f>IF(O731="","vazio",IF(AND(ISNUMBER(FIND("@",O731)),ISNUMBER(FIND(".",MID(O731,FIND("@",O731),99))),NOT(ISNUMBER(FIND(" ",TRIM(O731)))),NOT(ISNUMBER(FIND(";",O731))),NOT(ISNUMBER(FIND(",",O731)))),"OK","ERRO: um e-mail válido por linha"))</f>
      </c>
      <c r="Z731" s="6">
        <f>IF(AND(J731="",K731=""),"",IF(AND(J731&lt;&gt;"",K731&lt;&gt;""),"OK","pendente: só um nome (o GR completa ao converter)"))</f>
      </c>
      <c r="AA731" s="6">
        <f>IF(COUNTA(A731:S731)=0,"",IF(AND(A731&lt;&gt;"",B731&lt;&gt;"",C731&lt;&gt;"",D731&lt;&gt;"",E731&lt;&gt;"",F731&lt;&gt;"",G731&lt;&gt;"",H731&lt;&gt;"",OR(J731&lt;&gt;"",K731&lt;&gt;""),OR(M731&lt;&gt;"",N731&lt;&gt;"",O731&lt;&gt;"")),"OK","ERRO: faltam "&amp;IF(A731="","SDR; ","")&amp;IF(B731="","Proprietário; ","")&amp;IF(C731="","Origem; ","")&amp;IF(D731="","Temperatura; ","")&amp;IF(E731="","Segmento; ","")&amp;IF(F731="","Time/Cluster; ","")&amp;IF(G731="","CNPJ; ","")&amp;IF(H731="","Razão Social; ","")&amp;IF(AND(J731="",K731=""),"nome do contato; ","")&amp;IF(AND(M731="",N731="",O731=""),"telefone, celular ou e-mail; ","")))</f>
      </c>
      <c r="AB731" s="6">
        <f>IF(COUNTA(A731:S731)=0,"",IF(AND(U731="OK",V731="OK",LEFT(W731,4)&lt;&gt;"ERRO",LEFT(X731,4)&lt;&gt;"ERRO",LEFT(Y731,4)&lt;&gt;"ERRO",AA731="OK"),"OK","REVISAR"))</f>
      </c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5"/>
      <c r="K732" s="4"/>
      <c r="L732" s="4"/>
      <c r="M732" s="4"/>
      <c r="N732" s="4"/>
      <c r="O732" s="4"/>
      <c r="P732" s="4"/>
      <c r="Q732" s="4"/>
      <c r="R732" s="4"/>
      <c r="S732" s="4"/>
      <c r="T732" s="6">
        <f>IF(G732="","",SUBSTITUTE(SUBSTITUTE(SUBSTITUTE(SUBSTITUTE(SUBSTITUTE(SUBSTITUTE(SUBSTITUTE(TRIM(G732),".",""),"/",""),"-","")," ",""),"(",""),")",""),"+",""))</f>
      </c>
      <c r="U732" s="6">
        <f>IF(T732="","",IF(LEN(T732)&lt;&gt;14,"ERRO: "&amp;LEN(T732)&amp;" dígitos",IF(NOT(ISNUMBER(VALUE(T732))),"ERRO: não numérico",IF(LEN(SUBSTITUTE(T732,LEFT(T732,1),""))=0,"ERRO: dígitos repetidos",IF(AND(VALUE(MID(T732,13,1))=IF(MOD(SUMPRODUCT(--MID(T732,{1,2,3,4,5,6,7,8,9,10,11,12},1),{5,4,3,2,9,8,7,6,5,4,3,2}),11)&lt;2,0,11-MOD(SUMPRODUCT(--MID(T732,{1,2,3,4,5,6,7,8,9,10,11,12},1),{5,4,3,2,9,8,7,6,5,4,3,2}),11)),VALUE(MID(T732,14,1))=IF(MOD(SUMPRODUCT(--MID(T732,{1,2,3,4,5,6,7,8,9,10,11,12,13},1),{6,5,4,3,2,9,8,7,6,5,4,3,2}),11)&lt;2,0,11-MOD(SUMPRODUCT(--MID(T732,{1,2,3,4,5,6,7,8,9,10,11,12,13},1),{6,5,4,3,2,9,8,7,6,5,4,3,2}),11))),"OK","ERRO: dígito verificador")))))</f>
      </c>
      <c r="V732" s="6">
        <f>IF(T732="","",IF(COUNTIF($T$2:$T$1001,T732)&gt;1,"DUPLICADO","OK"))</f>
      </c>
      <c r="W732" s="6">
        <f>IF(M732="","vazio",IF(OR(AND(LEN(SUBSTITUTE(SUBSTITUTE(SUBSTITUTE(SUBSTITUTE(SUBSTITUTE(SUBSTITUTE(SUBSTITUTE(TRIM(M732),".",""),"/",""),"-","")," ",""),"(",""),")",""),"+",""))=10,LEFT(SUBSTITUTE(SUBSTITUTE(SUBSTITUTE(SUBSTITUTE(SUBSTITUTE(SUBSTITUTE(SUBSTITUTE(TRIM(M732),".",""),"/",""),"-","")," ",""),"(",""),")",""),"+",""),1)&lt;&gt;"0"),AND(LEN(SUBSTITUTE(SUBSTITUTE(SUBSTITUTE(SUBSTITUTE(SUBSTITUTE(SUBSTITUTE(SUBSTITUTE(TRIM(M732),".",""),"/",""),"-","")," ",""),"(",""),")",""),"+",""))=11,LEFT(SUBSTITUTE(SUBSTITUTE(SUBSTITUTE(SUBSTITUTE(SUBSTITUTE(SUBSTITUTE(SUBSTITUTE(TRIM(M732),".",""),"/",""),"-","")," ",""),"(",""),")",""),"+",""),4)="0800")),"OK",IF(AND(LEN(SUBSTITUTE(SUBSTITUTE(SUBSTITUTE(SUBSTITUTE(SUBSTITUTE(SUBSTITUTE(SUBSTITUTE(TRIM(M732),".",""),"/",""),"-","")," ",""),"(",""),")",""),"+",""))=11,MID(SUBSTITUTE(SUBSTITUTE(SUBSTITUTE(SUBSTITUTE(SUBSTITUTE(SUBSTITUTE(SUBSTITUTE(TRIM(M732),".",""),"/",""),"-","")," ",""),"(",""),")",""),"+",""),3,1)="9"),"ERRO: é celular, use a coluna Celular","ERRO: DDD + 8 dígitos ou 0800 + 7")))</f>
      </c>
      <c r="X732" s="6">
        <f>IF(N732="","vazio",IF(AND(LEN(SUBSTITUTE(SUBSTITUTE(SUBSTITUTE(SUBSTITUTE(SUBSTITUTE(SUBSTITUTE(SUBSTITUTE(TRIM(N732),".",""),"/",""),"-","")," ",""),"(",""),")",""),"+",""))=11,MID(SUBSTITUTE(SUBSTITUTE(SUBSTITUTE(SUBSTITUTE(SUBSTITUTE(SUBSTITUTE(SUBSTITUTE(TRIM(N732),".",""),"/",""),"-","")," ",""),"(",""),")",""),"+",""),3,1)="9",LEFT(SUBSTITUTE(SUBSTITUTE(SUBSTITUTE(SUBSTITUTE(SUBSTITUTE(SUBSTITUTE(SUBSTITUTE(TRIM(N732),".",""),"/",""),"-","")," ",""),"(",""),")",""),"+",""),1)&lt;&gt;"0"),"OK",IF(LEN(SUBSTITUTE(SUBSTITUTE(SUBSTITUTE(SUBSTITUTE(SUBSTITUTE(SUBSTITUTE(SUBSTITUTE(TRIM(N732),".",""),"/",""),"-","")," ",""),"(",""),")",""),"+",""))=10,"ERRO: é fixo (ou falta o 9), use a coluna Telefone fixo","ERRO: DDD + 9 + 8 dígitos")))</f>
      </c>
      <c r="Y732" s="6">
        <f>IF(O732="","vazio",IF(AND(ISNUMBER(FIND("@",O732)),ISNUMBER(FIND(".",MID(O732,FIND("@",O732),99))),NOT(ISNUMBER(FIND(" ",TRIM(O732)))),NOT(ISNUMBER(FIND(";",O732))),NOT(ISNUMBER(FIND(",",O732)))),"OK","ERRO: um e-mail válido por linha"))</f>
      </c>
      <c r="Z732" s="6">
        <f>IF(AND(J732="",K732=""),"",IF(AND(J732&lt;&gt;"",K732&lt;&gt;""),"OK","pendente: só um nome (o GR completa ao converter)"))</f>
      </c>
      <c r="AA732" s="6">
        <f>IF(COUNTA(A732:S732)=0,"",IF(AND(A732&lt;&gt;"",B732&lt;&gt;"",C732&lt;&gt;"",D732&lt;&gt;"",E732&lt;&gt;"",F732&lt;&gt;"",G732&lt;&gt;"",H732&lt;&gt;"",OR(J732&lt;&gt;"",K732&lt;&gt;""),OR(M732&lt;&gt;"",N732&lt;&gt;"",O732&lt;&gt;"")),"OK","ERRO: faltam "&amp;IF(A732="","SDR; ","")&amp;IF(B732="","Proprietário; ","")&amp;IF(C732="","Origem; ","")&amp;IF(D732="","Temperatura; ","")&amp;IF(E732="","Segmento; ","")&amp;IF(F732="","Time/Cluster; ","")&amp;IF(G732="","CNPJ; ","")&amp;IF(H732="","Razão Social; ","")&amp;IF(AND(J732="",K732=""),"nome do contato; ","")&amp;IF(AND(M732="",N732="",O732=""),"telefone, celular ou e-mail; ","")))</f>
      </c>
      <c r="AB732" s="6">
        <f>IF(COUNTA(A732:S732)=0,"",IF(AND(U732="OK",V732="OK",LEFT(W732,4)&lt;&gt;"ERRO",LEFT(X732,4)&lt;&gt;"ERRO",LEFT(Y732,4)&lt;&gt;"ERRO",AA732="OK"),"OK","REVISAR"))</f>
      </c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5"/>
      <c r="K733" s="4"/>
      <c r="L733" s="4"/>
      <c r="M733" s="4"/>
      <c r="N733" s="4"/>
      <c r="O733" s="4"/>
      <c r="P733" s="4"/>
      <c r="Q733" s="4"/>
      <c r="R733" s="4"/>
      <c r="S733" s="4"/>
      <c r="T733" s="6">
        <f>IF(G733="","",SUBSTITUTE(SUBSTITUTE(SUBSTITUTE(SUBSTITUTE(SUBSTITUTE(SUBSTITUTE(SUBSTITUTE(TRIM(G733),".",""),"/",""),"-","")," ",""),"(",""),")",""),"+",""))</f>
      </c>
      <c r="U733" s="6">
        <f>IF(T733="","",IF(LEN(T733)&lt;&gt;14,"ERRO: "&amp;LEN(T733)&amp;" dígitos",IF(NOT(ISNUMBER(VALUE(T733))),"ERRO: não numérico",IF(LEN(SUBSTITUTE(T733,LEFT(T733,1),""))=0,"ERRO: dígitos repetidos",IF(AND(VALUE(MID(T733,13,1))=IF(MOD(SUMPRODUCT(--MID(T733,{1,2,3,4,5,6,7,8,9,10,11,12},1),{5,4,3,2,9,8,7,6,5,4,3,2}),11)&lt;2,0,11-MOD(SUMPRODUCT(--MID(T733,{1,2,3,4,5,6,7,8,9,10,11,12},1),{5,4,3,2,9,8,7,6,5,4,3,2}),11)),VALUE(MID(T733,14,1))=IF(MOD(SUMPRODUCT(--MID(T733,{1,2,3,4,5,6,7,8,9,10,11,12,13},1),{6,5,4,3,2,9,8,7,6,5,4,3,2}),11)&lt;2,0,11-MOD(SUMPRODUCT(--MID(T733,{1,2,3,4,5,6,7,8,9,10,11,12,13},1),{6,5,4,3,2,9,8,7,6,5,4,3,2}),11))),"OK","ERRO: dígito verificador")))))</f>
      </c>
      <c r="V733" s="6">
        <f>IF(T733="","",IF(COUNTIF($T$2:$T$1001,T733)&gt;1,"DUPLICADO","OK"))</f>
      </c>
      <c r="W733" s="6">
        <f>IF(M733="","vazio",IF(OR(AND(LEN(SUBSTITUTE(SUBSTITUTE(SUBSTITUTE(SUBSTITUTE(SUBSTITUTE(SUBSTITUTE(SUBSTITUTE(TRIM(M733),".",""),"/",""),"-","")," ",""),"(",""),")",""),"+",""))=10,LEFT(SUBSTITUTE(SUBSTITUTE(SUBSTITUTE(SUBSTITUTE(SUBSTITUTE(SUBSTITUTE(SUBSTITUTE(TRIM(M733),".",""),"/",""),"-","")," ",""),"(",""),")",""),"+",""),1)&lt;&gt;"0"),AND(LEN(SUBSTITUTE(SUBSTITUTE(SUBSTITUTE(SUBSTITUTE(SUBSTITUTE(SUBSTITUTE(SUBSTITUTE(TRIM(M733),".",""),"/",""),"-","")," ",""),"(",""),")",""),"+",""))=11,LEFT(SUBSTITUTE(SUBSTITUTE(SUBSTITUTE(SUBSTITUTE(SUBSTITUTE(SUBSTITUTE(SUBSTITUTE(TRIM(M733),".",""),"/",""),"-","")," ",""),"(",""),")",""),"+",""),4)="0800")),"OK",IF(AND(LEN(SUBSTITUTE(SUBSTITUTE(SUBSTITUTE(SUBSTITUTE(SUBSTITUTE(SUBSTITUTE(SUBSTITUTE(TRIM(M733),".",""),"/",""),"-","")," ",""),"(",""),")",""),"+",""))=11,MID(SUBSTITUTE(SUBSTITUTE(SUBSTITUTE(SUBSTITUTE(SUBSTITUTE(SUBSTITUTE(SUBSTITUTE(TRIM(M733),".",""),"/",""),"-","")," ",""),"(",""),")",""),"+",""),3,1)="9"),"ERRO: é celular, use a coluna Celular","ERRO: DDD + 8 dígitos ou 0800 + 7")))</f>
      </c>
      <c r="X733" s="6">
        <f>IF(N733="","vazio",IF(AND(LEN(SUBSTITUTE(SUBSTITUTE(SUBSTITUTE(SUBSTITUTE(SUBSTITUTE(SUBSTITUTE(SUBSTITUTE(TRIM(N733),".",""),"/",""),"-","")," ",""),"(",""),")",""),"+",""))=11,MID(SUBSTITUTE(SUBSTITUTE(SUBSTITUTE(SUBSTITUTE(SUBSTITUTE(SUBSTITUTE(SUBSTITUTE(TRIM(N733),".",""),"/",""),"-","")," ",""),"(",""),")",""),"+",""),3,1)="9",LEFT(SUBSTITUTE(SUBSTITUTE(SUBSTITUTE(SUBSTITUTE(SUBSTITUTE(SUBSTITUTE(SUBSTITUTE(TRIM(N733),".",""),"/",""),"-","")," ",""),"(",""),")",""),"+",""),1)&lt;&gt;"0"),"OK",IF(LEN(SUBSTITUTE(SUBSTITUTE(SUBSTITUTE(SUBSTITUTE(SUBSTITUTE(SUBSTITUTE(SUBSTITUTE(TRIM(N733),".",""),"/",""),"-","")," ",""),"(",""),")",""),"+",""))=10,"ERRO: é fixo (ou falta o 9), use a coluna Telefone fixo","ERRO: DDD + 9 + 8 dígitos")))</f>
      </c>
      <c r="Y733" s="6">
        <f>IF(O733="","vazio",IF(AND(ISNUMBER(FIND("@",O733)),ISNUMBER(FIND(".",MID(O733,FIND("@",O733),99))),NOT(ISNUMBER(FIND(" ",TRIM(O733)))),NOT(ISNUMBER(FIND(";",O733))),NOT(ISNUMBER(FIND(",",O733)))),"OK","ERRO: um e-mail válido por linha"))</f>
      </c>
      <c r="Z733" s="6">
        <f>IF(AND(J733="",K733=""),"",IF(AND(J733&lt;&gt;"",K733&lt;&gt;""),"OK","pendente: só um nome (o GR completa ao converter)"))</f>
      </c>
      <c r="AA733" s="6">
        <f>IF(COUNTA(A733:S733)=0,"",IF(AND(A733&lt;&gt;"",B733&lt;&gt;"",C733&lt;&gt;"",D733&lt;&gt;"",E733&lt;&gt;"",F733&lt;&gt;"",G733&lt;&gt;"",H733&lt;&gt;"",OR(J733&lt;&gt;"",K733&lt;&gt;""),OR(M733&lt;&gt;"",N733&lt;&gt;"",O733&lt;&gt;"")),"OK","ERRO: faltam "&amp;IF(A733="","SDR; ","")&amp;IF(B733="","Proprietário; ","")&amp;IF(C733="","Origem; ","")&amp;IF(D733="","Temperatura; ","")&amp;IF(E733="","Segmento; ","")&amp;IF(F733="","Time/Cluster; ","")&amp;IF(G733="","CNPJ; ","")&amp;IF(H733="","Razão Social; ","")&amp;IF(AND(J733="",K733=""),"nome do contato; ","")&amp;IF(AND(M733="",N733="",O733=""),"telefone, celular ou e-mail; ","")))</f>
      </c>
      <c r="AB733" s="6">
        <f>IF(COUNTA(A733:S733)=0,"",IF(AND(U733="OK",V733="OK",LEFT(W733,4)&lt;&gt;"ERRO",LEFT(X733,4)&lt;&gt;"ERRO",LEFT(Y733,4)&lt;&gt;"ERRO",AA733="OK"),"OK","REVISAR"))</f>
      </c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5"/>
      <c r="K734" s="4"/>
      <c r="L734" s="4"/>
      <c r="M734" s="4"/>
      <c r="N734" s="4"/>
      <c r="O734" s="4"/>
      <c r="P734" s="4"/>
      <c r="Q734" s="4"/>
      <c r="R734" s="4"/>
      <c r="S734" s="4"/>
      <c r="T734" s="6">
        <f>IF(G734="","",SUBSTITUTE(SUBSTITUTE(SUBSTITUTE(SUBSTITUTE(SUBSTITUTE(SUBSTITUTE(SUBSTITUTE(TRIM(G734),".",""),"/",""),"-","")," ",""),"(",""),")",""),"+",""))</f>
      </c>
      <c r="U734" s="6">
        <f>IF(T734="","",IF(LEN(T734)&lt;&gt;14,"ERRO: "&amp;LEN(T734)&amp;" dígitos",IF(NOT(ISNUMBER(VALUE(T734))),"ERRO: não numérico",IF(LEN(SUBSTITUTE(T734,LEFT(T734,1),""))=0,"ERRO: dígitos repetidos",IF(AND(VALUE(MID(T734,13,1))=IF(MOD(SUMPRODUCT(--MID(T734,{1,2,3,4,5,6,7,8,9,10,11,12},1),{5,4,3,2,9,8,7,6,5,4,3,2}),11)&lt;2,0,11-MOD(SUMPRODUCT(--MID(T734,{1,2,3,4,5,6,7,8,9,10,11,12},1),{5,4,3,2,9,8,7,6,5,4,3,2}),11)),VALUE(MID(T734,14,1))=IF(MOD(SUMPRODUCT(--MID(T734,{1,2,3,4,5,6,7,8,9,10,11,12,13},1),{6,5,4,3,2,9,8,7,6,5,4,3,2}),11)&lt;2,0,11-MOD(SUMPRODUCT(--MID(T734,{1,2,3,4,5,6,7,8,9,10,11,12,13},1),{6,5,4,3,2,9,8,7,6,5,4,3,2}),11))),"OK","ERRO: dígito verificador")))))</f>
      </c>
      <c r="V734" s="6">
        <f>IF(T734="","",IF(COUNTIF($T$2:$T$1001,T734)&gt;1,"DUPLICADO","OK"))</f>
      </c>
      <c r="W734" s="6">
        <f>IF(M734="","vazio",IF(OR(AND(LEN(SUBSTITUTE(SUBSTITUTE(SUBSTITUTE(SUBSTITUTE(SUBSTITUTE(SUBSTITUTE(SUBSTITUTE(TRIM(M734),".",""),"/",""),"-","")," ",""),"(",""),")",""),"+",""))=10,LEFT(SUBSTITUTE(SUBSTITUTE(SUBSTITUTE(SUBSTITUTE(SUBSTITUTE(SUBSTITUTE(SUBSTITUTE(TRIM(M734),".",""),"/",""),"-","")," ",""),"(",""),")",""),"+",""),1)&lt;&gt;"0"),AND(LEN(SUBSTITUTE(SUBSTITUTE(SUBSTITUTE(SUBSTITUTE(SUBSTITUTE(SUBSTITUTE(SUBSTITUTE(TRIM(M734),".",""),"/",""),"-","")," ",""),"(",""),")",""),"+",""))=11,LEFT(SUBSTITUTE(SUBSTITUTE(SUBSTITUTE(SUBSTITUTE(SUBSTITUTE(SUBSTITUTE(SUBSTITUTE(TRIM(M734),".",""),"/",""),"-","")," ",""),"(",""),")",""),"+",""),4)="0800")),"OK",IF(AND(LEN(SUBSTITUTE(SUBSTITUTE(SUBSTITUTE(SUBSTITUTE(SUBSTITUTE(SUBSTITUTE(SUBSTITUTE(TRIM(M734),".",""),"/",""),"-","")," ",""),"(",""),")",""),"+",""))=11,MID(SUBSTITUTE(SUBSTITUTE(SUBSTITUTE(SUBSTITUTE(SUBSTITUTE(SUBSTITUTE(SUBSTITUTE(TRIM(M734),".",""),"/",""),"-","")," ",""),"(",""),")",""),"+",""),3,1)="9"),"ERRO: é celular, use a coluna Celular","ERRO: DDD + 8 dígitos ou 0800 + 7")))</f>
      </c>
      <c r="X734" s="6">
        <f>IF(N734="","vazio",IF(AND(LEN(SUBSTITUTE(SUBSTITUTE(SUBSTITUTE(SUBSTITUTE(SUBSTITUTE(SUBSTITUTE(SUBSTITUTE(TRIM(N734),".",""),"/",""),"-","")," ",""),"(",""),")",""),"+",""))=11,MID(SUBSTITUTE(SUBSTITUTE(SUBSTITUTE(SUBSTITUTE(SUBSTITUTE(SUBSTITUTE(SUBSTITUTE(TRIM(N734),".",""),"/",""),"-","")," ",""),"(",""),")",""),"+",""),3,1)="9",LEFT(SUBSTITUTE(SUBSTITUTE(SUBSTITUTE(SUBSTITUTE(SUBSTITUTE(SUBSTITUTE(SUBSTITUTE(TRIM(N734),".",""),"/",""),"-","")," ",""),"(",""),")",""),"+",""),1)&lt;&gt;"0"),"OK",IF(LEN(SUBSTITUTE(SUBSTITUTE(SUBSTITUTE(SUBSTITUTE(SUBSTITUTE(SUBSTITUTE(SUBSTITUTE(TRIM(N734),".",""),"/",""),"-","")," ",""),"(",""),")",""),"+",""))=10,"ERRO: é fixo (ou falta o 9), use a coluna Telefone fixo","ERRO: DDD + 9 + 8 dígitos")))</f>
      </c>
      <c r="Y734" s="6">
        <f>IF(O734="","vazio",IF(AND(ISNUMBER(FIND("@",O734)),ISNUMBER(FIND(".",MID(O734,FIND("@",O734),99))),NOT(ISNUMBER(FIND(" ",TRIM(O734)))),NOT(ISNUMBER(FIND(";",O734))),NOT(ISNUMBER(FIND(",",O734)))),"OK","ERRO: um e-mail válido por linha"))</f>
      </c>
      <c r="Z734" s="6">
        <f>IF(AND(J734="",K734=""),"",IF(AND(J734&lt;&gt;"",K734&lt;&gt;""),"OK","pendente: só um nome (o GR completa ao converter)"))</f>
      </c>
      <c r="AA734" s="6">
        <f>IF(COUNTA(A734:S734)=0,"",IF(AND(A734&lt;&gt;"",B734&lt;&gt;"",C734&lt;&gt;"",D734&lt;&gt;"",E734&lt;&gt;"",F734&lt;&gt;"",G734&lt;&gt;"",H734&lt;&gt;"",OR(J734&lt;&gt;"",K734&lt;&gt;""),OR(M734&lt;&gt;"",N734&lt;&gt;"",O734&lt;&gt;"")),"OK","ERRO: faltam "&amp;IF(A734="","SDR; ","")&amp;IF(B734="","Proprietário; ","")&amp;IF(C734="","Origem; ","")&amp;IF(D734="","Temperatura; ","")&amp;IF(E734="","Segmento; ","")&amp;IF(F734="","Time/Cluster; ","")&amp;IF(G734="","CNPJ; ","")&amp;IF(H734="","Razão Social; ","")&amp;IF(AND(J734="",K734=""),"nome do contato; ","")&amp;IF(AND(M734="",N734="",O734=""),"telefone, celular ou e-mail; ","")))</f>
      </c>
      <c r="AB734" s="6">
        <f>IF(COUNTA(A734:S734)=0,"",IF(AND(U734="OK",V734="OK",LEFT(W734,4)&lt;&gt;"ERRO",LEFT(X734,4)&lt;&gt;"ERRO",LEFT(Y734,4)&lt;&gt;"ERRO",AA734="OK"),"OK","REVISAR"))</f>
      </c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5"/>
      <c r="K735" s="4"/>
      <c r="L735" s="4"/>
      <c r="M735" s="4"/>
      <c r="N735" s="4"/>
      <c r="O735" s="4"/>
      <c r="P735" s="4"/>
      <c r="Q735" s="4"/>
      <c r="R735" s="4"/>
      <c r="S735" s="4"/>
      <c r="T735" s="6">
        <f>IF(G735="","",SUBSTITUTE(SUBSTITUTE(SUBSTITUTE(SUBSTITUTE(SUBSTITUTE(SUBSTITUTE(SUBSTITUTE(TRIM(G735),".",""),"/",""),"-","")," ",""),"(",""),")",""),"+",""))</f>
      </c>
      <c r="U735" s="6">
        <f>IF(T735="","",IF(LEN(T735)&lt;&gt;14,"ERRO: "&amp;LEN(T735)&amp;" dígitos",IF(NOT(ISNUMBER(VALUE(T735))),"ERRO: não numérico",IF(LEN(SUBSTITUTE(T735,LEFT(T735,1),""))=0,"ERRO: dígitos repetidos",IF(AND(VALUE(MID(T735,13,1))=IF(MOD(SUMPRODUCT(--MID(T735,{1,2,3,4,5,6,7,8,9,10,11,12},1),{5,4,3,2,9,8,7,6,5,4,3,2}),11)&lt;2,0,11-MOD(SUMPRODUCT(--MID(T735,{1,2,3,4,5,6,7,8,9,10,11,12},1),{5,4,3,2,9,8,7,6,5,4,3,2}),11)),VALUE(MID(T735,14,1))=IF(MOD(SUMPRODUCT(--MID(T735,{1,2,3,4,5,6,7,8,9,10,11,12,13},1),{6,5,4,3,2,9,8,7,6,5,4,3,2}),11)&lt;2,0,11-MOD(SUMPRODUCT(--MID(T735,{1,2,3,4,5,6,7,8,9,10,11,12,13},1),{6,5,4,3,2,9,8,7,6,5,4,3,2}),11))),"OK","ERRO: dígito verificador")))))</f>
      </c>
      <c r="V735" s="6">
        <f>IF(T735="","",IF(COUNTIF($T$2:$T$1001,T735)&gt;1,"DUPLICADO","OK"))</f>
      </c>
      <c r="W735" s="6">
        <f>IF(M735="","vazio",IF(OR(AND(LEN(SUBSTITUTE(SUBSTITUTE(SUBSTITUTE(SUBSTITUTE(SUBSTITUTE(SUBSTITUTE(SUBSTITUTE(TRIM(M735),".",""),"/",""),"-","")," ",""),"(",""),")",""),"+",""))=10,LEFT(SUBSTITUTE(SUBSTITUTE(SUBSTITUTE(SUBSTITUTE(SUBSTITUTE(SUBSTITUTE(SUBSTITUTE(TRIM(M735),".",""),"/",""),"-","")," ",""),"(",""),")",""),"+",""),1)&lt;&gt;"0"),AND(LEN(SUBSTITUTE(SUBSTITUTE(SUBSTITUTE(SUBSTITUTE(SUBSTITUTE(SUBSTITUTE(SUBSTITUTE(TRIM(M735),".",""),"/",""),"-","")," ",""),"(",""),")",""),"+",""))=11,LEFT(SUBSTITUTE(SUBSTITUTE(SUBSTITUTE(SUBSTITUTE(SUBSTITUTE(SUBSTITUTE(SUBSTITUTE(TRIM(M735),".",""),"/",""),"-","")," ",""),"(",""),")",""),"+",""),4)="0800")),"OK",IF(AND(LEN(SUBSTITUTE(SUBSTITUTE(SUBSTITUTE(SUBSTITUTE(SUBSTITUTE(SUBSTITUTE(SUBSTITUTE(TRIM(M735),".",""),"/",""),"-","")," ",""),"(",""),")",""),"+",""))=11,MID(SUBSTITUTE(SUBSTITUTE(SUBSTITUTE(SUBSTITUTE(SUBSTITUTE(SUBSTITUTE(SUBSTITUTE(TRIM(M735),".",""),"/",""),"-","")," ",""),"(",""),")",""),"+",""),3,1)="9"),"ERRO: é celular, use a coluna Celular","ERRO: DDD + 8 dígitos ou 0800 + 7")))</f>
      </c>
      <c r="X735" s="6">
        <f>IF(N735="","vazio",IF(AND(LEN(SUBSTITUTE(SUBSTITUTE(SUBSTITUTE(SUBSTITUTE(SUBSTITUTE(SUBSTITUTE(SUBSTITUTE(TRIM(N735),".",""),"/",""),"-","")," ",""),"(",""),")",""),"+",""))=11,MID(SUBSTITUTE(SUBSTITUTE(SUBSTITUTE(SUBSTITUTE(SUBSTITUTE(SUBSTITUTE(SUBSTITUTE(TRIM(N735),".",""),"/",""),"-","")," ",""),"(",""),")",""),"+",""),3,1)="9",LEFT(SUBSTITUTE(SUBSTITUTE(SUBSTITUTE(SUBSTITUTE(SUBSTITUTE(SUBSTITUTE(SUBSTITUTE(TRIM(N735),".",""),"/",""),"-","")," ",""),"(",""),")",""),"+",""),1)&lt;&gt;"0"),"OK",IF(LEN(SUBSTITUTE(SUBSTITUTE(SUBSTITUTE(SUBSTITUTE(SUBSTITUTE(SUBSTITUTE(SUBSTITUTE(TRIM(N735),".",""),"/",""),"-","")," ",""),"(",""),")",""),"+",""))=10,"ERRO: é fixo (ou falta o 9), use a coluna Telefone fixo","ERRO: DDD + 9 + 8 dígitos")))</f>
      </c>
      <c r="Y735" s="6">
        <f>IF(O735="","vazio",IF(AND(ISNUMBER(FIND("@",O735)),ISNUMBER(FIND(".",MID(O735,FIND("@",O735),99))),NOT(ISNUMBER(FIND(" ",TRIM(O735)))),NOT(ISNUMBER(FIND(";",O735))),NOT(ISNUMBER(FIND(",",O735)))),"OK","ERRO: um e-mail válido por linha"))</f>
      </c>
      <c r="Z735" s="6">
        <f>IF(AND(J735="",K735=""),"",IF(AND(J735&lt;&gt;"",K735&lt;&gt;""),"OK","pendente: só um nome (o GR completa ao converter)"))</f>
      </c>
      <c r="AA735" s="6">
        <f>IF(COUNTA(A735:S735)=0,"",IF(AND(A735&lt;&gt;"",B735&lt;&gt;"",C735&lt;&gt;"",D735&lt;&gt;"",E735&lt;&gt;"",F735&lt;&gt;"",G735&lt;&gt;"",H735&lt;&gt;"",OR(J735&lt;&gt;"",K735&lt;&gt;""),OR(M735&lt;&gt;"",N735&lt;&gt;"",O735&lt;&gt;"")),"OK","ERRO: faltam "&amp;IF(A735="","SDR; ","")&amp;IF(B735="","Proprietário; ","")&amp;IF(C735="","Origem; ","")&amp;IF(D735="","Temperatura; ","")&amp;IF(E735="","Segmento; ","")&amp;IF(F735="","Time/Cluster; ","")&amp;IF(G735="","CNPJ; ","")&amp;IF(H735="","Razão Social; ","")&amp;IF(AND(J735="",K735=""),"nome do contato; ","")&amp;IF(AND(M735="",N735="",O735=""),"telefone, celular ou e-mail; ","")))</f>
      </c>
      <c r="AB735" s="6">
        <f>IF(COUNTA(A735:S735)=0,"",IF(AND(U735="OK",V735="OK",LEFT(W735,4)&lt;&gt;"ERRO",LEFT(X735,4)&lt;&gt;"ERRO",LEFT(Y735,4)&lt;&gt;"ERRO",AA735="OK"),"OK","REVISAR"))</f>
      </c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5"/>
      <c r="K736" s="4"/>
      <c r="L736" s="4"/>
      <c r="M736" s="4"/>
      <c r="N736" s="4"/>
      <c r="O736" s="4"/>
      <c r="P736" s="4"/>
      <c r="Q736" s="4"/>
      <c r="R736" s="4"/>
      <c r="S736" s="4"/>
      <c r="T736" s="6">
        <f>IF(G736="","",SUBSTITUTE(SUBSTITUTE(SUBSTITUTE(SUBSTITUTE(SUBSTITUTE(SUBSTITUTE(SUBSTITUTE(TRIM(G736),".",""),"/",""),"-","")," ",""),"(",""),")",""),"+",""))</f>
      </c>
      <c r="U736" s="6">
        <f>IF(T736="","",IF(LEN(T736)&lt;&gt;14,"ERRO: "&amp;LEN(T736)&amp;" dígitos",IF(NOT(ISNUMBER(VALUE(T736))),"ERRO: não numérico",IF(LEN(SUBSTITUTE(T736,LEFT(T736,1),""))=0,"ERRO: dígitos repetidos",IF(AND(VALUE(MID(T736,13,1))=IF(MOD(SUMPRODUCT(--MID(T736,{1,2,3,4,5,6,7,8,9,10,11,12},1),{5,4,3,2,9,8,7,6,5,4,3,2}),11)&lt;2,0,11-MOD(SUMPRODUCT(--MID(T736,{1,2,3,4,5,6,7,8,9,10,11,12},1),{5,4,3,2,9,8,7,6,5,4,3,2}),11)),VALUE(MID(T736,14,1))=IF(MOD(SUMPRODUCT(--MID(T736,{1,2,3,4,5,6,7,8,9,10,11,12,13},1),{6,5,4,3,2,9,8,7,6,5,4,3,2}),11)&lt;2,0,11-MOD(SUMPRODUCT(--MID(T736,{1,2,3,4,5,6,7,8,9,10,11,12,13},1),{6,5,4,3,2,9,8,7,6,5,4,3,2}),11))),"OK","ERRO: dígito verificador")))))</f>
      </c>
      <c r="V736" s="6">
        <f>IF(T736="","",IF(COUNTIF($T$2:$T$1001,T736)&gt;1,"DUPLICADO","OK"))</f>
      </c>
      <c r="W736" s="6">
        <f>IF(M736="","vazio",IF(OR(AND(LEN(SUBSTITUTE(SUBSTITUTE(SUBSTITUTE(SUBSTITUTE(SUBSTITUTE(SUBSTITUTE(SUBSTITUTE(TRIM(M736),".",""),"/",""),"-","")," ",""),"(",""),")",""),"+",""))=10,LEFT(SUBSTITUTE(SUBSTITUTE(SUBSTITUTE(SUBSTITUTE(SUBSTITUTE(SUBSTITUTE(SUBSTITUTE(TRIM(M736),".",""),"/",""),"-","")," ",""),"(",""),")",""),"+",""),1)&lt;&gt;"0"),AND(LEN(SUBSTITUTE(SUBSTITUTE(SUBSTITUTE(SUBSTITUTE(SUBSTITUTE(SUBSTITUTE(SUBSTITUTE(TRIM(M736),".",""),"/",""),"-","")," ",""),"(",""),")",""),"+",""))=11,LEFT(SUBSTITUTE(SUBSTITUTE(SUBSTITUTE(SUBSTITUTE(SUBSTITUTE(SUBSTITUTE(SUBSTITUTE(TRIM(M736),".",""),"/",""),"-","")," ",""),"(",""),")",""),"+",""),4)="0800")),"OK",IF(AND(LEN(SUBSTITUTE(SUBSTITUTE(SUBSTITUTE(SUBSTITUTE(SUBSTITUTE(SUBSTITUTE(SUBSTITUTE(TRIM(M736),".",""),"/",""),"-","")," ",""),"(",""),")",""),"+",""))=11,MID(SUBSTITUTE(SUBSTITUTE(SUBSTITUTE(SUBSTITUTE(SUBSTITUTE(SUBSTITUTE(SUBSTITUTE(TRIM(M736),".",""),"/",""),"-","")," ",""),"(",""),")",""),"+",""),3,1)="9"),"ERRO: é celular, use a coluna Celular","ERRO: DDD + 8 dígitos ou 0800 + 7")))</f>
      </c>
      <c r="X736" s="6">
        <f>IF(N736="","vazio",IF(AND(LEN(SUBSTITUTE(SUBSTITUTE(SUBSTITUTE(SUBSTITUTE(SUBSTITUTE(SUBSTITUTE(SUBSTITUTE(TRIM(N736),".",""),"/",""),"-","")," ",""),"(",""),")",""),"+",""))=11,MID(SUBSTITUTE(SUBSTITUTE(SUBSTITUTE(SUBSTITUTE(SUBSTITUTE(SUBSTITUTE(SUBSTITUTE(TRIM(N736),".",""),"/",""),"-","")," ",""),"(",""),")",""),"+",""),3,1)="9",LEFT(SUBSTITUTE(SUBSTITUTE(SUBSTITUTE(SUBSTITUTE(SUBSTITUTE(SUBSTITUTE(SUBSTITUTE(TRIM(N736),".",""),"/",""),"-","")," ",""),"(",""),")",""),"+",""),1)&lt;&gt;"0"),"OK",IF(LEN(SUBSTITUTE(SUBSTITUTE(SUBSTITUTE(SUBSTITUTE(SUBSTITUTE(SUBSTITUTE(SUBSTITUTE(TRIM(N736),".",""),"/",""),"-","")," ",""),"(",""),")",""),"+",""))=10,"ERRO: é fixo (ou falta o 9), use a coluna Telefone fixo","ERRO: DDD + 9 + 8 dígitos")))</f>
      </c>
      <c r="Y736" s="6">
        <f>IF(O736="","vazio",IF(AND(ISNUMBER(FIND("@",O736)),ISNUMBER(FIND(".",MID(O736,FIND("@",O736),99))),NOT(ISNUMBER(FIND(" ",TRIM(O736)))),NOT(ISNUMBER(FIND(";",O736))),NOT(ISNUMBER(FIND(",",O736)))),"OK","ERRO: um e-mail válido por linha"))</f>
      </c>
      <c r="Z736" s="6">
        <f>IF(AND(J736="",K736=""),"",IF(AND(J736&lt;&gt;"",K736&lt;&gt;""),"OK","pendente: só um nome (o GR completa ao converter)"))</f>
      </c>
      <c r="AA736" s="6">
        <f>IF(COUNTA(A736:S736)=0,"",IF(AND(A736&lt;&gt;"",B736&lt;&gt;"",C736&lt;&gt;"",D736&lt;&gt;"",E736&lt;&gt;"",F736&lt;&gt;"",G736&lt;&gt;"",H736&lt;&gt;"",OR(J736&lt;&gt;"",K736&lt;&gt;""),OR(M736&lt;&gt;"",N736&lt;&gt;"",O736&lt;&gt;"")),"OK","ERRO: faltam "&amp;IF(A736="","SDR; ","")&amp;IF(B736="","Proprietário; ","")&amp;IF(C736="","Origem; ","")&amp;IF(D736="","Temperatura; ","")&amp;IF(E736="","Segmento; ","")&amp;IF(F736="","Time/Cluster; ","")&amp;IF(G736="","CNPJ; ","")&amp;IF(H736="","Razão Social; ","")&amp;IF(AND(J736="",K736=""),"nome do contato; ","")&amp;IF(AND(M736="",N736="",O736=""),"telefone, celular ou e-mail; ","")))</f>
      </c>
      <c r="AB736" s="6">
        <f>IF(COUNTA(A736:S736)=0,"",IF(AND(U736="OK",V736="OK",LEFT(W736,4)&lt;&gt;"ERRO",LEFT(X736,4)&lt;&gt;"ERRO",LEFT(Y736,4)&lt;&gt;"ERRO",AA736="OK"),"OK","REVISAR"))</f>
      </c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5"/>
      <c r="K737" s="4"/>
      <c r="L737" s="4"/>
      <c r="M737" s="4"/>
      <c r="N737" s="4"/>
      <c r="O737" s="4"/>
      <c r="P737" s="4"/>
      <c r="Q737" s="4"/>
      <c r="R737" s="4"/>
      <c r="S737" s="4"/>
      <c r="T737" s="6">
        <f>IF(G737="","",SUBSTITUTE(SUBSTITUTE(SUBSTITUTE(SUBSTITUTE(SUBSTITUTE(SUBSTITUTE(SUBSTITUTE(TRIM(G737),".",""),"/",""),"-","")," ",""),"(",""),")",""),"+",""))</f>
      </c>
      <c r="U737" s="6">
        <f>IF(T737="","",IF(LEN(T737)&lt;&gt;14,"ERRO: "&amp;LEN(T737)&amp;" dígitos",IF(NOT(ISNUMBER(VALUE(T737))),"ERRO: não numérico",IF(LEN(SUBSTITUTE(T737,LEFT(T737,1),""))=0,"ERRO: dígitos repetidos",IF(AND(VALUE(MID(T737,13,1))=IF(MOD(SUMPRODUCT(--MID(T737,{1,2,3,4,5,6,7,8,9,10,11,12},1),{5,4,3,2,9,8,7,6,5,4,3,2}),11)&lt;2,0,11-MOD(SUMPRODUCT(--MID(T737,{1,2,3,4,5,6,7,8,9,10,11,12},1),{5,4,3,2,9,8,7,6,5,4,3,2}),11)),VALUE(MID(T737,14,1))=IF(MOD(SUMPRODUCT(--MID(T737,{1,2,3,4,5,6,7,8,9,10,11,12,13},1),{6,5,4,3,2,9,8,7,6,5,4,3,2}),11)&lt;2,0,11-MOD(SUMPRODUCT(--MID(T737,{1,2,3,4,5,6,7,8,9,10,11,12,13},1),{6,5,4,3,2,9,8,7,6,5,4,3,2}),11))),"OK","ERRO: dígito verificador")))))</f>
      </c>
      <c r="V737" s="6">
        <f>IF(T737="","",IF(COUNTIF($T$2:$T$1001,T737)&gt;1,"DUPLICADO","OK"))</f>
      </c>
      <c r="W737" s="6">
        <f>IF(M737="","vazio",IF(OR(AND(LEN(SUBSTITUTE(SUBSTITUTE(SUBSTITUTE(SUBSTITUTE(SUBSTITUTE(SUBSTITUTE(SUBSTITUTE(TRIM(M737),".",""),"/",""),"-","")," ",""),"(",""),")",""),"+",""))=10,LEFT(SUBSTITUTE(SUBSTITUTE(SUBSTITUTE(SUBSTITUTE(SUBSTITUTE(SUBSTITUTE(SUBSTITUTE(TRIM(M737),".",""),"/",""),"-","")," ",""),"(",""),")",""),"+",""),1)&lt;&gt;"0"),AND(LEN(SUBSTITUTE(SUBSTITUTE(SUBSTITUTE(SUBSTITUTE(SUBSTITUTE(SUBSTITUTE(SUBSTITUTE(TRIM(M737),".",""),"/",""),"-","")," ",""),"(",""),")",""),"+",""))=11,LEFT(SUBSTITUTE(SUBSTITUTE(SUBSTITUTE(SUBSTITUTE(SUBSTITUTE(SUBSTITUTE(SUBSTITUTE(TRIM(M737),".",""),"/",""),"-","")," ",""),"(",""),")",""),"+",""),4)="0800")),"OK",IF(AND(LEN(SUBSTITUTE(SUBSTITUTE(SUBSTITUTE(SUBSTITUTE(SUBSTITUTE(SUBSTITUTE(SUBSTITUTE(TRIM(M737),".",""),"/",""),"-","")," ",""),"(",""),")",""),"+",""))=11,MID(SUBSTITUTE(SUBSTITUTE(SUBSTITUTE(SUBSTITUTE(SUBSTITUTE(SUBSTITUTE(SUBSTITUTE(TRIM(M737),".",""),"/",""),"-","")," ",""),"(",""),")",""),"+",""),3,1)="9"),"ERRO: é celular, use a coluna Celular","ERRO: DDD + 8 dígitos ou 0800 + 7")))</f>
      </c>
      <c r="X737" s="6">
        <f>IF(N737="","vazio",IF(AND(LEN(SUBSTITUTE(SUBSTITUTE(SUBSTITUTE(SUBSTITUTE(SUBSTITUTE(SUBSTITUTE(SUBSTITUTE(TRIM(N737),".",""),"/",""),"-","")," ",""),"(",""),")",""),"+",""))=11,MID(SUBSTITUTE(SUBSTITUTE(SUBSTITUTE(SUBSTITUTE(SUBSTITUTE(SUBSTITUTE(SUBSTITUTE(TRIM(N737),".",""),"/",""),"-","")," ",""),"(",""),")",""),"+",""),3,1)="9",LEFT(SUBSTITUTE(SUBSTITUTE(SUBSTITUTE(SUBSTITUTE(SUBSTITUTE(SUBSTITUTE(SUBSTITUTE(TRIM(N737),".",""),"/",""),"-","")," ",""),"(",""),")",""),"+",""),1)&lt;&gt;"0"),"OK",IF(LEN(SUBSTITUTE(SUBSTITUTE(SUBSTITUTE(SUBSTITUTE(SUBSTITUTE(SUBSTITUTE(SUBSTITUTE(TRIM(N737),".",""),"/",""),"-","")," ",""),"(",""),")",""),"+",""))=10,"ERRO: é fixo (ou falta o 9), use a coluna Telefone fixo","ERRO: DDD + 9 + 8 dígitos")))</f>
      </c>
      <c r="Y737" s="6">
        <f>IF(O737="","vazio",IF(AND(ISNUMBER(FIND("@",O737)),ISNUMBER(FIND(".",MID(O737,FIND("@",O737),99))),NOT(ISNUMBER(FIND(" ",TRIM(O737)))),NOT(ISNUMBER(FIND(";",O737))),NOT(ISNUMBER(FIND(",",O737)))),"OK","ERRO: um e-mail válido por linha"))</f>
      </c>
      <c r="Z737" s="6">
        <f>IF(AND(J737="",K737=""),"",IF(AND(J737&lt;&gt;"",K737&lt;&gt;""),"OK","pendente: só um nome (o GR completa ao converter)"))</f>
      </c>
      <c r="AA737" s="6">
        <f>IF(COUNTA(A737:S737)=0,"",IF(AND(A737&lt;&gt;"",B737&lt;&gt;"",C737&lt;&gt;"",D737&lt;&gt;"",E737&lt;&gt;"",F737&lt;&gt;"",G737&lt;&gt;"",H737&lt;&gt;"",OR(J737&lt;&gt;"",K737&lt;&gt;""),OR(M737&lt;&gt;"",N737&lt;&gt;"",O737&lt;&gt;"")),"OK","ERRO: faltam "&amp;IF(A737="","SDR; ","")&amp;IF(B737="","Proprietário; ","")&amp;IF(C737="","Origem; ","")&amp;IF(D737="","Temperatura; ","")&amp;IF(E737="","Segmento; ","")&amp;IF(F737="","Time/Cluster; ","")&amp;IF(G737="","CNPJ; ","")&amp;IF(H737="","Razão Social; ","")&amp;IF(AND(J737="",K737=""),"nome do contato; ","")&amp;IF(AND(M737="",N737="",O737=""),"telefone, celular ou e-mail; ","")))</f>
      </c>
      <c r="AB737" s="6">
        <f>IF(COUNTA(A737:S737)=0,"",IF(AND(U737="OK",V737="OK",LEFT(W737,4)&lt;&gt;"ERRO",LEFT(X737,4)&lt;&gt;"ERRO",LEFT(Y737,4)&lt;&gt;"ERRO",AA737="OK"),"OK","REVISAR"))</f>
      </c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5"/>
      <c r="K738" s="4"/>
      <c r="L738" s="4"/>
      <c r="M738" s="4"/>
      <c r="N738" s="4"/>
      <c r="O738" s="4"/>
      <c r="P738" s="4"/>
      <c r="Q738" s="4"/>
      <c r="R738" s="4"/>
      <c r="S738" s="4"/>
      <c r="T738" s="6">
        <f>IF(G738="","",SUBSTITUTE(SUBSTITUTE(SUBSTITUTE(SUBSTITUTE(SUBSTITUTE(SUBSTITUTE(SUBSTITUTE(TRIM(G738),".",""),"/",""),"-","")," ",""),"(",""),")",""),"+",""))</f>
      </c>
      <c r="U738" s="6">
        <f>IF(T738="","",IF(LEN(T738)&lt;&gt;14,"ERRO: "&amp;LEN(T738)&amp;" dígitos",IF(NOT(ISNUMBER(VALUE(T738))),"ERRO: não numérico",IF(LEN(SUBSTITUTE(T738,LEFT(T738,1),""))=0,"ERRO: dígitos repetidos",IF(AND(VALUE(MID(T738,13,1))=IF(MOD(SUMPRODUCT(--MID(T738,{1,2,3,4,5,6,7,8,9,10,11,12},1),{5,4,3,2,9,8,7,6,5,4,3,2}),11)&lt;2,0,11-MOD(SUMPRODUCT(--MID(T738,{1,2,3,4,5,6,7,8,9,10,11,12},1),{5,4,3,2,9,8,7,6,5,4,3,2}),11)),VALUE(MID(T738,14,1))=IF(MOD(SUMPRODUCT(--MID(T738,{1,2,3,4,5,6,7,8,9,10,11,12,13},1),{6,5,4,3,2,9,8,7,6,5,4,3,2}),11)&lt;2,0,11-MOD(SUMPRODUCT(--MID(T738,{1,2,3,4,5,6,7,8,9,10,11,12,13},1),{6,5,4,3,2,9,8,7,6,5,4,3,2}),11))),"OK","ERRO: dígito verificador")))))</f>
      </c>
      <c r="V738" s="6">
        <f>IF(T738="","",IF(COUNTIF($T$2:$T$1001,T738)&gt;1,"DUPLICADO","OK"))</f>
      </c>
      <c r="W738" s="6">
        <f>IF(M738="","vazio",IF(OR(AND(LEN(SUBSTITUTE(SUBSTITUTE(SUBSTITUTE(SUBSTITUTE(SUBSTITUTE(SUBSTITUTE(SUBSTITUTE(TRIM(M738),".",""),"/",""),"-","")," ",""),"(",""),")",""),"+",""))=10,LEFT(SUBSTITUTE(SUBSTITUTE(SUBSTITUTE(SUBSTITUTE(SUBSTITUTE(SUBSTITUTE(SUBSTITUTE(TRIM(M738),".",""),"/",""),"-","")," ",""),"(",""),")",""),"+",""),1)&lt;&gt;"0"),AND(LEN(SUBSTITUTE(SUBSTITUTE(SUBSTITUTE(SUBSTITUTE(SUBSTITUTE(SUBSTITUTE(SUBSTITUTE(TRIM(M738),".",""),"/",""),"-","")," ",""),"(",""),")",""),"+",""))=11,LEFT(SUBSTITUTE(SUBSTITUTE(SUBSTITUTE(SUBSTITUTE(SUBSTITUTE(SUBSTITUTE(SUBSTITUTE(TRIM(M738),".",""),"/",""),"-","")," ",""),"(",""),")",""),"+",""),4)="0800")),"OK",IF(AND(LEN(SUBSTITUTE(SUBSTITUTE(SUBSTITUTE(SUBSTITUTE(SUBSTITUTE(SUBSTITUTE(SUBSTITUTE(TRIM(M738),".",""),"/",""),"-","")," ",""),"(",""),")",""),"+",""))=11,MID(SUBSTITUTE(SUBSTITUTE(SUBSTITUTE(SUBSTITUTE(SUBSTITUTE(SUBSTITUTE(SUBSTITUTE(TRIM(M738),".",""),"/",""),"-","")," ",""),"(",""),")",""),"+",""),3,1)="9"),"ERRO: é celular, use a coluna Celular","ERRO: DDD + 8 dígitos ou 0800 + 7")))</f>
      </c>
      <c r="X738" s="6">
        <f>IF(N738="","vazio",IF(AND(LEN(SUBSTITUTE(SUBSTITUTE(SUBSTITUTE(SUBSTITUTE(SUBSTITUTE(SUBSTITUTE(SUBSTITUTE(TRIM(N738),".",""),"/",""),"-","")," ",""),"(",""),")",""),"+",""))=11,MID(SUBSTITUTE(SUBSTITUTE(SUBSTITUTE(SUBSTITUTE(SUBSTITUTE(SUBSTITUTE(SUBSTITUTE(TRIM(N738),".",""),"/",""),"-","")," ",""),"(",""),")",""),"+",""),3,1)="9",LEFT(SUBSTITUTE(SUBSTITUTE(SUBSTITUTE(SUBSTITUTE(SUBSTITUTE(SUBSTITUTE(SUBSTITUTE(TRIM(N738),".",""),"/",""),"-","")," ",""),"(",""),")",""),"+",""),1)&lt;&gt;"0"),"OK",IF(LEN(SUBSTITUTE(SUBSTITUTE(SUBSTITUTE(SUBSTITUTE(SUBSTITUTE(SUBSTITUTE(SUBSTITUTE(TRIM(N738),".",""),"/",""),"-","")," ",""),"(",""),")",""),"+",""))=10,"ERRO: é fixo (ou falta o 9), use a coluna Telefone fixo","ERRO: DDD + 9 + 8 dígitos")))</f>
      </c>
      <c r="Y738" s="6">
        <f>IF(O738="","vazio",IF(AND(ISNUMBER(FIND("@",O738)),ISNUMBER(FIND(".",MID(O738,FIND("@",O738),99))),NOT(ISNUMBER(FIND(" ",TRIM(O738)))),NOT(ISNUMBER(FIND(";",O738))),NOT(ISNUMBER(FIND(",",O738)))),"OK","ERRO: um e-mail válido por linha"))</f>
      </c>
      <c r="Z738" s="6">
        <f>IF(AND(J738="",K738=""),"",IF(AND(J738&lt;&gt;"",K738&lt;&gt;""),"OK","pendente: só um nome (o GR completa ao converter)"))</f>
      </c>
      <c r="AA738" s="6">
        <f>IF(COUNTA(A738:S738)=0,"",IF(AND(A738&lt;&gt;"",B738&lt;&gt;"",C738&lt;&gt;"",D738&lt;&gt;"",E738&lt;&gt;"",F738&lt;&gt;"",G738&lt;&gt;"",H738&lt;&gt;"",OR(J738&lt;&gt;"",K738&lt;&gt;""),OR(M738&lt;&gt;"",N738&lt;&gt;"",O738&lt;&gt;"")),"OK","ERRO: faltam "&amp;IF(A738="","SDR; ","")&amp;IF(B738="","Proprietário; ","")&amp;IF(C738="","Origem; ","")&amp;IF(D738="","Temperatura; ","")&amp;IF(E738="","Segmento; ","")&amp;IF(F738="","Time/Cluster; ","")&amp;IF(G738="","CNPJ; ","")&amp;IF(H738="","Razão Social; ","")&amp;IF(AND(J738="",K738=""),"nome do contato; ","")&amp;IF(AND(M738="",N738="",O738=""),"telefone, celular ou e-mail; ","")))</f>
      </c>
      <c r="AB738" s="6">
        <f>IF(COUNTA(A738:S738)=0,"",IF(AND(U738="OK",V738="OK",LEFT(W738,4)&lt;&gt;"ERRO",LEFT(X738,4)&lt;&gt;"ERRO",LEFT(Y738,4)&lt;&gt;"ERRO",AA738="OK"),"OK","REVISAR"))</f>
      </c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5"/>
      <c r="K739" s="4"/>
      <c r="L739" s="4"/>
      <c r="M739" s="4"/>
      <c r="N739" s="4"/>
      <c r="O739" s="4"/>
      <c r="P739" s="4"/>
      <c r="Q739" s="4"/>
      <c r="R739" s="4"/>
      <c r="S739" s="4"/>
      <c r="T739" s="6">
        <f>IF(G739="","",SUBSTITUTE(SUBSTITUTE(SUBSTITUTE(SUBSTITUTE(SUBSTITUTE(SUBSTITUTE(SUBSTITUTE(TRIM(G739),".",""),"/",""),"-","")," ",""),"(",""),")",""),"+",""))</f>
      </c>
      <c r="U739" s="6">
        <f>IF(T739="","",IF(LEN(T739)&lt;&gt;14,"ERRO: "&amp;LEN(T739)&amp;" dígitos",IF(NOT(ISNUMBER(VALUE(T739))),"ERRO: não numérico",IF(LEN(SUBSTITUTE(T739,LEFT(T739,1),""))=0,"ERRO: dígitos repetidos",IF(AND(VALUE(MID(T739,13,1))=IF(MOD(SUMPRODUCT(--MID(T739,{1,2,3,4,5,6,7,8,9,10,11,12},1),{5,4,3,2,9,8,7,6,5,4,3,2}),11)&lt;2,0,11-MOD(SUMPRODUCT(--MID(T739,{1,2,3,4,5,6,7,8,9,10,11,12},1),{5,4,3,2,9,8,7,6,5,4,3,2}),11)),VALUE(MID(T739,14,1))=IF(MOD(SUMPRODUCT(--MID(T739,{1,2,3,4,5,6,7,8,9,10,11,12,13},1),{6,5,4,3,2,9,8,7,6,5,4,3,2}),11)&lt;2,0,11-MOD(SUMPRODUCT(--MID(T739,{1,2,3,4,5,6,7,8,9,10,11,12,13},1),{6,5,4,3,2,9,8,7,6,5,4,3,2}),11))),"OK","ERRO: dígito verificador")))))</f>
      </c>
      <c r="V739" s="6">
        <f>IF(T739="","",IF(COUNTIF($T$2:$T$1001,T739)&gt;1,"DUPLICADO","OK"))</f>
      </c>
      <c r="W739" s="6">
        <f>IF(M739="","vazio",IF(OR(AND(LEN(SUBSTITUTE(SUBSTITUTE(SUBSTITUTE(SUBSTITUTE(SUBSTITUTE(SUBSTITUTE(SUBSTITUTE(TRIM(M739),".",""),"/",""),"-","")," ",""),"(",""),")",""),"+",""))=10,LEFT(SUBSTITUTE(SUBSTITUTE(SUBSTITUTE(SUBSTITUTE(SUBSTITUTE(SUBSTITUTE(SUBSTITUTE(TRIM(M739),".",""),"/",""),"-","")," ",""),"(",""),")",""),"+",""),1)&lt;&gt;"0"),AND(LEN(SUBSTITUTE(SUBSTITUTE(SUBSTITUTE(SUBSTITUTE(SUBSTITUTE(SUBSTITUTE(SUBSTITUTE(TRIM(M739),".",""),"/",""),"-","")," ",""),"(",""),")",""),"+",""))=11,LEFT(SUBSTITUTE(SUBSTITUTE(SUBSTITUTE(SUBSTITUTE(SUBSTITUTE(SUBSTITUTE(SUBSTITUTE(TRIM(M739),".",""),"/",""),"-","")," ",""),"(",""),")",""),"+",""),4)="0800")),"OK",IF(AND(LEN(SUBSTITUTE(SUBSTITUTE(SUBSTITUTE(SUBSTITUTE(SUBSTITUTE(SUBSTITUTE(SUBSTITUTE(TRIM(M739),".",""),"/",""),"-","")," ",""),"(",""),")",""),"+",""))=11,MID(SUBSTITUTE(SUBSTITUTE(SUBSTITUTE(SUBSTITUTE(SUBSTITUTE(SUBSTITUTE(SUBSTITUTE(TRIM(M739),".",""),"/",""),"-","")," ",""),"(",""),")",""),"+",""),3,1)="9"),"ERRO: é celular, use a coluna Celular","ERRO: DDD + 8 dígitos ou 0800 + 7")))</f>
      </c>
      <c r="X739" s="6">
        <f>IF(N739="","vazio",IF(AND(LEN(SUBSTITUTE(SUBSTITUTE(SUBSTITUTE(SUBSTITUTE(SUBSTITUTE(SUBSTITUTE(SUBSTITUTE(TRIM(N739),".",""),"/",""),"-","")," ",""),"(",""),")",""),"+",""))=11,MID(SUBSTITUTE(SUBSTITUTE(SUBSTITUTE(SUBSTITUTE(SUBSTITUTE(SUBSTITUTE(SUBSTITUTE(TRIM(N739),".",""),"/",""),"-","")," ",""),"(",""),")",""),"+",""),3,1)="9",LEFT(SUBSTITUTE(SUBSTITUTE(SUBSTITUTE(SUBSTITUTE(SUBSTITUTE(SUBSTITUTE(SUBSTITUTE(TRIM(N739),".",""),"/",""),"-","")," ",""),"(",""),")",""),"+",""),1)&lt;&gt;"0"),"OK",IF(LEN(SUBSTITUTE(SUBSTITUTE(SUBSTITUTE(SUBSTITUTE(SUBSTITUTE(SUBSTITUTE(SUBSTITUTE(TRIM(N739),".",""),"/",""),"-","")," ",""),"(",""),")",""),"+",""))=10,"ERRO: é fixo (ou falta o 9), use a coluna Telefone fixo","ERRO: DDD + 9 + 8 dígitos")))</f>
      </c>
      <c r="Y739" s="6">
        <f>IF(O739="","vazio",IF(AND(ISNUMBER(FIND("@",O739)),ISNUMBER(FIND(".",MID(O739,FIND("@",O739),99))),NOT(ISNUMBER(FIND(" ",TRIM(O739)))),NOT(ISNUMBER(FIND(";",O739))),NOT(ISNUMBER(FIND(",",O739)))),"OK","ERRO: um e-mail válido por linha"))</f>
      </c>
      <c r="Z739" s="6">
        <f>IF(AND(J739="",K739=""),"",IF(AND(J739&lt;&gt;"",K739&lt;&gt;""),"OK","pendente: só um nome (o GR completa ao converter)"))</f>
      </c>
      <c r="AA739" s="6">
        <f>IF(COUNTA(A739:S739)=0,"",IF(AND(A739&lt;&gt;"",B739&lt;&gt;"",C739&lt;&gt;"",D739&lt;&gt;"",E739&lt;&gt;"",F739&lt;&gt;"",G739&lt;&gt;"",H739&lt;&gt;"",OR(J739&lt;&gt;"",K739&lt;&gt;""),OR(M739&lt;&gt;"",N739&lt;&gt;"",O739&lt;&gt;"")),"OK","ERRO: faltam "&amp;IF(A739="","SDR; ","")&amp;IF(B739="","Proprietário; ","")&amp;IF(C739="","Origem; ","")&amp;IF(D739="","Temperatura; ","")&amp;IF(E739="","Segmento; ","")&amp;IF(F739="","Time/Cluster; ","")&amp;IF(G739="","CNPJ; ","")&amp;IF(H739="","Razão Social; ","")&amp;IF(AND(J739="",K739=""),"nome do contato; ","")&amp;IF(AND(M739="",N739="",O739=""),"telefone, celular ou e-mail; ","")))</f>
      </c>
      <c r="AB739" s="6">
        <f>IF(COUNTA(A739:S739)=0,"",IF(AND(U739="OK",V739="OK",LEFT(W739,4)&lt;&gt;"ERRO",LEFT(X739,4)&lt;&gt;"ERRO",LEFT(Y739,4)&lt;&gt;"ERRO",AA739="OK"),"OK","REVISAR"))</f>
      </c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5"/>
      <c r="K740" s="4"/>
      <c r="L740" s="4"/>
      <c r="M740" s="4"/>
      <c r="N740" s="4"/>
      <c r="O740" s="4"/>
      <c r="P740" s="4"/>
      <c r="Q740" s="4"/>
      <c r="R740" s="4"/>
      <c r="S740" s="4"/>
      <c r="T740" s="6">
        <f>IF(G740="","",SUBSTITUTE(SUBSTITUTE(SUBSTITUTE(SUBSTITUTE(SUBSTITUTE(SUBSTITUTE(SUBSTITUTE(TRIM(G740),".",""),"/",""),"-","")," ",""),"(",""),")",""),"+",""))</f>
      </c>
      <c r="U740" s="6">
        <f>IF(T740="","",IF(LEN(T740)&lt;&gt;14,"ERRO: "&amp;LEN(T740)&amp;" dígitos",IF(NOT(ISNUMBER(VALUE(T740))),"ERRO: não numérico",IF(LEN(SUBSTITUTE(T740,LEFT(T740,1),""))=0,"ERRO: dígitos repetidos",IF(AND(VALUE(MID(T740,13,1))=IF(MOD(SUMPRODUCT(--MID(T740,{1,2,3,4,5,6,7,8,9,10,11,12},1),{5,4,3,2,9,8,7,6,5,4,3,2}),11)&lt;2,0,11-MOD(SUMPRODUCT(--MID(T740,{1,2,3,4,5,6,7,8,9,10,11,12},1),{5,4,3,2,9,8,7,6,5,4,3,2}),11)),VALUE(MID(T740,14,1))=IF(MOD(SUMPRODUCT(--MID(T740,{1,2,3,4,5,6,7,8,9,10,11,12,13},1),{6,5,4,3,2,9,8,7,6,5,4,3,2}),11)&lt;2,0,11-MOD(SUMPRODUCT(--MID(T740,{1,2,3,4,5,6,7,8,9,10,11,12,13},1),{6,5,4,3,2,9,8,7,6,5,4,3,2}),11))),"OK","ERRO: dígito verificador")))))</f>
      </c>
      <c r="V740" s="6">
        <f>IF(T740="","",IF(COUNTIF($T$2:$T$1001,T740)&gt;1,"DUPLICADO","OK"))</f>
      </c>
      <c r="W740" s="6">
        <f>IF(M740="","vazio",IF(OR(AND(LEN(SUBSTITUTE(SUBSTITUTE(SUBSTITUTE(SUBSTITUTE(SUBSTITUTE(SUBSTITUTE(SUBSTITUTE(TRIM(M740),".",""),"/",""),"-","")," ",""),"(",""),")",""),"+",""))=10,LEFT(SUBSTITUTE(SUBSTITUTE(SUBSTITUTE(SUBSTITUTE(SUBSTITUTE(SUBSTITUTE(SUBSTITUTE(TRIM(M740),".",""),"/",""),"-","")," ",""),"(",""),")",""),"+",""),1)&lt;&gt;"0"),AND(LEN(SUBSTITUTE(SUBSTITUTE(SUBSTITUTE(SUBSTITUTE(SUBSTITUTE(SUBSTITUTE(SUBSTITUTE(TRIM(M740),".",""),"/",""),"-","")," ",""),"(",""),")",""),"+",""))=11,LEFT(SUBSTITUTE(SUBSTITUTE(SUBSTITUTE(SUBSTITUTE(SUBSTITUTE(SUBSTITUTE(SUBSTITUTE(TRIM(M740),".",""),"/",""),"-","")," ",""),"(",""),")",""),"+",""),4)="0800")),"OK",IF(AND(LEN(SUBSTITUTE(SUBSTITUTE(SUBSTITUTE(SUBSTITUTE(SUBSTITUTE(SUBSTITUTE(SUBSTITUTE(TRIM(M740),".",""),"/",""),"-","")," ",""),"(",""),")",""),"+",""))=11,MID(SUBSTITUTE(SUBSTITUTE(SUBSTITUTE(SUBSTITUTE(SUBSTITUTE(SUBSTITUTE(SUBSTITUTE(TRIM(M740),".",""),"/",""),"-","")," ",""),"(",""),")",""),"+",""),3,1)="9"),"ERRO: é celular, use a coluna Celular","ERRO: DDD + 8 dígitos ou 0800 + 7")))</f>
      </c>
      <c r="X740" s="6">
        <f>IF(N740="","vazio",IF(AND(LEN(SUBSTITUTE(SUBSTITUTE(SUBSTITUTE(SUBSTITUTE(SUBSTITUTE(SUBSTITUTE(SUBSTITUTE(TRIM(N740),".",""),"/",""),"-","")," ",""),"(",""),")",""),"+",""))=11,MID(SUBSTITUTE(SUBSTITUTE(SUBSTITUTE(SUBSTITUTE(SUBSTITUTE(SUBSTITUTE(SUBSTITUTE(TRIM(N740),".",""),"/",""),"-","")," ",""),"(",""),")",""),"+",""),3,1)="9",LEFT(SUBSTITUTE(SUBSTITUTE(SUBSTITUTE(SUBSTITUTE(SUBSTITUTE(SUBSTITUTE(SUBSTITUTE(TRIM(N740),".",""),"/",""),"-","")," ",""),"(",""),")",""),"+",""),1)&lt;&gt;"0"),"OK",IF(LEN(SUBSTITUTE(SUBSTITUTE(SUBSTITUTE(SUBSTITUTE(SUBSTITUTE(SUBSTITUTE(SUBSTITUTE(TRIM(N740),".",""),"/",""),"-","")," ",""),"(",""),")",""),"+",""))=10,"ERRO: é fixo (ou falta o 9), use a coluna Telefone fixo","ERRO: DDD + 9 + 8 dígitos")))</f>
      </c>
      <c r="Y740" s="6">
        <f>IF(O740="","vazio",IF(AND(ISNUMBER(FIND("@",O740)),ISNUMBER(FIND(".",MID(O740,FIND("@",O740),99))),NOT(ISNUMBER(FIND(" ",TRIM(O740)))),NOT(ISNUMBER(FIND(";",O740))),NOT(ISNUMBER(FIND(",",O740)))),"OK","ERRO: um e-mail válido por linha"))</f>
      </c>
      <c r="Z740" s="6">
        <f>IF(AND(J740="",K740=""),"",IF(AND(J740&lt;&gt;"",K740&lt;&gt;""),"OK","pendente: só um nome (o GR completa ao converter)"))</f>
      </c>
      <c r="AA740" s="6">
        <f>IF(COUNTA(A740:S740)=0,"",IF(AND(A740&lt;&gt;"",B740&lt;&gt;"",C740&lt;&gt;"",D740&lt;&gt;"",E740&lt;&gt;"",F740&lt;&gt;"",G740&lt;&gt;"",H740&lt;&gt;"",OR(J740&lt;&gt;"",K740&lt;&gt;""),OR(M740&lt;&gt;"",N740&lt;&gt;"",O740&lt;&gt;"")),"OK","ERRO: faltam "&amp;IF(A740="","SDR; ","")&amp;IF(B740="","Proprietário; ","")&amp;IF(C740="","Origem; ","")&amp;IF(D740="","Temperatura; ","")&amp;IF(E740="","Segmento; ","")&amp;IF(F740="","Time/Cluster; ","")&amp;IF(G740="","CNPJ; ","")&amp;IF(H740="","Razão Social; ","")&amp;IF(AND(J740="",K740=""),"nome do contato; ","")&amp;IF(AND(M740="",N740="",O740=""),"telefone, celular ou e-mail; ","")))</f>
      </c>
      <c r="AB740" s="6">
        <f>IF(COUNTA(A740:S740)=0,"",IF(AND(U740="OK",V740="OK",LEFT(W740,4)&lt;&gt;"ERRO",LEFT(X740,4)&lt;&gt;"ERRO",LEFT(Y740,4)&lt;&gt;"ERRO",AA740="OK"),"OK","REVISAR"))</f>
      </c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5"/>
      <c r="K741" s="4"/>
      <c r="L741" s="4"/>
      <c r="M741" s="4"/>
      <c r="N741" s="4"/>
      <c r="O741" s="4"/>
      <c r="P741" s="4"/>
      <c r="Q741" s="4"/>
      <c r="R741" s="4"/>
      <c r="S741" s="4"/>
      <c r="T741" s="6">
        <f>IF(G741="","",SUBSTITUTE(SUBSTITUTE(SUBSTITUTE(SUBSTITUTE(SUBSTITUTE(SUBSTITUTE(SUBSTITUTE(TRIM(G741),".",""),"/",""),"-","")," ",""),"(",""),")",""),"+",""))</f>
      </c>
      <c r="U741" s="6">
        <f>IF(T741="","",IF(LEN(T741)&lt;&gt;14,"ERRO: "&amp;LEN(T741)&amp;" dígitos",IF(NOT(ISNUMBER(VALUE(T741))),"ERRO: não numérico",IF(LEN(SUBSTITUTE(T741,LEFT(T741,1),""))=0,"ERRO: dígitos repetidos",IF(AND(VALUE(MID(T741,13,1))=IF(MOD(SUMPRODUCT(--MID(T741,{1,2,3,4,5,6,7,8,9,10,11,12},1),{5,4,3,2,9,8,7,6,5,4,3,2}),11)&lt;2,0,11-MOD(SUMPRODUCT(--MID(T741,{1,2,3,4,5,6,7,8,9,10,11,12},1),{5,4,3,2,9,8,7,6,5,4,3,2}),11)),VALUE(MID(T741,14,1))=IF(MOD(SUMPRODUCT(--MID(T741,{1,2,3,4,5,6,7,8,9,10,11,12,13},1),{6,5,4,3,2,9,8,7,6,5,4,3,2}),11)&lt;2,0,11-MOD(SUMPRODUCT(--MID(T741,{1,2,3,4,5,6,7,8,9,10,11,12,13},1),{6,5,4,3,2,9,8,7,6,5,4,3,2}),11))),"OK","ERRO: dígito verificador")))))</f>
      </c>
      <c r="V741" s="6">
        <f>IF(T741="","",IF(COUNTIF($T$2:$T$1001,T741)&gt;1,"DUPLICADO","OK"))</f>
      </c>
      <c r="W741" s="6">
        <f>IF(M741="","vazio",IF(OR(AND(LEN(SUBSTITUTE(SUBSTITUTE(SUBSTITUTE(SUBSTITUTE(SUBSTITUTE(SUBSTITUTE(SUBSTITUTE(TRIM(M741),".",""),"/",""),"-","")," ",""),"(",""),")",""),"+",""))=10,LEFT(SUBSTITUTE(SUBSTITUTE(SUBSTITUTE(SUBSTITUTE(SUBSTITUTE(SUBSTITUTE(SUBSTITUTE(TRIM(M741),".",""),"/",""),"-","")," ",""),"(",""),")",""),"+",""),1)&lt;&gt;"0"),AND(LEN(SUBSTITUTE(SUBSTITUTE(SUBSTITUTE(SUBSTITUTE(SUBSTITUTE(SUBSTITUTE(SUBSTITUTE(TRIM(M741),".",""),"/",""),"-","")," ",""),"(",""),")",""),"+",""))=11,LEFT(SUBSTITUTE(SUBSTITUTE(SUBSTITUTE(SUBSTITUTE(SUBSTITUTE(SUBSTITUTE(SUBSTITUTE(TRIM(M741),".",""),"/",""),"-","")," ",""),"(",""),")",""),"+",""),4)="0800")),"OK",IF(AND(LEN(SUBSTITUTE(SUBSTITUTE(SUBSTITUTE(SUBSTITUTE(SUBSTITUTE(SUBSTITUTE(SUBSTITUTE(TRIM(M741),".",""),"/",""),"-","")," ",""),"(",""),")",""),"+",""))=11,MID(SUBSTITUTE(SUBSTITUTE(SUBSTITUTE(SUBSTITUTE(SUBSTITUTE(SUBSTITUTE(SUBSTITUTE(TRIM(M741),".",""),"/",""),"-","")," ",""),"(",""),")",""),"+",""),3,1)="9"),"ERRO: é celular, use a coluna Celular","ERRO: DDD + 8 dígitos ou 0800 + 7")))</f>
      </c>
      <c r="X741" s="6">
        <f>IF(N741="","vazio",IF(AND(LEN(SUBSTITUTE(SUBSTITUTE(SUBSTITUTE(SUBSTITUTE(SUBSTITUTE(SUBSTITUTE(SUBSTITUTE(TRIM(N741),".",""),"/",""),"-","")," ",""),"(",""),")",""),"+",""))=11,MID(SUBSTITUTE(SUBSTITUTE(SUBSTITUTE(SUBSTITUTE(SUBSTITUTE(SUBSTITUTE(SUBSTITUTE(TRIM(N741),".",""),"/",""),"-","")," ",""),"(",""),")",""),"+",""),3,1)="9",LEFT(SUBSTITUTE(SUBSTITUTE(SUBSTITUTE(SUBSTITUTE(SUBSTITUTE(SUBSTITUTE(SUBSTITUTE(TRIM(N741),".",""),"/",""),"-","")," ",""),"(",""),")",""),"+",""),1)&lt;&gt;"0"),"OK",IF(LEN(SUBSTITUTE(SUBSTITUTE(SUBSTITUTE(SUBSTITUTE(SUBSTITUTE(SUBSTITUTE(SUBSTITUTE(TRIM(N741),".",""),"/",""),"-","")," ",""),"(",""),")",""),"+",""))=10,"ERRO: é fixo (ou falta o 9), use a coluna Telefone fixo","ERRO: DDD + 9 + 8 dígitos")))</f>
      </c>
      <c r="Y741" s="6">
        <f>IF(O741="","vazio",IF(AND(ISNUMBER(FIND("@",O741)),ISNUMBER(FIND(".",MID(O741,FIND("@",O741),99))),NOT(ISNUMBER(FIND(" ",TRIM(O741)))),NOT(ISNUMBER(FIND(";",O741))),NOT(ISNUMBER(FIND(",",O741)))),"OK","ERRO: um e-mail válido por linha"))</f>
      </c>
      <c r="Z741" s="6">
        <f>IF(AND(J741="",K741=""),"",IF(AND(J741&lt;&gt;"",K741&lt;&gt;""),"OK","pendente: só um nome (o GR completa ao converter)"))</f>
      </c>
      <c r="AA741" s="6">
        <f>IF(COUNTA(A741:S741)=0,"",IF(AND(A741&lt;&gt;"",B741&lt;&gt;"",C741&lt;&gt;"",D741&lt;&gt;"",E741&lt;&gt;"",F741&lt;&gt;"",G741&lt;&gt;"",H741&lt;&gt;"",OR(J741&lt;&gt;"",K741&lt;&gt;""),OR(M741&lt;&gt;"",N741&lt;&gt;"",O741&lt;&gt;"")),"OK","ERRO: faltam "&amp;IF(A741="","SDR; ","")&amp;IF(B741="","Proprietário; ","")&amp;IF(C741="","Origem; ","")&amp;IF(D741="","Temperatura; ","")&amp;IF(E741="","Segmento; ","")&amp;IF(F741="","Time/Cluster; ","")&amp;IF(G741="","CNPJ; ","")&amp;IF(H741="","Razão Social; ","")&amp;IF(AND(J741="",K741=""),"nome do contato; ","")&amp;IF(AND(M741="",N741="",O741=""),"telefone, celular ou e-mail; ","")))</f>
      </c>
      <c r="AB741" s="6">
        <f>IF(COUNTA(A741:S741)=0,"",IF(AND(U741="OK",V741="OK",LEFT(W741,4)&lt;&gt;"ERRO",LEFT(X741,4)&lt;&gt;"ERRO",LEFT(Y741,4)&lt;&gt;"ERRO",AA741="OK"),"OK","REVISAR"))</f>
      </c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5"/>
      <c r="K742" s="4"/>
      <c r="L742" s="4"/>
      <c r="M742" s="4"/>
      <c r="N742" s="4"/>
      <c r="O742" s="4"/>
      <c r="P742" s="4"/>
      <c r="Q742" s="4"/>
      <c r="R742" s="4"/>
      <c r="S742" s="4"/>
      <c r="T742" s="6">
        <f>IF(G742="","",SUBSTITUTE(SUBSTITUTE(SUBSTITUTE(SUBSTITUTE(SUBSTITUTE(SUBSTITUTE(SUBSTITUTE(TRIM(G742),".",""),"/",""),"-","")," ",""),"(",""),")",""),"+",""))</f>
      </c>
      <c r="U742" s="6">
        <f>IF(T742="","",IF(LEN(T742)&lt;&gt;14,"ERRO: "&amp;LEN(T742)&amp;" dígitos",IF(NOT(ISNUMBER(VALUE(T742))),"ERRO: não numérico",IF(LEN(SUBSTITUTE(T742,LEFT(T742,1),""))=0,"ERRO: dígitos repetidos",IF(AND(VALUE(MID(T742,13,1))=IF(MOD(SUMPRODUCT(--MID(T742,{1,2,3,4,5,6,7,8,9,10,11,12},1),{5,4,3,2,9,8,7,6,5,4,3,2}),11)&lt;2,0,11-MOD(SUMPRODUCT(--MID(T742,{1,2,3,4,5,6,7,8,9,10,11,12},1),{5,4,3,2,9,8,7,6,5,4,3,2}),11)),VALUE(MID(T742,14,1))=IF(MOD(SUMPRODUCT(--MID(T742,{1,2,3,4,5,6,7,8,9,10,11,12,13},1),{6,5,4,3,2,9,8,7,6,5,4,3,2}),11)&lt;2,0,11-MOD(SUMPRODUCT(--MID(T742,{1,2,3,4,5,6,7,8,9,10,11,12,13},1),{6,5,4,3,2,9,8,7,6,5,4,3,2}),11))),"OK","ERRO: dígito verificador")))))</f>
      </c>
      <c r="V742" s="6">
        <f>IF(T742="","",IF(COUNTIF($T$2:$T$1001,T742)&gt;1,"DUPLICADO","OK"))</f>
      </c>
      <c r="W742" s="6">
        <f>IF(M742="","vazio",IF(OR(AND(LEN(SUBSTITUTE(SUBSTITUTE(SUBSTITUTE(SUBSTITUTE(SUBSTITUTE(SUBSTITUTE(SUBSTITUTE(TRIM(M742),".",""),"/",""),"-","")," ",""),"(",""),")",""),"+",""))=10,LEFT(SUBSTITUTE(SUBSTITUTE(SUBSTITUTE(SUBSTITUTE(SUBSTITUTE(SUBSTITUTE(SUBSTITUTE(TRIM(M742),".",""),"/",""),"-","")," ",""),"(",""),")",""),"+",""),1)&lt;&gt;"0"),AND(LEN(SUBSTITUTE(SUBSTITUTE(SUBSTITUTE(SUBSTITUTE(SUBSTITUTE(SUBSTITUTE(SUBSTITUTE(TRIM(M742),".",""),"/",""),"-","")," ",""),"(",""),")",""),"+",""))=11,LEFT(SUBSTITUTE(SUBSTITUTE(SUBSTITUTE(SUBSTITUTE(SUBSTITUTE(SUBSTITUTE(SUBSTITUTE(TRIM(M742),".",""),"/",""),"-","")," ",""),"(",""),")",""),"+",""),4)="0800")),"OK",IF(AND(LEN(SUBSTITUTE(SUBSTITUTE(SUBSTITUTE(SUBSTITUTE(SUBSTITUTE(SUBSTITUTE(SUBSTITUTE(TRIM(M742),".",""),"/",""),"-","")," ",""),"(",""),")",""),"+",""))=11,MID(SUBSTITUTE(SUBSTITUTE(SUBSTITUTE(SUBSTITUTE(SUBSTITUTE(SUBSTITUTE(SUBSTITUTE(TRIM(M742),".",""),"/",""),"-","")," ",""),"(",""),")",""),"+",""),3,1)="9"),"ERRO: é celular, use a coluna Celular","ERRO: DDD + 8 dígitos ou 0800 + 7")))</f>
      </c>
      <c r="X742" s="6">
        <f>IF(N742="","vazio",IF(AND(LEN(SUBSTITUTE(SUBSTITUTE(SUBSTITUTE(SUBSTITUTE(SUBSTITUTE(SUBSTITUTE(SUBSTITUTE(TRIM(N742),".",""),"/",""),"-","")," ",""),"(",""),")",""),"+",""))=11,MID(SUBSTITUTE(SUBSTITUTE(SUBSTITUTE(SUBSTITUTE(SUBSTITUTE(SUBSTITUTE(SUBSTITUTE(TRIM(N742),".",""),"/",""),"-","")," ",""),"(",""),")",""),"+",""),3,1)="9",LEFT(SUBSTITUTE(SUBSTITUTE(SUBSTITUTE(SUBSTITUTE(SUBSTITUTE(SUBSTITUTE(SUBSTITUTE(TRIM(N742),".",""),"/",""),"-","")," ",""),"(",""),")",""),"+",""),1)&lt;&gt;"0"),"OK",IF(LEN(SUBSTITUTE(SUBSTITUTE(SUBSTITUTE(SUBSTITUTE(SUBSTITUTE(SUBSTITUTE(SUBSTITUTE(TRIM(N742),".",""),"/",""),"-","")," ",""),"(",""),")",""),"+",""))=10,"ERRO: é fixo (ou falta o 9), use a coluna Telefone fixo","ERRO: DDD + 9 + 8 dígitos")))</f>
      </c>
      <c r="Y742" s="6">
        <f>IF(O742="","vazio",IF(AND(ISNUMBER(FIND("@",O742)),ISNUMBER(FIND(".",MID(O742,FIND("@",O742),99))),NOT(ISNUMBER(FIND(" ",TRIM(O742)))),NOT(ISNUMBER(FIND(";",O742))),NOT(ISNUMBER(FIND(",",O742)))),"OK","ERRO: um e-mail válido por linha"))</f>
      </c>
      <c r="Z742" s="6">
        <f>IF(AND(J742="",K742=""),"",IF(AND(J742&lt;&gt;"",K742&lt;&gt;""),"OK","pendente: só um nome (o GR completa ao converter)"))</f>
      </c>
      <c r="AA742" s="6">
        <f>IF(COUNTA(A742:S742)=0,"",IF(AND(A742&lt;&gt;"",B742&lt;&gt;"",C742&lt;&gt;"",D742&lt;&gt;"",E742&lt;&gt;"",F742&lt;&gt;"",G742&lt;&gt;"",H742&lt;&gt;"",OR(J742&lt;&gt;"",K742&lt;&gt;""),OR(M742&lt;&gt;"",N742&lt;&gt;"",O742&lt;&gt;"")),"OK","ERRO: faltam "&amp;IF(A742="","SDR; ","")&amp;IF(B742="","Proprietário; ","")&amp;IF(C742="","Origem; ","")&amp;IF(D742="","Temperatura; ","")&amp;IF(E742="","Segmento; ","")&amp;IF(F742="","Time/Cluster; ","")&amp;IF(G742="","CNPJ; ","")&amp;IF(H742="","Razão Social; ","")&amp;IF(AND(J742="",K742=""),"nome do contato; ","")&amp;IF(AND(M742="",N742="",O742=""),"telefone, celular ou e-mail; ","")))</f>
      </c>
      <c r="AB742" s="6">
        <f>IF(COUNTA(A742:S742)=0,"",IF(AND(U742="OK",V742="OK",LEFT(W742,4)&lt;&gt;"ERRO",LEFT(X742,4)&lt;&gt;"ERRO",LEFT(Y742,4)&lt;&gt;"ERRO",AA742="OK"),"OK","REVISAR"))</f>
      </c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5"/>
      <c r="K743" s="4"/>
      <c r="L743" s="4"/>
      <c r="M743" s="4"/>
      <c r="N743" s="4"/>
      <c r="O743" s="4"/>
      <c r="P743" s="4"/>
      <c r="Q743" s="4"/>
      <c r="R743" s="4"/>
      <c r="S743" s="4"/>
      <c r="T743" s="6">
        <f>IF(G743="","",SUBSTITUTE(SUBSTITUTE(SUBSTITUTE(SUBSTITUTE(SUBSTITUTE(SUBSTITUTE(SUBSTITUTE(TRIM(G743),".",""),"/",""),"-","")," ",""),"(",""),")",""),"+",""))</f>
      </c>
      <c r="U743" s="6">
        <f>IF(T743="","",IF(LEN(T743)&lt;&gt;14,"ERRO: "&amp;LEN(T743)&amp;" dígitos",IF(NOT(ISNUMBER(VALUE(T743))),"ERRO: não numérico",IF(LEN(SUBSTITUTE(T743,LEFT(T743,1),""))=0,"ERRO: dígitos repetidos",IF(AND(VALUE(MID(T743,13,1))=IF(MOD(SUMPRODUCT(--MID(T743,{1,2,3,4,5,6,7,8,9,10,11,12},1),{5,4,3,2,9,8,7,6,5,4,3,2}),11)&lt;2,0,11-MOD(SUMPRODUCT(--MID(T743,{1,2,3,4,5,6,7,8,9,10,11,12},1),{5,4,3,2,9,8,7,6,5,4,3,2}),11)),VALUE(MID(T743,14,1))=IF(MOD(SUMPRODUCT(--MID(T743,{1,2,3,4,5,6,7,8,9,10,11,12,13},1),{6,5,4,3,2,9,8,7,6,5,4,3,2}),11)&lt;2,0,11-MOD(SUMPRODUCT(--MID(T743,{1,2,3,4,5,6,7,8,9,10,11,12,13},1),{6,5,4,3,2,9,8,7,6,5,4,3,2}),11))),"OK","ERRO: dígito verificador")))))</f>
      </c>
      <c r="V743" s="6">
        <f>IF(T743="","",IF(COUNTIF($T$2:$T$1001,T743)&gt;1,"DUPLICADO","OK"))</f>
      </c>
      <c r="W743" s="6">
        <f>IF(M743="","vazio",IF(OR(AND(LEN(SUBSTITUTE(SUBSTITUTE(SUBSTITUTE(SUBSTITUTE(SUBSTITUTE(SUBSTITUTE(SUBSTITUTE(TRIM(M743),".",""),"/",""),"-","")," ",""),"(",""),")",""),"+",""))=10,LEFT(SUBSTITUTE(SUBSTITUTE(SUBSTITUTE(SUBSTITUTE(SUBSTITUTE(SUBSTITUTE(SUBSTITUTE(TRIM(M743),".",""),"/",""),"-","")," ",""),"(",""),")",""),"+",""),1)&lt;&gt;"0"),AND(LEN(SUBSTITUTE(SUBSTITUTE(SUBSTITUTE(SUBSTITUTE(SUBSTITUTE(SUBSTITUTE(SUBSTITUTE(TRIM(M743),".",""),"/",""),"-","")," ",""),"(",""),")",""),"+",""))=11,LEFT(SUBSTITUTE(SUBSTITUTE(SUBSTITUTE(SUBSTITUTE(SUBSTITUTE(SUBSTITUTE(SUBSTITUTE(TRIM(M743),".",""),"/",""),"-","")," ",""),"(",""),")",""),"+",""),4)="0800")),"OK",IF(AND(LEN(SUBSTITUTE(SUBSTITUTE(SUBSTITUTE(SUBSTITUTE(SUBSTITUTE(SUBSTITUTE(SUBSTITUTE(TRIM(M743),".",""),"/",""),"-","")," ",""),"(",""),")",""),"+",""))=11,MID(SUBSTITUTE(SUBSTITUTE(SUBSTITUTE(SUBSTITUTE(SUBSTITUTE(SUBSTITUTE(SUBSTITUTE(TRIM(M743),".",""),"/",""),"-","")," ",""),"(",""),")",""),"+",""),3,1)="9"),"ERRO: é celular, use a coluna Celular","ERRO: DDD + 8 dígitos ou 0800 + 7")))</f>
      </c>
      <c r="X743" s="6">
        <f>IF(N743="","vazio",IF(AND(LEN(SUBSTITUTE(SUBSTITUTE(SUBSTITUTE(SUBSTITUTE(SUBSTITUTE(SUBSTITUTE(SUBSTITUTE(TRIM(N743),".",""),"/",""),"-","")," ",""),"(",""),")",""),"+",""))=11,MID(SUBSTITUTE(SUBSTITUTE(SUBSTITUTE(SUBSTITUTE(SUBSTITUTE(SUBSTITUTE(SUBSTITUTE(TRIM(N743),".",""),"/",""),"-","")," ",""),"(",""),")",""),"+",""),3,1)="9",LEFT(SUBSTITUTE(SUBSTITUTE(SUBSTITUTE(SUBSTITUTE(SUBSTITUTE(SUBSTITUTE(SUBSTITUTE(TRIM(N743),".",""),"/",""),"-","")," ",""),"(",""),")",""),"+",""),1)&lt;&gt;"0"),"OK",IF(LEN(SUBSTITUTE(SUBSTITUTE(SUBSTITUTE(SUBSTITUTE(SUBSTITUTE(SUBSTITUTE(SUBSTITUTE(TRIM(N743),".",""),"/",""),"-","")," ",""),"(",""),")",""),"+",""))=10,"ERRO: é fixo (ou falta o 9), use a coluna Telefone fixo","ERRO: DDD + 9 + 8 dígitos")))</f>
      </c>
      <c r="Y743" s="6">
        <f>IF(O743="","vazio",IF(AND(ISNUMBER(FIND("@",O743)),ISNUMBER(FIND(".",MID(O743,FIND("@",O743),99))),NOT(ISNUMBER(FIND(" ",TRIM(O743)))),NOT(ISNUMBER(FIND(";",O743))),NOT(ISNUMBER(FIND(",",O743)))),"OK","ERRO: um e-mail válido por linha"))</f>
      </c>
      <c r="Z743" s="6">
        <f>IF(AND(J743="",K743=""),"",IF(AND(J743&lt;&gt;"",K743&lt;&gt;""),"OK","pendente: só um nome (o GR completa ao converter)"))</f>
      </c>
      <c r="AA743" s="6">
        <f>IF(COUNTA(A743:S743)=0,"",IF(AND(A743&lt;&gt;"",B743&lt;&gt;"",C743&lt;&gt;"",D743&lt;&gt;"",E743&lt;&gt;"",F743&lt;&gt;"",G743&lt;&gt;"",H743&lt;&gt;"",OR(J743&lt;&gt;"",K743&lt;&gt;""),OR(M743&lt;&gt;"",N743&lt;&gt;"",O743&lt;&gt;"")),"OK","ERRO: faltam "&amp;IF(A743="","SDR; ","")&amp;IF(B743="","Proprietário; ","")&amp;IF(C743="","Origem; ","")&amp;IF(D743="","Temperatura; ","")&amp;IF(E743="","Segmento; ","")&amp;IF(F743="","Time/Cluster; ","")&amp;IF(G743="","CNPJ; ","")&amp;IF(H743="","Razão Social; ","")&amp;IF(AND(J743="",K743=""),"nome do contato; ","")&amp;IF(AND(M743="",N743="",O743=""),"telefone, celular ou e-mail; ","")))</f>
      </c>
      <c r="AB743" s="6">
        <f>IF(COUNTA(A743:S743)=0,"",IF(AND(U743="OK",V743="OK",LEFT(W743,4)&lt;&gt;"ERRO",LEFT(X743,4)&lt;&gt;"ERRO",LEFT(Y743,4)&lt;&gt;"ERRO",AA743="OK"),"OK","REVISAR"))</f>
      </c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5"/>
      <c r="K744" s="4"/>
      <c r="L744" s="4"/>
      <c r="M744" s="4"/>
      <c r="N744" s="4"/>
      <c r="O744" s="4"/>
      <c r="P744" s="4"/>
      <c r="Q744" s="4"/>
      <c r="R744" s="4"/>
      <c r="S744" s="4"/>
      <c r="T744" s="6">
        <f>IF(G744="","",SUBSTITUTE(SUBSTITUTE(SUBSTITUTE(SUBSTITUTE(SUBSTITUTE(SUBSTITUTE(SUBSTITUTE(TRIM(G744),".",""),"/",""),"-","")," ",""),"(",""),")",""),"+",""))</f>
      </c>
      <c r="U744" s="6">
        <f>IF(T744="","",IF(LEN(T744)&lt;&gt;14,"ERRO: "&amp;LEN(T744)&amp;" dígitos",IF(NOT(ISNUMBER(VALUE(T744))),"ERRO: não numérico",IF(LEN(SUBSTITUTE(T744,LEFT(T744,1),""))=0,"ERRO: dígitos repetidos",IF(AND(VALUE(MID(T744,13,1))=IF(MOD(SUMPRODUCT(--MID(T744,{1,2,3,4,5,6,7,8,9,10,11,12},1),{5,4,3,2,9,8,7,6,5,4,3,2}),11)&lt;2,0,11-MOD(SUMPRODUCT(--MID(T744,{1,2,3,4,5,6,7,8,9,10,11,12},1),{5,4,3,2,9,8,7,6,5,4,3,2}),11)),VALUE(MID(T744,14,1))=IF(MOD(SUMPRODUCT(--MID(T744,{1,2,3,4,5,6,7,8,9,10,11,12,13},1),{6,5,4,3,2,9,8,7,6,5,4,3,2}),11)&lt;2,0,11-MOD(SUMPRODUCT(--MID(T744,{1,2,3,4,5,6,7,8,9,10,11,12,13},1),{6,5,4,3,2,9,8,7,6,5,4,3,2}),11))),"OK","ERRO: dígito verificador")))))</f>
      </c>
      <c r="V744" s="6">
        <f>IF(T744="","",IF(COUNTIF($T$2:$T$1001,T744)&gt;1,"DUPLICADO","OK"))</f>
      </c>
      <c r="W744" s="6">
        <f>IF(M744="","vazio",IF(OR(AND(LEN(SUBSTITUTE(SUBSTITUTE(SUBSTITUTE(SUBSTITUTE(SUBSTITUTE(SUBSTITUTE(SUBSTITUTE(TRIM(M744),".",""),"/",""),"-","")," ",""),"(",""),")",""),"+",""))=10,LEFT(SUBSTITUTE(SUBSTITUTE(SUBSTITUTE(SUBSTITUTE(SUBSTITUTE(SUBSTITUTE(SUBSTITUTE(TRIM(M744),".",""),"/",""),"-","")," ",""),"(",""),")",""),"+",""),1)&lt;&gt;"0"),AND(LEN(SUBSTITUTE(SUBSTITUTE(SUBSTITUTE(SUBSTITUTE(SUBSTITUTE(SUBSTITUTE(SUBSTITUTE(TRIM(M744),".",""),"/",""),"-","")," ",""),"(",""),")",""),"+",""))=11,LEFT(SUBSTITUTE(SUBSTITUTE(SUBSTITUTE(SUBSTITUTE(SUBSTITUTE(SUBSTITUTE(SUBSTITUTE(TRIM(M744),".",""),"/",""),"-","")," ",""),"(",""),")",""),"+",""),4)="0800")),"OK",IF(AND(LEN(SUBSTITUTE(SUBSTITUTE(SUBSTITUTE(SUBSTITUTE(SUBSTITUTE(SUBSTITUTE(SUBSTITUTE(TRIM(M744),".",""),"/",""),"-","")," ",""),"(",""),")",""),"+",""))=11,MID(SUBSTITUTE(SUBSTITUTE(SUBSTITUTE(SUBSTITUTE(SUBSTITUTE(SUBSTITUTE(SUBSTITUTE(TRIM(M744),".",""),"/",""),"-","")," ",""),"(",""),")",""),"+",""),3,1)="9"),"ERRO: é celular, use a coluna Celular","ERRO: DDD + 8 dígitos ou 0800 + 7")))</f>
      </c>
      <c r="X744" s="6">
        <f>IF(N744="","vazio",IF(AND(LEN(SUBSTITUTE(SUBSTITUTE(SUBSTITUTE(SUBSTITUTE(SUBSTITUTE(SUBSTITUTE(SUBSTITUTE(TRIM(N744),".",""),"/",""),"-","")," ",""),"(",""),")",""),"+",""))=11,MID(SUBSTITUTE(SUBSTITUTE(SUBSTITUTE(SUBSTITUTE(SUBSTITUTE(SUBSTITUTE(SUBSTITUTE(TRIM(N744),".",""),"/",""),"-","")," ",""),"(",""),")",""),"+",""),3,1)="9",LEFT(SUBSTITUTE(SUBSTITUTE(SUBSTITUTE(SUBSTITUTE(SUBSTITUTE(SUBSTITUTE(SUBSTITUTE(TRIM(N744),".",""),"/",""),"-","")," ",""),"(",""),")",""),"+",""),1)&lt;&gt;"0"),"OK",IF(LEN(SUBSTITUTE(SUBSTITUTE(SUBSTITUTE(SUBSTITUTE(SUBSTITUTE(SUBSTITUTE(SUBSTITUTE(TRIM(N744),".",""),"/",""),"-","")," ",""),"(",""),")",""),"+",""))=10,"ERRO: é fixo (ou falta o 9), use a coluna Telefone fixo","ERRO: DDD + 9 + 8 dígitos")))</f>
      </c>
      <c r="Y744" s="6">
        <f>IF(O744="","vazio",IF(AND(ISNUMBER(FIND("@",O744)),ISNUMBER(FIND(".",MID(O744,FIND("@",O744),99))),NOT(ISNUMBER(FIND(" ",TRIM(O744)))),NOT(ISNUMBER(FIND(";",O744))),NOT(ISNUMBER(FIND(",",O744)))),"OK","ERRO: um e-mail válido por linha"))</f>
      </c>
      <c r="Z744" s="6">
        <f>IF(AND(J744="",K744=""),"",IF(AND(J744&lt;&gt;"",K744&lt;&gt;""),"OK","pendente: só um nome (o GR completa ao converter)"))</f>
      </c>
      <c r="AA744" s="6">
        <f>IF(COUNTA(A744:S744)=0,"",IF(AND(A744&lt;&gt;"",B744&lt;&gt;"",C744&lt;&gt;"",D744&lt;&gt;"",E744&lt;&gt;"",F744&lt;&gt;"",G744&lt;&gt;"",H744&lt;&gt;"",OR(J744&lt;&gt;"",K744&lt;&gt;""),OR(M744&lt;&gt;"",N744&lt;&gt;"",O744&lt;&gt;"")),"OK","ERRO: faltam "&amp;IF(A744="","SDR; ","")&amp;IF(B744="","Proprietário; ","")&amp;IF(C744="","Origem; ","")&amp;IF(D744="","Temperatura; ","")&amp;IF(E744="","Segmento; ","")&amp;IF(F744="","Time/Cluster; ","")&amp;IF(G744="","CNPJ; ","")&amp;IF(H744="","Razão Social; ","")&amp;IF(AND(J744="",K744=""),"nome do contato; ","")&amp;IF(AND(M744="",N744="",O744=""),"telefone, celular ou e-mail; ","")))</f>
      </c>
      <c r="AB744" s="6">
        <f>IF(COUNTA(A744:S744)=0,"",IF(AND(U744="OK",V744="OK",LEFT(W744,4)&lt;&gt;"ERRO",LEFT(X744,4)&lt;&gt;"ERRO",LEFT(Y744,4)&lt;&gt;"ERRO",AA744="OK"),"OK","REVISAR"))</f>
      </c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5"/>
      <c r="K745" s="4"/>
      <c r="L745" s="4"/>
      <c r="M745" s="4"/>
      <c r="N745" s="4"/>
      <c r="O745" s="4"/>
      <c r="P745" s="4"/>
      <c r="Q745" s="4"/>
      <c r="R745" s="4"/>
      <c r="S745" s="4"/>
      <c r="T745" s="6">
        <f>IF(G745="","",SUBSTITUTE(SUBSTITUTE(SUBSTITUTE(SUBSTITUTE(SUBSTITUTE(SUBSTITUTE(SUBSTITUTE(TRIM(G745),".",""),"/",""),"-","")," ",""),"(",""),")",""),"+",""))</f>
      </c>
      <c r="U745" s="6">
        <f>IF(T745="","",IF(LEN(T745)&lt;&gt;14,"ERRO: "&amp;LEN(T745)&amp;" dígitos",IF(NOT(ISNUMBER(VALUE(T745))),"ERRO: não numérico",IF(LEN(SUBSTITUTE(T745,LEFT(T745,1),""))=0,"ERRO: dígitos repetidos",IF(AND(VALUE(MID(T745,13,1))=IF(MOD(SUMPRODUCT(--MID(T745,{1,2,3,4,5,6,7,8,9,10,11,12},1),{5,4,3,2,9,8,7,6,5,4,3,2}),11)&lt;2,0,11-MOD(SUMPRODUCT(--MID(T745,{1,2,3,4,5,6,7,8,9,10,11,12},1),{5,4,3,2,9,8,7,6,5,4,3,2}),11)),VALUE(MID(T745,14,1))=IF(MOD(SUMPRODUCT(--MID(T745,{1,2,3,4,5,6,7,8,9,10,11,12,13},1),{6,5,4,3,2,9,8,7,6,5,4,3,2}),11)&lt;2,0,11-MOD(SUMPRODUCT(--MID(T745,{1,2,3,4,5,6,7,8,9,10,11,12,13},1),{6,5,4,3,2,9,8,7,6,5,4,3,2}),11))),"OK","ERRO: dígito verificador")))))</f>
      </c>
      <c r="V745" s="6">
        <f>IF(T745="","",IF(COUNTIF($T$2:$T$1001,T745)&gt;1,"DUPLICADO","OK"))</f>
      </c>
      <c r="W745" s="6">
        <f>IF(M745="","vazio",IF(OR(AND(LEN(SUBSTITUTE(SUBSTITUTE(SUBSTITUTE(SUBSTITUTE(SUBSTITUTE(SUBSTITUTE(SUBSTITUTE(TRIM(M745),".",""),"/",""),"-","")," ",""),"(",""),")",""),"+",""))=10,LEFT(SUBSTITUTE(SUBSTITUTE(SUBSTITUTE(SUBSTITUTE(SUBSTITUTE(SUBSTITUTE(SUBSTITUTE(TRIM(M745),".",""),"/",""),"-","")," ",""),"(",""),")",""),"+",""),1)&lt;&gt;"0"),AND(LEN(SUBSTITUTE(SUBSTITUTE(SUBSTITUTE(SUBSTITUTE(SUBSTITUTE(SUBSTITUTE(SUBSTITUTE(TRIM(M745),".",""),"/",""),"-","")," ",""),"(",""),")",""),"+",""))=11,LEFT(SUBSTITUTE(SUBSTITUTE(SUBSTITUTE(SUBSTITUTE(SUBSTITUTE(SUBSTITUTE(SUBSTITUTE(TRIM(M745),".",""),"/",""),"-","")," ",""),"(",""),")",""),"+",""),4)="0800")),"OK",IF(AND(LEN(SUBSTITUTE(SUBSTITUTE(SUBSTITUTE(SUBSTITUTE(SUBSTITUTE(SUBSTITUTE(SUBSTITUTE(TRIM(M745),".",""),"/",""),"-","")," ",""),"(",""),")",""),"+",""))=11,MID(SUBSTITUTE(SUBSTITUTE(SUBSTITUTE(SUBSTITUTE(SUBSTITUTE(SUBSTITUTE(SUBSTITUTE(TRIM(M745),".",""),"/",""),"-","")," ",""),"(",""),")",""),"+",""),3,1)="9"),"ERRO: é celular, use a coluna Celular","ERRO: DDD + 8 dígitos ou 0800 + 7")))</f>
      </c>
      <c r="X745" s="6">
        <f>IF(N745="","vazio",IF(AND(LEN(SUBSTITUTE(SUBSTITUTE(SUBSTITUTE(SUBSTITUTE(SUBSTITUTE(SUBSTITUTE(SUBSTITUTE(TRIM(N745),".",""),"/",""),"-","")," ",""),"(",""),")",""),"+",""))=11,MID(SUBSTITUTE(SUBSTITUTE(SUBSTITUTE(SUBSTITUTE(SUBSTITUTE(SUBSTITUTE(SUBSTITUTE(TRIM(N745),".",""),"/",""),"-","")," ",""),"(",""),")",""),"+",""),3,1)="9",LEFT(SUBSTITUTE(SUBSTITUTE(SUBSTITUTE(SUBSTITUTE(SUBSTITUTE(SUBSTITUTE(SUBSTITUTE(TRIM(N745),".",""),"/",""),"-","")," ",""),"(",""),")",""),"+",""),1)&lt;&gt;"0"),"OK",IF(LEN(SUBSTITUTE(SUBSTITUTE(SUBSTITUTE(SUBSTITUTE(SUBSTITUTE(SUBSTITUTE(SUBSTITUTE(TRIM(N745),".",""),"/",""),"-","")," ",""),"(",""),")",""),"+",""))=10,"ERRO: é fixo (ou falta o 9), use a coluna Telefone fixo","ERRO: DDD + 9 + 8 dígitos")))</f>
      </c>
      <c r="Y745" s="6">
        <f>IF(O745="","vazio",IF(AND(ISNUMBER(FIND("@",O745)),ISNUMBER(FIND(".",MID(O745,FIND("@",O745),99))),NOT(ISNUMBER(FIND(" ",TRIM(O745)))),NOT(ISNUMBER(FIND(";",O745))),NOT(ISNUMBER(FIND(",",O745)))),"OK","ERRO: um e-mail válido por linha"))</f>
      </c>
      <c r="Z745" s="6">
        <f>IF(AND(J745="",K745=""),"",IF(AND(J745&lt;&gt;"",K745&lt;&gt;""),"OK","pendente: só um nome (o GR completa ao converter)"))</f>
      </c>
      <c r="AA745" s="6">
        <f>IF(COUNTA(A745:S745)=0,"",IF(AND(A745&lt;&gt;"",B745&lt;&gt;"",C745&lt;&gt;"",D745&lt;&gt;"",E745&lt;&gt;"",F745&lt;&gt;"",G745&lt;&gt;"",H745&lt;&gt;"",OR(J745&lt;&gt;"",K745&lt;&gt;""),OR(M745&lt;&gt;"",N745&lt;&gt;"",O745&lt;&gt;"")),"OK","ERRO: faltam "&amp;IF(A745="","SDR; ","")&amp;IF(B745="","Proprietário; ","")&amp;IF(C745="","Origem; ","")&amp;IF(D745="","Temperatura; ","")&amp;IF(E745="","Segmento; ","")&amp;IF(F745="","Time/Cluster; ","")&amp;IF(G745="","CNPJ; ","")&amp;IF(H745="","Razão Social; ","")&amp;IF(AND(J745="",K745=""),"nome do contato; ","")&amp;IF(AND(M745="",N745="",O745=""),"telefone, celular ou e-mail; ","")))</f>
      </c>
      <c r="AB745" s="6">
        <f>IF(COUNTA(A745:S745)=0,"",IF(AND(U745="OK",V745="OK",LEFT(W745,4)&lt;&gt;"ERRO",LEFT(X745,4)&lt;&gt;"ERRO",LEFT(Y745,4)&lt;&gt;"ERRO",AA745="OK"),"OK","REVISAR"))</f>
      </c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5"/>
      <c r="K746" s="4"/>
      <c r="L746" s="4"/>
      <c r="M746" s="4"/>
      <c r="N746" s="4"/>
      <c r="O746" s="4"/>
      <c r="P746" s="4"/>
      <c r="Q746" s="4"/>
      <c r="R746" s="4"/>
      <c r="S746" s="4"/>
      <c r="T746" s="6">
        <f>IF(G746="","",SUBSTITUTE(SUBSTITUTE(SUBSTITUTE(SUBSTITUTE(SUBSTITUTE(SUBSTITUTE(SUBSTITUTE(TRIM(G746),".",""),"/",""),"-","")," ",""),"(",""),")",""),"+",""))</f>
      </c>
      <c r="U746" s="6">
        <f>IF(T746="","",IF(LEN(T746)&lt;&gt;14,"ERRO: "&amp;LEN(T746)&amp;" dígitos",IF(NOT(ISNUMBER(VALUE(T746))),"ERRO: não numérico",IF(LEN(SUBSTITUTE(T746,LEFT(T746,1),""))=0,"ERRO: dígitos repetidos",IF(AND(VALUE(MID(T746,13,1))=IF(MOD(SUMPRODUCT(--MID(T746,{1,2,3,4,5,6,7,8,9,10,11,12},1),{5,4,3,2,9,8,7,6,5,4,3,2}),11)&lt;2,0,11-MOD(SUMPRODUCT(--MID(T746,{1,2,3,4,5,6,7,8,9,10,11,12},1),{5,4,3,2,9,8,7,6,5,4,3,2}),11)),VALUE(MID(T746,14,1))=IF(MOD(SUMPRODUCT(--MID(T746,{1,2,3,4,5,6,7,8,9,10,11,12,13},1),{6,5,4,3,2,9,8,7,6,5,4,3,2}),11)&lt;2,0,11-MOD(SUMPRODUCT(--MID(T746,{1,2,3,4,5,6,7,8,9,10,11,12,13},1),{6,5,4,3,2,9,8,7,6,5,4,3,2}),11))),"OK","ERRO: dígito verificador")))))</f>
      </c>
      <c r="V746" s="6">
        <f>IF(T746="","",IF(COUNTIF($T$2:$T$1001,T746)&gt;1,"DUPLICADO","OK"))</f>
      </c>
      <c r="W746" s="6">
        <f>IF(M746="","vazio",IF(OR(AND(LEN(SUBSTITUTE(SUBSTITUTE(SUBSTITUTE(SUBSTITUTE(SUBSTITUTE(SUBSTITUTE(SUBSTITUTE(TRIM(M746),".",""),"/",""),"-","")," ",""),"(",""),")",""),"+",""))=10,LEFT(SUBSTITUTE(SUBSTITUTE(SUBSTITUTE(SUBSTITUTE(SUBSTITUTE(SUBSTITUTE(SUBSTITUTE(TRIM(M746),".",""),"/",""),"-","")," ",""),"(",""),")",""),"+",""),1)&lt;&gt;"0"),AND(LEN(SUBSTITUTE(SUBSTITUTE(SUBSTITUTE(SUBSTITUTE(SUBSTITUTE(SUBSTITUTE(SUBSTITUTE(TRIM(M746),".",""),"/",""),"-","")," ",""),"(",""),")",""),"+",""))=11,LEFT(SUBSTITUTE(SUBSTITUTE(SUBSTITUTE(SUBSTITUTE(SUBSTITUTE(SUBSTITUTE(SUBSTITUTE(TRIM(M746),".",""),"/",""),"-","")," ",""),"(",""),")",""),"+",""),4)="0800")),"OK",IF(AND(LEN(SUBSTITUTE(SUBSTITUTE(SUBSTITUTE(SUBSTITUTE(SUBSTITUTE(SUBSTITUTE(SUBSTITUTE(TRIM(M746),".",""),"/",""),"-","")," ",""),"(",""),")",""),"+",""))=11,MID(SUBSTITUTE(SUBSTITUTE(SUBSTITUTE(SUBSTITUTE(SUBSTITUTE(SUBSTITUTE(SUBSTITUTE(TRIM(M746),".",""),"/",""),"-","")," ",""),"(",""),")",""),"+",""),3,1)="9"),"ERRO: é celular, use a coluna Celular","ERRO: DDD + 8 dígitos ou 0800 + 7")))</f>
      </c>
      <c r="X746" s="6">
        <f>IF(N746="","vazio",IF(AND(LEN(SUBSTITUTE(SUBSTITUTE(SUBSTITUTE(SUBSTITUTE(SUBSTITUTE(SUBSTITUTE(SUBSTITUTE(TRIM(N746),".",""),"/",""),"-","")," ",""),"(",""),")",""),"+",""))=11,MID(SUBSTITUTE(SUBSTITUTE(SUBSTITUTE(SUBSTITUTE(SUBSTITUTE(SUBSTITUTE(SUBSTITUTE(TRIM(N746),".",""),"/",""),"-","")," ",""),"(",""),")",""),"+",""),3,1)="9",LEFT(SUBSTITUTE(SUBSTITUTE(SUBSTITUTE(SUBSTITUTE(SUBSTITUTE(SUBSTITUTE(SUBSTITUTE(TRIM(N746),".",""),"/",""),"-","")," ",""),"(",""),")",""),"+",""),1)&lt;&gt;"0"),"OK",IF(LEN(SUBSTITUTE(SUBSTITUTE(SUBSTITUTE(SUBSTITUTE(SUBSTITUTE(SUBSTITUTE(SUBSTITUTE(TRIM(N746),".",""),"/",""),"-","")," ",""),"(",""),")",""),"+",""))=10,"ERRO: é fixo (ou falta o 9), use a coluna Telefone fixo","ERRO: DDD + 9 + 8 dígitos")))</f>
      </c>
      <c r="Y746" s="6">
        <f>IF(O746="","vazio",IF(AND(ISNUMBER(FIND("@",O746)),ISNUMBER(FIND(".",MID(O746,FIND("@",O746),99))),NOT(ISNUMBER(FIND(" ",TRIM(O746)))),NOT(ISNUMBER(FIND(";",O746))),NOT(ISNUMBER(FIND(",",O746)))),"OK","ERRO: um e-mail válido por linha"))</f>
      </c>
      <c r="Z746" s="6">
        <f>IF(AND(J746="",K746=""),"",IF(AND(J746&lt;&gt;"",K746&lt;&gt;""),"OK","pendente: só um nome (o GR completa ao converter)"))</f>
      </c>
      <c r="AA746" s="6">
        <f>IF(COUNTA(A746:S746)=0,"",IF(AND(A746&lt;&gt;"",B746&lt;&gt;"",C746&lt;&gt;"",D746&lt;&gt;"",E746&lt;&gt;"",F746&lt;&gt;"",G746&lt;&gt;"",H746&lt;&gt;"",OR(J746&lt;&gt;"",K746&lt;&gt;""),OR(M746&lt;&gt;"",N746&lt;&gt;"",O746&lt;&gt;"")),"OK","ERRO: faltam "&amp;IF(A746="","SDR; ","")&amp;IF(B746="","Proprietário; ","")&amp;IF(C746="","Origem; ","")&amp;IF(D746="","Temperatura; ","")&amp;IF(E746="","Segmento; ","")&amp;IF(F746="","Time/Cluster; ","")&amp;IF(G746="","CNPJ; ","")&amp;IF(H746="","Razão Social; ","")&amp;IF(AND(J746="",K746=""),"nome do contato; ","")&amp;IF(AND(M746="",N746="",O746=""),"telefone, celular ou e-mail; ","")))</f>
      </c>
      <c r="AB746" s="6">
        <f>IF(COUNTA(A746:S746)=0,"",IF(AND(U746="OK",V746="OK",LEFT(W746,4)&lt;&gt;"ERRO",LEFT(X746,4)&lt;&gt;"ERRO",LEFT(Y746,4)&lt;&gt;"ERRO",AA746="OK"),"OK","REVISAR"))</f>
      </c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5"/>
      <c r="K747" s="4"/>
      <c r="L747" s="4"/>
      <c r="M747" s="4"/>
      <c r="N747" s="4"/>
      <c r="O747" s="4"/>
      <c r="P747" s="4"/>
      <c r="Q747" s="4"/>
      <c r="R747" s="4"/>
      <c r="S747" s="4"/>
      <c r="T747" s="6">
        <f>IF(G747="","",SUBSTITUTE(SUBSTITUTE(SUBSTITUTE(SUBSTITUTE(SUBSTITUTE(SUBSTITUTE(SUBSTITUTE(TRIM(G747),".",""),"/",""),"-","")," ",""),"(",""),")",""),"+",""))</f>
      </c>
      <c r="U747" s="6">
        <f>IF(T747="","",IF(LEN(T747)&lt;&gt;14,"ERRO: "&amp;LEN(T747)&amp;" dígitos",IF(NOT(ISNUMBER(VALUE(T747))),"ERRO: não numérico",IF(LEN(SUBSTITUTE(T747,LEFT(T747,1),""))=0,"ERRO: dígitos repetidos",IF(AND(VALUE(MID(T747,13,1))=IF(MOD(SUMPRODUCT(--MID(T747,{1,2,3,4,5,6,7,8,9,10,11,12},1),{5,4,3,2,9,8,7,6,5,4,3,2}),11)&lt;2,0,11-MOD(SUMPRODUCT(--MID(T747,{1,2,3,4,5,6,7,8,9,10,11,12},1),{5,4,3,2,9,8,7,6,5,4,3,2}),11)),VALUE(MID(T747,14,1))=IF(MOD(SUMPRODUCT(--MID(T747,{1,2,3,4,5,6,7,8,9,10,11,12,13},1),{6,5,4,3,2,9,8,7,6,5,4,3,2}),11)&lt;2,0,11-MOD(SUMPRODUCT(--MID(T747,{1,2,3,4,5,6,7,8,9,10,11,12,13},1),{6,5,4,3,2,9,8,7,6,5,4,3,2}),11))),"OK","ERRO: dígito verificador")))))</f>
      </c>
      <c r="V747" s="6">
        <f>IF(T747="","",IF(COUNTIF($T$2:$T$1001,T747)&gt;1,"DUPLICADO","OK"))</f>
      </c>
      <c r="W747" s="6">
        <f>IF(M747="","vazio",IF(OR(AND(LEN(SUBSTITUTE(SUBSTITUTE(SUBSTITUTE(SUBSTITUTE(SUBSTITUTE(SUBSTITUTE(SUBSTITUTE(TRIM(M747),".",""),"/",""),"-","")," ",""),"(",""),")",""),"+",""))=10,LEFT(SUBSTITUTE(SUBSTITUTE(SUBSTITUTE(SUBSTITUTE(SUBSTITUTE(SUBSTITUTE(SUBSTITUTE(TRIM(M747),".",""),"/",""),"-","")," ",""),"(",""),")",""),"+",""),1)&lt;&gt;"0"),AND(LEN(SUBSTITUTE(SUBSTITUTE(SUBSTITUTE(SUBSTITUTE(SUBSTITUTE(SUBSTITUTE(SUBSTITUTE(TRIM(M747),".",""),"/",""),"-","")," ",""),"(",""),")",""),"+",""))=11,LEFT(SUBSTITUTE(SUBSTITUTE(SUBSTITUTE(SUBSTITUTE(SUBSTITUTE(SUBSTITUTE(SUBSTITUTE(TRIM(M747),".",""),"/",""),"-","")," ",""),"(",""),")",""),"+",""),4)="0800")),"OK",IF(AND(LEN(SUBSTITUTE(SUBSTITUTE(SUBSTITUTE(SUBSTITUTE(SUBSTITUTE(SUBSTITUTE(SUBSTITUTE(TRIM(M747),".",""),"/",""),"-","")," ",""),"(",""),")",""),"+",""))=11,MID(SUBSTITUTE(SUBSTITUTE(SUBSTITUTE(SUBSTITUTE(SUBSTITUTE(SUBSTITUTE(SUBSTITUTE(TRIM(M747),".",""),"/",""),"-","")," ",""),"(",""),")",""),"+",""),3,1)="9"),"ERRO: é celular, use a coluna Celular","ERRO: DDD + 8 dígitos ou 0800 + 7")))</f>
      </c>
      <c r="X747" s="6">
        <f>IF(N747="","vazio",IF(AND(LEN(SUBSTITUTE(SUBSTITUTE(SUBSTITUTE(SUBSTITUTE(SUBSTITUTE(SUBSTITUTE(SUBSTITUTE(TRIM(N747),".",""),"/",""),"-","")," ",""),"(",""),")",""),"+",""))=11,MID(SUBSTITUTE(SUBSTITUTE(SUBSTITUTE(SUBSTITUTE(SUBSTITUTE(SUBSTITUTE(SUBSTITUTE(TRIM(N747),".",""),"/",""),"-","")," ",""),"(",""),")",""),"+",""),3,1)="9",LEFT(SUBSTITUTE(SUBSTITUTE(SUBSTITUTE(SUBSTITUTE(SUBSTITUTE(SUBSTITUTE(SUBSTITUTE(TRIM(N747),".",""),"/",""),"-","")," ",""),"(",""),")",""),"+",""),1)&lt;&gt;"0"),"OK",IF(LEN(SUBSTITUTE(SUBSTITUTE(SUBSTITUTE(SUBSTITUTE(SUBSTITUTE(SUBSTITUTE(SUBSTITUTE(TRIM(N747),".",""),"/",""),"-","")," ",""),"(",""),")",""),"+",""))=10,"ERRO: é fixo (ou falta o 9), use a coluna Telefone fixo","ERRO: DDD + 9 + 8 dígitos")))</f>
      </c>
      <c r="Y747" s="6">
        <f>IF(O747="","vazio",IF(AND(ISNUMBER(FIND("@",O747)),ISNUMBER(FIND(".",MID(O747,FIND("@",O747),99))),NOT(ISNUMBER(FIND(" ",TRIM(O747)))),NOT(ISNUMBER(FIND(";",O747))),NOT(ISNUMBER(FIND(",",O747)))),"OK","ERRO: um e-mail válido por linha"))</f>
      </c>
      <c r="Z747" s="6">
        <f>IF(AND(J747="",K747=""),"",IF(AND(J747&lt;&gt;"",K747&lt;&gt;""),"OK","pendente: só um nome (o GR completa ao converter)"))</f>
      </c>
      <c r="AA747" s="6">
        <f>IF(COUNTA(A747:S747)=0,"",IF(AND(A747&lt;&gt;"",B747&lt;&gt;"",C747&lt;&gt;"",D747&lt;&gt;"",E747&lt;&gt;"",F747&lt;&gt;"",G747&lt;&gt;"",H747&lt;&gt;"",OR(J747&lt;&gt;"",K747&lt;&gt;""),OR(M747&lt;&gt;"",N747&lt;&gt;"",O747&lt;&gt;"")),"OK","ERRO: faltam "&amp;IF(A747="","SDR; ","")&amp;IF(B747="","Proprietário; ","")&amp;IF(C747="","Origem; ","")&amp;IF(D747="","Temperatura; ","")&amp;IF(E747="","Segmento; ","")&amp;IF(F747="","Time/Cluster; ","")&amp;IF(G747="","CNPJ; ","")&amp;IF(H747="","Razão Social; ","")&amp;IF(AND(J747="",K747=""),"nome do contato; ","")&amp;IF(AND(M747="",N747="",O747=""),"telefone, celular ou e-mail; ","")))</f>
      </c>
      <c r="AB747" s="6">
        <f>IF(COUNTA(A747:S747)=0,"",IF(AND(U747="OK",V747="OK",LEFT(W747,4)&lt;&gt;"ERRO",LEFT(X747,4)&lt;&gt;"ERRO",LEFT(Y747,4)&lt;&gt;"ERRO",AA747="OK"),"OK","REVISAR"))</f>
      </c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5"/>
      <c r="K748" s="4"/>
      <c r="L748" s="4"/>
      <c r="M748" s="4"/>
      <c r="N748" s="4"/>
      <c r="O748" s="4"/>
      <c r="P748" s="4"/>
      <c r="Q748" s="4"/>
      <c r="R748" s="4"/>
      <c r="S748" s="4"/>
      <c r="T748" s="6">
        <f>IF(G748="","",SUBSTITUTE(SUBSTITUTE(SUBSTITUTE(SUBSTITUTE(SUBSTITUTE(SUBSTITUTE(SUBSTITUTE(TRIM(G748),".",""),"/",""),"-","")," ",""),"(",""),")",""),"+",""))</f>
      </c>
      <c r="U748" s="6">
        <f>IF(T748="","",IF(LEN(T748)&lt;&gt;14,"ERRO: "&amp;LEN(T748)&amp;" dígitos",IF(NOT(ISNUMBER(VALUE(T748))),"ERRO: não numérico",IF(LEN(SUBSTITUTE(T748,LEFT(T748,1),""))=0,"ERRO: dígitos repetidos",IF(AND(VALUE(MID(T748,13,1))=IF(MOD(SUMPRODUCT(--MID(T748,{1,2,3,4,5,6,7,8,9,10,11,12},1),{5,4,3,2,9,8,7,6,5,4,3,2}),11)&lt;2,0,11-MOD(SUMPRODUCT(--MID(T748,{1,2,3,4,5,6,7,8,9,10,11,12},1),{5,4,3,2,9,8,7,6,5,4,3,2}),11)),VALUE(MID(T748,14,1))=IF(MOD(SUMPRODUCT(--MID(T748,{1,2,3,4,5,6,7,8,9,10,11,12,13},1),{6,5,4,3,2,9,8,7,6,5,4,3,2}),11)&lt;2,0,11-MOD(SUMPRODUCT(--MID(T748,{1,2,3,4,5,6,7,8,9,10,11,12,13},1),{6,5,4,3,2,9,8,7,6,5,4,3,2}),11))),"OK","ERRO: dígito verificador")))))</f>
      </c>
      <c r="V748" s="6">
        <f>IF(T748="","",IF(COUNTIF($T$2:$T$1001,T748)&gt;1,"DUPLICADO","OK"))</f>
      </c>
      <c r="W748" s="6">
        <f>IF(M748="","vazio",IF(OR(AND(LEN(SUBSTITUTE(SUBSTITUTE(SUBSTITUTE(SUBSTITUTE(SUBSTITUTE(SUBSTITUTE(SUBSTITUTE(TRIM(M748),".",""),"/",""),"-","")," ",""),"(",""),")",""),"+",""))=10,LEFT(SUBSTITUTE(SUBSTITUTE(SUBSTITUTE(SUBSTITUTE(SUBSTITUTE(SUBSTITUTE(SUBSTITUTE(TRIM(M748),".",""),"/",""),"-","")," ",""),"(",""),")",""),"+",""),1)&lt;&gt;"0"),AND(LEN(SUBSTITUTE(SUBSTITUTE(SUBSTITUTE(SUBSTITUTE(SUBSTITUTE(SUBSTITUTE(SUBSTITUTE(TRIM(M748),".",""),"/",""),"-","")," ",""),"(",""),")",""),"+",""))=11,LEFT(SUBSTITUTE(SUBSTITUTE(SUBSTITUTE(SUBSTITUTE(SUBSTITUTE(SUBSTITUTE(SUBSTITUTE(TRIM(M748),".",""),"/",""),"-","")," ",""),"(",""),")",""),"+",""),4)="0800")),"OK",IF(AND(LEN(SUBSTITUTE(SUBSTITUTE(SUBSTITUTE(SUBSTITUTE(SUBSTITUTE(SUBSTITUTE(SUBSTITUTE(TRIM(M748),".",""),"/",""),"-","")," ",""),"(",""),")",""),"+",""))=11,MID(SUBSTITUTE(SUBSTITUTE(SUBSTITUTE(SUBSTITUTE(SUBSTITUTE(SUBSTITUTE(SUBSTITUTE(TRIM(M748),".",""),"/",""),"-","")," ",""),"(",""),")",""),"+",""),3,1)="9"),"ERRO: é celular, use a coluna Celular","ERRO: DDD + 8 dígitos ou 0800 + 7")))</f>
      </c>
      <c r="X748" s="6">
        <f>IF(N748="","vazio",IF(AND(LEN(SUBSTITUTE(SUBSTITUTE(SUBSTITUTE(SUBSTITUTE(SUBSTITUTE(SUBSTITUTE(SUBSTITUTE(TRIM(N748),".",""),"/",""),"-","")," ",""),"(",""),")",""),"+",""))=11,MID(SUBSTITUTE(SUBSTITUTE(SUBSTITUTE(SUBSTITUTE(SUBSTITUTE(SUBSTITUTE(SUBSTITUTE(TRIM(N748),".",""),"/",""),"-","")," ",""),"(",""),")",""),"+",""),3,1)="9",LEFT(SUBSTITUTE(SUBSTITUTE(SUBSTITUTE(SUBSTITUTE(SUBSTITUTE(SUBSTITUTE(SUBSTITUTE(TRIM(N748),".",""),"/",""),"-","")," ",""),"(",""),")",""),"+",""),1)&lt;&gt;"0"),"OK",IF(LEN(SUBSTITUTE(SUBSTITUTE(SUBSTITUTE(SUBSTITUTE(SUBSTITUTE(SUBSTITUTE(SUBSTITUTE(TRIM(N748),".",""),"/",""),"-","")," ",""),"(",""),")",""),"+",""))=10,"ERRO: é fixo (ou falta o 9), use a coluna Telefone fixo","ERRO: DDD + 9 + 8 dígitos")))</f>
      </c>
      <c r="Y748" s="6">
        <f>IF(O748="","vazio",IF(AND(ISNUMBER(FIND("@",O748)),ISNUMBER(FIND(".",MID(O748,FIND("@",O748),99))),NOT(ISNUMBER(FIND(" ",TRIM(O748)))),NOT(ISNUMBER(FIND(";",O748))),NOT(ISNUMBER(FIND(",",O748)))),"OK","ERRO: um e-mail válido por linha"))</f>
      </c>
      <c r="Z748" s="6">
        <f>IF(AND(J748="",K748=""),"",IF(AND(J748&lt;&gt;"",K748&lt;&gt;""),"OK","pendente: só um nome (o GR completa ao converter)"))</f>
      </c>
      <c r="AA748" s="6">
        <f>IF(COUNTA(A748:S748)=0,"",IF(AND(A748&lt;&gt;"",B748&lt;&gt;"",C748&lt;&gt;"",D748&lt;&gt;"",E748&lt;&gt;"",F748&lt;&gt;"",G748&lt;&gt;"",H748&lt;&gt;"",OR(J748&lt;&gt;"",K748&lt;&gt;""),OR(M748&lt;&gt;"",N748&lt;&gt;"",O748&lt;&gt;"")),"OK","ERRO: faltam "&amp;IF(A748="","SDR; ","")&amp;IF(B748="","Proprietário; ","")&amp;IF(C748="","Origem; ","")&amp;IF(D748="","Temperatura; ","")&amp;IF(E748="","Segmento; ","")&amp;IF(F748="","Time/Cluster; ","")&amp;IF(G748="","CNPJ; ","")&amp;IF(H748="","Razão Social; ","")&amp;IF(AND(J748="",K748=""),"nome do contato; ","")&amp;IF(AND(M748="",N748="",O748=""),"telefone, celular ou e-mail; ","")))</f>
      </c>
      <c r="AB748" s="6">
        <f>IF(COUNTA(A748:S748)=0,"",IF(AND(U748="OK",V748="OK",LEFT(W748,4)&lt;&gt;"ERRO",LEFT(X748,4)&lt;&gt;"ERRO",LEFT(Y748,4)&lt;&gt;"ERRO",AA748="OK"),"OK","REVISAR"))</f>
      </c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5"/>
      <c r="K749" s="4"/>
      <c r="L749" s="4"/>
      <c r="M749" s="4"/>
      <c r="N749" s="4"/>
      <c r="O749" s="4"/>
      <c r="P749" s="4"/>
      <c r="Q749" s="4"/>
      <c r="R749" s="4"/>
      <c r="S749" s="4"/>
      <c r="T749" s="6">
        <f>IF(G749="","",SUBSTITUTE(SUBSTITUTE(SUBSTITUTE(SUBSTITUTE(SUBSTITUTE(SUBSTITUTE(SUBSTITUTE(TRIM(G749),".",""),"/",""),"-","")," ",""),"(",""),")",""),"+",""))</f>
      </c>
      <c r="U749" s="6">
        <f>IF(T749="","",IF(LEN(T749)&lt;&gt;14,"ERRO: "&amp;LEN(T749)&amp;" dígitos",IF(NOT(ISNUMBER(VALUE(T749))),"ERRO: não numérico",IF(LEN(SUBSTITUTE(T749,LEFT(T749,1),""))=0,"ERRO: dígitos repetidos",IF(AND(VALUE(MID(T749,13,1))=IF(MOD(SUMPRODUCT(--MID(T749,{1,2,3,4,5,6,7,8,9,10,11,12},1),{5,4,3,2,9,8,7,6,5,4,3,2}),11)&lt;2,0,11-MOD(SUMPRODUCT(--MID(T749,{1,2,3,4,5,6,7,8,9,10,11,12},1),{5,4,3,2,9,8,7,6,5,4,3,2}),11)),VALUE(MID(T749,14,1))=IF(MOD(SUMPRODUCT(--MID(T749,{1,2,3,4,5,6,7,8,9,10,11,12,13},1),{6,5,4,3,2,9,8,7,6,5,4,3,2}),11)&lt;2,0,11-MOD(SUMPRODUCT(--MID(T749,{1,2,3,4,5,6,7,8,9,10,11,12,13},1),{6,5,4,3,2,9,8,7,6,5,4,3,2}),11))),"OK","ERRO: dígito verificador")))))</f>
      </c>
      <c r="V749" s="6">
        <f>IF(T749="","",IF(COUNTIF($T$2:$T$1001,T749)&gt;1,"DUPLICADO","OK"))</f>
      </c>
      <c r="W749" s="6">
        <f>IF(M749="","vazio",IF(OR(AND(LEN(SUBSTITUTE(SUBSTITUTE(SUBSTITUTE(SUBSTITUTE(SUBSTITUTE(SUBSTITUTE(SUBSTITUTE(TRIM(M749),".",""),"/",""),"-","")," ",""),"(",""),")",""),"+",""))=10,LEFT(SUBSTITUTE(SUBSTITUTE(SUBSTITUTE(SUBSTITUTE(SUBSTITUTE(SUBSTITUTE(SUBSTITUTE(TRIM(M749),".",""),"/",""),"-","")," ",""),"(",""),")",""),"+",""),1)&lt;&gt;"0"),AND(LEN(SUBSTITUTE(SUBSTITUTE(SUBSTITUTE(SUBSTITUTE(SUBSTITUTE(SUBSTITUTE(SUBSTITUTE(TRIM(M749),".",""),"/",""),"-","")," ",""),"(",""),")",""),"+",""))=11,LEFT(SUBSTITUTE(SUBSTITUTE(SUBSTITUTE(SUBSTITUTE(SUBSTITUTE(SUBSTITUTE(SUBSTITUTE(TRIM(M749),".",""),"/",""),"-","")," ",""),"(",""),")",""),"+",""),4)="0800")),"OK",IF(AND(LEN(SUBSTITUTE(SUBSTITUTE(SUBSTITUTE(SUBSTITUTE(SUBSTITUTE(SUBSTITUTE(SUBSTITUTE(TRIM(M749),".",""),"/",""),"-","")," ",""),"(",""),")",""),"+",""))=11,MID(SUBSTITUTE(SUBSTITUTE(SUBSTITUTE(SUBSTITUTE(SUBSTITUTE(SUBSTITUTE(SUBSTITUTE(TRIM(M749),".",""),"/",""),"-","")," ",""),"(",""),")",""),"+",""),3,1)="9"),"ERRO: é celular, use a coluna Celular","ERRO: DDD + 8 dígitos ou 0800 + 7")))</f>
      </c>
      <c r="X749" s="6">
        <f>IF(N749="","vazio",IF(AND(LEN(SUBSTITUTE(SUBSTITUTE(SUBSTITUTE(SUBSTITUTE(SUBSTITUTE(SUBSTITUTE(SUBSTITUTE(TRIM(N749),".",""),"/",""),"-","")," ",""),"(",""),")",""),"+",""))=11,MID(SUBSTITUTE(SUBSTITUTE(SUBSTITUTE(SUBSTITUTE(SUBSTITUTE(SUBSTITUTE(SUBSTITUTE(TRIM(N749),".",""),"/",""),"-","")," ",""),"(",""),")",""),"+",""),3,1)="9",LEFT(SUBSTITUTE(SUBSTITUTE(SUBSTITUTE(SUBSTITUTE(SUBSTITUTE(SUBSTITUTE(SUBSTITUTE(TRIM(N749),".",""),"/",""),"-","")," ",""),"(",""),")",""),"+",""),1)&lt;&gt;"0"),"OK",IF(LEN(SUBSTITUTE(SUBSTITUTE(SUBSTITUTE(SUBSTITUTE(SUBSTITUTE(SUBSTITUTE(SUBSTITUTE(TRIM(N749),".",""),"/",""),"-","")," ",""),"(",""),")",""),"+",""))=10,"ERRO: é fixo (ou falta o 9), use a coluna Telefone fixo","ERRO: DDD + 9 + 8 dígitos")))</f>
      </c>
      <c r="Y749" s="6">
        <f>IF(O749="","vazio",IF(AND(ISNUMBER(FIND("@",O749)),ISNUMBER(FIND(".",MID(O749,FIND("@",O749),99))),NOT(ISNUMBER(FIND(" ",TRIM(O749)))),NOT(ISNUMBER(FIND(";",O749))),NOT(ISNUMBER(FIND(",",O749)))),"OK","ERRO: um e-mail válido por linha"))</f>
      </c>
      <c r="Z749" s="6">
        <f>IF(AND(J749="",K749=""),"",IF(AND(J749&lt;&gt;"",K749&lt;&gt;""),"OK","pendente: só um nome (o GR completa ao converter)"))</f>
      </c>
      <c r="AA749" s="6">
        <f>IF(COUNTA(A749:S749)=0,"",IF(AND(A749&lt;&gt;"",B749&lt;&gt;"",C749&lt;&gt;"",D749&lt;&gt;"",E749&lt;&gt;"",F749&lt;&gt;"",G749&lt;&gt;"",H749&lt;&gt;"",OR(J749&lt;&gt;"",K749&lt;&gt;""),OR(M749&lt;&gt;"",N749&lt;&gt;"",O749&lt;&gt;"")),"OK","ERRO: faltam "&amp;IF(A749="","SDR; ","")&amp;IF(B749="","Proprietário; ","")&amp;IF(C749="","Origem; ","")&amp;IF(D749="","Temperatura; ","")&amp;IF(E749="","Segmento; ","")&amp;IF(F749="","Time/Cluster; ","")&amp;IF(G749="","CNPJ; ","")&amp;IF(H749="","Razão Social; ","")&amp;IF(AND(J749="",K749=""),"nome do contato; ","")&amp;IF(AND(M749="",N749="",O749=""),"telefone, celular ou e-mail; ","")))</f>
      </c>
      <c r="AB749" s="6">
        <f>IF(COUNTA(A749:S749)=0,"",IF(AND(U749="OK",V749="OK",LEFT(W749,4)&lt;&gt;"ERRO",LEFT(X749,4)&lt;&gt;"ERRO",LEFT(Y749,4)&lt;&gt;"ERRO",AA749="OK"),"OK","REVISAR"))</f>
      </c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5"/>
      <c r="K750" s="4"/>
      <c r="L750" s="4"/>
      <c r="M750" s="4"/>
      <c r="N750" s="4"/>
      <c r="O750" s="4"/>
      <c r="P750" s="4"/>
      <c r="Q750" s="4"/>
      <c r="R750" s="4"/>
      <c r="S750" s="4"/>
      <c r="T750" s="6">
        <f>IF(G750="","",SUBSTITUTE(SUBSTITUTE(SUBSTITUTE(SUBSTITUTE(SUBSTITUTE(SUBSTITUTE(SUBSTITUTE(TRIM(G750),".",""),"/",""),"-","")," ",""),"(",""),")",""),"+",""))</f>
      </c>
      <c r="U750" s="6">
        <f>IF(T750="","",IF(LEN(T750)&lt;&gt;14,"ERRO: "&amp;LEN(T750)&amp;" dígitos",IF(NOT(ISNUMBER(VALUE(T750))),"ERRO: não numérico",IF(LEN(SUBSTITUTE(T750,LEFT(T750,1),""))=0,"ERRO: dígitos repetidos",IF(AND(VALUE(MID(T750,13,1))=IF(MOD(SUMPRODUCT(--MID(T750,{1,2,3,4,5,6,7,8,9,10,11,12},1),{5,4,3,2,9,8,7,6,5,4,3,2}),11)&lt;2,0,11-MOD(SUMPRODUCT(--MID(T750,{1,2,3,4,5,6,7,8,9,10,11,12},1),{5,4,3,2,9,8,7,6,5,4,3,2}),11)),VALUE(MID(T750,14,1))=IF(MOD(SUMPRODUCT(--MID(T750,{1,2,3,4,5,6,7,8,9,10,11,12,13},1),{6,5,4,3,2,9,8,7,6,5,4,3,2}),11)&lt;2,0,11-MOD(SUMPRODUCT(--MID(T750,{1,2,3,4,5,6,7,8,9,10,11,12,13},1),{6,5,4,3,2,9,8,7,6,5,4,3,2}),11))),"OK","ERRO: dígito verificador")))))</f>
      </c>
      <c r="V750" s="6">
        <f>IF(T750="","",IF(COUNTIF($T$2:$T$1001,T750)&gt;1,"DUPLICADO","OK"))</f>
      </c>
      <c r="W750" s="6">
        <f>IF(M750="","vazio",IF(OR(AND(LEN(SUBSTITUTE(SUBSTITUTE(SUBSTITUTE(SUBSTITUTE(SUBSTITUTE(SUBSTITUTE(SUBSTITUTE(TRIM(M750),".",""),"/",""),"-","")," ",""),"(",""),")",""),"+",""))=10,LEFT(SUBSTITUTE(SUBSTITUTE(SUBSTITUTE(SUBSTITUTE(SUBSTITUTE(SUBSTITUTE(SUBSTITUTE(TRIM(M750),".",""),"/",""),"-","")," ",""),"(",""),")",""),"+",""),1)&lt;&gt;"0"),AND(LEN(SUBSTITUTE(SUBSTITUTE(SUBSTITUTE(SUBSTITUTE(SUBSTITUTE(SUBSTITUTE(SUBSTITUTE(TRIM(M750),".",""),"/",""),"-","")," ",""),"(",""),")",""),"+",""))=11,LEFT(SUBSTITUTE(SUBSTITUTE(SUBSTITUTE(SUBSTITUTE(SUBSTITUTE(SUBSTITUTE(SUBSTITUTE(TRIM(M750),".",""),"/",""),"-","")," ",""),"(",""),")",""),"+",""),4)="0800")),"OK",IF(AND(LEN(SUBSTITUTE(SUBSTITUTE(SUBSTITUTE(SUBSTITUTE(SUBSTITUTE(SUBSTITUTE(SUBSTITUTE(TRIM(M750),".",""),"/",""),"-","")," ",""),"(",""),")",""),"+",""))=11,MID(SUBSTITUTE(SUBSTITUTE(SUBSTITUTE(SUBSTITUTE(SUBSTITUTE(SUBSTITUTE(SUBSTITUTE(TRIM(M750),".",""),"/",""),"-","")," ",""),"(",""),")",""),"+",""),3,1)="9"),"ERRO: é celular, use a coluna Celular","ERRO: DDD + 8 dígitos ou 0800 + 7")))</f>
      </c>
      <c r="X750" s="6">
        <f>IF(N750="","vazio",IF(AND(LEN(SUBSTITUTE(SUBSTITUTE(SUBSTITUTE(SUBSTITUTE(SUBSTITUTE(SUBSTITUTE(SUBSTITUTE(TRIM(N750),".",""),"/",""),"-","")," ",""),"(",""),")",""),"+",""))=11,MID(SUBSTITUTE(SUBSTITUTE(SUBSTITUTE(SUBSTITUTE(SUBSTITUTE(SUBSTITUTE(SUBSTITUTE(TRIM(N750),".",""),"/",""),"-","")," ",""),"(",""),")",""),"+",""),3,1)="9",LEFT(SUBSTITUTE(SUBSTITUTE(SUBSTITUTE(SUBSTITUTE(SUBSTITUTE(SUBSTITUTE(SUBSTITUTE(TRIM(N750),".",""),"/",""),"-","")," ",""),"(",""),")",""),"+",""),1)&lt;&gt;"0"),"OK",IF(LEN(SUBSTITUTE(SUBSTITUTE(SUBSTITUTE(SUBSTITUTE(SUBSTITUTE(SUBSTITUTE(SUBSTITUTE(TRIM(N750),".",""),"/",""),"-","")," ",""),"(",""),")",""),"+",""))=10,"ERRO: é fixo (ou falta o 9), use a coluna Telefone fixo","ERRO: DDD + 9 + 8 dígitos")))</f>
      </c>
      <c r="Y750" s="6">
        <f>IF(O750="","vazio",IF(AND(ISNUMBER(FIND("@",O750)),ISNUMBER(FIND(".",MID(O750,FIND("@",O750),99))),NOT(ISNUMBER(FIND(" ",TRIM(O750)))),NOT(ISNUMBER(FIND(";",O750))),NOT(ISNUMBER(FIND(",",O750)))),"OK","ERRO: um e-mail válido por linha"))</f>
      </c>
      <c r="Z750" s="6">
        <f>IF(AND(J750="",K750=""),"",IF(AND(J750&lt;&gt;"",K750&lt;&gt;""),"OK","pendente: só um nome (o GR completa ao converter)"))</f>
      </c>
      <c r="AA750" s="6">
        <f>IF(COUNTA(A750:S750)=0,"",IF(AND(A750&lt;&gt;"",B750&lt;&gt;"",C750&lt;&gt;"",D750&lt;&gt;"",E750&lt;&gt;"",F750&lt;&gt;"",G750&lt;&gt;"",H750&lt;&gt;"",OR(J750&lt;&gt;"",K750&lt;&gt;""),OR(M750&lt;&gt;"",N750&lt;&gt;"",O750&lt;&gt;"")),"OK","ERRO: faltam "&amp;IF(A750="","SDR; ","")&amp;IF(B750="","Proprietário; ","")&amp;IF(C750="","Origem; ","")&amp;IF(D750="","Temperatura; ","")&amp;IF(E750="","Segmento; ","")&amp;IF(F750="","Time/Cluster; ","")&amp;IF(G750="","CNPJ; ","")&amp;IF(H750="","Razão Social; ","")&amp;IF(AND(J750="",K750=""),"nome do contato; ","")&amp;IF(AND(M750="",N750="",O750=""),"telefone, celular ou e-mail; ","")))</f>
      </c>
      <c r="AB750" s="6">
        <f>IF(COUNTA(A750:S750)=0,"",IF(AND(U750="OK",V750="OK",LEFT(W750,4)&lt;&gt;"ERRO",LEFT(X750,4)&lt;&gt;"ERRO",LEFT(Y750,4)&lt;&gt;"ERRO",AA750="OK"),"OK","REVISAR"))</f>
      </c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5"/>
      <c r="K751" s="4"/>
      <c r="L751" s="4"/>
      <c r="M751" s="4"/>
      <c r="N751" s="4"/>
      <c r="O751" s="4"/>
      <c r="P751" s="4"/>
      <c r="Q751" s="4"/>
      <c r="R751" s="4"/>
      <c r="S751" s="4"/>
      <c r="T751" s="6">
        <f>IF(G751="","",SUBSTITUTE(SUBSTITUTE(SUBSTITUTE(SUBSTITUTE(SUBSTITUTE(SUBSTITUTE(SUBSTITUTE(TRIM(G751),".",""),"/",""),"-","")," ",""),"(",""),")",""),"+",""))</f>
      </c>
      <c r="U751" s="6">
        <f>IF(T751="","",IF(LEN(T751)&lt;&gt;14,"ERRO: "&amp;LEN(T751)&amp;" dígitos",IF(NOT(ISNUMBER(VALUE(T751))),"ERRO: não numérico",IF(LEN(SUBSTITUTE(T751,LEFT(T751,1),""))=0,"ERRO: dígitos repetidos",IF(AND(VALUE(MID(T751,13,1))=IF(MOD(SUMPRODUCT(--MID(T751,{1,2,3,4,5,6,7,8,9,10,11,12},1),{5,4,3,2,9,8,7,6,5,4,3,2}),11)&lt;2,0,11-MOD(SUMPRODUCT(--MID(T751,{1,2,3,4,5,6,7,8,9,10,11,12},1),{5,4,3,2,9,8,7,6,5,4,3,2}),11)),VALUE(MID(T751,14,1))=IF(MOD(SUMPRODUCT(--MID(T751,{1,2,3,4,5,6,7,8,9,10,11,12,13},1),{6,5,4,3,2,9,8,7,6,5,4,3,2}),11)&lt;2,0,11-MOD(SUMPRODUCT(--MID(T751,{1,2,3,4,5,6,7,8,9,10,11,12,13},1),{6,5,4,3,2,9,8,7,6,5,4,3,2}),11))),"OK","ERRO: dígito verificador")))))</f>
      </c>
      <c r="V751" s="6">
        <f>IF(T751="","",IF(COUNTIF($T$2:$T$1001,T751)&gt;1,"DUPLICADO","OK"))</f>
      </c>
      <c r="W751" s="6">
        <f>IF(M751="","vazio",IF(OR(AND(LEN(SUBSTITUTE(SUBSTITUTE(SUBSTITUTE(SUBSTITUTE(SUBSTITUTE(SUBSTITUTE(SUBSTITUTE(TRIM(M751),".",""),"/",""),"-","")," ",""),"(",""),")",""),"+",""))=10,LEFT(SUBSTITUTE(SUBSTITUTE(SUBSTITUTE(SUBSTITUTE(SUBSTITUTE(SUBSTITUTE(SUBSTITUTE(TRIM(M751),".",""),"/",""),"-","")," ",""),"(",""),")",""),"+",""),1)&lt;&gt;"0"),AND(LEN(SUBSTITUTE(SUBSTITUTE(SUBSTITUTE(SUBSTITUTE(SUBSTITUTE(SUBSTITUTE(SUBSTITUTE(TRIM(M751),".",""),"/",""),"-","")," ",""),"(",""),")",""),"+",""))=11,LEFT(SUBSTITUTE(SUBSTITUTE(SUBSTITUTE(SUBSTITUTE(SUBSTITUTE(SUBSTITUTE(SUBSTITUTE(TRIM(M751),".",""),"/",""),"-","")," ",""),"(",""),")",""),"+",""),4)="0800")),"OK",IF(AND(LEN(SUBSTITUTE(SUBSTITUTE(SUBSTITUTE(SUBSTITUTE(SUBSTITUTE(SUBSTITUTE(SUBSTITUTE(TRIM(M751),".",""),"/",""),"-","")," ",""),"(",""),")",""),"+",""))=11,MID(SUBSTITUTE(SUBSTITUTE(SUBSTITUTE(SUBSTITUTE(SUBSTITUTE(SUBSTITUTE(SUBSTITUTE(TRIM(M751),".",""),"/",""),"-","")," ",""),"(",""),")",""),"+",""),3,1)="9"),"ERRO: é celular, use a coluna Celular","ERRO: DDD + 8 dígitos ou 0800 + 7")))</f>
      </c>
      <c r="X751" s="6">
        <f>IF(N751="","vazio",IF(AND(LEN(SUBSTITUTE(SUBSTITUTE(SUBSTITUTE(SUBSTITUTE(SUBSTITUTE(SUBSTITUTE(SUBSTITUTE(TRIM(N751),".",""),"/",""),"-","")," ",""),"(",""),")",""),"+",""))=11,MID(SUBSTITUTE(SUBSTITUTE(SUBSTITUTE(SUBSTITUTE(SUBSTITUTE(SUBSTITUTE(SUBSTITUTE(TRIM(N751),".",""),"/",""),"-","")," ",""),"(",""),")",""),"+",""),3,1)="9",LEFT(SUBSTITUTE(SUBSTITUTE(SUBSTITUTE(SUBSTITUTE(SUBSTITUTE(SUBSTITUTE(SUBSTITUTE(TRIM(N751),".",""),"/",""),"-","")," ",""),"(",""),")",""),"+",""),1)&lt;&gt;"0"),"OK",IF(LEN(SUBSTITUTE(SUBSTITUTE(SUBSTITUTE(SUBSTITUTE(SUBSTITUTE(SUBSTITUTE(SUBSTITUTE(TRIM(N751),".",""),"/",""),"-","")," ",""),"(",""),")",""),"+",""))=10,"ERRO: é fixo (ou falta o 9), use a coluna Telefone fixo","ERRO: DDD + 9 + 8 dígitos")))</f>
      </c>
      <c r="Y751" s="6">
        <f>IF(O751="","vazio",IF(AND(ISNUMBER(FIND("@",O751)),ISNUMBER(FIND(".",MID(O751,FIND("@",O751),99))),NOT(ISNUMBER(FIND(" ",TRIM(O751)))),NOT(ISNUMBER(FIND(";",O751))),NOT(ISNUMBER(FIND(",",O751)))),"OK","ERRO: um e-mail válido por linha"))</f>
      </c>
      <c r="Z751" s="6">
        <f>IF(AND(J751="",K751=""),"",IF(AND(J751&lt;&gt;"",K751&lt;&gt;""),"OK","pendente: só um nome (o GR completa ao converter)"))</f>
      </c>
      <c r="AA751" s="6">
        <f>IF(COUNTA(A751:S751)=0,"",IF(AND(A751&lt;&gt;"",B751&lt;&gt;"",C751&lt;&gt;"",D751&lt;&gt;"",E751&lt;&gt;"",F751&lt;&gt;"",G751&lt;&gt;"",H751&lt;&gt;"",OR(J751&lt;&gt;"",K751&lt;&gt;""),OR(M751&lt;&gt;"",N751&lt;&gt;"",O751&lt;&gt;"")),"OK","ERRO: faltam "&amp;IF(A751="","SDR; ","")&amp;IF(B751="","Proprietário; ","")&amp;IF(C751="","Origem; ","")&amp;IF(D751="","Temperatura; ","")&amp;IF(E751="","Segmento; ","")&amp;IF(F751="","Time/Cluster; ","")&amp;IF(G751="","CNPJ; ","")&amp;IF(H751="","Razão Social; ","")&amp;IF(AND(J751="",K751=""),"nome do contato; ","")&amp;IF(AND(M751="",N751="",O751=""),"telefone, celular ou e-mail; ","")))</f>
      </c>
      <c r="AB751" s="6">
        <f>IF(COUNTA(A751:S751)=0,"",IF(AND(U751="OK",V751="OK",LEFT(W751,4)&lt;&gt;"ERRO",LEFT(X751,4)&lt;&gt;"ERRO",LEFT(Y751,4)&lt;&gt;"ERRO",AA751="OK"),"OK","REVISAR"))</f>
      </c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5"/>
      <c r="K752" s="4"/>
      <c r="L752" s="4"/>
      <c r="M752" s="4"/>
      <c r="N752" s="4"/>
      <c r="O752" s="4"/>
      <c r="P752" s="4"/>
      <c r="Q752" s="4"/>
      <c r="R752" s="4"/>
      <c r="S752" s="4"/>
      <c r="T752" s="6">
        <f>IF(G752="","",SUBSTITUTE(SUBSTITUTE(SUBSTITUTE(SUBSTITUTE(SUBSTITUTE(SUBSTITUTE(SUBSTITUTE(TRIM(G752),".",""),"/",""),"-","")," ",""),"(",""),")",""),"+",""))</f>
      </c>
      <c r="U752" s="6">
        <f>IF(T752="","",IF(LEN(T752)&lt;&gt;14,"ERRO: "&amp;LEN(T752)&amp;" dígitos",IF(NOT(ISNUMBER(VALUE(T752))),"ERRO: não numérico",IF(LEN(SUBSTITUTE(T752,LEFT(T752,1),""))=0,"ERRO: dígitos repetidos",IF(AND(VALUE(MID(T752,13,1))=IF(MOD(SUMPRODUCT(--MID(T752,{1,2,3,4,5,6,7,8,9,10,11,12},1),{5,4,3,2,9,8,7,6,5,4,3,2}),11)&lt;2,0,11-MOD(SUMPRODUCT(--MID(T752,{1,2,3,4,5,6,7,8,9,10,11,12},1),{5,4,3,2,9,8,7,6,5,4,3,2}),11)),VALUE(MID(T752,14,1))=IF(MOD(SUMPRODUCT(--MID(T752,{1,2,3,4,5,6,7,8,9,10,11,12,13},1),{6,5,4,3,2,9,8,7,6,5,4,3,2}),11)&lt;2,0,11-MOD(SUMPRODUCT(--MID(T752,{1,2,3,4,5,6,7,8,9,10,11,12,13},1),{6,5,4,3,2,9,8,7,6,5,4,3,2}),11))),"OK","ERRO: dígito verificador")))))</f>
      </c>
      <c r="V752" s="6">
        <f>IF(T752="","",IF(COUNTIF($T$2:$T$1001,T752)&gt;1,"DUPLICADO","OK"))</f>
      </c>
      <c r="W752" s="6">
        <f>IF(M752="","vazio",IF(OR(AND(LEN(SUBSTITUTE(SUBSTITUTE(SUBSTITUTE(SUBSTITUTE(SUBSTITUTE(SUBSTITUTE(SUBSTITUTE(TRIM(M752),".",""),"/",""),"-","")," ",""),"(",""),")",""),"+",""))=10,LEFT(SUBSTITUTE(SUBSTITUTE(SUBSTITUTE(SUBSTITUTE(SUBSTITUTE(SUBSTITUTE(SUBSTITUTE(TRIM(M752),".",""),"/",""),"-","")," ",""),"(",""),")",""),"+",""),1)&lt;&gt;"0"),AND(LEN(SUBSTITUTE(SUBSTITUTE(SUBSTITUTE(SUBSTITUTE(SUBSTITUTE(SUBSTITUTE(SUBSTITUTE(TRIM(M752),".",""),"/",""),"-","")," ",""),"(",""),")",""),"+",""))=11,LEFT(SUBSTITUTE(SUBSTITUTE(SUBSTITUTE(SUBSTITUTE(SUBSTITUTE(SUBSTITUTE(SUBSTITUTE(TRIM(M752),".",""),"/",""),"-","")," ",""),"(",""),")",""),"+",""),4)="0800")),"OK",IF(AND(LEN(SUBSTITUTE(SUBSTITUTE(SUBSTITUTE(SUBSTITUTE(SUBSTITUTE(SUBSTITUTE(SUBSTITUTE(TRIM(M752),".",""),"/",""),"-","")," ",""),"(",""),")",""),"+",""))=11,MID(SUBSTITUTE(SUBSTITUTE(SUBSTITUTE(SUBSTITUTE(SUBSTITUTE(SUBSTITUTE(SUBSTITUTE(TRIM(M752),".",""),"/",""),"-","")," ",""),"(",""),")",""),"+",""),3,1)="9"),"ERRO: é celular, use a coluna Celular","ERRO: DDD + 8 dígitos ou 0800 + 7")))</f>
      </c>
      <c r="X752" s="6">
        <f>IF(N752="","vazio",IF(AND(LEN(SUBSTITUTE(SUBSTITUTE(SUBSTITUTE(SUBSTITUTE(SUBSTITUTE(SUBSTITUTE(SUBSTITUTE(TRIM(N752),".",""),"/",""),"-","")," ",""),"(",""),")",""),"+",""))=11,MID(SUBSTITUTE(SUBSTITUTE(SUBSTITUTE(SUBSTITUTE(SUBSTITUTE(SUBSTITUTE(SUBSTITUTE(TRIM(N752),".",""),"/",""),"-","")," ",""),"(",""),")",""),"+",""),3,1)="9",LEFT(SUBSTITUTE(SUBSTITUTE(SUBSTITUTE(SUBSTITUTE(SUBSTITUTE(SUBSTITUTE(SUBSTITUTE(TRIM(N752),".",""),"/",""),"-","")," ",""),"(",""),")",""),"+",""),1)&lt;&gt;"0"),"OK",IF(LEN(SUBSTITUTE(SUBSTITUTE(SUBSTITUTE(SUBSTITUTE(SUBSTITUTE(SUBSTITUTE(SUBSTITUTE(TRIM(N752),".",""),"/",""),"-","")," ",""),"(",""),")",""),"+",""))=10,"ERRO: é fixo (ou falta o 9), use a coluna Telefone fixo","ERRO: DDD + 9 + 8 dígitos")))</f>
      </c>
      <c r="Y752" s="6">
        <f>IF(O752="","vazio",IF(AND(ISNUMBER(FIND("@",O752)),ISNUMBER(FIND(".",MID(O752,FIND("@",O752),99))),NOT(ISNUMBER(FIND(" ",TRIM(O752)))),NOT(ISNUMBER(FIND(";",O752))),NOT(ISNUMBER(FIND(",",O752)))),"OK","ERRO: um e-mail válido por linha"))</f>
      </c>
      <c r="Z752" s="6">
        <f>IF(AND(J752="",K752=""),"",IF(AND(J752&lt;&gt;"",K752&lt;&gt;""),"OK","pendente: só um nome (o GR completa ao converter)"))</f>
      </c>
      <c r="AA752" s="6">
        <f>IF(COUNTA(A752:S752)=0,"",IF(AND(A752&lt;&gt;"",B752&lt;&gt;"",C752&lt;&gt;"",D752&lt;&gt;"",E752&lt;&gt;"",F752&lt;&gt;"",G752&lt;&gt;"",H752&lt;&gt;"",OR(J752&lt;&gt;"",K752&lt;&gt;""),OR(M752&lt;&gt;"",N752&lt;&gt;"",O752&lt;&gt;"")),"OK","ERRO: faltam "&amp;IF(A752="","SDR; ","")&amp;IF(B752="","Proprietário; ","")&amp;IF(C752="","Origem; ","")&amp;IF(D752="","Temperatura; ","")&amp;IF(E752="","Segmento; ","")&amp;IF(F752="","Time/Cluster; ","")&amp;IF(G752="","CNPJ; ","")&amp;IF(H752="","Razão Social; ","")&amp;IF(AND(J752="",K752=""),"nome do contato; ","")&amp;IF(AND(M752="",N752="",O752=""),"telefone, celular ou e-mail; ","")))</f>
      </c>
      <c r="AB752" s="6">
        <f>IF(COUNTA(A752:S752)=0,"",IF(AND(U752="OK",V752="OK",LEFT(W752,4)&lt;&gt;"ERRO",LEFT(X752,4)&lt;&gt;"ERRO",LEFT(Y752,4)&lt;&gt;"ERRO",AA752="OK"),"OK","REVISAR"))</f>
      </c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5"/>
      <c r="K753" s="4"/>
      <c r="L753" s="4"/>
      <c r="M753" s="4"/>
      <c r="N753" s="4"/>
      <c r="O753" s="4"/>
      <c r="P753" s="4"/>
      <c r="Q753" s="4"/>
      <c r="R753" s="4"/>
      <c r="S753" s="4"/>
      <c r="T753" s="6">
        <f>IF(G753="","",SUBSTITUTE(SUBSTITUTE(SUBSTITUTE(SUBSTITUTE(SUBSTITUTE(SUBSTITUTE(SUBSTITUTE(TRIM(G753),".",""),"/",""),"-","")," ",""),"(",""),")",""),"+",""))</f>
      </c>
      <c r="U753" s="6">
        <f>IF(T753="","",IF(LEN(T753)&lt;&gt;14,"ERRO: "&amp;LEN(T753)&amp;" dígitos",IF(NOT(ISNUMBER(VALUE(T753))),"ERRO: não numérico",IF(LEN(SUBSTITUTE(T753,LEFT(T753,1),""))=0,"ERRO: dígitos repetidos",IF(AND(VALUE(MID(T753,13,1))=IF(MOD(SUMPRODUCT(--MID(T753,{1,2,3,4,5,6,7,8,9,10,11,12},1),{5,4,3,2,9,8,7,6,5,4,3,2}),11)&lt;2,0,11-MOD(SUMPRODUCT(--MID(T753,{1,2,3,4,5,6,7,8,9,10,11,12},1),{5,4,3,2,9,8,7,6,5,4,3,2}),11)),VALUE(MID(T753,14,1))=IF(MOD(SUMPRODUCT(--MID(T753,{1,2,3,4,5,6,7,8,9,10,11,12,13},1),{6,5,4,3,2,9,8,7,6,5,4,3,2}),11)&lt;2,0,11-MOD(SUMPRODUCT(--MID(T753,{1,2,3,4,5,6,7,8,9,10,11,12,13},1),{6,5,4,3,2,9,8,7,6,5,4,3,2}),11))),"OK","ERRO: dígito verificador")))))</f>
      </c>
      <c r="V753" s="6">
        <f>IF(T753="","",IF(COUNTIF($T$2:$T$1001,T753)&gt;1,"DUPLICADO","OK"))</f>
      </c>
      <c r="W753" s="6">
        <f>IF(M753="","vazio",IF(OR(AND(LEN(SUBSTITUTE(SUBSTITUTE(SUBSTITUTE(SUBSTITUTE(SUBSTITUTE(SUBSTITUTE(SUBSTITUTE(TRIM(M753),".",""),"/",""),"-","")," ",""),"(",""),")",""),"+",""))=10,LEFT(SUBSTITUTE(SUBSTITUTE(SUBSTITUTE(SUBSTITUTE(SUBSTITUTE(SUBSTITUTE(SUBSTITUTE(TRIM(M753),".",""),"/",""),"-","")," ",""),"(",""),")",""),"+",""),1)&lt;&gt;"0"),AND(LEN(SUBSTITUTE(SUBSTITUTE(SUBSTITUTE(SUBSTITUTE(SUBSTITUTE(SUBSTITUTE(SUBSTITUTE(TRIM(M753),".",""),"/",""),"-","")," ",""),"(",""),")",""),"+",""))=11,LEFT(SUBSTITUTE(SUBSTITUTE(SUBSTITUTE(SUBSTITUTE(SUBSTITUTE(SUBSTITUTE(SUBSTITUTE(TRIM(M753),".",""),"/",""),"-","")," ",""),"(",""),")",""),"+",""),4)="0800")),"OK",IF(AND(LEN(SUBSTITUTE(SUBSTITUTE(SUBSTITUTE(SUBSTITUTE(SUBSTITUTE(SUBSTITUTE(SUBSTITUTE(TRIM(M753),".",""),"/",""),"-","")," ",""),"(",""),")",""),"+",""))=11,MID(SUBSTITUTE(SUBSTITUTE(SUBSTITUTE(SUBSTITUTE(SUBSTITUTE(SUBSTITUTE(SUBSTITUTE(TRIM(M753),".",""),"/",""),"-","")," ",""),"(",""),")",""),"+",""),3,1)="9"),"ERRO: é celular, use a coluna Celular","ERRO: DDD + 8 dígitos ou 0800 + 7")))</f>
      </c>
      <c r="X753" s="6">
        <f>IF(N753="","vazio",IF(AND(LEN(SUBSTITUTE(SUBSTITUTE(SUBSTITUTE(SUBSTITUTE(SUBSTITUTE(SUBSTITUTE(SUBSTITUTE(TRIM(N753),".",""),"/",""),"-","")," ",""),"(",""),")",""),"+",""))=11,MID(SUBSTITUTE(SUBSTITUTE(SUBSTITUTE(SUBSTITUTE(SUBSTITUTE(SUBSTITUTE(SUBSTITUTE(TRIM(N753),".",""),"/",""),"-","")," ",""),"(",""),")",""),"+",""),3,1)="9",LEFT(SUBSTITUTE(SUBSTITUTE(SUBSTITUTE(SUBSTITUTE(SUBSTITUTE(SUBSTITUTE(SUBSTITUTE(TRIM(N753),".",""),"/",""),"-","")," ",""),"(",""),")",""),"+",""),1)&lt;&gt;"0"),"OK",IF(LEN(SUBSTITUTE(SUBSTITUTE(SUBSTITUTE(SUBSTITUTE(SUBSTITUTE(SUBSTITUTE(SUBSTITUTE(TRIM(N753),".",""),"/",""),"-","")," ",""),"(",""),")",""),"+",""))=10,"ERRO: é fixo (ou falta o 9), use a coluna Telefone fixo","ERRO: DDD + 9 + 8 dígitos")))</f>
      </c>
      <c r="Y753" s="6">
        <f>IF(O753="","vazio",IF(AND(ISNUMBER(FIND("@",O753)),ISNUMBER(FIND(".",MID(O753,FIND("@",O753),99))),NOT(ISNUMBER(FIND(" ",TRIM(O753)))),NOT(ISNUMBER(FIND(";",O753))),NOT(ISNUMBER(FIND(",",O753)))),"OK","ERRO: um e-mail válido por linha"))</f>
      </c>
      <c r="Z753" s="6">
        <f>IF(AND(J753="",K753=""),"",IF(AND(J753&lt;&gt;"",K753&lt;&gt;""),"OK","pendente: só um nome (o GR completa ao converter)"))</f>
      </c>
      <c r="AA753" s="6">
        <f>IF(COUNTA(A753:S753)=0,"",IF(AND(A753&lt;&gt;"",B753&lt;&gt;"",C753&lt;&gt;"",D753&lt;&gt;"",E753&lt;&gt;"",F753&lt;&gt;"",G753&lt;&gt;"",H753&lt;&gt;"",OR(J753&lt;&gt;"",K753&lt;&gt;""),OR(M753&lt;&gt;"",N753&lt;&gt;"",O753&lt;&gt;"")),"OK","ERRO: faltam "&amp;IF(A753="","SDR; ","")&amp;IF(B753="","Proprietário; ","")&amp;IF(C753="","Origem; ","")&amp;IF(D753="","Temperatura; ","")&amp;IF(E753="","Segmento; ","")&amp;IF(F753="","Time/Cluster; ","")&amp;IF(G753="","CNPJ; ","")&amp;IF(H753="","Razão Social; ","")&amp;IF(AND(J753="",K753=""),"nome do contato; ","")&amp;IF(AND(M753="",N753="",O753=""),"telefone, celular ou e-mail; ","")))</f>
      </c>
      <c r="AB753" s="6">
        <f>IF(COUNTA(A753:S753)=0,"",IF(AND(U753="OK",V753="OK",LEFT(W753,4)&lt;&gt;"ERRO",LEFT(X753,4)&lt;&gt;"ERRO",LEFT(Y753,4)&lt;&gt;"ERRO",AA753="OK"),"OK","REVISAR"))</f>
      </c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5"/>
      <c r="K754" s="4"/>
      <c r="L754" s="4"/>
      <c r="M754" s="4"/>
      <c r="N754" s="4"/>
      <c r="O754" s="4"/>
      <c r="P754" s="4"/>
      <c r="Q754" s="4"/>
      <c r="R754" s="4"/>
      <c r="S754" s="4"/>
      <c r="T754" s="6">
        <f>IF(G754="","",SUBSTITUTE(SUBSTITUTE(SUBSTITUTE(SUBSTITUTE(SUBSTITUTE(SUBSTITUTE(SUBSTITUTE(TRIM(G754),".",""),"/",""),"-","")," ",""),"(",""),")",""),"+",""))</f>
      </c>
      <c r="U754" s="6">
        <f>IF(T754="","",IF(LEN(T754)&lt;&gt;14,"ERRO: "&amp;LEN(T754)&amp;" dígitos",IF(NOT(ISNUMBER(VALUE(T754))),"ERRO: não numérico",IF(LEN(SUBSTITUTE(T754,LEFT(T754,1),""))=0,"ERRO: dígitos repetidos",IF(AND(VALUE(MID(T754,13,1))=IF(MOD(SUMPRODUCT(--MID(T754,{1,2,3,4,5,6,7,8,9,10,11,12},1),{5,4,3,2,9,8,7,6,5,4,3,2}),11)&lt;2,0,11-MOD(SUMPRODUCT(--MID(T754,{1,2,3,4,5,6,7,8,9,10,11,12},1),{5,4,3,2,9,8,7,6,5,4,3,2}),11)),VALUE(MID(T754,14,1))=IF(MOD(SUMPRODUCT(--MID(T754,{1,2,3,4,5,6,7,8,9,10,11,12,13},1),{6,5,4,3,2,9,8,7,6,5,4,3,2}),11)&lt;2,0,11-MOD(SUMPRODUCT(--MID(T754,{1,2,3,4,5,6,7,8,9,10,11,12,13},1),{6,5,4,3,2,9,8,7,6,5,4,3,2}),11))),"OK","ERRO: dígito verificador")))))</f>
      </c>
      <c r="V754" s="6">
        <f>IF(T754="","",IF(COUNTIF($T$2:$T$1001,T754)&gt;1,"DUPLICADO","OK"))</f>
      </c>
      <c r="W754" s="6">
        <f>IF(M754="","vazio",IF(OR(AND(LEN(SUBSTITUTE(SUBSTITUTE(SUBSTITUTE(SUBSTITUTE(SUBSTITUTE(SUBSTITUTE(SUBSTITUTE(TRIM(M754),".",""),"/",""),"-","")," ",""),"(",""),")",""),"+",""))=10,LEFT(SUBSTITUTE(SUBSTITUTE(SUBSTITUTE(SUBSTITUTE(SUBSTITUTE(SUBSTITUTE(SUBSTITUTE(TRIM(M754),".",""),"/",""),"-","")," ",""),"(",""),")",""),"+",""),1)&lt;&gt;"0"),AND(LEN(SUBSTITUTE(SUBSTITUTE(SUBSTITUTE(SUBSTITUTE(SUBSTITUTE(SUBSTITUTE(SUBSTITUTE(TRIM(M754),".",""),"/",""),"-","")," ",""),"(",""),")",""),"+",""))=11,LEFT(SUBSTITUTE(SUBSTITUTE(SUBSTITUTE(SUBSTITUTE(SUBSTITUTE(SUBSTITUTE(SUBSTITUTE(TRIM(M754),".",""),"/",""),"-","")," ",""),"(",""),")",""),"+",""),4)="0800")),"OK",IF(AND(LEN(SUBSTITUTE(SUBSTITUTE(SUBSTITUTE(SUBSTITUTE(SUBSTITUTE(SUBSTITUTE(SUBSTITUTE(TRIM(M754),".",""),"/",""),"-","")," ",""),"(",""),")",""),"+",""))=11,MID(SUBSTITUTE(SUBSTITUTE(SUBSTITUTE(SUBSTITUTE(SUBSTITUTE(SUBSTITUTE(SUBSTITUTE(TRIM(M754),".",""),"/",""),"-","")," ",""),"(",""),")",""),"+",""),3,1)="9"),"ERRO: é celular, use a coluna Celular","ERRO: DDD + 8 dígitos ou 0800 + 7")))</f>
      </c>
      <c r="X754" s="6">
        <f>IF(N754="","vazio",IF(AND(LEN(SUBSTITUTE(SUBSTITUTE(SUBSTITUTE(SUBSTITUTE(SUBSTITUTE(SUBSTITUTE(SUBSTITUTE(TRIM(N754),".",""),"/",""),"-","")," ",""),"(",""),")",""),"+",""))=11,MID(SUBSTITUTE(SUBSTITUTE(SUBSTITUTE(SUBSTITUTE(SUBSTITUTE(SUBSTITUTE(SUBSTITUTE(TRIM(N754),".",""),"/",""),"-","")," ",""),"(",""),")",""),"+",""),3,1)="9",LEFT(SUBSTITUTE(SUBSTITUTE(SUBSTITUTE(SUBSTITUTE(SUBSTITUTE(SUBSTITUTE(SUBSTITUTE(TRIM(N754),".",""),"/",""),"-","")," ",""),"(",""),")",""),"+",""),1)&lt;&gt;"0"),"OK",IF(LEN(SUBSTITUTE(SUBSTITUTE(SUBSTITUTE(SUBSTITUTE(SUBSTITUTE(SUBSTITUTE(SUBSTITUTE(TRIM(N754),".",""),"/",""),"-","")," ",""),"(",""),")",""),"+",""))=10,"ERRO: é fixo (ou falta o 9), use a coluna Telefone fixo","ERRO: DDD + 9 + 8 dígitos")))</f>
      </c>
      <c r="Y754" s="6">
        <f>IF(O754="","vazio",IF(AND(ISNUMBER(FIND("@",O754)),ISNUMBER(FIND(".",MID(O754,FIND("@",O754),99))),NOT(ISNUMBER(FIND(" ",TRIM(O754)))),NOT(ISNUMBER(FIND(";",O754))),NOT(ISNUMBER(FIND(",",O754)))),"OK","ERRO: um e-mail válido por linha"))</f>
      </c>
      <c r="Z754" s="6">
        <f>IF(AND(J754="",K754=""),"",IF(AND(J754&lt;&gt;"",K754&lt;&gt;""),"OK","pendente: só um nome (o GR completa ao converter)"))</f>
      </c>
      <c r="AA754" s="6">
        <f>IF(COUNTA(A754:S754)=0,"",IF(AND(A754&lt;&gt;"",B754&lt;&gt;"",C754&lt;&gt;"",D754&lt;&gt;"",E754&lt;&gt;"",F754&lt;&gt;"",G754&lt;&gt;"",H754&lt;&gt;"",OR(J754&lt;&gt;"",K754&lt;&gt;""),OR(M754&lt;&gt;"",N754&lt;&gt;"",O754&lt;&gt;"")),"OK","ERRO: faltam "&amp;IF(A754="","SDR; ","")&amp;IF(B754="","Proprietário; ","")&amp;IF(C754="","Origem; ","")&amp;IF(D754="","Temperatura; ","")&amp;IF(E754="","Segmento; ","")&amp;IF(F754="","Time/Cluster; ","")&amp;IF(G754="","CNPJ; ","")&amp;IF(H754="","Razão Social; ","")&amp;IF(AND(J754="",K754=""),"nome do contato; ","")&amp;IF(AND(M754="",N754="",O754=""),"telefone, celular ou e-mail; ","")))</f>
      </c>
      <c r="AB754" s="6">
        <f>IF(COUNTA(A754:S754)=0,"",IF(AND(U754="OK",V754="OK",LEFT(W754,4)&lt;&gt;"ERRO",LEFT(X754,4)&lt;&gt;"ERRO",LEFT(Y754,4)&lt;&gt;"ERRO",AA754="OK"),"OK","REVISAR"))</f>
      </c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5"/>
      <c r="K755" s="4"/>
      <c r="L755" s="4"/>
      <c r="M755" s="4"/>
      <c r="N755" s="4"/>
      <c r="O755" s="4"/>
      <c r="P755" s="4"/>
      <c r="Q755" s="4"/>
      <c r="R755" s="4"/>
      <c r="S755" s="4"/>
      <c r="T755" s="6">
        <f>IF(G755="","",SUBSTITUTE(SUBSTITUTE(SUBSTITUTE(SUBSTITUTE(SUBSTITUTE(SUBSTITUTE(SUBSTITUTE(TRIM(G755),".",""),"/",""),"-","")," ",""),"(",""),")",""),"+",""))</f>
      </c>
      <c r="U755" s="6">
        <f>IF(T755="","",IF(LEN(T755)&lt;&gt;14,"ERRO: "&amp;LEN(T755)&amp;" dígitos",IF(NOT(ISNUMBER(VALUE(T755))),"ERRO: não numérico",IF(LEN(SUBSTITUTE(T755,LEFT(T755,1),""))=0,"ERRO: dígitos repetidos",IF(AND(VALUE(MID(T755,13,1))=IF(MOD(SUMPRODUCT(--MID(T755,{1,2,3,4,5,6,7,8,9,10,11,12},1),{5,4,3,2,9,8,7,6,5,4,3,2}),11)&lt;2,0,11-MOD(SUMPRODUCT(--MID(T755,{1,2,3,4,5,6,7,8,9,10,11,12},1),{5,4,3,2,9,8,7,6,5,4,3,2}),11)),VALUE(MID(T755,14,1))=IF(MOD(SUMPRODUCT(--MID(T755,{1,2,3,4,5,6,7,8,9,10,11,12,13},1),{6,5,4,3,2,9,8,7,6,5,4,3,2}),11)&lt;2,0,11-MOD(SUMPRODUCT(--MID(T755,{1,2,3,4,5,6,7,8,9,10,11,12,13},1),{6,5,4,3,2,9,8,7,6,5,4,3,2}),11))),"OK","ERRO: dígito verificador")))))</f>
      </c>
      <c r="V755" s="6">
        <f>IF(T755="","",IF(COUNTIF($T$2:$T$1001,T755)&gt;1,"DUPLICADO","OK"))</f>
      </c>
      <c r="W755" s="6">
        <f>IF(M755="","vazio",IF(OR(AND(LEN(SUBSTITUTE(SUBSTITUTE(SUBSTITUTE(SUBSTITUTE(SUBSTITUTE(SUBSTITUTE(SUBSTITUTE(TRIM(M755),".",""),"/",""),"-","")," ",""),"(",""),")",""),"+",""))=10,LEFT(SUBSTITUTE(SUBSTITUTE(SUBSTITUTE(SUBSTITUTE(SUBSTITUTE(SUBSTITUTE(SUBSTITUTE(TRIM(M755),".",""),"/",""),"-","")," ",""),"(",""),")",""),"+",""),1)&lt;&gt;"0"),AND(LEN(SUBSTITUTE(SUBSTITUTE(SUBSTITUTE(SUBSTITUTE(SUBSTITUTE(SUBSTITUTE(SUBSTITUTE(TRIM(M755),".",""),"/",""),"-","")," ",""),"(",""),")",""),"+",""))=11,LEFT(SUBSTITUTE(SUBSTITUTE(SUBSTITUTE(SUBSTITUTE(SUBSTITUTE(SUBSTITUTE(SUBSTITUTE(TRIM(M755),".",""),"/",""),"-","")," ",""),"(",""),")",""),"+",""),4)="0800")),"OK",IF(AND(LEN(SUBSTITUTE(SUBSTITUTE(SUBSTITUTE(SUBSTITUTE(SUBSTITUTE(SUBSTITUTE(SUBSTITUTE(TRIM(M755),".",""),"/",""),"-","")," ",""),"(",""),")",""),"+",""))=11,MID(SUBSTITUTE(SUBSTITUTE(SUBSTITUTE(SUBSTITUTE(SUBSTITUTE(SUBSTITUTE(SUBSTITUTE(TRIM(M755),".",""),"/",""),"-","")," ",""),"(",""),")",""),"+",""),3,1)="9"),"ERRO: é celular, use a coluna Celular","ERRO: DDD + 8 dígitos ou 0800 + 7")))</f>
      </c>
      <c r="X755" s="6">
        <f>IF(N755="","vazio",IF(AND(LEN(SUBSTITUTE(SUBSTITUTE(SUBSTITUTE(SUBSTITUTE(SUBSTITUTE(SUBSTITUTE(SUBSTITUTE(TRIM(N755),".",""),"/",""),"-","")," ",""),"(",""),")",""),"+",""))=11,MID(SUBSTITUTE(SUBSTITUTE(SUBSTITUTE(SUBSTITUTE(SUBSTITUTE(SUBSTITUTE(SUBSTITUTE(TRIM(N755),".",""),"/",""),"-","")," ",""),"(",""),")",""),"+",""),3,1)="9",LEFT(SUBSTITUTE(SUBSTITUTE(SUBSTITUTE(SUBSTITUTE(SUBSTITUTE(SUBSTITUTE(SUBSTITUTE(TRIM(N755),".",""),"/",""),"-","")," ",""),"(",""),")",""),"+",""),1)&lt;&gt;"0"),"OK",IF(LEN(SUBSTITUTE(SUBSTITUTE(SUBSTITUTE(SUBSTITUTE(SUBSTITUTE(SUBSTITUTE(SUBSTITUTE(TRIM(N755),".",""),"/",""),"-","")," ",""),"(",""),")",""),"+",""))=10,"ERRO: é fixo (ou falta o 9), use a coluna Telefone fixo","ERRO: DDD + 9 + 8 dígitos")))</f>
      </c>
      <c r="Y755" s="6">
        <f>IF(O755="","vazio",IF(AND(ISNUMBER(FIND("@",O755)),ISNUMBER(FIND(".",MID(O755,FIND("@",O755),99))),NOT(ISNUMBER(FIND(" ",TRIM(O755)))),NOT(ISNUMBER(FIND(";",O755))),NOT(ISNUMBER(FIND(",",O755)))),"OK","ERRO: um e-mail válido por linha"))</f>
      </c>
      <c r="Z755" s="6">
        <f>IF(AND(J755="",K755=""),"",IF(AND(J755&lt;&gt;"",K755&lt;&gt;""),"OK","pendente: só um nome (o GR completa ao converter)"))</f>
      </c>
      <c r="AA755" s="6">
        <f>IF(COUNTA(A755:S755)=0,"",IF(AND(A755&lt;&gt;"",B755&lt;&gt;"",C755&lt;&gt;"",D755&lt;&gt;"",E755&lt;&gt;"",F755&lt;&gt;"",G755&lt;&gt;"",H755&lt;&gt;"",OR(J755&lt;&gt;"",K755&lt;&gt;""),OR(M755&lt;&gt;"",N755&lt;&gt;"",O755&lt;&gt;"")),"OK","ERRO: faltam "&amp;IF(A755="","SDR; ","")&amp;IF(B755="","Proprietário; ","")&amp;IF(C755="","Origem; ","")&amp;IF(D755="","Temperatura; ","")&amp;IF(E755="","Segmento; ","")&amp;IF(F755="","Time/Cluster; ","")&amp;IF(G755="","CNPJ; ","")&amp;IF(H755="","Razão Social; ","")&amp;IF(AND(J755="",K755=""),"nome do contato; ","")&amp;IF(AND(M755="",N755="",O755=""),"telefone, celular ou e-mail; ","")))</f>
      </c>
      <c r="AB755" s="6">
        <f>IF(COUNTA(A755:S755)=0,"",IF(AND(U755="OK",V755="OK",LEFT(W755,4)&lt;&gt;"ERRO",LEFT(X755,4)&lt;&gt;"ERRO",LEFT(Y755,4)&lt;&gt;"ERRO",AA755="OK"),"OK","REVISAR"))</f>
      </c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5"/>
      <c r="K756" s="4"/>
      <c r="L756" s="4"/>
      <c r="M756" s="4"/>
      <c r="N756" s="4"/>
      <c r="O756" s="4"/>
      <c r="P756" s="4"/>
      <c r="Q756" s="4"/>
      <c r="R756" s="4"/>
      <c r="S756" s="4"/>
      <c r="T756" s="6">
        <f>IF(G756="","",SUBSTITUTE(SUBSTITUTE(SUBSTITUTE(SUBSTITUTE(SUBSTITUTE(SUBSTITUTE(SUBSTITUTE(TRIM(G756),".",""),"/",""),"-","")," ",""),"(",""),")",""),"+",""))</f>
      </c>
      <c r="U756" s="6">
        <f>IF(T756="","",IF(LEN(T756)&lt;&gt;14,"ERRO: "&amp;LEN(T756)&amp;" dígitos",IF(NOT(ISNUMBER(VALUE(T756))),"ERRO: não numérico",IF(LEN(SUBSTITUTE(T756,LEFT(T756,1),""))=0,"ERRO: dígitos repetidos",IF(AND(VALUE(MID(T756,13,1))=IF(MOD(SUMPRODUCT(--MID(T756,{1,2,3,4,5,6,7,8,9,10,11,12},1),{5,4,3,2,9,8,7,6,5,4,3,2}),11)&lt;2,0,11-MOD(SUMPRODUCT(--MID(T756,{1,2,3,4,5,6,7,8,9,10,11,12},1),{5,4,3,2,9,8,7,6,5,4,3,2}),11)),VALUE(MID(T756,14,1))=IF(MOD(SUMPRODUCT(--MID(T756,{1,2,3,4,5,6,7,8,9,10,11,12,13},1),{6,5,4,3,2,9,8,7,6,5,4,3,2}),11)&lt;2,0,11-MOD(SUMPRODUCT(--MID(T756,{1,2,3,4,5,6,7,8,9,10,11,12,13},1),{6,5,4,3,2,9,8,7,6,5,4,3,2}),11))),"OK","ERRO: dígito verificador")))))</f>
      </c>
      <c r="V756" s="6">
        <f>IF(T756="","",IF(COUNTIF($T$2:$T$1001,T756)&gt;1,"DUPLICADO","OK"))</f>
      </c>
      <c r="W756" s="6">
        <f>IF(M756="","vazio",IF(OR(AND(LEN(SUBSTITUTE(SUBSTITUTE(SUBSTITUTE(SUBSTITUTE(SUBSTITUTE(SUBSTITUTE(SUBSTITUTE(TRIM(M756),".",""),"/",""),"-","")," ",""),"(",""),")",""),"+",""))=10,LEFT(SUBSTITUTE(SUBSTITUTE(SUBSTITUTE(SUBSTITUTE(SUBSTITUTE(SUBSTITUTE(SUBSTITUTE(TRIM(M756),".",""),"/",""),"-","")," ",""),"(",""),")",""),"+",""),1)&lt;&gt;"0"),AND(LEN(SUBSTITUTE(SUBSTITUTE(SUBSTITUTE(SUBSTITUTE(SUBSTITUTE(SUBSTITUTE(SUBSTITUTE(TRIM(M756),".",""),"/",""),"-","")," ",""),"(",""),")",""),"+",""))=11,LEFT(SUBSTITUTE(SUBSTITUTE(SUBSTITUTE(SUBSTITUTE(SUBSTITUTE(SUBSTITUTE(SUBSTITUTE(TRIM(M756),".",""),"/",""),"-","")," ",""),"(",""),")",""),"+",""),4)="0800")),"OK",IF(AND(LEN(SUBSTITUTE(SUBSTITUTE(SUBSTITUTE(SUBSTITUTE(SUBSTITUTE(SUBSTITUTE(SUBSTITUTE(TRIM(M756),".",""),"/",""),"-","")," ",""),"(",""),")",""),"+",""))=11,MID(SUBSTITUTE(SUBSTITUTE(SUBSTITUTE(SUBSTITUTE(SUBSTITUTE(SUBSTITUTE(SUBSTITUTE(TRIM(M756),".",""),"/",""),"-","")," ",""),"(",""),")",""),"+",""),3,1)="9"),"ERRO: é celular, use a coluna Celular","ERRO: DDD + 8 dígitos ou 0800 + 7")))</f>
      </c>
      <c r="X756" s="6">
        <f>IF(N756="","vazio",IF(AND(LEN(SUBSTITUTE(SUBSTITUTE(SUBSTITUTE(SUBSTITUTE(SUBSTITUTE(SUBSTITUTE(SUBSTITUTE(TRIM(N756),".",""),"/",""),"-","")," ",""),"(",""),")",""),"+",""))=11,MID(SUBSTITUTE(SUBSTITUTE(SUBSTITUTE(SUBSTITUTE(SUBSTITUTE(SUBSTITUTE(SUBSTITUTE(TRIM(N756),".",""),"/",""),"-","")," ",""),"(",""),")",""),"+",""),3,1)="9",LEFT(SUBSTITUTE(SUBSTITUTE(SUBSTITUTE(SUBSTITUTE(SUBSTITUTE(SUBSTITUTE(SUBSTITUTE(TRIM(N756),".",""),"/",""),"-","")," ",""),"(",""),")",""),"+",""),1)&lt;&gt;"0"),"OK",IF(LEN(SUBSTITUTE(SUBSTITUTE(SUBSTITUTE(SUBSTITUTE(SUBSTITUTE(SUBSTITUTE(SUBSTITUTE(TRIM(N756),".",""),"/",""),"-","")," ",""),"(",""),")",""),"+",""))=10,"ERRO: é fixo (ou falta o 9), use a coluna Telefone fixo","ERRO: DDD + 9 + 8 dígitos")))</f>
      </c>
      <c r="Y756" s="6">
        <f>IF(O756="","vazio",IF(AND(ISNUMBER(FIND("@",O756)),ISNUMBER(FIND(".",MID(O756,FIND("@",O756),99))),NOT(ISNUMBER(FIND(" ",TRIM(O756)))),NOT(ISNUMBER(FIND(";",O756))),NOT(ISNUMBER(FIND(",",O756)))),"OK","ERRO: um e-mail válido por linha"))</f>
      </c>
      <c r="Z756" s="6">
        <f>IF(AND(J756="",K756=""),"",IF(AND(J756&lt;&gt;"",K756&lt;&gt;""),"OK","pendente: só um nome (o GR completa ao converter)"))</f>
      </c>
      <c r="AA756" s="6">
        <f>IF(COUNTA(A756:S756)=0,"",IF(AND(A756&lt;&gt;"",B756&lt;&gt;"",C756&lt;&gt;"",D756&lt;&gt;"",E756&lt;&gt;"",F756&lt;&gt;"",G756&lt;&gt;"",H756&lt;&gt;"",OR(J756&lt;&gt;"",K756&lt;&gt;""),OR(M756&lt;&gt;"",N756&lt;&gt;"",O756&lt;&gt;"")),"OK","ERRO: faltam "&amp;IF(A756="","SDR; ","")&amp;IF(B756="","Proprietário; ","")&amp;IF(C756="","Origem; ","")&amp;IF(D756="","Temperatura; ","")&amp;IF(E756="","Segmento; ","")&amp;IF(F756="","Time/Cluster; ","")&amp;IF(G756="","CNPJ; ","")&amp;IF(H756="","Razão Social; ","")&amp;IF(AND(J756="",K756=""),"nome do contato; ","")&amp;IF(AND(M756="",N756="",O756=""),"telefone, celular ou e-mail; ","")))</f>
      </c>
      <c r="AB756" s="6">
        <f>IF(COUNTA(A756:S756)=0,"",IF(AND(U756="OK",V756="OK",LEFT(W756,4)&lt;&gt;"ERRO",LEFT(X756,4)&lt;&gt;"ERRO",LEFT(Y756,4)&lt;&gt;"ERRO",AA756="OK"),"OK","REVISAR"))</f>
      </c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5"/>
      <c r="K757" s="4"/>
      <c r="L757" s="4"/>
      <c r="M757" s="4"/>
      <c r="N757" s="4"/>
      <c r="O757" s="4"/>
      <c r="P757" s="4"/>
      <c r="Q757" s="4"/>
      <c r="R757" s="4"/>
      <c r="S757" s="4"/>
      <c r="T757" s="6">
        <f>IF(G757="","",SUBSTITUTE(SUBSTITUTE(SUBSTITUTE(SUBSTITUTE(SUBSTITUTE(SUBSTITUTE(SUBSTITUTE(TRIM(G757),".",""),"/",""),"-","")," ",""),"(",""),")",""),"+",""))</f>
      </c>
      <c r="U757" s="6">
        <f>IF(T757="","",IF(LEN(T757)&lt;&gt;14,"ERRO: "&amp;LEN(T757)&amp;" dígitos",IF(NOT(ISNUMBER(VALUE(T757))),"ERRO: não numérico",IF(LEN(SUBSTITUTE(T757,LEFT(T757,1),""))=0,"ERRO: dígitos repetidos",IF(AND(VALUE(MID(T757,13,1))=IF(MOD(SUMPRODUCT(--MID(T757,{1,2,3,4,5,6,7,8,9,10,11,12},1),{5,4,3,2,9,8,7,6,5,4,3,2}),11)&lt;2,0,11-MOD(SUMPRODUCT(--MID(T757,{1,2,3,4,5,6,7,8,9,10,11,12},1),{5,4,3,2,9,8,7,6,5,4,3,2}),11)),VALUE(MID(T757,14,1))=IF(MOD(SUMPRODUCT(--MID(T757,{1,2,3,4,5,6,7,8,9,10,11,12,13},1),{6,5,4,3,2,9,8,7,6,5,4,3,2}),11)&lt;2,0,11-MOD(SUMPRODUCT(--MID(T757,{1,2,3,4,5,6,7,8,9,10,11,12,13},1),{6,5,4,3,2,9,8,7,6,5,4,3,2}),11))),"OK","ERRO: dígito verificador")))))</f>
      </c>
      <c r="V757" s="6">
        <f>IF(T757="","",IF(COUNTIF($T$2:$T$1001,T757)&gt;1,"DUPLICADO","OK"))</f>
      </c>
      <c r="W757" s="6">
        <f>IF(M757="","vazio",IF(OR(AND(LEN(SUBSTITUTE(SUBSTITUTE(SUBSTITUTE(SUBSTITUTE(SUBSTITUTE(SUBSTITUTE(SUBSTITUTE(TRIM(M757),".",""),"/",""),"-","")," ",""),"(",""),")",""),"+",""))=10,LEFT(SUBSTITUTE(SUBSTITUTE(SUBSTITUTE(SUBSTITUTE(SUBSTITUTE(SUBSTITUTE(SUBSTITUTE(TRIM(M757),".",""),"/",""),"-","")," ",""),"(",""),")",""),"+",""),1)&lt;&gt;"0"),AND(LEN(SUBSTITUTE(SUBSTITUTE(SUBSTITUTE(SUBSTITUTE(SUBSTITUTE(SUBSTITUTE(SUBSTITUTE(TRIM(M757),".",""),"/",""),"-","")," ",""),"(",""),")",""),"+",""))=11,LEFT(SUBSTITUTE(SUBSTITUTE(SUBSTITUTE(SUBSTITUTE(SUBSTITUTE(SUBSTITUTE(SUBSTITUTE(TRIM(M757),".",""),"/",""),"-","")," ",""),"(",""),")",""),"+",""),4)="0800")),"OK",IF(AND(LEN(SUBSTITUTE(SUBSTITUTE(SUBSTITUTE(SUBSTITUTE(SUBSTITUTE(SUBSTITUTE(SUBSTITUTE(TRIM(M757),".",""),"/",""),"-","")," ",""),"(",""),")",""),"+",""))=11,MID(SUBSTITUTE(SUBSTITUTE(SUBSTITUTE(SUBSTITUTE(SUBSTITUTE(SUBSTITUTE(SUBSTITUTE(TRIM(M757),".",""),"/",""),"-","")," ",""),"(",""),")",""),"+",""),3,1)="9"),"ERRO: é celular, use a coluna Celular","ERRO: DDD + 8 dígitos ou 0800 + 7")))</f>
      </c>
      <c r="X757" s="6">
        <f>IF(N757="","vazio",IF(AND(LEN(SUBSTITUTE(SUBSTITUTE(SUBSTITUTE(SUBSTITUTE(SUBSTITUTE(SUBSTITUTE(SUBSTITUTE(TRIM(N757),".",""),"/",""),"-","")," ",""),"(",""),")",""),"+",""))=11,MID(SUBSTITUTE(SUBSTITUTE(SUBSTITUTE(SUBSTITUTE(SUBSTITUTE(SUBSTITUTE(SUBSTITUTE(TRIM(N757),".",""),"/",""),"-","")," ",""),"(",""),")",""),"+",""),3,1)="9",LEFT(SUBSTITUTE(SUBSTITUTE(SUBSTITUTE(SUBSTITUTE(SUBSTITUTE(SUBSTITUTE(SUBSTITUTE(TRIM(N757),".",""),"/",""),"-","")," ",""),"(",""),")",""),"+",""),1)&lt;&gt;"0"),"OK",IF(LEN(SUBSTITUTE(SUBSTITUTE(SUBSTITUTE(SUBSTITUTE(SUBSTITUTE(SUBSTITUTE(SUBSTITUTE(TRIM(N757),".",""),"/",""),"-","")," ",""),"(",""),")",""),"+",""))=10,"ERRO: é fixo (ou falta o 9), use a coluna Telefone fixo","ERRO: DDD + 9 + 8 dígitos")))</f>
      </c>
      <c r="Y757" s="6">
        <f>IF(O757="","vazio",IF(AND(ISNUMBER(FIND("@",O757)),ISNUMBER(FIND(".",MID(O757,FIND("@",O757),99))),NOT(ISNUMBER(FIND(" ",TRIM(O757)))),NOT(ISNUMBER(FIND(";",O757))),NOT(ISNUMBER(FIND(",",O757)))),"OK","ERRO: um e-mail válido por linha"))</f>
      </c>
      <c r="Z757" s="6">
        <f>IF(AND(J757="",K757=""),"",IF(AND(J757&lt;&gt;"",K757&lt;&gt;""),"OK","pendente: só um nome (o GR completa ao converter)"))</f>
      </c>
      <c r="AA757" s="6">
        <f>IF(COUNTA(A757:S757)=0,"",IF(AND(A757&lt;&gt;"",B757&lt;&gt;"",C757&lt;&gt;"",D757&lt;&gt;"",E757&lt;&gt;"",F757&lt;&gt;"",G757&lt;&gt;"",H757&lt;&gt;"",OR(J757&lt;&gt;"",K757&lt;&gt;""),OR(M757&lt;&gt;"",N757&lt;&gt;"",O757&lt;&gt;"")),"OK","ERRO: faltam "&amp;IF(A757="","SDR; ","")&amp;IF(B757="","Proprietário; ","")&amp;IF(C757="","Origem; ","")&amp;IF(D757="","Temperatura; ","")&amp;IF(E757="","Segmento; ","")&amp;IF(F757="","Time/Cluster; ","")&amp;IF(G757="","CNPJ; ","")&amp;IF(H757="","Razão Social; ","")&amp;IF(AND(J757="",K757=""),"nome do contato; ","")&amp;IF(AND(M757="",N757="",O757=""),"telefone, celular ou e-mail; ","")))</f>
      </c>
      <c r="AB757" s="6">
        <f>IF(COUNTA(A757:S757)=0,"",IF(AND(U757="OK",V757="OK",LEFT(W757,4)&lt;&gt;"ERRO",LEFT(X757,4)&lt;&gt;"ERRO",LEFT(Y757,4)&lt;&gt;"ERRO",AA757="OK"),"OK","REVISAR"))</f>
      </c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5"/>
      <c r="K758" s="4"/>
      <c r="L758" s="4"/>
      <c r="M758" s="4"/>
      <c r="N758" s="4"/>
      <c r="O758" s="4"/>
      <c r="P758" s="4"/>
      <c r="Q758" s="4"/>
      <c r="R758" s="4"/>
      <c r="S758" s="4"/>
      <c r="T758" s="6">
        <f>IF(G758="","",SUBSTITUTE(SUBSTITUTE(SUBSTITUTE(SUBSTITUTE(SUBSTITUTE(SUBSTITUTE(SUBSTITUTE(TRIM(G758),".",""),"/",""),"-","")," ",""),"(",""),")",""),"+",""))</f>
      </c>
      <c r="U758" s="6">
        <f>IF(T758="","",IF(LEN(T758)&lt;&gt;14,"ERRO: "&amp;LEN(T758)&amp;" dígitos",IF(NOT(ISNUMBER(VALUE(T758))),"ERRO: não numérico",IF(LEN(SUBSTITUTE(T758,LEFT(T758,1),""))=0,"ERRO: dígitos repetidos",IF(AND(VALUE(MID(T758,13,1))=IF(MOD(SUMPRODUCT(--MID(T758,{1,2,3,4,5,6,7,8,9,10,11,12},1),{5,4,3,2,9,8,7,6,5,4,3,2}),11)&lt;2,0,11-MOD(SUMPRODUCT(--MID(T758,{1,2,3,4,5,6,7,8,9,10,11,12},1),{5,4,3,2,9,8,7,6,5,4,3,2}),11)),VALUE(MID(T758,14,1))=IF(MOD(SUMPRODUCT(--MID(T758,{1,2,3,4,5,6,7,8,9,10,11,12,13},1),{6,5,4,3,2,9,8,7,6,5,4,3,2}),11)&lt;2,0,11-MOD(SUMPRODUCT(--MID(T758,{1,2,3,4,5,6,7,8,9,10,11,12,13},1),{6,5,4,3,2,9,8,7,6,5,4,3,2}),11))),"OK","ERRO: dígito verificador")))))</f>
      </c>
      <c r="V758" s="6">
        <f>IF(T758="","",IF(COUNTIF($T$2:$T$1001,T758)&gt;1,"DUPLICADO","OK"))</f>
      </c>
      <c r="W758" s="6">
        <f>IF(M758="","vazio",IF(OR(AND(LEN(SUBSTITUTE(SUBSTITUTE(SUBSTITUTE(SUBSTITUTE(SUBSTITUTE(SUBSTITUTE(SUBSTITUTE(TRIM(M758),".",""),"/",""),"-","")," ",""),"(",""),")",""),"+",""))=10,LEFT(SUBSTITUTE(SUBSTITUTE(SUBSTITUTE(SUBSTITUTE(SUBSTITUTE(SUBSTITUTE(SUBSTITUTE(TRIM(M758),".",""),"/",""),"-","")," ",""),"(",""),")",""),"+",""),1)&lt;&gt;"0"),AND(LEN(SUBSTITUTE(SUBSTITUTE(SUBSTITUTE(SUBSTITUTE(SUBSTITUTE(SUBSTITUTE(SUBSTITUTE(TRIM(M758),".",""),"/",""),"-","")," ",""),"(",""),")",""),"+",""))=11,LEFT(SUBSTITUTE(SUBSTITUTE(SUBSTITUTE(SUBSTITUTE(SUBSTITUTE(SUBSTITUTE(SUBSTITUTE(TRIM(M758),".",""),"/",""),"-","")," ",""),"(",""),")",""),"+",""),4)="0800")),"OK",IF(AND(LEN(SUBSTITUTE(SUBSTITUTE(SUBSTITUTE(SUBSTITUTE(SUBSTITUTE(SUBSTITUTE(SUBSTITUTE(TRIM(M758),".",""),"/",""),"-","")," ",""),"(",""),")",""),"+",""))=11,MID(SUBSTITUTE(SUBSTITUTE(SUBSTITUTE(SUBSTITUTE(SUBSTITUTE(SUBSTITUTE(SUBSTITUTE(TRIM(M758),".",""),"/",""),"-","")," ",""),"(",""),")",""),"+",""),3,1)="9"),"ERRO: é celular, use a coluna Celular","ERRO: DDD + 8 dígitos ou 0800 + 7")))</f>
      </c>
      <c r="X758" s="6">
        <f>IF(N758="","vazio",IF(AND(LEN(SUBSTITUTE(SUBSTITUTE(SUBSTITUTE(SUBSTITUTE(SUBSTITUTE(SUBSTITUTE(SUBSTITUTE(TRIM(N758),".",""),"/",""),"-","")," ",""),"(",""),")",""),"+",""))=11,MID(SUBSTITUTE(SUBSTITUTE(SUBSTITUTE(SUBSTITUTE(SUBSTITUTE(SUBSTITUTE(SUBSTITUTE(TRIM(N758),".",""),"/",""),"-","")," ",""),"(",""),")",""),"+",""),3,1)="9",LEFT(SUBSTITUTE(SUBSTITUTE(SUBSTITUTE(SUBSTITUTE(SUBSTITUTE(SUBSTITUTE(SUBSTITUTE(TRIM(N758),".",""),"/",""),"-","")," ",""),"(",""),")",""),"+",""),1)&lt;&gt;"0"),"OK",IF(LEN(SUBSTITUTE(SUBSTITUTE(SUBSTITUTE(SUBSTITUTE(SUBSTITUTE(SUBSTITUTE(SUBSTITUTE(TRIM(N758),".",""),"/",""),"-","")," ",""),"(",""),")",""),"+",""))=10,"ERRO: é fixo (ou falta o 9), use a coluna Telefone fixo","ERRO: DDD + 9 + 8 dígitos")))</f>
      </c>
      <c r="Y758" s="6">
        <f>IF(O758="","vazio",IF(AND(ISNUMBER(FIND("@",O758)),ISNUMBER(FIND(".",MID(O758,FIND("@",O758),99))),NOT(ISNUMBER(FIND(" ",TRIM(O758)))),NOT(ISNUMBER(FIND(";",O758))),NOT(ISNUMBER(FIND(",",O758)))),"OK","ERRO: um e-mail válido por linha"))</f>
      </c>
      <c r="Z758" s="6">
        <f>IF(AND(J758="",K758=""),"",IF(AND(J758&lt;&gt;"",K758&lt;&gt;""),"OK","pendente: só um nome (o GR completa ao converter)"))</f>
      </c>
      <c r="AA758" s="6">
        <f>IF(COUNTA(A758:S758)=0,"",IF(AND(A758&lt;&gt;"",B758&lt;&gt;"",C758&lt;&gt;"",D758&lt;&gt;"",E758&lt;&gt;"",F758&lt;&gt;"",G758&lt;&gt;"",H758&lt;&gt;"",OR(J758&lt;&gt;"",K758&lt;&gt;""),OR(M758&lt;&gt;"",N758&lt;&gt;"",O758&lt;&gt;"")),"OK","ERRO: faltam "&amp;IF(A758="","SDR; ","")&amp;IF(B758="","Proprietário; ","")&amp;IF(C758="","Origem; ","")&amp;IF(D758="","Temperatura; ","")&amp;IF(E758="","Segmento; ","")&amp;IF(F758="","Time/Cluster; ","")&amp;IF(G758="","CNPJ; ","")&amp;IF(H758="","Razão Social; ","")&amp;IF(AND(J758="",K758=""),"nome do contato; ","")&amp;IF(AND(M758="",N758="",O758=""),"telefone, celular ou e-mail; ","")))</f>
      </c>
      <c r="AB758" s="6">
        <f>IF(COUNTA(A758:S758)=0,"",IF(AND(U758="OK",V758="OK",LEFT(W758,4)&lt;&gt;"ERRO",LEFT(X758,4)&lt;&gt;"ERRO",LEFT(Y758,4)&lt;&gt;"ERRO",AA758="OK"),"OK","REVISAR"))</f>
      </c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5"/>
      <c r="K759" s="4"/>
      <c r="L759" s="4"/>
      <c r="M759" s="4"/>
      <c r="N759" s="4"/>
      <c r="O759" s="4"/>
      <c r="P759" s="4"/>
      <c r="Q759" s="4"/>
      <c r="R759" s="4"/>
      <c r="S759" s="4"/>
      <c r="T759" s="6">
        <f>IF(G759="","",SUBSTITUTE(SUBSTITUTE(SUBSTITUTE(SUBSTITUTE(SUBSTITUTE(SUBSTITUTE(SUBSTITUTE(TRIM(G759),".",""),"/",""),"-","")," ",""),"(",""),")",""),"+",""))</f>
      </c>
      <c r="U759" s="6">
        <f>IF(T759="","",IF(LEN(T759)&lt;&gt;14,"ERRO: "&amp;LEN(T759)&amp;" dígitos",IF(NOT(ISNUMBER(VALUE(T759))),"ERRO: não numérico",IF(LEN(SUBSTITUTE(T759,LEFT(T759,1),""))=0,"ERRO: dígitos repetidos",IF(AND(VALUE(MID(T759,13,1))=IF(MOD(SUMPRODUCT(--MID(T759,{1,2,3,4,5,6,7,8,9,10,11,12},1),{5,4,3,2,9,8,7,6,5,4,3,2}),11)&lt;2,0,11-MOD(SUMPRODUCT(--MID(T759,{1,2,3,4,5,6,7,8,9,10,11,12},1),{5,4,3,2,9,8,7,6,5,4,3,2}),11)),VALUE(MID(T759,14,1))=IF(MOD(SUMPRODUCT(--MID(T759,{1,2,3,4,5,6,7,8,9,10,11,12,13},1),{6,5,4,3,2,9,8,7,6,5,4,3,2}),11)&lt;2,0,11-MOD(SUMPRODUCT(--MID(T759,{1,2,3,4,5,6,7,8,9,10,11,12,13},1),{6,5,4,3,2,9,8,7,6,5,4,3,2}),11))),"OK","ERRO: dígito verificador")))))</f>
      </c>
      <c r="V759" s="6">
        <f>IF(T759="","",IF(COUNTIF($T$2:$T$1001,T759)&gt;1,"DUPLICADO","OK"))</f>
      </c>
      <c r="W759" s="6">
        <f>IF(M759="","vazio",IF(OR(AND(LEN(SUBSTITUTE(SUBSTITUTE(SUBSTITUTE(SUBSTITUTE(SUBSTITUTE(SUBSTITUTE(SUBSTITUTE(TRIM(M759),".",""),"/",""),"-","")," ",""),"(",""),")",""),"+",""))=10,LEFT(SUBSTITUTE(SUBSTITUTE(SUBSTITUTE(SUBSTITUTE(SUBSTITUTE(SUBSTITUTE(SUBSTITUTE(TRIM(M759),".",""),"/",""),"-","")," ",""),"(",""),")",""),"+",""),1)&lt;&gt;"0"),AND(LEN(SUBSTITUTE(SUBSTITUTE(SUBSTITUTE(SUBSTITUTE(SUBSTITUTE(SUBSTITUTE(SUBSTITUTE(TRIM(M759),".",""),"/",""),"-","")," ",""),"(",""),")",""),"+",""))=11,LEFT(SUBSTITUTE(SUBSTITUTE(SUBSTITUTE(SUBSTITUTE(SUBSTITUTE(SUBSTITUTE(SUBSTITUTE(TRIM(M759),".",""),"/",""),"-","")," ",""),"(",""),")",""),"+",""),4)="0800")),"OK",IF(AND(LEN(SUBSTITUTE(SUBSTITUTE(SUBSTITUTE(SUBSTITUTE(SUBSTITUTE(SUBSTITUTE(SUBSTITUTE(TRIM(M759),".",""),"/",""),"-","")," ",""),"(",""),")",""),"+",""))=11,MID(SUBSTITUTE(SUBSTITUTE(SUBSTITUTE(SUBSTITUTE(SUBSTITUTE(SUBSTITUTE(SUBSTITUTE(TRIM(M759),".",""),"/",""),"-","")," ",""),"(",""),")",""),"+",""),3,1)="9"),"ERRO: é celular, use a coluna Celular","ERRO: DDD + 8 dígitos ou 0800 + 7")))</f>
      </c>
      <c r="X759" s="6">
        <f>IF(N759="","vazio",IF(AND(LEN(SUBSTITUTE(SUBSTITUTE(SUBSTITUTE(SUBSTITUTE(SUBSTITUTE(SUBSTITUTE(SUBSTITUTE(TRIM(N759),".",""),"/",""),"-","")," ",""),"(",""),")",""),"+",""))=11,MID(SUBSTITUTE(SUBSTITUTE(SUBSTITUTE(SUBSTITUTE(SUBSTITUTE(SUBSTITUTE(SUBSTITUTE(TRIM(N759),".",""),"/",""),"-","")," ",""),"(",""),")",""),"+",""),3,1)="9",LEFT(SUBSTITUTE(SUBSTITUTE(SUBSTITUTE(SUBSTITUTE(SUBSTITUTE(SUBSTITUTE(SUBSTITUTE(TRIM(N759),".",""),"/",""),"-","")," ",""),"(",""),")",""),"+",""),1)&lt;&gt;"0"),"OK",IF(LEN(SUBSTITUTE(SUBSTITUTE(SUBSTITUTE(SUBSTITUTE(SUBSTITUTE(SUBSTITUTE(SUBSTITUTE(TRIM(N759),".",""),"/",""),"-","")," ",""),"(",""),")",""),"+",""))=10,"ERRO: é fixo (ou falta o 9), use a coluna Telefone fixo","ERRO: DDD + 9 + 8 dígitos")))</f>
      </c>
      <c r="Y759" s="6">
        <f>IF(O759="","vazio",IF(AND(ISNUMBER(FIND("@",O759)),ISNUMBER(FIND(".",MID(O759,FIND("@",O759),99))),NOT(ISNUMBER(FIND(" ",TRIM(O759)))),NOT(ISNUMBER(FIND(";",O759))),NOT(ISNUMBER(FIND(",",O759)))),"OK","ERRO: um e-mail válido por linha"))</f>
      </c>
      <c r="Z759" s="6">
        <f>IF(AND(J759="",K759=""),"",IF(AND(J759&lt;&gt;"",K759&lt;&gt;""),"OK","pendente: só um nome (o GR completa ao converter)"))</f>
      </c>
      <c r="AA759" s="6">
        <f>IF(COUNTA(A759:S759)=0,"",IF(AND(A759&lt;&gt;"",B759&lt;&gt;"",C759&lt;&gt;"",D759&lt;&gt;"",E759&lt;&gt;"",F759&lt;&gt;"",G759&lt;&gt;"",H759&lt;&gt;"",OR(J759&lt;&gt;"",K759&lt;&gt;""),OR(M759&lt;&gt;"",N759&lt;&gt;"",O759&lt;&gt;"")),"OK","ERRO: faltam "&amp;IF(A759="","SDR; ","")&amp;IF(B759="","Proprietário; ","")&amp;IF(C759="","Origem; ","")&amp;IF(D759="","Temperatura; ","")&amp;IF(E759="","Segmento; ","")&amp;IF(F759="","Time/Cluster; ","")&amp;IF(G759="","CNPJ; ","")&amp;IF(H759="","Razão Social; ","")&amp;IF(AND(J759="",K759=""),"nome do contato; ","")&amp;IF(AND(M759="",N759="",O759=""),"telefone, celular ou e-mail; ","")))</f>
      </c>
      <c r="AB759" s="6">
        <f>IF(COUNTA(A759:S759)=0,"",IF(AND(U759="OK",V759="OK",LEFT(W759,4)&lt;&gt;"ERRO",LEFT(X759,4)&lt;&gt;"ERRO",LEFT(Y759,4)&lt;&gt;"ERRO",AA759="OK"),"OK","REVISAR"))</f>
      </c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5"/>
      <c r="K760" s="4"/>
      <c r="L760" s="4"/>
      <c r="M760" s="4"/>
      <c r="N760" s="4"/>
      <c r="O760" s="4"/>
      <c r="P760" s="4"/>
      <c r="Q760" s="4"/>
      <c r="R760" s="4"/>
      <c r="S760" s="4"/>
      <c r="T760" s="6">
        <f>IF(G760="","",SUBSTITUTE(SUBSTITUTE(SUBSTITUTE(SUBSTITUTE(SUBSTITUTE(SUBSTITUTE(SUBSTITUTE(TRIM(G760),".",""),"/",""),"-","")," ",""),"(",""),")",""),"+",""))</f>
      </c>
      <c r="U760" s="6">
        <f>IF(T760="","",IF(LEN(T760)&lt;&gt;14,"ERRO: "&amp;LEN(T760)&amp;" dígitos",IF(NOT(ISNUMBER(VALUE(T760))),"ERRO: não numérico",IF(LEN(SUBSTITUTE(T760,LEFT(T760,1),""))=0,"ERRO: dígitos repetidos",IF(AND(VALUE(MID(T760,13,1))=IF(MOD(SUMPRODUCT(--MID(T760,{1,2,3,4,5,6,7,8,9,10,11,12},1),{5,4,3,2,9,8,7,6,5,4,3,2}),11)&lt;2,0,11-MOD(SUMPRODUCT(--MID(T760,{1,2,3,4,5,6,7,8,9,10,11,12},1),{5,4,3,2,9,8,7,6,5,4,3,2}),11)),VALUE(MID(T760,14,1))=IF(MOD(SUMPRODUCT(--MID(T760,{1,2,3,4,5,6,7,8,9,10,11,12,13},1),{6,5,4,3,2,9,8,7,6,5,4,3,2}),11)&lt;2,0,11-MOD(SUMPRODUCT(--MID(T760,{1,2,3,4,5,6,7,8,9,10,11,12,13},1),{6,5,4,3,2,9,8,7,6,5,4,3,2}),11))),"OK","ERRO: dígito verificador")))))</f>
      </c>
      <c r="V760" s="6">
        <f>IF(T760="","",IF(COUNTIF($T$2:$T$1001,T760)&gt;1,"DUPLICADO","OK"))</f>
      </c>
      <c r="W760" s="6">
        <f>IF(M760="","vazio",IF(OR(AND(LEN(SUBSTITUTE(SUBSTITUTE(SUBSTITUTE(SUBSTITUTE(SUBSTITUTE(SUBSTITUTE(SUBSTITUTE(TRIM(M760),".",""),"/",""),"-","")," ",""),"(",""),")",""),"+",""))=10,LEFT(SUBSTITUTE(SUBSTITUTE(SUBSTITUTE(SUBSTITUTE(SUBSTITUTE(SUBSTITUTE(SUBSTITUTE(TRIM(M760),".",""),"/",""),"-","")," ",""),"(",""),")",""),"+",""),1)&lt;&gt;"0"),AND(LEN(SUBSTITUTE(SUBSTITUTE(SUBSTITUTE(SUBSTITUTE(SUBSTITUTE(SUBSTITUTE(SUBSTITUTE(TRIM(M760),".",""),"/",""),"-","")," ",""),"(",""),")",""),"+",""))=11,LEFT(SUBSTITUTE(SUBSTITUTE(SUBSTITUTE(SUBSTITUTE(SUBSTITUTE(SUBSTITUTE(SUBSTITUTE(TRIM(M760),".",""),"/",""),"-","")," ",""),"(",""),")",""),"+",""),4)="0800")),"OK",IF(AND(LEN(SUBSTITUTE(SUBSTITUTE(SUBSTITUTE(SUBSTITUTE(SUBSTITUTE(SUBSTITUTE(SUBSTITUTE(TRIM(M760),".",""),"/",""),"-","")," ",""),"(",""),")",""),"+",""))=11,MID(SUBSTITUTE(SUBSTITUTE(SUBSTITUTE(SUBSTITUTE(SUBSTITUTE(SUBSTITUTE(SUBSTITUTE(TRIM(M760),".",""),"/",""),"-","")," ",""),"(",""),")",""),"+",""),3,1)="9"),"ERRO: é celular, use a coluna Celular","ERRO: DDD + 8 dígitos ou 0800 + 7")))</f>
      </c>
      <c r="X760" s="6">
        <f>IF(N760="","vazio",IF(AND(LEN(SUBSTITUTE(SUBSTITUTE(SUBSTITUTE(SUBSTITUTE(SUBSTITUTE(SUBSTITUTE(SUBSTITUTE(TRIM(N760),".",""),"/",""),"-","")," ",""),"(",""),")",""),"+",""))=11,MID(SUBSTITUTE(SUBSTITUTE(SUBSTITUTE(SUBSTITUTE(SUBSTITUTE(SUBSTITUTE(SUBSTITUTE(TRIM(N760),".",""),"/",""),"-","")," ",""),"(",""),")",""),"+",""),3,1)="9",LEFT(SUBSTITUTE(SUBSTITUTE(SUBSTITUTE(SUBSTITUTE(SUBSTITUTE(SUBSTITUTE(SUBSTITUTE(TRIM(N760),".",""),"/",""),"-","")," ",""),"(",""),")",""),"+",""),1)&lt;&gt;"0"),"OK",IF(LEN(SUBSTITUTE(SUBSTITUTE(SUBSTITUTE(SUBSTITUTE(SUBSTITUTE(SUBSTITUTE(SUBSTITUTE(TRIM(N760),".",""),"/",""),"-","")," ",""),"(",""),")",""),"+",""))=10,"ERRO: é fixo (ou falta o 9), use a coluna Telefone fixo","ERRO: DDD + 9 + 8 dígitos")))</f>
      </c>
      <c r="Y760" s="6">
        <f>IF(O760="","vazio",IF(AND(ISNUMBER(FIND("@",O760)),ISNUMBER(FIND(".",MID(O760,FIND("@",O760),99))),NOT(ISNUMBER(FIND(" ",TRIM(O760)))),NOT(ISNUMBER(FIND(";",O760))),NOT(ISNUMBER(FIND(",",O760)))),"OK","ERRO: um e-mail válido por linha"))</f>
      </c>
      <c r="Z760" s="6">
        <f>IF(AND(J760="",K760=""),"",IF(AND(J760&lt;&gt;"",K760&lt;&gt;""),"OK","pendente: só um nome (o GR completa ao converter)"))</f>
      </c>
      <c r="AA760" s="6">
        <f>IF(COUNTA(A760:S760)=0,"",IF(AND(A760&lt;&gt;"",B760&lt;&gt;"",C760&lt;&gt;"",D760&lt;&gt;"",E760&lt;&gt;"",F760&lt;&gt;"",G760&lt;&gt;"",H760&lt;&gt;"",OR(J760&lt;&gt;"",K760&lt;&gt;""),OR(M760&lt;&gt;"",N760&lt;&gt;"",O760&lt;&gt;"")),"OK","ERRO: faltam "&amp;IF(A760="","SDR; ","")&amp;IF(B760="","Proprietário; ","")&amp;IF(C760="","Origem; ","")&amp;IF(D760="","Temperatura; ","")&amp;IF(E760="","Segmento; ","")&amp;IF(F760="","Time/Cluster; ","")&amp;IF(G760="","CNPJ; ","")&amp;IF(H760="","Razão Social; ","")&amp;IF(AND(J760="",K760=""),"nome do contato; ","")&amp;IF(AND(M760="",N760="",O760=""),"telefone, celular ou e-mail; ","")))</f>
      </c>
      <c r="AB760" s="6">
        <f>IF(COUNTA(A760:S760)=0,"",IF(AND(U760="OK",V760="OK",LEFT(W760,4)&lt;&gt;"ERRO",LEFT(X760,4)&lt;&gt;"ERRO",LEFT(Y760,4)&lt;&gt;"ERRO",AA760="OK"),"OK","REVISAR"))</f>
      </c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5"/>
      <c r="K761" s="4"/>
      <c r="L761" s="4"/>
      <c r="M761" s="4"/>
      <c r="N761" s="4"/>
      <c r="O761" s="4"/>
      <c r="P761" s="4"/>
      <c r="Q761" s="4"/>
      <c r="R761" s="4"/>
      <c r="S761" s="4"/>
      <c r="T761" s="6">
        <f>IF(G761="","",SUBSTITUTE(SUBSTITUTE(SUBSTITUTE(SUBSTITUTE(SUBSTITUTE(SUBSTITUTE(SUBSTITUTE(TRIM(G761),".",""),"/",""),"-","")," ",""),"(",""),")",""),"+",""))</f>
      </c>
      <c r="U761" s="6">
        <f>IF(T761="","",IF(LEN(T761)&lt;&gt;14,"ERRO: "&amp;LEN(T761)&amp;" dígitos",IF(NOT(ISNUMBER(VALUE(T761))),"ERRO: não numérico",IF(LEN(SUBSTITUTE(T761,LEFT(T761,1),""))=0,"ERRO: dígitos repetidos",IF(AND(VALUE(MID(T761,13,1))=IF(MOD(SUMPRODUCT(--MID(T761,{1,2,3,4,5,6,7,8,9,10,11,12},1),{5,4,3,2,9,8,7,6,5,4,3,2}),11)&lt;2,0,11-MOD(SUMPRODUCT(--MID(T761,{1,2,3,4,5,6,7,8,9,10,11,12},1),{5,4,3,2,9,8,7,6,5,4,3,2}),11)),VALUE(MID(T761,14,1))=IF(MOD(SUMPRODUCT(--MID(T761,{1,2,3,4,5,6,7,8,9,10,11,12,13},1),{6,5,4,3,2,9,8,7,6,5,4,3,2}),11)&lt;2,0,11-MOD(SUMPRODUCT(--MID(T761,{1,2,3,4,5,6,7,8,9,10,11,12,13},1),{6,5,4,3,2,9,8,7,6,5,4,3,2}),11))),"OK","ERRO: dígito verificador")))))</f>
      </c>
      <c r="V761" s="6">
        <f>IF(T761="","",IF(COUNTIF($T$2:$T$1001,T761)&gt;1,"DUPLICADO","OK"))</f>
      </c>
      <c r="W761" s="6">
        <f>IF(M761="","vazio",IF(OR(AND(LEN(SUBSTITUTE(SUBSTITUTE(SUBSTITUTE(SUBSTITUTE(SUBSTITUTE(SUBSTITUTE(SUBSTITUTE(TRIM(M761),".",""),"/",""),"-","")," ",""),"(",""),")",""),"+",""))=10,LEFT(SUBSTITUTE(SUBSTITUTE(SUBSTITUTE(SUBSTITUTE(SUBSTITUTE(SUBSTITUTE(SUBSTITUTE(TRIM(M761),".",""),"/",""),"-","")," ",""),"(",""),")",""),"+",""),1)&lt;&gt;"0"),AND(LEN(SUBSTITUTE(SUBSTITUTE(SUBSTITUTE(SUBSTITUTE(SUBSTITUTE(SUBSTITUTE(SUBSTITUTE(TRIM(M761),".",""),"/",""),"-","")," ",""),"(",""),")",""),"+",""))=11,LEFT(SUBSTITUTE(SUBSTITUTE(SUBSTITUTE(SUBSTITUTE(SUBSTITUTE(SUBSTITUTE(SUBSTITUTE(TRIM(M761),".",""),"/",""),"-","")," ",""),"(",""),")",""),"+",""),4)="0800")),"OK",IF(AND(LEN(SUBSTITUTE(SUBSTITUTE(SUBSTITUTE(SUBSTITUTE(SUBSTITUTE(SUBSTITUTE(SUBSTITUTE(TRIM(M761),".",""),"/",""),"-","")," ",""),"(",""),")",""),"+",""))=11,MID(SUBSTITUTE(SUBSTITUTE(SUBSTITUTE(SUBSTITUTE(SUBSTITUTE(SUBSTITUTE(SUBSTITUTE(TRIM(M761),".",""),"/",""),"-","")," ",""),"(",""),")",""),"+",""),3,1)="9"),"ERRO: é celular, use a coluna Celular","ERRO: DDD + 8 dígitos ou 0800 + 7")))</f>
      </c>
      <c r="X761" s="6">
        <f>IF(N761="","vazio",IF(AND(LEN(SUBSTITUTE(SUBSTITUTE(SUBSTITUTE(SUBSTITUTE(SUBSTITUTE(SUBSTITUTE(SUBSTITUTE(TRIM(N761),".",""),"/",""),"-","")," ",""),"(",""),")",""),"+",""))=11,MID(SUBSTITUTE(SUBSTITUTE(SUBSTITUTE(SUBSTITUTE(SUBSTITUTE(SUBSTITUTE(SUBSTITUTE(TRIM(N761),".",""),"/",""),"-","")," ",""),"(",""),")",""),"+",""),3,1)="9",LEFT(SUBSTITUTE(SUBSTITUTE(SUBSTITUTE(SUBSTITUTE(SUBSTITUTE(SUBSTITUTE(SUBSTITUTE(TRIM(N761),".",""),"/",""),"-","")," ",""),"(",""),")",""),"+",""),1)&lt;&gt;"0"),"OK",IF(LEN(SUBSTITUTE(SUBSTITUTE(SUBSTITUTE(SUBSTITUTE(SUBSTITUTE(SUBSTITUTE(SUBSTITUTE(TRIM(N761),".",""),"/",""),"-","")," ",""),"(",""),")",""),"+",""))=10,"ERRO: é fixo (ou falta o 9), use a coluna Telefone fixo","ERRO: DDD + 9 + 8 dígitos")))</f>
      </c>
      <c r="Y761" s="6">
        <f>IF(O761="","vazio",IF(AND(ISNUMBER(FIND("@",O761)),ISNUMBER(FIND(".",MID(O761,FIND("@",O761),99))),NOT(ISNUMBER(FIND(" ",TRIM(O761)))),NOT(ISNUMBER(FIND(";",O761))),NOT(ISNUMBER(FIND(",",O761)))),"OK","ERRO: um e-mail válido por linha"))</f>
      </c>
      <c r="Z761" s="6">
        <f>IF(AND(J761="",K761=""),"",IF(AND(J761&lt;&gt;"",K761&lt;&gt;""),"OK","pendente: só um nome (o GR completa ao converter)"))</f>
      </c>
      <c r="AA761" s="6">
        <f>IF(COUNTA(A761:S761)=0,"",IF(AND(A761&lt;&gt;"",B761&lt;&gt;"",C761&lt;&gt;"",D761&lt;&gt;"",E761&lt;&gt;"",F761&lt;&gt;"",G761&lt;&gt;"",H761&lt;&gt;"",OR(J761&lt;&gt;"",K761&lt;&gt;""),OR(M761&lt;&gt;"",N761&lt;&gt;"",O761&lt;&gt;"")),"OK","ERRO: faltam "&amp;IF(A761="","SDR; ","")&amp;IF(B761="","Proprietário; ","")&amp;IF(C761="","Origem; ","")&amp;IF(D761="","Temperatura; ","")&amp;IF(E761="","Segmento; ","")&amp;IF(F761="","Time/Cluster; ","")&amp;IF(G761="","CNPJ; ","")&amp;IF(H761="","Razão Social; ","")&amp;IF(AND(J761="",K761=""),"nome do contato; ","")&amp;IF(AND(M761="",N761="",O761=""),"telefone, celular ou e-mail; ","")))</f>
      </c>
      <c r="AB761" s="6">
        <f>IF(COUNTA(A761:S761)=0,"",IF(AND(U761="OK",V761="OK",LEFT(W761,4)&lt;&gt;"ERRO",LEFT(X761,4)&lt;&gt;"ERRO",LEFT(Y761,4)&lt;&gt;"ERRO",AA761="OK"),"OK","REVISAR"))</f>
      </c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5"/>
      <c r="K762" s="4"/>
      <c r="L762" s="4"/>
      <c r="M762" s="4"/>
      <c r="N762" s="4"/>
      <c r="O762" s="4"/>
      <c r="P762" s="4"/>
      <c r="Q762" s="4"/>
      <c r="R762" s="4"/>
      <c r="S762" s="4"/>
      <c r="T762" s="6">
        <f>IF(G762="","",SUBSTITUTE(SUBSTITUTE(SUBSTITUTE(SUBSTITUTE(SUBSTITUTE(SUBSTITUTE(SUBSTITUTE(TRIM(G762),".",""),"/",""),"-","")," ",""),"(",""),")",""),"+",""))</f>
      </c>
      <c r="U762" s="6">
        <f>IF(T762="","",IF(LEN(T762)&lt;&gt;14,"ERRO: "&amp;LEN(T762)&amp;" dígitos",IF(NOT(ISNUMBER(VALUE(T762))),"ERRO: não numérico",IF(LEN(SUBSTITUTE(T762,LEFT(T762,1),""))=0,"ERRO: dígitos repetidos",IF(AND(VALUE(MID(T762,13,1))=IF(MOD(SUMPRODUCT(--MID(T762,{1,2,3,4,5,6,7,8,9,10,11,12},1),{5,4,3,2,9,8,7,6,5,4,3,2}),11)&lt;2,0,11-MOD(SUMPRODUCT(--MID(T762,{1,2,3,4,5,6,7,8,9,10,11,12},1),{5,4,3,2,9,8,7,6,5,4,3,2}),11)),VALUE(MID(T762,14,1))=IF(MOD(SUMPRODUCT(--MID(T762,{1,2,3,4,5,6,7,8,9,10,11,12,13},1),{6,5,4,3,2,9,8,7,6,5,4,3,2}),11)&lt;2,0,11-MOD(SUMPRODUCT(--MID(T762,{1,2,3,4,5,6,7,8,9,10,11,12,13},1),{6,5,4,3,2,9,8,7,6,5,4,3,2}),11))),"OK","ERRO: dígito verificador")))))</f>
      </c>
      <c r="V762" s="6">
        <f>IF(T762="","",IF(COUNTIF($T$2:$T$1001,T762)&gt;1,"DUPLICADO","OK"))</f>
      </c>
      <c r="W762" s="6">
        <f>IF(M762="","vazio",IF(OR(AND(LEN(SUBSTITUTE(SUBSTITUTE(SUBSTITUTE(SUBSTITUTE(SUBSTITUTE(SUBSTITUTE(SUBSTITUTE(TRIM(M762),".",""),"/",""),"-","")," ",""),"(",""),")",""),"+",""))=10,LEFT(SUBSTITUTE(SUBSTITUTE(SUBSTITUTE(SUBSTITUTE(SUBSTITUTE(SUBSTITUTE(SUBSTITUTE(TRIM(M762),".",""),"/",""),"-","")," ",""),"(",""),")",""),"+",""),1)&lt;&gt;"0"),AND(LEN(SUBSTITUTE(SUBSTITUTE(SUBSTITUTE(SUBSTITUTE(SUBSTITUTE(SUBSTITUTE(SUBSTITUTE(TRIM(M762),".",""),"/",""),"-","")," ",""),"(",""),")",""),"+",""))=11,LEFT(SUBSTITUTE(SUBSTITUTE(SUBSTITUTE(SUBSTITUTE(SUBSTITUTE(SUBSTITUTE(SUBSTITUTE(TRIM(M762),".",""),"/",""),"-","")," ",""),"(",""),")",""),"+",""),4)="0800")),"OK",IF(AND(LEN(SUBSTITUTE(SUBSTITUTE(SUBSTITUTE(SUBSTITUTE(SUBSTITUTE(SUBSTITUTE(SUBSTITUTE(TRIM(M762),".",""),"/",""),"-","")," ",""),"(",""),")",""),"+",""))=11,MID(SUBSTITUTE(SUBSTITUTE(SUBSTITUTE(SUBSTITUTE(SUBSTITUTE(SUBSTITUTE(SUBSTITUTE(TRIM(M762),".",""),"/",""),"-","")," ",""),"(",""),")",""),"+",""),3,1)="9"),"ERRO: é celular, use a coluna Celular","ERRO: DDD + 8 dígitos ou 0800 + 7")))</f>
      </c>
      <c r="X762" s="6">
        <f>IF(N762="","vazio",IF(AND(LEN(SUBSTITUTE(SUBSTITUTE(SUBSTITUTE(SUBSTITUTE(SUBSTITUTE(SUBSTITUTE(SUBSTITUTE(TRIM(N762),".",""),"/",""),"-","")," ",""),"(",""),")",""),"+",""))=11,MID(SUBSTITUTE(SUBSTITUTE(SUBSTITUTE(SUBSTITUTE(SUBSTITUTE(SUBSTITUTE(SUBSTITUTE(TRIM(N762),".",""),"/",""),"-","")," ",""),"(",""),")",""),"+",""),3,1)="9",LEFT(SUBSTITUTE(SUBSTITUTE(SUBSTITUTE(SUBSTITUTE(SUBSTITUTE(SUBSTITUTE(SUBSTITUTE(TRIM(N762),".",""),"/",""),"-","")," ",""),"(",""),")",""),"+",""),1)&lt;&gt;"0"),"OK",IF(LEN(SUBSTITUTE(SUBSTITUTE(SUBSTITUTE(SUBSTITUTE(SUBSTITUTE(SUBSTITUTE(SUBSTITUTE(TRIM(N762),".",""),"/",""),"-","")," ",""),"(",""),")",""),"+",""))=10,"ERRO: é fixo (ou falta o 9), use a coluna Telefone fixo","ERRO: DDD + 9 + 8 dígitos")))</f>
      </c>
      <c r="Y762" s="6">
        <f>IF(O762="","vazio",IF(AND(ISNUMBER(FIND("@",O762)),ISNUMBER(FIND(".",MID(O762,FIND("@",O762),99))),NOT(ISNUMBER(FIND(" ",TRIM(O762)))),NOT(ISNUMBER(FIND(";",O762))),NOT(ISNUMBER(FIND(",",O762)))),"OK","ERRO: um e-mail válido por linha"))</f>
      </c>
      <c r="Z762" s="6">
        <f>IF(AND(J762="",K762=""),"",IF(AND(J762&lt;&gt;"",K762&lt;&gt;""),"OK","pendente: só um nome (o GR completa ao converter)"))</f>
      </c>
      <c r="AA762" s="6">
        <f>IF(COUNTA(A762:S762)=0,"",IF(AND(A762&lt;&gt;"",B762&lt;&gt;"",C762&lt;&gt;"",D762&lt;&gt;"",E762&lt;&gt;"",F762&lt;&gt;"",G762&lt;&gt;"",H762&lt;&gt;"",OR(J762&lt;&gt;"",K762&lt;&gt;""),OR(M762&lt;&gt;"",N762&lt;&gt;"",O762&lt;&gt;"")),"OK","ERRO: faltam "&amp;IF(A762="","SDR; ","")&amp;IF(B762="","Proprietário; ","")&amp;IF(C762="","Origem; ","")&amp;IF(D762="","Temperatura; ","")&amp;IF(E762="","Segmento; ","")&amp;IF(F762="","Time/Cluster; ","")&amp;IF(G762="","CNPJ; ","")&amp;IF(H762="","Razão Social; ","")&amp;IF(AND(J762="",K762=""),"nome do contato; ","")&amp;IF(AND(M762="",N762="",O762=""),"telefone, celular ou e-mail; ","")))</f>
      </c>
      <c r="AB762" s="6">
        <f>IF(COUNTA(A762:S762)=0,"",IF(AND(U762="OK",V762="OK",LEFT(W762,4)&lt;&gt;"ERRO",LEFT(X762,4)&lt;&gt;"ERRO",LEFT(Y762,4)&lt;&gt;"ERRO",AA762="OK"),"OK","REVISAR"))</f>
      </c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5"/>
      <c r="K763" s="4"/>
      <c r="L763" s="4"/>
      <c r="M763" s="4"/>
      <c r="N763" s="4"/>
      <c r="O763" s="4"/>
      <c r="P763" s="4"/>
      <c r="Q763" s="4"/>
      <c r="R763" s="4"/>
      <c r="S763" s="4"/>
      <c r="T763" s="6">
        <f>IF(G763="","",SUBSTITUTE(SUBSTITUTE(SUBSTITUTE(SUBSTITUTE(SUBSTITUTE(SUBSTITUTE(SUBSTITUTE(TRIM(G763),".",""),"/",""),"-","")," ",""),"(",""),")",""),"+",""))</f>
      </c>
      <c r="U763" s="6">
        <f>IF(T763="","",IF(LEN(T763)&lt;&gt;14,"ERRO: "&amp;LEN(T763)&amp;" dígitos",IF(NOT(ISNUMBER(VALUE(T763))),"ERRO: não numérico",IF(LEN(SUBSTITUTE(T763,LEFT(T763,1),""))=0,"ERRO: dígitos repetidos",IF(AND(VALUE(MID(T763,13,1))=IF(MOD(SUMPRODUCT(--MID(T763,{1,2,3,4,5,6,7,8,9,10,11,12},1),{5,4,3,2,9,8,7,6,5,4,3,2}),11)&lt;2,0,11-MOD(SUMPRODUCT(--MID(T763,{1,2,3,4,5,6,7,8,9,10,11,12},1),{5,4,3,2,9,8,7,6,5,4,3,2}),11)),VALUE(MID(T763,14,1))=IF(MOD(SUMPRODUCT(--MID(T763,{1,2,3,4,5,6,7,8,9,10,11,12,13},1),{6,5,4,3,2,9,8,7,6,5,4,3,2}),11)&lt;2,0,11-MOD(SUMPRODUCT(--MID(T763,{1,2,3,4,5,6,7,8,9,10,11,12,13},1),{6,5,4,3,2,9,8,7,6,5,4,3,2}),11))),"OK","ERRO: dígito verificador")))))</f>
      </c>
      <c r="V763" s="6">
        <f>IF(T763="","",IF(COUNTIF($T$2:$T$1001,T763)&gt;1,"DUPLICADO","OK"))</f>
      </c>
      <c r="W763" s="6">
        <f>IF(M763="","vazio",IF(OR(AND(LEN(SUBSTITUTE(SUBSTITUTE(SUBSTITUTE(SUBSTITUTE(SUBSTITUTE(SUBSTITUTE(SUBSTITUTE(TRIM(M763),".",""),"/",""),"-","")," ",""),"(",""),")",""),"+",""))=10,LEFT(SUBSTITUTE(SUBSTITUTE(SUBSTITUTE(SUBSTITUTE(SUBSTITUTE(SUBSTITUTE(SUBSTITUTE(TRIM(M763),".",""),"/",""),"-","")," ",""),"(",""),")",""),"+",""),1)&lt;&gt;"0"),AND(LEN(SUBSTITUTE(SUBSTITUTE(SUBSTITUTE(SUBSTITUTE(SUBSTITUTE(SUBSTITUTE(SUBSTITUTE(TRIM(M763),".",""),"/",""),"-","")," ",""),"(",""),")",""),"+",""))=11,LEFT(SUBSTITUTE(SUBSTITUTE(SUBSTITUTE(SUBSTITUTE(SUBSTITUTE(SUBSTITUTE(SUBSTITUTE(TRIM(M763),".",""),"/",""),"-","")," ",""),"(",""),")",""),"+",""),4)="0800")),"OK",IF(AND(LEN(SUBSTITUTE(SUBSTITUTE(SUBSTITUTE(SUBSTITUTE(SUBSTITUTE(SUBSTITUTE(SUBSTITUTE(TRIM(M763),".",""),"/",""),"-","")," ",""),"(",""),")",""),"+",""))=11,MID(SUBSTITUTE(SUBSTITUTE(SUBSTITUTE(SUBSTITUTE(SUBSTITUTE(SUBSTITUTE(SUBSTITUTE(TRIM(M763),".",""),"/",""),"-","")," ",""),"(",""),")",""),"+",""),3,1)="9"),"ERRO: é celular, use a coluna Celular","ERRO: DDD + 8 dígitos ou 0800 + 7")))</f>
      </c>
      <c r="X763" s="6">
        <f>IF(N763="","vazio",IF(AND(LEN(SUBSTITUTE(SUBSTITUTE(SUBSTITUTE(SUBSTITUTE(SUBSTITUTE(SUBSTITUTE(SUBSTITUTE(TRIM(N763),".",""),"/",""),"-","")," ",""),"(",""),")",""),"+",""))=11,MID(SUBSTITUTE(SUBSTITUTE(SUBSTITUTE(SUBSTITUTE(SUBSTITUTE(SUBSTITUTE(SUBSTITUTE(TRIM(N763),".",""),"/",""),"-","")," ",""),"(",""),")",""),"+",""),3,1)="9",LEFT(SUBSTITUTE(SUBSTITUTE(SUBSTITUTE(SUBSTITUTE(SUBSTITUTE(SUBSTITUTE(SUBSTITUTE(TRIM(N763),".",""),"/",""),"-","")," ",""),"(",""),")",""),"+",""),1)&lt;&gt;"0"),"OK",IF(LEN(SUBSTITUTE(SUBSTITUTE(SUBSTITUTE(SUBSTITUTE(SUBSTITUTE(SUBSTITUTE(SUBSTITUTE(TRIM(N763),".",""),"/",""),"-","")," ",""),"(",""),")",""),"+",""))=10,"ERRO: é fixo (ou falta o 9), use a coluna Telefone fixo","ERRO: DDD + 9 + 8 dígitos")))</f>
      </c>
      <c r="Y763" s="6">
        <f>IF(O763="","vazio",IF(AND(ISNUMBER(FIND("@",O763)),ISNUMBER(FIND(".",MID(O763,FIND("@",O763),99))),NOT(ISNUMBER(FIND(" ",TRIM(O763)))),NOT(ISNUMBER(FIND(";",O763))),NOT(ISNUMBER(FIND(",",O763)))),"OK","ERRO: um e-mail válido por linha"))</f>
      </c>
      <c r="Z763" s="6">
        <f>IF(AND(J763="",K763=""),"",IF(AND(J763&lt;&gt;"",K763&lt;&gt;""),"OK","pendente: só um nome (o GR completa ao converter)"))</f>
      </c>
      <c r="AA763" s="6">
        <f>IF(COUNTA(A763:S763)=0,"",IF(AND(A763&lt;&gt;"",B763&lt;&gt;"",C763&lt;&gt;"",D763&lt;&gt;"",E763&lt;&gt;"",F763&lt;&gt;"",G763&lt;&gt;"",H763&lt;&gt;"",OR(J763&lt;&gt;"",K763&lt;&gt;""),OR(M763&lt;&gt;"",N763&lt;&gt;"",O763&lt;&gt;"")),"OK","ERRO: faltam "&amp;IF(A763="","SDR; ","")&amp;IF(B763="","Proprietário; ","")&amp;IF(C763="","Origem; ","")&amp;IF(D763="","Temperatura; ","")&amp;IF(E763="","Segmento; ","")&amp;IF(F763="","Time/Cluster; ","")&amp;IF(G763="","CNPJ; ","")&amp;IF(H763="","Razão Social; ","")&amp;IF(AND(J763="",K763=""),"nome do contato; ","")&amp;IF(AND(M763="",N763="",O763=""),"telefone, celular ou e-mail; ","")))</f>
      </c>
      <c r="AB763" s="6">
        <f>IF(COUNTA(A763:S763)=0,"",IF(AND(U763="OK",V763="OK",LEFT(W763,4)&lt;&gt;"ERRO",LEFT(X763,4)&lt;&gt;"ERRO",LEFT(Y763,4)&lt;&gt;"ERRO",AA763="OK"),"OK","REVISAR"))</f>
      </c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5"/>
      <c r="K764" s="4"/>
      <c r="L764" s="4"/>
      <c r="M764" s="4"/>
      <c r="N764" s="4"/>
      <c r="O764" s="4"/>
      <c r="P764" s="4"/>
      <c r="Q764" s="4"/>
      <c r="R764" s="4"/>
      <c r="S764" s="4"/>
      <c r="T764" s="6">
        <f>IF(G764="","",SUBSTITUTE(SUBSTITUTE(SUBSTITUTE(SUBSTITUTE(SUBSTITUTE(SUBSTITUTE(SUBSTITUTE(TRIM(G764),".",""),"/",""),"-","")," ",""),"(",""),")",""),"+",""))</f>
      </c>
      <c r="U764" s="6">
        <f>IF(T764="","",IF(LEN(T764)&lt;&gt;14,"ERRO: "&amp;LEN(T764)&amp;" dígitos",IF(NOT(ISNUMBER(VALUE(T764))),"ERRO: não numérico",IF(LEN(SUBSTITUTE(T764,LEFT(T764,1),""))=0,"ERRO: dígitos repetidos",IF(AND(VALUE(MID(T764,13,1))=IF(MOD(SUMPRODUCT(--MID(T764,{1,2,3,4,5,6,7,8,9,10,11,12},1),{5,4,3,2,9,8,7,6,5,4,3,2}),11)&lt;2,0,11-MOD(SUMPRODUCT(--MID(T764,{1,2,3,4,5,6,7,8,9,10,11,12},1),{5,4,3,2,9,8,7,6,5,4,3,2}),11)),VALUE(MID(T764,14,1))=IF(MOD(SUMPRODUCT(--MID(T764,{1,2,3,4,5,6,7,8,9,10,11,12,13},1),{6,5,4,3,2,9,8,7,6,5,4,3,2}),11)&lt;2,0,11-MOD(SUMPRODUCT(--MID(T764,{1,2,3,4,5,6,7,8,9,10,11,12,13},1),{6,5,4,3,2,9,8,7,6,5,4,3,2}),11))),"OK","ERRO: dígito verificador")))))</f>
      </c>
      <c r="V764" s="6">
        <f>IF(T764="","",IF(COUNTIF($T$2:$T$1001,T764)&gt;1,"DUPLICADO","OK"))</f>
      </c>
      <c r="W764" s="6">
        <f>IF(M764="","vazio",IF(OR(AND(LEN(SUBSTITUTE(SUBSTITUTE(SUBSTITUTE(SUBSTITUTE(SUBSTITUTE(SUBSTITUTE(SUBSTITUTE(TRIM(M764),".",""),"/",""),"-","")," ",""),"(",""),")",""),"+",""))=10,LEFT(SUBSTITUTE(SUBSTITUTE(SUBSTITUTE(SUBSTITUTE(SUBSTITUTE(SUBSTITUTE(SUBSTITUTE(TRIM(M764),".",""),"/",""),"-","")," ",""),"(",""),")",""),"+",""),1)&lt;&gt;"0"),AND(LEN(SUBSTITUTE(SUBSTITUTE(SUBSTITUTE(SUBSTITUTE(SUBSTITUTE(SUBSTITUTE(SUBSTITUTE(TRIM(M764),".",""),"/",""),"-","")," ",""),"(",""),")",""),"+",""))=11,LEFT(SUBSTITUTE(SUBSTITUTE(SUBSTITUTE(SUBSTITUTE(SUBSTITUTE(SUBSTITUTE(SUBSTITUTE(TRIM(M764),".",""),"/",""),"-","")," ",""),"(",""),")",""),"+",""),4)="0800")),"OK",IF(AND(LEN(SUBSTITUTE(SUBSTITUTE(SUBSTITUTE(SUBSTITUTE(SUBSTITUTE(SUBSTITUTE(SUBSTITUTE(TRIM(M764),".",""),"/",""),"-","")," ",""),"(",""),")",""),"+",""))=11,MID(SUBSTITUTE(SUBSTITUTE(SUBSTITUTE(SUBSTITUTE(SUBSTITUTE(SUBSTITUTE(SUBSTITUTE(TRIM(M764),".",""),"/",""),"-","")," ",""),"(",""),")",""),"+",""),3,1)="9"),"ERRO: é celular, use a coluna Celular","ERRO: DDD + 8 dígitos ou 0800 + 7")))</f>
      </c>
      <c r="X764" s="6">
        <f>IF(N764="","vazio",IF(AND(LEN(SUBSTITUTE(SUBSTITUTE(SUBSTITUTE(SUBSTITUTE(SUBSTITUTE(SUBSTITUTE(SUBSTITUTE(TRIM(N764),".",""),"/",""),"-","")," ",""),"(",""),")",""),"+",""))=11,MID(SUBSTITUTE(SUBSTITUTE(SUBSTITUTE(SUBSTITUTE(SUBSTITUTE(SUBSTITUTE(SUBSTITUTE(TRIM(N764),".",""),"/",""),"-","")," ",""),"(",""),")",""),"+",""),3,1)="9",LEFT(SUBSTITUTE(SUBSTITUTE(SUBSTITUTE(SUBSTITUTE(SUBSTITUTE(SUBSTITUTE(SUBSTITUTE(TRIM(N764),".",""),"/",""),"-","")," ",""),"(",""),")",""),"+",""),1)&lt;&gt;"0"),"OK",IF(LEN(SUBSTITUTE(SUBSTITUTE(SUBSTITUTE(SUBSTITUTE(SUBSTITUTE(SUBSTITUTE(SUBSTITUTE(TRIM(N764),".",""),"/",""),"-","")," ",""),"(",""),")",""),"+",""))=10,"ERRO: é fixo (ou falta o 9), use a coluna Telefone fixo","ERRO: DDD + 9 + 8 dígitos")))</f>
      </c>
      <c r="Y764" s="6">
        <f>IF(O764="","vazio",IF(AND(ISNUMBER(FIND("@",O764)),ISNUMBER(FIND(".",MID(O764,FIND("@",O764),99))),NOT(ISNUMBER(FIND(" ",TRIM(O764)))),NOT(ISNUMBER(FIND(";",O764))),NOT(ISNUMBER(FIND(",",O764)))),"OK","ERRO: um e-mail válido por linha"))</f>
      </c>
      <c r="Z764" s="6">
        <f>IF(AND(J764="",K764=""),"",IF(AND(J764&lt;&gt;"",K764&lt;&gt;""),"OK","pendente: só um nome (o GR completa ao converter)"))</f>
      </c>
      <c r="AA764" s="6">
        <f>IF(COUNTA(A764:S764)=0,"",IF(AND(A764&lt;&gt;"",B764&lt;&gt;"",C764&lt;&gt;"",D764&lt;&gt;"",E764&lt;&gt;"",F764&lt;&gt;"",G764&lt;&gt;"",H764&lt;&gt;"",OR(J764&lt;&gt;"",K764&lt;&gt;""),OR(M764&lt;&gt;"",N764&lt;&gt;"",O764&lt;&gt;"")),"OK","ERRO: faltam "&amp;IF(A764="","SDR; ","")&amp;IF(B764="","Proprietário; ","")&amp;IF(C764="","Origem; ","")&amp;IF(D764="","Temperatura; ","")&amp;IF(E764="","Segmento; ","")&amp;IF(F764="","Time/Cluster; ","")&amp;IF(G764="","CNPJ; ","")&amp;IF(H764="","Razão Social; ","")&amp;IF(AND(J764="",K764=""),"nome do contato; ","")&amp;IF(AND(M764="",N764="",O764=""),"telefone, celular ou e-mail; ","")))</f>
      </c>
      <c r="AB764" s="6">
        <f>IF(COUNTA(A764:S764)=0,"",IF(AND(U764="OK",V764="OK",LEFT(W764,4)&lt;&gt;"ERRO",LEFT(X764,4)&lt;&gt;"ERRO",LEFT(Y764,4)&lt;&gt;"ERRO",AA764="OK"),"OK","REVISAR"))</f>
      </c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5"/>
      <c r="K765" s="4"/>
      <c r="L765" s="4"/>
      <c r="M765" s="4"/>
      <c r="N765" s="4"/>
      <c r="O765" s="4"/>
      <c r="P765" s="4"/>
      <c r="Q765" s="4"/>
      <c r="R765" s="4"/>
      <c r="S765" s="4"/>
      <c r="T765" s="6">
        <f>IF(G765="","",SUBSTITUTE(SUBSTITUTE(SUBSTITUTE(SUBSTITUTE(SUBSTITUTE(SUBSTITUTE(SUBSTITUTE(TRIM(G765),".",""),"/",""),"-","")," ",""),"(",""),")",""),"+",""))</f>
      </c>
      <c r="U765" s="6">
        <f>IF(T765="","",IF(LEN(T765)&lt;&gt;14,"ERRO: "&amp;LEN(T765)&amp;" dígitos",IF(NOT(ISNUMBER(VALUE(T765))),"ERRO: não numérico",IF(LEN(SUBSTITUTE(T765,LEFT(T765,1),""))=0,"ERRO: dígitos repetidos",IF(AND(VALUE(MID(T765,13,1))=IF(MOD(SUMPRODUCT(--MID(T765,{1,2,3,4,5,6,7,8,9,10,11,12},1),{5,4,3,2,9,8,7,6,5,4,3,2}),11)&lt;2,0,11-MOD(SUMPRODUCT(--MID(T765,{1,2,3,4,5,6,7,8,9,10,11,12},1),{5,4,3,2,9,8,7,6,5,4,3,2}),11)),VALUE(MID(T765,14,1))=IF(MOD(SUMPRODUCT(--MID(T765,{1,2,3,4,5,6,7,8,9,10,11,12,13},1),{6,5,4,3,2,9,8,7,6,5,4,3,2}),11)&lt;2,0,11-MOD(SUMPRODUCT(--MID(T765,{1,2,3,4,5,6,7,8,9,10,11,12,13},1),{6,5,4,3,2,9,8,7,6,5,4,3,2}),11))),"OK","ERRO: dígito verificador")))))</f>
      </c>
      <c r="V765" s="6">
        <f>IF(T765="","",IF(COUNTIF($T$2:$T$1001,T765)&gt;1,"DUPLICADO","OK"))</f>
      </c>
      <c r="W765" s="6">
        <f>IF(M765="","vazio",IF(OR(AND(LEN(SUBSTITUTE(SUBSTITUTE(SUBSTITUTE(SUBSTITUTE(SUBSTITUTE(SUBSTITUTE(SUBSTITUTE(TRIM(M765),".",""),"/",""),"-","")," ",""),"(",""),")",""),"+",""))=10,LEFT(SUBSTITUTE(SUBSTITUTE(SUBSTITUTE(SUBSTITUTE(SUBSTITUTE(SUBSTITUTE(SUBSTITUTE(TRIM(M765),".",""),"/",""),"-","")," ",""),"(",""),")",""),"+",""),1)&lt;&gt;"0"),AND(LEN(SUBSTITUTE(SUBSTITUTE(SUBSTITUTE(SUBSTITUTE(SUBSTITUTE(SUBSTITUTE(SUBSTITUTE(TRIM(M765),".",""),"/",""),"-","")," ",""),"(",""),")",""),"+",""))=11,LEFT(SUBSTITUTE(SUBSTITUTE(SUBSTITUTE(SUBSTITUTE(SUBSTITUTE(SUBSTITUTE(SUBSTITUTE(TRIM(M765),".",""),"/",""),"-","")," ",""),"(",""),")",""),"+",""),4)="0800")),"OK",IF(AND(LEN(SUBSTITUTE(SUBSTITUTE(SUBSTITUTE(SUBSTITUTE(SUBSTITUTE(SUBSTITUTE(SUBSTITUTE(TRIM(M765),".",""),"/",""),"-","")," ",""),"(",""),")",""),"+",""))=11,MID(SUBSTITUTE(SUBSTITUTE(SUBSTITUTE(SUBSTITUTE(SUBSTITUTE(SUBSTITUTE(SUBSTITUTE(TRIM(M765),".",""),"/",""),"-","")," ",""),"(",""),")",""),"+",""),3,1)="9"),"ERRO: é celular, use a coluna Celular","ERRO: DDD + 8 dígitos ou 0800 + 7")))</f>
      </c>
      <c r="X765" s="6">
        <f>IF(N765="","vazio",IF(AND(LEN(SUBSTITUTE(SUBSTITUTE(SUBSTITUTE(SUBSTITUTE(SUBSTITUTE(SUBSTITUTE(SUBSTITUTE(TRIM(N765),".",""),"/",""),"-","")," ",""),"(",""),")",""),"+",""))=11,MID(SUBSTITUTE(SUBSTITUTE(SUBSTITUTE(SUBSTITUTE(SUBSTITUTE(SUBSTITUTE(SUBSTITUTE(TRIM(N765),".",""),"/",""),"-","")," ",""),"(",""),")",""),"+",""),3,1)="9",LEFT(SUBSTITUTE(SUBSTITUTE(SUBSTITUTE(SUBSTITUTE(SUBSTITUTE(SUBSTITUTE(SUBSTITUTE(TRIM(N765),".",""),"/",""),"-","")," ",""),"(",""),")",""),"+",""),1)&lt;&gt;"0"),"OK",IF(LEN(SUBSTITUTE(SUBSTITUTE(SUBSTITUTE(SUBSTITUTE(SUBSTITUTE(SUBSTITUTE(SUBSTITUTE(TRIM(N765),".",""),"/",""),"-","")," ",""),"(",""),")",""),"+",""))=10,"ERRO: é fixo (ou falta o 9), use a coluna Telefone fixo","ERRO: DDD + 9 + 8 dígitos")))</f>
      </c>
      <c r="Y765" s="6">
        <f>IF(O765="","vazio",IF(AND(ISNUMBER(FIND("@",O765)),ISNUMBER(FIND(".",MID(O765,FIND("@",O765),99))),NOT(ISNUMBER(FIND(" ",TRIM(O765)))),NOT(ISNUMBER(FIND(";",O765))),NOT(ISNUMBER(FIND(",",O765)))),"OK","ERRO: um e-mail válido por linha"))</f>
      </c>
      <c r="Z765" s="6">
        <f>IF(AND(J765="",K765=""),"",IF(AND(J765&lt;&gt;"",K765&lt;&gt;""),"OK","pendente: só um nome (o GR completa ao converter)"))</f>
      </c>
      <c r="AA765" s="6">
        <f>IF(COUNTA(A765:S765)=0,"",IF(AND(A765&lt;&gt;"",B765&lt;&gt;"",C765&lt;&gt;"",D765&lt;&gt;"",E765&lt;&gt;"",F765&lt;&gt;"",G765&lt;&gt;"",H765&lt;&gt;"",OR(J765&lt;&gt;"",K765&lt;&gt;""),OR(M765&lt;&gt;"",N765&lt;&gt;"",O765&lt;&gt;"")),"OK","ERRO: faltam "&amp;IF(A765="","SDR; ","")&amp;IF(B765="","Proprietário; ","")&amp;IF(C765="","Origem; ","")&amp;IF(D765="","Temperatura; ","")&amp;IF(E765="","Segmento; ","")&amp;IF(F765="","Time/Cluster; ","")&amp;IF(G765="","CNPJ; ","")&amp;IF(H765="","Razão Social; ","")&amp;IF(AND(J765="",K765=""),"nome do contato; ","")&amp;IF(AND(M765="",N765="",O765=""),"telefone, celular ou e-mail; ","")))</f>
      </c>
      <c r="AB765" s="6">
        <f>IF(COUNTA(A765:S765)=0,"",IF(AND(U765="OK",V765="OK",LEFT(W765,4)&lt;&gt;"ERRO",LEFT(X765,4)&lt;&gt;"ERRO",LEFT(Y765,4)&lt;&gt;"ERRO",AA765="OK"),"OK","REVISAR"))</f>
      </c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5"/>
      <c r="K766" s="4"/>
      <c r="L766" s="4"/>
      <c r="M766" s="4"/>
      <c r="N766" s="4"/>
      <c r="O766" s="4"/>
      <c r="P766" s="4"/>
      <c r="Q766" s="4"/>
      <c r="R766" s="4"/>
      <c r="S766" s="4"/>
      <c r="T766" s="6">
        <f>IF(G766="","",SUBSTITUTE(SUBSTITUTE(SUBSTITUTE(SUBSTITUTE(SUBSTITUTE(SUBSTITUTE(SUBSTITUTE(TRIM(G766),".",""),"/",""),"-","")," ",""),"(",""),")",""),"+",""))</f>
      </c>
      <c r="U766" s="6">
        <f>IF(T766="","",IF(LEN(T766)&lt;&gt;14,"ERRO: "&amp;LEN(T766)&amp;" dígitos",IF(NOT(ISNUMBER(VALUE(T766))),"ERRO: não numérico",IF(LEN(SUBSTITUTE(T766,LEFT(T766,1),""))=0,"ERRO: dígitos repetidos",IF(AND(VALUE(MID(T766,13,1))=IF(MOD(SUMPRODUCT(--MID(T766,{1,2,3,4,5,6,7,8,9,10,11,12},1),{5,4,3,2,9,8,7,6,5,4,3,2}),11)&lt;2,0,11-MOD(SUMPRODUCT(--MID(T766,{1,2,3,4,5,6,7,8,9,10,11,12},1),{5,4,3,2,9,8,7,6,5,4,3,2}),11)),VALUE(MID(T766,14,1))=IF(MOD(SUMPRODUCT(--MID(T766,{1,2,3,4,5,6,7,8,9,10,11,12,13},1),{6,5,4,3,2,9,8,7,6,5,4,3,2}),11)&lt;2,0,11-MOD(SUMPRODUCT(--MID(T766,{1,2,3,4,5,6,7,8,9,10,11,12,13},1),{6,5,4,3,2,9,8,7,6,5,4,3,2}),11))),"OK","ERRO: dígito verificador")))))</f>
      </c>
      <c r="V766" s="6">
        <f>IF(T766="","",IF(COUNTIF($T$2:$T$1001,T766)&gt;1,"DUPLICADO","OK"))</f>
      </c>
      <c r="W766" s="6">
        <f>IF(M766="","vazio",IF(OR(AND(LEN(SUBSTITUTE(SUBSTITUTE(SUBSTITUTE(SUBSTITUTE(SUBSTITUTE(SUBSTITUTE(SUBSTITUTE(TRIM(M766),".",""),"/",""),"-","")," ",""),"(",""),")",""),"+",""))=10,LEFT(SUBSTITUTE(SUBSTITUTE(SUBSTITUTE(SUBSTITUTE(SUBSTITUTE(SUBSTITUTE(SUBSTITUTE(TRIM(M766),".",""),"/",""),"-","")," ",""),"(",""),")",""),"+",""),1)&lt;&gt;"0"),AND(LEN(SUBSTITUTE(SUBSTITUTE(SUBSTITUTE(SUBSTITUTE(SUBSTITUTE(SUBSTITUTE(SUBSTITUTE(TRIM(M766),".",""),"/",""),"-","")," ",""),"(",""),")",""),"+",""))=11,LEFT(SUBSTITUTE(SUBSTITUTE(SUBSTITUTE(SUBSTITUTE(SUBSTITUTE(SUBSTITUTE(SUBSTITUTE(TRIM(M766),".",""),"/",""),"-","")," ",""),"(",""),")",""),"+",""),4)="0800")),"OK",IF(AND(LEN(SUBSTITUTE(SUBSTITUTE(SUBSTITUTE(SUBSTITUTE(SUBSTITUTE(SUBSTITUTE(SUBSTITUTE(TRIM(M766),".",""),"/",""),"-","")," ",""),"(",""),")",""),"+",""))=11,MID(SUBSTITUTE(SUBSTITUTE(SUBSTITUTE(SUBSTITUTE(SUBSTITUTE(SUBSTITUTE(SUBSTITUTE(TRIM(M766),".",""),"/",""),"-","")," ",""),"(",""),")",""),"+",""),3,1)="9"),"ERRO: é celular, use a coluna Celular","ERRO: DDD + 8 dígitos ou 0800 + 7")))</f>
      </c>
      <c r="X766" s="6">
        <f>IF(N766="","vazio",IF(AND(LEN(SUBSTITUTE(SUBSTITUTE(SUBSTITUTE(SUBSTITUTE(SUBSTITUTE(SUBSTITUTE(SUBSTITUTE(TRIM(N766),".",""),"/",""),"-","")," ",""),"(",""),")",""),"+",""))=11,MID(SUBSTITUTE(SUBSTITUTE(SUBSTITUTE(SUBSTITUTE(SUBSTITUTE(SUBSTITUTE(SUBSTITUTE(TRIM(N766),".",""),"/",""),"-","")," ",""),"(",""),")",""),"+",""),3,1)="9",LEFT(SUBSTITUTE(SUBSTITUTE(SUBSTITUTE(SUBSTITUTE(SUBSTITUTE(SUBSTITUTE(SUBSTITUTE(TRIM(N766),".",""),"/",""),"-","")," ",""),"(",""),")",""),"+",""),1)&lt;&gt;"0"),"OK",IF(LEN(SUBSTITUTE(SUBSTITUTE(SUBSTITUTE(SUBSTITUTE(SUBSTITUTE(SUBSTITUTE(SUBSTITUTE(TRIM(N766),".",""),"/",""),"-","")," ",""),"(",""),")",""),"+",""))=10,"ERRO: é fixo (ou falta o 9), use a coluna Telefone fixo","ERRO: DDD + 9 + 8 dígitos")))</f>
      </c>
      <c r="Y766" s="6">
        <f>IF(O766="","vazio",IF(AND(ISNUMBER(FIND("@",O766)),ISNUMBER(FIND(".",MID(O766,FIND("@",O766),99))),NOT(ISNUMBER(FIND(" ",TRIM(O766)))),NOT(ISNUMBER(FIND(";",O766))),NOT(ISNUMBER(FIND(",",O766)))),"OK","ERRO: um e-mail válido por linha"))</f>
      </c>
      <c r="Z766" s="6">
        <f>IF(AND(J766="",K766=""),"",IF(AND(J766&lt;&gt;"",K766&lt;&gt;""),"OK","pendente: só um nome (o GR completa ao converter)"))</f>
      </c>
      <c r="AA766" s="6">
        <f>IF(COUNTA(A766:S766)=0,"",IF(AND(A766&lt;&gt;"",B766&lt;&gt;"",C766&lt;&gt;"",D766&lt;&gt;"",E766&lt;&gt;"",F766&lt;&gt;"",G766&lt;&gt;"",H766&lt;&gt;"",OR(J766&lt;&gt;"",K766&lt;&gt;""),OR(M766&lt;&gt;"",N766&lt;&gt;"",O766&lt;&gt;"")),"OK","ERRO: faltam "&amp;IF(A766="","SDR; ","")&amp;IF(B766="","Proprietário; ","")&amp;IF(C766="","Origem; ","")&amp;IF(D766="","Temperatura; ","")&amp;IF(E766="","Segmento; ","")&amp;IF(F766="","Time/Cluster; ","")&amp;IF(G766="","CNPJ; ","")&amp;IF(H766="","Razão Social; ","")&amp;IF(AND(J766="",K766=""),"nome do contato; ","")&amp;IF(AND(M766="",N766="",O766=""),"telefone, celular ou e-mail; ","")))</f>
      </c>
      <c r="AB766" s="6">
        <f>IF(COUNTA(A766:S766)=0,"",IF(AND(U766="OK",V766="OK",LEFT(W766,4)&lt;&gt;"ERRO",LEFT(X766,4)&lt;&gt;"ERRO",LEFT(Y766,4)&lt;&gt;"ERRO",AA766="OK"),"OK","REVISAR"))</f>
      </c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5"/>
      <c r="K767" s="4"/>
      <c r="L767" s="4"/>
      <c r="M767" s="4"/>
      <c r="N767" s="4"/>
      <c r="O767" s="4"/>
      <c r="P767" s="4"/>
      <c r="Q767" s="4"/>
      <c r="R767" s="4"/>
      <c r="S767" s="4"/>
      <c r="T767" s="6">
        <f>IF(G767="","",SUBSTITUTE(SUBSTITUTE(SUBSTITUTE(SUBSTITUTE(SUBSTITUTE(SUBSTITUTE(SUBSTITUTE(TRIM(G767),".",""),"/",""),"-","")," ",""),"(",""),")",""),"+",""))</f>
      </c>
      <c r="U767" s="6">
        <f>IF(T767="","",IF(LEN(T767)&lt;&gt;14,"ERRO: "&amp;LEN(T767)&amp;" dígitos",IF(NOT(ISNUMBER(VALUE(T767))),"ERRO: não numérico",IF(LEN(SUBSTITUTE(T767,LEFT(T767,1),""))=0,"ERRO: dígitos repetidos",IF(AND(VALUE(MID(T767,13,1))=IF(MOD(SUMPRODUCT(--MID(T767,{1,2,3,4,5,6,7,8,9,10,11,12},1),{5,4,3,2,9,8,7,6,5,4,3,2}),11)&lt;2,0,11-MOD(SUMPRODUCT(--MID(T767,{1,2,3,4,5,6,7,8,9,10,11,12},1),{5,4,3,2,9,8,7,6,5,4,3,2}),11)),VALUE(MID(T767,14,1))=IF(MOD(SUMPRODUCT(--MID(T767,{1,2,3,4,5,6,7,8,9,10,11,12,13},1),{6,5,4,3,2,9,8,7,6,5,4,3,2}),11)&lt;2,0,11-MOD(SUMPRODUCT(--MID(T767,{1,2,3,4,5,6,7,8,9,10,11,12,13},1),{6,5,4,3,2,9,8,7,6,5,4,3,2}),11))),"OK","ERRO: dígito verificador")))))</f>
      </c>
      <c r="V767" s="6">
        <f>IF(T767="","",IF(COUNTIF($T$2:$T$1001,T767)&gt;1,"DUPLICADO","OK"))</f>
      </c>
      <c r="W767" s="6">
        <f>IF(M767="","vazio",IF(OR(AND(LEN(SUBSTITUTE(SUBSTITUTE(SUBSTITUTE(SUBSTITUTE(SUBSTITUTE(SUBSTITUTE(SUBSTITUTE(TRIM(M767),".",""),"/",""),"-","")," ",""),"(",""),")",""),"+",""))=10,LEFT(SUBSTITUTE(SUBSTITUTE(SUBSTITUTE(SUBSTITUTE(SUBSTITUTE(SUBSTITUTE(SUBSTITUTE(TRIM(M767),".",""),"/",""),"-","")," ",""),"(",""),")",""),"+",""),1)&lt;&gt;"0"),AND(LEN(SUBSTITUTE(SUBSTITUTE(SUBSTITUTE(SUBSTITUTE(SUBSTITUTE(SUBSTITUTE(SUBSTITUTE(TRIM(M767),".",""),"/",""),"-","")," ",""),"(",""),")",""),"+",""))=11,LEFT(SUBSTITUTE(SUBSTITUTE(SUBSTITUTE(SUBSTITUTE(SUBSTITUTE(SUBSTITUTE(SUBSTITUTE(TRIM(M767),".",""),"/",""),"-","")," ",""),"(",""),")",""),"+",""),4)="0800")),"OK",IF(AND(LEN(SUBSTITUTE(SUBSTITUTE(SUBSTITUTE(SUBSTITUTE(SUBSTITUTE(SUBSTITUTE(SUBSTITUTE(TRIM(M767),".",""),"/",""),"-","")," ",""),"(",""),")",""),"+",""))=11,MID(SUBSTITUTE(SUBSTITUTE(SUBSTITUTE(SUBSTITUTE(SUBSTITUTE(SUBSTITUTE(SUBSTITUTE(TRIM(M767),".",""),"/",""),"-","")," ",""),"(",""),")",""),"+",""),3,1)="9"),"ERRO: é celular, use a coluna Celular","ERRO: DDD + 8 dígitos ou 0800 + 7")))</f>
      </c>
      <c r="X767" s="6">
        <f>IF(N767="","vazio",IF(AND(LEN(SUBSTITUTE(SUBSTITUTE(SUBSTITUTE(SUBSTITUTE(SUBSTITUTE(SUBSTITUTE(SUBSTITUTE(TRIM(N767),".",""),"/",""),"-","")," ",""),"(",""),")",""),"+",""))=11,MID(SUBSTITUTE(SUBSTITUTE(SUBSTITUTE(SUBSTITUTE(SUBSTITUTE(SUBSTITUTE(SUBSTITUTE(TRIM(N767),".",""),"/",""),"-","")," ",""),"(",""),")",""),"+",""),3,1)="9",LEFT(SUBSTITUTE(SUBSTITUTE(SUBSTITUTE(SUBSTITUTE(SUBSTITUTE(SUBSTITUTE(SUBSTITUTE(TRIM(N767),".",""),"/",""),"-","")," ",""),"(",""),")",""),"+",""),1)&lt;&gt;"0"),"OK",IF(LEN(SUBSTITUTE(SUBSTITUTE(SUBSTITUTE(SUBSTITUTE(SUBSTITUTE(SUBSTITUTE(SUBSTITUTE(TRIM(N767),".",""),"/",""),"-","")," ",""),"(",""),")",""),"+",""))=10,"ERRO: é fixo (ou falta o 9), use a coluna Telefone fixo","ERRO: DDD + 9 + 8 dígitos")))</f>
      </c>
      <c r="Y767" s="6">
        <f>IF(O767="","vazio",IF(AND(ISNUMBER(FIND("@",O767)),ISNUMBER(FIND(".",MID(O767,FIND("@",O767),99))),NOT(ISNUMBER(FIND(" ",TRIM(O767)))),NOT(ISNUMBER(FIND(";",O767))),NOT(ISNUMBER(FIND(",",O767)))),"OK","ERRO: um e-mail válido por linha"))</f>
      </c>
      <c r="Z767" s="6">
        <f>IF(AND(J767="",K767=""),"",IF(AND(J767&lt;&gt;"",K767&lt;&gt;""),"OK","pendente: só um nome (o GR completa ao converter)"))</f>
      </c>
      <c r="AA767" s="6">
        <f>IF(COUNTA(A767:S767)=0,"",IF(AND(A767&lt;&gt;"",B767&lt;&gt;"",C767&lt;&gt;"",D767&lt;&gt;"",E767&lt;&gt;"",F767&lt;&gt;"",G767&lt;&gt;"",H767&lt;&gt;"",OR(J767&lt;&gt;"",K767&lt;&gt;""),OR(M767&lt;&gt;"",N767&lt;&gt;"",O767&lt;&gt;"")),"OK","ERRO: faltam "&amp;IF(A767="","SDR; ","")&amp;IF(B767="","Proprietário; ","")&amp;IF(C767="","Origem; ","")&amp;IF(D767="","Temperatura; ","")&amp;IF(E767="","Segmento; ","")&amp;IF(F767="","Time/Cluster; ","")&amp;IF(G767="","CNPJ; ","")&amp;IF(H767="","Razão Social; ","")&amp;IF(AND(J767="",K767=""),"nome do contato; ","")&amp;IF(AND(M767="",N767="",O767=""),"telefone, celular ou e-mail; ","")))</f>
      </c>
      <c r="AB767" s="6">
        <f>IF(COUNTA(A767:S767)=0,"",IF(AND(U767="OK",V767="OK",LEFT(W767,4)&lt;&gt;"ERRO",LEFT(X767,4)&lt;&gt;"ERRO",LEFT(Y767,4)&lt;&gt;"ERRO",AA767="OK"),"OK","REVISAR"))</f>
      </c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5"/>
      <c r="K768" s="4"/>
      <c r="L768" s="4"/>
      <c r="M768" s="4"/>
      <c r="N768" s="4"/>
      <c r="O768" s="4"/>
      <c r="P768" s="4"/>
      <c r="Q768" s="4"/>
      <c r="R768" s="4"/>
      <c r="S768" s="4"/>
      <c r="T768" s="6">
        <f>IF(G768="","",SUBSTITUTE(SUBSTITUTE(SUBSTITUTE(SUBSTITUTE(SUBSTITUTE(SUBSTITUTE(SUBSTITUTE(TRIM(G768),".",""),"/",""),"-","")," ",""),"(",""),")",""),"+",""))</f>
      </c>
      <c r="U768" s="6">
        <f>IF(T768="","",IF(LEN(T768)&lt;&gt;14,"ERRO: "&amp;LEN(T768)&amp;" dígitos",IF(NOT(ISNUMBER(VALUE(T768))),"ERRO: não numérico",IF(LEN(SUBSTITUTE(T768,LEFT(T768,1),""))=0,"ERRO: dígitos repetidos",IF(AND(VALUE(MID(T768,13,1))=IF(MOD(SUMPRODUCT(--MID(T768,{1,2,3,4,5,6,7,8,9,10,11,12},1),{5,4,3,2,9,8,7,6,5,4,3,2}),11)&lt;2,0,11-MOD(SUMPRODUCT(--MID(T768,{1,2,3,4,5,6,7,8,9,10,11,12},1),{5,4,3,2,9,8,7,6,5,4,3,2}),11)),VALUE(MID(T768,14,1))=IF(MOD(SUMPRODUCT(--MID(T768,{1,2,3,4,5,6,7,8,9,10,11,12,13},1),{6,5,4,3,2,9,8,7,6,5,4,3,2}),11)&lt;2,0,11-MOD(SUMPRODUCT(--MID(T768,{1,2,3,4,5,6,7,8,9,10,11,12,13},1),{6,5,4,3,2,9,8,7,6,5,4,3,2}),11))),"OK","ERRO: dígito verificador")))))</f>
      </c>
      <c r="V768" s="6">
        <f>IF(T768="","",IF(COUNTIF($T$2:$T$1001,T768)&gt;1,"DUPLICADO","OK"))</f>
      </c>
      <c r="W768" s="6">
        <f>IF(M768="","vazio",IF(OR(AND(LEN(SUBSTITUTE(SUBSTITUTE(SUBSTITUTE(SUBSTITUTE(SUBSTITUTE(SUBSTITUTE(SUBSTITUTE(TRIM(M768),".",""),"/",""),"-","")," ",""),"(",""),")",""),"+",""))=10,LEFT(SUBSTITUTE(SUBSTITUTE(SUBSTITUTE(SUBSTITUTE(SUBSTITUTE(SUBSTITUTE(SUBSTITUTE(TRIM(M768),".",""),"/",""),"-","")," ",""),"(",""),")",""),"+",""),1)&lt;&gt;"0"),AND(LEN(SUBSTITUTE(SUBSTITUTE(SUBSTITUTE(SUBSTITUTE(SUBSTITUTE(SUBSTITUTE(SUBSTITUTE(TRIM(M768),".",""),"/",""),"-","")," ",""),"(",""),")",""),"+",""))=11,LEFT(SUBSTITUTE(SUBSTITUTE(SUBSTITUTE(SUBSTITUTE(SUBSTITUTE(SUBSTITUTE(SUBSTITUTE(TRIM(M768),".",""),"/",""),"-","")," ",""),"(",""),")",""),"+",""),4)="0800")),"OK",IF(AND(LEN(SUBSTITUTE(SUBSTITUTE(SUBSTITUTE(SUBSTITUTE(SUBSTITUTE(SUBSTITUTE(SUBSTITUTE(TRIM(M768),".",""),"/",""),"-","")," ",""),"(",""),")",""),"+",""))=11,MID(SUBSTITUTE(SUBSTITUTE(SUBSTITUTE(SUBSTITUTE(SUBSTITUTE(SUBSTITUTE(SUBSTITUTE(TRIM(M768),".",""),"/",""),"-","")," ",""),"(",""),")",""),"+",""),3,1)="9"),"ERRO: é celular, use a coluna Celular","ERRO: DDD + 8 dígitos ou 0800 + 7")))</f>
      </c>
      <c r="X768" s="6">
        <f>IF(N768="","vazio",IF(AND(LEN(SUBSTITUTE(SUBSTITUTE(SUBSTITUTE(SUBSTITUTE(SUBSTITUTE(SUBSTITUTE(SUBSTITUTE(TRIM(N768),".",""),"/",""),"-","")," ",""),"(",""),")",""),"+",""))=11,MID(SUBSTITUTE(SUBSTITUTE(SUBSTITUTE(SUBSTITUTE(SUBSTITUTE(SUBSTITUTE(SUBSTITUTE(TRIM(N768),".",""),"/",""),"-","")," ",""),"(",""),")",""),"+",""),3,1)="9",LEFT(SUBSTITUTE(SUBSTITUTE(SUBSTITUTE(SUBSTITUTE(SUBSTITUTE(SUBSTITUTE(SUBSTITUTE(TRIM(N768),".",""),"/",""),"-","")," ",""),"(",""),")",""),"+",""),1)&lt;&gt;"0"),"OK",IF(LEN(SUBSTITUTE(SUBSTITUTE(SUBSTITUTE(SUBSTITUTE(SUBSTITUTE(SUBSTITUTE(SUBSTITUTE(TRIM(N768),".",""),"/",""),"-","")," ",""),"(",""),")",""),"+",""))=10,"ERRO: é fixo (ou falta o 9), use a coluna Telefone fixo","ERRO: DDD + 9 + 8 dígitos")))</f>
      </c>
      <c r="Y768" s="6">
        <f>IF(O768="","vazio",IF(AND(ISNUMBER(FIND("@",O768)),ISNUMBER(FIND(".",MID(O768,FIND("@",O768),99))),NOT(ISNUMBER(FIND(" ",TRIM(O768)))),NOT(ISNUMBER(FIND(";",O768))),NOT(ISNUMBER(FIND(",",O768)))),"OK","ERRO: um e-mail válido por linha"))</f>
      </c>
      <c r="Z768" s="6">
        <f>IF(AND(J768="",K768=""),"",IF(AND(J768&lt;&gt;"",K768&lt;&gt;""),"OK","pendente: só um nome (o GR completa ao converter)"))</f>
      </c>
      <c r="AA768" s="6">
        <f>IF(COUNTA(A768:S768)=0,"",IF(AND(A768&lt;&gt;"",B768&lt;&gt;"",C768&lt;&gt;"",D768&lt;&gt;"",E768&lt;&gt;"",F768&lt;&gt;"",G768&lt;&gt;"",H768&lt;&gt;"",OR(J768&lt;&gt;"",K768&lt;&gt;""),OR(M768&lt;&gt;"",N768&lt;&gt;"",O768&lt;&gt;"")),"OK","ERRO: faltam "&amp;IF(A768="","SDR; ","")&amp;IF(B768="","Proprietário; ","")&amp;IF(C768="","Origem; ","")&amp;IF(D768="","Temperatura; ","")&amp;IF(E768="","Segmento; ","")&amp;IF(F768="","Time/Cluster; ","")&amp;IF(G768="","CNPJ; ","")&amp;IF(H768="","Razão Social; ","")&amp;IF(AND(J768="",K768=""),"nome do contato; ","")&amp;IF(AND(M768="",N768="",O768=""),"telefone, celular ou e-mail; ","")))</f>
      </c>
      <c r="AB768" s="6">
        <f>IF(COUNTA(A768:S768)=0,"",IF(AND(U768="OK",V768="OK",LEFT(W768,4)&lt;&gt;"ERRO",LEFT(X768,4)&lt;&gt;"ERRO",LEFT(Y768,4)&lt;&gt;"ERRO",AA768="OK"),"OK","REVISAR"))</f>
      </c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5"/>
      <c r="K769" s="4"/>
      <c r="L769" s="4"/>
      <c r="M769" s="4"/>
      <c r="N769" s="4"/>
      <c r="O769" s="4"/>
      <c r="P769" s="4"/>
      <c r="Q769" s="4"/>
      <c r="R769" s="4"/>
      <c r="S769" s="4"/>
      <c r="T769" s="6">
        <f>IF(G769="","",SUBSTITUTE(SUBSTITUTE(SUBSTITUTE(SUBSTITUTE(SUBSTITUTE(SUBSTITUTE(SUBSTITUTE(TRIM(G769),".",""),"/",""),"-","")," ",""),"(",""),")",""),"+",""))</f>
      </c>
      <c r="U769" s="6">
        <f>IF(T769="","",IF(LEN(T769)&lt;&gt;14,"ERRO: "&amp;LEN(T769)&amp;" dígitos",IF(NOT(ISNUMBER(VALUE(T769))),"ERRO: não numérico",IF(LEN(SUBSTITUTE(T769,LEFT(T769,1),""))=0,"ERRO: dígitos repetidos",IF(AND(VALUE(MID(T769,13,1))=IF(MOD(SUMPRODUCT(--MID(T769,{1,2,3,4,5,6,7,8,9,10,11,12},1),{5,4,3,2,9,8,7,6,5,4,3,2}),11)&lt;2,0,11-MOD(SUMPRODUCT(--MID(T769,{1,2,3,4,5,6,7,8,9,10,11,12},1),{5,4,3,2,9,8,7,6,5,4,3,2}),11)),VALUE(MID(T769,14,1))=IF(MOD(SUMPRODUCT(--MID(T769,{1,2,3,4,5,6,7,8,9,10,11,12,13},1),{6,5,4,3,2,9,8,7,6,5,4,3,2}),11)&lt;2,0,11-MOD(SUMPRODUCT(--MID(T769,{1,2,3,4,5,6,7,8,9,10,11,12,13},1),{6,5,4,3,2,9,8,7,6,5,4,3,2}),11))),"OK","ERRO: dígito verificador")))))</f>
      </c>
      <c r="V769" s="6">
        <f>IF(T769="","",IF(COUNTIF($T$2:$T$1001,T769)&gt;1,"DUPLICADO","OK"))</f>
      </c>
      <c r="W769" s="6">
        <f>IF(M769="","vazio",IF(OR(AND(LEN(SUBSTITUTE(SUBSTITUTE(SUBSTITUTE(SUBSTITUTE(SUBSTITUTE(SUBSTITUTE(SUBSTITUTE(TRIM(M769),".",""),"/",""),"-","")," ",""),"(",""),")",""),"+",""))=10,LEFT(SUBSTITUTE(SUBSTITUTE(SUBSTITUTE(SUBSTITUTE(SUBSTITUTE(SUBSTITUTE(SUBSTITUTE(TRIM(M769),".",""),"/",""),"-","")," ",""),"(",""),")",""),"+",""),1)&lt;&gt;"0"),AND(LEN(SUBSTITUTE(SUBSTITUTE(SUBSTITUTE(SUBSTITUTE(SUBSTITUTE(SUBSTITUTE(SUBSTITUTE(TRIM(M769),".",""),"/",""),"-","")," ",""),"(",""),")",""),"+",""))=11,LEFT(SUBSTITUTE(SUBSTITUTE(SUBSTITUTE(SUBSTITUTE(SUBSTITUTE(SUBSTITUTE(SUBSTITUTE(TRIM(M769),".",""),"/",""),"-","")," ",""),"(",""),")",""),"+",""),4)="0800")),"OK",IF(AND(LEN(SUBSTITUTE(SUBSTITUTE(SUBSTITUTE(SUBSTITUTE(SUBSTITUTE(SUBSTITUTE(SUBSTITUTE(TRIM(M769),".",""),"/",""),"-","")," ",""),"(",""),")",""),"+",""))=11,MID(SUBSTITUTE(SUBSTITUTE(SUBSTITUTE(SUBSTITUTE(SUBSTITUTE(SUBSTITUTE(SUBSTITUTE(TRIM(M769),".",""),"/",""),"-","")," ",""),"(",""),")",""),"+",""),3,1)="9"),"ERRO: é celular, use a coluna Celular","ERRO: DDD + 8 dígitos ou 0800 + 7")))</f>
      </c>
      <c r="X769" s="6">
        <f>IF(N769="","vazio",IF(AND(LEN(SUBSTITUTE(SUBSTITUTE(SUBSTITUTE(SUBSTITUTE(SUBSTITUTE(SUBSTITUTE(SUBSTITUTE(TRIM(N769),".",""),"/",""),"-","")," ",""),"(",""),")",""),"+",""))=11,MID(SUBSTITUTE(SUBSTITUTE(SUBSTITUTE(SUBSTITUTE(SUBSTITUTE(SUBSTITUTE(SUBSTITUTE(TRIM(N769),".",""),"/",""),"-","")," ",""),"(",""),")",""),"+",""),3,1)="9",LEFT(SUBSTITUTE(SUBSTITUTE(SUBSTITUTE(SUBSTITUTE(SUBSTITUTE(SUBSTITUTE(SUBSTITUTE(TRIM(N769),".",""),"/",""),"-","")," ",""),"(",""),")",""),"+",""),1)&lt;&gt;"0"),"OK",IF(LEN(SUBSTITUTE(SUBSTITUTE(SUBSTITUTE(SUBSTITUTE(SUBSTITUTE(SUBSTITUTE(SUBSTITUTE(TRIM(N769),".",""),"/",""),"-","")," ",""),"(",""),")",""),"+",""))=10,"ERRO: é fixo (ou falta o 9), use a coluna Telefone fixo","ERRO: DDD + 9 + 8 dígitos")))</f>
      </c>
      <c r="Y769" s="6">
        <f>IF(O769="","vazio",IF(AND(ISNUMBER(FIND("@",O769)),ISNUMBER(FIND(".",MID(O769,FIND("@",O769),99))),NOT(ISNUMBER(FIND(" ",TRIM(O769)))),NOT(ISNUMBER(FIND(";",O769))),NOT(ISNUMBER(FIND(",",O769)))),"OK","ERRO: um e-mail válido por linha"))</f>
      </c>
      <c r="Z769" s="6">
        <f>IF(AND(J769="",K769=""),"",IF(AND(J769&lt;&gt;"",K769&lt;&gt;""),"OK","pendente: só um nome (o GR completa ao converter)"))</f>
      </c>
      <c r="AA769" s="6">
        <f>IF(COUNTA(A769:S769)=0,"",IF(AND(A769&lt;&gt;"",B769&lt;&gt;"",C769&lt;&gt;"",D769&lt;&gt;"",E769&lt;&gt;"",F769&lt;&gt;"",G769&lt;&gt;"",H769&lt;&gt;"",OR(J769&lt;&gt;"",K769&lt;&gt;""),OR(M769&lt;&gt;"",N769&lt;&gt;"",O769&lt;&gt;"")),"OK","ERRO: faltam "&amp;IF(A769="","SDR; ","")&amp;IF(B769="","Proprietário; ","")&amp;IF(C769="","Origem; ","")&amp;IF(D769="","Temperatura; ","")&amp;IF(E769="","Segmento; ","")&amp;IF(F769="","Time/Cluster; ","")&amp;IF(G769="","CNPJ; ","")&amp;IF(H769="","Razão Social; ","")&amp;IF(AND(J769="",K769=""),"nome do contato; ","")&amp;IF(AND(M769="",N769="",O769=""),"telefone, celular ou e-mail; ","")))</f>
      </c>
      <c r="AB769" s="6">
        <f>IF(COUNTA(A769:S769)=0,"",IF(AND(U769="OK",V769="OK",LEFT(W769,4)&lt;&gt;"ERRO",LEFT(X769,4)&lt;&gt;"ERRO",LEFT(Y769,4)&lt;&gt;"ERRO",AA769="OK"),"OK","REVISAR"))</f>
      </c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5"/>
      <c r="K770" s="4"/>
      <c r="L770" s="4"/>
      <c r="M770" s="4"/>
      <c r="N770" s="4"/>
      <c r="O770" s="4"/>
      <c r="P770" s="4"/>
      <c r="Q770" s="4"/>
      <c r="R770" s="4"/>
      <c r="S770" s="4"/>
      <c r="T770" s="6">
        <f>IF(G770="","",SUBSTITUTE(SUBSTITUTE(SUBSTITUTE(SUBSTITUTE(SUBSTITUTE(SUBSTITUTE(SUBSTITUTE(TRIM(G770),".",""),"/",""),"-","")," ",""),"(",""),")",""),"+",""))</f>
      </c>
      <c r="U770" s="6">
        <f>IF(T770="","",IF(LEN(T770)&lt;&gt;14,"ERRO: "&amp;LEN(T770)&amp;" dígitos",IF(NOT(ISNUMBER(VALUE(T770))),"ERRO: não numérico",IF(LEN(SUBSTITUTE(T770,LEFT(T770,1),""))=0,"ERRO: dígitos repetidos",IF(AND(VALUE(MID(T770,13,1))=IF(MOD(SUMPRODUCT(--MID(T770,{1,2,3,4,5,6,7,8,9,10,11,12},1),{5,4,3,2,9,8,7,6,5,4,3,2}),11)&lt;2,0,11-MOD(SUMPRODUCT(--MID(T770,{1,2,3,4,5,6,7,8,9,10,11,12},1),{5,4,3,2,9,8,7,6,5,4,3,2}),11)),VALUE(MID(T770,14,1))=IF(MOD(SUMPRODUCT(--MID(T770,{1,2,3,4,5,6,7,8,9,10,11,12,13},1),{6,5,4,3,2,9,8,7,6,5,4,3,2}),11)&lt;2,0,11-MOD(SUMPRODUCT(--MID(T770,{1,2,3,4,5,6,7,8,9,10,11,12,13},1),{6,5,4,3,2,9,8,7,6,5,4,3,2}),11))),"OK","ERRO: dígito verificador")))))</f>
      </c>
      <c r="V770" s="6">
        <f>IF(T770="","",IF(COUNTIF($T$2:$T$1001,T770)&gt;1,"DUPLICADO","OK"))</f>
      </c>
      <c r="W770" s="6">
        <f>IF(M770="","vazio",IF(OR(AND(LEN(SUBSTITUTE(SUBSTITUTE(SUBSTITUTE(SUBSTITUTE(SUBSTITUTE(SUBSTITUTE(SUBSTITUTE(TRIM(M770),".",""),"/",""),"-","")," ",""),"(",""),")",""),"+",""))=10,LEFT(SUBSTITUTE(SUBSTITUTE(SUBSTITUTE(SUBSTITUTE(SUBSTITUTE(SUBSTITUTE(SUBSTITUTE(TRIM(M770),".",""),"/",""),"-","")," ",""),"(",""),")",""),"+",""),1)&lt;&gt;"0"),AND(LEN(SUBSTITUTE(SUBSTITUTE(SUBSTITUTE(SUBSTITUTE(SUBSTITUTE(SUBSTITUTE(SUBSTITUTE(TRIM(M770),".",""),"/",""),"-","")," ",""),"(",""),")",""),"+",""))=11,LEFT(SUBSTITUTE(SUBSTITUTE(SUBSTITUTE(SUBSTITUTE(SUBSTITUTE(SUBSTITUTE(SUBSTITUTE(TRIM(M770),".",""),"/",""),"-","")," ",""),"(",""),")",""),"+",""),4)="0800")),"OK",IF(AND(LEN(SUBSTITUTE(SUBSTITUTE(SUBSTITUTE(SUBSTITUTE(SUBSTITUTE(SUBSTITUTE(SUBSTITUTE(TRIM(M770),".",""),"/",""),"-","")," ",""),"(",""),")",""),"+",""))=11,MID(SUBSTITUTE(SUBSTITUTE(SUBSTITUTE(SUBSTITUTE(SUBSTITUTE(SUBSTITUTE(SUBSTITUTE(TRIM(M770),".",""),"/",""),"-","")," ",""),"(",""),")",""),"+",""),3,1)="9"),"ERRO: é celular, use a coluna Celular","ERRO: DDD + 8 dígitos ou 0800 + 7")))</f>
      </c>
      <c r="X770" s="6">
        <f>IF(N770="","vazio",IF(AND(LEN(SUBSTITUTE(SUBSTITUTE(SUBSTITUTE(SUBSTITUTE(SUBSTITUTE(SUBSTITUTE(SUBSTITUTE(TRIM(N770),".",""),"/",""),"-","")," ",""),"(",""),")",""),"+",""))=11,MID(SUBSTITUTE(SUBSTITUTE(SUBSTITUTE(SUBSTITUTE(SUBSTITUTE(SUBSTITUTE(SUBSTITUTE(TRIM(N770),".",""),"/",""),"-","")," ",""),"(",""),")",""),"+",""),3,1)="9",LEFT(SUBSTITUTE(SUBSTITUTE(SUBSTITUTE(SUBSTITUTE(SUBSTITUTE(SUBSTITUTE(SUBSTITUTE(TRIM(N770),".",""),"/",""),"-","")," ",""),"(",""),")",""),"+",""),1)&lt;&gt;"0"),"OK",IF(LEN(SUBSTITUTE(SUBSTITUTE(SUBSTITUTE(SUBSTITUTE(SUBSTITUTE(SUBSTITUTE(SUBSTITUTE(TRIM(N770),".",""),"/",""),"-","")," ",""),"(",""),")",""),"+",""))=10,"ERRO: é fixo (ou falta o 9), use a coluna Telefone fixo","ERRO: DDD + 9 + 8 dígitos")))</f>
      </c>
      <c r="Y770" s="6">
        <f>IF(O770="","vazio",IF(AND(ISNUMBER(FIND("@",O770)),ISNUMBER(FIND(".",MID(O770,FIND("@",O770),99))),NOT(ISNUMBER(FIND(" ",TRIM(O770)))),NOT(ISNUMBER(FIND(";",O770))),NOT(ISNUMBER(FIND(",",O770)))),"OK","ERRO: um e-mail válido por linha"))</f>
      </c>
      <c r="Z770" s="6">
        <f>IF(AND(J770="",K770=""),"",IF(AND(J770&lt;&gt;"",K770&lt;&gt;""),"OK","pendente: só um nome (o GR completa ao converter)"))</f>
      </c>
      <c r="AA770" s="6">
        <f>IF(COUNTA(A770:S770)=0,"",IF(AND(A770&lt;&gt;"",B770&lt;&gt;"",C770&lt;&gt;"",D770&lt;&gt;"",E770&lt;&gt;"",F770&lt;&gt;"",G770&lt;&gt;"",H770&lt;&gt;"",OR(J770&lt;&gt;"",K770&lt;&gt;""),OR(M770&lt;&gt;"",N770&lt;&gt;"",O770&lt;&gt;"")),"OK","ERRO: faltam "&amp;IF(A770="","SDR; ","")&amp;IF(B770="","Proprietário; ","")&amp;IF(C770="","Origem; ","")&amp;IF(D770="","Temperatura; ","")&amp;IF(E770="","Segmento; ","")&amp;IF(F770="","Time/Cluster; ","")&amp;IF(G770="","CNPJ; ","")&amp;IF(H770="","Razão Social; ","")&amp;IF(AND(J770="",K770=""),"nome do contato; ","")&amp;IF(AND(M770="",N770="",O770=""),"telefone, celular ou e-mail; ","")))</f>
      </c>
      <c r="AB770" s="6">
        <f>IF(COUNTA(A770:S770)=0,"",IF(AND(U770="OK",V770="OK",LEFT(W770,4)&lt;&gt;"ERRO",LEFT(X770,4)&lt;&gt;"ERRO",LEFT(Y770,4)&lt;&gt;"ERRO",AA770="OK"),"OK","REVISAR"))</f>
      </c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5"/>
      <c r="K771" s="4"/>
      <c r="L771" s="4"/>
      <c r="M771" s="4"/>
      <c r="N771" s="4"/>
      <c r="O771" s="4"/>
      <c r="P771" s="4"/>
      <c r="Q771" s="4"/>
      <c r="R771" s="4"/>
      <c r="S771" s="4"/>
      <c r="T771" s="6">
        <f>IF(G771="","",SUBSTITUTE(SUBSTITUTE(SUBSTITUTE(SUBSTITUTE(SUBSTITUTE(SUBSTITUTE(SUBSTITUTE(TRIM(G771),".",""),"/",""),"-","")," ",""),"(",""),")",""),"+",""))</f>
      </c>
      <c r="U771" s="6">
        <f>IF(T771="","",IF(LEN(T771)&lt;&gt;14,"ERRO: "&amp;LEN(T771)&amp;" dígitos",IF(NOT(ISNUMBER(VALUE(T771))),"ERRO: não numérico",IF(LEN(SUBSTITUTE(T771,LEFT(T771,1),""))=0,"ERRO: dígitos repetidos",IF(AND(VALUE(MID(T771,13,1))=IF(MOD(SUMPRODUCT(--MID(T771,{1,2,3,4,5,6,7,8,9,10,11,12},1),{5,4,3,2,9,8,7,6,5,4,3,2}),11)&lt;2,0,11-MOD(SUMPRODUCT(--MID(T771,{1,2,3,4,5,6,7,8,9,10,11,12},1),{5,4,3,2,9,8,7,6,5,4,3,2}),11)),VALUE(MID(T771,14,1))=IF(MOD(SUMPRODUCT(--MID(T771,{1,2,3,4,5,6,7,8,9,10,11,12,13},1),{6,5,4,3,2,9,8,7,6,5,4,3,2}),11)&lt;2,0,11-MOD(SUMPRODUCT(--MID(T771,{1,2,3,4,5,6,7,8,9,10,11,12,13},1),{6,5,4,3,2,9,8,7,6,5,4,3,2}),11))),"OK","ERRO: dígito verificador")))))</f>
      </c>
      <c r="V771" s="6">
        <f>IF(T771="","",IF(COUNTIF($T$2:$T$1001,T771)&gt;1,"DUPLICADO","OK"))</f>
      </c>
      <c r="W771" s="6">
        <f>IF(M771="","vazio",IF(OR(AND(LEN(SUBSTITUTE(SUBSTITUTE(SUBSTITUTE(SUBSTITUTE(SUBSTITUTE(SUBSTITUTE(SUBSTITUTE(TRIM(M771),".",""),"/",""),"-","")," ",""),"(",""),")",""),"+",""))=10,LEFT(SUBSTITUTE(SUBSTITUTE(SUBSTITUTE(SUBSTITUTE(SUBSTITUTE(SUBSTITUTE(SUBSTITUTE(TRIM(M771),".",""),"/",""),"-","")," ",""),"(",""),")",""),"+",""),1)&lt;&gt;"0"),AND(LEN(SUBSTITUTE(SUBSTITUTE(SUBSTITUTE(SUBSTITUTE(SUBSTITUTE(SUBSTITUTE(SUBSTITUTE(TRIM(M771),".",""),"/",""),"-","")," ",""),"(",""),")",""),"+",""))=11,LEFT(SUBSTITUTE(SUBSTITUTE(SUBSTITUTE(SUBSTITUTE(SUBSTITUTE(SUBSTITUTE(SUBSTITUTE(TRIM(M771),".",""),"/",""),"-","")," ",""),"(",""),")",""),"+",""),4)="0800")),"OK",IF(AND(LEN(SUBSTITUTE(SUBSTITUTE(SUBSTITUTE(SUBSTITUTE(SUBSTITUTE(SUBSTITUTE(SUBSTITUTE(TRIM(M771),".",""),"/",""),"-","")," ",""),"(",""),")",""),"+",""))=11,MID(SUBSTITUTE(SUBSTITUTE(SUBSTITUTE(SUBSTITUTE(SUBSTITUTE(SUBSTITUTE(SUBSTITUTE(TRIM(M771),".",""),"/",""),"-","")," ",""),"(",""),")",""),"+",""),3,1)="9"),"ERRO: é celular, use a coluna Celular","ERRO: DDD + 8 dígitos ou 0800 + 7")))</f>
      </c>
      <c r="X771" s="6">
        <f>IF(N771="","vazio",IF(AND(LEN(SUBSTITUTE(SUBSTITUTE(SUBSTITUTE(SUBSTITUTE(SUBSTITUTE(SUBSTITUTE(SUBSTITUTE(TRIM(N771),".",""),"/",""),"-","")," ",""),"(",""),")",""),"+",""))=11,MID(SUBSTITUTE(SUBSTITUTE(SUBSTITUTE(SUBSTITUTE(SUBSTITUTE(SUBSTITUTE(SUBSTITUTE(TRIM(N771),".",""),"/",""),"-","")," ",""),"(",""),")",""),"+",""),3,1)="9",LEFT(SUBSTITUTE(SUBSTITUTE(SUBSTITUTE(SUBSTITUTE(SUBSTITUTE(SUBSTITUTE(SUBSTITUTE(TRIM(N771),".",""),"/",""),"-","")," ",""),"(",""),")",""),"+",""),1)&lt;&gt;"0"),"OK",IF(LEN(SUBSTITUTE(SUBSTITUTE(SUBSTITUTE(SUBSTITUTE(SUBSTITUTE(SUBSTITUTE(SUBSTITUTE(TRIM(N771),".",""),"/",""),"-","")," ",""),"(",""),")",""),"+",""))=10,"ERRO: é fixo (ou falta o 9), use a coluna Telefone fixo","ERRO: DDD + 9 + 8 dígitos")))</f>
      </c>
      <c r="Y771" s="6">
        <f>IF(O771="","vazio",IF(AND(ISNUMBER(FIND("@",O771)),ISNUMBER(FIND(".",MID(O771,FIND("@",O771),99))),NOT(ISNUMBER(FIND(" ",TRIM(O771)))),NOT(ISNUMBER(FIND(";",O771))),NOT(ISNUMBER(FIND(",",O771)))),"OK","ERRO: um e-mail válido por linha"))</f>
      </c>
      <c r="Z771" s="6">
        <f>IF(AND(J771="",K771=""),"",IF(AND(J771&lt;&gt;"",K771&lt;&gt;""),"OK","pendente: só um nome (o GR completa ao converter)"))</f>
      </c>
      <c r="AA771" s="6">
        <f>IF(COUNTA(A771:S771)=0,"",IF(AND(A771&lt;&gt;"",B771&lt;&gt;"",C771&lt;&gt;"",D771&lt;&gt;"",E771&lt;&gt;"",F771&lt;&gt;"",G771&lt;&gt;"",H771&lt;&gt;"",OR(J771&lt;&gt;"",K771&lt;&gt;""),OR(M771&lt;&gt;"",N771&lt;&gt;"",O771&lt;&gt;"")),"OK","ERRO: faltam "&amp;IF(A771="","SDR; ","")&amp;IF(B771="","Proprietário; ","")&amp;IF(C771="","Origem; ","")&amp;IF(D771="","Temperatura; ","")&amp;IF(E771="","Segmento; ","")&amp;IF(F771="","Time/Cluster; ","")&amp;IF(G771="","CNPJ; ","")&amp;IF(H771="","Razão Social; ","")&amp;IF(AND(J771="",K771=""),"nome do contato; ","")&amp;IF(AND(M771="",N771="",O771=""),"telefone, celular ou e-mail; ","")))</f>
      </c>
      <c r="AB771" s="6">
        <f>IF(COUNTA(A771:S771)=0,"",IF(AND(U771="OK",V771="OK",LEFT(W771,4)&lt;&gt;"ERRO",LEFT(X771,4)&lt;&gt;"ERRO",LEFT(Y771,4)&lt;&gt;"ERRO",AA771="OK"),"OK","REVISAR"))</f>
      </c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5"/>
      <c r="K772" s="4"/>
      <c r="L772" s="4"/>
      <c r="M772" s="4"/>
      <c r="N772" s="4"/>
      <c r="O772" s="4"/>
      <c r="P772" s="4"/>
      <c r="Q772" s="4"/>
      <c r="R772" s="4"/>
      <c r="S772" s="4"/>
      <c r="T772" s="6">
        <f>IF(G772="","",SUBSTITUTE(SUBSTITUTE(SUBSTITUTE(SUBSTITUTE(SUBSTITUTE(SUBSTITUTE(SUBSTITUTE(TRIM(G772),".",""),"/",""),"-","")," ",""),"(",""),")",""),"+",""))</f>
      </c>
      <c r="U772" s="6">
        <f>IF(T772="","",IF(LEN(T772)&lt;&gt;14,"ERRO: "&amp;LEN(T772)&amp;" dígitos",IF(NOT(ISNUMBER(VALUE(T772))),"ERRO: não numérico",IF(LEN(SUBSTITUTE(T772,LEFT(T772,1),""))=0,"ERRO: dígitos repetidos",IF(AND(VALUE(MID(T772,13,1))=IF(MOD(SUMPRODUCT(--MID(T772,{1,2,3,4,5,6,7,8,9,10,11,12},1),{5,4,3,2,9,8,7,6,5,4,3,2}),11)&lt;2,0,11-MOD(SUMPRODUCT(--MID(T772,{1,2,3,4,5,6,7,8,9,10,11,12},1),{5,4,3,2,9,8,7,6,5,4,3,2}),11)),VALUE(MID(T772,14,1))=IF(MOD(SUMPRODUCT(--MID(T772,{1,2,3,4,5,6,7,8,9,10,11,12,13},1),{6,5,4,3,2,9,8,7,6,5,4,3,2}),11)&lt;2,0,11-MOD(SUMPRODUCT(--MID(T772,{1,2,3,4,5,6,7,8,9,10,11,12,13},1),{6,5,4,3,2,9,8,7,6,5,4,3,2}),11))),"OK","ERRO: dígito verificador")))))</f>
      </c>
      <c r="V772" s="6">
        <f>IF(T772="","",IF(COUNTIF($T$2:$T$1001,T772)&gt;1,"DUPLICADO","OK"))</f>
      </c>
      <c r="W772" s="6">
        <f>IF(M772="","vazio",IF(OR(AND(LEN(SUBSTITUTE(SUBSTITUTE(SUBSTITUTE(SUBSTITUTE(SUBSTITUTE(SUBSTITUTE(SUBSTITUTE(TRIM(M772),".",""),"/",""),"-","")," ",""),"(",""),")",""),"+",""))=10,LEFT(SUBSTITUTE(SUBSTITUTE(SUBSTITUTE(SUBSTITUTE(SUBSTITUTE(SUBSTITUTE(SUBSTITUTE(TRIM(M772),".",""),"/",""),"-","")," ",""),"(",""),")",""),"+",""),1)&lt;&gt;"0"),AND(LEN(SUBSTITUTE(SUBSTITUTE(SUBSTITUTE(SUBSTITUTE(SUBSTITUTE(SUBSTITUTE(SUBSTITUTE(TRIM(M772),".",""),"/",""),"-","")," ",""),"(",""),")",""),"+",""))=11,LEFT(SUBSTITUTE(SUBSTITUTE(SUBSTITUTE(SUBSTITUTE(SUBSTITUTE(SUBSTITUTE(SUBSTITUTE(TRIM(M772),".",""),"/",""),"-","")," ",""),"(",""),")",""),"+",""),4)="0800")),"OK",IF(AND(LEN(SUBSTITUTE(SUBSTITUTE(SUBSTITUTE(SUBSTITUTE(SUBSTITUTE(SUBSTITUTE(SUBSTITUTE(TRIM(M772),".",""),"/",""),"-","")," ",""),"(",""),")",""),"+",""))=11,MID(SUBSTITUTE(SUBSTITUTE(SUBSTITUTE(SUBSTITUTE(SUBSTITUTE(SUBSTITUTE(SUBSTITUTE(TRIM(M772),".",""),"/",""),"-","")," ",""),"(",""),")",""),"+",""),3,1)="9"),"ERRO: é celular, use a coluna Celular","ERRO: DDD + 8 dígitos ou 0800 + 7")))</f>
      </c>
      <c r="X772" s="6">
        <f>IF(N772="","vazio",IF(AND(LEN(SUBSTITUTE(SUBSTITUTE(SUBSTITUTE(SUBSTITUTE(SUBSTITUTE(SUBSTITUTE(SUBSTITUTE(TRIM(N772),".",""),"/",""),"-","")," ",""),"(",""),")",""),"+",""))=11,MID(SUBSTITUTE(SUBSTITUTE(SUBSTITUTE(SUBSTITUTE(SUBSTITUTE(SUBSTITUTE(SUBSTITUTE(TRIM(N772),".",""),"/",""),"-","")," ",""),"(",""),")",""),"+",""),3,1)="9",LEFT(SUBSTITUTE(SUBSTITUTE(SUBSTITUTE(SUBSTITUTE(SUBSTITUTE(SUBSTITUTE(SUBSTITUTE(TRIM(N772),".",""),"/",""),"-","")," ",""),"(",""),")",""),"+",""),1)&lt;&gt;"0"),"OK",IF(LEN(SUBSTITUTE(SUBSTITUTE(SUBSTITUTE(SUBSTITUTE(SUBSTITUTE(SUBSTITUTE(SUBSTITUTE(TRIM(N772),".",""),"/",""),"-","")," ",""),"(",""),")",""),"+",""))=10,"ERRO: é fixo (ou falta o 9), use a coluna Telefone fixo","ERRO: DDD + 9 + 8 dígitos")))</f>
      </c>
      <c r="Y772" s="6">
        <f>IF(O772="","vazio",IF(AND(ISNUMBER(FIND("@",O772)),ISNUMBER(FIND(".",MID(O772,FIND("@",O772),99))),NOT(ISNUMBER(FIND(" ",TRIM(O772)))),NOT(ISNUMBER(FIND(";",O772))),NOT(ISNUMBER(FIND(",",O772)))),"OK","ERRO: um e-mail válido por linha"))</f>
      </c>
      <c r="Z772" s="6">
        <f>IF(AND(J772="",K772=""),"",IF(AND(J772&lt;&gt;"",K772&lt;&gt;""),"OK","pendente: só um nome (o GR completa ao converter)"))</f>
      </c>
      <c r="AA772" s="6">
        <f>IF(COUNTA(A772:S772)=0,"",IF(AND(A772&lt;&gt;"",B772&lt;&gt;"",C772&lt;&gt;"",D772&lt;&gt;"",E772&lt;&gt;"",F772&lt;&gt;"",G772&lt;&gt;"",H772&lt;&gt;"",OR(J772&lt;&gt;"",K772&lt;&gt;""),OR(M772&lt;&gt;"",N772&lt;&gt;"",O772&lt;&gt;"")),"OK","ERRO: faltam "&amp;IF(A772="","SDR; ","")&amp;IF(B772="","Proprietário; ","")&amp;IF(C772="","Origem; ","")&amp;IF(D772="","Temperatura; ","")&amp;IF(E772="","Segmento; ","")&amp;IF(F772="","Time/Cluster; ","")&amp;IF(G772="","CNPJ; ","")&amp;IF(H772="","Razão Social; ","")&amp;IF(AND(J772="",K772=""),"nome do contato; ","")&amp;IF(AND(M772="",N772="",O772=""),"telefone, celular ou e-mail; ","")))</f>
      </c>
      <c r="AB772" s="6">
        <f>IF(COUNTA(A772:S772)=0,"",IF(AND(U772="OK",V772="OK",LEFT(W772,4)&lt;&gt;"ERRO",LEFT(X772,4)&lt;&gt;"ERRO",LEFT(Y772,4)&lt;&gt;"ERRO",AA772="OK"),"OK","REVISAR"))</f>
      </c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5"/>
      <c r="K773" s="4"/>
      <c r="L773" s="4"/>
      <c r="M773" s="4"/>
      <c r="N773" s="4"/>
      <c r="O773" s="4"/>
      <c r="P773" s="4"/>
      <c r="Q773" s="4"/>
      <c r="R773" s="4"/>
      <c r="S773" s="4"/>
      <c r="T773" s="6">
        <f>IF(G773="","",SUBSTITUTE(SUBSTITUTE(SUBSTITUTE(SUBSTITUTE(SUBSTITUTE(SUBSTITUTE(SUBSTITUTE(TRIM(G773),".",""),"/",""),"-","")," ",""),"(",""),")",""),"+",""))</f>
      </c>
      <c r="U773" s="6">
        <f>IF(T773="","",IF(LEN(T773)&lt;&gt;14,"ERRO: "&amp;LEN(T773)&amp;" dígitos",IF(NOT(ISNUMBER(VALUE(T773))),"ERRO: não numérico",IF(LEN(SUBSTITUTE(T773,LEFT(T773,1),""))=0,"ERRO: dígitos repetidos",IF(AND(VALUE(MID(T773,13,1))=IF(MOD(SUMPRODUCT(--MID(T773,{1,2,3,4,5,6,7,8,9,10,11,12},1),{5,4,3,2,9,8,7,6,5,4,3,2}),11)&lt;2,0,11-MOD(SUMPRODUCT(--MID(T773,{1,2,3,4,5,6,7,8,9,10,11,12},1),{5,4,3,2,9,8,7,6,5,4,3,2}),11)),VALUE(MID(T773,14,1))=IF(MOD(SUMPRODUCT(--MID(T773,{1,2,3,4,5,6,7,8,9,10,11,12,13},1),{6,5,4,3,2,9,8,7,6,5,4,3,2}),11)&lt;2,0,11-MOD(SUMPRODUCT(--MID(T773,{1,2,3,4,5,6,7,8,9,10,11,12,13},1),{6,5,4,3,2,9,8,7,6,5,4,3,2}),11))),"OK","ERRO: dígito verificador")))))</f>
      </c>
      <c r="V773" s="6">
        <f>IF(T773="","",IF(COUNTIF($T$2:$T$1001,T773)&gt;1,"DUPLICADO","OK"))</f>
      </c>
      <c r="W773" s="6">
        <f>IF(M773="","vazio",IF(OR(AND(LEN(SUBSTITUTE(SUBSTITUTE(SUBSTITUTE(SUBSTITUTE(SUBSTITUTE(SUBSTITUTE(SUBSTITUTE(TRIM(M773),".",""),"/",""),"-","")," ",""),"(",""),")",""),"+",""))=10,LEFT(SUBSTITUTE(SUBSTITUTE(SUBSTITUTE(SUBSTITUTE(SUBSTITUTE(SUBSTITUTE(SUBSTITUTE(TRIM(M773),".",""),"/",""),"-","")," ",""),"(",""),")",""),"+",""),1)&lt;&gt;"0"),AND(LEN(SUBSTITUTE(SUBSTITUTE(SUBSTITUTE(SUBSTITUTE(SUBSTITUTE(SUBSTITUTE(SUBSTITUTE(TRIM(M773),".",""),"/",""),"-","")," ",""),"(",""),")",""),"+",""))=11,LEFT(SUBSTITUTE(SUBSTITUTE(SUBSTITUTE(SUBSTITUTE(SUBSTITUTE(SUBSTITUTE(SUBSTITUTE(TRIM(M773),".",""),"/",""),"-","")," ",""),"(",""),")",""),"+",""),4)="0800")),"OK",IF(AND(LEN(SUBSTITUTE(SUBSTITUTE(SUBSTITUTE(SUBSTITUTE(SUBSTITUTE(SUBSTITUTE(SUBSTITUTE(TRIM(M773),".",""),"/",""),"-","")," ",""),"(",""),")",""),"+",""))=11,MID(SUBSTITUTE(SUBSTITUTE(SUBSTITUTE(SUBSTITUTE(SUBSTITUTE(SUBSTITUTE(SUBSTITUTE(TRIM(M773),".",""),"/",""),"-","")," ",""),"(",""),")",""),"+",""),3,1)="9"),"ERRO: é celular, use a coluna Celular","ERRO: DDD + 8 dígitos ou 0800 + 7")))</f>
      </c>
      <c r="X773" s="6">
        <f>IF(N773="","vazio",IF(AND(LEN(SUBSTITUTE(SUBSTITUTE(SUBSTITUTE(SUBSTITUTE(SUBSTITUTE(SUBSTITUTE(SUBSTITUTE(TRIM(N773),".",""),"/",""),"-","")," ",""),"(",""),")",""),"+",""))=11,MID(SUBSTITUTE(SUBSTITUTE(SUBSTITUTE(SUBSTITUTE(SUBSTITUTE(SUBSTITUTE(SUBSTITUTE(TRIM(N773),".",""),"/",""),"-","")," ",""),"(",""),")",""),"+",""),3,1)="9",LEFT(SUBSTITUTE(SUBSTITUTE(SUBSTITUTE(SUBSTITUTE(SUBSTITUTE(SUBSTITUTE(SUBSTITUTE(TRIM(N773),".",""),"/",""),"-","")," ",""),"(",""),")",""),"+",""),1)&lt;&gt;"0"),"OK",IF(LEN(SUBSTITUTE(SUBSTITUTE(SUBSTITUTE(SUBSTITUTE(SUBSTITUTE(SUBSTITUTE(SUBSTITUTE(TRIM(N773),".",""),"/",""),"-","")," ",""),"(",""),")",""),"+",""))=10,"ERRO: é fixo (ou falta o 9), use a coluna Telefone fixo","ERRO: DDD + 9 + 8 dígitos")))</f>
      </c>
      <c r="Y773" s="6">
        <f>IF(O773="","vazio",IF(AND(ISNUMBER(FIND("@",O773)),ISNUMBER(FIND(".",MID(O773,FIND("@",O773),99))),NOT(ISNUMBER(FIND(" ",TRIM(O773)))),NOT(ISNUMBER(FIND(";",O773))),NOT(ISNUMBER(FIND(",",O773)))),"OK","ERRO: um e-mail válido por linha"))</f>
      </c>
      <c r="Z773" s="6">
        <f>IF(AND(J773="",K773=""),"",IF(AND(J773&lt;&gt;"",K773&lt;&gt;""),"OK","pendente: só um nome (o GR completa ao converter)"))</f>
      </c>
      <c r="AA773" s="6">
        <f>IF(COUNTA(A773:S773)=0,"",IF(AND(A773&lt;&gt;"",B773&lt;&gt;"",C773&lt;&gt;"",D773&lt;&gt;"",E773&lt;&gt;"",F773&lt;&gt;"",G773&lt;&gt;"",H773&lt;&gt;"",OR(J773&lt;&gt;"",K773&lt;&gt;""),OR(M773&lt;&gt;"",N773&lt;&gt;"",O773&lt;&gt;"")),"OK","ERRO: faltam "&amp;IF(A773="","SDR; ","")&amp;IF(B773="","Proprietário; ","")&amp;IF(C773="","Origem; ","")&amp;IF(D773="","Temperatura; ","")&amp;IF(E773="","Segmento; ","")&amp;IF(F773="","Time/Cluster; ","")&amp;IF(G773="","CNPJ; ","")&amp;IF(H773="","Razão Social; ","")&amp;IF(AND(J773="",K773=""),"nome do contato; ","")&amp;IF(AND(M773="",N773="",O773=""),"telefone, celular ou e-mail; ","")))</f>
      </c>
      <c r="AB773" s="6">
        <f>IF(COUNTA(A773:S773)=0,"",IF(AND(U773="OK",V773="OK",LEFT(W773,4)&lt;&gt;"ERRO",LEFT(X773,4)&lt;&gt;"ERRO",LEFT(Y773,4)&lt;&gt;"ERRO",AA773="OK"),"OK","REVISAR"))</f>
      </c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5"/>
      <c r="K774" s="4"/>
      <c r="L774" s="4"/>
      <c r="M774" s="4"/>
      <c r="N774" s="4"/>
      <c r="O774" s="4"/>
      <c r="P774" s="4"/>
      <c r="Q774" s="4"/>
      <c r="R774" s="4"/>
      <c r="S774" s="4"/>
      <c r="T774" s="6">
        <f>IF(G774="","",SUBSTITUTE(SUBSTITUTE(SUBSTITUTE(SUBSTITUTE(SUBSTITUTE(SUBSTITUTE(SUBSTITUTE(TRIM(G774),".",""),"/",""),"-","")," ",""),"(",""),")",""),"+",""))</f>
      </c>
      <c r="U774" s="6">
        <f>IF(T774="","",IF(LEN(T774)&lt;&gt;14,"ERRO: "&amp;LEN(T774)&amp;" dígitos",IF(NOT(ISNUMBER(VALUE(T774))),"ERRO: não numérico",IF(LEN(SUBSTITUTE(T774,LEFT(T774,1),""))=0,"ERRO: dígitos repetidos",IF(AND(VALUE(MID(T774,13,1))=IF(MOD(SUMPRODUCT(--MID(T774,{1,2,3,4,5,6,7,8,9,10,11,12},1),{5,4,3,2,9,8,7,6,5,4,3,2}),11)&lt;2,0,11-MOD(SUMPRODUCT(--MID(T774,{1,2,3,4,5,6,7,8,9,10,11,12},1),{5,4,3,2,9,8,7,6,5,4,3,2}),11)),VALUE(MID(T774,14,1))=IF(MOD(SUMPRODUCT(--MID(T774,{1,2,3,4,5,6,7,8,9,10,11,12,13},1),{6,5,4,3,2,9,8,7,6,5,4,3,2}),11)&lt;2,0,11-MOD(SUMPRODUCT(--MID(T774,{1,2,3,4,5,6,7,8,9,10,11,12,13},1),{6,5,4,3,2,9,8,7,6,5,4,3,2}),11))),"OK","ERRO: dígito verificador")))))</f>
      </c>
      <c r="V774" s="6">
        <f>IF(T774="","",IF(COUNTIF($T$2:$T$1001,T774)&gt;1,"DUPLICADO","OK"))</f>
      </c>
      <c r="W774" s="6">
        <f>IF(M774="","vazio",IF(OR(AND(LEN(SUBSTITUTE(SUBSTITUTE(SUBSTITUTE(SUBSTITUTE(SUBSTITUTE(SUBSTITUTE(SUBSTITUTE(TRIM(M774),".",""),"/",""),"-","")," ",""),"(",""),")",""),"+",""))=10,LEFT(SUBSTITUTE(SUBSTITUTE(SUBSTITUTE(SUBSTITUTE(SUBSTITUTE(SUBSTITUTE(SUBSTITUTE(TRIM(M774),".",""),"/",""),"-","")," ",""),"(",""),")",""),"+",""),1)&lt;&gt;"0"),AND(LEN(SUBSTITUTE(SUBSTITUTE(SUBSTITUTE(SUBSTITUTE(SUBSTITUTE(SUBSTITUTE(SUBSTITUTE(TRIM(M774),".",""),"/",""),"-","")," ",""),"(",""),")",""),"+",""))=11,LEFT(SUBSTITUTE(SUBSTITUTE(SUBSTITUTE(SUBSTITUTE(SUBSTITUTE(SUBSTITUTE(SUBSTITUTE(TRIM(M774),".",""),"/",""),"-","")," ",""),"(",""),")",""),"+",""),4)="0800")),"OK",IF(AND(LEN(SUBSTITUTE(SUBSTITUTE(SUBSTITUTE(SUBSTITUTE(SUBSTITUTE(SUBSTITUTE(SUBSTITUTE(TRIM(M774),".",""),"/",""),"-","")," ",""),"(",""),")",""),"+",""))=11,MID(SUBSTITUTE(SUBSTITUTE(SUBSTITUTE(SUBSTITUTE(SUBSTITUTE(SUBSTITUTE(SUBSTITUTE(TRIM(M774),".",""),"/",""),"-","")," ",""),"(",""),")",""),"+",""),3,1)="9"),"ERRO: é celular, use a coluna Celular","ERRO: DDD + 8 dígitos ou 0800 + 7")))</f>
      </c>
      <c r="X774" s="6">
        <f>IF(N774="","vazio",IF(AND(LEN(SUBSTITUTE(SUBSTITUTE(SUBSTITUTE(SUBSTITUTE(SUBSTITUTE(SUBSTITUTE(SUBSTITUTE(TRIM(N774),".",""),"/",""),"-","")," ",""),"(",""),")",""),"+",""))=11,MID(SUBSTITUTE(SUBSTITUTE(SUBSTITUTE(SUBSTITUTE(SUBSTITUTE(SUBSTITUTE(SUBSTITUTE(TRIM(N774),".",""),"/",""),"-","")," ",""),"(",""),")",""),"+",""),3,1)="9",LEFT(SUBSTITUTE(SUBSTITUTE(SUBSTITUTE(SUBSTITUTE(SUBSTITUTE(SUBSTITUTE(SUBSTITUTE(TRIM(N774),".",""),"/",""),"-","")," ",""),"(",""),")",""),"+",""),1)&lt;&gt;"0"),"OK",IF(LEN(SUBSTITUTE(SUBSTITUTE(SUBSTITUTE(SUBSTITUTE(SUBSTITUTE(SUBSTITUTE(SUBSTITUTE(TRIM(N774),".",""),"/",""),"-","")," ",""),"(",""),")",""),"+",""))=10,"ERRO: é fixo (ou falta o 9), use a coluna Telefone fixo","ERRO: DDD + 9 + 8 dígitos")))</f>
      </c>
      <c r="Y774" s="6">
        <f>IF(O774="","vazio",IF(AND(ISNUMBER(FIND("@",O774)),ISNUMBER(FIND(".",MID(O774,FIND("@",O774),99))),NOT(ISNUMBER(FIND(" ",TRIM(O774)))),NOT(ISNUMBER(FIND(";",O774))),NOT(ISNUMBER(FIND(",",O774)))),"OK","ERRO: um e-mail válido por linha"))</f>
      </c>
      <c r="Z774" s="6">
        <f>IF(AND(J774="",K774=""),"",IF(AND(J774&lt;&gt;"",K774&lt;&gt;""),"OK","pendente: só um nome (o GR completa ao converter)"))</f>
      </c>
      <c r="AA774" s="6">
        <f>IF(COUNTA(A774:S774)=0,"",IF(AND(A774&lt;&gt;"",B774&lt;&gt;"",C774&lt;&gt;"",D774&lt;&gt;"",E774&lt;&gt;"",F774&lt;&gt;"",G774&lt;&gt;"",H774&lt;&gt;"",OR(J774&lt;&gt;"",K774&lt;&gt;""),OR(M774&lt;&gt;"",N774&lt;&gt;"",O774&lt;&gt;"")),"OK","ERRO: faltam "&amp;IF(A774="","SDR; ","")&amp;IF(B774="","Proprietário; ","")&amp;IF(C774="","Origem; ","")&amp;IF(D774="","Temperatura; ","")&amp;IF(E774="","Segmento; ","")&amp;IF(F774="","Time/Cluster; ","")&amp;IF(G774="","CNPJ; ","")&amp;IF(H774="","Razão Social; ","")&amp;IF(AND(J774="",K774=""),"nome do contato; ","")&amp;IF(AND(M774="",N774="",O774=""),"telefone, celular ou e-mail; ","")))</f>
      </c>
      <c r="AB774" s="6">
        <f>IF(COUNTA(A774:S774)=0,"",IF(AND(U774="OK",V774="OK",LEFT(W774,4)&lt;&gt;"ERRO",LEFT(X774,4)&lt;&gt;"ERRO",LEFT(Y774,4)&lt;&gt;"ERRO",AA774="OK"),"OK","REVISAR"))</f>
      </c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5"/>
      <c r="K775" s="4"/>
      <c r="L775" s="4"/>
      <c r="M775" s="4"/>
      <c r="N775" s="4"/>
      <c r="O775" s="4"/>
      <c r="P775" s="4"/>
      <c r="Q775" s="4"/>
      <c r="R775" s="4"/>
      <c r="S775" s="4"/>
      <c r="T775" s="6">
        <f>IF(G775="","",SUBSTITUTE(SUBSTITUTE(SUBSTITUTE(SUBSTITUTE(SUBSTITUTE(SUBSTITUTE(SUBSTITUTE(TRIM(G775),".",""),"/",""),"-","")," ",""),"(",""),")",""),"+",""))</f>
      </c>
      <c r="U775" s="6">
        <f>IF(T775="","",IF(LEN(T775)&lt;&gt;14,"ERRO: "&amp;LEN(T775)&amp;" dígitos",IF(NOT(ISNUMBER(VALUE(T775))),"ERRO: não numérico",IF(LEN(SUBSTITUTE(T775,LEFT(T775,1),""))=0,"ERRO: dígitos repetidos",IF(AND(VALUE(MID(T775,13,1))=IF(MOD(SUMPRODUCT(--MID(T775,{1,2,3,4,5,6,7,8,9,10,11,12},1),{5,4,3,2,9,8,7,6,5,4,3,2}),11)&lt;2,0,11-MOD(SUMPRODUCT(--MID(T775,{1,2,3,4,5,6,7,8,9,10,11,12},1),{5,4,3,2,9,8,7,6,5,4,3,2}),11)),VALUE(MID(T775,14,1))=IF(MOD(SUMPRODUCT(--MID(T775,{1,2,3,4,5,6,7,8,9,10,11,12,13},1),{6,5,4,3,2,9,8,7,6,5,4,3,2}),11)&lt;2,0,11-MOD(SUMPRODUCT(--MID(T775,{1,2,3,4,5,6,7,8,9,10,11,12,13},1),{6,5,4,3,2,9,8,7,6,5,4,3,2}),11))),"OK","ERRO: dígito verificador")))))</f>
      </c>
      <c r="V775" s="6">
        <f>IF(T775="","",IF(COUNTIF($T$2:$T$1001,T775)&gt;1,"DUPLICADO","OK"))</f>
      </c>
      <c r="W775" s="6">
        <f>IF(M775="","vazio",IF(OR(AND(LEN(SUBSTITUTE(SUBSTITUTE(SUBSTITUTE(SUBSTITUTE(SUBSTITUTE(SUBSTITUTE(SUBSTITUTE(TRIM(M775),".",""),"/",""),"-","")," ",""),"(",""),")",""),"+",""))=10,LEFT(SUBSTITUTE(SUBSTITUTE(SUBSTITUTE(SUBSTITUTE(SUBSTITUTE(SUBSTITUTE(SUBSTITUTE(TRIM(M775),".",""),"/",""),"-","")," ",""),"(",""),")",""),"+",""),1)&lt;&gt;"0"),AND(LEN(SUBSTITUTE(SUBSTITUTE(SUBSTITUTE(SUBSTITUTE(SUBSTITUTE(SUBSTITUTE(SUBSTITUTE(TRIM(M775),".",""),"/",""),"-","")," ",""),"(",""),")",""),"+",""))=11,LEFT(SUBSTITUTE(SUBSTITUTE(SUBSTITUTE(SUBSTITUTE(SUBSTITUTE(SUBSTITUTE(SUBSTITUTE(TRIM(M775),".",""),"/",""),"-","")," ",""),"(",""),")",""),"+",""),4)="0800")),"OK",IF(AND(LEN(SUBSTITUTE(SUBSTITUTE(SUBSTITUTE(SUBSTITUTE(SUBSTITUTE(SUBSTITUTE(SUBSTITUTE(TRIM(M775),".",""),"/",""),"-","")," ",""),"(",""),")",""),"+",""))=11,MID(SUBSTITUTE(SUBSTITUTE(SUBSTITUTE(SUBSTITUTE(SUBSTITUTE(SUBSTITUTE(SUBSTITUTE(TRIM(M775),".",""),"/",""),"-","")," ",""),"(",""),")",""),"+",""),3,1)="9"),"ERRO: é celular, use a coluna Celular","ERRO: DDD + 8 dígitos ou 0800 + 7")))</f>
      </c>
      <c r="X775" s="6">
        <f>IF(N775="","vazio",IF(AND(LEN(SUBSTITUTE(SUBSTITUTE(SUBSTITUTE(SUBSTITUTE(SUBSTITUTE(SUBSTITUTE(SUBSTITUTE(TRIM(N775),".",""),"/",""),"-","")," ",""),"(",""),")",""),"+",""))=11,MID(SUBSTITUTE(SUBSTITUTE(SUBSTITUTE(SUBSTITUTE(SUBSTITUTE(SUBSTITUTE(SUBSTITUTE(TRIM(N775),".",""),"/",""),"-","")," ",""),"(",""),")",""),"+",""),3,1)="9",LEFT(SUBSTITUTE(SUBSTITUTE(SUBSTITUTE(SUBSTITUTE(SUBSTITUTE(SUBSTITUTE(SUBSTITUTE(TRIM(N775),".",""),"/",""),"-","")," ",""),"(",""),")",""),"+",""),1)&lt;&gt;"0"),"OK",IF(LEN(SUBSTITUTE(SUBSTITUTE(SUBSTITUTE(SUBSTITUTE(SUBSTITUTE(SUBSTITUTE(SUBSTITUTE(TRIM(N775),".",""),"/",""),"-","")," ",""),"(",""),")",""),"+",""))=10,"ERRO: é fixo (ou falta o 9), use a coluna Telefone fixo","ERRO: DDD + 9 + 8 dígitos")))</f>
      </c>
      <c r="Y775" s="6">
        <f>IF(O775="","vazio",IF(AND(ISNUMBER(FIND("@",O775)),ISNUMBER(FIND(".",MID(O775,FIND("@",O775),99))),NOT(ISNUMBER(FIND(" ",TRIM(O775)))),NOT(ISNUMBER(FIND(";",O775))),NOT(ISNUMBER(FIND(",",O775)))),"OK","ERRO: um e-mail válido por linha"))</f>
      </c>
      <c r="Z775" s="6">
        <f>IF(AND(J775="",K775=""),"",IF(AND(J775&lt;&gt;"",K775&lt;&gt;""),"OK","pendente: só um nome (o GR completa ao converter)"))</f>
      </c>
      <c r="AA775" s="6">
        <f>IF(COUNTA(A775:S775)=0,"",IF(AND(A775&lt;&gt;"",B775&lt;&gt;"",C775&lt;&gt;"",D775&lt;&gt;"",E775&lt;&gt;"",F775&lt;&gt;"",G775&lt;&gt;"",H775&lt;&gt;"",OR(J775&lt;&gt;"",K775&lt;&gt;""),OR(M775&lt;&gt;"",N775&lt;&gt;"",O775&lt;&gt;"")),"OK","ERRO: faltam "&amp;IF(A775="","SDR; ","")&amp;IF(B775="","Proprietário; ","")&amp;IF(C775="","Origem; ","")&amp;IF(D775="","Temperatura; ","")&amp;IF(E775="","Segmento; ","")&amp;IF(F775="","Time/Cluster; ","")&amp;IF(G775="","CNPJ; ","")&amp;IF(H775="","Razão Social; ","")&amp;IF(AND(J775="",K775=""),"nome do contato; ","")&amp;IF(AND(M775="",N775="",O775=""),"telefone, celular ou e-mail; ","")))</f>
      </c>
      <c r="AB775" s="6">
        <f>IF(COUNTA(A775:S775)=0,"",IF(AND(U775="OK",V775="OK",LEFT(W775,4)&lt;&gt;"ERRO",LEFT(X775,4)&lt;&gt;"ERRO",LEFT(Y775,4)&lt;&gt;"ERRO",AA775="OK"),"OK","REVISAR"))</f>
      </c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5"/>
      <c r="K776" s="4"/>
      <c r="L776" s="4"/>
      <c r="M776" s="4"/>
      <c r="N776" s="4"/>
      <c r="O776" s="4"/>
      <c r="P776" s="4"/>
      <c r="Q776" s="4"/>
      <c r="R776" s="4"/>
      <c r="S776" s="4"/>
      <c r="T776" s="6">
        <f>IF(G776="","",SUBSTITUTE(SUBSTITUTE(SUBSTITUTE(SUBSTITUTE(SUBSTITUTE(SUBSTITUTE(SUBSTITUTE(TRIM(G776),".",""),"/",""),"-","")," ",""),"(",""),")",""),"+",""))</f>
      </c>
      <c r="U776" s="6">
        <f>IF(T776="","",IF(LEN(T776)&lt;&gt;14,"ERRO: "&amp;LEN(T776)&amp;" dígitos",IF(NOT(ISNUMBER(VALUE(T776))),"ERRO: não numérico",IF(LEN(SUBSTITUTE(T776,LEFT(T776,1),""))=0,"ERRO: dígitos repetidos",IF(AND(VALUE(MID(T776,13,1))=IF(MOD(SUMPRODUCT(--MID(T776,{1,2,3,4,5,6,7,8,9,10,11,12},1),{5,4,3,2,9,8,7,6,5,4,3,2}),11)&lt;2,0,11-MOD(SUMPRODUCT(--MID(T776,{1,2,3,4,5,6,7,8,9,10,11,12},1),{5,4,3,2,9,8,7,6,5,4,3,2}),11)),VALUE(MID(T776,14,1))=IF(MOD(SUMPRODUCT(--MID(T776,{1,2,3,4,5,6,7,8,9,10,11,12,13},1),{6,5,4,3,2,9,8,7,6,5,4,3,2}),11)&lt;2,0,11-MOD(SUMPRODUCT(--MID(T776,{1,2,3,4,5,6,7,8,9,10,11,12,13},1),{6,5,4,3,2,9,8,7,6,5,4,3,2}),11))),"OK","ERRO: dígito verificador")))))</f>
      </c>
      <c r="V776" s="6">
        <f>IF(T776="","",IF(COUNTIF($T$2:$T$1001,T776)&gt;1,"DUPLICADO","OK"))</f>
      </c>
      <c r="W776" s="6">
        <f>IF(M776="","vazio",IF(OR(AND(LEN(SUBSTITUTE(SUBSTITUTE(SUBSTITUTE(SUBSTITUTE(SUBSTITUTE(SUBSTITUTE(SUBSTITUTE(TRIM(M776),".",""),"/",""),"-","")," ",""),"(",""),")",""),"+",""))=10,LEFT(SUBSTITUTE(SUBSTITUTE(SUBSTITUTE(SUBSTITUTE(SUBSTITUTE(SUBSTITUTE(SUBSTITUTE(TRIM(M776),".",""),"/",""),"-","")," ",""),"(",""),")",""),"+",""),1)&lt;&gt;"0"),AND(LEN(SUBSTITUTE(SUBSTITUTE(SUBSTITUTE(SUBSTITUTE(SUBSTITUTE(SUBSTITUTE(SUBSTITUTE(TRIM(M776),".",""),"/",""),"-","")," ",""),"(",""),")",""),"+",""))=11,LEFT(SUBSTITUTE(SUBSTITUTE(SUBSTITUTE(SUBSTITUTE(SUBSTITUTE(SUBSTITUTE(SUBSTITUTE(TRIM(M776),".",""),"/",""),"-","")," ",""),"(",""),")",""),"+",""),4)="0800")),"OK",IF(AND(LEN(SUBSTITUTE(SUBSTITUTE(SUBSTITUTE(SUBSTITUTE(SUBSTITUTE(SUBSTITUTE(SUBSTITUTE(TRIM(M776),".",""),"/",""),"-","")," ",""),"(",""),")",""),"+",""))=11,MID(SUBSTITUTE(SUBSTITUTE(SUBSTITUTE(SUBSTITUTE(SUBSTITUTE(SUBSTITUTE(SUBSTITUTE(TRIM(M776),".",""),"/",""),"-","")," ",""),"(",""),")",""),"+",""),3,1)="9"),"ERRO: é celular, use a coluna Celular","ERRO: DDD + 8 dígitos ou 0800 + 7")))</f>
      </c>
      <c r="X776" s="6">
        <f>IF(N776="","vazio",IF(AND(LEN(SUBSTITUTE(SUBSTITUTE(SUBSTITUTE(SUBSTITUTE(SUBSTITUTE(SUBSTITUTE(SUBSTITUTE(TRIM(N776),".",""),"/",""),"-","")," ",""),"(",""),")",""),"+",""))=11,MID(SUBSTITUTE(SUBSTITUTE(SUBSTITUTE(SUBSTITUTE(SUBSTITUTE(SUBSTITUTE(SUBSTITUTE(TRIM(N776),".",""),"/",""),"-","")," ",""),"(",""),")",""),"+",""),3,1)="9",LEFT(SUBSTITUTE(SUBSTITUTE(SUBSTITUTE(SUBSTITUTE(SUBSTITUTE(SUBSTITUTE(SUBSTITUTE(TRIM(N776),".",""),"/",""),"-","")," ",""),"(",""),")",""),"+",""),1)&lt;&gt;"0"),"OK",IF(LEN(SUBSTITUTE(SUBSTITUTE(SUBSTITUTE(SUBSTITUTE(SUBSTITUTE(SUBSTITUTE(SUBSTITUTE(TRIM(N776),".",""),"/",""),"-","")," ",""),"(",""),")",""),"+",""))=10,"ERRO: é fixo (ou falta o 9), use a coluna Telefone fixo","ERRO: DDD + 9 + 8 dígitos")))</f>
      </c>
      <c r="Y776" s="6">
        <f>IF(O776="","vazio",IF(AND(ISNUMBER(FIND("@",O776)),ISNUMBER(FIND(".",MID(O776,FIND("@",O776),99))),NOT(ISNUMBER(FIND(" ",TRIM(O776)))),NOT(ISNUMBER(FIND(";",O776))),NOT(ISNUMBER(FIND(",",O776)))),"OK","ERRO: um e-mail válido por linha"))</f>
      </c>
      <c r="Z776" s="6">
        <f>IF(AND(J776="",K776=""),"",IF(AND(J776&lt;&gt;"",K776&lt;&gt;""),"OK","pendente: só um nome (o GR completa ao converter)"))</f>
      </c>
      <c r="AA776" s="6">
        <f>IF(COUNTA(A776:S776)=0,"",IF(AND(A776&lt;&gt;"",B776&lt;&gt;"",C776&lt;&gt;"",D776&lt;&gt;"",E776&lt;&gt;"",F776&lt;&gt;"",G776&lt;&gt;"",H776&lt;&gt;"",OR(J776&lt;&gt;"",K776&lt;&gt;""),OR(M776&lt;&gt;"",N776&lt;&gt;"",O776&lt;&gt;"")),"OK","ERRO: faltam "&amp;IF(A776="","SDR; ","")&amp;IF(B776="","Proprietário; ","")&amp;IF(C776="","Origem; ","")&amp;IF(D776="","Temperatura; ","")&amp;IF(E776="","Segmento; ","")&amp;IF(F776="","Time/Cluster; ","")&amp;IF(G776="","CNPJ; ","")&amp;IF(H776="","Razão Social; ","")&amp;IF(AND(J776="",K776=""),"nome do contato; ","")&amp;IF(AND(M776="",N776="",O776=""),"telefone, celular ou e-mail; ","")))</f>
      </c>
      <c r="AB776" s="6">
        <f>IF(COUNTA(A776:S776)=0,"",IF(AND(U776="OK",V776="OK",LEFT(W776,4)&lt;&gt;"ERRO",LEFT(X776,4)&lt;&gt;"ERRO",LEFT(Y776,4)&lt;&gt;"ERRO",AA776="OK"),"OK","REVISAR"))</f>
      </c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5"/>
      <c r="K777" s="4"/>
      <c r="L777" s="4"/>
      <c r="M777" s="4"/>
      <c r="N777" s="4"/>
      <c r="O777" s="4"/>
      <c r="P777" s="4"/>
      <c r="Q777" s="4"/>
      <c r="R777" s="4"/>
      <c r="S777" s="4"/>
      <c r="T777" s="6">
        <f>IF(G777="","",SUBSTITUTE(SUBSTITUTE(SUBSTITUTE(SUBSTITUTE(SUBSTITUTE(SUBSTITUTE(SUBSTITUTE(TRIM(G777),".",""),"/",""),"-","")," ",""),"(",""),")",""),"+",""))</f>
      </c>
      <c r="U777" s="6">
        <f>IF(T777="","",IF(LEN(T777)&lt;&gt;14,"ERRO: "&amp;LEN(T777)&amp;" dígitos",IF(NOT(ISNUMBER(VALUE(T777))),"ERRO: não numérico",IF(LEN(SUBSTITUTE(T777,LEFT(T777,1),""))=0,"ERRO: dígitos repetidos",IF(AND(VALUE(MID(T777,13,1))=IF(MOD(SUMPRODUCT(--MID(T777,{1,2,3,4,5,6,7,8,9,10,11,12},1),{5,4,3,2,9,8,7,6,5,4,3,2}),11)&lt;2,0,11-MOD(SUMPRODUCT(--MID(T777,{1,2,3,4,5,6,7,8,9,10,11,12},1),{5,4,3,2,9,8,7,6,5,4,3,2}),11)),VALUE(MID(T777,14,1))=IF(MOD(SUMPRODUCT(--MID(T777,{1,2,3,4,5,6,7,8,9,10,11,12,13},1),{6,5,4,3,2,9,8,7,6,5,4,3,2}),11)&lt;2,0,11-MOD(SUMPRODUCT(--MID(T777,{1,2,3,4,5,6,7,8,9,10,11,12,13},1),{6,5,4,3,2,9,8,7,6,5,4,3,2}),11))),"OK","ERRO: dígito verificador")))))</f>
      </c>
      <c r="V777" s="6">
        <f>IF(T777="","",IF(COUNTIF($T$2:$T$1001,T777)&gt;1,"DUPLICADO","OK"))</f>
      </c>
      <c r="W777" s="6">
        <f>IF(M777="","vazio",IF(OR(AND(LEN(SUBSTITUTE(SUBSTITUTE(SUBSTITUTE(SUBSTITUTE(SUBSTITUTE(SUBSTITUTE(SUBSTITUTE(TRIM(M777),".",""),"/",""),"-","")," ",""),"(",""),")",""),"+",""))=10,LEFT(SUBSTITUTE(SUBSTITUTE(SUBSTITUTE(SUBSTITUTE(SUBSTITUTE(SUBSTITUTE(SUBSTITUTE(TRIM(M777),".",""),"/",""),"-","")," ",""),"(",""),")",""),"+",""),1)&lt;&gt;"0"),AND(LEN(SUBSTITUTE(SUBSTITUTE(SUBSTITUTE(SUBSTITUTE(SUBSTITUTE(SUBSTITUTE(SUBSTITUTE(TRIM(M777),".",""),"/",""),"-","")," ",""),"(",""),")",""),"+",""))=11,LEFT(SUBSTITUTE(SUBSTITUTE(SUBSTITUTE(SUBSTITUTE(SUBSTITUTE(SUBSTITUTE(SUBSTITUTE(TRIM(M777),".",""),"/",""),"-","")," ",""),"(",""),")",""),"+",""),4)="0800")),"OK",IF(AND(LEN(SUBSTITUTE(SUBSTITUTE(SUBSTITUTE(SUBSTITUTE(SUBSTITUTE(SUBSTITUTE(SUBSTITUTE(TRIM(M777),".",""),"/",""),"-","")," ",""),"(",""),")",""),"+",""))=11,MID(SUBSTITUTE(SUBSTITUTE(SUBSTITUTE(SUBSTITUTE(SUBSTITUTE(SUBSTITUTE(SUBSTITUTE(TRIM(M777),".",""),"/",""),"-","")," ",""),"(",""),")",""),"+",""),3,1)="9"),"ERRO: é celular, use a coluna Celular","ERRO: DDD + 8 dígitos ou 0800 + 7")))</f>
      </c>
      <c r="X777" s="6">
        <f>IF(N777="","vazio",IF(AND(LEN(SUBSTITUTE(SUBSTITUTE(SUBSTITUTE(SUBSTITUTE(SUBSTITUTE(SUBSTITUTE(SUBSTITUTE(TRIM(N777),".",""),"/",""),"-","")," ",""),"(",""),")",""),"+",""))=11,MID(SUBSTITUTE(SUBSTITUTE(SUBSTITUTE(SUBSTITUTE(SUBSTITUTE(SUBSTITUTE(SUBSTITUTE(TRIM(N777),".",""),"/",""),"-","")," ",""),"(",""),")",""),"+",""),3,1)="9",LEFT(SUBSTITUTE(SUBSTITUTE(SUBSTITUTE(SUBSTITUTE(SUBSTITUTE(SUBSTITUTE(SUBSTITUTE(TRIM(N777),".",""),"/",""),"-","")," ",""),"(",""),")",""),"+",""),1)&lt;&gt;"0"),"OK",IF(LEN(SUBSTITUTE(SUBSTITUTE(SUBSTITUTE(SUBSTITUTE(SUBSTITUTE(SUBSTITUTE(SUBSTITUTE(TRIM(N777),".",""),"/",""),"-","")," ",""),"(",""),")",""),"+",""))=10,"ERRO: é fixo (ou falta o 9), use a coluna Telefone fixo","ERRO: DDD + 9 + 8 dígitos")))</f>
      </c>
      <c r="Y777" s="6">
        <f>IF(O777="","vazio",IF(AND(ISNUMBER(FIND("@",O777)),ISNUMBER(FIND(".",MID(O777,FIND("@",O777),99))),NOT(ISNUMBER(FIND(" ",TRIM(O777)))),NOT(ISNUMBER(FIND(";",O777))),NOT(ISNUMBER(FIND(",",O777)))),"OK","ERRO: um e-mail válido por linha"))</f>
      </c>
      <c r="Z777" s="6">
        <f>IF(AND(J777="",K777=""),"",IF(AND(J777&lt;&gt;"",K777&lt;&gt;""),"OK","pendente: só um nome (o GR completa ao converter)"))</f>
      </c>
      <c r="AA777" s="6">
        <f>IF(COUNTA(A777:S777)=0,"",IF(AND(A777&lt;&gt;"",B777&lt;&gt;"",C777&lt;&gt;"",D777&lt;&gt;"",E777&lt;&gt;"",F777&lt;&gt;"",G777&lt;&gt;"",H777&lt;&gt;"",OR(J777&lt;&gt;"",K777&lt;&gt;""),OR(M777&lt;&gt;"",N777&lt;&gt;"",O777&lt;&gt;"")),"OK","ERRO: faltam "&amp;IF(A777="","SDR; ","")&amp;IF(B777="","Proprietário; ","")&amp;IF(C777="","Origem; ","")&amp;IF(D777="","Temperatura; ","")&amp;IF(E777="","Segmento; ","")&amp;IF(F777="","Time/Cluster; ","")&amp;IF(G777="","CNPJ; ","")&amp;IF(H777="","Razão Social; ","")&amp;IF(AND(J777="",K777=""),"nome do contato; ","")&amp;IF(AND(M777="",N777="",O777=""),"telefone, celular ou e-mail; ","")))</f>
      </c>
      <c r="AB777" s="6">
        <f>IF(COUNTA(A777:S777)=0,"",IF(AND(U777="OK",V777="OK",LEFT(W777,4)&lt;&gt;"ERRO",LEFT(X777,4)&lt;&gt;"ERRO",LEFT(Y777,4)&lt;&gt;"ERRO",AA777="OK"),"OK","REVISAR"))</f>
      </c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5"/>
      <c r="K778" s="4"/>
      <c r="L778" s="4"/>
      <c r="M778" s="4"/>
      <c r="N778" s="4"/>
      <c r="O778" s="4"/>
      <c r="P778" s="4"/>
      <c r="Q778" s="4"/>
      <c r="R778" s="4"/>
      <c r="S778" s="4"/>
      <c r="T778" s="6">
        <f>IF(G778="","",SUBSTITUTE(SUBSTITUTE(SUBSTITUTE(SUBSTITUTE(SUBSTITUTE(SUBSTITUTE(SUBSTITUTE(TRIM(G778),".",""),"/",""),"-","")," ",""),"(",""),")",""),"+",""))</f>
      </c>
      <c r="U778" s="6">
        <f>IF(T778="","",IF(LEN(T778)&lt;&gt;14,"ERRO: "&amp;LEN(T778)&amp;" dígitos",IF(NOT(ISNUMBER(VALUE(T778))),"ERRO: não numérico",IF(LEN(SUBSTITUTE(T778,LEFT(T778,1),""))=0,"ERRO: dígitos repetidos",IF(AND(VALUE(MID(T778,13,1))=IF(MOD(SUMPRODUCT(--MID(T778,{1,2,3,4,5,6,7,8,9,10,11,12},1),{5,4,3,2,9,8,7,6,5,4,3,2}),11)&lt;2,0,11-MOD(SUMPRODUCT(--MID(T778,{1,2,3,4,5,6,7,8,9,10,11,12},1),{5,4,3,2,9,8,7,6,5,4,3,2}),11)),VALUE(MID(T778,14,1))=IF(MOD(SUMPRODUCT(--MID(T778,{1,2,3,4,5,6,7,8,9,10,11,12,13},1),{6,5,4,3,2,9,8,7,6,5,4,3,2}),11)&lt;2,0,11-MOD(SUMPRODUCT(--MID(T778,{1,2,3,4,5,6,7,8,9,10,11,12,13},1),{6,5,4,3,2,9,8,7,6,5,4,3,2}),11))),"OK","ERRO: dígito verificador")))))</f>
      </c>
      <c r="V778" s="6">
        <f>IF(T778="","",IF(COUNTIF($T$2:$T$1001,T778)&gt;1,"DUPLICADO","OK"))</f>
      </c>
      <c r="W778" s="6">
        <f>IF(M778="","vazio",IF(OR(AND(LEN(SUBSTITUTE(SUBSTITUTE(SUBSTITUTE(SUBSTITUTE(SUBSTITUTE(SUBSTITUTE(SUBSTITUTE(TRIM(M778),".",""),"/",""),"-","")," ",""),"(",""),")",""),"+",""))=10,LEFT(SUBSTITUTE(SUBSTITUTE(SUBSTITUTE(SUBSTITUTE(SUBSTITUTE(SUBSTITUTE(SUBSTITUTE(TRIM(M778),".",""),"/",""),"-","")," ",""),"(",""),")",""),"+",""),1)&lt;&gt;"0"),AND(LEN(SUBSTITUTE(SUBSTITUTE(SUBSTITUTE(SUBSTITUTE(SUBSTITUTE(SUBSTITUTE(SUBSTITUTE(TRIM(M778),".",""),"/",""),"-","")," ",""),"(",""),")",""),"+",""))=11,LEFT(SUBSTITUTE(SUBSTITUTE(SUBSTITUTE(SUBSTITUTE(SUBSTITUTE(SUBSTITUTE(SUBSTITUTE(TRIM(M778),".",""),"/",""),"-","")," ",""),"(",""),")",""),"+",""),4)="0800")),"OK",IF(AND(LEN(SUBSTITUTE(SUBSTITUTE(SUBSTITUTE(SUBSTITUTE(SUBSTITUTE(SUBSTITUTE(SUBSTITUTE(TRIM(M778),".",""),"/",""),"-","")," ",""),"(",""),")",""),"+",""))=11,MID(SUBSTITUTE(SUBSTITUTE(SUBSTITUTE(SUBSTITUTE(SUBSTITUTE(SUBSTITUTE(SUBSTITUTE(TRIM(M778),".",""),"/",""),"-","")," ",""),"(",""),")",""),"+",""),3,1)="9"),"ERRO: é celular, use a coluna Celular","ERRO: DDD + 8 dígitos ou 0800 + 7")))</f>
      </c>
      <c r="X778" s="6">
        <f>IF(N778="","vazio",IF(AND(LEN(SUBSTITUTE(SUBSTITUTE(SUBSTITUTE(SUBSTITUTE(SUBSTITUTE(SUBSTITUTE(SUBSTITUTE(TRIM(N778),".",""),"/",""),"-","")," ",""),"(",""),")",""),"+",""))=11,MID(SUBSTITUTE(SUBSTITUTE(SUBSTITUTE(SUBSTITUTE(SUBSTITUTE(SUBSTITUTE(SUBSTITUTE(TRIM(N778),".",""),"/",""),"-","")," ",""),"(",""),")",""),"+",""),3,1)="9",LEFT(SUBSTITUTE(SUBSTITUTE(SUBSTITUTE(SUBSTITUTE(SUBSTITUTE(SUBSTITUTE(SUBSTITUTE(TRIM(N778),".",""),"/",""),"-","")," ",""),"(",""),")",""),"+",""),1)&lt;&gt;"0"),"OK",IF(LEN(SUBSTITUTE(SUBSTITUTE(SUBSTITUTE(SUBSTITUTE(SUBSTITUTE(SUBSTITUTE(SUBSTITUTE(TRIM(N778),".",""),"/",""),"-","")," ",""),"(",""),")",""),"+",""))=10,"ERRO: é fixo (ou falta o 9), use a coluna Telefone fixo","ERRO: DDD + 9 + 8 dígitos")))</f>
      </c>
      <c r="Y778" s="6">
        <f>IF(O778="","vazio",IF(AND(ISNUMBER(FIND("@",O778)),ISNUMBER(FIND(".",MID(O778,FIND("@",O778),99))),NOT(ISNUMBER(FIND(" ",TRIM(O778)))),NOT(ISNUMBER(FIND(";",O778))),NOT(ISNUMBER(FIND(",",O778)))),"OK","ERRO: um e-mail válido por linha"))</f>
      </c>
      <c r="Z778" s="6">
        <f>IF(AND(J778="",K778=""),"",IF(AND(J778&lt;&gt;"",K778&lt;&gt;""),"OK","pendente: só um nome (o GR completa ao converter)"))</f>
      </c>
      <c r="AA778" s="6">
        <f>IF(COUNTA(A778:S778)=0,"",IF(AND(A778&lt;&gt;"",B778&lt;&gt;"",C778&lt;&gt;"",D778&lt;&gt;"",E778&lt;&gt;"",F778&lt;&gt;"",G778&lt;&gt;"",H778&lt;&gt;"",OR(J778&lt;&gt;"",K778&lt;&gt;""),OR(M778&lt;&gt;"",N778&lt;&gt;"",O778&lt;&gt;"")),"OK","ERRO: faltam "&amp;IF(A778="","SDR; ","")&amp;IF(B778="","Proprietário; ","")&amp;IF(C778="","Origem; ","")&amp;IF(D778="","Temperatura; ","")&amp;IF(E778="","Segmento; ","")&amp;IF(F778="","Time/Cluster; ","")&amp;IF(G778="","CNPJ; ","")&amp;IF(H778="","Razão Social; ","")&amp;IF(AND(J778="",K778=""),"nome do contato; ","")&amp;IF(AND(M778="",N778="",O778=""),"telefone, celular ou e-mail; ","")))</f>
      </c>
      <c r="AB778" s="6">
        <f>IF(COUNTA(A778:S778)=0,"",IF(AND(U778="OK",V778="OK",LEFT(W778,4)&lt;&gt;"ERRO",LEFT(X778,4)&lt;&gt;"ERRO",LEFT(Y778,4)&lt;&gt;"ERRO",AA778="OK"),"OK","REVISAR"))</f>
      </c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5"/>
      <c r="K779" s="4"/>
      <c r="L779" s="4"/>
      <c r="M779" s="4"/>
      <c r="N779" s="4"/>
      <c r="O779" s="4"/>
      <c r="P779" s="4"/>
      <c r="Q779" s="4"/>
      <c r="R779" s="4"/>
      <c r="S779" s="4"/>
      <c r="T779" s="6">
        <f>IF(G779="","",SUBSTITUTE(SUBSTITUTE(SUBSTITUTE(SUBSTITUTE(SUBSTITUTE(SUBSTITUTE(SUBSTITUTE(TRIM(G779),".",""),"/",""),"-","")," ",""),"(",""),")",""),"+",""))</f>
      </c>
      <c r="U779" s="6">
        <f>IF(T779="","",IF(LEN(T779)&lt;&gt;14,"ERRO: "&amp;LEN(T779)&amp;" dígitos",IF(NOT(ISNUMBER(VALUE(T779))),"ERRO: não numérico",IF(LEN(SUBSTITUTE(T779,LEFT(T779,1),""))=0,"ERRO: dígitos repetidos",IF(AND(VALUE(MID(T779,13,1))=IF(MOD(SUMPRODUCT(--MID(T779,{1,2,3,4,5,6,7,8,9,10,11,12},1),{5,4,3,2,9,8,7,6,5,4,3,2}),11)&lt;2,0,11-MOD(SUMPRODUCT(--MID(T779,{1,2,3,4,5,6,7,8,9,10,11,12},1),{5,4,3,2,9,8,7,6,5,4,3,2}),11)),VALUE(MID(T779,14,1))=IF(MOD(SUMPRODUCT(--MID(T779,{1,2,3,4,5,6,7,8,9,10,11,12,13},1),{6,5,4,3,2,9,8,7,6,5,4,3,2}),11)&lt;2,0,11-MOD(SUMPRODUCT(--MID(T779,{1,2,3,4,5,6,7,8,9,10,11,12,13},1),{6,5,4,3,2,9,8,7,6,5,4,3,2}),11))),"OK","ERRO: dígito verificador")))))</f>
      </c>
      <c r="V779" s="6">
        <f>IF(T779="","",IF(COUNTIF($T$2:$T$1001,T779)&gt;1,"DUPLICADO","OK"))</f>
      </c>
      <c r="W779" s="6">
        <f>IF(M779="","vazio",IF(OR(AND(LEN(SUBSTITUTE(SUBSTITUTE(SUBSTITUTE(SUBSTITUTE(SUBSTITUTE(SUBSTITUTE(SUBSTITUTE(TRIM(M779),".",""),"/",""),"-","")," ",""),"(",""),")",""),"+",""))=10,LEFT(SUBSTITUTE(SUBSTITUTE(SUBSTITUTE(SUBSTITUTE(SUBSTITUTE(SUBSTITUTE(SUBSTITUTE(TRIM(M779),".",""),"/",""),"-","")," ",""),"(",""),")",""),"+",""),1)&lt;&gt;"0"),AND(LEN(SUBSTITUTE(SUBSTITUTE(SUBSTITUTE(SUBSTITUTE(SUBSTITUTE(SUBSTITUTE(SUBSTITUTE(TRIM(M779),".",""),"/",""),"-","")," ",""),"(",""),")",""),"+",""))=11,LEFT(SUBSTITUTE(SUBSTITUTE(SUBSTITUTE(SUBSTITUTE(SUBSTITUTE(SUBSTITUTE(SUBSTITUTE(TRIM(M779),".",""),"/",""),"-","")," ",""),"(",""),")",""),"+",""),4)="0800")),"OK",IF(AND(LEN(SUBSTITUTE(SUBSTITUTE(SUBSTITUTE(SUBSTITUTE(SUBSTITUTE(SUBSTITUTE(SUBSTITUTE(TRIM(M779),".",""),"/",""),"-","")," ",""),"(",""),")",""),"+",""))=11,MID(SUBSTITUTE(SUBSTITUTE(SUBSTITUTE(SUBSTITUTE(SUBSTITUTE(SUBSTITUTE(SUBSTITUTE(TRIM(M779),".",""),"/",""),"-","")," ",""),"(",""),")",""),"+",""),3,1)="9"),"ERRO: é celular, use a coluna Celular","ERRO: DDD + 8 dígitos ou 0800 + 7")))</f>
      </c>
      <c r="X779" s="6">
        <f>IF(N779="","vazio",IF(AND(LEN(SUBSTITUTE(SUBSTITUTE(SUBSTITUTE(SUBSTITUTE(SUBSTITUTE(SUBSTITUTE(SUBSTITUTE(TRIM(N779),".",""),"/",""),"-","")," ",""),"(",""),")",""),"+",""))=11,MID(SUBSTITUTE(SUBSTITUTE(SUBSTITUTE(SUBSTITUTE(SUBSTITUTE(SUBSTITUTE(SUBSTITUTE(TRIM(N779),".",""),"/",""),"-","")," ",""),"(",""),")",""),"+",""),3,1)="9",LEFT(SUBSTITUTE(SUBSTITUTE(SUBSTITUTE(SUBSTITUTE(SUBSTITUTE(SUBSTITUTE(SUBSTITUTE(TRIM(N779),".",""),"/",""),"-","")," ",""),"(",""),")",""),"+",""),1)&lt;&gt;"0"),"OK",IF(LEN(SUBSTITUTE(SUBSTITUTE(SUBSTITUTE(SUBSTITUTE(SUBSTITUTE(SUBSTITUTE(SUBSTITUTE(TRIM(N779),".",""),"/",""),"-","")," ",""),"(",""),")",""),"+",""))=10,"ERRO: é fixo (ou falta o 9), use a coluna Telefone fixo","ERRO: DDD + 9 + 8 dígitos")))</f>
      </c>
      <c r="Y779" s="6">
        <f>IF(O779="","vazio",IF(AND(ISNUMBER(FIND("@",O779)),ISNUMBER(FIND(".",MID(O779,FIND("@",O779),99))),NOT(ISNUMBER(FIND(" ",TRIM(O779)))),NOT(ISNUMBER(FIND(";",O779))),NOT(ISNUMBER(FIND(",",O779)))),"OK","ERRO: um e-mail válido por linha"))</f>
      </c>
      <c r="Z779" s="6">
        <f>IF(AND(J779="",K779=""),"",IF(AND(J779&lt;&gt;"",K779&lt;&gt;""),"OK","pendente: só um nome (o GR completa ao converter)"))</f>
      </c>
      <c r="AA779" s="6">
        <f>IF(COUNTA(A779:S779)=0,"",IF(AND(A779&lt;&gt;"",B779&lt;&gt;"",C779&lt;&gt;"",D779&lt;&gt;"",E779&lt;&gt;"",F779&lt;&gt;"",G779&lt;&gt;"",H779&lt;&gt;"",OR(J779&lt;&gt;"",K779&lt;&gt;""),OR(M779&lt;&gt;"",N779&lt;&gt;"",O779&lt;&gt;"")),"OK","ERRO: faltam "&amp;IF(A779="","SDR; ","")&amp;IF(B779="","Proprietário; ","")&amp;IF(C779="","Origem; ","")&amp;IF(D779="","Temperatura; ","")&amp;IF(E779="","Segmento; ","")&amp;IF(F779="","Time/Cluster; ","")&amp;IF(G779="","CNPJ; ","")&amp;IF(H779="","Razão Social; ","")&amp;IF(AND(J779="",K779=""),"nome do contato; ","")&amp;IF(AND(M779="",N779="",O779=""),"telefone, celular ou e-mail; ","")))</f>
      </c>
      <c r="AB779" s="6">
        <f>IF(COUNTA(A779:S779)=0,"",IF(AND(U779="OK",V779="OK",LEFT(W779,4)&lt;&gt;"ERRO",LEFT(X779,4)&lt;&gt;"ERRO",LEFT(Y779,4)&lt;&gt;"ERRO",AA779="OK"),"OK","REVISAR"))</f>
      </c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5"/>
      <c r="K780" s="4"/>
      <c r="L780" s="4"/>
      <c r="M780" s="4"/>
      <c r="N780" s="4"/>
      <c r="O780" s="4"/>
      <c r="P780" s="4"/>
      <c r="Q780" s="4"/>
      <c r="R780" s="4"/>
      <c r="S780" s="4"/>
      <c r="T780" s="6">
        <f>IF(G780="","",SUBSTITUTE(SUBSTITUTE(SUBSTITUTE(SUBSTITUTE(SUBSTITUTE(SUBSTITUTE(SUBSTITUTE(TRIM(G780),".",""),"/",""),"-","")," ",""),"(",""),")",""),"+",""))</f>
      </c>
      <c r="U780" s="6">
        <f>IF(T780="","",IF(LEN(T780)&lt;&gt;14,"ERRO: "&amp;LEN(T780)&amp;" dígitos",IF(NOT(ISNUMBER(VALUE(T780))),"ERRO: não numérico",IF(LEN(SUBSTITUTE(T780,LEFT(T780,1),""))=0,"ERRO: dígitos repetidos",IF(AND(VALUE(MID(T780,13,1))=IF(MOD(SUMPRODUCT(--MID(T780,{1,2,3,4,5,6,7,8,9,10,11,12},1),{5,4,3,2,9,8,7,6,5,4,3,2}),11)&lt;2,0,11-MOD(SUMPRODUCT(--MID(T780,{1,2,3,4,5,6,7,8,9,10,11,12},1),{5,4,3,2,9,8,7,6,5,4,3,2}),11)),VALUE(MID(T780,14,1))=IF(MOD(SUMPRODUCT(--MID(T780,{1,2,3,4,5,6,7,8,9,10,11,12,13},1),{6,5,4,3,2,9,8,7,6,5,4,3,2}),11)&lt;2,0,11-MOD(SUMPRODUCT(--MID(T780,{1,2,3,4,5,6,7,8,9,10,11,12,13},1),{6,5,4,3,2,9,8,7,6,5,4,3,2}),11))),"OK","ERRO: dígito verificador")))))</f>
      </c>
      <c r="V780" s="6">
        <f>IF(T780="","",IF(COUNTIF($T$2:$T$1001,T780)&gt;1,"DUPLICADO","OK"))</f>
      </c>
      <c r="W780" s="6">
        <f>IF(M780="","vazio",IF(OR(AND(LEN(SUBSTITUTE(SUBSTITUTE(SUBSTITUTE(SUBSTITUTE(SUBSTITUTE(SUBSTITUTE(SUBSTITUTE(TRIM(M780),".",""),"/",""),"-","")," ",""),"(",""),")",""),"+",""))=10,LEFT(SUBSTITUTE(SUBSTITUTE(SUBSTITUTE(SUBSTITUTE(SUBSTITUTE(SUBSTITUTE(SUBSTITUTE(TRIM(M780),".",""),"/",""),"-","")," ",""),"(",""),")",""),"+",""),1)&lt;&gt;"0"),AND(LEN(SUBSTITUTE(SUBSTITUTE(SUBSTITUTE(SUBSTITUTE(SUBSTITUTE(SUBSTITUTE(SUBSTITUTE(TRIM(M780),".",""),"/",""),"-","")," ",""),"(",""),")",""),"+",""))=11,LEFT(SUBSTITUTE(SUBSTITUTE(SUBSTITUTE(SUBSTITUTE(SUBSTITUTE(SUBSTITUTE(SUBSTITUTE(TRIM(M780),".",""),"/",""),"-","")," ",""),"(",""),")",""),"+",""),4)="0800")),"OK",IF(AND(LEN(SUBSTITUTE(SUBSTITUTE(SUBSTITUTE(SUBSTITUTE(SUBSTITUTE(SUBSTITUTE(SUBSTITUTE(TRIM(M780),".",""),"/",""),"-","")," ",""),"(",""),")",""),"+",""))=11,MID(SUBSTITUTE(SUBSTITUTE(SUBSTITUTE(SUBSTITUTE(SUBSTITUTE(SUBSTITUTE(SUBSTITUTE(TRIM(M780),".",""),"/",""),"-","")," ",""),"(",""),")",""),"+",""),3,1)="9"),"ERRO: é celular, use a coluna Celular","ERRO: DDD + 8 dígitos ou 0800 + 7")))</f>
      </c>
      <c r="X780" s="6">
        <f>IF(N780="","vazio",IF(AND(LEN(SUBSTITUTE(SUBSTITUTE(SUBSTITUTE(SUBSTITUTE(SUBSTITUTE(SUBSTITUTE(SUBSTITUTE(TRIM(N780),".",""),"/",""),"-","")," ",""),"(",""),")",""),"+",""))=11,MID(SUBSTITUTE(SUBSTITUTE(SUBSTITUTE(SUBSTITUTE(SUBSTITUTE(SUBSTITUTE(SUBSTITUTE(TRIM(N780),".",""),"/",""),"-","")," ",""),"(",""),")",""),"+",""),3,1)="9",LEFT(SUBSTITUTE(SUBSTITUTE(SUBSTITUTE(SUBSTITUTE(SUBSTITUTE(SUBSTITUTE(SUBSTITUTE(TRIM(N780),".",""),"/",""),"-","")," ",""),"(",""),")",""),"+",""),1)&lt;&gt;"0"),"OK",IF(LEN(SUBSTITUTE(SUBSTITUTE(SUBSTITUTE(SUBSTITUTE(SUBSTITUTE(SUBSTITUTE(SUBSTITUTE(TRIM(N780),".",""),"/",""),"-","")," ",""),"(",""),")",""),"+",""))=10,"ERRO: é fixo (ou falta o 9), use a coluna Telefone fixo","ERRO: DDD + 9 + 8 dígitos")))</f>
      </c>
      <c r="Y780" s="6">
        <f>IF(O780="","vazio",IF(AND(ISNUMBER(FIND("@",O780)),ISNUMBER(FIND(".",MID(O780,FIND("@",O780),99))),NOT(ISNUMBER(FIND(" ",TRIM(O780)))),NOT(ISNUMBER(FIND(";",O780))),NOT(ISNUMBER(FIND(",",O780)))),"OK","ERRO: um e-mail válido por linha"))</f>
      </c>
      <c r="Z780" s="6">
        <f>IF(AND(J780="",K780=""),"",IF(AND(J780&lt;&gt;"",K780&lt;&gt;""),"OK","pendente: só um nome (o GR completa ao converter)"))</f>
      </c>
      <c r="AA780" s="6">
        <f>IF(COUNTA(A780:S780)=0,"",IF(AND(A780&lt;&gt;"",B780&lt;&gt;"",C780&lt;&gt;"",D780&lt;&gt;"",E780&lt;&gt;"",F780&lt;&gt;"",G780&lt;&gt;"",H780&lt;&gt;"",OR(J780&lt;&gt;"",K780&lt;&gt;""),OR(M780&lt;&gt;"",N780&lt;&gt;"",O780&lt;&gt;"")),"OK","ERRO: faltam "&amp;IF(A780="","SDR; ","")&amp;IF(B780="","Proprietário; ","")&amp;IF(C780="","Origem; ","")&amp;IF(D780="","Temperatura; ","")&amp;IF(E780="","Segmento; ","")&amp;IF(F780="","Time/Cluster; ","")&amp;IF(G780="","CNPJ; ","")&amp;IF(H780="","Razão Social; ","")&amp;IF(AND(J780="",K780=""),"nome do contato; ","")&amp;IF(AND(M780="",N780="",O780=""),"telefone, celular ou e-mail; ","")))</f>
      </c>
      <c r="AB780" s="6">
        <f>IF(COUNTA(A780:S780)=0,"",IF(AND(U780="OK",V780="OK",LEFT(W780,4)&lt;&gt;"ERRO",LEFT(X780,4)&lt;&gt;"ERRO",LEFT(Y780,4)&lt;&gt;"ERRO",AA780="OK"),"OK","REVISAR"))</f>
      </c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5"/>
      <c r="K781" s="4"/>
      <c r="L781" s="4"/>
      <c r="M781" s="4"/>
      <c r="N781" s="4"/>
      <c r="O781" s="4"/>
      <c r="P781" s="4"/>
      <c r="Q781" s="4"/>
      <c r="R781" s="4"/>
      <c r="S781" s="4"/>
      <c r="T781" s="6">
        <f>IF(G781="","",SUBSTITUTE(SUBSTITUTE(SUBSTITUTE(SUBSTITUTE(SUBSTITUTE(SUBSTITUTE(SUBSTITUTE(TRIM(G781),".",""),"/",""),"-","")," ",""),"(",""),")",""),"+",""))</f>
      </c>
      <c r="U781" s="6">
        <f>IF(T781="","",IF(LEN(T781)&lt;&gt;14,"ERRO: "&amp;LEN(T781)&amp;" dígitos",IF(NOT(ISNUMBER(VALUE(T781))),"ERRO: não numérico",IF(LEN(SUBSTITUTE(T781,LEFT(T781,1),""))=0,"ERRO: dígitos repetidos",IF(AND(VALUE(MID(T781,13,1))=IF(MOD(SUMPRODUCT(--MID(T781,{1,2,3,4,5,6,7,8,9,10,11,12},1),{5,4,3,2,9,8,7,6,5,4,3,2}),11)&lt;2,0,11-MOD(SUMPRODUCT(--MID(T781,{1,2,3,4,5,6,7,8,9,10,11,12},1),{5,4,3,2,9,8,7,6,5,4,3,2}),11)),VALUE(MID(T781,14,1))=IF(MOD(SUMPRODUCT(--MID(T781,{1,2,3,4,5,6,7,8,9,10,11,12,13},1),{6,5,4,3,2,9,8,7,6,5,4,3,2}),11)&lt;2,0,11-MOD(SUMPRODUCT(--MID(T781,{1,2,3,4,5,6,7,8,9,10,11,12,13},1),{6,5,4,3,2,9,8,7,6,5,4,3,2}),11))),"OK","ERRO: dígito verificador")))))</f>
      </c>
      <c r="V781" s="6">
        <f>IF(T781="","",IF(COUNTIF($T$2:$T$1001,T781)&gt;1,"DUPLICADO","OK"))</f>
      </c>
      <c r="W781" s="6">
        <f>IF(M781="","vazio",IF(OR(AND(LEN(SUBSTITUTE(SUBSTITUTE(SUBSTITUTE(SUBSTITUTE(SUBSTITUTE(SUBSTITUTE(SUBSTITUTE(TRIM(M781),".",""),"/",""),"-","")," ",""),"(",""),")",""),"+",""))=10,LEFT(SUBSTITUTE(SUBSTITUTE(SUBSTITUTE(SUBSTITUTE(SUBSTITUTE(SUBSTITUTE(SUBSTITUTE(TRIM(M781),".",""),"/",""),"-","")," ",""),"(",""),")",""),"+",""),1)&lt;&gt;"0"),AND(LEN(SUBSTITUTE(SUBSTITUTE(SUBSTITUTE(SUBSTITUTE(SUBSTITUTE(SUBSTITUTE(SUBSTITUTE(TRIM(M781),".",""),"/",""),"-","")," ",""),"(",""),")",""),"+",""))=11,LEFT(SUBSTITUTE(SUBSTITUTE(SUBSTITUTE(SUBSTITUTE(SUBSTITUTE(SUBSTITUTE(SUBSTITUTE(TRIM(M781),".",""),"/",""),"-","")," ",""),"(",""),")",""),"+",""),4)="0800")),"OK",IF(AND(LEN(SUBSTITUTE(SUBSTITUTE(SUBSTITUTE(SUBSTITUTE(SUBSTITUTE(SUBSTITUTE(SUBSTITUTE(TRIM(M781),".",""),"/",""),"-","")," ",""),"(",""),")",""),"+",""))=11,MID(SUBSTITUTE(SUBSTITUTE(SUBSTITUTE(SUBSTITUTE(SUBSTITUTE(SUBSTITUTE(SUBSTITUTE(TRIM(M781),".",""),"/",""),"-","")," ",""),"(",""),")",""),"+",""),3,1)="9"),"ERRO: é celular, use a coluna Celular","ERRO: DDD + 8 dígitos ou 0800 + 7")))</f>
      </c>
      <c r="X781" s="6">
        <f>IF(N781="","vazio",IF(AND(LEN(SUBSTITUTE(SUBSTITUTE(SUBSTITUTE(SUBSTITUTE(SUBSTITUTE(SUBSTITUTE(SUBSTITUTE(TRIM(N781),".",""),"/",""),"-","")," ",""),"(",""),")",""),"+",""))=11,MID(SUBSTITUTE(SUBSTITUTE(SUBSTITUTE(SUBSTITUTE(SUBSTITUTE(SUBSTITUTE(SUBSTITUTE(TRIM(N781),".",""),"/",""),"-","")," ",""),"(",""),")",""),"+",""),3,1)="9",LEFT(SUBSTITUTE(SUBSTITUTE(SUBSTITUTE(SUBSTITUTE(SUBSTITUTE(SUBSTITUTE(SUBSTITUTE(TRIM(N781),".",""),"/",""),"-","")," ",""),"(",""),")",""),"+",""),1)&lt;&gt;"0"),"OK",IF(LEN(SUBSTITUTE(SUBSTITUTE(SUBSTITUTE(SUBSTITUTE(SUBSTITUTE(SUBSTITUTE(SUBSTITUTE(TRIM(N781),".",""),"/",""),"-","")," ",""),"(",""),")",""),"+",""))=10,"ERRO: é fixo (ou falta o 9), use a coluna Telefone fixo","ERRO: DDD + 9 + 8 dígitos")))</f>
      </c>
      <c r="Y781" s="6">
        <f>IF(O781="","vazio",IF(AND(ISNUMBER(FIND("@",O781)),ISNUMBER(FIND(".",MID(O781,FIND("@",O781),99))),NOT(ISNUMBER(FIND(" ",TRIM(O781)))),NOT(ISNUMBER(FIND(";",O781))),NOT(ISNUMBER(FIND(",",O781)))),"OK","ERRO: um e-mail válido por linha"))</f>
      </c>
      <c r="Z781" s="6">
        <f>IF(AND(J781="",K781=""),"",IF(AND(J781&lt;&gt;"",K781&lt;&gt;""),"OK","pendente: só um nome (o GR completa ao converter)"))</f>
      </c>
      <c r="AA781" s="6">
        <f>IF(COUNTA(A781:S781)=0,"",IF(AND(A781&lt;&gt;"",B781&lt;&gt;"",C781&lt;&gt;"",D781&lt;&gt;"",E781&lt;&gt;"",F781&lt;&gt;"",G781&lt;&gt;"",H781&lt;&gt;"",OR(J781&lt;&gt;"",K781&lt;&gt;""),OR(M781&lt;&gt;"",N781&lt;&gt;"",O781&lt;&gt;"")),"OK","ERRO: faltam "&amp;IF(A781="","SDR; ","")&amp;IF(B781="","Proprietário; ","")&amp;IF(C781="","Origem; ","")&amp;IF(D781="","Temperatura; ","")&amp;IF(E781="","Segmento; ","")&amp;IF(F781="","Time/Cluster; ","")&amp;IF(G781="","CNPJ; ","")&amp;IF(H781="","Razão Social; ","")&amp;IF(AND(J781="",K781=""),"nome do contato; ","")&amp;IF(AND(M781="",N781="",O781=""),"telefone, celular ou e-mail; ","")))</f>
      </c>
      <c r="AB781" s="6">
        <f>IF(COUNTA(A781:S781)=0,"",IF(AND(U781="OK",V781="OK",LEFT(W781,4)&lt;&gt;"ERRO",LEFT(X781,4)&lt;&gt;"ERRO",LEFT(Y781,4)&lt;&gt;"ERRO",AA781="OK"),"OK","REVISAR"))</f>
      </c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5"/>
      <c r="K782" s="4"/>
      <c r="L782" s="4"/>
      <c r="M782" s="4"/>
      <c r="N782" s="4"/>
      <c r="O782" s="4"/>
      <c r="P782" s="4"/>
      <c r="Q782" s="4"/>
      <c r="R782" s="4"/>
      <c r="S782" s="4"/>
      <c r="T782" s="6">
        <f>IF(G782="","",SUBSTITUTE(SUBSTITUTE(SUBSTITUTE(SUBSTITUTE(SUBSTITUTE(SUBSTITUTE(SUBSTITUTE(TRIM(G782),".",""),"/",""),"-","")," ",""),"(",""),")",""),"+",""))</f>
      </c>
      <c r="U782" s="6">
        <f>IF(T782="","",IF(LEN(T782)&lt;&gt;14,"ERRO: "&amp;LEN(T782)&amp;" dígitos",IF(NOT(ISNUMBER(VALUE(T782))),"ERRO: não numérico",IF(LEN(SUBSTITUTE(T782,LEFT(T782,1),""))=0,"ERRO: dígitos repetidos",IF(AND(VALUE(MID(T782,13,1))=IF(MOD(SUMPRODUCT(--MID(T782,{1,2,3,4,5,6,7,8,9,10,11,12},1),{5,4,3,2,9,8,7,6,5,4,3,2}),11)&lt;2,0,11-MOD(SUMPRODUCT(--MID(T782,{1,2,3,4,5,6,7,8,9,10,11,12},1),{5,4,3,2,9,8,7,6,5,4,3,2}),11)),VALUE(MID(T782,14,1))=IF(MOD(SUMPRODUCT(--MID(T782,{1,2,3,4,5,6,7,8,9,10,11,12,13},1),{6,5,4,3,2,9,8,7,6,5,4,3,2}),11)&lt;2,0,11-MOD(SUMPRODUCT(--MID(T782,{1,2,3,4,5,6,7,8,9,10,11,12,13},1),{6,5,4,3,2,9,8,7,6,5,4,3,2}),11))),"OK","ERRO: dígito verificador")))))</f>
      </c>
      <c r="V782" s="6">
        <f>IF(T782="","",IF(COUNTIF($T$2:$T$1001,T782)&gt;1,"DUPLICADO","OK"))</f>
      </c>
      <c r="W782" s="6">
        <f>IF(M782="","vazio",IF(OR(AND(LEN(SUBSTITUTE(SUBSTITUTE(SUBSTITUTE(SUBSTITUTE(SUBSTITUTE(SUBSTITUTE(SUBSTITUTE(TRIM(M782),".",""),"/",""),"-","")," ",""),"(",""),")",""),"+",""))=10,LEFT(SUBSTITUTE(SUBSTITUTE(SUBSTITUTE(SUBSTITUTE(SUBSTITUTE(SUBSTITUTE(SUBSTITUTE(TRIM(M782),".",""),"/",""),"-","")," ",""),"(",""),")",""),"+",""),1)&lt;&gt;"0"),AND(LEN(SUBSTITUTE(SUBSTITUTE(SUBSTITUTE(SUBSTITUTE(SUBSTITUTE(SUBSTITUTE(SUBSTITUTE(TRIM(M782),".",""),"/",""),"-","")," ",""),"(",""),")",""),"+",""))=11,LEFT(SUBSTITUTE(SUBSTITUTE(SUBSTITUTE(SUBSTITUTE(SUBSTITUTE(SUBSTITUTE(SUBSTITUTE(TRIM(M782),".",""),"/",""),"-","")," ",""),"(",""),")",""),"+",""),4)="0800")),"OK",IF(AND(LEN(SUBSTITUTE(SUBSTITUTE(SUBSTITUTE(SUBSTITUTE(SUBSTITUTE(SUBSTITUTE(SUBSTITUTE(TRIM(M782),".",""),"/",""),"-","")," ",""),"(",""),")",""),"+",""))=11,MID(SUBSTITUTE(SUBSTITUTE(SUBSTITUTE(SUBSTITUTE(SUBSTITUTE(SUBSTITUTE(SUBSTITUTE(TRIM(M782),".",""),"/",""),"-","")," ",""),"(",""),")",""),"+",""),3,1)="9"),"ERRO: é celular, use a coluna Celular","ERRO: DDD + 8 dígitos ou 0800 + 7")))</f>
      </c>
      <c r="X782" s="6">
        <f>IF(N782="","vazio",IF(AND(LEN(SUBSTITUTE(SUBSTITUTE(SUBSTITUTE(SUBSTITUTE(SUBSTITUTE(SUBSTITUTE(SUBSTITUTE(TRIM(N782),".",""),"/",""),"-","")," ",""),"(",""),")",""),"+",""))=11,MID(SUBSTITUTE(SUBSTITUTE(SUBSTITUTE(SUBSTITUTE(SUBSTITUTE(SUBSTITUTE(SUBSTITUTE(TRIM(N782),".",""),"/",""),"-","")," ",""),"(",""),")",""),"+",""),3,1)="9",LEFT(SUBSTITUTE(SUBSTITUTE(SUBSTITUTE(SUBSTITUTE(SUBSTITUTE(SUBSTITUTE(SUBSTITUTE(TRIM(N782),".",""),"/",""),"-","")," ",""),"(",""),")",""),"+",""),1)&lt;&gt;"0"),"OK",IF(LEN(SUBSTITUTE(SUBSTITUTE(SUBSTITUTE(SUBSTITUTE(SUBSTITUTE(SUBSTITUTE(SUBSTITUTE(TRIM(N782),".",""),"/",""),"-","")," ",""),"(",""),")",""),"+",""))=10,"ERRO: é fixo (ou falta o 9), use a coluna Telefone fixo","ERRO: DDD + 9 + 8 dígitos")))</f>
      </c>
      <c r="Y782" s="6">
        <f>IF(O782="","vazio",IF(AND(ISNUMBER(FIND("@",O782)),ISNUMBER(FIND(".",MID(O782,FIND("@",O782),99))),NOT(ISNUMBER(FIND(" ",TRIM(O782)))),NOT(ISNUMBER(FIND(";",O782))),NOT(ISNUMBER(FIND(",",O782)))),"OK","ERRO: um e-mail válido por linha"))</f>
      </c>
      <c r="Z782" s="6">
        <f>IF(AND(J782="",K782=""),"",IF(AND(J782&lt;&gt;"",K782&lt;&gt;""),"OK","pendente: só um nome (o GR completa ao converter)"))</f>
      </c>
      <c r="AA782" s="6">
        <f>IF(COUNTA(A782:S782)=0,"",IF(AND(A782&lt;&gt;"",B782&lt;&gt;"",C782&lt;&gt;"",D782&lt;&gt;"",E782&lt;&gt;"",F782&lt;&gt;"",G782&lt;&gt;"",H782&lt;&gt;"",OR(J782&lt;&gt;"",K782&lt;&gt;""),OR(M782&lt;&gt;"",N782&lt;&gt;"",O782&lt;&gt;"")),"OK","ERRO: faltam "&amp;IF(A782="","SDR; ","")&amp;IF(B782="","Proprietário; ","")&amp;IF(C782="","Origem; ","")&amp;IF(D782="","Temperatura; ","")&amp;IF(E782="","Segmento; ","")&amp;IF(F782="","Time/Cluster; ","")&amp;IF(G782="","CNPJ; ","")&amp;IF(H782="","Razão Social; ","")&amp;IF(AND(J782="",K782=""),"nome do contato; ","")&amp;IF(AND(M782="",N782="",O782=""),"telefone, celular ou e-mail; ","")))</f>
      </c>
      <c r="AB782" s="6">
        <f>IF(COUNTA(A782:S782)=0,"",IF(AND(U782="OK",V782="OK",LEFT(W782,4)&lt;&gt;"ERRO",LEFT(X782,4)&lt;&gt;"ERRO",LEFT(Y782,4)&lt;&gt;"ERRO",AA782="OK"),"OK","REVISAR"))</f>
      </c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5"/>
      <c r="K783" s="4"/>
      <c r="L783" s="4"/>
      <c r="M783" s="4"/>
      <c r="N783" s="4"/>
      <c r="O783" s="4"/>
      <c r="P783" s="4"/>
      <c r="Q783" s="4"/>
      <c r="R783" s="4"/>
      <c r="S783" s="4"/>
      <c r="T783" s="6">
        <f>IF(G783="","",SUBSTITUTE(SUBSTITUTE(SUBSTITUTE(SUBSTITUTE(SUBSTITUTE(SUBSTITUTE(SUBSTITUTE(TRIM(G783),".",""),"/",""),"-","")," ",""),"(",""),")",""),"+",""))</f>
      </c>
      <c r="U783" s="6">
        <f>IF(T783="","",IF(LEN(T783)&lt;&gt;14,"ERRO: "&amp;LEN(T783)&amp;" dígitos",IF(NOT(ISNUMBER(VALUE(T783))),"ERRO: não numérico",IF(LEN(SUBSTITUTE(T783,LEFT(T783,1),""))=0,"ERRO: dígitos repetidos",IF(AND(VALUE(MID(T783,13,1))=IF(MOD(SUMPRODUCT(--MID(T783,{1,2,3,4,5,6,7,8,9,10,11,12},1),{5,4,3,2,9,8,7,6,5,4,3,2}),11)&lt;2,0,11-MOD(SUMPRODUCT(--MID(T783,{1,2,3,4,5,6,7,8,9,10,11,12},1),{5,4,3,2,9,8,7,6,5,4,3,2}),11)),VALUE(MID(T783,14,1))=IF(MOD(SUMPRODUCT(--MID(T783,{1,2,3,4,5,6,7,8,9,10,11,12,13},1),{6,5,4,3,2,9,8,7,6,5,4,3,2}),11)&lt;2,0,11-MOD(SUMPRODUCT(--MID(T783,{1,2,3,4,5,6,7,8,9,10,11,12,13},1),{6,5,4,3,2,9,8,7,6,5,4,3,2}),11))),"OK","ERRO: dígito verificador")))))</f>
      </c>
      <c r="V783" s="6">
        <f>IF(T783="","",IF(COUNTIF($T$2:$T$1001,T783)&gt;1,"DUPLICADO","OK"))</f>
      </c>
      <c r="W783" s="6">
        <f>IF(M783="","vazio",IF(OR(AND(LEN(SUBSTITUTE(SUBSTITUTE(SUBSTITUTE(SUBSTITUTE(SUBSTITUTE(SUBSTITUTE(SUBSTITUTE(TRIM(M783),".",""),"/",""),"-","")," ",""),"(",""),")",""),"+",""))=10,LEFT(SUBSTITUTE(SUBSTITUTE(SUBSTITUTE(SUBSTITUTE(SUBSTITUTE(SUBSTITUTE(SUBSTITUTE(TRIM(M783),".",""),"/",""),"-","")," ",""),"(",""),")",""),"+",""),1)&lt;&gt;"0"),AND(LEN(SUBSTITUTE(SUBSTITUTE(SUBSTITUTE(SUBSTITUTE(SUBSTITUTE(SUBSTITUTE(SUBSTITUTE(TRIM(M783),".",""),"/",""),"-","")," ",""),"(",""),")",""),"+",""))=11,LEFT(SUBSTITUTE(SUBSTITUTE(SUBSTITUTE(SUBSTITUTE(SUBSTITUTE(SUBSTITUTE(SUBSTITUTE(TRIM(M783),".",""),"/",""),"-","")," ",""),"(",""),")",""),"+",""),4)="0800")),"OK",IF(AND(LEN(SUBSTITUTE(SUBSTITUTE(SUBSTITUTE(SUBSTITUTE(SUBSTITUTE(SUBSTITUTE(SUBSTITUTE(TRIM(M783),".",""),"/",""),"-","")," ",""),"(",""),")",""),"+",""))=11,MID(SUBSTITUTE(SUBSTITUTE(SUBSTITUTE(SUBSTITUTE(SUBSTITUTE(SUBSTITUTE(SUBSTITUTE(TRIM(M783),".",""),"/",""),"-","")," ",""),"(",""),")",""),"+",""),3,1)="9"),"ERRO: é celular, use a coluna Celular","ERRO: DDD + 8 dígitos ou 0800 + 7")))</f>
      </c>
      <c r="X783" s="6">
        <f>IF(N783="","vazio",IF(AND(LEN(SUBSTITUTE(SUBSTITUTE(SUBSTITUTE(SUBSTITUTE(SUBSTITUTE(SUBSTITUTE(SUBSTITUTE(TRIM(N783),".",""),"/",""),"-","")," ",""),"(",""),")",""),"+",""))=11,MID(SUBSTITUTE(SUBSTITUTE(SUBSTITUTE(SUBSTITUTE(SUBSTITUTE(SUBSTITUTE(SUBSTITUTE(TRIM(N783),".",""),"/",""),"-","")," ",""),"(",""),")",""),"+",""),3,1)="9",LEFT(SUBSTITUTE(SUBSTITUTE(SUBSTITUTE(SUBSTITUTE(SUBSTITUTE(SUBSTITUTE(SUBSTITUTE(TRIM(N783),".",""),"/",""),"-","")," ",""),"(",""),")",""),"+",""),1)&lt;&gt;"0"),"OK",IF(LEN(SUBSTITUTE(SUBSTITUTE(SUBSTITUTE(SUBSTITUTE(SUBSTITUTE(SUBSTITUTE(SUBSTITUTE(TRIM(N783),".",""),"/",""),"-","")," ",""),"(",""),")",""),"+",""))=10,"ERRO: é fixo (ou falta o 9), use a coluna Telefone fixo","ERRO: DDD + 9 + 8 dígitos")))</f>
      </c>
      <c r="Y783" s="6">
        <f>IF(O783="","vazio",IF(AND(ISNUMBER(FIND("@",O783)),ISNUMBER(FIND(".",MID(O783,FIND("@",O783),99))),NOT(ISNUMBER(FIND(" ",TRIM(O783)))),NOT(ISNUMBER(FIND(";",O783))),NOT(ISNUMBER(FIND(",",O783)))),"OK","ERRO: um e-mail válido por linha"))</f>
      </c>
      <c r="Z783" s="6">
        <f>IF(AND(J783="",K783=""),"",IF(AND(J783&lt;&gt;"",K783&lt;&gt;""),"OK","pendente: só um nome (o GR completa ao converter)"))</f>
      </c>
      <c r="AA783" s="6">
        <f>IF(COUNTA(A783:S783)=0,"",IF(AND(A783&lt;&gt;"",B783&lt;&gt;"",C783&lt;&gt;"",D783&lt;&gt;"",E783&lt;&gt;"",F783&lt;&gt;"",G783&lt;&gt;"",H783&lt;&gt;"",OR(J783&lt;&gt;"",K783&lt;&gt;""),OR(M783&lt;&gt;"",N783&lt;&gt;"",O783&lt;&gt;"")),"OK","ERRO: faltam "&amp;IF(A783="","SDR; ","")&amp;IF(B783="","Proprietário; ","")&amp;IF(C783="","Origem; ","")&amp;IF(D783="","Temperatura; ","")&amp;IF(E783="","Segmento; ","")&amp;IF(F783="","Time/Cluster; ","")&amp;IF(G783="","CNPJ; ","")&amp;IF(H783="","Razão Social; ","")&amp;IF(AND(J783="",K783=""),"nome do contato; ","")&amp;IF(AND(M783="",N783="",O783=""),"telefone, celular ou e-mail; ","")))</f>
      </c>
      <c r="AB783" s="6">
        <f>IF(COUNTA(A783:S783)=0,"",IF(AND(U783="OK",V783="OK",LEFT(W783,4)&lt;&gt;"ERRO",LEFT(X783,4)&lt;&gt;"ERRO",LEFT(Y783,4)&lt;&gt;"ERRO",AA783="OK"),"OK","REVISAR"))</f>
      </c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5"/>
      <c r="K784" s="4"/>
      <c r="L784" s="4"/>
      <c r="M784" s="4"/>
      <c r="N784" s="4"/>
      <c r="O784" s="4"/>
      <c r="P784" s="4"/>
      <c r="Q784" s="4"/>
      <c r="R784" s="4"/>
      <c r="S784" s="4"/>
      <c r="T784" s="6">
        <f>IF(G784="","",SUBSTITUTE(SUBSTITUTE(SUBSTITUTE(SUBSTITUTE(SUBSTITUTE(SUBSTITUTE(SUBSTITUTE(TRIM(G784),".",""),"/",""),"-","")," ",""),"(",""),")",""),"+",""))</f>
      </c>
      <c r="U784" s="6">
        <f>IF(T784="","",IF(LEN(T784)&lt;&gt;14,"ERRO: "&amp;LEN(T784)&amp;" dígitos",IF(NOT(ISNUMBER(VALUE(T784))),"ERRO: não numérico",IF(LEN(SUBSTITUTE(T784,LEFT(T784,1),""))=0,"ERRO: dígitos repetidos",IF(AND(VALUE(MID(T784,13,1))=IF(MOD(SUMPRODUCT(--MID(T784,{1,2,3,4,5,6,7,8,9,10,11,12},1),{5,4,3,2,9,8,7,6,5,4,3,2}),11)&lt;2,0,11-MOD(SUMPRODUCT(--MID(T784,{1,2,3,4,5,6,7,8,9,10,11,12},1),{5,4,3,2,9,8,7,6,5,4,3,2}),11)),VALUE(MID(T784,14,1))=IF(MOD(SUMPRODUCT(--MID(T784,{1,2,3,4,5,6,7,8,9,10,11,12,13},1),{6,5,4,3,2,9,8,7,6,5,4,3,2}),11)&lt;2,0,11-MOD(SUMPRODUCT(--MID(T784,{1,2,3,4,5,6,7,8,9,10,11,12,13},1),{6,5,4,3,2,9,8,7,6,5,4,3,2}),11))),"OK","ERRO: dígito verificador")))))</f>
      </c>
      <c r="V784" s="6">
        <f>IF(T784="","",IF(COUNTIF($T$2:$T$1001,T784)&gt;1,"DUPLICADO","OK"))</f>
      </c>
      <c r="W784" s="6">
        <f>IF(M784="","vazio",IF(OR(AND(LEN(SUBSTITUTE(SUBSTITUTE(SUBSTITUTE(SUBSTITUTE(SUBSTITUTE(SUBSTITUTE(SUBSTITUTE(TRIM(M784),".",""),"/",""),"-","")," ",""),"(",""),")",""),"+",""))=10,LEFT(SUBSTITUTE(SUBSTITUTE(SUBSTITUTE(SUBSTITUTE(SUBSTITUTE(SUBSTITUTE(SUBSTITUTE(TRIM(M784),".",""),"/",""),"-","")," ",""),"(",""),")",""),"+",""),1)&lt;&gt;"0"),AND(LEN(SUBSTITUTE(SUBSTITUTE(SUBSTITUTE(SUBSTITUTE(SUBSTITUTE(SUBSTITUTE(SUBSTITUTE(TRIM(M784),".",""),"/",""),"-","")," ",""),"(",""),")",""),"+",""))=11,LEFT(SUBSTITUTE(SUBSTITUTE(SUBSTITUTE(SUBSTITUTE(SUBSTITUTE(SUBSTITUTE(SUBSTITUTE(TRIM(M784),".",""),"/",""),"-","")," ",""),"(",""),")",""),"+",""),4)="0800")),"OK",IF(AND(LEN(SUBSTITUTE(SUBSTITUTE(SUBSTITUTE(SUBSTITUTE(SUBSTITUTE(SUBSTITUTE(SUBSTITUTE(TRIM(M784),".",""),"/",""),"-","")," ",""),"(",""),")",""),"+",""))=11,MID(SUBSTITUTE(SUBSTITUTE(SUBSTITUTE(SUBSTITUTE(SUBSTITUTE(SUBSTITUTE(SUBSTITUTE(TRIM(M784),".",""),"/",""),"-","")," ",""),"(",""),")",""),"+",""),3,1)="9"),"ERRO: é celular, use a coluna Celular","ERRO: DDD + 8 dígitos ou 0800 + 7")))</f>
      </c>
      <c r="X784" s="6">
        <f>IF(N784="","vazio",IF(AND(LEN(SUBSTITUTE(SUBSTITUTE(SUBSTITUTE(SUBSTITUTE(SUBSTITUTE(SUBSTITUTE(SUBSTITUTE(TRIM(N784),".",""),"/",""),"-","")," ",""),"(",""),")",""),"+",""))=11,MID(SUBSTITUTE(SUBSTITUTE(SUBSTITUTE(SUBSTITUTE(SUBSTITUTE(SUBSTITUTE(SUBSTITUTE(TRIM(N784),".",""),"/",""),"-","")," ",""),"(",""),")",""),"+",""),3,1)="9",LEFT(SUBSTITUTE(SUBSTITUTE(SUBSTITUTE(SUBSTITUTE(SUBSTITUTE(SUBSTITUTE(SUBSTITUTE(TRIM(N784),".",""),"/",""),"-","")," ",""),"(",""),")",""),"+",""),1)&lt;&gt;"0"),"OK",IF(LEN(SUBSTITUTE(SUBSTITUTE(SUBSTITUTE(SUBSTITUTE(SUBSTITUTE(SUBSTITUTE(SUBSTITUTE(TRIM(N784),".",""),"/",""),"-","")," ",""),"(",""),")",""),"+",""))=10,"ERRO: é fixo (ou falta o 9), use a coluna Telefone fixo","ERRO: DDD + 9 + 8 dígitos")))</f>
      </c>
      <c r="Y784" s="6">
        <f>IF(O784="","vazio",IF(AND(ISNUMBER(FIND("@",O784)),ISNUMBER(FIND(".",MID(O784,FIND("@",O784),99))),NOT(ISNUMBER(FIND(" ",TRIM(O784)))),NOT(ISNUMBER(FIND(";",O784))),NOT(ISNUMBER(FIND(",",O784)))),"OK","ERRO: um e-mail válido por linha"))</f>
      </c>
      <c r="Z784" s="6">
        <f>IF(AND(J784="",K784=""),"",IF(AND(J784&lt;&gt;"",K784&lt;&gt;""),"OK","pendente: só um nome (o GR completa ao converter)"))</f>
      </c>
      <c r="AA784" s="6">
        <f>IF(COUNTA(A784:S784)=0,"",IF(AND(A784&lt;&gt;"",B784&lt;&gt;"",C784&lt;&gt;"",D784&lt;&gt;"",E784&lt;&gt;"",F784&lt;&gt;"",G784&lt;&gt;"",H784&lt;&gt;"",OR(J784&lt;&gt;"",K784&lt;&gt;""),OR(M784&lt;&gt;"",N784&lt;&gt;"",O784&lt;&gt;"")),"OK","ERRO: faltam "&amp;IF(A784="","SDR; ","")&amp;IF(B784="","Proprietário; ","")&amp;IF(C784="","Origem; ","")&amp;IF(D784="","Temperatura; ","")&amp;IF(E784="","Segmento; ","")&amp;IF(F784="","Time/Cluster; ","")&amp;IF(G784="","CNPJ; ","")&amp;IF(H784="","Razão Social; ","")&amp;IF(AND(J784="",K784=""),"nome do contato; ","")&amp;IF(AND(M784="",N784="",O784=""),"telefone, celular ou e-mail; ","")))</f>
      </c>
      <c r="AB784" s="6">
        <f>IF(COUNTA(A784:S784)=0,"",IF(AND(U784="OK",V784="OK",LEFT(W784,4)&lt;&gt;"ERRO",LEFT(X784,4)&lt;&gt;"ERRO",LEFT(Y784,4)&lt;&gt;"ERRO",AA784="OK"),"OK","REVISAR"))</f>
      </c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5"/>
      <c r="K785" s="4"/>
      <c r="L785" s="4"/>
      <c r="M785" s="4"/>
      <c r="N785" s="4"/>
      <c r="O785" s="4"/>
      <c r="P785" s="4"/>
      <c r="Q785" s="4"/>
      <c r="R785" s="4"/>
      <c r="S785" s="4"/>
      <c r="T785" s="6">
        <f>IF(G785="","",SUBSTITUTE(SUBSTITUTE(SUBSTITUTE(SUBSTITUTE(SUBSTITUTE(SUBSTITUTE(SUBSTITUTE(TRIM(G785),".",""),"/",""),"-","")," ",""),"(",""),")",""),"+",""))</f>
      </c>
      <c r="U785" s="6">
        <f>IF(T785="","",IF(LEN(T785)&lt;&gt;14,"ERRO: "&amp;LEN(T785)&amp;" dígitos",IF(NOT(ISNUMBER(VALUE(T785))),"ERRO: não numérico",IF(LEN(SUBSTITUTE(T785,LEFT(T785,1),""))=0,"ERRO: dígitos repetidos",IF(AND(VALUE(MID(T785,13,1))=IF(MOD(SUMPRODUCT(--MID(T785,{1,2,3,4,5,6,7,8,9,10,11,12},1),{5,4,3,2,9,8,7,6,5,4,3,2}),11)&lt;2,0,11-MOD(SUMPRODUCT(--MID(T785,{1,2,3,4,5,6,7,8,9,10,11,12},1),{5,4,3,2,9,8,7,6,5,4,3,2}),11)),VALUE(MID(T785,14,1))=IF(MOD(SUMPRODUCT(--MID(T785,{1,2,3,4,5,6,7,8,9,10,11,12,13},1),{6,5,4,3,2,9,8,7,6,5,4,3,2}),11)&lt;2,0,11-MOD(SUMPRODUCT(--MID(T785,{1,2,3,4,5,6,7,8,9,10,11,12,13},1),{6,5,4,3,2,9,8,7,6,5,4,3,2}),11))),"OK","ERRO: dígito verificador")))))</f>
      </c>
      <c r="V785" s="6">
        <f>IF(T785="","",IF(COUNTIF($T$2:$T$1001,T785)&gt;1,"DUPLICADO","OK"))</f>
      </c>
      <c r="W785" s="6">
        <f>IF(M785="","vazio",IF(OR(AND(LEN(SUBSTITUTE(SUBSTITUTE(SUBSTITUTE(SUBSTITUTE(SUBSTITUTE(SUBSTITUTE(SUBSTITUTE(TRIM(M785),".",""),"/",""),"-","")," ",""),"(",""),")",""),"+",""))=10,LEFT(SUBSTITUTE(SUBSTITUTE(SUBSTITUTE(SUBSTITUTE(SUBSTITUTE(SUBSTITUTE(SUBSTITUTE(TRIM(M785),".",""),"/",""),"-","")," ",""),"(",""),")",""),"+",""),1)&lt;&gt;"0"),AND(LEN(SUBSTITUTE(SUBSTITUTE(SUBSTITUTE(SUBSTITUTE(SUBSTITUTE(SUBSTITUTE(SUBSTITUTE(TRIM(M785),".",""),"/",""),"-","")," ",""),"(",""),")",""),"+",""))=11,LEFT(SUBSTITUTE(SUBSTITUTE(SUBSTITUTE(SUBSTITUTE(SUBSTITUTE(SUBSTITUTE(SUBSTITUTE(TRIM(M785),".",""),"/",""),"-","")," ",""),"(",""),")",""),"+",""),4)="0800")),"OK",IF(AND(LEN(SUBSTITUTE(SUBSTITUTE(SUBSTITUTE(SUBSTITUTE(SUBSTITUTE(SUBSTITUTE(SUBSTITUTE(TRIM(M785),".",""),"/",""),"-","")," ",""),"(",""),")",""),"+",""))=11,MID(SUBSTITUTE(SUBSTITUTE(SUBSTITUTE(SUBSTITUTE(SUBSTITUTE(SUBSTITUTE(SUBSTITUTE(TRIM(M785),".",""),"/",""),"-","")," ",""),"(",""),")",""),"+",""),3,1)="9"),"ERRO: é celular, use a coluna Celular","ERRO: DDD + 8 dígitos ou 0800 + 7")))</f>
      </c>
      <c r="X785" s="6">
        <f>IF(N785="","vazio",IF(AND(LEN(SUBSTITUTE(SUBSTITUTE(SUBSTITUTE(SUBSTITUTE(SUBSTITUTE(SUBSTITUTE(SUBSTITUTE(TRIM(N785),".",""),"/",""),"-","")," ",""),"(",""),")",""),"+",""))=11,MID(SUBSTITUTE(SUBSTITUTE(SUBSTITUTE(SUBSTITUTE(SUBSTITUTE(SUBSTITUTE(SUBSTITUTE(TRIM(N785),".",""),"/",""),"-","")," ",""),"(",""),")",""),"+",""),3,1)="9",LEFT(SUBSTITUTE(SUBSTITUTE(SUBSTITUTE(SUBSTITUTE(SUBSTITUTE(SUBSTITUTE(SUBSTITUTE(TRIM(N785),".",""),"/",""),"-","")," ",""),"(",""),")",""),"+",""),1)&lt;&gt;"0"),"OK",IF(LEN(SUBSTITUTE(SUBSTITUTE(SUBSTITUTE(SUBSTITUTE(SUBSTITUTE(SUBSTITUTE(SUBSTITUTE(TRIM(N785),".",""),"/",""),"-","")," ",""),"(",""),")",""),"+",""))=10,"ERRO: é fixo (ou falta o 9), use a coluna Telefone fixo","ERRO: DDD + 9 + 8 dígitos")))</f>
      </c>
      <c r="Y785" s="6">
        <f>IF(O785="","vazio",IF(AND(ISNUMBER(FIND("@",O785)),ISNUMBER(FIND(".",MID(O785,FIND("@",O785),99))),NOT(ISNUMBER(FIND(" ",TRIM(O785)))),NOT(ISNUMBER(FIND(";",O785))),NOT(ISNUMBER(FIND(",",O785)))),"OK","ERRO: um e-mail válido por linha"))</f>
      </c>
      <c r="Z785" s="6">
        <f>IF(AND(J785="",K785=""),"",IF(AND(J785&lt;&gt;"",K785&lt;&gt;""),"OK","pendente: só um nome (o GR completa ao converter)"))</f>
      </c>
      <c r="AA785" s="6">
        <f>IF(COUNTA(A785:S785)=0,"",IF(AND(A785&lt;&gt;"",B785&lt;&gt;"",C785&lt;&gt;"",D785&lt;&gt;"",E785&lt;&gt;"",F785&lt;&gt;"",G785&lt;&gt;"",H785&lt;&gt;"",OR(J785&lt;&gt;"",K785&lt;&gt;""),OR(M785&lt;&gt;"",N785&lt;&gt;"",O785&lt;&gt;"")),"OK","ERRO: faltam "&amp;IF(A785="","SDR; ","")&amp;IF(B785="","Proprietário; ","")&amp;IF(C785="","Origem; ","")&amp;IF(D785="","Temperatura; ","")&amp;IF(E785="","Segmento; ","")&amp;IF(F785="","Time/Cluster; ","")&amp;IF(G785="","CNPJ; ","")&amp;IF(H785="","Razão Social; ","")&amp;IF(AND(J785="",K785=""),"nome do contato; ","")&amp;IF(AND(M785="",N785="",O785=""),"telefone, celular ou e-mail; ","")))</f>
      </c>
      <c r="AB785" s="6">
        <f>IF(COUNTA(A785:S785)=0,"",IF(AND(U785="OK",V785="OK",LEFT(W785,4)&lt;&gt;"ERRO",LEFT(X785,4)&lt;&gt;"ERRO",LEFT(Y785,4)&lt;&gt;"ERRO",AA785="OK"),"OK","REVISAR"))</f>
      </c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5"/>
      <c r="K786" s="4"/>
      <c r="L786" s="4"/>
      <c r="M786" s="4"/>
      <c r="N786" s="4"/>
      <c r="O786" s="4"/>
      <c r="P786" s="4"/>
      <c r="Q786" s="4"/>
      <c r="R786" s="4"/>
      <c r="S786" s="4"/>
      <c r="T786" s="6">
        <f>IF(G786="","",SUBSTITUTE(SUBSTITUTE(SUBSTITUTE(SUBSTITUTE(SUBSTITUTE(SUBSTITUTE(SUBSTITUTE(TRIM(G786),".",""),"/",""),"-","")," ",""),"(",""),")",""),"+",""))</f>
      </c>
      <c r="U786" s="6">
        <f>IF(T786="","",IF(LEN(T786)&lt;&gt;14,"ERRO: "&amp;LEN(T786)&amp;" dígitos",IF(NOT(ISNUMBER(VALUE(T786))),"ERRO: não numérico",IF(LEN(SUBSTITUTE(T786,LEFT(T786,1),""))=0,"ERRO: dígitos repetidos",IF(AND(VALUE(MID(T786,13,1))=IF(MOD(SUMPRODUCT(--MID(T786,{1,2,3,4,5,6,7,8,9,10,11,12},1),{5,4,3,2,9,8,7,6,5,4,3,2}),11)&lt;2,0,11-MOD(SUMPRODUCT(--MID(T786,{1,2,3,4,5,6,7,8,9,10,11,12},1),{5,4,3,2,9,8,7,6,5,4,3,2}),11)),VALUE(MID(T786,14,1))=IF(MOD(SUMPRODUCT(--MID(T786,{1,2,3,4,5,6,7,8,9,10,11,12,13},1),{6,5,4,3,2,9,8,7,6,5,4,3,2}),11)&lt;2,0,11-MOD(SUMPRODUCT(--MID(T786,{1,2,3,4,5,6,7,8,9,10,11,12,13},1),{6,5,4,3,2,9,8,7,6,5,4,3,2}),11))),"OK","ERRO: dígito verificador")))))</f>
      </c>
      <c r="V786" s="6">
        <f>IF(T786="","",IF(COUNTIF($T$2:$T$1001,T786)&gt;1,"DUPLICADO","OK"))</f>
      </c>
      <c r="W786" s="6">
        <f>IF(M786="","vazio",IF(OR(AND(LEN(SUBSTITUTE(SUBSTITUTE(SUBSTITUTE(SUBSTITUTE(SUBSTITUTE(SUBSTITUTE(SUBSTITUTE(TRIM(M786),".",""),"/",""),"-","")," ",""),"(",""),")",""),"+",""))=10,LEFT(SUBSTITUTE(SUBSTITUTE(SUBSTITUTE(SUBSTITUTE(SUBSTITUTE(SUBSTITUTE(SUBSTITUTE(TRIM(M786),".",""),"/",""),"-","")," ",""),"(",""),")",""),"+",""),1)&lt;&gt;"0"),AND(LEN(SUBSTITUTE(SUBSTITUTE(SUBSTITUTE(SUBSTITUTE(SUBSTITUTE(SUBSTITUTE(SUBSTITUTE(TRIM(M786),".",""),"/",""),"-","")," ",""),"(",""),")",""),"+",""))=11,LEFT(SUBSTITUTE(SUBSTITUTE(SUBSTITUTE(SUBSTITUTE(SUBSTITUTE(SUBSTITUTE(SUBSTITUTE(TRIM(M786),".",""),"/",""),"-","")," ",""),"(",""),")",""),"+",""),4)="0800")),"OK",IF(AND(LEN(SUBSTITUTE(SUBSTITUTE(SUBSTITUTE(SUBSTITUTE(SUBSTITUTE(SUBSTITUTE(SUBSTITUTE(TRIM(M786),".",""),"/",""),"-","")," ",""),"(",""),")",""),"+",""))=11,MID(SUBSTITUTE(SUBSTITUTE(SUBSTITUTE(SUBSTITUTE(SUBSTITUTE(SUBSTITUTE(SUBSTITUTE(TRIM(M786),".",""),"/",""),"-","")," ",""),"(",""),")",""),"+",""),3,1)="9"),"ERRO: é celular, use a coluna Celular","ERRO: DDD + 8 dígitos ou 0800 + 7")))</f>
      </c>
      <c r="X786" s="6">
        <f>IF(N786="","vazio",IF(AND(LEN(SUBSTITUTE(SUBSTITUTE(SUBSTITUTE(SUBSTITUTE(SUBSTITUTE(SUBSTITUTE(SUBSTITUTE(TRIM(N786),".",""),"/",""),"-","")," ",""),"(",""),")",""),"+",""))=11,MID(SUBSTITUTE(SUBSTITUTE(SUBSTITUTE(SUBSTITUTE(SUBSTITUTE(SUBSTITUTE(SUBSTITUTE(TRIM(N786),".",""),"/",""),"-","")," ",""),"(",""),")",""),"+",""),3,1)="9",LEFT(SUBSTITUTE(SUBSTITUTE(SUBSTITUTE(SUBSTITUTE(SUBSTITUTE(SUBSTITUTE(SUBSTITUTE(TRIM(N786),".",""),"/",""),"-","")," ",""),"(",""),")",""),"+",""),1)&lt;&gt;"0"),"OK",IF(LEN(SUBSTITUTE(SUBSTITUTE(SUBSTITUTE(SUBSTITUTE(SUBSTITUTE(SUBSTITUTE(SUBSTITUTE(TRIM(N786),".",""),"/",""),"-","")," ",""),"(",""),")",""),"+",""))=10,"ERRO: é fixo (ou falta o 9), use a coluna Telefone fixo","ERRO: DDD + 9 + 8 dígitos")))</f>
      </c>
      <c r="Y786" s="6">
        <f>IF(O786="","vazio",IF(AND(ISNUMBER(FIND("@",O786)),ISNUMBER(FIND(".",MID(O786,FIND("@",O786),99))),NOT(ISNUMBER(FIND(" ",TRIM(O786)))),NOT(ISNUMBER(FIND(";",O786))),NOT(ISNUMBER(FIND(",",O786)))),"OK","ERRO: um e-mail válido por linha"))</f>
      </c>
      <c r="Z786" s="6">
        <f>IF(AND(J786="",K786=""),"",IF(AND(J786&lt;&gt;"",K786&lt;&gt;""),"OK","pendente: só um nome (o GR completa ao converter)"))</f>
      </c>
      <c r="AA786" s="6">
        <f>IF(COUNTA(A786:S786)=0,"",IF(AND(A786&lt;&gt;"",B786&lt;&gt;"",C786&lt;&gt;"",D786&lt;&gt;"",E786&lt;&gt;"",F786&lt;&gt;"",G786&lt;&gt;"",H786&lt;&gt;"",OR(J786&lt;&gt;"",K786&lt;&gt;""),OR(M786&lt;&gt;"",N786&lt;&gt;"",O786&lt;&gt;"")),"OK","ERRO: faltam "&amp;IF(A786="","SDR; ","")&amp;IF(B786="","Proprietário; ","")&amp;IF(C786="","Origem; ","")&amp;IF(D786="","Temperatura; ","")&amp;IF(E786="","Segmento; ","")&amp;IF(F786="","Time/Cluster; ","")&amp;IF(G786="","CNPJ; ","")&amp;IF(H786="","Razão Social; ","")&amp;IF(AND(J786="",K786=""),"nome do contato; ","")&amp;IF(AND(M786="",N786="",O786=""),"telefone, celular ou e-mail; ","")))</f>
      </c>
      <c r="AB786" s="6">
        <f>IF(COUNTA(A786:S786)=0,"",IF(AND(U786="OK",V786="OK",LEFT(W786,4)&lt;&gt;"ERRO",LEFT(X786,4)&lt;&gt;"ERRO",LEFT(Y786,4)&lt;&gt;"ERRO",AA786="OK"),"OK","REVISAR"))</f>
      </c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5"/>
      <c r="K787" s="4"/>
      <c r="L787" s="4"/>
      <c r="M787" s="4"/>
      <c r="N787" s="4"/>
      <c r="O787" s="4"/>
      <c r="P787" s="4"/>
      <c r="Q787" s="4"/>
      <c r="R787" s="4"/>
      <c r="S787" s="4"/>
      <c r="T787" s="6">
        <f>IF(G787="","",SUBSTITUTE(SUBSTITUTE(SUBSTITUTE(SUBSTITUTE(SUBSTITUTE(SUBSTITUTE(SUBSTITUTE(TRIM(G787),".",""),"/",""),"-","")," ",""),"(",""),")",""),"+",""))</f>
      </c>
      <c r="U787" s="6">
        <f>IF(T787="","",IF(LEN(T787)&lt;&gt;14,"ERRO: "&amp;LEN(T787)&amp;" dígitos",IF(NOT(ISNUMBER(VALUE(T787))),"ERRO: não numérico",IF(LEN(SUBSTITUTE(T787,LEFT(T787,1),""))=0,"ERRO: dígitos repetidos",IF(AND(VALUE(MID(T787,13,1))=IF(MOD(SUMPRODUCT(--MID(T787,{1,2,3,4,5,6,7,8,9,10,11,12},1),{5,4,3,2,9,8,7,6,5,4,3,2}),11)&lt;2,0,11-MOD(SUMPRODUCT(--MID(T787,{1,2,3,4,5,6,7,8,9,10,11,12},1),{5,4,3,2,9,8,7,6,5,4,3,2}),11)),VALUE(MID(T787,14,1))=IF(MOD(SUMPRODUCT(--MID(T787,{1,2,3,4,5,6,7,8,9,10,11,12,13},1),{6,5,4,3,2,9,8,7,6,5,4,3,2}),11)&lt;2,0,11-MOD(SUMPRODUCT(--MID(T787,{1,2,3,4,5,6,7,8,9,10,11,12,13},1),{6,5,4,3,2,9,8,7,6,5,4,3,2}),11))),"OK","ERRO: dígito verificador")))))</f>
      </c>
      <c r="V787" s="6">
        <f>IF(T787="","",IF(COUNTIF($T$2:$T$1001,T787)&gt;1,"DUPLICADO","OK"))</f>
      </c>
      <c r="W787" s="6">
        <f>IF(M787="","vazio",IF(OR(AND(LEN(SUBSTITUTE(SUBSTITUTE(SUBSTITUTE(SUBSTITUTE(SUBSTITUTE(SUBSTITUTE(SUBSTITUTE(TRIM(M787),".",""),"/",""),"-","")," ",""),"(",""),")",""),"+",""))=10,LEFT(SUBSTITUTE(SUBSTITUTE(SUBSTITUTE(SUBSTITUTE(SUBSTITUTE(SUBSTITUTE(SUBSTITUTE(TRIM(M787),".",""),"/",""),"-","")," ",""),"(",""),")",""),"+",""),1)&lt;&gt;"0"),AND(LEN(SUBSTITUTE(SUBSTITUTE(SUBSTITUTE(SUBSTITUTE(SUBSTITUTE(SUBSTITUTE(SUBSTITUTE(TRIM(M787),".",""),"/",""),"-","")," ",""),"(",""),")",""),"+",""))=11,LEFT(SUBSTITUTE(SUBSTITUTE(SUBSTITUTE(SUBSTITUTE(SUBSTITUTE(SUBSTITUTE(SUBSTITUTE(TRIM(M787),".",""),"/",""),"-","")," ",""),"(",""),")",""),"+",""),4)="0800")),"OK",IF(AND(LEN(SUBSTITUTE(SUBSTITUTE(SUBSTITUTE(SUBSTITUTE(SUBSTITUTE(SUBSTITUTE(SUBSTITUTE(TRIM(M787),".",""),"/",""),"-","")," ",""),"(",""),")",""),"+",""))=11,MID(SUBSTITUTE(SUBSTITUTE(SUBSTITUTE(SUBSTITUTE(SUBSTITUTE(SUBSTITUTE(SUBSTITUTE(TRIM(M787),".",""),"/",""),"-","")," ",""),"(",""),")",""),"+",""),3,1)="9"),"ERRO: é celular, use a coluna Celular","ERRO: DDD + 8 dígitos ou 0800 + 7")))</f>
      </c>
      <c r="X787" s="6">
        <f>IF(N787="","vazio",IF(AND(LEN(SUBSTITUTE(SUBSTITUTE(SUBSTITUTE(SUBSTITUTE(SUBSTITUTE(SUBSTITUTE(SUBSTITUTE(TRIM(N787),".",""),"/",""),"-","")," ",""),"(",""),")",""),"+",""))=11,MID(SUBSTITUTE(SUBSTITUTE(SUBSTITUTE(SUBSTITUTE(SUBSTITUTE(SUBSTITUTE(SUBSTITUTE(TRIM(N787),".",""),"/",""),"-","")," ",""),"(",""),")",""),"+",""),3,1)="9",LEFT(SUBSTITUTE(SUBSTITUTE(SUBSTITUTE(SUBSTITUTE(SUBSTITUTE(SUBSTITUTE(SUBSTITUTE(TRIM(N787),".",""),"/",""),"-","")," ",""),"(",""),")",""),"+",""),1)&lt;&gt;"0"),"OK",IF(LEN(SUBSTITUTE(SUBSTITUTE(SUBSTITUTE(SUBSTITUTE(SUBSTITUTE(SUBSTITUTE(SUBSTITUTE(TRIM(N787),".",""),"/",""),"-","")," ",""),"(",""),")",""),"+",""))=10,"ERRO: é fixo (ou falta o 9), use a coluna Telefone fixo","ERRO: DDD + 9 + 8 dígitos")))</f>
      </c>
      <c r="Y787" s="6">
        <f>IF(O787="","vazio",IF(AND(ISNUMBER(FIND("@",O787)),ISNUMBER(FIND(".",MID(O787,FIND("@",O787),99))),NOT(ISNUMBER(FIND(" ",TRIM(O787)))),NOT(ISNUMBER(FIND(";",O787))),NOT(ISNUMBER(FIND(",",O787)))),"OK","ERRO: um e-mail válido por linha"))</f>
      </c>
      <c r="Z787" s="6">
        <f>IF(AND(J787="",K787=""),"",IF(AND(J787&lt;&gt;"",K787&lt;&gt;""),"OK","pendente: só um nome (o GR completa ao converter)"))</f>
      </c>
      <c r="AA787" s="6">
        <f>IF(COUNTA(A787:S787)=0,"",IF(AND(A787&lt;&gt;"",B787&lt;&gt;"",C787&lt;&gt;"",D787&lt;&gt;"",E787&lt;&gt;"",F787&lt;&gt;"",G787&lt;&gt;"",H787&lt;&gt;"",OR(J787&lt;&gt;"",K787&lt;&gt;""),OR(M787&lt;&gt;"",N787&lt;&gt;"",O787&lt;&gt;"")),"OK","ERRO: faltam "&amp;IF(A787="","SDR; ","")&amp;IF(B787="","Proprietário; ","")&amp;IF(C787="","Origem; ","")&amp;IF(D787="","Temperatura; ","")&amp;IF(E787="","Segmento; ","")&amp;IF(F787="","Time/Cluster; ","")&amp;IF(G787="","CNPJ; ","")&amp;IF(H787="","Razão Social; ","")&amp;IF(AND(J787="",K787=""),"nome do contato; ","")&amp;IF(AND(M787="",N787="",O787=""),"telefone, celular ou e-mail; ","")))</f>
      </c>
      <c r="AB787" s="6">
        <f>IF(COUNTA(A787:S787)=0,"",IF(AND(U787="OK",V787="OK",LEFT(W787,4)&lt;&gt;"ERRO",LEFT(X787,4)&lt;&gt;"ERRO",LEFT(Y787,4)&lt;&gt;"ERRO",AA787="OK"),"OK","REVISAR"))</f>
      </c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5"/>
      <c r="K788" s="4"/>
      <c r="L788" s="4"/>
      <c r="M788" s="4"/>
      <c r="N788" s="4"/>
      <c r="O788" s="4"/>
      <c r="P788" s="4"/>
      <c r="Q788" s="4"/>
      <c r="R788" s="4"/>
      <c r="S788" s="4"/>
      <c r="T788" s="6">
        <f>IF(G788="","",SUBSTITUTE(SUBSTITUTE(SUBSTITUTE(SUBSTITUTE(SUBSTITUTE(SUBSTITUTE(SUBSTITUTE(TRIM(G788),".",""),"/",""),"-","")," ",""),"(",""),")",""),"+",""))</f>
      </c>
      <c r="U788" s="6">
        <f>IF(T788="","",IF(LEN(T788)&lt;&gt;14,"ERRO: "&amp;LEN(T788)&amp;" dígitos",IF(NOT(ISNUMBER(VALUE(T788))),"ERRO: não numérico",IF(LEN(SUBSTITUTE(T788,LEFT(T788,1),""))=0,"ERRO: dígitos repetidos",IF(AND(VALUE(MID(T788,13,1))=IF(MOD(SUMPRODUCT(--MID(T788,{1,2,3,4,5,6,7,8,9,10,11,12},1),{5,4,3,2,9,8,7,6,5,4,3,2}),11)&lt;2,0,11-MOD(SUMPRODUCT(--MID(T788,{1,2,3,4,5,6,7,8,9,10,11,12},1),{5,4,3,2,9,8,7,6,5,4,3,2}),11)),VALUE(MID(T788,14,1))=IF(MOD(SUMPRODUCT(--MID(T788,{1,2,3,4,5,6,7,8,9,10,11,12,13},1),{6,5,4,3,2,9,8,7,6,5,4,3,2}),11)&lt;2,0,11-MOD(SUMPRODUCT(--MID(T788,{1,2,3,4,5,6,7,8,9,10,11,12,13},1),{6,5,4,3,2,9,8,7,6,5,4,3,2}),11))),"OK","ERRO: dígito verificador")))))</f>
      </c>
      <c r="V788" s="6">
        <f>IF(T788="","",IF(COUNTIF($T$2:$T$1001,T788)&gt;1,"DUPLICADO","OK"))</f>
      </c>
      <c r="W788" s="6">
        <f>IF(M788="","vazio",IF(OR(AND(LEN(SUBSTITUTE(SUBSTITUTE(SUBSTITUTE(SUBSTITUTE(SUBSTITUTE(SUBSTITUTE(SUBSTITUTE(TRIM(M788),".",""),"/",""),"-","")," ",""),"(",""),")",""),"+",""))=10,LEFT(SUBSTITUTE(SUBSTITUTE(SUBSTITUTE(SUBSTITUTE(SUBSTITUTE(SUBSTITUTE(SUBSTITUTE(TRIM(M788),".",""),"/",""),"-","")," ",""),"(",""),")",""),"+",""),1)&lt;&gt;"0"),AND(LEN(SUBSTITUTE(SUBSTITUTE(SUBSTITUTE(SUBSTITUTE(SUBSTITUTE(SUBSTITUTE(SUBSTITUTE(TRIM(M788),".",""),"/",""),"-","")," ",""),"(",""),")",""),"+",""))=11,LEFT(SUBSTITUTE(SUBSTITUTE(SUBSTITUTE(SUBSTITUTE(SUBSTITUTE(SUBSTITUTE(SUBSTITUTE(TRIM(M788),".",""),"/",""),"-","")," ",""),"(",""),")",""),"+",""),4)="0800")),"OK",IF(AND(LEN(SUBSTITUTE(SUBSTITUTE(SUBSTITUTE(SUBSTITUTE(SUBSTITUTE(SUBSTITUTE(SUBSTITUTE(TRIM(M788),".",""),"/",""),"-","")," ",""),"(",""),")",""),"+",""))=11,MID(SUBSTITUTE(SUBSTITUTE(SUBSTITUTE(SUBSTITUTE(SUBSTITUTE(SUBSTITUTE(SUBSTITUTE(TRIM(M788),".",""),"/",""),"-","")," ",""),"(",""),")",""),"+",""),3,1)="9"),"ERRO: é celular, use a coluna Celular","ERRO: DDD + 8 dígitos ou 0800 + 7")))</f>
      </c>
      <c r="X788" s="6">
        <f>IF(N788="","vazio",IF(AND(LEN(SUBSTITUTE(SUBSTITUTE(SUBSTITUTE(SUBSTITUTE(SUBSTITUTE(SUBSTITUTE(SUBSTITUTE(TRIM(N788),".",""),"/",""),"-","")," ",""),"(",""),")",""),"+",""))=11,MID(SUBSTITUTE(SUBSTITUTE(SUBSTITUTE(SUBSTITUTE(SUBSTITUTE(SUBSTITUTE(SUBSTITUTE(TRIM(N788),".",""),"/",""),"-","")," ",""),"(",""),")",""),"+",""),3,1)="9",LEFT(SUBSTITUTE(SUBSTITUTE(SUBSTITUTE(SUBSTITUTE(SUBSTITUTE(SUBSTITUTE(SUBSTITUTE(TRIM(N788),".",""),"/",""),"-","")," ",""),"(",""),")",""),"+",""),1)&lt;&gt;"0"),"OK",IF(LEN(SUBSTITUTE(SUBSTITUTE(SUBSTITUTE(SUBSTITUTE(SUBSTITUTE(SUBSTITUTE(SUBSTITUTE(TRIM(N788),".",""),"/",""),"-","")," ",""),"(",""),")",""),"+",""))=10,"ERRO: é fixo (ou falta o 9), use a coluna Telefone fixo","ERRO: DDD + 9 + 8 dígitos")))</f>
      </c>
      <c r="Y788" s="6">
        <f>IF(O788="","vazio",IF(AND(ISNUMBER(FIND("@",O788)),ISNUMBER(FIND(".",MID(O788,FIND("@",O788),99))),NOT(ISNUMBER(FIND(" ",TRIM(O788)))),NOT(ISNUMBER(FIND(";",O788))),NOT(ISNUMBER(FIND(",",O788)))),"OK","ERRO: um e-mail válido por linha"))</f>
      </c>
      <c r="Z788" s="6">
        <f>IF(AND(J788="",K788=""),"",IF(AND(J788&lt;&gt;"",K788&lt;&gt;""),"OK","pendente: só um nome (o GR completa ao converter)"))</f>
      </c>
      <c r="AA788" s="6">
        <f>IF(COUNTA(A788:S788)=0,"",IF(AND(A788&lt;&gt;"",B788&lt;&gt;"",C788&lt;&gt;"",D788&lt;&gt;"",E788&lt;&gt;"",F788&lt;&gt;"",G788&lt;&gt;"",H788&lt;&gt;"",OR(J788&lt;&gt;"",K788&lt;&gt;""),OR(M788&lt;&gt;"",N788&lt;&gt;"",O788&lt;&gt;"")),"OK","ERRO: faltam "&amp;IF(A788="","SDR; ","")&amp;IF(B788="","Proprietário; ","")&amp;IF(C788="","Origem; ","")&amp;IF(D788="","Temperatura; ","")&amp;IF(E788="","Segmento; ","")&amp;IF(F788="","Time/Cluster; ","")&amp;IF(G788="","CNPJ; ","")&amp;IF(H788="","Razão Social; ","")&amp;IF(AND(J788="",K788=""),"nome do contato; ","")&amp;IF(AND(M788="",N788="",O788=""),"telefone, celular ou e-mail; ","")))</f>
      </c>
      <c r="AB788" s="6">
        <f>IF(COUNTA(A788:S788)=0,"",IF(AND(U788="OK",V788="OK",LEFT(W788,4)&lt;&gt;"ERRO",LEFT(X788,4)&lt;&gt;"ERRO",LEFT(Y788,4)&lt;&gt;"ERRO",AA788="OK"),"OK","REVISAR"))</f>
      </c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5"/>
      <c r="K789" s="4"/>
      <c r="L789" s="4"/>
      <c r="M789" s="4"/>
      <c r="N789" s="4"/>
      <c r="O789" s="4"/>
      <c r="P789" s="4"/>
      <c r="Q789" s="4"/>
      <c r="R789" s="4"/>
      <c r="S789" s="4"/>
      <c r="T789" s="6">
        <f>IF(G789="","",SUBSTITUTE(SUBSTITUTE(SUBSTITUTE(SUBSTITUTE(SUBSTITUTE(SUBSTITUTE(SUBSTITUTE(TRIM(G789),".",""),"/",""),"-","")," ",""),"(",""),")",""),"+",""))</f>
      </c>
      <c r="U789" s="6">
        <f>IF(T789="","",IF(LEN(T789)&lt;&gt;14,"ERRO: "&amp;LEN(T789)&amp;" dígitos",IF(NOT(ISNUMBER(VALUE(T789))),"ERRO: não numérico",IF(LEN(SUBSTITUTE(T789,LEFT(T789,1),""))=0,"ERRO: dígitos repetidos",IF(AND(VALUE(MID(T789,13,1))=IF(MOD(SUMPRODUCT(--MID(T789,{1,2,3,4,5,6,7,8,9,10,11,12},1),{5,4,3,2,9,8,7,6,5,4,3,2}),11)&lt;2,0,11-MOD(SUMPRODUCT(--MID(T789,{1,2,3,4,5,6,7,8,9,10,11,12},1),{5,4,3,2,9,8,7,6,5,4,3,2}),11)),VALUE(MID(T789,14,1))=IF(MOD(SUMPRODUCT(--MID(T789,{1,2,3,4,5,6,7,8,9,10,11,12,13},1),{6,5,4,3,2,9,8,7,6,5,4,3,2}),11)&lt;2,0,11-MOD(SUMPRODUCT(--MID(T789,{1,2,3,4,5,6,7,8,9,10,11,12,13},1),{6,5,4,3,2,9,8,7,6,5,4,3,2}),11))),"OK","ERRO: dígito verificador")))))</f>
      </c>
      <c r="V789" s="6">
        <f>IF(T789="","",IF(COUNTIF($T$2:$T$1001,T789)&gt;1,"DUPLICADO","OK"))</f>
      </c>
      <c r="W789" s="6">
        <f>IF(M789="","vazio",IF(OR(AND(LEN(SUBSTITUTE(SUBSTITUTE(SUBSTITUTE(SUBSTITUTE(SUBSTITUTE(SUBSTITUTE(SUBSTITUTE(TRIM(M789),".",""),"/",""),"-","")," ",""),"(",""),")",""),"+",""))=10,LEFT(SUBSTITUTE(SUBSTITUTE(SUBSTITUTE(SUBSTITUTE(SUBSTITUTE(SUBSTITUTE(SUBSTITUTE(TRIM(M789),".",""),"/",""),"-","")," ",""),"(",""),")",""),"+",""),1)&lt;&gt;"0"),AND(LEN(SUBSTITUTE(SUBSTITUTE(SUBSTITUTE(SUBSTITUTE(SUBSTITUTE(SUBSTITUTE(SUBSTITUTE(TRIM(M789),".",""),"/",""),"-","")," ",""),"(",""),")",""),"+",""))=11,LEFT(SUBSTITUTE(SUBSTITUTE(SUBSTITUTE(SUBSTITUTE(SUBSTITUTE(SUBSTITUTE(SUBSTITUTE(TRIM(M789),".",""),"/",""),"-","")," ",""),"(",""),")",""),"+",""),4)="0800")),"OK",IF(AND(LEN(SUBSTITUTE(SUBSTITUTE(SUBSTITUTE(SUBSTITUTE(SUBSTITUTE(SUBSTITUTE(SUBSTITUTE(TRIM(M789),".",""),"/",""),"-","")," ",""),"(",""),")",""),"+",""))=11,MID(SUBSTITUTE(SUBSTITUTE(SUBSTITUTE(SUBSTITUTE(SUBSTITUTE(SUBSTITUTE(SUBSTITUTE(TRIM(M789),".",""),"/",""),"-","")," ",""),"(",""),")",""),"+",""),3,1)="9"),"ERRO: é celular, use a coluna Celular","ERRO: DDD + 8 dígitos ou 0800 + 7")))</f>
      </c>
      <c r="X789" s="6">
        <f>IF(N789="","vazio",IF(AND(LEN(SUBSTITUTE(SUBSTITUTE(SUBSTITUTE(SUBSTITUTE(SUBSTITUTE(SUBSTITUTE(SUBSTITUTE(TRIM(N789),".",""),"/",""),"-","")," ",""),"(",""),")",""),"+",""))=11,MID(SUBSTITUTE(SUBSTITUTE(SUBSTITUTE(SUBSTITUTE(SUBSTITUTE(SUBSTITUTE(SUBSTITUTE(TRIM(N789),".",""),"/",""),"-","")," ",""),"(",""),")",""),"+",""),3,1)="9",LEFT(SUBSTITUTE(SUBSTITUTE(SUBSTITUTE(SUBSTITUTE(SUBSTITUTE(SUBSTITUTE(SUBSTITUTE(TRIM(N789),".",""),"/",""),"-","")," ",""),"(",""),")",""),"+",""),1)&lt;&gt;"0"),"OK",IF(LEN(SUBSTITUTE(SUBSTITUTE(SUBSTITUTE(SUBSTITUTE(SUBSTITUTE(SUBSTITUTE(SUBSTITUTE(TRIM(N789),".",""),"/",""),"-","")," ",""),"(",""),")",""),"+",""))=10,"ERRO: é fixo (ou falta o 9), use a coluna Telefone fixo","ERRO: DDD + 9 + 8 dígitos")))</f>
      </c>
      <c r="Y789" s="6">
        <f>IF(O789="","vazio",IF(AND(ISNUMBER(FIND("@",O789)),ISNUMBER(FIND(".",MID(O789,FIND("@",O789),99))),NOT(ISNUMBER(FIND(" ",TRIM(O789)))),NOT(ISNUMBER(FIND(";",O789))),NOT(ISNUMBER(FIND(",",O789)))),"OK","ERRO: um e-mail válido por linha"))</f>
      </c>
      <c r="Z789" s="6">
        <f>IF(AND(J789="",K789=""),"",IF(AND(J789&lt;&gt;"",K789&lt;&gt;""),"OK","pendente: só um nome (o GR completa ao converter)"))</f>
      </c>
      <c r="AA789" s="6">
        <f>IF(COUNTA(A789:S789)=0,"",IF(AND(A789&lt;&gt;"",B789&lt;&gt;"",C789&lt;&gt;"",D789&lt;&gt;"",E789&lt;&gt;"",F789&lt;&gt;"",G789&lt;&gt;"",H789&lt;&gt;"",OR(J789&lt;&gt;"",K789&lt;&gt;""),OR(M789&lt;&gt;"",N789&lt;&gt;"",O789&lt;&gt;"")),"OK","ERRO: faltam "&amp;IF(A789="","SDR; ","")&amp;IF(B789="","Proprietário; ","")&amp;IF(C789="","Origem; ","")&amp;IF(D789="","Temperatura; ","")&amp;IF(E789="","Segmento; ","")&amp;IF(F789="","Time/Cluster; ","")&amp;IF(G789="","CNPJ; ","")&amp;IF(H789="","Razão Social; ","")&amp;IF(AND(J789="",K789=""),"nome do contato; ","")&amp;IF(AND(M789="",N789="",O789=""),"telefone, celular ou e-mail; ","")))</f>
      </c>
      <c r="AB789" s="6">
        <f>IF(COUNTA(A789:S789)=0,"",IF(AND(U789="OK",V789="OK",LEFT(W789,4)&lt;&gt;"ERRO",LEFT(X789,4)&lt;&gt;"ERRO",LEFT(Y789,4)&lt;&gt;"ERRO",AA789="OK"),"OK","REVISAR"))</f>
      </c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5"/>
      <c r="K790" s="4"/>
      <c r="L790" s="4"/>
      <c r="M790" s="4"/>
      <c r="N790" s="4"/>
      <c r="O790" s="4"/>
      <c r="P790" s="4"/>
      <c r="Q790" s="4"/>
      <c r="R790" s="4"/>
      <c r="S790" s="4"/>
      <c r="T790" s="6">
        <f>IF(G790="","",SUBSTITUTE(SUBSTITUTE(SUBSTITUTE(SUBSTITUTE(SUBSTITUTE(SUBSTITUTE(SUBSTITUTE(TRIM(G790),".",""),"/",""),"-","")," ",""),"(",""),")",""),"+",""))</f>
      </c>
      <c r="U790" s="6">
        <f>IF(T790="","",IF(LEN(T790)&lt;&gt;14,"ERRO: "&amp;LEN(T790)&amp;" dígitos",IF(NOT(ISNUMBER(VALUE(T790))),"ERRO: não numérico",IF(LEN(SUBSTITUTE(T790,LEFT(T790,1),""))=0,"ERRO: dígitos repetidos",IF(AND(VALUE(MID(T790,13,1))=IF(MOD(SUMPRODUCT(--MID(T790,{1,2,3,4,5,6,7,8,9,10,11,12},1),{5,4,3,2,9,8,7,6,5,4,3,2}),11)&lt;2,0,11-MOD(SUMPRODUCT(--MID(T790,{1,2,3,4,5,6,7,8,9,10,11,12},1),{5,4,3,2,9,8,7,6,5,4,3,2}),11)),VALUE(MID(T790,14,1))=IF(MOD(SUMPRODUCT(--MID(T790,{1,2,3,4,5,6,7,8,9,10,11,12,13},1),{6,5,4,3,2,9,8,7,6,5,4,3,2}),11)&lt;2,0,11-MOD(SUMPRODUCT(--MID(T790,{1,2,3,4,5,6,7,8,9,10,11,12,13},1),{6,5,4,3,2,9,8,7,6,5,4,3,2}),11))),"OK","ERRO: dígito verificador")))))</f>
      </c>
      <c r="V790" s="6">
        <f>IF(T790="","",IF(COUNTIF($T$2:$T$1001,T790)&gt;1,"DUPLICADO","OK"))</f>
      </c>
      <c r="W790" s="6">
        <f>IF(M790="","vazio",IF(OR(AND(LEN(SUBSTITUTE(SUBSTITUTE(SUBSTITUTE(SUBSTITUTE(SUBSTITUTE(SUBSTITUTE(SUBSTITUTE(TRIM(M790),".",""),"/",""),"-","")," ",""),"(",""),")",""),"+",""))=10,LEFT(SUBSTITUTE(SUBSTITUTE(SUBSTITUTE(SUBSTITUTE(SUBSTITUTE(SUBSTITUTE(SUBSTITUTE(TRIM(M790),".",""),"/",""),"-","")," ",""),"(",""),")",""),"+",""),1)&lt;&gt;"0"),AND(LEN(SUBSTITUTE(SUBSTITUTE(SUBSTITUTE(SUBSTITUTE(SUBSTITUTE(SUBSTITUTE(SUBSTITUTE(TRIM(M790),".",""),"/",""),"-","")," ",""),"(",""),")",""),"+",""))=11,LEFT(SUBSTITUTE(SUBSTITUTE(SUBSTITUTE(SUBSTITUTE(SUBSTITUTE(SUBSTITUTE(SUBSTITUTE(TRIM(M790),".",""),"/",""),"-","")," ",""),"(",""),")",""),"+",""),4)="0800")),"OK",IF(AND(LEN(SUBSTITUTE(SUBSTITUTE(SUBSTITUTE(SUBSTITUTE(SUBSTITUTE(SUBSTITUTE(SUBSTITUTE(TRIM(M790),".",""),"/",""),"-","")," ",""),"(",""),")",""),"+",""))=11,MID(SUBSTITUTE(SUBSTITUTE(SUBSTITUTE(SUBSTITUTE(SUBSTITUTE(SUBSTITUTE(SUBSTITUTE(TRIM(M790),".",""),"/",""),"-","")," ",""),"(",""),")",""),"+",""),3,1)="9"),"ERRO: é celular, use a coluna Celular","ERRO: DDD + 8 dígitos ou 0800 + 7")))</f>
      </c>
      <c r="X790" s="6">
        <f>IF(N790="","vazio",IF(AND(LEN(SUBSTITUTE(SUBSTITUTE(SUBSTITUTE(SUBSTITUTE(SUBSTITUTE(SUBSTITUTE(SUBSTITUTE(TRIM(N790),".",""),"/",""),"-","")," ",""),"(",""),")",""),"+",""))=11,MID(SUBSTITUTE(SUBSTITUTE(SUBSTITUTE(SUBSTITUTE(SUBSTITUTE(SUBSTITUTE(SUBSTITUTE(TRIM(N790),".",""),"/",""),"-","")," ",""),"(",""),")",""),"+",""),3,1)="9",LEFT(SUBSTITUTE(SUBSTITUTE(SUBSTITUTE(SUBSTITUTE(SUBSTITUTE(SUBSTITUTE(SUBSTITUTE(TRIM(N790),".",""),"/",""),"-","")," ",""),"(",""),")",""),"+",""),1)&lt;&gt;"0"),"OK",IF(LEN(SUBSTITUTE(SUBSTITUTE(SUBSTITUTE(SUBSTITUTE(SUBSTITUTE(SUBSTITUTE(SUBSTITUTE(TRIM(N790),".",""),"/",""),"-","")," ",""),"(",""),")",""),"+",""))=10,"ERRO: é fixo (ou falta o 9), use a coluna Telefone fixo","ERRO: DDD + 9 + 8 dígitos")))</f>
      </c>
      <c r="Y790" s="6">
        <f>IF(O790="","vazio",IF(AND(ISNUMBER(FIND("@",O790)),ISNUMBER(FIND(".",MID(O790,FIND("@",O790),99))),NOT(ISNUMBER(FIND(" ",TRIM(O790)))),NOT(ISNUMBER(FIND(";",O790))),NOT(ISNUMBER(FIND(",",O790)))),"OK","ERRO: um e-mail válido por linha"))</f>
      </c>
      <c r="Z790" s="6">
        <f>IF(AND(J790="",K790=""),"",IF(AND(J790&lt;&gt;"",K790&lt;&gt;""),"OK","pendente: só um nome (o GR completa ao converter)"))</f>
      </c>
      <c r="AA790" s="6">
        <f>IF(COUNTA(A790:S790)=0,"",IF(AND(A790&lt;&gt;"",B790&lt;&gt;"",C790&lt;&gt;"",D790&lt;&gt;"",E790&lt;&gt;"",F790&lt;&gt;"",G790&lt;&gt;"",H790&lt;&gt;"",OR(J790&lt;&gt;"",K790&lt;&gt;""),OR(M790&lt;&gt;"",N790&lt;&gt;"",O790&lt;&gt;"")),"OK","ERRO: faltam "&amp;IF(A790="","SDR; ","")&amp;IF(B790="","Proprietário; ","")&amp;IF(C790="","Origem; ","")&amp;IF(D790="","Temperatura; ","")&amp;IF(E790="","Segmento; ","")&amp;IF(F790="","Time/Cluster; ","")&amp;IF(G790="","CNPJ; ","")&amp;IF(H790="","Razão Social; ","")&amp;IF(AND(J790="",K790=""),"nome do contato; ","")&amp;IF(AND(M790="",N790="",O790=""),"telefone, celular ou e-mail; ","")))</f>
      </c>
      <c r="AB790" s="6">
        <f>IF(COUNTA(A790:S790)=0,"",IF(AND(U790="OK",V790="OK",LEFT(W790,4)&lt;&gt;"ERRO",LEFT(X790,4)&lt;&gt;"ERRO",LEFT(Y790,4)&lt;&gt;"ERRO",AA790="OK"),"OK","REVISAR"))</f>
      </c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5"/>
      <c r="K791" s="4"/>
      <c r="L791" s="4"/>
      <c r="M791" s="4"/>
      <c r="N791" s="4"/>
      <c r="O791" s="4"/>
      <c r="P791" s="4"/>
      <c r="Q791" s="4"/>
      <c r="R791" s="4"/>
      <c r="S791" s="4"/>
      <c r="T791" s="6">
        <f>IF(G791="","",SUBSTITUTE(SUBSTITUTE(SUBSTITUTE(SUBSTITUTE(SUBSTITUTE(SUBSTITUTE(SUBSTITUTE(TRIM(G791),".",""),"/",""),"-","")," ",""),"(",""),")",""),"+",""))</f>
      </c>
      <c r="U791" s="6">
        <f>IF(T791="","",IF(LEN(T791)&lt;&gt;14,"ERRO: "&amp;LEN(T791)&amp;" dígitos",IF(NOT(ISNUMBER(VALUE(T791))),"ERRO: não numérico",IF(LEN(SUBSTITUTE(T791,LEFT(T791,1),""))=0,"ERRO: dígitos repetidos",IF(AND(VALUE(MID(T791,13,1))=IF(MOD(SUMPRODUCT(--MID(T791,{1,2,3,4,5,6,7,8,9,10,11,12},1),{5,4,3,2,9,8,7,6,5,4,3,2}),11)&lt;2,0,11-MOD(SUMPRODUCT(--MID(T791,{1,2,3,4,5,6,7,8,9,10,11,12},1),{5,4,3,2,9,8,7,6,5,4,3,2}),11)),VALUE(MID(T791,14,1))=IF(MOD(SUMPRODUCT(--MID(T791,{1,2,3,4,5,6,7,8,9,10,11,12,13},1),{6,5,4,3,2,9,8,7,6,5,4,3,2}),11)&lt;2,0,11-MOD(SUMPRODUCT(--MID(T791,{1,2,3,4,5,6,7,8,9,10,11,12,13},1),{6,5,4,3,2,9,8,7,6,5,4,3,2}),11))),"OK","ERRO: dígito verificador")))))</f>
      </c>
      <c r="V791" s="6">
        <f>IF(T791="","",IF(COUNTIF($T$2:$T$1001,T791)&gt;1,"DUPLICADO","OK"))</f>
      </c>
      <c r="W791" s="6">
        <f>IF(M791="","vazio",IF(OR(AND(LEN(SUBSTITUTE(SUBSTITUTE(SUBSTITUTE(SUBSTITUTE(SUBSTITUTE(SUBSTITUTE(SUBSTITUTE(TRIM(M791),".",""),"/",""),"-","")," ",""),"(",""),")",""),"+",""))=10,LEFT(SUBSTITUTE(SUBSTITUTE(SUBSTITUTE(SUBSTITUTE(SUBSTITUTE(SUBSTITUTE(SUBSTITUTE(TRIM(M791),".",""),"/",""),"-","")," ",""),"(",""),")",""),"+",""),1)&lt;&gt;"0"),AND(LEN(SUBSTITUTE(SUBSTITUTE(SUBSTITUTE(SUBSTITUTE(SUBSTITUTE(SUBSTITUTE(SUBSTITUTE(TRIM(M791),".",""),"/",""),"-","")," ",""),"(",""),")",""),"+",""))=11,LEFT(SUBSTITUTE(SUBSTITUTE(SUBSTITUTE(SUBSTITUTE(SUBSTITUTE(SUBSTITUTE(SUBSTITUTE(TRIM(M791),".",""),"/",""),"-","")," ",""),"(",""),")",""),"+",""),4)="0800")),"OK",IF(AND(LEN(SUBSTITUTE(SUBSTITUTE(SUBSTITUTE(SUBSTITUTE(SUBSTITUTE(SUBSTITUTE(SUBSTITUTE(TRIM(M791),".",""),"/",""),"-","")," ",""),"(",""),")",""),"+",""))=11,MID(SUBSTITUTE(SUBSTITUTE(SUBSTITUTE(SUBSTITUTE(SUBSTITUTE(SUBSTITUTE(SUBSTITUTE(TRIM(M791),".",""),"/",""),"-","")," ",""),"(",""),")",""),"+",""),3,1)="9"),"ERRO: é celular, use a coluna Celular","ERRO: DDD + 8 dígitos ou 0800 + 7")))</f>
      </c>
      <c r="X791" s="6">
        <f>IF(N791="","vazio",IF(AND(LEN(SUBSTITUTE(SUBSTITUTE(SUBSTITUTE(SUBSTITUTE(SUBSTITUTE(SUBSTITUTE(SUBSTITUTE(TRIM(N791),".",""),"/",""),"-","")," ",""),"(",""),")",""),"+",""))=11,MID(SUBSTITUTE(SUBSTITUTE(SUBSTITUTE(SUBSTITUTE(SUBSTITUTE(SUBSTITUTE(SUBSTITUTE(TRIM(N791),".",""),"/",""),"-","")," ",""),"(",""),")",""),"+",""),3,1)="9",LEFT(SUBSTITUTE(SUBSTITUTE(SUBSTITUTE(SUBSTITUTE(SUBSTITUTE(SUBSTITUTE(SUBSTITUTE(TRIM(N791),".",""),"/",""),"-","")," ",""),"(",""),")",""),"+",""),1)&lt;&gt;"0"),"OK",IF(LEN(SUBSTITUTE(SUBSTITUTE(SUBSTITUTE(SUBSTITUTE(SUBSTITUTE(SUBSTITUTE(SUBSTITUTE(TRIM(N791),".",""),"/",""),"-","")," ",""),"(",""),")",""),"+",""))=10,"ERRO: é fixo (ou falta o 9), use a coluna Telefone fixo","ERRO: DDD + 9 + 8 dígitos")))</f>
      </c>
      <c r="Y791" s="6">
        <f>IF(O791="","vazio",IF(AND(ISNUMBER(FIND("@",O791)),ISNUMBER(FIND(".",MID(O791,FIND("@",O791),99))),NOT(ISNUMBER(FIND(" ",TRIM(O791)))),NOT(ISNUMBER(FIND(";",O791))),NOT(ISNUMBER(FIND(",",O791)))),"OK","ERRO: um e-mail válido por linha"))</f>
      </c>
      <c r="Z791" s="6">
        <f>IF(AND(J791="",K791=""),"",IF(AND(J791&lt;&gt;"",K791&lt;&gt;""),"OK","pendente: só um nome (o GR completa ao converter)"))</f>
      </c>
      <c r="AA791" s="6">
        <f>IF(COUNTA(A791:S791)=0,"",IF(AND(A791&lt;&gt;"",B791&lt;&gt;"",C791&lt;&gt;"",D791&lt;&gt;"",E791&lt;&gt;"",F791&lt;&gt;"",G791&lt;&gt;"",H791&lt;&gt;"",OR(J791&lt;&gt;"",K791&lt;&gt;""),OR(M791&lt;&gt;"",N791&lt;&gt;"",O791&lt;&gt;"")),"OK","ERRO: faltam "&amp;IF(A791="","SDR; ","")&amp;IF(B791="","Proprietário; ","")&amp;IF(C791="","Origem; ","")&amp;IF(D791="","Temperatura; ","")&amp;IF(E791="","Segmento; ","")&amp;IF(F791="","Time/Cluster; ","")&amp;IF(G791="","CNPJ; ","")&amp;IF(H791="","Razão Social; ","")&amp;IF(AND(J791="",K791=""),"nome do contato; ","")&amp;IF(AND(M791="",N791="",O791=""),"telefone, celular ou e-mail; ","")))</f>
      </c>
      <c r="AB791" s="6">
        <f>IF(COUNTA(A791:S791)=0,"",IF(AND(U791="OK",V791="OK",LEFT(W791,4)&lt;&gt;"ERRO",LEFT(X791,4)&lt;&gt;"ERRO",LEFT(Y791,4)&lt;&gt;"ERRO",AA791="OK"),"OK","REVISAR"))</f>
      </c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5"/>
      <c r="K792" s="4"/>
      <c r="L792" s="4"/>
      <c r="M792" s="4"/>
      <c r="N792" s="4"/>
      <c r="O792" s="4"/>
      <c r="P792" s="4"/>
      <c r="Q792" s="4"/>
      <c r="R792" s="4"/>
      <c r="S792" s="4"/>
      <c r="T792" s="6">
        <f>IF(G792="","",SUBSTITUTE(SUBSTITUTE(SUBSTITUTE(SUBSTITUTE(SUBSTITUTE(SUBSTITUTE(SUBSTITUTE(TRIM(G792),".",""),"/",""),"-","")," ",""),"(",""),")",""),"+",""))</f>
      </c>
      <c r="U792" s="6">
        <f>IF(T792="","",IF(LEN(T792)&lt;&gt;14,"ERRO: "&amp;LEN(T792)&amp;" dígitos",IF(NOT(ISNUMBER(VALUE(T792))),"ERRO: não numérico",IF(LEN(SUBSTITUTE(T792,LEFT(T792,1),""))=0,"ERRO: dígitos repetidos",IF(AND(VALUE(MID(T792,13,1))=IF(MOD(SUMPRODUCT(--MID(T792,{1,2,3,4,5,6,7,8,9,10,11,12},1),{5,4,3,2,9,8,7,6,5,4,3,2}),11)&lt;2,0,11-MOD(SUMPRODUCT(--MID(T792,{1,2,3,4,5,6,7,8,9,10,11,12},1),{5,4,3,2,9,8,7,6,5,4,3,2}),11)),VALUE(MID(T792,14,1))=IF(MOD(SUMPRODUCT(--MID(T792,{1,2,3,4,5,6,7,8,9,10,11,12,13},1),{6,5,4,3,2,9,8,7,6,5,4,3,2}),11)&lt;2,0,11-MOD(SUMPRODUCT(--MID(T792,{1,2,3,4,5,6,7,8,9,10,11,12,13},1),{6,5,4,3,2,9,8,7,6,5,4,3,2}),11))),"OK","ERRO: dígito verificador")))))</f>
      </c>
      <c r="V792" s="6">
        <f>IF(T792="","",IF(COUNTIF($T$2:$T$1001,T792)&gt;1,"DUPLICADO","OK"))</f>
      </c>
      <c r="W792" s="6">
        <f>IF(M792="","vazio",IF(OR(AND(LEN(SUBSTITUTE(SUBSTITUTE(SUBSTITUTE(SUBSTITUTE(SUBSTITUTE(SUBSTITUTE(SUBSTITUTE(TRIM(M792),".",""),"/",""),"-","")," ",""),"(",""),")",""),"+",""))=10,LEFT(SUBSTITUTE(SUBSTITUTE(SUBSTITUTE(SUBSTITUTE(SUBSTITUTE(SUBSTITUTE(SUBSTITUTE(TRIM(M792),".",""),"/",""),"-","")," ",""),"(",""),")",""),"+",""),1)&lt;&gt;"0"),AND(LEN(SUBSTITUTE(SUBSTITUTE(SUBSTITUTE(SUBSTITUTE(SUBSTITUTE(SUBSTITUTE(SUBSTITUTE(TRIM(M792),".",""),"/",""),"-","")," ",""),"(",""),")",""),"+",""))=11,LEFT(SUBSTITUTE(SUBSTITUTE(SUBSTITUTE(SUBSTITUTE(SUBSTITUTE(SUBSTITUTE(SUBSTITUTE(TRIM(M792),".",""),"/",""),"-","")," ",""),"(",""),")",""),"+",""),4)="0800")),"OK",IF(AND(LEN(SUBSTITUTE(SUBSTITUTE(SUBSTITUTE(SUBSTITUTE(SUBSTITUTE(SUBSTITUTE(SUBSTITUTE(TRIM(M792),".",""),"/",""),"-","")," ",""),"(",""),")",""),"+",""))=11,MID(SUBSTITUTE(SUBSTITUTE(SUBSTITUTE(SUBSTITUTE(SUBSTITUTE(SUBSTITUTE(SUBSTITUTE(TRIM(M792),".",""),"/",""),"-","")," ",""),"(",""),")",""),"+",""),3,1)="9"),"ERRO: é celular, use a coluna Celular","ERRO: DDD + 8 dígitos ou 0800 + 7")))</f>
      </c>
      <c r="X792" s="6">
        <f>IF(N792="","vazio",IF(AND(LEN(SUBSTITUTE(SUBSTITUTE(SUBSTITUTE(SUBSTITUTE(SUBSTITUTE(SUBSTITUTE(SUBSTITUTE(TRIM(N792),".",""),"/",""),"-","")," ",""),"(",""),")",""),"+",""))=11,MID(SUBSTITUTE(SUBSTITUTE(SUBSTITUTE(SUBSTITUTE(SUBSTITUTE(SUBSTITUTE(SUBSTITUTE(TRIM(N792),".",""),"/",""),"-","")," ",""),"(",""),")",""),"+",""),3,1)="9",LEFT(SUBSTITUTE(SUBSTITUTE(SUBSTITUTE(SUBSTITUTE(SUBSTITUTE(SUBSTITUTE(SUBSTITUTE(TRIM(N792),".",""),"/",""),"-","")," ",""),"(",""),")",""),"+",""),1)&lt;&gt;"0"),"OK",IF(LEN(SUBSTITUTE(SUBSTITUTE(SUBSTITUTE(SUBSTITUTE(SUBSTITUTE(SUBSTITUTE(SUBSTITUTE(TRIM(N792),".",""),"/",""),"-","")," ",""),"(",""),")",""),"+",""))=10,"ERRO: é fixo (ou falta o 9), use a coluna Telefone fixo","ERRO: DDD + 9 + 8 dígitos")))</f>
      </c>
      <c r="Y792" s="6">
        <f>IF(O792="","vazio",IF(AND(ISNUMBER(FIND("@",O792)),ISNUMBER(FIND(".",MID(O792,FIND("@",O792),99))),NOT(ISNUMBER(FIND(" ",TRIM(O792)))),NOT(ISNUMBER(FIND(";",O792))),NOT(ISNUMBER(FIND(",",O792)))),"OK","ERRO: um e-mail válido por linha"))</f>
      </c>
      <c r="Z792" s="6">
        <f>IF(AND(J792="",K792=""),"",IF(AND(J792&lt;&gt;"",K792&lt;&gt;""),"OK","pendente: só um nome (o GR completa ao converter)"))</f>
      </c>
      <c r="AA792" s="6">
        <f>IF(COUNTA(A792:S792)=0,"",IF(AND(A792&lt;&gt;"",B792&lt;&gt;"",C792&lt;&gt;"",D792&lt;&gt;"",E792&lt;&gt;"",F792&lt;&gt;"",G792&lt;&gt;"",H792&lt;&gt;"",OR(J792&lt;&gt;"",K792&lt;&gt;""),OR(M792&lt;&gt;"",N792&lt;&gt;"",O792&lt;&gt;"")),"OK","ERRO: faltam "&amp;IF(A792="","SDR; ","")&amp;IF(B792="","Proprietário; ","")&amp;IF(C792="","Origem; ","")&amp;IF(D792="","Temperatura; ","")&amp;IF(E792="","Segmento; ","")&amp;IF(F792="","Time/Cluster; ","")&amp;IF(G792="","CNPJ; ","")&amp;IF(H792="","Razão Social; ","")&amp;IF(AND(J792="",K792=""),"nome do contato; ","")&amp;IF(AND(M792="",N792="",O792=""),"telefone, celular ou e-mail; ","")))</f>
      </c>
      <c r="AB792" s="6">
        <f>IF(COUNTA(A792:S792)=0,"",IF(AND(U792="OK",V792="OK",LEFT(W792,4)&lt;&gt;"ERRO",LEFT(X792,4)&lt;&gt;"ERRO",LEFT(Y792,4)&lt;&gt;"ERRO",AA792="OK"),"OK","REVISAR"))</f>
      </c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5"/>
      <c r="K793" s="4"/>
      <c r="L793" s="4"/>
      <c r="M793" s="4"/>
      <c r="N793" s="4"/>
      <c r="O793" s="4"/>
      <c r="P793" s="4"/>
      <c r="Q793" s="4"/>
      <c r="R793" s="4"/>
      <c r="S793" s="4"/>
      <c r="T793" s="6">
        <f>IF(G793="","",SUBSTITUTE(SUBSTITUTE(SUBSTITUTE(SUBSTITUTE(SUBSTITUTE(SUBSTITUTE(SUBSTITUTE(TRIM(G793),".",""),"/",""),"-","")," ",""),"(",""),")",""),"+",""))</f>
      </c>
      <c r="U793" s="6">
        <f>IF(T793="","",IF(LEN(T793)&lt;&gt;14,"ERRO: "&amp;LEN(T793)&amp;" dígitos",IF(NOT(ISNUMBER(VALUE(T793))),"ERRO: não numérico",IF(LEN(SUBSTITUTE(T793,LEFT(T793,1),""))=0,"ERRO: dígitos repetidos",IF(AND(VALUE(MID(T793,13,1))=IF(MOD(SUMPRODUCT(--MID(T793,{1,2,3,4,5,6,7,8,9,10,11,12},1),{5,4,3,2,9,8,7,6,5,4,3,2}),11)&lt;2,0,11-MOD(SUMPRODUCT(--MID(T793,{1,2,3,4,5,6,7,8,9,10,11,12},1),{5,4,3,2,9,8,7,6,5,4,3,2}),11)),VALUE(MID(T793,14,1))=IF(MOD(SUMPRODUCT(--MID(T793,{1,2,3,4,5,6,7,8,9,10,11,12,13},1),{6,5,4,3,2,9,8,7,6,5,4,3,2}),11)&lt;2,0,11-MOD(SUMPRODUCT(--MID(T793,{1,2,3,4,5,6,7,8,9,10,11,12,13},1),{6,5,4,3,2,9,8,7,6,5,4,3,2}),11))),"OK","ERRO: dígito verificador")))))</f>
      </c>
      <c r="V793" s="6">
        <f>IF(T793="","",IF(COUNTIF($T$2:$T$1001,T793)&gt;1,"DUPLICADO","OK"))</f>
      </c>
      <c r="W793" s="6">
        <f>IF(M793="","vazio",IF(OR(AND(LEN(SUBSTITUTE(SUBSTITUTE(SUBSTITUTE(SUBSTITUTE(SUBSTITUTE(SUBSTITUTE(SUBSTITUTE(TRIM(M793),".",""),"/",""),"-","")," ",""),"(",""),")",""),"+",""))=10,LEFT(SUBSTITUTE(SUBSTITUTE(SUBSTITUTE(SUBSTITUTE(SUBSTITUTE(SUBSTITUTE(SUBSTITUTE(TRIM(M793),".",""),"/",""),"-","")," ",""),"(",""),")",""),"+",""),1)&lt;&gt;"0"),AND(LEN(SUBSTITUTE(SUBSTITUTE(SUBSTITUTE(SUBSTITUTE(SUBSTITUTE(SUBSTITUTE(SUBSTITUTE(TRIM(M793),".",""),"/",""),"-","")," ",""),"(",""),")",""),"+",""))=11,LEFT(SUBSTITUTE(SUBSTITUTE(SUBSTITUTE(SUBSTITUTE(SUBSTITUTE(SUBSTITUTE(SUBSTITUTE(TRIM(M793),".",""),"/",""),"-","")," ",""),"(",""),")",""),"+",""),4)="0800")),"OK",IF(AND(LEN(SUBSTITUTE(SUBSTITUTE(SUBSTITUTE(SUBSTITUTE(SUBSTITUTE(SUBSTITUTE(SUBSTITUTE(TRIM(M793),".",""),"/",""),"-","")," ",""),"(",""),")",""),"+",""))=11,MID(SUBSTITUTE(SUBSTITUTE(SUBSTITUTE(SUBSTITUTE(SUBSTITUTE(SUBSTITUTE(SUBSTITUTE(TRIM(M793),".",""),"/",""),"-","")," ",""),"(",""),")",""),"+",""),3,1)="9"),"ERRO: é celular, use a coluna Celular","ERRO: DDD + 8 dígitos ou 0800 + 7")))</f>
      </c>
      <c r="X793" s="6">
        <f>IF(N793="","vazio",IF(AND(LEN(SUBSTITUTE(SUBSTITUTE(SUBSTITUTE(SUBSTITUTE(SUBSTITUTE(SUBSTITUTE(SUBSTITUTE(TRIM(N793),".",""),"/",""),"-","")," ",""),"(",""),")",""),"+",""))=11,MID(SUBSTITUTE(SUBSTITUTE(SUBSTITUTE(SUBSTITUTE(SUBSTITUTE(SUBSTITUTE(SUBSTITUTE(TRIM(N793),".",""),"/",""),"-","")," ",""),"(",""),")",""),"+",""),3,1)="9",LEFT(SUBSTITUTE(SUBSTITUTE(SUBSTITUTE(SUBSTITUTE(SUBSTITUTE(SUBSTITUTE(SUBSTITUTE(TRIM(N793),".",""),"/",""),"-","")," ",""),"(",""),")",""),"+",""),1)&lt;&gt;"0"),"OK",IF(LEN(SUBSTITUTE(SUBSTITUTE(SUBSTITUTE(SUBSTITUTE(SUBSTITUTE(SUBSTITUTE(SUBSTITUTE(TRIM(N793),".",""),"/",""),"-","")," ",""),"(",""),")",""),"+",""))=10,"ERRO: é fixo (ou falta o 9), use a coluna Telefone fixo","ERRO: DDD + 9 + 8 dígitos")))</f>
      </c>
      <c r="Y793" s="6">
        <f>IF(O793="","vazio",IF(AND(ISNUMBER(FIND("@",O793)),ISNUMBER(FIND(".",MID(O793,FIND("@",O793),99))),NOT(ISNUMBER(FIND(" ",TRIM(O793)))),NOT(ISNUMBER(FIND(";",O793))),NOT(ISNUMBER(FIND(",",O793)))),"OK","ERRO: um e-mail válido por linha"))</f>
      </c>
      <c r="Z793" s="6">
        <f>IF(AND(J793="",K793=""),"",IF(AND(J793&lt;&gt;"",K793&lt;&gt;""),"OK","pendente: só um nome (o GR completa ao converter)"))</f>
      </c>
      <c r="AA793" s="6">
        <f>IF(COUNTA(A793:S793)=0,"",IF(AND(A793&lt;&gt;"",B793&lt;&gt;"",C793&lt;&gt;"",D793&lt;&gt;"",E793&lt;&gt;"",F793&lt;&gt;"",G793&lt;&gt;"",H793&lt;&gt;"",OR(J793&lt;&gt;"",K793&lt;&gt;""),OR(M793&lt;&gt;"",N793&lt;&gt;"",O793&lt;&gt;"")),"OK","ERRO: faltam "&amp;IF(A793="","SDR; ","")&amp;IF(B793="","Proprietário; ","")&amp;IF(C793="","Origem; ","")&amp;IF(D793="","Temperatura; ","")&amp;IF(E793="","Segmento; ","")&amp;IF(F793="","Time/Cluster; ","")&amp;IF(G793="","CNPJ; ","")&amp;IF(H793="","Razão Social; ","")&amp;IF(AND(J793="",K793=""),"nome do contato; ","")&amp;IF(AND(M793="",N793="",O793=""),"telefone, celular ou e-mail; ","")))</f>
      </c>
      <c r="AB793" s="6">
        <f>IF(COUNTA(A793:S793)=0,"",IF(AND(U793="OK",V793="OK",LEFT(W793,4)&lt;&gt;"ERRO",LEFT(X793,4)&lt;&gt;"ERRO",LEFT(Y793,4)&lt;&gt;"ERRO",AA793="OK"),"OK","REVISAR"))</f>
      </c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5"/>
      <c r="K794" s="4"/>
      <c r="L794" s="4"/>
      <c r="M794" s="4"/>
      <c r="N794" s="4"/>
      <c r="O794" s="4"/>
      <c r="P794" s="4"/>
      <c r="Q794" s="4"/>
      <c r="R794" s="4"/>
      <c r="S794" s="4"/>
      <c r="T794" s="6">
        <f>IF(G794="","",SUBSTITUTE(SUBSTITUTE(SUBSTITUTE(SUBSTITUTE(SUBSTITUTE(SUBSTITUTE(SUBSTITUTE(TRIM(G794),".",""),"/",""),"-","")," ",""),"(",""),")",""),"+",""))</f>
      </c>
      <c r="U794" s="6">
        <f>IF(T794="","",IF(LEN(T794)&lt;&gt;14,"ERRO: "&amp;LEN(T794)&amp;" dígitos",IF(NOT(ISNUMBER(VALUE(T794))),"ERRO: não numérico",IF(LEN(SUBSTITUTE(T794,LEFT(T794,1),""))=0,"ERRO: dígitos repetidos",IF(AND(VALUE(MID(T794,13,1))=IF(MOD(SUMPRODUCT(--MID(T794,{1,2,3,4,5,6,7,8,9,10,11,12},1),{5,4,3,2,9,8,7,6,5,4,3,2}),11)&lt;2,0,11-MOD(SUMPRODUCT(--MID(T794,{1,2,3,4,5,6,7,8,9,10,11,12},1),{5,4,3,2,9,8,7,6,5,4,3,2}),11)),VALUE(MID(T794,14,1))=IF(MOD(SUMPRODUCT(--MID(T794,{1,2,3,4,5,6,7,8,9,10,11,12,13},1),{6,5,4,3,2,9,8,7,6,5,4,3,2}),11)&lt;2,0,11-MOD(SUMPRODUCT(--MID(T794,{1,2,3,4,5,6,7,8,9,10,11,12,13},1),{6,5,4,3,2,9,8,7,6,5,4,3,2}),11))),"OK","ERRO: dígito verificador")))))</f>
      </c>
      <c r="V794" s="6">
        <f>IF(T794="","",IF(COUNTIF($T$2:$T$1001,T794)&gt;1,"DUPLICADO","OK"))</f>
      </c>
      <c r="W794" s="6">
        <f>IF(M794="","vazio",IF(OR(AND(LEN(SUBSTITUTE(SUBSTITUTE(SUBSTITUTE(SUBSTITUTE(SUBSTITUTE(SUBSTITUTE(SUBSTITUTE(TRIM(M794),".",""),"/",""),"-","")," ",""),"(",""),")",""),"+",""))=10,LEFT(SUBSTITUTE(SUBSTITUTE(SUBSTITUTE(SUBSTITUTE(SUBSTITUTE(SUBSTITUTE(SUBSTITUTE(TRIM(M794),".",""),"/",""),"-","")," ",""),"(",""),")",""),"+",""),1)&lt;&gt;"0"),AND(LEN(SUBSTITUTE(SUBSTITUTE(SUBSTITUTE(SUBSTITUTE(SUBSTITUTE(SUBSTITUTE(SUBSTITUTE(TRIM(M794),".",""),"/",""),"-","")," ",""),"(",""),")",""),"+",""))=11,LEFT(SUBSTITUTE(SUBSTITUTE(SUBSTITUTE(SUBSTITUTE(SUBSTITUTE(SUBSTITUTE(SUBSTITUTE(TRIM(M794),".",""),"/",""),"-","")," ",""),"(",""),")",""),"+",""),4)="0800")),"OK",IF(AND(LEN(SUBSTITUTE(SUBSTITUTE(SUBSTITUTE(SUBSTITUTE(SUBSTITUTE(SUBSTITUTE(SUBSTITUTE(TRIM(M794),".",""),"/",""),"-","")," ",""),"(",""),")",""),"+",""))=11,MID(SUBSTITUTE(SUBSTITUTE(SUBSTITUTE(SUBSTITUTE(SUBSTITUTE(SUBSTITUTE(SUBSTITUTE(TRIM(M794),".",""),"/",""),"-","")," ",""),"(",""),")",""),"+",""),3,1)="9"),"ERRO: é celular, use a coluna Celular","ERRO: DDD + 8 dígitos ou 0800 + 7")))</f>
      </c>
      <c r="X794" s="6">
        <f>IF(N794="","vazio",IF(AND(LEN(SUBSTITUTE(SUBSTITUTE(SUBSTITUTE(SUBSTITUTE(SUBSTITUTE(SUBSTITUTE(SUBSTITUTE(TRIM(N794),".",""),"/",""),"-","")," ",""),"(",""),")",""),"+",""))=11,MID(SUBSTITUTE(SUBSTITUTE(SUBSTITUTE(SUBSTITUTE(SUBSTITUTE(SUBSTITUTE(SUBSTITUTE(TRIM(N794),".",""),"/",""),"-","")," ",""),"(",""),")",""),"+",""),3,1)="9",LEFT(SUBSTITUTE(SUBSTITUTE(SUBSTITUTE(SUBSTITUTE(SUBSTITUTE(SUBSTITUTE(SUBSTITUTE(TRIM(N794),".",""),"/",""),"-","")," ",""),"(",""),")",""),"+",""),1)&lt;&gt;"0"),"OK",IF(LEN(SUBSTITUTE(SUBSTITUTE(SUBSTITUTE(SUBSTITUTE(SUBSTITUTE(SUBSTITUTE(SUBSTITUTE(TRIM(N794),".",""),"/",""),"-","")," ",""),"(",""),")",""),"+",""))=10,"ERRO: é fixo (ou falta o 9), use a coluna Telefone fixo","ERRO: DDD + 9 + 8 dígitos")))</f>
      </c>
      <c r="Y794" s="6">
        <f>IF(O794="","vazio",IF(AND(ISNUMBER(FIND("@",O794)),ISNUMBER(FIND(".",MID(O794,FIND("@",O794),99))),NOT(ISNUMBER(FIND(" ",TRIM(O794)))),NOT(ISNUMBER(FIND(";",O794))),NOT(ISNUMBER(FIND(",",O794)))),"OK","ERRO: um e-mail válido por linha"))</f>
      </c>
      <c r="Z794" s="6">
        <f>IF(AND(J794="",K794=""),"",IF(AND(J794&lt;&gt;"",K794&lt;&gt;""),"OK","pendente: só um nome (o GR completa ao converter)"))</f>
      </c>
      <c r="AA794" s="6">
        <f>IF(COUNTA(A794:S794)=0,"",IF(AND(A794&lt;&gt;"",B794&lt;&gt;"",C794&lt;&gt;"",D794&lt;&gt;"",E794&lt;&gt;"",F794&lt;&gt;"",G794&lt;&gt;"",H794&lt;&gt;"",OR(J794&lt;&gt;"",K794&lt;&gt;""),OR(M794&lt;&gt;"",N794&lt;&gt;"",O794&lt;&gt;"")),"OK","ERRO: faltam "&amp;IF(A794="","SDR; ","")&amp;IF(B794="","Proprietário; ","")&amp;IF(C794="","Origem; ","")&amp;IF(D794="","Temperatura; ","")&amp;IF(E794="","Segmento; ","")&amp;IF(F794="","Time/Cluster; ","")&amp;IF(G794="","CNPJ; ","")&amp;IF(H794="","Razão Social; ","")&amp;IF(AND(J794="",K794=""),"nome do contato; ","")&amp;IF(AND(M794="",N794="",O794=""),"telefone, celular ou e-mail; ","")))</f>
      </c>
      <c r="AB794" s="6">
        <f>IF(COUNTA(A794:S794)=0,"",IF(AND(U794="OK",V794="OK",LEFT(W794,4)&lt;&gt;"ERRO",LEFT(X794,4)&lt;&gt;"ERRO",LEFT(Y794,4)&lt;&gt;"ERRO",AA794="OK"),"OK","REVISAR"))</f>
      </c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5"/>
      <c r="K795" s="4"/>
      <c r="L795" s="4"/>
      <c r="M795" s="4"/>
      <c r="N795" s="4"/>
      <c r="O795" s="4"/>
      <c r="P795" s="4"/>
      <c r="Q795" s="4"/>
      <c r="R795" s="4"/>
      <c r="S795" s="4"/>
      <c r="T795" s="6">
        <f>IF(G795="","",SUBSTITUTE(SUBSTITUTE(SUBSTITUTE(SUBSTITUTE(SUBSTITUTE(SUBSTITUTE(SUBSTITUTE(TRIM(G795),".",""),"/",""),"-","")," ",""),"(",""),")",""),"+",""))</f>
      </c>
      <c r="U795" s="6">
        <f>IF(T795="","",IF(LEN(T795)&lt;&gt;14,"ERRO: "&amp;LEN(T795)&amp;" dígitos",IF(NOT(ISNUMBER(VALUE(T795))),"ERRO: não numérico",IF(LEN(SUBSTITUTE(T795,LEFT(T795,1),""))=0,"ERRO: dígitos repetidos",IF(AND(VALUE(MID(T795,13,1))=IF(MOD(SUMPRODUCT(--MID(T795,{1,2,3,4,5,6,7,8,9,10,11,12},1),{5,4,3,2,9,8,7,6,5,4,3,2}),11)&lt;2,0,11-MOD(SUMPRODUCT(--MID(T795,{1,2,3,4,5,6,7,8,9,10,11,12},1),{5,4,3,2,9,8,7,6,5,4,3,2}),11)),VALUE(MID(T795,14,1))=IF(MOD(SUMPRODUCT(--MID(T795,{1,2,3,4,5,6,7,8,9,10,11,12,13},1),{6,5,4,3,2,9,8,7,6,5,4,3,2}),11)&lt;2,0,11-MOD(SUMPRODUCT(--MID(T795,{1,2,3,4,5,6,7,8,9,10,11,12,13},1),{6,5,4,3,2,9,8,7,6,5,4,3,2}),11))),"OK","ERRO: dígito verificador")))))</f>
      </c>
      <c r="V795" s="6">
        <f>IF(T795="","",IF(COUNTIF($T$2:$T$1001,T795)&gt;1,"DUPLICADO","OK"))</f>
      </c>
      <c r="W795" s="6">
        <f>IF(M795="","vazio",IF(OR(AND(LEN(SUBSTITUTE(SUBSTITUTE(SUBSTITUTE(SUBSTITUTE(SUBSTITUTE(SUBSTITUTE(SUBSTITUTE(TRIM(M795),".",""),"/",""),"-","")," ",""),"(",""),")",""),"+",""))=10,LEFT(SUBSTITUTE(SUBSTITUTE(SUBSTITUTE(SUBSTITUTE(SUBSTITUTE(SUBSTITUTE(SUBSTITUTE(TRIM(M795),".",""),"/",""),"-","")," ",""),"(",""),")",""),"+",""),1)&lt;&gt;"0"),AND(LEN(SUBSTITUTE(SUBSTITUTE(SUBSTITUTE(SUBSTITUTE(SUBSTITUTE(SUBSTITUTE(SUBSTITUTE(TRIM(M795),".",""),"/",""),"-","")," ",""),"(",""),")",""),"+",""))=11,LEFT(SUBSTITUTE(SUBSTITUTE(SUBSTITUTE(SUBSTITUTE(SUBSTITUTE(SUBSTITUTE(SUBSTITUTE(TRIM(M795),".",""),"/",""),"-","")," ",""),"(",""),")",""),"+",""),4)="0800")),"OK",IF(AND(LEN(SUBSTITUTE(SUBSTITUTE(SUBSTITUTE(SUBSTITUTE(SUBSTITUTE(SUBSTITUTE(SUBSTITUTE(TRIM(M795),".",""),"/",""),"-","")," ",""),"(",""),")",""),"+",""))=11,MID(SUBSTITUTE(SUBSTITUTE(SUBSTITUTE(SUBSTITUTE(SUBSTITUTE(SUBSTITUTE(SUBSTITUTE(TRIM(M795),".",""),"/",""),"-","")," ",""),"(",""),")",""),"+",""),3,1)="9"),"ERRO: é celular, use a coluna Celular","ERRO: DDD + 8 dígitos ou 0800 + 7")))</f>
      </c>
      <c r="X795" s="6">
        <f>IF(N795="","vazio",IF(AND(LEN(SUBSTITUTE(SUBSTITUTE(SUBSTITUTE(SUBSTITUTE(SUBSTITUTE(SUBSTITUTE(SUBSTITUTE(TRIM(N795),".",""),"/",""),"-","")," ",""),"(",""),")",""),"+",""))=11,MID(SUBSTITUTE(SUBSTITUTE(SUBSTITUTE(SUBSTITUTE(SUBSTITUTE(SUBSTITUTE(SUBSTITUTE(TRIM(N795),".",""),"/",""),"-","")," ",""),"(",""),")",""),"+",""),3,1)="9",LEFT(SUBSTITUTE(SUBSTITUTE(SUBSTITUTE(SUBSTITUTE(SUBSTITUTE(SUBSTITUTE(SUBSTITUTE(TRIM(N795),".",""),"/",""),"-","")," ",""),"(",""),")",""),"+",""),1)&lt;&gt;"0"),"OK",IF(LEN(SUBSTITUTE(SUBSTITUTE(SUBSTITUTE(SUBSTITUTE(SUBSTITUTE(SUBSTITUTE(SUBSTITUTE(TRIM(N795),".",""),"/",""),"-","")," ",""),"(",""),")",""),"+",""))=10,"ERRO: é fixo (ou falta o 9), use a coluna Telefone fixo","ERRO: DDD + 9 + 8 dígitos")))</f>
      </c>
      <c r="Y795" s="6">
        <f>IF(O795="","vazio",IF(AND(ISNUMBER(FIND("@",O795)),ISNUMBER(FIND(".",MID(O795,FIND("@",O795),99))),NOT(ISNUMBER(FIND(" ",TRIM(O795)))),NOT(ISNUMBER(FIND(";",O795))),NOT(ISNUMBER(FIND(",",O795)))),"OK","ERRO: um e-mail válido por linha"))</f>
      </c>
      <c r="Z795" s="6">
        <f>IF(AND(J795="",K795=""),"",IF(AND(J795&lt;&gt;"",K795&lt;&gt;""),"OK","pendente: só um nome (o GR completa ao converter)"))</f>
      </c>
      <c r="AA795" s="6">
        <f>IF(COUNTA(A795:S795)=0,"",IF(AND(A795&lt;&gt;"",B795&lt;&gt;"",C795&lt;&gt;"",D795&lt;&gt;"",E795&lt;&gt;"",F795&lt;&gt;"",G795&lt;&gt;"",H795&lt;&gt;"",OR(J795&lt;&gt;"",K795&lt;&gt;""),OR(M795&lt;&gt;"",N795&lt;&gt;"",O795&lt;&gt;"")),"OK","ERRO: faltam "&amp;IF(A795="","SDR; ","")&amp;IF(B795="","Proprietário; ","")&amp;IF(C795="","Origem; ","")&amp;IF(D795="","Temperatura; ","")&amp;IF(E795="","Segmento; ","")&amp;IF(F795="","Time/Cluster; ","")&amp;IF(G795="","CNPJ; ","")&amp;IF(H795="","Razão Social; ","")&amp;IF(AND(J795="",K795=""),"nome do contato; ","")&amp;IF(AND(M795="",N795="",O795=""),"telefone, celular ou e-mail; ","")))</f>
      </c>
      <c r="AB795" s="6">
        <f>IF(COUNTA(A795:S795)=0,"",IF(AND(U795="OK",V795="OK",LEFT(W795,4)&lt;&gt;"ERRO",LEFT(X795,4)&lt;&gt;"ERRO",LEFT(Y795,4)&lt;&gt;"ERRO",AA795="OK"),"OK","REVISAR"))</f>
      </c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5"/>
      <c r="K796" s="4"/>
      <c r="L796" s="4"/>
      <c r="M796" s="4"/>
      <c r="N796" s="4"/>
      <c r="O796" s="4"/>
      <c r="P796" s="4"/>
      <c r="Q796" s="4"/>
      <c r="R796" s="4"/>
      <c r="S796" s="4"/>
      <c r="T796" s="6">
        <f>IF(G796="","",SUBSTITUTE(SUBSTITUTE(SUBSTITUTE(SUBSTITUTE(SUBSTITUTE(SUBSTITUTE(SUBSTITUTE(TRIM(G796),".",""),"/",""),"-","")," ",""),"(",""),")",""),"+",""))</f>
      </c>
      <c r="U796" s="6">
        <f>IF(T796="","",IF(LEN(T796)&lt;&gt;14,"ERRO: "&amp;LEN(T796)&amp;" dígitos",IF(NOT(ISNUMBER(VALUE(T796))),"ERRO: não numérico",IF(LEN(SUBSTITUTE(T796,LEFT(T796,1),""))=0,"ERRO: dígitos repetidos",IF(AND(VALUE(MID(T796,13,1))=IF(MOD(SUMPRODUCT(--MID(T796,{1,2,3,4,5,6,7,8,9,10,11,12},1),{5,4,3,2,9,8,7,6,5,4,3,2}),11)&lt;2,0,11-MOD(SUMPRODUCT(--MID(T796,{1,2,3,4,5,6,7,8,9,10,11,12},1),{5,4,3,2,9,8,7,6,5,4,3,2}),11)),VALUE(MID(T796,14,1))=IF(MOD(SUMPRODUCT(--MID(T796,{1,2,3,4,5,6,7,8,9,10,11,12,13},1),{6,5,4,3,2,9,8,7,6,5,4,3,2}),11)&lt;2,0,11-MOD(SUMPRODUCT(--MID(T796,{1,2,3,4,5,6,7,8,9,10,11,12,13},1),{6,5,4,3,2,9,8,7,6,5,4,3,2}),11))),"OK","ERRO: dígito verificador")))))</f>
      </c>
      <c r="V796" s="6">
        <f>IF(T796="","",IF(COUNTIF($T$2:$T$1001,T796)&gt;1,"DUPLICADO","OK"))</f>
      </c>
      <c r="W796" s="6">
        <f>IF(M796="","vazio",IF(OR(AND(LEN(SUBSTITUTE(SUBSTITUTE(SUBSTITUTE(SUBSTITUTE(SUBSTITUTE(SUBSTITUTE(SUBSTITUTE(TRIM(M796),".",""),"/",""),"-","")," ",""),"(",""),")",""),"+",""))=10,LEFT(SUBSTITUTE(SUBSTITUTE(SUBSTITUTE(SUBSTITUTE(SUBSTITUTE(SUBSTITUTE(SUBSTITUTE(TRIM(M796),".",""),"/",""),"-","")," ",""),"(",""),")",""),"+",""),1)&lt;&gt;"0"),AND(LEN(SUBSTITUTE(SUBSTITUTE(SUBSTITUTE(SUBSTITUTE(SUBSTITUTE(SUBSTITUTE(SUBSTITUTE(TRIM(M796),".",""),"/",""),"-","")," ",""),"(",""),")",""),"+",""))=11,LEFT(SUBSTITUTE(SUBSTITUTE(SUBSTITUTE(SUBSTITUTE(SUBSTITUTE(SUBSTITUTE(SUBSTITUTE(TRIM(M796),".",""),"/",""),"-","")," ",""),"(",""),")",""),"+",""),4)="0800")),"OK",IF(AND(LEN(SUBSTITUTE(SUBSTITUTE(SUBSTITUTE(SUBSTITUTE(SUBSTITUTE(SUBSTITUTE(SUBSTITUTE(TRIM(M796),".",""),"/",""),"-","")," ",""),"(",""),")",""),"+",""))=11,MID(SUBSTITUTE(SUBSTITUTE(SUBSTITUTE(SUBSTITUTE(SUBSTITUTE(SUBSTITUTE(SUBSTITUTE(TRIM(M796),".",""),"/",""),"-","")," ",""),"(",""),")",""),"+",""),3,1)="9"),"ERRO: é celular, use a coluna Celular","ERRO: DDD + 8 dígitos ou 0800 + 7")))</f>
      </c>
      <c r="X796" s="6">
        <f>IF(N796="","vazio",IF(AND(LEN(SUBSTITUTE(SUBSTITUTE(SUBSTITUTE(SUBSTITUTE(SUBSTITUTE(SUBSTITUTE(SUBSTITUTE(TRIM(N796),".",""),"/",""),"-","")," ",""),"(",""),")",""),"+",""))=11,MID(SUBSTITUTE(SUBSTITUTE(SUBSTITUTE(SUBSTITUTE(SUBSTITUTE(SUBSTITUTE(SUBSTITUTE(TRIM(N796),".",""),"/",""),"-","")," ",""),"(",""),")",""),"+",""),3,1)="9",LEFT(SUBSTITUTE(SUBSTITUTE(SUBSTITUTE(SUBSTITUTE(SUBSTITUTE(SUBSTITUTE(SUBSTITUTE(TRIM(N796),".",""),"/",""),"-","")," ",""),"(",""),")",""),"+",""),1)&lt;&gt;"0"),"OK",IF(LEN(SUBSTITUTE(SUBSTITUTE(SUBSTITUTE(SUBSTITUTE(SUBSTITUTE(SUBSTITUTE(SUBSTITUTE(TRIM(N796),".",""),"/",""),"-","")," ",""),"(",""),")",""),"+",""))=10,"ERRO: é fixo (ou falta o 9), use a coluna Telefone fixo","ERRO: DDD + 9 + 8 dígitos")))</f>
      </c>
      <c r="Y796" s="6">
        <f>IF(O796="","vazio",IF(AND(ISNUMBER(FIND("@",O796)),ISNUMBER(FIND(".",MID(O796,FIND("@",O796),99))),NOT(ISNUMBER(FIND(" ",TRIM(O796)))),NOT(ISNUMBER(FIND(";",O796))),NOT(ISNUMBER(FIND(",",O796)))),"OK","ERRO: um e-mail válido por linha"))</f>
      </c>
      <c r="Z796" s="6">
        <f>IF(AND(J796="",K796=""),"",IF(AND(J796&lt;&gt;"",K796&lt;&gt;""),"OK","pendente: só um nome (o GR completa ao converter)"))</f>
      </c>
      <c r="AA796" s="6">
        <f>IF(COUNTA(A796:S796)=0,"",IF(AND(A796&lt;&gt;"",B796&lt;&gt;"",C796&lt;&gt;"",D796&lt;&gt;"",E796&lt;&gt;"",F796&lt;&gt;"",G796&lt;&gt;"",H796&lt;&gt;"",OR(J796&lt;&gt;"",K796&lt;&gt;""),OR(M796&lt;&gt;"",N796&lt;&gt;"",O796&lt;&gt;"")),"OK","ERRO: faltam "&amp;IF(A796="","SDR; ","")&amp;IF(B796="","Proprietário; ","")&amp;IF(C796="","Origem; ","")&amp;IF(D796="","Temperatura; ","")&amp;IF(E796="","Segmento; ","")&amp;IF(F796="","Time/Cluster; ","")&amp;IF(G796="","CNPJ; ","")&amp;IF(H796="","Razão Social; ","")&amp;IF(AND(J796="",K796=""),"nome do contato; ","")&amp;IF(AND(M796="",N796="",O796=""),"telefone, celular ou e-mail; ","")))</f>
      </c>
      <c r="AB796" s="6">
        <f>IF(COUNTA(A796:S796)=0,"",IF(AND(U796="OK",V796="OK",LEFT(W796,4)&lt;&gt;"ERRO",LEFT(X796,4)&lt;&gt;"ERRO",LEFT(Y796,4)&lt;&gt;"ERRO",AA796="OK"),"OK","REVISAR"))</f>
      </c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5"/>
      <c r="K797" s="4"/>
      <c r="L797" s="4"/>
      <c r="M797" s="4"/>
      <c r="N797" s="4"/>
      <c r="O797" s="4"/>
      <c r="P797" s="4"/>
      <c r="Q797" s="4"/>
      <c r="R797" s="4"/>
      <c r="S797" s="4"/>
      <c r="T797" s="6">
        <f>IF(G797="","",SUBSTITUTE(SUBSTITUTE(SUBSTITUTE(SUBSTITUTE(SUBSTITUTE(SUBSTITUTE(SUBSTITUTE(TRIM(G797),".",""),"/",""),"-","")," ",""),"(",""),")",""),"+",""))</f>
      </c>
      <c r="U797" s="6">
        <f>IF(T797="","",IF(LEN(T797)&lt;&gt;14,"ERRO: "&amp;LEN(T797)&amp;" dígitos",IF(NOT(ISNUMBER(VALUE(T797))),"ERRO: não numérico",IF(LEN(SUBSTITUTE(T797,LEFT(T797,1),""))=0,"ERRO: dígitos repetidos",IF(AND(VALUE(MID(T797,13,1))=IF(MOD(SUMPRODUCT(--MID(T797,{1,2,3,4,5,6,7,8,9,10,11,12},1),{5,4,3,2,9,8,7,6,5,4,3,2}),11)&lt;2,0,11-MOD(SUMPRODUCT(--MID(T797,{1,2,3,4,5,6,7,8,9,10,11,12},1),{5,4,3,2,9,8,7,6,5,4,3,2}),11)),VALUE(MID(T797,14,1))=IF(MOD(SUMPRODUCT(--MID(T797,{1,2,3,4,5,6,7,8,9,10,11,12,13},1),{6,5,4,3,2,9,8,7,6,5,4,3,2}),11)&lt;2,0,11-MOD(SUMPRODUCT(--MID(T797,{1,2,3,4,5,6,7,8,9,10,11,12,13},1),{6,5,4,3,2,9,8,7,6,5,4,3,2}),11))),"OK","ERRO: dígito verificador")))))</f>
      </c>
      <c r="V797" s="6">
        <f>IF(T797="","",IF(COUNTIF($T$2:$T$1001,T797)&gt;1,"DUPLICADO","OK"))</f>
      </c>
      <c r="W797" s="6">
        <f>IF(M797="","vazio",IF(OR(AND(LEN(SUBSTITUTE(SUBSTITUTE(SUBSTITUTE(SUBSTITUTE(SUBSTITUTE(SUBSTITUTE(SUBSTITUTE(TRIM(M797),".",""),"/",""),"-","")," ",""),"(",""),")",""),"+",""))=10,LEFT(SUBSTITUTE(SUBSTITUTE(SUBSTITUTE(SUBSTITUTE(SUBSTITUTE(SUBSTITUTE(SUBSTITUTE(TRIM(M797),".",""),"/",""),"-","")," ",""),"(",""),")",""),"+",""),1)&lt;&gt;"0"),AND(LEN(SUBSTITUTE(SUBSTITUTE(SUBSTITUTE(SUBSTITUTE(SUBSTITUTE(SUBSTITUTE(SUBSTITUTE(TRIM(M797),".",""),"/",""),"-","")," ",""),"(",""),")",""),"+",""))=11,LEFT(SUBSTITUTE(SUBSTITUTE(SUBSTITUTE(SUBSTITUTE(SUBSTITUTE(SUBSTITUTE(SUBSTITUTE(TRIM(M797),".",""),"/",""),"-","")," ",""),"(",""),")",""),"+",""),4)="0800")),"OK",IF(AND(LEN(SUBSTITUTE(SUBSTITUTE(SUBSTITUTE(SUBSTITUTE(SUBSTITUTE(SUBSTITUTE(SUBSTITUTE(TRIM(M797),".",""),"/",""),"-","")," ",""),"(",""),")",""),"+",""))=11,MID(SUBSTITUTE(SUBSTITUTE(SUBSTITUTE(SUBSTITUTE(SUBSTITUTE(SUBSTITUTE(SUBSTITUTE(TRIM(M797),".",""),"/",""),"-","")," ",""),"(",""),")",""),"+",""),3,1)="9"),"ERRO: é celular, use a coluna Celular","ERRO: DDD + 8 dígitos ou 0800 + 7")))</f>
      </c>
      <c r="X797" s="6">
        <f>IF(N797="","vazio",IF(AND(LEN(SUBSTITUTE(SUBSTITUTE(SUBSTITUTE(SUBSTITUTE(SUBSTITUTE(SUBSTITUTE(SUBSTITUTE(TRIM(N797),".",""),"/",""),"-","")," ",""),"(",""),")",""),"+",""))=11,MID(SUBSTITUTE(SUBSTITUTE(SUBSTITUTE(SUBSTITUTE(SUBSTITUTE(SUBSTITUTE(SUBSTITUTE(TRIM(N797),".",""),"/",""),"-","")," ",""),"(",""),")",""),"+",""),3,1)="9",LEFT(SUBSTITUTE(SUBSTITUTE(SUBSTITUTE(SUBSTITUTE(SUBSTITUTE(SUBSTITUTE(SUBSTITUTE(TRIM(N797),".",""),"/",""),"-","")," ",""),"(",""),")",""),"+",""),1)&lt;&gt;"0"),"OK",IF(LEN(SUBSTITUTE(SUBSTITUTE(SUBSTITUTE(SUBSTITUTE(SUBSTITUTE(SUBSTITUTE(SUBSTITUTE(TRIM(N797),".",""),"/",""),"-","")," ",""),"(",""),")",""),"+",""))=10,"ERRO: é fixo (ou falta o 9), use a coluna Telefone fixo","ERRO: DDD + 9 + 8 dígitos")))</f>
      </c>
      <c r="Y797" s="6">
        <f>IF(O797="","vazio",IF(AND(ISNUMBER(FIND("@",O797)),ISNUMBER(FIND(".",MID(O797,FIND("@",O797),99))),NOT(ISNUMBER(FIND(" ",TRIM(O797)))),NOT(ISNUMBER(FIND(";",O797))),NOT(ISNUMBER(FIND(",",O797)))),"OK","ERRO: um e-mail válido por linha"))</f>
      </c>
      <c r="Z797" s="6">
        <f>IF(AND(J797="",K797=""),"",IF(AND(J797&lt;&gt;"",K797&lt;&gt;""),"OK","pendente: só um nome (o GR completa ao converter)"))</f>
      </c>
      <c r="AA797" s="6">
        <f>IF(COUNTA(A797:S797)=0,"",IF(AND(A797&lt;&gt;"",B797&lt;&gt;"",C797&lt;&gt;"",D797&lt;&gt;"",E797&lt;&gt;"",F797&lt;&gt;"",G797&lt;&gt;"",H797&lt;&gt;"",OR(J797&lt;&gt;"",K797&lt;&gt;""),OR(M797&lt;&gt;"",N797&lt;&gt;"",O797&lt;&gt;"")),"OK","ERRO: faltam "&amp;IF(A797="","SDR; ","")&amp;IF(B797="","Proprietário; ","")&amp;IF(C797="","Origem; ","")&amp;IF(D797="","Temperatura; ","")&amp;IF(E797="","Segmento; ","")&amp;IF(F797="","Time/Cluster; ","")&amp;IF(G797="","CNPJ; ","")&amp;IF(H797="","Razão Social; ","")&amp;IF(AND(J797="",K797=""),"nome do contato; ","")&amp;IF(AND(M797="",N797="",O797=""),"telefone, celular ou e-mail; ","")))</f>
      </c>
      <c r="AB797" s="6">
        <f>IF(COUNTA(A797:S797)=0,"",IF(AND(U797="OK",V797="OK",LEFT(W797,4)&lt;&gt;"ERRO",LEFT(X797,4)&lt;&gt;"ERRO",LEFT(Y797,4)&lt;&gt;"ERRO",AA797="OK"),"OK","REVISAR"))</f>
      </c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5"/>
      <c r="K798" s="4"/>
      <c r="L798" s="4"/>
      <c r="M798" s="4"/>
      <c r="N798" s="4"/>
      <c r="O798" s="4"/>
      <c r="P798" s="4"/>
      <c r="Q798" s="4"/>
      <c r="R798" s="4"/>
      <c r="S798" s="4"/>
      <c r="T798" s="6">
        <f>IF(G798="","",SUBSTITUTE(SUBSTITUTE(SUBSTITUTE(SUBSTITUTE(SUBSTITUTE(SUBSTITUTE(SUBSTITUTE(TRIM(G798),".",""),"/",""),"-","")," ",""),"(",""),")",""),"+",""))</f>
      </c>
      <c r="U798" s="6">
        <f>IF(T798="","",IF(LEN(T798)&lt;&gt;14,"ERRO: "&amp;LEN(T798)&amp;" dígitos",IF(NOT(ISNUMBER(VALUE(T798))),"ERRO: não numérico",IF(LEN(SUBSTITUTE(T798,LEFT(T798,1),""))=0,"ERRO: dígitos repetidos",IF(AND(VALUE(MID(T798,13,1))=IF(MOD(SUMPRODUCT(--MID(T798,{1,2,3,4,5,6,7,8,9,10,11,12},1),{5,4,3,2,9,8,7,6,5,4,3,2}),11)&lt;2,0,11-MOD(SUMPRODUCT(--MID(T798,{1,2,3,4,5,6,7,8,9,10,11,12},1),{5,4,3,2,9,8,7,6,5,4,3,2}),11)),VALUE(MID(T798,14,1))=IF(MOD(SUMPRODUCT(--MID(T798,{1,2,3,4,5,6,7,8,9,10,11,12,13},1),{6,5,4,3,2,9,8,7,6,5,4,3,2}),11)&lt;2,0,11-MOD(SUMPRODUCT(--MID(T798,{1,2,3,4,5,6,7,8,9,10,11,12,13},1),{6,5,4,3,2,9,8,7,6,5,4,3,2}),11))),"OK","ERRO: dígito verificador")))))</f>
      </c>
      <c r="V798" s="6">
        <f>IF(T798="","",IF(COUNTIF($T$2:$T$1001,T798)&gt;1,"DUPLICADO","OK"))</f>
      </c>
      <c r="W798" s="6">
        <f>IF(M798="","vazio",IF(OR(AND(LEN(SUBSTITUTE(SUBSTITUTE(SUBSTITUTE(SUBSTITUTE(SUBSTITUTE(SUBSTITUTE(SUBSTITUTE(TRIM(M798),".",""),"/",""),"-","")," ",""),"(",""),")",""),"+",""))=10,LEFT(SUBSTITUTE(SUBSTITUTE(SUBSTITUTE(SUBSTITUTE(SUBSTITUTE(SUBSTITUTE(SUBSTITUTE(TRIM(M798),".",""),"/",""),"-","")," ",""),"(",""),")",""),"+",""),1)&lt;&gt;"0"),AND(LEN(SUBSTITUTE(SUBSTITUTE(SUBSTITUTE(SUBSTITUTE(SUBSTITUTE(SUBSTITUTE(SUBSTITUTE(TRIM(M798),".",""),"/",""),"-","")," ",""),"(",""),")",""),"+",""))=11,LEFT(SUBSTITUTE(SUBSTITUTE(SUBSTITUTE(SUBSTITUTE(SUBSTITUTE(SUBSTITUTE(SUBSTITUTE(TRIM(M798),".",""),"/",""),"-","")," ",""),"(",""),")",""),"+",""),4)="0800")),"OK",IF(AND(LEN(SUBSTITUTE(SUBSTITUTE(SUBSTITUTE(SUBSTITUTE(SUBSTITUTE(SUBSTITUTE(SUBSTITUTE(TRIM(M798),".",""),"/",""),"-","")," ",""),"(",""),")",""),"+",""))=11,MID(SUBSTITUTE(SUBSTITUTE(SUBSTITUTE(SUBSTITUTE(SUBSTITUTE(SUBSTITUTE(SUBSTITUTE(TRIM(M798),".",""),"/",""),"-","")," ",""),"(",""),")",""),"+",""),3,1)="9"),"ERRO: é celular, use a coluna Celular","ERRO: DDD + 8 dígitos ou 0800 + 7")))</f>
      </c>
      <c r="X798" s="6">
        <f>IF(N798="","vazio",IF(AND(LEN(SUBSTITUTE(SUBSTITUTE(SUBSTITUTE(SUBSTITUTE(SUBSTITUTE(SUBSTITUTE(SUBSTITUTE(TRIM(N798),".",""),"/",""),"-","")," ",""),"(",""),")",""),"+",""))=11,MID(SUBSTITUTE(SUBSTITUTE(SUBSTITUTE(SUBSTITUTE(SUBSTITUTE(SUBSTITUTE(SUBSTITUTE(TRIM(N798),".",""),"/",""),"-","")," ",""),"(",""),")",""),"+",""),3,1)="9",LEFT(SUBSTITUTE(SUBSTITUTE(SUBSTITUTE(SUBSTITUTE(SUBSTITUTE(SUBSTITUTE(SUBSTITUTE(TRIM(N798),".",""),"/",""),"-","")," ",""),"(",""),")",""),"+",""),1)&lt;&gt;"0"),"OK",IF(LEN(SUBSTITUTE(SUBSTITUTE(SUBSTITUTE(SUBSTITUTE(SUBSTITUTE(SUBSTITUTE(SUBSTITUTE(TRIM(N798),".",""),"/",""),"-","")," ",""),"(",""),")",""),"+",""))=10,"ERRO: é fixo (ou falta o 9), use a coluna Telefone fixo","ERRO: DDD + 9 + 8 dígitos")))</f>
      </c>
      <c r="Y798" s="6">
        <f>IF(O798="","vazio",IF(AND(ISNUMBER(FIND("@",O798)),ISNUMBER(FIND(".",MID(O798,FIND("@",O798),99))),NOT(ISNUMBER(FIND(" ",TRIM(O798)))),NOT(ISNUMBER(FIND(";",O798))),NOT(ISNUMBER(FIND(",",O798)))),"OK","ERRO: um e-mail válido por linha"))</f>
      </c>
      <c r="Z798" s="6">
        <f>IF(AND(J798="",K798=""),"",IF(AND(J798&lt;&gt;"",K798&lt;&gt;""),"OK","pendente: só um nome (o GR completa ao converter)"))</f>
      </c>
      <c r="AA798" s="6">
        <f>IF(COUNTA(A798:S798)=0,"",IF(AND(A798&lt;&gt;"",B798&lt;&gt;"",C798&lt;&gt;"",D798&lt;&gt;"",E798&lt;&gt;"",F798&lt;&gt;"",G798&lt;&gt;"",H798&lt;&gt;"",OR(J798&lt;&gt;"",K798&lt;&gt;""),OR(M798&lt;&gt;"",N798&lt;&gt;"",O798&lt;&gt;"")),"OK","ERRO: faltam "&amp;IF(A798="","SDR; ","")&amp;IF(B798="","Proprietário; ","")&amp;IF(C798="","Origem; ","")&amp;IF(D798="","Temperatura; ","")&amp;IF(E798="","Segmento; ","")&amp;IF(F798="","Time/Cluster; ","")&amp;IF(G798="","CNPJ; ","")&amp;IF(H798="","Razão Social; ","")&amp;IF(AND(J798="",K798=""),"nome do contato; ","")&amp;IF(AND(M798="",N798="",O798=""),"telefone, celular ou e-mail; ","")))</f>
      </c>
      <c r="AB798" s="6">
        <f>IF(COUNTA(A798:S798)=0,"",IF(AND(U798="OK",V798="OK",LEFT(W798,4)&lt;&gt;"ERRO",LEFT(X798,4)&lt;&gt;"ERRO",LEFT(Y798,4)&lt;&gt;"ERRO",AA798="OK"),"OK","REVISAR"))</f>
      </c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5"/>
      <c r="K799" s="4"/>
      <c r="L799" s="4"/>
      <c r="M799" s="4"/>
      <c r="N799" s="4"/>
      <c r="O799" s="4"/>
      <c r="P799" s="4"/>
      <c r="Q799" s="4"/>
      <c r="R799" s="4"/>
      <c r="S799" s="4"/>
      <c r="T799" s="6">
        <f>IF(G799="","",SUBSTITUTE(SUBSTITUTE(SUBSTITUTE(SUBSTITUTE(SUBSTITUTE(SUBSTITUTE(SUBSTITUTE(TRIM(G799),".",""),"/",""),"-","")," ",""),"(",""),")",""),"+",""))</f>
      </c>
      <c r="U799" s="6">
        <f>IF(T799="","",IF(LEN(T799)&lt;&gt;14,"ERRO: "&amp;LEN(T799)&amp;" dígitos",IF(NOT(ISNUMBER(VALUE(T799))),"ERRO: não numérico",IF(LEN(SUBSTITUTE(T799,LEFT(T799,1),""))=0,"ERRO: dígitos repetidos",IF(AND(VALUE(MID(T799,13,1))=IF(MOD(SUMPRODUCT(--MID(T799,{1,2,3,4,5,6,7,8,9,10,11,12},1),{5,4,3,2,9,8,7,6,5,4,3,2}),11)&lt;2,0,11-MOD(SUMPRODUCT(--MID(T799,{1,2,3,4,5,6,7,8,9,10,11,12},1),{5,4,3,2,9,8,7,6,5,4,3,2}),11)),VALUE(MID(T799,14,1))=IF(MOD(SUMPRODUCT(--MID(T799,{1,2,3,4,5,6,7,8,9,10,11,12,13},1),{6,5,4,3,2,9,8,7,6,5,4,3,2}),11)&lt;2,0,11-MOD(SUMPRODUCT(--MID(T799,{1,2,3,4,5,6,7,8,9,10,11,12,13},1),{6,5,4,3,2,9,8,7,6,5,4,3,2}),11))),"OK","ERRO: dígito verificador")))))</f>
      </c>
      <c r="V799" s="6">
        <f>IF(T799="","",IF(COUNTIF($T$2:$T$1001,T799)&gt;1,"DUPLICADO","OK"))</f>
      </c>
      <c r="W799" s="6">
        <f>IF(M799="","vazio",IF(OR(AND(LEN(SUBSTITUTE(SUBSTITUTE(SUBSTITUTE(SUBSTITUTE(SUBSTITUTE(SUBSTITUTE(SUBSTITUTE(TRIM(M799),".",""),"/",""),"-","")," ",""),"(",""),")",""),"+",""))=10,LEFT(SUBSTITUTE(SUBSTITUTE(SUBSTITUTE(SUBSTITUTE(SUBSTITUTE(SUBSTITUTE(SUBSTITUTE(TRIM(M799),".",""),"/",""),"-","")," ",""),"(",""),")",""),"+",""),1)&lt;&gt;"0"),AND(LEN(SUBSTITUTE(SUBSTITUTE(SUBSTITUTE(SUBSTITUTE(SUBSTITUTE(SUBSTITUTE(SUBSTITUTE(TRIM(M799),".",""),"/",""),"-","")," ",""),"(",""),")",""),"+",""))=11,LEFT(SUBSTITUTE(SUBSTITUTE(SUBSTITUTE(SUBSTITUTE(SUBSTITUTE(SUBSTITUTE(SUBSTITUTE(TRIM(M799),".",""),"/",""),"-","")," ",""),"(",""),")",""),"+",""),4)="0800")),"OK",IF(AND(LEN(SUBSTITUTE(SUBSTITUTE(SUBSTITUTE(SUBSTITUTE(SUBSTITUTE(SUBSTITUTE(SUBSTITUTE(TRIM(M799),".",""),"/",""),"-","")," ",""),"(",""),")",""),"+",""))=11,MID(SUBSTITUTE(SUBSTITUTE(SUBSTITUTE(SUBSTITUTE(SUBSTITUTE(SUBSTITUTE(SUBSTITUTE(TRIM(M799),".",""),"/",""),"-","")," ",""),"(",""),")",""),"+",""),3,1)="9"),"ERRO: é celular, use a coluna Celular","ERRO: DDD + 8 dígitos ou 0800 + 7")))</f>
      </c>
      <c r="X799" s="6">
        <f>IF(N799="","vazio",IF(AND(LEN(SUBSTITUTE(SUBSTITUTE(SUBSTITUTE(SUBSTITUTE(SUBSTITUTE(SUBSTITUTE(SUBSTITUTE(TRIM(N799),".",""),"/",""),"-","")," ",""),"(",""),")",""),"+",""))=11,MID(SUBSTITUTE(SUBSTITUTE(SUBSTITUTE(SUBSTITUTE(SUBSTITUTE(SUBSTITUTE(SUBSTITUTE(TRIM(N799),".",""),"/",""),"-","")," ",""),"(",""),")",""),"+",""),3,1)="9",LEFT(SUBSTITUTE(SUBSTITUTE(SUBSTITUTE(SUBSTITUTE(SUBSTITUTE(SUBSTITUTE(SUBSTITUTE(TRIM(N799),".",""),"/",""),"-","")," ",""),"(",""),")",""),"+",""),1)&lt;&gt;"0"),"OK",IF(LEN(SUBSTITUTE(SUBSTITUTE(SUBSTITUTE(SUBSTITUTE(SUBSTITUTE(SUBSTITUTE(SUBSTITUTE(TRIM(N799),".",""),"/",""),"-","")," ",""),"(",""),")",""),"+",""))=10,"ERRO: é fixo (ou falta o 9), use a coluna Telefone fixo","ERRO: DDD + 9 + 8 dígitos")))</f>
      </c>
      <c r="Y799" s="6">
        <f>IF(O799="","vazio",IF(AND(ISNUMBER(FIND("@",O799)),ISNUMBER(FIND(".",MID(O799,FIND("@",O799),99))),NOT(ISNUMBER(FIND(" ",TRIM(O799)))),NOT(ISNUMBER(FIND(";",O799))),NOT(ISNUMBER(FIND(",",O799)))),"OK","ERRO: um e-mail válido por linha"))</f>
      </c>
      <c r="Z799" s="6">
        <f>IF(AND(J799="",K799=""),"",IF(AND(J799&lt;&gt;"",K799&lt;&gt;""),"OK","pendente: só um nome (o GR completa ao converter)"))</f>
      </c>
      <c r="AA799" s="6">
        <f>IF(COUNTA(A799:S799)=0,"",IF(AND(A799&lt;&gt;"",B799&lt;&gt;"",C799&lt;&gt;"",D799&lt;&gt;"",E799&lt;&gt;"",F799&lt;&gt;"",G799&lt;&gt;"",H799&lt;&gt;"",OR(J799&lt;&gt;"",K799&lt;&gt;""),OR(M799&lt;&gt;"",N799&lt;&gt;"",O799&lt;&gt;"")),"OK","ERRO: faltam "&amp;IF(A799="","SDR; ","")&amp;IF(B799="","Proprietário; ","")&amp;IF(C799="","Origem; ","")&amp;IF(D799="","Temperatura; ","")&amp;IF(E799="","Segmento; ","")&amp;IF(F799="","Time/Cluster; ","")&amp;IF(G799="","CNPJ; ","")&amp;IF(H799="","Razão Social; ","")&amp;IF(AND(J799="",K799=""),"nome do contato; ","")&amp;IF(AND(M799="",N799="",O799=""),"telefone, celular ou e-mail; ","")))</f>
      </c>
      <c r="AB799" s="6">
        <f>IF(COUNTA(A799:S799)=0,"",IF(AND(U799="OK",V799="OK",LEFT(W799,4)&lt;&gt;"ERRO",LEFT(X799,4)&lt;&gt;"ERRO",LEFT(Y799,4)&lt;&gt;"ERRO",AA799="OK"),"OK","REVISAR"))</f>
      </c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5"/>
      <c r="K800" s="4"/>
      <c r="L800" s="4"/>
      <c r="M800" s="4"/>
      <c r="N800" s="4"/>
      <c r="O800" s="4"/>
      <c r="P800" s="4"/>
      <c r="Q800" s="4"/>
      <c r="R800" s="4"/>
      <c r="S800" s="4"/>
      <c r="T800" s="6">
        <f>IF(G800="","",SUBSTITUTE(SUBSTITUTE(SUBSTITUTE(SUBSTITUTE(SUBSTITUTE(SUBSTITUTE(SUBSTITUTE(TRIM(G800),".",""),"/",""),"-","")," ",""),"(",""),")",""),"+",""))</f>
      </c>
      <c r="U800" s="6">
        <f>IF(T800="","",IF(LEN(T800)&lt;&gt;14,"ERRO: "&amp;LEN(T800)&amp;" dígitos",IF(NOT(ISNUMBER(VALUE(T800))),"ERRO: não numérico",IF(LEN(SUBSTITUTE(T800,LEFT(T800,1),""))=0,"ERRO: dígitos repetidos",IF(AND(VALUE(MID(T800,13,1))=IF(MOD(SUMPRODUCT(--MID(T800,{1,2,3,4,5,6,7,8,9,10,11,12},1),{5,4,3,2,9,8,7,6,5,4,3,2}),11)&lt;2,0,11-MOD(SUMPRODUCT(--MID(T800,{1,2,3,4,5,6,7,8,9,10,11,12},1),{5,4,3,2,9,8,7,6,5,4,3,2}),11)),VALUE(MID(T800,14,1))=IF(MOD(SUMPRODUCT(--MID(T800,{1,2,3,4,5,6,7,8,9,10,11,12,13},1),{6,5,4,3,2,9,8,7,6,5,4,3,2}),11)&lt;2,0,11-MOD(SUMPRODUCT(--MID(T800,{1,2,3,4,5,6,7,8,9,10,11,12,13},1),{6,5,4,3,2,9,8,7,6,5,4,3,2}),11))),"OK","ERRO: dígito verificador")))))</f>
      </c>
      <c r="V800" s="6">
        <f>IF(T800="","",IF(COUNTIF($T$2:$T$1001,T800)&gt;1,"DUPLICADO","OK"))</f>
      </c>
      <c r="W800" s="6">
        <f>IF(M800="","vazio",IF(OR(AND(LEN(SUBSTITUTE(SUBSTITUTE(SUBSTITUTE(SUBSTITUTE(SUBSTITUTE(SUBSTITUTE(SUBSTITUTE(TRIM(M800),".",""),"/",""),"-","")," ",""),"(",""),")",""),"+",""))=10,LEFT(SUBSTITUTE(SUBSTITUTE(SUBSTITUTE(SUBSTITUTE(SUBSTITUTE(SUBSTITUTE(SUBSTITUTE(TRIM(M800),".",""),"/",""),"-","")," ",""),"(",""),")",""),"+",""),1)&lt;&gt;"0"),AND(LEN(SUBSTITUTE(SUBSTITUTE(SUBSTITUTE(SUBSTITUTE(SUBSTITUTE(SUBSTITUTE(SUBSTITUTE(TRIM(M800),".",""),"/",""),"-","")," ",""),"(",""),")",""),"+",""))=11,LEFT(SUBSTITUTE(SUBSTITUTE(SUBSTITUTE(SUBSTITUTE(SUBSTITUTE(SUBSTITUTE(SUBSTITUTE(TRIM(M800),".",""),"/",""),"-","")," ",""),"(",""),")",""),"+",""),4)="0800")),"OK",IF(AND(LEN(SUBSTITUTE(SUBSTITUTE(SUBSTITUTE(SUBSTITUTE(SUBSTITUTE(SUBSTITUTE(SUBSTITUTE(TRIM(M800),".",""),"/",""),"-","")," ",""),"(",""),")",""),"+",""))=11,MID(SUBSTITUTE(SUBSTITUTE(SUBSTITUTE(SUBSTITUTE(SUBSTITUTE(SUBSTITUTE(SUBSTITUTE(TRIM(M800),".",""),"/",""),"-","")," ",""),"(",""),")",""),"+",""),3,1)="9"),"ERRO: é celular, use a coluna Celular","ERRO: DDD + 8 dígitos ou 0800 + 7")))</f>
      </c>
      <c r="X800" s="6">
        <f>IF(N800="","vazio",IF(AND(LEN(SUBSTITUTE(SUBSTITUTE(SUBSTITUTE(SUBSTITUTE(SUBSTITUTE(SUBSTITUTE(SUBSTITUTE(TRIM(N800),".",""),"/",""),"-","")," ",""),"(",""),")",""),"+",""))=11,MID(SUBSTITUTE(SUBSTITUTE(SUBSTITUTE(SUBSTITUTE(SUBSTITUTE(SUBSTITUTE(SUBSTITUTE(TRIM(N800),".",""),"/",""),"-","")," ",""),"(",""),")",""),"+",""),3,1)="9",LEFT(SUBSTITUTE(SUBSTITUTE(SUBSTITUTE(SUBSTITUTE(SUBSTITUTE(SUBSTITUTE(SUBSTITUTE(TRIM(N800),".",""),"/",""),"-","")," ",""),"(",""),")",""),"+",""),1)&lt;&gt;"0"),"OK",IF(LEN(SUBSTITUTE(SUBSTITUTE(SUBSTITUTE(SUBSTITUTE(SUBSTITUTE(SUBSTITUTE(SUBSTITUTE(TRIM(N800),".",""),"/",""),"-","")," ",""),"(",""),")",""),"+",""))=10,"ERRO: é fixo (ou falta o 9), use a coluna Telefone fixo","ERRO: DDD + 9 + 8 dígitos")))</f>
      </c>
      <c r="Y800" s="6">
        <f>IF(O800="","vazio",IF(AND(ISNUMBER(FIND("@",O800)),ISNUMBER(FIND(".",MID(O800,FIND("@",O800),99))),NOT(ISNUMBER(FIND(" ",TRIM(O800)))),NOT(ISNUMBER(FIND(";",O800))),NOT(ISNUMBER(FIND(",",O800)))),"OK","ERRO: um e-mail válido por linha"))</f>
      </c>
      <c r="Z800" s="6">
        <f>IF(AND(J800="",K800=""),"",IF(AND(J800&lt;&gt;"",K800&lt;&gt;""),"OK","pendente: só um nome (o GR completa ao converter)"))</f>
      </c>
      <c r="AA800" s="6">
        <f>IF(COUNTA(A800:S800)=0,"",IF(AND(A800&lt;&gt;"",B800&lt;&gt;"",C800&lt;&gt;"",D800&lt;&gt;"",E800&lt;&gt;"",F800&lt;&gt;"",G800&lt;&gt;"",H800&lt;&gt;"",OR(J800&lt;&gt;"",K800&lt;&gt;""),OR(M800&lt;&gt;"",N800&lt;&gt;"",O800&lt;&gt;"")),"OK","ERRO: faltam "&amp;IF(A800="","SDR; ","")&amp;IF(B800="","Proprietário; ","")&amp;IF(C800="","Origem; ","")&amp;IF(D800="","Temperatura; ","")&amp;IF(E800="","Segmento; ","")&amp;IF(F800="","Time/Cluster; ","")&amp;IF(G800="","CNPJ; ","")&amp;IF(H800="","Razão Social; ","")&amp;IF(AND(J800="",K800=""),"nome do contato; ","")&amp;IF(AND(M800="",N800="",O800=""),"telefone, celular ou e-mail; ","")))</f>
      </c>
      <c r="AB800" s="6">
        <f>IF(COUNTA(A800:S800)=0,"",IF(AND(U800="OK",V800="OK",LEFT(W800,4)&lt;&gt;"ERRO",LEFT(X800,4)&lt;&gt;"ERRO",LEFT(Y800,4)&lt;&gt;"ERRO",AA800="OK"),"OK","REVISAR"))</f>
      </c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5"/>
      <c r="K801" s="4"/>
      <c r="L801" s="4"/>
      <c r="M801" s="4"/>
      <c r="N801" s="4"/>
      <c r="O801" s="4"/>
      <c r="P801" s="4"/>
      <c r="Q801" s="4"/>
      <c r="R801" s="4"/>
      <c r="S801" s="4"/>
      <c r="T801" s="6">
        <f>IF(G801="","",SUBSTITUTE(SUBSTITUTE(SUBSTITUTE(SUBSTITUTE(SUBSTITUTE(SUBSTITUTE(SUBSTITUTE(TRIM(G801),".",""),"/",""),"-","")," ",""),"(",""),")",""),"+",""))</f>
      </c>
      <c r="U801" s="6">
        <f>IF(T801="","",IF(LEN(T801)&lt;&gt;14,"ERRO: "&amp;LEN(T801)&amp;" dígitos",IF(NOT(ISNUMBER(VALUE(T801))),"ERRO: não numérico",IF(LEN(SUBSTITUTE(T801,LEFT(T801,1),""))=0,"ERRO: dígitos repetidos",IF(AND(VALUE(MID(T801,13,1))=IF(MOD(SUMPRODUCT(--MID(T801,{1,2,3,4,5,6,7,8,9,10,11,12},1),{5,4,3,2,9,8,7,6,5,4,3,2}),11)&lt;2,0,11-MOD(SUMPRODUCT(--MID(T801,{1,2,3,4,5,6,7,8,9,10,11,12},1),{5,4,3,2,9,8,7,6,5,4,3,2}),11)),VALUE(MID(T801,14,1))=IF(MOD(SUMPRODUCT(--MID(T801,{1,2,3,4,5,6,7,8,9,10,11,12,13},1),{6,5,4,3,2,9,8,7,6,5,4,3,2}),11)&lt;2,0,11-MOD(SUMPRODUCT(--MID(T801,{1,2,3,4,5,6,7,8,9,10,11,12,13},1),{6,5,4,3,2,9,8,7,6,5,4,3,2}),11))),"OK","ERRO: dígito verificador")))))</f>
      </c>
      <c r="V801" s="6">
        <f>IF(T801="","",IF(COUNTIF($T$2:$T$1001,T801)&gt;1,"DUPLICADO","OK"))</f>
      </c>
      <c r="W801" s="6">
        <f>IF(M801="","vazio",IF(OR(AND(LEN(SUBSTITUTE(SUBSTITUTE(SUBSTITUTE(SUBSTITUTE(SUBSTITUTE(SUBSTITUTE(SUBSTITUTE(TRIM(M801),".",""),"/",""),"-","")," ",""),"(",""),")",""),"+",""))=10,LEFT(SUBSTITUTE(SUBSTITUTE(SUBSTITUTE(SUBSTITUTE(SUBSTITUTE(SUBSTITUTE(SUBSTITUTE(TRIM(M801),".",""),"/",""),"-","")," ",""),"(",""),")",""),"+",""),1)&lt;&gt;"0"),AND(LEN(SUBSTITUTE(SUBSTITUTE(SUBSTITUTE(SUBSTITUTE(SUBSTITUTE(SUBSTITUTE(SUBSTITUTE(TRIM(M801),".",""),"/",""),"-","")," ",""),"(",""),")",""),"+",""))=11,LEFT(SUBSTITUTE(SUBSTITUTE(SUBSTITUTE(SUBSTITUTE(SUBSTITUTE(SUBSTITUTE(SUBSTITUTE(TRIM(M801),".",""),"/",""),"-","")," ",""),"(",""),")",""),"+",""),4)="0800")),"OK",IF(AND(LEN(SUBSTITUTE(SUBSTITUTE(SUBSTITUTE(SUBSTITUTE(SUBSTITUTE(SUBSTITUTE(SUBSTITUTE(TRIM(M801),".",""),"/",""),"-","")," ",""),"(",""),")",""),"+",""))=11,MID(SUBSTITUTE(SUBSTITUTE(SUBSTITUTE(SUBSTITUTE(SUBSTITUTE(SUBSTITUTE(SUBSTITUTE(TRIM(M801),".",""),"/",""),"-","")," ",""),"(",""),")",""),"+",""),3,1)="9"),"ERRO: é celular, use a coluna Celular","ERRO: DDD + 8 dígitos ou 0800 + 7")))</f>
      </c>
      <c r="X801" s="6">
        <f>IF(N801="","vazio",IF(AND(LEN(SUBSTITUTE(SUBSTITUTE(SUBSTITUTE(SUBSTITUTE(SUBSTITUTE(SUBSTITUTE(SUBSTITUTE(TRIM(N801),".",""),"/",""),"-","")," ",""),"(",""),")",""),"+",""))=11,MID(SUBSTITUTE(SUBSTITUTE(SUBSTITUTE(SUBSTITUTE(SUBSTITUTE(SUBSTITUTE(SUBSTITUTE(TRIM(N801),".",""),"/",""),"-","")," ",""),"(",""),")",""),"+",""),3,1)="9",LEFT(SUBSTITUTE(SUBSTITUTE(SUBSTITUTE(SUBSTITUTE(SUBSTITUTE(SUBSTITUTE(SUBSTITUTE(TRIM(N801),".",""),"/",""),"-","")," ",""),"(",""),")",""),"+",""),1)&lt;&gt;"0"),"OK",IF(LEN(SUBSTITUTE(SUBSTITUTE(SUBSTITUTE(SUBSTITUTE(SUBSTITUTE(SUBSTITUTE(SUBSTITUTE(TRIM(N801),".",""),"/",""),"-","")," ",""),"(",""),")",""),"+",""))=10,"ERRO: é fixo (ou falta o 9), use a coluna Telefone fixo","ERRO: DDD + 9 + 8 dígitos")))</f>
      </c>
      <c r="Y801" s="6">
        <f>IF(O801="","vazio",IF(AND(ISNUMBER(FIND("@",O801)),ISNUMBER(FIND(".",MID(O801,FIND("@",O801),99))),NOT(ISNUMBER(FIND(" ",TRIM(O801)))),NOT(ISNUMBER(FIND(";",O801))),NOT(ISNUMBER(FIND(",",O801)))),"OK","ERRO: um e-mail válido por linha"))</f>
      </c>
      <c r="Z801" s="6">
        <f>IF(AND(J801="",K801=""),"",IF(AND(J801&lt;&gt;"",K801&lt;&gt;""),"OK","pendente: só um nome (o GR completa ao converter)"))</f>
      </c>
      <c r="AA801" s="6">
        <f>IF(COUNTA(A801:S801)=0,"",IF(AND(A801&lt;&gt;"",B801&lt;&gt;"",C801&lt;&gt;"",D801&lt;&gt;"",E801&lt;&gt;"",F801&lt;&gt;"",G801&lt;&gt;"",H801&lt;&gt;"",OR(J801&lt;&gt;"",K801&lt;&gt;""),OR(M801&lt;&gt;"",N801&lt;&gt;"",O801&lt;&gt;"")),"OK","ERRO: faltam "&amp;IF(A801="","SDR; ","")&amp;IF(B801="","Proprietário; ","")&amp;IF(C801="","Origem; ","")&amp;IF(D801="","Temperatura; ","")&amp;IF(E801="","Segmento; ","")&amp;IF(F801="","Time/Cluster; ","")&amp;IF(G801="","CNPJ; ","")&amp;IF(H801="","Razão Social; ","")&amp;IF(AND(J801="",K801=""),"nome do contato; ","")&amp;IF(AND(M801="",N801="",O801=""),"telefone, celular ou e-mail; ","")))</f>
      </c>
      <c r="AB801" s="6">
        <f>IF(COUNTA(A801:S801)=0,"",IF(AND(U801="OK",V801="OK",LEFT(W801,4)&lt;&gt;"ERRO",LEFT(X801,4)&lt;&gt;"ERRO",LEFT(Y801,4)&lt;&gt;"ERRO",AA801="OK"),"OK","REVISAR"))</f>
      </c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5"/>
      <c r="K802" s="4"/>
      <c r="L802" s="4"/>
      <c r="M802" s="4"/>
      <c r="N802" s="4"/>
      <c r="O802" s="4"/>
      <c r="P802" s="4"/>
      <c r="Q802" s="4"/>
      <c r="R802" s="4"/>
      <c r="S802" s="4"/>
      <c r="T802" s="6">
        <f>IF(G802="","",SUBSTITUTE(SUBSTITUTE(SUBSTITUTE(SUBSTITUTE(SUBSTITUTE(SUBSTITUTE(SUBSTITUTE(TRIM(G802),".",""),"/",""),"-","")," ",""),"(",""),")",""),"+",""))</f>
      </c>
      <c r="U802" s="6">
        <f>IF(T802="","",IF(LEN(T802)&lt;&gt;14,"ERRO: "&amp;LEN(T802)&amp;" dígitos",IF(NOT(ISNUMBER(VALUE(T802))),"ERRO: não numérico",IF(LEN(SUBSTITUTE(T802,LEFT(T802,1),""))=0,"ERRO: dígitos repetidos",IF(AND(VALUE(MID(T802,13,1))=IF(MOD(SUMPRODUCT(--MID(T802,{1,2,3,4,5,6,7,8,9,10,11,12},1),{5,4,3,2,9,8,7,6,5,4,3,2}),11)&lt;2,0,11-MOD(SUMPRODUCT(--MID(T802,{1,2,3,4,5,6,7,8,9,10,11,12},1),{5,4,3,2,9,8,7,6,5,4,3,2}),11)),VALUE(MID(T802,14,1))=IF(MOD(SUMPRODUCT(--MID(T802,{1,2,3,4,5,6,7,8,9,10,11,12,13},1),{6,5,4,3,2,9,8,7,6,5,4,3,2}),11)&lt;2,0,11-MOD(SUMPRODUCT(--MID(T802,{1,2,3,4,5,6,7,8,9,10,11,12,13},1),{6,5,4,3,2,9,8,7,6,5,4,3,2}),11))),"OK","ERRO: dígito verificador")))))</f>
      </c>
      <c r="V802" s="6">
        <f>IF(T802="","",IF(COUNTIF($T$2:$T$1001,T802)&gt;1,"DUPLICADO","OK"))</f>
      </c>
      <c r="W802" s="6">
        <f>IF(M802="","vazio",IF(OR(AND(LEN(SUBSTITUTE(SUBSTITUTE(SUBSTITUTE(SUBSTITUTE(SUBSTITUTE(SUBSTITUTE(SUBSTITUTE(TRIM(M802),".",""),"/",""),"-","")," ",""),"(",""),")",""),"+",""))=10,LEFT(SUBSTITUTE(SUBSTITUTE(SUBSTITUTE(SUBSTITUTE(SUBSTITUTE(SUBSTITUTE(SUBSTITUTE(TRIM(M802),".",""),"/",""),"-","")," ",""),"(",""),")",""),"+",""),1)&lt;&gt;"0"),AND(LEN(SUBSTITUTE(SUBSTITUTE(SUBSTITUTE(SUBSTITUTE(SUBSTITUTE(SUBSTITUTE(SUBSTITUTE(TRIM(M802),".",""),"/",""),"-","")," ",""),"(",""),")",""),"+",""))=11,LEFT(SUBSTITUTE(SUBSTITUTE(SUBSTITUTE(SUBSTITUTE(SUBSTITUTE(SUBSTITUTE(SUBSTITUTE(TRIM(M802),".",""),"/",""),"-","")," ",""),"(",""),")",""),"+",""),4)="0800")),"OK",IF(AND(LEN(SUBSTITUTE(SUBSTITUTE(SUBSTITUTE(SUBSTITUTE(SUBSTITUTE(SUBSTITUTE(SUBSTITUTE(TRIM(M802),".",""),"/",""),"-","")," ",""),"(",""),")",""),"+",""))=11,MID(SUBSTITUTE(SUBSTITUTE(SUBSTITUTE(SUBSTITUTE(SUBSTITUTE(SUBSTITUTE(SUBSTITUTE(TRIM(M802),".",""),"/",""),"-","")," ",""),"(",""),")",""),"+",""),3,1)="9"),"ERRO: é celular, use a coluna Celular","ERRO: DDD + 8 dígitos ou 0800 + 7")))</f>
      </c>
      <c r="X802" s="6">
        <f>IF(N802="","vazio",IF(AND(LEN(SUBSTITUTE(SUBSTITUTE(SUBSTITUTE(SUBSTITUTE(SUBSTITUTE(SUBSTITUTE(SUBSTITUTE(TRIM(N802),".",""),"/",""),"-","")," ",""),"(",""),")",""),"+",""))=11,MID(SUBSTITUTE(SUBSTITUTE(SUBSTITUTE(SUBSTITUTE(SUBSTITUTE(SUBSTITUTE(SUBSTITUTE(TRIM(N802),".",""),"/",""),"-","")," ",""),"(",""),")",""),"+",""),3,1)="9",LEFT(SUBSTITUTE(SUBSTITUTE(SUBSTITUTE(SUBSTITUTE(SUBSTITUTE(SUBSTITUTE(SUBSTITUTE(TRIM(N802),".",""),"/",""),"-","")," ",""),"(",""),")",""),"+",""),1)&lt;&gt;"0"),"OK",IF(LEN(SUBSTITUTE(SUBSTITUTE(SUBSTITUTE(SUBSTITUTE(SUBSTITUTE(SUBSTITUTE(SUBSTITUTE(TRIM(N802),".",""),"/",""),"-","")," ",""),"(",""),")",""),"+",""))=10,"ERRO: é fixo (ou falta o 9), use a coluna Telefone fixo","ERRO: DDD + 9 + 8 dígitos")))</f>
      </c>
      <c r="Y802" s="6">
        <f>IF(O802="","vazio",IF(AND(ISNUMBER(FIND("@",O802)),ISNUMBER(FIND(".",MID(O802,FIND("@",O802),99))),NOT(ISNUMBER(FIND(" ",TRIM(O802)))),NOT(ISNUMBER(FIND(";",O802))),NOT(ISNUMBER(FIND(",",O802)))),"OK","ERRO: um e-mail válido por linha"))</f>
      </c>
      <c r="Z802" s="6">
        <f>IF(AND(J802="",K802=""),"",IF(AND(J802&lt;&gt;"",K802&lt;&gt;""),"OK","pendente: só um nome (o GR completa ao converter)"))</f>
      </c>
      <c r="AA802" s="6">
        <f>IF(COUNTA(A802:S802)=0,"",IF(AND(A802&lt;&gt;"",B802&lt;&gt;"",C802&lt;&gt;"",D802&lt;&gt;"",E802&lt;&gt;"",F802&lt;&gt;"",G802&lt;&gt;"",H802&lt;&gt;"",OR(J802&lt;&gt;"",K802&lt;&gt;""),OR(M802&lt;&gt;"",N802&lt;&gt;"",O802&lt;&gt;"")),"OK","ERRO: faltam "&amp;IF(A802="","SDR; ","")&amp;IF(B802="","Proprietário; ","")&amp;IF(C802="","Origem; ","")&amp;IF(D802="","Temperatura; ","")&amp;IF(E802="","Segmento; ","")&amp;IF(F802="","Time/Cluster; ","")&amp;IF(G802="","CNPJ; ","")&amp;IF(H802="","Razão Social; ","")&amp;IF(AND(J802="",K802=""),"nome do contato; ","")&amp;IF(AND(M802="",N802="",O802=""),"telefone, celular ou e-mail; ","")))</f>
      </c>
      <c r="AB802" s="6">
        <f>IF(COUNTA(A802:S802)=0,"",IF(AND(U802="OK",V802="OK",LEFT(W802,4)&lt;&gt;"ERRO",LEFT(X802,4)&lt;&gt;"ERRO",LEFT(Y802,4)&lt;&gt;"ERRO",AA802="OK"),"OK","REVISAR"))</f>
      </c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5"/>
      <c r="K803" s="4"/>
      <c r="L803" s="4"/>
      <c r="M803" s="4"/>
      <c r="N803" s="4"/>
      <c r="O803" s="4"/>
      <c r="P803" s="4"/>
      <c r="Q803" s="4"/>
      <c r="R803" s="4"/>
      <c r="S803" s="4"/>
      <c r="T803" s="6">
        <f>IF(G803="","",SUBSTITUTE(SUBSTITUTE(SUBSTITUTE(SUBSTITUTE(SUBSTITUTE(SUBSTITUTE(SUBSTITUTE(TRIM(G803),".",""),"/",""),"-","")," ",""),"(",""),")",""),"+",""))</f>
      </c>
      <c r="U803" s="6">
        <f>IF(T803="","",IF(LEN(T803)&lt;&gt;14,"ERRO: "&amp;LEN(T803)&amp;" dígitos",IF(NOT(ISNUMBER(VALUE(T803))),"ERRO: não numérico",IF(LEN(SUBSTITUTE(T803,LEFT(T803,1),""))=0,"ERRO: dígitos repetidos",IF(AND(VALUE(MID(T803,13,1))=IF(MOD(SUMPRODUCT(--MID(T803,{1,2,3,4,5,6,7,8,9,10,11,12},1),{5,4,3,2,9,8,7,6,5,4,3,2}),11)&lt;2,0,11-MOD(SUMPRODUCT(--MID(T803,{1,2,3,4,5,6,7,8,9,10,11,12},1),{5,4,3,2,9,8,7,6,5,4,3,2}),11)),VALUE(MID(T803,14,1))=IF(MOD(SUMPRODUCT(--MID(T803,{1,2,3,4,5,6,7,8,9,10,11,12,13},1),{6,5,4,3,2,9,8,7,6,5,4,3,2}),11)&lt;2,0,11-MOD(SUMPRODUCT(--MID(T803,{1,2,3,4,5,6,7,8,9,10,11,12,13},1),{6,5,4,3,2,9,8,7,6,5,4,3,2}),11))),"OK","ERRO: dígito verificador")))))</f>
      </c>
      <c r="V803" s="6">
        <f>IF(T803="","",IF(COUNTIF($T$2:$T$1001,T803)&gt;1,"DUPLICADO","OK"))</f>
      </c>
      <c r="W803" s="6">
        <f>IF(M803="","vazio",IF(OR(AND(LEN(SUBSTITUTE(SUBSTITUTE(SUBSTITUTE(SUBSTITUTE(SUBSTITUTE(SUBSTITUTE(SUBSTITUTE(TRIM(M803),".",""),"/",""),"-","")," ",""),"(",""),")",""),"+",""))=10,LEFT(SUBSTITUTE(SUBSTITUTE(SUBSTITUTE(SUBSTITUTE(SUBSTITUTE(SUBSTITUTE(SUBSTITUTE(TRIM(M803),".",""),"/",""),"-","")," ",""),"(",""),")",""),"+",""),1)&lt;&gt;"0"),AND(LEN(SUBSTITUTE(SUBSTITUTE(SUBSTITUTE(SUBSTITUTE(SUBSTITUTE(SUBSTITUTE(SUBSTITUTE(TRIM(M803),".",""),"/",""),"-","")," ",""),"(",""),")",""),"+",""))=11,LEFT(SUBSTITUTE(SUBSTITUTE(SUBSTITUTE(SUBSTITUTE(SUBSTITUTE(SUBSTITUTE(SUBSTITUTE(TRIM(M803),".",""),"/",""),"-","")," ",""),"(",""),")",""),"+",""),4)="0800")),"OK",IF(AND(LEN(SUBSTITUTE(SUBSTITUTE(SUBSTITUTE(SUBSTITUTE(SUBSTITUTE(SUBSTITUTE(SUBSTITUTE(TRIM(M803),".",""),"/",""),"-","")," ",""),"(",""),")",""),"+",""))=11,MID(SUBSTITUTE(SUBSTITUTE(SUBSTITUTE(SUBSTITUTE(SUBSTITUTE(SUBSTITUTE(SUBSTITUTE(TRIM(M803),".",""),"/",""),"-","")," ",""),"(",""),")",""),"+",""),3,1)="9"),"ERRO: é celular, use a coluna Celular","ERRO: DDD + 8 dígitos ou 0800 + 7")))</f>
      </c>
      <c r="X803" s="6">
        <f>IF(N803="","vazio",IF(AND(LEN(SUBSTITUTE(SUBSTITUTE(SUBSTITUTE(SUBSTITUTE(SUBSTITUTE(SUBSTITUTE(SUBSTITUTE(TRIM(N803),".",""),"/",""),"-","")," ",""),"(",""),")",""),"+",""))=11,MID(SUBSTITUTE(SUBSTITUTE(SUBSTITUTE(SUBSTITUTE(SUBSTITUTE(SUBSTITUTE(SUBSTITUTE(TRIM(N803),".",""),"/",""),"-","")," ",""),"(",""),")",""),"+",""),3,1)="9",LEFT(SUBSTITUTE(SUBSTITUTE(SUBSTITUTE(SUBSTITUTE(SUBSTITUTE(SUBSTITUTE(SUBSTITUTE(TRIM(N803),".",""),"/",""),"-","")," ",""),"(",""),")",""),"+",""),1)&lt;&gt;"0"),"OK",IF(LEN(SUBSTITUTE(SUBSTITUTE(SUBSTITUTE(SUBSTITUTE(SUBSTITUTE(SUBSTITUTE(SUBSTITUTE(TRIM(N803),".",""),"/",""),"-","")," ",""),"(",""),")",""),"+",""))=10,"ERRO: é fixo (ou falta o 9), use a coluna Telefone fixo","ERRO: DDD + 9 + 8 dígitos")))</f>
      </c>
      <c r="Y803" s="6">
        <f>IF(O803="","vazio",IF(AND(ISNUMBER(FIND("@",O803)),ISNUMBER(FIND(".",MID(O803,FIND("@",O803),99))),NOT(ISNUMBER(FIND(" ",TRIM(O803)))),NOT(ISNUMBER(FIND(";",O803))),NOT(ISNUMBER(FIND(",",O803)))),"OK","ERRO: um e-mail válido por linha"))</f>
      </c>
      <c r="Z803" s="6">
        <f>IF(AND(J803="",K803=""),"",IF(AND(J803&lt;&gt;"",K803&lt;&gt;""),"OK","pendente: só um nome (o GR completa ao converter)"))</f>
      </c>
      <c r="AA803" s="6">
        <f>IF(COUNTA(A803:S803)=0,"",IF(AND(A803&lt;&gt;"",B803&lt;&gt;"",C803&lt;&gt;"",D803&lt;&gt;"",E803&lt;&gt;"",F803&lt;&gt;"",G803&lt;&gt;"",H803&lt;&gt;"",OR(J803&lt;&gt;"",K803&lt;&gt;""),OR(M803&lt;&gt;"",N803&lt;&gt;"",O803&lt;&gt;"")),"OK","ERRO: faltam "&amp;IF(A803="","SDR; ","")&amp;IF(B803="","Proprietário; ","")&amp;IF(C803="","Origem; ","")&amp;IF(D803="","Temperatura; ","")&amp;IF(E803="","Segmento; ","")&amp;IF(F803="","Time/Cluster; ","")&amp;IF(G803="","CNPJ; ","")&amp;IF(H803="","Razão Social; ","")&amp;IF(AND(J803="",K803=""),"nome do contato; ","")&amp;IF(AND(M803="",N803="",O803=""),"telefone, celular ou e-mail; ","")))</f>
      </c>
      <c r="AB803" s="6">
        <f>IF(COUNTA(A803:S803)=0,"",IF(AND(U803="OK",V803="OK",LEFT(W803,4)&lt;&gt;"ERRO",LEFT(X803,4)&lt;&gt;"ERRO",LEFT(Y803,4)&lt;&gt;"ERRO",AA803="OK"),"OK","REVISAR"))</f>
      </c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5"/>
      <c r="K804" s="4"/>
      <c r="L804" s="4"/>
      <c r="M804" s="4"/>
      <c r="N804" s="4"/>
      <c r="O804" s="4"/>
      <c r="P804" s="4"/>
      <c r="Q804" s="4"/>
      <c r="R804" s="4"/>
      <c r="S804" s="4"/>
      <c r="T804" s="6">
        <f>IF(G804="","",SUBSTITUTE(SUBSTITUTE(SUBSTITUTE(SUBSTITUTE(SUBSTITUTE(SUBSTITUTE(SUBSTITUTE(TRIM(G804),".",""),"/",""),"-","")," ",""),"(",""),")",""),"+",""))</f>
      </c>
      <c r="U804" s="6">
        <f>IF(T804="","",IF(LEN(T804)&lt;&gt;14,"ERRO: "&amp;LEN(T804)&amp;" dígitos",IF(NOT(ISNUMBER(VALUE(T804))),"ERRO: não numérico",IF(LEN(SUBSTITUTE(T804,LEFT(T804,1),""))=0,"ERRO: dígitos repetidos",IF(AND(VALUE(MID(T804,13,1))=IF(MOD(SUMPRODUCT(--MID(T804,{1,2,3,4,5,6,7,8,9,10,11,12},1),{5,4,3,2,9,8,7,6,5,4,3,2}),11)&lt;2,0,11-MOD(SUMPRODUCT(--MID(T804,{1,2,3,4,5,6,7,8,9,10,11,12},1),{5,4,3,2,9,8,7,6,5,4,3,2}),11)),VALUE(MID(T804,14,1))=IF(MOD(SUMPRODUCT(--MID(T804,{1,2,3,4,5,6,7,8,9,10,11,12,13},1),{6,5,4,3,2,9,8,7,6,5,4,3,2}),11)&lt;2,0,11-MOD(SUMPRODUCT(--MID(T804,{1,2,3,4,5,6,7,8,9,10,11,12,13},1),{6,5,4,3,2,9,8,7,6,5,4,3,2}),11))),"OK","ERRO: dígito verificador")))))</f>
      </c>
      <c r="V804" s="6">
        <f>IF(T804="","",IF(COUNTIF($T$2:$T$1001,T804)&gt;1,"DUPLICADO","OK"))</f>
      </c>
      <c r="W804" s="6">
        <f>IF(M804="","vazio",IF(OR(AND(LEN(SUBSTITUTE(SUBSTITUTE(SUBSTITUTE(SUBSTITUTE(SUBSTITUTE(SUBSTITUTE(SUBSTITUTE(TRIM(M804),".",""),"/",""),"-","")," ",""),"(",""),")",""),"+",""))=10,LEFT(SUBSTITUTE(SUBSTITUTE(SUBSTITUTE(SUBSTITUTE(SUBSTITUTE(SUBSTITUTE(SUBSTITUTE(TRIM(M804),".",""),"/",""),"-","")," ",""),"(",""),")",""),"+",""),1)&lt;&gt;"0"),AND(LEN(SUBSTITUTE(SUBSTITUTE(SUBSTITUTE(SUBSTITUTE(SUBSTITUTE(SUBSTITUTE(SUBSTITUTE(TRIM(M804),".",""),"/",""),"-","")," ",""),"(",""),")",""),"+",""))=11,LEFT(SUBSTITUTE(SUBSTITUTE(SUBSTITUTE(SUBSTITUTE(SUBSTITUTE(SUBSTITUTE(SUBSTITUTE(TRIM(M804),".",""),"/",""),"-","")," ",""),"(",""),")",""),"+",""),4)="0800")),"OK",IF(AND(LEN(SUBSTITUTE(SUBSTITUTE(SUBSTITUTE(SUBSTITUTE(SUBSTITUTE(SUBSTITUTE(SUBSTITUTE(TRIM(M804),".",""),"/",""),"-","")," ",""),"(",""),")",""),"+",""))=11,MID(SUBSTITUTE(SUBSTITUTE(SUBSTITUTE(SUBSTITUTE(SUBSTITUTE(SUBSTITUTE(SUBSTITUTE(TRIM(M804),".",""),"/",""),"-","")," ",""),"(",""),")",""),"+",""),3,1)="9"),"ERRO: é celular, use a coluna Celular","ERRO: DDD + 8 dígitos ou 0800 + 7")))</f>
      </c>
      <c r="X804" s="6">
        <f>IF(N804="","vazio",IF(AND(LEN(SUBSTITUTE(SUBSTITUTE(SUBSTITUTE(SUBSTITUTE(SUBSTITUTE(SUBSTITUTE(SUBSTITUTE(TRIM(N804),".",""),"/",""),"-","")," ",""),"(",""),")",""),"+",""))=11,MID(SUBSTITUTE(SUBSTITUTE(SUBSTITUTE(SUBSTITUTE(SUBSTITUTE(SUBSTITUTE(SUBSTITUTE(TRIM(N804),".",""),"/",""),"-","")," ",""),"(",""),")",""),"+",""),3,1)="9",LEFT(SUBSTITUTE(SUBSTITUTE(SUBSTITUTE(SUBSTITUTE(SUBSTITUTE(SUBSTITUTE(SUBSTITUTE(TRIM(N804),".",""),"/",""),"-","")," ",""),"(",""),")",""),"+",""),1)&lt;&gt;"0"),"OK",IF(LEN(SUBSTITUTE(SUBSTITUTE(SUBSTITUTE(SUBSTITUTE(SUBSTITUTE(SUBSTITUTE(SUBSTITUTE(TRIM(N804),".",""),"/",""),"-","")," ",""),"(",""),")",""),"+",""))=10,"ERRO: é fixo (ou falta o 9), use a coluna Telefone fixo","ERRO: DDD + 9 + 8 dígitos")))</f>
      </c>
      <c r="Y804" s="6">
        <f>IF(O804="","vazio",IF(AND(ISNUMBER(FIND("@",O804)),ISNUMBER(FIND(".",MID(O804,FIND("@",O804),99))),NOT(ISNUMBER(FIND(" ",TRIM(O804)))),NOT(ISNUMBER(FIND(";",O804))),NOT(ISNUMBER(FIND(",",O804)))),"OK","ERRO: um e-mail válido por linha"))</f>
      </c>
      <c r="Z804" s="6">
        <f>IF(AND(J804="",K804=""),"",IF(AND(J804&lt;&gt;"",K804&lt;&gt;""),"OK","pendente: só um nome (o GR completa ao converter)"))</f>
      </c>
      <c r="AA804" s="6">
        <f>IF(COUNTA(A804:S804)=0,"",IF(AND(A804&lt;&gt;"",B804&lt;&gt;"",C804&lt;&gt;"",D804&lt;&gt;"",E804&lt;&gt;"",F804&lt;&gt;"",G804&lt;&gt;"",H804&lt;&gt;"",OR(J804&lt;&gt;"",K804&lt;&gt;""),OR(M804&lt;&gt;"",N804&lt;&gt;"",O804&lt;&gt;"")),"OK","ERRO: faltam "&amp;IF(A804="","SDR; ","")&amp;IF(B804="","Proprietário; ","")&amp;IF(C804="","Origem; ","")&amp;IF(D804="","Temperatura; ","")&amp;IF(E804="","Segmento; ","")&amp;IF(F804="","Time/Cluster; ","")&amp;IF(G804="","CNPJ; ","")&amp;IF(H804="","Razão Social; ","")&amp;IF(AND(J804="",K804=""),"nome do contato; ","")&amp;IF(AND(M804="",N804="",O804=""),"telefone, celular ou e-mail; ","")))</f>
      </c>
      <c r="AB804" s="6">
        <f>IF(COUNTA(A804:S804)=0,"",IF(AND(U804="OK",V804="OK",LEFT(W804,4)&lt;&gt;"ERRO",LEFT(X804,4)&lt;&gt;"ERRO",LEFT(Y804,4)&lt;&gt;"ERRO",AA804="OK"),"OK","REVISAR"))</f>
      </c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5"/>
      <c r="K805" s="4"/>
      <c r="L805" s="4"/>
      <c r="M805" s="4"/>
      <c r="N805" s="4"/>
      <c r="O805" s="4"/>
      <c r="P805" s="4"/>
      <c r="Q805" s="4"/>
      <c r="R805" s="4"/>
      <c r="S805" s="4"/>
      <c r="T805" s="6">
        <f>IF(G805="","",SUBSTITUTE(SUBSTITUTE(SUBSTITUTE(SUBSTITUTE(SUBSTITUTE(SUBSTITUTE(SUBSTITUTE(TRIM(G805),".",""),"/",""),"-","")," ",""),"(",""),")",""),"+",""))</f>
      </c>
      <c r="U805" s="6">
        <f>IF(T805="","",IF(LEN(T805)&lt;&gt;14,"ERRO: "&amp;LEN(T805)&amp;" dígitos",IF(NOT(ISNUMBER(VALUE(T805))),"ERRO: não numérico",IF(LEN(SUBSTITUTE(T805,LEFT(T805,1),""))=0,"ERRO: dígitos repetidos",IF(AND(VALUE(MID(T805,13,1))=IF(MOD(SUMPRODUCT(--MID(T805,{1,2,3,4,5,6,7,8,9,10,11,12},1),{5,4,3,2,9,8,7,6,5,4,3,2}),11)&lt;2,0,11-MOD(SUMPRODUCT(--MID(T805,{1,2,3,4,5,6,7,8,9,10,11,12},1),{5,4,3,2,9,8,7,6,5,4,3,2}),11)),VALUE(MID(T805,14,1))=IF(MOD(SUMPRODUCT(--MID(T805,{1,2,3,4,5,6,7,8,9,10,11,12,13},1),{6,5,4,3,2,9,8,7,6,5,4,3,2}),11)&lt;2,0,11-MOD(SUMPRODUCT(--MID(T805,{1,2,3,4,5,6,7,8,9,10,11,12,13},1),{6,5,4,3,2,9,8,7,6,5,4,3,2}),11))),"OK","ERRO: dígito verificador")))))</f>
      </c>
      <c r="V805" s="6">
        <f>IF(T805="","",IF(COUNTIF($T$2:$T$1001,T805)&gt;1,"DUPLICADO","OK"))</f>
      </c>
      <c r="W805" s="6">
        <f>IF(M805="","vazio",IF(OR(AND(LEN(SUBSTITUTE(SUBSTITUTE(SUBSTITUTE(SUBSTITUTE(SUBSTITUTE(SUBSTITUTE(SUBSTITUTE(TRIM(M805),".",""),"/",""),"-","")," ",""),"(",""),")",""),"+",""))=10,LEFT(SUBSTITUTE(SUBSTITUTE(SUBSTITUTE(SUBSTITUTE(SUBSTITUTE(SUBSTITUTE(SUBSTITUTE(TRIM(M805),".",""),"/",""),"-","")," ",""),"(",""),")",""),"+",""),1)&lt;&gt;"0"),AND(LEN(SUBSTITUTE(SUBSTITUTE(SUBSTITUTE(SUBSTITUTE(SUBSTITUTE(SUBSTITUTE(SUBSTITUTE(TRIM(M805),".",""),"/",""),"-","")," ",""),"(",""),")",""),"+",""))=11,LEFT(SUBSTITUTE(SUBSTITUTE(SUBSTITUTE(SUBSTITUTE(SUBSTITUTE(SUBSTITUTE(SUBSTITUTE(TRIM(M805),".",""),"/",""),"-","")," ",""),"(",""),")",""),"+",""),4)="0800")),"OK",IF(AND(LEN(SUBSTITUTE(SUBSTITUTE(SUBSTITUTE(SUBSTITUTE(SUBSTITUTE(SUBSTITUTE(SUBSTITUTE(TRIM(M805),".",""),"/",""),"-","")," ",""),"(",""),")",""),"+",""))=11,MID(SUBSTITUTE(SUBSTITUTE(SUBSTITUTE(SUBSTITUTE(SUBSTITUTE(SUBSTITUTE(SUBSTITUTE(TRIM(M805),".",""),"/",""),"-","")," ",""),"(",""),")",""),"+",""),3,1)="9"),"ERRO: é celular, use a coluna Celular","ERRO: DDD + 8 dígitos ou 0800 + 7")))</f>
      </c>
      <c r="X805" s="6">
        <f>IF(N805="","vazio",IF(AND(LEN(SUBSTITUTE(SUBSTITUTE(SUBSTITUTE(SUBSTITUTE(SUBSTITUTE(SUBSTITUTE(SUBSTITUTE(TRIM(N805),".",""),"/",""),"-","")," ",""),"(",""),")",""),"+",""))=11,MID(SUBSTITUTE(SUBSTITUTE(SUBSTITUTE(SUBSTITUTE(SUBSTITUTE(SUBSTITUTE(SUBSTITUTE(TRIM(N805),".",""),"/",""),"-","")," ",""),"(",""),")",""),"+",""),3,1)="9",LEFT(SUBSTITUTE(SUBSTITUTE(SUBSTITUTE(SUBSTITUTE(SUBSTITUTE(SUBSTITUTE(SUBSTITUTE(TRIM(N805),".",""),"/",""),"-","")," ",""),"(",""),")",""),"+",""),1)&lt;&gt;"0"),"OK",IF(LEN(SUBSTITUTE(SUBSTITUTE(SUBSTITUTE(SUBSTITUTE(SUBSTITUTE(SUBSTITUTE(SUBSTITUTE(TRIM(N805),".",""),"/",""),"-","")," ",""),"(",""),")",""),"+",""))=10,"ERRO: é fixo (ou falta o 9), use a coluna Telefone fixo","ERRO: DDD + 9 + 8 dígitos")))</f>
      </c>
      <c r="Y805" s="6">
        <f>IF(O805="","vazio",IF(AND(ISNUMBER(FIND("@",O805)),ISNUMBER(FIND(".",MID(O805,FIND("@",O805),99))),NOT(ISNUMBER(FIND(" ",TRIM(O805)))),NOT(ISNUMBER(FIND(";",O805))),NOT(ISNUMBER(FIND(",",O805)))),"OK","ERRO: um e-mail válido por linha"))</f>
      </c>
      <c r="Z805" s="6">
        <f>IF(AND(J805="",K805=""),"",IF(AND(J805&lt;&gt;"",K805&lt;&gt;""),"OK","pendente: só um nome (o GR completa ao converter)"))</f>
      </c>
      <c r="AA805" s="6">
        <f>IF(COUNTA(A805:S805)=0,"",IF(AND(A805&lt;&gt;"",B805&lt;&gt;"",C805&lt;&gt;"",D805&lt;&gt;"",E805&lt;&gt;"",F805&lt;&gt;"",G805&lt;&gt;"",H805&lt;&gt;"",OR(J805&lt;&gt;"",K805&lt;&gt;""),OR(M805&lt;&gt;"",N805&lt;&gt;"",O805&lt;&gt;"")),"OK","ERRO: faltam "&amp;IF(A805="","SDR; ","")&amp;IF(B805="","Proprietário; ","")&amp;IF(C805="","Origem; ","")&amp;IF(D805="","Temperatura; ","")&amp;IF(E805="","Segmento; ","")&amp;IF(F805="","Time/Cluster; ","")&amp;IF(G805="","CNPJ; ","")&amp;IF(H805="","Razão Social; ","")&amp;IF(AND(J805="",K805=""),"nome do contato; ","")&amp;IF(AND(M805="",N805="",O805=""),"telefone, celular ou e-mail; ","")))</f>
      </c>
      <c r="AB805" s="6">
        <f>IF(COUNTA(A805:S805)=0,"",IF(AND(U805="OK",V805="OK",LEFT(W805,4)&lt;&gt;"ERRO",LEFT(X805,4)&lt;&gt;"ERRO",LEFT(Y805,4)&lt;&gt;"ERRO",AA805="OK"),"OK","REVISAR"))</f>
      </c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5"/>
      <c r="K806" s="4"/>
      <c r="L806" s="4"/>
      <c r="M806" s="4"/>
      <c r="N806" s="4"/>
      <c r="O806" s="4"/>
      <c r="P806" s="4"/>
      <c r="Q806" s="4"/>
      <c r="R806" s="4"/>
      <c r="S806" s="4"/>
      <c r="T806" s="6">
        <f>IF(G806="","",SUBSTITUTE(SUBSTITUTE(SUBSTITUTE(SUBSTITUTE(SUBSTITUTE(SUBSTITUTE(SUBSTITUTE(TRIM(G806),".",""),"/",""),"-","")," ",""),"(",""),")",""),"+",""))</f>
      </c>
      <c r="U806" s="6">
        <f>IF(T806="","",IF(LEN(T806)&lt;&gt;14,"ERRO: "&amp;LEN(T806)&amp;" dígitos",IF(NOT(ISNUMBER(VALUE(T806))),"ERRO: não numérico",IF(LEN(SUBSTITUTE(T806,LEFT(T806,1),""))=0,"ERRO: dígitos repetidos",IF(AND(VALUE(MID(T806,13,1))=IF(MOD(SUMPRODUCT(--MID(T806,{1,2,3,4,5,6,7,8,9,10,11,12},1),{5,4,3,2,9,8,7,6,5,4,3,2}),11)&lt;2,0,11-MOD(SUMPRODUCT(--MID(T806,{1,2,3,4,5,6,7,8,9,10,11,12},1),{5,4,3,2,9,8,7,6,5,4,3,2}),11)),VALUE(MID(T806,14,1))=IF(MOD(SUMPRODUCT(--MID(T806,{1,2,3,4,5,6,7,8,9,10,11,12,13},1),{6,5,4,3,2,9,8,7,6,5,4,3,2}),11)&lt;2,0,11-MOD(SUMPRODUCT(--MID(T806,{1,2,3,4,5,6,7,8,9,10,11,12,13},1),{6,5,4,3,2,9,8,7,6,5,4,3,2}),11))),"OK","ERRO: dígito verificador")))))</f>
      </c>
      <c r="V806" s="6">
        <f>IF(T806="","",IF(COUNTIF($T$2:$T$1001,T806)&gt;1,"DUPLICADO","OK"))</f>
      </c>
      <c r="W806" s="6">
        <f>IF(M806="","vazio",IF(OR(AND(LEN(SUBSTITUTE(SUBSTITUTE(SUBSTITUTE(SUBSTITUTE(SUBSTITUTE(SUBSTITUTE(SUBSTITUTE(TRIM(M806),".",""),"/",""),"-","")," ",""),"(",""),")",""),"+",""))=10,LEFT(SUBSTITUTE(SUBSTITUTE(SUBSTITUTE(SUBSTITUTE(SUBSTITUTE(SUBSTITUTE(SUBSTITUTE(TRIM(M806),".",""),"/",""),"-","")," ",""),"(",""),")",""),"+",""),1)&lt;&gt;"0"),AND(LEN(SUBSTITUTE(SUBSTITUTE(SUBSTITUTE(SUBSTITUTE(SUBSTITUTE(SUBSTITUTE(SUBSTITUTE(TRIM(M806),".",""),"/",""),"-","")," ",""),"(",""),")",""),"+",""))=11,LEFT(SUBSTITUTE(SUBSTITUTE(SUBSTITUTE(SUBSTITUTE(SUBSTITUTE(SUBSTITUTE(SUBSTITUTE(TRIM(M806),".",""),"/",""),"-","")," ",""),"(",""),")",""),"+",""),4)="0800")),"OK",IF(AND(LEN(SUBSTITUTE(SUBSTITUTE(SUBSTITUTE(SUBSTITUTE(SUBSTITUTE(SUBSTITUTE(SUBSTITUTE(TRIM(M806),".",""),"/",""),"-","")," ",""),"(",""),")",""),"+",""))=11,MID(SUBSTITUTE(SUBSTITUTE(SUBSTITUTE(SUBSTITUTE(SUBSTITUTE(SUBSTITUTE(SUBSTITUTE(TRIM(M806),".",""),"/",""),"-","")," ",""),"(",""),")",""),"+",""),3,1)="9"),"ERRO: é celular, use a coluna Celular","ERRO: DDD + 8 dígitos ou 0800 + 7")))</f>
      </c>
      <c r="X806" s="6">
        <f>IF(N806="","vazio",IF(AND(LEN(SUBSTITUTE(SUBSTITUTE(SUBSTITUTE(SUBSTITUTE(SUBSTITUTE(SUBSTITUTE(SUBSTITUTE(TRIM(N806),".",""),"/",""),"-","")," ",""),"(",""),")",""),"+",""))=11,MID(SUBSTITUTE(SUBSTITUTE(SUBSTITUTE(SUBSTITUTE(SUBSTITUTE(SUBSTITUTE(SUBSTITUTE(TRIM(N806),".",""),"/",""),"-","")," ",""),"(",""),")",""),"+",""),3,1)="9",LEFT(SUBSTITUTE(SUBSTITUTE(SUBSTITUTE(SUBSTITUTE(SUBSTITUTE(SUBSTITUTE(SUBSTITUTE(TRIM(N806),".",""),"/",""),"-","")," ",""),"(",""),")",""),"+",""),1)&lt;&gt;"0"),"OK",IF(LEN(SUBSTITUTE(SUBSTITUTE(SUBSTITUTE(SUBSTITUTE(SUBSTITUTE(SUBSTITUTE(SUBSTITUTE(TRIM(N806),".",""),"/",""),"-","")," ",""),"(",""),")",""),"+",""))=10,"ERRO: é fixo (ou falta o 9), use a coluna Telefone fixo","ERRO: DDD + 9 + 8 dígitos")))</f>
      </c>
      <c r="Y806" s="6">
        <f>IF(O806="","vazio",IF(AND(ISNUMBER(FIND("@",O806)),ISNUMBER(FIND(".",MID(O806,FIND("@",O806),99))),NOT(ISNUMBER(FIND(" ",TRIM(O806)))),NOT(ISNUMBER(FIND(";",O806))),NOT(ISNUMBER(FIND(",",O806)))),"OK","ERRO: um e-mail válido por linha"))</f>
      </c>
      <c r="Z806" s="6">
        <f>IF(AND(J806="",K806=""),"",IF(AND(J806&lt;&gt;"",K806&lt;&gt;""),"OK","pendente: só um nome (o GR completa ao converter)"))</f>
      </c>
      <c r="AA806" s="6">
        <f>IF(COUNTA(A806:S806)=0,"",IF(AND(A806&lt;&gt;"",B806&lt;&gt;"",C806&lt;&gt;"",D806&lt;&gt;"",E806&lt;&gt;"",F806&lt;&gt;"",G806&lt;&gt;"",H806&lt;&gt;"",OR(J806&lt;&gt;"",K806&lt;&gt;""),OR(M806&lt;&gt;"",N806&lt;&gt;"",O806&lt;&gt;"")),"OK","ERRO: faltam "&amp;IF(A806="","SDR; ","")&amp;IF(B806="","Proprietário; ","")&amp;IF(C806="","Origem; ","")&amp;IF(D806="","Temperatura; ","")&amp;IF(E806="","Segmento; ","")&amp;IF(F806="","Time/Cluster; ","")&amp;IF(G806="","CNPJ; ","")&amp;IF(H806="","Razão Social; ","")&amp;IF(AND(J806="",K806=""),"nome do contato; ","")&amp;IF(AND(M806="",N806="",O806=""),"telefone, celular ou e-mail; ","")))</f>
      </c>
      <c r="AB806" s="6">
        <f>IF(COUNTA(A806:S806)=0,"",IF(AND(U806="OK",V806="OK",LEFT(W806,4)&lt;&gt;"ERRO",LEFT(X806,4)&lt;&gt;"ERRO",LEFT(Y806,4)&lt;&gt;"ERRO",AA806="OK"),"OK","REVISAR"))</f>
      </c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5"/>
      <c r="K807" s="4"/>
      <c r="L807" s="4"/>
      <c r="M807" s="4"/>
      <c r="N807" s="4"/>
      <c r="O807" s="4"/>
      <c r="P807" s="4"/>
      <c r="Q807" s="4"/>
      <c r="R807" s="4"/>
      <c r="S807" s="4"/>
      <c r="T807" s="6">
        <f>IF(G807="","",SUBSTITUTE(SUBSTITUTE(SUBSTITUTE(SUBSTITUTE(SUBSTITUTE(SUBSTITUTE(SUBSTITUTE(TRIM(G807),".",""),"/",""),"-","")," ",""),"(",""),")",""),"+",""))</f>
      </c>
      <c r="U807" s="6">
        <f>IF(T807="","",IF(LEN(T807)&lt;&gt;14,"ERRO: "&amp;LEN(T807)&amp;" dígitos",IF(NOT(ISNUMBER(VALUE(T807))),"ERRO: não numérico",IF(LEN(SUBSTITUTE(T807,LEFT(T807,1),""))=0,"ERRO: dígitos repetidos",IF(AND(VALUE(MID(T807,13,1))=IF(MOD(SUMPRODUCT(--MID(T807,{1,2,3,4,5,6,7,8,9,10,11,12},1),{5,4,3,2,9,8,7,6,5,4,3,2}),11)&lt;2,0,11-MOD(SUMPRODUCT(--MID(T807,{1,2,3,4,5,6,7,8,9,10,11,12},1),{5,4,3,2,9,8,7,6,5,4,3,2}),11)),VALUE(MID(T807,14,1))=IF(MOD(SUMPRODUCT(--MID(T807,{1,2,3,4,5,6,7,8,9,10,11,12,13},1),{6,5,4,3,2,9,8,7,6,5,4,3,2}),11)&lt;2,0,11-MOD(SUMPRODUCT(--MID(T807,{1,2,3,4,5,6,7,8,9,10,11,12,13},1),{6,5,4,3,2,9,8,7,6,5,4,3,2}),11))),"OK","ERRO: dígito verificador")))))</f>
      </c>
      <c r="V807" s="6">
        <f>IF(T807="","",IF(COUNTIF($T$2:$T$1001,T807)&gt;1,"DUPLICADO","OK"))</f>
      </c>
      <c r="W807" s="6">
        <f>IF(M807="","vazio",IF(OR(AND(LEN(SUBSTITUTE(SUBSTITUTE(SUBSTITUTE(SUBSTITUTE(SUBSTITUTE(SUBSTITUTE(SUBSTITUTE(TRIM(M807),".",""),"/",""),"-","")," ",""),"(",""),")",""),"+",""))=10,LEFT(SUBSTITUTE(SUBSTITUTE(SUBSTITUTE(SUBSTITUTE(SUBSTITUTE(SUBSTITUTE(SUBSTITUTE(TRIM(M807),".",""),"/",""),"-","")," ",""),"(",""),")",""),"+",""),1)&lt;&gt;"0"),AND(LEN(SUBSTITUTE(SUBSTITUTE(SUBSTITUTE(SUBSTITUTE(SUBSTITUTE(SUBSTITUTE(SUBSTITUTE(TRIM(M807),".",""),"/",""),"-","")," ",""),"(",""),")",""),"+",""))=11,LEFT(SUBSTITUTE(SUBSTITUTE(SUBSTITUTE(SUBSTITUTE(SUBSTITUTE(SUBSTITUTE(SUBSTITUTE(TRIM(M807),".",""),"/",""),"-","")," ",""),"(",""),")",""),"+",""),4)="0800")),"OK",IF(AND(LEN(SUBSTITUTE(SUBSTITUTE(SUBSTITUTE(SUBSTITUTE(SUBSTITUTE(SUBSTITUTE(SUBSTITUTE(TRIM(M807),".",""),"/",""),"-","")," ",""),"(",""),")",""),"+",""))=11,MID(SUBSTITUTE(SUBSTITUTE(SUBSTITUTE(SUBSTITUTE(SUBSTITUTE(SUBSTITUTE(SUBSTITUTE(TRIM(M807),".",""),"/",""),"-","")," ",""),"(",""),")",""),"+",""),3,1)="9"),"ERRO: é celular, use a coluna Celular","ERRO: DDD + 8 dígitos ou 0800 + 7")))</f>
      </c>
      <c r="X807" s="6">
        <f>IF(N807="","vazio",IF(AND(LEN(SUBSTITUTE(SUBSTITUTE(SUBSTITUTE(SUBSTITUTE(SUBSTITUTE(SUBSTITUTE(SUBSTITUTE(TRIM(N807),".",""),"/",""),"-","")," ",""),"(",""),")",""),"+",""))=11,MID(SUBSTITUTE(SUBSTITUTE(SUBSTITUTE(SUBSTITUTE(SUBSTITUTE(SUBSTITUTE(SUBSTITUTE(TRIM(N807),".",""),"/",""),"-","")," ",""),"(",""),")",""),"+",""),3,1)="9",LEFT(SUBSTITUTE(SUBSTITUTE(SUBSTITUTE(SUBSTITUTE(SUBSTITUTE(SUBSTITUTE(SUBSTITUTE(TRIM(N807),".",""),"/",""),"-","")," ",""),"(",""),")",""),"+",""),1)&lt;&gt;"0"),"OK",IF(LEN(SUBSTITUTE(SUBSTITUTE(SUBSTITUTE(SUBSTITUTE(SUBSTITUTE(SUBSTITUTE(SUBSTITUTE(TRIM(N807),".",""),"/",""),"-","")," ",""),"(",""),")",""),"+",""))=10,"ERRO: é fixo (ou falta o 9), use a coluna Telefone fixo","ERRO: DDD + 9 + 8 dígitos")))</f>
      </c>
      <c r="Y807" s="6">
        <f>IF(O807="","vazio",IF(AND(ISNUMBER(FIND("@",O807)),ISNUMBER(FIND(".",MID(O807,FIND("@",O807),99))),NOT(ISNUMBER(FIND(" ",TRIM(O807)))),NOT(ISNUMBER(FIND(";",O807))),NOT(ISNUMBER(FIND(",",O807)))),"OK","ERRO: um e-mail válido por linha"))</f>
      </c>
      <c r="Z807" s="6">
        <f>IF(AND(J807="",K807=""),"",IF(AND(J807&lt;&gt;"",K807&lt;&gt;""),"OK","pendente: só um nome (o GR completa ao converter)"))</f>
      </c>
      <c r="AA807" s="6">
        <f>IF(COUNTA(A807:S807)=0,"",IF(AND(A807&lt;&gt;"",B807&lt;&gt;"",C807&lt;&gt;"",D807&lt;&gt;"",E807&lt;&gt;"",F807&lt;&gt;"",G807&lt;&gt;"",H807&lt;&gt;"",OR(J807&lt;&gt;"",K807&lt;&gt;""),OR(M807&lt;&gt;"",N807&lt;&gt;"",O807&lt;&gt;"")),"OK","ERRO: faltam "&amp;IF(A807="","SDR; ","")&amp;IF(B807="","Proprietário; ","")&amp;IF(C807="","Origem; ","")&amp;IF(D807="","Temperatura; ","")&amp;IF(E807="","Segmento; ","")&amp;IF(F807="","Time/Cluster; ","")&amp;IF(G807="","CNPJ; ","")&amp;IF(H807="","Razão Social; ","")&amp;IF(AND(J807="",K807=""),"nome do contato; ","")&amp;IF(AND(M807="",N807="",O807=""),"telefone, celular ou e-mail; ","")))</f>
      </c>
      <c r="AB807" s="6">
        <f>IF(COUNTA(A807:S807)=0,"",IF(AND(U807="OK",V807="OK",LEFT(W807,4)&lt;&gt;"ERRO",LEFT(X807,4)&lt;&gt;"ERRO",LEFT(Y807,4)&lt;&gt;"ERRO",AA807="OK"),"OK","REVISAR"))</f>
      </c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5"/>
      <c r="K808" s="4"/>
      <c r="L808" s="4"/>
      <c r="M808" s="4"/>
      <c r="N808" s="4"/>
      <c r="O808" s="4"/>
      <c r="P808" s="4"/>
      <c r="Q808" s="4"/>
      <c r="R808" s="4"/>
      <c r="S808" s="4"/>
      <c r="T808" s="6">
        <f>IF(G808="","",SUBSTITUTE(SUBSTITUTE(SUBSTITUTE(SUBSTITUTE(SUBSTITUTE(SUBSTITUTE(SUBSTITUTE(TRIM(G808),".",""),"/",""),"-","")," ",""),"(",""),")",""),"+",""))</f>
      </c>
      <c r="U808" s="6">
        <f>IF(T808="","",IF(LEN(T808)&lt;&gt;14,"ERRO: "&amp;LEN(T808)&amp;" dígitos",IF(NOT(ISNUMBER(VALUE(T808))),"ERRO: não numérico",IF(LEN(SUBSTITUTE(T808,LEFT(T808,1),""))=0,"ERRO: dígitos repetidos",IF(AND(VALUE(MID(T808,13,1))=IF(MOD(SUMPRODUCT(--MID(T808,{1,2,3,4,5,6,7,8,9,10,11,12},1),{5,4,3,2,9,8,7,6,5,4,3,2}),11)&lt;2,0,11-MOD(SUMPRODUCT(--MID(T808,{1,2,3,4,5,6,7,8,9,10,11,12},1),{5,4,3,2,9,8,7,6,5,4,3,2}),11)),VALUE(MID(T808,14,1))=IF(MOD(SUMPRODUCT(--MID(T808,{1,2,3,4,5,6,7,8,9,10,11,12,13},1),{6,5,4,3,2,9,8,7,6,5,4,3,2}),11)&lt;2,0,11-MOD(SUMPRODUCT(--MID(T808,{1,2,3,4,5,6,7,8,9,10,11,12,13},1),{6,5,4,3,2,9,8,7,6,5,4,3,2}),11))),"OK","ERRO: dígito verificador")))))</f>
      </c>
      <c r="V808" s="6">
        <f>IF(T808="","",IF(COUNTIF($T$2:$T$1001,T808)&gt;1,"DUPLICADO","OK"))</f>
      </c>
      <c r="W808" s="6">
        <f>IF(M808="","vazio",IF(OR(AND(LEN(SUBSTITUTE(SUBSTITUTE(SUBSTITUTE(SUBSTITUTE(SUBSTITUTE(SUBSTITUTE(SUBSTITUTE(TRIM(M808),".",""),"/",""),"-","")," ",""),"(",""),")",""),"+",""))=10,LEFT(SUBSTITUTE(SUBSTITUTE(SUBSTITUTE(SUBSTITUTE(SUBSTITUTE(SUBSTITUTE(SUBSTITUTE(TRIM(M808),".",""),"/",""),"-","")," ",""),"(",""),")",""),"+",""),1)&lt;&gt;"0"),AND(LEN(SUBSTITUTE(SUBSTITUTE(SUBSTITUTE(SUBSTITUTE(SUBSTITUTE(SUBSTITUTE(SUBSTITUTE(TRIM(M808),".",""),"/",""),"-","")," ",""),"(",""),")",""),"+",""))=11,LEFT(SUBSTITUTE(SUBSTITUTE(SUBSTITUTE(SUBSTITUTE(SUBSTITUTE(SUBSTITUTE(SUBSTITUTE(TRIM(M808),".",""),"/",""),"-","")," ",""),"(",""),")",""),"+",""),4)="0800")),"OK",IF(AND(LEN(SUBSTITUTE(SUBSTITUTE(SUBSTITUTE(SUBSTITUTE(SUBSTITUTE(SUBSTITUTE(SUBSTITUTE(TRIM(M808),".",""),"/",""),"-","")," ",""),"(",""),")",""),"+",""))=11,MID(SUBSTITUTE(SUBSTITUTE(SUBSTITUTE(SUBSTITUTE(SUBSTITUTE(SUBSTITUTE(SUBSTITUTE(TRIM(M808),".",""),"/",""),"-","")," ",""),"(",""),")",""),"+",""),3,1)="9"),"ERRO: é celular, use a coluna Celular","ERRO: DDD + 8 dígitos ou 0800 + 7")))</f>
      </c>
      <c r="X808" s="6">
        <f>IF(N808="","vazio",IF(AND(LEN(SUBSTITUTE(SUBSTITUTE(SUBSTITUTE(SUBSTITUTE(SUBSTITUTE(SUBSTITUTE(SUBSTITUTE(TRIM(N808),".",""),"/",""),"-","")," ",""),"(",""),")",""),"+",""))=11,MID(SUBSTITUTE(SUBSTITUTE(SUBSTITUTE(SUBSTITUTE(SUBSTITUTE(SUBSTITUTE(SUBSTITUTE(TRIM(N808),".",""),"/",""),"-","")," ",""),"(",""),")",""),"+",""),3,1)="9",LEFT(SUBSTITUTE(SUBSTITUTE(SUBSTITUTE(SUBSTITUTE(SUBSTITUTE(SUBSTITUTE(SUBSTITUTE(TRIM(N808),".",""),"/",""),"-","")," ",""),"(",""),")",""),"+",""),1)&lt;&gt;"0"),"OK",IF(LEN(SUBSTITUTE(SUBSTITUTE(SUBSTITUTE(SUBSTITUTE(SUBSTITUTE(SUBSTITUTE(SUBSTITUTE(TRIM(N808),".",""),"/",""),"-","")," ",""),"(",""),")",""),"+",""))=10,"ERRO: é fixo (ou falta o 9), use a coluna Telefone fixo","ERRO: DDD + 9 + 8 dígitos")))</f>
      </c>
      <c r="Y808" s="6">
        <f>IF(O808="","vazio",IF(AND(ISNUMBER(FIND("@",O808)),ISNUMBER(FIND(".",MID(O808,FIND("@",O808),99))),NOT(ISNUMBER(FIND(" ",TRIM(O808)))),NOT(ISNUMBER(FIND(";",O808))),NOT(ISNUMBER(FIND(",",O808)))),"OK","ERRO: um e-mail válido por linha"))</f>
      </c>
      <c r="Z808" s="6">
        <f>IF(AND(J808="",K808=""),"",IF(AND(J808&lt;&gt;"",K808&lt;&gt;""),"OK","pendente: só um nome (o GR completa ao converter)"))</f>
      </c>
      <c r="AA808" s="6">
        <f>IF(COUNTA(A808:S808)=0,"",IF(AND(A808&lt;&gt;"",B808&lt;&gt;"",C808&lt;&gt;"",D808&lt;&gt;"",E808&lt;&gt;"",F808&lt;&gt;"",G808&lt;&gt;"",H808&lt;&gt;"",OR(J808&lt;&gt;"",K808&lt;&gt;""),OR(M808&lt;&gt;"",N808&lt;&gt;"",O808&lt;&gt;"")),"OK","ERRO: faltam "&amp;IF(A808="","SDR; ","")&amp;IF(B808="","Proprietário; ","")&amp;IF(C808="","Origem; ","")&amp;IF(D808="","Temperatura; ","")&amp;IF(E808="","Segmento; ","")&amp;IF(F808="","Time/Cluster; ","")&amp;IF(G808="","CNPJ; ","")&amp;IF(H808="","Razão Social; ","")&amp;IF(AND(J808="",K808=""),"nome do contato; ","")&amp;IF(AND(M808="",N808="",O808=""),"telefone, celular ou e-mail; ","")))</f>
      </c>
      <c r="AB808" s="6">
        <f>IF(COUNTA(A808:S808)=0,"",IF(AND(U808="OK",V808="OK",LEFT(W808,4)&lt;&gt;"ERRO",LEFT(X808,4)&lt;&gt;"ERRO",LEFT(Y808,4)&lt;&gt;"ERRO",AA808="OK"),"OK","REVISAR"))</f>
      </c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5"/>
      <c r="K809" s="4"/>
      <c r="L809" s="4"/>
      <c r="M809" s="4"/>
      <c r="N809" s="4"/>
      <c r="O809" s="4"/>
      <c r="P809" s="4"/>
      <c r="Q809" s="4"/>
      <c r="R809" s="4"/>
      <c r="S809" s="4"/>
      <c r="T809" s="6">
        <f>IF(G809="","",SUBSTITUTE(SUBSTITUTE(SUBSTITUTE(SUBSTITUTE(SUBSTITUTE(SUBSTITUTE(SUBSTITUTE(TRIM(G809),".",""),"/",""),"-","")," ",""),"(",""),")",""),"+",""))</f>
      </c>
      <c r="U809" s="6">
        <f>IF(T809="","",IF(LEN(T809)&lt;&gt;14,"ERRO: "&amp;LEN(T809)&amp;" dígitos",IF(NOT(ISNUMBER(VALUE(T809))),"ERRO: não numérico",IF(LEN(SUBSTITUTE(T809,LEFT(T809,1),""))=0,"ERRO: dígitos repetidos",IF(AND(VALUE(MID(T809,13,1))=IF(MOD(SUMPRODUCT(--MID(T809,{1,2,3,4,5,6,7,8,9,10,11,12},1),{5,4,3,2,9,8,7,6,5,4,3,2}),11)&lt;2,0,11-MOD(SUMPRODUCT(--MID(T809,{1,2,3,4,5,6,7,8,9,10,11,12},1),{5,4,3,2,9,8,7,6,5,4,3,2}),11)),VALUE(MID(T809,14,1))=IF(MOD(SUMPRODUCT(--MID(T809,{1,2,3,4,5,6,7,8,9,10,11,12,13},1),{6,5,4,3,2,9,8,7,6,5,4,3,2}),11)&lt;2,0,11-MOD(SUMPRODUCT(--MID(T809,{1,2,3,4,5,6,7,8,9,10,11,12,13},1),{6,5,4,3,2,9,8,7,6,5,4,3,2}),11))),"OK","ERRO: dígito verificador")))))</f>
      </c>
      <c r="V809" s="6">
        <f>IF(T809="","",IF(COUNTIF($T$2:$T$1001,T809)&gt;1,"DUPLICADO","OK"))</f>
      </c>
      <c r="W809" s="6">
        <f>IF(M809="","vazio",IF(OR(AND(LEN(SUBSTITUTE(SUBSTITUTE(SUBSTITUTE(SUBSTITUTE(SUBSTITUTE(SUBSTITUTE(SUBSTITUTE(TRIM(M809),".",""),"/",""),"-","")," ",""),"(",""),")",""),"+",""))=10,LEFT(SUBSTITUTE(SUBSTITUTE(SUBSTITUTE(SUBSTITUTE(SUBSTITUTE(SUBSTITUTE(SUBSTITUTE(TRIM(M809),".",""),"/",""),"-","")," ",""),"(",""),")",""),"+",""),1)&lt;&gt;"0"),AND(LEN(SUBSTITUTE(SUBSTITUTE(SUBSTITUTE(SUBSTITUTE(SUBSTITUTE(SUBSTITUTE(SUBSTITUTE(TRIM(M809),".",""),"/",""),"-","")," ",""),"(",""),")",""),"+",""))=11,LEFT(SUBSTITUTE(SUBSTITUTE(SUBSTITUTE(SUBSTITUTE(SUBSTITUTE(SUBSTITUTE(SUBSTITUTE(TRIM(M809),".",""),"/",""),"-","")," ",""),"(",""),")",""),"+",""),4)="0800")),"OK",IF(AND(LEN(SUBSTITUTE(SUBSTITUTE(SUBSTITUTE(SUBSTITUTE(SUBSTITUTE(SUBSTITUTE(SUBSTITUTE(TRIM(M809),".",""),"/",""),"-","")," ",""),"(",""),")",""),"+",""))=11,MID(SUBSTITUTE(SUBSTITUTE(SUBSTITUTE(SUBSTITUTE(SUBSTITUTE(SUBSTITUTE(SUBSTITUTE(TRIM(M809),".",""),"/",""),"-","")," ",""),"(",""),")",""),"+",""),3,1)="9"),"ERRO: é celular, use a coluna Celular","ERRO: DDD + 8 dígitos ou 0800 + 7")))</f>
      </c>
      <c r="X809" s="6">
        <f>IF(N809="","vazio",IF(AND(LEN(SUBSTITUTE(SUBSTITUTE(SUBSTITUTE(SUBSTITUTE(SUBSTITUTE(SUBSTITUTE(SUBSTITUTE(TRIM(N809),".",""),"/",""),"-","")," ",""),"(",""),")",""),"+",""))=11,MID(SUBSTITUTE(SUBSTITUTE(SUBSTITUTE(SUBSTITUTE(SUBSTITUTE(SUBSTITUTE(SUBSTITUTE(TRIM(N809),".",""),"/",""),"-","")," ",""),"(",""),")",""),"+",""),3,1)="9",LEFT(SUBSTITUTE(SUBSTITUTE(SUBSTITUTE(SUBSTITUTE(SUBSTITUTE(SUBSTITUTE(SUBSTITUTE(TRIM(N809),".",""),"/",""),"-","")," ",""),"(",""),")",""),"+",""),1)&lt;&gt;"0"),"OK",IF(LEN(SUBSTITUTE(SUBSTITUTE(SUBSTITUTE(SUBSTITUTE(SUBSTITUTE(SUBSTITUTE(SUBSTITUTE(TRIM(N809),".",""),"/",""),"-","")," ",""),"(",""),")",""),"+",""))=10,"ERRO: é fixo (ou falta o 9), use a coluna Telefone fixo","ERRO: DDD + 9 + 8 dígitos")))</f>
      </c>
      <c r="Y809" s="6">
        <f>IF(O809="","vazio",IF(AND(ISNUMBER(FIND("@",O809)),ISNUMBER(FIND(".",MID(O809,FIND("@",O809),99))),NOT(ISNUMBER(FIND(" ",TRIM(O809)))),NOT(ISNUMBER(FIND(";",O809))),NOT(ISNUMBER(FIND(",",O809)))),"OK","ERRO: um e-mail válido por linha"))</f>
      </c>
      <c r="Z809" s="6">
        <f>IF(AND(J809="",K809=""),"",IF(AND(J809&lt;&gt;"",K809&lt;&gt;""),"OK","pendente: só um nome (o GR completa ao converter)"))</f>
      </c>
      <c r="AA809" s="6">
        <f>IF(COUNTA(A809:S809)=0,"",IF(AND(A809&lt;&gt;"",B809&lt;&gt;"",C809&lt;&gt;"",D809&lt;&gt;"",E809&lt;&gt;"",F809&lt;&gt;"",G809&lt;&gt;"",H809&lt;&gt;"",OR(J809&lt;&gt;"",K809&lt;&gt;""),OR(M809&lt;&gt;"",N809&lt;&gt;"",O809&lt;&gt;"")),"OK","ERRO: faltam "&amp;IF(A809="","SDR; ","")&amp;IF(B809="","Proprietário; ","")&amp;IF(C809="","Origem; ","")&amp;IF(D809="","Temperatura; ","")&amp;IF(E809="","Segmento; ","")&amp;IF(F809="","Time/Cluster; ","")&amp;IF(G809="","CNPJ; ","")&amp;IF(H809="","Razão Social; ","")&amp;IF(AND(J809="",K809=""),"nome do contato; ","")&amp;IF(AND(M809="",N809="",O809=""),"telefone, celular ou e-mail; ","")))</f>
      </c>
      <c r="AB809" s="6">
        <f>IF(COUNTA(A809:S809)=0,"",IF(AND(U809="OK",V809="OK",LEFT(W809,4)&lt;&gt;"ERRO",LEFT(X809,4)&lt;&gt;"ERRO",LEFT(Y809,4)&lt;&gt;"ERRO",AA809="OK"),"OK","REVISAR"))</f>
      </c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5"/>
      <c r="K810" s="4"/>
      <c r="L810" s="4"/>
      <c r="M810" s="4"/>
      <c r="N810" s="4"/>
      <c r="O810" s="4"/>
      <c r="P810" s="4"/>
      <c r="Q810" s="4"/>
      <c r="R810" s="4"/>
      <c r="S810" s="4"/>
      <c r="T810" s="6">
        <f>IF(G810="","",SUBSTITUTE(SUBSTITUTE(SUBSTITUTE(SUBSTITUTE(SUBSTITUTE(SUBSTITUTE(SUBSTITUTE(TRIM(G810),".",""),"/",""),"-","")," ",""),"(",""),")",""),"+",""))</f>
      </c>
      <c r="U810" s="6">
        <f>IF(T810="","",IF(LEN(T810)&lt;&gt;14,"ERRO: "&amp;LEN(T810)&amp;" dígitos",IF(NOT(ISNUMBER(VALUE(T810))),"ERRO: não numérico",IF(LEN(SUBSTITUTE(T810,LEFT(T810,1),""))=0,"ERRO: dígitos repetidos",IF(AND(VALUE(MID(T810,13,1))=IF(MOD(SUMPRODUCT(--MID(T810,{1,2,3,4,5,6,7,8,9,10,11,12},1),{5,4,3,2,9,8,7,6,5,4,3,2}),11)&lt;2,0,11-MOD(SUMPRODUCT(--MID(T810,{1,2,3,4,5,6,7,8,9,10,11,12},1),{5,4,3,2,9,8,7,6,5,4,3,2}),11)),VALUE(MID(T810,14,1))=IF(MOD(SUMPRODUCT(--MID(T810,{1,2,3,4,5,6,7,8,9,10,11,12,13},1),{6,5,4,3,2,9,8,7,6,5,4,3,2}),11)&lt;2,0,11-MOD(SUMPRODUCT(--MID(T810,{1,2,3,4,5,6,7,8,9,10,11,12,13},1),{6,5,4,3,2,9,8,7,6,5,4,3,2}),11))),"OK","ERRO: dígito verificador")))))</f>
      </c>
      <c r="V810" s="6">
        <f>IF(T810="","",IF(COUNTIF($T$2:$T$1001,T810)&gt;1,"DUPLICADO","OK"))</f>
      </c>
      <c r="W810" s="6">
        <f>IF(M810="","vazio",IF(OR(AND(LEN(SUBSTITUTE(SUBSTITUTE(SUBSTITUTE(SUBSTITUTE(SUBSTITUTE(SUBSTITUTE(SUBSTITUTE(TRIM(M810),".",""),"/",""),"-","")," ",""),"(",""),")",""),"+",""))=10,LEFT(SUBSTITUTE(SUBSTITUTE(SUBSTITUTE(SUBSTITUTE(SUBSTITUTE(SUBSTITUTE(SUBSTITUTE(TRIM(M810),".",""),"/",""),"-","")," ",""),"(",""),")",""),"+",""),1)&lt;&gt;"0"),AND(LEN(SUBSTITUTE(SUBSTITUTE(SUBSTITUTE(SUBSTITUTE(SUBSTITUTE(SUBSTITUTE(SUBSTITUTE(TRIM(M810),".",""),"/",""),"-","")," ",""),"(",""),")",""),"+",""))=11,LEFT(SUBSTITUTE(SUBSTITUTE(SUBSTITUTE(SUBSTITUTE(SUBSTITUTE(SUBSTITUTE(SUBSTITUTE(TRIM(M810),".",""),"/",""),"-","")," ",""),"(",""),")",""),"+",""),4)="0800")),"OK",IF(AND(LEN(SUBSTITUTE(SUBSTITUTE(SUBSTITUTE(SUBSTITUTE(SUBSTITUTE(SUBSTITUTE(SUBSTITUTE(TRIM(M810),".",""),"/",""),"-","")," ",""),"(",""),")",""),"+",""))=11,MID(SUBSTITUTE(SUBSTITUTE(SUBSTITUTE(SUBSTITUTE(SUBSTITUTE(SUBSTITUTE(SUBSTITUTE(TRIM(M810),".",""),"/",""),"-","")," ",""),"(",""),")",""),"+",""),3,1)="9"),"ERRO: é celular, use a coluna Celular","ERRO: DDD + 8 dígitos ou 0800 + 7")))</f>
      </c>
      <c r="X810" s="6">
        <f>IF(N810="","vazio",IF(AND(LEN(SUBSTITUTE(SUBSTITUTE(SUBSTITUTE(SUBSTITUTE(SUBSTITUTE(SUBSTITUTE(SUBSTITUTE(TRIM(N810),".",""),"/",""),"-","")," ",""),"(",""),")",""),"+",""))=11,MID(SUBSTITUTE(SUBSTITUTE(SUBSTITUTE(SUBSTITUTE(SUBSTITUTE(SUBSTITUTE(SUBSTITUTE(TRIM(N810),".",""),"/",""),"-","")," ",""),"(",""),")",""),"+",""),3,1)="9",LEFT(SUBSTITUTE(SUBSTITUTE(SUBSTITUTE(SUBSTITUTE(SUBSTITUTE(SUBSTITUTE(SUBSTITUTE(TRIM(N810),".",""),"/",""),"-","")," ",""),"(",""),")",""),"+",""),1)&lt;&gt;"0"),"OK",IF(LEN(SUBSTITUTE(SUBSTITUTE(SUBSTITUTE(SUBSTITUTE(SUBSTITUTE(SUBSTITUTE(SUBSTITUTE(TRIM(N810),".",""),"/",""),"-","")," ",""),"(",""),")",""),"+",""))=10,"ERRO: é fixo (ou falta o 9), use a coluna Telefone fixo","ERRO: DDD + 9 + 8 dígitos")))</f>
      </c>
      <c r="Y810" s="6">
        <f>IF(O810="","vazio",IF(AND(ISNUMBER(FIND("@",O810)),ISNUMBER(FIND(".",MID(O810,FIND("@",O810),99))),NOT(ISNUMBER(FIND(" ",TRIM(O810)))),NOT(ISNUMBER(FIND(";",O810))),NOT(ISNUMBER(FIND(",",O810)))),"OK","ERRO: um e-mail válido por linha"))</f>
      </c>
      <c r="Z810" s="6">
        <f>IF(AND(J810="",K810=""),"",IF(AND(J810&lt;&gt;"",K810&lt;&gt;""),"OK","pendente: só um nome (o GR completa ao converter)"))</f>
      </c>
      <c r="AA810" s="6">
        <f>IF(COUNTA(A810:S810)=0,"",IF(AND(A810&lt;&gt;"",B810&lt;&gt;"",C810&lt;&gt;"",D810&lt;&gt;"",E810&lt;&gt;"",F810&lt;&gt;"",G810&lt;&gt;"",H810&lt;&gt;"",OR(J810&lt;&gt;"",K810&lt;&gt;""),OR(M810&lt;&gt;"",N810&lt;&gt;"",O810&lt;&gt;"")),"OK","ERRO: faltam "&amp;IF(A810="","SDR; ","")&amp;IF(B810="","Proprietário; ","")&amp;IF(C810="","Origem; ","")&amp;IF(D810="","Temperatura; ","")&amp;IF(E810="","Segmento; ","")&amp;IF(F810="","Time/Cluster; ","")&amp;IF(G810="","CNPJ; ","")&amp;IF(H810="","Razão Social; ","")&amp;IF(AND(J810="",K810=""),"nome do contato; ","")&amp;IF(AND(M810="",N810="",O810=""),"telefone, celular ou e-mail; ","")))</f>
      </c>
      <c r="AB810" s="6">
        <f>IF(COUNTA(A810:S810)=0,"",IF(AND(U810="OK",V810="OK",LEFT(W810,4)&lt;&gt;"ERRO",LEFT(X810,4)&lt;&gt;"ERRO",LEFT(Y810,4)&lt;&gt;"ERRO",AA810="OK"),"OK","REVISAR"))</f>
      </c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5"/>
      <c r="K811" s="4"/>
      <c r="L811" s="4"/>
      <c r="M811" s="4"/>
      <c r="N811" s="4"/>
      <c r="O811" s="4"/>
      <c r="P811" s="4"/>
      <c r="Q811" s="4"/>
      <c r="R811" s="4"/>
      <c r="S811" s="4"/>
      <c r="T811" s="6">
        <f>IF(G811="","",SUBSTITUTE(SUBSTITUTE(SUBSTITUTE(SUBSTITUTE(SUBSTITUTE(SUBSTITUTE(SUBSTITUTE(TRIM(G811),".",""),"/",""),"-","")," ",""),"(",""),")",""),"+",""))</f>
      </c>
      <c r="U811" s="6">
        <f>IF(T811="","",IF(LEN(T811)&lt;&gt;14,"ERRO: "&amp;LEN(T811)&amp;" dígitos",IF(NOT(ISNUMBER(VALUE(T811))),"ERRO: não numérico",IF(LEN(SUBSTITUTE(T811,LEFT(T811,1),""))=0,"ERRO: dígitos repetidos",IF(AND(VALUE(MID(T811,13,1))=IF(MOD(SUMPRODUCT(--MID(T811,{1,2,3,4,5,6,7,8,9,10,11,12},1),{5,4,3,2,9,8,7,6,5,4,3,2}),11)&lt;2,0,11-MOD(SUMPRODUCT(--MID(T811,{1,2,3,4,5,6,7,8,9,10,11,12},1),{5,4,3,2,9,8,7,6,5,4,3,2}),11)),VALUE(MID(T811,14,1))=IF(MOD(SUMPRODUCT(--MID(T811,{1,2,3,4,5,6,7,8,9,10,11,12,13},1),{6,5,4,3,2,9,8,7,6,5,4,3,2}),11)&lt;2,0,11-MOD(SUMPRODUCT(--MID(T811,{1,2,3,4,5,6,7,8,9,10,11,12,13},1),{6,5,4,3,2,9,8,7,6,5,4,3,2}),11))),"OK","ERRO: dígito verificador")))))</f>
      </c>
      <c r="V811" s="6">
        <f>IF(T811="","",IF(COUNTIF($T$2:$T$1001,T811)&gt;1,"DUPLICADO","OK"))</f>
      </c>
      <c r="W811" s="6">
        <f>IF(M811="","vazio",IF(OR(AND(LEN(SUBSTITUTE(SUBSTITUTE(SUBSTITUTE(SUBSTITUTE(SUBSTITUTE(SUBSTITUTE(SUBSTITUTE(TRIM(M811),".",""),"/",""),"-","")," ",""),"(",""),")",""),"+",""))=10,LEFT(SUBSTITUTE(SUBSTITUTE(SUBSTITUTE(SUBSTITUTE(SUBSTITUTE(SUBSTITUTE(SUBSTITUTE(TRIM(M811),".",""),"/",""),"-","")," ",""),"(",""),")",""),"+",""),1)&lt;&gt;"0"),AND(LEN(SUBSTITUTE(SUBSTITUTE(SUBSTITUTE(SUBSTITUTE(SUBSTITUTE(SUBSTITUTE(SUBSTITUTE(TRIM(M811),".",""),"/",""),"-","")," ",""),"(",""),")",""),"+",""))=11,LEFT(SUBSTITUTE(SUBSTITUTE(SUBSTITUTE(SUBSTITUTE(SUBSTITUTE(SUBSTITUTE(SUBSTITUTE(TRIM(M811),".",""),"/",""),"-","")," ",""),"(",""),")",""),"+",""),4)="0800")),"OK",IF(AND(LEN(SUBSTITUTE(SUBSTITUTE(SUBSTITUTE(SUBSTITUTE(SUBSTITUTE(SUBSTITUTE(SUBSTITUTE(TRIM(M811),".",""),"/",""),"-","")," ",""),"(",""),")",""),"+",""))=11,MID(SUBSTITUTE(SUBSTITUTE(SUBSTITUTE(SUBSTITUTE(SUBSTITUTE(SUBSTITUTE(SUBSTITUTE(TRIM(M811),".",""),"/",""),"-","")," ",""),"(",""),")",""),"+",""),3,1)="9"),"ERRO: é celular, use a coluna Celular","ERRO: DDD + 8 dígitos ou 0800 + 7")))</f>
      </c>
      <c r="X811" s="6">
        <f>IF(N811="","vazio",IF(AND(LEN(SUBSTITUTE(SUBSTITUTE(SUBSTITUTE(SUBSTITUTE(SUBSTITUTE(SUBSTITUTE(SUBSTITUTE(TRIM(N811),".",""),"/",""),"-","")," ",""),"(",""),")",""),"+",""))=11,MID(SUBSTITUTE(SUBSTITUTE(SUBSTITUTE(SUBSTITUTE(SUBSTITUTE(SUBSTITUTE(SUBSTITUTE(TRIM(N811),".",""),"/",""),"-","")," ",""),"(",""),")",""),"+",""),3,1)="9",LEFT(SUBSTITUTE(SUBSTITUTE(SUBSTITUTE(SUBSTITUTE(SUBSTITUTE(SUBSTITUTE(SUBSTITUTE(TRIM(N811),".",""),"/",""),"-","")," ",""),"(",""),")",""),"+",""),1)&lt;&gt;"0"),"OK",IF(LEN(SUBSTITUTE(SUBSTITUTE(SUBSTITUTE(SUBSTITUTE(SUBSTITUTE(SUBSTITUTE(SUBSTITUTE(TRIM(N811),".",""),"/",""),"-","")," ",""),"(",""),")",""),"+",""))=10,"ERRO: é fixo (ou falta o 9), use a coluna Telefone fixo","ERRO: DDD + 9 + 8 dígitos")))</f>
      </c>
      <c r="Y811" s="6">
        <f>IF(O811="","vazio",IF(AND(ISNUMBER(FIND("@",O811)),ISNUMBER(FIND(".",MID(O811,FIND("@",O811),99))),NOT(ISNUMBER(FIND(" ",TRIM(O811)))),NOT(ISNUMBER(FIND(";",O811))),NOT(ISNUMBER(FIND(",",O811)))),"OK","ERRO: um e-mail válido por linha"))</f>
      </c>
      <c r="Z811" s="6">
        <f>IF(AND(J811="",K811=""),"",IF(AND(J811&lt;&gt;"",K811&lt;&gt;""),"OK","pendente: só um nome (o GR completa ao converter)"))</f>
      </c>
      <c r="AA811" s="6">
        <f>IF(COUNTA(A811:S811)=0,"",IF(AND(A811&lt;&gt;"",B811&lt;&gt;"",C811&lt;&gt;"",D811&lt;&gt;"",E811&lt;&gt;"",F811&lt;&gt;"",G811&lt;&gt;"",H811&lt;&gt;"",OR(J811&lt;&gt;"",K811&lt;&gt;""),OR(M811&lt;&gt;"",N811&lt;&gt;"",O811&lt;&gt;"")),"OK","ERRO: faltam "&amp;IF(A811="","SDR; ","")&amp;IF(B811="","Proprietário; ","")&amp;IF(C811="","Origem; ","")&amp;IF(D811="","Temperatura; ","")&amp;IF(E811="","Segmento; ","")&amp;IF(F811="","Time/Cluster; ","")&amp;IF(G811="","CNPJ; ","")&amp;IF(H811="","Razão Social; ","")&amp;IF(AND(J811="",K811=""),"nome do contato; ","")&amp;IF(AND(M811="",N811="",O811=""),"telefone, celular ou e-mail; ","")))</f>
      </c>
      <c r="AB811" s="6">
        <f>IF(COUNTA(A811:S811)=0,"",IF(AND(U811="OK",V811="OK",LEFT(W811,4)&lt;&gt;"ERRO",LEFT(X811,4)&lt;&gt;"ERRO",LEFT(Y811,4)&lt;&gt;"ERRO",AA811="OK"),"OK","REVISAR"))</f>
      </c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5"/>
      <c r="K812" s="4"/>
      <c r="L812" s="4"/>
      <c r="M812" s="4"/>
      <c r="N812" s="4"/>
      <c r="O812" s="4"/>
      <c r="P812" s="4"/>
      <c r="Q812" s="4"/>
      <c r="R812" s="4"/>
      <c r="S812" s="4"/>
      <c r="T812" s="6">
        <f>IF(G812="","",SUBSTITUTE(SUBSTITUTE(SUBSTITUTE(SUBSTITUTE(SUBSTITUTE(SUBSTITUTE(SUBSTITUTE(TRIM(G812),".",""),"/",""),"-","")," ",""),"(",""),")",""),"+",""))</f>
      </c>
      <c r="U812" s="6">
        <f>IF(T812="","",IF(LEN(T812)&lt;&gt;14,"ERRO: "&amp;LEN(T812)&amp;" dígitos",IF(NOT(ISNUMBER(VALUE(T812))),"ERRO: não numérico",IF(LEN(SUBSTITUTE(T812,LEFT(T812,1),""))=0,"ERRO: dígitos repetidos",IF(AND(VALUE(MID(T812,13,1))=IF(MOD(SUMPRODUCT(--MID(T812,{1,2,3,4,5,6,7,8,9,10,11,12},1),{5,4,3,2,9,8,7,6,5,4,3,2}),11)&lt;2,0,11-MOD(SUMPRODUCT(--MID(T812,{1,2,3,4,5,6,7,8,9,10,11,12},1),{5,4,3,2,9,8,7,6,5,4,3,2}),11)),VALUE(MID(T812,14,1))=IF(MOD(SUMPRODUCT(--MID(T812,{1,2,3,4,5,6,7,8,9,10,11,12,13},1),{6,5,4,3,2,9,8,7,6,5,4,3,2}),11)&lt;2,0,11-MOD(SUMPRODUCT(--MID(T812,{1,2,3,4,5,6,7,8,9,10,11,12,13},1),{6,5,4,3,2,9,8,7,6,5,4,3,2}),11))),"OK","ERRO: dígito verificador")))))</f>
      </c>
      <c r="V812" s="6">
        <f>IF(T812="","",IF(COUNTIF($T$2:$T$1001,T812)&gt;1,"DUPLICADO","OK"))</f>
      </c>
      <c r="W812" s="6">
        <f>IF(M812="","vazio",IF(OR(AND(LEN(SUBSTITUTE(SUBSTITUTE(SUBSTITUTE(SUBSTITUTE(SUBSTITUTE(SUBSTITUTE(SUBSTITUTE(TRIM(M812),".",""),"/",""),"-","")," ",""),"(",""),")",""),"+",""))=10,LEFT(SUBSTITUTE(SUBSTITUTE(SUBSTITUTE(SUBSTITUTE(SUBSTITUTE(SUBSTITUTE(SUBSTITUTE(TRIM(M812),".",""),"/",""),"-","")," ",""),"(",""),")",""),"+",""),1)&lt;&gt;"0"),AND(LEN(SUBSTITUTE(SUBSTITUTE(SUBSTITUTE(SUBSTITUTE(SUBSTITUTE(SUBSTITUTE(SUBSTITUTE(TRIM(M812),".",""),"/",""),"-","")," ",""),"(",""),")",""),"+",""))=11,LEFT(SUBSTITUTE(SUBSTITUTE(SUBSTITUTE(SUBSTITUTE(SUBSTITUTE(SUBSTITUTE(SUBSTITUTE(TRIM(M812),".",""),"/",""),"-","")," ",""),"(",""),")",""),"+",""),4)="0800")),"OK",IF(AND(LEN(SUBSTITUTE(SUBSTITUTE(SUBSTITUTE(SUBSTITUTE(SUBSTITUTE(SUBSTITUTE(SUBSTITUTE(TRIM(M812),".",""),"/",""),"-","")," ",""),"(",""),")",""),"+",""))=11,MID(SUBSTITUTE(SUBSTITUTE(SUBSTITUTE(SUBSTITUTE(SUBSTITUTE(SUBSTITUTE(SUBSTITUTE(TRIM(M812),".",""),"/",""),"-","")," ",""),"(",""),")",""),"+",""),3,1)="9"),"ERRO: é celular, use a coluna Celular","ERRO: DDD + 8 dígitos ou 0800 + 7")))</f>
      </c>
      <c r="X812" s="6">
        <f>IF(N812="","vazio",IF(AND(LEN(SUBSTITUTE(SUBSTITUTE(SUBSTITUTE(SUBSTITUTE(SUBSTITUTE(SUBSTITUTE(SUBSTITUTE(TRIM(N812),".",""),"/",""),"-","")," ",""),"(",""),")",""),"+",""))=11,MID(SUBSTITUTE(SUBSTITUTE(SUBSTITUTE(SUBSTITUTE(SUBSTITUTE(SUBSTITUTE(SUBSTITUTE(TRIM(N812),".",""),"/",""),"-","")," ",""),"(",""),")",""),"+",""),3,1)="9",LEFT(SUBSTITUTE(SUBSTITUTE(SUBSTITUTE(SUBSTITUTE(SUBSTITUTE(SUBSTITUTE(SUBSTITUTE(TRIM(N812),".",""),"/",""),"-","")," ",""),"(",""),")",""),"+",""),1)&lt;&gt;"0"),"OK",IF(LEN(SUBSTITUTE(SUBSTITUTE(SUBSTITUTE(SUBSTITUTE(SUBSTITUTE(SUBSTITUTE(SUBSTITUTE(TRIM(N812),".",""),"/",""),"-","")," ",""),"(",""),")",""),"+",""))=10,"ERRO: é fixo (ou falta o 9), use a coluna Telefone fixo","ERRO: DDD + 9 + 8 dígitos")))</f>
      </c>
      <c r="Y812" s="6">
        <f>IF(O812="","vazio",IF(AND(ISNUMBER(FIND("@",O812)),ISNUMBER(FIND(".",MID(O812,FIND("@",O812),99))),NOT(ISNUMBER(FIND(" ",TRIM(O812)))),NOT(ISNUMBER(FIND(";",O812))),NOT(ISNUMBER(FIND(",",O812)))),"OK","ERRO: um e-mail válido por linha"))</f>
      </c>
      <c r="Z812" s="6">
        <f>IF(AND(J812="",K812=""),"",IF(AND(J812&lt;&gt;"",K812&lt;&gt;""),"OK","pendente: só um nome (o GR completa ao converter)"))</f>
      </c>
      <c r="AA812" s="6">
        <f>IF(COUNTA(A812:S812)=0,"",IF(AND(A812&lt;&gt;"",B812&lt;&gt;"",C812&lt;&gt;"",D812&lt;&gt;"",E812&lt;&gt;"",F812&lt;&gt;"",G812&lt;&gt;"",H812&lt;&gt;"",OR(J812&lt;&gt;"",K812&lt;&gt;""),OR(M812&lt;&gt;"",N812&lt;&gt;"",O812&lt;&gt;"")),"OK","ERRO: faltam "&amp;IF(A812="","SDR; ","")&amp;IF(B812="","Proprietário; ","")&amp;IF(C812="","Origem; ","")&amp;IF(D812="","Temperatura; ","")&amp;IF(E812="","Segmento; ","")&amp;IF(F812="","Time/Cluster; ","")&amp;IF(G812="","CNPJ; ","")&amp;IF(H812="","Razão Social; ","")&amp;IF(AND(J812="",K812=""),"nome do contato; ","")&amp;IF(AND(M812="",N812="",O812=""),"telefone, celular ou e-mail; ","")))</f>
      </c>
      <c r="AB812" s="6">
        <f>IF(COUNTA(A812:S812)=0,"",IF(AND(U812="OK",V812="OK",LEFT(W812,4)&lt;&gt;"ERRO",LEFT(X812,4)&lt;&gt;"ERRO",LEFT(Y812,4)&lt;&gt;"ERRO",AA812="OK"),"OK","REVISAR"))</f>
      </c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5"/>
      <c r="K813" s="4"/>
      <c r="L813" s="4"/>
      <c r="M813" s="4"/>
      <c r="N813" s="4"/>
      <c r="O813" s="4"/>
      <c r="P813" s="4"/>
      <c r="Q813" s="4"/>
      <c r="R813" s="4"/>
      <c r="S813" s="4"/>
      <c r="T813" s="6">
        <f>IF(G813="","",SUBSTITUTE(SUBSTITUTE(SUBSTITUTE(SUBSTITUTE(SUBSTITUTE(SUBSTITUTE(SUBSTITUTE(TRIM(G813),".",""),"/",""),"-","")," ",""),"(",""),")",""),"+",""))</f>
      </c>
      <c r="U813" s="6">
        <f>IF(T813="","",IF(LEN(T813)&lt;&gt;14,"ERRO: "&amp;LEN(T813)&amp;" dígitos",IF(NOT(ISNUMBER(VALUE(T813))),"ERRO: não numérico",IF(LEN(SUBSTITUTE(T813,LEFT(T813,1),""))=0,"ERRO: dígitos repetidos",IF(AND(VALUE(MID(T813,13,1))=IF(MOD(SUMPRODUCT(--MID(T813,{1,2,3,4,5,6,7,8,9,10,11,12},1),{5,4,3,2,9,8,7,6,5,4,3,2}),11)&lt;2,0,11-MOD(SUMPRODUCT(--MID(T813,{1,2,3,4,5,6,7,8,9,10,11,12},1),{5,4,3,2,9,8,7,6,5,4,3,2}),11)),VALUE(MID(T813,14,1))=IF(MOD(SUMPRODUCT(--MID(T813,{1,2,3,4,5,6,7,8,9,10,11,12,13},1),{6,5,4,3,2,9,8,7,6,5,4,3,2}),11)&lt;2,0,11-MOD(SUMPRODUCT(--MID(T813,{1,2,3,4,5,6,7,8,9,10,11,12,13},1),{6,5,4,3,2,9,8,7,6,5,4,3,2}),11))),"OK","ERRO: dígito verificador")))))</f>
      </c>
      <c r="V813" s="6">
        <f>IF(T813="","",IF(COUNTIF($T$2:$T$1001,T813)&gt;1,"DUPLICADO","OK"))</f>
      </c>
      <c r="W813" s="6">
        <f>IF(M813="","vazio",IF(OR(AND(LEN(SUBSTITUTE(SUBSTITUTE(SUBSTITUTE(SUBSTITUTE(SUBSTITUTE(SUBSTITUTE(SUBSTITUTE(TRIM(M813),".",""),"/",""),"-","")," ",""),"(",""),")",""),"+",""))=10,LEFT(SUBSTITUTE(SUBSTITUTE(SUBSTITUTE(SUBSTITUTE(SUBSTITUTE(SUBSTITUTE(SUBSTITUTE(TRIM(M813),".",""),"/",""),"-","")," ",""),"(",""),")",""),"+",""),1)&lt;&gt;"0"),AND(LEN(SUBSTITUTE(SUBSTITUTE(SUBSTITUTE(SUBSTITUTE(SUBSTITUTE(SUBSTITUTE(SUBSTITUTE(TRIM(M813),".",""),"/",""),"-","")," ",""),"(",""),")",""),"+",""))=11,LEFT(SUBSTITUTE(SUBSTITUTE(SUBSTITUTE(SUBSTITUTE(SUBSTITUTE(SUBSTITUTE(SUBSTITUTE(TRIM(M813),".",""),"/",""),"-","")," ",""),"(",""),")",""),"+",""),4)="0800")),"OK",IF(AND(LEN(SUBSTITUTE(SUBSTITUTE(SUBSTITUTE(SUBSTITUTE(SUBSTITUTE(SUBSTITUTE(SUBSTITUTE(TRIM(M813),".",""),"/",""),"-","")," ",""),"(",""),")",""),"+",""))=11,MID(SUBSTITUTE(SUBSTITUTE(SUBSTITUTE(SUBSTITUTE(SUBSTITUTE(SUBSTITUTE(SUBSTITUTE(TRIM(M813),".",""),"/",""),"-","")," ",""),"(",""),")",""),"+",""),3,1)="9"),"ERRO: é celular, use a coluna Celular","ERRO: DDD + 8 dígitos ou 0800 + 7")))</f>
      </c>
      <c r="X813" s="6">
        <f>IF(N813="","vazio",IF(AND(LEN(SUBSTITUTE(SUBSTITUTE(SUBSTITUTE(SUBSTITUTE(SUBSTITUTE(SUBSTITUTE(SUBSTITUTE(TRIM(N813),".",""),"/",""),"-","")," ",""),"(",""),")",""),"+",""))=11,MID(SUBSTITUTE(SUBSTITUTE(SUBSTITUTE(SUBSTITUTE(SUBSTITUTE(SUBSTITUTE(SUBSTITUTE(TRIM(N813),".",""),"/",""),"-","")," ",""),"(",""),")",""),"+",""),3,1)="9",LEFT(SUBSTITUTE(SUBSTITUTE(SUBSTITUTE(SUBSTITUTE(SUBSTITUTE(SUBSTITUTE(SUBSTITUTE(TRIM(N813),".",""),"/",""),"-","")," ",""),"(",""),")",""),"+",""),1)&lt;&gt;"0"),"OK",IF(LEN(SUBSTITUTE(SUBSTITUTE(SUBSTITUTE(SUBSTITUTE(SUBSTITUTE(SUBSTITUTE(SUBSTITUTE(TRIM(N813),".",""),"/",""),"-","")," ",""),"(",""),")",""),"+",""))=10,"ERRO: é fixo (ou falta o 9), use a coluna Telefone fixo","ERRO: DDD + 9 + 8 dígitos")))</f>
      </c>
      <c r="Y813" s="6">
        <f>IF(O813="","vazio",IF(AND(ISNUMBER(FIND("@",O813)),ISNUMBER(FIND(".",MID(O813,FIND("@",O813),99))),NOT(ISNUMBER(FIND(" ",TRIM(O813)))),NOT(ISNUMBER(FIND(";",O813))),NOT(ISNUMBER(FIND(",",O813)))),"OK","ERRO: um e-mail válido por linha"))</f>
      </c>
      <c r="Z813" s="6">
        <f>IF(AND(J813="",K813=""),"",IF(AND(J813&lt;&gt;"",K813&lt;&gt;""),"OK","pendente: só um nome (o GR completa ao converter)"))</f>
      </c>
      <c r="AA813" s="6">
        <f>IF(COUNTA(A813:S813)=0,"",IF(AND(A813&lt;&gt;"",B813&lt;&gt;"",C813&lt;&gt;"",D813&lt;&gt;"",E813&lt;&gt;"",F813&lt;&gt;"",G813&lt;&gt;"",H813&lt;&gt;"",OR(J813&lt;&gt;"",K813&lt;&gt;""),OR(M813&lt;&gt;"",N813&lt;&gt;"",O813&lt;&gt;"")),"OK","ERRO: faltam "&amp;IF(A813="","SDR; ","")&amp;IF(B813="","Proprietário; ","")&amp;IF(C813="","Origem; ","")&amp;IF(D813="","Temperatura; ","")&amp;IF(E813="","Segmento; ","")&amp;IF(F813="","Time/Cluster; ","")&amp;IF(G813="","CNPJ; ","")&amp;IF(H813="","Razão Social; ","")&amp;IF(AND(J813="",K813=""),"nome do contato; ","")&amp;IF(AND(M813="",N813="",O813=""),"telefone, celular ou e-mail; ","")))</f>
      </c>
      <c r="AB813" s="6">
        <f>IF(COUNTA(A813:S813)=0,"",IF(AND(U813="OK",V813="OK",LEFT(W813,4)&lt;&gt;"ERRO",LEFT(X813,4)&lt;&gt;"ERRO",LEFT(Y813,4)&lt;&gt;"ERRO",AA813="OK"),"OK","REVISAR"))</f>
      </c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5"/>
      <c r="K814" s="4"/>
      <c r="L814" s="4"/>
      <c r="M814" s="4"/>
      <c r="N814" s="4"/>
      <c r="O814" s="4"/>
      <c r="P814" s="4"/>
      <c r="Q814" s="4"/>
      <c r="R814" s="4"/>
      <c r="S814" s="4"/>
      <c r="T814" s="6">
        <f>IF(G814="","",SUBSTITUTE(SUBSTITUTE(SUBSTITUTE(SUBSTITUTE(SUBSTITUTE(SUBSTITUTE(SUBSTITUTE(TRIM(G814),".",""),"/",""),"-","")," ",""),"(",""),")",""),"+",""))</f>
      </c>
      <c r="U814" s="6">
        <f>IF(T814="","",IF(LEN(T814)&lt;&gt;14,"ERRO: "&amp;LEN(T814)&amp;" dígitos",IF(NOT(ISNUMBER(VALUE(T814))),"ERRO: não numérico",IF(LEN(SUBSTITUTE(T814,LEFT(T814,1),""))=0,"ERRO: dígitos repetidos",IF(AND(VALUE(MID(T814,13,1))=IF(MOD(SUMPRODUCT(--MID(T814,{1,2,3,4,5,6,7,8,9,10,11,12},1),{5,4,3,2,9,8,7,6,5,4,3,2}),11)&lt;2,0,11-MOD(SUMPRODUCT(--MID(T814,{1,2,3,4,5,6,7,8,9,10,11,12},1),{5,4,3,2,9,8,7,6,5,4,3,2}),11)),VALUE(MID(T814,14,1))=IF(MOD(SUMPRODUCT(--MID(T814,{1,2,3,4,5,6,7,8,9,10,11,12,13},1),{6,5,4,3,2,9,8,7,6,5,4,3,2}),11)&lt;2,0,11-MOD(SUMPRODUCT(--MID(T814,{1,2,3,4,5,6,7,8,9,10,11,12,13},1),{6,5,4,3,2,9,8,7,6,5,4,3,2}),11))),"OK","ERRO: dígito verificador")))))</f>
      </c>
      <c r="V814" s="6">
        <f>IF(T814="","",IF(COUNTIF($T$2:$T$1001,T814)&gt;1,"DUPLICADO","OK"))</f>
      </c>
      <c r="W814" s="6">
        <f>IF(M814="","vazio",IF(OR(AND(LEN(SUBSTITUTE(SUBSTITUTE(SUBSTITUTE(SUBSTITUTE(SUBSTITUTE(SUBSTITUTE(SUBSTITUTE(TRIM(M814),".",""),"/",""),"-","")," ",""),"(",""),")",""),"+",""))=10,LEFT(SUBSTITUTE(SUBSTITUTE(SUBSTITUTE(SUBSTITUTE(SUBSTITUTE(SUBSTITUTE(SUBSTITUTE(TRIM(M814),".",""),"/",""),"-","")," ",""),"(",""),")",""),"+",""),1)&lt;&gt;"0"),AND(LEN(SUBSTITUTE(SUBSTITUTE(SUBSTITUTE(SUBSTITUTE(SUBSTITUTE(SUBSTITUTE(SUBSTITUTE(TRIM(M814),".",""),"/",""),"-","")," ",""),"(",""),")",""),"+",""))=11,LEFT(SUBSTITUTE(SUBSTITUTE(SUBSTITUTE(SUBSTITUTE(SUBSTITUTE(SUBSTITUTE(SUBSTITUTE(TRIM(M814),".",""),"/",""),"-","")," ",""),"(",""),")",""),"+",""),4)="0800")),"OK",IF(AND(LEN(SUBSTITUTE(SUBSTITUTE(SUBSTITUTE(SUBSTITUTE(SUBSTITUTE(SUBSTITUTE(SUBSTITUTE(TRIM(M814),".",""),"/",""),"-","")," ",""),"(",""),")",""),"+",""))=11,MID(SUBSTITUTE(SUBSTITUTE(SUBSTITUTE(SUBSTITUTE(SUBSTITUTE(SUBSTITUTE(SUBSTITUTE(TRIM(M814),".",""),"/",""),"-","")," ",""),"(",""),")",""),"+",""),3,1)="9"),"ERRO: é celular, use a coluna Celular","ERRO: DDD + 8 dígitos ou 0800 + 7")))</f>
      </c>
      <c r="X814" s="6">
        <f>IF(N814="","vazio",IF(AND(LEN(SUBSTITUTE(SUBSTITUTE(SUBSTITUTE(SUBSTITUTE(SUBSTITUTE(SUBSTITUTE(SUBSTITUTE(TRIM(N814),".",""),"/",""),"-","")," ",""),"(",""),")",""),"+",""))=11,MID(SUBSTITUTE(SUBSTITUTE(SUBSTITUTE(SUBSTITUTE(SUBSTITUTE(SUBSTITUTE(SUBSTITUTE(TRIM(N814),".",""),"/",""),"-","")," ",""),"(",""),")",""),"+",""),3,1)="9",LEFT(SUBSTITUTE(SUBSTITUTE(SUBSTITUTE(SUBSTITUTE(SUBSTITUTE(SUBSTITUTE(SUBSTITUTE(TRIM(N814),".",""),"/",""),"-","")," ",""),"(",""),")",""),"+",""),1)&lt;&gt;"0"),"OK",IF(LEN(SUBSTITUTE(SUBSTITUTE(SUBSTITUTE(SUBSTITUTE(SUBSTITUTE(SUBSTITUTE(SUBSTITUTE(TRIM(N814),".",""),"/",""),"-","")," ",""),"(",""),")",""),"+",""))=10,"ERRO: é fixo (ou falta o 9), use a coluna Telefone fixo","ERRO: DDD + 9 + 8 dígitos")))</f>
      </c>
      <c r="Y814" s="6">
        <f>IF(O814="","vazio",IF(AND(ISNUMBER(FIND("@",O814)),ISNUMBER(FIND(".",MID(O814,FIND("@",O814),99))),NOT(ISNUMBER(FIND(" ",TRIM(O814)))),NOT(ISNUMBER(FIND(";",O814))),NOT(ISNUMBER(FIND(",",O814)))),"OK","ERRO: um e-mail válido por linha"))</f>
      </c>
      <c r="Z814" s="6">
        <f>IF(AND(J814="",K814=""),"",IF(AND(J814&lt;&gt;"",K814&lt;&gt;""),"OK","pendente: só um nome (o GR completa ao converter)"))</f>
      </c>
      <c r="AA814" s="6">
        <f>IF(COUNTA(A814:S814)=0,"",IF(AND(A814&lt;&gt;"",B814&lt;&gt;"",C814&lt;&gt;"",D814&lt;&gt;"",E814&lt;&gt;"",F814&lt;&gt;"",G814&lt;&gt;"",H814&lt;&gt;"",OR(J814&lt;&gt;"",K814&lt;&gt;""),OR(M814&lt;&gt;"",N814&lt;&gt;"",O814&lt;&gt;"")),"OK","ERRO: faltam "&amp;IF(A814="","SDR; ","")&amp;IF(B814="","Proprietário; ","")&amp;IF(C814="","Origem; ","")&amp;IF(D814="","Temperatura; ","")&amp;IF(E814="","Segmento; ","")&amp;IF(F814="","Time/Cluster; ","")&amp;IF(G814="","CNPJ; ","")&amp;IF(H814="","Razão Social; ","")&amp;IF(AND(J814="",K814=""),"nome do contato; ","")&amp;IF(AND(M814="",N814="",O814=""),"telefone, celular ou e-mail; ","")))</f>
      </c>
      <c r="AB814" s="6">
        <f>IF(COUNTA(A814:S814)=0,"",IF(AND(U814="OK",V814="OK",LEFT(W814,4)&lt;&gt;"ERRO",LEFT(X814,4)&lt;&gt;"ERRO",LEFT(Y814,4)&lt;&gt;"ERRO",AA814="OK"),"OK","REVISAR"))</f>
      </c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5"/>
      <c r="K815" s="4"/>
      <c r="L815" s="4"/>
      <c r="M815" s="4"/>
      <c r="N815" s="4"/>
      <c r="O815" s="4"/>
      <c r="P815" s="4"/>
      <c r="Q815" s="4"/>
      <c r="R815" s="4"/>
      <c r="S815" s="4"/>
      <c r="T815" s="6">
        <f>IF(G815="","",SUBSTITUTE(SUBSTITUTE(SUBSTITUTE(SUBSTITUTE(SUBSTITUTE(SUBSTITUTE(SUBSTITUTE(TRIM(G815),".",""),"/",""),"-","")," ",""),"(",""),")",""),"+",""))</f>
      </c>
      <c r="U815" s="6">
        <f>IF(T815="","",IF(LEN(T815)&lt;&gt;14,"ERRO: "&amp;LEN(T815)&amp;" dígitos",IF(NOT(ISNUMBER(VALUE(T815))),"ERRO: não numérico",IF(LEN(SUBSTITUTE(T815,LEFT(T815,1),""))=0,"ERRO: dígitos repetidos",IF(AND(VALUE(MID(T815,13,1))=IF(MOD(SUMPRODUCT(--MID(T815,{1,2,3,4,5,6,7,8,9,10,11,12},1),{5,4,3,2,9,8,7,6,5,4,3,2}),11)&lt;2,0,11-MOD(SUMPRODUCT(--MID(T815,{1,2,3,4,5,6,7,8,9,10,11,12},1),{5,4,3,2,9,8,7,6,5,4,3,2}),11)),VALUE(MID(T815,14,1))=IF(MOD(SUMPRODUCT(--MID(T815,{1,2,3,4,5,6,7,8,9,10,11,12,13},1),{6,5,4,3,2,9,8,7,6,5,4,3,2}),11)&lt;2,0,11-MOD(SUMPRODUCT(--MID(T815,{1,2,3,4,5,6,7,8,9,10,11,12,13},1),{6,5,4,3,2,9,8,7,6,5,4,3,2}),11))),"OK","ERRO: dígito verificador")))))</f>
      </c>
      <c r="V815" s="6">
        <f>IF(T815="","",IF(COUNTIF($T$2:$T$1001,T815)&gt;1,"DUPLICADO","OK"))</f>
      </c>
      <c r="W815" s="6">
        <f>IF(M815="","vazio",IF(OR(AND(LEN(SUBSTITUTE(SUBSTITUTE(SUBSTITUTE(SUBSTITUTE(SUBSTITUTE(SUBSTITUTE(SUBSTITUTE(TRIM(M815),".",""),"/",""),"-","")," ",""),"(",""),")",""),"+",""))=10,LEFT(SUBSTITUTE(SUBSTITUTE(SUBSTITUTE(SUBSTITUTE(SUBSTITUTE(SUBSTITUTE(SUBSTITUTE(TRIM(M815),".",""),"/",""),"-","")," ",""),"(",""),")",""),"+",""),1)&lt;&gt;"0"),AND(LEN(SUBSTITUTE(SUBSTITUTE(SUBSTITUTE(SUBSTITUTE(SUBSTITUTE(SUBSTITUTE(SUBSTITUTE(TRIM(M815),".",""),"/",""),"-","")," ",""),"(",""),")",""),"+",""))=11,LEFT(SUBSTITUTE(SUBSTITUTE(SUBSTITUTE(SUBSTITUTE(SUBSTITUTE(SUBSTITUTE(SUBSTITUTE(TRIM(M815),".",""),"/",""),"-","")," ",""),"(",""),")",""),"+",""),4)="0800")),"OK",IF(AND(LEN(SUBSTITUTE(SUBSTITUTE(SUBSTITUTE(SUBSTITUTE(SUBSTITUTE(SUBSTITUTE(SUBSTITUTE(TRIM(M815),".",""),"/",""),"-","")," ",""),"(",""),")",""),"+",""))=11,MID(SUBSTITUTE(SUBSTITUTE(SUBSTITUTE(SUBSTITUTE(SUBSTITUTE(SUBSTITUTE(SUBSTITUTE(TRIM(M815),".",""),"/",""),"-","")," ",""),"(",""),")",""),"+",""),3,1)="9"),"ERRO: é celular, use a coluna Celular","ERRO: DDD + 8 dígitos ou 0800 + 7")))</f>
      </c>
      <c r="X815" s="6">
        <f>IF(N815="","vazio",IF(AND(LEN(SUBSTITUTE(SUBSTITUTE(SUBSTITUTE(SUBSTITUTE(SUBSTITUTE(SUBSTITUTE(SUBSTITUTE(TRIM(N815),".",""),"/",""),"-","")," ",""),"(",""),")",""),"+",""))=11,MID(SUBSTITUTE(SUBSTITUTE(SUBSTITUTE(SUBSTITUTE(SUBSTITUTE(SUBSTITUTE(SUBSTITUTE(TRIM(N815),".",""),"/",""),"-","")," ",""),"(",""),")",""),"+",""),3,1)="9",LEFT(SUBSTITUTE(SUBSTITUTE(SUBSTITUTE(SUBSTITUTE(SUBSTITUTE(SUBSTITUTE(SUBSTITUTE(TRIM(N815),".",""),"/",""),"-","")," ",""),"(",""),")",""),"+",""),1)&lt;&gt;"0"),"OK",IF(LEN(SUBSTITUTE(SUBSTITUTE(SUBSTITUTE(SUBSTITUTE(SUBSTITUTE(SUBSTITUTE(SUBSTITUTE(TRIM(N815),".",""),"/",""),"-","")," ",""),"(",""),")",""),"+",""))=10,"ERRO: é fixo (ou falta o 9), use a coluna Telefone fixo","ERRO: DDD + 9 + 8 dígitos")))</f>
      </c>
      <c r="Y815" s="6">
        <f>IF(O815="","vazio",IF(AND(ISNUMBER(FIND("@",O815)),ISNUMBER(FIND(".",MID(O815,FIND("@",O815),99))),NOT(ISNUMBER(FIND(" ",TRIM(O815)))),NOT(ISNUMBER(FIND(";",O815))),NOT(ISNUMBER(FIND(",",O815)))),"OK","ERRO: um e-mail válido por linha"))</f>
      </c>
      <c r="Z815" s="6">
        <f>IF(AND(J815="",K815=""),"",IF(AND(J815&lt;&gt;"",K815&lt;&gt;""),"OK","pendente: só um nome (o GR completa ao converter)"))</f>
      </c>
      <c r="AA815" s="6">
        <f>IF(COUNTA(A815:S815)=0,"",IF(AND(A815&lt;&gt;"",B815&lt;&gt;"",C815&lt;&gt;"",D815&lt;&gt;"",E815&lt;&gt;"",F815&lt;&gt;"",G815&lt;&gt;"",H815&lt;&gt;"",OR(J815&lt;&gt;"",K815&lt;&gt;""),OR(M815&lt;&gt;"",N815&lt;&gt;"",O815&lt;&gt;"")),"OK","ERRO: faltam "&amp;IF(A815="","SDR; ","")&amp;IF(B815="","Proprietário; ","")&amp;IF(C815="","Origem; ","")&amp;IF(D815="","Temperatura; ","")&amp;IF(E815="","Segmento; ","")&amp;IF(F815="","Time/Cluster; ","")&amp;IF(G815="","CNPJ; ","")&amp;IF(H815="","Razão Social; ","")&amp;IF(AND(J815="",K815=""),"nome do contato; ","")&amp;IF(AND(M815="",N815="",O815=""),"telefone, celular ou e-mail; ","")))</f>
      </c>
      <c r="AB815" s="6">
        <f>IF(COUNTA(A815:S815)=0,"",IF(AND(U815="OK",V815="OK",LEFT(W815,4)&lt;&gt;"ERRO",LEFT(X815,4)&lt;&gt;"ERRO",LEFT(Y815,4)&lt;&gt;"ERRO",AA815="OK"),"OK","REVISAR"))</f>
      </c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5"/>
      <c r="K816" s="4"/>
      <c r="L816" s="4"/>
      <c r="M816" s="4"/>
      <c r="N816" s="4"/>
      <c r="O816" s="4"/>
      <c r="P816" s="4"/>
      <c r="Q816" s="4"/>
      <c r="R816" s="4"/>
      <c r="S816" s="4"/>
      <c r="T816" s="6">
        <f>IF(G816="","",SUBSTITUTE(SUBSTITUTE(SUBSTITUTE(SUBSTITUTE(SUBSTITUTE(SUBSTITUTE(SUBSTITUTE(TRIM(G816),".",""),"/",""),"-","")," ",""),"(",""),")",""),"+",""))</f>
      </c>
      <c r="U816" s="6">
        <f>IF(T816="","",IF(LEN(T816)&lt;&gt;14,"ERRO: "&amp;LEN(T816)&amp;" dígitos",IF(NOT(ISNUMBER(VALUE(T816))),"ERRO: não numérico",IF(LEN(SUBSTITUTE(T816,LEFT(T816,1),""))=0,"ERRO: dígitos repetidos",IF(AND(VALUE(MID(T816,13,1))=IF(MOD(SUMPRODUCT(--MID(T816,{1,2,3,4,5,6,7,8,9,10,11,12},1),{5,4,3,2,9,8,7,6,5,4,3,2}),11)&lt;2,0,11-MOD(SUMPRODUCT(--MID(T816,{1,2,3,4,5,6,7,8,9,10,11,12},1),{5,4,3,2,9,8,7,6,5,4,3,2}),11)),VALUE(MID(T816,14,1))=IF(MOD(SUMPRODUCT(--MID(T816,{1,2,3,4,5,6,7,8,9,10,11,12,13},1),{6,5,4,3,2,9,8,7,6,5,4,3,2}),11)&lt;2,0,11-MOD(SUMPRODUCT(--MID(T816,{1,2,3,4,5,6,7,8,9,10,11,12,13},1),{6,5,4,3,2,9,8,7,6,5,4,3,2}),11))),"OK","ERRO: dígito verificador")))))</f>
      </c>
      <c r="V816" s="6">
        <f>IF(T816="","",IF(COUNTIF($T$2:$T$1001,T816)&gt;1,"DUPLICADO","OK"))</f>
      </c>
      <c r="W816" s="6">
        <f>IF(M816="","vazio",IF(OR(AND(LEN(SUBSTITUTE(SUBSTITUTE(SUBSTITUTE(SUBSTITUTE(SUBSTITUTE(SUBSTITUTE(SUBSTITUTE(TRIM(M816),".",""),"/",""),"-","")," ",""),"(",""),")",""),"+",""))=10,LEFT(SUBSTITUTE(SUBSTITUTE(SUBSTITUTE(SUBSTITUTE(SUBSTITUTE(SUBSTITUTE(SUBSTITUTE(TRIM(M816),".",""),"/",""),"-","")," ",""),"(",""),")",""),"+",""),1)&lt;&gt;"0"),AND(LEN(SUBSTITUTE(SUBSTITUTE(SUBSTITUTE(SUBSTITUTE(SUBSTITUTE(SUBSTITUTE(SUBSTITUTE(TRIM(M816),".",""),"/",""),"-","")," ",""),"(",""),")",""),"+",""))=11,LEFT(SUBSTITUTE(SUBSTITUTE(SUBSTITUTE(SUBSTITUTE(SUBSTITUTE(SUBSTITUTE(SUBSTITUTE(TRIM(M816),".",""),"/",""),"-","")," ",""),"(",""),")",""),"+",""),4)="0800")),"OK",IF(AND(LEN(SUBSTITUTE(SUBSTITUTE(SUBSTITUTE(SUBSTITUTE(SUBSTITUTE(SUBSTITUTE(SUBSTITUTE(TRIM(M816),".",""),"/",""),"-","")," ",""),"(",""),")",""),"+",""))=11,MID(SUBSTITUTE(SUBSTITUTE(SUBSTITUTE(SUBSTITUTE(SUBSTITUTE(SUBSTITUTE(SUBSTITUTE(TRIM(M816),".",""),"/",""),"-","")," ",""),"(",""),")",""),"+",""),3,1)="9"),"ERRO: é celular, use a coluna Celular","ERRO: DDD + 8 dígitos ou 0800 + 7")))</f>
      </c>
      <c r="X816" s="6">
        <f>IF(N816="","vazio",IF(AND(LEN(SUBSTITUTE(SUBSTITUTE(SUBSTITUTE(SUBSTITUTE(SUBSTITUTE(SUBSTITUTE(SUBSTITUTE(TRIM(N816),".",""),"/",""),"-","")," ",""),"(",""),")",""),"+",""))=11,MID(SUBSTITUTE(SUBSTITUTE(SUBSTITUTE(SUBSTITUTE(SUBSTITUTE(SUBSTITUTE(SUBSTITUTE(TRIM(N816),".",""),"/",""),"-","")," ",""),"(",""),")",""),"+",""),3,1)="9",LEFT(SUBSTITUTE(SUBSTITUTE(SUBSTITUTE(SUBSTITUTE(SUBSTITUTE(SUBSTITUTE(SUBSTITUTE(TRIM(N816),".",""),"/",""),"-","")," ",""),"(",""),")",""),"+",""),1)&lt;&gt;"0"),"OK",IF(LEN(SUBSTITUTE(SUBSTITUTE(SUBSTITUTE(SUBSTITUTE(SUBSTITUTE(SUBSTITUTE(SUBSTITUTE(TRIM(N816),".",""),"/",""),"-","")," ",""),"(",""),")",""),"+",""))=10,"ERRO: é fixo (ou falta o 9), use a coluna Telefone fixo","ERRO: DDD + 9 + 8 dígitos")))</f>
      </c>
      <c r="Y816" s="6">
        <f>IF(O816="","vazio",IF(AND(ISNUMBER(FIND("@",O816)),ISNUMBER(FIND(".",MID(O816,FIND("@",O816),99))),NOT(ISNUMBER(FIND(" ",TRIM(O816)))),NOT(ISNUMBER(FIND(";",O816))),NOT(ISNUMBER(FIND(",",O816)))),"OK","ERRO: um e-mail válido por linha"))</f>
      </c>
      <c r="Z816" s="6">
        <f>IF(AND(J816="",K816=""),"",IF(AND(J816&lt;&gt;"",K816&lt;&gt;""),"OK","pendente: só um nome (o GR completa ao converter)"))</f>
      </c>
      <c r="AA816" s="6">
        <f>IF(COUNTA(A816:S816)=0,"",IF(AND(A816&lt;&gt;"",B816&lt;&gt;"",C816&lt;&gt;"",D816&lt;&gt;"",E816&lt;&gt;"",F816&lt;&gt;"",G816&lt;&gt;"",H816&lt;&gt;"",OR(J816&lt;&gt;"",K816&lt;&gt;""),OR(M816&lt;&gt;"",N816&lt;&gt;"",O816&lt;&gt;"")),"OK","ERRO: faltam "&amp;IF(A816="","SDR; ","")&amp;IF(B816="","Proprietário; ","")&amp;IF(C816="","Origem; ","")&amp;IF(D816="","Temperatura; ","")&amp;IF(E816="","Segmento; ","")&amp;IF(F816="","Time/Cluster; ","")&amp;IF(G816="","CNPJ; ","")&amp;IF(H816="","Razão Social; ","")&amp;IF(AND(J816="",K816=""),"nome do contato; ","")&amp;IF(AND(M816="",N816="",O816=""),"telefone, celular ou e-mail; ","")))</f>
      </c>
      <c r="AB816" s="6">
        <f>IF(COUNTA(A816:S816)=0,"",IF(AND(U816="OK",V816="OK",LEFT(W816,4)&lt;&gt;"ERRO",LEFT(X816,4)&lt;&gt;"ERRO",LEFT(Y816,4)&lt;&gt;"ERRO",AA816="OK"),"OK","REVISAR"))</f>
      </c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5"/>
      <c r="K817" s="4"/>
      <c r="L817" s="4"/>
      <c r="M817" s="4"/>
      <c r="N817" s="4"/>
      <c r="O817" s="4"/>
      <c r="P817" s="4"/>
      <c r="Q817" s="4"/>
      <c r="R817" s="4"/>
      <c r="S817" s="4"/>
      <c r="T817" s="6">
        <f>IF(G817="","",SUBSTITUTE(SUBSTITUTE(SUBSTITUTE(SUBSTITUTE(SUBSTITUTE(SUBSTITUTE(SUBSTITUTE(TRIM(G817),".",""),"/",""),"-","")," ",""),"(",""),")",""),"+",""))</f>
      </c>
      <c r="U817" s="6">
        <f>IF(T817="","",IF(LEN(T817)&lt;&gt;14,"ERRO: "&amp;LEN(T817)&amp;" dígitos",IF(NOT(ISNUMBER(VALUE(T817))),"ERRO: não numérico",IF(LEN(SUBSTITUTE(T817,LEFT(T817,1),""))=0,"ERRO: dígitos repetidos",IF(AND(VALUE(MID(T817,13,1))=IF(MOD(SUMPRODUCT(--MID(T817,{1,2,3,4,5,6,7,8,9,10,11,12},1),{5,4,3,2,9,8,7,6,5,4,3,2}),11)&lt;2,0,11-MOD(SUMPRODUCT(--MID(T817,{1,2,3,4,5,6,7,8,9,10,11,12},1),{5,4,3,2,9,8,7,6,5,4,3,2}),11)),VALUE(MID(T817,14,1))=IF(MOD(SUMPRODUCT(--MID(T817,{1,2,3,4,5,6,7,8,9,10,11,12,13},1),{6,5,4,3,2,9,8,7,6,5,4,3,2}),11)&lt;2,0,11-MOD(SUMPRODUCT(--MID(T817,{1,2,3,4,5,6,7,8,9,10,11,12,13},1),{6,5,4,3,2,9,8,7,6,5,4,3,2}),11))),"OK","ERRO: dígito verificador")))))</f>
      </c>
      <c r="V817" s="6">
        <f>IF(T817="","",IF(COUNTIF($T$2:$T$1001,T817)&gt;1,"DUPLICADO","OK"))</f>
      </c>
      <c r="W817" s="6">
        <f>IF(M817="","vazio",IF(OR(AND(LEN(SUBSTITUTE(SUBSTITUTE(SUBSTITUTE(SUBSTITUTE(SUBSTITUTE(SUBSTITUTE(SUBSTITUTE(TRIM(M817),".",""),"/",""),"-","")," ",""),"(",""),")",""),"+",""))=10,LEFT(SUBSTITUTE(SUBSTITUTE(SUBSTITUTE(SUBSTITUTE(SUBSTITUTE(SUBSTITUTE(SUBSTITUTE(TRIM(M817),".",""),"/",""),"-","")," ",""),"(",""),")",""),"+",""),1)&lt;&gt;"0"),AND(LEN(SUBSTITUTE(SUBSTITUTE(SUBSTITUTE(SUBSTITUTE(SUBSTITUTE(SUBSTITUTE(SUBSTITUTE(TRIM(M817),".",""),"/",""),"-","")," ",""),"(",""),")",""),"+",""))=11,LEFT(SUBSTITUTE(SUBSTITUTE(SUBSTITUTE(SUBSTITUTE(SUBSTITUTE(SUBSTITUTE(SUBSTITUTE(TRIM(M817),".",""),"/",""),"-","")," ",""),"(",""),")",""),"+",""),4)="0800")),"OK",IF(AND(LEN(SUBSTITUTE(SUBSTITUTE(SUBSTITUTE(SUBSTITUTE(SUBSTITUTE(SUBSTITUTE(SUBSTITUTE(TRIM(M817),".",""),"/",""),"-","")," ",""),"(",""),")",""),"+",""))=11,MID(SUBSTITUTE(SUBSTITUTE(SUBSTITUTE(SUBSTITUTE(SUBSTITUTE(SUBSTITUTE(SUBSTITUTE(TRIM(M817),".",""),"/",""),"-","")," ",""),"(",""),")",""),"+",""),3,1)="9"),"ERRO: é celular, use a coluna Celular","ERRO: DDD + 8 dígitos ou 0800 + 7")))</f>
      </c>
      <c r="X817" s="6">
        <f>IF(N817="","vazio",IF(AND(LEN(SUBSTITUTE(SUBSTITUTE(SUBSTITUTE(SUBSTITUTE(SUBSTITUTE(SUBSTITUTE(SUBSTITUTE(TRIM(N817),".",""),"/",""),"-","")," ",""),"(",""),")",""),"+",""))=11,MID(SUBSTITUTE(SUBSTITUTE(SUBSTITUTE(SUBSTITUTE(SUBSTITUTE(SUBSTITUTE(SUBSTITUTE(TRIM(N817),".",""),"/",""),"-","")," ",""),"(",""),")",""),"+",""),3,1)="9",LEFT(SUBSTITUTE(SUBSTITUTE(SUBSTITUTE(SUBSTITUTE(SUBSTITUTE(SUBSTITUTE(SUBSTITUTE(TRIM(N817),".",""),"/",""),"-","")," ",""),"(",""),")",""),"+",""),1)&lt;&gt;"0"),"OK",IF(LEN(SUBSTITUTE(SUBSTITUTE(SUBSTITUTE(SUBSTITUTE(SUBSTITUTE(SUBSTITUTE(SUBSTITUTE(TRIM(N817),".",""),"/",""),"-","")," ",""),"(",""),")",""),"+",""))=10,"ERRO: é fixo (ou falta o 9), use a coluna Telefone fixo","ERRO: DDD + 9 + 8 dígitos")))</f>
      </c>
      <c r="Y817" s="6">
        <f>IF(O817="","vazio",IF(AND(ISNUMBER(FIND("@",O817)),ISNUMBER(FIND(".",MID(O817,FIND("@",O817),99))),NOT(ISNUMBER(FIND(" ",TRIM(O817)))),NOT(ISNUMBER(FIND(";",O817))),NOT(ISNUMBER(FIND(",",O817)))),"OK","ERRO: um e-mail válido por linha"))</f>
      </c>
      <c r="Z817" s="6">
        <f>IF(AND(J817="",K817=""),"",IF(AND(J817&lt;&gt;"",K817&lt;&gt;""),"OK","pendente: só um nome (o GR completa ao converter)"))</f>
      </c>
      <c r="AA817" s="6">
        <f>IF(COUNTA(A817:S817)=0,"",IF(AND(A817&lt;&gt;"",B817&lt;&gt;"",C817&lt;&gt;"",D817&lt;&gt;"",E817&lt;&gt;"",F817&lt;&gt;"",G817&lt;&gt;"",H817&lt;&gt;"",OR(J817&lt;&gt;"",K817&lt;&gt;""),OR(M817&lt;&gt;"",N817&lt;&gt;"",O817&lt;&gt;"")),"OK","ERRO: faltam "&amp;IF(A817="","SDR; ","")&amp;IF(B817="","Proprietário; ","")&amp;IF(C817="","Origem; ","")&amp;IF(D817="","Temperatura; ","")&amp;IF(E817="","Segmento; ","")&amp;IF(F817="","Time/Cluster; ","")&amp;IF(G817="","CNPJ; ","")&amp;IF(H817="","Razão Social; ","")&amp;IF(AND(J817="",K817=""),"nome do contato; ","")&amp;IF(AND(M817="",N817="",O817=""),"telefone, celular ou e-mail; ","")))</f>
      </c>
      <c r="AB817" s="6">
        <f>IF(COUNTA(A817:S817)=0,"",IF(AND(U817="OK",V817="OK",LEFT(W817,4)&lt;&gt;"ERRO",LEFT(X817,4)&lt;&gt;"ERRO",LEFT(Y817,4)&lt;&gt;"ERRO",AA817="OK"),"OK","REVISAR"))</f>
      </c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5"/>
      <c r="K818" s="4"/>
      <c r="L818" s="4"/>
      <c r="M818" s="4"/>
      <c r="N818" s="4"/>
      <c r="O818" s="4"/>
      <c r="P818" s="4"/>
      <c r="Q818" s="4"/>
      <c r="R818" s="4"/>
      <c r="S818" s="4"/>
      <c r="T818" s="6">
        <f>IF(G818="","",SUBSTITUTE(SUBSTITUTE(SUBSTITUTE(SUBSTITUTE(SUBSTITUTE(SUBSTITUTE(SUBSTITUTE(TRIM(G818),".",""),"/",""),"-","")," ",""),"(",""),")",""),"+",""))</f>
      </c>
      <c r="U818" s="6">
        <f>IF(T818="","",IF(LEN(T818)&lt;&gt;14,"ERRO: "&amp;LEN(T818)&amp;" dígitos",IF(NOT(ISNUMBER(VALUE(T818))),"ERRO: não numérico",IF(LEN(SUBSTITUTE(T818,LEFT(T818,1),""))=0,"ERRO: dígitos repetidos",IF(AND(VALUE(MID(T818,13,1))=IF(MOD(SUMPRODUCT(--MID(T818,{1,2,3,4,5,6,7,8,9,10,11,12},1),{5,4,3,2,9,8,7,6,5,4,3,2}),11)&lt;2,0,11-MOD(SUMPRODUCT(--MID(T818,{1,2,3,4,5,6,7,8,9,10,11,12},1),{5,4,3,2,9,8,7,6,5,4,3,2}),11)),VALUE(MID(T818,14,1))=IF(MOD(SUMPRODUCT(--MID(T818,{1,2,3,4,5,6,7,8,9,10,11,12,13},1),{6,5,4,3,2,9,8,7,6,5,4,3,2}),11)&lt;2,0,11-MOD(SUMPRODUCT(--MID(T818,{1,2,3,4,5,6,7,8,9,10,11,12,13},1),{6,5,4,3,2,9,8,7,6,5,4,3,2}),11))),"OK","ERRO: dígito verificador")))))</f>
      </c>
      <c r="V818" s="6">
        <f>IF(T818="","",IF(COUNTIF($T$2:$T$1001,T818)&gt;1,"DUPLICADO","OK"))</f>
      </c>
      <c r="W818" s="6">
        <f>IF(M818="","vazio",IF(OR(AND(LEN(SUBSTITUTE(SUBSTITUTE(SUBSTITUTE(SUBSTITUTE(SUBSTITUTE(SUBSTITUTE(SUBSTITUTE(TRIM(M818),".",""),"/",""),"-","")," ",""),"(",""),")",""),"+",""))=10,LEFT(SUBSTITUTE(SUBSTITUTE(SUBSTITUTE(SUBSTITUTE(SUBSTITUTE(SUBSTITUTE(SUBSTITUTE(TRIM(M818),".",""),"/",""),"-","")," ",""),"(",""),")",""),"+",""),1)&lt;&gt;"0"),AND(LEN(SUBSTITUTE(SUBSTITUTE(SUBSTITUTE(SUBSTITUTE(SUBSTITUTE(SUBSTITUTE(SUBSTITUTE(TRIM(M818),".",""),"/",""),"-","")," ",""),"(",""),")",""),"+",""))=11,LEFT(SUBSTITUTE(SUBSTITUTE(SUBSTITUTE(SUBSTITUTE(SUBSTITUTE(SUBSTITUTE(SUBSTITUTE(TRIM(M818),".",""),"/",""),"-","")," ",""),"(",""),")",""),"+",""),4)="0800")),"OK",IF(AND(LEN(SUBSTITUTE(SUBSTITUTE(SUBSTITUTE(SUBSTITUTE(SUBSTITUTE(SUBSTITUTE(SUBSTITUTE(TRIM(M818),".",""),"/",""),"-","")," ",""),"(",""),")",""),"+",""))=11,MID(SUBSTITUTE(SUBSTITUTE(SUBSTITUTE(SUBSTITUTE(SUBSTITUTE(SUBSTITUTE(SUBSTITUTE(TRIM(M818),".",""),"/",""),"-","")," ",""),"(",""),")",""),"+",""),3,1)="9"),"ERRO: é celular, use a coluna Celular","ERRO: DDD + 8 dígitos ou 0800 + 7")))</f>
      </c>
      <c r="X818" s="6">
        <f>IF(N818="","vazio",IF(AND(LEN(SUBSTITUTE(SUBSTITUTE(SUBSTITUTE(SUBSTITUTE(SUBSTITUTE(SUBSTITUTE(SUBSTITUTE(TRIM(N818),".",""),"/",""),"-","")," ",""),"(",""),")",""),"+",""))=11,MID(SUBSTITUTE(SUBSTITUTE(SUBSTITUTE(SUBSTITUTE(SUBSTITUTE(SUBSTITUTE(SUBSTITUTE(TRIM(N818),".",""),"/",""),"-","")," ",""),"(",""),")",""),"+",""),3,1)="9",LEFT(SUBSTITUTE(SUBSTITUTE(SUBSTITUTE(SUBSTITUTE(SUBSTITUTE(SUBSTITUTE(SUBSTITUTE(TRIM(N818),".",""),"/",""),"-","")," ",""),"(",""),")",""),"+",""),1)&lt;&gt;"0"),"OK",IF(LEN(SUBSTITUTE(SUBSTITUTE(SUBSTITUTE(SUBSTITUTE(SUBSTITUTE(SUBSTITUTE(SUBSTITUTE(TRIM(N818),".",""),"/",""),"-","")," ",""),"(",""),")",""),"+",""))=10,"ERRO: é fixo (ou falta o 9), use a coluna Telefone fixo","ERRO: DDD + 9 + 8 dígitos")))</f>
      </c>
      <c r="Y818" s="6">
        <f>IF(O818="","vazio",IF(AND(ISNUMBER(FIND("@",O818)),ISNUMBER(FIND(".",MID(O818,FIND("@",O818),99))),NOT(ISNUMBER(FIND(" ",TRIM(O818)))),NOT(ISNUMBER(FIND(";",O818))),NOT(ISNUMBER(FIND(",",O818)))),"OK","ERRO: um e-mail válido por linha"))</f>
      </c>
      <c r="Z818" s="6">
        <f>IF(AND(J818="",K818=""),"",IF(AND(J818&lt;&gt;"",K818&lt;&gt;""),"OK","pendente: só um nome (o GR completa ao converter)"))</f>
      </c>
      <c r="AA818" s="6">
        <f>IF(COUNTA(A818:S818)=0,"",IF(AND(A818&lt;&gt;"",B818&lt;&gt;"",C818&lt;&gt;"",D818&lt;&gt;"",E818&lt;&gt;"",F818&lt;&gt;"",G818&lt;&gt;"",H818&lt;&gt;"",OR(J818&lt;&gt;"",K818&lt;&gt;""),OR(M818&lt;&gt;"",N818&lt;&gt;"",O818&lt;&gt;"")),"OK","ERRO: faltam "&amp;IF(A818="","SDR; ","")&amp;IF(B818="","Proprietário; ","")&amp;IF(C818="","Origem; ","")&amp;IF(D818="","Temperatura; ","")&amp;IF(E818="","Segmento; ","")&amp;IF(F818="","Time/Cluster; ","")&amp;IF(G818="","CNPJ; ","")&amp;IF(H818="","Razão Social; ","")&amp;IF(AND(J818="",K818=""),"nome do contato; ","")&amp;IF(AND(M818="",N818="",O818=""),"telefone, celular ou e-mail; ","")))</f>
      </c>
      <c r="AB818" s="6">
        <f>IF(COUNTA(A818:S818)=0,"",IF(AND(U818="OK",V818="OK",LEFT(W818,4)&lt;&gt;"ERRO",LEFT(X818,4)&lt;&gt;"ERRO",LEFT(Y818,4)&lt;&gt;"ERRO",AA818="OK"),"OK","REVISAR"))</f>
      </c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5"/>
      <c r="K819" s="4"/>
      <c r="L819" s="4"/>
      <c r="M819" s="4"/>
      <c r="N819" s="4"/>
      <c r="O819" s="4"/>
      <c r="P819" s="4"/>
      <c r="Q819" s="4"/>
      <c r="R819" s="4"/>
      <c r="S819" s="4"/>
      <c r="T819" s="6">
        <f>IF(G819="","",SUBSTITUTE(SUBSTITUTE(SUBSTITUTE(SUBSTITUTE(SUBSTITUTE(SUBSTITUTE(SUBSTITUTE(TRIM(G819),".",""),"/",""),"-","")," ",""),"(",""),")",""),"+",""))</f>
      </c>
      <c r="U819" s="6">
        <f>IF(T819="","",IF(LEN(T819)&lt;&gt;14,"ERRO: "&amp;LEN(T819)&amp;" dígitos",IF(NOT(ISNUMBER(VALUE(T819))),"ERRO: não numérico",IF(LEN(SUBSTITUTE(T819,LEFT(T819,1),""))=0,"ERRO: dígitos repetidos",IF(AND(VALUE(MID(T819,13,1))=IF(MOD(SUMPRODUCT(--MID(T819,{1,2,3,4,5,6,7,8,9,10,11,12},1),{5,4,3,2,9,8,7,6,5,4,3,2}),11)&lt;2,0,11-MOD(SUMPRODUCT(--MID(T819,{1,2,3,4,5,6,7,8,9,10,11,12},1),{5,4,3,2,9,8,7,6,5,4,3,2}),11)),VALUE(MID(T819,14,1))=IF(MOD(SUMPRODUCT(--MID(T819,{1,2,3,4,5,6,7,8,9,10,11,12,13},1),{6,5,4,3,2,9,8,7,6,5,4,3,2}),11)&lt;2,0,11-MOD(SUMPRODUCT(--MID(T819,{1,2,3,4,5,6,7,8,9,10,11,12,13},1),{6,5,4,3,2,9,8,7,6,5,4,3,2}),11))),"OK","ERRO: dígito verificador")))))</f>
      </c>
      <c r="V819" s="6">
        <f>IF(T819="","",IF(COUNTIF($T$2:$T$1001,T819)&gt;1,"DUPLICADO","OK"))</f>
      </c>
      <c r="W819" s="6">
        <f>IF(M819="","vazio",IF(OR(AND(LEN(SUBSTITUTE(SUBSTITUTE(SUBSTITUTE(SUBSTITUTE(SUBSTITUTE(SUBSTITUTE(SUBSTITUTE(TRIM(M819),".",""),"/",""),"-","")," ",""),"(",""),")",""),"+",""))=10,LEFT(SUBSTITUTE(SUBSTITUTE(SUBSTITUTE(SUBSTITUTE(SUBSTITUTE(SUBSTITUTE(SUBSTITUTE(TRIM(M819),".",""),"/",""),"-","")," ",""),"(",""),")",""),"+",""),1)&lt;&gt;"0"),AND(LEN(SUBSTITUTE(SUBSTITUTE(SUBSTITUTE(SUBSTITUTE(SUBSTITUTE(SUBSTITUTE(SUBSTITUTE(TRIM(M819),".",""),"/",""),"-","")," ",""),"(",""),")",""),"+",""))=11,LEFT(SUBSTITUTE(SUBSTITUTE(SUBSTITUTE(SUBSTITUTE(SUBSTITUTE(SUBSTITUTE(SUBSTITUTE(TRIM(M819),".",""),"/",""),"-","")," ",""),"(",""),")",""),"+",""),4)="0800")),"OK",IF(AND(LEN(SUBSTITUTE(SUBSTITUTE(SUBSTITUTE(SUBSTITUTE(SUBSTITUTE(SUBSTITUTE(SUBSTITUTE(TRIM(M819),".",""),"/",""),"-","")," ",""),"(",""),")",""),"+",""))=11,MID(SUBSTITUTE(SUBSTITUTE(SUBSTITUTE(SUBSTITUTE(SUBSTITUTE(SUBSTITUTE(SUBSTITUTE(TRIM(M819),".",""),"/",""),"-","")," ",""),"(",""),")",""),"+",""),3,1)="9"),"ERRO: é celular, use a coluna Celular","ERRO: DDD + 8 dígitos ou 0800 + 7")))</f>
      </c>
      <c r="X819" s="6">
        <f>IF(N819="","vazio",IF(AND(LEN(SUBSTITUTE(SUBSTITUTE(SUBSTITUTE(SUBSTITUTE(SUBSTITUTE(SUBSTITUTE(SUBSTITUTE(TRIM(N819),".",""),"/",""),"-","")," ",""),"(",""),")",""),"+",""))=11,MID(SUBSTITUTE(SUBSTITUTE(SUBSTITUTE(SUBSTITUTE(SUBSTITUTE(SUBSTITUTE(SUBSTITUTE(TRIM(N819),".",""),"/",""),"-","")," ",""),"(",""),")",""),"+",""),3,1)="9",LEFT(SUBSTITUTE(SUBSTITUTE(SUBSTITUTE(SUBSTITUTE(SUBSTITUTE(SUBSTITUTE(SUBSTITUTE(TRIM(N819),".",""),"/",""),"-","")," ",""),"(",""),")",""),"+",""),1)&lt;&gt;"0"),"OK",IF(LEN(SUBSTITUTE(SUBSTITUTE(SUBSTITUTE(SUBSTITUTE(SUBSTITUTE(SUBSTITUTE(SUBSTITUTE(TRIM(N819),".",""),"/",""),"-","")," ",""),"(",""),")",""),"+",""))=10,"ERRO: é fixo (ou falta o 9), use a coluna Telefone fixo","ERRO: DDD + 9 + 8 dígitos")))</f>
      </c>
      <c r="Y819" s="6">
        <f>IF(O819="","vazio",IF(AND(ISNUMBER(FIND("@",O819)),ISNUMBER(FIND(".",MID(O819,FIND("@",O819),99))),NOT(ISNUMBER(FIND(" ",TRIM(O819)))),NOT(ISNUMBER(FIND(";",O819))),NOT(ISNUMBER(FIND(",",O819)))),"OK","ERRO: um e-mail válido por linha"))</f>
      </c>
      <c r="Z819" s="6">
        <f>IF(AND(J819="",K819=""),"",IF(AND(J819&lt;&gt;"",K819&lt;&gt;""),"OK","pendente: só um nome (o GR completa ao converter)"))</f>
      </c>
      <c r="AA819" s="6">
        <f>IF(COUNTA(A819:S819)=0,"",IF(AND(A819&lt;&gt;"",B819&lt;&gt;"",C819&lt;&gt;"",D819&lt;&gt;"",E819&lt;&gt;"",F819&lt;&gt;"",G819&lt;&gt;"",H819&lt;&gt;"",OR(J819&lt;&gt;"",K819&lt;&gt;""),OR(M819&lt;&gt;"",N819&lt;&gt;"",O819&lt;&gt;"")),"OK","ERRO: faltam "&amp;IF(A819="","SDR; ","")&amp;IF(B819="","Proprietário; ","")&amp;IF(C819="","Origem; ","")&amp;IF(D819="","Temperatura; ","")&amp;IF(E819="","Segmento; ","")&amp;IF(F819="","Time/Cluster; ","")&amp;IF(G819="","CNPJ; ","")&amp;IF(H819="","Razão Social; ","")&amp;IF(AND(J819="",K819=""),"nome do contato; ","")&amp;IF(AND(M819="",N819="",O819=""),"telefone, celular ou e-mail; ","")))</f>
      </c>
      <c r="AB819" s="6">
        <f>IF(COUNTA(A819:S819)=0,"",IF(AND(U819="OK",V819="OK",LEFT(W819,4)&lt;&gt;"ERRO",LEFT(X819,4)&lt;&gt;"ERRO",LEFT(Y819,4)&lt;&gt;"ERRO",AA819="OK"),"OK","REVISAR"))</f>
      </c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5"/>
      <c r="K820" s="4"/>
      <c r="L820" s="4"/>
      <c r="M820" s="4"/>
      <c r="N820" s="4"/>
      <c r="O820" s="4"/>
      <c r="P820" s="4"/>
      <c r="Q820" s="4"/>
      <c r="R820" s="4"/>
      <c r="S820" s="4"/>
      <c r="T820" s="6">
        <f>IF(G820="","",SUBSTITUTE(SUBSTITUTE(SUBSTITUTE(SUBSTITUTE(SUBSTITUTE(SUBSTITUTE(SUBSTITUTE(TRIM(G820),".",""),"/",""),"-","")," ",""),"(",""),")",""),"+",""))</f>
      </c>
      <c r="U820" s="6">
        <f>IF(T820="","",IF(LEN(T820)&lt;&gt;14,"ERRO: "&amp;LEN(T820)&amp;" dígitos",IF(NOT(ISNUMBER(VALUE(T820))),"ERRO: não numérico",IF(LEN(SUBSTITUTE(T820,LEFT(T820,1),""))=0,"ERRO: dígitos repetidos",IF(AND(VALUE(MID(T820,13,1))=IF(MOD(SUMPRODUCT(--MID(T820,{1,2,3,4,5,6,7,8,9,10,11,12},1),{5,4,3,2,9,8,7,6,5,4,3,2}),11)&lt;2,0,11-MOD(SUMPRODUCT(--MID(T820,{1,2,3,4,5,6,7,8,9,10,11,12},1),{5,4,3,2,9,8,7,6,5,4,3,2}),11)),VALUE(MID(T820,14,1))=IF(MOD(SUMPRODUCT(--MID(T820,{1,2,3,4,5,6,7,8,9,10,11,12,13},1),{6,5,4,3,2,9,8,7,6,5,4,3,2}),11)&lt;2,0,11-MOD(SUMPRODUCT(--MID(T820,{1,2,3,4,5,6,7,8,9,10,11,12,13},1),{6,5,4,3,2,9,8,7,6,5,4,3,2}),11))),"OK","ERRO: dígito verificador")))))</f>
      </c>
      <c r="V820" s="6">
        <f>IF(T820="","",IF(COUNTIF($T$2:$T$1001,T820)&gt;1,"DUPLICADO","OK"))</f>
      </c>
      <c r="W820" s="6">
        <f>IF(M820="","vazio",IF(OR(AND(LEN(SUBSTITUTE(SUBSTITUTE(SUBSTITUTE(SUBSTITUTE(SUBSTITUTE(SUBSTITUTE(SUBSTITUTE(TRIM(M820),".",""),"/",""),"-","")," ",""),"(",""),")",""),"+",""))=10,LEFT(SUBSTITUTE(SUBSTITUTE(SUBSTITUTE(SUBSTITUTE(SUBSTITUTE(SUBSTITUTE(SUBSTITUTE(TRIM(M820),".",""),"/",""),"-","")," ",""),"(",""),")",""),"+",""),1)&lt;&gt;"0"),AND(LEN(SUBSTITUTE(SUBSTITUTE(SUBSTITUTE(SUBSTITUTE(SUBSTITUTE(SUBSTITUTE(SUBSTITUTE(TRIM(M820),".",""),"/",""),"-","")," ",""),"(",""),")",""),"+",""))=11,LEFT(SUBSTITUTE(SUBSTITUTE(SUBSTITUTE(SUBSTITUTE(SUBSTITUTE(SUBSTITUTE(SUBSTITUTE(TRIM(M820),".",""),"/",""),"-","")," ",""),"(",""),")",""),"+",""),4)="0800")),"OK",IF(AND(LEN(SUBSTITUTE(SUBSTITUTE(SUBSTITUTE(SUBSTITUTE(SUBSTITUTE(SUBSTITUTE(SUBSTITUTE(TRIM(M820),".",""),"/",""),"-","")," ",""),"(",""),")",""),"+",""))=11,MID(SUBSTITUTE(SUBSTITUTE(SUBSTITUTE(SUBSTITUTE(SUBSTITUTE(SUBSTITUTE(SUBSTITUTE(TRIM(M820),".",""),"/",""),"-","")," ",""),"(",""),")",""),"+",""),3,1)="9"),"ERRO: é celular, use a coluna Celular","ERRO: DDD + 8 dígitos ou 0800 + 7")))</f>
      </c>
      <c r="X820" s="6">
        <f>IF(N820="","vazio",IF(AND(LEN(SUBSTITUTE(SUBSTITUTE(SUBSTITUTE(SUBSTITUTE(SUBSTITUTE(SUBSTITUTE(SUBSTITUTE(TRIM(N820),".",""),"/",""),"-","")," ",""),"(",""),")",""),"+",""))=11,MID(SUBSTITUTE(SUBSTITUTE(SUBSTITUTE(SUBSTITUTE(SUBSTITUTE(SUBSTITUTE(SUBSTITUTE(TRIM(N820),".",""),"/",""),"-","")," ",""),"(",""),")",""),"+",""),3,1)="9",LEFT(SUBSTITUTE(SUBSTITUTE(SUBSTITUTE(SUBSTITUTE(SUBSTITUTE(SUBSTITUTE(SUBSTITUTE(TRIM(N820),".",""),"/",""),"-","")," ",""),"(",""),")",""),"+",""),1)&lt;&gt;"0"),"OK",IF(LEN(SUBSTITUTE(SUBSTITUTE(SUBSTITUTE(SUBSTITUTE(SUBSTITUTE(SUBSTITUTE(SUBSTITUTE(TRIM(N820),".",""),"/",""),"-","")," ",""),"(",""),")",""),"+",""))=10,"ERRO: é fixo (ou falta o 9), use a coluna Telefone fixo","ERRO: DDD + 9 + 8 dígitos")))</f>
      </c>
      <c r="Y820" s="6">
        <f>IF(O820="","vazio",IF(AND(ISNUMBER(FIND("@",O820)),ISNUMBER(FIND(".",MID(O820,FIND("@",O820),99))),NOT(ISNUMBER(FIND(" ",TRIM(O820)))),NOT(ISNUMBER(FIND(";",O820))),NOT(ISNUMBER(FIND(",",O820)))),"OK","ERRO: um e-mail válido por linha"))</f>
      </c>
      <c r="Z820" s="6">
        <f>IF(AND(J820="",K820=""),"",IF(AND(J820&lt;&gt;"",K820&lt;&gt;""),"OK","pendente: só um nome (o GR completa ao converter)"))</f>
      </c>
      <c r="AA820" s="6">
        <f>IF(COUNTA(A820:S820)=0,"",IF(AND(A820&lt;&gt;"",B820&lt;&gt;"",C820&lt;&gt;"",D820&lt;&gt;"",E820&lt;&gt;"",F820&lt;&gt;"",G820&lt;&gt;"",H820&lt;&gt;"",OR(J820&lt;&gt;"",K820&lt;&gt;""),OR(M820&lt;&gt;"",N820&lt;&gt;"",O820&lt;&gt;"")),"OK","ERRO: faltam "&amp;IF(A820="","SDR; ","")&amp;IF(B820="","Proprietário; ","")&amp;IF(C820="","Origem; ","")&amp;IF(D820="","Temperatura; ","")&amp;IF(E820="","Segmento; ","")&amp;IF(F820="","Time/Cluster; ","")&amp;IF(G820="","CNPJ; ","")&amp;IF(H820="","Razão Social; ","")&amp;IF(AND(J820="",K820=""),"nome do contato; ","")&amp;IF(AND(M820="",N820="",O820=""),"telefone, celular ou e-mail; ","")))</f>
      </c>
      <c r="AB820" s="6">
        <f>IF(COUNTA(A820:S820)=0,"",IF(AND(U820="OK",V820="OK",LEFT(W820,4)&lt;&gt;"ERRO",LEFT(X820,4)&lt;&gt;"ERRO",LEFT(Y820,4)&lt;&gt;"ERRO",AA820="OK"),"OK","REVISAR"))</f>
      </c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5"/>
      <c r="K821" s="4"/>
      <c r="L821" s="4"/>
      <c r="M821" s="4"/>
      <c r="N821" s="4"/>
      <c r="O821" s="4"/>
      <c r="P821" s="4"/>
      <c r="Q821" s="4"/>
      <c r="R821" s="4"/>
      <c r="S821" s="4"/>
      <c r="T821" s="6">
        <f>IF(G821="","",SUBSTITUTE(SUBSTITUTE(SUBSTITUTE(SUBSTITUTE(SUBSTITUTE(SUBSTITUTE(SUBSTITUTE(TRIM(G821),".",""),"/",""),"-","")," ",""),"(",""),")",""),"+",""))</f>
      </c>
      <c r="U821" s="6">
        <f>IF(T821="","",IF(LEN(T821)&lt;&gt;14,"ERRO: "&amp;LEN(T821)&amp;" dígitos",IF(NOT(ISNUMBER(VALUE(T821))),"ERRO: não numérico",IF(LEN(SUBSTITUTE(T821,LEFT(T821,1),""))=0,"ERRO: dígitos repetidos",IF(AND(VALUE(MID(T821,13,1))=IF(MOD(SUMPRODUCT(--MID(T821,{1,2,3,4,5,6,7,8,9,10,11,12},1),{5,4,3,2,9,8,7,6,5,4,3,2}),11)&lt;2,0,11-MOD(SUMPRODUCT(--MID(T821,{1,2,3,4,5,6,7,8,9,10,11,12},1),{5,4,3,2,9,8,7,6,5,4,3,2}),11)),VALUE(MID(T821,14,1))=IF(MOD(SUMPRODUCT(--MID(T821,{1,2,3,4,5,6,7,8,9,10,11,12,13},1),{6,5,4,3,2,9,8,7,6,5,4,3,2}),11)&lt;2,0,11-MOD(SUMPRODUCT(--MID(T821,{1,2,3,4,5,6,7,8,9,10,11,12,13},1),{6,5,4,3,2,9,8,7,6,5,4,3,2}),11))),"OK","ERRO: dígito verificador")))))</f>
      </c>
      <c r="V821" s="6">
        <f>IF(T821="","",IF(COUNTIF($T$2:$T$1001,T821)&gt;1,"DUPLICADO","OK"))</f>
      </c>
      <c r="W821" s="6">
        <f>IF(M821="","vazio",IF(OR(AND(LEN(SUBSTITUTE(SUBSTITUTE(SUBSTITUTE(SUBSTITUTE(SUBSTITUTE(SUBSTITUTE(SUBSTITUTE(TRIM(M821),".",""),"/",""),"-","")," ",""),"(",""),")",""),"+",""))=10,LEFT(SUBSTITUTE(SUBSTITUTE(SUBSTITUTE(SUBSTITUTE(SUBSTITUTE(SUBSTITUTE(SUBSTITUTE(TRIM(M821),".",""),"/",""),"-","")," ",""),"(",""),")",""),"+",""),1)&lt;&gt;"0"),AND(LEN(SUBSTITUTE(SUBSTITUTE(SUBSTITUTE(SUBSTITUTE(SUBSTITUTE(SUBSTITUTE(SUBSTITUTE(TRIM(M821),".",""),"/",""),"-","")," ",""),"(",""),")",""),"+",""))=11,LEFT(SUBSTITUTE(SUBSTITUTE(SUBSTITUTE(SUBSTITUTE(SUBSTITUTE(SUBSTITUTE(SUBSTITUTE(TRIM(M821),".",""),"/",""),"-","")," ",""),"(",""),")",""),"+",""),4)="0800")),"OK",IF(AND(LEN(SUBSTITUTE(SUBSTITUTE(SUBSTITUTE(SUBSTITUTE(SUBSTITUTE(SUBSTITUTE(SUBSTITUTE(TRIM(M821),".",""),"/",""),"-","")," ",""),"(",""),")",""),"+",""))=11,MID(SUBSTITUTE(SUBSTITUTE(SUBSTITUTE(SUBSTITUTE(SUBSTITUTE(SUBSTITUTE(SUBSTITUTE(TRIM(M821),".",""),"/",""),"-","")," ",""),"(",""),")",""),"+",""),3,1)="9"),"ERRO: é celular, use a coluna Celular","ERRO: DDD + 8 dígitos ou 0800 + 7")))</f>
      </c>
      <c r="X821" s="6">
        <f>IF(N821="","vazio",IF(AND(LEN(SUBSTITUTE(SUBSTITUTE(SUBSTITUTE(SUBSTITUTE(SUBSTITUTE(SUBSTITUTE(SUBSTITUTE(TRIM(N821),".",""),"/",""),"-","")," ",""),"(",""),")",""),"+",""))=11,MID(SUBSTITUTE(SUBSTITUTE(SUBSTITUTE(SUBSTITUTE(SUBSTITUTE(SUBSTITUTE(SUBSTITUTE(TRIM(N821),".",""),"/",""),"-","")," ",""),"(",""),")",""),"+",""),3,1)="9",LEFT(SUBSTITUTE(SUBSTITUTE(SUBSTITUTE(SUBSTITUTE(SUBSTITUTE(SUBSTITUTE(SUBSTITUTE(TRIM(N821),".",""),"/",""),"-","")," ",""),"(",""),")",""),"+",""),1)&lt;&gt;"0"),"OK",IF(LEN(SUBSTITUTE(SUBSTITUTE(SUBSTITUTE(SUBSTITUTE(SUBSTITUTE(SUBSTITUTE(SUBSTITUTE(TRIM(N821),".",""),"/",""),"-","")," ",""),"(",""),")",""),"+",""))=10,"ERRO: é fixo (ou falta o 9), use a coluna Telefone fixo","ERRO: DDD + 9 + 8 dígitos")))</f>
      </c>
      <c r="Y821" s="6">
        <f>IF(O821="","vazio",IF(AND(ISNUMBER(FIND("@",O821)),ISNUMBER(FIND(".",MID(O821,FIND("@",O821),99))),NOT(ISNUMBER(FIND(" ",TRIM(O821)))),NOT(ISNUMBER(FIND(";",O821))),NOT(ISNUMBER(FIND(",",O821)))),"OK","ERRO: um e-mail válido por linha"))</f>
      </c>
      <c r="Z821" s="6">
        <f>IF(AND(J821="",K821=""),"",IF(AND(J821&lt;&gt;"",K821&lt;&gt;""),"OK","pendente: só um nome (o GR completa ao converter)"))</f>
      </c>
      <c r="AA821" s="6">
        <f>IF(COUNTA(A821:S821)=0,"",IF(AND(A821&lt;&gt;"",B821&lt;&gt;"",C821&lt;&gt;"",D821&lt;&gt;"",E821&lt;&gt;"",F821&lt;&gt;"",G821&lt;&gt;"",H821&lt;&gt;"",OR(J821&lt;&gt;"",K821&lt;&gt;""),OR(M821&lt;&gt;"",N821&lt;&gt;"",O821&lt;&gt;"")),"OK","ERRO: faltam "&amp;IF(A821="","SDR; ","")&amp;IF(B821="","Proprietário; ","")&amp;IF(C821="","Origem; ","")&amp;IF(D821="","Temperatura; ","")&amp;IF(E821="","Segmento; ","")&amp;IF(F821="","Time/Cluster; ","")&amp;IF(G821="","CNPJ; ","")&amp;IF(H821="","Razão Social; ","")&amp;IF(AND(J821="",K821=""),"nome do contato; ","")&amp;IF(AND(M821="",N821="",O821=""),"telefone, celular ou e-mail; ","")))</f>
      </c>
      <c r="AB821" s="6">
        <f>IF(COUNTA(A821:S821)=0,"",IF(AND(U821="OK",V821="OK",LEFT(W821,4)&lt;&gt;"ERRO",LEFT(X821,4)&lt;&gt;"ERRO",LEFT(Y821,4)&lt;&gt;"ERRO",AA821="OK"),"OK","REVISAR"))</f>
      </c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5"/>
      <c r="K822" s="4"/>
      <c r="L822" s="4"/>
      <c r="M822" s="4"/>
      <c r="N822" s="4"/>
      <c r="O822" s="4"/>
      <c r="P822" s="4"/>
      <c r="Q822" s="4"/>
      <c r="R822" s="4"/>
      <c r="S822" s="4"/>
      <c r="T822" s="6">
        <f>IF(G822="","",SUBSTITUTE(SUBSTITUTE(SUBSTITUTE(SUBSTITUTE(SUBSTITUTE(SUBSTITUTE(SUBSTITUTE(TRIM(G822),".",""),"/",""),"-","")," ",""),"(",""),")",""),"+",""))</f>
      </c>
      <c r="U822" s="6">
        <f>IF(T822="","",IF(LEN(T822)&lt;&gt;14,"ERRO: "&amp;LEN(T822)&amp;" dígitos",IF(NOT(ISNUMBER(VALUE(T822))),"ERRO: não numérico",IF(LEN(SUBSTITUTE(T822,LEFT(T822,1),""))=0,"ERRO: dígitos repetidos",IF(AND(VALUE(MID(T822,13,1))=IF(MOD(SUMPRODUCT(--MID(T822,{1,2,3,4,5,6,7,8,9,10,11,12},1),{5,4,3,2,9,8,7,6,5,4,3,2}),11)&lt;2,0,11-MOD(SUMPRODUCT(--MID(T822,{1,2,3,4,5,6,7,8,9,10,11,12},1),{5,4,3,2,9,8,7,6,5,4,3,2}),11)),VALUE(MID(T822,14,1))=IF(MOD(SUMPRODUCT(--MID(T822,{1,2,3,4,5,6,7,8,9,10,11,12,13},1),{6,5,4,3,2,9,8,7,6,5,4,3,2}),11)&lt;2,0,11-MOD(SUMPRODUCT(--MID(T822,{1,2,3,4,5,6,7,8,9,10,11,12,13},1),{6,5,4,3,2,9,8,7,6,5,4,3,2}),11))),"OK","ERRO: dígito verificador")))))</f>
      </c>
      <c r="V822" s="6">
        <f>IF(T822="","",IF(COUNTIF($T$2:$T$1001,T822)&gt;1,"DUPLICADO","OK"))</f>
      </c>
      <c r="W822" s="6">
        <f>IF(M822="","vazio",IF(OR(AND(LEN(SUBSTITUTE(SUBSTITUTE(SUBSTITUTE(SUBSTITUTE(SUBSTITUTE(SUBSTITUTE(SUBSTITUTE(TRIM(M822),".",""),"/",""),"-","")," ",""),"(",""),")",""),"+",""))=10,LEFT(SUBSTITUTE(SUBSTITUTE(SUBSTITUTE(SUBSTITUTE(SUBSTITUTE(SUBSTITUTE(SUBSTITUTE(TRIM(M822),".",""),"/",""),"-","")," ",""),"(",""),")",""),"+",""),1)&lt;&gt;"0"),AND(LEN(SUBSTITUTE(SUBSTITUTE(SUBSTITUTE(SUBSTITUTE(SUBSTITUTE(SUBSTITUTE(SUBSTITUTE(TRIM(M822),".",""),"/",""),"-","")," ",""),"(",""),")",""),"+",""))=11,LEFT(SUBSTITUTE(SUBSTITUTE(SUBSTITUTE(SUBSTITUTE(SUBSTITUTE(SUBSTITUTE(SUBSTITUTE(TRIM(M822),".",""),"/",""),"-","")," ",""),"(",""),")",""),"+",""),4)="0800")),"OK",IF(AND(LEN(SUBSTITUTE(SUBSTITUTE(SUBSTITUTE(SUBSTITUTE(SUBSTITUTE(SUBSTITUTE(SUBSTITUTE(TRIM(M822),".",""),"/",""),"-","")," ",""),"(",""),")",""),"+",""))=11,MID(SUBSTITUTE(SUBSTITUTE(SUBSTITUTE(SUBSTITUTE(SUBSTITUTE(SUBSTITUTE(SUBSTITUTE(TRIM(M822),".",""),"/",""),"-","")," ",""),"(",""),")",""),"+",""),3,1)="9"),"ERRO: é celular, use a coluna Celular","ERRO: DDD + 8 dígitos ou 0800 + 7")))</f>
      </c>
      <c r="X822" s="6">
        <f>IF(N822="","vazio",IF(AND(LEN(SUBSTITUTE(SUBSTITUTE(SUBSTITUTE(SUBSTITUTE(SUBSTITUTE(SUBSTITUTE(SUBSTITUTE(TRIM(N822),".",""),"/",""),"-","")," ",""),"(",""),")",""),"+",""))=11,MID(SUBSTITUTE(SUBSTITUTE(SUBSTITUTE(SUBSTITUTE(SUBSTITUTE(SUBSTITUTE(SUBSTITUTE(TRIM(N822),".",""),"/",""),"-","")," ",""),"(",""),")",""),"+",""),3,1)="9",LEFT(SUBSTITUTE(SUBSTITUTE(SUBSTITUTE(SUBSTITUTE(SUBSTITUTE(SUBSTITUTE(SUBSTITUTE(TRIM(N822),".",""),"/",""),"-","")," ",""),"(",""),")",""),"+",""),1)&lt;&gt;"0"),"OK",IF(LEN(SUBSTITUTE(SUBSTITUTE(SUBSTITUTE(SUBSTITUTE(SUBSTITUTE(SUBSTITUTE(SUBSTITUTE(TRIM(N822),".",""),"/",""),"-","")," ",""),"(",""),")",""),"+",""))=10,"ERRO: é fixo (ou falta o 9), use a coluna Telefone fixo","ERRO: DDD + 9 + 8 dígitos")))</f>
      </c>
      <c r="Y822" s="6">
        <f>IF(O822="","vazio",IF(AND(ISNUMBER(FIND("@",O822)),ISNUMBER(FIND(".",MID(O822,FIND("@",O822),99))),NOT(ISNUMBER(FIND(" ",TRIM(O822)))),NOT(ISNUMBER(FIND(";",O822))),NOT(ISNUMBER(FIND(",",O822)))),"OK","ERRO: um e-mail válido por linha"))</f>
      </c>
      <c r="Z822" s="6">
        <f>IF(AND(J822="",K822=""),"",IF(AND(J822&lt;&gt;"",K822&lt;&gt;""),"OK","pendente: só um nome (o GR completa ao converter)"))</f>
      </c>
      <c r="AA822" s="6">
        <f>IF(COUNTA(A822:S822)=0,"",IF(AND(A822&lt;&gt;"",B822&lt;&gt;"",C822&lt;&gt;"",D822&lt;&gt;"",E822&lt;&gt;"",F822&lt;&gt;"",G822&lt;&gt;"",H822&lt;&gt;"",OR(J822&lt;&gt;"",K822&lt;&gt;""),OR(M822&lt;&gt;"",N822&lt;&gt;"",O822&lt;&gt;"")),"OK","ERRO: faltam "&amp;IF(A822="","SDR; ","")&amp;IF(B822="","Proprietário; ","")&amp;IF(C822="","Origem; ","")&amp;IF(D822="","Temperatura; ","")&amp;IF(E822="","Segmento; ","")&amp;IF(F822="","Time/Cluster; ","")&amp;IF(G822="","CNPJ; ","")&amp;IF(H822="","Razão Social; ","")&amp;IF(AND(J822="",K822=""),"nome do contato; ","")&amp;IF(AND(M822="",N822="",O822=""),"telefone, celular ou e-mail; ","")))</f>
      </c>
      <c r="AB822" s="6">
        <f>IF(COUNTA(A822:S822)=0,"",IF(AND(U822="OK",V822="OK",LEFT(W822,4)&lt;&gt;"ERRO",LEFT(X822,4)&lt;&gt;"ERRO",LEFT(Y822,4)&lt;&gt;"ERRO",AA822="OK"),"OK","REVISAR"))</f>
      </c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5"/>
      <c r="K823" s="4"/>
      <c r="L823" s="4"/>
      <c r="M823" s="4"/>
      <c r="N823" s="4"/>
      <c r="O823" s="4"/>
      <c r="P823" s="4"/>
      <c r="Q823" s="4"/>
      <c r="R823" s="4"/>
      <c r="S823" s="4"/>
      <c r="T823" s="6">
        <f>IF(G823="","",SUBSTITUTE(SUBSTITUTE(SUBSTITUTE(SUBSTITUTE(SUBSTITUTE(SUBSTITUTE(SUBSTITUTE(TRIM(G823),".",""),"/",""),"-","")," ",""),"(",""),")",""),"+",""))</f>
      </c>
      <c r="U823" s="6">
        <f>IF(T823="","",IF(LEN(T823)&lt;&gt;14,"ERRO: "&amp;LEN(T823)&amp;" dígitos",IF(NOT(ISNUMBER(VALUE(T823))),"ERRO: não numérico",IF(LEN(SUBSTITUTE(T823,LEFT(T823,1),""))=0,"ERRO: dígitos repetidos",IF(AND(VALUE(MID(T823,13,1))=IF(MOD(SUMPRODUCT(--MID(T823,{1,2,3,4,5,6,7,8,9,10,11,12},1),{5,4,3,2,9,8,7,6,5,4,3,2}),11)&lt;2,0,11-MOD(SUMPRODUCT(--MID(T823,{1,2,3,4,5,6,7,8,9,10,11,12},1),{5,4,3,2,9,8,7,6,5,4,3,2}),11)),VALUE(MID(T823,14,1))=IF(MOD(SUMPRODUCT(--MID(T823,{1,2,3,4,5,6,7,8,9,10,11,12,13},1),{6,5,4,3,2,9,8,7,6,5,4,3,2}),11)&lt;2,0,11-MOD(SUMPRODUCT(--MID(T823,{1,2,3,4,5,6,7,8,9,10,11,12,13},1),{6,5,4,3,2,9,8,7,6,5,4,3,2}),11))),"OK","ERRO: dígito verificador")))))</f>
      </c>
      <c r="V823" s="6">
        <f>IF(T823="","",IF(COUNTIF($T$2:$T$1001,T823)&gt;1,"DUPLICADO","OK"))</f>
      </c>
      <c r="W823" s="6">
        <f>IF(M823="","vazio",IF(OR(AND(LEN(SUBSTITUTE(SUBSTITUTE(SUBSTITUTE(SUBSTITUTE(SUBSTITUTE(SUBSTITUTE(SUBSTITUTE(TRIM(M823),".",""),"/",""),"-","")," ",""),"(",""),")",""),"+",""))=10,LEFT(SUBSTITUTE(SUBSTITUTE(SUBSTITUTE(SUBSTITUTE(SUBSTITUTE(SUBSTITUTE(SUBSTITUTE(TRIM(M823),".",""),"/",""),"-","")," ",""),"(",""),")",""),"+",""),1)&lt;&gt;"0"),AND(LEN(SUBSTITUTE(SUBSTITUTE(SUBSTITUTE(SUBSTITUTE(SUBSTITUTE(SUBSTITUTE(SUBSTITUTE(TRIM(M823),".",""),"/",""),"-","")," ",""),"(",""),")",""),"+",""))=11,LEFT(SUBSTITUTE(SUBSTITUTE(SUBSTITUTE(SUBSTITUTE(SUBSTITUTE(SUBSTITUTE(SUBSTITUTE(TRIM(M823),".",""),"/",""),"-","")," ",""),"(",""),")",""),"+",""),4)="0800")),"OK",IF(AND(LEN(SUBSTITUTE(SUBSTITUTE(SUBSTITUTE(SUBSTITUTE(SUBSTITUTE(SUBSTITUTE(SUBSTITUTE(TRIM(M823),".",""),"/",""),"-","")," ",""),"(",""),")",""),"+",""))=11,MID(SUBSTITUTE(SUBSTITUTE(SUBSTITUTE(SUBSTITUTE(SUBSTITUTE(SUBSTITUTE(SUBSTITUTE(TRIM(M823),".",""),"/",""),"-","")," ",""),"(",""),")",""),"+",""),3,1)="9"),"ERRO: é celular, use a coluna Celular","ERRO: DDD + 8 dígitos ou 0800 + 7")))</f>
      </c>
      <c r="X823" s="6">
        <f>IF(N823="","vazio",IF(AND(LEN(SUBSTITUTE(SUBSTITUTE(SUBSTITUTE(SUBSTITUTE(SUBSTITUTE(SUBSTITUTE(SUBSTITUTE(TRIM(N823),".",""),"/",""),"-","")," ",""),"(",""),")",""),"+",""))=11,MID(SUBSTITUTE(SUBSTITUTE(SUBSTITUTE(SUBSTITUTE(SUBSTITUTE(SUBSTITUTE(SUBSTITUTE(TRIM(N823),".",""),"/",""),"-","")," ",""),"(",""),")",""),"+",""),3,1)="9",LEFT(SUBSTITUTE(SUBSTITUTE(SUBSTITUTE(SUBSTITUTE(SUBSTITUTE(SUBSTITUTE(SUBSTITUTE(TRIM(N823),".",""),"/",""),"-","")," ",""),"(",""),")",""),"+",""),1)&lt;&gt;"0"),"OK",IF(LEN(SUBSTITUTE(SUBSTITUTE(SUBSTITUTE(SUBSTITUTE(SUBSTITUTE(SUBSTITUTE(SUBSTITUTE(TRIM(N823),".",""),"/",""),"-","")," ",""),"(",""),")",""),"+",""))=10,"ERRO: é fixo (ou falta o 9), use a coluna Telefone fixo","ERRO: DDD + 9 + 8 dígitos")))</f>
      </c>
      <c r="Y823" s="6">
        <f>IF(O823="","vazio",IF(AND(ISNUMBER(FIND("@",O823)),ISNUMBER(FIND(".",MID(O823,FIND("@",O823),99))),NOT(ISNUMBER(FIND(" ",TRIM(O823)))),NOT(ISNUMBER(FIND(";",O823))),NOT(ISNUMBER(FIND(",",O823)))),"OK","ERRO: um e-mail válido por linha"))</f>
      </c>
      <c r="Z823" s="6">
        <f>IF(AND(J823="",K823=""),"",IF(AND(J823&lt;&gt;"",K823&lt;&gt;""),"OK","pendente: só um nome (o GR completa ao converter)"))</f>
      </c>
      <c r="AA823" s="6">
        <f>IF(COUNTA(A823:S823)=0,"",IF(AND(A823&lt;&gt;"",B823&lt;&gt;"",C823&lt;&gt;"",D823&lt;&gt;"",E823&lt;&gt;"",F823&lt;&gt;"",G823&lt;&gt;"",H823&lt;&gt;"",OR(J823&lt;&gt;"",K823&lt;&gt;""),OR(M823&lt;&gt;"",N823&lt;&gt;"",O823&lt;&gt;"")),"OK","ERRO: faltam "&amp;IF(A823="","SDR; ","")&amp;IF(B823="","Proprietário; ","")&amp;IF(C823="","Origem; ","")&amp;IF(D823="","Temperatura; ","")&amp;IF(E823="","Segmento; ","")&amp;IF(F823="","Time/Cluster; ","")&amp;IF(G823="","CNPJ; ","")&amp;IF(H823="","Razão Social; ","")&amp;IF(AND(J823="",K823=""),"nome do contato; ","")&amp;IF(AND(M823="",N823="",O823=""),"telefone, celular ou e-mail; ","")))</f>
      </c>
      <c r="AB823" s="6">
        <f>IF(COUNTA(A823:S823)=0,"",IF(AND(U823="OK",V823="OK",LEFT(W823,4)&lt;&gt;"ERRO",LEFT(X823,4)&lt;&gt;"ERRO",LEFT(Y823,4)&lt;&gt;"ERRO",AA823="OK"),"OK","REVISAR"))</f>
      </c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5"/>
      <c r="K824" s="4"/>
      <c r="L824" s="4"/>
      <c r="M824" s="4"/>
      <c r="N824" s="4"/>
      <c r="O824" s="4"/>
      <c r="P824" s="4"/>
      <c r="Q824" s="4"/>
      <c r="R824" s="4"/>
      <c r="S824" s="4"/>
      <c r="T824" s="6">
        <f>IF(G824="","",SUBSTITUTE(SUBSTITUTE(SUBSTITUTE(SUBSTITUTE(SUBSTITUTE(SUBSTITUTE(SUBSTITUTE(TRIM(G824),".",""),"/",""),"-","")," ",""),"(",""),")",""),"+",""))</f>
      </c>
      <c r="U824" s="6">
        <f>IF(T824="","",IF(LEN(T824)&lt;&gt;14,"ERRO: "&amp;LEN(T824)&amp;" dígitos",IF(NOT(ISNUMBER(VALUE(T824))),"ERRO: não numérico",IF(LEN(SUBSTITUTE(T824,LEFT(T824,1),""))=0,"ERRO: dígitos repetidos",IF(AND(VALUE(MID(T824,13,1))=IF(MOD(SUMPRODUCT(--MID(T824,{1,2,3,4,5,6,7,8,9,10,11,12},1),{5,4,3,2,9,8,7,6,5,4,3,2}),11)&lt;2,0,11-MOD(SUMPRODUCT(--MID(T824,{1,2,3,4,5,6,7,8,9,10,11,12},1),{5,4,3,2,9,8,7,6,5,4,3,2}),11)),VALUE(MID(T824,14,1))=IF(MOD(SUMPRODUCT(--MID(T824,{1,2,3,4,5,6,7,8,9,10,11,12,13},1),{6,5,4,3,2,9,8,7,6,5,4,3,2}),11)&lt;2,0,11-MOD(SUMPRODUCT(--MID(T824,{1,2,3,4,5,6,7,8,9,10,11,12,13},1),{6,5,4,3,2,9,8,7,6,5,4,3,2}),11))),"OK","ERRO: dígito verificador")))))</f>
      </c>
      <c r="V824" s="6">
        <f>IF(T824="","",IF(COUNTIF($T$2:$T$1001,T824)&gt;1,"DUPLICADO","OK"))</f>
      </c>
      <c r="W824" s="6">
        <f>IF(M824="","vazio",IF(OR(AND(LEN(SUBSTITUTE(SUBSTITUTE(SUBSTITUTE(SUBSTITUTE(SUBSTITUTE(SUBSTITUTE(SUBSTITUTE(TRIM(M824),".",""),"/",""),"-","")," ",""),"(",""),")",""),"+",""))=10,LEFT(SUBSTITUTE(SUBSTITUTE(SUBSTITUTE(SUBSTITUTE(SUBSTITUTE(SUBSTITUTE(SUBSTITUTE(TRIM(M824),".",""),"/",""),"-","")," ",""),"(",""),")",""),"+",""),1)&lt;&gt;"0"),AND(LEN(SUBSTITUTE(SUBSTITUTE(SUBSTITUTE(SUBSTITUTE(SUBSTITUTE(SUBSTITUTE(SUBSTITUTE(TRIM(M824),".",""),"/",""),"-","")," ",""),"(",""),")",""),"+",""))=11,LEFT(SUBSTITUTE(SUBSTITUTE(SUBSTITUTE(SUBSTITUTE(SUBSTITUTE(SUBSTITUTE(SUBSTITUTE(TRIM(M824),".",""),"/",""),"-","")," ",""),"(",""),")",""),"+",""),4)="0800")),"OK",IF(AND(LEN(SUBSTITUTE(SUBSTITUTE(SUBSTITUTE(SUBSTITUTE(SUBSTITUTE(SUBSTITUTE(SUBSTITUTE(TRIM(M824),".",""),"/",""),"-","")," ",""),"(",""),")",""),"+",""))=11,MID(SUBSTITUTE(SUBSTITUTE(SUBSTITUTE(SUBSTITUTE(SUBSTITUTE(SUBSTITUTE(SUBSTITUTE(TRIM(M824),".",""),"/",""),"-","")," ",""),"(",""),")",""),"+",""),3,1)="9"),"ERRO: é celular, use a coluna Celular","ERRO: DDD + 8 dígitos ou 0800 + 7")))</f>
      </c>
      <c r="X824" s="6">
        <f>IF(N824="","vazio",IF(AND(LEN(SUBSTITUTE(SUBSTITUTE(SUBSTITUTE(SUBSTITUTE(SUBSTITUTE(SUBSTITUTE(SUBSTITUTE(TRIM(N824),".",""),"/",""),"-","")," ",""),"(",""),")",""),"+",""))=11,MID(SUBSTITUTE(SUBSTITUTE(SUBSTITUTE(SUBSTITUTE(SUBSTITUTE(SUBSTITUTE(SUBSTITUTE(TRIM(N824),".",""),"/",""),"-","")," ",""),"(",""),")",""),"+",""),3,1)="9",LEFT(SUBSTITUTE(SUBSTITUTE(SUBSTITUTE(SUBSTITUTE(SUBSTITUTE(SUBSTITUTE(SUBSTITUTE(TRIM(N824),".",""),"/",""),"-","")," ",""),"(",""),")",""),"+",""),1)&lt;&gt;"0"),"OK",IF(LEN(SUBSTITUTE(SUBSTITUTE(SUBSTITUTE(SUBSTITUTE(SUBSTITUTE(SUBSTITUTE(SUBSTITUTE(TRIM(N824),".",""),"/",""),"-","")," ",""),"(",""),")",""),"+",""))=10,"ERRO: é fixo (ou falta o 9), use a coluna Telefone fixo","ERRO: DDD + 9 + 8 dígitos")))</f>
      </c>
      <c r="Y824" s="6">
        <f>IF(O824="","vazio",IF(AND(ISNUMBER(FIND("@",O824)),ISNUMBER(FIND(".",MID(O824,FIND("@",O824),99))),NOT(ISNUMBER(FIND(" ",TRIM(O824)))),NOT(ISNUMBER(FIND(";",O824))),NOT(ISNUMBER(FIND(",",O824)))),"OK","ERRO: um e-mail válido por linha"))</f>
      </c>
      <c r="Z824" s="6">
        <f>IF(AND(J824="",K824=""),"",IF(AND(J824&lt;&gt;"",K824&lt;&gt;""),"OK","pendente: só um nome (o GR completa ao converter)"))</f>
      </c>
      <c r="AA824" s="6">
        <f>IF(COUNTA(A824:S824)=0,"",IF(AND(A824&lt;&gt;"",B824&lt;&gt;"",C824&lt;&gt;"",D824&lt;&gt;"",E824&lt;&gt;"",F824&lt;&gt;"",G824&lt;&gt;"",H824&lt;&gt;"",OR(J824&lt;&gt;"",K824&lt;&gt;""),OR(M824&lt;&gt;"",N824&lt;&gt;"",O824&lt;&gt;"")),"OK","ERRO: faltam "&amp;IF(A824="","SDR; ","")&amp;IF(B824="","Proprietário; ","")&amp;IF(C824="","Origem; ","")&amp;IF(D824="","Temperatura; ","")&amp;IF(E824="","Segmento; ","")&amp;IF(F824="","Time/Cluster; ","")&amp;IF(G824="","CNPJ; ","")&amp;IF(H824="","Razão Social; ","")&amp;IF(AND(J824="",K824=""),"nome do contato; ","")&amp;IF(AND(M824="",N824="",O824=""),"telefone, celular ou e-mail; ","")))</f>
      </c>
      <c r="AB824" s="6">
        <f>IF(COUNTA(A824:S824)=0,"",IF(AND(U824="OK",V824="OK",LEFT(W824,4)&lt;&gt;"ERRO",LEFT(X824,4)&lt;&gt;"ERRO",LEFT(Y824,4)&lt;&gt;"ERRO",AA824="OK"),"OK","REVISAR"))</f>
      </c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5"/>
      <c r="K825" s="4"/>
      <c r="L825" s="4"/>
      <c r="M825" s="4"/>
      <c r="N825" s="4"/>
      <c r="O825" s="4"/>
      <c r="P825" s="4"/>
      <c r="Q825" s="4"/>
      <c r="R825" s="4"/>
      <c r="S825" s="4"/>
      <c r="T825" s="6">
        <f>IF(G825="","",SUBSTITUTE(SUBSTITUTE(SUBSTITUTE(SUBSTITUTE(SUBSTITUTE(SUBSTITUTE(SUBSTITUTE(TRIM(G825),".",""),"/",""),"-","")," ",""),"(",""),")",""),"+",""))</f>
      </c>
      <c r="U825" s="6">
        <f>IF(T825="","",IF(LEN(T825)&lt;&gt;14,"ERRO: "&amp;LEN(T825)&amp;" dígitos",IF(NOT(ISNUMBER(VALUE(T825))),"ERRO: não numérico",IF(LEN(SUBSTITUTE(T825,LEFT(T825,1),""))=0,"ERRO: dígitos repetidos",IF(AND(VALUE(MID(T825,13,1))=IF(MOD(SUMPRODUCT(--MID(T825,{1,2,3,4,5,6,7,8,9,10,11,12},1),{5,4,3,2,9,8,7,6,5,4,3,2}),11)&lt;2,0,11-MOD(SUMPRODUCT(--MID(T825,{1,2,3,4,5,6,7,8,9,10,11,12},1),{5,4,3,2,9,8,7,6,5,4,3,2}),11)),VALUE(MID(T825,14,1))=IF(MOD(SUMPRODUCT(--MID(T825,{1,2,3,4,5,6,7,8,9,10,11,12,13},1),{6,5,4,3,2,9,8,7,6,5,4,3,2}),11)&lt;2,0,11-MOD(SUMPRODUCT(--MID(T825,{1,2,3,4,5,6,7,8,9,10,11,12,13},1),{6,5,4,3,2,9,8,7,6,5,4,3,2}),11))),"OK","ERRO: dígito verificador")))))</f>
      </c>
      <c r="V825" s="6">
        <f>IF(T825="","",IF(COUNTIF($T$2:$T$1001,T825)&gt;1,"DUPLICADO","OK"))</f>
      </c>
      <c r="W825" s="6">
        <f>IF(M825="","vazio",IF(OR(AND(LEN(SUBSTITUTE(SUBSTITUTE(SUBSTITUTE(SUBSTITUTE(SUBSTITUTE(SUBSTITUTE(SUBSTITUTE(TRIM(M825),".",""),"/",""),"-","")," ",""),"(",""),")",""),"+",""))=10,LEFT(SUBSTITUTE(SUBSTITUTE(SUBSTITUTE(SUBSTITUTE(SUBSTITUTE(SUBSTITUTE(SUBSTITUTE(TRIM(M825),".",""),"/",""),"-","")," ",""),"(",""),")",""),"+",""),1)&lt;&gt;"0"),AND(LEN(SUBSTITUTE(SUBSTITUTE(SUBSTITUTE(SUBSTITUTE(SUBSTITUTE(SUBSTITUTE(SUBSTITUTE(TRIM(M825),".",""),"/",""),"-","")," ",""),"(",""),")",""),"+",""))=11,LEFT(SUBSTITUTE(SUBSTITUTE(SUBSTITUTE(SUBSTITUTE(SUBSTITUTE(SUBSTITUTE(SUBSTITUTE(TRIM(M825),".",""),"/",""),"-","")," ",""),"(",""),")",""),"+",""),4)="0800")),"OK",IF(AND(LEN(SUBSTITUTE(SUBSTITUTE(SUBSTITUTE(SUBSTITUTE(SUBSTITUTE(SUBSTITUTE(SUBSTITUTE(TRIM(M825),".",""),"/",""),"-","")," ",""),"(",""),")",""),"+",""))=11,MID(SUBSTITUTE(SUBSTITUTE(SUBSTITUTE(SUBSTITUTE(SUBSTITUTE(SUBSTITUTE(SUBSTITUTE(TRIM(M825),".",""),"/",""),"-","")," ",""),"(",""),")",""),"+",""),3,1)="9"),"ERRO: é celular, use a coluna Celular","ERRO: DDD + 8 dígitos ou 0800 + 7")))</f>
      </c>
      <c r="X825" s="6">
        <f>IF(N825="","vazio",IF(AND(LEN(SUBSTITUTE(SUBSTITUTE(SUBSTITUTE(SUBSTITUTE(SUBSTITUTE(SUBSTITUTE(SUBSTITUTE(TRIM(N825),".",""),"/",""),"-","")," ",""),"(",""),")",""),"+",""))=11,MID(SUBSTITUTE(SUBSTITUTE(SUBSTITUTE(SUBSTITUTE(SUBSTITUTE(SUBSTITUTE(SUBSTITUTE(TRIM(N825),".",""),"/",""),"-","")," ",""),"(",""),")",""),"+",""),3,1)="9",LEFT(SUBSTITUTE(SUBSTITUTE(SUBSTITUTE(SUBSTITUTE(SUBSTITUTE(SUBSTITUTE(SUBSTITUTE(TRIM(N825),".",""),"/",""),"-","")," ",""),"(",""),")",""),"+",""),1)&lt;&gt;"0"),"OK",IF(LEN(SUBSTITUTE(SUBSTITUTE(SUBSTITUTE(SUBSTITUTE(SUBSTITUTE(SUBSTITUTE(SUBSTITUTE(TRIM(N825),".",""),"/",""),"-","")," ",""),"(",""),")",""),"+",""))=10,"ERRO: é fixo (ou falta o 9), use a coluna Telefone fixo","ERRO: DDD + 9 + 8 dígitos")))</f>
      </c>
      <c r="Y825" s="6">
        <f>IF(O825="","vazio",IF(AND(ISNUMBER(FIND("@",O825)),ISNUMBER(FIND(".",MID(O825,FIND("@",O825),99))),NOT(ISNUMBER(FIND(" ",TRIM(O825)))),NOT(ISNUMBER(FIND(";",O825))),NOT(ISNUMBER(FIND(",",O825)))),"OK","ERRO: um e-mail válido por linha"))</f>
      </c>
      <c r="Z825" s="6">
        <f>IF(AND(J825="",K825=""),"",IF(AND(J825&lt;&gt;"",K825&lt;&gt;""),"OK","pendente: só um nome (o GR completa ao converter)"))</f>
      </c>
      <c r="AA825" s="6">
        <f>IF(COUNTA(A825:S825)=0,"",IF(AND(A825&lt;&gt;"",B825&lt;&gt;"",C825&lt;&gt;"",D825&lt;&gt;"",E825&lt;&gt;"",F825&lt;&gt;"",G825&lt;&gt;"",H825&lt;&gt;"",OR(J825&lt;&gt;"",K825&lt;&gt;""),OR(M825&lt;&gt;"",N825&lt;&gt;"",O825&lt;&gt;"")),"OK","ERRO: faltam "&amp;IF(A825="","SDR; ","")&amp;IF(B825="","Proprietário; ","")&amp;IF(C825="","Origem; ","")&amp;IF(D825="","Temperatura; ","")&amp;IF(E825="","Segmento; ","")&amp;IF(F825="","Time/Cluster; ","")&amp;IF(G825="","CNPJ; ","")&amp;IF(H825="","Razão Social; ","")&amp;IF(AND(J825="",K825=""),"nome do contato; ","")&amp;IF(AND(M825="",N825="",O825=""),"telefone, celular ou e-mail; ","")))</f>
      </c>
      <c r="AB825" s="6">
        <f>IF(COUNTA(A825:S825)=0,"",IF(AND(U825="OK",V825="OK",LEFT(W825,4)&lt;&gt;"ERRO",LEFT(X825,4)&lt;&gt;"ERRO",LEFT(Y825,4)&lt;&gt;"ERRO",AA825="OK"),"OK","REVISAR"))</f>
      </c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5"/>
      <c r="K826" s="4"/>
      <c r="L826" s="4"/>
      <c r="M826" s="4"/>
      <c r="N826" s="4"/>
      <c r="O826" s="4"/>
      <c r="P826" s="4"/>
      <c r="Q826" s="4"/>
      <c r="R826" s="4"/>
      <c r="S826" s="4"/>
      <c r="T826" s="6">
        <f>IF(G826="","",SUBSTITUTE(SUBSTITUTE(SUBSTITUTE(SUBSTITUTE(SUBSTITUTE(SUBSTITUTE(SUBSTITUTE(TRIM(G826),".",""),"/",""),"-","")," ",""),"(",""),")",""),"+",""))</f>
      </c>
      <c r="U826" s="6">
        <f>IF(T826="","",IF(LEN(T826)&lt;&gt;14,"ERRO: "&amp;LEN(T826)&amp;" dígitos",IF(NOT(ISNUMBER(VALUE(T826))),"ERRO: não numérico",IF(LEN(SUBSTITUTE(T826,LEFT(T826,1),""))=0,"ERRO: dígitos repetidos",IF(AND(VALUE(MID(T826,13,1))=IF(MOD(SUMPRODUCT(--MID(T826,{1,2,3,4,5,6,7,8,9,10,11,12},1),{5,4,3,2,9,8,7,6,5,4,3,2}),11)&lt;2,0,11-MOD(SUMPRODUCT(--MID(T826,{1,2,3,4,5,6,7,8,9,10,11,12},1),{5,4,3,2,9,8,7,6,5,4,3,2}),11)),VALUE(MID(T826,14,1))=IF(MOD(SUMPRODUCT(--MID(T826,{1,2,3,4,5,6,7,8,9,10,11,12,13},1),{6,5,4,3,2,9,8,7,6,5,4,3,2}),11)&lt;2,0,11-MOD(SUMPRODUCT(--MID(T826,{1,2,3,4,5,6,7,8,9,10,11,12,13},1),{6,5,4,3,2,9,8,7,6,5,4,3,2}),11))),"OK","ERRO: dígito verificador")))))</f>
      </c>
      <c r="V826" s="6">
        <f>IF(T826="","",IF(COUNTIF($T$2:$T$1001,T826)&gt;1,"DUPLICADO","OK"))</f>
      </c>
      <c r="W826" s="6">
        <f>IF(M826="","vazio",IF(OR(AND(LEN(SUBSTITUTE(SUBSTITUTE(SUBSTITUTE(SUBSTITUTE(SUBSTITUTE(SUBSTITUTE(SUBSTITUTE(TRIM(M826),".",""),"/",""),"-","")," ",""),"(",""),")",""),"+",""))=10,LEFT(SUBSTITUTE(SUBSTITUTE(SUBSTITUTE(SUBSTITUTE(SUBSTITUTE(SUBSTITUTE(SUBSTITUTE(TRIM(M826),".",""),"/",""),"-","")," ",""),"(",""),")",""),"+",""),1)&lt;&gt;"0"),AND(LEN(SUBSTITUTE(SUBSTITUTE(SUBSTITUTE(SUBSTITUTE(SUBSTITUTE(SUBSTITUTE(SUBSTITUTE(TRIM(M826),".",""),"/",""),"-","")," ",""),"(",""),")",""),"+",""))=11,LEFT(SUBSTITUTE(SUBSTITUTE(SUBSTITUTE(SUBSTITUTE(SUBSTITUTE(SUBSTITUTE(SUBSTITUTE(TRIM(M826),".",""),"/",""),"-","")," ",""),"(",""),")",""),"+",""),4)="0800")),"OK",IF(AND(LEN(SUBSTITUTE(SUBSTITUTE(SUBSTITUTE(SUBSTITUTE(SUBSTITUTE(SUBSTITUTE(SUBSTITUTE(TRIM(M826),".",""),"/",""),"-","")," ",""),"(",""),")",""),"+",""))=11,MID(SUBSTITUTE(SUBSTITUTE(SUBSTITUTE(SUBSTITUTE(SUBSTITUTE(SUBSTITUTE(SUBSTITUTE(TRIM(M826),".",""),"/",""),"-","")," ",""),"(",""),")",""),"+",""),3,1)="9"),"ERRO: é celular, use a coluna Celular","ERRO: DDD + 8 dígitos ou 0800 + 7")))</f>
      </c>
      <c r="X826" s="6">
        <f>IF(N826="","vazio",IF(AND(LEN(SUBSTITUTE(SUBSTITUTE(SUBSTITUTE(SUBSTITUTE(SUBSTITUTE(SUBSTITUTE(SUBSTITUTE(TRIM(N826),".",""),"/",""),"-","")," ",""),"(",""),")",""),"+",""))=11,MID(SUBSTITUTE(SUBSTITUTE(SUBSTITUTE(SUBSTITUTE(SUBSTITUTE(SUBSTITUTE(SUBSTITUTE(TRIM(N826),".",""),"/",""),"-","")," ",""),"(",""),")",""),"+",""),3,1)="9",LEFT(SUBSTITUTE(SUBSTITUTE(SUBSTITUTE(SUBSTITUTE(SUBSTITUTE(SUBSTITUTE(SUBSTITUTE(TRIM(N826),".",""),"/",""),"-","")," ",""),"(",""),")",""),"+",""),1)&lt;&gt;"0"),"OK",IF(LEN(SUBSTITUTE(SUBSTITUTE(SUBSTITUTE(SUBSTITUTE(SUBSTITUTE(SUBSTITUTE(SUBSTITUTE(TRIM(N826),".",""),"/",""),"-","")," ",""),"(",""),")",""),"+",""))=10,"ERRO: é fixo (ou falta o 9), use a coluna Telefone fixo","ERRO: DDD + 9 + 8 dígitos")))</f>
      </c>
      <c r="Y826" s="6">
        <f>IF(O826="","vazio",IF(AND(ISNUMBER(FIND("@",O826)),ISNUMBER(FIND(".",MID(O826,FIND("@",O826),99))),NOT(ISNUMBER(FIND(" ",TRIM(O826)))),NOT(ISNUMBER(FIND(";",O826))),NOT(ISNUMBER(FIND(",",O826)))),"OK","ERRO: um e-mail válido por linha"))</f>
      </c>
      <c r="Z826" s="6">
        <f>IF(AND(J826="",K826=""),"",IF(AND(J826&lt;&gt;"",K826&lt;&gt;""),"OK","pendente: só um nome (o GR completa ao converter)"))</f>
      </c>
      <c r="AA826" s="6">
        <f>IF(COUNTA(A826:S826)=0,"",IF(AND(A826&lt;&gt;"",B826&lt;&gt;"",C826&lt;&gt;"",D826&lt;&gt;"",E826&lt;&gt;"",F826&lt;&gt;"",G826&lt;&gt;"",H826&lt;&gt;"",OR(J826&lt;&gt;"",K826&lt;&gt;""),OR(M826&lt;&gt;"",N826&lt;&gt;"",O826&lt;&gt;"")),"OK","ERRO: faltam "&amp;IF(A826="","SDR; ","")&amp;IF(B826="","Proprietário; ","")&amp;IF(C826="","Origem; ","")&amp;IF(D826="","Temperatura; ","")&amp;IF(E826="","Segmento; ","")&amp;IF(F826="","Time/Cluster; ","")&amp;IF(G826="","CNPJ; ","")&amp;IF(H826="","Razão Social; ","")&amp;IF(AND(J826="",K826=""),"nome do contato; ","")&amp;IF(AND(M826="",N826="",O826=""),"telefone, celular ou e-mail; ","")))</f>
      </c>
      <c r="AB826" s="6">
        <f>IF(COUNTA(A826:S826)=0,"",IF(AND(U826="OK",V826="OK",LEFT(W826,4)&lt;&gt;"ERRO",LEFT(X826,4)&lt;&gt;"ERRO",LEFT(Y826,4)&lt;&gt;"ERRO",AA826="OK"),"OK","REVISAR"))</f>
      </c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5"/>
      <c r="K827" s="4"/>
      <c r="L827" s="4"/>
      <c r="M827" s="4"/>
      <c r="N827" s="4"/>
      <c r="O827" s="4"/>
      <c r="P827" s="4"/>
      <c r="Q827" s="4"/>
      <c r="R827" s="4"/>
      <c r="S827" s="4"/>
      <c r="T827" s="6">
        <f>IF(G827="","",SUBSTITUTE(SUBSTITUTE(SUBSTITUTE(SUBSTITUTE(SUBSTITUTE(SUBSTITUTE(SUBSTITUTE(TRIM(G827),".",""),"/",""),"-","")," ",""),"(",""),")",""),"+",""))</f>
      </c>
      <c r="U827" s="6">
        <f>IF(T827="","",IF(LEN(T827)&lt;&gt;14,"ERRO: "&amp;LEN(T827)&amp;" dígitos",IF(NOT(ISNUMBER(VALUE(T827))),"ERRO: não numérico",IF(LEN(SUBSTITUTE(T827,LEFT(T827,1),""))=0,"ERRO: dígitos repetidos",IF(AND(VALUE(MID(T827,13,1))=IF(MOD(SUMPRODUCT(--MID(T827,{1,2,3,4,5,6,7,8,9,10,11,12},1),{5,4,3,2,9,8,7,6,5,4,3,2}),11)&lt;2,0,11-MOD(SUMPRODUCT(--MID(T827,{1,2,3,4,5,6,7,8,9,10,11,12},1),{5,4,3,2,9,8,7,6,5,4,3,2}),11)),VALUE(MID(T827,14,1))=IF(MOD(SUMPRODUCT(--MID(T827,{1,2,3,4,5,6,7,8,9,10,11,12,13},1),{6,5,4,3,2,9,8,7,6,5,4,3,2}),11)&lt;2,0,11-MOD(SUMPRODUCT(--MID(T827,{1,2,3,4,5,6,7,8,9,10,11,12,13},1),{6,5,4,3,2,9,8,7,6,5,4,3,2}),11))),"OK","ERRO: dígito verificador")))))</f>
      </c>
      <c r="V827" s="6">
        <f>IF(T827="","",IF(COUNTIF($T$2:$T$1001,T827)&gt;1,"DUPLICADO","OK"))</f>
      </c>
      <c r="W827" s="6">
        <f>IF(M827="","vazio",IF(OR(AND(LEN(SUBSTITUTE(SUBSTITUTE(SUBSTITUTE(SUBSTITUTE(SUBSTITUTE(SUBSTITUTE(SUBSTITUTE(TRIM(M827),".",""),"/",""),"-","")," ",""),"(",""),")",""),"+",""))=10,LEFT(SUBSTITUTE(SUBSTITUTE(SUBSTITUTE(SUBSTITUTE(SUBSTITUTE(SUBSTITUTE(SUBSTITUTE(TRIM(M827),".",""),"/",""),"-","")," ",""),"(",""),")",""),"+",""),1)&lt;&gt;"0"),AND(LEN(SUBSTITUTE(SUBSTITUTE(SUBSTITUTE(SUBSTITUTE(SUBSTITUTE(SUBSTITUTE(SUBSTITUTE(TRIM(M827),".",""),"/",""),"-","")," ",""),"(",""),")",""),"+",""))=11,LEFT(SUBSTITUTE(SUBSTITUTE(SUBSTITUTE(SUBSTITUTE(SUBSTITUTE(SUBSTITUTE(SUBSTITUTE(TRIM(M827),".",""),"/",""),"-","")," ",""),"(",""),")",""),"+",""),4)="0800")),"OK",IF(AND(LEN(SUBSTITUTE(SUBSTITUTE(SUBSTITUTE(SUBSTITUTE(SUBSTITUTE(SUBSTITUTE(SUBSTITUTE(TRIM(M827),".",""),"/",""),"-","")," ",""),"(",""),")",""),"+",""))=11,MID(SUBSTITUTE(SUBSTITUTE(SUBSTITUTE(SUBSTITUTE(SUBSTITUTE(SUBSTITUTE(SUBSTITUTE(TRIM(M827),".",""),"/",""),"-","")," ",""),"(",""),")",""),"+",""),3,1)="9"),"ERRO: é celular, use a coluna Celular","ERRO: DDD + 8 dígitos ou 0800 + 7")))</f>
      </c>
      <c r="X827" s="6">
        <f>IF(N827="","vazio",IF(AND(LEN(SUBSTITUTE(SUBSTITUTE(SUBSTITUTE(SUBSTITUTE(SUBSTITUTE(SUBSTITUTE(SUBSTITUTE(TRIM(N827),".",""),"/",""),"-","")," ",""),"(",""),")",""),"+",""))=11,MID(SUBSTITUTE(SUBSTITUTE(SUBSTITUTE(SUBSTITUTE(SUBSTITUTE(SUBSTITUTE(SUBSTITUTE(TRIM(N827),".",""),"/",""),"-","")," ",""),"(",""),")",""),"+",""),3,1)="9",LEFT(SUBSTITUTE(SUBSTITUTE(SUBSTITUTE(SUBSTITUTE(SUBSTITUTE(SUBSTITUTE(SUBSTITUTE(TRIM(N827),".",""),"/",""),"-","")," ",""),"(",""),")",""),"+",""),1)&lt;&gt;"0"),"OK",IF(LEN(SUBSTITUTE(SUBSTITUTE(SUBSTITUTE(SUBSTITUTE(SUBSTITUTE(SUBSTITUTE(SUBSTITUTE(TRIM(N827),".",""),"/",""),"-","")," ",""),"(",""),")",""),"+",""))=10,"ERRO: é fixo (ou falta o 9), use a coluna Telefone fixo","ERRO: DDD + 9 + 8 dígitos")))</f>
      </c>
      <c r="Y827" s="6">
        <f>IF(O827="","vazio",IF(AND(ISNUMBER(FIND("@",O827)),ISNUMBER(FIND(".",MID(O827,FIND("@",O827),99))),NOT(ISNUMBER(FIND(" ",TRIM(O827)))),NOT(ISNUMBER(FIND(";",O827))),NOT(ISNUMBER(FIND(",",O827)))),"OK","ERRO: um e-mail válido por linha"))</f>
      </c>
      <c r="Z827" s="6">
        <f>IF(AND(J827="",K827=""),"",IF(AND(J827&lt;&gt;"",K827&lt;&gt;""),"OK","pendente: só um nome (o GR completa ao converter)"))</f>
      </c>
      <c r="AA827" s="6">
        <f>IF(COUNTA(A827:S827)=0,"",IF(AND(A827&lt;&gt;"",B827&lt;&gt;"",C827&lt;&gt;"",D827&lt;&gt;"",E827&lt;&gt;"",F827&lt;&gt;"",G827&lt;&gt;"",H827&lt;&gt;"",OR(J827&lt;&gt;"",K827&lt;&gt;""),OR(M827&lt;&gt;"",N827&lt;&gt;"",O827&lt;&gt;"")),"OK","ERRO: faltam "&amp;IF(A827="","SDR; ","")&amp;IF(B827="","Proprietário; ","")&amp;IF(C827="","Origem; ","")&amp;IF(D827="","Temperatura; ","")&amp;IF(E827="","Segmento; ","")&amp;IF(F827="","Time/Cluster; ","")&amp;IF(G827="","CNPJ; ","")&amp;IF(H827="","Razão Social; ","")&amp;IF(AND(J827="",K827=""),"nome do contato; ","")&amp;IF(AND(M827="",N827="",O827=""),"telefone, celular ou e-mail; ","")))</f>
      </c>
      <c r="AB827" s="6">
        <f>IF(COUNTA(A827:S827)=0,"",IF(AND(U827="OK",V827="OK",LEFT(W827,4)&lt;&gt;"ERRO",LEFT(X827,4)&lt;&gt;"ERRO",LEFT(Y827,4)&lt;&gt;"ERRO",AA827="OK"),"OK","REVISAR"))</f>
      </c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5"/>
      <c r="K828" s="4"/>
      <c r="L828" s="4"/>
      <c r="M828" s="4"/>
      <c r="N828" s="4"/>
      <c r="O828" s="4"/>
      <c r="P828" s="4"/>
      <c r="Q828" s="4"/>
      <c r="R828" s="4"/>
      <c r="S828" s="4"/>
      <c r="T828" s="6">
        <f>IF(G828="","",SUBSTITUTE(SUBSTITUTE(SUBSTITUTE(SUBSTITUTE(SUBSTITUTE(SUBSTITUTE(SUBSTITUTE(TRIM(G828),".",""),"/",""),"-","")," ",""),"(",""),")",""),"+",""))</f>
      </c>
      <c r="U828" s="6">
        <f>IF(T828="","",IF(LEN(T828)&lt;&gt;14,"ERRO: "&amp;LEN(T828)&amp;" dígitos",IF(NOT(ISNUMBER(VALUE(T828))),"ERRO: não numérico",IF(LEN(SUBSTITUTE(T828,LEFT(T828,1),""))=0,"ERRO: dígitos repetidos",IF(AND(VALUE(MID(T828,13,1))=IF(MOD(SUMPRODUCT(--MID(T828,{1,2,3,4,5,6,7,8,9,10,11,12},1),{5,4,3,2,9,8,7,6,5,4,3,2}),11)&lt;2,0,11-MOD(SUMPRODUCT(--MID(T828,{1,2,3,4,5,6,7,8,9,10,11,12},1),{5,4,3,2,9,8,7,6,5,4,3,2}),11)),VALUE(MID(T828,14,1))=IF(MOD(SUMPRODUCT(--MID(T828,{1,2,3,4,5,6,7,8,9,10,11,12,13},1),{6,5,4,3,2,9,8,7,6,5,4,3,2}),11)&lt;2,0,11-MOD(SUMPRODUCT(--MID(T828,{1,2,3,4,5,6,7,8,9,10,11,12,13},1),{6,5,4,3,2,9,8,7,6,5,4,3,2}),11))),"OK","ERRO: dígito verificador")))))</f>
      </c>
      <c r="V828" s="6">
        <f>IF(T828="","",IF(COUNTIF($T$2:$T$1001,T828)&gt;1,"DUPLICADO","OK"))</f>
      </c>
      <c r="W828" s="6">
        <f>IF(M828="","vazio",IF(OR(AND(LEN(SUBSTITUTE(SUBSTITUTE(SUBSTITUTE(SUBSTITUTE(SUBSTITUTE(SUBSTITUTE(SUBSTITUTE(TRIM(M828),".",""),"/",""),"-","")," ",""),"(",""),")",""),"+",""))=10,LEFT(SUBSTITUTE(SUBSTITUTE(SUBSTITUTE(SUBSTITUTE(SUBSTITUTE(SUBSTITUTE(SUBSTITUTE(TRIM(M828),".",""),"/",""),"-","")," ",""),"(",""),")",""),"+",""),1)&lt;&gt;"0"),AND(LEN(SUBSTITUTE(SUBSTITUTE(SUBSTITUTE(SUBSTITUTE(SUBSTITUTE(SUBSTITUTE(SUBSTITUTE(TRIM(M828),".",""),"/",""),"-","")," ",""),"(",""),")",""),"+",""))=11,LEFT(SUBSTITUTE(SUBSTITUTE(SUBSTITUTE(SUBSTITUTE(SUBSTITUTE(SUBSTITUTE(SUBSTITUTE(TRIM(M828),".",""),"/",""),"-","")," ",""),"(",""),")",""),"+",""),4)="0800")),"OK",IF(AND(LEN(SUBSTITUTE(SUBSTITUTE(SUBSTITUTE(SUBSTITUTE(SUBSTITUTE(SUBSTITUTE(SUBSTITUTE(TRIM(M828),".",""),"/",""),"-","")," ",""),"(",""),")",""),"+",""))=11,MID(SUBSTITUTE(SUBSTITUTE(SUBSTITUTE(SUBSTITUTE(SUBSTITUTE(SUBSTITUTE(SUBSTITUTE(TRIM(M828),".",""),"/",""),"-","")," ",""),"(",""),")",""),"+",""),3,1)="9"),"ERRO: é celular, use a coluna Celular","ERRO: DDD + 8 dígitos ou 0800 + 7")))</f>
      </c>
      <c r="X828" s="6">
        <f>IF(N828="","vazio",IF(AND(LEN(SUBSTITUTE(SUBSTITUTE(SUBSTITUTE(SUBSTITUTE(SUBSTITUTE(SUBSTITUTE(SUBSTITUTE(TRIM(N828),".",""),"/",""),"-","")," ",""),"(",""),")",""),"+",""))=11,MID(SUBSTITUTE(SUBSTITUTE(SUBSTITUTE(SUBSTITUTE(SUBSTITUTE(SUBSTITUTE(SUBSTITUTE(TRIM(N828),".",""),"/",""),"-","")," ",""),"(",""),")",""),"+",""),3,1)="9",LEFT(SUBSTITUTE(SUBSTITUTE(SUBSTITUTE(SUBSTITUTE(SUBSTITUTE(SUBSTITUTE(SUBSTITUTE(TRIM(N828),".",""),"/",""),"-","")," ",""),"(",""),")",""),"+",""),1)&lt;&gt;"0"),"OK",IF(LEN(SUBSTITUTE(SUBSTITUTE(SUBSTITUTE(SUBSTITUTE(SUBSTITUTE(SUBSTITUTE(SUBSTITUTE(TRIM(N828),".",""),"/",""),"-","")," ",""),"(",""),")",""),"+",""))=10,"ERRO: é fixo (ou falta o 9), use a coluna Telefone fixo","ERRO: DDD + 9 + 8 dígitos")))</f>
      </c>
      <c r="Y828" s="6">
        <f>IF(O828="","vazio",IF(AND(ISNUMBER(FIND("@",O828)),ISNUMBER(FIND(".",MID(O828,FIND("@",O828),99))),NOT(ISNUMBER(FIND(" ",TRIM(O828)))),NOT(ISNUMBER(FIND(";",O828))),NOT(ISNUMBER(FIND(",",O828)))),"OK","ERRO: um e-mail válido por linha"))</f>
      </c>
      <c r="Z828" s="6">
        <f>IF(AND(J828="",K828=""),"",IF(AND(J828&lt;&gt;"",K828&lt;&gt;""),"OK","pendente: só um nome (o GR completa ao converter)"))</f>
      </c>
      <c r="AA828" s="6">
        <f>IF(COUNTA(A828:S828)=0,"",IF(AND(A828&lt;&gt;"",B828&lt;&gt;"",C828&lt;&gt;"",D828&lt;&gt;"",E828&lt;&gt;"",F828&lt;&gt;"",G828&lt;&gt;"",H828&lt;&gt;"",OR(J828&lt;&gt;"",K828&lt;&gt;""),OR(M828&lt;&gt;"",N828&lt;&gt;"",O828&lt;&gt;"")),"OK","ERRO: faltam "&amp;IF(A828="","SDR; ","")&amp;IF(B828="","Proprietário; ","")&amp;IF(C828="","Origem; ","")&amp;IF(D828="","Temperatura; ","")&amp;IF(E828="","Segmento; ","")&amp;IF(F828="","Time/Cluster; ","")&amp;IF(G828="","CNPJ; ","")&amp;IF(H828="","Razão Social; ","")&amp;IF(AND(J828="",K828=""),"nome do contato; ","")&amp;IF(AND(M828="",N828="",O828=""),"telefone, celular ou e-mail; ","")))</f>
      </c>
      <c r="AB828" s="6">
        <f>IF(COUNTA(A828:S828)=0,"",IF(AND(U828="OK",V828="OK",LEFT(W828,4)&lt;&gt;"ERRO",LEFT(X828,4)&lt;&gt;"ERRO",LEFT(Y828,4)&lt;&gt;"ERRO",AA828="OK"),"OK","REVISAR"))</f>
      </c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5"/>
      <c r="K829" s="4"/>
      <c r="L829" s="4"/>
      <c r="M829" s="4"/>
      <c r="N829" s="4"/>
      <c r="O829" s="4"/>
      <c r="P829" s="4"/>
      <c r="Q829" s="4"/>
      <c r="R829" s="4"/>
      <c r="S829" s="4"/>
      <c r="T829" s="6">
        <f>IF(G829="","",SUBSTITUTE(SUBSTITUTE(SUBSTITUTE(SUBSTITUTE(SUBSTITUTE(SUBSTITUTE(SUBSTITUTE(TRIM(G829),".",""),"/",""),"-","")," ",""),"(",""),")",""),"+",""))</f>
      </c>
      <c r="U829" s="6">
        <f>IF(T829="","",IF(LEN(T829)&lt;&gt;14,"ERRO: "&amp;LEN(T829)&amp;" dígitos",IF(NOT(ISNUMBER(VALUE(T829))),"ERRO: não numérico",IF(LEN(SUBSTITUTE(T829,LEFT(T829,1),""))=0,"ERRO: dígitos repetidos",IF(AND(VALUE(MID(T829,13,1))=IF(MOD(SUMPRODUCT(--MID(T829,{1,2,3,4,5,6,7,8,9,10,11,12},1),{5,4,3,2,9,8,7,6,5,4,3,2}),11)&lt;2,0,11-MOD(SUMPRODUCT(--MID(T829,{1,2,3,4,5,6,7,8,9,10,11,12},1),{5,4,3,2,9,8,7,6,5,4,3,2}),11)),VALUE(MID(T829,14,1))=IF(MOD(SUMPRODUCT(--MID(T829,{1,2,3,4,5,6,7,8,9,10,11,12,13},1),{6,5,4,3,2,9,8,7,6,5,4,3,2}),11)&lt;2,0,11-MOD(SUMPRODUCT(--MID(T829,{1,2,3,4,5,6,7,8,9,10,11,12,13},1),{6,5,4,3,2,9,8,7,6,5,4,3,2}),11))),"OK","ERRO: dígito verificador")))))</f>
      </c>
      <c r="V829" s="6">
        <f>IF(T829="","",IF(COUNTIF($T$2:$T$1001,T829)&gt;1,"DUPLICADO","OK"))</f>
      </c>
      <c r="W829" s="6">
        <f>IF(M829="","vazio",IF(OR(AND(LEN(SUBSTITUTE(SUBSTITUTE(SUBSTITUTE(SUBSTITUTE(SUBSTITUTE(SUBSTITUTE(SUBSTITUTE(TRIM(M829),".",""),"/",""),"-","")," ",""),"(",""),")",""),"+",""))=10,LEFT(SUBSTITUTE(SUBSTITUTE(SUBSTITUTE(SUBSTITUTE(SUBSTITUTE(SUBSTITUTE(SUBSTITUTE(TRIM(M829),".",""),"/",""),"-","")," ",""),"(",""),")",""),"+",""),1)&lt;&gt;"0"),AND(LEN(SUBSTITUTE(SUBSTITUTE(SUBSTITUTE(SUBSTITUTE(SUBSTITUTE(SUBSTITUTE(SUBSTITUTE(TRIM(M829),".",""),"/",""),"-","")," ",""),"(",""),")",""),"+",""))=11,LEFT(SUBSTITUTE(SUBSTITUTE(SUBSTITUTE(SUBSTITUTE(SUBSTITUTE(SUBSTITUTE(SUBSTITUTE(TRIM(M829),".",""),"/",""),"-","")," ",""),"(",""),")",""),"+",""),4)="0800")),"OK",IF(AND(LEN(SUBSTITUTE(SUBSTITUTE(SUBSTITUTE(SUBSTITUTE(SUBSTITUTE(SUBSTITUTE(SUBSTITUTE(TRIM(M829),".",""),"/",""),"-","")," ",""),"(",""),")",""),"+",""))=11,MID(SUBSTITUTE(SUBSTITUTE(SUBSTITUTE(SUBSTITUTE(SUBSTITUTE(SUBSTITUTE(SUBSTITUTE(TRIM(M829),".",""),"/",""),"-","")," ",""),"(",""),")",""),"+",""),3,1)="9"),"ERRO: é celular, use a coluna Celular","ERRO: DDD + 8 dígitos ou 0800 + 7")))</f>
      </c>
      <c r="X829" s="6">
        <f>IF(N829="","vazio",IF(AND(LEN(SUBSTITUTE(SUBSTITUTE(SUBSTITUTE(SUBSTITUTE(SUBSTITUTE(SUBSTITUTE(SUBSTITUTE(TRIM(N829),".",""),"/",""),"-","")," ",""),"(",""),")",""),"+",""))=11,MID(SUBSTITUTE(SUBSTITUTE(SUBSTITUTE(SUBSTITUTE(SUBSTITUTE(SUBSTITUTE(SUBSTITUTE(TRIM(N829),".",""),"/",""),"-","")," ",""),"(",""),")",""),"+",""),3,1)="9",LEFT(SUBSTITUTE(SUBSTITUTE(SUBSTITUTE(SUBSTITUTE(SUBSTITUTE(SUBSTITUTE(SUBSTITUTE(TRIM(N829),".",""),"/",""),"-","")," ",""),"(",""),")",""),"+",""),1)&lt;&gt;"0"),"OK",IF(LEN(SUBSTITUTE(SUBSTITUTE(SUBSTITUTE(SUBSTITUTE(SUBSTITUTE(SUBSTITUTE(SUBSTITUTE(TRIM(N829),".",""),"/",""),"-","")," ",""),"(",""),")",""),"+",""))=10,"ERRO: é fixo (ou falta o 9), use a coluna Telefone fixo","ERRO: DDD + 9 + 8 dígitos")))</f>
      </c>
      <c r="Y829" s="6">
        <f>IF(O829="","vazio",IF(AND(ISNUMBER(FIND("@",O829)),ISNUMBER(FIND(".",MID(O829,FIND("@",O829),99))),NOT(ISNUMBER(FIND(" ",TRIM(O829)))),NOT(ISNUMBER(FIND(";",O829))),NOT(ISNUMBER(FIND(",",O829)))),"OK","ERRO: um e-mail válido por linha"))</f>
      </c>
      <c r="Z829" s="6">
        <f>IF(AND(J829="",K829=""),"",IF(AND(J829&lt;&gt;"",K829&lt;&gt;""),"OK","pendente: só um nome (o GR completa ao converter)"))</f>
      </c>
      <c r="AA829" s="6">
        <f>IF(COUNTA(A829:S829)=0,"",IF(AND(A829&lt;&gt;"",B829&lt;&gt;"",C829&lt;&gt;"",D829&lt;&gt;"",E829&lt;&gt;"",F829&lt;&gt;"",G829&lt;&gt;"",H829&lt;&gt;"",OR(J829&lt;&gt;"",K829&lt;&gt;""),OR(M829&lt;&gt;"",N829&lt;&gt;"",O829&lt;&gt;"")),"OK","ERRO: faltam "&amp;IF(A829="","SDR; ","")&amp;IF(B829="","Proprietário; ","")&amp;IF(C829="","Origem; ","")&amp;IF(D829="","Temperatura; ","")&amp;IF(E829="","Segmento; ","")&amp;IF(F829="","Time/Cluster; ","")&amp;IF(G829="","CNPJ; ","")&amp;IF(H829="","Razão Social; ","")&amp;IF(AND(J829="",K829=""),"nome do contato; ","")&amp;IF(AND(M829="",N829="",O829=""),"telefone, celular ou e-mail; ","")))</f>
      </c>
      <c r="AB829" s="6">
        <f>IF(COUNTA(A829:S829)=0,"",IF(AND(U829="OK",V829="OK",LEFT(W829,4)&lt;&gt;"ERRO",LEFT(X829,4)&lt;&gt;"ERRO",LEFT(Y829,4)&lt;&gt;"ERRO",AA829="OK"),"OK","REVISAR"))</f>
      </c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5"/>
      <c r="K830" s="4"/>
      <c r="L830" s="4"/>
      <c r="M830" s="4"/>
      <c r="N830" s="4"/>
      <c r="O830" s="4"/>
      <c r="P830" s="4"/>
      <c r="Q830" s="4"/>
      <c r="R830" s="4"/>
      <c r="S830" s="4"/>
      <c r="T830" s="6">
        <f>IF(G830="","",SUBSTITUTE(SUBSTITUTE(SUBSTITUTE(SUBSTITUTE(SUBSTITUTE(SUBSTITUTE(SUBSTITUTE(TRIM(G830),".",""),"/",""),"-","")," ",""),"(",""),")",""),"+",""))</f>
      </c>
      <c r="U830" s="6">
        <f>IF(T830="","",IF(LEN(T830)&lt;&gt;14,"ERRO: "&amp;LEN(T830)&amp;" dígitos",IF(NOT(ISNUMBER(VALUE(T830))),"ERRO: não numérico",IF(LEN(SUBSTITUTE(T830,LEFT(T830,1),""))=0,"ERRO: dígitos repetidos",IF(AND(VALUE(MID(T830,13,1))=IF(MOD(SUMPRODUCT(--MID(T830,{1,2,3,4,5,6,7,8,9,10,11,12},1),{5,4,3,2,9,8,7,6,5,4,3,2}),11)&lt;2,0,11-MOD(SUMPRODUCT(--MID(T830,{1,2,3,4,5,6,7,8,9,10,11,12},1),{5,4,3,2,9,8,7,6,5,4,3,2}),11)),VALUE(MID(T830,14,1))=IF(MOD(SUMPRODUCT(--MID(T830,{1,2,3,4,5,6,7,8,9,10,11,12,13},1),{6,5,4,3,2,9,8,7,6,5,4,3,2}),11)&lt;2,0,11-MOD(SUMPRODUCT(--MID(T830,{1,2,3,4,5,6,7,8,9,10,11,12,13},1),{6,5,4,3,2,9,8,7,6,5,4,3,2}),11))),"OK","ERRO: dígito verificador")))))</f>
      </c>
      <c r="V830" s="6">
        <f>IF(T830="","",IF(COUNTIF($T$2:$T$1001,T830)&gt;1,"DUPLICADO","OK"))</f>
      </c>
      <c r="W830" s="6">
        <f>IF(M830="","vazio",IF(OR(AND(LEN(SUBSTITUTE(SUBSTITUTE(SUBSTITUTE(SUBSTITUTE(SUBSTITUTE(SUBSTITUTE(SUBSTITUTE(TRIM(M830),".",""),"/",""),"-","")," ",""),"(",""),")",""),"+",""))=10,LEFT(SUBSTITUTE(SUBSTITUTE(SUBSTITUTE(SUBSTITUTE(SUBSTITUTE(SUBSTITUTE(SUBSTITUTE(TRIM(M830),".",""),"/",""),"-","")," ",""),"(",""),")",""),"+",""),1)&lt;&gt;"0"),AND(LEN(SUBSTITUTE(SUBSTITUTE(SUBSTITUTE(SUBSTITUTE(SUBSTITUTE(SUBSTITUTE(SUBSTITUTE(TRIM(M830),".",""),"/",""),"-","")," ",""),"(",""),")",""),"+",""))=11,LEFT(SUBSTITUTE(SUBSTITUTE(SUBSTITUTE(SUBSTITUTE(SUBSTITUTE(SUBSTITUTE(SUBSTITUTE(TRIM(M830),".",""),"/",""),"-","")," ",""),"(",""),")",""),"+",""),4)="0800")),"OK",IF(AND(LEN(SUBSTITUTE(SUBSTITUTE(SUBSTITUTE(SUBSTITUTE(SUBSTITUTE(SUBSTITUTE(SUBSTITUTE(TRIM(M830),".",""),"/",""),"-","")," ",""),"(",""),")",""),"+",""))=11,MID(SUBSTITUTE(SUBSTITUTE(SUBSTITUTE(SUBSTITUTE(SUBSTITUTE(SUBSTITUTE(SUBSTITUTE(TRIM(M830),".",""),"/",""),"-","")," ",""),"(",""),")",""),"+",""),3,1)="9"),"ERRO: é celular, use a coluna Celular","ERRO: DDD + 8 dígitos ou 0800 + 7")))</f>
      </c>
      <c r="X830" s="6">
        <f>IF(N830="","vazio",IF(AND(LEN(SUBSTITUTE(SUBSTITUTE(SUBSTITUTE(SUBSTITUTE(SUBSTITUTE(SUBSTITUTE(SUBSTITUTE(TRIM(N830),".",""),"/",""),"-","")," ",""),"(",""),")",""),"+",""))=11,MID(SUBSTITUTE(SUBSTITUTE(SUBSTITUTE(SUBSTITUTE(SUBSTITUTE(SUBSTITUTE(SUBSTITUTE(TRIM(N830),".",""),"/",""),"-","")," ",""),"(",""),")",""),"+",""),3,1)="9",LEFT(SUBSTITUTE(SUBSTITUTE(SUBSTITUTE(SUBSTITUTE(SUBSTITUTE(SUBSTITUTE(SUBSTITUTE(TRIM(N830),".",""),"/",""),"-","")," ",""),"(",""),")",""),"+",""),1)&lt;&gt;"0"),"OK",IF(LEN(SUBSTITUTE(SUBSTITUTE(SUBSTITUTE(SUBSTITUTE(SUBSTITUTE(SUBSTITUTE(SUBSTITUTE(TRIM(N830),".",""),"/",""),"-","")," ",""),"(",""),")",""),"+",""))=10,"ERRO: é fixo (ou falta o 9), use a coluna Telefone fixo","ERRO: DDD + 9 + 8 dígitos")))</f>
      </c>
      <c r="Y830" s="6">
        <f>IF(O830="","vazio",IF(AND(ISNUMBER(FIND("@",O830)),ISNUMBER(FIND(".",MID(O830,FIND("@",O830),99))),NOT(ISNUMBER(FIND(" ",TRIM(O830)))),NOT(ISNUMBER(FIND(";",O830))),NOT(ISNUMBER(FIND(",",O830)))),"OK","ERRO: um e-mail válido por linha"))</f>
      </c>
      <c r="Z830" s="6">
        <f>IF(AND(J830="",K830=""),"",IF(AND(J830&lt;&gt;"",K830&lt;&gt;""),"OK","pendente: só um nome (o GR completa ao converter)"))</f>
      </c>
      <c r="AA830" s="6">
        <f>IF(COUNTA(A830:S830)=0,"",IF(AND(A830&lt;&gt;"",B830&lt;&gt;"",C830&lt;&gt;"",D830&lt;&gt;"",E830&lt;&gt;"",F830&lt;&gt;"",G830&lt;&gt;"",H830&lt;&gt;"",OR(J830&lt;&gt;"",K830&lt;&gt;""),OR(M830&lt;&gt;"",N830&lt;&gt;"",O830&lt;&gt;"")),"OK","ERRO: faltam "&amp;IF(A830="","SDR; ","")&amp;IF(B830="","Proprietário; ","")&amp;IF(C830="","Origem; ","")&amp;IF(D830="","Temperatura; ","")&amp;IF(E830="","Segmento; ","")&amp;IF(F830="","Time/Cluster; ","")&amp;IF(G830="","CNPJ; ","")&amp;IF(H830="","Razão Social; ","")&amp;IF(AND(J830="",K830=""),"nome do contato; ","")&amp;IF(AND(M830="",N830="",O830=""),"telefone, celular ou e-mail; ","")))</f>
      </c>
      <c r="AB830" s="6">
        <f>IF(COUNTA(A830:S830)=0,"",IF(AND(U830="OK",V830="OK",LEFT(W830,4)&lt;&gt;"ERRO",LEFT(X830,4)&lt;&gt;"ERRO",LEFT(Y830,4)&lt;&gt;"ERRO",AA830="OK"),"OK","REVISAR"))</f>
      </c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5"/>
      <c r="K831" s="4"/>
      <c r="L831" s="4"/>
      <c r="M831" s="4"/>
      <c r="N831" s="4"/>
      <c r="O831" s="4"/>
      <c r="P831" s="4"/>
      <c r="Q831" s="4"/>
      <c r="R831" s="4"/>
      <c r="S831" s="4"/>
      <c r="T831" s="6">
        <f>IF(G831="","",SUBSTITUTE(SUBSTITUTE(SUBSTITUTE(SUBSTITUTE(SUBSTITUTE(SUBSTITUTE(SUBSTITUTE(TRIM(G831),".",""),"/",""),"-","")," ",""),"(",""),")",""),"+",""))</f>
      </c>
      <c r="U831" s="6">
        <f>IF(T831="","",IF(LEN(T831)&lt;&gt;14,"ERRO: "&amp;LEN(T831)&amp;" dígitos",IF(NOT(ISNUMBER(VALUE(T831))),"ERRO: não numérico",IF(LEN(SUBSTITUTE(T831,LEFT(T831,1),""))=0,"ERRO: dígitos repetidos",IF(AND(VALUE(MID(T831,13,1))=IF(MOD(SUMPRODUCT(--MID(T831,{1,2,3,4,5,6,7,8,9,10,11,12},1),{5,4,3,2,9,8,7,6,5,4,3,2}),11)&lt;2,0,11-MOD(SUMPRODUCT(--MID(T831,{1,2,3,4,5,6,7,8,9,10,11,12},1),{5,4,3,2,9,8,7,6,5,4,3,2}),11)),VALUE(MID(T831,14,1))=IF(MOD(SUMPRODUCT(--MID(T831,{1,2,3,4,5,6,7,8,9,10,11,12,13},1),{6,5,4,3,2,9,8,7,6,5,4,3,2}),11)&lt;2,0,11-MOD(SUMPRODUCT(--MID(T831,{1,2,3,4,5,6,7,8,9,10,11,12,13},1),{6,5,4,3,2,9,8,7,6,5,4,3,2}),11))),"OK","ERRO: dígito verificador")))))</f>
      </c>
      <c r="V831" s="6">
        <f>IF(T831="","",IF(COUNTIF($T$2:$T$1001,T831)&gt;1,"DUPLICADO","OK"))</f>
      </c>
      <c r="W831" s="6">
        <f>IF(M831="","vazio",IF(OR(AND(LEN(SUBSTITUTE(SUBSTITUTE(SUBSTITUTE(SUBSTITUTE(SUBSTITUTE(SUBSTITUTE(SUBSTITUTE(TRIM(M831),".",""),"/",""),"-","")," ",""),"(",""),")",""),"+",""))=10,LEFT(SUBSTITUTE(SUBSTITUTE(SUBSTITUTE(SUBSTITUTE(SUBSTITUTE(SUBSTITUTE(SUBSTITUTE(TRIM(M831),".",""),"/",""),"-","")," ",""),"(",""),")",""),"+",""),1)&lt;&gt;"0"),AND(LEN(SUBSTITUTE(SUBSTITUTE(SUBSTITUTE(SUBSTITUTE(SUBSTITUTE(SUBSTITUTE(SUBSTITUTE(TRIM(M831),".",""),"/",""),"-","")," ",""),"(",""),")",""),"+",""))=11,LEFT(SUBSTITUTE(SUBSTITUTE(SUBSTITUTE(SUBSTITUTE(SUBSTITUTE(SUBSTITUTE(SUBSTITUTE(TRIM(M831),".",""),"/",""),"-","")," ",""),"(",""),")",""),"+",""),4)="0800")),"OK",IF(AND(LEN(SUBSTITUTE(SUBSTITUTE(SUBSTITUTE(SUBSTITUTE(SUBSTITUTE(SUBSTITUTE(SUBSTITUTE(TRIM(M831),".",""),"/",""),"-","")," ",""),"(",""),")",""),"+",""))=11,MID(SUBSTITUTE(SUBSTITUTE(SUBSTITUTE(SUBSTITUTE(SUBSTITUTE(SUBSTITUTE(SUBSTITUTE(TRIM(M831),".",""),"/",""),"-","")," ",""),"(",""),")",""),"+",""),3,1)="9"),"ERRO: é celular, use a coluna Celular","ERRO: DDD + 8 dígitos ou 0800 + 7")))</f>
      </c>
      <c r="X831" s="6">
        <f>IF(N831="","vazio",IF(AND(LEN(SUBSTITUTE(SUBSTITUTE(SUBSTITUTE(SUBSTITUTE(SUBSTITUTE(SUBSTITUTE(SUBSTITUTE(TRIM(N831),".",""),"/",""),"-","")," ",""),"(",""),")",""),"+",""))=11,MID(SUBSTITUTE(SUBSTITUTE(SUBSTITUTE(SUBSTITUTE(SUBSTITUTE(SUBSTITUTE(SUBSTITUTE(TRIM(N831),".",""),"/",""),"-","")," ",""),"(",""),")",""),"+",""),3,1)="9",LEFT(SUBSTITUTE(SUBSTITUTE(SUBSTITUTE(SUBSTITUTE(SUBSTITUTE(SUBSTITUTE(SUBSTITUTE(TRIM(N831),".",""),"/",""),"-","")," ",""),"(",""),")",""),"+",""),1)&lt;&gt;"0"),"OK",IF(LEN(SUBSTITUTE(SUBSTITUTE(SUBSTITUTE(SUBSTITUTE(SUBSTITUTE(SUBSTITUTE(SUBSTITUTE(TRIM(N831),".",""),"/",""),"-","")," ",""),"(",""),")",""),"+",""))=10,"ERRO: é fixo (ou falta o 9), use a coluna Telefone fixo","ERRO: DDD + 9 + 8 dígitos")))</f>
      </c>
      <c r="Y831" s="6">
        <f>IF(O831="","vazio",IF(AND(ISNUMBER(FIND("@",O831)),ISNUMBER(FIND(".",MID(O831,FIND("@",O831),99))),NOT(ISNUMBER(FIND(" ",TRIM(O831)))),NOT(ISNUMBER(FIND(";",O831))),NOT(ISNUMBER(FIND(",",O831)))),"OK","ERRO: um e-mail válido por linha"))</f>
      </c>
      <c r="Z831" s="6">
        <f>IF(AND(J831="",K831=""),"",IF(AND(J831&lt;&gt;"",K831&lt;&gt;""),"OK","pendente: só um nome (o GR completa ao converter)"))</f>
      </c>
      <c r="AA831" s="6">
        <f>IF(COUNTA(A831:S831)=0,"",IF(AND(A831&lt;&gt;"",B831&lt;&gt;"",C831&lt;&gt;"",D831&lt;&gt;"",E831&lt;&gt;"",F831&lt;&gt;"",G831&lt;&gt;"",H831&lt;&gt;"",OR(J831&lt;&gt;"",K831&lt;&gt;""),OR(M831&lt;&gt;"",N831&lt;&gt;"",O831&lt;&gt;"")),"OK","ERRO: faltam "&amp;IF(A831="","SDR; ","")&amp;IF(B831="","Proprietário; ","")&amp;IF(C831="","Origem; ","")&amp;IF(D831="","Temperatura; ","")&amp;IF(E831="","Segmento; ","")&amp;IF(F831="","Time/Cluster; ","")&amp;IF(G831="","CNPJ; ","")&amp;IF(H831="","Razão Social; ","")&amp;IF(AND(J831="",K831=""),"nome do contato; ","")&amp;IF(AND(M831="",N831="",O831=""),"telefone, celular ou e-mail; ","")))</f>
      </c>
      <c r="AB831" s="6">
        <f>IF(COUNTA(A831:S831)=0,"",IF(AND(U831="OK",V831="OK",LEFT(W831,4)&lt;&gt;"ERRO",LEFT(X831,4)&lt;&gt;"ERRO",LEFT(Y831,4)&lt;&gt;"ERRO",AA831="OK"),"OK","REVISAR"))</f>
      </c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5"/>
      <c r="K832" s="4"/>
      <c r="L832" s="4"/>
      <c r="M832" s="4"/>
      <c r="N832" s="4"/>
      <c r="O832" s="4"/>
      <c r="P832" s="4"/>
      <c r="Q832" s="4"/>
      <c r="R832" s="4"/>
      <c r="S832" s="4"/>
      <c r="T832" s="6">
        <f>IF(G832="","",SUBSTITUTE(SUBSTITUTE(SUBSTITUTE(SUBSTITUTE(SUBSTITUTE(SUBSTITUTE(SUBSTITUTE(TRIM(G832),".",""),"/",""),"-","")," ",""),"(",""),")",""),"+",""))</f>
      </c>
      <c r="U832" s="6">
        <f>IF(T832="","",IF(LEN(T832)&lt;&gt;14,"ERRO: "&amp;LEN(T832)&amp;" dígitos",IF(NOT(ISNUMBER(VALUE(T832))),"ERRO: não numérico",IF(LEN(SUBSTITUTE(T832,LEFT(T832,1),""))=0,"ERRO: dígitos repetidos",IF(AND(VALUE(MID(T832,13,1))=IF(MOD(SUMPRODUCT(--MID(T832,{1,2,3,4,5,6,7,8,9,10,11,12},1),{5,4,3,2,9,8,7,6,5,4,3,2}),11)&lt;2,0,11-MOD(SUMPRODUCT(--MID(T832,{1,2,3,4,5,6,7,8,9,10,11,12},1),{5,4,3,2,9,8,7,6,5,4,3,2}),11)),VALUE(MID(T832,14,1))=IF(MOD(SUMPRODUCT(--MID(T832,{1,2,3,4,5,6,7,8,9,10,11,12,13},1),{6,5,4,3,2,9,8,7,6,5,4,3,2}),11)&lt;2,0,11-MOD(SUMPRODUCT(--MID(T832,{1,2,3,4,5,6,7,8,9,10,11,12,13},1),{6,5,4,3,2,9,8,7,6,5,4,3,2}),11))),"OK","ERRO: dígito verificador")))))</f>
      </c>
      <c r="V832" s="6">
        <f>IF(T832="","",IF(COUNTIF($T$2:$T$1001,T832)&gt;1,"DUPLICADO","OK"))</f>
      </c>
      <c r="W832" s="6">
        <f>IF(M832="","vazio",IF(OR(AND(LEN(SUBSTITUTE(SUBSTITUTE(SUBSTITUTE(SUBSTITUTE(SUBSTITUTE(SUBSTITUTE(SUBSTITUTE(TRIM(M832),".",""),"/",""),"-","")," ",""),"(",""),")",""),"+",""))=10,LEFT(SUBSTITUTE(SUBSTITUTE(SUBSTITUTE(SUBSTITUTE(SUBSTITUTE(SUBSTITUTE(SUBSTITUTE(TRIM(M832),".",""),"/",""),"-","")," ",""),"(",""),")",""),"+",""),1)&lt;&gt;"0"),AND(LEN(SUBSTITUTE(SUBSTITUTE(SUBSTITUTE(SUBSTITUTE(SUBSTITUTE(SUBSTITUTE(SUBSTITUTE(TRIM(M832),".",""),"/",""),"-","")," ",""),"(",""),")",""),"+",""))=11,LEFT(SUBSTITUTE(SUBSTITUTE(SUBSTITUTE(SUBSTITUTE(SUBSTITUTE(SUBSTITUTE(SUBSTITUTE(TRIM(M832),".",""),"/",""),"-","")," ",""),"(",""),")",""),"+",""),4)="0800")),"OK",IF(AND(LEN(SUBSTITUTE(SUBSTITUTE(SUBSTITUTE(SUBSTITUTE(SUBSTITUTE(SUBSTITUTE(SUBSTITUTE(TRIM(M832),".",""),"/",""),"-","")," ",""),"(",""),")",""),"+",""))=11,MID(SUBSTITUTE(SUBSTITUTE(SUBSTITUTE(SUBSTITUTE(SUBSTITUTE(SUBSTITUTE(SUBSTITUTE(TRIM(M832),".",""),"/",""),"-","")," ",""),"(",""),")",""),"+",""),3,1)="9"),"ERRO: é celular, use a coluna Celular","ERRO: DDD + 8 dígitos ou 0800 + 7")))</f>
      </c>
      <c r="X832" s="6">
        <f>IF(N832="","vazio",IF(AND(LEN(SUBSTITUTE(SUBSTITUTE(SUBSTITUTE(SUBSTITUTE(SUBSTITUTE(SUBSTITUTE(SUBSTITUTE(TRIM(N832),".",""),"/",""),"-","")," ",""),"(",""),")",""),"+",""))=11,MID(SUBSTITUTE(SUBSTITUTE(SUBSTITUTE(SUBSTITUTE(SUBSTITUTE(SUBSTITUTE(SUBSTITUTE(TRIM(N832),".",""),"/",""),"-","")," ",""),"(",""),")",""),"+",""),3,1)="9",LEFT(SUBSTITUTE(SUBSTITUTE(SUBSTITUTE(SUBSTITUTE(SUBSTITUTE(SUBSTITUTE(SUBSTITUTE(TRIM(N832),".",""),"/",""),"-","")," ",""),"(",""),")",""),"+",""),1)&lt;&gt;"0"),"OK",IF(LEN(SUBSTITUTE(SUBSTITUTE(SUBSTITUTE(SUBSTITUTE(SUBSTITUTE(SUBSTITUTE(SUBSTITUTE(TRIM(N832),".",""),"/",""),"-","")," ",""),"(",""),")",""),"+",""))=10,"ERRO: é fixo (ou falta o 9), use a coluna Telefone fixo","ERRO: DDD + 9 + 8 dígitos")))</f>
      </c>
      <c r="Y832" s="6">
        <f>IF(O832="","vazio",IF(AND(ISNUMBER(FIND("@",O832)),ISNUMBER(FIND(".",MID(O832,FIND("@",O832),99))),NOT(ISNUMBER(FIND(" ",TRIM(O832)))),NOT(ISNUMBER(FIND(";",O832))),NOT(ISNUMBER(FIND(",",O832)))),"OK","ERRO: um e-mail válido por linha"))</f>
      </c>
      <c r="Z832" s="6">
        <f>IF(AND(J832="",K832=""),"",IF(AND(J832&lt;&gt;"",K832&lt;&gt;""),"OK","pendente: só um nome (o GR completa ao converter)"))</f>
      </c>
      <c r="AA832" s="6">
        <f>IF(COUNTA(A832:S832)=0,"",IF(AND(A832&lt;&gt;"",B832&lt;&gt;"",C832&lt;&gt;"",D832&lt;&gt;"",E832&lt;&gt;"",F832&lt;&gt;"",G832&lt;&gt;"",H832&lt;&gt;"",OR(J832&lt;&gt;"",K832&lt;&gt;""),OR(M832&lt;&gt;"",N832&lt;&gt;"",O832&lt;&gt;"")),"OK","ERRO: faltam "&amp;IF(A832="","SDR; ","")&amp;IF(B832="","Proprietário; ","")&amp;IF(C832="","Origem; ","")&amp;IF(D832="","Temperatura; ","")&amp;IF(E832="","Segmento; ","")&amp;IF(F832="","Time/Cluster; ","")&amp;IF(G832="","CNPJ; ","")&amp;IF(H832="","Razão Social; ","")&amp;IF(AND(J832="",K832=""),"nome do contato; ","")&amp;IF(AND(M832="",N832="",O832=""),"telefone, celular ou e-mail; ","")))</f>
      </c>
      <c r="AB832" s="6">
        <f>IF(COUNTA(A832:S832)=0,"",IF(AND(U832="OK",V832="OK",LEFT(W832,4)&lt;&gt;"ERRO",LEFT(X832,4)&lt;&gt;"ERRO",LEFT(Y832,4)&lt;&gt;"ERRO",AA832="OK"),"OK","REVISAR"))</f>
      </c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5"/>
      <c r="K833" s="4"/>
      <c r="L833" s="4"/>
      <c r="M833" s="4"/>
      <c r="N833" s="4"/>
      <c r="O833" s="4"/>
      <c r="P833" s="4"/>
      <c r="Q833" s="4"/>
      <c r="R833" s="4"/>
      <c r="S833" s="4"/>
      <c r="T833" s="6">
        <f>IF(G833="","",SUBSTITUTE(SUBSTITUTE(SUBSTITUTE(SUBSTITUTE(SUBSTITUTE(SUBSTITUTE(SUBSTITUTE(TRIM(G833),".",""),"/",""),"-","")," ",""),"(",""),")",""),"+",""))</f>
      </c>
      <c r="U833" s="6">
        <f>IF(T833="","",IF(LEN(T833)&lt;&gt;14,"ERRO: "&amp;LEN(T833)&amp;" dígitos",IF(NOT(ISNUMBER(VALUE(T833))),"ERRO: não numérico",IF(LEN(SUBSTITUTE(T833,LEFT(T833,1),""))=0,"ERRO: dígitos repetidos",IF(AND(VALUE(MID(T833,13,1))=IF(MOD(SUMPRODUCT(--MID(T833,{1,2,3,4,5,6,7,8,9,10,11,12},1),{5,4,3,2,9,8,7,6,5,4,3,2}),11)&lt;2,0,11-MOD(SUMPRODUCT(--MID(T833,{1,2,3,4,5,6,7,8,9,10,11,12},1),{5,4,3,2,9,8,7,6,5,4,3,2}),11)),VALUE(MID(T833,14,1))=IF(MOD(SUMPRODUCT(--MID(T833,{1,2,3,4,5,6,7,8,9,10,11,12,13},1),{6,5,4,3,2,9,8,7,6,5,4,3,2}),11)&lt;2,0,11-MOD(SUMPRODUCT(--MID(T833,{1,2,3,4,5,6,7,8,9,10,11,12,13},1),{6,5,4,3,2,9,8,7,6,5,4,3,2}),11))),"OK","ERRO: dígito verificador")))))</f>
      </c>
      <c r="V833" s="6">
        <f>IF(T833="","",IF(COUNTIF($T$2:$T$1001,T833)&gt;1,"DUPLICADO","OK"))</f>
      </c>
      <c r="W833" s="6">
        <f>IF(M833="","vazio",IF(OR(AND(LEN(SUBSTITUTE(SUBSTITUTE(SUBSTITUTE(SUBSTITUTE(SUBSTITUTE(SUBSTITUTE(SUBSTITUTE(TRIM(M833),".",""),"/",""),"-","")," ",""),"(",""),")",""),"+",""))=10,LEFT(SUBSTITUTE(SUBSTITUTE(SUBSTITUTE(SUBSTITUTE(SUBSTITUTE(SUBSTITUTE(SUBSTITUTE(TRIM(M833),".",""),"/",""),"-","")," ",""),"(",""),")",""),"+",""),1)&lt;&gt;"0"),AND(LEN(SUBSTITUTE(SUBSTITUTE(SUBSTITUTE(SUBSTITUTE(SUBSTITUTE(SUBSTITUTE(SUBSTITUTE(TRIM(M833),".",""),"/",""),"-","")," ",""),"(",""),")",""),"+",""))=11,LEFT(SUBSTITUTE(SUBSTITUTE(SUBSTITUTE(SUBSTITUTE(SUBSTITUTE(SUBSTITUTE(SUBSTITUTE(TRIM(M833),".",""),"/",""),"-","")," ",""),"(",""),")",""),"+",""),4)="0800")),"OK",IF(AND(LEN(SUBSTITUTE(SUBSTITUTE(SUBSTITUTE(SUBSTITUTE(SUBSTITUTE(SUBSTITUTE(SUBSTITUTE(TRIM(M833),".",""),"/",""),"-","")," ",""),"(",""),")",""),"+",""))=11,MID(SUBSTITUTE(SUBSTITUTE(SUBSTITUTE(SUBSTITUTE(SUBSTITUTE(SUBSTITUTE(SUBSTITUTE(TRIM(M833),".",""),"/",""),"-","")," ",""),"(",""),")",""),"+",""),3,1)="9"),"ERRO: é celular, use a coluna Celular","ERRO: DDD + 8 dígitos ou 0800 + 7")))</f>
      </c>
      <c r="X833" s="6">
        <f>IF(N833="","vazio",IF(AND(LEN(SUBSTITUTE(SUBSTITUTE(SUBSTITUTE(SUBSTITUTE(SUBSTITUTE(SUBSTITUTE(SUBSTITUTE(TRIM(N833),".",""),"/",""),"-","")," ",""),"(",""),")",""),"+",""))=11,MID(SUBSTITUTE(SUBSTITUTE(SUBSTITUTE(SUBSTITUTE(SUBSTITUTE(SUBSTITUTE(SUBSTITUTE(TRIM(N833),".",""),"/",""),"-","")," ",""),"(",""),")",""),"+",""),3,1)="9",LEFT(SUBSTITUTE(SUBSTITUTE(SUBSTITUTE(SUBSTITUTE(SUBSTITUTE(SUBSTITUTE(SUBSTITUTE(TRIM(N833),".",""),"/",""),"-","")," ",""),"(",""),")",""),"+",""),1)&lt;&gt;"0"),"OK",IF(LEN(SUBSTITUTE(SUBSTITUTE(SUBSTITUTE(SUBSTITUTE(SUBSTITUTE(SUBSTITUTE(SUBSTITUTE(TRIM(N833),".",""),"/",""),"-","")," ",""),"(",""),")",""),"+",""))=10,"ERRO: é fixo (ou falta o 9), use a coluna Telefone fixo","ERRO: DDD + 9 + 8 dígitos")))</f>
      </c>
      <c r="Y833" s="6">
        <f>IF(O833="","vazio",IF(AND(ISNUMBER(FIND("@",O833)),ISNUMBER(FIND(".",MID(O833,FIND("@",O833),99))),NOT(ISNUMBER(FIND(" ",TRIM(O833)))),NOT(ISNUMBER(FIND(";",O833))),NOT(ISNUMBER(FIND(",",O833)))),"OK","ERRO: um e-mail válido por linha"))</f>
      </c>
      <c r="Z833" s="6">
        <f>IF(AND(J833="",K833=""),"",IF(AND(J833&lt;&gt;"",K833&lt;&gt;""),"OK","pendente: só um nome (o GR completa ao converter)"))</f>
      </c>
      <c r="AA833" s="6">
        <f>IF(COUNTA(A833:S833)=0,"",IF(AND(A833&lt;&gt;"",B833&lt;&gt;"",C833&lt;&gt;"",D833&lt;&gt;"",E833&lt;&gt;"",F833&lt;&gt;"",G833&lt;&gt;"",H833&lt;&gt;"",OR(J833&lt;&gt;"",K833&lt;&gt;""),OR(M833&lt;&gt;"",N833&lt;&gt;"",O833&lt;&gt;"")),"OK","ERRO: faltam "&amp;IF(A833="","SDR; ","")&amp;IF(B833="","Proprietário; ","")&amp;IF(C833="","Origem; ","")&amp;IF(D833="","Temperatura; ","")&amp;IF(E833="","Segmento; ","")&amp;IF(F833="","Time/Cluster; ","")&amp;IF(G833="","CNPJ; ","")&amp;IF(H833="","Razão Social; ","")&amp;IF(AND(J833="",K833=""),"nome do contato; ","")&amp;IF(AND(M833="",N833="",O833=""),"telefone, celular ou e-mail; ","")))</f>
      </c>
      <c r="AB833" s="6">
        <f>IF(COUNTA(A833:S833)=0,"",IF(AND(U833="OK",V833="OK",LEFT(W833,4)&lt;&gt;"ERRO",LEFT(X833,4)&lt;&gt;"ERRO",LEFT(Y833,4)&lt;&gt;"ERRO",AA833="OK"),"OK","REVISAR"))</f>
      </c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5"/>
      <c r="K834" s="4"/>
      <c r="L834" s="4"/>
      <c r="M834" s="4"/>
      <c r="N834" s="4"/>
      <c r="O834" s="4"/>
      <c r="P834" s="4"/>
      <c r="Q834" s="4"/>
      <c r="R834" s="4"/>
      <c r="S834" s="4"/>
      <c r="T834" s="6">
        <f>IF(G834="","",SUBSTITUTE(SUBSTITUTE(SUBSTITUTE(SUBSTITUTE(SUBSTITUTE(SUBSTITUTE(SUBSTITUTE(TRIM(G834),".",""),"/",""),"-","")," ",""),"(",""),")",""),"+",""))</f>
      </c>
      <c r="U834" s="6">
        <f>IF(T834="","",IF(LEN(T834)&lt;&gt;14,"ERRO: "&amp;LEN(T834)&amp;" dígitos",IF(NOT(ISNUMBER(VALUE(T834))),"ERRO: não numérico",IF(LEN(SUBSTITUTE(T834,LEFT(T834,1),""))=0,"ERRO: dígitos repetidos",IF(AND(VALUE(MID(T834,13,1))=IF(MOD(SUMPRODUCT(--MID(T834,{1,2,3,4,5,6,7,8,9,10,11,12},1),{5,4,3,2,9,8,7,6,5,4,3,2}),11)&lt;2,0,11-MOD(SUMPRODUCT(--MID(T834,{1,2,3,4,5,6,7,8,9,10,11,12},1),{5,4,3,2,9,8,7,6,5,4,3,2}),11)),VALUE(MID(T834,14,1))=IF(MOD(SUMPRODUCT(--MID(T834,{1,2,3,4,5,6,7,8,9,10,11,12,13},1),{6,5,4,3,2,9,8,7,6,5,4,3,2}),11)&lt;2,0,11-MOD(SUMPRODUCT(--MID(T834,{1,2,3,4,5,6,7,8,9,10,11,12,13},1),{6,5,4,3,2,9,8,7,6,5,4,3,2}),11))),"OK","ERRO: dígito verificador")))))</f>
      </c>
      <c r="V834" s="6">
        <f>IF(T834="","",IF(COUNTIF($T$2:$T$1001,T834)&gt;1,"DUPLICADO","OK"))</f>
      </c>
      <c r="W834" s="6">
        <f>IF(M834="","vazio",IF(OR(AND(LEN(SUBSTITUTE(SUBSTITUTE(SUBSTITUTE(SUBSTITUTE(SUBSTITUTE(SUBSTITUTE(SUBSTITUTE(TRIM(M834),".",""),"/",""),"-","")," ",""),"(",""),")",""),"+",""))=10,LEFT(SUBSTITUTE(SUBSTITUTE(SUBSTITUTE(SUBSTITUTE(SUBSTITUTE(SUBSTITUTE(SUBSTITUTE(TRIM(M834),".",""),"/",""),"-","")," ",""),"(",""),")",""),"+",""),1)&lt;&gt;"0"),AND(LEN(SUBSTITUTE(SUBSTITUTE(SUBSTITUTE(SUBSTITUTE(SUBSTITUTE(SUBSTITUTE(SUBSTITUTE(TRIM(M834),".",""),"/",""),"-","")," ",""),"(",""),")",""),"+",""))=11,LEFT(SUBSTITUTE(SUBSTITUTE(SUBSTITUTE(SUBSTITUTE(SUBSTITUTE(SUBSTITUTE(SUBSTITUTE(TRIM(M834),".",""),"/",""),"-","")," ",""),"(",""),")",""),"+",""),4)="0800")),"OK",IF(AND(LEN(SUBSTITUTE(SUBSTITUTE(SUBSTITUTE(SUBSTITUTE(SUBSTITUTE(SUBSTITUTE(SUBSTITUTE(TRIM(M834),".",""),"/",""),"-","")," ",""),"(",""),")",""),"+",""))=11,MID(SUBSTITUTE(SUBSTITUTE(SUBSTITUTE(SUBSTITUTE(SUBSTITUTE(SUBSTITUTE(SUBSTITUTE(TRIM(M834),".",""),"/",""),"-","")," ",""),"(",""),")",""),"+",""),3,1)="9"),"ERRO: é celular, use a coluna Celular","ERRO: DDD + 8 dígitos ou 0800 + 7")))</f>
      </c>
      <c r="X834" s="6">
        <f>IF(N834="","vazio",IF(AND(LEN(SUBSTITUTE(SUBSTITUTE(SUBSTITUTE(SUBSTITUTE(SUBSTITUTE(SUBSTITUTE(SUBSTITUTE(TRIM(N834),".",""),"/",""),"-","")," ",""),"(",""),")",""),"+",""))=11,MID(SUBSTITUTE(SUBSTITUTE(SUBSTITUTE(SUBSTITUTE(SUBSTITUTE(SUBSTITUTE(SUBSTITUTE(TRIM(N834),".",""),"/",""),"-","")," ",""),"(",""),")",""),"+",""),3,1)="9",LEFT(SUBSTITUTE(SUBSTITUTE(SUBSTITUTE(SUBSTITUTE(SUBSTITUTE(SUBSTITUTE(SUBSTITUTE(TRIM(N834),".",""),"/",""),"-","")," ",""),"(",""),")",""),"+",""),1)&lt;&gt;"0"),"OK",IF(LEN(SUBSTITUTE(SUBSTITUTE(SUBSTITUTE(SUBSTITUTE(SUBSTITUTE(SUBSTITUTE(SUBSTITUTE(TRIM(N834),".",""),"/",""),"-","")," ",""),"(",""),")",""),"+",""))=10,"ERRO: é fixo (ou falta o 9), use a coluna Telefone fixo","ERRO: DDD + 9 + 8 dígitos")))</f>
      </c>
      <c r="Y834" s="6">
        <f>IF(O834="","vazio",IF(AND(ISNUMBER(FIND("@",O834)),ISNUMBER(FIND(".",MID(O834,FIND("@",O834),99))),NOT(ISNUMBER(FIND(" ",TRIM(O834)))),NOT(ISNUMBER(FIND(";",O834))),NOT(ISNUMBER(FIND(",",O834)))),"OK","ERRO: um e-mail válido por linha"))</f>
      </c>
      <c r="Z834" s="6">
        <f>IF(AND(J834="",K834=""),"",IF(AND(J834&lt;&gt;"",K834&lt;&gt;""),"OK","pendente: só um nome (o GR completa ao converter)"))</f>
      </c>
      <c r="AA834" s="6">
        <f>IF(COUNTA(A834:S834)=0,"",IF(AND(A834&lt;&gt;"",B834&lt;&gt;"",C834&lt;&gt;"",D834&lt;&gt;"",E834&lt;&gt;"",F834&lt;&gt;"",G834&lt;&gt;"",H834&lt;&gt;"",OR(J834&lt;&gt;"",K834&lt;&gt;""),OR(M834&lt;&gt;"",N834&lt;&gt;"",O834&lt;&gt;"")),"OK","ERRO: faltam "&amp;IF(A834="","SDR; ","")&amp;IF(B834="","Proprietário; ","")&amp;IF(C834="","Origem; ","")&amp;IF(D834="","Temperatura; ","")&amp;IF(E834="","Segmento; ","")&amp;IF(F834="","Time/Cluster; ","")&amp;IF(G834="","CNPJ; ","")&amp;IF(H834="","Razão Social; ","")&amp;IF(AND(J834="",K834=""),"nome do contato; ","")&amp;IF(AND(M834="",N834="",O834=""),"telefone, celular ou e-mail; ","")))</f>
      </c>
      <c r="AB834" s="6">
        <f>IF(COUNTA(A834:S834)=0,"",IF(AND(U834="OK",V834="OK",LEFT(W834,4)&lt;&gt;"ERRO",LEFT(X834,4)&lt;&gt;"ERRO",LEFT(Y834,4)&lt;&gt;"ERRO",AA834="OK"),"OK","REVISAR"))</f>
      </c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5"/>
      <c r="K835" s="4"/>
      <c r="L835" s="4"/>
      <c r="M835" s="4"/>
      <c r="N835" s="4"/>
      <c r="O835" s="4"/>
      <c r="P835" s="4"/>
      <c r="Q835" s="4"/>
      <c r="R835" s="4"/>
      <c r="S835" s="4"/>
      <c r="T835" s="6">
        <f>IF(G835="","",SUBSTITUTE(SUBSTITUTE(SUBSTITUTE(SUBSTITUTE(SUBSTITUTE(SUBSTITUTE(SUBSTITUTE(TRIM(G835),".",""),"/",""),"-","")," ",""),"(",""),")",""),"+",""))</f>
      </c>
      <c r="U835" s="6">
        <f>IF(T835="","",IF(LEN(T835)&lt;&gt;14,"ERRO: "&amp;LEN(T835)&amp;" dígitos",IF(NOT(ISNUMBER(VALUE(T835))),"ERRO: não numérico",IF(LEN(SUBSTITUTE(T835,LEFT(T835,1),""))=0,"ERRO: dígitos repetidos",IF(AND(VALUE(MID(T835,13,1))=IF(MOD(SUMPRODUCT(--MID(T835,{1,2,3,4,5,6,7,8,9,10,11,12},1),{5,4,3,2,9,8,7,6,5,4,3,2}),11)&lt;2,0,11-MOD(SUMPRODUCT(--MID(T835,{1,2,3,4,5,6,7,8,9,10,11,12},1),{5,4,3,2,9,8,7,6,5,4,3,2}),11)),VALUE(MID(T835,14,1))=IF(MOD(SUMPRODUCT(--MID(T835,{1,2,3,4,5,6,7,8,9,10,11,12,13},1),{6,5,4,3,2,9,8,7,6,5,4,3,2}),11)&lt;2,0,11-MOD(SUMPRODUCT(--MID(T835,{1,2,3,4,5,6,7,8,9,10,11,12,13},1),{6,5,4,3,2,9,8,7,6,5,4,3,2}),11))),"OK","ERRO: dígito verificador")))))</f>
      </c>
      <c r="V835" s="6">
        <f>IF(T835="","",IF(COUNTIF($T$2:$T$1001,T835)&gt;1,"DUPLICADO","OK"))</f>
      </c>
      <c r="W835" s="6">
        <f>IF(M835="","vazio",IF(OR(AND(LEN(SUBSTITUTE(SUBSTITUTE(SUBSTITUTE(SUBSTITUTE(SUBSTITUTE(SUBSTITUTE(SUBSTITUTE(TRIM(M835),".",""),"/",""),"-","")," ",""),"(",""),")",""),"+",""))=10,LEFT(SUBSTITUTE(SUBSTITUTE(SUBSTITUTE(SUBSTITUTE(SUBSTITUTE(SUBSTITUTE(SUBSTITUTE(TRIM(M835),".",""),"/",""),"-","")," ",""),"(",""),")",""),"+",""),1)&lt;&gt;"0"),AND(LEN(SUBSTITUTE(SUBSTITUTE(SUBSTITUTE(SUBSTITUTE(SUBSTITUTE(SUBSTITUTE(SUBSTITUTE(TRIM(M835),".",""),"/",""),"-","")," ",""),"(",""),")",""),"+",""))=11,LEFT(SUBSTITUTE(SUBSTITUTE(SUBSTITUTE(SUBSTITUTE(SUBSTITUTE(SUBSTITUTE(SUBSTITUTE(TRIM(M835),".",""),"/",""),"-","")," ",""),"(",""),")",""),"+",""),4)="0800")),"OK",IF(AND(LEN(SUBSTITUTE(SUBSTITUTE(SUBSTITUTE(SUBSTITUTE(SUBSTITUTE(SUBSTITUTE(SUBSTITUTE(TRIM(M835),".",""),"/",""),"-","")," ",""),"(",""),")",""),"+",""))=11,MID(SUBSTITUTE(SUBSTITUTE(SUBSTITUTE(SUBSTITUTE(SUBSTITUTE(SUBSTITUTE(SUBSTITUTE(TRIM(M835),".",""),"/",""),"-","")," ",""),"(",""),")",""),"+",""),3,1)="9"),"ERRO: é celular, use a coluna Celular","ERRO: DDD + 8 dígitos ou 0800 + 7")))</f>
      </c>
      <c r="X835" s="6">
        <f>IF(N835="","vazio",IF(AND(LEN(SUBSTITUTE(SUBSTITUTE(SUBSTITUTE(SUBSTITUTE(SUBSTITUTE(SUBSTITUTE(SUBSTITUTE(TRIM(N835),".",""),"/",""),"-","")," ",""),"(",""),")",""),"+",""))=11,MID(SUBSTITUTE(SUBSTITUTE(SUBSTITUTE(SUBSTITUTE(SUBSTITUTE(SUBSTITUTE(SUBSTITUTE(TRIM(N835),".",""),"/",""),"-","")," ",""),"(",""),")",""),"+",""),3,1)="9",LEFT(SUBSTITUTE(SUBSTITUTE(SUBSTITUTE(SUBSTITUTE(SUBSTITUTE(SUBSTITUTE(SUBSTITUTE(TRIM(N835),".",""),"/",""),"-","")," ",""),"(",""),")",""),"+",""),1)&lt;&gt;"0"),"OK",IF(LEN(SUBSTITUTE(SUBSTITUTE(SUBSTITUTE(SUBSTITUTE(SUBSTITUTE(SUBSTITUTE(SUBSTITUTE(TRIM(N835),".",""),"/",""),"-","")," ",""),"(",""),")",""),"+",""))=10,"ERRO: é fixo (ou falta o 9), use a coluna Telefone fixo","ERRO: DDD + 9 + 8 dígitos")))</f>
      </c>
      <c r="Y835" s="6">
        <f>IF(O835="","vazio",IF(AND(ISNUMBER(FIND("@",O835)),ISNUMBER(FIND(".",MID(O835,FIND("@",O835),99))),NOT(ISNUMBER(FIND(" ",TRIM(O835)))),NOT(ISNUMBER(FIND(";",O835))),NOT(ISNUMBER(FIND(",",O835)))),"OK","ERRO: um e-mail válido por linha"))</f>
      </c>
      <c r="Z835" s="6">
        <f>IF(AND(J835="",K835=""),"",IF(AND(J835&lt;&gt;"",K835&lt;&gt;""),"OK","pendente: só um nome (o GR completa ao converter)"))</f>
      </c>
      <c r="AA835" s="6">
        <f>IF(COUNTA(A835:S835)=0,"",IF(AND(A835&lt;&gt;"",B835&lt;&gt;"",C835&lt;&gt;"",D835&lt;&gt;"",E835&lt;&gt;"",F835&lt;&gt;"",G835&lt;&gt;"",H835&lt;&gt;"",OR(J835&lt;&gt;"",K835&lt;&gt;""),OR(M835&lt;&gt;"",N835&lt;&gt;"",O835&lt;&gt;"")),"OK","ERRO: faltam "&amp;IF(A835="","SDR; ","")&amp;IF(B835="","Proprietário; ","")&amp;IF(C835="","Origem; ","")&amp;IF(D835="","Temperatura; ","")&amp;IF(E835="","Segmento; ","")&amp;IF(F835="","Time/Cluster; ","")&amp;IF(G835="","CNPJ; ","")&amp;IF(H835="","Razão Social; ","")&amp;IF(AND(J835="",K835=""),"nome do contato; ","")&amp;IF(AND(M835="",N835="",O835=""),"telefone, celular ou e-mail; ","")))</f>
      </c>
      <c r="AB835" s="6">
        <f>IF(COUNTA(A835:S835)=0,"",IF(AND(U835="OK",V835="OK",LEFT(W835,4)&lt;&gt;"ERRO",LEFT(X835,4)&lt;&gt;"ERRO",LEFT(Y835,4)&lt;&gt;"ERRO",AA835="OK"),"OK","REVISAR"))</f>
      </c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5"/>
      <c r="K836" s="4"/>
      <c r="L836" s="4"/>
      <c r="M836" s="4"/>
      <c r="N836" s="4"/>
      <c r="O836" s="4"/>
      <c r="P836" s="4"/>
      <c r="Q836" s="4"/>
      <c r="R836" s="4"/>
      <c r="S836" s="4"/>
      <c r="T836" s="6">
        <f>IF(G836="","",SUBSTITUTE(SUBSTITUTE(SUBSTITUTE(SUBSTITUTE(SUBSTITUTE(SUBSTITUTE(SUBSTITUTE(TRIM(G836),".",""),"/",""),"-","")," ",""),"(",""),")",""),"+",""))</f>
      </c>
      <c r="U836" s="6">
        <f>IF(T836="","",IF(LEN(T836)&lt;&gt;14,"ERRO: "&amp;LEN(T836)&amp;" dígitos",IF(NOT(ISNUMBER(VALUE(T836))),"ERRO: não numérico",IF(LEN(SUBSTITUTE(T836,LEFT(T836,1),""))=0,"ERRO: dígitos repetidos",IF(AND(VALUE(MID(T836,13,1))=IF(MOD(SUMPRODUCT(--MID(T836,{1,2,3,4,5,6,7,8,9,10,11,12},1),{5,4,3,2,9,8,7,6,5,4,3,2}),11)&lt;2,0,11-MOD(SUMPRODUCT(--MID(T836,{1,2,3,4,5,6,7,8,9,10,11,12},1),{5,4,3,2,9,8,7,6,5,4,3,2}),11)),VALUE(MID(T836,14,1))=IF(MOD(SUMPRODUCT(--MID(T836,{1,2,3,4,5,6,7,8,9,10,11,12,13},1),{6,5,4,3,2,9,8,7,6,5,4,3,2}),11)&lt;2,0,11-MOD(SUMPRODUCT(--MID(T836,{1,2,3,4,5,6,7,8,9,10,11,12,13},1),{6,5,4,3,2,9,8,7,6,5,4,3,2}),11))),"OK","ERRO: dígito verificador")))))</f>
      </c>
      <c r="V836" s="6">
        <f>IF(T836="","",IF(COUNTIF($T$2:$T$1001,T836)&gt;1,"DUPLICADO","OK"))</f>
      </c>
      <c r="W836" s="6">
        <f>IF(M836="","vazio",IF(OR(AND(LEN(SUBSTITUTE(SUBSTITUTE(SUBSTITUTE(SUBSTITUTE(SUBSTITUTE(SUBSTITUTE(SUBSTITUTE(TRIM(M836),".",""),"/",""),"-","")," ",""),"(",""),")",""),"+",""))=10,LEFT(SUBSTITUTE(SUBSTITUTE(SUBSTITUTE(SUBSTITUTE(SUBSTITUTE(SUBSTITUTE(SUBSTITUTE(TRIM(M836),".",""),"/",""),"-","")," ",""),"(",""),")",""),"+",""),1)&lt;&gt;"0"),AND(LEN(SUBSTITUTE(SUBSTITUTE(SUBSTITUTE(SUBSTITUTE(SUBSTITUTE(SUBSTITUTE(SUBSTITUTE(TRIM(M836),".",""),"/",""),"-","")," ",""),"(",""),")",""),"+",""))=11,LEFT(SUBSTITUTE(SUBSTITUTE(SUBSTITUTE(SUBSTITUTE(SUBSTITUTE(SUBSTITUTE(SUBSTITUTE(TRIM(M836),".",""),"/",""),"-","")," ",""),"(",""),")",""),"+",""),4)="0800")),"OK",IF(AND(LEN(SUBSTITUTE(SUBSTITUTE(SUBSTITUTE(SUBSTITUTE(SUBSTITUTE(SUBSTITUTE(SUBSTITUTE(TRIM(M836),".",""),"/",""),"-","")," ",""),"(",""),")",""),"+",""))=11,MID(SUBSTITUTE(SUBSTITUTE(SUBSTITUTE(SUBSTITUTE(SUBSTITUTE(SUBSTITUTE(SUBSTITUTE(TRIM(M836),".",""),"/",""),"-","")," ",""),"(",""),")",""),"+",""),3,1)="9"),"ERRO: é celular, use a coluna Celular","ERRO: DDD + 8 dígitos ou 0800 + 7")))</f>
      </c>
      <c r="X836" s="6">
        <f>IF(N836="","vazio",IF(AND(LEN(SUBSTITUTE(SUBSTITUTE(SUBSTITUTE(SUBSTITUTE(SUBSTITUTE(SUBSTITUTE(SUBSTITUTE(TRIM(N836),".",""),"/",""),"-","")," ",""),"(",""),")",""),"+",""))=11,MID(SUBSTITUTE(SUBSTITUTE(SUBSTITUTE(SUBSTITUTE(SUBSTITUTE(SUBSTITUTE(SUBSTITUTE(TRIM(N836),".",""),"/",""),"-","")," ",""),"(",""),")",""),"+",""),3,1)="9",LEFT(SUBSTITUTE(SUBSTITUTE(SUBSTITUTE(SUBSTITUTE(SUBSTITUTE(SUBSTITUTE(SUBSTITUTE(TRIM(N836),".",""),"/",""),"-","")," ",""),"(",""),")",""),"+",""),1)&lt;&gt;"0"),"OK",IF(LEN(SUBSTITUTE(SUBSTITUTE(SUBSTITUTE(SUBSTITUTE(SUBSTITUTE(SUBSTITUTE(SUBSTITUTE(TRIM(N836),".",""),"/",""),"-","")," ",""),"(",""),")",""),"+",""))=10,"ERRO: é fixo (ou falta o 9), use a coluna Telefone fixo","ERRO: DDD + 9 + 8 dígitos")))</f>
      </c>
      <c r="Y836" s="6">
        <f>IF(O836="","vazio",IF(AND(ISNUMBER(FIND("@",O836)),ISNUMBER(FIND(".",MID(O836,FIND("@",O836),99))),NOT(ISNUMBER(FIND(" ",TRIM(O836)))),NOT(ISNUMBER(FIND(";",O836))),NOT(ISNUMBER(FIND(",",O836)))),"OK","ERRO: um e-mail válido por linha"))</f>
      </c>
      <c r="Z836" s="6">
        <f>IF(AND(J836="",K836=""),"",IF(AND(J836&lt;&gt;"",K836&lt;&gt;""),"OK","pendente: só um nome (o GR completa ao converter)"))</f>
      </c>
      <c r="AA836" s="6">
        <f>IF(COUNTA(A836:S836)=0,"",IF(AND(A836&lt;&gt;"",B836&lt;&gt;"",C836&lt;&gt;"",D836&lt;&gt;"",E836&lt;&gt;"",F836&lt;&gt;"",G836&lt;&gt;"",H836&lt;&gt;"",OR(J836&lt;&gt;"",K836&lt;&gt;""),OR(M836&lt;&gt;"",N836&lt;&gt;"",O836&lt;&gt;"")),"OK","ERRO: faltam "&amp;IF(A836="","SDR; ","")&amp;IF(B836="","Proprietário; ","")&amp;IF(C836="","Origem; ","")&amp;IF(D836="","Temperatura; ","")&amp;IF(E836="","Segmento; ","")&amp;IF(F836="","Time/Cluster; ","")&amp;IF(G836="","CNPJ; ","")&amp;IF(H836="","Razão Social; ","")&amp;IF(AND(J836="",K836=""),"nome do contato; ","")&amp;IF(AND(M836="",N836="",O836=""),"telefone, celular ou e-mail; ","")))</f>
      </c>
      <c r="AB836" s="6">
        <f>IF(COUNTA(A836:S836)=0,"",IF(AND(U836="OK",V836="OK",LEFT(W836,4)&lt;&gt;"ERRO",LEFT(X836,4)&lt;&gt;"ERRO",LEFT(Y836,4)&lt;&gt;"ERRO",AA836="OK"),"OK","REVISAR"))</f>
      </c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5"/>
      <c r="K837" s="4"/>
      <c r="L837" s="4"/>
      <c r="M837" s="4"/>
      <c r="N837" s="4"/>
      <c r="O837" s="4"/>
      <c r="P837" s="4"/>
      <c r="Q837" s="4"/>
      <c r="R837" s="4"/>
      <c r="S837" s="4"/>
      <c r="T837" s="6">
        <f>IF(G837="","",SUBSTITUTE(SUBSTITUTE(SUBSTITUTE(SUBSTITUTE(SUBSTITUTE(SUBSTITUTE(SUBSTITUTE(TRIM(G837),".",""),"/",""),"-","")," ",""),"(",""),")",""),"+",""))</f>
      </c>
      <c r="U837" s="6">
        <f>IF(T837="","",IF(LEN(T837)&lt;&gt;14,"ERRO: "&amp;LEN(T837)&amp;" dígitos",IF(NOT(ISNUMBER(VALUE(T837))),"ERRO: não numérico",IF(LEN(SUBSTITUTE(T837,LEFT(T837,1),""))=0,"ERRO: dígitos repetidos",IF(AND(VALUE(MID(T837,13,1))=IF(MOD(SUMPRODUCT(--MID(T837,{1,2,3,4,5,6,7,8,9,10,11,12},1),{5,4,3,2,9,8,7,6,5,4,3,2}),11)&lt;2,0,11-MOD(SUMPRODUCT(--MID(T837,{1,2,3,4,5,6,7,8,9,10,11,12},1),{5,4,3,2,9,8,7,6,5,4,3,2}),11)),VALUE(MID(T837,14,1))=IF(MOD(SUMPRODUCT(--MID(T837,{1,2,3,4,5,6,7,8,9,10,11,12,13},1),{6,5,4,3,2,9,8,7,6,5,4,3,2}),11)&lt;2,0,11-MOD(SUMPRODUCT(--MID(T837,{1,2,3,4,5,6,7,8,9,10,11,12,13},1),{6,5,4,3,2,9,8,7,6,5,4,3,2}),11))),"OK","ERRO: dígito verificador")))))</f>
      </c>
      <c r="V837" s="6">
        <f>IF(T837="","",IF(COUNTIF($T$2:$T$1001,T837)&gt;1,"DUPLICADO","OK"))</f>
      </c>
      <c r="W837" s="6">
        <f>IF(M837="","vazio",IF(OR(AND(LEN(SUBSTITUTE(SUBSTITUTE(SUBSTITUTE(SUBSTITUTE(SUBSTITUTE(SUBSTITUTE(SUBSTITUTE(TRIM(M837),".",""),"/",""),"-","")," ",""),"(",""),")",""),"+",""))=10,LEFT(SUBSTITUTE(SUBSTITUTE(SUBSTITUTE(SUBSTITUTE(SUBSTITUTE(SUBSTITUTE(SUBSTITUTE(TRIM(M837),".",""),"/",""),"-","")," ",""),"(",""),")",""),"+",""),1)&lt;&gt;"0"),AND(LEN(SUBSTITUTE(SUBSTITUTE(SUBSTITUTE(SUBSTITUTE(SUBSTITUTE(SUBSTITUTE(SUBSTITUTE(TRIM(M837),".",""),"/",""),"-","")," ",""),"(",""),")",""),"+",""))=11,LEFT(SUBSTITUTE(SUBSTITUTE(SUBSTITUTE(SUBSTITUTE(SUBSTITUTE(SUBSTITUTE(SUBSTITUTE(TRIM(M837),".",""),"/",""),"-","")," ",""),"(",""),")",""),"+",""),4)="0800")),"OK",IF(AND(LEN(SUBSTITUTE(SUBSTITUTE(SUBSTITUTE(SUBSTITUTE(SUBSTITUTE(SUBSTITUTE(SUBSTITUTE(TRIM(M837),".",""),"/",""),"-","")," ",""),"(",""),")",""),"+",""))=11,MID(SUBSTITUTE(SUBSTITUTE(SUBSTITUTE(SUBSTITUTE(SUBSTITUTE(SUBSTITUTE(SUBSTITUTE(TRIM(M837),".",""),"/",""),"-","")," ",""),"(",""),")",""),"+",""),3,1)="9"),"ERRO: é celular, use a coluna Celular","ERRO: DDD + 8 dígitos ou 0800 + 7")))</f>
      </c>
      <c r="X837" s="6">
        <f>IF(N837="","vazio",IF(AND(LEN(SUBSTITUTE(SUBSTITUTE(SUBSTITUTE(SUBSTITUTE(SUBSTITUTE(SUBSTITUTE(SUBSTITUTE(TRIM(N837),".",""),"/",""),"-","")," ",""),"(",""),")",""),"+",""))=11,MID(SUBSTITUTE(SUBSTITUTE(SUBSTITUTE(SUBSTITUTE(SUBSTITUTE(SUBSTITUTE(SUBSTITUTE(TRIM(N837),".",""),"/",""),"-","")," ",""),"(",""),")",""),"+",""),3,1)="9",LEFT(SUBSTITUTE(SUBSTITUTE(SUBSTITUTE(SUBSTITUTE(SUBSTITUTE(SUBSTITUTE(SUBSTITUTE(TRIM(N837),".",""),"/",""),"-","")," ",""),"(",""),")",""),"+",""),1)&lt;&gt;"0"),"OK",IF(LEN(SUBSTITUTE(SUBSTITUTE(SUBSTITUTE(SUBSTITUTE(SUBSTITUTE(SUBSTITUTE(SUBSTITUTE(TRIM(N837),".",""),"/",""),"-","")," ",""),"(",""),")",""),"+",""))=10,"ERRO: é fixo (ou falta o 9), use a coluna Telefone fixo","ERRO: DDD + 9 + 8 dígitos")))</f>
      </c>
      <c r="Y837" s="6">
        <f>IF(O837="","vazio",IF(AND(ISNUMBER(FIND("@",O837)),ISNUMBER(FIND(".",MID(O837,FIND("@",O837),99))),NOT(ISNUMBER(FIND(" ",TRIM(O837)))),NOT(ISNUMBER(FIND(";",O837))),NOT(ISNUMBER(FIND(",",O837)))),"OK","ERRO: um e-mail válido por linha"))</f>
      </c>
      <c r="Z837" s="6">
        <f>IF(AND(J837="",K837=""),"",IF(AND(J837&lt;&gt;"",K837&lt;&gt;""),"OK","pendente: só um nome (o GR completa ao converter)"))</f>
      </c>
      <c r="AA837" s="6">
        <f>IF(COUNTA(A837:S837)=0,"",IF(AND(A837&lt;&gt;"",B837&lt;&gt;"",C837&lt;&gt;"",D837&lt;&gt;"",E837&lt;&gt;"",F837&lt;&gt;"",G837&lt;&gt;"",H837&lt;&gt;"",OR(J837&lt;&gt;"",K837&lt;&gt;""),OR(M837&lt;&gt;"",N837&lt;&gt;"",O837&lt;&gt;"")),"OK","ERRO: faltam "&amp;IF(A837="","SDR; ","")&amp;IF(B837="","Proprietário; ","")&amp;IF(C837="","Origem; ","")&amp;IF(D837="","Temperatura; ","")&amp;IF(E837="","Segmento; ","")&amp;IF(F837="","Time/Cluster; ","")&amp;IF(G837="","CNPJ; ","")&amp;IF(H837="","Razão Social; ","")&amp;IF(AND(J837="",K837=""),"nome do contato; ","")&amp;IF(AND(M837="",N837="",O837=""),"telefone, celular ou e-mail; ","")))</f>
      </c>
      <c r="AB837" s="6">
        <f>IF(COUNTA(A837:S837)=0,"",IF(AND(U837="OK",V837="OK",LEFT(W837,4)&lt;&gt;"ERRO",LEFT(X837,4)&lt;&gt;"ERRO",LEFT(Y837,4)&lt;&gt;"ERRO",AA837="OK"),"OK","REVISAR"))</f>
      </c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5"/>
      <c r="K838" s="4"/>
      <c r="L838" s="4"/>
      <c r="M838" s="4"/>
      <c r="N838" s="4"/>
      <c r="O838" s="4"/>
      <c r="P838" s="4"/>
      <c r="Q838" s="4"/>
      <c r="R838" s="4"/>
      <c r="S838" s="4"/>
      <c r="T838" s="6">
        <f>IF(G838="","",SUBSTITUTE(SUBSTITUTE(SUBSTITUTE(SUBSTITUTE(SUBSTITUTE(SUBSTITUTE(SUBSTITUTE(TRIM(G838),".",""),"/",""),"-","")," ",""),"(",""),")",""),"+",""))</f>
      </c>
      <c r="U838" s="6">
        <f>IF(T838="","",IF(LEN(T838)&lt;&gt;14,"ERRO: "&amp;LEN(T838)&amp;" dígitos",IF(NOT(ISNUMBER(VALUE(T838))),"ERRO: não numérico",IF(LEN(SUBSTITUTE(T838,LEFT(T838,1),""))=0,"ERRO: dígitos repetidos",IF(AND(VALUE(MID(T838,13,1))=IF(MOD(SUMPRODUCT(--MID(T838,{1,2,3,4,5,6,7,8,9,10,11,12},1),{5,4,3,2,9,8,7,6,5,4,3,2}),11)&lt;2,0,11-MOD(SUMPRODUCT(--MID(T838,{1,2,3,4,5,6,7,8,9,10,11,12},1),{5,4,3,2,9,8,7,6,5,4,3,2}),11)),VALUE(MID(T838,14,1))=IF(MOD(SUMPRODUCT(--MID(T838,{1,2,3,4,5,6,7,8,9,10,11,12,13},1),{6,5,4,3,2,9,8,7,6,5,4,3,2}),11)&lt;2,0,11-MOD(SUMPRODUCT(--MID(T838,{1,2,3,4,5,6,7,8,9,10,11,12,13},1),{6,5,4,3,2,9,8,7,6,5,4,3,2}),11))),"OK","ERRO: dígito verificador")))))</f>
      </c>
      <c r="V838" s="6">
        <f>IF(T838="","",IF(COUNTIF($T$2:$T$1001,T838)&gt;1,"DUPLICADO","OK"))</f>
      </c>
      <c r="W838" s="6">
        <f>IF(M838="","vazio",IF(OR(AND(LEN(SUBSTITUTE(SUBSTITUTE(SUBSTITUTE(SUBSTITUTE(SUBSTITUTE(SUBSTITUTE(SUBSTITUTE(TRIM(M838),".",""),"/",""),"-","")," ",""),"(",""),")",""),"+",""))=10,LEFT(SUBSTITUTE(SUBSTITUTE(SUBSTITUTE(SUBSTITUTE(SUBSTITUTE(SUBSTITUTE(SUBSTITUTE(TRIM(M838),".",""),"/",""),"-","")," ",""),"(",""),")",""),"+",""),1)&lt;&gt;"0"),AND(LEN(SUBSTITUTE(SUBSTITUTE(SUBSTITUTE(SUBSTITUTE(SUBSTITUTE(SUBSTITUTE(SUBSTITUTE(TRIM(M838),".",""),"/",""),"-","")," ",""),"(",""),")",""),"+",""))=11,LEFT(SUBSTITUTE(SUBSTITUTE(SUBSTITUTE(SUBSTITUTE(SUBSTITUTE(SUBSTITUTE(SUBSTITUTE(TRIM(M838),".",""),"/",""),"-","")," ",""),"(",""),")",""),"+",""),4)="0800")),"OK",IF(AND(LEN(SUBSTITUTE(SUBSTITUTE(SUBSTITUTE(SUBSTITUTE(SUBSTITUTE(SUBSTITUTE(SUBSTITUTE(TRIM(M838),".",""),"/",""),"-","")," ",""),"(",""),")",""),"+",""))=11,MID(SUBSTITUTE(SUBSTITUTE(SUBSTITUTE(SUBSTITUTE(SUBSTITUTE(SUBSTITUTE(SUBSTITUTE(TRIM(M838),".",""),"/",""),"-","")," ",""),"(",""),")",""),"+",""),3,1)="9"),"ERRO: é celular, use a coluna Celular","ERRO: DDD + 8 dígitos ou 0800 + 7")))</f>
      </c>
      <c r="X838" s="6">
        <f>IF(N838="","vazio",IF(AND(LEN(SUBSTITUTE(SUBSTITUTE(SUBSTITUTE(SUBSTITUTE(SUBSTITUTE(SUBSTITUTE(SUBSTITUTE(TRIM(N838),".",""),"/",""),"-","")," ",""),"(",""),")",""),"+",""))=11,MID(SUBSTITUTE(SUBSTITUTE(SUBSTITUTE(SUBSTITUTE(SUBSTITUTE(SUBSTITUTE(SUBSTITUTE(TRIM(N838),".",""),"/",""),"-","")," ",""),"(",""),")",""),"+",""),3,1)="9",LEFT(SUBSTITUTE(SUBSTITUTE(SUBSTITUTE(SUBSTITUTE(SUBSTITUTE(SUBSTITUTE(SUBSTITUTE(TRIM(N838),".",""),"/",""),"-","")," ",""),"(",""),")",""),"+",""),1)&lt;&gt;"0"),"OK",IF(LEN(SUBSTITUTE(SUBSTITUTE(SUBSTITUTE(SUBSTITUTE(SUBSTITUTE(SUBSTITUTE(SUBSTITUTE(TRIM(N838),".",""),"/",""),"-","")," ",""),"(",""),")",""),"+",""))=10,"ERRO: é fixo (ou falta o 9), use a coluna Telefone fixo","ERRO: DDD + 9 + 8 dígitos")))</f>
      </c>
      <c r="Y838" s="6">
        <f>IF(O838="","vazio",IF(AND(ISNUMBER(FIND("@",O838)),ISNUMBER(FIND(".",MID(O838,FIND("@",O838),99))),NOT(ISNUMBER(FIND(" ",TRIM(O838)))),NOT(ISNUMBER(FIND(";",O838))),NOT(ISNUMBER(FIND(",",O838)))),"OK","ERRO: um e-mail válido por linha"))</f>
      </c>
      <c r="Z838" s="6">
        <f>IF(AND(J838="",K838=""),"",IF(AND(J838&lt;&gt;"",K838&lt;&gt;""),"OK","pendente: só um nome (o GR completa ao converter)"))</f>
      </c>
      <c r="AA838" s="6">
        <f>IF(COUNTA(A838:S838)=0,"",IF(AND(A838&lt;&gt;"",B838&lt;&gt;"",C838&lt;&gt;"",D838&lt;&gt;"",E838&lt;&gt;"",F838&lt;&gt;"",G838&lt;&gt;"",H838&lt;&gt;"",OR(J838&lt;&gt;"",K838&lt;&gt;""),OR(M838&lt;&gt;"",N838&lt;&gt;"",O838&lt;&gt;"")),"OK","ERRO: faltam "&amp;IF(A838="","SDR; ","")&amp;IF(B838="","Proprietário; ","")&amp;IF(C838="","Origem; ","")&amp;IF(D838="","Temperatura; ","")&amp;IF(E838="","Segmento; ","")&amp;IF(F838="","Time/Cluster; ","")&amp;IF(G838="","CNPJ; ","")&amp;IF(H838="","Razão Social; ","")&amp;IF(AND(J838="",K838=""),"nome do contato; ","")&amp;IF(AND(M838="",N838="",O838=""),"telefone, celular ou e-mail; ","")))</f>
      </c>
      <c r="AB838" s="6">
        <f>IF(COUNTA(A838:S838)=0,"",IF(AND(U838="OK",V838="OK",LEFT(W838,4)&lt;&gt;"ERRO",LEFT(X838,4)&lt;&gt;"ERRO",LEFT(Y838,4)&lt;&gt;"ERRO",AA838="OK"),"OK","REVISAR"))</f>
      </c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5"/>
      <c r="K839" s="4"/>
      <c r="L839" s="4"/>
      <c r="M839" s="4"/>
      <c r="N839" s="4"/>
      <c r="O839" s="4"/>
      <c r="P839" s="4"/>
      <c r="Q839" s="4"/>
      <c r="R839" s="4"/>
      <c r="S839" s="4"/>
      <c r="T839" s="6">
        <f>IF(G839="","",SUBSTITUTE(SUBSTITUTE(SUBSTITUTE(SUBSTITUTE(SUBSTITUTE(SUBSTITUTE(SUBSTITUTE(TRIM(G839),".",""),"/",""),"-","")," ",""),"(",""),")",""),"+",""))</f>
      </c>
      <c r="U839" s="6">
        <f>IF(T839="","",IF(LEN(T839)&lt;&gt;14,"ERRO: "&amp;LEN(T839)&amp;" dígitos",IF(NOT(ISNUMBER(VALUE(T839))),"ERRO: não numérico",IF(LEN(SUBSTITUTE(T839,LEFT(T839,1),""))=0,"ERRO: dígitos repetidos",IF(AND(VALUE(MID(T839,13,1))=IF(MOD(SUMPRODUCT(--MID(T839,{1,2,3,4,5,6,7,8,9,10,11,12},1),{5,4,3,2,9,8,7,6,5,4,3,2}),11)&lt;2,0,11-MOD(SUMPRODUCT(--MID(T839,{1,2,3,4,5,6,7,8,9,10,11,12},1),{5,4,3,2,9,8,7,6,5,4,3,2}),11)),VALUE(MID(T839,14,1))=IF(MOD(SUMPRODUCT(--MID(T839,{1,2,3,4,5,6,7,8,9,10,11,12,13},1),{6,5,4,3,2,9,8,7,6,5,4,3,2}),11)&lt;2,0,11-MOD(SUMPRODUCT(--MID(T839,{1,2,3,4,5,6,7,8,9,10,11,12,13},1),{6,5,4,3,2,9,8,7,6,5,4,3,2}),11))),"OK","ERRO: dígito verificador")))))</f>
      </c>
      <c r="V839" s="6">
        <f>IF(T839="","",IF(COUNTIF($T$2:$T$1001,T839)&gt;1,"DUPLICADO","OK"))</f>
      </c>
      <c r="W839" s="6">
        <f>IF(M839="","vazio",IF(OR(AND(LEN(SUBSTITUTE(SUBSTITUTE(SUBSTITUTE(SUBSTITUTE(SUBSTITUTE(SUBSTITUTE(SUBSTITUTE(TRIM(M839),".",""),"/",""),"-","")," ",""),"(",""),")",""),"+",""))=10,LEFT(SUBSTITUTE(SUBSTITUTE(SUBSTITUTE(SUBSTITUTE(SUBSTITUTE(SUBSTITUTE(SUBSTITUTE(TRIM(M839),".",""),"/",""),"-","")," ",""),"(",""),")",""),"+",""),1)&lt;&gt;"0"),AND(LEN(SUBSTITUTE(SUBSTITUTE(SUBSTITUTE(SUBSTITUTE(SUBSTITUTE(SUBSTITUTE(SUBSTITUTE(TRIM(M839),".",""),"/",""),"-","")," ",""),"(",""),")",""),"+",""))=11,LEFT(SUBSTITUTE(SUBSTITUTE(SUBSTITUTE(SUBSTITUTE(SUBSTITUTE(SUBSTITUTE(SUBSTITUTE(TRIM(M839),".",""),"/",""),"-","")," ",""),"(",""),")",""),"+",""),4)="0800")),"OK",IF(AND(LEN(SUBSTITUTE(SUBSTITUTE(SUBSTITUTE(SUBSTITUTE(SUBSTITUTE(SUBSTITUTE(SUBSTITUTE(TRIM(M839),".",""),"/",""),"-","")," ",""),"(",""),")",""),"+",""))=11,MID(SUBSTITUTE(SUBSTITUTE(SUBSTITUTE(SUBSTITUTE(SUBSTITUTE(SUBSTITUTE(SUBSTITUTE(TRIM(M839),".",""),"/",""),"-","")," ",""),"(",""),")",""),"+",""),3,1)="9"),"ERRO: é celular, use a coluna Celular","ERRO: DDD + 8 dígitos ou 0800 + 7")))</f>
      </c>
      <c r="X839" s="6">
        <f>IF(N839="","vazio",IF(AND(LEN(SUBSTITUTE(SUBSTITUTE(SUBSTITUTE(SUBSTITUTE(SUBSTITUTE(SUBSTITUTE(SUBSTITUTE(TRIM(N839),".",""),"/",""),"-","")," ",""),"(",""),")",""),"+",""))=11,MID(SUBSTITUTE(SUBSTITUTE(SUBSTITUTE(SUBSTITUTE(SUBSTITUTE(SUBSTITUTE(SUBSTITUTE(TRIM(N839),".",""),"/",""),"-","")," ",""),"(",""),")",""),"+",""),3,1)="9",LEFT(SUBSTITUTE(SUBSTITUTE(SUBSTITUTE(SUBSTITUTE(SUBSTITUTE(SUBSTITUTE(SUBSTITUTE(TRIM(N839),".",""),"/",""),"-","")," ",""),"(",""),")",""),"+",""),1)&lt;&gt;"0"),"OK",IF(LEN(SUBSTITUTE(SUBSTITUTE(SUBSTITUTE(SUBSTITUTE(SUBSTITUTE(SUBSTITUTE(SUBSTITUTE(TRIM(N839),".",""),"/",""),"-","")," ",""),"(",""),")",""),"+",""))=10,"ERRO: é fixo (ou falta o 9), use a coluna Telefone fixo","ERRO: DDD + 9 + 8 dígitos")))</f>
      </c>
      <c r="Y839" s="6">
        <f>IF(O839="","vazio",IF(AND(ISNUMBER(FIND("@",O839)),ISNUMBER(FIND(".",MID(O839,FIND("@",O839),99))),NOT(ISNUMBER(FIND(" ",TRIM(O839)))),NOT(ISNUMBER(FIND(";",O839))),NOT(ISNUMBER(FIND(",",O839)))),"OK","ERRO: um e-mail válido por linha"))</f>
      </c>
      <c r="Z839" s="6">
        <f>IF(AND(J839="",K839=""),"",IF(AND(J839&lt;&gt;"",K839&lt;&gt;""),"OK","pendente: só um nome (o GR completa ao converter)"))</f>
      </c>
      <c r="AA839" s="6">
        <f>IF(COUNTA(A839:S839)=0,"",IF(AND(A839&lt;&gt;"",B839&lt;&gt;"",C839&lt;&gt;"",D839&lt;&gt;"",E839&lt;&gt;"",F839&lt;&gt;"",G839&lt;&gt;"",H839&lt;&gt;"",OR(J839&lt;&gt;"",K839&lt;&gt;""),OR(M839&lt;&gt;"",N839&lt;&gt;"",O839&lt;&gt;"")),"OK","ERRO: faltam "&amp;IF(A839="","SDR; ","")&amp;IF(B839="","Proprietário; ","")&amp;IF(C839="","Origem; ","")&amp;IF(D839="","Temperatura; ","")&amp;IF(E839="","Segmento; ","")&amp;IF(F839="","Time/Cluster; ","")&amp;IF(G839="","CNPJ; ","")&amp;IF(H839="","Razão Social; ","")&amp;IF(AND(J839="",K839=""),"nome do contato; ","")&amp;IF(AND(M839="",N839="",O839=""),"telefone, celular ou e-mail; ","")))</f>
      </c>
      <c r="AB839" s="6">
        <f>IF(COUNTA(A839:S839)=0,"",IF(AND(U839="OK",V839="OK",LEFT(W839,4)&lt;&gt;"ERRO",LEFT(X839,4)&lt;&gt;"ERRO",LEFT(Y839,4)&lt;&gt;"ERRO",AA839="OK"),"OK","REVISAR"))</f>
      </c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5"/>
      <c r="K840" s="4"/>
      <c r="L840" s="4"/>
      <c r="M840" s="4"/>
      <c r="N840" s="4"/>
      <c r="O840" s="4"/>
      <c r="P840" s="4"/>
      <c r="Q840" s="4"/>
      <c r="R840" s="4"/>
      <c r="S840" s="4"/>
      <c r="T840" s="6">
        <f>IF(G840="","",SUBSTITUTE(SUBSTITUTE(SUBSTITUTE(SUBSTITUTE(SUBSTITUTE(SUBSTITUTE(SUBSTITUTE(TRIM(G840),".",""),"/",""),"-","")," ",""),"(",""),")",""),"+",""))</f>
      </c>
      <c r="U840" s="6">
        <f>IF(T840="","",IF(LEN(T840)&lt;&gt;14,"ERRO: "&amp;LEN(T840)&amp;" dígitos",IF(NOT(ISNUMBER(VALUE(T840))),"ERRO: não numérico",IF(LEN(SUBSTITUTE(T840,LEFT(T840,1),""))=0,"ERRO: dígitos repetidos",IF(AND(VALUE(MID(T840,13,1))=IF(MOD(SUMPRODUCT(--MID(T840,{1,2,3,4,5,6,7,8,9,10,11,12},1),{5,4,3,2,9,8,7,6,5,4,3,2}),11)&lt;2,0,11-MOD(SUMPRODUCT(--MID(T840,{1,2,3,4,5,6,7,8,9,10,11,12},1),{5,4,3,2,9,8,7,6,5,4,3,2}),11)),VALUE(MID(T840,14,1))=IF(MOD(SUMPRODUCT(--MID(T840,{1,2,3,4,5,6,7,8,9,10,11,12,13},1),{6,5,4,3,2,9,8,7,6,5,4,3,2}),11)&lt;2,0,11-MOD(SUMPRODUCT(--MID(T840,{1,2,3,4,5,6,7,8,9,10,11,12,13},1),{6,5,4,3,2,9,8,7,6,5,4,3,2}),11))),"OK","ERRO: dígito verificador")))))</f>
      </c>
      <c r="V840" s="6">
        <f>IF(T840="","",IF(COUNTIF($T$2:$T$1001,T840)&gt;1,"DUPLICADO","OK"))</f>
      </c>
      <c r="W840" s="6">
        <f>IF(M840="","vazio",IF(OR(AND(LEN(SUBSTITUTE(SUBSTITUTE(SUBSTITUTE(SUBSTITUTE(SUBSTITUTE(SUBSTITUTE(SUBSTITUTE(TRIM(M840),".",""),"/",""),"-","")," ",""),"(",""),")",""),"+",""))=10,LEFT(SUBSTITUTE(SUBSTITUTE(SUBSTITUTE(SUBSTITUTE(SUBSTITUTE(SUBSTITUTE(SUBSTITUTE(TRIM(M840),".",""),"/",""),"-","")," ",""),"(",""),")",""),"+",""),1)&lt;&gt;"0"),AND(LEN(SUBSTITUTE(SUBSTITUTE(SUBSTITUTE(SUBSTITUTE(SUBSTITUTE(SUBSTITUTE(SUBSTITUTE(TRIM(M840),".",""),"/",""),"-","")," ",""),"(",""),")",""),"+",""))=11,LEFT(SUBSTITUTE(SUBSTITUTE(SUBSTITUTE(SUBSTITUTE(SUBSTITUTE(SUBSTITUTE(SUBSTITUTE(TRIM(M840),".",""),"/",""),"-","")," ",""),"(",""),")",""),"+",""),4)="0800")),"OK",IF(AND(LEN(SUBSTITUTE(SUBSTITUTE(SUBSTITUTE(SUBSTITUTE(SUBSTITUTE(SUBSTITUTE(SUBSTITUTE(TRIM(M840),".",""),"/",""),"-","")," ",""),"(",""),")",""),"+",""))=11,MID(SUBSTITUTE(SUBSTITUTE(SUBSTITUTE(SUBSTITUTE(SUBSTITUTE(SUBSTITUTE(SUBSTITUTE(TRIM(M840),".",""),"/",""),"-","")," ",""),"(",""),")",""),"+",""),3,1)="9"),"ERRO: é celular, use a coluna Celular","ERRO: DDD + 8 dígitos ou 0800 + 7")))</f>
      </c>
      <c r="X840" s="6">
        <f>IF(N840="","vazio",IF(AND(LEN(SUBSTITUTE(SUBSTITUTE(SUBSTITUTE(SUBSTITUTE(SUBSTITUTE(SUBSTITUTE(SUBSTITUTE(TRIM(N840),".",""),"/",""),"-","")," ",""),"(",""),")",""),"+",""))=11,MID(SUBSTITUTE(SUBSTITUTE(SUBSTITUTE(SUBSTITUTE(SUBSTITUTE(SUBSTITUTE(SUBSTITUTE(TRIM(N840),".",""),"/",""),"-","")," ",""),"(",""),")",""),"+",""),3,1)="9",LEFT(SUBSTITUTE(SUBSTITUTE(SUBSTITUTE(SUBSTITUTE(SUBSTITUTE(SUBSTITUTE(SUBSTITUTE(TRIM(N840),".",""),"/",""),"-","")," ",""),"(",""),")",""),"+",""),1)&lt;&gt;"0"),"OK",IF(LEN(SUBSTITUTE(SUBSTITUTE(SUBSTITUTE(SUBSTITUTE(SUBSTITUTE(SUBSTITUTE(SUBSTITUTE(TRIM(N840),".",""),"/",""),"-","")," ",""),"(",""),")",""),"+",""))=10,"ERRO: é fixo (ou falta o 9), use a coluna Telefone fixo","ERRO: DDD + 9 + 8 dígitos")))</f>
      </c>
      <c r="Y840" s="6">
        <f>IF(O840="","vazio",IF(AND(ISNUMBER(FIND("@",O840)),ISNUMBER(FIND(".",MID(O840,FIND("@",O840),99))),NOT(ISNUMBER(FIND(" ",TRIM(O840)))),NOT(ISNUMBER(FIND(";",O840))),NOT(ISNUMBER(FIND(",",O840)))),"OK","ERRO: um e-mail válido por linha"))</f>
      </c>
      <c r="Z840" s="6">
        <f>IF(AND(J840="",K840=""),"",IF(AND(J840&lt;&gt;"",K840&lt;&gt;""),"OK","pendente: só um nome (o GR completa ao converter)"))</f>
      </c>
      <c r="AA840" s="6">
        <f>IF(COUNTA(A840:S840)=0,"",IF(AND(A840&lt;&gt;"",B840&lt;&gt;"",C840&lt;&gt;"",D840&lt;&gt;"",E840&lt;&gt;"",F840&lt;&gt;"",G840&lt;&gt;"",H840&lt;&gt;"",OR(J840&lt;&gt;"",K840&lt;&gt;""),OR(M840&lt;&gt;"",N840&lt;&gt;"",O840&lt;&gt;"")),"OK","ERRO: faltam "&amp;IF(A840="","SDR; ","")&amp;IF(B840="","Proprietário; ","")&amp;IF(C840="","Origem; ","")&amp;IF(D840="","Temperatura; ","")&amp;IF(E840="","Segmento; ","")&amp;IF(F840="","Time/Cluster; ","")&amp;IF(G840="","CNPJ; ","")&amp;IF(H840="","Razão Social; ","")&amp;IF(AND(J840="",K840=""),"nome do contato; ","")&amp;IF(AND(M840="",N840="",O840=""),"telefone, celular ou e-mail; ","")))</f>
      </c>
      <c r="AB840" s="6">
        <f>IF(COUNTA(A840:S840)=0,"",IF(AND(U840="OK",V840="OK",LEFT(W840,4)&lt;&gt;"ERRO",LEFT(X840,4)&lt;&gt;"ERRO",LEFT(Y840,4)&lt;&gt;"ERRO",AA840="OK"),"OK","REVISAR"))</f>
      </c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5"/>
      <c r="K841" s="4"/>
      <c r="L841" s="4"/>
      <c r="M841" s="4"/>
      <c r="N841" s="4"/>
      <c r="O841" s="4"/>
      <c r="P841" s="4"/>
      <c r="Q841" s="4"/>
      <c r="R841" s="4"/>
      <c r="S841" s="4"/>
      <c r="T841" s="6">
        <f>IF(G841="","",SUBSTITUTE(SUBSTITUTE(SUBSTITUTE(SUBSTITUTE(SUBSTITUTE(SUBSTITUTE(SUBSTITUTE(TRIM(G841),".",""),"/",""),"-","")," ",""),"(",""),")",""),"+",""))</f>
      </c>
      <c r="U841" s="6">
        <f>IF(T841="","",IF(LEN(T841)&lt;&gt;14,"ERRO: "&amp;LEN(T841)&amp;" dígitos",IF(NOT(ISNUMBER(VALUE(T841))),"ERRO: não numérico",IF(LEN(SUBSTITUTE(T841,LEFT(T841,1),""))=0,"ERRO: dígitos repetidos",IF(AND(VALUE(MID(T841,13,1))=IF(MOD(SUMPRODUCT(--MID(T841,{1,2,3,4,5,6,7,8,9,10,11,12},1),{5,4,3,2,9,8,7,6,5,4,3,2}),11)&lt;2,0,11-MOD(SUMPRODUCT(--MID(T841,{1,2,3,4,5,6,7,8,9,10,11,12},1),{5,4,3,2,9,8,7,6,5,4,3,2}),11)),VALUE(MID(T841,14,1))=IF(MOD(SUMPRODUCT(--MID(T841,{1,2,3,4,5,6,7,8,9,10,11,12,13},1),{6,5,4,3,2,9,8,7,6,5,4,3,2}),11)&lt;2,0,11-MOD(SUMPRODUCT(--MID(T841,{1,2,3,4,5,6,7,8,9,10,11,12,13},1),{6,5,4,3,2,9,8,7,6,5,4,3,2}),11))),"OK","ERRO: dígito verificador")))))</f>
      </c>
      <c r="V841" s="6">
        <f>IF(T841="","",IF(COUNTIF($T$2:$T$1001,T841)&gt;1,"DUPLICADO","OK"))</f>
      </c>
      <c r="W841" s="6">
        <f>IF(M841="","vazio",IF(OR(AND(LEN(SUBSTITUTE(SUBSTITUTE(SUBSTITUTE(SUBSTITUTE(SUBSTITUTE(SUBSTITUTE(SUBSTITUTE(TRIM(M841),".",""),"/",""),"-","")," ",""),"(",""),")",""),"+",""))=10,LEFT(SUBSTITUTE(SUBSTITUTE(SUBSTITUTE(SUBSTITUTE(SUBSTITUTE(SUBSTITUTE(SUBSTITUTE(TRIM(M841),".",""),"/",""),"-","")," ",""),"(",""),")",""),"+",""),1)&lt;&gt;"0"),AND(LEN(SUBSTITUTE(SUBSTITUTE(SUBSTITUTE(SUBSTITUTE(SUBSTITUTE(SUBSTITUTE(SUBSTITUTE(TRIM(M841),".",""),"/",""),"-","")," ",""),"(",""),")",""),"+",""))=11,LEFT(SUBSTITUTE(SUBSTITUTE(SUBSTITUTE(SUBSTITUTE(SUBSTITUTE(SUBSTITUTE(SUBSTITUTE(TRIM(M841),".",""),"/",""),"-","")," ",""),"(",""),")",""),"+",""),4)="0800")),"OK",IF(AND(LEN(SUBSTITUTE(SUBSTITUTE(SUBSTITUTE(SUBSTITUTE(SUBSTITUTE(SUBSTITUTE(SUBSTITUTE(TRIM(M841),".",""),"/",""),"-","")," ",""),"(",""),")",""),"+",""))=11,MID(SUBSTITUTE(SUBSTITUTE(SUBSTITUTE(SUBSTITUTE(SUBSTITUTE(SUBSTITUTE(SUBSTITUTE(TRIM(M841),".",""),"/",""),"-","")," ",""),"(",""),")",""),"+",""),3,1)="9"),"ERRO: é celular, use a coluna Celular","ERRO: DDD + 8 dígitos ou 0800 + 7")))</f>
      </c>
      <c r="X841" s="6">
        <f>IF(N841="","vazio",IF(AND(LEN(SUBSTITUTE(SUBSTITUTE(SUBSTITUTE(SUBSTITUTE(SUBSTITUTE(SUBSTITUTE(SUBSTITUTE(TRIM(N841),".",""),"/",""),"-","")," ",""),"(",""),")",""),"+",""))=11,MID(SUBSTITUTE(SUBSTITUTE(SUBSTITUTE(SUBSTITUTE(SUBSTITUTE(SUBSTITUTE(SUBSTITUTE(TRIM(N841),".",""),"/",""),"-","")," ",""),"(",""),")",""),"+",""),3,1)="9",LEFT(SUBSTITUTE(SUBSTITUTE(SUBSTITUTE(SUBSTITUTE(SUBSTITUTE(SUBSTITUTE(SUBSTITUTE(TRIM(N841),".",""),"/",""),"-","")," ",""),"(",""),")",""),"+",""),1)&lt;&gt;"0"),"OK",IF(LEN(SUBSTITUTE(SUBSTITUTE(SUBSTITUTE(SUBSTITUTE(SUBSTITUTE(SUBSTITUTE(SUBSTITUTE(TRIM(N841),".",""),"/",""),"-","")," ",""),"(",""),")",""),"+",""))=10,"ERRO: é fixo (ou falta o 9), use a coluna Telefone fixo","ERRO: DDD + 9 + 8 dígitos")))</f>
      </c>
      <c r="Y841" s="6">
        <f>IF(O841="","vazio",IF(AND(ISNUMBER(FIND("@",O841)),ISNUMBER(FIND(".",MID(O841,FIND("@",O841),99))),NOT(ISNUMBER(FIND(" ",TRIM(O841)))),NOT(ISNUMBER(FIND(";",O841))),NOT(ISNUMBER(FIND(",",O841)))),"OK","ERRO: um e-mail válido por linha"))</f>
      </c>
      <c r="Z841" s="6">
        <f>IF(AND(J841="",K841=""),"",IF(AND(J841&lt;&gt;"",K841&lt;&gt;""),"OK","pendente: só um nome (o GR completa ao converter)"))</f>
      </c>
      <c r="AA841" s="6">
        <f>IF(COUNTA(A841:S841)=0,"",IF(AND(A841&lt;&gt;"",B841&lt;&gt;"",C841&lt;&gt;"",D841&lt;&gt;"",E841&lt;&gt;"",F841&lt;&gt;"",G841&lt;&gt;"",H841&lt;&gt;"",OR(J841&lt;&gt;"",K841&lt;&gt;""),OR(M841&lt;&gt;"",N841&lt;&gt;"",O841&lt;&gt;"")),"OK","ERRO: faltam "&amp;IF(A841="","SDR; ","")&amp;IF(B841="","Proprietário; ","")&amp;IF(C841="","Origem; ","")&amp;IF(D841="","Temperatura; ","")&amp;IF(E841="","Segmento; ","")&amp;IF(F841="","Time/Cluster; ","")&amp;IF(G841="","CNPJ; ","")&amp;IF(H841="","Razão Social; ","")&amp;IF(AND(J841="",K841=""),"nome do contato; ","")&amp;IF(AND(M841="",N841="",O841=""),"telefone, celular ou e-mail; ","")))</f>
      </c>
      <c r="AB841" s="6">
        <f>IF(COUNTA(A841:S841)=0,"",IF(AND(U841="OK",V841="OK",LEFT(W841,4)&lt;&gt;"ERRO",LEFT(X841,4)&lt;&gt;"ERRO",LEFT(Y841,4)&lt;&gt;"ERRO",AA841="OK"),"OK","REVISAR"))</f>
      </c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5"/>
      <c r="K842" s="4"/>
      <c r="L842" s="4"/>
      <c r="M842" s="4"/>
      <c r="N842" s="4"/>
      <c r="O842" s="4"/>
      <c r="P842" s="4"/>
      <c r="Q842" s="4"/>
      <c r="R842" s="4"/>
      <c r="S842" s="4"/>
      <c r="T842" s="6">
        <f>IF(G842="","",SUBSTITUTE(SUBSTITUTE(SUBSTITUTE(SUBSTITUTE(SUBSTITUTE(SUBSTITUTE(SUBSTITUTE(TRIM(G842),".",""),"/",""),"-","")," ",""),"(",""),")",""),"+",""))</f>
      </c>
      <c r="U842" s="6">
        <f>IF(T842="","",IF(LEN(T842)&lt;&gt;14,"ERRO: "&amp;LEN(T842)&amp;" dígitos",IF(NOT(ISNUMBER(VALUE(T842))),"ERRO: não numérico",IF(LEN(SUBSTITUTE(T842,LEFT(T842,1),""))=0,"ERRO: dígitos repetidos",IF(AND(VALUE(MID(T842,13,1))=IF(MOD(SUMPRODUCT(--MID(T842,{1,2,3,4,5,6,7,8,9,10,11,12},1),{5,4,3,2,9,8,7,6,5,4,3,2}),11)&lt;2,0,11-MOD(SUMPRODUCT(--MID(T842,{1,2,3,4,5,6,7,8,9,10,11,12},1),{5,4,3,2,9,8,7,6,5,4,3,2}),11)),VALUE(MID(T842,14,1))=IF(MOD(SUMPRODUCT(--MID(T842,{1,2,3,4,5,6,7,8,9,10,11,12,13},1),{6,5,4,3,2,9,8,7,6,5,4,3,2}),11)&lt;2,0,11-MOD(SUMPRODUCT(--MID(T842,{1,2,3,4,5,6,7,8,9,10,11,12,13},1),{6,5,4,3,2,9,8,7,6,5,4,3,2}),11))),"OK","ERRO: dígito verificador")))))</f>
      </c>
      <c r="V842" s="6">
        <f>IF(T842="","",IF(COUNTIF($T$2:$T$1001,T842)&gt;1,"DUPLICADO","OK"))</f>
      </c>
      <c r="W842" s="6">
        <f>IF(M842="","vazio",IF(OR(AND(LEN(SUBSTITUTE(SUBSTITUTE(SUBSTITUTE(SUBSTITUTE(SUBSTITUTE(SUBSTITUTE(SUBSTITUTE(TRIM(M842),".",""),"/",""),"-","")," ",""),"(",""),")",""),"+",""))=10,LEFT(SUBSTITUTE(SUBSTITUTE(SUBSTITUTE(SUBSTITUTE(SUBSTITUTE(SUBSTITUTE(SUBSTITUTE(TRIM(M842),".",""),"/",""),"-","")," ",""),"(",""),")",""),"+",""),1)&lt;&gt;"0"),AND(LEN(SUBSTITUTE(SUBSTITUTE(SUBSTITUTE(SUBSTITUTE(SUBSTITUTE(SUBSTITUTE(SUBSTITUTE(TRIM(M842),".",""),"/",""),"-","")," ",""),"(",""),")",""),"+",""))=11,LEFT(SUBSTITUTE(SUBSTITUTE(SUBSTITUTE(SUBSTITUTE(SUBSTITUTE(SUBSTITUTE(SUBSTITUTE(TRIM(M842),".",""),"/",""),"-","")," ",""),"(",""),")",""),"+",""),4)="0800")),"OK",IF(AND(LEN(SUBSTITUTE(SUBSTITUTE(SUBSTITUTE(SUBSTITUTE(SUBSTITUTE(SUBSTITUTE(SUBSTITUTE(TRIM(M842),".",""),"/",""),"-","")," ",""),"(",""),")",""),"+",""))=11,MID(SUBSTITUTE(SUBSTITUTE(SUBSTITUTE(SUBSTITUTE(SUBSTITUTE(SUBSTITUTE(SUBSTITUTE(TRIM(M842),".",""),"/",""),"-","")," ",""),"(",""),")",""),"+",""),3,1)="9"),"ERRO: é celular, use a coluna Celular","ERRO: DDD + 8 dígitos ou 0800 + 7")))</f>
      </c>
      <c r="X842" s="6">
        <f>IF(N842="","vazio",IF(AND(LEN(SUBSTITUTE(SUBSTITUTE(SUBSTITUTE(SUBSTITUTE(SUBSTITUTE(SUBSTITUTE(SUBSTITUTE(TRIM(N842),".",""),"/",""),"-","")," ",""),"(",""),")",""),"+",""))=11,MID(SUBSTITUTE(SUBSTITUTE(SUBSTITUTE(SUBSTITUTE(SUBSTITUTE(SUBSTITUTE(SUBSTITUTE(TRIM(N842),".",""),"/",""),"-","")," ",""),"(",""),")",""),"+",""),3,1)="9",LEFT(SUBSTITUTE(SUBSTITUTE(SUBSTITUTE(SUBSTITUTE(SUBSTITUTE(SUBSTITUTE(SUBSTITUTE(TRIM(N842),".",""),"/",""),"-","")," ",""),"(",""),")",""),"+",""),1)&lt;&gt;"0"),"OK",IF(LEN(SUBSTITUTE(SUBSTITUTE(SUBSTITUTE(SUBSTITUTE(SUBSTITUTE(SUBSTITUTE(SUBSTITUTE(TRIM(N842),".",""),"/",""),"-","")," ",""),"(",""),")",""),"+",""))=10,"ERRO: é fixo (ou falta o 9), use a coluna Telefone fixo","ERRO: DDD + 9 + 8 dígitos")))</f>
      </c>
      <c r="Y842" s="6">
        <f>IF(O842="","vazio",IF(AND(ISNUMBER(FIND("@",O842)),ISNUMBER(FIND(".",MID(O842,FIND("@",O842),99))),NOT(ISNUMBER(FIND(" ",TRIM(O842)))),NOT(ISNUMBER(FIND(";",O842))),NOT(ISNUMBER(FIND(",",O842)))),"OK","ERRO: um e-mail válido por linha"))</f>
      </c>
      <c r="Z842" s="6">
        <f>IF(AND(J842="",K842=""),"",IF(AND(J842&lt;&gt;"",K842&lt;&gt;""),"OK","pendente: só um nome (o GR completa ao converter)"))</f>
      </c>
      <c r="AA842" s="6">
        <f>IF(COUNTA(A842:S842)=0,"",IF(AND(A842&lt;&gt;"",B842&lt;&gt;"",C842&lt;&gt;"",D842&lt;&gt;"",E842&lt;&gt;"",F842&lt;&gt;"",G842&lt;&gt;"",H842&lt;&gt;"",OR(J842&lt;&gt;"",K842&lt;&gt;""),OR(M842&lt;&gt;"",N842&lt;&gt;"",O842&lt;&gt;"")),"OK","ERRO: faltam "&amp;IF(A842="","SDR; ","")&amp;IF(B842="","Proprietário; ","")&amp;IF(C842="","Origem; ","")&amp;IF(D842="","Temperatura; ","")&amp;IF(E842="","Segmento; ","")&amp;IF(F842="","Time/Cluster; ","")&amp;IF(G842="","CNPJ; ","")&amp;IF(H842="","Razão Social; ","")&amp;IF(AND(J842="",K842=""),"nome do contato; ","")&amp;IF(AND(M842="",N842="",O842=""),"telefone, celular ou e-mail; ","")))</f>
      </c>
      <c r="AB842" s="6">
        <f>IF(COUNTA(A842:S842)=0,"",IF(AND(U842="OK",V842="OK",LEFT(W842,4)&lt;&gt;"ERRO",LEFT(X842,4)&lt;&gt;"ERRO",LEFT(Y842,4)&lt;&gt;"ERRO",AA842="OK"),"OK","REVISAR"))</f>
      </c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5"/>
      <c r="K843" s="4"/>
      <c r="L843" s="4"/>
      <c r="M843" s="4"/>
      <c r="N843" s="4"/>
      <c r="O843" s="4"/>
      <c r="P843" s="4"/>
      <c r="Q843" s="4"/>
      <c r="R843" s="4"/>
      <c r="S843" s="4"/>
      <c r="T843" s="6">
        <f>IF(G843="","",SUBSTITUTE(SUBSTITUTE(SUBSTITUTE(SUBSTITUTE(SUBSTITUTE(SUBSTITUTE(SUBSTITUTE(TRIM(G843),".",""),"/",""),"-","")," ",""),"(",""),")",""),"+",""))</f>
      </c>
      <c r="U843" s="6">
        <f>IF(T843="","",IF(LEN(T843)&lt;&gt;14,"ERRO: "&amp;LEN(T843)&amp;" dígitos",IF(NOT(ISNUMBER(VALUE(T843))),"ERRO: não numérico",IF(LEN(SUBSTITUTE(T843,LEFT(T843,1),""))=0,"ERRO: dígitos repetidos",IF(AND(VALUE(MID(T843,13,1))=IF(MOD(SUMPRODUCT(--MID(T843,{1,2,3,4,5,6,7,8,9,10,11,12},1),{5,4,3,2,9,8,7,6,5,4,3,2}),11)&lt;2,0,11-MOD(SUMPRODUCT(--MID(T843,{1,2,3,4,5,6,7,8,9,10,11,12},1),{5,4,3,2,9,8,7,6,5,4,3,2}),11)),VALUE(MID(T843,14,1))=IF(MOD(SUMPRODUCT(--MID(T843,{1,2,3,4,5,6,7,8,9,10,11,12,13},1),{6,5,4,3,2,9,8,7,6,5,4,3,2}),11)&lt;2,0,11-MOD(SUMPRODUCT(--MID(T843,{1,2,3,4,5,6,7,8,9,10,11,12,13},1),{6,5,4,3,2,9,8,7,6,5,4,3,2}),11))),"OK","ERRO: dígito verificador")))))</f>
      </c>
      <c r="V843" s="6">
        <f>IF(T843="","",IF(COUNTIF($T$2:$T$1001,T843)&gt;1,"DUPLICADO","OK"))</f>
      </c>
      <c r="W843" s="6">
        <f>IF(M843="","vazio",IF(OR(AND(LEN(SUBSTITUTE(SUBSTITUTE(SUBSTITUTE(SUBSTITUTE(SUBSTITUTE(SUBSTITUTE(SUBSTITUTE(TRIM(M843),".",""),"/",""),"-","")," ",""),"(",""),")",""),"+",""))=10,LEFT(SUBSTITUTE(SUBSTITUTE(SUBSTITUTE(SUBSTITUTE(SUBSTITUTE(SUBSTITUTE(SUBSTITUTE(TRIM(M843),".",""),"/",""),"-","")," ",""),"(",""),")",""),"+",""),1)&lt;&gt;"0"),AND(LEN(SUBSTITUTE(SUBSTITUTE(SUBSTITUTE(SUBSTITUTE(SUBSTITUTE(SUBSTITUTE(SUBSTITUTE(TRIM(M843),".",""),"/",""),"-","")," ",""),"(",""),")",""),"+",""))=11,LEFT(SUBSTITUTE(SUBSTITUTE(SUBSTITUTE(SUBSTITUTE(SUBSTITUTE(SUBSTITUTE(SUBSTITUTE(TRIM(M843),".",""),"/",""),"-","")," ",""),"(",""),")",""),"+",""),4)="0800")),"OK",IF(AND(LEN(SUBSTITUTE(SUBSTITUTE(SUBSTITUTE(SUBSTITUTE(SUBSTITUTE(SUBSTITUTE(SUBSTITUTE(TRIM(M843),".",""),"/",""),"-","")," ",""),"(",""),")",""),"+",""))=11,MID(SUBSTITUTE(SUBSTITUTE(SUBSTITUTE(SUBSTITUTE(SUBSTITUTE(SUBSTITUTE(SUBSTITUTE(TRIM(M843),".",""),"/",""),"-","")," ",""),"(",""),")",""),"+",""),3,1)="9"),"ERRO: é celular, use a coluna Celular","ERRO: DDD + 8 dígitos ou 0800 + 7")))</f>
      </c>
      <c r="X843" s="6">
        <f>IF(N843="","vazio",IF(AND(LEN(SUBSTITUTE(SUBSTITUTE(SUBSTITUTE(SUBSTITUTE(SUBSTITUTE(SUBSTITUTE(SUBSTITUTE(TRIM(N843),".",""),"/",""),"-","")," ",""),"(",""),")",""),"+",""))=11,MID(SUBSTITUTE(SUBSTITUTE(SUBSTITUTE(SUBSTITUTE(SUBSTITUTE(SUBSTITUTE(SUBSTITUTE(TRIM(N843),".",""),"/",""),"-","")," ",""),"(",""),")",""),"+",""),3,1)="9",LEFT(SUBSTITUTE(SUBSTITUTE(SUBSTITUTE(SUBSTITUTE(SUBSTITUTE(SUBSTITUTE(SUBSTITUTE(TRIM(N843),".",""),"/",""),"-","")," ",""),"(",""),")",""),"+",""),1)&lt;&gt;"0"),"OK",IF(LEN(SUBSTITUTE(SUBSTITUTE(SUBSTITUTE(SUBSTITUTE(SUBSTITUTE(SUBSTITUTE(SUBSTITUTE(TRIM(N843),".",""),"/",""),"-","")," ",""),"(",""),")",""),"+",""))=10,"ERRO: é fixo (ou falta o 9), use a coluna Telefone fixo","ERRO: DDD + 9 + 8 dígitos")))</f>
      </c>
      <c r="Y843" s="6">
        <f>IF(O843="","vazio",IF(AND(ISNUMBER(FIND("@",O843)),ISNUMBER(FIND(".",MID(O843,FIND("@",O843),99))),NOT(ISNUMBER(FIND(" ",TRIM(O843)))),NOT(ISNUMBER(FIND(";",O843))),NOT(ISNUMBER(FIND(",",O843)))),"OK","ERRO: um e-mail válido por linha"))</f>
      </c>
      <c r="Z843" s="6">
        <f>IF(AND(J843="",K843=""),"",IF(AND(J843&lt;&gt;"",K843&lt;&gt;""),"OK","pendente: só um nome (o GR completa ao converter)"))</f>
      </c>
      <c r="AA843" s="6">
        <f>IF(COUNTA(A843:S843)=0,"",IF(AND(A843&lt;&gt;"",B843&lt;&gt;"",C843&lt;&gt;"",D843&lt;&gt;"",E843&lt;&gt;"",F843&lt;&gt;"",G843&lt;&gt;"",H843&lt;&gt;"",OR(J843&lt;&gt;"",K843&lt;&gt;""),OR(M843&lt;&gt;"",N843&lt;&gt;"",O843&lt;&gt;"")),"OK","ERRO: faltam "&amp;IF(A843="","SDR; ","")&amp;IF(B843="","Proprietário; ","")&amp;IF(C843="","Origem; ","")&amp;IF(D843="","Temperatura; ","")&amp;IF(E843="","Segmento; ","")&amp;IF(F843="","Time/Cluster; ","")&amp;IF(G843="","CNPJ; ","")&amp;IF(H843="","Razão Social; ","")&amp;IF(AND(J843="",K843=""),"nome do contato; ","")&amp;IF(AND(M843="",N843="",O843=""),"telefone, celular ou e-mail; ","")))</f>
      </c>
      <c r="AB843" s="6">
        <f>IF(COUNTA(A843:S843)=0,"",IF(AND(U843="OK",V843="OK",LEFT(W843,4)&lt;&gt;"ERRO",LEFT(X843,4)&lt;&gt;"ERRO",LEFT(Y843,4)&lt;&gt;"ERRO",AA843="OK"),"OK","REVISAR"))</f>
      </c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5"/>
      <c r="K844" s="4"/>
      <c r="L844" s="4"/>
      <c r="M844" s="4"/>
      <c r="N844" s="4"/>
      <c r="O844" s="4"/>
      <c r="P844" s="4"/>
      <c r="Q844" s="4"/>
      <c r="R844" s="4"/>
      <c r="S844" s="4"/>
      <c r="T844" s="6">
        <f>IF(G844="","",SUBSTITUTE(SUBSTITUTE(SUBSTITUTE(SUBSTITUTE(SUBSTITUTE(SUBSTITUTE(SUBSTITUTE(TRIM(G844),".",""),"/",""),"-","")," ",""),"(",""),")",""),"+",""))</f>
      </c>
      <c r="U844" s="6">
        <f>IF(T844="","",IF(LEN(T844)&lt;&gt;14,"ERRO: "&amp;LEN(T844)&amp;" dígitos",IF(NOT(ISNUMBER(VALUE(T844))),"ERRO: não numérico",IF(LEN(SUBSTITUTE(T844,LEFT(T844,1),""))=0,"ERRO: dígitos repetidos",IF(AND(VALUE(MID(T844,13,1))=IF(MOD(SUMPRODUCT(--MID(T844,{1,2,3,4,5,6,7,8,9,10,11,12},1),{5,4,3,2,9,8,7,6,5,4,3,2}),11)&lt;2,0,11-MOD(SUMPRODUCT(--MID(T844,{1,2,3,4,5,6,7,8,9,10,11,12},1),{5,4,3,2,9,8,7,6,5,4,3,2}),11)),VALUE(MID(T844,14,1))=IF(MOD(SUMPRODUCT(--MID(T844,{1,2,3,4,5,6,7,8,9,10,11,12,13},1),{6,5,4,3,2,9,8,7,6,5,4,3,2}),11)&lt;2,0,11-MOD(SUMPRODUCT(--MID(T844,{1,2,3,4,5,6,7,8,9,10,11,12,13},1),{6,5,4,3,2,9,8,7,6,5,4,3,2}),11))),"OK","ERRO: dígito verificador")))))</f>
      </c>
      <c r="V844" s="6">
        <f>IF(T844="","",IF(COUNTIF($T$2:$T$1001,T844)&gt;1,"DUPLICADO","OK"))</f>
      </c>
      <c r="W844" s="6">
        <f>IF(M844="","vazio",IF(OR(AND(LEN(SUBSTITUTE(SUBSTITUTE(SUBSTITUTE(SUBSTITUTE(SUBSTITUTE(SUBSTITUTE(SUBSTITUTE(TRIM(M844),".",""),"/",""),"-","")," ",""),"(",""),")",""),"+",""))=10,LEFT(SUBSTITUTE(SUBSTITUTE(SUBSTITUTE(SUBSTITUTE(SUBSTITUTE(SUBSTITUTE(SUBSTITUTE(TRIM(M844),".",""),"/",""),"-","")," ",""),"(",""),")",""),"+",""),1)&lt;&gt;"0"),AND(LEN(SUBSTITUTE(SUBSTITUTE(SUBSTITUTE(SUBSTITUTE(SUBSTITUTE(SUBSTITUTE(SUBSTITUTE(TRIM(M844),".",""),"/",""),"-","")," ",""),"(",""),")",""),"+",""))=11,LEFT(SUBSTITUTE(SUBSTITUTE(SUBSTITUTE(SUBSTITUTE(SUBSTITUTE(SUBSTITUTE(SUBSTITUTE(TRIM(M844),".",""),"/",""),"-","")," ",""),"(",""),")",""),"+",""),4)="0800")),"OK",IF(AND(LEN(SUBSTITUTE(SUBSTITUTE(SUBSTITUTE(SUBSTITUTE(SUBSTITUTE(SUBSTITUTE(SUBSTITUTE(TRIM(M844),".",""),"/",""),"-","")," ",""),"(",""),")",""),"+",""))=11,MID(SUBSTITUTE(SUBSTITUTE(SUBSTITUTE(SUBSTITUTE(SUBSTITUTE(SUBSTITUTE(SUBSTITUTE(TRIM(M844),".",""),"/",""),"-","")," ",""),"(",""),")",""),"+",""),3,1)="9"),"ERRO: é celular, use a coluna Celular","ERRO: DDD + 8 dígitos ou 0800 + 7")))</f>
      </c>
      <c r="X844" s="6">
        <f>IF(N844="","vazio",IF(AND(LEN(SUBSTITUTE(SUBSTITUTE(SUBSTITUTE(SUBSTITUTE(SUBSTITUTE(SUBSTITUTE(SUBSTITUTE(TRIM(N844),".",""),"/",""),"-","")," ",""),"(",""),")",""),"+",""))=11,MID(SUBSTITUTE(SUBSTITUTE(SUBSTITUTE(SUBSTITUTE(SUBSTITUTE(SUBSTITUTE(SUBSTITUTE(TRIM(N844),".",""),"/",""),"-","")," ",""),"(",""),")",""),"+",""),3,1)="9",LEFT(SUBSTITUTE(SUBSTITUTE(SUBSTITUTE(SUBSTITUTE(SUBSTITUTE(SUBSTITUTE(SUBSTITUTE(TRIM(N844),".",""),"/",""),"-","")," ",""),"(",""),")",""),"+",""),1)&lt;&gt;"0"),"OK",IF(LEN(SUBSTITUTE(SUBSTITUTE(SUBSTITUTE(SUBSTITUTE(SUBSTITUTE(SUBSTITUTE(SUBSTITUTE(TRIM(N844),".",""),"/",""),"-","")," ",""),"(",""),")",""),"+",""))=10,"ERRO: é fixo (ou falta o 9), use a coluna Telefone fixo","ERRO: DDD + 9 + 8 dígitos")))</f>
      </c>
      <c r="Y844" s="6">
        <f>IF(O844="","vazio",IF(AND(ISNUMBER(FIND("@",O844)),ISNUMBER(FIND(".",MID(O844,FIND("@",O844),99))),NOT(ISNUMBER(FIND(" ",TRIM(O844)))),NOT(ISNUMBER(FIND(";",O844))),NOT(ISNUMBER(FIND(",",O844)))),"OK","ERRO: um e-mail válido por linha"))</f>
      </c>
      <c r="Z844" s="6">
        <f>IF(AND(J844="",K844=""),"",IF(AND(J844&lt;&gt;"",K844&lt;&gt;""),"OK","pendente: só um nome (o GR completa ao converter)"))</f>
      </c>
      <c r="AA844" s="6">
        <f>IF(COUNTA(A844:S844)=0,"",IF(AND(A844&lt;&gt;"",B844&lt;&gt;"",C844&lt;&gt;"",D844&lt;&gt;"",E844&lt;&gt;"",F844&lt;&gt;"",G844&lt;&gt;"",H844&lt;&gt;"",OR(J844&lt;&gt;"",K844&lt;&gt;""),OR(M844&lt;&gt;"",N844&lt;&gt;"",O844&lt;&gt;"")),"OK","ERRO: faltam "&amp;IF(A844="","SDR; ","")&amp;IF(B844="","Proprietário; ","")&amp;IF(C844="","Origem; ","")&amp;IF(D844="","Temperatura; ","")&amp;IF(E844="","Segmento; ","")&amp;IF(F844="","Time/Cluster; ","")&amp;IF(G844="","CNPJ; ","")&amp;IF(H844="","Razão Social; ","")&amp;IF(AND(J844="",K844=""),"nome do contato; ","")&amp;IF(AND(M844="",N844="",O844=""),"telefone, celular ou e-mail; ","")))</f>
      </c>
      <c r="AB844" s="6">
        <f>IF(COUNTA(A844:S844)=0,"",IF(AND(U844="OK",V844="OK",LEFT(W844,4)&lt;&gt;"ERRO",LEFT(X844,4)&lt;&gt;"ERRO",LEFT(Y844,4)&lt;&gt;"ERRO",AA844="OK"),"OK","REVISAR"))</f>
      </c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5"/>
      <c r="K845" s="4"/>
      <c r="L845" s="4"/>
      <c r="M845" s="4"/>
      <c r="N845" s="4"/>
      <c r="O845" s="4"/>
      <c r="P845" s="4"/>
      <c r="Q845" s="4"/>
      <c r="R845" s="4"/>
      <c r="S845" s="4"/>
      <c r="T845" s="6">
        <f>IF(G845="","",SUBSTITUTE(SUBSTITUTE(SUBSTITUTE(SUBSTITUTE(SUBSTITUTE(SUBSTITUTE(SUBSTITUTE(TRIM(G845),".",""),"/",""),"-","")," ",""),"(",""),")",""),"+",""))</f>
      </c>
      <c r="U845" s="6">
        <f>IF(T845="","",IF(LEN(T845)&lt;&gt;14,"ERRO: "&amp;LEN(T845)&amp;" dígitos",IF(NOT(ISNUMBER(VALUE(T845))),"ERRO: não numérico",IF(LEN(SUBSTITUTE(T845,LEFT(T845,1),""))=0,"ERRO: dígitos repetidos",IF(AND(VALUE(MID(T845,13,1))=IF(MOD(SUMPRODUCT(--MID(T845,{1,2,3,4,5,6,7,8,9,10,11,12},1),{5,4,3,2,9,8,7,6,5,4,3,2}),11)&lt;2,0,11-MOD(SUMPRODUCT(--MID(T845,{1,2,3,4,5,6,7,8,9,10,11,12},1),{5,4,3,2,9,8,7,6,5,4,3,2}),11)),VALUE(MID(T845,14,1))=IF(MOD(SUMPRODUCT(--MID(T845,{1,2,3,4,5,6,7,8,9,10,11,12,13},1),{6,5,4,3,2,9,8,7,6,5,4,3,2}),11)&lt;2,0,11-MOD(SUMPRODUCT(--MID(T845,{1,2,3,4,5,6,7,8,9,10,11,12,13},1),{6,5,4,3,2,9,8,7,6,5,4,3,2}),11))),"OK","ERRO: dígito verificador")))))</f>
      </c>
      <c r="V845" s="6">
        <f>IF(T845="","",IF(COUNTIF($T$2:$T$1001,T845)&gt;1,"DUPLICADO","OK"))</f>
      </c>
      <c r="W845" s="6">
        <f>IF(M845="","vazio",IF(OR(AND(LEN(SUBSTITUTE(SUBSTITUTE(SUBSTITUTE(SUBSTITUTE(SUBSTITUTE(SUBSTITUTE(SUBSTITUTE(TRIM(M845),".",""),"/",""),"-","")," ",""),"(",""),")",""),"+",""))=10,LEFT(SUBSTITUTE(SUBSTITUTE(SUBSTITUTE(SUBSTITUTE(SUBSTITUTE(SUBSTITUTE(SUBSTITUTE(TRIM(M845),".",""),"/",""),"-","")," ",""),"(",""),")",""),"+",""),1)&lt;&gt;"0"),AND(LEN(SUBSTITUTE(SUBSTITUTE(SUBSTITUTE(SUBSTITUTE(SUBSTITUTE(SUBSTITUTE(SUBSTITUTE(TRIM(M845),".",""),"/",""),"-","")," ",""),"(",""),")",""),"+",""))=11,LEFT(SUBSTITUTE(SUBSTITUTE(SUBSTITUTE(SUBSTITUTE(SUBSTITUTE(SUBSTITUTE(SUBSTITUTE(TRIM(M845),".",""),"/",""),"-","")," ",""),"(",""),")",""),"+",""),4)="0800")),"OK",IF(AND(LEN(SUBSTITUTE(SUBSTITUTE(SUBSTITUTE(SUBSTITUTE(SUBSTITUTE(SUBSTITUTE(SUBSTITUTE(TRIM(M845),".",""),"/",""),"-","")," ",""),"(",""),")",""),"+",""))=11,MID(SUBSTITUTE(SUBSTITUTE(SUBSTITUTE(SUBSTITUTE(SUBSTITUTE(SUBSTITUTE(SUBSTITUTE(TRIM(M845),".",""),"/",""),"-","")," ",""),"(",""),")",""),"+",""),3,1)="9"),"ERRO: é celular, use a coluna Celular","ERRO: DDD + 8 dígitos ou 0800 + 7")))</f>
      </c>
      <c r="X845" s="6">
        <f>IF(N845="","vazio",IF(AND(LEN(SUBSTITUTE(SUBSTITUTE(SUBSTITUTE(SUBSTITUTE(SUBSTITUTE(SUBSTITUTE(SUBSTITUTE(TRIM(N845),".",""),"/",""),"-","")," ",""),"(",""),")",""),"+",""))=11,MID(SUBSTITUTE(SUBSTITUTE(SUBSTITUTE(SUBSTITUTE(SUBSTITUTE(SUBSTITUTE(SUBSTITUTE(TRIM(N845),".",""),"/",""),"-","")," ",""),"(",""),")",""),"+",""),3,1)="9",LEFT(SUBSTITUTE(SUBSTITUTE(SUBSTITUTE(SUBSTITUTE(SUBSTITUTE(SUBSTITUTE(SUBSTITUTE(TRIM(N845),".",""),"/",""),"-","")," ",""),"(",""),")",""),"+",""),1)&lt;&gt;"0"),"OK",IF(LEN(SUBSTITUTE(SUBSTITUTE(SUBSTITUTE(SUBSTITUTE(SUBSTITUTE(SUBSTITUTE(SUBSTITUTE(TRIM(N845),".",""),"/",""),"-","")," ",""),"(",""),")",""),"+",""))=10,"ERRO: é fixo (ou falta o 9), use a coluna Telefone fixo","ERRO: DDD + 9 + 8 dígitos")))</f>
      </c>
      <c r="Y845" s="6">
        <f>IF(O845="","vazio",IF(AND(ISNUMBER(FIND("@",O845)),ISNUMBER(FIND(".",MID(O845,FIND("@",O845),99))),NOT(ISNUMBER(FIND(" ",TRIM(O845)))),NOT(ISNUMBER(FIND(";",O845))),NOT(ISNUMBER(FIND(",",O845)))),"OK","ERRO: um e-mail válido por linha"))</f>
      </c>
      <c r="Z845" s="6">
        <f>IF(AND(J845="",K845=""),"",IF(AND(J845&lt;&gt;"",K845&lt;&gt;""),"OK","pendente: só um nome (o GR completa ao converter)"))</f>
      </c>
      <c r="AA845" s="6">
        <f>IF(COUNTA(A845:S845)=0,"",IF(AND(A845&lt;&gt;"",B845&lt;&gt;"",C845&lt;&gt;"",D845&lt;&gt;"",E845&lt;&gt;"",F845&lt;&gt;"",G845&lt;&gt;"",H845&lt;&gt;"",OR(J845&lt;&gt;"",K845&lt;&gt;""),OR(M845&lt;&gt;"",N845&lt;&gt;"",O845&lt;&gt;"")),"OK","ERRO: faltam "&amp;IF(A845="","SDR; ","")&amp;IF(B845="","Proprietário; ","")&amp;IF(C845="","Origem; ","")&amp;IF(D845="","Temperatura; ","")&amp;IF(E845="","Segmento; ","")&amp;IF(F845="","Time/Cluster; ","")&amp;IF(G845="","CNPJ; ","")&amp;IF(H845="","Razão Social; ","")&amp;IF(AND(J845="",K845=""),"nome do contato; ","")&amp;IF(AND(M845="",N845="",O845=""),"telefone, celular ou e-mail; ","")))</f>
      </c>
      <c r="AB845" s="6">
        <f>IF(COUNTA(A845:S845)=0,"",IF(AND(U845="OK",V845="OK",LEFT(W845,4)&lt;&gt;"ERRO",LEFT(X845,4)&lt;&gt;"ERRO",LEFT(Y845,4)&lt;&gt;"ERRO",AA845="OK"),"OK","REVISAR"))</f>
      </c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5"/>
      <c r="K846" s="4"/>
      <c r="L846" s="4"/>
      <c r="M846" s="4"/>
      <c r="N846" s="4"/>
      <c r="O846" s="4"/>
      <c r="P846" s="4"/>
      <c r="Q846" s="4"/>
      <c r="R846" s="4"/>
      <c r="S846" s="4"/>
      <c r="T846" s="6">
        <f>IF(G846="","",SUBSTITUTE(SUBSTITUTE(SUBSTITUTE(SUBSTITUTE(SUBSTITUTE(SUBSTITUTE(SUBSTITUTE(TRIM(G846),".",""),"/",""),"-","")," ",""),"(",""),")",""),"+",""))</f>
      </c>
      <c r="U846" s="6">
        <f>IF(T846="","",IF(LEN(T846)&lt;&gt;14,"ERRO: "&amp;LEN(T846)&amp;" dígitos",IF(NOT(ISNUMBER(VALUE(T846))),"ERRO: não numérico",IF(LEN(SUBSTITUTE(T846,LEFT(T846,1),""))=0,"ERRO: dígitos repetidos",IF(AND(VALUE(MID(T846,13,1))=IF(MOD(SUMPRODUCT(--MID(T846,{1,2,3,4,5,6,7,8,9,10,11,12},1),{5,4,3,2,9,8,7,6,5,4,3,2}),11)&lt;2,0,11-MOD(SUMPRODUCT(--MID(T846,{1,2,3,4,5,6,7,8,9,10,11,12},1),{5,4,3,2,9,8,7,6,5,4,3,2}),11)),VALUE(MID(T846,14,1))=IF(MOD(SUMPRODUCT(--MID(T846,{1,2,3,4,5,6,7,8,9,10,11,12,13},1),{6,5,4,3,2,9,8,7,6,5,4,3,2}),11)&lt;2,0,11-MOD(SUMPRODUCT(--MID(T846,{1,2,3,4,5,6,7,8,9,10,11,12,13},1),{6,5,4,3,2,9,8,7,6,5,4,3,2}),11))),"OK","ERRO: dígito verificador")))))</f>
      </c>
      <c r="V846" s="6">
        <f>IF(T846="","",IF(COUNTIF($T$2:$T$1001,T846)&gt;1,"DUPLICADO","OK"))</f>
      </c>
      <c r="W846" s="6">
        <f>IF(M846="","vazio",IF(OR(AND(LEN(SUBSTITUTE(SUBSTITUTE(SUBSTITUTE(SUBSTITUTE(SUBSTITUTE(SUBSTITUTE(SUBSTITUTE(TRIM(M846),".",""),"/",""),"-","")," ",""),"(",""),")",""),"+",""))=10,LEFT(SUBSTITUTE(SUBSTITUTE(SUBSTITUTE(SUBSTITUTE(SUBSTITUTE(SUBSTITUTE(SUBSTITUTE(TRIM(M846),".",""),"/",""),"-","")," ",""),"(",""),")",""),"+",""),1)&lt;&gt;"0"),AND(LEN(SUBSTITUTE(SUBSTITUTE(SUBSTITUTE(SUBSTITUTE(SUBSTITUTE(SUBSTITUTE(SUBSTITUTE(TRIM(M846),".",""),"/",""),"-","")," ",""),"(",""),")",""),"+",""))=11,LEFT(SUBSTITUTE(SUBSTITUTE(SUBSTITUTE(SUBSTITUTE(SUBSTITUTE(SUBSTITUTE(SUBSTITUTE(TRIM(M846),".",""),"/",""),"-","")," ",""),"(",""),")",""),"+",""),4)="0800")),"OK",IF(AND(LEN(SUBSTITUTE(SUBSTITUTE(SUBSTITUTE(SUBSTITUTE(SUBSTITUTE(SUBSTITUTE(SUBSTITUTE(TRIM(M846),".",""),"/",""),"-","")," ",""),"(",""),")",""),"+",""))=11,MID(SUBSTITUTE(SUBSTITUTE(SUBSTITUTE(SUBSTITUTE(SUBSTITUTE(SUBSTITUTE(SUBSTITUTE(TRIM(M846),".",""),"/",""),"-","")," ",""),"(",""),")",""),"+",""),3,1)="9"),"ERRO: é celular, use a coluna Celular","ERRO: DDD + 8 dígitos ou 0800 + 7")))</f>
      </c>
      <c r="X846" s="6">
        <f>IF(N846="","vazio",IF(AND(LEN(SUBSTITUTE(SUBSTITUTE(SUBSTITUTE(SUBSTITUTE(SUBSTITUTE(SUBSTITUTE(SUBSTITUTE(TRIM(N846),".",""),"/",""),"-","")," ",""),"(",""),")",""),"+",""))=11,MID(SUBSTITUTE(SUBSTITUTE(SUBSTITUTE(SUBSTITUTE(SUBSTITUTE(SUBSTITUTE(SUBSTITUTE(TRIM(N846),".",""),"/",""),"-","")," ",""),"(",""),")",""),"+",""),3,1)="9",LEFT(SUBSTITUTE(SUBSTITUTE(SUBSTITUTE(SUBSTITUTE(SUBSTITUTE(SUBSTITUTE(SUBSTITUTE(TRIM(N846),".",""),"/",""),"-","")," ",""),"(",""),")",""),"+",""),1)&lt;&gt;"0"),"OK",IF(LEN(SUBSTITUTE(SUBSTITUTE(SUBSTITUTE(SUBSTITUTE(SUBSTITUTE(SUBSTITUTE(SUBSTITUTE(TRIM(N846),".",""),"/",""),"-","")," ",""),"(",""),")",""),"+",""))=10,"ERRO: é fixo (ou falta o 9), use a coluna Telefone fixo","ERRO: DDD + 9 + 8 dígitos")))</f>
      </c>
      <c r="Y846" s="6">
        <f>IF(O846="","vazio",IF(AND(ISNUMBER(FIND("@",O846)),ISNUMBER(FIND(".",MID(O846,FIND("@",O846),99))),NOT(ISNUMBER(FIND(" ",TRIM(O846)))),NOT(ISNUMBER(FIND(";",O846))),NOT(ISNUMBER(FIND(",",O846)))),"OK","ERRO: um e-mail válido por linha"))</f>
      </c>
      <c r="Z846" s="6">
        <f>IF(AND(J846="",K846=""),"",IF(AND(J846&lt;&gt;"",K846&lt;&gt;""),"OK","pendente: só um nome (o GR completa ao converter)"))</f>
      </c>
      <c r="AA846" s="6">
        <f>IF(COUNTA(A846:S846)=0,"",IF(AND(A846&lt;&gt;"",B846&lt;&gt;"",C846&lt;&gt;"",D846&lt;&gt;"",E846&lt;&gt;"",F846&lt;&gt;"",G846&lt;&gt;"",H846&lt;&gt;"",OR(J846&lt;&gt;"",K846&lt;&gt;""),OR(M846&lt;&gt;"",N846&lt;&gt;"",O846&lt;&gt;"")),"OK","ERRO: faltam "&amp;IF(A846="","SDR; ","")&amp;IF(B846="","Proprietário; ","")&amp;IF(C846="","Origem; ","")&amp;IF(D846="","Temperatura; ","")&amp;IF(E846="","Segmento; ","")&amp;IF(F846="","Time/Cluster; ","")&amp;IF(G846="","CNPJ; ","")&amp;IF(H846="","Razão Social; ","")&amp;IF(AND(J846="",K846=""),"nome do contato; ","")&amp;IF(AND(M846="",N846="",O846=""),"telefone, celular ou e-mail; ","")))</f>
      </c>
      <c r="AB846" s="6">
        <f>IF(COUNTA(A846:S846)=0,"",IF(AND(U846="OK",V846="OK",LEFT(W846,4)&lt;&gt;"ERRO",LEFT(X846,4)&lt;&gt;"ERRO",LEFT(Y846,4)&lt;&gt;"ERRO",AA846="OK"),"OK","REVISAR"))</f>
      </c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5"/>
      <c r="K847" s="4"/>
      <c r="L847" s="4"/>
      <c r="M847" s="4"/>
      <c r="N847" s="4"/>
      <c r="O847" s="4"/>
      <c r="P847" s="4"/>
      <c r="Q847" s="4"/>
      <c r="R847" s="4"/>
      <c r="S847" s="4"/>
      <c r="T847" s="6">
        <f>IF(G847="","",SUBSTITUTE(SUBSTITUTE(SUBSTITUTE(SUBSTITUTE(SUBSTITUTE(SUBSTITUTE(SUBSTITUTE(TRIM(G847),".",""),"/",""),"-","")," ",""),"(",""),")",""),"+",""))</f>
      </c>
      <c r="U847" s="6">
        <f>IF(T847="","",IF(LEN(T847)&lt;&gt;14,"ERRO: "&amp;LEN(T847)&amp;" dígitos",IF(NOT(ISNUMBER(VALUE(T847))),"ERRO: não numérico",IF(LEN(SUBSTITUTE(T847,LEFT(T847,1),""))=0,"ERRO: dígitos repetidos",IF(AND(VALUE(MID(T847,13,1))=IF(MOD(SUMPRODUCT(--MID(T847,{1,2,3,4,5,6,7,8,9,10,11,12},1),{5,4,3,2,9,8,7,6,5,4,3,2}),11)&lt;2,0,11-MOD(SUMPRODUCT(--MID(T847,{1,2,3,4,5,6,7,8,9,10,11,12},1),{5,4,3,2,9,8,7,6,5,4,3,2}),11)),VALUE(MID(T847,14,1))=IF(MOD(SUMPRODUCT(--MID(T847,{1,2,3,4,5,6,7,8,9,10,11,12,13},1),{6,5,4,3,2,9,8,7,6,5,4,3,2}),11)&lt;2,0,11-MOD(SUMPRODUCT(--MID(T847,{1,2,3,4,5,6,7,8,9,10,11,12,13},1),{6,5,4,3,2,9,8,7,6,5,4,3,2}),11))),"OK","ERRO: dígito verificador")))))</f>
      </c>
      <c r="V847" s="6">
        <f>IF(T847="","",IF(COUNTIF($T$2:$T$1001,T847)&gt;1,"DUPLICADO","OK"))</f>
      </c>
      <c r="W847" s="6">
        <f>IF(M847="","vazio",IF(OR(AND(LEN(SUBSTITUTE(SUBSTITUTE(SUBSTITUTE(SUBSTITUTE(SUBSTITUTE(SUBSTITUTE(SUBSTITUTE(TRIM(M847),".",""),"/",""),"-","")," ",""),"(",""),")",""),"+",""))=10,LEFT(SUBSTITUTE(SUBSTITUTE(SUBSTITUTE(SUBSTITUTE(SUBSTITUTE(SUBSTITUTE(SUBSTITUTE(TRIM(M847),".",""),"/",""),"-","")," ",""),"(",""),")",""),"+",""),1)&lt;&gt;"0"),AND(LEN(SUBSTITUTE(SUBSTITUTE(SUBSTITUTE(SUBSTITUTE(SUBSTITUTE(SUBSTITUTE(SUBSTITUTE(TRIM(M847),".",""),"/",""),"-","")," ",""),"(",""),")",""),"+",""))=11,LEFT(SUBSTITUTE(SUBSTITUTE(SUBSTITUTE(SUBSTITUTE(SUBSTITUTE(SUBSTITUTE(SUBSTITUTE(TRIM(M847),".",""),"/",""),"-","")," ",""),"(",""),")",""),"+",""),4)="0800")),"OK",IF(AND(LEN(SUBSTITUTE(SUBSTITUTE(SUBSTITUTE(SUBSTITUTE(SUBSTITUTE(SUBSTITUTE(SUBSTITUTE(TRIM(M847),".",""),"/",""),"-","")," ",""),"(",""),")",""),"+",""))=11,MID(SUBSTITUTE(SUBSTITUTE(SUBSTITUTE(SUBSTITUTE(SUBSTITUTE(SUBSTITUTE(SUBSTITUTE(TRIM(M847),".",""),"/",""),"-","")," ",""),"(",""),")",""),"+",""),3,1)="9"),"ERRO: é celular, use a coluna Celular","ERRO: DDD + 8 dígitos ou 0800 + 7")))</f>
      </c>
      <c r="X847" s="6">
        <f>IF(N847="","vazio",IF(AND(LEN(SUBSTITUTE(SUBSTITUTE(SUBSTITUTE(SUBSTITUTE(SUBSTITUTE(SUBSTITUTE(SUBSTITUTE(TRIM(N847),".",""),"/",""),"-","")," ",""),"(",""),")",""),"+",""))=11,MID(SUBSTITUTE(SUBSTITUTE(SUBSTITUTE(SUBSTITUTE(SUBSTITUTE(SUBSTITUTE(SUBSTITUTE(TRIM(N847),".",""),"/",""),"-","")," ",""),"(",""),")",""),"+",""),3,1)="9",LEFT(SUBSTITUTE(SUBSTITUTE(SUBSTITUTE(SUBSTITUTE(SUBSTITUTE(SUBSTITUTE(SUBSTITUTE(TRIM(N847),".",""),"/",""),"-","")," ",""),"(",""),")",""),"+",""),1)&lt;&gt;"0"),"OK",IF(LEN(SUBSTITUTE(SUBSTITUTE(SUBSTITUTE(SUBSTITUTE(SUBSTITUTE(SUBSTITUTE(SUBSTITUTE(TRIM(N847),".",""),"/",""),"-","")," ",""),"(",""),")",""),"+",""))=10,"ERRO: é fixo (ou falta o 9), use a coluna Telefone fixo","ERRO: DDD + 9 + 8 dígitos")))</f>
      </c>
      <c r="Y847" s="6">
        <f>IF(O847="","vazio",IF(AND(ISNUMBER(FIND("@",O847)),ISNUMBER(FIND(".",MID(O847,FIND("@",O847),99))),NOT(ISNUMBER(FIND(" ",TRIM(O847)))),NOT(ISNUMBER(FIND(";",O847))),NOT(ISNUMBER(FIND(",",O847)))),"OK","ERRO: um e-mail válido por linha"))</f>
      </c>
      <c r="Z847" s="6">
        <f>IF(AND(J847="",K847=""),"",IF(AND(J847&lt;&gt;"",K847&lt;&gt;""),"OK","pendente: só um nome (o GR completa ao converter)"))</f>
      </c>
      <c r="AA847" s="6">
        <f>IF(COUNTA(A847:S847)=0,"",IF(AND(A847&lt;&gt;"",B847&lt;&gt;"",C847&lt;&gt;"",D847&lt;&gt;"",E847&lt;&gt;"",F847&lt;&gt;"",G847&lt;&gt;"",H847&lt;&gt;"",OR(J847&lt;&gt;"",K847&lt;&gt;""),OR(M847&lt;&gt;"",N847&lt;&gt;"",O847&lt;&gt;"")),"OK","ERRO: faltam "&amp;IF(A847="","SDR; ","")&amp;IF(B847="","Proprietário; ","")&amp;IF(C847="","Origem; ","")&amp;IF(D847="","Temperatura; ","")&amp;IF(E847="","Segmento; ","")&amp;IF(F847="","Time/Cluster; ","")&amp;IF(G847="","CNPJ; ","")&amp;IF(H847="","Razão Social; ","")&amp;IF(AND(J847="",K847=""),"nome do contato; ","")&amp;IF(AND(M847="",N847="",O847=""),"telefone, celular ou e-mail; ","")))</f>
      </c>
      <c r="AB847" s="6">
        <f>IF(COUNTA(A847:S847)=0,"",IF(AND(U847="OK",V847="OK",LEFT(W847,4)&lt;&gt;"ERRO",LEFT(X847,4)&lt;&gt;"ERRO",LEFT(Y847,4)&lt;&gt;"ERRO",AA847="OK"),"OK","REVISAR"))</f>
      </c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5"/>
      <c r="K848" s="4"/>
      <c r="L848" s="4"/>
      <c r="M848" s="4"/>
      <c r="N848" s="4"/>
      <c r="O848" s="4"/>
      <c r="P848" s="4"/>
      <c r="Q848" s="4"/>
      <c r="R848" s="4"/>
      <c r="S848" s="4"/>
      <c r="T848" s="6">
        <f>IF(G848="","",SUBSTITUTE(SUBSTITUTE(SUBSTITUTE(SUBSTITUTE(SUBSTITUTE(SUBSTITUTE(SUBSTITUTE(TRIM(G848),".",""),"/",""),"-","")," ",""),"(",""),")",""),"+",""))</f>
      </c>
      <c r="U848" s="6">
        <f>IF(T848="","",IF(LEN(T848)&lt;&gt;14,"ERRO: "&amp;LEN(T848)&amp;" dígitos",IF(NOT(ISNUMBER(VALUE(T848))),"ERRO: não numérico",IF(LEN(SUBSTITUTE(T848,LEFT(T848,1),""))=0,"ERRO: dígitos repetidos",IF(AND(VALUE(MID(T848,13,1))=IF(MOD(SUMPRODUCT(--MID(T848,{1,2,3,4,5,6,7,8,9,10,11,12},1),{5,4,3,2,9,8,7,6,5,4,3,2}),11)&lt;2,0,11-MOD(SUMPRODUCT(--MID(T848,{1,2,3,4,5,6,7,8,9,10,11,12},1),{5,4,3,2,9,8,7,6,5,4,3,2}),11)),VALUE(MID(T848,14,1))=IF(MOD(SUMPRODUCT(--MID(T848,{1,2,3,4,5,6,7,8,9,10,11,12,13},1),{6,5,4,3,2,9,8,7,6,5,4,3,2}),11)&lt;2,0,11-MOD(SUMPRODUCT(--MID(T848,{1,2,3,4,5,6,7,8,9,10,11,12,13},1),{6,5,4,3,2,9,8,7,6,5,4,3,2}),11))),"OK","ERRO: dígito verificador")))))</f>
      </c>
      <c r="V848" s="6">
        <f>IF(T848="","",IF(COUNTIF($T$2:$T$1001,T848)&gt;1,"DUPLICADO","OK"))</f>
      </c>
      <c r="W848" s="6">
        <f>IF(M848="","vazio",IF(OR(AND(LEN(SUBSTITUTE(SUBSTITUTE(SUBSTITUTE(SUBSTITUTE(SUBSTITUTE(SUBSTITUTE(SUBSTITUTE(TRIM(M848),".",""),"/",""),"-","")," ",""),"(",""),")",""),"+",""))=10,LEFT(SUBSTITUTE(SUBSTITUTE(SUBSTITUTE(SUBSTITUTE(SUBSTITUTE(SUBSTITUTE(SUBSTITUTE(TRIM(M848),".",""),"/",""),"-","")," ",""),"(",""),")",""),"+",""),1)&lt;&gt;"0"),AND(LEN(SUBSTITUTE(SUBSTITUTE(SUBSTITUTE(SUBSTITUTE(SUBSTITUTE(SUBSTITUTE(SUBSTITUTE(TRIM(M848),".",""),"/",""),"-","")," ",""),"(",""),")",""),"+",""))=11,LEFT(SUBSTITUTE(SUBSTITUTE(SUBSTITUTE(SUBSTITUTE(SUBSTITUTE(SUBSTITUTE(SUBSTITUTE(TRIM(M848),".",""),"/",""),"-","")," ",""),"(",""),")",""),"+",""),4)="0800")),"OK",IF(AND(LEN(SUBSTITUTE(SUBSTITUTE(SUBSTITUTE(SUBSTITUTE(SUBSTITUTE(SUBSTITUTE(SUBSTITUTE(TRIM(M848),".",""),"/",""),"-","")," ",""),"(",""),")",""),"+",""))=11,MID(SUBSTITUTE(SUBSTITUTE(SUBSTITUTE(SUBSTITUTE(SUBSTITUTE(SUBSTITUTE(SUBSTITUTE(TRIM(M848),".",""),"/",""),"-","")," ",""),"(",""),")",""),"+",""),3,1)="9"),"ERRO: é celular, use a coluna Celular","ERRO: DDD + 8 dígitos ou 0800 + 7")))</f>
      </c>
      <c r="X848" s="6">
        <f>IF(N848="","vazio",IF(AND(LEN(SUBSTITUTE(SUBSTITUTE(SUBSTITUTE(SUBSTITUTE(SUBSTITUTE(SUBSTITUTE(SUBSTITUTE(TRIM(N848),".",""),"/",""),"-","")," ",""),"(",""),")",""),"+",""))=11,MID(SUBSTITUTE(SUBSTITUTE(SUBSTITUTE(SUBSTITUTE(SUBSTITUTE(SUBSTITUTE(SUBSTITUTE(TRIM(N848),".",""),"/",""),"-","")," ",""),"(",""),")",""),"+",""),3,1)="9",LEFT(SUBSTITUTE(SUBSTITUTE(SUBSTITUTE(SUBSTITUTE(SUBSTITUTE(SUBSTITUTE(SUBSTITUTE(TRIM(N848),".",""),"/",""),"-","")," ",""),"(",""),")",""),"+",""),1)&lt;&gt;"0"),"OK",IF(LEN(SUBSTITUTE(SUBSTITUTE(SUBSTITUTE(SUBSTITUTE(SUBSTITUTE(SUBSTITUTE(SUBSTITUTE(TRIM(N848),".",""),"/",""),"-","")," ",""),"(",""),")",""),"+",""))=10,"ERRO: é fixo (ou falta o 9), use a coluna Telefone fixo","ERRO: DDD + 9 + 8 dígitos")))</f>
      </c>
      <c r="Y848" s="6">
        <f>IF(O848="","vazio",IF(AND(ISNUMBER(FIND("@",O848)),ISNUMBER(FIND(".",MID(O848,FIND("@",O848),99))),NOT(ISNUMBER(FIND(" ",TRIM(O848)))),NOT(ISNUMBER(FIND(";",O848))),NOT(ISNUMBER(FIND(",",O848)))),"OK","ERRO: um e-mail válido por linha"))</f>
      </c>
      <c r="Z848" s="6">
        <f>IF(AND(J848="",K848=""),"",IF(AND(J848&lt;&gt;"",K848&lt;&gt;""),"OK","pendente: só um nome (o GR completa ao converter)"))</f>
      </c>
      <c r="AA848" s="6">
        <f>IF(COUNTA(A848:S848)=0,"",IF(AND(A848&lt;&gt;"",B848&lt;&gt;"",C848&lt;&gt;"",D848&lt;&gt;"",E848&lt;&gt;"",F848&lt;&gt;"",G848&lt;&gt;"",H848&lt;&gt;"",OR(J848&lt;&gt;"",K848&lt;&gt;""),OR(M848&lt;&gt;"",N848&lt;&gt;"",O848&lt;&gt;"")),"OK","ERRO: faltam "&amp;IF(A848="","SDR; ","")&amp;IF(B848="","Proprietário; ","")&amp;IF(C848="","Origem; ","")&amp;IF(D848="","Temperatura; ","")&amp;IF(E848="","Segmento; ","")&amp;IF(F848="","Time/Cluster; ","")&amp;IF(G848="","CNPJ; ","")&amp;IF(H848="","Razão Social; ","")&amp;IF(AND(J848="",K848=""),"nome do contato; ","")&amp;IF(AND(M848="",N848="",O848=""),"telefone, celular ou e-mail; ","")))</f>
      </c>
      <c r="AB848" s="6">
        <f>IF(COUNTA(A848:S848)=0,"",IF(AND(U848="OK",V848="OK",LEFT(W848,4)&lt;&gt;"ERRO",LEFT(X848,4)&lt;&gt;"ERRO",LEFT(Y848,4)&lt;&gt;"ERRO",AA848="OK"),"OK","REVISAR"))</f>
      </c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5"/>
      <c r="K849" s="4"/>
      <c r="L849" s="4"/>
      <c r="M849" s="4"/>
      <c r="N849" s="4"/>
      <c r="O849" s="4"/>
      <c r="P849" s="4"/>
      <c r="Q849" s="4"/>
      <c r="R849" s="4"/>
      <c r="S849" s="4"/>
      <c r="T849" s="6">
        <f>IF(G849="","",SUBSTITUTE(SUBSTITUTE(SUBSTITUTE(SUBSTITUTE(SUBSTITUTE(SUBSTITUTE(SUBSTITUTE(TRIM(G849),".",""),"/",""),"-","")," ",""),"(",""),")",""),"+",""))</f>
      </c>
      <c r="U849" s="6">
        <f>IF(T849="","",IF(LEN(T849)&lt;&gt;14,"ERRO: "&amp;LEN(T849)&amp;" dígitos",IF(NOT(ISNUMBER(VALUE(T849))),"ERRO: não numérico",IF(LEN(SUBSTITUTE(T849,LEFT(T849,1),""))=0,"ERRO: dígitos repetidos",IF(AND(VALUE(MID(T849,13,1))=IF(MOD(SUMPRODUCT(--MID(T849,{1,2,3,4,5,6,7,8,9,10,11,12},1),{5,4,3,2,9,8,7,6,5,4,3,2}),11)&lt;2,0,11-MOD(SUMPRODUCT(--MID(T849,{1,2,3,4,5,6,7,8,9,10,11,12},1),{5,4,3,2,9,8,7,6,5,4,3,2}),11)),VALUE(MID(T849,14,1))=IF(MOD(SUMPRODUCT(--MID(T849,{1,2,3,4,5,6,7,8,9,10,11,12,13},1),{6,5,4,3,2,9,8,7,6,5,4,3,2}),11)&lt;2,0,11-MOD(SUMPRODUCT(--MID(T849,{1,2,3,4,5,6,7,8,9,10,11,12,13},1),{6,5,4,3,2,9,8,7,6,5,4,3,2}),11))),"OK","ERRO: dígito verificador")))))</f>
      </c>
      <c r="V849" s="6">
        <f>IF(T849="","",IF(COUNTIF($T$2:$T$1001,T849)&gt;1,"DUPLICADO","OK"))</f>
      </c>
      <c r="W849" s="6">
        <f>IF(M849="","vazio",IF(OR(AND(LEN(SUBSTITUTE(SUBSTITUTE(SUBSTITUTE(SUBSTITUTE(SUBSTITUTE(SUBSTITUTE(SUBSTITUTE(TRIM(M849),".",""),"/",""),"-","")," ",""),"(",""),")",""),"+",""))=10,LEFT(SUBSTITUTE(SUBSTITUTE(SUBSTITUTE(SUBSTITUTE(SUBSTITUTE(SUBSTITUTE(SUBSTITUTE(TRIM(M849),".",""),"/",""),"-","")," ",""),"(",""),")",""),"+",""),1)&lt;&gt;"0"),AND(LEN(SUBSTITUTE(SUBSTITUTE(SUBSTITUTE(SUBSTITUTE(SUBSTITUTE(SUBSTITUTE(SUBSTITUTE(TRIM(M849),".",""),"/",""),"-","")," ",""),"(",""),")",""),"+",""))=11,LEFT(SUBSTITUTE(SUBSTITUTE(SUBSTITUTE(SUBSTITUTE(SUBSTITUTE(SUBSTITUTE(SUBSTITUTE(TRIM(M849),".",""),"/",""),"-","")," ",""),"(",""),")",""),"+",""),4)="0800")),"OK",IF(AND(LEN(SUBSTITUTE(SUBSTITUTE(SUBSTITUTE(SUBSTITUTE(SUBSTITUTE(SUBSTITUTE(SUBSTITUTE(TRIM(M849),".",""),"/",""),"-","")," ",""),"(",""),")",""),"+",""))=11,MID(SUBSTITUTE(SUBSTITUTE(SUBSTITUTE(SUBSTITUTE(SUBSTITUTE(SUBSTITUTE(SUBSTITUTE(TRIM(M849),".",""),"/",""),"-","")," ",""),"(",""),")",""),"+",""),3,1)="9"),"ERRO: é celular, use a coluna Celular","ERRO: DDD + 8 dígitos ou 0800 + 7")))</f>
      </c>
      <c r="X849" s="6">
        <f>IF(N849="","vazio",IF(AND(LEN(SUBSTITUTE(SUBSTITUTE(SUBSTITUTE(SUBSTITUTE(SUBSTITUTE(SUBSTITUTE(SUBSTITUTE(TRIM(N849),".",""),"/",""),"-","")," ",""),"(",""),")",""),"+",""))=11,MID(SUBSTITUTE(SUBSTITUTE(SUBSTITUTE(SUBSTITUTE(SUBSTITUTE(SUBSTITUTE(SUBSTITUTE(TRIM(N849),".",""),"/",""),"-","")," ",""),"(",""),")",""),"+",""),3,1)="9",LEFT(SUBSTITUTE(SUBSTITUTE(SUBSTITUTE(SUBSTITUTE(SUBSTITUTE(SUBSTITUTE(SUBSTITUTE(TRIM(N849),".",""),"/",""),"-","")," ",""),"(",""),")",""),"+",""),1)&lt;&gt;"0"),"OK",IF(LEN(SUBSTITUTE(SUBSTITUTE(SUBSTITUTE(SUBSTITUTE(SUBSTITUTE(SUBSTITUTE(SUBSTITUTE(TRIM(N849),".",""),"/",""),"-","")," ",""),"(",""),")",""),"+",""))=10,"ERRO: é fixo (ou falta o 9), use a coluna Telefone fixo","ERRO: DDD + 9 + 8 dígitos")))</f>
      </c>
      <c r="Y849" s="6">
        <f>IF(O849="","vazio",IF(AND(ISNUMBER(FIND("@",O849)),ISNUMBER(FIND(".",MID(O849,FIND("@",O849),99))),NOT(ISNUMBER(FIND(" ",TRIM(O849)))),NOT(ISNUMBER(FIND(";",O849))),NOT(ISNUMBER(FIND(",",O849)))),"OK","ERRO: um e-mail válido por linha"))</f>
      </c>
      <c r="Z849" s="6">
        <f>IF(AND(J849="",K849=""),"",IF(AND(J849&lt;&gt;"",K849&lt;&gt;""),"OK","pendente: só um nome (o GR completa ao converter)"))</f>
      </c>
      <c r="AA849" s="6">
        <f>IF(COUNTA(A849:S849)=0,"",IF(AND(A849&lt;&gt;"",B849&lt;&gt;"",C849&lt;&gt;"",D849&lt;&gt;"",E849&lt;&gt;"",F849&lt;&gt;"",G849&lt;&gt;"",H849&lt;&gt;"",OR(J849&lt;&gt;"",K849&lt;&gt;""),OR(M849&lt;&gt;"",N849&lt;&gt;"",O849&lt;&gt;"")),"OK","ERRO: faltam "&amp;IF(A849="","SDR; ","")&amp;IF(B849="","Proprietário; ","")&amp;IF(C849="","Origem; ","")&amp;IF(D849="","Temperatura; ","")&amp;IF(E849="","Segmento; ","")&amp;IF(F849="","Time/Cluster; ","")&amp;IF(G849="","CNPJ; ","")&amp;IF(H849="","Razão Social; ","")&amp;IF(AND(J849="",K849=""),"nome do contato; ","")&amp;IF(AND(M849="",N849="",O849=""),"telefone, celular ou e-mail; ","")))</f>
      </c>
      <c r="AB849" s="6">
        <f>IF(COUNTA(A849:S849)=0,"",IF(AND(U849="OK",V849="OK",LEFT(W849,4)&lt;&gt;"ERRO",LEFT(X849,4)&lt;&gt;"ERRO",LEFT(Y849,4)&lt;&gt;"ERRO",AA849="OK"),"OK","REVISAR"))</f>
      </c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5"/>
      <c r="K850" s="4"/>
      <c r="L850" s="4"/>
      <c r="M850" s="4"/>
      <c r="N850" s="4"/>
      <c r="O850" s="4"/>
      <c r="P850" s="4"/>
      <c r="Q850" s="4"/>
      <c r="R850" s="4"/>
      <c r="S850" s="4"/>
      <c r="T850" s="6">
        <f>IF(G850="","",SUBSTITUTE(SUBSTITUTE(SUBSTITUTE(SUBSTITUTE(SUBSTITUTE(SUBSTITUTE(SUBSTITUTE(TRIM(G850),".",""),"/",""),"-","")," ",""),"(",""),")",""),"+",""))</f>
      </c>
      <c r="U850" s="6">
        <f>IF(T850="","",IF(LEN(T850)&lt;&gt;14,"ERRO: "&amp;LEN(T850)&amp;" dígitos",IF(NOT(ISNUMBER(VALUE(T850))),"ERRO: não numérico",IF(LEN(SUBSTITUTE(T850,LEFT(T850,1),""))=0,"ERRO: dígitos repetidos",IF(AND(VALUE(MID(T850,13,1))=IF(MOD(SUMPRODUCT(--MID(T850,{1,2,3,4,5,6,7,8,9,10,11,12},1),{5,4,3,2,9,8,7,6,5,4,3,2}),11)&lt;2,0,11-MOD(SUMPRODUCT(--MID(T850,{1,2,3,4,5,6,7,8,9,10,11,12},1),{5,4,3,2,9,8,7,6,5,4,3,2}),11)),VALUE(MID(T850,14,1))=IF(MOD(SUMPRODUCT(--MID(T850,{1,2,3,4,5,6,7,8,9,10,11,12,13},1),{6,5,4,3,2,9,8,7,6,5,4,3,2}),11)&lt;2,0,11-MOD(SUMPRODUCT(--MID(T850,{1,2,3,4,5,6,7,8,9,10,11,12,13},1),{6,5,4,3,2,9,8,7,6,5,4,3,2}),11))),"OK","ERRO: dígito verificador")))))</f>
      </c>
      <c r="V850" s="6">
        <f>IF(T850="","",IF(COUNTIF($T$2:$T$1001,T850)&gt;1,"DUPLICADO","OK"))</f>
      </c>
      <c r="W850" s="6">
        <f>IF(M850="","vazio",IF(OR(AND(LEN(SUBSTITUTE(SUBSTITUTE(SUBSTITUTE(SUBSTITUTE(SUBSTITUTE(SUBSTITUTE(SUBSTITUTE(TRIM(M850),".",""),"/",""),"-","")," ",""),"(",""),")",""),"+",""))=10,LEFT(SUBSTITUTE(SUBSTITUTE(SUBSTITUTE(SUBSTITUTE(SUBSTITUTE(SUBSTITUTE(SUBSTITUTE(TRIM(M850),".",""),"/",""),"-","")," ",""),"(",""),")",""),"+",""),1)&lt;&gt;"0"),AND(LEN(SUBSTITUTE(SUBSTITUTE(SUBSTITUTE(SUBSTITUTE(SUBSTITUTE(SUBSTITUTE(SUBSTITUTE(TRIM(M850),".",""),"/",""),"-","")," ",""),"(",""),")",""),"+",""))=11,LEFT(SUBSTITUTE(SUBSTITUTE(SUBSTITUTE(SUBSTITUTE(SUBSTITUTE(SUBSTITUTE(SUBSTITUTE(TRIM(M850),".",""),"/",""),"-","")," ",""),"(",""),")",""),"+",""),4)="0800")),"OK",IF(AND(LEN(SUBSTITUTE(SUBSTITUTE(SUBSTITUTE(SUBSTITUTE(SUBSTITUTE(SUBSTITUTE(SUBSTITUTE(TRIM(M850),".",""),"/",""),"-","")," ",""),"(",""),")",""),"+",""))=11,MID(SUBSTITUTE(SUBSTITUTE(SUBSTITUTE(SUBSTITUTE(SUBSTITUTE(SUBSTITUTE(SUBSTITUTE(TRIM(M850),".",""),"/",""),"-","")," ",""),"(",""),")",""),"+",""),3,1)="9"),"ERRO: é celular, use a coluna Celular","ERRO: DDD + 8 dígitos ou 0800 + 7")))</f>
      </c>
      <c r="X850" s="6">
        <f>IF(N850="","vazio",IF(AND(LEN(SUBSTITUTE(SUBSTITUTE(SUBSTITUTE(SUBSTITUTE(SUBSTITUTE(SUBSTITUTE(SUBSTITUTE(TRIM(N850),".",""),"/",""),"-","")," ",""),"(",""),")",""),"+",""))=11,MID(SUBSTITUTE(SUBSTITUTE(SUBSTITUTE(SUBSTITUTE(SUBSTITUTE(SUBSTITUTE(SUBSTITUTE(TRIM(N850),".",""),"/",""),"-","")," ",""),"(",""),")",""),"+",""),3,1)="9",LEFT(SUBSTITUTE(SUBSTITUTE(SUBSTITUTE(SUBSTITUTE(SUBSTITUTE(SUBSTITUTE(SUBSTITUTE(TRIM(N850),".",""),"/",""),"-","")," ",""),"(",""),")",""),"+",""),1)&lt;&gt;"0"),"OK",IF(LEN(SUBSTITUTE(SUBSTITUTE(SUBSTITUTE(SUBSTITUTE(SUBSTITUTE(SUBSTITUTE(SUBSTITUTE(TRIM(N850),".",""),"/",""),"-","")," ",""),"(",""),")",""),"+",""))=10,"ERRO: é fixo (ou falta o 9), use a coluna Telefone fixo","ERRO: DDD + 9 + 8 dígitos")))</f>
      </c>
      <c r="Y850" s="6">
        <f>IF(O850="","vazio",IF(AND(ISNUMBER(FIND("@",O850)),ISNUMBER(FIND(".",MID(O850,FIND("@",O850),99))),NOT(ISNUMBER(FIND(" ",TRIM(O850)))),NOT(ISNUMBER(FIND(";",O850))),NOT(ISNUMBER(FIND(",",O850)))),"OK","ERRO: um e-mail válido por linha"))</f>
      </c>
      <c r="Z850" s="6">
        <f>IF(AND(J850="",K850=""),"",IF(AND(J850&lt;&gt;"",K850&lt;&gt;""),"OK","pendente: só um nome (o GR completa ao converter)"))</f>
      </c>
      <c r="AA850" s="6">
        <f>IF(COUNTA(A850:S850)=0,"",IF(AND(A850&lt;&gt;"",B850&lt;&gt;"",C850&lt;&gt;"",D850&lt;&gt;"",E850&lt;&gt;"",F850&lt;&gt;"",G850&lt;&gt;"",H850&lt;&gt;"",OR(J850&lt;&gt;"",K850&lt;&gt;""),OR(M850&lt;&gt;"",N850&lt;&gt;"",O850&lt;&gt;"")),"OK","ERRO: faltam "&amp;IF(A850="","SDR; ","")&amp;IF(B850="","Proprietário; ","")&amp;IF(C850="","Origem; ","")&amp;IF(D850="","Temperatura; ","")&amp;IF(E850="","Segmento; ","")&amp;IF(F850="","Time/Cluster; ","")&amp;IF(G850="","CNPJ; ","")&amp;IF(H850="","Razão Social; ","")&amp;IF(AND(J850="",K850=""),"nome do contato; ","")&amp;IF(AND(M850="",N850="",O850=""),"telefone, celular ou e-mail; ","")))</f>
      </c>
      <c r="AB850" s="6">
        <f>IF(COUNTA(A850:S850)=0,"",IF(AND(U850="OK",V850="OK",LEFT(W850,4)&lt;&gt;"ERRO",LEFT(X850,4)&lt;&gt;"ERRO",LEFT(Y850,4)&lt;&gt;"ERRO",AA850="OK"),"OK","REVISAR"))</f>
      </c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5"/>
      <c r="K851" s="4"/>
      <c r="L851" s="4"/>
      <c r="M851" s="4"/>
      <c r="N851" s="4"/>
      <c r="O851" s="4"/>
      <c r="P851" s="4"/>
      <c r="Q851" s="4"/>
      <c r="R851" s="4"/>
      <c r="S851" s="4"/>
      <c r="T851" s="6">
        <f>IF(G851="","",SUBSTITUTE(SUBSTITUTE(SUBSTITUTE(SUBSTITUTE(SUBSTITUTE(SUBSTITUTE(SUBSTITUTE(TRIM(G851),".",""),"/",""),"-","")," ",""),"(",""),")",""),"+",""))</f>
      </c>
      <c r="U851" s="6">
        <f>IF(T851="","",IF(LEN(T851)&lt;&gt;14,"ERRO: "&amp;LEN(T851)&amp;" dígitos",IF(NOT(ISNUMBER(VALUE(T851))),"ERRO: não numérico",IF(LEN(SUBSTITUTE(T851,LEFT(T851,1),""))=0,"ERRO: dígitos repetidos",IF(AND(VALUE(MID(T851,13,1))=IF(MOD(SUMPRODUCT(--MID(T851,{1,2,3,4,5,6,7,8,9,10,11,12},1),{5,4,3,2,9,8,7,6,5,4,3,2}),11)&lt;2,0,11-MOD(SUMPRODUCT(--MID(T851,{1,2,3,4,5,6,7,8,9,10,11,12},1),{5,4,3,2,9,8,7,6,5,4,3,2}),11)),VALUE(MID(T851,14,1))=IF(MOD(SUMPRODUCT(--MID(T851,{1,2,3,4,5,6,7,8,9,10,11,12,13},1),{6,5,4,3,2,9,8,7,6,5,4,3,2}),11)&lt;2,0,11-MOD(SUMPRODUCT(--MID(T851,{1,2,3,4,5,6,7,8,9,10,11,12,13},1),{6,5,4,3,2,9,8,7,6,5,4,3,2}),11))),"OK","ERRO: dígito verificador")))))</f>
      </c>
      <c r="V851" s="6">
        <f>IF(T851="","",IF(COUNTIF($T$2:$T$1001,T851)&gt;1,"DUPLICADO","OK"))</f>
      </c>
      <c r="W851" s="6">
        <f>IF(M851="","vazio",IF(OR(AND(LEN(SUBSTITUTE(SUBSTITUTE(SUBSTITUTE(SUBSTITUTE(SUBSTITUTE(SUBSTITUTE(SUBSTITUTE(TRIM(M851),".",""),"/",""),"-","")," ",""),"(",""),")",""),"+",""))=10,LEFT(SUBSTITUTE(SUBSTITUTE(SUBSTITUTE(SUBSTITUTE(SUBSTITUTE(SUBSTITUTE(SUBSTITUTE(TRIM(M851),".",""),"/",""),"-","")," ",""),"(",""),")",""),"+",""),1)&lt;&gt;"0"),AND(LEN(SUBSTITUTE(SUBSTITUTE(SUBSTITUTE(SUBSTITUTE(SUBSTITUTE(SUBSTITUTE(SUBSTITUTE(TRIM(M851),".",""),"/",""),"-","")," ",""),"(",""),")",""),"+",""))=11,LEFT(SUBSTITUTE(SUBSTITUTE(SUBSTITUTE(SUBSTITUTE(SUBSTITUTE(SUBSTITUTE(SUBSTITUTE(TRIM(M851),".",""),"/",""),"-","")," ",""),"(",""),")",""),"+",""),4)="0800")),"OK",IF(AND(LEN(SUBSTITUTE(SUBSTITUTE(SUBSTITUTE(SUBSTITUTE(SUBSTITUTE(SUBSTITUTE(SUBSTITUTE(TRIM(M851),".",""),"/",""),"-","")," ",""),"(",""),")",""),"+",""))=11,MID(SUBSTITUTE(SUBSTITUTE(SUBSTITUTE(SUBSTITUTE(SUBSTITUTE(SUBSTITUTE(SUBSTITUTE(TRIM(M851),".",""),"/",""),"-","")," ",""),"(",""),")",""),"+",""),3,1)="9"),"ERRO: é celular, use a coluna Celular","ERRO: DDD + 8 dígitos ou 0800 + 7")))</f>
      </c>
      <c r="X851" s="6">
        <f>IF(N851="","vazio",IF(AND(LEN(SUBSTITUTE(SUBSTITUTE(SUBSTITUTE(SUBSTITUTE(SUBSTITUTE(SUBSTITUTE(SUBSTITUTE(TRIM(N851),".",""),"/",""),"-","")," ",""),"(",""),")",""),"+",""))=11,MID(SUBSTITUTE(SUBSTITUTE(SUBSTITUTE(SUBSTITUTE(SUBSTITUTE(SUBSTITUTE(SUBSTITUTE(TRIM(N851),".",""),"/",""),"-","")," ",""),"(",""),")",""),"+",""),3,1)="9",LEFT(SUBSTITUTE(SUBSTITUTE(SUBSTITUTE(SUBSTITUTE(SUBSTITUTE(SUBSTITUTE(SUBSTITUTE(TRIM(N851),".",""),"/",""),"-","")," ",""),"(",""),")",""),"+",""),1)&lt;&gt;"0"),"OK",IF(LEN(SUBSTITUTE(SUBSTITUTE(SUBSTITUTE(SUBSTITUTE(SUBSTITUTE(SUBSTITUTE(SUBSTITUTE(TRIM(N851),".",""),"/",""),"-","")," ",""),"(",""),")",""),"+",""))=10,"ERRO: é fixo (ou falta o 9), use a coluna Telefone fixo","ERRO: DDD + 9 + 8 dígitos")))</f>
      </c>
      <c r="Y851" s="6">
        <f>IF(O851="","vazio",IF(AND(ISNUMBER(FIND("@",O851)),ISNUMBER(FIND(".",MID(O851,FIND("@",O851),99))),NOT(ISNUMBER(FIND(" ",TRIM(O851)))),NOT(ISNUMBER(FIND(";",O851))),NOT(ISNUMBER(FIND(",",O851)))),"OK","ERRO: um e-mail válido por linha"))</f>
      </c>
      <c r="Z851" s="6">
        <f>IF(AND(J851="",K851=""),"",IF(AND(J851&lt;&gt;"",K851&lt;&gt;""),"OK","pendente: só um nome (o GR completa ao converter)"))</f>
      </c>
      <c r="AA851" s="6">
        <f>IF(COUNTA(A851:S851)=0,"",IF(AND(A851&lt;&gt;"",B851&lt;&gt;"",C851&lt;&gt;"",D851&lt;&gt;"",E851&lt;&gt;"",F851&lt;&gt;"",G851&lt;&gt;"",H851&lt;&gt;"",OR(J851&lt;&gt;"",K851&lt;&gt;""),OR(M851&lt;&gt;"",N851&lt;&gt;"",O851&lt;&gt;"")),"OK","ERRO: faltam "&amp;IF(A851="","SDR; ","")&amp;IF(B851="","Proprietário; ","")&amp;IF(C851="","Origem; ","")&amp;IF(D851="","Temperatura; ","")&amp;IF(E851="","Segmento; ","")&amp;IF(F851="","Time/Cluster; ","")&amp;IF(G851="","CNPJ; ","")&amp;IF(H851="","Razão Social; ","")&amp;IF(AND(J851="",K851=""),"nome do contato; ","")&amp;IF(AND(M851="",N851="",O851=""),"telefone, celular ou e-mail; ","")))</f>
      </c>
      <c r="AB851" s="6">
        <f>IF(COUNTA(A851:S851)=0,"",IF(AND(U851="OK",V851="OK",LEFT(W851,4)&lt;&gt;"ERRO",LEFT(X851,4)&lt;&gt;"ERRO",LEFT(Y851,4)&lt;&gt;"ERRO",AA851="OK"),"OK","REVISAR"))</f>
      </c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5"/>
      <c r="K852" s="4"/>
      <c r="L852" s="4"/>
      <c r="M852" s="4"/>
      <c r="N852" s="4"/>
      <c r="O852" s="4"/>
      <c r="P852" s="4"/>
      <c r="Q852" s="4"/>
      <c r="R852" s="4"/>
      <c r="S852" s="4"/>
      <c r="T852" s="6">
        <f>IF(G852="","",SUBSTITUTE(SUBSTITUTE(SUBSTITUTE(SUBSTITUTE(SUBSTITUTE(SUBSTITUTE(SUBSTITUTE(TRIM(G852),".",""),"/",""),"-","")," ",""),"(",""),")",""),"+",""))</f>
      </c>
      <c r="U852" s="6">
        <f>IF(T852="","",IF(LEN(T852)&lt;&gt;14,"ERRO: "&amp;LEN(T852)&amp;" dígitos",IF(NOT(ISNUMBER(VALUE(T852))),"ERRO: não numérico",IF(LEN(SUBSTITUTE(T852,LEFT(T852,1),""))=0,"ERRO: dígitos repetidos",IF(AND(VALUE(MID(T852,13,1))=IF(MOD(SUMPRODUCT(--MID(T852,{1,2,3,4,5,6,7,8,9,10,11,12},1),{5,4,3,2,9,8,7,6,5,4,3,2}),11)&lt;2,0,11-MOD(SUMPRODUCT(--MID(T852,{1,2,3,4,5,6,7,8,9,10,11,12},1),{5,4,3,2,9,8,7,6,5,4,3,2}),11)),VALUE(MID(T852,14,1))=IF(MOD(SUMPRODUCT(--MID(T852,{1,2,3,4,5,6,7,8,9,10,11,12,13},1),{6,5,4,3,2,9,8,7,6,5,4,3,2}),11)&lt;2,0,11-MOD(SUMPRODUCT(--MID(T852,{1,2,3,4,5,6,7,8,9,10,11,12,13},1),{6,5,4,3,2,9,8,7,6,5,4,3,2}),11))),"OK","ERRO: dígito verificador")))))</f>
      </c>
      <c r="V852" s="6">
        <f>IF(T852="","",IF(COUNTIF($T$2:$T$1001,T852)&gt;1,"DUPLICADO","OK"))</f>
      </c>
      <c r="W852" s="6">
        <f>IF(M852="","vazio",IF(OR(AND(LEN(SUBSTITUTE(SUBSTITUTE(SUBSTITUTE(SUBSTITUTE(SUBSTITUTE(SUBSTITUTE(SUBSTITUTE(TRIM(M852),".",""),"/",""),"-","")," ",""),"(",""),")",""),"+",""))=10,LEFT(SUBSTITUTE(SUBSTITUTE(SUBSTITUTE(SUBSTITUTE(SUBSTITUTE(SUBSTITUTE(SUBSTITUTE(TRIM(M852),".",""),"/",""),"-","")," ",""),"(",""),")",""),"+",""),1)&lt;&gt;"0"),AND(LEN(SUBSTITUTE(SUBSTITUTE(SUBSTITUTE(SUBSTITUTE(SUBSTITUTE(SUBSTITUTE(SUBSTITUTE(TRIM(M852),".",""),"/",""),"-","")," ",""),"(",""),")",""),"+",""))=11,LEFT(SUBSTITUTE(SUBSTITUTE(SUBSTITUTE(SUBSTITUTE(SUBSTITUTE(SUBSTITUTE(SUBSTITUTE(TRIM(M852),".",""),"/",""),"-","")," ",""),"(",""),")",""),"+",""),4)="0800")),"OK",IF(AND(LEN(SUBSTITUTE(SUBSTITUTE(SUBSTITUTE(SUBSTITUTE(SUBSTITUTE(SUBSTITUTE(SUBSTITUTE(TRIM(M852),".",""),"/",""),"-","")," ",""),"(",""),")",""),"+",""))=11,MID(SUBSTITUTE(SUBSTITUTE(SUBSTITUTE(SUBSTITUTE(SUBSTITUTE(SUBSTITUTE(SUBSTITUTE(TRIM(M852),".",""),"/",""),"-","")," ",""),"(",""),")",""),"+",""),3,1)="9"),"ERRO: é celular, use a coluna Celular","ERRO: DDD + 8 dígitos ou 0800 + 7")))</f>
      </c>
      <c r="X852" s="6">
        <f>IF(N852="","vazio",IF(AND(LEN(SUBSTITUTE(SUBSTITUTE(SUBSTITUTE(SUBSTITUTE(SUBSTITUTE(SUBSTITUTE(SUBSTITUTE(TRIM(N852),".",""),"/",""),"-","")," ",""),"(",""),")",""),"+",""))=11,MID(SUBSTITUTE(SUBSTITUTE(SUBSTITUTE(SUBSTITUTE(SUBSTITUTE(SUBSTITUTE(SUBSTITUTE(TRIM(N852),".",""),"/",""),"-","")," ",""),"(",""),")",""),"+",""),3,1)="9",LEFT(SUBSTITUTE(SUBSTITUTE(SUBSTITUTE(SUBSTITUTE(SUBSTITUTE(SUBSTITUTE(SUBSTITUTE(TRIM(N852),".",""),"/",""),"-","")," ",""),"(",""),")",""),"+",""),1)&lt;&gt;"0"),"OK",IF(LEN(SUBSTITUTE(SUBSTITUTE(SUBSTITUTE(SUBSTITUTE(SUBSTITUTE(SUBSTITUTE(SUBSTITUTE(TRIM(N852),".",""),"/",""),"-","")," ",""),"(",""),")",""),"+",""))=10,"ERRO: é fixo (ou falta o 9), use a coluna Telefone fixo","ERRO: DDD + 9 + 8 dígitos")))</f>
      </c>
      <c r="Y852" s="6">
        <f>IF(O852="","vazio",IF(AND(ISNUMBER(FIND("@",O852)),ISNUMBER(FIND(".",MID(O852,FIND("@",O852),99))),NOT(ISNUMBER(FIND(" ",TRIM(O852)))),NOT(ISNUMBER(FIND(";",O852))),NOT(ISNUMBER(FIND(",",O852)))),"OK","ERRO: um e-mail válido por linha"))</f>
      </c>
      <c r="Z852" s="6">
        <f>IF(AND(J852="",K852=""),"",IF(AND(J852&lt;&gt;"",K852&lt;&gt;""),"OK","pendente: só um nome (o GR completa ao converter)"))</f>
      </c>
      <c r="AA852" s="6">
        <f>IF(COUNTA(A852:S852)=0,"",IF(AND(A852&lt;&gt;"",B852&lt;&gt;"",C852&lt;&gt;"",D852&lt;&gt;"",E852&lt;&gt;"",F852&lt;&gt;"",G852&lt;&gt;"",H852&lt;&gt;"",OR(J852&lt;&gt;"",K852&lt;&gt;""),OR(M852&lt;&gt;"",N852&lt;&gt;"",O852&lt;&gt;"")),"OK","ERRO: faltam "&amp;IF(A852="","SDR; ","")&amp;IF(B852="","Proprietário; ","")&amp;IF(C852="","Origem; ","")&amp;IF(D852="","Temperatura; ","")&amp;IF(E852="","Segmento; ","")&amp;IF(F852="","Time/Cluster; ","")&amp;IF(G852="","CNPJ; ","")&amp;IF(H852="","Razão Social; ","")&amp;IF(AND(J852="",K852=""),"nome do contato; ","")&amp;IF(AND(M852="",N852="",O852=""),"telefone, celular ou e-mail; ","")))</f>
      </c>
      <c r="AB852" s="6">
        <f>IF(COUNTA(A852:S852)=0,"",IF(AND(U852="OK",V852="OK",LEFT(W852,4)&lt;&gt;"ERRO",LEFT(X852,4)&lt;&gt;"ERRO",LEFT(Y852,4)&lt;&gt;"ERRO",AA852="OK"),"OK","REVISAR"))</f>
      </c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5"/>
      <c r="K853" s="4"/>
      <c r="L853" s="4"/>
      <c r="M853" s="4"/>
      <c r="N853" s="4"/>
      <c r="O853" s="4"/>
      <c r="P853" s="4"/>
      <c r="Q853" s="4"/>
      <c r="R853" s="4"/>
      <c r="S853" s="4"/>
      <c r="T853" s="6">
        <f>IF(G853="","",SUBSTITUTE(SUBSTITUTE(SUBSTITUTE(SUBSTITUTE(SUBSTITUTE(SUBSTITUTE(SUBSTITUTE(TRIM(G853),".",""),"/",""),"-","")," ",""),"(",""),")",""),"+",""))</f>
      </c>
      <c r="U853" s="6">
        <f>IF(T853="","",IF(LEN(T853)&lt;&gt;14,"ERRO: "&amp;LEN(T853)&amp;" dígitos",IF(NOT(ISNUMBER(VALUE(T853))),"ERRO: não numérico",IF(LEN(SUBSTITUTE(T853,LEFT(T853,1),""))=0,"ERRO: dígitos repetidos",IF(AND(VALUE(MID(T853,13,1))=IF(MOD(SUMPRODUCT(--MID(T853,{1,2,3,4,5,6,7,8,9,10,11,12},1),{5,4,3,2,9,8,7,6,5,4,3,2}),11)&lt;2,0,11-MOD(SUMPRODUCT(--MID(T853,{1,2,3,4,5,6,7,8,9,10,11,12},1),{5,4,3,2,9,8,7,6,5,4,3,2}),11)),VALUE(MID(T853,14,1))=IF(MOD(SUMPRODUCT(--MID(T853,{1,2,3,4,5,6,7,8,9,10,11,12,13},1),{6,5,4,3,2,9,8,7,6,5,4,3,2}),11)&lt;2,0,11-MOD(SUMPRODUCT(--MID(T853,{1,2,3,4,5,6,7,8,9,10,11,12,13},1),{6,5,4,3,2,9,8,7,6,5,4,3,2}),11))),"OK","ERRO: dígito verificador")))))</f>
      </c>
      <c r="V853" s="6">
        <f>IF(T853="","",IF(COUNTIF($T$2:$T$1001,T853)&gt;1,"DUPLICADO","OK"))</f>
      </c>
      <c r="W853" s="6">
        <f>IF(M853="","vazio",IF(OR(AND(LEN(SUBSTITUTE(SUBSTITUTE(SUBSTITUTE(SUBSTITUTE(SUBSTITUTE(SUBSTITUTE(SUBSTITUTE(TRIM(M853),".",""),"/",""),"-","")," ",""),"(",""),")",""),"+",""))=10,LEFT(SUBSTITUTE(SUBSTITUTE(SUBSTITUTE(SUBSTITUTE(SUBSTITUTE(SUBSTITUTE(SUBSTITUTE(TRIM(M853),".",""),"/",""),"-","")," ",""),"(",""),")",""),"+",""),1)&lt;&gt;"0"),AND(LEN(SUBSTITUTE(SUBSTITUTE(SUBSTITUTE(SUBSTITUTE(SUBSTITUTE(SUBSTITUTE(SUBSTITUTE(TRIM(M853),".",""),"/",""),"-","")," ",""),"(",""),")",""),"+",""))=11,LEFT(SUBSTITUTE(SUBSTITUTE(SUBSTITUTE(SUBSTITUTE(SUBSTITUTE(SUBSTITUTE(SUBSTITUTE(TRIM(M853),".",""),"/",""),"-","")," ",""),"(",""),")",""),"+",""),4)="0800")),"OK",IF(AND(LEN(SUBSTITUTE(SUBSTITUTE(SUBSTITUTE(SUBSTITUTE(SUBSTITUTE(SUBSTITUTE(SUBSTITUTE(TRIM(M853),".",""),"/",""),"-","")," ",""),"(",""),")",""),"+",""))=11,MID(SUBSTITUTE(SUBSTITUTE(SUBSTITUTE(SUBSTITUTE(SUBSTITUTE(SUBSTITUTE(SUBSTITUTE(TRIM(M853),".",""),"/",""),"-","")," ",""),"(",""),")",""),"+",""),3,1)="9"),"ERRO: é celular, use a coluna Celular","ERRO: DDD + 8 dígitos ou 0800 + 7")))</f>
      </c>
      <c r="X853" s="6">
        <f>IF(N853="","vazio",IF(AND(LEN(SUBSTITUTE(SUBSTITUTE(SUBSTITUTE(SUBSTITUTE(SUBSTITUTE(SUBSTITUTE(SUBSTITUTE(TRIM(N853),".",""),"/",""),"-","")," ",""),"(",""),")",""),"+",""))=11,MID(SUBSTITUTE(SUBSTITUTE(SUBSTITUTE(SUBSTITUTE(SUBSTITUTE(SUBSTITUTE(SUBSTITUTE(TRIM(N853),".",""),"/",""),"-","")," ",""),"(",""),")",""),"+",""),3,1)="9",LEFT(SUBSTITUTE(SUBSTITUTE(SUBSTITUTE(SUBSTITUTE(SUBSTITUTE(SUBSTITUTE(SUBSTITUTE(TRIM(N853),".",""),"/",""),"-","")," ",""),"(",""),")",""),"+",""),1)&lt;&gt;"0"),"OK",IF(LEN(SUBSTITUTE(SUBSTITUTE(SUBSTITUTE(SUBSTITUTE(SUBSTITUTE(SUBSTITUTE(SUBSTITUTE(TRIM(N853),".",""),"/",""),"-","")," ",""),"(",""),")",""),"+",""))=10,"ERRO: é fixo (ou falta o 9), use a coluna Telefone fixo","ERRO: DDD + 9 + 8 dígitos")))</f>
      </c>
      <c r="Y853" s="6">
        <f>IF(O853="","vazio",IF(AND(ISNUMBER(FIND("@",O853)),ISNUMBER(FIND(".",MID(O853,FIND("@",O853),99))),NOT(ISNUMBER(FIND(" ",TRIM(O853)))),NOT(ISNUMBER(FIND(";",O853))),NOT(ISNUMBER(FIND(",",O853)))),"OK","ERRO: um e-mail válido por linha"))</f>
      </c>
      <c r="Z853" s="6">
        <f>IF(AND(J853="",K853=""),"",IF(AND(J853&lt;&gt;"",K853&lt;&gt;""),"OK","pendente: só um nome (o GR completa ao converter)"))</f>
      </c>
      <c r="AA853" s="6">
        <f>IF(COUNTA(A853:S853)=0,"",IF(AND(A853&lt;&gt;"",B853&lt;&gt;"",C853&lt;&gt;"",D853&lt;&gt;"",E853&lt;&gt;"",F853&lt;&gt;"",G853&lt;&gt;"",H853&lt;&gt;"",OR(J853&lt;&gt;"",K853&lt;&gt;""),OR(M853&lt;&gt;"",N853&lt;&gt;"",O853&lt;&gt;"")),"OK","ERRO: faltam "&amp;IF(A853="","SDR; ","")&amp;IF(B853="","Proprietário; ","")&amp;IF(C853="","Origem; ","")&amp;IF(D853="","Temperatura; ","")&amp;IF(E853="","Segmento; ","")&amp;IF(F853="","Time/Cluster; ","")&amp;IF(G853="","CNPJ; ","")&amp;IF(H853="","Razão Social; ","")&amp;IF(AND(J853="",K853=""),"nome do contato; ","")&amp;IF(AND(M853="",N853="",O853=""),"telefone, celular ou e-mail; ","")))</f>
      </c>
      <c r="AB853" s="6">
        <f>IF(COUNTA(A853:S853)=0,"",IF(AND(U853="OK",V853="OK",LEFT(W853,4)&lt;&gt;"ERRO",LEFT(X853,4)&lt;&gt;"ERRO",LEFT(Y853,4)&lt;&gt;"ERRO",AA853="OK"),"OK","REVISAR"))</f>
      </c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5"/>
      <c r="K854" s="4"/>
      <c r="L854" s="4"/>
      <c r="M854" s="4"/>
      <c r="N854" s="4"/>
      <c r="O854" s="4"/>
      <c r="P854" s="4"/>
      <c r="Q854" s="4"/>
      <c r="R854" s="4"/>
      <c r="S854" s="4"/>
      <c r="T854" s="6">
        <f>IF(G854="","",SUBSTITUTE(SUBSTITUTE(SUBSTITUTE(SUBSTITUTE(SUBSTITUTE(SUBSTITUTE(SUBSTITUTE(TRIM(G854),".",""),"/",""),"-","")," ",""),"(",""),")",""),"+",""))</f>
      </c>
      <c r="U854" s="6">
        <f>IF(T854="","",IF(LEN(T854)&lt;&gt;14,"ERRO: "&amp;LEN(T854)&amp;" dígitos",IF(NOT(ISNUMBER(VALUE(T854))),"ERRO: não numérico",IF(LEN(SUBSTITUTE(T854,LEFT(T854,1),""))=0,"ERRO: dígitos repetidos",IF(AND(VALUE(MID(T854,13,1))=IF(MOD(SUMPRODUCT(--MID(T854,{1,2,3,4,5,6,7,8,9,10,11,12},1),{5,4,3,2,9,8,7,6,5,4,3,2}),11)&lt;2,0,11-MOD(SUMPRODUCT(--MID(T854,{1,2,3,4,5,6,7,8,9,10,11,12},1),{5,4,3,2,9,8,7,6,5,4,3,2}),11)),VALUE(MID(T854,14,1))=IF(MOD(SUMPRODUCT(--MID(T854,{1,2,3,4,5,6,7,8,9,10,11,12,13},1),{6,5,4,3,2,9,8,7,6,5,4,3,2}),11)&lt;2,0,11-MOD(SUMPRODUCT(--MID(T854,{1,2,3,4,5,6,7,8,9,10,11,12,13},1),{6,5,4,3,2,9,8,7,6,5,4,3,2}),11))),"OK","ERRO: dígito verificador")))))</f>
      </c>
      <c r="V854" s="6">
        <f>IF(T854="","",IF(COUNTIF($T$2:$T$1001,T854)&gt;1,"DUPLICADO","OK"))</f>
      </c>
      <c r="W854" s="6">
        <f>IF(M854="","vazio",IF(OR(AND(LEN(SUBSTITUTE(SUBSTITUTE(SUBSTITUTE(SUBSTITUTE(SUBSTITUTE(SUBSTITUTE(SUBSTITUTE(TRIM(M854),".",""),"/",""),"-","")," ",""),"(",""),")",""),"+",""))=10,LEFT(SUBSTITUTE(SUBSTITUTE(SUBSTITUTE(SUBSTITUTE(SUBSTITUTE(SUBSTITUTE(SUBSTITUTE(TRIM(M854),".",""),"/",""),"-","")," ",""),"(",""),")",""),"+",""),1)&lt;&gt;"0"),AND(LEN(SUBSTITUTE(SUBSTITUTE(SUBSTITUTE(SUBSTITUTE(SUBSTITUTE(SUBSTITUTE(SUBSTITUTE(TRIM(M854),".",""),"/",""),"-","")," ",""),"(",""),")",""),"+",""))=11,LEFT(SUBSTITUTE(SUBSTITUTE(SUBSTITUTE(SUBSTITUTE(SUBSTITUTE(SUBSTITUTE(SUBSTITUTE(TRIM(M854),".",""),"/",""),"-","")," ",""),"(",""),")",""),"+",""),4)="0800")),"OK",IF(AND(LEN(SUBSTITUTE(SUBSTITUTE(SUBSTITUTE(SUBSTITUTE(SUBSTITUTE(SUBSTITUTE(SUBSTITUTE(TRIM(M854),".",""),"/",""),"-","")," ",""),"(",""),")",""),"+",""))=11,MID(SUBSTITUTE(SUBSTITUTE(SUBSTITUTE(SUBSTITUTE(SUBSTITUTE(SUBSTITUTE(SUBSTITUTE(TRIM(M854),".",""),"/",""),"-","")," ",""),"(",""),")",""),"+",""),3,1)="9"),"ERRO: é celular, use a coluna Celular","ERRO: DDD + 8 dígitos ou 0800 + 7")))</f>
      </c>
      <c r="X854" s="6">
        <f>IF(N854="","vazio",IF(AND(LEN(SUBSTITUTE(SUBSTITUTE(SUBSTITUTE(SUBSTITUTE(SUBSTITUTE(SUBSTITUTE(SUBSTITUTE(TRIM(N854),".",""),"/",""),"-","")," ",""),"(",""),")",""),"+",""))=11,MID(SUBSTITUTE(SUBSTITUTE(SUBSTITUTE(SUBSTITUTE(SUBSTITUTE(SUBSTITUTE(SUBSTITUTE(TRIM(N854),".",""),"/",""),"-","")," ",""),"(",""),")",""),"+",""),3,1)="9",LEFT(SUBSTITUTE(SUBSTITUTE(SUBSTITUTE(SUBSTITUTE(SUBSTITUTE(SUBSTITUTE(SUBSTITUTE(TRIM(N854),".",""),"/",""),"-","")," ",""),"(",""),")",""),"+",""),1)&lt;&gt;"0"),"OK",IF(LEN(SUBSTITUTE(SUBSTITUTE(SUBSTITUTE(SUBSTITUTE(SUBSTITUTE(SUBSTITUTE(SUBSTITUTE(TRIM(N854),".",""),"/",""),"-","")," ",""),"(",""),")",""),"+",""))=10,"ERRO: é fixo (ou falta o 9), use a coluna Telefone fixo","ERRO: DDD + 9 + 8 dígitos")))</f>
      </c>
      <c r="Y854" s="6">
        <f>IF(O854="","vazio",IF(AND(ISNUMBER(FIND("@",O854)),ISNUMBER(FIND(".",MID(O854,FIND("@",O854),99))),NOT(ISNUMBER(FIND(" ",TRIM(O854)))),NOT(ISNUMBER(FIND(";",O854))),NOT(ISNUMBER(FIND(",",O854)))),"OK","ERRO: um e-mail válido por linha"))</f>
      </c>
      <c r="Z854" s="6">
        <f>IF(AND(J854="",K854=""),"",IF(AND(J854&lt;&gt;"",K854&lt;&gt;""),"OK","pendente: só um nome (o GR completa ao converter)"))</f>
      </c>
      <c r="AA854" s="6">
        <f>IF(COUNTA(A854:S854)=0,"",IF(AND(A854&lt;&gt;"",B854&lt;&gt;"",C854&lt;&gt;"",D854&lt;&gt;"",E854&lt;&gt;"",F854&lt;&gt;"",G854&lt;&gt;"",H854&lt;&gt;"",OR(J854&lt;&gt;"",K854&lt;&gt;""),OR(M854&lt;&gt;"",N854&lt;&gt;"",O854&lt;&gt;"")),"OK","ERRO: faltam "&amp;IF(A854="","SDR; ","")&amp;IF(B854="","Proprietário; ","")&amp;IF(C854="","Origem; ","")&amp;IF(D854="","Temperatura; ","")&amp;IF(E854="","Segmento; ","")&amp;IF(F854="","Time/Cluster; ","")&amp;IF(G854="","CNPJ; ","")&amp;IF(H854="","Razão Social; ","")&amp;IF(AND(J854="",K854=""),"nome do contato; ","")&amp;IF(AND(M854="",N854="",O854=""),"telefone, celular ou e-mail; ","")))</f>
      </c>
      <c r="AB854" s="6">
        <f>IF(COUNTA(A854:S854)=0,"",IF(AND(U854="OK",V854="OK",LEFT(W854,4)&lt;&gt;"ERRO",LEFT(X854,4)&lt;&gt;"ERRO",LEFT(Y854,4)&lt;&gt;"ERRO",AA854="OK"),"OK","REVISAR"))</f>
      </c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5"/>
      <c r="K855" s="4"/>
      <c r="L855" s="4"/>
      <c r="M855" s="4"/>
      <c r="N855" s="4"/>
      <c r="O855" s="4"/>
      <c r="P855" s="4"/>
      <c r="Q855" s="4"/>
      <c r="R855" s="4"/>
      <c r="S855" s="4"/>
      <c r="T855" s="6">
        <f>IF(G855="","",SUBSTITUTE(SUBSTITUTE(SUBSTITUTE(SUBSTITUTE(SUBSTITUTE(SUBSTITUTE(SUBSTITUTE(TRIM(G855),".",""),"/",""),"-","")," ",""),"(",""),")",""),"+",""))</f>
      </c>
      <c r="U855" s="6">
        <f>IF(T855="","",IF(LEN(T855)&lt;&gt;14,"ERRO: "&amp;LEN(T855)&amp;" dígitos",IF(NOT(ISNUMBER(VALUE(T855))),"ERRO: não numérico",IF(LEN(SUBSTITUTE(T855,LEFT(T855,1),""))=0,"ERRO: dígitos repetidos",IF(AND(VALUE(MID(T855,13,1))=IF(MOD(SUMPRODUCT(--MID(T855,{1,2,3,4,5,6,7,8,9,10,11,12},1),{5,4,3,2,9,8,7,6,5,4,3,2}),11)&lt;2,0,11-MOD(SUMPRODUCT(--MID(T855,{1,2,3,4,5,6,7,8,9,10,11,12},1),{5,4,3,2,9,8,7,6,5,4,3,2}),11)),VALUE(MID(T855,14,1))=IF(MOD(SUMPRODUCT(--MID(T855,{1,2,3,4,5,6,7,8,9,10,11,12,13},1),{6,5,4,3,2,9,8,7,6,5,4,3,2}),11)&lt;2,0,11-MOD(SUMPRODUCT(--MID(T855,{1,2,3,4,5,6,7,8,9,10,11,12,13},1),{6,5,4,3,2,9,8,7,6,5,4,3,2}),11))),"OK","ERRO: dígito verificador")))))</f>
      </c>
      <c r="V855" s="6">
        <f>IF(T855="","",IF(COUNTIF($T$2:$T$1001,T855)&gt;1,"DUPLICADO","OK"))</f>
      </c>
      <c r="W855" s="6">
        <f>IF(M855="","vazio",IF(OR(AND(LEN(SUBSTITUTE(SUBSTITUTE(SUBSTITUTE(SUBSTITUTE(SUBSTITUTE(SUBSTITUTE(SUBSTITUTE(TRIM(M855),".",""),"/",""),"-","")," ",""),"(",""),")",""),"+",""))=10,LEFT(SUBSTITUTE(SUBSTITUTE(SUBSTITUTE(SUBSTITUTE(SUBSTITUTE(SUBSTITUTE(SUBSTITUTE(TRIM(M855),".",""),"/",""),"-","")," ",""),"(",""),")",""),"+",""),1)&lt;&gt;"0"),AND(LEN(SUBSTITUTE(SUBSTITUTE(SUBSTITUTE(SUBSTITUTE(SUBSTITUTE(SUBSTITUTE(SUBSTITUTE(TRIM(M855),".",""),"/",""),"-","")," ",""),"(",""),")",""),"+",""))=11,LEFT(SUBSTITUTE(SUBSTITUTE(SUBSTITUTE(SUBSTITUTE(SUBSTITUTE(SUBSTITUTE(SUBSTITUTE(TRIM(M855),".",""),"/",""),"-","")," ",""),"(",""),")",""),"+",""),4)="0800")),"OK",IF(AND(LEN(SUBSTITUTE(SUBSTITUTE(SUBSTITUTE(SUBSTITUTE(SUBSTITUTE(SUBSTITUTE(SUBSTITUTE(TRIM(M855),".",""),"/",""),"-","")," ",""),"(",""),")",""),"+",""))=11,MID(SUBSTITUTE(SUBSTITUTE(SUBSTITUTE(SUBSTITUTE(SUBSTITUTE(SUBSTITUTE(SUBSTITUTE(TRIM(M855),".",""),"/",""),"-","")," ",""),"(",""),")",""),"+",""),3,1)="9"),"ERRO: é celular, use a coluna Celular","ERRO: DDD + 8 dígitos ou 0800 + 7")))</f>
      </c>
      <c r="X855" s="6">
        <f>IF(N855="","vazio",IF(AND(LEN(SUBSTITUTE(SUBSTITUTE(SUBSTITUTE(SUBSTITUTE(SUBSTITUTE(SUBSTITUTE(SUBSTITUTE(TRIM(N855),".",""),"/",""),"-","")," ",""),"(",""),")",""),"+",""))=11,MID(SUBSTITUTE(SUBSTITUTE(SUBSTITUTE(SUBSTITUTE(SUBSTITUTE(SUBSTITUTE(SUBSTITUTE(TRIM(N855),".",""),"/",""),"-","")," ",""),"(",""),")",""),"+",""),3,1)="9",LEFT(SUBSTITUTE(SUBSTITUTE(SUBSTITUTE(SUBSTITUTE(SUBSTITUTE(SUBSTITUTE(SUBSTITUTE(TRIM(N855),".",""),"/",""),"-","")," ",""),"(",""),")",""),"+",""),1)&lt;&gt;"0"),"OK",IF(LEN(SUBSTITUTE(SUBSTITUTE(SUBSTITUTE(SUBSTITUTE(SUBSTITUTE(SUBSTITUTE(SUBSTITUTE(TRIM(N855),".",""),"/",""),"-","")," ",""),"(",""),")",""),"+",""))=10,"ERRO: é fixo (ou falta o 9), use a coluna Telefone fixo","ERRO: DDD + 9 + 8 dígitos")))</f>
      </c>
      <c r="Y855" s="6">
        <f>IF(O855="","vazio",IF(AND(ISNUMBER(FIND("@",O855)),ISNUMBER(FIND(".",MID(O855,FIND("@",O855),99))),NOT(ISNUMBER(FIND(" ",TRIM(O855)))),NOT(ISNUMBER(FIND(";",O855))),NOT(ISNUMBER(FIND(",",O855)))),"OK","ERRO: um e-mail válido por linha"))</f>
      </c>
      <c r="Z855" s="6">
        <f>IF(AND(J855="",K855=""),"",IF(AND(J855&lt;&gt;"",K855&lt;&gt;""),"OK","pendente: só um nome (o GR completa ao converter)"))</f>
      </c>
      <c r="AA855" s="6">
        <f>IF(COUNTA(A855:S855)=0,"",IF(AND(A855&lt;&gt;"",B855&lt;&gt;"",C855&lt;&gt;"",D855&lt;&gt;"",E855&lt;&gt;"",F855&lt;&gt;"",G855&lt;&gt;"",H855&lt;&gt;"",OR(J855&lt;&gt;"",K855&lt;&gt;""),OR(M855&lt;&gt;"",N855&lt;&gt;"",O855&lt;&gt;"")),"OK","ERRO: faltam "&amp;IF(A855="","SDR; ","")&amp;IF(B855="","Proprietário; ","")&amp;IF(C855="","Origem; ","")&amp;IF(D855="","Temperatura; ","")&amp;IF(E855="","Segmento; ","")&amp;IF(F855="","Time/Cluster; ","")&amp;IF(G855="","CNPJ; ","")&amp;IF(H855="","Razão Social; ","")&amp;IF(AND(J855="",K855=""),"nome do contato; ","")&amp;IF(AND(M855="",N855="",O855=""),"telefone, celular ou e-mail; ","")))</f>
      </c>
      <c r="AB855" s="6">
        <f>IF(COUNTA(A855:S855)=0,"",IF(AND(U855="OK",V855="OK",LEFT(W855,4)&lt;&gt;"ERRO",LEFT(X855,4)&lt;&gt;"ERRO",LEFT(Y855,4)&lt;&gt;"ERRO",AA855="OK"),"OK","REVISAR"))</f>
      </c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5"/>
      <c r="K856" s="4"/>
      <c r="L856" s="4"/>
      <c r="M856" s="4"/>
      <c r="N856" s="4"/>
      <c r="O856" s="4"/>
      <c r="P856" s="4"/>
      <c r="Q856" s="4"/>
      <c r="R856" s="4"/>
      <c r="S856" s="4"/>
      <c r="T856" s="6">
        <f>IF(G856="","",SUBSTITUTE(SUBSTITUTE(SUBSTITUTE(SUBSTITUTE(SUBSTITUTE(SUBSTITUTE(SUBSTITUTE(TRIM(G856),".",""),"/",""),"-","")," ",""),"(",""),")",""),"+",""))</f>
      </c>
      <c r="U856" s="6">
        <f>IF(T856="","",IF(LEN(T856)&lt;&gt;14,"ERRO: "&amp;LEN(T856)&amp;" dígitos",IF(NOT(ISNUMBER(VALUE(T856))),"ERRO: não numérico",IF(LEN(SUBSTITUTE(T856,LEFT(T856,1),""))=0,"ERRO: dígitos repetidos",IF(AND(VALUE(MID(T856,13,1))=IF(MOD(SUMPRODUCT(--MID(T856,{1,2,3,4,5,6,7,8,9,10,11,12},1),{5,4,3,2,9,8,7,6,5,4,3,2}),11)&lt;2,0,11-MOD(SUMPRODUCT(--MID(T856,{1,2,3,4,5,6,7,8,9,10,11,12},1),{5,4,3,2,9,8,7,6,5,4,3,2}),11)),VALUE(MID(T856,14,1))=IF(MOD(SUMPRODUCT(--MID(T856,{1,2,3,4,5,6,7,8,9,10,11,12,13},1),{6,5,4,3,2,9,8,7,6,5,4,3,2}),11)&lt;2,0,11-MOD(SUMPRODUCT(--MID(T856,{1,2,3,4,5,6,7,8,9,10,11,12,13},1),{6,5,4,3,2,9,8,7,6,5,4,3,2}),11))),"OK","ERRO: dígito verificador")))))</f>
      </c>
      <c r="V856" s="6">
        <f>IF(T856="","",IF(COUNTIF($T$2:$T$1001,T856)&gt;1,"DUPLICADO","OK"))</f>
      </c>
      <c r="W856" s="6">
        <f>IF(M856="","vazio",IF(OR(AND(LEN(SUBSTITUTE(SUBSTITUTE(SUBSTITUTE(SUBSTITUTE(SUBSTITUTE(SUBSTITUTE(SUBSTITUTE(TRIM(M856),".",""),"/",""),"-","")," ",""),"(",""),")",""),"+",""))=10,LEFT(SUBSTITUTE(SUBSTITUTE(SUBSTITUTE(SUBSTITUTE(SUBSTITUTE(SUBSTITUTE(SUBSTITUTE(TRIM(M856),".",""),"/",""),"-","")," ",""),"(",""),")",""),"+",""),1)&lt;&gt;"0"),AND(LEN(SUBSTITUTE(SUBSTITUTE(SUBSTITUTE(SUBSTITUTE(SUBSTITUTE(SUBSTITUTE(SUBSTITUTE(TRIM(M856),".",""),"/",""),"-","")," ",""),"(",""),")",""),"+",""))=11,LEFT(SUBSTITUTE(SUBSTITUTE(SUBSTITUTE(SUBSTITUTE(SUBSTITUTE(SUBSTITUTE(SUBSTITUTE(TRIM(M856),".",""),"/",""),"-","")," ",""),"(",""),")",""),"+",""),4)="0800")),"OK",IF(AND(LEN(SUBSTITUTE(SUBSTITUTE(SUBSTITUTE(SUBSTITUTE(SUBSTITUTE(SUBSTITUTE(SUBSTITUTE(TRIM(M856),".",""),"/",""),"-","")," ",""),"(",""),")",""),"+",""))=11,MID(SUBSTITUTE(SUBSTITUTE(SUBSTITUTE(SUBSTITUTE(SUBSTITUTE(SUBSTITUTE(SUBSTITUTE(TRIM(M856),".",""),"/",""),"-","")," ",""),"(",""),")",""),"+",""),3,1)="9"),"ERRO: é celular, use a coluna Celular","ERRO: DDD + 8 dígitos ou 0800 + 7")))</f>
      </c>
      <c r="X856" s="6">
        <f>IF(N856="","vazio",IF(AND(LEN(SUBSTITUTE(SUBSTITUTE(SUBSTITUTE(SUBSTITUTE(SUBSTITUTE(SUBSTITUTE(SUBSTITUTE(TRIM(N856),".",""),"/",""),"-","")," ",""),"(",""),")",""),"+",""))=11,MID(SUBSTITUTE(SUBSTITUTE(SUBSTITUTE(SUBSTITUTE(SUBSTITUTE(SUBSTITUTE(SUBSTITUTE(TRIM(N856),".",""),"/",""),"-","")," ",""),"(",""),")",""),"+",""),3,1)="9",LEFT(SUBSTITUTE(SUBSTITUTE(SUBSTITUTE(SUBSTITUTE(SUBSTITUTE(SUBSTITUTE(SUBSTITUTE(TRIM(N856),".",""),"/",""),"-","")," ",""),"(",""),")",""),"+",""),1)&lt;&gt;"0"),"OK",IF(LEN(SUBSTITUTE(SUBSTITUTE(SUBSTITUTE(SUBSTITUTE(SUBSTITUTE(SUBSTITUTE(SUBSTITUTE(TRIM(N856),".",""),"/",""),"-","")," ",""),"(",""),")",""),"+",""))=10,"ERRO: é fixo (ou falta o 9), use a coluna Telefone fixo","ERRO: DDD + 9 + 8 dígitos")))</f>
      </c>
      <c r="Y856" s="6">
        <f>IF(O856="","vazio",IF(AND(ISNUMBER(FIND("@",O856)),ISNUMBER(FIND(".",MID(O856,FIND("@",O856),99))),NOT(ISNUMBER(FIND(" ",TRIM(O856)))),NOT(ISNUMBER(FIND(";",O856))),NOT(ISNUMBER(FIND(",",O856)))),"OK","ERRO: um e-mail válido por linha"))</f>
      </c>
      <c r="Z856" s="6">
        <f>IF(AND(J856="",K856=""),"",IF(AND(J856&lt;&gt;"",K856&lt;&gt;""),"OK","pendente: só um nome (o GR completa ao converter)"))</f>
      </c>
      <c r="AA856" s="6">
        <f>IF(COUNTA(A856:S856)=0,"",IF(AND(A856&lt;&gt;"",B856&lt;&gt;"",C856&lt;&gt;"",D856&lt;&gt;"",E856&lt;&gt;"",F856&lt;&gt;"",G856&lt;&gt;"",H856&lt;&gt;"",OR(J856&lt;&gt;"",K856&lt;&gt;""),OR(M856&lt;&gt;"",N856&lt;&gt;"",O856&lt;&gt;"")),"OK","ERRO: faltam "&amp;IF(A856="","SDR; ","")&amp;IF(B856="","Proprietário; ","")&amp;IF(C856="","Origem; ","")&amp;IF(D856="","Temperatura; ","")&amp;IF(E856="","Segmento; ","")&amp;IF(F856="","Time/Cluster; ","")&amp;IF(G856="","CNPJ; ","")&amp;IF(H856="","Razão Social; ","")&amp;IF(AND(J856="",K856=""),"nome do contato; ","")&amp;IF(AND(M856="",N856="",O856=""),"telefone, celular ou e-mail; ","")))</f>
      </c>
      <c r="AB856" s="6">
        <f>IF(COUNTA(A856:S856)=0,"",IF(AND(U856="OK",V856="OK",LEFT(W856,4)&lt;&gt;"ERRO",LEFT(X856,4)&lt;&gt;"ERRO",LEFT(Y856,4)&lt;&gt;"ERRO",AA856="OK"),"OK","REVISAR"))</f>
      </c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5"/>
      <c r="K857" s="4"/>
      <c r="L857" s="4"/>
      <c r="M857" s="4"/>
      <c r="N857" s="4"/>
      <c r="O857" s="4"/>
      <c r="P857" s="4"/>
      <c r="Q857" s="4"/>
      <c r="R857" s="4"/>
      <c r="S857" s="4"/>
      <c r="T857" s="6">
        <f>IF(G857="","",SUBSTITUTE(SUBSTITUTE(SUBSTITUTE(SUBSTITUTE(SUBSTITUTE(SUBSTITUTE(SUBSTITUTE(TRIM(G857),".",""),"/",""),"-","")," ",""),"(",""),")",""),"+",""))</f>
      </c>
      <c r="U857" s="6">
        <f>IF(T857="","",IF(LEN(T857)&lt;&gt;14,"ERRO: "&amp;LEN(T857)&amp;" dígitos",IF(NOT(ISNUMBER(VALUE(T857))),"ERRO: não numérico",IF(LEN(SUBSTITUTE(T857,LEFT(T857,1),""))=0,"ERRO: dígitos repetidos",IF(AND(VALUE(MID(T857,13,1))=IF(MOD(SUMPRODUCT(--MID(T857,{1,2,3,4,5,6,7,8,9,10,11,12},1),{5,4,3,2,9,8,7,6,5,4,3,2}),11)&lt;2,0,11-MOD(SUMPRODUCT(--MID(T857,{1,2,3,4,5,6,7,8,9,10,11,12},1),{5,4,3,2,9,8,7,6,5,4,3,2}),11)),VALUE(MID(T857,14,1))=IF(MOD(SUMPRODUCT(--MID(T857,{1,2,3,4,5,6,7,8,9,10,11,12,13},1),{6,5,4,3,2,9,8,7,6,5,4,3,2}),11)&lt;2,0,11-MOD(SUMPRODUCT(--MID(T857,{1,2,3,4,5,6,7,8,9,10,11,12,13},1),{6,5,4,3,2,9,8,7,6,5,4,3,2}),11))),"OK","ERRO: dígito verificador")))))</f>
      </c>
      <c r="V857" s="6">
        <f>IF(T857="","",IF(COUNTIF($T$2:$T$1001,T857)&gt;1,"DUPLICADO","OK"))</f>
      </c>
      <c r="W857" s="6">
        <f>IF(M857="","vazio",IF(OR(AND(LEN(SUBSTITUTE(SUBSTITUTE(SUBSTITUTE(SUBSTITUTE(SUBSTITUTE(SUBSTITUTE(SUBSTITUTE(TRIM(M857),".",""),"/",""),"-","")," ",""),"(",""),")",""),"+",""))=10,LEFT(SUBSTITUTE(SUBSTITUTE(SUBSTITUTE(SUBSTITUTE(SUBSTITUTE(SUBSTITUTE(SUBSTITUTE(TRIM(M857),".",""),"/",""),"-","")," ",""),"(",""),")",""),"+",""),1)&lt;&gt;"0"),AND(LEN(SUBSTITUTE(SUBSTITUTE(SUBSTITUTE(SUBSTITUTE(SUBSTITUTE(SUBSTITUTE(SUBSTITUTE(TRIM(M857),".",""),"/",""),"-","")," ",""),"(",""),")",""),"+",""))=11,LEFT(SUBSTITUTE(SUBSTITUTE(SUBSTITUTE(SUBSTITUTE(SUBSTITUTE(SUBSTITUTE(SUBSTITUTE(TRIM(M857),".",""),"/",""),"-","")," ",""),"(",""),")",""),"+",""),4)="0800")),"OK",IF(AND(LEN(SUBSTITUTE(SUBSTITUTE(SUBSTITUTE(SUBSTITUTE(SUBSTITUTE(SUBSTITUTE(SUBSTITUTE(TRIM(M857),".",""),"/",""),"-","")," ",""),"(",""),")",""),"+",""))=11,MID(SUBSTITUTE(SUBSTITUTE(SUBSTITUTE(SUBSTITUTE(SUBSTITUTE(SUBSTITUTE(SUBSTITUTE(TRIM(M857),".",""),"/",""),"-","")," ",""),"(",""),")",""),"+",""),3,1)="9"),"ERRO: é celular, use a coluna Celular","ERRO: DDD + 8 dígitos ou 0800 + 7")))</f>
      </c>
      <c r="X857" s="6">
        <f>IF(N857="","vazio",IF(AND(LEN(SUBSTITUTE(SUBSTITUTE(SUBSTITUTE(SUBSTITUTE(SUBSTITUTE(SUBSTITUTE(SUBSTITUTE(TRIM(N857),".",""),"/",""),"-","")," ",""),"(",""),")",""),"+",""))=11,MID(SUBSTITUTE(SUBSTITUTE(SUBSTITUTE(SUBSTITUTE(SUBSTITUTE(SUBSTITUTE(SUBSTITUTE(TRIM(N857),".",""),"/",""),"-","")," ",""),"(",""),")",""),"+",""),3,1)="9",LEFT(SUBSTITUTE(SUBSTITUTE(SUBSTITUTE(SUBSTITUTE(SUBSTITUTE(SUBSTITUTE(SUBSTITUTE(TRIM(N857),".",""),"/",""),"-","")," ",""),"(",""),")",""),"+",""),1)&lt;&gt;"0"),"OK",IF(LEN(SUBSTITUTE(SUBSTITUTE(SUBSTITUTE(SUBSTITUTE(SUBSTITUTE(SUBSTITUTE(SUBSTITUTE(TRIM(N857),".",""),"/",""),"-","")," ",""),"(",""),")",""),"+",""))=10,"ERRO: é fixo (ou falta o 9), use a coluna Telefone fixo","ERRO: DDD + 9 + 8 dígitos")))</f>
      </c>
      <c r="Y857" s="6">
        <f>IF(O857="","vazio",IF(AND(ISNUMBER(FIND("@",O857)),ISNUMBER(FIND(".",MID(O857,FIND("@",O857),99))),NOT(ISNUMBER(FIND(" ",TRIM(O857)))),NOT(ISNUMBER(FIND(";",O857))),NOT(ISNUMBER(FIND(",",O857)))),"OK","ERRO: um e-mail válido por linha"))</f>
      </c>
      <c r="Z857" s="6">
        <f>IF(AND(J857="",K857=""),"",IF(AND(J857&lt;&gt;"",K857&lt;&gt;""),"OK","pendente: só um nome (o GR completa ao converter)"))</f>
      </c>
      <c r="AA857" s="6">
        <f>IF(COUNTA(A857:S857)=0,"",IF(AND(A857&lt;&gt;"",B857&lt;&gt;"",C857&lt;&gt;"",D857&lt;&gt;"",E857&lt;&gt;"",F857&lt;&gt;"",G857&lt;&gt;"",H857&lt;&gt;"",OR(J857&lt;&gt;"",K857&lt;&gt;""),OR(M857&lt;&gt;"",N857&lt;&gt;"",O857&lt;&gt;"")),"OK","ERRO: faltam "&amp;IF(A857="","SDR; ","")&amp;IF(B857="","Proprietário; ","")&amp;IF(C857="","Origem; ","")&amp;IF(D857="","Temperatura; ","")&amp;IF(E857="","Segmento; ","")&amp;IF(F857="","Time/Cluster; ","")&amp;IF(G857="","CNPJ; ","")&amp;IF(H857="","Razão Social; ","")&amp;IF(AND(J857="",K857=""),"nome do contato; ","")&amp;IF(AND(M857="",N857="",O857=""),"telefone, celular ou e-mail; ","")))</f>
      </c>
      <c r="AB857" s="6">
        <f>IF(COUNTA(A857:S857)=0,"",IF(AND(U857="OK",V857="OK",LEFT(W857,4)&lt;&gt;"ERRO",LEFT(X857,4)&lt;&gt;"ERRO",LEFT(Y857,4)&lt;&gt;"ERRO",AA857="OK"),"OK","REVISAR"))</f>
      </c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5"/>
      <c r="K858" s="4"/>
      <c r="L858" s="4"/>
      <c r="M858" s="4"/>
      <c r="N858" s="4"/>
      <c r="O858" s="4"/>
      <c r="P858" s="4"/>
      <c r="Q858" s="4"/>
      <c r="R858" s="4"/>
      <c r="S858" s="4"/>
      <c r="T858" s="6">
        <f>IF(G858="","",SUBSTITUTE(SUBSTITUTE(SUBSTITUTE(SUBSTITUTE(SUBSTITUTE(SUBSTITUTE(SUBSTITUTE(TRIM(G858),".",""),"/",""),"-","")," ",""),"(",""),")",""),"+",""))</f>
      </c>
      <c r="U858" s="6">
        <f>IF(T858="","",IF(LEN(T858)&lt;&gt;14,"ERRO: "&amp;LEN(T858)&amp;" dígitos",IF(NOT(ISNUMBER(VALUE(T858))),"ERRO: não numérico",IF(LEN(SUBSTITUTE(T858,LEFT(T858,1),""))=0,"ERRO: dígitos repetidos",IF(AND(VALUE(MID(T858,13,1))=IF(MOD(SUMPRODUCT(--MID(T858,{1,2,3,4,5,6,7,8,9,10,11,12},1),{5,4,3,2,9,8,7,6,5,4,3,2}),11)&lt;2,0,11-MOD(SUMPRODUCT(--MID(T858,{1,2,3,4,5,6,7,8,9,10,11,12},1),{5,4,3,2,9,8,7,6,5,4,3,2}),11)),VALUE(MID(T858,14,1))=IF(MOD(SUMPRODUCT(--MID(T858,{1,2,3,4,5,6,7,8,9,10,11,12,13},1),{6,5,4,3,2,9,8,7,6,5,4,3,2}),11)&lt;2,0,11-MOD(SUMPRODUCT(--MID(T858,{1,2,3,4,5,6,7,8,9,10,11,12,13},1),{6,5,4,3,2,9,8,7,6,5,4,3,2}),11))),"OK","ERRO: dígito verificador")))))</f>
      </c>
      <c r="V858" s="6">
        <f>IF(T858="","",IF(COUNTIF($T$2:$T$1001,T858)&gt;1,"DUPLICADO","OK"))</f>
      </c>
      <c r="W858" s="6">
        <f>IF(M858="","vazio",IF(OR(AND(LEN(SUBSTITUTE(SUBSTITUTE(SUBSTITUTE(SUBSTITUTE(SUBSTITUTE(SUBSTITUTE(SUBSTITUTE(TRIM(M858),".",""),"/",""),"-","")," ",""),"(",""),")",""),"+",""))=10,LEFT(SUBSTITUTE(SUBSTITUTE(SUBSTITUTE(SUBSTITUTE(SUBSTITUTE(SUBSTITUTE(SUBSTITUTE(TRIM(M858),".",""),"/",""),"-","")," ",""),"(",""),")",""),"+",""),1)&lt;&gt;"0"),AND(LEN(SUBSTITUTE(SUBSTITUTE(SUBSTITUTE(SUBSTITUTE(SUBSTITUTE(SUBSTITUTE(SUBSTITUTE(TRIM(M858),".",""),"/",""),"-","")," ",""),"(",""),")",""),"+",""))=11,LEFT(SUBSTITUTE(SUBSTITUTE(SUBSTITUTE(SUBSTITUTE(SUBSTITUTE(SUBSTITUTE(SUBSTITUTE(TRIM(M858),".",""),"/",""),"-","")," ",""),"(",""),")",""),"+",""),4)="0800")),"OK",IF(AND(LEN(SUBSTITUTE(SUBSTITUTE(SUBSTITUTE(SUBSTITUTE(SUBSTITUTE(SUBSTITUTE(SUBSTITUTE(TRIM(M858),".",""),"/",""),"-","")," ",""),"(",""),")",""),"+",""))=11,MID(SUBSTITUTE(SUBSTITUTE(SUBSTITUTE(SUBSTITUTE(SUBSTITUTE(SUBSTITUTE(SUBSTITUTE(TRIM(M858),".",""),"/",""),"-","")," ",""),"(",""),")",""),"+",""),3,1)="9"),"ERRO: é celular, use a coluna Celular","ERRO: DDD + 8 dígitos ou 0800 + 7")))</f>
      </c>
      <c r="X858" s="6">
        <f>IF(N858="","vazio",IF(AND(LEN(SUBSTITUTE(SUBSTITUTE(SUBSTITUTE(SUBSTITUTE(SUBSTITUTE(SUBSTITUTE(SUBSTITUTE(TRIM(N858),".",""),"/",""),"-","")," ",""),"(",""),")",""),"+",""))=11,MID(SUBSTITUTE(SUBSTITUTE(SUBSTITUTE(SUBSTITUTE(SUBSTITUTE(SUBSTITUTE(SUBSTITUTE(TRIM(N858),".",""),"/",""),"-","")," ",""),"(",""),")",""),"+",""),3,1)="9",LEFT(SUBSTITUTE(SUBSTITUTE(SUBSTITUTE(SUBSTITUTE(SUBSTITUTE(SUBSTITUTE(SUBSTITUTE(TRIM(N858),".",""),"/",""),"-","")," ",""),"(",""),")",""),"+",""),1)&lt;&gt;"0"),"OK",IF(LEN(SUBSTITUTE(SUBSTITUTE(SUBSTITUTE(SUBSTITUTE(SUBSTITUTE(SUBSTITUTE(SUBSTITUTE(TRIM(N858),".",""),"/",""),"-","")," ",""),"(",""),")",""),"+",""))=10,"ERRO: é fixo (ou falta o 9), use a coluna Telefone fixo","ERRO: DDD + 9 + 8 dígitos")))</f>
      </c>
      <c r="Y858" s="6">
        <f>IF(O858="","vazio",IF(AND(ISNUMBER(FIND("@",O858)),ISNUMBER(FIND(".",MID(O858,FIND("@",O858),99))),NOT(ISNUMBER(FIND(" ",TRIM(O858)))),NOT(ISNUMBER(FIND(";",O858))),NOT(ISNUMBER(FIND(",",O858)))),"OK","ERRO: um e-mail válido por linha"))</f>
      </c>
      <c r="Z858" s="6">
        <f>IF(AND(J858="",K858=""),"",IF(AND(J858&lt;&gt;"",K858&lt;&gt;""),"OK","pendente: só um nome (o GR completa ao converter)"))</f>
      </c>
      <c r="AA858" s="6">
        <f>IF(COUNTA(A858:S858)=0,"",IF(AND(A858&lt;&gt;"",B858&lt;&gt;"",C858&lt;&gt;"",D858&lt;&gt;"",E858&lt;&gt;"",F858&lt;&gt;"",G858&lt;&gt;"",H858&lt;&gt;"",OR(J858&lt;&gt;"",K858&lt;&gt;""),OR(M858&lt;&gt;"",N858&lt;&gt;"",O858&lt;&gt;"")),"OK","ERRO: faltam "&amp;IF(A858="","SDR; ","")&amp;IF(B858="","Proprietário; ","")&amp;IF(C858="","Origem; ","")&amp;IF(D858="","Temperatura; ","")&amp;IF(E858="","Segmento; ","")&amp;IF(F858="","Time/Cluster; ","")&amp;IF(G858="","CNPJ; ","")&amp;IF(H858="","Razão Social; ","")&amp;IF(AND(J858="",K858=""),"nome do contato; ","")&amp;IF(AND(M858="",N858="",O858=""),"telefone, celular ou e-mail; ","")))</f>
      </c>
      <c r="AB858" s="6">
        <f>IF(COUNTA(A858:S858)=0,"",IF(AND(U858="OK",V858="OK",LEFT(W858,4)&lt;&gt;"ERRO",LEFT(X858,4)&lt;&gt;"ERRO",LEFT(Y858,4)&lt;&gt;"ERRO",AA858="OK"),"OK","REVISAR"))</f>
      </c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5"/>
      <c r="K859" s="4"/>
      <c r="L859" s="4"/>
      <c r="M859" s="4"/>
      <c r="N859" s="4"/>
      <c r="O859" s="4"/>
      <c r="P859" s="4"/>
      <c r="Q859" s="4"/>
      <c r="R859" s="4"/>
      <c r="S859" s="4"/>
      <c r="T859" s="6">
        <f>IF(G859="","",SUBSTITUTE(SUBSTITUTE(SUBSTITUTE(SUBSTITUTE(SUBSTITUTE(SUBSTITUTE(SUBSTITUTE(TRIM(G859),".",""),"/",""),"-","")," ",""),"(",""),")",""),"+",""))</f>
      </c>
      <c r="U859" s="6">
        <f>IF(T859="","",IF(LEN(T859)&lt;&gt;14,"ERRO: "&amp;LEN(T859)&amp;" dígitos",IF(NOT(ISNUMBER(VALUE(T859))),"ERRO: não numérico",IF(LEN(SUBSTITUTE(T859,LEFT(T859,1),""))=0,"ERRO: dígitos repetidos",IF(AND(VALUE(MID(T859,13,1))=IF(MOD(SUMPRODUCT(--MID(T859,{1,2,3,4,5,6,7,8,9,10,11,12},1),{5,4,3,2,9,8,7,6,5,4,3,2}),11)&lt;2,0,11-MOD(SUMPRODUCT(--MID(T859,{1,2,3,4,5,6,7,8,9,10,11,12},1),{5,4,3,2,9,8,7,6,5,4,3,2}),11)),VALUE(MID(T859,14,1))=IF(MOD(SUMPRODUCT(--MID(T859,{1,2,3,4,5,6,7,8,9,10,11,12,13},1),{6,5,4,3,2,9,8,7,6,5,4,3,2}),11)&lt;2,0,11-MOD(SUMPRODUCT(--MID(T859,{1,2,3,4,5,6,7,8,9,10,11,12,13},1),{6,5,4,3,2,9,8,7,6,5,4,3,2}),11))),"OK","ERRO: dígito verificador")))))</f>
      </c>
      <c r="V859" s="6">
        <f>IF(T859="","",IF(COUNTIF($T$2:$T$1001,T859)&gt;1,"DUPLICADO","OK"))</f>
      </c>
      <c r="W859" s="6">
        <f>IF(M859="","vazio",IF(OR(AND(LEN(SUBSTITUTE(SUBSTITUTE(SUBSTITUTE(SUBSTITUTE(SUBSTITUTE(SUBSTITUTE(SUBSTITUTE(TRIM(M859),".",""),"/",""),"-","")," ",""),"(",""),")",""),"+",""))=10,LEFT(SUBSTITUTE(SUBSTITUTE(SUBSTITUTE(SUBSTITUTE(SUBSTITUTE(SUBSTITUTE(SUBSTITUTE(TRIM(M859),".",""),"/",""),"-","")," ",""),"(",""),")",""),"+",""),1)&lt;&gt;"0"),AND(LEN(SUBSTITUTE(SUBSTITUTE(SUBSTITUTE(SUBSTITUTE(SUBSTITUTE(SUBSTITUTE(SUBSTITUTE(TRIM(M859),".",""),"/",""),"-","")," ",""),"(",""),")",""),"+",""))=11,LEFT(SUBSTITUTE(SUBSTITUTE(SUBSTITUTE(SUBSTITUTE(SUBSTITUTE(SUBSTITUTE(SUBSTITUTE(TRIM(M859),".",""),"/",""),"-","")," ",""),"(",""),")",""),"+",""),4)="0800")),"OK",IF(AND(LEN(SUBSTITUTE(SUBSTITUTE(SUBSTITUTE(SUBSTITUTE(SUBSTITUTE(SUBSTITUTE(SUBSTITUTE(TRIM(M859),".",""),"/",""),"-","")," ",""),"(",""),")",""),"+",""))=11,MID(SUBSTITUTE(SUBSTITUTE(SUBSTITUTE(SUBSTITUTE(SUBSTITUTE(SUBSTITUTE(SUBSTITUTE(TRIM(M859),".",""),"/",""),"-","")," ",""),"(",""),")",""),"+",""),3,1)="9"),"ERRO: é celular, use a coluna Celular","ERRO: DDD + 8 dígitos ou 0800 + 7")))</f>
      </c>
      <c r="X859" s="6">
        <f>IF(N859="","vazio",IF(AND(LEN(SUBSTITUTE(SUBSTITUTE(SUBSTITUTE(SUBSTITUTE(SUBSTITUTE(SUBSTITUTE(SUBSTITUTE(TRIM(N859),".",""),"/",""),"-","")," ",""),"(",""),")",""),"+",""))=11,MID(SUBSTITUTE(SUBSTITUTE(SUBSTITUTE(SUBSTITUTE(SUBSTITUTE(SUBSTITUTE(SUBSTITUTE(TRIM(N859),".",""),"/",""),"-","")," ",""),"(",""),")",""),"+",""),3,1)="9",LEFT(SUBSTITUTE(SUBSTITUTE(SUBSTITUTE(SUBSTITUTE(SUBSTITUTE(SUBSTITUTE(SUBSTITUTE(TRIM(N859),".",""),"/",""),"-","")," ",""),"(",""),")",""),"+",""),1)&lt;&gt;"0"),"OK",IF(LEN(SUBSTITUTE(SUBSTITUTE(SUBSTITUTE(SUBSTITUTE(SUBSTITUTE(SUBSTITUTE(SUBSTITUTE(TRIM(N859),".",""),"/",""),"-","")," ",""),"(",""),")",""),"+",""))=10,"ERRO: é fixo (ou falta o 9), use a coluna Telefone fixo","ERRO: DDD + 9 + 8 dígitos")))</f>
      </c>
      <c r="Y859" s="6">
        <f>IF(O859="","vazio",IF(AND(ISNUMBER(FIND("@",O859)),ISNUMBER(FIND(".",MID(O859,FIND("@",O859),99))),NOT(ISNUMBER(FIND(" ",TRIM(O859)))),NOT(ISNUMBER(FIND(";",O859))),NOT(ISNUMBER(FIND(",",O859)))),"OK","ERRO: um e-mail válido por linha"))</f>
      </c>
      <c r="Z859" s="6">
        <f>IF(AND(J859="",K859=""),"",IF(AND(J859&lt;&gt;"",K859&lt;&gt;""),"OK","pendente: só um nome (o GR completa ao converter)"))</f>
      </c>
      <c r="AA859" s="6">
        <f>IF(COUNTA(A859:S859)=0,"",IF(AND(A859&lt;&gt;"",B859&lt;&gt;"",C859&lt;&gt;"",D859&lt;&gt;"",E859&lt;&gt;"",F859&lt;&gt;"",G859&lt;&gt;"",H859&lt;&gt;"",OR(J859&lt;&gt;"",K859&lt;&gt;""),OR(M859&lt;&gt;"",N859&lt;&gt;"",O859&lt;&gt;"")),"OK","ERRO: faltam "&amp;IF(A859="","SDR; ","")&amp;IF(B859="","Proprietário; ","")&amp;IF(C859="","Origem; ","")&amp;IF(D859="","Temperatura; ","")&amp;IF(E859="","Segmento; ","")&amp;IF(F859="","Time/Cluster; ","")&amp;IF(G859="","CNPJ; ","")&amp;IF(H859="","Razão Social; ","")&amp;IF(AND(J859="",K859=""),"nome do contato; ","")&amp;IF(AND(M859="",N859="",O859=""),"telefone, celular ou e-mail; ","")))</f>
      </c>
      <c r="AB859" s="6">
        <f>IF(COUNTA(A859:S859)=0,"",IF(AND(U859="OK",V859="OK",LEFT(W859,4)&lt;&gt;"ERRO",LEFT(X859,4)&lt;&gt;"ERRO",LEFT(Y859,4)&lt;&gt;"ERRO",AA859="OK"),"OK","REVISAR"))</f>
      </c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5"/>
      <c r="K860" s="4"/>
      <c r="L860" s="4"/>
      <c r="M860" s="4"/>
      <c r="N860" s="4"/>
      <c r="O860" s="4"/>
      <c r="P860" s="4"/>
      <c r="Q860" s="4"/>
      <c r="R860" s="4"/>
      <c r="S860" s="4"/>
      <c r="T860" s="6">
        <f>IF(G860="","",SUBSTITUTE(SUBSTITUTE(SUBSTITUTE(SUBSTITUTE(SUBSTITUTE(SUBSTITUTE(SUBSTITUTE(TRIM(G860),".",""),"/",""),"-","")," ",""),"(",""),")",""),"+",""))</f>
      </c>
      <c r="U860" s="6">
        <f>IF(T860="","",IF(LEN(T860)&lt;&gt;14,"ERRO: "&amp;LEN(T860)&amp;" dígitos",IF(NOT(ISNUMBER(VALUE(T860))),"ERRO: não numérico",IF(LEN(SUBSTITUTE(T860,LEFT(T860,1),""))=0,"ERRO: dígitos repetidos",IF(AND(VALUE(MID(T860,13,1))=IF(MOD(SUMPRODUCT(--MID(T860,{1,2,3,4,5,6,7,8,9,10,11,12},1),{5,4,3,2,9,8,7,6,5,4,3,2}),11)&lt;2,0,11-MOD(SUMPRODUCT(--MID(T860,{1,2,3,4,5,6,7,8,9,10,11,12},1),{5,4,3,2,9,8,7,6,5,4,3,2}),11)),VALUE(MID(T860,14,1))=IF(MOD(SUMPRODUCT(--MID(T860,{1,2,3,4,5,6,7,8,9,10,11,12,13},1),{6,5,4,3,2,9,8,7,6,5,4,3,2}),11)&lt;2,0,11-MOD(SUMPRODUCT(--MID(T860,{1,2,3,4,5,6,7,8,9,10,11,12,13},1),{6,5,4,3,2,9,8,7,6,5,4,3,2}),11))),"OK","ERRO: dígito verificador")))))</f>
      </c>
      <c r="V860" s="6">
        <f>IF(T860="","",IF(COUNTIF($T$2:$T$1001,T860)&gt;1,"DUPLICADO","OK"))</f>
      </c>
      <c r="W860" s="6">
        <f>IF(M860="","vazio",IF(OR(AND(LEN(SUBSTITUTE(SUBSTITUTE(SUBSTITUTE(SUBSTITUTE(SUBSTITUTE(SUBSTITUTE(SUBSTITUTE(TRIM(M860),".",""),"/",""),"-","")," ",""),"(",""),")",""),"+",""))=10,LEFT(SUBSTITUTE(SUBSTITUTE(SUBSTITUTE(SUBSTITUTE(SUBSTITUTE(SUBSTITUTE(SUBSTITUTE(TRIM(M860),".",""),"/",""),"-","")," ",""),"(",""),")",""),"+",""),1)&lt;&gt;"0"),AND(LEN(SUBSTITUTE(SUBSTITUTE(SUBSTITUTE(SUBSTITUTE(SUBSTITUTE(SUBSTITUTE(SUBSTITUTE(TRIM(M860),".",""),"/",""),"-","")," ",""),"(",""),")",""),"+",""))=11,LEFT(SUBSTITUTE(SUBSTITUTE(SUBSTITUTE(SUBSTITUTE(SUBSTITUTE(SUBSTITUTE(SUBSTITUTE(TRIM(M860),".",""),"/",""),"-","")," ",""),"(",""),")",""),"+",""),4)="0800")),"OK",IF(AND(LEN(SUBSTITUTE(SUBSTITUTE(SUBSTITUTE(SUBSTITUTE(SUBSTITUTE(SUBSTITUTE(SUBSTITUTE(TRIM(M860),".",""),"/",""),"-","")," ",""),"(",""),")",""),"+",""))=11,MID(SUBSTITUTE(SUBSTITUTE(SUBSTITUTE(SUBSTITUTE(SUBSTITUTE(SUBSTITUTE(SUBSTITUTE(TRIM(M860),".",""),"/",""),"-","")," ",""),"(",""),")",""),"+",""),3,1)="9"),"ERRO: é celular, use a coluna Celular","ERRO: DDD + 8 dígitos ou 0800 + 7")))</f>
      </c>
      <c r="X860" s="6">
        <f>IF(N860="","vazio",IF(AND(LEN(SUBSTITUTE(SUBSTITUTE(SUBSTITUTE(SUBSTITUTE(SUBSTITUTE(SUBSTITUTE(SUBSTITUTE(TRIM(N860),".",""),"/",""),"-","")," ",""),"(",""),")",""),"+",""))=11,MID(SUBSTITUTE(SUBSTITUTE(SUBSTITUTE(SUBSTITUTE(SUBSTITUTE(SUBSTITUTE(SUBSTITUTE(TRIM(N860),".",""),"/",""),"-","")," ",""),"(",""),")",""),"+",""),3,1)="9",LEFT(SUBSTITUTE(SUBSTITUTE(SUBSTITUTE(SUBSTITUTE(SUBSTITUTE(SUBSTITUTE(SUBSTITUTE(TRIM(N860),".",""),"/",""),"-","")," ",""),"(",""),")",""),"+",""),1)&lt;&gt;"0"),"OK",IF(LEN(SUBSTITUTE(SUBSTITUTE(SUBSTITUTE(SUBSTITUTE(SUBSTITUTE(SUBSTITUTE(SUBSTITUTE(TRIM(N860),".",""),"/",""),"-","")," ",""),"(",""),")",""),"+",""))=10,"ERRO: é fixo (ou falta o 9), use a coluna Telefone fixo","ERRO: DDD + 9 + 8 dígitos")))</f>
      </c>
      <c r="Y860" s="6">
        <f>IF(O860="","vazio",IF(AND(ISNUMBER(FIND("@",O860)),ISNUMBER(FIND(".",MID(O860,FIND("@",O860),99))),NOT(ISNUMBER(FIND(" ",TRIM(O860)))),NOT(ISNUMBER(FIND(";",O860))),NOT(ISNUMBER(FIND(",",O860)))),"OK","ERRO: um e-mail válido por linha"))</f>
      </c>
      <c r="Z860" s="6">
        <f>IF(AND(J860="",K860=""),"",IF(AND(J860&lt;&gt;"",K860&lt;&gt;""),"OK","pendente: só um nome (o GR completa ao converter)"))</f>
      </c>
      <c r="AA860" s="6">
        <f>IF(COUNTA(A860:S860)=0,"",IF(AND(A860&lt;&gt;"",B860&lt;&gt;"",C860&lt;&gt;"",D860&lt;&gt;"",E860&lt;&gt;"",F860&lt;&gt;"",G860&lt;&gt;"",H860&lt;&gt;"",OR(J860&lt;&gt;"",K860&lt;&gt;""),OR(M860&lt;&gt;"",N860&lt;&gt;"",O860&lt;&gt;"")),"OK","ERRO: faltam "&amp;IF(A860="","SDR; ","")&amp;IF(B860="","Proprietário; ","")&amp;IF(C860="","Origem; ","")&amp;IF(D860="","Temperatura; ","")&amp;IF(E860="","Segmento; ","")&amp;IF(F860="","Time/Cluster; ","")&amp;IF(G860="","CNPJ; ","")&amp;IF(H860="","Razão Social; ","")&amp;IF(AND(J860="",K860=""),"nome do contato; ","")&amp;IF(AND(M860="",N860="",O860=""),"telefone, celular ou e-mail; ","")))</f>
      </c>
      <c r="AB860" s="6">
        <f>IF(COUNTA(A860:S860)=0,"",IF(AND(U860="OK",V860="OK",LEFT(W860,4)&lt;&gt;"ERRO",LEFT(X860,4)&lt;&gt;"ERRO",LEFT(Y860,4)&lt;&gt;"ERRO",AA860="OK"),"OK","REVISAR"))</f>
      </c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5"/>
      <c r="K861" s="4"/>
      <c r="L861" s="4"/>
      <c r="M861" s="4"/>
      <c r="N861" s="4"/>
      <c r="O861" s="4"/>
      <c r="P861" s="4"/>
      <c r="Q861" s="4"/>
      <c r="R861" s="4"/>
      <c r="S861" s="4"/>
      <c r="T861" s="6">
        <f>IF(G861="","",SUBSTITUTE(SUBSTITUTE(SUBSTITUTE(SUBSTITUTE(SUBSTITUTE(SUBSTITUTE(SUBSTITUTE(TRIM(G861),".",""),"/",""),"-","")," ",""),"(",""),")",""),"+",""))</f>
      </c>
      <c r="U861" s="6">
        <f>IF(T861="","",IF(LEN(T861)&lt;&gt;14,"ERRO: "&amp;LEN(T861)&amp;" dígitos",IF(NOT(ISNUMBER(VALUE(T861))),"ERRO: não numérico",IF(LEN(SUBSTITUTE(T861,LEFT(T861,1),""))=0,"ERRO: dígitos repetidos",IF(AND(VALUE(MID(T861,13,1))=IF(MOD(SUMPRODUCT(--MID(T861,{1,2,3,4,5,6,7,8,9,10,11,12},1),{5,4,3,2,9,8,7,6,5,4,3,2}),11)&lt;2,0,11-MOD(SUMPRODUCT(--MID(T861,{1,2,3,4,5,6,7,8,9,10,11,12},1),{5,4,3,2,9,8,7,6,5,4,3,2}),11)),VALUE(MID(T861,14,1))=IF(MOD(SUMPRODUCT(--MID(T861,{1,2,3,4,5,6,7,8,9,10,11,12,13},1),{6,5,4,3,2,9,8,7,6,5,4,3,2}),11)&lt;2,0,11-MOD(SUMPRODUCT(--MID(T861,{1,2,3,4,5,6,7,8,9,10,11,12,13},1),{6,5,4,3,2,9,8,7,6,5,4,3,2}),11))),"OK","ERRO: dígito verificador")))))</f>
      </c>
      <c r="V861" s="6">
        <f>IF(T861="","",IF(COUNTIF($T$2:$T$1001,T861)&gt;1,"DUPLICADO","OK"))</f>
      </c>
      <c r="W861" s="6">
        <f>IF(M861="","vazio",IF(OR(AND(LEN(SUBSTITUTE(SUBSTITUTE(SUBSTITUTE(SUBSTITUTE(SUBSTITUTE(SUBSTITUTE(SUBSTITUTE(TRIM(M861),".",""),"/",""),"-","")," ",""),"(",""),")",""),"+",""))=10,LEFT(SUBSTITUTE(SUBSTITUTE(SUBSTITUTE(SUBSTITUTE(SUBSTITUTE(SUBSTITUTE(SUBSTITUTE(TRIM(M861),".",""),"/",""),"-","")," ",""),"(",""),")",""),"+",""),1)&lt;&gt;"0"),AND(LEN(SUBSTITUTE(SUBSTITUTE(SUBSTITUTE(SUBSTITUTE(SUBSTITUTE(SUBSTITUTE(SUBSTITUTE(TRIM(M861),".",""),"/",""),"-","")," ",""),"(",""),")",""),"+",""))=11,LEFT(SUBSTITUTE(SUBSTITUTE(SUBSTITUTE(SUBSTITUTE(SUBSTITUTE(SUBSTITUTE(SUBSTITUTE(TRIM(M861),".",""),"/",""),"-","")," ",""),"(",""),")",""),"+",""),4)="0800")),"OK",IF(AND(LEN(SUBSTITUTE(SUBSTITUTE(SUBSTITUTE(SUBSTITUTE(SUBSTITUTE(SUBSTITUTE(SUBSTITUTE(TRIM(M861),".",""),"/",""),"-","")," ",""),"(",""),")",""),"+",""))=11,MID(SUBSTITUTE(SUBSTITUTE(SUBSTITUTE(SUBSTITUTE(SUBSTITUTE(SUBSTITUTE(SUBSTITUTE(TRIM(M861),".",""),"/",""),"-","")," ",""),"(",""),")",""),"+",""),3,1)="9"),"ERRO: é celular, use a coluna Celular","ERRO: DDD + 8 dígitos ou 0800 + 7")))</f>
      </c>
      <c r="X861" s="6">
        <f>IF(N861="","vazio",IF(AND(LEN(SUBSTITUTE(SUBSTITUTE(SUBSTITUTE(SUBSTITUTE(SUBSTITUTE(SUBSTITUTE(SUBSTITUTE(TRIM(N861),".",""),"/",""),"-","")," ",""),"(",""),")",""),"+",""))=11,MID(SUBSTITUTE(SUBSTITUTE(SUBSTITUTE(SUBSTITUTE(SUBSTITUTE(SUBSTITUTE(SUBSTITUTE(TRIM(N861),".",""),"/",""),"-","")," ",""),"(",""),")",""),"+",""),3,1)="9",LEFT(SUBSTITUTE(SUBSTITUTE(SUBSTITUTE(SUBSTITUTE(SUBSTITUTE(SUBSTITUTE(SUBSTITUTE(TRIM(N861),".",""),"/",""),"-","")," ",""),"(",""),")",""),"+",""),1)&lt;&gt;"0"),"OK",IF(LEN(SUBSTITUTE(SUBSTITUTE(SUBSTITUTE(SUBSTITUTE(SUBSTITUTE(SUBSTITUTE(SUBSTITUTE(TRIM(N861),".",""),"/",""),"-","")," ",""),"(",""),")",""),"+",""))=10,"ERRO: é fixo (ou falta o 9), use a coluna Telefone fixo","ERRO: DDD + 9 + 8 dígitos")))</f>
      </c>
      <c r="Y861" s="6">
        <f>IF(O861="","vazio",IF(AND(ISNUMBER(FIND("@",O861)),ISNUMBER(FIND(".",MID(O861,FIND("@",O861),99))),NOT(ISNUMBER(FIND(" ",TRIM(O861)))),NOT(ISNUMBER(FIND(";",O861))),NOT(ISNUMBER(FIND(",",O861)))),"OK","ERRO: um e-mail válido por linha"))</f>
      </c>
      <c r="Z861" s="6">
        <f>IF(AND(J861="",K861=""),"",IF(AND(J861&lt;&gt;"",K861&lt;&gt;""),"OK","pendente: só um nome (o GR completa ao converter)"))</f>
      </c>
      <c r="AA861" s="6">
        <f>IF(COUNTA(A861:S861)=0,"",IF(AND(A861&lt;&gt;"",B861&lt;&gt;"",C861&lt;&gt;"",D861&lt;&gt;"",E861&lt;&gt;"",F861&lt;&gt;"",G861&lt;&gt;"",H861&lt;&gt;"",OR(J861&lt;&gt;"",K861&lt;&gt;""),OR(M861&lt;&gt;"",N861&lt;&gt;"",O861&lt;&gt;"")),"OK","ERRO: faltam "&amp;IF(A861="","SDR; ","")&amp;IF(B861="","Proprietário; ","")&amp;IF(C861="","Origem; ","")&amp;IF(D861="","Temperatura; ","")&amp;IF(E861="","Segmento; ","")&amp;IF(F861="","Time/Cluster; ","")&amp;IF(G861="","CNPJ; ","")&amp;IF(H861="","Razão Social; ","")&amp;IF(AND(J861="",K861=""),"nome do contato; ","")&amp;IF(AND(M861="",N861="",O861=""),"telefone, celular ou e-mail; ","")))</f>
      </c>
      <c r="AB861" s="6">
        <f>IF(COUNTA(A861:S861)=0,"",IF(AND(U861="OK",V861="OK",LEFT(W861,4)&lt;&gt;"ERRO",LEFT(X861,4)&lt;&gt;"ERRO",LEFT(Y861,4)&lt;&gt;"ERRO",AA861="OK"),"OK","REVISAR"))</f>
      </c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5"/>
      <c r="K862" s="4"/>
      <c r="L862" s="4"/>
      <c r="M862" s="4"/>
      <c r="N862" s="4"/>
      <c r="O862" s="4"/>
      <c r="P862" s="4"/>
      <c r="Q862" s="4"/>
      <c r="R862" s="4"/>
      <c r="S862" s="4"/>
      <c r="T862" s="6">
        <f>IF(G862="","",SUBSTITUTE(SUBSTITUTE(SUBSTITUTE(SUBSTITUTE(SUBSTITUTE(SUBSTITUTE(SUBSTITUTE(TRIM(G862),".",""),"/",""),"-","")," ",""),"(",""),")",""),"+",""))</f>
      </c>
      <c r="U862" s="6">
        <f>IF(T862="","",IF(LEN(T862)&lt;&gt;14,"ERRO: "&amp;LEN(T862)&amp;" dígitos",IF(NOT(ISNUMBER(VALUE(T862))),"ERRO: não numérico",IF(LEN(SUBSTITUTE(T862,LEFT(T862,1),""))=0,"ERRO: dígitos repetidos",IF(AND(VALUE(MID(T862,13,1))=IF(MOD(SUMPRODUCT(--MID(T862,{1,2,3,4,5,6,7,8,9,10,11,12},1),{5,4,3,2,9,8,7,6,5,4,3,2}),11)&lt;2,0,11-MOD(SUMPRODUCT(--MID(T862,{1,2,3,4,5,6,7,8,9,10,11,12},1),{5,4,3,2,9,8,7,6,5,4,3,2}),11)),VALUE(MID(T862,14,1))=IF(MOD(SUMPRODUCT(--MID(T862,{1,2,3,4,5,6,7,8,9,10,11,12,13},1),{6,5,4,3,2,9,8,7,6,5,4,3,2}),11)&lt;2,0,11-MOD(SUMPRODUCT(--MID(T862,{1,2,3,4,5,6,7,8,9,10,11,12,13},1),{6,5,4,3,2,9,8,7,6,5,4,3,2}),11))),"OK","ERRO: dígito verificador")))))</f>
      </c>
      <c r="V862" s="6">
        <f>IF(T862="","",IF(COUNTIF($T$2:$T$1001,T862)&gt;1,"DUPLICADO","OK"))</f>
      </c>
      <c r="W862" s="6">
        <f>IF(M862="","vazio",IF(OR(AND(LEN(SUBSTITUTE(SUBSTITUTE(SUBSTITUTE(SUBSTITUTE(SUBSTITUTE(SUBSTITUTE(SUBSTITUTE(TRIM(M862),".",""),"/",""),"-","")," ",""),"(",""),")",""),"+",""))=10,LEFT(SUBSTITUTE(SUBSTITUTE(SUBSTITUTE(SUBSTITUTE(SUBSTITUTE(SUBSTITUTE(SUBSTITUTE(TRIM(M862),".",""),"/",""),"-","")," ",""),"(",""),")",""),"+",""),1)&lt;&gt;"0"),AND(LEN(SUBSTITUTE(SUBSTITUTE(SUBSTITUTE(SUBSTITUTE(SUBSTITUTE(SUBSTITUTE(SUBSTITUTE(TRIM(M862),".",""),"/",""),"-","")," ",""),"(",""),")",""),"+",""))=11,LEFT(SUBSTITUTE(SUBSTITUTE(SUBSTITUTE(SUBSTITUTE(SUBSTITUTE(SUBSTITUTE(SUBSTITUTE(TRIM(M862),".",""),"/",""),"-","")," ",""),"(",""),")",""),"+",""),4)="0800")),"OK",IF(AND(LEN(SUBSTITUTE(SUBSTITUTE(SUBSTITUTE(SUBSTITUTE(SUBSTITUTE(SUBSTITUTE(SUBSTITUTE(TRIM(M862),".",""),"/",""),"-","")," ",""),"(",""),")",""),"+",""))=11,MID(SUBSTITUTE(SUBSTITUTE(SUBSTITUTE(SUBSTITUTE(SUBSTITUTE(SUBSTITUTE(SUBSTITUTE(TRIM(M862),".",""),"/",""),"-","")," ",""),"(",""),")",""),"+",""),3,1)="9"),"ERRO: é celular, use a coluna Celular","ERRO: DDD + 8 dígitos ou 0800 + 7")))</f>
      </c>
      <c r="X862" s="6">
        <f>IF(N862="","vazio",IF(AND(LEN(SUBSTITUTE(SUBSTITUTE(SUBSTITUTE(SUBSTITUTE(SUBSTITUTE(SUBSTITUTE(SUBSTITUTE(TRIM(N862),".",""),"/",""),"-","")," ",""),"(",""),")",""),"+",""))=11,MID(SUBSTITUTE(SUBSTITUTE(SUBSTITUTE(SUBSTITUTE(SUBSTITUTE(SUBSTITUTE(SUBSTITUTE(TRIM(N862),".",""),"/",""),"-","")," ",""),"(",""),")",""),"+",""),3,1)="9",LEFT(SUBSTITUTE(SUBSTITUTE(SUBSTITUTE(SUBSTITUTE(SUBSTITUTE(SUBSTITUTE(SUBSTITUTE(TRIM(N862),".",""),"/",""),"-","")," ",""),"(",""),")",""),"+",""),1)&lt;&gt;"0"),"OK",IF(LEN(SUBSTITUTE(SUBSTITUTE(SUBSTITUTE(SUBSTITUTE(SUBSTITUTE(SUBSTITUTE(SUBSTITUTE(TRIM(N862),".",""),"/",""),"-","")," ",""),"(",""),")",""),"+",""))=10,"ERRO: é fixo (ou falta o 9), use a coluna Telefone fixo","ERRO: DDD + 9 + 8 dígitos")))</f>
      </c>
      <c r="Y862" s="6">
        <f>IF(O862="","vazio",IF(AND(ISNUMBER(FIND("@",O862)),ISNUMBER(FIND(".",MID(O862,FIND("@",O862),99))),NOT(ISNUMBER(FIND(" ",TRIM(O862)))),NOT(ISNUMBER(FIND(";",O862))),NOT(ISNUMBER(FIND(",",O862)))),"OK","ERRO: um e-mail válido por linha"))</f>
      </c>
      <c r="Z862" s="6">
        <f>IF(AND(J862="",K862=""),"",IF(AND(J862&lt;&gt;"",K862&lt;&gt;""),"OK","pendente: só um nome (o GR completa ao converter)"))</f>
      </c>
      <c r="AA862" s="6">
        <f>IF(COUNTA(A862:S862)=0,"",IF(AND(A862&lt;&gt;"",B862&lt;&gt;"",C862&lt;&gt;"",D862&lt;&gt;"",E862&lt;&gt;"",F862&lt;&gt;"",G862&lt;&gt;"",H862&lt;&gt;"",OR(J862&lt;&gt;"",K862&lt;&gt;""),OR(M862&lt;&gt;"",N862&lt;&gt;"",O862&lt;&gt;"")),"OK","ERRO: faltam "&amp;IF(A862="","SDR; ","")&amp;IF(B862="","Proprietário; ","")&amp;IF(C862="","Origem; ","")&amp;IF(D862="","Temperatura; ","")&amp;IF(E862="","Segmento; ","")&amp;IF(F862="","Time/Cluster; ","")&amp;IF(G862="","CNPJ; ","")&amp;IF(H862="","Razão Social; ","")&amp;IF(AND(J862="",K862=""),"nome do contato; ","")&amp;IF(AND(M862="",N862="",O862=""),"telefone, celular ou e-mail; ","")))</f>
      </c>
      <c r="AB862" s="6">
        <f>IF(COUNTA(A862:S862)=0,"",IF(AND(U862="OK",V862="OK",LEFT(W862,4)&lt;&gt;"ERRO",LEFT(X862,4)&lt;&gt;"ERRO",LEFT(Y862,4)&lt;&gt;"ERRO",AA862="OK"),"OK","REVISAR"))</f>
      </c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5"/>
      <c r="K863" s="4"/>
      <c r="L863" s="4"/>
      <c r="M863" s="4"/>
      <c r="N863" s="4"/>
      <c r="O863" s="4"/>
      <c r="P863" s="4"/>
      <c r="Q863" s="4"/>
      <c r="R863" s="4"/>
      <c r="S863" s="4"/>
      <c r="T863" s="6">
        <f>IF(G863="","",SUBSTITUTE(SUBSTITUTE(SUBSTITUTE(SUBSTITUTE(SUBSTITUTE(SUBSTITUTE(SUBSTITUTE(TRIM(G863),".",""),"/",""),"-","")," ",""),"(",""),")",""),"+",""))</f>
      </c>
      <c r="U863" s="6">
        <f>IF(T863="","",IF(LEN(T863)&lt;&gt;14,"ERRO: "&amp;LEN(T863)&amp;" dígitos",IF(NOT(ISNUMBER(VALUE(T863))),"ERRO: não numérico",IF(LEN(SUBSTITUTE(T863,LEFT(T863,1),""))=0,"ERRO: dígitos repetidos",IF(AND(VALUE(MID(T863,13,1))=IF(MOD(SUMPRODUCT(--MID(T863,{1,2,3,4,5,6,7,8,9,10,11,12},1),{5,4,3,2,9,8,7,6,5,4,3,2}),11)&lt;2,0,11-MOD(SUMPRODUCT(--MID(T863,{1,2,3,4,5,6,7,8,9,10,11,12},1),{5,4,3,2,9,8,7,6,5,4,3,2}),11)),VALUE(MID(T863,14,1))=IF(MOD(SUMPRODUCT(--MID(T863,{1,2,3,4,5,6,7,8,9,10,11,12,13},1),{6,5,4,3,2,9,8,7,6,5,4,3,2}),11)&lt;2,0,11-MOD(SUMPRODUCT(--MID(T863,{1,2,3,4,5,6,7,8,9,10,11,12,13},1),{6,5,4,3,2,9,8,7,6,5,4,3,2}),11))),"OK","ERRO: dígito verificador")))))</f>
      </c>
      <c r="V863" s="6">
        <f>IF(T863="","",IF(COUNTIF($T$2:$T$1001,T863)&gt;1,"DUPLICADO","OK"))</f>
      </c>
      <c r="W863" s="6">
        <f>IF(M863="","vazio",IF(OR(AND(LEN(SUBSTITUTE(SUBSTITUTE(SUBSTITUTE(SUBSTITUTE(SUBSTITUTE(SUBSTITUTE(SUBSTITUTE(TRIM(M863),".",""),"/",""),"-","")," ",""),"(",""),")",""),"+",""))=10,LEFT(SUBSTITUTE(SUBSTITUTE(SUBSTITUTE(SUBSTITUTE(SUBSTITUTE(SUBSTITUTE(SUBSTITUTE(TRIM(M863),".",""),"/",""),"-","")," ",""),"(",""),")",""),"+",""),1)&lt;&gt;"0"),AND(LEN(SUBSTITUTE(SUBSTITUTE(SUBSTITUTE(SUBSTITUTE(SUBSTITUTE(SUBSTITUTE(SUBSTITUTE(TRIM(M863),".",""),"/",""),"-","")," ",""),"(",""),")",""),"+",""))=11,LEFT(SUBSTITUTE(SUBSTITUTE(SUBSTITUTE(SUBSTITUTE(SUBSTITUTE(SUBSTITUTE(SUBSTITUTE(TRIM(M863),".",""),"/",""),"-","")," ",""),"(",""),")",""),"+",""),4)="0800")),"OK",IF(AND(LEN(SUBSTITUTE(SUBSTITUTE(SUBSTITUTE(SUBSTITUTE(SUBSTITUTE(SUBSTITUTE(SUBSTITUTE(TRIM(M863),".",""),"/",""),"-","")," ",""),"(",""),")",""),"+",""))=11,MID(SUBSTITUTE(SUBSTITUTE(SUBSTITUTE(SUBSTITUTE(SUBSTITUTE(SUBSTITUTE(SUBSTITUTE(TRIM(M863),".",""),"/",""),"-","")," ",""),"(",""),")",""),"+",""),3,1)="9"),"ERRO: é celular, use a coluna Celular","ERRO: DDD + 8 dígitos ou 0800 + 7")))</f>
      </c>
      <c r="X863" s="6">
        <f>IF(N863="","vazio",IF(AND(LEN(SUBSTITUTE(SUBSTITUTE(SUBSTITUTE(SUBSTITUTE(SUBSTITUTE(SUBSTITUTE(SUBSTITUTE(TRIM(N863),".",""),"/",""),"-","")," ",""),"(",""),")",""),"+",""))=11,MID(SUBSTITUTE(SUBSTITUTE(SUBSTITUTE(SUBSTITUTE(SUBSTITUTE(SUBSTITUTE(SUBSTITUTE(TRIM(N863),".",""),"/",""),"-","")," ",""),"(",""),")",""),"+",""),3,1)="9",LEFT(SUBSTITUTE(SUBSTITUTE(SUBSTITUTE(SUBSTITUTE(SUBSTITUTE(SUBSTITUTE(SUBSTITUTE(TRIM(N863),".",""),"/",""),"-","")," ",""),"(",""),")",""),"+",""),1)&lt;&gt;"0"),"OK",IF(LEN(SUBSTITUTE(SUBSTITUTE(SUBSTITUTE(SUBSTITUTE(SUBSTITUTE(SUBSTITUTE(SUBSTITUTE(TRIM(N863),".",""),"/",""),"-","")," ",""),"(",""),")",""),"+",""))=10,"ERRO: é fixo (ou falta o 9), use a coluna Telefone fixo","ERRO: DDD + 9 + 8 dígitos")))</f>
      </c>
      <c r="Y863" s="6">
        <f>IF(O863="","vazio",IF(AND(ISNUMBER(FIND("@",O863)),ISNUMBER(FIND(".",MID(O863,FIND("@",O863),99))),NOT(ISNUMBER(FIND(" ",TRIM(O863)))),NOT(ISNUMBER(FIND(";",O863))),NOT(ISNUMBER(FIND(",",O863)))),"OK","ERRO: um e-mail válido por linha"))</f>
      </c>
      <c r="Z863" s="6">
        <f>IF(AND(J863="",K863=""),"",IF(AND(J863&lt;&gt;"",K863&lt;&gt;""),"OK","pendente: só um nome (o GR completa ao converter)"))</f>
      </c>
      <c r="AA863" s="6">
        <f>IF(COUNTA(A863:S863)=0,"",IF(AND(A863&lt;&gt;"",B863&lt;&gt;"",C863&lt;&gt;"",D863&lt;&gt;"",E863&lt;&gt;"",F863&lt;&gt;"",G863&lt;&gt;"",H863&lt;&gt;"",OR(J863&lt;&gt;"",K863&lt;&gt;""),OR(M863&lt;&gt;"",N863&lt;&gt;"",O863&lt;&gt;"")),"OK","ERRO: faltam "&amp;IF(A863="","SDR; ","")&amp;IF(B863="","Proprietário; ","")&amp;IF(C863="","Origem; ","")&amp;IF(D863="","Temperatura; ","")&amp;IF(E863="","Segmento; ","")&amp;IF(F863="","Time/Cluster; ","")&amp;IF(G863="","CNPJ; ","")&amp;IF(H863="","Razão Social; ","")&amp;IF(AND(J863="",K863=""),"nome do contato; ","")&amp;IF(AND(M863="",N863="",O863=""),"telefone, celular ou e-mail; ","")))</f>
      </c>
      <c r="AB863" s="6">
        <f>IF(COUNTA(A863:S863)=0,"",IF(AND(U863="OK",V863="OK",LEFT(W863,4)&lt;&gt;"ERRO",LEFT(X863,4)&lt;&gt;"ERRO",LEFT(Y863,4)&lt;&gt;"ERRO",AA863="OK"),"OK","REVISAR"))</f>
      </c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5"/>
      <c r="K864" s="4"/>
      <c r="L864" s="4"/>
      <c r="M864" s="4"/>
      <c r="N864" s="4"/>
      <c r="O864" s="4"/>
      <c r="P864" s="4"/>
      <c r="Q864" s="4"/>
      <c r="R864" s="4"/>
      <c r="S864" s="4"/>
      <c r="T864" s="6">
        <f>IF(G864="","",SUBSTITUTE(SUBSTITUTE(SUBSTITUTE(SUBSTITUTE(SUBSTITUTE(SUBSTITUTE(SUBSTITUTE(TRIM(G864),".",""),"/",""),"-","")," ",""),"(",""),")",""),"+",""))</f>
      </c>
      <c r="U864" s="6">
        <f>IF(T864="","",IF(LEN(T864)&lt;&gt;14,"ERRO: "&amp;LEN(T864)&amp;" dígitos",IF(NOT(ISNUMBER(VALUE(T864))),"ERRO: não numérico",IF(LEN(SUBSTITUTE(T864,LEFT(T864,1),""))=0,"ERRO: dígitos repetidos",IF(AND(VALUE(MID(T864,13,1))=IF(MOD(SUMPRODUCT(--MID(T864,{1,2,3,4,5,6,7,8,9,10,11,12},1),{5,4,3,2,9,8,7,6,5,4,3,2}),11)&lt;2,0,11-MOD(SUMPRODUCT(--MID(T864,{1,2,3,4,5,6,7,8,9,10,11,12},1),{5,4,3,2,9,8,7,6,5,4,3,2}),11)),VALUE(MID(T864,14,1))=IF(MOD(SUMPRODUCT(--MID(T864,{1,2,3,4,5,6,7,8,9,10,11,12,13},1),{6,5,4,3,2,9,8,7,6,5,4,3,2}),11)&lt;2,0,11-MOD(SUMPRODUCT(--MID(T864,{1,2,3,4,5,6,7,8,9,10,11,12,13},1),{6,5,4,3,2,9,8,7,6,5,4,3,2}),11))),"OK","ERRO: dígito verificador")))))</f>
      </c>
      <c r="V864" s="6">
        <f>IF(T864="","",IF(COUNTIF($T$2:$T$1001,T864)&gt;1,"DUPLICADO","OK"))</f>
      </c>
      <c r="W864" s="6">
        <f>IF(M864="","vazio",IF(OR(AND(LEN(SUBSTITUTE(SUBSTITUTE(SUBSTITUTE(SUBSTITUTE(SUBSTITUTE(SUBSTITUTE(SUBSTITUTE(TRIM(M864),".",""),"/",""),"-","")," ",""),"(",""),")",""),"+",""))=10,LEFT(SUBSTITUTE(SUBSTITUTE(SUBSTITUTE(SUBSTITUTE(SUBSTITUTE(SUBSTITUTE(SUBSTITUTE(TRIM(M864),".",""),"/",""),"-","")," ",""),"(",""),")",""),"+",""),1)&lt;&gt;"0"),AND(LEN(SUBSTITUTE(SUBSTITUTE(SUBSTITUTE(SUBSTITUTE(SUBSTITUTE(SUBSTITUTE(SUBSTITUTE(TRIM(M864),".",""),"/",""),"-","")," ",""),"(",""),")",""),"+",""))=11,LEFT(SUBSTITUTE(SUBSTITUTE(SUBSTITUTE(SUBSTITUTE(SUBSTITUTE(SUBSTITUTE(SUBSTITUTE(TRIM(M864),".",""),"/",""),"-","")," ",""),"(",""),")",""),"+",""),4)="0800")),"OK",IF(AND(LEN(SUBSTITUTE(SUBSTITUTE(SUBSTITUTE(SUBSTITUTE(SUBSTITUTE(SUBSTITUTE(SUBSTITUTE(TRIM(M864),".",""),"/",""),"-","")," ",""),"(",""),")",""),"+",""))=11,MID(SUBSTITUTE(SUBSTITUTE(SUBSTITUTE(SUBSTITUTE(SUBSTITUTE(SUBSTITUTE(SUBSTITUTE(TRIM(M864),".",""),"/",""),"-","")," ",""),"(",""),")",""),"+",""),3,1)="9"),"ERRO: é celular, use a coluna Celular","ERRO: DDD + 8 dígitos ou 0800 + 7")))</f>
      </c>
      <c r="X864" s="6">
        <f>IF(N864="","vazio",IF(AND(LEN(SUBSTITUTE(SUBSTITUTE(SUBSTITUTE(SUBSTITUTE(SUBSTITUTE(SUBSTITUTE(SUBSTITUTE(TRIM(N864),".",""),"/",""),"-","")," ",""),"(",""),")",""),"+",""))=11,MID(SUBSTITUTE(SUBSTITUTE(SUBSTITUTE(SUBSTITUTE(SUBSTITUTE(SUBSTITUTE(SUBSTITUTE(TRIM(N864),".",""),"/",""),"-","")," ",""),"(",""),")",""),"+",""),3,1)="9",LEFT(SUBSTITUTE(SUBSTITUTE(SUBSTITUTE(SUBSTITUTE(SUBSTITUTE(SUBSTITUTE(SUBSTITUTE(TRIM(N864),".",""),"/",""),"-","")," ",""),"(",""),")",""),"+",""),1)&lt;&gt;"0"),"OK",IF(LEN(SUBSTITUTE(SUBSTITUTE(SUBSTITUTE(SUBSTITUTE(SUBSTITUTE(SUBSTITUTE(SUBSTITUTE(TRIM(N864),".",""),"/",""),"-","")," ",""),"(",""),")",""),"+",""))=10,"ERRO: é fixo (ou falta o 9), use a coluna Telefone fixo","ERRO: DDD + 9 + 8 dígitos")))</f>
      </c>
      <c r="Y864" s="6">
        <f>IF(O864="","vazio",IF(AND(ISNUMBER(FIND("@",O864)),ISNUMBER(FIND(".",MID(O864,FIND("@",O864),99))),NOT(ISNUMBER(FIND(" ",TRIM(O864)))),NOT(ISNUMBER(FIND(";",O864))),NOT(ISNUMBER(FIND(",",O864)))),"OK","ERRO: um e-mail válido por linha"))</f>
      </c>
      <c r="Z864" s="6">
        <f>IF(AND(J864="",K864=""),"",IF(AND(J864&lt;&gt;"",K864&lt;&gt;""),"OK","pendente: só um nome (o GR completa ao converter)"))</f>
      </c>
      <c r="AA864" s="6">
        <f>IF(COUNTA(A864:S864)=0,"",IF(AND(A864&lt;&gt;"",B864&lt;&gt;"",C864&lt;&gt;"",D864&lt;&gt;"",E864&lt;&gt;"",F864&lt;&gt;"",G864&lt;&gt;"",H864&lt;&gt;"",OR(J864&lt;&gt;"",K864&lt;&gt;""),OR(M864&lt;&gt;"",N864&lt;&gt;"",O864&lt;&gt;"")),"OK","ERRO: faltam "&amp;IF(A864="","SDR; ","")&amp;IF(B864="","Proprietário; ","")&amp;IF(C864="","Origem; ","")&amp;IF(D864="","Temperatura; ","")&amp;IF(E864="","Segmento; ","")&amp;IF(F864="","Time/Cluster; ","")&amp;IF(G864="","CNPJ; ","")&amp;IF(H864="","Razão Social; ","")&amp;IF(AND(J864="",K864=""),"nome do contato; ","")&amp;IF(AND(M864="",N864="",O864=""),"telefone, celular ou e-mail; ","")))</f>
      </c>
      <c r="AB864" s="6">
        <f>IF(COUNTA(A864:S864)=0,"",IF(AND(U864="OK",V864="OK",LEFT(W864,4)&lt;&gt;"ERRO",LEFT(X864,4)&lt;&gt;"ERRO",LEFT(Y864,4)&lt;&gt;"ERRO",AA864="OK"),"OK","REVISAR"))</f>
      </c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5"/>
      <c r="K865" s="4"/>
      <c r="L865" s="4"/>
      <c r="M865" s="4"/>
      <c r="N865" s="4"/>
      <c r="O865" s="4"/>
      <c r="P865" s="4"/>
      <c r="Q865" s="4"/>
      <c r="R865" s="4"/>
      <c r="S865" s="4"/>
      <c r="T865" s="6">
        <f>IF(G865="","",SUBSTITUTE(SUBSTITUTE(SUBSTITUTE(SUBSTITUTE(SUBSTITUTE(SUBSTITUTE(SUBSTITUTE(TRIM(G865),".",""),"/",""),"-","")," ",""),"(",""),")",""),"+",""))</f>
      </c>
      <c r="U865" s="6">
        <f>IF(T865="","",IF(LEN(T865)&lt;&gt;14,"ERRO: "&amp;LEN(T865)&amp;" dígitos",IF(NOT(ISNUMBER(VALUE(T865))),"ERRO: não numérico",IF(LEN(SUBSTITUTE(T865,LEFT(T865,1),""))=0,"ERRO: dígitos repetidos",IF(AND(VALUE(MID(T865,13,1))=IF(MOD(SUMPRODUCT(--MID(T865,{1,2,3,4,5,6,7,8,9,10,11,12},1),{5,4,3,2,9,8,7,6,5,4,3,2}),11)&lt;2,0,11-MOD(SUMPRODUCT(--MID(T865,{1,2,3,4,5,6,7,8,9,10,11,12},1),{5,4,3,2,9,8,7,6,5,4,3,2}),11)),VALUE(MID(T865,14,1))=IF(MOD(SUMPRODUCT(--MID(T865,{1,2,3,4,5,6,7,8,9,10,11,12,13},1),{6,5,4,3,2,9,8,7,6,5,4,3,2}),11)&lt;2,0,11-MOD(SUMPRODUCT(--MID(T865,{1,2,3,4,5,6,7,8,9,10,11,12,13},1),{6,5,4,3,2,9,8,7,6,5,4,3,2}),11))),"OK","ERRO: dígito verificador")))))</f>
      </c>
      <c r="V865" s="6">
        <f>IF(T865="","",IF(COUNTIF($T$2:$T$1001,T865)&gt;1,"DUPLICADO","OK"))</f>
      </c>
      <c r="W865" s="6">
        <f>IF(M865="","vazio",IF(OR(AND(LEN(SUBSTITUTE(SUBSTITUTE(SUBSTITUTE(SUBSTITUTE(SUBSTITUTE(SUBSTITUTE(SUBSTITUTE(TRIM(M865),".",""),"/",""),"-","")," ",""),"(",""),")",""),"+",""))=10,LEFT(SUBSTITUTE(SUBSTITUTE(SUBSTITUTE(SUBSTITUTE(SUBSTITUTE(SUBSTITUTE(SUBSTITUTE(TRIM(M865),".",""),"/",""),"-","")," ",""),"(",""),")",""),"+",""),1)&lt;&gt;"0"),AND(LEN(SUBSTITUTE(SUBSTITUTE(SUBSTITUTE(SUBSTITUTE(SUBSTITUTE(SUBSTITUTE(SUBSTITUTE(TRIM(M865),".",""),"/",""),"-","")," ",""),"(",""),")",""),"+",""))=11,LEFT(SUBSTITUTE(SUBSTITUTE(SUBSTITUTE(SUBSTITUTE(SUBSTITUTE(SUBSTITUTE(SUBSTITUTE(TRIM(M865),".",""),"/",""),"-","")," ",""),"(",""),")",""),"+",""),4)="0800")),"OK",IF(AND(LEN(SUBSTITUTE(SUBSTITUTE(SUBSTITUTE(SUBSTITUTE(SUBSTITUTE(SUBSTITUTE(SUBSTITUTE(TRIM(M865),".",""),"/",""),"-","")," ",""),"(",""),")",""),"+",""))=11,MID(SUBSTITUTE(SUBSTITUTE(SUBSTITUTE(SUBSTITUTE(SUBSTITUTE(SUBSTITUTE(SUBSTITUTE(TRIM(M865),".",""),"/",""),"-","")," ",""),"(",""),")",""),"+",""),3,1)="9"),"ERRO: é celular, use a coluna Celular","ERRO: DDD + 8 dígitos ou 0800 + 7")))</f>
      </c>
      <c r="X865" s="6">
        <f>IF(N865="","vazio",IF(AND(LEN(SUBSTITUTE(SUBSTITUTE(SUBSTITUTE(SUBSTITUTE(SUBSTITUTE(SUBSTITUTE(SUBSTITUTE(TRIM(N865),".",""),"/",""),"-","")," ",""),"(",""),")",""),"+",""))=11,MID(SUBSTITUTE(SUBSTITUTE(SUBSTITUTE(SUBSTITUTE(SUBSTITUTE(SUBSTITUTE(SUBSTITUTE(TRIM(N865),".",""),"/",""),"-","")," ",""),"(",""),")",""),"+",""),3,1)="9",LEFT(SUBSTITUTE(SUBSTITUTE(SUBSTITUTE(SUBSTITUTE(SUBSTITUTE(SUBSTITUTE(SUBSTITUTE(TRIM(N865),".",""),"/",""),"-","")," ",""),"(",""),")",""),"+",""),1)&lt;&gt;"0"),"OK",IF(LEN(SUBSTITUTE(SUBSTITUTE(SUBSTITUTE(SUBSTITUTE(SUBSTITUTE(SUBSTITUTE(SUBSTITUTE(TRIM(N865),".",""),"/",""),"-","")," ",""),"(",""),")",""),"+",""))=10,"ERRO: é fixo (ou falta o 9), use a coluna Telefone fixo","ERRO: DDD + 9 + 8 dígitos")))</f>
      </c>
      <c r="Y865" s="6">
        <f>IF(O865="","vazio",IF(AND(ISNUMBER(FIND("@",O865)),ISNUMBER(FIND(".",MID(O865,FIND("@",O865),99))),NOT(ISNUMBER(FIND(" ",TRIM(O865)))),NOT(ISNUMBER(FIND(";",O865))),NOT(ISNUMBER(FIND(",",O865)))),"OK","ERRO: um e-mail válido por linha"))</f>
      </c>
      <c r="Z865" s="6">
        <f>IF(AND(J865="",K865=""),"",IF(AND(J865&lt;&gt;"",K865&lt;&gt;""),"OK","pendente: só um nome (o GR completa ao converter)"))</f>
      </c>
      <c r="AA865" s="6">
        <f>IF(COUNTA(A865:S865)=0,"",IF(AND(A865&lt;&gt;"",B865&lt;&gt;"",C865&lt;&gt;"",D865&lt;&gt;"",E865&lt;&gt;"",F865&lt;&gt;"",G865&lt;&gt;"",H865&lt;&gt;"",OR(J865&lt;&gt;"",K865&lt;&gt;""),OR(M865&lt;&gt;"",N865&lt;&gt;"",O865&lt;&gt;"")),"OK","ERRO: faltam "&amp;IF(A865="","SDR; ","")&amp;IF(B865="","Proprietário; ","")&amp;IF(C865="","Origem; ","")&amp;IF(D865="","Temperatura; ","")&amp;IF(E865="","Segmento; ","")&amp;IF(F865="","Time/Cluster; ","")&amp;IF(G865="","CNPJ; ","")&amp;IF(H865="","Razão Social; ","")&amp;IF(AND(J865="",K865=""),"nome do contato; ","")&amp;IF(AND(M865="",N865="",O865=""),"telefone, celular ou e-mail; ","")))</f>
      </c>
      <c r="AB865" s="6">
        <f>IF(COUNTA(A865:S865)=0,"",IF(AND(U865="OK",V865="OK",LEFT(W865,4)&lt;&gt;"ERRO",LEFT(X865,4)&lt;&gt;"ERRO",LEFT(Y865,4)&lt;&gt;"ERRO",AA865="OK"),"OK","REVISAR"))</f>
      </c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5"/>
      <c r="K866" s="4"/>
      <c r="L866" s="4"/>
      <c r="M866" s="4"/>
      <c r="N866" s="4"/>
      <c r="O866" s="4"/>
      <c r="P866" s="4"/>
      <c r="Q866" s="4"/>
      <c r="R866" s="4"/>
      <c r="S866" s="4"/>
      <c r="T866" s="6">
        <f>IF(G866="","",SUBSTITUTE(SUBSTITUTE(SUBSTITUTE(SUBSTITUTE(SUBSTITUTE(SUBSTITUTE(SUBSTITUTE(TRIM(G866),".",""),"/",""),"-","")," ",""),"(",""),")",""),"+",""))</f>
      </c>
      <c r="U866" s="6">
        <f>IF(T866="","",IF(LEN(T866)&lt;&gt;14,"ERRO: "&amp;LEN(T866)&amp;" dígitos",IF(NOT(ISNUMBER(VALUE(T866))),"ERRO: não numérico",IF(LEN(SUBSTITUTE(T866,LEFT(T866,1),""))=0,"ERRO: dígitos repetidos",IF(AND(VALUE(MID(T866,13,1))=IF(MOD(SUMPRODUCT(--MID(T866,{1,2,3,4,5,6,7,8,9,10,11,12},1),{5,4,3,2,9,8,7,6,5,4,3,2}),11)&lt;2,0,11-MOD(SUMPRODUCT(--MID(T866,{1,2,3,4,5,6,7,8,9,10,11,12},1),{5,4,3,2,9,8,7,6,5,4,3,2}),11)),VALUE(MID(T866,14,1))=IF(MOD(SUMPRODUCT(--MID(T866,{1,2,3,4,5,6,7,8,9,10,11,12,13},1),{6,5,4,3,2,9,8,7,6,5,4,3,2}),11)&lt;2,0,11-MOD(SUMPRODUCT(--MID(T866,{1,2,3,4,5,6,7,8,9,10,11,12,13},1),{6,5,4,3,2,9,8,7,6,5,4,3,2}),11))),"OK","ERRO: dígito verificador")))))</f>
      </c>
      <c r="V866" s="6">
        <f>IF(T866="","",IF(COUNTIF($T$2:$T$1001,T866)&gt;1,"DUPLICADO","OK"))</f>
      </c>
      <c r="W866" s="6">
        <f>IF(M866="","vazio",IF(OR(AND(LEN(SUBSTITUTE(SUBSTITUTE(SUBSTITUTE(SUBSTITUTE(SUBSTITUTE(SUBSTITUTE(SUBSTITUTE(TRIM(M866),".",""),"/",""),"-","")," ",""),"(",""),")",""),"+",""))=10,LEFT(SUBSTITUTE(SUBSTITUTE(SUBSTITUTE(SUBSTITUTE(SUBSTITUTE(SUBSTITUTE(SUBSTITUTE(TRIM(M866),".",""),"/",""),"-","")," ",""),"(",""),")",""),"+",""),1)&lt;&gt;"0"),AND(LEN(SUBSTITUTE(SUBSTITUTE(SUBSTITUTE(SUBSTITUTE(SUBSTITUTE(SUBSTITUTE(SUBSTITUTE(TRIM(M866),".",""),"/",""),"-","")," ",""),"(",""),")",""),"+",""))=11,LEFT(SUBSTITUTE(SUBSTITUTE(SUBSTITUTE(SUBSTITUTE(SUBSTITUTE(SUBSTITUTE(SUBSTITUTE(TRIM(M866),".",""),"/",""),"-","")," ",""),"(",""),")",""),"+",""),4)="0800")),"OK",IF(AND(LEN(SUBSTITUTE(SUBSTITUTE(SUBSTITUTE(SUBSTITUTE(SUBSTITUTE(SUBSTITUTE(SUBSTITUTE(TRIM(M866),".",""),"/",""),"-","")," ",""),"(",""),")",""),"+",""))=11,MID(SUBSTITUTE(SUBSTITUTE(SUBSTITUTE(SUBSTITUTE(SUBSTITUTE(SUBSTITUTE(SUBSTITUTE(TRIM(M866),".",""),"/",""),"-","")," ",""),"(",""),")",""),"+",""),3,1)="9"),"ERRO: é celular, use a coluna Celular","ERRO: DDD + 8 dígitos ou 0800 + 7")))</f>
      </c>
      <c r="X866" s="6">
        <f>IF(N866="","vazio",IF(AND(LEN(SUBSTITUTE(SUBSTITUTE(SUBSTITUTE(SUBSTITUTE(SUBSTITUTE(SUBSTITUTE(SUBSTITUTE(TRIM(N866),".",""),"/",""),"-","")," ",""),"(",""),")",""),"+",""))=11,MID(SUBSTITUTE(SUBSTITUTE(SUBSTITUTE(SUBSTITUTE(SUBSTITUTE(SUBSTITUTE(SUBSTITUTE(TRIM(N866),".",""),"/",""),"-","")," ",""),"(",""),")",""),"+",""),3,1)="9",LEFT(SUBSTITUTE(SUBSTITUTE(SUBSTITUTE(SUBSTITUTE(SUBSTITUTE(SUBSTITUTE(SUBSTITUTE(TRIM(N866),".",""),"/",""),"-","")," ",""),"(",""),")",""),"+",""),1)&lt;&gt;"0"),"OK",IF(LEN(SUBSTITUTE(SUBSTITUTE(SUBSTITUTE(SUBSTITUTE(SUBSTITUTE(SUBSTITUTE(SUBSTITUTE(TRIM(N866),".",""),"/",""),"-","")," ",""),"(",""),")",""),"+",""))=10,"ERRO: é fixo (ou falta o 9), use a coluna Telefone fixo","ERRO: DDD + 9 + 8 dígitos")))</f>
      </c>
      <c r="Y866" s="6">
        <f>IF(O866="","vazio",IF(AND(ISNUMBER(FIND("@",O866)),ISNUMBER(FIND(".",MID(O866,FIND("@",O866),99))),NOT(ISNUMBER(FIND(" ",TRIM(O866)))),NOT(ISNUMBER(FIND(";",O866))),NOT(ISNUMBER(FIND(",",O866)))),"OK","ERRO: um e-mail válido por linha"))</f>
      </c>
      <c r="Z866" s="6">
        <f>IF(AND(J866="",K866=""),"",IF(AND(J866&lt;&gt;"",K866&lt;&gt;""),"OK","pendente: só um nome (o GR completa ao converter)"))</f>
      </c>
      <c r="AA866" s="6">
        <f>IF(COUNTA(A866:S866)=0,"",IF(AND(A866&lt;&gt;"",B866&lt;&gt;"",C866&lt;&gt;"",D866&lt;&gt;"",E866&lt;&gt;"",F866&lt;&gt;"",G866&lt;&gt;"",H866&lt;&gt;"",OR(J866&lt;&gt;"",K866&lt;&gt;""),OR(M866&lt;&gt;"",N866&lt;&gt;"",O866&lt;&gt;"")),"OK","ERRO: faltam "&amp;IF(A866="","SDR; ","")&amp;IF(B866="","Proprietário; ","")&amp;IF(C866="","Origem; ","")&amp;IF(D866="","Temperatura; ","")&amp;IF(E866="","Segmento; ","")&amp;IF(F866="","Time/Cluster; ","")&amp;IF(G866="","CNPJ; ","")&amp;IF(H866="","Razão Social; ","")&amp;IF(AND(J866="",K866=""),"nome do contato; ","")&amp;IF(AND(M866="",N866="",O866=""),"telefone, celular ou e-mail; ","")))</f>
      </c>
      <c r="AB866" s="6">
        <f>IF(COUNTA(A866:S866)=0,"",IF(AND(U866="OK",V866="OK",LEFT(W866,4)&lt;&gt;"ERRO",LEFT(X866,4)&lt;&gt;"ERRO",LEFT(Y866,4)&lt;&gt;"ERRO",AA866="OK"),"OK","REVISAR"))</f>
      </c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5"/>
      <c r="K867" s="4"/>
      <c r="L867" s="4"/>
      <c r="M867" s="4"/>
      <c r="N867" s="4"/>
      <c r="O867" s="4"/>
      <c r="P867" s="4"/>
      <c r="Q867" s="4"/>
      <c r="R867" s="4"/>
      <c r="S867" s="4"/>
      <c r="T867" s="6">
        <f>IF(G867="","",SUBSTITUTE(SUBSTITUTE(SUBSTITUTE(SUBSTITUTE(SUBSTITUTE(SUBSTITUTE(SUBSTITUTE(TRIM(G867),".",""),"/",""),"-","")," ",""),"(",""),")",""),"+",""))</f>
      </c>
      <c r="U867" s="6">
        <f>IF(T867="","",IF(LEN(T867)&lt;&gt;14,"ERRO: "&amp;LEN(T867)&amp;" dígitos",IF(NOT(ISNUMBER(VALUE(T867))),"ERRO: não numérico",IF(LEN(SUBSTITUTE(T867,LEFT(T867,1),""))=0,"ERRO: dígitos repetidos",IF(AND(VALUE(MID(T867,13,1))=IF(MOD(SUMPRODUCT(--MID(T867,{1,2,3,4,5,6,7,8,9,10,11,12},1),{5,4,3,2,9,8,7,6,5,4,3,2}),11)&lt;2,0,11-MOD(SUMPRODUCT(--MID(T867,{1,2,3,4,5,6,7,8,9,10,11,12},1),{5,4,3,2,9,8,7,6,5,4,3,2}),11)),VALUE(MID(T867,14,1))=IF(MOD(SUMPRODUCT(--MID(T867,{1,2,3,4,5,6,7,8,9,10,11,12,13},1),{6,5,4,3,2,9,8,7,6,5,4,3,2}),11)&lt;2,0,11-MOD(SUMPRODUCT(--MID(T867,{1,2,3,4,5,6,7,8,9,10,11,12,13},1),{6,5,4,3,2,9,8,7,6,5,4,3,2}),11))),"OK","ERRO: dígito verificador")))))</f>
      </c>
      <c r="V867" s="6">
        <f>IF(T867="","",IF(COUNTIF($T$2:$T$1001,T867)&gt;1,"DUPLICADO","OK"))</f>
      </c>
      <c r="W867" s="6">
        <f>IF(M867="","vazio",IF(OR(AND(LEN(SUBSTITUTE(SUBSTITUTE(SUBSTITUTE(SUBSTITUTE(SUBSTITUTE(SUBSTITUTE(SUBSTITUTE(TRIM(M867),".",""),"/",""),"-","")," ",""),"(",""),")",""),"+",""))=10,LEFT(SUBSTITUTE(SUBSTITUTE(SUBSTITUTE(SUBSTITUTE(SUBSTITUTE(SUBSTITUTE(SUBSTITUTE(TRIM(M867),".",""),"/",""),"-","")," ",""),"(",""),")",""),"+",""),1)&lt;&gt;"0"),AND(LEN(SUBSTITUTE(SUBSTITUTE(SUBSTITUTE(SUBSTITUTE(SUBSTITUTE(SUBSTITUTE(SUBSTITUTE(TRIM(M867),".",""),"/",""),"-","")," ",""),"(",""),")",""),"+",""))=11,LEFT(SUBSTITUTE(SUBSTITUTE(SUBSTITUTE(SUBSTITUTE(SUBSTITUTE(SUBSTITUTE(SUBSTITUTE(TRIM(M867),".",""),"/",""),"-","")," ",""),"(",""),")",""),"+",""),4)="0800")),"OK",IF(AND(LEN(SUBSTITUTE(SUBSTITUTE(SUBSTITUTE(SUBSTITUTE(SUBSTITUTE(SUBSTITUTE(SUBSTITUTE(TRIM(M867),".",""),"/",""),"-","")," ",""),"(",""),")",""),"+",""))=11,MID(SUBSTITUTE(SUBSTITUTE(SUBSTITUTE(SUBSTITUTE(SUBSTITUTE(SUBSTITUTE(SUBSTITUTE(TRIM(M867),".",""),"/",""),"-","")," ",""),"(",""),")",""),"+",""),3,1)="9"),"ERRO: é celular, use a coluna Celular","ERRO: DDD + 8 dígitos ou 0800 + 7")))</f>
      </c>
      <c r="X867" s="6">
        <f>IF(N867="","vazio",IF(AND(LEN(SUBSTITUTE(SUBSTITUTE(SUBSTITUTE(SUBSTITUTE(SUBSTITUTE(SUBSTITUTE(SUBSTITUTE(TRIM(N867),".",""),"/",""),"-","")," ",""),"(",""),")",""),"+",""))=11,MID(SUBSTITUTE(SUBSTITUTE(SUBSTITUTE(SUBSTITUTE(SUBSTITUTE(SUBSTITUTE(SUBSTITUTE(TRIM(N867),".",""),"/",""),"-","")," ",""),"(",""),")",""),"+",""),3,1)="9",LEFT(SUBSTITUTE(SUBSTITUTE(SUBSTITUTE(SUBSTITUTE(SUBSTITUTE(SUBSTITUTE(SUBSTITUTE(TRIM(N867),".",""),"/",""),"-","")," ",""),"(",""),")",""),"+",""),1)&lt;&gt;"0"),"OK",IF(LEN(SUBSTITUTE(SUBSTITUTE(SUBSTITUTE(SUBSTITUTE(SUBSTITUTE(SUBSTITUTE(SUBSTITUTE(TRIM(N867),".",""),"/",""),"-","")," ",""),"(",""),")",""),"+",""))=10,"ERRO: é fixo (ou falta o 9), use a coluna Telefone fixo","ERRO: DDD + 9 + 8 dígitos")))</f>
      </c>
      <c r="Y867" s="6">
        <f>IF(O867="","vazio",IF(AND(ISNUMBER(FIND("@",O867)),ISNUMBER(FIND(".",MID(O867,FIND("@",O867),99))),NOT(ISNUMBER(FIND(" ",TRIM(O867)))),NOT(ISNUMBER(FIND(";",O867))),NOT(ISNUMBER(FIND(",",O867)))),"OK","ERRO: um e-mail válido por linha"))</f>
      </c>
      <c r="Z867" s="6">
        <f>IF(AND(J867="",K867=""),"",IF(AND(J867&lt;&gt;"",K867&lt;&gt;""),"OK","pendente: só um nome (o GR completa ao converter)"))</f>
      </c>
      <c r="AA867" s="6">
        <f>IF(COUNTA(A867:S867)=0,"",IF(AND(A867&lt;&gt;"",B867&lt;&gt;"",C867&lt;&gt;"",D867&lt;&gt;"",E867&lt;&gt;"",F867&lt;&gt;"",G867&lt;&gt;"",H867&lt;&gt;"",OR(J867&lt;&gt;"",K867&lt;&gt;""),OR(M867&lt;&gt;"",N867&lt;&gt;"",O867&lt;&gt;"")),"OK","ERRO: faltam "&amp;IF(A867="","SDR; ","")&amp;IF(B867="","Proprietário; ","")&amp;IF(C867="","Origem; ","")&amp;IF(D867="","Temperatura; ","")&amp;IF(E867="","Segmento; ","")&amp;IF(F867="","Time/Cluster; ","")&amp;IF(G867="","CNPJ; ","")&amp;IF(H867="","Razão Social; ","")&amp;IF(AND(J867="",K867=""),"nome do contato; ","")&amp;IF(AND(M867="",N867="",O867=""),"telefone, celular ou e-mail; ","")))</f>
      </c>
      <c r="AB867" s="6">
        <f>IF(COUNTA(A867:S867)=0,"",IF(AND(U867="OK",V867="OK",LEFT(W867,4)&lt;&gt;"ERRO",LEFT(X867,4)&lt;&gt;"ERRO",LEFT(Y867,4)&lt;&gt;"ERRO",AA867="OK"),"OK","REVISAR"))</f>
      </c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5"/>
      <c r="K868" s="4"/>
      <c r="L868" s="4"/>
      <c r="M868" s="4"/>
      <c r="N868" s="4"/>
      <c r="O868" s="4"/>
      <c r="P868" s="4"/>
      <c r="Q868" s="4"/>
      <c r="R868" s="4"/>
      <c r="S868" s="4"/>
      <c r="T868" s="6">
        <f>IF(G868="","",SUBSTITUTE(SUBSTITUTE(SUBSTITUTE(SUBSTITUTE(SUBSTITUTE(SUBSTITUTE(SUBSTITUTE(TRIM(G868),".",""),"/",""),"-","")," ",""),"(",""),")",""),"+",""))</f>
      </c>
      <c r="U868" s="6">
        <f>IF(T868="","",IF(LEN(T868)&lt;&gt;14,"ERRO: "&amp;LEN(T868)&amp;" dígitos",IF(NOT(ISNUMBER(VALUE(T868))),"ERRO: não numérico",IF(LEN(SUBSTITUTE(T868,LEFT(T868,1),""))=0,"ERRO: dígitos repetidos",IF(AND(VALUE(MID(T868,13,1))=IF(MOD(SUMPRODUCT(--MID(T868,{1,2,3,4,5,6,7,8,9,10,11,12},1),{5,4,3,2,9,8,7,6,5,4,3,2}),11)&lt;2,0,11-MOD(SUMPRODUCT(--MID(T868,{1,2,3,4,5,6,7,8,9,10,11,12},1),{5,4,3,2,9,8,7,6,5,4,3,2}),11)),VALUE(MID(T868,14,1))=IF(MOD(SUMPRODUCT(--MID(T868,{1,2,3,4,5,6,7,8,9,10,11,12,13},1),{6,5,4,3,2,9,8,7,6,5,4,3,2}),11)&lt;2,0,11-MOD(SUMPRODUCT(--MID(T868,{1,2,3,4,5,6,7,8,9,10,11,12,13},1),{6,5,4,3,2,9,8,7,6,5,4,3,2}),11))),"OK","ERRO: dígito verificador")))))</f>
      </c>
      <c r="V868" s="6">
        <f>IF(T868="","",IF(COUNTIF($T$2:$T$1001,T868)&gt;1,"DUPLICADO","OK"))</f>
      </c>
      <c r="W868" s="6">
        <f>IF(M868="","vazio",IF(OR(AND(LEN(SUBSTITUTE(SUBSTITUTE(SUBSTITUTE(SUBSTITUTE(SUBSTITUTE(SUBSTITUTE(SUBSTITUTE(TRIM(M868),".",""),"/",""),"-","")," ",""),"(",""),")",""),"+",""))=10,LEFT(SUBSTITUTE(SUBSTITUTE(SUBSTITUTE(SUBSTITUTE(SUBSTITUTE(SUBSTITUTE(SUBSTITUTE(TRIM(M868),".",""),"/",""),"-","")," ",""),"(",""),")",""),"+",""),1)&lt;&gt;"0"),AND(LEN(SUBSTITUTE(SUBSTITUTE(SUBSTITUTE(SUBSTITUTE(SUBSTITUTE(SUBSTITUTE(SUBSTITUTE(TRIM(M868),".",""),"/",""),"-","")," ",""),"(",""),")",""),"+",""))=11,LEFT(SUBSTITUTE(SUBSTITUTE(SUBSTITUTE(SUBSTITUTE(SUBSTITUTE(SUBSTITUTE(SUBSTITUTE(TRIM(M868),".",""),"/",""),"-","")," ",""),"(",""),")",""),"+",""),4)="0800")),"OK",IF(AND(LEN(SUBSTITUTE(SUBSTITUTE(SUBSTITUTE(SUBSTITUTE(SUBSTITUTE(SUBSTITUTE(SUBSTITUTE(TRIM(M868),".",""),"/",""),"-","")," ",""),"(",""),")",""),"+",""))=11,MID(SUBSTITUTE(SUBSTITUTE(SUBSTITUTE(SUBSTITUTE(SUBSTITUTE(SUBSTITUTE(SUBSTITUTE(TRIM(M868),".",""),"/",""),"-","")," ",""),"(",""),")",""),"+",""),3,1)="9"),"ERRO: é celular, use a coluna Celular","ERRO: DDD + 8 dígitos ou 0800 + 7")))</f>
      </c>
      <c r="X868" s="6">
        <f>IF(N868="","vazio",IF(AND(LEN(SUBSTITUTE(SUBSTITUTE(SUBSTITUTE(SUBSTITUTE(SUBSTITUTE(SUBSTITUTE(SUBSTITUTE(TRIM(N868),".",""),"/",""),"-","")," ",""),"(",""),")",""),"+",""))=11,MID(SUBSTITUTE(SUBSTITUTE(SUBSTITUTE(SUBSTITUTE(SUBSTITUTE(SUBSTITUTE(SUBSTITUTE(TRIM(N868),".",""),"/",""),"-","")," ",""),"(",""),")",""),"+",""),3,1)="9",LEFT(SUBSTITUTE(SUBSTITUTE(SUBSTITUTE(SUBSTITUTE(SUBSTITUTE(SUBSTITUTE(SUBSTITUTE(TRIM(N868),".",""),"/",""),"-","")," ",""),"(",""),")",""),"+",""),1)&lt;&gt;"0"),"OK",IF(LEN(SUBSTITUTE(SUBSTITUTE(SUBSTITUTE(SUBSTITUTE(SUBSTITUTE(SUBSTITUTE(SUBSTITUTE(TRIM(N868),".",""),"/",""),"-","")," ",""),"(",""),")",""),"+",""))=10,"ERRO: é fixo (ou falta o 9), use a coluna Telefone fixo","ERRO: DDD + 9 + 8 dígitos")))</f>
      </c>
      <c r="Y868" s="6">
        <f>IF(O868="","vazio",IF(AND(ISNUMBER(FIND("@",O868)),ISNUMBER(FIND(".",MID(O868,FIND("@",O868),99))),NOT(ISNUMBER(FIND(" ",TRIM(O868)))),NOT(ISNUMBER(FIND(";",O868))),NOT(ISNUMBER(FIND(",",O868)))),"OK","ERRO: um e-mail válido por linha"))</f>
      </c>
      <c r="Z868" s="6">
        <f>IF(AND(J868="",K868=""),"",IF(AND(J868&lt;&gt;"",K868&lt;&gt;""),"OK","pendente: só um nome (o GR completa ao converter)"))</f>
      </c>
      <c r="AA868" s="6">
        <f>IF(COUNTA(A868:S868)=0,"",IF(AND(A868&lt;&gt;"",B868&lt;&gt;"",C868&lt;&gt;"",D868&lt;&gt;"",E868&lt;&gt;"",F868&lt;&gt;"",G868&lt;&gt;"",H868&lt;&gt;"",OR(J868&lt;&gt;"",K868&lt;&gt;""),OR(M868&lt;&gt;"",N868&lt;&gt;"",O868&lt;&gt;"")),"OK","ERRO: faltam "&amp;IF(A868="","SDR; ","")&amp;IF(B868="","Proprietário; ","")&amp;IF(C868="","Origem; ","")&amp;IF(D868="","Temperatura; ","")&amp;IF(E868="","Segmento; ","")&amp;IF(F868="","Time/Cluster; ","")&amp;IF(G868="","CNPJ; ","")&amp;IF(H868="","Razão Social; ","")&amp;IF(AND(J868="",K868=""),"nome do contato; ","")&amp;IF(AND(M868="",N868="",O868=""),"telefone, celular ou e-mail; ","")))</f>
      </c>
      <c r="AB868" s="6">
        <f>IF(COUNTA(A868:S868)=0,"",IF(AND(U868="OK",V868="OK",LEFT(W868,4)&lt;&gt;"ERRO",LEFT(X868,4)&lt;&gt;"ERRO",LEFT(Y868,4)&lt;&gt;"ERRO",AA868="OK"),"OK","REVISAR"))</f>
      </c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5"/>
      <c r="K869" s="4"/>
      <c r="L869" s="4"/>
      <c r="M869" s="4"/>
      <c r="N869" s="4"/>
      <c r="O869" s="4"/>
      <c r="P869" s="4"/>
      <c r="Q869" s="4"/>
      <c r="R869" s="4"/>
      <c r="S869" s="4"/>
      <c r="T869" s="6">
        <f>IF(G869="","",SUBSTITUTE(SUBSTITUTE(SUBSTITUTE(SUBSTITUTE(SUBSTITUTE(SUBSTITUTE(SUBSTITUTE(TRIM(G869),".",""),"/",""),"-","")," ",""),"(",""),")",""),"+",""))</f>
      </c>
      <c r="U869" s="6">
        <f>IF(T869="","",IF(LEN(T869)&lt;&gt;14,"ERRO: "&amp;LEN(T869)&amp;" dígitos",IF(NOT(ISNUMBER(VALUE(T869))),"ERRO: não numérico",IF(LEN(SUBSTITUTE(T869,LEFT(T869,1),""))=0,"ERRO: dígitos repetidos",IF(AND(VALUE(MID(T869,13,1))=IF(MOD(SUMPRODUCT(--MID(T869,{1,2,3,4,5,6,7,8,9,10,11,12},1),{5,4,3,2,9,8,7,6,5,4,3,2}),11)&lt;2,0,11-MOD(SUMPRODUCT(--MID(T869,{1,2,3,4,5,6,7,8,9,10,11,12},1),{5,4,3,2,9,8,7,6,5,4,3,2}),11)),VALUE(MID(T869,14,1))=IF(MOD(SUMPRODUCT(--MID(T869,{1,2,3,4,5,6,7,8,9,10,11,12,13},1),{6,5,4,3,2,9,8,7,6,5,4,3,2}),11)&lt;2,0,11-MOD(SUMPRODUCT(--MID(T869,{1,2,3,4,5,6,7,8,9,10,11,12,13},1),{6,5,4,3,2,9,8,7,6,5,4,3,2}),11))),"OK","ERRO: dígito verificador")))))</f>
      </c>
      <c r="V869" s="6">
        <f>IF(T869="","",IF(COUNTIF($T$2:$T$1001,T869)&gt;1,"DUPLICADO","OK"))</f>
      </c>
      <c r="W869" s="6">
        <f>IF(M869="","vazio",IF(OR(AND(LEN(SUBSTITUTE(SUBSTITUTE(SUBSTITUTE(SUBSTITUTE(SUBSTITUTE(SUBSTITUTE(SUBSTITUTE(TRIM(M869),".",""),"/",""),"-","")," ",""),"(",""),")",""),"+",""))=10,LEFT(SUBSTITUTE(SUBSTITUTE(SUBSTITUTE(SUBSTITUTE(SUBSTITUTE(SUBSTITUTE(SUBSTITUTE(TRIM(M869),".",""),"/",""),"-","")," ",""),"(",""),")",""),"+",""),1)&lt;&gt;"0"),AND(LEN(SUBSTITUTE(SUBSTITUTE(SUBSTITUTE(SUBSTITUTE(SUBSTITUTE(SUBSTITUTE(SUBSTITUTE(TRIM(M869),".",""),"/",""),"-","")," ",""),"(",""),")",""),"+",""))=11,LEFT(SUBSTITUTE(SUBSTITUTE(SUBSTITUTE(SUBSTITUTE(SUBSTITUTE(SUBSTITUTE(SUBSTITUTE(TRIM(M869),".",""),"/",""),"-","")," ",""),"(",""),")",""),"+",""),4)="0800")),"OK",IF(AND(LEN(SUBSTITUTE(SUBSTITUTE(SUBSTITUTE(SUBSTITUTE(SUBSTITUTE(SUBSTITUTE(SUBSTITUTE(TRIM(M869),".",""),"/",""),"-","")," ",""),"(",""),")",""),"+",""))=11,MID(SUBSTITUTE(SUBSTITUTE(SUBSTITUTE(SUBSTITUTE(SUBSTITUTE(SUBSTITUTE(SUBSTITUTE(TRIM(M869),".",""),"/",""),"-","")," ",""),"(",""),")",""),"+",""),3,1)="9"),"ERRO: é celular, use a coluna Celular","ERRO: DDD + 8 dígitos ou 0800 + 7")))</f>
      </c>
      <c r="X869" s="6">
        <f>IF(N869="","vazio",IF(AND(LEN(SUBSTITUTE(SUBSTITUTE(SUBSTITUTE(SUBSTITUTE(SUBSTITUTE(SUBSTITUTE(SUBSTITUTE(TRIM(N869),".",""),"/",""),"-","")," ",""),"(",""),")",""),"+",""))=11,MID(SUBSTITUTE(SUBSTITUTE(SUBSTITUTE(SUBSTITUTE(SUBSTITUTE(SUBSTITUTE(SUBSTITUTE(TRIM(N869),".",""),"/",""),"-","")," ",""),"(",""),")",""),"+",""),3,1)="9",LEFT(SUBSTITUTE(SUBSTITUTE(SUBSTITUTE(SUBSTITUTE(SUBSTITUTE(SUBSTITUTE(SUBSTITUTE(TRIM(N869),".",""),"/",""),"-","")," ",""),"(",""),")",""),"+",""),1)&lt;&gt;"0"),"OK",IF(LEN(SUBSTITUTE(SUBSTITUTE(SUBSTITUTE(SUBSTITUTE(SUBSTITUTE(SUBSTITUTE(SUBSTITUTE(TRIM(N869),".",""),"/",""),"-","")," ",""),"(",""),")",""),"+",""))=10,"ERRO: é fixo (ou falta o 9), use a coluna Telefone fixo","ERRO: DDD + 9 + 8 dígitos")))</f>
      </c>
      <c r="Y869" s="6">
        <f>IF(O869="","vazio",IF(AND(ISNUMBER(FIND("@",O869)),ISNUMBER(FIND(".",MID(O869,FIND("@",O869),99))),NOT(ISNUMBER(FIND(" ",TRIM(O869)))),NOT(ISNUMBER(FIND(";",O869))),NOT(ISNUMBER(FIND(",",O869)))),"OK","ERRO: um e-mail válido por linha"))</f>
      </c>
      <c r="Z869" s="6">
        <f>IF(AND(J869="",K869=""),"",IF(AND(J869&lt;&gt;"",K869&lt;&gt;""),"OK","pendente: só um nome (o GR completa ao converter)"))</f>
      </c>
      <c r="AA869" s="6">
        <f>IF(COUNTA(A869:S869)=0,"",IF(AND(A869&lt;&gt;"",B869&lt;&gt;"",C869&lt;&gt;"",D869&lt;&gt;"",E869&lt;&gt;"",F869&lt;&gt;"",G869&lt;&gt;"",H869&lt;&gt;"",OR(J869&lt;&gt;"",K869&lt;&gt;""),OR(M869&lt;&gt;"",N869&lt;&gt;"",O869&lt;&gt;"")),"OK","ERRO: faltam "&amp;IF(A869="","SDR; ","")&amp;IF(B869="","Proprietário; ","")&amp;IF(C869="","Origem; ","")&amp;IF(D869="","Temperatura; ","")&amp;IF(E869="","Segmento; ","")&amp;IF(F869="","Time/Cluster; ","")&amp;IF(G869="","CNPJ; ","")&amp;IF(H869="","Razão Social; ","")&amp;IF(AND(J869="",K869=""),"nome do contato; ","")&amp;IF(AND(M869="",N869="",O869=""),"telefone, celular ou e-mail; ","")))</f>
      </c>
      <c r="AB869" s="6">
        <f>IF(COUNTA(A869:S869)=0,"",IF(AND(U869="OK",V869="OK",LEFT(W869,4)&lt;&gt;"ERRO",LEFT(X869,4)&lt;&gt;"ERRO",LEFT(Y869,4)&lt;&gt;"ERRO",AA869="OK"),"OK","REVISAR"))</f>
      </c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5"/>
      <c r="K870" s="4"/>
      <c r="L870" s="4"/>
      <c r="M870" s="4"/>
      <c r="N870" s="4"/>
      <c r="O870" s="4"/>
      <c r="P870" s="4"/>
      <c r="Q870" s="4"/>
      <c r="R870" s="4"/>
      <c r="S870" s="4"/>
      <c r="T870" s="6">
        <f>IF(G870="","",SUBSTITUTE(SUBSTITUTE(SUBSTITUTE(SUBSTITUTE(SUBSTITUTE(SUBSTITUTE(SUBSTITUTE(TRIM(G870),".",""),"/",""),"-","")," ",""),"(",""),")",""),"+",""))</f>
      </c>
      <c r="U870" s="6">
        <f>IF(T870="","",IF(LEN(T870)&lt;&gt;14,"ERRO: "&amp;LEN(T870)&amp;" dígitos",IF(NOT(ISNUMBER(VALUE(T870))),"ERRO: não numérico",IF(LEN(SUBSTITUTE(T870,LEFT(T870,1),""))=0,"ERRO: dígitos repetidos",IF(AND(VALUE(MID(T870,13,1))=IF(MOD(SUMPRODUCT(--MID(T870,{1,2,3,4,5,6,7,8,9,10,11,12},1),{5,4,3,2,9,8,7,6,5,4,3,2}),11)&lt;2,0,11-MOD(SUMPRODUCT(--MID(T870,{1,2,3,4,5,6,7,8,9,10,11,12},1),{5,4,3,2,9,8,7,6,5,4,3,2}),11)),VALUE(MID(T870,14,1))=IF(MOD(SUMPRODUCT(--MID(T870,{1,2,3,4,5,6,7,8,9,10,11,12,13},1),{6,5,4,3,2,9,8,7,6,5,4,3,2}),11)&lt;2,0,11-MOD(SUMPRODUCT(--MID(T870,{1,2,3,4,5,6,7,8,9,10,11,12,13},1),{6,5,4,3,2,9,8,7,6,5,4,3,2}),11))),"OK","ERRO: dígito verificador")))))</f>
      </c>
      <c r="V870" s="6">
        <f>IF(T870="","",IF(COUNTIF($T$2:$T$1001,T870)&gt;1,"DUPLICADO","OK"))</f>
      </c>
      <c r="W870" s="6">
        <f>IF(M870="","vazio",IF(OR(AND(LEN(SUBSTITUTE(SUBSTITUTE(SUBSTITUTE(SUBSTITUTE(SUBSTITUTE(SUBSTITUTE(SUBSTITUTE(TRIM(M870),".",""),"/",""),"-","")," ",""),"(",""),")",""),"+",""))=10,LEFT(SUBSTITUTE(SUBSTITUTE(SUBSTITUTE(SUBSTITUTE(SUBSTITUTE(SUBSTITUTE(SUBSTITUTE(TRIM(M870),".",""),"/",""),"-","")," ",""),"(",""),")",""),"+",""),1)&lt;&gt;"0"),AND(LEN(SUBSTITUTE(SUBSTITUTE(SUBSTITUTE(SUBSTITUTE(SUBSTITUTE(SUBSTITUTE(SUBSTITUTE(TRIM(M870),".",""),"/",""),"-","")," ",""),"(",""),")",""),"+",""))=11,LEFT(SUBSTITUTE(SUBSTITUTE(SUBSTITUTE(SUBSTITUTE(SUBSTITUTE(SUBSTITUTE(SUBSTITUTE(TRIM(M870),".",""),"/",""),"-","")," ",""),"(",""),")",""),"+",""),4)="0800")),"OK",IF(AND(LEN(SUBSTITUTE(SUBSTITUTE(SUBSTITUTE(SUBSTITUTE(SUBSTITUTE(SUBSTITUTE(SUBSTITUTE(TRIM(M870),".",""),"/",""),"-","")," ",""),"(",""),")",""),"+",""))=11,MID(SUBSTITUTE(SUBSTITUTE(SUBSTITUTE(SUBSTITUTE(SUBSTITUTE(SUBSTITUTE(SUBSTITUTE(TRIM(M870),".",""),"/",""),"-","")," ",""),"(",""),")",""),"+",""),3,1)="9"),"ERRO: é celular, use a coluna Celular","ERRO: DDD + 8 dígitos ou 0800 + 7")))</f>
      </c>
      <c r="X870" s="6">
        <f>IF(N870="","vazio",IF(AND(LEN(SUBSTITUTE(SUBSTITUTE(SUBSTITUTE(SUBSTITUTE(SUBSTITUTE(SUBSTITUTE(SUBSTITUTE(TRIM(N870),".",""),"/",""),"-","")," ",""),"(",""),")",""),"+",""))=11,MID(SUBSTITUTE(SUBSTITUTE(SUBSTITUTE(SUBSTITUTE(SUBSTITUTE(SUBSTITUTE(SUBSTITUTE(TRIM(N870),".",""),"/",""),"-","")," ",""),"(",""),")",""),"+",""),3,1)="9",LEFT(SUBSTITUTE(SUBSTITUTE(SUBSTITUTE(SUBSTITUTE(SUBSTITUTE(SUBSTITUTE(SUBSTITUTE(TRIM(N870),".",""),"/",""),"-","")," ",""),"(",""),")",""),"+",""),1)&lt;&gt;"0"),"OK",IF(LEN(SUBSTITUTE(SUBSTITUTE(SUBSTITUTE(SUBSTITUTE(SUBSTITUTE(SUBSTITUTE(SUBSTITUTE(TRIM(N870),".",""),"/",""),"-","")," ",""),"(",""),")",""),"+",""))=10,"ERRO: é fixo (ou falta o 9), use a coluna Telefone fixo","ERRO: DDD + 9 + 8 dígitos")))</f>
      </c>
      <c r="Y870" s="6">
        <f>IF(O870="","vazio",IF(AND(ISNUMBER(FIND("@",O870)),ISNUMBER(FIND(".",MID(O870,FIND("@",O870),99))),NOT(ISNUMBER(FIND(" ",TRIM(O870)))),NOT(ISNUMBER(FIND(";",O870))),NOT(ISNUMBER(FIND(",",O870)))),"OK","ERRO: um e-mail válido por linha"))</f>
      </c>
      <c r="Z870" s="6">
        <f>IF(AND(J870="",K870=""),"",IF(AND(J870&lt;&gt;"",K870&lt;&gt;""),"OK","pendente: só um nome (o GR completa ao converter)"))</f>
      </c>
      <c r="AA870" s="6">
        <f>IF(COUNTA(A870:S870)=0,"",IF(AND(A870&lt;&gt;"",B870&lt;&gt;"",C870&lt;&gt;"",D870&lt;&gt;"",E870&lt;&gt;"",F870&lt;&gt;"",G870&lt;&gt;"",H870&lt;&gt;"",OR(J870&lt;&gt;"",K870&lt;&gt;""),OR(M870&lt;&gt;"",N870&lt;&gt;"",O870&lt;&gt;"")),"OK","ERRO: faltam "&amp;IF(A870="","SDR; ","")&amp;IF(B870="","Proprietário; ","")&amp;IF(C870="","Origem; ","")&amp;IF(D870="","Temperatura; ","")&amp;IF(E870="","Segmento; ","")&amp;IF(F870="","Time/Cluster; ","")&amp;IF(G870="","CNPJ; ","")&amp;IF(H870="","Razão Social; ","")&amp;IF(AND(J870="",K870=""),"nome do contato; ","")&amp;IF(AND(M870="",N870="",O870=""),"telefone, celular ou e-mail; ","")))</f>
      </c>
      <c r="AB870" s="6">
        <f>IF(COUNTA(A870:S870)=0,"",IF(AND(U870="OK",V870="OK",LEFT(W870,4)&lt;&gt;"ERRO",LEFT(X870,4)&lt;&gt;"ERRO",LEFT(Y870,4)&lt;&gt;"ERRO",AA870="OK"),"OK","REVISAR"))</f>
      </c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5"/>
      <c r="K871" s="4"/>
      <c r="L871" s="4"/>
      <c r="M871" s="4"/>
      <c r="N871" s="4"/>
      <c r="O871" s="4"/>
      <c r="P871" s="4"/>
      <c r="Q871" s="4"/>
      <c r="R871" s="4"/>
      <c r="S871" s="4"/>
      <c r="T871" s="6">
        <f>IF(G871="","",SUBSTITUTE(SUBSTITUTE(SUBSTITUTE(SUBSTITUTE(SUBSTITUTE(SUBSTITUTE(SUBSTITUTE(TRIM(G871),".",""),"/",""),"-","")," ",""),"(",""),")",""),"+",""))</f>
      </c>
      <c r="U871" s="6">
        <f>IF(T871="","",IF(LEN(T871)&lt;&gt;14,"ERRO: "&amp;LEN(T871)&amp;" dígitos",IF(NOT(ISNUMBER(VALUE(T871))),"ERRO: não numérico",IF(LEN(SUBSTITUTE(T871,LEFT(T871,1),""))=0,"ERRO: dígitos repetidos",IF(AND(VALUE(MID(T871,13,1))=IF(MOD(SUMPRODUCT(--MID(T871,{1,2,3,4,5,6,7,8,9,10,11,12},1),{5,4,3,2,9,8,7,6,5,4,3,2}),11)&lt;2,0,11-MOD(SUMPRODUCT(--MID(T871,{1,2,3,4,5,6,7,8,9,10,11,12},1),{5,4,3,2,9,8,7,6,5,4,3,2}),11)),VALUE(MID(T871,14,1))=IF(MOD(SUMPRODUCT(--MID(T871,{1,2,3,4,5,6,7,8,9,10,11,12,13},1),{6,5,4,3,2,9,8,7,6,5,4,3,2}),11)&lt;2,0,11-MOD(SUMPRODUCT(--MID(T871,{1,2,3,4,5,6,7,8,9,10,11,12,13},1),{6,5,4,3,2,9,8,7,6,5,4,3,2}),11))),"OK","ERRO: dígito verificador")))))</f>
      </c>
      <c r="V871" s="6">
        <f>IF(T871="","",IF(COUNTIF($T$2:$T$1001,T871)&gt;1,"DUPLICADO","OK"))</f>
      </c>
      <c r="W871" s="6">
        <f>IF(M871="","vazio",IF(OR(AND(LEN(SUBSTITUTE(SUBSTITUTE(SUBSTITUTE(SUBSTITUTE(SUBSTITUTE(SUBSTITUTE(SUBSTITUTE(TRIM(M871),".",""),"/",""),"-","")," ",""),"(",""),")",""),"+",""))=10,LEFT(SUBSTITUTE(SUBSTITUTE(SUBSTITUTE(SUBSTITUTE(SUBSTITUTE(SUBSTITUTE(SUBSTITUTE(TRIM(M871),".",""),"/",""),"-","")," ",""),"(",""),")",""),"+",""),1)&lt;&gt;"0"),AND(LEN(SUBSTITUTE(SUBSTITUTE(SUBSTITUTE(SUBSTITUTE(SUBSTITUTE(SUBSTITUTE(SUBSTITUTE(TRIM(M871),".",""),"/",""),"-","")," ",""),"(",""),")",""),"+",""))=11,LEFT(SUBSTITUTE(SUBSTITUTE(SUBSTITUTE(SUBSTITUTE(SUBSTITUTE(SUBSTITUTE(SUBSTITUTE(TRIM(M871),".",""),"/",""),"-","")," ",""),"(",""),")",""),"+",""),4)="0800")),"OK",IF(AND(LEN(SUBSTITUTE(SUBSTITUTE(SUBSTITUTE(SUBSTITUTE(SUBSTITUTE(SUBSTITUTE(SUBSTITUTE(TRIM(M871),".",""),"/",""),"-","")," ",""),"(",""),")",""),"+",""))=11,MID(SUBSTITUTE(SUBSTITUTE(SUBSTITUTE(SUBSTITUTE(SUBSTITUTE(SUBSTITUTE(SUBSTITUTE(TRIM(M871),".",""),"/",""),"-","")," ",""),"(",""),")",""),"+",""),3,1)="9"),"ERRO: é celular, use a coluna Celular","ERRO: DDD + 8 dígitos ou 0800 + 7")))</f>
      </c>
      <c r="X871" s="6">
        <f>IF(N871="","vazio",IF(AND(LEN(SUBSTITUTE(SUBSTITUTE(SUBSTITUTE(SUBSTITUTE(SUBSTITUTE(SUBSTITUTE(SUBSTITUTE(TRIM(N871),".",""),"/",""),"-","")," ",""),"(",""),")",""),"+",""))=11,MID(SUBSTITUTE(SUBSTITUTE(SUBSTITUTE(SUBSTITUTE(SUBSTITUTE(SUBSTITUTE(SUBSTITUTE(TRIM(N871),".",""),"/",""),"-","")," ",""),"(",""),")",""),"+",""),3,1)="9",LEFT(SUBSTITUTE(SUBSTITUTE(SUBSTITUTE(SUBSTITUTE(SUBSTITUTE(SUBSTITUTE(SUBSTITUTE(TRIM(N871),".",""),"/",""),"-","")," ",""),"(",""),")",""),"+",""),1)&lt;&gt;"0"),"OK",IF(LEN(SUBSTITUTE(SUBSTITUTE(SUBSTITUTE(SUBSTITUTE(SUBSTITUTE(SUBSTITUTE(SUBSTITUTE(TRIM(N871),".",""),"/",""),"-","")," ",""),"(",""),")",""),"+",""))=10,"ERRO: é fixo (ou falta o 9), use a coluna Telefone fixo","ERRO: DDD + 9 + 8 dígitos")))</f>
      </c>
      <c r="Y871" s="6">
        <f>IF(O871="","vazio",IF(AND(ISNUMBER(FIND("@",O871)),ISNUMBER(FIND(".",MID(O871,FIND("@",O871),99))),NOT(ISNUMBER(FIND(" ",TRIM(O871)))),NOT(ISNUMBER(FIND(";",O871))),NOT(ISNUMBER(FIND(",",O871)))),"OK","ERRO: um e-mail válido por linha"))</f>
      </c>
      <c r="Z871" s="6">
        <f>IF(AND(J871="",K871=""),"",IF(AND(J871&lt;&gt;"",K871&lt;&gt;""),"OK","pendente: só um nome (o GR completa ao converter)"))</f>
      </c>
      <c r="AA871" s="6">
        <f>IF(COUNTA(A871:S871)=0,"",IF(AND(A871&lt;&gt;"",B871&lt;&gt;"",C871&lt;&gt;"",D871&lt;&gt;"",E871&lt;&gt;"",F871&lt;&gt;"",G871&lt;&gt;"",H871&lt;&gt;"",OR(J871&lt;&gt;"",K871&lt;&gt;""),OR(M871&lt;&gt;"",N871&lt;&gt;"",O871&lt;&gt;"")),"OK","ERRO: faltam "&amp;IF(A871="","SDR; ","")&amp;IF(B871="","Proprietário; ","")&amp;IF(C871="","Origem; ","")&amp;IF(D871="","Temperatura; ","")&amp;IF(E871="","Segmento; ","")&amp;IF(F871="","Time/Cluster; ","")&amp;IF(G871="","CNPJ; ","")&amp;IF(H871="","Razão Social; ","")&amp;IF(AND(J871="",K871=""),"nome do contato; ","")&amp;IF(AND(M871="",N871="",O871=""),"telefone, celular ou e-mail; ","")))</f>
      </c>
      <c r="AB871" s="6">
        <f>IF(COUNTA(A871:S871)=0,"",IF(AND(U871="OK",V871="OK",LEFT(W871,4)&lt;&gt;"ERRO",LEFT(X871,4)&lt;&gt;"ERRO",LEFT(Y871,4)&lt;&gt;"ERRO",AA871="OK"),"OK","REVISAR"))</f>
      </c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5"/>
      <c r="K872" s="4"/>
      <c r="L872" s="4"/>
      <c r="M872" s="4"/>
      <c r="N872" s="4"/>
      <c r="O872" s="4"/>
      <c r="P872" s="4"/>
      <c r="Q872" s="4"/>
      <c r="R872" s="4"/>
      <c r="S872" s="4"/>
      <c r="T872" s="6">
        <f>IF(G872="","",SUBSTITUTE(SUBSTITUTE(SUBSTITUTE(SUBSTITUTE(SUBSTITUTE(SUBSTITUTE(SUBSTITUTE(TRIM(G872),".",""),"/",""),"-","")," ",""),"(",""),")",""),"+",""))</f>
      </c>
      <c r="U872" s="6">
        <f>IF(T872="","",IF(LEN(T872)&lt;&gt;14,"ERRO: "&amp;LEN(T872)&amp;" dígitos",IF(NOT(ISNUMBER(VALUE(T872))),"ERRO: não numérico",IF(LEN(SUBSTITUTE(T872,LEFT(T872,1),""))=0,"ERRO: dígitos repetidos",IF(AND(VALUE(MID(T872,13,1))=IF(MOD(SUMPRODUCT(--MID(T872,{1,2,3,4,5,6,7,8,9,10,11,12},1),{5,4,3,2,9,8,7,6,5,4,3,2}),11)&lt;2,0,11-MOD(SUMPRODUCT(--MID(T872,{1,2,3,4,5,6,7,8,9,10,11,12},1),{5,4,3,2,9,8,7,6,5,4,3,2}),11)),VALUE(MID(T872,14,1))=IF(MOD(SUMPRODUCT(--MID(T872,{1,2,3,4,5,6,7,8,9,10,11,12,13},1),{6,5,4,3,2,9,8,7,6,5,4,3,2}),11)&lt;2,0,11-MOD(SUMPRODUCT(--MID(T872,{1,2,3,4,5,6,7,8,9,10,11,12,13},1),{6,5,4,3,2,9,8,7,6,5,4,3,2}),11))),"OK","ERRO: dígito verificador")))))</f>
      </c>
      <c r="V872" s="6">
        <f>IF(T872="","",IF(COUNTIF($T$2:$T$1001,T872)&gt;1,"DUPLICADO","OK"))</f>
      </c>
      <c r="W872" s="6">
        <f>IF(M872="","vazio",IF(OR(AND(LEN(SUBSTITUTE(SUBSTITUTE(SUBSTITUTE(SUBSTITUTE(SUBSTITUTE(SUBSTITUTE(SUBSTITUTE(TRIM(M872),".",""),"/",""),"-","")," ",""),"(",""),")",""),"+",""))=10,LEFT(SUBSTITUTE(SUBSTITUTE(SUBSTITUTE(SUBSTITUTE(SUBSTITUTE(SUBSTITUTE(SUBSTITUTE(TRIM(M872),".",""),"/",""),"-","")," ",""),"(",""),")",""),"+",""),1)&lt;&gt;"0"),AND(LEN(SUBSTITUTE(SUBSTITUTE(SUBSTITUTE(SUBSTITUTE(SUBSTITUTE(SUBSTITUTE(SUBSTITUTE(TRIM(M872),".",""),"/",""),"-","")," ",""),"(",""),")",""),"+",""))=11,LEFT(SUBSTITUTE(SUBSTITUTE(SUBSTITUTE(SUBSTITUTE(SUBSTITUTE(SUBSTITUTE(SUBSTITUTE(TRIM(M872),".",""),"/",""),"-","")," ",""),"(",""),")",""),"+",""),4)="0800")),"OK",IF(AND(LEN(SUBSTITUTE(SUBSTITUTE(SUBSTITUTE(SUBSTITUTE(SUBSTITUTE(SUBSTITUTE(SUBSTITUTE(TRIM(M872),".",""),"/",""),"-","")," ",""),"(",""),")",""),"+",""))=11,MID(SUBSTITUTE(SUBSTITUTE(SUBSTITUTE(SUBSTITUTE(SUBSTITUTE(SUBSTITUTE(SUBSTITUTE(TRIM(M872),".",""),"/",""),"-","")," ",""),"(",""),")",""),"+",""),3,1)="9"),"ERRO: é celular, use a coluna Celular","ERRO: DDD + 8 dígitos ou 0800 + 7")))</f>
      </c>
      <c r="X872" s="6">
        <f>IF(N872="","vazio",IF(AND(LEN(SUBSTITUTE(SUBSTITUTE(SUBSTITUTE(SUBSTITUTE(SUBSTITUTE(SUBSTITUTE(SUBSTITUTE(TRIM(N872),".",""),"/",""),"-","")," ",""),"(",""),")",""),"+",""))=11,MID(SUBSTITUTE(SUBSTITUTE(SUBSTITUTE(SUBSTITUTE(SUBSTITUTE(SUBSTITUTE(SUBSTITUTE(TRIM(N872),".",""),"/",""),"-","")," ",""),"(",""),")",""),"+",""),3,1)="9",LEFT(SUBSTITUTE(SUBSTITUTE(SUBSTITUTE(SUBSTITUTE(SUBSTITUTE(SUBSTITUTE(SUBSTITUTE(TRIM(N872),".",""),"/",""),"-","")," ",""),"(",""),")",""),"+",""),1)&lt;&gt;"0"),"OK",IF(LEN(SUBSTITUTE(SUBSTITUTE(SUBSTITUTE(SUBSTITUTE(SUBSTITUTE(SUBSTITUTE(SUBSTITUTE(TRIM(N872),".",""),"/",""),"-","")," ",""),"(",""),")",""),"+",""))=10,"ERRO: é fixo (ou falta o 9), use a coluna Telefone fixo","ERRO: DDD + 9 + 8 dígitos")))</f>
      </c>
      <c r="Y872" s="6">
        <f>IF(O872="","vazio",IF(AND(ISNUMBER(FIND("@",O872)),ISNUMBER(FIND(".",MID(O872,FIND("@",O872),99))),NOT(ISNUMBER(FIND(" ",TRIM(O872)))),NOT(ISNUMBER(FIND(";",O872))),NOT(ISNUMBER(FIND(",",O872)))),"OK","ERRO: um e-mail válido por linha"))</f>
      </c>
      <c r="Z872" s="6">
        <f>IF(AND(J872="",K872=""),"",IF(AND(J872&lt;&gt;"",K872&lt;&gt;""),"OK","pendente: só um nome (o GR completa ao converter)"))</f>
      </c>
      <c r="AA872" s="6">
        <f>IF(COUNTA(A872:S872)=0,"",IF(AND(A872&lt;&gt;"",B872&lt;&gt;"",C872&lt;&gt;"",D872&lt;&gt;"",E872&lt;&gt;"",F872&lt;&gt;"",G872&lt;&gt;"",H872&lt;&gt;"",OR(J872&lt;&gt;"",K872&lt;&gt;""),OR(M872&lt;&gt;"",N872&lt;&gt;"",O872&lt;&gt;"")),"OK","ERRO: faltam "&amp;IF(A872="","SDR; ","")&amp;IF(B872="","Proprietário; ","")&amp;IF(C872="","Origem; ","")&amp;IF(D872="","Temperatura; ","")&amp;IF(E872="","Segmento; ","")&amp;IF(F872="","Time/Cluster; ","")&amp;IF(G872="","CNPJ; ","")&amp;IF(H872="","Razão Social; ","")&amp;IF(AND(J872="",K872=""),"nome do contato; ","")&amp;IF(AND(M872="",N872="",O872=""),"telefone, celular ou e-mail; ","")))</f>
      </c>
      <c r="AB872" s="6">
        <f>IF(COUNTA(A872:S872)=0,"",IF(AND(U872="OK",V872="OK",LEFT(W872,4)&lt;&gt;"ERRO",LEFT(X872,4)&lt;&gt;"ERRO",LEFT(Y872,4)&lt;&gt;"ERRO",AA872="OK"),"OK","REVISAR"))</f>
      </c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5"/>
      <c r="K873" s="4"/>
      <c r="L873" s="4"/>
      <c r="M873" s="4"/>
      <c r="N873" s="4"/>
      <c r="O873" s="4"/>
      <c r="P873" s="4"/>
      <c r="Q873" s="4"/>
      <c r="R873" s="4"/>
      <c r="S873" s="4"/>
      <c r="T873" s="6">
        <f>IF(G873="","",SUBSTITUTE(SUBSTITUTE(SUBSTITUTE(SUBSTITUTE(SUBSTITUTE(SUBSTITUTE(SUBSTITUTE(TRIM(G873),".",""),"/",""),"-","")," ",""),"(",""),")",""),"+",""))</f>
      </c>
      <c r="U873" s="6">
        <f>IF(T873="","",IF(LEN(T873)&lt;&gt;14,"ERRO: "&amp;LEN(T873)&amp;" dígitos",IF(NOT(ISNUMBER(VALUE(T873))),"ERRO: não numérico",IF(LEN(SUBSTITUTE(T873,LEFT(T873,1),""))=0,"ERRO: dígitos repetidos",IF(AND(VALUE(MID(T873,13,1))=IF(MOD(SUMPRODUCT(--MID(T873,{1,2,3,4,5,6,7,8,9,10,11,12},1),{5,4,3,2,9,8,7,6,5,4,3,2}),11)&lt;2,0,11-MOD(SUMPRODUCT(--MID(T873,{1,2,3,4,5,6,7,8,9,10,11,12},1),{5,4,3,2,9,8,7,6,5,4,3,2}),11)),VALUE(MID(T873,14,1))=IF(MOD(SUMPRODUCT(--MID(T873,{1,2,3,4,5,6,7,8,9,10,11,12,13},1),{6,5,4,3,2,9,8,7,6,5,4,3,2}),11)&lt;2,0,11-MOD(SUMPRODUCT(--MID(T873,{1,2,3,4,5,6,7,8,9,10,11,12,13},1),{6,5,4,3,2,9,8,7,6,5,4,3,2}),11))),"OK","ERRO: dígito verificador")))))</f>
      </c>
      <c r="V873" s="6">
        <f>IF(T873="","",IF(COUNTIF($T$2:$T$1001,T873)&gt;1,"DUPLICADO","OK"))</f>
      </c>
      <c r="W873" s="6">
        <f>IF(M873="","vazio",IF(OR(AND(LEN(SUBSTITUTE(SUBSTITUTE(SUBSTITUTE(SUBSTITUTE(SUBSTITUTE(SUBSTITUTE(SUBSTITUTE(TRIM(M873),".",""),"/",""),"-","")," ",""),"(",""),")",""),"+",""))=10,LEFT(SUBSTITUTE(SUBSTITUTE(SUBSTITUTE(SUBSTITUTE(SUBSTITUTE(SUBSTITUTE(SUBSTITUTE(TRIM(M873),".",""),"/",""),"-","")," ",""),"(",""),")",""),"+",""),1)&lt;&gt;"0"),AND(LEN(SUBSTITUTE(SUBSTITUTE(SUBSTITUTE(SUBSTITUTE(SUBSTITUTE(SUBSTITUTE(SUBSTITUTE(TRIM(M873),".",""),"/",""),"-","")," ",""),"(",""),")",""),"+",""))=11,LEFT(SUBSTITUTE(SUBSTITUTE(SUBSTITUTE(SUBSTITUTE(SUBSTITUTE(SUBSTITUTE(SUBSTITUTE(TRIM(M873),".",""),"/",""),"-","")," ",""),"(",""),")",""),"+",""),4)="0800")),"OK",IF(AND(LEN(SUBSTITUTE(SUBSTITUTE(SUBSTITUTE(SUBSTITUTE(SUBSTITUTE(SUBSTITUTE(SUBSTITUTE(TRIM(M873),".",""),"/",""),"-","")," ",""),"(",""),")",""),"+",""))=11,MID(SUBSTITUTE(SUBSTITUTE(SUBSTITUTE(SUBSTITUTE(SUBSTITUTE(SUBSTITUTE(SUBSTITUTE(TRIM(M873),".",""),"/",""),"-","")," ",""),"(",""),")",""),"+",""),3,1)="9"),"ERRO: é celular, use a coluna Celular","ERRO: DDD + 8 dígitos ou 0800 + 7")))</f>
      </c>
      <c r="X873" s="6">
        <f>IF(N873="","vazio",IF(AND(LEN(SUBSTITUTE(SUBSTITUTE(SUBSTITUTE(SUBSTITUTE(SUBSTITUTE(SUBSTITUTE(SUBSTITUTE(TRIM(N873),".",""),"/",""),"-","")," ",""),"(",""),")",""),"+",""))=11,MID(SUBSTITUTE(SUBSTITUTE(SUBSTITUTE(SUBSTITUTE(SUBSTITUTE(SUBSTITUTE(SUBSTITUTE(TRIM(N873),".",""),"/",""),"-","")," ",""),"(",""),")",""),"+",""),3,1)="9",LEFT(SUBSTITUTE(SUBSTITUTE(SUBSTITUTE(SUBSTITUTE(SUBSTITUTE(SUBSTITUTE(SUBSTITUTE(TRIM(N873),".",""),"/",""),"-","")," ",""),"(",""),")",""),"+",""),1)&lt;&gt;"0"),"OK",IF(LEN(SUBSTITUTE(SUBSTITUTE(SUBSTITUTE(SUBSTITUTE(SUBSTITUTE(SUBSTITUTE(SUBSTITUTE(TRIM(N873),".",""),"/",""),"-","")," ",""),"(",""),")",""),"+",""))=10,"ERRO: é fixo (ou falta o 9), use a coluna Telefone fixo","ERRO: DDD + 9 + 8 dígitos")))</f>
      </c>
      <c r="Y873" s="6">
        <f>IF(O873="","vazio",IF(AND(ISNUMBER(FIND("@",O873)),ISNUMBER(FIND(".",MID(O873,FIND("@",O873),99))),NOT(ISNUMBER(FIND(" ",TRIM(O873)))),NOT(ISNUMBER(FIND(";",O873))),NOT(ISNUMBER(FIND(",",O873)))),"OK","ERRO: um e-mail válido por linha"))</f>
      </c>
      <c r="Z873" s="6">
        <f>IF(AND(J873="",K873=""),"",IF(AND(J873&lt;&gt;"",K873&lt;&gt;""),"OK","pendente: só um nome (o GR completa ao converter)"))</f>
      </c>
      <c r="AA873" s="6">
        <f>IF(COUNTA(A873:S873)=0,"",IF(AND(A873&lt;&gt;"",B873&lt;&gt;"",C873&lt;&gt;"",D873&lt;&gt;"",E873&lt;&gt;"",F873&lt;&gt;"",G873&lt;&gt;"",H873&lt;&gt;"",OR(J873&lt;&gt;"",K873&lt;&gt;""),OR(M873&lt;&gt;"",N873&lt;&gt;"",O873&lt;&gt;"")),"OK","ERRO: faltam "&amp;IF(A873="","SDR; ","")&amp;IF(B873="","Proprietário; ","")&amp;IF(C873="","Origem; ","")&amp;IF(D873="","Temperatura; ","")&amp;IF(E873="","Segmento; ","")&amp;IF(F873="","Time/Cluster; ","")&amp;IF(G873="","CNPJ; ","")&amp;IF(H873="","Razão Social; ","")&amp;IF(AND(J873="",K873=""),"nome do contato; ","")&amp;IF(AND(M873="",N873="",O873=""),"telefone, celular ou e-mail; ","")))</f>
      </c>
      <c r="AB873" s="6">
        <f>IF(COUNTA(A873:S873)=0,"",IF(AND(U873="OK",V873="OK",LEFT(W873,4)&lt;&gt;"ERRO",LEFT(X873,4)&lt;&gt;"ERRO",LEFT(Y873,4)&lt;&gt;"ERRO",AA873="OK"),"OK","REVISAR"))</f>
      </c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5"/>
      <c r="K874" s="4"/>
      <c r="L874" s="4"/>
      <c r="M874" s="4"/>
      <c r="N874" s="4"/>
      <c r="O874" s="4"/>
      <c r="P874" s="4"/>
      <c r="Q874" s="4"/>
      <c r="R874" s="4"/>
      <c r="S874" s="4"/>
      <c r="T874" s="6">
        <f>IF(G874="","",SUBSTITUTE(SUBSTITUTE(SUBSTITUTE(SUBSTITUTE(SUBSTITUTE(SUBSTITUTE(SUBSTITUTE(TRIM(G874),".",""),"/",""),"-","")," ",""),"(",""),")",""),"+",""))</f>
      </c>
      <c r="U874" s="6">
        <f>IF(T874="","",IF(LEN(T874)&lt;&gt;14,"ERRO: "&amp;LEN(T874)&amp;" dígitos",IF(NOT(ISNUMBER(VALUE(T874))),"ERRO: não numérico",IF(LEN(SUBSTITUTE(T874,LEFT(T874,1),""))=0,"ERRO: dígitos repetidos",IF(AND(VALUE(MID(T874,13,1))=IF(MOD(SUMPRODUCT(--MID(T874,{1,2,3,4,5,6,7,8,9,10,11,12},1),{5,4,3,2,9,8,7,6,5,4,3,2}),11)&lt;2,0,11-MOD(SUMPRODUCT(--MID(T874,{1,2,3,4,5,6,7,8,9,10,11,12},1),{5,4,3,2,9,8,7,6,5,4,3,2}),11)),VALUE(MID(T874,14,1))=IF(MOD(SUMPRODUCT(--MID(T874,{1,2,3,4,5,6,7,8,9,10,11,12,13},1),{6,5,4,3,2,9,8,7,6,5,4,3,2}),11)&lt;2,0,11-MOD(SUMPRODUCT(--MID(T874,{1,2,3,4,5,6,7,8,9,10,11,12,13},1),{6,5,4,3,2,9,8,7,6,5,4,3,2}),11))),"OK","ERRO: dígito verificador")))))</f>
      </c>
      <c r="V874" s="6">
        <f>IF(T874="","",IF(COUNTIF($T$2:$T$1001,T874)&gt;1,"DUPLICADO","OK"))</f>
      </c>
      <c r="W874" s="6">
        <f>IF(M874="","vazio",IF(OR(AND(LEN(SUBSTITUTE(SUBSTITUTE(SUBSTITUTE(SUBSTITUTE(SUBSTITUTE(SUBSTITUTE(SUBSTITUTE(TRIM(M874),".",""),"/",""),"-","")," ",""),"(",""),")",""),"+",""))=10,LEFT(SUBSTITUTE(SUBSTITUTE(SUBSTITUTE(SUBSTITUTE(SUBSTITUTE(SUBSTITUTE(SUBSTITUTE(TRIM(M874),".",""),"/",""),"-","")," ",""),"(",""),")",""),"+",""),1)&lt;&gt;"0"),AND(LEN(SUBSTITUTE(SUBSTITUTE(SUBSTITUTE(SUBSTITUTE(SUBSTITUTE(SUBSTITUTE(SUBSTITUTE(TRIM(M874),".",""),"/",""),"-","")," ",""),"(",""),")",""),"+",""))=11,LEFT(SUBSTITUTE(SUBSTITUTE(SUBSTITUTE(SUBSTITUTE(SUBSTITUTE(SUBSTITUTE(SUBSTITUTE(TRIM(M874),".",""),"/",""),"-","")," ",""),"(",""),")",""),"+",""),4)="0800")),"OK",IF(AND(LEN(SUBSTITUTE(SUBSTITUTE(SUBSTITUTE(SUBSTITUTE(SUBSTITUTE(SUBSTITUTE(SUBSTITUTE(TRIM(M874),".",""),"/",""),"-","")," ",""),"(",""),")",""),"+",""))=11,MID(SUBSTITUTE(SUBSTITUTE(SUBSTITUTE(SUBSTITUTE(SUBSTITUTE(SUBSTITUTE(SUBSTITUTE(TRIM(M874),".",""),"/",""),"-","")," ",""),"(",""),")",""),"+",""),3,1)="9"),"ERRO: é celular, use a coluna Celular","ERRO: DDD + 8 dígitos ou 0800 + 7")))</f>
      </c>
      <c r="X874" s="6">
        <f>IF(N874="","vazio",IF(AND(LEN(SUBSTITUTE(SUBSTITUTE(SUBSTITUTE(SUBSTITUTE(SUBSTITUTE(SUBSTITUTE(SUBSTITUTE(TRIM(N874),".",""),"/",""),"-","")," ",""),"(",""),")",""),"+",""))=11,MID(SUBSTITUTE(SUBSTITUTE(SUBSTITUTE(SUBSTITUTE(SUBSTITUTE(SUBSTITUTE(SUBSTITUTE(TRIM(N874),".",""),"/",""),"-","")," ",""),"(",""),")",""),"+",""),3,1)="9",LEFT(SUBSTITUTE(SUBSTITUTE(SUBSTITUTE(SUBSTITUTE(SUBSTITUTE(SUBSTITUTE(SUBSTITUTE(TRIM(N874),".",""),"/",""),"-","")," ",""),"(",""),")",""),"+",""),1)&lt;&gt;"0"),"OK",IF(LEN(SUBSTITUTE(SUBSTITUTE(SUBSTITUTE(SUBSTITUTE(SUBSTITUTE(SUBSTITUTE(SUBSTITUTE(TRIM(N874),".",""),"/",""),"-","")," ",""),"(",""),")",""),"+",""))=10,"ERRO: é fixo (ou falta o 9), use a coluna Telefone fixo","ERRO: DDD + 9 + 8 dígitos")))</f>
      </c>
      <c r="Y874" s="6">
        <f>IF(O874="","vazio",IF(AND(ISNUMBER(FIND("@",O874)),ISNUMBER(FIND(".",MID(O874,FIND("@",O874),99))),NOT(ISNUMBER(FIND(" ",TRIM(O874)))),NOT(ISNUMBER(FIND(";",O874))),NOT(ISNUMBER(FIND(",",O874)))),"OK","ERRO: um e-mail válido por linha"))</f>
      </c>
      <c r="Z874" s="6">
        <f>IF(AND(J874="",K874=""),"",IF(AND(J874&lt;&gt;"",K874&lt;&gt;""),"OK","pendente: só um nome (o GR completa ao converter)"))</f>
      </c>
      <c r="AA874" s="6">
        <f>IF(COUNTA(A874:S874)=0,"",IF(AND(A874&lt;&gt;"",B874&lt;&gt;"",C874&lt;&gt;"",D874&lt;&gt;"",E874&lt;&gt;"",F874&lt;&gt;"",G874&lt;&gt;"",H874&lt;&gt;"",OR(J874&lt;&gt;"",K874&lt;&gt;""),OR(M874&lt;&gt;"",N874&lt;&gt;"",O874&lt;&gt;"")),"OK","ERRO: faltam "&amp;IF(A874="","SDR; ","")&amp;IF(B874="","Proprietário; ","")&amp;IF(C874="","Origem; ","")&amp;IF(D874="","Temperatura; ","")&amp;IF(E874="","Segmento; ","")&amp;IF(F874="","Time/Cluster; ","")&amp;IF(G874="","CNPJ; ","")&amp;IF(H874="","Razão Social; ","")&amp;IF(AND(J874="",K874=""),"nome do contato; ","")&amp;IF(AND(M874="",N874="",O874=""),"telefone, celular ou e-mail; ","")))</f>
      </c>
      <c r="AB874" s="6">
        <f>IF(COUNTA(A874:S874)=0,"",IF(AND(U874="OK",V874="OK",LEFT(W874,4)&lt;&gt;"ERRO",LEFT(X874,4)&lt;&gt;"ERRO",LEFT(Y874,4)&lt;&gt;"ERRO",AA874="OK"),"OK","REVISAR"))</f>
      </c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5"/>
      <c r="K875" s="4"/>
      <c r="L875" s="4"/>
      <c r="M875" s="4"/>
      <c r="N875" s="4"/>
      <c r="O875" s="4"/>
      <c r="P875" s="4"/>
      <c r="Q875" s="4"/>
      <c r="R875" s="4"/>
      <c r="S875" s="4"/>
      <c r="T875" s="6">
        <f>IF(G875="","",SUBSTITUTE(SUBSTITUTE(SUBSTITUTE(SUBSTITUTE(SUBSTITUTE(SUBSTITUTE(SUBSTITUTE(TRIM(G875),".",""),"/",""),"-","")," ",""),"(",""),")",""),"+",""))</f>
      </c>
      <c r="U875" s="6">
        <f>IF(T875="","",IF(LEN(T875)&lt;&gt;14,"ERRO: "&amp;LEN(T875)&amp;" dígitos",IF(NOT(ISNUMBER(VALUE(T875))),"ERRO: não numérico",IF(LEN(SUBSTITUTE(T875,LEFT(T875,1),""))=0,"ERRO: dígitos repetidos",IF(AND(VALUE(MID(T875,13,1))=IF(MOD(SUMPRODUCT(--MID(T875,{1,2,3,4,5,6,7,8,9,10,11,12},1),{5,4,3,2,9,8,7,6,5,4,3,2}),11)&lt;2,0,11-MOD(SUMPRODUCT(--MID(T875,{1,2,3,4,5,6,7,8,9,10,11,12},1),{5,4,3,2,9,8,7,6,5,4,3,2}),11)),VALUE(MID(T875,14,1))=IF(MOD(SUMPRODUCT(--MID(T875,{1,2,3,4,5,6,7,8,9,10,11,12,13},1),{6,5,4,3,2,9,8,7,6,5,4,3,2}),11)&lt;2,0,11-MOD(SUMPRODUCT(--MID(T875,{1,2,3,4,5,6,7,8,9,10,11,12,13},1),{6,5,4,3,2,9,8,7,6,5,4,3,2}),11))),"OK","ERRO: dígito verificador")))))</f>
      </c>
      <c r="V875" s="6">
        <f>IF(T875="","",IF(COUNTIF($T$2:$T$1001,T875)&gt;1,"DUPLICADO","OK"))</f>
      </c>
      <c r="W875" s="6">
        <f>IF(M875="","vazio",IF(OR(AND(LEN(SUBSTITUTE(SUBSTITUTE(SUBSTITUTE(SUBSTITUTE(SUBSTITUTE(SUBSTITUTE(SUBSTITUTE(TRIM(M875),".",""),"/",""),"-","")," ",""),"(",""),")",""),"+",""))=10,LEFT(SUBSTITUTE(SUBSTITUTE(SUBSTITUTE(SUBSTITUTE(SUBSTITUTE(SUBSTITUTE(SUBSTITUTE(TRIM(M875),".",""),"/",""),"-","")," ",""),"(",""),")",""),"+",""),1)&lt;&gt;"0"),AND(LEN(SUBSTITUTE(SUBSTITUTE(SUBSTITUTE(SUBSTITUTE(SUBSTITUTE(SUBSTITUTE(SUBSTITUTE(TRIM(M875),".",""),"/",""),"-","")," ",""),"(",""),")",""),"+",""))=11,LEFT(SUBSTITUTE(SUBSTITUTE(SUBSTITUTE(SUBSTITUTE(SUBSTITUTE(SUBSTITUTE(SUBSTITUTE(TRIM(M875),".",""),"/",""),"-","")," ",""),"(",""),")",""),"+",""),4)="0800")),"OK",IF(AND(LEN(SUBSTITUTE(SUBSTITUTE(SUBSTITUTE(SUBSTITUTE(SUBSTITUTE(SUBSTITUTE(SUBSTITUTE(TRIM(M875),".",""),"/",""),"-","")," ",""),"(",""),")",""),"+",""))=11,MID(SUBSTITUTE(SUBSTITUTE(SUBSTITUTE(SUBSTITUTE(SUBSTITUTE(SUBSTITUTE(SUBSTITUTE(TRIM(M875),".",""),"/",""),"-","")," ",""),"(",""),")",""),"+",""),3,1)="9"),"ERRO: é celular, use a coluna Celular","ERRO: DDD + 8 dígitos ou 0800 + 7")))</f>
      </c>
      <c r="X875" s="6">
        <f>IF(N875="","vazio",IF(AND(LEN(SUBSTITUTE(SUBSTITUTE(SUBSTITUTE(SUBSTITUTE(SUBSTITUTE(SUBSTITUTE(SUBSTITUTE(TRIM(N875),".",""),"/",""),"-","")," ",""),"(",""),")",""),"+",""))=11,MID(SUBSTITUTE(SUBSTITUTE(SUBSTITUTE(SUBSTITUTE(SUBSTITUTE(SUBSTITUTE(SUBSTITUTE(TRIM(N875),".",""),"/",""),"-","")," ",""),"(",""),")",""),"+",""),3,1)="9",LEFT(SUBSTITUTE(SUBSTITUTE(SUBSTITUTE(SUBSTITUTE(SUBSTITUTE(SUBSTITUTE(SUBSTITUTE(TRIM(N875),".",""),"/",""),"-","")," ",""),"(",""),")",""),"+",""),1)&lt;&gt;"0"),"OK",IF(LEN(SUBSTITUTE(SUBSTITUTE(SUBSTITUTE(SUBSTITUTE(SUBSTITUTE(SUBSTITUTE(SUBSTITUTE(TRIM(N875),".",""),"/",""),"-","")," ",""),"(",""),")",""),"+",""))=10,"ERRO: é fixo (ou falta o 9), use a coluna Telefone fixo","ERRO: DDD + 9 + 8 dígitos")))</f>
      </c>
      <c r="Y875" s="6">
        <f>IF(O875="","vazio",IF(AND(ISNUMBER(FIND("@",O875)),ISNUMBER(FIND(".",MID(O875,FIND("@",O875),99))),NOT(ISNUMBER(FIND(" ",TRIM(O875)))),NOT(ISNUMBER(FIND(";",O875))),NOT(ISNUMBER(FIND(",",O875)))),"OK","ERRO: um e-mail válido por linha"))</f>
      </c>
      <c r="Z875" s="6">
        <f>IF(AND(J875="",K875=""),"",IF(AND(J875&lt;&gt;"",K875&lt;&gt;""),"OK","pendente: só um nome (o GR completa ao converter)"))</f>
      </c>
      <c r="AA875" s="6">
        <f>IF(COUNTA(A875:S875)=0,"",IF(AND(A875&lt;&gt;"",B875&lt;&gt;"",C875&lt;&gt;"",D875&lt;&gt;"",E875&lt;&gt;"",F875&lt;&gt;"",G875&lt;&gt;"",H875&lt;&gt;"",OR(J875&lt;&gt;"",K875&lt;&gt;""),OR(M875&lt;&gt;"",N875&lt;&gt;"",O875&lt;&gt;"")),"OK","ERRO: faltam "&amp;IF(A875="","SDR; ","")&amp;IF(B875="","Proprietário; ","")&amp;IF(C875="","Origem; ","")&amp;IF(D875="","Temperatura; ","")&amp;IF(E875="","Segmento; ","")&amp;IF(F875="","Time/Cluster; ","")&amp;IF(G875="","CNPJ; ","")&amp;IF(H875="","Razão Social; ","")&amp;IF(AND(J875="",K875=""),"nome do contato; ","")&amp;IF(AND(M875="",N875="",O875=""),"telefone, celular ou e-mail; ","")))</f>
      </c>
      <c r="AB875" s="6">
        <f>IF(COUNTA(A875:S875)=0,"",IF(AND(U875="OK",V875="OK",LEFT(W875,4)&lt;&gt;"ERRO",LEFT(X875,4)&lt;&gt;"ERRO",LEFT(Y875,4)&lt;&gt;"ERRO",AA875="OK"),"OK","REVISAR"))</f>
      </c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5"/>
      <c r="K876" s="4"/>
      <c r="L876" s="4"/>
      <c r="M876" s="4"/>
      <c r="N876" s="4"/>
      <c r="O876" s="4"/>
      <c r="P876" s="4"/>
      <c r="Q876" s="4"/>
      <c r="R876" s="4"/>
      <c r="S876" s="4"/>
      <c r="T876" s="6">
        <f>IF(G876="","",SUBSTITUTE(SUBSTITUTE(SUBSTITUTE(SUBSTITUTE(SUBSTITUTE(SUBSTITUTE(SUBSTITUTE(TRIM(G876),".",""),"/",""),"-","")," ",""),"(",""),")",""),"+",""))</f>
      </c>
      <c r="U876" s="6">
        <f>IF(T876="","",IF(LEN(T876)&lt;&gt;14,"ERRO: "&amp;LEN(T876)&amp;" dígitos",IF(NOT(ISNUMBER(VALUE(T876))),"ERRO: não numérico",IF(LEN(SUBSTITUTE(T876,LEFT(T876,1),""))=0,"ERRO: dígitos repetidos",IF(AND(VALUE(MID(T876,13,1))=IF(MOD(SUMPRODUCT(--MID(T876,{1,2,3,4,5,6,7,8,9,10,11,12},1),{5,4,3,2,9,8,7,6,5,4,3,2}),11)&lt;2,0,11-MOD(SUMPRODUCT(--MID(T876,{1,2,3,4,5,6,7,8,9,10,11,12},1),{5,4,3,2,9,8,7,6,5,4,3,2}),11)),VALUE(MID(T876,14,1))=IF(MOD(SUMPRODUCT(--MID(T876,{1,2,3,4,5,6,7,8,9,10,11,12,13},1),{6,5,4,3,2,9,8,7,6,5,4,3,2}),11)&lt;2,0,11-MOD(SUMPRODUCT(--MID(T876,{1,2,3,4,5,6,7,8,9,10,11,12,13},1),{6,5,4,3,2,9,8,7,6,5,4,3,2}),11))),"OK","ERRO: dígito verificador")))))</f>
      </c>
      <c r="V876" s="6">
        <f>IF(T876="","",IF(COUNTIF($T$2:$T$1001,T876)&gt;1,"DUPLICADO","OK"))</f>
      </c>
      <c r="W876" s="6">
        <f>IF(M876="","vazio",IF(OR(AND(LEN(SUBSTITUTE(SUBSTITUTE(SUBSTITUTE(SUBSTITUTE(SUBSTITUTE(SUBSTITUTE(SUBSTITUTE(TRIM(M876),".",""),"/",""),"-","")," ",""),"(",""),")",""),"+",""))=10,LEFT(SUBSTITUTE(SUBSTITUTE(SUBSTITUTE(SUBSTITUTE(SUBSTITUTE(SUBSTITUTE(SUBSTITUTE(TRIM(M876),".",""),"/",""),"-","")," ",""),"(",""),")",""),"+",""),1)&lt;&gt;"0"),AND(LEN(SUBSTITUTE(SUBSTITUTE(SUBSTITUTE(SUBSTITUTE(SUBSTITUTE(SUBSTITUTE(SUBSTITUTE(TRIM(M876),".",""),"/",""),"-","")," ",""),"(",""),")",""),"+",""))=11,LEFT(SUBSTITUTE(SUBSTITUTE(SUBSTITUTE(SUBSTITUTE(SUBSTITUTE(SUBSTITUTE(SUBSTITUTE(TRIM(M876),".",""),"/",""),"-","")," ",""),"(",""),")",""),"+",""),4)="0800")),"OK",IF(AND(LEN(SUBSTITUTE(SUBSTITUTE(SUBSTITUTE(SUBSTITUTE(SUBSTITUTE(SUBSTITUTE(SUBSTITUTE(TRIM(M876),".",""),"/",""),"-","")," ",""),"(",""),")",""),"+",""))=11,MID(SUBSTITUTE(SUBSTITUTE(SUBSTITUTE(SUBSTITUTE(SUBSTITUTE(SUBSTITUTE(SUBSTITUTE(TRIM(M876),".",""),"/",""),"-","")," ",""),"(",""),")",""),"+",""),3,1)="9"),"ERRO: é celular, use a coluna Celular","ERRO: DDD + 8 dígitos ou 0800 + 7")))</f>
      </c>
      <c r="X876" s="6">
        <f>IF(N876="","vazio",IF(AND(LEN(SUBSTITUTE(SUBSTITUTE(SUBSTITUTE(SUBSTITUTE(SUBSTITUTE(SUBSTITUTE(SUBSTITUTE(TRIM(N876),".",""),"/",""),"-","")," ",""),"(",""),")",""),"+",""))=11,MID(SUBSTITUTE(SUBSTITUTE(SUBSTITUTE(SUBSTITUTE(SUBSTITUTE(SUBSTITUTE(SUBSTITUTE(TRIM(N876),".",""),"/",""),"-","")," ",""),"(",""),")",""),"+",""),3,1)="9",LEFT(SUBSTITUTE(SUBSTITUTE(SUBSTITUTE(SUBSTITUTE(SUBSTITUTE(SUBSTITUTE(SUBSTITUTE(TRIM(N876),".",""),"/",""),"-","")," ",""),"(",""),")",""),"+",""),1)&lt;&gt;"0"),"OK",IF(LEN(SUBSTITUTE(SUBSTITUTE(SUBSTITUTE(SUBSTITUTE(SUBSTITUTE(SUBSTITUTE(SUBSTITUTE(TRIM(N876),".",""),"/",""),"-","")," ",""),"(",""),")",""),"+",""))=10,"ERRO: é fixo (ou falta o 9), use a coluna Telefone fixo","ERRO: DDD + 9 + 8 dígitos")))</f>
      </c>
      <c r="Y876" s="6">
        <f>IF(O876="","vazio",IF(AND(ISNUMBER(FIND("@",O876)),ISNUMBER(FIND(".",MID(O876,FIND("@",O876),99))),NOT(ISNUMBER(FIND(" ",TRIM(O876)))),NOT(ISNUMBER(FIND(";",O876))),NOT(ISNUMBER(FIND(",",O876)))),"OK","ERRO: um e-mail válido por linha"))</f>
      </c>
      <c r="Z876" s="6">
        <f>IF(AND(J876="",K876=""),"",IF(AND(J876&lt;&gt;"",K876&lt;&gt;""),"OK","pendente: só um nome (o GR completa ao converter)"))</f>
      </c>
      <c r="AA876" s="6">
        <f>IF(COUNTA(A876:S876)=0,"",IF(AND(A876&lt;&gt;"",B876&lt;&gt;"",C876&lt;&gt;"",D876&lt;&gt;"",E876&lt;&gt;"",F876&lt;&gt;"",G876&lt;&gt;"",H876&lt;&gt;"",OR(J876&lt;&gt;"",K876&lt;&gt;""),OR(M876&lt;&gt;"",N876&lt;&gt;"",O876&lt;&gt;"")),"OK","ERRO: faltam "&amp;IF(A876="","SDR; ","")&amp;IF(B876="","Proprietário; ","")&amp;IF(C876="","Origem; ","")&amp;IF(D876="","Temperatura; ","")&amp;IF(E876="","Segmento; ","")&amp;IF(F876="","Time/Cluster; ","")&amp;IF(G876="","CNPJ; ","")&amp;IF(H876="","Razão Social; ","")&amp;IF(AND(J876="",K876=""),"nome do contato; ","")&amp;IF(AND(M876="",N876="",O876=""),"telefone, celular ou e-mail; ","")))</f>
      </c>
      <c r="AB876" s="6">
        <f>IF(COUNTA(A876:S876)=0,"",IF(AND(U876="OK",V876="OK",LEFT(W876,4)&lt;&gt;"ERRO",LEFT(X876,4)&lt;&gt;"ERRO",LEFT(Y876,4)&lt;&gt;"ERRO",AA876="OK"),"OK","REVISAR"))</f>
      </c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5"/>
      <c r="K877" s="4"/>
      <c r="L877" s="4"/>
      <c r="M877" s="4"/>
      <c r="N877" s="4"/>
      <c r="O877" s="4"/>
      <c r="P877" s="4"/>
      <c r="Q877" s="4"/>
      <c r="R877" s="4"/>
      <c r="S877" s="4"/>
      <c r="T877" s="6">
        <f>IF(G877="","",SUBSTITUTE(SUBSTITUTE(SUBSTITUTE(SUBSTITUTE(SUBSTITUTE(SUBSTITUTE(SUBSTITUTE(TRIM(G877),".",""),"/",""),"-","")," ",""),"(",""),")",""),"+",""))</f>
      </c>
      <c r="U877" s="6">
        <f>IF(T877="","",IF(LEN(T877)&lt;&gt;14,"ERRO: "&amp;LEN(T877)&amp;" dígitos",IF(NOT(ISNUMBER(VALUE(T877))),"ERRO: não numérico",IF(LEN(SUBSTITUTE(T877,LEFT(T877,1),""))=0,"ERRO: dígitos repetidos",IF(AND(VALUE(MID(T877,13,1))=IF(MOD(SUMPRODUCT(--MID(T877,{1,2,3,4,5,6,7,8,9,10,11,12},1),{5,4,3,2,9,8,7,6,5,4,3,2}),11)&lt;2,0,11-MOD(SUMPRODUCT(--MID(T877,{1,2,3,4,5,6,7,8,9,10,11,12},1),{5,4,3,2,9,8,7,6,5,4,3,2}),11)),VALUE(MID(T877,14,1))=IF(MOD(SUMPRODUCT(--MID(T877,{1,2,3,4,5,6,7,8,9,10,11,12,13},1),{6,5,4,3,2,9,8,7,6,5,4,3,2}),11)&lt;2,0,11-MOD(SUMPRODUCT(--MID(T877,{1,2,3,4,5,6,7,8,9,10,11,12,13},1),{6,5,4,3,2,9,8,7,6,5,4,3,2}),11))),"OK","ERRO: dígito verificador")))))</f>
      </c>
      <c r="V877" s="6">
        <f>IF(T877="","",IF(COUNTIF($T$2:$T$1001,T877)&gt;1,"DUPLICADO","OK"))</f>
      </c>
      <c r="W877" s="6">
        <f>IF(M877="","vazio",IF(OR(AND(LEN(SUBSTITUTE(SUBSTITUTE(SUBSTITUTE(SUBSTITUTE(SUBSTITUTE(SUBSTITUTE(SUBSTITUTE(TRIM(M877),".",""),"/",""),"-","")," ",""),"(",""),")",""),"+",""))=10,LEFT(SUBSTITUTE(SUBSTITUTE(SUBSTITUTE(SUBSTITUTE(SUBSTITUTE(SUBSTITUTE(SUBSTITUTE(TRIM(M877),".",""),"/",""),"-","")," ",""),"(",""),")",""),"+",""),1)&lt;&gt;"0"),AND(LEN(SUBSTITUTE(SUBSTITUTE(SUBSTITUTE(SUBSTITUTE(SUBSTITUTE(SUBSTITUTE(SUBSTITUTE(TRIM(M877),".",""),"/",""),"-","")," ",""),"(",""),")",""),"+",""))=11,LEFT(SUBSTITUTE(SUBSTITUTE(SUBSTITUTE(SUBSTITUTE(SUBSTITUTE(SUBSTITUTE(SUBSTITUTE(TRIM(M877),".",""),"/",""),"-","")," ",""),"(",""),")",""),"+",""),4)="0800")),"OK",IF(AND(LEN(SUBSTITUTE(SUBSTITUTE(SUBSTITUTE(SUBSTITUTE(SUBSTITUTE(SUBSTITUTE(SUBSTITUTE(TRIM(M877),".",""),"/",""),"-","")," ",""),"(",""),")",""),"+",""))=11,MID(SUBSTITUTE(SUBSTITUTE(SUBSTITUTE(SUBSTITUTE(SUBSTITUTE(SUBSTITUTE(SUBSTITUTE(TRIM(M877),".",""),"/",""),"-","")," ",""),"(",""),")",""),"+",""),3,1)="9"),"ERRO: é celular, use a coluna Celular","ERRO: DDD + 8 dígitos ou 0800 + 7")))</f>
      </c>
      <c r="X877" s="6">
        <f>IF(N877="","vazio",IF(AND(LEN(SUBSTITUTE(SUBSTITUTE(SUBSTITUTE(SUBSTITUTE(SUBSTITUTE(SUBSTITUTE(SUBSTITUTE(TRIM(N877),".",""),"/",""),"-","")," ",""),"(",""),")",""),"+",""))=11,MID(SUBSTITUTE(SUBSTITUTE(SUBSTITUTE(SUBSTITUTE(SUBSTITUTE(SUBSTITUTE(SUBSTITUTE(TRIM(N877),".",""),"/",""),"-","")," ",""),"(",""),")",""),"+",""),3,1)="9",LEFT(SUBSTITUTE(SUBSTITUTE(SUBSTITUTE(SUBSTITUTE(SUBSTITUTE(SUBSTITUTE(SUBSTITUTE(TRIM(N877),".",""),"/",""),"-","")," ",""),"(",""),")",""),"+",""),1)&lt;&gt;"0"),"OK",IF(LEN(SUBSTITUTE(SUBSTITUTE(SUBSTITUTE(SUBSTITUTE(SUBSTITUTE(SUBSTITUTE(SUBSTITUTE(TRIM(N877),".",""),"/",""),"-","")," ",""),"(",""),")",""),"+",""))=10,"ERRO: é fixo (ou falta o 9), use a coluna Telefone fixo","ERRO: DDD + 9 + 8 dígitos")))</f>
      </c>
      <c r="Y877" s="6">
        <f>IF(O877="","vazio",IF(AND(ISNUMBER(FIND("@",O877)),ISNUMBER(FIND(".",MID(O877,FIND("@",O877),99))),NOT(ISNUMBER(FIND(" ",TRIM(O877)))),NOT(ISNUMBER(FIND(";",O877))),NOT(ISNUMBER(FIND(",",O877)))),"OK","ERRO: um e-mail válido por linha"))</f>
      </c>
      <c r="Z877" s="6">
        <f>IF(AND(J877="",K877=""),"",IF(AND(J877&lt;&gt;"",K877&lt;&gt;""),"OK","pendente: só um nome (o GR completa ao converter)"))</f>
      </c>
      <c r="AA877" s="6">
        <f>IF(COUNTA(A877:S877)=0,"",IF(AND(A877&lt;&gt;"",B877&lt;&gt;"",C877&lt;&gt;"",D877&lt;&gt;"",E877&lt;&gt;"",F877&lt;&gt;"",G877&lt;&gt;"",H877&lt;&gt;"",OR(J877&lt;&gt;"",K877&lt;&gt;""),OR(M877&lt;&gt;"",N877&lt;&gt;"",O877&lt;&gt;"")),"OK","ERRO: faltam "&amp;IF(A877="","SDR; ","")&amp;IF(B877="","Proprietário; ","")&amp;IF(C877="","Origem; ","")&amp;IF(D877="","Temperatura; ","")&amp;IF(E877="","Segmento; ","")&amp;IF(F877="","Time/Cluster; ","")&amp;IF(G877="","CNPJ; ","")&amp;IF(H877="","Razão Social; ","")&amp;IF(AND(J877="",K877=""),"nome do contato; ","")&amp;IF(AND(M877="",N877="",O877=""),"telefone, celular ou e-mail; ","")))</f>
      </c>
      <c r="AB877" s="6">
        <f>IF(COUNTA(A877:S877)=0,"",IF(AND(U877="OK",V877="OK",LEFT(W877,4)&lt;&gt;"ERRO",LEFT(X877,4)&lt;&gt;"ERRO",LEFT(Y877,4)&lt;&gt;"ERRO",AA877="OK"),"OK","REVISAR"))</f>
      </c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5"/>
      <c r="K878" s="4"/>
      <c r="L878" s="4"/>
      <c r="M878" s="4"/>
      <c r="N878" s="4"/>
      <c r="O878" s="4"/>
      <c r="P878" s="4"/>
      <c r="Q878" s="4"/>
      <c r="R878" s="4"/>
      <c r="S878" s="4"/>
      <c r="T878" s="6">
        <f>IF(G878="","",SUBSTITUTE(SUBSTITUTE(SUBSTITUTE(SUBSTITUTE(SUBSTITUTE(SUBSTITUTE(SUBSTITUTE(TRIM(G878),".",""),"/",""),"-","")," ",""),"(",""),")",""),"+",""))</f>
      </c>
      <c r="U878" s="6">
        <f>IF(T878="","",IF(LEN(T878)&lt;&gt;14,"ERRO: "&amp;LEN(T878)&amp;" dígitos",IF(NOT(ISNUMBER(VALUE(T878))),"ERRO: não numérico",IF(LEN(SUBSTITUTE(T878,LEFT(T878,1),""))=0,"ERRO: dígitos repetidos",IF(AND(VALUE(MID(T878,13,1))=IF(MOD(SUMPRODUCT(--MID(T878,{1,2,3,4,5,6,7,8,9,10,11,12},1),{5,4,3,2,9,8,7,6,5,4,3,2}),11)&lt;2,0,11-MOD(SUMPRODUCT(--MID(T878,{1,2,3,4,5,6,7,8,9,10,11,12},1),{5,4,3,2,9,8,7,6,5,4,3,2}),11)),VALUE(MID(T878,14,1))=IF(MOD(SUMPRODUCT(--MID(T878,{1,2,3,4,5,6,7,8,9,10,11,12,13},1),{6,5,4,3,2,9,8,7,6,5,4,3,2}),11)&lt;2,0,11-MOD(SUMPRODUCT(--MID(T878,{1,2,3,4,5,6,7,8,9,10,11,12,13},1),{6,5,4,3,2,9,8,7,6,5,4,3,2}),11))),"OK","ERRO: dígito verificador")))))</f>
      </c>
      <c r="V878" s="6">
        <f>IF(T878="","",IF(COUNTIF($T$2:$T$1001,T878)&gt;1,"DUPLICADO","OK"))</f>
      </c>
      <c r="W878" s="6">
        <f>IF(M878="","vazio",IF(OR(AND(LEN(SUBSTITUTE(SUBSTITUTE(SUBSTITUTE(SUBSTITUTE(SUBSTITUTE(SUBSTITUTE(SUBSTITUTE(TRIM(M878),".",""),"/",""),"-","")," ",""),"(",""),")",""),"+",""))=10,LEFT(SUBSTITUTE(SUBSTITUTE(SUBSTITUTE(SUBSTITUTE(SUBSTITUTE(SUBSTITUTE(SUBSTITUTE(TRIM(M878),".",""),"/",""),"-","")," ",""),"(",""),")",""),"+",""),1)&lt;&gt;"0"),AND(LEN(SUBSTITUTE(SUBSTITUTE(SUBSTITUTE(SUBSTITUTE(SUBSTITUTE(SUBSTITUTE(SUBSTITUTE(TRIM(M878),".",""),"/",""),"-","")," ",""),"(",""),")",""),"+",""))=11,LEFT(SUBSTITUTE(SUBSTITUTE(SUBSTITUTE(SUBSTITUTE(SUBSTITUTE(SUBSTITUTE(SUBSTITUTE(TRIM(M878),".",""),"/",""),"-","")," ",""),"(",""),")",""),"+",""),4)="0800")),"OK",IF(AND(LEN(SUBSTITUTE(SUBSTITUTE(SUBSTITUTE(SUBSTITUTE(SUBSTITUTE(SUBSTITUTE(SUBSTITUTE(TRIM(M878),".",""),"/",""),"-","")," ",""),"(",""),")",""),"+",""))=11,MID(SUBSTITUTE(SUBSTITUTE(SUBSTITUTE(SUBSTITUTE(SUBSTITUTE(SUBSTITUTE(SUBSTITUTE(TRIM(M878),".",""),"/",""),"-","")," ",""),"(",""),")",""),"+",""),3,1)="9"),"ERRO: é celular, use a coluna Celular","ERRO: DDD + 8 dígitos ou 0800 + 7")))</f>
      </c>
      <c r="X878" s="6">
        <f>IF(N878="","vazio",IF(AND(LEN(SUBSTITUTE(SUBSTITUTE(SUBSTITUTE(SUBSTITUTE(SUBSTITUTE(SUBSTITUTE(SUBSTITUTE(TRIM(N878),".",""),"/",""),"-","")," ",""),"(",""),")",""),"+",""))=11,MID(SUBSTITUTE(SUBSTITUTE(SUBSTITUTE(SUBSTITUTE(SUBSTITUTE(SUBSTITUTE(SUBSTITUTE(TRIM(N878),".",""),"/",""),"-","")," ",""),"(",""),")",""),"+",""),3,1)="9",LEFT(SUBSTITUTE(SUBSTITUTE(SUBSTITUTE(SUBSTITUTE(SUBSTITUTE(SUBSTITUTE(SUBSTITUTE(TRIM(N878),".",""),"/",""),"-","")," ",""),"(",""),")",""),"+",""),1)&lt;&gt;"0"),"OK",IF(LEN(SUBSTITUTE(SUBSTITUTE(SUBSTITUTE(SUBSTITUTE(SUBSTITUTE(SUBSTITUTE(SUBSTITUTE(TRIM(N878),".",""),"/",""),"-","")," ",""),"(",""),")",""),"+",""))=10,"ERRO: é fixo (ou falta o 9), use a coluna Telefone fixo","ERRO: DDD + 9 + 8 dígitos")))</f>
      </c>
      <c r="Y878" s="6">
        <f>IF(O878="","vazio",IF(AND(ISNUMBER(FIND("@",O878)),ISNUMBER(FIND(".",MID(O878,FIND("@",O878),99))),NOT(ISNUMBER(FIND(" ",TRIM(O878)))),NOT(ISNUMBER(FIND(";",O878))),NOT(ISNUMBER(FIND(",",O878)))),"OK","ERRO: um e-mail válido por linha"))</f>
      </c>
      <c r="Z878" s="6">
        <f>IF(AND(J878="",K878=""),"",IF(AND(J878&lt;&gt;"",K878&lt;&gt;""),"OK","pendente: só um nome (o GR completa ao converter)"))</f>
      </c>
      <c r="AA878" s="6">
        <f>IF(COUNTA(A878:S878)=0,"",IF(AND(A878&lt;&gt;"",B878&lt;&gt;"",C878&lt;&gt;"",D878&lt;&gt;"",E878&lt;&gt;"",F878&lt;&gt;"",G878&lt;&gt;"",H878&lt;&gt;"",OR(J878&lt;&gt;"",K878&lt;&gt;""),OR(M878&lt;&gt;"",N878&lt;&gt;"",O878&lt;&gt;"")),"OK","ERRO: faltam "&amp;IF(A878="","SDR; ","")&amp;IF(B878="","Proprietário; ","")&amp;IF(C878="","Origem; ","")&amp;IF(D878="","Temperatura; ","")&amp;IF(E878="","Segmento; ","")&amp;IF(F878="","Time/Cluster; ","")&amp;IF(G878="","CNPJ; ","")&amp;IF(H878="","Razão Social; ","")&amp;IF(AND(J878="",K878=""),"nome do contato; ","")&amp;IF(AND(M878="",N878="",O878=""),"telefone, celular ou e-mail; ","")))</f>
      </c>
      <c r="AB878" s="6">
        <f>IF(COUNTA(A878:S878)=0,"",IF(AND(U878="OK",V878="OK",LEFT(W878,4)&lt;&gt;"ERRO",LEFT(X878,4)&lt;&gt;"ERRO",LEFT(Y878,4)&lt;&gt;"ERRO",AA878="OK"),"OK","REVISAR"))</f>
      </c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5"/>
      <c r="K879" s="4"/>
      <c r="L879" s="4"/>
      <c r="M879" s="4"/>
      <c r="N879" s="4"/>
      <c r="O879" s="4"/>
      <c r="P879" s="4"/>
      <c r="Q879" s="4"/>
      <c r="R879" s="4"/>
      <c r="S879" s="4"/>
      <c r="T879" s="6">
        <f>IF(G879="","",SUBSTITUTE(SUBSTITUTE(SUBSTITUTE(SUBSTITUTE(SUBSTITUTE(SUBSTITUTE(SUBSTITUTE(TRIM(G879),".",""),"/",""),"-","")," ",""),"(",""),")",""),"+",""))</f>
      </c>
      <c r="U879" s="6">
        <f>IF(T879="","",IF(LEN(T879)&lt;&gt;14,"ERRO: "&amp;LEN(T879)&amp;" dígitos",IF(NOT(ISNUMBER(VALUE(T879))),"ERRO: não numérico",IF(LEN(SUBSTITUTE(T879,LEFT(T879,1),""))=0,"ERRO: dígitos repetidos",IF(AND(VALUE(MID(T879,13,1))=IF(MOD(SUMPRODUCT(--MID(T879,{1,2,3,4,5,6,7,8,9,10,11,12},1),{5,4,3,2,9,8,7,6,5,4,3,2}),11)&lt;2,0,11-MOD(SUMPRODUCT(--MID(T879,{1,2,3,4,5,6,7,8,9,10,11,12},1),{5,4,3,2,9,8,7,6,5,4,3,2}),11)),VALUE(MID(T879,14,1))=IF(MOD(SUMPRODUCT(--MID(T879,{1,2,3,4,5,6,7,8,9,10,11,12,13},1),{6,5,4,3,2,9,8,7,6,5,4,3,2}),11)&lt;2,0,11-MOD(SUMPRODUCT(--MID(T879,{1,2,3,4,5,6,7,8,9,10,11,12,13},1),{6,5,4,3,2,9,8,7,6,5,4,3,2}),11))),"OK","ERRO: dígito verificador")))))</f>
      </c>
      <c r="V879" s="6">
        <f>IF(T879="","",IF(COUNTIF($T$2:$T$1001,T879)&gt;1,"DUPLICADO","OK"))</f>
      </c>
      <c r="W879" s="6">
        <f>IF(M879="","vazio",IF(OR(AND(LEN(SUBSTITUTE(SUBSTITUTE(SUBSTITUTE(SUBSTITUTE(SUBSTITUTE(SUBSTITUTE(SUBSTITUTE(TRIM(M879),".",""),"/",""),"-","")," ",""),"(",""),")",""),"+",""))=10,LEFT(SUBSTITUTE(SUBSTITUTE(SUBSTITUTE(SUBSTITUTE(SUBSTITUTE(SUBSTITUTE(SUBSTITUTE(TRIM(M879),".",""),"/",""),"-","")," ",""),"(",""),")",""),"+",""),1)&lt;&gt;"0"),AND(LEN(SUBSTITUTE(SUBSTITUTE(SUBSTITUTE(SUBSTITUTE(SUBSTITUTE(SUBSTITUTE(SUBSTITUTE(TRIM(M879),".",""),"/",""),"-","")," ",""),"(",""),")",""),"+",""))=11,LEFT(SUBSTITUTE(SUBSTITUTE(SUBSTITUTE(SUBSTITUTE(SUBSTITUTE(SUBSTITUTE(SUBSTITUTE(TRIM(M879),".",""),"/",""),"-","")," ",""),"(",""),")",""),"+",""),4)="0800")),"OK",IF(AND(LEN(SUBSTITUTE(SUBSTITUTE(SUBSTITUTE(SUBSTITUTE(SUBSTITUTE(SUBSTITUTE(SUBSTITUTE(TRIM(M879),".",""),"/",""),"-","")," ",""),"(",""),")",""),"+",""))=11,MID(SUBSTITUTE(SUBSTITUTE(SUBSTITUTE(SUBSTITUTE(SUBSTITUTE(SUBSTITUTE(SUBSTITUTE(TRIM(M879),".",""),"/",""),"-","")," ",""),"(",""),")",""),"+",""),3,1)="9"),"ERRO: é celular, use a coluna Celular","ERRO: DDD + 8 dígitos ou 0800 + 7")))</f>
      </c>
      <c r="X879" s="6">
        <f>IF(N879="","vazio",IF(AND(LEN(SUBSTITUTE(SUBSTITUTE(SUBSTITUTE(SUBSTITUTE(SUBSTITUTE(SUBSTITUTE(SUBSTITUTE(TRIM(N879),".",""),"/",""),"-","")," ",""),"(",""),")",""),"+",""))=11,MID(SUBSTITUTE(SUBSTITUTE(SUBSTITUTE(SUBSTITUTE(SUBSTITUTE(SUBSTITUTE(SUBSTITUTE(TRIM(N879),".",""),"/",""),"-","")," ",""),"(",""),")",""),"+",""),3,1)="9",LEFT(SUBSTITUTE(SUBSTITUTE(SUBSTITUTE(SUBSTITUTE(SUBSTITUTE(SUBSTITUTE(SUBSTITUTE(TRIM(N879),".",""),"/",""),"-","")," ",""),"(",""),")",""),"+",""),1)&lt;&gt;"0"),"OK",IF(LEN(SUBSTITUTE(SUBSTITUTE(SUBSTITUTE(SUBSTITUTE(SUBSTITUTE(SUBSTITUTE(SUBSTITUTE(TRIM(N879),".",""),"/",""),"-","")," ",""),"(",""),")",""),"+",""))=10,"ERRO: é fixo (ou falta o 9), use a coluna Telefone fixo","ERRO: DDD + 9 + 8 dígitos")))</f>
      </c>
      <c r="Y879" s="6">
        <f>IF(O879="","vazio",IF(AND(ISNUMBER(FIND("@",O879)),ISNUMBER(FIND(".",MID(O879,FIND("@",O879),99))),NOT(ISNUMBER(FIND(" ",TRIM(O879)))),NOT(ISNUMBER(FIND(";",O879))),NOT(ISNUMBER(FIND(",",O879)))),"OK","ERRO: um e-mail válido por linha"))</f>
      </c>
      <c r="Z879" s="6">
        <f>IF(AND(J879="",K879=""),"",IF(AND(J879&lt;&gt;"",K879&lt;&gt;""),"OK","pendente: só um nome (o GR completa ao converter)"))</f>
      </c>
      <c r="AA879" s="6">
        <f>IF(COUNTA(A879:S879)=0,"",IF(AND(A879&lt;&gt;"",B879&lt;&gt;"",C879&lt;&gt;"",D879&lt;&gt;"",E879&lt;&gt;"",F879&lt;&gt;"",G879&lt;&gt;"",H879&lt;&gt;"",OR(J879&lt;&gt;"",K879&lt;&gt;""),OR(M879&lt;&gt;"",N879&lt;&gt;"",O879&lt;&gt;"")),"OK","ERRO: faltam "&amp;IF(A879="","SDR; ","")&amp;IF(B879="","Proprietário; ","")&amp;IF(C879="","Origem; ","")&amp;IF(D879="","Temperatura; ","")&amp;IF(E879="","Segmento; ","")&amp;IF(F879="","Time/Cluster; ","")&amp;IF(G879="","CNPJ; ","")&amp;IF(H879="","Razão Social; ","")&amp;IF(AND(J879="",K879=""),"nome do contato; ","")&amp;IF(AND(M879="",N879="",O879=""),"telefone, celular ou e-mail; ","")))</f>
      </c>
      <c r="AB879" s="6">
        <f>IF(COUNTA(A879:S879)=0,"",IF(AND(U879="OK",V879="OK",LEFT(W879,4)&lt;&gt;"ERRO",LEFT(X879,4)&lt;&gt;"ERRO",LEFT(Y879,4)&lt;&gt;"ERRO",AA879="OK"),"OK","REVISAR"))</f>
      </c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5"/>
      <c r="K880" s="4"/>
      <c r="L880" s="4"/>
      <c r="M880" s="4"/>
      <c r="N880" s="4"/>
      <c r="O880" s="4"/>
      <c r="P880" s="4"/>
      <c r="Q880" s="4"/>
      <c r="R880" s="4"/>
      <c r="S880" s="4"/>
      <c r="T880" s="6">
        <f>IF(G880="","",SUBSTITUTE(SUBSTITUTE(SUBSTITUTE(SUBSTITUTE(SUBSTITUTE(SUBSTITUTE(SUBSTITUTE(TRIM(G880),".",""),"/",""),"-","")," ",""),"(",""),")",""),"+",""))</f>
      </c>
      <c r="U880" s="6">
        <f>IF(T880="","",IF(LEN(T880)&lt;&gt;14,"ERRO: "&amp;LEN(T880)&amp;" dígitos",IF(NOT(ISNUMBER(VALUE(T880))),"ERRO: não numérico",IF(LEN(SUBSTITUTE(T880,LEFT(T880,1),""))=0,"ERRO: dígitos repetidos",IF(AND(VALUE(MID(T880,13,1))=IF(MOD(SUMPRODUCT(--MID(T880,{1,2,3,4,5,6,7,8,9,10,11,12},1),{5,4,3,2,9,8,7,6,5,4,3,2}),11)&lt;2,0,11-MOD(SUMPRODUCT(--MID(T880,{1,2,3,4,5,6,7,8,9,10,11,12},1),{5,4,3,2,9,8,7,6,5,4,3,2}),11)),VALUE(MID(T880,14,1))=IF(MOD(SUMPRODUCT(--MID(T880,{1,2,3,4,5,6,7,8,9,10,11,12,13},1),{6,5,4,3,2,9,8,7,6,5,4,3,2}),11)&lt;2,0,11-MOD(SUMPRODUCT(--MID(T880,{1,2,3,4,5,6,7,8,9,10,11,12,13},1),{6,5,4,3,2,9,8,7,6,5,4,3,2}),11))),"OK","ERRO: dígito verificador")))))</f>
      </c>
      <c r="V880" s="6">
        <f>IF(T880="","",IF(COUNTIF($T$2:$T$1001,T880)&gt;1,"DUPLICADO","OK"))</f>
      </c>
      <c r="W880" s="6">
        <f>IF(M880="","vazio",IF(OR(AND(LEN(SUBSTITUTE(SUBSTITUTE(SUBSTITUTE(SUBSTITUTE(SUBSTITUTE(SUBSTITUTE(SUBSTITUTE(TRIM(M880),".",""),"/",""),"-","")," ",""),"(",""),")",""),"+",""))=10,LEFT(SUBSTITUTE(SUBSTITUTE(SUBSTITUTE(SUBSTITUTE(SUBSTITUTE(SUBSTITUTE(SUBSTITUTE(TRIM(M880),".",""),"/",""),"-","")," ",""),"(",""),")",""),"+",""),1)&lt;&gt;"0"),AND(LEN(SUBSTITUTE(SUBSTITUTE(SUBSTITUTE(SUBSTITUTE(SUBSTITUTE(SUBSTITUTE(SUBSTITUTE(TRIM(M880),".",""),"/",""),"-","")," ",""),"(",""),")",""),"+",""))=11,LEFT(SUBSTITUTE(SUBSTITUTE(SUBSTITUTE(SUBSTITUTE(SUBSTITUTE(SUBSTITUTE(SUBSTITUTE(TRIM(M880),".",""),"/",""),"-","")," ",""),"(",""),")",""),"+",""),4)="0800")),"OK",IF(AND(LEN(SUBSTITUTE(SUBSTITUTE(SUBSTITUTE(SUBSTITUTE(SUBSTITUTE(SUBSTITUTE(SUBSTITUTE(TRIM(M880),".",""),"/",""),"-","")," ",""),"(",""),")",""),"+",""))=11,MID(SUBSTITUTE(SUBSTITUTE(SUBSTITUTE(SUBSTITUTE(SUBSTITUTE(SUBSTITUTE(SUBSTITUTE(TRIM(M880),".",""),"/",""),"-","")," ",""),"(",""),")",""),"+",""),3,1)="9"),"ERRO: é celular, use a coluna Celular","ERRO: DDD + 8 dígitos ou 0800 + 7")))</f>
      </c>
      <c r="X880" s="6">
        <f>IF(N880="","vazio",IF(AND(LEN(SUBSTITUTE(SUBSTITUTE(SUBSTITUTE(SUBSTITUTE(SUBSTITUTE(SUBSTITUTE(SUBSTITUTE(TRIM(N880),".",""),"/",""),"-","")," ",""),"(",""),")",""),"+",""))=11,MID(SUBSTITUTE(SUBSTITUTE(SUBSTITUTE(SUBSTITUTE(SUBSTITUTE(SUBSTITUTE(SUBSTITUTE(TRIM(N880),".",""),"/",""),"-","")," ",""),"(",""),")",""),"+",""),3,1)="9",LEFT(SUBSTITUTE(SUBSTITUTE(SUBSTITUTE(SUBSTITUTE(SUBSTITUTE(SUBSTITUTE(SUBSTITUTE(TRIM(N880),".",""),"/",""),"-","")," ",""),"(",""),")",""),"+",""),1)&lt;&gt;"0"),"OK",IF(LEN(SUBSTITUTE(SUBSTITUTE(SUBSTITUTE(SUBSTITUTE(SUBSTITUTE(SUBSTITUTE(SUBSTITUTE(TRIM(N880),".",""),"/",""),"-","")," ",""),"(",""),")",""),"+",""))=10,"ERRO: é fixo (ou falta o 9), use a coluna Telefone fixo","ERRO: DDD + 9 + 8 dígitos")))</f>
      </c>
      <c r="Y880" s="6">
        <f>IF(O880="","vazio",IF(AND(ISNUMBER(FIND("@",O880)),ISNUMBER(FIND(".",MID(O880,FIND("@",O880),99))),NOT(ISNUMBER(FIND(" ",TRIM(O880)))),NOT(ISNUMBER(FIND(";",O880))),NOT(ISNUMBER(FIND(",",O880)))),"OK","ERRO: um e-mail válido por linha"))</f>
      </c>
      <c r="Z880" s="6">
        <f>IF(AND(J880="",K880=""),"",IF(AND(J880&lt;&gt;"",K880&lt;&gt;""),"OK","pendente: só um nome (o GR completa ao converter)"))</f>
      </c>
      <c r="AA880" s="6">
        <f>IF(COUNTA(A880:S880)=0,"",IF(AND(A880&lt;&gt;"",B880&lt;&gt;"",C880&lt;&gt;"",D880&lt;&gt;"",E880&lt;&gt;"",F880&lt;&gt;"",G880&lt;&gt;"",H880&lt;&gt;"",OR(J880&lt;&gt;"",K880&lt;&gt;""),OR(M880&lt;&gt;"",N880&lt;&gt;"",O880&lt;&gt;"")),"OK","ERRO: faltam "&amp;IF(A880="","SDR; ","")&amp;IF(B880="","Proprietário; ","")&amp;IF(C880="","Origem; ","")&amp;IF(D880="","Temperatura; ","")&amp;IF(E880="","Segmento; ","")&amp;IF(F880="","Time/Cluster; ","")&amp;IF(G880="","CNPJ; ","")&amp;IF(H880="","Razão Social; ","")&amp;IF(AND(J880="",K880=""),"nome do contato; ","")&amp;IF(AND(M880="",N880="",O880=""),"telefone, celular ou e-mail; ","")))</f>
      </c>
      <c r="AB880" s="6">
        <f>IF(COUNTA(A880:S880)=0,"",IF(AND(U880="OK",V880="OK",LEFT(W880,4)&lt;&gt;"ERRO",LEFT(X880,4)&lt;&gt;"ERRO",LEFT(Y880,4)&lt;&gt;"ERRO",AA880="OK"),"OK","REVISAR"))</f>
      </c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5"/>
      <c r="K881" s="4"/>
      <c r="L881" s="4"/>
      <c r="M881" s="4"/>
      <c r="N881" s="4"/>
      <c r="O881" s="4"/>
      <c r="P881" s="4"/>
      <c r="Q881" s="4"/>
      <c r="R881" s="4"/>
      <c r="S881" s="4"/>
      <c r="T881" s="6">
        <f>IF(G881="","",SUBSTITUTE(SUBSTITUTE(SUBSTITUTE(SUBSTITUTE(SUBSTITUTE(SUBSTITUTE(SUBSTITUTE(TRIM(G881),".",""),"/",""),"-","")," ",""),"(",""),")",""),"+",""))</f>
      </c>
      <c r="U881" s="6">
        <f>IF(T881="","",IF(LEN(T881)&lt;&gt;14,"ERRO: "&amp;LEN(T881)&amp;" dígitos",IF(NOT(ISNUMBER(VALUE(T881))),"ERRO: não numérico",IF(LEN(SUBSTITUTE(T881,LEFT(T881,1),""))=0,"ERRO: dígitos repetidos",IF(AND(VALUE(MID(T881,13,1))=IF(MOD(SUMPRODUCT(--MID(T881,{1,2,3,4,5,6,7,8,9,10,11,12},1),{5,4,3,2,9,8,7,6,5,4,3,2}),11)&lt;2,0,11-MOD(SUMPRODUCT(--MID(T881,{1,2,3,4,5,6,7,8,9,10,11,12},1),{5,4,3,2,9,8,7,6,5,4,3,2}),11)),VALUE(MID(T881,14,1))=IF(MOD(SUMPRODUCT(--MID(T881,{1,2,3,4,5,6,7,8,9,10,11,12,13},1),{6,5,4,3,2,9,8,7,6,5,4,3,2}),11)&lt;2,0,11-MOD(SUMPRODUCT(--MID(T881,{1,2,3,4,5,6,7,8,9,10,11,12,13},1),{6,5,4,3,2,9,8,7,6,5,4,3,2}),11))),"OK","ERRO: dígito verificador")))))</f>
      </c>
      <c r="V881" s="6">
        <f>IF(T881="","",IF(COUNTIF($T$2:$T$1001,T881)&gt;1,"DUPLICADO","OK"))</f>
      </c>
      <c r="W881" s="6">
        <f>IF(M881="","vazio",IF(OR(AND(LEN(SUBSTITUTE(SUBSTITUTE(SUBSTITUTE(SUBSTITUTE(SUBSTITUTE(SUBSTITUTE(SUBSTITUTE(TRIM(M881),".",""),"/",""),"-","")," ",""),"(",""),")",""),"+",""))=10,LEFT(SUBSTITUTE(SUBSTITUTE(SUBSTITUTE(SUBSTITUTE(SUBSTITUTE(SUBSTITUTE(SUBSTITUTE(TRIM(M881),".",""),"/",""),"-","")," ",""),"(",""),")",""),"+",""),1)&lt;&gt;"0"),AND(LEN(SUBSTITUTE(SUBSTITUTE(SUBSTITUTE(SUBSTITUTE(SUBSTITUTE(SUBSTITUTE(SUBSTITUTE(TRIM(M881),".",""),"/",""),"-","")," ",""),"(",""),")",""),"+",""))=11,LEFT(SUBSTITUTE(SUBSTITUTE(SUBSTITUTE(SUBSTITUTE(SUBSTITUTE(SUBSTITUTE(SUBSTITUTE(TRIM(M881),".",""),"/",""),"-","")," ",""),"(",""),")",""),"+",""),4)="0800")),"OK",IF(AND(LEN(SUBSTITUTE(SUBSTITUTE(SUBSTITUTE(SUBSTITUTE(SUBSTITUTE(SUBSTITUTE(SUBSTITUTE(TRIM(M881),".",""),"/",""),"-","")," ",""),"(",""),")",""),"+",""))=11,MID(SUBSTITUTE(SUBSTITUTE(SUBSTITUTE(SUBSTITUTE(SUBSTITUTE(SUBSTITUTE(SUBSTITUTE(TRIM(M881),".",""),"/",""),"-","")," ",""),"(",""),")",""),"+",""),3,1)="9"),"ERRO: é celular, use a coluna Celular","ERRO: DDD + 8 dígitos ou 0800 + 7")))</f>
      </c>
      <c r="X881" s="6">
        <f>IF(N881="","vazio",IF(AND(LEN(SUBSTITUTE(SUBSTITUTE(SUBSTITUTE(SUBSTITUTE(SUBSTITUTE(SUBSTITUTE(SUBSTITUTE(TRIM(N881),".",""),"/",""),"-","")," ",""),"(",""),")",""),"+",""))=11,MID(SUBSTITUTE(SUBSTITUTE(SUBSTITUTE(SUBSTITUTE(SUBSTITUTE(SUBSTITUTE(SUBSTITUTE(TRIM(N881),".",""),"/",""),"-","")," ",""),"(",""),")",""),"+",""),3,1)="9",LEFT(SUBSTITUTE(SUBSTITUTE(SUBSTITUTE(SUBSTITUTE(SUBSTITUTE(SUBSTITUTE(SUBSTITUTE(TRIM(N881),".",""),"/",""),"-","")," ",""),"(",""),")",""),"+",""),1)&lt;&gt;"0"),"OK",IF(LEN(SUBSTITUTE(SUBSTITUTE(SUBSTITUTE(SUBSTITUTE(SUBSTITUTE(SUBSTITUTE(SUBSTITUTE(TRIM(N881),".",""),"/",""),"-","")," ",""),"(",""),")",""),"+",""))=10,"ERRO: é fixo (ou falta o 9), use a coluna Telefone fixo","ERRO: DDD + 9 + 8 dígitos")))</f>
      </c>
      <c r="Y881" s="6">
        <f>IF(O881="","vazio",IF(AND(ISNUMBER(FIND("@",O881)),ISNUMBER(FIND(".",MID(O881,FIND("@",O881),99))),NOT(ISNUMBER(FIND(" ",TRIM(O881)))),NOT(ISNUMBER(FIND(";",O881))),NOT(ISNUMBER(FIND(",",O881)))),"OK","ERRO: um e-mail válido por linha"))</f>
      </c>
      <c r="Z881" s="6">
        <f>IF(AND(J881="",K881=""),"",IF(AND(J881&lt;&gt;"",K881&lt;&gt;""),"OK","pendente: só um nome (o GR completa ao converter)"))</f>
      </c>
      <c r="AA881" s="6">
        <f>IF(COUNTA(A881:S881)=0,"",IF(AND(A881&lt;&gt;"",B881&lt;&gt;"",C881&lt;&gt;"",D881&lt;&gt;"",E881&lt;&gt;"",F881&lt;&gt;"",G881&lt;&gt;"",H881&lt;&gt;"",OR(J881&lt;&gt;"",K881&lt;&gt;""),OR(M881&lt;&gt;"",N881&lt;&gt;"",O881&lt;&gt;"")),"OK","ERRO: faltam "&amp;IF(A881="","SDR; ","")&amp;IF(B881="","Proprietário; ","")&amp;IF(C881="","Origem; ","")&amp;IF(D881="","Temperatura; ","")&amp;IF(E881="","Segmento; ","")&amp;IF(F881="","Time/Cluster; ","")&amp;IF(G881="","CNPJ; ","")&amp;IF(H881="","Razão Social; ","")&amp;IF(AND(J881="",K881=""),"nome do contato; ","")&amp;IF(AND(M881="",N881="",O881=""),"telefone, celular ou e-mail; ","")))</f>
      </c>
      <c r="AB881" s="6">
        <f>IF(COUNTA(A881:S881)=0,"",IF(AND(U881="OK",V881="OK",LEFT(W881,4)&lt;&gt;"ERRO",LEFT(X881,4)&lt;&gt;"ERRO",LEFT(Y881,4)&lt;&gt;"ERRO",AA881="OK"),"OK","REVISAR"))</f>
      </c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5"/>
      <c r="K882" s="4"/>
      <c r="L882" s="4"/>
      <c r="M882" s="4"/>
      <c r="N882" s="4"/>
      <c r="O882" s="4"/>
      <c r="P882" s="4"/>
      <c r="Q882" s="4"/>
      <c r="R882" s="4"/>
      <c r="S882" s="4"/>
      <c r="T882" s="6">
        <f>IF(G882="","",SUBSTITUTE(SUBSTITUTE(SUBSTITUTE(SUBSTITUTE(SUBSTITUTE(SUBSTITUTE(SUBSTITUTE(TRIM(G882),".",""),"/",""),"-","")," ",""),"(",""),")",""),"+",""))</f>
      </c>
      <c r="U882" s="6">
        <f>IF(T882="","",IF(LEN(T882)&lt;&gt;14,"ERRO: "&amp;LEN(T882)&amp;" dígitos",IF(NOT(ISNUMBER(VALUE(T882))),"ERRO: não numérico",IF(LEN(SUBSTITUTE(T882,LEFT(T882,1),""))=0,"ERRO: dígitos repetidos",IF(AND(VALUE(MID(T882,13,1))=IF(MOD(SUMPRODUCT(--MID(T882,{1,2,3,4,5,6,7,8,9,10,11,12},1),{5,4,3,2,9,8,7,6,5,4,3,2}),11)&lt;2,0,11-MOD(SUMPRODUCT(--MID(T882,{1,2,3,4,5,6,7,8,9,10,11,12},1),{5,4,3,2,9,8,7,6,5,4,3,2}),11)),VALUE(MID(T882,14,1))=IF(MOD(SUMPRODUCT(--MID(T882,{1,2,3,4,5,6,7,8,9,10,11,12,13},1),{6,5,4,3,2,9,8,7,6,5,4,3,2}),11)&lt;2,0,11-MOD(SUMPRODUCT(--MID(T882,{1,2,3,4,5,6,7,8,9,10,11,12,13},1),{6,5,4,3,2,9,8,7,6,5,4,3,2}),11))),"OK","ERRO: dígito verificador")))))</f>
      </c>
      <c r="V882" s="6">
        <f>IF(T882="","",IF(COUNTIF($T$2:$T$1001,T882)&gt;1,"DUPLICADO","OK"))</f>
      </c>
      <c r="W882" s="6">
        <f>IF(M882="","vazio",IF(OR(AND(LEN(SUBSTITUTE(SUBSTITUTE(SUBSTITUTE(SUBSTITUTE(SUBSTITUTE(SUBSTITUTE(SUBSTITUTE(TRIM(M882),".",""),"/",""),"-","")," ",""),"(",""),")",""),"+",""))=10,LEFT(SUBSTITUTE(SUBSTITUTE(SUBSTITUTE(SUBSTITUTE(SUBSTITUTE(SUBSTITUTE(SUBSTITUTE(TRIM(M882),".",""),"/",""),"-","")," ",""),"(",""),")",""),"+",""),1)&lt;&gt;"0"),AND(LEN(SUBSTITUTE(SUBSTITUTE(SUBSTITUTE(SUBSTITUTE(SUBSTITUTE(SUBSTITUTE(SUBSTITUTE(TRIM(M882),".",""),"/",""),"-","")," ",""),"(",""),")",""),"+",""))=11,LEFT(SUBSTITUTE(SUBSTITUTE(SUBSTITUTE(SUBSTITUTE(SUBSTITUTE(SUBSTITUTE(SUBSTITUTE(TRIM(M882),".",""),"/",""),"-","")," ",""),"(",""),")",""),"+",""),4)="0800")),"OK",IF(AND(LEN(SUBSTITUTE(SUBSTITUTE(SUBSTITUTE(SUBSTITUTE(SUBSTITUTE(SUBSTITUTE(SUBSTITUTE(TRIM(M882),".",""),"/",""),"-","")," ",""),"(",""),")",""),"+",""))=11,MID(SUBSTITUTE(SUBSTITUTE(SUBSTITUTE(SUBSTITUTE(SUBSTITUTE(SUBSTITUTE(SUBSTITUTE(TRIM(M882),".",""),"/",""),"-","")," ",""),"(",""),")",""),"+",""),3,1)="9"),"ERRO: é celular, use a coluna Celular","ERRO: DDD + 8 dígitos ou 0800 + 7")))</f>
      </c>
      <c r="X882" s="6">
        <f>IF(N882="","vazio",IF(AND(LEN(SUBSTITUTE(SUBSTITUTE(SUBSTITUTE(SUBSTITUTE(SUBSTITUTE(SUBSTITUTE(SUBSTITUTE(TRIM(N882),".",""),"/",""),"-","")," ",""),"(",""),")",""),"+",""))=11,MID(SUBSTITUTE(SUBSTITUTE(SUBSTITUTE(SUBSTITUTE(SUBSTITUTE(SUBSTITUTE(SUBSTITUTE(TRIM(N882),".",""),"/",""),"-","")," ",""),"(",""),")",""),"+",""),3,1)="9",LEFT(SUBSTITUTE(SUBSTITUTE(SUBSTITUTE(SUBSTITUTE(SUBSTITUTE(SUBSTITUTE(SUBSTITUTE(TRIM(N882),".",""),"/",""),"-","")," ",""),"(",""),")",""),"+",""),1)&lt;&gt;"0"),"OK",IF(LEN(SUBSTITUTE(SUBSTITUTE(SUBSTITUTE(SUBSTITUTE(SUBSTITUTE(SUBSTITUTE(SUBSTITUTE(TRIM(N882),".",""),"/",""),"-","")," ",""),"(",""),")",""),"+",""))=10,"ERRO: é fixo (ou falta o 9), use a coluna Telefone fixo","ERRO: DDD + 9 + 8 dígitos")))</f>
      </c>
      <c r="Y882" s="6">
        <f>IF(O882="","vazio",IF(AND(ISNUMBER(FIND("@",O882)),ISNUMBER(FIND(".",MID(O882,FIND("@",O882),99))),NOT(ISNUMBER(FIND(" ",TRIM(O882)))),NOT(ISNUMBER(FIND(";",O882))),NOT(ISNUMBER(FIND(",",O882)))),"OK","ERRO: um e-mail válido por linha"))</f>
      </c>
      <c r="Z882" s="6">
        <f>IF(AND(J882="",K882=""),"",IF(AND(J882&lt;&gt;"",K882&lt;&gt;""),"OK","pendente: só um nome (o GR completa ao converter)"))</f>
      </c>
      <c r="AA882" s="6">
        <f>IF(COUNTA(A882:S882)=0,"",IF(AND(A882&lt;&gt;"",B882&lt;&gt;"",C882&lt;&gt;"",D882&lt;&gt;"",E882&lt;&gt;"",F882&lt;&gt;"",G882&lt;&gt;"",H882&lt;&gt;"",OR(J882&lt;&gt;"",K882&lt;&gt;""),OR(M882&lt;&gt;"",N882&lt;&gt;"",O882&lt;&gt;"")),"OK","ERRO: faltam "&amp;IF(A882="","SDR; ","")&amp;IF(B882="","Proprietário; ","")&amp;IF(C882="","Origem; ","")&amp;IF(D882="","Temperatura; ","")&amp;IF(E882="","Segmento; ","")&amp;IF(F882="","Time/Cluster; ","")&amp;IF(G882="","CNPJ; ","")&amp;IF(H882="","Razão Social; ","")&amp;IF(AND(J882="",K882=""),"nome do contato; ","")&amp;IF(AND(M882="",N882="",O882=""),"telefone, celular ou e-mail; ","")))</f>
      </c>
      <c r="AB882" s="6">
        <f>IF(COUNTA(A882:S882)=0,"",IF(AND(U882="OK",V882="OK",LEFT(W882,4)&lt;&gt;"ERRO",LEFT(X882,4)&lt;&gt;"ERRO",LEFT(Y882,4)&lt;&gt;"ERRO",AA882="OK"),"OK","REVISAR"))</f>
      </c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5"/>
      <c r="K883" s="4"/>
      <c r="L883" s="4"/>
      <c r="M883" s="4"/>
      <c r="N883" s="4"/>
      <c r="O883" s="4"/>
      <c r="P883" s="4"/>
      <c r="Q883" s="4"/>
      <c r="R883" s="4"/>
      <c r="S883" s="4"/>
      <c r="T883" s="6">
        <f>IF(G883="","",SUBSTITUTE(SUBSTITUTE(SUBSTITUTE(SUBSTITUTE(SUBSTITUTE(SUBSTITUTE(SUBSTITUTE(TRIM(G883),".",""),"/",""),"-","")," ",""),"(",""),")",""),"+",""))</f>
      </c>
      <c r="U883" s="6">
        <f>IF(T883="","",IF(LEN(T883)&lt;&gt;14,"ERRO: "&amp;LEN(T883)&amp;" dígitos",IF(NOT(ISNUMBER(VALUE(T883))),"ERRO: não numérico",IF(LEN(SUBSTITUTE(T883,LEFT(T883,1),""))=0,"ERRO: dígitos repetidos",IF(AND(VALUE(MID(T883,13,1))=IF(MOD(SUMPRODUCT(--MID(T883,{1,2,3,4,5,6,7,8,9,10,11,12},1),{5,4,3,2,9,8,7,6,5,4,3,2}),11)&lt;2,0,11-MOD(SUMPRODUCT(--MID(T883,{1,2,3,4,5,6,7,8,9,10,11,12},1),{5,4,3,2,9,8,7,6,5,4,3,2}),11)),VALUE(MID(T883,14,1))=IF(MOD(SUMPRODUCT(--MID(T883,{1,2,3,4,5,6,7,8,9,10,11,12,13},1),{6,5,4,3,2,9,8,7,6,5,4,3,2}),11)&lt;2,0,11-MOD(SUMPRODUCT(--MID(T883,{1,2,3,4,5,6,7,8,9,10,11,12,13},1),{6,5,4,3,2,9,8,7,6,5,4,3,2}),11))),"OK","ERRO: dígito verificador")))))</f>
      </c>
      <c r="V883" s="6">
        <f>IF(T883="","",IF(COUNTIF($T$2:$T$1001,T883)&gt;1,"DUPLICADO","OK"))</f>
      </c>
      <c r="W883" s="6">
        <f>IF(M883="","vazio",IF(OR(AND(LEN(SUBSTITUTE(SUBSTITUTE(SUBSTITUTE(SUBSTITUTE(SUBSTITUTE(SUBSTITUTE(SUBSTITUTE(TRIM(M883),".",""),"/",""),"-","")," ",""),"(",""),")",""),"+",""))=10,LEFT(SUBSTITUTE(SUBSTITUTE(SUBSTITUTE(SUBSTITUTE(SUBSTITUTE(SUBSTITUTE(SUBSTITUTE(TRIM(M883),".",""),"/",""),"-","")," ",""),"(",""),")",""),"+",""),1)&lt;&gt;"0"),AND(LEN(SUBSTITUTE(SUBSTITUTE(SUBSTITUTE(SUBSTITUTE(SUBSTITUTE(SUBSTITUTE(SUBSTITUTE(TRIM(M883),".",""),"/",""),"-","")," ",""),"(",""),")",""),"+",""))=11,LEFT(SUBSTITUTE(SUBSTITUTE(SUBSTITUTE(SUBSTITUTE(SUBSTITUTE(SUBSTITUTE(SUBSTITUTE(TRIM(M883),".",""),"/",""),"-","")," ",""),"(",""),")",""),"+",""),4)="0800")),"OK",IF(AND(LEN(SUBSTITUTE(SUBSTITUTE(SUBSTITUTE(SUBSTITUTE(SUBSTITUTE(SUBSTITUTE(SUBSTITUTE(TRIM(M883),".",""),"/",""),"-","")," ",""),"(",""),")",""),"+",""))=11,MID(SUBSTITUTE(SUBSTITUTE(SUBSTITUTE(SUBSTITUTE(SUBSTITUTE(SUBSTITUTE(SUBSTITUTE(TRIM(M883),".",""),"/",""),"-","")," ",""),"(",""),")",""),"+",""),3,1)="9"),"ERRO: é celular, use a coluna Celular","ERRO: DDD + 8 dígitos ou 0800 + 7")))</f>
      </c>
      <c r="X883" s="6">
        <f>IF(N883="","vazio",IF(AND(LEN(SUBSTITUTE(SUBSTITUTE(SUBSTITUTE(SUBSTITUTE(SUBSTITUTE(SUBSTITUTE(SUBSTITUTE(TRIM(N883),".",""),"/",""),"-","")," ",""),"(",""),")",""),"+",""))=11,MID(SUBSTITUTE(SUBSTITUTE(SUBSTITUTE(SUBSTITUTE(SUBSTITUTE(SUBSTITUTE(SUBSTITUTE(TRIM(N883),".",""),"/",""),"-","")," ",""),"(",""),")",""),"+",""),3,1)="9",LEFT(SUBSTITUTE(SUBSTITUTE(SUBSTITUTE(SUBSTITUTE(SUBSTITUTE(SUBSTITUTE(SUBSTITUTE(TRIM(N883),".",""),"/",""),"-","")," ",""),"(",""),")",""),"+",""),1)&lt;&gt;"0"),"OK",IF(LEN(SUBSTITUTE(SUBSTITUTE(SUBSTITUTE(SUBSTITUTE(SUBSTITUTE(SUBSTITUTE(SUBSTITUTE(TRIM(N883),".",""),"/",""),"-","")," ",""),"(",""),")",""),"+",""))=10,"ERRO: é fixo (ou falta o 9), use a coluna Telefone fixo","ERRO: DDD + 9 + 8 dígitos")))</f>
      </c>
      <c r="Y883" s="6">
        <f>IF(O883="","vazio",IF(AND(ISNUMBER(FIND("@",O883)),ISNUMBER(FIND(".",MID(O883,FIND("@",O883),99))),NOT(ISNUMBER(FIND(" ",TRIM(O883)))),NOT(ISNUMBER(FIND(";",O883))),NOT(ISNUMBER(FIND(",",O883)))),"OK","ERRO: um e-mail válido por linha"))</f>
      </c>
      <c r="Z883" s="6">
        <f>IF(AND(J883="",K883=""),"",IF(AND(J883&lt;&gt;"",K883&lt;&gt;""),"OK","pendente: só um nome (o GR completa ao converter)"))</f>
      </c>
      <c r="AA883" s="6">
        <f>IF(COUNTA(A883:S883)=0,"",IF(AND(A883&lt;&gt;"",B883&lt;&gt;"",C883&lt;&gt;"",D883&lt;&gt;"",E883&lt;&gt;"",F883&lt;&gt;"",G883&lt;&gt;"",H883&lt;&gt;"",OR(J883&lt;&gt;"",K883&lt;&gt;""),OR(M883&lt;&gt;"",N883&lt;&gt;"",O883&lt;&gt;"")),"OK","ERRO: faltam "&amp;IF(A883="","SDR; ","")&amp;IF(B883="","Proprietário; ","")&amp;IF(C883="","Origem; ","")&amp;IF(D883="","Temperatura; ","")&amp;IF(E883="","Segmento; ","")&amp;IF(F883="","Time/Cluster; ","")&amp;IF(G883="","CNPJ; ","")&amp;IF(H883="","Razão Social; ","")&amp;IF(AND(J883="",K883=""),"nome do contato; ","")&amp;IF(AND(M883="",N883="",O883=""),"telefone, celular ou e-mail; ","")))</f>
      </c>
      <c r="AB883" s="6">
        <f>IF(COUNTA(A883:S883)=0,"",IF(AND(U883="OK",V883="OK",LEFT(W883,4)&lt;&gt;"ERRO",LEFT(X883,4)&lt;&gt;"ERRO",LEFT(Y883,4)&lt;&gt;"ERRO",AA883="OK"),"OK","REVISAR"))</f>
      </c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5"/>
      <c r="K884" s="4"/>
      <c r="L884" s="4"/>
      <c r="M884" s="4"/>
      <c r="N884" s="4"/>
      <c r="O884" s="4"/>
      <c r="P884" s="4"/>
      <c r="Q884" s="4"/>
      <c r="R884" s="4"/>
      <c r="S884" s="4"/>
      <c r="T884" s="6">
        <f>IF(G884="","",SUBSTITUTE(SUBSTITUTE(SUBSTITUTE(SUBSTITUTE(SUBSTITUTE(SUBSTITUTE(SUBSTITUTE(TRIM(G884),".",""),"/",""),"-","")," ",""),"(",""),")",""),"+",""))</f>
      </c>
      <c r="U884" s="6">
        <f>IF(T884="","",IF(LEN(T884)&lt;&gt;14,"ERRO: "&amp;LEN(T884)&amp;" dígitos",IF(NOT(ISNUMBER(VALUE(T884))),"ERRO: não numérico",IF(LEN(SUBSTITUTE(T884,LEFT(T884,1),""))=0,"ERRO: dígitos repetidos",IF(AND(VALUE(MID(T884,13,1))=IF(MOD(SUMPRODUCT(--MID(T884,{1,2,3,4,5,6,7,8,9,10,11,12},1),{5,4,3,2,9,8,7,6,5,4,3,2}),11)&lt;2,0,11-MOD(SUMPRODUCT(--MID(T884,{1,2,3,4,5,6,7,8,9,10,11,12},1),{5,4,3,2,9,8,7,6,5,4,3,2}),11)),VALUE(MID(T884,14,1))=IF(MOD(SUMPRODUCT(--MID(T884,{1,2,3,4,5,6,7,8,9,10,11,12,13},1),{6,5,4,3,2,9,8,7,6,5,4,3,2}),11)&lt;2,0,11-MOD(SUMPRODUCT(--MID(T884,{1,2,3,4,5,6,7,8,9,10,11,12,13},1),{6,5,4,3,2,9,8,7,6,5,4,3,2}),11))),"OK","ERRO: dígito verificador")))))</f>
      </c>
      <c r="V884" s="6">
        <f>IF(T884="","",IF(COUNTIF($T$2:$T$1001,T884)&gt;1,"DUPLICADO","OK"))</f>
      </c>
      <c r="W884" s="6">
        <f>IF(M884="","vazio",IF(OR(AND(LEN(SUBSTITUTE(SUBSTITUTE(SUBSTITUTE(SUBSTITUTE(SUBSTITUTE(SUBSTITUTE(SUBSTITUTE(TRIM(M884),".",""),"/",""),"-","")," ",""),"(",""),")",""),"+",""))=10,LEFT(SUBSTITUTE(SUBSTITUTE(SUBSTITUTE(SUBSTITUTE(SUBSTITUTE(SUBSTITUTE(SUBSTITUTE(TRIM(M884),".",""),"/",""),"-","")," ",""),"(",""),")",""),"+",""),1)&lt;&gt;"0"),AND(LEN(SUBSTITUTE(SUBSTITUTE(SUBSTITUTE(SUBSTITUTE(SUBSTITUTE(SUBSTITUTE(SUBSTITUTE(TRIM(M884),".",""),"/",""),"-","")," ",""),"(",""),")",""),"+",""))=11,LEFT(SUBSTITUTE(SUBSTITUTE(SUBSTITUTE(SUBSTITUTE(SUBSTITUTE(SUBSTITUTE(SUBSTITUTE(TRIM(M884),".",""),"/",""),"-","")," ",""),"(",""),")",""),"+",""),4)="0800")),"OK",IF(AND(LEN(SUBSTITUTE(SUBSTITUTE(SUBSTITUTE(SUBSTITUTE(SUBSTITUTE(SUBSTITUTE(SUBSTITUTE(TRIM(M884),".",""),"/",""),"-","")," ",""),"(",""),")",""),"+",""))=11,MID(SUBSTITUTE(SUBSTITUTE(SUBSTITUTE(SUBSTITUTE(SUBSTITUTE(SUBSTITUTE(SUBSTITUTE(TRIM(M884),".",""),"/",""),"-","")," ",""),"(",""),")",""),"+",""),3,1)="9"),"ERRO: é celular, use a coluna Celular","ERRO: DDD + 8 dígitos ou 0800 + 7")))</f>
      </c>
      <c r="X884" s="6">
        <f>IF(N884="","vazio",IF(AND(LEN(SUBSTITUTE(SUBSTITUTE(SUBSTITUTE(SUBSTITUTE(SUBSTITUTE(SUBSTITUTE(SUBSTITUTE(TRIM(N884),".",""),"/",""),"-","")," ",""),"(",""),")",""),"+",""))=11,MID(SUBSTITUTE(SUBSTITUTE(SUBSTITUTE(SUBSTITUTE(SUBSTITUTE(SUBSTITUTE(SUBSTITUTE(TRIM(N884),".",""),"/",""),"-","")," ",""),"(",""),")",""),"+",""),3,1)="9",LEFT(SUBSTITUTE(SUBSTITUTE(SUBSTITUTE(SUBSTITUTE(SUBSTITUTE(SUBSTITUTE(SUBSTITUTE(TRIM(N884),".",""),"/",""),"-","")," ",""),"(",""),")",""),"+",""),1)&lt;&gt;"0"),"OK",IF(LEN(SUBSTITUTE(SUBSTITUTE(SUBSTITUTE(SUBSTITUTE(SUBSTITUTE(SUBSTITUTE(SUBSTITUTE(TRIM(N884),".",""),"/",""),"-","")," ",""),"(",""),")",""),"+",""))=10,"ERRO: é fixo (ou falta o 9), use a coluna Telefone fixo","ERRO: DDD + 9 + 8 dígitos")))</f>
      </c>
      <c r="Y884" s="6">
        <f>IF(O884="","vazio",IF(AND(ISNUMBER(FIND("@",O884)),ISNUMBER(FIND(".",MID(O884,FIND("@",O884),99))),NOT(ISNUMBER(FIND(" ",TRIM(O884)))),NOT(ISNUMBER(FIND(";",O884))),NOT(ISNUMBER(FIND(",",O884)))),"OK","ERRO: um e-mail válido por linha"))</f>
      </c>
      <c r="Z884" s="6">
        <f>IF(AND(J884="",K884=""),"",IF(AND(J884&lt;&gt;"",K884&lt;&gt;""),"OK","pendente: só um nome (o GR completa ao converter)"))</f>
      </c>
      <c r="AA884" s="6">
        <f>IF(COUNTA(A884:S884)=0,"",IF(AND(A884&lt;&gt;"",B884&lt;&gt;"",C884&lt;&gt;"",D884&lt;&gt;"",E884&lt;&gt;"",F884&lt;&gt;"",G884&lt;&gt;"",H884&lt;&gt;"",OR(J884&lt;&gt;"",K884&lt;&gt;""),OR(M884&lt;&gt;"",N884&lt;&gt;"",O884&lt;&gt;"")),"OK","ERRO: faltam "&amp;IF(A884="","SDR; ","")&amp;IF(B884="","Proprietário; ","")&amp;IF(C884="","Origem; ","")&amp;IF(D884="","Temperatura; ","")&amp;IF(E884="","Segmento; ","")&amp;IF(F884="","Time/Cluster; ","")&amp;IF(G884="","CNPJ; ","")&amp;IF(H884="","Razão Social; ","")&amp;IF(AND(J884="",K884=""),"nome do contato; ","")&amp;IF(AND(M884="",N884="",O884=""),"telefone, celular ou e-mail; ","")))</f>
      </c>
      <c r="AB884" s="6">
        <f>IF(COUNTA(A884:S884)=0,"",IF(AND(U884="OK",V884="OK",LEFT(W884,4)&lt;&gt;"ERRO",LEFT(X884,4)&lt;&gt;"ERRO",LEFT(Y884,4)&lt;&gt;"ERRO",AA884="OK"),"OK","REVISAR"))</f>
      </c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5"/>
      <c r="K885" s="4"/>
      <c r="L885" s="4"/>
      <c r="M885" s="4"/>
      <c r="N885" s="4"/>
      <c r="O885" s="4"/>
      <c r="P885" s="4"/>
      <c r="Q885" s="4"/>
      <c r="R885" s="4"/>
      <c r="S885" s="4"/>
      <c r="T885" s="6">
        <f>IF(G885="","",SUBSTITUTE(SUBSTITUTE(SUBSTITUTE(SUBSTITUTE(SUBSTITUTE(SUBSTITUTE(SUBSTITUTE(TRIM(G885),".",""),"/",""),"-","")," ",""),"(",""),")",""),"+",""))</f>
      </c>
      <c r="U885" s="6">
        <f>IF(T885="","",IF(LEN(T885)&lt;&gt;14,"ERRO: "&amp;LEN(T885)&amp;" dígitos",IF(NOT(ISNUMBER(VALUE(T885))),"ERRO: não numérico",IF(LEN(SUBSTITUTE(T885,LEFT(T885,1),""))=0,"ERRO: dígitos repetidos",IF(AND(VALUE(MID(T885,13,1))=IF(MOD(SUMPRODUCT(--MID(T885,{1,2,3,4,5,6,7,8,9,10,11,12},1),{5,4,3,2,9,8,7,6,5,4,3,2}),11)&lt;2,0,11-MOD(SUMPRODUCT(--MID(T885,{1,2,3,4,5,6,7,8,9,10,11,12},1),{5,4,3,2,9,8,7,6,5,4,3,2}),11)),VALUE(MID(T885,14,1))=IF(MOD(SUMPRODUCT(--MID(T885,{1,2,3,4,5,6,7,8,9,10,11,12,13},1),{6,5,4,3,2,9,8,7,6,5,4,3,2}),11)&lt;2,0,11-MOD(SUMPRODUCT(--MID(T885,{1,2,3,4,5,6,7,8,9,10,11,12,13},1),{6,5,4,3,2,9,8,7,6,5,4,3,2}),11))),"OK","ERRO: dígito verificador")))))</f>
      </c>
      <c r="V885" s="6">
        <f>IF(T885="","",IF(COUNTIF($T$2:$T$1001,T885)&gt;1,"DUPLICADO","OK"))</f>
      </c>
      <c r="W885" s="6">
        <f>IF(M885="","vazio",IF(OR(AND(LEN(SUBSTITUTE(SUBSTITUTE(SUBSTITUTE(SUBSTITUTE(SUBSTITUTE(SUBSTITUTE(SUBSTITUTE(TRIM(M885),".",""),"/",""),"-","")," ",""),"(",""),")",""),"+",""))=10,LEFT(SUBSTITUTE(SUBSTITUTE(SUBSTITUTE(SUBSTITUTE(SUBSTITUTE(SUBSTITUTE(SUBSTITUTE(TRIM(M885),".",""),"/",""),"-","")," ",""),"(",""),")",""),"+",""),1)&lt;&gt;"0"),AND(LEN(SUBSTITUTE(SUBSTITUTE(SUBSTITUTE(SUBSTITUTE(SUBSTITUTE(SUBSTITUTE(SUBSTITUTE(TRIM(M885),".",""),"/",""),"-","")," ",""),"(",""),")",""),"+",""))=11,LEFT(SUBSTITUTE(SUBSTITUTE(SUBSTITUTE(SUBSTITUTE(SUBSTITUTE(SUBSTITUTE(SUBSTITUTE(TRIM(M885),".",""),"/",""),"-","")," ",""),"(",""),")",""),"+",""),4)="0800")),"OK",IF(AND(LEN(SUBSTITUTE(SUBSTITUTE(SUBSTITUTE(SUBSTITUTE(SUBSTITUTE(SUBSTITUTE(SUBSTITUTE(TRIM(M885),".",""),"/",""),"-","")," ",""),"(",""),")",""),"+",""))=11,MID(SUBSTITUTE(SUBSTITUTE(SUBSTITUTE(SUBSTITUTE(SUBSTITUTE(SUBSTITUTE(SUBSTITUTE(TRIM(M885),".",""),"/",""),"-","")," ",""),"(",""),")",""),"+",""),3,1)="9"),"ERRO: é celular, use a coluna Celular","ERRO: DDD + 8 dígitos ou 0800 + 7")))</f>
      </c>
      <c r="X885" s="6">
        <f>IF(N885="","vazio",IF(AND(LEN(SUBSTITUTE(SUBSTITUTE(SUBSTITUTE(SUBSTITUTE(SUBSTITUTE(SUBSTITUTE(SUBSTITUTE(TRIM(N885),".",""),"/",""),"-","")," ",""),"(",""),")",""),"+",""))=11,MID(SUBSTITUTE(SUBSTITUTE(SUBSTITUTE(SUBSTITUTE(SUBSTITUTE(SUBSTITUTE(SUBSTITUTE(TRIM(N885),".",""),"/",""),"-","")," ",""),"(",""),")",""),"+",""),3,1)="9",LEFT(SUBSTITUTE(SUBSTITUTE(SUBSTITUTE(SUBSTITUTE(SUBSTITUTE(SUBSTITUTE(SUBSTITUTE(TRIM(N885),".",""),"/",""),"-","")," ",""),"(",""),")",""),"+",""),1)&lt;&gt;"0"),"OK",IF(LEN(SUBSTITUTE(SUBSTITUTE(SUBSTITUTE(SUBSTITUTE(SUBSTITUTE(SUBSTITUTE(SUBSTITUTE(TRIM(N885),".",""),"/",""),"-","")," ",""),"(",""),")",""),"+",""))=10,"ERRO: é fixo (ou falta o 9), use a coluna Telefone fixo","ERRO: DDD + 9 + 8 dígitos")))</f>
      </c>
      <c r="Y885" s="6">
        <f>IF(O885="","vazio",IF(AND(ISNUMBER(FIND("@",O885)),ISNUMBER(FIND(".",MID(O885,FIND("@",O885),99))),NOT(ISNUMBER(FIND(" ",TRIM(O885)))),NOT(ISNUMBER(FIND(";",O885))),NOT(ISNUMBER(FIND(",",O885)))),"OK","ERRO: um e-mail válido por linha"))</f>
      </c>
      <c r="Z885" s="6">
        <f>IF(AND(J885="",K885=""),"",IF(AND(J885&lt;&gt;"",K885&lt;&gt;""),"OK","pendente: só um nome (o GR completa ao converter)"))</f>
      </c>
      <c r="AA885" s="6">
        <f>IF(COUNTA(A885:S885)=0,"",IF(AND(A885&lt;&gt;"",B885&lt;&gt;"",C885&lt;&gt;"",D885&lt;&gt;"",E885&lt;&gt;"",F885&lt;&gt;"",G885&lt;&gt;"",H885&lt;&gt;"",OR(J885&lt;&gt;"",K885&lt;&gt;""),OR(M885&lt;&gt;"",N885&lt;&gt;"",O885&lt;&gt;"")),"OK","ERRO: faltam "&amp;IF(A885="","SDR; ","")&amp;IF(B885="","Proprietário; ","")&amp;IF(C885="","Origem; ","")&amp;IF(D885="","Temperatura; ","")&amp;IF(E885="","Segmento; ","")&amp;IF(F885="","Time/Cluster; ","")&amp;IF(G885="","CNPJ; ","")&amp;IF(H885="","Razão Social; ","")&amp;IF(AND(J885="",K885=""),"nome do contato; ","")&amp;IF(AND(M885="",N885="",O885=""),"telefone, celular ou e-mail; ","")))</f>
      </c>
      <c r="AB885" s="6">
        <f>IF(COUNTA(A885:S885)=0,"",IF(AND(U885="OK",V885="OK",LEFT(W885,4)&lt;&gt;"ERRO",LEFT(X885,4)&lt;&gt;"ERRO",LEFT(Y885,4)&lt;&gt;"ERRO",AA885="OK"),"OK","REVISAR"))</f>
      </c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5"/>
      <c r="K886" s="4"/>
      <c r="L886" s="4"/>
      <c r="M886" s="4"/>
      <c r="N886" s="4"/>
      <c r="O886" s="4"/>
      <c r="P886" s="4"/>
      <c r="Q886" s="4"/>
      <c r="R886" s="4"/>
      <c r="S886" s="4"/>
      <c r="T886" s="6">
        <f>IF(G886="","",SUBSTITUTE(SUBSTITUTE(SUBSTITUTE(SUBSTITUTE(SUBSTITUTE(SUBSTITUTE(SUBSTITUTE(TRIM(G886),".",""),"/",""),"-","")," ",""),"(",""),")",""),"+",""))</f>
      </c>
      <c r="U886" s="6">
        <f>IF(T886="","",IF(LEN(T886)&lt;&gt;14,"ERRO: "&amp;LEN(T886)&amp;" dígitos",IF(NOT(ISNUMBER(VALUE(T886))),"ERRO: não numérico",IF(LEN(SUBSTITUTE(T886,LEFT(T886,1),""))=0,"ERRO: dígitos repetidos",IF(AND(VALUE(MID(T886,13,1))=IF(MOD(SUMPRODUCT(--MID(T886,{1,2,3,4,5,6,7,8,9,10,11,12},1),{5,4,3,2,9,8,7,6,5,4,3,2}),11)&lt;2,0,11-MOD(SUMPRODUCT(--MID(T886,{1,2,3,4,5,6,7,8,9,10,11,12},1),{5,4,3,2,9,8,7,6,5,4,3,2}),11)),VALUE(MID(T886,14,1))=IF(MOD(SUMPRODUCT(--MID(T886,{1,2,3,4,5,6,7,8,9,10,11,12,13},1),{6,5,4,3,2,9,8,7,6,5,4,3,2}),11)&lt;2,0,11-MOD(SUMPRODUCT(--MID(T886,{1,2,3,4,5,6,7,8,9,10,11,12,13},1),{6,5,4,3,2,9,8,7,6,5,4,3,2}),11))),"OK","ERRO: dígito verificador")))))</f>
      </c>
      <c r="V886" s="6">
        <f>IF(T886="","",IF(COUNTIF($T$2:$T$1001,T886)&gt;1,"DUPLICADO","OK"))</f>
      </c>
      <c r="W886" s="6">
        <f>IF(M886="","vazio",IF(OR(AND(LEN(SUBSTITUTE(SUBSTITUTE(SUBSTITUTE(SUBSTITUTE(SUBSTITUTE(SUBSTITUTE(SUBSTITUTE(TRIM(M886),".",""),"/",""),"-","")," ",""),"(",""),")",""),"+",""))=10,LEFT(SUBSTITUTE(SUBSTITUTE(SUBSTITUTE(SUBSTITUTE(SUBSTITUTE(SUBSTITUTE(SUBSTITUTE(TRIM(M886),".",""),"/",""),"-","")," ",""),"(",""),")",""),"+",""),1)&lt;&gt;"0"),AND(LEN(SUBSTITUTE(SUBSTITUTE(SUBSTITUTE(SUBSTITUTE(SUBSTITUTE(SUBSTITUTE(SUBSTITUTE(TRIM(M886),".",""),"/",""),"-","")," ",""),"(",""),")",""),"+",""))=11,LEFT(SUBSTITUTE(SUBSTITUTE(SUBSTITUTE(SUBSTITUTE(SUBSTITUTE(SUBSTITUTE(SUBSTITUTE(TRIM(M886),".",""),"/",""),"-","")," ",""),"(",""),")",""),"+",""),4)="0800")),"OK",IF(AND(LEN(SUBSTITUTE(SUBSTITUTE(SUBSTITUTE(SUBSTITUTE(SUBSTITUTE(SUBSTITUTE(SUBSTITUTE(TRIM(M886),".",""),"/",""),"-","")," ",""),"(",""),")",""),"+",""))=11,MID(SUBSTITUTE(SUBSTITUTE(SUBSTITUTE(SUBSTITUTE(SUBSTITUTE(SUBSTITUTE(SUBSTITUTE(TRIM(M886),".",""),"/",""),"-","")," ",""),"(",""),")",""),"+",""),3,1)="9"),"ERRO: é celular, use a coluna Celular","ERRO: DDD + 8 dígitos ou 0800 + 7")))</f>
      </c>
      <c r="X886" s="6">
        <f>IF(N886="","vazio",IF(AND(LEN(SUBSTITUTE(SUBSTITUTE(SUBSTITUTE(SUBSTITUTE(SUBSTITUTE(SUBSTITUTE(SUBSTITUTE(TRIM(N886),".",""),"/",""),"-","")," ",""),"(",""),")",""),"+",""))=11,MID(SUBSTITUTE(SUBSTITUTE(SUBSTITUTE(SUBSTITUTE(SUBSTITUTE(SUBSTITUTE(SUBSTITUTE(TRIM(N886),".",""),"/",""),"-","")," ",""),"(",""),")",""),"+",""),3,1)="9",LEFT(SUBSTITUTE(SUBSTITUTE(SUBSTITUTE(SUBSTITUTE(SUBSTITUTE(SUBSTITUTE(SUBSTITUTE(TRIM(N886),".",""),"/",""),"-","")," ",""),"(",""),")",""),"+",""),1)&lt;&gt;"0"),"OK",IF(LEN(SUBSTITUTE(SUBSTITUTE(SUBSTITUTE(SUBSTITUTE(SUBSTITUTE(SUBSTITUTE(SUBSTITUTE(TRIM(N886),".",""),"/",""),"-","")," ",""),"(",""),")",""),"+",""))=10,"ERRO: é fixo (ou falta o 9), use a coluna Telefone fixo","ERRO: DDD + 9 + 8 dígitos")))</f>
      </c>
      <c r="Y886" s="6">
        <f>IF(O886="","vazio",IF(AND(ISNUMBER(FIND("@",O886)),ISNUMBER(FIND(".",MID(O886,FIND("@",O886),99))),NOT(ISNUMBER(FIND(" ",TRIM(O886)))),NOT(ISNUMBER(FIND(";",O886))),NOT(ISNUMBER(FIND(",",O886)))),"OK","ERRO: um e-mail válido por linha"))</f>
      </c>
      <c r="Z886" s="6">
        <f>IF(AND(J886="",K886=""),"",IF(AND(J886&lt;&gt;"",K886&lt;&gt;""),"OK","pendente: só um nome (o GR completa ao converter)"))</f>
      </c>
      <c r="AA886" s="6">
        <f>IF(COUNTA(A886:S886)=0,"",IF(AND(A886&lt;&gt;"",B886&lt;&gt;"",C886&lt;&gt;"",D886&lt;&gt;"",E886&lt;&gt;"",F886&lt;&gt;"",G886&lt;&gt;"",H886&lt;&gt;"",OR(J886&lt;&gt;"",K886&lt;&gt;""),OR(M886&lt;&gt;"",N886&lt;&gt;"",O886&lt;&gt;"")),"OK","ERRO: faltam "&amp;IF(A886="","SDR; ","")&amp;IF(B886="","Proprietário; ","")&amp;IF(C886="","Origem; ","")&amp;IF(D886="","Temperatura; ","")&amp;IF(E886="","Segmento; ","")&amp;IF(F886="","Time/Cluster; ","")&amp;IF(G886="","CNPJ; ","")&amp;IF(H886="","Razão Social; ","")&amp;IF(AND(J886="",K886=""),"nome do contato; ","")&amp;IF(AND(M886="",N886="",O886=""),"telefone, celular ou e-mail; ","")))</f>
      </c>
      <c r="AB886" s="6">
        <f>IF(COUNTA(A886:S886)=0,"",IF(AND(U886="OK",V886="OK",LEFT(W886,4)&lt;&gt;"ERRO",LEFT(X886,4)&lt;&gt;"ERRO",LEFT(Y886,4)&lt;&gt;"ERRO",AA886="OK"),"OK","REVISAR"))</f>
      </c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5"/>
      <c r="K887" s="4"/>
      <c r="L887" s="4"/>
      <c r="M887" s="4"/>
      <c r="N887" s="4"/>
      <c r="O887" s="4"/>
      <c r="P887" s="4"/>
      <c r="Q887" s="4"/>
      <c r="R887" s="4"/>
      <c r="S887" s="4"/>
      <c r="T887" s="6">
        <f>IF(G887="","",SUBSTITUTE(SUBSTITUTE(SUBSTITUTE(SUBSTITUTE(SUBSTITUTE(SUBSTITUTE(SUBSTITUTE(TRIM(G887),".",""),"/",""),"-","")," ",""),"(",""),")",""),"+",""))</f>
      </c>
      <c r="U887" s="6">
        <f>IF(T887="","",IF(LEN(T887)&lt;&gt;14,"ERRO: "&amp;LEN(T887)&amp;" dígitos",IF(NOT(ISNUMBER(VALUE(T887))),"ERRO: não numérico",IF(LEN(SUBSTITUTE(T887,LEFT(T887,1),""))=0,"ERRO: dígitos repetidos",IF(AND(VALUE(MID(T887,13,1))=IF(MOD(SUMPRODUCT(--MID(T887,{1,2,3,4,5,6,7,8,9,10,11,12},1),{5,4,3,2,9,8,7,6,5,4,3,2}),11)&lt;2,0,11-MOD(SUMPRODUCT(--MID(T887,{1,2,3,4,5,6,7,8,9,10,11,12},1),{5,4,3,2,9,8,7,6,5,4,3,2}),11)),VALUE(MID(T887,14,1))=IF(MOD(SUMPRODUCT(--MID(T887,{1,2,3,4,5,6,7,8,9,10,11,12,13},1),{6,5,4,3,2,9,8,7,6,5,4,3,2}),11)&lt;2,0,11-MOD(SUMPRODUCT(--MID(T887,{1,2,3,4,5,6,7,8,9,10,11,12,13},1),{6,5,4,3,2,9,8,7,6,5,4,3,2}),11))),"OK","ERRO: dígito verificador")))))</f>
      </c>
      <c r="V887" s="6">
        <f>IF(T887="","",IF(COUNTIF($T$2:$T$1001,T887)&gt;1,"DUPLICADO","OK"))</f>
      </c>
      <c r="W887" s="6">
        <f>IF(M887="","vazio",IF(OR(AND(LEN(SUBSTITUTE(SUBSTITUTE(SUBSTITUTE(SUBSTITUTE(SUBSTITUTE(SUBSTITUTE(SUBSTITUTE(TRIM(M887),".",""),"/",""),"-","")," ",""),"(",""),")",""),"+",""))=10,LEFT(SUBSTITUTE(SUBSTITUTE(SUBSTITUTE(SUBSTITUTE(SUBSTITUTE(SUBSTITUTE(SUBSTITUTE(TRIM(M887),".",""),"/",""),"-","")," ",""),"(",""),")",""),"+",""),1)&lt;&gt;"0"),AND(LEN(SUBSTITUTE(SUBSTITUTE(SUBSTITUTE(SUBSTITUTE(SUBSTITUTE(SUBSTITUTE(SUBSTITUTE(TRIM(M887),".",""),"/",""),"-","")," ",""),"(",""),")",""),"+",""))=11,LEFT(SUBSTITUTE(SUBSTITUTE(SUBSTITUTE(SUBSTITUTE(SUBSTITUTE(SUBSTITUTE(SUBSTITUTE(TRIM(M887),".",""),"/",""),"-","")," ",""),"(",""),")",""),"+",""),4)="0800")),"OK",IF(AND(LEN(SUBSTITUTE(SUBSTITUTE(SUBSTITUTE(SUBSTITUTE(SUBSTITUTE(SUBSTITUTE(SUBSTITUTE(TRIM(M887),".",""),"/",""),"-","")," ",""),"(",""),")",""),"+",""))=11,MID(SUBSTITUTE(SUBSTITUTE(SUBSTITUTE(SUBSTITUTE(SUBSTITUTE(SUBSTITUTE(SUBSTITUTE(TRIM(M887),".",""),"/",""),"-","")," ",""),"(",""),")",""),"+",""),3,1)="9"),"ERRO: é celular, use a coluna Celular","ERRO: DDD + 8 dígitos ou 0800 + 7")))</f>
      </c>
      <c r="X887" s="6">
        <f>IF(N887="","vazio",IF(AND(LEN(SUBSTITUTE(SUBSTITUTE(SUBSTITUTE(SUBSTITUTE(SUBSTITUTE(SUBSTITUTE(SUBSTITUTE(TRIM(N887),".",""),"/",""),"-","")," ",""),"(",""),")",""),"+",""))=11,MID(SUBSTITUTE(SUBSTITUTE(SUBSTITUTE(SUBSTITUTE(SUBSTITUTE(SUBSTITUTE(SUBSTITUTE(TRIM(N887),".",""),"/",""),"-","")," ",""),"(",""),")",""),"+",""),3,1)="9",LEFT(SUBSTITUTE(SUBSTITUTE(SUBSTITUTE(SUBSTITUTE(SUBSTITUTE(SUBSTITUTE(SUBSTITUTE(TRIM(N887),".",""),"/",""),"-","")," ",""),"(",""),")",""),"+",""),1)&lt;&gt;"0"),"OK",IF(LEN(SUBSTITUTE(SUBSTITUTE(SUBSTITUTE(SUBSTITUTE(SUBSTITUTE(SUBSTITUTE(SUBSTITUTE(TRIM(N887),".",""),"/",""),"-","")," ",""),"(",""),")",""),"+",""))=10,"ERRO: é fixo (ou falta o 9), use a coluna Telefone fixo","ERRO: DDD + 9 + 8 dígitos")))</f>
      </c>
      <c r="Y887" s="6">
        <f>IF(O887="","vazio",IF(AND(ISNUMBER(FIND("@",O887)),ISNUMBER(FIND(".",MID(O887,FIND("@",O887),99))),NOT(ISNUMBER(FIND(" ",TRIM(O887)))),NOT(ISNUMBER(FIND(";",O887))),NOT(ISNUMBER(FIND(",",O887)))),"OK","ERRO: um e-mail válido por linha"))</f>
      </c>
      <c r="Z887" s="6">
        <f>IF(AND(J887="",K887=""),"",IF(AND(J887&lt;&gt;"",K887&lt;&gt;""),"OK","pendente: só um nome (o GR completa ao converter)"))</f>
      </c>
      <c r="AA887" s="6">
        <f>IF(COUNTA(A887:S887)=0,"",IF(AND(A887&lt;&gt;"",B887&lt;&gt;"",C887&lt;&gt;"",D887&lt;&gt;"",E887&lt;&gt;"",F887&lt;&gt;"",G887&lt;&gt;"",H887&lt;&gt;"",OR(J887&lt;&gt;"",K887&lt;&gt;""),OR(M887&lt;&gt;"",N887&lt;&gt;"",O887&lt;&gt;"")),"OK","ERRO: faltam "&amp;IF(A887="","SDR; ","")&amp;IF(B887="","Proprietário; ","")&amp;IF(C887="","Origem; ","")&amp;IF(D887="","Temperatura; ","")&amp;IF(E887="","Segmento; ","")&amp;IF(F887="","Time/Cluster; ","")&amp;IF(G887="","CNPJ; ","")&amp;IF(H887="","Razão Social; ","")&amp;IF(AND(J887="",K887=""),"nome do contato; ","")&amp;IF(AND(M887="",N887="",O887=""),"telefone, celular ou e-mail; ","")))</f>
      </c>
      <c r="AB887" s="6">
        <f>IF(COUNTA(A887:S887)=0,"",IF(AND(U887="OK",V887="OK",LEFT(W887,4)&lt;&gt;"ERRO",LEFT(X887,4)&lt;&gt;"ERRO",LEFT(Y887,4)&lt;&gt;"ERRO",AA887="OK"),"OK","REVISAR"))</f>
      </c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5"/>
      <c r="K888" s="4"/>
      <c r="L888" s="4"/>
      <c r="M888" s="4"/>
      <c r="N888" s="4"/>
      <c r="O888" s="4"/>
      <c r="P888" s="4"/>
      <c r="Q888" s="4"/>
      <c r="R888" s="4"/>
      <c r="S888" s="4"/>
      <c r="T888" s="6">
        <f>IF(G888="","",SUBSTITUTE(SUBSTITUTE(SUBSTITUTE(SUBSTITUTE(SUBSTITUTE(SUBSTITUTE(SUBSTITUTE(TRIM(G888),".",""),"/",""),"-","")," ",""),"(",""),")",""),"+",""))</f>
      </c>
      <c r="U888" s="6">
        <f>IF(T888="","",IF(LEN(T888)&lt;&gt;14,"ERRO: "&amp;LEN(T888)&amp;" dígitos",IF(NOT(ISNUMBER(VALUE(T888))),"ERRO: não numérico",IF(LEN(SUBSTITUTE(T888,LEFT(T888,1),""))=0,"ERRO: dígitos repetidos",IF(AND(VALUE(MID(T888,13,1))=IF(MOD(SUMPRODUCT(--MID(T888,{1,2,3,4,5,6,7,8,9,10,11,12},1),{5,4,3,2,9,8,7,6,5,4,3,2}),11)&lt;2,0,11-MOD(SUMPRODUCT(--MID(T888,{1,2,3,4,5,6,7,8,9,10,11,12},1),{5,4,3,2,9,8,7,6,5,4,3,2}),11)),VALUE(MID(T888,14,1))=IF(MOD(SUMPRODUCT(--MID(T888,{1,2,3,4,5,6,7,8,9,10,11,12,13},1),{6,5,4,3,2,9,8,7,6,5,4,3,2}),11)&lt;2,0,11-MOD(SUMPRODUCT(--MID(T888,{1,2,3,4,5,6,7,8,9,10,11,12,13},1),{6,5,4,3,2,9,8,7,6,5,4,3,2}),11))),"OK","ERRO: dígito verificador")))))</f>
      </c>
      <c r="V888" s="6">
        <f>IF(T888="","",IF(COUNTIF($T$2:$T$1001,T888)&gt;1,"DUPLICADO","OK"))</f>
      </c>
      <c r="W888" s="6">
        <f>IF(M888="","vazio",IF(OR(AND(LEN(SUBSTITUTE(SUBSTITUTE(SUBSTITUTE(SUBSTITUTE(SUBSTITUTE(SUBSTITUTE(SUBSTITUTE(TRIM(M888),".",""),"/",""),"-","")," ",""),"(",""),")",""),"+",""))=10,LEFT(SUBSTITUTE(SUBSTITUTE(SUBSTITUTE(SUBSTITUTE(SUBSTITUTE(SUBSTITUTE(SUBSTITUTE(TRIM(M888),".",""),"/",""),"-","")," ",""),"(",""),")",""),"+",""),1)&lt;&gt;"0"),AND(LEN(SUBSTITUTE(SUBSTITUTE(SUBSTITUTE(SUBSTITUTE(SUBSTITUTE(SUBSTITUTE(SUBSTITUTE(TRIM(M888),".",""),"/",""),"-","")," ",""),"(",""),")",""),"+",""))=11,LEFT(SUBSTITUTE(SUBSTITUTE(SUBSTITUTE(SUBSTITUTE(SUBSTITUTE(SUBSTITUTE(SUBSTITUTE(TRIM(M888),".",""),"/",""),"-","")," ",""),"(",""),")",""),"+",""),4)="0800")),"OK",IF(AND(LEN(SUBSTITUTE(SUBSTITUTE(SUBSTITUTE(SUBSTITUTE(SUBSTITUTE(SUBSTITUTE(SUBSTITUTE(TRIM(M888),".",""),"/",""),"-","")," ",""),"(",""),")",""),"+",""))=11,MID(SUBSTITUTE(SUBSTITUTE(SUBSTITUTE(SUBSTITUTE(SUBSTITUTE(SUBSTITUTE(SUBSTITUTE(TRIM(M888),".",""),"/",""),"-","")," ",""),"(",""),")",""),"+",""),3,1)="9"),"ERRO: é celular, use a coluna Celular","ERRO: DDD + 8 dígitos ou 0800 + 7")))</f>
      </c>
      <c r="X888" s="6">
        <f>IF(N888="","vazio",IF(AND(LEN(SUBSTITUTE(SUBSTITUTE(SUBSTITUTE(SUBSTITUTE(SUBSTITUTE(SUBSTITUTE(SUBSTITUTE(TRIM(N888),".",""),"/",""),"-","")," ",""),"(",""),")",""),"+",""))=11,MID(SUBSTITUTE(SUBSTITUTE(SUBSTITUTE(SUBSTITUTE(SUBSTITUTE(SUBSTITUTE(SUBSTITUTE(TRIM(N888),".",""),"/",""),"-","")," ",""),"(",""),")",""),"+",""),3,1)="9",LEFT(SUBSTITUTE(SUBSTITUTE(SUBSTITUTE(SUBSTITUTE(SUBSTITUTE(SUBSTITUTE(SUBSTITUTE(TRIM(N888),".",""),"/",""),"-","")," ",""),"(",""),")",""),"+",""),1)&lt;&gt;"0"),"OK",IF(LEN(SUBSTITUTE(SUBSTITUTE(SUBSTITUTE(SUBSTITUTE(SUBSTITUTE(SUBSTITUTE(SUBSTITUTE(TRIM(N888),".",""),"/",""),"-","")," ",""),"(",""),")",""),"+",""))=10,"ERRO: é fixo (ou falta o 9), use a coluna Telefone fixo","ERRO: DDD + 9 + 8 dígitos")))</f>
      </c>
      <c r="Y888" s="6">
        <f>IF(O888="","vazio",IF(AND(ISNUMBER(FIND("@",O888)),ISNUMBER(FIND(".",MID(O888,FIND("@",O888),99))),NOT(ISNUMBER(FIND(" ",TRIM(O888)))),NOT(ISNUMBER(FIND(";",O888))),NOT(ISNUMBER(FIND(",",O888)))),"OK","ERRO: um e-mail válido por linha"))</f>
      </c>
      <c r="Z888" s="6">
        <f>IF(AND(J888="",K888=""),"",IF(AND(J888&lt;&gt;"",K888&lt;&gt;""),"OK","pendente: só um nome (o GR completa ao converter)"))</f>
      </c>
      <c r="AA888" s="6">
        <f>IF(COUNTA(A888:S888)=0,"",IF(AND(A888&lt;&gt;"",B888&lt;&gt;"",C888&lt;&gt;"",D888&lt;&gt;"",E888&lt;&gt;"",F888&lt;&gt;"",G888&lt;&gt;"",H888&lt;&gt;"",OR(J888&lt;&gt;"",K888&lt;&gt;""),OR(M888&lt;&gt;"",N888&lt;&gt;"",O888&lt;&gt;"")),"OK","ERRO: faltam "&amp;IF(A888="","SDR; ","")&amp;IF(B888="","Proprietário; ","")&amp;IF(C888="","Origem; ","")&amp;IF(D888="","Temperatura; ","")&amp;IF(E888="","Segmento; ","")&amp;IF(F888="","Time/Cluster; ","")&amp;IF(G888="","CNPJ; ","")&amp;IF(H888="","Razão Social; ","")&amp;IF(AND(J888="",K888=""),"nome do contato; ","")&amp;IF(AND(M888="",N888="",O888=""),"telefone, celular ou e-mail; ","")))</f>
      </c>
      <c r="AB888" s="6">
        <f>IF(COUNTA(A888:S888)=0,"",IF(AND(U888="OK",V888="OK",LEFT(W888,4)&lt;&gt;"ERRO",LEFT(X888,4)&lt;&gt;"ERRO",LEFT(Y888,4)&lt;&gt;"ERRO",AA888="OK"),"OK","REVISAR"))</f>
      </c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5"/>
      <c r="K889" s="4"/>
      <c r="L889" s="4"/>
      <c r="M889" s="4"/>
      <c r="N889" s="4"/>
      <c r="O889" s="4"/>
      <c r="P889" s="4"/>
      <c r="Q889" s="4"/>
      <c r="R889" s="4"/>
      <c r="S889" s="4"/>
      <c r="T889" s="6">
        <f>IF(G889="","",SUBSTITUTE(SUBSTITUTE(SUBSTITUTE(SUBSTITUTE(SUBSTITUTE(SUBSTITUTE(SUBSTITUTE(TRIM(G889),".",""),"/",""),"-","")," ",""),"(",""),")",""),"+",""))</f>
      </c>
      <c r="U889" s="6">
        <f>IF(T889="","",IF(LEN(T889)&lt;&gt;14,"ERRO: "&amp;LEN(T889)&amp;" dígitos",IF(NOT(ISNUMBER(VALUE(T889))),"ERRO: não numérico",IF(LEN(SUBSTITUTE(T889,LEFT(T889,1),""))=0,"ERRO: dígitos repetidos",IF(AND(VALUE(MID(T889,13,1))=IF(MOD(SUMPRODUCT(--MID(T889,{1,2,3,4,5,6,7,8,9,10,11,12},1),{5,4,3,2,9,8,7,6,5,4,3,2}),11)&lt;2,0,11-MOD(SUMPRODUCT(--MID(T889,{1,2,3,4,5,6,7,8,9,10,11,12},1),{5,4,3,2,9,8,7,6,5,4,3,2}),11)),VALUE(MID(T889,14,1))=IF(MOD(SUMPRODUCT(--MID(T889,{1,2,3,4,5,6,7,8,9,10,11,12,13},1),{6,5,4,3,2,9,8,7,6,5,4,3,2}),11)&lt;2,0,11-MOD(SUMPRODUCT(--MID(T889,{1,2,3,4,5,6,7,8,9,10,11,12,13},1),{6,5,4,3,2,9,8,7,6,5,4,3,2}),11))),"OK","ERRO: dígito verificador")))))</f>
      </c>
      <c r="V889" s="6">
        <f>IF(T889="","",IF(COUNTIF($T$2:$T$1001,T889)&gt;1,"DUPLICADO","OK"))</f>
      </c>
      <c r="W889" s="6">
        <f>IF(M889="","vazio",IF(OR(AND(LEN(SUBSTITUTE(SUBSTITUTE(SUBSTITUTE(SUBSTITUTE(SUBSTITUTE(SUBSTITUTE(SUBSTITUTE(TRIM(M889),".",""),"/",""),"-","")," ",""),"(",""),")",""),"+",""))=10,LEFT(SUBSTITUTE(SUBSTITUTE(SUBSTITUTE(SUBSTITUTE(SUBSTITUTE(SUBSTITUTE(SUBSTITUTE(TRIM(M889),".",""),"/",""),"-","")," ",""),"(",""),")",""),"+",""),1)&lt;&gt;"0"),AND(LEN(SUBSTITUTE(SUBSTITUTE(SUBSTITUTE(SUBSTITUTE(SUBSTITUTE(SUBSTITUTE(SUBSTITUTE(TRIM(M889),".",""),"/",""),"-","")," ",""),"(",""),")",""),"+",""))=11,LEFT(SUBSTITUTE(SUBSTITUTE(SUBSTITUTE(SUBSTITUTE(SUBSTITUTE(SUBSTITUTE(SUBSTITUTE(TRIM(M889),".",""),"/",""),"-","")," ",""),"(",""),")",""),"+",""),4)="0800")),"OK",IF(AND(LEN(SUBSTITUTE(SUBSTITUTE(SUBSTITUTE(SUBSTITUTE(SUBSTITUTE(SUBSTITUTE(SUBSTITUTE(TRIM(M889),".",""),"/",""),"-","")," ",""),"(",""),")",""),"+",""))=11,MID(SUBSTITUTE(SUBSTITUTE(SUBSTITUTE(SUBSTITUTE(SUBSTITUTE(SUBSTITUTE(SUBSTITUTE(TRIM(M889),".",""),"/",""),"-","")," ",""),"(",""),")",""),"+",""),3,1)="9"),"ERRO: é celular, use a coluna Celular","ERRO: DDD + 8 dígitos ou 0800 + 7")))</f>
      </c>
      <c r="X889" s="6">
        <f>IF(N889="","vazio",IF(AND(LEN(SUBSTITUTE(SUBSTITUTE(SUBSTITUTE(SUBSTITUTE(SUBSTITUTE(SUBSTITUTE(SUBSTITUTE(TRIM(N889),".",""),"/",""),"-","")," ",""),"(",""),")",""),"+",""))=11,MID(SUBSTITUTE(SUBSTITUTE(SUBSTITUTE(SUBSTITUTE(SUBSTITUTE(SUBSTITUTE(SUBSTITUTE(TRIM(N889),".",""),"/",""),"-","")," ",""),"(",""),")",""),"+",""),3,1)="9",LEFT(SUBSTITUTE(SUBSTITUTE(SUBSTITUTE(SUBSTITUTE(SUBSTITUTE(SUBSTITUTE(SUBSTITUTE(TRIM(N889),".",""),"/",""),"-","")," ",""),"(",""),")",""),"+",""),1)&lt;&gt;"0"),"OK",IF(LEN(SUBSTITUTE(SUBSTITUTE(SUBSTITUTE(SUBSTITUTE(SUBSTITUTE(SUBSTITUTE(SUBSTITUTE(TRIM(N889),".",""),"/",""),"-","")," ",""),"(",""),")",""),"+",""))=10,"ERRO: é fixo (ou falta o 9), use a coluna Telefone fixo","ERRO: DDD + 9 + 8 dígitos")))</f>
      </c>
      <c r="Y889" s="6">
        <f>IF(O889="","vazio",IF(AND(ISNUMBER(FIND("@",O889)),ISNUMBER(FIND(".",MID(O889,FIND("@",O889),99))),NOT(ISNUMBER(FIND(" ",TRIM(O889)))),NOT(ISNUMBER(FIND(";",O889))),NOT(ISNUMBER(FIND(",",O889)))),"OK","ERRO: um e-mail válido por linha"))</f>
      </c>
      <c r="Z889" s="6">
        <f>IF(AND(J889="",K889=""),"",IF(AND(J889&lt;&gt;"",K889&lt;&gt;""),"OK","pendente: só um nome (o GR completa ao converter)"))</f>
      </c>
      <c r="AA889" s="6">
        <f>IF(COUNTA(A889:S889)=0,"",IF(AND(A889&lt;&gt;"",B889&lt;&gt;"",C889&lt;&gt;"",D889&lt;&gt;"",E889&lt;&gt;"",F889&lt;&gt;"",G889&lt;&gt;"",H889&lt;&gt;"",OR(J889&lt;&gt;"",K889&lt;&gt;""),OR(M889&lt;&gt;"",N889&lt;&gt;"",O889&lt;&gt;"")),"OK","ERRO: faltam "&amp;IF(A889="","SDR; ","")&amp;IF(B889="","Proprietário; ","")&amp;IF(C889="","Origem; ","")&amp;IF(D889="","Temperatura; ","")&amp;IF(E889="","Segmento; ","")&amp;IF(F889="","Time/Cluster; ","")&amp;IF(G889="","CNPJ; ","")&amp;IF(H889="","Razão Social; ","")&amp;IF(AND(J889="",K889=""),"nome do contato; ","")&amp;IF(AND(M889="",N889="",O889=""),"telefone, celular ou e-mail; ","")))</f>
      </c>
      <c r="AB889" s="6">
        <f>IF(COUNTA(A889:S889)=0,"",IF(AND(U889="OK",V889="OK",LEFT(W889,4)&lt;&gt;"ERRO",LEFT(X889,4)&lt;&gt;"ERRO",LEFT(Y889,4)&lt;&gt;"ERRO",AA889="OK"),"OK","REVISAR"))</f>
      </c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5"/>
      <c r="K890" s="4"/>
      <c r="L890" s="4"/>
      <c r="M890" s="4"/>
      <c r="N890" s="4"/>
      <c r="O890" s="4"/>
      <c r="P890" s="4"/>
      <c r="Q890" s="4"/>
      <c r="R890" s="4"/>
      <c r="S890" s="4"/>
      <c r="T890" s="6">
        <f>IF(G890="","",SUBSTITUTE(SUBSTITUTE(SUBSTITUTE(SUBSTITUTE(SUBSTITUTE(SUBSTITUTE(SUBSTITUTE(TRIM(G890),".",""),"/",""),"-","")," ",""),"(",""),")",""),"+",""))</f>
      </c>
      <c r="U890" s="6">
        <f>IF(T890="","",IF(LEN(T890)&lt;&gt;14,"ERRO: "&amp;LEN(T890)&amp;" dígitos",IF(NOT(ISNUMBER(VALUE(T890))),"ERRO: não numérico",IF(LEN(SUBSTITUTE(T890,LEFT(T890,1),""))=0,"ERRO: dígitos repetidos",IF(AND(VALUE(MID(T890,13,1))=IF(MOD(SUMPRODUCT(--MID(T890,{1,2,3,4,5,6,7,8,9,10,11,12},1),{5,4,3,2,9,8,7,6,5,4,3,2}),11)&lt;2,0,11-MOD(SUMPRODUCT(--MID(T890,{1,2,3,4,5,6,7,8,9,10,11,12},1),{5,4,3,2,9,8,7,6,5,4,3,2}),11)),VALUE(MID(T890,14,1))=IF(MOD(SUMPRODUCT(--MID(T890,{1,2,3,4,5,6,7,8,9,10,11,12,13},1),{6,5,4,3,2,9,8,7,6,5,4,3,2}),11)&lt;2,0,11-MOD(SUMPRODUCT(--MID(T890,{1,2,3,4,5,6,7,8,9,10,11,12,13},1),{6,5,4,3,2,9,8,7,6,5,4,3,2}),11))),"OK","ERRO: dígito verificador")))))</f>
      </c>
      <c r="V890" s="6">
        <f>IF(T890="","",IF(COUNTIF($T$2:$T$1001,T890)&gt;1,"DUPLICADO","OK"))</f>
      </c>
      <c r="W890" s="6">
        <f>IF(M890="","vazio",IF(OR(AND(LEN(SUBSTITUTE(SUBSTITUTE(SUBSTITUTE(SUBSTITUTE(SUBSTITUTE(SUBSTITUTE(SUBSTITUTE(TRIM(M890),".",""),"/",""),"-","")," ",""),"(",""),")",""),"+",""))=10,LEFT(SUBSTITUTE(SUBSTITUTE(SUBSTITUTE(SUBSTITUTE(SUBSTITUTE(SUBSTITUTE(SUBSTITUTE(TRIM(M890),".",""),"/",""),"-","")," ",""),"(",""),")",""),"+",""),1)&lt;&gt;"0"),AND(LEN(SUBSTITUTE(SUBSTITUTE(SUBSTITUTE(SUBSTITUTE(SUBSTITUTE(SUBSTITUTE(SUBSTITUTE(TRIM(M890),".",""),"/",""),"-","")," ",""),"(",""),")",""),"+",""))=11,LEFT(SUBSTITUTE(SUBSTITUTE(SUBSTITUTE(SUBSTITUTE(SUBSTITUTE(SUBSTITUTE(SUBSTITUTE(TRIM(M890),".",""),"/",""),"-","")," ",""),"(",""),")",""),"+",""),4)="0800")),"OK",IF(AND(LEN(SUBSTITUTE(SUBSTITUTE(SUBSTITUTE(SUBSTITUTE(SUBSTITUTE(SUBSTITUTE(SUBSTITUTE(TRIM(M890),".",""),"/",""),"-","")," ",""),"(",""),")",""),"+",""))=11,MID(SUBSTITUTE(SUBSTITUTE(SUBSTITUTE(SUBSTITUTE(SUBSTITUTE(SUBSTITUTE(SUBSTITUTE(TRIM(M890),".",""),"/",""),"-","")," ",""),"(",""),")",""),"+",""),3,1)="9"),"ERRO: é celular, use a coluna Celular","ERRO: DDD + 8 dígitos ou 0800 + 7")))</f>
      </c>
      <c r="X890" s="6">
        <f>IF(N890="","vazio",IF(AND(LEN(SUBSTITUTE(SUBSTITUTE(SUBSTITUTE(SUBSTITUTE(SUBSTITUTE(SUBSTITUTE(SUBSTITUTE(TRIM(N890),".",""),"/",""),"-","")," ",""),"(",""),")",""),"+",""))=11,MID(SUBSTITUTE(SUBSTITUTE(SUBSTITUTE(SUBSTITUTE(SUBSTITUTE(SUBSTITUTE(SUBSTITUTE(TRIM(N890),".",""),"/",""),"-","")," ",""),"(",""),")",""),"+",""),3,1)="9",LEFT(SUBSTITUTE(SUBSTITUTE(SUBSTITUTE(SUBSTITUTE(SUBSTITUTE(SUBSTITUTE(SUBSTITUTE(TRIM(N890),".",""),"/",""),"-","")," ",""),"(",""),")",""),"+",""),1)&lt;&gt;"0"),"OK",IF(LEN(SUBSTITUTE(SUBSTITUTE(SUBSTITUTE(SUBSTITUTE(SUBSTITUTE(SUBSTITUTE(SUBSTITUTE(TRIM(N890),".",""),"/",""),"-","")," ",""),"(",""),")",""),"+",""))=10,"ERRO: é fixo (ou falta o 9), use a coluna Telefone fixo","ERRO: DDD + 9 + 8 dígitos")))</f>
      </c>
      <c r="Y890" s="6">
        <f>IF(O890="","vazio",IF(AND(ISNUMBER(FIND("@",O890)),ISNUMBER(FIND(".",MID(O890,FIND("@",O890),99))),NOT(ISNUMBER(FIND(" ",TRIM(O890)))),NOT(ISNUMBER(FIND(";",O890))),NOT(ISNUMBER(FIND(",",O890)))),"OK","ERRO: um e-mail válido por linha"))</f>
      </c>
      <c r="Z890" s="6">
        <f>IF(AND(J890="",K890=""),"",IF(AND(J890&lt;&gt;"",K890&lt;&gt;""),"OK","pendente: só um nome (o GR completa ao converter)"))</f>
      </c>
      <c r="AA890" s="6">
        <f>IF(COUNTA(A890:S890)=0,"",IF(AND(A890&lt;&gt;"",B890&lt;&gt;"",C890&lt;&gt;"",D890&lt;&gt;"",E890&lt;&gt;"",F890&lt;&gt;"",G890&lt;&gt;"",H890&lt;&gt;"",OR(J890&lt;&gt;"",K890&lt;&gt;""),OR(M890&lt;&gt;"",N890&lt;&gt;"",O890&lt;&gt;"")),"OK","ERRO: faltam "&amp;IF(A890="","SDR; ","")&amp;IF(B890="","Proprietário; ","")&amp;IF(C890="","Origem; ","")&amp;IF(D890="","Temperatura; ","")&amp;IF(E890="","Segmento; ","")&amp;IF(F890="","Time/Cluster; ","")&amp;IF(G890="","CNPJ; ","")&amp;IF(H890="","Razão Social; ","")&amp;IF(AND(J890="",K890=""),"nome do contato; ","")&amp;IF(AND(M890="",N890="",O890=""),"telefone, celular ou e-mail; ","")))</f>
      </c>
      <c r="AB890" s="6">
        <f>IF(COUNTA(A890:S890)=0,"",IF(AND(U890="OK",V890="OK",LEFT(W890,4)&lt;&gt;"ERRO",LEFT(X890,4)&lt;&gt;"ERRO",LEFT(Y890,4)&lt;&gt;"ERRO",AA890="OK"),"OK","REVISAR"))</f>
      </c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5"/>
      <c r="K891" s="4"/>
      <c r="L891" s="4"/>
      <c r="M891" s="4"/>
      <c r="N891" s="4"/>
      <c r="O891" s="4"/>
      <c r="P891" s="4"/>
      <c r="Q891" s="4"/>
      <c r="R891" s="4"/>
      <c r="S891" s="4"/>
      <c r="T891" s="6">
        <f>IF(G891="","",SUBSTITUTE(SUBSTITUTE(SUBSTITUTE(SUBSTITUTE(SUBSTITUTE(SUBSTITUTE(SUBSTITUTE(TRIM(G891),".",""),"/",""),"-","")," ",""),"(",""),")",""),"+",""))</f>
      </c>
      <c r="U891" s="6">
        <f>IF(T891="","",IF(LEN(T891)&lt;&gt;14,"ERRO: "&amp;LEN(T891)&amp;" dígitos",IF(NOT(ISNUMBER(VALUE(T891))),"ERRO: não numérico",IF(LEN(SUBSTITUTE(T891,LEFT(T891,1),""))=0,"ERRO: dígitos repetidos",IF(AND(VALUE(MID(T891,13,1))=IF(MOD(SUMPRODUCT(--MID(T891,{1,2,3,4,5,6,7,8,9,10,11,12},1),{5,4,3,2,9,8,7,6,5,4,3,2}),11)&lt;2,0,11-MOD(SUMPRODUCT(--MID(T891,{1,2,3,4,5,6,7,8,9,10,11,12},1),{5,4,3,2,9,8,7,6,5,4,3,2}),11)),VALUE(MID(T891,14,1))=IF(MOD(SUMPRODUCT(--MID(T891,{1,2,3,4,5,6,7,8,9,10,11,12,13},1),{6,5,4,3,2,9,8,7,6,5,4,3,2}),11)&lt;2,0,11-MOD(SUMPRODUCT(--MID(T891,{1,2,3,4,5,6,7,8,9,10,11,12,13},1),{6,5,4,3,2,9,8,7,6,5,4,3,2}),11))),"OK","ERRO: dígito verificador")))))</f>
      </c>
      <c r="V891" s="6">
        <f>IF(T891="","",IF(COUNTIF($T$2:$T$1001,T891)&gt;1,"DUPLICADO","OK"))</f>
      </c>
      <c r="W891" s="6">
        <f>IF(M891="","vazio",IF(OR(AND(LEN(SUBSTITUTE(SUBSTITUTE(SUBSTITUTE(SUBSTITUTE(SUBSTITUTE(SUBSTITUTE(SUBSTITUTE(TRIM(M891),".",""),"/",""),"-","")," ",""),"(",""),")",""),"+",""))=10,LEFT(SUBSTITUTE(SUBSTITUTE(SUBSTITUTE(SUBSTITUTE(SUBSTITUTE(SUBSTITUTE(SUBSTITUTE(TRIM(M891),".",""),"/",""),"-","")," ",""),"(",""),")",""),"+",""),1)&lt;&gt;"0"),AND(LEN(SUBSTITUTE(SUBSTITUTE(SUBSTITUTE(SUBSTITUTE(SUBSTITUTE(SUBSTITUTE(SUBSTITUTE(TRIM(M891),".",""),"/",""),"-","")," ",""),"(",""),")",""),"+",""))=11,LEFT(SUBSTITUTE(SUBSTITUTE(SUBSTITUTE(SUBSTITUTE(SUBSTITUTE(SUBSTITUTE(SUBSTITUTE(TRIM(M891),".",""),"/",""),"-","")," ",""),"(",""),")",""),"+",""),4)="0800")),"OK",IF(AND(LEN(SUBSTITUTE(SUBSTITUTE(SUBSTITUTE(SUBSTITUTE(SUBSTITUTE(SUBSTITUTE(SUBSTITUTE(TRIM(M891),".",""),"/",""),"-","")," ",""),"(",""),")",""),"+",""))=11,MID(SUBSTITUTE(SUBSTITUTE(SUBSTITUTE(SUBSTITUTE(SUBSTITUTE(SUBSTITUTE(SUBSTITUTE(TRIM(M891),".",""),"/",""),"-","")," ",""),"(",""),")",""),"+",""),3,1)="9"),"ERRO: é celular, use a coluna Celular","ERRO: DDD + 8 dígitos ou 0800 + 7")))</f>
      </c>
      <c r="X891" s="6">
        <f>IF(N891="","vazio",IF(AND(LEN(SUBSTITUTE(SUBSTITUTE(SUBSTITUTE(SUBSTITUTE(SUBSTITUTE(SUBSTITUTE(SUBSTITUTE(TRIM(N891),".",""),"/",""),"-","")," ",""),"(",""),")",""),"+",""))=11,MID(SUBSTITUTE(SUBSTITUTE(SUBSTITUTE(SUBSTITUTE(SUBSTITUTE(SUBSTITUTE(SUBSTITUTE(TRIM(N891),".",""),"/",""),"-","")," ",""),"(",""),")",""),"+",""),3,1)="9",LEFT(SUBSTITUTE(SUBSTITUTE(SUBSTITUTE(SUBSTITUTE(SUBSTITUTE(SUBSTITUTE(SUBSTITUTE(TRIM(N891),".",""),"/",""),"-","")," ",""),"(",""),")",""),"+",""),1)&lt;&gt;"0"),"OK",IF(LEN(SUBSTITUTE(SUBSTITUTE(SUBSTITUTE(SUBSTITUTE(SUBSTITUTE(SUBSTITUTE(SUBSTITUTE(TRIM(N891),".",""),"/",""),"-","")," ",""),"(",""),")",""),"+",""))=10,"ERRO: é fixo (ou falta o 9), use a coluna Telefone fixo","ERRO: DDD + 9 + 8 dígitos")))</f>
      </c>
      <c r="Y891" s="6">
        <f>IF(O891="","vazio",IF(AND(ISNUMBER(FIND("@",O891)),ISNUMBER(FIND(".",MID(O891,FIND("@",O891),99))),NOT(ISNUMBER(FIND(" ",TRIM(O891)))),NOT(ISNUMBER(FIND(";",O891))),NOT(ISNUMBER(FIND(",",O891)))),"OK","ERRO: um e-mail válido por linha"))</f>
      </c>
      <c r="Z891" s="6">
        <f>IF(AND(J891="",K891=""),"",IF(AND(J891&lt;&gt;"",K891&lt;&gt;""),"OK","pendente: só um nome (o GR completa ao converter)"))</f>
      </c>
      <c r="AA891" s="6">
        <f>IF(COUNTA(A891:S891)=0,"",IF(AND(A891&lt;&gt;"",B891&lt;&gt;"",C891&lt;&gt;"",D891&lt;&gt;"",E891&lt;&gt;"",F891&lt;&gt;"",G891&lt;&gt;"",H891&lt;&gt;"",OR(J891&lt;&gt;"",K891&lt;&gt;""),OR(M891&lt;&gt;"",N891&lt;&gt;"",O891&lt;&gt;"")),"OK","ERRO: faltam "&amp;IF(A891="","SDR; ","")&amp;IF(B891="","Proprietário; ","")&amp;IF(C891="","Origem; ","")&amp;IF(D891="","Temperatura; ","")&amp;IF(E891="","Segmento; ","")&amp;IF(F891="","Time/Cluster; ","")&amp;IF(G891="","CNPJ; ","")&amp;IF(H891="","Razão Social; ","")&amp;IF(AND(J891="",K891=""),"nome do contato; ","")&amp;IF(AND(M891="",N891="",O891=""),"telefone, celular ou e-mail; ","")))</f>
      </c>
      <c r="AB891" s="6">
        <f>IF(COUNTA(A891:S891)=0,"",IF(AND(U891="OK",V891="OK",LEFT(W891,4)&lt;&gt;"ERRO",LEFT(X891,4)&lt;&gt;"ERRO",LEFT(Y891,4)&lt;&gt;"ERRO",AA891="OK"),"OK","REVISAR"))</f>
      </c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5"/>
      <c r="K892" s="4"/>
      <c r="L892" s="4"/>
      <c r="M892" s="4"/>
      <c r="N892" s="4"/>
      <c r="O892" s="4"/>
      <c r="P892" s="4"/>
      <c r="Q892" s="4"/>
      <c r="R892" s="4"/>
      <c r="S892" s="4"/>
      <c r="T892" s="6">
        <f>IF(G892="","",SUBSTITUTE(SUBSTITUTE(SUBSTITUTE(SUBSTITUTE(SUBSTITUTE(SUBSTITUTE(SUBSTITUTE(TRIM(G892),".",""),"/",""),"-","")," ",""),"(",""),")",""),"+",""))</f>
      </c>
      <c r="U892" s="6">
        <f>IF(T892="","",IF(LEN(T892)&lt;&gt;14,"ERRO: "&amp;LEN(T892)&amp;" dígitos",IF(NOT(ISNUMBER(VALUE(T892))),"ERRO: não numérico",IF(LEN(SUBSTITUTE(T892,LEFT(T892,1),""))=0,"ERRO: dígitos repetidos",IF(AND(VALUE(MID(T892,13,1))=IF(MOD(SUMPRODUCT(--MID(T892,{1,2,3,4,5,6,7,8,9,10,11,12},1),{5,4,3,2,9,8,7,6,5,4,3,2}),11)&lt;2,0,11-MOD(SUMPRODUCT(--MID(T892,{1,2,3,4,5,6,7,8,9,10,11,12},1),{5,4,3,2,9,8,7,6,5,4,3,2}),11)),VALUE(MID(T892,14,1))=IF(MOD(SUMPRODUCT(--MID(T892,{1,2,3,4,5,6,7,8,9,10,11,12,13},1),{6,5,4,3,2,9,8,7,6,5,4,3,2}),11)&lt;2,0,11-MOD(SUMPRODUCT(--MID(T892,{1,2,3,4,5,6,7,8,9,10,11,12,13},1),{6,5,4,3,2,9,8,7,6,5,4,3,2}),11))),"OK","ERRO: dígito verificador")))))</f>
      </c>
      <c r="V892" s="6">
        <f>IF(T892="","",IF(COUNTIF($T$2:$T$1001,T892)&gt;1,"DUPLICADO","OK"))</f>
      </c>
      <c r="W892" s="6">
        <f>IF(M892="","vazio",IF(OR(AND(LEN(SUBSTITUTE(SUBSTITUTE(SUBSTITUTE(SUBSTITUTE(SUBSTITUTE(SUBSTITUTE(SUBSTITUTE(TRIM(M892),".",""),"/",""),"-","")," ",""),"(",""),")",""),"+",""))=10,LEFT(SUBSTITUTE(SUBSTITUTE(SUBSTITUTE(SUBSTITUTE(SUBSTITUTE(SUBSTITUTE(SUBSTITUTE(TRIM(M892),".",""),"/",""),"-","")," ",""),"(",""),")",""),"+",""),1)&lt;&gt;"0"),AND(LEN(SUBSTITUTE(SUBSTITUTE(SUBSTITUTE(SUBSTITUTE(SUBSTITUTE(SUBSTITUTE(SUBSTITUTE(TRIM(M892),".",""),"/",""),"-","")," ",""),"(",""),")",""),"+",""))=11,LEFT(SUBSTITUTE(SUBSTITUTE(SUBSTITUTE(SUBSTITUTE(SUBSTITUTE(SUBSTITUTE(SUBSTITUTE(TRIM(M892),".",""),"/",""),"-","")," ",""),"(",""),")",""),"+",""),4)="0800")),"OK",IF(AND(LEN(SUBSTITUTE(SUBSTITUTE(SUBSTITUTE(SUBSTITUTE(SUBSTITUTE(SUBSTITUTE(SUBSTITUTE(TRIM(M892),".",""),"/",""),"-","")," ",""),"(",""),")",""),"+",""))=11,MID(SUBSTITUTE(SUBSTITUTE(SUBSTITUTE(SUBSTITUTE(SUBSTITUTE(SUBSTITUTE(SUBSTITUTE(TRIM(M892),".",""),"/",""),"-","")," ",""),"(",""),")",""),"+",""),3,1)="9"),"ERRO: é celular, use a coluna Celular","ERRO: DDD + 8 dígitos ou 0800 + 7")))</f>
      </c>
      <c r="X892" s="6">
        <f>IF(N892="","vazio",IF(AND(LEN(SUBSTITUTE(SUBSTITUTE(SUBSTITUTE(SUBSTITUTE(SUBSTITUTE(SUBSTITUTE(SUBSTITUTE(TRIM(N892),".",""),"/",""),"-","")," ",""),"(",""),")",""),"+",""))=11,MID(SUBSTITUTE(SUBSTITUTE(SUBSTITUTE(SUBSTITUTE(SUBSTITUTE(SUBSTITUTE(SUBSTITUTE(TRIM(N892),".",""),"/",""),"-","")," ",""),"(",""),")",""),"+",""),3,1)="9",LEFT(SUBSTITUTE(SUBSTITUTE(SUBSTITUTE(SUBSTITUTE(SUBSTITUTE(SUBSTITUTE(SUBSTITUTE(TRIM(N892),".",""),"/",""),"-","")," ",""),"(",""),")",""),"+",""),1)&lt;&gt;"0"),"OK",IF(LEN(SUBSTITUTE(SUBSTITUTE(SUBSTITUTE(SUBSTITUTE(SUBSTITUTE(SUBSTITUTE(SUBSTITUTE(TRIM(N892),".",""),"/",""),"-","")," ",""),"(",""),")",""),"+",""))=10,"ERRO: é fixo (ou falta o 9), use a coluna Telefone fixo","ERRO: DDD + 9 + 8 dígitos")))</f>
      </c>
      <c r="Y892" s="6">
        <f>IF(O892="","vazio",IF(AND(ISNUMBER(FIND("@",O892)),ISNUMBER(FIND(".",MID(O892,FIND("@",O892),99))),NOT(ISNUMBER(FIND(" ",TRIM(O892)))),NOT(ISNUMBER(FIND(";",O892))),NOT(ISNUMBER(FIND(",",O892)))),"OK","ERRO: um e-mail válido por linha"))</f>
      </c>
      <c r="Z892" s="6">
        <f>IF(AND(J892="",K892=""),"",IF(AND(J892&lt;&gt;"",K892&lt;&gt;""),"OK","pendente: só um nome (o GR completa ao converter)"))</f>
      </c>
      <c r="AA892" s="6">
        <f>IF(COUNTA(A892:S892)=0,"",IF(AND(A892&lt;&gt;"",B892&lt;&gt;"",C892&lt;&gt;"",D892&lt;&gt;"",E892&lt;&gt;"",F892&lt;&gt;"",G892&lt;&gt;"",H892&lt;&gt;"",OR(J892&lt;&gt;"",K892&lt;&gt;""),OR(M892&lt;&gt;"",N892&lt;&gt;"",O892&lt;&gt;"")),"OK","ERRO: faltam "&amp;IF(A892="","SDR; ","")&amp;IF(B892="","Proprietário; ","")&amp;IF(C892="","Origem; ","")&amp;IF(D892="","Temperatura; ","")&amp;IF(E892="","Segmento; ","")&amp;IF(F892="","Time/Cluster; ","")&amp;IF(G892="","CNPJ; ","")&amp;IF(H892="","Razão Social; ","")&amp;IF(AND(J892="",K892=""),"nome do contato; ","")&amp;IF(AND(M892="",N892="",O892=""),"telefone, celular ou e-mail; ","")))</f>
      </c>
      <c r="AB892" s="6">
        <f>IF(COUNTA(A892:S892)=0,"",IF(AND(U892="OK",V892="OK",LEFT(W892,4)&lt;&gt;"ERRO",LEFT(X892,4)&lt;&gt;"ERRO",LEFT(Y892,4)&lt;&gt;"ERRO",AA892="OK"),"OK","REVISAR"))</f>
      </c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5"/>
      <c r="K893" s="4"/>
      <c r="L893" s="4"/>
      <c r="M893" s="4"/>
      <c r="N893" s="4"/>
      <c r="O893" s="4"/>
      <c r="P893" s="4"/>
      <c r="Q893" s="4"/>
      <c r="R893" s="4"/>
      <c r="S893" s="4"/>
      <c r="T893" s="6">
        <f>IF(G893="","",SUBSTITUTE(SUBSTITUTE(SUBSTITUTE(SUBSTITUTE(SUBSTITUTE(SUBSTITUTE(SUBSTITUTE(TRIM(G893),".",""),"/",""),"-","")," ",""),"(",""),")",""),"+",""))</f>
      </c>
      <c r="U893" s="6">
        <f>IF(T893="","",IF(LEN(T893)&lt;&gt;14,"ERRO: "&amp;LEN(T893)&amp;" dígitos",IF(NOT(ISNUMBER(VALUE(T893))),"ERRO: não numérico",IF(LEN(SUBSTITUTE(T893,LEFT(T893,1),""))=0,"ERRO: dígitos repetidos",IF(AND(VALUE(MID(T893,13,1))=IF(MOD(SUMPRODUCT(--MID(T893,{1,2,3,4,5,6,7,8,9,10,11,12},1),{5,4,3,2,9,8,7,6,5,4,3,2}),11)&lt;2,0,11-MOD(SUMPRODUCT(--MID(T893,{1,2,3,4,5,6,7,8,9,10,11,12},1),{5,4,3,2,9,8,7,6,5,4,3,2}),11)),VALUE(MID(T893,14,1))=IF(MOD(SUMPRODUCT(--MID(T893,{1,2,3,4,5,6,7,8,9,10,11,12,13},1),{6,5,4,3,2,9,8,7,6,5,4,3,2}),11)&lt;2,0,11-MOD(SUMPRODUCT(--MID(T893,{1,2,3,4,5,6,7,8,9,10,11,12,13},1),{6,5,4,3,2,9,8,7,6,5,4,3,2}),11))),"OK","ERRO: dígito verificador")))))</f>
      </c>
      <c r="V893" s="6">
        <f>IF(T893="","",IF(COUNTIF($T$2:$T$1001,T893)&gt;1,"DUPLICADO","OK"))</f>
      </c>
      <c r="W893" s="6">
        <f>IF(M893="","vazio",IF(OR(AND(LEN(SUBSTITUTE(SUBSTITUTE(SUBSTITUTE(SUBSTITUTE(SUBSTITUTE(SUBSTITUTE(SUBSTITUTE(TRIM(M893),".",""),"/",""),"-","")," ",""),"(",""),")",""),"+",""))=10,LEFT(SUBSTITUTE(SUBSTITUTE(SUBSTITUTE(SUBSTITUTE(SUBSTITUTE(SUBSTITUTE(SUBSTITUTE(TRIM(M893),".",""),"/",""),"-","")," ",""),"(",""),")",""),"+",""),1)&lt;&gt;"0"),AND(LEN(SUBSTITUTE(SUBSTITUTE(SUBSTITUTE(SUBSTITUTE(SUBSTITUTE(SUBSTITUTE(SUBSTITUTE(TRIM(M893),".",""),"/",""),"-","")," ",""),"(",""),")",""),"+",""))=11,LEFT(SUBSTITUTE(SUBSTITUTE(SUBSTITUTE(SUBSTITUTE(SUBSTITUTE(SUBSTITUTE(SUBSTITUTE(TRIM(M893),".",""),"/",""),"-","")," ",""),"(",""),")",""),"+",""),4)="0800")),"OK",IF(AND(LEN(SUBSTITUTE(SUBSTITUTE(SUBSTITUTE(SUBSTITUTE(SUBSTITUTE(SUBSTITUTE(SUBSTITUTE(TRIM(M893),".",""),"/",""),"-","")," ",""),"(",""),")",""),"+",""))=11,MID(SUBSTITUTE(SUBSTITUTE(SUBSTITUTE(SUBSTITUTE(SUBSTITUTE(SUBSTITUTE(SUBSTITUTE(TRIM(M893),".",""),"/",""),"-","")," ",""),"(",""),")",""),"+",""),3,1)="9"),"ERRO: é celular, use a coluna Celular","ERRO: DDD + 8 dígitos ou 0800 + 7")))</f>
      </c>
      <c r="X893" s="6">
        <f>IF(N893="","vazio",IF(AND(LEN(SUBSTITUTE(SUBSTITUTE(SUBSTITUTE(SUBSTITUTE(SUBSTITUTE(SUBSTITUTE(SUBSTITUTE(TRIM(N893),".",""),"/",""),"-","")," ",""),"(",""),")",""),"+",""))=11,MID(SUBSTITUTE(SUBSTITUTE(SUBSTITUTE(SUBSTITUTE(SUBSTITUTE(SUBSTITUTE(SUBSTITUTE(TRIM(N893),".",""),"/",""),"-","")," ",""),"(",""),")",""),"+",""),3,1)="9",LEFT(SUBSTITUTE(SUBSTITUTE(SUBSTITUTE(SUBSTITUTE(SUBSTITUTE(SUBSTITUTE(SUBSTITUTE(TRIM(N893),".",""),"/",""),"-","")," ",""),"(",""),")",""),"+",""),1)&lt;&gt;"0"),"OK",IF(LEN(SUBSTITUTE(SUBSTITUTE(SUBSTITUTE(SUBSTITUTE(SUBSTITUTE(SUBSTITUTE(SUBSTITUTE(TRIM(N893),".",""),"/",""),"-","")," ",""),"(",""),")",""),"+",""))=10,"ERRO: é fixo (ou falta o 9), use a coluna Telefone fixo","ERRO: DDD + 9 + 8 dígitos")))</f>
      </c>
      <c r="Y893" s="6">
        <f>IF(O893="","vazio",IF(AND(ISNUMBER(FIND("@",O893)),ISNUMBER(FIND(".",MID(O893,FIND("@",O893),99))),NOT(ISNUMBER(FIND(" ",TRIM(O893)))),NOT(ISNUMBER(FIND(";",O893))),NOT(ISNUMBER(FIND(",",O893)))),"OK","ERRO: um e-mail válido por linha"))</f>
      </c>
      <c r="Z893" s="6">
        <f>IF(AND(J893="",K893=""),"",IF(AND(J893&lt;&gt;"",K893&lt;&gt;""),"OK","pendente: só um nome (o GR completa ao converter)"))</f>
      </c>
      <c r="AA893" s="6">
        <f>IF(COUNTA(A893:S893)=0,"",IF(AND(A893&lt;&gt;"",B893&lt;&gt;"",C893&lt;&gt;"",D893&lt;&gt;"",E893&lt;&gt;"",F893&lt;&gt;"",G893&lt;&gt;"",H893&lt;&gt;"",OR(J893&lt;&gt;"",K893&lt;&gt;""),OR(M893&lt;&gt;"",N893&lt;&gt;"",O893&lt;&gt;"")),"OK","ERRO: faltam "&amp;IF(A893="","SDR; ","")&amp;IF(B893="","Proprietário; ","")&amp;IF(C893="","Origem; ","")&amp;IF(D893="","Temperatura; ","")&amp;IF(E893="","Segmento; ","")&amp;IF(F893="","Time/Cluster; ","")&amp;IF(G893="","CNPJ; ","")&amp;IF(H893="","Razão Social; ","")&amp;IF(AND(J893="",K893=""),"nome do contato; ","")&amp;IF(AND(M893="",N893="",O893=""),"telefone, celular ou e-mail; ","")))</f>
      </c>
      <c r="AB893" s="6">
        <f>IF(COUNTA(A893:S893)=0,"",IF(AND(U893="OK",V893="OK",LEFT(W893,4)&lt;&gt;"ERRO",LEFT(X893,4)&lt;&gt;"ERRO",LEFT(Y893,4)&lt;&gt;"ERRO",AA893="OK"),"OK","REVISAR"))</f>
      </c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5"/>
      <c r="K894" s="4"/>
      <c r="L894" s="4"/>
      <c r="M894" s="4"/>
      <c r="N894" s="4"/>
      <c r="O894" s="4"/>
      <c r="P894" s="4"/>
      <c r="Q894" s="4"/>
      <c r="R894" s="4"/>
      <c r="S894" s="4"/>
      <c r="T894" s="6">
        <f>IF(G894="","",SUBSTITUTE(SUBSTITUTE(SUBSTITUTE(SUBSTITUTE(SUBSTITUTE(SUBSTITUTE(SUBSTITUTE(TRIM(G894),".",""),"/",""),"-","")," ",""),"(",""),")",""),"+",""))</f>
      </c>
      <c r="U894" s="6">
        <f>IF(T894="","",IF(LEN(T894)&lt;&gt;14,"ERRO: "&amp;LEN(T894)&amp;" dígitos",IF(NOT(ISNUMBER(VALUE(T894))),"ERRO: não numérico",IF(LEN(SUBSTITUTE(T894,LEFT(T894,1),""))=0,"ERRO: dígitos repetidos",IF(AND(VALUE(MID(T894,13,1))=IF(MOD(SUMPRODUCT(--MID(T894,{1,2,3,4,5,6,7,8,9,10,11,12},1),{5,4,3,2,9,8,7,6,5,4,3,2}),11)&lt;2,0,11-MOD(SUMPRODUCT(--MID(T894,{1,2,3,4,5,6,7,8,9,10,11,12},1),{5,4,3,2,9,8,7,6,5,4,3,2}),11)),VALUE(MID(T894,14,1))=IF(MOD(SUMPRODUCT(--MID(T894,{1,2,3,4,5,6,7,8,9,10,11,12,13},1),{6,5,4,3,2,9,8,7,6,5,4,3,2}),11)&lt;2,0,11-MOD(SUMPRODUCT(--MID(T894,{1,2,3,4,5,6,7,8,9,10,11,12,13},1),{6,5,4,3,2,9,8,7,6,5,4,3,2}),11))),"OK","ERRO: dígito verificador")))))</f>
      </c>
      <c r="V894" s="6">
        <f>IF(T894="","",IF(COUNTIF($T$2:$T$1001,T894)&gt;1,"DUPLICADO","OK"))</f>
      </c>
      <c r="W894" s="6">
        <f>IF(M894="","vazio",IF(OR(AND(LEN(SUBSTITUTE(SUBSTITUTE(SUBSTITUTE(SUBSTITUTE(SUBSTITUTE(SUBSTITUTE(SUBSTITUTE(TRIM(M894),".",""),"/",""),"-","")," ",""),"(",""),")",""),"+",""))=10,LEFT(SUBSTITUTE(SUBSTITUTE(SUBSTITUTE(SUBSTITUTE(SUBSTITUTE(SUBSTITUTE(SUBSTITUTE(TRIM(M894),".",""),"/",""),"-","")," ",""),"(",""),")",""),"+",""),1)&lt;&gt;"0"),AND(LEN(SUBSTITUTE(SUBSTITUTE(SUBSTITUTE(SUBSTITUTE(SUBSTITUTE(SUBSTITUTE(SUBSTITUTE(TRIM(M894),".",""),"/",""),"-","")," ",""),"(",""),")",""),"+",""))=11,LEFT(SUBSTITUTE(SUBSTITUTE(SUBSTITUTE(SUBSTITUTE(SUBSTITUTE(SUBSTITUTE(SUBSTITUTE(TRIM(M894),".",""),"/",""),"-","")," ",""),"(",""),")",""),"+",""),4)="0800")),"OK",IF(AND(LEN(SUBSTITUTE(SUBSTITUTE(SUBSTITUTE(SUBSTITUTE(SUBSTITUTE(SUBSTITUTE(SUBSTITUTE(TRIM(M894),".",""),"/",""),"-","")," ",""),"(",""),")",""),"+",""))=11,MID(SUBSTITUTE(SUBSTITUTE(SUBSTITUTE(SUBSTITUTE(SUBSTITUTE(SUBSTITUTE(SUBSTITUTE(TRIM(M894),".",""),"/",""),"-","")," ",""),"(",""),")",""),"+",""),3,1)="9"),"ERRO: é celular, use a coluna Celular","ERRO: DDD + 8 dígitos ou 0800 + 7")))</f>
      </c>
      <c r="X894" s="6">
        <f>IF(N894="","vazio",IF(AND(LEN(SUBSTITUTE(SUBSTITUTE(SUBSTITUTE(SUBSTITUTE(SUBSTITUTE(SUBSTITUTE(SUBSTITUTE(TRIM(N894),".",""),"/",""),"-","")," ",""),"(",""),")",""),"+",""))=11,MID(SUBSTITUTE(SUBSTITUTE(SUBSTITUTE(SUBSTITUTE(SUBSTITUTE(SUBSTITUTE(SUBSTITUTE(TRIM(N894),".",""),"/",""),"-","")," ",""),"(",""),")",""),"+",""),3,1)="9",LEFT(SUBSTITUTE(SUBSTITUTE(SUBSTITUTE(SUBSTITUTE(SUBSTITUTE(SUBSTITUTE(SUBSTITUTE(TRIM(N894),".",""),"/",""),"-","")," ",""),"(",""),")",""),"+",""),1)&lt;&gt;"0"),"OK",IF(LEN(SUBSTITUTE(SUBSTITUTE(SUBSTITUTE(SUBSTITUTE(SUBSTITUTE(SUBSTITUTE(SUBSTITUTE(TRIM(N894),".",""),"/",""),"-","")," ",""),"(",""),")",""),"+",""))=10,"ERRO: é fixo (ou falta o 9), use a coluna Telefone fixo","ERRO: DDD + 9 + 8 dígitos")))</f>
      </c>
      <c r="Y894" s="6">
        <f>IF(O894="","vazio",IF(AND(ISNUMBER(FIND("@",O894)),ISNUMBER(FIND(".",MID(O894,FIND("@",O894),99))),NOT(ISNUMBER(FIND(" ",TRIM(O894)))),NOT(ISNUMBER(FIND(";",O894))),NOT(ISNUMBER(FIND(",",O894)))),"OK","ERRO: um e-mail válido por linha"))</f>
      </c>
      <c r="Z894" s="6">
        <f>IF(AND(J894="",K894=""),"",IF(AND(J894&lt;&gt;"",K894&lt;&gt;""),"OK","pendente: só um nome (o GR completa ao converter)"))</f>
      </c>
      <c r="AA894" s="6">
        <f>IF(COUNTA(A894:S894)=0,"",IF(AND(A894&lt;&gt;"",B894&lt;&gt;"",C894&lt;&gt;"",D894&lt;&gt;"",E894&lt;&gt;"",F894&lt;&gt;"",G894&lt;&gt;"",H894&lt;&gt;"",OR(J894&lt;&gt;"",K894&lt;&gt;""),OR(M894&lt;&gt;"",N894&lt;&gt;"",O894&lt;&gt;"")),"OK","ERRO: faltam "&amp;IF(A894="","SDR; ","")&amp;IF(B894="","Proprietário; ","")&amp;IF(C894="","Origem; ","")&amp;IF(D894="","Temperatura; ","")&amp;IF(E894="","Segmento; ","")&amp;IF(F894="","Time/Cluster; ","")&amp;IF(G894="","CNPJ; ","")&amp;IF(H894="","Razão Social; ","")&amp;IF(AND(J894="",K894=""),"nome do contato; ","")&amp;IF(AND(M894="",N894="",O894=""),"telefone, celular ou e-mail; ","")))</f>
      </c>
      <c r="AB894" s="6">
        <f>IF(COUNTA(A894:S894)=0,"",IF(AND(U894="OK",V894="OK",LEFT(W894,4)&lt;&gt;"ERRO",LEFT(X894,4)&lt;&gt;"ERRO",LEFT(Y894,4)&lt;&gt;"ERRO",AA894="OK"),"OK","REVISAR"))</f>
      </c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5"/>
      <c r="K895" s="4"/>
      <c r="L895" s="4"/>
      <c r="M895" s="4"/>
      <c r="N895" s="4"/>
      <c r="O895" s="4"/>
      <c r="P895" s="4"/>
      <c r="Q895" s="4"/>
      <c r="R895" s="4"/>
      <c r="S895" s="4"/>
      <c r="T895" s="6">
        <f>IF(G895="","",SUBSTITUTE(SUBSTITUTE(SUBSTITUTE(SUBSTITUTE(SUBSTITUTE(SUBSTITUTE(SUBSTITUTE(TRIM(G895),".",""),"/",""),"-","")," ",""),"(",""),")",""),"+",""))</f>
      </c>
      <c r="U895" s="6">
        <f>IF(T895="","",IF(LEN(T895)&lt;&gt;14,"ERRO: "&amp;LEN(T895)&amp;" dígitos",IF(NOT(ISNUMBER(VALUE(T895))),"ERRO: não numérico",IF(LEN(SUBSTITUTE(T895,LEFT(T895,1),""))=0,"ERRO: dígitos repetidos",IF(AND(VALUE(MID(T895,13,1))=IF(MOD(SUMPRODUCT(--MID(T895,{1,2,3,4,5,6,7,8,9,10,11,12},1),{5,4,3,2,9,8,7,6,5,4,3,2}),11)&lt;2,0,11-MOD(SUMPRODUCT(--MID(T895,{1,2,3,4,5,6,7,8,9,10,11,12},1),{5,4,3,2,9,8,7,6,5,4,3,2}),11)),VALUE(MID(T895,14,1))=IF(MOD(SUMPRODUCT(--MID(T895,{1,2,3,4,5,6,7,8,9,10,11,12,13},1),{6,5,4,3,2,9,8,7,6,5,4,3,2}),11)&lt;2,0,11-MOD(SUMPRODUCT(--MID(T895,{1,2,3,4,5,6,7,8,9,10,11,12,13},1),{6,5,4,3,2,9,8,7,6,5,4,3,2}),11))),"OK","ERRO: dígito verificador")))))</f>
      </c>
      <c r="V895" s="6">
        <f>IF(T895="","",IF(COUNTIF($T$2:$T$1001,T895)&gt;1,"DUPLICADO","OK"))</f>
      </c>
      <c r="W895" s="6">
        <f>IF(M895="","vazio",IF(OR(AND(LEN(SUBSTITUTE(SUBSTITUTE(SUBSTITUTE(SUBSTITUTE(SUBSTITUTE(SUBSTITUTE(SUBSTITUTE(TRIM(M895),".",""),"/",""),"-","")," ",""),"(",""),")",""),"+",""))=10,LEFT(SUBSTITUTE(SUBSTITUTE(SUBSTITUTE(SUBSTITUTE(SUBSTITUTE(SUBSTITUTE(SUBSTITUTE(TRIM(M895),".",""),"/",""),"-","")," ",""),"(",""),")",""),"+",""),1)&lt;&gt;"0"),AND(LEN(SUBSTITUTE(SUBSTITUTE(SUBSTITUTE(SUBSTITUTE(SUBSTITUTE(SUBSTITUTE(SUBSTITUTE(TRIM(M895),".",""),"/",""),"-","")," ",""),"(",""),")",""),"+",""))=11,LEFT(SUBSTITUTE(SUBSTITUTE(SUBSTITUTE(SUBSTITUTE(SUBSTITUTE(SUBSTITUTE(SUBSTITUTE(TRIM(M895),".",""),"/",""),"-","")," ",""),"(",""),")",""),"+",""),4)="0800")),"OK",IF(AND(LEN(SUBSTITUTE(SUBSTITUTE(SUBSTITUTE(SUBSTITUTE(SUBSTITUTE(SUBSTITUTE(SUBSTITUTE(TRIM(M895),".",""),"/",""),"-","")," ",""),"(",""),")",""),"+",""))=11,MID(SUBSTITUTE(SUBSTITUTE(SUBSTITUTE(SUBSTITUTE(SUBSTITUTE(SUBSTITUTE(SUBSTITUTE(TRIM(M895),".",""),"/",""),"-","")," ",""),"(",""),")",""),"+",""),3,1)="9"),"ERRO: é celular, use a coluna Celular","ERRO: DDD + 8 dígitos ou 0800 + 7")))</f>
      </c>
      <c r="X895" s="6">
        <f>IF(N895="","vazio",IF(AND(LEN(SUBSTITUTE(SUBSTITUTE(SUBSTITUTE(SUBSTITUTE(SUBSTITUTE(SUBSTITUTE(SUBSTITUTE(TRIM(N895),".",""),"/",""),"-","")," ",""),"(",""),")",""),"+",""))=11,MID(SUBSTITUTE(SUBSTITUTE(SUBSTITUTE(SUBSTITUTE(SUBSTITUTE(SUBSTITUTE(SUBSTITUTE(TRIM(N895),".",""),"/",""),"-","")," ",""),"(",""),")",""),"+",""),3,1)="9",LEFT(SUBSTITUTE(SUBSTITUTE(SUBSTITUTE(SUBSTITUTE(SUBSTITUTE(SUBSTITUTE(SUBSTITUTE(TRIM(N895),".",""),"/",""),"-","")," ",""),"(",""),")",""),"+",""),1)&lt;&gt;"0"),"OK",IF(LEN(SUBSTITUTE(SUBSTITUTE(SUBSTITUTE(SUBSTITUTE(SUBSTITUTE(SUBSTITUTE(SUBSTITUTE(TRIM(N895),".",""),"/",""),"-","")," ",""),"(",""),")",""),"+",""))=10,"ERRO: é fixo (ou falta o 9), use a coluna Telefone fixo","ERRO: DDD + 9 + 8 dígitos")))</f>
      </c>
      <c r="Y895" s="6">
        <f>IF(O895="","vazio",IF(AND(ISNUMBER(FIND("@",O895)),ISNUMBER(FIND(".",MID(O895,FIND("@",O895),99))),NOT(ISNUMBER(FIND(" ",TRIM(O895)))),NOT(ISNUMBER(FIND(";",O895))),NOT(ISNUMBER(FIND(",",O895)))),"OK","ERRO: um e-mail válido por linha"))</f>
      </c>
      <c r="Z895" s="6">
        <f>IF(AND(J895="",K895=""),"",IF(AND(J895&lt;&gt;"",K895&lt;&gt;""),"OK","pendente: só um nome (o GR completa ao converter)"))</f>
      </c>
      <c r="AA895" s="6">
        <f>IF(COUNTA(A895:S895)=0,"",IF(AND(A895&lt;&gt;"",B895&lt;&gt;"",C895&lt;&gt;"",D895&lt;&gt;"",E895&lt;&gt;"",F895&lt;&gt;"",G895&lt;&gt;"",H895&lt;&gt;"",OR(J895&lt;&gt;"",K895&lt;&gt;""),OR(M895&lt;&gt;"",N895&lt;&gt;"",O895&lt;&gt;"")),"OK","ERRO: faltam "&amp;IF(A895="","SDR; ","")&amp;IF(B895="","Proprietário; ","")&amp;IF(C895="","Origem; ","")&amp;IF(D895="","Temperatura; ","")&amp;IF(E895="","Segmento; ","")&amp;IF(F895="","Time/Cluster; ","")&amp;IF(G895="","CNPJ; ","")&amp;IF(H895="","Razão Social; ","")&amp;IF(AND(J895="",K895=""),"nome do contato; ","")&amp;IF(AND(M895="",N895="",O895=""),"telefone, celular ou e-mail; ","")))</f>
      </c>
      <c r="AB895" s="6">
        <f>IF(COUNTA(A895:S895)=0,"",IF(AND(U895="OK",V895="OK",LEFT(W895,4)&lt;&gt;"ERRO",LEFT(X895,4)&lt;&gt;"ERRO",LEFT(Y895,4)&lt;&gt;"ERRO",AA895="OK"),"OK","REVISAR"))</f>
      </c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5"/>
      <c r="K896" s="4"/>
      <c r="L896" s="4"/>
      <c r="M896" s="4"/>
      <c r="N896" s="4"/>
      <c r="O896" s="4"/>
      <c r="P896" s="4"/>
      <c r="Q896" s="4"/>
      <c r="R896" s="4"/>
      <c r="S896" s="4"/>
      <c r="T896" s="6">
        <f>IF(G896="","",SUBSTITUTE(SUBSTITUTE(SUBSTITUTE(SUBSTITUTE(SUBSTITUTE(SUBSTITUTE(SUBSTITUTE(TRIM(G896),".",""),"/",""),"-","")," ",""),"(",""),")",""),"+",""))</f>
      </c>
      <c r="U896" s="6">
        <f>IF(T896="","",IF(LEN(T896)&lt;&gt;14,"ERRO: "&amp;LEN(T896)&amp;" dígitos",IF(NOT(ISNUMBER(VALUE(T896))),"ERRO: não numérico",IF(LEN(SUBSTITUTE(T896,LEFT(T896,1),""))=0,"ERRO: dígitos repetidos",IF(AND(VALUE(MID(T896,13,1))=IF(MOD(SUMPRODUCT(--MID(T896,{1,2,3,4,5,6,7,8,9,10,11,12},1),{5,4,3,2,9,8,7,6,5,4,3,2}),11)&lt;2,0,11-MOD(SUMPRODUCT(--MID(T896,{1,2,3,4,5,6,7,8,9,10,11,12},1),{5,4,3,2,9,8,7,6,5,4,3,2}),11)),VALUE(MID(T896,14,1))=IF(MOD(SUMPRODUCT(--MID(T896,{1,2,3,4,5,6,7,8,9,10,11,12,13},1),{6,5,4,3,2,9,8,7,6,5,4,3,2}),11)&lt;2,0,11-MOD(SUMPRODUCT(--MID(T896,{1,2,3,4,5,6,7,8,9,10,11,12,13},1),{6,5,4,3,2,9,8,7,6,5,4,3,2}),11))),"OK","ERRO: dígito verificador")))))</f>
      </c>
      <c r="V896" s="6">
        <f>IF(T896="","",IF(COUNTIF($T$2:$T$1001,T896)&gt;1,"DUPLICADO","OK"))</f>
      </c>
      <c r="W896" s="6">
        <f>IF(M896="","vazio",IF(OR(AND(LEN(SUBSTITUTE(SUBSTITUTE(SUBSTITUTE(SUBSTITUTE(SUBSTITUTE(SUBSTITUTE(SUBSTITUTE(TRIM(M896),".",""),"/",""),"-","")," ",""),"(",""),")",""),"+",""))=10,LEFT(SUBSTITUTE(SUBSTITUTE(SUBSTITUTE(SUBSTITUTE(SUBSTITUTE(SUBSTITUTE(SUBSTITUTE(TRIM(M896),".",""),"/",""),"-","")," ",""),"(",""),")",""),"+",""),1)&lt;&gt;"0"),AND(LEN(SUBSTITUTE(SUBSTITUTE(SUBSTITUTE(SUBSTITUTE(SUBSTITUTE(SUBSTITUTE(SUBSTITUTE(TRIM(M896),".",""),"/",""),"-","")," ",""),"(",""),")",""),"+",""))=11,LEFT(SUBSTITUTE(SUBSTITUTE(SUBSTITUTE(SUBSTITUTE(SUBSTITUTE(SUBSTITUTE(SUBSTITUTE(TRIM(M896),".",""),"/",""),"-","")," ",""),"(",""),")",""),"+",""),4)="0800")),"OK",IF(AND(LEN(SUBSTITUTE(SUBSTITUTE(SUBSTITUTE(SUBSTITUTE(SUBSTITUTE(SUBSTITUTE(SUBSTITUTE(TRIM(M896),".",""),"/",""),"-","")," ",""),"(",""),")",""),"+",""))=11,MID(SUBSTITUTE(SUBSTITUTE(SUBSTITUTE(SUBSTITUTE(SUBSTITUTE(SUBSTITUTE(SUBSTITUTE(TRIM(M896),".",""),"/",""),"-","")," ",""),"(",""),")",""),"+",""),3,1)="9"),"ERRO: é celular, use a coluna Celular","ERRO: DDD + 8 dígitos ou 0800 + 7")))</f>
      </c>
      <c r="X896" s="6">
        <f>IF(N896="","vazio",IF(AND(LEN(SUBSTITUTE(SUBSTITUTE(SUBSTITUTE(SUBSTITUTE(SUBSTITUTE(SUBSTITUTE(SUBSTITUTE(TRIM(N896),".",""),"/",""),"-","")," ",""),"(",""),")",""),"+",""))=11,MID(SUBSTITUTE(SUBSTITUTE(SUBSTITUTE(SUBSTITUTE(SUBSTITUTE(SUBSTITUTE(SUBSTITUTE(TRIM(N896),".",""),"/",""),"-","")," ",""),"(",""),")",""),"+",""),3,1)="9",LEFT(SUBSTITUTE(SUBSTITUTE(SUBSTITUTE(SUBSTITUTE(SUBSTITUTE(SUBSTITUTE(SUBSTITUTE(TRIM(N896),".",""),"/",""),"-","")," ",""),"(",""),")",""),"+",""),1)&lt;&gt;"0"),"OK",IF(LEN(SUBSTITUTE(SUBSTITUTE(SUBSTITUTE(SUBSTITUTE(SUBSTITUTE(SUBSTITUTE(SUBSTITUTE(TRIM(N896),".",""),"/",""),"-","")," ",""),"(",""),")",""),"+",""))=10,"ERRO: é fixo (ou falta o 9), use a coluna Telefone fixo","ERRO: DDD + 9 + 8 dígitos")))</f>
      </c>
      <c r="Y896" s="6">
        <f>IF(O896="","vazio",IF(AND(ISNUMBER(FIND("@",O896)),ISNUMBER(FIND(".",MID(O896,FIND("@",O896),99))),NOT(ISNUMBER(FIND(" ",TRIM(O896)))),NOT(ISNUMBER(FIND(";",O896))),NOT(ISNUMBER(FIND(",",O896)))),"OK","ERRO: um e-mail válido por linha"))</f>
      </c>
      <c r="Z896" s="6">
        <f>IF(AND(J896="",K896=""),"",IF(AND(J896&lt;&gt;"",K896&lt;&gt;""),"OK","pendente: só um nome (o GR completa ao converter)"))</f>
      </c>
      <c r="AA896" s="6">
        <f>IF(COUNTA(A896:S896)=0,"",IF(AND(A896&lt;&gt;"",B896&lt;&gt;"",C896&lt;&gt;"",D896&lt;&gt;"",E896&lt;&gt;"",F896&lt;&gt;"",G896&lt;&gt;"",H896&lt;&gt;"",OR(J896&lt;&gt;"",K896&lt;&gt;""),OR(M896&lt;&gt;"",N896&lt;&gt;"",O896&lt;&gt;"")),"OK","ERRO: faltam "&amp;IF(A896="","SDR; ","")&amp;IF(B896="","Proprietário; ","")&amp;IF(C896="","Origem; ","")&amp;IF(D896="","Temperatura; ","")&amp;IF(E896="","Segmento; ","")&amp;IF(F896="","Time/Cluster; ","")&amp;IF(G896="","CNPJ; ","")&amp;IF(H896="","Razão Social; ","")&amp;IF(AND(J896="",K896=""),"nome do contato; ","")&amp;IF(AND(M896="",N896="",O896=""),"telefone, celular ou e-mail; ","")))</f>
      </c>
      <c r="AB896" s="6">
        <f>IF(COUNTA(A896:S896)=0,"",IF(AND(U896="OK",V896="OK",LEFT(W896,4)&lt;&gt;"ERRO",LEFT(X896,4)&lt;&gt;"ERRO",LEFT(Y896,4)&lt;&gt;"ERRO",AA896="OK"),"OK","REVISAR"))</f>
      </c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5"/>
      <c r="K897" s="4"/>
      <c r="L897" s="4"/>
      <c r="M897" s="4"/>
      <c r="N897" s="4"/>
      <c r="O897" s="4"/>
      <c r="P897" s="4"/>
      <c r="Q897" s="4"/>
      <c r="R897" s="4"/>
      <c r="S897" s="4"/>
      <c r="T897" s="6">
        <f>IF(G897="","",SUBSTITUTE(SUBSTITUTE(SUBSTITUTE(SUBSTITUTE(SUBSTITUTE(SUBSTITUTE(SUBSTITUTE(TRIM(G897),".",""),"/",""),"-","")," ",""),"(",""),")",""),"+",""))</f>
      </c>
      <c r="U897" s="6">
        <f>IF(T897="","",IF(LEN(T897)&lt;&gt;14,"ERRO: "&amp;LEN(T897)&amp;" dígitos",IF(NOT(ISNUMBER(VALUE(T897))),"ERRO: não numérico",IF(LEN(SUBSTITUTE(T897,LEFT(T897,1),""))=0,"ERRO: dígitos repetidos",IF(AND(VALUE(MID(T897,13,1))=IF(MOD(SUMPRODUCT(--MID(T897,{1,2,3,4,5,6,7,8,9,10,11,12},1),{5,4,3,2,9,8,7,6,5,4,3,2}),11)&lt;2,0,11-MOD(SUMPRODUCT(--MID(T897,{1,2,3,4,5,6,7,8,9,10,11,12},1),{5,4,3,2,9,8,7,6,5,4,3,2}),11)),VALUE(MID(T897,14,1))=IF(MOD(SUMPRODUCT(--MID(T897,{1,2,3,4,5,6,7,8,9,10,11,12,13},1),{6,5,4,3,2,9,8,7,6,5,4,3,2}),11)&lt;2,0,11-MOD(SUMPRODUCT(--MID(T897,{1,2,3,4,5,6,7,8,9,10,11,12,13},1),{6,5,4,3,2,9,8,7,6,5,4,3,2}),11))),"OK","ERRO: dígito verificador")))))</f>
      </c>
      <c r="V897" s="6">
        <f>IF(T897="","",IF(COUNTIF($T$2:$T$1001,T897)&gt;1,"DUPLICADO","OK"))</f>
      </c>
      <c r="W897" s="6">
        <f>IF(M897="","vazio",IF(OR(AND(LEN(SUBSTITUTE(SUBSTITUTE(SUBSTITUTE(SUBSTITUTE(SUBSTITUTE(SUBSTITUTE(SUBSTITUTE(TRIM(M897),".",""),"/",""),"-","")," ",""),"(",""),")",""),"+",""))=10,LEFT(SUBSTITUTE(SUBSTITUTE(SUBSTITUTE(SUBSTITUTE(SUBSTITUTE(SUBSTITUTE(SUBSTITUTE(TRIM(M897),".",""),"/",""),"-","")," ",""),"(",""),")",""),"+",""),1)&lt;&gt;"0"),AND(LEN(SUBSTITUTE(SUBSTITUTE(SUBSTITUTE(SUBSTITUTE(SUBSTITUTE(SUBSTITUTE(SUBSTITUTE(TRIM(M897),".",""),"/",""),"-","")," ",""),"(",""),")",""),"+",""))=11,LEFT(SUBSTITUTE(SUBSTITUTE(SUBSTITUTE(SUBSTITUTE(SUBSTITUTE(SUBSTITUTE(SUBSTITUTE(TRIM(M897),".",""),"/",""),"-","")," ",""),"(",""),")",""),"+",""),4)="0800")),"OK",IF(AND(LEN(SUBSTITUTE(SUBSTITUTE(SUBSTITUTE(SUBSTITUTE(SUBSTITUTE(SUBSTITUTE(SUBSTITUTE(TRIM(M897),".",""),"/",""),"-","")," ",""),"(",""),")",""),"+",""))=11,MID(SUBSTITUTE(SUBSTITUTE(SUBSTITUTE(SUBSTITUTE(SUBSTITUTE(SUBSTITUTE(SUBSTITUTE(TRIM(M897),".",""),"/",""),"-","")," ",""),"(",""),")",""),"+",""),3,1)="9"),"ERRO: é celular, use a coluna Celular","ERRO: DDD + 8 dígitos ou 0800 + 7")))</f>
      </c>
      <c r="X897" s="6">
        <f>IF(N897="","vazio",IF(AND(LEN(SUBSTITUTE(SUBSTITUTE(SUBSTITUTE(SUBSTITUTE(SUBSTITUTE(SUBSTITUTE(SUBSTITUTE(TRIM(N897),".",""),"/",""),"-","")," ",""),"(",""),")",""),"+",""))=11,MID(SUBSTITUTE(SUBSTITUTE(SUBSTITUTE(SUBSTITUTE(SUBSTITUTE(SUBSTITUTE(SUBSTITUTE(TRIM(N897),".",""),"/",""),"-","")," ",""),"(",""),")",""),"+",""),3,1)="9",LEFT(SUBSTITUTE(SUBSTITUTE(SUBSTITUTE(SUBSTITUTE(SUBSTITUTE(SUBSTITUTE(SUBSTITUTE(TRIM(N897),".",""),"/",""),"-","")," ",""),"(",""),")",""),"+",""),1)&lt;&gt;"0"),"OK",IF(LEN(SUBSTITUTE(SUBSTITUTE(SUBSTITUTE(SUBSTITUTE(SUBSTITUTE(SUBSTITUTE(SUBSTITUTE(TRIM(N897),".",""),"/",""),"-","")," ",""),"(",""),")",""),"+",""))=10,"ERRO: é fixo (ou falta o 9), use a coluna Telefone fixo","ERRO: DDD + 9 + 8 dígitos")))</f>
      </c>
      <c r="Y897" s="6">
        <f>IF(O897="","vazio",IF(AND(ISNUMBER(FIND("@",O897)),ISNUMBER(FIND(".",MID(O897,FIND("@",O897),99))),NOT(ISNUMBER(FIND(" ",TRIM(O897)))),NOT(ISNUMBER(FIND(";",O897))),NOT(ISNUMBER(FIND(",",O897)))),"OK","ERRO: um e-mail válido por linha"))</f>
      </c>
      <c r="Z897" s="6">
        <f>IF(AND(J897="",K897=""),"",IF(AND(J897&lt;&gt;"",K897&lt;&gt;""),"OK","pendente: só um nome (o GR completa ao converter)"))</f>
      </c>
      <c r="AA897" s="6">
        <f>IF(COUNTA(A897:S897)=0,"",IF(AND(A897&lt;&gt;"",B897&lt;&gt;"",C897&lt;&gt;"",D897&lt;&gt;"",E897&lt;&gt;"",F897&lt;&gt;"",G897&lt;&gt;"",H897&lt;&gt;"",OR(J897&lt;&gt;"",K897&lt;&gt;""),OR(M897&lt;&gt;"",N897&lt;&gt;"",O897&lt;&gt;"")),"OK","ERRO: faltam "&amp;IF(A897="","SDR; ","")&amp;IF(B897="","Proprietário; ","")&amp;IF(C897="","Origem; ","")&amp;IF(D897="","Temperatura; ","")&amp;IF(E897="","Segmento; ","")&amp;IF(F897="","Time/Cluster; ","")&amp;IF(G897="","CNPJ; ","")&amp;IF(H897="","Razão Social; ","")&amp;IF(AND(J897="",K897=""),"nome do contato; ","")&amp;IF(AND(M897="",N897="",O897=""),"telefone, celular ou e-mail; ","")))</f>
      </c>
      <c r="AB897" s="6">
        <f>IF(COUNTA(A897:S897)=0,"",IF(AND(U897="OK",V897="OK",LEFT(W897,4)&lt;&gt;"ERRO",LEFT(X897,4)&lt;&gt;"ERRO",LEFT(Y897,4)&lt;&gt;"ERRO",AA897="OK"),"OK","REVISAR"))</f>
      </c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5"/>
      <c r="K898" s="4"/>
      <c r="L898" s="4"/>
      <c r="M898" s="4"/>
      <c r="N898" s="4"/>
      <c r="O898" s="4"/>
      <c r="P898" s="4"/>
      <c r="Q898" s="4"/>
      <c r="R898" s="4"/>
      <c r="S898" s="4"/>
      <c r="T898" s="6">
        <f>IF(G898="","",SUBSTITUTE(SUBSTITUTE(SUBSTITUTE(SUBSTITUTE(SUBSTITUTE(SUBSTITUTE(SUBSTITUTE(TRIM(G898),".",""),"/",""),"-","")," ",""),"(",""),")",""),"+",""))</f>
      </c>
      <c r="U898" s="6">
        <f>IF(T898="","",IF(LEN(T898)&lt;&gt;14,"ERRO: "&amp;LEN(T898)&amp;" dígitos",IF(NOT(ISNUMBER(VALUE(T898))),"ERRO: não numérico",IF(LEN(SUBSTITUTE(T898,LEFT(T898,1),""))=0,"ERRO: dígitos repetidos",IF(AND(VALUE(MID(T898,13,1))=IF(MOD(SUMPRODUCT(--MID(T898,{1,2,3,4,5,6,7,8,9,10,11,12},1),{5,4,3,2,9,8,7,6,5,4,3,2}),11)&lt;2,0,11-MOD(SUMPRODUCT(--MID(T898,{1,2,3,4,5,6,7,8,9,10,11,12},1),{5,4,3,2,9,8,7,6,5,4,3,2}),11)),VALUE(MID(T898,14,1))=IF(MOD(SUMPRODUCT(--MID(T898,{1,2,3,4,5,6,7,8,9,10,11,12,13},1),{6,5,4,3,2,9,8,7,6,5,4,3,2}),11)&lt;2,0,11-MOD(SUMPRODUCT(--MID(T898,{1,2,3,4,5,6,7,8,9,10,11,12,13},1),{6,5,4,3,2,9,8,7,6,5,4,3,2}),11))),"OK","ERRO: dígito verificador")))))</f>
      </c>
      <c r="V898" s="6">
        <f>IF(T898="","",IF(COUNTIF($T$2:$T$1001,T898)&gt;1,"DUPLICADO","OK"))</f>
      </c>
      <c r="W898" s="6">
        <f>IF(M898="","vazio",IF(OR(AND(LEN(SUBSTITUTE(SUBSTITUTE(SUBSTITUTE(SUBSTITUTE(SUBSTITUTE(SUBSTITUTE(SUBSTITUTE(TRIM(M898),".",""),"/",""),"-","")," ",""),"(",""),")",""),"+",""))=10,LEFT(SUBSTITUTE(SUBSTITUTE(SUBSTITUTE(SUBSTITUTE(SUBSTITUTE(SUBSTITUTE(SUBSTITUTE(TRIM(M898),".",""),"/",""),"-","")," ",""),"(",""),")",""),"+",""),1)&lt;&gt;"0"),AND(LEN(SUBSTITUTE(SUBSTITUTE(SUBSTITUTE(SUBSTITUTE(SUBSTITUTE(SUBSTITUTE(SUBSTITUTE(TRIM(M898),".",""),"/",""),"-","")," ",""),"(",""),")",""),"+",""))=11,LEFT(SUBSTITUTE(SUBSTITUTE(SUBSTITUTE(SUBSTITUTE(SUBSTITUTE(SUBSTITUTE(SUBSTITUTE(TRIM(M898),".",""),"/",""),"-","")," ",""),"(",""),")",""),"+",""),4)="0800")),"OK",IF(AND(LEN(SUBSTITUTE(SUBSTITUTE(SUBSTITUTE(SUBSTITUTE(SUBSTITUTE(SUBSTITUTE(SUBSTITUTE(TRIM(M898),".",""),"/",""),"-","")," ",""),"(",""),")",""),"+",""))=11,MID(SUBSTITUTE(SUBSTITUTE(SUBSTITUTE(SUBSTITUTE(SUBSTITUTE(SUBSTITUTE(SUBSTITUTE(TRIM(M898),".",""),"/",""),"-","")," ",""),"(",""),")",""),"+",""),3,1)="9"),"ERRO: é celular, use a coluna Celular","ERRO: DDD + 8 dígitos ou 0800 + 7")))</f>
      </c>
      <c r="X898" s="6">
        <f>IF(N898="","vazio",IF(AND(LEN(SUBSTITUTE(SUBSTITUTE(SUBSTITUTE(SUBSTITUTE(SUBSTITUTE(SUBSTITUTE(SUBSTITUTE(TRIM(N898),".",""),"/",""),"-","")," ",""),"(",""),")",""),"+",""))=11,MID(SUBSTITUTE(SUBSTITUTE(SUBSTITUTE(SUBSTITUTE(SUBSTITUTE(SUBSTITUTE(SUBSTITUTE(TRIM(N898),".",""),"/",""),"-","")," ",""),"(",""),")",""),"+",""),3,1)="9",LEFT(SUBSTITUTE(SUBSTITUTE(SUBSTITUTE(SUBSTITUTE(SUBSTITUTE(SUBSTITUTE(SUBSTITUTE(TRIM(N898),".",""),"/",""),"-","")," ",""),"(",""),")",""),"+",""),1)&lt;&gt;"0"),"OK",IF(LEN(SUBSTITUTE(SUBSTITUTE(SUBSTITUTE(SUBSTITUTE(SUBSTITUTE(SUBSTITUTE(SUBSTITUTE(TRIM(N898),".",""),"/",""),"-","")," ",""),"(",""),")",""),"+",""))=10,"ERRO: é fixo (ou falta o 9), use a coluna Telefone fixo","ERRO: DDD + 9 + 8 dígitos")))</f>
      </c>
      <c r="Y898" s="6">
        <f>IF(O898="","vazio",IF(AND(ISNUMBER(FIND("@",O898)),ISNUMBER(FIND(".",MID(O898,FIND("@",O898),99))),NOT(ISNUMBER(FIND(" ",TRIM(O898)))),NOT(ISNUMBER(FIND(";",O898))),NOT(ISNUMBER(FIND(",",O898)))),"OK","ERRO: um e-mail válido por linha"))</f>
      </c>
      <c r="Z898" s="6">
        <f>IF(AND(J898="",K898=""),"",IF(AND(J898&lt;&gt;"",K898&lt;&gt;""),"OK","pendente: só um nome (o GR completa ao converter)"))</f>
      </c>
      <c r="AA898" s="6">
        <f>IF(COUNTA(A898:S898)=0,"",IF(AND(A898&lt;&gt;"",B898&lt;&gt;"",C898&lt;&gt;"",D898&lt;&gt;"",E898&lt;&gt;"",F898&lt;&gt;"",G898&lt;&gt;"",H898&lt;&gt;"",OR(J898&lt;&gt;"",K898&lt;&gt;""),OR(M898&lt;&gt;"",N898&lt;&gt;"",O898&lt;&gt;"")),"OK","ERRO: faltam "&amp;IF(A898="","SDR; ","")&amp;IF(B898="","Proprietário; ","")&amp;IF(C898="","Origem; ","")&amp;IF(D898="","Temperatura; ","")&amp;IF(E898="","Segmento; ","")&amp;IF(F898="","Time/Cluster; ","")&amp;IF(G898="","CNPJ; ","")&amp;IF(H898="","Razão Social; ","")&amp;IF(AND(J898="",K898=""),"nome do contato; ","")&amp;IF(AND(M898="",N898="",O898=""),"telefone, celular ou e-mail; ","")))</f>
      </c>
      <c r="AB898" s="6">
        <f>IF(COUNTA(A898:S898)=0,"",IF(AND(U898="OK",V898="OK",LEFT(W898,4)&lt;&gt;"ERRO",LEFT(X898,4)&lt;&gt;"ERRO",LEFT(Y898,4)&lt;&gt;"ERRO",AA898="OK"),"OK","REVISAR"))</f>
      </c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5"/>
      <c r="K899" s="4"/>
      <c r="L899" s="4"/>
      <c r="M899" s="4"/>
      <c r="N899" s="4"/>
      <c r="O899" s="4"/>
      <c r="P899" s="4"/>
      <c r="Q899" s="4"/>
      <c r="R899" s="4"/>
      <c r="S899" s="4"/>
      <c r="T899" s="6">
        <f>IF(G899="","",SUBSTITUTE(SUBSTITUTE(SUBSTITUTE(SUBSTITUTE(SUBSTITUTE(SUBSTITUTE(SUBSTITUTE(TRIM(G899),".",""),"/",""),"-","")," ",""),"(",""),")",""),"+",""))</f>
      </c>
      <c r="U899" s="6">
        <f>IF(T899="","",IF(LEN(T899)&lt;&gt;14,"ERRO: "&amp;LEN(T899)&amp;" dígitos",IF(NOT(ISNUMBER(VALUE(T899))),"ERRO: não numérico",IF(LEN(SUBSTITUTE(T899,LEFT(T899,1),""))=0,"ERRO: dígitos repetidos",IF(AND(VALUE(MID(T899,13,1))=IF(MOD(SUMPRODUCT(--MID(T899,{1,2,3,4,5,6,7,8,9,10,11,12},1),{5,4,3,2,9,8,7,6,5,4,3,2}),11)&lt;2,0,11-MOD(SUMPRODUCT(--MID(T899,{1,2,3,4,5,6,7,8,9,10,11,12},1),{5,4,3,2,9,8,7,6,5,4,3,2}),11)),VALUE(MID(T899,14,1))=IF(MOD(SUMPRODUCT(--MID(T899,{1,2,3,4,5,6,7,8,9,10,11,12,13},1),{6,5,4,3,2,9,8,7,6,5,4,3,2}),11)&lt;2,0,11-MOD(SUMPRODUCT(--MID(T899,{1,2,3,4,5,6,7,8,9,10,11,12,13},1),{6,5,4,3,2,9,8,7,6,5,4,3,2}),11))),"OK","ERRO: dígito verificador")))))</f>
      </c>
      <c r="V899" s="6">
        <f>IF(T899="","",IF(COUNTIF($T$2:$T$1001,T899)&gt;1,"DUPLICADO","OK"))</f>
      </c>
      <c r="W899" s="6">
        <f>IF(M899="","vazio",IF(OR(AND(LEN(SUBSTITUTE(SUBSTITUTE(SUBSTITUTE(SUBSTITUTE(SUBSTITUTE(SUBSTITUTE(SUBSTITUTE(TRIM(M899),".",""),"/",""),"-","")," ",""),"(",""),")",""),"+",""))=10,LEFT(SUBSTITUTE(SUBSTITUTE(SUBSTITUTE(SUBSTITUTE(SUBSTITUTE(SUBSTITUTE(SUBSTITUTE(TRIM(M899),".",""),"/",""),"-","")," ",""),"(",""),")",""),"+",""),1)&lt;&gt;"0"),AND(LEN(SUBSTITUTE(SUBSTITUTE(SUBSTITUTE(SUBSTITUTE(SUBSTITUTE(SUBSTITUTE(SUBSTITUTE(TRIM(M899),".",""),"/",""),"-","")," ",""),"(",""),")",""),"+",""))=11,LEFT(SUBSTITUTE(SUBSTITUTE(SUBSTITUTE(SUBSTITUTE(SUBSTITUTE(SUBSTITUTE(SUBSTITUTE(TRIM(M899),".",""),"/",""),"-","")," ",""),"(",""),")",""),"+",""),4)="0800")),"OK",IF(AND(LEN(SUBSTITUTE(SUBSTITUTE(SUBSTITUTE(SUBSTITUTE(SUBSTITUTE(SUBSTITUTE(SUBSTITUTE(TRIM(M899),".",""),"/",""),"-","")," ",""),"(",""),")",""),"+",""))=11,MID(SUBSTITUTE(SUBSTITUTE(SUBSTITUTE(SUBSTITUTE(SUBSTITUTE(SUBSTITUTE(SUBSTITUTE(TRIM(M899),".",""),"/",""),"-","")," ",""),"(",""),")",""),"+",""),3,1)="9"),"ERRO: é celular, use a coluna Celular","ERRO: DDD + 8 dígitos ou 0800 + 7")))</f>
      </c>
      <c r="X899" s="6">
        <f>IF(N899="","vazio",IF(AND(LEN(SUBSTITUTE(SUBSTITUTE(SUBSTITUTE(SUBSTITUTE(SUBSTITUTE(SUBSTITUTE(SUBSTITUTE(TRIM(N899),".",""),"/",""),"-","")," ",""),"(",""),")",""),"+",""))=11,MID(SUBSTITUTE(SUBSTITUTE(SUBSTITUTE(SUBSTITUTE(SUBSTITUTE(SUBSTITUTE(SUBSTITUTE(TRIM(N899),".",""),"/",""),"-","")," ",""),"(",""),")",""),"+",""),3,1)="9",LEFT(SUBSTITUTE(SUBSTITUTE(SUBSTITUTE(SUBSTITUTE(SUBSTITUTE(SUBSTITUTE(SUBSTITUTE(TRIM(N899),".",""),"/",""),"-","")," ",""),"(",""),")",""),"+",""),1)&lt;&gt;"0"),"OK",IF(LEN(SUBSTITUTE(SUBSTITUTE(SUBSTITUTE(SUBSTITUTE(SUBSTITUTE(SUBSTITUTE(SUBSTITUTE(TRIM(N899),".",""),"/",""),"-","")," ",""),"(",""),")",""),"+",""))=10,"ERRO: é fixo (ou falta o 9), use a coluna Telefone fixo","ERRO: DDD + 9 + 8 dígitos")))</f>
      </c>
      <c r="Y899" s="6">
        <f>IF(O899="","vazio",IF(AND(ISNUMBER(FIND("@",O899)),ISNUMBER(FIND(".",MID(O899,FIND("@",O899),99))),NOT(ISNUMBER(FIND(" ",TRIM(O899)))),NOT(ISNUMBER(FIND(";",O899))),NOT(ISNUMBER(FIND(",",O899)))),"OK","ERRO: um e-mail válido por linha"))</f>
      </c>
      <c r="Z899" s="6">
        <f>IF(AND(J899="",K899=""),"",IF(AND(J899&lt;&gt;"",K899&lt;&gt;""),"OK","pendente: só um nome (o GR completa ao converter)"))</f>
      </c>
      <c r="AA899" s="6">
        <f>IF(COUNTA(A899:S899)=0,"",IF(AND(A899&lt;&gt;"",B899&lt;&gt;"",C899&lt;&gt;"",D899&lt;&gt;"",E899&lt;&gt;"",F899&lt;&gt;"",G899&lt;&gt;"",H899&lt;&gt;"",OR(J899&lt;&gt;"",K899&lt;&gt;""),OR(M899&lt;&gt;"",N899&lt;&gt;"",O899&lt;&gt;"")),"OK","ERRO: faltam "&amp;IF(A899="","SDR; ","")&amp;IF(B899="","Proprietário; ","")&amp;IF(C899="","Origem; ","")&amp;IF(D899="","Temperatura; ","")&amp;IF(E899="","Segmento; ","")&amp;IF(F899="","Time/Cluster; ","")&amp;IF(G899="","CNPJ; ","")&amp;IF(H899="","Razão Social; ","")&amp;IF(AND(J899="",K899=""),"nome do contato; ","")&amp;IF(AND(M899="",N899="",O899=""),"telefone, celular ou e-mail; ","")))</f>
      </c>
      <c r="AB899" s="6">
        <f>IF(COUNTA(A899:S899)=0,"",IF(AND(U899="OK",V899="OK",LEFT(W899,4)&lt;&gt;"ERRO",LEFT(X899,4)&lt;&gt;"ERRO",LEFT(Y899,4)&lt;&gt;"ERRO",AA899="OK"),"OK","REVISAR"))</f>
      </c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5"/>
      <c r="K900" s="4"/>
      <c r="L900" s="4"/>
      <c r="M900" s="4"/>
      <c r="N900" s="4"/>
      <c r="O900" s="4"/>
      <c r="P900" s="4"/>
      <c r="Q900" s="4"/>
      <c r="R900" s="4"/>
      <c r="S900" s="4"/>
      <c r="T900" s="6">
        <f>IF(G900="","",SUBSTITUTE(SUBSTITUTE(SUBSTITUTE(SUBSTITUTE(SUBSTITUTE(SUBSTITUTE(SUBSTITUTE(TRIM(G900),".",""),"/",""),"-","")," ",""),"(",""),")",""),"+",""))</f>
      </c>
      <c r="U900" s="6">
        <f>IF(T900="","",IF(LEN(T900)&lt;&gt;14,"ERRO: "&amp;LEN(T900)&amp;" dígitos",IF(NOT(ISNUMBER(VALUE(T900))),"ERRO: não numérico",IF(LEN(SUBSTITUTE(T900,LEFT(T900,1),""))=0,"ERRO: dígitos repetidos",IF(AND(VALUE(MID(T900,13,1))=IF(MOD(SUMPRODUCT(--MID(T900,{1,2,3,4,5,6,7,8,9,10,11,12},1),{5,4,3,2,9,8,7,6,5,4,3,2}),11)&lt;2,0,11-MOD(SUMPRODUCT(--MID(T900,{1,2,3,4,5,6,7,8,9,10,11,12},1),{5,4,3,2,9,8,7,6,5,4,3,2}),11)),VALUE(MID(T900,14,1))=IF(MOD(SUMPRODUCT(--MID(T900,{1,2,3,4,5,6,7,8,9,10,11,12,13},1),{6,5,4,3,2,9,8,7,6,5,4,3,2}),11)&lt;2,0,11-MOD(SUMPRODUCT(--MID(T900,{1,2,3,4,5,6,7,8,9,10,11,12,13},1),{6,5,4,3,2,9,8,7,6,5,4,3,2}),11))),"OK","ERRO: dígito verificador")))))</f>
      </c>
      <c r="V900" s="6">
        <f>IF(T900="","",IF(COUNTIF($T$2:$T$1001,T900)&gt;1,"DUPLICADO","OK"))</f>
      </c>
      <c r="W900" s="6">
        <f>IF(M900="","vazio",IF(OR(AND(LEN(SUBSTITUTE(SUBSTITUTE(SUBSTITUTE(SUBSTITUTE(SUBSTITUTE(SUBSTITUTE(SUBSTITUTE(TRIM(M900),".",""),"/",""),"-","")," ",""),"(",""),")",""),"+",""))=10,LEFT(SUBSTITUTE(SUBSTITUTE(SUBSTITUTE(SUBSTITUTE(SUBSTITUTE(SUBSTITUTE(SUBSTITUTE(TRIM(M900),".",""),"/",""),"-","")," ",""),"(",""),")",""),"+",""),1)&lt;&gt;"0"),AND(LEN(SUBSTITUTE(SUBSTITUTE(SUBSTITUTE(SUBSTITUTE(SUBSTITUTE(SUBSTITUTE(SUBSTITUTE(TRIM(M900),".",""),"/",""),"-","")," ",""),"(",""),")",""),"+",""))=11,LEFT(SUBSTITUTE(SUBSTITUTE(SUBSTITUTE(SUBSTITUTE(SUBSTITUTE(SUBSTITUTE(SUBSTITUTE(TRIM(M900),".",""),"/",""),"-","")," ",""),"(",""),")",""),"+",""),4)="0800")),"OK",IF(AND(LEN(SUBSTITUTE(SUBSTITUTE(SUBSTITUTE(SUBSTITUTE(SUBSTITUTE(SUBSTITUTE(SUBSTITUTE(TRIM(M900),".",""),"/",""),"-","")," ",""),"(",""),")",""),"+",""))=11,MID(SUBSTITUTE(SUBSTITUTE(SUBSTITUTE(SUBSTITUTE(SUBSTITUTE(SUBSTITUTE(SUBSTITUTE(TRIM(M900),".",""),"/",""),"-","")," ",""),"(",""),")",""),"+",""),3,1)="9"),"ERRO: é celular, use a coluna Celular","ERRO: DDD + 8 dígitos ou 0800 + 7")))</f>
      </c>
      <c r="X900" s="6">
        <f>IF(N900="","vazio",IF(AND(LEN(SUBSTITUTE(SUBSTITUTE(SUBSTITUTE(SUBSTITUTE(SUBSTITUTE(SUBSTITUTE(SUBSTITUTE(TRIM(N900),".",""),"/",""),"-","")," ",""),"(",""),")",""),"+",""))=11,MID(SUBSTITUTE(SUBSTITUTE(SUBSTITUTE(SUBSTITUTE(SUBSTITUTE(SUBSTITUTE(SUBSTITUTE(TRIM(N900),".",""),"/",""),"-","")," ",""),"(",""),")",""),"+",""),3,1)="9",LEFT(SUBSTITUTE(SUBSTITUTE(SUBSTITUTE(SUBSTITUTE(SUBSTITUTE(SUBSTITUTE(SUBSTITUTE(TRIM(N900),".",""),"/",""),"-","")," ",""),"(",""),")",""),"+",""),1)&lt;&gt;"0"),"OK",IF(LEN(SUBSTITUTE(SUBSTITUTE(SUBSTITUTE(SUBSTITUTE(SUBSTITUTE(SUBSTITUTE(SUBSTITUTE(TRIM(N900),".",""),"/",""),"-","")," ",""),"(",""),")",""),"+",""))=10,"ERRO: é fixo (ou falta o 9), use a coluna Telefone fixo","ERRO: DDD + 9 + 8 dígitos")))</f>
      </c>
      <c r="Y900" s="6">
        <f>IF(O900="","vazio",IF(AND(ISNUMBER(FIND("@",O900)),ISNUMBER(FIND(".",MID(O900,FIND("@",O900),99))),NOT(ISNUMBER(FIND(" ",TRIM(O900)))),NOT(ISNUMBER(FIND(";",O900))),NOT(ISNUMBER(FIND(",",O900)))),"OK","ERRO: um e-mail válido por linha"))</f>
      </c>
      <c r="Z900" s="6">
        <f>IF(AND(J900="",K900=""),"",IF(AND(J900&lt;&gt;"",K900&lt;&gt;""),"OK","pendente: só um nome (o GR completa ao converter)"))</f>
      </c>
      <c r="AA900" s="6">
        <f>IF(COUNTA(A900:S900)=0,"",IF(AND(A900&lt;&gt;"",B900&lt;&gt;"",C900&lt;&gt;"",D900&lt;&gt;"",E900&lt;&gt;"",F900&lt;&gt;"",G900&lt;&gt;"",H900&lt;&gt;"",OR(J900&lt;&gt;"",K900&lt;&gt;""),OR(M900&lt;&gt;"",N900&lt;&gt;"",O900&lt;&gt;"")),"OK","ERRO: faltam "&amp;IF(A900="","SDR; ","")&amp;IF(B900="","Proprietário; ","")&amp;IF(C900="","Origem; ","")&amp;IF(D900="","Temperatura; ","")&amp;IF(E900="","Segmento; ","")&amp;IF(F900="","Time/Cluster; ","")&amp;IF(G900="","CNPJ; ","")&amp;IF(H900="","Razão Social; ","")&amp;IF(AND(J900="",K900=""),"nome do contato; ","")&amp;IF(AND(M900="",N900="",O900=""),"telefone, celular ou e-mail; ","")))</f>
      </c>
      <c r="AB900" s="6">
        <f>IF(COUNTA(A900:S900)=0,"",IF(AND(U900="OK",V900="OK",LEFT(W900,4)&lt;&gt;"ERRO",LEFT(X900,4)&lt;&gt;"ERRO",LEFT(Y900,4)&lt;&gt;"ERRO",AA900="OK"),"OK","REVISAR"))</f>
      </c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5"/>
      <c r="K901" s="4"/>
      <c r="L901" s="4"/>
      <c r="M901" s="4"/>
      <c r="N901" s="4"/>
      <c r="O901" s="4"/>
      <c r="P901" s="4"/>
      <c r="Q901" s="4"/>
      <c r="R901" s="4"/>
      <c r="S901" s="4"/>
      <c r="T901" s="6">
        <f>IF(G901="","",SUBSTITUTE(SUBSTITUTE(SUBSTITUTE(SUBSTITUTE(SUBSTITUTE(SUBSTITUTE(SUBSTITUTE(TRIM(G901),".",""),"/",""),"-","")," ",""),"(",""),")",""),"+",""))</f>
      </c>
      <c r="U901" s="6">
        <f>IF(T901="","",IF(LEN(T901)&lt;&gt;14,"ERRO: "&amp;LEN(T901)&amp;" dígitos",IF(NOT(ISNUMBER(VALUE(T901))),"ERRO: não numérico",IF(LEN(SUBSTITUTE(T901,LEFT(T901,1),""))=0,"ERRO: dígitos repetidos",IF(AND(VALUE(MID(T901,13,1))=IF(MOD(SUMPRODUCT(--MID(T901,{1,2,3,4,5,6,7,8,9,10,11,12},1),{5,4,3,2,9,8,7,6,5,4,3,2}),11)&lt;2,0,11-MOD(SUMPRODUCT(--MID(T901,{1,2,3,4,5,6,7,8,9,10,11,12},1),{5,4,3,2,9,8,7,6,5,4,3,2}),11)),VALUE(MID(T901,14,1))=IF(MOD(SUMPRODUCT(--MID(T901,{1,2,3,4,5,6,7,8,9,10,11,12,13},1),{6,5,4,3,2,9,8,7,6,5,4,3,2}),11)&lt;2,0,11-MOD(SUMPRODUCT(--MID(T901,{1,2,3,4,5,6,7,8,9,10,11,12,13},1),{6,5,4,3,2,9,8,7,6,5,4,3,2}),11))),"OK","ERRO: dígito verificador")))))</f>
      </c>
      <c r="V901" s="6">
        <f>IF(T901="","",IF(COUNTIF($T$2:$T$1001,T901)&gt;1,"DUPLICADO","OK"))</f>
      </c>
      <c r="W901" s="6">
        <f>IF(M901="","vazio",IF(OR(AND(LEN(SUBSTITUTE(SUBSTITUTE(SUBSTITUTE(SUBSTITUTE(SUBSTITUTE(SUBSTITUTE(SUBSTITUTE(TRIM(M901),".",""),"/",""),"-","")," ",""),"(",""),")",""),"+",""))=10,LEFT(SUBSTITUTE(SUBSTITUTE(SUBSTITUTE(SUBSTITUTE(SUBSTITUTE(SUBSTITUTE(SUBSTITUTE(TRIM(M901),".",""),"/",""),"-","")," ",""),"(",""),")",""),"+",""),1)&lt;&gt;"0"),AND(LEN(SUBSTITUTE(SUBSTITUTE(SUBSTITUTE(SUBSTITUTE(SUBSTITUTE(SUBSTITUTE(SUBSTITUTE(TRIM(M901),".",""),"/",""),"-","")," ",""),"(",""),")",""),"+",""))=11,LEFT(SUBSTITUTE(SUBSTITUTE(SUBSTITUTE(SUBSTITUTE(SUBSTITUTE(SUBSTITUTE(SUBSTITUTE(TRIM(M901),".",""),"/",""),"-","")," ",""),"(",""),")",""),"+",""),4)="0800")),"OK",IF(AND(LEN(SUBSTITUTE(SUBSTITUTE(SUBSTITUTE(SUBSTITUTE(SUBSTITUTE(SUBSTITUTE(SUBSTITUTE(TRIM(M901),".",""),"/",""),"-","")," ",""),"(",""),")",""),"+",""))=11,MID(SUBSTITUTE(SUBSTITUTE(SUBSTITUTE(SUBSTITUTE(SUBSTITUTE(SUBSTITUTE(SUBSTITUTE(TRIM(M901),".",""),"/",""),"-","")," ",""),"(",""),")",""),"+",""),3,1)="9"),"ERRO: é celular, use a coluna Celular","ERRO: DDD + 8 dígitos ou 0800 + 7")))</f>
      </c>
      <c r="X901" s="6">
        <f>IF(N901="","vazio",IF(AND(LEN(SUBSTITUTE(SUBSTITUTE(SUBSTITUTE(SUBSTITUTE(SUBSTITUTE(SUBSTITUTE(SUBSTITUTE(TRIM(N901),".",""),"/",""),"-","")," ",""),"(",""),")",""),"+",""))=11,MID(SUBSTITUTE(SUBSTITUTE(SUBSTITUTE(SUBSTITUTE(SUBSTITUTE(SUBSTITUTE(SUBSTITUTE(TRIM(N901),".",""),"/",""),"-","")," ",""),"(",""),")",""),"+",""),3,1)="9",LEFT(SUBSTITUTE(SUBSTITUTE(SUBSTITUTE(SUBSTITUTE(SUBSTITUTE(SUBSTITUTE(SUBSTITUTE(TRIM(N901),".",""),"/",""),"-","")," ",""),"(",""),")",""),"+",""),1)&lt;&gt;"0"),"OK",IF(LEN(SUBSTITUTE(SUBSTITUTE(SUBSTITUTE(SUBSTITUTE(SUBSTITUTE(SUBSTITUTE(SUBSTITUTE(TRIM(N901),".",""),"/",""),"-","")," ",""),"(",""),")",""),"+",""))=10,"ERRO: é fixo (ou falta o 9), use a coluna Telefone fixo","ERRO: DDD + 9 + 8 dígitos")))</f>
      </c>
      <c r="Y901" s="6">
        <f>IF(O901="","vazio",IF(AND(ISNUMBER(FIND("@",O901)),ISNUMBER(FIND(".",MID(O901,FIND("@",O901),99))),NOT(ISNUMBER(FIND(" ",TRIM(O901)))),NOT(ISNUMBER(FIND(";",O901))),NOT(ISNUMBER(FIND(",",O901)))),"OK","ERRO: um e-mail válido por linha"))</f>
      </c>
      <c r="Z901" s="6">
        <f>IF(AND(J901="",K901=""),"",IF(AND(J901&lt;&gt;"",K901&lt;&gt;""),"OK","pendente: só um nome (o GR completa ao converter)"))</f>
      </c>
      <c r="AA901" s="6">
        <f>IF(COUNTA(A901:S901)=0,"",IF(AND(A901&lt;&gt;"",B901&lt;&gt;"",C901&lt;&gt;"",D901&lt;&gt;"",E901&lt;&gt;"",F901&lt;&gt;"",G901&lt;&gt;"",H901&lt;&gt;"",OR(J901&lt;&gt;"",K901&lt;&gt;""),OR(M901&lt;&gt;"",N901&lt;&gt;"",O901&lt;&gt;"")),"OK","ERRO: faltam "&amp;IF(A901="","SDR; ","")&amp;IF(B901="","Proprietário; ","")&amp;IF(C901="","Origem; ","")&amp;IF(D901="","Temperatura; ","")&amp;IF(E901="","Segmento; ","")&amp;IF(F901="","Time/Cluster; ","")&amp;IF(G901="","CNPJ; ","")&amp;IF(H901="","Razão Social; ","")&amp;IF(AND(J901="",K901=""),"nome do contato; ","")&amp;IF(AND(M901="",N901="",O901=""),"telefone, celular ou e-mail; ","")))</f>
      </c>
      <c r="AB901" s="6">
        <f>IF(COUNTA(A901:S901)=0,"",IF(AND(U901="OK",V901="OK",LEFT(W901,4)&lt;&gt;"ERRO",LEFT(X901,4)&lt;&gt;"ERRO",LEFT(Y901,4)&lt;&gt;"ERRO",AA901="OK"),"OK","REVISAR"))</f>
      </c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5"/>
      <c r="K902" s="4"/>
      <c r="L902" s="4"/>
      <c r="M902" s="4"/>
      <c r="N902" s="4"/>
      <c r="O902" s="4"/>
      <c r="P902" s="4"/>
      <c r="Q902" s="4"/>
      <c r="R902" s="4"/>
      <c r="S902" s="4"/>
      <c r="T902" s="6">
        <f>IF(G902="","",SUBSTITUTE(SUBSTITUTE(SUBSTITUTE(SUBSTITUTE(SUBSTITUTE(SUBSTITUTE(SUBSTITUTE(TRIM(G902),".",""),"/",""),"-","")," ",""),"(",""),")",""),"+",""))</f>
      </c>
      <c r="U902" s="6">
        <f>IF(T902="","",IF(LEN(T902)&lt;&gt;14,"ERRO: "&amp;LEN(T902)&amp;" dígitos",IF(NOT(ISNUMBER(VALUE(T902))),"ERRO: não numérico",IF(LEN(SUBSTITUTE(T902,LEFT(T902,1),""))=0,"ERRO: dígitos repetidos",IF(AND(VALUE(MID(T902,13,1))=IF(MOD(SUMPRODUCT(--MID(T902,{1,2,3,4,5,6,7,8,9,10,11,12},1),{5,4,3,2,9,8,7,6,5,4,3,2}),11)&lt;2,0,11-MOD(SUMPRODUCT(--MID(T902,{1,2,3,4,5,6,7,8,9,10,11,12},1),{5,4,3,2,9,8,7,6,5,4,3,2}),11)),VALUE(MID(T902,14,1))=IF(MOD(SUMPRODUCT(--MID(T902,{1,2,3,4,5,6,7,8,9,10,11,12,13},1),{6,5,4,3,2,9,8,7,6,5,4,3,2}),11)&lt;2,0,11-MOD(SUMPRODUCT(--MID(T902,{1,2,3,4,5,6,7,8,9,10,11,12,13},1),{6,5,4,3,2,9,8,7,6,5,4,3,2}),11))),"OK","ERRO: dígito verificador")))))</f>
      </c>
      <c r="V902" s="6">
        <f>IF(T902="","",IF(COUNTIF($T$2:$T$1001,T902)&gt;1,"DUPLICADO","OK"))</f>
      </c>
      <c r="W902" s="6">
        <f>IF(M902="","vazio",IF(OR(AND(LEN(SUBSTITUTE(SUBSTITUTE(SUBSTITUTE(SUBSTITUTE(SUBSTITUTE(SUBSTITUTE(SUBSTITUTE(TRIM(M902),".",""),"/",""),"-","")," ",""),"(",""),")",""),"+",""))=10,LEFT(SUBSTITUTE(SUBSTITUTE(SUBSTITUTE(SUBSTITUTE(SUBSTITUTE(SUBSTITUTE(SUBSTITUTE(TRIM(M902),".",""),"/",""),"-","")," ",""),"(",""),")",""),"+",""),1)&lt;&gt;"0"),AND(LEN(SUBSTITUTE(SUBSTITUTE(SUBSTITUTE(SUBSTITUTE(SUBSTITUTE(SUBSTITUTE(SUBSTITUTE(TRIM(M902),".",""),"/",""),"-","")," ",""),"(",""),")",""),"+",""))=11,LEFT(SUBSTITUTE(SUBSTITUTE(SUBSTITUTE(SUBSTITUTE(SUBSTITUTE(SUBSTITUTE(SUBSTITUTE(TRIM(M902),".",""),"/",""),"-","")," ",""),"(",""),")",""),"+",""),4)="0800")),"OK",IF(AND(LEN(SUBSTITUTE(SUBSTITUTE(SUBSTITUTE(SUBSTITUTE(SUBSTITUTE(SUBSTITUTE(SUBSTITUTE(TRIM(M902),".",""),"/",""),"-","")," ",""),"(",""),")",""),"+",""))=11,MID(SUBSTITUTE(SUBSTITUTE(SUBSTITUTE(SUBSTITUTE(SUBSTITUTE(SUBSTITUTE(SUBSTITUTE(TRIM(M902),".",""),"/",""),"-","")," ",""),"(",""),")",""),"+",""),3,1)="9"),"ERRO: é celular, use a coluna Celular","ERRO: DDD + 8 dígitos ou 0800 + 7")))</f>
      </c>
      <c r="X902" s="6">
        <f>IF(N902="","vazio",IF(AND(LEN(SUBSTITUTE(SUBSTITUTE(SUBSTITUTE(SUBSTITUTE(SUBSTITUTE(SUBSTITUTE(SUBSTITUTE(TRIM(N902),".",""),"/",""),"-","")," ",""),"(",""),")",""),"+",""))=11,MID(SUBSTITUTE(SUBSTITUTE(SUBSTITUTE(SUBSTITUTE(SUBSTITUTE(SUBSTITUTE(SUBSTITUTE(TRIM(N902),".",""),"/",""),"-","")," ",""),"(",""),")",""),"+",""),3,1)="9",LEFT(SUBSTITUTE(SUBSTITUTE(SUBSTITUTE(SUBSTITUTE(SUBSTITUTE(SUBSTITUTE(SUBSTITUTE(TRIM(N902),".",""),"/",""),"-","")," ",""),"(",""),")",""),"+",""),1)&lt;&gt;"0"),"OK",IF(LEN(SUBSTITUTE(SUBSTITUTE(SUBSTITUTE(SUBSTITUTE(SUBSTITUTE(SUBSTITUTE(SUBSTITUTE(TRIM(N902),".",""),"/",""),"-","")," ",""),"(",""),")",""),"+",""))=10,"ERRO: é fixo (ou falta o 9), use a coluna Telefone fixo","ERRO: DDD + 9 + 8 dígitos")))</f>
      </c>
      <c r="Y902" s="6">
        <f>IF(O902="","vazio",IF(AND(ISNUMBER(FIND("@",O902)),ISNUMBER(FIND(".",MID(O902,FIND("@",O902),99))),NOT(ISNUMBER(FIND(" ",TRIM(O902)))),NOT(ISNUMBER(FIND(";",O902))),NOT(ISNUMBER(FIND(",",O902)))),"OK","ERRO: um e-mail válido por linha"))</f>
      </c>
      <c r="Z902" s="6">
        <f>IF(AND(J902="",K902=""),"",IF(AND(J902&lt;&gt;"",K902&lt;&gt;""),"OK","pendente: só um nome (o GR completa ao converter)"))</f>
      </c>
      <c r="AA902" s="6">
        <f>IF(COUNTA(A902:S902)=0,"",IF(AND(A902&lt;&gt;"",B902&lt;&gt;"",C902&lt;&gt;"",D902&lt;&gt;"",E902&lt;&gt;"",F902&lt;&gt;"",G902&lt;&gt;"",H902&lt;&gt;"",OR(J902&lt;&gt;"",K902&lt;&gt;""),OR(M902&lt;&gt;"",N902&lt;&gt;"",O902&lt;&gt;"")),"OK","ERRO: faltam "&amp;IF(A902="","SDR; ","")&amp;IF(B902="","Proprietário; ","")&amp;IF(C902="","Origem; ","")&amp;IF(D902="","Temperatura; ","")&amp;IF(E902="","Segmento; ","")&amp;IF(F902="","Time/Cluster; ","")&amp;IF(G902="","CNPJ; ","")&amp;IF(H902="","Razão Social; ","")&amp;IF(AND(J902="",K902=""),"nome do contato; ","")&amp;IF(AND(M902="",N902="",O902=""),"telefone, celular ou e-mail; ","")))</f>
      </c>
      <c r="AB902" s="6">
        <f>IF(COUNTA(A902:S902)=0,"",IF(AND(U902="OK",V902="OK",LEFT(W902,4)&lt;&gt;"ERRO",LEFT(X902,4)&lt;&gt;"ERRO",LEFT(Y902,4)&lt;&gt;"ERRO",AA902="OK"),"OK","REVISAR"))</f>
      </c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5"/>
      <c r="K903" s="4"/>
      <c r="L903" s="4"/>
      <c r="M903" s="4"/>
      <c r="N903" s="4"/>
      <c r="O903" s="4"/>
      <c r="P903" s="4"/>
      <c r="Q903" s="4"/>
      <c r="R903" s="4"/>
      <c r="S903" s="4"/>
      <c r="T903" s="6">
        <f>IF(G903="","",SUBSTITUTE(SUBSTITUTE(SUBSTITUTE(SUBSTITUTE(SUBSTITUTE(SUBSTITUTE(SUBSTITUTE(TRIM(G903),".",""),"/",""),"-","")," ",""),"(",""),")",""),"+",""))</f>
      </c>
      <c r="U903" s="6">
        <f>IF(T903="","",IF(LEN(T903)&lt;&gt;14,"ERRO: "&amp;LEN(T903)&amp;" dígitos",IF(NOT(ISNUMBER(VALUE(T903))),"ERRO: não numérico",IF(LEN(SUBSTITUTE(T903,LEFT(T903,1),""))=0,"ERRO: dígitos repetidos",IF(AND(VALUE(MID(T903,13,1))=IF(MOD(SUMPRODUCT(--MID(T903,{1,2,3,4,5,6,7,8,9,10,11,12},1),{5,4,3,2,9,8,7,6,5,4,3,2}),11)&lt;2,0,11-MOD(SUMPRODUCT(--MID(T903,{1,2,3,4,5,6,7,8,9,10,11,12},1),{5,4,3,2,9,8,7,6,5,4,3,2}),11)),VALUE(MID(T903,14,1))=IF(MOD(SUMPRODUCT(--MID(T903,{1,2,3,4,5,6,7,8,9,10,11,12,13},1),{6,5,4,3,2,9,8,7,6,5,4,3,2}),11)&lt;2,0,11-MOD(SUMPRODUCT(--MID(T903,{1,2,3,4,5,6,7,8,9,10,11,12,13},1),{6,5,4,3,2,9,8,7,6,5,4,3,2}),11))),"OK","ERRO: dígito verificador")))))</f>
      </c>
      <c r="V903" s="6">
        <f>IF(T903="","",IF(COUNTIF($T$2:$T$1001,T903)&gt;1,"DUPLICADO","OK"))</f>
      </c>
      <c r="W903" s="6">
        <f>IF(M903="","vazio",IF(OR(AND(LEN(SUBSTITUTE(SUBSTITUTE(SUBSTITUTE(SUBSTITUTE(SUBSTITUTE(SUBSTITUTE(SUBSTITUTE(TRIM(M903),".",""),"/",""),"-","")," ",""),"(",""),")",""),"+",""))=10,LEFT(SUBSTITUTE(SUBSTITUTE(SUBSTITUTE(SUBSTITUTE(SUBSTITUTE(SUBSTITUTE(SUBSTITUTE(TRIM(M903),".",""),"/",""),"-","")," ",""),"(",""),")",""),"+",""),1)&lt;&gt;"0"),AND(LEN(SUBSTITUTE(SUBSTITUTE(SUBSTITUTE(SUBSTITUTE(SUBSTITUTE(SUBSTITUTE(SUBSTITUTE(TRIM(M903),".",""),"/",""),"-","")," ",""),"(",""),")",""),"+",""))=11,LEFT(SUBSTITUTE(SUBSTITUTE(SUBSTITUTE(SUBSTITUTE(SUBSTITUTE(SUBSTITUTE(SUBSTITUTE(TRIM(M903),".",""),"/",""),"-","")," ",""),"(",""),")",""),"+",""),4)="0800")),"OK",IF(AND(LEN(SUBSTITUTE(SUBSTITUTE(SUBSTITUTE(SUBSTITUTE(SUBSTITUTE(SUBSTITUTE(SUBSTITUTE(TRIM(M903),".",""),"/",""),"-","")," ",""),"(",""),")",""),"+",""))=11,MID(SUBSTITUTE(SUBSTITUTE(SUBSTITUTE(SUBSTITUTE(SUBSTITUTE(SUBSTITUTE(SUBSTITUTE(TRIM(M903),".",""),"/",""),"-","")," ",""),"(",""),")",""),"+",""),3,1)="9"),"ERRO: é celular, use a coluna Celular","ERRO: DDD + 8 dígitos ou 0800 + 7")))</f>
      </c>
      <c r="X903" s="6">
        <f>IF(N903="","vazio",IF(AND(LEN(SUBSTITUTE(SUBSTITUTE(SUBSTITUTE(SUBSTITUTE(SUBSTITUTE(SUBSTITUTE(SUBSTITUTE(TRIM(N903),".",""),"/",""),"-","")," ",""),"(",""),")",""),"+",""))=11,MID(SUBSTITUTE(SUBSTITUTE(SUBSTITUTE(SUBSTITUTE(SUBSTITUTE(SUBSTITUTE(SUBSTITUTE(TRIM(N903),".",""),"/",""),"-","")," ",""),"(",""),")",""),"+",""),3,1)="9",LEFT(SUBSTITUTE(SUBSTITUTE(SUBSTITUTE(SUBSTITUTE(SUBSTITUTE(SUBSTITUTE(SUBSTITUTE(TRIM(N903),".",""),"/",""),"-","")," ",""),"(",""),")",""),"+",""),1)&lt;&gt;"0"),"OK",IF(LEN(SUBSTITUTE(SUBSTITUTE(SUBSTITUTE(SUBSTITUTE(SUBSTITUTE(SUBSTITUTE(SUBSTITUTE(TRIM(N903),".",""),"/",""),"-","")," ",""),"(",""),")",""),"+",""))=10,"ERRO: é fixo (ou falta o 9), use a coluna Telefone fixo","ERRO: DDD + 9 + 8 dígitos")))</f>
      </c>
      <c r="Y903" s="6">
        <f>IF(O903="","vazio",IF(AND(ISNUMBER(FIND("@",O903)),ISNUMBER(FIND(".",MID(O903,FIND("@",O903),99))),NOT(ISNUMBER(FIND(" ",TRIM(O903)))),NOT(ISNUMBER(FIND(";",O903))),NOT(ISNUMBER(FIND(",",O903)))),"OK","ERRO: um e-mail válido por linha"))</f>
      </c>
      <c r="Z903" s="6">
        <f>IF(AND(J903="",K903=""),"",IF(AND(J903&lt;&gt;"",K903&lt;&gt;""),"OK","pendente: só um nome (o GR completa ao converter)"))</f>
      </c>
      <c r="AA903" s="6">
        <f>IF(COUNTA(A903:S903)=0,"",IF(AND(A903&lt;&gt;"",B903&lt;&gt;"",C903&lt;&gt;"",D903&lt;&gt;"",E903&lt;&gt;"",F903&lt;&gt;"",G903&lt;&gt;"",H903&lt;&gt;"",OR(J903&lt;&gt;"",K903&lt;&gt;""),OR(M903&lt;&gt;"",N903&lt;&gt;"",O903&lt;&gt;"")),"OK","ERRO: faltam "&amp;IF(A903="","SDR; ","")&amp;IF(B903="","Proprietário; ","")&amp;IF(C903="","Origem; ","")&amp;IF(D903="","Temperatura; ","")&amp;IF(E903="","Segmento; ","")&amp;IF(F903="","Time/Cluster; ","")&amp;IF(G903="","CNPJ; ","")&amp;IF(H903="","Razão Social; ","")&amp;IF(AND(J903="",K903=""),"nome do contato; ","")&amp;IF(AND(M903="",N903="",O903=""),"telefone, celular ou e-mail; ","")))</f>
      </c>
      <c r="AB903" s="6">
        <f>IF(COUNTA(A903:S903)=0,"",IF(AND(U903="OK",V903="OK",LEFT(W903,4)&lt;&gt;"ERRO",LEFT(X903,4)&lt;&gt;"ERRO",LEFT(Y903,4)&lt;&gt;"ERRO",AA903="OK"),"OK","REVISAR"))</f>
      </c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5"/>
      <c r="K904" s="4"/>
      <c r="L904" s="4"/>
      <c r="M904" s="4"/>
      <c r="N904" s="4"/>
      <c r="O904" s="4"/>
      <c r="P904" s="4"/>
      <c r="Q904" s="4"/>
      <c r="R904" s="4"/>
      <c r="S904" s="4"/>
      <c r="T904" s="6">
        <f>IF(G904="","",SUBSTITUTE(SUBSTITUTE(SUBSTITUTE(SUBSTITUTE(SUBSTITUTE(SUBSTITUTE(SUBSTITUTE(TRIM(G904),".",""),"/",""),"-","")," ",""),"(",""),")",""),"+",""))</f>
      </c>
      <c r="U904" s="6">
        <f>IF(T904="","",IF(LEN(T904)&lt;&gt;14,"ERRO: "&amp;LEN(T904)&amp;" dígitos",IF(NOT(ISNUMBER(VALUE(T904))),"ERRO: não numérico",IF(LEN(SUBSTITUTE(T904,LEFT(T904,1),""))=0,"ERRO: dígitos repetidos",IF(AND(VALUE(MID(T904,13,1))=IF(MOD(SUMPRODUCT(--MID(T904,{1,2,3,4,5,6,7,8,9,10,11,12},1),{5,4,3,2,9,8,7,6,5,4,3,2}),11)&lt;2,0,11-MOD(SUMPRODUCT(--MID(T904,{1,2,3,4,5,6,7,8,9,10,11,12},1),{5,4,3,2,9,8,7,6,5,4,3,2}),11)),VALUE(MID(T904,14,1))=IF(MOD(SUMPRODUCT(--MID(T904,{1,2,3,4,5,6,7,8,9,10,11,12,13},1),{6,5,4,3,2,9,8,7,6,5,4,3,2}),11)&lt;2,0,11-MOD(SUMPRODUCT(--MID(T904,{1,2,3,4,5,6,7,8,9,10,11,12,13},1),{6,5,4,3,2,9,8,7,6,5,4,3,2}),11))),"OK","ERRO: dígito verificador")))))</f>
      </c>
      <c r="V904" s="6">
        <f>IF(T904="","",IF(COUNTIF($T$2:$T$1001,T904)&gt;1,"DUPLICADO","OK"))</f>
      </c>
      <c r="W904" s="6">
        <f>IF(M904="","vazio",IF(OR(AND(LEN(SUBSTITUTE(SUBSTITUTE(SUBSTITUTE(SUBSTITUTE(SUBSTITUTE(SUBSTITUTE(SUBSTITUTE(TRIM(M904),".",""),"/",""),"-","")," ",""),"(",""),")",""),"+",""))=10,LEFT(SUBSTITUTE(SUBSTITUTE(SUBSTITUTE(SUBSTITUTE(SUBSTITUTE(SUBSTITUTE(SUBSTITUTE(TRIM(M904),".",""),"/",""),"-","")," ",""),"(",""),")",""),"+",""),1)&lt;&gt;"0"),AND(LEN(SUBSTITUTE(SUBSTITUTE(SUBSTITUTE(SUBSTITUTE(SUBSTITUTE(SUBSTITUTE(SUBSTITUTE(TRIM(M904),".",""),"/",""),"-","")," ",""),"(",""),")",""),"+",""))=11,LEFT(SUBSTITUTE(SUBSTITUTE(SUBSTITUTE(SUBSTITUTE(SUBSTITUTE(SUBSTITUTE(SUBSTITUTE(TRIM(M904),".",""),"/",""),"-","")," ",""),"(",""),")",""),"+",""),4)="0800")),"OK",IF(AND(LEN(SUBSTITUTE(SUBSTITUTE(SUBSTITUTE(SUBSTITUTE(SUBSTITUTE(SUBSTITUTE(SUBSTITUTE(TRIM(M904),".",""),"/",""),"-","")," ",""),"(",""),")",""),"+",""))=11,MID(SUBSTITUTE(SUBSTITUTE(SUBSTITUTE(SUBSTITUTE(SUBSTITUTE(SUBSTITUTE(SUBSTITUTE(TRIM(M904),".",""),"/",""),"-","")," ",""),"(",""),")",""),"+",""),3,1)="9"),"ERRO: é celular, use a coluna Celular","ERRO: DDD + 8 dígitos ou 0800 + 7")))</f>
      </c>
      <c r="X904" s="6">
        <f>IF(N904="","vazio",IF(AND(LEN(SUBSTITUTE(SUBSTITUTE(SUBSTITUTE(SUBSTITUTE(SUBSTITUTE(SUBSTITUTE(SUBSTITUTE(TRIM(N904),".",""),"/",""),"-","")," ",""),"(",""),")",""),"+",""))=11,MID(SUBSTITUTE(SUBSTITUTE(SUBSTITUTE(SUBSTITUTE(SUBSTITUTE(SUBSTITUTE(SUBSTITUTE(TRIM(N904),".",""),"/",""),"-","")," ",""),"(",""),")",""),"+",""),3,1)="9",LEFT(SUBSTITUTE(SUBSTITUTE(SUBSTITUTE(SUBSTITUTE(SUBSTITUTE(SUBSTITUTE(SUBSTITUTE(TRIM(N904),".",""),"/",""),"-","")," ",""),"(",""),")",""),"+",""),1)&lt;&gt;"0"),"OK",IF(LEN(SUBSTITUTE(SUBSTITUTE(SUBSTITUTE(SUBSTITUTE(SUBSTITUTE(SUBSTITUTE(SUBSTITUTE(TRIM(N904),".",""),"/",""),"-","")," ",""),"(",""),")",""),"+",""))=10,"ERRO: é fixo (ou falta o 9), use a coluna Telefone fixo","ERRO: DDD + 9 + 8 dígitos")))</f>
      </c>
      <c r="Y904" s="6">
        <f>IF(O904="","vazio",IF(AND(ISNUMBER(FIND("@",O904)),ISNUMBER(FIND(".",MID(O904,FIND("@",O904),99))),NOT(ISNUMBER(FIND(" ",TRIM(O904)))),NOT(ISNUMBER(FIND(";",O904))),NOT(ISNUMBER(FIND(",",O904)))),"OK","ERRO: um e-mail válido por linha"))</f>
      </c>
      <c r="Z904" s="6">
        <f>IF(AND(J904="",K904=""),"",IF(AND(J904&lt;&gt;"",K904&lt;&gt;""),"OK","pendente: só um nome (o GR completa ao converter)"))</f>
      </c>
      <c r="AA904" s="6">
        <f>IF(COUNTA(A904:S904)=0,"",IF(AND(A904&lt;&gt;"",B904&lt;&gt;"",C904&lt;&gt;"",D904&lt;&gt;"",E904&lt;&gt;"",F904&lt;&gt;"",G904&lt;&gt;"",H904&lt;&gt;"",OR(J904&lt;&gt;"",K904&lt;&gt;""),OR(M904&lt;&gt;"",N904&lt;&gt;"",O904&lt;&gt;"")),"OK","ERRO: faltam "&amp;IF(A904="","SDR; ","")&amp;IF(B904="","Proprietário; ","")&amp;IF(C904="","Origem; ","")&amp;IF(D904="","Temperatura; ","")&amp;IF(E904="","Segmento; ","")&amp;IF(F904="","Time/Cluster; ","")&amp;IF(G904="","CNPJ; ","")&amp;IF(H904="","Razão Social; ","")&amp;IF(AND(J904="",K904=""),"nome do contato; ","")&amp;IF(AND(M904="",N904="",O904=""),"telefone, celular ou e-mail; ","")))</f>
      </c>
      <c r="AB904" s="6">
        <f>IF(COUNTA(A904:S904)=0,"",IF(AND(U904="OK",V904="OK",LEFT(W904,4)&lt;&gt;"ERRO",LEFT(X904,4)&lt;&gt;"ERRO",LEFT(Y904,4)&lt;&gt;"ERRO",AA904="OK"),"OK","REVISAR"))</f>
      </c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5"/>
      <c r="K905" s="4"/>
      <c r="L905" s="4"/>
      <c r="M905" s="4"/>
      <c r="N905" s="4"/>
      <c r="O905" s="4"/>
      <c r="P905" s="4"/>
      <c r="Q905" s="4"/>
      <c r="R905" s="4"/>
      <c r="S905" s="4"/>
      <c r="T905" s="6">
        <f>IF(G905="","",SUBSTITUTE(SUBSTITUTE(SUBSTITUTE(SUBSTITUTE(SUBSTITUTE(SUBSTITUTE(SUBSTITUTE(TRIM(G905),".",""),"/",""),"-","")," ",""),"(",""),")",""),"+",""))</f>
      </c>
      <c r="U905" s="6">
        <f>IF(T905="","",IF(LEN(T905)&lt;&gt;14,"ERRO: "&amp;LEN(T905)&amp;" dígitos",IF(NOT(ISNUMBER(VALUE(T905))),"ERRO: não numérico",IF(LEN(SUBSTITUTE(T905,LEFT(T905,1),""))=0,"ERRO: dígitos repetidos",IF(AND(VALUE(MID(T905,13,1))=IF(MOD(SUMPRODUCT(--MID(T905,{1,2,3,4,5,6,7,8,9,10,11,12},1),{5,4,3,2,9,8,7,6,5,4,3,2}),11)&lt;2,0,11-MOD(SUMPRODUCT(--MID(T905,{1,2,3,4,5,6,7,8,9,10,11,12},1),{5,4,3,2,9,8,7,6,5,4,3,2}),11)),VALUE(MID(T905,14,1))=IF(MOD(SUMPRODUCT(--MID(T905,{1,2,3,4,5,6,7,8,9,10,11,12,13},1),{6,5,4,3,2,9,8,7,6,5,4,3,2}),11)&lt;2,0,11-MOD(SUMPRODUCT(--MID(T905,{1,2,3,4,5,6,7,8,9,10,11,12,13},1),{6,5,4,3,2,9,8,7,6,5,4,3,2}),11))),"OK","ERRO: dígito verificador")))))</f>
      </c>
      <c r="V905" s="6">
        <f>IF(T905="","",IF(COUNTIF($T$2:$T$1001,T905)&gt;1,"DUPLICADO","OK"))</f>
      </c>
      <c r="W905" s="6">
        <f>IF(M905="","vazio",IF(OR(AND(LEN(SUBSTITUTE(SUBSTITUTE(SUBSTITUTE(SUBSTITUTE(SUBSTITUTE(SUBSTITUTE(SUBSTITUTE(TRIM(M905),".",""),"/",""),"-","")," ",""),"(",""),")",""),"+",""))=10,LEFT(SUBSTITUTE(SUBSTITUTE(SUBSTITUTE(SUBSTITUTE(SUBSTITUTE(SUBSTITUTE(SUBSTITUTE(TRIM(M905),".",""),"/",""),"-","")," ",""),"(",""),")",""),"+",""),1)&lt;&gt;"0"),AND(LEN(SUBSTITUTE(SUBSTITUTE(SUBSTITUTE(SUBSTITUTE(SUBSTITUTE(SUBSTITUTE(SUBSTITUTE(TRIM(M905),".",""),"/",""),"-","")," ",""),"(",""),")",""),"+",""))=11,LEFT(SUBSTITUTE(SUBSTITUTE(SUBSTITUTE(SUBSTITUTE(SUBSTITUTE(SUBSTITUTE(SUBSTITUTE(TRIM(M905),".",""),"/",""),"-","")," ",""),"(",""),")",""),"+",""),4)="0800")),"OK",IF(AND(LEN(SUBSTITUTE(SUBSTITUTE(SUBSTITUTE(SUBSTITUTE(SUBSTITUTE(SUBSTITUTE(SUBSTITUTE(TRIM(M905),".",""),"/",""),"-","")," ",""),"(",""),")",""),"+",""))=11,MID(SUBSTITUTE(SUBSTITUTE(SUBSTITUTE(SUBSTITUTE(SUBSTITUTE(SUBSTITUTE(SUBSTITUTE(TRIM(M905),".",""),"/",""),"-","")," ",""),"(",""),")",""),"+",""),3,1)="9"),"ERRO: é celular, use a coluna Celular","ERRO: DDD + 8 dígitos ou 0800 + 7")))</f>
      </c>
      <c r="X905" s="6">
        <f>IF(N905="","vazio",IF(AND(LEN(SUBSTITUTE(SUBSTITUTE(SUBSTITUTE(SUBSTITUTE(SUBSTITUTE(SUBSTITUTE(SUBSTITUTE(TRIM(N905),".",""),"/",""),"-","")," ",""),"(",""),")",""),"+",""))=11,MID(SUBSTITUTE(SUBSTITUTE(SUBSTITUTE(SUBSTITUTE(SUBSTITUTE(SUBSTITUTE(SUBSTITUTE(TRIM(N905),".",""),"/",""),"-","")," ",""),"(",""),")",""),"+",""),3,1)="9",LEFT(SUBSTITUTE(SUBSTITUTE(SUBSTITUTE(SUBSTITUTE(SUBSTITUTE(SUBSTITUTE(SUBSTITUTE(TRIM(N905),".",""),"/",""),"-","")," ",""),"(",""),")",""),"+",""),1)&lt;&gt;"0"),"OK",IF(LEN(SUBSTITUTE(SUBSTITUTE(SUBSTITUTE(SUBSTITUTE(SUBSTITUTE(SUBSTITUTE(SUBSTITUTE(TRIM(N905),".",""),"/",""),"-","")," ",""),"(",""),")",""),"+",""))=10,"ERRO: é fixo (ou falta o 9), use a coluna Telefone fixo","ERRO: DDD + 9 + 8 dígitos")))</f>
      </c>
      <c r="Y905" s="6">
        <f>IF(O905="","vazio",IF(AND(ISNUMBER(FIND("@",O905)),ISNUMBER(FIND(".",MID(O905,FIND("@",O905),99))),NOT(ISNUMBER(FIND(" ",TRIM(O905)))),NOT(ISNUMBER(FIND(";",O905))),NOT(ISNUMBER(FIND(",",O905)))),"OK","ERRO: um e-mail válido por linha"))</f>
      </c>
      <c r="Z905" s="6">
        <f>IF(AND(J905="",K905=""),"",IF(AND(J905&lt;&gt;"",K905&lt;&gt;""),"OK","pendente: só um nome (o GR completa ao converter)"))</f>
      </c>
      <c r="AA905" s="6">
        <f>IF(COUNTA(A905:S905)=0,"",IF(AND(A905&lt;&gt;"",B905&lt;&gt;"",C905&lt;&gt;"",D905&lt;&gt;"",E905&lt;&gt;"",F905&lt;&gt;"",G905&lt;&gt;"",H905&lt;&gt;"",OR(J905&lt;&gt;"",K905&lt;&gt;""),OR(M905&lt;&gt;"",N905&lt;&gt;"",O905&lt;&gt;"")),"OK","ERRO: faltam "&amp;IF(A905="","SDR; ","")&amp;IF(B905="","Proprietário; ","")&amp;IF(C905="","Origem; ","")&amp;IF(D905="","Temperatura; ","")&amp;IF(E905="","Segmento; ","")&amp;IF(F905="","Time/Cluster; ","")&amp;IF(G905="","CNPJ; ","")&amp;IF(H905="","Razão Social; ","")&amp;IF(AND(J905="",K905=""),"nome do contato; ","")&amp;IF(AND(M905="",N905="",O905=""),"telefone, celular ou e-mail; ","")))</f>
      </c>
      <c r="AB905" s="6">
        <f>IF(COUNTA(A905:S905)=0,"",IF(AND(U905="OK",V905="OK",LEFT(W905,4)&lt;&gt;"ERRO",LEFT(X905,4)&lt;&gt;"ERRO",LEFT(Y905,4)&lt;&gt;"ERRO",AA905="OK"),"OK","REVISAR"))</f>
      </c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5"/>
      <c r="K906" s="4"/>
      <c r="L906" s="4"/>
      <c r="M906" s="4"/>
      <c r="N906" s="4"/>
      <c r="O906" s="4"/>
      <c r="P906" s="4"/>
      <c r="Q906" s="4"/>
      <c r="R906" s="4"/>
      <c r="S906" s="4"/>
      <c r="T906" s="6">
        <f>IF(G906="","",SUBSTITUTE(SUBSTITUTE(SUBSTITUTE(SUBSTITUTE(SUBSTITUTE(SUBSTITUTE(SUBSTITUTE(TRIM(G906),".",""),"/",""),"-","")," ",""),"(",""),")",""),"+",""))</f>
      </c>
      <c r="U906" s="6">
        <f>IF(T906="","",IF(LEN(T906)&lt;&gt;14,"ERRO: "&amp;LEN(T906)&amp;" dígitos",IF(NOT(ISNUMBER(VALUE(T906))),"ERRO: não numérico",IF(LEN(SUBSTITUTE(T906,LEFT(T906,1),""))=0,"ERRO: dígitos repetidos",IF(AND(VALUE(MID(T906,13,1))=IF(MOD(SUMPRODUCT(--MID(T906,{1,2,3,4,5,6,7,8,9,10,11,12},1),{5,4,3,2,9,8,7,6,5,4,3,2}),11)&lt;2,0,11-MOD(SUMPRODUCT(--MID(T906,{1,2,3,4,5,6,7,8,9,10,11,12},1),{5,4,3,2,9,8,7,6,5,4,3,2}),11)),VALUE(MID(T906,14,1))=IF(MOD(SUMPRODUCT(--MID(T906,{1,2,3,4,5,6,7,8,9,10,11,12,13},1),{6,5,4,3,2,9,8,7,6,5,4,3,2}),11)&lt;2,0,11-MOD(SUMPRODUCT(--MID(T906,{1,2,3,4,5,6,7,8,9,10,11,12,13},1),{6,5,4,3,2,9,8,7,6,5,4,3,2}),11))),"OK","ERRO: dígito verificador")))))</f>
      </c>
      <c r="V906" s="6">
        <f>IF(T906="","",IF(COUNTIF($T$2:$T$1001,T906)&gt;1,"DUPLICADO","OK"))</f>
      </c>
      <c r="W906" s="6">
        <f>IF(M906="","vazio",IF(OR(AND(LEN(SUBSTITUTE(SUBSTITUTE(SUBSTITUTE(SUBSTITUTE(SUBSTITUTE(SUBSTITUTE(SUBSTITUTE(TRIM(M906),".",""),"/",""),"-","")," ",""),"(",""),")",""),"+",""))=10,LEFT(SUBSTITUTE(SUBSTITUTE(SUBSTITUTE(SUBSTITUTE(SUBSTITUTE(SUBSTITUTE(SUBSTITUTE(TRIM(M906),".",""),"/",""),"-","")," ",""),"(",""),")",""),"+",""),1)&lt;&gt;"0"),AND(LEN(SUBSTITUTE(SUBSTITUTE(SUBSTITUTE(SUBSTITUTE(SUBSTITUTE(SUBSTITUTE(SUBSTITUTE(TRIM(M906),".",""),"/",""),"-","")," ",""),"(",""),")",""),"+",""))=11,LEFT(SUBSTITUTE(SUBSTITUTE(SUBSTITUTE(SUBSTITUTE(SUBSTITUTE(SUBSTITUTE(SUBSTITUTE(TRIM(M906),".",""),"/",""),"-","")," ",""),"(",""),")",""),"+",""),4)="0800")),"OK",IF(AND(LEN(SUBSTITUTE(SUBSTITUTE(SUBSTITUTE(SUBSTITUTE(SUBSTITUTE(SUBSTITUTE(SUBSTITUTE(TRIM(M906),".",""),"/",""),"-","")," ",""),"(",""),")",""),"+",""))=11,MID(SUBSTITUTE(SUBSTITUTE(SUBSTITUTE(SUBSTITUTE(SUBSTITUTE(SUBSTITUTE(SUBSTITUTE(TRIM(M906),".",""),"/",""),"-","")," ",""),"(",""),")",""),"+",""),3,1)="9"),"ERRO: é celular, use a coluna Celular","ERRO: DDD + 8 dígitos ou 0800 + 7")))</f>
      </c>
      <c r="X906" s="6">
        <f>IF(N906="","vazio",IF(AND(LEN(SUBSTITUTE(SUBSTITUTE(SUBSTITUTE(SUBSTITUTE(SUBSTITUTE(SUBSTITUTE(SUBSTITUTE(TRIM(N906),".",""),"/",""),"-","")," ",""),"(",""),")",""),"+",""))=11,MID(SUBSTITUTE(SUBSTITUTE(SUBSTITUTE(SUBSTITUTE(SUBSTITUTE(SUBSTITUTE(SUBSTITUTE(TRIM(N906),".",""),"/",""),"-","")," ",""),"(",""),")",""),"+",""),3,1)="9",LEFT(SUBSTITUTE(SUBSTITUTE(SUBSTITUTE(SUBSTITUTE(SUBSTITUTE(SUBSTITUTE(SUBSTITUTE(TRIM(N906),".",""),"/",""),"-","")," ",""),"(",""),")",""),"+",""),1)&lt;&gt;"0"),"OK",IF(LEN(SUBSTITUTE(SUBSTITUTE(SUBSTITUTE(SUBSTITUTE(SUBSTITUTE(SUBSTITUTE(SUBSTITUTE(TRIM(N906),".",""),"/",""),"-","")," ",""),"(",""),")",""),"+",""))=10,"ERRO: é fixo (ou falta o 9), use a coluna Telefone fixo","ERRO: DDD + 9 + 8 dígitos")))</f>
      </c>
      <c r="Y906" s="6">
        <f>IF(O906="","vazio",IF(AND(ISNUMBER(FIND("@",O906)),ISNUMBER(FIND(".",MID(O906,FIND("@",O906),99))),NOT(ISNUMBER(FIND(" ",TRIM(O906)))),NOT(ISNUMBER(FIND(";",O906))),NOT(ISNUMBER(FIND(",",O906)))),"OK","ERRO: um e-mail válido por linha"))</f>
      </c>
      <c r="Z906" s="6">
        <f>IF(AND(J906="",K906=""),"",IF(AND(J906&lt;&gt;"",K906&lt;&gt;""),"OK","pendente: só um nome (o GR completa ao converter)"))</f>
      </c>
      <c r="AA906" s="6">
        <f>IF(COUNTA(A906:S906)=0,"",IF(AND(A906&lt;&gt;"",B906&lt;&gt;"",C906&lt;&gt;"",D906&lt;&gt;"",E906&lt;&gt;"",F906&lt;&gt;"",G906&lt;&gt;"",H906&lt;&gt;"",OR(J906&lt;&gt;"",K906&lt;&gt;""),OR(M906&lt;&gt;"",N906&lt;&gt;"",O906&lt;&gt;"")),"OK","ERRO: faltam "&amp;IF(A906="","SDR; ","")&amp;IF(B906="","Proprietário; ","")&amp;IF(C906="","Origem; ","")&amp;IF(D906="","Temperatura; ","")&amp;IF(E906="","Segmento; ","")&amp;IF(F906="","Time/Cluster; ","")&amp;IF(G906="","CNPJ; ","")&amp;IF(H906="","Razão Social; ","")&amp;IF(AND(J906="",K906=""),"nome do contato; ","")&amp;IF(AND(M906="",N906="",O906=""),"telefone, celular ou e-mail; ","")))</f>
      </c>
      <c r="AB906" s="6">
        <f>IF(COUNTA(A906:S906)=0,"",IF(AND(U906="OK",V906="OK",LEFT(W906,4)&lt;&gt;"ERRO",LEFT(X906,4)&lt;&gt;"ERRO",LEFT(Y906,4)&lt;&gt;"ERRO",AA906="OK"),"OK","REVISAR"))</f>
      </c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5"/>
      <c r="K907" s="4"/>
      <c r="L907" s="4"/>
      <c r="M907" s="4"/>
      <c r="N907" s="4"/>
      <c r="O907" s="4"/>
      <c r="P907" s="4"/>
      <c r="Q907" s="4"/>
      <c r="R907" s="4"/>
      <c r="S907" s="4"/>
      <c r="T907" s="6">
        <f>IF(G907="","",SUBSTITUTE(SUBSTITUTE(SUBSTITUTE(SUBSTITUTE(SUBSTITUTE(SUBSTITUTE(SUBSTITUTE(TRIM(G907),".",""),"/",""),"-","")," ",""),"(",""),")",""),"+",""))</f>
      </c>
      <c r="U907" s="6">
        <f>IF(T907="","",IF(LEN(T907)&lt;&gt;14,"ERRO: "&amp;LEN(T907)&amp;" dígitos",IF(NOT(ISNUMBER(VALUE(T907))),"ERRO: não numérico",IF(LEN(SUBSTITUTE(T907,LEFT(T907,1),""))=0,"ERRO: dígitos repetidos",IF(AND(VALUE(MID(T907,13,1))=IF(MOD(SUMPRODUCT(--MID(T907,{1,2,3,4,5,6,7,8,9,10,11,12},1),{5,4,3,2,9,8,7,6,5,4,3,2}),11)&lt;2,0,11-MOD(SUMPRODUCT(--MID(T907,{1,2,3,4,5,6,7,8,9,10,11,12},1),{5,4,3,2,9,8,7,6,5,4,3,2}),11)),VALUE(MID(T907,14,1))=IF(MOD(SUMPRODUCT(--MID(T907,{1,2,3,4,5,6,7,8,9,10,11,12,13},1),{6,5,4,3,2,9,8,7,6,5,4,3,2}),11)&lt;2,0,11-MOD(SUMPRODUCT(--MID(T907,{1,2,3,4,5,6,7,8,9,10,11,12,13},1),{6,5,4,3,2,9,8,7,6,5,4,3,2}),11))),"OK","ERRO: dígito verificador")))))</f>
      </c>
      <c r="V907" s="6">
        <f>IF(T907="","",IF(COUNTIF($T$2:$T$1001,T907)&gt;1,"DUPLICADO","OK"))</f>
      </c>
      <c r="W907" s="6">
        <f>IF(M907="","vazio",IF(OR(AND(LEN(SUBSTITUTE(SUBSTITUTE(SUBSTITUTE(SUBSTITUTE(SUBSTITUTE(SUBSTITUTE(SUBSTITUTE(TRIM(M907),".",""),"/",""),"-","")," ",""),"(",""),")",""),"+",""))=10,LEFT(SUBSTITUTE(SUBSTITUTE(SUBSTITUTE(SUBSTITUTE(SUBSTITUTE(SUBSTITUTE(SUBSTITUTE(TRIM(M907),".",""),"/",""),"-","")," ",""),"(",""),")",""),"+",""),1)&lt;&gt;"0"),AND(LEN(SUBSTITUTE(SUBSTITUTE(SUBSTITUTE(SUBSTITUTE(SUBSTITUTE(SUBSTITUTE(SUBSTITUTE(TRIM(M907),".",""),"/",""),"-","")," ",""),"(",""),")",""),"+",""))=11,LEFT(SUBSTITUTE(SUBSTITUTE(SUBSTITUTE(SUBSTITUTE(SUBSTITUTE(SUBSTITUTE(SUBSTITUTE(TRIM(M907),".",""),"/",""),"-","")," ",""),"(",""),")",""),"+",""),4)="0800")),"OK",IF(AND(LEN(SUBSTITUTE(SUBSTITUTE(SUBSTITUTE(SUBSTITUTE(SUBSTITUTE(SUBSTITUTE(SUBSTITUTE(TRIM(M907),".",""),"/",""),"-","")," ",""),"(",""),")",""),"+",""))=11,MID(SUBSTITUTE(SUBSTITUTE(SUBSTITUTE(SUBSTITUTE(SUBSTITUTE(SUBSTITUTE(SUBSTITUTE(TRIM(M907),".",""),"/",""),"-","")," ",""),"(",""),")",""),"+",""),3,1)="9"),"ERRO: é celular, use a coluna Celular","ERRO: DDD + 8 dígitos ou 0800 + 7")))</f>
      </c>
      <c r="X907" s="6">
        <f>IF(N907="","vazio",IF(AND(LEN(SUBSTITUTE(SUBSTITUTE(SUBSTITUTE(SUBSTITUTE(SUBSTITUTE(SUBSTITUTE(SUBSTITUTE(TRIM(N907),".",""),"/",""),"-","")," ",""),"(",""),")",""),"+",""))=11,MID(SUBSTITUTE(SUBSTITUTE(SUBSTITUTE(SUBSTITUTE(SUBSTITUTE(SUBSTITUTE(SUBSTITUTE(TRIM(N907),".",""),"/",""),"-","")," ",""),"(",""),")",""),"+",""),3,1)="9",LEFT(SUBSTITUTE(SUBSTITUTE(SUBSTITUTE(SUBSTITUTE(SUBSTITUTE(SUBSTITUTE(SUBSTITUTE(TRIM(N907),".",""),"/",""),"-","")," ",""),"(",""),")",""),"+",""),1)&lt;&gt;"0"),"OK",IF(LEN(SUBSTITUTE(SUBSTITUTE(SUBSTITUTE(SUBSTITUTE(SUBSTITUTE(SUBSTITUTE(SUBSTITUTE(TRIM(N907),".",""),"/",""),"-","")," ",""),"(",""),")",""),"+",""))=10,"ERRO: é fixo (ou falta o 9), use a coluna Telefone fixo","ERRO: DDD + 9 + 8 dígitos")))</f>
      </c>
      <c r="Y907" s="6">
        <f>IF(O907="","vazio",IF(AND(ISNUMBER(FIND("@",O907)),ISNUMBER(FIND(".",MID(O907,FIND("@",O907),99))),NOT(ISNUMBER(FIND(" ",TRIM(O907)))),NOT(ISNUMBER(FIND(";",O907))),NOT(ISNUMBER(FIND(",",O907)))),"OK","ERRO: um e-mail válido por linha"))</f>
      </c>
      <c r="Z907" s="6">
        <f>IF(AND(J907="",K907=""),"",IF(AND(J907&lt;&gt;"",K907&lt;&gt;""),"OK","pendente: só um nome (o GR completa ao converter)"))</f>
      </c>
      <c r="AA907" s="6">
        <f>IF(COUNTA(A907:S907)=0,"",IF(AND(A907&lt;&gt;"",B907&lt;&gt;"",C907&lt;&gt;"",D907&lt;&gt;"",E907&lt;&gt;"",F907&lt;&gt;"",G907&lt;&gt;"",H907&lt;&gt;"",OR(J907&lt;&gt;"",K907&lt;&gt;""),OR(M907&lt;&gt;"",N907&lt;&gt;"",O907&lt;&gt;"")),"OK","ERRO: faltam "&amp;IF(A907="","SDR; ","")&amp;IF(B907="","Proprietário; ","")&amp;IF(C907="","Origem; ","")&amp;IF(D907="","Temperatura; ","")&amp;IF(E907="","Segmento; ","")&amp;IF(F907="","Time/Cluster; ","")&amp;IF(G907="","CNPJ; ","")&amp;IF(H907="","Razão Social; ","")&amp;IF(AND(J907="",K907=""),"nome do contato; ","")&amp;IF(AND(M907="",N907="",O907=""),"telefone, celular ou e-mail; ","")))</f>
      </c>
      <c r="AB907" s="6">
        <f>IF(COUNTA(A907:S907)=0,"",IF(AND(U907="OK",V907="OK",LEFT(W907,4)&lt;&gt;"ERRO",LEFT(X907,4)&lt;&gt;"ERRO",LEFT(Y907,4)&lt;&gt;"ERRO",AA907="OK"),"OK","REVISAR"))</f>
      </c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5"/>
      <c r="K908" s="4"/>
      <c r="L908" s="4"/>
      <c r="M908" s="4"/>
      <c r="N908" s="4"/>
      <c r="O908" s="4"/>
      <c r="P908" s="4"/>
      <c r="Q908" s="4"/>
      <c r="R908" s="4"/>
      <c r="S908" s="4"/>
      <c r="T908" s="6">
        <f>IF(G908="","",SUBSTITUTE(SUBSTITUTE(SUBSTITUTE(SUBSTITUTE(SUBSTITUTE(SUBSTITUTE(SUBSTITUTE(TRIM(G908),".",""),"/",""),"-","")," ",""),"(",""),")",""),"+",""))</f>
      </c>
      <c r="U908" s="6">
        <f>IF(T908="","",IF(LEN(T908)&lt;&gt;14,"ERRO: "&amp;LEN(T908)&amp;" dígitos",IF(NOT(ISNUMBER(VALUE(T908))),"ERRO: não numérico",IF(LEN(SUBSTITUTE(T908,LEFT(T908,1),""))=0,"ERRO: dígitos repetidos",IF(AND(VALUE(MID(T908,13,1))=IF(MOD(SUMPRODUCT(--MID(T908,{1,2,3,4,5,6,7,8,9,10,11,12},1),{5,4,3,2,9,8,7,6,5,4,3,2}),11)&lt;2,0,11-MOD(SUMPRODUCT(--MID(T908,{1,2,3,4,5,6,7,8,9,10,11,12},1),{5,4,3,2,9,8,7,6,5,4,3,2}),11)),VALUE(MID(T908,14,1))=IF(MOD(SUMPRODUCT(--MID(T908,{1,2,3,4,5,6,7,8,9,10,11,12,13},1),{6,5,4,3,2,9,8,7,6,5,4,3,2}),11)&lt;2,0,11-MOD(SUMPRODUCT(--MID(T908,{1,2,3,4,5,6,7,8,9,10,11,12,13},1),{6,5,4,3,2,9,8,7,6,5,4,3,2}),11))),"OK","ERRO: dígito verificador")))))</f>
      </c>
      <c r="V908" s="6">
        <f>IF(T908="","",IF(COUNTIF($T$2:$T$1001,T908)&gt;1,"DUPLICADO","OK"))</f>
      </c>
      <c r="W908" s="6">
        <f>IF(M908="","vazio",IF(OR(AND(LEN(SUBSTITUTE(SUBSTITUTE(SUBSTITUTE(SUBSTITUTE(SUBSTITUTE(SUBSTITUTE(SUBSTITUTE(TRIM(M908),".",""),"/",""),"-","")," ",""),"(",""),")",""),"+",""))=10,LEFT(SUBSTITUTE(SUBSTITUTE(SUBSTITUTE(SUBSTITUTE(SUBSTITUTE(SUBSTITUTE(SUBSTITUTE(TRIM(M908),".",""),"/",""),"-","")," ",""),"(",""),")",""),"+",""),1)&lt;&gt;"0"),AND(LEN(SUBSTITUTE(SUBSTITUTE(SUBSTITUTE(SUBSTITUTE(SUBSTITUTE(SUBSTITUTE(SUBSTITUTE(TRIM(M908),".",""),"/",""),"-","")," ",""),"(",""),")",""),"+",""))=11,LEFT(SUBSTITUTE(SUBSTITUTE(SUBSTITUTE(SUBSTITUTE(SUBSTITUTE(SUBSTITUTE(SUBSTITUTE(TRIM(M908),".",""),"/",""),"-","")," ",""),"(",""),")",""),"+",""),4)="0800")),"OK",IF(AND(LEN(SUBSTITUTE(SUBSTITUTE(SUBSTITUTE(SUBSTITUTE(SUBSTITUTE(SUBSTITUTE(SUBSTITUTE(TRIM(M908),".",""),"/",""),"-","")," ",""),"(",""),")",""),"+",""))=11,MID(SUBSTITUTE(SUBSTITUTE(SUBSTITUTE(SUBSTITUTE(SUBSTITUTE(SUBSTITUTE(SUBSTITUTE(TRIM(M908),".",""),"/",""),"-","")," ",""),"(",""),")",""),"+",""),3,1)="9"),"ERRO: é celular, use a coluna Celular","ERRO: DDD + 8 dígitos ou 0800 + 7")))</f>
      </c>
      <c r="X908" s="6">
        <f>IF(N908="","vazio",IF(AND(LEN(SUBSTITUTE(SUBSTITUTE(SUBSTITUTE(SUBSTITUTE(SUBSTITUTE(SUBSTITUTE(SUBSTITUTE(TRIM(N908),".",""),"/",""),"-","")," ",""),"(",""),")",""),"+",""))=11,MID(SUBSTITUTE(SUBSTITUTE(SUBSTITUTE(SUBSTITUTE(SUBSTITUTE(SUBSTITUTE(SUBSTITUTE(TRIM(N908),".",""),"/",""),"-","")," ",""),"(",""),")",""),"+",""),3,1)="9",LEFT(SUBSTITUTE(SUBSTITUTE(SUBSTITUTE(SUBSTITUTE(SUBSTITUTE(SUBSTITUTE(SUBSTITUTE(TRIM(N908),".",""),"/",""),"-","")," ",""),"(",""),")",""),"+",""),1)&lt;&gt;"0"),"OK",IF(LEN(SUBSTITUTE(SUBSTITUTE(SUBSTITUTE(SUBSTITUTE(SUBSTITUTE(SUBSTITUTE(SUBSTITUTE(TRIM(N908),".",""),"/",""),"-","")," ",""),"(",""),")",""),"+",""))=10,"ERRO: é fixo (ou falta o 9), use a coluna Telefone fixo","ERRO: DDD + 9 + 8 dígitos")))</f>
      </c>
      <c r="Y908" s="6">
        <f>IF(O908="","vazio",IF(AND(ISNUMBER(FIND("@",O908)),ISNUMBER(FIND(".",MID(O908,FIND("@",O908),99))),NOT(ISNUMBER(FIND(" ",TRIM(O908)))),NOT(ISNUMBER(FIND(";",O908))),NOT(ISNUMBER(FIND(",",O908)))),"OK","ERRO: um e-mail válido por linha"))</f>
      </c>
      <c r="Z908" s="6">
        <f>IF(AND(J908="",K908=""),"",IF(AND(J908&lt;&gt;"",K908&lt;&gt;""),"OK","pendente: só um nome (o GR completa ao converter)"))</f>
      </c>
      <c r="AA908" s="6">
        <f>IF(COUNTA(A908:S908)=0,"",IF(AND(A908&lt;&gt;"",B908&lt;&gt;"",C908&lt;&gt;"",D908&lt;&gt;"",E908&lt;&gt;"",F908&lt;&gt;"",G908&lt;&gt;"",H908&lt;&gt;"",OR(J908&lt;&gt;"",K908&lt;&gt;""),OR(M908&lt;&gt;"",N908&lt;&gt;"",O908&lt;&gt;"")),"OK","ERRO: faltam "&amp;IF(A908="","SDR; ","")&amp;IF(B908="","Proprietário; ","")&amp;IF(C908="","Origem; ","")&amp;IF(D908="","Temperatura; ","")&amp;IF(E908="","Segmento; ","")&amp;IF(F908="","Time/Cluster; ","")&amp;IF(G908="","CNPJ; ","")&amp;IF(H908="","Razão Social; ","")&amp;IF(AND(J908="",K908=""),"nome do contato; ","")&amp;IF(AND(M908="",N908="",O908=""),"telefone, celular ou e-mail; ","")))</f>
      </c>
      <c r="AB908" s="6">
        <f>IF(COUNTA(A908:S908)=0,"",IF(AND(U908="OK",V908="OK",LEFT(W908,4)&lt;&gt;"ERRO",LEFT(X908,4)&lt;&gt;"ERRO",LEFT(Y908,4)&lt;&gt;"ERRO",AA908="OK"),"OK","REVISAR"))</f>
      </c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5"/>
      <c r="K909" s="4"/>
      <c r="L909" s="4"/>
      <c r="M909" s="4"/>
      <c r="N909" s="4"/>
      <c r="O909" s="4"/>
      <c r="P909" s="4"/>
      <c r="Q909" s="4"/>
      <c r="R909" s="4"/>
      <c r="S909" s="4"/>
      <c r="T909" s="6">
        <f>IF(G909="","",SUBSTITUTE(SUBSTITUTE(SUBSTITUTE(SUBSTITUTE(SUBSTITUTE(SUBSTITUTE(SUBSTITUTE(TRIM(G909),".",""),"/",""),"-","")," ",""),"(",""),")",""),"+",""))</f>
      </c>
      <c r="U909" s="6">
        <f>IF(T909="","",IF(LEN(T909)&lt;&gt;14,"ERRO: "&amp;LEN(T909)&amp;" dígitos",IF(NOT(ISNUMBER(VALUE(T909))),"ERRO: não numérico",IF(LEN(SUBSTITUTE(T909,LEFT(T909,1),""))=0,"ERRO: dígitos repetidos",IF(AND(VALUE(MID(T909,13,1))=IF(MOD(SUMPRODUCT(--MID(T909,{1,2,3,4,5,6,7,8,9,10,11,12},1),{5,4,3,2,9,8,7,6,5,4,3,2}),11)&lt;2,0,11-MOD(SUMPRODUCT(--MID(T909,{1,2,3,4,5,6,7,8,9,10,11,12},1),{5,4,3,2,9,8,7,6,5,4,3,2}),11)),VALUE(MID(T909,14,1))=IF(MOD(SUMPRODUCT(--MID(T909,{1,2,3,4,5,6,7,8,9,10,11,12,13},1),{6,5,4,3,2,9,8,7,6,5,4,3,2}),11)&lt;2,0,11-MOD(SUMPRODUCT(--MID(T909,{1,2,3,4,5,6,7,8,9,10,11,12,13},1),{6,5,4,3,2,9,8,7,6,5,4,3,2}),11))),"OK","ERRO: dígito verificador")))))</f>
      </c>
      <c r="V909" s="6">
        <f>IF(T909="","",IF(COUNTIF($T$2:$T$1001,T909)&gt;1,"DUPLICADO","OK"))</f>
      </c>
      <c r="W909" s="6">
        <f>IF(M909="","vazio",IF(OR(AND(LEN(SUBSTITUTE(SUBSTITUTE(SUBSTITUTE(SUBSTITUTE(SUBSTITUTE(SUBSTITUTE(SUBSTITUTE(TRIM(M909),".",""),"/",""),"-","")," ",""),"(",""),")",""),"+",""))=10,LEFT(SUBSTITUTE(SUBSTITUTE(SUBSTITUTE(SUBSTITUTE(SUBSTITUTE(SUBSTITUTE(SUBSTITUTE(TRIM(M909),".",""),"/",""),"-","")," ",""),"(",""),")",""),"+",""),1)&lt;&gt;"0"),AND(LEN(SUBSTITUTE(SUBSTITUTE(SUBSTITUTE(SUBSTITUTE(SUBSTITUTE(SUBSTITUTE(SUBSTITUTE(TRIM(M909),".",""),"/",""),"-","")," ",""),"(",""),")",""),"+",""))=11,LEFT(SUBSTITUTE(SUBSTITUTE(SUBSTITUTE(SUBSTITUTE(SUBSTITUTE(SUBSTITUTE(SUBSTITUTE(TRIM(M909),".",""),"/",""),"-","")," ",""),"(",""),")",""),"+",""),4)="0800")),"OK",IF(AND(LEN(SUBSTITUTE(SUBSTITUTE(SUBSTITUTE(SUBSTITUTE(SUBSTITUTE(SUBSTITUTE(SUBSTITUTE(TRIM(M909),".",""),"/",""),"-","")," ",""),"(",""),")",""),"+",""))=11,MID(SUBSTITUTE(SUBSTITUTE(SUBSTITUTE(SUBSTITUTE(SUBSTITUTE(SUBSTITUTE(SUBSTITUTE(TRIM(M909),".",""),"/",""),"-","")," ",""),"(",""),")",""),"+",""),3,1)="9"),"ERRO: é celular, use a coluna Celular","ERRO: DDD + 8 dígitos ou 0800 + 7")))</f>
      </c>
      <c r="X909" s="6">
        <f>IF(N909="","vazio",IF(AND(LEN(SUBSTITUTE(SUBSTITUTE(SUBSTITUTE(SUBSTITUTE(SUBSTITUTE(SUBSTITUTE(SUBSTITUTE(TRIM(N909),".",""),"/",""),"-","")," ",""),"(",""),")",""),"+",""))=11,MID(SUBSTITUTE(SUBSTITUTE(SUBSTITUTE(SUBSTITUTE(SUBSTITUTE(SUBSTITUTE(SUBSTITUTE(TRIM(N909),".",""),"/",""),"-","")," ",""),"(",""),")",""),"+",""),3,1)="9",LEFT(SUBSTITUTE(SUBSTITUTE(SUBSTITUTE(SUBSTITUTE(SUBSTITUTE(SUBSTITUTE(SUBSTITUTE(TRIM(N909),".",""),"/",""),"-","")," ",""),"(",""),")",""),"+",""),1)&lt;&gt;"0"),"OK",IF(LEN(SUBSTITUTE(SUBSTITUTE(SUBSTITUTE(SUBSTITUTE(SUBSTITUTE(SUBSTITUTE(SUBSTITUTE(TRIM(N909),".",""),"/",""),"-","")," ",""),"(",""),")",""),"+",""))=10,"ERRO: é fixo (ou falta o 9), use a coluna Telefone fixo","ERRO: DDD + 9 + 8 dígitos")))</f>
      </c>
      <c r="Y909" s="6">
        <f>IF(O909="","vazio",IF(AND(ISNUMBER(FIND("@",O909)),ISNUMBER(FIND(".",MID(O909,FIND("@",O909),99))),NOT(ISNUMBER(FIND(" ",TRIM(O909)))),NOT(ISNUMBER(FIND(";",O909))),NOT(ISNUMBER(FIND(",",O909)))),"OK","ERRO: um e-mail válido por linha"))</f>
      </c>
      <c r="Z909" s="6">
        <f>IF(AND(J909="",K909=""),"",IF(AND(J909&lt;&gt;"",K909&lt;&gt;""),"OK","pendente: só um nome (o GR completa ao converter)"))</f>
      </c>
      <c r="AA909" s="6">
        <f>IF(COUNTA(A909:S909)=0,"",IF(AND(A909&lt;&gt;"",B909&lt;&gt;"",C909&lt;&gt;"",D909&lt;&gt;"",E909&lt;&gt;"",F909&lt;&gt;"",G909&lt;&gt;"",H909&lt;&gt;"",OR(J909&lt;&gt;"",K909&lt;&gt;""),OR(M909&lt;&gt;"",N909&lt;&gt;"",O909&lt;&gt;"")),"OK","ERRO: faltam "&amp;IF(A909="","SDR; ","")&amp;IF(B909="","Proprietário; ","")&amp;IF(C909="","Origem; ","")&amp;IF(D909="","Temperatura; ","")&amp;IF(E909="","Segmento; ","")&amp;IF(F909="","Time/Cluster; ","")&amp;IF(G909="","CNPJ; ","")&amp;IF(H909="","Razão Social; ","")&amp;IF(AND(J909="",K909=""),"nome do contato; ","")&amp;IF(AND(M909="",N909="",O909=""),"telefone, celular ou e-mail; ","")))</f>
      </c>
      <c r="AB909" s="6">
        <f>IF(COUNTA(A909:S909)=0,"",IF(AND(U909="OK",V909="OK",LEFT(W909,4)&lt;&gt;"ERRO",LEFT(X909,4)&lt;&gt;"ERRO",LEFT(Y909,4)&lt;&gt;"ERRO",AA909="OK"),"OK","REVISAR"))</f>
      </c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5"/>
      <c r="K910" s="4"/>
      <c r="L910" s="4"/>
      <c r="M910" s="4"/>
      <c r="N910" s="4"/>
      <c r="O910" s="4"/>
      <c r="P910" s="4"/>
      <c r="Q910" s="4"/>
      <c r="R910" s="4"/>
      <c r="S910" s="4"/>
      <c r="T910" s="6">
        <f>IF(G910="","",SUBSTITUTE(SUBSTITUTE(SUBSTITUTE(SUBSTITUTE(SUBSTITUTE(SUBSTITUTE(SUBSTITUTE(TRIM(G910),".",""),"/",""),"-","")," ",""),"(",""),")",""),"+",""))</f>
      </c>
      <c r="U910" s="6">
        <f>IF(T910="","",IF(LEN(T910)&lt;&gt;14,"ERRO: "&amp;LEN(T910)&amp;" dígitos",IF(NOT(ISNUMBER(VALUE(T910))),"ERRO: não numérico",IF(LEN(SUBSTITUTE(T910,LEFT(T910,1),""))=0,"ERRO: dígitos repetidos",IF(AND(VALUE(MID(T910,13,1))=IF(MOD(SUMPRODUCT(--MID(T910,{1,2,3,4,5,6,7,8,9,10,11,12},1),{5,4,3,2,9,8,7,6,5,4,3,2}),11)&lt;2,0,11-MOD(SUMPRODUCT(--MID(T910,{1,2,3,4,5,6,7,8,9,10,11,12},1),{5,4,3,2,9,8,7,6,5,4,3,2}),11)),VALUE(MID(T910,14,1))=IF(MOD(SUMPRODUCT(--MID(T910,{1,2,3,4,5,6,7,8,9,10,11,12,13},1),{6,5,4,3,2,9,8,7,6,5,4,3,2}),11)&lt;2,0,11-MOD(SUMPRODUCT(--MID(T910,{1,2,3,4,5,6,7,8,9,10,11,12,13},1),{6,5,4,3,2,9,8,7,6,5,4,3,2}),11))),"OK","ERRO: dígito verificador")))))</f>
      </c>
      <c r="V910" s="6">
        <f>IF(T910="","",IF(COUNTIF($T$2:$T$1001,T910)&gt;1,"DUPLICADO","OK"))</f>
      </c>
      <c r="W910" s="6">
        <f>IF(M910="","vazio",IF(OR(AND(LEN(SUBSTITUTE(SUBSTITUTE(SUBSTITUTE(SUBSTITUTE(SUBSTITUTE(SUBSTITUTE(SUBSTITUTE(TRIM(M910),".",""),"/",""),"-","")," ",""),"(",""),")",""),"+",""))=10,LEFT(SUBSTITUTE(SUBSTITUTE(SUBSTITUTE(SUBSTITUTE(SUBSTITUTE(SUBSTITUTE(SUBSTITUTE(TRIM(M910),".",""),"/",""),"-","")," ",""),"(",""),")",""),"+",""),1)&lt;&gt;"0"),AND(LEN(SUBSTITUTE(SUBSTITUTE(SUBSTITUTE(SUBSTITUTE(SUBSTITUTE(SUBSTITUTE(SUBSTITUTE(TRIM(M910),".",""),"/",""),"-","")," ",""),"(",""),")",""),"+",""))=11,LEFT(SUBSTITUTE(SUBSTITUTE(SUBSTITUTE(SUBSTITUTE(SUBSTITUTE(SUBSTITUTE(SUBSTITUTE(TRIM(M910),".",""),"/",""),"-","")," ",""),"(",""),")",""),"+",""),4)="0800")),"OK",IF(AND(LEN(SUBSTITUTE(SUBSTITUTE(SUBSTITUTE(SUBSTITUTE(SUBSTITUTE(SUBSTITUTE(SUBSTITUTE(TRIM(M910),".",""),"/",""),"-","")," ",""),"(",""),")",""),"+",""))=11,MID(SUBSTITUTE(SUBSTITUTE(SUBSTITUTE(SUBSTITUTE(SUBSTITUTE(SUBSTITUTE(SUBSTITUTE(TRIM(M910),".",""),"/",""),"-","")," ",""),"(",""),")",""),"+",""),3,1)="9"),"ERRO: é celular, use a coluna Celular","ERRO: DDD + 8 dígitos ou 0800 + 7")))</f>
      </c>
      <c r="X910" s="6">
        <f>IF(N910="","vazio",IF(AND(LEN(SUBSTITUTE(SUBSTITUTE(SUBSTITUTE(SUBSTITUTE(SUBSTITUTE(SUBSTITUTE(SUBSTITUTE(TRIM(N910),".",""),"/",""),"-","")," ",""),"(",""),")",""),"+",""))=11,MID(SUBSTITUTE(SUBSTITUTE(SUBSTITUTE(SUBSTITUTE(SUBSTITUTE(SUBSTITUTE(SUBSTITUTE(TRIM(N910),".",""),"/",""),"-","")," ",""),"(",""),")",""),"+",""),3,1)="9",LEFT(SUBSTITUTE(SUBSTITUTE(SUBSTITUTE(SUBSTITUTE(SUBSTITUTE(SUBSTITUTE(SUBSTITUTE(TRIM(N910),".",""),"/",""),"-","")," ",""),"(",""),")",""),"+",""),1)&lt;&gt;"0"),"OK",IF(LEN(SUBSTITUTE(SUBSTITUTE(SUBSTITUTE(SUBSTITUTE(SUBSTITUTE(SUBSTITUTE(SUBSTITUTE(TRIM(N910),".",""),"/",""),"-","")," ",""),"(",""),")",""),"+",""))=10,"ERRO: é fixo (ou falta o 9), use a coluna Telefone fixo","ERRO: DDD + 9 + 8 dígitos")))</f>
      </c>
      <c r="Y910" s="6">
        <f>IF(O910="","vazio",IF(AND(ISNUMBER(FIND("@",O910)),ISNUMBER(FIND(".",MID(O910,FIND("@",O910),99))),NOT(ISNUMBER(FIND(" ",TRIM(O910)))),NOT(ISNUMBER(FIND(";",O910))),NOT(ISNUMBER(FIND(",",O910)))),"OK","ERRO: um e-mail válido por linha"))</f>
      </c>
      <c r="Z910" s="6">
        <f>IF(AND(J910="",K910=""),"",IF(AND(J910&lt;&gt;"",K910&lt;&gt;""),"OK","pendente: só um nome (o GR completa ao converter)"))</f>
      </c>
      <c r="AA910" s="6">
        <f>IF(COUNTA(A910:S910)=0,"",IF(AND(A910&lt;&gt;"",B910&lt;&gt;"",C910&lt;&gt;"",D910&lt;&gt;"",E910&lt;&gt;"",F910&lt;&gt;"",G910&lt;&gt;"",H910&lt;&gt;"",OR(J910&lt;&gt;"",K910&lt;&gt;""),OR(M910&lt;&gt;"",N910&lt;&gt;"",O910&lt;&gt;"")),"OK","ERRO: faltam "&amp;IF(A910="","SDR; ","")&amp;IF(B910="","Proprietário; ","")&amp;IF(C910="","Origem; ","")&amp;IF(D910="","Temperatura; ","")&amp;IF(E910="","Segmento; ","")&amp;IF(F910="","Time/Cluster; ","")&amp;IF(G910="","CNPJ; ","")&amp;IF(H910="","Razão Social; ","")&amp;IF(AND(J910="",K910=""),"nome do contato; ","")&amp;IF(AND(M910="",N910="",O910=""),"telefone, celular ou e-mail; ","")))</f>
      </c>
      <c r="AB910" s="6">
        <f>IF(COUNTA(A910:S910)=0,"",IF(AND(U910="OK",V910="OK",LEFT(W910,4)&lt;&gt;"ERRO",LEFT(X910,4)&lt;&gt;"ERRO",LEFT(Y910,4)&lt;&gt;"ERRO",AA910="OK"),"OK","REVISAR"))</f>
      </c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5"/>
      <c r="K911" s="4"/>
      <c r="L911" s="4"/>
      <c r="M911" s="4"/>
      <c r="N911" s="4"/>
      <c r="O911" s="4"/>
      <c r="P911" s="4"/>
      <c r="Q911" s="4"/>
      <c r="R911" s="4"/>
      <c r="S911" s="4"/>
      <c r="T911" s="6">
        <f>IF(G911="","",SUBSTITUTE(SUBSTITUTE(SUBSTITUTE(SUBSTITUTE(SUBSTITUTE(SUBSTITUTE(SUBSTITUTE(TRIM(G911),".",""),"/",""),"-","")," ",""),"(",""),")",""),"+",""))</f>
      </c>
      <c r="U911" s="6">
        <f>IF(T911="","",IF(LEN(T911)&lt;&gt;14,"ERRO: "&amp;LEN(T911)&amp;" dígitos",IF(NOT(ISNUMBER(VALUE(T911))),"ERRO: não numérico",IF(LEN(SUBSTITUTE(T911,LEFT(T911,1),""))=0,"ERRO: dígitos repetidos",IF(AND(VALUE(MID(T911,13,1))=IF(MOD(SUMPRODUCT(--MID(T911,{1,2,3,4,5,6,7,8,9,10,11,12},1),{5,4,3,2,9,8,7,6,5,4,3,2}),11)&lt;2,0,11-MOD(SUMPRODUCT(--MID(T911,{1,2,3,4,5,6,7,8,9,10,11,12},1),{5,4,3,2,9,8,7,6,5,4,3,2}),11)),VALUE(MID(T911,14,1))=IF(MOD(SUMPRODUCT(--MID(T911,{1,2,3,4,5,6,7,8,9,10,11,12,13},1),{6,5,4,3,2,9,8,7,6,5,4,3,2}),11)&lt;2,0,11-MOD(SUMPRODUCT(--MID(T911,{1,2,3,4,5,6,7,8,9,10,11,12,13},1),{6,5,4,3,2,9,8,7,6,5,4,3,2}),11))),"OK","ERRO: dígito verificador")))))</f>
      </c>
      <c r="V911" s="6">
        <f>IF(T911="","",IF(COUNTIF($T$2:$T$1001,T911)&gt;1,"DUPLICADO","OK"))</f>
      </c>
      <c r="W911" s="6">
        <f>IF(M911="","vazio",IF(OR(AND(LEN(SUBSTITUTE(SUBSTITUTE(SUBSTITUTE(SUBSTITUTE(SUBSTITUTE(SUBSTITUTE(SUBSTITUTE(TRIM(M911),".",""),"/",""),"-","")," ",""),"(",""),")",""),"+",""))=10,LEFT(SUBSTITUTE(SUBSTITUTE(SUBSTITUTE(SUBSTITUTE(SUBSTITUTE(SUBSTITUTE(SUBSTITUTE(TRIM(M911),".",""),"/",""),"-","")," ",""),"(",""),")",""),"+",""),1)&lt;&gt;"0"),AND(LEN(SUBSTITUTE(SUBSTITUTE(SUBSTITUTE(SUBSTITUTE(SUBSTITUTE(SUBSTITUTE(SUBSTITUTE(TRIM(M911),".",""),"/",""),"-","")," ",""),"(",""),")",""),"+",""))=11,LEFT(SUBSTITUTE(SUBSTITUTE(SUBSTITUTE(SUBSTITUTE(SUBSTITUTE(SUBSTITUTE(SUBSTITUTE(TRIM(M911),".",""),"/",""),"-","")," ",""),"(",""),")",""),"+",""),4)="0800")),"OK",IF(AND(LEN(SUBSTITUTE(SUBSTITUTE(SUBSTITUTE(SUBSTITUTE(SUBSTITUTE(SUBSTITUTE(SUBSTITUTE(TRIM(M911),".",""),"/",""),"-","")," ",""),"(",""),")",""),"+",""))=11,MID(SUBSTITUTE(SUBSTITUTE(SUBSTITUTE(SUBSTITUTE(SUBSTITUTE(SUBSTITUTE(SUBSTITUTE(TRIM(M911),".",""),"/",""),"-","")," ",""),"(",""),")",""),"+",""),3,1)="9"),"ERRO: é celular, use a coluna Celular","ERRO: DDD + 8 dígitos ou 0800 + 7")))</f>
      </c>
      <c r="X911" s="6">
        <f>IF(N911="","vazio",IF(AND(LEN(SUBSTITUTE(SUBSTITUTE(SUBSTITUTE(SUBSTITUTE(SUBSTITUTE(SUBSTITUTE(SUBSTITUTE(TRIM(N911),".",""),"/",""),"-","")," ",""),"(",""),")",""),"+",""))=11,MID(SUBSTITUTE(SUBSTITUTE(SUBSTITUTE(SUBSTITUTE(SUBSTITUTE(SUBSTITUTE(SUBSTITUTE(TRIM(N911),".",""),"/",""),"-","")," ",""),"(",""),")",""),"+",""),3,1)="9",LEFT(SUBSTITUTE(SUBSTITUTE(SUBSTITUTE(SUBSTITUTE(SUBSTITUTE(SUBSTITUTE(SUBSTITUTE(TRIM(N911),".",""),"/",""),"-","")," ",""),"(",""),")",""),"+",""),1)&lt;&gt;"0"),"OK",IF(LEN(SUBSTITUTE(SUBSTITUTE(SUBSTITUTE(SUBSTITUTE(SUBSTITUTE(SUBSTITUTE(SUBSTITUTE(TRIM(N911),".",""),"/",""),"-","")," ",""),"(",""),")",""),"+",""))=10,"ERRO: é fixo (ou falta o 9), use a coluna Telefone fixo","ERRO: DDD + 9 + 8 dígitos")))</f>
      </c>
      <c r="Y911" s="6">
        <f>IF(O911="","vazio",IF(AND(ISNUMBER(FIND("@",O911)),ISNUMBER(FIND(".",MID(O911,FIND("@",O911),99))),NOT(ISNUMBER(FIND(" ",TRIM(O911)))),NOT(ISNUMBER(FIND(";",O911))),NOT(ISNUMBER(FIND(",",O911)))),"OK","ERRO: um e-mail válido por linha"))</f>
      </c>
      <c r="Z911" s="6">
        <f>IF(AND(J911="",K911=""),"",IF(AND(J911&lt;&gt;"",K911&lt;&gt;""),"OK","pendente: só um nome (o GR completa ao converter)"))</f>
      </c>
      <c r="AA911" s="6">
        <f>IF(COUNTA(A911:S911)=0,"",IF(AND(A911&lt;&gt;"",B911&lt;&gt;"",C911&lt;&gt;"",D911&lt;&gt;"",E911&lt;&gt;"",F911&lt;&gt;"",G911&lt;&gt;"",H911&lt;&gt;"",OR(J911&lt;&gt;"",K911&lt;&gt;""),OR(M911&lt;&gt;"",N911&lt;&gt;"",O911&lt;&gt;"")),"OK","ERRO: faltam "&amp;IF(A911="","SDR; ","")&amp;IF(B911="","Proprietário; ","")&amp;IF(C911="","Origem; ","")&amp;IF(D911="","Temperatura; ","")&amp;IF(E911="","Segmento; ","")&amp;IF(F911="","Time/Cluster; ","")&amp;IF(G911="","CNPJ; ","")&amp;IF(H911="","Razão Social; ","")&amp;IF(AND(J911="",K911=""),"nome do contato; ","")&amp;IF(AND(M911="",N911="",O911=""),"telefone, celular ou e-mail; ","")))</f>
      </c>
      <c r="AB911" s="6">
        <f>IF(COUNTA(A911:S911)=0,"",IF(AND(U911="OK",V911="OK",LEFT(W911,4)&lt;&gt;"ERRO",LEFT(X911,4)&lt;&gt;"ERRO",LEFT(Y911,4)&lt;&gt;"ERRO",AA911="OK"),"OK","REVISAR"))</f>
      </c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5"/>
      <c r="K912" s="4"/>
      <c r="L912" s="4"/>
      <c r="M912" s="4"/>
      <c r="N912" s="4"/>
      <c r="O912" s="4"/>
      <c r="P912" s="4"/>
      <c r="Q912" s="4"/>
      <c r="R912" s="4"/>
      <c r="S912" s="4"/>
      <c r="T912" s="6">
        <f>IF(G912="","",SUBSTITUTE(SUBSTITUTE(SUBSTITUTE(SUBSTITUTE(SUBSTITUTE(SUBSTITUTE(SUBSTITUTE(TRIM(G912),".",""),"/",""),"-","")," ",""),"(",""),")",""),"+",""))</f>
      </c>
      <c r="U912" s="6">
        <f>IF(T912="","",IF(LEN(T912)&lt;&gt;14,"ERRO: "&amp;LEN(T912)&amp;" dígitos",IF(NOT(ISNUMBER(VALUE(T912))),"ERRO: não numérico",IF(LEN(SUBSTITUTE(T912,LEFT(T912,1),""))=0,"ERRO: dígitos repetidos",IF(AND(VALUE(MID(T912,13,1))=IF(MOD(SUMPRODUCT(--MID(T912,{1,2,3,4,5,6,7,8,9,10,11,12},1),{5,4,3,2,9,8,7,6,5,4,3,2}),11)&lt;2,0,11-MOD(SUMPRODUCT(--MID(T912,{1,2,3,4,5,6,7,8,9,10,11,12},1),{5,4,3,2,9,8,7,6,5,4,3,2}),11)),VALUE(MID(T912,14,1))=IF(MOD(SUMPRODUCT(--MID(T912,{1,2,3,4,5,6,7,8,9,10,11,12,13},1),{6,5,4,3,2,9,8,7,6,5,4,3,2}),11)&lt;2,0,11-MOD(SUMPRODUCT(--MID(T912,{1,2,3,4,5,6,7,8,9,10,11,12,13},1),{6,5,4,3,2,9,8,7,6,5,4,3,2}),11))),"OK","ERRO: dígito verificador")))))</f>
      </c>
      <c r="V912" s="6">
        <f>IF(T912="","",IF(COUNTIF($T$2:$T$1001,T912)&gt;1,"DUPLICADO","OK"))</f>
      </c>
      <c r="W912" s="6">
        <f>IF(M912="","vazio",IF(OR(AND(LEN(SUBSTITUTE(SUBSTITUTE(SUBSTITUTE(SUBSTITUTE(SUBSTITUTE(SUBSTITUTE(SUBSTITUTE(TRIM(M912),".",""),"/",""),"-","")," ",""),"(",""),")",""),"+",""))=10,LEFT(SUBSTITUTE(SUBSTITUTE(SUBSTITUTE(SUBSTITUTE(SUBSTITUTE(SUBSTITUTE(SUBSTITUTE(TRIM(M912),".",""),"/",""),"-","")," ",""),"(",""),")",""),"+",""),1)&lt;&gt;"0"),AND(LEN(SUBSTITUTE(SUBSTITUTE(SUBSTITUTE(SUBSTITUTE(SUBSTITUTE(SUBSTITUTE(SUBSTITUTE(TRIM(M912),".",""),"/",""),"-","")," ",""),"(",""),")",""),"+",""))=11,LEFT(SUBSTITUTE(SUBSTITUTE(SUBSTITUTE(SUBSTITUTE(SUBSTITUTE(SUBSTITUTE(SUBSTITUTE(TRIM(M912),".",""),"/",""),"-","")," ",""),"(",""),")",""),"+",""),4)="0800")),"OK",IF(AND(LEN(SUBSTITUTE(SUBSTITUTE(SUBSTITUTE(SUBSTITUTE(SUBSTITUTE(SUBSTITUTE(SUBSTITUTE(TRIM(M912),".",""),"/",""),"-","")," ",""),"(",""),")",""),"+",""))=11,MID(SUBSTITUTE(SUBSTITUTE(SUBSTITUTE(SUBSTITUTE(SUBSTITUTE(SUBSTITUTE(SUBSTITUTE(TRIM(M912),".",""),"/",""),"-","")," ",""),"(",""),")",""),"+",""),3,1)="9"),"ERRO: é celular, use a coluna Celular","ERRO: DDD + 8 dígitos ou 0800 + 7")))</f>
      </c>
      <c r="X912" s="6">
        <f>IF(N912="","vazio",IF(AND(LEN(SUBSTITUTE(SUBSTITUTE(SUBSTITUTE(SUBSTITUTE(SUBSTITUTE(SUBSTITUTE(SUBSTITUTE(TRIM(N912),".",""),"/",""),"-","")," ",""),"(",""),")",""),"+",""))=11,MID(SUBSTITUTE(SUBSTITUTE(SUBSTITUTE(SUBSTITUTE(SUBSTITUTE(SUBSTITUTE(SUBSTITUTE(TRIM(N912),".",""),"/",""),"-","")," ",""),"(",""),")",""),"+",""),3,1)="9",LEFT(SUBSTITUTE(SUBSTITUTE(SUBSTITUTE(SUBSTITUTE(SUBSTITUTE(SUBSTITUTE(SUBSTITUTE(TRIM(N912),".",""),"/",""),"-","")," ",""),"(",""),")",""),"+",""),1)&lt;&gt;"0"),"OK",IF(LEN(SUBSTITUTE(SUBSTITUTE(SUBSTITUTE(SUBSTITUTE(SUBSTITUTE(SUBSTITUTE(SUBSTITUTE(TRIM(N912),".",""),"/",""),"-","")," ",""),"(",""),")",""),"+",""))=10,"ERRO: é fixo (ou falta o 9), use a coluna Telefone fixo","ERRO: DDD + 9 + 8 dígitos")))</f>
      </c>
      <c r="Y912" s="6">
        <f>IF(O912="","vazio",IF(AND(ISNUMBER(FIND("@",O912)),ISNUMBER(FIND(".",MID(O912,FIND("@",O912),99))),NOT(ISNUMBER(FIND(" ",TRIM(O912)))),NOT(ISNUMBER(FIND(";",O912))),NOT(ISNUMBER(FIND(",",O912)))),"OK","ERRO: um e-mail válido por linha"))</f>
      </c>
      <c r="Z912" s="6">
        <f>IF(AND(J912="",K912=""),"",IF(AND(J912&lt;&gt;"",K912&lt;&gt;""),"OK","pendente: só um nome (o GR completa ao converter)"))</f>
      </c>
      <c r="AA912" s="6">
        <f>IF(COUNTA(A912:S912)=0,"",IF(AND(A912&lt;&gt;"",B912&lt;&gt;"",C912&lt;&gt;"",D912&lt;&gt;"",E912&lt;&gt;"",F912&lt;&gt;"",G912&lt;&gt;"",H912&lt;&gt;"",OR(J912&lt;&gt;"",K912&lt;&gt;""),OR(M912&lt;&gt;"",N912&lt;&gt;"",O912&lt;&gt;"")),"OK","ERRO: faltam "&amp;IF(A912="","SDR; ","")&amp;IF(B912="","Proprietário; ","")&amp;IF(C912="","Origem; ","")&amp;IF(D912="","Temperatura; ","")&amp;IF(E912="","Segmento; ","")&amp;IF(F912="","Time/Cluster; ","")&amp;IF(G912="","CNPJ; ","")&amp;IF(H912="","Razão Social; ","")&amp;IF(AND(J912="",K912=""),"nome do contato; ","")&amp;IF(AND(M912="",N912="",O912=""),"telefone, celular ou e-mail; ","")))</f>
      </c>
      <c r="AB912" s="6">
        <f>IF(COUNTA(A912:S912)=0,"",IF(AND(U912="OK",V912="OK",LEFT(W912,4)&lt;&gt;"ERRO",LEFT(X912,4)&lt;&gt;"ERRO",LEFT(Y912,4)&lt;&gt;"ERRO",AA912="OK"),"OK","REVISAR"))</f>
      </c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5"/>
      <c r="K913" s="4"/>
      <c r="L913" s="4"/>
      <c r="M913" s="4"/>
      <c r="N913" s="4"/>
      <c r="O913" s="4"/>
      <c r="P913" s="4"/>
      <c r="Q913" s="4"/>
      <c r="R913" s="4"/>
      <c r="S913" s="4"/>
      <c r="T913" s="6">
        <f>IF(G913="","",SUBSTITUTE(SUBSTITUTE(SUBSTITUTE(SUBSTITUTE(SUBSTITUTE(SUBSTITUTE(SUBSTITUTE(TRIM(G913),".",""),"/",""),"-","")," ",""),"(",""),")",""),"+",""))</f>
      </c>
      <c r="U913" s="6">
        <f>IF(T913="","",IF(LEN(T913)&lt;&gt;14,"ERRO: "&amp;LEN(T913)&amp;" dígitos",IF(NOT(ISNUMBER(VALUE(T913))),"ERRO: não numérico",IF(LEN(SUBSTITUTE(T913,LEFT(T913,1),""))=0,"ERRO: dígitos repetidos",IF(AND(VALUE(MID(T913,13,1))=IF(MOD(SUMPRODUCT(--MID(T913,{1,2,3,4,5,6,7,8,9,10,11,12},1),{5,4,3,2,9,8,7,6,5,4,3,2}),11)&lt;2,0,11-MOD(SUMPRODUCT(--MID(T913,{1,2,3,4,5,6,7,8,9,10,11,12},1),{5,4,3,2,9,8,7,6,5,4,3,2}),11)),VALUE(MID(T913,14,1))=IF(MOD(SUMPRODUCT(--MID(T913,{1,2,3,4,5,6,7,8,9,10,11,12,13},1),{6,5,4,3,2,9,8,7,6,5,4,3,2}),11)&lt;2,0,11-MOD(SUMPRODUCT(--MID(T913,{1,2,3,4,5,6,7,8,9,10,11,12,13},1),{6,5,4,3,2,9,8,7,6,5,4,3,2}),11))),"OK","ERRO: dígito verificador")))))</f>
      </c>
      <c r="V913" s="6">
        <f>IF(T913="","",IF(COUNTIF($T$2:$T$1001,T913)&gt;1,"DUPLICADO","OK"))</f>
      </c>
      <c r="W913" s="6">
        <f>IF(M913="","vazio",IF(OR(AND(LEN(SUBSTITUTE(SUBSTITUTE(SUBSTITUTE(SUBSTITUTE(SUBSTITUTE(SUBSTITUTE(SUBSTITUTE(TRIM(M913),".",""),"/",""),"-","")," ",""),"(",""),")",""),"+",""))=10,LEFT(SUBSTITUTE(SUBSTITUTE(SUBSTITUTE(SUBSTITUTE(SUBSTITUTE(SUBSTITUTE(SUBSTITUTE(TRIM(M913),".",""),"/",""),"-","")," ",""),"(",""),")",""),"+",""),1)&lt;&gt;"0"),AND(LEN(SUBSTITUTE(SUBSTITUTE(SUBSTITUTE(SUBSTITUTE(SUBSTITUTE(SUBSTITUTE(SUBSTITUTE(TRIM(M913),".",""),"/",""),"-","")," ",""),"(",""),")",""),"+",""))=11,LEFT(SUBSTITUTE(SUBSTITUTE(SUBSTITUTE(SUBSTITUTE(SUBSTITUTE(SUBSTITUTE(SUBSTITUTE(TRIM(M913),".",""),"/",""),"-","")," ",""),"(",""),")",""),"+",""),4)="0800")),"OK",IF(AND(LEN(SUBSTITUTE(SUBSTITUTE(SUBSTITUTE(SUBSTITUTE(SUBSTITUTE(SUBSTITUTE(SUBSTITUTE(TRIM(M913),".",""),"/",""),"-","")," ",""),"(",""),")",""),"+",""))=11,MID(SUBSTITUTE(SUBSTITUTE(SUBSTITUTE(SUBSTITUTE(SUBSTITUTE(SUBSTITUTE(SUBSTITUTE(TRIM(M913),".",""),"/",""),"-","")," ",""),"(",""),")",""),"+",""),3,1)="9"),"ERRO: é celular, use a coluna Celular","ERRO: DDD + 8 dígitos ou 0800 + 7")))</f>
      </c>
      <c r="X913" s="6">
        <f>IF(N913="","vazio",IF(AND(LEN(SUBSTITUTE(SUBSTITUTE(SUBSTITUTE(SUBSTITUTE(SUBSTITUTE(SUBSTITUTE(SUBSTITUTE(TRIM(N913),".",""),"/",""),"-","")," ",""),"(",""),")",""),"+",""))=11,MID(SUBSTITUTE(SUBSTITUTE(SUBSTITUTE(SUBSTITUTE(SUBSTITUTE(SUBSTITUTE(SUBSTITUTE(TRIM(N913),".",""),"/",""),"-","")," ",""),"(",""),")",""),"+",""),3,1)="9",LEFT(SUBSTITUTE(SUBSTITUTE(SUBSTITUTE(SUBSTITUTE(SUBSTITUTE(SUBSTITUTE(SUBSTITUTE(TRIM(N913),".",""),"/",""),"-","")," ",""),"(",""),")",""),"+",""),1)&lt;&gt;"0"),"OK",IF(LEN(SUBSTITUTE(SUBSTITUTE(SUBSTITUTE(SUBSTITUTE(SUBSTITUTE(SUBSTITUTE(SUBSTITUTE(TRIM(N913),".",""),"/",""),"-","")," ",""),"(",""),")",""),"+",""))=10,"ERRO: é fixo (ou falta o 9), use a coluna Telefone fixo","ERRO: DDD + 9 + 8 dígitos")))</f>
      </c>
      <c r="Y913" s="6">
        <f>IF(O913="","vazio",IF(AND(ISNUMBER(FIND("@",O913)),ISNUMBER(FIND(".",MID(O913,FIND("@",O913),99))),NOT(ISNUMBER(FIND(" ",TRIM(O913)))),NOT(ISNUMBER(FIND(";",O913))),NOT(ISNUMBER(FIND(",",O913)))),"OK","ERRO: um e-mail válido por linha"))</f>
      </c>
      <c r="Z913" s="6">
        <f>IF(AND(J913="",K913=""),"",IF(AND(J913&lt;&gt;"",K913&lt;&gt;""),"OK","pendente: só um nome (o GR completa ao converter)"))</f>
      </c>
      <c r="AA913" s="6">
        <f>IF(COUNTA(A913:S913)=0,"",IF(AND(A913&lt;&gt;"",B913&lt;&gt;"",C913&lt;&gt;"",D913&lt;&gt;"",E913&lt;&gt;"",F913&lt;&gt;"",G913&lt;&gt;"",H913&lt;&gt;"",OR(J913&lt;&gt;"",K913&lt;&gt;""),OR(M913&lt;&gt;"",N913&lt;&gt;"",O913&lt;&gt;"")),"OK","ERRO: faltam "&amp;IF(A913="","SDR; ","")&amp;IF(B913="","Proprietário; ","")&amp;IF(C913="","Origem; ","")&amp;IF(D913="","Temperatura; ","")&amp;IF(E913="","Segmento; ","")&amp;IF(F913="","Time/Cluster; ","")&amp;IF(G913="","CNPJ; ","")&amp;IF(H913="","Razão Social; ","")&amp;IF(AND(J913="",K913=""),"nome do contato; ","")&amp;IF(AND(M913="",N913="",O913=""),"telefone, celular ou e-mail; ","")))</f>
      </c>
      <c r="AB913" s="6">
        <f>IF(COUNTA(A913:S913)=0,"",IF(AND(U913="OK",V913="OK",LEFT(W913,4)&lt;&gt;"ERRO",LEFT(X913,4)&lt;&gt;"ERRO",LEFT(Y913,4)&lt;&gt;"ERRO",AA913="OK"),"OK","REVISAR"))</f>
      </c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5"/>
      <c r="K914" s="4"/>
      <c r="L914" s="4"/>
      <c r="M914" s="4"/>
      <c r="N914" s="4"/>
      <c r="O914" s="4"/>
      <c r="P914" s="4"/>
      <c r="Q914" s="4"/>
      <c r="R914" s="4"/>
      <c r="S914" s="4"/>
      <c r="T914" s="6">
        <f>IF(G914="","",SUBSTITUTE(SUBSTITUTE(SUBSTITUTE(SUBSTITUTE(SUBSTITUTE(SUBSTITUTE(SUBSTITUTE(TRIM(G914),".",""),"/",""),"-","")," ",""),"(",""),")",""),"+",""))</f>
      </c>
      <c r="U914" s="6">
        <f>IF(T914="","",IF(LEN(T914)&lt;&gt;14,"ERRO: "&amp;LEN(T914)&amp;" dígitos",IF(NOT(ISNUMBER(VALUE(T914))),"ERRO: não numérico",IF(LEN(SUBSTITUTE(T914,LEFT(T914,1),""))=0,"ERRO: dígitos repetidos",IF(AND(VALUE(MID(T914,13,1))=IF(MOD(SUMPRODUCT(--MID(T914,{1,2,3,4,5,6,7,8,9,10,11,12},1),{5,4,3,2,9,8,7,6,5,4,3,2}),11)&lt;2,0,11-MOD(SUMPRODUCT(--MID(T914,{1,2,3,4,5,6,7,8,9,10,11,12},1),{5,4,3,2,9,8,7,6,5,4,3,2}),11)),VALUE(MID(T914,14,1))=IF(MOD(SUMPRODUCT(--MID(T914,{1,2,3,4,5,6,7,8,9,10,11,12,13},1),{6,5,4,3,2,9,8,7,6,5,4,3,2}),11)&lt;2,0,11-MOD(SUMPRODUCT(--MID(T914,{1,2,3,4,5,6,7,8,9,10,11,12,13},1),{6,5,4,3,2,9,8,7,6,5,4,3,2}),11))),"OK","ERRO: dígito verificador")))))</f>
      </c>
      <c r="V914" s="6">
        <f>IF(T914="","",IF(COUNTIF($T$2:$T$1001,T914)&gt;1,"DUPLICADO","OK"))</f>
      </c>
      <c r="W914" s="6">
        <f>IF(M914="","vazio",IF(OR(AND(LEN(SUBSTITUTE(SUBSTITUTE(SUBSTITUTE(SUBSTITUTE(SUBSTITUTE(SUBSTITUTE(SUBSTITUTE(TRIM(M914),".",""),"/",""),"-","")," ",""),"(",""),")",""),"+",""))=10,LEFT(SUBSTITUTE(SUBSTITUTE(SUBSTITUTE(SUBSTITUTE(SUBSTITUTE(SUBSTITUTE(SUBSTITUTE(TRIM(M914),".",""),"/",""),"-","")," ",""),"(",""),")",""),"+",""),1)&lt;&gt;"0"),AND(LEN(SUBSTITUTE(SUBSTITUTE(SUBSTITUTE(SUBSTITUTE(SUBSTITUTE(SUBSTITUTE(SUBSTITUTE(TRIM(M914),".",""),"/",""),"-","")," ",""),"(",""),")",""),"+",""))=11,LEFT(SUBSTITUTE(SUBSTITUTE(SUBSTITUTE(SUBSTITUTE(SUBSTITUTE(SUBSTITUTE(SUBSTITUTE(TRIM(M914),".",""),"/",""),"-","")," ",""),"(",""),")",""),"+",""),4)="0800")),"OK",IF(AND(LEN(SUBSTITUTE(SUBSTITUTE(SUBSTITUTE(SUBSTITUTE(SUBSTITUTE(SUBSTITUTE(SUBSTITUTE(TRIM(M914),".",""),"/",""),"-","")," ",""),"(",""),")",""),"+",""))=11,MID(SUBSTITUTE(SUBSTITUTE(SUBSTITUTE(SUBSTITUTE(SUBSTITUTE(SUBSTITUTE(SUBSTITUTE(TRIM(M914),".",""),"/",""),"-","")," ",""),"(",""),")",""),"+",""),3,1)="9"),"ERRO: é celular, use a coluna Celular","ERRO: DDD + 8 dígitos ou 0800 + 7")))</f>
      </c>
      <c r="X914" s="6">
        <f>IF(N914="","vazio",IF(AND(LEN(SUBSTITUTE(SUBSTITUTE(SUBSTITUTE(SUBSTITUTE(SUBSTITUTE(SUBSTITUTE(SUBSTITUTE(TRIM(N914),".",""),"/",""),"-","")," ",""),"(",""),")",""),"+",""))=11,MID(SUBSTITUTE(SUBSTITUTE(SUBSTITUTE(SUBSTITUTE(SUBSTITUTE(SUBSTITUTE(SUBSTITUTE(TRIM(N914),".",""),"/",""),"-","")," ",""),"(",""),")",""),"+",""),3,1)="9",LEFT(SUBSTITUTE(SUBSTITUTE(SUBSTITUTE(SUBSTITUTE(SUBSTITUTE(SUBSTITUTE(SUBSTITUTE(TRIM(N914),".",""),"/",""),"-","")," ",""),"(",""),")",""),"+",""),1)&lt;&gt;"0"),"OK",IF(LEN(SUBSTITUTE(SUBSTITUTE(SUBSTITUTE(SUBSTITUTE(SUBSTITUTE(SUBSTITUTE(SUBSTITUTE(TRIM(N914),".",""),"/",""),"-","")," ",""),"(",""),")",""),"+",""))=10,"ERRO: é fixo (ou falta o 9), use a coluna Telefone fixo","ERRO: DDD + 9 + 8 dígitos")))</f>
      </c>
      <c r="Y914" s="6">
        <f>IF(O914="","vazio",IF(AND(ISNUMBER(FIND("@",O914)),ISNUMBER(FIND(".",MID(O914,FIND("@",O914),99))),NOT(ISNUMBER(FIND(" ",TRIM(O914)))),NOT(ISNUMBER(FIND(";",O914))),NOT(ISNUMBER(FIND(",",O914)))),"OK","ERRO: um e-mail válido por linha"))</f>
      </c>
      <c r="Z914" s="6">
        <f>IF(AND(J914="",K914=""),"",IF(AND(J914&lt;&gt;"",K914&lt;&gt;""),"OK","pendente: só um nome (o GR completa ao converter)"))</f>
      </c>
      <c r="AA914" s="6">
        <f>IF(COUNTA(A914:S914)=0,"",IF(AND(A914&lt;&gt;"",B914&lt;&gt;"",C914&lt;&gt;"",D914&lt;&gt;"",E914&lt;&gt;"",F914&lt;&gt;"",G914&lt;&gt;"",H914&lt;&gt;"",OR(J914&lt;&gt;"",K914&lt;&gt;""),OR(M914&lt;&gt;"",N914&lt;&gt;"",O914&lt;&gt;"")),"OK","ERRO: faltam "&amp;IF(A914="","SDR; ","")&amp;IF(B914="","Proprietário; ","")&amp;IF(C914="","Origem; ","")&amp;IF(D914="","Temperatura; ","")&amp;IF(E914="","Segmento; ","")&amp;IF(F914="","Time/Cluster; ","")&amp;IF(G914="","CNPJ; ","")&amp;IF(H914="","Razão Social; ","")&amp;IF(AND(J914="",K914=""),"nome do contato; ","")&amp;IF(AND(M914="",N914="",O914=""),"telefone, celular ou e-mail; ","")))</f>
      </c>
      <c r="AB914" s="6">
        <f>IF(COUNTA(A914:S914)=0,"",IF(AND(U914="OK",V914="OK",LEFT(W914,4)&lt;&gt;"ERRO",LEFT(X914,4)&lt;&gt;"ERRO",LEFT(Y914,4)&lt;&gt;"ERRO",AA914="OK"),"OK","REVISAR"))</f>
      </c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5"/>
      <c r="K915" s="4"/>
      <c r="L915" s="4"/>
      <c r="M915" s="4"/>
      <c r="N915" s="4"/>
      <c r="O915" s="4"/>
      <c r="P915" s="4"/>
      <c r="Q915" s="4"/>
      <c r="R915" s="4"/>
      <c r="S915" s="4"/>
      <c r="T915" s="6">
        <f>IF(G915="","",SUBSTITUTE(SUBSTITUTE(SUBSTITUTE(SUBSTITUTE(SUBSTITUTE(SUBSTITUTE(SUBSTITUTE(TRIM(G915),".",""),"/",""),"-","")," ",""),"(",""),")",""),"+",""))</f>
      </c>
      <c r="U915" s="6">
        <f>IF(T915="","",IF(LEN(T915)&lt;&gt;14,"ERRO: "&amp;LEN(T915)&amp;" dígitos",IF(NOT(ISNUMBER(VALUE(T915))),"ERRO: não numérico",IF(LEN(SUBSTITUTE(T915,LEFT(T915,1),""))=0,"ERRO: dígitos repetidos",IF(AND(VALUE(MID(T915,13,1))=IF(MOD(SUMPRODUCT(--MID(T915,{1,2,3,4,5,6,7,8,9,10,11,12},1),{5,4,3,2,9,8,7,6,5,4,3,2}),11)&lt;2,0,11-MOD(SUMPRODUCT(--MID(T915,{1,2,3,4,5,6,7,8,9,10,11,12},1),{5,4,3,2,9,8,7,6,5,4,3,2}),11)),VALUE(MID(T915,14,1))=IF(MOD(SUMPRODUCT(--MID(T915,{1,2,3,4,5,6,7,8,9,10,11,12,13},1),{6,5,4,3,2,9,8,7,6,5,4,3,2}),11)&lt;2,0,11-MOD(SUMPRODUCT(--MID(T915,{1,2,3,4,5,6,7,8,9,10,11,12,13},1),{6,5,4,3,2,9,8,7,6,5,4,3,2}),11))),"OK","ERRO: dígito verificador")))))</f>
      </c>
      <c r="V915" s="6">
        <f>IF(T915="","",IF(COUNTIF($T$2:$T$1001,T915)&gt;1,"DUPLICADO","OK"))</f>
      </c>
      <c r="W915" s="6">
        <f>IF(M915="","vazio",IF(OR(AND(LEN(SUBSTITUTE(SUBSTITUTE(SUBSTITUTE(SUBSTITUTE(SUBSTITUTE(SUBSTITUTE(SUBSTITUTE(TRIM(M915),".",""),"/",""),"-","")," ",""),"(",""),")",""),"+",""))=10,LEFT(SUBSTITUTE(SUBSTITUTE(SUBSTITUTE(SUBSTITUTE(SUBSTITUTE(SUBSTITUTE(SUBSTITUTE(TRIM(M915),".",""),"/",""),"-","")," ",""),"(",""),")",""),"+",""),1)&lt;&gt;"0"),AND(LEN(SUBSTITUTE(SUBSTITUTE(SUBSTITUTE(SUBSTITUTE(SUBSTITUTE(SUBSTITUTE(SUBSTITUTE(TRIM(M915),".",""),"/",""),"-","")," ",""),"(",""),")",""),"+",""))=11,LEFT(SUBSTITUTE(SUBSTITUTE(SUBSTITUTE(SUBSTITUTE(SUBSTITUTE(SUBSTITUTE(SUBSTITUTE(TRIM(M915),".",""),"/",""),"-","")," ",""),"(",""),")",""),"+",""),4)="0800")),"OK",IF(AND(LEN(SUBSTITUTE(SUBSTITUTE(SUBSTITUTE(SUBSTITUTE(SUBSTITUTE(SUBSTITUTE(SUBSTITUTE(TRIM(M915),".",""),"/",""),"-","")," ",""),"(",""),")",""),"+",""))=11,MID(SUBSTITUTE(SUBSTITUTE(SUBSTITUTE(SUBSTITUTE(SUBSTITUTE(SUBSTITUTE(SUBSTITUTE(TRIM(M915),".",""),"/",""),"-","")," ",""),"(",""),")",""),"+",""),3,1)="9"),"ERRO: é celular, use a coluna Celular","ERRO: DDD + 8 dígitos ou 0800 + 7")))</f>
      </c>
      <c r="X915" s="6">
        <f>IF(N915="","vazio",IF(AND(LEN(SUBSTITUTE(SUBSTITUTE(SUBSTITUTE(SUBSTITUTE(SUBSTITUTE(SUBSTITUTE(SUBSTITUTE(TRIM(N915),".",""),"/",""),"-","")," ",""),"(",""),")",""),"+",""))=11,MID(SUBSTITUTE(SUBSTITUTE(SUBSTITUTE(SUBSTITUTE(SUBSTITUTE(SUBSTITUTE(SUBSTITUTE(TRIM(N915),".",""),"/",""),"-","")," ",""),"(",""),")",""),"+",""),3,1)="9",LEFT(SUBSTITUTE(SUBSTITUTE(SUBSTITUTE(SUBSTITUTE(SUBSTITUTE(SUBSTITUTE(SUBSTITUTE(TRIM(N915),".",""),"/",""),"-","")," ",""),"(",""),")",""),"+",""),1)&lt;&gt;"0"),"OK",IF(LEN(SUBSTITUTE(SUBSTITUTE(SUBSTITUTE(SUBSTITUTE(SUBSTITUTE(SUBSTITUTE(SUBSTITUTE(TRIM(N915),".",""),"/",""),"-","")," ",""),"(",""),")",""),"+",""))=10,"ERRO: é fixo (ou falta o 9), use a coluna Telefone fixo","ERRO: DDD + 9 + 8 dígitos")))</f>
      </c>
      <c r="Y915" s="6">
        <f>IF(O915="","vazio",IF(AND(ISNUMBER(FIND("@",O915)),ISNUMBER(FIND(".",MID(O915,FIND("@",O915),99))),NOT(ISNUMBER(FIND(" ",TRIM(O915)))),NOT(ISNUMBER(FIND(";",O915))),NOT(ISNUMBER(FIND(",",O915)))),"OK","ERRO: um e-mail válido por linha"))</f>
      </c>
      <c r="Z915" s="6">
        <f>IF(AND(J915="",K915=""),"",IF(AND(J915&lt;&gt;"",K915&lt;&gt;""),"OK","pendente: só um nome (o GR completa ao converter)"))</f>
      </c>
      <c r="AA915" s="6">
        <f>IF(COUNTA(A915:S915)=0,"",IF(AND(A915&lt;&gt;"",B915&lt;&gt;"",C915&lt;&gt;"",D915&lt;&gt;"",E915&lt;&gt;"",F915&lt;&gt;"",G915&lt;&gt;"",H915&lt;&gt;"",OR(J915&lt;&gt;"",K915&lt;&gt;""),OR(M915&lt;&gt;"",N915&lt;&gt;"",O915&lt;&gt;"")),"OK","ERRO: faltam "&amp;IF(A915="","SDR; ","")&amp;IF(B915="","Proprietário; ","")&amp;IF(C915="","Origem; ","")&amp;IF(D915="","Temperatura; ","")&amp;IF(E915="","Segmento; ","")&amp;IF(F915="","Time/Cluster; ","")&amp;IF(G915="","CNPJ; ","")&amp;IF(H915="","Razão Social; ","")&amp;IF(AND(J915="",K915=""),"nome do contato; ","")&amp;IF(AND(M915="",N915="",O915=""),"telefone, celular ou e-mail; ","")))</f>
      </c>
      <c r="AB915" s="6">
        <f>IF(COUNTA(A915:S915)=0,"",IF(AND(U915="OK",V915="OK",LEFT(W915,4)&lt;&gt;"ERRO",LEFT(X915,4)&lt;&gt;"ERRO",LEFT(Y915,4)&lt;&gt;"ERRO",AA915="OK"),"OK","REVISAR"))</f>
      </c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5"/>
      <c r="K916" s="4"/>
      <c r="L916" s="4"/>
      <c r="M916" s="4"/>
      <c r="N916" s="4"/>
      <c r="O916" s="4"/>
      <c r="P916" s="4"/>
      <c r="Q916" s="4"/>
      <c r="R916" s="4"/>
      <c r="S916" s="4"/>
      <c r="T916" s="6">
        <f>IF(G916="","",SUBSTITUTE(SUBSTITUTE(SUBSTITUTE(SUBSTITUTE(SUBSTITUTE(SUBSTITUTE(SUBSTITUTE(TRIM(G916),".",""),"/",""),"-","")," ",""),"(",""),")",""),"+",""))</f>
      </c>
      <c r="U916" s="6">
        <f>IF(T916="","",IF(LEN(T916)&lt;&gt;14,"ERRO: "&amp;LEN(T916)&amp;" dígitos",IF(NOT(ISNUMBER(VALUE(T916))),"ERRO: não numérico",IF(LEN(SUBSTITUTE(T916,LEFT(T916,1),""))=0,"ERRO: dígitos repetidos",IF(AND(VALUE(MID(T916,13,1))=IF(MOD(SUMPRODUCT(--MID(T916,{1,2,3,4,5,6,7,8,9,10,11,12},1),{5,4,3,2,9,8,7,6,5,4,3,2}),11)&lt;2,0,11-MOD(SUMPRODUCT(--MID(T916,{1,2,3,4,5,6,7,8,9,10,11,12},1),{5,4,3,2,9,8,7,6,5,4,3,2}),11)),VALUE(MID(T916,14,1))=IF(MOD(SUMPRODUCT(--MID(T916,{1,2,3,4,5,6,7,8,9,10,11,12,13},1),{6,5,4,3,2,9,8,7,6,5,4,3,2}),11)&lt;2,0,11-MOD(SUMPRODUCT(--MID(T916,{1,2,3,4,5,6,7,8,9,10,11,12,13},1),{6,5,4,3,2,9,8,7,6,5,4,3,2}),11))),"OK","ERRO: dígito verificador")))))</f>
      </c>
      <c r="V916" s="6">
        <f>IF(T916="","",IF(COUNTIF($T$2:$T$1001,T916)&gt;1,"DUPLICADO","OK"))</f>
      </c>
      <c r="W916" s="6">
        <f>IF(M916="","vazio",IF(OR(AND(LEN(SUBSTITUTE(SUBSTITUTE(SUBSTITUTE(SUBSTITUTE(SUBSTITUTE(SUBSTITUTE(SUBSTITUTE(TRIM(M916),".",""),"/",""),"-","")," ",""),"(",""),")",""),"+",""))=10,LEFT(SUBSTITUTE(SUBSTITUTE(SUBSTITUTE(SUBSTITUTE(SUBSTITUTE(SUBSTITUTE(SUBSTITUTE(TRIM(M916),".",""),"/",""),"-","")," ",""),"(",""),")",""),"+",""),1)&lt;&gt;"0"),AND(LEN(SUBSTITUTE(SUBSTITUTE(SUBSTITUTE(SUBSTITUTE(SUBSTITUTE(SUBSTITUTE(SUBSTITUTE(TRIM(M916),".",""),"/",""),"-","")," ",""),"(",""),")",""),"+",""))=11,LEFT(SUBSTITUTE(SUBSTITUTE(SUBSTITUTE(SUBSTITUTE(SUBSTITUTE(SUBSTITUTE(SUBSTITUTE(TRIM(M916),".",""),"/",""),"-","")," ",""),"(",""),")",""),"+",""),4)="0800")),"OK",IF(AND(LEN(SUBSTITUTE(SUBSTITUTE(SUBSTITUTE(SUBSTITUTE(SUBSTITUTE(SUBSTITUTE(SUBSTITUTE(TRIM(M916),".",""),"/",""),"-","")," ",""),"(",""),")",""),"+",""))=11,MID(SUBSTITUTE(SUBSTITUTE(SUBSTITUTE(SUBSTITUTE(SUBSTITUTE(SUBSTITUTE(SUBSTITUTE(TRIM(M916),".",""),"/",""),"-","")," ",""),"(",""),")",""),"+",""),3,1)="9"),"ERRO: é celular, use a coluna Celular","ERRO: DDD + 8 dígitos ou 0800 + 7")))</f>
      </c>
      <c r="X916" s="6">
        <f>IF(N916="","vazio",IF(AND(LEN(SUBSTITUTE(SUBSTITUTE(SUBSTITUTE(SUBSTITUTE(SUBSTITUTE(SUBSTITUTE(SUBSTITUTE(TRIM(N916),".",""),"/",""),"-","")," ",""),"(",""),")",""),"+",""))=11,MID(SUBSTITUTE(SUBSTITUTE(SUBSTITUTE(SUBSTITUTE(SUBSTITUTE(SUBSTITUTE(SUBSTITUTE(TRIM(N916),".",""),"/",""),"-","")," ",""),"(",""),")",""),"+",""),3,1)="9",LEFT(SUBSTITUTE(SUBSTITUTE(SUBSTITUTE(SUBSTITUTE(SUBSTITUTE(SUBSTITUTE(SUBSTITUTE(TRIM(N916),".",""),"/",""),"-","")," ",""),"(",""),")",""),"+",""),1)&lt;&gt;"0"),"OK",IF(LEN(SUBSTITUTE(SUBSTITUTE(SUBSTITUTE(SUBSTITUTE(SUBSTITUTE(SUBSTITUTE(SUBSTITUTE(TRIM(N916),".",""),"/",""),"-","")," ",""),"(",""),")",""),"+",""))=10,"ERRO: é fixo (ou falta o 9), use a coluna Telefone fixo","ERRO: DDD + 9 + 8 dígitos")))</f>
      </c>
      <c r="Y916" s="6">
        <f>IF(O916="","vazio",IF(AND(ISNUMBER(FIND("@",O916)),ISNUMBER(FIND(".",MID(O916,FIND("@",O916),99))),NOT(ISNUMBER(FIND(" ",TRIM(O916)))),NOT(ISNUMBER(FIND(";",O916))),NOT(ISNUMBER(FIND(",",O916)))),"OK","ERRO: um e-mail válido por linha"))</f>
      </c>
      <c r="Z916" s="6">
        <f>IF(AND(J916="",K916=""),"",IF(AND(J916&lt;&gt;"",K916&lt;&gt;""),"OK","pendente: só um nome (o GR completa ao converter)"))</f>
      </c>
      <c r="AA916" s="6">
        <f>IF(COUNTA(A916:S916)=0,"",IF(AND(A916&lt;&gt;"",B916&lt;&gt;"",C916&lt;&gt;"",D916&lt;&gt;"",E916&lt;&gt;"",F916&lt;&gt;"",G916&lt;&gt;"",H916&lt;&gt;"",OR(J916&lt;&gt;"",K916&lt;&gt;""),OR(M916&lt;&gt;"",N916&lt;&gt;"",O916&lt;&gt;"")),"OK","ERRO: faltam "&amp;IF(A916="","SDR; ","")&amp;IF(B916="","Proprietário; ","")&amp;IF(C916="","Origem; ","")&amp;IF(D916="","Temperatura; ","")&amp;IF(E916="","Segmento; ","")&amp;IF(F916="","Time/Cluster; ","")&amp;IF(G916="","CNPJ; ","")&amp;IF(H916="","Razão Social; ","")&amp;IF(AND(J916="",K916=""),"nome do contato; ","")&amp;IF(AND(M916="",N916="",O916=""),"telefone, celular ou e-mail; ","")))</f>
      </c>
      <c r="AB916" s="6">
        <f>IF(COUNTA(A916:S916)=0,"",IF(AND(U916="OK",V916="OK",LEFT(W916,4)&lt;&gt;"ERRO",LEFT(X916,4)&lt;&gt;"ERRO",LEFT(Y916,4)&lt;&gt;"ERRO",AA916="OK"),"OK","REVISAR"))</f>
      </c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5"/>
      <c r="K917" s="4"/>
      <c r="L917" s="4"/>
      <c r="M917" s="4"/>
      <c r="N917" s="4"/>
      <c r="O917" s="4"/>
      <c r="P917" s="4"/>
      <c r="Q917" s="4"/>
      <c r="R917" s="4"/>
      <c r="S917" s="4"/>
      <c r="T917" s="6">
        <f>IF(G917="","",SUBSTITUTE(SUBSTITUTE(SUBSTITUTE(SUBSTITUTE(SUBSTITUTE(SUBSTITUTE(SUBSTITUTE(TRIM(G917),".",""),"/",""),"-","")," ",""),"(",""),")",""),"+",""))</f>
      </c>
      <c r="U917" s="6">
        <f>IF(T917="","",IF(LEN(T917)&lt;&gt;14,"ERRO: "&amp;LEN(T917)&amp;" dígitos",IF(NOT(ISNUMBER(VALUE(T917))),"ERRO: não numérico",IF(LEN(SUBSTITUTE(T917,LEFT(T917,1),""))=0,"ERRO: dígitos repetidos",IF(AND(VALUE(MID(T917,13,1))=IF(MOD(SUMPRODUCT(--MID(T917,{1,2,3,4,5,6,7,8,9,10,11,12},1),{5,4,3,2,9,8,7,6,5,4,3,2}),11)&lt;2,0,11-MOD(SUMPRODUCT(--MID(T917,{1,2,3,4,5,6,7,8,9,10,11,12},1),{5,4,3,2,9,8,7,6,5,4,3,2}),11)),VALUE(MID(T917,14,1))=IF(MOD(SUMPRODUCT(--MID(T917,{1,2,3,4,5,6,7,8,9,10,11,12,13},1),{6,5,4,3,2,9,8,7,6,5,4,3,2}),11)&lt;2,0,11-MOD(SUMPRODUCT(--MID(T917,{1,2,3,4,5,6,7,8,9,10,11,12,13},1),{6,5,4,3,2,9,8,7,6,5,4,3,2}),11))),"OK","ERRO: dígito verificador")))))</f>
      </c>
      <c r="V917" s="6">
        <f>IF(T917="","",IF(COUNTIF($T$2:$T$1001,T917)&gt;1,"DUPLICADO","OK"))</f>
      </c>
      <c r="W917" s="6">
        <f>IF(M917="","vazio",IF(OR(AND(LEN(SUBSTITUTE(SUBSTITUTE(SUBSTITUTE(SUBSTITUTE(SUBSTITUTE(SUBSTITUTE(SUBSTITUTE(TRIM(M917),".",""),"/",""),"-","")," ",""),"(",""),")",""),"+",""))=10,LEFT(SUBSTITUTE(SUBSTITUTE(SUBSTITUTE(SUBSTITUTE(SUBSTITUTE(SUBSTITUTE(SUBSTITUTE(TRIM(M917),".",""),"/",""),"-","")," ",""),"(",""),")",""),"+",""),1)&lt;&gt;"0"),AND(LEN(SUBSTITUTE(SUBSTITUTE(SUBSTITUTE(SUBSTITUTE(SUBSTITUTE(SUBSTITUTE(SUBSTITUTE(TRIM(M917),".",""),"/",""),"-","")," ",""),"(",""),")",""),"+",""))=11,LEFT(SUBSTITUTE(SUBSTITUTE(SUBSTITUTE(SUBSTITUTE(SUBSTITUTE(SUBSTITUTE(SUBSTITUTE(TRIM(M917),".",""),"/",""),"-","")," ",""),"(",""),")",""),"+",""),4)="0800")),"OK",IF(AND(LEN(SUBSTITUTE(SUBSTITUTE(SUBSTITUTE(SUBSTITUTE(SUBSTITUTE(SUBSTITUTE(SUBSTITUTE(TRIM(M917),".",""),"/",""),"-","")," ",""),"(",""),")",""),"+",""))=11,MID(SUBSTITUTE(SUBSTITUTE(SUBSTITUTE(SUBSTITUTE(SUBSTITUTE(SUBSTITUTE(SUBSTITUTE(TRIM(M917),".",""),"/",""),"-","")," ",""),"(",""),")",""),"+",""),3,1)="9"),"ERRO: é celular, use a coluna Celular","ERRO: DDD + 8 dígitos ou 0800 + 7")))</f>
      </c>
      <c r="X917" s="6">
        <f>IF(N917="","vazio",IF(AND(LEN(SUBSTITUTE(SUBSTITUTE(SUBSTITUTE(SUBSTITUTE(SUBSTITUTE(SUBSTITUTE(SUBSTITUTE(TRIM(N917),".",""),"/",""),"-","")," ",""),"(",""),")",""),"+",""))=11,MID(SUBSTITUTE(SUBSTITUTE(SUBSTITUTE(SUBSTITUTE(SUBSTITUTE(SUBSTITUTE(SUBSTITUTE(TRIM(N917),".",""),"/",""),"-","")," ",""),"(",""),")",""),"+",""),3,1)="9",LEFT(SUBSTITUTE(SUBSTITUTE(SUBSTITUTE(SUBSTITUTE(SUBSTITUTE(SUBSTITUTE(SUBSTITUTE(TRIM(N917),".",""),"/",""),"-","")," ",""),"(",""),")",""),"+",""),1)&lt;&gt;"0"),"OK",IF(LEN(SUBSTITUTE(SUBSTITUTE(SUBSTITUTE(SUBSTITUTE(SUBSTITUTE(SUBSTITUTE(SUBSTITUTE(TRIM(N917),".",""),"/",""),"-","")," ",""),"(",""),")",""),"+",""))=10,"ERRO: é fixo (ou falta o 9), use a coluna Telefone fixo","ERRO: DDD + 9 + 8 dígitos")))</f>
      </c>
      <c r="Y917" s="6">
        <f>IF(O917="","vazio",IF(AND(ISNUMBER(FIND("@",O917)),ISNUMBER(FIND(".",MID(O917,FIND("@",O917),99))),NOT(ISNUMBER(FIND(" ",TRIM(O917)))),NOT(ISNUMBER(FIND(";",O917))),NOT(ISNUMBER(FIND(",",O917)))),"OK","ERRO: um e-mail válido por linha"))</f>
      </c>
      <c r="Z917" s="6">
        <f>IF(AND(J917="",K917=""),"",IF(AND(J917&lt;&gt;"",K917&lt;&gt;""),"OK","pendente: só um nome (o GR completa ao converter)"))</f>
      </c>
      <c r="AA917" s="6">
        <f>IF(COUNTA(A917:S917)=0,"",IF(AND(A917&lt;&gt;"",B917&lt;&gt;"",C917&lt;&gt;"",D917&lt;&gt;"",E917&lt;&gt;"",F917&lt;&gt;"",G917&lt;&gt;"",H917&lt;&gt;"",OR(J917&lt;&gt;"",K917&lt;&gt;""),OR(M917&lt;&gt;"",N917&lt;&gt;"",O917&lt;&gt;"")),"OK","ERRO: faltam "&amp;IF(A917="","SDR; ","")&amp;IF(B917="","Proprietário; ","")&amp;IF(C917="","Origem; ","")&amp;IF(D917="","Temperatura; ","")&amp;IF(E917="","Segmento; ","")&amp;IF(F917="","Time/Cluster; ","")&amp;IF(G917="","CNPJ; ","")&amp;IF(H917="","Razão Social; ","")&amp;IF(AND(J917="",K917=""),"nome do contato; ","")&amp;IF(AND(M917="",N917="",O917=""),"telefone, celular ou e-mail; ","")))</f>
      </c>
      <c r="AB917" s="6">
        <f>IF(COUNTA(A917:S917)=0,"",IF(AND(U917="OK",V917="OK",LEFT(W917,4)&lt;&gt;"ERRO",LEFT(X917,4)&lt;&gt;"ERRO",LEFT(Y917,4)&lt;&gt;"ERRO",AA917="OK"),"OK","REVISAR"))</f>
      </c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5"/>
      <c r="K918" s="4"/>
      <c r="L918" s="4"/>
      <c r="M918" s="4"/>
      <c r="N918" s="4"/>
      <c r="O918" s="4"/>
      <c r="P918" s="4"/>
      <c r="Q918" s="4"/>
      <c r="R918" s="4"/>
      <c r="S918" s="4"/>
      <c r="T918" s="6">
        <f>IF(G918="","",SUBSTITUTE(SUBSTITUTE(SUBSTITUTE(SUBSTITUTE(SUBSTITUTE(SUBSTITUTE(SUBSTITUTE(TRIM(G918),".",""),"/",""),"-","")," ",""),"(",""),")",""),"+",""))</f>
      </c>
      <c r="U918" s="6">
        <f>IF(T918="","",IF(LEN(T918)&lt;&gt;14,"ERRO: "&amp;LEN(T918)&amp;" dígitos",IF(NOT(ISNUMBER(VALUE(T918))),"ERRO: não numérico",IF(LEN(SUBSTITUTE(T918,LEFT(T918,1),""))=0,"ERRO: dígitos repetidos",IF(AND(VALUE(MID(T918,13,1))=IF(MOD(SUMPRODUCT(--MID(T918,{1,2,3,4,5,6,7,8,9,10,11,12},1),{5,4,3,2,9,8,7,6,5,4,3,2}),11)&lt;2,0,11-MOD(SUMPRODUCT(--MID(T918,{1,2,3,4,5,6,7,8,9,10,11,12},1),{5,4,3,2,9,8,7,6,5,4,3,2}),11)),VALUE(MID(T918,14,1))=IF(MOD(SUMPRODUCT(--MID(T918,{1,2,3,4,5,6,7,8,9,10,11,12,13},1),{6,5,4,3,2,9,8,7,6,5,4,3,2}),11)&lt;2,0,11-MOD(SUMPRODUCT(--MID(T918,{1,2,3,4,5,6,7,8,9,10,11,12,13},1),{6,5,4,3,2,9,8,7,6,5,4,3,2}),11))),"OK","ERRO: dígito verificador")))))</f>
      </c>
      <c r="V918" s="6">
        <f>IF(T918="","",IF(COUNTIF($T$2:$T$1001,T918)&gt;1,"DUPLICADO","OK"))</f>
      </c>
      <c r="W918" s="6">
        <f>IF(M918="","vazio",IF(OR(AND(LEN(SUBSTITUTE(SUBSTITUTE(SUBSTITUTE(SUBSTITUTE(SUBSTITUTE(SUBSTITUTE(SUBSTITUTE(TRIM(M918),".",""),"/",""),"-","")," ",""),"(",""),")",""),"+",""))=10,LEFT(SUBSTITUTE(SUBSTITUTE(SUBSTITUTE(SUBSTITUTE(SUBSTITUTE(SUBSTITUTE(SUBSTITUTE(TRIM(M918),".",""),"/",""),"-","")," ",""),"(",""),")",""),"+",""),1)&lt;&gt;"0"),AND(LEN(SUBSTITUTE(SUBSTITUTE(SUBSTITUTE(SUBSTITUTE(SUBSTITUTE(SUBSTITUTE(SUBSTITUTE(TRIM(M918),".",""),"/",""),"-","")," ",""),"(",""),")",""),"+",""))=11,LEFT(SUBSTITUTE(SUBSTITUTE(SUBSTITUTE(SUBSTITUTE(SUBSTITUTE(SUBSTITUTE(SUBSTITUTE(TRIM(M918),".",""),"/",""),"-","")," ",""),"(",""),")",""),"+",""),4)="0800")),"OK",IF(AND(LEN(SUBSTITUTE(SUBSTITUTE(SUBSTITUTE(SUBSTITUTE(SUBSTITUTE(SUBSTITUTE(SUBSTITUTE(TRIM(M918),".",""),"/",""),"-","")," ",""),"(",""),")",""),"+",""))=11,MID(SUBSTITUTE(SUBSTITUTE(SUBSTITUTE(SUBSTITUTE(SUBSTITUTE(SUBSTITUTE(SUBSTITUTE(TRIM(M918),".",""),"/",""),"-","")," ",""),"(",""),")",""),"+",""),3,1)="9"),"ERRO: é celular, use a coluna Celular","ERRO: DDD + 8 dígitos ou 0800 + 7")))</f>
      </c>
      <c r="X918" s="6">
        <f>IF(N918="","vazio",IF(AND(LEN(SUBSTITUTE(SUBSTITUTE(SUBSTITUTE(SUBSTITUTE(SUBSTITUTE(SUBSTITUTE(SUBSTITUTE(TRIM(N918),".",""),"/",""),"-","")," ",""),"(",""),")",""),"+",""))=11,MID(SUBSTITUTE(SUBSTITUTE(SUBSTITUTE(SUBSTITUTE(SUBSTITUTE(SUBSTITUTE(SUBSTITUTE(TRIM(N918),".",""),"/",""),"-","")," ",""),"(",""),")",""),"+",""),3,1)="9",LEFT(SUBSTITUTE(SUBSTITUTE(SUBSTITUTE(SUBSTITUTE(SUBSTITUTE(SUBSTITUTE(SUBSTITUTE(TRIM(N918),".",""),"/",""),"-","")," ",""),"(",""),")",""),"+",""),1)&lt;&gt;"0"),"OK",IF(LEN(SUBSTITUTE(SUBSTITUTE(SUBSTITUTE(SUBSTITUTE(SUBSTITUTE(SUBSTITUTE(SUBSTITUTE(TRIM(N918),".",""),"/",""),"-","")," ",""),"(",""),")",""),"+",""))=10,"ERRO: é fixo (ou falta o 9), use a coluna Telefone fixo","ERRO: DDD + 9 + 8 dígitos")))</f>
      </c>
      <c r="Y918" s="6">
        <f>IF(O918="","vazio",IF(AND(ISNUMBER(FIND("@",O918)),ISNUMBER(FIND(".",MID(O918,FIND("@",O918),99))),NOT(ISNUMBER(FIND(" ",TRIM(O918)))),NOT(ISNUMBER(FIND(";",O918))),NOT(ISNUMBER(FIND(",",O918)))),"OK","ERRO: um e-mail válido por linha"))</f>
      </c>
      <c r="Z918" s="6">
        <f>IF(AND(J918="",K918=""),"",IF(AND(J918&lt;&gt;"",K918&lt;&gt;""),"OK","pendente: só um nome (o GR completa ao converter)"))</f>
      </c>
      <c r="AA918" s="6">
        <f>IF(COUNTA(A918:S918)=0,"",IF(AND(A918&lt;&gt;"",B918&lt;&gt;"",C918&lt;&gt;"",D918&lt;&gt;"",E918&lt;&gt;"",F918&lt;&gt;"",G918&lt;&gt;"",H918&lt;&gt;"",OR(J918&lt;&gt;"",K918&lt;&gt;""),OR(M918&lt;&gt;"",N918&lt;&gt;"",O918&lt;&gt;"")),"OK","ERRO: faltam "&amp;IF(A918="","SDR; ","")&amp;IF(B918="","Proprietário; ","")&amp;IF(C918="","Origem; ","")&amp;IF(D918="","Temperatura; ","")&amp;IF(E918="","Segmento; ","")&amp;IF(F918="","Time/Cluster; ","")&amp;IF(G918="","CNPJ; ","")&amp;IF(H918="","Razão Social; ","")&amp;IF(AND(J918="",K918=""),"nome do contato; ","")&amp;IF(AND(M918="",N918="",O918=""),"telefone, celular ou e-mail; ","")))</f>
      </c>
      <c r="AB918" s="6">
        <f>IF(COUNTA(A918:S918)=0,"",IF(AND(U918="OK",V918="OK",LEFT(W918,4)&lt;&gt;"ERRO",LEFT(X918,4)&lt;&gt;"ERRO",LEFT(Y918,4)&lt;&gt;"ERRO",AA918="OK"),"OK","REVISAR"))</f>
      </c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5"/>
      <c r="K919" s="4"/>
      <c r="L919" s="4"/>
      <c r="M919" s="4"/>
      <c r="N919" s="4"/>
      <c r="O919" s="4"/>
      <c r="P919" s="4"/>
      <c r="Q919" s="4"/>
      <c r="R919" s="4"/>
      <c r="S919" s="4"/>
      <c r="T919" s="6">
        <f>IF(G919="","",SUBSTITUTE(SUBSTITUTE(SUBSTITUTE(SUBSTITUTE(SUBSTITUTE(SUBSTITUTE(SUBSTITUTE(TRIM(G919),".",""),"/",""),"-","")," ",""),"(",""),")",""),"+",""))</f>
      </c>
      <c r="U919" s="6">
        <f>IF(T919="","",IF(LEN(T919)&lt;&gt;14,"ERRO: "&amp;LEN(T919)&amp;" dígitos",IF(NOT(ISNUMBER(VALUE(T919))),"ERRO: não numérico",IF(LEN(SUBSTITUTE(T919,LEFT(T919,1),""))=0,"ERRO: dígitos repetidos",IF(AND(VALUE(MID(T919,13,1))=IF(MOD(SUMPRODUCT(--MID(T919,{1,2,3,4,5,6,7,8,9,10,11,12},1),{5,4,3,2,9,8,7,6,5,4,3,2}),11)&lt;2,0,11-MOD(SUMPRODUCT(--MID(T919,{1,2,3,4,5,6,7,8,9,10,11,12},1),{5,4,3,2,9,8,7,6,5,4,3,2}),11)),VALUE(MID(T919,14,1))=IF(MOD(SUMPRODUCT(--MID(T919,{1,2,3,4,5,6,7,8,9,10,11,12,13},1),{6,5,4,3,2,9,8,7,6,5,4,3,2}),11)&lt;2,0,11-MOD(SUMPRODUCT(--MID(T919,{1,2,3,4,5,6,7,8,9,10,11,12,13},1),{6,5,4,3,2,9,8,7,6,5,4,3,2}),11))),"OK","ERRO: dígito verificador")))))</f>
      </c>
      <c r="V919" s="6">
        <f>IF(T919="","",IF(COUNTIF($T$2:$T$1001,T919)&gt;1,"DUPLICADO","OK"))</f>
      </c>
      <c r="W919" s="6">
        <f>IF(M919="","vazio",IF(OR(AND(LEN(SUBSTITUTE(SUBSTITUTE(SUBSTITUTE(SUBSTITUTE(SUBSTITUTE(SUBSTITUTE(SUBSTITUTE(TRIM(M919),".",""),"/",""),"-","")," ",""),"(",""),")",""),"+",""))=10,LEFT(SUBSTITUTE(SUBSTITUTE(SUBSTITUTE(SUBSTITUTE(SUBSTITUTE(SUBSTITUTE(SUBSTITUTE(TRIM(M919),".",""),"/",""),"-","")," ",""),"(",""),")",""),"+",""),1)&lt;&gt;"0"),AND(LEN(SUBSTITUTE(SUBSTITUTE(SUBSTITUTE(SUBSTITUTE(SUBSTITUTE(SUBSTITUTE(SUBSTITUTE(TRIM(M919),".",""),"/",""),"-","")," ",""),"(",""),")",""),"+",""))=11,LEFT(SUBSTITUTE(SUBSTITUTE(SUBSTITUTE(SUBSTITUTE(SUBSTITUTE(SUBSTITUTE(SUBSTITUTE(TRIM(M919),".",""),"/",""),"-","")," ",""),"(",""),")",""),"+",""),4)="0800")),"OK",IF(AND(LEN(SUBSTITUTE(SUBSTITUTE(SUBSTITUTE(SUBSTITUTE(SUBSTITUTE(SUBSTITUTE(SUBSTITUTE(TRIM(M919),".",""),"/",""),"-","")," ",""),"(",""),")",""),"+",""))=11,MID(SUBSTITUTE(SUBSTITUTE(SUBSTITUTE(SUBSTITUTE(SUBSTITUTE(SUBSTITUTE(SUBSTITUTE(TRIM(M919),".",""),"/",""),"-","")," ",""),"(",""),")",""),"+",""),3,1)="9"),"ERRO: é celular, use a coluna Celular","ERRO: DDD + 8 dígitos ou 0800 + 7")))</f>
      </c>
      <c r="X919" s="6">
        <f>IF(N919="","vazio",IF(AND(LEN(SUBSTITUTE(SUBSTITUTE(SUBSTITUTE(SUBSTITUTE(SUBSTITUTE(SUBSTITUTE(SUBSTITUTE(TRIM(N919),".",""),"/",""),"-","")," ",""),"(",""),")",""),"+",""))=11,MID(SUBSTITUTE(SUBSTITUTE(SUBSTITUTE(SUBSTITUTE(SUBSTITUTE(SUBSTITUTE(SUBSTITUTE(TRIM(N919),".",""),"/",""),"-","")," ",""),"(",""),")",""),"+",""),3,1)="9",LEFT(SUBSTITUTE(SUBSTITUTE(SUBSTITUTE(SUBSTITUTE(SUBSTITUTE(SUBSTITUTE(SUBSTITUTE(TRIM(N919),".",""),"/",""),"-","")," ",""),"(",""),")",""),"+",""),1)&lt;&gt;"0"),"OK",IF(LEN(SUBSTITUTE(SUBSTITUTE(SUBSTITUTE(SUBSTITUTE(SUBSTITUTE(SUBSTITUTE(SUBSTITUTE(TRIM(N919),".",""),"/",""),"-","")," ",""),"(",""),")",""),"+",""))=10,"ERRO: é fixo (ou falta o 9), use a coluna Telefone fixo","ERRO: DDD + 9 + 8 dígitos")))</f>
      </c>
      <c r="Y919" s="6">
        <f>IF(O919="","vazio",IF(AND(ISNUMBER(FIND("@",O919)),ISNUMBER(FIND(".",MID(O919,FIND("@",O919),99))),NOT(ISNUMBER(FIND(" ",TRIM(O919)))),NOT(ISNUMBER(FIND(";",O919))),NOT(ISNUMBER(FIND(",",O919)))),"OK","ERRO: um e-mail válido por linha"))</f>
      </c>
      <c r="Z919" s="6">
        <f>IF(AND(J919="",K919=""),"",IF(AND(J919&lt;&gt;"",K919&lt;&gt;""),"OK","pendente: só um nome (o GR completa ao converter)"))</f>
      </c>
      <c r="AA919" s="6">
        <f>IF(COUNTA(A919:S919)=0,"",IF(AND(A919&lt;&gt;"",B919&lt;&gt;"",C919&lt;&gt;"",D919&lt;&gt;"",E919&lt;&gt;"",F919&lt;&gt;"",G919&lt;&gt;"",H919&lt;&gt;"",OR(J919&lt;&gt;"",K919&lt;&gt;""),OR(M919&lt;&gt;"",N919&lt;&gt;"",O919&lt;&gt;"")),"OK","ERRO: faltam "&amp;IF(A919="","SDR; ","")&amp;IF(B919="","Proprietário; ","")&amp;IF(C919="","Origem; ","")&amp;IF(D919="","Temperatura; ","")&amp;IF(E919="","Segmento; ","")&amp;IF(F919="","Time/Cluster; ","")&amp;IF(G919="","CNPJ; ","")&amp;IF(H919="","Razão Social; ","")&amp;IF(AND(J919="",K919=""),"nome do contato; ","")&amp;IF(AND(M919="",N919="",O919=""),"telefone, celular ou e-mail; ","")))</f>
      </c>
      <c r="AB919" s="6">
        <f>IF(COUNTA(A919:S919)=0,"",IF(AND(U919="OK",V919="OK",LEFT(W919,4)&lt;&gt;"ERRO",LEFT(X919,4)&lt;&gt;"ERRO",LEFT(Y919,4)&lt;&gt;"ERRO",AA919="OK"),"OK","REVISAR"))</f>
      </c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5"/>
      <c r="K920" s="4"/>
      <c r="L920" s="4"/>
      <c r="M920" s="4"/>
      <c r="N920" s="4"/>
      <c r="O920" s="4"/>
      <c r="P920" s="4"/>
      <c r="Q920" s="4"/>
      <c r="R920" s="4"/>
      <c r="S920" s="4"/>
      <c r="T920" s="6">
        <f>IF(G920="","",SUBSTITUTE(SUBSTITUTE(SUBSTITUTE(SUBSTITUTE(SUBSTITUTE(SUBSTITUTE(SUBSTITUTE(TRIM(G920),".",""),"/",""),"-","")," ",""),"(",""),")",""),"+",""))</f>
      </c>
      <c r="U920" s="6">
        <f>IF(T920="","",IF(LEN(T920)&lt;&gt;14,"ERRO: "&amp;LEN(T920)&amp;" dígitos",IF(NOT(ISNUMBER(VALUE(T920))),"ERRO: não numérico",IF(LEN(SUBSTITUTE(T920,LEFT(T920,1),""))=0,"ERRO: dígitos repetidos",IF(AND(VALUE(MID(T920,13,1))=IF(MOD(SUMPRODUCT(--MID(T920,{1,2,3,4,5,6,7,8,9,10,11,12},1),{5,4,3,2,9,8,7,6,5,4,3,2}),11)&lt;2,0,11-MOD(SUMPRODUCT(--MID(T920,{1,2,3,4,5,6,7,8,9,10,11,12},1),{5,4,3,2,9,8,7,6,5,4,3,2}),11)),VALUE(MID(T920,14,1))=IF(MOD(SUMPRODUCT(--MID(T920,{1,2,3,4,5,6,7,8,9,10,11,12,13},1),{6,5,4,3,2,9,8,7,6,5,4,3,2}),11)&lt;2,0,11-MOD(SUMPRODUCT(--MID(T920,{1,2,3,4,5,6,7,8,9,10,11,12,13},1),{6,5,4,3,2,9,8,7,6,5,4,3,2}),11))),"OK","ERRO: dígito verificador")))))</f>
      </c>
      <c r="V920" s="6">
        <f>IF(T920="","",IF(COUNTIF($T$2:$T$1001,T920)&gt;1,"DUPLICADO","OK"))</f>
      </c>
      <c r="W920" s="6">
        <f>IF(M920="","vazio",IF(OR(AND(LEN(SUBSTITUTE(SUBSTITUTE(SUBSTITUTE(SUBSTITUTE(SUBSTITUTE(SUBSTITUTE(SUBSTITUTE(TRIM(M920),".",""),"/",""),"-","")," ",""),"(",""),")",""),"+",""))=10,LEFT(SUBSTITUTE(SUBSTITUTE(SUBSTITUTE(SUBSTITUTE(SUBSTITUTE(SUBSTITUTE(SUBSTITUTE(TRIM(M920),".",""),"/",""),"-","")," ",""),"(",""),")",""),"+",""),1)&lt;&gt;"0"),AND(LEN(SUBSTITUTE(SUBSTITUTE(SUBSTITUTE(SUBSTITUTE(SUBSTITUTE(SUBSTITUTE(SUBSTITUTE(TRIM(M920),".",""),"/",""),"-","")," ",""),"(",""),")",""),"+",""))=11,LEFT(SUBSTITUTE(SUBSTITUTE(SUBSTITUTE(SUBSTITUTE(SUBSTITUTE(SUBSTITUTE(SUBSTITUTE(TRIM(M920),".",""),"/",""),"-","")," ",""),"(",""),")",""),"+",""),4)="0800")),"OK",IF(AND(LEN(SUBSTITUTE(SUBSTITUTE(SUBSTITUTE(SUBSTITUTE(SUBSTITUTE(SUBSTITUTE(SUBSTITUTE(TRIM(M920),".",""),"/",""),"-","")," ",""),"(",""),")",""),"+",""))=11,MID(SUBSTITUTE(SUBSTITUTE(SUBSTITUTE(SUBSTITUTE(SUBSTITUTE(SUBSTITUTE(SUBSTITUTE(TRIM(M920),".",""),"/",""),"-","")," ",""),"(",""),")",""),"+",""),3,1)="9"),"ERRO: é celular, use a coluna Celular","ERRO: DDD + 8 dígitos ou 0800 + 7")))</f>
      </c>
      <c r="X920" s="6">
        <f>IF(N920="","vazio",IF(AND(LEN(SUBSTITUTE(SUBSTITUTE(SUBSTITUTE(SUBSTITUTE(SUBSTITUTE(SUBSTITUTE(SUBSTITUTE(TRIM(N920),".",""),"/",""),"-","")," ",""),"(",""),")",""),"+",""))=11,MID(SUBSTITUTE(SUBSTITUTE(SUBSTITUTE(SUBSTITUTE(SUBSTITUTE(SUBSTITUTE(SUBSTITUTE(TRIM(N920),".",""),"/",""),"-","")," ",""),"(",""),")",""),"+",""),3,1)="9",LEFT(SUBSTITUTE(SUBSTITUTE(SUBSTITUTE(SUBSTITUTE(SUBSTITUTE(SUBSTITUTE(SUBSTITUTE(TRIM(N920),".",""),"/",""),"-","")," ",""),"(",""),")",""),"+",""),1)&lt;&gt;"0"),"OK",IF(LEN(SUBSTITUTE(SUBSTITUTE(SUBSTITUTE(SUBSTITUTE(SUBSTITUTE(SUBSTITUTE(SUBSTITUTE(TRIM(N920),".",""),"/",""),"-","")," ",""),"(",""),")",""),"+",""))=10,"ERRO: é fixo (ou falta o 9), use a coluna Telefone fixo","ERRO: DDD + 9 + 8 dígitos")))</f>
      </c>
      <c r="Y920" s="6">
        <f>IF(O920="","vazio",IF(AND(ISNUMBER(FIND("@",O920)),ISNUMBER(FIND(".",MID(O920,FIND("@",O920),99))),NOT(ISNUMBER(FIND(" ",TRIM(O920)))),NOT(ISNUMBER(FIND(";",O920))),NOT(ISNUMBER(FIND(",",O920)))),"OK","ERRO: um e-mail válido por linha"))</f>
      </c>
      <c r="Z920" s="6">
        <f>IF(AND(J920="",K920=""),"",IF(AND(J920&lt;&gt;"",K920&lt;&gt;""),"OK","pendente: só um nome (o GR completa ao converter)"))</f>
      </c>
      <c r="AA920" s="6">
        <f>IF(COUNTA(A920:S920)=0,"",IF(AND(A920&lt;&gt;"",B920&lt;&gt;"",C920&lt;&gt;"",D920&lt;&gt;"",E920&lt;&gt;"",F920&lt;&gt;"",G920&lt;&gt;"",H920&lt;&gt;"",OR(J920&lt;&gt;"",K920&lt;&gt;""),OR(M920&lt;&gt;"",N920&lt;&gt;"",O920&lt;&gt;"")),"OK","ERRO: faltam "&amp;IF(A920="","SDR; ","")&amp;IF(B920="","Proprietário; ","")&amp;IF(C920="","Origem; ","")&amp;IF(D920="","Temperatura; ","")&amp;IF(E920="","Segmento; ","")&amp;IF(F920="","Time/Cluster; ","")&amp;IF(G920="","CNPJ; ","")&amp;IF(H920="","Razão Social; ","")&amp;IF(AND(J920="",K920=""),"nome do contato; ","")&amp;IF(AND(M920="",N920="",O920=""),"telefone, celular ou e-mail; ","")))</f>
      </c>
      <c r="AB920" s="6">
        <f>IF(COUNTA(A920:S920)=0,"",IF(AND(U920="OK",V920="OK",LEFT(W920,4)&lt;&gt;"ERRO",LEFT(X920,4)&lt;&gt;"ERRO",LEFT(Y920,4)&lt;&gt;"ERRO",AA920="OK"),"OK","REVISAR"))</f>
      </c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5"/>
      <c r="K921" s="4"/>
      <c r="L921" s="4"/>
      <c r="M921" s="4"/>
      <c r="N921" s="4"/>
      <c r="O921" s="4"/>
      <c r="P921" s="4"/>
      <c r="Q921" s="4"/>
      <c r="R921" s="4"/>
      <c r="S921" s="4"/>
      <c r="T921" s="6">
        <f>IF(G921="","",SUBSTITUTE(SUBSTITUTE(SUBSTITUTE(SUBSTITUTE(SUBSTITUTE(SUBSTITUTE(SUBSTITUTE(TRIM(G921),".",""),"/",""),"-","")," ",""),"(",""),")",""),"+",""))</f>
      </c>
      <c r="U921" s="6">
        <f>IF(T921="","",IF(LEN(T921)&lt;&gt;14,"ERRO: "&amp;LEN(T921)&amp;" dígitos",IF(NOT(ISNUMBER(VALUE(T921))),"ERRO: não numérico",IF(LEN(SUBSTITUTE(T921,LEFT(T921,1),""))=0,"ERRO: dígitos repetidos",IF(AND(VALUE(MID(T921,13,1))=IF(MOD(SUMPRODUCT(--MID(T921,{1,2,3,4,5,6,7,8,9,10,11,12},1),{5,4,3,2,9,8,7,6,5,4,3,2}),11)&lt;2,0,11-MOD(SUMPRODUCT(--MID(T921,{1,2,3,4,5,6,7,8,9,10,11,12},1),{5,4,3,2,9,8,7,6,5,4,3,2}),11)),VALUE(MID(T921,14,1))=IF(MOD(SUMPRODUCT(--MID(T921,{1,2,3,4,5,6,7,8,9,10,11,12,13},1),{6,5,4,3,2,9,8,7,6,5,4,3,2}),11)&lt;2,0,11-MOD(SUMPRODUCT(--MID(T921,{1,2,3,4,5,6,7,8,9,10,11,12,13},1),{6,5,4,3,2,9,8,7,6,5,4,3,2}),11))),"OK","ERRO: dígito verificador")))))</f>
      </c>
      <c r="V921" s="6">
        <f>IF(T921="","",IF(COUNTIF($T$2:$T$1001,T921)&gt;1,"DUPLICADO","OK"))</f>
      </c>
      <c r="W921" s="6">
        <f>IF(M921="","vazio",IF(OR(AND(LEN(SUBSTITUTE(SUBSTITUTE(SUBSTITUTE(SUBSTITUTE(SUBSTITUTE(SUBSTITUTE(SUBSTITUTE(TRIM(M921),".",""),"/",""),"-","")," ",""),"(",""),")",""),"+",""))=10,LEFT(SUBSTITUTE(SUBSTITUTE(SUBSTITUTE(SUBSTITUTE(SUBSTITUTE(SUBSTITUTE(SUBSTITUTE(TRIM(M921),".",""),"/",""),"-","")," ",""),"(",""),")",""),"+",""),1)&lt;&gt;"0"),AND(LEN(SUBSTITUTE(SUBSTITUTE(SUBSTITUTE(SUBSTITUTE(SUBSTITUTE(SUBSTITUTE(SUBSTITUTE(TRIM(M921),".",""),"/",""),"-","")," ",""),"(",""),")",""),"+",""))=11,LEFT(SUBSTITUTE(SUBSTITUTE(SUBSTITUTE(SUBSTITUTE(SUBSTITUTE(SUBSTITUTE(SUBSTITUTE(TRIM(M921),".",""),"/",""),"-","")," ",""),"(",""),")",""),"+",""),4)="0800")),"OK",IF(AND(LEN(SUBSTITUTE(SUBSTITUTE(SUBSTITUTE(SUBSTITUTE(SUBSTITUTE(SUBSTITUTE(SUBSTITUTE(TRIM(M921),".",""),"/",""),"-","")," ",""),"(",""),")",""),"+",""))=11,MID(SUBSTITUTE(SUBSTITUTE(SUBSTITUTE(SUBSTITUTE(SUBSTITUTE(SUBSTITUTE(SUBSTITUTE(TRIM(M921),".",""),"/",""),"-","")," ",""),"(",""),")",""),"+",""),3,1)="9"),"ERRO: é celular, use a coluna Celular","ERRO: DDD + 8 dígitos ou 0800 + 7")))</f>
      </c>
      <c r="X921" s="6">
        <f>IF(N921="","vazio",IF(AND(LEN(SUBSTITUTE(SUBSTITUTE(SUBSTITUTE(SUBSTITUTE(SUBSTITUTE(SUBSTITUTE(SUBSTITUTE(TRIM(N921),".",""),"/",""),"-","")," ",""),"(",""),")",""),"+",""))=11,MID(SUBSTITUTE(SUBSTITUTE(SUBSTITUTE(SUBSTITUTE(SUBSTITUTE(SUBSTITUTE(SUBSTITUTE(TRIM(N921),".",""),"/",""),"-","")," ",""),"(",""),")",""),"+",""),3,1)="9",LEFT(SUBSTITUTE(SUBSTITUTE(SUBSTITUTE(SUBSTITUTE(SUBSTITUTE(SUBSTITUTE(SUBSTITUTE(TRIM(N921),".",""),"/",""),"-","")," ",""),"(",""),")",""),"+",""),1)&lt;&gt;"0"),"OK",IF(LEN(SUBSTITUTE(SUBSTITUTE(SUBSTITUTE(SUBSTITUTE(SUBSTITUTE(SUBSTITUTE(SUBSTITUTE(TRIM(N921),".",""),"/",""),"-","")," ",""),"(",""),")",""),"+",""))=10,"ERRO: é fixo (ou falta o 9), use a coluna Telefone fixo","ERRO: DDD + 9 + 8 dígitos")))</f>
      </c>
      <c r="Y921" s="6">
        <f>IF(O921="","vazio",IF(AND(ISNUMBER(FIND("@",O921)),ISNUMBER(FIND(".",MID(O921,FIND("@",O921),99))),NOT(ISNUMBER(FIND(" ",TRIM(O921)))),NOT(ISNUMBER(FIND(";",O921))),NOT(ISNUMBER(FIND(",",O921)))),"OK","ERRO: um e-mail válido por linha"))</f>
      </c>
      <c r="Z921" s="6">
        <f>IF(AND(J921="",K921=""),"",IF(AND(J921&lt;&gt;"",K921&lt;&gt;""),"OK","pendente: só um nome (o GR completa ao converter)"))</f>
      </c>
      <c r="AA921" s="6">
        <f>IF(COUNTA(A921:S921)=0,"",IF(AND(A921&lt;&gt;"",B921&lt;&gt;"",C921&lt;&gt;"",D921&lt;&gt;"",E921&lt;&gt;"",F921&lt;&gt;"",G921&lt;&gt;"",H921&lt;&gt;"",OR(J921&lt;&gt;"",K921&lt;&gt;""),OR(M921&lt;&gt;"",N921&lt;&gt;"",O921&lt;&gt;"")),"OK","ERRO: faltam "&amp;IF(A921="","SDR; ","")&amp;IF(B921="","Proprietário; ","")&amp;IF(C921="","Origem; ","")&amp;IF(D921="","Temperatura; ","")&amp;IF(E921="","Segmento; ","")&amp;IF(F921="","Time/Cluster; ","")&amp;IF(G921="","CNPJ; ","")&amp;IF(H921="","Razão Social; ","")&amp;IF(AND(J921="",K921=""),"nome do contato; ","")&amp;IF(AND(M921="",N921="",O921=""),"telefone, celular ou e-mail; ","")))</f>
      </c>
      <c r="AB921" s="6">
        <f>IF(COUNTA(A921:S921)=0,"",IF(AND(U921="OK",V921="OK",LEFT(W921,4)&lt;&gt;"ERRO",LEFT(X921,4)&lt;&gt;"ERRO",LEFT(Y921,4)&lt;&gt;"ERRO",AA921="OK"),"OK","REVISAR"))</f>
      </c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5"/>
      <c r="K922" s="4"/>
      <c r="L922" s="4"/>
      <c r="M922" s="4"/>
      <c r="N922" s="4"/>
      <c r="O922" s="4"/>
      <c r="P922" s="4"/>
      <c r="Q922" s="4"/>
      <c r="R922" s="4"/>
      <c r="S922" s="4"/>
      <c r="T922" s="6">
        <f>IF(G922="","",SUBSTITUTE(SUBSTITUTE(SUBSTITUTE(SUBSTITUTE(SUBSTITUTE(SUBSTITUTE(SUBSTITUTE(TRIM(G922),".",""),"/",""),"-","")," ",""),"(",""),")",""),"+",""))</f>
      </c>
      <c r="U922" s="6">
        <f>IF(T922="","",IF(LEN(T922)&lt;&gt;14,"ERRO: "&amp;LEN(T922)&amp;" dígitos",IF(NOT(ISNUMBER(VALUE(T922))),"ERRO: não numérico",IF(LEN(SUBSTITUTE(T922,LEFT(T922,1),""))=0,"ERRO: dígitos repetidos",IF(AND(VALUE(MID(T922,13,1))=IF(MOD(SUMPRODUCT(--MID(T922,{1,2,3,4,5,6,7,8,9,10,11,12},1),{5,4,3,2,9,8,7,6,5,4,3,2}),11)&lt;2,0,11-MOD(SUMPRODUCT(--MID(T922,{1,2,3,4,5,6,7,8,9,10,11,12},1),{5,4,3,2,9,8,7,6,5,4,3,2}),11)),VALUE(MID(T922,14,1))=IF(MOD(SUMPRODUCT(--MID(T922,{1,2,3,4,5,6,7,8,9,10,11,12,13},1),{6,5,4,3,2,9,8,7,6,5,4,3,2}),11)&lt;2,0,11-MOD(SUMPRODUCT(--MID(T922,{1,2,3,4,5,6,7,8,9,10,11,12,13},1),{6,5,4,3,2,9,8,7,6,5,4,3,2}),11))),"OK","ERRO: dígito verificador")))))</f>
      </c>
      <c r="V922" s="6">
        <f>IF(T922="","",IF(COUNTIF($T$2:$T$1001,T922)&gt;1,"DUPLICADO","OK"))</f>
      </c>
      <c r="W922" s="6">
        <f>IF(M922="","vazio",IF(OR(AND(LEN(SUBSTITUTE(SUBSTITUTE(SUBSTITUTE(SUBSTITUTE(SUBSTITUTE(SUBSTITUTE(SUBSTITUTE(TRIM(M922),".",""),"/",""),"-","")," ",""),"(",""),")",""),"+",""))=10,LEFT(SUBSTITUTE(SUBSTITUTE(SUBSTITUTE(SUBSTITUTE(SUBSTITUTE(SUBSTITUTE(SUBSTITUTE(TRIM(M922),".",""),"/",""),"-","")," ",""),"(",""),")",""),"+",""),1)&lt;&gt;"0"),AND(LEN(SUBSTITUTE(SUBSTITUTE(SUBSTITUTE(SUBSTITUTE(SUBSTITUTE(SUBSTITUTE(SUBSTITUTE(TRIM(M922),".",""),"/",""),"-","")," ",""),"(",""),")",""),"+",""))=11,LEFT(SUBSTITUTE(SUBSTITUTE(SUBSTITUTE(SUBSTITUTE(SUBSTITUTE(SUBSTITUTE(SUBSTITUTE(TRIM(M922),".",""),"/",""),"-","")," ",""),"(",""),")",""),"+",""),4)="0800")),"OK",IF(AND(LEN(SUBSTITUTE(SUBSTITUTE(SUBSTITUTE(SUBSTITUTE(SUBSTITUTE(SUBSTITUTE(SUBSTITUTE(TRIM(M922),".",""),"/",""),"-","")," ",""),"(",""),")",""),"+",""))=11,MID(SUBSTITUTE(SUBSTITUTE(SUBSTITUTE(SUBSTITUTE(SUBSTITUTE(SUBSTITUTE(SUBSTITUTE(TRIM(M922),".",""),"/",""),"-","")," ",""),"(",""),")",""),"+",""),3,1)="9"),"ERRO: é celular, use a coluna Celular","ERRO: DDD + 8 dígitos ou 0800 + 7")))</f>
      </c>
      <c r="X922" s="6">
        <f>IF(N922="","vazio",IF(AND(LEN(SUBSTITUTE(SUBSTITUTE(SUBSTITUTE(SUBSTITUTE(SUBSTITUTE(SUBSTITUTE(SUBSTITUTE(TRIM(N922),".",""),"/",""),"-","")," ",""),"(",""),")",""),"+",""))=11,MID(SUBSTITUTE(SUBSTITUTE(SUBSTITUTE(SUBSTITUTE(SUBSTITUTE(SUBSTITUTE(SUBSTITUTE(TRIM(N922),".",""),"/",""),"-","")," ",""),"(",""),")",""),"+",""),3,1)="9",LEFT(SUBSTITUTE(SUBSTITUTE(SUBSTITUTE(SUBSTITUTE(SUBSTITUTE(SUBSTITUTE(SUBSTITUTE(TRIM(N922),".",""),"/",""),"-","")," ",""),"(",""),")",""),"+",""),1)&lt;&gt;"0"),"OK",IF(LEN(SUBSTITUTE(SUBSTITUTE(SUBSTITUTE(SUBSTITUTE(SUBSTITUTE(SUBSTITUTE(SUBSTITUTE(TRIM(N922),".",""),"/",""),"-","")," ",""),"(",""),")",""),"+",""))=10,"ERRO: é fixo (ou falta o 9), use a coluna Telefone fixo","ERRO: DDD + 9 + 8 dígitos")))</f>
      </c>
      <c r="Y922" s="6">
        <f>IF(O922="","vazio",IF(AND(ISNUMBER(FIND("@",O922)),ISNUMBER(FIND(".",MID(O922,FIND("@",O922),99))),NOT(ISNUMBER(FIND(" ",TRIM(O922)))),NOT(ISNUMBER(FIND(";",O922))),NOT(ISNUMBER(FIND(",",O922)))),"OK","ERRO: um e-mail válido por linha"))</f>
      </c>
      <c r="Z922" s="6">
        <f>IF(AND(J922="",K922=""),"",IF(AND(J922&lt;&gt;"",K922&lt;&gt;""),"OK","pendente: só um nome (o GR completa ao converter)"))</f>
      </c>
      <c r="AA922" s="6">
        <f>IF(COUNTA(A922:S922)=0,"",IF(AND(A922&lt;&gt;"",B922&lt;&gt;"",C922&lt;&gt;"",D922&lt;&gt;"",E922&lt;&gt;"",F922&lt;&gt;"",G922&lt;&gt;"",H922&lt;&gt;"",OR(J922&lt;&gt;"",K922&lt;&gt;""),OR(M922&lt;&gt;"",N922&lt;&gt;"",O922&lt;&gt;"")),"OK","ERRO: faltam "&amp;IF(A922="","SDR; ","")&amp;IF(B922="","Proprietário; ","")&amp;IF(C922="","Origem; ","")&amp;IF(D922="","Temperatura; ","")&amp;IF(E922="","Segmento; ","")&amp;IF(F922="","Time/Cluster; ","")&amp;IF(G922="","CNPJ; ","")&amp;IF(H922="","Razão Social; ","")&amp;IF(AND(J922="",K922=""),"nome do contato; ","")&amp;IF(AND(M922="",N922="",O922=""),"telefone, celular ou e-mail; ","")))</f>
      </c>
      <c r="AB922" s="6">
        <f>IF(COUNTA(A922:S922)=0,"",IF(AND(U922="OK",V922="OK",LEFT(W922,4)&lt;&gt;"ERRO",LEFT(X922,4)&lt;&gt;"ERRO",LEFT(Y922,4)&lt;&gt;"ERRO",AA922="OK"),"OK","REVISAR"))</f>
      </c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5"/>
      <c r="K923" s="4"/>
      <c r="L923" s="4"/>
      <c r="M923" s="4"/>
      <c r="N923" s="4"/>
      <c r="O923" s="4"/>
      <c r="P923" s="4"/>
      <c r="Q923" s="4"/>
      <c r="R923" s="4"/>
      <c r="S923" s="4"/>
      <c r="T923" s="6">
        <f>IF(G923="","",SUBSTITUTE(SUBSTITUTE(SUBSTITUTE(SUBSTITUTE(SUBSTITUTE(SUBSTITUTE(SUBSTITUTE(TRIM(G923),".",""),"/",""),"-","")," ",""),"(",""),")",""),"+",""))</f>
      </c>
      <c r="U923" s="6">
        <f>IF(T923="","",IF(LEN(T923)&lt;&gt;14,"ERRO: "&amp;LEN(T923)&amp;" dígitos",IF(NOT(ISNUMBER(VALUE(T923))),"ERRO: não numérico",IF(LEN(SUBSTITUTE(T923,LEFT(T923,1),""))=0,"ERRO: dígitos repetidos",IF(AND(VALUE(MID(T923,13,1))=IF(MOD(SUMPRODUCT(--MID(T923,{1,2,3,4,5,6,7,8,9,10,11,12},1),{5,4,3,2,9,8,7,6,5,4,3,2}),11)&lt;2,0,11-MOD(SUMPRODUCT(--MID(T923,{1,2,3,4,5,6,7,8,9,10,11,12},1),{5,4,3,2,9,8,7,6,5,4,3,2}),11)),VALUE(MID(T923,14,1))=IF(MOD(SUMPRODUCT(--MID(T923,{1,2,3,4,5,6,7,8,9,10,11,12,13},1),{6,5,4,3,2,9,8,7,6,5,4,3,2}),11)&lt;2,0,11-MOD(SUMPRODUCT(--MID(T923,{1,2,3,4,5,6,7,8,9,10,11,12,13},1),{6,5,4,3,2,9,8,7,6,5,4,3,2}),11))),"OK","ERRO: dígito verificador")))))</f>
      </c>
      <c r="V923" s="6">
        <f>IF(T923="","",IF(COUNTIF($T$2:$T$1001,T923)&gt;1,"DUPLICADO","OK"))</f>
      </c>
      <c r="W923" s="6">
        <f>IF(M923="","vazio",IF(OR(AND(LEN(SUBSTITUTE(SUBSTITUTE(SUBSTITUTE(SUBSTITUTE(SUBSTITUTE(SUBSTITUTE(SUBSTITUTE(TRIM(M923),".",""),"/",""),"-","")," ",""),"(",""),")",""),"+",""))=10,LEFT(SUBSTITUTE(SUBSTITUTE(SUBSTITUTE(SUBSTITUTE(SUBSTITUTE(SUBSTITUTE(SUBSTITUTE(TRIM(M923),".",""),"/",""),"-","")," ",""),"(",""),")",""),"+",""),1)&lt;&gt;"0"),AND(LEN(SUBSTITUTE(SUBSTITUTE(SUBSTITUTE(SUBSTITUTE(SUBSTITUTE(SUBSTITUTE(SUBSTITUTE(TRIM(M923),".",""),"/",""),"-","")," ",""),"(",""),")",""),"+",""))=11,LEFT(SUBSTITUTE(SUBSTITUTE(SUBSTITUTE(SUBSTITUTE(SUBSTITUTE(SUBSTITUTE(SUBSTITUTE(TRIM(M923),".",""),"/",""),"-","")," ",""),"(",""),")",""),"+",""),4)="0800")),"OK",IF(AND(LEN(SUBSTITUTE(SUBSTITUTE(SUBSTITUTE(SUBSTITUTE(SUBSTITUTE(SUBSTITUTE(SUBSTITUTE(TRIM(M923),".",""),"/",""),"-","")," ",""),"(",""),")",""),"+",""))=11,MID(SUBSTITUTE(SUBSTITUTE(SUBSTITUTE(SUBSTITUTE(SUBSTITUTE(SUBSTITUTE(SUBSTITUTE(TRIM(M923),".",""),"/",""),"-","")," ",""),"(",""),")",""),"+",""),3,1)="9"),"ERRO: é celular, use a coluna Celular","ERRO: DDD + 8 dígitos ou 0800 + 7")))</f>
      </c>
      <c r="X923" s="6">
        <f>IF(N923="","vazio",IF(AND(LEN(SUBSTITUTE(SUBSTITUTE(SUBSTITUTE(SUBSTITUTE(SUBSTITUTE(SUBSTITUTE(SUBSTITUTE(TRIM(N923),".",""),"/",""),"-","")," ",""),"(",""),")",""),"+",""))=11,MID(SUBSTITUTE(SUBSTITUTE(SUBSTITUTE(SUBSTITUTE(SUBSTITUTE(SUBSTITUTE(SUBSTITUTE(TRIM(N923),".",""),"/",""),"-","")," ",""),"(",""),")",""),"+",""),3,1)="9",LEFT(SUBSTITUTE(SUBSTITUTE(SUBSTITUTE(SUBSTITUTE(SUBSTITUTE(SUBSTITUTE(SUBSTITUTE(TRIM(N923),".",""),"/",""),"-","")," ",""),"(",""),")",""),"+",""),1)&lt;&gt;"0"),"OK",IF(LEN(SUBSTITUTE(SUBSTITUTE(SUBSTITUTE(SUBSTITUTE(SUBSTITUTE(SUBSTITUTE(SUBSTITUTE(TRIM(N923),".",""),"/",""),"-","")," ",""),"(",""),")",""),"+",""))=10,"ERRO: é fixo (ou falta o 9), use a coluna Telefone fixo","ERRO: DDD + 9 + 8 dígitos")))</f>
      </c>
      <c r="Y923" s="6">
        <f>IF(O923="","vazio",IF(AND(ISNUMBER(FIND("@",O923)),ISNUMBER(FIND(".",MID(O923,FIND("@",O923),99))),NOT(ISNUMBER(FIND(" ",TRIM(O923)))),NOT(ISNUMBER(FIND(";",O923))),NOT(ISNUMBER(FIND(",",O923)))),"OK","ERRO: um e-mail válido por linha"))</f>
      </c>
      <c r="Z923" s="6">
        <f>IF(AND(J923="",K923=""),"",IF(AND(J923&lt;&gt;"",K923&lt;&gt;""),"OK","pendente: só um nome (o GR completa ao converter)"))</f>
      </c>
      <c r="AA923" s="6">
        <f>IF(COUNTA(A923:S923)=0,"",IF(AND(A923&lt;&gt;"",B923&lt;&gt;"",C923&lt;&gt;"",D923&lt;&gt;"",E923&lt;&gt;"",F923&lt;&gt;"",G923&lt;&gt;"",H923&lt;&gt;"",OR(J923&lt;&gt;"",K923&lt;&gt;""),OR(M923&lt;&gt;"",N923&lt;&gt;"",O923&lt;&gt;"")),"OK","ERRO: faltam "&amp;IF(A923="","SDR; ","")&amp;IF(B923="","Proprietário; ","")&amp;IF(C923="","Origem; ","")&amp;IF(D923="","Temperatura; ","")&amp;IF(E923="","Segmento; ","")&amp;IF(F923="","Time/Cluster; ","")&amp;IF(G923="","CNPJ; ","")&amp;IF(H923="","Razão Social; ","")&amp;IF(AND(J923="",K923=""),"nome do contato; ","")&amp;IF(AND(M923="",N923="",O923=""),"telefone, celular ou e-mail; ","")))</f>
      </c>
      <c r="AB923" s="6">
        <f>IF(COUNTA(A923:S923)=0,"",IF(AND(U923="OK",V923="OK",LEFT(W923,4)&lt;&gt;"ERRO",LEFT(X923,4)&lt;&gt;"ERRO",LEFT(Y923,4)&lt;&gt;"ERRO",AA923="OK"),"OK","REVISAR"))</f>
      </c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5"/>
      <c r="K924" s="4"/>
      <c r="L924" s="4"/>
      <c r="M924" s="4"/>
      <c r="N924" s="4"/>
      <c r="O924" s="4"/>
      <c r="P924" s="4"/>
      <c r="Q924" s="4"/>
      <c r="R924" s="4"/>
      <c r="S924" s="4"/>
      <c r="T924" s="6">
        <f>IF(G924="","",SUBSTITUTE(SUBSTITUTE(SUBSTITUTE(SUBSTITUTE(SUBSTITUTE(SUBSTITUTE(SUBSTITUTE(TRIM(G924),".",""),"/",""),"-","")," ",""),"(",""),")",""),"+",""))</f>
      </c>
      <c r="U924" s="6">
        <f>IF(T924="","",IF(LEN(T924)&lt;&gt;14,"ERRO: "&amp;LEN(T924)&amp;" dígitos",IF(NOT(ISNUMBER(VALUE(T924))),"ERRO: não numérico",IF(LEN(SUBSTITUTE(T924,LEFT(T924,1),""))=0,"ERRO: dígitos repetidos",IF(AND(VALUE(MID(T924,13,1))=IF(MOD(SUMPRODUCT(--MID(T924,{1,2,3,4,5,6,7,8,9,10,11,12},1),{5,4,3,2,9,8,7,6,5,4,3,2}),11)&lt;2,0,11-MOD(SUMPRODUCT(--MID(T924,{1,2,3,4,5,6,7,8,9,10,11,12},1),{5,4,3,2,9,8,7,6,5,4,3,2}),11)),VALUE(MID(T924,14,1))=IF(MOD(SUMPRODUCT(--MID(T924,{1,2,3,4,5,6,7,8,9,10,11,12,13},1),{6,5,4,3,2,9,8,7,6,5,4,3,2}),11)&lt;2,0,11-MOD(SUMPRODUCT(--MID(T924,{1,2,3,4,5,6,7,8,9,10,11,12,13},1),{6,5,4,3,2,9,8,7,6,5,4,3,2}),11))),"OK","ERRO: dígito verificador")))))</f>
      </c>
      <c r="V924" s="6">
        <f>IF(T924="","",IF(COUNTIF($T$2:$T$1001,T924)&gt;1,"DUPLICADO","OK"))</f>
      </c>
      <c r="W924" s="6">
        <f>IF(M924="","vazio",IF(OR(AND(LEN(SUBSTITUTE(SUBSTITUTE(SUBSTITUTE(SUBSTITUTE(SUBSTITUTE(SUBSTITUTE(SUBSTITUTE(TRIM(M924),".",""),"/",""),"-","")," ",""),"(",""),")",""),"+",""))=10,LEFT(SUBSTITUTE(SUBSTITUTE(SUBSTITUTE(SUBSTITUTE(SUBSTITUTE(SUBSTITUTE(SUBSTITUTE(TRIM(M924),".",""),"/",""),"-","")," ",""),"(",""),")",""),"+",""),1)&lt;&gt;"0"),AND(LEN(SUBSTITUTE(SUBSTITUTE(SUBSTITUTE(SUBSTITUTE(SUBSTITUTE(SUBSTITUTE(SUBSTITUTE(TRIM(M924),".",""),"/",""),"-","")," ",""),"(",""),")",""),"+",""))=11,LEFT(SUBSTITUTE(SUBSTITUTE(SUBSTITUTE(SUBSTITUTE(SUBSTITUTE(SUBSTITUTE(SUBSTITUTE(TRIM(M924),".",""),"/",""),"-","")," ",""),"(",""),")",""),"+",""),4)="0800")),"OK",IF(AND(LEN(SUBSTITUTE(SUBSTITUTE(SUBSTITUTE(SUBSTITUTE(SUBSTITUTE(SUBSTITUTE(SUBSTITUTE(TRIM(M924),".",""),"/",""),"-","")," ",""),"(",""),")",""),"+",""))=11,MID(SUBSTITUTE(SUBSTITUTE(SUBSTITUTE(SUBSTITUTE(SUBSTITUTE(SUBSTITUTE(SUBSTITUTE(TRIM(M924),".",""),"/",""),"-","")," ",""),"(",""),")",""),"+",""),3,1)="9"),"ERRO: é celular, use a coluna Celular","ERRO: DDD + 8 dígitos ou 0800 + 7")))</f>
      </c>
      <c r="X924" s="6">
        <f>IF(N924="","vazio",IF(AND(LEN(SUBSTITUTE(SUBSTITUTE(SUBSTITUTE(SUBSTITUTE(SUBSTITUTE(SUBSTITUTE(SUBSTITUTE(TRIM(N924),".",""),"/",""),"-","")," ",""),"(",""),")",""),"+",""))=11,MID(SUBSTITUTE(SUBSTITUTE(SUBSTITUTE(SUBSTITUTE(SUBSTITUTE(SUBSTITUTE(SUBSTITUTE(TRIM(N924),".",""),"/",""),"-","")," ",""),"(",""),")",""),"+",""),3,1)="9",LEFT(SUBSTITUTE(SUBSTITUTE(SUBSTITUTE(SUBSTITUTE(SUBSTITUTE(SUBSTITUTE(SUBSTITUTE(TRIM(N924),".",""),"/",""),"-","")," ",""),"(",""),")",""),"+",""),1)&lt;&gt;"0"),"OK",IF(LEN(SUBSTITUTE(SUBSTITUTE(SUBSTITUTE(SUBSTITUTE(SUBSTITUTE(SUBSTITUTE(SUBSTITUTE(TRIM(N924),".",""),"/",""),"-","")," ",""),"(",""),")",""),"+",""))=10,"ERRO: é fixo (ou falta o 9), use a coluna Telefone fixo","ERRO: DDD + 9 + 8 dígitos")))</f>
      </c>
      <c r="Y924" s="6">
        <f>IF(O924="","vazio",IF(AND(ISNUMBER(FIND("@",O924)),ISNUMBER(FIND(".",MID(O924,FIND("@",O924),99))),NOT(ISNUMBER(FIND(" ",TRIM(O924)))),NOT(ISNUMBER(FIND(";",O924))),NOT(ISNUMBER(FIND(",",O924)))),"OK","ERRO: um e-mail válido por linha"))</f>
      </c>
      <c r="Z924" s="6">
        <f>IF(AND(J924="",K924=""),"",IF(AND(J924&lt;&gt;"",K924&lt;&gt;""),"OK","pendente: só um nome (o GR completa ao converter)"))</f>
      </c>
      <c r="AA924" s="6">
        <f>IF(COUNTA(A924:S924)=0,"",IF(AND(A924&lt;&gt;"",B924&lt;&gt;"",C924&lt;&gt;"",D924&lt;&gt;"",E924&lt;&gt;"",F924&lt;&gt;"",G924&lt;&gt;"",H924&lt;&gt;"",OR(J924&lt;&gt;"",K924&lt;&gt;""),OR(M924&lt;&gt;"",N924&lt;&gt;"",O924&lt;&gt;"")),"OK","ERRO: faltam "&amp;IF(A924="","SDR; ","")&amp;IF(B924="","Proprietário; ","")&amp;IF(C924="","Origem; ","")&amp;IF(D924="","Temperatura; ","")&amp;IF(E924="","Segmento; ","")&amp;IF(F924="","Time/Cluster; ","")&amp;IF(G924="","CNPJ; ","")&amp;IF(H924="","Razão Social; ","")&amp;IF(AND(J924="",K924=""),"nome do contato; ","")&amp;IF(AND(M924="",N924="",O924=""),"telefone, celular ou e-mail; ","")))</f>
      </c>
      <c r="AB924" s="6">
        <f>IF(COUNTA(A924:S924)=0,"",IF(AND(U924="OK",V924="OK",LEFT(W924,4)&lt;&gt;"ERRO",LEFT(X924,4)&lt;&gt;"ERRO",LEFT(Y924,4)&lt;&gt;"ERRO",AA924="OK"),"OK","REVISAR"))</f>
      </c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5"/>
      <c r="K925" s="4"/>
      <c r="L925" s="4"/>
      <c r="M925" s="4"/>
      <c r="N925" s="4"/>
      <c r="O925" s="4"/>
      <c r="P925" s="4"/>
      <c r="Q925" s="4"/>
      <c r="R925" s="4"/>
      <c r="S925" s="4"/>
      <c r="T925" s="6">
        <f>IF(G925="","",SUBSTITUTE(SUBSTITUTE(SUBSTITUTE(SUBSTITUTE(SUBSTITUTE(SUBSTITUTE(SUBSTITUTE(TRIM(G925),".",""),"/",""),"-","")," ",""),"(",""),")",""),"+",""))</f>
      </c>
      <c r="U925" s="6">
        <f>IF(T925="","",IF(LEN(T925)&lt;&gt;14,"ERRO: "&amp;LEN(T925)&amp;" dígitos",IF(NOT(ISNUMBER(VALUE(T925))),"ERRO: não numérico",IF(LEN(SUBSTITUTE(T925,LEFT(T925,1),""))=0,"ERRO: dígitos repetidos",IF(AND(VALUE(MID(T925,13,1))=IF(MOD(SUMPRODUCT(--MID(T925,{1,2,3,4,5,6,7,8,9,10,11,12},1),{5,4,3,2,9,8,7,6,5,4,3,2}),11)&lt;2,0,11-MOD(SUMPRODUCT(--MID(T925,{1,2,3,4,5,6,7,8,9,10,11,12},1),{5,4,3,2,9,8,7,6,5,4,3,2}),11)),VALUE(MID(T925,14,1))=IF(MOD(SUMPRODUCT(--MID(T925,{1,2,3,4,5,6,7,8,9,10,11,12,13},1),{6,5,4,3,2,9,8,7,6,5,4,3,2}),11)&lt;2,0,11-MOD(SUMPRODUCT(--MID(T925,{1,2,3,4,5,6,7,8,9,10,11,12,13},1),{6,5,4,3,2,9,8,7,6,5,4,3,2}),11))),"OK","ERRO: dígito verificador")))))</f>
      </c>
      <c r="V925" s="6">
        <f>IF(T925="","",IF(COUNTIF($T$2:$T$1001,T925)&gt;1,"DUPLICADO","OK"))</f>
      </c>
      <c r="W925" s="6">
        <f>IF(M925="","vazio",IF(OR(AND(LEN(SUBSTITUTE(SUBSTITUTE(SUBSTITUTE(SUBSTITUTE(SUBSTITUTE(SUBSTITUTE(SUBSTITUTE(TRIM(M925),".",""),"/",""),"-","")," ",""),"(",""),")",""),"+",""))=10,LEFT(SUBSTITUTE(SUBSTITUTE(SUBSTITUTE(SUBSTITUTE(SUBSTITUTE(SUBSTITUTE(SUBSTITUTE(TRIM(M925),".",""),"/",""),"-","")," ",""),"(",""),")",""),"+",""),1)&lt;&gt;"0"),AND(LEN(SUBSTITUTE(SUBSTITUTE(SUBSTITUTE(SUBSTITUTE(SUBSTITUTE(SUBSTITUTE(SUBSTITUTE(TRIM(M925),".",""),"/",""),"-","")," ",""),"(",""),")",""),"+",""))=11,LEFT(SUBSTITUTE(SUBSTITUTE(SUBSTITUTE(SUBSTITUTE(SUBSTITUTE(SUBSTITUTE(SUBSTITUTE(TRIM(M925),".",""),"/",""),"-","")," ",""),"(",""),")",""),"+",""),4)="0800")),"OK",IF(AND(LEN(SUBSTITUTE(SUBSTITUTE(SUBSTITUTE(SUBSTITUTE(SUBSTITUTE(SUBSTITUTE(SUBSTITUTE(TRIM(M925),".",""),"/",""),"-","")," ",""),"(",""),")",""),"+",""))=11,MID(SUBSTITUTE(SUBSTITUTE(SUBSTITUTE(SUBSTITUTE(SUBSTITUTE(SUBSTITUTE(SUBSTITUTE(TRIM(M925),".",""),"/",""),"-","")," ",""),"(",""),")",""),"+",""),3,1)="9"),"ERRO: é celular, use a coluna Celular","ERRO: DDD + 8 dígitos ou 0800 + 7")))</f>
      </c>
      <c r="X925" s="6">
        <f>IF(N925="","vazio",IF(AND(LEN(SUBSTITUTE(SUBSTITUTE(SUBSTITUTE(SUBSTITUTE(SUBSTITUTE(SUBSTITUTE(SUBSTITUTE(TRIM(N925),".",""),"/",""),"-","")," ",""),"(",""),")",""),"+",""))=11,MID(SUBSTITUTE(SUBSTITUTE(SUBSTITUTE(SUBSTITUTE(SUBSTITUTE(SUBSTITUTE(SUBSTITUTE(TRIM(N925),".",""),"/",""),"-","")," ",""),"(",""),")",""),"+",""),3,1)="9",LEFT(SUBSTITUTE(SUBSTITUTE(SUBSTITUTE(SUBSTITUTE(SUBSTITUTE(SUBSTITUTE(SUBSTITUTE(TRIM(N925),".",""),"/",""),"-","")," ",""),"(",""),")",""),"+",""),1)&lt;&gt;"0"),"OK",IF(LEN(SUBSTITUTE(SUBSTITUTE(SUBSTITUTE(SUBSTITUTE(SUBSTITUTE(SUBSTITUTE(SUBSTITUTE(TRIM(N925),".",""),"/",""),"-","")," ",""),"(",""),")",""),"+",""))=10,"ERRO: é fixo (ou falta o 9), use a coluna Telefone fixo","ERRO: DDD + 9 + 8 dígitos")))</f>
      </c>
      <c r="Y925" s="6">
        <f>IF(O925="","vazio",IF(AND(ISNUMBER(FIND("@",O925)),ISNUMBER(FIND(".",MID(O925,FIND("@",O925),99))),NOT(ISNUMBER(FIND(" ",TRIM(O925)))),NOT(ISNUMBER(FIND(";",O925))),NOT(ISNUMBER(FIND(",",O925)))),"OK","ERRO: um e-mail válido por linha"))</f>
      </c>
      <c r="Z925" s="6">
        <f>IF(AND(J925="",K925=""),"",IF(AND(J925&lt;&gt;"",K925&lt;&gt;""),"OK","pendente: só um nome (o GR completa ao converter)"))</f>
      </c>
      <c r="AA925" s="6">
        <f>IF(COUNTA(A925:S925)=0,"",IF(AND(A925&lt;&gt;"",B925&lt;&gt;"",C925&lt;&gt;"",D925&lt;&gt;"",E925&lt;&gt;"",F925&lt;&gt;"",G925&lt;&gt;"",H925&lt;&gt;"",OR(J925&lt;&gt;"",K925&lt;&gt;""),OR(M925&lt;&gt;"",N925&lt;&gt;"",O925&lt;&gt;"")),"OK","ERRO: faltam "&amp;IF(A925="","SDR; ","")&amp;IF(B925="","Proprietário; ","")&amp;IF(C925="","Origem; ","")&amp;IF(D925="","Temperatura; ","")&amp;IF(E925="","Segmento; ","")&amp;IF(F925="","Time/Cluster; ","")&amp;IF(G925="","CNPJ; ","")&amp;IF(H925="","Razão Social; ","")&amp;IF(AND(J925="",K925=""),"nome do contato; ","")&amp;IF(AND(M925="",N925="",O925=""),"telefone, celular ou e-mail; ","")))</f>
      </c>
      <c r="AB925" s="6">
        <f>IF(COUNTA(A925:S925)=0,"",IF(AND(U925="OK",V925="OK",LEFT(W925,4)&lt;&gt;"ERRO",LEFT(X925,4)&lt;&gt;"ERRO",LEFT(Y925,4)&lt;&gt;"ERRO",AA925="OK"),"OK","REVISAR"))</f>
      </c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5"/>
      <c r="K926" s="4"/>
      <c r="L926" s="4"/>
      <c r="M926" s="4"/>
      <c r="N926" s="4"/>
      <c r="O926" s="4"/>
      <c r="P926" s="4"/>
      <c r="Q926" s="4"/>
      <c r="R926" s="4"/>
      <c r="S926" s="4"/>
      <c r="T926" s="6">
        <f>IF(G926="","",SUBSTITUTE(SUBSTITUTE(SUBSTITUTE(SUBSTITUTE(SUBSTITUTE(SUBSTITUTE(SUBSTITUTE(TRIM(G926),".",""),"/",""),"-","")," ",""),"(",""),")",""),"+",""))</f>
      </c>
      <c r="U926" s="6">
        <f>IF(T926="","",IF(LEN(T926)&lt;&gt;14,"ERRO: "&amp;LEN(T926)&amp;" dígitos",IF(NOT(ISNUMBER(VALUE(T926))),"ERRO: não numérico",IF(LEN(SUBSTITUTE(T926,LEFT(T926,1),""))=0,"ERRO: dígitos repetidos",IF(AND(VALUE(MID(T926,13,1))=IF(MOD(SUMPRODUCT(--MID(T926,{1,2,3,4,5,6,7,8,9,10,11,12},1),{5,4,3,2,9,8,7,6,5,4,3,2}),11)&lt;2,0,11-MOD(SUMPRODUCT(--MID(T926,{1,2,3,4,5,6,7,8,9,10,11,12},1),{5,4,3,2,9,8,7,6,5,4,3,2}),11)),VALUE(MID(T926,14,1))=IF(MOD(SUMPRODUCT(--MID(T926,{1,2,3,4,5,6,7,8,9,10,11,12,13},1),{6,5,4,3,2,9,8,7,6,5,4,3,2}),11)&lt;2,0,11-MOD(SUMPRODUCT(--MID(T926,{1,2,3,4,5,6,7,8,9,10,11,12,13},1),{6,5,4,3,2,9,8,7,6,5,4,3,2}),11))),"OK","ERRO: dígito verificador")))))</f>
      </c>
      <c r="V926" s="6">
        <f>IF(T926="","",IF(COUNTIF($T$2:$T$1001,T926)&gt;1,"DUPLICADO","OK"))</f>
      </c>
      <c r="W926" s="6">
        <f>IF(M926="","vazio",IF(OR(AND(LEN(SUBSTITUTE(SUBSTITUTE(SUBSTITUTE(SUBSTITUTE(SUBSTITUTE(SUBSTITUTE(SUBSTITUTE(TRIM(M926),".",""),"/",""),"-","")," ",""),"(",""),")",""),"+",""))=10,LEFT(SUBSTITUTE(SUBSTITUTE(SUBSTITUTE(SUBSTITUTE(SUBSTITUTE(SUBSTITUTE(SUBSTITUTE(TRIM(M926),".",""),"/",""),"-","")," ",""),"(",""),")",""),"+",""),1)&lt;&gt;"0"),AND(LEN(SUBSTITUTE(SUBSTITUTE(SUBSTITUTE(SUBSTITUTE(SUBSTITUTE(SUBSTITUTE(SUBSTITUTE(TRIM(M926),".",""),"/",""),"-","")," ",""),"(",""),")",""),"+",""))=11,LEFT(SUBSTITUTE(SUBSTITUTE(SUBSTITUTE(SUBSTITUTE(SUBSTITUTE(SUBSTITUTE(SUBSTITUTE(TRIM(M926),".",""),"/",""),"-","")," ",""),"(",""),")",""),"+",""),4)="0800")),"OK",IF(AND(LEN(SUBSTITUTE(SUBSTITUTE(SUBSTITUTE(SUBSTITUTE(SUBSTITUTE(SUBSTITUTE(SUBSTITUTE(TRIM(M926),".",""),"/",""),"-","")," ",""),"(",""),")",""),"+",""))=11,MID(SUBSTITUTE(SUBSTITUTE(SUBSTITUTE(SUBSTITUTE(SUBSTITUTE(SUBSTITUTE(SUBSTITUTE(TRIM(M926),".",""),"/",""),"-","")," ",""),"(",""),")",""),"+",""),3,1)="9"),"ERRO: é celular, use a coluna Celular","ERRO: DDD + 8 dígitos ou 0800 + 7")))</f>
      </c>
      <c r="X926" s="6">
        <f>IF(N926="","vazio",IF(AND(LEN(SUBSTITUTE(SUBSTITUTE(SUBSTITUTE(SUBSTITUTE(SUBSTITUTE(SUBSTITUTE(SUBSTITUTE(TRIM(N926),".",""),"/",""),"-","")," ",""),"(",""),")",""),"+",""))=11,MID(SUBSTITUTE(SUBSTITUTE(SUBSTITUTE(SUBSTITUTE(SUBSTITUTE(SUBSTITUTE(SUBSTITUTE(TRIM(N926),".",""),"/",""),"-","")," ",""),"(",""),")",""),"+",""),3,1)="9",LEFT(SUBSTITUTE(SUBSTITUTE(SUBSTITUTE(SUBSTITUTE(SUBSTITUTE(SUBSTITUTE(SUBSTITUTE(TRIM(N926),".",""),"/",""),"-","")," ",""),"(",""),")",""),"+",""),1)&lt;&gt;"0"),"OK",IF(LEN(SUBSTITUTE(SUBSTITUTE(SUBSTITUTE(SUBSTITUTE(SUBSTITUTE(SUBSTITUTE(SUBSTITUTE(TRIM(N926),".",""),"/",""),"-","")," ",""),"(",""),")",""),"+",""))=10,"ERRO: é fixo (ou falta o 9), use a coluna Telefone fixo","ERRO: DDD + 9 + 8 dígitos")))</f>
      </c>
      <c r="Y926" s="6">
        <f>IF(O926="","vazio",IF(AND(ISNUMBER(FIND("@",O926)),ISNUMBER(FIND(".",MID(O926,FIND("@",O926),99))),NOT(ISNUMBER(FIND(" ",TRIM(O926)))),NOT(ISNUMBER(FIND(";",O926))),NOT(ISNUMBER(FIND(",",O926)))),"OK","ERRO: um e-mail válido por linha"))</f>
      </c>
      <c r="Z926" s="6">
        <f>IF(AND(J926="",K926=""),"",IF(AND(J926&lt;&gt;"",K926&lt;&gt;""),"OK","pendente: só um nome (o GR completa ao converter)"))</f>
      </c>
      <c r="AA926" s="6">
        <f>IF(COUNTA(A926:S926)=0,"",IF(AND(A926&lt;&gt;"",B926&lt;&gt;"",C926&lt;&gt;"",D926&lt;&gt;"",E926&lt;&gt;"",F926&lt;&gt;"",G926&lt;&gt;"",H926&lt;&gt;"",OR(J926&lt;&gt;"",K926&lt;&gt;""),OR(M926&lt;&gt;"",N926&lt;&gt;"",O926&lt;&gt;"")),"OK","ERRO: faltam "&amp;IF(A926="","SDR; ","")&amp;IF(B926="","Proprietário; ","")&amp;IF(C926="","Origem; ","")&amp;IF(D926="","Temperatura; ","")&amp;IF(E926="","Segmento; ","")&amp;IF(F926="","Time/Cluster; ","")&amp;IF(G926="","CNPJ; ","")&amp;IF(H926="","Razão Social; ","")&amp;IF(AND(J926="",K926=""),"nome do contato; ","")&amp;IF(AND(M926="",N926="",O926=""),"telefone, celular ou e-mail; ","")))</f>
      </c>
      <c r="AB926" s="6">
        <f>IF(COUNTA(A926:S926)=0,"",IF(AND(U926="OK",V926="OK",LEFT(W926,4)&lt;&gt;"ERRO",LEFT(X926,4)&lt;&gt;"ERRO",LEFT(Y926,4)&lt;&gt;"ERRO",AA926="OK"),"OK","REVISAR"))</f>
      </c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5"/>
      <c r="K927" s="4"/>
      <c r="L927" s="4"/>
      <c r="M927" s="4"/>
      <c r="N927" s="4"/>
      <c r="O927" s="4"/>
      <c r="P927" s="4"/>
      <c r="Q927" s="4"/>
      <c r="R927" s="4"/>
      <c r="S927" s="4"/>
      <c r="T927" s="6">
        <f>IF(G927="","",SUBSTITUTE(SUBSTITUTE(SUBSTITUTE(SUBSTITUTE(SUBSTITUTE(SUBSTITUTE(SUBSTITUTE(TRIM(G927),".",""),"/",""),"-","")," ",""),"(",""),")",""),"+",""))</f>
      </c>
      <c r="U927" s="6">
        <f>IF(T927="","",IF(LEN(T927)&lt;&gt;14,"ERRO: "&amp;LEN(T927)&amp;" dígitos",IF(NOT(ISNUMBER(VALUE(T927))),"ERRO: não numérico",IF(LEN(SUBSTITUTE(T927,LEFT(T927,1),""))=0,"ERRO: dígitos repetidos",IF(AND(VALUE(MID(T927,13,1))=IF(MOD(SUMPRODUCT(--MID(T927,{1,2,3,4,5,6,7,8,9,10,11,12},1),{5,4,3,2,9,8,7,6,5,4,3,2}),11)&lt;2,0,11-MOD(SUMPRODUCT(--MID(T927,{1,2,3,4,5,6,7,8,9,10,11,12},1),{5,4,3,2,9,8,7,6,5,4,3,2}),11)),VALUE(MID(T927,14,1))=IF(MOD(SUMPRODUCT(--MID(T927,{1,2,3,4,5,6,7,8,9,10,11,12,13},1),{6,5,4,3,2,9,8,7,6,5,4,3,2}),11)&lt;2,0,11-MOD(SUMPRODUCT(--MID(T927,{1,2,3,4,5,6,7,8,9,10,11,12,13},1),{6,5,4,3,2,9,8,7,6,5,4,3,2}),11))),"OK","ERRO: dígito verificador")))))</f>
      </c>
      <c r="V927" s="6">
        <f>IF(T927="","",IF(COUNTIF($T$2:$T$1001,T927)&gt;1,"DUPLICADO","OK"))</f>
      </c>
      <c r="W927" s="6">
        <f>IF(M927="","vazio",IF(OR(AND(LEN(SUBSTITUTE(SUBSTITUTE(SUBSTITUTE(SUBSTITUTE(SUBSTITUTE(SUBSTITUTE(SUBSTITUTE(TRIM(M927),".",""),"/",""),"-","")," ",""),"(",""),")",""),"+",""))=10,LEFT(SUBSTITUTE(SUBSTITUTE(SUBSTITUTE(SUBSTITUTE(SUBSTITUTE(SUBSTITUTE(SUBSTITUTE(TRIM(M927),".",""),"/",""),"-","")," ",""),"(",""),")",""),"+",""),1)&lt;&gt;"0"),AND(LEN(SUBSTITUTE(SUBSTITUTE(SUBSTITUTE(SUBSTITUTE(SUBSTITUTE(SUBSTITUTE(SUBSTITUTE(TRIM(M927),".",""),"/",""),"-","")," ",""),"(",""),")",""),"+",""))=11,LEFT(SUBSTITUTE(SUBSTITUTE(SUBSTITUTE(SUBSTITUTE(SUBSTITUTE(SUBSTITUTE(SUBSTITUTE(TRIM(M927),".",""),"/",""),"-","")," ",""),"(",""),")",""),"+",""),4)="0800")),"OK",IF(AND(LEN(SUBSTITUTE(SUBSTITUTE(SUBSTITUTE(SUBSTITUTE(SUBSTITUTE(SUBSTITUTE(SUBSTITUTE(TRIM(M927),".",""),"/",""),"-","")," ",""),"(",""),")",""),"+",""))=11,MID(SUBSTITUTE(SUBSTITUTE(SUBSTITUTE(SUBSTITUTE(SUBSTITUTE(SUBSTITUTE(SUBSTITUTE(TRIM(M927),".",""),"/",""),"-","")," ",""),"(",""),")",""),"+",""),3,1)="9"),"ERRO: é celular, use a coluna Celular","ERRO: DDD + 8 dígitos ou 0800 + 7")))</f>
      </c>
      <c r="X927" s="6">
        <f>IF(N927="","vazio",IF(AND(LEN(SUBSTITUTE(SUBSTITUTE(SUBSTITUTE(SUBSTITUTE(SUBSTITUTE(SUBSTITUTE(SUBSTITUTE(TRIM(N927),".",""),"/",""),"-","")," ",""),"(",""),")",""),"+",""))=11,MID(SUBSTITUTE(SUBSTITUTE(SUBSTITUTE(SUBSTITUTE(SUBSTITUTE(SUBSTITUTE(SUBSTITUTE(TRIM(N927),".",""),"/",""),"-","")," ",""),"(",""),")",""),"+",""),3,1)="9",LEFT(SUBSTITUTE(SUBSTITUTE(SUBSTITUTE(SUBSTITUTE(SUBSTITUTE(SUBSTITUTE(SUBSTITUTE(TRIM(N927),".",""),"/",""),"-","")," ",""),"(",""),")",""),"+",""),1)&lt;&gt;"0"),"OK",IF(LEN(SUBSTITUTE(SUBSTITUTE(SUBSTITUTE(SUBSTITUTE(SUBSTITUTE(SUBSTITUTE(SUBSTITUTE(TRIM(N927),".",""),"/",""),"-","")," ",""),"(",""),")",""),"+",""))=10,"ERRO: é fixo (ou falta o 9), use a coluna Telefone fixo","ERRO: DDD + 9 + 8 dígitos")))</f>
      </c>
      <c r="Y927" s="6">
        <f>IF(O927="","vazio",IF(AND(ISNUMBER(FIND("@",O927)),ISNUMBER(FIND(".",MID(O927,FIND("@",O927),99))),NOT(ISNUMBER(FIND(" ",TRIM(O927)))),NOT(ISNUMBER(FIND(";",O927))),NOT(ISNUMBER(FIND(",",O927)))),"OK","ERRO: um e-mail válido por linha"))</f>
      </c>
      <c r="Z927" s="6">
        <f>IF(AND(J927="",K927=""),"",IF(AND(J927&lt;&gt;"",K927&lt;&gt;""),"OK","pendente: só um nome (o GR completa ao converter)"))</f>
      </c>
      <c r="AA927" s="6">
        <f>IF(COUNTA(A927:S927)=0,"",IF(AND(A927&lt;&gt;"",B927&lt;&gt;"",C927&lt;&gt;"",D927&lt;&gt;"",E927&lt;&gt;"",F927&lt;&gt;"",G927&lt;&gt;"",H927&lt;&gt;"",OR(J927&lt;&gt;"",K927&lt;&gt;""),OR(M927&lt;&gt;"",N927&lt;&gt;"",O927&lt;&gt;"")),"OK","ERRO: faltam "&amp;IF(A927="","SDR; ","")&amp;IF(B927="","Proprietário; ","")&amp;IF(C927="","Origem; ","")&amp;IF(D927="","Temperatura; ","")&amp;IF(E927="","Segmento; ","")&amp;IF(F927="","Time/Cluster; ","")&amp;IF(G927="","CNPJ; ","")&amp;IF(H927="","Razão Social; ","")&amp;IF(AND(J927="",K927=""),"nome do contato; ","")&amp;IF(AND(M927="",N927="",O927=""),"telefone, celular ou e-mail; ","")))</f>
      </c>
      <c r="AB927" s="6">
        <f>IF(COUNTA(A927:S927)=0,"",IF(AND(U927="OK",V927="OK",LEFT(W927,4)&lt;&gt;"ERRO",LEFT(X927,4)&lt;&gt;"ERRO",LEFT(Y927,4)&lt;&gt;"ERRO",AA927="OK"),"OK","REVISAR"))</f>
      </c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5"/>
      <c r="K928" s="4"/>
      <c r="L928" s="4"/>
      <c r="M928" s="4"/>
      <c r="N928" s="4"/>
      <c r="O928" s="4"/>
      <c r="P928" s="4"/>
      <c r="Q928" s="4"/>
      <c r="R928" s="4"/>
      <c r="S928" s="4"/>
      <c r="T928" s="6">
        <f>IF(G928="","",SUBSTITUTE(SUBSTITUTE(SUBSTITUTE(SUBSTITUTE(SUBSTITUTE(SUBSTITUTE(SUBSTITUTE(TRIM(G928),".",""),"/",""),"-","")," ",""),"(",""),")",""),"+",""))</f>
      </c>
      <c r="U928" s="6">
        <f>IF(T928="","",IF(LEN(T928)&lt;&gt;14,"ERRO: "&amp;LEN(T928)&amp;" dígitos",IF(NOT(ISNUMBER(VALUE(T928))),"ERRO: não numérico",IF(LEN(SUBSTITUTE(T928,LEFT(T928,1),""))=0,"ERRO: dígitos repetidos",IF(AND(VALUE(MID(T928,13,1))=IF(MOD(SUMPRODUCT(--MID(T928,{1,2,3,4,5,6,7,8,9,10,11,12},1),{5,4,3,2,9,8,7,6,5,4,3,2}),11)&lt;2,0,11-MOD(SUMPRODUCT(--MID(T928,{1,2,3,4,5,6,7,8,9,10,11,12},1),{5,4,3,2,9,8,7,6,5,4,3,2}),11)),VALUE(MID(T928,14,1))=IF(MOD(SUMPRODUCT(--MID(T928,{1,2,3,4,5,6,7,8,9,10,11,12,13},1),{6,5,4,3,2,9,8,7,6,5,4,3,2}),11)&lt;2,0,11-MOD(SUMPRODUCT(--MID(T928,{1,2,3,4,5,6,7,8,9,10,11,12,13},1),{6,5,4,3,2,9,8,7,6,5,4,3,2}),11))),"OK","ERRO: dígito verificador")))))</f>
      </c>
      <c r="V928" s="6">
        <f>IF(T928="","",IF(COUNTIF($T$2:$T$1001,T928)&gt;1,"DUPLICADO","OK"))</f>
      </c>
      <c r="W928" s="6">
        <f>IF(M928="","vazio",IF(OR(AND(LEN(SUBSTITUTE(SUBSTITUTE(SUBSTITUTE(SUBSTITUTE(SUBSTITUTE(SUBSTITUTE(SUBSTITUTE(TRIM(M928),".",""),"/",""),"-","")," ",""),"(",""),")",""),"+",""))=10,LEFT(SUBSTITUTE(SUBSTITUTE(SUBSTITUTE(SUBSTITUTE(SUBSTITUTE(SUBSTITUTE(SUBSTITUTE(TRIM(M928),".",""),"/",""),"-","")," ",""),"(",""),")",""),"+",""),1)&lt;&gt;"0"),AND(LEN(SUBSTITUTE(SUBSTITUTE(SUBSTITUTE(SUBSTITUTE(SUBSTITUTE(SUBSTITUTE(SUBSTITUTE(TRIM(M928),".",""),"/",""),"-","")," ",""),"(",""),")",""),"+",""))=11,LEFT(SUBSTITUTE(SUBSTITUTE(SUBSTITUTE(SUBSTITUTE(SUBSTITUTE(SUBSTITUTE(SUBSTITUTE(TRIM(M928),".",""),"/",""),"-","")," ",""),"(",""),")",""),"+",""),4)="0800")),"OK",IF(AND(LEN(SUBSTITUTE(SUBSTITUTE(SUBSTITUTE(SUBSTITUTE(SUBSTITUTE(SUBSTITUTE(SUBSTITUTE(TRIM(M928),".",""),"/",""),"-","")," ",""),"(",""),")",""),"+",""))=11,MID(SUBSTITUTE(SUBSTITUTE(SUBSTITUTE(SUBSTITUTE(SUBSTITUTE(SUBSTITUTE(SUBSTITUTE(TRIM(M928),".",""),"/",""),"-","")," ",""),"(",""),")",""),"+",""),3,1)="9"),"ERRO: é celular, use a coluna Celular","ERRO: DDD + 8 dígitos ou 0800 + 7")))</f>
      </c>
      <c r="X928" s="6">
        <f>IF(N928="","vazio",IF(AND(LEN(SUBSTITUTE(SUBSTITUTE(SUBSTITUTE(SUBSTITUTE(SUBSTITUTE(SUBSTITUTE(SUBSTITUTE(TRIM(N928),".",""),"/",""),"-","")," ",""),"(",""),")",""),"+",""))=11,MID(SUBSTITUTE(SUBSTITUTE(SUBSTITUTE(SUBSTITUTE(SUBSTITUTE(SUBSTITUTE(SUBSTITUTE(TRIM(N928),".",""),"/",""),"-","")," ",""),"(",""),")",""),"+",""),3,1)="9",LEFT(SUBSTITUTE(SUBSTITUTE(SUBSTITUTE(SUBSTITUTE(SUBSTITUTE(SUBSTITUTE(SUBSTITUTE(TRIM(N928),".",""),"/",""),"-","")," ",""),"(",""),")",""),"+",""),1)&lt;&gt;"0"),"OK",IF(LEN(SUBSTITUTE(SUBSTITUTE(SUBSTITUTE(SUBSTITUTE(SUBSTITUTE(SUBSTITUTE(SUBSTITUTE(TRIM(N928),".",""),"/",""),"-","")," ",""),"(",""),")",""),"+",""))=10,"ERRO: é fixo (ou falta o 9), use a coluna Telefone fixo","ERRO: DDD + 9 + 8 dígitos")))</f>
      </c>
      <c r="Y928" s="6">
        <f>IF(O928="","vazio",IF(AND(ISNUMBER(FIND("@",O928)),ISNUMBER(FIND(".",MID(O928,FIND("@",O928),99))),NOT(ISNUMBER(FIND(" ",TRIM(O928)))),NOT(ISNUMBER(FIND(";",O928))),NOT(ISNUMBER(FIND(",",O928)))),"OK","ERRO: um e-mail válido por linha"))</f>
      </c>
      <c r="Z928" s="6">
        <f>IF(AND(J928="",K928=""),"",IF(AND(J928&lt;&gt;"",K928&lt;&gt;""),"OK","pendente: só um nome (o GR completa ao converter)"))</f>
      </c>
      <c r="AA928" s="6">
        <f>IF(COUNTA(A928:S928)=0,"",IF(AND(A928&lt;&gt;"",B928&lt;&gt;"",C928&lt;&gt;"",D928&lt;&gt;"",E928&lt;&gt;"",F928&lt;&gt;"",G928&lt;&gt;"",H928&lt;&gt;"",OR(J928&lt;&gt;"",K928&lt;&gt;""),OR(M928&lt;&gt;"",N928&lt;&gt;"",O928&lt;&gt;"")),"OK","ERRO: faltam "&amp;IF(A928="","SDR; ","")&amp;IF(B928="","Proprietário; ","")&amp;IF(C928="","Origem; ","")&amp;IF(D928="","Temperatura; ","")&amp;IF(E928="","Segmento; ","")&amp;IF(F928="","Time/Cluster; ","")&amp;IF(G928="","CNPJ; ","")&amp;IF(H928="","Razão Social; ","")&amp;IF(AND(J928="",K928=""),"nome do contato; ","")&amp;IF(AND(M928="",N928="",O928=""),"telefone, celular ou e-mail; ","")))</f>
      </c>
      <c r="AB928" s="6">
        <f>IF(COUNTA(A928:S928)=0,"",IF(AND(U928="OK",V928="OK",LEFT(W928,4)&lt;&gt;"ERRO",LEFT(X928,4)&lt;&gt;"ERRO",LEFT(Y928,4)&lt;&gt;"ERRO",AA928="OK"),"OK","REVISAR"))</f>
      </c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5"/>
      <c r="K929" s="4"/>
      <c r="L929" s="4"/>
      <c r="M929" s="4"/>
      <c r="N929" s="4"/>
      <c r="O929" s="4"/>
      <c r="P929" s="4"/>
      <c r="Q929" s="4"/>
      <c r="R929" s="4"/>
      <c r="S929" s="4"/>
      <c r="T929" s="6">
        <f>IF(G929="","",SUBSTITUTE(SUBSTITUTE(SUBSTITUTE(SUBSTITUTE(SUBSTITUTE(SUBSTITUTE(SUBSTITUTE(TRIM(G929),".",""),"/",""),"-","")," ",""),"(",""),")",""),"+",""))</f>
      </c>
      <c r="U929" s="6">
        <f>IF(T929="","",IF(LEN(T929)&lt;&gt;14,"ERRO: "&amp;LEN(T929)&amp;" dígitos",IF(NOT(ISNUMBER(VALUE(T929))),"ERRO: não numérico",IF(LEN(SUBSTITUTE(T929,LEFT(T929,1),""))=0,"ERRO: dígitos repetidos",IF(AND(VALUE(MID(T929,13,1))=IF(MOD(SUMPRODUCT(--MID(T929,{1,2,3,4,5,6,7,8,9,10,11,12},1),{5,4,3,2,9,8,7,6,5,4,3,2}),11)&lt;2,0,11-MOD(SUMPRODUCT(--MID(T929,{1,2,3,4,5,6,7,8,9,10,11,12},1),{5,4,3,2,9,8,7,6,5,4,3,2}),11)),VALUE(MID(T929,14,1))=IF(MOD(SUMPRODUCT(--MID(T929,{1,2,3,4,5,6,7,8,9,10,11,12,13},1),{6,5,4,3,2,9,8,7,6,5,4,3,2}),11)&lt;2,0,11-MOD(SUMPRODUCT(--MID(T929,{1,2,3,4,5,6,7,8,9,10,11,12,13},1),{6,5,4,3,2,9,8,7,6,5,4,3,2}),11))),"OK","ERRO: dígito verificador")))))</f>
      </c>
      <c r="V929" s="6">
        <f>IF(T929="","",IF(COUNTIF($T$2:$T$1001,T929)&gt;1,"DUPLICADO","OK"))</f>
      </c>
      <c r="W929" s="6">
        <f>IF(M929="","vazio",IF(OR(AND(LEN(SUBSTITUTE(SUBSTITUTE(SUBSTITUTE(SUBSTITUTE(SUBSTITUTE(SUBSTITUTE(SUBSTITUTE(TRIM(M929),".",""),"/",""),"-","")," ",""),"(",""),")",""),"+",""))=10,LEFT(SUBSTITUTE(SUBSTITUTE(SUBSTITUTE(SUBSTITUTE(SUBSTITUTE(SUBSTITUTE(SUBSTITUTE(TRIM(M929),".",""),"/",""),"-","")," ",""),"(",""),")",""),"+",""),1)&lt;&gt;"0"),AND(LEN(SUBSTITUTE(SUBSTITUTE(SUBSTITUTE(SUBSTITUTE(SUBSTITUTE(SUBSTITUTE(SUBSTITUTE(TRIM(M929),".",""),"/",""),"-","")," ",""),"(",""),")",""),"+",""))=11,LEFT(SUBSTITUTE(SUBSTITUTE(SUBSTITUTE(SUBSTITUTE(SUBSTITUTE(SUBSTITUTE(SUBSTITUTE(TRIM(M929),".",""),"/",""),"-","")," ",""),"(",""),")",""),"+",""),4)="0800")),"OK",IF(AND(LEN(SUBSTITUTE(SUBSTITUTE(SUBSTITUTE(SUBSTITUTE(SUBSTITUTE(SUBSTITUTE(SUBSTITUTE(TRIM(M929),".",""),"/",""),"-","")," ",""),"(",""),")",""),"+",""))=11,MID(SUBSTITUTE(SUBSTITUTE(SUBSTITUTE(SUBSTITUTE(SUBSTITUTE(SUBSTITUTE(SUBSTITUTE(TRIM(M929),".",""),"/",""),"-","")," ",""),"(",""),")",""),"+",""),3,1)="9"),"ERRO: é celular, use a coluna Celular","ERRO: DDD + 8 dígitos ou 0800 + 7")))</f>
      </c>
      <c r="X929" s="6">
        <f>IF(N929="","vazio",IF(AND(LEN(SUBSTITUTE(SUBSTITUTE(SUBSTITUTE(SUBSTITUTE(SUBSTITUTE(SUBSTITUTE(SUBSTITUTE(TRIM(N929),".",""),"/",""),"-","")," ",""),"(",""),")",""),"+",""))=11,MID(SUBSTITUTE(SUBSTITUTE(SUBSTITUTE(SUBSTITUTE(SUBSTITUTE(SUBSTITUTE(SUBSTITUTE(TRIM(N929),".",""),"/",""),"-","")," ",""),"(",""),")",""),"+",""),3,1)="9",LEFT(SUBSTITUTE(SUBSTITUTE(SUBSTITUTE(SUBSTITUTE(SUBSTITUTE(SUBSTITUTE(SUBSTITUTE(TRIM(N929),".",""),"/",""),"-","")," ",""),"(",""),")",""),"+",""),1)&lt;&gt;"0"),"OK",IF(LEN(SUBSTITUTE(SUBSTITUTE(SUBSTITUTE(SUBSTITUTE(SUBSTITUTE(SUBSTITUTE(SUBSTITUTE(TRIM(N929),".",""),"/",""),"-","")," ",""),"(",""),")",""),"+",""))=10,"ERRO: é fixo (ou falta o 9), use a coluna Telefone fixo","ERRO: DDD + 9 + 8 dígitos")))</f>
      </c>
      <c r="Y929" s="6">
        <f>IF(O929="","vazio",IF(AND(ISNUMBER(FIND("@",O929)),ISNUMBER(FIND(".",MID(O929,FIND("@",O929),99))),NOT(ISNUMBER(FIND(" ",TRIM(O929)))),NOT(ISNUMBER(FIND(";",O929))),NOT(ISNUMBER(FIND(",",O929)))),"OK","ERRO: um e-mail válido por linha"))</f>
      </c>
      <c r="Z929" s="6">
        <f>IF(AND(J929="",K929=""),"",IF(AND(J929&lt;&gt;"",K929&lt;&gt;""),"OK","pendente: só um nome (o GR completa ao converter)"))</f>
      </c>
      <c r="AA929" s="6">
        <f>IF(COUNTA(A929:S929)=0,"",IF(AND(A929&lt;&gt;"",B929&lt;&gt;"",C929&lt;&gt;"",D929&lt;&gt;"",E929&lt;&gt;"",F929&lt;&gt;"",G929&lt;&gt;"",H929&lt;&gt;"",OR(J929&lt;&gt;"",K929&lt;&gt;""),OR(M929&lt;&gt;"",N929&lt;&gt;"",O929&lt;&gt;"")),"OK","ERRO: faltam "&amp;IF(A929="","SDR; ","")&amp;IF(B929="","Proprietário; ","")&amp;IF(C929="","Origem; ","")&amp;IF(D929="","Temperatura; ","")&amp;IF(E929="","Segmento; ","")&amp;IF(F929="","Time/Cluster; ","")&amp;IF(G929="","CNPJ; ","")&amp;IF(H929="","Razão Social; ","")&amp;IF(AND(J929="",K929=""),"nome do contato; ","")&amp;IF(AND(M929="",N929="",O929=""),"telefone, celular ou e-mail; ","")))</f>
      </c>
      <c r="AB929" s="6">
        <f>IF(COUNTA(A929:S929)=0,"",IF(AND(U929="OK",V929="OK",LEFT(W929,4)&lt;&gt;"ERRO",LEFT(X929,4)&lt;&gt;"ERRO",LEFT(Y929,4)&lt;&gt;"ERRO",AA929="OK"),"OK","REVISAR"))</f>
      </c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5"/>
      <c r="K930" s="4"/>
      <c r="L930" s="4"/>
      <c r="M930" s="4"/>
      <c r="N930" s="4"/>
      <c r="O930" s="4"/>
      <c r="P930" s="4"/>
      <c r="Q930" s="4"/>
      <c r="R930" s="4"/>
      <c r="S930" s="4"/>
      <c r="T930" s="6">
        <f>IF(G930="","",SUBSTITUTE(SUBSTITUTE(SUBSTITUTE(SUBSTITUTE(SUBSTITUTE(SUBSTITUTE(SUBSTITUTE(TRIM(G930),".",""),"/",""),"-","")," ",""),"(",""),")",""),"+",""))</f>
      </c>
      <c r="U930" s="6">
        <f>IF(T930="","",IF(LEN(T930)&lt;&gt;14,"ERRO: "&amp;LEN(T930)&amp;" dígitos",IF(NOT(ISNUMBER(VALUE(T930))),"ERRO: não numérico",IF(LEN(SUBSTITUTE(T930,LEFT(T930,1),""))=0,"ERRO: dígitos repetidos",IF(AND(VALUE(MID(T930,13,1))=IF(MOD(SUMPRODUCT(--MID(T930,{1,2,3,4,5,6,7,8,9,10,11,12},1),{5,4,3,2,9,8,7,6,5,4,3,2}),11)&lt;2,0,11-MOD(SUMPRODUCT(--MID(T930,{1,2,3,4,5,6,7,8,9,10,11,12},1),{5,4,3,2,9,8,7,6,5,4,3,2}),11)),VALUE(MID(T930,14,1))=IF(MOD(SUMPRODUCT(--MID(T930,{1,2,3,4,5,6,7,8,9,10,11,12,13},1),{6,5,4,3,2,9,8,7,6,5,4,3,2}),11)&lt;2,0,11-MOD(SUMPRODUCT(--MID(T930,{1,2,3,4,5,6,7,8,9,10,11,12,13},1),{6,5,4,3,2,9,8,7,6,5,4,3,2}),11))),"OK","ERRO: dígito verificador")))))</f>
      </c>
      <c r="V930" s="6">
        <f>IF(T930="","",IF(COUNTIF($T$2:$T$1001,T930)&gt;1,"DUPLICADO","OK"))</f>
      </c>
      <c r="W930" s="6">
        <f>IF(M930="","vazio",IF(OR(AND(LEN(SUBSTITUTE(SUBSTITUTE(SUBSTITUTE(SUBSTITUTE(SUBSTITUTE(SUBSTITUTE(SUBSTITUTE(TRIM(M930),".",""),"/",""),"-","")," ",""),"(",""),")",""),"+",""))=10,LEFT(SUBSTITUTE(SUBSTITUTE(SUBSTITUTE(SUBSTITUTE(SUBSTITUTE(SUBSTITUTE(SUBSTITUTE(TRIM(M930),".",""),"/",""),"-","")," ",""),"(",""),")",""),"+",""),1)&lt;&gt;"0"),AND(LEN(SUBSTITUTE(SUBSTITUTE(SUBSTITUTE(SUBSTITUTE(SUBSTITUTE(SUBSTITUTE(SUBSTITUTE(TRIM(M930),".",""),"/",""),"-","")," ",""),"(",""),")",""),"+",""))=11,LEFT(SUBSTITUTE(SUBSTITUTE(SUBSTITUTE(SUBSTITUTE(SUBSTITUTE(SUBSTITUTE(SUBSTITUTE(TRIM(M930),".",""),"/",""),"-","")," ",""),"(",""),")",""),"+",""),4)="0800")),"OK",IF(AND(LEN(SUBSTITUTE(SUBSTITUTE(SUBSTITUTE(SUBSTITUTE(SUBSTITUTE(SUBSTITUTE(SUBSTITUTE(TRIM(M930),".",""),"/",""),"-","")," ",""),"(",""),")",""),"+",""))=11,MID(SUBSTITUTE(SUBSTITUTE(SUBSTITUTE(SUBSTITUTE(SUBSTITUTE(SUBSTITUTE(SUBSTITUTE(TRIM(M930),".",""),"/",""),"-","")," ",""),"(",""),")",""),"+",""),3,1)="9"),"ERRO: é celular, use a coluna Celular","ERRO: DDD + 8 dígitos ou 0800 + 7")))</f>
      </c>
      <c r="X930" s="6">
        <f>IF(N930="","vazio",IF(AND(LEN(SUBSTITUTE(SUBSTITUTE(SUBSTITUTE(SUBSTITUTE(SUBSTITUTE(SUBSTITUTE(SUBSTITUTE(TRIM(N930),".",""),"/",""),"-","")," ",""),"(",""),")",""),"+",""))=11,MID(SUBSTITUTE(SUBSTITUTE(SUBSTITUTE(SUBSTITUTE(SUBSTITUTE(SUBSTITUTE(SUBSTITUTE(TRIM(N930),".",""),"/",""),"-","")," ",""),"(",""),")",""),"+",""),3,1)="9",LEFT(SUBSTITUTE(SUBSTITUTE(SUBSTITUTE(SUBSTITUTE(SUBSTITUTE(SUBSTITUTE(SUBSTITUTE(TRIM(N930),".",""),"/",""),"-","")," ",""),"(",""),")",""),"+",""),1)&lt;&gt;"0"),"OK",IF(LEN(SUBSTITUTE(SUBSTITUTE(SUBSTITUTE(SUBSTITUTE(SUBSTITUTE(SUBSTITUTE(SUBSTITUTE(TRIM(N930),".",""),"/",""),"-","")," ",""),"(",""),")",""),"+",""))=10,"ERRO: é fixo (ou falta o 9), use a coluna Telefone fixo","ERRO: DDD + 9 + 8 dígitos")))</f>
      </c>
      <c r="Y930" s="6">
        <f>IF(O930="","vazio",IF(AND(ISNUMBER(FIND("@",O930)),ISNUMBER(FIND(".",MID(O930,FIND("@",O930),99))),NOT(ISNUMBER(FIND(" ",TRIM(O930)))),NOT(ISNUMBER(FIND(";",O930))),NOT(ISNUMBER(FIND(",",O930)))),"OK","ERRO: um e-mail válido por linha"))</f>
      </c>
      <c r="Z930" s="6">
        <f>IF(AND(J930="",K930=""),"",IF(AND(J930&lt;&gt;"",K930&lt;&gt;""),"OK","pendente: só um nome (o GR completa ao converter)"))</f>
      </c>
      <c r="AA930" s="6">
        <f>IF(COUNTA(A930:S930)=0,"",IF(AND(A930&lt;&gt;"",B930&lt;&gt;"",C930&lt;&gt;"",D930&lt;&gt;"",E930&lt;&gt;"",F930&lt;&gt;"",G930&lt;&gt;"",H930&lt;&gt;"",OR(J930&lt;&gt;"",K930&lt;&gt;""),OR(M930&lt;&gt;"",N930&lt;&gt;"",O930&lt;&gt;"")),"OK","ERRO: faltam "&amp;IF(A930="","SDR; ","")&amp;IF(B930="","Proprietário; ","")&amp;IF(C930="","Origem; ","")&amp;IF(D930="","Temperatura; ","")&amp;IF(E930="","Segmento; ","")&amp;IF(F930="","Time/Cluster; ","")&amp;IF(G930="","CNPJ; ","")&amp;IF(H930="","Razão Social; ","")&amp;IF(AND(J930="",K930=""),"nome do contato; ","")&amp;IF(AND(M930="",N930="",O930=""),"telefone, celular ou e-mail; ","")))</f>
      </c>
      <c r="AB930" s="6">
        <f>IF(COUNTA(A930:S930)=0,"",IF(AND(U930="OK",V930="OK",LEFT(W930,4)&lt;&gt;"ERRO",LEFT(X930,4)&lt;&gt;"ERRO",LEFT(Y930,4)&lt;&gt;"ERRO",AA930="OK"),"OK","REVISAR"))</f>
      </c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5"/>
      <c r="K931" s="4"/>
      <c r="L931" s="4"/>
      <c r="M931" s="4"/>
      <c r="N931" s="4"/>
      <c r="O931" s="4"/>
      <c r="P931" s="4"/>
      <c r="Q931" s="4"/>
      <c r="R931" s="4"/>
      <c r="S931" s="4"/>
      <c r="T931" s="6">
        <f>IF(G931="","",SUBSTITUTE(SUBSTITUTE(SUBSTITUTE(SUBSTITUTE(SUBSTITUTE(SUBSTITUTE(SUBSTITUTE(TRIM(G931),".",""),"/",""),"-","")," ",""),"(",""),")",""),"+",""))</f>
      </c>
      <c r="U931" s="6">
        <f>IF(T931="","",IF(LEN(T931)&lt;&gt;14,"ERRO: "&amp;LEN(T931)&amp;" dígitos",IF(NOT(ISNUMBER(VALUE(T931))),"ERRO: não numérico",IF(LEN(SUBSTITUTE(T931,LEFT(T931,1),""))=0,"ERRO: dígitos repetidos",IF(AND(VALUE(MID(T931,13,1))=IF(MOD(SUMPRODUCT(--MID(T931,{1,2,3,4,5,6,7,8,9,10,11,12},1),{5,4,3,2,9,8,7,6,5,4,3,2}),11)&lt;2,0,11-MOD(SUMPRODUCT(--MID(T931,{1,2,3,4,5,6,7,8,9,10,11,12},1),{5,4,3,2,9,8,7,6,5,4,3,2}),11)),VALUE(MID(T931,14,1))=IF(MOD(SUMPRODUCT(--MID(T931,{1,2,3,4,5,6,7,8,9,10,11,12,13},1),{6,5,4,3,2,9,8,7,6,5,4,3,2}),11)&lt;2,0,11-MOD(SUMPRODUCT(--MID(T931,{1,2,3,4,5,6,7,8,9,10,11,12,13},1),{6,5,4,3,2,9,8,7,6,5,4,3,2}),11))),"OK","ERRO: dígito verificador")))))</f>
      </c>
      <c r="V931" s="6">
        <f>IF(T931="","",IF(COUNTIF($T$2:$T$1001,T931)&gt;1,"DUPLICADO","OK"))</f>
      </c>
      <c r="W931" s="6">
        <f>IF(M931="","vazio",IF(OR(AND(LEN(SUBSTITUTE(SUBSTITUTE(SUBSTITUTE(SUBSTITUTE(SUBSTITUTE(SUBSTITUTE(SUBSTITUTE(TRIM(M931),".",""),"/",""),"-","")," ",""),"(",""),")",""),"+",""))=10,LEFT(SUBSTITUTE(SUBSTITUTE(SUBSTITUTE(SUBSTITUTE(SUBSTITUTE(SUBSTITUTE(SUBSTITUTE(TRIM(M931),".",""),"/",""),"-","")," ",""),"(",""),")",""),"+",""),1)&lt;&gt;"0"),AND(LEN(SUBSTITUTE(SUBSTITUTE(SUBSTITUTE(SUBSTITUTE(SUBSTITUTE(SUBSTITUTE(SUBSTITUTE(TRIM(M931),".",""),"/",""),"-","")," ",""),"(",""),")",""),"+",""))=11,LEFT(SUBSTITUTE(SUBSTITUTE(SUBSTITUTE(SUBSTITUTE(SUBSTITUTE(SUBSTITUTE(SUBSTITUTE(TRIM(M931),".",""),"/",""),"-","")," ",""),"(",""),")",""),"+",""),4)="0800")),"OK",IF(AND(LEN(SUBSTITUTE(SUBSTITUTE(SUBSTITUTE(SUBSTITUTE(SUBSTITUTE(SUBSTITUTE(SUBSTITUTE(TRIM(M931),".",""),"/",""),"-","")," ",""),"(",""),")",""),"+",""))=11,MID(SUBSTITUTE(SUBSTITUTE(SUBSTITUTE(SUBSTITUTE(SUBSTITUTE(SUBSTITUTE(SUBSTITUTE(TRIM(M931),".",""),"/",""),"-","")," ",""),"(",""),")",""),"+",""),3,1)="9"),"ERRO: é celular, use a coluna Celular","ERRO: DDD + 8 dígitos ou 0800 + 7")))</f>
      </c>
      <c r="X931" s="6">
        <f>IF(N931="","vazio",IF(AND(LEN(SUBSTITUTE(SUBSTITUTE(SUBSTITUTE(SUBSTITUTE(SUBSTITUTE(SUBSTITUTE(SUBSTITUTE(TRIM(N931),".",""),"/",""),"-","")," ",""),"(",""),")",""),"+",""))=11,MID(SUBSTITUTE(SUBSTITUTE(SUBSTITUTE(SUBSTITUTE(SUBSTITUTE(SUBSTITUTE(SUBSTITUTE(TRIM(N931),".",""),"/",""),"-","")," ",""),"(",""),")",""),"+",""),3,1)="9",LEFT(SUBSTITUTE(SUBSTITUTE(SUBSTITUTE(SUBSTITUTE(SUBSTITUTE(SUBSTITUTE(SUBSTITUTE(TRIM(N931),".",""),"/",""),"-","")," ",""),"(",""),")",""),"+",""),1)&lt;&gt;"0"),"OK",IF(LEN(SUBSTITUTE(SUBSTITUTE(SUBSTITUTE(SUBSTITUTE(SUBSTITUTE(SUBSTITUTE(SUBSTITUTE(TRIM(N931),".",""),"/",""),"-","")," ",""),"(",""),")",""),"+",""))=10,"ERRO: é fixo (ou falta o 9), use a coluna Telefone fixo","ERRO: DDD + 9 + 8 dígitos")))</f>
      </c>
      <c r="Y931" s="6">
        <f>IF(O931="","vazio",IF(AND(ISNUMBER(FIND("@",O931)),ISNUMBER(FIND(".",MID(O931,FIND("@",O931),99))),NOT(ISNUMBER(FIND(" ",TRIM(O931)))),NOT(ISNUMBER(FIND(";",O931))),NOT(ISNUMBER(FIND(",",O931)))),"OK","ERRO: um e-mail válido por linha"))</f>
      </c>
      <c r="Z931" s="6">
        <f>IF(AND(J931="",K931=""),"",IF(AND(J931&lt;&gt;"",K931&lt;&gt;""),"OK","pendente: só um nome (o GR completa ao converter)"))</f>
      </c>
      <c r="AA931" s="6">
        <f>IF(COUNTA(A931:S931)=0,"",IF(AND(A931&lt;&gt;"",B931&lt;&gt;"",C931&lt;&gt;"",D931&lt;&gt;"",E931&lt;&gt;"",F931&lt;&gt;"",G931&lt;&gt;"",H931&lt;&gt;"",OR(J931&lt;&gt;"",K931&lt;&gt;""),OR(M931&lt;&gt;"",N931&lt;&gt;"",O931&lt;&gt;"")),"OK","ERRO: faltam "&amp;IF(A931="","SDR; ","")&amp;IF(B931="","Proprietário; ","")&amp;IF(C931="","Origem; ","")&amp;IF(D931="","Temperatura; ","")&amp;IF(E931="","Segmento; ","")&amp;IF(F931="","Time/Cluster; ","")&amp;IF(G931="","CNPJ; ","")&amp;IF(H931="","Razão Social; ","")&amp;IF(AND(J931="",K931=""),"nome do contato; ","")&amp;IF(AND(M931="",N931="",O931=""),"telefone, celular ou e-mail; ","")))</f>
      </c>
      <c r="AB931" s="6">
        <f>IF(COUNTA(A931:S931)=0,"",IF(AND(U931="OK",V931="OK",LEFT(W931,4)&lt;&gt;"ERRO",LEFT(X931,4)&lt;&gt;"ERRO",LEFT(Y931,4)&lt;&gt;"ERRO",AA931="OK"),"OK","REVISAR"))</f>
      </c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5"/>
      <c r="K932" s="4"/>
      <c r="L932" s="4"/>
      <c r="M932" s="4"/>
      <c r="N932" s="4"/>
      <c r="O932" s="4"/>
      <c r="P932" s="4"/>
      <c r="Q932" s="4"/>
      <c r="R932" s="4"/>
      <c r="S932" s="4"/>
      <c r="T932" s="6">
        <f>IF(G932="","",SUBSTITUTE(SUBSTITUTE(SUBSTITUTE(SUBSTITUTE(SUBSTITUTE(SUBSTITUTE(SUBSTITUTE(TRIM(G932),".",""),"/",""),"-","")," ",""),"(",""),")",""),"+",""))</f>
      </c>
      <c r="U932" s="6">
        <f>IF(T932="","",IF(LEN(T932)&lt;&gt;14,"ERRO: "&amp;LEN(T932)&amp;" dígitos",IF(NOT(ISNUMBER(VALUE(T932))),"ERRO: não numérico",IF(LEN(SUBSTITUTE(T932,LEFT(T932,1),""))=0,"ERRO: dígitos repetidos",IF(AND(VALUE(MID(T932,13,1))=IF(MOD(SUMPRODUCT(--MID(T932,{1,2,3,4,5,6,7,8,9,10,11,12},1),{5,4,3,2,9,8,7,6,5,4,3,2}),11)&lt;2,0,11-MOD(SUMPRODUCT(--MID(T932,{1,2,3,4,5,6,7,8,9,10,11,12},1),{5,4,3,2,9,8,7,6,5,4,3,2}),11)),VALUE(MID(T932,14,1))=IF(MOD(SUMPRODUCT(--MID(T932,{1,2,3,4,5,6,7,8,9,10,11,12,13},1),{6,5,4,3,2,9,8,7,6,5,4,3,2}),11)&lt;2,0,11-MOD(SUMPRODUCT(--MID(T932,{1,2,3,4,5,6,7,8,9,10,11,12,13},1),{6,5,4,3,2,9,8,7,6,5,4,3,2}),11))),"OK","ERRO: dígito verificador")))))</f>
      </c>
      <c r="V932" s="6">
        <f>IF(T932="","",IF(COUNTIF($T$2:$T$1001,T932)&gt;1,"DUPLICADO","OK"))</f>
      </c>
      <c r="W932" s="6">
        <f>IF(M932="","vazio",IF(OR(AND(LEN(SUBSTITUTE(SUBSTITUTE(SUBSTITUTE(SUBSTITUTE(SUBSTITUTE(SUBSTITUTE(SUBSTITUTE(TRIM(M932),".",""),"/",""),"-","")," ",""),"(",""),")",""),"+",""))=10,LEFT(SUBSTITUTE(SUBSTITUTE(SUBSTITUTE(SUBSTITUTE(SUBSTITUTE(SUBSTITUTE(SUBSTITUTE(TRIM(M932),".",""),"/",""),"-","")," ",""),"(",""),")",""),"+",""),1)&lt;&gt;"0"),AND(LEN(SUBSTITUTE(SUBSTITUTE(SUBSTITUTE(SUBSTITUTE(SUBSTITUTE(SUBSTITUTE(SUBSTITUTE(TRIM(M932),".",""),"/",""),"-","")," ",""),"(",""),")",""),"+",""))=11,LEFT(SUBSTITUTE(SUBSTITUTE(SUBSTITUTE(SUBSTITUTE(SUBSTITUTE(SUBSTITUTE(SUBSTITUTE(TRIM(M932),".",""),"/",""),"-","")," ",""),"(",""),")",""),"+",""),4)="0800")),"OK",IF(AND(LEN(SUBSTITUTE(SUBSTITUTE(SUBSTITUTE(SUBSTITUTE(SUBSTITUTE(SUBSTITUTE(SUBSTITUTE(TRIM(M932),".",""),"/",""),"-","")," ",""),"(",""),")",""),"+",""))=11,MID(SUBSTITUTE(SUBSTITUTE(SUBSTITUTE(SUBSTITUTE(SUBSTITUTE(SUBSTITUTE(SUBSTITUTE(TRIM(M932),".",""),"/",""),"-","")," ",""),"(",""),")",""),"+",""),3,1)="9"),"ERRO: é celular, use a coluna Celular","ERRO: DDD + 8 dígitos ou 0800 + 7")))</f>
      </c>
      <c r="X932" s="6">
        <f>IF(N932="","vazio",IF(AND(LEN(SUBSTITUTE(SUBSTITUTE(SUBSTITUTE(SUBSTITUTE(SUBSTITUTE(SUBSTITUTE(SUBSTITUTE(TRIM(N932),".",""),"/",""),"-","")," ",""),"(",""),")",""),"+",""))=11,MID(SUBSTITUTE(SUBSTITUTE(SUBSTITUTE(SUBSTITUTE(SUBSTITUTE(SUBSTITUTE(SUBSTITUTE(TRIM(N932),".",""),"/",""),"-","")," ",""),"(",""),")",""),"+",""),3,1)="9",LEFT(SUBSTITUTE(SUBSTITUTE(SUBSTITUTE(SUBSTITUTE(SUBSTITUTE(SUBSTITUTE(SUBSTITUTE(TRIM(N932),".",""),"/",""),"-","")," ",""),"(",""),")",""),"+",""),1)&lt;&gt;"0"),"OK",IF(LEN(SUBSTITUTE(SUBSTITUTE(SUBSTITUTE(SUBSTITUTE(SUBSTITUTE(SUBSTITUTE(SUBSTITUTE(TRIM(N932),".",""),"/",""),"-","")," ",""),"(",""),")",""),"+",""))=10,"ERRO: é fixo (ou falta o 9), use a coluna Telefone fixo","ERRO: DDD + 9 + 8 dígitos")))</f>
      </c>
      <c r="Y932" s="6">
        <f>IF(O932="","vazio",IF(AND(ISNUMBER(FIND("@",O932)),ISNUMBER(FIND(".",MID(O932,FIND("@",O932),99))),NOT(ISNUMBER(FIND(" ",TRIM(O932)))),NOT(ISNUMBER(FIND(";",O932))),NOT(ISNUMBER(FIND(",",O932)))),"OK","ERRO: um e-mail válido por linha"))</f>
      </c>
      <c r="Z932" s="6">
        <f>IF(AND(J932="",K932=""),"",IF(AND(J932&lt;&gt;"",K932&lt;&gt;""),"OK","pendente: só um nome (o GR completa ao converter)"))</f>
      </c>
      <c r="AA932" s="6">
        <f>IF(COUNTA(A932:S932)=0,"",IF(AND(A932&lt;&gt;"",B932&lt;&gt;"",C932&lt;&gt;"",D932&lt;&gt;"",E932&lt;&gt;"",F932&lt;&gt;"",G932&lt;&gt;"",H932&lt;&gt;"",OR(J932&lt;&gt;"",K932&lt;&gt;""),OR(M932&lt;&gt;"",N932&lt;&gt;"",O932&lt;&gt;"")),"OK","ERRO: faltam "&amp;IF(A932="","SDR; ","")&amp;IF(B932="","Proprietário; ","")&amp;IF(C932="","Origem; ","")&amp;IF(D932="","Temperatura; ","")&amp;IF(E932="","Segmento; ","")&amp;IF(F932="","Time/Cluster; ","")&amp;IF(G932="","CNPJ; ","")&amp;IF(H932="","Razão Social; ","")&amp;IF(AND(J932="",K932=""),"nome do contato; ","")&amp;IF(AND(M932="",N932="",O932=""),"telefone, celular ou e-mail; ","")))</f>
      </c>
      <c r="AB932" s="6">
        <f>IF(COUNTA(A932:S932)=0,"",IF(AND(U932="OK",V932="OK",LEFT(W932,4)&lt;&gt;"ERRO",LEFT(X932,4)&lt;&gt;"ERRO",LEFT(Y932,4)&lt;&gt;"ERRO",AA932="OK"),"OK","REVISAR"))</f>
      </c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5"/>
      <c r="K933" s="4"/>
      <c r="L933" s="4"/>
      <c r="M933" s="4"/>
      <c r="N933" s="4"/>
      <c r="O933" s="4"/>
      <c r="P933" s="4"/>
      <c r="Q933" s="4"/>
      <c r="R933" s="4"/>
      <c r="S933" s="4"/>
      <c r="T933" s="6">
        <f>IF(G933="","",SUBSTITUTE(SUBSTITUTE(SUBSTITUTE(SUBSTITUTE(SUBSTITUTE(SUBSTITUTE(SUBSTITUTE(TRIM(G933),".",""),"/",""),"-","")," ",""),"(",""),")",""),"+",""))</f>
      </c>
      <c r="U933" s="6">
        <f>IF(T933="","",IF(LEN(T933)&lt;&gt;14,"ERRO: "&amp;LEN(T933)&amp;" dígitos",IF(NOT(ISNUMBER(VALUE(T933))),"ERRO: não numérico",IF(LEN(SUBSTITUTE(T933,LEFT(T933,1),""))=0,"ERRO: dígitos repetidos",IF(AND(VALUE(MID(T933,13,1))=IF(MOD(SUMPRODUCT(--MID(T933,{1,2,3,4,5,6,7,8,9,10,11,12},1),{5,4,3,2,9,8,7,6,5,4,3,2}),11)&lt;2,0,11-MOD(SUMPRODUCT(--MID(T933,{1,2,3,4,5,6,7,8,9,10,11,12},1),{5,4,3,2,9,8,7,6,5,4,3,2}),11)),VALUE(MID(T933,14,1))=IF(MOD(SUMPRODUCT(--MID(T933,{1,2,3,4,5,6,7,8,9,10,11,12,13},1),{6,5,4,3,2,9,8,7,6,5,4,3,2}),11)&lt;2,0,11-MOD(SUMPRODUCT(--MID(T933,{1,2,3,4,5,6,7,8,9,10,11,12,13},1),{6,5,4,3,2,9,8,7,6,5,4,3,2}),11))),"OK","ERRO: dígito verificador")))))</f>
      </c>
      <c r="V933" s="6">
        <f>IF(T933="","",IF(COUNTIF($T$2:$T$1001,T933)&gt;1,"DUPLICADO","OK"))</f>
      </c>
      <c r="W933" s="6">
        <f>IF(M933="","vazio",IF(OR(AND(LEN(SUBSTITUTE(SUBSTITUTE(SUBSTITUTE(SUBSTITUTE(SUBSTITUTE(SUBSTITUTE(SUBSTITUTE(TRIM(M933),".",""),"/",""),"-","")," ",""),"(",""),")",""),"+",""))=10,LEFT(SUBSTITUTE(SUBSTITUTE(SUBSTITUTE(SUBSTITUTE(SUBSTITUTE(SUBSTITUTE(SUBSTITUTE(TRIM(M933),".",""),"/",""),"-","")," ",""),"(",""),")",""),"+",""),1)&lt;&gt;"0"),AND(LEN(SUBSTITUTE(SUBSTITUTE(SUBSTITUTE(SUBSTITUTE(SUBSTITUTE(SUBSTITUTE(SUBSTITUTE(TRIM(M933),".",""),"/",""),"-","")," ",""),"(",""),")",""),"+",""))=11,LEFT(SUBSTITUTE(SUBSTITUTE(SUBSTITUTE(SUBSTITUTE(SUBSTITUTE(SUBSTITUTE(SUBSTITUTE(TRIM(M933),".",""),"/",""),"-","")," ",""),"(",""),")",""),"+",""),4)="0800")),"OK",IF(AND(LEN(SUBSTITUTE(SUBSTITUTE(SUBSTITUTE(SUBSTITUTE(SUBSTITUTE(SUBSTITUTE(SUBSTITUTE(TRIM(M933),".",""),"/",""),"-","")," ",""),"(",""),")",""),"+",""))=11,MID(SUBSTITUTE(SUBSTITUTE(SUBSTITUTE(SUBSTITUTE(SUBSTITUTE(SUBSTITUTE(SUBSTITUTE(TRIM(M933),".",""),"/",""),"-","")," ",""),"(",""),")",""),"+",""),3,1)="9"),"ERRO: é celular, use a coluna Celular","ERRO: DDD + 8 dígitos ou 0800 + 7")))</f>
      </c>
      <c r="X933" s="6">
        <f>IF(N933="","vazio",IF(AND(LEN(SUBSTITUTE(SUBSTITUTE(SUBSTITUTE(SUBSTITUTE(SUBSTITUTE(SUBSTITUTE(SUBSTITUTE(TRIM(N933),".",""),"/",""),"-","")," ",""),"(",""),")",""),"+",""))=11,MID(SUBSTITUTE(SUBSTITUTE(SUBSTITUTE(SUBSTITUTE(SUBSTITUTE(SUBSTITUTE(SUBSTITUTE(TRIM(N933),".",""),"/",""),"-","")," ",""),"(",""),")",""),"+",""),3,1)="9",LEFT(SUBSTITUTE(SUBSTITUTE(SUBSTITUTE(SUBSTITUTE(SUBSTITUTE(SUBSTITUTE(SUBSTITUTE(TRIM(N933),".",""),"/",""),"-","")," ",""),"(",""),")",""),"+",""),1)&lt;&gt;"0"),"OK",IF(LEN(SUBSTITUTE(SUBSTITUTE(SUBSTITUTE(SUBSTITUTE(SUBSTITUTE(SUBSTITUTE(SUBSTITUTE(TRIM(N933),".",""),"/",""),"-","")," ",""),"(",""),")",""),"+",""))=10,"ERRO: é fixo (ou falta o 9), use a coluna Telefone fixo","ERRO: DDD + 9 + 8 dígitos")))</f>
      </c>
      <c r="Y933" s="6">
        <f>IF(O933="","vazio",IF(AND(ISNUMBER(FIND("@",O933)),ISNUMBER(FIND(".",MID(O933,FIND("@",O933),99))),NOT(ISNUMBER(FIND(" ",TRIM(O933)))),NOT(ISNUMBER(FIND(";",O933))),NOT(ISNUMBER(FIND(",",O933)))),"OK","ERRO: um e-mail válido por linha"))</f>
      </c>
      <c r="Z933" s="6">
        <f>IF(AND(J933="",K933=""),"",IF(AND(J933&lt;&gt;"",K933&lt;&gt;""),"OK","pendente: só um nome (o GR completa ao converter)"))</f>
      </c>
      <c r="AA933" s="6">
        <f>IF(COUNTA(A933:S933)=0,"",IF(AND(A933&lt;&gt;"",B933&lt;&gt;"",C933&lt;&gt;"",D933&lt;&gt;"",E933&lt;&gt;"",F933&lt;&gt;"",G933&lt;&gt;"",H933&lt;&gt;"",OR(J933&lt;&gt;"",K933&lt;&gt;""),OR(M933&lt;&gt;"",N933&lt;&gt;"",O933&lt;&gt;"")),"OK","ERRO: faltam "&amp;IF(A933="","SDR; ","")&amp;IF(B933="","Proprietário; ","")&amp;IF(C933="","Origem; ","")&amp;IF(D933="","Temperatura; ","")&amp;IF(E933="","Segmento; ","")&amp;IF(F933="","Time/Cluster; ","")&amp;IF(G933="","CNPJ; ","")&amp;IF(H933="","Razão Social; ","")&amp;IF(AND(J933="",K933=""),"nome do contato; ","")&amp;IF(AND(M933="",N933="",O933=""),"telefone, celular ou e-mail; ","")))</f>
      </c>
      <c r="AB933" s="6">
        <f>IF(COUNTA(A933:S933)=0,"",IF(AND(U933="OK",V933="OK",LEFT(W933,4)&lt;&gt;"ERRO",LEFT(X933,4)&lt;&gt;"ERRO",LEFT(Y933,4)&lt;&gt;"ERRO",AA933="OK"),"OK","REVISAR"))</f>
      </c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5"/>
      <c r="K934" s="4"/>
      <c r="L934" s="4"/>
      <c r="M934" s="4"/>
      <c r="N934" s="4"/>
      <c r="O934" s="4"/>
      <c r="P934" s="4"/>
      <c r="Q934" s="4"/>
      <c r="R934" s="4"/>
      <c r="S934" s="4"/>
      <c r="T934" s="6">
        <f>IF(G934="","",SUBSTITUTE(SUBSTITUTE(SUBSTITUTE(SUBSTITUTE(SUBSTITUTE(SUBSTITUTE(SUBSTITUTE(TRIM(G934),".",""),"/",""),"-","")," ",""),"(",""),")",""),"+",""))</f>
      </c>
      <c r="U934" s="6">
        <f>IF(T934="","",IF(LEN(T934)&lt;&gt;14,"ERRO: "&amp;LEN(T934)&amp;" dígitos",IF(NOT(ISNUMBER(VALUE(T934))),"ERRO: não numérico",IF(LEN(SUBSTITUTE(T934,LEFT(T934,1),""))=0,"ERRO: dígitos repetidos",IF(AND(VALUE(MID(T934,13,1))=IF(MOD(SUMPRODUCT(--MID(T934,{1,2,3,4,5,6,7,8,9,10,11,12},1),{5,4,3,2,9,8,7,6,5,4,3,2}),11)&lt;2,0,11-MOD(SUMPRODUCT(--MID(T934,{1,2,3,4,5,6,7,8,9,10,11,12},1),{5,4,3,2,9,8,7,6,5,4,3,2}),11)),VALUE(MID(T934,14,1))=IF(MOD(SUMPRODUCT(--MID(T934,{1,2,3,4,5,6,7,8,9,10,11,12,13},1),{6,5,4,3,2,9,8,7,6,5,4,3,2}),11)&lt;2,0,11-MOD(SUMPRODUCT(--MID(T934,{1,2,3,4,5,6,7,8,9,10,11,12,13},1),{6,5,4,3,2,9,8,7,6,5,4,3,2}),11))),"OK","ERRO: dígito verificador")))))</f>
      </c>
      <c r="V934" s="6">
        <f>IF(T934="","",IF(COUNTIF($T$2:$T$1001,T934)&gt;1,"DUPLICADO","OK"))</f>
      </c>
      <c r="W934" s="6">
        <f>IF(M934="","vazio",IF(OR(AND(LEN(SUBSTITUTE(SUBSTITUTE(SUBSTITUTE(SUBSTITUTE(SUBSTITUTE(SUBSTITUTE(SUBSTITUTE(TRIM(M934),".",""),"/",""),"-","")," ",""),"(",""),")",""),"+",""))=10,LEFT(SUBSTITUTE(SUBSTITUTE(SUBSTITUTE(SUBSTITUTE(SUBSTITUTE(SUBSTITUTE(SUBSTITUTE(TRIM(M934),".",""),"/",""),"-","")," ",""),"(",""),")",""),"+",""),1)&lt;&gt;"0"),AND(LEN(SUBSTITUTE(SUBSTITUTE(SUBSTITUTE(SUBSTITUTE(SUBSTITUTE(SUBSTITUTE(SUBSTITUTE(TRIM(M934),".",""),"/",""),"-","")," ",""),"(",""),")",""),"+",""))=11,LEFT(SUBSTITUTE(SUBSTITUTE(SUBSTITUTE(SUBSTITUTE(SUBSTITUTE(SUBSTITUTE(SUBSTITUTE(TRIM(M934),".",""),"/",""),"-","")," ",""),"(",""),")",""),"+",""),4)="0800")),"OK",IF(AND(LEN(SUBSTITUTE(SUBSTITUTE(SUBSTITUTE(SUBSTITUTE(SUBSTITUTE(SUBSTITUTE(SUBSTITUTE(TRIM(M934),".",""),"/",""),"-","")," ",""),"(",""),")",""),"+",""))=11,MID(SUBSTITUTE(SUBSTITUTE(SUBSTITUTE(SUBSTITUTE(SUBSTITUTE(SUBSTITUTE(SUBSTITUTE(TRIM(M934),".",""),"/",""),"-","")," ",""),"(",""),")",""),"+",""),3,1)="9"),"ERRO: é celular, use a coluna Celular","ERRO: DDD + 8 dígitos ou 0800 + 7")))</f>
      </c>
      <c r="X934" s="6">
        <f>IF(N934="","vazio",IF(AND(LEN(SUBSTITUTE(SUBSTITUTE(SUBSTITUTE(SUBSTITUTE(SUBSTITUTE(SUBSTITUTE(SUBSTITUTE(TRIM(N934),".",""),"/",""),"-","")," ",""),"(",""),")",""),"+",""))=11,MID(SUBSTITUTE(SUBSTITUTE(SUBSTITUTE(SUBSTITUTE(SUBSTITUTE(SUBSTITUTE(SUBSTITUTE(TRIM(N934),".",""),"/",""),"-","")," ",""),"(",""),")",""),"+",""),3,1)="9",LEFT(SUBSTITUTE(SUBSTITUTE(SUBSTITUTE(SUBSTITUTE(SUBSTITUTE(SUBSTITUTE(SUBSTITUTE(TRIM(N934),".",""),"/",""),"-","")," ",""),"(",""),")",""),"+",""),1)&lt;&gt;"0"),"OK",IF(LEN(SUBSTITUTE(SUBSTITUTE(SUBSTITUTE(SUBSTITUTE(SUBSTITUTE(SUBSTITUTE(SUBSTITUTE(TRIM(N934),".",""),"/",""),"-","")," ",""),"(",""),")",""),"+",""))=10,"ERRO: é fixo (ou falta o 9), use a coluna Telefone fixo","ERRO: DDD + 9 + 8 dígitos")))</f>
      </c>
      <c r="Y934" s="6">
        <f>IF(O934="","vazio",IF(AND(ISNUMBER(FIND("@",O934)),ISNUMBER(FIND(".",MID(O934,FIND("@",O934),99))),NOT(ISNUMBER(FIND(" ",TRIM(O934)))),NOT(ISNUMBER(FIND(";",O934))),NOT(ISNUMBER(FIND(",",O934)))),"OK","ERRO: um e-mail válido por linha"))</f>
      </c>
      <c r="Z934" s="6">
        <f>IF(AND(J934="",K934=""),"",IF(AND(J934&lt;&gt;"",K934&lt;&gt;""),"OK","pendente: só um nome (o GR completa ao converter)"))</f>
      </c>
      <c r="AA934" s="6">
        <f>IF(COUNTA(A934:S934)=0,"",IF(AND(A934&lt;&gt;"",B934&lt;&gt;"",C934&lt;&gt;"",D934&lt;&gt;"",E934&lt;&gt;"",F934&lt;&gt;"",G934&lt;&gt;"",H934&lt;&gt;"",OR(J934&lt;&gt;"",K934&lt;&gt;""),OR(M934&lt;&gt;"",N934&lt;&gt;"",O934&lt;&gt;"")),"OK","ERRO: faltam "&amp;IF(A934="","SDR; ","")&amp;IF(B934="","Proprietário; ","")&amp;IF(C934="","Origem; ","")&amp;IF(D934="","Temperatura; ","")&amp;IF(E934="","Segmento; ","")&amp;IF(F934="","Time/Cluster; ","")&amp;IF(G934="","CNPJ; ","")&amp;IF(H934="","Razão Social; ","")&amp;IF(AND(J934="",K934=""),"nome do contato; ","")&amp;IF(AND(M934="",N934="",O934=""),"telefone, celular ou e-mail; ","")))</f>
      </c>
      <c r="AB934" s="6">
        <f>IF(COUNTA(A934:S934)=0,"",IF(AND(U934="OK",V934="OK",LEFT(W934,4)&lt;&gt;"ERRO",LEFT(X934,4)&lt;&gt;"ERRO",LEFT(Y934,4)&lt;&gt;"ERRO",AA934="OK"),"OK","REVISAR"))</f>
      </c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5"/>
      <c r="K935" s="4"/>
      <c r="L935" s="4"/>
      <c r="M935" s="4"/>
      <c r="N935" s="4"/>
      <c r="O935" s="4"/>
      <c r="P935" s="4"/>
      <c r="Q935" s="4"/>
      <c r="R935" s="4"/>
      <c r="S935" s="4"/>
      <c r="T935" s="6">
        <f>IF(G935="","",SUBSTITUTE(SUBSTITUTE(SUBSTITUTE(SUBSTITUTE(SUBSTITUTE(SUBSTITUTE(SUBSTITUTE(TRIM(G935),".",""),"/",""),"-","")," ",""),"(",""),")",""),"+",""))</f>
      </c>
      <c r="U935" s="6">
        <f>IF(T935="","",IF(LEN(T935)&lt;&gt;14,"ERRO: "&amp;LEN(T935)&amp;" dígitos",IF(NOT(ISNUMBER(VALUE(T935))),"ERRO: não numérico",IF(LEN(SUBSTITUTE(T935,LEFT(T935,1),""))=0,"ERRO: dígitos repetidos",IF(AND(VALUE(MID(T935,13,1))=IF(MOD(SUMPRODUCT(--MID(T935,{1,2,3,4,5,6,7,8,9,10,11,12},1),{5,4,3,2,9,8,7,6,5,4,3,2}),11)&lt;2,0,11-MOD(SUMPRODUCT(--MID(T935,{1,2,3,4,5,6,7,8,9,10,11,12},1),{5,4,3,2,9,8,7,6,5,4,3,2}),11)),VALUE(MID(T935,14,1))=IF(MOD(SUMPRODUCT(--MID(T935,{1,2,3,4,5,6,7,8,9,10,11,12,13},1),{6,5,4,3,2,9,8,7,6,5,4,3,2}),11)&lt;2,0,11-MOD(SUMPRODUCT(--MID(T935,{1,2,3,4,5,6,7,8,9,10,11,12,13},1),{6,5,4,3,2,9,8,7,6,5,4,3,2}),11))),"OK","ERRO: dígito verificador")))))</f>
      </c>
      <c r="V935" s="6">
        <f>IF(T935="","",IF(COUNTIF($T$2:$T$1001,T935)&gt;1,"DUPLICADO","OK"))</f>
      </c>
      <c r="W935" s="6">
        <f>IF(M935="","vazio",IF(OR(AND(LEN(SUBSTITUTE(SUBSTITUTE(SUBSTITUTE(SUBSTITUTE(SUBSTITUTE(SUBSTITUTE(SUBSTITUTE(TRIM(M935),".",""),"/",""),"-","")," ",""),"(",""),")",""),"+",""))=10,LEFT(SUBSTITUTE(SUBSTITUTE(SUBSTITUTE(SUBSTITUTE(SUBSTITUTE(SUBSTITUTE(SUBSTITUTE(TRIM(M935),".",""),"/",""),"-","")," ",""),"(",""),")",""),"+",""),1)&lt;&gt;"0"),AND(LEN(SUBSTITUTE(SUBSTITUTE(SUBSTITUTE(SUBSTITUTE(SUBSTITUTE(SUBSTITUTE(SUBSTITUTE(TRIM(M935),".",""),"/",""),"-","")," ",""),"(",""),")",""),"+",""))=11,LEFT(SUBSTITUTE(SUBSTITUTE(SUBSTITUTE(SUBSTITUTE(SUBSTITUTE(SUBSTITUTE(SUBSTITUTE(TRIM(M935),".",""),"/",""),"-","")," ",""),"(",""),")",""),"+",""),4)="0800")),"OK",IF(AND(LEN(SUBSTITUTE(SUBSTITUTE(SUBSTITUTE(SUBSTITUTE(SUBSTITUTE(SUBSTITUTE(SUBSTITUTE(TRIM(M935),".",""),"/",""),"-","")," ",""),"(",""),")",""),"+",""))=11,MID(SUBSTITUTE(SUBSTITUTE(SUBSTITUTE(SUBSTITUTE(SUBSTITUTE(SUBSTITUTE(SUBSTITUTE(TRIM(M935),".",""),"/",""),"-","")," ",""),"(",""),")",""),"+",""),3,1)="9"),"ERRO: é celular, use a coluna Celular","ERRO: DDD + 8 dígitos ou 0800 + 7")))</f>
      </c>
      <c r="X935" s="6">
        <f>IF(N935="","vazio",IF(AND(LEN(SUBSTITUTE(SUBSTITUTE(SUBSTITUTE(SUBSTITUTE(SUBSTITUTE(SUBSTITUTE(SUBSTITUTE(TRIM(N935),".",""),"/",""),"-","")," ",""),"(",""),")",""),"+",""))=11,MID(SUBSTITUTE(SUBSTITUTE(SUBSTITUTE(SUBSTITUTE(SUBSTITUTE(SUBSTITUTE(SUBSTITUTE(TRIM(N935),".",""),"/",""),"-","")," ",""),"(",""),")",""),"+",""),3,1)="9",LEFT(SUBSTITUTE(SUBSTITUTE(SUBSTITUTE(SUBSTITUTE(SUBSTITUTE(SUBSTITUTE(SUBSTITUTE(TRIM(N935),".",""),"/",""),"-","")," ",""),"(",""),")",""),"+",""),1)&lt;&gt;"0"),"OK",IF(LEN(SUBSTITUTE(SUBSTITUTE(SUBSTITUTE(SUBSTITUTE(SUBSTITUTE(SUBSTITUTE(SUBSTITUTE(TRIM(N935),".",""),"/",""),"-","")," ",""),"(",""),")",""),"+",""))=10,"ERRO: é fixo (ou falta o 9), use a coluna Telefone fixo","ERRO: DDD + 9 + 8 dígitos")))</f>
      </c>
      <c r="Y935" s="6">
        <f>IF(O935="","vazio",IF(AND(ISNUMBER(FIND("@",O935)),ISNUMBER(FIND(".",MID(O935,FIND("@",O935),99))),NOT(ISNUMBER(FIND(" ",TRIM(O935)))),NOT(ISNUMBER(FIND(";",O935))),NOT(ISNUMBER(FIND(",",O935)))),"OK","ERRO: um e-mail válido por linha"))</f>
      </c>
      <c r="Z935" s="6">
        <f>IF(AND(J935="",K935=""),"",IF(AND(J935&lt;&gt;"",K935&lt;&gt;""),"OK","pendente: só um nome (o GR completa ao converter)"))</f>
      </c>
      <c r="AA935" s="6">
        <f>IF(COUNTA(A935:S935)=0,"",IF(AND(A935&lt;&gt;"",B935&lt;&gt;"",C935&lt;&gt;"",D935&lt;&gt;"",E935&lt;&gt;"",F935&lt;&gt;"",G935&lt;&gt;"",H935&lt;&gt;"",OR(J935&lt;&gt;"",K935&lt;&gt;""),OR(M935&lt;&gt;"",N935&lt;&gt;"",O935&lt;&gt;"")),"OK","ERRO: faltam "&amp;IF(A935="","SDR; ","")&amp;IF(B935="","Proprietário; ","")&amp;IF(C935="","Origem; ","")&amp;IF(D935="","Temperatura; ","")&amp;IF(E935="","Segmento; ","")&amp;IF(F935="","Time/Cluster; ","")&amp;IF(G935="","CNPJ; ","")&amp;IF(H935="","Razão Social; ","")&amp;IF(AND(J935="",K935=""),"nome do contato; ","")&amp;IF(AND(M935="",N935="",O935=""),"telefone, celular ou e-mail; ","")))</f>
      </c>
      <c r="AB935" s="6">
        <f>IF(COUNTA(A935:S935)=0,"",IF(AND(U935="OK",V935="OK",LEFT(W935,4)&lt;&gt;"ERRO",LEFT(X935,4)&lt;&gt;"ERRO",LEFT(Y935,4)&lt;&gt;"ERRO",AA935="OK"),"OK","REVISAR"))</f>
      </c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5"/>
      <c r="K936" s="4"/>
      <c r="L936" s="4"/>
      <c r="M936" s="4"/>
      <c r="N936" s="4"/>
      <c r="O936" s="4"/>
      <c r="P936" s="4"/>
      <c r="Q936" s="4"/>
      <c r="R936" s="4"/>
      <c r="S936" s="4"/>
      <c r="T936" s="6">
        <f>IF(G936="","",SUBSTITUTE(SUBSTITUTE(SUBSTITUTE(SUBSTITUTE(SUBSTITUTE(SUBSTITUTE(SUBSTITUTE(TRIM(G936),".",""),"/",""),"-","")," ",""),"(",""),")",""),"+",""))</f>
      </c>
      <c r="U936" s="6">
        <f>IF(T936="","",IF(LEN(T936)&lt;&gt;14,"ERRO: "&amp;LEN(T936)&amp;" dígitos",IF(NOT(ISNUMBER(VALUE(T936))),"ERRO: não numérico",IF(LEN(SUBSTITUTE(T936,LEFT(T936,1),""))=0,"ERRO: dígitos repetidos",IF(AND(VALUE(MID(T936,13,1))=IF(MOD(SUMPRODUCT(--MID(T936,{1,2,3,4,5,6,7,8,9,10,11,12},1),{5,4,3,2,9,8,7,6,5,4,3,2}),11)&lt;2,0,11-MOD(SUMPRODUCT(--MID(T936,{1,2,3,4,5,6,7,8,9,10,11,12},1),{5,4,3,2,9,8,7,6,5,4,3,2}),11)),VALUE(MID(T936,14,1))=IF(MOD(SUMPRODUCT(--MID(T936,{1,2,3,4,5,6,7,8,9,10,11,12,13},1),{6,5,4,3,2,9,8,7,6,5,4,3,2}),11)&lt;2,0,11-MOD(SUMPRODUCT(--MID(T936,{1,2,3,4,5,6,7,8,9,10,11,12,13},1),{6,5,4,3,2,9,8,7,6,5,4,3,2}),11))),"OK","ERRO: dígito verificador")))))</f>
      </c>
      <c r="V936" s="6">
        <f>IF(T936="","",IF(COUNTIF($T$2:$T$1001,T936)&gt;1,"DUPLICADO","OK"))</f>
      </c>
      <c r="W936" s="6">
        <f>IF(M936="","vazio",IF(OR(AND(LEN(SUBSTITUTE(SUBSTITUTE(SUBSTITUTE(SUBSTITUTE(SUBSTITUTE(SUBSTITUTE(SUBSTITUTE(TRIM(M936),".",""),"/",""),"-","")," ",""),"(",""),")",""),"+",""))=10,LEFT(SUBSTITUTE(SUBSTITUTE(SUBSTITUTE(SUBSTITUTE(SUBSTITUTE(SUBSTITUTE(SUBSTITUTE(TRIM(M936),".",""),"/",""),"-","")," ",""),"(",""),")",""),"+",""),1)&lt;&gt;"0"),AND(LEN(SUBSTITUTE(SUBSTITUTE(SUBSTITUTE(SUBSTITUTE(SUBSTITUTE(SUBSTITUTE(SUBSTITUTE(TRIM(M936),".",""),"/",""),"-","")," ",""),"(",""),")",""),"+",""))=11,LEFT(SUBSTITUTE(SUBSTITUTE(SUBSTITUTE(SUBSTITUTE(SUBSTITUTE(SUBSTITUTE(SUBSTITUTE(TRIM(M936),".",""),"/",""),"-","")," ",""),"(",""),")",""),"+",""),4)="0800")),"OK",IF(AND(LEN(SUBSTITUTE(SUBSTITUTE(SUBSTITUTE(SUBSTITUTE(SUBSTITUTE(SUBSTITUTE(SUBSTITUTE(TRIM(M936),".",""),"/",""),"-","")," ",""),"(",""),")",""),"+",""))=11,MID(SUBSTITUTE(SUBSTITUTE(SUBSTITUTE(SUBSTITUTE(SUBSTITUTE(SUBSTITUTE(SUBSTITUTE(TRIM(M936),".",""),"/",""),"-","")," ",""),"(",""),")",""),"+",""),3,1)="9"),"ERRO: é celular, use a coluna Celular","ERRO: DDD + 8 dígitos ou 0800 + 7")))</f>
      </c>
      <c r="X936" s="6">
        <f>IF(N936="","vazio",IF(AND(LEN(SUBSTITUTE(SUBSTITUTE(SUBSTITUTE(SUBSTITUTE(SUBSTITUTE(SUBSTITUTE(SUBSTITUTE(TRIM(N936),".",""),"/",""),"-","")," ",""),"(",""),")",""),"+",""))=11,MID(SUBSTITUTE(SUBSTITUTE(SUBSTITUTE(SUBSTITUTE(SUBSTITUTE(SUBSTITUTE(SUBSTITUTE(TRIM(N936),".",""),"/",""),"-","")," ",""),"(",""),")",""),"+",""),3,1)="9",LEFT(SUBSTITUTE(SUBSTITUTE(SUBSTITUTE(SUBSTITUTE(SUBSTITUTE(SUBSTITUTE(SUBSTITUTE(TRIM(N936),".",""),"/",""),"-","")," ",""),"(",""),")",""),"+",""),1)&lt;&gt;"0"),"OK",IF(LEN(SUBSTITUTE(SUBSTITUTE(SUBSTITUTE(SUBSTITUTE(SUBSTITUTE(SUBSTITUTE(SUBSTITUTE(TRIM(N936),".",""),"/",""),"-","")," ",""),"(",""),")",""),"+",""))=10,"ERRO: é fixo (ou falta o 9), use a coluna Telefone fixo","ERRO: DDD + 9 + 8 dígitos")))</f>
      </c>
      <c r="Y936" s="6">
        <f>IF(O936="","vazio",IF(AND(ISNUMBER(FIND("@",O936)),ISNUMBER(FIND(".",MID(O936,FIND("@",O936),99))),NOT(ISNUMBER(FIND(" ",TRIM(O936)))),NOT(ISNUMBER(FIND(";",O936))),NOT(ISNUMBER(FIND(",",O936)))),"OK","ERRO: um e-mail válido por linha"))</f>
      </c>
      <c r="Z936" s="6">
        <f>IF(AND(J936="",K936=""),"",IF(AND(J936&lt;&gt;"",K936&lt;&gt;""),"OK","pendente: só um nome (o GR completa ao converter)"))</f>
      </c>
      <c r="AA936" s="6">
        <f>IF(COUNTA(A936:S936)=0,"",IF(AND(A936&lt;&gt;"",B936&lt;&gt;"",C936&lt;&gt;"",D936&lt;&gt;"",E936&lt;&gt;"",F936&lt;&gt;"",G936&lt;&gt;"",H936&lt;&gt;"",OR(J936&lt;&gt;"",K936&lt;&gt;""),OR(M936&lt;&gt;"",N936&lt;&gt;"",O936&lt;&gt;"")),"OK","ERRO: faltam "&amp;IF(A936="","SDR; ","")&amp;IF(B936="","Proprietário; ","")&amp;IF(C936="","Origem; ","")&amp;IF(D936="","Temperatura; ","")&amp;IF(E936="","Segmento; ","")&amp;IF(F936="","Time/Cluster; ","")&amp;IF(G936="","CNPJ; ","")&amp;IF(H936="","Razão Social; ","")&amp;IF(AND(J936="",K936=""),"nome do contato; ","")&amp;IF(AND(M936="",N936="",O936=""),"telefone, celular ou e-mail; ","")))</f>
      </c>
      <c r="AB936" s="6">
        <f>IF(COUNTA(A936:S936)=0,"",IF(AND(U936="OK",V936="OK",LEFT(W936,4)&lt;&gt;"ERRO",LEFT(X936,4)&lt;&gt;"ERRO",LEFT(Y936,4)&lt;&gt;"ERRO",AA936="OK"),"OK","REVISAR"))</f>
      </c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5"/>
      <c r="K937" s="4"/>
      <c r="L937" s="4"/>
      <c r="M937" s="4"/>
      <c r="N937" s="4"/>
      <c r="O937" s="4"/>
      <c r="P937" s="4"/>
      <c r="Q937" s="4"/>
      <c r="R937" s="4"/>
      <c r="S937" s="4"/>
      <c r="T937" s="6">
        <f>IF(G937="","",SUBSTITUTE(SUBSTITUTE(SUBSTITUTE(SUBSTITUTE(SUBSTITUTE(SUBSTITUTE(SUBSTITUTE(TRIM(G937),".",""),"/",""),"-","")," ",""),"(",""),")",""),"+",""))</f>
      </c>
      <c r="U937" s="6">
        <f>IF(T937="","",IF(LEN(T937)&lt;&gt;14,"ERRO: "&amp;LEN(T937)&amp;" dígitos",IF(NOT(ISNUMBER(VALUE(T937))),"ERRO: não numérico",IF(LEN(SUBSTITUTE(T937,LEFT(T937,1),""))=0,"ERRO: dígitos repetidos",IF(AND(VALUE(MID(T937,13,1))=IF(MOD(SUMPRODUCT(--MID(T937,{1,2,3,4,5,6,7,8,9,10,11,12},1),{5,4,3,2,9,8,7,6,5,4,3,2}),11)&lt;2,0,11-MOD(SUMPRODUCT(--MID(T937,{1,2,3,4,5,6,7,8,9,10,11,12},1),{5,4,3,2,9,8,7,6,5,4,3,2}),11)),VALUE(MID(T937,14,1))=IF(MOD(SUMPRODUCT(--MID(T937,{1,2,3,4,5,6,7,8,9,10,11,12,13},1),{6,5,4,3,2,9,8,7,6,5,4,3,2}),11)&lt;2,0,11-MOD(SUMPRODUCT(--MID(T937,{1,2,3,4,5,6,7,8,9,10,11,12,13},1),{6,5,4,3,2,9,8,7,6,5,4,3,2}),11))),"OK","ERRO: dígito verificador")))))</f>
      </c>
      <c r="V937" s="6">
        <f>IF(T937="","",IF(COUNTIF($T$2:$T$1001,T937)&gt;1,"DUPLICADO","OK"))</f>
      </c>
      <c r="W937" s="6">
        <f>IF(M937="","vazio",IF(OR(AND(LEN(SUBSTITUTE(SUBSTITUTE(SUBSTITUTE(SUBSTITUTE(SUBSTITUTE(SUBSTITUTE(SUBSTITUTE(TRIM(M937),".",""),"/",""),"-","")," ",""),"(",""),")",""),"+",""))=10,LEFT(SUBSTITUTE(SUBSTITUTE(SUBSTITUTE(SUBSTITUTE(SUBSTITUTE(SUBSTITUTE(SUBSTITUTE(TRIM(M937),".",""),"/",""),"-","")," ",""),"(",""),")",""),"+",""),1)&lt;&gt;"0"),AND(LEN(SUBSTITUTE(SUBSTITUTE(SUBSTITUTE(SUBSTITUTE(SUBSTITUTE(SUBSTITUTE(SUBSTITUTE(TRIM(M937),".",""),"/",""),"-","")," ",""),"(",""),")",""),"+",""))=11,LEFT(SUBSTITUTE(SUBSTITUTE(SUBSTITUTE(SUBSTITUTE(SUBSTITUTE(SUBSTITUTE(SUBSTITUTE(TRIM(M937),".",""),"/",""),"-","")," ",""),"(",""),")",""),"+",""),4)="0800")),"OK",IF(AND(LEN(SUBSTITUTE(SUBSTITUTE(SUBSTITUTE(SUBSTITUTE(SUBSTITUTE(SUBSTITUTE(SUBSTITUTE(TRIM(M937),".",""),"/",""),"-","")," ",""),"(",""),")",""),"+",""))=11,MID(SUBSTITUTE(SUBSTITUTE(SUBSTITUTE(SUBSTITUTE(SUBSTITUTE(SUBSTITUTE(SUBSTITUTE(TRIM(M937),".",""),"/",""),"-","")," ",""),"(",""),")",""),"+",""),3,1)="9"),"ERRO: é celular, use a coluna Celular","ERRO: DDD + 8 dígitos ou 0800 + 7")))</f>
      </c>
      <c r="X937" s="6">
        <f>IF(N937="","vazio",IF(AND(LEN(SUBSTITUTE(SUBSTITUTE(SUBSTITUTE(SUBSTITUTE(SUBSTITUTE(SUBSTITUTE(SUBSTITUTE(TRIM(N937),".",""),"/",""),"-","")," ",""),"(",""),")",""),"+",""))=11,MID(SUBSTITUTE(SUBSTITUTE(SUBSTITUTE(SUBSTITUTE(SUBSTITUTE(SUBSTITUTE(SUBSTITUTE(TRIM(N937),".",""),"/",""),"-","")," ",""),"(",""),")",""),"+",""),3,1)="9",LEFT(SUBSTITUTE(SUBSTITUTE(SUBSTITUTE(SUBSTITUTE(SUBSTITUTE(SUBSTITUTE(SUBSTITUTE(TRIM(N937),".",""),"/",""),"-","")," ",""),"(",""),")",""),"+",""),1)&lt;&gt;"0"),"OK",IF(LEN(SUBSTITUTE(SUBSTITUTE(SUBSTITUTE(SUBSTITUTE(SUBSTITUTE(SUBSTITUTE(SUBSTITUTE(TRIM(N937),".",""),"/",""),"-","")," ",""),"(",""),")",""),"+",""))=10,"ERRO: é fixo (ou falta o 9), use a coluna Telefone fixo","ERRO: DDD + 9 + 8 dígitos")))</f>
      </c>
      <c r="Y937" s="6">
        <f>IF(O937="","vazio",IF(AND(ISNUMBER(FIND("@",O937)),ISNUMBER(FIND(".",MID(O937,FIND("@",O937),99))),NOT(ISNUMBER(FIND(" ",TRIM(O937)))),NOT(ISNUMBER(FIND(";",O937))),NOT(ISNUMBER(FIND(",",O937)))),"OK","ERRO: um e-mail válido por linha"))</f>
      </c>
      <c r="Z937" s="6">
        <f>IF(AND(J937="",K937=""),"",IF(AND(J937&lt;&gt;"",K937&lt;&gt;""),"OK","pendente: só um nome (o GR completa ao converter)"))</f>
      </c>
      <c r="AA937" s="6">
        <f>IF(COUNTA(A937:S937)=0,"",IF(AND(A937&lt;&gt;"",B937&lt;&gt;"",C937&lt;&gt;"",D937&lt;&gt;"",E937&lt;&gt;"",F937&lt;&gt;"",G937&lt;&gt;"",H937&lt;&gt;"",OR(J937&lt;&gt;"",K937&lt;&gt;""),OR(M937&lt;&gt;"",N937&lt;&gt;"",O937&lt;&gt;"")),"OK","ERRO: faltam "&amp;IF(A937="","SDR; ","")&amp;IF(B937="","Proprietário; ","")&amp;IF(C937="","Origem; ","")&amp;IF(D937="","Temperatura; ","")&amp;IF(E937="","Segmento; ","")&amp;IF(F937="","Time/Cluster; ","")&amp;IF(G937="","CNPJ; ","")&amp;IF(H937="","Razão Social; ","")&amp;IF(AND(J937="",K937=""),"nome do contato; ","")&amp;IF(AND(M937="",N937="",O937=""),"telefone, celular ou e-mail; ","")))</f>
      </c>
      <c r="AB937" s="6">
        <f>IF(COUNTA(A937:S937)=0,"",IF(AND(U937="OK",V937="OK",LEFT(W937,4)&lt;&gt;"ERRO",LEFT(X937,4)&lt;&gt;"ERRO",LEFT(Y937,4)&lt;&gt;"ERRO",AA937="OK"),"OK","REVISAR"))</f>
      </c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5"/>
      <c r="K938" s="4"/>
      <c r="L938" s="4"/>
      <c r="M938" s="4"/>
      <c r="N938" s="4"/>
      <c r="O938" s="4"/>
      <c r="P938" s="4"/>
      <c r="Q938" s="4"/>
      <c r="R938" s="4"/>
      <c r="S938" s="4"/>
      <c r="T938" s="6">
        <f>IF(G938="","",SUBSTITUTE(SUBSTITUTE(SUBSTITUTE(SUBSTITUTE(SUBSTITUTE(SUBSTITUTE(SUBSTITUTE(TRIM(G938),".",""),"/",""),"-","")," ",""),"(",""),")",""),"+",""))</f>
      </c>
      <c r="U938" s="6">
        <f>IF(T938="","",IF(LEN(T938)&lt;&gt;14,"ERRO: "&amp;LEN(T938)&amp;" dígitos",IF(NOT(ISNUMBER(VALUE(T938))),"ERRO: não numérico",IF(LEN(SUBSTITUTE(T938,LEFT(T938,1),""))=0,"ERRO: dígitos repetidos",IF(AND(VALUE(MID(T938,13,1))=IF(MOD(SUMPRODUCT(--MID(T938,{1,2,3,4,5,6,7,8,9,10,11,12},1),{5,4,3,2,9,8,7,6,5,4,3,2}),11)&lt;2,0,11-MOD(SUMPRODUCT(--MID(T938,{1,2,3,4,5,6,7,8,9,10,11,12},1),{5,4,3,2,9,8,7,6,5,4,3,2}),11)),VALUE(MID(T938,14,1))=IF(MOD(SUMPRODUCT(--MID(T938,{1,2,3,4,5,6,7,8,9,10,11,12,13},1),{6,5,4,3,2,9,8,7,6,5,4,3,2}),11)&lt;2,0,11-MOD(SUMPRODUCT(--MID(T938,{1,2,3,4,5,6,7,8,9,10,11,12,13},1),{6,5,4,3,2,9,8,7,6,5,4,3,2}),11))),"OK","ERRO: dígito verificador")))))</f>
      </c>
      <c r="V938" s="6">
        <f>IF(T938="","",IF(COUNTIF($T$2:$T$1001,T938)&gt;1,"DUPLICADO","OK"))</f>
      </c>
      <c r="W938" s="6">
        <f>IF(M938="","vazio",IF(OR(AND(LEN(SUBSTITUTE(SUBSTITUTE(SUBSTITUTE(SUBSTITUTE(SUBSTITUTE(SUBSTITUTE(SUBSTITUTE(TRIM(M938),".",""),"/",""),"-","")," ",""),"(",""),")",""),"+",""))=10,LEFT(SUBSTITUTE(SUBSTITUTE(SUBSTITUTE(SUBSTITUTE(SUBSTITUTE(SUBSTITUTE(SUBSTITUTE(TRIM(M938),".",""),"/",""),"-","")," ",""),"(",""),")",""),"+",""),1)&lt;&gt;"0"),AND(LEN(SUBSTITUTE(SUBSTITUTE(SUBSTITUTE(SUBSTITUTE(SUBSTITUTE(SUBSTITUTE(SUBSTITUTE(TRIM(M938),".",""),"/",""),"-","")," ",""),"(",""),")",""),"+",""))=11,LEFT(SUBSTITUTE(SUBSTITUTE(SUBSTITUTE(SUBSTITUTE(SUBSTITUTE(SUBSTITUTE(SUBSTITUTE(TRIM(M938),".",""),"/",""),"-","")," ",""),"(",""),")",""),"+",""),4)="0800")),"OK",IF(AND(LEN(SUBSTITUTE(SUBSTITUTE(SUBSTITUTE(SUBSTITUTE(SUBSTITUTE(SUBSTITUTE(SUBSTITUTE(TRIM(M938),".",""),"/",""),"-","")," ",""),"(",""),")",""),"+",""))=11,MID(SUBSTITUTE(SUBSTITUTE(SUBSTITUTE(SUBSTITUTE(SUBSTITUTE(SUBSTITUTE(SUBSTITUTE(TRIM(M938),".",""),"/",""),"-","")," ",""),"(",""),")",""),"+",""),3,1)="9"),"ERRO: é celular, use a coluna Celular","ERRO: DDD + 8 dígitos ou 0800 + 7")))</f>
      </c>
      <c r="X938" s="6">
        <f>IF(N938="","vazio",IF(AND(LEN(SUBSTITUTE(SUBSTITUTE(SUBSTITUTE(SUBSTITUTE(SUBSTITUTE(SUBSTITUTE(SUBSTITUTE(TRIM(N938),".",""),"/",""),"-","")," ",""),"(",""),")",""),"+",""))=11,MID(SUBSTITUTE(SUBSTITUTE(SUBSTITUTE(SUBSTITUTE(SUBSTITUTE(SUBSTITUTE(SUBSTITUTE(TRIM(N938),".",""),"/",""),"-","")," ",""),"(",""),")",""),"+",""),3,1)="9",LEFT(SUBSTITUTE(SUBSTITUTE(SUBSTITUTE(SUBSTITUTE(SUBSTITUTE(SUBSTITUTE(SUBSTITUTE(TRIM(N938),".",""),"/",""),"-","")," ",""),"(",""),")",""),"+",""),1)&lt;&gt;"0"),"OK",IF(LEN(SUBSTITUTE(SUBSTITUTE(SUBSTITUTE(SUBSTITUTE(SUBSTITUTE(SUBSTITUTE(SUBSTITUTE(TRIM(N938),".",""),"/",""),"-","")," ",""),"(",""),")",""),"+",""))=10,"ERRO: é fixo (ou falta o 9), use a coluna Telefone fixo","ERRO: DDD + 9 + 8 dígitos")))</f>
      </c>
      <c r="Y938" s="6">
        <f>IF(O938="","vazio",IF(AND(ISNUMBER(FIND("@",O938)),ISNUMBER(FIND(".",MID(O938,FIND("@",O938),99))),NOT(ISNUMBER(FIND(" ",TRIM(O938)))),NOT(ISNUMBER(FIND(";",O938))),NOT(ISNUMBER(FIND(",",O938)))),"OK","ERRO: um e-mail válido por linha"))</f>
      </c>
      <c r="Z938" s="6">
        <f>IF(AND(J938="",K938=""),"",IF(AND(J938&lt;&gt;"",K938&lt;&gt;""),"OK","pendente: só um nome (o GR completa ao converter)"))</f>
      </c>
      <c r="AA938" s="6">
        <f>IF(COUNTA(A938:S938)=0,"",IF(AND(A938&lt;&gt;"",B938&lt;&gt;"",C938&lt;&gt;"",D938&lt;&gt;"",E938&lt;&gt;"",F938&lt;&gt;"",G938&lt;&gt;"",H938&lt;&gt;"",OR(J938&lt;&gt;"",K938&lt;&gt;""),OR(M938&lt;&gt;"",N938&lt;&gt;"",O938&lt;&gt;"")),"OK","ERRO: faltam "&amp;IF(A938="","SDR; ","")&amp;IF(B938="","Proprietário; ","")&amp;IF(C938="","Origem; ","")&amp;IF(D938="","Temperatura; ","")&amp;IF(E938="","Segmento; ","")&amp;IF(F938="","Time/Cluster; ","")&amp;IF(G938="","CNPJ; ","")&amp;IF(H938="","Razão Social; ","")&amp;IF(AND(J938="",K938=""),"nome do contato; ","")&amp;IF(AND(M938="",N938="",O938=""),"telefone, celular ou e-mail; ","")))</f>
      </c>
      <c r="AB938" s="6">
        <f>IF(COUNTA(A938:S938)=0,"",IF(AND(U938="OK",V938="OK",LEFT(W938,4)&lt;&gt;"ERRO",LEFT(X938,4)&lt;&gt;"ERRO",LEFT(Y938,4)&lt;&gt;"ERRO",AA938="OK"),"OK","REVISAR"))</f>
      </c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5"/>
      <c r="K939" s="4"/>
      <c r="L939" s="4"/>
      <c r="M939" s="4"/>
      <c r="N939" s="4"/>
      <c r="O939" s="4"/>
      <c r="P939" s="4"/>
      <c r="Q939" s="4"/>
      <c r="R939" s="4"/>
      <c r="S939" s="4"/>
      <c r="T939" s="6">
        <f>IF(G939="","",SUBSTITUTE(SUBSTITUTE(SUBSTITUTE(SUBSTITUTE(SUBSTITUTE(SUBSTITUTE(SUBSTITUTE(TRIM(G939),".",""),"/",""),"-","")," ",""),"(",""),")",""),"+",""))</f>
      </c>
      <c r="U939" s="6">
        <f>IF(T939="","",IF(LEN(T939)&lt;&gt;14,"ERRO: "&amp;LEN(T939)&amp;" dígitos",IF(NOT(ISNUMBER(VALUE(T939))),"ERRO: não numérico",IF(LEN(SUBSTITUTE(T939,LEFT(T939,1),""))=0,"ERRO: dígitos repetidos",IF(AND(VALUE(MID(T939,13,1))=IF(MOD(SUMPRODUCT(--MID(T939,{1,2,3,4,5,6,7,8,9,10,11,12},1),{5,4,3,2,9,8,7,6,5,4,3,2}),11)&lt;2,0,11-MOD(SUMPRODUCT(--MID(T939,{1,2,3,4,5,6,7,8,9,10,11,12},1),{5,4,3,2,9,8,7,6,5,4,3,2}),11)),VALUE(MID(T939,14,1))=IF(MOD(SUMPRODUCT(--MID(T939,{1,2,3,4,5,6,7,8,9,10,11,12,13},1),{6,5,4,3,2,9,8,7,6,5,4,3,2}),11)&lt;2,0,11-MOD(SUMPRODUCT(--MID(T939,{1,2,3,4,5,6,7,8,9,10,11,12,13},1),{6,5,4,3,2,9,8,7,6,5,4,3,2}),11))),"OK","ERRO: dígito verificador")))))</f>
      </c>
      <c r="V939" s="6">
        <f>IF(T939="","",IF(COUNTIF($T$2:$T$1001,T939)&gt;1,"DUPLICADO","OK"))</f>
      </c>
      <c r="W939" s="6">
        <f>IF(M939="","vazio",IF(OR(AND(LEN(SUBSTITUTE(SUBSTITUTE(SUBSTITUTE(SUBSTITUTE(SUBSTITUTE(SUBSTITUTE(SUBSTITUTE(TRIM(M939),".",""),"/",""),"-","")," ",""),"(",""),")",""),"+",""))=10,LEFT(SUBSTITUTE(SUBSTITUTE(SUBSTITUTE(SUBSTITUTE(SUBSTITUTE(SUBSTITUTE(SUBSTITUTE(TRIM(M939),".",""),"/",""),"-","")," ",""),"(",""),")",""),"+",""),1)&lt;&gt;"0"),AND(LEN(SUBSTITUTE(SUBSTITUTE(SUBSTITUTE(SUBSTITUTE(SUBSTITUTE(SUBSTITUTE(SUBSTITUTE(TRIM(M939),".",""),"/",""),"-","")," ",""),"(",""),")",""),"+",""))=11,LEFT(SUBSTITUTE(SUBSTITUTE(SUBSTITUTE(SUBSTITUTE(SUBSTITUTE(SUBSTITUTE(SUBSTITUTE(TRIM(M939),".",""),"/",""),"-","")," ",""),"(",""),")",""),"+",""),4)="0800")),"OK",IF(AND(LEN(SUBSTITUTE(SUBSTITUTE(SUBSTITUTE(SUBSTITUTE(SUBSTITUTE(SUBSTITUTE(SUBSTITUTE(TRIM(M939),".",""),"/",""),"-","")," ",""),"(",""),")",""),"+",""))=11,MID(SUBSTITUTE(SUBSTITUTE(SUBSTITUTE(SUBSTITUTE(SUBSTITUTE(SUBSTITUTE(SUBSTITUTE(TRIM(M939),".",""),"/",""),"-","")," ",""),"(",""),")",""),"+",""),3,1)="9"),"ERRO: é celular, use a coluna Celular","ERRO: DDD + 8 dígitos ou 0800 + 7")))</f>
      </c>
      <c r="X939" s="6">
        <f>IF(N939="","vazio",IF(AND(LEN(SUBSTITUTE(SUBSTITUTE(SUBSTITUTE(SUBSTITUTE(SUBSTITUTE(SUBSTITUTE(SUBSTITUTE(TRIM(N939),".",""),"/",""),"-","")," ",""),"(",""),")",""),"+",""))=11,MID(SUBSTITUTE(SUBSTITUTE(SUBSTITUTE(SUBSTITUTE(SUBSTITUTE(SUBSTITUTE(SUBSTITUTE(TRIM(N939),".",""),"/",""),"-","")," ",""),"(",""),")",""),"+",""),3,1)="9",LEFT(SUBSTITUTE(SUBSTITUTE(SUBSTITUTE(SUBSTITUTE(SUBSTITUTE(SUBSTITUTE(SUBSTITUTE(TRIM(N939),".",""),"/",""),"-","")," ",""),"(",""),")",""),"+",""),1)&lt;&gt;"0"),"OK",IF(LEN(SUBSTITUTE(SUBSTITUTE(SUBSTITUTE(SUBSTITUTE(SUBSTITUTE(SUBSTITUTE(SUBSTITUTE(TRIM(N939),".",""),"/",""),"-","")," ",""),"(",""),")",""),"+",""))=10,"ERRO: é fixo (ou falta o 9), use a coluna Telefone fixo","ERRO: DDD + 9 + 8 dígitos")))</f>
      </c>
      <c r="Y939" s="6">
        <f>IF(O939="","vazio",IF(AND(ISNUMBER(FIND("@",O939)),ISNUMBER(FIND(".",MID(O939,FIND("@",O939),99))),NOT(ISNUMBER(FIND(" ",TRIM(O939)))),NOT(ISNUMBER(FIND(";",O939))),NOT(ISNUMBER(FIND(",",O939)))),"OK","ERRO: um e-mail válido por linha"))</f>
      </c>
      <c r="Z939" s="6">
        <f>IF(AND(J939="",K939=""),"",IF(AND(J939&lt;&gt;"",K939&lt;&gt;""),"OK","pendente: só um nome (o GR completa ao converter)"))</f>
      </c>
      <c r="AA939" s="6">
        <f>IF(COUNTA(A939:S939)=0,"",IF(AND(A939&lt;&gt;"",B939&lt;&gt;"",C939&lt;&gt;"",D939&lt;&gt;"",E939&lt;&gt;"",F939&lt;&gt;"",G939&lt;&gt;"",H939&lt;&gt;"",OR(J939&lt;&gt;"",K939&lt;&gt;""),OR(M939&lt;&gt;"",N939&lt;&gt;"",O939&lt;&gt;"")),"OK","ERRO: faltam "&amp;IF(A939="","SDR; ","")&amp;IF(B939="","Proprietário; ","")&amp;IF(C939="","Origem; ","")&amp;IF(D939="","Temperatura; ","")&amp;IF(E939="","Segmento; ","")&amp;IF(F939="","Time/Cluster; ","")&amp;IF(G939="","CNPJ; ","")&amp;IF(H939="","Razão Social; ","")&amp;IF(AND(J939="",K939=""),"nome do contato; ","")&amp;IF(AND(M939="",N939="",O939=""),"telefone, celular ou e-mail; ","")))</f>
      </c>
      <c r="AB939" s="6">
        <f>IF(COUNTA(A939:S939)=0,"",IF(AND(U939="OK",V939="OK",LEFT(W939,4)&lt;&gt;"ERRO",LEFT(X939,4)&lt;&gt;"ERRO",LEFT(Y939,4)&lt;&gt;"ERRO",AA939="OK"),"OK","REVISAR"))</f>
      </c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5"/>
      <c r="K940" s="4"/>
      <c r="L940" s="4"/>
      <c r="M940" s="4"/>
      <c r="N940" s="4"/>
      <c r="O940" s="4"/>
      <c r="P940" s="4"/>
      <c r="Q940" s="4"/>
      <c r="R940" s="4"/>
      <c r="S940" s="4"/>
      <c r="T940" s="6">
        <f>IF(G940="","",SUBSTITUTE(SUBSTITUTE(SUBSTITUTE(SUBSTITUTE(SUBSTITUTE(SUBSTITUTE(SUBSTITUTE(TRIM(G940),".",""),"/",""),"-","")," ",""),"(",""),")",""),"+",""))</f>
      </c>
      <c r="U940" s="6">
        <f>IF(T940="","",IF(LEN(T940)&lt;&gt;14,"ERRO: "&amp;LEN(T940)&amp;" dígitos",IF(NOT(ISNUMBER(VALUE(T940))),"ERRO: não numérico",IF(LEN(SUBSTITUTE(T940,LEFT(T940,1),""))=0,"ERRO: dígitos repetidos",IF(AND(VALUE(MID(T940,13,1))=IF(MOD(SUMPRODUCT(--MID(T940,{1,2,3,4,5,6,7,8,9,10,11,12},1),{5,4,3,2,9,8,7,6,5,4,3,2}),11)&lt;2,0,11-MOD(SUMPRODUCT(--MID(T940,{1,2,3,4,5,6,7,8,9,10,11,12},1),{5,4,3,2,9,8,7,6,5,4,3,2}),11)),VALUE(MID(T940,14,1))=IF(MOD(SUMPRODUCT(--MID(T940,{1,2,3,4,5,6,7,8,9,10,11,12,13},1),{6,5,4,3,2,9,8,7,6,5,4,3,2}),11)&lt;2,0,11-MOD(SUMPRODUCT(--MID(T940,{1,2,3,4,5,6,7,8,9,10,11,12,13},1),{6,5,4,3,2,9,8,7,6,5,4,3,2}),11))),"OK","ERRO: dígito verificador")))))</f>
      </c>
      <c r="V940" s="6">
        <f>IF(T940="","",IF(COUNTIF($T$2:$T$1001,T940)&gt;1,"DUPLICADO","OK"))</f>
      </c>
      <c r="W940" s="6">
        <f>IF(M940="","vazio",IF(OR(AND(LEN(SUBSTITUTE(SUBSTITUTE(SUBSTITUTE(SUBSTITUTE(SUBSTITUTE(SUBSTITUTE(SUBSTITUTE(TRIM(M940),".",""),"/",""),"-","")," ",""),"(",""),")",""),"+",""))=10,LEFT(SUBSTITUTE(SUBSTITUTE(SUBSTITUTE(SUBSTITUTE(SUBSTITUTE(SUBSTITUTE(SUBSTITUTE(TRIM(M940),".",""),"/",""),"-","")," ",""),"(",""),")",""),"+",""),1)&lt;&gt;"0"),AND(LEN(SUBSTITUTE(SUBSTITUTE(SUBSTITUTE(SUBSTITUTE(SUBSTITUTE(SUBSTITUTE(SUBSTITUTE(TRIM(M940),".",""),"/",""),"-","")," ",""),"(",""),")",""),"+",""))=11,LEFT(SUBSTITUTE(SUBSTITUTE(SUBSTITUTE(SUBSTITUTE(SUBSTITUTE(SUBSTITUTE(SUBSTITUTE(TRIM(M940),".",""),"/",""),"-","")," ",""),"(",""),")",""),"+",""),4)="0800")),"OK",IF(AND(LEN(SUBSTITUTE(SUBSTITUTE(SUBSTITUTE(SUBSTITUTE(SUBSTITUTE(SUBSTITUTE(SUBSTITUTE(TRIM(M940),".",""),"/",""),"-","")," ",""),"(",""),")",""),"+",""))=11,MID(SUBSTITUTE(SUBSTITUTE(SUBSTITUTE(SUBSTITUTE(SUBSTITUTE(SUBSTITUTE(SUBSTITUTE(TRIM(M940),".",""),"/",""),"-","")," ",""),"(",""),")",""),"+",""),3,1)="9"),"ERRO: é celular, use a coluna Celular","ERRO: DDD + 8 dígitos ou 0800 + 7")))</f>
      </c>
      <c r="X940" s="6">
        <f>IF(N940="","vazio",IF(AND(LEN(SUBSTITUTE(SUBSTITUTE(SUBSTITUTE(SUBSTITUTE(SUBSTITUTE(SUBSTITUTE(SUBSTITUTE(TRIM(N940),".",""),"/",""),"-","")," ",""),"(",""),")",""),"+",""))=11,MID(SUBSTITUTE(SUBSTITUTE(SUBSTITUTE(SUBSTITUTE(SUBSTITUTE(SUBSTITUTE(SUBSTITUTE(TRIM(N940),".",""),"/",""),"-","")," ",""),"(",""),")",""),"+",""),3,1)="9",LEFT(SUBSTITUTE(SUBSTITUTE(SUBSTITUTE(SUBSTITUTE(SUBSTITUTE(SUBSTITUTE(SUBSTITUTE(TRIM(N940),".",""),"/",""),"-","")," ",""),"(",""),")",""),"+",""),1)&lt;&gt;"0"),"OK",IF(LEN(SUBSTITUTE(SUBSTITUTE(SUBSTITUTE(SUBSTITUTE(SUBSTITUTE(SUBSTITUTE(SUBSTITUTE(TRIM(N940),".",""),"/",""),"-","")," ",""),"(",""),")",""),"+",""))=10,"ERRO: é fixo (ou falta o 9), use a coluna Telefone fixo","ERRO: DDD + 9 + 8 dígitos")))</f>
      </c>
      <c r="Y940" s="6">
        <f>IF(O940="","vazio",IF(AND(ISNUMBER(FIND("@",O940)),ISNUMBER(FIND(".",MID(O940,FIND("@",O940),99))),NOT(ISNUMBER(FIND(" ",TRIM(O940)))),NOT(ISNUMBER(FIND(";",O940))),NOT(ISNUMBER(FIND(",",O940)))),"OK","ERRO: um e-mail válido por linha"))</f>
      </c>
      <c r="Z940" s="6">
        <f>IF(AND(J940="",K940=""),"",IF(AND(J940&lt;&gt;"",K940&lt;&gt;""),"OK","pendente: só um nome (o GR completa ao converter)"))</f>
      </c>
      <c r="AA940" s="6">
        <f>IF(COUNTA(A940:S940)=0,"",IF(AND(A940&lt;&gt;"",B940&lt;&gt;"",C940&lt;&gt;"",D940&lt;&gt;"",E940&lt;&gt;"",F940&lt;&gt;"",G940&lt;&gt;"",H940&lt;&gt;"",OR(J940&lt;&gt;"",K940&lt;&gt;""),OR(M940&lt;&gt;"",N940&lt;&gt;"",O940&lt;&gt;"")),"OK","ERRO: faltam "&amp;IF(A940="","SDR; ","")&amp;IF(B940="","Proprietário; ","")&amp;IF(C940="","Origem; ","")&amp;IF(D940="","Temperatura; ","")&amp;IF(E940="","Segmento; ","")&amp;IF(F940="","Time/Cluster; ","")&amp;IF(G940="","CNPJ; ","")&amp;IF(H940="","Razão Social; ","")&amp;IF(AND(J940="",K940=""),"nome do contato; ","")&amp;IF(AND(M940="",N940="",O940=""),"telefone, celular ou e-mail; ","")))</f>
      </c>
      <c r="AB940" s="6">
        <f>IF(COUNTA(A940:S940)=0,"",IF(AND(U940="OK",V940="OK",LEFT(W940,4)&lt;&gt;"ERRO",LEFT(X940,4)&lt;&gt;"ERRO",LEFT(Y940,4)&lt;&gt;"ERRO",AA940="OK"),"OK","REVISAR"))</f>
      </c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5"/>
      <c r="K941" s="4"/>
      <c r="L941" s="4"/>
      <c r="M941" s="4"/>
      <c r="N941" s="4"/>
      <c r="O941" s="4"/>
      <c r="P941" s="4"/>
      <c r="Q941" s="4"/>
      <c r="R941" s="4"/>
      <c r="S941" s="4"/>
      <c r="T941" s="6">
        <f>IF(G941="","",SUBSTITUTE(SUBSTITUTE(SUBSTITUTE(SUBSTITUTE(SUBSTITUTE(SUBSTITUTE(SUBSTITUTE(TRIM(G941),".",""),"/",""),"-","")," ",""),"(",""),")",""),"+",""))</f>
      </c>
      <c r="U941" s="6">
        <f>IF(T941="","",IF(LEN(T941)&lt;&gt;14,"ERRO: "&amp;LEN(T941)&amp;" dígitos",IF(NOT(ISNUMBER(VALUE(T941))),"ERRO: não numérico",IF(LEN(SUBSTITUTE(T941,LEFT(T941,1),""))=0,"ERRO: dígitos repetidos",IF(AND(VALUE(MID(T941,13,1))=IF(MOD(SUMPRODUCT(--MID(T941,{1,2,3,4,5,6,7,8,9,10,11,12},1),{5,4,3,2,9,8,7,6,5,4,3,2}),11)&lt;2,0,11-MOD(SUMPRODUCT(--MID(T941,{1,2,3,4,5,6,7,8,9,10,11,12},1),{5,4,3,2,9,8,7,6,5,4,3,2}),11)),VALUE(MID(T941,14,1))=IF(MOD(SUMPRODUCT(--MID(T941,{1,2,3,4,5,6,7,8,9,10,11,12,13},1),{6,5,4,3,2,9,8,7,6,5,4,3,2}),11)&lt;2,0,11-MOD(SUMPRODUCT(--MID(T941,{1,2,3,4,5,6,7,8,9,10,11,12,13},1),{6,5,4,3,2,9,8,7,6,5,4,3,2}),11))),"OK","ERRO: dígito verificador")))))</f>
      </c>
      <c r="V941" s="6">
        <f>IF(T941="","",IF(COUNTIF($T$2:$T$1001,T941)&gt;1,"DUPLICADO","OK"))</f>
      </c>
      <c r="W941" s="6">
        <f>IF(M941="","vazio",IF(OR(AND(LEN(SUBSTITUTE(SUBSTITUTE(SUBSTITUTE(SUBSTITUTE(SUBSTITUTE(SUBSTITUTE(SUBSTITUTE(TRIM(M941),".",""),"/",""),"-","")," ",""),"(",""),")",""),"+",""))=10,LEFT(SUBSTITUTE(SUBSTITUTE(SUBSTITUTE(SUBSTITUTE(SUBSTITUTE(SUBSTITUTE(SUBSTITUTE(TRIM(M941),".",""),"/",""),"-","")," ",""),"(",""),")",""),"+",""),1)&lt;&gt;"0"),AND(LEN(SUBSTITUTE(SUBSTITUTE(SUBSTITUTE(SUBSTITUTE(SUBSTITUTE(SUBSTITUTE(SUBSTITUTE(TRIM(M941),".",""),"/",""),"-","")," ",""),"(",""),")",""),"+",""))=11,LEFT(SUBSTITUTE(SUBSTITUTE(SUBSTITUTE(SUBSTITUTE(SUBSTITUTE(SUBSTITUTE(SUBSTITUTE(TRIM(M941),".",""),"/",""),"-","")," ",""),"(",""),")",""),"+",""),4)="0800")),"OK",IF(AND(LEN(SUBSTITUTE(SUBSTITUTE(SUBSTITUTE(SUBSTITUTE(SUBSTITUTE(SUBSTITUTE(SUBSTITUTE(TRIM(M941),".",""),"/",""),"-","")," ",""),"(",""),")",""),"+",""))=11,MID(SUBSTITUTE(SUBSTITUTE(SUBSTITUTE(SUBSTITUTE(SUBSTITUTE(SUBSTITUTE(SUBSTITUTE(TRIM(M941),".",""),"/",""),"-","")," ",""),"(",""),")",""),"+",""),3,1)="9"),"ERRO: é celular, use a coluna Celular","ERRO: DDD + 8 dígitos ou 0800 + 7")))</f>
      </c>
      <c r="X941" s="6">
        <f>IF(N941="","vazio",IF(AND(LEN(SUBSTITUTE(SUBSTITUTE(SUBSTITUTE(SUBSTITUTE(SUBSTITUTE(SUBSTITUTE(SUBSTITUTE(TRIM(N941),".",""),"/",""),"-","")," ",""),"(",""),")",""),"+",""))=11,MID(SUBSTITUTE(SUBSTITUTE(SUBSTITUTE(SUBSTITUTE(SUBSTITUTE(SUBSTITUTE(SUBSTITUTE(TRIM(N941),".",""),"/",""),"-","")," ",""),"(",""),")",""),"+",""),3,1)="9",LEFT(SUBSTITUTE(SUBSTITUTE(SUBSTITUTE(SUBSTITUTE(SUBSTITUTE(SUBSTITUTE(SUBSTITUTE(TRIM(N941),".",""),"/",""),"-","")," ",""),"(",""),")",""),"+",""),1)&lt;&gt;"0"),"OK",IF(LEN(SUBSTITUTE(SUBSTITUTE(SUBSTITUTE(SUBSTITUTE(SUBSTITUTE(SUBSTITUTE(SUBSTITUTE(TRIM(N941),".",""),"/",""),"-","")," ",""),"(",""),")",""),"+",""))=10,"ERRO: é fixo (ou falta o 9), use a coluna Telefone fixo","ERRO: DDD + 9 + 8 dígitos")))</f>
      </c>
      <c r="Y941" s="6">
        <f>IF(O941="","vazio",IF(AND(ISNUMBER(FIND("@",O941)),ISNUMBER(FIND(".",MID(O941,FIND("@",O941),99))),NOT(ISNUMBER(FIND(" ",TRIM(O941)))),NOT(ISNUMBER(FIND(";",O941))),NOT(ISNUMBER(FIND(",",O941)))),"OK","ERRO: um e-mail válido por linha"))</f>
      </c>
      <c r="Z941" s="6">
        <f>IF(AND(J941="",K941=""),"",IF(AND(J941&lt;&gt;"",K941&lt;&gt;""),"OK","pendente: só um nome (o GR completa ao converter)"))</f>
      </c>
      <c r="AA941" s="6">
        <f>IF(COUNTA(A941:S941)=0,"",IF(AND(A941&lt;&gt;"",B941&lt;&gt;"",C941&lt;&gt;"",D941&lt;&gt;"",E941&lt;&gt;"",F941&lt;&gt;"",G941&lt;&gt;"",H941&lt;&gt;"",OR(J941&lt;&gt;"",K941&lt;&gt;""),OR(M941&lt;&gt;"",N941&lt;&gt;"",O941&lt;&gt;"")),"OK","ERRO: faltam "&amp;IF(A941="","SDR; ","")&amp;IF(B941="","Proprietário; ","")&amp;IF(C941="","Origem; ","")&amp;IF(D941="","Temperatura; ","")&amp;IF(E941="","Segmento; ","")&amp;IF(F941="","Time/Cluster; ","")&amp;IF(G941="","CNPJ; ","")&amp;IF(H941="","Razão Social; ","")&amp;IF(AND(J941="",K941=""),"nome do contato; ","")&amp;IF(AND(M941="",N941="",O941=""),"telefone, celular ou e-mail; ","")))</f>
      </c>
      <c r="AB941" s="6">
        <f>IF(COUNTA(A941:S941)=0,"",IF(AND(U941="OK",V941="OK",LEFT(W941,4)&lt;&gt;"ERRO",LEFT(X941,4)&lt;&gt;"ERRO",LEFT(Y941,4)&lt;&gt;"ERRO",AA941="OK"),"OK","REVISAR"))</f>
      </c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5"/>
      <c r="K942" s="4"/>
      <c r="L942" s="4"/>
      <c r="M942" s="4"/>
      <c r="N942" s="4"/>
      <c r="O942" s="4"/>
      <c r="P942" s="4"/>
      <c r="Q942" s="4"/>
      <c r="R942" s="4"/>
      <c r="S942" s="4"/>
      <c r="T942" s="6">
        <f>IF(G942="","",SUBSTITUTE(SUBSTITUTE(SUBSTITUTE(SUBSTITUTE(SUBSTITUTE(SUBSTITUTE(SUBSTITUTE(TRIM(G942),".",""),"/",""),"-","")," ",""),"(",""),")",""),"+",""))</f>
      </c>
      <c r="U942" s="6">
        <f>IF(T942="","",IF(LEN(T942)&lt;&gt;14,"ERRO: "&amp;LEN(T942)&amp;" dígitos",IF(NOT(ISNUMBER(VALUE(T942))),"ERRO: não numérico",IF(LEN(SUBSTITUTE(T942,LEFT(T942,1),""))=0,"ERRO: dígitos repetidos",IF(AND(VALUE(MID(T942,13,1))=IF(MOD(SUMPRODUCT(--MID(T942,{1,2,3,4,5,6,7,8,9,10,11,12},1),{5,4,3,2,9,8,7,6,5,4,3,2}),11)&lt;2,0,11-MOD(SUMPRODUCT(--MID(T942,{1,2,3,4,5,6,7,8,9,10,11,12},1),{5,4,3,2,9,8,7,6,5,4,3,2}),11)),VALUE(MID(T942,14,1))=IF(MOD(SUMPRODUCT(--MID(T942,{1,2,3,4,5,6,7,8,9,10,11,12,13},1),{6,5,4,3,2,9,8,7,6,5,4,3,2}),11)&lt;2,0,11-MOD(SUMPRODUCT(--MID(T942,{1,2,3,4,5,6,7,8,9,10,11,12,13},1),{6,5,4,3,2,9,8,7,6,5,4,3,2}),11))),"OK","ERRO: dígito verificador")))))</f>
      </c>
      <c r="V942" s="6">
        <f>IF(T942="","",IF(COUNTIF($T$2:$T$1001,T942)&gt;1,"DUPLICADO","OK"))</f>
      </c>
      <c r="W942" s="6">
        <f>IF(M942="","vazio",IF(OR(AND(LEN(SUBSTITUTE(SUBSTITUTE(SUBSTITUTE(SUBSTITUTE(SUBSTITUTE(SUBSTITUTE(SUBSTITUTE(TRIM(M942),".",""),"/",""),"-","")," ",""),"(",""),")",""),"+",""))=10,LEFT(SUBSTITUTE(SUBSTITUTE(SUBSTITUTE(SUBSTITUTE(SUBSTITUTE(SUBSTITUTE(SUBSTITUTE(TRIM(M942),".",""),"/",""),"-","")," ",""),"(",""),")",""),"+",""),1)&lt;&gt;"0"),AND(LEN(SUBSTITUTE(SUBSTITUTE(SUBSTITUTE(SUBSTITUTE(SUBSTITUTE(SUBSTITUTE(SUBSTITUTE(TRIM(M942),".",""),"/",""),"-","")," ",""),"(",""),")",""),"+",""))=11,LEFT(SUBSTITUTE(SUBSTITUTE(SUBSTITUTE(SUBSTITUTE(SUBSTITUTE(SUBSTITUTE(SUBSTITUTE(TRIM(M942),".",""),"/",""),"-","")," ",""),"(",""),")",""),"+",""),4)="0800")),"OK",IF(AND(LEN(SUBSTITUTE(SUBSTITUTE(SUBSTITUTE(SUBSTITUTE(SUBSTITUTE(SUBSTITUTE(SUBSTITUTE(TRIM(M942),".",""),"/",""),"-","")," ",""),"(",""),")",""),"+",""))=11,MID(SUBSTITUTE(SUBSTITUTE(SUBSTITUTE(SUBSTITUTE(SUBSTITUTE(SUBSTITUTE(SUBSTITUTE(TRIM(M942),".",""),"/",""),"-","")," ",""),"(",""),")",""),"+",""),3,1)="9"),"ERRO: é celular, use a coluna Celular","ERRO: DDD + 8 dígitos ou 0800 + 7")))</f>
      </c>
      <c r="X942" s="6">
        <f>IF(N942="","vazio",IF(AND(LEN(SUBSTITUTE(SUBSTITUTE(SUBSTITUTE(SUBSTITUTE(SUBSTITUTE(SUBSTITUTE(SUBSTITUTE(TRIM(N942),".",""),"/",""),"-","")," ",""),"(",""),")",""),"+",""))=11,MID(SUBSTITUTE(SUBSTITUTE(SUBSTITUTE(SUBSTITUTE(SUBSTITUTE(SUBSTITUTE(SUBSTITUTE(TRIM(N942),".",""),"/",""),"-","")," ",""),"(",""),")",""),"+",""),3,1)="9",LEFT(SUBSTITUTE(SUBSTITUTE(SUBSTITUTE(SUBSTITUTE(SUBSTITUTE(SUBSTITUTE(SUBSTITUTE(TRIM(N942),".",""),"/",""),"-","")," ",""),"(",""),")",""),"+",""),1)&lt;&gt;"0"),"OK",IF(LEN(SUBSTITUTE(SUBSTITUTE(SUBSTITUTE(SUBSTITUTE(SUBSTITUTE(SUBSTITUTE(SUBSTITUTE(TRIM(N942),".",""),"/",""),"-","")," ",""),"(",""),")",""),"+",""))=10,"ERRO: é fixo (ou falta o 9), use a coluna Telefone fixo","ERRO: DDD + 9 + 8 dígitos")))</f>
      </c>
      <c r="Y942" s="6">
        <f>IF(O942="","vazio",IF(AND(ISNUMBER(FIND("@",O942)),ISNUMBER(FIND(".",MID(O942,FIND("@",O942),99))),NOT(ISNUMBER(FIND(" ",TRIM(O942)))),NOT(ISNUMBER(FIND(";",O942))),NOT(ISNUMBER(FIND(",",O942)))),"OK","ERRO: um e-mail válido por linha"))</f>
      </c>
      <c r="Z942" s="6">
        <f>IF(AND(J942="",K942=""),"",IF(AND(J942&lt;&gt;"",K942&lt;&gt;""),"OK","pendente: só um nome (o GR completa ao converter)"))</f>
      </c>
      <c r="AA942" s="6">
        <f>IF(COUNTA(A942:S942)=0,"",IF(AND(A942&lt;&gt;"",B942&lt;&gt;"",C942&lt;&gt;"",D942&lt;&gt;"",E942&lt;&gt;"",F942&lt;&gt;"",G942&lt;&gt;"",H942&lt;&gt;"",OR(J942&lt;&gt;"",K942&lt;&gt;""),OR(M942&lt;&gt;"",N942&lt;&gt;"",O942&lt;&gt;"")),"OK","ERRO: faltam "&amp;IF(A942="","SDR; ","")&amp;IF(B942="","Proprietário; ","")&amp;IF(C942="","Origem; ","")&amp;IF(D942="","Temperatura; ","")&amp;IF(E942="","Segmento; ","")&amp;IF(F942="","Time/Cluster; ","")&amp;IF(G942="","CNPJ; ","")&amp;IF(H942="","Razão Social; ","")&amp;IF(AND(J942="",K942=""),"nome do contato; ","")&amp;IF(AND(M942="",N942="",O942=""),"telefone, celular ou e-mail; ","")))</f>
      </c>
      <c r="AB942" s="6">
        <f>IF(COUNTA(A942:S942)=0,"",IF(AND(U942="OK",V942="OK",LEFT(W942,4)&lt;&gt;"ERRO",LEFT(X942,4)&lt;&gt;"ERRO",LEFT(Y942,4)&lt;&gt;"ERRO",AA942="OK"),"OK","REVISAR"))</f>
      </c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5"/>
      <c r="K943" s="4"/>
      <c r="L943" s="4"/>
      <c r="M943" s="4"/>
      <c r="N943" s="4"/>
      <c r="O943" s="4"/>
      <c r="P943" s="4"/>
      <c r="Q943" s="4"/>
      <c r="R943" s="4"/>
      <c r="S943" s="4"/>
      <c r="T943" s="6">
        <f>IF(G943="","",SUBSTITUTE(SUBSTITUTE(SUBSTITUTE(SUBSTITUTE(SUBSTITUTE(SUBSTITUTE(SUBSTITUTE(TRIM(G943),".",""),"/",""),"-","")," ",""),"(",""),")",""),"+",""))</f>
      </c>
      <c r="U943" s="6">
        <f>IF(T943="","",IF(LEN(T943)&lt;&gt;14,"ERRO: "&amp;LEN(T943)&amp;" dígitos",IF(NOT(ISNUMBER(VALUE(T943))),"ERRO: não numérico",IF(LEN(SUBSTITUTE(T943,LEFT(T943,1),""))=0,"ERRO: dígitos repetidos",IF(AND(VALUE(MID(T943,13,1))=IF(MOD(SUMPRODUCT(--MID(T943,{1,2,3,4,5,6,7,8,9,10,11,12},1),{5,4,3,2,9,8,7,6,5,4,3,2}),11)&lt;2,0,11-MOD(SUMPRODUCT(--MID(T943,{1,2,3,4,5,6,7,8,9,10,11,12},1),{5,4,3,2,9,8,7,6,5,4,3,2}),11)),VALUE(MID(T943,14,1))=IF(MOD(SUMPRODUCT(--MID(T943,{1,2,3,4,5,6,7,8,9,10,11,12,13},1),{6,5,4,3,2,9,8,7,6,5,4,3,2}),11)&lt;2,0,11-MOD(SUMPRODUCT(--MID(T943,{1,2,3,4,5,6,7,8,9,10,11,12,13},1),{6,5,4,3,2,9,8,7,6,5,4,3,2}),11))),"OK","ERRO: dígito verificador")))))</f>
      </c>
      <c r="V943" s="6">
        <f>IF(T943="","",IF(COUNTIF($T$2:$T$1001,T943)&gt;1,"DUPLICADO","OK"))</f>
      </c>
      <c r="W943" s="6">
        <f>IF(M943="","vazio",IF(OR(AND(LEN(SUBSTITUTE(SUBSTITUTE(SUBSTITUTE(SUBSTITUTE(SUBSTITUTE(SUBSTITUTE(SUBSTITUTE(TRIM(M943),".",""),"/",""),"-","")," ",""),"(",""),")",""),"+",""))=10,LEFT(SUBSTITUTE(SUBSTITUTE(SUBSTITUTE(SUBSTITUTE(SUBSTITUTE(SUBSTITUTE(SUBSTITUTE(TRIM(M943),".",""),"/",""),"-","")," ",""),"(",""),")",""),"+",""),1)&lt;&gt;"0"),AND(LEN(SUBSTITUTE(SUBSTITUTE(SUBSTITUTE(SUBSTITUTE(SUBSTITUTE(SUBSTITUTE(SUBSTITUTE(TRIM(M943),".",""),"/",""),"-","")," ",""),"(",""),")",""),"+",""))=11,LEFT(SUBSTITUTE(SUBSTITUTE(SUBSTITUTE(SUBSTITUTE(SUBSTITUTE(SUBSTITUTE(SUBSTITUTE(TRIM(M943),".",""),"/",""),"-","")," ",""),"(",""),")",""),"+",""),4)="0800")),"OK",IF(AND(LEN(SUBSTITUTE(SUBSTITUTE(SUBSTITUTE(SUBSTITUTE(SUBSTITUTE(SUBSTITUTE(SUBSTITUTE(TRIM(M943),".",""),"/",""),"-","")," ",""),"(",""),")",""),"+",""))=11,MID(SUBSTITUTE(SUBSTITUTE(SUBSTITUTE(SUBSTITUTE(SUBSTITUTE(SUBSTITUTE(SUBSTITUTE(TRIM(M943),".",""),"/",""),"-","")," ",""),"(",""),")",""),"+",""),3,1)="9"),"ERRO: é celular, use a coluna Celular","ERRO: DDD + 8 dígitos ou 0800 + 7")))</f>
      </c>
      <c r="X943" s="6">
        <f>IF(N943="","vazio",IF(AND(LEN(SUBSTITUTE(SUBSTITUTE(SUBSTITUTE(SUBSTITUTE(SUBSTITUTE(SUBSTITUTE(SUBSTITUTE(TRIM(N943),".",""),"/",""),"-","")," ",""),"(",""),")",""),"+",""))=11,MID(SUBSTITUTE(SUBSTITUTE(SUBSTITUTE(SUBSTITUTE(SUBSTITUTE(SUBSTITUTE(SUBSTITUTE(TRIM(N943),".",""),"/",""),"-","")," ",""),"(",""),")",""),"+",""),3,1)="9",LEFT(SUBSTITUTE(SUBSTITUTE(SUBSTITUTE(SUBSTITUTE(SUBSTITUTE(SUBSTITUTE(SUBSTITUTE(TRIM(N943),".",""),"/",""),"-","")," ",""),"(",""),")",""),"+",""),1)&lt;&gt;"0"),"OK",IF(LEN(SUBSTITUTE(SUBSTITUTE(SUBSTITUTE(SUBSTITUTE(SUBSTITUTE(SUBSTITUTE(SUBSTITUTE(TRIM(N943),".",""),"/",""),"-","")," ",""),"(",""),")",""),"+",""))=10,"ERRO: é fixo (ou falta o 9), use a coluna Telefone fixo","ERRO: DDD + 9 + 8 dígitos")))</f>
      </c>
      <c r="Y943" s="6">
        <f>IF(O943="","vazio",IF(AND(ISNUMBER(FIND("@",O943)),ISNUMBER(FIND(".",MID(O943,FIND("@",O943),99))),NOT(ISNUMBER(FIND(" ",TRIM(O943)))),NOT(ISNUMBER(FIND(";",O943))),NOT(ISNUMBER(FIND(",",O943)))),"OK","ERRO: um e-mail válido por linha"))</f>
      </c>
      <c r="Z943" s="6">
        <f>IF(AND(J943="",K943=""),"",IF(AND(J943&lt;&gt;"",K943&lt;&gt;""),"OK","pendente: só um nome (o GR completa ao converter)"))</f>
      </c>
      <c r="AA943" s="6">
        <f>IF(COUNTA(A943:S943)=0,"",IF(AND(A943&lt;&gt;"",B943&lt;&gt;"",C943&lt;&gt;"",D943&lt;&gt;"",E943&lt;&gt;"",F943&lt;&gt;"",G943&lt;&gt;"",H943&lt;&gt;"",OR(J943&lt;&gt;"",K943&lt;&gt;""),OR(M943&lt;&gt;"",N943&lt;&gt;"",O943&lt;&gt;"")),"OK","ERRO: faltam "&amp;IF(A943="","SDR; ","")&amp;IF(B943="","Proprietário; ","")&amp;IF(C943="","Origem; ","")&amp;IF(D943="","Temperatura; ","")&amp;IF(E943="","Segmento; ","")&amp;IF(F943="","Time/Cluster; ","")&amp;IF(G943="","CNPJ; ","")&amp;IF(H943="","Razão Social; ","")&amp;IF(AND(J943="",K943=""),"nome do contato; ","")&amp;IF(AND(M943="",N943="",O943=""),"telefone, celular ou e-mail; ","")))</f>
      </c>
      <c r="AB943" s="6">
        <f>IF(COUNTA(A943:S943)=0,"",IF(AND(U943="OK",V943="OK",LEFT(W943,4)&lt;&gt;"ERRO",LEFT(X943,4)&lt;&gt;"ERRO",LEFT(Y943,4)&lt;&gt;"ERRO",AA943="OK"),"OK","REVISAR"))</f>
      </c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5"/>
      <c r="K944" s="4"/>
      <c r="L944" s="4"/>
      <c r="M944" s="4"/>
      <c r="N944" s="4"/>
      <c r="O944" s="4"/>
      <c r="P944" s="4"/>
      <c r="Q944" s="4"/>
      <c r="R944" s="4"/>
      <c r="S944" s="4"/>
      <c r="T944" s="6">
        <f>IF(G944="","",SUBSTITUTE(SUBSTITUTE(SUBSTITUTE(SUBSTITUTE(SUBSTITUTE(SUBSTITUTE(SUBSTITUTE(TRIM(G944),".",""),"/",""),"-","")," ",""),"(",""),")",""),"+",""))</f>
      </c>
      <c r="U944" s="6">
        <f>IF(T944="","",IF(LEN(T944)&lt;&gt;14,"ERRO: "&amp;LEN(T944)&amp;" dígitos",IF(NOT(ISNUMBER(VALUE(T944))),"ERRO: não numérico",IF(LEN(SUBSTITUTE(T944,LEFT(T944,1),""))=0,"ERRO: dígitos repetidos",IF(AND(VALUE(MID(T944,13,1))=IF(MOD(SUMPRODUCT(--MID(T944,{1,2,3,4,5,6,7,8,9,10,11,12},1),{5,4,3,2,9,8,7,6,5,4,3,2}),11)&lt;2,0,11-MOD(SUMPRODUCT(--MID(T944,{1,2,3,4,5,6,7,8,9,10,11,12},1),{5,4,3,2,9,8,7,6,5,4,3,2}),11)),VALUE(MID(T944,14,1))=IF(MOD(SUMPRODUCT(--MID(T944,{1,2,3,4,5,6,7,8,9,10,11,12,13},1),{6,5,4,3,2,9,8,7,6,5,4,3,2}),11)&lt;2,0,11-MOD(SUMPRODUCT(--MID(T944,{1,2,3,4,5,6,7,8,9,10,11,12,13},1),{6,5,4,3,2,9,8,7,6,5,4,3,2}),11))),"OK","ERRO: dígito verificador")))))</f>
      </c>
      <c r="V944" s="6">
        <f>IF(T944="","",IF(COUNTIF($T$2:$T$1001,T944)&gt;1,"DUPLICADO","OK"))</f>
      </c>
      <c r="W944" s="6">
        <f>IF(M944="","vazio",IF(OR(AND(LEN(SUBSTITUTE(SUBSTITUTE(SUBSTITUTE(SUBSTITUTE(SUBSTITUTE(SUBSTITUTE(SUBSTITUTE(TRIM(M944),".",""),"/",""),"-","")," ",""),"(",""),")",""),"+",""))=10,LEFT(SUBSTITUTE(SUBSTITUTE(SUBSTITUTE(SUBSTITUTE(SUBSTITUTE(SUBSTITUTE(SUBSTITUTE(TRIM(M944),".",""),"/",""),"-","")," ",""),"(",""),")",""),"+",""),1)&lt;&gt;"0"),AND(LEN(SUBSTITUTE(SUBSTITUTE(SUBSTITUTE(SUBSTITUTE(SUBSTITUTE(SUBSTITUTE(SUBSTITUTE(TRIM(M944),".",""),"/",""),"-","")," ",""),"(",""),")",""),"+",""))=11,LEFT(SUBSTITUTE(SUBSTITUTE(SUBSTITUTE(SUBSTITUTE(SUBSTITUTE(SUBSTITUTE(SUBSTITUTE(TRIM(M944),".",""),"/",""),"-","")," ",""),"(",""),")",""),"+",""),4)="0800")),"OK",IF(AND(LEN(SUBSTITUTE(SUBSTITUTE(SUBSTITUTE(SUBSTITUTE(SUBSTITUTE(SUBSTITUTE(SUBSTITUTE(TRIM(M944),".",""),"/",""),"-","")," ",""),"(",""),")",""),"+",""))=11,MID(SUBSTITUTE(SUBSTITUTE(SUBSTITUTE(SUBSTITUTE(SUBSTITUTE(SUBSTITUTE(SUBSTITUTE(TRIM(M944),".",""),"/",""),"-","")," ",""),"(",""),")",""),"+",""),3,1)="9"),"ERRO: é celular, use a coluna Celular","ERRO: DDD + 8 dígitos ou 0800 + 7")))</f>
      </c>
      <c r="X944" s="6">
        <f>IF(N944="","vazio",IF(AND(LEN(SUBSTITUTE(SUBSTITUTE(SUBSTITUTE(SUBSTITUTE(SUBSTITUTE(SUBSTITUTE(SUBSTITUTE(TRIM(N944),".",""),"/",""),"-","")," ",""),"(",""),")",""),"+",""))=11,MID(SUBSTITUTE(SUBSTITUTE(SUBSTITUTE(SUBSTITUTE(SUBSTITUTE(SUBSTITUTE(SUBSTITUTE(TRIM(N944),".",""),"/",""),"-","")," ",""),"(",""),")",""),"+",""),3,1)="9",LEFT(SUBSTITUTE(SUBSTITUTE(SUBSTITUTE(SUBSTITUTE(SUBSTITUTE(SUBSTITUTE(SUBSTITUTE(TRIM(N944),".",""),"/",""),"-","")," ",""),"(",""),")",""),"+",""),1)&lt;&gt;"0"),"OK",IF(LEN(SUBSTITUTE(SUBSTITUTE(SUBSTITUTE(SUBSTITUTE(SUBSTITUTE(SUBSTITUTE(SUBSTITUTE(TRIM(N944),".",""),"/",""),"-","")," ",""),"(",""),")",""),"+",""))=10,"ERRO: é fixo (ou falta o 9), use a coluna Telefone fixo","ERRO: DDD + 9 + 8 dígitos")))</f>
      </c>
      <c r="Y944" s="6">
        <f>IF(O944="","vazio",IF(AND(ISNUMBER(FIND("@",O944)),ISNUMBER(FIND(".",MID(O944,FIND("@",O944),99))),NOT(ISNUMBER(FIND(" ",TRIM(O944)))),NOT(ISNUMBER(FIND(";",O944))),NOT(ISNUMBER(FIND(",",O944)))),"OK","ERRO: um e-mail válido por linha"))</f>
      </c>
      <c r="Z944" s="6">
        <f>IF(AND(J944="",K944=""),"",IF(AND(J944&lt;&gt;"",K944&lt;&gt;""),"OK","pendente: só um nome (o GR completa ao converter)"))</f>
      </c>
      <c r="AA944" s="6">
        <f>IF(COUNTA(A944:S944)=0,"",IF(AND(A944&lt;&gt;"",B944&lt;&gt;"",C944&lt;&gt;"",D944&lt;&gt;"",E944&lt;&gt;"",F944&lt;&gt;"",G944&lt;&gt;"",H944&lt;&gt;"",OR(J944&lt;&gt;"",K944&lt;&gt;""),OR(M944&lt;&gt;"",N944&lt;&gt;"",O944&lt;&gt;"")),"OK","ERRO: faltam "&amp;IF(A944="","SDR; ","")&amp;IF(B944="","Proprietário; ","")&amp;IF(C944="","Origem; ","")&amp;IF(D944="","Temperatura; ","")&amp;IF(E944="","Segmento; ","")&amp;IF(F944="","Time/Cluster; ","")&amp;IF(G944="","CNPJ; ","")&amp;IF(H944="","Razão Social; ","")&amp;IF(AND(J944="",K944=""),"nome do contato; ","")&amp;IF(AND(M944="",N944="",O944=""),"telefone, celular ou e-mail; ","")))</f>
      </c>
      <c r="AB944" s="6">
        <f>IF(COUNTA(A944:S944)=0,"",IF(AND(U944="OK",V944="OK",LEFT(W944,4)&lt;&gt;"ERRO",LEFT(X944,4)&lt;&gt;"ERRO",LEFT(Y944,4)&lt;&gt;"ERRO",AA944="OK"),"OK","REVISAR"))</f>
      </c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5"/>
      <c r="K945" s="4"/>
      <c r="L945" s="4"/>
      <c r="M945" s="4"/>
      <c r="N945" s="4"/>
      <c r="O945" s="4"/>
      <c r="P945" s="4"/>
      <c r="Q945" s="4"/>
      <c r="R945" s="4"/>
      <c r="S945" s="4"/>
      <c r="T945" s="6">
        <f>IF(G945="","",SUBSTITUTE(SUBSTITUTE(SUBSTITUTE(SUBSTITUTE(SUBSTITUTE(SUBSTITUTE(SUBSTITUTE(TRIM(G945),".",""),"/",""),"-","")," ",""),"(",""),")",""),"+",""))</f>
      </c>
      <c r="U945" s="6">
        <f>IF(T945="","",IF(LEN(T945)&lt;&gt;14,"ERRO: "&amp;LEN(T945)&amp;" dígitos",IF(NOT(ISNUMBER(VALUE(T945))),"ERRO: não numérico",IF(LEN(SUBSTITUTE(T945,LEFT(T945,1),""))=0,"ERRO: dígitos repetidos",IF(AND(VALUE(MID(T945,13,1))=IF(MOD(SUMPRODUCT(--MID(T945,{1,2,3,4,5,6,7,8,9,10,11,12},1),{5,4,3,2,9,8,7,6,5,4,3,2}),11)&lt;2,0,11-MOD(SUMPRODUCT(--MID(T945,{1,2,3,4,5,6,7,8,9,10,11,12},1),{5,4,3,2,9,8,7,6,5,4,3,2}),11)),VALUE(MID(T945,14,1))=IF(MOD(SUMPRODUCT(--MID(T945,{1,2,3,4,5,6,7,8,9,10,11,12,13},1),{6,5,4,3,2,9,8,7,6,5,4,3,2}),11)&lt;2,0,11-MOD(SUMPRODUCT(--MID(T945,{1,2,3,4,5,6,7,8,9,10,11,12,13},1),{6,5,4,3,2,9,8,7,6,5,4,3,2}),11))),"OK","ERRO: dígito verificador")))))</f>
      </c>
      <c r="V945" s="6">
        <f>IF(T945="","",IF(COUNTIF($T$2:$T$1001,T945)&gt;1,"DUPLICADO","OK"))</f>
      </c>
      <c r="W945" s="6">
        <f>IF(M945="","vazio",IF(OR(AND(LEN(SUBSTITUTE(SUBSTITUTE(SUBSTITUTE(SUBSTITUTE(SUBSTITUTE(SUBSTITUTE(SUBSTITUTE(TRIM(M945),".",""),"/",""),"-","")," ",""),"(",""),")",""),"+",""))=10,LEFT(SUBSTITUTE(SUBSTITUTE(SUBSTITUTE(SUBSTITUTE(SUBSTITUTE(SUBSTITUTE(SUBSTITUTE(TRIM(M945),".",""),"/",""),"-","")," ",""),"(",""),")",""),"+",""),1)&lt;&gt;"0"),AND(LEN(SUBSTITUTE(SUBSTITUTE(SUBSTITUTE(SUBSTITUTE(SUBSTITUTE(SUBSTITUTE(SUBSTITUTE(TRIM(M945),".",""),"/",""),"-","")," ",""),"(",""),")",""),"+",""))=11,LEFT(SUBSTITUTE(SUBSTITUTE(SUBSTITUTE(SUBSTITUTE(SUBSTITUTE(SUBSTITUTE(SUBSTITUTE(TRIM(M945),".",""),"/",""),"-","")," ",""),"(",""),")",""),"+",""),4)="0800")),"OK",IF(AND(LEN(SUBSTITUTE(SUBSTITUTE(SUBSTITUTE(SUBSTITUTE(SUBSTITUTE(SUBSTITUTE(SUBSTITUTE(TRIM(M945),".",""),"/",""),"-","")," ",""),"(",""),")",""),"+",""))=11,MID(SUBSTITUTE(SUBSTITUTE(SUBSTITUTE(SUBSTITUTE(SUBSTITUTE(SUBSTITUTE(SUBSTITUTE(TRIM(M945),".",""),"/",""),"-","")," ",""),"(",""),")",""),"+",""),3,1)="9"),"ERRO: é celular, use a coluna Celular","ERRO: DDD + 8 dígitos ou 0800 + 7")))</f>
      </c>
      <c r="X945" s="6">
        <f>IF(N945="","vazio",IF(AND(LEN(SUBSTITUTE(SUBSTITUTE(SUBSTITUTE(SUBSTITUTE(SUBSTITUTE(SUBSTITUTE(SUBSTITUTE(TRIM(N945),".",""),"/",""),"-","")," ",""),"(",""),")",""),"+",""))=11,MID(SUBSTITUTE(SUBSTITUTE(SUBSTITUTE(SUBSTITUTE(SUBSTITUTE(SUBSTITUTE(SUBSTITUTE(TRIM(N945),".",""),"/",""),"-","")," ",""),"(",""),")",""),"+",""),3,1)="9",LEFT(SUBSTITUTE(SUBSTITUTE(SUBSTITUTE(SUBSTITUTE(SUBSTITUTE(SUBSTITUTE(SUBSTITUTE(TRIM(N945),".",""),"/",""),"-","")," ",""),"(",""),")",""),"+",""),1)&lt;&gt;"0"),"OK",IF(LEN(SUBSTITUTE(SUBSTITUTE(SUBSTITUTE(SUBSTITUTE(SUBSTITUTE(SUBSTITUTE(SUBSTITUTE(TRIM(N945),".",""),"/",""),"-","")," ",""),"(",""),")",""),"+",""))=10,"ERRO: é fixo (ou falta o 9), use a coluna Telefone fixo","ERRO: DDD + 9 + 8 dígitos")))</f>
      </c>
      <c r="Y945" s="6">
        <f>IF(O945="","vazio",IF(AND(ISNUMBER(FIND("@",O945)),ISNUMBER(FIND(".",MID(O945,FIND("@",O945),99))),NOT(ISNUMBER(FIND(" ",TRIM(O945)))),NOT(ISNUMBER(FIND(";",O945))),NOT(ISNUMBER(FIND(",",O945)))),"OK","ERRO: um e-mail válido por linha"))</f>
      </c>
      <c r="Z945" s="6">
        <f>IF(AND(J945="",K945=""),"",IF(AND(J945&lt;&gt;"",K945&lt;&gt;""),"OK","pendente: só um nome (o GR completa ao converter)"))</f>
      </c>
      <c r="AA945" s="6">
        <f>IF(COUNTA(A945:S945)=0,"",IF(AND(A945&lt;&gt;"",B945&lt;&gt;"",C945&lt;&gt;"",D945&lt;&gt;"",E945&lt;&gt;"",F945&lt;&gt;"",G945&lt;&gt;"",H945&lt;&gt;"",OR(J945&lt;&gt;"",K945&lt;&gt;""),OR(M945&lt;&gt;"",N945&lt;&gt;"",O945&lt;&gt;"")),"OK","ERRO: faltam "&amp;IF(A945="","SDR; ","")&amp;IF(B945="","Proprietário; ","")&amp;IF(C945="","Origem; ","")&amp;IF(D945="","Temperatura; ","")&amp;IF(E945="","Segmento; ","")&amp;IF(F945="","Time/Cluster; ","")&amp;IF(G945="","CNPJ; ","")&amp;IF(H945="","Razão Social; ","")&amp;IF(AND(J945="",K945=""),"nome do contato; ","")&amp;IF(AND(M945="",N945="",O945=""),"telefone, celular ou e-mail; ","")))</f>
      </c>
      <c r="AB945" s="6">
        <f>IF(COUNTA(A945:S945)=0,"",IF(AND(U945="OK",V945="OK",LEFT(W945,4)&lt;&gt;"ERRO",LEFT(X945,4)&lt;&gt;"ERRO",LEFT(Y945,4)&lt;&gt;"ERRO",AA945="OK"),"OK","REVISAR"))</f>
      </c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5"/>
      <c r="K946" s="4"/>
      <c r="L946" s="4"/>
      <c r="M946" s="4"/>
      <c r="N946" s="4"/>
      <c r="O946" s="4"/>
      <c r="P946" s="4"/>
      <c r="Q946" s="4"/>
      <c r="R946" s="4"/>
      <c r="S946" s="4"/>
      <c r="T946" s="6">
        <f>IF(G946="","",SUBSTITUTE(SUBSTITUTE(SUBSTITUTE(SUBSTITUTE(SUBSTITUTE(SUBSTITUTE(SUBSTITUTE(TRIM(G946),".",""),"/",""),"-","")," ",""),"(",""),")",""),"+",""))</f>
      </c>
      <c r="U946" s="6">
        <f>IF(T946="","",IF(LEN(T946)&lt;&gt;14,"ERRO: "&amp;LEN(T946)&amp;" dígitos",IF(NOT(ISNUMBER(VALUE(T946))),"ERRO: não numérico",IF(LEN(SUBSTITUTE(T946,LEFT(T946,1),""))=0,"ERRO: dígitos repetidos",IF(AND(VALUE(MID(T946,13,1))=IF(MOD(SUMPRODUCT(--MID(T946,{1,2,3,4,5,6,7,8,9,10,11,12},1),{5,4,3,2,9,8,7,6,5,4,3,2}),11)&lt;2,0,11-MOD(SUMPRODUCT(--MID(T946,{1,2,3,4,5,6,7,8,9,10,11,12},1),{5,4,3,2,9,8,7,6,5,4,3,2}),11)),VALUE(MID(T946,14,1))=IF(MOD(SUMPRODUCT(--MID(T946,{1,2,3,4,5,6,7,8,9,10,11,12,13},1),{6,5,4,3,2,9,8,7,6,5,4,3,2}),11)&lt;2,0,11-MOD(SUMPRODUCT(--MID(T946,{1,2,3,4,5,6,7,8,9,10,11,12,13},1),{6,5,4,3,2,9,8,7,6,5,4,3,2}),11))),"OK","ERRO: dígito verificador")))))</f>
      </c>
      <c r="V946" s="6">
        <f>IF(T946="","",IF(COUNTIF($T$2:$T$1001,T946)&gt;1,"DUPLICADO","OK"))</f>
      </c>
      <c r="W946" s="6">
        <f>IF(M946="","vazio",IF(OR(AND(LEN(SUBSTITUTE(SUBSTITUTE(SUBSTITUTE(SUBSTITUTE(SUBSTITUTE(SUBSTITUTE(SUBSTITUTE(TRIM(M946),".",""),"/",""),"-","")," ",""),"(",""),")",""),"+",""))=10,LEFT(SUBSTITUTE(SUBSTITUTE(SUBSTITUTE(SUBSTITUTE(SUBSTITUTE(SUBSTITUTE(SUBSTITUTE(TRIM(M946),".",""),"/",""),"-","")," ",""),"(",""),")",""),"+",""),1)&lt;&gt;"0"),AND(LEN(SUBSTITUTE(SUBSTITUTE(SUBSTITUTE(SUBSTITUTE(SUBSTITUTE(SUBSTITUTE(SUBSTITUTE(TRIM(M946),".",""),"/",""),"-","")," ",""),"(",""),")",""),"+",""))=11,LEFT(SUBSTITUTE(SUBSTITUTE(SUBSTITUTE(SUBSTITUTE(SUBSTITUTE(SUBSTITUTE(SUBSTITUTE(TRIM(M946),".",""),"/",""),"-","")," ",""),"(",""),")",""),"+",""),4)="0800")),"OK",IF(AND(LEN(SUBSTITUTE(SUBSTITUTE(SUBSTITUTE(SUBSTITUTE(SUBSTITUTE(SUBSTITUTE(SUBSTITUTE(TRIM(M946),".",""),"/",""),"-","")," ",""),"(",""),")",""),"+",""))=11,MID(SUBSTITUTE(SUBSTITUTE(SUBSTITUTE(SUBSTITUTE(SUBSTITUTE(SUBSTITUTE(SUBSTITUTE(TRIM(M946),".",""),"/",""),"-","")," ",""),"(",""),")",""),"+",""),3,1)="9"),"ERRO: é celular, use a coluna Celular","ERRO: DDD + 8 dígitos ou 0800 + 7")))</f>
      </c>
      <c r="X946" s="6">
        <f>IF(N946="","vazio",IF(AND(LEN(SUBSTITUTE(SUBSTITUTE(SUBSTITUTE(SUBSTITUTE(SUBSTITUTE(SUBSTITUTE(SUBSTITUTE(TRIM(N946),".",""),"/",""),"-","")," ",""),"(",""),")",""),"+",""))=11,MID(SUBSTITUTE(SUBSTITUTE(SUBSTITUTE(SUBSTITUTE(SUBSTITUTE(SUBSTITUTE(SUBSTITUTE(TRIM(N946),".",""),"/",""),"-","")," ",""),"(",""),")",""),"+",""),3,1)="9",LEFT(SUBSTITUTE(SUBSTITUTE(SUBSTITUTE(SUBSTITUTE(SUBSTITUTE(SUBSTITUTE(SUBSTITUTE(TRIM(N946),".",""),"/",""),"-","")," ",""),"(",""),")",""),"+",""),1)&lt;&gt;"0"),"OK",IF(LEN(SUBSTITUTE(SUBSTITUTE(SUBSTITUTE(SUBSTITUTE(SUBSTITUTE(SUBSTITUTE(SUBSTITUTE(TRIM(N946),".",""),"/",""),"-","")," ",""),"(",""),")",""),"+",""))=10,"ERRO: é fixo (ou falta o 9), use a coluna Telefone fixo","ERRO: DDD + 9 + 8 dígitos")))</f>
      </c>
      <c r="Y946" s="6">
        <f>IF(O946="","vazio",IF(AND(ISNUMBER(FIND("@",O946)),ISNUMBER(FIND(".",MID(O946,FIND("@",O946),99))),NOT(ISNUMBER(FIND(" ",TRIM(O946)))),NOT(ISNUMBER(FIND(";",O946))),NOT(ISNUMBER(FIND(",",O946)))),"OK","ERRO: um e-mail válido por linha"))</f>
      </c>
      <c r="Z946" s="6">
        <f>IF(AND(J946="",K946=""),"",IF(AND(J946&lt;&gt;"",K946&lt;&gt;""),"OK","pendente: só um nome (o GR completa ao converter)"))</f>
      </c>
      <c r="AA946" s="6">
        <f>IF(COUNTA(A946:S946)=0,"",IF(AND(A946&lt;&gt;"",B946&lt;&gt;"",C946&lt;&gt;"",D946&lt;&gt;"",E946&lt;&gt;"",F946&lt;&gt;"",G946&lt;&gt;"",H946&lt;&gt;"",OR(J946&lt;&gt;"",K946&lt;&gt;""),OR(M946&lt;&gt;"",N946&lt;&gt;"",O946&lt;&gt;"")),"OK","ERRO: faltam "&amp;IF(A946="","SDR; ","")&amp;IF(B946="","Proprietário; ","")&amp;IF(C946="","Origem; ","")&amp;IF(D946="","Temperatura; ","")&amp;IF(E946="","Segmento; ","")&amp;IF(F946="","Time/Cluster; ","")&amp;IF(G946="","CNPJ; ","")&amp;IF(H946="","Razão Social; ","")&amp;IF(AND(J946="",K946=""),"nome do contato; ","")&amp;IF(AND(M946="",N946="",O946=""),"telefone, celular ou e-mail; ","")))</f>
      </c>
      <c r="AB946" s="6">
        <f>IF(COUNTA(A946:S946)=0,"",IF(AND(U946="OK",V946="OK",LEFT(W946,4)&lt;&gt;"ERRO",LEFT(X946,4)&lt;&gt;"ERRO",LEFT(Y946,4)&lt;&gt;"ERRO",AA946="OK"),"OK","REVISAR"))</f>
      </c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5"/>
      <c r="K947" s="4"/>
      <c r="L947" s="4"/>
      <c r="M947" s="4"/>
      <c r="N947" s="4"/>
      <c r="O947" s="4"/>
      <c r="P947" s="4"/>
      <c r="Q947" s="4"/>
      <c r="R947" s="4"/>
      <c r="S947" s="4"/>
      <c r="T947" s="6">
        <f>IF(G947="","",SUBSTITUTE(SUBSTITUTE(SUBSTITUTE(SUBSTITUTE(SUBSTITUTE(SUBSTITUTE(SUBSTITUTE(TRIM(G947),".",""),"/",""),"-","")," ",""),"(",""),")",""),"+",""))</f>
      </c>
      <c r="U947" s="6">
        <f>IF(T947="","",IF(LEN(T947)&lt;&gt;14,"ERRO: "&amp;LEN(T947)&amp;" dígitos",IF(NOT(ISNUMBER(VALUE(T947))),"ERRO: não numérico",IF(LEN(SUBSTITUTE(T947,LEFT(T947,1),""))=0,"ERRO: dígitos repetidos",IF(AND(VALUE(MID(T947,13,1))=IF(MOD(SUMPRODUCT(--MID(T947,{1,2,3,4,5,6,7,8,9,10,11,12},1),{5,4,3,2,9,8,7,6,5,4,3,2}),11)&lt;2,0,11-MOD(SUMPRODUCT(--MID(T947,{1,2,3,4,5,6,7,8,9,10,11,12},1),{5,4,3,2,9,8,7,6,5,4,3,2}),11)),VALUE(MID(T947,14,1))=IF(MOD(SUMPRODUCT(--MID(T947,{1,2,3,4,5,6,7,8,9,10,11,12,13},1),{6,5,4,3,2,9,8,7,6,5,4,3,2}),11)&lt;2,0,11-MOD(SUMPRODUCT(--MID(T947,{1,2,3,4,5,6,7,8,9,10,11,12,13},1),{6,5,4,3,2,9,8,7,6,5,4,3,2}),11))),"OK","ERRO: dígito verificador")))))</f>
      </c>
      <c r="V947" s="6">
        <f>IF(T947="","",IF(COUNTIF($T$2:$T$1001,T947)&gt;1,"DUPLICADO","OK"))</f>
      </c>
      <c r="W947" s="6">
        <f>IF(M947="","vazio",IF(OR(AND(LEN(SUBSTITUTE(SUBSTITUTE(SUBSTITUTE(SUBSTITUTE(SUBSTITUTE(SUBSTITUTE(SUBSTITUTE(TRIM(M947),".",""),"/",""),"-","")," ",""),"(",""),")",""),"+",""))=10,LEFT(SUBSTITUTE(SUBSTITUTE(SUBSTITUTE(SUBSTITUTE(SUBSTITUTE(SUBSTITUTE(SUBSTITUTE(TRIM(M947),".",""),"/",""),"-","")," ",""),"(",""),")",""),"+",""),1)&lt;&gt;"0"),AND(LEN(SUBSTITUTE(SUBSTITUTE(SUBSTITUTE(SUBSTITUTE(SUBSTITUTE(SUBSTITUTE(SUBSTITUTE(TRIM(M947),".",""),"/",""),"-","")," ",""),"(",""),")",""),"+",""))=11,LEFT(SUBSTITUTE(SUBSTITUTE(SUBSTITUTE(SUBSTITUTE(SUBSTITUTE(SUBSTITUTE(SUBSTITUTE(TRIM(M947),".",""),"/",""),"-","")," ",""),"(",""),")",""),"+",""),4)="0800")),"OK",IF(AND(LEN(SUBSTITUTE(SUBSTITUTE(SUBSTITUTE(SUBSTITUTE(SUBSTITUTE(SUBSTITUTE(SUBSTITUTE(TRIM(M947),".",""),"/",""),"-","")," ",""),"(",""),")",""),"+",""))=11,MID(SUBSTITUTE(SUBSTITUTE(SUBSTITUTE(SUBSTITUTE(SUBSTITUTE(SUBSTITUTE(SUBSTITUTE(TRIM(M947),".",""),"/",""),"-","")," ",""),"(",""),")",""),"+",""),3,1)="9"),"ERRO: é celular, use a coluna Celular","ERRO: DDD + 8 dígitos ou 0800 + 7")))</f>
      </c>
      <c r="X947" s="6">
        <f>IF(N947="","vazio",IF(AND(LEN(SUBSTITUTE(SUBSTITUTE(SUBSTITUTE(SUBSTITUTE(SUBSTITUTE(SUBSTITUTE(SUBSTITUTE(TRIM(N947),".",""),"/",""),"-","")," ",""),"(",""),")",""),"+",""))=11,MID(SUBSTITUTE(SUBSTITUTE(SUBSTITUTE(SUBSTITUTE(SUBSTITUTE(SUBSTITUTE(SUBSTITUTE(TRIM(N947),".",""),"/",""),"-","")," ",""),"(",""),")",""),"+",""),3,1)="9",LEFT(SUBSTITUTE(SUBSTITUTE(SUBSTITUTE(SUBSTITUTE(SUBSTITUTE(SUBSTITUTE(SUBSTITUTE(TRIM(N947),".",""),"/",""),"-","")," ",""),"(",""),")",""),"+",""),1)&lt;&gt;"0"),"OK",IF(LEN(SUBSTITUTE(SUBSTITUTE(SUBSTITUTE(SUBSTITUTE(SUBSTITUTE(SUBSTITUTE(SUBSTITUTE(TRIM(N947),".",""),"/",""),"-","")," ",""),"(",""),")",""),"+",""))=10,"ERRO: é fixo (ou falta o 9), use a coluna Telefone fixo","ERRO: DDD + 9 + 8 dígitos")))</f>
      </c>
      <c r="Y947" s="6">
        <f>IF(O947="","vazio",IF(AND(ISNUMBER(FIND("@",O947)),ISNUMBER(FIND(".",MID(O947,FIND("@",O947),99))),NOT(ISNUMBER(FIND(" ",TRIM(O947)))),NOT(ISNUMBER(FIND(";",O947))),NOT(ISNUMBER(FIND(",",O947)))),"OK","ERRO: um e-mail válido por linha"))</f>
      </c>
      <c r="Z947" s="6">
        <f>IF(AND(J947="",K947=""),"",IF(AND(J947&lt;&gt;"",K947&lt;&gt;""),"OK","pendente: só um nome (o GR completa ao converter)"))</f>
      </c>
      <c r="AA947" s="6">
        <f>IF(COUNTA(A947:S947)=0,"",IF(AND(A947&lt;&gt;"",B947&lt;&gt;"",C947&lt;&gt;"",D947&lt;&gt;"",E947&lt;&gt;"",F947&lt;&gt;"",G947&lt;&gt;"",H947&lt;&gt;"",OR(J947&lt;&gt;"",K947&lt;&gt;""),OR(M947&lt;&gt;"",N947&lt;&gt;"",O947&lt;&gt;"")),"OK","ERRO: faltam "&amp;IF(A947="","SDR; ","")&amp;IF(B947="","Proprietário; ","")&amp;IF(C947="","Origem; ","")&amp;IF(D947="","Temperatura; ","")&amp;IF(E947="","Segmento; ","")&amp;IF(F947="","Time/Cluster; ","")&amp;IF(G947="","CNPJ; ","")&amp;IF(H947="","Razão Social; ","")&amp;IF(AND(J947="",K947=""),"nome do contato; ","")&amp;IF(AND(M947="",N947="",O947=""),"telefone, celular ou e-mail; ","")))</f>
      </c>
      <c r="AB947" s="6">
        <f>IF(COUNTA(A947:S947)=0,"",IF(AND(U947="OK",V947="OK",LEFT(W947,4)&lt;&gt;"ERRO",LEFT(X947,4)&lt;&gt;"ERRO",LEFT(Y947,4)&lt;&gt;"ERRO",AA947="OK"),"OK","REVISAR"))</f>
      </c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5"/>
      <c r="K948" s="4"/>
      <c r="L948" s="4"/>
      <c r="M948" s="4"/>
      <c r="N948" s="4"/>
      <c r="O948" s="4"/>
      <c r="P948" s="4"/>
      <c r="Q948" s="4"/>
      <c r="R948" s="4"/>
      <c r="S948" s="4"/>
      <c r="T948" s="6">
        <f>IF(G948="","",SUBSTITUTE(SUBSTITUTE(SUBSTITUTE(SUBSTITUTE(SUBSTITUTE(SUBSTITUTE(SUBSTITUTE(TRIM(G948),".",""),"/",""),"-","")," ",""),"(",""),")",""),"+",""))</f>
      </c>
      <c r="U948" s="6">
        <f>IF(T948="","",IF(LEN(T948)&lt;&gt;14,"ERRO: "&amp;LEN(T948)&amp;" dígitos",IF(NOT(ISNUMBER(VALUE(T948))),"ERRO: não numérico",IF(LEN(SUBSTITUTE(T948,LEFT(T948,1),""))=0,"ERRO: dígitos repetidos",IF(AND(VALUE(MID(T948,13,1))=IF(MOD(SUMPRODUCT(--MID(T948,{1,2,3,4,5,6,7,8,9,10,11,12},1),{5,4,3,2,9,8,7,6,5,4,3,2}),11)&lt;2,0,11-MOD(SUMPRODUCT(--MID(T948,{1,2,3,4,5,6,7,8,9,10,11,12},1),{5,4,3,2,9,8,7,6,5,4,3,2}),11)),VALUE(MID(T948,14,1))=IF(MOD(SUMPRODUCT(--MID(T948,{1,2,3,4,5,6,7,8,9,10,11,12,13},1),{6,5,4,3,2,9,8,7,6,5,4,3,2}),11)&lt;2,0,11-MOD(SUMPRODUCT(--MID(T948,{1,2,3,4,5,6,7,8,9,10,11,12,13},1),{6,5,4,3,2,9,8,7,6,5,4,3,2}),11))),"OK","ERRO: dígito verificador")))))</f>
      </c>
      <c r="V948" s="6">
        <f>IF(T948="","",IF(COUNTIF($T$2:$T$1001,T948)&gt;1,"DUPLICADO","OK"))</f>
      </c>
      <c r="W948" s="6">
        <f>IF(M948="","vazio",IF(OR(AND(LEN(SUBSTITUTE(SUBSTITUTE(SUBSTITUTE(SUBSTITUTE(SUBSTITUTE(SUBSTITUTE(SUBSTITUTE(TRIM(M948),".",""),"/",""),"-","")," ",""),"(",""),")",""),"+",""))=10,LEFT(SUBSTITUTE(SUBSTITUTE(SUBSTITUTE(SUBSTITUTE(SUBSTITUTE(SUBSTITUTE(SUBSTITUTE(TRIM(M948),".",""),"/",""),"-","")," ",""),"(",""),")",""),"+",""),1)&lt;&gt;"0"),AND(LEN(SUBSTITUTE(SUBSTITUTE(SUBSTITUTE(SUBSTITUTE(SUBSTITUTE(SUBSTITUTE(SUBSTITUTE(TRIM(M948),".",""),"/",""),"-","")," ",""),"(",""),")",""),"+",""))=11,LEFT(SUBSTITUTE(SUBSTITUTE(SUBSTITUTE(SUBSTITUTE(SUBSTITUTE(SUBSTITUTE(SUBSTITUTE(TRIM(M948),".",""),"/",""),"-","")," ",""),"(",""),")",""),"+",""),4)="0800")),"OK",IF(AND(LEN(SUBSTITUTE(SUBSTITUTE(SUBSTITUTE(SUBSTITUTE(SUBSTITUTE(SUBSTITUTE(SUBSTITUTE(TRIM(M948),".",""),"/",""),"-","")," ",""),"(",""),")",""),"+",""))=11,MID(SUBSTITUTE(SUBSTITUTE(SUBSTITUTE(SUBSTITUTE(SUBSTITUTE(SUBSTITUTE(SUBSTITUTE(TRIM(M948),".",""),"/",""),"-","")," ",""),"(",""),")",""),"+",""),3,1)="9"),"ERRO: é celular, use a coluna Celular","ERRO: DDD + 8 dígitos ou 0800 + 7")))</f>
      </c>
      <c r="X948" s="6">
        <f>IF(N948="","vazio",IF(AND(LEN(SUBSTITUTE(SUBSTITUTE(SUBSTITUTE(SUBSTITUTE(SUBSTITUTE(SUBSTITUTE(SUBSTITUTE(TRIM(N948),".",""),"/",""),"-","")," ",""),"(",""),")",""),"+",""))=11,MID(SUBSTITUTE(SUBSTITUTE(SUBSTITUTE(SUBSTITUTE(SUBSTITUTE(SUBSTITUTE(SUBSTITUTE(TRIM(N948),".",""),"/",""),"-","")," ",""),"(",""),")",""),"+",""),3,1)="9",LEFT(SUBSTITUTE(SUBSTITUTE(SUBSTITUTE(SUBSTITUTE(SUBSTITUTE(SUBSTITUTE(SUBSTITUTE(TRIM(N948),".",""),"/",""),"-","")," ",""),"(",""),")",""),"+",""),1)&lt;&gt;"0"),"OK",IF(LEN(SUBSTITUTE(SUBSTITUTE(SUBSTITUTE(SUBSTITUTE(SUBSTITUTE(SUBSTITUTE(SUBSTITUTE(TRIM(N948),".",""),"/",""),"-","")," ",""),"(",""),")",""),"+",""))=10,"ERRO: é fixo (ou falta o 9), use a coluna Telefone fixo","ERRO: DDD + 9 + 8 dígitos")))</f>
      </c>
      <c r="Y948" s="6">
        <f>IF(O948="","vazio",IF(AND(ISNUMBER(FIND("@",O948)),ISNUMBER(FIND(".",MID(O948,FIND("@",O948),99))),NOT(ISNUMBER(FIND(" ",TRIM(O948)))),NOT(ISNUMBER(FIND(";",O948))),NOT(ISNUMBER(FIND(",",O948)))),"OK","ERRO: um e-mail válido por linha"))</f>
      </c>
      <c r="Z948" s="6">
        <f>IF(AND(J948="",K948=""),"",IF(AND(J948&lt;&gt;"",K948&lt;&gt;""),"OK","pendente: só um nome (o GR completa ao converter)"))</f>
      </c>
      <c r="AA948" s="6">
        <f>IF(COUNTA(A948:S948)=0,"",IF(AND(A948&lt;&gt;"",B948&lt;&gt;"",C948&lt;&gt;"",D948&lt;&gt;"",E948&lt;&gt;"",F948&lt;&gt;"",G948&lt;&gt;"",H948&lt;&gt;"",OR(J948&lt;&gt;"",K948&lt;&gt;""),OR(M948&lt;&gt;"",N948&lt;&gt;"",O948&lt;&gt;"")),"OK","ERRO: faltam "&amp;IF(A948="","SDR; ","")&amp;IF(B948="","Proprietário; ","")&amp;IF(C948="","Origem; ","")&amp;IF(D948="","Temperatura; ","")&amp;IF(E948="","Segmento; ","")&amp;IF(F948="","Time/Cluster; ","")&amp;IF(G948="","CNPJ; ","")&amp;IF(H948="","Razão Social; ","")&amp;IF(AND(J948="",K948=""),"nome do contato; ","")&amp;IF(AND(M948="",N948="",O948=""),"telefone, celular ou e-mail; ","")))</f>
      </c>
      <c r="AB948" s="6">
        <f>IF(COUNTA(A948:S948)=0,"",IF(AND(U948="OK",V948="OK",LEFT(W948,4)&lt;&gt;"ERRO",LEFT(X948,4)&lt;&gt;"ERRO",LEFT(Y948,4)&lt;&gt;"ERRO",AA948="OK"),"OK","REVISAR"))</f>
      </c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5"/>
      <c r="K949" s="4"/>
      <c r="L949" s="4"/>
      <c r="M949" s="4"/>
      <c r="N949" s="4"/>
      <c r="O949" s="4"/>
      <c r="P949" s="4"/>
      <c r="Q949" s="4"/>
      <c r="R949" s="4"/>
      <c r="S949" s="4"/>
      <c r="T949" s="6">
        <f>IF(G949="","",SUBSTITUTE(SUBSTITUTE(SUBSTITUTE(SUBSTITUTE(SUBSTITUTE(SUBSTITUTE(SUBSTITUTE(TRIM(G949),".",""),"/",""),"-","")," ",""),"(",""),")",""),"+",""))</f>
      </c>
      <c r="U949" s="6">
        <f>IF(T949="","",IF(LEN(T949)&lt;&gt;14,"ERRO: "&amp;LEN(T949)&amp;" dígitos",IF(NOT(ISNUMBER(VALUE(T949))),"ERRO: não numérico",IF(LEN(SUBSTITUTE(T949,LEFT(T949,1),""))=0,"ERRO: dígitos repetidos",IF(AND(VALUE(MID(T949,13,1))=IF(MOD(SUMPRODUCT(--MID(T949,{1,2,3,4,5,6,7,8,9,10,11,12},1),{5,4,3,2,9,8,7,6,5,4,3,2}),11)&lt;2,0,11-MOD(SUMPRODUCT(--MID(T949,{1,2,3,4,5,6,7,8,9,10,11,12},1),{5,4,3,2,9,8,7,6,5,4,3,2}),11)),VALUE(MID(T949,14,1))=IF(MOD(SUMPRODUCT(--MID(T949,{1,2,3,4,5,6,7,8,9,10,11,12,13},1),{6,5,4,3,2,9,8,7,6,5,4,3,2}),11)&lt;2,0,11-MOD(SUMPRODUCT(--MID(T949,{1,2,3,4,5,6,7,8,9,10,11,12,13},1),{6,5,4,3,2,9,8,7,6,5,4,3,2}),11))),"OK","ERRO: dígito verificador")))))</f>
      </c>
      <c r="V949" s="6">
        <f>IF(T949="","",IF(COUNTIF($T$2:$T$1001,T949)&gt;1,"DUPLICADO","OK"))</f>
      </c>
      <c r="W949" s="6">
        <f>IF(M949="","vazio",IF(OR(AND(LEN(SUBSTITUTE(SUBSTITUTE(SUBSTITUTE(SUBSTITUTE(SUBSTITUTE(SUBSTITUTE(SUBSTITUTE(TRIM(M949),".",""),"/",""),"-","")," ",""),"(",""),")",""),"+",""))=10,LEFT(SUBSTITUTE(SUBSTITUTE(SUBSTITUTE(SUBSTITUTE(SUBSTITUTE(SUBSTITUTE(SUBSTITUTE(TRIM(M949),".",""),"/",""),"-","")," ",""),"(",""),")",""),"+",""),1)&lt;&gt;"0"),AND(LEN(SUBSTITUTE(SUBSTITUTE(SUBSTITUTE(SUBSTITUTE(SUBSTITUTE(SUBSTITUTE(SUBSTITUTE(TRIM(M949),".",""),"/",""),"-","")," ",""),"(",""),")",""),"+",""))=11,LEFT(SUBSTITUTE(SUBSTITUTE(SUBSTITUTE(SUBSTITUTE(SUBSTITUTE(SUBSTITUTE(SUBSTITUTE(TRIM(M949),".",""),"/",""),"-","")," ",""),"(",""),")",""),"+",""),4)="0800")),"OK",IF(AND(LEN(SUBSTITUTE(SUBSTITUTE(SUBSTITUTE(SUBSTITUTE(SUBSTITUTE(SUBSTITUTE(SUBSTITUTE(TRIM(M949),".",""),"/",""),"-","")," ",""),"(",""),")",""),"+",""))=11,MID(SUBSTITUTE(SUBSTITUTE(SUBSTITUTE(SUBSTITUTE(SUBSTITUTE(SUBSTITUTE(SUBSTITUTE(TRIM(M949),".",""),"/",""),"-","")," ",""),"(",""),")",""),"+",""),3,1)="9"),"ERRO: é celular, use a coluna Celular","ERRO: DDD + 8 dígitos ou 0800 + 7")))</f>
      </c>
      <c r="X949" s="6">
        <f>IF(N949="","vazio",IF(AND(LEN(SUBSTITUTE(SUBSTITUTE(SUBSTITUTE(SUBSTITUTE(SUBSTITUTE(SUBSTITUTE(SUBSTITUTE(TRIM(N949),".",""),"/",""),"-","")," ",""),"(",""),")",""),"+",""))=11,MID(SUBSTITUTE(SUBSTITUTE(SUBSTITUTE(SUBSTITUTE(SUBSTITUTE(SUBSTITUTE(SUBSTITUTE(TRIM(N949),".",""),"/",""),"-","")," ",""),"(",""),")",""),"+",""),3,1)="9",LEFT(SUBSTITUTE(SUBSTITUTE(SUBSTITUTE(SUBSTITUTE(SUBSTITUTE(SUBSTITUTE(SUBSTITUTE(TRIM(N949),".",""),"/",""),"-","")," ",""),"(",""),")",""),"+",""),1)&lt;&gt;"0"),"OK",IF(LEN(SUBSTITUTE(SUBSTITUTE(SUBSTITUTE(SUBSTITUTE(SUBSTITUTE(SUBSTITUTE(SUBSTITUTE(TRIM(N949),".",""),"/",""),"-","")," ",""),"(",""),")",""),"+",""))=10,"ERRO: é fixo (ou falta o 9), use a coluna Telefone fixo","ERRO: DDD + 9 + 8 dígitos")))</f>
      </c>
      <c r="Y949" s="6">
        <f>IF(O949="","vazio",IF(AND(ISNUMBER(FIND("@",O949)),ISNUMBER(FIND(".",MID(O949,FIND("@",O949),99))),NOT(ISNUMBER(FIND(" ",TRIM(O949)))),NOT(ISNUMBER(FIND(";",O949))),NOT(ISNUMBER(FIND(",",O949)))),"OK","ERRO: um e-mail válido por linha"))</f>
      </c>
      <c r="Z949" s="6">
        <f>IF(AND(J949="",K949=""),"",IF(AND(J949&lt;&gt;"",K949&lt;&gt;""),"OK","pendente: só um nome (o GR completa ao converter)"))</f>
      </c>
      <c r="AA949" s="6">
        <f>IF(COUNTA(A949:S949)=0,"",IF(AND(A949&lt;&gt;"",B949&lt;&gt;"",C949&lt;&gt;"",D949&lt;&gt;"",E949&lt;&gt;"",F949&lt;&gt;"",G949&lt;&gt;"",H949&lt;&gt;"",OR(J949&lt;&gt;"",K949&lt;&gt;""),OR(M949&lt;&gt;"",N949&lt;&gt;"",O949&lt;&gt;"")),"OK","ERRO: faltam "&amp;IF(A949="","SDR; ","")&amp;IF(B949="","Proprietário; ","")&amp;IF(C949="","Origem; ","")&amp;IF(D949="","Temperatura; ","")&amp;IF(E949="","Segmento; ","")&amp;IF(F949="","Time/Cluster; ","")&amp;IF(G949="","CNPJ; ","")&amp;IF(H949="","Razão Social; ","")&amp;IF(AND(J949="",K949=""),"nome do contato; ","")&amp;IF(AND(M949="",N949="",O949=""),"telefone, celular ou e-mail; ","")))</f>
      </c>
      <c r="AB949" s="6">
        <f>IF(COUNTA(A949:S949)=0,"",IF(AND(U949="OK",V949="OK",LEFT(W949,4)&lt;&gt;"ERRO",LEFT(X949,4)&lt;&gt;"ERRO",LEFT(Y949,4)&lt;&gt;"ERRO",AA949="OK"),"OK","REVISAR"))</f>
      </c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5"/>
      <c r="K950" s="4"/>
      <c r="L950" s="4"/>
      <c r="M950" s="4"/>
      <c r="N950" s="4"/>
      <c r="O950" s="4"/>
      <c r="P950" s="4"/>
      <c r="Q950" s="4"/>
      <c r="R950" s="4"/>
      <c r="S950" s="4"/>
      <c r="T950" s="6">
        <f>IF(G950="","",SUBSTITUTE(SUBSTITUTE(SUBSTITUTE(SUBSTITUTE(SUBSTITUTE(SUBSTITUTE(SUBSTITUTE(TRIM(G950),".",""),"/",""),"-","")," ",""),"(",""),")",""),"+",""))</f>
      </c>
      <c r="U950" s="6">
        <f>IF(T950="","",IF(LEN(T950)&lt;&gt;14,"ERRO: "&amp;LEN(T950)&amp;" dígitos",IF(NOT(ISNUMBER(VALUE(T950))),"ERRO: não numérico",IF(LEN(SUBSTITUTE(T950,LEFT(T950,1),""))=0,"ERRO: dígitos repetidos",IF(AND(VALUE(MID(T950,13,1))=IF(MOD(SUMPRODUCT(--MID(T950,{1,2,3,4,5,6,7,8,9,10,11,12},1),{5,4,3,2,9,8,7,6,5,4,3,2}),11)&lt;2,0,11-MOD(SUMPRODUCT(--MID(T950,{1,2,3,4,5,6,7,8,9,10,11,12},1),{5,4,3,2,9,8,7,6,5,4,3,2}),11)),VALUE(MID(T950,14,1))=IF(MOD(SUMPRODUCT(--MID(T950,{1,2,3,4,5,6,7,8,9,10,11,12,13},1),{6,5,4,3,2,9,8,7,6,5,4,3,2}),11)&lt;2,0,11-MOD(SUMPRODUCT(--MID(T950,{1,2,3,4,5,6,7,8,9,10,11,12,13},1),{6,5,4,3,2,9,8,7,6,5,4,3,2}),11))),"OK","ERRO: dígito verificador")))))</f>
      </c>
      <c r="V950" s="6">
        <f>IF(T950="","",IF(COUNTIF($T$2:$T$1001,T950)&gt;1,"DUPLICADO","OK"))</f>
      </c>
      <c r="W950" s="6">
        <f>IF(M950="","vazio",IF(OR(AND(LEN(SUBSTITUTE(SUBSTITUTE(SUBSTITUTE(SUBSTITUTE(SUBSTITUTE(SUBSTITUTE(SUBSTITUTE(TRIM(M950),".",""),"/",""),"-","")," ",""),"(",""),")",""),"+",""))=10,LEFT(SUBSTITUTE(SUBSTITUTE(SUBSTITUTE(SUBSTITUTE(SUBSTITUTE(SUBSTITUTE(SUBSTITUTE(TRIM(M950),".",""),"/",""),"-","")," ",""),"(",""),")",""),"+",""),1)&lt;&gt;"0"),AND(LEN(SUBSTITUTE(SUBSTITUTE(SUBSTITUTE(SUBSTITUTE(SUBSTITUTE(SUBSTITUTE(SUBSTITUTE(TRIM(M950),".",""),"/",""),"-","")," ",""),"(",""),")",""),"+",""))=11,LEFT(SUBSTITUTE(SUBSTITUTE(SUBSTITUTE(SUBSTITUTE(SUBSTITUTE(SUBSTITUTE(SUBSTITUTE(TRIM(M950),".",""),"/",""),"-","")," ",""),"(",""),")",""),"+",""),4)="0800")),"OK",IF(AND(LEN(SUBSTITUTE(SUBSTITUTE(SUBSTITUTE(SUBSTITUTE(SUBSTITUTE(SUBSTITUTE(SUBSTITUTE(TRIM(M950),".",""),"/",""),"-","")," ",""),"(",""),")",""),"+",""))=11,MID(SUBSTITUTE(SUBSTITUTE(SUBSTITUTE(SUBSTITUTE(SUBSTITUTE(SUBSTITUTE(SUBSTITUTE(TRIM(M950),".",""),"/",""),"-","")," ",""),"(",""),")",""),"+",""),3,1)="9"),"ERRO: é celular, use a coluna Celular","ERRO: DDD + 8 dígitos ou 0800 + 7")))</f>
      </c>
      <c r="X950" s="6">
        <f>IF(N950="","vazio",IF(AND(LEN(SUBSTITUTE(SUBSTITUTE(SUBSTITUTE(SUBSTITUTE(SUBSTITUTE(SUBSTITUTE(SUBSTITUTE(TRIM(N950),".",""),"/",""),"-","")," ",""),"(",""),")",""),"+",""))=11,MID(SUBSTITUTE(SUBSTITUTE(SUBSTITUTE(SUBSTITUTE(SUBSTITUTE(SUBSTITUTE(SUBSTITUTE(TRIM(N950),".",""),"/",""),"-","")," ",""),"(",""),")",""),"+",""),3,1)="9",LEFT(SUBSTITUTE(SUBSTITUTE(SUBSTITUTE(SUBSTITUTE(SUBSTITUTE(SUBSTITUTE(SUBSTITUTE(TRIM(N950),".",""),"/",""),"-","")," ",""),"(",""),")",""),"+",""),1)&lt;&gt;"0"),"OK",IF(LEN(SUBSTITUTE(SUBSTITUTE(SUBSTITUTE(SUBSTITUTE(SUBSTITUTE(SUBSTITUTE(SUBSTITUTE(TRIM(N950),".",""),"/",""),"-","")," ",""),"(",""),")",""),"+",""))=10,"ERRO: é fixo (ou falta o 9), use a coluna Telefone fixo","ERRO: DDD + 9 + 8 dígitos")))</f>
      </c>
      <c r="Y950" s="6">
        <f>IF(O950="","vazio",IF(AND(ISNUMBER(FIND("@",O950)),ISNUMBER(FIND(".",MID(O950,FIND("@",O950),99))),NOT(ISNUMBER(FIND(" ",TRIM(O950)))),NOT(ISNUMBER(FIND(";",O950))),NOT(ISNUMBER(FIND(",",O950)))),"OK","ERRO: um e-mail válido por linha"))</f>
      </c>
      <c r="Z950" s="6">
        <f>IF(AND(J950="",K950=""),"",IF(AND(J950&lt;&gt;"",K950&lt;&gt;""),"OK","pendente: só um nome (o GR completa ao converter)"))</f>
      </c>
      <c r="AA950" s="6">
        <f>IF(COUNTA(A950:S950)=0,"",IF(AND(A950&lt;&gt;"",B950&lt;&gt;"",C950&lt;&gt;"",D950&lt;&gt;"",E950&lt;&gt;"",F950&lt;&gt;"",G950&lt;&gt;"",H950&lt;&gt;"",OR(J950&lt;&gt;"",K950&lt;&gt;""),OR(M950&lt;&gt;"",N950&lt;&gt;"",O950&lt;&gt;"")),"OK","ERRO: faltam "&amp;IF(A950="","SDR; ","")&amp;IF(B950="","Proprietário; ","")&amp;IF(C950="","Origem; ","")&amp;IF(D950="","Temperatura; ","")&amp;IF(E950="","Segmento; ","")&amp;IF(F950="","Time/Cluster; ","")&amp;IF(G950="","CNPJ; ","")&amp;IF(H950="","Razão Social; ","")&amp;IF(AND(J950="",K950=""),"nome do contato; ","")&amp;IF(AND(M950="",N950="",O950=""),"telefone, celular ou e-mail; ","")))</f>
      </c>
      <c r="AB950" s="6">
        <f>IF(COUNTA(A950:S950)=0,"",IF(AND(U950="OK",V950="OK",LEFT(W950,4)&lt;&gt;"ERRO",LEFT(X950,4)&lt;&gt;"ERRO",LEFT(Y950,4)&lt;&gt;"ERRO",AA950="OK"),"OK","REVISAR"))</f>
      </c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5"/>
      <c r="K951" s="4"/>
      <c r="L951" s="4"/>
      <c r="M951" s="4"/>
      <c r="N951" s="4"/>
      <c r="O951" s="4"/>
      <c r="P951" s="4"/>
      <c r="Q951" s="4"/>
      <c r="R951" s="4"/>
      <c r="S951" s="4"/>
      <c r="T951" s="6">
        <f>IF(G951="","",SUBSTITUTE(SUBSTITUTE(SUBSTITUTE(SUBSTITUTE(SUBSTITUTE(SUBSTITUTE(SUBSTITUTE(TRIM(G951),".",""),"/",""),"-","")," ",""),"(",""),")",""),"+",""))</f>
      </c>
      <c r="U951" s="6">
        <f>IF(T951="","",IF(LEN(T951)&lt;&gt;14,"ERRO: "&amp;LEN(T951)&amp;" dígitos",IF(NOT(ISNUMBER(VALUE(T951))),"ERRO: não numérico",IF(LEN(SUBSTITUTE(T951,LEFT(T951,1),""))=0,"ERRO: dígitos repetidos",IF(AND(VALUE(MID(T951,13,1))=IF(MOD(SUMPRODUCT(--MID(T951,{1,2,3,4,5,6,7,8,9,10,11,12},1),{5,4,3,2,9,8,7,6,5,4,3,2}),11)&lt;2,0,11-MOD(SUMPRODUCT(--MID(T951,{1,2,3,4,5,6,7,8,9,10,11,12},1),{5,4,3,2,9,8,7,6,5,4,3,2}),11)),VALUE(MID(T951,14,1))=IF(MOD(SUMPRODUCT(--MID(T951,{1,2,3,4,5,6,7,8,9,10,11,12,13},1),{6,5,4,3,2,9,8,7,6,5,4,3,2}),11)&lt;2,0,11-MOD(SUMPRODUCT(--MID(T951,{1,2,3,4,5,6,7,8,9,10,11,12,13},1),{6,5,4,3,2,9,8,7,6,5,4,3,2}),11))),"OK","ERRO: dígito verificador")))))</f>
      </c>
      <c r="V951" s="6">
        <f>IF(T951="","",IF(COUNTIF($T$2:$T$1001,T951)&gt;1,"DUPLICADO","OK"))</f>
      </c>
      <c r="W951" s="6">
        <f>IF(M951="","vazio",IF(OR(AND(LEN(SUBSTITUTE(SUBSTITUTE(SUBSTITUTE(SUBSTITUTE(SUBSTITUTE(SUBSTITUTE(SUBSTITUTE(TRIM(M951),".",""),"/",""),"-","")," ",""),"(",""),")",""),"+",""))=10,LEFT(SUBSTITUTE(SUBSTITUTE(SUBSTITUTE(SUBSTITUTE(SUBSTITUTE(SUBSTITUTE(SUBSTITUTE(TRIM(M951),".",""),"/",""),"-","")," ",""),"(",""),")",""),"+",""),1)&lt;&gt;"0"),AND(LEN(SUBSTITUTE(SUBSTITUTE(SUBSTITUTE(SUBSTITUTE(SUBSTITUTE(SUBSTITUTE(SUBSTITUTE(TRIM(M951),".",""),"/",""),"-","")," ",""),"(",""),")",""),"+",""))=11,LEFT(SUBSTITUTE(SUBSTITUTE(SUBSTITUTE(SUBSTITUTE(SUBSTITUTE(SUBSTITUTE(SUBSTITUTE(TRIM(M951),".",""),"/",""),"-","")," ",""),"(",""),")",""),"+",""),4)="0800")),"OK",IF(AND(LEN(SUBSTITUTE(SUBSTITUTE(SUBSTITUTE(SUBSTITUTE(SUBSTITUTE(SUBSTITUTE(SUBSTITUTE(TRIM(M951),".",""),"/",""),"-","")," ",""),"(",""),")",""),"+",""))=11,MID(SUBSTITUTE(SUBSTITUTE(SUBSTITUTE(SUBSTITUTE(SUBSTITUTE(SUBSTITUTE(SUBSTITUTE(TRIM(M951),".",""),"/",""),"-","")," ",""),"(",""),")",""),"+",""),3,1)="9"),"ERRO: é celular, use a coluna Celular","ERRO: DDD + 8 dígitos ou 0800 + 7")))</f>
      </c>
      <c r="X951" s="6">
        <f>IF(N951="","vazio",IF(AND(LEN(SUBSTITUTE(SUBSTITUTE(SUBSTITUTE(SUBSTITUTE(SUBSTITUTE(SUBSTITUTE(SUBSTITUTE(TRIM(N951),".",""),"/",""),"-","")," ",""),"(",""),")",""),"+",""))=11,MID(SUBSTITUTE(SUBSTITUTE(SUBSTITUTE(SUBSTITUTE(SUBSTITUTE(SUBSTITUTE(SUBSTITUTE(TRIM(N951),".",""),"/",""),"-","")," ",""),"(",""),")",""),"+",""),3,1)="9",LEFT(SUBSTITUTE(SUBSTITUTE(SUBSTITUTE(SUBSTITUTE(SUBSTITUTE(SUBSTITUTE(SUBSTITUTE(TRIM(N951),".",""),"/",""),"-","")," ",""),"(",""),")",""),"+",""),1)&lt;&gt;"0"),"OK",IF(LEN(SUBSTITUTE(SUBSTITUTE(SUBSTITUTE(SUBSTITUTE(SUBSTITUTE(SUBSTITUTE(SUBSTITUTE(TRIM(N951),".",""),"/",""),"-","")," ",""),"(",""),")",""),"+",""))=10,"ERRO: é fixo (ou falta o 9), use a coluna Telefone fixo","ERRO: DDD + 9 + 8 dígitos")))</f>
      </c>
      <c r="Y951" s="6">
        <f>IF(O951="","vazio",IF(AND(ISNUMBER(FIND("@",O951)),ISNUMBER(FIND(".",MID(O951,FIND("@",O951),99))),NOT(ISNUMBER(FIND(" ",TRIM(O951)))),NOT(ISNUMBER(FIND(";",O951))),NOT(ISNUMBER(FIND(",",O951)))),"OK","ERRO: um e-mail válido por linha"))</f>
      </c>
      <c r="Z951" s="6">
        <f>IF(AND(J951="",K951=""),"",IF(AND(J951&lt;&gt;"",K951&lt;&gt;""),"OK","pendente: só um nome (o GR completa ao converter)"))</f>
      </c>
      <c r="AA951" s="6">
        <f>IF(COUNTA(A951:S951)=0,"",IF(AND(A951&lt;&gt;"",B951&lt;&gt;"",C951&lt;&gt;"",D951&lt;&gt;"",E951&lt;&gt;"",F951&lt;&gt;"",G951&lt;&gt;"",H951&lt;&gt;"",OR(J951&lt;&gt;"",K951&lt;&gt;""),OR(M951&lt;&gt;"",N951&lt;&gt;"",O951&lt;&gt;"")),"OK","ERRO: faltam "&amp;IF(A951="","SDR; ","")&amp;IF(B951="","Proprietário; ","")&amp;IF(C951="","Origem; ","")&amp;IF(D951="","Temperatura; ","")&amp;IF(E951="","Segmento; ","")&amp;IF(F951="","Time/Cluster; ","")&amp;IF(G951="","CNPJ; ","")&amp;IF(H951="","Razão Social; ","")&amp;IF(AND(J951="",K951=""),"nome do contato; ","")&amp;IF(AND(M951="",N951="",O951=""),"telefone, celular ou e-mail; ","")))</f>
      </c>
      <c r="AB951" s="6">
        <f>IF(COUNTA(A951:S951)=0,"",IF(AND(U951="OK",V951="OK",LEFT(W951,4)&lt;&gt;"ERRO",LEFT(X951,4)&lt;&gt;"ERRO",LEFT(Y951,4)&lt;&gt;"ERRO",AA951="OK"),"OK","REVISAR"))</f>
      </c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5"/>
      <c r="K952" s="4"/>
      <c r="L952" s="4"/>
      <c r="M952" s="4"/>
      <c r="N952" s="4"/>
      <c r="O952" s="4"/>
      <c r="P952" s="4"/>
      <c r="Q952" s="4"/>
      <c r="R952" s="4"/>
      <c r="S952" s="4"/>
      <c r="T952" s="6">
        <f>IF(G952="","",SUBSTITUTE(SUBSTITUTE(SUBSTITUTE(SUBSTITUTE(SUBSTITUTE(SUBSTITUTE(SUBSTITUTE(TRIM(G952),".",""),"/",""),"-","")," ",""),"(",""),")",""),"+",""))</f>
      </c>
      <c r="U952" s="6">
        <f>IF(T952="","",IF(LEN(T952)&lt;&gt;14,"ERRO: "&amp;LEN(T952)&amp;" dígitos",IF(NOT(ISNUMBER(VALUE(T952))),"ERRO: não numérico",IF(LEN(SUBSTITUTE(T952,LEFT(T952,1),""))=0,"ERRO: dígitos repetidos",IF(AND(VALUE(MID(T952,13,1))=IF(MOD(SUMPRODUCT(--MID(T952,{1,2,3,4,5,6,7,8,9,10,11,12},1),{5,4,3,2,9,8,7,6,5,4,3,2}),11)&lt;2,0,11-MOD(SUMPRODUCT(--MID(T952,{1,2,3,4,5,6,7,8,9,10,11,12},1),{5,4,3,2,9,8,7,6,5,4,3,2}),11)),VALUE(MID(T952,14,1))=IF(MOD(SUMPRODUCT(--MID(T952,{1,2,3,4,5,6,7,8,9,10,11,12,13},1),{6,5,4,3,2,9,8,7,6,5,4,3,2}),11)&lt;2,0,11-MOD(SUMPRODUCT(--MID(T952,{1,2,3,4,5,6,7,8,9,10,11,12,13},1),{6,5,4,3,2,9,8,7,6,5,4,3,2}),11))),"OK","ERRO: dígito verificador")))))</f>
      </c>
      <c r="V952" s="6">
        <f>IF(T952="","",IF(COUNTIF($T$2:$T$1001,T952)&gt;1,"DUPLICADO","OK"))</f>
      </c>
      <c r="W952" s="6">
        <f>IF(M952="","vazio",IF(OR(AND(LEN(SUBSTITUTE(SUBSTITUTE(SUBSTITUTE(SUBSTITUTE(SUBSTITUTE(SUBSTITUTE(SUBSTITUTE(TRIM(M952),".",""),"/",""),"-","")," ",""),"(",""),")",""),"+",""))=10,LEFT(SUBSTITUTE(SUBSTITUTE(SUBSTITUTE(SUBSTITUTE(SUBSTITUTE(SUBSTITUTE(SUBSTITUTE(TRIM(M952),".",""),"/",""),"-","")," ",""),"(",""),")",""),"+",""),1)&lt;&gt;"0"),AND(LEN(SUBSTITUTE(SUBSTITUTE(SUBSTITUTE(SUBSTITUTE(SUBSTITUTE(SUBSTITUTE(SUBSTITUTE(TRIM(M952),".",""),"/",""),"-","")," ",""),"(",""),")",""),"+",""))=11,LEFT(SUBSTITUTE(SUBSTITUTE(SUBSTITUTE(SUBSTITUTE(SUBSTITUTE(SUBSTITUTE(SUBSTITUTE(TRIM(M952),".",""),"/",""),"-","")," ",""),"(",""),")",""),"+",""),4)="0800")),"OK",IF(AND(LEN(SUBSTITUTE(SUBSTITUTE(SUBSTITUTE(SUBSTITUTE(SUBSTITUTE(SUBSTITUTE(SUBSTITUTE(TRIM(M952),".",""),"/",""),"-","")," ",""),"(",""),")",""),"+",""))=11,MID(SUBSTITUTE(SUBSTITUTE(SUBSTITUTE(SUBSTITUTE(SUBSTITUTE(SUBSTITUTE(SUBSTITUTE(TRIM(M952),".",""),"/",""),"-","")," ",""),"(",""),")",""),"+",""),3,1)="9"),"ERRO: é celular, use a coluna Celular","ERRO: DDD + 8 dígitos ou 0800 + 7")))</f>
      </c>
      <c r="X952" s="6">
        <f>IF(N952="","vazio",IF(AND(LEN(SUBSTITUTE(SUBSTITUTE(SUBSTITUTE(SUBSTITUTE(SUBSTITUTE(SUBSTITUTE(SUBSTITUTE(TRIM(N952),".",""),"/",""),"-","")," ",""),"(",""),")",""),"+",""))=11,MID(SUBSTITUTE(SUBSTITUTE(SUBSTITUTE(SUBSTITUTE(SUBSTITUTE(SUBSTITUTE(SUBSTITUTE(TRIM(N952),".",""),"/",""),"-","")," ",""),"(",""),")",""),"+",""),3,1)="9",LEFT(SUBSTITUTE(SUBSTITUTE(SUBSTITUTE(SUBSTITUTE(SUBSTITUTE(SUBSTITUTE(SUBSTITUTE(TRIM(N952),".",""),"/",""),"-","")," ",""),"(",""),")",""),"+",""),1)&lt;&gt;"0"),"OK",IF(LEN(SUBSTITUTE(SUBSTITUTE(SUBSTITUTE(SUBSTITUTE(SUBSTITUTE(SUBSTITUTE(SUBSTITUTE(TRIM(N952),".",""),"/",""),"-","")," ",""),"(",""),")",""),"+",""))=10,"ERRO: é fixo (ou falta o 9), use a coluna Telefone fixo","ERRO: DDD + 9 + 8 dígitos")))</f>
      </c>
      <c r="Y952" s="6">
        <f>IF(O952="","vazio",IF(AND(ISNUMBER(FIND("@",O952)),ISNUMBER(FIND(".",MID(O952,FIND("@",O952),99))),NOT(ISNUMBER(FIND(" ",TRIM(O952)))),NOT(ISNUMBER(FIND(";",O952))),NOT(ISNUMBER(FIND(",",O952)))),"OK","ERRO: um e-mail válido por linha"))</f>
      </c>
      <c r="Z952" s="6">
        <f>IF(AND(J952="",K952=""),"",IF(AND(J952&lt;&gt;"",K952&lt;&gt;""),"OK","pendente: só um nome (o GR completa ao converter)"))</f>
      </c>
      <c r="AA952" s="6">
        <f>IF(COUNTA(A952:S952)=0,"",IF(AND(A952&lt;&gt;"",B952&lt;&gt;"",C952&lt;&gt;"",D952&lt;&gt;"",E952&lt;&gt;"",F952&lt;&gt;"",G952&lt;&gt;"",H952&lt;&gt;"",OR(J952&lt;&gt;"",K952&lt;&gt;""),OR(M952&lt;&gt;"",N952&lt;&gt;"",O952&lt;&gt;"")),"OK","ERRO: faltam "&amp;IF(A952="","SDR; ","")&amp;IF(B952="","Proprietário; ","")&amp;IF(C952="","Origem; ","")&amp;IF(D952="","Temperatura; ","")&amp;IF(E952="","Segmento; ","")&amp;IF(F952="","Time/Cluster; ","")&amp;IF(G952="","CNPJ; ","")&amp;IF(H952="","Razão Social; ","")&amp;IF(AND(J952="",K952=""),"nome do contato; ","")&amp;IF(AND(M952="",N952="",O952=""),"telefone, celular ou e-mail; ","")))</f>
      </c>
      <c r="AB952" s="6">
        <f>IF(COUNTA(A952:S952)=0,"",IF(AND(U952="OK",V952="OK",LEFT(W952,4)&lt;&gt;"ERRO",LEFT(X952,4)&lt;&gt;"ERRO",LEFT(Y952,4)&lt;&gt;"ERRO",AA952="OK"),"OK","REVISAR"))</f>
      </c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5"/>
      <c r="K953" s="4"/>
      <c r="L953" s="4"/>
      <c r="M953" s="4"/>
      <c r="N953" s="4"/>
      <c r="O953" s="4"/>
      <c r="P953" s="4"/>
      <c r="Q953" s="4"/>
      <c r="R953" s="4"/>
      <c r="S953" s="4"/>
      <c r="T953" s="6">
        <f>IF(G953="","",SUBSTITUTE(SUBSTITUTE(SUBSTITUTE(SUBSTITUTE(SUBSTITUTE(SUBSTITUTE(SUBSTITUTE(TRIM(G953),".",""),"/",""),"-","")," ",""),"(",""),")",""),"+",""))</f>
      </c>
      <c r="U953" s="6">
        <f>IF(T953="","",IF(LEN(T953)&lt;&gt;14,"ERRO: "&amp;LEN(T953)&amp;" dígitos",IF(NOT(ISNUMBER(VALUE(T953))),"ERRO: não numérico",IF(LEN(SUBSTITUTE(T953,LEFT(T953,1),""))=0,"ERRO: dígitos repetidos",IF(AND(VALUE(MID(T953,13,1))=IF(MOD(SUMPRODUCT(--MID(T953,{1,2,3,4,5,6,7,8,9,10,11,12},1),{5,4,3,2,9,8,7,6,5,4,3,2}),11)&lt;2,0,11-MOD(SUMPRODUCT(--MID(T953,{1,2,3,4,5,6,7,8,9,10,11,12},1),{5,4,3,2,9,8,7,6,5,4,3,2}),11)),VALUE(MID(T953,14,1))=IF(MOD(SUMPRODUCT(--MID(T953,{1,2,3,4,5,6,7,8,9,10,11,12,13},1),{6,5,4,3,2,9,8,7,6,5,4,3,2}),11)&lt;2,0,11-MOD(SUMPRODUCT(--MID(T953,{1,2,3,4,5,6,7,8,9,10,11,12,13},1),{6,5,4,3,2,9,8,7,6,5,4,3,2}),11))),"OK","ERRO: dígito verificador")))))</f>
      </c>
      <c r="V953" s="6">
        <f>IF(T953="","",IF(COUNTIF($T$2:$T$1001,T953)&gt;1,"DUPLICADO","OK"))</f>
      </c>
      <c r="W953" s="6">
        <f>IF(M953="","vazio",IF(OR(AND(LEN(SUBSTITUTE(SUBSTITUTE(SUBSTITUTE(SUBSTITUTE(SUBSTITUTE(SUBSTITUTE(SUBSTITUTE(TRIM(M953),".",""),"/",""),"-","")," ",""),"(",""),")",""),"+",""))=10,LEFT(SUBSTITUTE(SUBSTITUTE(SUBSTITUTE(SUBSTITUTE(SUBSTITUTE(SUBSTITUTE(SUBSTITUTE(TRIM(M953),".",""),"/",""),"-","")," ",""),"(",""),")",""),"+",""),1)&lt;&gt;"0"),AND(LEN(SUBSTITUTE(SUBSTITUTE(SUBSTITUTE(SUBSTITUTE(SUBSTITUTE(SUBSTITUTE(SUBSTITUTE(TRIM(M953),".",""),"/",""),"-","")," ",""),"(",""),")",""),"+",""))=11,LEFT(SUBSTITUTE(SUBSTITUTE(SUBSTITUTE(SUBSTITUTE(SUBSTITUTE(SUBSTITUTE(SUBSTITUTE(TRIM(M953),".",""),"/",""),"-","")," ",""),"(",""),")",""),"+",""),4)="0800")),"OK",IF(AND(LEN(SUBSTITUTE(SUBSTITUTE(SUBSTITUTE(SUBSTITUTE(SUBSTITUTE(SUBSTITUTE(SUBSTITUTE(TRIM(M953),".",""),"/",""),"-","")," ",""),"(",""),")",""),"+",""))=11,MID(SUBSTITUTE(SUBSTITUTE(SUBSTITUTE(SUBSTITUTE(SUBSTITUTE(SUBSTITUTE(SUBSTITUTE(TRIM(M953),".",""),"/",""),"-","")," ",""),"(",""),")",""),"+",""),3,1)="9"),"ERRO: é celular, use a coluna Celular","ERRO: DDD + 8 dígitos ou 0800 + 7")))</f>
      </c>
      <c r="X953" s="6">
        <f>IF(N953="","vazio",IF(AND(LEN(SUBSTITUTE(SUBSTITUTE(SUBSTITUTE(SUBSTITUTE(SUBSTITUTE(SUBSTITUTE(SUBSTITUTE(TRIM(N953),".",""),"/",""),"-","")," ",""),"(",""),")",""),"+",""))=11,MID(SUBSTITUTE(SUBSTITUTE(SUBSTITUTE(SUBSTITUTE(SUBSTITUTE(SUBSTITUTE(SUBSTITUTE(TRIM(N953),".",""),"/",""),"-","")," ",""),"(",""),")",""),"+",""),3,1)="9",LEFT(SUBSTITUTE(SUBSTITUTE(SUBSTITUTE(SUBSTITUTE(SUBSTITUTE(SUBSTITUTE(SUBSTITUTE(TRIM(N953),".",""),"/",""),"-","")," ",""),"(",""),")",""),"+",""),1)&lt;&gt;"0"),"OK",IF(LEN(SUBSTITUTE(SUBSTITUTE(SUBSTITUTE(SUBSTITUTE(SUBSTITUTE(SUBSTITUTE(SUBSTITUTE(TRIM(N953),".",""),"/",""),"-","")," ",""),"(",""),")",""),"+",""))=10,"ERRO: é fixo (ou falta o 9), use a coluna Telefone fixo","ERRO: DDD + 9 + 8 dígitos")))</f>
      </c>
      <c r="Y953" s="6">
        <f>IF(O953="","vazio",IF(AND(ISNUMBER(FIND("@",O953)),ISNUMBER(FIND(".",MID(O953,FIND("@",O953),99))),NOT(ISNUMBER(FIND(" ",TRIM(O953)))),NOT(ISNUMBER(FIND(";",O953))),NOT(ISNUMBER(FIND(",",O953)))),"OK","ERRO: um e-mail válido por linha"))</f>
      </c>
      <c r="Z953" s="6">
        <f>IF(AND(J953="",K953=""),"",IF(AND(J953&lt;&gt;"",K953&lt;&gt;""),"OK","pendente: só um nome (o GR completa ao converter)"))</f>
      </c>
      <c r="AA953" s="6">
        <f>IF(COUNTA(A953:S953)=0,"",IF(AND(A953&lt;&gt;"",B953&lt;&gt;"",C953&lt;&gt;"",D953&lt;&gt;"",E953&lt;&gt;"",F953&lt;&gt;"",G953&lt;&gt;"",H953&lt;&gt;"",OR(J953&lt;&gt;"",K953&lt;&gt;""),OR(M953&lt;&gt;"",N953&lt;&gt;"",O953&lt;&gt;"")),"OK","ERRO: faltam "&amp;IF(A953="","SDR; ","")&amp;IF(B953="","Proprietário; ","")&amp;IF(C953="","Origem; ","")&amp;IF(D953="","Temperatura; ","")&amp;IF(E953="","Segmento; ","")&amp;IF(F953="","Time/Cluster; ","")&amp;IF(G953="","CNPJ; ","")&amp;IF(H953="","Razão Social; ","")&amp;IF(AND(J953="",K953=""),"nome do contato; ","")&amp;IF(AND(M953="",N953="",O953=""),"telefone, celular ou e-mail; ","")))</f>
      </c>
      <c r="AB953" s="6">
        <f>IF(COUNTA(A953:S953)=0,"",IF(AND(U953="OK",V953="OK",LEFT(W953,4)&lt;&gt;"ERRO",LEFT(X953,4)&lt;&gt;"ERRO",LEFT(Y953,4)&lt;&gt;"ERRO",AA953="OK"),"OK","REVISAR"))</f>
      </c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5"/>
      <c r="K954" s="4"/>
      <c r="L954" s="4"/>
      <c r="M954" s="4"/>
      <c r="N954" s="4"/>
      <c r="O954" s="4"/>
      <c r="P954" s="4"/>
      <c r="Q954" s="4"/>
      <c r="R954" s="4"/>
      <c r="S954" s="4"/>
      <c r="T954" s="6">
        <f>IF(G954="","",SUBSTITUTE(SUBSTITUTE(SUBSTITUTE(SUBSTITUTE(SUBSTITUTE(SUBSTITUTE(SUBSTITUTE(TRIM(G954),".",""),"/",""),"-","")," ",""),"(",""),")",""),"+",""))</f>
      </c>
      <c r="U954" s="6">
        <f>IF(T954="","",IF(LEN(T954)&lt;&gt;14,"ERRO: "&amp;LEN(T954)&amp;" dígitos",IF(NOT(ISNUMBER(VALUE(T954))),"ERRO: não numérico",IF(LEN(SUBSTITUTE(T954,LEFT(T954,1),""))=0,"ERRO: dígitos repetidos",IF(AND(VALUE(MID(T954,13,1))=IF(MOD(SUMPRODUCT(--MID(T954,{1,2,3,4,5,6,7,8,9,10,11,12},1),{5,4,3,2,9,8,7,6,5,4,3,2}),11)&lt;2,0,11-MOD(SUMPRODUCT(--MID(T954,{1,2,3,4,5,6,7,8,9,10,11,12},1),{5,4,3,2,9,8,7,6,5,4,3,2}),11)),VALUE(MID(T954,14,1))=IF(MOD(SUMPRODUCT(--MID(T954,{1,2,3,4,5,6,7,8,9,10,11,12,13},1),{6,5,4,3,2,9,8,7,6,5,4,3,2}),11)&lt;2,0,11-MOD(SUMPRODUCT(--MID(T954,{1,2,3,4,5,6,7,8,9,10,11,12,13},1),{6,5,4,3,2,9,8,7,6,5,4,3,2}),11))),"OK","ERRO: dígito verificador")))))</f>
      </c>
      <c r="V954" s="6">
        <f>IF(T954="","",IF(COUNTIF($T$2:$T$1001,T954)&gt;1,"DUPLICADO","OK"))</f>
      </c>
      <c r="W954" s="6">
        <f>IF(M954="","vazio",IF(OR(AND(LEN(SUBSTITUTE(SUBSTITUTE(SUBSTITUTE(SUBSTITUTE(SUBSTITUTE(SUBSTITUTE(SUBSTITUTE(TRIM(M954),".",""),"/",""),"-","")," ",""),"(",""),")",""),"+",""))=10,LEFT(SUBSTITUTE(SUBSTITUTE(SUBSTITUTE(SUBSTITUTE(SUBSTITUTE(SUBSTITUTE(SUBSTITUTE(TRIM(M954),".",""),"/",""),"-","")," ",""),"(",""),")",""),"+",""),1)&lt;&gt;"0"),AND(LEN(SUBSTITUTE(SUBSTITUTE(SUBSTITUTE(SUBSTITUTE(SUBSTITUTE(SUBSTITUTE(SUBSTITUTE(TRIM(M954),".",""),"/",""),"-","")," ",""),"(",""),")",""),"+",""))=11,LEFT(SUBSTITUTE(SUBSTITUTE(SUBSTITUTE(SUBSTITUTE(SUBSTITUTE(SUBSTITUTE(SUBSTITUTE(TRIM(M954),".",""),"/",""),"-","")," ",""),"(",""),")",""),"+",""),4)="0800")),"OK",IF(AND(LEN(SUBSTITUTE(SUBSTITUTE(SUBSTITUTE(SUBSTITUTE(SUBSTITUTE(SUBSTITUTE(SUBSTITUTE(TRIM(M954),".",""),"/",""),"-","")," ",""),"(",""),")",""),"+",""))=11,MID(SUBSTITUTE(SUBSTITUTE(SUBSTITUTE(SUBSTITUTE(SUBSTITUTE(SUBSTITUTE(SUBSTITUTE(TRIM(M954),".",""),"/",""),"-","")," ",""),"(",""),")",""),"+",""),3,1)="9"),"ERRO: é celular, use a coluna Celular","ERRO: DDD + 8 dígitos ou 0800 + 7")))</f>
      </c>
      <c r="X954" s="6">
        <f>IF(N954="","vazio",IF(AND(LEN(SUBSTITUTE(SUBSTITUTE(SUBSTITUTE(SUBSTITUTE(SUBSTITUTE(SUBSTITUTE(SUBSTITUTE(TRIM(N954),".",""),"/",""),"-","")," ",""),"(",""),")",""),"+",""))=11,MID(SUBSTITUTE(SUBSTITUTE(SUBSTITUTE(SUBSTITUTE(SUBSTITUTE(SUBSTITUTE(SUBSTITUTE(TRIM(N954),".",""),"/",""),"-","")," ",""),"(",""),")",""),"+",""),3,1)="9",LEFT(SUBSTITUTE(SUBSTITUTE(SUBSTITUTE(SUBSTITUTE(SUBSTITUTE(SUBSTITUTE(SUBSTITUTE(TRIM(N954),".",""),"/",""),"-","")," ",""),"(",""),")",""),"+",""),1)&lt;&gt;"0"),"OK",IF(LEN(SUBSTITUTE(SUBSTITUTE(SUBSTITUTE(SUBSTITUTE(SUBSTITUTE(SUBSTITUTE(SUBSTITUTE(TRIM(N954),".",""),"/",""),"-","")," ",""),"(",""),")",""),"+",""))=10,"ERRO: é fixo (ou falta o 9), use a coluna Telefone fixo","ERRO: DDD + 9 + 8 dígitos")))</f>
      </c>
      <c r="Y954" s="6">
        <f>IF(O954="","vazio",IF(AND(ISNUMBER(FIND("@",O954)),ISNUMBER(FIND(".",MID(O954,FIND("@",O954),99))),NOT(ISNUMBER(FIND(" ",TRIM(O954)))),NOT(ISNUMBER(FIND(";",O954))),NOT(ISNUMBER(FIND(",",O954)))),"OK","ERRO: um e-mail válido por linha"))</f>
      </c>
      <c r="Z954" s="6">
        <f>IF(AND(J954="",K954=""),"",IF(AND(J954&lt;&gt;"",K954&lt;&gt;""),"OK","pendente: só um nome (o GR completa ao converter)"))</f>
      </c>
      <c r="AA954" s="6">
        <f>IF(COUNTA(A954:S954)=0,"",IF(AND(A954&lt;&gt;"",B954&lt;&gt;"",C954&lt;&gt;"",D954&lt;&gt;"",E954&lt;&gt;"",F954&lt;&gt;"",G954&lt;&gt;"",H954&lt;&gt;"",OR(J954&lt;&gt;"",K954&lt;&gt;""),OR(M954&lt;&gt;"",N954&lt;&gt;"",O954&lt;&gt;"")),"OK","ERRO: faltam "&amp;IF(A954="","SDR; ","")&amp;IF(B954="","Proprietário; ","")&amp;IF(C954="","Origem; ","")&amp;IF(D954="","Temperatura; ","")&amp;IF(E954="","Segmento; ","")&amp;IF(F954="","Time/Cluster; ","")&amp;IF(G954="","CNPJ; ","")&amp;IF(H954="","Razão Social; ","")&amp;IF(AND(J954="",K954=""),"nome do contato; ","")&amp;IF(AND(M954="",N954="",O954=""),"telefone, celular ou e-mail; ","")))</f>
      </c>
      <c r="AB954" s="6">
        <f>IF(COUNTA(A954:S954)=0,"",IF(AND(U954="OK",V954="OK",LEFT(W954,4)&lt;&gt;"ERRO",LEFT(X954,4)&lt;&gt;"ERRO",LEFT(Y954,4)&lt;&gt;"ERRO",AA954="OK"),"OK","REVISAR"))</f>
      </c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5"/>
      <c r="K955" s="4"/>
      <c r="L955" s="4"/>
      <c r="M955" s="4"/>
      <c r="N955" s="4"/>
      <c r="O955" s="4"/>
      <c r="P955" s="4"/>
      <c r="Q955" s="4"/>
      <c r="R955" s="4"/>
      <c r="S955" s="4"/>
      <c r="T955" s="6">
        <f>IF(G955="","",SUBSTITUTE(SUBSTITUTE(SUBSTITUTE(SUBSTITUTE(SUBSTITUTE(SUBSTITUTE(SUBSTITUTE(TRIM(G955),".",""),"/",""),"-","")," ",""),"(",""),")",""),"+",""))</f>
      </c>
      <c r="U955" s="6">
        <f>IF(T955="","",IF(LEN(T955)&lt;&gt;14,"ERRO: "&amp;LEN(T955)&amp;" dígitos",IF(NOT(ISNUMBER(VALUE(T955))),"ERRO: não numérico",IF(LEN(SUBSTITUTE(T955,LEFT(T955,1),""))=0,"ERRO: dígitos repetidos",IF(AND(VALUE(MID(T955,13,1))=IF(MOD(SUMPRODUCT(--MID(T955,{1,2,3,4,5,6,7,8,9,10,11,12},1),{5,4,3,2,9,8,7,6,5,4,3,2}),11)&lt;2,0,11-MOD(SUMPRODUCT(--MID(T955,{1,2,3,4,5,6,7,8,9,10,11,12},1),{5,4,3,2,9,8,7,6,5,4,3,2}),11)),VALUE(MID(T955,14,1))=IF(MOD(SUMPRODUCT(--MID(T955,{1,2,3,4,5,6,7,8,9,10,11,12,13},1),{6,5,4,3,2,9,8,7,6,5,4,3,2}),11)&lt;2,0,11-MOD(SUMPRODUCT(--MID(T955,{1,2,3,4,5,6,7,8,9,10,11,12,13},1),{6,5,4,3,2,9,8,7,6,5,4,3,2}),11))),"OK","ERRO: dígito verificador")))))</f>
      </c>
      <c r="V955" s="6">
        <f>IF(T955="","",IF(COUNTIF($T$2:$T$1001,T955)&gt;1,"DUPLICADO","OK"))</f>
      </c>
      <c r="W955" s="6">
        <f>IF(M955="","vazio",IF(OR(AND(LEN(SUBSTITUTE(SUBSTITUTE(SUBSTITUTE(SUBSTITUTE(SUBSTITUTE(SUBSTITUTE(SUBSTITUTE(TRIM(M955),".",""),"/",""),"-","")," ",""),"(",""),")",""),"+",""))=10,LEFT(SUBSTITUTE(SUBSTITUTE(SUBSTITUTE(SUBSTITUTE(SUBSTITUTE(SUBSTITUTE(SUBSTITUTE(TRIM(M955),".",""),"/",""),"-","")," ",""),"(",""),")",""),"+",""),1)&lt;&gt;"0"),AND(LEN(SUBSTITUTE(SUBSTITUTE(SUBSTITUTE(SUBSTITUTE(SUBSTITUTE(SUBSTITUTE(SUBSTITUTE(TRIM(M955),".",""),"/",""),"-","")," ",""),"(",""),")",""),"+",""))=11,LEFT(SUBSTITUTE(SUBSTITUTE(SUBSTITUTE(SUBSTITUTE(SUBSTITUTE(SUBSTITUTE(SUBSTITUTE(TRIM(M955),".",""),"/",""),"-","")," ",""),"(",""),")",""),"+",""),4)="0800")),"OK",IF(AND(LEN(SUBSTITUTE(SUBSTITUTE(SUBSTITUTE(SUBSTITUTE(SUBSTITUTE(SUBSTITUTE(SUBSTITUTE(TRIM(M955),".",""),"/",""),"-","")," ",""),"(",""),")",""),"+",""))=11,MID(SUBSTITUTE(SUBSTITUTE(SUBSTITUTE(SUBSTITUTE(SUBSTITUTE(SUBSTITUTE(SUBSTITUTE(TRIM(M955),".",""),"/",""),"-","")," ",""),"(",""),")",""),"+",""),3,1)="9"),"ERRO: é celular, use a coluna Celular","ERRO: DDD + 8 dígitos ou 0800 + 7")))</f>
      </c>
      <c r="X955" s="6">
        <f>IF(N955="","vazio",IF(AND(LEN(SUBSTITUTE(SUBSTITUTE(SUBSTITUTE(SUBSTITUTE(SUBSTITUTE(SUBSTITUTE(SUBSTITUTE(TRIM(N955),".",""),"/",""),"-","")," ",""),"(",""),")",""),"+",""))=11,MID(SUBSTITUTE(SUBSTITUTE(SUBSTITUTE(SUBSTITUTE(SUBSTITUTE(SUBSTITUTE(SUBSTITUTE(TRIM(N955),".",""),"/",""),"-","")," ",""),"(",""),")",""),"+",""),3,1)="9",LEFT(SUBSTITUTE(SUBSTITUTE(SUBSTITUTE(SUBSTITUTE(SUBSTITUTE(SUBSTITUTE(SUBSTITUTE(TRIM(N955),".",""),"/",""),"-","")," ",""),"(",""),")",""),"+",""),1)&lt;&gt;"0"),"OK",IF(LEN(SUBSTITUTE(SUBSTITUTE(SUBSTITUTE(SUBSTITUTE(SUBSTITUTE(SUBSTITUTE(SUBSTITUTE(TRIM(N955),".",""),"/",""),"-","")," ",""),"(",""),")",""),"+",""))=10,"ERRO: é fixo (ou falta o 9), use a coluna Telefone fixo","ERRO: DDD + 9 + 8 dígitos")))</f>
      </c>
      <c r="Y955" s="6">
        <f>IF(O955="","vazio",IF(AND(ISNUMBER(FIND("@",O955)),ISNUMBER(FIND(".",MID(O955,FIND("@",O955),99))),NOT(ISNUMBER(FIND(" ",TRIM(O955)))),NOT(ISNUMBER(FIND(";",O955))),NOT(ISNUMBER(FIND(",",O955)))),"OK","ERRO: um e-mail válido por linha"))</f>
      </c>
      <c r="Z955" s="6">
        <f>IF(AND(J955="",K955=""),"",IF(AND(J955&lt;&gt;"",K955&lt;&gt;""),"OK","pendente: só um nome (o GR completa ao converter)"))</f>
      </c>
      <c r="AA955" s="6">
        <f>IF(COUNTA(A955:S955)=0,"",IF(AND(A955&lt;&gt;"",B955&lt;&gt;"",C955&lt;&gt;"",D955&lt;&gt;"",E955&lt;&gt;"",F955&lt;&gt;"",G955&lt;&gt;"",H955&lt;&gt;"",OR(J955&lt;&gt;"",K955&lt;&gt;""),OR(M955&lt;&gt;"",N955&lt;&gt;"",O955&lt;&gt;"")),"OK","ERRO: faltam "&amp;IF(A955="","SDR; ","")&amp;IF(B955="","Proprietário; ","")&amp;IF(C955="","Origem; ","")&amp;IF(D955="","Temperatura; ","")&amp;IF(E955="","Segmento; ","")&amp;IF(F955="","Time/Cluster; ","")&amp;IF(G955="","CNPJ; ","")&amp;IF(H955="","Razão Social; ","")&amp;IF(AND(J955="",K955=""),"nome do contato; ","")&amp;IF(AND(M955="",N955="",O955=""),"telefone, celular ou e-mail; ","")))</f>
      </c>
      <c r="AB955" s="6">
        <f>IF(COUNTA(A955:S955)=0,"",IF(AND(U955="OK",V955="OK",LEFT(W955,4)&lt;&gt;"ERRO",LEFT(X955,4)&lt;&gt;"ERRO",LEFT(Y955,4)&lt;&gt;"ERRO",AA955="OK"),"OK","REVISAR"))</f>
      </c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5"/>
      <c r="K956" s="4"/>
      <c r="L956" s="4"/>
      <c r="M956" s="4"/>
      <c r="N956" s="4"/>
      <c r="O956" s="4"/>
      <c r="P956" s="4"/>
      <c r="Q956" s="4"/>
      <c r="R956" s="4"/>
      <c r="S956" s="4"/>
      <c r="T956" s="6">
        <f>IF(G956="","",SUBSTITUTE(SUBSTITUTE(SUBSTITUTE(SUBSTITUTE(SUBSTITUTE(SUBSTITUTE(SUBSTITUTE(TRIM(G956),".",""),"/",""),"-","")," ",""),"(",""),")",""),"+",""))</f>
      </c>
      <c r="U956" s="6">
        <f>IF(T956="","",IF(LEN(T956)&lt;&gt;14,"ERRO: "&amp;LEN(T956)&amp;" dígitos",IF(NOT(ISNUMBER(VALUE(T956))),"ERRO: não numérico",IF(LEN(SUBSTITUTE(T956,LEFT(T956,1),""))=0,"ERRO: dígitos repetidos",IF(AND(VALUE(MID(T956,13,1))=IF(MOD(SUMPRODUCT(--MID(T956,{1,2,3,4,5,6,7,8,9,10,11,12},1),{5,4,3,2,9,8,7,6,5,4,3,2}),11)&lt;2,0,11-MOD(SUMPRODUCT(--MID(T956,{1,2,3,4,5,6,7,8,9,10,11,12},1),{5,4,3,2,9,8,7,6,5,4,3,2}),11)),VALUE(MID(T956,14,1))=IF(MOD(SUMPRODUCT(--MID(T956,{1,2,3,4,5,6,7,8,9,10,11,12,13},1),{6,5,4,3,2,9,8,7,6,5,4,3,2}),11)&lt;2,0,11-MOD(SUMPRODUCT(--MID(T956,{1,2,3,4,5,6,7,8,9,10,11,12,13},1),{6,5,4,3,2,9,8,7,6,5,4,3,2}),11))),"OK","ERRO: dígito verificador")))))</f>
      </c>
      <c r="V956" s="6">
        <f>IF(T956="","",IF(COUNTIF($T$2:$T$1001,T956)&gt;1,"DUPLICADO","OK"))</f>
      </c>
      <c r="W956" s="6">
        <f>IF(M956="","vazio",IF(OR(AND(LEN(SUBSTITUTE(SUBSTITUTE(SUBSTITUTE(SUBSTITUTE(SUBSTITUTE(SUBSTITUTE(SUBSTITUTE(TRIM(M956),".",""),"/",""),"-","")," ",""),"(",""),")",""),"+",""))=10,LEFT(SUBSTITUTE(SUBSTITUTE(SUBSTITUTE(SUBSTITUTE(SUBSTITUTE(SUBSTITUTE(SUBSTITUTE(TRIM(M956),".",""),"/",""),"-","")," ",""),"(",""),")",""),"+",""),1)&lt;&gt;"0"),AND(LEN(SUBSTITUTE(SUBSTITUTE(SUBSTITUTE(SUBSTITUTE(SUBSTITUTE(SUBSTITUTE(SUBSTITUTE(TRIM(M956),".",""),"/",""),"-","")," ",""),"(",""),")",""),"+",""))=11,LEFT(SUBSTITUTE(SUBSTITUTE(SUBSTITUTE(SUBSTITUTE(SUBSTITUTE(SUBSTITUTE(SUBSTITUTE(TRIM(M956),".",""),"/",""),"-","")," ",""),"(",""),")",""),"+",""),4)="0800")),"OK",IF(AND(LEN(SUBSTITUTE(SUBSTITUTE(SUBSTITUTE(SUBSTITUTE(SUBSTITUTE(SUBSTITUTE(SUBSTITUTE(TRIM(M956),".",""),"/",""),"-","")," ",""),"(",""),")",""),"+",""))=11,MID(SUBSTITUTE(SUBSTITUTE(SUBSTITUTE(SUBSTITUTE(SUBSTITUTE(SUBSTITUTE(SUBSTITUTE(TRIM(M956),".",""),"/",""),"-","")," ",""),"(",""),")",""),"+",""),3,1)="9"),"ERRO: é celular, use a coluna Celular","ERRO: DDD + 8 dígitos ou 0800 + 7")))</f>
      </c>
      <c r="X956" s="6">
        <f>IF(N956="","vazio",IF(AND(LEN(SUBSTITUTE(SUBSTITUTE(SUBSTITUTE(SUBSTITUTE(SUBSTITUTE(SUBSTITUTE(SUBSTITUTE(TRIM(N956),".",""),"/",""),"-","")," ",""),"(",""),")",""),"+",""))=11,MID(SUBSTITUTE(SUBSTITUTE(SUBSTITUTE(SUBSTITUTE(SUBSTITUTE(SUBSTITUTE(SUBSTITUTE(TRIM(N956),".",""),"/",""),"-","")," ",""),"(",""),")",""),"+",""),3,1)="9",LEFT(SUBSTITUTE(SUBSTITUTE(SUBSTITUTE(SUBSTITUTE(SUBSTITUTE(SUBSTITUTE(SUBSTITUTE(TRIM(N956),".",""),"/",""),"-","")," ",""),"(",""),")",""),"+",""),1)&lt;&gt;"0"),"OK",IF(LEN(SUBSTITUTE(SUBSTITUTE(SUBSTITUTE(SUBSTITUTE(SUBSTITUTE(SUBSTITUTE(SUBSTITUTE(TRIM(N956),".",""),"/",""),"-","")," ",""),"(",""),")",""),"+",""))=10,"ERRO: é fixo (ou falta o 9), use a coluna Telefone fixo","ERRO: DDD + 9 + 8 dígitos")))</f>
      </c>
      <c r="Y956" s="6">
        <f>IF(O956="","vazio",IF(AND(ISNUMBER(FIND("@",O956)),ISNUMBER(FIND(".",MID(O956,FIND("@",O956),99))),NOT(ISNUMBER(FIND(" ",TRIM(O956)))),NOT(ISNUMBER(FIND(";",O956))),NOT(ISNUMBER(FIND(",",O956)))),"OK","ERRO: um e-mail válido por linha"))</f>
      </c>
      <c r="Z956" s="6">
        <f>IF(AND(J956="",K956=""),"",IF(AND(J956&lt;&gt;"",K956&lt;&gt;""),"OK","pendente: só um nome (o GR completa ao converter)"))</f>
      </c>
      <c r="AA956" s="6">
        <f>IF(COUNTA(A956:S956)=0,"",IF(AND(A956&lt;&gt;"",B956&lt;&gt;"",C956&lt;&gt;"",D956&lt;&gt;"",E956&lt;&gt;"",F956&lt;&gt;"",G956&lt;&gt;"",H956&lt;&gt;"",OR(J956&lt;&gt;"",K956&lt;&gt;""),OR(M956&lt;&gt;"",N956&lt;&gt;"",O956&lt;&gt;"")),"OK","ERRO: faltam "&amp;IF(A956="","SDR; ","")&amp;IF(B956="","Proprietário; ","")&amp;IF(C956="","Origem; ","")&amp;IF(D956="","Temperatura; ","")&amp;IF(E956="","Segmento; ","")&amp;IF(F956="","Time/Cluster; ","")&amp;IF(G956="","CNPJ; ","")&amp;IF(H956="","Razão Social; ","")&amp;IF(AND(J956="",K956=""),"nome do contato; ","")&amp;IF(AND(M956="",N956="",O956=""),"telefone, celular ou e-mail; ","")))</f>
      </c>
      <c r="AB956" s="6">
        <f>IF(COUNTA(A956:S956)=0,"",IF(AND(U956="OK",V956="OK",LEFT(W956,4)&lt;&gt;"ERRO",LEFT(X956,4)&lt;&gt;"ERRO",LEFT(Y956,4)&lt;&gt;"ERRO",AA956="OK"),"OK","REVISAR"))</f>
      </c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5"/>
      <c r="K957" s="4"/>
      <c r="L957" s="4"/>
      <c r="M957" s="4"/>
      <c r="N957" s="4"/>
      <c r="O957" s="4"/>
      <c r="P957" s="4"/>
      <c r="Q957" s="4"/>
      <c r="R957" s="4"/>
      <c r="S957" s="4"/>
      <c r="T957" s="6">
        <f>IF(G957="","",SUBSTITUTE(SUBSTITUTE(SUBSTITUTE(SUBSTITUTE(SUBSTITUTE(SUBSTITUTE(SUBSTITUTE(TRIM(G957),".",""),"/",""),"-","")," ",""),"(",""),")",""),"+",""))</f>
      </c>
      <c r="U957" s="6">
        <f>IF(T957="","",IF(LEN(T957)&lt;&gt;14,"ERRO: "&amp;LEN(T957)&amp;" dígitos",IF(NOT(ISNUMBER(VALUE(T957))),"ERRO: não numérico",IF(LEN(SUBSTITUTE(T957,LEFT(T957,1),""))=0,"ERRO: dígitos repetidos",IF(AND(VALUE(MID(T957,13,1))=IF(MOD(SUMPRODUCT(--MID(T957,{1,2,3,4,5,6,7,8,9,10,11,12},1),{5,4,3,2,9,8,7,6,5,4,3,2}),11)&lt;2,0,11-MOD(SUMPRODUCT(--MID(T957,{1,2,3,4,5,6,7,8,9,10,11,12},1),{5,4,3,2,9,8,7,6,5,4,3,2}),11)),VALUE(MID(T957,14,1))=IF(MOD(SUMPRODUCT(--MID(T957,{1,2,3,4,5,6,7,8,9,10,11,12,13},1),{6,5,4,3,2,9,8,7,6,5,4,3,2}),11)&lt;2,0,11-MOD(SUMPRODUCT(--MID(T957,{1,2,3,4,5,6,7,8,9,10,11,12,13},1),{6,5,4,3,2,9,8,7,6,5,4,3,2}),11))),"OK","ERRO: dígito verificador")))))</f>
      </c>
      <c r="V957" s="6">
        <f>IF(T957="","",IF(COUNTIF($T$2:$T$1001,T957)&gt;1,"DUPLICADO","OK"))</f>
      </c>
      <c r="W957" s="6">
        <f>IF(M957="","vazio",IF(OR(AND(LEN(SUBSTITUTE(SUBSTITUTE(SUBSTITUTE(SUBSTITUTE(SUBSTITUTE(SUBSTITUTE(SUBSTITUTE(TRIM(M957),".",""),"/",""),"-","")," ",""),"(",""),")",""),"+",""))=10,LEFT(SUBSTITUTE(SUBSTITUTE(SUBSTITUTE(SUBSTITUTE(SUBSTITUTE(SUBSTITUTE(SUBSTITUTE(TRIM(M957),".",""),"/",""),"-","")," ",""),"(",""),")",""),"+",""),1)&lt;&gt;"0"),AND(LEN(SUBSTITUTE(SUBSTITUTE(SUBSTITUTE(SUBSTITUTE(SUBSTITUTE(SUBSTITUTE(SUBSTITUTE(TRIM(M957),".",""),"/",""),"-","")," ",""),"(",""),")",""),"+",""))=11,LEFT(SUBSTITUTE(SUBSTITUTE(SUBSTITUTE(SUBSTITUTE(SUBSTITUTE(SUBSTITUTE(SUBSTITUTE(TRIM(M957),".",""),"/",""),"-","")," ",""),"(",""),")",""),"+",""),4)="0800")),"OK",IF(AND(LEN(SUBSTITUTE(SUBSTITUTE(SUBSTITUTE(SUBSTITUTE(SUBSTITUTE(SUBSTITUTE(SUBSTITUTE(TRIM(M957),".",""),"/",""),"-","")," ",""),"(",""),")",""),"+",""))=11,MID(SUBSTITUTE(SUBSTITUTE(SUBSTITUTE(SUBSTITUTE(SUBSTITUTE(SUBSTITUTE(SUBSTITUTE(TRIM(M957),".",""),"/",""),"-","")," ",""),"(",""),")",""),"+",""),3,1)="9"),"ERRO: é celular, use a coluna Celular","ERRO: DDD + 8 dígitos ou 0800 + 7")))</f>
      </c>
      <c r="X957" s="6">
        <f>IF(N957="","vazio",IF(AND(LEN(SUBSTITUTE(SUBSTITUTE(SUBSTITUTE(SUBSTITUTE(SUBSTITUTE(SUBSTITUTE(SUBSTITUTE(TRIM(N957),".",""),"/",""),"-","")," ",""),"(",""),")",""),"+",""))=11,MID(SUBSTITUTE(SUBSTITUTE(SUBSTITUTE(SUBSTITUTE(SUBSTITUTE(SUBSTITUTE(SUBSTITUTE(TRIM(N957),".",""),"/",""),"-","")," ",""),"(",""),")",""),"+",""),3,1)="9",LEFT(SUBSTITUTE(SUBSTITUTE(SUBSTITUTE(SUBSTITUTE(SUBSTITUTE(SUBSTITUTE(SUBSTITUTE(TRIM(N957),".",""),"/",""),"-","")," ",""),"(",""),")",""),"+",""),1)&lt;&gt;"0"),"OK",IF(LEN(SUBSTITUTE(SUBSTITUTE(SUBSTITUTE(SUBSTITUTE(SUBSTITUTE(SUBSTITUTE(SUBSTITUTE(TRIM(N957),".",""),"/",""),"-","")," ",""),"(",""),")",""),"+",""))=10,"ERRO: é fixo (ou falta o 9), use a coluna Telefone fixo","ERRO: DDD + 9 + 8 dígitos")))</f>
      </c>
      <c r="Y957" s="6">
        <f>IF(O957="","vazio",IF(AND(ISNUMBER(FIND("@",O957)),ISNUMBER(FIND(".",MID(O957,FIND("@",O957),99))),NOT(ISNUMBER(FIND(" ",TRIM(O957)))),NOT(ISNUMBER(FIND(";",O957))),NOT(ISNUMBER(FIND(",",O957)))),"OK","ERRO: um e-mail válido por linha"))</f>
      </c>
      <c r="Z957" s="6">
        <f>IF(AND(J957="",K957=""),"",IF(AND(J957&lt;&gt;"",K957&lt;&gt;""),"OK","pendente: só um nome (o GR completa ao converter)"))</f>
      </c>
      <c r="AA957" s="6">
        <f>IF(COUNTA(A957:S957)=0,"",IF(AND(A957&lt;&gt;"",B957&lt;&gt;"",C957&lt;&gt;"",D957&lt;&gt;"",E957&lt;&gt;"",F957&lt;&gt;"",G957&lt;&gt;"",H957&lt;&gt;"",OR(J957&lt;&gt;"",K957&lt;&gt;""),OR(M957&lt;&gt;"",N957&lt;&gt;"",O957&lt;&gt;"")),"OK","ERRO: faltam "&amp;IF(A957="","SDR; ","")&amp;IF(B957="","Proprietário; ","")&amp;IF(C957="","Origem; ","")&amp;IF(D957="","Temperatura; ","")&amp;IF(E957="","Segmento; ","")&amp;IF(F957="","Time/Cluster; ","")&amp;IF(G957="","CNPJ; ","")&amp;IF(H957="","Razão Social; ","")&amp;IF(AND(J957="",K957=""),"nome do contato; ","")&amp;IF(AND(M957="",N957="",O957=""),"telefone, celular ou e-mail; ","")))</f>
      </c>
      <c r="AB957" s="6">
        <f>IF(COUNTA(A957:S957)=0,"",IF(AND(U957="OK",V957="OK",LEFT(W957,4)&lt;&gt;"ERRO",LEFT(X957,4)&lt;&gt;"ERRO",LEFT(Y957,4)&lt;&gt;"ERRO",AA957="OK"),"OK","REVISAR"))</f>
      </c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5"/>
      <c r="K958" s="4"/>
      <c r="L958" s="4"/>
      <c r="M958" s="4"/>
      <c r="N958" s="4"/>
      <c r="O958" s="4"/>
      <c r="P958" s="4"/>
      <c r="Q958" s="4"/>
      <c r="R958" s="4"/>
      <c r="S958" s="4"/>
      <c r="T958" s="6">
        <f>IF(G958="","",SUBSTITUTE(SUBSTITUTE(SUBSTITUTE(SUBSTITUTE(SUBSTITUTE(SUBSTITUTE(SUBSTITUTE(TRIM(G958),".",""),"/",""),"-","")," ",""),"(",""),")",""),"+",""))</f>
      </c>
      <c r="U958" s="6">
        <f>IF(T958="","",IF(LEN(T958)&lt;&gt;14,"ERRO: "&amp;LEN(T958)&amp;" dígitos",IF(NOT(ISNUMBER(VALUE(T958))),"ERRO: não numérico",IF(LEN(SUBSTITUTE(T958,LEFT(T958,1),""))=0,"ERRO: dígitos repetidos",IF(AND(VALUE(MID(T958,13,1))=IF(MOD(SUMPRODUCT(--MID(T958,{1,2,3,4,5,6,7,8,9,10,11,12},1),{5,4,3,2,9,8,7,6,5,4,3,2}),11)&lt;2,0,11-MOD(SUMPRODUCT(--MID(T958,{1,2,3,4,5,6,7,8,9,10,11,12},1),{5,4,3,2,9,8,7,6,5,4,3,2}),11)),VALUE(MID(T958,14,1))=IF(MOD(SUMPRODUCT(--MID(T958,{1,2,3,4,5,6,7,8,9,10,11,12,13},1),{6,5,4,3,2,9,8,7,6,5,4,3,2}),11)&lt;2,0,11-MOD(SUMPRODUCT(--MID(T958,{1,2,3,4,5,6,7,8,9,10,11,12,13},1),{6,5,4,3,2,9,8,7,6,5,4,3,2}),11))),"OK","ERRO: dígito verificador")))))</f>
      </c>
      <c r="V958" s="6">
        <f>IF(T958="","",IF(COUNTIF($T$2:$T$1001,T958)&gt;1,"DUPLICADO","OK"))</f>
      </c>
      <c r="W958" s="6">
        <f>IF(M958="","vazio",IF(OR(AND(LEN(SUBSTITUTE(SUBSTITUTE(SUBSTITUTE(SUBSTITUTE(SUBSTITUTE(SUBSTITUTE(SUBSTITUTE(TRIM(M958),".",""),"/",""),"-","")," ",""),"(",""),")",""),"+",""))=10,LEFT(SUBSTITUTE(SUBSTITUTE(SUBSTITUTE(SUBSTITUTE(SUBSTITUTE(SUBSTITUTE(SUBSTITUTE(TRIM(M958),".",""),"/",""),"-","")," ",""),"(",""),")",""),"+",""),1)&lt;&gt;"0"),AND(LEN(SUBSTITUTE(SUBSTITUTE(SUBSTITUTE(SUBSTITUTE(SUBSTITUTE(SUBSTITUTE(SUBSTITUTE(TRIM(M958),".",""),"/",""),"-","")," ",""),"(",""),")",""),"+",""))=11,LEFT(SUBSTITUTE(SUBSTITUTE(SUBSTITUTE(SUBSTITUTE(SUBSTITUTE(SUBSTITUTE(SUBSTITUTE(TRIM(M958),".",""),"/",""),"-","")," ",""),"(",""),")",""),"+",""),4)="0800")),"OK",IF(AND(LEN(SUBSTITUTE(SUBSTITUTE(SUBSTITUTE(SUBSTITUTE(SUBSTITUTE(SUBSTITUTE(SUBSTITUTE(TRIM(M958),".",""),"/",""),"-","")," ",""),"(",""),")",""),"+",""))=11,MID(SUBSTITUTE(SUBSTITUTE(SUBSTITUTE(SUBSTITUTE(SUBSTITUTE(SUBSTITUTE(SUBSTITUTE(TRIM(M958),".",""),"/",""),"-","")," ",""),"(",""),")",""),"+",""),3,1)="9"),"ERRO: é celular, use a coluna Celular","ERRO: DDD + 8 dígitos ou 0800 + 7")))</f>
      </c>
      <c r="X958" s="6">
        <f>IF(N958="","vazio",IF(AND(LEN(SUBSTITUTE(SUBSTITUTE(SUBSTITUTE(SUBSTITUTE(SUBSTITUTE(SUBSTITUTE(SUBSTITUTE(TRIM(N958),".",""),"/",""),"-","")," ",""),"(",""),")",""),"+",""))=11,MID(SUBSTITUTE(SUBSTITUTE(SUBSTITUTE(SUBSTITUTE(SUBSTITUTE(SUBSTITUTE(SUBSTITUTE(TRIM(N958),".",""),"/",""),"-","")," ",""),"(",""),")",""),"+",""),3,1)="9",LEFT(SUBSTITUTE(SUBSTITUTE(SUBSTITUTE(SUBSTITUTE(SUBSTITUTE(SUBSTITUTE(SUBSTITUTE(TRIM(N958),".",""),"/",""),"-","")," ",""),"(",""),")",""),"+",""),1)&lt;&gt;"0"),"OK",IF(LEN(SUBSTITUTE(SUBSTITUTE(SUBSTITUTE(SUBSTITUTE(SUBSTITUTE(SUBSTITUTE(SUBSTITUTE(TRIM(N958),".",""),"/",""),"-","")," ",""),"(",""),")",""),"+",""))=10,"ERRO: é fixo (ou falta o 9), use a coluna Telefone fixo","ERRO: DDD + 9 + 8 dígitos")))</f>
      </c>
      <c r="Y958" s="6">
        <f>IF(O958="","vazio",IF(AND(ISNUMBER(FIND("@",O958)),ISNUMBER(FIND(".",MID(O958,FIND("@",O958),99))),NOT(ISNUMBER(FIND(" ",TRIM(O958)))),NOT(ISNUMBER(FIND(";",O958))),NOT(ISNUMBER(FIND(",",O958)))),"OK","ERRO: um e-mail válido por linha"))</f>
      </c>
      <c r="Z958" s="6">
        <f>IF(AND(J958="",K958=""),"",IF(AND(J958&lt;&gt;"",K958&lt;&gt;""),"OK","pendente: só um nome (o GR completa ao converter)"))</f>
      </c>
      <c r="AA958" s="6">
        <f>IF(COUNTA(A958:S958)=0,"",IF(AND(A958&lt;&gt;"",B958&lt;&gt;"",C958&lt;&gt;"",D958&lt;&gt;"",E958&lt;&gt;"",F958&lt;&gt;"",G958&lt;&gt;"",H958&lt;&gt;"",OR(J958&lt;&gt;"",K958&lt;&gt;""),OR(M958&lt;&gt;"",N958&lt;&gt;"",O958&lt;&gt;"")),"OK","ERRO: faltam "&amp;IF(A958="","SDR; ","")&amp;IF(B958="","Proprietário; ","")&amp;IF(C958="","Origem; ","")&amp;IF(D958="","Temperatura; ","")&amp;IF(E958="","Segmento; ","")&amp;IF(F958="","Time/Cluster; ","")&amp;IF(G958="","CNPJ; ","")&amp;IF(H958="","Razão Social; ","")&amp;IF(AND(J958="",K958=""),"nome do contato; ","")&amp;IF(AND(M958="",N958="",O958=""),"telefone, celular ou e-mail; ","")))</f>
      </c>
      <c r="AB958" s="6">
        <f>IF(COUNTA(A958:S958)=0,"",IF(AND(U958="OK",V958="OK",LEFT(W958,4)&lt;&gt;"ERRO",LEFT(X958,4)&lt;&gt;"ERRO",LEFT(Y958,4)&lt;&gt;"ERRO",AA958="OK"),"OK","REVISAR"))</f>
      </c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5"/>
      <c r="K959" s="4"/>
      <c r="L959" s="4"/>
      <c r="M959" s="4"/>
      <c r="N959" s="4"/>
      <c r="O959" s="4"/>
      <c r="P959" s="4"/>
      <c r="Q959" s="4"/>
      <c r="R959" s="4"/>
      <c r="S959" s="4"/>
      <c r="T959" s="6">
        <f>IF(G959="","",SUBSTITUTE(SUBSTITUTE(SUBSTITUTE(SUBSTITUTE(SUBSTITUTE(SUBSTITUTE(SUBSTITUTE(TRIM(G959),".",""),"/",""),"-","")," ",""),"(",""),")",""),"+",""))</f>
      </c>
      <c r="U959" s="6">
        <f>IF(T959="","",IF(LEN(T959)&lt;&gt;14,"ERRO: "&amp;LEN(T959)&amp;" dígitos",IF(NOT(ISNUMBER(VALUE(T959))),"ERRO: não numérico",IF(LEN(SUBSTITUTE(T959,LEFT(T959,1),""))=0,"ERRO: dígitos repetidos",IF(AND(VALUE(MID(T959,13,1))=IF(MOD(SUMPRODUCT(--MID(T959,{1,2,3,4,5,6,7,8,9,10,11,12},1),{5,4,3,2,9,8,7,6,5,4,3,2}),11)&lt;2,0,11-MOD(SUMPRODUCT(--MID(T959,{1,2,3,4,5,6,7,8,9,10,11,12},1),{5,4,3,2,9,8,7,6,5,4,3,2}),11)),VALUE(MID(T959,14,1))=IF(MOD(SUMPRODUCT(--MID(T959,{1,2,3,4,5,6,7,8,9,10,11,12,13},1),{6,5,4,3,2,9,8,7,6,5,4,3,2}),11)&lt;2,0,11-MOD(SUMPRODUCT(--MID(T959,{1,2,3,4,5,6,7,8,9,10,11,12,13},1),{6,5,4,3,2,9,8,7,6,5,4,3,2}),11))),"OK","ERRO: dígito verificador")))))</f>
      </c>
      <c r="V959" s="6">
        <f>IF(T959="","",IF(COUNTIF($T$2:$T$1001,T959)&gt;1,"DUPLICADO","OK"))</f>
      </c>
      <c r="W959" s="6">
        <f>IF(M959="","vazio",IF(OR(AND(LEN(SUBSTITUTE(SUBSTITUTE(SUBSTITUTE(SUBSTITUTE(SUBSTITUTE(SUBSTITUTE(SUBSTITUTE(TRIM(M959),".",""),"/",""),"-","")," ",""),"(",""),")",""),"+",""))=10,LEFT(SUBSTITUTE(SUBSTITUTE(SUBSTITUTE(SUBSTITUTE(SUBSTITUTE(SUBSTITUTE(SUBSTITUTE(TRIM(M959),".",""),"/",""),"-","")," ",""),"(",""),")",""),"+",""),1)&lt;&gt;"0"),AND(LEN(SUBSTITUTE(SUBSTITUTE(SUBSTITUTE(SUBSTITUTE(SUBSTITUTE(SUBSTITUTE(SUBSTITUTE(TRIM(M959),".",""),"/",""),"-","")," ",""),"(",""),")",""),"+",""))=11,LEFT(SUBSTITUTE(SUBSTITUTE(SUBSTITUTE(SUBSTITUTE(SUBSTITUTE(SUBSTITUTE(SUBSTITUTE(TRIM(M959),".",""),"/",""),"-","")," ",""),"(",""),")",""),"+",""),4)="0800")),"OK",IF(AND(LEN(SUBSTITUTE(SUBSTITUTE(SUBSTITUTE(SUBSTITUTE(SUBSTITUTE(SUBSTITUTE(SUBSTITUTE(TRIM(M959),".",""),"/",""),"-","")," ",""),"(",""),")",""),"+",""))=11,MID(SUBSTITUTE(SUBSTITUTE(SUBSTITUTE(SUBSTITUTE(SUBSTITUTE(SUBSTITUTE(SUBSTITUTE(TRIM(M959),".",""),"/",""),"-","")," ",""),"(",""),")",""),"+",""),3,1)="9"),"ERRO: é celular, use a coluna Celular","ERRO: DDD + 8 dígitos ou 0800 + 7")))</f>
      </c>
      <c r="X959" s="6">
        <f>IF(N959="","vazio",IF(AND(LEN(SUBSTITUTE(SUBSTITUTE(SUBSTITUTE(SUBSTITUTE(SUBSTITUTE(SUBSTITUTE(SUBSTITUTE(TRIM(N959),".",""),"/",""),"-","")," ",""),"(",""),")",""),"+",""))=11,MID(SUBSTITUTE(SUBSTITUTE(SUBSTITUTE(SUBSTITUTE(SUBSTITUTE(SUBSTITUTE(SUBSTITUTE(TRIM(N959),".",""),"/",""),"-","")," ",""),"(",""),")",""),"+",""),3,1)="9",LEFT(SUBSTITUTE(SUBSTITUTE(SUBSTITUTE(SUBSTITUTE(SUBSTITUTE(SUBSTITUTE(SUBSTITUTE(TRIM(N959),".",""),"/",""),"-","")," ",""),"(",""),")",""),"+",""),1)&lt;&gt;"0"),"OK",IF(LEN(SUBSTITUTE(SUBSTITUTE(SUBSTITUTE(SUBSTITUTE(SUBSTITUTE(SUBSTITUTE(SUBSTITUTE(TRIM(N959),".",""),"/",""),"-","")," ",""),"(",""),")",""),"+",""))=10,"ERRO: é fixo (ou falta o 9), use a coluna Telefone fixo","ERRO: DDD + 9 + 8 dígitos")))</f>
      </c>
      <c r="Y959" s="6">
        <f>IF(O959="","vazio",IF(AND(ISNUMBER(FIND("@",O959)),ISNUMBER(FIND(".",MID(O959,FIND("@",O959),99))),NOT(ISNUMBER(FIND(" ",TRIM(O959)))),NOT(ISNUMBER(FIND(";",O959))),NOT(ISNUMBER(FIND(",",O959)))),"OK","ERRO: um e-mail válido por linha"))</f>
      </c>
      <c r="Z959" s="6">
        <f>IF(AND(J959="",K959=""),"",IF(AND(J959&lt;&gt;"",K959&lt;&gt;""),"OK","pendente: só um nome (o GR completa ao converter)"))</f>
      </c>
      <c r="AA959" s="6">
        <f>IF(COUNTA(A959:S959)=0,"",IF(AND(A959&lt;&gt;"",B959&lt;&gt;"",C959&lt;&gt;"",D959&lt;&gt;"",E959&lt;&gt;"",F959&lt;&gt;"",G959&lt;&gt;"",H959&lt;&gt;"",OR(J959&lt;&gt;"",K959&lt;&gt;""),OR(M959&lt;&gt;"",N959&lt;&gt;"",O959&lt;&gt;"")),"OK","ERRO: faltam "&amp;IF(A959="","SDR; ","")&amp;IF(B959="","Proprietário; ","")&amp;IF(C959="","Origem; ","")&amp;IF(D959="","Temperatura; ","")&amp;IF(E959="","Segmento; ","")&amp;IF(F959="","Time/Cluster; ","")&amp;IF(G959="","CNPJ; ","")&amp;IF(H959="","Razão Social; ","")&amp;IF(AND(J959="",K959=""),"nome do contato; ","")&amp;IF(AND(M959="",N959="",O959=""),"telefone, celular ou e-mail; ","")))</f>
      </c>
      <c r="AB959" s="6">
        <f>IF(COUNTA(A959:S959)=0,"",IF(AND(U959="OK",V959="OK",LEFT(W959,4)&lt;&gt;"ERRO",LEFT(X959,4)&lt;&gt;"ERRO",LEFT(Y959,4)&lt;&gt;"ERRO",AA959="OK"),"OK","REVISAR"))</f>
      </c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5"/>
      <c r="K960" s="4"/>
      <c r="L960" s="4"/>
      <c r="M960" s="4"/>
      <c r="N960" s="4"/>
      <c r="O960" s="4"/>
      <c r="P960" s="4"/>
      <c r="Q960" s="4"/>
      <c r="R960" s="4"/>
      <c r="S960" s="4"/>
      <c r="T960" s="6">
        <f>IF(G960="","",SUBSTITUTE(SUBSTITUTE(SUBSTITUTE(SUBSTITUTE(SUBSTITUTE(SUBSTITUTE(SUBSTITUTE(TRIM(G960),".",""),"/",""),"-","")," ",""),"(",""),")",""),"+",""))</f>
      </c>
      <c r="U960" s="6">
        <f>IF(T960="","",IF(LEN(T960)&lt;&gt;14,"ERRO: "&amp;LEN(T960)&amp;" dígitos",IF(NOT(ISNUMBER(VALUE(T960))),"ERRO: não numérico",IF(LEN(SUBSTITUTE(T960,LEFT(T960,1),""))=0,"ERRO: dígitos repetidos",IF(AND(VALUE(MID(T960,13,1))=IF(MOD(SUMPRODUCT(--MID(T960,{1,2,3,4,5,6,7,8,9,10,11,12},1),{5,4,3,2,9,8,7,6,5,4,3,2}),11)&lt;2,0,11-MOD(SUMPRODUCT(--MID(T960,{1,2,3,4,5,6,7,8,9,10,11,12},1),{5,4,3,2,9,8,7,6,5,4,3,2}),11)),VALUE(MID(T960,14,1))=IF(MOD(SUMPRODUCT(--MID(T960,{1,2,3,4,5,6,7,8,9,10,11,12,13},1),{6,5,4,3,2,9,8,7,6,5,4,3,2}),11)&lt;2,0,11-MOD(SUMPRODUCT(--MID(T960,{1,2,3,4,5,6,7,8,9,10,11,12,13},1),{6,5,4,3,2,9,8,7,6,5,4,3,2}),11))),"OK","ERRO: dígito verificador")))))</f>
      </c>
      <c r="V960" s="6">
        <f>IF(T960="","",IF(COUNTIF($T$2:$T$1001,T960)&gt;1,"DUPLICADO","OK"))</f>
      </c>
      <c r="W960" s="6">
        <f>IF(M960="","vazio",IF(OR(AND(LEN(SUBSTITUTE(SUBSTITUTE(SUBSTITUTE(SUBSTITUTE(SUBSTITUTE(SUBSTITUTE(SUBSTITUTE(TRIM(M960),".",""),"/",""),"-","")," ",""),"(",""),")",""),"+",""))=10,LEFT(SUBSTITUTE(SUBSTITUTE(SUBSTITUTE(SUBSTITUTE(SUBSTITUTE(SUBSTITUTE(SUBSTITUTE(TRIM(M960),".",""),"/",""),"-","")," ",""),"(",""),")",""),"+",""),1)&lt;&gt;"0"),AND(LEN(SUBSTITUTE(SUBSTITUTE(SUBSTITUTE(SUBSTITUTE(SUBSTITUTE(SUBSTITUTE(SUBSTITUTE(TRIM(M960),".",""),"/",""),"-","")," ",""),"(",""),")",""),"+",""))=11,LEFT(SUBSTITUTE(SUBSTITUTE(SUBSTITUTE(SUBSTITUTE(SUBSTITUTE(SUBSTITUTE(SUBSTITUTE(TRIM(M960),".",""),"/",""),"-","")," ",""),"(",""),")",""),"+",""),4)="0800")),"OK",IF(AND(LEN(SUBSTITUTE(SUBSTITUTE(SUBSTITUTE(SUBSTITUTE(SUBSTITUTE(SUBSTITUTE(SUBSTITUTE(TRIM(M960),".",""),"/",""),"-","")," ",""),"(",""),")",""),"+",""))=11,MID(SUBSTITUTE(SUBSTITUTE(SUBSTITUTE(SUBSTITUTE(SUBSTITUTE(SUBSTITUTE(SUBSTITUTE(TRIM(M960),".",""),"/",""),"-","")," ",""),"(",""),")",""),"+",""),3,1)="9"),"ERRO: é celular, use a coluna Celular","ERRO: DDD + 8 dígitos ou 0800 + 7")))</f>
      </c>
      <c r="X960" s="6">
        <f>IF(N960="","vazio",IF(AND(LEN(SUBSTITUTE(SUBSTITUTE(SUBSTITUTE(SUBSTITUTE(SUBSTITUTE(SUBSTITUTE(SUBSTITUTE(TRIM(N960),".",""),"/",""),"-","")," ",""),"(",""),")",""),"+",""))=11,MID(SUBSTITUTE(SUBSTITUTE(SUBSTITUTE(SUBSTITUTE(SUBSTITUTE(SUBSTITUTE(SUBSTITUTE(TRIM(N960),".",""),"/",""),"-","")," ",""),"(",""),")",""),"+",""),3,1)="9",LEFT(SUBSTITUTE(SUBSTITUTE(SUBSTITUTE(SUBSTITUTE(SUBSTITUTE(SUBSTITUTE(SUBSTITUTE(TRIM(N960),".",""),"/",""),"-","")," ",""),"(",""),")",""),"+",""),1)&lt;&gt;"0"),"OK",IF(LEN(SUBSTITUTE(SUBSTITUTE(SUBSTITUTE(SUBSTITUTE(SUBSTITUTE(SUBSTITUTE(SUBSTITUTE(TRIM(N960),".",""),"/",""),"-","")," ",""),"(",""),")",""),"+",""))=10,"ERRO: é fixo (ou falta o 9), use a coluna Telefone fixo","ERRO: DDD + 9 + 8 dígitos")))</f>
      </c>
      <c r="Y960" s="6">
        <f>IF(O960="","vazio",IF(AND(ISNUMBER(FIND("@",O960)),ISNUMBER(FIND(".",MID(O960,FIND("@",O960),99))),NOT(ISNUMBER(FIND(" ",TRIM(O960)))),NOT(ISNUMBER(FIND(";",O960))),NOT(ISNUMBER(FIND(",",O960)))),"OK","ERRO: um e-mail válido por linha"))</f>
      </c>
      <c r="Z960" s="6">
        <f>IF(AND(J960="",K960=""),"",IF(AND(J960&lt;&gt;"",K960&lt;&gt;""),"OK","pendente: só um nome (o GR completa ao converter)"))</f>
      </c>
      <c r="AA960" s="6">
        <f>IF(COUNTA(A960:S960)=0,"",IF(AND(A960&lt;&gt;"",B960&lt;&gt;"",C960&lt;&gt;"",D960&lt;&gt;"",E960&lt;&gt;"",F960&lt;&gt;"",G960&lt;&gt;"",H960&lt;&gt;"",OR(J960&lt;&gt;"",K960&lt;&gt;""),OR(M960&lt;&gt;"",N960&lt;&gt;"",O960&lt;&gt;"")),"OK","ERRO: faltam "&amp;IF(A960="","SDR; ","")&amp;IF(B960="","Proprietário; ","")&amp;IF(C960="","Origem; ","")&amp;IF(D960="","Temperatura; ","")&amp;IF(E960="","Segmento; ","")&amp;IF(F960="","Time/Cluster; ","")&amp;IF(G960="","CNPJ; ","")&amp;IF(H960="","Razão Social; ","")&amp;IF(AND(J960="",K960=""),"nome do contato; ","")&amp;IF(AND(M960="",N960="",O960=""),"telefone, celular ou e-mail; ","")))</f>
      </c>
      <c r="AB960" s="6">
        <f>IF(COUNTA(A960:S960)=0,"",IF(AND(U960="OK",V960="OK",LEFT(W960,4)&lt;&gt;"ERRO",LEFT(X960,4)&lt;&gt;"ERRO",LEFT(Y960,4)&lt;&gt;"ERRO",AA960="OK"),"OK","REVISAR"))</f>
      </c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5"/>
      <c r="K961" s="4"/>
      <c r="L961" s="4"/>
      <c r="M961" s="4"/>
      <c r="N961" s="4"/>
      <c r="O961" s="4"/>
      <c r="P961" s="4"/>
      <c r="Q961" s="4"/>
      <c r="R961" s="4"/>
      <c r="S961" s="4"/>
      <c r="T961" s="6">
        <f>IF(G961="","",SUBSTITUTE(SUBSTITUTE(SUBSTITUTE(SUBSTITUTE(SUBSTITUTE(SUBSTITUTE(SUBSTITUTE(TRIM(G961),".",""),"/",""),"-","")," ",""),"(",""),")",""),"+",""))</f>
      </c>
      <c r="U961" s="6">
        <f>IF(T961="","",IF(LEN(T961)&lt;&gt;14,"ERRO: "&amp;LEN(T961)&amp;" dígitos",IF(NOT(ISNUMBER(VALUE(T961))),"ERRO: não numérico",IF(LEN(SUBSTITUTE(T961,LEFT(T961,1),""))=0,"ERRO: dígitos repetidos",IF(AND(VALUE(MID(T961,13,1))=IF(MOD(SUMPRODUCT(--MID(T961,{1,2,3,4,5,6,7,8,9,10,11,12},1),{5,4,3,2,9,8,7,6,5,4,3,2}),11)&lt;2,0,11-MOD(SUMPRODUCT(--MID(T961,{1,2,3,4,5,6,7,8,9,10,11,12},1),{5,4,3,2,9,8,7,6,5,4,3,2}),11)),VALUE(MID(T961,14,1))=IF(MOD(SUMPRODUCT(--MID(T961,{1,2,3,4,5,6,7,8,9,10,11,12,13},1),{6,5,4,3,2,9,8,7,6,5,4,3,2}),11)&lt;2,0,11-MOD(SUMPRODUCT(--MID(T961,{1,2,3,4,5,6,7,8,9,10,11,12,13},1),{6,5,4,3,2,9,8,7,6,5,4,3,2}),11))),"OK","ERRO: dígito verificador")))))</f>
      </c>
      <c r="V961" s="6">
        <f>IF(T961="","",IF(COUNTIF($T$2:$T$1001,T961)&gt;1,"DUPLICADO","OK"))</f>
      </c>
      <c r="W961" s="6">
        <f>IF(M961="","vazio",IF(OR(AND(LEN(SUBSTITUTE(SUBSTITUTE(SUBSTITUTE(SUBSTITUTE(SUBSTITUTE(SUBSTITUTE(SUBSTITUTE(TRIM(M961),".",""),"/",""),"-","")," ",""),"(",""),")",""),"+",""))=10,LEFT(SUBSTITUTE(SUBSTITUTE(SUBSTITUTE(SUBSTITUTE(SUBSTITUTE(SUBSTITUTE(SUBSTITUTE(TRIM(M961),".",""),"/",""),"-","")," ",""),"(",""),")",""),"+",""),1)&lt;&gt;"0"),AND(LEN(SUBSTITUTE(SUBSTITUTE(SUBSTITUTE(SUBSTITUTE(SUBSTITUTE(SUBSTITUTE(SUBSTITUTE(TRIM(M961),".",""),"/",""),"-","")," ",""),"(",""),")",""),"+",""))=11,LEFT(SUBSTITUTE(SUBSTITUTE(SUBSTITUTE(SUBSTITUTE(SUBSTITUTE(SUBSTITUTE(SUBSTITUTE(TRIM(M961),".",""),"/",""),"-","")," ",""),"(",""),")",""),"+",""),4)="0800")),"OK",IF(AND(LEN(SUBSTITUTE(SUBSTITUTE(SUBSTITUTE(SUBSTITUTE(SUBSTITUTE(SUBSTITUTE(SUBSTITUTE(TRIM(M961),".",""),"/",""),"-","")," ",""),"(",""),")",""),"+",""))=11,MID(SUBSTITUTE(SUBSTITUTE(SUBSTITUTE(SUBSTITUTE(SUBSTITUTE(SUBSTITUTE(SUBSTITUTE(TRIM(M961),".",""),"/",""),"-","")," ",""),"(",""),")",""),"+",""),3,1)="9"),"ERRO: é celular, use a coluna Celular","ERRO: DDD + 8 dígitos ou 0800 + 7")))</f>
      </c>
      <c r="X961" s="6">
        <f>IF(N961="","vazio",IF(AND(LEN(SUBSTITUTE(SUBSTITUTE(SUBSTITUTE(SUBSTITUTE(SUBSTITUTE(SUBSTITUTE(SUBSTITUTE(TRIM(N961),".",""),"/",""),"-","")," ",""),"(",""),")",""),"+",""))=11,MID(SUBSTITUTE(SUBSTITUTE(SUBSTITUTE(SUBSTITUTE(SUBSTITUTE(SUBSTITUTE(SUBSTITUTE(TRIM(N961),".",""),"/",""),"-","")," ",""),"(",""),")",""),"+",""),3,1)="9",LEFT(SUBSTITUTE(SUBSTITUTE(SUBSTITUTE(SUBSTITUTE(SUBSTITUTE(SUBSTITUTE(SUBSTITUTE(TRIM(N961),".",""),"/",""),"-","")," ",""),"(",""),")",""),"+",""),1)&lt;&gt;"0"),"OK",IF(LEN(SUBSTITUTE(SUBSTITUTE(SUBSTITUTE(SUBSTITUTE(SUBSTITUTE(SUBSTITUTE(SUBSTITUTE(TRIM(N961),".",""),"/",""),"-","")," ",""),"(",""),")",""),"+",""))=10,"ERRO: é fixo (ou falta o 9), use a coluna Telefone fixo","ERRO: DDD + 9 + 8 dígitos")))</f>
      </c>
      <c r="Y961" s="6">
        <f>IF(O961="","vazio",IF(AND(ISNUMBER(FIND("@",O961)),ISNUMBER(FIND(".",MID(O961,FIND("@",O961),99))),NOT(ISNUMBER(FIND(" ",TRIM(O961)))),NOT(ISNUMBER(FIND(";",O961))),NOT(ISNUMBER(FIND(",",O961)))),"OK","ERRO: um e-mail válido por linha"))</f>
      </c>
      <c r="Z961" s="6">
        <f>IF(AND(J961="",K961=""),"",IF(AND(J961&lt;&gt;"",K961&lt;&gt;""),"OK","pendente: só um nome (o GR completa ao converter)"))</f>
      </c>
      <c r="AA961" s="6">
        <f>IF(COUNTA(A961:S961)=0,"",IF(AND(A961&lt;&gt;"",B961&lt;&gt;"",C961&lt;&gt;"",D961&lt;&gt;"",E961&lt;&gt;"",F961&lt;&gt;"",G961&lt;&gt;"",H961&lt;&gt;"",OR(J961&lt;&gt;"",K961&lt;&gt;""),OR(M961&lt;&gt;"",N961&lt;&gt;"",O961&lt;&gt;"")),"OK","ERRO: faltam "&amp;IF(A961="","SDR; ","")&amp;IF(B961="","Proprietário; ","")&amp;IF(C961="","Origem; ","")&amp;IF(D961="","Temperatura; ","")&amp;IF(E961="","Segmento; ","")&amp;IF(F961="","Time/Cluster; ","")&amp;IF(G961="","CNPJ; ","")&amp;IF(H961="","Razão Social; ","")&amp;IF(AND(J961="",K961=""),"nome do contato; ","")&amp;IF(AND(M961="",N961="",O961=""),"telefone, celular ou e-mail; ","")))</f>
      </c>
      <c r="AB961" s="6">
        <f>IF(COUNTA(A961:S961)=0,"",IF(AND(U961="OK",V961="OK",LEFT(W961,4)&lt;&gt;"ERRO",LEFT(X961,4)&lt;&gt;"ERRO",LEFT(Y961,4)&lt;&gt;"ERRO",AA961="OK"),"OK","REVISAR"))</f>
      </c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5"/>
      <c r="K962" s="4"/>
      <c r="L962" s="4"/>
      <c r="M962" s="4"/>
      <c r="N962" s="4"/>
      <c r="O962" s="4"/>
      <c r="P962" s="4"/>
      <c r="Q962" s="4"/>
      <c r="R962" s="4"/>
      <c r="S962" s="4"/>
      <c r="T962" s="6">
        <f>IF(G962="","",SUBSTITUTE(SUBSTITUTE(SUBSTITUTE(SUBSTITUTE(SUBSTITUTE(SUBSTITUTE(SUBSTITUTE(TRIM(G962),".",""),"/",""),"-","")," ",""),"(",""),")",""),"+",""))</f>
      </c>
      <c r="U962" s="6">
        <f>IF(T962="","",IF(LEN(T962)&lt;&gt;14,"ERRO: "&amp;LEN(T962)&amp;" dígitos",IF(NOT(ISNUMBER(VALUE(T962))),"ERRO: não numérico",IF(LEN(SUBSTITUTE(T962,LEFT(T962,1),""))=0,"ERRO: dígitos repetidos",IF(AND(VALUE(MID(T962,13,1))=IF(MOD(SUMPRODUCT(--MID(T962,{1,2,3,4,5,6,7,8,9,10,11,12},1),{5,4,3,2,9,8,7,6,5,4,3,2}),11)&lt;2,0,11-MOD(SUMPRODUCT(--MID(T962,{1,2,3,4,5,6,7,8,9,10,11,12},1),{5,4,3,2,9,8,7,6,5,4,3,2}),11)),VALUE(MID(T962,14,1))=IF(MOD(SUMPRODUCT(--MID(T962,{1,2,3,4,5,6,7,8,9,10,11,12,13},1),{6,5,4,3,2,9,8,7,6,5,4,3,2}),11)&lt;2,0,11-MOD(SUMPRODUCT(--MID(T962,{1,2,3,4,5,6,7,8,9,10,11,12,13},1),{6,5,4,3,2,9,8,7,6,5,4,3,2}),11))),"OK","ERRO: dígito verificador")))))</f>
      </c>
      <c r="V962" s="6">
        <f>IF(T962="","",IF(COUNTIF($T$2:$T$1001,T962)&gt;1,"DUPLICADO","OK"))</f>
      </c>
      <c r="W962" s="6">
        <f>IF(M962="","vazio",IF(OR(AND(LEN(SUBSTITUTE(SUBSTITUTE(SUBSTITUTE(SUBSTITUTE(SUBSTITUTE(SUBSTITUTE(SUBSTITUTE(TRIM(M962),".",""),"/",""),"-","")," ",""),"(",""),")",""),"+",""))=10,LEFT(SUBSTITUTE(SUBSTITUTE(SUBSTITUTE(SUBSTITUTE(SUBSTITUTE(SUBSTITUTE(SUBSTITUTE(TRIM(M962),".",""),"/",""),"-","")," ",""),"(",""),")",""),"+",""),1)&lt;&gt;"0"),AND(LEN(SUBSTITUTE(SUBSTITUTE(SUBSTITUTE(SUBSTITUTE(SUBSTITUTE(SUBSTITUTE(SUBSTITUTE(TRIM(M962),".",""),"/",""),"-","")," ",""),"(",""),")",""),"+",""))=11,LEFT(SUBSTITUTE(SUBSTITUTE(SUBSTITUTE(SUBSTITUTE(SUBSTITUTE(SUBSTITUTE(SUBSTITUTE(TRIM(M962),".",""),"/",""),"-","")," ",""),"(",""),")",""),"+",""),4)="0800")),"OK",IF(AND(LEN(SUBSTITUTE(SUBSTITUTE(SUBSTITUTE(SUBSTITUTE(SUBSTITUTE(SUBSTITUTE(SUBSTITUTE(TRIM(M962),".",""),"/",""),"-","")," ",""),"(",""),")",""),"+",""))=11,MID(SUBSTITUTE(SUBSTITUTE(SUBSTITUTE(SUBSTITUTE(SUBSTITUTE(SUBSTITUTE(SUBSTITUTE(TRIM(M962),".",""),"/",""),"-","")," ",""),"(",""),")",""),"+",""),3,1)="9"),"ERRO: é celular, use a coluna Celular","ERRO: DDD + 8 dígitos ou 0800 + 7")))</f>
      </c>
      <c r="X962" s="6">
        <f>IF(N962="","vazio",IF(AND(LEN(SUBSTITUTE(SUBSTITUTE(SUBSTITUTE(SUBSTITUTE(SUBSTITUTE(SUBSTITUTE(SUBSTITUTE(TRIM(N962),".",""),"/",""),"-","")," ",""),"(",""),")",""),"+",""))=11,MID(SUBSTITUTE(SUBSTITUTE(SUBSTITUTE(SUBSTITUTE(SUBSTITUTE(SUBSTITUTE(SUBSTITUTE(TRIM(N962),".",""),"/",""),"-","")," ",""),"(",""),")",""),"+",""),3,1)="9",LEFT(SUBSTITUTE(SUBSTITUTE(SUBSTITUTE(SUBSTITUTE(SUBSTITUTE(SUBSTITUTE(SUBSTITUTE(TRIM(N962),".",""),"/",""),"-","")," ",""),"(",""),")",""),"+",""),1)&lt;&gt;"0"),"OK",IF(LEN(SUBSTITUTE(SUBSTITUTE(SUBSTITUTE(SUBSTITUTE(SUBSTITUTE(SUBSTITUTE(SUBSTITUTE(TRIM(N962),".",""),"/",""),"-","")," ",""),"(",""),")",""),"+",""))=10,"ERRO: é fixo (ou falta o 9), use a coluna Telefone fixo","ERRO: DDD + 9 + 8 dígitos")))</f>
      </c>
      <c r="Y962" s="6">
        <f>IF(O962="","vazio",IF(AND(ISNUMBER(FIND("@",O962)),ISNUMBER(FIND(".",MID(O962,FIND("@",O962),99))),NOT(ISNUMBER(FIND(" ",TRIM(O962)))),NOT(ISNUMBER(FIND(";",O962))),NOT(ISNUMBER(FIND(",",O962)))),"OK","ERRO: um e-mail válido por linha"))</f>
      </c>
      <c r="Z962" s="6">
        <f>IF(AND(J962="",K962=""),"",IF(AND(J962&lt;&gt;"",K962&lt;&gt;""),"OK","pendente: só um nome (o GR completa ao converter)"))</f>
      </c>
      <c r="AA962" s="6">
        <f>IF(COUNTA(A962:S962)=0,"",IF(AND(A962&lt;&gt;"",B962&lt;&gt;"",C962&lt;&gt;"",D962&lt;&gt;"",E962&lt;&gt;"",F962&lt;&gt;"",G962&lt;&gt;"",H962&lt;&gt;"",OR(J962&lt;&gt;"",K962&lt;&gt;""),OR(M962&lt;&gt;"",N962&lt;&gt;"",O962&lt;&gt;"")),"OK","ERRO: faltam "&amp;IF(A962="","SDR; ","")&amp;IF(B962="","Proprietário; ","")&amp;IF(C962="","Origem; ","")&amp;IF(D962="","Temperatura; ","")&amp;IF(E962="","Segmento; ","")&amp;IF(F962="","Time/Cluster; ","")&amp;IF(G962="","CNPJ; ","")&amp;IF(H962="","Razão Social; ","")&amp;IF(AND(J962="",K962=""),"nome do contato; ","")&amp;IF(AND(M962="",N962="",O962=""),"telefone, celular ou e-mail; ","")))</f>
      </c>
      <c r="AB962" s="6">
        <f>IF(COUNTA(A962:S962)=0,"",IF(AND(U962="OK",V962="OK",LEFT(W962,4)&lt;&gt;"ERRO",LEFT(X962,4)&lt;&gt;"ERRO",LEFT(Y962,4)&lt;&gt;"ERRO",AA962="OK"),"OK","REVISAR"))</f>
      </c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5"/>
      <c r="K963" s="4"/>
      <c r="L963" s="4"/>
      <c r="M963" s="4"/>
      <c r="N963" s="4"/>
      <c r="O963" s="4"/>
      <c r="P963" s="4"/>
      <c r="Q963" s="4"/>
      <c r="R963" s="4"/>
      <c r="S963" s="4"/>
      <c r="T963" s="6">
        <f>IF(G963="","",SUBSTITUTE(SUBSTITUTE(SUBSTITUTE(SUBSTITUTE(SUBSTITUTE(SUBSTITUTE(SUBSTITUTE(TRIM(G963),".",""),"/",""),"-","")," ",""),"(",""),")",""),"+",""))</f>
      </c>
      <c r="U963" s="6">
        <f>IF(T963="","",IF(LEN(T963)&lt;&gt;14,"ERRO: "&amp;LEN(T963)&amp;" dígitos",IF(NOT(ISNUMBER(VALUE(T963))),"ERRO: não numérico",IF(LEN(SUBSTITUTE(T963,LEFT(T963,1),""))=0,"ERRO: dígitos repetidos",IF(AND(VALUE(MID(T963,13,1))=IF(MOD(SUMPRODUCT(--MID(T963,{1,2,3,4,5,6,7,8,9,10,11,12},1),{5,4,3,2,9,8,7,6,5,4,3,2}),11)&lt;2,0,11-MOD(SUMPRODUCT(--MID(T963,{1,2,3,4,5,6,7,8,9,10,11,12},1),{5,4,3,2,9,8,7,6,5,4,3,2}),11)),VALUE(MID(T963,14,1))=IF(MOD(SUMPRODUCT(--MID(T963,{1,2,3,4,5,6,7,8,9,10,11,12,13},1),{6,5,4,3,2,9,8,7,6,5,4,3,2}),11)&lt;2,0,11-MOD(SUMPRODUCT(--MID(T963,{1,2,3,4,5,6,7,8,9,10,11,12,13},1),{6,5,4,3,2,9,8,7,6,5,4,3,2}),11))),"OK","ERRO: dígito verificador")))))</f>
      </c>
      <c r="V963" s="6">
        <f>IF(T963="","",IF(COUNTIF($T$2:$T$1001,T963)&gt;1,"DUPLICADO","OK"))</f>
      </c>
      <c r="W963" s="6">
        <f>IF(M963="","vazio",IF(OR(AND(LEN(SUBSTITUTE(SUBSTITUTE(SUBSTITUTE(SUBSTITUTE(SUBSTITUTE(SUBSTITUTE(SUBSTITUTE(TRIM(M963),".",""),"/",""),"-","")," ",""),"(",""),")",""),"+",""))=10,LEFT(SUBSTITUTE(SUBSTITUTE(SUBSTITUTE(SUBSTITUTE(SUBSTITUTE(SUBSTITUTE(SUBSTITUTE(TRIM(M963),".",""),"/",""),"-","")," ",""),"(",""),")",""),"+",""),1)&lt;&gt;"0"),AND(LEN(SUBSTITUTE(SUBSTITUTE(SUBSTITUTE(SUBSTITUTE(SUBSTITUTE(SUBSTITUTE(SUBSTITUTE(TRIM(M963),".",""),"/",""),"-","")," ",""),"(",""),")",""),"+",""))=11,LEFT(SUBSTITUTE(SUBSTITUTE(SUBSTITUTE(SUBSTITUTE(SUBSTITUTE(SUBSTITUTE(SUBSTITUTE(TRIM(M963),".",""),"/",""),"-","")," ",""),"(",""),")",""),"+",""),4)="0800")),"OK",IF(AND(LEN(SUBSTITUTE(SUBSTITUTE(SUBSTITUTE(SUBSTITUTE(SUBSTITUTE(SUBSTITUTE(SUBSTITUTE(TRIM(M963),".",""),"/",""),"-","")," ",""),"(",""),")",""),"+",""))=11,MID(SUBSTITUTE(SUBSTITUTE(SUBSTITUTE(SUBSTITUTE(SUBSTITUTE(SUBSTITUTE(SUBSTITUTE(TRIM(M963),".",""),"/",""),"-","")," ",""),"(",""),")",""),"+",""),3,1)="9"),"ERRO: é celular, use a coluna Celular","ERRO: DDD + 8 dígitos ou 0800 + 7")))</f>
      </c>
      <c r="X963" s="6">
        <f>IF(N963="","vazio",IF(AND(LEN(SUBSTITUTE(SUBSTITUTE(SUBSTITUTE(SUBSTITUTE(SUBSTITUTE(SUBSTITUTE(SUBSTITUTE(TRIM(N963),".",""),"/",""),"-","")," ",""),"(",""),")",""),"+",""))=11,MID(SUBSTITUTE(SUBSTITUTE(SUBSTITUTE(SUBSTITUTE(SUBSTITUTE(SUBSTITUTE(SUBSTITUTE(TRIM(N963),".",""),"/",""),"-","")," ",""),"(",""),")",""),"+",""),3,1)="9",LEFT(SUBSTITUTE(SUBSTITUTE(SUBSTITUTE(SUBSTITUTE(SUBSTITUTE(SUBSTITUTE(SUBSTITUTE(TRIM(N963),".",""),"/",""),"-","")," ",""),"(",""),")",""),"+",""),1)&lt;&gt;"0"),"OK",IF(LEN(SUBSTITUTE(SUBSTITUTE(SUBSTITUTE(SUBSTITUTE(SUBSTITUTE(SUBSTITUTE(SUBSTITUTE(TRIM(N963),".",""),"/",""),"-","")," ",""),"(",""),")",""),"+",""))=10,"ERRO: é fixo (ou falta o 9), use a coluna Telefone fixo","ERRO: DDD + 9 + 8 dígitos")))</f>
      </c>
      <c r="Y963" s="6">
        <f>IF(O963="","vazio",IF(AND(ISNUMBER(FIND("@",O963)),ISNUMBER(FIND(".",MID(O963,FIND("@",O963),99))),NOT(ISNUMBER(FIND(" ",TRIM(O963)))),NOT(ISNUMBER(FIND(";",O963))),NOT(ISNUMBER(FIND(",",O963)))),"OK","ERRO: um e-mail válido por linha"))</f>
      </c>
      <c r="Z963" s="6">
        <f>IF(AND(J963="",K963=""),"",IF(AND(J963&lt;&gt;"",K963&lt;&gt;""),"OK","pendente: só um nome (o GR completa ao converter)"))</f>
      </c>
      <c r="AA963" s="6">
        <f>IF(COUNTA(A963:S963)=0,"",IF(AND(A963&lt;&gt;"",B963&lt;&gt;"",C963&lt;&gt;"",D963&lt;&gt;"",E963&lt;&gt;"",F963&lt;&gt;"",G963&lt;&gt;"",H963&lt;&gt;"",OR(J963&lt;&gt;"",K963&lt;&gt;""),OR(M963&lt;&gt;"",N963&lt;&gt;"",O963&lt;&gt;"")),"OK","ERRO: faltam "&amp;IF(A963="","SDR; ","")&amp;IF(B963="","Proprietário; ","")&amp;IF(C963="","Origem; ","")&amp;IF(D963="","Temperatura; ","")&amp;IF(E963="","Segmento; ","")&amp;IF(F963="","Time/Cluster; ","")&amp;IF(G963="","CNPJ; ","")&amp;IF(H963="","Razão Social; ","")&amp;IF(AND(J963="",K963=""),"nome do contato; ","")&amp;IF(AND(M963="",N963="",O963=""),"telefone, celular ou e-mail; ","")))</f>
      </c>
      <c r="AB963" s="6">
        <f>IF(COUNTA(A963:S963)=0,"",IF(AND(U963="OK",V963="OK",LEFT(W963,4)&lt;&gt;"ERRO",LEFT(X963,4)&lt;&gt;"ERRO",LEFT(Y963,4)&lt;&gt;"ERRO",AA963="OK"),"OK","REVISAR"))</f>
      </c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5"/>
      <c r="K964" s="4"/>
      <c r="L964" s="4"/>
      <c r="M964" s="4"/>
      <c r="N964" s="4"/>
      <c r="O964" s="4"/>
      <c r="P964" s="4"/>
      <c r="Q964" s="4"/>
      <c r="R964" s="4"/>
      <c r="S964" s="4"/>
      <c r="T964" s="6">
        <f>IF(G964="","",SUBSTITUTE(SUBSTITUTE(SUBSTITUTE(SUBSTITUTE(SUBSTITUTE(SUBSTITUTE(SUBSTITUTE(TRIM(G964),".",""),"/",""),"-","")," ",""),"(",""),")",""),"+",""))</f>
      </c>
      <c r="U964" s="6">
        <f>IF(T964="","",IF(LEN(T964)&lt;&gt;14,"ERRO: "&amp;LEN(T964)&amp;" dígitos",IF(NOT(ISNUMBER(VALUE(T964))),"ERRO: não numérico",IF(LEN(SUBSTITUTE(T964,LEFT(T964,1),""))=0,"ERRO: dígitos repetidos",IF(AND(VALUE(MID(T964,13,1))=IF(MOD(SUMPRODUCT(--MID(T964,{1,2,3,4,5,6,7,8,9,10,11,12},1),{5,4,3,2,9,8,7,6,5,4,3,2}),11)&lt;2,0,11-MOD(SUMPRODUCT(--MID(T964,{1,2,3,4,5,6,7,8,9,10,11,12},1),{5,4,3,2,9,8,7,6,5,4,3,2}),11)),VALUE(MID(T964,14,1))=IF(MOD(SUMPRODUCT(--MID(T964,{1,2,3,4,5,6,7,8,9,10,11,12,13},1),{6,5,4,3,2,9,8,7,6,5,4,3,2}),11)&lt;2,0,11-MOD(SUMPRODUCT(--MID(T964,{1,2,3,4,5,6,7,8,9,10,11,12,13},1),{6,5,4,3,2,9,8,7,6,5,4,3,2}),11))),"OK","ERRO: dígito verificador")))))</f>
      </c>
      <c r="V964" s="6">
        <f>IF(T964="","",IF(COUNTIF($T$2:$T$1001,T964)&gt;1,"DUPLICADO","OK"))</f>
      </c>
      <c r="W964" s="6">
        <f>IF(M964="","vazio",IF(OR(AND(LEN(SUBSTITUTE(SUBSTITUTE(SUBSTITUTE(SUBSTITUTE(SUBSTITUTE(SUBSTITUTE(SUBSTITUTE(TRIM(M964),".",""),"/",""),"-","")," ",""),"(",""),")",""),"+",""))=10,LEFT(SUBSTITUTE(SUBSTITUTE(SUBSTITUTE(SUBSTITUTE(SUBSTITUTE(SUBSTITUTE(SUBSTITUTE(TRIM(M964),".",""),"/",""),"-","")," ",""),"(",""),")",""),"+",""),1)&lt;&gt;"0"),AND(LEN(SUBSTITUTE(SUBSTITUTE(SUBSTITUTE(SUBSTITUTE(SUBSTITUTE(SUBSTITUTE(SUBSTITUTE(TRIM(M964),".",""),"/",""),"-","")," ",""),"(",""),")",""),"+",""))=11,LEFT(SUBSTITUTE(SUBSTITUTE(SUBSTITUTE(SUBSTITUTE(SUBSTITUTE(SUBSTITUTE(SUBSTITUTE(TRIM(M964),".",""),"/",""),"-","")," ",""),"(",""),")",""),"+",""),4)="0800")),"OK",IF(AND(LEN(SUBSTITUTE(SUBSTITUTE(SUBSTITUTE(SUBSTITUTE(SUBSTITUTE(SUBSTITUTE(SUBSTITUTE(TRIM(M964),".",""),"/",""),"-","")," ",""),"(",""),")",""),"+",""))=11,MID(SUBSTITUTE(SUBSTITUTE(SUBSTITUTE(SUBSTITUTE(SUBSTITUTE(SUBSTITUTE(SUBSTITUTE(TRIM(M964),".",""),"/",""),"-","")," ",""),"(",""),")",""),"+",""),3,1)="9"),"ERRO: é celular, use a coluna Celular","ERRO: DDD + 8 dígitos ou 0800 + 7")))</f>
      </c>
      <c r="X964" s="6">
        <f>IF(N964="","vazio",IF(AND(LEN(SUBSTITUTE(SUBSTITUTE(SUBSTITUTE(SUBSTITUTE(SUBSTITUTE(SUBSTITUTE(SUBSTITUTE(TRIM(N964),".",""),"/",""),"-","")," ",""),"(",""),")",""),"+",""))=11,MID(SUBSTITUTE(SUBSTITUTE(SUBSTITUTE(SUBSTITUTE(SUBSTITUTE(SUBSTITUTE(SUBSTITUTE(TRIM(N964),".",""),"/",""),"-","")," ",""),"(",""),")",""),"+",""),3,1)="9",LEFT(SUBSTITUTE(SUBSTITUTE(SUBSTITUTE(SUBSTITUTE(SUBSTITUTE(SUBSTITUTE(SUBSTITUTE(TRIM(N964),".",""),"/",""),"-","")," ",""),"(",""),")",""),"+",""),1)&lt;&gt;"0"),"OK",IF(LEN(SUBSTITUTE(SUBSTITUTE(SUBSTITUTE(SUBSTITUTE(SUBSTITUTE(SUBSTITUTE(SUBSTITUTE(TRIM(N964),".",""),"/",""),"-","")," ",""),"(",""),")",""),"+",""))=10,"ERRO: é fixo (ou falta o 9), use a coluna Telefone fixo","ERRO: DDD + 9 + 8 dígitos")))</f>
      </c>
      <c r="Y964" s="6">
        <f>IF(O964="","vazio",IF(AND(ISNUMBER(FIND("@",O964)),ISNUMBER(FIND(".",MID(O964,FIND("@",O964),99))),NOT(ISNUMBER(FIND(" ",TRIM(O964)))),NOT(ISNUMBER(FIND(";",O964))),NOT(ISNUMBER(FIND(",",O964)))),"OK","ERRO: um e-mail válido por linha"))</f>
      </c>
      <c r="Z964" s="6">
        <f>IF(AND(J964="",K964=""),"",IF(AND(J964&lt;&gt;"",K964&lt;&gt;""),"OK","pendente: só um nome (o GR completa ao converter)"))</f>
      </c>
      <c r="AA964" s="6">
        <f>IF(COUNTA(A964:S964)=0,"",IF(AND(A964&lt;&gt;"",B964&lt;&gt;"",C964&lt;&gt;"",D964&lt;&gt;"",E964&lt;&gt;"",F964&lt;&gt;"",G964&lt;&gt;"",H964&lt;&gt;"",OR(J964&lt;&gt;"",K964&lt;&gt;""),OR(M964&lt;&gt;"",N964&lt;&gt;"",O964&lt;&gt;"")),"OK","ERRO: faltam "&amp;IF(A964="","SDR; ","")&amp;IF(B964="","Proprietário; ","")&amp;IF(C964="","Origem; ","")&amp;IF(D964="","Temperatura; ","")&amp;IF(E964="","Segmento; ","")&amp;IF(F964="","Time/Cluster; ","")&amp;IF(G964="","CNPJ; ","")&amp;IF(H964="","Razão Social; ","")&amp;IF(AND(J964="",K964=""),"nome do contato; ","")&amp;IF(AND(M964="",N964="",O964=""),"telefone, celular ou e-mail; ","")))</f>
      </c>
      <c r="AB964" s="6">
        <f>IF(COUNTA(A964:S964)=0,"",IF(AND(U964="OK",V964="OK",LEFT(W964,4)&lt;&gt;"ERRO",LEFT(X964,4)&lt;&gt;"ERRO",LEFT(Y964,4)&lt;&gt;"ERRO",AA964="OK"),"OK","REVISAR"))</f>
      </c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5"/>
      <c r="K965" s="4"/>
      <c r="L965" s="4"/>
      <c r="M965" s="4"/>
      <c r="N965" s="4"/>
      <c r="O965" s="4"/>
      <c r="P965" s="4"/>
      <c r="Q965" s="4"/>
      <c r="R965" s="4"/>
      <c r="S965" s="4"/>
      <c r="T965" s="6">
        <f>IF(G965="","",SUBSTITUTE(SUBSTITUTE(SUBSTITUTE(SUBSTITUTE(SUBSTITUTE(SUBSTITUTE(SUBSTITUTE(TRIM(G965),".",""),"/",""),"-","")," ",""),"(",""),")",""),"+",""))</f>
      </c>
      <c r="U965" s="6">
        <f>IF(T965="","",IF(LEN(T965)&lt;&gt;14,"ERRO: "&amp;LEN(T965)&amp;" dígitos",IF(NOT(ISNUMBER(VALUE(T965))),"ERRO: não numérico",IF(LEN(SUBSTITUTE(T965,LEFT(T965,1),""))=0,"ERRO: dígitos repetidos",IF(AND(VALUE(MID(T965,13,1))=IF(MOD(SUMPRODUCT(--MID(T965,{1,2,3,4,5,6,7,8,9,10,11,12},1),{5,4,3,2,9,8,7,6,5,4,3,2}),11)&lt;2,0,11-MOD(SUMPRODUCT(--MID(T965,{1,2,3,4,5,6,7,8,9,10,11,12},1),{5,4,3,2,9,8,7,6,5,4,3,2}),11)),VALUE(MID(T965,14,1))=IF(MOD(SUMPRODUCT(--MID(T965,{1,2,3,4,5,6,7,8,9,10,11,12,13},1),{6,5,4,3,2,9,8,7,6,5,4,3,2}),11)&lt;2,0,11-MOD(SUMPRODUCT(--MID(T965,{1,2,3,4,5,6,7,8,9,10,11,12,13},1),{6,5,4,3,2,9,8,7,6,5,4,3,2}),11))),"OK","ERRO: dígito verificador")))))</f>
      </c>
      <c r="V965" s="6">
        <f>IF(T965="","",IF(COUNTIF($T$2:$T$1001,T965)&gt;1,"DUPLICADO","OK"))</f>
      </c>
      <c r="W965" s="6">
        <f>IF(M965="","vazio",IF(OR(AND(LEN(SUBSTITUTE(SUBSTITUTE(SUBSTITUTE(SUBSTITUTE(SUBSTITUTE(SUBSTITUTE(SUBSTITUTE(TRIM(M965),".",""),"/",""),"-","")," ",""),"(",""),")",""),"+",""))=10,LEFT(SUBSTITUTE(SUBSTITUTE(SUBSTITUTE(SUBSTITUTE(SUBSTITUTE(SUBSTITUTE(SUBSTITUTE(TRIM(M965),".",""),"/",""),"-","")," ",""),"(",""),")",""),"+",""),1)&lt;&gt;"0"),AND(LEN(SUBSTITUTE(SUBSTITUTE(SUBSTITUTE(SUBSTITUTE(SUBSTITUTE(SUBSTITUTE(SUBSTITUTE(TRIM(M965),".",""),"/",""),"-","")," ",""),"(",""),")",""),"+",""))=11,LEFT(SUBSTITUTE(SUBSTITUTE(SUBSTITUTE(SUBSTITUTE(SUBSTITUTE(SUBSTITUTE(SUBSTITUTE(TRIM(M965),".",""),"/",""),"-","")," ",""),"(",""),")",""),"+",""),4)="0800")),"OK",IF(AND(LEN(SUBSTITUTE(SUBSTITUTE(SUBSTITUTE(SUBSTITUTE(SUBSTITUTE(SUBSTITUTE(SUBSTITUTE(TRIM(M965),".",""),"/",""),"-","")," ",""),"(",""),")",""),"+",""))=11,MID(SUBSTITUTE(SUBSTITUTE(SUBSTITUTE(SUBSTITUTE(SUBSTITUTE(SUBSTITUTE(SUBSTITUTE(TRIM(M965),".",""),"/",""),"-","")," ",""),"(",""),")",""),"+",""),3,1)="9"),"ERRO: é celular, use a coluna Celular","ERRO: DDD + 8 dígitos ou 0800 + 7")))</f>
      </c>
      <c r="X965" s="6">
        <f>IF(N965="","vazio",IF(AND(LEN(SUBSTITUTE(SUBSTITUTE(SUBSTITUTE(SUBSTITUTE(SUBSTITUTE(SUBSTITUTE(SUBSTITUTE(TRIM(N965),".",""),"/",""),"-","")," ",""),"(",""),")",""),"+",""))=11,MID(SUBSTITUTE(SUBSTITUTE(SUBSTITUTE(SUBSTITUTE(SUBSTITUTE(SUBSTITUTE(SUBSTITUTE(TRIM(N965),".",""),"/",""),"-","")," ",""),"(",""),")",""),"+",""),3,1)="9",LEFT(SUBSTITUTE(SUBSTITUTE(SUBSTITUTE(SUBSTITUTE(SUBSTITUTE(SUBSTITUTE(SUBSTITUTE(TRIM(N965),".",""),"/",""),"-","")," ",""),"(",""),")",""),"+",""),1)&lt;&gt;"0"),"OK",IF(LEN(SUBSTITUTE(SUBSTITUTE(SUBSTITUTE(SUBSTITUTE(SUBSTITUTE(SUBSTITUTE(SUBSTITUTE(TRIM(N965),".",""),"/",""),"-","")," ",""),"(",""),")",""),"+",""))=10,"ERRO: é fixo (ou falta o 9), use a coluna Telefone fixo","ERRO: DDD + 9 + 8 dígitos")))</f>
      </c>
      <c r="Y965" s="6">
        <f>IF(O965="","vazio",IF(AND(ISNUMBER(FIND("@",O965)),ISNUMBER(FIND(".",MID(O965,FIND("@",O965),99))),NOT(ISNUMBER(FIND(" ",TRIM(O965)))),NOT(ISNUMBER(FIND(";",O965))),NOT(ISNUMBER(FIND(",",O965)))),"OK","ERRO: um e-mail válido por linha"))</f>
      </c>
      <c r="Z965" s="6">
        <f>IF(AND(J965="",K965=""),"",IF(AND(J965&lt;&gt;"",K965&lt;&gt;""),"OK","pendente: só um nome (o GR completa ao converter)"))</f>
      </c>
      <c r="AA965" s="6">
        <f>IF(COUNTA(A965:S965)=0,"",IF(AND(A965&lt;&gt;"",B965&lt;&gt;"",C965&lt;&gt;"",D965&lt;&gt;"",E965&lt;&gt;"",F965&lt;&gt;"",G965&lt;&gt;"",H965&lt;&gt;"",OR(J965&lt;&gt;"",K965&lt;&gt;""),OR(M965&lt;&gt;"",N965&lt;&gt;"",O965&lt;&gt;"")),"OK","ERRO: faltam "&amp;IF(A965="","SDR; ","")&amp;IF(B965="","Proprietário; ","")&amp;IF(C965="","Origem; ","")&amp;IF(D965="","Temperatura; ","")&amp;IF(E965="","Segmento; ","")&amp;IF(F965="","Time/Cluster; ","")&amp;IF(G965="","CNPJ; ","")&amp;IF(H965="","Razão Social; ","")&amp;IF(AND(J965="",K965=""),"nome do contato; ","")&amp;IF(AND(M965="",N965="",O965=""),"telefone, celular ou e-mail; ","")))</f>
      </c>
      <c r="AB965" s="6">
        <f>IF(COUNTA(A965:S965)=0,"",IF(AND(U965="OK",V965="OK",LEFT(W965,4)&lt;&gt;"ERRO",LEFT(X965,4)&lt;&gt;"ERRO",LEFT(Y965,4)&lt;&gt;"ERRO",AA965="OK"),"OK","REVISAR"))</f>
      </c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5"/>
      <c r="K966" s="4"/>
      <c r="L966" s="4"/>
      <c r="M966" s="4"/>
      <c r="N966" s="4"/>
      <c r="O966" s="4"/>
      <c r="P966" s="4"/>
      <c r="Q966" s="4"/>
      <c r="R966" s="4"/>
      <c r="S966" s="4"/>
      <c r="T966" s="6">
        <f>IF(G966="","",SUBSTITUTE(SUBSTITUTE(SUBSTITUTE(SUBSTITUTE(SUBSTITUTE(SUBSTITUTE(SUBSTITUTE(TRIM(G966),".",""),"/",""),"-","")," ",""),"(",""),")",""),"+",""))</f>
      </c>
      <c r="U966" s="6">
        <f>IF(T966="","",IF(LEN(T966)&lt;&gt;14,"ERRO: "&amp;LEN(T966)&amp;" dígitos",IF(NOT(ISNUMBER(VALUE(T966))),"ERRO: não numérico",IF(LEN(SUBSTITUTE(T966,LEFT(T966,1),""))=0,"ERRO: dígitos repetidos",IF(AND(VALUE(MID(T966,13,1))=IF(MOD(SUMPRODUCT(--MID(T966,{1,2,3,4,5,6,7,8,9,10,11,12},1),{5,4,3,2,9,8,7,6,5,4,3,2}),11)&lt;2,0,11-MOD(SUMPRODUCT(--MID(T966,{1,2,3,4,5,6,7,8,9,10,11,12},1),{5,4,3,2,9,8,7,6,5,4,3,2}),11)),VALUE(MID(T966,14,1))=IF(MOD(SUMPRODUCT(--MID(T966,{1,2,3,4,5,6,7,8,9,10,11,12,13},1),{6,5,4,3,2,9,8,7,6,5,4,3,2}),11)&lt;2,0,11-MOD(SUMPRODUCT(--MID(T966,{1,2,3,4,5,6,7,8,9,10,11,12,13},1),{6,5,4,3,2,9,8,7,6,5,4,3,2}),11))),"OK","ERRO: dígito verificador")))))</f>
      </c>
      <c r="V966" s="6">
        <f>IF(T966="","",IF(COUNTIF($T$2:$T$1001,T966)&gt;1,"DUPLICADO","OK"))</f>
      </c>
      <c r="W966" s="6">
        <f>IF(M966="","vazio",IF(OR(AND(LEN(SUBSTITUTE(SUBSTITUTE(SUBSTITUTE(SUBSTITUTE(SUBSTITUTE(SUBSTITUTE(SUBSTITUTE(TRIM(M966),".",""),"/",""),"-","")," ",""),"(",""),")",""),"+",""))=10,LEFT(SUBSTITUTE(SUBSTITUTE(SUBSTITUTE(SUBSTITUTE(SUBSTITUTE(SUBSTITUTE(SUBSTITUTE(TRIM(M966),".",""),"/",""),"-","")," ",""),"(",""),")",""),"+",""),1)&lt;&gt;"0"),AND(LEN(SUBSTITUTE(SUBSTITUTE(SUBSTITUTE(SUBSTITUTE(SUBSTITUTE(SUBSTITUTE(SUBSTITUTE(TRIM(M966),".",""),"/",""),"-","")," ",""),"(",""),")",""),"+",""))=11,LEFT(SUBSTITUTE(SUBSTITUTE(SUBSTITUTE(SUBSTITUTE(SUBSTITUTE(SUBSTITUTE(SUBSTITUTE(TRIM(M966),".",""),"/",""),"-","")," ",""),"(",""),")",""),"+",""),4)="0800")),"OK",IF(AND(LEN(SUBSTITUTE(SUBSTITUTE(SUBSTITUTE(SUBSTITUTE(SUBSTITUTE(SUBSTITUTE(SUBSTITUTE(TRIM(M966),".",""),"/",""),"-","")," ",""),"(",""),")",""),"+",""))=11,MID(SUBSTITUTE(SUBSTITUTE(SUBSTITUTE(SUBSTITUTE(SUBSTITUTE(SUBSTITUTE(SUBSTITUTE(TRIM(M966),".",""),"/",""),"-","")," ",""),"(",""),")",""),"+",""),3,1)="9"),"ERRO: é celular, use a coluna Celular","ERRO: DDD + 8 dígitos ou 0800 + 7")))</f>
      </c>
      <c r="X966" s="6">
        <f>IF(N966="","vazio",IF(AND(LEN(SUBSTITUTE(SUBSTITUTE(SUBSTITUTE(SUBSTITUTE(SUBSTITUTE(SUBSTITUTE(SUBSTITUTE(TRIM(N966),".",""),"/",""),"-","")," ",""),"(",""),")",""),"+",""))=11,MID(SUBSTITUTE(SUBSTITUTE(SUBSTITUTE(SUBSTITUTE(SUBSTITUTE(SUBSTITUTE(SUBSTITUTE(TRIM(N966),".",""),"/",""),"-","")," ",""),"(",""),")",""),"+",""),3,1)="9",LEFT(SUBSTITUTE(SUBSTITUTE(SUBSTITUTE(SUBSTITUTE(SUBSTITUTE(SUBSTITUTE(SUBSTITUTE(TRIM(N966),".",""),"/",""),"-","")," ",""),"(",""),")",""),"+",""),1)&lt;&gt;"0"),"OK",IF(LEN(SUBSTITUTE(SUBSTITUTE(SUBSTITUTE(SUBSTITUTE(SUBSTITUTE(SUBSTITUTE(SUBSTITUTE(TRIM(N966),".",""),"/",""),"-","")," ",""),"(",""),")",""),"+",""))=10,"ERRO: é fixo (ou falta o 9), use a coluna Telefone fixo","ERRO: DDD + 9 + 8 dígitos")))</f>
      </c>
      <c r="Y966" s="6">
        <f>IF(O966="","vazio",IF(AND(ISNUMBER(FIND("@",O966)),ISNUMBER(FIND(".",MID(O966,FIND("@",O966),99))),NOT(ISNUMBER(FIND(" ",TRIM(O966)))),NOT(ISNUMBER(FIND(";",O966))),NOT(ISNUMBER(FIND(",",O966)))),"OK","ERRO: um e-mail válido por linha"))</f>
      </c>
      <c r="Z966" s="6">
        <f>IF(AND(J966="",K966=""),"",IF(AND(J966&lt;&gt;"",K966&lt;&gt;""),"OK","pendente: só um nome (o GR completa ao converter)"))</f>
      </c>
      <c r="AA966" s="6">
        <f>IF(COUNTA(A966:S966)=0,"",IF(AND(A966&lt;&gt;"",B966&lt;&gt;"",C966&lt;&gt;"",D966&lt;&gt;"",E966&lt;&gt;"",F966&lt;&gt;"",G966&lt;&gt;"",H966&lt;&gt;"",OR(J966&lt;&gt;"",K966&lt;&gt;""),OR(M966&lt;&gt;"",N966&lt;&gt;"",O966&lt;&gt;"")),"OK","ERRO: faltam "&amp;IF(A966="","SDR; ","")&amp;IF(B966="","Proprietário; ","")&amp;IF(C966="","Origem; ","")&amp;IF(D966="","Temperatura; ","")&amp;IF(E966="","Segmento; ","")&amp;IF(F966="","Time/Cluster; ","")&amp;IF(G966="","CNPJ; ","")&amp;IF(H966="","Razão Social; ","")&amp;IF(AND(J966="",K966=""),"nome do contato; ","")&amp;IF(AND(M966="",N966="",O966=""),"telefone, celular ou e-mail; ","")))</f>
      </c>
      <c r="AB966" s="6">
        <f>IF(COUNTA(A966:S966)=0,"",IF(AND(U966="OK",V966="OK",LEFT(W966,4)&lt;&gt;"ERRO",LEFT(X966,4)&lt;&gt;"ERRO",LEFT(Y966,4)&lt;&gt;"ERRO",AA966="OK"),"OK","REVISAR"))</f>
      </c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5"/>
      <c r="K967" s="4"/>
      <c r="L967" s="4"/>
      <c r="M967" s="4"/>
      <c r="N967" s="4"/>
      <c r="O967" s="4"/>
      <c r="P967" s="4"/>
      <c r="Q967" s="4"/>
      <c r="R967" s="4"/>
      <c r="S967" s="4"/>
      <c r="T967" s="6">
        <f>IF(G967="","",SUBSTITUTE(SUBSTITUTE(SUBSTITUTE(SUBSTITUTE(SUBSTITUTE(SUBSTITUTE(SUBSTITUTE(TRIM(G967),".",""),"/",""),"-","")," ",""),"(",""),")",""),"+",""))</f>
      </c>
      <c r="U967" s="6">
        <f>IF(T967="","",IF(LEN(T967)&lt;&gt;14,"ERRO: "&amp;LEN(T967)&amp;" dígitos",IF(NOT(ISNUMBER(VALUE(T967))),"ERRO: não numérico",IF(LEN(SUBSTITUTE(T967,LEFT(T967,1),""))=0,"ERRO: dígitos repetidos",IF(AND(VALUE(MID(T967,13,1))=IF(MOD(SUMPRODUCT(--MID(T967,{1,2,3,4,5,6,7,8,9,10,11,12},1),{5,4,3,2,9,8,7,6,5,4,3,2}),11)&lt;2,0,11-MOD(SUMPRODUCT(--MID(T967,{1,2,3,4,5,6,7,8,9,10,11,12},1),{5,4,3,2,9,8,7,6,5,4,3,2}),11)),VALUE(MID(T967,14,1))=IF(MOD(SUMPRODUCT(--MID(T967,{1,2,3,4,5,6,7,8,9,10,11,12,13},1),{6,5,4,3,2,9,8,7,6,5,4,3,2}),11)&lt;2,0,11-MOD(SUMPRODUCT(--MID(T967,{1,2,3,4,5,6,7,8,9,10,11,12,13},1),{6,5,4,3,2,9,8,7,6,5,4,3,2}),11))),"OK","ERRO: dígito verificador")))))</f>
      </c>
      <c r="V967" s="6">
        <f>IF(T967="","",IF(COUNTIF($T$2:$T$1001,T967)&gt;1,"DUPLICADO","OK"))</f>
      </c>
      <c r="W967" s="6">
        <f>IF(M967="","vazio",IF(OR(AND(LEN(SUBSTITUTE(SUBSTITUTE(SUBSTITUTE(SUBSTITUTE(SUBSTITUTE(SUBSTITUTE(SUBSTITUTE(TRIM(M967),".",""),"/",""),"-","")," ",""),"(",""),")",""),"+",""))=10,LEFT(SUBSTITUTE(SUBSTITUTE(SUBSTITUTE(SUBSTITUTE(SUBSTITUTE(SUBSTITUTE(SUBSTITUTE(TRIM(M967),".",""),"/",""),"-","")," ",""),"(",""),")",""),"+",""),1)&lt;&gt;"0"),AND(LEN(SUBSTITUTE(SUBSTITUTE(SUBSTITUTE(SUBSTITUTE(SUBSTITUTE(SUBSTITUTE(SUBSTITUTE(TRIM(M967),".",""),"/",""),"-","")," ",""),"(",""),")",""),"+",""))=11,LEFT(SUBSTITUTE(SUBSTITUTE(SUBSTITUTE(SUBSTITUTE(SUBSTITUTE(SUBSTITUTE(SUBSTITUTE(TRIM(M967),".",""),"/",""),"-","")," ",""),"(",""),")",""),"+",""),4)="0800")),"OK",IF(AND(LEN(SUBSTITUTE(SUBSTITUTE(SUBSTITUTE(SUBSTITUTE(SUBSTITUTE(SUBSTITUTE(SUBSTITUTE(TRIM(M967),".",""),"/",""),"-","")," ",""),"(",""),")",""),"+",""))=11,MID(SUBSTITUTE(SUBSTITUTE(SUBSTITUTE(SUBSTITUTE(SUBSTITUTE(SUBSTITUTE(SUBSTITUTE(TRIM(M967),".",""),"/",""),"-","")," ",""),"(",""),")",""),"+",""),3,1)="9"),"ERRO: é celular, use a coluna Celular","ERRO: DDD + 8 dígitos ou 0800 + 7")))</f>
      </c>
      <c r="X967" s="6">
        <f>IF(N967="","vazio",IF(AND(LEN(SUBSTITUTE(SUBSTITUTE(SUBSTITUTE(SUBSTITUTE(SUBSTITUTE(SUBSTITUTE(SUBSTITUTE(TRIM(N967),".",""),"/",""),"-","")," ",""),"(",""),")",""),"+",""))=11,MID(SUBSTITUTE(SUBSTITUTE(SUBSTITUTE(SUBSTITUTE(SUBSTITUTE(SUBSTITUTE(SUBSTITUTE(TRIM(N967),".",""),"/",""),"-","")," ",""),"(",""),")",""),"+",""),3,1)="9",LEFT(SUBSTITUTE(SUBSTITUTE(SUBSTITUTE(SUBSTITUTE(SUBSTITUTE(SUBSTITUTE(SUBSTITUTE(TRIM(N967),".",""),"/",""),"-","")," ",""),"(",""),")",""),"+",""),1)&lt;&gt;"0"),"OK",IF(LEN(SUBSTITUTE(SUBSTITUTE(SUBSTITUTE(SUBSTITUTE(SUBSTITUTE(SUBSTITUTE(SUBSTITUTE(TRIM(N967),".",""),"/",""),"-","")," ",""),"(",""),")",""),"+",""))=10,"ERRO: é fixo (ou falta o 9), use a coluna Telefone fixo","ERRO: DDD + 9 + 8 dígitos")))</f>
      </c>
      <c r="Y967" s="6">
        <f>IF(O967="","vazio",IF(AND(ISNUMBER(FIND("@",O967)),ISNUMBER(FIND(".",MID(O967,FIND("@",O967),99))),NOT(ISNUMBER(FIND(" ",TRIM(O967)))),NOT(ISNUMBER(FIND(";",O967))),NOT(ISNUMBER(FIND(",",O967)))),"OK","ERRO: um e-mail válido por linha"))</f>
      </c>
      <c r="Z967" s="6">
        <f>IF(AND(J967="",K967=""),"",IF(AND(J967&lt;&gt;"",K967&lt;&gt;""),"OK","pendente: só um nome (o GR completa ao converter)"))</f>
      </c>
      <c r="AA967" s="6">
        <f>IF(COUNTA(A967:S967)=0,"",IF(AND(A967&lt;&gt;"",B967&lt;&gt;"",C967&lt;&gt;"",D967&lt;&gt;"",E967&lt;&gt;"",F967&lt;&gt;"",G967&lt;&gt;"",H967&lt;&gt;"",OR(J967&lt;&gt;"",K967&lt;&gt;""),OR(M967&lt;&gt;"",N967&lt;&gt;"",O967&lt;&gt;"")),"OK","ERRO: faltam "&amp;IF(A967="","SDR; ","")&amp;IF(B967="","Proprietário; ","")&amp;IF(C967="","Origem; ","")&amp;IF(D967="","Temperatura; ","")&amp;IF(E967="","Segmento; ","")&amp;IF(F967="","Time/Cluster; ","")&amp;IF(G967="","CNPJ; ","")&amp;IF(H967="","Razão Social; ","")&amp;IF(AND(J967="",K967=""),"nome do contato; ","")&amp;IF(AND(M967="",N967="",O967=""),"telefone, celular ou e-mail; ","")))</f>
      </c>
      <c r="AB967" s="6">
        <f>IF(COUNTA(A967:S967)=0,"",IF(AND(U967="OK",V967="OK",LEFT(W967,4)&lt;&gt;"ERRO",LEFT(X967,4)&lt;&gt;"ERRO",LEFT(Y967,4)&lt;&gt;"ERRO",AA967="OK"),"OK","REVISAR"))</f>
      </c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5"/>
      <c r="K968" s="4"/>
      <c r="L968" s="4"/>
      <c r="M968" s="4"/>
      <c r="N968" s="4"/>
      <c r="O968" s="4"/>
      <c r="P968" s="4"/>
      <c r="Q968" s="4"/>
      <c r="R968" s="4"/>
      <c r="S968" s="4"/>
      <c r="T968" s="6">
        <f>IF(G968="","",SUBSTITUTE(SUBSTITUTE(SUBSTITUTE(SUBSTITUTE(SUBSTITUTE(SUBSTITUTE(SUBSTITUTE(TRIM(G968),".",""),"/",""),"-","")," ",""),"(",""),")",""),"+",""))</f>
      </c>
      <c r="U968" s="6">
        <f>IF(T968="","",IF(LEN(T968)&lt;&gt;14,"ERRO: "&amp;LEN(T968)&amp;" dígitos",IF(NOT(ISNUMBER(VALUE(T968))),"ERRO: não numérico",IF(LEN(SUBSTITUTE(T968,LEFT(T968,1),""))=0,"ERRO: dígitos repetidos",IF(AND(VALUE(MID(T968,13,1))=IF(MOD(SUMPRODUCT(--MID(T968,{1,2,3,4,5,6,7,8,9,10,11,12},1),{5,4,3,2,9,8,7,6,5,4,3,2}),11)&lt;2,0,11-MOD(SUMPRODUCT(--MID(T968,{1,2,3,4,5,6,7,8,9,10,11,12},1),{5,4,3,2,9,8,7,6,5,4,3,2}),11)),VALUE(MID(T968,14,1))=IF(MOD(SUMPRODUCT(--MID(T968,{1,2,3,4,5,6,7,8,9,10,11,12,13},1),{6,5,4,3,2,9,8,7,6,5,4,3,2}),11)&lt;2,0,11-MOD(SUMPRODUCT(--MID(T968,{1,2,3,4,5,6,7,8,9,10,11,12,13},1),{6,5,4,3,2,9,8,7,6,5,4,3,2}),11))),"OK","ERRO: dígito verificador")))))</f>
      </c>
      <c r="V968" s="6">
        <f>IF(T968="","",IF(COUNTIF($T$2:$T$1001,T968)&gt;1,"DUPLICADO","OK"))</f>
      </c>
      <c r="W968" s="6">
        <f>IF(M968="","vazio",IF(OR(AND(LEN(SUBSTITUTE(SUBSTITUTE(SUBSTITUTE(SUBSTITUTE(SUBSTITUTE(SUBSTITUTE(SUBSTITUTE(TRIM(M968),".",""),"/",""),"-","")," ",""),"(",""),")",""),"+",""))=10,LEFT(SUBSTITUTE(SUBSTITUTE(SUBSTITUTE(SUBSTITUTE(SUBSTITUTE(SUBSTITUTE(SUBSTITUTE(TRIM(M968),".",""),"/",""),"-","")," ",""),"(",""),")",""),"+",""),1)&lt;&gt;"0"),AND(LEN(SUBSTITUTE(SUBSTITUTE(SUBSTITUTE(SUBSTITUTE(SUBSTITUTE(SUBSTITUTE(SUBSTITUTE(TRIM(M968),".",""),"/",""),"-","")," ",""),"(",""),")",""),"+",""))=11,LEFT(SUBSTITUTE(SUBSTITUTE(SUBSTITUTE(SUBSTITUTE(SUBSTITUTE(SUBSTITUTE(SUBSTITUTE(TRIM(M968),".",""),"/",""),"-","")," ",""),"(",""),")",""),"+",""),4)="0800")),"OK",IF(AND(LEN(SUBSTITUTE(SUBSTITUTE(SUBSTITUTE(SUBSTITUTE(SUBSTITUTE(SUBSTITUTE(SUBSTITUTE(TRIM(M968),".",""),"/",""),"-","")," ",""),"(",""),")",""),"+",""))=11,MID(SUBSTITUTE(SUBSTITUTE(SUBSTITUTE(SUBSTITUTE(SUBSTITUTE(SUBSTITUTE(SUBSTITUTE(TRIM(M968),".",""),"/",""),"-","")," ",""),"(",""),")",""),"+",""),3,1)="9"),"ERRO: é celular, use a coluna Celular","ERRO: DDD + 8 dígitos ou 0800 + 7")))</f>
      </c>
      <c r="X968" s="6">
        <f>IF(N968="","vazio",IF(AND(LEN(SUBSTITUTE(SUBSTITUTE(SUBSTITUTE(SUBSTITUTE(SUBSTITUTE(SUBSTITUTE(SUBSTITUTE(TRIM(N968),".",""),"/",""),"-","")," ",""),"(",""),")",""),"+",""))=11,MID(SUBSTITUTE(SUBSTITUTE(SUBSTITUTE(SUBSTITUTE(SUBSTITUTE(SUBSTITUTE(SUBSTITUTE(TRIM(N968),".",""),"/",""),"-","")," ",""),"(",""),")",""),"+",""),3,1)="9",LEFT(SUBSTITUTE(SUBSTITUTE(SUBSTITUTE(SUBSTITUTE(SUBSTITUTE(SUBSTITUTE(SUBSTITUTE(TRIM(N968),".",""),"/",""),"-","")," ",""),"(",""),")",""),"+",""),1)&lt;&gt;"0"),"OK",IF(LEN(SUBSTITUTE(SUBSTITUTE(SUBSTITUTE(SUBSTITUTE(SUBSTITUTE(SUBSTITUTE(SUBSTITUTE(TRIM(N968),".",""),"/",""),"-","")," ",""),"(",""),")",""),"+",""))=10,"ERRO: é fixo (ou falta o 9), use a coluna Telefone fixo","ERRO: DDD + 9 + 8 dígitos")))</f>
      </c>
      <c r="Y968" s="6">
        <f>IF(O968="","vazio",IF(AND(ISNUMBER(FIND("@",O968)),ISNUMBER(FIND(".",MID(O968,FIND("@",O968),99))),NOT(ISNUMBER(FIND(" ",TRIM(O968)))),NOT(ISNUMBER(FIND(";",O968))),NOT(ISNUMBER(FIND(",",O968)))),"OK","ERRO: um e-mail válido por linha"))</f>
      </c>
      <c r="Z968" s="6">
        <f>IF(AND(J968="",K968=""),"",IF(AND(J968&lt;&gt;"",K968&lt;&gt;""),"OK","pendente: só um nome (o GR completa ao converter)"))</f>
      </c>
      <c r="AA968" s="6">
        <f>IF(COUNTA(A968:S968)=0,"",IF(AND(A968&lt;&gt;"",B968&lt;&gt;"",C968&lt;&gt;"",D968&lt;&gt;"",E968&lt;&gt;"",F968&lt;&gt;"",G968&lt;&gt;"",H968&lt;&gt;"",OR(J968&lt;&gt;"",K968&lt;&gt;""),OR(M968&lt;&gt;"",N968&lt;&gt;"",O968&lt;&gt;"")),"OK","ERRO: faltam "&amp;IF(A968="","SDR; ","")&amp;IF(B968="","Proprietário; ","")&amp;IF(C968="","Origem; ","")&amp;IF(D968="","Temperatura; ","")&amp;IF(E968="","Segmento; ","")&amp;IF(F968="","Time/Cluster; ","")&amp;IF(G968="","CNPJ; ","")&amp;IF(H968="","Razão Social; ","")&amp;IF(AND(J968="",K968=""),"nome do contato; ","")&amp;IF(AND(M968="",N968="",O968=""),"telefone, celular ou e-mail; ","")))</f>
      </c>
      <c r="AB968" s="6">
        <f>IF(COUNTA(A968:S968)=0,"",IF(AND(U968="OK",V968="OK",LEFT(W968,4)&lt;&gt;"ERRO",LEFT(X968,4)&lt;&gt;"ERRO",LEFT(Y968,4)&lt;&gt;"ERRO",AA968="OK"),"OK","REVISAR"))</f>
      </c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5"/>
      <c r="K969" s="4"/>
      <c r="L969" s="4"/>
      <c r="M969" s="4"/>
      <c r="N969" s="4"/>
      <c r="O969" s="4"/>
      <c r="P969" s="4"/>
      <c r="Q969" s="4"/>
      <c r="R969" s="4"/>
      <c r="S969" s="4"/>
      <c r="T969" s="6">
        <f>IF(G969="","",SUBSTITUTE(SUBSTITUTE(SUBSTITUTE(SUBSTITUTE(SUBSTITUTE(SUBSTITUTE(SUBSTITUTE(TRIM(G969),".",""),"/",""),"-","")," ",""),"(",""),")",""),"+",""))</f>
      </c>
      <c r="U969" s="6">
        <f>IF(T969="","",IF(LEN(T969)&lt;&gt;14,"ERRO: "&amp;LEN(T969)&amp;" dígitos",IF(NOT(ISNUMBER(VALUE(T969))),"ERRO: não numérico",IF(LEN(SUBSTITUTE(T969,LEFT(T969,1),""))=0,"ERRO: dígitos repetidos",IF(AND(VALUE(MID(T969,13,1))=IF(MOD(SUMPRODUCT(--MID(T969,{1,2,3,4,5,6,7,8,9,10,11,12},1),{5,4,3,2,9,8,7,6,5,4,3,2}),11)&lt;2,0,11-MOD(SUMPRODUCT(--MID(T969,{1,2,3,4,5,6,7,8,9,10,11,12},1),{5,4,3,2,9,8,7,6,5,4,3,2}),11)),VALUE(MID(T969,14,1))=IF(MOD(SUMPRODUCT(--MID(T969,{1,2,3,4,5,6,7,8,9,10,11,12,13},1),{6,5,4,3,2,9,8,7,6,5,4,3,2}),11)&lt;2,0,11-MOD(SUMPRODUCT(--MID(T969,{1,2,3,4,5,6,7,8,9,10,11,12,13},1),{6,5,4,3,2,9,8,7,6,5,4,3,2}),11))),"OK","ERRO: dígito verificador")))))</f>
      </c>
      <c r="V969" s="6">
        <f>IF(T969="","",IF(COUNTIF($T$2:$T$1001,T969)&gt;1,"DUPLICADO","OK"))</f>
      </c>
      <c r="W969" s="6">
        <f>IF(M969="","vazio",IF(OR(AND(LEN(SUBSTITUTE(SUBSTITUTE(SUBSTITUTE(SUBSTITUTE(SUBSTITUTE(SUBSTITUTE(SUBSTITUTE(TRIM(M969),".",""),"/",""),"-","")," ",""),"(",""),")",""),"+",""))=10,LEFT(SUBSTITUTE(SUBSTITUTE(SUBSTITUTE(SUBSTITUTE(SUBSTITUTE(SUBSTITUTE(SUBSTITUTE(TRIM(M969),".",""),"/",""),"-","")," ",""),"(",""),")",""),"+",""),1)&lt;&gt;"0"),AND(LEN(SUBSTITUTE(SUBSTITUTE(SUBSTITUTE(SUBSTITUTE(SUBSTITUTE(SUBSTITUTE(SUBSTITUTE(TRIM(M969),".",""),"/",""),"-","")," ",""),"(",""),")",""),"+",""))=11,LEFT(SUBSTITUTE(SUBSTITUTE(SUBSTITUTE(SUBSTITUTE(SUBSTITUTE(SUBSTITUTE(SUBSTITUTE(TRIM(M969),".",""),"/",""),"-","")," ",""),"(",""),")",""),"+",""),4)="0800")),"OK",IF(AND(LEN(SUBSTITUTE(SUBSTITUTE(SUBSTITUTE(SUBSTITUTE(SUBSTITUTE(SUBSTITUTE(SUBSTITUTE(TRIM(M969),".",""),"/",""),"-","")," ",""),"(",""),")",""),"+",""))=11,MID(SUBSTITUTE(SUBSTITUTE(SUBSTITUTE(SUBSTITUTE(SUBSTITUTE(SUBSTITUTE(SUBSTITUTE(TRIM(M969),".",""),"/",""),"-","")," ",""),"(",""),")",""),"+",""),3,1)="9"),"ERRO: é celular, use a coluna Celular","ERRO: DDD + 8 dígitos ou 0800 + 7")))</f>
      </c>
      <c r="X969" s="6">
        <f>IF(N969="","vazio",IF(AND(LEN(SUBSTITUTE(SUBSTITUTE(SUBSTITUTE(SUBSTITUTE(SUBSTITUTE(SUBSTITUTE(SUBSTITUTE(TRIM(N969),".",""),"/",""),"-","")," ",""),"(",""),")",""),"+",""))=11,MID(SUBSTITUTE(SUBSTITUTE(SUBSTITUTE(SUBSTITUTE(SUBSTITUTE(SUBSTITUTE(SUBSTITUTE(TRIM(N969),".",""),"/",""),"-","")," ",""),"(",""),")",""),"+",""),3,1)="9",LEFT(SUBSTITUTE(SUBSTITUTE(SUBSTITUTE(SUBSTITUTE(SUBSTITUTE(SUBSTITUTE(SUBSTITUTE(TRIM(N969),".",""),"/",""),"-","")," ",""),"(",""),")",""),"+",""),1)&lt;&gt;"0"),"OK",IF(LEN(SUBSTITUTE(SUBSTITUTE(SUBSTITUTE(SUBSTITUTE(SUBSTITUTE(SUBSTITUTE(SUBSTITUTE(TRIM(N969),".",""),"/",""),"-","")," ",""),"(",""),")",""),"+",""))=10,"ERRO: é fixo (ou falta o 9), use a coluna Telefone fixo","ERRO: DDD + 9 + 8 dígitos")))</f>
      </c>
      <c r="Y969" s="6">
        <f>IF(O969="","vazio",IF(AND(ISNUMBER(FIND("@",O969)),ISNUMBER(FIND(".",MID(O969,FIND("@",O969),99))),NOT(ISNUMBER(FIND(" ",TRIM(O969)))),NOT(ISNUMBER(FIND(";",O969))),NOT(ISNUMBER(FIND(",",O969)))),"OK","ERRO: um e-mail válido por linha"))</f>
      </c>
      <c r="Z969" s="6">
        <f>IF(AND(J969="",K969=""),"",IF(AND(J969&lt;&gt;"",K969&lt;&gt;""),"OK","pendente: só um nome (o GR completa ao converter)"))</f>
      </c>
      <c r="AA969" s="6">
        <f>IF(COUNTA(A969:S969)=0,"",IF(AND(A969&lt;&gt;"",B969&lt;&gt;"",C969&lt;&gt;"",D969&lt;&gt;"",E969&lt;&gt;"",F969&lt;&gt;"",G969&lt;&gt;"",H969&lt;&gt;"",OR(J969&lt;&gt;"",K969&lt;&gt;""),OR(M969&lt;&gt;"",N969&lt;&gt;"",O969&lt;&gt;"")),"OK","ERRO: faltam "&amp;IF(A969="","SDR; ","")&amp;IF(B969="","Proprietário; ","")&amp;IF(C969="","Origem; ","")&amp;IF(D969="","Temperatura; ","")&amp;IF(E969="","Segmento; ","")&amp;IF(F969="","Time/Cluster; ","")&amp;IF(G969="","CNPJ; ","")&amp;IF(H969="","Razão Social; ","")&amp;IF(AND(J969="",K969=""),"nome do contato; ","")&amp;IF(AND(M969="",N969="",O969=""),"telefone, celular ou e-mail; ","")))</f>
      </c>
      <c r="AB969" s="6">
        <f>IF(COUNTA(A969:S969)=0,"",IF(AND(U969="OK",V969="OK",LEFT(W969,4)&lt;&gt;"ERRO",LEFT(X969,4)&lt;&gt;"ERRO",LEFT(Y969,4)&lt;&gt;"ERRO",AA969="OK"),"OK","REVISAR"))</f>
      </c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5"/>
      <c r="K970" s="4"/>
      <c r="L970" s="4"/>
      <c r="M970" s="4"/>
      <c r="N970" s="4"/>
      <c r="O970" s="4"/>
      <c r="P970" s="4"/>
      <c r="Q970" s="4"/>
      <c r="R970" s="4"/>
      <c r="S970" s="4"/>
      <c r="T970" s="6">
        <f>IF(G970="","",SUBSTITUTE(SUBSTITUTE(SUBSTITUTE(SUBSTITUTE(SUBSTITUTE(SUBSTITUTE(SUBSTITUTE(TRIM(G970),".",""),"/",""),"-","")," ",""),"(",""),")",""),"+",""))</f>
      </c>
      <c r="U970" s="6">
        <f>IF(T970="","",IF(LEN(T970)&lt;&gt;14,"ERRO: "&amp;LEN(T970)&amp;" dígitos",IF(NOT(ISNUMBER(VALUE(T970))),"ERRO: não numérico",IF(LEN(SUBSTITUTE(T970,LEFT(T970,1),""))=0,"ERRO: dígitos repetidos",IF(AND(VALUE(MID(T970,13,1))=IF(MOD(SUMPRODUCT(--MID(T970,{1,2,3,4,5,6,7,8,9,10,11,12},1),{5,4,3,2,9,8,7,6,5,4,3,2}),11)&lt;2,0,11-MOD(SUMPRODUCT(--MID(T970,{1,2,3,4,5,6,7,8,9,10,11,12},1),{5,4,3,2,9,8,7,6,5,4,3,2}),11)),VALUE(MID(T970,14,1))=IF(MOD(SUMPRODUCT(--MID(T970,{1,2,3,4,5,6,7,8,9,10,11,12,13},1),{6,5,4,3,2,9,8,7,6,5,4,3,2}),11)&lt;2,0,11-MOD(SUMPRODUCT(--MID(T970,{1,2,3,4,5,6,7,8,9,10,11,12,13},1),{6,5,4,3,2,9,8,7,6,5,4,3,2}),11))),"OK","ERRO: dígito verificador")))))</f>
      </c>
      <c r="V970" s="6">
        <f>IF(T970="","",IF(COUNTIF($T$2:$T$1001,T970)&gt;1,"DUPLICADO","OK"))</f>
      </c>
      <c r="W970" s="6">
        <f>IF(M970="","vazio",IF(OR(AND(LEN(SUBSTITUTE(SUBSTITUTE(SUBSTITUTE(SUBSTITUTE(SUBSTITUTE(SUBSTITUTE(SUBSTITUTE(TRIM(M970),".",""),"/",""),"-","")," ",""),"(",""),")",""),"+",""))=10,LEFT(SUBSTITUTE(SUBSTITUTE(SUBSTITUTE(SUBSTITUTE(SUBSTITUTE(SUBSTITUTE(SUBSTITUTE(TRIM(M970),".",""),"/",""),"-","")," ",""),"(",""),")",""),"+",""),1)&lt;&gt;"0"),AND(LEN(SUBSTITUTE(SUBSTITUTE(SUBSTITUTE(SUBSTITUTE(SUBSTITUTE(SUBSTITUTE(SUBSTITUTE(TRIM(M970),".",""),"/",""),"-","")," ",""),"(",""),")",""),"+",""))=11,LEFT(SUBSTITUTE(SUBSTITUTE(SUBSTITUTE(SUBSTITUTE(SUBSTITUTE(SUBSTITUTE(SUBSTITUTE(TRIM(M970),".",""),"/",""),"-","")," ",""),"(",""),")",""),"+",""),4)="0800")),"OK",IF(AND(LEN(SUBSTITUTE(SUBSTITUTE(SUBSTITUTE(SUBSTITUTE(SUBSTITUTE(SUBSTITUTE(SUBSTITUTE(TRIM(M970),".",""),"/",""),"-","")," ",""),"(",""),")",""),"+",""))=11,MID(SUBSTITUTE(SUBSTITUTE(SUBSTITUTE(SUBSTITUTE(SUBSTITUTE(SUBSTITUTE(SUBSTITUTE(TRIM(M970),".",""),"/",""),"-","")," ",""),"(",""),")",""),"+",""),3,1)="9"),"ERRO: é celular, use a coluna Celular","ERRO: DDD + 8 dígitos ou 0800 + 7")))</f>
      </c>
      <c r="X970" s="6">
        <f>IF(N970="","vazio",IF(AND(LEN(SUBSTITUTE(SUBSTITUTE(SUBSTITUTE(SUBSTITUTE(SUBSTITUTE(SUBSTITUTE(SUBSTITUTE(TRIM(N970),".",""),"/",""),"-","")," ",""),"(",""),")",""),"+",""))=11,MID(SUBSTITUTE(SUBSTITUTE(SUBSTITUTE(SUBSTITUTE(SUBSTITUTE(SUBSTITUTE(SUBSTITUTE(TRIM(N970),".",""),"/",""),"-","")," ",""),"(",""),")",""),"+",""),3,1)="9",LEFT(SUBSTITUTE(SUBSTITUTE(SUBSTITUTE(SUBSTITUTE(SUBSTITUTE(SUBSTITUTE(SUBSTITUTE(TRIM(N970),".",""),"/",""),"-","")," ",""),"(",""),")",""),"+",""),1)&lt;&gt;"0"),"OK",IF(LEN(SUBSTITUTE(SUBSTITUTE(SUBSTITUTE(SUBSTITUTE(SUBSTITUTE(SUBSTITUTE(SUBSTITUTE(TRIM(N970),".",""),"/",""),"-","")," ",""),"(",""),")",""),"+",""))=10,"ERRO: é fixo (ou falta o 9), use a coluna Telefone fixo","ERRO: DDD + 9 + 8 dígitos")))</f>
      </c>
      <c r="Y970" s="6">
        <f>IF(O970="","vazio",IF(AND(ISNUMBER(FIND("@",O970)),ISNUMBER(FIND(".",MID(O970,FIND("@",O970),99))),NOT(ISNUMBER(FIND(" ",TRIM(O970)))),NOT(ISNUMBER(FIND(";",O970))),NOT(ISNUMBER(FIND(",",O970)))),"OK","ERRO: um e-mail válido por linha"))</f>
      </c>
      <c r="Z970" s="6">
        <f>IF(AND(J970="",K970=""),"",IF(AND(J970&lt;&gt;"",K970&lt;&gt;""),"OK","pendente: só um nome (o GR completa ao converter)"))</f>
      </c>
      <c r="AA970" s="6">
        <f>IF(COUNTA(A970:S970)=0,"",IF(AND(A970&lt;&gt;"",B970&lt;&gt;"",C970&lt;&gt;"",D970&lt;&gt;"",E970&lt;&gt;"",F970&lt;&gt;"",G970&lt;&gt;"",H970&lt;&gt;"",OR(J970&lt;&gt;"",K970&lt;&gt;""),OR(M970&lt;&gt;"",N970&lt;&gt;"",O970&lt;&gt;"")),"OK","ERRO: faltam "&amp;IF(A970="","SDR; ","")&amp;IF(B970="","Proprietário; ","")&amp;IF(C970="","Origem; ","")&amp;IF(D970="","Temperatura; ","")&amp;IF(E970="","Segmento; ","")&amp;IF(F970="","Time/Cluster; ","")&amp;IF(G970="","CNPJ; ","")&amp;IF(H970="","Razão Social; ","")&amp;IF(AND(J970="",K970=""),"nome do contato; ","")&amp;IF(AND(M970="",N970="",O970=""),"telefone, celular ou e-mail; ","")))</f>
      </c>
      <c r="AB970" s="6">
        <f>IF(COUNTA(A970:S970)=0,"",IF(AND(U970="OK",V970="OK",LEFT(W970,4)&lt;&gt;"ERRO",LEFT(X970,4)&lt;&gt;"ERRO",LEFT(Y970,4)&lt;&gt;"ERRO",AA970="OK"),"OK","REVISAR"))</f>
      </c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5"/>
      <c r="K971" s="4"/>
      <c r="L971" s="4"/>
      <c r="M971" s="4"/>
      <c r="N971" s="4"/>
      <c r="O971" s="4"/>
      <c r="P971" s="4"/>
      <c r="Q971" s="4"/>
      <c r="R971" s="4"/>
      <c r="S971" s="4"/>
      <c r="T971" s="6">
        <f>IF(G971="","",SUBSTITUTE(SUBSTITUTE(SUBSTITUTE(SUBSTITUTE(SUBSTITUTE(SUBSTITUTE(SUBSTITUTE(TRIM(G971),".",""),"/",""),"-","")," ",""),"(",""),")",""),"+",""))</f>
      </c>
      <c r="U971" s="6">
        <f>IF(T971="","",IF(LEN(T971)&lt;&gt;14,"ERRO: "&amp;LEN(T971)&amp;" dígitos",IF(NOT(ISNUMBER(VALUE(T971))),"ERRO: não numérico",IF(LEN(SUBSTITUTE(T971,LEFT(T971,1),""))=0,"ERRO: dígitos repetidos",IF(AND(VALUE(MID(T971,13,1))=IF(MOD(SUMPRODUCT(--MID(T971,{1,2,3,4,5,6,7,8,9,10,11,12},1),{5,4,3,2,9,8,7,6,5,4,3,2}),11)&lt;2,0,11-MOD(SUMPRODUCT(--MID(T971,{1,2,3,4,5,6,7,8,9,10,11,12},1),{5,4,3,2,9,8,7,6,5,4,3,2}),11)),VALUE(MID(T971,14,1))=IF(MOD(SUMPRODUCT(--MID(T971,{1,2,3,4,5,6,7,8,9,10,11,12,13},1),{6,5,4,3,2,9,8,7,6,5,4,3,2}),11)&lt;2,0,11-MOD(SUMPRODUCT(--MID(T971,{1,2,3,4,5,6,7,8,9,10,11,12,13},1),{6,5,4,3,2,9,8,7,6,5,4,3,2}),11))),"OK","ERRO: dígito verificador")))))</f>
      </c>
      <c r="V971" s="6">
        <f>IF(T971="","",IF(COUNTIF($T$2:$T$1001,T971)&gt;1,"DUPLICADO","OK"))</f>
      </c>
      <c r="W971" s="6">
        <f>IF(M971="","vazio",IF(OR(AND(LEN(SUBSTITUTE(SUBSTITUTE(SUBSTITUTE(SUBSTITUTE(SUBSTITUTE(SUBSTITUTE(SUBSTITUTE(TRIM(M971),".",""),"/",""),"-","")," ",""),"(",""),")",""),"+",""))=10,LEFT(SUBSTITUTE(SUBSTITUTE(SUBSTITUTE(SUBSTITUTE(SUBSTITUTE(SUBSTITUTE(SUBSTITUTE(TRIM(M971),".",""),"/",""),"-","")," ",""),"(",""),")",""),"+",""),1)&lt;&gt;"0"),AND(LEN(SUBSTITUTE(SUBSTITUTE(SUBSTITUTE(SUBSTITUTE(SUBSTITUTE(SUBSTITUTE(SUBSTITUTE(TRIM(M971),".",""),"/",""),"-","")," ",""),"(",""),")",""),"+",""))=11,LEFT(SUBSTITUTE(SUBSTITUTE(SUBSTITUTE(SUBSTITUTE(SUBSTITUTE(SUBSTITUTE(SUBSTITUTE(TRIM(M971),".",""),"/",""),"-","")," ",""),"(",""),")",""),"+",""),4)="0800")),"OK",IF(AND(LEN(SUBSTITUTE(SUBSTITUTE(SUBSTITUTE(SUBSTITUTE(SUBSTITUTE(SUBSTITUTE(SUBSTITUTE(TRIM(M971),".",""),"/",""),"-","")," ",""),"(",""),")",""),"+",""))=11,MID(SUBSTITUTE(SUBSTITUTE(SUBSTITUTE(SUBSTITUTE(SUBSTITUTE(SUBSTITUTE(SUBSTITUTE(TRIM(M971),".",""),"/",""),"-","")," ",""),"(",""),")",""),"+",""),3,1)="9"),"ERRO: é celular, use a coluna Celular","ERRO: DDD + 8 dígitos ou 0800 + 7")))</f>
      </c>
      <c r="X971" s="6">
        <f>IF(N971="","vazio",IF(AND(LEN(SUBSTITUTE(SUBSTITUTE(SUBSTITUTE(SUBSTITUTE(SUBSTITUTE(SUBSTITUTE(SUBSTITUTE(TRIM(N971),".",""),"/",""),"-","")," ",""),"(",""),")",""),"+",""))=11,MID(SUBSTITUTE(SUBSTITUTE(SUBSTITUTE(SUBSTITUTE(SUBSTITUTE(SUBSTITUTE(SUBSTITUTE(TRIM(N971),".",""),"/",""),"-","")," ",""),"(",""),")",""),"+",""),3,1)="9",LEFT(SUBSTITUTE(SUBSTITUTE(SUBSTITUTE(SUBSTITUTE(SUBSTITUTE(SUBSTITUTE(SUBSTITUTE(TRIM(N971),".",""),"/",""),"-","")," ",""),"(",""),")",""),"+",""),1)&lt;&gt;"0"),"OK",IF(LEN(SUBSTITUTE(SUBSTITUTE(SUBSTITUTE(SUBSTITUTE(SUBSTITUTE(SUBSTITUTE(SUBSTITUTE(TRIM(N971),".",""),"/",""),"-","")," ",""),"(",""),")",""),"+",""))=10,"ERRO: é fixo (ou falta o 9), use a coluna Telefone fixo","ERRO: DDD + 9 + 8 dígitos")))</f>
      </c>
      <c r="Y971" s="6">
        <f>IF(O971="","vazio",IF(AND(ISNUMBER(FIND("@",O971)),ISNUMBER(FIND(".",MID(O971,FIND("@",O971),99))),NOT(ISNUMBER(FIND(" ",TRIM(O971)))),NOT(ISNUMBER(FIND(";",O971))),NOT(ISNUMBER(FIND(",",O971)))),"OK","ERRO: um e-mail válido por linha"))</f>
      </c>
      <c r="Z971" s="6">
        <f>IF(AND(J971="",K971=""),"",IF(AND(J971&lt;&gt;"",K971&lt;&gt;""),"OK","pendente: só um nome (o GR completa ao converter)"))</f>
      </c>
      <c r="AA971" s="6">
        <f>IF(COUNTA(A971:S971)=0,"",IF(AND(A971&lt;&gt;"",B971&lt;&gt;"",C971&lt;&gt;"",D971&lt;&gt;"",E971&lt;&gt;"",F971&lt;&gt;"",G971&lt;&gt;"",H971&lt;&gt;"",OR(J971&lt;&gt;"",K971&lt;&gt;""),OR(M971&lt;&gt;"",N971&lt;&gt;"",O971&lt;&gt;"")),"OK","ERRO: faltam "&amp;IF(A971="","SDR; ","")&amp;IF(B971="","Proprietário; ","")&amp;IF(C971="","Origem; ","")&amp;IF(D971="","Temperatura; ","")&amp;IF(E971="","Segmento; ","")&amp;IF(F971="","Time/Cluster; ","")&amp;IF(G971="","CNPJ; ","")&amp;IF(H971="","Razão Social; ","")&amp;IF(AND(J971="",K971=""),"nome do contato; ","")&amp;IF(AND(M971="",N971="",O971=""),"telefone, celular ou e-mail; ","")))</f>
      </c>
      <c r="AB971" s="6">
        <f>IF(COUNTA(A971:S971)=0,"",IF(AND(U971="OK",V971="OK",LEFT(W971,4)&lt;&gt;"ERRO",LEFT(X971,4)&lt;&gt;"ERRO",LEFT(Y971,4)&lt;&gt;"ERRO",AA971="OK"),"OK","REVISAR"))</f>
      </c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5"/>
      <c r="K972" s="4"/>
      <c r="L972" s="4"/>
      <c r="M972" s="4"/>
      <c r="N972" s="4"/>
      <c r="O972" s="4"/>
      <c r="P972" s="4"/>
      <c r="Q972" s="4"/>
      <c r="R972" s="4"/>
      <c r="S972" s="4"/>
      <c r="T972" s="6">
        <f>IF(G972="","",SUBSTITUTE(SUBSTITUTE(SUBSTITUTE(SUBSTITUTE(SUBSTITUTE(SUBSTITUTE(SUBSTITUTE(TRIM(G972),".",""),"/",""),"-","")," ",""),"(",""),")",""),"+",""))</f>
      </c>
      <c r="U972" s="6">
        <f>IF(T972="","",IF(LEN(T972)&lt;&gt;14,"ERRO: "&amp;LEN(T972)&amp;" dígitos",IF(NOT(ISNUMBER(VALUE(T972))),"ERRO: não numérico",IF(LEN(SUBSTITUTE(T972,LEFT(T972,1),""))=0,"ERRO: dígitos repetidos",IF(AND(VALUE(MID(T972,13,1))=IF(MOD(SUMPRODUCT(--MID(T972,{1,2,3,4,5,6,7,8,9,10,11,12},1),{5,4,3,2,9,8,7,6,5,4,3,2}),11)&lt;2,0,11-MOD(SUMPRODUCT(--MID(T972,{1,2,3,4,5,6,7,8,9,10,11,12},1),{5,4,3,2,9,8,7,6,5,4,3,2}),11)),VALUE(MID(T972,14,1))=IF(MOD(SUMPRODUCT(--MID(T972,{1,2,3,4,5,6,7,8,9,10,11,12,13},1),{6,5,4,3,2,9,8,7,6,5,4,3,2}),11)&lt;2,0,11-MOD(SUMPRODUCT(--MID(T972,{1,2,3,4,5,6,7,8,9,10,11,12,13},1),{6,5,4,3,2,9,8,7,6,5,4,3,2}),11))),"OK","ERRO: dígito verificador")))))</f>
      </c>
      <c r="V972" s="6">
        <f>IF(T972="","",IF(COUNTIF($T$2:$T$1001,T972)&gt;1,"DUPLICADO","OK"))</f>
      </c>
      <c r="W972" s="6">
        <f>IF(M972="","vazio",IF(OR(AND(LEN(SUBSTITUTE(SUBSTITUTE(SUBSTITUTE(SUBSTITUTE(SUBSTITUTE(SUBSTITUTE(SUBSTITUTE(TRIM(M972),".",""),"/",""),"-","")," ",""),"(",""),")",""),"+",""))=10,LEFT(SUBSTITUTE(SUBSTITUTE(SUBSTITUTE(SUBSTITUTE(SUBSTITUTE(SUBSTITUTE(SUBSTITUTE(TRIM(M972),".",""),"/",""),"-","")," ",""),"(",""),")",""),"+",""),1)&lt;&gt;"0"),AND(LEN(SUBSTITUTE(SUBSTITUTE(SUBSTITUTE(SUBSTITUTE(SUBSTITUTE(SUBSTITUTE(SUBSTITUTE(TRIM(M972),".",""),"/",""),"-","")," ",""),"(",""),")",""),"+",""))=11,LEFT(SUBSTITUTE(SUBSTITUTE(SUBSTITUTE(SUBSTITUTE(SUBSTITUTE(SUBSTITUTE(SUBSTITUTE(TRIM(M972),".",""),"/",""),"-","")," ",""),"(",""),")",""),"+",""),4)="0800")),"OK",IF(AND(LEN(SUBSTITUTE(SUBSTITUTE(SUBSTITUTE(SUBSTITUTE(SUBSTITUTE(SUBSTITUTE(SUBSTITUTE(TRIM(M972),".",""),"/",""),"-","")," ",""),"(",""),")",""),"+",""))=11,MID(SUBSTITUTE(SUBSTITUTE(SUBSTITUTE(SUBSTITUTE(SUBSTITUTE(SUBSTITUTE(SUBSTITUTE(TRIM(M972),".",""),"/",""),"-","")," ",""),"(",""),")",""),"+",""),3,1)="9"),"ERRO: é celular, use a coluna Celular","ERRO: DDD + 8 dígitos ou 0800 + 7")))</f>
      </c>
      <c r="X972" s="6">
        <f>IF(N972="","vazio",IF(AND(LEN(SUBSTITUTE(SUBSTITUTE(SUBSTITUTE(SUBSTITUTE(SUBSTITUTE(SUBSTITUTE(SUBSTITUTE(TRIM(N972),".",""),"/",""),"-","")," ",""),"(",""),")",""),"+",""))=11,MID(SUBSTITUTE(SUBSTITUTE(SUBSTITUTE(SUBSTITUTE(SUBSTITUTE(SUBSTITUTE(SUBSTITUTE(TRIM(N972),".",""),"/",""),"-","")," ",""),"(",""),")",""),"+",""),3,1)="9",LEFT(SUBSTITUTE(SUBSTITUTE(SUBSTITUTE(SUBSTITUTE(SUBSTITUTE(SUBSTITUTE(SUBSTITUTE(TRIM(N972),".",""),"/",""),"-","")," ",""),"(",""),")",""),"+",""),1)&lt;&gt;"0"),"OK",IF(LEN(SUBSTITUTE(SUBSTITUTE(SUBSTITUTE(SUBSTITUTE(SUBSTITUTE(SUBSTITUTE(SUBSTITUTE(TRIM(N972),".",""),"/",""),"-","")," ",""),"(",""),")",""),"+",""))=10,"ERRO: é fixo (ou falta o 9), use a coluna Telefone fixo","ERRO: DDD + 9 + 8 dígitos")))</f>
      </c>
      <c r="Y972" s="6">
        <f>IF(O972="","vazio",IF(AND(ISNUMBER(FIND("@",O972)),ISNUMBER(FIND(".",MID(O972,FIND("@",O972),99))),NOT(ISNUMBER(FIND(" ",TRIM(O972)))),NOT(ISNUMBER(FIND(";",O972))),NOT(ISNUMBER(FIND(",",O972)))),"OK","ERRO: um e-mail válido por linha"))</f>
      </c>
      <c r="Z972" s="6">
        <f>IF(AND(J972="",K972=""),"",IF(AND(J972&lt;&gt;"",K972&lt;&gt;""),"OK","pendente: só um nome (o GR completa ao converter)"))</f>
      </c>
      <c r="AA972" s="6">
        <f>IF(COUNTA(A972:S972)=0,"",IF(AND(A972&lt;&gt;"",B972&lt;&gt;"",C972&lt;&gt;"",D972&lt;&gt;"",E972&lt;&gt;"",F972&lt;&gt;"",G972&lt;&gt;"",H972&lt;&gt;"",OR(J972&lt;&gt;"",K972&lt;&gt;""),OR(M972&lt;&gt;"",N972&lt;&gt;"",O972&lt;&gt;"")),"OK","ERRO: faltam "&amp;IF(A972="","SDR; ","")&amp;IF(B972="","Proprietário; ","")&amp;IF(C972="","Origem; ","")&amp;IF(D972="","Temperatura; ","")&amp;IF(E972="","Segmento; ","")&amp;IF(F972="","Time/Cluster; ","")&amp;IF(G972="","CNPJ; ","")&amp;IF(H972="","Razão Social; ","")&amp;IF(AND(J972="",K972=""),"nome do contato; ","")&amp;IF(AND(M972="",N972="",O972=""),"telefone, celular ou e-mail; ","")))</f>
      </c>
      <c r="AB972" s="6">
        <f>IF(COUNTA(A972:S972)=0,"",IF(AND(U972="OK",V972="OK",LEFT(W972,4)&lt;&gt;"ERRO",LEFT(X972,4)&lt;&gt;"ERRO",LEFT(Y972,4)&lt;&gt;"ERRO",AA972="OK"),"OK","REVISAR"))</f>
      </c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5"/>
      <c r="K973" s="4"/>
      <c r="L973" s="4"/>
      <c r="M973" s="4"/>
      <c r="N973" s="4"/>
      <c r="O973" s="4"/>
      <c r="P973" s="4"/>
      <c r="Q973" s="4"/>
      <c r="R973" s="4"/>
      <c r="S973" s="4"/>
      <c r="T973" s="6">
        <f>IF(G973="","",SUBSTITUTE(SUBSTITUTE(SUBSTITUTE(SUBSTITUTE(SUBSTITUTE(SUBSTITUTE(SUBSTITUTE(TRIM(G973),".",""),"/",""),"-","")," ",""),"(",""),")",""),"+",""))</f>
      </c>
      <c r="U973" s="6">
        <f>IF(T973="","",IF(LEN(T973)&lt;&gt;14,"ERRO: "&amp;LEN(T973)&amp;" dígitos",IF(NOT(ISNUMBER(VALUE(T973))),"ERRO: não numérico",IF(LEN(SUBSTITUTE(T973,LEFT(T973,1),""))=0,"ERRO: dígitos repetidos",IF(AND(VALUE(MID(T973,13,1))=IF(MOD(SUMPRODUCT(--MID(T973,{1,2,3,4,5,6,7,8,9,10,11,12},1),{5,4,3,2,9,8,7,6,5,4,3,2}),11)&lt;2,0,11-MOD(SUMPRODUCT(--MID(T973,{1,2,3,4,5,6,7,8,9,10,11,12},1),{5,4,3,2,9,8,7,6,5,4,3,2}),11)),VALUE(MID(T973,14,1))=IF(MOD(SUMPRODUCT(--MID(T973,{1,2,3,4,5,6,7,8,9,10,11,12,13},1),{6,5,4,3,2,9,8,7,6,5,4,3,2}),11)&lt;2,0,11-MOD(SUMPRODUCT(--MID(T973,{1,2,3,4,5,6,7,8,9,10,11,12,13},1),{6,5,4,3,2,9,8,7,6,5,4,3,2}),11))),"OK","ERRO: dígito verificador")))))</f>
      </c>
      <c r="V973" s="6">
        <f>IF(T973="","",IF(COUNTIF($T$2:$T$1001,T973)&gt;1,"DUPLICADO","OK"))</f>
      </c>
      <c r="W973" s="6">
        <f>IF(M973="","vazio",IF(OR(AND(LEN(SUBSTITUTE(SUBSTITUTE(SUBSTITUTE(SUBSTITUTE(SUBSTITUTE(SUBSTITUTE(SUBSTITUTE(TRIM(M973),".",""),"/",""),"-","")," ",""),"(",""),")",""),"+",""))=10,LEFT(SUBSTITUTE(SUBSTITUTE(SUBSTITUTE(SUBSTITUTE(SUBSTITUTE(SUBSTITUTE(SUBSTITUTE(TRIM(M973),".",""),"/",""),"-","")," ",""),"(",""),")",""),"+",""),1)&lt;&gt;"0"),AND(LEN(SUBSTITUTE(SUBSTITUTE(SUBSTITUTE(SUBSTITUTE(SUBSTITUTE(SUBSTITUTE(SUBSTITUTE(TRIM(M973),".",""),"/",""),"-","")," ",""),"(",""),")",""),"+",""))=11,LEFT(SUBSTITUTE(SUBSTITUTE(SUBSTITUTE(SUBSTITUTE(SUBSTITUTE(SUBSTITUTE(SUBSTITUTE(TRIM(M973),".",""),"/",""),"-","")," ",""),"(",""),")",""),"+",""),4)="0800")),"OK",IF(AND(LEN(SUBSTITUTE(SUBSTITUTE(SUBSTITUTE(SUBSTITUTE(SUBSTITUTE(SUBSTITUTE(SUBSTITUTE(TRIM(M973),".",""),"/",""),"-","")," ",""),"(",""),")",""),"+",""))=11,MID(SUBSTITUTE(SUBSTITUTE(SUBSTITUTE(SUBSTITUTE(SUBSTITUTE(SUBSTITUTE(SUBSTITUTE(TRIM(M973),".",""),"/",""),"-","")," ",""),"(",""),")",""),"+",""),3,1)="9"),"ERRO: é celular, use a coluna Celular","ERRO: DDD + 8 dígitos ou 0800 + 7")))</f>
      </c>
      <c r="X973" s="6">
        <f>IF(N973="","vazio",IF(AND(LEN(SUBSTITUTE(SUBSTITUTE(SUBSTITUTE(SUBSTITUTE(SUBSTITUTE(SUBSTITUTE(SUBSTITUTE(TRIM(N973),".",""),"/",""),"-","")," ",""),"(",""),")",""),"+",""))=11,MID(SUBSTITUTE(SUBSTITUTE(SUBSTITUTE(SUBSTITUTE(SUBSTITUTE(SUBSTITUTE(SUBSTITUTE(TRIM(N973),".",""),"/",""),"-","")," ",""),"(",""),")",""),"+",""),3,1)="9",LEFT(SUBSTITUTE(SUBSTITUTE(SUBSTITUTE(SUBSTITUTE(SUBSTITUTE(SUBSTITUTE(SUBSTITUTE(TRIM(N973),".",""),"/",""),"-","")," ",""),"(",""),")",""),"+",""),1)&lt;&gt;"0"),"OK",IF(LEN(SUBSTITUTE(SUBSTITUTE(SUBSTITUTE(SUBSTITUTE(SUBSTITUTE(SUBSTITUTE(SUBSTITUTE(TRIM(N973),".",""),"/",""),"-","")," ",""),"(",""),")",""),"+",""))=10,"ERRO: é fixo (ou falta o 9), use a coluna Telefone fixo","ERRO: DDD + 9 + 8 dígitos")))</f>
      </c>
      <c r="Y973" s="6">
        <f>IF(O973="","vazio",IF(AND(ISNUMBER(FIND("@",O973)),ISNUMBER(FIND(".",MID(O973,FIND("@",O973),99))),NOT(ISNUMBER(FIND(" ",TRIM(O973)))),NOT(ISNUMBER(FIND(";",O973))),NOT(ISNUMBER(FIND(",",O973)))),"OK","ERRO: um e-mail válido por linha"))</f>
      </c>
      <c r="Z973" s="6">
        <f>IF(AND(J973="",K973=""),"",IF(AND(J973&lt;&gt;"",K973&lt;&gt;""),"OK","pendente: só um nome (o GR completa ao converter)"))</f>
      </c>
      <c r="AA973" s="6">
        <f>IF(COUNTA(A973:S973)=0,"",IF(AND(A973&lt;&gt;"",B973&lt;&gt;"",C973&lt;&gt;"",D973&lt;&gt;"",E973&lt;&gt;"",F973&lt;&gt;"",G973&lt;&gt;"",H973&lt;&gt;"",OR(J973&lt;&gt;"",K973&lt;&gt;""),OR(M973&lt;&gt;"",N973&lt;&gt;"",O973&lt;&gt;"")),"OK","ERRO: faltam "&amp;IF(A973="","SDR; ","")&amp;IF(B973="","Proprietário; ","")&amp;IF(C973="","Origem; ","")&amp;IF(D973="","Temperatura; ","")&amp;IF(E973="","Segmento; ","")&amp;IF(F973="","Time/Cluster; ","")&amp;IF(G973="","CNPJ; ","")&amp;IF(H973="","Razão Social; ","")&amp;IF(AND(J973="",K973=""),"nome do contato; ","")&amp;IF(AND(M973="",N973="",O973=""),"telefone, celular ou e-mail; ","")))</f>
      </c>
      <c r="AB973" s="6">
        <f>IF(COUNTA(A973:S973)=0,"",IF(AND(U973="OK",V973="OK",LEFT(W973,4)&lt;&gt;"ERRO",LEFT(X973,4)&lt;&gt;"ERRO",LEFT(Y973,4)&lt;&gt;"ERRO",AA973="OK"),"OK","REVISAR"))</f>
      </c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5"/>
      <c r="K974" s="4"/>
      <c r="L974" s="4"/>
      <c r="M974" s="4"/>
      <c r="N974" s="4"/>
      <c r="O974" s="4"/>
      <c r="P974" s="4"/>
      <c r="Q974" s="4"/>
      <c r="R974" s="4"/>
      <c r="S974" s="4"/>
      <c r="T974" s="6">
        <f>IF(G974="","",SUBSTITUTE(SUBSTITUTE(SUBSTITUTE(SUBSTITUTE(SUBSTITUTE(SUBSTITUTE(SUBSTITUTE(TRIM(G974),".",""),"/",""),"-","")," ",""),"(",""),")",""),"+",""))</f>
      </c>
      <c r="U974" s="6">
        <f>IF(T974="","",IF(LEN(T974)&lt;&gt;14,"ERRO: "&amp;LEN(T974)&amp;" dígitos",IF(NOT(ISNUMBER(VALUE(T974))),"ERRO: não numérico",IF(LEN(SUBSTITUTE(T974,LEFT(T974,1),""))=0,"ERRO: dígitos repetidos",IF(AND(VALUE(MID(T974,13,1))=IF(MOD(SUMPRODUCT(--MID(T974,{1,2,3,4,5,6,7,8,9,10,11,12},1),{5,4,3,2,9,8,7,6,5,4,3,2}),11)&lt;2,0,11-MOD(SUMPRODUCT(--MID(T974,{1,2,3,4,5,6,7,8,9,10,11,12},1),{5,4,3,2,9,8,7,6,5,4,3,2}),11)),VALUE(MID(T974,14,1))=IF(MOD(SUMPRODUCT(--MID(T974,{1,2,3,4,5,6,7,8,9,10,11,12,13},1),{6,5,4,3,2,9,8,7,6,5,4,3,2}),11)&lt;2,0,11-MOD(SUMPRODUCT(--MID(T974,{1,2,3,4,5,6,7,8,9,10,11,12,13},1),{6,5,4,3,2,9,8,7,6,5,4,3,2}),11))),"OK","ERRO: dígito verificador")))))</f>
      </c>
      <c r="V974" s="6">
        <f>IF(T974="","",IF(COUNTIF($T$2:$T$1001,T974)&gt;1,"DUPLICADO","OK"))</f>
      </c>
      <c r="W974" s="6">
        <f>IF(M974="","vazio",IF(OR(AND(LEN(SUBSTITUTE(SUBSTITUTE(SUBSTITUTE(SUBSTITUTE(SUBSTITUTE(SUBSTITUTE(SUBSTITUTE(TRIM(M974),".",""),"/",""),"-","")," ",""),"(",""),")",""),"+",""))=10,LEFT(SUBSTITUTE(SUBSTITUTE(SUBSTITUTE(SUBSTITUTE(SUBSTITUTE(SUBSTITUTE(SUBSTITUTE(TRIM(M974),".",""),"/",""),"-","")," ",""),"(",""),")",""),"+",""),1)&lt;&gt;"0"),AND(LEN(SUBSTITUTE(SUBSTITUTE(SUBSTITUTE(SUBSTITUTE(SUBSTITUTE(SUBSTITUTE(SUBSTITUTE(TRIM(M974),".",""),"/",""),"-","")," ",""),"(",""),")",""),"+",""))=11,LEFT(SUBSTITUTE(SUBSTITUTE(SUBSTITUTE(SUBSTITUTE(SUBSTITUTE(SUBSTITUTE(SUBSTITUTE(TRIM(M974),".",""),"/",""),"-","")," ",""),"(",""),")",""),"+",""),4)="0800")),"OK",IF(AND(LEN(SUBSTITUTE(SUBSTITUTE(SUBSTITUTE(SUBSTITUTE(SUBSTITUTE(SUBSTITUTE(SUBSTITUTE(TRIM(M974),".",""),"/",""),"-","")," ",""),"(",""),")",""),"+",""))=11,MID(SUBSTITUTE(SUBSTITUTE(SUBSTITUTE(SUBSTITUTE(SUBSTITUTE(SUBSTITUTE(SUBSTITUTE(TRIM(M974),".",""),"/",""),"-","")," ",""),"(",""),")",""),"+",""),3,1)="9"),"ERRO: é celular, use a coluna Celular","ERRO: DDD + 8 dígitos ou 0800 + 7")))</f>
      </c>
      <c r="X974" s="6">
        <f>IF(N974="","vazio",IF(AND(LEN(SUBSTITUTE(SUBSTITUTE(SUBSTITUTE(SUBSTITUTE(SUBSTITUTE(SUBSTITUTE(SUBSTITUTE(TRIM(N974),".",""),"/",""),"-","")," ",""),"(",""),")",""),"+",""))=11,MID(SUBSTITUTE(SUBSTITUTE(SUBSTITUTE(SUBSTITUTE(SUBSTITUTE(SUBSTITUTE(SUBSTITUTE(TRIM(N974),".",""),"/",""),"-","")," ",""),"(",""),")",""),"+",""),3,1)="9",LEFT(SUBSTITUTE(SUBSTITUTE(SUBSTITUTE(SUBSTITUTE(SUBSTITUTE(SUBSTITUTE(SUBSTITUTE(TRIM(N974),".",""),"/",""),"-","")," ",""),"(",""),")",""),"+",""),1)&lt;&gt;"0"),"OK",IF(LEN(SUBSTITUTE(SUBSTITUTE(SUBSTITUTE(SUBSTITUTE(SUBSTITUTE(SUBSTITUTE(SUBSTITUTE(TRIM(N974),".",""),"/",""),"-","")," ",""),"(",""),")",""),"+",""))=10,"ERRO: é fixo (ou falta o 9), use a coluna Telefone fixo","ERRO: DDD + 9 + 8 dígitos")))</f>
      </c>
      <c r="Y974" s="6">
        <f>IF(O974="","vazio",IF(AND(ISNUMBER(FIND("@",O974)),ISNUMBER(FIND(".",MID(O974,FIND("@",O974),99))),NOT(ISNUMBER(FIND(" ",TRIM(O974)))),NOT(ISNUMBER(FIND(";",O974))),NOT(ISNUMBER(FIND(",",O974)))),"OK","ERRO: um e-mail válido por linha"))</f>
      </c>
      <c r="Z974" s="6">
        <f>IF(AND(J974="",K974=""),"",IF(AND(J974&lt;&gt;"",K974&lt;&gt;""),"OK","pendente: só um nome (o GR completa ao converter)"))</f>
      </c>
      <c r="AA974" s="6">
        <f>IF(COUNTA(A974:S974)=0,"",IF(AND(A974&lt;&gt;"",B974&lt;&gt;"",C974&lt;&gt;"",D974&lt;&gt;"",E974&lt;&gt;"",F974&lt;&gt;"",G974&lt;&gt;"",H974&lt;&gt;"",OR(J974&lt;&gt;"",K974&lt;&gt;""),OR(M974&lt;&gt;"",N974&lt;&gt;"",O974&lt;&gt;"")),"OK","ERRO: faltam "&amp;IF(A974="","SDR; ","")&amp;IF(B974="","Proprietário; ","")&amp;IF(C974="","Origem; ","")&amp;IF(D974="","Temperatura; ","")&amp;IF(E974="","Segmento; ","")&amp;IF(F974="","Time/Cluster; ","")&amp;IF(G974="","CNPJ; ","")&amp;IF(H974="","Razão Social; ","")&amp;IF(AND(J974="",K974=""),"nome do contato; ","")&amp;IF(AND(M974="",N974="",O974=""),"telefone, celular ou e-mail; ","")))</f>
      </c>
      <c r="AB974" s="6">
        <f>IF(COUNTA(A974:S974)=0,"",IF(AND(U974="OK",V974="OK",LEFT(W974,4)&lt;&gt;"ERRO",LEFT(X974,4)&lt;&gt;"ERRO",LEFT(Y974,4)&lt;&gt;"ERRO",AA974="OK"),"OK","REVISAR"))</f>
      </c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5"/>
      <c r="K975" s="4"/>
      <c r="L975" s="4"/>
      <c r="M975" s="4"/>
      <c r="N975" s="4"/>
      <c r="O975" s="4"/>
      <c r="P975" s="4"/>
      <c r="Q975" s="4"/>
      <c r="R975" s="4"/>
      <c r="S975" s="4"/>
      <c r="T975" s="6">
        <f>IF(G975="","",SUBSTITUTE(SUBSTITUTE(SUBSTITUTE(SUBSTITUTE(SUBSTITUTE(SUBSTITUTE(SUBSTITUTE(TRIM(G975),".",""),"/",""),"-","")," ",""),"(",""),")",""),"+",""))</f>
      </c>
      <c r="U975" s="6">
        <f>IF(T975="","",IF(LEN(T975)&lt;&gt;14,"ERRO: "&amp;LEN(T975)&amp;" dígitos",IF(NOT(ISNUMBER(VALUE(T975))),"ERRO: não numérico",IF(LEN(SUBSTITUTE(T975,LEFT(T975,1),""))=0,"ERRO: dígitos repetidos",IF(AND(VALUE(MID(T975,13,1))=IF(MOD(SUMPRODUCT(--MID(T975,{1,2,3,4,5,6,7,8,9,10,11,12},1),{5,4,3,2,9,8,7,6,5,4,3,2}),11)&lt;2,0,11-MOD(SUMPRODUCT(--MID(T975,{1,2,3,4,5,6,7,8,9,10,11,12},1),{5,4,3,2,9,8,7,6,5,4,3,2}),11)),VALUE(MID(T975,14,1))=IF(MOD(SUMPRODUCT(--MID(T975,{1,2,3,4,5,6,7,8,9,10,11,12,13},1),{6,5,4,3,2,9,8,7,6,5,4,3,2}),11)&lt;2,0,11-MOD(SUMPRODUCT(--MID(T975,{1,2,3,4,5,6,7,8,9,10,11,12,13},1),{6,5,4,3,2,9,8,7,6,5,4,3,2}),11))),"OK","ERRO: dígito verificador")))))</f>
      </c>
      <c r="V975" s="6">
        <f>IF(T975="","",IF(COUNTIF($T$2:$T$1001,T975)&gt;1,"DUPLICADO","OK"))</f>
      </c>
      <c r="W975" s="6">
        <f>IF(M975="","vazio",IF(OR(AND(LEN(SUBSTITUTE(SUBSTITUTE(SUBSTITUTE(SUBSTITUTE(SUBSTITUTE(SUBSTITUTE(SUBSTITUTE(TRIM(M975),".",""),"/",""),"-","")," ",""),"(",""),")",""),"+",""))=10,LEFT(SUBSTITUTE(SUBSTITUTE(SUBSTITUTE(SUBSTITUTE(SUBSTITUTE(SUBSTITUTE(SUBSTITUTE(TRIM(M975),".",""),"/",""),"-","")," ",""),"(",""),")",""),"+",""),1)&lt;&gt;"0"),AND(LEN(SUBSTITUTE(SUBSTITUTE(SUBSTITUTE(SUBSTITUTE(SUBSTITUTE(SUBSTITUTE(SUBSTITUTE(TRIM(M975),".",""),"/",""),"-","")," ",""),"(",""),")",""),"+",""))=11,LEFT(SUBSTITUTE(SUBSTITUTE(SUBSTITUTE(SUBSTITUTE(SUBSTITUTE(SUBSTITUTE(SUBSTITUTE(TRIM(M975),".",""),"/",""),"-","")," ",""),"(",""),")",""),"+",""),4)="0800")),"OK",IF(AND(LEN(SUBSTITUTE(SUBSTITUTE(SUBSTITUTE(SUBSTITUTE(SUBSTITUTE(SUBSTITUTE(SUBSTITUTE(TRIM(M975),".",""),"/",""),"-","")," ",""),"(",""),")",""),"+",""))=11,MID(SUBSTITUTE(SUBSTITUTE(SUBSTITUTE(SUBSTITUTE(SUBSTITUTE(SUBSTITUTE(SUBSTITUTE(TRIM(M975),".",""),"/",""),"-","")," ",""),"(",""),")",""),"+",""),3,1)="9"),"ERRO: é celular, use a coluna Celular","ERRO: DDD + 8 dígitos ou 0800 + 7")))</f>
      </c>
      <c r="X975" s="6">
        <f>IF(N975="","vazio",IF(AND(LEN(SUBSTITUTE(SUBSTITUTE(SUBSTITUTE(SUBSTITUTE(SUBSTITUTE(SUBSTITUTE(SUBSTITUTE(TRIM(N975),".",""),"/",""),"-","")," ",""),"(",""),")",""),"+",""))=11,MID(SUBSTITUTE(SUBSTITUTE(SUBSTITUTE(SUBSTITUTE(SUBSTITUTE(SUBSTITUTE(SUBSTITUTE(TRIM(N975),".",""),"/",""),"-","")," ",""),"(",""),")",""),"+",""),3,1)="9",LEFT(SUBSTITUTE(SUBSTITUTE(SUBSTITUTE(SUBSTITUTE(SUBSTITUTE(SUBSTITUTE(SUBSTITUTE(TRIM(N975),".",""),"/",""),"-","")," ",""),"(",""),")",""),"+",""),1)&lt;&gt;"0"),"OK",IF(LEN(SUBSTITUTE(SUBSTITUTE(SUBSTITUTE(SUBSTITUTE(SUBSTITUTE(SUBSTITUTE(SUBSTITUTE(TRIM(N975),".",""),"/",""),"-","")," ",""),"(",""),")",""),"+",""))=10,"ERRO: é fixo (ou falta o 9), use a coluna Telefone fixo","ERRO: DDD + 9 + 8 dígitos")))</f>
      </c>
      <c r="Y975" s="6">
        <f>IF(O975="","vazio",IF(AND(ISNUMBER(FIND("@",O975)),ISNUMBER(FIND(".",MID(O975,FIND("@",O975),99))),NOT(ISNUMBER(FIND(" ",TRIM(O975)))),NOT(ISNUMBER(FIND(";",O975))),NOT(ISNUMBER(FIND(",",O975)))),"OK","ERRO: um e-mail válido por linha"))</f>
      </c>
      <c r="Z975" s="6">
        <f>IF(AND(J975="",K975=""),"",IF(AND(J975&lt;&gt;"",K975&lt;&gt;""),"OK","pendente: só um nome (o GR completa ao converter)"))</f>
      </c>
      <c r="AA975" s="6">
        <f>IF(COUNTA(A975:S975)=0,"",IF(AND(A975&lt;&gt;"",B975&lt;&gt;"",C975&lt;&gt;"",D975&lt;&gt;"",E975&lt;&gt;"",F975&lt;&gt;"",G975&lt;&gt;"",H975&lt;&gt;"",OR(J975&lt;&gt;"",K975&lt;&gt;""),OR(M975&lt;&gt;"",N975&lt;&gt;"",O975&lt;&gt;"")),"OK","ERRO: faltam "&amp;IF(A975="","SDR; ","")&amp;IF(B975="","Proprietário; ","")&amp;IF(C975="","Origem; ","")&amp;IF(D975="","Temperatura; ","")&amp;IF(E975="","Segmento; ","")&amp;IF(F975="","Time/Cluster; ","")&amp;IF(G975="","CNPJ; ","")&amp;IF(H975="","Razão Social; ","")&amp;IF(AND(J975="",K975=""),"nome do contato; ","")&amp;IF(AND(M975="",N975="",O975=""),"telefone, celular ou e-mail; ","")))</f>
      </c>
      <c r="AB975" s="6">
        <f>IF(COUNTA(A975:S975)=0,"",IF(AND(U975="OK",V975="OK",LEFT(W975,4)&lt;&gt;"ERRO",LEFT(X975,4)&lt;&gt;"ERRO",LEFT(Y975,4)&lt;&gt;"ERRO",AA975="OK"),"OK","REVISAR"))</f>
      </c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5"/>
      <c r="K976" s="4"/>
      <c r="L976" s="4"/>
      <c r="M976" s="4"/>
      <c r="N976" s="4"/>
      <c r="O976" s="4"/>
      <c r="P976" s="4"/>
      <c r="Q976" s="4"/>
      <c r="R976" s="4"/>
      <c r="S976" s="4"/>
      <c r="T976" s="6">
        <f>IF(G976="","",SUBSTITUTE(SUBSTITUTE(SUBSTITUTE(SUBSTITUTE(SUBSTITUTE(SUBSTITUTE(SUBSTITUTE(TRIM(G976),".",""),"/",""),"-","")," ",""),"(",""),")",""),"+",""))</f>
      </c>
      <c r="U976" s="6">
        <f>IF(T976="","",IF(LEN(T976)&lt;&gt;14,"ERRO: "&amp;LEN(T976)&amp;" dígitos",IF(NOT(ISNUMBER(VALUE(T976))),"ERRO: não numérico",IF(LEN(SUBSTITUTE(T976,LEFT(T976,1),""))=0,"ERRO: dígitos repetidos",IF(AND(VALUE(MID(T976,13,1))=IF(MOD(SUMPRODUCT(--MID(T976,{1,2,3,4,5,6,7,8,9,10,11,12},1),{5,4,3,2,9,8,7,6,5,4,3,2}),11)&lt;2,0,11-MOD(SUMPRODUCT(--MID(T976,{1,2,3,4,5,6,7,8,9,10,11,12},1),{5,4,3,2,9,8,7,6,5,4,3,2}),11)),VALUE(MID(T976,14,1))=IF(MOD(SUMPRODUCT(--MID(T976,{1,2,3,4,5,6,7,8,9,10,11,12,13},1),{6,5,4,3,2,9,8,7,6,5,4,3,2}),11)&lt;2,0,11-MOD(SUMPRODUCT(--MID(T976,{1,2,3,4,5,6,7,8,9,10,11,12,13},1),{6,5,4,3,2,9,8,7,6,5,4,3,2}),11))),"OK","ERRO: dígito verificador")))))</f>
      </c>
      <c r="V976" s="6">
        <f>IF(T976="","",IF(COUNTIF($T$2:$T$1001,T976)&gt;1,"DUPLICADO","OK"))</f>
      </c>
      <c r="W976" s="6">
        <f>IF(M976="","vazio",IF(OR(AND(LEN(SUBSTITUTE(SUBSTITUTE(SUBSTITUTE(SUBSTITUTE(SUBSTITUTE(SUBSTITUTE(SUBSTITUTE(TRIM(M976),".",""),"/",""),"-","")," ",""),"(",""),")",""),"+",""))=10,LEFT(SUBSTITUTE(SUBSTITUTE(SUBSTITUTE(SUBSTITUTE(SUBSTITUTE(SUBSTITUTE(SUBSTITUTE(TRIM(M976),".",""),"/",""),"-","")," ",""),"(",""),")",""),"+",""),1)&lt;&gt;"0"),AND(LEN(SUBSTITUTE(SUBSTITUTE(SUBSTITUTE(SUBSTITUTE(SUBSTITUTE(SUBSTITUTE(SUBSTITUTE(TRIM(M976),".",""),"/",""),"-","")," ",""),"(",""),")",""),"+",""))=11,LEFT(SUBSTITUTE(SUBSTITUTE(SUBSTITUTE(SUBSTITUTE(SUBSTITUTE(SUBSTITUTE(SUBSTITUTE(TRIM(M976),".",""),"/",""),"-","")," ",""),"(",""),")",""),"+",""),4)="0800")),"OK",IF(AND(LEN(SUBSTITUTE(SUBSTITUTE(SUBSTITUTE(SUBSTITUTE(SUBSTITUTE(SUBSTITUTE(SUBSTITUTE(TRIM(M976),".",""),"/",""),"-","")," ",""),"(",""),")",""),"+",""))=11,MID(SUBSTITUTE(SUBSTITUTE(SUBSTITUTE(SUBSTITUTE(SUBSTITUTE(SUBSTITUTE(SUBSTITUTE(TRIM(M976),".",""),"/",""),"-","")," ",""),"(",""),")",""),"+",""),3,1)="9"),"ERRO: é celular, use a coluna Celular","ERRO: DDD + 8 dígitos ou 0800 + 7")))</f>
      </c>
      <c r="X976" s="6">
        <f>IF(N976="","vazio",IF(AND(LEN(SUBSTITUTE(SUBSTITUTE(SUBSTITUTE(SUBSTITUTE(SUBSTITUTE(SUBSTITUTE(SUBSTITUTE(TRIM(N976),".",""),"/",""),"-","")," ",""),"(",""),")",""),"+",""))=11,MID(SUBSTITUTE(SUBSTITUTE(SUBSTITUTE(SUBSTITUTE(SUBSTITUTE(SUBSTITUTE(SUBSTITUTE(TRIM(N976),".",""),"/",""),"-","")," ",""),"(",""),")",""),"+",""),3,1)="9",LEFT(SUBSTITUTE(SUBSTITUTE(SUBSTITUTE(SUBSTITUTE(SUBSTITUTE(SUBSTITUTE(SUBSTITUTE(TRIM(N976),".",""),"/",""),"-","")," ",""),"(",""),")",""),"+",""),1)&lt;&gt;"0"),"OK",IF(LEN(SUBSTITUTE(SUBSTITUTE(SUBSTITUTE(SUBSTITUTE(SUBSTITUTE(SUBSTITUTE(SUBSTITUTE(TRIM(N976),".",""),"/",""),"-","")," ",""),"(",""),")",""),"+",""))=10,"ERRO: é fixo (ou falta o 9), use a coluna Telefone fixo","ERRO: DDD + 9 + 8 dígitos")))</f>
      </c>
      <c r="Y976" s="6">
        <f>IF(O976="","vazio",IF(AND(ISNUMBER(FIND("@",O976)),ISNUMBER(FIND(".",MID(O976,FIND("@",O976),99))),NOT(ISNUMBER(FIND(" ",TRIM(O976)))),NOT(ISNUMBER(FIND(";",O976))),NOT(ISNUMBER(FIND(",",O976)))),"OK","ERRO: um e-mail válido por linha"))</f>
      </c>
      <c r="Z976" s="6">
        <f>IF(AND(J976="",K976=""),"",IF(AND(J976&lt;&gt;"",K976&lt;&gt;""),"OK","pendente: só um nome (o GR completa ao converter)"))</f>
      </c>
      <c r="AA976" s="6">
        <f>IF(COUNTA(A976:S976)=0,"",IF(AND(A976&lt;&gt;"",B976&lt;&gt;"",C976&lt;&gt;"",D976&lt;&gt;"",E976&lt;&gt;"",F976&lt;&gt;"",G976&lt;&gt;"",H976&lt;&gt;"",OR(J976&lt;&gt;"",K976&lt;&gt;""),OR(M976&lt;&gt;"",N976&lt;&gt;"",O976&lt;&gt;"")),"OK","ERRO: faltam "&amp;IF(A976="","SDR; ","")&amp;IF(B976="","Proprietário; ","")&amp;IF(C976="","Origem; ","")&amp;IF(D976="","Temperatura; ","")&amp;IF(E976="","Segmento; ","")&amp;IF(F976="","Time/Cluster; ","")&amp;IF(G976="","CNPJ; ","")&amp;IF(H976="","Razão Social; ","")&amp;IF(AND(J976="",K976=""),"nome do contato; ","")&amp;IF(AND(M976="",N976="",O976=""),"telefone, celular ou e-mail; ","")))</f>
      </c>
      <c r="AB976" s="6">
        <f>IF(COUNTA(A976:S976)=0,"",IF(AND(U976="OK",V976="OK",LEFT(W976,4)&lt;&gt;"ERRO",LEFT(X976,4)&lt;&gt;"ERRO",LEFT(Y976,4)&lt;&gt;"ERRO",AA976="OK"),"OK","REVISAR"))</f>
      </c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5"/>
      <c r="K977" s="4"/>
      <c r="L977" s="4"/>
      <c r="M977" s="4"/>
      <c r="N977" s="4"/>
      <c r="O977" s="4"/>
      <c r="P977" s="4"/>
      <c r="Q977" s="4"/>
      <c r="R977" s="4"/>
      <c r="S977" s="4"/>
      <c r="T977" s="6">
        <f>IF(G977="","",SUBSTITUTE(SUBSTITUTE(SUBSTITUTE(SUBSTITUTE(SUBSTITUTE(SUBSTITUTE(SUBSTITUTE(TRIM(G977),".",""),"/",""),"-","")," ",""),"(",""),")",""),"+",""))</f>
      </c>
      <c r="U977" s="6">
        <f>IF(T977="","",IF(LEN(T977)&lt;&gt;14,"ERRO: "&amp;LEN(T977)&amp;" dígitos",IF(NOT(ISNUMBER(VALUE(T977))),"ERRO: não numérico",IF(LEN(SUBSTITUTE(T977,LEFT(T977,1),""))=0,"ERRO: dígitos repetidos",IF(AND(VALUE(MID(T977,13,1))=IF(MOD(SUMPRODUCT(--MID(T977,{1,2,3,4,5,6,7,8,9,10,11,12},1),{5,4,3,2,9,8,7,6,5,4,3,2}),11)&lt;2,0,11-MOD(SUMPRODUCT(--MID(T977,{1,2,3,4,5,6,7,8,9,10,11,12},1),{5,4,3,2,9,8,7,6,5,4,3,2}),11)),VALUE(MID(T977,14,1))=IF(MOD(SUMPRODUCT(--MID(T977,{1,2,3,4,5,6,7,8,9,10,11,12,13},1),{6,5,4,3,2,9,8,7,6,5,4,3,2}),11)&lt;2,0,11-MOD(SUMPRODUCT(--MID(T977,{1,2,3,4,5,6,7,8,9,10,11,12,13},1),{6,5,4,3,2,9,8,7,6,5,4,3,2}),11))),"OK","ERRO: dígito verificador")))))</f>
      </c>
      <c r="V977" s="6">
        <f>IF(T977="","",IF(COUNTIF($T$2:$T$1001,T977)&gt;1,"DUPLICADO","OK"))</f>
      </c>
      <c r="W977" s="6">
        <f>IF(M977="","vazio",IF(OR(AND(LEN(SUBSTITUTE(SUBSTITUTE(SUBSTITUTE(SUBSTITUTE(SUBSTITUTE(SUBSTITUTE(SUBSTITUTE(TRIM(M977),".",""),"/",""),"-","")," ",""),"(",""),")",""),"+",""))=10,LEFT(SUBSTITUTE(SUBSTITUTE(SUBSTITUTE(SUBSTITUTE(SUBSTITUTE(SUBSTITUTE(SUBSTITUTE(TRIM(M977),".",""),"/",""),"-","")," ",""),"(",""),")",""),"+",""),1)&lt;&gt;"0"),AND(LEN(SUBSTITUTE(SUBSTITUTE(SUBSTITUTE(SUBSTITUTE(SUBSTITUTE(SUBSTITUTE(SUBSTITUTE(TRIM(M977),".",""),"/",""),"-","")," ",""),"(",""),")",""),"+",""))=11,LEFT(SUBSTITUTE(SUBSTITUTE(SUBSTITUTE(SUBSTITUTE(SUBSTITUTE(SUBSTITUTE(SUBSTITUTE(TRIM(M977),".",""),"/",""),"-","")," ",""),"(",""),")",""),"+",""),4)="0800")),"OK",IF(AND(LEN(SUBSTITUTE(SUBSTITUTE(SUBSTITUTE(SUBSTITUTE(SUBSTITUTE(SUBSTITUTE(SUBSTITUTE(TRIM(M977),".",""),"/",""),"-","")," ",""),"(",""),")",""),"+",""))=11,MID(SUBSTITUTE(SUBSTITUTE(SUBSTITUTE(SUBSTITUTE(SUBSTITUTE(SUBSTITUTE(SUBSTITUTE(TRIM(M977),".",""),"/",""),"-","")," ",""),"(",""),")",""),"+",""),3,1)="9"),"ERRO: é celular, use a coluna Celular","ERRO: DDD + 8 dígitos ou 0800 + 7")))</f>
      </c>
      <c r="X977" s="6">
        <f>IF(N977="","vazio",IF(AND(LEN(SUBSTITUTE(SUBSTITUTE(SUBSTITUTE(SUBSTITUTE(SUBSTITUTE(SUBSTITUTE(SUBSTITUTE(TRIM(N977),".",""),"/",""),"-","")," ",""),"(",""),")",""),"+",""))=11,MID(SUBSTITUTE(SUBSTITUTE(SUBSTITUTE(SUBSTITUTE(SUBSTITUTE(SUBSTITUTE(SUBSTITUTE(TRIM(N977),".",""),"/",""),"-","")," ",""),"(",""),")",""),"+",""),3,1)="9",LEFT(SUBSTITUTE(SUBSTITUTE(SUBSTITUTE(SUBSTITUTE(SUBSTITUTE(SUBSTITUTE(SUBSTITUTE(TRIM(N977),".",""),"/",""),"-","")," ",""),"(",""),")",""),"+",""),1)&lt;&gt;"0"),"OK",IF(LEN(SUBSTITUTE(SUBSTITUTE(SUBSTITUTE(SUBSTITUTE(SUBSTITUTE(SUBSTITUTE(SUBSTITUTE(TRIM(N977),".",""),"/",""),"-","")," ",""),"(",""),")",""),"+",""))=10,"ERRO: é fixo (ou falta o 9), use a coluna Telefone fixo","ERRO: DDD + 9 + 8 dígitos")))</f>
      </c>
      <c r="Y977" s="6">
        <f>IF(O977="","vazio",IF(AND(ISNUMBER(FIND("@",O977)),ISNUMBER(FIND(".",MID(O977,FIND("@",O977),99))),NOT(ISNUMBER(FIND(" ",TRIM(O977)))),NOT(ISNUMBER(FIND(";",O977))),NOT(ISNUMBER(FIND(",",O977)))),"OK","ERRO: um e-mail válido por linha"))</f>
      </c>
      <c r="Z977" s="6">
        <f>IF(AND(J977="",K977=""),"",IF(AND(J977&lt;&gt;"",K977&lt;&gt;""),"OK","pendente: só um nome (o GR completa ao converter)"))</f>
      </c>
      <c r="AA977" s="6">
        <f>IF(COUNTA(A977:S977)=0,"",IF(AND(A977&lt;&gt;"",B977&lt;&gt;"",C977&lt;&gt;"",D977&lt;&gt;"",E977&lt;&gt;"",F977&lt;&gt;"",G977&lt;&gt;"",H977&lt;&gt;"",OR(J977&lt;&gt;"",K977&lt;&gt;""),OR(M977&lt;&gt;"",N977&lt;&gt;"",O977&lt;&gt;"")),"OK","ERRO: faltam "&amp;IF(A977="","SDR; ","")&amp;IF(B977="","Proprietário; ","")&amp;IF(C977="","Origem; ","")&amp;IF(D977="","Temperatura; ","")&amp;IF(E977="","Segmento; ","")&amp;IF(F977="","Time/Cluster; ","")&amp;IF(G977="","CNPJ; ","")&amp;IF(H977="","Razão Social; ","")&amp;IF(AND(J977="",K977=""),"nome do contato; ","")&amp;IF(AND(M977="",N977="",O977=""),"telefone, celular ou e-mail; ","")))</f>
      </c>
      <c r="AB977" s="6">
        <f>IF(COUNTA(A977:S977)=0,"",IF(AND(U977="OK",V977="OK",LEFT(W977,4)&lt;&gt;"ERRO",LEFT(X977,4)&lt;&gt;"ERRO",LEFT(Y977,4)&lt;&gt;"ERRO",AA977="OK"),"OK","REVISAR"))</f>
      </c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5"/>
      <c r="K978" s="4"/>
      <c r="L978" s="4"/>
      <c r="M978" s="4"/>
      <c r="N978" s="4"/>
      <c r="O978" s="4"/>
      <c r="P978" s="4"/>
      <c r="Q978" s="4"/>
      <c r="R978" s="4"/>
      <c r="S978" s="4"/>
      <c r="T978" s="6">
        <f>IF(G978="","",SUBSTITUTE(SUBSTITUTE(SUBSTITUTE(SUBSTITUTE(SUBSTITUTE(SUBSTITUTE(SUBSTITUTE(TRIM(G978),".",""),"/",""),"-","")," ",""),"(",""),")",""),"+",""))</f>
      </c>
      <c r="U978" s="6">
        <f>IF(T978="","",IF(LEN(T978)&lt;&gt;14,"ERRO: "&amp;LEN(T978)&amp;" dígitos",IF(NOT(ISNUMBER(VALUE(T978))),"ERRO: não numérico",IF(LEN(SUBSTITUTE(T978,LEFT(T978,1),""))=0,"ERRO: dígitos repetidos",IF(AND(VALUE(MID(T978,13,1))=IF(MOD(SUMPRODUCT(--MID(T978,{1,2,3,4,5,6,7,8,9,10,11,12},1),{5,4,3,2,9,8,7,6,5,4,3,2}),11)&lt;2,0,11-MOD(SUMPRODUCT(--MID(T978,{1,2,3,4,5,6,7,8,9,10,11,12},1),{5,4,3,2,9,8,7,6,5,4,3,2}),11)),VALUE(MID(T978,14,1))=IF(MOD(SUMPRODUCT(--MID(T978,{1,2,3,4,5,6,7,8,9,10,11,12,13},1),{6,5,4,3,2,9,8,7,6,5,4,3,2}),11)&lt;2,0,11-MOD(SUMPRODUCT(--MID(T978,{1,2,3,4,5,6,7,8,9,10,11,12,13},1),{6,5,4,3,2,9,8,7,6,5,4,3,2}),11))),"OK","ERRO: dígito verificador")))))</f>
      </c>
      <c r="V978" s="6">
        <f>IF(T978="","",IF(COUNTIF($T$2:$T$1001,T978)&gt;1,"DUPLICADO","OK"))</f>
      </c>
      <c r="W978" s="6">
        <f>IF(M978="","vazio",IF(OR(AND(LEN(SUBSTITUTE(SUBSTITUTE(SUBSTITUTE(SUBSTITUTE(SUBSTITUTE(SUBSTITUTE(SUBSTITUTE(TRIM(M978),".",""),"/",""),"-","")," ",""),"(",""),")",""),"+",""))=10,LEFT(SUBSTITUTE(SUBSTITUTE(SUBSTITUTE(SUBSTITUTE(SUBSTITUTE(SUBSTITUTE(SUBSTITUTE(TRIM(M978),".",""),"/",""),"-","")," ",""),"(",""),")",""),"+",""),1)&lt;&gt;"0"),AND(LEN(SUBSTITUTE(SUBSTITUTE(SUBSTITUTE(SUBSTITUTE(SUBSTITUTE(SUBSTITUTE(SUBSTITUTE(TRIM(M978),".",""),"/",""),"-","")," ",""),"(",""),")",""),"+",""))=11,LEFT(SUBSTITUTE(SUBSTITUTE(SUBSTITUTE(SUBSTITUTE(SUBSTITUTE(SUBSTITUTE(SUBSTITUTE(TRIM(M978),".",""),"/",""),"-","")," ",""),"(",""),")",""),"+",""),4)="0800")),"OK",IF(AND(LEN(SUBSTITUTE(SUBSTITUTE(SUBSTITUTE(SUBSTITUTE(SUBSTITUTE(SUBSTITUTE(SUBSTITUTE(TRIM(M978),".",""),"/",""),"-","")," ",""),"(",""),")",""),"+",""))=11,MID(SUBSTITUTE(SUBSTITUTE(SUBSTITUTE(SUBSTITUTE(SUBSTITUTE(SUBSTITUTE(SUBSTITUTE(TRIM(M978),".",""),"/",""),"-","")," ",""),"(",""),")",""),"+",""),3,1)="9"),"ERRO: é celular, use a coluna Celular","ERRO: DDD + 8 dígitos ou 0800 + 7")))</f>
      </c>
      <c r="X978" s="6">
        <f>IF(N978="","vazio",IF(AND(LEN(SUBSTITUTE(SUBSTITUTE(SUBSTITUTE(SUBSTITUTE(SUBSTITUTE(SUBSTITUTE(SUBSTITUTE(TRIM(N978),".",""),"/",""),"-","")," ",""),"(",""),")",""),"+",""))=11,MID(SUBSTITUTE(SUBSTITUTE(SUBSTITUTE(SUBSTITUTE(SUBSTITUTE(SUBSTITUTE(SUBSTITUTE(TRIM(N978),".",""),"/",""),"-","")," ",""),"(",""),")",""),"+",""),3,1)="9",LEFT(SUBSTITUTE(SUBSTITUTE(SUBSTITUTE(SUBSTITUTE(SUBSTITUTE(SUBSTITUTE(SUBSTITUTE(TRIM(N978),".",""),"/",""),"-","")," ",""),"(",""),")",""),"+",""),1)&lt;&gt;"0"),"OK",IF(LEN(SUBSTITUTE(SUBSTITUTE(SUBSTITUTE(SUBSTITUTE(SUBSTITUTE(SUBSTITUTE(SUBSTITUTE(TRIM(N978),".",""),"/",""),"-","")," ",""),"(",""),")",""),"+",""))=10,"ERRO: é fixo (ou falta o 9), use a coluna Telefone fixo","ERRO: DDD + 9 + 8 dígitos")))</f>
      </c>
      <c r="Y978" s="6">
        <f>IF(O978="","vazio",IF(AND(ISNUMBER(FIND("@",O978)),ISNUMBER(FIND(".",MID(O978,FIND("@",O978),99))),NOT(ISNUMBER(FIND(" ",TRIM(O978)))),NOT(ISNUMBER(FIND(";",O978))),NOT(ISNUMBER(FIND(",",O978)))),"OK","ERRO: um e-mail válido por linha"))</f>
      </c>
      <c r="Z978" s="6">
        <f>IF(AND(J978="",K978=""),"",IF(AND(J978&lt;&gt;"",K978&lt;&gt;""),"OK","pendente: só um nome (o GR completa ao converter)"))</f>
      </c>
      <c r="AA978" s="6">
        <f>IF(COUNTA(A978:S978)=0,"",IF(AND(A978&lt;&gt;"",B978&lt;&gt;"",C978&lt;&gt;"",D978&lt;&gt;"",E978&lt;&gt;"",F978&lt;&gt;"",G978&lt;&gt;"",H978&lt;&gt;"",OR(J978&lt;&gt;"",K978&lt;&gt;""),OR(M978&lt;&gt;"",N978&lt;&gt;"",O978&lt;&gt;"")),"OK","ERRO: faltam "&amp;IF(A978="","SDR; ","")&amp;IF(B978="","Proprietário; ","")&amp;IF(C978="","Origem; ","")&amp;IF(D978="","Temperatura; ","")&amp;IF(E978="","Segmento; ","")&amp;IF(F978="","Time/Cluster; ","")&amp;IF(G978="","CNPJ; ","")&amp;IF(H978="","Razão Social; ","")&amp;IF(AND(J978="",K978=""),"nome do contato; ","")&amp;IF(AND(M978="",N978="",O978=""),"telefone, celular ou e-mail; ","")))</f>
      </c>
      <c r="AB978" s="6">
        <f>IF(COUNTA(A978:S978)=0,"",IF(AND(U978="OK",V978="OK",LEFT(W978,4)&lt;&gt;"ERRO",LEFT(X978,4)&lt;&gt;"ERRO",LEFT(Y978,4)&lt;&gt;"ERRO",AA978="OK"),"OK","REVISAR"))</f>
      </c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5"/>
      <c r="K979" s="4"/>
      <c r="L979" s="4"/>
      <c r="M979" s="4"/>
      <c r="N979" s="4"/>
      <c r="O979" s="4"/>
      <c r="P979" s="4"/>
      <c r="Q979" s="4"/>
      <c r="R979" s="4"/>
      <c r="S979" s="4"/>
      <c r="T979" s="6">
        <f>IF(G979="","",SUBSTITUTE(SUBSTITUTE(SUBSTITUTE(SUBSTITUTE(SUBSTITUTE(SUBSTITUTE(SUBSTITUTE(TRIM(G979),".",""),"/",""),"-","")," ",""),"(",""),")",""),"+",""))</f>
      </c>
      <c r="U979" s="6">
        <f>IF(T979="","",IF(LEN(T979)&lt;&gt;14,"ERRO: "&amp;LEN(T979)&amp;" dígitos",IF(NOT(ISNUMBER(VALUE(T979))),"ERRO: não numérico",IF(LEN(SUBSTITUTE(T979,LEFT(T979,1),""))=0,"ERRO: dígitos repetidos",IF(AND(VALUE(MID(T979,13,1))=IF(MOD(SUMPRODUCT(--MID(T979,{1,2,3,4,5,6,7,8,9,10,11,12},1),{5,4,3,2,9,8,7,6,5,4,3,2}),11)&lt;2,0,11-MOD(SUMPRODUCT(--MID(T979,{1,2,3,4,5,6,7,8,9,10,11,12},1),{5,4,3,2,9,8,7,6,5,4,3,2}),11)),VALUE(MID(T979,14,1))=IF(MOD(SUMPRODUCT(--MID(T979,{1,2,3,4,5,6,7,8,9,10,11,12,13},1),{6,5,4,3,2,9,8,7,6,5,4,3,2}),11)&lt;2,0,11-MOD(SUMPRODUCT(--MID(T979,{1,2,3,4,5,6,7,8,9,10,11,12,13},1),{6,5,4,3,2,9,8,7,6,5,4,3,2}),11))),"OK","ERRO: dígito verificador")))))</f>
      </c>
      <c r="V979" s="6">
        <f>IF(T979="","",IF(COUNTIF($T$2:$T$1001,T979)&gt;1,"DUPLICADO","OK"))</f>
      </c>
      <c r="W979" s="6">
        <f>IF(M979="","vazio",IF(OR(AND(LEN(SUBSTITUTE(SUBSTITUTE(SUBSTITUTE(SUBSTITUTE(SUBSTITUTE(SUBSTITUTE(SUBSTITUTE(TRIM(M979),".",""),"/",""),"-","")," ",""),"(",""),")",""),"+",""))=10,LEFT(SUBSTITUTE(SUBSTITUTE(SUBSTITUTE(SUBSTITUTE(SUBSTITUTE(SUBSTITUTE(SUBSTITUTE(TRIM(M979),".",""),"/",""),"-","")," ",""),"(",""),")",""),"+",""),1)&lt;&gt;"0"),AND(LEN(SUBSTITUTE(SUBSTITUTE(SUBSTITUTE(SUBSTITUTE(SUBSTITUTE(SUBSTITUTE(SUBSTITUTE(TRIM(M979),".",""),"/",""),"-","")," ",""),"(",""),")",""),"+",""))=11,LEFT(SUBSTITUTE(SUBSTITUTE(SUBSTITUTE(SUBSTITUTE(SUBSTITUTE(SUBSTITUTE(SUBSTITUTE(TRIM(M979),".",""),"/",""),"-","")," ",""),"(",""),")",""),"+",""),4)="0800")),"OK",IF(AND(LEN(SUBSTITUTE(SUBSTITUTE(SUBSTITUTE(SUBSTITUTE(SUBSTITUTE(SUBSTITUTE(SUBSTITUTE(TRIM(M979),".",""),"/",""),"-","")," ",""),"(",""),")",""),"+",""))=11,MID(SUBSTITUTE(SUBSTITUTE(SUBSTITUTE(SUBSTITUTE(SUBSTITUTE(SUBSTITUTE(SUBSTITUTE(TRIM(M979),".",""),"/",""),"-","")," ",""),"(",""),")",""),"+",""),3,1)="9"),"ERRO: é celular, use a coluna Celular","ERRO: DDD + 8 dígitos ou 0800 + 7")))</f>
      </c>
      <c r="X979" s="6">
        <f>IF(N979="","vazio",IF(AND(LEN(SUBSTITUTE(SUBSTITUTE(SUBSTITUTE(SUBSTITUTE(SUBSTITUTE(SUBSTITUTE(SUBSTITUTE(TRIM(N979),".",""),"/",""),"-","")," ",""),"(",""),")",""),"+",""))=11,MID(SUBSTITUTE(SUBSTITUTE(SUBSTITUTE(SUBSTITUTE(SUBSTITUTE(SUBSTITUTE(SUBSTITUTE(TRIM(N979),".",""),"/",""),"-","")," ",""),"(",""),")",""),"+",""),3,1)="9",LEFT(SUBSTITUTE(SUBSTITUTE(SUBSTITUTE(SUBSTITUTE(SUBSTITUTE(SUBSTITUTE(SUBSTITUTE(TRIM(N979),".",""),"/",""),"-","")," ",""),"(",""),")",""),"+",""),1)&lt;&gt;"0"),"OK",IF(LEN(SUBSTITUTE(SUBSTITUTE(SUBSTITUTE(SUBSTITUTE(SUBSTITUTE(SUBSTITUTE(SUBSTITUTE(TRIM(N979),".",""),"/",""),"-","")," ",""),"(",""),")",""),"+",""))=10,"ERRO: é fixo (ou falta o 9), use a coluna Telefone fixo","ERRO: DDD + 9 + 8 dígitos")))</f>
      </c>
      <c r="Y979" s="6">
        <f>IF(O979="","vazio",IF(AND(ISNUMBER(FIND("@",O979)),ISNUMBER(FIND(".",MID(O979,FIND("@",O979),99))),NOT(ISNUMBER(FIND(" ",TRIM(O979)))),NOT(ISNUMBER(FIND(";",O979))),NOT(ISNUMBER(FIND(",",O979)))),"OK","ERRO: um e-mail válido por linha"))</f>
      </c>
      <c r="Z979" s="6">
        <f>IF(AND(J979="",K979=""),"",IF(AND(J979&lt;&gt;"",K979&lt;&gt;""),"OK","pendente: só um nome (o GR completa ao converter)"))</f>
      </c>
      <c r="AA979" s="6">
        <f>IF(COUNTA(A979:S979)=0,"",IF(AND(A979&lt;&gt;"",B979&lt;&gt;"",C979&lt;&gt;"",D979&lt;&gt;"",E979&lt;&gt;"",F979&lt;&gt;"",G979&lt;&gt;"",H979&lt;&gt;"",OR(J979&lt;&gt;"",K979&lt;&gt;""),OR(M979&lt;&gt;"",N979&lt;&gt;"",O979&lt;&gt;"")),"OK","ERRO: faltam "&amp;IF(A979="","SDR; ","")&amp;IF(B979="","Proprietário; ","")&amp;IF(C979="","Origem; ","")&amp;IF(D979="","Temperatura; ","")&amp;IF(E979="","Segmento; ","")&amp;IF(F979="","Time/Cluster; ","")&amp;IF(G979="","CNPJ; ","")&amp;IF(H979="","Razão Social; ","")&amp;IF(AND(J979="",K979=""),"nome do contato; ","")&amp;IF(AND(M979="",N979="",O979=""),"telefone, celular ou e-mail; ","")))</f>
      </c>
      <c r="AB979" s="6">
        <f>IF(COUNTA(A979:S979)=0,"",IF(AND(U979="OK",V979="OK",LEFT(W979,4)&lt;&gt;"ERRO",LEFT(X979,4)&lt;&gt;"ERRO",LEFT(Y979,4)&lt;&gt;"ERRO",AA979="OK"),"OK","REVISAR"))</f>
      </c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5"/>
      <c r="K980" s="4"/>
      <c r="L980" s="4"/>
      <c r="M980" s="4"/>
      <c r="N980" s="4"/>
      <c r="O980" s="4"/>
      <c r="P980" s="4"/>
      <c r="Q980" s="4"/>
      <c r="R980" s="4"/>
      <c r="S980" s="4"/>
      <c r="T980" s="6">
        <f>IF(G980="","",SUBSTITUTE(SUBSTITUTE(SUBSTITUTE(SUBSTITUTE(SUBSTITUTE(SUBSTITUTE(SUBSTITUTE(TRIM(G980),".",""),"/",""),"-","")," ",""),"(",""),")",""),"+",""))</f>
      </c>
      <c r="U980" s="6">
        <f>IF(T980="","",IF(LEN(T980)&lt;&gt;14,"ERRO: "&amp;LEN(T980)&amp;" dígitos",IF(NOT(ISNUMBER(VALUE(T980))),"ERRO: não numérico",IF(LEN(SUBSTITUTE(T980,LEFT(T980,1),""))=0,"ERRO: dígitos repetidos",IF(AND(VALUE(MID(T980,13,1))=IF(MOD(SUMPRODUCT(--MID(T980,{1,2,3,4,5,6,7,8,9,10,11,12},1),{5,4,3,2,9,8,7,6,5,4,3,2}),11)&lt;2,0,11-MOD(SUMPRODUCT(--MID(T980,{1,2,3,4,5,6,7,8,9,10,11,12},1),{5,4,3,2,9,8,7,6,5,4,3,2}),11)),VALUE(MID(T980,14,1))=IF(MOD(SUMPRODUCT(--MID(T980,{1,2,3,4,5,6,7,8,9,10,11,12,13},1),{6,5,4,3,2,9,8,7,6,5,4,3,2}),11)&lt;2,0,11-MOD(SUMPRODUCT(--MID(T980,{1,2,3,4,5,6,7,8,9,10,11,12,13},1),{6,5,4,3,2,9,8,7,6,5,4,3,2}),11))),"OK","ERRO: dígito verificador")))))</f>
      </c>
      <c r="V980" s="6">
        <f>IF(T980="","",IF(COUNTIF($T$2:$T$1001,T980)&gt;1,"DUPLICADO","OK"))</f>
      </c>
      <c r="W980" s="6">
        <f>IF(M980="","vazio",IF(OR(AND(LEN(SUBSTITUTE(SUBSTITUTE(SUBSTITUTE(SUBSTITUTE(SUBSTITUTE(SUBSTITUTE(SUBSTITUTE(TRIM(M980),".",""),"/",""),"-","")," ",""),"(",""),")",""),"+",""))=10,LEFT(SUBSTITUTE(SUBSTITUTE(SUBSTITUTE(SUBSTITUTE(SUBSTITUTE(SUBSTITUTE(SUBSTITUTE(TRIM(M980),".",""),"/",""),"-","")," ",""),"(",""),")",""),"+",""),1)&lt;&gt;"0"),AND(LEN(SUBSTITUTE(SUBSTITUTE(SUBSTITUTE(SUBSTITUTE(SUBSTITUTE(SUBSTITUTE(SUBSTITUTE(TRIM(M980),".",""),"/",""),"-","")," ",""),"(",""),")",""),"+",""))=11,LEFT(SUBSTITUTE(SUBSTITUTE(SUBSTITUTE(SUBSTITUTE(SUBSTITUTE(SUBSTITUTE(SUBSTITUTE(TRIM(M980),".",""),"/",""),"-","")," ",""),"(",""),")",""),"+",""),4)="0800")),"OK",IF(AND(LEN(SUBSTITUTE(SUBSTITUTE(SUBSTITUTE(SUBSTITUTE(SUBSTITUTE(SUBSTITUTE(SUBSTITUTE(TRIM(M980),".",""),"/",""),"-","")," ",""),"(",""),")",""),"+",""))=11,MID(SUBSTITUTE(SUBSTITUTE(SUBSTITUTE(SUBSTITUTE(SUBSTITUTE(SUBSTITUTE(SUBSTITUTE(TRIM(M980),".",""),"/",""),"-","")," ",""),"(",""),")",""),"+",""),3,1)="9"),"ERRO: é celular, use a coluna Celular","ERRO: DDD + 8 dígitos ou 0800 + 7")))</f>
      </c>
      <c r="X980" s="6">
        <f>IF(N980="","vazio",IF(AND(LEN(SUBSTITUTE(SUBSTITUTE(SUBSTITUTE(SUBSTITUTE(SUBSTITUTE(SUBSTITUTE(SUBSTITUTE(TRIM(N980),".",""),"/",""),"-","")," ",""),"(",""),")",""),"+",""))=11,MID(SUBSTITUTE(SUBSTITUTE(SUBSTITUTE(SUBSTITUTE(SUBSTITUTE(SUBSTITUTE(SUBSTITUTE(TRIM(N980),".",""),"/",""),"-","")," ",""),"(",""),")",""),"+",""),3,1)="9",LEFT(SUBSTITUTE(SUBSTITUTE(SUBSTITUTE(SUBSTITUTE(SUBSTITUTE(SUBSTITUTE(SUBSTITUTE(TRIM(N980),".",""),"/",""),"-","")," ",""),"(",""),")",""),"+",""),1)&lt;&gt;"0"),"OK",IF(LEN(SUBSTITUTE(SUBSTITUTE(SUBSTITUTE(SUBSTITUTE(SUBSTITUTE(SUBSTITUTE(SUBSTITUTE(TRIM(N980),".",""),"/",""),"-","")," ",""),"(",""),")",""),"+",""))=10,"ERRO: é fixo (ou falta o 9), use a coluna Telefone fixo","ERRO: DDD + 9 + 8 dígitos")))</f>
      </c>
      <c r="Y980" s="6">
        <f>IF(O980="","vazio",IF(AND(ISNUMBER(FIND("@",O980)),ISNUMBER(FIND(".",MID(O980,FIND("@",O980),99))),NOT(ISNUMBER(FIND(" ",TRIM(O980)))),NOT(ISNUMBER(FIND(";",O980))),NOT(ISNUMBER(FIND(",",O980)))),"OK","ERRO: um e-mail válido por linha"))</f>
      </c>
      <c r="Z980" s="6">
        <f>IF(AND(J980="",K980=""),"",IF(AND(J980&lt;&gt;"",K980&lt;&gt;""),"OK","pendente: só um nome (o GR completa ao converter)"))</f>
      </c>
      <c r="AA980" s="6">
        <f>IF(COUNTA(A980:S980)=0,"",IF(AND(A980&lt;&gt;"",B980&lt;&gt;"",C980&lt;&gt;"",D980&lt;&gt;"",E980&lt;&gt;"",F980&lt;&gt;"",G980&lt;&gt;"",H980&lt;&gt;"",OR(J980&lt;&gt;"",K980&lt;&gt;""),OR(M980&lt;&gt;"",N980&lt;&gt;"",O980&lt;&gt;"")),"OK","ERRO: faltam "&amp;IF(A980="","SDR; ","")&amp;IF(B980="","Proprietário; ","")&amp;IF(C980="","Origem; ","")&amp;IF(D980="","Temperatura; ","")&amp;IF(E980="","Segmento; ","")&amp;IF(F980="","Time/Cluster; ","")&amp;IF(G980="","CNPJ; ","")&amp;IF(H980="","Razão Social; ","")&amp;IF(AND(J980="",K980=""),"nome do contato; ","")&amp;IF(AND(M980="",N980="",O980=""),"telefone, celular ou e-mail; ","")))</f>
      </c>
      <c r="AB980" s="6">
        <f>IF(COUNTA(A980:S980)=0,"",IF(AND(U980="OK",V980="OK",LEFT(W980,4)&lt;&gt;"ERRO",LEFT(X980,4)&lt;&gt;"ERRO",LEFT(Y980,4)&lt;&gt;"ERRO",AA980="OK"),"OK","REVISAR"))</f>
      </c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5"/>
      <c r="K981" s="4"/>
      <c r="L981" s="4"/>
      <c r="M981" s="4"/>
      <c r="N981" s="4"/>
      <c r="O981" s="4"/>
      <c r="P981" s="4"/>
      <c r="Q981" s="4"/>
      <c r="R981" s="4"/>
      <c r="S981" s="4"/>
      <c r="T981" s="6">
        <f>IF(G981="","",SUBSTITUTE(SUBSTITUTE(SUBSTITUTE(SUBSTITUTE(SUBSTITUTE(SUBSTITUTE(SUBSTITUTE(TRIM(G981),".",""),"/",""),"-","")," ",""),"(",""),")",""),"+",""))</f>
      </c>
      <c r="U981" s="6">
        <f>IF(T981="","",IF(LEN(T981)&lt;&gt;14,"ERRO: "&amp;LEN(T981)&amp;" dígitos",IF(NOT(ISNUMBER(VALUE(T981))),"ERRO: não numérico",IF(LEN(SUBSTITUTE(T981,LEFT(T981,1),""))=0,"ERRO: dígitos repetidos",IF(AND(VALUE(MID(T981,13,1))=IF(MOD(SUMPRODUCT(--MID(T981,{1,2,3,4,5,6,7,8,9,10,11,12},1),{5,4,3,2,9,8,7,6,5,4,3,2}),11)&lt;2,0,11-MOD(SUMPRODUCT(--MID(T981,{1,2,3,4,5,6,7,8,9,10,11,12},1),{5,4,3,2,9,8,7,6,5,4,3,2}),11)),VALUE(MID(T981,14,1))=IF(MOD(SUMPRODUCT(--MID(T981,{1,2,3,4,5,6,7,8,9,10,11,12,13},1),{6,5,4,3,2,9,8,7,6,5,4,3,2}),11)&lt;2,0,11-MOD(SUMPRODUCT(--MID(T981,{1,2,3,4,5,6,7,8,9,10,11,12,13},1),{6,5,4,3,2,9,8,7,6,5,4,3,2}),11))),"OK","ERRO: dígito verificador")))))</f>
      </c>
      <c r="V981" s="6">
        <f>IF(T981="","",IF(COUNTIF($T$2:$T$1001,T981)&gt;1,"DUPLICADO","OK"))</f>
      </c>
      <c r="W981" s="6">
        <f>IF(M981="","vazio",IF(OR(AND(LEN(SUBSTITUTE(SUBSTITUTE(SUBSTITUTE(SUBSTITUTE(SUBSTITUTE(SUBSTITUTE(SUBSTITUTE(TRIM(M981),".",""),"/",""),"-","")," ",""),"(",""),")",""),"+",""))=10,LEFT(SUBSTITUTE(SUBSTITUTE(SUBSTITUTE(SUBSTITUTE(SUBSTITUTE(SUBSTITUTE(SUBSTITUTE(TRIM(M981),".",""),"/",""),"-","")," ",""),"(",""),")",""),"+",""),1)&lt;&gt;"0"),AND(LEN(SUBSTITUTE(SUBSTITUTE(SUBSTITUTE(SUBSTITUTE(SUBSTITUTE(SUBSTITUTE(SUBSTITUTE(TRIM(M981),".",""),"/",""),"-","")," ",""),"(",""),")",""),"+",""))=11,LEFT(SUBSTITUTE(SUBSTITUTE(SUBSTITUTE(SUBSTITUTE(SUBSTITUTE(SUBSTITUTE(SUBSTITUTE(TRIM(M981),".",""),"/",""),"-","")," ",""),"(",""),")",""),"+",""),4)="0800")),"OK",IF(AND(LEN(SUBSTITUTE(SUBSTITUTE(SUBSTITUTE(SUBSTITUTE(SUBSTITUTE(SUBSTITUTE(SUBSTITUTE(TRIM(M981),".",""),"/",""),"-","")," ",""),"(",""),")",""),"+",""))=11,MID(SUBSTITUTE(SUBSTITUTE(SUBSTITUTE(SUBSTITUTE(SUBSTITUTE(SUBSTITUTE(SUBSTITUTE(TRIM(M981),".",""),"/",""),"-","")," ",""),"(",""),")",""),"+",""),3,1)="9"),"ERRO: é celular, use a coluna Celular","ERRO: DDD + 8 dígitos ou 0800 + 7")))</f>
      </c>
      <c r="X981" s="6">
        <f>IF(N981="","vazio",IF(AND(LEN(SUBSTITUTE(SUBSTITUTE(SUBSTITUTE(SUBSTITUTE(SUBSTITUTE(SUBSTITUTE(SUBSTITUTE(TRIM(N981),".",""),"/",""),"-","")," ",""),"(",""),")",""),"+",""))=11,MID(SUBSTITUTE(SUBSTITUTE(SUBSTITUTE(SUBSTITUTE(SUBSTITUTE(SUBSTITUTE(SUBSTITUTE(TRIM(N981),".",""),"/",""),"-","")," ",""),"(",""),")",""),"+",""),3,1)="9",LEFT(SUBSTITUTE(SUBSTITUTE(SUBSTITUTE(SUBSTITUTE(SUBSTITUTE(SUBSTITUTE(SUBSTITUTE(TRIM(N981),".",""),"/",""),"-","")," ",""),"(",""),")",""),"+",""),1)&lt;&gt;"0"),"OK",IF(LEN(SUBSTITUTE(SUBSTITUTE(SUBSTITUTE(SUBSTITUTE(SUBSTITUTE(SUBSTITUTE(SUBSTITUTE(TRIM(N981),".",""),"/",""),"-","")," ",""),"(",""),")",""),"+",""))=10,"ERRO: é fixo (ou falta o 9), use a coluna Telefone fixo","ERRO: DDD + 9 + 8 dígitos")))</f>
      </c>
      <c r="Y981" s="6">
        <f>IF(O981="","vazio",IF(AND(ISNUMBER(FIND("@",O981)),ISNUMBER(FIND(".",MID(O981,FIND("@",O981),99))),NOT(ISNUMBER(FIND(" ",TRIM(O981)))),NOT(ISNUMBER(FIND(";",O981))),NOT(ISNUMBER(FIND(",",O981)))),"OK","ERRO: um e-mail válido por linha"))</f>
      </c>
      <c r="Z981" s="6">
        <f>IF(AND(J981="",K981=""),"",IF(AND(J981&lt;&gt;"",K981&lt;&gt;""),"OK","pendente: só um nome (o GR completa ao converter)"))</f>
      </c>
      <c r="AA981" s="6">
        <f>IF(COUNTA(A981:S981)=0,"",IF(AND(A981&lt;&gt;"",B981&lt;&gt;"",C981&lt;&gt;"",D981&lt;&gt;"",E981&lt;&gt;"",F981&lt;&gt;"",G981&lt;&gt;"",H981&lt;&gt;"",OR(J981&lt;&gt;"",K981&lt;&gt;""),OR(M981&lt;&gt;"",N981&lt;&gt;"",O981&lt;&gt;"")),"OK","ERRO: faltam "&amp;IF(A981="","SDR; ","")&amp;IF(B981="","Proprietário; ","")&amp;IF(C981="","Origem; ","")&amp;IF(D981="","Temperatura; ","")&amp;IF(E981="","Segmento; ","")&amp;IF(F981="","Time/Cluster; ","")&amp;IF(G981="","CNPJ; ","")&amp;IF(H981="","Razão Social; ","")&amp;IF(AND(J981="",K981=""),"nome do contato; ","")&amp;IF(AND(M981="",N981="",O981=""),"telefone, celular ou e-mail; ","")))</f>
      </c>
      <c r="AB981" s="6">
        <f>IF(COUNTA(A981:S981)=0,"",IF(AND(U981="OK",V981="OK",LEFT(W981,4)&lt;&gt;"ERRO",LEFT(X981,4)&lt;&gt;"ERRO",LEFT(Y981,4)&lt;&gt;"ERRO",AA981="OK"),"OK","REVISAR"))</f>
      </c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5"/>
      <c r="K982" s="4"/>
      <c r="L982" s="4"/>
      <c r="M982" s="4"/>
      <c r="N982" s="4"/>
      <c r="O982" s="4"/>
      <c r="P982" s="4"/>
      <c r="Q982" s="4"/>
      <c r="R982" s="4"/>
      <c r="S982" s="4"/>
      <c r="T982" s="6">
        <f>IF(G982="","",SUBSTITUTE(SUBSTITUTE(SUBSTITUTE(SUBSTITUTE(SUBSTITUTE(SUBSTITUTE(SUBSTITUTE(TRIM(G982),".",""),"/",""),"-","")," ",""),"(",""),")",""),"+",""))</f>
      </c>
      <c r="U982" s="6">
        <f>IF(T982="","",IF(LEN(T982)&lt;&gt;14,"ERRO: "&amp;LEN(T982)&amp;" dígitos",IF(NOT(ISNUMBER(VALUE(T982))),"ERRO: não numérico",IF(LEN(SUBSTITUTE(T982,LEFT(T982,1),""))=0,"ERRO: dígitos repetidos",IF(AND(VALUE(MID(T982,13,1))=IF(MOD(SUMPRODUCT(--MID(T982,{1,2,3,4,5,6,7,8,9,10,11,12},1),{5,4,3,2,9,8,7,6,5,4,3,2}),11)&lt;2,0,11-MOD(SUMPRODUCT(--MID(T982,{1,2,3,4,5,6,7,8,9,10,11,12},1),{5,4,3,2,9,8,7,6,5,4,3,2}),11)),VALUE(MID(T982,14,1))=IF(MOD(SUMPRODUCT(--MID(T982,{1,2,3,4,5,6,7,8,9,10,11,12,13},1),{6,5,4,3,2,9,8,7,6,5,4,3,2}),11)&lt;2,0,11-MOD(SUMPRODUCT(--MID(T982,{1,2,3,4,5,6,7,8,9,10,11,12,13},1),{6,5,4,3,2,9,8,7,6,5,4,3,2}),11))),"OK","ERRO: dígito verificador")))))</f>
      </c>
      <c r="V982" s="6">
        <f>IF(T982="","",IF(COUNTIF($T$2:$T$1001,T982)&gt;1,"DUPLICADO","OK"))</f>
      </c>
      <c r="W982" s="6">
        <f>IF(M982="","vazio",IF(OR(AND(LEN(SUBSTITUTE(SUBSTITUTE(SUBSTITUTE(SUBSTITUTE(SUBSTITUTE(SUBSTITUTE(SUBSTITUTE(TRIM(M982),".",""),"/",""),"-","")," ",""),"(",""),")",""),"+",""))=10,LEFT(SUBSTITUTE(SUBSTITUTE(SUBSTITUTE(SUBSTITUTE(SUBSTITUTE(SUBSTITUTE(SUBSTITUTE(TRIM(M982),".",""),"/",""),"-","")," ",""),"(",""),")",""),"+",""),1)&lt;&gt;"0"),AND(LEN(SUBSTITUTE(SUBSTITUTE(SUBSTITUTE(SUBSTITUTE(SUBSTITUTE(SUBSTITUTE(SUBSTITUTE(TRIM(M982),".",""),"/",""),"-","")," ",""),"(",""),")",""),"+",""))=11,LEFT(SUBSTITUTE(SUBSTITUTE(SUBSTITUTE(SUBSTITUTE(SUBSTITUTE(SUBSTITUTE(SUBSTITUTE(TRIM(M982),".",""),"/",""),"-","")," ",""),"(",""),")",""),"+",""),4)="0800")),"OK",IF(AND(LEN(SUBSTITUTE(SUBSTITUTE(SUBSTITUTE(SUBSTITUTE(SUBSTITUTE(SUBSTITUTE(SUBSTITUTE(TRIM(M982),".",""),"/",""),"-","")," ",""),"(",""),")",""),"+",""))=11,MID(SUBSTITUTE(SUBSTITUTE(SUBSTITUTE(SUBSTITUTE(SUBSTITUTE(SUBSTITUTE(SUBSTITUTE(TRIM(M982),".",""),"/",""),"-","")," ",""),"(",""),")",""),"+",""),3,1)="9"),"ERRO: é celular, use a coluna Celular","ERRO: DDD + 8 dígitos ou 0800 + 7")))</f>
      </c>
      <c r="X982" s="6">
        <f>IF(N982="","vazio",IF(AND(LEN(SUBSTITUTE(SUBSTITUTE(SUBSTITUTE(SUBSTITUTE(SUBSTITUTE(SUBSTITUTE(SUBSTITUTE(TRIM(N982),".",""),"/",""),"-","")," ",""),"(",""),")",""),"+",""))=11,MID(SUBSTITUTE(SUBSTITUTE(SUBSTITUTE(SUBSTITUTE(SUBSTITUTE(SUBSTITUTE(SUBSTITUTE(TRIM(N982),".",""),"/",""),"-","")," ",""),"(",""),")",""),"+",""),3,1)="9",LEFT(SUBSTITUTE(SUBSTITUTE(SUBSTITUTE(SUBSTITUTE(SUBSTITUTE(SUBSTITUTE(SUBSTITUTE(TRIM(N982),".",""),"/",""),"-","")," ",""),"(",""),")",""),"+",""),1)&lt;&gt;"0"),"OK",IF(LEN(SUBSTITUTE(SUBSTITUTE(SUBSTITUTE(SUBSTITUTE(SUBSTITUTE(SUBSTITUTE(SUBSTITUTE(TRIM(N982),".",""),"/",""),"-","")," ",""),"(",""),")",""),"+",""))=10,"ERRO: é fixo (ou falta o 9), use a coluna Telefone fixo","ERRO: DDD + 9 + 8 dígitos")))</f>
      </c>
      <c r="Y982" s="6">
        <f>IF(O982="","vazio",IF(AND(ISNUMBER(FIND("@",O982)),ISNUMBER(FIND(".",MID(O982,FIND("@",O982),99))),NOT(ISNUMBER(FIND(" ",TRIM(O982)))),NOT(ISNUMBER(FIND(";",O982))),NOT(ISNUMBER(FIND(",",O982)))),"OK","ERRO: um e-mail válido por linha"))</f>
      </c>
      <c r="Z982" s="6">
        <f>IF(AND(J982="",K982=""),"",IF(AND(J982&lt;&gt;"",K982&lt;&gt;""),"OK","pendente: só um nome (o GR completa ao converter)"))</f>
      </c>
      <c r="AA982" s="6">
        <f>IF(COUNTA(A982:S982)=0,"",IF(AND(A982&lt;&gt;"",B982&lt;&gt;"",C982&lt;&gt;"",D982&lt;&gt;"",E982&lt;&gt;"",F982&lt;&gt;"",G982&lt;&gt;"",H982&lt;&gt;"",OR(J982&lt;&gt;"",K982&lt;&gt;""),OR(M982&lt;&gt;"",N982&lt;&gt;"",O982&lt;&gt;"")),"OK","ERRO: faltam "&amp;IF(A982="","SDR; ","")&amp;IF(B982="","Proprietário; ","")&amp;IF(C982="","Origem; ","")&amp;IF(D982="","Temperatura; ","")&amp;IF(E982="","Segmento; ","")&amp;IF(F982="","Time/Cluster; ","")&amp;IF(G982="","CNPJ; ","")&amp;IF(H982="","Razão Social; ","")&amp;IF(AND(J982="",K982=""),"nome do contato; ","")&amp;IF(AND(M982="",N982="",O982=""),"telefone, celular ou e-mail; ","")))</f>
      </c>
      <c r="AB982" s="6">
        <f>IF(COUNTA(A982:S982)=0,"",IF(AND(U982="OK",V982="OK",LEFT(W982,4)&lt;&gt;"ERRO",LEFT(X982,4)&lt;&gt;"ERRO",LEFT(Y982,4)&lt;&gt;"ERRO",AA982="OK"),"OK","REVISAR"))</f>
      </c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5"/>
      <c r="K983" s="4"/>
      <c r="L983" s="4"/>
      <c r="M983" s="4"/>
      <c r="N983" s="4"/>
      <c r="O983" s="4"/>
      <c r="P983" s="4"/>
      <c r="Q983" s="4"/>
      <c r="R983" s="4"/>
      <c r="S983" s="4"/>
      <c r="T983" s="6">
        <f>IF(G983="","",SUBSTITUTE(SUBSTITUTE(SUBSTITUTE(SUBSTITUTE(SUBSTITUTE(SUBSTITUTE(SUBSTITUTE(TRIM(G983),".",""),"/",""),"-","")," ",""),"(",""),")",""),"+",""))</f>
      </c>
      <c r="U983" s="6">
        <f>IF(T983="","",IF(LEN(T983)&lt;&gt;14,"ERRO: "&amp;LEN(T983)&amp;" dígitos",IF(NOT(ISNUMBER(VALUE(T983))),"ERRO: não numérico",IF(LEN(SUBSTITUTE(T983,LEFT(T983,1),""))=0,"ERRO: dígitos repetidos",IF(AND(VALUE(MID(T983,13,1))=IF(MOD(SUMPRODUCT(--MID(T983,{1,2,3,4,5,6,7,8,9,10,11,12},1),{5,4,3,2,9,8,7,6,5,4,3,2}),11)&lt;2,0,11-MOD(SUMPRODUCT(--MID(T983,{1,2,3,4,5,6,7,8,9,10,11,12},1),{5,4,3,2,9,8,7,6,5,4,3,2}),11)),VALUE(MID(T983,14,1))=IF(MOD(SUMPRODUCT(--MID(T983,{1,2,3,4,5,6,7,8,9,10,11,12,13},1),{6,5,4,3,2,9,8,7,6,5,4,3,2}),11)&lt;2,0,11-MOD(SUMPRODUCT(--MID(T983,{1,2,3,4,5,6,7,8,9,10,11,12,13},1),{6,5,4,3,2,9,8,7,6,5,4,3,2}),11))),"OK","ERRO: dígito verificador")))))</f>
      </c>
      <c r="V983" s="6">
        <f>IF(T983="","",IF(COUNTIF($T$2:$T$1001,T983)&gt;1,"DUPLICADO","OK"))</f>
      </c>
      <c r="W983" s="6">
        <f>IF(M983="","vazio",IF(OR(AND(LEN(SUBSTITUTE(SUBSTITUTE(SUBSTITUTE(SUBSTITUTE(SUBSTITUTE(SUBSTITUTE(SUBSTITUTE(TRIM(M983),".",""),"/",""),"-","")," ",""),"(",""),")",""),"+",""))=10,LEFT(SUBSTITUTE(SUBSTITUTE(SUBSTITUTE(SUBSTITUTE(SUBSTITUTE(SUBSTITUTE(SUBSTITUTE(TRIM(M983),".",""),"/",""),"-","")," ",""),"(",""),")",""),"+",""),1)&lt;&gt;"0"),AND(LEN(SUBSTITUTE(SUBSTITUTE(SUBSTITUTE(SUBSTITUTE(SUBSTITUTE(SUBSTITUTE(SUBSTITUTE(TRIM(M983),".",""),"/",""),"-","")," ",""),"(",""),")",""),"+",""))=11,LEFT(SUBSTITUTE(SUBSTITUTE(SUBSTITUTE(SUBSTITUTE(SUBSTITUTE(SUBSTITUTE(SUBSTITUTE(TRIM(M983),".",""),"/",""),"-","")," ",""),"(",""),")",""),"+",""),4)="0800")),"OK",IF(AND(LEN(SUBSTITUTE(SUBSTITUTE(SUBSTITUTE(SUBSTITUTE(SUBSTITUTE(SUBSTITUTE(SUBSTITUTE(TRIM(M983),".",""),"/",""),"-","")," ",""),"(",""),")",""),"+",""))=11,MID(SUBSTITUTE(SUBSTITUTE(SUBSTITUTE(SUBSTITUTE(SUBSTITUTE(SUBSTITUTE(SUBSTITUTE(TRIM(M983),".",""),"/",""),"-","")," ",""),"(",""),")",""),"+",""),3,1)="9"),"ERRO: é celular, use a coluna Celular","ERRO: DDD + 8 dígitos ou 0800 + 7")))</f>
      </c>
      <c r="X983" s="6">
        <f>IF(N983="","vazio",IF(AND(LEN(SUBSTITUTE(SUBSTITUTE(SUBSTITUTE(SUBSTITUTE(SUBSTITUTE(SUBSTITUTE(SUBSTITUTE(TRIM(N983),".",""),"/",""),"-","")," ",""),"(",""),")",""),"+",""))=11,MID(SUBSTITUTE(SUBSTITUTE(SUBSTITUTE(SUBSTITUTE(SUBSTITUTE(SUBSTITUTE(SUBSTITUTE(TRIM(N983),".",""),"/",""),"-","")," ",""),"(",""),")",""),"+",""),3,1)="9",LEFT(SUBSTITUTE(SUBSTITUTE(SUBSTITUTE(SUBSTITUTE(SUBSTITUTE(SUBSTITUTE(SUBSTITUTE(TRIM(N983),".",""),"/",""),"-","")," ",""),"(",""),")",""),"+",""),1)&lt;&gt;"0"),"OK",IF(LEN(SUBSTITUTE(SUBSTITUTE(SUBSTITUTE(SUBSTITUTE(SUBSTITUTE(SUBSTITUTE(SUBSTITUTE(TRIM(N983),".",""),"/",""),"-","")," ",""),"(",""),")",""),"+",""))=10,"ERRO: é fixo (ou falta o 9), use a coluna Telefone fixo","ERRO: DDD + 9 + 8 dígitos")))</f>
      </c>
      <c r="Y983" s="6">
        <f>IF(O983="","vazio",IF(AND(ISNUMBER(FIND("@",O983)),ISNUMBER(FIND(".",MID(O983,FIND("@",O983),99))),NOT(ISNUMBER(FIND(" ",TRIM(O983)))),NOT(ISNUMBER(FIND(";",O983))),NOT(ISNUMBER(FIND(",",O983)))),"OK","ERRO: um e-mail válido por linha"))</f>
      </c>
      <c r="Z983" s="6">
        <f>IF(AND(J983="",K983=""),"",IF(AND(J983&lt;&gt;"",K983&lt;&gt;""),"OK","pendente: só um nome (o GR completa ao converter)"))</f>
      </c>
      <c r="AA983" s="6">
        <f>IF(COUNTA(A983:S983)=0,"",IF(AND(A983&lt;&gt;"",B983&lt;&gt;"",C983&lt;&gt;"",D983&lt;&gt;"",E983&lt;&gt;"",F983&lt;&gt;"",G983&lt;&gt;"",H983&lt;&gt;"",OR(J983&lt;&gt;"",K983&lt;&gt;""),OR(M983&lt;&gt;"",N983&lt;&gt;"",O983&lt;&gt;"")),"OK","ERRO: faltam "&amp;IF(A983="","SDR; ","")&amp;IF(B983="","Proprietário; ","")&amp;IF(C983="","Origem; ","")&amp;IF(D983="","Temperatura; ","")&amp;IF(E983="","Segmento; ","")&amp;IF(F983="","Time/Cluster; ","")&amp;IF(G983="","CNPJ; ","")&amp;IF(H983="","Razão Social; ","")&amp;IF(AND(J983="",K983=""),"nome do contato; ","")&amp;IF(AND(M983="",N983="",O983=""),"telefone, celular ou e-mail; ","")))</f>
      </c>
      <c r="AB983" s="6">
        <f>IF(COUNTA(A983:S983)=0,"",IF(AND(U983="OK",V983="OK",LEFT(W983,4)&lt;&gt;"ERRO",LEFT(X983,4)&lt;&gt;"ERRO",LEFT(Y983,4)&lt;&gt;"ERRO",AA983="OK"),"OK","REVISAR"))</f>
      </c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5"/>
      <c r="K984" s="4"/>
      <c r="L984" s="4"/>
      <c r="M984" s="4"/>
      <c r="N984" s="4"/>
      <c r="O984" s="4"/>
      <c r="P984" s="4"/>
      <c r="Q984" s="4"/>
      <c r="R984" s="4"/>
      <c r="S984" s="4"/>
      <c r="T984" s="6">
        <f>IF(G984="","",SUBSTITUTE(SUBSTITUTE(SUBSTITUTE(SUBSTITUTE(SUBSTITUTE(SUBSTITUTE(SUBSTITUTE(TRIM(G984),".",""),"/",""),"-","")," ",""),"(",""),")",""),"+",""))</f>
      </c>
      <c r="U984" s="6">
        <f>IF(T984="","",IF(LEN(T984)&lt;&gt;14,"ERRO: "&amp;LEN(T984)&amp;" dígitos",IF(NOT(ISNUMBER(VALUE(T984))),"ERRO: não numérico",IF(LEN(SUBSTITUTE(T984,LEFT(T984,1),""))=0,"ERRO: dígitos repetidos",IF(AND(VALUE(MID(T984,13,1))=IF(MOD(SUMPRODUCT(--MID(T984,{1,2,3,4,5,6,7,8,9,10,11,12},1),{5,4,3,2,9,8,7,6,5,4,3,2}),11)&lt;2,0,11-MOD(SUMPRODUCT(--MID(T984,{1,2,3,4,5,6,7,8,9,10,11,12},1),{5,4,3,2,9,8,7,6,5,4,3,2}),11)),VALUE(MID(T984,14,1))=IF(MOD(SUMPRODUCT(--MID(T984,{1,2,3,4,5,6,7,8,9,10,11,12,13},1),{6,5,4,3,2,9,8,7,6,5,4,3,2}),11)&lt;2,0,11-MOD(SUMPRODUCT(--MID(T984,{1,2,3,4,5,6,7,8,9,10,11,12,13},1),{6,5,4,3,2,9,8,7,6,5,4,3,2}),11))),"OK","ERRO: dígito verificador")))))</f>
      </c>
      <c r="V984" s="6">
        <f>IF(T984="","",IF(COUNTIF($T$2:$T$1001,T984)&gt;1,"DUPLICADO","OK"))</f>
      </c>
      <c r="W984" s="6">
        <f>IF(M984="","vazio",IF(OR(AND(LEN(SUBSTITUTE(SUBSTITUTE(SUBSTITUTE(SUBSTITUTE(SUBSTITUTE(SUBSTITUTE(SUBSTITUTE(TRIM(M984),".",""),"/",""),"-","")," ",""),"(",""),")",""),"+",""))=10,LEFT(SUBSTITUTE(SUBSTITUTE(SUBSTITUTE(SUBSTITUTE(SUBSTITUTE(SUBSTITUTE(SUBSTITUTE(TRIM(M984),".",""),"/",""),"-","")," ",""),"(",""),")",""),"+",""),1)&lt;&gt;"0"),AND(LEN(SUBSTITUTE(SUBSTITUTE(SUBSTITUTE(SUBSTITUTE(SUBSTITUTE(SUBSTITUTE(SUBSTITUTE(TRIM(M984),".",""),"/",""),"-","")," ",""),"(",""),")",""),"+",""))=11,LEFT(SUBSTITUTE(SUBSTITUTE(SUBSTITUTE(SUBSTITUTE(SUBSTITUTE(SUBSTITUTE(SUBSTITUTE(TRIM(M984),".",""),"/",""),"-","")," ",""),"(",""),")",""),"+",""),4)="0800")),"OK",IF(AND(LEN(SUBSTITUTE(SUBSTITUTE(SUBSTITUTE(SUBSTITUTE(SUBSTITUTE(SUBSTITUTE(SUBSTITUTE(TRIM(M984),".",""),"/",""),"-","")," ",""),"(",""),")",""),"+",""))=11,MID(SUBSTITUTE(SUBSTITUTE(SUBSTITUTE(SUBSTITUTE(SUBSTITUTE(SUBSTITUTE(SUBSTITUTE(TRIM(M984),".",""),"/",""),"-","")," ",""),"(",""),")",""),"+",""),3,1)="9"),"ERRO: é celular, use a coluna Celular","ERRO: DDD + 8 dígitos ou 0800 + 7")))</f>
      </c>
      <c r="X984" s="6">
        <f>IF(N984="","vazio",IF(AND(LEN(SUBSTITUTE(SUBSTITUTE(SUBSTITUTE(SUBSTITUTE(SUBSTITUTE(SUBSTITUTE(SUBSTITUTE(TRIM(N984),".",""),"/",""),"-","")," ",""),"(",""),")",""),"+",""))=11,MID(SUBSTITUTE(SUBSTITUTE(SUBSTITUTE(SUBSTITUTE(SUBSTITUTE(SUBSTITUTE(SUBSTITUTE(TRIM(N984),".",""),"/",""),"-","")," ",""),"(",""),")",""),"+",""),3,1)="9",LEFT(SUBSTITUTE(SUBSTITUTE(SUBSTITUTE(SUBSTITUTE(SUBSTITUTE(SUBSTITUTE(SUBSTITUTE(TRIM(N984),".",""),"/",""),"-","")," ",""),"(",""),")",""),"+",""),1)&lt;&gt;"0"),"OK",IF(LEN(SUBSTITUTE(SUBSTITUTE(SUBSTITUTE(SUBSTITUTE(SUBSTITUTE(SUBSTITUTE(SUBSTITUTE(TRIM(N984),".",""),"/",""),"-","")," ",""),"(",""),")",""),"+",""))=10,"ERRO: é fixo (ou falta o 9), use a coluna Telefone fixo","ERRO: DDD + 9 + 8 dígitos")))</f>
      </c>
      <c r="Y984" s="6">
        <f>IF(O984="","vazio",IF(AND(ISNUMBER(FIND("@",O984)),ISNUMBER(FIND(".",MID(O984,FIND("@",O984),99))),NOT(ISNUMBER(FIND(" ",TRIM(O984)))),NOT(ISNUMBER(FIND(";",O984))),NOT(ISNUMBER(FIND(",",O984)))),"OK","ERRO: um e-mail válido por linha"))</f>
      </c>
      <c r="Z984" s="6">
        <f>IF(AND(J984="",K984=""),"",IF(AND(J984&lt;&gt;"",K984&lt;&gt;""),"OK","pendente: só um nome (o GR completa ao converter)"))</f>
      </c>
      <c r="AA984" s="6">
        <f>IF(COUNTA(A984:S984)=0,"",IF(AND(A984&lt;&gt;"",B984&lt;&gt;"",C984&lt;&gt;"",D984&lt;&gt;"",E984&lt;&gt;"",F984&lt;&gt;"",G984&lt;&gt;"",H984&lt;&gt;"",OR(J984&lt;&gt;"",K984&lt;&gt;""),OR(M984&lt;&gt;"",N984&lt;&gt;"",O984&lt;&gt;"")),"OK","ERRO: faltam "&amp;IF(A984="","SDR; ","")&amp;IF(B984="","Proprietário; ","")&amp;IF(C984="","Origem; ","")&amp;IF(D984="","Temperatura; ","")&amp;IF(E984="","Segmento; ","")&amp;IF(F984="","Time/Cluster; ","")&amp;IF(G984="","CNPJ; ","")&amp;IF(H984="","Razão Social; ","")&amp;IF(AND(J984="",K984=""),"nome do contato; ","")&amp;IF(AND(M984="",N984="",O984=""),"telefone, celular ou e-mail; ","")))</f>
      </c>
      <c r="AB984" s="6">
        <f>IF(COUNTA(A984:S984)=0,"",IF(AND(U984="OK",V984="OK",LEFT(W984,4)&lt;&gt;"ERRO",LEFT(X984,4)&lt;&gt;"ERRO",LEFT(Y984,4)&lt;&gt;"ERRO",AA984="OK"),"OK","REVISAR"))</f>
      </c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5"/>
      <c r="K985" s="4"/>
      <c r="L985" s="4"/>
      <c r="M985" s="4"/>
      <c r="N985" s="4"/>
      <c r="O985" s="4"/>
      <c r="P985" s="4"/>
      <c r="Q985" s="4"/>
      <c r="R985" s="4"/>
      <c r="S985" s="4"/>
      <c r="T985" s="6">
        <f>IF(G985="","",SUBSTITUTE(SUBSTITUTE(SUBSTITUTE(SUBSTITUTE(SUBSTITUTE(SUBSTITUTE(SUBSTITUTE(TRIM(G985),".",""),"/",""),"-","")," ",""),"(",""),")",""),"+",""))</f>
      </c>
      <c r="U985" s="6">
        <f>IF(T985="","",IF(LEN(T985)&lt;&gt;14,"ERRO: "&amp;LEN(T985)&amp;" dígitos",IF(NOT(ISNUMBER(VALUE(T985))),"ERRO: não numérico",IF(LEN(SUBSTITUTE(T985,LEFT(T985,1),""))=0,"ERRO: dígitos repetidos",IF(AND(VALUE(MID(T985,13,1))=IF(MOD(SUMPRODUCT(--MID(T985,{1,2,3,4,5,6,7,8,9,10,11,12},1),{5,4,3,2,9,8,7,6,5,4,3,2}),11)&lt;2,0,11-MOD(SUMPRODUCT(--MID(T985,{1,2,3,4,5,6,7,8,9,10,11,12},1),{5,4,3,2,9,8,7,6,5,4,3,2}),11)),VALUE(MID(T985,14,1))=IF(MOD(SUMPRODUCT(--MID(T985,{1,2,3,4,5,6,7,8,9,10,11,12,13},1),{6,5,4,3,2,9,8,7,6,5,4,3,2}),11)&lt;2,0,11-MOD(SUMPRODUCT(--MID(T985,{1,2,3,4,5,6,7,8,9,10,11,12,13},1),{6,5,4,3,2,9,8,7,6,5,4,3,2}),11))),"OK","ERRO: dígito verificador")))))</f>
      </c>
      <c r="V985" s="6">
        <f>IF(T985="","",IF(COUNTIF($T$2:$T$1001,T985)&gt;1,"DUPLICADO","OK"))</f>
      </c>
      <c r="W985" s="6">
        <f>IF(M985="","vazio",IF(OR(AND(LEN(SUBSTITUTE(SUBSTITUTE(SUBSTITUTE(SUBSTITUTE(SUBSTITUTE(SUBSTITUTE(SUBSTITUTE(TRIM(M985),".",""),"/",""),"-","")," ",""),"(",""),")",""),"+",""))=10,LEFT(SUBSTITUTE(SUBSTITUTE(SUBSTITUTE(SUBSTITUTE(SUBSTITUTE(SUBSTITUTE(SUBSTITUTE(TRIM(M985),".",""),"/",""),"-","")," ",""),"(",""),")",""),"+",""),1)&lt;&gt;"0"),AND(LEN(SUBSTITUTE(SUBSTITUTE(SUBSTITUTE(SUBSTITUTE(SUBSTITUTE(SUBSTITUTE(SUBSTITUTE(TRIM(M985),".",""),"/",""),"-","")," ",""),"(",""),")",""),"+",""))=11,LEFT(SUBSTITUTE(SUBSTITUTE(SUBSTITUTE(SUBSTITUTE(SUBSTITUTE(SUBSTITUTE(SUBSTITUTE(TRIM(M985),".",""),"/",""),"-","")," ",""),"(",""),")",""),"+",""),4)="0800")),"OK",IF(AND(LEN(SUBSTITUTE(SUBSTITUTE(SUBSTITUTE(SUBSTITUTE(SUBSTITUTE(SUBSTITUTE(SUBSTITUTE(TRIM(M985),".",""),"/",""),"-","")," ",""),"(",""),")",""),"+",""))=11,MID(SUBSTITUTE(SUBSTITUTE(SUBSTITUTE(SUBSTITUTE(SUBSTITUTE(SUBSTITUTE(SUBSTITUTE(TRIM(M985),".",""),"/",""),"-","")," ",""),"(",""),")",""),"+",""),3,1)="9"),"ERRO: é celular, use a coluna Celular","ERRO: DDD + 8 dígitos ou 0800 + 7")))</f>
      </c>
      <c r="X985" s="6">
        <f>IF(N985="","vazio",IF(AND(LEN(SUBSTITUTE(SUBSTITUTE(SUBSTITUTE(SUBSTITUTE(SUBSTITUTE(SUBSTITUTE(SUBSTITUTE(TRIM(N985),".",""),"/",""),"-","")," ",""),"(",""),")",""),"+",""))=11,MID(SUBSTITUTE(SUBSTITUTE(SUBSTITUTE(SUBSTITUTE(SUBSTITUTE(SUBSTITUTE(SUBSTITUTE(TRIM(N985),".",""),"/",""),"-","")," ",""),"(",""),")",""),"+",""),3,1)="9",LEFT(SUBSTITUTE(SUBSTITUTE(SUBSTITUTE(SUBSTITUTE(SUBSTITUTE(SUBSTITUTE(SUBSTITUTE(TRIM(N985),".",""),"/",""),"-","")," ",""),"(",""),")",""),"+",""),1)&lt;&gt;"0"),"OK",IF(LEN(SUBSTITUTE(SUBSTITUTE(SUBSTITUTE(SUBSTITUTE(SUBSTITUTE(SUBSTITUTE(SUBSTITUTE(TRIM(N985),".",""),"/",""),"-","")," ",""),"(",""),")",""),"+",""))=10,"ERRO: é fixo (ou falta o 9), use a coluna Telefone fixo","ERRO: DDD + 9 + 8 dígitos")))</f>
      </c>
      <c r="Y985" s="6">
        <f>IF(O985="","vazio",IF(AND(ISNUMBER(FIND("@",O985)),ISNUMBER(FIND(".",MID(O985,FIND("@",O985),99))),NOT(ISNUMBER(FIND(" ",TRIM(O985)))),NOT(ISNUMBER(FIND(";",O985))),NOT(ISNUMBER(FIND(",",O985)))),"OK","ERRO: um e-mail válido por linha"))</f>
      </c>
      <c r="Z985" s="6">
        <f>IF(AND(J985="",K985=""),"",IF(AND(J985&lt;&gt;"",K985&lt;&gt;""),"OK","pendente: só um nome (o GR completa ao converter)"))</f>
      </c>
      <c r="AA985" s="6">
        <f>IF(COUNTA(A985:S985)=0,"",IF(AND(A985&lt;&gt;"",B985&lt;&gt;"",C985&lt;&gt;"",D985&lt;&gt;"",E985&lt;&gt;"",F985&lt;&gt;"",G985&lt;&gt;"",H985&lt;&gt;"",OR(J985&lt;&gt;"",K985&lt;&gt;""),OR(M985&lt;&gt;"",N985&lt;&gt;"",O985&lt;&gt;"")),"OK","ERRO: faltam "&amp;IF(A985="","SDR; ","")&amp;IF(B985="","Proprietário; ","")&amp;IF(C985="","Origem; ","")&amp;IF(D985="","Temperatura; ","")&amp;IF(E985="","Segmento; ","")&amp;IF(F985="","Time/Cluster; ","")&amp;IF(G985="","CNPJ; ","")&amp;IF(H985="","Razão Social; ","")&amp;IF(AND(J985="",K985=""),"nome do contato; ","")&amp;IF(AND(M985="",N985="",O985=""),"telefone, celular ou e-mail; ","")))</f>
      </c>
      <c r="AB985" s="6">
        <f>IF(COUNTA(A985:S985)=0,"",IF(AND(U985="OK",V985="OK",LEFT(W985,4)&lt;&gt;"ERRO",LEFT(X985,4)&lt;&gt;"ERRO",LEFT(Y985,4)&lt;&gt;"ERRO",AA985="OK"),"OK","REVISAR"))</f>
      </c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5"/>
      <c r="K986" s="4"/>
      <c r="L986" s="4"/>
      <c r="M986" s="4"/>
      <c r="N986" s="4"/>
      <c r="O986" s="4"/>
      <c r="P986" s="4"/>
      <c r="Q986" s="4"/>
      <c r="R986" s="4"/>
      <c r="S986" s="4"/>
      <c r="T986" s="6">
        <f>IF(G986="","",SUBSTITUTE(SUBSTITUTE(SUBSTITUTE(SUBSTITUTE(SUBSTITUTE(SUBSTITUTE(SUBSTITUTE(TRIM(G986),".",""),"/",""),"-","")," ",""),"(",""),")",""),"+",""))</f>
      </c>
      <c r="U986" s="6">
        <f>IF(T986="","",IF(LEN(T986)&lt;&gt;14,"ERRO: "&amp;LEN(T986)&amp;" dígitos",IF(NOT(ISNUMBER(VALUE(T986))),"ERRO: não numérico",IF(LEN(SUBSTITUTE(T986,LEFT(T986,1),""))=0,"ERRO: dígitos repetidos",IF(AND(VALUE(MID(T986,13,1))=IF(MOD(SUMPRODUCT(--MID(T986,{1,2,3,4,5,6,7,8,9,10,11,12},1),{5,4,3,2,9,8,7,6,5,4,3,2}),11)&lt;2,0,11-MOD(SUMPRODUCT(--MID(T986,{1,2,3,4,5,6,7,8,9,10,11,12},1),{5,4,3,2,9,8,7,6,5,4,3,2}),11)),VALUE(MID(T986,14,1))=IF(MOD(SUMPRODUCT(--MID(T986,{1,2,3,4,5,6,7,8,9,10,11,12,13},1),{6,5,4,3,2,9,8,7,6,5,4,3,2}),11)&lt;2,0,11-MOD(SUMPRODUCT(--MID(T986,{1,2,3,4,5,6,7,8,9,10,11,12,13},1),{6,5,4,3,2,9,8,7,6,5,4,3,2}),11))),"OK","ERRO: dígito verificador")))))</f>
      </c>
      <c r="V986" s="6">
        <f>IF(T986="","",IF(COUNTIF($T$2:$T$1001,T986)&gt;1,"DUPLICADO","OK"))</f>
      </c>
      <c r="W986" s="6">
        <f>IF(M986="","vazio",IF(OR(AND(LEN(SUBSTITUTE(SUBSTITUTE(SUBSTITUTE(SUBSTITUTE(SUBSTITUTE(SUBSTITUTE(SUBSTITUTE(TRIM(M986),".",""),"/",""),"-","")," ",""),"(",""),")",""),"+",""))=10,LEFT(SUBSTITUTE(SUBSTITUTE(SUBSTITUTE(SUBSTITUTE(SUBSTITUTE(SUBSTITUTE(SUBSTITUTE(TRIM(M986),".",""),"/",""),"-","")," ",""),"(",""),")",""),"+",""),1)&lt;&gt;"0"),AND(LEN(SUBSTITUTE(SUBSTITUTE(SUBSTITUTE(SUBSTITUTE(SUBSTITUTE(SUBSTITUTE(SUBSTITUTE(TRIM(M986),".",""),"/",""),"-","")," ",""),"(",""),")",""),"+",""))=11,LEFT(SUBSTITUTE(SUBSTITUTE(SUBSTITUTE(SUBSTITUTE(SUBSTITUTE(SUBSTITUTE(SUBSTITUTE(TRIM(M986),".",""),"/",""),"-","")," ",""),"(",""),")",""),"+",""),4)="0800")),"OK",IF(AND(LEN(SUBSTITUTE(SUBSTITUTE(SUBSTITUTE(SUBSTITUTE(SUBSTITUTE(SUBSTITUTE(SUBSTITUTE(TRIM(M986),".",""),"/",""),"-","")," ",""),"(",""),")",""),"+",""))=11,MID(SUBSTITUTE(SUBSTITUTE(SUBSTITUTE(SUBSTITUTE(SUBSTITUTE(SUBSTITUTE(SUBSTITUTE(TRIM(M986),".",""),"/",""),"-","")," ",""),"(",""),")",""),"+",""),3,1)="9"),"ERRO: é celular, use a coluna Celular","ERRO: DDD + 8 dígitos ou 0800 + 7")))</f>
      </c>
      <c r="X986" s="6">
        <f>IF(N986="","vazio",IF(AND(LEN(SUBSTITUTE(SUBSTITUTE(SUBSTITUTE(SUBSTITUTE(SUBSTITUTE(SUBSTITUTE(SUBSTITUTE(TRIM(N986),".",""),"/",""),"-","")," ",""),"(",""),")",""),"+",""))=11,MID(SUBSTITUTE(SUBSTITUTE(SUBSTITUTE(SUBSTITUTE(SUBSTITUTE(SUBSTITUTE(SUBSTITUTE(TRIM(N986),".",""),"/",""),"-","")," ",""),"(",""),")",""),"+",""),3,1)="9",LEFT(SUBSTITUTE(SUBSTITUTE(SUBSTITUTE(SUBSTITUTE(SUBSTITUTE(SUBSTITUTE(SUBSTITUTE(TRIM(N986),".",""),"/",""),"-","")," ",""),"(",""),")",""),"+",""),1)&lt;&gt;"0"),"OK",IF(LEN(SUBSTITUTE(SUBSTITUTE(SUBSTITUTE(SUBSTITUTE(SUBSTITUTE(SUBSTITUTE(SUBSTITUTE(TRIM(N986),".",""),"/",""),"-","")," ",""),"(",""),")",""),"+",""))=10,"ERRO: é fixo (ou falta o 9), use a coluna Telefone fixo","ERRO: DDD + 9 + 8 dígitos")))</f>
      </c>
      <c r="Y986" s="6">
        <f>IF(O986="","vazio",IF(AND(ISNUMBER(FIND("@",O986)),ISNUMBER(FIND(".",MID(O986,FIND("@",O986),99))),NOT(ISNUMBER(FIND(" ",TRIM(O986)))),NOT(ISNUMBER(FIND(";",O986))),NOT(ISNUMBER(FIND(",",O986)))),"OK","ERRO: um e-mail válido por linha"))</f>
      </c>
      <c r="Z986" s="6">
        <f>IF(AND(J986="",K986=""),"",IF(AND(J986&lt;&gt;"",K986&lt;&gt;""),"OK","pendente: só um nome (o GR completa ao converter)"))</f>
      </c>
      <c r="AA986" s="6">
        <f>IF(COUNTA(A986:S986)=0,"",IF(AND(A986&lt;&gt;"",B986&lt;&gt;"",C986&lt;&gt;"",D986&lt;&gt;"",E986&lt;&gt;"",F986&lt;&gt;"",G986&lt;&gt;"",H986&lt;&gt;"",OR(J986&lt;&gt;"",K986&lt;&gt;""),OR(M986&lt;&gt;"",N986&lt;&gt;"",O986&lt;&gt;"")),"OK","ERRO: faltam "&amp;IF(A986="","SDR; ","")&amp;IF(B986="","Proprietário; ","")&amp;IF(C986="","Origem; ","")&amp;IF(D986="","Temperatura; ","")&amp;IF(E986="","Segmento; ","")&amp;IF(F986="","Time/Cluster; ","")&amp;IF(G986="","CNPJ; ","")&amp;IF(H986="","Razão Social; ","")&amp;IF(AND(J986="",K986=""),"nome do contato; ","")&amp;IF(AND(M986="",N986="",O986=""),"telefone, celular ou e-mail; ","")))</f>
      </c>
      <c r="AB986" s="6">
        <f>IF(COUNTA(A986:S986)=0,"",IF(AND(U986="OK",V986="OK",LEFT(W986,4)&lt;&gt;"ERRO",LEFT(X986,4)&lt;&gt;"ERRO",LEFT(Y986,4)&lt;&gt;"ERRO",AA986="OK"),"OK","REVISAR"))</f>
      </c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5"/>
      <c r="K987" s="4"/>
      <c r="L987" s="4"/>
      <c r="M987" s="4"/>
      <c r="N987" s="4"/>
      <c r="O987" s="4"/>
      <c r="P987" s="4"/>
      <c r="Q987" s="4"/>
      <c r="R987" s="4"/>
      <c r="S987" s="4"/>
      <c r="T987" s="6">
        <f>IF(G987="","",SUBSTITUTE(SUBSTITUTE(SUBSTITUTE(SUBSTITUTE(SUBSTITUTE(SUBSTITUTE(SUBSTITUTE(TRIM(G987),".",""),"/",""),"-","")," ",""),"(",""),")",""),"+",""))</f>
      </c>
      <c r="U987" s="6">
        <f>IF(T987="","",IF(LEN(T987)&lt;&gt;14,"ERRO: "&amp;LEN(T987)&amp;" dígitos",IF(NOT(ISNUMBER(VALUE(T987))),"ERRO: não numérico",IF(LEN(SUBSTITUTE(T987,LEFT(T987,1),""))=0,"ERRO: dígitos repetidos",IF(AND(VALUE(MID(T987,13,1))=IF(MOD(SUMPRODUCT(--MID(T987,{1,2,3,4,5,6,7,8,9,10,11,12},1),{5,4,3,2,9,8,7,6,5,4,3,2}),11)&lt;2,0,11-MOD(SUMPRODUCT(--MID(T987,{1,2,3,4,5,6,7,8,9,10,11,12},1),{5,4,3,2,9,8,7,6,5,4,3,2}),11)),VALUE(MID(T987,14,1))=IF(MOD(SUMPRODUCT(--MID(T987,{1,2,3,4,5,6,7,8,9,10,11,12,13},1),{6,5,4,3,2,9,8,7,6,5,4,3,2}),11)&lt;2,0,11-MOD(SUMPRODUCT(--MID(T987,{1,2,3,4,5,6,7,8,9,10,11,12,13},1),{6,5,4,3,2,9,8,7,6,5,4,3,2}),11))),"OK","ERRO: dígito verificador")))))</f>
      </c>
      <c r="V987" s="6">
        <f>IF(T987="","",IF(COUNTIF($T$2:$T$1001,T987)&gt;1,"DUPLICADO","OK"))</f>
      </c>
      <c r="W987" s="6">
        <f>IF(M987="","vazio",IF(OR(AND(LEN(SUBSTITUTE(SUBSTITUTE(SUBSTITUTE(SUBSTITUTE(SUBSTITUTE(SUBSTITUTE(SUBSTITUTE(TRIM(M987),".",""),"/",""),"-","")," ",""),"(",""),")",""),"+",""))=10,LEFT(SUBSTITUTE(SUBSTITUTE(SUBSTITUTE(SUBSTITUTE(SUBSTITUTE(SUBSTITUTE(SUBSTITUTE(TRIM(M987),".",""),"/",""),"-","")," ",""),"(",""),")",""),"+",""),1)&lt;&gt;"0"),AND(LEN(SUBSTITUTE(SUBSTITUTE(SUBSTITUTE(SUBSTITUTE(SUBSTITUTE(SUBSTITUTE(SUBSTITUTE(TRIM(M987),".",""),"/",""),"-","")," ",""),"(",""),")",""),"+",""))=11,LEFT(SUBSTITUTE(SUBSTITUTE(SUBSTITUTE(SUBSTITUTE(SUBSTITUTE(SUBSTITUTE(SUBSTITUTE(TRIM(M987),".",""),"/",""),"-","")," ",""),"(",""),")",""),"+",""),4)="0800")),"OK",IF(AND(LEN(SUBSTITUTE(SUBSTITUTE(SUBSTITUTE(SUBSTITUTE(SUBSTITUTE(SUBSTITUTE(SUBSTITUTE(TRIM(M987),".",""),"/",""),"-","")," ",""),"(",""),")",""),"+",""))=11,MID(SUBSTITUTE(SUBSTITUTE(SUBSTITUTE(SUBSTITUTE(SUBSTITUTE(SUBSTITUTE(SUBSTITUTE(TRIM(M987),".",""),"/",""),"-","")," ",""),"(",""),")",""),"+",""),3,1)="9"),"ERRO: é celular, use a coluna Celular","ERRO: DDD + 8 dígitos ou 0800 + 7")))</f>
      </c>
      <c r="X987" s="6">
        <f>IF(N987="","vazio",IF(AND(LEN(SUBSTITUTE(SUBSTITUTE(SUBSTITUTE(SUBSTITUTE(SUBSTITUTE(SUBSTITUTE(SUBSTITUTE(TRIM(N987),".",""),"/",""),"-","")," ",""),"(",""),")",""),"+",""))=11,MID(SUBSTITUTE(SUBSTITUTE(SUBSTITUTE(SUBSTITUTE(SUBSTITUTE(SUBSTITUTE(SUBSTITUTE(TRIM(N987),".",""),"/",""),"-","")," ",""),"(",""),")",""),"+",""),3,1)="9",LEFT(SUBSTITUTE(SUBSTITUTE(SUBSTITUTE(SUBSTITUTE(SUBSTITUTE(SUBSTITUTE(SUBSTITUTE(TRIM(N987),".",""),"/",""),"-","")," ",""),"(",""),")",""),"+",""),1)&lt;&gt;"0"),"OK",IF(LEN(SUBSTITUTE(SUBSTITUTE(SUBSTITUTE(SUBSTITUTE(SUBSTITUTE(SUBSTITUTE(SUBSTITUTE(TRIM(N987),".",""),"/",""),"-","")," ",""),"(",""),")",""),"+",""))=10,"ERRO: é fixo (ou falta o 9), use a coluna Telefone fixo","ERRO: DDD + 9 + 8 dígitos")))</f>
      </c>
      <c r="Y987" s="6">
        <f>IF(O987="","vazio",IF(AND(ISNUMBER(FIND("@",O987)),ISNUMBER(FIND(".",MID(O987,FIND("@",O987),99))),NOT(ISNUMBER(FIND(" ",TRIM(O987)))),NOT(ISNUMBER(FIND(";",O987))),NOT(ISNUMBER(FIND(",",O987)))),"OK","ERRO: um e-mail válido por linha"))</f>
      </c>
      <c r="Z987" s="6">
        <f>IF(AND(J987="",K987=""),"",IF(AND(J987&lt;&gt;"",K987&lt;&gt;""),"OK","pendente: só um nome (o GR completa ao converter)"))</f>
      </c>
      <c r="AA987" s="6">
        <f>IF(COUNTA(A987:S987)=0,"",IF(AND(A987&lt;&gt;"",B987&lt;&gt;"",C987&lt;&gt;"",D987&lt;&gt;"",E987&lt;&gt;"",F987&lt;&gt;"",G987&lt;&gt;"",H987&lt;&gt;"",OR(J987&lt;&gt;"",K987&lt;&gt;""),OR(M987&lt;&gt;"",N987&lt;&gt;"",O987&lt;&gt;"")),"OK","ERRO: faltam "&amp;IF(A987="","SDR; ","")&amp;IF(B987="","Proprietário; ","")&amp;IF(C987="","Origem; ","")&amp;IF(D987="","Temperatura; ","")&amp;IF(E987="","Segmento; ","")&amp;IF(F987="","Time/Cluster; ","")&amp;IF(G987="","CNPJ; ","")&amp;IF(H987="","Razão Social; ","")&amp;IF(AND(J987="",K987=""),"nome do contato; ","")&amp;IF(AND(M987="",N987="",O987=""),"telefone, celular ou e-mail; ","")))</f>
      </c>
      <c r="AB987" s="6">
        <f>IF(COUNTA(A987:S987)=0,"",IF(AND(U987="OK",V987="OK",LEFT(W987,4)&lt;&gt;"ERRO",LEFT(X987,4)&lt;&gt;"ERRO",LEFT(Y987,4)&lt;&gt;"ERRO",AA987="OK"),"OK","REVISAR"))</f>
      </c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5"/>
      <c r="K988" s="4"/>
      <c r="L988" s="4"/>
      <c r="M988" s="4"/>
      <c r="N988" s="4"/>
      <c r="O988" s="4"/>
      <c r="P988" s="4"/>
      <c r="Q988" s="4"/>
      <c r="R988" s="4"/>
      <c r="S988" s="4"/>
      <c r="T988" s="6">
        <f>IF(G988="","",SUBSTITUTE(SUBSTITUTE(SUBSTITUTE(SUBSTITUTE(SUBSTITUTE(SUBSTITUTE(SUBSTITUTE(TRIM(G988),".",""),"/",""),"-","")," ",""),"(",""),")",""),"+",""))</f>
      </c>
      <c r="U988" s="6">
        <f>IF(T988="","",IF(LEN(T988)&lt;&gt;14,"ERRO: "&amp;LEN(T988)&amp;" dígitos",IF(NOT(ISNUMBER(VALUE(T988))),"ERRO: não numérico",IF(LEN(SUBSTITUTE(T988,LEFT(T988,1),""))=0,"ERRO: dígitos repetidos",IF(AND(VALUE(MID(T988,13,1))=IF(MOD(SUMPRODUCT(--MID(T988,{1,2,3,4,5,6,7,8,9,10,11,12},1),{5,4,3,2,9,8,7,6,5,4,3,2}),11)&lt;2,0,11-MOD(SUMPRODUCT(--MID(T988,{1,2,3,4,5,6,7,8,9,10,11,12},1),{5,4,3,2,9,8,7,6,5,4,3,2}),11)),VALUE(MID(T988,14,1))=IF(MOD(SUMPRODUCT(--MID(T988,{1,2,3,4,5,6,7,8,9,10,11,12,13},1),{6,5,4,3,2,9,8,7,6,5,4,3,2}),11)&lt;2,0,11-MOD(SUMPRODUCT(--MID(T988,{1,2,3,4,5,6,7,8,9,10,11,12,13},1),{6,5,4,3,2,9,8,7,6,5,4,3,2}),11))),"OK","ERRO: dígito verificador")))))</f>
      </c>
      <c r="V988" s="6">
        <f>IF(T988="","",IF(COUNTIF($T$2:$T$1001,T988)&gt;1,"DUPLICADO","OK"))</f>
      </c>
      <c r="W988" s="6">
        <f>IF(M988="","vazio",IF(OR(AND(LEN(SUBSTITUTE(SUBSTITUTE(SUBSTITUTE(SUBSTITUTE(SUBSTITUTE(SUBSTITUTE(SUBSTITUTE(TRIM(M988),".",""),"/",""),"-","")," ",""),"(",""),")",""),"+",""))=10,LEFT(SUBSTITUTE(SUBSTITUTE(SUBSTITUTE(SUBSTITUTE(SUBSTITUTE(SUBSTITUTE(SUBSTITUTE(TRIM(M988),".",""),"/",""),"-","")," ",""),"(",""),")",""),"+",""),1)&lt;&gt;"0"),AND(LEN(SUBSTITUTE(SUBSTITUTE(SUBSTITUTE(SUBSTITUTE(SUBSTITUTE(SUBSTITUTE(SUBSTITUTE(TRIM(M988),".",""),"/",""),"-","")," ",""),"(",""),")",""),"+",""))=11,LEFT(SUBSTITUTE(SUBSTITUTE(SUBSTITUTE(SUBSTITUTE(SUBSTITUTE(SUBSTITUTE(SUBSTITUTE(TRIM(M988),".",""),"/",""),"-","")," ",""),"(",""),")",""),"+",""),4)="0800")),"OK",IF(AND(LEN(SUBSTITUTE(SUBSTITUTE(SUBSTITUTE(SUBSTITUTE(SUBSTITUTE(SUBSTITUTE(SUBSTITUTE(TRIM(M988),".",""),"/",""),"-","")," ",""),"(",""),")",""),"+",""))=11,MID(SUBSTITUTE(SUBSTITUTE(SUBSTITUTE(SUBSTITUTE(SUBSTITUTE(SUBSTITUTE(SUBSTITUTE(TRIM(M988),".",""),"/",""),"-","")," ",""),"(",""),")",""),"+",""),3,1)="9"),"ERRO: é celular, use a coluna Celular","ERRO: DDD + 8 dígitos ou 0800 + 7")))</f>
      </c>
      <c r="X988" s="6">
        <f>IF(N988="","vazio",IF(AND(LEN(SUBSTITUTE(SUBSTITUTE(SUBSTITUTE(SUBSTITUTE(SUBSTITUTE(SUBSTITUTE(SUBSTITUTE(TRIM(N988),".",""),"/",""),"-","")," ",""),"(",""),")",""),"+",""))=11,MID(SUBSTITUTE(SUBSTITUTE(SUBSTITUTE(SUBSTITUTE(SUBSTITUTE(SUBSTITUTE(SUBSTITUTE(TRIM(N988),".",""),"/",""),"-","")," ",""),"(",""),")",""),"+",""),3,1)="9",LEFT(SUBSTITUTE(SUBSTITUTE(SUBSTITUTE(SUBSTITUTE(SUBSTITUTE(SUBSTITUTE(SUBSTITUTE(TRIM(N988),".",""),"/",""),"-","")," ",""),"(",""),")",""),"+",""),1)&lt;&gt;"0"),"OK",IF(LEN(SUBSTITUTE(SUBSTITUTE(SUBSTITUTE(SUBSTITUTE(SUBSTITUTE(SUBSTITUTE(SUBSTITUTE(TRIM(N988),".",""),"/",""),"-","")," ",""),"(",""),")",""),"+",""))=10,"ERRO: é fixo (ou falta o 9), use a coluna Telefone fixo","ERRO: DDD + 9 + 8 dígitos")))</f>
      </c>
      <c r="Y988" s="6">
        <f>IF(O988="","vazio",IF(AND(ISNUMBER(FIND("@",O988)),ISNUMBER(FIND(".",MID(O988,FIND("@",O988),99))),NOT(ISNUMBER(FIND(" ",TRIM(O988)))),NOT(ISNUMBER(FIND(";",O988))),NOT(ISNUMBER(FIND(",",O988)))),"OK","ERRO: um e-mail válido por linha"))</f>
      </c>
      <c r="Z988" s="6">
        <f>IF(AND(J988="",K988=""),"",IF(AND(J988&lt;&gt;"",K988&lt;&gt;""),"OK","pendente: só um nome (o GR completa ao converter)"))</f>
      </c>
      <c r="AA988" s="6">
        <f>IF(COUNTA(A988:S988)=0,"",IF(AND(A988&lt;&gt;"",B988&lt;&gt;"",C988&lt;&gt;"",D988&lt;&gt;"",E988&lt;&gt;"",F988&lt;&gt;"",G988&lt;&gt;"",H988&lt;&gt;"",OR(J988&lt;&gt;"",K988&lt;&gt;""),OR(M988&lt;&gt;"",N988&lt;&gt;"",O988&lt;&gt;"")),"OK","ERRO: faltam "&amp;IF(A988="","SDR; ","")&amp;IF(B988="","Proprietário; ","")&amp;IF(C988="","Origem; ","")&amp;IF(D988="","Temperatura; ","")&amp;IF(E988="","Segmento; ","")&amp;IF(F988="","Time/Cluster; ","")&amp;IF(G988="","CNPJ; ","")&amp;IF(H988="","Razão Social; ","")&amp;IF(AND(J988="",K988=""),"nome do contato; ","")&amp;IF(AND(M988="",N988="",O988=""),"telefone, celular ou e-mail; ","")))</f>
      </c>
      <c r="AB988" s="6">
        <f>IF(COUNTA(A988:S988)=0,"",IF(AND(U988="OK",V988="OK",LEFT(W988,4)&lt;&gt;"ERRO",LEFT(X988,4)&lt;&gt;"ERRO",LEFT(Y988,4)&lt;&gt;"ERRO",AA988="OK"),"OK","REVISAR"))</f>
      </c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5"/>
      <c r="K989" s="4"/>
      <c r="L989" s="4"/>
      <c r="M989" s="4"/>
      <c r="N989" s="4"/>
      <c r="O989" s="4"/>
      <c r="P989" s="4"/>
      <c r="Q989" s="4"/>
      <c r="R989" s="4"/>
      <c r="S989" s="4"/>
      <c r="T989" s="6">
        <f>IF(G989="","",SUBSTITUTE(SUBSTITUTE(SUBSTITUTE(SUBSTITUTE(SUBSTITUTE(SUBSTITUTE(SUBSTITUTE(TRIM(G989),".",""),"/",""),"-","")," ",""),"(",""),")",""),"+",""))</f>
      </c>
      <c r="U989" s="6">
        <f>IF(T989="","",IF(LEN(T989)&lt;&gt;14,"ERRO: "&amp;LEN(T989)&amp;" dígitos",IF(NOT(ISNUMBER(VALUE(T989))),"ERRO: não numérico",IF(LEN(SUBSTITUTE(T989,LEFT(T989,1),""))=0,"ERRO: dígitos repetidos",IF(AND(VALUE(MID(T989,13,1))=IF(MOD(SUMPRODUCT(--MID(T989,{1,2,3,4,5,6,7,8,9,10,11,12},1),{5,4,3,2,9,8,7,6,5,4,3,2}),11)&lt;2,0,11-MOD(SUMPRODUCT(--MID(T989,{1,2,3,4,5,6,7,8,9,10,11,12},1),{5,4,3,2,9,8,7,6,5,4,3,2}),11)),VALUE(MID(T989,14,1))=IF(MOD(SUMPRODUCT(--MID(T989,{1,2,3,4,5,6,7,8,9,10,11,12,13},1),{6,5,4,3,2,9,8,7,6,5,4,3,2}),11)&lt;2,0,11-MOD(SUMPRODUCT(--MID(T989,{1,2,3,4,5,6,7,8,9,10,11,12,13},1),{6,5,4,3,2,9,8,7,6,5,4,3,2}),11))),"OK","ERRO: dígito verificador")))))</f>
      </c>
      <c r="V989" s="6">
        <f>IF(T989="","",IF(COUNTIF($T$2:$T$1001,T989)&gt;1,"DUPLICADO","OK"))</f>
      </c>
      <c r="W989" s="6">
        <f>IF(M989="","vazio",IF(OR(AND(LEN(SUBSTITUTE(SUBSTITUTE(SUBSTITUTE(SUBSTITUTE(SUBSTITUTE(SUBSTITUTE(SUBSTITUTE(TRIM(M989),".",""),"/",""),"-","")," ",""),"(",""),")",""),"+",""))=10,LEFT(SUBSTITUTE(SUBSTITUTE(SUBSTITUTE(SUBSTITUTE(SUBSTITUTE(SUBSTITUTE(SUBSTITUTE(TRIM(M989),".",""),"/",""),"-","")," ",""),"(",""),")",""),"+",""),1)&lt;&gt;"0"),AND(LEN(SUBSTITUTE(SUBSTITUTE(SUBSTITUTE(SUBSTITUTE(SUBSTITUTE(SUBSTITUTE(SUBSTITUTE(TRIM(M989),".",""),"/",""),"-","")," ",""),"(",""),")",""),"+",""))=11,LEFT(SUBSTITUTE(SUBSTITUTE(SUBSTITUTE(SUBSTITUTE(SUBSTITUTE(SUBSTITUTE(SUBSTITUTE(TRIM(M989),".",""),"/",""),"-","")," ",""),"(",""),")",""),"+",""),4)="0800")),"OK",IF(AND(LEN(SUBSTITUTE(SUBSTITUTE(SUBSTITUTE(SUBSTITUTE(SUBSTITUTE(SUBSTITUTE(SUBSTITUTE(TRIM(M989),".",""),"/",""),"-","")," ",""),"(",""),")",""),"+",""))=11,MID(SUBSTITUTE(SUBSTITUTE(SUBSTITUTE(SUBSTITUTE(SUBSTITUTE(SUBSTITUTE(SUBSTITUTE(TRIM(M989),".",""),"/",""),"-","")," ",""),"(",""),")",""),"+",""),3,1)="9"),"ERRO: é celular, use a coluna Celular","ERRO: DDD + 8 dígitos ou 0800 + 7")))</f>
      </c>
      <c r="X989" s="6">
        <f>IF(N989="","vazio",IF(AND(LEN(SUBSTITUTE(SUBSTITUTE(SUBSTITUTE(SUBSTITUTE(SUBSTITUTE(SUBSTITUTE(SUBSTITUTE(TRIM(N989),".",""),"/",""),"-","")," ",""),"(",""),")",""),"+",""))=11,MID(SUBSTITUTE(SUBSTITUTE(SUBSTITUTE(SUBSTITUTE(SUBSTITUTE(SUBSTITUTE(SUBSTITUTE(TRIM(N989),".",""),"/",""),"-","")," ",""),"(",""),")",""),"+",""),3,1)="9",LEFT(SUBSTITUTE(SUBSTITUTE(SUBSTITUTE(SUBSTITUTE(SUBSTITUTE(SUBSTITUTE(SUBSTITUTE(TRIM(N989),".",""),"/",""),"-","")," ",""),"(",""),")",""),"+",""),1)&lt;&gt;"0"),"OK",IF(LEN(SUBSTITUTE(SUBSTITUTE(SUBSTITUTE(SUBSTITUTE(SUBSTITUTE(SUBSTITUTE(SUBSTITUTE(TRIM(N989),".",""),"/",""),"-","")," ",""),"(",""),")",""),"+",""))=10,"ERRO: é fixo (ou falta o 9), use a coluna Telefone fixo","ERRO: DDD + 9 + 8 dígitos")))</f>
      </c>
      <c r="Y989" s="6">
        <f>IF(O989="","vazio",IF(AND(ISNUMBER(FIND("@",O989)),ISNUMBER(FIND(".",MID(O989,FIND("@",O989),99))),NOT(ISNUMBER(FIND(" ",TRIM(O989)))),NOT(ISNUMBER(FIND(";",O989))),NOT(ISNUMBER(FIND(",",O989)))),"OK","ERRO: um e-mail válido por linha"))</f>
      </c>
      <c r="Z989" s="6">
        <f>IF(AND(J989="",K989=""),"",IF(AND(J989&lt;&gt;"",K989&lt;&gt;""),"OK","pendente: só um nome (o GR completa ao converter)"))</f>
      </c>
      <c r="AA989" s="6">
        <f>IF(COUNTA(A989:S989)=0,"",IF(AND(A989&lt;&gt;"",B989&lt;&gt;"",C989&lt;&gt;"",D989&lt;&gt;"",E989&lt;&gt;"",F989&lt;&gt;"",G989&lt;&gt;"",H989&lt;&gt;"",OR(J989&lt;&gt;"",K989&lt;&gt;""),OR(M989&lt;&gt;"",N989&lt;&gt;"",O989&lt;&gt;"")),"OK","ERRO: faltam "&amp;IF(A989="","SDR; ","")&amp;IF(B989="","Proprietário; ","")&amp;IF(C989="","Origem; ","")&amp;IF(D989="","Temperatura; ","")&amp;IF(E989="","Segmento; ","")&amp;IF(F989="","Time/Cluster; ","")&amp;IF(G989="","CNPJ; ","")&amp;IF(H989="","Razão Social; ","")&amp;IF(AND(J989="",K989=""),"nome do contato; ","")&amp;IF(AND(M989="",N989="",O989=""),"telefone, celular ou e-mail; ","")))</f>
      </c>
      <c r="AB989" s="6">
        <f>IF(COUNTA(A989:S989)=0,"",IF(AND(U989="OK",V989="OK",LEFT(W989,4)&lt;&gt;"ERRO",LEFT(X989,4)&lt;&gt;"ERRO",LEFT(Y989,4)&lt;&gt;"ERRO",AA989="OK"),"OK","REVISAR"))</f>
      </c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5"/>
      <c r="K990" s="4"/>
      <c r="L990" s="4"/>
      <c r="M990" s="4"/>
      <c r="N990" s="4"/>
      <c r="O990" s="4"/>
      <c r="P990" s="4"/>
      <c r="Q990" s="4"/>
      <c r="R990" s="4"/>
      <c r="S990" s="4"/>
      <c r="T990" s="6">
        <f>IF(G990="","",SUBSTITUTE(SUBSTITUTE(SUBSTITUTE(SUBSTITUTE(SUBSTITUTE(SUBSTITUTE(SUBSTITUTE(TRIM(G990),".",""),"/",""),"-","")," ",""),"(",""),")",""),"+",""))</f>
      </c>
      <c r="U990" s="6">
        <f>IF(T990="","",IF(LEN(T990)&lt;&gt;14,"ERRO: "&amp;LEN(T990)&amp;" dígitos",IF(NOT(ISNUMBER(VALUE(T990))),"ERRO: não numérico",IF(LEN(SUBSTITUTE(T990,LEFT(T990,1),""))=0,"ERRO: dígitos repetidos",IF(AND(VALUE(MID(T990,13,1))=IF(MOD(SUMPRODUCT(--MID(T990,{1,2,3,4,5,6,7,8,9,10,11,12},1),{5,4,3,2,9,8,7,6,5,4,3,2}),11)&lt;2,0,11-MOD(SUMPRODUCT(--MID(T990,{1,2,3,4,5,6,7,8,9,10,11,12},1),{5,4,3,2,9,8,7,6,5,4,3,2}),11)),VALUE(MID(T990,14,1))=IF(MOD(SUMPRODUCT(--MID(T990,{1,2,3,4,5,6,7,8,9,10,11,12,13},1),{6,5,4,3,2,9,8,7,6,5,4,3,2}),11)&lt;2,0,11-MOD(SUMPRODUCT(--MID(T990,{1,2,3,4,5,6,7,8,9,10,11,12,13},1),{6,5,4,3,2,9,8,7,6,5,4,3,2}),11))),"OK","ERRO: dígito verificador")))))</f>
      </c>
      <c r="V990" s="6">
        <f>IF(T990="","",IF(COUNTIF($T$2:$T$1001,T990)&gt;1,"DUPLICADO","OK"))</f>
      </c>
      <c r="W990" s="6">
        <f>IF(M990="","vazio",IF(OR(AND(LEN(SUBSTITUTE(SUBSTITUTE(SUBSTITUTE(SUBSTITUTE(SUBSTITUTE(SUBSTITUTE(SUBSTITUTE(TRIM(M990),".",""),"/",""),"-","")," ",""),"(",""),")",""),"+",""))=10,LEFT(SUBSTITUTE(SUBSTITUTE(SUBSTITUTE(SUBSTITUTE(SUBSTITUTE(SUBSTITUTE(SUBSTITUTE(TRIM(M990),".",""),"/",""),"-","")," ",""),"(",""),")",""),"+",""),1)&lt;&gt;"0"),AND(LEN(SUBSTITUTE(SUBSTITUTE(SUBSTITUTE(SUBSTITUTE(SUBSTITUTE(SUBSTITUTE(SUBSTITUTE(TRIM(M990),".",""),"/",""),"-","")," ",""),"(",""),")",""),"+",""))=11,LEFT(SUBSTITUTE(SUBSTITUTE(SUBSTITUTE(SUBSTITUTE(SUBSTITUTE(SUBSTITUTE(SUBSTITUTE(TRIM(M990),".",""),"/",""),"-","")," ",""),"(",""),")",""),"+",""),4)="0800")),"OK",IF(AND(LEN(SUBSTITUTE(SUBSTITUTE(SUBSTITUTE(SUBSTITUTE(SUBSTITUTE(SUBSTITUTE(SUBSTITUTE(TRIM(M990),".",""),"/",""),"-","")," ",""),"(",""),")",""),"+",""))=11,MID(SUBSTITUTE(SUBSTITUTE(SUBSTITUTE(SUBSTITUTE(SUBSTITUTE(SUBSTITUTE(SUBSTITUTE(TRIM(M990),".",""),"/",""),"-","")," ",""),"(",""),")",""),"+",""),3,1)="9"),"ERRO: é celular, use a coluna Celular","ERRO: DDD + 8 dígitos ou 0800 + 7")))</f>
      </c>
      <c r="X990" s="6">
        <f>IF(N990="","vazio",IF(AND(LEN(SUBSTITUTE(SUBSTITUTE(SUBSTITUTE(SUBSTITUTE(SUBSTITUTE(SUBSTITUTE(SUBSTITUTE(TRIM(N990),".",""),"/",""),"-","")," ",""),"(",""),")",""),"+",""))=11,MID(SUBSTITUTE(SUBSTITUTE(SUBSTITUTE(SUBSTITUTE(SUBSTITUTE(SUBSTITUTE(SUBSTITUTE(TRIM(N990),".",""),"/",""),"-","")," ",""),"(",""),")",""),"+",""),3,1)="9",LEFT(SUBSTITUTE(SUBSTITUTE(SUBSTITUTE(SUBSTITUTE(SUBSTITUTE(SUBSTITUTE(SUBSTITUTE(TRIM(N990),".",""),"/",""),"-","")," ",""),"(",""),")",""),"+",""),1)&lt;&gt;"0"),"OK",IF(LEN(SUBSTITUTE(SUBSTITUTE(SUBSTITUTE(SUBSTITUTE(SUBSTITUTE(SUBSTITUTE(SUBSTITUTE(TRIM(N990),".",""),"/",""),"-","")," ",""),"(",""),")",""),"+",""))=10,"ERRO: é fixo (ou falta o 9), use a coluna Telefone fixo","ERRO: DDD + 9 + 8 dígitos")))</f>
      </c>
      <c r="Y990" s="6">
        <f>IF(O990="","vazio",IF(AND(ISNUMBER(FIND("@",O990)),ISNUMBER(FIND(".",MID(O990,FIND("@",O990),99))),NOT(ISNUMBER(FIND(" ",TRIM(O990)))),NOT(ISNUMBER(FIND(";",O990))),NOT(ISNUMBER(FIND(",",O990)))),"OK","ERRO: um e-mail válido por linha"))</f>
      </c>
      <c r="Z990" s="6">
        <f>IF(AND(J990="",K990=""),"",IF(AND(J990&lt;&gt;"",K990&lt;&gt;""),"OK","pendente: só um nome (o GR completa ao converter)"))</f>
      </c>
      <c r="AA990" s="6">
        <f>IF(COUNTA(A990:S990)=0,"",IF(AND(A990&lt;&gt;"",B990&lt;&gt;"",C990&lt;&gt;"",D990&lt;&gt;"",E990&lt;&gt;"",F990&lt;&gt;"",G990&lt;&gt;"",H990&lt;&gt;"",OR(J990&lt;&gt;"",K990&lt;&gt;""),OR(M990&lt;&gt;"",N990&lt;&gt;"",O990&lt;&gt;"")),"OK","ERRO: faltam "&amp;IF(A990="","SDR; ","")&amp;IF(B990="","Proprietário; ","")&amp;IF(C990="","Origem; ","")&amp;IF(D990="","Temperatura; ","")&amp;IF(E990="","Segmento; ","")&amp;IF(F990="","Time/Cluster; ","")&amp;IF(G990="","CNPJ; ","")&amp;IF(H990="","Razão Social; ","")&amp;IF(AND(J990="",K990=""),"nome do contato; ","")&amp;IF(AND(M990="",N990="",O990=""),"telefone, celular ou e-mail; ","")))</f>
      </c>
      <c r="AB990" s="6">
        <f>IF(COUNTA(A990:S990)=0,"",IF(AND(U990="OK",V990="OK",LEFT(W990,4)&lt;&gt;"ERRO",LEFT(X990,4)&lt;&gt;"ERRO",LEFT(Y990,4)&lt;&gt;"ERRO",AA990="OK"),"OK","REVISAR"))</f>
      </c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5"/>
      <c r="K991" s="4"/>
      <c r="L991" s="4"/>
      <c r="M991" s="4"/>
      <c r="N991" s="4"/>
      <c r="O991" s="4"/>
      <c r="P991" s="4"/>
      <c r="Q991" s="4"/>
      <c r="R991" s="4"/>
      <c r="S991" s="4"/>
      <c r="T991" s="6">
        <f>IF(G991="","",SUBSTITUTE(SUBSTITUTE(SUBSTITUTE(SUBSTITUTE(SUBSTITUTE(SUBSTITUTE(SUBSTITUTE(TRIM(G991),".",""),"/",""),"-","")," ",""),"(",""),")",""),"+",""))</f>
      </c>
      <c r="U991" s="6">
        <f>IF(T991="","",IF(LEN(T991)&lt;&gt;14,"ERRO: "&amp;LEN(T991)&amp;" dígitos",IF(NOT(ISNUMBER(VALUE(T991))),"ERRO: não numérico",IF(LEN(SUBSTITUTE(T991,LEFT(T991,1),""))=0,"ERRO: dígitos repetidos",IF(AND(VALUE(MID(T991,13,1))=IF(MOD(SUMPRODUCT(--MID(T991,{1,2,3,4,5,6,7,8,9,10,11,12},1),{5,4,3,2,9,8,7,6,5,4,3,2}),11)&lt;2,0,11-MOD(SUMPRODUCT(--MID(T991,{1,2,3,4,5,6,7,8,9,10,11,12},1),{5,4,3,2,9,8,7,6,5,4,3,2}),11)),VALUE(MID(T991,14,1))=IF(MOD(SUMPRODUCT(--MID(T991,{1,2,3,4,5,6,7,8,9,10,11,12,13},1),{6,5,4,3,2,9,8,7,6,5,4,3,2}),11)&lt;2,0,11-MOD(SUMPRODUCT(--MID(T991,{1,2,3,4,5,6,7,8,9,10,11,12,13},1),{6,5,4,3,2,9,8,7,6,5,4,3,2}),11))),"OK","ERRO: dígito verificador")))))</f>
      </c>
      <c r="V991" s="6">
        <f>IF(T991="","",IF(COUNTIF($T$2:$T$1001,T991)&gt;1,"DUPLICADO","OK"))</f>
      </c>
      <c r="W991" s="6">
        <f>IF(M991="","vazio",IF(OR(AND(LEN(SUBSTITUTE(SUBSTITUTE(SUBSTITUTE(SUBSTITUTE(SUBSTITUTE(SUBSTITUTE(SUBSTITUTE(TRIM(M991),".",""),"/",""),"-","")," ",""),"(",""),")",""),"+",""))=10,LEFT(SUBSTITUTE(SUBSTITUTE(SUBSTITUTE(SUBSTITUTE(SUBSTITUTE(SUBSTITUTE(SUBSTITUTE(TRIM(M991),".",""),"/",""),"-","")," ",""),"(",""),")",""),"+",""),1)&lt;&gt;"0"),AND(LEN(SUBSTITUTE(SUBSTITUTE(SUBSTITUTE(SUBSTITUTE(SUBSTITUTE(SUBSTITUTE(SUBSTITUTE(TRIM(M991),".",""),"/",""),"-","")," ",""),"(",""),")",""),"+",""))=11,LEFT(SUBSTITUTE(SUBSTITUTE(SUBSTITUTE(SUBSTITUTE(SUBSTITUTE(SUBSTITUTE(SUBSTITUTE(TRIM(M991),".",""),"/",""),"-","")," ",""),"(",""),")",""),"+",""),4)="0800")),"OK",IF(AND(LEN(SUBSTITUTE(SUBSTITUTE(SUBSTITUTE(SUBSTITUTE(SUBSTITUTE(SUBSTITUTE(SUBSTITUTE(TRIM(M991),".",""),"/",""),"-","")," ",""),"(",""),")",""),"+",""))=11,MID(SUBSTITUTE(SUBSTITUTE(SUBSTITUTE(SUBSTITUTE(SUBSTITUTE(SUBSTITUTE(SUBSTITUTE(TRIM(M991),".",""),"/",""),"-","")," ",""),"(",""),")",""),"+",""),3,1)="9"),"ERRO: é celular, use a coluna Celular","ERRO: DDD + 8 dígitos ou 0800 + 7")))</f>
      </c>
      <c r="X991" s="6">
        <f>IF(N991="","vazio",IF(AND(LEN(SUBSTITUTE(SUBSTITUTE(SUBSTITUTE(SUBSTITUTE(SUBSTITUTE(SUBSTITUTE(SUBSTITUTE(TRIM(N991),".",""),"/",""),"-","")," ",""),"(",""),")",""),"+",""))=11,MID(SUBSTITUTE(SUBSTITUTE(SUBSTITUTE(SUBSTITUTE(SUBSTITUTE(SUBSTITUTE(SUBSTITUTE(TRIM(N991),".",""),"/",""),"-","")," ",""),"(",""),")",""),"+",""),3,1)="9",LEFT(SUBSTITUTE(SUBSTITUTE(SUBSTITUTE(SUBSTITUTE(SUBSTITUTE(SUBSTITUTE(SUBSTITUTE(TRIM(N991),".",""),"/",""),"-","")," ",""),"(",""),")",""),"+",""),1)&lt;&gt;"0"),"OK",IF(LEN(SUBSTITUTE(SUBSTITUTE(SUBSTITUTE(SUBSTITUTE(SUBSTITUTE(SUBSTITUTE(SUBSTITUTE(TRIM(N991),".",""),"/",""),"-","")," ",""),"(",""),")",""),"+",""))=10,"ERRO: é fixo (ou falta o 9), use a coluna Telefone fixo","ERRO: DDD + 9 + 8 dígitos")))</f>
      </c>
      <c r="Y991" s="6">
        <f>IF(O991="","vazio",IF(AND(ISNUMBER(FIND("@",O991)),ISNUMBER(FIND(".",MID(O991,FIND("@",O991),99))),NOT(ISNUMBER(FIND(" ",TRIM(O991)))),NOT(ISNUMBER(FIND(";",O991))),NOT(ISNUMBER(FIND(",",O991)))),"OK","ERRO: um e-mail válido por linha"))</f>
      </c>
      <c r="Z991" s="6">
        <f>IF(AND(J991="",K991=""),"",IF(AND(J991&lt;&gt;"",K991&lt;&gt;""),"OK","pendente: só um nome (o GR completa ao converter)"))</f>
      </c>
      <c r="AA991" s="6">
        <f>IF(COUNTA(A991:S991)=0,"",IF(AND(A991&lt;&gt;"",B991&lt;&gt;"",C991&lt;&gt;"",D991&lt;&gt;"",E991&lt;&gt;"",F991&lt;&gt;"",G991&lt;&gt;"",H991&lt;&gt;"",OR(J991&lt;&gt;"",K991&lt;&gt;""),OR(M991&lt;&gt;"",N991&lt;&gt;"",O991&lt;&gt;"")),"OK","ERRO: faltam "&amp;IF(A991="","SDR; ","")&amp;IF(B991="","Proprietário; ","")&amp;IF(C991="","Origem; ","")&amp;IF(D991="","Temperatura; ","")&amp;IF(E991="","Segmento; ","")&amp;IF(F991="","Time/Cluster; ","")&amp;IF(G991="","CNPJ; ","")&amp;IF(H991="","Razão Social; ","")&amp;IF(AND(J991="",K991=""),"nome do contato; ","")&amp;IF(AND(M991="",N991="",O991=""),"telefone, celular ou e-mail; ","")))</f>
      </c>
      <c r="AB991" s="6">
        <f>IF(COUNTA(A991:S991)=0,"",IF(AND(U991="OK",V991="OK",LEFT(W991,4)&lt;&gt;"ERRO",LEFT(X991,4)&lt;&gt;"ERRO",LEFT(Y991,4)&lt;&gt;"ERRO",AA991="OK"),"OK","REVISAR"))</f>
      </c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5"/>
      <c r="K992" s="4"/>
      <c r="L992" s="4"/>
      <c r="M992" s="4"/>
      <c r="N992" s="4"/>
      <c r="O992" s="4"/>
      <c r="P992" s="4"/>
      <c r="Q992" s="4"/>
      <c r="R992" s="4"/>
      <c r="S992" s="4"/>
      <c r="T992" s="6">
        <f>IF(G992="","",SUBSTITUTE(SUBSTITUTE(SUBSTITUTE(SUBSTITUTE(SUBSTITUTE(SUBSTITUTE(SUBSTITUTE(TRIM(G992),".",""),"/",""),"-","")," ",""),"(",""),")",""),"+",""))</f>
      </c>
      <c r="U992" s="6">
        <f>IF(T992="","",IF(LEN(T992)&lt;&gt;14,"ERRO: "&amp;LEN(T992)&amp;" dígitos",IF(NOT(ISNUMBER(VALUE(T992))),"ERRO: não numérico",IF(LEN(SUBSTITUTE(T992,LEFT(T992,1),""))=0,"ERRO: dígitos repetidos",IF(AND(VALUE(MID(T992,13,1))=IF(MOD(SUMPRODUCT(--MID(T992,{1,2,3,4,5,6,7,8,9,10,11,12},1),{5,4,3,2,9,8,7,6,5,4,3,2}),11)&lt;2,0,11-MOD(SUMPRODUCT(--MID(T992,{1,2,3,4,5,6,7,8,9,10,11,12},1),{5,4,3,2,9,8,7,6,5,4,3,2}),11)),VALUE(MID(T992,14,1))=IF(MOD(SUMPRODUCT(--MID(T992,{1,2,3,4,5,6,7,8,9,10,11,12,13},1),{6,5,4,3,2,9,8,7,6,5,4,3,2}),11)&lt;2,0,11-MOD(SUMPRODUCT(--MID(T992,{1,2,3,4,5,6,7,8,9,10,11,12,13},1),{6,5,4,3,2,9,8,7,6,5,4,3,2}),11))),"OK","ERRO: dígito verificador")))))</f>
      </c>
      <c r="V992" s="6">
        <f>IF(T992="","",IF(COUNTIF($T$2:$T$1001,T992)&gt;1,"DUPLICADO","OK"))</f>
      </c>
      <c r="W992" s="6">
        <f>IF(M992="","vazio",IF(OR(AND(LEN(SUBSTITUTE(SUBSTITUTE(SUBSTITUTE(SUBSTITUTE(SUBSTITUTE(SUBSTITUTE(SUBSTITUTE(TRIM(M992),".",""),"/",""),"-","")," ",""),"(",""),")",""),"+",""))=10,LEFT(SUBSTITUTE(SUBSTITUTE(SUBSTITUTE(SUBSTITUTE(SUBSTITUTE(SUBSTITUTE(SUBSTITUTE(TRIM(M992),".",""),"/",""),"-","")," ",""),"(",""),")",""),"+",""),1)&lt;&gt;"0"),AND(LEN(SUBSTITUTE(SUBSTITUTE(SUBSTITUTE(SUBSTITUTE(SUBSTITUTE(SUBSTITUTE(SUBSTITUTE(TRIM(M992),".",""),"/",""),"-","")," ",""),"(",""),")",""),"+",""))=11,LEFT(SUBSTITUTE(SUBSTITUTE(SUBSTITUTE(SUBSTITUTE(SUBSTITUTE(SUBSTITUTE(SUBSTITUTE(TRIM(M992),".",""),"/",""),"-","")," ",""),"(",""),")",""),"+",""),4)="0800")),"OK",IF(AND(LEN(SUBSTITUTE(SUBSTITUTE(SUBSTITUTE(SUBSTITUTE(SUBSTITUTE(SUBSTITUTE(SUBSTITUTE(TRIM(M992),".",""),"/",""),"-","")," ",""),"(",""),")",""),"+",""))=11,MID(SUBSTITUTE(SUBSTITUTE(SUBSTITUTE(SUBSTITUTE(SUBSTITUTE(SUBSTITUTE(SUBSTITUTE(TRIM(M992),".",""),"/",""),"-","")," ",""),"(",""),")",""),"+",""),3,1)="9"),"ERRO: é celular, use a coluna Celular","ERRO: DDD + 8 dígitos ou 0800 + 7")))</f>
      </c>
      <c r="X992" s="6">
        <f>IF(N992="","vazio",IF(AND(LEN(SUBSTITUTE(SUBSTITUTE(SUBSTITUTE(SUBSTITUTE(SUBSTITUTE(SUBSTITUTE(SUBSTITUTE(TRIM(N992),".",""),"/",""),"-","")," ",""),"(",""),")",""),"+",""))=11,MID(SUBSTITUTE(SUBSTITUTE(SUBSTITUTE(SUBSTITUTE(SUBSTITUTE(SUBSTITUTE(SUBSTITUTE(TRIM(N992),".",""),"/",""),"-","")," ",""),"(",""),")",""),"+",""),3,1)="9",LEFT(SUBSTITUTE(SUBSTITUTE(SUBSTITUTE(SUBSTITUTE(SUBSTITUTE(SUBSTITUTE(SUBSTITUTE(TRIM(N992),".",""),"/",""),"-","")," ",""),"(",""),")",""),"+",""),1)&lt;&gt;"0"),"OK",IF(LEN(SUBSTITUTE(SUBSTITUTE(SUBSTITUTE(SUBSTITUTE(SUBSTITUTE(SUBSTITUTE(SUBSTITUTE(TRIM(N992),".",""),"/",""),"-","")," ",""),"(",""),")",""),"+",""))=10,"ERRO: é fixo (ou falta o 9), use a coluna Telefone fixo","ERRO: DDD + 9 + 8 dígitos")))</f>
      </c>
      <c r="Y992" s="6">
        <f>IF(O992="","vazio",IF(AND(ISNUMBER(FIND("@",O992)),ISNUMBER(FIND(".",MID(O992,FIND("@",O992),99))),NOT(ISNUMBER(FIND(" ",TRIM(O992)))),NOT(ISNUMBER(FIND(";",O992))),NOT(ISNUMBER(FIND(",",O992)))),"OK","ERRO: um e-mail válido por linha"))</f>
      </c>
      <c r="Z992" s="6">
        <f>IF(AND(J992="",K992=""),"",IF(AND(J992&lt;&gt;"",K992&lt;&gt;""),"OK","pendente: só um nome (o GR completa ao converter)"))</f>
      </c>
      <c r="AA992" s="6">
        <f>IF(COUNTA(A992:S992)=0,"",IF(AND(A992&lt;&gt;"",B992&lt;&gt;"",C992&lt;&gt;"",D992&lt;&gt;"",E992&lt;&gt;"",F992&lt;&gt;"",G992&lt;&gt;"",H992&lt;&gt;"",OR(J992&lt;&gt;"",K992&lt;&gt;""),OR(M992&lt;&gt;"",N992&lt;&gt;"",O992&lt;&gt;"")),"OK","ERRO: faltam "&amp;IF(A992="","SDR; ","")&amp;IF(B992="","Proprietário; ","")&amp;IF(C992="","Origem; ","")&amp;IF(D992="","Temperatura; ","")&amp;IF(E992="","Segmento; ","")&amp;IF(F992="","Time/Cluster; ","")&amp;IF(G992="","CNPJ; ","")&amp;IF(H992="","Razão Social; ","")&amp;IF(AND(J992="",K992=""),"nome do contato; ","")&amp;IF(AND(M992="",N992="",O992=""),"telefone, celular ou e-mail; ","")))</f>
      </c>
      <c r="AB992" s="6">
        <f>IF(COUNTA(A992:S992)=0,"",IF(AND(U992="OK",V992="OK",LEFT(W992,4)&lt;&gt;"ERRO",LEFT(X992,4)&lt;&gt;"ERRO",LEFT(Y992,4)&lt;&gt;"ERRO",AA992="OK"),"OK","REVISAR"))</f>
      </c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5"/>
      <c r="K993" s="4"/>
      <c r="L993" s="4"/>
      <c r="M993" s="4"/>
      <c r="N993" s="4"/>
      <c r="O993" s="4"/>
      <c r="P993" s="4"/>
      <c r="Q993" s="4"/>
      <c r="R993" s="4"/>
      <c r="S993" s="4"/>
      <c r="T993" s="6">
        <f>IF(G993="","",SUBSTITUTE(SUBSTITUTE(SUBSTITUTE(SUBSTITUTE(SUBSTITUTE(SUBSTITUTE(SUBSTITUTE(TRIM(G993),".",""),"/",""),"-","")," ",""),"(",""),")",""),"+",""))</f>
      </c>
      <c r="U993" s="6">
        <f>IF(T993="","",IF(LEN(T993)&lt;&gt;14,"ERRO: "&amp;LEN(T993)&amp;" dígitos",IF(NOT(ISNUMBER(VALUE(T993))),"ERRO: não numérico",IF(LEN(SUBSTITUTE(T993,LEFT(T993,1),""))=0,"ERRO: dígitos repetidos",IF(AND(VALUE(MID(T993,13,1))=IF(MOD(SUMPRODUCT(--MID(T993,{1,2,3,4,5,6,7,8,9,10,11,12},1),{5,4,3,2,9,8,7,6,5,4,3,2}),11)&lt;2,0,11-MOD(SUMPRODUCT(--MID(T993,{1,2,3,4,5,6,7,8,9,10,11,12},1),{5,4,3,2,9,8,7,6,5,4,3,2}),11)),VALUE(MID(T993,14,1))=IF(MOD(SUMPRODUCT(--MID(T993,{1,2,3,4,5,6,7,8,9,10,11,12,13},1),{6,5,4,3,2,9,8,7,6,5,4,3,2}),11)&lt;2,0,11-MOD(SUMPRODUCT(--MID(T993,{1,2,3,4,5,6,7,8,9,10,11,12,13},1),{6,5,4,3,2,9,8,7,6,5,4,3,2}),11))),"OK","ERRO: dígito verificador")))))</f>
      </c>
      <c r="V993" s="6">
        <f>IF(T993="","",IF(COUNTIF($T$2:$T$1001,T993)&gt;1,"DUPLICADO","OK"))</f>
      </c>
      <c r="W993" s="6">
        <f>IF(M993="","vazio",IF(OR(AND(LEN(SUBSTITUTE(SUBSTITUTE(SUBSTITUTE(SUBSTITUTE(SUBSTITUTE(SUBSTITUTE(SUBSTITUTE(TRIM(M993),".",""),"/",""),"-","")," ",""),"(",""),")",""),"+",""))=10,LEFT(SUBSTITUTE(SUBSTITUTE(SUBSTITUTE(SUBSTITUTE(SUBSTITUTE(SUBSTITUTE(SUBSTITUTE(TRIM(M993),".",""),"/",""),"-","")," ",""),"(",""),")",""),"+",""),1)&lt;&gt;"0"),AND(LEN(SUBSTITUTE(SUBSTITUTE(SUBSTITUTE(SUBSTITUTE(SUBSTITUTE(SUBSTITUTE(SUBSTITUTE(TRIM(M993),".",""),"/",""),"-","")," ",""),"(",""),")",""),"+",""))=11,LEFT(SUBSTITUTE(SUBSTITUTE(SUBSTITUTE(SUBSTITUTE(SUBSTITUTE(SUBSTITUTE(SUBSTITUTE(TRIM(M993),".",""),"/",""),"-","")," ",""),"(",""),")",""),"+",""),4)="0800")),"OK",IF(AND(LEN(SUBSTITUTE(SUBSTITUTE(SUBSTITUTE(SUBSTITUTE(SUBSTITUTE(SUBSTITUTE(SUBSTITUTE(TRIM(M993),".",""),"/",""),"-","")," ",""),"(",""),")",""),"+",""))=11,MID(SUBSTITUTE(SUBSTITUTE(SUBSTITUTE(SUBSTITUTE(SUBSTITUTE(SUBSTITUTE(SUBSTITUTE(TRIM(M993),".",""),"/",""),"-","")," ",""),"(",""),")",""),"+",""),3,1)="9"),"ERRO: é celular, use a coluna Celular","ERRO: DDD + 8 dígitos ou 0800 + 7")))</f>
      </c>
      <c r="X993" s="6">
        <f>IF(N993="","vazio",IF(AND(LEN(SUBSTITUTE(SUBSTITUTE(SUBSTITUTE(SUBSTITUTE(SUBSTITUTE(SUBSTITUTE(SUBSTITUTE(TRIM(N993),".",""),"/",""),"-","")," ",""),"(",""),")",""),"+",""))=11,MID(SUBSTITUTE(SUBSTITUTE(SUBSTITUTE(SUBSTITUTE(SUBSTITUTE(SUBSTITUTE(SUBSTITUTE(TRIM(N993),".",""),"/",""),"-","")," ",""),"(",""),")",""),"+",""),3,1)="9",LEFT(SUBSTITUTE(SUBSTITUTE(SUBSTITUTE(SUBSTITUTE(SUBSTITUTE(SUBSTITUTE(SUBSTITUTE(TRIM(N993),".",""),"/",""),"-","")," ",""),"(",""),")",""),"+",""),1)&lt;&gt;"0"),"OK",IF(LEN(SUBSTITUTE(SUBSTITUTE(SUBSTITUTE(SUBSTITUTE(SUBSTITUTE(SUBSTITUTE(SUBSTITUTE(TRIM(N993),".",""),"/",""),"-","")," ",""),"(",""),")",""),"+",""))=10,"ERRO: é fixo (ou falta o 9), use a coluna Telefone fixo","ERRO: DDD + 9 + 8 dígitos")))</f>
      </c>
      <c r="Y993" s="6">
        <f>IF(O993="","vazio",IF(AND(ISNUMBER(FIND("@",O993)),ISNUMBER(FIND(".",MID(O993,FIND("@",O993),99))),NOT(ISNUMBER(FIND(" ",TRIM(O993)))),NOT(ISNUMBER(FIND(";",O993))),NOT(ISNUMBER(FIND(",",O993)))),"OK","ERRO: um e-mail válido por linha"))</f>
      </c>
      <c r="Z993" s="6">
        <f>IF(AND(J993="",K993=""),"",IF(AND(J993&lt;&gt;"",K993&lt;&gt;""),"OK","pendente: só um nome (o GR completa ao converter)"))</f>
      </c>
      <c r="AA993" s="6">
        <f>IF(COUNTA(A993:S993)=0,"",IF(AND(A993&lt;&gt;"",B993&lt;&gt;"",C993&lt;&gt;"",D993&lt;&gt;"",E993&lt;&gt;"",F993&lt;&gt;"",G993&lt;&gt;"",H993&lt;&gt;"",OR(J993&lt;&gt;"",K993&lt;&gt;""),OR(M993&lt;&gt;"",N993&lt;&gt;"",O993&lt;&gt;"")),"OK","ERRO: faltam "&amp;IF(A993="","SDR; ","")&amp;IF(B993="","Proprietário; ","")&amp;IF(C993="","Origem; ","")&amp;IF(D993="","Temperatura; ","")&amp;IF(E993="","Segmento; ","")&amp;IF(F993="","Time/Cluster; ","")&amp;IF(G993="","CNPJ; ","")&amp;IF(H993="","Razão Social; ","")&amp;IF(AND(J993="",K993=""),"nome do contato; ","")&amp;IF(AND(M993="",N993="",O993=""),"telefone, celular ou e-mail; ","")))</f>
      </c>
      <c r="AB993" s="6">
        <f>IF(COUNTA(A993:S993)=0,"",IF(AND(U993="OK",V993="OK",LEFT(W993,4)&lt;&gt;"ERRO",LEFT(X993,4)&lt;&gt;"ERRO",LEFT(Y993,4)&lt;&gt;"ERRO",AA993="OK"),"OK","REVISAR"))</f>
      </c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5"/>
      <c r="K994" s="4"/>
      <c r="L994" s="4"/>
      <c r="M994" s="4"/>
      <c r="N994" s="4"/>
      <c r="O994" s="4"/>
      <c r="P994" s="4"/>
      <c r="Q994" s="4"/>
      <c r="R994" s="4"/>
      <c r="S994" s="4"/>
      <c r="T994" s="6">
        <f>IF(G994="","",SUBSTITUTE(SUBSTITUTE(SUBSTITUTE(SUBSTITUTE(SUBSTITUTE(SUBSTITUTE(SUBSTITUTE(TRIM(G994),".",""),"/",""),"-","")," ",""),"(",""),")",""),"+",""))</f>
      </c>
      <c r="U994" s="6">
        <f>IF(T994="","",IF(LEN(T994)&lt;&gt;14,"ERRO: "&amp;LEN(T994)&amp;" dígitos",IF(NOT(ISNUMBER(VALUE(T994))),"ERRO: não numérico",IF(LEN(SUBSTITUTE(T994,LEFT(T994,1),""))=0,"ERRO: dígitos repetidos",IF(AND(VALUE(MID(T994,13,1))=IF(MOD(SUMPRODUCT(--MID(T994,{1,2,3,4,5,6,7,8,9,10,11,12},1),{5,4,3,2,9,8,7,6,5,4,3,2}),11)&lt;2,0,11-MOD(SUMPRODUCT(--MID(T994,{1,2,3,4,5,6,7,8,9,10,11,12},1),{5,4,3,2,9,8,7,6,5,4,3,2}),11)),VALUE(MID(T994,14,1))=IF(MOD(SUMPRODUCT(--MID(T994,{1,2,3,4,5,6,7,8,9,10,11,12,13},1),{6,5,4,3,2,9,8,7,6,5,4,3,2}),11)&lt;2,0,11-MOD(SUMPRODUCT(--MID(T994,{1,2,3,4,5,6,7,8,9,10,11,12,13},1),{6,5,4,3,2,9,8,7,6,5,4,3,2}),11))),"OK","ERRO: dígito verificador")))))</f>
      </c>
      <c r="V994" s="6">
        <f>IF(T994="","",IF(COUNTIF($T$2:$T$1001,T994)&gt;1,"DUPLICADO","OK"))</f>
      </c>
      <c r="W994" s="6">
        <f>IF(M994="","vazio",IF(OR(AND(LEN(SUBSTITUTE(SUBSTITUTE(SUBSTITUTE(SUBSTITUTE(SUBSTITUTE(SUBSTITUTE(SUBSTITUTE(TRIM(M994),".",""),"/",""),"-","")," ",""),"(",""),")",""),"+",""))=10,LEFT(SUBSTITUTE(SUBSTITUTE(SUBSTITUTE(SUBSTITUTE(SUBSTITUTE(SUBSTITUTE(SUBSTITUTE(TRIM(M994),".",""),"/",""),"-","")," ",""),"(",""),")",""),"+",""),1)&lt;&gt;"0"),AND(LEN(SUBSTITUTE(SUBSTITUTE(SUBSTITUTE(SUBSTITUTE(SUBSTITUTE(SUBSTITUTE(SUBSTITUTE(TRIM(M994),".",""),"/",""),"-","")," ",""),"(",""),")",""),"+",""))=11,LEFT(SUBSTITUTE(SUBSTITUTE(SUBSTITUTE(SUBSTITUTE(SUBSTITUTE(SUBSTITUTE(SUBSTITUTE(TRIM(M994),".",""),"/",""),"-","")," ",""),"(",""),")",""),"+",""),4)="0800")),"OK",IF(AND(LEN(SUBSTITUTE(SUBSTITUTE(SUBSTITUTE(SUBSTITUTE(SUBSTITUTE(SUBSTITUTE(SUBSTITUTE(TRIM(M994),".",""),"/",""),"-","")," ",""),"(",""),")",""),"+",""))=11,MID(SUBSTITUTE(SUBSTITUTE(SUBSTITUTE(SUBSTITUTE(SUBSTITUTE(SUBSTITUTE(SUBSTITUTE(TRIM(M994),".",""),"/",""),"-","")," ",""),"(",""),")",""),"+",""),3,1)="9"),"ERRO: é celular, use a coluna Celular","ERRO: DDD + 8 dígitos ou 0800 + 7")))</f>
      </c>
      <c r="X994" s="6">
        <f>IF(N994="","vazio",IF(AND(LEN(SUBSTITUTE(SUBSTITUTE(SUBSTITUTE(SUBSTITUTE(SUBSTITUTE(SUBSTITUTE(SUBSTITUTE(TRIM(N994),".",""),"/",""),"-","")," ",""),"(",""),")",""),"+",""))=11,MID(SUBSTITUTE(SUBSTITUTE(SUBSTITUTE(SUBSTITUTE(SUBSTITUTE(SUBSTITUTE(SUBSTITUTE(TRIM(N994),".",""),"/",""),"-","")," ",""),"(",""),")",""),"+",""),3,1)="9",LEFT(SUBSTITUTE(SUBSTITUTE(SUBSTITUTE(SUBSTITUTE(SUBSTITUTE(SUBSTITUTE(SUBSTITUTE(TRIM(N994),".",""),"/",""),"-","")," ",""),"(",""),")",""),"+",""),1)&lt;&gt;"0"),"OK",IF(LEN(SUBSTITUTE(SUBSTITUTE(SUBSTITUTE(SUBSTITUTE(SUBSTITUTE(SUBSTITUTE(SUBSTITUTE(TRIM(N994),".",""),"/",""),"-","")," ",""),"(",""),")",""),"+",""))=10,"ERRO: é fixo (ou falta o 9), use a coluna Telefone fixo","ERRO: DDD + 9 + 8 dígitos")))</f>
      </c>
      <c r="Y994" s="6">
        <f>IF(O994="","vazio",IF(AND(ISNUMBER(FIND("@",O994)),ISNUMBER(FIND(".",MID(O994,FIND("@",O994),99))),NOT(ISNUMBER(FIND(" ",TRIM(O994)))),NOT(ISNUMBER(FIND(";",O994))),NOT(ISNUMBER(FIND(",",O994)))),"OK","ERRO: um e-mail válido por linha"))</f>
      </c>
      <c r="Z994" s="6">
        <f>IF(AND(J994="",K994=""),"",IF(AND(J994&lt;&gt;"",K994&lt;&gt;""),"OK","pendente: só um nome (o GR completa ao converter)"))</f>
      </c>
      <c r="AA994" s="6">
        <f>IF(COUNTA(A994:S994)=0,"",IF(AND(A994&lt;&gt;"",B994&lt;&gt;"",C994&lt;&gt;"",D994&lt;&gt;"",E994&lt;&gt;"",F994&lt;&gt;"",G994&lt;&gt;"",H994&lt;&gt;"",OR(J994&lt;&gt;"",K994&lt;&gt;""),OR(M994&lt;&gt;"",N994&lt;&gt;"",O994&lt;&gt;"")),"OK","ERRO: faltam "&amp;IF(A994="","SDR; ","")&amp;IF(B994="","Proprietário; ","")&amp;IF(C994="","Origem; ","")&amp;IF(D994="","Temperatura; ","")&amp;IF(E994="","Segmento; ","")&amp;IF(F994="","Time/Cluster; ","")&amp;IF(G994="","CNPJ; ","")&amp;IF(H994="","Razão Social; ","")&amp;IF(AND(J994="",K994=""),"nome do contato; ","")&amp;IF(AND(M994="",N994="",O994=""),"telefone, celular ou e-mail; ","")))</f>
      </c>
      <c r="AB994" s="6">
        <f>IF(COUNTA(A994:S994)=0,"",IF(AND(U994="OK",V994="OK",LEFT(W994,4)&lt;&gt;"ERRO",LEFT(X994,4)&lt;&gt;"ERRO",LEFT(Y994,4)&lt;&gt;"ERRO",AA994="OK"),"OK","REVISAR"))</f>
      </c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5"/>
      <c r="K995" s="4"/>
      <c r="L995" s="4"/>
      <c r="M995" s="4"/>
      <c r="N995" s="4"/>
      <c r="O995" s="4"/>
      <c r="P995" s="4"/>
      <c r="Q995" s="4"/>
      <c r="R995" s="4"/>
      <c r="S995" s="4"/>
      <c r="T995" s="6">
        <f>IF(G995="","",SUBSTITUTE(SUBSTITUTE(SUBSTITUTE(SUBSTITUTE(SUBSTITUTE(SUBSTITUTE(SUBSTITUTE(TRIM(G995),".",""),"/",""),"-","")," ",""),"(",""),")",""),"+",""))</f>
      </c>
      <c r="U995" s="6">
        <f>IF(T995="","",IF(LEN(T995)&lt;&gt;14,"ERRO: "&amp;LEN(T995)&amp;" dígitos",IF(NOT(ISNUMBER(VALUE(T995))),"ERRO: não numérico",IF(LEN(SUBSTITUTE(T995,LEFT(T995,1),""))=0,"ERRO: dígitos repetidos",IF(AND(VALUE(MID(T995,13,1))=IF(MOD(SUMPRODUCT(--MID(T995,{1,2,3,4,5,6,7,8,9,10,11,12},1),{5,4,3,2,9,8,7,6,5,4,3,2}),11)&lt;2,0,11-MOD(SUMPRODUCT(--MID(T995,{1,2,3,4,5,6,7,8,9,10,11,12},1),{5,4,3,2,9,8,7,6,5,4,3,2}),11)),VALUE(MID(T995,14,1))=IF(MOD(SUMPRODUCT(--MID(T995,{1,2,3,4,5,6,7,8,9,10,11,12,13},1),{6,5,4,3,2,9,8,7,6,5,4,3,2}),11)&lt;2,0,11-MOD(SUMPRODUCT(--MID(T995,{1,2,3,4,5,6,7,8,9,10,11,12,13},1),{6,5,4,3,2,9,8,7,6,5,4,3,2}),11))),"OK","ERRO: dígito verificador")))))</f>
      </c>
      <c r="V995" s="6">
        <f>IF(T995="","",IF(COUNTIF($T$2:$T$1001,T995)&gt;1,"DUPLICADO","OK"))</f>
      </c>
      <c r="W995" s="6">
        <f>IF(M995="","vazio",IF(OR(AND(LEN(SUBSTITUTE(SUBSTITUTE(SUBSTITUTE(SUBSTITUTE(SUBSTITUTE(SUBSTITUTE(SUBSTITUTE(TRIM(M995),".",""),"/",""),"-","")," ",""),"(",""),")",""),"+",""))=10,LEFT(SUBSTITUTE(SUBSTITUTE(SUBSTITUTE(SUBSTITUTE(SUBSTITUTE(SUBSTITUTE(SUBSTITUTE(TRIM(M995),".",""),"/",""),"-","")," ",""),"(",""),")",""),"+",""),1)&lt;&gt;"0"),AND(LEN(SUBSTITUTE(SUBSTITUTE(SUBSTITUTE(SUBSTITUTE(SUBSTITUTE(SUBSTITUTE(SUBSTITUTE(TRIM(M995),".",""),"/",""),"-","")," ",""),"(",""),")",""),"+",""))=11,LEFT(SUBSTITUTE(SUBSTITUTE(SUBSTITUTE(SUBSTITUTE(SUBSTITUTE(SUBSTITUTE(SUBSTITUTE(TRIM(M995),".",""),"/",""),"-","")," ",""),"(",""),")",""),"+",""),4)="0800")),"OK",IF(AND(LEN(SUBSTITUTE(SUBSTITUTE(SUBSTITUTE(SUBSTITUTE(SUBSTITUTE(SUBSTITUTE(SUBSTITUTE(TRIM(M995),".",""),"/",""),"-","")," ",""),"(",""),")",""),"+",""))=11,MID(SUBSTITUTE(SUBSTITUTE(SUBSTITUTE(SUBSTITUTE(SUBSTITUTE(SUBSTITUTE(SUBSTITUTE(TRIM(M995),".",""),"/",""),"-","")," ",""),"(",""),")",""),"+",""),3,1)="9"),"ERRO: é celular, use a coluna Celular","ERRO: DDD + 8 dígitos ou 0800 + 7")))</f>
      </c>
      <c r="X995" s="6">
        <f>IF(N995="","vazio",IF(AND(LEN(SUBSTITUTE(SUBSTITUTE(SUBSTITUTE(SUBSTITUTE(SUBSTITUTE(SUBSTITUTE(SUBSTITUTE(TRIM(N995),".",""),"/",""),"-","")," ",""),"(",""),")",""),"+",""))=11,MID(SUBSTITUTE(SUBSTITUTE(SUBSTITUTE(SUBSTITUTE(SUBSTITUTE(SUBSTITUTE(SUBSTITUTE(TRIM(N995),".",""),"/",""),"-","")," ",""),"(",""),")",""),"+",""),3,1)="9",LEFT(SUBSTITUTE(SUBSTITUTE(SUBSTITUTE(SUBSTITUTE(SUBSTITUTE(SUBSTITUTE(SUBSTITUTE(TRIM(N995),".",""),"/",""),"-","")," ",""),"(",""),")",""),"+",""),1)&lt;&gt;"0"),"OK",IF(LEN(SUBSTITUTE(SUBSTITUTE(SUBSTITUTE(SUBSTITUTE(SUBSTITUTE(SUBSTITUTE(SUBSTITUTE(TRIM(N995),".",""),"/",""),"-","")," ",""),"(",""),")",""),"+",""))=10,"ERRO: é fixo (ou falta o 9), use a coluna Telefone fixo","ERRO: DDD + 9 + 8 dígitos")))</f>
      </c>
      <c r="Y995" s="6">
        <f>IF(O995="","vazio",IF(AND(ISNUMBER(FIND("@",O995)),ISNUMBER(FIND(".",MID(O995,FIND("@",O995),99))),NOT(ISNUMBER(FIND(" ",TRIM(O995)))),NOT(ISNUMBER(FIND(";",O995))),NOT(ISNUMBER(FIND(",",O995)))),"OK","ERRO: um e-mail válido por linha"))</f>
      </c>
      <c r="Z995" s="6">
        <f>IF(AND(J995="",K995=""),"",IF(AND(J995&lt;&gt;"",K995&lt;&gt;""),"OK","pendente: só um nome (o GR completa ao converter)"))</f>
      </c>
      <c r="AA995" s="6">
        <f>IF(COUNTA(A995:S995)=0,"",IF(AND(A995&lt;&gt;"",B995&lt;&gt;"",C995&lt;&gt;"",D995&lt;&gt;"",E995&lt;&gt;"",F995&lt;&gt;"",G995&lt;&gt;"",H995&lt;&gt;"",OR(J995&lt;&gt;"",K995&lt;&gt;""),OR(M995&lt;&gt;"",N995&lt;&gt;"",O995&lt;&gt;"")),"OK","ERRO: faltam "&amp;IF(A995="","SDR; ","")&amp;IF(B995="","Proprietário; ","")&amp;IF(C995="","Origem; ","")&amp;IF(D995="","Temperatura; ","")&amp;IF(E995="","Segmento; ","")&amp;IF(F995="","Time/Cluster; ","")&amp;IF(G995="","CNPJ; ","")&amp;IF(H995="","Razão Social; ","")&amp;IF(AND(J995="",K995=""),"nome do contato; ","")&amp;IF(AND(M995="",N995="",O995=""),"telefone, celular ou e-mail; ","")))</f>
      </c>
      <c r="AB995" s="6">
        <f>IF(COUNTA(A995:S995)=0,"",IF(AND(U995="OK",V995="OK",LEFT(W995,4)&lt;&gt;"ERRO",LEFT(X995,4)&lt;&gt;"ERRO",LEFT(Y995,4)&lt;&gt;"ERRO",AA995="OK"),"OK","REVISAR"))</f>
      </c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5"/>
      <c r="K996" s="4"/>
      <c r="L996" s="4"/>
      <c r="M996" s="4"/>
      <c r="N996" s="4"/>
      <c r="O996" s="4"/>
      <c r="P996" s="4"/>
      <c r="Q996" s="4"/>
      <c r="R996" s="4"/>
      <c r="S996" s="4"/>
      <c r="T996" s="6">
        <f>IF(G996="","",SUBSTITUTE(SUBSTITUTE(SUBSTITUTE(SUBSTITUTE(SUBSTITUTE(SUBSTITUTE(SUBSTITUTE(TRIM(G996),".",""),"/",""),"-","")," ",""),"(",""),")",""),"+",""))</f>
      </c>
      <c r="U996" s="6">
        <f>IF(T996="","",IF(LEN(T996)&lt;&gt;14,"ERRO: "&amp;LEN(T996)&amp;" dígitos",IF(NOT(ISNUMBER(VALUE(T996))),"ERRO: não numérico",IF(LEN(SUBSTITUTE(T996,LEFT(T996,1),""))=0,"ERRO: dígitos repetidos",IF(AND(VALUE(MID(T996,13,1))=IF(MOD(SUMPRODUCT(--MID(T996,{1,2,3,4,5,6,7,8,9,10,11,12},1),{5,4,3,2,9,8,7,6,5,4,3,2}),11)&lt;2,0,11-MOD(SUMPRODUCT(--MID(T996,{1,2,3,4,5,6,7,8,9,10,11,12},1),{5,4,3,2,9,8,7,6,5,4,3,2}),11)),VALUE(MID(T996,14,1))=IF(MOD(SUMPRODUCT(--MID(T996,{1,2,3,4,5,6,7,8,9,10,11,12,13},1),{6,5,4,3,2,9,8,7,6,5,4,3,2}),11)&lt;2,0,11-MOD(SUMPRODUCT(--MID(T996,{1,2,3,4,5,6,7,8,9,10,11,12,13},1),{6,5,4,3,2,9,8,7,6,5,4,3,2}),11))),"OK","ERRO: dígito verificador")))))</f>
      </c>
      <c r="V996" s="6">
        <f>IF(T996="","",IF(COUNTIF($T$2:$T$1001,T996)&gt;1,"DUPLICADO","OK"))</f>
      </c>
      <c r="W996" s="6">
        <f>IF(M996="","vazio",IF(OR(AND(LEN(SUBSTITUTE(SUBSTITUTE(SUBSTITUTE(SUBSTITUTE(SUBSTITUTE(SUBSTITUTE(SUBSTITUTE(TRIM(M996),".",""),"/",""),"-","")," ",""),"(",""),")",""),"+",""))=10,LEFT(SUBSTITUTE(SUBSTITUTE(SUBSTITUTE(SUBSTITUTE(SUBSTITUTE(SUBSTITUTE(SUBSTITUTE(TRIM(M996),".",""),"/",""),"-","")," ",""),"(",""),")",""),"+",""),1)&lt;&gt;"0"),AND(LEN(SUBSTITUTE(SUBSTITUTE(SUBSTITUTE(SUBSTITUTE(SUBSTITUTE(SUBSTITUTE(SUBSTITUTE(TRIM(M996),".",""),"/",""),"-","")," ",""),"(",""),")",""),"+",""))=11,LEFT(SUBSTITUTE(SUBSTITUTE(SUBSTITUTE(SUBSTITUTE(SUBSTITUTE(SUBSTITUTE(SUBSTITUTE(TRIM(M996),".",""),"/",""),"-","")," ",""),"(",""),")",""),"+",""),4)="0800")),"OK",IF(AND(LEN(SUBSTITUTE(SUBSTITUTE(SUBSTITUTE(SUBSTITUTE(SUBSTITUTE(SUBSTITUTE(SUBSTITUTE(TRIM(M996),".",""),"/",""),"-","")," ",""),"(",""),")",""),"+",""))=11,MID(SUBSTITUTE(SUBSTITUTE(SUBSTITUTE(SUBSTITUTE(SUBSTITUTE(SUBSTITUTE(SUBSTITUTE(TRIM(M996),".",""),"/",""),"-","")," ",""),"(",""),")",""),"+",""),3,1)="9"),"ERRO: é celular, use a coluna Celular","ERRO: DDD + 8 dígitos ou 0800 + 7")))</f>
      </c>
      <c r="X996" s="6">
        <f>IF(N996="","vazio",IF(AND(LEN(SUBSTITUTE(SUBSTITUTE(SUBSTITUTE(SUBSTITUTE(SUBSTITUTE(SUBSTITUTE(SUBSTITUTE(TRIM(N996),".",""),"/",""),"-","")," ",""),"(",""),")",""),"+",""))=11,MID(SUBSTITUTE(SUBSTITUTE(SUBSTITUTE(SUBSTITUTE(SUBSTITUTE(SUBSTITUTE(SUBSTITUTE(TRIM(N996),".",""),"/",""),"-","")," ",""),"(",""),")",""),"+",""),3,1)="9",LEFT(SUBSTITUTE(SUBSTITUTE(SUBSTITUTE(SUBSTITUTE(SUBSTITUTE(SUBSTITUTE(SUBSTITUTE(TRIM(N996),".",""),"/",""),"-","")," ",""),"(",""),")",""),"+",""),1)&lt;&gt;"0"),"OK",IF(LEN(SUBSTITUTE(SUBSTITUTE(SUBSTITUTE(SUBSTITUTE(SUBSTITUTE(SUBSTITUTE(SUBSTITUTE(TRIM(N996),".",""),"/",""),"-","")," ",""),"(",""),")",""),"+",""))=10,"ERRO: é fixo (ou falta o 9), use a coluna Telefone fixo","ERRO: DDD + 9 + 8 dígitos")))</f>
      </c>
      <c r="Y996" s="6">
        <f>IF(O996="","vazio",IF(AND(ISNUMBER(FIND("@",O996)),ISNUMBER(FIND(".",MID(O996,FIND("@",O996),99))),NOT(ISNUMBER(FIND(" ",TRIM(O996)))),NOT(ISNUMBER(FIND(";",O996))),NOT(ISNUMBER(FIND(",",O996)))),"OK","ERRO: um e-mail válido por linha"))</f>
      </c>
      <c r="Z996" s="6">
        <f>IF(AND(J996="",K996=""),"",IF(AND(J996&lt;&gt;"",K996&lt;&gt;""),"OK","pendente: só um nome (o GR completa ao converter)"))</f>
      </c>
      <c r="AA996" s="6">
        <f>IF(COUNTA(A996:S996)=0,"",IF(AND(A996&lt;&gt;"",B996&lt;&gt;"",C996&lt;&gt;"",D996&lt;&gt;"",E996&lt;&gt;"",F996&lt;&gt;"",G996&lt;&gt;"",H996&lt;&gt;"",OR(J996&lt;&gt;"",K996&lt;&gt;""),OR(M996&lt;&gt;"",N996&lt;&gt;"",O996&lt;&gt;"")),"OK","ERRO: faltam "&amp;IF(A996="","SDR; ","")&amp;IF(B996="","Proprietário; ","")&amp;IF(C996="","Origem; ","")&amp;IF(D996="","Temperatura; ","")&amp;IF(E996="","Segmento; ","")&amp;IF(F996="","Time/Cluster; ","")&amp;IF(G996="","CNPJ; ","")&amp;IF(H996="","Razão Social; ","")&amp;IF(AND(J996="",K996=""),"nome do contato; ","")&amp;IF(AND(M996="",N996="",O996=""),"telefone, celular ou e-mail; ","")))</f>
      </c>
      <c r="AB996" s="6">
        <f>IF(COUNTA(A996:S996)=0,"",IF(AND(U996="OK",V996="OK",LEFT(W996,4)&lt;&gt;"ERRO",LEFT(X996,4)&lt;&gt;"ERRO",LEFT(Y996,4)&lt;&gt;"ERRO",AA996="OK"),"OK","REVISAR"))</f>
      </c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5"/>
      <c r="K997" s="4"/>
      <c r="L997" s="4"/>
      <c r="M997" s="4"/>
      <c r="N997" s="4"/>
      <c r="O997" s="4"/>
      <c r="P997" s="4"/>
      <c r="Q997" s="4"/>
      <c r="R997" s="4"/>
      <c r="S997" s="4"/>
      <c r="T997" s="6">
        <f>IF(G997="","",SUBSTITUTE(SUBSTITUTE(SUBSTITUTE(SUBSTITUTE(SUBSTITUTE(SUBSTITUTE(SUBSTITUTE(TRIM(G997),".",""),"/",""),"-","")," ",""),"(",""),")",""),"+",""))</f>
      </c>
      <c r="U997" s="6">
        <f>IF(T997="","",IF(LEN(T997)&lt;&gt;14,"ERRO: "&amp;LEN(T997)&amp;" dígitos",IF(NOT(ISNUMBER(VALUE(T997))),"ERRO: não numérico",IF(LEN(SUBSTITUTE(T997,LEFT(T997,1),""))=0,"ERRO: dígitos repetidos",IF(AND(VALUE(MID(T997,13,1))=IF(MOD(SUMPRODUCT(--MID(T997,{1,2,3,4,5,6,7,8,9,10,11,12},1),{5,4,3,2,9,8,7,6,5,4,3,2}),11)&lt;2,0,11-MOD(SUMPRODUCT(--MID(T997,{1,2,3,4,5,6,7,8,9,10,11,12},1),{5,4,3,2,9,8,7,6,5,4,3,2}),11)),VALUE(MID(T997,14,1))=IF(MOD(SUMPRODUCT(--MID(T997,{1,2,3,4,5,6,7,8,9,10,11,12,13},1),{6,5,4,3,2,9,8,7,6,5,4,3,2}),11)&lt;2,0,11-MOD(SUMPRODUCT(--MID(T997,{1,2,3,4,5,6,7,8,9,10,11,12,13},1),{6,5,4,3,2,9,8,7,6,5,4,3,2}),11))),"OK","ERRO: dígito verificador")))))</f>
      </c>
      <c r="V997" s="6">
        <f>IF(T997="","",IF(COUNTIF($T$2:$T$1001,T997)&gt;1,"DUPLICADO","OK"))</f>
      </c>
      <c r="W997" s="6">
        <f>IF(M997="","vazio",IF(OR(AND(LEN(SUBSTITUTE(SUBSTITUTE(SUBSTITUTE(SUBSTITUTE(SUBSTITUTE(SUBSTITUTE(SUBSTITUTE(TRIM(M997),".",""),"/",""),"-","")," ",""),"(",""),")",""),"+",""))=10,LEFT(SUBSTITUTE(SUBSTITUTE(SUBSTITUTE(SUBSTITUTE(SUBSTITUTE(SUBSTITUTE(SUBSTITUTE(TRIM(M997),".",""),"/",""),"-","")," ",""),"(",""),")",""),"+",""),1)&lt;&gt;"0"),AND(LEN(SUBSTITUTE(SUBSTITUTE(SUBSTITUTE(SUBSTITUTE(SUBSTITUTE(SUBSTITUTE(SUBSTITUTE(TRIM(M997),".",""),"/",""),"-","")," ",""),"(",""),")",""),"+",""))=11,LEFT(SUBSTITUTE(SUBSTITUTE(SUBSTITUTE(SUBSTITUTE(SUBSTITUTE(SUBSTITUTE(SUBSTITUTE(TRIM(M997),".",""),"/",""),"-","")," ",""),"(",""),")",""),"+",""),4)="0800")),"OK",IF(AND(LEN(SUBSTITUTE(SUBSTITUTE(SUBSTITUTE(SUBSTITUTE(SUBSTITUTE(SUBSTITUTE(SUBSTITUTE(TRIM(M997),".",""),"/",""),"-","")," ",""),"(",""),")",""),"+",""))=11,MID(SUBSTITUTE(SUBSTITUTE(SUBSTITUTE(SUBSTITUTE(SUBSTITUTE(SUBSTITUTE(SUBSTITUTE(TRIM(M997),".",""),"/",""),"-","")," ",""),"(",""),")",""),"+",""),3,1)="9"),"ERRO: é celular, use a coluna Celular","ERRO: DDD + 8 dígitos ou 0800 + 7")))</f>
      </c>
      <c r="X997" s="6">
        <f>IF(N997="","vazio",IF(AND(LEN(SUBSTITUTE(SUBSTITUTE(SUBSTITUTE(SUBSTITUTE(SUBSTITUTE(SUBSTITUTE(SUBSTITUTE(TRIM(N997),".",""),"/",""),"-","")," ",""),"(",""),")",""),"+",""))=11,MID(SUBSTITUTE(SUBSTITUTE(SUBSTITUTE(SUBSTITUTE(SUBSTITUTE(SUBSTITUTE(SUBSTITUTE(TRIM(N997),".",""),"/",""),"-","")," ",""),"(",""),")",""),"+",""),3,1)="9",LEFT(SUBSTITUTE(SUBSTITUTE(SUBSTITUTE(SUBSTITUTE(SUBSTITUTE(SUBSTITUTE(SUBSTITUTE(TRIM(N997),".",""),"/",""),"-","")," ",""),"(",""),")",""),"+",""),1)&lt;&gt;"0"),"OK",IF(LEN(SUBSTITUTE(SUBSTITUTE(SUBSTITUTE(SUBSTITUTE(SUBSTITUTE(SUBSTITUTE(SUBSTITUTE(TRIM(N997),".",""),"/",""),"-","")," ",""),"(",""),")",""),"+",""))=10,"ERRO: é fixo (ou falta o 9), use a coluna Telefone fixo","ERRO: DDD + 9 + 8 dígitos")))</f>
      </c>
      <c r="Y997" s="6">
        <f>IF(O997="","vazio",IF(AND(ISNUMBER(FIND("@",O997)),ISNUMBER(FIND(".",MID(O997,FIND("@",O997),99))),NOT(ISNUMBER(FIND(" ",TRIM(O997)))),NOT(ISNUMBER(FIND(";",O997))),NOT(ISNUMBER(FIND(",",O997)))),"OK","ERRO: um e-mail válido por linha"))</f>
      </c>
      <c r="Z997" s="6">
        <f>IF(AND(J997="",K997=""),"",IF(AND(J997&lt;&gt;"",K997&lt;&gt;""),"OK","pendente: só um nome (o GR completa ao converter)"))</f>
      </c>
      <c r="AA997" s="6">
        <f>IF(COUNTA(A997:S997)=0,"",IF(AND(A997&lt;&gt;"",B997&lt;&gt;"",C997&lt;&gt;"",D997&lt;&gt;"",E997&lt;&gt;"",F997&lt;&gt;"",G997&lt;&gt;"",H997&lt;&gt;"",OR(J997&lt;&gt;"",K997&lt;&gt;""),OR(M997&lt;&gt;"",N997&lt;&gt;"",O997&lt;&gt;"")),"OK","ERRO: faltam "&amp;IF(A997="","SDR; ","")&amp;IF(B997="","Proprietário; ","")&amp;IF(C997="","Origem; ","")&amp;IF(D997="","Temperatura; ","")&amp;IF(E997="","Segmento; ","")&amp;IF(F997="","Time/Cluster; ","")&amp;IF(G997="","CNPJ; ","")&amp;IF(H997="","Razão Social; ","")&amp;IF(AND(J997="",K997=""),"nome do contato; ","")&amp;IF(AND(M997="",N997="",O997=""),"telefone, celular ou e-mail; ","")))</f>
      </c>
      <c r="AB997" s="6">
        <f>IF(COUNTA(A997:S997)=0,"",IF(AND(U997="OK",V997="OK",LEFT(W997,4)&lt;&gt;"ERRO",LEFT(X997,4)&lt;&gt;"ERRO",LEFT(Y997,4)&lt;&gt;"ERRO",AA997="OK"),"OK","REVISAR"))</f>
      </c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5"/>
      <c r="K998" s="4"/>
      <c r="L998" s="4"/>
      <c r="M998" s="4"/>
      <c r="N998" s="4"/>
      <c r="O998" s="4"/>
      <c r="P998" s="4"/>
      <c r="Q998" s="4"/>
      <c r="R998" s="4"/>
      <c r="S998" s="4"/>
      <c r="T998" s="6">
        <f>IF(G998="","",SUBSTITUTE(SUBSTITUTE(SUBSTITUTE(SUBSTITUTE(SUBSTITUTE(SUBSTITUTE(SUBSTITUTE(TRIM(G998),".",""),"/",""),"-","")," ",""),"(",""),")",""),"+",""))</f>
      </c>
      <c r="U998" s="6">
        <f>IF(T998="","",IF(LEN(T998)&lt;&gt;14,"ERRO: "&amp;LEN(T998)&amp;" dígitos",IF(NOT(ISNUMBER(VALUE(T998))),"ERRO: não numérico",IF(LEN(SUBSTITUTE(T998,LEFT(T998,1),""))=0,"ERRO: dígitos repetidos",IF(AND(VALUE(MID(T998,13,1))=IF(MOD(SUMPRODUCT(--MID(T998,{1,2,3,4,5,6,7,8,9,10,11,12},1),{5,4,3,2,9,8,7,6,5,4,3,2}),11)&lt;2,0,11-MOD(SUMPRODUCT(--MID(T998,{1,2,3,4,5,6,7,8,9,10,11,12},1),{5,4,3,2,9,8,7,6,5,4,3,2}),11)),VALUE(MID(T998,14,1))=IF(MOD(SUMPRODUCT(--MID(T998,{1,2,3,4,5,6,7,8,9,10,11,12,13},1),{6,5,4,3,2,9,8,7,6,5,4,3,2}),11)&lt;2,0,11-MOD(SUMPRODUCT(--MID(T998,{1,2,3,4,5,6,7,8,9,10,11,12,13},1),{6,5,4,3,2,9,8,7,6,5,4,3,2}),11))),"OK","ERRO: dígito verificador")))))</f>
      </c>
      <c r="V998" s="6">
        <f>IF(T998="","",IF(COUNTIF($T$2:$T$1001,T998)&gt;1,"DUPLICADO","OK"))</f>
      </c>
      <c r="W998" s="6">
        <f>IF(M998="","vazio",IF(OR(AND(LEN(SUBSTITUTE(SUBSTITUTE(SUBSTITUTE(SUBSTITUTE(SUBSTITUTE(SUBSTITUTE(SUBSTITUTE(TRIM(M998),".",""),"/",""),"-","")," ",""),"(",""),")",""),"+",""))=10,LEFT(SUBSTITUTE(SUBSTITUTE(SUBSTITUTE(SUBSTITUTE(SUBSTITUTE(SUBSTITUTE(SUBSTITUTE(TRIM(M998),".",""),"/",""),"-","")," ",""),"(",""),")",""),"+",""),1)&lt;&gt;"0"),AND(LEN(SUBSTITUTE(SUBSTITUTE(SUBSTITUTE(SUBSTITUTE(SUBSTITUTE(SUBSTITUTE(SUBSTITUTE(TRIM(M998),".",""),"/",""),"-","")," ",""),"(",""),")",""),"+",""))=11,LEFT(SUBSTITUTE(SUBSTITUTE(SUBSTITUTE(SUBSTITUTE(SUBSTITUTE(SUBSTITUTE(SUBSTITUTE(TRIM(M998),".",""),"/",""),"-","")," ",""),"(",""),")",""),"+",""),4)="0800")),"OK",IF(AND(LEN(SUBSTITUTE(SUBSTITUTE(SUBSTITUTE(SUBSTITUTE(SUBSTITUTE(SUBSTITUTE(SUBSTITUTE(TRIM(M998),".",""),"/",""),"-","")," ",""),"(",""),")",""),"+",""))=11,MID(SUBSTITUTE(SUBSTITUTE(SUBSTITUTE(SUBSTITUTE(SUBSTITUTE(SUBSTITUTE(SUBSTITUTE(TRIM(M998),".",""),"/",""),"-","")," ",""),"(",""),")",""),"+",""),3,1)="9"),"ERRO: é celular, use a coluna Celular","ERRO: DDD + 8 dígitos ou 0800 + 7")))</f>
      </c>
      <c r="X998" s="6">
        <f>IF(N998="","vazio",IF(AND(LEN(SUBSTITUTE(SUBSTITUTE(SUBSTITUTE(SUBSTITUTE(SUBSTITUTE(SUBSTITUTE(SUBSTITUTE(TRIM(N998),".",""),"/",""),"-","")," ",""),"(",""),")",""),"+",""))=11,MID(SUBSTITUTE(SUBSTITUTE(SUBSTITUTE(SUBSTITUTE(SUBSTITUTE(SUBSTITUTE(SUBSTITUTE(TRIM(N998),".",""),"/",""),"-","")," ",""),"(",""),")",""),"+",""),3,1)="9",LEFT(SUBSTITUTE(SUBSTITUTE(SUBSTITUTE(SUBSTITUTE(SUBSTITUTE(SUBSTITUTE(SUBSTITUTE(TRIM(N998),".",""),"/",""),"-","")," ",""),"(",""),")",""),"+",""),1)&lt;&gt;"0"),"OK",IF(LEN(SUBSTITUTE(SUBSTITUTE(SUBSTITUTE(SUBSTITUTE(SUBSTITUTE(SUBSTITUTE(SUBSTITUTE(TRIM(N998),".",""),"/",""),"-","")," ",""),"(",""),")",""),"+",""))=10,"ERRO: é fixo (ou falta o 9), use a coluna Telefone fixo","ERRO: DDD + 9 + 8 dígitos")))</f>
      </c>
      <c r="Y998" s="6">
        <f>IF(O998="","vazio",IF(AND(ISNUMBER(FIND("@",O998)),ISNUMBER(FIND(".",MID(O998,FIND("@",O998),99))),NOT(ISNUMBER(FIND(" ",TRIM(O998)))),NOT(ISNUMBER(FIND(";",O998))),NOT(ISNUMBER(FIND(",",O998)))),"OK","ERRO: um e-mail válido por linha"))</f>
      </c>
      <c r="Z998" s="6">
        <f>IF(AND(J998="",K998=""),"",IF(AND(J998&lt;&gt;"",K998&lt;&gt;""),"OK","pendente: só um nome (o GR completa ao converter)"))</f>
      </c>
      <c r="AA998" s="6">
        <f>IF(COUNTA(A998:S998)=0,"",IF(AND(A998&lt;&gt;"",B998&lt;&gt;"",C998&lt;&gt;"",D998&lt;&gt;"",E998&lt;&gt;"",F998&lt;&gt;"",G998&lt;&gt;"",H998&lt;&gt;"",OR(J998&lt;&gt;"",K998&lt;&gt;""),OR(M998&lt;&gt;"",N998&lt;&gt;"",O998&lt;&gt;"")),"OK","ERRO: faltam "&amp;IF(A998="","SDR; ","")&amp;IF(B998="","Proprietário; ","")&amp;IF(C998="","Origem; ","")&amp;IF(D998="","Temperatura; ","")&amp;IF(E998="","Segmento; ","")&amp;IF(F998="","Time/Cluster; ","")&amp;IF(G998="","CNPJ; ","")&amp;IF(H998="","Razão Social; ","")&amp;IF(AND(J998="",K998=""),"nome do contato; ","")&amp;IF(AND(M998="",N998="",O998=""),"telefone, celular ou e-mail; ","")))</f>
      </c>
      <c r="AB998" s="6">
        <f>IF(COUNTA(A998:S998)=0,"",IF(AND(U998="OK",V998="OK",LEFT(W998,4)&lt;&gt;"ERRO",LEFT(X998,4)&lt;&gt;"ERRO",LEFT(Y998,4)&lt;&gt;"ERRO",AA998="OK"),"OK","REVISAR"))</f>
      </c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5"/>
      <c r="K999" s="4"/>
      <c r="L999" s="4"/>
      <c r="M999" s="4"/>
      <c r="N999" s="4"/>
      <c r="O999" s="4"/>
      <c r="P999" s="4"/>
      <c r="Q999" s="4"/>
      <c r="R999" s="4"/>
      <c r="S999" s="4"/>
      <c r="T999" s="6">
        <f>IF(G999="","",SUBSTITUTE(SUBSTITUTE(SUBSTITUTE(SUBSTITUTE(SUBSTITUTE(SUBSTITUTE(SUBSTITUTE(TRIM(G999),".",""),"/",""),"-","")," ",""),"(",""),")",""),"+",""))</f>
      </c>
      <c r="U999" s="6">
        <f>IF(T999="","",IF(LEN(T999)&lt;&gt;14,"ERRO: "&amp;LEN(T999)&amp;" dígitos",IF(NOT(ISNUMBER(VALUE(T999))),"ERRO: não numérico",IF(LEN(SUBSTITUTE(T999,LEFT(T999,1),""))=0,"ERRO: dígitos repetidos",IF(AND(VALUE(MID(T999,13,1))=IF(MOD(SUMPRODUCT(--MID(T999,{1,2,3,4,5,6,7,8,9,10,11,12},1),{5,4,3,2,9,8,7,6,5,4,3,2}),11)&lt;2,0,11-MOD(SUMPRODUCT(--MID(T999,{1,2,3,4,5,6,7,8,9,10,11,12},1),{5,4,3,2,9,8,7,6,5,4,3,2}),11)),VALUE(MID(T999,14,1))=IF(MOD(SUMPRODUCT(--MID(T999,{1,2,3,4,5,6,7,8,9,10,11,12,13},1),{6,5,4,3,2,9,8,7,6,5,4,3,2}),11)&lt;2,0,11-MOD(SUMPRODUCT(--MID(T999,{1,2,3,4,5,6,7,8,9,10,11,12,13},1),{6,5,4,3,2,9,8,7,6,5,4,3,2}),11))),"OK","ERRO: dígito verificador")))))</f>
      </c>
      <c r="V999" s="6">
        <f>IF(T999="","",IF(COUNTIF($T$2:$T$1001,T999)&gt;1,"DUPLICADO","OK"))</f>
      </c>
      <c r="W999" s="6">
        <f>IF(M999="","vazio",IF(OR(AND(LEN(SUBSTITUTE(SUBSTITUTE(SUBSTITUTE(SUBSTITUTE(SUBSTITUTE(SUBSTITUTE(SUBSTITUTE(TRIM(M999),".",""),"/",""),"-","")," ",""),"(",""),")",""),"+",""))=10,LEFT(SUBSTITUTE(SUBSTITUTE(SUBSTITUTE(SUBSTITUTE(SUBSTITUTE(SUBSTITUTE(SUBSTITUTE(TRIM(M999),".",""),"/",""),"-","")," ",""),"(",""),")",""),"+",""),1)&lt;&gt;"0"),AND(LEN(SUBSTITUTE(SUBSTITUTE(SUBSTITUTE(SUBSTITUTE(SUBSTITUTE(SUBSTITUTE(SUBSTITUTE(TRIM(M999),".",""),"/",""),"-","")," ",""),"(",""),")",""),"+",""))=11,LEFT(SUBSTITUTE(SUBSTITUTE(SUBSTITUTE(SUBSTITUTE(SUBSTITUTE(SUBSTITUTE(SUBSTITUTE(TRIM(M999),".",""),"/",""),"-","")," ",""),"(",""),")",""),"+",""),4)="0800")),"OK",IF(AND(LEN(SUBSTITUTE(SUBSTITUTE(SUBSTITUTE(SUBSTITUTE(SUBSTITUTE(SUBSTITUTE(SUBSTITUTE(TRIM(M999),".",""),"/",""),"-","")," ",""),"(",""),")",""),"+",""))=11,MID(SUBSTITUTE(SUBSTITUTE(SUBSTITUTE(SUBSTITUTE(SUBSTITUTE(SUBSTITUTE(SUBSTITUTE(TRIM(M999),".",""),"/",""),"-","")," ",""),"(",""),")",""),"+",""),3,1)="9"),"ERRO: é celular, use a coluna Celular","ERRO: DDD + 8 dígitos ou 0800 + 7")))</f>
      </c>
      <c r="X999" s="6">
        <f>IF(N999="","vazio",IF(AND(LEN(SUBSTITUTE(SUBSTITUTE(SUBSTITUTE(SUBSTITUTE(SUBSTITUTE(SUBSTITUTE(SUBSTITUTE(TRIM(N999),".",""),"/",""),"-","")," ",""),"(",""),")",""),"+",""))=11,MID(SUBSTITUTE(SUBSTITUTE(SUBSTITUTE(SUBSTITUTE(SUBSTITUTE(SUBSTITUTE(SUBSTITUTE(TRIM(N999),".",""),"/",""),"-","")," ",""),"(",""),")",""),"+",""),3,1)="9",LEFT(SUBSTITUTE(SUBSTITUTE(SUBSTITUTE(SUBSTITUTE(SUBSTITUTE(SUBSTITUTE(SUBSTITUTE(TRIM(N999),".",""),"/",""),"-","")," ",""),"(",""),")",""),"+",""),1)&lt;&gt;"0"),"OK",IF(LEN(SUBSTITUTE(SUBSTITUTE(SUBSTITUTE(SUBSTITUTE(SUBSTITUTE(SUBSTITUTE(SUBSTITUTE(TRIM(N999),".",""),"/",""),"-","")," ",""),"(",""),")",""),"+",""))=10,"ERRO: é fixo (ou falta o 9), use a coluna Telefone fixo","ERRO: DDD + 9 + 8 dígitos")))</f>
      </c>
      <c r="Y999" s="6">
        <f>IF(O999="","vazio",IF(AND(ISNUMBER(FIND("@",O999)),ISNUMBER(FIND(".",MID(O999,FIND("@",O999),99))),NOT(ISNUMBER(FIND(" ",TRIM(O999)))),NOT(ISNUMBER(FIND(";",O999))),NOT(ISNUMBER(FIND(",",O999)))),"OK","ERRO: um e-mail válido por linha"))</f>
      </c>
      <c r="Z999" s="6">
        <f>IF(AND(J999="",K999=""),"",IF(AND(J999&lt;&gt;"",K999&lt;&gt;""),"OK","pendente: só um nome (o GR completa ao converter)"))</f>
      </c>
      <c r="AA999" s="6">
        <f>IF(COUNTA(A999:S999)=0,"",IF(AND(A999&lt;&gt;"",B999&lt;&gt;"",C999&lt;&gt;"",D999&lt;&gt;"",E999&lt;&gt;"",F999&lt;&gt;"",G999&lt;&gt;"",H999&lt;&gt;"",OR(J999&lt;&gt;"",K999&lt;&gt;""),OR(M999&lt;&gt;"",N999&lt;&gt;"",O999&lt;&gt;"")),"OK","ERRO: faltam "&amp;IF(A999="","SDR; ","")&amp;IF(B999="","Proprietário; ","")&amp;IF(C999="","Origem; ","")&amp;IF(D999="","Temperatura; ","")&amp;IF(E999="","Segmento; ","")&amp;IF(F999="","Time/Cluster; ","")&amp;IF(G999="","CNPJ; ","")&amp;IF(H999="","Razão Social; ","")&amp;IF(AND(J999="",K999=""),"nome do contato; ","")&amp;IF(AND(M999="",N999="",O999=""),"telefone, celular ou e-mail; ","")))</f>
      </c>
      <c r="AB999" s="6">
        <f>IF(COUNTA(A999:S999)=0,"",IF(AND(U999="OK",V999="OK",LEFT(W999,4)&lt;&gt;"ERRO",LEFT(X999,4)&lt;&gt;"ERRO",LEFT(Y999,4)&lt;&gt;"ERRO",AA999="OK"),"OK","REVISAR"))</f>
      </c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5"/>
      <c r="K1000" s="4"/>
      <c r="L1000" s="4"/>
      <c r="M1000" s="4"/>
      <c r="N1000" s="4"/>
      <c r="O1000" s="4"/>
      <c r="P1000" s="4"/>
      <c r="Q1000" s="4"/>
      <c r="R1000" s="4"/>
      <c r="S1000" s="4"/>
      <c r="T1000" s="6">
        <f>IF(G1000="","",SUBSTITUTE(SUBSTITUTE(SUBSTITUTE(SUBSTITUTE(SUBSTITUTE(SUBSTITUTE(SUBSTITUTE(TRIM(G1000),".",""),"/",""),"-","")," ",""),"(",""),")",""),"+",""))</f>
      </c>
      <c r="U1000" s="6">
        <f>IF(T1000="","",IF(LEN(T1000)&lt;&gt;14,"ERRO: "&amp;LEN(T1000)&amp;" dígitos",IF(NOT(ISNUMBER(VALUE(T1000))),"ERRO: não numérico",IF(LEN(SUBSTITUTE(T1000,LEFT(T1000,1),""))=0,"ERRO: dígitos repetidos",IF(AND(VALUE(MID(T1000,13,1))=IF(MOD(SUMPRODUCT(--MID(T1000,{1,2,3,4,5,6,7,8,9,10,11,12},1),{5,4,3,2,9,8,7,6,5,4,3,2}),11)&lt;2,0,11-MOD(SUMPRODUCT(--MID(T1000,{1,2,3,4,5,6,7,8,9,10,11,12},1),{5,4,3,2,9,8,7,6,5,4,3,2}),11)),VALUE(MID(T1000,14,1))=IF(MOD(SUMPRODUCT(--MID(T1000,{1,2,3,4,5,6,7,8,9,10,11,12,13},1),{6,5,4,3,2,9,8,7,6,5,4,3,2}),11)&lt;2,0,11-MOD(SUMPRODUCT(--MID(T1000,{1,2,3,4,5,6,7,8,9,10,11,12,13},1),{6,5,4,3,2,9,8,7,6,5,4,3,2}),11))),"OK","ERRO: dígito verificador")))))</f>
      </c>
      <c r="V1000" s="6">
        <f>IF(T1000="","",IF(COUNTIF($T$2:$T$1001,T1000)&gt;1,"DUPLICADO","OK"))</f>
      </c>
      <c r="W1000" s="6">
        <f>IF(M1000="","vazio",IF(OR(AND(LEN(SUBSTITUTE(SUBSTITUTE(SUBSTITUTE(SUBSTITUTE(SUBSTITUTE(SUBSTITUTE(SUBSTITUTE(TRIM(M1000),".",""),"/",""),"-","")," ",""),"(",""),")",""),"+",""))=10,LEFT(SUBSTITUTE(SUBSTITUTE(SUBSTITUTE(SUBSTITUTE(SUBSTITUTE(SUBSTITUTE(SUBSTITUTE(TRIM(M1000),".",""),"/",""),"-","")," ",""),"(",""),")",""),"+",""),1)&lt;&gt;"0"),AND(LEN(SUBSTITUTE(SUBSTITUTE(SUBSTITUTE(SUBSTITUTE(SUBSTITUTE(SUBSTITUTE(SUBSTITUTE(TRIM(M1000),".",""),"/",""),"-","")," ",""),"(",""),")",""),"+",""))=11,LEFT(SUBSTITUTE(SUBSTITUTE(SUBSTITUTE(SUBSTITUTE(SUBSTITUTE(SUBSTITUTE(SUBSTITUTE(TRIM(M1000),".",""),"/",""),"-","")," ",""),"(",""),")",""),"+",""),4)="0800")),"OK",IF(AND(LEN(SUBSTITUTE(SUBSTITUTE(SUBSTITUTE(SUBSTITUTE(SUBSTITUTE(SUBSTITUTE(SUBSTITUTE(TRIM(M1000),".",""),"/",""),"-","")," ",""),"(",""),")",""),"+",""))=11,MID(SUBSTITUTE(SUBSTITUTE(SUBSTITUTE(SUBSTITUTE(SUBSTITUTE(SUBSTITUTE(SUBSTITUTE(TRIM(M1000),".",""),"/",""),"-","")," ",""),"(",""),")",""),"+",""),3,1)="9"),"ERRO: é celular, use a coluna Celular","ERRO: DDD + 8 dígitos ou 0800 + 7")))</f>
      </c>
      <c r="X1000" s="6">
        <f>IF(N1000="","vazio",IF(AND(LEN(SUBSTITUTE(SUBSTITUTE(SUBSTITUTE(SUBSTITUTE(SUBSTITUTE(SUBSTITUTE(SUBSTITUTE(TRIM(N1000),".",""),"/",""),"-","")," ",""),"(",""),")",""),"+",""))=11,MID(SUBSTITUTE(SUBSTITUTE(SUBSTITUTE(SUBSTITUTE(SUBSTITUTE(SUBSTITUTE(SUBSTITUTE(TRIM(N1000),".",""),"/",""),"-","")," ",""),"(",""),")",""),"+",""),3,1)="9",LEFT(SUBSTITUTE(SUBSTITUTE(SUBSTITUTE(SUBSTITUTE(SUBSTITUTE(SUBSTITUTE(SUBSTITUTE(TRIM(N1000),".",""),"/",""),"-","")," ",""),"(",""),")",""),"+",""),1)&lt;&gt;"0"),"OK",IF(LEN(SUBSTITUTE(SUBSTITUTE(SUBSTITUTE(SUBSTITUTE(SUBSTITUTE(SUBSTITUTE(SUBSTITUTE(TRIM(N1000),".",""),"/",""),"-","")," ",""),"(",""),")",""),"+",""))=10,"ERRO: é fixo (ou falta o 9), use a coluna Telefone fixo","ERRO: DDD + 9 + 8 dígitos")))</f>
      </c>
      <c r="Y1000" s="6">
        <f>IF(O1000="","vazio",IF(AND(ISNUMBER(FIND("@",O1000)),ISNUMBER(FIND(".",MID(O1000,FIND("@",O1000),99))),NOT(ISNUMBER(FIND(" ",TRIM(O1000)))),NOT(ISNUMBER(FIND(";",O1000))),NOT(ISNUMBER(FIND(",",O1000)))),"OK","ERRO: um e-mail válido por linha"))</f>
      </c>
      <c r="Z1000" s="6">
        <f>IF(AND(J1000="",K1000=""),"",IF(AND(J1000&lt;&gt;"",K1000&lt;&gt;""),"OK","pendente: só um nome (o GR completa ao converter)"))</f>
      </c>
      <c r="AA1000" s="6">
        <f>IF(COUNTA(A1000:S1000)=0,"",IF(AND(A1000&lt;&gt;"",B1000&lt;&gt;"",C1000&lt;&gt;"",D1000&lt;&gt;"",E1000&lt;&gt;"",F1000&lt;&gt;"",G1000&lt;&gt;"",H1000&lt;&gt;"",OR(J1000&lt;&gt;"",K1000&lt;&gt;""),OR(M1000&lt;&gt;"",N1000&lt;&gt;"",O1000&lt;&gt;"")),"OK","ERRO: faltam "&amp;IF(A1000="","SDR; ","")&amp;IF(B1000="","Proprietário; ","")&amp;IF(C1000="","Origem; ","")&amp;IF(D1000="","Temperatura; ","")&amp;IF(E1000="","Segmento; ","")&amp;IF(F1000="","Time/Cluster; ","")&amp;IF(G1000="","CNPJ; ","")&amp;IF(H1000="","Razão Social; ","")&amp;IF(AND(J1000="",K1000=""),"nome do contato; ","")&amp;IF(AND(M1000="",N1000="",O1000=""),"telefone, celular ou e-mail; ","")))</f>
      </c>
      <c r="AB1000" s="6">
        <f>IF(COUNTA(A1000:S1000)=0,"",IF(AND(U1000="OK",V1000="OK",LEFT(W1000,4)&lt;&gt;"ERRO",LEFT(X1000,4)&lt;&gt;"ERRO",LEFT(Y1000,4)&lt;&gt;"ERRO",AA1000="OK"),"OK","REVISAR"))</f>
      </c>
    </row>
    <row r="1001">
      <c r="A1001" s="5"/>
      <c r="B1001" s="5"/>
      <c r="C1001" s="5"/>
      <c r="D1001" s="5"/>
      <c r="E1001" s="5"/>
      <c r="F1001" s="5"/>
      <c r="G1001" s="5"/>
      <c r="H1001" s="5"/>
      <c r="I1001" s="4"/>
      <c r="J1001" s="5"/>
      <c r="K1001" s="4"/>
      <c r="L1001" s="4"/>
      <c r="M1001" s="4"/>
      <c r="N1001" s="4"/>
      <c r="O1001" s="4"/>
      <c r="P1001" s="4"/>
      <c r="Q1001" s="4"/>
      <c r="R1001" s="4"/>
      <c r="S1001" s="4"/>
      <c r="T1001" s="6">
        <f>IF(G1001="","",SUBSTITUTE(SUBSTITUTE(SUBSTITUTE(SUBSTITUTE(SUBSTITUTE(SUBSTITUTE(SUBSTITUTE(TRIM(G1001),".",""),"/",""),"-","")," ",""),"(",""),")",""),"+",""))</f>
      </c>
      <c r="U1001" s="6">
        <f>IF(T1001="","",IF(LEN(T1001)&lt;&gt;14,"ERRO: "&amp;LEN(T1001)&amp;" dígitos",IF(NOT(ISNUMBER(VALUE(T1001))),"ERRO: não numérico",IF(LEN(SUBSTITUTE(T1001,LEFT(T1001,1),""))=0,"ERRO: dígitos repetidos",IF(AND(VALUE(MID(T1001,13,1))=IF(MOD(SUMPRODUCT(--MID(T1001,{1,2,3,4,5,6,7,8,9,10,11,12},1),{5,4,3,2,9,8,7,6,5,4,3,2}),11)&lt;2,0,11-MOD(SUMPRODUCT(--MID(T1001,{1,2,3,4,5,6,7,8,9,10,11,12},1),{5,4,3,2,9,8,7,6,5,4,3,2}),11)),VALUE(MID(T1001,14,1))=IF(MOD(SUMPRODUCT(--MID(T1001,{1,2,3,4,5,6,7,8,9,10,11,12,13},1),{6,5,4,3,2,9,8,7,6,5,4,3,2}),11)&lt;2,0,11-MOD(SUMPRODUCT(--MID(T1001,{1,2,3,4,5,6,7,8,9,10,11,12,13},1),{6,5,4,3,2,9,8,7,6,5,4,3,2}),11))),"OK","ERRO: dígito verificador")))))</f>
      </c>
      <c r="V1001" s="6">
        <f>IF(T1001="","",IF(COUNTIF($T$2:$T$1001,T1001)&gt;1,"DUPLICADO","OK"))</f>
      </c>
      <c r="W1001" s="6">
        <f>IF(M1001="","vazio",IF(OR(AND(LEN(SUBSTITUTE(SUBSTITUTE(SUBSTITUTE(SUBSTITUTE(SUBSTITUTE(SUBSTITUTE(SUBSTITUTE(TRIM(M1001),".",""),"/",""),"-","")," ",""),"(",""),")",""),"+",""))=10,LEFT(SUBSTITUTE(SUBSTITUTE(SUBSTITUTE(SUBSTITUTE(SUBSTITUTE(SUBSTITUTE(SUBSTITUTE(TRIM(M1001),".",""),"/",""),"-","")," ",""),"(",""),")",""),"+",""),1)&lt;&gt;"0"),AND(LEN(SUBSTITUTE(SUBSTITUTE(SUBSTITUTE(SUBSTITUTE(SUBSTITUTE(SUBSTITUTE(SUBSTITUTE(TRIM(M1001),".",""),"/",""),"-","")," ",""),"(",""),")",""),"+",""))=11,LEFT(SUBSTITUTE(SUBSTITUTE(SUBSTITUTE(SUBSTITUTE(SUBSTITUTE(SUBSTITUTE(SUBSTITUTE(TRIM(M1001),".",""),"/",""),"-","")," ",""),"(",""),")",""),"+",""),4)="0800")),"OK",IF(AND(LEN(SUBSTITUTE(SUBSTITUTE(SUBSTITUTE(SUBSTITUTE(SUBSTITUTE(SUBSTITUTE(SUBSTITUTE(TRIM(M1001),".",""),"/",""),"-","")," ",""),"(",""),")",""),"+",""))=11,MID(SUBSTITUTE(SUBSTITUTE(SUBSTITUTE(SUBSTITUTE(SUBSTITUTE(SUBSTITUTE(SUBSTITUTE(TRIM(M1001),".",""),"/",""),"-","")," ",""),"(",""),")",""),"+",""),3,1)="9"),"ERRO: é celular, use a coluna Celular","ERRO: DDD + 8 dígitos ou 0800 + 7")))</f>
      </c>
      <c r="X1001" s="6">
        <f>IF(N1001="","vazio",IF(AND(LEN(SUBSTITUTE(SUBSTITUTE(SUBSTITUTE(SUBSTITUTE(SUBSTITUTE(SUBSTITUTE(SUBSTITUTE(TRIM(N1001),".",""),"/",""),"-","")," ",""),"(",""),")",""),"+",""))=11,MID(SUBSTITUTE(SUBSTITUTE(SUBSTITUTE(SUBSTITUTE(SUBSTITUTE(SUBSTITUTE(SUBSTITUTE(TRIM(N1001),".",""),"/",""),"-","")," ",""),"(",""),")",""),"+",""),3,1)="9",LEFT(SUBSTITUTE(SUBSTITUTE(SUBSTITUTE(SUBSTITUTE(SUBSTITUTE(SUBSTITUTE(SUBSTITUTE(TRIM(N1001),".",""),"/",""),"-","")," ",""),"(",""),")",""),"+",""),1)&lt;&gt;"0"),"OK",IF(LEN(SUBSTITUTE(SUBSTITUTE(SUBSTITUTE(SUBSTITUTE(SUBSTITUTE(SUBSTITUTE(SUBSTITUTE(TRIM(N1001),".",""),"/",""),"-","")," ",""),"(",""),")",""),"+",""))=10,"ERRO: é fixo (ou falta o 9), use a coluna Telefone fixo","ERRO: DDD + 9 + 8 dígitos")))</f>
      </c>
      <c r="Y1001" s="6">
        <f>IF(O1001="","vazio",IF(AND(ISNUMBER(FIND("@",O1001)),ISNUMBER(FIND(".",MID(O1001,FIND("@",O1001),99))),NOT(ISNUMBER(FIND(" ",TRIM(O1001)))),NOT(ISNUMBER(FIND(";",O1001))),NOT(ISNUMBER(FIND(",",O1001)))),"OK","ERRO: um e-mail válido por linha"))</f>
      </c>
      <c r="Z1001" s="6">
        <f>IF(AND(J1001="",K1001=""),"",IF(AND(J1001&lt;&gt;"",K1001&lt;&gt;""),"OK","pendente: só um nome (o GR completa ao converter)"))</f>
      </c>
      <c r="AA1001" s="6">
        <f>IF(COUNTA(A1001:S1001)=0,"",IF(AND(A1001&lt;&gt;"",B1001&lt;&gt;"",C1001&lt;&gt;"",D1001&lt;&gt;"",E1001&lt;&gt;"",F1001&lt;&gt;"",G1001&lt;&gt;"",H1001&lt;&gt;"",OR(J1001&lt;&gt;"",K1001&lt;&gt;""),OR(M1001&lt;&gt;"",N1001&lt;&gt;"",O1001&lt;&gt;"")),"OK","ERRO: faltam "&amp;IF(A1001="","SDR; ","")&amp;IF(B1001="","Proprietário; ","")&amp;IF(C1001="","Origem; ","")&amp;IF(D1001="","Temperatura; ","")&amp;IF(E1001="","Segmento; ","")&amp;IF(F1001="","Time/Cluster; ","")&amp;IF(G1001="","CNPJ; ","")&amp;IF(H1001="","Razão Social; ","")&amp;IF(AND(J1001="",K1001=""),"nome do contato; ","")&amp;IF(AND(M1001="",N1001="",O1001=""),"telefone, celular ou e-mail; ","")))</f>
      </c>
      <c r="AB1001" s="6">
        <f>IF(COUNTA(A1001:S1001)=0,"",IF(AND(U1001="OK",V1001="OK",LEFT(W1001,4)&lt;&gt;"ERRO",LEFT(X1001,4)&lt;&gt;"ERRO",LEFT(Y1001,4)&lt;&gt;"ERRO",AA1001="OK"),"OK","REVISAR"))</f>
      </c>
    </row>
  </sheetData>
  <autoFilter ref="A1:AB1"/>
  <conditionalFormatting sqref="T2:AB1001">
    <cfRule type="containsText" dxfId="0" priority="1" operator="containsText" text="ERRO">
      <formula>NOT(ISERROR(SEARCH("ERRO",T2)))</formula>
    </cfRule>
    <cfRule type="containsText" dxfId="0" priority="2" operator="containsText" text="DUPLICADO">
      <formula>NOT(ISERROR(SEARCH("DUPLICADO",T2)))</formula>
    </cfRule>
    <cfRule type="containsText" dxfId="0" priority="3" operator="containsText" text="REVISAR">
      <formula>NOT(ISERROR(SEARCH("REVISAR",T2)))</formula>
    </cfRule>
    <cfRule type="containsText" dxfId="2" priority="5" operator="containsText" text="pendente">
      <formula>NOT(ISERROR(SEARCH("pendente",T2)))</formula>
    </cfRule>
  </conditionalFormatting>
  <conditionalFormatting sqref="AB2:AB1001">
    <cfRule type="cellIs" dxfId="1" priority="4" operator="equal">
      <formula>"OK"</formula>
    </cfRule>
  </conditionalFormatting>
  <dataValidations count="9">
    <dataValidation type="list" allowBlank="1" showErrorMessage="1" errorTitle="SDR" error="Escolha o SDR da lista (aba Listas). Se faltar alguém, peça à governança para incluir." sqref="A2:A1001">
      <formula1>Listas!$B$2:$B$30</formula1>
    </dataValidation>
    <dataValidation type="list" allowBlank="1" showErrorMessage="1" errorTitle="Proprietário do Lead" error="Escolha o usuário da lista (aba Listas). Nome exato da org, sem digitar e-mail." sqref="B2:B1001">
      <formula1>Listas!$B$2:$B$30</formula1>
    </dataValidation>
    <dataValidation type="list" allowBlank="1" showErrorMessage="1" errorTitle="Origem do Lead" error="Escolha um valor da lista (aba Listas). São os valores reais da picklist da org." sqref="C2:C1001">
      <formula1>Listas!$A$2:$A$40</formula1>
    </dataValidation>
    <dataValidation type="list" allowBlank="1" showErrorMessage="1" errorTitle="Temperatura" error="Use 0, 10, 30, 60 ou 90 (ver significado na aba Listas). Carga nova costuma ser 10." sqref="D2:D1001">
      <formula1>Listas!$E$2:$E$7</formula1>
    </dataValidation>
    <dataValidation type="list" allowBlank="1" showErrorMessage="1" errorTitle="Segmento" error="Escolha um valor da lista." sqref="E2:E1001">
      <formula1>Listas!$G$2:$G$10</formula1>
    </dataValidation>
    <dataValidation type="list" allowBlank="1" showErrorMessage="1" errorTitle="Time/Cluster" error="Escolha um valor da lista." sqref="F2:F1001">
      <formula1>Listas!$H$2:$H$10</formula1>
    </dataValidation>
    <dataValidation type="list" allowBlank="1" showErrorMessage="1" errorTitle="UF" error="Use a sigla do estado (2 letras)." sqref="Q2:Q1001">
      <formula1>Listas!$D$2:$D$28</formula1>
    </dataValidation>
    <dataValidation type="list" allowBlank="1" showErrorMessage="1" errorTitle="Produto de interesse" error="Escolha um valor da lista ou deixe vazio." sqref="R2:R1001">
      <formula1>Listas!$I$2:$I$10</formula1>
    </dataValidation>
    <dataValidation type="textLength" operator="between" allowBlank="1" showErrorMessage="1" errorTitle="Razão Social" error="Até 255 caracteres." sqref="H2:H1001">
      <formula1>1</formula1>
      <formula2>255</formula2>
    </dataValidation>
  </dataValidations>
  <pageMargins left="0.5" right="0.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2E75B6"/>
  </sheetPr>
  <sheetViews>
    <sheetView workbookViewId="0"/>
  </sheetViews>
  <sheetFormatPr defaultRowHeight="14"/>
  <cols>
    <col min="1" max="1" width="34" customWidth="1"/>
    <col min="2" max="2" width="34" customWidth="1"/>
    <col min="3" max="3" width="38" customWidth="1"/>
    <col min="4" max="4" width="6" customWidth="1"/>
    <col min="5" max="5" width="12" customWidth="1"/>
    <col min="6" max="6" width="40" customWidth="1"/>
    <col min="7" max="7" width="18" customWidth="1"/>
    <col min="8" max="8" width="14" customWidth="1"/>
    <col min="9" max="9" width="20" customWidth="1"/>
    <col min="11" max="11" width="100" customWidth="1"/>
  </cols>
  <sheetData>
    <row r="1">
      <c r="A1" s="1" t="inlineStr">
        <is>
          <t xml:space="preserve">Origem do Lead (LeadSource)</t>
        </is>
      </c>
      <c r="B1" s="1" t="inlineStr">
        <is>
          <t xml:space="preserve">SDR / Proprietário (nome na org)</t>
        </is>
      </c>
      <c r="C1" s="1" t="inlineStr">
        <is>
          <t xml:space="preserve">E-mail na org</t>
        </is>
      </c>
      <c r="D1" s="1" t="inlineStr">
        <is>
          <t xml:space="preserve">UF</t>
        </is>
      </c>
      <c r="E1" s="1" t="inlineStr">
        <is>
          <t xml:space="preserve">Temperatura</t>
        </is>
      </c>
      <c r="F1" s="1" t="inlineStr">
        <is>
          <t xml:space="preserve">Significado</t>
        </is>
      </c>
      <c r="G1" s="1" t="inlineStr">
        <is>
          <t xml:space="preserve">Segmento</t>
        </is>
      </c>
      <c r="H1" s="1" t="inlineStr">
        <is>
          <t xml:space="preserve">Time/Cluster</t>
        </is>
      </c>
      <c r="I1" s="1" t="inlineStr">
        <is>
          <t xml:space="preserve">Produto de interesse</t>
        </is>
      </c>
      <c r="K1" s="1" t="inlineStr">
        <is>
          <t xml:space="preserve">Nota</t>
        </is>
      </c>
    </row>
    <row r="2">
      <c r="A2" s="4" t="inlineStr">
        <is>
          <t xml:space="preserve">Outbound - Listas GRs ALT</t>
        </is>
      </c>
      <c r="B2" s="4" t="inlineStr">
        <is>
          <t xml:space="preserve">Vitoria da Costa Hyppolito</t>
        </is>
      </c>
      <c r="C2" s="4" t="inlineStr">
        <is>
          <t xml:space="preserve">vitoriahyppolito@brasiltecpar.com.br</t>
        </is>
      </c>
      <c r="D2" s="4" t="inlineStr">
        <is>
          <t xml:space="preserve">AC</t>
        </is>
      </c>
      <c r="E2" s="4" t="inlineStr">
        <is>
          <t xml:space="preserve">0</t>
        </is>
      </c>
      <c r="F2" s="4" t="inlineStr">
        <is>
          <t xml:space="preserve">sem contato ainda</t>
        </is>
      </c>
      <c r="G2" s="4" t="inlineStr">
        <is>
          <t xml:space="preserve">Corporativo</t>
        </is>
      </c>
      <c r="H2" s="4" t="inlineStr">
        <is>
          <t xml:space="preserve">ALT/GGNET</t>
        </is>
      </c>
      <c r="I2" s="4" t="inlineStr">
        <is>
          <t xml:space="preserve">Fibra</t>
        </is>
      </c>
      <c r="K2" s="8" t="inlineStr">
        <is>
          <t xml:space="preserve">Valores copiados da btp-prod em 21/09/2026 (picklists LeadSource, Stage__c, Segment__c, ClusterManual__c, ProductInterestNew__c e usuários ativos com leads como SDR).</t>
        </is>
      </c>
    </row>
    <row r="3">
      <c r="A3" s="4" t="inlineStr">
        <is>
          <t xml:space="preserve">Outbound - Econodata</t>
        </is>
      </c>
      <c r="B3" s="4" t="inlineStr">
        <is>
          <t xml:space="preserve">Jessica dos Santos</t>
        </is>
      </c>
      <c r="C3" s="4" t="inlineStr">
        <is>
          <t xml:space="preserve">jessicadossantos@avato.com.br</t>
        </is>
      </c>
      <c r="D3" s="4" t="inlineStr">
        <is>
          <t xml:space="preserve">AL</t>
        </is>
      </c>
      <c r="E3" s="4" t="inlineStr">
        <is>
          <t xml:space="preserve">10</t>
        </is>
      </c>
      <c r="F3" s="4" t="inlineStr">
        <is>
          <t xml:space="preserve">frio: primeiro contato feito</t>
        </is>
      </c>
      <c r="G3" s="4" t="inlineStr">
        <is>
          <t xml:space="preserve">Governo</t>
        </is>
      </c>
      <c r="H3" s="4" t="inlineStr">
        <is>
          <t xml:space="preserve">AVATO</t>
        </is>
      </c>
      <c r="I3" s="4" t="inlineStr">
        <is>
          <t xml:space="preserve">TV</t>
        </is>
      </c>
      <c r="K3" s="8" t="inlineStr">
        <is>
          <t xml:space="preserve">Para acrescentar SDR ou origem, peça à governança: o valor precisa existir na org antes da carga, senão a linha é retida.</t>
        </is>
      </c>
    </row>
    <row r="4">
      <c r="A4" s="4" t="inlineStr">
        <is>
          <t xml:space="preserve">Outbound - Neoway</t>
        </is>
      </c>
      <c r="B4" s="4" t="inlineStr">
        <is>
          <t xml:space="preserve">Alisson Cunha Chaves</t>
        </is>
      </c>
      <c r="C4" s="4" t="inlineStr">
        <is>
          <t xml:space="preserve">alissonchaves@avato.com.br</t>
        </is>
      </c>
      <c r="D4" s="4" t="inlineStr">
        <is>
          <t xml:space="preserve">AM</t>
        </is>
      </c>
      <c r="E4" s="4" t="inlineStr">
        <is>
          <t xml:space="preserve">30</t>
        </is>
      </c>
      <c r="F4" s="4" t="inlineStr">
        <is>
          <t xml:space="preserve">morno: interesse identificado</t>
        </is>
      </c>
      <c r="G4" s="4" t="inlineStr">
        <is>
          <t xml:space="preserve">Varejo</t>
        </is>
      </c>
      <c r="H4" s="4" t="inlineStr">
        <is>
          <t xml:space="preserve">BLINK</t>
        </is>
      </c>
      <c r="I4" s="4" t="inlineStr">
        <is>
          <t xml:space="preserve">TelefoniaMovel</t>
        </is>
      </c>
      <c r="K4" s="8" t="inlineStr">
        <is>
          <t xml:space="preserve">As listas suspensas da aba Leads leem até a linha 30 (SDR), 40 (origem) e 10 (segmento, cluster, produto). Não deixe linhas vazias no meio.</t>
        </is>
      </c>
    </row>
    <row r="5">
      <c r="A5" s="4" t="inlineStr">
        <is>
          <t xml:space="preserve">Outbound - Indicação</t>
        </is>
      </c>
      <c r="B5" s="4" t="inlineStr">
        <is>
          <t xml:space="preserve">Anderson Carvalho Cruz De Santana</t>
        </is>
      </c>
      <c r="C5" s="4" t="inlineStr">
        <is>
          <t xml:space="preserve">andersonsantana@brasiltecpar.com.br</t>
        </is>
      </c>
      <c r="D5" s="4" t="inlineStr">
        <is>
          <t xml:space="preserve">AP</t>
        </is>
      </c>
      <c r="E5" s="4" t="inlineStr">
        <is>
          <t xml:space="preserve">60</t>
        </is>
      </c>
      <c r="F5" s="4" t="inlineStr">
        <is>
          <t xml:space="preserve">quente: reunião ou proposta em andamento</t>
        </is>
      </c>
      <c r="G5" s="4" t="inlineStr">
        <is>
          <t xml:space="preserve">B2W - Wholesale</t>
        </is>
      </c>
      <c r="H5" s="4" t="inlineStr">
        <is>
          <t xml:space="preserve">SEMPRE</t>
        </is>
      </c>
      <c r="I5" s="4" t="inlineStr">
        <is>
          <t xml:space="preserve">CamerasSegurança</t>
        </is>
      </c>
      <c r="K5" s="8" t="inlineStr">
        <is>
          <t xml:space="preserve">Significado da temperatura: descrição sugerida pela governança; confirmar com a coordenação comercial.</t>
        </is>
      </c>
    </row>
    <row r="6">
      <c r="A6" s="4" t="inlineStr">
        <is>
          <t xml:space="preserve">Outbound indicação GR p/ aquecer</t>
        </is>
      </c>
      <c r="B6" s="4" t="inlineStr">
        <is>
          <t xml:space="preserve">Fabio Norberto Ressener</t>
        </is>
      </c>
      <c r="C6" s="4" t="inlineStr">
        <is>
          <t xml:space="preserve">fabioressener@avato.com.br</t>
        </is>
      </c>
      <c r="D6" s="4" t="inlineStr">
        <is>
          <t xml:space="preserve">BA</t>
        </is>
      </c>
      <c r="E6" s="4" t="inlineStr">
        <is>
          <t xml:space="preserve">90</t>
        </is>
      </c>
      <c r="F6" s="4" t="inlineStr">
        <is>
          <t xml:space="preserve">muito quente: fechamento próximo</t>
        </is>
      </c>
      <c r="I6" s="4" t="inlineStr">
        <is>
          <t xml:space="preserve">Outros</t>
        </is>
      </c>
    </row>
    <row r="7">
      <c r="A7" s="4" t="inlineStr">
        <is>
          <t xml:space="preserve">Outbound Mailing Last Mile</t>
        </is>
      </c>
      <c r="B7" s="4" t="inlineStr">
        <is>
          <t xml:space="preserve">Lorena Gisele Dos Santos Israel</t>
        </is>
      </c>
      <c r="C7" s="4" t="inlineStr">
        <is>
          <t xml:space="preserve">lorenaisrael@avato.com.br</t>
        </is>
      </c>
      <c r="D7" s="4" t="inlineStr">
        <is>
          <t xml:space="preserve">CE</t>
        </is>
      </c>
      <c r="E7" s="4" t="inlineStr">
        <is>
          <t xml:space="preserve">100</t>
        </is>
      </c>
      <c r="F7" s="4" t="inlineStr">
        <is>
          <t xml:space="preserve">convertido (não usar na carga)</t>
        </is>
      </c>
    </row>
    <row r="8">
      <c r="A8" s="4" t="inlineStr">
        <is>
          <t xml:space="preserve">Outbound Mailing Cancelados</t>
        </is>
      </c>
      <c r="B8" s="4" t="inlineStr">
        <is>
          <t xml:space="preserve">Clayton Lopes</t>
        </is>
      </c>
      <c r="C8" s="4" t="inlineStr">
        <is>
          <t xml:space="preserve">claytonlopes@brasiltecpar.com.br</t>
        </is>
      </c>
      <c r="D8" s="4" t="inlineStr">
        <is>
          <t xml:space="preserve">DF</t>
        </is>
      </c>
    </row>
    <row r="9">
      <c r="A9" s="4" t="inlineStr">
        <is>
          <t xml:space="preserve">Outbound - Allrede</t>
        </is>
      </c>
      <c r="D9" s="4" t="inlineStr">
        <is>
          <t xml:space="preserve">ES</t>
        </is>
      </c>
    </row>
    <row r="10">
      <c r="A10" s="4" t="inlineStr">
        <is>
          <t xml:space="preserve">Atividade comercial</t>
        </is>
      </c>
      <c r="D10" s="4" t="inlineStr">
        <is>
          <t xml:space="preserve">GO</t>
        </is>
      </c>
    </row>
    <row r="11">
      <c r="A11" s="4" t="inlineStr">
        <is>
          <t xml:space="preserve">Inbound - WhatsApp Comercial</t>
        </is>
      </c>
      <c r="D11" s="4" t="inlineStr">
        <is>
          <t xml:space="preserve">MA</t>
        </is>
      </c>
    </row>
    <row r="12">
      <c r="A12" s="4" t="inlineStr">
        <is>
          <t xml:space="preserve">Inbound - Email Comercial</t>
        </is>
      </c>
      <c r="D12" s="4" t="inlineStr">
        <is>
          <t xml:space="preserve">MG</t>
        </is>
      </c>
    </row>
    <row r="13">
      <c r="A13" s="4" t="inlineStr">
        <is>
          <t xml:space="preserve">Inbound - Call Center</t>
        </is>
      </c>
      <c r="D13" s="4" t="inlineStr">
        <is>
          <t xml:space="preserve">MS</t>
        </is>
      </c>
    </row>
    <row r="14">
      <c r="A14" s="4" t="inlineStr">
        <is>
          <t xml:space="preserve">Inbound - Website Digital</t>
        </is>
      </c>
      <c r="D14" s="4" t="inlineStr">
        <is>
          <t xml:space="preserve">MT</t>
        </is>
      </c>
    </row>
    <row r="15">
      <c r="A15" s="4" t="inlineStr">
        <is>
          <t xml:space="preserve">MKT Cloud E-mail</t>
        </is>
      </c>
      <c r="D15" s="4" t="inlineStr">
        <is>
          <t xml:space="preserve">PA</t>
        </is>
      </c>
    </row>
    <row r="16">
      <c r="A16" s="4" t="inlineStr">
        <is>
          <t xml:space="preserve">MKT Cloud - Allrede</t>
        </is>
      </c>
      <c r="D16" s="4" t="inlineStr">
        <is>
          <t xml:space="preserve">PB</t>
        </is>
      </c>
    </row>
    <row r="17">
      <c r="A17" s="4" t="inlineStr">
        <is>
          <t xml:space="preserve">MKT Cloud - LinkISP26</t>
        </is>
      </c>
      <c r="D17" s="4" t="inlineStr">
        <is>
          <t xml:space="preserve">PE</t>
        </is>
      </c>
    </row>
    <row r="18">
      <c r="A18" s="4" t="inlineStr">
        <is>
          <t xml:space="preserve">Telefone</t>
        </is>
      </c>
      <c r="D18" s="4" t="inlineStr">
        <is>
          <t xml:space="preserve">PI</t>
        </is>
      </c>
    </row>
    <row r="19">
      <c r="A19" s="4" t="inlineStr">
        <is>
          <t xml:space="preserve">Email</t>
        </is>
      </c>
      <c r="D19" s="4" t="inlineStr">
        <is>
          <t xml:space="preserve">PR</t>
        </is>
      </c>
    </row>
    <row r="20">
      <c r="A20" s="4" t="inlineStr">
        <is>
          <t xml:space="preserve">WhatsApp</t>
        </is>
      </c>
      <c r="D20" s="4" t="inlineStr">
        <is>
          <t xml:space="preserve">RJ</t>
        </is>
      </c>
    </row>
    <row r="21">
      <c r="A21" s="4" t="inlineStr">
        <is>
          <t xml:space="preserve">Website</t>
        </is>
      </c>
      <c r="D21" s="4" t="inlineStr">
        <is>
          <t xml:space="preserve">RN</t>
        </is>
      </c>
    </row>
    <row r="22">
      <c r="A22" s="4" t="inlineStr">
        <is>
          <t xml:space="preserve">Callcenter</t>
        </is>
      </c>
      <c r="D22" s="4" t="inlineStr">
        <is>
          <t xml:space="preserve">RO</t>
        </is>
      </c>
    </row>
    <row r="23">
      <c r="D23" s="4" t="inlineStr">
        <is>
          <t xml:space="preserve">RR</t>
        </is>
      </c>
    </row>
    <row r="24">
      <c r="D24" s="4" t="inlineStr">
        <is>
          <t xml:space="preserve">RS</t>
        </is>
      </c>
    </row>
    <row r="25">
      <c r="D25" s="4" t="inlineStr">
        <is>
          <t xml:space="preserve">SC</t>
        </is>
      </c>
    </row>
    <row r="26">
      <c r="D26" s="4" t="inlineStr">
        <is>
          <t xml:space="preserve">SE</t>
        </is>
      </c>
    </row>
    <row r="27">
      <c r="D27" s="4" t="inlineStr">
        <is>
          <t xml:space="preserve">SP</t>
        </is>
      </c>
    </row>
    <row r="28">
      <c r="D28" s="4" t="inlineStr">
        <is>
          <t xml:space="preserve">TO</t>
        </is>
      </c>
    </row>
  </sheetData>
  <pageMargins left="0.5" right="0.5" top="0.5" bottom="0.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1B7A4E"/>
  </sheetPr>
  <sheetViews>
    <sheetView workbookViewId="0"/>
  </sheetViews>
  <sheetFormatPr defaultRowHeight="14"/>
  <cols>
    <col min="1" max="1" width="150" customWidth="1"/>
  </cols>
  <sheetData>
    <row r="1">
      <c r="A1" s="7" t="inlineStr">
        <is>
          <t xml:space="preserve">Template de carga massiva de Leads B2B — BrasilTecPar (v3, 23/09/2026)</t>
        </is>
      </c>
    </row>
    <row r="2">
      <c r="A2" s="0"/>
    </row>
    <row r="3">
      <c r="A3" s="9" t="inlineStr">
        <is>
          <t xml:space="preserve">Como usar</t>
        </is>
      </c>
    </row>
    <row r="4">
      <c r="A4" s="8" t="inlineStr">
        <is>
          <t xml:space="preserve">1. Preencha uma linha por empresa na aba Leads. Colunas com * e fundo amarelo são obrigatórias. Não altere a linha 1 nem as colunas cinza (conferência automática). As 8 primeiras colunas ficam congeladas para facilitar a rolagem.</t>
        </is>
      </c>
    </row>
    <row r="5">
      <c r="A5" s="8" t="inlineStr">
        <is>
          <t xml:space="preserve">2. Confira a coluna LINHA: só envie quando todas as linhas preenchidas estiverem OK. REVISAR indica o motivo nas colunas cinza ao lado.</t>
        </is>
      </c>
    </row>
    <row r="6">
      <c r="A6" s="8" t="inlineStr">
        <is>
          <t xml:space="preserve">3. Envie o arquivo para a governança Salesforce. O validador confere de novo cada linha e cruza com a org: CNPJ que já é Conta, Lead já existente, usuário válido.</t>
        </is>
      </c>
    </row>
    <row r="7">
      <c r="A7" s="8" t="inlineStr">
        <is>
          <t xml:space="preserve">4. A governança carrega em dois lotes (piloto de 2 linhas, depois o restante) e devolve o arquivo com duas colunas a mais: ID LEAD SF e RESULTADO. Linhas retidas voltam com o motivo.</t>
        </is>
      </c>
    </row>
    <row r="8">
      <c r="A8" s="0"/>
    </row>
    <row r="9">
      <c r="A9" s="9" t="inlineStr">
        <is>
          <t xml:space="preserve">Regras de preenchimento</t>
        </is>
      </c>
    </row>
    <row r="10">
      <c r="A10" s="8" t="inlineStr">
        <is>
          <t xml:space="preserve">SDR e Proprietário do Lead: escolha da lista. São os nomes exatos dos usuários na org. Em geral os dois são a mesma pessoa; se o lead nasce já com um vendedor (GR) como dono, coloque o GR em Proprietário e o SDR em SDR.</t>
        </is>
      </c>
    </row>
    <row r="11">
      <c r="A11" s="8" t="inlineStr">
        <is>
          <t xml:space="preserve">Origem do Lead: escolha da lista. São os valores reais da picklist da org. Lista comprada ou fornecida pelos GRs = "Outbound - Listas GRs ALT".</t>
        </is>
      </c>
    </row>
    <row r="12">
      <c r="A12" s="8" t="inlineStr">
        <is>
          <t xml:space="preserve">Temperatura: obrigatória na org. Carga de prospecção nova = 10 (frio). Só use 30 ou mais se já houve contato com interesse. Nunca 100.</t>
        </is>
      </c>
    </row>
    <row r="13">
      <c r="A13" s="8" t="inlineStr">
        <is>
          <t xml:space="preserve">Segmento e Time/Cluster: escolha da lista. Lista de provedores (wholesale) = "B2W - Wholesale"; empresa usuária final = "Corporativo".</t>
        </is>
      </c>
    </row>
    <row r="14">
      <c r="A14" s="8" t="inlineStr">
        <is>
          <t xml:space="preserve">CNPJ: com ou sem máscara. São conferidos tamanho (14 dígitos) e dígitos verificadores. CPF (11 dígitos) não entra nesta carga.</t>
        </is>
      </c>
    </row>
    <row r="15">
      <c r="A15" s="8" t="inlineStr">
        <is>
          <t xml:space="preserve">Razão Social: como consta na Receita. Nome Fantasia é opcional.</t>
        </is>
      </c>
    </row>
    <row r="16">
      <c r="A16" s="8" t="inlineStr">
        <is>
          <t xml:space="preserve">Contato: Nome e Sobrenome em colunas separadas. Se o SDR só conseguiu um nome, preencha só o Nome e deixe Sobrenome vazio: a linha fica marcada como "pendente" na coluna Nome completo?, mas não bloqueia a carga (o lead entra no Salesforce com esse nome, e o GR completa o nome ao converter em Oportunidade). Não invente sobrenome nem use a razão social. Um contato por linha; outros contatos vão em Observações.</t>
        </is>
      </c>
    </row>
    <row r="17">
      <c r="A17" s="8" t="inlineStr">
        <is>
          <t xml:space="preserve">Telefone fixo: DDD + 8 dígitos (ex.: 1138747111) ou 0800 + 7 dígitos. Celular: DDD + 9 + 8 dígitos (ex.: 11976078975). Pode digitar com máscara, a conferência tira. Um número de cada tipo; outros vão em Observações. Número no tipo errado é retido pela org.</t>
        </is>
      </c>
    </row>
    <row r="18">
      <c r="A18" s="8" t="inlineStr">
        <is>
          <t xml:space="preserve">E-mail: um por linha, sem ponto e vírgula. E-mails adicionais validados vão em Observações.</t>
        </is>
      </c>
    </row>
    <row r="19">
      <c r="A19" s="8" t="inlineStr">
        <is>
          <t xml:space="preserve">É obrigatório ter telefone fixo, celular ou e-mail.</t>
        </is>
      </c>
    </row>
    <row r="20">
      <c r="A20" s="8" t="inlineStr">
        <is>
          <t xml:space="preserve">Produto de interesse: opcional, escolha da lista.</t>
        </is>
      </c>
    </row>
    <row r="21">
      <c r="A21" s="8" t="inlineStr">
        <is>
          <t xml:space="preserve">Duplicidade: o mesmo CNPJ não pode aparecer duas vezes no arquivo. CNPJ que já é Lead na org não é recriado (volta com o Id do lead existente). CNPJ que já é Conta não vira Lead: a regra B2B-01 manda abrir Oportunidade na Conta.</t>
        </is>
      </c>
    </row>
    <row r="22">
      <c r="A22" s="0"/>
    </row>
    <row r="23">
      <c r="A23" s="9" t="inlineStr">
        <is>
          <t xml:space="preserve">O que a governança grava além das colunas</t>
        </is>
      </c>
    </row>
    <row r="24">
      <c r="A24" s="8" t="inlineStr">
        <is>
          <t xml:space="preserve">Status = Novo; Tipo de registro = Prospecto - B2B; País = Brasil. Campos de integração e enriquecimento são preenchidos pela automação depois da criação.</t>
        </is>
      </c>
    </row>
    <row r="25">
      <c r="A25" s="0"/>
    </row>
    <row r="26">
      <c r="A26" s="9" t="inlineStr">
        <is>
          <t xml:space="preserve">Referências no diário do projeto</t>
        </is>
      </c>
    </row>
    <row r="27">
      <c r="A27" s="8" t="inlineStr">
        <is>
          <t xml:space="preserve">docs/2026-09-21-carga-leads-sdr-vitoria.md (primeira carga real, 104 leads, e o que a org exigiu). W-000071 (US B2C-14): carga massiva restrita a Coordenação e Marketing. W-000096 (US B2B-01): CNPJ já cliente vira Oportunidade, não Lead.</t>
        </is>
      </c>
    </row>
    <row r="28">
      <c r="A28" s="0"/>
    </row>
    <row r="29">
      <c r="A29" s="9" t="inlineStr">
        <is>
          <t xml:space="preserve">O que mudou na v3 (23/09/2026)</t>
        </is>
      </c>
    </row>
    <row r="30">
      <c r="A30" s="8" t="inlineStr">
        <is>
          <t xml:space="preserve">Sobrenome deixou de ser obrigatório: basta o Nome. Motivo: o SDR nem sempre consegue o nome completo no primeiro contato, e o nome completo é responsabilidade do GR na conversão. A org passa a impedir a conversão do lead sem nome completo.</t>
        </is>
      </c>
    </row>
    <row r="31">
      <c r="A31" s="8" t="inlineStr">
        <is>
          <t xml:space="preserve">Abas por data de envio (Leads 21.09, Leads 22.09, ...): cada aba é uma remessa. A governança valida e carrega uma aba por vez; não misture remessas na mesma aba.</t>
        </is>
      </c>
    </row>
  </sheetData>
  <pageMargins left="0.5" right="0.5" top="0.5" bottom="0.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Template de carga massiva de Leads B2B v3</dc:title>
  <dc:creator>Governança Salesforce BTP</dc:creator>
</cp:coreProperties>
</file>