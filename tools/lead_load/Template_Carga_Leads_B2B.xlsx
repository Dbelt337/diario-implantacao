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Leads" sheetId="1" r:id="rId1"/>
    <sheet name="Listas" sheetId="2" r:id="rId2"/>
    <sheet name="Instrucoes" sheetId="3" r:id="rId3"/>
  </sheets>
  <calcPr calcId="191029" fullCalcOnLoad="1"/>
</workbook>
</file>

<file path=xl/styles.xml><?xml version="1.0" encoding="utf-8"?>
<styleSheet xmlns="http://schemas.openxmlformats.org/spreadsheetml/2006/main">
  <fonts count="5">
    <font>
      <sz val="10"/>
      <name val="Arial"/>
    </font>
    <font>
      <b/>
      <sz val="10"/>
      <color rgb="FFFFFFFF"/>
      <name val="Arial"/>
    </font>
    <font>
      <b/>
      <sz val="14"/>
      <color rgb="FF1F3864"/>
      <name val="Arial"/>
    </font>
    <font>
      <b/>
      <sz val="10"/>
      <name val="Arial"/>
    </font>
    <font>
      <sz val="10"/>
      <color rgb="FF444444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B7791F"/>
      </patternFill>
    </fill>
    <fill>
      <patternFill patternType="solid">
        <fgColor rgb="FFFFF9C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49" fontId="0" fillId="0" borderId="1" xfId="0" applyNumberFormat="1" applyBorder="1"/>
    <xf numFmtId="49" fontId="0" fillId="4" borderId="1" xfId="0" applyNumberFormat="1" applyFill="1" applyBorder="1"/>
    <xf numFmtId="0" fontId="4" fillId="5" borderId="1" xfId="0" applyFont="1" applyFill="1" applyBorder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1F3864"/>
  </sheetPr>
  <sheetViews>
    <sheetView workbookViewId="0">
      <pane ySplit="1" topLeftCell="A2" activePane="bottomLeft" state="frozen"/>
      <selection pane="bottomLeft" activeCell="A2" sqref="A2"/>
    </sheetView>
  </sheetViews>
  <sheetFormatPr defaultRowHeight="14"/>
  <cols>
    <col min="1" max="1" width="26" customWidth="1"/>
    <col min="2" max="2" width="30" customWidth="1"/>
    <col min="3" max="3" width="20" customWidth="1"/>
    <col min="4" max="4" width="20" customWidth="1"/>
    <col min="5" max="5" width="40" customWidth="1"/>
    <col min="6" max="6" width="26" customWidth="1"/>
    <col min="7" max="7" width="18" customWidth="1"/>
    <col min="8" max="8" width="26" customWidth="1"/>
    <col min="9" max="9" width="18" customWidth="1"/>
    <col min="10" max="10" width="18" customWidth="1"/>
    <col min="11" max="11" width="18" customWidth="1"/>
    <col min="12" max="12" width="32" customWidth="1"/>
    <col min="13" max="13" width="18" customWidth="1"/>
    <col min="14" max="14" width="6" customWidth="1"/>
    <col min="15" max="15" width="40" customWidth="1"/>
    <col min="16" max="16" width="16" customWidth="1"/>
    <col min="17" max="17" width="22" customWidth="1"/>
    <col min="18" max="18" width="20" customWidth="1"/>
    <col min="19" max="19" width="18" customWidth="1"/>
    <col min="20" max="20" width="18" customWidth="1"/>
    <col min="21" max="21" width="34" customWidth="1"/>
    <col min="22" max="22" width="10" customWidth="1"/>
  </cols>
  <sheetData>
    <row r="1">
      <c r="A1" s="1" t="inlineStr">
        <is>
          <t xml:space="preserve">SDR</t>
        </is>
      </c>
      <c r="B1" s="2" t="inlineStr">
        <is>
          <t xml:space="preserve">Proprietário do Lead *</t>
        </is>
      </c>
      <c r="C1" s="2" t="inlineStr">
        <is>
          <t xml:space="preserve">Origem do Lead *</t>
        </is>
      </c>
      <c r="D1" s="2" t="inlineStr">
        <is>
          <t xml:space="preserve">CNPJ *</t>
        </is>
      </c>
      <c r="E1" s="2" t="inlineStr">
        <is>
          <t xml:space="preserve">Razão Social *</t>
        </is>
      </c>
      <c r="F1" s="1" t="inlineStr">
        <is>
          <t xml:space="preserve">Nome Fantasia</t>
        </is>
      </c>
      <c r="G1" s="1" t="inlineStr">
        <is>
          <t xml:space="preserve">Nome do contato</t>
        </is>
      </c>
      <c r="H1" s="2" t="inlineStr">
        <is>
          <t xml:space="preserve">Sobrenome do contato *</t>
        </is>
      </c>
      <c r="I1" s="1" t="inlineStr">
        <is>
          <t xml:space="preserve">Cargo</t>
        </is>
      </c>
      <c r="J1" s="1" t="inlineStr">
        <is>
          <t xml:space="preserve">Telefone principal</t>
        </is>
      </c>
      <c r="K1" s="1" t="inlineStr">
        <is>
          <t xml:space="preserve">Telefone secundário</t>
        </is>
      </c>
      <c r="L1" s="1" t="inlineStr">
        <is>
          <t xml:space="preserve">E-mail</t>
        </is>
      </c>
      <c r="M1" s="1" t="inlineStr">
        <is>
          <t xml:space="preserve">Cidade</t>
        </is>
      </c>
      <c r="N1" s="1" t="inlineStr">
        <is>
          <t xml:space="preserve">UF</t>
        </is>
      </c>
      <c r="O1" s="1" t="inlineStr">
        <is>
          <t xml:space="preserve">Observações</t>
        </is>
      </c>
      <c r="P1" s="3" t="inlineStr">
        <is>
          <t xml:space="preserve">CNPJ (só dígitos)</t>
        </is>
      </c>
      <c r="Q1" s="3" t="inlineStr">
        <is>
          <t xml:space="preserve">CNPJ válido?</t>
        </is>
      </c>
      <c r="R1" s="3" t="inlineStr">
        <is>
          <t xml:space="preserve">Duplicado na planilha?</t>
        </is>
      </c>
      <c r="S1" s="3" t="inlineStr">
        <is>
          <t xml:space="preserve">Telefone?</t>
        </is>
      </c>
      <c r="T1" s="3" t="inlineStr">
        <is>
          <t xml:space="preserve">E-mail?</t>
        </is>
      </c>
      <c r="U1" s="3" t="inlineStr">
        <is>
          <t xml:space="preserve">Obrigatórios?</t>
        </is>
      </c>
      <c r="V1" s="3" t="inlineStr">
        <is>
          <t xml:space="preserve">LINHA</t>
        </is>
      </c>
    </row>
    <row r="2">
      <c r="A2" s="4" t="inlineStr">
        <is>
          <t xml:space="preserve">Vitoria da Costa Hyppolito</t>
        </is>
      </c>
      <c r="B2" s="5" t="inlineStr">
        <is>
          <t xml:space="preserve">vitoria.hyppolito@brasiltecpar.com.br</t>
        </is>
      </c>
      <c r="C2" s="5" t="inlineStr">
        <is>
          <t xml:space="preserve">Listas GRs ALT</t>
        </is>
      </c>
      <c r="D2" s="5" t="inlineStr">
        <is>
          <t xml:space="preserve">01.145.642/0001-41</t>
        </is>
      </c>
      <c r="E2" s="5" t="inlineStr">
        <is>
          <t xml:space="preserve">Phonoway Locacoes Ltda</t>
        </is>
      </c>
      <c r="F2" s="4" t="inlineStr">
        <is>
          <t xml:space="preserve">Phonoway</t>
        </is>
      </c>
      <c r="G2" s="4" t="inlineStr">
        <is>
          <t xml:space="preserve">Jeferson</t>
        </is>
      </c>
      <c r="H2" s="5" t="inlineStr">
        <is>
          <t xml:space="preserve">Benedito Castelucci</t>
        </is>
      </c>
      <c r="I2" s="4" t="inlineStr">
        <is>
          <t xml:space="preserve">Sócio</t>
        </is>
      </c>
      <c r="J2" s="4" t="inlineStr">
        <is>
          <t xml:space="preserve">(11) 3874-7111</t>
        </is>
      </c>
      <c r="K2" s="4" t="inlineStr">
        <is>
          <t xml:space="preserve">(11) 3486-0653</t>
        </is>
      </c>
      <c r="L2" s="4" t="inlineStr">
        <is>
          <t xml:space="preserve">relacionamento@phonoway.com.br</t>
        </is>
      </c>
      <c r="M2" s="4" t="inlineStr">
        <is>
          <t xml:space="preserve">São Paulo</t>
        </is>
      </c>
      <c r="N2" s="4" t="inlineStr">
        <is>
          <t xml:space="preserve">SP</t>
        </is>
      </c>
      <c r="O2" s="4" t="inlineStr">
        <is>
          <t xml:space="preserve">Outros e-mails validados: financeiro@phonoway.com.br</t>
        </is>
      </c>
      <c r="P2" s="6">
        <f>IF(D2="","",SUBSTITUTE(SUBSTITUTE(SUBSTITUTE(SUBSTITUTE(SUBSTITUTE(SUBSTITUTE(SUBSTITUTE(TRIM(D2),".",""),"/",""),"-","")," ",""),"(",""),")",""),"+",""))</f>
      </c>
      <c r="Q2" s="6">
        <f>IF(P2="","",IF(LEN(P2)&lt;&gt;14,"ERRO: "&amp;LEN(P2)&amp;" dígitos",IF(NOT(ISNUMBER(VALUE(P2))),"ERRO: não numérico",IF(LEN(SUBSTITUTE(P2,LEFT(P2,1),""))=0,"ERRO: dígitos repetidos",IF(AND(VALUE(MID(P2,13,1))=IF(MOD(SUMPRODUCT(--MID(P2,{1,2,3,4,5,6,7,8,9,10,11,12},1),{5,4,3,2,9,8,7,6,5,4,3,2}),11)&lt;2,0,11-MOD(SUMPRODUCT(--MID(P2,{1,2,3,4,5,6,7,8,9,10,11,12},1),{5,4,3,2,9,8,7,6,5,4,3,2}),11)),VALUE(MID(P2,14,1))=IF(MOD(SUMPRODUCT(--MID(P2,{1,2,3,4,5,6,7,8,9,10,11,12,13},1),{6,5,4,3,2,9,8,7,6,5,4,3,2}),11)&lt;2,0,11-MOD(SUMPRODUCT(--MID(P2,{1,2,3,4,5,6,7,8,9,10,11,12,13},1),{6,5,4,3,2,9,8,7,6,5,4,3,2}),11))),"OK","ERRO: dígito verificador")))))</f>
      </c>
      <c r="R2" s="6">
        <f>IF(P2="","",IF(COUNTIF($P$2:$P$1001,P2)&gt;1,"DUPLICADO","OK"))</f>
      </c>
      <c r="S2" s="6">
        <f>IF(AND(J2="",K2=""),"vazio",IF(AND(OR(J2="",LEN(SUBSTITUTE(SUBSTITUTE(SUBSTITUTE(SUBSTITUTE(SUBSTITUTE(SUBSTITUTE(SUBSTITUTE(TRIM(J2),".",""),"/",""),"-","")," ",""),"(",""),")",""),"+",""))=10,LEN(SUBSTITUTE(SUBSTITUTE(SUBSTITUTE(SUBSTITUTE(SUBSTITUTE(SUBSTITUTE(SUBSTITUTE(TRIM(J2),".",""),"/",""),"-","")," ",""),"(",""),")",""),"+",""))=11),OR(K2="",LEN(SUBSTITUTE(SUBSTITUTE(SUBSTITUTE(SUBSTITUTE(SUBSTITUTE(SUBSTITUTE(SUBSTITUTE(TRIM(K2),".",""),"/",""),"-","")," ",""),"(",""),")",""),"+",""))=10,LEN(SUBSTITUTE(SUBSTITUTE(SUBSTITUTE(SUBSTITUTE(SUBSTITUTE(SUBSTITUTE(SUBSTITUTE(TRIM(K2),".",""),"/",""),"-","")," ",""),"(",""),")",""),"+",""))=11)),"OK","ERRO: use DDD + número (10 ou 11 dígitos)"))</f>
      </c>
      <c r="T2" s="6">
        <f>IF(L2="","vazio",IF(AND(ISNUMBER(FIND("@",L2)),ISNUMBER(FIND(".",MID(L2,FIND("@",L2),99))),NOT(ISNUMBER(FIND(" ",TRIM(L2)))),NOT(ISNUMBER(FIND(";",L2))),NOT(ISNUMBER(FIND(",",L2)))),"OK","ERRO: um e-mail válido por linha"))</f>
      </c>
      <c r="U2" s="6">
        <f>IF(COUNTA(A2:O2)=0,"",IF(AND(B2&lt;&gt;"",C2&lt;&gt;"",D2&lt;&gt;"",E2&lt;&gt;"",H2&lt;&gt;"",OR(J2&lt;&gt;"",L2&lt;&gt;"")),"OK","ERRO: faltam "&amp;IF(B2="","Proprietário; ","")&amp;IF(C2="","Origem; ","")&amp;IF(D2="","CNPJ; ","")&amp;IF(E2="","Razão Social; ","")&amp;IF(H2="","Sobrenome; ","")&amp;IF(AND(J2="",L2=""),"telefone ou e-mail; ","")))</f>
      </c>
      <c r="V2" s="6">
        <f>IF(COUNTA(A2:O2)=0,"",IF(AND(Q2="OK",R2="OK",LEFT(S2,4)&lt;&gt;"ERRO",LEFT(T2,4)&lt;&gt;"ERRO",U2="OK"),"OK","REVISAR"))</f>
      </c>
    </row>
    <row r="3">
      <c r="A3" s="4"/>
      <c r="B3" s="5"/>
      <c r="C3" s="5"/>
      <c r="D3" s="5"/>
      <c r="E3" s="5"/>
      <c r="F3" s="4"/>
      <c r="G3" s="4"/>
      <c r="H3" s="5"/>
      <c r="I3" s="4"/>
      <c r="J3" s="4"/>
      <c r="K3" s="4"/>
      <c r="L3" s="4"/>
      <c r="M3" s="4"/>
      <c r="N3" s="4"/>
      <c r="O3" s="4"/>
      <c r="P3" s="6">
        <f>IF(D3="","",SUBSTITUTE(SUBSTITUTE(SUBSTITUTE(SUBSTITUTE(SUBSTITUTE(SUBSTITUTE(SUBSTITUTE(TRIM(D3),".",""),"/",""),"-","")," ",""),"(",""),")",""),"+",""))</f>
      </c>
      <c r="Q3" s="6">
        <f>IF(P3="","",IF(LEN(P3)&lt;&gt;14,"ERRO: "&amp;LEN(P3)&amp;" dígitos",IF(NOT(ISNUMBER(VALUE(P3))),"ERRO: não numérico",IF(LEN(SUBSTITUTE(P3,LEFT(P3,1),""))=0,"ERRO: dígitos repetidos",IF(AND(VALUE(MID(P3,13,1))=IF(MOD(SUMPRODUCT(--MID(P3,{1,2,3,4,5,6,7,8,9,10,11,12},1),{5,4,3,2,9,8,7,6,5,4,3,2}),11)&lt;2,0,11-MOD(SUMPRODUCT(--MID(P3,{1,2,3,4,5,6,7,8,9,10,11,12},1),{5,4,3,2,9,8,7,6,5,4,3,2}),11)),VALUE(MID(P3,14,1))=IF(MOD(SUMPRODUCT(--MID(P3,{1,2,3,4,5,6,7,8,9,10,11,12,13},1),{6,5,4,3,2,9,8,7,6,5,4,3,2}),11)&lt;2,0,11-MOD(SUMPRODUCT(--MID(P3,{1,2,3,4,5,6,7,8,9,10,11,12,13},1),{6,5,4,3,2,9,8,7,6,5,4,3,2}),11))),"OK","ERRO: dígito verificador")))))</f>
      </c>
      <c r="R3" s="6">
        <f>IF(P3="","",IF(COUNTIF($P$2:$P$1001,P3)&gt;1,"DUPLICADO","OK"))</f>
      </c>
      <c r="S3" s="6">
        <f>IF(AND(J3="",K3=""),"vazio",IF(AND(OR(J3="",LEN(SUBSTITUTE(SUBSTITUTE(SUBSTITUTE(SUBSTITUTE(SUBSTITUTE(SUBSTITUTE(SUBSTITUTE(TRIM(J3),".",""),"/",""),"-","")," ",""),"(",""),")",""),"+",""))=10,LEN(SUBSTITUTE(SUBSTITUTE(SUBSTITUTE(SUBSTITUTE(SUBSTITUTE(SUBSTITUTE(SUBSTITUTE(TRIM(J3),".",""),"/",""),"-","")," ",""),"(",""),")",""),"+",""))=11),OR(K3="",LEN(SUBSTITUTE(SUBSTITUTE(SUBSTITUTE(SUBSTITUTE(SUBSTITUTE(SUBSTITUTE(SUBSTITUTE(TRIM(K3),".",""),"/",""),"-","")," ",""),"(",""),")",""),"+",""))=10,LEN(SUBSTITUTE(SUBSTITUTE(SUBSTITUTE(SUBSTITUTE(SUBSTITUTE(SUBSTITUTE(SUBSTITUTE(TRIM(K3),".",""),"/",""),"-","")," ",""),"(",""),")",""),"+",""))=11)),"OK","ERRO: use DDD + número (10 ou 11 dígitos)"))</f>
      </c>
      <c r="T3" s="6">
        <f>IF(L3="","vazio",IF(AND(ISNUMBER(FIND("@",L3)),ISNUMBER(FIND(".",MID(L3,FIND("@",L3),99))),NOT(ISNUMBER(FIND(" ",TRIM(L3)))),NOT(ISNUMBER(FIND(";",L3))),NOT(ISNUMBER(FIND(",",L3)))),"OK","ERRO: um e-mail válido por linha"))</f>
      </c>
      <c r="U3" s="6">
        <f>IF(COUNTA(A3:O3)=0,"",IF(AND(B3&lt;&gt;"",C3&lt;&gt;"",D3&lt;&gt;"",E3&lt;&gt;"",H3&lt;&gt;"",OR(J3&lt;&gt;"",L3&lt;&gt;"")),"OK","ERRO: faltam "&amp;IF(B3="","Proprietário; ","")&amp;IF(C3="","Origem; ","")&amp;IF(D3="","CNPJ; ","")&amp;IF(E3="","Razão Social; ","")&amp;IF(H3="","Sobrenome; ","")&amp;IF(AND(J3="",L3=""),"telefone ou e-mail; ","")))</f>
      </c>
      <c r="V3" s="6">
        <f>IF(COUNTA(A3:O3)=0,"",IF(AND(Q3="OK",R3="OK",LEFT(S3,4)&lt;&gt;"ERRO",LEFT(T3,4)&lt;&gt;"ERRO",U3="OK"),"OK","REVISAR"))</f>
      </c>
    </row>
    <row r="4">
      <c r="A4" s="4"/>
      <c r="B4" s="5"/>
      <c r="C4" s="5"/>
      <c r="D4" s="5"/>
      <c r="E4" s="5"/>
      <c r="F4" s="4"/>
      <c r="G4" s="4"/>
      <c r="H4" s="5"/>
      <c r="I4" s="4"/>
      <c r="J4" s="4"/>
      <c r="K4" s="4"/>
      <c r="L4" s="4"/>
      <c r="M4" s="4"/>
      <c r="N4" s="4"/>
      <c r="O4" s="4"/>
      <c r="P4" s="6">
        <f>IF(D4="","",SUBSTITUTE(SUBSTITUTE(SUBSTITUTE(SUBSTITUTE(SUBSTITUTE(SUBSTITUTE(SUBSTITUTE(TRIM(D4),".",""),"/",""),"-","")," ",""),"(",""),")",""),"+",""))</f>
      </c>
      <c r="Q4" s="6">
        <f>IF(P4="","",IF(LEN(P4)&lt;&gt;14,"ERRO: "&amp;LEN(P4)&amp;" dígitos",IF(NOT(ISNUMBER(VALUE(P4))),"ERRO: não numérico",IF(LEN(SUBSTITUTE(P4,LEFT(P4,1),""))=0,"ERRO: dígitos repetidos",IF(AND(VALUE(MID(P4,13,1))=IF(MOD(SUMPRODUCT(--MID(P4,{1,2,3,4,5,6,7,8,9,10,11,12},1),{5,4,3,2,9,8,7,6,5,4,3,2}),11)&lt;2,0,11-MOD(SUMPRODUCT(--MID(P4,{1,2,3,4,5,6,7,8,9,10,11,12},1),{5,4,3,2,9,8,7,6,5,4,3,2}),11)),VALUE(MID(P4,14,1))=IF(MOD(SUMPRODUCT(--MID(P4,{1,2,3,4,5,6,7,8,9,10,11,12,13},1),{6,5,4,3,2,9,8,7,6,5,4,3,2}),11)&lt;2,0,11-MOD(SUMPRODUCT(--MID(P4,{1,2,3,4,5,6,7,8,9,10,11,12,13},1),{6,5,4,3,2,9,8,7,6,5,4,3,2}),11))),"OK","ERRO: dígito verificador")))))</f>
      </c>
      <c r="R4" s="6">
        <f>IF(P4="","",IF(COUNTIF($P$2:$P$1001,P4)&gt;1,"DUPLICADO","OK"))</f>
      </c>
      <c r="S4" s="6">
        <f>IF(AND(J4="",K4=""),"vazio",IF(AND(OR(J4="",LEN(SUBSTITUTE(SUBSTITUTE(SUBSTITUTE(SUBSTITUTE(SUBSTITUTE(SUBSTITUTE(SUBSTITUTE(TRIM(J4),".",""),"/",""),"-","")," ",""),"(",""),")",""),"+",""))=10,LEN(SUBSTITUTE(SUBSTITUTE(SUBSTITUTE(SUBSTITUTE(SUBSTITUTE(SUBSTITUTE(SUBSTITUTE(TRIM(J4),".",""),"/",""),"-","")," ",""),"(",""),")",""),"+",""))=11),OR(K4="",LEN(SUBSTITUTE(SUBSTITUTE(SUBSTITUTE(SUBSTITUTE(SUBSTITUTE(SUBSTITUTE(SUBSTITUTE(TRIM(K4),".",""),"/",""),"-","")," ",""),"(",""),")",""),"+",""))=10,LEN(SUBSTITUTE(SUBSTITUTE(SUBSTITUTE(SUBSTITUTE(SUBSTITUTE(SUBSTITUTE(SUBSTITUTE(TRIM(K4),".",""),"/",""),"-","")," ",""),"(",""),")",""),"+",""))=11)),"OK","ERRO: use DDD + número (10 ou 11 dígitos)"))</f>
      </c>
      <c r="T4" s="6">
        <f>IF(L4="","vazio",IF(AND(ISNUMBER(FIND("@",L4)),ISNUMBER(FIND(".",MID(L4,FIND("@",L4),99))),NOT(ISNUMBER(FIND(" ",TRIM(L4)))),NOT(ISNUMBER(FIND(";",L4))),NOT(ISNUMBER(FIND(",",L4)))),"OK","ERRO: um e-mail válido por linha"))</f>
      </c>
      <c r="U4" s="6">
        <f>IF(COUNTA(A4:O4)=0,"",IF(AND(B4&lt;&gt;"",C4&lt;&gt;"",D4&lt;&gt;"",E4&lt;&gt;"",H4&lt;&gt;"",OR(J4&lt;&gt;"",L4&lt;&gt;"")),"OK","ERRO: faltam "&amp;IF(B4="","Proprietário; ","")&amp;IF(C4="","Origem; ","")&amp;IF(D4="","CNPJ; ","")&amp;IF(E4="","Razão Social; ","")&amp;IF(H4="","Sobrenome; ","")&amp;IF(AND(J4="",L4=""),"telefone ou e-mail; ","")))</f>
      </c>
      <c r="V4" s="6">
        <f>IF(COUNTA(A4:O4)=0,"",IF(AND(Q4="OK",R4="OK",LEFT(S4,4)&lt;&gt;"ERRO",LEFT(T4,4)&lt;&gt;"ERRO",U4="OK"),"OK","REVISAR"))</f>
      </c>
    </row>
    <row r="5">
      <c r="A5" s="4"/>
      <c r="B5" s="5"/>
      <c r="C5" s="5"/>
      <c r="D5" s="5"/>
      <c r="E5" s="5"/>
      <c r="F5" s="4"/>
      <c r="G5" s="4"/>
      <c r="H5" s="5"/>
      <c r="I5" s="4"/>
      <c r="J5" s="4"/>
      <c r="K5" s="4"/>
      <c r="L5" s="4"/>
      <c r="M5" s="4"/>
      <c r="N5" s="4"/>
      <c r="O5" s="4"/>
      <c r="P5" s="6">
        <f>IF(D5="","",SUBSTITUTE(SUBSTITUTE(SUBSTITUTE(SUBSTITUTE(SUBSTITUTE(SUBSTITUTE(SUBSTITUTE(TRIM(D5),".",""),"/",""),"-","")," ",""),"(",""),")",""),"+",""))</f>
      </c>
      <c r="Q5" s="6">
        <f>IF(P5="","",IF(LEN(P5)&lt;&gt;14,"ERRO: "&amp;LEN(P5)&amp;" dígitos",IF(NOT(ISNUMBER(VALUE(P5))),"ERRO: não numérico",IF(LEN(SUBSTITUTE(P5,LEFT(P5,1),""))=0,"ERRO: dígitos repetidos",IF(AND(VALUE(MID(P5,13,1))=IF(MOD(SUMPRODUCT(--MID(P5,{1,2,3,4,5,6,7,8,9,10,11,12},1),{5,4,3,2,9,8,7,6,5,4,3,2}),11)&lt;2,0,11-MOD(SUMPRODUCT(--MID(P5,{1,2,3,4,5,6,7,8,9,10,11,12},1),{5,4,3,2,9,8,7,6,5,4,3,2}),11)),VALUE(MID(P5,14,1))=IF(MOD(SUMPRODUCT(--MID(P5,{1,2,3,4,5,6,7,8,9,10,11,12,13},1),{6,5,4,3,2,9,8,7,6,5,4,3,2}),11)&lt;2,0,11-MOD(SUMPRODUCT(--MID(P5,{1,2,3,4,5,6,7,8,9,10,11,12,13},1),{6,5,4,3,2,9,8,7,6,5,4,3,2}),11))),"OK","ERRO: dígito verificador")))))</f>
      </c>
      <c r="R5" s="6">
        <f>IF(P5="","",IF(COUNTIF($P$2:$P$1001,P5)&gt;1,"DUPLICADO","OK"))</f>
      </c>
      <c r="S5" s="6">
        <f>IF(AND(J5="",K5=""),"vazio",IF(AND(OR(J5="",LEN(SUBSTITUTE(SUBSTITUTE(SUBSTITUTE(SUBSTITUTE(SUBSTITUTE(SUBSTITUTE(SUBSTITUTE(TRIM(J5),".",""),"/",""),"-","")," ",""),"(",""),")",""),"+",""))=10,LEN(SUBSTITUTE(SUBSTITUTE(SUBSTITUTE(SUBSTITUTE(SUBSTITUTE(SUBSTITUTE(SUBSTITUTE(TRIM(J5),".",""),"/",""),"-","")," ",""),"(",""),")",""),"+",""))=11),OR(K5="",LEN(SUBSTITUTE(SUBSTITUTE(SUBSTITUTE(SUBSTITUTE(SUBSTITUTE(SUBSTITUTE(SUBSTITUTE(TRIM(K5),".",""),"/",""),"-","")," ",""),"(",""),")",""),"+",""))=10,LEN(SUBSTITUTE(SUBSTITUTE(SUBSTITUTE(SUBSTITUTE(SUBSTITUTE(SUBSTITUTE(SUBSTITUTE(TRIM(K5),".",""),"/",""),"-","")," ",""),"(",""),")",""),"+",""))=11)),"OK","ERRO: use DDD + número (10 ou 11 dígitos)"))</f>
      </c>
      <c r="T5" s="6">
        <f>IF(L5="","vazio",IF(AND(ISNUMBER(FIND("@",L5)),ISNUMBER(FIND(".",MID(L5,FIND("@",L5),99))),NOT(ISNUMBER(FIND(" ",TRIM(L5)))),NOT(ISNUMBER(FIND(";",L5))),NOT(ISNUMBER(FIND(",",L5)))),"OK","ERRO: um e-mail válido por linha"))</f>
      </c>
      <c r="U5" s="6">
        <f>IF(COUNTA(A5:O5)=0,"",IF(AND(B5&lt;&gt;"",C5&lt;&gt;"",D5&lt;&gt;"",E5&lt;&gt;"",H5&lt;&gt;"",OR(J5&lt;&gt;"",L5&lt;&gt;"")),"OK","ERRO: faltam "&amp;IF(B5="","Proprietário; ","")&amp;IF(C5="","Origem; ","")&amp;IF(D5="","CNPJ; ","")&amp;IF(E5="","Razão Social; ","")&amp;IF(H5="","Sobrenome; ","")&amp;IF(AND(J5="",L5=""),"telefone ou e-mail; ","")))</f>
      </c>
      <c r="V5" s="6">
        <f>IF(COUNTA(A5:O5)=0,"",IF(AND(Q5="OK",R5="OK",LEFT(S5,4)&lt;&gt;"ERRO",LEFT(T5,4)&lt;&gt;"ERRO",U5="OK"),"OK","REVISAR"))</f>
      </c>
    </row>
    <row r="6">
      <c r="A6" s="4"/>
      <c r="B6" s="5"/>
      <c r="C6" s="5"/>
      <c r="D6" s="5"/>
      <c r="E6" s="5"/>
      <c r="F6" s="4"/>
      <c r="G6" s="4"/>
      <c r="H6" s="5"/>
      <c r="I6" s="4"/>
      <c r="J6" s="4"/>
      <c r="K6" s="4"/>
      <c r="L6" s="4"/>
      <c r="M6" s="4"/>
      <c r="N6" s="4"/>
      <c r="O6" s="4"/>
      <c r="P6" s="6">
        <f>IF(D6="","",SUBSTITUTE(SUBSTITUTE(SUBSTITUTE(SUBSTITUTE(SUBSTITUTE(SUBSTITUTE(SUBSTITUTE(TRIM(D6),".",""),"/",""),"-","")," ",""),"(",""),")",""),"+",""))</f>
      </c>
      <c r="Q6" s="6">
        <f>IF(P6="","",IF(LEN(P6)&lt;&gt;14,"ERRO: "&amp;LEN(P6)&amp;" dígitos",IF(NOT(ISNUMBER(VALUE(P6))),"ERRO: não numérico",IF(LEN(SUBSTITUTE(P6,LEFT(P6,1),""))=0,"ERRO: dígitos repetidos",IF(AND(VALUE(MID(P6,13,1))=IF(MOD(SUMPRODUCT(--MID(P6,{1,2,3,4,5,6,7,8,9,10,11,12},1),{5,4,3,2,9,8,7,6,5,4,3,2}),11)&lt;2,0,11-MOD(SUMPRODUCT(--MID(P6,{1,2,3,4,5,6,7,8,9,10,11,12},1),{5,4,3,2,9,8,7,6,5,4,3,2}),11)),VALUE(MID(P6,14,1))=IF(MOD(SUMPRODUCT(--MID(P6,{1,2,3,4,5,6,7,8,9,10,11,12,13},1),{6,5,4,3,2,9,8,7,6,5,4,3,2}),11)&lt;2,0,11-MOD(SUMPRODUCT(--MID(P6,{1,2,3,4,5,6,7,8,9,10,11,12,13},1),{6,5,4,3,2,9,8,7,6,5,4,3,2}),11))),"OK","ERRO: dígito verificador")))))</f>
      </c>
      <c r="R6" s="6">
        <f>IF(P6="","",IF(COUNTIF($P$2:$P$1001,P6)&gt;1,"DUPLICADO","OK"))</f>
      </c>
      <c r="S6" s="6">
        <f>IF(AND(J6="",K6=""),"vazio",IF(AND(OR(J6="",LEN(SUBSTITUTE(SUBSTITUTE(SUBSTITUTE(SUBSTITUTE(SUBSTITUTE(SUBSTITUTE(SUBSTITUTE(TRIM(J6),".",""),"/",""),"-","")," ",""),"(",""),")",""),"+",""))=10,LEN(SUBSTITUTE(SUBSTITUTE(SUBSTITUTE(SUBSTITUTE(SUBSTITUTE(SUBSTITUTE(SUBSTITUTE(TRIM(J6),".",""),"/",""),"-","")," ",""),"(",""),")",""),"+",""))=11),OR(K6="",LEN(SUBSTITUTE(SUBSTITUTE(SUBSTITUTE(SUBSTITUTE(SUBSTITUTE(SUBSTITUTE(SUBSTITUTE(TRIM(K6),".",""),"/",""),"-","")," ",""),"(",""),")",""),"+",""))=10,LEN(SUBSTITUTE(SUBSTITUTE(SUBSTITUTE(SUBSTITUTE(SUBSTITUTE(SUBSTITUTE(SUBSTITUTE(TRIM(K6),".",""),"/",""),"-","")," ",""),"(",""),")",""),"+",""))=11)),"OK","ERRO: use DDD + número (10 ou 11 dígitos)"))</f>
      </c>
      <c r="T6" s="6">
        <f>IF(L6="","vazio",IF(AND(ISNUMBER(FIND("@",L6)),ISNUMBER(FIND(".",MID(L6,FIND("@",L6),99))),NOT(ISNUMBER(FIND(" ",TRIM(L6)))),NOT(ISNUMBER(FIND(";",L6))),NOT(ISNUMBER(FIND(",",L6)))),"OK","ERRO: um e-mail válido por linha"))</f>
      </c>
      <c r="U6" s="6">
        <f>IF(COUNTA(A6:O6)=0,"",IF(AND(B6&lt;&gt;"",C6&lt;&gt;"",D6&lt;&gt;"",E6&lt;&gt;"",H6&lt;&gt;"",OR(J6&lt;&gt;"",L6&lt;&gt;"")),"OK","ERRO: faltam "&amp;IF(B6="","Proprietário; ","")&amp;IF(C6="","Origem; ","")&amp;IF(D6="","CNPJ; ","")&amp;IF(E6="","Razão Social; ","")&amp;IF(H6="","Sobrenome; ","")&amp;IF(AND(J6="",L6=""),"telefone ou e-mail; ","")))</f>
      </c>
      <c r="V6" s="6">
        <f>IF(COUNTA(A6:O6)=0,"",IF(AND(Q6="OK",R6="OK",LEFT(S6,4)&lt;&gt;"ERRO",LEFT(T6,4)&lt;&gt;"ERRO",U6="OK"),"OK","REVISAR"))</f>
      </c>
    </row>
    <row r="7">
      <c r="A7" s="4"/>
      <c r="B7" s="5"/>
      <c r="C7" s="5"/>
      <c r="D7" s="5"/>
      <c r="E7" s="5"/>
      <c r="F7" s="4"/>
      <c r="G7" s="4"/>
      <c r="H7" s="5"/>
      <c r="I7" s="4"/>
      <c r="J7" s="4"/>
      <c r="K7" s="4"/>
      <c r="L7" s="4"/>
      <c r="M7" s="4"/>
      <c r="N7" s="4"/>
      <c r="O7" s="4"/>
      <c r="P7" s="6">
        <f>IF(D7="","",SUBSTITUTE(SUBSTITUTE(SUBSTITUTE(SUBSTITUTE(SUBSTITUTE(SUBSTITUTE(SUBSTITUTE(TRIM(D7),".",""),"/",""),"-","")," ",""),"(",""),")",""),"+",""))</f>
      </c>
      <c r="Q7" s="6">
        <f>IF(P7="","",IF(LEN(P7)&lt;&gt;14,"ERRO: "&amp;LEN(P7)&amp;" dígitos",IF(NOT(ISNUMBER(VALUE(P7))),"ERRO: não numérico",IF(LEN(SUBSTITUTE(P7,LEFT(P7,1),""))=0,"ERRO: dígitos repetidos",IF(AND(VALUE(MID(P7,13,1))=IF(MOD(SUMPRODUCT(--MID(P7,{1,2,3,4,5,6,7,8,9,10,11,12},1),{5,4,3,2,9,8,7,6,5,4,3,2}),11)&lt;2,0,11-MOD(SUMPRODUCT(--MID(P7,{1,2,3,4,5,6,7,8,9,10,11,12},1),{5,4,3,2,9,8,7,6,5,4,3,2}),11)),VALUE(MID(P7,14,1))=IF(MOD(SUMPRODUCT(--MID(P7,{1,2,3,4,5,6,7,8,9,10,11,12,13},1),{6,5,4,3,2,9,8,7,6,5,4,3,2}),11)&lt;2,0,11-MOD(SUMPRODUCT(--MID(P7,{1,2,3,4,5,6,7,8,9,10,11,12,13},1),{6,5,4,3,2,9,8,7,6,5,4,3,2}),11))),"OK","ERRO: dígito verificador")))))</f>
      </c>
      <c r="R7" s="6">
        <f>IF(P7="","",IF(COUNTIF($P$2:$P$1001,P7)&gt;1,"DUPLICADO","OK"))</f>
      </c>
      <c r="S7" s="6">
        <f>IF(AND(J7="",K7=""),"vazio",IF(AND(OR(J7="",LEN(SUBSTITUTE(SUBSTITUTE(SUBSTITUTE(SUBSTITUTE(SUBSTITUTE(SUBSTITUTE(SUBSTITUTE(TRIM(J7),".",""),"/",""),"-","")," ",""),"(",""),")",""),"+",""))=10,LEN(SUBSTITUTE(SUBSTITUTE(SUBSTITUTE(SUBSTITUTE(SUBSTITUTE(SUBSTITUTE(SUBSTITUTE(TRIM(J7),".",""),"/",""),"-","")," ",""),"(",""),")",""),"+",""))=11),OR(K7="",LEN(SUBSTITUTE(SUBSTITUTE(SUBSTITUTE(SUBSTITUTE(SUBSTITUTE(SUBSTITUTE(SUBSTITUTE(TRIM(K7),".",""),"/",""),"-","")," ",""),"(",""),")",""),"+",""))=10,LEN(SUBSTITUTE(SUBSTITUTE(SUBSTITUTE(SUBSTITUTE(SUBSTITUTE(SUBSTITUTE(SUBSTITUTE(TRIM(K7),".",""),"/",""),"-","")," ",""),"(",""),")",""),"+",""))=11)),"OK","ERRO: use DDD + número (10 ou 11 dígitos)"))</f>
      </c>
      <c r="T7" s="6">
        <f>IF(L7="","vazio",IF(AND(ISNUMBER(FIND("@",L7)),ISNUMBER(FIND(".",MID(L7,FIND("@",L7),99))),NOT(ISNUMBER(FIND(" ",TRIM(L7)))),NOT(ISNUMBER(FIND(";",L7))),NOT(ISNUMBER(FIND(",",L7)))),"OK","ERRO: um e-mail válido por linha"))</f>
      </c>
      <c r="U7" s="6">
        <f>IF(COUNTA(A7:O7)=0,"",IF(AND(B7&lt;&gt;"",C7&lt;&gt;"",D7&lt;&gt;"",E7&lt;&gt;"",H7&lt;&gt;"",OR(J7&lt;&gt;"",L7&lt;&gt;"")),"OK","ERRO: faltam "&amp;IF(B7="","Proprietário; ","")&amp;IF(C7="","Origem; ","")&amp;IF(D7="","CNPJ; ","")&amp;IF(E7="","Razão Social; ","")&amp;IF(H7="","Sobrenome; ","")&amp;IF(AND(J7="",L7=""),"telefone ou e-mail; ","")))</f>
      </c>
      <c r="V7" s="6">
        <f>IF(COUNTA(A7:O7)=0,"",IF(AND(Q7="OK",R7="OK",LEFT(S7,4)&lt;&gt;"ERRO",LEFT(T7,4)&lt;&gt;"ERRO",U7="OK"),"OK","REVISAR"))</f>
      </c>
    </row>
    <row r="8">
      <c r="A8" s="4"/>
      <c r="B8" s="5"/>
      <c r="C8" s="5"/>
      <c r="D8" s="5"/>
      <c r="E8" s="5"/>
      <c r="F8" s="4"/>
      <c r="G8" s="4"/>
      <c r="H8" s="5"/>
      <c r="I8" s="4"/>
      <c r="J8" s="4"/>
      <c r="K8" s="4"/>
      <c r="L8" s="4"/>
      <c r="M8" s="4"/>
      <c r="N8" s="4"/>
      <c r="O8" s="4"/>
      <c r="P8" s="6">
        <f>IF(D8="","",SUBSTITUTE(SUBSTITUTE(SUBSTITUTE(SUBSTITUTE(SUBSTITUTE(SUBSTITUTE(SUBSTITUTE(TRIM(D8),".",""),"/",""),"-","")," ",""),"(",""),")",""),"+",""))</f>
      </c>
      <c r="Q8" s="6">
        <f>IF(P8="","",IF(LEN(P8)&lt;&gt;14,"ERRO: "&amp;LEN(P8)&amp;" dígitos",IF(NOT(ISNUMBER(VALUE(P8))),"ERRO: não numérico",IF(LEN(SUBSTITUTE(P8,LEFT(P8,1),""))=0,"ERRO: dígitos repetidos",IF(AND(VALUE(MID(P8,13,1))=IF(MOD(SUMPRODUCT(--MID(P8,{1,2,3,4,5,6,7,8,9,10,11,12},1),{5,4,3,2,9,8,7,6,5,4,3,2}),11)&lt;2,0,11-MOD(SUMPRODUCT(--MID(P8,{1,2,3,4,5,6,7,8,9,10,11,12},1),{5,4,3,2,9,8,7,6,5,4,3,2}),11)),VALUE(MID(P8,14,1))=IF(MOD(SUMPRODUCT(--MID(P8,{1,2,3,4,5,6,7,8,9,10,11,12,13},1),{6,5,4,3,2,9,8,7,6,5,4,3,2}),11)&lt;2,0,11-MOD(SUMPRODUCT(--MID(P8,{1,2,3,4,5,6,7,8,9,10,11,12,13},1),{6,5,4,3,2,9,8,7,6,5,4,3,2}),11))),"OK","ERRO: dígito verificador")))))</f>
      </c>
      <c r="R8" s="6">
        <f>IF(P8="","",IF(COUNTIF($P$2:$P$1001,P8)&gt;1,"DUPLICADO","OK"))</f>
      </c>
      <c r="S8" s="6">
        <f>IF(AND(J8="",K8=""),"vazio",IF(AND(OR(J8="",LEN(SUBSTITUTE(SUBSTITUTE(SUBSTITUTE(SUBSTITUTE(SUBSTITUTE(SUBSTITUTE(SUBSTITUTE(TRIM(J8),".",""),"/",""),"-","")," ",""),"(",""),")",""),"+",""))=10,LEN(SUBSTITUTE(SUBSTITUTE(SUBSTITUTE(SUBSTITUTE(SUBSTITUTE(SUBSTITUTE(SUBSTITUTE(TRIM(J8),".",""),"/",""),"-","")," ",""),"(",""),")",""),"+",""))=11),OR(K8="",LEN(SUBSTITUTE(SUBSTITUTE(SUBSTITUTE(SUBSTITUTE(SUBSTITUTE(SUBSTITUTE(SUBSTITUTE(TRIM(K8),".",""),"/",""),"-","")," ",""),"(",""),")",""),"+",""))=10,LEN(SUBSTITUTE(SUBSTITUTE(SUBSTITUTE(SUBSTITUTE(SUBSTITUTE(SUBSTITUTE(SUBSTITUTE(TRIM(K8),".",""),"/",""),"-","")," ",""),"(",""),")",""),"+",""))=11)),"OK","ERRO: use DDD + número (10 ou 11 dígitos)"))</f>
      </c>
      <c r="T8" s="6">
        <f>IF(L8="","vazio",IF(AND(ISNUMBER(FIND("@",L8)),ISNUMBER(FIND(".",MID(L8,FIND("@",L8),99))),NOT(ISNUMBER(FIND(" ",TRIM(L8)))),NOT(ISNUMBER(FIND(";",L8))),NOT(ISNUMBER(FIND(",",L8)))),"OK","ERRO: um e-mail válido por linha"))</f>
      </c>
      <c r="U8" s="6">
        <f>IF(COUNTA(A8:O8)=0,"",IF(AND(B8&lt;&gt;"",C8&lt;&gt;"",D8&lt;&gt;"",E8&lt;&gt;"",H8&lt;&gt;"",OR(J8&lt;&gt;"",L8&lt;&gt;"")),"OK","ERRO: faltam "&amp;IF(B8="","Proprietário; ","")&amp;IF(C8="","Origem; ","")&amp;IF(D8="","CNPJ; ","")&amp;IF(E8="","Razão Social; ","")&amp;IF(H8="","Sobrenome; ","")&amp;IF(AND(J8="",L8=""),"telefone ou e-mail; ","")))</f>
      </c>
      <c r="V8" s="6">
        <f>IF(COUNTA(A8:O8)=0,"",IF(AND(Q8="OK",R8="OK",LEFT(S8,4)&lt;&gt;"ERRO",LEFT(T8,4)&lt;&gt;"ERRO",U8="OK"),"OK","REVISAR"))</f>
      </c>
    </row>
    <row r="9">
      <c r="A9" s="4"/>
      <c r="B9" s="5"/>
      <c r="C9" s="5"/>
      <c r="D9" s="5"/>
      <c r="E9" s="5"/>
      <c r="F9" s="4"/>
      <c r="G9" s="4"/>
      <c r="H9" s="5"/>
      <c r="I9" s="4"/>
      <c r="J9" s="4"/>
      <c r="K9" s="4"/>
      <c r="L9" s="4"/>
      <c r="M9" s="4"/>
      <c r="N9" s="4"/>
      <c r="O9" s="4"/>
      <c r="P9" s="6">
        <f>IF(D9="","",SUBSTITUTE(SUBSTITUTE(SUBSTITUTE(SUBSTITUTE(SUBSTITUTE(SUBSTITUTE(SUBSTITUTE(TRIM(D9),".",""),"/",""),"-","")," ",""),"(",""),")",""),"+",""))</f>
      </c>
      <c r="Q9" s="6">
        <f>IF(P9="","",IF(LEN(P9)&lt;&gt;14,"ERRO: "&amp;LEN(P9)&amp;" dígitos",IF(NOT(ISNUMBER(VALUE(P9))),"ERRO: não numérico",IF(LEN(SUBSTITUTE(P9,LEFT(P9,1),""))=0,"ERRO: dígitos repetidos",IF(AND(VALUE(MID(P9,13,1))=IF(MOD(SUMPRODUCT(--MID(P9,{1,2,3,4,5,6,7,8,9,10,11,12},1),{5,4,3,2,9,8,7,6,5,4,3,2}),11)&lt;2,0,11-MOD(SUMPRODUCT(--MID(P9,{1,2,3,4,5,6,7,8,9,10,11,12},1),{5,4,3,2,9,8,7,6,5,4,3,2}),11)),VALUE(MID(P9,14,1))=IF(MOD(SUMPRODUCT(--MID(P9,{1,2,3,4,5,6,7,8,9,10,11,12,13},1),{6,5,4,3,2,9,8,7,6,5,4,3,2}),11)&lt;2,0,11-MOD(SUMPRODUCT(--MID(P9,{1,2,3,4,5,6,7,8,9,10,11,12,13},1),{6,5,4,3,2,9,8,7,6,5,4,3,2}),11))),"OK","ERRO: dígito verificador")))))</f>
      </c>
      <c r="R9" s="6">
        <f>IF(P9="","",IF(COUNTIF($P$2:$P$1001,P9)&gt;1,"DUPLICADO","OK"))</f>
      </c>
      <c r="S9" s="6">
        <f>IF(AND(J9="",K9=""),"vazio",IF(AND(OR(J9="",LEN(SUBSTITUTE(SUBSTITUTE(SUBSTITUTE(SUBSTITUTE(SUBSTITUTE(SUBSTITUTE(SUBSTITUTE(TRIM(J9),".",""),"/",""),"-","")," ",""),"(",""),")",""),"+",""))=10,LEN(SUBSTITUTE(SUBSTITUTE(SUBSTITUTE(SUBSTITUTE(SUBSTITUTE(SUBSTITUTE(SUBSTITUTE(TRIM(J9),".",""),"/",""),"-","")," ",""),"(",""),")",""),"+",""))=11),OR(K9="",LEN(SUBSTITUTE(SUBSTITUTE(SUBSTITUTE(SUBSTITUTE(SUBSTITUTE(SUBSTITUTE(SUBSTITUTE(TRIM(K9),".",""),"/",""),"-","")," ",""),"(",""),")",""),"+",""))=10,LEN(SUBSTITUTE(SUBSTITUTE(SUBSTITUTE(SUBSTITUTE(SUBSTITUTE(SUBSTITUTE(SUBSTITUTE(TRIM(K9),".",""),"/",""),"-","")," ",""),"(",""),")",""),"+",""))=11)),"OK","ERRO: use DDD + número (10 ou 11 dígitos)"))</f>
      </c>
      <c r="T9" s="6">
        <f>IF(L9="","vazio",IF(AND(ISNUMBER(FIND("@",L9)),ISNUMBER(FIND(".",MID(L9,FIND("@",L9),99))),NOT(ISNUMBER(FIND(" ",TRIM(L9)))),NOT(ISNUMBER(FIND(";",L9))),NOT(ISNUMBER(FIND(",",L9)))),"OK","ERRO: um e-mail válido por linha"))</f>
      </c>
      <c r="U9" s="6">
        <f>IF(COUNTA(A9:O9)=0,"",IF(AND(B9&lt;&gt;"",C9&lt;&gt;"",D9&lt;&gt;"",E9&lt;&gt;"",H9&lt;&gt;"",OR(J9&lt;&gt;"",L9&lt;&gt;"")),"OK","ERRO: faltam "&amp;IF(B9="","Proprietário; ","")&amp;IF(C9="","Origem; ","")&amp;IF(D9="","CNPJ; ","")&amp;IF(E9="","Razão Social; ","")&amp;IF(H9="","Sobrenome; ","")&amp;IF(AND(J9="",L9=""),"telefone ou e-mail; ","")))</f>
      </c>
      <c r="V9" s="6">
        <f>IF(COUNTA(A9:O9)=0,"",IF(AND(Q9="OK",R9="OK",LEFT(S9,4)&lt;&gt;"ERRO",LEFT(T9,4)&lt;&gt;"ERRO",U9="OK"),"OK","REVISAR"))</f>
      </c>
    </row>
    <row r="10">
      <c r="A10" s="4"/>
      <c r="B10" s="5"/>
      <c r="C10" s="5"/>
      <c r="D10" s="5"/>
      <c r="E10" s="5"/>
      <c r="F10" s="4"/>
      <c r="G10" s="4"/>
      <c r="H10" s="5"/>
      <c r="I10" s="4"/>
      <c r="J10" s="4"/>
      <c r="K10" s="4"/>
      <c r="L10" s="4"/>
      <c r="M10" s="4"/>
      <c r="N10" s="4"/>
      <c r="O10" s="4"/>
      <c r="P10" s="6">
        <f>IF(D10="","",SUBSTITUTE(SUBSTITUTE(SUBSTITUTE(SUBSTITUTE(SUBSTITUTE(SUBSTITUTE(SUBSTITUTE(TRIM(D10),".",""),"/",""),"-","")," ",""),"(",""),")",""),"+",""))</f>
      </c>
      <c r="Q10" s="6">
        <f>IF(P10="","",IF(LEN(P10)&lt;&gt;14,"ERRO: "&amp;LEN(P10)&amp;" dígitos",IF(NOT(ISNUMBER(VALUE(P10))),"ERRO: não numérico",IF(LEN(SUBSTITUTE(P10,LEFT(P10,1),""))=0,"ERRO: dígitos repetidos",IF(AND(VALUE(MID(P10,13,1))=IF(MOD(SUMPRODUCT(--MID(P10,{1,2,3,4,5,6,7,8,9,10,11,12},1),{5,4,3,2,9,8,7,6,5,4,3,2}),11)&lt;2,0,11-MOD(SUMPRODUCT(--MID(P10,{1,2,3,4,5,6,7,8,9,10,11,12},1),{5,4,3,2,9,8,7,6,5,4,3,2}),11)),VALUE(MID(P10,14,1))=IF(MOD(SUMPRODUCT(--MID(P10,{1,2,3,4,5,6,7,8,9,10,11,12,13},1),{6,5,4,3,2,9,8,7,6,5,4,3,2}),11)&lt;2,0,11-MOD(SUMPRODUCT(--MID(P10,{1,2,3,4,5,6,7,8,9,10,11,12,13},1),{6,5,4,3,2,9,8,7,6,5,4,3,2}),11))),"OK","ERRO: dígito verificador")))))</f>
      </c>
      <c r="R10" s="6">
        <f>IF(P10="","",IF(COUNTIF($P$2:$P$1001,P10)&gt;1,"DUPLICADO","OK"))</f>
      </c>
      <c r="S10" s="6">
        <f>IF(AND(J10="",K10=""),"vazio",IF(AND(OR(J10="",LEN(SUBSTITUTE(SUBSTITUTE(SUBSTITUTE(SUBSTITUTE(SUBSTITUTE(SUBSTITUTE(SUBSTITUTE(TRIM(J10),".",""),"/",""),"-","")," ",""),"(",""),")",""),"+",""))=10,LEN(SUBSTITUTE(SUBSTITUTE(SUBSTITUTE(SUBSTITUTE(SUBSTITUTE(SUBSTITUTE(SUBSTITUTE(TRIM(J10),".",""),"/",""),"-","")," ",""),"(",""),")",""),"+",""))=11),OR(K10="",LEN(SUBSTITUTE(SUBSTITUTE(SUBSTITUTE(SUBSTITUTE(SUBSTITUTE(SUBSTITUTE(SUBSTITUTE(TRIM(K10),".",""),"/",""),"-","")," ",""),"(",""),")",""),"+",""))=10,LEN(SUBSTITUTE(SUBSTITUTE(SUBSTITUTE(SUBSTITUTE(SUBSTITUTE(SUBSTITUTE(SUBSTITUTE(TRIM(K10),".",""),"/",""),"-","")," ",""),"(",""),")",""),"+",""))=11)),"OK","ERRO: use DDD + número (10 ou 11 dígitos)"))</f>
      </c>
      <c r="T10" s="6">
        <f>IF(L10="","vazio",IF(AND(ISNUMBER(FIND("@",L10)),ISNUMBER(FIND(".",MID(L10,FIND("@",L10),99))),NOT(ISNUMBER(FIND(" ",TRIM(L10)))),NOT(ISNUMBER(FIND(";",L10))),NOT(ISNUMBER(FIND(",",L10)))),"OK","ERRO: um e-mail válido por linha"))</f>
      </c>
      <c r="U10" s="6">
        <f>IF(COUNTA(A10:O10)=0,"",IF(AND(B10&lt;&gt;"",C10&lt;&gt;"",D10&lt;&gt;"",E10&lt;&gt;"",H10&lt;&gt;"",OR(J10&lt;&gt;"",L10&lt;&gt;"")),"OK","ERRO: faltam "&amp;IF(B10="","Proprietário; ","")&amp;IF(C10="","Origem; ","")&amp;IF(D10="","CNPJ; ","")&amp;IF(E10="","Razão Social; ","")&amp;IF(H10="","Sobrenome; ","")&amp;IF(AND(J10="",L10=""),"telefone ou e-mail; ","")))</f>
      </c>
      <c r="V10" s="6">
        <f>IF(COUNTA(A10:O10)=0,"",IF(AND(Q10="OK",R10="OK",LEFT(S10,4)&lt;&gt;"ERRO",LEFT(T10,4)&lt;&gt;"ERRO",U10="OK"),"OK","REVISAR"))</f>
      </c>
    </row>
    <row r="11">
      <c r="A11" s="4"/>
      <c r="B11" s="5"/>
      <c r="C11" s="5"/>
      <c r="D11" s="5"/>
      <c r="E11" s="5"/>
      <c r="F11" s="4"/>
      <c r="G11" s="4"/>
      <c r="H11" s="5"/>
      <c r="I11" s="4"/>
      <c r="J11" s="4"/>
      <c r="K11" s="4"/>
      <c r="L11" s="4"/>
      <c r="M11" s="4"/>
      <c r="N11" s="4"/>
      <c r="O11" s="4"/>
      <c r="P11" s="6">
        <f>IF(D11="","",SUBSTITUTE(SUBSTITUTE(SUBSTITUTE(SUBSTITUTE(SUBSTITUTE(SUBSTITUTE(SUBSTITUTE(TRIM(D11),".",""),"/",""),"-","")," ",""),"(",""),")",""),"+",""))</f>
      </c>
      <c r="Q11" s="6">
        <f>IF(P11="","",IF(LEN(P11)&lt;&gt;14,"ERRO: "&amp;LEN(P11)&amp;" dígitos",IF(NOT(ISNUMBER(VALUE(P11))),"ERRO: não numérico",IF(LEN(SUBSTITUTE(P11,LEFT(P11,1),""))=0,"ERRO: dígitos repetidos",IF(AND(VALUE(MID(P11,13,1))=IF(MOD(SUMPRODUCT(--MID(P11,{1,2,3,4,5,6,7,8,9,10,11,12},1),{5,4,3,2,9,8,7,6,5,4,3,2}),11)&lt;2,0,11-MOD(SUMPRODUCT(--MID(P11,{1,2,3,4,5,6,7,8,9,10,11,12},1),{5,4,3,2,9,8,7,6,5,4,3,2}),11)),VALUE(MID(P11,14,1))=IF(MOD(SUMPRODUCT(--MID(P11,{1,2,3,4,5,6,7,8,9,10,11,12,13},1),{6,5,4,3,2,9,8,7,6,5,4,3,2}),11)&lt;2,0,11-MOD(SUMPRODUCT(--MID(P11,{1,2,3,4,5,6,7,8,9,10,11,12,13},1),{6,5,4,3,2,9,8,7,6,5,4,3,2}),11))),"OK","ERRO: dígito verificador")))))</f>
      </c>
      <c r="R11" s="6">
        <f>IF(P11="","",IF(COUNTIF($P$2:$P$1001,P11)&gt;1,"DUPLICADO","OK"))</f>
      </c>
      <c r="S11" s="6">
        <f>IF(AND(J11="",K11=""),"vazio",IF(AND(OR(J11="",LEN(SUBSTITUTE(SUBSTITUTE(SUBSTITUTE(SUBSTITUTE(SUBSTITUTE(SUBSTITUTE(SUBSTITUTE(TRIM(J11),".",""),"/",""),"-","")," ",""),"(",""),")",""),"+",""))=10,LEN(SUBSTITUTE(SUBSTITUTE(SUBSTITUTE(SUBSTITUTE(SUBSTITUTE(SUBSTITUTE(SUBSTITUTE(TRIM(J11),".",""),"/",""),"-","")," ",""),"(",""),")",""),"+",""))=11),OR(K11="",LEN(SUBSTITUTE(SUBSTITUTE(SUBSTITUTE(SUBSTITUTE(SUBSTITUTE(SUBSTITUTE(SUBSTITUTE(TRIM(K11),".",""),"/",""),"-","")," ",""),"(",""),")",""),"+",""))=10,LEN(SUBSTITUTE(SUBSTITUTE(SUBSTITUTE(SUBSTITUTE(SUBSTITUTE(SUBSTITUTE(SUBSTITUTE(TRIM(K11),".",""),"/",""),"-","")," ",""),"(",""),")",""),"+",""))=11)),"OK","ERRO: use DDD + número (10 ou 11 dígitos)"))</f>
      </c>
      <c r="T11" s="6">
        <f>IF(L11="","vazio",IF(AND(ISNUMBER(FIND("@",L11)),ISNUMBER(FIND(".",MID(L11,FIND("@",L11),99))),NOT(ISNUMBER(FIND(" ",TRIM(L11)))),NOT(ISNUMBER(FIND(";",L11))),NOT(ISNUMBER(FIND(",",L11)))),"OK","ERRO: um e-mail válido por linha"))</f>
      </c>
      <c r="U11" s="6">
        <f>IF(COUNTA(A11:O11)=0,"",IF(AND(B11&lt;&gt;"",C11&lt;&gt;"",D11&lt;&gt;"",E11&lt;&gt;"",H11&lt;&gt;"",OR(J11&lt;&gt;"",L11&lt;&gt;"")),"OK","ERRO: faltam "&amp;IF(B11="","Proprietário; ","")&amp;IF(C11="","Origem; ","")&amp;IF(D11="","CNPJ; ","")&amp;IF(E11="","Razão Social; ","")&amp;IF(H11="","Sobrenome; ","")&amp;IF(AND(J11="",L11=""),"telefone ou e-mail; ","")))</f>
      </c>
      <c r="V11" s="6">
        <f>IF(COUNTA(A11:O11)=0,"",IF(AND(Q11="OK",R11="OK",LEFT(S11,4)&lt;&gt;"ERRO",LEFT(T11,4)&lt;&gt;"ERRO",U11="OK"),"OK","REVISAR"))</f>
      </c>
    </row>
    <row r="12">
      <c r="A12" s="4"/>
      <c r="B12" s="5"/>
      <c r="C12" s="5"/>
      <c r="D12" s="5"/>
      <c r="E12" s="5"/>
      <c r="F12" s="4"/>
      <c r="G12" s="4"/>
      <c r="H12" s="5"/>
      <c r="I12" s="4"/>
      <c r="J12" s="4"/>
      <c r="K12" s="4"/>
      <c r="L12" s="4"/>
      <c r="M12" s="4"/>
      <c r="N12" s="4"/>
      <c r="O12" s="4"/>
      <c r="P12" s="6">
        <f>IF(D12="","",SUBSTITUTE(SUBSTITUTE(SUBSTITUTE(SUBSTITUTE(SUBSTITUTE(SUBSTITUTE(SUBSTITUTE(TRIM(D12),".",""),"/",""),"-","")," ",""),"(",""),")",""),"+",""))</f>
      </c>
      <c r="Q12" s="6">
        <f>IF(P12="","",IF(LEN(P12)&lt;&gt;14,"ERRO: "&amp;LEN(P12)&amp;" dígitos",IF(NOT(ISNUMBER(VALUE(P12))),"ERRO: não numérico",IF(LEN(SUBSTITUTE(P12,LEFT(P12,1),""))=0,"ERRO: dígitos repetidos",IF(AND(VALUE(MID(P12,13,1))=IF(MOD(SUMPRODUCT(--MID(P12,{1,2,3,4,5,6,7,8,9,10,11,12},1),{5,4,3,2,9,8,7,6,5,4,3,2}),11)&lt;2,0,11-MOD(SUMPRODUCT(--MID(P12,{1,2,3,4,5,6,7,8,9,10,11,12},1),{5,4,3,2,9,8,7,6,5,4,3,2}),11)),VALUE(MID(P12,14,1))=IF(MOD(SUMPRODUCT(--MID(P12,{1,2,3,4,5,6,7,8,9,10,11,12,13},1),{6,5,4,3,2,9,8,7,6,5,4,3,2}),11)&lt;2,0,11-MOD(SUMPRODUCT(--MID(P12,{1,2,3,4,5,6,7,8,9,10,11,12,13},1),{6,5,4,3,2,9,8,7,6,5,4,3,2}),11))),"OK","ERRO: dígito verificador")))))</f>
      </c>
      <c r="R12" s="6">
        <f>IF(P12="","",IF(COUNTIF($P$2:$P$1001,P12)&gt;1,"DUPLICADO","OK"))</f>
      </c>
      <c r="S12" s="6">
        <f>IF(AND(J12="",K12=""),"vazio",IF(AND(OR(J12="",LEN(SUBSTITUTE(SUBSTITUTE(SUBSTITUTE(SUBSTITUTE(SUBSTITUTE(SUBSTITUTE(SUBSTITUTE(TRIM(J12),".",""),"/",""),"-","")," ",""),"(",""),")",""),"+",""))=10,LEN(SUBSTITUTE(SUBSTITUTE(SUBSTITUTE(SUBSTITUTE(SUBSTITUTE(SUBSTITUTE(SUBSTITUTE(TRIM(J12),".",""),"/",""),"-","")," ",""),"(",""),")",""),"+",""))=11),OR(K12="",LEN(SUBSTITUTE(SUBSTITUTE(SUBSTITUTE(SUBSTITUTE(SUBSTITUTE(SUBSTITUTE(SUBSTITUTE(TRIM(K12),".",""),"/",""),"-","")," ",""),"(",""),")",""),"+",""))=10,LEN(SUBSTITUTE(SUBSTITUTE(SUBSTITUTE(SUBSTITUTE(SUBSTITUTE(SUBSTITUTE(SUBSTITUTE(TRIM(K12),".",""),"/",""),"-","")," ",""),"(",""),")",""),"+",""))=11)),"OK","ERRO: use DDD + número (10 ou 11 dígitos)"))</f>
      </c>
      <c r="T12" s="6">
        <f>IF(L12="","vazio",IF(AND(ISNUMBER(FIND("@",L12)),ISNUMBER(FIND(".",MID(L12,FIND("@",L12),99))),NOT(ISNUMBER(FIND(" ",TRIM(L12)))),NOT(ISNUMBER(FIND(";",L12))),NOT(ISNUMBER(FIND(",",L12)))),"OK","ERRO: um e-mail válido por linha"))</f>
      </c>
      <c r="U12" s="6">
        <f>IF(COUNTA(A12:O12)=0,"",IF(AND(B12&lt;&gt;"",C12&lt;&gt;"",D12&lt;&gt;"",E12&lt;&gt;"",H12&lt;&gt;"",OR(J12&lt;&gt;"",L12&lt;&gt;"")),"OK","ERRO: faltam "&amp;IF(B12="","Proprietário; ","")&amp;IF(C12="","Origem; ","")&amp;IF(D12="","CNPJ; ","")&amp;IF(E12="","Razão Social; ","")&amp;IF(H12="","Sobrenome; ","")&amp;IF(AND(J12="",L12=""),"telefone ou e-mail; ","")))</f>
      </c>
      <c r="V12" s="6">
        <f>IF(COUNTA(A12:O12)=0,"",IF(AND(Q12="OK",R12="OK",LEFT(S12,4)&lt;&gt;"ERRO",LEFT(T12,4)&lt;&gt;"ERRO",U12="OK"),"OK","REVISAR"))</f>
      </c>
    </row>
    <row r="13">
      <c r="A13" s="4"/>
      <c r="B13" s="5"/>
      <c r="C13" s="5"/>
      <c r="D13" s="5"/>
      <c r="E13" s="5"/>
      <c r="F13" s="4"/>
      <c r="G13" s="4"/>
      <c r="H13" s="5"/>
      <c r="I13" s="4"/>
      <c r="J13" s="4"/>
      <c r="K13" s="4"/>
      <c r="L13" s="4"/>
      <c r="M13" s="4"/>
      <c r="N13" s="4"/>
      <c r="O13" s="4"/>
      <c r="P13" s="6">
        <f>IF(D13="","",SUBSTITUTE(SUBSTITUTE(SUBSTITUTE(SUBSTITUTE(SUBSTITUTE(SUBSTITUTE(SUBSTITUTE(TRIM(D13),".",""),"/",""),"-","")," ",""),"(",""),")",""),"+",""))</f>
      </c>
      <c r="Q13" s="6">
        <f>IF(P13="","",IF(LEN(P13)&lt;&gt;14,"ERRO: "&amp;LEN(P13)&amp;" dígitos",IF(NOT(ISNUMBER(VALUE(P13))),"ERRO: não numérico",IF(LEN(SUBSTITUTE(P13,LEFT(P13,1),""))=0,"ERRO: dígitos repetidos",IF(AND(VALUE(MID(P13,13,1))=IF(MOD(SUMPRODUCT(--MID(P13,{1,2,3,4,5,6,7,8,9,10,11,12},1),{5,4,3,2,9,8,7,6,5,4,3,2}),11)&lt;2,0,11-MOD(SUMPRODUCT(--MID(P13,{1,2,3,4,5,6,7,8,9,10,11,12},1),{5,4,3,2,9,8,7,6,5,4,3,2}),11)),VALUE(MID(P13,14,1))=IF(MOD(SUMPRODUCT(--MID(P13,{1,2,3,4,5,6,7,8,9,10,11,12,13},1),{6,5,4,3,2,9,8,7,6,5,4,3,2}),11)&lt;2,0,11-MOD(SUMPRODUCT(--MID(P13,{1,2,3,4,5,6,7,8,9,10,11,12,13},1),{6,5,4,3,2,9,8,7,6,5,4,3,2}),11))),"OK","ERRO: dígito verificador")))))</f>
      </c>
      <c r="R13" s="6">
        <f>IF(P13="","",IF(COUNTIF($P$2:$P$1001,P13)&gt;1,"DUPLICADO","OK"))</f>
      </c>
      <c r="S13" s="6">
        <f>IF(AND(J13="",K13=""),"vazio",IF(AND(OR(J13="",LEN(SUBSTITUTE(SUBSTITUTE(SUBSTITUTE(SUBSTITUTE(SUBSTITUTE(SUBSTITUTE(SUBSTITUTE(TRIM(J13),".",""),"/",""),"-","")," ",""),"(",""),")",""),"+",""))=10,LEN(SUBSTITUTE(SUBSTITUTE(SUBSTITUTE(SUBSTITUTE(SUBSTITUTE(SUBSTITUTE(SUBSTITUTE(TRIM(J13),".",""),"/",""),"-","")," ",""),"(",""),")",""),"+",""))=11),OR(K13="",LEN(SUBSTITUTE(SUBSTITUTE(SUBSTITUTE(SUBSTITUTE(SUBSTITUTE(SUBSTITUTE(SUBSTITUTE(TRIM(K13),".",""),"/",""),"-","")," ",""),"(",""),")",""),"+",""))=10,LEN(SUBSTITUTE(SUBSTITUTE(SUBSTITUTE(SUBSTITUTE(SUBSTITUTE(SUBSTITUTE(SUBSTITUTE(TRIM(K13),".",""),"/",""),"-","")," ",""),"(",""),")",""),"+",""))=11)),"OK","ERRO: use DDD + número (10 ou 11 dígitos)"))</f>
      </c>
      <c r="T13" s="6">
        <f>IF(L13="","vazio",IF(AND(ISNUMBER(FIND("@",L13)),ISNUMBER(FIND(".",MID(L13,FIND("@",L13),99))),NOT(ISNUMBER(FIND(" ",TRIM(L13)))),NOT(ISNUMBER(FIND(";",L13))),NOT(ISNUMBER(FIND(",",L13)))),"OK","ERRO: um e-mail válido por linha"))</f>
      </c>
      <c r="U13" s="6">
        <f>IF(COUNTA(A13:O13)=0,"",IF(AND(B13&lt;&gt;"",C13&lt;&gt;"",D13&lt;&gt;"",E13&lt;&gt;"",H13&lt;&gt;"",OR(J13&lt;&gt;"",L13&lt;&gt;"")),"OK","ERRO: faltam "&amp;IF(B13="","Proprietário; ","")&amp;IF(C13="","Origem; ","")&amp;IF(D13="","CNPJ; ","")&amp;IF(E13="","Razão Social; ","")&amp;IF(H13="","Sobrenome; ","")&amp;IF(AND(J13="",L13=""),"telefone ou e-mail; ","")))</f>
      </c>
      <c r="V13" s="6">
        <f>IF(COUNTA(A13:O13)=0,"",IF(AND(Q13="OK",R13="OK",LEFT(S13,4)&lt;&gt;"ERRO",LEFT(T13,4)&lt;&gt;"ERRO",U13="OK"),"OK","REVISAR"))</f>
      </c>
    </row>
    <row r="14">
      <c r="A14" s="4"/>
      <c r="B14" s="5"/>
      <c r="C14" s="5"/>
      <c r="D14" s="5"/>
      <c r="E14" s="5"/>
      <c r="F14" s="4"/>
      <c r="G14" s="4"/>
      <c r="H14" s="5"/>
      <c r="I14" s="4"/>
      <c r="J14" s="4"/>
      <c r="K14" s="4"/>
      <c r="L14" s="4"/>
      <c r="M14" s="4"/>
      <c r="N14" s="4"/>
      <c r="O14" s="4"/>
      <c r="P14" s="6">
        <f>IF(D14="","",SUBSTITUTE(SUBSTITUTE(SUBSTITUTE(SUBSTITUTE(SUBSTITUTE(SUBSTITUTE(SUBSTITUTE(TRIM(D14),".",""),"/",""),"-","")," ",""),"(",""),")",""),"+",""))</f>
      </c>
      <c r="Q14" s="6">
        <f>IF(P14="","",IF(LEN(P14)&lt;&gt;14,"ERRO: "&amp;LEN(P14)&amp;" dígitos",IF(NOT(ISNUMBER(VALUE(P14))),"ERRO: não numérico",IF(LEN(SUBSTITUTE(P14,LEFT(P14,1),""))=0,"ERRO: dígitos repetidos",IF(AND(VALUE(MID(P14,13,1))=IF(MOD(SUMPRODUCT(--MID(P14,{1,2,3,4,5,6,7,8,9,10,11,12},1),{5,4,3,2,9,8,7,6,5,4,3,2}),11)&lt;2,0,11-MOD(SUMPRODUCT(--MID(P14,{1,2,3,4,5,6,7,8,9,10,11,12},1),{5,4,3,2,9,8,7,6,5,4,3,2}),11)),VALUE(MID(P14,14,1))=IF(MOD(SUMPRODUCT(--MID(P14,{1,2,3,4,5,6,7,8,9,10,11,12,13},1),{6,5,4,3,2,9,8,7,6,5,4,3,2}),11)&lt;2,0,11-MOD(SUMPRODUCT(--MID(P14,{1,2,3,4,5,6,7,8,9,10,11,12,13},1),{6,5,4,3,2,9,8,7,6,5,4,3,2}),11))),"OK","ERRO: dígito verificador")))))</f>
      </c>
      <c r="R14" s="6">
        <f>IF(P14="","",IF(COUNTIF($P$2:$P$1001,P14)&gt;1,"DUPLICADO","OK"))</f>
      </c>
      <c r="S14" s="6">
        <f>IF(AND(J14="",K14=""),"vazio",IF(AND(OR(J14="",LEN(SUBSTITUTE(SUBSTITUTE(SUBSTITUTE(SUBSTITUTE(SUBSTITUTE(SUBSTITUTE(SUBSTITUTE(TRIM(J14),".",""),"/",""),"-","")," ",""),"(",""),")",""),"+",""))=10,LEN(SUBSTITUTE(SUBSTITUTE(SUBSTITUTE(SUBSTITUTE(SUBSTITUTE(SUBSTITUTE(SUBSTITUTE(TRIM(J14),".",""),"/",""),"-","")," ",""),"(",""),")",""),"+",""))=11),OR(K14="",LEN(SUBSTITUTE(SUBSTITUTE(SUBSTITUTE(SUBSTITUTE(SUBSTITUTE(SUBSTITUTE(SUBSTITUTE(TRIM(K14),".",""),"/",""),"-","")," ",""),"(",""),")",""),"+",""))=10,LEN(SUBSTITUTE(SUBSTITUTE(SUBSTITUTE(SUBSTITUTE(SUBSTITUTE(SUBSTITUTE(SUBSTITUTE(TRIM(K14),".",""),"/",""),"-","")," ",""),"(",""),")",""),"+",""))=11)),"OK","ERRO: use DDD + número (10 ou 11 dígitos)"))</f>
      </c>
      <c r="T14" s="6">
        <f>IF(L14="","vazio",IF(AND(ISNUMBER(FIND("@",L14)),ISNUMBER(FIND(".",MID(L14,FIND("@",L14),99))),NOT(ISNUMBER(FIND(" ",TRIM(L14)))),NOT(ISNUMBER(FIND(";",L14))),NOT(ISNUMBER(FIND(",",L14)))),"OK","ERRO: um e-mail válido por linha"))</f>
      </c>
      <c r="U14" s="6">
        <f>IF(COUNTA(A14:O14)=0,"",IF(AND(B14&lt;&gt;"",C14&lt;&gt;"",D14&lt;&gt;"",E14&lt;&gt;"",H14&lt;&gt;"",OR(J14&lt;&gt;"",L14&lt;&gt;"")),"OK","ERRO: faltam "&amp;IF(B14="","Proprietário; ","")&amp;IF(C14="","Origem; ","")&amp;IF(D14="","CNPJ; ","")&amp;IF(E14="","Razão Social; ","")&amp;IF(H14="","Sobrenome; ","")&amp;IF(AND(J14="",L14=""),"telefone ou e-mail; ","")))</f>
      </c>
      <c r="V14" s="6">
        <f>IF(COUNTA(A14:O14)=0,"",IF(AND(Q14="OK",R14="OK",LEFT(S14,4)&lt;&gt;"ERRO",LEFT(T14,4)&lt;&gt;"ERRO",U14="OK"),"OK","REVISAR"))</f>
      </c>
    </row>
    <row r="15">
      <c r="A15" s="4"/>
      <c r="B15" s="5"/>
      <c r="C15" s="5"/>
      <c r="D15" s="5"/>
      <c r="E15" s="5"/>
      <c r="F15" s="4"/>
      <c r="G15" s="4"/>
      <c r="H15" s="5"/>
      <c r="I15" s="4"/>
      <c r="J15" s="4"/>
      <c r="K15" s="4"/>
      <c r="L15" s="4"/>
      <c r="M15" s="4"/>
      <c r="N15" s="4"/>
      <c r="O15" s="4"/>
      <c r="P15" s="6">
        <f>IF(D15="","",SUBSTITUTE(SUBSTITUTE(SUBSTITUTE(SUBSTITUTE(SUBSTITUTE(SUBSTITUTE(SUBSTITUTE(TRIM(D15),".",""),"/",""),"-","")," ",""),"(",""),")",""),"+",""))</f>
      </c>
      <c r="Q15" s="6">
        <f>IF(P15="","",IF(LEN(P15)&lt;&gt;14,"ERRO: "&amp;LEN(P15)&amp;" dígitos",IF(NOT(ISNUMBER(VALUE(P15))),"ERRO: não numérico",IF(LEN(SUBSTITUTE(P15,LEFT(P15,1),""))=0,"ERRO: dígitos repetidos",IF(AND(VALUE(MID(P15,13,1))=IF(MOD(SUMPRODUCT(--MID(P15,{1,2,3,4,5,6,7,8,9,10,11,12},1),{5,4,3,2,9,8,7,6,5,4,3,2}),11)&lt;2,0,11-MOD(SUMPRODUCT(--MID(P15,{1,2,3,4,5,6,7,8,9,10,11,12},1),{5,4,3,2,9,8,7,6,5,4,3,2}),11)),VALUE(MID(P15,14,1))=IF(MOD(SUMPRODUCT(--MID(P15,{1,2,3,4,5,6,7,8,9,10,11,12,13},1),{6,5,4,3,2,9,8,7,6,5,4,3,2}),11)&lt;2,0,11-MOD(SUMPRODUCT(--MID(P15,{1,2,3,4,5,6,7,8,9,10,11,12,13},1),{6,5,4,3,2,9,8,7,6,5,4,3,2}),11))),"OK","ERRO: dígito verificador")))))</f>
      </c>
      <c r="R15" s="6">
        <f>IF(P15="","",IF(COUNTIF($P$2:$P$1001,P15)&gt;1,"DUPLICADO","OK"))</f>
      </c>
      <c r="S15" s="6">
        <f>IF(AND(J15="",K15=""),"vazio",IF(AND(OR(J15="",LEN(SUBSTITUTE(SUBSTITUTE(SUBSTITUTE(SUBSTITUTE(SUBSTITUTE(SUBSTITUTE(SUBSTITUTE(TRIM(J15),".",""),"/",""),"-","")," ",""),"(",""),")",""),"+",""))=10,LEN(SUBSTITUTE(SUBSTITUTE(SUBSTITUTE(SUBSTITUTE(SUBSTITUTE(SUBSTITUTE(SUBSTITUTE(TRIM(J15),".",""),"/",""),"-","")," ",""),"(",""),")",""),"+",""))=11),OR(K15="",LEN(SUBSTITUTE(SUBSTITUTE(SUBSTITUTE(SUBSTITUTE(SUBSTITUTE(SUBSTITUTE(SUBSTITUTE(TRIM(K15),".",""),"/",""),"-","")," ",""),"(",""),")",""),"+",""))=10,LEN(SUBSTITUTE(SUBSTITUTE(SUBSTITUTE(SUBSTITUTE(SUBSTITUTE(SUBSTITUTE(SUBSTITUTE(TRIM(K15),".",""),"/",""),"-","")," ",""),"(",""),")",""),"+",""))=11)),"OK","ERRO: use DDD + número (10 ou 11 dígitos)"))</f>
      </c>
      <c r="T15" s="6">
        <f>IF(L15="","vazio",IF(AND(ISNUMBER(FIND("@",L15)),ISNUMBER(FIND(".",MID(L15,FIND("@",L15),99))),NOT(ISNUMBER(FIND(" ",TRIM(L15)))),NOT(ISNUMBER(FIND(";",L15))),NOT(ISNUMBER(FIND(",",L15)))),"OK","ERRO: um e-mail válido por linha"))</f>
      </c>
      <c r="U15" s="6">
        <f>IF(COUNTA(A15:O15)=0,"",IF(AND(B15&lt;&gt;"",C15&lt;&gt;"",D15&lt;&gt;"",E15&lt;&gt;"",H15&lt;&gt;"",OR(J15&lt;&gt;"",L15&lt;&gt;"")),"OK","ERRO: faltam "&amp;IF(B15="","Proprietário; ","")&amp;IF(C15="","Origem; ","")&amp;IF(D15="","CNPJ; ","")&amp;IF(E15="","Razão Social; ","")&amp;IF(H15="","Sobrenome; ","")&amp;IF(AND(J15="",L15=""),"telefone ou e-mail; ","")))</f>
      </c>
      <c r="V15" s="6">
        <f>IF(COUNTA(A15:O15)=0,"",IF(AND(Q15="OK",R15="OK",LEFT(S15,4)&lt;&gt;"ERRO",LEFT(T15,4)&lt;&gt;"ERRO",U15="OK"),"OK","REVISAR"))</f>
      </c>
    </row>
    <row r="16">
      <c r="A16" s="4"/>
      <c r="B16" s="5"/>
      <c r="C16" s="5"/>
      <c r="D16" s="5"/>
      <c r="E16" s="5"/>
      <c r="F16" s="4"/>
      <c r="G16" s="4"/>
      <c r="H16" s="5"/>
      <c r="I16" s="4"/>
      <c r="J16" s="4"/>
      <c r="K16" s="4"/>
      <c r="L16" s="4"/>
      <c r="M16" s="4"/>
      <c r="N16" s="4"/>
      <c r="O16" s="4"/>
      <c r="P16" s="6">
        <f>IF(D16="","",SUBSTITUTE(SUBSTITUTE(SUBSTITUTE(SUBSTITUTE(SUBSTITUTE(SUBSTITUTE(SUBSTITUTE(TRIM(D16),".",""),"/",""),"-","")," ",""),"(",""),")",""),"+",""))</f>
      </c>
      <c r="Q16" s="6">
        <f>IF(P16="","",IF(LEN(P16)&lt;&gt;14,"ERRO: "&amp;LEN(P16)&amp;" dígitos",IF(NOT(ISNUMBER(VALUE(P16))),"ERRO: não numérico",IF(LEN(SUBSTITUTE(P16,LEFT(P16,1),""))=0,"ERRO: dígitos repetidos",IF(AND(VALUE(MID(P16,13,1))=IF(MOD(SUMPRODUCT(--MID(P16,{1,2,3,4,5,6,7,8,9,10,11,12},1),{5,4,3,2,9,8,7,6,5,4,3,2}),11)&lt;2,0,11-MOD(SUMPRODUCT(--MID(P16,{1,2,3,4,5,6,7,8,9,10,11,12},1),{5,4,3,2,9,8,7,6,5,4,3,2}),11)),VALUE(MID(P16,14,1))=IF(MOD(SUMPRODUCT(--MID(P16,{1,2,3,4,5,6,7,8,9,10,11,12,13},1),{6,5,4,3,2,9,8,7,6,5,4,3,2}),11)&lt;2,0,11-MOD(SUMPRODUCT(--MID(P16,{1,2,3,4,5,6,7,8,9,10,11,12,13},1),{6,5,4,3,2,9,8,7,6,5,4,3,2}),11))),"OK","ERRO: dígito verificador")))))</f>
      </c>
      <c r="R16" s="6">
        <f>IF(P16="","",IF(COUNTIF($P$2:$P$1001,P16)&gt;1,"DUPLICADO","OK"))</f>
      </c>
      <c r="S16" s="6">
        <f>IF(AND(J16="",K16=""),"vazio",IF(AND(OR(J16="",LEN(SUBSTITUTE(SUBSTITUTE(SUBSTITUTE(SUBSTITUTE(SUBSTITUTE(SUBSTITUTE(SUBSTITUTE(TRIM(J16),".",""),"/",""),"-","")," ",""),"(",""),")",""),"+",""))=10,LEN(SUBSTITUTE(SUBSTITUTE(SUBSTITUTE(SUBSTITUTE(SUBSTITUTE(SUBSTITUTE(SUBSTITUTE(TRIM(J16),".",""),"/",""),"-","")," ",""),"(",""),")",""),"+",""))=11),OR(K16="",LEN(SUBSTITUTE(SUBSTITUTE(SUBSTITUTE(SUBSTITUTE(SUBSTITUTE(SUBSTITUTE(SUBSTITUTE(TRIM(K16),".",""),"/",""),"-","")," ",""),"(",""),")",""),"+",""))=10,LEN(SUBSTITUTE(SUBSTITUTE(SUBSTITUTE(SUBSTITUTE(SUBSTITUTE(SUBSTITUTE(SUBSTITUTE(TRIM(K16),".",""),"/",""),"-","")," ",""),"(",""),")",""),"+",""))=11)),"OK","ERRO: use DDD + número (10 ou 11 dígitos)"))</f>
      </c>
      <c r="T16" s="6">
        <f>IF(L16="","vazio",IF(AND(ISNUMBER(FIND("@",L16)),ISNUMBER(FIND(".",MID(L16,FIND("@",L16),99))),NOT(ISNUMBER(FIND(" ",TRIM(L16)))),NOT(ISNUMBER(FIND(";",L16))),NOT(ISNUMBER(FIND(",",L16)))),"OK","ERRO: um e-mail válido por linha"))</f>
      </c>
      <c r="U16" s="6">
        <f>IF(COUNTA(A16:O16)=0,"",IF(AND(B16&lt;&gt;"",C16&lt;&gt;"",D16&lt;&gt;"",E16&lt;&gt;"",H16&lt;&gt;"",OR(J16&lt;&gt;"",L16&lt;&gt;"")),"OK","ERRO: faltam "&amp;IF(B16="","Proprietário; ","")&amp;IF(C16="","Origem; ","")&amp;IF(D16="","CNPJ; ","")&amp;IF(E16="","Razão Social; ","")&amp;IF(H16="","Sobrenome; ","")&amp;IF(AND(J16="",L16=""),"telefone ou e-mail; ","")))</f>
      </c>
      <c r="V16" s="6">
        <f>IF(COUNTA(A16:O16)=0,"",IF(AND(Q16="OK",R16="OK",LEFT(S16,4)&lt;&gt;"ERRO",LEFT(T16,4)&lt;&gt;"ERRO",U16="OK"),"OK","REVISAR"))</f>
      </c>
    </row>
    <row r="17">
      <c r="A17" s="4"/>
      <c r="B17" s="5"/>
      <c r="C17" s="5"/>
      <c r="D17" s="5"/>
      <c r="E17" s="5"/>
      <c r="F17" s="4"/>
      <c r="G17" s="4"/>
      <c r="H17" s="5"/>
      <c r="I17" s="4"/>
      <c r="J17" s="4"/>
      <c r="K17" s="4"/>
      <c r="L17" s="4"/>
      <c r="M17" s="4"/>
      <c r="N17" s="4"/>
      <c r="O17" s="4"/>
      <c r="P17" s="6">
        <f>IF(D17="","",SUBSTITUTE(SUBSTITUTE(SUBSTITUTE(SUBSTITUTE(SUBSTITUTE(SUBSTITUTE(SUBSTITUTE(TRIM(D17),".",""),"/",""),"-","")," ",""),"(",""),")",""),"+",""))</f>
      </c>
      <c r="Q17" s="6">
        <f>IF(P17="","",IF(LEN(P17)&lt;&gt;14,"ERRO: "&amp;LEN(P17)&amp;" dígitos",IF(NOT(ISNUMBER(VALUE(P17))),"ERRO: não numérico",IF(LEN(SUBSTITUTE(P17,LEFT(P17,1),""))=0,"ERRO: dígitos repetidos",IF(AND(VALUE(MID(P17,13,1))=IF(MOD(SUMPRODUCT(--MID(P17,{1,2,3,4,5,6,7,8,9,10,11,12},1),{5,4,3,2,9,8,7,6,5,4,3,2}),11)&lt;2,0,11-MOD(SUMPRODUCT(--MID(P17,{1,2,3,4,5,6,7,8,9,10,11,12},1),{5,4,3,2,9,8,7,6,5,4,3,2}),11)),VALUE(MID(P17,14,1))=IF(MOD(SUMPRODUCT(--MID(P17,{1,2,3,4,5,6,7,8,9,10,11,12,13},1),{6,5,4,3,2,9,8,7,6,5,4,3,2}),11)&lt;2,0,11-MOD(SUMPRODUCT(--MID(P17,{1,2,3,4,5,6,7,8,9,10,11,12,13},1),{6,5,4,3,2,9,8,7,6,5,4,3,2}),11))),"OK","ERRO: dígito verificador")))))</f>
      </c>
      <c r="R17" s="6">
        <f>IF(P17="","",IF(COUNTIF($P$2:$P$1001,P17)&gt;1,"DUPLICADO","OK"))</f>
      </c>
      <c r="S17" s="6">
        <f>IF(AND(J17="",K17=""),"vazio",IF(AND(OR(J17="",LEN(SUBSTITUTE(SUBSTITUTE(SUBSTITUTE(SUBSTITUTE(SUBSTITUTE(SUBSTITUTE(SUBSTITUTE(TRIM(J17),".",""),"/",""),"-","")," ",""),"(",""),")",""),"+",""))=10,LEN(SUBSTITUTE(SUBSTITUTE(SUBSTITUTE(SUBSTITUTE(SUBSTITUTE(SUBSTITUTE(SUBSTITUTE(TRIM(J17),".",""),"/",""),"-","")," ",""),"(",""),")",""),"+",""))=11),OR(K17="",LEN(SUBSTITUTE(SUBSTITUTE(SUBSTITUTE(SUBSTITUTE(SUBSTITUTE(SUBSTITUTE(SUBSTITUTE(TRIM(K17),".",""),"/",""),"-","")," ",""),"(",""),")",""),"+",""))=10,LEN(SUBSTITUTE(SUBSTITUTE(SUBSTITUTE(SUBSTITUTE(SUBSTITUTE(SUBSTITUTE(SUBSTITUTE(TRIM(K17),".",""),"/",""),"-","")," ",""),"(",""),")",""),"+",""))=11)),"OK","ERRO: use DDD + número (10 ou 11 dígitos)"))</f>
      </c>
      <c r="T17" s="6">
        <f>IF(L17="","vazio",IF(AND(ISNUMBER(FIND("@",L17)),ISNUMBER(FIND(".",MID(L17,FIND("@",L17),99))),NOT(ISNUMBER(FIND(" ",TRIM(L17)))),NOT(ISNUMBER(FIND(";",L17))),NOT(ISNUMBER(FIND(",",L17)))),"OK","ERRO: um e-mail válido por linha"))</f>
      </c>
      <c r="U17" s="6">
        <f>IF(COUNTA(A17:O17)=0,"",IF(AND(B17&lt;&gt;"",C17&lt;&gt;"",D17&lt;&gt;"",E17&lt;&gt;"",H17&lt;&gt;"",OR(J17&lt;&gt;"",L17&lt;&gt;"")),"OK","ERRO: faltam "&amp;IF(B17="","Proprietário; ","")&amp;IF(C17="","Origem; ","")&amp;IF(D17="","CNPJ; ","")&amp;IF(E17="","Razão Social; ","")&amp;IF(H17="","Sobrenome; ","")&amp;IF(AND(J17="",L17=""),"telefone ou e-mail; ","")))</f>
      </c>
      <c r="V17" s="6">
        <f>IF(COUNTA(A17:O17)=0,"",IF(AND(Q17="OK",R17="OK",LEFT(S17,4)&lt;&gt;"ERRO",LEFT(T17,4)&lt;&gt;"ERRO",U17="OK"),"OK","REVISAR"))</f>
      </c>
    </row>
    <row r="18">
      <c r="A18" s="4"/>
      <c r="B18" s="5"/>
      <c r="C18" s="5"/>
      <c r="D18" s="5"/>
      <c r="E18" s="5"/>
      <c r="F18" s="4"/>
      <c r="G18" s="4"/>
      <c r="H18" s="5"/>
      <c r="I18" s="4"/>
      <c r="J18" s="4"/>
      <c r="K18" s="4"/>
      <c r="L18" s="4"/>
      <c r="M18" s="4"/>
      <c r="N18" s="4"/>
      <c r="O18" s="4"/>
      <c r="P18" s="6">
        <f>IF(D18="","",SUBSTITUTE(SUBSTITUTE(SUBSTITUTE(SUBSTITUTE(SUBSTITUTE(SUBSTITUTE(SUBSTITUTE(TRIM(D18),".",""),"/",""),"-","")," ",""),"(",""),")",""),"+",""))</f>
      </c>
      <c r="Q18" s="6">
        <f>IF(P18="","",IF(LEN(P18)&lt;&gt;14,"ERRO: "&amp;LEN(P18)&amp;" dígitos",IF(NOT(ISNUMBER(VALUE(P18))),"ERRO: não numérico",IF(LEN(SUBSTITUTE(P18,LEFT(P18,1),""))=0,"ERRO: dígitos repetidos",IF(AND(VALUE(MID(P18,13,1))=IF(MOD(SUMPRODUCT(--MID(P18,{1,2,3,4,5,6,7,8,9,10,11,12},1),{5,4,3,2,9,8,7,6,5,4,3,2}),11)&lt;2,0,11-MOD(SUMPRODUCT(--MID(P18,{1,2,3,4,5,6,7,8,9,10,11,12},1),{5,4,3,2,9,8,7,6,5,4,3,2}),11)),VALUE(MID(P18,14,1))=IF(MOD(SUMPRODUCT(--MID(P18,{1,2,3,4,5,6,7,8,9,10,11,12,13},1),{6,5,4,3,2,9,8,7,6,5,4,3,2}),11)&lt;2,0,11-MOD(SUMPRODUCT(--MID(P18,{1,2,3,4,5,6,7,8,9,10,11,12,13},1),{6,5,4,3,2,9,8,7,6,5,4,3,2}),11))),"OK","ERRO: dígito verificador")))))</f>
      </c>
      <c r="R18" s="6">
        <f>IF(P18="","",IF(COUNTIF($P$2:$P$1001,P18)&gt;1,"DUPLICADO","OK"))</f>
      </c>
      <c r="S18" s="6">
        <f>IF(AND(J18="",K18=""),"vazio",IF(AND(OR(J18="",LEN(SUBSTITUTE(SUBSTITUTE(SUBSTITUTE(SUBSTITUTE(SUBSTITUTE(SUBSTITUTE(SUBSTITUTE(TRIM(J18),".",""),"/",""),"-","")," ",""),"(",""),")",""),"+",""))=10,LEN(SUBSTITUTE(SUBSTITUTE(SUBSTITUTE(SUBSTITUTE(SUBSTITUTE(SUBSTITUTE(SUBSTITUTE(TRIM(J18),".",""),"/",""),"-","")," ",""),"(",""),")",""),"+",""))=11),OR(K18="",LEN(SUBSTITUTE(SUBSTITUTE(SUBSTITUTE(SUBSTITUTE(SUBSTITUTE(SUBSTITUTE(SUBSTITUTE(TRIM(K18),".",""),"/",""),"-","")," ",""),"(",""),")",""),"+",""))=10,LEN(SUBSTITUTE(SUBSTITUTE(SUBSTITUTE(SUBSTITUTE(SUBSTITUTE(SUBSTITUTE(SUBSTITUTE(TRIM(K18),".",""),"/",""),"-","")," ",""),"(",""),")",""),"+",""))=11)),"OK","ERRO: use DDD + número (10 ou 11 dígitos)"))</f>
      </c>
      <c r="T18" s="6">
        <f>IF(L18="","vazio",IF(AND(ISNUMBER(FIND("@",L18)),ISNUMBER(FIND(".",MID(L18,FIND("@",L18),99))),NOT(ISNUMBER(FIND(" ",TRIM(L18)))),NOT(ISNUMBER(FIND(";",L18))),NOT(ISNUMBER(FIND(",",L18)))),"OK","ERRO: um e-mail válido por linha"))</f>
      </c>
      <c r="U18" s="6">
        <f>IF(COUNTA(A18:O18)=0,"",IF(AND(B18&lt;&gt;"",C18&lt;&gt;"",D18&lt;&gt;"",E18&lt;&gt;"",H18&lt;&gt;"",OR(J18&lt;&gt;"",L18&lt;&gt;"")),"OK","ERRO: faltam "&amp;IF(B18="","Proprietário; ","")&amp;IF(C18="","Origem; ","")&amp;IF(D18="","CNPJ; ","")&amp;IF(E18="","Razão Social; ","")&amp;IF(H18="","Sobrenome; ","")&amp;IF(AND(J18="",L18=""),"telefone ou e-mail; ","")))</f>
      </c>
      <c r="V18" s="6">
        <f>IF(COUNTA(A18:O18)=0,"",IF(AND(Q18="OK",R18="OK",LEFT(S18,4)&lt;&gt;"ERRO",LEFT(T18,4)&lt;&gt;"ERRO",U18="OK"),"OK","REVISAR"))</f>
      </c>
    </row>
    <row r="19">
      <c r="A19" s="4"/>
      <c r="B19" s="5"/>
      <c r="C19" s="5"/>
      <c r="D19" s="5"/>
      <c r="E19" s="5"/>
      <c r="F19" s="4"/>
      <c r="G19" s="4"/>
      <c r="H19" s="5"/>
      <c r="I19" s="4"/>
      <c r="J19" s="4"/>
      <c r="K19" s="4"/>
      <c r="L19" s="4"/>
      <c r="M19" s="4"/>
      <c r="N19" s="4"/>
      <c r="O19" s="4"/>
      <c r="P19" s="6">
        <f>IF(D19="","",SUBSTITUTE(SUBSTITUTE(SUBSTITUTE(SUBSTITUTE(SUBSTITUTE(SUBSTITUTE(SUBSTITUTE(TRIM(D19),".",""),"/",""),"-","")," ",""),"(",""),")",""),"+",""))</f>
      </c>
      <c r="Q19" s="6">
        <f>IF(P19="","",IF(LEN(P19)&lt;&gt;14,"ERRO: "&amp;LEN(P19)&amp;" dígitos",IF(NOT(ISNUMBER(VALUE(P19))),"ERRO: não numérico",IF(LEN(SUBSTITUTE(P19,LEFT(P19,1),""))=0,"ERRO: dígitos repetidos",IF(AND(VALUE(MID(P19,13,1))=IF(MOD(SUMPRODUCT(--MID(P19,{1,2,3,4,5,6,7,8,9,10,11,12},1),{5,4,3,2,9,8,7,6,5,4,3,2}),11)&lt;2,0,11-MOD(SUMPRODUCT(--MID(P19,{1,2,3,4,5,6,7,8,9,10,11,12},1),{5,4,3,2,9,8,7,6,5,4,3,2}),11)),VALUE(MID(P19,14,1))=IF(MOD(SUMPRODUCT(--MID(P19,{1,2,3,4,5,6,7,8,9,10,11,12,13},1),{6,5,4,3,2,9,8,7,6,5,4,3,2}),11)&lt;2,0,11-MOD(SUMPRODUCT(--MID(P19,{1,2,3,4,5,6,7,8,9,10,11,12,13},1),{6,5,4,3,2,9,8,7,6,5,4,3,2}),11))),"OK","ERRO: dígito verificador")))))</f>
      </c>
      <c r="R19" s="6">
        <f>IF(P19="","",IF(COUNTIF($P$2:$P$1001,P19)&gt;1,"DUPLICADO","OK"))</f>
      </c>
      <c r="S19" s="6">
        <f>IF(AND(J19="",K19=""),"vazio",IF(AND(OR(J19="",LEN(SUBSTITUTE(SUBSTITUTE(SUBSTITUTE(SUBSTITUTE(SUBSTITUTE(SUBSTITUTE(SUBSTITUTE(TRIM(J19),".",""),"/",""),"-","")," ",""),"(",""),")",""),"+",""))=10,LEN(SUBSTITUTE(SUBSTITUTE(SUBSTITUTE(SUBSTITUTE(SUBSTITUTE(SUBSTITUTE(SUBSTITUTE(TRIM(J19),".",""),"/",""),"-","")," ",""),"(",""),")",""),"+",""))=11),OR(K19="",LEN(SUBSTITUTE(SUBSTITUTE(SUBSTITUTE(SUBSTITUTE(SUBSTITUTE(SUBSTITUTE(SUBSTITUTE(TRIM(K19),".",""),"/",""),"-","")," ",""),"(",""),")",""),"+",""))=10,LEN(SUBSTITUTE(SUBSTITUTE(SUBSTITUTE(SUBSTITUTE(SUBSTITUTE(SUBSTITUTE(SUBSTITUTE(TRIM(K19),".",""),"/",""),"-","")," ",""),"(",""),")",""),"+",""))=11)),"OK","ERRO: use DDD + número (10 ou 11 dígitos)"))</f>
      </c>
      <c r="T19" s="6">
        <f>IF(L19="","vazio",IF(AND(ISNUMBER(FIND("@",L19)),ISNUMBER(FIND(".",MID(L19,FIND("@",L19),99))),NOT(ISNUMBER(FIND(" ",TRIM(L19)))),NOT(ISNUMBER(FIND(";",L19))),NOT(ISNUMBER(FIND(",",L19)))),"OK","ERRO: um e-mail válido por linha"))</f>
      </c>
      <c r="U19" s="6">
        <f>IF(COUNTA(A19:O19)=0,"",IF(AND(B19&lt;&gt;"",C19&lt;&gt;"",D19&lt;&gt;"",E19&lt;&gt;"",H19&lt;&gt;"",OR(J19&lt;&gt;"",L19&lt;&gt;"")),"OK","ERRO: faltam "&amp;IF(B19="","Proprietário; ","")&amp;IF(C19="","Origem; ","")&amp;IF(D19="","CNPJ; ","")&amp;IF(E19="","Razão Social; ","")&amp;IF(H19="","Sobrenome; ","")&amp;IF(AND(J19="",L19=""),"telefone ou e-mail; ","")))</f>
      </c>
      <c r="V19" s="6">
        <f>IF(COUNTA(A19:O19)=0,"",IF(AND(Q19="OK",R19="OK",LEFT(S19,4)&lt;&gt;"ERRO",LEFT(T19,4)&lt;&gt;"ERRO",U19="OK"),"OK","REVISAR"))</f>
      </c>
    </row>
    <row r="20">
      <c r="A20" s="4"/>
      <c r="B20" s="5"/>
      <c r="C20" s="5"/>
      <c r="D20" s="5"/>
      <c r="E20" s="5"/>
      <c r="F20" s="4"/>
      <c r="G20" s="4"/>
      <c r="H20" s="5"/>
      <c r="I20" s="4"/>
      <c r="J20" s="4"/>
      <c r="K20" s="4"/>
      <c r="L20" s="4"/>
      <c r="M20" s="4"/>
      <c r="N20" s="4"/>
      <c r="O20" s="4"/>
      <c r="P20" s="6">
        <f>IF(D20="","",SUBSTITUTE(SUBSTITUTE(SUBSTITUTE(SUBSTITUTE(SUBSTITUTE(SUBSTITUTE(SUBSTITUTE(TRIM(D20),".",""),"/",""),"-","")," ",""),"(",""),")",""),"+",""))</f>
      </c>
      <c r="Q20" s="6">
        <f>IF(P20="","",IF(LEN(P20)&lt;&gt;14,"ERRO: "&amp;LEN(P20)&amp;" dígitos",IF(NOT(ISNUMBER(VALUE(P20))),"ERRO: não numérico",IF(LEN(SUBSTITUTE(P20,LEFT(P20,1),""))=0,"ERRO: dígitos repetidos",IF(AND(VALUE(MID(P20,13,1))=IF(MOD(SUMPRODUCT(--MID(P20,{1,2,3,4,5,6,7,8,9,10,11,12},1),{5,4,3,2,9,8,7,6,5,4,3,2}),11)&lt;2,0,11-MOD(SUMPRODUCT(--MID(P20,{1,2,3,4,5,6,7,8,9,10,11,12},1),{5,4,3,2,9,8,7,6,5,4,3,2}),11)),VALUE(MID(P20,14,1))=IF(MOD(SUMPRODUCT(--MID(P20,{1,2,3,4,5,6,7,8,9,10,11,12,13},1),{6,5,4,3,2,9,8,7,6,5,4,3,2}),11)&lt;2,0,11-MOD(SUMPRODUCT(--MID(P20,{1,2,3,4,5,6,7,8,9,10,11,12,13},1),{6,5,4,3,2,9,8,7,6,5,4,3,2}),11))),"OK","ERRO: dígito verificador")))))</f>
      </c>
      <c r="R20" s="6">
        <f>IF(P20="","",IF(COUNTIF($P$2:$P$1001,P20)&gt;1,"DUPLICADO","OK"))</f>
      </c>
      <c r="S20" s="6">
        <f>IF(AND(J20="",K20=""),"vazio",IF(AND(OR(J20="",LEN(SUBSTITUTE(SUBSTITUTE(SUBSTITUTE(SUBSTITUTE(SUBSTITUTE(SUBSTITUTE(SUBSTITUTE(TRIM(J20),".",""),"/",""),"-","")," ",""),"(",""),")",""),"+",""))=10,LEN(SUBSTITUTE(SUBSTITUTE(SUBSTITUTE(SUBSTITUTE(SUBSTITUTE(SUBSTITUTE(SUBSTITUTE(TRIM(J20),".",""),"/",""),"-","")," ",""),"(",""),")",""),"+",""))=11),OR(K20="",LEN(SUBSTITUTE(SUBSTITUTE(SUBSTITUTE(SUBSTITUTE(SUBSTITUTE(SUBSTITUTE(SUBSTITUTE(TRIM(K20),".",""),"/",""),"-","")," ",""),"(",""),")",""),"+",""))=10,LEN(SUBSTITUTE(SUBSTITUTE(SUBSTITUTE(SUBSTITUTE(SUBSTITUTE(SUBSTITUTE(SUBSTITUTE(TRIM(K20),".",""),"/",""),"-","")," ",""),"(",""),")",""),"+",""))=11)),"OK","ERRO: use DDD + número (10 ou 11 dígitos)"))</f>
      </c>
      <c r="T20" s="6">
        <f>IF(L20="","vazio",IF(AND(ISNUMBER(FIND("@",L20)),ISNUMBER(FIND(".",MID(L20,FIND("@",L20),99))),NOT(ISNUMBER(FIND(" ",TRIM(L20)))),NOT(ISNUMBER(FIND(";",L20))),NOT(ISNUMBER(FIND(",",L20)))),"OK","ERRO: um e-mail válido por linha"))</f>
      </c>
      <c r="U20" s="6">
        <f>IF(COUNTA(A20:O20)=0,"",IF(AND(B20&lt;&gt;"",C20&lt;&gt;"",D20&lt;&gt;"",E20&lt;&gt;"",H20&lt;&gt;"",OR(J20&lt;&gt;"",L20&lt;&gt;"")),"OK","ERRO: faltam "&amp;IF(B20="","Proprietário; ","")&amp;IF(C20="","Origem; ","")&amp;IF(D20="","CNPJ; ","")&amp;IF(E20="","Razão Social; ","")&amp;IF(H20="","Sobrenome; ","")&amp;IF(AND(J20="",L20=""),"telefone ou e-mail; ","")))</f>
      </c>
      <c r="V20" s="6">
        <f>IF(COUNTA(A20:O20)=0,"",IF(AND(Q20="OK",R20="OK",LEFT(S20,4)&lt;&gt;"ERRO",LEFT(T20,4)&lt;&gt;"ERRO",U20="OK"),"OK","REVISAR"))</f>
      </c>
    </row>
    <row r="21">
      <c r="A21" s="4"/>
      <c r="B21" s="5"/>
      <c r="C21" s="5"/>
      <c r="D21" s="5"/>
      <c r="E21" s="5"/>
      <c r="F21" s="4"/>
      <c r="G21" s="4"/>
      <c r="H21" s="5"/>
      <c r="I21" s="4"/>
      <c r="J21" s="4"/>
      <c r="K21" s="4"/>
      <c r="L21" s="4"/>
      <c r="M21" s="4"/>
      <c r="N21" s="4"/>
      <c r="O21" s="4"/>
      <c r="P21" s="6">
        <f>IF(D21="","",SUBSTITUTE(SUBSTITUTE(SUBSTITUTE(SUBSTITUTE(SUBSTITUTE(SUBSTITUTE(SUBSTITUTE(TRIM(D21),".",""),"/",""),"-","")," ",""),"(",""),")",""),"+",""))</f>
      </c>
      <c r="Q21" s="6">
        <f>IF(P21="","",IF(LEN(P21)&lt;&gt;14,"ERRO: "&amp;LEN(P21)&amp;" dígitos",IF(NOT(ISNUMBER(VALUE(P21))),"ERRO: não numérico",IF(LEN(SUBSTITUTE(P21,LEFT(P21,1),""))=0,"ERRO: dígitos repetidos",IF(AND(VALUE(MID(P21,13,1))=IF(MOD(SUMPRODUCT(--MID(P21,{1,2,3,4,5,6,7,8,9,10,11,12},1),{5,4,3,2,9,8,7,6,5,4,3,2}),11)&lt;2,0,11-MOD(SUMPRODUCT(--MID(P21,{1,2,3,4,5,6,7,8,9,10,11,12},1),{5,4,3,2,9,8,7,6,5,4,3,2}),11)),VALUE(MID(P21,14,1))=IF(MOD(SUMPRODUCT(--MID(P21,{1,2,3,4,5,6,7,8,9,10,11,12,13},1),{6,5,4,3,2,9,8,7,6,5,4,3,2}),11)&lt;2,0,11-MOD(SUMPRODUCT(--MID(P21,{1,2,3,4,5,6,7,8,9,10,11,12,13},1),{6,5,4,3,2,9,8,7,6,5,4,3,2}),11))),"OK","ERRO: dígito verificador")))))</f>
      </c>
      <c r="R21" s="6">
        <f>IF(P21="","",IF(COUNTIF($P$2:$P$1001,P21)&gt;1,"DUPLICADO","OK"))</f>
      </c>
      <c r="S21" s="6">
        <f>IF(AND(J21="",K21=""),"vazio",IF(AND(OR(J21="",LEN(SUBSTITUTE(SUBSTITUTE(SUBSTITUTE(SUBSTITUTE(SUBSTITUTE(SUBSTITUTE(SUBSTITUTE(TRIM(J21),".",""),"/",""),"-","")," ",""),"(",""),")",""),"+",""))=10,LEN(SUBSTITUTE(SUBSTITUTE(SUBSTITUTE(SUBSTITUTE(SUBSTITUTE(SUBSTITUTE(SUBSTITUTE(TRIM(J21),".",""),"/",""),"-","")," ",""),"(",""),")",""),"+",""))=11),OR(K21="",LEN(SUBSTITUTE(SUBSTITUTE(SUBSTITUTE(SUBSTITUTE(SUBSTITUTE(SUBSTITUTE(SUBSTITUTE(TRIM(K21),".",""),"/",""),"-","")," ",""),"(",""),")",""),"+",""))=10,LEN(SUBSTITUTE(SUBSTITUTE(SUBSTITUTE(SUBSTITUTE(SUBSTITUTE(SUBSTITUTE(SUBSTITUTE(TRIM(K21),".",""),"/",""),"-","")," ",""),"(",""),")",""),"+",""))=11)),"OK","ERRO: use DDD + número (10 ou 11 dígitos)"))</f>
      </c>
      <c r="T21" s="6">
        <f>IF(L21="","vazio",IF(AND(ISNUMBER(FIND("@",L21)),ISNUMBER(FIND(".",MID(L21,FIND("@",L21),99))),NOT(ISNUMBER(FIND(" ",TRIM(L21)))),NOT(ISNUMBER(FIND(";",L21))),NOT(ISNUMBER(FIND(",",L21)))),"OK","ERRO: um e-mail válido por linha"))</f>
      </c>
      <c r="U21" s="6">
        <f>IF(COUNTA(A21:O21)=0,"",IF(AND(B21&lt;&gt;"",C21&lt;&gt;"",D21&lt;&gt;"",E21&lt;&gt;"",H21&lt;&gt;"",OR(J21&lt;&gt;"",L21&lt;&gt;"")),"OK","ERRO: faltam "&amp;IF(B21="","Proprietário; ","")&amp;IF(C21="","Origem; ","")&amp;IF(D21="","CNPJ; ","")&amp;IF(E21="","Razão Social; ","")&amp;IF(H21="","Sobrenome; ","")&amp;IF(AND(J21="",L21=""),"telefone ou e-mail; ","")))</f>
      </c>
      <c r="V21" s="6">
        <f>IF(COUNTA(A21:O21)=0,"",IF(AND(Q21="OK",R21="OK",LEFT(S21,4)&lt;&gt;"ERRO",LEFT(T21,4)&lt;&gt;"ERRO",U21="OK"),"OK","REVISAR"))</f>
      </c>
    </row>
    <row r="22">
      <c r="A22" s="4"/>
      <c r="B22" s="5"/>
      <c r="C22" s="5"/>
      <c r="D22" s="5"/>
      <c r="E22" s="5"/>
      <c r="F22" s="4"/>
      <c r="G22" s="4"/>
      <c r="H22" s="5"/>
      <c r="I22" s="4"/>
      <c r="J22" s="4"/>
      <c r="K22" s="4"/>
      <c r="L22" s="4"/>
      <c r="M22" s="4"/>
      <c r="N22" s="4"/>
      <c r="O22" s="4"/>
      <c r="P22" s="6">
        <f>IF(D22="","",SUBSTITUTE(SUBSTITUTE(SUBSTITUTE(SUBSTITUTE(SUBSTITUTE(SUBSTITUTE(SUBSTITUTE(TRIM(D22),".",""),"/",""),"-","")," ",""),"(",""),")",""),"+",""))</f>
      </c>
      <c r="Q22" s="6">
        <f>IF(P22="","",IF(LEN(P22)&lt;&gt;14,"ERRO: "&amp;LEN(P22)&amp;" dígitos",IF(NOT(ISNUMBER(VALUE(P22))),"ERRO: não numérico",IF(LEN(SUBSTITUTE(P22,LEFT(P22,1),""))=0,"ERRO: dígitos repetidos",IF(AND(VALUE(MID(P22,13,1))=IF(MOD(SUMPRODUCT(--MID(P22,{1,2,3,4,5,6,7,8,9,10,11,12},1),{5,4,3,2,9,8,7,6,5,4,3,2}),11)&lt;2,0,11-MOD(SUMPRODUCT(--MID(P22,{1,2,3,4,5,6,7,8,9,10,11,12},1),{5,4,3,2,9,8,7,6,5,4,3,2}),11)),VALUE(MID(P22,14,1))=IF(MOD(SUMPRODUCT(--MID(P22,{1,2,3,4,5,6,7,8,9,10,11,12,13},1),{6,5,4,3,2,9,8,7,6,5,4,3,2}),11)&lt;2,0,11-MOD(SUMPRODUCT(--MID(P22,{1,2,3,4,5,6,7,8,9,10,11,12,13},1),{6,5,4,3,2,9,8,7,6,5,4,3,2}),11))),"OK","ERRO: dígito verificador")))))</f>
      </c>
      <c r="R22" s="6">
        <f>IF(P22="","",IF(COUNTIF($P$2:$P$1001,P22)&gt;1,"DUPLICADO","OK"))</f>
      </c>
      <c r="S22" s="6">
        <f>IF(AND(J22="",K22=""),"vazio",IF(AND(OR(J22="",LEN(SUBSTITUTE(SUBSTITUTE(SUBSTITUTE(SUBSTITUTE(SUBSTITUTE(SUBSTITUTE(SUBSTITUTE(TRIM(J22),".",""),"/",""),"-","")," ",""),"(",""),")",""),"+",""))=10,LEN(SUBSTITUTE(SUBSTITUTE(SUBSTITUTE(SUBSTITUTE(SUBSTITUTE(SUBSTITUTE(SUBSTITUTE(TRIM(J22),".",""),"/",""),"-","")," ",""),"(",""),")",""),"+",""))=11),OR(K22="",LEN(SUBSTITUTE(SUBSTITUTE(SUBSTITUTE(SUBSTITUTE(SUBSTITUTE(SUBSTITUTE(SUBSTITUTE(TRIM(K22),".",""),"/",""),"-","")," ",""),"(",""),")",""),"+",""))=10,LEN(SUBSTITUTE(SUBSTITUTE(SUBSTITUTE(SUBSTITUTE(SUBSTITUTE(SUBSTITUTE(SUBSTITUTE(TRIM(K22),".",""),"/",""),"-","")," ",""),"(",""),")",""),"+",""))=11)),"OK","ERRO: use DDD + número (10 ou 11 dígitos)"))</f>
      </c>
      <c r="T22" s="6">
        <f>IF(L22="","vazio",IF(AND(ISNUMBER(FIND("@",L22)),ISNUMBER(FIND(".",MID(L22,FIND("@",L22),99))),NOT(ISNUMBER(FIND(" ",TRIM(L22)))),NOT(ISNUMBER(FIND(";",L22))),NOT(ISNUMBER(FIND(",",L22)))),"OK","ERRO: um e-mail válido por linha"))</f>
      </c>
      <c r="U22" s="6">
        <f>IF(COUNTA(A22:O22)=0,"",IF(AND(B22&lt;&gt;"",C22&lt;&gt;"",D22&lt;&gt;"",E22&lt;&gt;"",H22&lt;&gt;"",OR(J22&lt;&gt;"",L22&lt;&gt;"")),"OK","ERRO: faltam "&amp;IF(B22="","Proprietário; ","")&amp;IF(C22="","Origem; ","")&amp;IF(D22="","CNPJ; ","")&amp;IF(E22="","Razão Social; ","")&amp;IF(H22="","Sobrenome; ","")&amp;IF(AND(J22="",L22=""),"telefone ou e-mail; ","")))</f>
      </c>
      <c r="V22" s="6">
        <f>IF(COUNTA(A22:O22)=0,"",IF(AND(Q22="OK",R22="OK",LEFT(S22,4)&lt;&gt;"ERRO",LEFT(T22,4)&lt;&gt;"ERRO",U22="OK"),"OK","REVISAR"))</f>
      </c>
    </row>
    <row r="23">
      <c r="A23" s="4"/>
      <c r="B23" s="5"/>
      <c r="C23" s="5"/>
      <c r="D23" s="5"/>
      <c r="E23" s="5"/>
      <c r="F23" s="4"/>
      <c r="G23" s="4"/>
      <c r="H23" s="5"/>
      <c r="I23" s="4"/>
      <c r="J23" s="4"/>
      <c r="K23" s="4"/>
      <c r="L23" s="4"/>
      <c r="M23" s="4"/>
      <c r="N23" s="4"/>
      <c r="O23" s="4"/>
      <c r="P23" s="6">
        <f>IF(D23="","",SUBSTITUTE(SUBSTITUTE(SUBSTITUTE(SUBSTITUTE(SUBSTITUTE(SUBSTITUTE(SUBSTITUTE(TRIM(D23),".",""),"/",""),"-","")," ",""),"(",""),")",""),"+",""))</f>
      </c>
      <c r="Q23" s="6">
        <f>IF(P23="","",IF(LEN(P23)&lt;&gt;14,"ERRO: "&amp;LEN(P23)&amp;" dígitos",IF(NOT(ISNUMBER(VALUE(P23))),"ERRO: não numérico",IF(LEN(SUBSTITUTE(P23,LEFT(P23,1),""))=0,"ERRO: dígitos repetidos",IF(AND(VALUE(MID(P23,13,1))=IF(MOD(SUMPRODUCT(--MID(P23,{1,2,3,4,5,6,7,8,9,10,11,12},1),{5,4,3,2,9,8,7,6,5,4,3,2}),11)&lt;2,0,11-MOD(SUMPRODUCT(--MID(P23,{1,2,3,4,5,6,7,8,9,10,11,12},1),{5,4,3,2,9,8,7,6,5,4,3,2}),11)),VALUE(MID(P23,14,1))=IF(MOD(SUMPRODUCT(--MID(P23,{1,2,3,4,5,6,7,8,9,10,11,12,13},1),{6,5,4,3,2,9,8,7,6,5,4,3,2}),11)&lt;2,0,11-MOD(SUMPRODUCT(--MID(P23,{1,2,3,4,5,6,7,8,9,10,11,12,13},1),{6,5,4,3,2,9,8,7,6,5,4,3,2}),11))),"OK","ERRO: dígito verificador")))))</f>
      </c>
      <c r="R23" s="6">
        <f>IF(P23="","",IF(COUNTIF($P$2:$P$1001,P23)&gt;1,"DUPLICADO","OK"))</f>
      </c>
      <c r="S23" s="6">
        <f>IF(AND(J23="",K23=""),"vazio",IF(AND(OR(J23="",LEN(SUBSTITUTE(SUBSTITUTE(SUBSTITUTE(SUBSTITUTE(SUBSTITUTE(SUBSTITUTE(SUBSTITUTE(TRIM(J23),".",""),"/",""),"-","")," ",""),"(",""),")",""),"+",""))=10,LEN(SUBSTITUTE(SUBSTITUTE(SUBSTITUTE(SUBSTITUTE(SUBSTITUTE(SUBSTITUTE(SUBSTITUTE(TRIM(J23),".",""),"/",""),"-","")," ",""),"(",""),")",""),"+",""))=11),OR(K23="",LEN(SUBSTITUTE(SUBSTITUTE(SUBSTITUTE(SUBSTITUTE(SUBSTITUTE(SUBSTITUTE(SUBSTITUTE(TRIM(K23),".",""),"/",""),"-","")," ",""),"(",""),")",""),"+",""))=10,LEN(SUBSTITUTE(SUBSTITUTE(SUBSTITUTE(SUBSTITUTE(SUBSTITUTE(SUBSTITUTE(SUBSTITUTE(TRIM(K23),".",""),"/",""),"-","")," ",""),"(",""),")",""),"+",""))=11)),"OK","ERRO: use DDD + número (10 ou 11 dígitos)"))</f>
      </c>
      <c r="T23" s="6">
        <f>IF(L23="","vazio",IF(AND(ISNUMBER(FIND("@",L23)),ISNUMBER(FIND(".",MID(L23,FIND("@",L23),99))),NOT(ISNUMBER(FIND(" ",TRIM(L23)))),NOT(ISNUMBER(FIND(";",L23))),NOT(ISNUMBER(FIND(",",L23)))),"OK","ERRO: um e-mail válido por linha"))</f>
      </c>
      <c r="U23" s="6">
        <f>IF(COUNTA(A23:O23)=0,"",IF(AND(B23&lt;&gt;"",C23&lt;&gt;"",D23&lt;&gt;"",E23&lt;&gt;"",H23&lt;&gt;"",OR(J23&lt;&gt;"",L23&lt;&gt;"")),"OK","ERRO: faltam "&amp;IF(B23="","Proprietário; ","")&amp;IF(C23="","Origem; ","")&amp;IF(D23="","CNPJ; ","")&amp;IF(E23="","Razão Social; ","")&amp;IF(H23="","Sobrenome; ","")&amp;IF(AND(J23="",L23=""),"telefone ou e-mail; ","")))</f>
      </c>
      <c r="V23" s="6">
        <f>IF(COUNTA(A23:O23)=0,"",IF(AND(Q23="OK",R23="OK",LEFT(S23,4)&lt;&gt;"ERRO",LEFT(T23,4)&lt;&gt;"ERRO",U23="OK"),"OK","REVISAR"))</f>
      </c>
    </row>
    <row r="24">
      <c r="A24" s="4"/>
      <c r="B24" s="5"/>
      <c r="C24" s="5"/>
      <c r="D24" s="5"/>
      <c r="E24" s="5"/>
      <c r="F24" s="4"/>
      <c r="G24" s="4"/>
      <c r="H24" s="5"/>
      <c r="I24" s="4"/>
      <c r="J24" s="4"/>
      <c r="K24" s="4"/>
      <c r="L24" s="4"/>
      <c r="M24" s="4"/>
      <c r="N24" s="4"/>
      <c r="O24" s="4"/>
      <c r="P24" s="6">
        <f>IF(D24="","",SUBSTITUTE(SUBSTITUTE(SUBSTITUTE(SUBSTITUTE(SUBSTITUTE(SUBSTITUTE(SUBSTITUTE(TRIM(D24),".",""),"/",""),"-","")," ",""),"(",""),")",""),"+",""))</f>
      </c>
      <c r="Q24" s="6">
        <f>IF(P24="","",IF(LEN(P24)&lt;&gt;14,"ERRO: "&amp;LEN(P24)&amp;" dígitos",IF(NOT(ISNUMBER(VALUE(P24))),"ERRO: não numérico",IF(LEN(SUBSTITUTE(P24,LEFT(P24,1),""))=0,"ERRO: dígitos repetidos",IF(AND(VALUE(MID(P24,13,1))=IF(MOD(SUMPRODUCT(--MID(P24,{1,2,3,4,5,6,7,8,9,10,11,12},1),{5,4,3,2,9,8,7,6,5,4,3,2}),11)&lt;2,0,11-MOD(SUMPRODUCT(--MID(P24,{1,2,3,4,5,6,7,8,9,10,11,12},1),{5,4,3,2,9,8,7,6,5,4,3,2}),11)),VALUE(MID(P24,14,1))=IF(MOD(SUMPRODUCT(--MID(P24,{1,2,3,4,5,6,7,8,9,10,11,12,13},1),{6,5,4,3,2,9,8,7,6,5,4,3,2}),11)&lt;2,0,11-MOD(SUMPRODUCT(--MID(P24,{1,2,3,4,5,6,7,8,9,10,11,12,13},1),{6,5,4,3,2,9,8,7,6,5,4,3,2}),11))),"OK","ERRO: dígito verificador")))))</f>
      </c>
      <c r="R24" s="6">
        <f>IF(P24="","",IF(COUNTIF($P$2:$P$1001,P24)&gt;1,"DUPLICADO","OK"))</f>
      </c>
      <c r="S24" s="6">
        <f>IF(AND(J24="",K24=""),"vazio",IF(AND(OR(J24="",LEN(SUBSTITUTE(SUBSTITUTE(SUBSTITUTE(SUBSTITUTE(SUBSTITUTE(SUBSTITUTE(SUBSTITUTE(TRIM(J24),".",""),"/",""),"-","")," ",""),"(",""),")",""),"+",""))=10,LEN(SUBSTITUTE(SUBSTITUTE(SUBSTITUTE(SUBSTITUTE(SUBSTITUTE(SUBSTITUTE(SUBSTITUTE(TRIM(J24),".",""),"/",""),"-","")," ",""),"(",""),")",""),"+",""))=11),OR(K24="",LEN(SUBSTITUTE(SUBSTITUTE(SUBSTITUTE(SUBSTITUTE(SUBSTITUTE(SUBSTITUTE(SUBSTITUTE(TRIM(K24),".",""),"/",""),"-","")," ",""),"(",""),")",""),"+",""))=10,LEN(SUBSTITUTE(SUBSTITUTE(SUBSTITUTE(SUBSTITUTE(SUBSTITUTE(SUBSTITUTE(SUBSTITUTE(TRIM(K24),".",""),"/",""),"-","")," ",""),"(",""),")",""),"+",""))=11)),"OK","ERRO: use DDD + número (10 ou 11 dígitos)"))</f>
      </c>
      <c r="T24" s="6">
        <f>IF(L24="","vazio",IF(AND(ISNUMBER(FIND("@",L24)),ISNUMBER(FIND(".",MID(L24,FIND("@",L24),99))),NOT(ISNUMBER(FIND(" ",TRIM(L24)))),NOT(ISNUMBER(FIND(";",L24))),NOT(ISNUMBER(FIND(",",L24)))),"OK","ERRO: um e-mail válido por linha"))</f>
      </c>
      <c r="U24" s="6">
        <f>IF(COUNTA(A24:O24)=0,"",IF(AND(B24&lt;&gt;"",C24&lt;&gt;"",D24&lt;&gt;"",E24&lt;&gt;"",H24&lt;&gt;"",OR(J24&lt;&gt;"",L24&lt;&gt;"")),"OK","ERRO: faltam "&amp;IF(B24="","Proprietário; ","")&amp;IF(C24="","Origem; ","")&amp;IF(D24="","CNPJ; ","")&amp;IF(E24="","Razão Social; ","")&amp;IF(H24="","Sobrenome; ","")&amp;IF(AND(J24="",L24=""),"telefone ou e-mail; ","")))</f>
      </c>
      <c r="V24" s="6">
        <f>IF(COUNTA(A24:O24)=0,"",IF(AND(Q24="OK",R24="OK",LEFT(S24,4)&lt;&gt;"ERRO",LEFT(T24,4)&lt;&gt;"ERRO",U24="OK"),"OK","REVISAR"))</f>
      </c>
    </row>
    <row r="25">
      <c r="A25" s="4"/>
      <c r="B25" s="5"/>
      <c r="C25" s="5"/>
      <c r="D25" s="5"/>
      <c r="E25" s="5"/>
      <c r="F25" s="4"/>
      <c r="G25" s="4"/>
      <c r="H25" s="5"/>
      <c r="I25" s="4"/>
      <c r="J25" s="4"/>
      <c r="K25" s="4"/>
      <c r="L25" s="4"/>
      <c r="M25" s="4"/>
      <c r="N25" s="4"/>
      <c r="O25" s="4"/>
      <c r="P25" s="6">
        <f>IF(D25="","",SUBSTITUTE(SUBSTITUTE(SUBSTITUTE(SUBSTITUTE(SUBSTITUTE(SUBSTITUTE(SUBSTITUTE(TRIM(D25),".",""),"/",""),"-","")," ",""),"(",""),")",""),"+",""))</f>
      </c>
      <c r="Q25" s="6">
        <f>IF(P25="","",IF(LEN(P25)&lt;&gt;14,"ERRO: "&amp;LEN(P25)&amp;" dígitos",IF(NOT(ISNUMBER(VALUE(P25))),"ERRO: não numérico",IF(LEN(SUBSTITUTE(P25,LEFT(P25,1),""))=0,"ERRO: dígitos repetidos",IF(AND(VALUE(MID(P25,13,1))=IF(MOD(SUMPRODUCT(--MID(P25,{1,2,3,4,5,6,7,8,9,10,11,12},1),{5,4,3,2,9,8,7,6,5,4,3,2}),11)&lt;2,0,11-MOD(SUMPRODUCT(--MID(P25,{1,2,3,4,5,6,7,8,9,10,11,12},1),{5,4,3,2,9,8,7,6,5,4,3,2}),11)),VALUE(MID(P25,14,1))=IF(MOD(SUMPRODUCT(--MID(P25,{1,2,3,4,5,6,7,8,9,10,11,12,13},1),{6,5,4,3,2,9,8,7,6,5,4,3,2}),11)&lt;2,0,11-MOD(SUMPRODUCT(--MID(P25,{1,2,3,4,5,6,7,8,9,10,11,12,13},1),{6,5,4,3,2,9,8,7,6,5,4,3,2}),11))),"OK","ERRO: dígito verificador")))))</f>
      </c>
      <c r="R25" s="6">
        <f>IF(P25="","",IF(COUNTIF($P$2:$P$1001,P25)&gt;1,"DUPLICADO","OK"))</f>
      </c>
      <c r="S25" s="6">
        <f>IF(AND(J25="",K25=""),"vazio",IF(AND(OR(J25="",LEN(SUBSTITUTE(SUBSTITUTE(SUBSTITUTE(SUBSTITUTE(SUBSTITUTE(SUBSTITUTE(SUBSTITUTE(TRIM(J25),".",""),"/",""),"-","")," ",""),"(",""),")",""),"+",""))=10,LEN(SUBSTITUTE(SUBSTITUTE(SUBSTITUTE(SUBSTITUTE(SUBSTITUTE(SUBSTITUTE(SUBSTITUTE(TRIM(J25),".",""),"/",""),"-","")," ",""),"(",""),")",""),"+",""))=11),OR(K25="",LEN(SUBSTITUTE(SUBSTITUTE(SUBSTITUTE(SUBSTITUTE(SUBSTITUTE(SUBSTITUTE(SUBSTITUTE(TRIM(K25),".",""),"/",""),"-","")," ",""),"(",""),")",""),"+",""))=10,LEN(SUBSTITUTE(SUBSTITUTE(SUBSTITUTE(SUBSTITUTE(SUBSTITUTE(SUBSTITUTE(SUBSTITUTE(TRIM(K25),".",""),"/",""),"-","")," ",""),"(",""),")",""),"+",""))=11)),"OK","ERRO: use DDD + número (10 ou 11 dígitos)"))</f>
      </c>
      <c r="T25" s="6">
        <f>IF(L25="","vazio",IF(AND(ISNUMBER(FIND("@",L25)),ISNUMBER(FIND(".",MID(L25,FIND("@",L25),99))),NOT(ISNUMBER(FIND(" ",TRIM(L25)))),NOT(ISNUMBER(FIND(";",L25))),NOT(ISNUMBER(FIND(",",L25)))),"OK","ERRO: um e-mail válido por linha"))</f>
      </c>
      <c r="U25" s="6">
        <f>IF(COUNTA(A25:O25)=0,"",IF(AND(B25&lt;&gt;"",C25&lt;&gt;"",D25&lt;&gt;"",E25&lt;&gt;"",H25&lt;&gt;"",OR(J25&lt;&gt;"",L25&lt;&gt;"")),"OK","ERRO: faltam "&amp;IF(B25="","Proprietário; ","")&amp;IF(C25="","Origem; ","")&amp;IF(D25="","CNPJ; ","")&amp;IF(E25="","Razão Social; ","")&amp;IF(H25="","Sobrenome; ","")&amp;IF(AND(J25="",L25=""),"telefone ou e-mail; ","")))</f>
      </c>
      <c r="V25" s="6">
        <f>IF(COUNTA(A25:O25)=0,"",IF(AND(Q25="OK",R25="OK",LEFT(S25,4)&lt;&gt;"ERRO",LEFT(T25,4)&lt;&gt;"ERRO",U25="OK"),"OK","REVISAR"))</f>
      </c>
    </row>
    <row r="26">
      <c r="A26" s="4"/>
      <c r="B26" s="5"/>
      <c r="C26" s="5"/>
      <c r="D26" s="5"/>
      <c r="E26" s="5"/>
      <c r="F26" s="4"/>
      <c r="G26" s="4"/>
      <c r="H26" s="5"/>
      <c r="I26" s="4"/>
      <c r="J26" s="4"/>
      <c r="K26" s="4"/>
      <c r="L26" s="4"/>
      <c r="M26" s="4"/>
      <c r="N26" s="4"/>
      <c r="O26" s="4"/>
      <c r="P26" s="6">
        <f>IF(D26="","",SUBSTITUTE(SUBSTITUTE(SUBSTITUTE(SUBSTITUTE(SUBSTITUTE(SUBSTITUTE(SUBSTITUTE(TRIM(D26),".",""),"/",""),"-","")," ",""),"(",""),")",""),"+",""))</f>
      </c>
      <c r="Q26" s="6">
        <f>IF(P26="","",IF(LEN(P26)&lt;&gt;14,"ERRO: "&amp;LEN(P26)&amp;" dígitos",IF(NOT(ISNUMBER(VALUE(P26))),"ERRO: não numérico",IF(LEN(SUBSTITUTE(P26,LEFT(P26,1),""))=0,"ERRO: dígitos repetidos",IF(AND(VALUE(MID(P26,13,1))=IF(MOD(SUMPRODUCT(--MID(P26,{1,2,3,4,5,6,7,8,9,10,11,12},1),{5,4,3,2,9,8,7,6,5,4,3,2}),11)&lt;2,0,11-MOD(SUMPRODUCT(--MID(P26,{1,2,3,4,5,6,7,8,9,10,11,12},1),{5,4,3,2,9,8,7,6,5,4,3,2}),11)),VALUE(MID(P26,14,1))=IF(MOD(SUMPRODUCT(--MID(P26,{1,2,3,4,5,6,7,8,9,10,11,12,13},1),{6,5,4,3,2,9,8,7,6,5,4,3,2}),11)&lt;2,0,11-MOD(SUMPRODUCT(--MID(P26,{1,2,3,4,5,6,7,8,9,10,11,12,13},1),{6,5,4,3,2,9,8,7,6,5,4,3,2}),11))),"OK","ERRO: dígito verificador")))))</f>
      </c>
      <c r="R26" s="6">
        <f>IF(P26="","",IF(COUNTIF($P$2:$P$1001,P26)&gt;1,"DUPLICADO","OK"))</f>
      </c>
      <c r="S26" s="6">
        <f>IF(AND(J26="",K26=""),"vazio",IF(AND(OR(J26="",LEN(SUBSTITUTE(SUBSTITUTE(SUBSTITUTE(SUBSTITUTE(SUBSTITUTE(SUBSTITUTE(SUBSTITUTE(TRIM(J26),".",""),"/",""),"-","")," ",""),"(",""),")",""),"+",""))=10,LEN(SUBSTITUTE(SUBSTITUTE(SUBSTITUTE(SUBSTITUTE(SUBSTITUTE(SUBSTITUTE(SUBSTITUTE(TRIM(J26),".",""),"/",""),"-","")," ",""),"(",""),")",""),"+",""))=11),OR(K26="",LEN(SUBSTITUTE(SUBSTITUTE(SUBSTITUTE(SUBSTITUTE(SUBSTITUTE(SUBSTITUTE(SUBSTITUTE(TRIM(K26),".",""),"/",""),"-","")," ",""),"(",""),")",""),"+",""))=10,LEN(SUBSTITUTE(SUBSTITUTE(SUBSTITUTE(SUBSTITUTE(SUBSTITUTE(SUBSTITUTE(SUBSTITUTE(TRIM(K26),".",""),"/",""),"-","")," ",""),"(",""),")",""),"+",""))=11)),"OK","ERRO: use DDD + número (10 ou 11 dígitos)"))</f>
      </c>
      <c r="T26" s="6">
        <f>IF(L26="","vazio",IF(AND(ISNUMBER(FIND("@",L26)),ISNUMBER(FIND(".",MID(L26,FIND("@",L26),99))),NOT(ISNUMBER(FIND(" ",TRIM(L26)))),NOT(ISNUMBER(FIND(";",L26))),NOT(ISNUMBER(FIND(",",L26)))),"OK","ERRO: um e-mail válido por linha"))</f>
      </c>
      <c r="U26" s="6">
        <f>IF(COUNTA(A26:O26)=0,"",IF(AND(B26&lt;&gt;"",C26&lt;&gt;"",D26&lt;&gt;"",E26&lt;&gt;"",H26&lt;&gt;"",OR(J26&lt;&gt;"",L26&lt;&gt;"")),"OK","ERRO: faltam "&amp;IF(B26="","Proprietário; ","")&amp;IF(C26="","Origem; ","")&amp;IF(D26="","CNPJ; ","")&amp;IF(E26="","Razão Social; ","")&amp;IF(H26="","Sobrenome; ","")&amp;IF(AND(J26="",L26=""),"telefone ou e-mail; ","")))</f>
      </c>
      <c r="V26" s="6">
        <f>IF(COUNTA(A26:O26)=0,"",IF(AND(Q26="OK",R26="OK",LEFT(S26,4)&lt;&gt;"ERRO",LEFT(T26,4)&lt;&gt;"ERRO",U26="OK"),"OK","REVISAR"))</f>
      </c>
    </row>
    <row r="27">
      <c r="A27" s="4"/>
      <c r="B27" s="5"/>
      <c r="C27" s="5"/>
      <c r="D27" s="5"/>
      <c r="E27" s="5"/>
      <c r="F27" s="4"/>
      <c r="G27" s="4"/>
      <c r="H27" s="5"/>
      <c r="I27" s="4"/>
      <c r="J27" s="4"/>
      <c r="K27" s="4"/>
      <c r="L27" s="4"/>
      <c r="M27" s="4"/>
      <c r="N27" s="4"/>
      <c r="O27" s="4"/>
      <c r="P27" s="6">
        <f>IF(D27="","",SUBSTITUTE(SUBSTITUTE(SUBSTITUTE(SUBSTITUTE(SUBSTITUTE(SUBSTITUTE(SUBSTITUTE(TRIM(D27),".",""),"/",""),"-","")," ",""),"(",""),")",""),"+",""))</f>
      </c>
      <c r="Q27" s="6">
        <f>IF(P27="","",IF(LEN(P27)&lt;&gt;14,"ERRO: "&amp;LEN(P27)&amp;" dígitos",IF(NOT(ISNUMBER(VALUE(P27))),"ERRO: não numérico",IF(LEN(SUBSTITUTE(P27,LEFT(P27,1),""))=0,"ERRO: dígitos repetidos",IF(AND(VALUE(MID(P27,13,1))=IF(MOD(SUMPRODUCT(--MID(P27,{1,2,3,4,5,6,7,8,9,10,11,12},1),{5,4,3,2,9,8,7,6,5,4,3,2}),11)&lt;2,0,11-MOD(SUMPRODUCT(--MID(P27,{1,2,3,4,5,6,7,8,9,10,11,12},1),{5,4,3,2,9,8,7,6,5,4,3,2}),11)),VALUE(MID(P27,14,1))=IF(MOD(SUMPRODUCT(--MID(P27,{1,2,3,4,5,6,7,8,9,10,11,12,13},1),{6,5,4,3,2,9,8,7,6,5,4,3,2}),11)&lt;2,0,11-MOD(SUMPRODUCT(--MID(P27,{1,2,3,4,5,6,7,8,9,10,11,12,13},1),{6,5,4,3,2,9,8,7,6,5,4,3,2}),11))),"OK","ERRO: dígito verificador")))))</f>
      </c>
      <c r="R27" s="6">
        <f>IF(P27="","",IF(COUNTIF($P$2:$P$1001,P27)&gt;1,"DUPLICADO","OK"))</f>
      </c>
      <c r="S27" s="6">
        <f>IF(AND(J27="",K27=""),"vazio",IF(AND(OR(J27="",LEN(SUBSTITUTE(SUBSTITUTE(SUBSTITUTE(SUBSTITUTE(SUBSTITUTE(SUBSTITUTE(SUBSTITUTE(TRIM(J27),".",""),"/",""),"-","")," ",""),"(",""),")",""),"+",""))=10,LEN(SUBSTITUTE(SUBSTITUTE(SUBSTITUTE(SUBSTITUTE(SUBSTITUTE(SUBSTITUTE(SUBSTITUTE(TRIM(J27),".",""),"/",""),"-","")," ",""),"(",""),")",""),"+",""))=11),OR(K27="",LEN(SUBSTITUTE(SUBSTITUTE(SUBSTITUTE(SUBSTITUTE(SUBSTITUTE(SUBSTITUTE(SUBSTITUTE(TRIM(K27),".",""),"/",""),"-","")," ",""),"(",""),")",""),"+",""))=10,LEN(SUBSTITUTE(SUBSTITUTE(SUBSTITUTE(SUBSTITUTE(SUBSTITUTE(SUBSTITUTE(SUBSTITUTE(TRIM(K27),".",""),"/",""),"-","")," ",""),"(",""),")",""),"+",""))=11)),"OK","ERRO: use DDD + número (10 ou 11 dígitos)"))</f>
      </c>
      <c r="T27" s="6">
        <f>IF(L27="","vazio",IF(AND(ISNUMBER(FIND("@",L27)),ISNUMBER(FIND(".",MID(L27,FIND("@",L27),99))),NOT(ISNUMBER(FIND(" ",TRIM(L27)))),NOT(ISNUMBER(FIND(";",L27))),NOT(ISNUMBER(FIND(",",L27)))),"OK","ERRO: um e-mail válido por linha"))</f>
      </c>
      <c r="U27" s="6">
        <f>IF(COUNTA(A27:O27)=0,"",IF(AND(B27&lt;&gt;"",C27&lt;&gt;"",D27&lt;&gt;"",E27&lt;&gt;"",H27&lt;&gt;"",OR(J27&lt;&gt;"",L27&lt;&gt;"")),"OK","ERRO: faltam "&amp;IF(B27="","Proprietário; ","")&amp;IF(C27="","Origem; ","")&amp;IF(D27="","CNPJ; ","")&amp;IF(E27="","Razão Social; ","")&amp;IF(H27="","Sobrenome; ","")&amp;IF(AND(J27="",L27=""),"telefone ou e-mail; ","")))</f>
      </c>
      <c r="V27" s="6">
        <f>IF(COUNTA(A27:O27)=0,"",IF(AND(Q27="OK",R27="OK",LEFT(S27,4)&lt;&gt;"ERRO",LEFT(T27,4)&lt;&gt;"ERRO",U27="OK"),"OK","REVISAR"))</f>
      </c>
    </row>
    <row r="28">
      <c r="A28" s="4"/>
      <c r="B28" s="5"/>
      <c r="C28" s="5"/>
      <c r="D28" s="5"/>
      <c r="E28" s="5"/>
      <c r="F28" s="4"/>
      <c r="G28" s="4"/>
      <c r="H28" s="5"/>
      <c r="I28" s="4"/>
      <c r="J28" s="4"/>
      <c r="K28" s="4"/>
      <c r="L28" s="4"/>
      <c r="M28" s="4"/>
      <c r="N28" s="4"/>
      <c r="O28" s="4"/>
      <c r="P28" s="6">
        <f>IF(D28="","",SUBSTITUTE(SUBSTITUTE(SUBSTITUTE(SUBSTITUTE(SUBSTITUTE(SUBSTITUTE(SUBSTITUTE(TRIM(D28),".",""),"/",""),"-","")," ",""),"(",""),")",""),"+",""))</f>
      </c>
      <c r="Q28" s="6">
        <f>IF(P28="","",IF(LEN(P28)&lt;&gt;14,"ERRO: "&amp;LEN(P28)&amp;" dígitos",IF(NOT(ISNUMBER(VALUE(P28))),"ERRO: não numérico",IF(LEN(SUBSTITUTE(P28,LEFT(P28,1),""))=0,"ERRO: dígitos repetidos",IF(AND(VALUE(MID(P28,13,1))=IF(MOD(SUMPRODUCT(--MID(P28,{1,2,3,4,5,6,7,8,9,10,11,12},1),{5,4,3,2,9,8,7,6,5,4,3,2}),11)&lt;2,0,11-MOD(SUMPRODUCT(--MID(P28,{1,2,3,4,5,6,7,8,9,10,11,12},1),{5,4,3,2,9,8,7,6,5,4,3,2}),11)),VALUE(MID(P28,14,1))=IF(MOD(SUMPRODUCT(--MID(P28,{1,2,3,4,5,6,7,8,9,10,11,12,13},1),{6,5,4,3,2,9,8,7,6,5,4,3,2}),11)&lt;2,0,11-MOD(SUMPRODUCT(--MID(P28,{1,2,3,4,5,6,7,8,9,10,11,12,13},1),{6,5,4,3,2,9,8,7,6,5,4,3,2}),11))),"OK","ERRO: dígito verificador")))))</f>
      </c>
      <c r="R28" s="6">
        <f>IF(P28="","",IF(COUNTIF($P$2:$P$1001,P28)&gt;1,"DUPLICADO","OK"))</f>
      </c>
      <c r="S28" s="6">
        <f>IF(AND(J28="",K28=""),"vazio",IF(AND(OR(J28="",LEN(SUBSTITUTE(SUBSTITUTE(SUBSTITUTE(SUBSTITUTE(SUBSTITUTE(SUBSTITUTE(SUBSTITUTE(TRIM(J28),".",""),"/",""),"-","")," ",""),"(",""),")",""),"+",""))=10,LEN(SUBSTITUTE(SUBSTITUTE(SUBSTITUTE(SUBSTITUTE(SUBSTITUTE(SUBSTITUTE(SUBSTITUTE(TRIM(J28),".",""),"/",""),"-","")," ",""),"(",""),")",""),"+",""))=11),OR(K28="",LEN(SUBSTITUTE(SUBSTITUTE(SUBSTITUTE(SUBSTITUTE(SUBSTITUTE(SUBSTITUTE(SUBSTITUTE(TRIM(K28),".",""),"/",""),"-","")," ",""),"(",""),")",""),"+",""))=10,LEN(SUBSTITUTE(SUBSTITUTE(SUBSTITUTE(SUBSTITUTE(SUBSTITUTE(SUBSTITUTE(SUBSTITUTE(TRIM(K28),".",""),"/",""),"-","")," ",""),"(",""),")",""),"+",""))=11)),"OK","ERRO: use DDD + número (10 ou 11 dígitos)"))</f>
      </c>
      <c r="T28" s="6">
        <f>IF(L28="","vazio",IF(AND(ISNUMBER(FIND("@",L28)),ISNUMBER(FIND(".",MID(L28,FIND("@",L28),99))),NOT(ISNUMBER(FIND(" ",TRIM(L28)))),NOT(ISNUMBER(FIND(";",L28))),NOT(ISNUMBER(FIND(",",L28)))),"OK","ERRO: um e-mail válido por linha"))</f>
      </c>
      <c r="U28" s="6">
        <f>IF(COUNTA(A28:O28)=0,"",IF(AND(B28&lt;&gt;"",C28&lt;&gt;"",D28&lt;&gt;"",E28&lt;&gt;"",H28&lt;&gt;"",OR(J28&lt;&gt;"",L28&lt;&gt;"")),"OK","ERRO: faltam "&amp;IF(B28="","Proprietário; ","")&amp;IF(C28="","Origem; ","")&amp;IF(D28="","CNPJ; ","")&amp;IF(E28="","Razão Social; ","")&amp;IF(H28="","Sobrenome; ","")&amp;IF(AND(J28="",L28=""),"telefone ou e-mail; ","")))</f>
      </c>
      <c r="V28" s="6">
        <f>IF(COUNTA(A28:O28)=0,"",IF(AND(Q28="OK",R28="OK",LEFT(S28,4)&lt;&gt;"ERRO",LEFT(T28,4)&lt;&gt;"ERRO",U28="OK"),"OK","REVISAR"))</f>
      </c>
    </row>
    <row r="29">
      <c r="A29" s="4"/>
      <c r="B29" s="5"/>
      <c r="C29" s="5"/>
      <c r="D29" s="5"/>
      <c r="E29" s="5"/>
      <c r="F29" s="4"/>
      <c r="G29" s="4"/>
      <c r="H29" s="5"/>
      <c r="I29" s="4"/>
      <c r="J29" s="4"/>
      <c r="K29" s="4"/>
      <c r="L29" s="4"/>
      <c r="M29" s="4"/>
      <c r="N29" s="4"/>
      <c r="O29" s="4"/>
      <c r="P29" s="6">
        <f>IF(D29="","",SUBSTITUTE(SUBSTITUTE(SUBSTITUTE(SUBSTITUTE(SUBSTITUTE(SUBSTITUTE(SUBSTITUTE(TRIM(D29),".",""),"/",""),"-","")," ",""),"(",""),")",""),"+",""))</f>
      </c>
      <c r="Q29" s="6">
        <f>IF(P29="","",IF(LEN(P29)&lt;&gt;14,"ERRO: "&amp;LEN(P29)&amp;" dígitos",IF(NOT(ISNUMBER(VALUE(P29))),"ERRO: não numérico",IF(LEN(SUBSTITUTE(P29,LEFT(P29,1),""))=0,"ERRO: dígitos repetidos",IF(AND(VALUE(MID(P29,13,1))=IF(MOD(SUMPRODUCT(--MID(P29,{1,2,3,4,5,6,7,8,9,10,11,12},1),{5,4,3,2,9,8,7,6,5,4,3,2}),11)&lt;2,0,11-MOD(SUMPRODUCT(--MID(P29,{1,2,3,4,5,6,7,8,9,10,11,12},1),{5,4,3,2,9,8,7,6,5,4,3,2}),11)),VALUE(MID(P29,14,1))=IF(MOD(SUMPRODUCT(--MID(P29,{1,2,3,4,5,6,7,8,9,10,11,12,13},1),{6,5,4,3,2,9,8,7,6,5,4,3,2}),11)&lt;2,0,11-MOD(SUMPRODUCT(--MID(P29,{1,2,3,4,5,6,7,8,9,10,11,12,13},1),{6,5,4,3,2,9,8,7,6,5,4,3,2}),11))),"OK","ERRO: dígito verificador")))))</f>
      </c>
      <c r="R29" s="6">
        <f>IF(P29="","",IF(COUNTIF($P$2:$P$1001,P29)&gt;1,"DUPLICADO","OK"))</f>
      </c>
      <c r="S29" s="6">
        <f>IF(AND(J29="",K29=""),"vazio",IF(AND(OR(J29="",LEN(SUBSTITUTE(SUBSTITUTE(SUBSTITUTE(SUBSTITUTE(SUBSTITUTE(SUBSTITUTE(SUBSTITUTE(TRIM(J29),".",""),"/",""),"-","")," ",""),"(",""),")",""),"+",""))=10,LEN(SUBSTITUTE(SUBSTITUTE(SUBSTITUTE(SUBSTITUTE(SUBSTITUTE(SUBSTITUTE(SUBSTITUTE(TRIM(J29),".",""),"/",""),"-","")," ",""),"(",""),")",""),"+",""))=11),OR(K29="",LEN(SUBSTITUTE(SUBSTITUTE(SUBSTITUTE(SUBSTITUTE(SUBSTITUTE(SUBSTITUTE(SUBSTITUTE(TRIM(K29),".",""),"/",""),"-","")," ",""),"(",""),")",""),"+",""))=10,LEN(SUBSTITUTE(SUBSTITUTE(SUBSTITUTE(SUBSTITUTE(SUBSTITUTE(SUBSTITUTE(SUBSTITUTE(TRIM(K29),".",""),"/",""),"-","")," ",""),"(",""),")",""),"+",""))=11)),"OK","ERRO: use DDD + número (10 ou 11 dígitos)"))</f>
      </c>
      <c r="T29" s="6">
        <f>IF(L29="","vazio",IF(AND(ISNUMBER(FIND("@",L29)),ISNUMBER(FIND(".",MID(L29,FIND("@",L29),99))),NOT(ISNUMBER(FIND(" ",TRIM(L29)))),NOT(ISNUMBER(FIND(";",L29))),NOT(ISNUMBER(FIND(",",L29)))),"OK","ERRO: um e-mail válido por linha"))</f>
      </c>
      <c r="U29" s="6">
        <f>IF(COUNTA(A29:O29)=0,"",IF(AND(B29&lt;&gt;"",C29&lt;&gt;"",D29&lt;&gt;"",E29&lt;&gt;"",H29&lt;&gt;"",OR(J29&lt;&gt;"",L29&lt;&gt;"")),"OK","ERRO: faltam "&amp;IF(B29="","Proprietário; ","")&amp;IF(C29="","Origem; ","")&amp;IF(D29="","CNPJ; ","")&amp;IF(E29="","Razão Social; ","")&amp;IF(H29="","Sobrenome; ","")&amp;IF(AND(J29="",L29=""),"telefone ou e-mail; ","")))</f>
      </c>
      <c r="V29" s="6">
        <f>IF(COUNTA(A29:O29)=0,"",IF(AND(Q29="OK",R29="OK",LEFT(S29,4)&lt;&gt;"ERRO",LEFT(T29,4)&lt;&gt;"ERRO",U29="OK"),"OK","REVISAR"))</f>
      </c>
    </row>
    <row r="30">
      <c r="A30" s="4"/>
      <c r="B30" s="5"/>
      <c r="C30" s="5"/>
      <c r="D30" s="5"/>
      <c r="E30" s="5"/>
      <c r="F30" s="4"/>
      <c r="G30" s="4"/>
      <c r="H30" s="5"/>
      <c r="I30" s="4"/>
      <c r="J30" s="4"/>
      <c r="K30" s="4"/>
      <c r="L30" s="4"/>
      <c r="M30" s="4"/>
      <c r="N30" s="4"/>
      <c r="O30" s="4"/>
      <c r="P30" s="6">
        <f>IF(D30="","",SUBSTITUTE(SUBSTITUTE(SUBSTITUTE(SUBSTITUTE(SUBSTITUTE(SUBSTITUTE(SUBSTITUTE(TRIM(D30),".",""),"/",""),"-","")," ",""),"(",""),")",""),"+",""))</f>
      </c>
      <c r="Q30" s="6">
        <f>IF(P30="","",IF(LEN(P30)&lt;&gt;14,"ERRO: "&amp;LEN(P30)&amp;" dígitos",IF(NOT(ISNUMBER(VALUE(P30))),"ERRO: não numérico",IF(LEN(SUBSTITUTE(P30,LEFT(P30,1),""))=0,"ERRO: dígitos repetidos",IF(AND(VALUE(MID(P30,13,1))=IF(MOD(SUMPRODUCT(--MID(P30,{1,2,3,4,5,6,7,8,9,10,11,12},1),{5,4,3,2,9,8,7,6,5,4,3,2}),11)&lt;2,0,11-MOD(SUMPRODUCT(--MID(P30,{1,2,3,4,5,6,7,8,9,10,11,12},1),{5,4,3,2,9,8,7,6,5,4,3,2}),11)),VALUE(MID(P30,14,1))=IF(MOD(SUMPRODUCT(--MID(P30,{1,2,3,4,5,6,7,8,9,10,11,12,13},1),{6,5,4,3,2,9,8,7,6,5,4,3,2}),11)&lt;2,0,11-MOD(SUMPRODUCT(--MID(P30,{1,2,3,4,5,6,7,8,9,10,11,12,13},1),{6,5,4,3,2,9,8,7,6,5,4,3,2}),11))),"OK","ERRO: dígito verificador")))))</f>
      </c>
      <c r="R30" s="6">
        <f>IF(P30="","",IF(COUNTIF($P$2:$P$1001,P30)&gt;1,"DUPLICADO","OK"))</f>
      </c>
      <c r="S30" s="6">
        <f>IF(AND(J30="",K30=""),"vazio",IF(AND(OR(J30="",LEN(SUBSTITUTE(SUBSTITUTE(SUBSTITUTE(SUBSTITUTE(SUBSTITUTE(SUBSTITUTE(SUBSTITUTE(TRIM(J30),".",""),"/",""),"-","")," ",""),"(",""),")",""),"+",""))=10,LEN(SUBSTITUTE(SUBSTITUTE(SUBSTITUTE(SUBSTITUTE(SUBSTITUTE(SUBSTITUTE(SUBSTITUTE(TRIM(J30),".",""),"/",""),"-","")," ",""),"(",""),")",""),"+",""))=11),OR(K30="",LEN(SUBSTITUTE(SUBSTITUTE(SUBSTITUTE(SUBSTITUTE(SUBSTITUTE(SUBSTITUTE(SUBSTITUTE(TRIM(K30),".",""),"/",""),"-","")," ",""),"(",""),")",""),"+",""))=10,LEN(SUBSTITUTE(SUBSTITUTE(SUBSTITUTE(SUBSTITUTE(SUBSTITUTE(SUBSTITUTE(SUBSTITUTE(TRIM(K30),".",""),"/",""),"-","")," ",""),"(",""),")",""),"+",""))=11)),"OK","ERRO: use DDD + número (10 ou 11 dígitos)"))</f>
      </c>
      <c r="T30" s="6">
        <f>IF(L30="","vazio",IF(AND(ISNUMBER(FIND("@",L30)),ISNUMBER(FIND(".",MID(L30,FIND("@",L30),99))),NOT(ISNUMBER(FIND(" ",TRIM(L30)))),NOT(ISNUMBER(FIND(";",L30))),NOT(ISNUMBER(FIND(",",L30)))),"OK","ERRO: um e-mail válido por linha"))</f>
      </c>
      <c r="U30" s="6">
        <f>IF(COUNTA(A30:O30)=0,"",IF(AND(B30&lt;&gt;"",C30&lt;&gt;"",D30&lt;&gt;"",E30&lt;&gt;"",H30&lt;&gt;"",OR(J30&lt;&gt;"",L30&lt;&gt;"")),"OK","ERRO: faltam "&amp;IF(B30="","Proprietário; ","")&amp;IF(C30="","Origem; ","")&amp;IF(D30="","CNPJ; ","")&amp;IF(E30="","Razão Social; ","")&amp;IF(H30="","Sobrenome; ","")&amp;IF(AND(J30="",L30=""),"telefone ou e-mail; ","")))</f>
      </c>
      <c r="V30" s="6">
        <f>IF(COUNTA(A30:O30)=0,"",IF(AND(Q30="OK",R30="OK",LEFT(S30,4)&lt;&gt;"ERRO",LEFT(T30,4)&lt;&gt;"ERRO",U30="OK"),"OK","REVISAR"))</f>
      </c>
    </row>
    <row r="31">
      <c r="A31" s="4"/>
      <c r="B31" s="5"/>
      <c r="C31" s="5"/>
      <c r="D31" s="5"/>
      <c r="E31" s="5"/>
      <c r="F31" s="4"/>
      <c r="G31" s="4"/>
      <c r="H31" s="5"/>
      <c r="I31" s="4"/>
      <c r="J31" s="4"/>
      <c r="K31" s="4"/>
      <c r="L31" s="4"/>
      <c r="M31" s="4"/>
      <c r="N31" s="4"/>
      <c r="O31" s="4"/>
      <c r="P31" s="6">
        <f>IF(D31="","",SUBSTITUTE(SUBSTITUTE(SUBSTITUTE(SUBSTITUTE(SUBSTITUTE(SUBSTITUTE(SUBSTITUTE(TRIM(D31),".",""),"/",""),"-","")," ",""),"(",""),")",""),"+",""))</f>
      </c>
      <c r="Q31" s="6">
        <f>IF(P31="","",IF(LEN(P31)&lt;&gt;14,"ERRO: "&amp;LEN(P31)&amp;" dígitos",IF(NOT(ISNUMBER(VALUE(P31))),"ERRO: não numérico",IF(LEN(SUBSTITUTE(P31,LEFT(P31,1),""))=0,"ERRO: dígitos repetidos",IF(AND(VALUE(MID(P31,13,1))=IF(MOD(SUMPRODUCT(--MID(P31,{1,2,3,4,5,6,7,8,9,10,11,12},1),{5,4,3,2,9,8,7,6,5,4,3,2}),11)&lt;2,0,11-MOD(SUMPRODUCT(--MID(P31,{1,2,3,4,5,6,7,8,9,10,11,12},1),{5,4,3,2,9,8,7,6,5,4,3,2}),11)),VALUE(MID(P31,14,1))=IF(MOD(SUMPRODUCT(--MID(P31,{1,2,3,4,5,6,7,8,9,10,11,12,13},1),{6,5,4,3,2,9,8,7,6,5,4,3,2}),11)&lt;2,0,11-MOD(SUMPRODUCT(--MID(P31,{1,2,3,4,5,6,7,8,9,10,11,12,13},1),{6,5,4,3,2,9,8,7,6,5,4,3,2}),11))),"OK","ERRO: dígito verificador")))))</f>
      </c>
      <c r="R31" s="6">
        <f>IF(P31="","",IF(COUNTIF($P$2:$P$1001,P31)&gt;1,"DUPLICADO","OK"))</f>
      </c>
      <c r="S31" s="6">
        <f>IF(AND(J31="",K31=""),"vazio",IF(AND(OR(J31="",LEN(SUBSTITUTE(SUBSTITUTE(SUBSTITUTE(SUBSTITUTE(SUBSTITUTE(SUBSTITUTE(SUBSTITUTE(TRIM(J31),".",""),"/",""),"-","")," ",""),"(",""),")",""),"+",""))=10,LEN(SUBSTITUTE(SUBSTITUTE(SUBSTITUTE(SUBSTITUTE(SUBSTITUTE(SUBSTITUTE(SUBSTITUTE(TRIM(J31),".",""),"/",""),"-","")," ",""),"(",""),")",""),"+",""))=11),OR(K31="",LEN(SUBSTITUTE(SUBSTITUTE(SUBSTITUTE(SUBSTITUTE(SUBSTITUTE(SUBSTITUTE(SUBSTITUTE(TRIM(K31),".",""),"/",""),"-","")," ",""),"(",""),")",""),"+",""))=10,LEN(SUBSTITUTE(SUBSTITUTE(SUBSTITUTE(SUBSTITUTE(SUBSTITUTE(SUBSTITUTE(SUBSTITUTE(TRIM(K31),".",""),"/",""),"-","")," ",""),"(",""),")",""),"+",""))=11)),"OK","ERRO: use DDD + número (10 ou 11 dígitos)"))</f>
      </c>
      <c r="T31" s="6">
        <f>IF(L31="","vazio",IF(AND(ISNUMBER(FIND("@",L31)),ISNUMBER(FIND(".",MID(L31,FIND("@",L31),99))),NOT(ISNUMBER(FIND(" ",TRIM(L31)))),NOT(ISNUMBER(FIND(";",L31))),NOT(ISNUMBER(FIND(",",L31)))),"OK","ERRO: um e-mail válido por linha"))</f>
      </c>
      <c r="U31" s="6">
        <f>IF(COUNTA(A31:O31)=0,"",IF(AND(B31&lt;&gt;"",C31&lt;&gt;"",D31&lt;&gt;"",E31&lt;&gt;"",H31&lt;&gt;"",OR(J31&lt;&gt;"",L31&lt;&gt;"")),"OK","ERRO: faltam "&amp;IF(B31="","Proprietário; ","")&amp;IF(C31="","Origem; ","")&amp;IF(D31="","CNPJ; ","")&amp;IF(E31="","Razão Social; ","")&amp;IF(H31="","Sobrenome; ","")&amp;IF(AND(J31="",L31=""),"telefone ou e-mail; ","")))</f>
      </c>
      <c r="V31" s="6">
        <f>IF(COUNTA(A31:O31)=0,"",IF(AND(Q31="OK",R31="OK",LEFT(S31,4)&lt;&gt;"ERRO",LEFT(T31,4)&lt;&gt;"ERRO",U31="OK"),"OK","REVISAR"))</f>
      </c>
    </row>
    <row r="32">
      <c r="A32" s="4"/>
      <c r="B32" s="5"/>
      <c r="C32" s="5"/>
      <c r="D32" s="5"/>
      <c r="E32" s="5"/>
      <c r="F32" s="4"/>
      <c r="G32" s="4"/>
      <c r="H32" s="5"/>
      <c r="I32" s="4"/>
      <c r="J32" s="4"/>
      <c r="K32" s="4"/>
      <c r="L32" s="4"/>
      <c r="M32" s="4"/>
      <c r="N32" s="4"/>
      <c r="O32" s="4"/>
      <c r="P32" s="6">
        <f>IF(D32="","",SUBSTITUTE(SUBSTITUTE(SUBSTITUTE(SUBSTITUTE(SUBSTITUTE(SUBSTITUTE(SUBSTITUTE(TRIM(D32),".",""),"/",""),"-","")," ",""),"(",""),")",""),"+",""))</f>
      </c>
      <c r="Q32" s="6">
        <f>IF(P32="","",IF(LEN(P32)&lt;&gt;14,"ERRO: "&amp;LEN(P32)&amp;" dígitos",IF(NOT(ISNUMBER(VALUE(P32))),"ERRO: não numérico",IF(LEN(SUBSTITUTE(P32,LEFT(P32,1),""))=0,"ERRO: dígitos repetidos",IF(AND(VALUE(MID(P32,13,1))=IF(MOD(SUMPRODUCT(--MID(P32,{1,2,3,4,5,6,7,8,9,10,11,12},1),{5,4,3,2,9,8,7,6,5,4,3,2}),11)&lt;2,0,11-MOD(SUMPRODUCT(--MID(P32,{1,2,3,4,5,6,7,8,9,10,11,12},1),{5,4,3,2,9,8,7,6,5,4,3,2}),11)),VALUE(MID(P32,14,1))=IF(MOD(SUMPRODUCT(--MID(P32,{1,2,3,4,5,6,7,8,9,10,11,12,13},1),{6,5,4,3,2,9,8,7,6,5,4,3,2}),11)&lt;2,0,11-MOD(SUMPRODUCT(--MID(P32,{1,2,3,4,5,6,7,8,9,10,11,12,13},1),{6,5,4,3,2,9,8,7,6,5,4,3,2}),11))),"OK","ERRO: dígito verificador")))))</f>
      </c>
      <c r="R32" s="6">
        <f>IF(P32="","",IF(COUNTIF($P$2:$P$1001,P32)&gt;1,"DUPLICADO","OK"))</f>
      </c>
      <c r="S32" s="6">
        <f>IF(AND(J32="",K32=""),"vazio",IF(AND(OR(J32="",LEN(SUBSTITUTE(SUBSTITUTE(SUBSTITUTE(SUBSTITUTE(SUBSTITUTE(SUBSTITUTE(SUBSTITUTE(TRIM(J32),".",""),"/",""),"-","")," ",""),"(",""),")",""),"+",""))=10,LEN(SUBSTITUTE(SUBSTITUTE(SUBSTITUTE(SUBSTITUTE(SUBSTITUTE(SUBSTITUTE(SUBSTITUTE(TRIM(J32),".",""),"/",""),"-","")," ",""),"(",""),")",""),"+",""))=11),OR(K32="",LEN(SUBSTITUTE(SUBSTITUTE(SUBSTITUTE(SUBSTITUTE(SUBSTITUTE(SUBSTITUTE(SUBSTITUTE(TRIM(K32),".",""),"/",""),"-","")," ",""),"(",""),")",""),"+",""))=10,LEN(SUBSTITUTE(SUBSTITUTE(SUBSTITUTE(SUBSTITUTE(SUBSTITUTE(SUBSTITUTE(SUBSTITUTE(TRIM(K32),".",""),"/",""),"-","")," ",""),"(",""),")",""),"+",""))=11)),"OK","ERRO: use DDD + número (10 ou 11 dígitos)"))</f>
      </c>
      <c r="T32" s="6">
        <f>IF(L32="","vazio",IF(AND(ISNUMBER(FIND("@",L32)),ISNUMBER(FIND(".",MID(L32,FIND("@",L32),99))),NOT(ISNUMBER(FIND(" ",TRIM(L32)))),NOT(ISNUMBER(FIND(";",L32))),NOT(ISNUMBER(FIND(",",L32)))),"OK","ERRO: um e-mail válido por linha"))</f>
      </c>
      <c r="U32" s="6">
        <f>IF(COUNTA(A32:O32)=0,"",IF(AND(B32&lt;&gt;"",C32&lt;&gt;"",D32&lt;&gt;"",E32&lt;&gt;"",H32&lt;&gt;"",OR(J32&lt;&gt;"",L32&lt;&gt;"")),"OK","ERRO: faltam "&amp;IF(B32="","Proprietário; ","")&amp;IF(C32="","Origem; ","")&amp;IF(D32="","CNPJ; ","")&amp;IF(E32="","Razão Social; ","")&amp;IF(H32="","Sobrenome; ","")&amp;IF(AND(J32="",L32=""),"telefone ou e-mail; ","")))</f>
      </c>
      <c r="V32" s="6">
        <f>IF(COUNTA(A32:O32)=0,"",IF(AND(Q32="OK",R32="OK",LEFT(S32,4)&lt;&gt;"ERRO",LEFT(T32,4)&lt;&gt;"ERRO",U32="OK"),"OK","REVISAR"))</f>
      </c>
    </row>
    <row r="33">
      <c r="A33" s="4"/>
      <c r="B33" s="5"/>
      <c r="C33" s="5"/>
      <c r="D33" s="5"/>
      <c r="E33" s="5"/>
      <c r="F33" s="4"/>
      <c r="G33" s="4"/>
      <c r="H33" s="5"/>
      <c r="I33" s="4"/>
      <c r="J33" s="4"/>
      <c r="K33" s="4"/>
      <c r="L33" s="4"/>
      <c r="M33" s="4"/>
      <c r="N33" s="4"/>
      <c r="O33" s="4"/>
      <c r="P33" s="6">
        <f>IF(D33="","",SUBSTITUTE(SUBSTITUTE(SUBSTITUTE(SUBSTITUTE(SUBSTITUTE(SUBSTITUTE(SUBSTITUTE(TRIM(D33),".",""),"/",""),"-","")," ",""),"(",""),")",""),"+",""))</f>
      </c>
      <c r="Q33" s="6">
        <f>IF(P33="","",IF(LEN(P33)&lt;&gt;14,"ERRO: "&amp;LEN(P33)&amp;" dígitos",IF(NOT(ISNUMBER(VALUE(P33))),"ERRO: não numérico",IF(LEN(SUBSTITUTE(P33,LEFT(P33,1),""))=0,"ERRO: dígitos repetidos",IF(AND(VALUE(MID(P33,13,1))=IF(MOD(SUMPRODUCT(--MID(P33,{1,2,3,4,5,6,7,8,9,10,11,12},1),{5,4,3,2,9,8,7,6,5,4,3,2}),11)&lt;2,0,11-MOD(SUMPRODUCT(--MID(P33,{1,2,3,4,5,6,7,8,9,10,11,12},1),{5,4,3,2,9,8,7,6,5,4,3,2}),11)),VALUE(MID(P33,14,1))=IF(MOD(SUMPRODUCT(--MID(P33,{1,2,3,4,5,6,7,8,9,10,11,12,13},1),{6,5,4,3,2,9,8,7,6,5,4,3,2}),11)&lt;2,0,11-MOD(SUMPRODUCT(--MID(P33,{1,2,3,4,5,6,7,8,9,10,11,12,13},1),{6,5,4,3,2,9,8,7,6,5,4,3,2}),11))),"OK","ERRO: dígito verificador")))))</f>
      </c>
      <c r="R33" s="6">
        <f>IF(P33="","",IF(COUNTIF($P$2:$P$1001,P33)&gt;1,"DUPLICADO","OK"))</f>
      </c>
      <c r="S33" s="6">
        <f>IF(AND(J33="",K33=""),"vazio",IF(AND(OR(J33="",LEN(SUBSTITUTE(SUBSTITUTE(SUBSTITUTE(SUBSTITUTE(SUBSTITUTE(SUBSTITUTE(SUBSTITUTE(TRIM(J33),".",""),"/",""),"-","")," ",""),"(",""),")",""),"+",""))=10,LEN(SUBSTITUTE(SUBSTITUTE(SUBSTITUTE(SUBSTITUTE(SUBSTITUTE(SUBSTITUTE(SUBSTITUTE(TRIM(J33),".",""),"/",""),"-","")," ",""),"(",""),")",""),"+",""))=11),OR(K33="",LEN(SUBSTITUTE(SUBSTITUTE(SUBSTITUTE(SUBSTITUTE(SUBSTITUTE(SUBSTITUTE(SUBSTITUTE(TRIM(K33),".",""),"/",""),"-","")," ",""),"(",""),")",""),"+",""))=10,LEN(SUBSTITUTE(SUBSTITUTE(SUBSTITUTE(SUBSTITUTE(SUBSTITUTE(SUBSTITUTE(SUBSTITUTE(TRIM(K33),".",""),"/",""),"-","")," ",""),"(",""),")",""),"+",""))=11)),"OK","ERRO: use DDD + número (10 ou 11 dígitos)"))</f>
      </c>
      <c r="T33" s="6">
        <f>IF(L33="","vazio",IF(AND(ISNUMBER(FIND("@",L33)),ISNUMBER(FIND(".",MID(L33,FIND("@",L33),99))),NOT(ISNUMBER(FIND(" ",TRIM(L33)))),NOT(ISNUMBER(FIND(";",L33))),NOT(ISNUMBER(FIND(",",L33)))),"OK","ERRO: um e-mail válido por linha"))</f>
      </c>
      <c r="U33" s="6">
        <f>IF(COUNTA(A33:O33)=0,"",IF(AND(B33&lt;&gt;"",C33&lt;&gt;"",D33&lt;&gt;"",E33&lt;&gt;"",H33&lt;&gt;"",OR(J33&lt;&gt;"",L33&lt;&gt;"")),"OK","ERRO: faltam "&amp;IF(B33="","Proprietário; ","")&amp;IF(C33="","Origem; ","")&amp;IF(D33="","CNPJ; ","")&amp;IF(E33="","Razão Social; ","")&amp;IF(H33="","Sobrenome; ","")&amp;IF(AND(J33="",L33=""),"telefone ou e-mail; ","")))</f>
      </c>
      <c r="V33" s="6">
        <f>IF(COUNTA(A33:O33)=0,"",IF(AND(Q33="OK",R33="OK",LEFT(S33,4)&lt;&gt;"ERRO",LEFT(T33,4)&lt;&gt;"ERRO",U33="OK"),"OK","REVISAR"))</f>
      </c>
    </row>
    <row r="34">
      <c r="A34" s="4"/>
      <c r="B34" s="5"/>
      <c r="C34" s="5"/>
      <c r="D34" s="5"/>
      <c r="E34" s="5"/>
      <c r="F34" s="4"/>
      <c r="G34" s="4"/>
      <c r="H34" s="5"/>
      <c r="I34" s="4"/>
      <c r="J34" s="4"/>
      <c r="K34" s="4"/>
      <c r="L34" s="4"/>
      <c r="M34" s="4"/>
      <c r="N34" s="4"/>
      <c r="O34" s="4"/>
      <c r="P34" s="6">
        <f>IF(D34="","",SUBSTITUTE(SUBSTITUTE(SUBSTITUTE(SUBSTITUTE(SUBSTITUTE(SUBSTITUTE(SUBSTITUTE(TRIM(D34),".",""),"/",""),"-","")," ",""),"(",""),")",""),"+",""))</f>
      </c>
      <c r="Q34" s="6">
        <f>IF(P34="","",IF(LEN(P34)&lt;&gt;14,"ERRO: "&amp;LEN(P34)&amp;" dígitos",IF(NOT(ISNUMBER(VALUE(P34))),"ERRO: não numérico",IF(LEN(SUBSTITUTE(P34,LEFT(P34,1),""))=0,"ERRO: dígitos repetidos",IF(AND(VALUE(MID(P34,13,1))=IF(MOD(SUMPRODUCT(--MID(P34,{1,2,3,4,5,6,7,8,9,10,11,12},1),{5,4,3,2,9,8,7,6,5,4,3,2}),11)&lt;2,0,11-MOD(SUMPRODUCT(--MID(P34,{1,2,3,4,5,6,7,8,9,10,11,12},1),{5,4,3,2,9,8,7,6,5,4,3,2}),11)),VALUE(MID(P34,14,1))=IF(MOD(SUMPRODUCT(--MID(P34,{1,2,3,4,5,6,7,8,9,10,11,12,13},1),{6,5,4,3,2,9,8,7,6,5,4,3,2}),11)&lt;2,0,11-MOD(SUMPRODUCT(--MID(P34,{1,2,3,4,5,6,7,8,9,10,11,12,13},1),{6,5,4,3,2,9,8,7,6,5,4,3,2}),11))),"OK","ERRO: dígito verificador")))))</f>
      </c>
      <c r="R34" s="6">
        <f>IF(P34="","",IF(COUNTIF($P$2:$P$1001,P34)&gt;1,"DUPLICADO","OK"))</f>
      </c>
      <c r="S34" s="6">
        <f>IF(AND(J34="",K34=""),"vazio",IF(AND(OR(J34="",LEN(SUBSTITUTE(SUBSTITUTE(SUBSTITUTE(SUBSTITUTE(SUBSTITUTE(SUBSTITUTE(SUBSTITUTE(TRIM(J34),".",""),"/",""),"-","")," ",""),"(",""),")",""),"+",""))=10,LEN(SUBSTITUTE(SUBSTITUTE(SUBSTITUTE(SUBSTITUTE(SUBSTITUTE(SUBSTITUTE(SUBSTITUTE(TRIM(J34),".",""),"/",""),"-","")," ",""),"(",""),")",""),"+",""))=11),OR(K34="",LEN(SUBSTITUTE(SUBSTITUTE(SUBSTITUTE(SUBSTITUTE(SUBSTITUTE(SUBSTITUTE(SUBSTITUTE(TRIM(K34),".",""),"/",""),"-","")," ",""),"(",""),")",""),"+",""))=10,LEN(SUBSTITUTE(SUBSTITUTE(SUBSTITUTE(SUBSTITUTE(SUBSTITUTE(SUBSTITUTE(SUBSTITUTE(TRIM(K34),".",""),"/",""),"-","")," ",""),"(",""),")",""),"+",""))=11)),"OK","ERRO: use DDD + número (10 ou 11 dígitos)"))</f>
      </c>
      <c r="T34" s="6">
        <f>IF(L34="","vazio",IF(AND(ISNUMBER(FIND("@",L34)),ISNUMBER(FIND(".",MID(L34,FIND("@",L34),99))),NOT(ISNUMBER(FIND(" ",TRIM(L34)))),NOT(ISNUMBER(FIND(";",L34))),NOT(ISNUMBER(FIND(",",L34)))),"OK","ERRO: um e-mail válido por linha"))</f>
      </c>
      <c r="U34" s="6">
        <f>IF(COUNTA(A34:O34)=0,"",IF(AND(B34&lt;&gt;"",C34&lt;&gt;"",D34&lt;&gt;"",E34&lt;&gt;"",H34&lt;&gt;"",OR(J34&lt;&gt;"",L34&lt;&gt;"")),"OK","ERRO: faltam "&amp;IF(B34="","Proprietário; ","")&amp;IF(C34="","Origem; ","")&amp;IF(D34="","CNPJ; ","")&amp;IF(E34="","Razão Social; ","")&amp;IF(H34="","Sobrenome; ","")&amp;IF(AND(J34="",L34=""),"telefone ou e-mail; ","")))</f>
      </c>
      <c r="V34" s="6">
        <f>IF(COUNTA(A34:O34)=0,"",IF(AND(Q34="OK",R34="OK",LEFT(S34,4)&lt;&gt;"ERRO",LEFT(T34,4)&lt;&gt;"ERRO",U34="OK"),"OK","REVISAR"))</f>
      </c>
    </row>
    <row r="35">
      <c r="A35" s="4"/>
      <c r="B35" s="5"/>
      <c r="C35" s="5"/>
      <c r="D35" s="5"/>
      <c r="E35" s="5"/>
      <c r="F35" s="4"/>
      <c r="G35" s="4"/>
      <c r="H35" s="5"/>
      <c r="I35" s="4"/>
      <c r="J35" s="4"/>
      <c r="K35" s="4"/>
      <c r="L35" s="4"/>
      <c r="M35" s="4"/>
      <c r="N35" s="4"/>
      <c r="O35" s="4"/>
      <c r="P35" s="6">
        <f>IF(D35="","",SUBSTITUTE(SUBSTITUTE(SUBSTITUTE(SUBSTITUTE(SUBSTITUTE(SUBSTITUTE(SUBSTITUTE(TRIM(D35),".",""),"/",""),"-","")," ",""),"(",""),")",""),"+",""))</f>
      </c>
      <c r="Q35" s="6">
        <f>IF(P35="","",IF(LEN(P35)&lt;&gt;14,"ERRO: "&amp;LEN(P35)&amp;" dígitos",IF(NOT(ISNUMBER(VALUE(P35))),"ERRO: não numérico",IF(LEN(SUBSTITUTE(P35,LEFT(P35,1),""))=0,"ERRO: dígitos repetidos",IF(AND(VALUE(MID(P35,13,1))=IF(MOD(SUMPRODUCT(--MID(P35,{1,2,3,4,5,6,7,8,9,10,11,12},1),{5,4,3,2,9,8,7,6,5,4,3,2}),11)&lt;2,0,11-MOD(SUMPRODUCT(--MID(P35,{1,2,3,4,5,6,7,8,9,10,11,12},1),{5,4,3,2,9,8,7,6,5,4,3,2}),11)),VALUE(MID(P35,14,1))=IF(MOD(SUMPRODUCT(--MID(P35,{1,2,3,4,5,6,7,8,9,10,11,12,13},1),{6,5,4,3,2,9,8,7,6,5,4,3,2}),11)&lt;2,0,11-MOD(SUMPRODUCT(--MID(P35,{1,2,3,4,5,6,7,8,9,10,11,12,13},1),{6,5,4,3,2,9,8,7,6,5,4,3,2}),11))),"OK","ERRO: dígito verificador")))))</f>
      </c>
      <c r="R35" s="6">
        <f>IF(P35="","",IF(COUNTIF($P$2:$P$1001,P35)&gt;1,"DUPLICADO","OK"))</f>
      </c>
      <c r="S35" s="6">
        <f>IF(AND(J35="",K35=""),"vazio",IF(AND(OR(J35="",LEN(SUBSTITUTE(SUBSTITUTE(SUBSTITUTE(SUBSTITUTE(SUBSTITUTE(SUBSTITUTE(SUBSTITUTE(TRIM(J35),".",""),"/",""),"-","")," ",""),"(",""),")",""),"+",""))=10,LEN(SUBSTITUTE(SUBSTITUTE(SUBSTITUTE(SUBSTITUTE(SUBSTITUTE(SUBSTITUTE(SUBSTITUTE(TRIM(J35),".",""),"/",""),"-","")," ",""),"(",""),")",""),"+",""))=11),OR(K35="",LEN(SUBSTITUTE(SUBSTITUTE(SUBSTITUTE(SUBSTITUTE(SUBSTITUTE(SUBSTITUTE(SUBSTITUTE(TRIM(K35),".",""),"/",""),"-","")," ",""),"(",""),")",""),"+",""))=10,LEN(SUBSTITUTE(SUBSTITUTE(SUBSTITUTE(SUBSTITUTE(SUBSTITUTE(SUBSTITUTE(SUBSTITUTE(TRIM(K35),".",""),"/",""),"-","")," ",""),"(",""),")",""),"+",""))=11)),"OK","ERRO: use DDD + número (10 ou 11 dígitos)"))</f>
      </c>
      <c r="T35" s="6">
        <f>IF(L35="","vazio",IF(AND(ISNUMBER(FIND("@",L35)),ISNUMBER(FIND(".",MID(L35,FIND("@",L35),99))),NOT(ISNUMBER(FIND(" ",TRIM(L35)))),NOT(ISNUMBER(FIND(";",L35))),NOT(ISNUMBER(FIND(",",L35)))),"OK","ERRO: um e-mail válido por linha"))</f>
      </c>
      <c r="U35" s="6">
        <f>IF(COUNTA(A35:O35)=0,"",IF(AND(B35&lt;&gt;"",C35&lt;&gt;"",D35&lt;&gt;"",E35&lt;&gt;"",H35&lt;&gt;"",OR(J35&lt;&gt;"",L35&lt;&gt;"")),"OK","ERRO: faltam "&amp;IF(B35="","Proprietário; ","")&amp;IF(C35="","Origem; ","")&amp;IF(D35="","CNPJ; ","")&amp;IF(E35="","Razão Social; ","")&amp;IF(H35="","Sobrenome; ","")&amp;IF(AND(J35="",L35=""),"telefone ou e-mail; ","")))</f>
      </c>
      <c r="V35" s="6">
        <f>IF(COUNTA(A35:O35)=0,"",IF(AND(Q35="OK",R35="OK",LEFT(S35,4)&lt;&gt;"ERRO",LEFT(T35,4)&lt;&gt;"ERRO",U35="OK"),"OK","REVISAR"))</f>
      </c>
    </row>
    <row r="36">
      <c r="A36" s="4"/>
      <c r="B36" s="5"/>
      <c r="C36" s="5"/>
      <c r="D36" s="5"/>
      <c r="E36" s="5"/>
      <c r="F36" s="4"/>
      <c r="G36" s="4"/>
      <c r="H36" s="5"/>
      <c r="I36" s="4"/>
      <c r="J36" s="4"/>
      <c r="K36" s="4"/>
      <c r="L36" s="4"/>
      <c r="M36" s="4"/>
      <c r="N36" s="4"/>
      <c r="O36" s="4"/>
      <c r="P36" s="6">
        <f>IF(D36="","",SUBSTITUTE(SUBSTITUTE(SUBSTITUTE(SUBSTITUTE(SUBSTITUTE(SUBSTITUTE(SUBSTITUTE(TRIM(D36),".",""),"/",""),"-","")," ",""),"(",""),")",""),"+",""))</f>
      </c>
      <c r="Q36" s="6">
        <f>IF(P36="","",IF(LEN(P36)&lt;&gt;14,"ERRO: "&amp;LEN(P36)&amp;" dígitos",IF(NOT(ISNUMBER(VALUE(P36))),"ERRO: não numérico",IF(LEN(SUBSTITUTE(P36,LEFT(P36,1),""))=0,"ERRO: dígitos repetidos",IF(AND(VALUE(MID(P36,13,1))=IF(MOD(SUMPRODUCT(--MID(P36,{1,2,3,4,5,6,7,8,9,10,11,12},1),{5,4,3,2,9,8,7,6,5,4,3,2}),11)&lt;2,0,11-MOD(SUMPRODUCT(--MID(P36,{1,2,3,4,5,6,7,8,9,10,11,12},1),{5,4,3,2,9,8,7,6,5,4,3,2}),11)),VALUE(MID(P36,14,1))=IF(MOD(SUMPRODUCT(--MID(P36,{1,2,3,4,5,6,7,8,9,10,11,12,13},1),{6,5,4,3,2,9,8,7,6,5,4,3,2}),11)&lt;2,0,11-MOD(SUMPRODUCT(--MID(P36,{1,2,3,4,5,6,7,8,9,10,11,12,13},1),{6,5,4,3,2,9,8,7,6,5,4,3,2}),11))),"OK","ERRO: dígito verificador")))))</f>
      </c>
      <c r="R36" s="6">
        <f>IF(P36="","",IF(COUNTIF($P$2:$P$1001,P36)&gt;1,"DUPLICADO","OK"))</f>
      </c>
      <c r="S36" s="6">
        <f>IF(AND(J36="",K36=""),"vazio",IF(AND(OR(J36="",LEN(SUBSTITUTE(SUBSTITUTE(SUBSTITUTE(SUBSTITUTE(SUBSTITUTE(SUBSTITUTE(SUBSTITUTE(TRIM(J36),".",""),"/",""),"-","")," ",""),"(",""),")",""),"+",""))=10,LEN(SUBSTITUTE(SUBSTITUTE(SUBSTITUTE(SUBSTITUTE(SUBSTITUTE(SUBSTITUTE(SUBSTITUTE(TRIM(J36),".",""),"/",""),"-","")," ",""),"(",""),")",""),"+",""))=11),OR(K36="",LEN(SUBSTITUTE(SUBSTITUTE(SUBSTITUTE(SUBSTITUTE(SUBSTITUTE(SUBSTITUTE(SUBSTITUTE(TRIM(K36),".",""),"/",""),"-","")," ",""),"(",""),")",""),"+",""))=10,LEN(SUBSTITUTE(SUBSTITUTE(SUBSTITUTE(SUBSTITUTE(SUBSTITUTE(SUBSTITUTE(SUBSTITUTE(TRIM(K36),".",""),"/",""),"-","")," ",""),"(",""),")",""),"+",""))=11)),"OK","ERRO: use DDD + número (10 ou 11 dígitos)"))</f>
      </c>
      <c r="T36" s="6">
        <f>IF(L36="","vazio",IF(AND(ISNUMBER(FIND("@",L36)),ISNUMBER(FIND(".",MID(L36,FIND("@",L36),99))),NOT(ISNUMBER(FIND(" ",TRIM(L36)))),NOT(ISNUMBER(FIND(";",L36))),NOT(ISNUMBER(FIND(",",L36)))),"OK","ERRO: um e-mail válido por linha"))</f>
      </c>
      <c r="U36" s="6">
        <f>IF(COUNTA(A36:O36)=0,"",IF(AND(B36&lt;&gt;"",C36&lt;&gt;"",D36&lt;&gt;"",E36&lt;&gt;"",H36&lt;&gt;"",OR(J36&lt;&gt;"",L36&lt;&gt;"")),"OK","ERRO: faltam "&amp;IF(B36="","Proprietário; ","")&amp;IF(C36="","Origem; ","")&amp;IF(D36="","CNPJ; ","")&amp;IF(E36="","Razão Social; ","")&amp;IF(H36="","Sobrenome; ","")&amp;IF(AND(J36="",L36=""),"telefone ou e-mail; ","")))</f>
      </c>
      <c r="V36" s="6">
        <f>IF(COUNTA(A36:O36)=0,"",IF(AND(Q36="OK",R36="OK",LEFT(S36,4)&lt;&gt;"ERRO",LEFT(T36,4)&lt;&gt;"ERRO",U36="OK"),"OK","REVISAR"))</f>
      </c>
    </row>
    <row r="37">
      <c r="A37" s="4"/>
      <c r="B37" s="5"/>
      <c r="C37" s="5"/>
      <c r="D37" s="5"/>
      <c r="E37" s="5"/>
      <c r="F37" s="4"/>
      <c r="G37" s="4"/>
      <c r="H37" s="5"/>
      <c r="I37" s="4"/>
      <c r="J37" s="4"/>
      <c r="K37" s="4"/>
      <c r="L37" s="4"/>
      <c r="M37" s="4"/>
      <c r="N37" s="4"/>
      <c r="O37" s="4"/>
      <c r="P37" s="6">
        <f>IF(D37="","",SUBSTITUTE(SUBSTITUTE(SUBSTITUTE(SUBSTITUTE(SUBSTITUTE(SUBSTITUTE(SUBSTITUTE(TRIM(D37),".",""),"/",""),"-","")," ",""),"(",""),")",""),"+",""))</f>
      </c>
      <c r="Q37" s="6">
        <f>IF(P37="","",IF(LEN(P37)&lt;&gt;14,"ERRO: "&amp;LEN(P37)&amp;" dígitos",IF(NOT(ISNUMBER(VALUE(P37))),"ERRO: não numérico",IF(LEN(SUBSTITUTE(P37,LEFT(P37,1),""))=0,"ERRO: dígitos repetidos",IF(AND(VALUE(MID(P37,13,1))=IF(MOD(SUMPRODUCT(--MID(P37,{1,2,3,4,5,6,7,8,9,10,11,12},1),{5,4,3,2,9,8,7,6,5,4,3,2}),11)&lt;2,0,11-MOD(SUMPRODUCT(--MID(P37,{1,2,3,4,5,6,7,8,9,10,11,12},1),{5,4,3,2,9,8,7,6,5,4,3,2}),11)),VALUE(MID(P37,14,1))=IF(MOD(SUMPRODUCT(--MID(P37,{1,2,3,4,5,6,7,8,9,10,11,12,13},1),{6,5,4,3,2,9,8,7,6,5,4,3,2}),11)&lt;2,0,11-MOD(SUMPRODUCT(--MID(P37,{1,2,3,4,5,6,7,8,9,10,11,12,13},1),{6,5,4,3,2,9,8,7,6,5,4,3,2}),11))),"OK","ERRO: dígito verificador")))))</f>
      </c>
      <c r="R37" s="6">
        <f>IF(P37="","",IF(COUNTIF($P$2:$P$1001,P37)&gt;1,"DUPLICADO","OK"))</f>
      </c>
      <c r="S37" s="6">
        <f>IF(AND(J37="",K37=""),"vazio",IF(AND(OR(J37="",LEN(SUBSTITUTE(SUBSTITUTE(SUBSTITUTE(SUBSTITUTE(SUBSTITUTE(SUBSTITUTE(SUBSTITUTE(TRIM(J37),".",""),"/",""),"-","")," ",""),"(",""),")",""),"+",""))=10,LEN(SUBSTITUTE(SUBSTITUTE(SUBSTITUTE(SUBSTITUTE(SUBSTITUTE(SUBSTITUTE(SUBSTITUTE(TRIM(J37),".",""),"/",""),"-","")," ",""),"(",""),")",""),"+",""))=11),OR(K37="",LEN(SUBSTITUTE(SUBSTITUTE(SUBSTITUTE(SUBSTITUTE(SUBSTITUTE(SUBSTITUTE(SUBSTITUTE(TRIM(K37),".",""),"/",""),"-","")," ",""),"(",""),")",""),"+",""))=10,LEN(SUBSTITUTE(SUBSTITUTE(SUBSTITUTE(SUBSTITUTE(SUBSTITUTE(SUBSTITUTE(SUBSTITUTE(TRIM(K37),".",""),"/",""),"-","")," ",""),"(",""),")",""),"+",""))=11)),"OK","ERRO: use DDD + número (10 ou 11 dígitos)"))</f>
      </c>
      <c r="T37" s="6">
        <f>IF(L37="","vazio",IF(AND(ISNUMBER(FIND("@",L37)),ISNUMBER(FIND(".",MID(L37,FIND("@",L37),99))),NOT(ISNUMBER(FIND(" ",TRIM(L37)))),NOT(ISNUMBER(FIND(";",L37))),NOT(ISNUMBER(FIND(",",L37)))),"OK","ERRO: um e-mail válido por linha"))</f>
      </c>
      <c r="U37" s="6">
        <f>IF(COUNTA(A37:O37)=0,"",IF(AND(B37&lt;&gt;"",C37&lt;&gt;"",D37&lt;&gt;"",E37&lt;&gt;"",H37&lt;&gt;"",OR(J37&lt;&gt;"",L37&lt;&gt;"")),"OK","ERRO: faltam "&amp;IF(B37="","Proprietário; ","")&amp;IF(C37="","Origem; ","")&amp;IF(D37="","CNPJ; ","")&amp;IF(E37="","Razão Social; ","")&amp;IF(H37="","Sobrenome; ","")&amp;IF(AND(J37="",L37=""),"telefone ou e-mail; ","")))</f>
      </c>
      <c r="V37" s="6">
        <f>IF(COUNTA(A37:O37)=0,"",IF(AND(Q37="OK",R37="OK",LEFT(S37,4)&lt;&gt;"ERRO",LEFT(T37,4)&lt;&gt;"ERRO",U37="OK"),"OK","REVISAR"))</f>
      </c>
    </row>
    <row r="38">
      <c r="A38" s="4"/>
      <c r="B38" s="5"/>
      <c r="C38" s="5"/>
      <c r="D38" s="5"/>
      <c r="E38" s="5"/>
      <c r="F38" s="4"/>
      <c r="G38" s="4"/>
      <c r="H38" s="5"/>
      <c r="I38" s="4"/>
      <c r="J38" s="4"/>
      <c r="K38" s="4"/>
      <c r="L38" s="4"/>
      <c r="M38" s="4"/>
      <c r="N38" s="4"/>
      <c r="O38" s="4"/>
      <c r="P38" s="6">
        <f>IF(D38="","",SUBSTITUTE(SUBSTITUTE(SUBSTITUTE(SUBSTITUTE(SUBSTITUTE(SUBSTITUTE(SUBSTITUTE(TRIM(D38),".",""),"/",""),"-","")," ",""),"(",""),")",""),"+",""))</f>
      </c>
      <c r="Q38" s="6">
        <f>IF(P38="","",IF(LEN(P38)&lt;&gt;14,"ERRO: "&amp;LEN(P38)&amp;" dígitos",IF(NOT(ISNUMBER(VALUE(P38))),"ERRO: não numérico",IF(LEN(SUBSTITUTE(P38,LEFT(P38,1),""))=0,"ERRO: dígitos repetidos",IF(AND(VALUE(MID(P38,13,1))=IF(MOD(SUMPRODUCT(--MID(P38,{1,2,3,4,5,6,7,8,9,10,11,12},1),{5,4,3,2,9,8,7,6,5,4,3,2}),11)&lt;2,0,11-MOD(SUMPRODUCT(--MID(P38,{1,2,3,4,5,6,7,8,9,10,11,12},1),{5,4,3,2,9,8,7,6,5,4,3,2}),11)),VALUE(MID(P38,14,1))=IF(MOD(SUMPRODUCT(--MID(P38,{1,2,3,4,5,6,7,8,9,10,11,12,13},1),{6,5,4,3,2,9,8,7,6,5,4,3,2}),11)&lt;2,0,11-MOD(SUMPRODUCT(--MID(P38,{1,2,3,4,5,6,7,8,9,10,11,12,13},1),{6,5,4,3,2,9,8,7,6,5,4,3,2}),11))),"OK","ERRO: dígito verificador")))))</f>
      </c>
      <c r="R38" s="6">
        <f>IF(P38="","",IF(COUNTIF($P$2:$P$1001,P38)&gt;1,"DUPLICADO","OK"))</f>
      </c>
      <c r="S38" s="6">
        <f>IF(AND(J38="",K38=""),"vazio",IF(AND(OR(J38="",LEN(SUBSTITUTE(SUBSTITUTE(SUBSTITUTE(SUBSTITUTE(SUBSTITUTE(SUBSTITUTE(SUBSTITUTE(TRIM(J38),".",""),"/",""),"-","")," ",""),"(",""),")",""),"+",""))=10,LEN(SUBSTITUTE(SUBSTITUTE(SUBSTITUTE(SUBSTITUTE(SUBSTITUTE(SUBSTITUTE(SUBSTITUTE(TRIM(J38),".",""),"/",""),"-","")," ",""),"(",""),")",""),"+",""))=11),OR(K38="",LEN(SUBSTITUTE(SUBSTITUTE(SUBSTITUTE(SUBSTITUTE(SUBSTITUTE(SUBSTITUTE(SUBSTITUTE(TRIM(K38),".",""),"/",""),"-","")," ",""),"(",""),")",""),"+",""))=10,LEN(SUBSTITUTE(SUBSTITUTE(SUBSTITUTE(SUBSTITUTE(SUBSTITUTE(SUBSTITUTE(SUBSTITUTE(TRIM(K38),".",""),"/",""),"-","")," ",""),"(",""),")",""),"+",""))=11)),"OK","ERRO: use DDD + número (10 ou 11 dígitos)"))</f>
      </c>
      <c r="T38" s="6">
        <f>IF(L38="","vazio",IF(AND(ISNUMBER(FIND("@",L38)),ISNUMBER(FIND(".",MID(L38,FIND("@",L38),99))),NOT(ISNUMBER(FIND(" ",TRIM(L38)))),NOT(ISNUMBER(FIND(";",L38))),NOT(ISNUMBER(FIND(",",L38)))),"OK","ERRO: um e-mail válido por linha"))</f>
      </c>
      <c r="U38" s="6">
        <f>IF(COUNTA(A38:O38)=0,"",IF(AND(B38&lt;&gt;"",C38&lt;&gt;"",D38&lt;&gt;"",E38&lt;&gt;"",H38&lt;&gt;"",OR(J38&lt;&gt;"",L38&lt;&gt;"")),"OK","ERRO: faltam "&amp;IF(B38="","Proprietário; ","")&amp;IF(C38="","Origem; ","")&amp;IF(D38="","CNPJ; ","")&amp;IF(E38="","Razão Social; ","")&amp;IF(H38="","Sobrenome; ","")&amp;IF(AND(J38="",L38=""),"telefone ou e-mail; ","")))</f>
      </c>
      <c r="V38" s="6">
        <f>IF(COUNTA(A38:O38)=0,"",IF(AND(Q38="OK",R38="OK",LEFT(S38,4)&lt;&gt;"ERRO",LEFT(T38,4)&lt;&gt;"ERRO",U38="OK"),"OK","REVISAR"))</f>
      </c>
    </row>
    <row r="39">
      <c r="A39" s="4"/>
      <c r="B39" s="5"/>
      <c r="C39" s="5"/>
      <c r="D39" s="5"/>
      <c r="E39" s="5"/>
      <c r="F39" s="4"/>
      <c r="G39" s="4"/>
      <c r="H39" s="5"/>
      <c r="I39" s="4"/>
      <c r="J39" s="4"/>
      <c r="K39" s="4"/>
      <c r="L39" s="4"/>
      <c r="M39" s="4"/>
      <c r="N39" s="4"/>
      <c r="O39" s="4"/>
      <c r="P39" s="6">
        <f>IF(D39="","",SUBSTITUTE(SUBSTITUTE(SUBSTITUTE(SUBSTITUTE(SUBSTITUTE(SUBSTITUTE(SUBSTITUTE(TRIM(D39),".",""),"/",""),"-","")," ",""),"(",""),")",""),"+",""))</f>
      </c>
      <c r="Q39" s="6">
        <f>IF(P39="","",IF(LEN(P39)&lt;&gt;14,"ERRO: "&amp;LEN(P39)&amp;" dígitos",IF(NOT(ISNUMBER(VALUE(P39))),"ERRO: não numérico",IF(LEN(SUBSTITUTE(P39,LEFT(P39,1),""))=0,"ERRO: dígitos repetidos",IF(AND(VALUE(MID(P39,13,1))=IF(MOD(SUMPRODUCT(--MID(P39,{1,2,3,4,5,6,7,8,9,10,11,12},1),{5,4,3,2,9,8,7,6,5,4,3,2}),11)&lt;2,0,11-MOD(SUMPRODUCT(--MID(P39,{1,2,3,4,5,6,7,8,9,10,11,12},1),{5,4,3,2,9,8,7,6,5,4,3,2}),11)),VALUE(MID(P39,14,1))=IF(MOD(SUMPRODUCT(--MID(P39,{1,2,3,4,5,6,7,8,9,10,11,12,13},1),{6,5,4,3,2,9,8,7,6,5,4,3,2}),11)&lt;2,0,11-MOD(SUMPRODUCT(--MID(P39,{1,2,3,4,5,6,7,8,9,10,11,12,13},1),{6,5,4,3,2,9,8,7,6,5,4,3,2}),11))),"OK","ERRO: dígito verificador")))))</f>
      </c>
      <c r="R39" s="6">
        <f>IF(P39="","",IF(COUNTIF($P$2:$P$1001,P39)&gt;1,"DUPLICADO","OK"))</f>
      </c>
      <c r="S39" s="6">
        <f>IF(AND(J39="",K39=""),"vazio",IF(AND(OR(J39="",LEN(SUBSTITUTE(SUBSTITUTE(SUBSTITUTE(SUBSTITUTE(SUBSTITUTE(SUBSTITUTE(SUBSTITUTE(TRIM(J39),".",""),"/",""),"-","")," ",""),"(",""),")",""),"+",""))=10,LEN(SUBSTITUTE(SUBSTITUTE(SUBSTITUTE(SUBSTITUTE(SUBSTITUTE(SUBSTITUTE(SUBSTITUTE(TRIM(J39),".",""),"/",""),"-","")," ",""),"(",""),")",""),"+",""))=11),OR(K39="",LEN(SUBSTITUTE(SUBSTITUTE(SUBSTITUTE(SUBSTITUTE(SUBSTITUTE(SUBSTITUTE(SUBSTITUTE(TRIM(K39),".",""),"/",""),"-","")," ",""),"(",""),")",""),"+",""))=10,LEN(SUBSTITUTE(SUBSTITUTE(SUBSTITUTE(SUBSTITUTE(SUBSTITUTE(SUBSTITUTE(SUBSTITUTE(TRIM(K39),".",""),"/",""),"-","")," ",""),"(",""),")",""),"+",""))=11)),"OK","ERRO: use DDD + número (10 ou 11 dígitos)"))</f>
      </c>
      <c r="T39" s="6">
        <f>IF(L39="","vazio",IF(AND(ISNUMBER(FIND("@",L39)),ISNUMBER(FIND(".",MID(L39,FIND("@",L39),99))),NOT(ISNUMBER(FIND(" ",TRIM(L39)))),NOT(ISNUMBER(FIND(";",L39))),NOT(ISNUMBER(FIND(",",L39)))),"OK","ERRO: um e-mail válido por linha"))</f>
      </c>
      <c r="U39" s="6">
        <f>IF(COUNTA(A39:O39)=0,"",IF(AND(B39&lt;&gt;"",C39&lt;&gt;"",D39&lt;&gt;"",E39&lt;&gt;"",H39&lt;&gt;"",OR(J39&lt;&gt;"",L39&lt;&gt;"")),"OK","ERRO: faltam "&amp;IF(B39="","Proprietário; ","")&amp;IF(C39="","Origem; ","")&amp;IF(D39="","CNPJ; ","")&amp;IF(E39="","Razão Social; ","")&amp;IF(H39="","Sobrenome; ","")&amp;IF(AND(J39="",L39=""),"telefone ou e-mail; ","")))</f>
      </c>
      <c r="V39" s="6">
        <f>IF(COUNTA(A39:O39)=0,"",IF(AND(Q39="OK",R39="OK",LEFT(S39,4)&lt;&gt;"ERRO",LEFT(T39,4)&lt;&gt;"ERRO",U39="OK"),"OK","REVISAR"))</f>
      </c>
    </row>
    <row r="40">
      <c r="A40" s="4"/>
      <c r="B40" s="5"/>
      <c r="C40" s="5"/>
      <c r="D40" s="5"/>
      <c r="E40" s="5"/>
      <c r="F40" s="4"/>
      <c r="G40" s="4"/>
      <c r="H40" s="5"/>
      <c r="I40" s="4"/>
      <c r="J40" s="4"/>
      <c r="K40" s="4"/>
      <c r="L40" s="4"/>
      <c r="M40" s="4"/>
      <c r="N40" s="4"/>
      <c r="O40" s="4"/>
      <c r="P40" s="6">
        <f>IF(D40="","",SUBSTITUTE(SUBSTITUTE(SUBSTITUTE(SUBSTITUTE(SUBSTITUTE(SUBSTITUTE(SUBSTITUTE(TRIM(D40),".",""),"/",""),"-","")," ",""),"(",""),")",""),"+",""))</f>
      </c>
      <c r="Q40" s="6">
        <f>IF(P40="","",IF(LEN(P40)&lt;&gt;14,"ERRO: "&amp;LEN(P40)&amp;" dígitos",IF(NOT(ISNUMBER(VALUE(P40))),"ERRO: não numérico",IF(LEN(SUBSTITUTE(P40,LEFT(P40,1),""))=0,"ERRO: dígitos repetidos",IF(AND(VALUE(MID(P40,13,1))=IF(MOD(SUMPRODUCT(--MID(P40,{1,2,3,4,5,6,7,8,9,10,11,12},1),{5,4,3,2,9,8,7,6,5,4,3,2}),11)&lt;2,0,11-MOD(SUMPRODUCT(--MID(P40,{1,2,3,4,5,6,7,8,9,10,11,12},1),{5,4,3,2,9,8,7,6,5,4,3,2}),11)),VALUE(MID(P40,14,1))=IF(MOD(SUMPRODUCT(--MID(P40,{1,2,3,4,5,6,7,8,9,10,11,12,13},1),{6,5,4,3,2,9,8,7,6,5,4,3,2}),11)&lt;2,0,11-MOD(SUMPRODUCT(--MID(P40,{1,2,3,4,5,6,7,8,9,10,11,12,13},1),{6,5,4,3,2,9,8,7,6,5,4,3,2}),11))),"OK","ERRO: dígito verificador")))))</f>
      </c>
      <c r="R40" s="6">
        <f>IF(P40="","",IF(COUNTIF($P$2:$P$1001,P40)&gt;1,"DUPLICADO","OK"))</f>
      </c>
      <c r="S40" s="6">
        <f>IF(AND(J40="",K40=""),"vazio",IF(AND(OR(J40="",LEN(SUBSTITUTE(SUBSTITUTE(SUBSTITUTE(SUBSTITUTE(SUBSTITUTE(SUBSTITUTE(SUBSTITUTE(TRIM(J40),".",""),"/",""),"-","")," ",""),"(",""),")",""),"+",""))=10,LEN(SUBSTITUTE(SUBSTITUTE(SUBSTITUTE(SUBSTITUTE(SUBSTITUTE(SUBSTITUTE(SUBSTITUTE(TRIM(J40),".",""),"/",""),"-","")," ",""),"(",""),")",""),"+",""))=11),OR(K40="",LEN(SUBSTITUTE(SUBSTITUTE(SUBSTITUTE(SUBSTITUTE(SUBSTITUTE(SUBSTITUTE(SUBSTITUTE(TRIM(K40),".",""),"/",""),"-","")," ",""),"(",""),")",""),"+",""))=10,LEN(SUBSTITUTE(SUBSTITUTE(SUBSTITUTE(SUBSTITUTE(SUBSTITUTE(SUBSTITUTE(SUBSTITUTE(TRIM(K40),".",""),"/",""),"-","")," ",""),"(",""),")",""),"+",""))=11)),"OK","ERRO: use DDD + número (10 ou 11 dígitos)"))</f>
      </c>
      <c r="T40" s="6">
        <f>IF(L40="","vazio",IF(AND(ISNUMBER(FIND("@",L40)),ISNUMBER(FIND(".",MID(L40,FIND("@",L40),99))),NOT(ISNUMBER(FIND(" ",TRIM(L40)))),NOT(ISNUMBER(FIND(";",L40))),NOT(ISNUMBER(FIND(",",L40)))),"OK","ERRO: um e-mail válido por linha"))</f>
      </c>
      <c r="U40" s="6">
        <f>IF(COUNTA(A40:O40)=0,"",IF(AND(B40&lt;&gt;"",C40&lt;&gt;"",D40&lt;&gt;"",E40&lt;&gt;"",H40&lt;&gt;"",OR(J40&lt;&gt;"",L40&lt;&gt;"")),"OK","ERRO: faltam "&amp;IF(B40="","Proprietário; ","")&amp;IF(C40="","Origem; ","")&amp;IF(D40="","CNPJ; ","")&amp;IF(E40="","Razão Social; ","")&amp;IF(H40="","Sobrenome; ","")&amp;IF(AND(J40="",L40=""),"telefone ou e-mail; ","")))</f>
      </c>
      <c r="V40" s="6">
        <f>IF(COUNTA(A40:O40)=0,"",IF(AND(Q40="OK",R40="OK",LEFT(S40,4)&lt;&gt;"ERRO",LEFT(T40,4)&lt;&gt;"ERRO",U40="OK"),"OK","REVISAR"))</f>
      </c>
    </row>
    <row r="41">
      <c r="A41" s="4"/>
      <c r="B41" s="5"/>
      <c r="C41" s="5"/>
      <c r="D41" s="5"/>
      <c r="E41" s="5"/>
      <c r="F41" s="4"/>
      <c r="G41" s="4"/>
      <c r="H41" s="5"/>
      <c r="I41" s="4"/>
      <c r="J41" s="4"/>
      <c r="K41" s="4"/>
      <c r="L41" s="4"/>
      <c r="M41" s="4"/>
      <c r="N41" s="4"/>
      <c r="O41" s="4"/>
      <c r="P41" s="6">
        <f>IF(D41="","",SUBSTITUTE(SUBSTITUTE(SUBSTITUTE(SUBSTITUTE(SUBSTITUTE(SUBSTITUTE(SUBSTITUTE(TRIM(D41),".",""),"/",""),"-","")," ",""),"(",""),")",""),"+",""))</f>
      </c>
      <c r="Q41" s="6">
        <f>IF(P41="","",IF(LEN(P41)&lt;&gt;14,"ERRO: "&amp;LEN(P41)&amp;" dígitos",IF(NOT(ISNUMBER(VALUE(P41))),"ERRO: não numérico",IF(LEN(SUBSTITUTE(P41,LEFT(P41,1),""))=0,"ERRO: dígitos repetidos",IF(AND(VALUE(MID(P41,13,1))=IF(MOD(SUMPRODUCT(--MID(P41,{1,2,3,4,5,6,7,8,9,10,11,12},1),{5,4,3,2,9,8,7,6,5,4,3,2}),11)&lt;2,0,11-MOD(SUMPRODUCT(--MID(P41,{1,2,3,4,5,6,7,8,9,10,11,12},1),{5,4,3,2,9,8,7,6,5,4,3,2}),11)),VALUE(MID(P41,14,1))=IF(MOD(SUMPRODUCT(--MID(P41,{1,2,3,4,5,6,7,8,9,10,11,12,13},1),{6,5,4,3,2,9,8,7,6,5,4,3,2}),11)&lt;2,0,11-MOD(SUMPRODUCT(--MID(P41,{1,2,3,4,5,6,7,8,9,10,11,12,13},1),{6,5,4,3,2,9,8,7,6,5,4,3,2}),11))),"OK","ERRO: dígito verificador")))))</f>
      </c>
      <c r="R41" s="6">
        <f>IF(P41="","",IF(COUNTIF($P$2:$P$1001,P41)&gt;1,"DUPLICADO","OK"))</f>
      </c>
      <c r="S41" s="6">
        <f>IF(AND(J41="",K41=""),"vazio",IF(AND(OR(J41="",LEN(SUBSTITUTE(SUBSTITUTE(SUBSTITUTE(SUBSTITUTE(SUBSTITUTE(SUBSTITUTE(SUBSTITUTE(TRIM(J41),".",""),"/",""),"-","")," ",""),"(",""),")",""),"+",""))=10,LEN(SUBSTITUTE(SUBSTITUTE(SUBSTITUTE(SUBSTITUTE(SUBSTITUTE(SUBSTITUTE(SUBSTITUTE(TRIM(J41),".",""),"/",""),"-","")," ",""),"(",""),")",""),"+",""))=11),OR(K41="",LEN(SUBSTITUTE(SUBSTITUTE(SUBSTITUTE(SUBSTITUTE(SUBSTITUTE(SUBSTITUTE(SUBSTITUTE(TRIM(K41),".",""),"/",""),"-","")," ",""),"(",""),")",""),"+",""))=10,LEN(SUBSTITUTE(SUBSTITUTE(SUBSTITUTE(SUBSTITUTE(SUBSTITUTE(SUBSTITUTE(SUBSTITUTE(TRIM(K41),".",""),"/",""),"-","")," ",""),"(",""),")",""),"+",""))=11)),"OK","ERRO: use DDD + número (10 ou 11 dígitos)"))</f>
      </c>
      <c r="T41" s="6">
        <f>IF(L41="","vazio",IF(AND(ISNUMBER(FIND("@",L41)),ISNUMBER(FIND(".",MID(L41,FIND("@",L41),99))),NOT(ISNUMBER(FIND(" ",TRIM(L41)))),NOT(ISNUMBER(FIND(";",L41))),NOT(ISNUMBER(FIND(",",L41)))),"OK","ERRO: um e-mail válido por linha"))</f>
      </c>
      <c r="U41" s="6">
        <f>IF(COUNTA(A41:O41)=0,"",IF(AND(B41&lt;&gt;"",C41&lt;&gt;"",D41&lt;&gt;"",E41&lt;&gt;"",H41&lt;&gt;"",OR(J41&lt;&gt;"",L41&lt;&gt;"")),"OK","ERRO: faltam "&amp;IF(B41="","Proprietário; ","")&amp;IF(C41="","Origem; ","")&amp;IF(D41="","CNPJ; ","")&amp;IF(E41="","Razão Social; ","")&amp;IF(H41="","Sobrenome; ","")&amp;IF(AND(J41="",L41=""),"telefone ou e-mail; ","")))</f>
      </c>
      <c r="V41" s="6">
        <f>IF(COUNTA(A41:O41)=0,"",IF(AND(Q41="OK",R41="OK",LEFT(S41,4)&lt;&gt;"ERRO",LEFT(T41,4)&lt;&gt;"ERRO",U41="OK"),"OK","REVISAR"))</f>
      </c>
    </row>
    <row r="42">
      <c r="A42" s="4"/>
      <c r="B42" s="5"/>
      <c r="C42" s="5"/>
      <c r="D42" s="5"/>
      <c r="E42" s="5"/>
      <c r="F42" s="4"/>
      <c r="G42" s="4"/>
      <c r="H42" s="5"/>
      <c r="I42" s="4"/>
      <c r="J42" s="4"/>
      <c r="K42" s="4"/>
      <c r="L42" s="4"/>
      <c r="M42" s="4"/>
      <c r="N42" s="4"/>
      <c r="O42" s="4"/>
      <c r="P42" s="6">
        <f>IF(D42="","",SUBSTITUTE(SUBSTITUTE(SUBSTITUTE(SUBSTITUTE(SUBSTITUTE(SUBSTITUTE(SUBSTITUTE(TRIM(D42),".",""),"/",""),"-","")," ",""),"(",""),")",""),"+",""))</f>
      </c>
      <c r="Q42" s="6">
        <f>IF(P42="","",IF(LEN(P42)&lt;&gt;14,"ERRO: "&amp;LEN(P42)&amp;" dígitos",IF(NOT(ISNUMBER(VALUE(P42))),"ERRO: não numérico",IF(LEN(SUBSTITUTE(P42,LEFT(P42,1),""))=0,"ERRO: dígitos repetidos",IF(AND(VALUE(MID(P42,13,1))=IF(MOD(SUMPRODUCT(--MID(P42,{1,2,3,4,5,6,7,8,9,10,11,12},1),{5,4,3,2,9,8,7,6,5,4,3,2}),11)&lt;2,0,11-MOD(SUMPRODUCT(--MID(P42,{1,2,3,4,5,6,7,8,9,10,11,12},1),{5,4,3,2,9,8,7,6,5,4,3,2}),11)),VALUE(MID(P42,14,1))=IF(MOD(SUMPRODUCT(--MID(P42,{1,2,3,4,5,6,7,8,9,10,11,12,13},1),{6,5,4,3,2,9,8,7,6,5,4,3,2}),11)&lt;2,0,11-MOD(SUMPRODUCT(--MID(P42,{1,2,3,4,5,6,7,8,9,10,11,12,13},1),{6,5,4,3,2,9,8,7,6,5,4,3,2}),11))),"OK","ERRO: dígito verificador")))))</f>
      </c>
      <c r="R42" s="6">
        <f>IF(P42="","",IF(COUNTIF($P$2:$P$1001,P42)&gt;1,"DUPLICADO","OK"))</f>
      </c>
      <c r="S42" s="6">
        <f>IF(AND(J42="",K42=""),"vazio",IF(AND(OR(J42="",LEN(SUBSTITUTE(SUBSTITUTE(SUBSTITUTE(SUBSTITUTE(SUBSTITUTE(SUBSTITUTE(SUBSTITUTE(TRIM(J42),".",""),"/",""),"-","")," ",""),"(",""),")",""),"+",""))=10,LEN(SUBSTITUTE(SUBSTITUTE(SUBSTITUTE(SUBSTITUTE(SUBSTITUTE(SUBSTITUTE(SUBSTITUTE(TRIM(J42),".",""),"/",""),"-","")," ",""),"(",""),")",""),"+",""))=11),OR(K42="",LEN(SUBSTITUTE(SUBSTITUTE(SUBSTITUTE(SUBSTITUTE(SUBSTITUTE(SUBSTITUTE(SUBSTITUTE(TRIM(K42),".",""),"/",""),"-","")," ",""),"(",""),")",""),"+",""))=10,LEN(SUBSTITUTE(SUBSTITUTE(SUBSTITUTE(SUBSTITUTE(SUBSTITUTE(SUBSTITUTE(SUBSTITUTE(TRIM(K42),".",""),"/",""),"-","")," ",""),"(",""),")",""),"+",""))=11)),"OK","ERRO: use DDD + número (10 ou 11 dígitos)"))</f>
      </c>
      <c r="T42" s="6">
        <f>IF(L42="","vazio",IF(AND(ISNUMBER(FIND("@",L42)),ISNUMBER(FIND(".",MID(L42,FIND("@",L42),99))),NOT(ISNUMBER(FIND(" ",TRIM(L42)))),NOT(ISNUMBER(FIND(";",L42))),NOT(ISNUMBER(FIND(",",L42)))),"OK","ERRO: um e-mail válido por linha"))</f>
      </c>
      <c r="U42" s="6">
        <f>IF(COUNTA(A42:O42)=0,"",IF(AND(B42&lt;&gt;"",C42&lt;&gt;"",D42&lt;&gt;"",E42&lt;&gt;"",H42&lt;&gt;"",OR(J42&lt;&gt;"",L42&lt;&gt;"")),"OK","ERRO: faltam "&amp;IF(B42="","Proprietário; ","")&amp;IF(C42="","Origem; ","")&amp;IF(D42="","CNPJ; ","")&amp;IF(E42="","Razão Social; ","")&amp;IF(H42="","Sobrenome; ","")&amp;IF(AND(J42="",L42=""),"telefone ou e-mail; ","")))</f>
      </c>
      <c r="V42" s="6">
        <f>IF(COUNTA(A42:O42)=0,"",IF(AND(Q42="OK",R42="OK",LEFT(S42,4)&lt;&gt;"ERRO",LEFT(T42,4)&lt;&gt;"ERRO",U42="OK"),"OK","REVISAR"))</f>
      </c>
    </row>
    <row r="43">
      <c r="A43" s="4"/>
      <c r="B43" s="5"/>
      <c r="C43" s="5"/>
      <c r="D43" s="5"/>
      <c r="E43" s="5"/>
      <c r="F43" s="4"/>
      <c r="G43" s="4"/>
      <c r="H43" s="5"/>
      <c r="I43" s="4"/>
      <c r="J43" s="4"/>
      <c r="K43" s="4"/>
      <c r="L43" s="4"/>
      <c r="M43" s="4"/>
      <c r="N43" s="4"/>
      <c r="O43" s="4"/>
      <c r="P43" s="6">
        <f>IF(D43="","",SUBSTITUTE(SUBSTITUTE(SUBSTITUTE(SUBSTITUTE(SUBSTITUTE(SUBSTITUTE(SUBSTITUTE(TRIM(D43),".",""),"/",""),"-","")," ",""),"(",""),")",""),"+",""))</f>
      </c>
      <c r="Q43" s="6">
        <f>IF(P43="","",IF(LEN(P43)&lt;&gt;14,"ERRO: "&amp;LEN(P43)&amp;" dígitos",IF(NOT(ISNUMBER(VALUE(P43))),"ERRO: não numérico",IF(LEN(SUBSTITUTE(P43,LEFT(P43,1),""))=0,"ERRO: dígitos repetidos",IF(AND(VALUE(MID(P43,13,1))=IF(MOD(SUMPRODUCT(--MID(P43,{1,2,3,4,5,6,7,8,9,10,11,12},1),{5,4,3,2,9,8,7,6,5,4,3,2}),11)&lt;2,0,11-MOD(SUMPRODUCT(--MID(P43,{1,2,3,4,5,6,7,8,9,10,11,12},1),{5,4,3,2,9,8,7,6,5,4,3,2}),11)),VALUE(MID(P43,14,1))=IF(MOD(SUMPRODUCT(--MID(P43,{1,2,3,4,5,6,7,8,9,10,11,12,13},1),{6,5,4,3,2,9,8,7,6,5,4,3,2}),11)&lt;2,0,11-MOD(SUMPRODUCT(--MID(P43,{1,2,3,4,5,6,7,8,9,10,11,12,13},1),{6,5,4,3,2,9,8,7,6,5,4,3,2}),11))),"OK","ERRO: dígito verificador")))))</f>
      </c>
      <c r="R43" s="6">
        <f>IF(P43="","",IF(COUNTIF($P$2:$P$1001,P43)&gt;1,"DUPLICADO","OK"))</f>
      </c>
      <c r="S43" s="6">
        <f>IF(AND(J43="",K43=""),"vazio",IF(AND(OR(J43="",LEN(SUBSTITUTE(SUBSTITUTE(SUBSTITUTE(SUBSTITUTE(SUBSTITUTE(SUBSTITUTE(SUBSTITUTE(TRIM(J43),".",""),"/",""),"-","")," ",""),"(",""),")",""),"+",""))=10,LEN(SUBSTITUTE(SUBSTITUTE(SUBSTITUTE(SUBSTITUTE(SUBSTITUTE(SUBSTITUTE(SUBSTITUTE(TRIM(J43),".",""),"/",""),"-","")," ",""),"(",""),")",""),"+",""))=11),OR(K43="",LEN(SUBSTITUTE(SUBSTITUTE(SUBSTITUTE(SUBSTITUTE(SUBSTITUTE(SUBSTITUTE(SUBSTITUTE(TRIM(K43),".",""),"/",""),"-","")," ",""),"(",""),")",""),"+",""))=10,LEN(SUBSTITUTE(SUBSTITUTE(SUBSTITUTE(SUBSTITUTE(SUBSTITUTE(SUBSTITUTE(SUBSTITUTE(TRIM(K43),".",""),"/",""),"-","")," ",""),"(",""),")",""),"+",""))=11)),"OK","ERRO: use DDD + número (10 ou 11 dígitos)"))</f>
      </c>
      <c r="T43" s="6">
        <f>IF(L43="","vazio",IF(AND(ISNUMBER(FIND("@",L43)),ISNUMBER(FIND(".",MID(L43,FIND("@",L43),99))),NOT(ISNUMBER(FIND(" ",TRIM(L43)))),NOT(ISNUMBER(FIND(";",L43))),NOT(ISNUMBER(FIND(",",L43)))),"OK","ERRO: um e-mail válido por linha"))</f>
      </c>
      <c r="U43" s="6">
        <f>IF(COUNTA(A43:O43)=0,"",IF(AND(B43&lt;&gt;"",C43&lt;&gt;"",D43&lt;&gt;"",E43&lt;&gt;"",H43&lt;&gt;"",OR(J43&lt;&gt;"",L43&lt;&gt;"")),"OK","ERRO: faltam "&amp;IF(B43="","Proprietário; ","")&amp;IF(C43="","Origem; ","")&amp;IF(D43="","CNPJ; ","")&amp;IF(E43="","Razão Social; ","")&amp;IF(H43="","Sobrenome; ","")&amp;IF(AND(J43="",L43=""),"telefone ou e-mail; ","")))</f>
      </c>
      <c r="V43" s="6">
        <f>IF(COUNTA(A43:O43)=0,"",IF(AND(Q43="OK",R43="OK",LEFT(S43,4)&lt;&gt;"ERRO",LEFT(T43,4)&lt;&gt;"ERRO",U43="OK"),"OK","REVISAR"))</f>
      </c>
    </row>
    <row r="44">
      <c r="A44" s="4"/>
      <c r="B44" s="5"/>
      <c r="C44" s="5"/>
      <c r="D44" s="5"/>
      <c r="E44" s="5"/>
      <c r="F44" s="4"/>
      <c r="G44" s="4"/>
      <c r="H44" s="5"/>
      <c r="I44" s="4"/>
      <c r="J44" s="4"/>
      <c r="K44" s="4"/>
      <c r="L44" s="4"/>
      <c r="M44" s="4"/>
      <c r="N44" s="4"/>
      <c r="O44" s="4"/>
      <c r="P44" s="6">
        <f>IF(D44="","",SUBSTITUTE(SUBSTITUTE(SUBSTITUTE(SUBSTITUTE(SUBSTITUTE(SUBSTITUTE(SUBSTITUTE(TRIM(D44),".",""),"/",""),"-","")," ",""),"(",""),")",""),"+",""))</f>
      </c>
      <c r="Q44" s="6">
        <f>IF(P44="","",IF(LEN(P44)&lt;&gt;14,"ERRO: "&amp;LEN(P44)&amp;" dígitos",IF(NOT(ISNUMBER(VALUE(P44))),"ERRO: não numérico",IF(LEN(SUBSTITUTE(P44,LEFT(P44,1),""))=0,"ERRO: dígitos repetidos",IF(AND(VALUE(MID(P44,13,1))=IF(MOD(SUMPRODUCT(--MID(P44,{1,2,3,4,5,6,7,8,9,10,11,12},1),{5,4,3,2,9,8,7,6,5,4,3,2}),11)&lt;2,0,11-MOD(SUMPRODUCT(--MID(P44,{1,2,3,4,5,6,7,8,9,10,11,12},1),{5,4,3,2,9,8,7,6,5,4,3,2}),11)),VALUE(MID(P44,14,1))=IF(MOD(SUMPRODUCT(--MID(P44,{1,2,3,4,5,6,7,8,9,10,11,12,13},1),{6,5,4,3,2,9,8,7,6,5,4,3,2}),11)&lt;2,0,11-MOD(SUMPRODUCT(--MID(P44,{1,2,3,4,5,6,7,8,9,10,11,12,13},1),{6,5,4,3,2,9,8,7,6,5,4,3,2}),11))),"OK","ERRO: dígito verificador")))))</f>
      </c>
      <c r="R44" s="6">
        <f>IF(P44="","",IF(COUNTIF($P$2:$P$1001,P44)&gt;1,"DUPLICADO","OK"))</f>
      </c>
      <c r="S44" s="6">
        <f>IF(AND(J44="",K44=""),"vazio",IF(AND(OR(J44="",LEN(SUBSTITUTE(SUBSTITUTE(SUBSTITUTE(SUBSTITUTE(SUBSTITUTE(SUBSTITUTE(SUBSTITUTE(TRIM(J44),".",""),"/",""),"-","")," ",""),"(",""),")",""),"+",""))=10,LEN(SUBSTITUTE(SUBSTITUTE(SUBSTITUTE(SUBSTITUTE(SUBSTITUTE(SUBSTITUTE(SUBSTITUTE(TRIM(J44),".",""),"/",""),"-","")," ",""),"(",""),")",""),"+",""))=11),OR(K44="",LEN(SUBSTITUTE(SUBSTITUTE(SUBSTITUTE(SUBSTITUTE(SUBSTITUTE(SUBSTITUTE(SUBSTITUTE(TRIM(K44),".",""),"/",""),"-","")," ",""),"(",""),")",""),"+",""))=10,LEN(SUBSTITUTE(SUBSTITUTE(SUBSTITUTE(SUBSTITUTE(SUBSTITUTE(SUBSTITUTE(SUBSTITUTE(TRIM(K44),".",""),"/",""),"-","")," ",""),"(",""),")",""),"+",""))=11)),"OK","ERRO: use DDD + número (10 ou 11 dígitos)"))</f>
      </c>
      <c r="T44" s="6">
        <f>IF(L44="","vazio",IF(AND(ISNUMBER(FIND("@",L44)),ISNUMBER(FIND(".",MID(L44,FIND("@",L44),99))),NOT(ISNUMBER(FIND(" ",TRIM(L44)))),NOT(ISNUMBER(FIND(";",L44))),NOT(ISNUMBER(FIND(",",L44)))),"OK","ERRO: um e-mail válido por linha"))</f>
      </c>
      <c r="U44" s="6">
        <f>IF(COUNTA(A44:O44)=0,"",IF(AND(B44&lt;&gt;"",C44&lt;&gt;"",D44&lt;&gt;"",E44&lt;&gt;"",H44&lt;&gt;"",OR(J44&lt;&gt;"",L44&lt;&gt;"")),"OK","ERRO: faltam "&amp;IF(B44="","Proprietário; ","")&amp;IF(C44="","Origem; ","")&amp;IF(D44="","CNPJ; ","")&amp;IF(E44="","Razão Social; ","")&amp;IF(H44="","Sobrenome; ","")&amp;IF(AND(J44="",L44=""),"telefone ou e-mail; ","")))</f>
      </c>
      <c r="V44" s="6">
        <f>IF(COUNTA(A44:O44)=0,"",IF(AND(Q44="OK",R44="OK",LEFT(S44,4)&lt;&gt;"ERRO",LEFT(T44,4)&lt;&gt;"ERRO",U44="OK"),"OK","REVISAR"))</f>
      </c>
    </row>
    <row r="45">
      <c r="A45" s="4"/>
      <c r="B45" s="5"/>
      <c r="C45" s="5"/>
      <c r="D45" s="5"/>
      <c r="E45" s="5"/>
      <c r="F45" s="4"/>
      <c r="G45" s="4"/>
      <c r="H45" s="5"/>
      <c r="I45" s="4"/>
      <c r="J45" s="4"/>
      <c r="K45" s="4"/>
      <c r="L45" s="4"/>
      <c r="M45" s="4"/>
      <c r="N45" s="4"/>
      <c r="O45" s="4"/>
      <c r="P45" s="6">
        <f>IF(D45="","",SUBSTITUTE(SUBSTITUTE(SUBSTITUTE(SUBSTITUTE(SUBSTITUTE(SUBSTITUTE(SUBSTITUTE(TRIM(D45),".",""),"/",""),"-","")," ",""),"(",""),")",""),"+",""))</f>
      </c>
      <c r="Q45" s="6">
        <f>IF(P45="","",IF(LEN(P45)&lt;&gt;14,"ERRO: "&amp;LEN(P45)&amp;" dígitos",IF(NOT(ISNUMBER(VALUE(P45))),"ERRO: não numérico",IF(LEN(SUBSTITUTE(P45,LEFT(P45,1),""))=0,"ERRO: dígitos repetidos",IF(AND(VALUE(MID(P45,13,1))=IF(MOD(SUMPRODUCT(--MID(P45,{1,2,3,4,5,6,7,8,9,10,11,12},1),{5,4,3,2,9,8,7,6,5,4,3,2}),11)&lt;2,0,11-MOD(SUMPRODUCT(--MID(P45,{1,2,3,4,5,6,7,8,9,10,11,12},1),{5,4,3,2,9,8,7,6,5,4,3,2}),11)),VALUE(MID(P45,14,1))=IF(MOD(SUMPRODUCT(--MID(P45,{1,2,3,4,5,6,7,8,9,10,11,12,13},1),{6,5,4,3,2,9,8,7,6,5,4,3,2}),11)&lt;2,0,11-MOD(SUMPRODUCT(--MID(P45,{1,2,3,4,5,6,7,8,9,10,11,12,13},1),{6,5,4,3,2,9,8,7,6,5,4,3,2}),11))),"OK","ERRO: dígito verificador")))))</f>
      </c>
      <c r="R45" s="6">
        <f>IF(P45="","",IF(COUNTIF($P$2:$P$1001,P45)&gt;1,"DUPLICADO","OK"))</f>
      </c>
      <c r="S45" s="6">
        <f>IF(AND(J45="",K45=""),"vazio",IF(AND(OR(J45="",LEN(SUBSTITUTE(SUBSTITUTE(SUBSTITUTE(SUBSTITUTE(SUBSTITUTE(SUBSTITUTE(SUBSTITUTE(TRIM(J45),".",""),"/",""),"-","")," ",""),"(",""),")",""),"+",""))=10,LEN(SUBSTITUTE(SUBSTITUTE(SUBSTITUTE(SUBSTITUTE(SUBSTITUTE(SUBSTITUTE(SUBSTITUTE(TRIM(J45),".",""),"/",""),"-","")," ",""),"(",""),")",""),"+",""))=11),OR(K45="",LEN(SUBSTITUTE(SUBSTITUTE(SUBSTITUTE(SUBSTITUTE(SUBSTITUTE(SUBSTITUTE(SUBSTITUTE(TRIM(K45),".",""),"/",""),"-","")," ",""),"(",""),")",""),"+",""))=10,LEN(SUBSTITUTE(SUBSTITUTE(SUBSTITUTE(SUBSTITUTE(SUBSTITUTE(SUBSTITUTE(SUBSTITUTE(TRIM(K45),".",""),"/",""),"-","")," ",""),"(",""),")",""),"+",""))=11)),"OK","ERRO: use DDD + número (10 ou 11 dígitos)"))</f>
      </c>
      <c r="T45" s="6">
        <f>IF(L45="","vazio",IF(AND(ISNUMBER(FIND("@",L45)),ISNUMBER(FIND(".",MID(L45,FIND("@",L45),99))),NOT(ISNUMBER(FIND(" ",TRIM(L45)))),NOT(ISNUMBER(FIND(";",L45))),NOT(ISNUMBER(FIND(",",L45)))),"OK","ERRO: um e-mail válido por linha"))</f>
      </c>
      <c r="U45" s="6">
        <f>IF(COUNTA(A45:O45)=0,"",IF(AND(B45&lt;&gt;"",C45&lt;&gt;"",D45&lt;&gt;"",E45&lt;&gt;"",H45&lt;&gt;"",OR(J45&lt;&gt;"",L45&lt;&gt;"")),"OK","ERRO: faltam "&amp;IF(B45="","Proprietário; ","")&amp;IF(C45="","Origem; ","")&amp;IF(D45="","CNPJ; ","")&amp;IF(E45="","Razão Social; ","")&amp;IF(H45="","Sobrenome; ","")&amp;IF(AND(J45="",L45=""),"telefone ou e-mail; ","")))</f>
      </c>
      <c r="V45" s="6">
        <f>IF(COUNTA(A45:O45)=0,"",IF(AND(Q45="OK",R45="OK",LEFT(S45,4)&lt;&gt;"ERRO",LEFT(T45,4)&lt;&gt;"ERRO",U45="OK"),"OK","REVISAR"))</f>
      </c>
    </row>
    <row r="46">
      <c r="A46" s="4"/>
      <c r="B46" s="5"/>
      <c r="C46" s="5"/>
      <c r="D46" s="5"/>
      <c r="E46" s="5"/>
      <c r="F46" s="4"/>
      <c r="G46" s="4"/>
      <c r="H46" s="5"/>
      <c r="I46" s="4"/>
      <c r="J46" s="4"/>
      <c r="K46" s="4"/>
      <c r="L46" s="4"/>
      <c r="M46" s="4"/>
      <c r="N46" s="4"/>
      <c r="O46" s="4"/>
      <c r="P46" s="6">
        <f>IF(D46="","",SUBSTITUTE(SUBSTITUTE(SUBSTITUTE(SUBSTITUTE(SUBSTITUTE(SUBSTITUTE(SUBSTITUTE(TRIM(D46),".",""),"/",""),"-","")," ",""),"(",""),")",""),"+",""))</f>
      </c>
      <c r="Q46" s="6">
        <f>IF(P46="","",IF(LEN(P46)&lt;&gt;14,"ERRO: "&amp;LEN(P46)&amp;" dígitos",IF(NOT(ISNUMBER(VALUE(P46))),"ERRO: não numérico",IF(LEN(SUBSTITUTE(P46,LEFT(P46,1),""))=0,"ERRO: dígitos repetidos",IF(AND(VALUE(MID(P46,13,1))=IF(MOD(SUMPRODUCT(--MID(P46,{1,2,3,4,5,6,7,8,9,10,11,12},1),{5,4,3,2,9,8,7,6,5,4,3,2}),11)&lt;2,0,11-MOD(SUMPRODUCT(--MID(P46,{1,2,3,4,5,6,7,8,9,10,11,12},1),{5,4,3,2,9,8,7,6,5,4,3,2}),11)),VALUE(MID(P46,14,1))=IF(MOD(SUMPRODUCT(--MID(P46,{1,2,3,4,5,6,7,8,9,10,11,12,13},1),{6,5,4,3,2,9,8,7,6,5,4,3,2}),11)&lt;2,0,11-MOD(SUMPRODUCT(--MID(P46,{1,2,3,4,5,6,7,8,9,10,11,12,13},1),{6,5,4,3,2,9,8,7,6,5,4,3,2}),11))),"OK","ERRO: dígito verificador")))))</f>
      </c>
      <c r="R46" s="6">
        <f>IF(P46="","",IF(COUNTIF($P$2:$P$1001,P46)&gt;1,"DUPLICADO","OK"))</f>
      </c>
      <c r="S46" s="6">
        <f>IF(AND(J46="",K46=""),"vazio",IF(AND(OR(J46="",LEN(SUBSTITUTE(SUBSTITUTE(SUBSTITUTE(SUBSTITUTE(SUBSTITUTE(SUBSTITUTE(SUBSTITUTE(TRIM(J46),".",""),"/",""),"-","")," ",""),"(",""),")",""),"+",""))=10,LEN(SUBSTITUTE(SUBSTITUTE(SUBSTITUTE(SUBSTITUTE(SUBSTITUTE(SUBSTITUTE(SUBSTITUTE(TRIM(J46),".",""),"/",""),"-","")," ",""),"(",""),")",""),"+",""))=11),OR(K46="",LEN(SUBSTITUTE(SUBSTITUTE(SUBSTITUTE(SUBSTITUTE(SUBSTITUTE(SUBSTITUTE(SUBSTITUTE(TRIM(K46),".",""),"/",""),"-","")," ",""),"(",""),")",""),"+",""))=10,LEN(SUBSTITUTE(SUBSTITUTE(SUBSTITUTE(SUBSTITUTE(SUBSTITUTE(SUBSTITUTE(SUBSTITUTE(TRIM(K46),".",""),"/",""),"-","")," ",""),"(",""),")",""),"+",""))=11)),"OK","ERRO: use DDD + número (10 ou 11 dígitos)"))</f>
      </c>
      <c r="T46" s="6">
        <f>IF(L46="","vazio",IF(AND(ISNUMBER(FIND("@",L46)),ISNUMBER(FIND(".",MID(L46,FIND("@",L46),99))),NOT(ISNUMBER(FIND(" ",TRIM(L46)))),NOT(ISNUMBER(FIND(";",L46))),NOT(ISNUMBER(FIND(",",L46)))),"OK","ERRO: um e-mail válido por linha"))</f>
      </c>
      <c r="U46" s="6">
        <f>IF(COUNTA(A46:O46)=0,"",IF(AND(B46&lt;&gt;"",C46&lt;&gt;"",D46&lt;&gt;"",E46&lt;&gt;"",H46&lt;&gt;"",OR(J46&lt;&gt;"",L46&lt;&gt;"")),"OK","ERRO: faltam "&amp;IF(B46="","Proprietário; ","")&amp;IF(C46="","Origem; ","")&amp;IF(D46="","CNPJ; ","")&amp;IF(E46="","Razão Social; ","")&amp;IF(H46="","Sobrenome; ","")&amp;IF(AND(J46="",L46=""),"telefone ou e-mail; ","")))</f>
      </c>
      <c r="V46" s="6">
        <f>IF(COUNTA(A46:O46)=0,"",IF(AND(Q46="OK",R46="OK",LEFT(S46,4)&lt;&gt;"ERRO",LEFT(T46,4)&lt;&gt;"ERRO",U46="OK"),"OK","REVISAR"))</f>
      </c>
    </row>
    <row r="47">
      <c r="A47" s="4"/>
      <c r="B47" s="5"/>
      <c r="C47" s="5"/>
      <c r="D47" s="5"/>
      <c r="E47" s="5"/>
      <c r="F47" s="4"/>
      <c r="G47" s="4"/>
      <c r="H47" s="5"/>
      <c r="I47" s="4"/>
      <c r="J47" s="4"/>
      <c r="K47" s="4"/>
      <c r="L47" s="4"/>
      <c r="M47" s="4"/>
      <c r="N47" s="4"/>
      <c r="O47" s="4"/>
      <c r="P47" s="6">
        <f>IF(D47="","",SUBSTITUTE(SUBSTITUTE(SUBSTITUTE(SUBSTITUTE(SUBSTITUTE(SUBSTITUTE(SUBSTITUTE(TRIM(D47),".",""),"/",""),"-","")," ",""),"(",""),")",""),"+",""))</f>
      </c>
      <c r="Q47" s="6">
        <f>IF(P47="","",IF(LEN(P47)&lt;&gt;14,"ERRO: "&amp;LEN(P47)&amp;" dígitos",IF(NOT(ISNUMBER(VALUE(P47))),"ERRO: não numérico",IF(LEN(SUBSTITUTE(P47,LEFT(P47,1),""))=0,"ERRO: dígitos repetidos",IF(AND(VALUE(MID(P47,13,1))=IF(MOD(SUMPRODUCT(--MID(P47,{1,2,3,4,5,6,7,8,9,10,11,12},1),{5,4,3,2,9,8,7,6,5,4,3,2}),11)&lt;2,0,11-MOD(SUMPRODUCT(--MID(P47,{1,2,3,4,5,6,7,8,9,10,11,12},1),{5,4,3,2,9,8,7,6,5,4,3,2}),11)),VALUE(MID(P47,14,1))=IF(MOD(SUMPRODUCT(--MID(P47,{1,2,3,4,5,6,7,8,9,10,11,12,13},1),{6,5,4,3,2,9,8,7,6,5,4,3,2}),11)&lt;2,0,11-MOD(SUMPRODUCT(--MID(P47,{1,2,3,4,5,6,7,8,9,10,11,12,13},1),{6,5,4,3,2,9,8,7,6,5,4,3,2}),11))),"OK","ERRO: dígito verificador")))))</f>
      </c>
      <c r="R47" s="6">
        <f>IF(P47="","",IF(COUNTIF($P$2:$P$1001,P47)&gt;1,"DUPLICADO","OK"))</f>
      </c>
      <c r="S47" s="6">
        <f>IF(AND(J47="",K47=""),"vazio",IF(AND(OR(J47="",LEN(SUBSTITUTE(SUBSTITUTE(SUBSTITUTE(SUBSTITUTE(SUBSTITUTE(SUBSTITUTE(SUBSTITUTE(TRIM(J47),".",""),"/",""),"-","")," ",""),"(",""),")",""),"+",""))=10,LEN(SUBSTITUTE(SUBSTITUTE(SUBSTITUTE(SUBSTITUTE(SUBSTITUTE(SUBSTITUTE(SUBSTITUTE(TRIM(J47),".",""),"/",""),"-","")," ",""),"(",""),")",""),"+",""))=11),OR(K47="",LEN(SUBSTITUTE(SUBSTITUTE(SUBSTITUTE(SUBSTITUTE(SUBSTITUTE(SUBSTITUTE(SUBSTITUTE(TRIM(K47),".",""),"/",""),"-","")," ",""),"(",""),")",""),"+",""))=10,LEN(SUBSTITUTE(SUBSTITUTE(SUBSTITUTE(SUBSTITUTE(SUBSTITUTE(SUBSTITUTE(SUBSTITUTE(TRIM(K47),".",""),"/",""),"-","")," ",""),"(",""),")",""),"+",""))=11)),"OK","ERRO: use DDD + número (10 ou 11 dígitos)"))</f>
      </c>
      <c r="T47" s="6">
        <f>IF(L47="","vazio",IF(AND(ISNUMBER(FIND("@",L47)),ISNUMBER(FIND(".",MID(L47,FIND("@",L47),99))),NOT(ISNUMBER(FIND(" ",TRIM(L47)))),NOT(ISNUMBER(FIND(";",L47))),NOT(ISNUMBER(FIND(",",L47)))),"OK","ERRO: um e-mail válido por linha"))</f>
      </c>
      <c r="U47" s="6">
        <f>IF(COUNTA(A47:O47)=0,"",IF(AND(B47&lt;&gt;"",C47&lt;&gt;"",D47&lt;&gt;"",E47&lt;&gt;"",H47&lt;&gt;"",OR(J47&lt;&gt;"",L47&lt;&gt;"")),"OK","ERRO: faltam "&amp;IF(B47="","Proprietário; ","")&amp;IF(C47="","Origem; ","")&amp;IF(D47="","CNPJ; ","")&amp;IF(E47="","Razão Social; ","")&amp;IF(H47="","Sobrenome; ","")&amp;IF(AND(J47="",L47=""),"telefone ou e-mail; ","")))</f>
      </c>
      <c r="V47" s="6">
        <f>IF(COUNTA(A47:O47)=0,"",IF(AND(Q47="OK",R47="OK",LEFT(S47,4)&lt;&gt;"ERRO",LEFT(T47,4)&lt;&gt;"ERRO",U47="OK"),"OK","REVISAR"))</f>
      </c>
    </row>
    <row r="48">
      <c r="A48" s="4"/>
      <c r="B48" s="5"/>
      <c r="C48" s="5"/>
      <c r="D48" s="5"/>
      <c r="E48" s="5"/>
      <c r="F48" s="4"/>
      <c r="G48" s="4"/>
      <c r="H48" s="5"/>
      <c r="I48" s="4"/>
      <c r="J48" s="4"/>
      <c r="K48" s="4"/>
      <c r="L48" s="4"/>
      <c r="M48" s="4"/>
      <c r="N48" s="4"/>
      <c r="O48" s="4"/>
      <c r="P48" s="6">
        <f>IF(D48="","",SUBSTITUTE(SUBSTITUTE(SUBSTITUTE(SUBSTITUTE(SUBSTITUTE(SUBSTITUTE(SUBSTITUTE(TRIM(D48),".",""),"/",""),"-","")," ",""),"(",""),")",""),"+",""))</f>
      </c>
      <c r="Q48" s="6">
        <f>IF(P48="","",IF(LEN(P48)&lt;&gt;14,"ERRO: "&amp;LEN(P48)&amp;" dígitos",IF(NOT(ISNUMBER(VALUE(P48))),"ERRO: não numérico",IF(LEN(SUBSTITUTE(P48,LEFT(P48,1),""))=0,"ERRO: dígitos repetidos",IF(AND(VALUE(MID(P48,13,1))=IF(MOD(SUMPRODUCT(--MID(P48,{1,2,3,4,5,6,7,8,9,10,11,12},1),{5,4,3,2,9,8,7,6,5,4,3,2}),11)&lt;2,0,11-MOD(SUMPRODUCT(--MID(P48,{1,2,3,4,5,6,7,8,9,10,11,12},1),{5,4,3,2,9,8,7,6,5,4,3,2}),11)),VALUE(MID(P48,14,1))=IF(MOD(SUMPRODUCT(--MID(P48,{1,2,3,4,5,6,7,8,9,10,11,12,13},1),{6,5,4,3,2,9,8,7,6,5,4,3,2}),11)&lt;2,0,11-MOD(SUMPRODUCT(--MID(P48,{1,2,3,4,5,6,7,8,9,10,11,12,13},1),{6,5,4,3,2,9,8,7,6,5,4,3,2}),11))),"OK","ERRO: dígito verificador")))))</f>
      </c>
      <c r="R48" s="6">
        <f>IF(P48="","",IF(COUNTIF($P$2:$P$1001,P48)&gt;1,"DUPLICADO","OK"))</f>
      </c>
      <c r="S48" s="6">
        <f>IF(AND(J48="",K48=""),"vazio",IF(AND(OR(J48="",LEN(SUBSTITUTE(SUBSTITUTE(SUBSTITUTE(SUBSTITUTE(SUBSTITUTE(SUBSTITUTE(SUBSTITUTE(TRIM(J48),".",""),"/",""),"-","")," ",""),"(",""),")",""),"+",""))=10,LEN(SUBSTITUTE(SUBSTITUTE(SUBSTITUTE(SUBSTITUTE(SUBSTITUTE(SUBSTITUTE(SUBSTITUTE(TRIM(J48),".",""),"/",""),"-","")," ",""),"(",""),")",""),"+",""))=11),OR(K48="",LEN(SUBSTITUTE(SUBSTITUTE(SUBSTITUTE(SUBSTITUTE(SUBSTITUTE(SUBSTITUTE(SUBSTITUTE(TRIM(K48),".",""),"/",""),"-","")," ",""),"(",""),")",""),"+",""))=10,LEN(SUBSTITUTE(SUBSTITUTE(SUBSTITUTE(SUBSTITUTE(SUBSTITUTE(SUBSTITUTE(SUBSTITUTE(TRIM(K48),".",""),"/",""),"-","")," ",""),"(",""),")",""),"+",""))=11)),"OK","ERRO: use DDD + número (10 ou 11 dígitos)"))</f>
      </c>
      <c r="T48" s="6">
        <f>IF(L48="","vazio",IF(AND(ISNUMBER(FIND("@",L48)),ISNUMBER(FIND(".",MID(L48,FIND("@",L48),99))),NOT(ISNUMBER(FIND(" ",TRIM(L48)))),NOT(ISNUMBER(FIND(";",L48))),NOT(ISNUMBER(FIND(",",L48)))),"OK","ERRO: um e-mail válido por linha"))</f>
      </c>
      <c r="U48" s="6">
        <f>IF(COUNTA(A48:O48)=0,"",IF(AND(B48&lt;&gt;"",C48&lt;&gt;"",D48&lt;&gt;"",E48&lt;&gt;"",H48&lt;&gt;"",OR(J48&lt;&gt;"",L48&lt;&gt;"")),"OK","ERRO: faltam "&amp;IF(B48="","Proprietário; ","")&amp;IF(C48="","Origem; ","")&amp;IF(D48="","CNPJ; ","")&amp;IF(E48="","Razão Social; ","")&amp;IF(H48="","Sobrenome; ","")&amp;IF(AND(J48="",L48=""),"telefone ou e-mail; ","")))</f>
      </c>
      <c r="V48" s="6">
        <f>IF(COUNTA(A48:O48)=0,"",IF(AND(Q48="OK",R48="OK",LEFT(S48,4)&lt;&gt;"ERRO",LEFT(T48,4)&lt;&gt;"ERRO",U48="OK"),"OK","REVISAR"))</f>
      </c>
    </row>
    <row r="49">
      <c r="A49" s="4"/>
      <c r="B49" s="5"/>
      <c r="C49" s="5"/>
      <c r="D49" s="5"/>
      <c r="E49" s="5"/>
      <c r="F49" s="4"/>
      <c r="G49" s="4"/>
      <c r="H49" s="5"/>
      <c r="I49" s="4"/>
      <c r="J49" s="4"/>
      <c r="K49" s="4"/>
      <c r="L49" s="4"/>
      <c r="M49" s="4"/>
      <c r="N49" s="4"/>
      <c r="O49" s="4"/>
      <c r="P49" s="6">
        <f>IF(D49="","",SUBSTITUTE(SUBSTITUTE(SUBSTITUTE(SUBSTITUTE(SUBSTITUTE(SUBSTITUTE(SUBSTITUTE(TRIM(D49),".",""),"/",""),"-","")," ",""),"(",""),")",""),"+",""))</f>
      </c>
      <c r="Q49" s="6">
        <f>IF(P49="","",IF(LEN(P49)&lt;&gt;14,"ERRO: "&amp;LEN(P49)&amp;" dígitos",IF(NOT(ISNUMBER(VALUE(P49))),"ERRO: não numérico",IF(LEN(SUBSTITUTE(P49,LEFT(P49,1),""))=0,"ERRO: dígitos repetidos",IF(AND(VALUE(MID(P49,13,1))=IF(MOD(SUMPRODUCT(--MID(P49,{1,2,3,4,5,6,7,8,9,10,11,12},1),{5,4,3,2,9,8,7,6,5,4,3,2}),11)&lt;2,0,11-MOD(SUMPRODUCT(--MID(P49,{1,2,3,4,5,6,7,8,9,10,11,12},1),{5,4,3,2,9,8,7,6,5,4,3,2}),11)),VALUE(MID(P49,14,1))=IF(MOD(SUMPRODUCT(--MID(P49,{1,2,3,4,5,6,7,8,9,10,11,12,13},1),{6,5,4,3,2,9,8,7,6,5,4,3,2}),11)&lt;2,0,11-MOD(SUMPRODUCT(--MID(P49,{1,2,3,4,5,6,7,8,9,10,11,12,13},1),{6,5,4,3,2,9,8,7,6,5,4,3,2}),11))),"OK","ERRO: dígito verificador")))))</f>
      </c>
      <c r="R49" s="6">
        <f>IF(P49="","",IF(COUNTIF($P$2:$P$1001,P49)&gt;1,"DUPLICADO","OK"))</f>
      </c>
      <c r="S49" s="6">
        <f>IF(AND(J49="",K49=""),"vazio",IF(AND(OR(J49="",LEN(SUBSTITUTE(SUBSTITUTE(SUBSTITUTE(SUBSTITUTE(SUBSTITUTE(SUBSTITUTE(SUBSTITUTE(TRIM(J49),".",""),"/",""),"-","")," ",""),"(",""),")",""),"+",""))=10,LEN(SUBSTITUTE(SUBSTITUTE(SUBSTITUTE(SUBSTITUTE(SUBSTITUTE(SUBSTITUTE(SUBSTITUTE(TRIM(J49),".",""),"/",""),"-","")," ",""),"(",""),")",""),"+",""))=11),OR(K49="",LEN(SUBSTITUTE(SUBSTITUTE(SUBSTITUTE(SUBSTITUTE(SUBSTITUTE(SUBSTITUTE(SUBSTITUTE(TRIM(K49),".",""),"/",""),"-","")," ",""),"(",""),")",""),"+",""))=10,LEN(SUBSTITUTE(SUBSTITUTE(SUBSTITUTE(SUBSTITUTE(SUBSTITUTE(SUBSTITUTE(SUBSTITUTE(TRIM(K49),".",""),"/",""),"-","")," ",""),"(",""),")",""),"+",""))=11)),"OK","ERRO: use DDD + número (10 ou 11 dígitos)"))</f>
      </c>
      <c r="T49" s="6">
        <f>IF(L49="","vazio",IF(AND(ISNUMBER(FIND("@",L49)),ISNUMBER(FIND(".",MID(L49,FIND("@",L49),99))),NOT(ISNUMBER(FIND(" ",TRIM(L49)))),NOT(ISNUMBER(FIND(";",L49))),NOT(ISNUMBER(FIND(",",L49)))),"OK","ERRO: um e-mail válido por linha"))</f>
      </c>
      <c r="U49" s="6">
        <f>IF(COUNTA(A49:O49)=0,"",IF(AND(B49&lt;&gt;"",C49&lt;&gt;"",D49&lt;&gt;"",E49&lt;&gt;"",H49&lt;&gt;"",OR(J49&lt;&gt;"",L49&lt;&gt;"")),"OK","ERRO: faltam "&amp;IF(B49="","Proprietário; ","")&amp;IF(C49="","Origem; ","")&amp;IF(D49="","CNPJ; ","")&amp;IF(E49="","Razão Social; ","")&amp;IF(H49="","Sobrenome; ","")&amp;IF(AND(J49="",L49=""),"telefone ou e-mail; ","")))</f>
      </c>
      <c r="V49" s="6">
        <f>IF(COUNTA(A49:O49)=0,"",IF(AND(Q49="OK",R49="OK",LEFT(S49,4)&lt;&gt;"ERRO",LEFT(T49,4)&lt;&gt;"ERRO",U49="OK"),"OK","REVISAR"))</f>
      </c>
    </row>
    <row r="50">
      <c r="A50" s="4"/>
      <c r="B50" s="5"/>
      <c r="C50" s="5"/>
      <c r="D50" s="5"/>
      <c r="E50" s="5"/>
      <c r="F50" s="4"/>
      <c r="G50" s="4"/>
      <c r="H50" s="5"/>
      <c r="I50" s="4"/>
      <c r="J50" s="4"/>
      <c r="K50" s="4"/>
      <c r="L50" s="4"/>
      <c r="M50" s="4"/>
      <c r="N50" s="4"/>
      <c r="O50" s="4"/>
      <c r="P50" s="6">
        <f>IF(D50="","",SUBSTITUTE(SUBSTITUTE(SUBSTITUTE(SUBSTITUTE(SUBSTITUTE(SUBSTITUTE(SUBSTITUTE(TRIM(D50),".",""),"/",""),"-","")," ",""),"(",""),")",""),"+",""))</f>
      </c>
      <c r="Q50" s="6">
        <f>IF(P50="","",IF(LEN(P50)&lt;&gt;14,"ERRO: "&amp;LEN(P50)&amp;" dígitos",IF(NOT(ISNUMBER(VALUE(P50))),"ERRO: não numérico",IF(LEN(SUBSTITUTE(P50,LEFT(P50,1),""))=0,"ERRO: dígitos repetidos",IF(AND(VALUE(MID(P50,13,1))=IF(MOD(SUMPRODUCT(--MID(P50,{1,2,3,4,5,6,7,8,9,10,11,12},1),{5,4,3,2,9,8,7,6,5,4,3,2}),11)&lt;2,0,11-MOD(SUMPRODUCT(--MID(P50,{1,2,3,4,5,6,7,8,9,10,11,12},1),{5,4,3,2,9,8,7,6,5,4,3,2}),11)),VALUE(MID(P50,14,1))=IF(MOD(SUMPRODUCT(--MID(P50,{1,2,3,4,5,6,7,8,9,10,11,12,13},1),{6,5,4,3,2,9,8,7,6,5,4,3,2}),11)&lt;2,0,11-MOD(SUMPRODUCT(--MID(P50,{1,2,3,4,5,6,7,8,9,10,11,12,13},1),{6,5,4,3,2,9,8,7,6,5,4,3,2}),11))),"OK","ERRO: dígito verificador")))))</f>
      </c>
      <c r="R50" s="6">
        <f>IF(P50="","",IF(COUNTIF($P$2:$P$1001,P50)&gt;1,"DUPLICADO","OK"))</f>
      </c>
      <c r="S50" s="6">
        <f>IF(AND(J50="",K50=""),"vazio",IF(AND(OR(J50="",LEN(SUBSTITUTE(SUBSTITUTE(SUBSTITUTE(SUBSTITUTE(SUBSTITUTE(SUBSTITUTE(SUBSTITUTE(TRIM(J50),".",""),"/",""),"-","")," ",""),"(",""),")",""),"+",""))=10,LEN(SUBSTITUTE(SUBSTITUTE(SUBSTITUTE(SUBSTITUTE(SUBSTITUTE(SUBSTITUTE(SUBSTITUTE(TRIM(J50),".",""),"/",""),"-","")," ",""),"(",""),")",""),"+",""))=11),OR(K50="",LEN(SUBSTITUTE(SUBSTITUTE(SUBSTITUTE(SUBSTITUTE(SUBSTITUTE(SUBSTITUTE(SUBSTITUTE(TRIM(K50),".",""),"/",""),"-","")," ",""),"(",""),")",""),"+",""))=10,LEN(SUBSTITUTE(SUBSTITUTE(SUBSTITUTE(SUBSTITUTE(SUBSTITUTE(SUBSTITUTE(SUBSTITUTE(TRIM(K50),".",""),"/",""),"-","")," ",""),"(",""),")",""),"+",""))=11)),"OK","ERRO: use DDD + número (10 ou 11 dígitos)"))</f>
      </c>
      <c r="T50" s="6">
        <f>IF(L50="","vazio",IF(AND(ISNUMBER(FIND("@",L50)),ISNUMBER(FIND(".",MID(L50,FIND("@",L50),99))),NOT(ISNUMBER(FIND(" ",TRIM(L50)))),NOT(ISNUMBER(FIND(";",L50))),NOT(ISNUMBER(FIND(",",L50)))),"OK","ERRO: um e-mail válido por linha"))</f>
      </c>
      <c r="U50" s="6">
        <f>IF(COUNTA(A50:O50)=0,"",IF(AND(B50&lt;&gt;"",C50&lt;&gt;"",D50&lt;&gt;"",E50&lt;&gt;"",H50&lt;&gt;"",OR(J50&lt;&gt;"",L50&lt;&gt;"")),"OK","ERRO: faltam "&amp;IF(B50="","Proprietário; ","")&amp;IF(C50="","Origem; ","")&amp;IF(D50="","CNPJ; ","")&amp;IF(E50="","Razão Social; ","")&amp;IF(H50="","Sobrenome; ","")&amp;IF(AND(J50="",L50=""),"telefone ou e-mail; ","")))</f>
      </c>
      <c r="V50" s="6">
        <f>IF(COUNTA(A50:O50)=0,"",IF(AND(Q50="OK",R50="OK",LEFT(S50,4)&lt;&gt;"ERRO",LEFT(T50,4)&lt;&gt;"ERRO",U50="OK"),"OK","REVISAR"))</f>
      </c>
    </row>
    <row r="51">
      <c r="A51" s="4"/>
      <c r="B51" s="5"/>
      <c r="C51" s="5"/>
      <c r="D51" s="5"/>
      <c r="E51" s="5"/>
      <c r="F51" s="4"/>
      <c r="G51" s="4"/>
      <c r="H51" s="5"/>
      <c r="I51" s="4"/>
      <c r="J51" s="4"/>
      <c r="K51" s="4"/>
      <c r="L51" s="4"/>
      <c r="M51" s="4"/>
      <c r="N51" s="4"/>
      <c r="O51" s="4"/>
      <c r="P51" s="6">
        <f>IF(D51="","",SUBSTITUTE(SUBSTITUTE(SUBSTITUTE(SUBSTITUTE(SUBSTITUTE(SUBSTITUTE(SUBSTITUTE(TRIM(D51),".",""),"/",""),"-","")," ",""),"(",""),")",""),"+",""))</f>
      </c>
      <c r="Q51" s="6">
        <f>IF(P51="","",IF(LEN(P51)&lt;&gt;14,"ERRO: "&amp;LEN(P51)&amp;" dígitos",IF(NOT(ISNUMBER(VALUE(P51))),"ERRO: não numérico",IF(LEN(SUBSTITUTE(P51,LEFT(P51,1),""))=0,"ERRO: dígitos repetidos",IF(AND(VALUE(MID(P51,13,1))=IF(MOD(SUMPRODUCT(--MID(P51,{1,2,3,4,5,6,7,8,9,10,11,12},1),{5,4,3,2,9,8,7,6,5,4,3,2}),11)&lt;2,0,11-MOD(SUMPRODUCT(--MID(P51,{1,2,3,4,5,6,7,8,9,10,11,12},1),{5,4,3,2,9,8,7,6,5,4,3,2}),11)),VALUE(MID(P51,14,1))=IF(MOD(SUMPRODUCT(--MID(P51,{1,2,3,4,5,6,7,8,9,10,11,12,13},1),{6,5,4,3,2,9,8,7,6,5,4,3,2}),11)&lt;2,0,11-MOD(SUMPRODUCT(--MID(P51,{1,2,3,4,5,6,7,8,9,10,11,12,13},1),{6,5,4,3,2,9,8,7,6,5,4,3,2}),11))),"OK","ERRO: dígito verificador")))))</f>
      </c>
      <c r="R51" s="6">
        <f>IF(P51="","",IF(COUNTIF($P$2:$P$1001,P51)&gt;1,"DUPLICADO","OK"))</f>
      </c>
      <c r="S51" s="6">
        <f>IF(AND(J51="",K51=""),"vazio",IF(AND(OR(J51="",LEN(SUBSTITUTE(SUBSTITUTE(SUBSTITUTE(SUBSTITUTE(SUBSTITUTE(SUBSTITUTE(SUBSTITUTE(TRIM(J51),".",""),"/",""),"-","")," ",""),"(",""),")",""),"+",""))=10,LEN(SUBSTITUTE(SUBSTITUTE(SUBSTITUTE(SUBSTITUTE(SUBSTITUTE(SUBSTITUTE(SUBSTITUTE(TRIM(J51),".",""),"/",""),"-","")," ",""),"(",""),")",""),"+",""))=11),OR(K51="",LEN(SUBSTITUTE(SUBSTITUTE(SUBSTITUTE(SUBSTITUTE(SUBSTITUTE(SUBSTITUTE(SUBSTITUTE(TRIM(K51),".",""),"/",""),"-","")," ",""),"(",""),")",""),"+",""))=10,LEN(SUBSTITUTE(SUBSTITUTE(SUBSTITUTE(SUBSTITUTE(SUBSTITUTE(SUBSTITUTE(SUBSTITUTE(TRIM(K51),".",""),"/",""),"-","")," ",""),"(",""),")",""),"+",""))=11)),"OK","ERRO: use DDD + número (10 ou 11 dígitos)"))</f>
      </c>
      <c r="T51" s="6">
        <f>IF(L51="","vazio",IF(AND(ISNUMBER(FIND("@",L51)),ISNUMBER(FIND(".",MID(L51,FIND("@",L51),99))),NOT(ISNUMBER(FIND(" ",TRIM(L51)))),NOT(ISNUMBER(FIND(";",L51))),NOT(ISNUMBER(FIND(",",L51)))),"OK","ERRO: um e-mail válido por linha"))</f>
      </c>
      <c r="U51" s="6">
        <f>IF(COUNTA(A51:O51)=0,"",IF(AND(B51&lt;&gt;"",C51&lt;&gt;"",D51&lt;&gt;"",E51&lt;&gt;"",H51&lt;&gt;"",OR(J51&lt;&gt;"",L51&lt;&gt;"")),"OK","ERRO: faltam "&amp;IF(B51="","Proprietário; ","")&amp;IF(C51="","Origem; ","")&amp;IF(D51="","CNPJ; ","")&amp;IF(E51="","Razão Social; ","")&amp;IF(H51="","Sobrenome; ","")&amp;IF(AND(J51="",L51=""),"telefone ou e-mail; ","")))</f>
      </c>
      <c r="V51" s="6">
        <f>IF(COUNTA(A51:O51)=0,"",IF(AND(Q51="OK",R51="OK",LEFT(S51,4)&lt;&gt;"ERRO",LEFT(T51,4)&lt;&gt;"ERRO",U51="OK"),"OK","REVISAR"))</f>
      </c>
    </row>
    <row r="52">
      <c r="A52" s="4"/>
      <c r="B52" s="5"/>
      <c r="C52" s="5"/>
      <c r="D52" s="5"/>
      <c r="E52" s="5"/>
      <c r="F52" s="4"/>
      <c r="G52" s="4"/>
      <c r="H52" s="5"/>
      <c r="I52" s="4"/>
      <c r="J52" s="4"/>
      <c r="K52" s="4"/>
      <c r="L52" s="4"/>
      <c r="M52" s="4"/>
      <c r="N52" s="4"/>
      <c r="O52" s="4"/>
      <c r="P52" s="6">
        <f>IF(D52="","",SUBSTITUTE(SUBSTITUTE(SUBSTITUTE(SUBSTITUTE(SUBSTITUTE(SUBSTITUTE(SUBSTITUTE(TRIM(D52),".",""),"/",""),"-","")," ",""),"(",""),")",""),"+",""))</f>
      </c>
      <c r="Q52" s="6">
        <f>IF(P52="","",IF(LEN(P52)&lt;&gt;14,"ERRO: "&amp;LEN(P52)&amp;" dígitos",IF(NOT(ISNUMBER(VALUE(P52))),"ERRO: não numérico",IF(LEN(SUBSTITUTE(P52,LEFT(P52,1),""))=0,"ERRO: dígitos repetidos",IF(AND(VALUE(MID(P52,13,1))=IF(MOD(SUMPRODUCT(--MID(P52,{1,2,3,4,5,6,7,8,9,10,11,12},1),{5,4,3,2,9,8,7,6,5,4,3,2}),11)&lt;2,0,11-MOD(SUMPRODUCT(--MID(P52,{1,2,3,4,5,6,7,8,9,10,11,12},1),{5,4,3,2,9,8,7,6,5,4,3,2}),11)),VALUE(MID(P52,14,1))=IF(MOD(SUMPRODUCT(--MID(P52,{1,2,3,4,5,6,7,8,9,10,11,12,13},1),{6,5,4,3,2,9,8,7,6,5,4,3,2}),11)&lt;2,0,11-MOD(SUMPRODUCT(--MID(P52,{1,2,3,4,5,6,7,8,9,10,11,12,13},1),{6,5,4,3,2,9,8,7,6,5,4,3,2}),11))),"OK","ERRO: dígito verificador")))))</f>
      </c>
      <c r="R52" s="6">
        <f>IF(P52="","",IF(COUNTIF($P$2:$P$1001,P52)&gt;1,"DUPLICADO","OK"))</f>
      </c>
      <c r="S52" s="6">
        <f>IF(AND(J52="",K52=""),"vazio",IF(AND(OR(J52="",LEN(SUBSTITUTE(SUBSTITUTE(SUBSTITUTE(SUBSTITUTE(SUBSTITUTE(SUBSTITUTE(SUBSTITUTE(TRIM(J52),".",""),"/",""),"-","")," ",""),"(",""),")",""),"+",""))=10,LEN(SUBSTITUTE(SUBSTITUTE(SUBSTITUTE(SUBSTITUTE(SUBSTITUTE(SUBSTITUTE(SUBSTITUTE(TRIM(J52),".",""),"/",""),"-","")," ",""),"(",""),")",""),"+",""))=11),OR(K52="",LEN(SUBSTITUTE(SUBSTITUTE(SUBSTITUTE(SUBSTITUTE(SUBSTITUTE(SUBSTITUTE(SUBSTITUTE(TRIM(K52),".",""),"/",""),"-","")," ",""),"(",""),")",""),"+",""))=10,LEN(SUBSTITUTE(SUBSTITUTE(SUBSTITUTE(SUBSTITUTE(SUBSTITUTE(SUBSTITUTE(SUBSTITUTE(TRIM(K52),".",""),"/",""),"-","")," ",""),"(",""),")",""),"+",""))=11)),"OK","ERRO: use DDD + número (10 ou 11 dígitos)"))</f>
      </c>
      <c r="T52" s="6">
        <f>IF(L52="","vazio",IF(AND(ISNUMBER(FIND("@",L52)),ISNUMBER(FIND(".",MID(L52,FIND("@",L52),99))),NOT(ISNUMBER(FIND(" ",TRIM(L52)))),NOT(ISNUMBER(FIND(";",L52))),NOT(ISNUMBER(FIND(",",L52)))),"OK","ERRO: um e-mail válido por linha"))</f>
      </c>
      <c r="U52" s="6">
        <f>IF(COUNTA(A52:O52)=0,"",IF(AND(B52&lt;&gt;"",C52&lt;&gt;"",D52&lt;&gt;"",E52&lt;&gt;"",H52&lt;&gt;"",OR(J52&lt;&gt;"",L52&lt;&gt;"")),"OK","ERRO: faltam "&amp;IF(B52="","Proprietário; ","")&amp;IF(C52="","Origem; ","")&amp;IF(D52="","CNPJ; ","")&amp;IF(E52="","Razão Social; ","")&amp;IF(H52="","Sobrenome; ","")&amp;IF(AND(J52="",L52=""),"telefone ou e-mail; ","")))</f>
      </c>
      <c r="V52" s="6">
        <f>IF(COUNTA(A52:O52)=0,"",IF(AND(Q52="OK",R52="OK",LEFT(S52,4)&lt;&gt;"ERRO",LEFT(T52,4)&lt;&gt;"ERRO",U52="OK"),"OK","REVISAR"))</f>
      </c>
    </row>
    <row r="53">
      <c r="A53" s="4"/>
      <c r="B53" s="5"/>
      <c r="C53" s="5"/>
      <c r="D53" s="5"/>
      <c r="E53" s="5"/>
      <c r="F53" s="4"/>
      <c r="G53" s="4"/>
      <c r="H53" s="5"/>
      <c r="I53" s="4"/>
      <c r="J53" s="4"/>
      <c r="K53" s="4"/>
      <c r="L53" s="4"/>
      <c r="M53" s="4"/>
      <c r="N53" s="4"/>
      <c r="O53" s="4"/>
      <c r="P53" s="6">
        <f>IF(D53="","",SUBSTITUTE(SUBSTITUTE(SUBSTITUTE(SUBSTITUTE(SUBSTITUTE(SUBSTITUTE(SUBSTITUTE(TRIM(D53),".",""),"/",""),"-","")," ",""),"(",""),")",""),"+",""))</f>
      </c>
      <c r="Q53" s="6">
        <f>IF(P53="","",IF(LEN(P53)&lt;&gt;14,"ERRO: "&amp;LEN(P53)&amp;" dígitos",IF(NOT(ISNUMBER(VALUE(P53))),"ERRO: não numérico",IF(LEN(SUBSTITUTE(P53,LEFT(P53,1),""))=0,"ERRO: dígitos repetidos",IF(AND(VALUE(MID(P53,13,1))=IF(MOD(SUMPRODUCT(--MID(P53,{1,2,3,4,5,6,7,8,9,10,11,12},1),{5,4,3,2,9,8,7,6,5,4,3,2}),11)&lt;2,0,11-MOD(SUMPRODUCT(--MID(P53,{1,2,3,4,5,6,7,8,9,10,11,12},1),{5,4,3,2,9,8,7,6,5,4,3,2}),11)),VALUE(MID(P53,14,1))=IF(MOD(SUMPRODUCT(--MID(P53,{1,2,3,4,5,6,7,8,9,10,11,12,13},1),{6,5,4,3,2,9,8,7,6,5,4,3,2}),11)&lt;2,0,11-MOD(SUMPRODUCT(--MID(P53,{1,2,3,4,5,6,7,8,9,10,11,12,13},1),{6,5,4,3,2,9,8,7,6,5,4,3,2}),11))),"OK","ERRO: dígito verificador")))))</f>
      </c>
      <c r="R53" s="6">
        <f>IF(P53="","",IF(COUNTIF($P$2:$P$1001,P53)&gt;1,"DUPLICADO","OK"))</f>
      </c>
      <c r="S53" s="6">
        <f>IF(AND(J53="",K53=""),"vazio",IF(AND(OR(J53="",LEN(SUBSTITUTE(SUBSTITUTE(SUBSTITUTE(SUBSTITUTE(SUBSTITUTE(SUBSTITUTE(SUBSTITUTE(TRIM(J53),".",""),"/",""),"-","")," ",""),"(",""),")",""),"+",""))=10,LEN(SUBSTITUTE(SUBSTITUTE(SUBSTITUTE(SUBSTITUTE(SUBSTITUTE(SUBSTITUTE(SUBSTITUTE(TRIM(J53),".",""),"/",""),"-","")," ",""),"(",""),")",""),"+",""))=11),OR(K53="",LEN(SUBSTITUTE(SUBSTITUTE(SUBSTITUTE(SUBSTITUTE(SUBSTITUTE(SUBSTITUTE(SUBSTITUTE(TRIM(K53),".",""),"/",""),"-","")," ",""),"(",""),")",""),"+",""))=10,LEN(SUBSTITUTE(SUBSTITUTE(SUBSTITUTE(SUBSTITUTE(SUBSTITUTE(SUBSTITUTE(SUBSTITUTE(TRIM(K53),".",""),"/",""),"-","")," ",""),"(",""),")",""),"+",""))=11)),"OK","ERRO: use DDD + número (10 ou 11 dígitos)"))</f>
      </c>
      <c r="T53" s="6">
        <f>IF(L53="","vazio",IF(AND(ISNUMBER(FIND("@",L53)),ISNUMBER(FIND(".",MID(L53,FIND("@",L53),99))),NOT(ISNUMBER(FIND(" ",TRIM(L53)))),NOT(ISNUMBER(FIND(";",L53))),NOT(ISNUMBER(FIND(",",L53)))),"OK","ERRO: um e-mail válido por linha"))</f>
      </c>
      <c r="U53" s="6">
        <f>IF(COUNTA(A53:O53)=0,"",IF(AND(B53&lt;&gt;"",C53&lt;&gt;"",D53&lt;&gt;"",E53&lt;&gt;"",H53&lt;&gt;"",OR(J53&lt;&gt;"",L53&lt;&gt;"")),"OK","ERRO: faltam "&amp;IF(B53="","Proprietário; ","")&amp;IF(C53="","Origem; ","")&amp;IF(D53="","CNPJ; ","")&amp;IF(E53="","Razão Social; ","")&amp;IF(H53="","Sobrenome; ","")&amp;IF(AND(J53="",L53=""),"telefone ou e-mail; ","")))</f>
      </c>
      <c r="V53" s="6">
        <f>IF(COUNTA(A53:O53)=0,"",IF(AND(Q53="OK",R53="OK",LEFT(S53,4)&lt;&gt;"ERRO",LEFT(T53,4)&lt;&gt;"ERRO",U53="OK"),"OK","REVISAR"))</f>
      </c>
    </row>
    <row r="54">
      <c r="A54" s="4"/>
      <c r="B54" s="5"/>
      <c r="C54" s="5"/>
      <c r="D54" s="5"/>
      <c r="E54" s="5"/>
      <c r="F54" s="4"/>
      <c r="G54" s="4"/>
      <c r="H54" s="5"/>
      <c r="I54" s="4"/>
      <c r="J54" s="4"/>
      <c r="K54" s="4"/>
      <c r="L54" s="4"/>
      <c r="M54" s="4"/>
      <c r="N54" s="4"/>
      <c r="O54" s="4"/>
      <c r="P54" s="6">
        <f>IF(D54="","",SUBSTITUTE(SUBSTITUTE(SUBSTITUTE(SUBSTITUTE(SUBSTITUTE(SUBSTITUTE(SUBSTITUTE(TRIM(D54),".",""),"/",""),"-","")," ",""),"(",""),")",""),"+",""))</f>
      </c>
      <c r="Q54" s="6">
        <f>IF(P54="","",IF(LEN(P54)&lt;&gt;14,"ERRO: "&amp;LEN(P54)&amp;" dígitos",IF(NOT(ISNUMBER(VALUE(P54))),"ERRO: não numérico",IF(LEN(SUBSTITUTE(P54,LEFT(P54,1),""))=0,"ERRO: dígitos repetidos",IF(AND(VALUE(MID(P54,13,1))=IF(MOD(SUMPRODUCT(--MID(P54,{1,2,3,4,5,6,7,8,9,10,11,12},1),{5,4,3,2,9,8,7,6,5,4,3,2}),11)&lt;2,0,11-MOD(SUMPRODUCT(--MID(P54,{1,2,3,4,5,6,7,8,9,10,11,12},1),{5,4,3,2,9,8,7,6,5,4,3,2}),11)),VALUE(MID(P54,14,1))=IF(MOD(SUMPRODUCT(--MID(P54,{1,2,3,4,5,6,7,8,9,10,11,12,13},1),{6,5,4,3,2,9,8,7,6,5,4,3,2}),11)&lt;2,0,11-MOD(SUMPRODUCT(--MID(P54,{1,2,3,4,5,6,7,8,9,10,11,12,13},1),{6,5,4,3,2,9,8,7,6,5,4,3,2}),11))),"OK","ERRO: dígito verificador")))))</f>
      </c>
      <c r="R54" s="6">
        <f>IF(P54="","",IF(COUNTIF($P$2:$P$1001,P54)&gt;1,"DUPLICADO","OK"))</f>
      </c>
      <c r="S54" s="6">
        <f>IF(AND(J54="",K54=""),"vazio",IF(AND(OR(J54="",LEN(SUBSTITUTE(SUBSTITUTE(SUBSTITUTE(SUBSTITUTE(SUBSTITUTE(SUBSTITUTE(SUBSTITUTE(TRIM(J54),".",""),"/",""),"-","")," ",""),"(",""),")",""),"+",""))=10,LEN(SUBSTITUTE(SUBSTITUTE(SUBSTITUTE(SUBSTITUTE(SUBSTITUTE(SUBSTITUTE(SUBSTITUTE(TRIM(J54),".",""),"/",""),"-","")," ",""),"(",""),")",""),"+",""))=11),OR(K54="",LEN(SUBSTITUTE(SUBSTITUTE(SUBSTITUTE(SUBSTITUTE(SUBSTITUTE(SUBSTITUTE(SUBSTITUTE(TRIM(K54),".",""),"/",""),"-","")," ",""),"(",""),")",""),"+",""))=10,LEN(SUBSTITUTE(SUBSTITUTE(SUBSTITUTE(SUBSTITUTE(SUBSTITUTE(SUBSTITUTE(SUBSTITUTE(TRIM(K54),".",""),"/",""),"-","")," ",""),"(",""),")",""),"+",""))=11)),"OK","ERRO: use DDD + número (10 ou 11 dígitos)"))</f>
      </c>
      <c r="T54" s="6">
        <f>IF(L54="","vazio",IF(AND(ISNUMBER(FIND("@",L54)),ISNUMBER(FIND(".",MID(L54,FIND("@",L54),99))),NOT(ISNUMBER(FIND(" ",TRIM(L54)))),NOT(ISNUMBER(FIND(";",L54))),NOT(ISNUMBER(FIND(",",L54)))),"OK","ERRO: um e-mail válido por linha"))</f>
      </c>
      <c r="U54" s="6">
        <f>IF(COUNTA(A54:O54)=0,"",IF(AND(B54&lt;&gt;"",C54&lt;&gt;"",D54&lt;&gt;"",E54&lt;&gt;"",H54&lt;&gt;"",OR(J54&lt;&gt;"",L54&lt;&gt;"")),"OK","ERRO: faltam "&amp;IF(B54="","Proprietário; ","")&amp;IF(C54="","Origem; ","")&amp;IF(D54="","CNPJ; ","")&amp;IF(E54="","Razão Social; ","")&amp;IF(H54="","Sobrenome; ","")&amp;IF(AND(J54="",L54=""),"telefone ou e-mail; ","")))</f>
      </c>
      <c r="V54" s="6">
        <f>IF(COUNTA(A54:O54)=0,"",IF(AND(Q54="OK",R54="OK",LEFT(S54,4)&lt;&gt;"ERRO",LEFT(T54,4)&lt;&gt;"ERRO",U54="OK"),"OK","REVISAR"))</f>
      </c>
    </row>
    <row r="55">
      <c r="A55" s="4"/>
      <c r="B55" s="5"/>
      <c r="C55" s="5"/>
      <c r="D55" s="5"/>
      <c r="E55" s="5"/>
      <c r="F55" s="4"/>
      <c r="G55" s="4"/>
      <c r="H55" s="5"/>
      <c r="I55" s="4"/>
      <c r="J55" s="4"/>
      <c r="K55" s="4"/>
      <c r="L55" s="4"/>
      <c r="M55" s="4"/>
      <c r="N55" s="4"/>
      <c r="O55" s="4"/>
      <c r="P55" s="6">
        <f>IF(D55="","",SUBSTITUTE(SUBSTITUTE(SUBSTITUTE(SUBSTITUTE(SUBSTITUTE(SUBSTITUTE(SUBSTITUTE(TRIM(D55),".",""),"/",""),"-","")," ",""),"(",""),")",""),"+",""))</f>
      </c>
      <c r="Q55" s="6">
        <f>IF(P55="","",IF(LEN(P55)&lt;&gt;14,"ERRO: "&amp;LEN(P55)&amp;" dígitos",IF(NOT(ISNUMBER(VALUE(P55))),"ERRO: não numérico",IF(LEN(SUBSTITUTE(P55,LEFT(P55,1),""))=0,"ERRO: dígitos repetidos",IF(AND(VALUE(MID(P55,13,1))=IF(MOD(SUMPRODUCT(--MID(P55,{1,2,3,4,5,6,7,8,9,10,11,12},1),{5,4,3,2,9,8,7,6,5,4,3,2}),11)&lt;2,0,11-MOD(SUMPRODUCT(--MID(P55,{1,2,3,4,5,6,7,8,9,10,11,12},1),{5,4,3,2,9,8,7,6,5,4,3,2}),11)),VALUE(MID(P55,14,1))=IF(MOD(SUMPRODUCT(--MID(P55,{1,2,3,4,5,6,7,8,9,10,11,12,13},1),{6,5,4,3,2,9,8,7,6,5,4,3,2}),11)&lt;2,0,11-MOD(SUMPRODUCT(--MID(P55,{1,2,3,4,5,6,7,8,9,10,11,12,13},1),{6,5,4,3,2,9,8,7,6,5,4,3,2}),11))),"OK","ERRO: dígito verificador")))))</f>
      </c>
      <c r="R55" s="6">
        <f>IF(P55="","",IF(COUNTIF($P$2:$P$1001,P55)&gt;1,"DUPLICADO","OK"))</f>
      </c>
      <c r="S55" s="6">
        <f>IF(AND(J55="",K55=""),"vazio",IF(AND(OR(J55="",LEN(SUBSTITUTE(SUBSTITUTE(SUBSTITUTE(SUBSTITUTE(SUBSTITUTE(SUBSTITUTE(SUBSTITUTE(TRIM(J55),".",""),"/",""),"-","")," ",""),"(",""),")",""),"+",""))=10,LEN(SUBSTITUTE(SUBSTITUTE(SUBSTITUTE(SUBSTITUTE(SUBSTITUTE(SUBSTITUTE(SUBSTITUTE(TRIM(J55),".",""),"/",""),"-","")," ",""),"(",""),")",""),"+",""))=11),OR(K55="",LEN(SUBSTITUTE(SUBSTITUTE(SUBSTITUTE(SUBSTITUTE(SUBSTITUTE(SUBSTITUTE(SUBSTITUTE(TRIM(K55),".",""),"/",""),"-","")," ",""),"(",""),")",""),"+",""))=10,LEN(SUBSTITUTE(SUBSTITUTE(SUBSTITUTE(SUBSTITUTE(SUBSTITUTE(SUBSTITUTE(SUBSTITUTE(TRIM(K55),".",""),"/",""),"-","")," ",""),"(",""),")",""),"+",""))=11)),"OK","ERRO: use DDD + número (10 ou 11 dígitos)"))</f>
      </c>
      <c r="T55" s="6">
        <f>IF(L55="","vazio",IF(AND(ISNUMBER(FIND("@",L55)),ISNUMBER(FIND(".",MID(L55,FIND("@",L55),99))),NOT(ISNUMBER(FIND(" ",TRIM(L55)))),NOT(ISNUMBER(FIND(";",L55))),NOT(ISNUMBER(FIND(",",L55)))),"OK","ERRO: um e-mail válido por linha"))</f>
      </c>
      <c r="U55" s="6">
        <f>IF(COUNTA(A55:O55)=0,"",IF(AND(B55&lt;&gt;"",C55&lt;&gt;"",D55&lt;&gt;"",E55&lt;&gt;"",H55&lt;&gt;"",OR(J55&lt;&gt;"",L55&lt;&gt;"")),"OK","ERRO: faltam "&amp;IF(B55="","Proprietário; ","")&amp;IF(C55="","Origem; ","")&amp;IF(D55="","CNPJ; ","")&amp;IF(E55="","Razão Social; ","")&amp;IF(H55="","Sobrenome; ","")&amp;IF(AND(J55="",L55=""),"telefone ou e-mail; ","")))</f>
      </c>
      <c r="V55" s="6">
        <f>IF(COUNTA(A55:O55)=0,"",IF(AND(Q55="OK",R55="OK",LEFT(S55,4)&lt;&gt;"ERRO",LEFT(T55,4)&lt;&gt;"ERRO",U55="OK"),"OK","REVISAR"))</f>
      </c>
    </row>
    <row r="56">
      <c r="A56" s="4"/>
      <c r="B56" s="5"/>
      <c r="C56" s="5"/>
      <c r="D56" s="5"/>
      <c r="E56" s="5"/>
      <c r="F56" s="4"/>
      <c r="G56" s="4"/>
      <c r="H56" s="5"/>
      <c r="I56" s="4"/>
      <c r="J56" s="4"/>
      <c r="K56" s="4"/>
      <c r="L56" s="4"/>
      <c r="M56" s="4"/>
      <c r="N56" s="4"/>
      <c r="O56" s="4"/>
      <c r="P56" s="6">
        <f>IF(D56="","",SUBSTITUTE(SUBSTITUTE(SUBSTITUTE(SUBSTITUTE(SUBSTITUTE(SUBSTITUTE(SUBSTITUTE(TRIM(D56),".",""),"/",""),"-","")," ",""),"(",""),")",""),"+",""))</f>
      </c>
      <c r="Q56" s="6">
        <f>IF(P56="","",IF(LEN(P56)&lt;&gt;14,"ERRO: "&amp;LEN(P56)&amp;" dígitos",IF(NOT(ISNUMBER(VALUE(P56))),"ERRO: não numérico",IF(LEN(SUBSTITUTE(P56,LEFT(P56,1),""))=0,"ERRO: dígitos repetidos",IF(AND(VALUE(MID(P56,13,1))=IF(MOD(SUMPRODUCT(--MID(P56,{1,2,3,4,5,6,7,8,9,10,11,12},1),{5,4,3,2,9,8,7,6,5,4,3,2}),11)&lt;2,0,11-MOD(SUMPRODUCT(--MID(P56,{1,2,3,4,5,6,7,8,9,10,11,12},1),{5,4,3,2,9,8,7,6,5,4,3,2}),11)),VALUE(MID(P56,14,1))=IF(MOD(SUMPRODUCT(--MID(P56,{1,2,3,4,5,6,7,8,9,10,11,12,13},1),{6,5,4,3,2,9,8,7,6,5,4,3,2}),11)&lt;2,0,11-MOD(SUMPRODUCT(--MID(P56,{1,2,3,4,5,6,7,8,9,10,11,12,13},1),{6,5,4,3,2,9,8,7,6,5,4,3,2}),11))),"OK","ERRO: dígito verificador")))))</f>
      </c>
      <c r="R56" s="6">
        <f>IF(P56="","",IF(COUNTIF($P$2:$P$1001,P56)&gt;1,"DUPLICADO","OK"))</f>
      </c>
      <c r="S56" s="6">
        <f>IF(AND(J56="",K56=""),"vazio",IF(AND(OR(J56="",LEN(SUBSTITUTE(SUBSTITUTE(SUBSTITUTE(SUBSTITUTE(SUBSTITUTE(SUBSTITUTE(SUBSTITUTE(TRIM(J56),".",""),"/",""),"-","")," ",""),"(",""),")",""),"+",""))=10,LEN(SUBSTITUTE(SUBSTITUTE(SUBSTITUTE(SUBSTITUTE(SUBSTITUTE(SUBSTITUTE(SUBSTITUTE(TRIM(J56),".",""),"/",""),"-","")," ",""),"(",""),")",""),"+",""))=11),OR(K56="",LEN(SUBSTITUTE(SUBSTITUTE(SUBSTITUTE(SUBSTITUTE(SUBSTITUTE(SUBSTITUTE(SUBSTITUTE(TRIM(K56),".",""),"/",""),"-","")," ",""),"(",""),")",""),"+",""))=10,LEN(SUBSTITUTE(SUBSTITUTE(SUBSTITUTE(SUBSTITUTE(SUBSTITUTE(SUBSTITUTE(SUBSTITUTE(TRIM(K56),".",""),"/",""),"-","")," ",""),"(",""),")",""),"+",""))=11)),"OK","ERRO: use DDD + número (10 ou 11 dígitos)"))</f>
      </c>
      <c r="T56" s="6">
        <f>IF(L56="","vazio",IF(AND(ISNUMBER(FIND("@",L56)),ISNUMBER(FIND(".",MID(L56,FIND("@",L56),99))),NOT(ISNUMBER(FIND(" ",TRIM(L56)))),NOT(ISNUMBER(FIND(";",L56))),NOT(ISNUMBER(FIND(",",L56)))),"OK","ERRO: um e-mail válido por linha"))</f>
      </c>
      <c r="U56" s="6">
        <f>IF(COUNTA(A56:O56)=0,"",IF(AND(B56&lt;&gt;"",C56&lt;&gt;"",D56&lt;&gt;"",E56&lt;&gt;"",H56&lt;&gt;"",OR(J56&lt;&gt;"",L56&lt;&gt;"")),"OK","ERRO: faltam "&amp;IF(B56="","Proprietário; ","")&amp;IF(C56="","Origem; ","")&amp;IF(D56="","CNPJ; ","")&amp;IF(E56="","Razão Social; ","")&amp;IF(H56="","Sobrenome; ","")&amp;IF(AND(J56="",L56=""),"telefone ou e-mail; ","")))</f>
      </c>
      <c r="V56" s="6">
        <f>IF(COUNTA(A56:O56)=0,"",IF(AND(Q56="OK",R56="OK",LEFT(S56,4)&lt;&gt;"ERRO",LEFT(T56,4)&lt;&gt;"ERRO",U56="OK"),"OK","REVISAR"))</f>
      </c>
    </row>
    <row r="57">
      <c r="A57" s="4"/>
      <c r="B57" s="5"/>
      <c r="C57" s="5"/>
      <c r="D57" s="5"/>
      <c r="E57" s="5"/>
      <c r="F57" s="4"/>
      <c r="G57" s="4"/>
      <c r="H57" s="5"/>
      <c r="I57" s="4"/>
      <c r="J57" s="4"/>
      <c r="K57" s="4"/>
      <c r="L57" s="4"/>
      <c r="M57" s="4"/>
      <c r="N57" s="4"/>
      <c r="O57" s="4"/>
      <c r="P57" s="6">
        <f>IF(D57="","",SUBSTITUTE(SUBSTITUTE(SUBSTITUTE(SUBSTITUTE(SUBSTITUTE(SUBSTITUTE(SUBSTITUTE(TRIM(D57),".",""),"/",""),"-","")," ",""),"(",""),")",""),"+",""))</f>
      </c>
      <c r="Q57" s="6">
        <f>IF(P57="","",IF(LEN(P57)&lt;&gt;14,"ERRO: "&amp;LEN(P57)&amp;" dígitos",IF(NOT(ISNUMBER(VALUE(P57))),"ERRO: não numérico",IF(LEN(SUBSTITUTE(P57,LEFT(P57,1),""))=0,"ERRO: dígitos repetidos",IF(AND(VALUE(MID(P57,13,1))=IF(MOD(SUMPRODUCT(--MID(P57,{1,2,3,4,5,6,7,8,9,10,11,12},1),{5,4,3,2,9,8,7,6,5,4,3,2}),11)&lt;2,0,11-MOD(SUMPRODUCT(--MID(P57,{1,2,3,4,5,6,7,8,9,10,11,12},1),{5,4,3,2,9,8,7,6,5,4,3,2}),11)),VALUE(MID(P57,14,1))=IF(MOD(SUMPRODUCT(--MID(P57,{1,2,3,4,5,6,7,8,9,10,11,12,13},1),{6,5,4,3,2,9,8,7,6,5,4,3,2}),11)&lt;2,0,11-MOD(SUMPRODUCT(--MID(P57,{1,2,3,4,5,6,7,8,9,10,11,12,13},1),{6,5,4,3,2,9,8,7,6,5,4,3,2}),11))),"OK","ERRO: dígito verificador")))))</f>
      </c>
      <c r="R57" s="6">
        <f>IF(P57="","",IF(COUNTIF($P$2:$P$1001,P57)&gt;1,"DUPLICADO","OK"))</f>
      </c>
      <c r="S57" s="6">
        <f>IF(AND(J57="",K57=""),"vazio",IF(AND(OR(J57="",LEN(SUBSTITUTE(SUBSTITUTE(SUBSTITUTE(SUBSTITUTE(SUBSTITUTE(SUBSTITUTE(SUBSTITUTE(TRIM(J57),".",""),"/",""),"-","")," ",""),"(",""),")",""),"+",""))=10,LEN(SUBSTITUTE(SUBSTITUTE(SUBSTITUTE(SUBSTITUTE(SUBSTITUTE(SUBSTITUTE(SUBSTITUTE(TRIM(J57),".",""),"/",""),"-","")," ",""),"(",""),")",""),"+",""))=11),OR(K57="",LEN(SUBSTITUTE(SUBSTITUTE(SUBSTITUTE(SUBSTITUTE(SUBSTITUTE(SUBSTITUTE(SUBSTITUTE(TRIM(K57),".",""),"/",""),"-","")," ",""),"(",""),")",""),"+",""))=10,LEN(SUBSTITUTE(SUBSTITUTE(SUBSTITUTE(SUBSTITUTE(SUBSTITUTE(SUBSTITUTE(SUBSTITUTE(TRIM(K57),".",""),"/",""),"-","")," ",""),"(",""),")",""),"+",""))=11)),"OK","ERRO: use DDD + número (10 ou 11 dígitos)"))</f>
      </c>
      <c r="T57" s="6">
        <f>IF(L57="","vazio",IF(AND(ISNUMBER(FIND("@",L57)),ISNUMBER(FIND(".",MID(L57,FIND("@",L57),99))),NOT(ISNUMBER(FIND(" ",TRIM(L57)))),NOT(ISNUMBER(FIND(";",L57))),NOT(ISNUMBER(FIND(",",L57)))),"OK","ERRO: um e-mail válido por linha"))</f>
      </c>
      <c r="U57" s="6">
        <f>IF(COUNTA(A57:O57)=0,"",IF(AND(B57&lt;&gt;"",C57&lt;&gt;"",D57&lt;&gt;"",E57&lt;&gt;"",H57&lt;&gt;"",OR(J57&lt;&gt;"",L57&lt;&gt;"")),"OK","ERRO: faltam "&amp;IF(B57="","Proprietário; ","")&amp;IF(C57="","Origem; ","")&amp;IF(D57="","CNPJ; ","")&amp;IF(E57="","Razão Social; ","")&amp;IF(H57="","Sobrenome; ","")&amp;IF(AND(J57="",L57=""),"telefone ou e-mail; ","")))</f>
      </c>
      <c r="V57" s="6">
        <f>IF(COUNTA(A57:O57)=0,"",IF(AND(Q57="OK",R57="OK",LEFT(S57,4)&lt;&gt;"ERRO",LEFT(T57,4)&lt;&gt;"ERRO",U57="OK"),"OK","REVISAR"))</f>
      </c>
    </row>
    <row r="58">
      <c r="A58" s="4"/>
      <c r="B58" s="5"/>
      <c r="C58" s="5"/>
      <c r="D58" s="5"/>
      <c r="E58" s="5"/>
      <c r="F58" s="4"/>
      <c r="G58" s="4"/>
      <c r="H58" s="5"/>
      <c r="I58" s="4"/>
      <c r="J58" s="4"/>
      <c r="K58" s="4"/>
      <c r="L58" s="4"/>
      <c r="M58" s="4"/>
      <c r="N58" s="4"/>
      <c r="O58" s="4"/>
      <c r="P58" s="6">
        <f>IF(D58="","",SUBSTITUTE(SUBSTITUTE(SUBSTITUTE(SUBSTITUTE(SUBSTITUTE(SUBSTITUTE(SUBSTITUTE(TRIM(D58),".",""),"/",""),"-","")," ",""),"(",""),")",""),"+",""))</f>
      </c>
      <c r="Q58" s="6">
        <f>IF(P58="","",IF(LEN(P58)&lt;&gt;14,"ERRO: "&amp;LEN(P58)&amp;" dígitos",IF(NOT(ISNUMBER(VALUE(P58))),"ERRO: não numérico",IF(LEN(SUBSTITUTE(P58,LEFT(P58,1),""))=0,"ERRO: dígitos repetidos",IF(AND(VALUE(MID(P58,13,1))=IF(MOD(SUMPRODUCT(--MID(P58,{1,2,3,4,5,6,7,8,9,10,11,12},1),{5,4,3,2,9,8,7,6,5,4,3,2}),11)&lt;2,0,11-MOD(SUMPRODUCT(--MID(P58,{1,2,3,4,5,6,7,8,9,10,11,12},1),{5,4,3,2,9,8,7,6,5,4,3,2}),11)),VALUE(MID(P58,14,1))=IF(MOD(SUMPRODUCT(--MID(P58,{1,2,3,4,5,6,7,8,9,10,11,12,13},1),{6,5,4,3,2,9,8,7,6,5,4,3,2}),11)&lt;2,0,11-MOD(SUMPRODUCT(--MID(P58,{1,2,3,4,5,6,7,8,9,10,11,12,13},1),{6,5,4,3,2,9,8,7,6,5,4,3,2}),11))),"OK","ERRO: dígito verificador")))))</f>
      </c>
      <c r="R58" s="6">
        <f>IF(P58="","",IF(COUNTIF($P$2:$P$1001,P58)&gt;1,"DUPLICADO","OK"))</f>
      </c>
      <c r="S58" s="6">
        <f>IF(AND(J58="",K58=""),"vazio",IF(AND(OR(J58="",LEN(SUBSTITUTE(SUBSTITUTE(SUBSTITUTE(SUBSTITUTE(SUBSTITUTE(SUBSTITUTE(SUBSTITUTE(TRIM(J58),".",""),"/",""),"-","")," ",""),"(",""),")",""),"+",""))=10,LEN(SUBSTITUTE(SUBSTITUTE(SUBSTITUTE(SUBSTITUTE(SUBSTITUTE(SUBSTITUTE(SUBSTITUTE(TRIM(J58),".",""),"/",""),"-","")," ",""),"(",""),")",""),"+",""))=11),OR(K58="",LEN(SUBSTITUTE(SUBSTITUTE(SUBSTITUTE(SUBSTITUTE(SUBSTITUTE(SUBSTITUTE(SUBSTITUTE(TRIM(K58),".",""),"/",""),"-","")," ",""),"(",""),")",""),"+",""))=10,LEN(SUBSTITUTE(SUBSTITUTE(SUBSTITUTE(SUBSTITUTE(SUBSTITUTE(SUBSTITUTE(SUBSTITUTE(TRIM(K58),".",""),"/",""),"-","")," ",""),"(",""),")",""),"+",""))=11)),"OK","ERRO: use DDD + número (10 ou 11 dígitos)"))</f>
      </c>
      <c r="T58" s="6">
        <f>IF(L58="","vazio",IF(AND(ISNUMBER(FIND("@",L58)),ISNUMBER(FIND(".",MID(L58,FIND("@",L58),99))),NOT(ISNUMBER(FIND(" ",TRIM(L58)))),NOT(ISNUMBER(FIND(";",L58))),NOT(ISNUMBER(FIND(",",L58)))),"OK","ERRO: um e-mail válido por linha"))</f>
      </c>
      <c r="U58" s="6">
        <f>IF(COUNTA(A58:O58)=0,"",IF(AND(B58&lt;&gt;"",C58&lt;&gt;"",D58&lt;&gt;"",E58&lt;&gt;"",H58&lt;&gt;"",OR(J58&lt;&gt;"",L58&lt;&gt;"")),"OK","ERRO: faltam "&amp;IF(B58="","Proprietário; ","")&amp;IF(C58="","Origem; ","")&amp;IF(D58="","CNPJ; ","")&amp;IF(E58="","Razão Social; ","")&amp;IF(H58="","Sobrenome; ","")&amp;IF(AND(J58="",L58=""),"telefone ou e-mail; ","")))</f>
      </c>
      <c r="V58" s="6">
        <f>IF(COUNTA(A58:O58)=0,"",IF(AND(Q58="OK",R58="OK",LEFT(S58,4)&lt;&gt;"ERRO",LEFT(T58,4)&lt;&gt;"ERRO",U58="OK"),"OK","REVISAR"))</f>
      </c>
    </row>
    <row r="59">
      <c r="A59" s="4"/>
      <c r="B59" s="5"/>
      <c r="C59" s="5"/>
      <c r="D59" s="5"/>
      <c r="E59" s="5"/>
      <c r="F59" s="4"/>
      <c r="G59" s="4"/>
      <c r="H59" s="5"/>
      <c r="I59" s="4"/>
      <c r="J59" s="4"/>
      <c r="K59" s="4"/>
      <c r="L59" s="4"/>
      <c r="M59" s="4"/>
      <c r="N59" s="4"/>
      <c r="O59" s="4"/>
      <c r="P59" s="6">
        <f>IF(D59="","",SUBSTITUTE(SUBSTITUTE(SUBSTITUTE(SUBSTITUTE(SUBSTITUTE(SUBSTITUTE(SUBSTITUTE(TRIM(D59),".",""),"/",""),"-","")," ",""),"(",""),")",""),"+",""))</f>
      </c>
      <c r="Q59" s="6">
        <f>IF(P59="","",IF(LEN(P59)&lt;&gt;14,"ERRO: "&amp;LEN(P59)&amp;" dígitos",IF(NOT(ISNUMBER(VALUE(P59))),"ERRO: não numérico",IF(LEN(SUBSTITUTE(P59,LEFT(P59,1),""))=0,"ERRO: dígitos repetidos",IF(AND(VALUE(MID(P59,13,1))=IF(MOD(SUMPRODUCT(--MID(P59,{1,2,3,4,5,6,7,8,9,10,11,12},1),{5,4,3,2,9,8,7,6,5,4,3,2}),11)&lt;2,0,11-MOD(SUMPRODUCT(--MID(P59,{1,2,3,4,5,6,7,8,9,10,11,12},1),{5,4,3,2,9,8,7,6,5,4,3,2}),11)),VALUE(MID(P59,14,1))=IF(MOD(SUMPRODUCT(--MID(P59,{1,2,3,4,5,6,7,8,9,10,11,12,13},1),{6,5,4,3,2,9,8,7,6,5,4,3,2}),11)&lt;2,0,11-MOD(SUMPRODUCT(--MID(P59,{1,2,3,4,5,6,7,8,9,10,11,12,13},1),{6,5,4,3,2,9,8,7,6,5,4,3,2}),11))),"OK","ERRO: dígito verificador")))))</f>
      </c>
      <c r="R59" s="6">
        <f>IF(P59="","",IF(COUNTIF($P$2:$P$1001,P59)&gt;1,"DUPLICADO","OK"))</f>
      </c>
      <c r="S59" s="6">
        <f>IF(AND(J59="",K59=""),"vazio",IF(AND(OR(J59="",LEN(SUBSTITUTE(SUBSTITUTE(SUBSTITUTE(SUBSTITUTE(SUBSTITUTE(SUBSTITUTE(SUBSTITUTE(TRIM(J59),".",""),"/",""),"-","")," ",""),"(",""),")",""),"+",""))=10,LEN(SUBSTITUTE(SUBSTITUTE(SUBSTITUTE(SUBSTITUTE(SUBSTITUTE(SUBSTITUTE(SUBSTITUTE(TRIM(J59),".",""),"/",""),"-","")," ",""),"(",""),")",""),"+",""))=11),OR(K59="",LEN(SUBSTITUTE(SUBSTITUTE(SUBSTITUTE(SUBSTITUTE(SUBSTITUTE(SUBSTITUTE(SUBSTITUTE(TRIM(K59),".",""),"/",""),"-","")," ",""),"(",""),")",""),"+",""))=10,LEN(SUBSTITUTE(SUBSTITUTE(SUBSTITUTE(SUBSTITUTE(SUBSTITUTE(SUBSTITUTE(SUBSTITUTE(TRIM(K59),".",""),"/",""),"-","")," ",""),"(",""),")",""),"+",""))=11)),"OK","ERRO: use DDD + número (10 ou 11 dígitos)"))</f>
      </c>
      <c r="T59" s="6">
        <f>IF(L59="","vazio",IF(AND(ISNUMBER(FIND("@",L59)),ISNUMBER(FIND(".",MID(L59,FIND("@",L59),99))),NOT(ISNUMBER(FIND(" ",TRIM(L59)))),NOT(ISNUMBER(FIND(";",L59))),NOT(ISNUMBER(FIND(",",L59)))),"OK","ERRO: um e-mail válido por linha"))</f>
      </c>
      <c r="U59" s="6">
        <f>IF(COUNTA(A59:O59)=0,"",IF(AND(B59&lt;&gt;"",C59&lt;&gt;"",D59&lt;&gt;"",E59&lt;&gt;"",H59&lt;&gt;"",OR(J59&lt;&gt;"",L59&lt;&gt;"")),"OK","ERRO: faltam "&amp;IF(B59="","Proprietário; ","")&amp;IF(C59="","Origem; ","")&amp;IF(D59="","CNPJ; ","")&amp;IF(E59="","Razão Social; ","")&amp;IF(H59="","Sobrenome; ","")&amp;IF(AND(J59="",L59=""),"telefone ou e-mail; ","")))</f>
      </c>
      <c r="V59" s="6">
        <f>IF(COUNTA(A59:O59)=0,"",IF(AND(Q59="OK",R59="OK",LEFT(S59,4)&lt;&gt;"ERRO",LEFT(T59,4)&lt;&gt;"ERRO",U59="OK"),"OK","REVISAR"))</f>
      </c>
    </row>
    <row r="60">
      <c r="A60" s="4"/>
      <c r="B60" s="5"/>
      <c r="C60" s="5"/>
      <c r="D60" s="5"/>
      <c r="E60" s="5"/>
      <c r="F60" s="4"/>
      <c r="G60" s="4"/>
      <c r="H60" s="5"/>
      <c r="I60" s="4"/>
      <c r="J60" s="4"/>
      <c r="K60" s="4"/>
      <c r="L60" s="4"/>
      <c r="M60" s="4"/>
      <c r="N60" s="4"/>
      <c r="O60" s="4"/>
      <c r="P60" s="6">
        <f>IF(D60="","",SUBSTITUTE(SUBSTITUTE(SUBSTITUTE(SUBSTITUTE(SUBSTITUTE(SUBSTITUTE(SUBSTITUTE(TRIM(D60),".",""),"/",""),"-","")," ",""),"(",""),")",""),"+",""))</f>
      </c>
      <c r="Q60" s="6">
        <f>IF(P60="","",IF(LEN(P60)&lt;&gt;14,"ERRO: "&amp;LEN(P60)&amp;" dígitos",IF(NOT(ISNUMBER(VALUE(P60))),"ERRO: não numérico",IF(LEN(SUBSTITUTE(P60,LEFT(P60,1),""))=0,"ERRO: dígitos repetidos",IF(AND(VALUE(MID(P60,13,1))=IF(MOD(SUMPRODUCT(--MID(P60,{1,2,3,4,5,6,7,8,9,10,11,12},1),{5,4,3,2,9,8,7,6,5,4,3,2}),11)&lt;2,0,11-MOD(SUMPRODUCT(--MID(P60,{1,2,3,4,5,6,7,8,9,10,11,12},1),{5,4,3,2,9,8,7,6,5,4,3,2}),11)),VALUE(MID(P60,14,1))=IF(MOD(SUMPRODUCT(--MID(P60,{1,2,3,4,5,6,7,8,9,10,11,12,13},1),{6,5,4,3,2,9,8,7,6,5,4,3,2}),11)&lt;2,0,11-MOD(SUMPRODUCT(--MID(P60,{1,2,3,4,5,6,7,8,9,10,11,12,13},1),{6,5,4,3,2,9,8,7,6,5,4,3,2}),11))),"OK","ERRO: dígito verificador")))))</f>
      </c>
      <c r="R60" s="6">
        <f>IF(P60="","",IF(COUNTIF($P$2:$P$1001,P60)&gt;1,"DUPLICADO","OK"))</f>
      </c>
      <c r="S60" s="6">
        <f>IF(AND(J60="",K60=""),"vazio",IF(AND(OR(J60="",LEN(SUBSTITUTE(SUBSTITUTE(SUBSTITUTE(SUBSTITUTE(SUBSTITUTE(SUBSTITUTE(SUBSTITUTE(TRIM(J60),".",""),"/",""),"-","")," ",""),"(",""),")",""),"+",""))=10,LEN(SUBSTITUTE(SUBSTITUTE(SUBSTITUTE(SUBSTITUTE(SUBSTITUTE(SUBSTITUTE(SUBSTITUTE(TRIM(J60),".",""),"/",""),"-","")," ",""),"(",""),")",""),"+",""))=11),OR(K60="",LEN(SUBSTITUTE(SUBSTITUTE(SUBSTITUTE(SUBSTITUTE(SUBSTITUTE(SUBSTITUTE(SUBSTITUTE(TRIM(K60),".",""),"/",""),"-","")," ",""),"(",""),")",""),"+",""))=10,LEN(SUBSTITUTE(SUBSTITUTE(SUBSTITUTE(SUBSTITUTE(SUBSTITUTE(SUBSTITUTE(SUBSTITUTE(TRIM(K60),".",""),"/",""),"-","")," ",""),"(",""),")",""),"+",""))=11)),"OK","ERRO: use DDD + número (10 ou 11 dígitos)"))</f>
      </c>
      <c r="T60" s="6">
        <f>IF(L60="","vazio",IF(AND(ISNUMBER(FIND("@",L60)),ISNUMBER(FIND(".",MID(L60,FIND("@",L60),99))),NOT(ISNUMBER(FIND(" ",TRIM(L60)))),NOT(ISNUMBER(FIND(";",L60))),NOT(ISNUMBER(FIND(",",L60)))),"OK","ERRO: um e-mail válido por linha"))</f>
      </c>
      <c r="U60" s="6">
        <f>IF(COUNTA(A60:O60)=0,"",IF(AND(B60&lt;&gt;"",C60&lt;&gt;"",D60&lt;&gt;"",E60&lt;&gt;"",H60&lt;&gt;"",OR(J60&lt;&gt;"",L60&lt;&gt;"")),"OK","ERRO: faltam "&amp;IF(B60="","Proprietário; ","")&amp;IF(C60="","Origem; ","")&amp;IF(D60="","CNPJ; ","")&amp;IF(E60="","Razão Social; ","")&amp;IF(H60="","Sobrenome; ","")&amp;IF(AND(J60="",L60=""),"telefone ou e-mail; ","")))</f>
      </c>
      <c r="V60" s="6">
        <f>IF(COUNTA(A60:O60)=0,"",IF(AND(Q60="OK",R60="OK",LEFT(S60,4)&lt;&gt;"ERRO",LEFT(T60,4)&lt;&gt;"ERRO",U60="OK"),"OK","REVISAR"))</f>
      </c>
    </row>
    <row r="61">
      <c r="A61" s="4"/>
      <c r="B61" s="5"/>
      <c r="C61" s="5"/>
      <c r="D61" s="5"/>
      <c r="E61" s="5"/>
      <c r="F61" s="4"/>
      <c r="G61" s="4"/>
      <c r="H61" s="5"/>
      <c r="I61" s="4"/>
      <c r="J61" s="4"/>
      <c r="K61" s="4"/>
      <c r="L61" s="4"/>
      <c r="M61" s="4"/>
      <c r="N61" s="4"/>
      <c r="O61" s="4"/>
      <c r="P61" s="6">
        <f>IF(D61="","",SUBSTITUTE(SUBSTITUTE(SUBSTITUTE(SUBSTITUTE(SUBSTITUTE(SUBSTITUTE(SUBSTITUTE(TRIM(D61),".",""),"/",""),"-","")," ",""),"(",""),")",""),"+",""))</f>
      </c>
      <c r="Q61" s="6">
        <f>IF(P61="","",IF(LEN(P61)&lt;&gt;14,"ERRO: "&amp;LEN(P61)&amp;" dígitos",IF(NOT(ISNUMBER(VALUE(P61))),"ERRO: não numérico",IF(LEN(SUBSTITUTE(P61,LEFT(P61,1),""))=0,"ERRO: dígitos repetidos",IF(AND(VALUE(MID(P61,13,1))=IF(MOD(SUMPRODUCT(--MID(P61,{1,2,3,4,5,6,7,8,9,10,11,12},1),{5,4,3,2,9,8,7,6,5,4,3,2}),11)&lt;2,0,11-MOD(SUMPRODUCT(--MID(P61,{1,2,3,4,5,6,7,8,9,10,11,12},1),{5,4,3,2,9,8,7,6,5,4,3,2}),11)),VALUE(MID(P61,14,1))=IF(MOD(SUMPRODUCT(--MID(P61,{1,2,3,4,5,6,7,8,9,10,11,12,13},1),{6,5,4,3,2,9,8,7,6,5,4,3,2}),11)&lt;2,0,11-MOD(SUMPRODUCT(--MID(P61,{1,2,3,4,5,6,7,8,9,10,11,12,13},1),{6,5,4,3,2,9,8,7,6,5,4,3,2}),11))),"OK","ERRO: dígito verificador")))))</f>
      </c>
      <c r="R61" s="6">
        <f>IF(P61="","",IF(COUNTIF($P$2:$P$1001,P61)&gt;1,"DUPLICADO","OK"))</f>
      </c>
      <c r="S61" s="6">
        <f>IF(AND(J61="",K61=""),"vazio",IF(AND(OR(J61="",LEN(SUBSTITUTE(SUBSTITUTE(SUBSTITUTE(SUBSTITUTE(SUBSTITUTE(SUBSTITUTE(SUBSTITUTE(TRIM(J61),".",""),"/",""),"-","")," ",""),"(",""),")",""),"+",""))=10,LEN(SUBSTITUTE(SUBSTITUTE(SUBSTITUTE(SUBSTITUTE(SUBSTITUTE(SUBSTITUTE(SUBSTITUTE(TRIM(J61),".",""),"/",""),"-","")," ",""),"(",""),")",""),"+",""))=11),OR(K61="",LEN(SUBSTITUTE(SUBSTITUTE(SUBSTITUTE(SUBSTITUTE(SUBSTITUTE(SUBSTITUTE(SUBSTITUTE(TRIM(K61),".",""),"/",""),"-","")," ",""),"(",""),")",""),"+",""))=10,LEN(SUBSTITUTE(SUBSTITUTE(SUBSTITUTE(SUBSTITUTE(SUBSTITUTE(SUBSTITUTE(SUBSTITUTE(TRIM(K61),".",""),"/",""),"-","")," ",""),"(",""),")",""),"+",""))=11)),"OK","ERRO: use DDD + número (10 ou 11 dígitos)"))</f>
      </c>
      <c r="T61" s="6">
        <f>IF(L61="","vazio",IF(AND(ISNUMBER(FIND("@",L61)),ISNUMBER(FIND(".",MID(L61,FIND("@",L61),99))),NOT(ISNUMBER(FIND(" ",TRIM(L61)))),NOT(ISNUMBER(FIND(";",L61))),NOT(ISNUMBER(FIND(",",L61)))),"OK","ERRO: um e-mail válido por linha"))</f>
      </c>
      <c r="U61" s="6">
        <f>IF(COUNTA(A61:O61)=0,"",IF(AND(B61&lt;&gt;"",C61&lt;&gt;"",D61&lt;&gt;"",E61&lt;&gt;"",H61&lt;&gt;"",OR(J61&lt;&gt;"",L61&lt;&gt;"")),"OK","ERRO: faltam "&amp;IF(B61="","Proprietário; ","")&amp;IF(C61="","Origem; ","")&amp;IF(D61="","CNPJ; ","")&amp;IF(E61="","Razão Social; ","")&amp;IF(H61="","Sobrenome; ","")&amp;IF(AND(J61="",L61=""),"telefone ou e-mail; ","")))</f>
      </c>
      <c r="V61" s="6">
        <f>IF(COUNTA(A61:O61)=0,"",IF(AND(Q61="OK",R61="OK",LEFT(S61,4)&lt;&gt;"ERRO",LEFT(T61,4)&lt;&gt;"ERRO",U61="OK"),"OK","REVISAR"))</f>
      </c>
    </row>
    <row r="62">
      <c r="A62" s="4"/>
      <c r="B62" s="5"/>
      <c r="C62" s="5"/>
      <c r="D62" s="5"/>
      <c r="E62" s="5"/>
      <c r="F62" s="4"/>
      <c r="G62" s="4"/>
      <c r="H62" s="5"/>
      <c r="I62" s="4"/>
      <c r="J62" s="4"/>
      <c r="K62" s="4"/>
      <c r="L62" s="4"/>
      <c r="M62" s="4"/>
      <c r="N62" s="4"/>
      <c r="O62" s="4"/>
      <c r="P62" s="6">
        <f>IF(D62="","",SUBSTITUTE(SUBSTITUTE(SUBSTITUTE(SUBSTITUTE(SUBSTITUTE(SUBSTITUTE(SUBSTITUTE(TRIM(D62),".",""),"/",""),"-","")," ",""),"(",""),")",""),"+",""))</f>
      </c>
      <c r="Q62" s="6">
        <f>IF(P62="","",IF(LEN(P62)&lt;&gt;14,"ERRO: "&amp;LEN(P62)&amp;" dígitos",IF(NOT(ISNUMBER(VALUE(P62))),"ERRO: não numérico",IF(LEN(SUBSTITUTE(P62,LEFT(P62,1),""))=0,"ERRO: dígitos repetidos",IF(AND(VALUE(MID(P62,13,1))=IF(MOD(SUMPRODUCT(--MID(P62,{1,2,3,4,5,6,7,8,9,10,11,12},1),{5,4,3,2,9,8,7,6,5,4,3,2}),11)&lt;2,0,11-MOD(SUMPRODUCT(--MID(P62,{1,2,3,4,5,6,7,8,9,10,11,12},1),{5,4,3,2,9,8,7,6,5,4,3,2}),11)),VALUE(MID(P62,14,1))=IF(MOD(SUMPRODUCT(--MID(P62,{1,2,3,4,5,6,7,8,9,10,11,12,13},1),{6,5,4,3,2,9,8,7,6,5,4,3,2}),11)&lt;2,0,11-MOD(SUMPRODUCT(--MID(P62,{1,2,3,4,5,6,7,8,9,10,11,12,13},1),{6,5,4,3,2,9,8,7,6,5,4,3,2}),11))),"OK","ERRO: dígito verificador")))))</f>
      </c>
      <c r="R62" s="6">
        <f>IF(P62="","",IF(COUNTIF($P$2:$P$1001,P62)&gt;1,"DUPLICADO","OK"))</f>
      </c>
      <c r="S62" s="6">
        <f>IF(AND(J62="",K62=""),"vazio",IF(AND(OR(J62="",LEN(SUBSTITUTE(SUBSTITUTE(SUBSTITUTE(SUBSTITUTE(SUBSTITUTE(SUBSTITUTE(SUBSTITUTE(TRIM(J62),".",""),"/",""),"-","")," ",""),"(",""),")",""),"+",""))=10,LEN(SUBSTITUTE(SUBSTITUTE(SUBSTITUTE(SUBSTITUTE(SUBSTITUTE(SUBSTITUTE(SUBSTITUTE(TRIM(J62),".",""),"/",""),"-","")," ",""),"(",""),")",""),"+",""))=11),OR(K62="",LEN(SUBSTITUTE(SUBSTITUTE(SUBSTITUTE(SUBSTITUTE(SUBSTITUTE(SUBSTITUTE(SUBSTITUTE(TRIM(K62),".",""),"/",""),"-","")," ",""),"(",""),")",""),"+",""))=10,LEN(SUBSTITUTE(SUBSTITUTE(SUBSTITUTE(SUBSTITUTE(SUBSTITUTE(SUBSTITUTE(SUBSTITUTE(TRIM(K62),".",""),"/",""),"-","")," ",""),"(",""),")",""),"+",""))=11)),"OK","ERRO: use DDD + número (10 ou 11 dígitos)"))</f>
      </c>
      <c r="T62" s="6">
        <f>IF(L62="","vazio",IF(AND(ISNUMBER(FIND("@",L62)),ISNUMBER(FIND(".",MID(L62,FIND("@",L62),99))),NOT(ISNUMBER(FIND(" ",TRIM(L62)))),NOT(ISNUMBER(FIND(";",L62))),NOT(ISNUMBER(FIND(",",L62)))),"OK","ERRO: um e-mail válido por linha"))</f>
      </c>
      <c r="U62" s="6">
        <f>IF(COUNTA(A62:O62)=0,"",IF(AND(B62&lt;&gt;"",C62&lt;&gt;"",D62&lt;&gt;"",E62&lt;&gt;"",H62&lt;&gt;"",OR(J62&lt;&gt;"",L62&lt;&gt;"")),"OK","ERRO: faltam "&amp;IF(B62="","Proprietário; ","")&amp;IF(C62="","Origem; ","")&amp;IF(D62="","CNPJ; ","")&amp;IF(E62="","Razão Social; ","")&amp;IF(H62="","Sobrenome; ","")&amp;IF(AND(J62="",L62=""),"telefone ou e-mail; ","")))</f>
      </c>
      <c r="V62" s="6">
        <f>IF(COUNTA(A62:O62)=0,"",IF(AND(Q62="OK",R62="OK",LEFT(S62,4)&lt;&gt;"ERRO",LEFT(T62,4)&lt;&gt;"ERRO",U62="OK"),"OK","REVISAR"))</f>
      </c>
    </row>
    <row r="63">
      <c r="A63" s="4"/>
      <c r="B63" s="5"/>
      <c r="C63" s="5"/>
      <c r="D63" s="5"/>
      <c r="E63" s="5"/>
      <c r="F63" s="4"/>
      <c r="G63" s="4"/>
      <c r="H63" s="5"/>
      <c r="I63" s="4"/>
      <c r="J63" s="4"/>
      <c r="K63" s="4"/>
      <c r="L63" s="4"/>
      <c r="M63" s="4"/>
      <c r="N63" s="4"/>
      <c r="O63" s="4"/>
      <c r="P63" s="6">
        <f>IF(D63="","",SUBSTITUTE(SUBSTITUTE(SUBSTITUTE(SUBSTITUTE(SUBSTITUTE(SUBSTITUTE(SUBSTITUTE(TRIM(D63),".",""),"/",""),"-","")," ",""),"(",""),")",""),"+",""))</f>
      </c>
      <c r="Q63" s="6">
        <f>IF(P63="","",IF(LEN(P63)&lt;&gt;14,"ERRO: "&amp;LEN(P63)&amp;" dígitos",IF(NOT(ISNUMBER(VALUE(P63))),"ERRO: não numérico",IF(LEN(SUBSTITUTE(P63,LEFT(P63,1),""))=0,"ERRO: dígitos repetidos",IF(AND(VALUE(MID(P63,13,1))=IF(MOD(SUMPRODUCT(--MID(P63,{1,2,3,4,5,6,7,8,9,10,11,12},1),{5,4,3,2,9,8,7,6,5,4,3,2}),11)&lt;2,0,11-MOD(SUMPRODUCT(--MID(P63,{1,2,3,4,5,6,7,8,9,10,11,12},1),{5,4,3,2,9,8,7,6,5,4,3,2}),11)),VALUE(MID(P63,14,1))=IF(MOD(SUMPRODUCT(--MID(P63,{1,2,3,4,5,6,7,8,9,10,11,12,13},1),{6,5,4,3,2,9,8,7,6,5,4,3,2}),11)&lt;2,0,11-MOD(SUMPRODUCT(--MID(P63,{1,2,3,4,5,6,7,8,9,10,11,12,13},1),{6,5,4,3,2,9,8,7,6,5,4,3,2}),11))),"OK","ERRO: dígito verificador")))))</f>
      </c>
      <c r="R63" s="6">
        <f>IF(P63="","",IF(COUNTIF($P$2:$P$1001,P63)&gt;1,"DUPLICADO","OK"))</f>
      </c>
      <c r="S63" s="6">
        <f>IF(AND(J63="",K63=""),"vazio",IF(AND(OR(J63="",LEN(SUBSTITUTE(SUBSTITUTE(SUBSTITUTE(SUBSTITUTE(SUBSTITUTE(SUBSTITUTE(SUBSTITUTE(TRIM(J63),".",""),"/",""),"-","")," ",""),"(",""),")",""),"+",""))=10,LEN(SUBSTITUTE(SUBSTITUTE(SUBSTITUTE(SUBSTITUTE(SUBSTITUTE(SUBSTITUTE(SUBSTITUTE(TRIM(J63),".",""),"/",""),"-","")," ",""),"(",""),")",""),"+",""))=11),OR(K63="",LEN(SUBSTITUTE(SUBSTITUTE(SUBSTITUTE(SUBSTITUTE(SUBSTITUTE(SUBSTITUTE(SUBSTITUTE(TRIM(K63),".",""),"/",""),"-","")," ",""),"(",""),")",""),"+",""))=10,LEN(SUBSTITUTE(SUBSTITUTE(SUBSTITUTE(SUBSTITUTE(SUBSTITUTE(SUBSTITUTE(SUBSTITUTE(TRIM(K63),".",""),"/",""),"-","")," ",""),"(",""),")",""),"+",""))=11)),"OK","ERRO: use DDD + número (10 ou 11 dígitos)"))</f>
      </c>
      <c r="T63" s="6">
        <f>IF(L63="","vazio",IF(AND(ISNUMBER(FIND("@",L63)),ISNUMBER(FIND(".",MID(L63,FIND("@",L63),99))),NOT(ISNUMBER(FIND(" ",TRIM(L63)))),NOT(ISNUMBER(FIND(";",L63))),NOT(ISNUMBER(FIND(",",L63)))),"OK","ERRO: um e-mail válido por linha"))</f>
      </c>
      <c r="U63" s="6">
        <f>IF(COUNTA(A63:O63)=0,"",IF(AND(B63&lt;&gt;"",C63&lt;&gt;"",D63&lt;&gt;"",E63&lt;&gt;"",H63&lt;&gt;"",OR(J63&lt;&gt;"",L63&lt;&gt;"")),"OK","ERRO: faltam "&amp;IF(B63="","Proprietário; ","")&amp;IF(C63="","Origem; ","")&amp;IF(D63="","CNPJ; ","")&amp;IF(E63="","Razão Social; ","")&amp;IF(H63="","Sobrenome; ","")&amp;IF(AND(J63="",L63=""),"telefone ou e-mail; ","")))</f>
      </c>
      <c r="V63" s="6">
        <f>IF(COUNTA(A63:O63)=0,"",IF(AND(Q63="OK",R63="OK",LEFT(S63,4)&lt;&gt;"ERRO",LEFT(T63,4)&lt;&gt;"ERRO",U63="OK"),"OK","REVISAR"))</f>
      </c>
    </row>
    <row r="64">
      <c r="A64" s="4"/>
      <c r="B64" s="5"/>
      <c r="C64" s="5"/>
      <c r="D64" s="5"/>
      <c r="E64" s="5"/>
      <c r="F64" s="4"/>
      <c r="G64" s="4"/>
      <c r="H64" s="5"/>
      <c r="I64" s="4"/>
      <c r="J64" s="4"/>
      <c r="K64" s="4"/>
      <c r="L64" s="4"/>
      <c r="M64" s="4"/>
      <c r="N64" s="4"/>
      <c r="O64" s="4"/>
      <c r="P64" s="6">
        <f>IF(D64="","",SUBSTITUTE(SUBSTITUTE(SUBSTITUTE(SUBSTITUTE(SUBSTITUTE(SUBSTITUTE(SUBSTITUTE(TRIM(D64),".",""),"/",""),"-","")," ",""),"(",""),")",""),"+",""))</f>
      </c>
      <c r="Q64" s="6">
        <f>IF(P64="","",IF(LEN(P64)&lt;&gt;14,"ERRO: "&amp;LEN(P64)&amp;" dígitos",IF(NOT(ISNUMBER(VALUE(P64))),"ERRO: não numérico",IF(LEN(SUBSTITUTE(P64,LEFT(P64,1),""))=0,"ERRO: dígitos repetidos",IF(AND(VALUE(MID(P64,13,1))=IF(MOD(SUMPRODUCT(--MID(P64,{1,2,3,4,5,6,7,8,9,10,11,12},1),{5,4,3,2,9,8,7,6,5,4,3,2}),11)&lt;2,0,11-MOD(SUMPRODUCT(--MID(P64,{1,2,3,4,5,6,7,8,9,10,11,12},1),{5,4,3,2,9,8,7,6,5,4,3,2}),11)),VALUE(MID(P64,14,1))=IF(MOD(SUMPRODUCT(--MID(P64,{1,2,3,4,5,6,7,8,9,10,11,12,13},1),{6,5,4,3,2,9,8,7,6,5,4,3,2}),11)&lt;2,0,11-MOD(SUMPRODUCT(--MID(P64,{1,2,3,4,5,6,7,8,9,10,11,12,13},1),{6,5,4,3,2,9,8,7,6,5,4,3,2}),11))),"OK","ERRO: dígito verificador")))))</f>
      </c>
      <c r="R64" s="6">
        <f>IF(P64="","",IF(COUNTIF($P$2:$P$1001,P64)&gt;1,"DUPLICADO","OK"))</f>
      </c>
      <c r="S64" s="6">
        <f>IF(AND(J64="",K64=""),"vazio",IF(AND(OR(J64="",LEN(SUBSTITUTE(SUBSTITUTE(SUBSTITUTE(SUBSTITUTE(SUBSTITUTE(SUBSTITUTE(SUBSTITUTE(TRIM(J64),".",""),"/",""),"-","")," ",""),"(",""),")",""),"+",""))=10,LEN(SUBSTITUTE(SUBSTITUTE(SUBSTITUTE(SUBSTITUTE(SUBSTITUTE(SUBSTITUTE(SUBSTITUTE(TRIM(J64),".",""),"/",""),"-","")," ",""),"(",""),")",""),"+",""))=11),OR(K64="",LEN(SUBSTITUTE(SUBSTITUTE(SUBSTITUTE(SUBSTITUTE(SUBSTITUTE(SUBSTITUTE(SUBSTITUTE(TRIM(K64),".",""),"/",""),"-","")," ",""),"(",""),")",""),"+",""))=10,LEN(SUBSTITUTE(SUBSTITUTE(SUBSTITUTE(SUBSTITUTE(SUBSTITUTE(SUBSTITUTE(SUBSTITUTE(TRIM(K64),".",""),"/",""),"-","")," ",""),"(",""),")",""),"+",""))=11)),"OK","ERRO: use DDD + número (10 ou 11 dígitos)"))</f>
      </c>
      <c r="T64" s="6">
        <f>IF(L64="","vazio",IF(AND(ISNUMBER(FIND("@",L64)),ISNUMBER(FIND(".",MID(L64,FIND("@",L64),99))),NOT(ISNUMBER(FIND(" ",TRIM(L64)))),NOT(ISNUMBER(FIND(";",L64))),NOT(ISNUMBER(FIND(",",L64)))),"OK","ERRO: um e-mail válido por linha"))</f>
      </c>
      <c r="U64" s="6">
        <f>IF(COUNTA(A64:O64)=0,"",IF(AND(B64&lt;&gt;"",C64&lt;&gt;"",D64&lt;&gt;"",E64&lt;&gt;"",H64&lt;&gt;"",OR(J64&lt;&gt;"",L64&lt;&gt;"")),"OK","ERRO: faltam "&amp;IF(B64="","Proprietário; ","")&amp;IF(C64="","Origem; ","")&amp;IF(D64="","CNPJ; ","")&amp;IF(E64="","Razão Social; ","")&amp;IF(H64="","Sobrenome; ","")&amp;IF(AND(J64="",L64=""),"telefone ou e-mail; ","")))</f>
      </c>
      <c r="V64" s="6">
        <f>IF(COUNTA(A64:O64)=0,"",IF(AND(Q64="OK",R64="OK",LEFT(S64,4)&lt;&gt;"ERRO",LEFT(T64,4)&lt;&gt;"ERRO",U64="OK"),"OK","REVISAR"))</f>
      </c>
    </row>
    <row r="65">
      <c r="A65" s="4"/>
      <c r="B65" s="5"/>
      <c r="C65" s="5"/>
      <c r="D65" s="5"/>
      <c r="E65" s="5"/>
      <c r="F65" s="4"/>
      <c r="G65" s="4"/>
      <c r="H65" s="5"/>
      <c r="I65" s="4"/>
      <c r="J65" s="4"/>
      <c r="K65" s="4"/>
      <c r="L65" s="4"/>
      <c r="M65" s="4"/>
      <c r="N65" s="4"/>
      <c r="O65" s="4"/>
      <c r="P65" s="6">
        <f>IF(D65="","",SUBSTITUTE(SUBSTITUTE(SUBSTITUTE(SUBSTITUTE(SUBSTITUTE(SUBSTITUTE(SUBSTITUTE(TRIM(D65),".",""),"/",""),"-","")," ",""),"(",""),")",""),"+",""))</f>
      </c>
      <c r="Q65" s="6">
        <f>IF(P65="","",IF(LEN(P65)&lt;&gt;14,"ERRO: "&amp;LEN(P65)&amp;" dígitos",IF(NOT(ISNUMBER(VALUE(P65))),"ERRO: não numérico",IF(LEN(SUBSTITUTE(P65,LEFT(P65,1),""))=0,"ERRO: dígitos repetidos",IF(AND(VALUE(MID(P65,13,1))=IF(MOD(SUMPRODUCT(--MID(P65,{1,2,3,4,5,6,7,8,9,10,11,12},1),{5,4,3,2,9,8,7,6,5,4,3,2}),11)&lt;2,0,11-MOD(SUMPRODUCT(--MID(P65,{1,2,3,4,5,6,7,8,9,10,11,12},1),{5,4,3,2,9,8,7,6,5,4,3,2}),11)),VALUE(MID(P65,14,1))=IF(MOD(SUMPRODUCT(--MID(P65,{1,2,3,4,5,6,7,8,9,10,11,12,13},1),{6,5,4,3,2,9,8,7,6,5,4,3,2}),11)&lt;2,0,11-MOD(SUMPRODUCT(--MID(P65,{1,2,3,4,5,6,7,8,9,10,11,12,13},1),{6,5,4,3,2,9,8,7,6,5,4,3,2}),11))),"OK","ERRO: dígito verificador")))))</f>
      </c>
      <c r="R65" s="6">
        <f>IF(P65="","",IF(COUNTIF($P$2:$P$1001,P65)&gt;1,"DUPLICADO","OK"))</f>
      </c>
      <c r="S65" s="6">
        <f>IF(AND(J65="",K65=""),"vazio",IF(AND(OR(J65="",LEN(SUBSTITUTE(SUBSTITUTE(SUBSTITUTE(SUBSTITUTE(SUBSTITUTE(SUBSTITUTE(SUBSTITUTE(TRIM(J65),".",""),"/",""),"-","")," ",""),"(",""),")",""),"+",""))=10,LEN(SUBSTITUTE(SUBSTITUTE(SUBSTITUTE(SUBSTITUTE(SUBSTITUTE(SUBSTITUTE(SUBSTITUTE(TRIM(J65),".",""),"/",""),"-","")," ",""),"(",""),")",""),"+",""))=11),OR(K65="",LEN(SUBSTITUTE(SUBSTITUTE(SUBSTITUTE(SUBSTITUTE(SUBSTITUTE(SUBSTITUTE(SUBSTITUTE(TRIM(K65),".",""),"/",""),"-","")," ",""),"(",""),")",""),"+",""))=10,LEN(SUBSTITUTE(SUBSTITUTE(SUBSTITUTE(SUBSTITUTE(SUBSTITUTE(SUBSTITUTE(SUBSTITUTE(TRIM(K65),".",""),"/",""),"-","")," ",""),"(",""),")",""),"+",""))=11)),"OK","ERRO: use DDD + número (10 ou 11 dígitos)"))</f>
      </c>
      <c r="T65" s="6">
        <f>IF(L65="","vazio",IF(AND(ISNUMBER(FIND("@",L65)),ISNUMBER(FIND(".",MID(L65,FIND("@",L65),99))),NOT(ISNUMBER(FIND(" ",TRIM(L65)))),NOT(ISNUMBER(FIND(";",L65))),NOT(ISNUMBER(FIND(",",L65)))),"OK","ERRO: um e-mail válido por linha"))</f>
      </c>
      <c r="U65" s="6">
        <f>IF(COUNTA(A65:O65)=0,"",IF(AND(B65&lt;&gt;"",C65&lt;&gt;"",D65&lt;&gt;"",E65&lt;&gt;"",H65&lt;&gt;"",OR(J65&lt;&gt;"",L65&lt;&gt;"")),"OK","ERRO: faltam "&amp;IF(B65="","Proprietário; ","")&amp;IF(C65="","Origem; ","")&amp;IF(D65="","CNPJ; ","")&amp;IF(E65="","Razão Social; ","")&amp;IF(H65="","Sobrenome; ","")&amp;IF(AND(J65="",L65=""),"telefone ou e-mail; ","")))</f>
      </c>
      <c r="V65" s="6">
        <f>IF(COUNTA(A65:O65)=0,"",IF(AND(Q65="OK",R65="OK",LEFT(S65,4)&lt;&gt;"ERRO",LEFT(T65,4)&lt;&gt;"ERRO",U65="OK"),"OK","REVISAR"))</f>
      </c>
    </row>
    <row r="66">
      <c r="A66" s="4"/>
      <c r="B66" s="5"/>
      <c r="C66" s="5"/>
      <c r="D66" s="5"/>
      <c r="E66" s="5"/>
      <c r="F66" s="4"/>
      <c r="G66" s="4"/>
      <c r="H66" s="5"/>
      <c r="I66" s="4"/>
      <c r="J66" s="4"/>
      <c r="K66" s="4"/>
      <c r="L66" s="4"/>
      <c r="M66" s="4"/>
      <c r="N66" s="4"/>
      <c r="O66" s="4"/>
      <c r="P66" s="6">
        <f>IF(D66="","",SUBSTITUTE(SUBSTITUTE(SUBSTITUTE(SUBSTITUTE(SUBSTITUTE(SUBSTITUTE(SUBSTITUTE(TRIM(D66),".",""),"/",""),"-","")," ",""),"(",""),")",""),"+",""))</f>
      </c>
      <c r="Q66" s="6">
        <f>IF(P66="","",IF(LEN(P66)&lt;&gt;14,"ERRO: "&amp;LEN(P66)&amp;" dígitos",IF(NOT(ISNUMBER(VALUE(P66))),"ERRO: não numérico",IF(LEN(SUBSTITUTE(P66,LEFT(P66,1),""))=0,"ERRO: dígitos repetidos",IF(AND(VALUE(MID(P66,13,1))=IF(MOD(SUMPRODUCT(--MID(P66,{1,2,3,4,5,6,7,8,9,10,11,12},1),{5,4,3,2,9,8,7,6,5,4,3,2}),11)&lt;2,0,11-MOD(SUMPRODUCT(--MID(P66,{1,2,3,4,5,6,7,8,9,10,11,12},1),{5,4,3,2,9,8,7,6,5,4,3,2}),11)),VALUE(MID(P66,14,1))=IF(MOD(SUMPRODUCT(--MID(P66,{1,2,3,4,5,6,7,8,9,10,11,12,13},1),{6,5,4,3,2,9,8,7,6,5,4,3,2}),11)&lt;2,0,11-MOD(SUMPRODUCT(--MID(P66,{1,2,3,4,5,6,7,8,9,10,11,12,13},1),{6,5,4,3,2,9,8,7,6,5,4,3,2}),11))),"OK","ERRO: dígito verificador")))))</f>
      </c>
      <c r="R66" s="6">
        <f>IF(P66="","",IF(COUNTIF($P$2:$P$1001,P66)&gt;1,"DUPLICADO","OK"))</f>
      </c>
      <c r="S66" s="6">
        <f>IF(AND(J66="",K66=""),"vazio",IF(AND(OR(J66="",LEN(SUBSTITUTE(SUBSTITUTE(SUBSTITUTE(SUBSTITUTE(SUBSTITUTE(SUBSTITUTE(SUBSTITUTE(TRIM(J66),".",""),"/",""),"-","")," ",""),"(",""),")",""),"+",""))=10,LEN(SUBSTITUTE(SUBSTITUTE(SUBSTITUTE(SUBSTITUTE(SUBSTITUTE(SUBSTITUTE(SUBSTITUTE(TRIM(J66),".",""),"/",""),"-","")," ",""),"(",""),")",""),"+",""))=11),OR(K66="",LEN(SUBSTITUTE(SUBSTITUTE(SUBSTITUTE(SUBSTITUTE(SUBSTITUTE(SUBSTITUTE(SUBSTITUTE(TRIM(K66),".",""),"/",""),"-","")," ",""),"(",""),")",""),"+",""))=10,LEN(SUBSTITUTE(SUBSTITUTE(SUBSTITUTE(SUBSTITUTE(SUBSTITUTE(SUBSTITUTE(SUBSTITUTE(TRIM(K66),".",""),"/",""),"-","")," ",""),"(",""),")",""),"+",""))=11)),"OK","ERRO: use DDD + número (10 ou 11 dígitos)"))</f>
      </c>
      <c r="T66" s="6">
        <f>IF(L66="","vazio",IF(AND(ISNUMBER(FIND("@",L66)),ISNUMBER(FIND(".",MID(L66,FIND("@",L66),99))),NOT(ISNUMBER(FIND(" ",TRIM(L66)))),NOT(ISNUMBER(FIND(";",L66))),NOT(ISNUMBER(FIND(",",L66)))),"OK","ERRO: um e-mail válido por linha"))</f>
      </c>
      <c r="U66" s="6">
        <f>IF(COUNTA(A66:O66)=0,"",IF(AND(B66&lt;&gt;"",C66&lt;&gt;"",D66&lt;&gt;"",E66&lt;&gt;"",H66&lt;&gt;"",OR(J66&lt;&gt;"",L66&lt;&gt;"")),"OK","ERRO: faltam "&amp;IF(B66="","Proprietário; ","")&amp;IF(C66="","Origem; ","")&amp;IF(D66="","CNPJ; ","")&amp;IF(E66="","Razão Social; ","")&amp;IF(H66="","Sobrenome; ","")&amp;IF(AND(J66="",L66=""),"telefone ou e-mail; ","")))</f>
      </c>
      <c r="V66" s="6">
        <f>IF(COUNTA(A66:O66)=0,"",IF(AND(Q66="OK",R66="OK",LEFT(S66,4)&lt;&gt;"ERRO",LEFT(T66,4)&lt;&gt;"ERRO",U66="OK"),"OK","REVISAR"))</f>
      </c>
    </row>
    <row r="67">
      <c r="A67" s="4"/>
      <c r="B67" s="5"/>
      <c r="C67" s="5"/>
      <c r="D67" s="5"/>
      <c r="E67" s="5"/>
      <c r="F67" s="4"/>
      <c r="G67" s="4"/>
      <c r="H67" s="5"/>
      <c r="I67" s="4"/>
      <c r="J67" s="4"/>
      <c r="K67" s="4"/>
      <c r="L67" s="4"/>
      <c r="M67" s="4"/>
      <c r="N67" s="4"/>
      <c r="O67" s="4"/>
      <c r="P67" s="6">
        <f>IF(D67="","",SUBSTITUTE(SUBSTITUTE(SUBSTITUTE(SUBSTITUTE(SUBSTITUTE(SUBSTITUTE(SUBSTITUTE(TRIM(D67),".",""),"/",""),"-","")," ",""),"(",""),")",""),"+",""))</f>
      </c>
      <c r="Q67" s="6">
        <f>IF(P67="","",IF(LEN(P67)&lt;&gt;14,"ERRO: "&amp;LEN(P67)&amp;" dígitos",IF(NOT(ISNUMBER(VALUE(P67))),"ERRO: não numérico",IF(LEN(SUBSTITUTE(P67,LEFT(P67,1),""))=0,"ERRO: dígitos repetidos",IF(AND(VALUE(MID(P67,13,1))=IF(MOD(SUMPRODUCT(--MID(P67,{1,2,3,4,5,6,7,8,9,10,11,12},1),{5,4,3,2,9,8,7,6,5,4,3,2}),11)&lt;2,0,11-MOD(SUMPRODUCT(--MID(P67,{1,2,3,4,5,6,7,8,9,10,11,12},1),{5,4,3,2,9,8,7,6,5,4,3,2}),11)),VALUE(MID(P67,14,1))=IF(MOD(SUMPRODUCT(--MID(P67,{1,2,3,4,5,6,7,8,9,10,11,12,13},1),{6,5,4,3,2,9,8,7,6,5,4,3,2}),11)&lt;2,0,11-MOD(SUMPRODUCT(--MID(P67,{1,2,3,4,5,6,7,8,9,10,11,12,13},1),{6,5,4,3,2,9,8,7,6,5,4,3,2}),11))),"OK","ERRO: dígito verificador")))))</f>
      </c>
      <c r="R67" s="6">
        <f>IF(P67="","",IF(COUNTIF($P$2:$P$1001,P67)&gt;1,"DUPLICADO","OK"))</f>
      </c>
      <c r="S67" s="6">
        <f>IF(AND(J67="",K67=""),"vazio",IF(AND(OR(J67="",LEN(SUBSTITUTE(SUBSTITUTE(SUBSTITUTE(SUBSTITUTE(SUBSTITUTE(SUBSTITUTE(SUBSTITUTE(TRIM(J67),".",""),"/",""),"-","")," ",""),"(",""),")",""),"+",""))=10,LEN(SUBSTITUTE(SUBSTITUTE(SUBSTITUTE(SUBSTITUTE(SUBSTITUTE(SUBSTITUTE(SUBSTITUTE(TRIM(J67),".",""),"/",""),"-","")," ",""),"(",""),")",""),"+",""))=11),OR(K67="",LEN(SUBSTITUTE(SUBSTITUTE(SUBSTITUTE(SUBSTITUTE(SUBSTITUTE(SUBSTITUTE(SUBSTITUTE(TRIM(K67),".",""),"/",""),"-","")," ",""),"(",""),")",""),"+",""))=10,LEN(SUBSTITUTE(SUBSTITUTE(SUBSTITUTE(SUBSTITUTE(SUBSTITUTE(SUBSTITUTE(SUBSTITUTE(TRIM(K67),".",""),"/",""),"-","")," ",""),"(",""),")",""),"+",""))=11)),"OK","ERRO: use DDD + número (10 ou 11 dígitos)"))</f>
      </c>
      <c r="T67" s="6">
        <f>IF(L67="","vazio",IF(AND(ISNUMBER(FIND("@",L67)),ISNUMBER(FIND(".",MID(L67,FIND("@",L67),99))),NOT(ISNUMBER(FIND(" ",TRIM(L67)))),NOT(ISNUMBER(FIND(";",L67))),NOT(ISNUMBER(FIND(",",L67)))),"OK","ERRO: um e-mail válido por linha"))</f>
      </c>
      <c r="U67" s="6">
        <f>IF(COUNTA(A67:O67)=0,"",IF(AND(B67&lt;&gt;"",C67&lt;&gt;"",D67&lt;&gt;"",E67&lt;&gt;"",H67&lt;&gt;"",OR(J67&lt;&gt;"",L67&lt;&gt;"")),"OK","ERRO: faltam "&amp;IF(B67="","Proprietário; ","")&amp;IF(C67="","Origem; ","")&amp;IF(D67="","CNPJ; ","")&amp;IF(E67="","Razão Social; ","")&amp;IF(H67="","Sobrenome; ","")&amp;IF(AND(J67="",L67=""),"telefone ou e-mail; ","")))</f>
      </c>
      <c r="V67" s="6">
        <f>IF(COUNTA(A67:O67)=0,"",IF(AND(Q67="OK",R67="OK",LEFT(S67,4)&lt;&gt;"ERRO",LEFT(T67,4)&lt;&gt;"ERRO",U67="OK"),"OK","REVISAR"))</f>
      </c>
    </row>
    <row r="68">
      <c r="A68" s="4"/>
      <c r="B68" s="5"/>
      <c r="C68" s="5"/>
      <c r="D68" s="5"/>
      <c r="E68" s="5"/>
      <c r="F68" s="4"/>
      <c r="G68" s="4"/>
      <c r="H68" s="5"/>
      <c r="I68" s="4"/>
      <c r="J68" s="4"/>
      <c r="K68" s="4"/>
      <c r="L68" s="4"/>
      <c r="M68" s="4"/>
      <c r="N68" s="4"/>
      <c r="O68" s="4"/>
      <c r="P68" s="6">
        <f>IF(D68="","",SUBSTITUTE(SUBSTITUTE(SUBSTITUTE(SUBSTITUTE(SUBSTITUTE(SUBSTITUTE(SUBSTITUTE(TRIM(D68),".",""),"/",""),"-","")," ",""),"(",""),")",""),"+",""))</f>
      </c>
      <c r="Q68" s="6">
        <f>IF(P68="","",IF(LEN(P68)&lt;&gt;14,"ERRO: "&amp;LEN(P68)&amp;" dígitos",IF(NOT(ISNUMBER(VALUE(P68))),"ERRO: não numérico",IF(LEN(SUBSTITUTE(P68,LEFT(P68,1),""))=0,"ERRO: dígitos repetidos",IF(AND(VALUE(MID(P68,13,1))=IF(MOD(SUMPRODUCT(--MID(P68,{1,2,3,4,5,6,7,8,9,10,11,12},1),{5,4,3,2,9,8,7,6,5,4,3,2}),11)&lt;2,0,11-MOD(SUMPRODUCT(--MID(P68,{1,2,3,4,5,6,7,8,9,10,11,12},1),{5,4,3,2,9,8,7,6,5,4,3,2}),11)),VALUE(MID(P68,14,1))=IF(MOD(SUMPRODUCT(--MID(P68,{1,2,3,4,5,6,7,8,9,10,11,12,13},1),{6,5,4,3,2,9,8,7,6,5,4,3,2}),11)&lt;2,0,11-MOD(SUMPRODUCT(--MID(P68,{1,2,3,4,5,6,7,8,9,10,11,12,13},1),{6,5,4,3,2,9,8,7,6,5,4,3,2}),11))),"OK","ERRO: dígito verificador")))))</f>
      </c>
      <c r="R68" s="6">
        <f>IF(P68="","",IF(COUNTIF($P$2:$P$1001,P68)&gt;1,"DUPLICADO","OK"))</f>
      </c>
      <c r="S68" s="6">
        <f>IF(AND(J68="",K68=""),"vazio",IF(AND(OR(J68="",LEN(SUBSTITUTE(SUBSTITUTE(SUBSTITUTE(SUBSTITUTE(SUBSTITUTE(SUBSTITUTE(SUBSTITUTE(TRIM(J68),".",""),"/",""),"-","")," ",""),"(",""),")",""),"+",""))=10,LEN(SUBSTITUTE(SUBSTITUTE(SUBSTITUTE(SUBSTITUTE(SUBSTITUTE(SUBSTITUTE(SUBSTITUTE(TRIM(J68),".",""),"/",""),"-","")," ",""),"(",""),")",""),"+",""))=11),OR(K68="",LEN(SUBSTITUTE(SUBSTITUTE(SUBSTITUTE(SUBSTITUTE(SUBSTITUTE(SUBSTITUTE(SUBSTITUTE(TRIM(K68),".",""),"/",""),"-","")," ",""),"(",""),")",""),"+",""))=10,LEN(SUBSTITUTE(SUBSTITUTE(SUBSTITUTE(SUBSTITUTE(SUBSTITUTE(SUBSTITUTE(SUBSTITUTE(TRIM(K68),".",""),"/",""),"-","")," ",""),"(",""),")",""),"+",""))=11)),"OK","ERRO: use DDD + número (10 ou 11 dígitos)"))</f>
      </c>
      <c r="T68" s="6">
        <f>IF(L68="","vazio",IF(AND(ISNUMBER(FIND("@",L68)),ISNUMBER(FIND(".",MID(L68,FIND("@",L68),99))),NOT(ISNUMBER(FIND(" ",TRIM(L68)))),NOT(ISNUMBER(FIND(";",L68))),NOT(ISNUMBER(FIND(",",L68)))),"OK","ERRO: um e-mail válido por linha"))</f>
      </c>
      <c r="U68" s="6">
        <f>IF(COUNTA(A68:O68)=0,"",IF(AND(B68&lt;&gt;"",C68&lt;&gt;"",D68&lt;&gt;"",E68&lt;&gt;"",H68&lt;&gt;"",OR(J68&lt;&gt;"",L68&lt;&gt;"")),"OK","ERRO: faltam "&amp;IF(B68="","Proprietário; ","")&amp;IF(C68="","Origem; ","")&amp;IF(D68="","CNPJ; ","")&amp;IF(E68="","Razão Social; ","")&amp;IF(H68="","Sobrenome; ","")&amp;IF(AND(J68="",L68=""),"telefone ou e-mail; ","")))</f>
      </c>
      <c r="V68" s="6">
        <f>IF(COUNTA(A68:O68)=0,"",IF(AND(Q68="OK",R68="OK",LEFT(S68,4)&lt;&gt;"ERRO",LEFT(T68,4)&lt;&gt;"ERRO",U68="OK"),"OK","REVISAR"))</f>
      </c>
    </row>
    <row r="69">
      <c r="A69" s="4"/>
      <c r="B69" s="5"/>
      <c r="C69" s="5"/>
      <c r="D69" s="5"/>
      <c r="E69" s="5"/>
      <c r="F69" s="4"/>
      <c r="G69" s="4"/>
      <c r="H69" s="5"/>
      <c r="I69" s="4"/>
      <c r="J69" s="4"/>
      <c r="K69" s="4"/>
      <c r="L69" s="4"/>
      <c r="M69" s="4"/>
      <c r="N69" s="4"/>
      <c r="O69" s="4"/>
      <c r="P69" s="6">
        <f>IF(D69="","",SUBSTITUTE(SUBSTITUTE(SUBSTITUTE(SUBSTITUTE(SUBSTITUTE(SUBSTITUTE(SUBSTITUTE(TRIM(D69),".",""),"/",""),"-","")," ",""),"(",""),")",""),"+",""))</f>
      </c>
      <c r="Q69" s="6">
        <f>IF(P69="","",IF(LEN(P69)&lt;&gt;14,"ERRO: "&amp;LEN(P69)&amp;" dígitos",IF(NOT(ISNUMBER(VALUE(P69))),"ERRO: não numérico",IF(LEN(SUBSTITUTE(P69,LEFT(P69,1),""))=0,"ERRO: dígitos repetidos",IF(AND(VALUE(MID(P69,13,1))=IF(MOD(SUMPRODUCT(--MID(P69,{1,2,3,4,5,6,7,8,9,10,11,12},1),{5,4,3,2,9,8,7,6,5,4,3,2}),11)&lt;2,0,11-MOD(SUMPRODUCT(--MID(P69,{1,2,3,4,5,6,7,8,9,10,11,12},1),{5,4,3,2,9,8,7,6,5,4,3,2}),11)),VALUE(MID(P69,14,1))=IF(MOD(SUMPRODUCT(--MID(P69,{1,2,3,4,5,6,7,8,9,10,11,12,13},1),{6,5,4,3,2,9,8,7,6,5,4,3,2}),11)&lt;2,0,11-MOD(SUMPRODUCT(--MID(P69,{1,2,3,4,5,6,7,8,9,10,11,12,13},1),{6,5,4,3,2,9,8,7,6,5,4,3,2}),11))),"OK","ERRO: dígito verificador")))))</f>
      </c>
      <c r="R69" s="6">
        <f>IF(P69="","",IF(COUNTIF($P$2:$P$1001,P69)&gt;1,"DUPLICADO","OK"))</f>
      </c>
      <c r="S69" s="6">
        <f>IF(AND(J69="",K69=""),"vazio",IF(AND(OR(J69="",LEN(SUBSTITUTE(SUBSTITUTE(SUBSTITUTE(SUBSTITUTE(SUBSTITUTE(SUBSTITUTE(SUBSTITUTE(TRIM(J69),".",""),"/",""),"-","")," ",""),"(",""),")",""),"+",""))=10,LEN(SUBSTITUTE(SUBSTITUTE(SUBSTITUTE(SUBSTITUTE(SUBSTITUTE(SUBSTITUTE(SUBSTITUTE(TRIM(J69),".",""),"/",""),"-","")," ",""),"(",""),")",""),"+",""))=11),OR(K69="",LEN(SUBSTITUTE(SUBSTITUTE(SUBSTITUTE(SUBSTITUTE(SUBSTITUTE(SUBSTITUTE(SUBSTITUTE(TRIM(K69),".",""),"/",""),"-","")," ",""),"(",""),")",""),"+",""))=10,LEN(SUBSTITUTE(SUBSTITUTE(SUBSTITUTE(SUBSTITUTE(SUBSTITUTE(SUBSTITUTE(SUBSTITUTE(TRIM(K69),".",""),"/",""),"-","")," ",""),"(",""),")",""),"+",""))=11)),"OK","ERRO: use DDD + número (10 ou 11 dígitos)"))</f>
      </c>
      <c r="T69" s="6">
        <f>IF(L69="","vazio",IF(AND(ISNUMBER(FIND("@",L69)),ISNUMBER(FIND(".",MID(L69,FIND("@",L69),99))),NOT(ISNUMBER(FIND(" ",TRIM(L69)))),NOT(ISNUMBER(FIND(";",L69))),NOT(ISNUMBER(FIND(",",L69)))),"OK","ERRO: um e-mail válido por linha"))</f>
      </c>
      <c r="U69" s="6">
        <f>IF(COUNTA(A69:O69)=0,"",IF(AND(B69&lt;&gt;"",C69&lt;&gt;"",D69&lt;&gt;"",E69&lt;&gt;"",H69&lt;&gt;"",OR(J69&lt;&gt;"",L69&lt;&gt;"")),"OK","ERRO: faltam "&amp;IF(B69="","Proprietário; ","")&amp;IF(C69="","Origem; ","")&amp;IF(D69="","CNPJ; ","")&amp;IF(E69="","Razão Social; ","")&amp;IF(H69="","Sobrenome; ","")&amp;IF(AND(J69="",L69=""),"telefone ou e-mail; ","")))</f>
      </c>
      <c r="V69" s="6">
        <f>IF(COUNTA(A69:O69)=0,"",IF(AND(Q69="OK",R69="OK",LEFT(S69,4)&lt;&gt;"ERRO",LEFT(T69,4)&lt;&gt;"ERRO",U69="OK"),"OK","REVISAR"))</f>
      </c>
    </row>
    <row r="70">
      <c r="A70" s="4"/>
      <c r="B70" s="5"/>
      <c r="C70" s="5"/>
      <c r="D70" s="5"/>
      <c r="E70" s="5"/>
      <c r="F70" s="4"/>
      <c r="G70" s="4"/>
      <c r="H70" s="5"/>
      <c r="I70" s="4"/>
      <c r="J70" s="4"/>
      <c r="K70" s="4"/>
      <c r="L70" s="4"/>
      <c r="M70" s="4"/>
      <c r="N70" s="4"/>
      <c r="O70" s="4"/>
      <c r="P70" s="6">
        <f>IF(D70="","",SUBSTITUTE(SUBSTITUTE(SUBSTITUTE(SUBSTITUTE(SUBSTITUTE(SUBSTITUTE(SUBSTITUTE(TRIM(D70),".",""),"/",""),"-","")," ",""),"(",""),")",""),"+",""))</f>
      </c>
      <c r="Q70" s="6">
        <f>IF(P70="","",IF(LEN(P70)&lt;&gt;14,"ERRO: "&amp;LEN(P70)&amp;" dígitos",IF(NOT(ISNUMBER(VALUE(P70))),"ERRO: não numérico",IF(LEN(SUBSTITUTE(P70,LEFT(P70,1),""))=0,"ERRO: dígitos repetidos",IF(AND(VALUE(MID(P70,13,1))=IF(MOD(SUMPRODUCT(--MID(P70,{1,2,3,4,5,6,7,8,9,10,11,12},1),{5,4,3,2,9,8,7,6,5,4,3,2}),11)&lt;2,0,11-MOD(SUMPRODUCT(--MID(P70,{1,2,3,4,5,6,7,8,9,10,11,12},1),{5,4,3,2,9,8,7,6,5,4,3,2}),11)),VALUE(MID(P70,14,1))=IF(MOD(SUMPRODUCT(--MID(P70,{1,2,3,4,5,6,7,8,9,10,11,12,13},1),{6,5,4,3,2,9,8,7,6,5,4,3,2}),11)&lt;2,0,11-MOD(SUMPRODUCT(--MID(P70,{1,2,3,4,5,6,7,8,9,10,11,12,13},1),{6,5,4,3,2,9,8,7,6,5,4,3,2}),11))),"OK","ERRO: dígito verificador")))))</f>
      </c>
      <c r="R70" s="6">
        <f>IF(P70="","",IF(COUNTIF($P$2:$P$1001,P70)&gt;1,"DUPLICADO","OK"))</f>
      </c>
      <c r="S70" s="6">
        <f>IF(AND(J70="",K70=""),"vazio",IF(AND(OR(J70="",LEN(SUBSTITUTE(SUBSTITUTE(SUBSTITUTE(SUBSTITUTE(SUBSTITUTE(SUBSTITUTE(SUBSTITUTE(TRIM(J70),".",""),"/",""),"-","")," ",""),"(",""),")",""),"+",""))=10,LEN(SUBSTITUTE(SUBSTITUTE(SUBSTITUTE(SUBSTITUTE(SUBSTITUTE(SUBSTITUTE(SUBSTITUTE(TRIM(J70),".",""),"/",""),"-","")," ",""),"(",""),")",""),"+",""))=11),OR(K70="",LEN(SUBSTITUTE(SUBSTITUTE(SUBSTITUTE(SUBSTITUTE(SUBSTITUTE(SUBSTITUTE(SUBSTITUTE(TRIM(K70),".",""),"/",""),"-","")," ",""),"(",""),")",""),"+",""))=10,LEN(SUBSTITUTE(SUBSTITUTE(SUBSTITUTE(SUBSTITUTE(SUBSTITUTE(SUBSTITUTE(SUBSTITUTE(TRIM(K70),".",""),"/",""),"-","")," ",""),"(",""),")",""),"+",""))=11)),"OK","ERRO: use DDD + número (10 ou 11 dígitos)"))</f>
      </c>
      <c r="T70" s="6">
        <f>IF(L70="","vazio",IF(AND(ISNUMBER(FIND("@",L70)),ISNUMBER(FIND(".",MID(L70,FIND("@",L70),99))),NOT(ISNUMBER(FIND(" ",TRIM(L70)))),NOT(ISNUMBER(FIND(";",L70))),NOT(ISNUMBER(FIND(",",L70)))),"OK","ERRO: um e-mail válido por linha"))</f>
      </c>
      <c r="U70" s="6">
        <f>IF(COUNTA(A70:O70)=0,"",IF(AND(B70&lt;&gt;"",C70&lt;&gt;"",D70&lt;&gt;"",E70&lt;&gt;"",H70&lt;&gt;"",OR(J70&lt;&gt;"",L70&lt;&gt;"")),"OK","ERRO: faltam "&amp;IF(B70="","Proprietário; ","")&amp;IF(C70="","Origem; ","")&amp;IF(D70="","CNPJ; ","")&amp;IF(E70="","Razão Social; ","")&amp;IF(H70="","Sobrenome; ","")&amp;IF(AND(J70="",L70=""),"telefone ou e-mail; ","")))</f>
      </c>
      <c r="V70" s="6">
        <f>IF(COUNTA(A70:O70)=0,"",IF(AND(Q70="OK",R70="OK",LEFT(S70,4)&lt;&gt;"ERRO",LEFT(T70,4)&lt;&gt;"ERRO",U70="OK"),"OK","REVISAR"))</f>
      </c>
    </row>
    <row r="71">
      <c r="A71" s="4"/>
      <c r="B71" s="5"/>
      <c r="C71" s="5"/>
      <c r="D71" s="5"/>
      <c r="E71" s="5"/>
      <c r="F71" s="4"/>
      <c r="G71" s="4"/>
      <c r="H71" s="5"/>
      <c r="I71" s="4"/>
      <c r="J71" s="4"/>
      <c r="K71" s="4"/>
      <c r="L71" s="4"/>
      <c r="M71" s="4"/>
      <c r="N71" s="4"/>
      <c r="O71" s="4"/>
      <c r="P71" s="6">
        <f>IF(D71="","",SUBSTITUTE(SUBSTITUTE(SUBSTITUTE(SUBSTITUTE(SUBSTITUTE(SUBSTITUTE(SUBSTITUTE(TRIM(D71),".",""),"/",""),"-","")," ",""),"(",""),")",""),"+",""))</f>
      </c>
      <c r="Q71" s="6">
        <f>IF(P71="","",IF(LEN(P71)&lt;&gt;14,"ERRO: "&amp;LEN(P71)&amp;" dígitos",IF(NOT(ISNUMBER(VALUE(P71))),"ERRO: não numérico",IF(LEN(SUBSTITUTE(P71,LEFT(P71,1),""))=0,"ERRO: dígitos repetidos",IF(AND(VALUE(MID(P71,13,1))=IF(MOD(SUMPRODUCT(--MID(P71,{1,2,3,4,5,6,7,8,9,10,11,12},1),{5,4,3,2,9,8,7,6,5,4,3,2}),11)&lt;2,0,11-MOD(SUMPRODUCT(--MID(P71,{1,2,3,4,5,6,7,8,9,10,11,12},1),{5,4,3,2,9,8,7,6,5,4,3,2}),11)),VALUE(MID(P71,14,1))=IF(MOD(SUMPRODUCT(--MID(P71,{1,2,3,4,5,6,7,8,9,10,11,12,13},1),{6,5,4,3,2,9,8,7,6,5,4,3,2}),11)&lt;2,0,11-MOD(SUMPRODUCT(--MID(P71,{1,2,3,4,5,6,7,8,9,10,11,12,13},1),{6,5,4,3,2,9,8,7,6,5,4,3,2}),11))),"OK","ERRO: dígito verificador")))))</f>
      </c>
      <c r="R71" s="6">
        <f>IF(P71="","",IF(COUNTIF($P$2:$P$1001,P71)&gt;1,"DUPLICADO","OK"))</f>
      </c>
      <c r="S71" s="6">
        <f>IF(AND(J71="",K71=""),"vazio",IF(AND(OR(J71="",LEN(SUBSTITUTE(SUBSTITUTE(SUBSTITUTE(SUBSTITUTE(SUBSTITUTE(SUBSTITUTE(SUBSTITUTE(TRIM(J71),".",""),"/",""),"-","")," ",""),"(",""),")",""),"+",""))=10,LEN(SUBSTITUTE(SUBSTITUTE(SUBSTITUTE(SUBSTITUTE(SUBSTITUTE(SUBSTITUTE(SUBSTITUTE(TRIM(J71),".",""),"/",""),"-","")," ",""),"(",""),")",""),"+",""))=11),OR(K71="",LEN(SUBSTITUTE(SUBSTITUTE(SUBSTITUTE(SUBSTITUTE(SUBSTITUTE(SUBSTITUTE(SUBSTITUTE(TRIM(K71),".",""),"/",""),"-","")," ",""),"(",""),")",""),"+",""))=10,LEN(SUBSTITUTE(SUBSTITUTE(SUBSTITUTE(SUBSTITUTE(SUBSTITUTE(SUBSTITUTE(SUBSTITUTE(TRIM(K71),".",""),"/",""),"-","")," ",""),"(",""),")",""),"+",""))=11)),"OK","ERRO: use DDD + número (10 ou 11 dígitos)"))</f>
      </c>
      <c r="T71" s="6">
        <f>IF(L71="","vazio",IF(AND(ISNUMBER(FIND("@",L71)),ISNUMBER(FIND(".",MID(L71,FIND("@",L71),99))),NOT(ISNUMBER(FIND(" ",TRIM(L71)))),NOT(ISNUMBER(FIND(";",L71))),NOT(ISNUMBER(FIND(",",L71)))),"OK","ERRO: um e-mail válido por linha"))</f>
      </c>
      <c r="U71" s="6">
        <f>IF(COUNTA(A71:O71)=0,"",IF(AND(B71&lt;&gt;"",C71&lt;&gt;"",D71&lt;&gt;"",E71&lt;&gt;"",H71&lt;&gt;"",OR(J71&lt;&gt;"",L71&lt;&gt;"")),"OK","ERRO: faltam "&amp;IF(B71="","Proprietário; ","")&amp;IF(C71="","Origem; ","")&amp;IF(D71="","CNPJ; ","")&amp;IF(E71="","Razão Social; ","")&amp;IF(H71="","Sobrenome; ","")&amp;IF(AND(J71="",L71=""),"telefone ou e-mail; ","")))</f>
      </c>
      <c r="V71" s="6">
        <f>IF(COUNTA(A71:O71)=0,"",IF(AND(Q71="OK",R71="OK",LEFT(S71,4)&lt;&gt;"ERRO",LEFT(T71,4)&lt;&gt;"ERRO",U71="OK"),"OK","REVISAR"))</f>
      </c>
    </row>
    <row r="72">
      <c r="A72" s="4"/>
      <c r="B72" s="5"/>
      <c r="C72" s="5"/>
      <c r="D72" s="5"/>
      <c r="E72" s="5"/>
      <c r="F72" s="4"/>
      <c r="G72" s="4"/>
      <c r="H72" s="5"/>
      <c r="I72" s="4"/>
      <c r="J72" s="4"/>
      <c r="K72" s="4"/>
      <c r="L72" s="4"/>
      <c r="M72" s="4"/>
      <c r="N72" s="4"/>
      <c r="O72" s="4"/>
      <c r="P72" s="6">
        <f>IF(D72="","",SUBSTITUTE(SUBSTITUTE(SUBSTITUTE(SUBSTITUTE(SUBSTITUTE(SUBSTITUTE(SUBSTITUTE(TRIM(D72),".",""),"/",""),"-","")," ",""),"(",""),")",""),"+",""))</f>
      </c>
      <c r="Q72" s="6">
        <f>IF(P72="","",IF(LEN(P72)&lt;&gt;14,"ERRO: "&amp;LEN(P72)&amp;" dígitos",IF(NOT(ISNUMBER(VALUE(P72))),"ERRO: não numérico",IF(LEN(SUBSTITUTE(P72,LEFT(P72,1),""))=0,"ERRO: dígitos repetidos",IF(AND(VALUE(MID(P72,13,1))=IF(MOD(SUMPRODUCT(--MID(P72,{1,2,3,4,5,6,7,8,9,10,11,12},1),{5,4,3,2,9,8,7,6,5,4,3,2}),11)&lt;2,0,11-MOD(SUMPRODUCT(--MID(P72,{1,2,3,4,5,6,7,8,9,10,11,12},1),{5,4,3,2,9,8,7,6,5,4,3,2}),11)),VALUE(MID(P72,14,1))=IF(MOD(SUMPRODUCT(--MID(P72,{1,2,3,4,5,6,7,8,9,10,11,12,13},1),{6,5,4,3,2,9,8,7,6,5,4,3,2}),11)&lt;2,0,11-MOD(SUMPRODUCT(--MID(P72,{1,2,3,4,5,6,7,8,9,10,11,12,13},1),{6,5,4,3,2,9,8,7,6,5,4,3,2}),11))),"OK","ERRO: dígito verificador")))))</f>
      </c>
      <c r="R72" s="6">
        <f>IF(P72="","",IF(COUNTIF($P$2:$P$1001,P72)&gt;1,"DUPLICADO","OK"))</f>
      </c>
      <c r="S72" s="6">
        <f>IF(AND(J72="",K72=""),"vazio",IF(AND(OR(J72="",LEN(SUBSTITUTE(SUBSTITUTE(SUBSTITUTE(SUBSTITUTE(SUBSTITUTE(SUBSTITUTE(SUBSTITUTE(TRIM(J72),".",""),"/",""),"-","")," ",""),"(",""),")",""),"+",""))=10,LEN(SUBSTITUTE(SUBSTITUTE(SUBSTITUTE(SUBSTITUTE(SUBSTITUTE(SUBSTITUTE(SUBSTITUTE(TRIM(J72),".",""),"/",""),"-","")," ",""),"(",""),")",""),"+",""))=11),OR(K72="",LEN(SUBSTITUTE(SUBSTITUTE(SUBSTITUTE(SUBSTITUTE(SUBSTITUTE(SUBSTITUTE(SUBSTITUTE(TRIM(K72),".",""),"/",""),"-","")," ",""),"(",""),")",""),"+",""))=10,LEN(SUBSTITUTE(SUBSTITUTE(SUBSTITUTE(SUBSTITUTE(SUBSTITUTE(SUBSTITUTE(SUBSTITUTE(TRIM(K72),".",""),"/",""),"-","")," ",""),"(",""),")",""),"+",""))=11)),"OK","ERRO: use DDD + número (10 ou 11 dígitos)"))</f>
      </c>
      <c r="T72" s="6">
        <f>IF(L72="","vazio",IF(AND(ISNUMBER(FIND("@",L72)),ISNUMBER(FIND(".",MID(L72,FIND("@",L72),99))),NOT(ISNUMBER(FIND(" ",TRIM(L72)))),NOT(ISNUMBER(FIND(";",L72))),NOT(ISNUMBER(FIND(",",L72)))),"OK","ERRO: um e-mail válido por linha"))</f>
      </c>
      <c r="U72" s="6">
        <f>IF(COUNTA(A72:O72)=0,"",IF(AND(B72&lt;&gt;"",C72&lt;&gt;"",D72&lt;&gt;"",E72&lt;&gt;"",H72&lt;&gt;"",OR(J72&lt;&gt;"",L72&lt;&gt;"")),"OK","ERRO: faltam "&amp;IF(B72="","Proprietário; ","")&amp;IF(C72="","Origem; ","")&amp;IF(D72="","CNPJ; ","")&amp;IF(E72="","Razão Social; ","")&amp;IF(H72="","Sobrenome; ","")&amp;IF(AND(J72="",L72=""),"telefone ou e-mail; ","")))</f>
      </c>
      <c r="V72" s="6">
        <f>IF(COUNTA(A72:O72)=0,"",IF(AND(Q72="OK",R72="OK",LEFT(S72,4)&lt;&gt;"ERRO",LEFT(T72,4)&lt;&gt;"ERRO",U72="OK"),"OK","REVISAR"))</f>
      </c>
    </row>
    <row r="73">
      <c r="A73" s="4"/>
      <c r="B73" s="5"/>
      <c r="C73" s="5"/>
      <c r="D73" s="5"/>
      <c r="E73" s="5"/>
      <c r="F73" s="4"/>
      <c r="G73" s="4"/>
      <c r="H73" s="5"/>
      <c r="I73" s="4"/>
      <c r="J73" s="4"/>
      <c r="K73" s="4"/>
      <c r="L73" s="4"/>
      <c r="M73" s="4"/>
      <c r="N73" s="4"/>
      <c r="O73" s="4"/>
      <c r="P73" s="6">
        <f>IF(D73="","",SUBSTITUTE(SUBSTITUTE(SUBSTITUTE(SUBSTITUTE(SUBSTITUTE(SUBSTITUTE(SUBSTITUTE(TRIM(D73),".",""),"/",""),"-","")," ",""),"(",""),")",""),"+",""))</f>
      </c>
      <c r="Q73" s="6">
        <f>IF(P73="","",IF(LEN(P73)&lt;&gt;14,"ERRO: "&amp;LEN(P73)&amp;" dígitos",IF(NOT(ISNUMBER(VALUE(P73))),"ERRO: não numérico",IF(LEN(SUBSTITUTE(P73,LEFT(P73,1),""))=0,"ERRO: dígitos repetidos",IF(AND(VALUE(MID(P73,13,1))=IF(MOD(SUMPRODUCT(--MID(P73,{1,2,3,4,5,6,7,8,9,10,11,12},1),{5,4,3,2,9,8,7,6,5,4,3,2}),11)&lt;2,0,11-MOD(SUMPRODUCT(--MID(P73,{1,2,3,4,5,6,7,8,9,10,11,12},1),{5,4,3,2,9,8,7,6,5,4,3,2}),11)),VALUE(MID(P73,14,1))=IF(MOD(SUMPRODUCT(--MID(P73,{1,2,3,4,5,6,7,8,9,10,11,12,13},1),{6,5,4,3,2,9,8,7,6,5,4,3,2}),11)&lt;2,0,11-MOD(SUMPRODUCT(--MID(P73,{1,2,3,4,5,6,7,8,9,10,11,12,13},1),{6,5,4,3,2,9,8,7,6,5,4,3,2}),11))),"OK","ERRO: dígito verificador")))))</f>
      </c>
      <c r="R73" s="6">
        <f>IF(P73="","",IF(COUNTIF($P$2:$P$1001,P73)&gt;1,"DUPLICADO","OK"))</f>
      </c>
      <c r="S73" s="6">
        <f>IF(AND(J73="",K73=""),"vazio",IF(AND(OR(J73="",LEN(SUBSTITUTE(SUBSTITUTE(SUBSTITUTE(SUBSTITUTE(SUBSTITUTE(SUBSTITUTE(SUBSTITUTE(TRIM(J73),".",""),"/",""),"-","")," ",""),"(",""),")",""),"+",""))=10,LEN(SUBSTITUTE(SUBSTITUTE(SUBSTITUTE(SUBSTITUTE(SUBSTITUTE(SUBSTITUTE(SUBSTITUTE(TRIM(J73),".",""),"/",""),"-","")," ",""),"(",""),")",""),"+",""))=11),OR(K73="",LEN(SUBSTITUTE(SUBSTITUTE(SUBSTITUTE(SUBSTITUTE(SUBSTITUTE(SUBSTITUTE(SUBSTITUTE(TRIM(K73),".",""),"/",""),"-","")," ",""),"(",""),")",""),"+",""))=10,LEN(SUBSTITUTE(SUBSTITUTE(SUBSTITUTE(SUBSTITUTE(SUBSTITUTE(SUBSTITUTE(SUBSTITUTE(TRIM(K73),".",""),"/",""),"-","")," ",""),"(",""),")",""),"+",""))=11)),"OK","ERRO: use DDD + número (10 ou 11 dígitos)"))</f>
      </c>
      <c r="T73" s="6">
        <f>IF(L73="","vazio",IF(AND(ISNUMBER(FIND("@",L73)),ISNUMBER(FIND(".",MID(L73,FIND("@",L73),99))),NOT(ISNUMBER(FIND(" ",TRIM(L73)))),NOT(ISNUMBER(FIND(";",L73))),NOT(ISNUMBER(FIND(",",L73)))),"OK","ERRO: um e-mail válido por linha"))</f>
      </c>
      <c r="U73" s="6">
        <f>IF(COUNTA(A73:O73)=0,"",IF(AND(B73&lt;&gt;"",C73&lt;&gt;"",D73&lt;&gt;"",E73&lt;&gt;"",H73&lt;&gt;"",OR(J73&lt;&gt;"",L73&lt;&gt;"")),"OK","ERRO: faltam "&amp;IF(B73="","Proprietário; ","")&amp;IF(C73="","Origem; ","")&amp;IF(D73="","CNPJ; ","")&amp;IF(E73="","Razão Social; ","")&amp;IF(H73="","Sobrenome; ","")&amp;IF(AND(J73="",L73=""),"telefone ou e-mail; ","")))</f>
      </c>
      <c r="V73" s="6">
        <f>IF(COUNTA(A73:O73)=0,"",IF(AND(Q73="OK",R73="OK",LEFT(S73,4)&lt;&gt;"ERRO",LEFT(T73,4)&lt;&gt;"ERRO",U73="OK"),"OK","REVISAR"))</f>
      </c>
    </row>
    <row r="74">
      <c r="A74" s="4"/>
      <c r="B74" s="5"/>
      <c r="C74" s="5"/>
      <c r="D74" s="5"/>
      <c r="E74" s="5"/>
      <c r="F74" s="4"/>
      <c r="G74" s="4"/>
      <c r="H74" s="5"/>
      <c r="I74" s="4"/>
      <c r="J74" s="4"/>
      <c r="K74" s="4"/>
      <c r="L74" s="4"/>
      <c r="M74" s="4"/>
      <c r="N74" s="4"/>
      <c r="O74" s="4"/>
      <c r="P74" s="6">
        <f>IF(D74="","",SUBSTITUTE(SUBSTITUTE(SUBSTITUTE(SUBSTITUTE(SUBSTITUTE(SUBSTITUTE(SUBSTITUTE(TRIM(D74),".",""),"/",""),"-","")," ",""),"(",""),")",""),"+",""))</f>
      </c>
      <c r="Q74" s="6">
        <f>IF(P74="","",IF(LEN(P74)&lt;&gt;14,"ERRO: "&amp;LEN(P74)&amp;" dígitos",IF(NOT(ISNUMBER(VALUE(P74))),"ERRO: não numérico",IF(LEN(SUBSTITUTE(P74,LEFT(P74,1),""))=0,"ERRO: dígitos repetidos",IF(AND(VALUE(MID(P74,13,1))=IF(MOD(SUMPRODUCT(--MID(P74,{1,2,3,4,5,6,7,8,9,10,11,12},1),{5,4,3,2,9,8,7,6,5,4,3,2}),11)&lt;2,0,11-MOD(SUMPRODUCT(--MID(P74,{1,2,3,4,5,6,7,8,9,10,11,12},1),{5,4,3,2,9,8,7,6,5,4,3,2}),11)),VALUE(MID(P74,14,1))=IF(MOD(SUMPRODUCT(--MID(P74,{1,2,3,4,5,6,7,8,9,10,11,12,13},1),{6,5,4,3,2,9,8,7,6,5,4,3,2}),11)&lt;2,0,11-MOD(SUMPRODUCT(--MID(P74,{1,2,3,4,5,6,7,8,9,10,11,12,13},1),{6,5,4,3,2,9,8,7,6,5,4,3,2}),11))),"OK","ERRO: dígito verificador")))))</f>
      </c>
      <c r="R74" s="6">
        <f>IF(P74="","",IF(COUNTIF($P$2:$P$1001,P74)&gt;1,"DUPLICADO","OK"))</f>
      </c>
      <c r="S74" s="6">
        <f>IF(AND(J74="",K74=""),"vazio",IF(AND(OR(J74="",LEN(SUBSTITUTE(SUBSTITUTE(SUBSTITUTE(SUBSTITUTE(SUBSTITUTE(SUBSTITUTE(SUBSTITUTE(TRIM(J74),".",""),"/",""),"-","")," ",""),"(",""),")",""),"+",""))=10,LEN(SUBSTITUTE(SUBSTITUTE(SUBSTITUTE(SUBSTITUTE(SUBSTITUTE(SUBSTITUTE(SUBSTITUTE(TRIM(J74),".",""),"/",""),"-","")," ",""),"(",""),")",""),"+",""))=11),OR(K74="",LEN(SUBSTITUTE(SUBSTITUTE(SUBSTITUTE(SUBSTITUTE(SUBSTITUTE(SUBSTITUTE(SUBSTITUTE(TRIM(K74),".",""),"/",""),"-","")," ",""),"(",""),")",""),"+",""))=10,LEN(SUBSTITUTE(SUBSTITUTE(SUBSTITUTE(SUBSTITUTE(SUBSTITUTE(SUBSTITUTE(SUBSTITUTE(TRIM(K74),".",""),"/",""),"-","")," ",""),"(",""),")",""),"+",""))=11)),"OK","ERRO: use DDD + número (10 ou 11 dígitos)"))</f>
      </c>
      <c r="T74" s="6">
        <f>IF(L74="","vazio",IF(AND(ISNUMBER(FIND("@",L74)),ISNUMBER(FIND(".",MID(L74,FIND("@",L74),99))),NOT(ISNUMBER(FIND(" ",TRIM(L74)))),NOT(ISNUMBER(FIND(";",L74))),NOT(ISNUMBER(FIND(",",L74)))),"OK","ERRO: um e-mail válido por linha"))</f>
      </c>
      <c r="U74" s="6">
        <f>IF(COUNTA(A74:O74)=0,"",IF(AND(B74&lt;&gt;"",C74&lt;&gt;"",D74&lt;&gt;"",E74&lt;&gt;"",H74&lt;&gt;"",OR(J74&lt;&gt;"",L74&lt;&gt;"")),"OK","ERRO: faltam "&amp;IF(B74="","Proprietário; ","")&amp;IF(C74="","Origem; ","")&amp;IF(D74="","CNPJ; ","")&amp;IF(E74="","Razão Social; ","")&amp;IF(H74="","Sobrenome; ","")&amp;IF(AND(J74="",L74=""),"telefone ou e-mail; ","")))</f>
      </c>
      <c r="V74" s="6">
        <f>IF(COUNTA(A74:O74)=0,"",IF(AND(Q74="OK",R74="OK",LEFT(S74,4)&lt;&gt;"ERRO",LEFT(T74,4)&lt;&gt;"ERRO",U74="OK"),"OK","REVISAR"))</f>
      </c>
    </row>
    <row r="75">
      <c r="A75" s="4"/>
      <c r="B75" s="5"/>
      <c r="C75" s="5"/>
      <c r="D75" s="5"/>
      <c r="E75" s="5"/>
      <c r="F75" s="4"/>
      <c r="G75" s="4"/>
      <c r="H75" s="5"/>
      <c r="I75" s="4"/>
      <c r="J75" s="4"/>
      <c r="K75" s="4"/>
      <c r="L75" s="4"/>
      <c r="M75" s="4"/>
      <c r="N75" s="4"/>
      <c r="O75" s="4"/>
      <c r="P75" s="6">
        <f>IF(D75="","",SUBSTITUTE(SUBSTITUTE(SUBSTITUTE(SUBSTITUTE(SUBSTITUTE(SUBSTITUTE(SUBSTITUTE(TRIM(D75),".",""),"/",""),"-","")," ",""),"(",""),")",""),"+",""))</f>
      </c>
      <c r="Q75" s="6">
        <f>IF(P75="","",IF(LEN(P75)&lt;&gt;14,"ERRO: "&amp;LEN(P75)&amp;" dígitos",IF(NOT(ISNUMBER(VALUE(P75))),"ERRO: não numérico",IF(LEN(SUBSTITUTE(P75,LEFT(P75,1),""))=0,"ERRO: dígitos repetidos",IF(AND(VALUE(MID(P75,13,1))=IF(MOD(SUMPRODUCT(--MID(P75,{1,2,3,4,5,6,7,8,9,10,11,12},1),{5,4,3,2,9,8,7,6,5,4,3,2}),11)&lt;2,0,11-MOD(SUMPRODUCT(--MID(P75,{1,2,3,4,5,6,7,8,9,10,11,12},1),{5,4,3,2,9,8,7,6,5,4,3,2}),11)),VALUE(MID(P75,14,1))=IF(MOD(SUMPRODUCT(--MID(P75,{1,2,3,4,5,6,7,8,9,10,11,12,13},1),{6,5,4,3,2,9,8,7,6,5,4,3,2}),11)&lt;2,0,11-MOD(SUMPRODUCT(--MID(P75,{1,2,3,4,5,6,7,8,9,10,11,12,13},1),{6,5,4,3,2,9,8,7,6,5,4,3,2}),11))),"OK","ERRO: dígito verificador")))))</f>
      </c>
      <c r="R75" s="6">
        <f>IF(P75="","",IF(COUNTIF($P$2:$P$1001,P75)&gt;1,"DUPLICADO","OK"))</f>
      </c>
      <c r="S75" s="6">
        <f>IF(AND(J75="",K75=""),"vazio",IF(AND(OR(J75="",LEN(SUBSTITUTE(SUBSTITUTE(SUBSTITUTE(SUBSTITUTE(SUBSTITUTE(SUBSTITUTE(SUBSTITUTE(TRIM(J75),".",""),"/",""),"-","")," ",""),"(",""),")",""),"+",""))=10,LEN(SUBSTITUTE(SUBSTITUTE(SUBSTITUTE(SUBSTITUTE(SUBSTITUTE(SUBSTITUTE(SUBSTITUTE(TRIM(J75),".",""),"/",""),"-","")," ",""),"(",""),")",""),"+",""))=11),OR(K75="",LEN(SUBSTITUTE(SUBSTITUTE(SUBSTITUTE(SUBSTITUTE(SUBSTITUTE(SUBSTITUTE(SUBSTITUTE(TRIM(K75),".",""),"/",""),"-","")," ",""),"(",""),")",""),"+",""))=10,LEN(SUBSTITUTE(SUBSTITUTE(SUBSTITUTE(SUBSTITUTE(SUBSTITUTE(SUBSTITUTE(SUBSTITUTE(TRIM(K75),".",""),"/",""),"-","")," ",""),"(",""),")",""),"+",""))=11)),"OK","ERRO: use DDD + número (10 ou 11 dígitos)"))</f>
      </c>
      <c r="T75" s="6">
        <f>IF(L75="","vazio",IF(AND(ISNUMBER(FIND("@",L75)),ISNUMBER(FIND(".",MID(L75,FIND("@",L75),99))),NOT(ISNUMBER(FIND(" ",TRIM(L75)))),NOT(ISNUMBER(FIND(";",L75))),NOT(ISNUMBER(FIND(",",L75)))),"OK","ERRO: um e-mail válido por linha"))</f>
      </c>
      <c r="U75" s="6">
        <f>IF(COUNTA(A75:O75)=0,"",IF(AND(B75&lt;&gt;"",C75&lt;&gt;"",D75&lt;&gt;"",E75&lt;&gt;"",H75&lt;&gt;"",OR(J75&lt;&gt;"",L75&lt;&gt;"")),"OK","ERRO: faltam "&amp;IF(B75="","Proprietário; ","")&amp;IF(C75="","Origem; ","")&amp;IF(D75="","CNPJ; ","")&amp;IF(E75="","Razão Social; ","")&amp;IF(H75="","Sobrenome; ","")&amp;IF(AND(J75="",L75=""),"telefone ou e-mail; ","")))</f>
      </c>
      <c r="V75" s="6">
        <f>IF(COUNTA(A75:O75)=0,"",IF(AND(Q75="OK",R75="OK",LEFT(S75,4)&lt;&gt;"ERRO",LEFT(T75,4)&lt;&gt;"ERRO",U75="OK"),"OK","REVISAR"))</f>
      </c>
    </row>
    <row r="76">
      <c r="A76" s="4"/>
      <c r="B76" s="5"/>
      <c r="C76" s="5"/>
      <c r="D76" s="5"/>
      <c r="E76" s="5"/>
      <c r="F76" s="4"/>
      <c r="G76" s="4"/>
      <c r="H76" s="5"/>
      <c r="I76" s="4"/>
      <c r="J76" s="4"/>
      <c r="K76" s="4"/>
      <c r="L76" s="4"/>
      <c r="M76" s="4"/>
      <c r="N76" s="4"/>
      <c r="O76" s="4"/>
      <c r="P76" s="6">
        <f>IF(D76="","",SUBSTITUTE(SUBSTITUTE(SUBSTITUTE(SUBSTITUTE(SUBSTITUTE(SUBSTITUTE(SUBSTITUTE(TRIM(D76),".",""),"/",""),"-","")," ",""),"(",""),")",""),"+",""))</f>
      </c>
      <c r="Q76" s="6">
        <f>IF(P76="","",IF(LEN(P76)&lt;&gt;14,"ERRO: "&amp;LEN(P76)&amp;" dígitos",IF(NOT(ISNUMBER(VALUE(P76))),"ERRO: não numérico",IF(LEN(SUBSTITUTE(P76,LEFT(P76,1),""))=0,"ERRO: dígitos repetidos",IF(AND(VALUE(MID(P76,13,1))=IF(MOD(SUMPRODUCT(--MID(P76,{1,2,3,4,5,6,7,8,9,10,11,12},1),{5,4,3,2,9,8,7,6,5,4,3,2}),11)&lt;2,0,11-MOD(SUMPRODUCT(--MID(P76,{1,2,3,4,5,6,7,8,9,10,11,12},1),{5,4,3,2,9,8,7,6,5,4,3,2}),11)),VALUE(MID(P76,14,1))=IF(MOD(SUMPRODUCT(--MID(P76,{1,2,3,4,5,6,7,8,9,10,11,12,13},1),{6,5,4,3,2,9,8,7,6,5,4,3,2}),11)&lt;2,0,11-MOD(SUMPRODUCT(--MID(P76,{1,2,3,4,5,6,7,8,9,10,11,12,13},1),{6,5,4,3,2,9,8,7,6,5,4,3,2}),11))),"OK","ERRO: dígito verificador")))))</f>
      </c>
      <c r="R76" s="6">
        <f>IF(P76="","",IF(COUNTIF($P$2:$P$1001,P76)&gt;1,"DUPLICADO","OK"))</f>
      </c>
      <c r="S76" s="6">
        <f>IF(AND(J76="",K76=""),"vazio",IF(AND(OR(J76="",LEN(SUBSTITUTE(SUBSTITUTE(SUBSTITUTE(SUBSTITUTE(SUBSTITUTE(SUBSTITUTE(SUBSTITUTE(TRIM(J76),".",""),"/",""),"-","")," ",""),"(",""),")",""),"+",""))=10,LEN(SUBSTITUTE(SUBSTITUTE(SUBSTITUTE(SUBSTITUTE(SUBSTITUTE(SUBSTITUTE(SUBSTITUTE(TRIM(J76),".",""),"/",""),"-","")," ",""),"(",""),")",""),"+",""))=11),OR(K76="",LEN(SUBSTITUTE(SUBSTITUTE(SUBSTITUTE(SUBSTITUTE(SUBSTITUTE(SUBSTITUTE(SUBSTITUTE(TRIM(K76),".",""),"/",""),"-","")," ",""),"(",""),")",""),"+",""))=10,LEN(SUBSTITUTE(SUBSTITUTE(SUBSTITUTE(SUBSTITUTE(SUBSTITUTE(SUBSTITUTE(SUBSTITUTE(TRIM(K76),".",""),"/",""),"-","")," ",""),"(",""),")",""),"+",""))=11)),"OK","ERRO: use DDD + número (10 ou 11 dígitos)"))</f>
      </c>
      <c r="T76" s="6">
        <f>IF(L76="","vazio",IF(AND(ISNUMBER(FIND("@",L76)),ISNUMBER(FIND(".",MID(L76,FIND("@",L76),99))),NOT(ISNUMBER(FIND(" ",TRIM(L76)))),NOT(ISNUMBER(FIND(";",L76))),NOT(ISNUMBER(FIND(",",L76)))),"OK","ERRO: um e-mail válido por linha"))</f>
      </c>
      <c r="U76" s="6">
        <f>IF(COUNTA(A76:O76)=0,"",IF(AND(B76&lt;&gt;"",C76&lt;&gt;"",D76&lt;&gt;"",E76&lt;&gt;"",H76&lt;&gt;"",OR(J76&lt;&gt;"",L76&lt;&gt;"")),"OK","ERRO: faltam "&amp;IF(B76="","Proprietário; ","")&amp;IF(C76="","Origem; ","")&amp;IF(D76="","CNPJ; ","")&amp;IF(E76="","Razão Social; ","")&amp;IF(H76="","Sobrenome; ","")&amp;IF(AND(J76="",L76=""),"telefone ou e-mail; ","")))</f>
      </c>
      <c r="V76" s="6">
        <f>IF(COUNTA(A76:O76)=0,"",IF(AND(Q76="OK",R76="OK",LEFT(S76,4)&lt;&gt;"ERRO",LEFT(T76,4)&lt;&gt;"ERRO",U76="OK"),"OK","REVISAR"))</f>
      </c>
    </row>
    <row r="77">
      <c r="A77" s="4"/>
      <c r="B77" s="5"/>
      <c r="C77" s="5"/>
      <c r="D77" s="5"/>
      <c r="E77" s="5"/>
      <c r="F77" s="4"/>
      <c r="G77" s="4"/>
      <c r="H77" s="5"/>
      <c r="I77" s="4"/>
      <c r="J77" s="4"/>
      <c r="K77" s="4"/>
      <c r="L77" s="4"/>
      <c r="M77" s="4"/>
      <c r="N77" s="4"/>
      <c r="O77" s="4"/>
      <c r="P77" s="6">
        <f>IF(D77="","",SUBSTITUTE(SUBSTITUTE(SUBSTITUTE(SUBSTITUTE(SUBSTITUTE(SUBSTITUTE(SUBSTITUTE(TRIM(D77),".",""),"/",""),"-","")," ",""),"(",""),")",""),"+",""))</f>
      </c>
      <c r="Q77" s="6">
        <f>IF(P77="","",IF(LEN(P77)&lt;&gt;14,"ERRO: "&amp;LEN(P77)&amp;" dígitos",IF(NOT(ISNUMBER(VALUE(P77))),"ERRO: não numérico",IF(LEN(SUBSTITUTE(P77,LEFT(P77,1),""))=0,"ERRO: dígitos repetidos",IF(AND(VALUE(MID(P77,13,1))=IF(MOD(SUMPRODUCT(--MID(P77,{1,2,3,4,5,6,7,8,9,10,11,12},1),{5,4,3,2,9,8,7,6,5,4,3,2}),11)&lt;2,0,11-MOD(SUMPRODUCT(--MID(P77,{1,2,3,4,5,6,7,8,9,10,11,12},1),{5,4,3,2,9,8,7,6,5,4,3,2}),11)),VALUE(MID(P77,14,1))=IF(MOD(SUMPRODUCT(--MID(P77,{1,2,3,4,5,6,7,8,9,10,11,12,13},1),{6,5,4,3,2,9,8,7,6,5,4,3,2}),11)&lt;2,0,11-MOD(SUMPRODUCT(--MID(P77,{1,2,3,4,5,6,7,8,9,10,11,12,13},1),{6,5,4,3,2,9,8,7,6,5,4,3,2}),11))),"OK","ERRO: dígito verificador")))))</f>
      </c>
      <c r="R77" s="6">
        <f>IF(P77="","",IF(COUNTIF($P$2:$P$1001,P77)&gt;1,"DUPLICADO","OK"))</f>
      </c>
      <c r="S77" s="6">
        <f>IF(AND(J77="",K77=""),"vazio",IF(AND(OR(J77="",LEN(SUBSTITUTE(SUBSTITUTE(SUBSTITUTE(SUBSTITUTE(SUBSTITUTE(SUBSTITUTE(SUBSTITUTE(TRIM(J77),".",""),"/",""),"-","")," ",""),"(",""),")",""),"+",""))=10,LEN(SUBSTITUTE(SUBSTITUTE(SUBSTITUTE(SUBSTITUTE(SUBSTITUTE(SUBSTITUTE(SUBSTITUTE(TRIM(J77),".",""),"/",""),"-","")," ",""),"(",""),")",""),"+",""))=11),OR(K77="",LEN(SUBSTITUTE(SUBSTITUTE(SUBSTITUTE(SUBSTITUTE(SUBSTITUTE(SUBSTITUTE(SUBSTITUTE(TRIM(K77),".",""),"/",""),"-","")," ",""),"(",""),")",""),"+",""))=10,LEN(SUBSTITUTE(SUBSTITUTE(SUBSTITUTE(SUBSTITUTE(SUBSTITUTE(SUBSTITUTE(SUBSTITUTE(TRIM(K77),".",""),"/",""),"-","")," ",""),"(",""),")",""),"+",""))=11)),"OK","ERRO: use DDD + número (10 ou 11 dígitos)"))</f>
      </c>
      <c r="T77" s="6">
        <f>IF(L77="","vazio",IF(AND(ISNUMBER(FIND("@",L77)),ISNUMBER(FIND(".",MID(L77,FIND("@",L77),99))),NOT(ISNUMBER(FIND(" ",TRIM(L77)))),NOT(ISNUMBER(FIND(";",L77))),NOT(ISNUMBER(FIND(",",L77)))),"OK","ERRO: um e-mail válido por linha"))</f>
      </c>
      <c r="U77" s="6">
        <f>IF(COUNTA(A77:O77)=0,"",IF(AND(B77&lt;&gt;"",C77&lt;&gt;"",D77&lt;&gt;"",E77&lt;&gt;"",H77&lt;&gt;"",OR(J77&lt;&gt;"",L77&lt;&gt;"")),"OK","ERRO: faltam "&amp;IF(B77="","Proprietário; ","")&amp;IF(C77="","Origem; ","")&amp;IF(D77="","CNPJ; ","")&amp;IF(E77="","Razão Social; ","")&amp;IF(H77="","Sobrenome; ","")&amp;IF(AND(J77="",L77=""),"telefone ou e-mail; ","")))</f>
      </c>
      <c r="V77" s="6">
        <f>IF(COUNTA(A77:O77)=0,"",IF(AND(Q77="OK",R77="OK",LEFT(S77,4)&lt;&gt;"ERRO",LEFT(T77,4)&lt;&gt;"ERRO",U77="OK"),"OK","REVISAR"))</f>
      </c>
    </row>
    <row r="78">
      <c r="A78" s="4"/>
      <c r="B78" s="5"/>
      <c r="C78" s="5"/>
      <c r="D78" s="5"/>
      <c r="E78" s="5"/>
      <c r="F78" s="4"/>
      <c r="G78" s="4"/>
      <c r="H78" s="5"/>
      <c r="I78" s="4"/>
      <c r="J78" s="4"/>
      <c r="K78" s="4"/>
      <c r="L78" s="4"/>
      <c r="M78" s="4"/>
      <c r="N78" s="4"/>
      <c r="O78" s="4"/>
      <c r="P78" s="6">
        <f>IF(D78="","",SUBSTITUTE(SUBSTITUTE(SUBSTITUTE(SUBSTITUTE(SUBSTITUTE(SUBSTITUTE(SUBSTITUTE(TRIM(D78),".",""),"/",""),"-","")," ",""),"(",""),")",""),"+",""))</f>
      </c>
      <c r="Q78" s="6">
        <f>IF(P78="","",IF(LEN(P78)&lt;&gt;14,"ERRO: "&amp;LEN(P78)&amp;" dígitos",IF(NOT(ISNUMBER(VALUE(P78))),"ERRO: não numérico",IF(LEN(SUBSTITUTE(P78,LEFT(P78,1),""))=0,"ERRO: dígitos repetidos",IF(AND(VALUE(MID(P78,13,1))=IF(MOD(SUMPRODUCT(--MID(P78,{1,2,3,4,5,6,7,8,9,10,11,12},1),{5,4,3,2,9,8,7,6,5,4,3,2}),11)&lt;2,0,11-MOD(SUMPRODUCT(--MID(P78,{1,2,3,4,5,6,7,8,9,10,11,12},1),{5,4,3,2,9,8,7,6,5,4,3,2}),11)),VALUE(MID(P78,14,1))=IF(MOD(SUMPRODUCT(--MID(P78,{1,2,3,4,5,6,7,8,9,10,11,12,13},1),{6,5,4,3,2,9,8,7,6,5,4,3,2}),11)&lt;2,0,11-MOD(SUMPRODUCT(--MID(P78,{1,2,3,4,5,6,7,8,9,10,11,12,13},1),{6,5,4,3,2,9,8,7,6,5,4,3,2}),11))),"OK","ERRO: dígito verificador")))))</f>
      </c>
      <c r="R78" s="6">
        <f>IF(P78="","",IF(COUNTIF($P$2:$P$1001,P78)&gt;1,"DUPLICADO","OK"))</f>
      </c>
      <c r="S78" s="6">
        <f>IF(AND(J78="",K78=""),"vazio",IF(AND(OR(J78="",LEN(SUBSTITUTE(SUBSTITUTE(SUBSTITUTE(SUBSTITUTE(SUBSTITUTE(SUBSTITUTE(SUBSTITUTE(TRIM(J78),".",""),"/",""),"-","")," ",""),"(",""),")",""),"+",""))=10,LEN(SUBSTITUTE(SUBSTITUTE(SUBSTITUTE(SUBSTITUTE(SUBSTITUTE(SUBSTITUTE(SUBSTITUTE(TRIM(J78),".",""),"/",""),"-","")," ",""),"(",""),")",""),"+",""))=11),OR(K78="",LEN(SUBSTITUTE(SUBSTITUTE(SUBSTITUTE(SUBSTITUTE(SUBSTITUTE(SUBSTITUTE(SUBSTITUTE(TRIM(K78),".",""),"/",""),"-","")," ",""),"(",""),")",""),"+",""))=10,LEN(SUBSTITUTE(SUBSTITUTE(SUBSTITUTE(SUBSTITUTE(SUBSTITUTE(SUBSTITUTE(SUBSTITUTE(TRIM(K78),".",""),"/",""),"-","")," ",""),"(",""),")",""),"+",""))=11)),"OK","ERRO: use DDD + número (10 ou 11 dígitos)"))</f>
      </c>
      <c r="T78" s="6">
        <f>IF(L78="","vazio",IF(AND(ISNUMBER(FIND("@",L78)),ISNUMBER(FIND(".",MID(L78,FIND("@",L78),99))),NOT(ISNUMBER(FIND(" ",TRIM(L78)))),NOT(ISNUMBER(FIND(";",L78))),NOT(ISNUMBER(FIND(",",L78)))),"OK","ERRO: um e-mail válido por linha"))</f>
      </c>
      <c r="U78" s="6">
        <f>IF(COUNTA(A78:O78)=0,"",IF(AND(B78&lt;&gt;"",C78&lt;&gt;"",D78&lt;&gt;"",E78&lt;&gt;"",H78&lt;&gt;"",OR(J78&lt;&gt;"",L78&lt;&gt;"")),"OK","ERRO: faltam "&amp;IF(B78="","Proprietário; ","")&amp;IF(C78="","Origem; ","")&amp;IF(D78="","CNPJ; ","")&amp;IF(E78="","Razão Social; ","")&amp;IF(H78="","Sobrenome; ","")&amp;IF(AND(J78="",L78=""),"telefone ou e-mail; ","")))</f>
      </c>
      <c r="V78" s="6">
        <f>IF(COUNTA(A78:O78)=0,"",IF(AND(Q78="OK",R78="OK",LEFT(S78,4)&lt;&gt;"ERRO",LEFT(T78,4)&lt;&gt;"ERRO",U78="OK"),"OK","REVISAR"))</f>
      </c>
    </row>
    <row r="79">
      <c r="A79" s="4"/>
      <c r="B79" s="5"/>
      <c r="C79" s="5"/>
      <c r="D79" s="5"/>
      <c r="E79" s="5"/>
      <c r="F79" s="4"/>
      <c r="G79" s="4"/>
      <c r="H79" s="5"/>
      <c r="I79" s="4"/>
      <c r="J79" s="4"/>
      <c r="K79" s="4"/>
      <c r="L79" s="4"/>
      <c r="M79" s="4"/>
      <c r="N79" s="4"/>
      <c r="O79" s="4"/>
      <c r="P79" s="6">
        <f>IF(D79="","",SUBSTITUTE(SUBSTITUTE(SUBSTITUTE(SUBSTITUTE(SUBSTITUTE(SUBSTITUTE(SUBSTITUTE(TRIM(D79),".",""),"/",""),"-","")," ",""),"(",""),")",""),"+",""))</f>
      </c>
      <c r="Q79" s="6">
        <f>IF(P79="","",IF(LEN(P79)&lt;&gt;14,"ERRO: "&amp;LEN(P79)&amp;" dígitos",IF(NOT(ISNUMBER(VALUE(P79))),"ERRO: não numérico",IF(LEN(SUBSTITUTE(P79,LEFT(P79,1),""))=0,"ERRO: dígitos repetidos",IF(AND(VALUE(MID(P79,13,1))=IF(MOD(SUMPRODUCT(--MID(P79,{1,2,3,4,5,6,7,8,9,10,11,12},1),{5,4,3,2,9,8,7,6,5,4,3,2}),11)&lt;2,0,11-MOD(SUMPRODUCT(--MID(P79,{1,2,3,4,5,6,7,8,9,10,11,12},1),{5,4,3,2,9,8,7,6,5,4,3,2}),11)),VALUE(MID(P79,14,1))=IF(MOD(SUMPRODUCT(--MID(P79,{1,2,3,4,5,6,7,8,9,10,11,12,13},1),{6,5,4,3,2,9,8,7,6,5,4,3,2}),11)&lt;2,0,11-MOD(SUMPRODUCT(--MID(P79,{1,2,3,4,5,6,7,8,9,10,11,12,13},1),{6,5,4,3,2,9,8,7,6,5,4,3,2}),11))),"OK","ERRO: dígito verificador")))))</f>
      </c>
      <c r="R79" s="6">
        <f>IF(P79="","",IF(COUNTIF($P$2:$P$1001,P79)&gt;1,"DUPLICADO","OK"))</f>
      </c>
      <c r="S79" s="6">
        <f>IF(AND(J79="",K79=""),"vazio",IF(AND(OR(J79="",LEN(SUBSTITUTE(SUBSTITUTE(SUBSTITUTE(SUBSTITUTE(SUBSTITUTE(SUBSTITUTE(SUBSTITUTE(TRIM(J79),".",""),"/",""),"-","")," ",""),"(",""),")",""),"+",""))=10,LEN(SUBSTITUTE(SUBSTITUTE(SUBSTITUTE(SUBSTITUTE(SUBSTITUTE(SUBSTITUTE(SUBSTITUTE(TRIM(J79),".",""),"/",""),"-","")," ",""),"(",""),")",""),"+",""))=11),OR(K79="",LEN(SUBSTITUTE(SUBSTITUTE(SUBSTITUTE(SUBSTITUTE(SUBSTITUTE(SUBSTITUTE(SUBSTITUTE(TRIM(K79),".",""),"/",""),"-","")," ",""),"(",""),")",""),"+",""))=10,LEN(SUBSTITUTE(SUBSTITUTE(SUBSTITUTE(SUBSTITUTE(SUBSTITUTE(SUBSTITUTE(SUBSTITUTE(TRIM(K79),".",""),"/",""),"-","")," ",""),"(",""),")",""),"+",""))=11)),"OK","ERRO: use DDD + número (10 ou 11 dígitos)"))</f>
      </c>
      <c r="T79" s="6">
        <f>IF(L79="","vazio",IF(AND(ISNUMBER(FIND("@",L79)),ISNUMBER(FIND(".",MID(L79,FIND("@",L79),99))),NOT(ISNUMBER(FIND(" ",TRIM(L79)))),NOT(ISNUMBER(FIND(";",L79))),NOT(ISNUMBER(FIND(",",L79)))),"OK","ERRO: um e-mail válido por linha"))</f>
      </c>
      <c r="U79" s="6">
        <f>IF(COUNTA(A79:O79)=0,"",IF(AND(B79&lt;&gt;"",C79&lt;&gt;"",D79&lt;&gt;"",E79&lt;&gt;"",H79&lt;&gt;"",OR(J79&lt;&gt;"",L79&lt;&gt;"")),"OK","ERRO: faltam "&amp;IF(B79="","Proprietário; ","")&amp;IF(C79="","Origem; ","")&amp;IF(D79="","CNPJ; ","")&amp;IF(E79="","Razão Social; ","")&amp;IF(H79="","Sobrenome; ","")&amp;IF(AND(J79="",L79=""),"telefone ou e-mail; ","")))</f>
      </c>
      <c r="V79" s="6">
        <f>IF(COUNTA(A79:O79)=0,"",IF(AND(Q79="OK",R79="OK",LEFT(S79,4)&lt;&gt;"ERRO",LEFT(T79,4)&lt;&gt;"ERRO",U79="OK"),"OK","REVISAR"))</f>
      </c>
    </row>
    <row r="80">
      <c r="A80" s="4"/>
      <c r="B80" s="5"/>
      <c r="C80" s="5"/>
      <c r="D80" s="5"/>
      <c r="E80" s="5"/>
      <c r="F80" s="4"/>
      <c r="G80" s="4"/>
      <c r="H80" s="5"/>
      <c r="I80" s="4"/>
      <c r="J80" s="4"/>
      <c r="K80" s="4"/>
      <c r="L80" s="4"/>
      <c r="M80" s="4"/>
      <c r="N80" s="4"/>
      <c r="O80" s="4"/>
      <c r="P80" s="6">
        <f>IF(D80="","",SUBSTITUTE(SUBSTITUTE(SUBSTITUTE(SUBSTITUTE(SUBSTITUTE(SUBSTITUTE(SUBSTITUTE(TRIM(D80),".",""),"/",""),"-","")," ",""),"(",""),")",""),"+",""))</f>
      </c>
      <c r="Q80" s="6">
        <f>IF(P80="","",IF(LEN(P80)&lt;&gt;14,"ERRO: "&amp;LEN(P80)&amp;" dígitos",IF(NOT(ISNUMBER(VALUE(P80))),"ERRO: não numérico",IF(LEN(SUBSTITUTE(P80,LEFT(P80,1),""))=0,"ERRO: dígitos repetidos",IF(AND(VALUE(MID(P80,13,1))=IF(MOD(SUMPRODUCT(--MID(P80,{1,2,3,4,5,6,7,8,9,10,11,12},1),{5,4,3,2,9,8,7,6,5,4,3,2}),11)&lt;2,0,11-MOD(SUMPRODUCT(--MID(P80,{1,2,3,4,5,6,7,8,9,10,11,12},1),{5,4,3,2,9,8,7,6,5,4,3,2}),11)),VALUE(MID(P80,14,1))=IF(MOD(SUMPRODUCT(--MID(P80,{1,2,3,4,5,6,7,8,9,10,11,12,13},1),{6,5,4,3,2,9,8,7,6,5,4,3,2}),11)&lt;2,0,11-MOD(SUMPRODUCT(--MID(P80,{1,2,3,4,5,6,7,8,9,10,11,12,13},1),{6,5,4,3,2,9,8,7,6,5,4,3,2}),11))),"OK","ERRO: dígito verificador")))))</f>
      </c>
      <c r="R80" s="6">
        <f>IF(P80="","",IF(COUNTIF($P$2:$P$1001,P80)&gt;1,"DUPLICADO","OK"))</f>
      </c>
      <c r="S80" s="6">
        <f>IF(AND(J80="",K80=""),"vazio",IF(AND(OR(J80="",LEN(SUBSTITUTE(SUBSTITUTE(SUBSTITUTE(SUBSTITUTE(SUBSTITUTE(SUBSTITUTE(SUBSTITUTE(TRIM(J80),".",""),"/",""),"-","")," ",""),"(",""),")",""),"+",""))=10,LEN(SUBSTITUTE(SUBSTITUTE(SUBSTITUTE(SUBSTITUTE(SUBSTITUTE(SUBSTITUTE(SUBSTITUTE(TRIM(J80),".",""),"/",""),"-","")," ",""),"(",""),")",""),"+",""))=11),OR(K80="",LEN(SUBSTITUTE(SUBSTITUTE(SUBSTITUTE(SUBSTITUTE(SUBSTITUTE(SUBSTITUTE(SUBSTITUTE(TRIM(K80),".",""),"/",""),"-","")," ",""),"(",""),")",""),"+",""))=10,LEN(SUBSTITUTE(SUBSTITUTE(SUBSTITUTE(SUBSTITUTE(SUBSTITUTE(SUBSTITUTE(SUBSTITUTE(TRIM(K80),".",""),"/",""),"-","")," ",""),"(",""),")",""),"+",""))=11)),"OK","ERRO: use DDD + número (10 ou 11 dígitos)"))</f>
      </c>
      <c r="T80" s="6">
        <f>IF(L80="","vazio",IF(AND(ISNUMBER(FIND("@",L80)),ISNUMBER(FIND(".",MID(L80,FIND("@",L80),99))),NOT(ISNUMBER(FIND(" ",TRIM(L80)))),NOT(ISNUMBER(FIND(";",L80))),NOT(ISNUMBER(FIND(",",L80)))),"OK","ERRO: um e-mail válido por linha"))</f>
      </c>
      <c r="U80" s="6">
        <f>IF(COUNTA(A80:O80)=0,"",IF(AND(B80&lt;&gt;"",C80&lt;&gt;"",D80&lt;&gt;"",E80&lt;&gt;"",H80&lt;&gt;"",OR(J80&lt;&gt;"",L80&lt;&gt;"")),"OK","ERRO: faltam "&amp;IF(B80="","Proprietário; ","")&amp;IF(C80="","Origem; ","")&amp;IF(D80="","CNPJ; ","")&amp;IF(E80="","Razão Social; ","")&amp;IF(H80="","Sobrenome; ","")&amp;IF(AND(J80="",L80=""),"telefone ou e-mail; ","")))</f>
      </c>
      <c r="V80" s="6">
        <f>IF(COUNTA(A80:O80)=0,"",IF(AND(Q80="OK",R80="OK",LEFT(S80,4)&lt;&gt;"ERRO",LEFT(T80,4)&lt;&gt;"ERRO",U80="OK"),"OK","REVISAR"))</f>
      </c>
    </row>
    <row r="81">
      <c r="A81" s="4"/>
      <c r="B81" s="5"/>
      <c r="C81" s="5"/>
      <c r="D81" s="5"/>
      <c r="E81" s="5"/>
      <c r="F81" s="4"/>
      <c r="G81" s="4"/>
      <c r="H81" s="5"/>
      <c r="I81" s="4"/>
      <c r="J81" s="4"/>
      <c r="K81" s="4"/>
      <c r="L81" s="4"/>
      <c r="M81" s="4"/>
      <c r="N81" s="4"/>
      <c r="O81" s="4"/>
      <c r="P81" s="6">
        <f>IF(D81="","",SUBSTITUTE(SUBSTITUTE(SUBSTITUTE(SUBSTITUTE(SUBSTITUTE(SUBSTITUTE(SUBSTITUTE(TRIM(D81),".",""),"/",""),"-","")," ",""),"(",""),")",""),"+",""))</f>
      </c>
      <c r="Q81" s="6">
        <f>IF(P81="","",IF(LEN(P81)&lt;&gt;14,"ERRO: "&amp;LEN(P81)&amp;" dígitos",IF(NOT(ISNUMBER(VALUE(P81))),"ERRO: não numérico",IF(LEN(SUBSTITUTE(P81,LEFT(P81,1),""))=0,"ERRO: dígitos repetidos",IF(AND(VALUE(MID(P81,13,1))=IF(MOD(SUMPRODUCT(--MID(P81,{1,2,3,4,5,6,7,8,9,10,11,12},1),{5,4,3,2,9,8,7,6,5,4,3,2}),11)&lt;2,0,11-MOD(SUMPRODUCT(--MID(P81,{1,2,3,4,5,6,7,8,9,10,11,12},1),{5,4,3,2,9,8,7,6,5,4,3,2}),11)),VALUE(MID(P81,14,1))=IF(MOD(SUMPRODUCT(--MID(P81,{1,2,3,4,5,6,7,8,9,10,11,12,13},1),{6,5,4,3,2,9,8,7,6,5,4,3,2}),11)&lt;2,0,11-MOD(SUMPRODUCT(--MID(P81,{1,2,3,4,5,6,7,8,9,10,11,12,13},1),{6,5,4,3,2,9,8,7,6,5,4,3,2}),11))),"OK","ERRO: dígito verificador")))))</f>
      </c>
      <c r="R81" s="6">
        <f>IF(P81="","",IF(COUNTIF($P$2:$P$1001,P81)&gt;1,"DUPLICADO","OK"))</f>
      </c>
      <c r="S81" s="6">
        <f>IF(AND(J81="",K81=""),"vazio",IF(AND(OR(J81="",LEN(SUBSTITUTE(SUBSTITUTE(SUBSTITUTE(SUBSTITUTE(SUBSTITUTE(SUBSTITUTE(SUBSTITUTE(TRIM(J81),".",""),"/",""),"-","")," ",""),"(",""),")",""),"+",""))=10,LEN(SUBSTITUTE(SUBSTITUTE(SUBSTITUTE(SUBSTITUTE(SUBSTITUTE(SUBSTITUTE(SUBSTITUTE(TRIM(J81),".",""),"/",""),"-","")," ",""),"(",""),")",""),"+",""))=11),OR(K81="",LEN(SUBSTITUTE(SUBSTITUTE(SUBSTITUTE(SUBSTITUTE(SUBSTITUTE(SUBSTITUTE(SUBSTITUTE(TRIM(K81),".",""),"/",""),"-","")," ",""),"(",""),")",""),"+",""))=10,LEN(SUBSTITUTE(SUBSTITUTE(SUBSTITUTE(SUBSTITUTE(SUBSTITUTE(SUBSTITUTE(SUBSTITUTE(TRIM(K81),".",""),"/",""),"-","")," ",""),"(",""),")",""),"+",""))=11)),"OK","ERRO: use DDD + número (10 ou 11 dígitos)"))</f>
      </c>
      <c r="T81" s="6">
        <f>IF(L81="","vazio",IF(AND(ISNUMBER(FIND("@",L81)),ISNUMBER(FIND(".",MID(L81,FIND("@",L81),99))),NOT(ISNUMBER(FIND(" ",TRIM(L81)))),NOT(ISNUMBER(FIND(";",L81))),NOT(ISNUMBER(FIND(",",L81)))),"OK","ERRO: um e-mail válido por linha"))</f>
      </c>
      <c r="U81" s="6">
        <f>IF(COUNTA(A81:O81)=0,"",IF(AND(B81&lt;&gt;"",C81&lt;&gt;"",D81&lt;&gt;"",E81&lt;&gt;"",H81&lt;&gt;"",OR(J81&lt;&gt;"",L81&lt;&gt;"")),"OK","ERRO: faltam "&amp;IF(B81="","Proprietário; ","")&amp;IF(C81="","Origem; ","")&amp;IF(D81="","CNPJ; ","")&amp;IF(E81="","Razão Social; ","")&amp;IF(H81="","Sobrenome; ","")&amp;IF(AND(J81="",L81=""),"telefone ou e-mail; ","")))</f>
      </c>
      <c r="V81" s="6">
        <f>IF(COUNTA(A81:O81)=0,"",IF(AND(Q81="OK",R81="OK",LEFT(S81,4)&lt;&gt;"ERRO",LEFT(T81,4)&lt;&gt;"ERRO",U81="OK"),"OK","REVISAR"))</f>
      </c>
    </row>
    <row r="82">
      <c r="A82" s="4"/>
      <c r="B82" s="5"/>
      <c r="C82" s="5"/>
      <c r="D82" s="5"/>
      <c r="E82" s="5"/>
      <c r="F82" s="4"/>
      <c r="G82" s="4"/>
      <c r="H82" s="5"/>
      <c r="I82" s="4"/>
      <c r="J82" s="4"/>
      <c r="K82" s="4"/>
      <c r="L82" s="4"/>
      <c r="M82" s="4"/>
      <c r="N82" s="4"/>
      <c r="O82" s="4"/>
      <c r="P82" s="6">
        <f>IF(D82="","",SUBSTITUTE(SUBSTITUTE(SUBSTITUTE(SUBSTITUTE(SUBSTITUTE(SUBSTITUTE(SUBSTITUTE(TRIM(D82),".",""),"/",""),"-","")," ",""),"(",""),")",""),"+",""))</f>
      </c>
      <c r="Q82" s="6">
        <f>IF(P82="","",IF(LEN(P82)&lt;&gt;14,"ERRO: "&amp;LEN(P82)&amp;" dígitos",IF(NOT(ISNUMBER(VALUE(P82))),"ERRO: não numérico",IF(LEN(SUBSTITUTE(P82,LEFT(P82,1),""))=0,"ERRO: dígitos repetidos",IF(AND(VALUE(MID(P82,13,1))=IF(MOD(SUMPRODUCT(--MID(P82,{1,2,3,4,5,6,7,8,9,10,11,12},1),{5,4,3,2,9,8,7,6,5,4,3,2}),11)&lt;2,0,11-MOD(SUMPRODUCT(--MID(P82,{1,2,3,4,5,6,7,8,9,10,11,12},1),{5,4,3,2,9,8,7,6,5,4,3,2}),11)),VALUE(MID(P82,14,1))=IF(MOD(SUMPRODUCT(--MID(P82,{1,2,3,4,5,6,7,8,9,10,11,12,13},1),{6,5,4,3,2,9,8,7,6,5,4,3,2}),11)&lt;2,0,11-MOD(SUMPRODUCT(--MID(P82,{1,2,3,4,5,6,7,8,9,10,11,12,13},1),{6,5,4,3,2,9,8,7,6,5,4,3,2}),11))),"OK","ERRO: dígito verificador")))))</f>
      </c>
      <c r="R82" s="6">
        <f>IF(P82="","",IF(COUNTIF($P$2:$P$1001,P82)&gt;1,"DUPLICADO","OK"))</f>
      </c>
      <c r="S82" s="6">
        <f>IF(AND(J82="",K82=""),"vazio",IF(AND(OR(J82="",LEN(SUBSTITUTE(SUBSTITUTE(SUBSTITUTE(SUBSTITUTE(SUBSTITUTE(SUBSTITUTE(SUBSTITUTE(TRIM(J82),".",""),"/",""),"-","")," ",""),"(",""),")",""),"+",""))=10,LEN(SUBSTITUTE(SUBSTITUTE(SUBSTITUTE(SUBSTITUTE(SUBSTITUTE(SUBSTITUTE(SUBSTITUTE(TRIM(J82),".",""),"/",""),"-","")," ",""),"(",""),")",""),"+",""))=11),OR(K82="",LEN(SUBSTITUTE(SUBSTITUTE(SUBSTITUTE(SUBSTITUTE(SUBSTITUTE(SUBSTITUTE(SUBSTITUTE(TRIM(K82),".",""),"/",""),"-","")," ",""),"(",""),")",""),"+",""))=10,LEN(SUBSTITUTE(SUBSTITUTE(SUBSTITUTE(SUBSTITUTE(SUBSTITUTE(SUBSTITUTE(SUBSTITUTE(TRIM(K82),".",""),"/",""),"-","")," ",""),"(",""),")",""),"+",""))=11)),"OK","ERRO: use DDD + número (10 ou 11 dígitos)"))</f>
      </c>
      <c r="T82" s="6">
        <f>IF(L82="","vazio",IF(AND(ISNUMBER(FIND("@",L82)),ISNUMBER(FIND(".",MID(L82,FIND("@",L82),99))),NOT(ISNUMBER(FIND(" ",TRIM(L82)))),NOT(ISNUMBER(FIND(";",L82))),NOT(ISNUMBER(FIND(",",L82)))),"OK","ERRO: um e-mail válido por linha"))</f>
      </c>
      <c r="U82" s="6">
        <f>IF(COUNTA(A82:O82)=0,"",IF(AND(B82&lt;&gt;"",C82&lt;&gt;"",D82&lt;&gt;"",E82&lt;&gt;"",H82&lt;&gt;"",OR(J82&lt;&gt;"",L82&lt;&gt;"")),"OK","ERRO: faltam "&amp;IF(B82="","Proprietário; ","")&amp;IF(C82="","Origem; ","")&amp;IF(D82="","CNPJ; ","")&amp;IF(E82="","Razão Social; ","")&amp;IF(H82="","Sobrenome; ","")&amp;IF(AND(J82="",L82=""),"telefone ou e-mail; ","")))</f>
      </c>
      <c r="V82" s="6">
        <f>IF(COUNTA(A82:O82)=0,"",IF(AND(Q82="OK",R82="OK",LEFT(S82,4)&lt;&gt;"ERRO",LEFT(T82,4)&lt;&gt;"ERRO",U82="OK"),"OK","REVISAR"))</f>
      </c>
    </row>
    <row r="83">
      <c r="A83" s="4"/>
      <c r="B83" s="5"/>
      <c r="C83" s="5"/>
      <c r="D83" s="5"/>
      <c r="E83" s="5"/>
      <c r="F83" s="4"/>
      <c r="G83" s="4"/>
      <c r="H83" s="5"/>
      <c r="I83" s="4"/>
      <c r="J83" s="4"/>
      <c r="K83" s="4"/>
      <c r="L83" s="4"/>
      <c r="M83" s="4"/>
      <c r="N83" s="4"/>
      <c r="O83" s="4"/>
      <c r="P83" s="6">
        <f>IF(D83="","",SUBSTITUTE(SUBSTITUTE(SUBSTITUTE(SUBSTITUTE(SUBSTITUTE(SUBSTITUTE(SUBSTITUTE(TRIM(D83),".",""),"/",""),"-","")," ",""),"(",""),")",""),"+",""))</f>
      </c>
      <c r="Q83" s="6">
        <f>IF(P83="","",IF(LEN(P83)&lt;&gt;14,"ERRO: "&amp;LEN(P83)&amp;" dígitos",IF(NOT(ISNUMBER(VALUE(P83))),"ERRO: não numérico",IF(LEN(SUBSTITUTE(P83,LEFT(P83,1),""))=0,"ERRO: dígitos repetidos",IF(AND(VALUE(MID(P83,13,1))=IF(MOD(SUMPRODUCT(--MID(P83,{1,2,3,4,5,6,7,8,9,10,11,12},1),{5,4,3,2,9,8,7,6,5,4,3,2}),11)&lt;2,0,11-MOD(SUMPRODUCT(--MID(P83,{1,2,3,4,5,6,7,8,9,10,11,12},1),{5,4,3,2,9,8,7,6,5,4,3,2}),11)),VALUE(MID(P83,14,1))=IF(MOD(SUMPRODUCT(--MID(P83,{1,2,3,4,5,6,7,8,9,10,11,12,13},1),{6,5,4,3,2,9,8,7,6,5,4,3,2}),11)&lt;2,0,11-MOD(SUMPRODUCT(--MID(P83,{1,2,3,4,5,6,7,8,9,10,11,12,13},1),{6,5,4,3,2,9,8,7,6,5,4,3,2}),11))),"OK","ERRO: dígito verificador")))))</f>
      </c>
      <c r="R83" s="6">
        <f>IF(P83="","",IF(COUNTIF($P$2:$P$1001,P83)&gt;1,"DUPLICADO","OK"))</f>
      </c>
      <c r="S83" s="6">
        <f>IF(AND(J83="",K83=""),"vazio",IF(AND(OR(J83="",LEN(SUBSTITUTE(SUBSTITUTE(SUBSTITUTE(SUBSTITUTE(SUBSTITUTE(SUBSTITUTE(SUBSTITUTE(TRIM(J83),".",""),"/",""),"-","")," ",""),"(",""),")",""),"+",""))=10,LEN(SUBSTITUTE(SUBSTITUTE(SUBSTITUTE(SUBSTITUTE(SUBSTITUTE(SUBSTITUTE(SUBSTITUTE(TRIM(J83),".",""),"/",""),"-","")," ",""),"(",""),")",""),"+",""))=11),OR(K83="",LEN(SUBSTITUTE(SUBSTITUTE(SUBSTITUTE(SUBSTITUTE(SUBSTITUTE(SUBSTITUTE(SUBSTITUTE(TRIM(K83),".",""),"/",""),"-","")," ",""),"(",""),")",""),"+",""))=10,LEN(SUBSTITUTE(SUBSTITUTE(SUBSTITUTE(SUBSTITUTE(SUBSTITUTE(SUBSTITUTE(SUBSTITUTE(TRIM(K83),".",""),"/",""),"-","")," ",""),"(",""),")",""),"+",""))=11)),"OK","ERRO: use DDD + número (10 ou 11 dígitos)"))</f>
      </c>
      <c r="T83" s="6">
        <f>IF(L83="","vazio",IF(AND(ISNUMBER(FIND("@",L83)),ISNUMBER(FIND(".",MID(L83,FIND("@",L83),99))),NOT(ISNUMBER(FIND(" ",TRIM(L83)))),NOT(ISNUMBER(FIND(";",L83))),NOT(ISNUMBER(FIND(",",L83)))),"OK","ERRO: um e-mail válido por linha"))</f>
      </c>
      <c r="U83" s="6">
        <f>IF(COUNTA(A83:O83)=0,"",IF(AND(B83&lt;&gt;"",C83&lt;&gt;"",D83&lt;&gt;"",E83&lt;&gt;"",H83&lt;&gt;"",OR(J83&lt;&gt;"",L83&lt;&gt;"")),"OK","ERRO: faltam "&amp;IF(B83="","Proprietário; ","")&amp;IF(C83="","Origem; ","")&amp;IF(D83="","CNPJ; ","")&amp;IF(E83="","Razão Social; ","")&amp;IF(H83="","Sobrenome; ","")&amp;IF(AND(J83="",L83=""),"telefone ou e-mail; ","")))</f>
      </c>
      <c r="V83" s="6">
        <f>IF(COUNTA(A83:O83)=0,"",IF(AND(Q83="OK",R83="OK",LEFT(S83,4)&lt;&gt;"ERRO",LEFT(T83,4)&lt;&gt;"ERRO",U83="OK"),"OK","REVISAR"))</f>
      </c>
    </row>
    <row r="84">
      <c r="A84" s="4"/>
      <c r="B84" s="5"/>
      <c r="C84" s="5"/>
      <c r="D84" s="5"/>
      <c r="E84" s="5"/>
      <c r="F84" s="4"/>
      <c r="G84" s="4"/>
      <c r="H84" s="5"/>
      <c r="I84" s="4"/>
      <c r="J84" s="4"/>
      <c r="K84" s="4"/>
      <c r="L84" s="4"/>
      <c r="M84" s="4"/>
      <c r="N84" s="4"/>
      <c r="O84" s="4"/>
      <c r="P84" s="6">
        <f>IF(D84="","",SUBSTITUTE(SUBSTITUTE(SUBSTITUTE(SUBSTITUTE(SUBSTITUTE(SUBSTITUTE(SUBSTITUTE(TRIM(D84),".",""),"/",""),"-","")," ",""),"(",""),")",""),"+",""))</f>
      </c>
      <c r="Q84" s="6">
        <f>IF(P84="","",IF(LEN(P84)&lt;&gt;14,"ERRO: "&amp;LEN(P84)&amp;" dígitos",IF(NOT(ISNUMBER(VALUE(P84))),"ERRO: não numérico",IF(LEN(SUBSTITUTE(P84,LEFT(P84,1),""))=0,"ERRO: dígitos repetidos",IF(AND(VALUE(MID(P84,13,1))=IF(MOD(SUMPRODUCT(--MID(P84,{1,2,3,4,5,6,7,8,9,10,11,12},1),{5,4,3,2,9,8,7,6,5,4,3,2}),11)&lt;2,0,11-MOD(SUMPRODUCT(--MID(P84,{1,2,3,4,5,6,7,8,9,10,11,12},1),{5,4,3,2,9,8,7,6,5,4,3,2}),11)),VALUE(MID(P84,14,1))=IF(MOD(SUMPRODUCT(--MID(P84,{1,2,3,4,5,6,7,8,9,10,11,12,13},1),{6,5,4,3,2,9,8,7,6,5,4,3,2}),11)&lt;2,0,11-MOD(SUMPRODUCT(--MID(P84,{1,2,3,4,5,6,7,8,9,10,11,12,13},1),{6,5,4,3,2,9,8,7,6,5,4,3,2}),11))),"OK","ERRO: dígito verificador")))))</f>
      </c>
      <c r="R84" s="6">
        <f>IF(P84="","",IF(COUNTIF($P$2:$P$1001,P84)&gt;1,"DUPLICADO","OK"))</f>
      </c>
      <c r="S84" s="6">
        <f>IF(AND(J84="",K84=""),"vazio",IF(AND(OR(J84="",LEN(SUBSTITUTE(SUBSTITUTE(SUBSTITUTE(SUBSTITUTE(SUBSTITUTE(SUBSTITUTE(SUBSTITUTE(TRIM(J84),".",""),"/",""),"-","")," ",""),"(",""),")",""),"+",""))=10,LEN(SUBSTITUTE(SUBSTITUTE(SUBSTITUTE(SUBSTITUTE(SUBSTITUTE(SUBSTITUTE(SUBSTITUTE(TRIM(J84),".",""),"/",""),"-","")," ",""),"(",""),")",""),"+",""))=11),OR(K84="",LEN(SUBSTITUTE(SUBSTITUTE(SUBSTITUTE(SUBSTITUTE(SUBSTITUTE(SUBSTITUTE(SUBSTITUTE(TRIM(K84),".",""),"/",""),"-","")," ",""),"(",""),")",""),"+",""))=10,LEN(SUBSTITUTE(SUBSTITUTE(SUBSTITUTE(SUBSTITUTE(SUBSTITUTE(SUBSTITUTE(SUBSTITUTE(TRIM(K84),".",""),"/",""),"-","")," ",""),"(",""),")",""),"+",""))=11)),"OK","ERRO: use DDD + número (10 ou 11 dígitos)"))</f>
      </c>
      <c r="T84" s="6">
        <f>IF(L84="","vazio",IF(AND(ISNUMBER(FIND("@",L84)),ISNUMBER(FIND(".",MID(L84,FIND("@",L84),99))),NOT(ISNUMBER(FIND(" ",TRIM(L84)))),NOT(ISNUMBER(FIND(";",L84))),NOT(ISNUMBER(FIND(",",L84)))),"OK","ERRO: um e-mail válido por linha"))</f>
      </c>
      <c r="U84" s="6">
        <f>IF(COUNTA(A84:O84)=0,"",IF(AND(B84&lt;&gt;"",C84&lt;&gt;"",D84&lt;&gt;"",E84&lt;&gt;"",H84&lt;&gt;"",OR(J84&lt;&gt;"",L84&lt;&gt;"")),"OK","ERRO: faltam "&amp;IF(B84="","Proprietário; ","")&amp;IF(C84="","Origem; ","")&amp;IF(D84="","CNPJ; ","")&amp;IF(E84="","Razão Social; ","")&amp;IF(H84="","Sobrenome; ","")&amp;IF(AND(J84="",L84=""),"telefone ou e-mail; ","")))</f>
      </c>
      <c r="V84" s="6">
        <f>IF(COUNTA(A84:O84)=0,"",IF(AND(Q84="OK",R84="OK",LEFT(S84,4)&lt;&gt;"ERRO",LEFT(T84,4)&lt;&gt;"ERRO",U84="OK"),"OK","REVISAR"))</f>
      </c>
    </row>
    <row r="85">
      <c r="A85" s="4"/>
      <c r="B85" s="5"/>
      <c r="C85" s="5"/>
      <c r="D85" s="5"/>
      <c r="E85" s="5"/>
      <c r="F85" s="4"/>
      <c r="G85" s="4"/>
      <c r="H85" s="5"/>
      <c r="I85" s="4"/>
      <c r="J85" s="4"/>
      <c r="K85" s="4"/>
      <c r="L85" s="4"/>
      <c r="M85" s="4"/>
      <c r="N85" s="4"/>
      <c r="O85" s="4"/>
      <c r="P85" s="6">
        <f>IF(D85="","",SUBSTITUTE(SUBSTITUTE(SUBSTITUTE(SUBSTITUTE(SUBSTITUTE(SUBSTITUTE(SUBSTITUTE(TRIM(D85),".",""),"/",""),"-","")," ",""),"(",""),")",""),"+",""))</f>
      </c>
      <c r="Q85" s="6">
        <f>IF(P85="","",IF(LEN(P85)&lt;&gt;14,"ERRO: "&amp;LEN(P85)&amp;" dígitos",IF(NOT(ISNUMBER(VALUE(P85))),"ERRO: não numérico",IF(LEN(SUBSTITUTE(P85,LEFT(P85,1),""))=0,"ERRO: dígitos repetidos",IF(AND(VALUE(MID(P85,13,1))=IF(MOD(SUMPRODUCT(--MID(P85,{1,2,3,4,5,6,7,8,9,10,11,12},1),{5,4,3,2,9,8,7,6,5,4,3,2}),11)&lt;2,0,11-MOD(SUMPRODUCT(--MID(P85,{1,2,3,4,5,6,7,8,9,10,11,12},1),{5,4,3,2,9,8,7,6,5,4,3,2}),11)),VALUE(MID(P85,14,1))=IF(MOD(SUMPRODUCT(--MID(P85,{1,2,3,4,5,6,7,8,9,10,11,12,13},1),{6,5,4,3,2,9,8,7,6,5,4,3,2}),11)&lt;2,0,11-MOD(SUMPRODUCT(--MID(P85,{1,2,3,4,5,6,7,8,9,10,11,12,13},1),{6,5,4,3,2,9,8,7,6,5,4,3,2}),11))),"OK","ERRO: dígito verificador")))))</f>
      </c>
      <c r="R85" s="6">
        <f>IF(P85="","",IF(COUNTIF($P$2:$P$1001,P85)&gt;1,"DUPLICADO","OK"))</f>
      </c>
      <c r="S85" s="6">
        <f>IF(AND(J85="",K85=""),"vazio",IF(AND(OR(J85="",LEN(SUBSTITUTE(SUBSTITUTE(SUBSTITUTE(SUBSTITUTE(SUBSTITUTE(SUBSTITUTE(SUBSTITUTE(TRIM(J85),".",""),"/",""),"-","")," ",""),"(",""),")",""),"+",""))=10,LEN(SUBSTITUTE(SUBSTITUTE(SUBSTITUTE(SUBSTITUTE(SUBSTITUTE(SUBSTITUTE(SUBSTITUTE(TRIM(J85),".",""),"/",""),"-","")," ",""),"(",""),")",""),"+",""))=11),OR(K85="",LEN(SUBSTITUTE(SUBSTITUTE(SUBSTITUTE(SUBSTITUTE(SUBSTITUTE(SUBSTITUTE(SUBSTITUTE(TRIM(K85),".",""),"/",""),"-","")," ",""),"(",""),")",""),"+",""))=10,LEN(SUBSTITUTE(SUBSTITUTE(SUBSTITUTE(SUBSTITUTE(SUBSTITUTE(SUBSTITUTE(SUBSTITUTE(TRIM(K85),".",""),"/",""),"-","")," ",""),"(",""),")",""),"+",""))=11)),"OK","ERRO: use DDD + número (10 ou 11 dígitos)"))</f>
      </c>
      <c r="T85" s="6">
        <f>IF(L85="","vazio",IF(AND(ISNUMBER(FIND("@",L85)),ISNUMBER(FIND(".",MID(L85,FIND("@",L85),99))),NOT(ISNUMBER(FIND(" ",TRIM(L85)))),NOT(ISNUMBER(FIND(";",L85))),NOT(ISNUMBER(FIND(",",L85)))),"OK","ERRO: um e-mail válido por linha"))</f>
      </c>
      <c r="U85" s="6">
        <f>IF(COUNTA(A85:O85)=0,"",IF(AND(B85&lt;&gt;"",C85&lt;&gt;"",D85&lt;&gt;"",E85&lt;&gt;"",H85&lt;&gt;"",OR(J85&lt;&gt;"",L85&lt;&gt;"")),"OK","ERRO: faltam "&amp;IF(B85="","Proprietário; ","")&amp;IF(C85="","Origem; ","")&amp;IF(D85="","CNPJ; ","")&amp;IF(E85="","Razão Social; ","")&amp;IF(H85="","Sobrenome; ","")&amp;IF(AND(J85="",L85=""),"telefone ou e-mail; ","")))</f>
      </c>
      <c r="V85" s="6">
        <f>IF(COUNTA(A85:O85)=0,"",IF(AND(Q85="OK",R85="OK",LEFT(S85,4)&lt;&gt;"ERRO",LEFT(T85,4)&lt;&gt;"ERRO",U85="OK"),"OK","REVISAR"))</f>
      </c>
    </row>
    <row r="86">
      <c r="A86" s="4"/>
      <c r="B86" s="5"/>
      <c r="C86" s="5"/>
      <c r="D86" s="5"/>
      <c r="E86" s="5"/>
      <c r="F86" s="4"/>
      <c r="G86" s="4"/>
      <c r="H86" s="5"/>
      <c r="I86" s="4"/>
      <c r="J86" s="4"/>
      <c r="K86" s="4"/>
      <c r="L86" s="4"/>
      <c r="M86" s="4"/>
      <c r="N86" s="4"/>
      <c r="O86" s="4"/>
      <c r="P86" s="6">
        <f>IF(D86="","",SUBSTITUTE(SUBSTITUTE(SUBSTITUTE(SUBSTITUTE(SUBSTITUTE(SUBSTITUTE(SUBSTITUTE(TRIM(D86),".",""),"/",""),"-","")," ",""),"(",""),")",""),"+",""))</f>
      </c>
      <c r="Q86" s="6">
        <f>IF(P86="","",IF(LEN(P86)&lt;&gt;14,"ERRO: "&amp;LEN(P86)&amp;" dígitos",IF(NOT(ISNUMBER(VALUE(P86))),"ERRO: não numérico",IF(LEN(SUBSTITUTE(P86,LEFT(P86,1),""))=0,"ERRO: dígitos repetidos",IF(AND(VALUE(MID(P86,13,1))=IF(MOD(SUMPRODUCT(--MID(P86,{1,2,3,4,5,6,7,8,9,10,11,12},1),{5,4,3,2,9,8,7,6,5,4,3,2}),11)&lt;2,0,11-MOD(SUMPRODUCT(--MID(P86,{1,2,3,4,5,6,7,8,9,10,11,12},1),{5,4,3,2,9,8,7,6,5,4,3,2}),11)),VALUE(MID(P86,14,1))=IF(MOD(SUMPRODUCT(--MID(P86,{1,2,3,4,5,6,7,8,9,10,11,12,13},1),{6,5,4,3,2,9,8,7,6,5,4,3,2}),11)&lt;2,0,11-MOD(SUMPRODUCT(--MID(P86,{1,2,3,4,5,6,7,8,9,10,11,12,13},1),{6,5,4,3,2,9,8,7,6,5,4,3,2}),11))),"OK","ERRO: dígito verificador")))))</f>
      </c>
      <c r="R86" s="6">
        <f>IF(P86="","",IF(COUNTIF($P$2:$P$1001,P86)&gt;1,"DUPLICADO","OK"))</f>
      </c>
      <c r="S86" s="6">
        <f>IF(AND(J86="",K86=""),"vazio",IF(AND(OR(J86="",LEN(SUBSTITUTE(SUBSTITUTE(SUBSTITUTE(SUBSTITUTE(SUBSTITUTE(SUBSTITUTE(SUBSTITUTE(TRIM(J86),".",""),"/",""),"-","")," ",""),"(",""),")",""),"+",""))=10,LEN(SUBSTITUTE(SUBSTITUTE(SUBSTITUTE(SUBSTITUTE(SUBSTITUTE(SUBSTITUTE(SUBSTITUTE(TRIM(J86),".",""),"/",""),"-","")," ",""),"(",""),")",""),"+",""))=11),OR(K86="",LEN(SUBSTITUTE(SUBSTITUTE(SUBSTITUTE(SUBSTITUTE(SUBSTITUTE(SUBSTITUTE(SUBSTITUTE(TRIM(K86),".",""),"/",""),"-","")," ",""),"(",""),")",""),"+",""))=10,LEN(SUBSTITUTE(SUBSTITUTE(SUBSTITUTE(SUBSTITUTE(SUBSTITUTE(SUBSTITUTE(SUBSTITUTE(TRIM(K86),".",""),"/",""),"-","")," ",""),"(",""),")",""),"+",""))=11)),"OK","ERRO: use DDD + número (10 ou 11 dígitos)"))</f>
      </c>
      <c r="T86" s="6">
        <f>IF(L86="","vazio",IF(AND(ISNUMBER(FIND("@",L86)),ISNUMBER(FIND(".",MID(L86,FIND("@",L86),99))),NOT(ISNUMBER(FIND(" ",TRIM(L86)))),NOT(ISNUMBER(FIND(";",L86))),NOT(ISNUMBER(FIND(",",L86)))),"OK","ERRO: um e-mail válido por linha"))</f>
      </c>
      <c r="U86" s="6">
        <f>IF(COUNTA(A86:O86)=0,"",IF(AND(B86&lt;&gt;"",C86&lt;&gt;"",D86&lt;&gt;"",E86&lt;&gt;"",H86&lt;&gt;"",OR(J86&lt;&gt;"",L86&lt;&gt;"")),"OK","ERRO: faltam "&amp;IF(B86="","Proprietário; ","")&amp;IF(C86="","Origem; ","")&amp;IF(D86="","CNPJ; ","")&amp;IF(E86="","Razão Social; ","")&amp;IF(H86="","Sobrenome; ","")&amp;IF(AND(J86="",L86=""),"telefone ou e-mail; ","")))</f>
      </c>
      <c r="V86" s="6">
        <f>IF(COUNTA(A86:O86)=0,"",IF(AND(Q86="OK",R86="OK",LEFT(S86,4)&lt;&gt;"ERRO",LEFT(T86,4)&lt;&gt;"ERRO",U86="OK"),"OK","REVISAR"))</f>
      </c>
    </row>
    <row r="87">
      <c r="A87" s="4"/>
      <c r="B87" s="5"/>
      <c r="C87" s="5"/>
      <c r="D87" s="5"/>
      <c r="E87" s="5"/>
      <c r="F87" s="4"/>
      <c r="G87" s="4"/>
      <c r="H87" s="5"/>
      <c r="I87" s="4"/>
      <c r="J87" s="4"/>
      <c r="K87" s="4"/>
      <c r="L87" s="4"/>
      <c r="M87" s="4"/>
      <c r="N87" s="4"/>
      <c r="O87" s="4"/>
      <c r="P87" s="6">
        <f>IF(D87="","",SUBSTITUTE(SUBSTITUTE(SUBSTITUTE(SUBSTITUTE(SUBSTITUTE(SUBSTITUTE(SUBSTITUTE(TRIM(D87),".",""),"/",""),"-","")," ",""),"(",""),")",""),"+",""))</f>
      </c>
      <c r="Q87" s="6">
        <f>IF(P87="","",IF(LEN(P87)&lt;&gt;14,"ERRO: "&amp;LEN(P87)&amp;" dígitos",IF(NOT(ISNUMBER(VALUE(P87))),"ERRO: não numérico",IF(LEN(SUBSTITUTE(P87,LEFT(P87,1),""))=0,"ERRO: dígitos repetidos",IF(AND(VALUE(MID(P87,13,1))=IF(MOD(SUMPRODUCT(--MID(P87,{1,2,3,4,5,6,7,8,9,10,11,12},1),{5,4,3,2,9,8,7,6,5,4,3,2}),11)&lt;2,0,11-MOD(SUMPRODUCT(--MID(P87,{1,2,3,4,5,6,7,8,9,10,11,12},1),{5,4,3,2,9,8,7,6,5,4,3,2}),11)),VALUE(MID(P87,14,1))=IF(MOD(SUMPRODUCT(--MID(P87,{1,2,3,4,5,6,7,8,9,10,11,12,13},1),{6,5,4,3,2,9,8,7,6,5,4,3,2}),11)&lt;2,0,11-MOD(SUMPRODUCT(--MID(P87,{1,2,3,4,5,6,7,8,9,10,11,12,13},1),{6,5,4,3,2,9,8,7,6,5,4,3,2}),11))),"OK","ERRO: dígito verificador")))))</f>
      </c>
      <c r="R87" s="6">
        <f>IF(P87="","",IF(COUNTIF($P$2:$P$1001,P87)&gt;1,"DUPLICADO","OK"))</f>
      </c>
      <c r="S87" s="6">
        <f>IF(AND(J87="",K87=""),"vazio",IF(AND(OR(J87="",LEN(SUBSTITUTE(SUBSTITUTE(SUBSTITUTE(SUBSTITUTE(SUBSTITUTE(SUBSTITUTE(SUBSTITUTE(TRIM(J87),".",""),"/",""),"-","")," ",""),"(",""),")",""),"+",""))=10,LEN(SUBSTITUTE(SUBSTITUTE(SUBSTITUTE(SUBSTITUTE(SUBSTITUTE(SUBSTITUTE(SUBSTITUTE(TRIM(J87),".",""),"/",""),"-","")," ",""),"(",""),")",""),"+",""))=11),OR(K87="",LEN(SUBSTITUTE(SUBSTITUTE(SUBSTITUTE(SUBSTITUTE(SUBSTITUTE(SUBSTITUTE(SUBSTITUTE(TRIM(K87),".",""),"/",""),"-","")," ",""),"(",""),")",""),"+",""))=10,LEN(SUBSTITUTE(SUBSTITUTE(SUBSTITUTE(SUBSTITUTE(SUBSTITUTE(SUBSTITUTE(SUBSTITUTE(TRIM(K87),".",""),"/",""),"-","")," ",""),"(",""),")",""),"+",""))=11)),"OK","ERRO: use DDD + número (10 ou 11 dígitos)"))</f>
      </c>
      <c r="T87" s="6">
        <f>IF(L87="","vazio",IF(AND(ISNUMBER(FIND("@",L87)),ISNUMBER(FIND(".",MID(L87,FIND("@",L87),99))),NOT(ISNUMBER(FIND(" ",TRIM(L87)))),NOT(ISNUMBER(FIND(";",L87))),NOT(ISNUMBER(FIND(",",L87)))),"OK","ERRO: um e-mail válido por linha"))</f>
      </c>
      <c r="U87" s="6">
        <f>IF(COUNTA(A87:O87)=0,"",IF(AND(B87&lt;&gt;"",C87&lt;&gt;"",D87&lt;&gt;"",E87&lt;&gt;"",H87&lt;&gt;"",OR(J87&lt;&gt;"",L87&lt;&gt;"")),"OK","ERRO: faltam "&amp;IF(B87="","Proprietário; ","")&amp;IF(C87="","Origem; ","")&amp;IF(D87="","CNPJ; ","")&amp;IF(E87="","Razão Social; ","")&amp;IF(H87="","Sobrenome; ","")&amp;IF(AND(J87="",L87=""),"telefone ou e-mail; ","")))</f>
      </c>
      <c r="V87" s="6">
        <f>IF(COUNTA(A87:O87)=0,"",IF(AND(Q87="OK",R87="OK",LEFT(S87,4)&lt;&gt;"ERRO",LEFT(T87,4)&lt;&gt;"ERRO",U87="OK"),"OK","REVISAR"))</f>
      </c>
    </row>
    <row r="88">
      <c r="A88" s="4"/>
      <c r="B88" s="5"/>
      <c r="C88" s="5"/>
      <c r="D88" s="5"/>
      <c r="E88" s="5"/>
      <c r="F88" s="4"/>
      <c r="G88" s="4"/>
      <c r="H88" s="5"/>
      <c r="I88" s="4"/>
      <c r="J88" s="4"/>
      <c r="K88" s="4"/>
      <c r="L88" s="4"/>
      <c r="M88" s="4"/>
      <c r="N88" s="4"/>
      <c r="O88" s="4"/>
      <c r="P88" s="6">
        <f>IF(D88="","",SUBSTITUTE(SUBSTITUTE(SUBSTITUTE(SUBSTITUTE(SUBSTITUTE(SUBSTITUTE(SUBSTITUTE(TRIM(D88),".",""),"/",""),"-","")," ",""),"(",""),")",""),"+",""))</f>
      </c>
      <c r="Q88" s="6">
        <f>IF(P88="","",IF(LEN(P88)&lt;&gt;14,"ERRO: "&amp;LEN(P88)&amp;" dígitos",IF(NOT(ISNUMBER(VALUE(P88))),"ERRO: não numérico",IF(LEN(SUBSTITUTE(P88,LEFT(P88,1),""))=0,"ERRO: dígitos repetidos",IF(AND(VALUE(MID(P88,13,1))=IF(MOD(SUMPRODUCT(--MID(P88,{1,2,3,4,5,6,7,8,9,10,11,12},1),{5,4,3,2,9,8,7,6,5,4,3,2}),11)&lt;2,0,11-MOD(SUMPRODUCT(--MID(P88,{1,2,3,4,5,6,7,8,9,10,11,12},1),{5,4,3,2,9,8,7,6,5,4,3,2}),11)),VALUE(MID(P88,14,1))=IF(MOD(SUMPRODUCT(--MID(P88,{1,2,3,4,5,6,7,8,9,10,11,12,13},1),{6,5,4,3,2,9,8,7,6,5,4,3,2}),11)&lt;2,0,11-MOD(SUMPRODUCT(--MID(P88,{1,2,3,4,5,6,7,8,9,10,11,12,13},1),{6,5,4,3,2,9,8,7,6,5,4,3,2}),11))),"OK","ERRO: dígito verificador")))))</f>
      </c>
      <c r="R88" s="6">
        <f>IF(P88="","",IF(COUNTIF($P$2:$P$1001,P88)&gt;1,"DUPLICADO","OK"))</f>
      </c>
      <c r="S88" s="6">
        <f>IF(AND(J88="",K88=""),"vazio",IF(AND(OR(J88="",LEN(SUBSTITUTE(SUBSTITUTE(SUBSTITUTE(SUBSTITUTE(SUBSTITUTE(SUBSTITUTE(SUBSTITUTE(TRIM(J88),".",""),"/",""),"-","")," ",""),"(",""),")",""),"+",""))=10,LEN(SUBSTITUTE(SUBSTITUTE(SUBSTITUTE(SUBSTITUTE(SUBSTITUTE(SUBSTITUTE(SUBSTITUTE(TRIM(J88),".",""),"/",""),"-","")," ",""),"(",""),")",""),"+",""))=11),OR(K88="",LEN(SUBSTITUTE(SUBSTITUTE(SUBSTITUTE(SUBSTITUTE(SUBSTITUTE(SUBSTITUTE(SUBSTITUTE(TRIM(K88),".",""),"/",""),"-","")," ",""),"(",""),")",""),"+",""))=10,LEN(SUBSTITUTE(SUBSTITUTE(SUBSTITUTE(SUBSTITUTE(SUBSTITUTE(SUBSTITUTE(SUBSTITUTE(TRIM(K88),".",""),"/",""),"-","")," ",""),"(",""),")",""),"+",""))=11)),"OK","ERRO: use DDD + número (10 ou 11 dígitos)"))</f>
      </c>
      <c r="T88" s="6">
        <f>IF(L88="","vazio",IF(AND(ISNUMBER(FIND("@",L88)),ISNUMBER(FIND(".",MID(L88,FIND("@",L88),99))),NOT(ISNUMBER(FIND(" ",TRIM(L88)))),NOT(ISNUMBER(FIND(";",L88))),NOT(ISNUMBER(FIND(",",L88)))),"OK","ERRO: um e-mail válido por linha"))</f>
      </c>
      <c r="U88" s="6">
        <f>IF(COUNTA(A88:O88)=0,"",IF(AND(B88&lt;&gt;"",C88&lt;&gt;"",D88&lt;&gt;"",E88&lt;&gt;"",H88&lt;&gt;"",OR(J88&lt;&gt;"",L88&lt;&gt;"")),"OK","ERRO: faltam "&amp;IF(B88="","Proprietário; ","")&amp;IF(C88="","Origem; ","")&amp;IF(D88="","CNPJ; ","")&amp;IF(E88="","Razão Social; ","")&amp;IF(H88="","Sobrenome; ","")&amp;IF(AND(J88="",L88=""),"telefone ou e-mail; ","")))</f>
      </c>
      <c r="V88" s="6">
        <f>IF(COUNTA(A88:O88)=0,"",IF(AND(Q88="OK",R88="OK",LEFT(S88,4)&lt;&gt;"ERRO",LEFT(T88,4)&lt;&gt;"ERRO",U88="OK"),"OK","REVISAR"))</f>
      </c>
    </row>
    <row r="89">
      <c r="A89" s="4"/>
      <c r="B89" s="5"/>
      <c r="C89" s="5"/>
      <c r="D89" s="5"/>
      <c r="E89" s="5"/>
      <c r="F89" s="4"/>
      <c r="G89" s="4"/>
      <c r="H89" s="5"/>
      <c r="I89" s="4"/>
      <c r="J89" s="4"/>
      <c r="K89" s="4"/>
      <c r="L89" s="4"/>
      <c r="M89" s="4"/>
      <c r="N89" s="4"/>
      <c r="O89" s="4"/>
      <c r="P89" s="6">
        <f>IF(D89="","",SUBSTITUTE(SUBSTITUTE(SUBSTITUTE(SUBSTITUTE(SUBSTITUTE(SUBSTITUTE(SUBSTITUTE(TRIM(D89),".",""),"/",""),"-","")," ",""),"(",""),")",""),"+",""))</f>
      </c>
      <c r="Q89" s="6">
        <f>IF(P89="","",IF(LEN(P89)&lt;&gt;14,"ERRO: "&amp;LEN(P89)&amp;" dígitos",IF(NOT(ISNUMBER(VALUE(P89))),"ERRO: não numérico",IF(LEN(SUBSTITUTE(P89,LEFT(P89,1),""))=0,"ERRO: dígitos repetidos",IF(AND(VALUE(MID(P89,13,1))=IF(MOD(SUMPRODUCT(--MID(P89,{1,2,3,4,5,6,7,8,9,10,11,12},1),{5,4,3,2,9,8,7,6,5,4,3,2}),11)&lt;2,0,11-MOD(SUMPRODUCT(--MID(P89,{1,2,3,4,5,6,7,8,9,10,11,12},1),{5,4,3,2,9,8,7,6,5,4,3,2}),11)),VALUE(MID(P89,14,1))=IF(MOD(SUMPRODUCT(--MID(P89,{1,2,3,4,5,6,7,8,9,10,11,12,13},1),{6,5,4,3,2,9,8,7,6,5,4,3,2}),11)&lt;2,0,11-MOD(SUMPRODUCT(--MID(P89,{1,2,3,4,5,6,7,8,9,10,11,12,13},1),{6,5,4,3,2,9,8,7,6,5,4,3,2}),11))),"OK","ERRO: dígito verificador")))))</f>
      </c>
      <c r="R89" s="6">
        <f>IF(P89="","",IF(COUNTIF($P$2:$P$1001,P89)&gt;1,"DUPLICADO","OK"))</f>
      </c>
      <c r="S89" s="6">
        <f>IF(AND(J89="",K89=""),"vazio",IF(AND(OR(J89="",LEN(SUBSTITUTE(SUBSTITUTE(SUBSTITUTE(SUBSTITUTE(SUBSTITUTE(SUBSTITUTE(SUBSTITUTE(TRIM(J89),".",""),"/",""),"-","")," ",""),"(",""),")",""),"+",""))=10,LEN(SUBSTITUTE(SUBSTITUTE(SUBSTITUTE(SUBSTITUTE(SUBSTITUTE(SUBSTITUTE(SUBSTITUTE(TRIM(J89),".",""),"/",""),"-","")," ",""),"(",""),")",""),"+",""))=11),OR(K89="",LEN(SUBSTITUTE(SUBSTITUTE(SUBSTITUTE(SUBSTITUTE(SUBSTITUTE(SUBSTITUTE(SUBSTITUTE(TRIM(K89),".",""),"/",""),"-","")," ",""),"(",""),")",""),"+",""))=10,LEN(SUBSTITUTE(SUBSTITUTE(SUBSTITUTE(SUBSTITUTE(SUBSTITUTE(SUBSTITUTE(SUBSTITUTE(TRIM(K89),".",""),"/",""),"-","")," ",""),"(",""),")",""),"+",""))=11)),"OK","ERRO: use DDD + número (10 ou 11 dígitos)"))</f>
      </c>
      <c r="T89" s="6">
        <f>IF(L89="","vazio",IF(AND(ISNUMBER(FIND("@",L89)),ISNUMBER(FIND(".",MID(L89,FIND("@",L89),99))),NOT(ISNUMBER(FIND(" ",TRIM(L89)))),NOT(ISNUMBER(FIND(";",L89))),NOT(ISNUMBER(FIND(",",L89)))),"OK","ERRO: um e-mail válido por linha"))</f>
      </c>
      <c r="U89" s="6">
        <f>IF(COUNTA(A89:O89)=0,"",IF(AND(B89&lt;&gt;"",C89&lt;&gt;"",D89&lt;&gt;"",E89&lt;&gt;"",H89&lt;&gt;"",OR(J89&lt;&gt;"",L89&lt;&gt;"")),"OK","ERRO: faltam "&amp;IF(B89="","Proprietário; ","")&amp;IF(C89="","Origem; ","")&amp;IF(D89="","CNPJ; ","")&amp;IF(E89="","Razão Social; ","")&amp;IF(H89="","Sobrenome; ","")&amp;IF(AND(J89="",L89=""),"telefone ou e-mail; ","")))</f>
      </c>
      <c r="V89" s="6">
        <f>IF(COUNTA(A89:O89)=0,"",IF(AND(Q89="OK",R89="OK",LEFT(S89,4)&lt;&gt;"ERRO",LEFT(T89,4)&lt;&gt;"ERRO",U89="OK"),"OK","REVISAR"))</f>
      </c>
    </row>
    <row r="90">
      <c r="A90" s="4"/>
      <c r="B90" s="5"/>
      <c r="C90" s="5"/>
      <c r="D90" s="5"/>
      <c r="E90" s="5"/>
      <c r="F90" s="4"/>
      <c r="G90" s="4"/>
      <c r="H90" s="5"/>
      <c r="I90" s="4"/>
      <c r="J90" s="4"/>
      <c r="K90" s="4"/>
      <c r="L90" s="4"/>
      <c r="M90" s="4"/>
      <c r="N90" s="4"/>
      <c r="O90" s="4"/>
      <c r="P90" s="6">
        <f>IF(D90="","",SUBSTITUTE(SUBSTITUTE(SUBSTITUTE(SUBSTITUTE(SUBSTITUTE(SUBSTITUTE(SUBSTITUTE(TRIM(D90),".",""),"/",""),"-","")," ",""),"(",""),")",""),"+",""))</f>
      </c>
      <c r="Q90" s="6">
        <f>IF(P90="","",IF(LEN(P90)&lt;&gt;14,"ERRO: "&amp;LEN(P90)&amp;" dígitos",IF(NOT(ISNUMBER(VALUE(P90))),"ERRO: não numérico",IF(LEN(SUBSTITUTE(P90,LEFT(P90,1),""))=0,"ERRO: dígitos repetidos",IF(AND(VALUE(MID(P90,13,1))=IF(MOD(SUMPRODUCT(--MID(P90,{1,2,3,4,5,6,7,8,9,10,11,12},1),{5,4,3,2,9,8,7,6,5,4,3,2}),11)&lt;2,0,11-MOD(SUMPRODUCT(--MID(P90,{1,2,3,4,5,6,7,8,9,10,11,12},1),{5,4,3,2,9,8,7,6,5,4,3,2}),11)),VALUE(MID(P90,14,1))=IF(MOD(SUMPRODUCT(--MID(P90,{1,2,3,4,5,6,7,8,9,10,11,12,13},1),{6,5,4,3,2,9,8,7,6,5,4,3,2}),11)&lt;2,0,11-MOD(SUMPRODUCT(--MID(P90,{1,2,3,4,5,6,7,8,9,10,11,12,13},1),{6,5,4,3,2,9,8,7,6,5,4,3,2}),11))),"OK","ERRO: dígito verificador")))))</f>
      </c>
      <c r="R90" s="6">
        <f>IF(P90="","",IF(COUNTIF($P$2:$P$1001,P90)&gt;1,"DUPLICADO","OK"))</f>
      </c>
      <c r="S90" s="6">
        <f>IF(AND(J90="",K90=""),"vazio",IF(AND(OR(J90="",LEN(SUBSTITUTE(SUBSTITUTE(SUBSTITUTE(SUBSTITUTE(SUBSTITUTE(SUBSTITUTE(SUBSTITUTE(TRIM(J90),".",""),"/",""),"-","")," ",""),"(",""),")",""),"+",""))=10,LEN(SUBSTITUTE(SUBSTITUTE(SUBSTITUTE(SUBSTITUTE(SUBSTITUTE(SUBSTITUTE(SUBSTITUTE(TRIM(J90),".",""),"/",""),"-","")," ",""),"(",""),")",""),"+",""))=11),OR(K90="",LEN(SUBSTITUTE(SUBSTITUTE(SUBSTITUTE(SUBSTITUTE(SUBSTITUTE(SUBSTITUTE(SUBSTITUTE(TRIM(K90),".",""),"/",""),"-","")," ",""),"(",""),")",""),"+",""))=10,LEN(SUBSTITUTE(SUBSTITUTE(SUBSTITUTE(SUBSTITUTE(SUBSTITUTE(SUBSTITUTE(SUBSTITUTE(TRIM(K90),".",""),"/",""),"-","")," ",""),"(",""),")",""),"+",""))=11)),"OK","ERRO: use DDD + número (10 ou 11 dígitos)"))</f>
      </c>
      <c r="T90" s="6">
        <f>IF(L90="","vazio",IF(AND(ISNUMBER(FIND("@",L90)),ISNUMBER(FIND(".",MID(L90,FIND("@",L90),99))),NOT(ISNUMBER(FIND(" ",TRIM(L90)))),NOT(ISNUMBER(FIND(";",L90))),NOT(ISNUMBER(FIND(",",L90)))),"OK","ERRO: um e-mail válido por linha"))</f>
      </c>
      <c r="U90" s="6">
        <f>IF(COUNTA(A90:O90)=0,"",IF(AND(B90&lt;&gt;"",C90&lt;&gt;"",D90&lt;&gt;"",E90&lt;&gt;"",H90&lt;&gt;"",OR(J90&lt;&gt;"",L90&lt;&gt;"")),"OK","ERRO: faltam "&amp;IF(B90="","Proprietário; ","")&amp;IF(C90="","Origem; ","")&amp;IF(D90="","CNPJ; ","")&amp;IF(E90="","Razão Social; ","")&amp;IF(H90="","Sobrenome; ","")&amp;IF(AND(J90="",L90=""),"telefone ou e-mail; ","")))</f>
      </c>
      <c r="V90" s="6">
        <f>IF(COUNTA(A90:O90)=0,"",IF(AND(Q90="OK",R90="OK",LEFT(S90,4)&lt;&gt;"ERRO",LEFT(T90,4)&lt;&gt;"ERRO",U90="OK"),"OK","REVISAR"))</f>
      </c>
    </row>
    <row r="91">
      <c r="A91" s="4"/>
      <c r="B91" s="5"/>
      <c r="C91" s="5"/>
      <c r="D91" s="5"/>
      <c r="E91" s="5"/>
      <c r="F91" s="4"/>
      <c r="G91" s="4"/>
      <c r="H91" s="5"/>
      <c r="I91" s="4"/>
      <c r="J91" s="4"/>
      <c r="K91" s="4"/>
      <c r="L91" s="4"/>
      <c r="M91" s="4"/>
      <c r="N91" s="4"/>
      <c r="O91" s="4"/>
      <c r="P91" s="6">
        <f>IF(D91="","",SUBSTITUTE(SUBSTITUTE(SUBSTITUTE(SUBSTITUTE(SUBSTITUTE(SUBSTITUTE(SUBSTITUTE(TRIM(D91),".",""),"/",""),"-","")," ",""),"(",""),")",""),"+",""))</f>
      </c>
      <c r="Q91" s="6">
        <f>IF(P91="","",IF(LEN(P91)&lt;&gt;14,"ERRO: "&amp;LEN(P91)&amp;" dígitos",IF(NOT(ISNUMBER(VALUE(P91))),"ERRO: não numérico",IF(LEN(SUBSTITUTE(P91,LEFT(P91,1),""))=0,"ERRO: dígitos repetidos",IF(AND(VALUE(MID(P91,13,1))=IF(MOD(SUMPRODUCT(--MID(P91,{1,2,3,4,5,6,7,8,9,10,11,12},1),{5,4,3,2,9,8,7,6,5,4,3,2}),11)&lt;2,0,11-MOD(SUMPRODUCT(--MID(P91,{1,2,3,4,5,6,7,8,9,10,11,12},1),{5,4,3,2,9,8,7,6,5,4,3,2}),11)),VALUE(MID(P91,14,1))=IF(MOD(SUMPRODUCT(--MID(P91,{1,2,3,4,5,6,7,8,9,10,11,12,13},1),{6,5,4,3,2,9,8,7,6,5,4,3,2}),11)&lt;2,0,11-MOD(SUMPRODUCT(--MID(P91,{1,2,3,4,5,6,7,8,9,10,11,12,13},1),{6,5,4,3,2,9,8,7,6,5,4,3,2}),11))),"OK","ERRO: dígito verificador")))))</f>
      </c>
      <c r="R91" s="6">
        <f>IF(P91="","",IF(COUNTIF($P$2:$P$1001,P91)&gt;1,"DUPLICADO","OK"))</f>
      </c>
      <c r="S91" s="6">
        <f>IF(AND(J91="",K91=""),"vazio",IF(AND(OR(J91="",LEN(SUBSTITUTE(SUBSTITUTE(SUBSTITUTE(SUBSTITUTE(SUBSTITUTE(SUBSTITUTE(SUBSTITUTE(TRIM(J91),".",""),"/",""),"-","")," ",""),"(",""),")",""),"+",""))=10,LEN(SUBSTITUTE(SUBSTITUTE(SUBSTITUTE(SUBSTITUTE(SUBSTITUTE(SUBSTITUTE(SUBSTITUTE(TRIM(J91),".",""),"/",""),"-","")," ",""),"(",""),")",""),"+",""))=11),OR(K91="",LEN(SUBSTITUTE(SUBSTITUTE(SUBSTITUTE(SUBSTITUTE(SUBSTITUTE(SUBSTITUTE(SUBSTITUTE(TRIM(K91),".",""),"/",""),"-","")," ",""),"(",""),")",""),"+",""))=10,LEN(SUBSTITUTE(SUBSTITUTE(SUBSTITUTE(SUBSTITUTE(SUBSTITUTE(SUBSTITUTE(SUBSTITUTE(TRIM(K91),".",""),"/",""),"-","")," ",""),"(",""),")",""),"+",""))=11)),"OK","ERRO: use DDD + número (10 ou 11 dígitos)"))</f>
      </c>
      <c r="T91" s="6">
        <f>IF(L91="","vazio",IF(AND(ISNUMBER(FIND("@",L91)),ISNUMBER(FIND(".",MID(L91,FIND("@",L91),99))),NOT(ISNUMBER(FIND(" ",TRIM(L91)))),NOT(ISNUMBER(FIND(";",L91))),NOT(ISNUMBER(FIND(",",L91)))),"OK","ERRO: um e-mail válido por linha"))</f>
      </c>
      <c r="U91" s="6">
        <f>IF(COUNTA(A91:O91)=0,"",IF(AND(B91&lt;&gt;"",C91&lt;&gt;"",D91&lt;&gt;"",E91&lt;&gt;"",H91&lt;&gt;"",OR(J91&lt;&gt;"",L91&lt;&gt;"")),"OK","ERRO: faltam "&amp;IF(B91="","Proprietário; ","")&amp;IF(C91="","Origem; ","")&amp;IF(D91="","CNPJ; ","")&amp;IF(E91="","Razão Social; ","")&amp;IF(H91="","Sobrenome; ","")&amp;IF(AND(J91="",L91=""),"telefone ou e-mail; ","")))</f>
      </c>
      <c r="V91" s="6">
        <f>IF(COUNTA(A91:O91)=0,"",IF(AND(Q91="OK",R91="OK",LEFT(S91,4)&lt;&gt;"ERRO",LEFT(T91,4)&lt;&gt;"ERRO",U91="OK"),"OK","REVISAR"))</f>
      </c>
    </row>
    <row r="92">
      <c r="A92" s="4"/>
      <c r="B92" s="5"/>
      <c r="C92" s="5"/>
      <c r="D92" s="5"/>
      <c r="E92" s="5"/>
      <c r="F92" s="4"/>
      <c r="G92" s="4"/>
      <c r="H92" s="5"/>
      <c r="I92" s="4"/>
      <c r="J92" s="4"/>
      <c r="K92" s="4"/>
      <c r="L92" s="4"/>
      <c r="M92" s="4"/>
      <c r="N92" s="4"/>
      <c r="O92" s="4"/>
      <c r="P92" s="6">
        <f>IF(D92="","",SUBSTITUTE(SUBSTITUTE(SUBSTITUTE(SUBSTITUTE(SUBSTITUTE(SUBSTITUTE(SUBSTITUTE(TRIM(D92),".",""),"/",""),"-","")," ",""),"(",""),")",""),"+",""))</f>
      </c>
      <c r="Q92" s="6">
        <f>IF(P92="","",IF(LEN(P92)&lt;&gt;14,"ERRO: "&amp;LEN(P92)&amp;" dígitos",IF(NOT(ISNUMBER(VALUE(P92))),"ERRO: não numérico",IF(LEN(SUBSTITUTE(P92,LEFT(P92,1),""))=0,"ERRO: dígitos repetidos",IF(AND(VALUE(MID(P92,13,1))=IF(MOD(SUMPRODUCT(--MID(P92,{1,2,3,4,5,6,7,8,9,10,11,12},1),{5,4,3,2,9,8,7,6,5,4,3,2}),11)&lt;2,0,11-MOD(SUMPRODUCT(--MID(P92,{1,2,3,4,5,6,7,8,9,10,11,12},1),{5,4,3,2,9,8,7,6,5,4,3,2}),11)),VALUE(MID(P92,14,1))=IF(MOD(SUMPRODUCT(--MID(P92,{1,2,3,4,5,6,7,8,9,10,11,12,13},1),{6,5,4,3,2,9,8,7,6,5,4,3,2}),11)&lt;2,0,11-MOD(SUMPRODUCT(--MID(P92,{1,2,3,4,5,6,7,8,9,10,11,12,13},1),{6,5,4,3,2,9,8,7,6,5,4,3,2}),11))),"OK","ERRO: dígito verificador")))))</f>
      </c>
      <c r="R92" s="6">
        <f>IF(P92="","",IF(COUNTIF($P$2:$P$1001,P92)&gt;1,"DUPLICADO","OK"))</f>
      </c>
      <c r="S92" s="6">
        <f>IF(AND(J92="",K92=""),"vazio",IF(AND(OR(J92="",LEN(SUBSTITUTE(SUBSTITUTE(SUBSTITUTE(SUBSTITUTE(SUBSTITUTE(SUBSTITUTE(SUBSTITUTE(TRIM(J92),".",""),"/",""),"-","")," ",""),"(",""),")",""),"+",""))=10,LEN(SUBSTITUTE(SUBSTITUTE(SUBSTITUTE(SUBSTITUTE(SUBSTITUTE(SUBSTITUTE(SUBSTITUTE(TRIM(J92),".",""),"/",""),"-","")," ",""),"(",""),")",""),"+",""))=11),OR(K92="",LEN(SUBSTITUTE(SUBSTITUTE(SUBSTITUTE(SUBSTITUTE(SUBSTITUTE(SUBSTITUTE(SUBSTITUTE(TRIM(K92),".",""),"/",""),"-","")," ",""),"(",""),")",""),"+",""))=10,LEN(SUBSTITUTE(SUBSTITUTE(SUBSTITUTE(SUBSTITUTE(SUBSTITUTE(SUBSTITUTE(SUBSTITUTE(TRIM(K92),".",""),"/",""),"-","")," ",""),"(",""),")",""),"+",""))=11)),"OK","ERRO: use DDD + número (10 ou 11 dígitos)"))</f>
      </c>
      <c r="T92" s="6">
        <f>IF(L92="","vazio",IF(AND(ISNUMBER(FIND("@",L92)),ISNUMBER(FIND(".",MID(L92,FIND("@",L92),99))),NOT(ISNUMBER(FIND(" ",TRIM(L92)))),NOT(ISNUMBER(FIND(";",L92))),NOT(ISNUMBER(FIND(",",L92)))),"OK","ERRO: um e-mail válido por linha"))</f>
      </c>
      <c r="U92" s="6">
        <f>IF(COUNTA(A92:O92)=0,"",IF(AND(B92&lt;&gt;"",C92&lt;&gt;"",D92&lt;&gt;"",E92&lt;&gt;"",H92&lt;&gt;"",OR(J92&lt;&gt;"",L92&lt;&gt;"")),"OK","ERRO: faltam "&amp;IF(B92="","Proprietário; ","")&amp;IF(C92="","Origem; ","")&amp;IF(D92="","CNPJ; ","")&amp;IF(E92="","Razão Social; ","")&amp;IF(H92="","Sobrenome; ","")&amp;IF(AND(J92="",L92=""),"telefone ou e-mail; ","")))</f>
      </c>
      <c r="V92" s="6">
        <f>IF(COUNTA(A92:O92)=0,"",IF(AND(Q92="OK",R92="OK",LEFT(S92,4)&lt;&gt;"ERRO",LEFT(T92,4)&lt;&gt;"ERRO",U92="OK"),"OK","REVISAR"))</f>
      </c>
    </row>
    <row r="93">
      <c r="A93" s="4"/>
      <c r="B93" s="5"/>
      <c r="C93" s="5"/>
      <c r="D93" s="5"/>
      <c r="E93" s="5"/>
      <c r="F93" s="4"/>
      <c r="G93" s="4"/>
      <c r="H93" s="5"/>
      <c r="I93" s="4"/>
      <c r="J93" s="4"/>
      <c r="K93" s="4"/>
      <c r="L93" s="4"/>
      <c r="M93" s="4"/>
      <c r="N93" s="4"/>
      <c r="O93" s="4"/>
      <c r="P93" s="6">
        <f>IF(D93="","",SUBSTITUTE(SUBSTITUTE(SUBSTITUTE(SUBSTITUTE(SUBSTITUTE(SUBSTITUTE(SUBSTITUTE(TRIM(D93),".",""),"/",""),"-","")," ",""),"(",""),")",""),"+",""))</f>
      </c>
      <c r="Q93" s="6">
        <f>IF(P93="","",IF(LEN(P93)&lt;&gt;14,"ERRO: "&amp;LEN(P93)&amp;" dígitos",IF(NOT(ISNUMBER(VALUE(P93))),"ERRO: não numérico",IF(LEN(SUBSTITUTE(P93,LEFT(P93,1),""))=0,"ERRO: dígitos repetidos",IF(AND(VALUE(MID(P93,13,1))=IF(MOD(SUMPRODUCT(--MID(P93,{1,2,3,4,5,6,7,8,9,10,11,12},1),{5,4,3,2,9,8,7,6,5,4,3,2}),11)&lt;2,0,11-MOD(SUMPRODUCT(--MID(P93,{1,2,3,4,5,6,7,8,9,10,11,12},1),{5,4,3,2,9,8,7,6,5,4,3,2}),11)),VALUE(MID(P93,14,1))=IF(MOD(SUMPRODUCT(--MID(P93,{1,2,3,4,5,6,7,8,9,10,11,12,13},1),{6,5,4,3,2,9,8,7,6,5,4,3,2}),11)&lt;2,0,11-MOD(SUMPRODUCT(--MID(P93,{1,2,3,4,5,6,7,8,9,10,11,12,13},1),{6,5,4,3,2,9,8,7,6,5,4,3,2}),11))),"OK","ERRO: dígito verificador")))))</f>
      </c>
      <c r="R93" s="6">
        <f>IF(P93="","",IF(COUNTIF($P$2:$P$1001,P93)&gt;1,"DUPLICADO","OK"))</f>
      </c>
      <c r="S93" s="6">
        <f>IF(AND(J93="",K93=""),"vazio",IF(AND(OR(J93="",LEN(SUBSTITUTE(SUBSTITUTE(SUBSTITUTE(SUBSTITUTE(SUBSTITUTE(SUBSTITUTE(SUBSTITUTE(TRIM(J93),".",""),"/",""),"-","")," ",""),"(",""),")",""),"+",""))=10,LEN(SUBSTITUTE(SUBSTITUTE(SUBSTITUTE(SUBSTITUTE(SUBSTITUTE(SUBSTITUTE(SUBSTITUTE(TRIM(J93),".",""),"/",""),"-","")," ",""),"(",""),")",""),"+",""))=11),OR(K93="",LEN(SUBSTITUTE(SUBSTITUTE(SUBSTITUTE(SUBSTITUTE(SUBSTITUTE(SUBSTITUTE(SUBSTITUTE(TRIM(K93),".",""),"/",""),"-","")," ",""),"(",""),")",""),"+",""))=10,LEN(SUBSTITUTE(SUBSTITUTE(SUBSTITUTE(SUBSTITUTE(SUBSTITUTE(SUBSTITUTE(SUBSTITUTE(TRIM(K93),".",""),"/",""),"-","")," ",""),"(",""),")",""),"+",""))=11)),"OK","ERRO: use DDD + número (10 ou 11 dígitos)"))</f>
      </c>
      <c r="T93" s="6">
        <f>IF(L93="","vazio",IF(AND(ISNUMBER(FIND("@",L93)),ISNUMBER(FIND(".",MID(L93,FIND("@",L93),99))),NOT(ISNUMBER(FIND(" ",TRIM(L93)))),NOT(ISNUMBER(FIND(";",L93))),NOT(ISNUMBER(FIND(",",L93)))),"OK","ERRO: um e-mail válido por linha"))</f>
      </c>
      <c r="U93" s="6">
        <f>IF(COUNTA(A93:O93)=0,"",IF(AND(B93&lt;&gt;"",C93&lt;&gt;"",D93&lt;&gt;"",E93&lt;&gt;"",H93&lt;&gt;"",OR(J93&lt;&gt;"",L93&lt;&gt;"")),"OK","ERRO: faltam "&amp;IF(B93="","Proprietário; ","")&amp;IF(C93="","Origem; ","")&amp;IF(D93="","CNPJ; ","")&amp;IF(E93="","Razão Social; ","")&amp;IF(H93="","Sobrenome; ","")&amp;IF(AND(J93="",L93=""),"telefone ou e-mail; ","")))</f>
      </c>
      <c r="V93" s="6">
        <f>IF(COUNTA(A93:O93)=0,"",IF(AND(Q93="OK",R93="OK",LEFT(S93,4)&lt;&gt;"ERRO",LEFT(T93,4)&lt;&gt;"ERRO",U93="OK"),"OK","REVISAR"))</f>
      </c>
    </row>
    <row r="94">
      <c r="A94" s="4"/>
      <c r="B94" s="5"/>
      <c r="C94" s="5"/>
      <c r="D94" s="5"/>
      <c r="E94" s="5"/>
      <c r="F94" s="4"/>
      <c r="G94" s="4"/>
      <c r="H94" s="5"/>
      <c r="I94" s="4"/>
      <c r="J94" s="4"/>
      <c r="K94" s="4"/>
      <c r="L94" s="4"/>
      <c r="M94" s="4"/>
      <c r="N94" s="4"/>
      <c r="O94" s="4"/>
      <c r="P94" s="6">
        <f>IF(D94="","",SUBSTITUTE(SUBSTITUTE(SUBSTITUTE(SUBSTITUTE(SUBSTITUTE(SUBSTITUTE(SUBSTITUTE(TRIM(D94),".",""),"/",""),"-","")," ",""),"(",""),")",""),"+",""))</f>
      </c>
      <c r="Q94" s="6">
        <f>IF(P94="","",IF(LEN(P94)&lt;&gt;14,"ERRO: "&amp;LEN(P94)&amp;" dígitos",IF(NOT(ISNUMBER(VALUE(P94))),"ERRO: não numérico",IF(LEN(SUBSTITUTE(P94,LEFT(P94,1),""))=0,"ERRO: dígitos repetidos",IF(AND(VALUE(MID(P94,13,1))=IF(MOD(SUMPRODUCT(--MID(P94,{1,2,3,4,5,6,7,8,9,10,11,12},1),{5,4,3,2,9,8,7,6,5,4,3,2}),11)&lt;2,0,11-MOD(SUMPRODUCT(--MID(P94,{1,2,3,4,5,6,7,8,9,10,11,12},1),{5,4,3,2,9,8,7,6,5,4,3,2}),11)),VALUE(MID(P94,14,1))=IF(MOD(SUMPRODUCT(--MID(P94,{1,2,3,4,5,6,7,8,9,10,11,12,13},1),{6,5,4,3,2,9,8,7,6,5,4,3,2}),11)&lt;2,0,11-MOD(SUMPRODUCT(--MID(P94,{1,2,3,4,5,6,7,8,9,10,11,12,13},1),{6,5,4,3,2,9,8,7,6,5,4,3,2}),11))),"OK","ERRO: dígito verificador")))))</f>
      </c>
      <c r="R94" s="6">
        <f>IF(P94="","",IF(COUNTIF($P$2:$P$1001,P94)&gt;1,"DUPLICADO","OK"))</f>
      </c>
      <c r="S94" s="6">
        <f>IF(AND(J94="",K94=""),"vazio",IF(AND(OR(J94="",LEN(SUBSTITUTE(SUBSTITUTE(SUBSTITUTE(SUBSTITUTE(SUBSTITUTE(SUBSTITUTE(SUBSTITUTE(TRIM(J94),".",""),"/",""),"-","")," ",""),"(",""),")",""),"+",""))=10,LEN(SUBSTITUTE(SUBSTITUTE(SUBSTITUTE(SUBSTITUTE(SUBSTITUTE(SUBSTITUTE(SUBSTITUTE(TRIM(J94),".",""),"/",""),"-","")," ",""),"(",""),")",""),"+",""))=11),OR(K94="",LEN(SUBSTITUTE(SUBSTITUTE(SUBSTITUTE(SUBSTITUTE(SUBSTITUTE(SUBSTITUTE(SUBSTITUTE(TRIM(K94),".",""),"/",""),"-","")," ",""),"(",""),")",""),"+",""))=10,LEN(SUBSTITUTE(SUBSTITUTE(SUBSTITUTE(SUBSTITUTE(SUBSTITUTE(SUBSTITUTE(SUBSTITUTE(TRIM(K94),".",""),"/",""),"-","")," ",""),"(",""),")",""),"+",""))=11)),"OK","ERRO: use DDD + número (10 ou 11 dígitos)"))</f>
      </c>
      <c r="T94" s="6">
        <f>IF(L94="","vazio",IF(AND(ISNUMBER(FIND("@",L94)),ISNUMBER(FIND(".",MID(L94,FIND("@",L94),99))),NOT(ISNUMBER(FIND(" ",TRIM(L94)))),NOT(ISNUMBER(FIND(";",L94))),NOT(ISNUMBER(FIND(",",L94)))),"OK","ERRO: um e-mail válido por linha"))</f>
      </c>
      <c r="U94" s="6">
        <f>IF(COUNTA(A94:O94)=0,"",IF(AND(B94&lt;&gt;"",C94&lt;&gt;"",D94&lt;&gt;"",E94&lt;&gt;"",H94&lt;&gt;"",OR(J94&lt;&gt;"",L94&lt;&gt;"")),"OK","ERRO: faltam "&amp;IF(B94="","Proprietário; ","")&amp;IF(C94="","Origem; ","")&amp;IF(D94="","CNPJ; ","")&amp;IF(E94="","Razão Social; ","")&amp;IF(H94="","Sobrenome; ","")&amp;IF(AND(J94="",L94=""),"telefone ou e-mail; ","")))</f>
      </c>
      <c r="V94" s="6">
        <f>IF(COUNTA(A94:O94)=0,"",IF(AND(Q94="OK",R94="OK",LEFT(S94,4)&lt;&gt;"ERRO",LEFT(T94,4)&lt;&gt;"ERRO",U94="OK"),"OK","REVISAR"))</f>
      </c>
    </row>
    <row r="95">
      <c r="A95" s="4"/>
      <c r="B95" s="5"/>
      <c r="C95" s="5"/>
      <c r="D95" s="5"/>
      <c r="E95" s="5"/>
      <c r="F95" s="4"/>
      <c r="G95" s="4"/>
      <c r="H95" s="5"/>
      <c r="I95" s="4"/>
      <c r="J95" s="4"/>
      <c r="K95" s="4"/>
      <c r="L95" s="4"/>
      <c r="M95" s="4"/>
      <c r="N95" s="4"/>
      <c r="O95" s="4"/>
      <c r="P95" s="6">
        <f>IF(D95="","",SUBSTITUTE(SUBSTITUTE(SUBSTITUTE(SUBSTITUTE(SUBSTITUTE(SUBSTITUTE(SUBSTITUTE(TRIM(D95),".",""),"/",""),"-","")," ",""),"(",""),")",""),"+",""))</f>
      </c>
      <c r="Q95" s="6">
        <f>IF(P95="","",IF(LEN(P95)&lt;&gt;14,"ERRO: "&amp;LEN(P95)&amp;" dígitos",IF(NOT(ISNUMBER(VALUE(P95))),"ERRO: não numérico",IF(LEN(SUBSTITUTE(P95,LEFT(P95,1),""))=0,"ERRO: dígitos repetidos",IF(AND(VALUE(MID(P95,13,1))=IF(MOD(SUMPRODUCT(--MID(P95,{1,2,3,4,5,6,7,8,9,10,11,12},1),{5,4,3,2,9,8,7,6,5,4,3,2}),11)&lt;2,0,11-MOD(SUMPRODUCT(--MID(P95,{1,2,3,4,5,6,7,8,9,10,11,12},1),{5,4,3,2,9,8,7,6,5,4,3,2}),11)),VALUE(MID(P95,14,1))=IF(MOD(SUMPRODUCT(--MID(P95,{1,2,3,4,5,6,7,8,9,10,11,12,13},1),{6,5,4,3,2,9,8,7,6,5,4,3,2}),11)&lt;2,0,11-MOD(SUMPRODUCT(--MID(P95,{1,2,3,4,5,6,7,8,9,10,11,12,13},1),{6,5,4,3,2,9,8,7,6,5,4,3,2}),11))),"OK","ERRO: dígito verificador")))))</f>
      </c>
      <c r="R95" s="6">
        <f>IF(P95="","",IF(COUNTIF($P$2:$P$1001,P95)&gt;1,"DUPLICADO","OK"))</f>
      </c>
      <c r="S95" s="6">
        <f>IF(AND(J95="",K95=""),"vazio",IF(AND(OR(J95="",LEN(SUBSTITUTE(SUBSTITUTE(SUBSTITUTE(SUBSTITUTE(SUBSTITUTE(SUBSTITUTE(SUBSTITUTE(TRIM(J95),".",""),"/",""),"-","")," ",""),"(",""),")",""),"+",""))=10,LEN(SUBSTITUTE(SUBSTITUTE(SUBSTITUTE(SUBSTITUTE(SUBSTITUTE(SUBSTITUTE(SUBSTITUTE(TRIM(J95),".",""),"/",""),"-","")," ",""),"(",""),")",""),"+",""))=11),OR(K95="",LEN(SUBSTITUTE(SUBSTITUTE(SUBSTITUTE(SUBSTITUTE(SUBSTITUTE(SUBSTITUTE(SUBSTITUTE(TRIM(K95),".",""),"/",""),"-","")," ",""),"(",""),")",""),"+",""))=10,LEN(SUBSTITUTE(SUBSTITUTE(SUBSTITUTE(SUBSTITUTE(SUBSTITUTE(SUBSTITUTE(SUBSTITUTE(TRIM(K95),".",""),"/",""),"-","")," ",""),"(",""),")",""),"+",""))=11)),"OK","ERRO: use DDD + número (10 ou 11 dígitos)"))</f>
      </c>
      <c r="T95" s="6">
        <f>IF(L95="","vazio",IF(AND(ISNUMBER(FIND("@",L95)),ISNUMBER(FIND(".",MID(L95,FIND("@",L95),99))),NOT(ISNUMBER(FIND(" ",TRIM(L95)))),NOT(ISNUMBER(FIND(";",L95))),NOT(ISNUMBER(FIND(",",L95)))),"OK","ERRO: um e-mail válido por linha"))</f>
      </c>
      <c r="U95" s="6">
        <f>IF(COUNTA(A95:O95)=0,"",IF(AND(B95&lt;&gt;"",C95&lt;&gt;"",D95&lt;&gt;"",E95&lt;&gt;"",H95&lt;&gt;"",OR(J95&lt;&gt;"",L95&lt;&gt;"")),"OK","ERRO: faltam "&amp;IF(B95="","Proprietário; ","")&amp;IF(C95="","Origem; ","")&amp;IF(D95="","CNPJ; ","")&amp;IF(E95="","Razão Social; ","")&amp;IF(H95="","Sobrenome; ","")&amp;IF(AND(J95="",L95=""),"telefone ou e-mail; ","")))</f>
      </c>
      <c r="V95" s="6">
        <f>IF(COUNTA(A95:O95)=0,"",IF(AND(Q95="OK",R95="OK",LEFT(S95,4)&lt;&gt;"ERRO",LEFT(T95,4)&lt;&gt;"ERRO",U95="OK"),"OK","REVISAR"))</f>
      </c>
    </row>
    <row r="96">
      <c r="A96" s="4"/>
      <c r="B96" s="5"/>
      <c r="C96" s="5"/>
      <c r="D96" s="5"/>
      <c r="E96" s="5"/>
      <c r="F96" s="4"/>
      <c r="G96" s="4"/>
      <c r="H96" s="5"/>
      <c r="I96" s="4"/>
      <c r="J96" s="4"/>
      <c r="K96" s="4"/>
      <c r="L96" s="4"/>
      <c r="M96" s="4"/>
      <c r="N96" s="4"/>
      <c r="O96" s="4"/>
      <c r="P96" s="6">
        <f>IF(D96="","",SUBSTITUTE(SUBSTITUTE(SUBSTITUTE(SUBSTITUTE(SUBSTITUTE(SUBSTITUTE(SUBSTITUTE(TRIM(D96),".",""),"/",""),"-","")," ",""),"(",""),")",""),"+",""))</f>
      </c>
      <c r="Q96" s="6">
        <f>IF(P96="","",IF(LEN(P96)&lt;&gt;14,"ERRO: "&amp;LEN(P96)&amp;" dígitos",IF(NOT(ISNUMBER(VALUE(P96))),"ERRO: não numérico",IF(LEN(SUBSTITUTE(P96,LEFT(P96,1),""))=0,"ERRO: dígitos repetidos",IF(AND(VALUE(MID(P96,13,1))=IF(MOD(SUMPRODUCT(--MID(P96,{1,2,3,4,5,6,7,8,9,10,11,12},1),{5,4,3,2,9,8,7,6,5,4,3,2}),11)&lt;2,0,11-MOD(SUMPRODUCT(--MID(P96,{1,2,3,4,5,6,7,8,9,10,11,12},1),{5,4,3,2,9,8,7,6,5,4,3,2}),11)),VALUE(MID(P96,14,1))=IF(MOD(SUMPRODUCT(--MID(P96,{1,2,3,4,5,6,7,8,9,10,11,12,13},1),{6,5,4,3,2,9,8,7,6,5,4,3,2}),11)&lt;2,0,11-MOD(SUMPRODUCT(--MID(P96,{1,2,3,4,5,6,7,8,9,10,11,12,13},1),{6,5,4,3,2,9,8,7,6,5,4,3,2}),11))),"OK","ERRO: dígito verificador")))))</f>
      </c>
      <c r="R96" s="6">
        <f>IF(P96="","",IF(COUNTIF($P$2:$P$1001,P96)&gt;1,"DUPLICADO","OK"))</f>
      </c>
      <c r="S96" s="6">
        <f>IF(AND(J96="",K96=""),"vazio",IF(AND(OR(J96="",LEN(SUBSTITUTE(SUBSTITUTE(SUBSTITUTE(SUBSTITUTE(SUBSTITUTE(SUBSTITUTE(SUBSTITUTE(TRIM(J96),".",""),"/",""),"-","")," ",""),"(",""),")",""),"+",""))=10,LEN(SUBSTITUTE(SUBSTITUTE(SUBSTITUTE(SUBSTITUTE(SUBSTITUTE(SUBSTITUTE(SUBSTITUTE(TRIM(J96),".",""),"/",""),"-","")," ",""),"(",""),")",""),"+",""))=11),OR(K96="",LEN(SUBSTITUTE(SUBSTITUTE(SUBSTITUTE(SUBSTITUTE(SUBSTITUTE(SUBSTITUTE(SUBSTITUTE(TRIM(K96),".",""),"/",""),"-","")," ",""),"(",""),")",""),"+",""))=10,LEN(SUBSTITUTE(SUBSTITUTE(SUBSTITUTE(SUBSTITUTE(SUBSTITUTE(SUBSTITUTE(SUBSTITUTE(TRIM(K96),".",""),"/",""),"-","")," ",""),"(",""),")",""),"+",""))=11)),"OK","ERRO: use DDD + número (10 ou 11 dígitos)"))</f>
      </c>
      <c r="T96" s="6">
        <f>IF(L96="","vazio",IF(AND(ISNUMBER(FIND("@",L96)),ISNUMBER(FIND(".",MID(L96,FIND("@",L96),99))),NOT(ISNUMBER(FIND(" ",TRIM(L96)))),NOT(ISNUMBER(FIND(";",L96))),NOT(ISNUMBER(FIND(",",L96)))),"OK","ERRO: um e-mail válido por linha"))</f>
      </c>
      <c r="U96" s="6">
        <f>IF(COUNTA(A96:O96)=0,"",IF(AND(B96&lt;&gt;"",C96&lt;&gt;"",D96&lt;&gt;"",E96&lt;&gt;"",H96&lt;&gt;"",OR(J96&lt;&gt;"",L96&lt;&gt;"")),"OK","ERRO: faltam "&amp;IF(B96="","Proprietário; ","")&amp;IF(C96="","Origem; ","")&amp;IF(D96="","CNPJ; ","")&amp;IF(E96="","Razão Social; ","")&amp;IF(H96="","Sobrenome; ","")&amp;IF(AND(J96="",L96=""),"telefone ou e-mail; ","")))</f>
      </c>
      <c r="V96" s="6">
        <f>IF(COUNTA(A96:O96)=0,"",IF(AND(Q96="OK",R96="OK",LEFT(S96,4)&lt;&gt;"ERRO",LEFT(T96,4)&lt;&gt;"ERRO",U96="OK"),"OK","REVISAR"))</f>
      </c>
    </row>
    <row r="97">
      <c r="A97" s="4"/>
      <c r="B97" s="5"/>
      <c r="C97" s="5"/>
      <c r="D97" s="5"/>
      <c r="E97" s="5"/>
      <c r="F97" s="4"/>
      <c r="G97" s="4"/>
      <c r="H97" s="5"/>
      <c r="I97" s="4"/>
      <c r="J97" s="4"/>
      <c r="K97" s="4"/>
      <c r="L97" s="4"/>
      <c r="M97" s="4"/>
      <c r="N97" s="4"/>
      <c r="O97" s="4"/>
      <c r="P97" s="6">
        <f>IF(D97="","",SUBSTITUTE(SUBSTITUTE(SUBSTITUTE(SUBSTITUTE(SUBSTITUTE(SUBSTITUTE(SUBSTITUTE(TRIM(D97),".",""),"/",""),"-","")," ",""),"(",""),")",""),"+",""))</f>
      </c>
      <c r="Q97" s="6">
        <f>IF(P97="","",IF(LEN(P97)&lt;&gt;14,"ERRO: "&amp;LEN(P97)&amp;" dígitos",IF(NOT(ISNUMBER(VALUE(P97))),"ERRO: não numérico",IF(LEN(SUBSTITUTE(P97,LEFT(P97,1),""))=0,"ERRO: dígitos repetidos",IF(AND(VALUE(MID(P97,13,1))=IF(MOD(SUMPRODUCT(--MID(P97,{1,2,3,4,5,6,7,8,9,10,11,12},1),{5,4,3,2,9,8,7,6,5,4,3,2}),11)&lt;2,0,11-MOD(SUMPRODUCT(--MID(P97,{1,2,3,4,5,6,7,8,9,10,11,12},1),{5,4,3,2,9,8,7,6,5,4,3,2}),11)),VALUE(MID(P97,14,1))=IF(MOD(SUMPRODUCT(--MID(P97,{1,2,3,4,5,6,7,8,9,10,11,12,13},1),{6,5,4,3,2,9,8,7,6,5,4,3,2}),11)&lt;2,0,11-MOD(SUMPRODUCT(--MID(P97,{1,2,3,4,5,6,7,8,9,10,11,12,13},1),{6,5,4,3,2,9,8,7,6,5,4,3,2}),11))),"OK","ERRO: dígito verificador")))))</f>
      </c>
      <c r="R97" s="6">
        <f>IF(P97="","",IF(COUNTIF($P$2:$P$1001,P97)&gt;1,"DUPLICADO","OK"))</f>
      </c>
      <c r="S97" s="6">
        <f>IF(AND(J97="",K97=""),"vazio",IF(AND(OR(J97="",LEN(SUBSTITUTE(SUBSTITUTE(SUBSTITUTE(SUBSTITUTE(SUBSTITUTE(SUBSTITUTE(SUBSTITUTE(TRIM(J97),".",""),"/",""),"-","")," ",""),"(",""),")",""),"+",""))=10,LEN(SUBSTITUTE(SUBSTITUTE(SUBSTITUTE(SUBSTITUTE(SUBSTITUTE(SUBSTITUTE(SUBSTITUTE(TRIM(J97),".",""),"/",""),"-","")," ",""),"(",""),")",""),"+",""))=11),OR(K97="",LEN(SUBSTITUTE(SUBSTITUTE(SUBSTITUTE(SUBSTITUTE(SUBSTITUTE(SUBSTITUTE(SUBSTITUTE(TRIM(K97),".",""),"/",""),"-","")," ",""),"(",""),")",""),"+",""))=10,LEN(SUBSTITUTE(SUBSTITUTE(SUBSTITUTE(SUBSTITUTE(SUBSTITUTE(SUBSTITUTE(SUBSTITUTE(TRIM(K97),".",""),"/",""),"-","")," ",""),"(",""),")",""),"+",""))=11)),"OK","ERRO: use DDD + número (10 ou 11 dígitos)"))</f>
      </c>
      <c r="T97" s="6">
        <f>IF(L97="","vazio",IF(AND(ISNUMBER(FIND("@",L97)),ISNUMBER(FIND(".",MID(L97,FIND("@",L97),99))),NOT(ISNUMBER(FIND(" ",TRIM(L97)))),NOT(ISNUMBER(FIND(";",L97))),NOT(ISNUMBER(FIND(",",L97)))),"OK","ERRO: um e-mail válido por linha"))</f>
      </c>
      <c r="U97" s="6">
        <f>IF(COUNTA(A97:O97)=0,"",IF(AND(B97&lt;&gt;"",C97&lt;&gt;"",D97&lt;&gt;"",E97&lt;&gt;"",H97&lt;&gt;"",OR(J97&lt;&gt;"",L97&lt;&gt;"")),"OK","ERRO: faltam "&amp;IF(B97="","Proprietário; ","")&amp;IF(C97="","Origem; ","")&amp;IF(D97="","CNPJ; ","")&amp;IF(E97="","Razão Social; ","")&amp;IF(H97="","Sobrenome; ","")&amp;IF(AND(J97="",L97=""),"telefone ou e-mail; ","")))</f>
      </c>
      <c r="V97" s="6">
        <f>IF(COUNTA(A97:O97)=0,"",IF(AND(Q97="OK",R97="OK",LEFT(S97,4)&lt;&gt;"ERRO",LEFT(T97,4)&lt;&gt;"ERRO",U97="OK"),"OK","REVISAR"))</f>
      </c>
    </row>
    <row r="98">
      <c r="A98" s="4"/>
      <c r="B98" s="5"/>
      <c r="C98" s="5"/>
      <c r="D98" s="5"/>
      <c r="E98" s="5"/>
      <c r="F98" s="4"/>
      <c r="G98" s="4"/>
      <c r="H98" s="5"/>
      <c r="I98" s="4"/>
      <c r="J98" s="4"/>
      <c r="K98" s="4"/>
      <c r="L98" s="4"/>
      <c r="M98" s="4"/>
      <c r="N98" s="4"/>
      <c r="O98" s="4"/>
      <c r="P98" s="6">
        <f>IF(D98="","",SUBSTITUTE(SUBSTITUTE(SUBSTITUTE(SUBSTITUTE(SUBSTITUTE(SUBSTITUTE(SUBSTITUTE(TRIM(D98),".",""),"/",""),"-","")," ",""),"(",""),")",""),"+",""))</f>
      </c>
      <c r="Q98" s="6">
        <f>IF(P98="","",IF(LEN(P98)&lt;&gt;14,"ERRO: "&amp;LEN(P98)&amp;" dígitos",IF(NOT(ISNUMBER(VALUE(P98))),"ERRO: não numérico",IF(LEN(SUBSTITUTE(P98,LEFT(P98,1),""))=0,"ERRO: dígitos repetidos",IF(AND(VALUE(MID(P98,13,1))=IF(MOD(SUMPRODUCT(--MID(P98,{1,2,3,4,5,6,7,8,9,10,11,12},1),{5,4,3,2,9,8,7,6,5,4,3,2}),11)&lt;2,0,11-MOD(SUMPRODUCT(--MID(P98,{1,2,3,4,5,6,7,8,9,10,11,12},1),{5,4,3,2,9,8,7,6,5,4,3,2}),11)),VALUE(MID(P98,14,1))=IF(MOD(SUMPRODUCT(--MID(P98,{1,2,3,4,5,6,7,8,9,10,11,12,13},1),{6,5,4,3,2,9,8,7,6,5,4,3,2}),11)&lt;2,0,11-MOD(SUMPRODUCT(--MID(P98,{1,2,3,4,5,6,7,8,9,10,11,12,13},1),{6,5,4,3,2,9,8,7,6,5,4,3,2}),11))),"OK","ERRO: dígito verificador")))))</f>
      </c>
      <c r="R98" s="6">
        <f>IF(P98="","",IF(COUNTIF($P$2:$P$1001,P98)&gt;1,"DUPLICADO","OK"))</f>
      </c>
      <c r="S98" s="6">
        <f>IF(AND(J98="",K98=""),"vazio",IF(AND(OR(J98="",LEN(SUBSTITUTE(SUBSTITUTE(SUBSTITUTE(SUBSTITUTE(SUBSTITUTE(SUBSTITUTE(SUBSTITUTE(TRIM(J98),".",""),"/",""),"-","")," ",""),"(",""),")",""),"+",""))=10,LEN(SUBSTITUTE(SUBSTITUTE(SUBSTITUTE(SUBSTITUTE(SUBSTITUTE(SUBSTITUTE(SUBSTITUTE(TRIM(J98),".",""),"/",""),"-","")," ",""),"(",""),")",""),"+",""))=11),OR(K98="",LEN(SUBSTITUTE(SUBSTITUTE(SUBSTITUTE(SUBSTITUTE(SUBSTITUTE(SUBSTITUTE(SUBSTITUTE(TRIM(K98),".",""),"/",""),"-","")," ",""),"(",""),")",""),"+",""))=10,LEN(SUBSTITUTE(SUBSTITUTE(SUBSTITUTE(SUBSTITUTE(SUBSTITUTE(SUBSTITUTE(SUBSTITUTE(TRIM(K98),".",""),"/",""),"-","")," ",""),"(",""),")",""),"+",""))=11)),"OK","ERRO: use DDD + número (10 ou 11 dígitos)"))</f>
      </c>
      <c r="T98" s="6">
        <f>IF(L98="","vazio",IF(AND(ISNUMBER(FIND("@",L98)),ISNUMBER(FIND(".",MID(L98,FIND("@",L98),99))),NOT(ISNUMBER(FIND(" ",TRIM(L98)))),NOT(ISNUMBER(FIND(";",L98))),NOT(ISNUMBER(FIND(",",L98)))),"OK","ERRO: um e-mail válido por linha"))</f>
      </c>
      <c r="U98" s="6">
        <f>IF(COUNTA(A98:O98)=0,"",IF(AND(B98&lt;&gt;"",C98&lt;&gt;"",D98&lt;&gt;"",E98&lt;&gt;"",H98&lt;&gt;"",OR(J98&lt;&gt;"",L98&lt;&gt;"")),"OK","ERRO: faltam "&amp;IF(B98="","Proprietário; ","")&amp;IF(C98="","Origem; ","")&amp;IF(D98="","CNPJ; ","")&amp;IF(E98="","Razão Social; ","")&amp;IF(H98="","Sobrenome; ","")&amp;IF(AND(J98="",L98=""),"telefone ou e-mail; ","")))</f>
      </c>
      <c r="V98" s="6">
        <f>IF(COUNTA(A98:O98)=0,"",IF(AND(Q98="OK",R98="OK",LEFT(S98,4)&lt;&gt;"ERRO",LEFT(T98,4)&lt;&gt;"ERRO",U98="OK"),"OK","REVISAR"))</f>
      </c>
    </row>
    <row r="99">
      <c r="A99" s="4"/>
      <c r="B99" s="5"/>
      <c r="C99" s="5"/>
      <c r="D99" s="5"/>
      <c r="E99" s="5"/>
      <c r="F99" s="4"/>
      <c r="G99" s="4"/>
      <c r="H99" s="5"/>
      <c r="I99" s="4"/>
      <c r="J99" s="4"/>
      <c r="K99" s="4"/>
      <c r="L99" s="4"/>
      <c r="M99" s="4"/>
      <c r="N99" s="4"/>
      <c r="O99" s="4"/>
      <c r="P99" s="6">
        <f>IF(D99="","",SUBSTITUTE(SUBSTITUTE(SUBSTITUTE(SUBSTITUTE(SUBSTITUTE(SUBSTITUTE(SUBSTITUTE(TRIM(D99),".",""),"/",""),"-","")," ",""),"(",""),")",""),"+",""))</f>
      </c>
      <c r="Q99" s="6">
        <f>IF(P99="","",IF(LEN(P99)&lt;&gt;14,"ERRO: "&amp;LEN(P99)&amp;" dígitos",IF(NOT(ISNUMBER(VALUE(P99))),"ERRO: não numérico",IF(LEN(SUBSTITUTE(P99,LEFT(P99,1),""))=0,"ERRO: dígitos repetidos",IF(AND(VALUE(MID(P99,13,1))=IF(MOD(SUMPRODUCT(--MID(P99,{1,2,3,4,5,6,7,8,9,10,11,12},1),{5,4,3,2,9,8,7,6,5,4,3,2}),11)&lt;2,0,11-MOD(SUMPRODUCT(--MID(P99,{1,2,3,4,5,6,7,8,9,10,11,12},1),{5,4,3,2,9,8,7,6,5,4,3,2}),11)),VALUE(MID(P99,14,1))=IF(MOD(SUMPRODUCT(--MID(P99,{1,2,3,4,5,6,7,8,9,10,11,12,13},1),{6,5,4,3,2,9,8,7,6,5,4,3,2}),11)&lt;2,0,11-MOD(SUMPRODUCT(--MID(P99,{1,2,3,4,5,6,7,8,9,10,11,12,13},1),{6,5,4,3,2,9,8,7,6,5,4,3,2}),11))),"OK","ERRO: dígito verificador")))))</f>
      </c>
      <c r="R99" s="6">
        <f>IF(P99="","",IF(COUNTIF($P$2:$P$1001,P99)&gt;1,"DUPLICADO","OK"))</f>
      </c>
      <c r="S99" s="6">
        <f>IF(AND(J99="",K99=""),"vazio",IF(AND(OR(J99="",LEN(SUBSTITUTE(SUBSTITUTE(SUBSTITUTE(SUBSTITUTE(SUBSTITUTE(SUBSTITUTE(SUBSTITUTE(TRIM(J99),".",""),"/",""),"-","")," ",""),"(",""),")",""),"+",""))=10,LEN(SUBSTITUTE(SUBSTITUTE(SUBSTITUTE(SUBSTITUTE(SUBSTITUTE(SUBSTITUTE(SUBSTITUTE(TRIM(J99),".",""),"/",""),"-","")," ",""),"(",""),")",""),"+",""))=11),OR(K99="",LEN(SUBSTITUTE(SUBSTITUTE(SUBSTITUTE(SUBSTITUTE(SUBSTITUTE(SUBSTITUTE(SUBSTITUTE(TRIM(K99),".",""),"/",""),"-","")," ",""),"(",""),")",""),"+",""))=10,LEN(SUBSTITUTE(SUBSTITUTE(SUBSTITUTE(SUBSTITUTE(SUBSTITUTE(SUBSTITUTE(SUBSTITUTE(TRIM(K99),".",""),"/",""),"-","")," ",""),"(",""),")",""),"+",""))=11)),"OK","ERRO: use DDD + número (10 ou 11 dígitos)"))</f>
      </c>
      <c r="T99" s="6">
        <f>IF(L99="","vazio",IF(AND(ISNUMBER(FIND("@",L99)),ISNUMBER(FIND(".",MID(L99,FIND("@",L99),99))),NOT(ISNUMBER(FIND(" ",TRIM(L99)))),NOT(ISNUMBER(FIND(";",L99))),NOT(ISNUMBER(FIND(",",L99)))),"OK","ERRO: um e-mail válido por linha"))</f>
      </c>
      <c r="U99" s="6">
        <f>IF(COUNTA(A99:O99)=0,"",IF(AND(B99&lt;&gt;"",C99&lt;&gt;"",D99&lt;&gt;"",E99&lt;&gt;"",H99&lt;&gt;"",OR(J99&lt;&gt;"",L99&lt;&gt;"")),"OK","ERRO: faltam "&amp;IF(B99="","Proprietário; ","")&amp;IF(C99="","Origem; ","")&amp;IF(D99="","CNPJ; ","")&amp;IF(E99="","Razão Social; ","")&amp;IF(H99="","Sobrenome; ","")&amp;IF(AND(J99="",L99=""),"telefone ou e-mail; ","")))</f>
      </c>
      <c r="V99" s="6">
        <f>IF(COUNTA(A99:O99)=0,"",IF(AND(Q99="OK",R99="OK",LEFT(S99,4)&lt;&gt;"ERRO",LEFT(T99,4)&lt;&gt;"ERRO",U99="OK"),"OK","REVISAR"))</f>
      </c>
    </row>
    <row r="100">
      <c r="A100" s="4"/>
      <c r="B100" s="5"/>
      <c r="C100" s="5"/>
      <c r="D100" s="5"/>
      <c r="E100" s="5"/>
      <c r="F100" s="4"/>
      <c r="G100" s="4"/>
      <c r="H100" s="5"/>
      <c r="I100" s="4"/>
      <c r="J100" s="4"/>
      <c r="K100" s="4"/>
      <c r="L100" s="4"/>
      <c r="M100" s="4"/>
      <c r="N100" s="4"/>
      <c r="O100" s="4"/>
      <c r="P100" s="6">
        <f>IF(D100="","",SUBSTITUTE(SUBSTITUTE(SUBSTITUTE(SUBSTITUTE(SUBSTITUTE(SUBSTITUTE(SUBSTITUTE(TRIM(D100),".",""),"/",""),"-","")," ",""),"(",""),")",""),"+",""))</f>
      </c>
      <c r="Q100" s="6">
        <f>IF(P100="","",IF(LEN(P100)&lt;&gt;14,"ERRO: "&amp;LEN(P100)&amp;" dígitos",IF(NOT(ISNUMBER(VALUE(P100))),"ERRO: não numérico",IF(LEN(SUBSTITUTE(P100,LEFT(P100,1),""))=0,"ERRO: dígitos repetidos",IF(AND(VALUE(MID(P100,13,1))=IF(MOD(SUMPRODUCT(--MID(P100,{1,2,3,4,5,6,7,8,9,10,11,12},1),{5,4,3,2,9,8,7,6,5,4,3,2}),11)&lt;2,0,11-MOD(SUMPRODUCT(--MID(P100,{1,2,3,4,5,6,7,8,9,10,11,12},1),{5,4,3,2,9,8,7,6,5,4,3,2}),11)),VALUE(MID(P100,14,1))=IF(MOD(SUMPRODUCT(--MID(P100,{1,2,3,4,5,6,7,8,9,10,11,12,13},1),{6,5,4,3,2,9,8,7,6,5,4,3,2}),11)&lt;2,0,11-MOD(SUMPRODUCT(--MID(P100,{1,2,3,4,5,6,7,8,9,10,11,12,13},1),{6,5,4,3,2,9,8,7,6,5,4,3,2}),11))),"OK","ERRO: dígito verificador")))))</f>
      </c>
      <c r="R100" s="6">
        <f>IF(P100="","",IF(COUNTIF($P$2:$P$1001,P100)&gt;1,"DUPLICADO","OK"))</f>
      </c>
      <c r="S100" s="6">
        <f>IF(AND(J100="",K100=""),"vazio",IF(AND(OR(J100="",LEN(SUBSTITUTE(SUBSTITUTE(SUBSTITUTE(SUBSTITUTE(SUBSTITUTE(SUBSTITUTE(SUBSTITUTE(TRIM(J100),".",""),"/",""),"-","")," ",""),"(",""),")",""),"+",""))=10,LEN(SUBSTITUTE(SUBSTITUTE(SUBSTITUTE(SUBSTITUTE(SUBSTITUTE(SUBSTITUTE(SUBSTITUTE(TRIM(J100),".",""),"/",""),"-","")," ",""),"(",""),")",""),"+",""))=11),OR(K100="",LEN(SUBSTITUTE(SUBSTITUTE(SUBSTITUTE(SUBSTITUTE(SUBSTITUTE(SUBSTITUTE(SUBSTITUTE(TRIM(K100),".",""),"/",""),"-","")," ",""),"(",""),")",""),"+",""))=10,LEN(SUBSTITUTE(SUBSTITUTE(SUBSTITUTE(SUBSTITUTE(SUBSTITUTE(SUBSTITUTE(SUBSTITUTE(TRIM(K100),".",""),"/",""),"-","")," ",""),"(",""),")",""),"+",""))=11)),"OK","ERRO: use DDD + número (10 ou 11 dígitos)"))</f>
      </c>
      <c r="T100" s="6">
        <f>IF(L100="","vazio",IF(AND(ISNUMBER(FIND("@",L100)),ISNUMBER(FIND(".",MID(L100,FIND("@",L100),99))),NOT(ISNUMBER(FIND(" ",TRIM(L100)))),NOT(ISNUMBER(FIND(";",L100))),NOT(ISNUMBER(FIND(",",L100)))),"OK","ERRO: um e-mail válido por linha"))</f>
      </c>
      <c r="U100" s="6">
        <f>IF(COUNTA(A100:O100)=0,"",IF(AND(B100&lt;&gt;"",C100&lt;&gt;"",D100&lt;&gt;"",E100&lt;&gt;"",H100&lt;&gt;"",OR(J100&lt;&gt;"",L100&lt;&gt;"")),"OK","ERRO: faltam "&amp;IF(B100="","Proprietário; ","")&amp;IF(C100="","Origem; ","")&amp;IF(D100="","CNPJ; ","")&amp;IF(E100="","Razão Social; ","")&amp;IF(H100="","Sobrenome; ","")&amp;IF(AND(J100="",L100=""),"telefone ou e-mail; ","")))</f>
      </c>
      <c r="V100" s="6">
        <f>IF(COUNTA(A100:O100)=0,"",IF(AND(Q100="OK",R100="OK",LEFT(S100,4)&lt;&gt;"ERRO",LEFT(T100,4)&lt;&gt;"ERRO",U100="OK"),"OK","REVISAR"))</f>
      </c>
    </row>
    <row r="101">
      <c r="A101" s="4"/>
      <c r="B101" s="5"/>
      <c r="C101" s="5"/>
      <c r="D101" s="5"/>
      <c r="E101" s="5"/>
      <c r="F101" s="4"/>
      <c r="G101" s="4"/>
      <c r="H101" s="5"/>
      <c r="I101" s="4"/>
      <c r="J101" s="4"/>
      <c r="K101" s="4"/>
      <c r="L101" s="4"/>
      <c r="M101" s="4"/>
      <c r="N101" s="4"/>
      <c r="O101" s="4"/>
      <c r="P101" s="6">
        <f>IF(D101="","",SUBSTITUTE(SUBSTITUTE(SUBSTITUTE(SUBSTITUTE(SUBSTITUTE(SUBSTITUTE(SUBSTITUTE(TRIM(D101),".",""),"/",""),"-","")," ",""),"(",""),")",""),"+",""))</f>
      </c>
      <c r="Q101" s="6">
        <f>IF(P101="","",IF(LEN(P101)&lt;&gt;14,"ERRO: "&amp;LEN(P101)&amp;" dígitos",IF(NOT(ISNUMBER(VALUE(P101))),"ERRO: não numérico",IF(LEN(SUBSTITUTE(P101,LEFT(P101,1),""))=0,"ERRO: dígitos repetidos",IF(AND(VALUE(MID(P101,13,1))=IF(MOD(SUMPRODUCT(--MID(P101,{1,2,3,4,5,6,7,8,9,10,11,12},1),{5,4,3,2,9,8,7,6,5,4,3,2}),11)&lt;2,0,11-MOD(SUMPRODUCT(--MID(P101,{1,2,3,4,5,6,7,8,9,10,11,12},1),{5,4,3,2,9,8,7,6,5,4,3,2}),11)),VALUE(MID(P101,14,1))=IF(MOD(SUMPRODUCT(--MID(P101,{1,2,3,4,5,6,7,8,9,10,11,12,13},1),{6,5,4,3,2,9,8,7,6,5,4,3,2}),11)&lt;2,0,11-MOD(SUMPRODUCT(--MID(P101,{1,2,3,4,5,6,7,8,9,10,11,12,13},1),{6,5,4,3,2,9,8,7,6,5,4,3,2}),11))),"OK","ERRO: dígito verificador")))))</f>
      </c>
      <c r="R101" s="6">
        <f>IF(P101="","",IF(COUNTIF($P$2:$P$1001,P101)&gt;1,"DUPLICADO","OK"))</f>
      </c>
      <c r="S101" s="6">
        <f>IF(AND(J101="",K101=""),"vazio",IF(AND(OR(J101="",LEN(SUBSTITUTE(SUBSTITUTE(SUBSTITUTE(SUBSTITUTE(SUBSTITUTE(SUBSTITUTE(SUBSTITUTE(TRIM(J101),".",""),"/",""),"-","")," ",""),"(",""),")",""),"+",""))=10,LEN(SUBSTITUTE(SUBSTITUTE(SUBSTITUTE(SUBSTITUTE(SUBSTITUTE(SUBSTITUTE(SUBSTITUTE(TRIM(J101),".",""),"/",""),"-","")," ",""),"(",""),")",""),"+",""))=11),OR(K101="",LEN(SUBSTITUTE(SUBSTITUTE(SUBSTITUTE(SUBSTITUTE(SUBSTITUTE(SUBSTITUTE(SUBSTITUTE(TRIM(K101),".",""),"/",""),"-","")," ",""),"(",""),")",""),"+",""))=10,LEN(SUBSTITUTE(SUBSTITUTE(SUBSTITUTE(SUBSTITUTE(SUBSTITUTE(SUBSTITUTE(SUBSTITUTE(TRIM(K101),".",""),"/",""),"-","")," ",""),"(",""),")",""),"+",""))=11)),"OK","ERRO: use DDD + número (10 ou 11 dígitos)"))</f>
      </c>
      <c r="T101" s="6">
        <f>IF(L101="","vazio",IF(AND(ISNUMBER(FIND("@",L101)),ISNUMBER(FIND(".",MID(L101,FIND("@",L101),99))),NOT(ISNUMBER(FIND(" ",TRIM(L101)))),NOT(ISNUMBER(FIND(";",L101))),NOT(ISNUMBER(FIND(",",L101)))),"OK","ERRO: um e-mail válido por linha"))</f>
      </c>
      <c r="U101" s="6">
        <f>IF(COUNTA(A101:O101)=0,"",IF(AND(B101&lt;&gt;"",C101&lt;&gt;"",D101&lt;&gt;"",E101&lt;&gt;"",H101&lt;&gt;"",OR(J101&lt;&gt;"",L101&lt;&gt;"")),"OK","ERRO: faltam "&amp;IF(B101="","Proprietário; ","")&amp;IF(C101="","Origem; ","")&amp;IF(D101="","CNPJ; ","")&amp;IF(E101="","Razão Social; ","")&amp;IF(H101="","Sobrenome; ","")&amp;IF(AND(J101="",L101=""),"telefone ou e-mail; ","")))</f>
      </c>
      <c r="V101" s="6">
        <f>IF(COUNTA(A101:O101)=0,"",IF(AND(Q101="OK",R101="OK",LEFT(S101,4)&lt;&gt;"ERRO",LEFT(T101,4)&lt;&gt;"ERRO",U101="OK"),"OK","REVISAR"))</f>
      </c>
    </row>
    <row r="102">
      <c r="A102" s="4"/>
      <c r="B102" s="5"/>
      <c r="C102" s="5"/>
      <c r="D102" s="5"/>
      <c r="E102" s="5"/>
      <c r="F102" s="4"/>
      <c r="G102" s="4"/>
      <c r="H102" s="5"/>
      <c r="I102" s="4"/>
      <c r="J102" s="4"/>
      <c r="K102" s="4"/>
      <c r="L102" s="4"/>
      <c r="M102" s="4"/>
      <c r="N102" s="4"/>
      <c r="O102" s="4"/>
      <c r="P102" s="6">
        <f>IF(D102="","",SUBSTITUTE(SUBSTITUTE(SUBSTITUTE(SUBSTITUTE(SUBSTITUTE(SUBSTITUTE(SUBSTITUTE(TRIM(D102),".",""),"/",""),"-","")," ",""),"(",""),")",""),"+",""))</f>
      </c>
      <c r="Q102" s="6">
        <f>IF(P102="","",IF(LEN(P102)&lt;&gt;14,"ERRO: "&amp;LEN(P102)&amp;" dígitos",IF(NOT(ISNUMBER(VALUE(P102))),"ERRO: não numérico",IF(LEN(SUBSTITUTE(P102,LEFT(P102,1),""))=0,"ERRO: dígitos repetidos",IF(AND(VALUE(MID(P102,13,1))=IF(MOD(SUMPRODUCT(--MID(P102,{1,2,3,4,5,6,7,8,9,10,11,12},1),{5,4,3,2,9,8,7,6,5,4,3,2}),11)&lt;2,0,11-MOD(SUMPRODUCT(--MID(P102,{1,2,3,4,5,6,7,8,9,10,11,12},1),{5,4,3,2,9,8,7,6,5,4,3,2}),11)),VALUE(MID(P102,14,1))=IF(MOD(SUMPRODUCT(--MID(P102,{1,2,3,4,5,6,7,8,9,10,11,12,13},1),{6,5,4,3,2,9,8,7,6,5,4,3,2}),11)&lt;2,0,11-MOD(SUMPRODUCT(--MID(P102,{1,2,3,4,5,6,7,8,9,10,11,12,13},1),{6,5,4,3,2,9,8,7,6,5,4,3,2}),11))),"OK","ERRO: dígito verificador")))))</f>
      </c>
      <c r="R102" s="6">
        <f>IF(P102="","",IF(COUNTIF($P$2:$P$1001,P102)&gt;1,"DUPLICADO","OK"))</f>
      </c>
      <c r="S102" s="6">
        <f>IF(AND(J102="",K102=""),"vazio",IF(AND(OR(J102="",LEN(SUBSTITUTE(SUBSTITUTE(SUBSTITUTE(SUBSTITUTE(SUBSTITUTE(SUBSTITUTE(SUBSTITUTE(TRIM(J102),".",""),"/",""),"-","")," ",""),"(",""),")",""),"+",""))=10,LEN(SUBSTITUTE(SUBSTITUTE(SUBSTITUTE(SUBSTITUTE(SUBSTITUTE(SUBSTITUTE(SUBSTITUTE(TRIM(J102),".",""),"/",""),"-","")," ",""),"(",""),")",""),"+",""))=11),OR(K102="",LEN(SUBSTITUTE(SUBSTITUTE(SUBSTITUTE(SUBSTITUTE(SUBSTITUTE(SUBSTITUTE(SUBSTITUTE(TRIM(K102),".",""),"/",""),"-","")," ",""),"(",""),")",""),"+",""))=10,LEN(SUBSTITUTE(SUBSTITUTE(SUBSTITUTE(SUBSTITUTE(SUBSTITUTE(SUBSTITUTE(SUBSTITUTE(TRIM(K102),".",""),"/",""),"-","")," ",""),"(",""),")",""),"+",""))=11)),"OK","ERRO: use DDD + número (10 ou 11 dígitos)"))</f>
      </c>
      <c r="T102" s="6">
        <f>IF(L102="","vazio",IF(AND(ISNUMBER(FIND("@",L102)),ISNUMBER(FIND(".",MID(L102,FIND("@",L102),99))),NOT(ISNUMBER(FIND(" ",TRIM(L102)))),NOT(ISNUMBER(FIND(";",L102))),NOT(ISNUMBER(FIND(",",L102)))),"OK","ERRO: um e-mail válido por linha"))</f>
      </c>
      <c r="U102" s="6">
        <f>IF(COUNTA(A102:O102)=0,"",IF(AND(B102&lt;&gt;"",C102&lt;&gt;"",D102&lt;&gt;"",E102&lt;&gt;"",H102&lt;&gt;"",OR(J102&lt;&gt;"",L102&lt;&gt;"")),"OK","ERRO: faltam "&amp;IF(B102="","Proprietário; ","")&amp;IF(C102="","Origem; ","")&amp;IF(D102="","CNPJ; ","")&amp;IF(E102="","Razão Social; ","")&amp;IF(H102="","Sobrenome; ","")&amp;IF(AND(J102="",L102=""),"telefone ou e-mail; ","")))</f>
      </c>
      <c r="V102" s="6">
        <f>IF(COUNTA(A102:O102)=0,"",IF(AND(Q102="OK",R102="OK",LEFT(S102,4)&lt;&gt;"ERRO",LEFT(T102,4)&lt;&gt;"ERRO",U102="OK"),"OK","REVISAR"))</f>
      </c>
    </row>
    <row r="103">
      <c r="A103" s="4"/>
      <c r="B103" s="5"/>
      <c r="C103" s="5"/>
      <c r="D103" s="5"/>
      <c r="E103" s="5"/>
      <c r="F103" s="4"/>
      <c r="G103" s="4"/>
      <c r="H103" s="5"/>
      <c r="I103" s="4"/>
      <c r="J103" s="4"/>
      <c r="K103" s="4"/>
      <c r="L103" s="4"/>
      <c r="M103" s="4"/>
      <c r="N103" s="4"/>
      <c r="O103" s="4"/>
      <c r="P103" s="6">
        <f>IF(D103="","",SUBSTITUTE(SUBSTITUTE(SUBSTITUTE(SUBSTITUTE(SUBSTITUTE(SUBSTITUTE(SUBSTITUTE(TRIM(D103),".",""),"/",""),"-","")," ",""),"(",""),")",""),"+",""))</f>
      </c>
      <c r="Q103" s="6">
        <f>IF(P103="","",IF(LEN(P103)&lt;&gt;14,"ERRO: "&amp;LEN(P103)&amp;" dígitos",IF(NOT(ISNUMBER(VALUE(P103))),"ERRO: não numérico",IF(LEN(SUBSTITUTE(P103,LEFT(P103,1),""))=0,"ERRO: dígitos repetidos",IF(AND(VALUE(MID(P103,13,1))=IF(MOD(SUMPRODUCT(--MID(P103,{1,2,3,4,5,6,7,8,9,10,11,12},1),{5,4,3,2,9,8,7,6,5,4,3,2}),11)&lt;2,0,11-MOD(SUMPRODUCT(--MID(P103,{1,2,3,4,5,6,7,8,9,10,11,12},1),{5,4,3,2,9,8,7,6,5,4,3,2}),11)),VALUE(MID(P103,14,1))=IF(MOD(SUMPRODUCT(--MID(P103,{1,2,3,4,5,6,7,8,9,10,11,12,13},1),{6,5,4,3,2,9,8,7,6,5,4,3,2}),11)&lt;2,0,11-MOD(SUMPRODUCT(--MID(P103,{1,2,3,4,5,6,7,8,9,10,11,12,13},1),{6,5,4,3,2,9,8,7,6,5,4,3,2}),11))),"OK","ERRO: dígito verificador")))))</f>
      </c>
      <c r="R103" s="6">
        <f>IF(P103="","",IF(COUNTIF($P$2:$P$1001,P103)&gt;1,"DUPLICADO","OK"))</f>
      </c>
      <c r="S103" s="6">
        <f>IF(AND(J103="",K103=""),"vazio",IF(AND(OR(J103="",LEN(SUBSTITUTE(SUBSTITUTE(SUBSTITUTE(SUBSTITUTE(SUBSTITUTE(SUBSTITUTE(SUBSTITUTE(TRIM(J103),".",""),"/",""),"-","")," ",""),"(",""),")",""),"+",""))=10,LEN(SUBSTITUTE(SUBSTITUTE(SUBSTITUTE(SUBSTITUTE(SUBSTITUTE(SUBSTITUTE(SUBSTITUTE(TRIM(J103),".",""),"/",""),"-","")," ",""),"(",""),")",""),"+",""))=11),OR(K103="",LEN(SUBSTITUTE(SUBSTITUTE(SUBSTITUTE(SUBSTITUTE(SUBSTITUTE(SUBSTITUTE(SUBSTITUTE(TRIM(K103),".",""),"/",""),"-","")," ",""),"(",""),")",""),"+",""))=10,LEN(SUBSTITUTE(SUBSTITUTE(SUBSTITUTE(SUBSTITUTE(SUBSTITUTE(SUBSTITUTE(SUBSTITUTE(TRIM(K103),".",""),"/",""),"-","")," ",""),"(",""),")",""),"+",""))=11)),"OK","ERRO: use DDD + número (10 ou 11 dígitos)"))</f>
      </c>
      <c r="T103" s="6">
        <f>IF(L103="","vazio",IF(AND(ISNUMBER(FIND("@",L103)),ISNUMBER(FIND(".",MID(L103,FIND("@",L103),99))),NOT(ISNUMBER(FIND(" ",TRIM(L103)))),NOT(ISNUMBER(FIND(";",L103))),NOT(ISNUMBER(FIND(",",L103)))),"OK","ERRO: um e-mail válido por linha"))</f>
      </c>
      <c r="U103" s="6">
        <f>IF(COUNTA(A103:O103)=0,"",IF(AND(B103&lt;&gt;"",C103&lt;&gt;"",D103&lt;&gt;"",E103&lt;&gt;"",H103&lt;&gt;"",OR(J103&lt;&gt;"",L103&lt;&gt;"")),"OK","ERRO: faltam "&amp;IF(B103="","Proprietário; ","")&amp;IF(C103="","Origem; ","")&amp;IF(D103="","CNPJ; ","")&amp;IF(E103="","Razão Social; ","")&amp;IF(H103="","Sobrenome; ","")&amp;IF(AND(J103="",L103=""),"telefone ou e-mail; ","")))</f>
      </c>
      <c r="V103" s="6">
        <f>IF(COUNTA(A103:O103)=0,"",IF(AND(Q103="OK",R103="OK",LEFT(S103,4)&lt;&gt;"ERRO",LEFT(T103,4)&lt;&gt;"ERRO",U103="OK"),"OK","REVISAR"))</f>
      </c>
    </row>
    <row r="104">
      <c r="A104" s="4"/>
      <c r="B104" s="5"/>
      <c r="C104" s="5"/>
      <c r="D104" s="5"/>
      <c r="E104" s="5"/>
      <c r="F104" s="4"/>
      <c r="G104" s="4"/>
      <c r="H104" s="5"/>
      <c r="I104" s="4"/>
      <c r="J104" s="4"/>
      <c r="K104" s="4"/>
      <c r="L104" s="4"/>
      <c r="M104" s="4"/>
      <c r="N104" s="4"/>
      <c r="O104" s="4"/>
      <c r="P104" s="6">
        <f>IF(D104="","",SUBSTITUTE(SUBSTITUTE(SUBSTITUTE(SUBSTITUTE(SUBSTITUTE(SUBSTITUTE(SUBSTITUTE(TRIM(D104),".",""),"/",""),"-","")," ",""),"(",""),")",""),"+",""))</f>
      </c>
      <c r="Q104" s="6">
        <f>IF(P104="","",IF(LEN(P104)&lt;&gt;14,"ERRO: "&amp;LEN(P104)&amp;" dígitos",IF(NOT(ISNUMBER(VALUE(P104))),"ERRO: não numérico",IF(LEN(SUBSTITUTE(P104,LEFT(P104,1),""))=0,"ERRO: dígitos repetidos",IF(AND(VALUE(MID(P104,13,1))=IF(MOD(SUMPRODUCT(--MID(P104,{1,2,3,4,5,6,7,8,9,10,11,12},1),{5,4,3,2,9,8,7,6,5,4,3,2}),11)&lt;2,0,11-MOD(SUMPRODUCT(--MID(P104,{1,2,3,4,5,6,7,8,9,10,11,12},1),{5,4,3,2,9,8,7,6,5,4,3,2}),11)),VALUE(MID(P104,14,1))=IF(MOD(SUMPRODUCT(--MID(P104,{1,2,3,4,5,6,7,8,9,10,11,12,13},1),{6,5,4,3,2,9,8,7,6,5,4,3,2}),11)&lt;2,0,11-MOD(SUMPRODUCT(--MID(P104,{1,2,3,4,5,6,7,8,9,10,11,12,13},1),{6,5,4,3,2,9,8,7,6,5,4,3,2}),11))),"OK","ERRO: dígito verificador")))))</f>
      </c>
      <c r="R104" s="6">
        <f>IF(P104="","",IF(COUNTIF($P$2:$P$1001,P104)&gt;1,"DUPLICADO","OK"))</f>
      </c>
      <c r="S104" s="6">
        <f>IF(AND(J104="",K104=""),"vazio",IF(AND(OR(J104="",LEN(SUBSTITUTE(SUBSTITUTE(SUBSTITUTE(SUBSTITUTE(SUBSTITUTE(SUBSTITUTE(SUBSTITUTE(TRIM(J104),".",""),"/",""),"-","")," ",""),"(",""),")",""),"+",""))=10,LEN(SUBSTITUTE(SUBSTITUTE(SUBSTITUTE(SUBSTITUTE(SUBSTITUTE(SUBSTITUTE(SUBSTITUTE(TRIM(J104),".",""),"/",""),"-","")," ",""),"(",""),")",""),"+",""))=11),OR(K104="",LEN(SUBSTITUTE(SUBSTITUTE(SUBSTITUTE(SUBSTITUTE(SUBSTITUTE(SUBSTITUTE(SUBSTITUTE(TRIM(K104),".",""),"/",""),"-","")," ",""),"(",""),")",""),"+",""))=10,LEN(SUBSTITUTE(SUBSTITUTE(SUBSTITUTE(SUBSTITUTE(SUBSTITUTE(SUBSTITUTE(SUBSTITUTE(TRIM(K104),".",""),"/",""),"-","")," ",""),"(",""),")",""),"+",""))=11)),"OK","ERRO: use DDD + número (10 ou 11 dígitos)"))</f>
      </c>
      <c r="T104" s="6">
        <f>IF(L104="","vazio",IF(AND(ISNUMBER(FIND("@",L104)),ISNUMBER(FIND(".",MID(L104,FIND("@",L104),99))),NOT(ISNUMBER(FIND(" ",TRIM(L104)))),NOT(ISNUMBER(FIND(";",L104))),NOT(ISNUMBER(FIND(",",L104)))),"OK","ERRO: um e-mail válido por linha"))</f>
      </c>
      <c r="U104" s="6">
        <f>IF(COUNTA(A104:O104)=0,"",IF(AND(B104&lt;&gt;"",C104&lt;&gt;"",D104&lt;&gt;"",E104&lt;&gt;"",H104&lt;&gt;"",OR(J104&lt;&gt;"",L104&lt;&gt;"")),"OK","ERRO: faltam "&amp;IF(B104="","Proprietário; ","")&amp;IF(C104="","Origem; ","")&amp;IF(D104="","CNPJ; ","")&amp;IF(E104="","Razão Social; ","")&amp;IF(H104="","Sobrenome; ","")&amp;IF(AND(J104="",L104=""),"telefone ou e-mail; ","")))</f>
      </c>
      <c r="V104" s="6">
        <f>IF(COUNTA(A104:O104)=0,"",IF(AND(Q104="OK",R104="OK",LEFT(S104,4)&lt;&gt;"ERRO",LEFT(T104,4)&lt;&gt;"ERRO",U104="OK"),"OK","REVISAR"))</f>
      </c>
    </row>
    <row r="105">
      <c r="A105" s="4"/>
      <c r="B105" s="5"/>
      <c r="C105" s="5"/>
      <c r="D105" s="5"/>
      <c r="E105" s="5"/>
      <c r="F105" s="4"/>
      <c r="G105" s="4"/>
      <c r="H105" s="5"/>
      <c r="I105" s="4"/>
      <c r="J105" s="4"/>
      <c r="K105" s="4"/>
      <c r="L105" s="4"/>
      <c r="M105" s="4"/>
      <c r="N105" s="4"/>
      <c r="O105" s="4"/>
      <c r="P105" s="6">
        <f>IF(D105="","",SUBSTITUTE(SUBSTITUTE(SUBSTITUTE(SUBSTITUTE(SUBSTITUTE(SUBSTITUTE(SUBSTITUTE(TRIM(D105),".",""),"/",""),"-","")," ",""),"(",""),")",""),"+",""))</f>
      </c>
      <c r="Q105" s="6">
        <f>IF(P105="","",IF(LEN(P105)&lt;&gt;14,"ERRO: "&amp;LEN(P105)&amp;" dígitos",IF(NOT(ISNUMBER(VALUE(P105))),"ERRO: não numérico",IF(LEN(SUBSTITUTE(P105,LEFT(P105,1),""))=0,"ERRO: dígitos repetidos",IF(AND(VALUE(MID(P105,13,1))=IF(MOD(SUMPRODUCT(--MID(P105,{1,2,3,4,5,6,7,8,9,10,11,12},1),{5,4,3,2,9,8,7,6,5,4,3,2}),11)&lt;2,0,11-MOD(SUMPRODUCT(--MID(P105,{1,2,3,4,5,6,7,8,9,10,11,12},1),{5,4,3,2,9,8,7,6,5,4,3,2}),11)),VALUE(MID(P105,14,1))=IF(MOD(SUMPRODUCT(--MID(P105,{1,2,3,4,5,6,7,8,9,10,11,12,13},1),{6,5,4,3,2,9,8,7,6,5,4,3,2}),11)&lt;2,0,11-MOD(SUMPRODUCT(--MID(P105,{1,2,3,4,5,6,7,8,9,10,11,12,13},1),{6,5,4,3,2,9,8,7,6,5,4,3,2}),11))),"OK","ERRO: dígito verificador")))))</f>
      </c>
      <c r="R105" s="6">
        <f>IF(P105="","",IF(COUNTIF($P$2:$P$1001,P105)&gt;1,"DUPLICADO","OK"))</f>
      </c>
      <c r="S105" s="6">
        <f>IF(AND(J105="",K105=""),"vazio",IF(AND(OR(J105="",LEN(SUBSTITUTE(SUBSTITUTE(SUBSTITUTE(SUBSTITUTE(SUBSTITUTE(SUBSTITUTE(SUBSTITUTE(TRIM(J105),".",""),"/",""),"-","")," ",""),"(",""),")",""),"+",""))=10,LEN(SUBSTITUTE(SUBSTITUTE(SUBSTITUTE(SUBSTITUTE(SUBSTITUTE(SUBSTITUTE(SUBSTITUTE(TRIM(J105),".",""),"/",""),"-","")," ",""),"(",""),")",""),"+",""))=11),OR(K105="",LEN(SUBSTITUTE(SUBSTITUTE(SUBSTITUTE(SUBSTITUTE(SUBSTITUTE(SUBSTITUTE(SUBSTITUTE(TRIM(K105),".",""),"/",""),"-","")," ",""),"(",""),")",""),"+",""))=10,LEN(SUBSTITUTE(SUBSTITUTE(SUBSTITUTE(SUBSTITUTE(SUBSTITUTE(SUBSTITUTE(SUBSTITUTE(TRIM(K105),".",""),"/",""),"-","")," ",""),"(",""),")",""),"+",""))=11)),"OK","ERRO: use DDD + número (10 ou 11 dígitos)"))</f>
      </c>
      <c r="T105" s="6">
        <f>IF(L105="","vazio",IF(AND(ISNUMBER(FIND("@",L105)),ISNUMBER(FIND(".",MID(L105,FIND("@",L105),99))),NOT(ISNUMBER(FIND(" ",TRIM(L105)))),NOT(ISNUMBER(FIND(";",L105))),NOT(ISNUMBER(FIND(",",L105)))),"OK","ERRO: um e-mail válido por linha"))</f>
      </c>
      <c r="U105" s="6">
        <f>IF(COUNTA(A105:O105)=0,"",IF(AND(B105&lt;&gt;"",C105&lt;&gt;"",D105&lt;&gt;"",E105&lt;&gt;"",H105&lt;&gt;"",OR(J105&lt;&gt;"",L105&lt;&gt;"")),"OK","ERRO: faltam "&amp;IF(B105="","Proprietário; ","")&amp;IF(C105="","Origem; ","")&amp;IF(D105="","CNPJ; ","")&amp;IF(E105="","Razão Social; ","")&amp;IF(H105="","Sobrenome; ","")&amp;IF(AND(J105="",L105=""),"telefone ou e-mail; ","")))</f>
      </c>
      <c r="V105" s="6">
        <f>IF(COUNTA(A105:O105)=0,"",IF(AND(Q105="OK",R105="OK",LEFT(S105,4)&lt;&gt;"ERRO",LEFT(T105,4)&lt;&gt;"ERRO",U105="OK"),"OK","REVISAR"))</f>
      </c>
    </row>
    <row r="106">
      <c r="A106" s="4"/>
      <c r="B106" s="5"/>
      <c r="C106" s="5"/>
      <c r="D106" s="5"/>
      <c r="E106" s="5"/>
      <c r="F106" s="4"/>
      <c r="G106" s="4"/>
      <c r="H106" s="5"/>
      <c r="I106" s="4"/>
      <c r="J106" s="4"/>
      <c r="K106" s="4"/>
      <c r="L106" s="4"/>
      <c r="M106" s="4"/>
      <c r="N106" s="4"/>
      <c r="O106" s="4"/>
      <c r="P106" s="6">
        <f>IF(D106="","",SUBSTITUTE(SUBSTITUTE(SUBSTITUTE(SUBSTITUTE(SUBSTITUTE(SUBSTITUTE(SUBSTITUTE(TRIM(D106),".",""),"/",""),"-","")," ",""),"(",""),")",""),"+",""))</f>
      </c>
      <c r="Q106" s="6">
        <f>IF(P106="","",IF(LEN(P106)&lt;&gt;14,"ERRO: "&amp;LEN(P106)&amp;" dígitos",IF(NOT(ISNUMBER(VALUE(P106))),"ERRO: não numérico",IF(LEN(SUBSTITUTE(P106,LEFT(P106,1),""))=0,"ERRO: dígitos repetidos",IF(AND(VALUE(MID(P106,13,1))=IF(MOD(SUMPRODUCT(--MID(P106,{1,2,3,4,5,6,7,8,9,10,11,12},1),{5,4,3,2,9,8,7,6,5,4,3,2}),11)&lt;2,0,11-MOD(SUMPRODUCT(--MID(P106,{1,2,3,4,5,6,7,8,9,10,11,12},1),{5,4,3,2,9,8,7,6,5,4,3,2}),11)),VALUE(MID(P106,14,1))=IF(MOD(SUMPRODUCT(--MID(P106,{1,2,3,4,5,6,7,8,9,10,11,12,13},1),{6,5,4,3,2,9,8,7,6,5,4,3,2}),11)&lt;2,0,11-MOD(SUMPRODUCT(--MID(P106,{1,2,3,4,5,6,7,8,9,10,11,12,13},1),{6,5,4,3,2,9,8,7,6,5,4,3,2}),11))),"OK","ERRO: dígito verificador")))))</f>
      </c>
      <c r="R106" s="6">
        <f>IF(P106="","",IF(COUNTIF($P$2:$P$1001,P106)&gt;1,"DUPLICADO","OK"))</f>
      </c>
      <c r="S106" s="6">
        <f>IF(AND(J106="",K106=""),"vazio",IF(AND(OR(J106="",LEN(SUBSTITUTE(SUBSTITUTE(SUBSTITUTE(SUBSTITUTE(SUBSTITUTE(SUBSTITUTE(SUBSTITUTE(TRIM(J106),".",""),"/",""),"-","")," ",""),"(",""),")",""),"+",""))=10,LEN(SUBSTITUTE(SUBSTITUTE(SUBSTITUTE(SUBSTITUTE(SUBSTITUTE(SUBSTITUTE(SUBSTITUTE(TRIM(J106),".",""),"/",""),"-","")," ",""),"(",""),")",""),"+",""))=11),OR(K106="",LEN(SUBSTITUTE(SUBSTITUTE(SUBSTITUTE(SUBSTITUTE(SUBSTITUTE(SUBSTITUTE(SUBSTITUTE(TRIM(K106),".",""),"/",""),"-","")," ",""),"(",""),")",""),"+",""))=10,LEN(SUBSTITUTE(SUBSTITUTE(SUBSTITUTE(SUBSTITUTE(SUBSTITUTE(SUBSTITUTE(SUBSTITUTE(TRIM(K106),".",""),"/",""),"-","")," ",""),"(",""),")",""),"+",""))=11)),"OK","ERRO: use DDD + número (10 ou 11 dígitos)"))</f>
      </c>
      <c r="T106" s="6">
        <f>IF(L106="","vazio",IF(AND(ISNUMBER(FIND("@",L106)),ISNUMBER(FIND(".",MID(L106,FIND("@",L106),99))),NOT(ISNUMBER(FIND(" ",TRIM(L106)))),NOT(ISNUMBER(FIND(";",L106))),NOT(ISNUMBER(FIND(",",L106)))),"OK","ERRO: um e-mail válido por linha"))</f>
      </c>
      <c r="U106" s="6">
        <f>IF(COUNTA(A106:O106)=0,"",IF(AND(B106&lt;&gt;"",C106&lt;&gt;"",D106&lt;&gt;"",E106&lt;&gt;"",H106&lt;&gt;"",OR(J106&lt;&gt;"",L106&lt;&gt;"")),"OK","ERRO: faltam "&amp;IF(B106="","Proprietário; ","")&amp;IF(C106="","Origem; ","")&amp;IF(D106="","CNPJ; ","")&amp;IF(E106="","Razão Social; ","")&amp;IF(H106="","Sobrenome; ","")&amp;IF(AND(J106="",L106=""),"telefone ou e-mail; ","")))</f>
      </c>
      <c r="V106" s="6">
        <f>IF(COUNTA(A106:O106)=0,"",IF(AND(Q106="OK",R106="OK",LEFT(S106,4)&lt;&gt;"ERRO",LEFT(T106,4)&lt;&gt;"ERRO",U106="OK"),"OK","REVISAR"))</f>
      </c>
    </row>
    <row r="107">
      <c r="A107" s="4"/>
      <c r="B107" s="5"/>
      <c r="C107" s="5"/>
      <c r="D107" s="5"/>
      <c r="E107" s="5"/>
      <c r="F107" s="4"/>
      <c r="G107" s="4"/>
      <c r="H107" s="5"/>
      <c r="I107" s="4"/>
      <c r="J107" s="4"/>
      <c r="K107" s="4"/>
      <c r="L107" s="4"/>
      <c r="M107" s="4"/>
      <c r="N107" s="4"/>
      <c r="O107" s="4"/>
      <c r="P107" s="6">
        <f>IF(D107="","",SUBSTITUTE(SUBSTITUTE(SUBSTITUTE(SUBSTITUTE(SUBSTITUTE(SUBSTITUTE(SUBSTITUTE(TRIM(D107),".",""),"/",""),"-","")," ",""),"(",""),")",""),"+",""))</f>
      </c>
      <c r="Q107" s="6">
        <f>IF(P107="","",IF(LEN(P107)&lt;&gt;14,"ERRO: "&amp;LEN(P107)&amp;" dígitos",IF(NOT(ISNUMBER(VALUE(P107))),"ERRO: não numérico",IF(LEN(SUBSTITUTE(P107,LEFT(P107,1),""))=0,"ERRO: dígitos repetidos",IF(AND(VALUE(MID(P107,13,1))=IF(MOD(SUMPRODUCT(--MID(P107,{1,2,3,4,5,6,7,8,9,10,11,12},1),{5,4,3,2,9,8,7,6,5,4,3,2}),11)&lt;2,0,11-MOD(SUMPRODUCT(--MID(P107,{1,2,3,4,5,6,7,8,9,10,11,12},1),{5,4,3,2,9,8,7,6,5,4,3,2}),11)),VALUE(MID(P107,14,1))=IF(MOD(SUMPRODUCT(--MID(P107,{1,2,3,4,5,6,7,8,9,10,11,12,13},1),{6,5,4,3,2,9,8,7,6,5,4,3,2}),11)&lt;2,0,11-MOD(SUMPRODUCT(--MID(P107,{1,2,3,4,5,6,7,8,9,10,11,12,13},1),{6,5,4,3,2,9,8,7,6,5,4,3,2}),11))),"OK","ERRO: dígito verificador")))))</f>
      </c>
      <c r="R107" s="6">
        <f>IF(P107="","",IF(COUNTIF($P$2:$P$1001,P107)&gt;1,"DUPLICADO","OK"))</f>
      </c>
      <c r="S107" s="6">
        <f>IF(AND(J107="",K107=""),"vazio",IF(AND(OR(J107="",LEN(SUBSTITUTE(SUBSTITUTE(SUBSTITUTE(SUBSTITUTE(SUBSTITUTE(SUBSTITUTE(SUBSTITUTE(TRIM(J107),".",""),"/",""),"-","")," ",""),"(",""),")",""),"+",""))=10,LEN(SUBSTITUTE(SUBSTITUTE(SUBSTITUTE(SUBSTITUTE(SUBSTITUTE(SUBSTITUTE(SUBSTITUTE(TRIM(J107),".",""),"/",""),"-","")," ",""),"(",""),")",""),"+",""))=11),OR(K107="",LEN(SUBSTITUTE(SUBSTITUTE(SUBSTITUTE(SUBSTITUTE(SUBSTITUTE(SUBSTITUTE(SUBSTITUTE(TRIM(K107),".",""),"/",""),"-","")," ",""),"(",""),")",""),"+",""))=10,LEN(SUBSTITUTE(SUBSTITUTE(SUBSTITUTE(SUBSTITUTE(SUBSTITUTE(SUBSTITUTE(SUBSTITUTE(TRIM(K107),".",""),"/",""),"-","")," ",""),"(",""),")",""),"+",""))=11)),"OK","ERRO: use DDD + número (10 ou 11 dígitos)"))</f>
      </c>
      <c r="T107" s="6">
        <f>IF(L107="","vazio",IF(AND(ISNUMBER(FIND("@",L107)),ISNUMBER(FIND(".",MID(L107,FIND("@",L107),99))),NOT(ISNUMBER(FIND(" ",TRIM(L107)))),NOT(ISNUMBER(FIND(";",L107))),NOT(ISNUMBER(FIND(",",L107)))),"OK","ERRO: um e-mail válido por linha"))</f>
      </c>
      <c r="U107" s="6">
        <f>IF(COUNTA(A107:O107)=0,"",IF(AND(B107&lt;&gt;"",C107&lt;&gt;"",D107&lt;&gt;"",E107&lt;&gt;"",H107&lt;&gt;"",OR(J107&lt;&gt;"",L107&lt;&gt;"")),"OK","ERRO: faltam "&amp;IF(B107="","Proprietário; ","")&amp;IF(C107="","Origem; ","")&amp;IF(D107="","CNPJ; ","")&amp;IF(E107="","Razão Social; ","")&amp;IF(H107="","Sobrenome; ","")&amp;IF(AND(J107="",L107=""),"telefone ou e-mail; ","")))</f>
      </c>
      <c r="V107" s="6">
        <f>IF(COUNTA(A107:O107)=0,"",IF(AND(Q107="OK",R107="OK",LEFT(S107,4)&lt;&gt;"ERRO",LEFT(T107,4)&lt;&gt;"ERRO",U107="OK"),"OK","REVISAR"))</f>
      </c>
    </row>
    <row r="108">
      <c r="A108" s="4"/>
      <c r="B108" s="5"/>
      <c r="C108" s="5"/>
      <c r="D108" s="5"/>
      <c r="E108" s="5"/>
      <c r="F108" s="4"/>
      <c r="G108" s="4"/>
      <c r="H108" s="5"/>
      <c r="I108" s="4"/>
      <c r="J108" s="4"/>
      <c r="K108" s="4"/>
      <c r="L108" s="4"/>
      <c r="M108" s="4"/>
      <c r="N108" s="4"/>
      <c r="O108" s="4"/>
      <c r="P108" s="6">
        <f>IF(D108="","",SUBSTITUTE(SUBSTITUTE(SUBSTITUTE(SUBSTITUTE(SUBSTITUTE(SUBSTITUTE(SUBSTITUTE(TRIM(D108),".",""),"/",""),"-","")," ",""),"(",""),")",""),"+",""))</f>
      </c>
      <c r="Q108" s="6">
        <f>IF(P108="","",IF(LEN(P108)&lt;&gt;14,"ERRO: "&amp;LEN(P108)&amp;" dígitos",IF(NOT(ISNUMBER(VALUE(P108))),"ERRO: não numérico",IF(LEN(SUBSTITUTE(P108,LEFT(P108,1),""))=0,"ERRO: dígitos repetidos",IF(AND(VALUE(MID(P108,13,1))=IF(MOD(SUMPRODUCT(--MID(P108,{1,2,3,4,5,6,7,8,9,10,11,12},1),{5,4,3,2,9,8,7,6,5,4,3,2}),11)&lt;2,0,11-MOD(SUMPRODUCT(--MID(P108,{1,2,3,4,5,6,7,8,9,10,11,12},1),{5,4,3,2,9,8,7,6,5,4,3,2}),11)),VALUE(MID(P108,14,1))=IF(MOD(SUMPRODUCT(--MID(P108,{1,2,3,4,5,6,7,8,9,10,11,12,13},1),{6,5,4,3,2,9,8,7,6,5,4,3,2}),11)&lt;2,0,11-MOD(SUMPRODUCT(--MID(P108,{1,2,3,4,5,6,7,8,9,10,11,12,13},1),{6,5,4,3,2,9,8,7,6,5,4,3,2}),11))),"OK","ERRO: dígito verificador")))))</f>
      </c>
      <c r="R108" s="6">
        <f>IF(P108="","",IF(COUNTIF($P$2:$P$1001,P108)&gt;1,"DUPLICADO","OK"))</f>
      </c>
      <c r="S108" s="6">
        <f>IF(AND(J108="",K108=""),"vazio",IF(AND(OR(J108="",LEN(SUBSTITUTE(SUBSTITUTE(SUBSTITUTE(SUBSTITUTE(SUBSTITUTE(SUBSTITUTE(SUBSTITUTE(TRIM(J108),".",""),"/",""),"-","")," ",""),"(",""),")",""),"+",""))=10,LEN(SUBSTITUTE(SUBSTITUTE(SUBSTITUTE(SUBSTITUTE(SUBSTITUTE(SUBSTITUTE(SUBSTITUTE(TRIM(J108),".",""),"/",""),"-","")," ",""),"(",""),")",""),"+",""))=11),OR(K108="",LEN(SUBSTITUTE(SUBSTITUTE(SUBSTITUTE(SUBSTITUTE(SUBSTITUTE(SUBSTITUTE(SUBSTITUTE(TRIM(K108),".",""),"/",""),"-","")," ",""),"(",""),")",""),"+",""))=10,LEN(SUBSTITUTE(SUBSTITUTE(SUBSTITUTE(SUBSTITUTE(SUBSTITUTE(SUBSTITUTE(SUBSTITUTE(TRIM(K108),".",""),"/",""),"-","")," ",""),"(",""),")",""),"+",""))=11)),"OK","ERRO: use DDD + número (10 ou 11 dígitos)"))</f>
      </c>
      <c r="T108" s="6">
        <f>IF(L108="","vazio",IF(AND(ISNUMBER(FIND("@",L108)),ISNUMBER(FIND(".",MID(L108,FIND("@",L108),99))),NOT(ISNUMBER(FIND(" ",TRIM(L108)))),NOT(ISNUMBER(FIND(";",L108))),NOT(ISNUMBER(FIND(",",L108)))),"OK","ERRO: um e-mail válido por linha"))</f>
      </c>
      <c r="U108" s="6">
        <f>IF(COUNTA(A108:O108)=0,"",IF(AND(B108&lt;&gt;"",C108&lt;&gt;"",D108&lt;&gt;"",E108&lt;&gt;"",H108&lt;&gt;"",OR(J108&lt;&gt;"",L108&lt;&gt;"")),"OK","ERRO: faltam "&amp;IF(B108="","Proprietário; ","")&amp;IF(C108="","Origem; ","")&amp;IF(D108="","CNPJ; ","")&amp;IF(E108="","Razão Social; ","")&amp;IF(H108="","Sobrenome; ","")&amp;IF(AND(J108="",L108=""),"telefone ou e-mail; ","")))</f>
      </c>
      <c r="V108" s="6">
        <f>IF(COUNTA(A108:O108)=0,"",IF(AND(Q108="OK",R108="OK",LEFT(S108,4)&lt;&gt;"ERRO",LEFT(T108,4)&lt;&gt;"ERRO",U108="OK"),"OK","REVISAR"))</f>
      </c>
    </row>
    <row r="109">
      <c r="A109" s="4"/>
      <c r="B109" s="5"/>
      <c r="C109" s="5"/>
      <c r="D109" s="5"/>
      <c r="E109" s="5"/>
      <c r="F109" s="4"/>
      <c r="G109" s="4"/>
      <c r="H109" s="5"/>
      <c r="I109" s="4"/>
      <c r="J109" s="4"/>
      <c r="K109" s="4"/>
      <c r="L109" s="4"/>
      <c r="M109" s="4"/>
      <c r="N109" s="4"/>
      <c r="O109" s="4"/>
      <c r="P109" s="6">
        <f>IF(D109="","",SUBSTITUTE(SUBSTITUTE(SUBSTITUTE(SUBSTITUTE(SUBSTITUTE(SUBSTITUTE(SUBSTITUTE(TRIM(D109),".",""),"/",""),"-","")," ",""),"(",""),")",""),"+",""))</f>
      </c>
      <c r="Q109" s="6">
        <f>IF(P109="","",IF(LEN(P109)&lt;&gt;14,"ERRO: "&amp;LEN(P109)&amp;" dígitos",IF(NOT(ISNUMBER(VALUE(P109))),"ERRO: não numérico",IF(LEN(SUBSTITUTE(P109,LEFT(P109,1),""))=0,"ERRO: dígitos repetidos",IF(AND(VALUE(MID(P109,13,1))=IF(MOD(SUMPRODUCT(--MID(P109,{1,2,3,4,5,6,7,8,9,10,11,12},1),{5,4,3,2,9,8,7,6,5,4,3,2}),11)&lt;2,0,11-MOD(SUMPRODUCT(--MID(P109,{1,2,3,4,5,6,7,8,9,10,11,12},1),{5,4,3,2,9,8,7,6,5,4,3,2}),11)),VALUE(MID(P109,14,1))=IF(MOD(SUMPRODUCT(--MID(P109,{1,2,3,4,5,6,7,8,9,10,11,12,13},1),{6,5,4,3,2,9,8,7,6,5,4,3,2}),11)&lt;2,0,11-MOD(SUMPRODUCT(--MID(P109,{1,2,3,4,5,6,7,8,9,10,11,12,13},1),{6,5,4,3,2,9,8,7,6,5,4,3,2}),11))),"OK","ERRO: dígito verificador")))))</f>
      </c>
      <c r="R109" s="6">
        <f>IF(P109="","",IF(COUNTIF($P$2:$P$1001,P109)&gt;1,"DUPLICADO","OK"))</f>
      </c>
      <c r="S109" s="6">
        <f>IF(AND(J109="",K109=""),"vazio",IF(AND(OR(J109="",LEN(SUBSTITUTE(SUBSTITUTE(SUBSTITUTE(SUBSTITUTE(SUBSTITUTE(SUBSTITUTE(SUBSTITUTE(TRIM(J109),".",""),"/",""),"-","")," ",""),"(",""),")",""),"+",""))=10,LEN(SUBSTITUTE(SUBSTITUTE(SUBSTITUTE(SUBSTITUTE(SUBSTITUTE(SUBSTITUTE(SUBSTITUTE(TRIM(J109),".",""),"/",""),"-","")," ",""),"(",""),")",""),"+",""))=11),OR(K109="",LEN(SUBSTITUTE(SUBSTITUTE(SUBSTITUTE(SUBSTITUTE(SUBSTITUTE(SUBSTITUTE(SUBSTITUTE(TRIM(K109),".",""),"/",""),"-","")," ",""),"(",""),")",""),"+",""))=10,LEN(SUBSTITUTE(SUBSTITUTE(SUBSTITUTE(SUBSTITUTE(SUBSTITUTE(SUBSTITUTE(SUBSTITUTE(TRIM(K109),".",""),"/",""),"-","")," ",""),"(",""),")",""),"+",""))=11)),"OK","ERRO: use DDD + número (10 ou 11 dígitos)"))</f>
      </c>
      <c r="T109" s="6">
        <f>IF(L109="","vazio",IF(AND(ISNUMBER(FIND("@",L109)),ISNUMBER(FIND(".",MID(L109,FIND("@",L109),99))),NOT(ISNUMBER(FIND(" ",TRIM(L109)))),NOT(ISNUMBER(FIND(";",L109))),NOT(ISNUMBER(FIND(",",L109)))),"OK","ERRO: um e-mail válido por linha"))</f>
      </c>
      <c r="U109" s="6">
        <f>IF(COUNTA(A109:O109)=0,"",IF(AND(B109&lt;&gt;"",C109&lt;&gt;"",D109&lt;&gt;"",E109&lt;&gt;"",H109&lt;&gt;"",OR(J109&lt;&gt;"",L109&lt;&gt;"")),"OK","ERRO: faltam "&amp;IF(B109="","Proprietário; ","")&amp;IF(C109="","Origem; ","")&amp;IF(D109="","CNPJ; ","")&amp;IF(E109="","Razão Social; ","")&amp;IF(H109="","Sobrenome; ","")&amp;IF(AND(J109="",L109=""),"telefone ou e-mail; ","")))</f>
      </c>
      <c r="V109" s="6">
        <f>IF(COUNTA(A109:O109)=0,"",IF(AND(Q109="OK",R109="OK",LEFT(S109,4)&lt;&gt;"ERRO",LEFT(T109,4)&lt;&gt;"ERRO",U109="OK"),"OK","REVISAR"))</f>
      </c>
    </row>
    <row r="110">
      <c r="A110" s="4"/>
      <c r="B110" s="5"/>
      <c r="C110" s="5"/>
      <c r="D110" s="5"/>
      <c r="E110" s="5"/>
      <c r="F110" s="4"/>
      <c r="G110" s="4"/>
      <c r="H110" s="5"/>
      <c r="I110" s="4"/>
      <c r="J110" s="4"/>
      <c r="K110" s="4"/>
      <c r="L110" s="4"/>
      <c r="M110" s="4"/>
      <c r="N110" s="4"/>
      <c r="O110" s="4"/>
      <c r="P110" s="6">
        <f>IF(D110="","",SUBSTITUTE(SUBSTITUTE(SUBSTITUTE(SUBSTITUTE(SUBSTITUTE(SUBSTITUTE(SUBSTITUTE(TRIM(D110),".",""),"/",""),"-","")," ",""),"(",""),")",""),"+",""))</f>
      </c>
      <c r="Q110" s="6">
        <f>IF(P110="","",IF(LEN(P110)&lt;&gt;14,"ERRO: "&amp;LEN(P110)&amp;" dígitos",IF(NOT(ISNUMBER(VALUE(P110))),"ERRO: não numérico",IF(LEN(SUBSTITUTE(P110,LEFT(P110,1),""))=0,"ERRO: dígitos repetidos",IF(AND(VALUE(MID(P110,13,1))=IF(MOD(SUMPRODUCT(--MID(P110,{1,2,3,4,5,6,7,8,9,10,11,12},1),{5,4,3,2,9,8,7,6,5,4,3,2}),11)&lt;2,0,11-MOD(SUMPRODUCT(--MID(P110,{1,2,3,4,5,6,7,8,9,10,11,12},1),{5,4,3,2,9,8,7,6,5,4,3,2}),11)),VALUE(MID(P110,14,1))=IF(MOD(SUMPRODUCT(--MID(P110,{1,2,3,4,5,6,7,8,9,10,11,12,13},1),{6,5,4,3,2,9,8,7,6,5,4,3,2}),11)&lt;2,0,11-MOD(SUMPRODUCT(--MID(P110,{1,2,3,4,5,6,7,8,9,10,11,12,13},1),{6,5,4,3,2,9,8,7,6,5,4,3,2}),11))),"OK","ERRO: dígito verificador")))))</f>
      </c>
      <c r="R110" s="6">
        <f>IF(P110="","",IF(COUNTIF($P$2:$P$1001,P110)&gt;1,"DUPLICADO","OK"))</f>
      </c>
      <c r="S110" s="6">
        <f>IF(AND(J110="",K110=""),"vazio",IF(AND(OR(J110="",LEN(SUBSTITUTE(SUBSTITUTE(SUBSTITUTE(SUBSTITUTE(SUBSTITUTE(SUBSTITUTE(SUBSTITUTE(TRIM(J110),".",""),"/",""),"-","")," ",""),"(",""),")",""),"+",""))=10,LEN(SUBSTITUTE(SUBSTITUTE(SUBSTITUTE(SUBSTITUTE(SUBSTITUTE(SUBSTITUTE(SUBSTITUTE(TRIM(J110),".",""),"/",""),"-","")," ",""),"(",""),")",""),"+",""))=11),OR(K110="",LEN(SUBSTITUTE(SUBSTITUTE(SUBSTITUTE(SUBSTITUTE(SUBSTITUTE(SUBSTITUTE(SUBSTITUTE(TRIM(K110),".",""),"/",""),"-","")," ",""),"(",""),")",""),"+",""))=10,LEN(SUBSTITUTE(SUBSTITUTE(SUBSTITUTE(SUBSTITUTE(SUBSTITUTE(SUBSTITUTE(SUBSTITUTE(TRIM(K110),".",""),"/",""),"-","")," ",""),"(",""),")",""),"+",""))=11)),"OK","ERRO: use DDD + número (10 ou 11 dígitos)"))</f>
      </c>
      <c r="T110" s="6">
        <f>IF(L110="","vazio",IF(AND(ISNUMBER(FIND("@",L110)),ISNUMBER(FIND(".",MID(L110,FIND("@",L110),99))),NOT(ISNUMBER(FIND(" ",TRIM(L110)))),NOT(ISNUMBER(FIND(";",L110))),NOT(ISNUMBER(FIND(",",L110)))),"OK","ERRO: um e-mail válido por linha"))</f>
      </c>
      <c r="U110" s="6">
        <f>IF(COUNTA(A110:O110)=0,"",IF(AND(B110&lt;&gt;"",C110&lt;&gt;"",D110&lt;&gt;"",E110&lt;&gt;"",H110&lt;&gt;"",OR(J110&lt;&gt;"",L110&lt;&gt;"")),"OK","ERRO: faltam "&amp;IF(B110="","Proprietário; ","")&amp;IF(C110="","Origem; ","")&amp;IF(D110="","CNPJ; ","")&amp;IF(E110="","Razão Social; ","")&amp;IF(H110="","Sobrenome; ","")&amp;IF(AND(J110="",L110=""),"telefone ou e-mail; ","")))</f>
      </c>
      <c r="V110" s="6">
        <f>IF(COUNTA(A110:O110)=0,"",IF(AND(Q110="OK",R110="OK",LEFT(S110,4)&lt;&gt;"ERRO",LEFT(T110,4)&lt;&gt;"ERRO",U110="OK"),"OK","REVISAR"))</f>
      </c>
    </row>
    <row r="111">
      <c r="A111" s="4"/>
      <c r="B111" s="5"/>
      <c r="C111" s="5"/>
      <c r="D111" s="5"/>
      <c r="E111" s="5"/>
      <c r="F111" s="4"/>
      <c r="G111" s="4"/>
      <c r="H111" s="5"/>
      <c r="I111" s="4"/>
      <c r="J111" s="4"/>
      <c r="K111" s="4"/>
      <c r="L111" s="4"/>
      <c r="M111" s="4"/>
      <c r="N111" s="4"/>
      <c r="O111" s="4"/>
      <c r="P111" s="6">
        <f>IF(D111="","",SUBSTITUTE(SUBSTITUTE(SUBSTITUTE(SUBSTITUTE(SUBSTITUTE(SUBSTITUTE(SUBSTITUTE(TRIM(D111),".",""),"/",""),"-","")," ",""),"(",""),")",""),"+",""))</f>
      </c>
      <c r="Q111" s="6">
        <f>IF(P111="","",IF(LEN(P111)&lt;&gt;14,"ERRO: "&amp;LEN(P111)&amp;" dígitos",IF(NOT(ISNUMBER(VALUE(P111))),"ERRO: não numérico",IF(LEN(SUBSTITUTE(P111,LEFT(P111,1),""))=0,"ERRO: dígitos repetidos",IF(AND(VALUE(MID(P111,13,1))=IF(MOD(SUMPRODUCT(--MID(P111,{1,2,3,4,5,6,7,8,9,10,11,12},1),{5,4,3,2,9,8,7,6,5,4,3,2}),11)&lt;2,0,11-MOD(SUMPRODUCT(--MID(P111,{1,2,3,4,5,6,7,8,9,10,11,12},1),{5,4,3,2,9,8,7,6,5,4,3,2}),11)),VALUE(MID(P111,14,1))=IF(MOD(SUMPRODUCT(--MID(P111,{1,2,3,4,5,6,7,8,9,10,11,12,13},1),{6,5,4,3,2,9,8,7,6,5,4,3,2}),11)&lt;2,0,11-MOD(SUMPRODUCT(--MID(P111,{1,2,3,4,5,6,7,8,9,10,11,12,13},1),{6,5,4,3,2,9,8,7,6,5,4,3,2}),11))),"OK","ERRO: dígito verificador")))))</f>
      </c>
      <c r="R111" s="6">
        <f>IF(P111="","",IF(COUNTIF($P$2:$P$1001,P111)&gt;1,"DUPLICADO","OK"))</f>
      </c>
      <c r="S111" s="6">
        <f>IF(AND(J111="",K111=""),"vazio",IF(AND(OR(J111="",LEN(SUBSTITUTE(SUBSTITUTE(SUBSTITUTE(SUBSTITUTE(SUBSTITUTE(SUBSTITUTE(SUBSTITUTE(TRIM(J111),".",""),"/",""),"-","")," ",""),"(",""),")",""),"+",""))=10,LEN(SUBSTITUTE(SUBSTITUTE(SUBSTITUTE(SUBSTITUTE(SUBSTITUTE(SUBSTITUTE(SUBSTITUTE(TRIM(J111),".",""),"/",""),"-","")," ",""),"(",""),")",""),"+",""))=11),OR(K111="",LEN(SUBSTITUTE(SUBSTITUTE(SUBSTITUTE(SUBSTITUTE(SUBSTITUTE(SUBSTITUTE(SUBSTITUTE(TRIM(K111),".",""),"/",""),"-","")," ",""),"(",""),")",""),"+",""))=10,LEN(SUBSTITUTE(SUBSTITUTE(SUBSTITUTE(SUBSTITUTE(SUBSTITUTE(SUBSTITUTE(SUBSTITUTE(TRIM(K111),".",""),"/",""),"-","")," ",""),"(",""),")",""),"+",""))=11)),"OK","ERRO: use DDD + número (10 ou 11 dígitos)"))</f>
      </c>
      <c r="T111" s="6">
        <f>IF(L111="","vazio",IF(AND(ISNUMBER(FIND("@",L111)),ISNUMBER(FIND(".",MID(L111,FIND("@",L111),99))),NOT(ISNUMBER(FIND(" ",TRIM(L111)))),NOT(ISNUMBER(FIND(";",L111))),NOT(ISNUMBER(FIND(",",L111)))),"OK","ERRO: um e-mail válido por linha"))</f>
      </c>
      <c r="U111" s="6">
        <f>IF(COUNTA(A111:O111)=0,"",IF(AND(B111&lt;&gt;"",C111&lt;&gt;"",D111&lt;&gt;"",E111&lt;&gt;"",H111&lt;&gt;"",OR(J111&lt;&gt;"",L111&lt;&gt;"")),"OK","ERRO: faltam "&amp;IF(B111="","Proprietário; ","")&amp;IF(C111="","Origem; ","")&amp;IF(D111="","CNPJ; ","")&amp;IF(E111="","Razão Social; ","")&amp;IF(H111="","Sobrenome; ","")&amp;IF(AND(J111="",L111=""),"telefone ou e-mail; ","")))</f>
      </c>
      <c r="V111" s="6">
        <f>IF(COUNTA(A111:O111)=0,"",IF(AND(Q111="OK",R111="OK",LEFT(S111,4)&lt;&gt;"ERRO",LEFT(T111,4)&lt;&gt;"ERRO",U111="OK"),"OK","REVISAR"))</f>
      </c>
    </row>
    <row r="112">
      <c r="A112" s="4"/>
      <c r="B112" s="5"/>
      <c r="C112" s="5"/>
      <c r="D112" s="5"/>
      <c r="E112" s="5"/>
      <c r="F112" s="4"/>
      <c r="G112" s="4"/>
      <c r="H112" s="5"/>
      <c r="I112" s="4"/>
      <c r="J112" s="4"/>
      <c r="K112" s="4"/>
      <c r="L112" s="4"/>
      <c r="M112" s="4"/>
      <c r="N112" s="4"/>
      <c r="O112" s="4"/>
      <c r="P112" s="6">
        <f>IF(D112="","",SUBSTITUTE(SUBSTITUTE(SUBSTITUTE(SUBSTITUTE(SUBSTITUTE(SUBSTITUTE(SUBSTITUTE(TRIM(D112),".",""),"/",""),"-","")," ",""),"(",""),")",""),"+",""))</f>
      </c>
      <c r="Q112" s="6">
        <f>IF(P112="","",IF(LEN(P112)&lt;&gt;14,"ERRO: "&amp;LEN(P112)&amp;" dígitos",IF(NOT(ISNUMBER(VALUE(P112))),"ERRO: não numérico",IF(LEN(SUBSTITUTE(P112,LEFT(P112,1),""))=0,"ERRO: dígitos repetidos",IF(AND(VALUE(MID(P112,13,1))=IF(MOD(SUMPRODUCT(--MID(P112,{1,2,3,4,5,6,7,8,9,10,11,12},1),{5,4,3,2,9,8,7,6,5,4,3,2}),11)&lt;2,0,11-MOD(SUMPRODUCT(--MID(P112,{1,2,3,4,5,6,7,8,9,10,11,12},1),{5,4,3,2,9,8,7,6,5,4,3,2}),11)),VALUE(MID(P112,14,1))=IF(MOD(SUMPRODUCT(--MID(P112,{1,2,3,4,5,6,7,8,9,10,11,12,13},1),{6,5,4,3,2,9,8,7,6,5,4,3,2}),11)&lt;2,0,11-MOD(SUMPRODUCT(--MID(P112,{1,2,3,4,5,6,7,8,9,10,11,12,13},1),{6,5,4,3,2,9,8,7,6,5,4,3,2}),11))),"OK","ERRO: dígito verificador")))))</f>
      </c>
      <c r="R112" s="6">
        <f>IF(P112="","",IF(COUNTIF($P$2:$P$1001,P112)&gt;1,"DUPLICADO","OK"))</f>
      </c>
      <c r="S112" s="6">
        <f>IF(AND(J112="",K112=""),"vazio",IF(AND(OR(J112="",LEN(SUBSTITUTE(SUBSTITUTE(SUBSTITUTE(SUBSTITUTE(SUBSTITUTE(SUBSTITUTE(SUBSTITUTE(TRIM(J112),".",""),"/",""),"-","")," ",""),"(",""),")",""),"+",""))=10,LEN(SUBSTITUTE(SUBSTITUTE(SUBSTITUTE(SUBSTITUTE(SUBSTITUTE(SUBSTITUTE(SUBSTITUTE(TRIM(J112),".",""),"/",""),"-","")," ",""),"(",""),")",""),"+",""))=11),OR(K112="",LEN(SUBSTITUTE(SUBSTITUTE(SUBSTITUTE(SUBSTITUTE(SUBSTITUTE(SUBSTITUTE(SUBSTITUTE(TRIM(K112),".",""),"/",""),"-","")," ",""),"(",""),")",""),"+",""))=10,LEN(SUBSTITUTE(SUBSTITUTE(SUBSTITUTE(SUBSTITUTE(SUBSTITUTE(SUBSTITUTE(SUBSTITUTE(TRIM(K112),".",""),"/",""),"-","")," ",""),"(",""),")",""),"+",""))=11)),"OK","ERRO: use DDD + número (10 ou 11 dígitos)"))</f>
      </c>
      <c r="T112" s="6">
        <f>IF(L112="","vazio",IF(AND(ISNUMBER(FIND("@",L112)),ISNUMBER(FIND(".",MID(L112,FIND("@",L112),99))),NOT(ISNUMBER(FIND(" ",TRIM(L112)))),NOT(ISNUMBER(FIND(";",L112))),NOT(ISNUMBER(FIND(",",L112)))),"OK","ERRO: um e-mail válido por linha"))</f>
      </c>
      <c r="U112" s="6">
        <f>IF(COUNTA(A112:O112)=0,"",IF(AND(B112&lt;&gt;"",C112&lt;&gt;"",D112&lt;&gt;"",E112&lt;&gt;"",H112&lt;&gt;"",OR(J112&lt;&gt;"",L112&lt;&gt;"")),"OK","ERRO: faltam "&amp;IF(B112="","Proprietário; ","")&amp;IF(C112="","Origem; ","")&amp;IF(D112="","CNPJ; ","")&amp;IF(E112="","Razão Social; ","")&amp;IF(H112="","Sobrenome; ","")&amp;IF(AND(J112="",L112=""),"telefone ou e-mail; ","")))</f>
      </c>
      <c r="V112" s="6">
        <f>IF(COUNTA(A112:O112)=0,"",IF(AND(Q112="OK",R112="OK",LEFT(S112,4)&lt;&gt;"ERRO",LEFT(T112,4)&lt;&gt;"ERRO",U112="OK"),"OK","REVISAR"))</f>
      </c>
    </row>
    <row r="113">
      <c r="A113" s="4"/>
      <c r="B113" s="5"/>
      <c r="C113" s="5"/>
      <c r="D113" s="5"/>
      <c r="E113" s="5"/>
      <c r="F113" s="4"/>
      <c r="G113" s="4"/>
      <c r="H113" s="5"/>
      <c r="I113" s="4"/>
      <c r="J113" s="4"/>
      <c r="K113" s="4"/>
      <c r="L113" s="4"/>
      <c r="M113" s="4"/>
      <c r="N113" s="4"/>
      <c r="O113" s="4"/>
      <c r="P113" s="6">
        <f>IF(D113="","",SUBSTITUTE(SUBSTITUTE(SUBSTITUTE(SUBSTITUTE(SUBSTITUTE(SUBSTITUTE(SUBSTITUTE(TRIM(D113),".",""),"/",""),"-","")," ",""),"(",""),")",""),"+",""))</f>
      </c>
      <c r="Q113" s="6">
        <f>IF(P113="","",IF(LEN(P113)&lt;&gt;14,"ERRO: "&amp;LEN(P113)&amp;" dígitos",IF(NOT(ISNUMBER(VALUE(P113))),"ERRO: não numérico",IF(LEN(SUBSTITUTE(P113,LEFT(P113,1),""))=0,"ERRO: dígitos repetidos",IF(AND(VALUE(MID(P113,13,1))=IF(MOD(SUMPRODUCT(--MID(P113,{1,2,3,4,5,6,7,8,9,10,11,12},1),{5,4,3,2,9,8,7,6,5,4,3,2}),11)&lt;2,0,11-MOD(SUMPRODUCT(--MID(P113,{1,2,3,4,5,6,7,8,9,10,11,12},1),{5,4,3,2,9,8,7,6,5,4,3,2}),11)),VALUE(MID(P113,14,1))=IF(MOD(SUMPRODUCT(--MID(P113,{1,2,3,4,5,6,7,8,9,10,11,12,13},1),{6,5,4,3,2,9,8,7,6,5,4,3,2}),11)&lt;2,0,11-MOD(SUMPRODUCT(--MID(P113,{1,2,3,4,5,6,7,8,9,10,11,12,13},1),{6,5,4,3,2,9,8,7,6,5,4,3,2}),11))),"OK","ERRO: dígito verificador")))))</f>
      </c>
      <c r="R113" s="6">
        <f>IF(P113="","",IF(COUNTIF($P$2:$P$1001,P113)&gt;1,"DUPLICADO","OK"))</f>
      </c>
      <c r="S113" s="6">
        <f>IF(AND(J113="",K113=""),"vazio",IF(AND(OR(J113="",LEN(SUBSTITUTE(SUBSTITUTE(SUBSTITUTE(SUBSTITUTE(SUBSTITUTE(SUBSTITUTE(SUBSTITUTE(TRIM(J113),".",""),"/",""),"-","")," ",""),"(",""),")",""),"+",""))=10,LEN(SUBSTITUTE(SUBSTITUTE(SUBSTITUTE(SUBSTITUTE(SUBSTITUTE(SUBSTITUTE(SUBSTITUTE(TRIM(J113),".",""),"/",""),"-","")," ",""),"(",""),")",""),"+",""))=11),OR(K113="",LEN(SUBSTITUTE(SUBSTITUTE(SUBSTITUTE(SUBSTITUTE(SUBSTITUTE(SUBSTITUTE(SUBSTITUTE(TRIM(K113),".",""),"/",""),"-","")," ",""),"(",""),")",""),"+",""))=10,LEN(SUBSTITUTE(SUBSTITUTE(SUBSTITUTE(SUBSTITUTE(SUBSTITUTE(SUBSTITUTE(SUBSTITUTE(TRIM(K113),".",""),"/",""),"-","")," ",""),"(",""),")",""),"+",""))=11)),"OK","ERRO: use DDD + número (10 ou 11 dígitos)"))</f>
      </c>
      <c r="T113" s="6">
        <f>IF(L113="","vazio",IF(AND(ISNUMBER(FIND("@",L113)),ISNUMBER(FIND(".",MID(L113,FIND("@",L113),99))),NOT(ISNUMBER(FIND(" ",TRIM(L113)))),NOT(ISNUMBER(FIND(";",L113))),NOT(ISNUMBER(FIND(",",L113)))),"OK","ERRO: um e-mail válido por linha"))</f>
      </c>
      <c r="U113" s="6">
        <f>IF(COUNTA(A113:O113)=0,"",IF(AND(B113&lt;&gt;"",C113&lt;&gt;"",D113&lt;&gt;"",E113&lt;&gt;"",H113&lt;&gt;"",OR(J113&lt;&gt;"",L113&lt;&gt;"")),"OK","ERRO: faltam "&amp;IF(B113="","Proprietário; ","")&amp;IF(C113="","Origem; ","")&amp;IF(D113="","CNPJ; ","")&amp;IF(E113="","Razão Social; ","")&amp;IF(H113="","Sobrenome; ","")&amp;IF(AND(J113="",L113=""),"telefone ou e-mail; ","")))</f>
      </c>
      <c r="V113" s="6">
        <f>IF(COUNTA(A113:O113)=0,"",IF(AND(Q113="OK",R113="OK",LEFT(S113,4)&lt;&gt;"ERRO",LEFT(T113,4)&lt;&gt;"ERRO",U113="OK"),"OK","REVISAR"))</f>
      </c>
    </row>
    <row r="114">
      <c r="A114" s="4"/>
      <c r="B114" s="5"/>
      <c r="C114" s="5"/>
      <c r="D114" s="5"/>
      <c r="E114" s="5"/>
      <c r="F114" s="4"/>
      <c r="G114" s="4"/>
      <c r="H114" s="5"/>
      <c r="I114" s="4"/>
      <c r="J114" s="4"/>
      <c r="K114" s="4"/>
      <c r="L114" s="4"/>
      <c r="M114" s="4"/>
      <c r="N114" s="4"/>
      <c r="O114" s="4"/>
      <c r="P114" s="6">
        <f>IF(D114="","",SUBSTITUTE(SUBSTITUTE(SUBSTITUTE(SUBSTITUTE(SUBSTITUTE(SUBSTITUTE(SUBSTITUTE(TRIM(D114),".",""),"/",""),"-","")," ",""),"(",""),")",""),"+",""))</f>
      </c>
      <c r="Q114" s="6">
        <f>IF(P114="","",IF(LEN(P114)&lt;&gt;14,"ERRO: "&amp;LEN(P114)&amp;" dígitos",IF(NOT(ISNUMBER(VALUE(P114))),"ERRO: não numérico",IF(LEN(SUBSTITUTE(P114,LEFT(P114,1),""))=0,"ERRO: dígitos repetidos",IF(AND(VALUE(MID(P114,13,1))=IF(MOD(SUMPRODUCT(--MID(P114,{1,2,3,4,5,6,7,8,9,10,11,12},1),{5,4,3,2,9,8,7,6,5,4,3,2}),11)&lt;2,0,11-MOD(SUMPRODUCT(--MID(P114,{1,2,3,4,5,6,7,8,9,10,11,12},1),{5,4,3,2,9,8,7,6,5,4,3,2}),11)),VALUE(MID(P114,14,1))=IF(MOD(SUMPRODUCT(--MID(P114,{1,2,3,4,5,6,7,8,9,10,11,12,13},1),{6,5,4,3,2,9,8,7,6,5,4,3,2}),11)&lt;2,0,11-MOD(SUMPRODUCT(--MID(P114,{1,2,3,4,5,6,7,8,9,10,11,12,13},1),{6,5,4,3,2,9,8,7,6,5,4,3,2}),11))),"OK","ERRO: dígito verificador")))))</f>
      </c>
      <c r="R114" s="6">
        <f>IF(P114="","",IF(COUNTIF($P$2:$P$1001,P114)&gt;1,"DUPLICADO","OK"))</f>
      </c>
      <c r="S114" s="6">
        <f>IF(AND(J114="",K114=""),"vazio",IF(AND(OR(J114="",LEN(SUBSTITUTE(SUBSTITUTE(SUBSTITUTE(SUBSTITUTE(SUBSTITUTE(SUBSTITUTE(SUBSTITUTE(TRIM(J114),".",""),"/",""),"-","")," ",""),"(",""),")",""),"+",""))=10,LEN(SUBSTITUTE(SUBSTITUTE(SUBSTITUTE(SUBSTITUTE(SUBSTITUTE(SUBSTITUTE(SUBSTITUTE(TRIM(J114),".",""),"/",""),"-","")," ",""),"(",""),")",""),"+",""))=11),OR(K114="",LEN(SUBSTITUTE(SUBSTITUTE(SUBSTITUTE(SUBSTITUTE(SUBSTITUTE(SUBSTITUTE(SUBSTITUTE(TRIM(K114),".",""),"/",""),"-","")," ",""),"(",""),")",""),"+",""))=10,LEN(SUBSTITUTE(SUBSTITUTE(SUBSTITUTE(SUBSTITUTE(SUBSTITUTE(SUBSTITUTE(SUBSTITUTE(TRIM(K114),".",""),"/",""),"-","")," ",""),"(",""),")",""),"+",""))=11)),"OK","ERRO: use DDD + número (10 ou 11 dígitos)"))</f>
      </c>
      <c r="T114" s="6">
        <f>IF(L114="","vazio",IF(AND(ISNUMBER(FIND("@",L114)),ISNUMBER(FIND(".",MID(L114,FIND("@",L114),99))),NOT(ISNUMBER(FIND(" ",TRIM(L114)))),NOT(ISNUMBER(FIND(";",L114))),NOT(ISNUMBER(FIND(",",L114)))),"OK","ERRO: um e-mail válido por linha"))</f>
      </c>
      <c r="U114" s="6">
        <f>IF(COUNTA(A114:O114)=0,"",IF(AND(B114&lt;&gt;"",C114&lt;&gt;"",D114&lt;&gt;"",E114&lt;&gt;"",H114&lt;&gt;"",OR(J114&lt;&gt;"",L114&lt;&gt;"")),"OK","ERRO: faltam "&amp;IF(B114="","Proprietário; ","")&amp;IF(C114="","Origem; ","")&amp;IF(D114="","CNPJ; ","")&amp;IF(E114="","Razão Social; ","")&amp;IF(H114="","Sobrenome; ","")&amp;IF(AND(J114="",L114=""),"telefone ou e-mail; ","")))</f>
      </c>
      <c r="V114" s="6">
        <f>IF(COUNTA(A114:O114)=0,"",IF(AND(Q114="OK",R114="OK",LEFT(S114,4)&lt;&gt;"ERRO",LEFT(T114,4)&lt;&gt;"ERRO",U114="OK"),"OK","REVISAR"))</f>
      </c>
    </row>
    <row r="115">
      <c r="A115" s="4"/>
      <c r="B115" s="5"/>
      <c r="C115" s="5"/>
      <c r="D115" s="5"/>
      <c r="E115" s="5"/>
      <c r="F115" s="4"/>
      <c r="G115" s="4"/>
      <c r="H115" s="5"/>
      <c r="I115" s="4"/>
      <c r="J115" s="4"/>
      <c r="K115" s="4"/>
      <c r="L115" s="4"/>
      <c r="M115" s="4"/>
      <c r="N115" s="4"/>
      <c r="O115" s="4"/>
      <c r="P115" s="6">
        <f>IF(D115="","",SUBSTITUTE(SUBSTITUTE(SUBSTITUTE(SUBSTITUTE(SUBSTITUTE(SUBSTITUTE(SUBSTITUTE(TRIM(D115),".",""),"/",""),"-","")," ",""),"(",""),")",""),"+",""))</f>
      </c>
      <c r="Q115" s="6">
        <f>IF(P115="","",IF(LEN(P115)&lt;&gt;14,"ERRO: "&amp;LEN(P115)&amp;" dígitos",IF(NOT(ISNUMBER(VALUE(P115))),"ERRO: não numérico",IF(LEN(SUBSTITUTE(P115,LEFT(P115,1),""))=0,"ERRO: dígitos repetidos",IF(AND(VALUE(MID(P115,13,1))=IF(MOD(SUMPRODUCT(--MID(P115,{1,2,3,4,5,6,7,8,9,10,11,12},1),{5,4,3,2,9,8,7,6,5,4,3,2}),11)&lt;2,0,11-MOD(SUMPRODUCT(--MID(P115,{1,2,3,4,5,6,7,8,9,10,11,12},1),{5,4,3,2,9,8,7,6,5,4,3,2}),11)),VALUE(MID(P115,14,1))=IF(MOD(SUMPRODUCT(--MID(P115,{1,2,3,4,5,6,7,8,9,10,11,12,13},1),{6,5,4,3,2,9,8,7,6,5,4,3,2}),11)&lt;2,0,11-MOD(SUMPRODUCT(--MID(P115,{1,2,3,4,5,6,7,8,9,10,11,12,13},1),{6,5,4,3,2,9,8,7,6,5,4,3,2}),11))),"OK","ERRO: dígito verificador")))))</f>
      </c>
      <c r="R115" s="6">
        <f>IF(P115="","",IF(COUNTIF($P$2:$P$1001,P115)&gt;1,"DUPLICADO","OK"))</f>
      </c>
      <c r="S115" s="6">
        <f>IF(AND(J115="",K115=""),"vazio",IF(AND(OR(J115="",LEN(SUBSTITUTE(SUBSTITUTE(SUBSTITUTE(SUBSTITUTE(SUBSTITUTE(SUBSTITUTE(SUBSTITUTE(TRIM(J115),".",""),"/",""),"-","")," ",""),"(",""),")",""),"+",""))=10,LEN(SUBSTITUTE(SUBSTITUTE(SUBSTITUTE(SUBSTITUTE(SUBSTITUTE(SUBSTITUTE(SUBSTITUTE(TRIM(J115),".",""),"/",""),"-","")," ",""),"(",""),")",""),"+",""))=11),OR(K115="",LEN(SUBSTITUTE(SUBSTITUTE(SUBSTITUTE(SUBSTITUTE(SUBSTITUTE(SUBSTITUTE(SUBSTITUTE(TRIM(K115),".",""),"/",""),"-","")," ",""),"(",""),")",""),"+",""))=10,LEN(SUBSTITUTE(SUBSTITUTE(SUBSTITUTE(SUBSTITUTE(SUBSTITUTE(SUBSTITUTE(SUBSTITUTE(TRIM(K115),".",""),"/",""),"-","")," ",""),"(",""),")",""),"+",""))=11)),"OK","ERRO: use DDD + número (10 ou 11 dígitos)"))</f>
      </c>
      <c r="T115" s="6">
        <f>IF(L115="","vazio",IF(AND(ISNUMBER(FIND("@",L115)),ISNUMBER(FIND(".",MID(L115,FIND("@",L115),99))),NOT(ISNUMBER(FIND(" ",TRIM(L115)))),NOT(ISNUMBER(FIND(";",L115))),NOT(ISNUMBER(FIND(",",L115)))),"OK","ERRO: um e-mail válido por linha"))</f>
      </c>
      <c r="U115" s="6">
        <f>IF(COUNTA(A115:O115)=0,"",IF(AND(B115&lt;&gt;"",C115&lt;&gt;"",D115&lt;&gt;"",E115&lt;&gt;"",H115&lt;&gt;"",OR(J115&lt;&gt;"",L115&lt;&gt;"")),"OK","ERRO: faltam "&amp;IF(B115="","Proprietário; ","")&amp;IF(C115="","Origem; ","")&amp;IF(D115="","CNPJ; ","")&amp;IF(E115="","Razão Social; ","")&amp;IF(H115="","Sobrenome; ","")&amp;IF(AND(J115="",L115=""),"telefone ou e-mail; ","")))</f>
      </c>
      <c r="V115" s="6">
        <f>IF(COUNTA(A115:O115)=0,"",IF(AND(Q115="OK",R115="OK",LEFT(S115,4)&lt;&gt;"ERRO",LEFT(T115,4)&lt;&gt;"ERRO",U115="OK"),"OK","REVISAR"))</f>
      </c>
    </row>
    <row r="116">
      <c r="A116" s="4"/>
      <c r="B116" s="5"/>
      <c r="C116" s="5"/>
      <c r="D116" s="5"/>
      <c r="E116" s="5"/>
      <c r="F116" s="4"/>
      <c r="G116" s="4"/>
      <c r="H116" s="5"/>
      <c r="I116" s="4"/>
      <c r="J116" s="4"/>
      <c r="K116" s="4"/>
      <c r="L116" s="4"/>
      <c r="M116" s="4"/>
      <c r="N116" s="4"/>
      <c r="O116" s="4"/>
      <c r="P116" s="6">
        <f>IF(D116="","",SUBSTITUTE(SUBSTITUTE(SUBSTITUTE(SUBSTITUTE(SUBSTITUTE(SUBSTITUTE(SUBSTITUTE(TRIM(D116),".",""),"/",""),"-","")," ",""),"(",""),")",""),"+",""))</f>
      </c>
      <c r="Q116" s="6">
        <f>IF(P116="","",IF(LEN(P116)&lt;&gt;14,"ERRO: "&amp;LEN(P116)&amp;" dígitos",IF(NOT(ISNUMBER(VALUE(P116))),"ERRO: não numérico",IF(LEN(SUBSTITUTE(P116,LEFT(P116,1),""))=0,"ERRO: dígitos repetidos",IF(AND(VALUE(MID(P116,13,1))=IF(MOD(SUMPRODUCT(--MID(P116,{1,2,3,4,5,6,7,8,9,10,11,12},1),{5,4,3,2,9,8,7,6,5,4,3,2}),11)&lt;2,0,11-MOD(SUMPRODUCT(--MID(P116,{1,2,3,4,5,6,7,8,9,10,11,12},1),{5,4,3,2,9,8,7,6,5,4,3,2}),11)),VALUE(MID(P116,14,1))=IF(MOD(SUMPRODUCT(--MID(P116,{1,2,3,4,5,6,7,8,9,10,11,12,13},1),{6,5,4,3,2,9,8,7,6,5,4,3,2}),11)&lt;2,0,11-MOD(SUMPRODUCT(--MID(P116,{1,2,3,4,5,6,7,8,9,10,11,12,13},1),{6,5,4,3,2,9,8,7,6,5,4,3,2}),11))),"OK","ERRO: dígito verificador")))))</f>
      </c>
      <c r="R116" s="6">
        <f>IF(P116="","",IF(COUNTIF($P$2:$P$1001,P116)&gt;1,"DUPLICADO","OK"))</f>
      </c>
      <c r="S116" s="6">
        <f>IF(AND(J116="",K116=""),"vazio",IF(AND(OR(J116="",LEN(SUBSTITUTE(SUBSTITUTE(SUBSTITUTE(SUBSTITUTE(SUBSTITUTE(SUBSTITUTE(SUBSTITUTE(TRIM(J116),".",""),"/",""),"-","")," ",""),"(",""),")",""),"+",""))=10,LEN(SUBSTITUTE(SUBSTITUTE(SUBSTITUTE(SUBSTITUTE(SUBSTITUTE(SUBSTITUTE(SUBSTITUTE(TRIM(J116),".",""),"/",""),"-","")," ",""),"(",""),")",""),"+",""))=11),OR(K116="",LEN(SUBSTITUTE(SUBSTITUTE(SUBSTITUTE(SUBSTITUTE(SUBSTITUTE(SUBSTITUTE(SUBSTITUTE(TRIM(K116),".",""),"/",""),"-","")," ",""),"(",""),")",""),"+",""))=10,LEN(SUBSTITUTE(SUBSTITUTE(SUBSTITUTE(SUBSTITUTE(SUBSTITUTE(SUBSTITUTE(SUBSTITUTE(TRIM(K116),".",""),"/",""),"-","")," ",""),"(",""),")",""),"+",""))=11)),"OK","ERRO: use DDD + número (10 ou 11 dígitos)"))</f>
      </c>
      <c r="T116" s="6">
        <f>IF(L116="","vazio",IF(AND(ISNUMBER(FIND("@",L116)),ISNUMBER(FIND(".",MID(L116,FIND("@",L116),99))),NOT(ISNUMBER(FIND(" ",TRIM(L116)))),NOT(ISNUMBER(FIND(";",L116))),NOT(ISNUMBER(FIND(",",L116)))),"OK","ERRO: um e-mail válido por linha"))</f>
      </c>
      <c r="U116" s="6">
        <f>IF(COUNTA(A116:O116)=0,"",IF(AND(B116&lt;&gt;"",C116&lt;&gt;"",D116&lt;&gt;"",E116&lt;&gt;"",H116&lt;&gt;"",OR(J116&lt;&gt;"",L116&lt;&gt;"")),"OK","ERRO: faltam "&amp;IF(B116="","Proprietário; ","")&amp;IF(C116="","Origem; ","")&amp;IF(D116="","CNPJ; ","")&amp;IF(E116="","Razão Social; ","")&amp;IF(H116="","Sobrenome; ","")&amp;IF(AND(J116="",L116=""),"telefone ou e-mail; ","")))</f>
      </c>
      <c r="V116" s="6">
        <f>IF(COUNTA(A116:O116)=0,"",IF(AND(Q116="OK",R116="OK",LEFT(S116,4)&lt;&gt;"ERRO",LEFT(T116,4)&lt;&gt;"ERRO",U116="OK"),"OK","REVISAR"))</f>
      </c>
    </row>
    <row r="117">
      <c r="A117" s="4"/>
      <c r="B117" s="5"/>
      <c r="C117" s="5"/>
      <c r="D117" s="5"/>
      <c r="E117" s="5"/>
      <c r="F117" s="4"/>
      <c r="G117" s="4"/>
      <c r="H117" s="5"/>
      <c r="I117" s="4"/>
      <c r="J117" s="4"/>
      <c r="K117" s="4"/>
      <c r="L117" s="4"/>
      <c r="M117" s="4"/>
      <c r="N117" s="4"/>
      <c r="O117" s="4"/>
      <c r="P117" s="6">
        <f>IF(D117="","",SUBSTITUTE(SUBSTITUTE(SUBSTITUTE(SUBSTITUTE(SUBSTITUTE(SUBSTITUTE(SUBSTITUTE(TRIM(D117),".",""),"/",""),"-","")," ",""),"(",""),")",""),"+",""))</f>
      </c>
      <c r="Q117" s="6">
        <f>IF(P117="","",IF(LEN(P117)&lt;&gt;14,"ERRO: "&amp;LEN(P117)&amp;" dígitos",IF(NOT(ISNUMBER(VALUE(P117))),"ERRO: não numérico",IF(LEN(SUBSTITUTE(P117,LEFT(P117,1),""))=0,"ERRO: dígitos repetidos",IF(AND(VALUE(MID(P117,13,1))=IF(MOD(SUMPRODUCT(--MID(P117,{1,2,3,4,5,6,7,8,9,10,11,12},1),{5,4,3,2,9,8,7,6,5,4,3,2}),11)&lt;2,0,11-MOD(SUMPRODUCT(--MID(P117,{1,2,3,4,5,6,7,8,9,10,11,12},1),{5,4,3,2,9,8,7,6,5,4,3,2}),11)),VALUE(MID(P117,14,1))=IF(MOD(SUMPRODUCT(--MID(P117,{1,2,3,4,5,6,7,8,9,10,11,12,13},1),{6,5,4,3,2,9,8,7,6,5,4,3,2}),11)&lt;2,0,11-MOD(SUMPRODUCT(--MID(P117,{1,2,3,4,5,6,7,8,9,10,11,12,13},1),{6,5,4,3,2,9,8,7,6,5,4,3,2}),11))),"OK","ERRO: dígito verificador")))))</f>
      </c>
      <c r="R117" s="6">
        <f>IF(P117="","",IF(COUNTIF($P$2:$P$1001,P117)&gt;1,"DUPLICADO","OK"))</f>
      </c>
      <c r="S117" s="6">
        <f>IF(AND(J117="",K117=""),"vazio",IF(AND(OR(J117="",LEN(SUBSTITUTE(SUBSTITUTE(SUBSTITUTE(SUBSTITUTE(SUBSTITUTE(SUBSTITUTE(SUBSTITUTE(TRIM(J117),".",""),"/",""),"-","")," ",""),"(",""),")",""),"+",""))=10,LEN(SUBSTITUTE(SUBSTITUTE(SUBSTITUTE(SUBSTITUTE(SUBSTITUTE(SUBSTITUTE(SUBSTITUTE(TRIM(J117),".",""),"/",""),"-","")," ",""),"(",""),")",""),"+",""))=11),OR(K117="",LEN(SUBSTITUTE(SUBSTITUTE(SUBSTITUTE(SUBSTITUTE(SUBSTITUTE(SUBSTITUTE(SUBSTITUTE(TRIM(K117),".",""),"/",""),"-","")," ",""),"(",""),")",""),"+",""))=10,LEN(SUBSTITUTE(SUBSTITUTE(SUBSTITUTE(SUBSTITUTE(SUBSTITUTE(SUBSTITUTE(SUBSTITUTE(TRIM(K117),".",""),"/",""),"-","")," ",""),"(",""),")",""),"+",""))=11)),"OK","ERRO: use DDD + número (10 ou 11 dígitos)"))</f>
      </c>
      <c r="T117" s="6">
        <f>IF(L117="","vazio",IF(AND(ISNUMBER(FIND("@",L117)),ISNUMBER(FIND(".",MID(L117,FIND("@",L117),99))),NOT(ISNUMBER(FIND(" ",TRIM(L117)))),NOT(ISNUMBER(FIND(";",L117))),NOT(ISNUMBER(FIND(",",L117)))),"OK","ERRO: um e-mail válido por linha"))</f>
      </c>
      <c r="U117" s="6">
        <f>IF(COUNTA(A117:O117)=0,"",IF(AND(B117&lt;&gt;"",C117&lt;&gt;"",D117&lt;&gt;"",E117&lt;&gt;"",H117&lt;&gt;"",OR(J117&lt;&gt;"",L117&lt;&gt;"")),"OK","ERRO: faltam "&amp;IF(B117="","Proprietário; ","")&amp;IF(C117="","Origem; ","")&amp;IF(D117="","CNPJ; ","")&amp;IF(E117="","Razão Social; ","")&amp;IF(H117="","Sobrenome; ","")&amp;IF(AND(J117="",L117=""),"telefone ou e-mail; ","")))</f>
      </c>
      <c r="V117" s="6">
        <f>IF(COUNTA(A117:O117)=0,"",IF(AND(Q117="OK",R117="OK",LEFT(S117,4)&lt;&gt;"ERRO",LEFT(T117,4)&lt;&gt;"ERRO",U117="OK"),"OK","REVISAR"))</f>
      </c>
    </row>
    <row r="118">
      <c r="A118" s="4"/>
      <c r="B118" s="5"/>
      <c r="C118" s="5"/>
      <c r="D118" s="5"/>
      <c r="E118" s="5"/>
      <c r="F118" s="4"/>
      <c r="G118" s="4"/>
      <c r="H118" s="5"/>
      <c r="I118" s="4"/>
      <c r="J118" s="4"/>
      <c r="K118" s="4"/>
      <c r="L118" s="4"/>
      <c r="M118" s="4"/>
      <c r="N118" s="4"/>
      <c r="O118" s="4"/>
      <c r="P118" s="6">
        <f>IF(D118="","",SUBSTITUTE(SUBSTITUTE(SUBSTITUTE(SUBSTITUTE(SUBSTITUTE(SUBSTITUTE(SUBSTITUTE(TRIM(D118),".",""),"/",""),"-","")," ",""),"(",""),")",""),"+",""))</f>
      </c>
      <c r="Q118" s="6">
        <f>IF(P118="","",IF(LEN(P118)&lt;&gt;14,"ERRO: "&amp;LEN(P118)&amp;" dígitos",IF(NOT(ISNUMBER(VALUE(P118))),"ERRO: não numérico",IF(LEN(SUBSTITUTE(P118,LEFT(P118,1),""))=0,"ERRO: dígitos repetidos",IF(AND(VALUE(MID(P118,13,1))=IF(MOD(SUMPRODUCT(--MID(P118,{1,2,3,4,5,6,7,8,9,10,11,12},1),{5,4,3,2,9,8,7,6,5,4,3,2}),11)&lt;2,0,11-MOD(SUMPRODUCT(--MID(P118,{1,2,3,4,5,6,7,8,9,10,11,12},1),{5,4,3,2,9,8,7,6,5,4,3,2}),11)),VALUE(MID(P118,14,1))=IF(MOD(SUMPRODUCT(--MID(P118,{1,2,3,4,5,6,7,8,9,10,11,12,13},1),{6,5,4,3,2,9,8,7,6,5,4,3,2}),11)&lt;2,0,11-MOD(SUMPRODUCT(--MID(P118,{1,2,3,4,5,6,7,8,9,10,11,12,13},1),{6,5,4,3,2,9,8,7,6,5,4,3,2}),11))),"OK","ERRO: dígito verificador")))))</f>
      </c>
      <c r="R118" s="6">
        <f>IF(P118="","",IF(COUNTIF($P$2:$P$1001,P118)&gt;1,"DUPLICADO","OK"))</f>
      </c>
      <c r="S118" s="6">
        <f>IF(AND(J118="",K118=""),"vazio",IF(AND(OR(J118="",LEN(SUBSTITUTE(SUBSTITUTE(SUBSTITUTE(SUBSTITUTE(SUBSTITUTE(SUBSTITUTE(SUBSTITUTE(TRIM(J118),".",""),"/",""),"-","")," ",""),"(",""),")",""),"+",""))=10,LEN(SUBSTITUTE(SUBSTITUTE(SUBSTITUTE(SUBSTITUTE(SUBSTITUTE(SUBSTITUTE(SUBSTITUTE(TRIM(J118),".",""),"/",""),"-","")," ",""),"(",""),")",""),"+",""))=11),OR(K118="",LEN(SUBSTITUTE(SUBSTITUTE(SUBSTITUTE(SUBSTITUTE(SUBSTITUTE(SUBSTITUTE(SUBSTITUTE(TRIM(K118),".",""),"/",""),"-","")," ",""),"(",""),")",""),"+",""))=10,LEN(SUBSTITUTE(SUBSTITUTE(SUBSTITUTE(SUBSTITUTE(SUBSTITUTE(SUBSTITUTE(SUBSTITUTE(TRIM(K118),".",""),"/",""),"-","")," ",""),"(",""),")",""),"+",""))=11)),"OK","ERRO: use DDD + número (10 ou 11 dígitos)"))</f>
      </c>
      <c r="T118" s="6">
        <f>IF(L118="","vazio",IF(AND(ISNUMBER(FIND("@",L118)),ISNUMBER(FIND(".",MID(L118,FIND("@",L118),99))),NOT(ISNUMBER(FIND(" ",TRIM(L118)))),NOT(ISNUMBER(FIND(";",L118))),NOT(ISNUMBER(FIND(",",L118)))),"OK","ERRO: um e-mail válido por linha"))</f>
      </c>
      <c r="U118" s="6">
        <f>IF(COUNTA(A118:O118)=0,"",IF(AND(B118&lt;&gt;"",C118&lt;&gt;"",D118&lt;&gt;"",E118&lt;&gt;"",H118&lt;&gt;"",OR(J118&lt;&gt;"",L118&lt;&gt;"")),"OK","ERRO: faltam "&amp;IF(B118="","Proprietário; ","")&amp;IF(C118="","Origem; ","")&amp;IF(D118="","CNPJ; ","")&amp;IF(E118="","Razão Social; ","")&amp;IF(H118="","Sobrenome; ","")&amp;IF(AND(J118="",L118=""),"telefone ou e-mail; ","")))</f>
      </c>
      <c r="V118" s="6">
        <f>IF(COUNTA(A118:O118)=0,"",IF(AND(Q118="OK",R118="OK",LEFT(S118,4)&lt;&gt;"ERRO",LEFT(T118,4)&lt;&gt;"ERRO",U118="OK"),"OK","REVISAR"))</f>
      </c>
    </row>
    <row r="119">
      <c r="A119" s="4"/>
      <c r="B119" s="5"/>
      <c r="C119" s="5"/>
      <c r="D119" s="5"/>
      <c r="E119" s="5"/>
      <c r="F119" s="4"/>
      <c r="G119" s="4"/>
      <c r="H119" s="5"/>
      <c r="I119" s="4"/>
      <c r="J119" s="4"/>
      <c r="K119" s="4"/>
      <c r="L119" s="4"/>
      <c r="M119" s="4"/>
      <c r="N119" s="4"/>
      <c r="O119" s="4"/>
      <c r="P119" s="6">
        <f>IF(D119="","",SUBSTITUTE(SUBSTITUTE(SUBSTITUTE(SUBSTITUTE(SUBSTITUTE(SUBSTITUTE(SUBSTITUTE(TRIM(D119),".",""),"/",""),"-","")," ",""),"(",""),")",""),"+",""))</f>
      </c>
      <c r="Q119" s="6">
        <f>IF(P119="","",IF(LEN(P119)&lt;&gt;14,"ERRO: "&amp;LEN(P119)&amp;" dígitos",IF(NOT(ISNUMBER(VALUE(P119))),"ERRO: não numérico",IF(LEN(SUBSTITUTE(P119,LEFT(P119,1),""))=0,"ERRO: dígitos repetidos",IF(AND(VALUE(MID(P119,13,1))=IF(MOD(SUMPRODUCT(--MID(P119,{1,2,3,4,5,6,7,8,9,10,11,12},1),{5,4,3,2,9,8,7,6,5,4,3,2}),11)&lt;2,0,11-MOD(SUMPRODUCT(--MID(P119,{1,2,3,4,5,6,7,8,9,10,11,12},1),{5,4,3,2,9,8,7,6,5,4,3,2}),11)),VALUE(MID(P119,14,1))=IF(MOD(SUMPRODUCT(--MID(P119,{1,2,3,4,5,6,7,8,9,10,11,12,13},1),{6,5,4,3,2,9,8,7,6,5,4,3,2}),11)&lt;2,0,11-MOD(SUMPRODUCT(--MID(P119,{1,2,3,4,5,6,7,8,9,10,11,12,13},1),{6,5,4,3,2,9,8,7,6,5,4,3,2}),11))),"OK","ERRO: dígito verificador")))))</f>
      </c>
      <c r="R119" s="6">
        <f>IF(P119="","",IF(COUNTIF($P$2:$P$1001,P119)&gt;1,"DUPLICADO","OK"))</f>
      </c>
      <c r="S119" s="6">
        <f>IF(AND(J119="",K119=""),"vazio",IF(AND(OR(J119="",LEN(SUBSTITUTE(SUBSTITUTE(SUBSTITUTE(SUBSTITUTE(SUBSTITUTE(SUBSTITUTE(SUBSTITUTE(TRIM(J119),".",""),"/",""),"-","")," ",""),"(",""),")",""),"+",""))=10,LEN(SUBSTITUTE(SUBSTITUTE(SUBSTITUTE(SUBSTITUTE(SUBSTITUTE(SUBSTITUTE(SUBSTITUTE(TRIM(J119),".",""),"/",""),"-","")," ",""),"(",""),")",""),"+",""))=11),OR(K119="",LEN(SUBSTITUTE(SUBSTITUTE(SUBSTITUTE(SUBSTITUTE(SUBSTITUTE(SUBSTITUTE(SUBSTITUTE(TRIM(K119),".",""),"/",""),"-","")," ",""),"(",""),")",""),"+",""))=10,LEN(SUBSTITUTE(SUBSTITUTE(SUBSTITUTE(SUBSTITUTE(SUBSTITUTE(SUBSTITUTE(SUBSTITUTE(TRIM(K119),".",""),"/",""),"-","")," ",""),"(",""),")",""),"+",""))=11)),"OK","ERRO: use DDD + número (10 ou 11 dígitos)"))</f>
      </c>
      <c r="T119" s="6">
        <f>IF(L119="","vazio",IF(AND(ISNUMBER(FIND("@",L119)),ISNUMBER(FIND(".",MID(L119,FIND("@",L119),99))),NOT(ISNUMBER(FIND(" ",TRIM(L119)))),NOT(ISNUMBER(FIND(";",L119))),NOT(ISNUMBER(FIND(",",L119)))),"OK","ERRO: um e-mail válido por linha"))</f>
      </c>
      <c r="U119" s="6">
        <f>IF(COUNTA(A119:O119)=0,"",IF(AND(B119&lt;&gt;"",C119&lt;&gt;"",D119&lt;&gt;"",E119&lt;&gt;"",H119&lt;&gt;"",OR(J119&lt;&gt;"",L119&lt;&gt;"")),"OK","ERRO: faltam "&amp;IF(B119="","Proprietário; ","")&amp;IF(C119="","Origem; ","")&amp;IF(D119="","CNPJ; ","")&amp;IF(E119="","Razão Social; ","")&amp;IF(H119="","Sobrenome; ","")&amp;IF(AND(J119="",L119=""),"telefone ou e-mail; ","")))</f>
      </c>
      <c r="V119" s="6">
        <f>IF(COUNTA(A119:O119)=0,"",IF(AND(Q119="OK",R119="OK",LEFT(S119,4)&lt;&gt;"ERRO",LEFT(T119,4)&lt;&gt;"ERRO",U119="OK"),"OK","REVISAR"))</f>
      </c>
    </row>
    <row r="120">
      <c r="A120" s="4"/>
      <c r="B120" s="5"/>
      <c r="C120" s="5"/>
      <c r="D120" s="5"/>
      <c r="E120" s="5"/>
      <c r="F120" s="4"/>
      <c r="G120" s="4"/>
      <c r="H120" s="5"/>
      <c r="I120" s="4"/>
      <c r="J120" s="4"/>
      <c r="K120" s="4"/>
      <c r="L120" s="4"/>
      <c r="M120" s="4"/>
      <c r="N120" s="4"/>
      <c r="O120" s="4"/>
      <c r="P120" s="6">
        <f>IF(D120="","",SUBSTITUTE(SUBSTITUTE(SUBSTITUTE(SUBSTITUTE(SUBSTITUTE(SUBSTITUTE(SUBSTITUTE(TRIM(D120),".",""),"/",""),"-","")," ",""),"(",""),")",""),"+",""))</f>
      </c>
      <c r="Q120" s="6">
        <f>IF(P120="","",IF(LEN(P120)&lt;&gt;14,"ERRO: "&amp;LEN(P120)&amp;" dígitos",IF(NOT(ISNUMBER(VALUE(P120))),"ERRO: não numérico",IF(LEN(SUBSTITUTE(P120,LEFT(P120,1),""))=0,"ERRO: dígitos repetidos",IF(AND(VALUE(MID(P120,13,1))=IF(MOD(SUMPRODUCT(--MID(P120,{1,2,3,4,5,6,7,8,9,10,11,12},1),{5,4,3,2,9,8,7,6,5,4,3,2}),11)&lt;2,0,11-MOD(SUMPRODUCT(--MID(P120,{1,2,3,4,5,6,7,8,9,10,11,12},1),{5,4,3,2,9,8,7,6,5,4,3,2}),11)),VALUE(MID(P120,14,1))=IF(MOD(SUMPRODUCT(--MID(P120,{1,2,3,4,5,6,7,8,9,10,11,12,13},1),{6,5,4,3,2,9,8,7,6,5,4,3,2}),11)&lt;2,0,11-MOD(SUMPRODUCT(--MID(P120,{1,2,3,4,5,6,7,8,9,10,11,12,13},1),{6,5,4,3,2,9,8,7,6,5,4,3,2}),11))),"OK","ERRO: dígito verificador")))))</f>
      </c>
      <c r="R120" s="6">
        <f>IF(P120="","",IF(COUNTIF($P$2:$P$1001,P120)&gt;1,"DUPLICADO","OK"))</f>
      </c>
      <c r="S120" s="6">
        <f>IF(AND(J120="",K120=""),"vazio",IF(AND(OR(J120="",LEN(SUBSTITUTE(SUBSTITUTE(SUBSTITUTE(SUBSTITUTE(SUBSTITUTE(SUBSTITUTE(SUBSTITUTE(TRIM(J120),".",""),"/",""),"-","")," ",""),"(",""),")",""),"+",""))=10,LEN(SUBSTITUTE(SUBSTITUTE(SUBSTITUTE(SUBSTITUTE(SUBSTITUTE(SUBSTITUTE(SUBSTITUTE(TRIM(J120),".",""),"/",""),"-","")," ",""),"(",""),")",""),"+",""))=11),OR(K120="",LEN(SUBSTITUTE(SUBSTITUTE(SUBSTITUTE(SUBSTITUTE(SUBSTITUTE(SUBSTITUTE(SUBSTITUTE(TRIM(K120),".",""),"/",""),"-","")," ",""),"(",""),")",""),"+",""))=10,LEN(SUBSTITUTE(SUBSTITUTE(SUBSTITUTE(SUBSTITUTE(SUBSTITUTE(SUBSTITUTE(SUBSTITUTE(TRIM(K120),".",""),"/",""),"-","")," ",""),"(",""),")",""),"+",""))=11)),"OK","ERRO: use DDD + número (10 ou 11 dígitos)"))</f>
      </c>
      <c r="T120" s="6">
        <f>IF(L120="","vazio",IF(AND(ISNUMBER(FIND("@",L120)),ISNUMBER(FIND(".",MID(L120,FIND("@",L120),99))),NOT(ISNUMBER(FIND(" ",TRIM(L120)))),NOT(ISNUMBER(FIND(";",L120))),NOT(ISNUMBER(FIND(",",L120)))),"OK","ERRO: um e-mail válido por linha"))</f>
      </c>
      <c r="U120" s="6">
        <f>IF(COUNTA(A120:O120)=0,"",IF(AND(B120&lt;&gt;"",C120&lt;&gt;"",D120&lt;&gt;"",E120&lt;&gt;"",H120&lt;&gt;"",OR(J120&lt;&gt;"",L120&lt;&gt;"")),"OK","ERRO: faltam "&amp;IF(B120="","Proprietário; ","")&amp;IF(C120="","Origem; ","")&amp;IF(D120="","CNPJ; ","")&amp;IF(E120="","Razão Social; ","")&amp;IF(H120="","Sobrenome; ","")&amp;IF(AND(J120="",L120=""),"telefone ou e-mail; ","")))</f>
      </c>
      <c r="V120" s="6">
        <f>IF(COUNTA(A120:O120)=0,"",IF(AND(Q120="OK",R120="OK",LEFT(S120,4)&lt;&gt;"ERRO",LEFT(T120,4)&lt;&gt;"ERRO",U120="OK"),"OK","REVISAR"))</f>
      </c>
    </row>
    <row r="121">
      <c r="A121" s="4"/>
      <c r="B121" s="5"/>
      <c r="C121" s="5"/>
      <c r="D121" s="5"/>
      <c r="E121" s="5"/>
      <c r="F121" s="4"/>
      <c r="G121" s="4"/>
      <c r="H121" s="5"/>
      <c r="I121" s="4"/>
      <c r="J121" s="4"/>
      <c r="K121" s="4"/>
      <c r="L121" s="4"/>
      <c r="M121" s="4"/>
      <c r="N121" s="4"/>
      <c r="O121" s="4"/>
      <c r="P121" s="6">
        <f>IF(D121="","",SUBSTITUTE(SUBSTITUTE(SUBSTITUTE(SUBSTITUTE(SUBSTITUTE(SUBSTITUTE(SUBSTITUTE(TRIM(D121),".",""),"/",""),"-","")," ",""),"(",""),")",""),"+",""))</f>
      </c>
      <c r="Q121" s="6">
        <f>IF(P121="","",IF(LEN(P121)&lt;&gt;14,"ERRO: "&amp;LEN(P121)&amp;" dígitos",IF(NOT(ISNUMBER(VALUE(P121))),"ERRO: não numérico",IF(LEN(SUBSTITUTE(P121,LEFT(P121,1),""))=0,"ERRO: dígitos repetidos",IF(AND(VALUE(MID(P121,13,1))=IF(MOD(SUMPRODUCT(--MID(P121,{1,2,3,4,5,6,7,8,9,10,11,12},1),{5,4,3,2,9,8,7,6,5,4,3,2}),11)&lt;2,0,11-MOD(SUMPRODUCT(--MID(P121,{1,2,3,4,5,6,7,8,9,10,11,12},1),{5,4,3,2,9,8,7,6,5,4,3,2}),11)),VALUE(MID(P121,14,1))=IF(MOD(SUMPRODUCT(--MID(P121,{1,2,3,4,5,6,7,8,9,10,11,12,13},1),{6,5,4,3,2,9,8,7,6,5,4,3,2}),11)&lt;2,0,11-MOD(SUMPRODUCT(--MID(P121,{1,2,3,4,5,6,7,8,9,10,11,12,13},1),{6,5,4,3,2,9,8,7,6,5,4,3,2}),11))),"OK","ERRO: dígito verificador")))))</f>
      </c>
      <c r="R121" s="6">
        <f>IF(P121="","",IF(COUNTIF($P$2:$P$1001,P121)&gt;1,"DUPLICADO","OK"))</f>
      </c>
      <c r="S121" s="6">
        <f>IF(AND(J121="",K121=""),"vazio",IF(AND(OR(J121="",LEN(SUBSTITUTE(SUBSTITUTE(SUBSTITUTE(SUBSTITUTE(SUBSTITUTE(SUBSTITUTE(SUBSTITUTE(TRIM(J121),".",""),"/",""),"-","")," ",""),"(",""),")",""),"+",""))=10,LEN(SUBSTITUTE(SUBSTITUTE(SUBSTITUTE(SUBSTITUTE(SUBSTITUTE(SUBSTITUTE(SUBSTITUTE(TRIM(J121),".",""),"/",""),"-","")," ",""),"(",""),")",""),"+",""))=11),OR(K121="",LEN(SUBSTITUTE(SUBSTITUTE(SUBSTITUTE(SUBSTITUTE(SUBSTITUTE(SUBSTITUTE(SUBSTITUTE(TRIM(K121),".",""),"/",""),"-","")," ",""),"(",""),")",""),"+",""))=10,LEN(SUBSTITUTE(SUBSTITUTE(SUBSTITUTE(SUBSTITUTE(SUBSTITUTE(SUBSTITUTE(SUBSTITUTE(TRIM(K121),".",""),"/",""),"-","")," ",""),"(",""),")",""),"+",""))=11)),"OK","ERRO: use DDD + número (10 ou 11 dígitos)"))</f>
      </c>
      <c r="T121" s="6">
        <f>IF(L121="","vazio",IF(AND(ISNUMBER(FIND("@",L121)),ISNUMBER(FIND(".",MID(L121,FIND("@",L121),99))),NOT(ISNUMBER(FIND(" ",TRIM(L121)))),NOT(ISNUMBER(FIND(";",L121))),NOT(ISNUMBER(FIND(",",L121)))),"OK","ERRO: um e-mail válido por linha"))</f>
      </c>
      <c r="U121" s="6">
        <f>IF(COUNTA(A121:O121)=0,"",IF(AND(B121&lt;&gt;"",C121&lt;&gt;"",D121&lt;&gt;"",E121&lt;&gt;"",H121&lt;&gt;"",OR(J121&lt;&gt;"",L121&lt;&gt;"")),"OK","ERRO: faltam "&amp;IF(B121="","Proprietário; ","")&amp;IF(C121="","Origem; ","")&amp;IF(D121="","CNPJ; ","")&amp;IF(E121="","Razão Social; ","")&amp;IF(H121="","Sobrenome; ","")&amp;IF(AND(J121="",L121=""),"telefone ou e-mail; ","")))</f>
      </c>
      <c r="V121" s="6">
        <f>IF(COUNTA(A121:O121)=0,"",IF(AND(Q121="OK",R121="OK",LEFT(S121,4)&lt;&gt;"ERRO",LEFT(T121,4)&lt;&gt;"ERRO",U121="OK"),"OK","REVISAR"))</f>
      </c>
    </row>
    <row r="122">
      <c r="A122" s="4"/>
      <c r="B122" s="5"/>
      <c r="C122" s="5"/>
      <c r="D122" s="5"/>
      <c r="E122" s="5"/>
      <c r="F122" s="4"/>
      <c r="G122" s="4"/>
      <c r="H122" s="5"/>
      <c r="I122" s="4"/>
      <c r="J122" s="4"/>
      <c r="K122" s="4"/>
      <c r="L122" s="4"/>
      <c r="M122" s="4"/>
      <c r="N122" s="4"/>
      <c r="O122" s="4"/>
      <c r="P122" s="6">
        <f>IF(D122="","",SUBSTITUTE(SUBSTITUTE(SUBSTITUTE(SUBSTITUTE(SUBSTITUTE(SUBSTITUTE(SUBSTITUTE(TRIM(D122),".",""),"/",""),"-","")," ",""),"(",""),")",""),"+",""))</f>
      </c>
      <c r="Q122" s="6">
        <f>IF(P122="","",IF(LEN(P122)&lt;&gt;14,"ERRO: "&amp;LEN(P122)&amp;" dígitos",IF(NOT(ISNUMBER(VALUE(P122))),"ERRO: não numérico",IF(LEN(SUBSTITUTE(P122,LEFT(P122,1),""))=0,"ERRO: dígitos repetidos",IF(AND(VALUE(MID(P122,13,1))=IF(MOD(SUMPRODUCT(--MID(P122,{1,2,3,4,5,6,7,8,9,10,11,12},1),{5,4,3,2,9,8,7,6,5,4,3,2}),11)&lt;2,0,11-MOD(SUMPRODUCT(--MID(P122,{1,2,3,4,5,6,7,8,9,10,11,12},1),{5,4,3,2,9,8,7,6,5,4,3,2}),11)),VALUE(MID(P122,14,1))=IF(MOD(SUMPRODUCT(--MID(P122,{1,2,3,4,5,6,7,8,9,10,11,12,13},1),{6,5,4,3,2,9,8,7,6,5,4,3,2}),11)&lt;2,0,11-MOD(SUMPRODUCT(--MID(P122,{1,2,3,4,5,6,7,8,9,10,11,12,13},1),{6,5,4,3,2,9,8,7,6,5,4,3,2}),11))),"OK","ERRO: dígito verificador")))))</f>
      </c>
      <c r="R122" s="6">
        <f>IF(P122="","",IF(COUNTIF($P$2:$P$1001,P122)&gt;1,"DUPLICADO","OK"))</f>
      </c>
      <c r="S122" s="6">
        <f>IF(AND(J122="",K122=""),"vazio",IF(AND(OR(J122="",LEN(SUBSTITUTE(SUBSTITUTE(SUBSTITUTE(SUBSTITUTE(SUBSTITUTE(SUBSTITUTE(SUBSTITUTE(TRIM(J122),".",""),"/",""),"-","")," ",""),"(",""),")",""),"+",""))=10,LEN(SUBSTITUTE(SUBSTITUTE(SUBSTITUTE(SUBSTITUTE(SUBSTITUTE(SUBSTITUTE(SUBSTITUTE(TRIM(J122),".",""),"/",""),"-","")," ",""),"(",""),")",""),"+",""))=11),OR(K122="",LEN(SUBSTITUTE(SUBSTITUTE(SUBSTITUTE(SUBSTITUTE(SUBSTITUTE(SUBSTITUTE(SUBSTITUTE(TRIM(K122),".",""),"/",""),"-","")," ",""),"(",""),")",""),"+",""))=10,LEN(SUBSTITUTE(SUBSTITUTE(SUBSTITUTE(SUBSTITUTE(SUBSTITUTE(SUBSTITUTE(SUBSTITUTE(TRIM(K122),".",""),"/",""),"-","")," ",""),"(",""),")",""),"+",""))=11)),"OK","ERRO: use DDD + número (10 ou 11 dígitos)"))</f>
      </c>
      <c r="T122" s="6">
        <f>IF(L122="","vazio",IF(AND(ISNUMBER(FIND("@",L122)),ISNUMBER(FIND(".",MID(L122,FIND("@",L122),99))),NOT(ISNUMBER(FIND(" ",TRIM(L122)))),NOT(ISNUMBER(FIND(";",L122))),NOT(ISNUMBER(FIND(",",L122)))),"OK","ERRO: um e-mail válido por linha"))</f>
      </c>
      <c r="U122" s="6">
        <f>IF(COUNTA(A122:O122)=0,"",IF(AND(B122&lt;&gt;"",C122&lt;&gt;"",D122&lt;&gt;"",E122&lt;&gt;"",H122&lt;&gt;"",OR(J122&lt;&gt;"",L122&lt;&gt;"")),"OK","ERRO: faltam "&amp;IF(B122="","Proprietário; ","")&amp;IF(C122="","Origem; ","")&amp;IF(D122="","CNPJ; ","")&amp;IF(E122="","Razão Social; ","")&amp;IF(H122="","Sobrenome; ","")&amp;IF(AND(J122="",L122=""),"telefone ou e-mail; ","")))</f>
      </c>
      <c r="V122" s="6">
        <f>IF(COUNTA(A122:O122)=0,"",IF(AND(Q122="OK",R122="OK",LEFT(S122,4)&lt;&gt;"ERRO",LEFT(T122,4)&lt;&gt;"ERRO",U122="OK"),"OK","REVISAR"))</f>
      </c>
    </row>
    <row r="123">
      <c r="A123" s="4"/>
      <c r="B123" s="5"/>
      <c r="C123" s="5"/>
      <c r="D123" s="5"/>
      <c r="E123" s="5"/>
      <c r="F123" s="4"/>
      <c r="G123" s="4"/>
      <c r="H123" s="5"/>
      <c r="I123" s="4"/>
      <c r="J123" s="4"/>
      <c r="K123" s="4"/>
      <c r="L123" s="4"/>
      <c r="M123" s="4"/>
      <c r="N123" s="4"/>
      <c r="O123" s="4"/>
      <c r="P123" s="6">
        <f>IF(D123="","",SUBSTITUTE(SUBSTITUTE(SUBSTITUTE(SUBSTITUTE(SUBSTITUTE(SUBSTITUTE(SUBSTITUTE(TRIM(D123),".",""),"/",""),"-","")," ",""),"(",""),")",""),"+",""))</f>
      </c>
      <c r="Q123" s="6">
        <f>IF(P123="","",IF(LEN(P123)&lt;&gt;14,"ERRO: "&amp;LEN(P123)&amp;" dígitos",IF(NOT(ISNUMBER(VALUE(P123))),"ERRO: não numérico",IF(LEN(SUBSTITUTE(P123,LEFT(P123,1),""))=0,"ERRO: dígitos repetidos",IF(AND(VALUE(MID(P123,13,1))=IF(MOD(SUMPRODUCT(--MID(P123,{1,2,3,4,5,6,7,8,9,10,11,12},1),{5,4,3,2,9,8,7,6,5,4,3,2}),11)&lt;2,0,11-MOD(SUMPRODUCT(--MID(P123,{1,2,3,4,5,6,7,8,9,10,11,12},1),{5,4,3,2,9,8,7,6,5,4,3,2}),11)),VALUE(MID(P123,14,1))=IF(MOD(SUMPRODUCT(--MID(P123,{1,2,3,4,5,6,7,8,9,10,11,12,13},1),{6,5,4,3,2,9,8,7,6,5,4,3,2}),11)&lt;2,0,11-MOD(SUMPRODUCT(--MID(P123,{1,2,3,4,5,6,7,8,9,10,11,12,13},1),{6,5,4,3,2,9,8,7,6,5,4,3,2}),11))),"OK","ERRO: dígito verificador")))))</f>
      </c>
      <c r="R123" s="6">
        <f>IF(P123="","",IF(COUNTIF($P$2:$P$1001,P123)&gt;1,"DUPLICADO","OK"))</f>
      </c>
      <c r="S123" s="6">
        <f>IF(AND(J123="",K123=""),"vazio",IF(AND(OR(J123="",LEN(SUBSTITUTE(SUBSTITUTE(SUBSTITUTE(SUBSTITUTE(SUBSTITUTE(SUBSTITUTE(SUBSTITUTE(TRIM(J123),".",""),"/",""),"-","")," ",""),"(",""),")",""),"+",""))=10,LEN(SUBSTITUTE(SUBSTITUTE(SUBSTITUTE(SUBSTITUTE(SUBSTITUTE(SUBSTITUTE(SUBSTITUTE(TRIM(J123),".",""),"/",""),"-","")," ",""),"(",""),")",""),"+",""))=11),OR(K123="",LEN(SUBSTITUTE(SUBSTITUTE(SUBSTITUTE(SUBSTITUTE(SUBSTITUTE(SUBSTITUTE(SUBSTITUTE(TRIM(K123),".",""),"/",""),"-","")," ",""),"(",""),")",""),"+",""))=10,LEN(SUBSTITUTE(SUBSTITUTE(SUBSTITUTE(SUBSTITUTE(SUBSTITUTE(SUBSTITUTE(SUBSTITUTE(TRIM(K123),".",""),"/",""),"-","")," ",""),"(",""),")",""),"+",""))=11)),"OK","ERRO: use DDD + número (10 ou 11 dígitos)"))</f>
      </c>
      <c r="T123" s="6">
        <f>IF(L123="","vazio",IF(AND(ISNUMBER(FIND("@",L123)),ISNUMBER(FIND(".",MID(L123,FIND("@",L123),99))),NOT(ISNUMBER(FIND(" ",TRIM(L123)))),NOT(ISNUMBER(FIND(";",L123))),NOT(ISNUMBER(FIND(",",L123)))),"OK","ERRO: um e-mail válido por linha"))</f>
      </c>
      <c r="U123" s="6">
        <f>IF(COUNTA(A123:O123)=0,"",IF(AND(B123&lt;&gt;"",C123&lt;&gt;"",D123&lt;&gt;"",E123&lt;&gt;"",H123&lt;&gt;"",OR(J123&lt;&gt;"",L123&lt;&gt;"")),"OK","ERRO: faltam "&amp;IF(B123="","Proprietário; ","")&amp;IF(C123="","Origem; ","")&amp;IF(D123="","CNPJ; ","")&amp;IF(E123="","Razão Social; ","")&amp;IF(H123="","Sobrenome; ","")&amp;IF(AND(J123="",L123=""),"telefone ou e-mail; ","")))</f>
      </c>
      <c r="V123" s="6">
        <f>IF(COUNTA(A123:O123)=0,"",IF(AND(Q123="OK",R123="OK",LEFT(S123,4)&lt;&gt;"ERRO",LEFT(T123,4)&lt;&gt;"ERRO",U123="OK"),"OK","REVISAR"))</f>
      </c>
    </row>
    <row r="124">
      <c r="A124" s="4"/>
      <c r="B124" s="5"/>
      <c r="C124" s="5"/>
      <c r="D124" s="5"/>
      <c r="E124" s="5"/>
      <c r="F124" s="4"/>
      <c r="G124" s="4"/>
      <c r="H124" s="5"/>
      <c r="I124" s="4"/>
      <c r="J124" s="4"/>
      <c r="K124" s="4"/>
      <c r="L124" s="4"/>
      <c r="M124" s="4"/>
      <c r="N124" s="4"/>
      <c r="O124" s="4"/>
      <c r="P124" s="6">
        <f>IF(D124="","",SUBSTITUTE(SUBSTITUTE(SUBSTITUTE(SUBSTITUTE(SUBSTITUTE(SUBSTITUTE(SUBSTITUTE(TRIM(D124),".",""),"/",""),"-","")," ",""),"(",""),")",""),"+",""))</f>
      </c>
      <c r="Q124" s="6">
        <f>IF(P124="","",IF(LEN(P124)&lt;&gt;14,"ERRO: "&amp;LEN(P124)&amp;" dígitos",IF(NOT(ISNUMBER(VALUE(P124))),"ERRO: não numérico",IF(LEN(SUBSTITUTE(P124,LEFT(P124,1),""))=0,"ERRO: dígitos repetidos",IF(AND(VALUE(MID(P124,13,1))=IF(MOD(SUMPRODUCT(--MID(P124,{1,2,3,4,5,6,7,8,9,10,11,12},1),{5,4,3,2,9,8,7,6,5,4,3,2}),11)&lt;2,0,11-MOD(SUMPRODUCT(--MID(P124,{1,2,3,4,5,6,7,8,9,10,11,12},1),{5,4,3,2,9,8,7,6,5,4,3,2}),11)),VALUE(MID(P124,14,1))=IF(MOD(SUMPRODUCT(--MID(P124,{1,2,3,4,5,6,7,8,9,10,11,12,13},1),{6,5,4,3,2,9,8,7,6,5,4,3,2}),11)&lt;2,0,11-MOD(SUMPRODUCT(--MID(P124,{1,2,3,4,5,6,7,8,9,10,11,12,13},1),{6,5,4,3,2,9,8,7,6,5,4,3,2}),11))),"OK","ERRO: dígito verificador")))))</f>
      </c>
      <c r="R124" s="6">
        <f>IF(P124="","",IF(COUNTIF($P$2:$P$1001,P124)&gt;1,"DUPLICADO","OK"))</f>
      </c>
      <c r="S124" s="6">
        <f>IF(AND(J124="",K124=""),"vazio",IF(AND(OR(J124="",LEN(SUBSTITUTE(SUBSTITUTE(SUBSTITUTE(SUBSTITUTE(SUBSTITUTE(SUBSTITUTE(SUBSTITUTE(TRIM(J124),".",""),"/",""),"-","")," ",""),"(",""),")",""),"+",""))=10,LEN(SUBSTITUTE(SUBSTITUTE(SUBSTITUTE(SUBSTITUTE(SUBSTITUTE(SUBSTITUTE(SUBSTITUTE(TRIM(J124),".",""),"/",""),"-","")," ",""),"(",""),")",""),"+",""))=11),OR(K124="",LEN(SUBSTITUTE(SUBSTITUTE(SUBSTITUTE(SUBSTITUTE(SUBSTITUTE(SUBSTITUTE(SUBSTITUTE(TRIM(K124),".",""),"/",""),"-","")," ",""),"(",""),")",""),"+",""))=10,LEN(SUBSTITUTE(SUBSTITUTE(SUBSTITUTE(SUBSTITUTE(SUBSTITUTE(SUBSTITUTE(SUBSTITUTE(TRIM(K124),".",""),"/",""),"-","")," ",""),"(",""),")",""),"+",""))=11)),"OK","ERRO: use DDD + número (10 ou 11 dígitos)"))</f>
      </c>
      <c r="T124" s="6">
        <f>IF(L124="","vazio",IF(AND(ISNUMBER(FIND("@",L124)),ISNUMBER(FIND(".",MID(L124,FIND("@",L124),99))),NOT(ISNUMBER(FIND(" ",TRIM(L124)))),NOT(ISNUMBER(FIND(";",L124))),NOT(ISNUMBER(FIND(",",L124)))),"OK","ERRO: um e-mail válido por linha"))</f>
      </c>
      <c r="U124" s="6">
        <f>IF(COUNTA(A124:O124)=0,"",IF(AND(B124&lt;&gt;"",C124&lt;&gt;"",D124&lt;&gt;"",E124&lt;&gt;"",H124&lt;&gt;"",OR(J124&lt;&gt;"",L124&lt;&gt;"")),"OK","ERRO: faltam "&amp;IF(B124="","Proprietário; ","")&amp;IF(C124="","Origem; ","")&amp;IF(D124="","CNPJ; ","")&amp;IF(E124="","Razão Social; ","")&amp;IF(H124="","Sobrenome; ","")&amp;IF(AND(J124="",L124=""),"telefone ou e-mail; ","")))</f>
      </c>
      <c r="V124" s="6">
        <f>IF(COUNTA(A124:O124)=0,"",IF(AND(Q124="OK",R124="OK",LEFT(S124,4)&lt;&gt;"ERRO",LEFT(T124,4)&lt;&gt;"ERRO",U124="OK"),"OK","REVISAR"))</f>
      </c>
    </row>
    <row r="125">
      <c r="A125" s="4"/>
      <c r="B125" s="5"/>
      <c r="C125" s="5"/>
      <c r="D125" s="5"/>
      <c r="E125" s="5"/>
      <c r="F125" s="4"/>
      <c r="G125" s="4"/>
      <c r="H125" s="5"/>
      <c r="I125" s="4"/>
      <c r="J125" s="4"/>
      <c r="K125" s="4"/>
      <c r="L125" s="4"/>
      <c r="M125" s="4"/>
      <c r="N125" s="4"/>
      <c r="O125" s="4"/>
      <c r="P125" s="6">
        <f>IF(D125="","",SUBSTITUTE(SUBSTITUTE(SUBSTITUTE(SUBSTITUTE(SUBSTITUTE(SUBSTITUTE(SUBSTITUTE(TRIM(D125),".",""),"/",""),"-","")," ",""),"(",""),")",""),"+",""))</f>
      </c>
      <c r="Q125" s="6">
        <f>IF(P125="","",IF(LEN(P125)&lt;&gt;14,"ERRO: "&amp;LEN(P125)&amp;" dígitos",IF(NOT(ISNUMBER(VALUE(P125))),"ERRO: não numérico",IF(LEN(SUBSTITUTE(P125,LEFT(P125,1),""))=0,"ERRO: dígitos repetidos",IF(AND(VALUE(MID(P125,13,1))=IF(MOD(SUMPRODUCT(--MID(P125,{1,2,3,4,5,6,7,8,9,10,11,12},1),{5,4,3,2,9,8,7,6,5,4,3,2}),11)&lt;2,0,11-MOD(SUMPRODUCT(--MID(P125,{1,2,3,4,5,6,7,8,9,10,11,12},1),{5,4,3,2,9,8,7,6,5,4,3,2}),11)),VALUE(MID(P125,14,1))=IF(MOD(SUMPRODUCT(--MID(P125,{1,2,3,4,5,6,7,8,9,10,11,12,13},1),{6,5,4,3,2,9,8,7,6,5,4,3,2}),11)&lt;2,0,11-MOD(SUMPRODUCT(--MID(P125,{1,2,3,4,5,6,7,8,9,10,11,12,13},1),{6,5,4,3,2,9,8,7,6,5,4,3,2}),11))),"OK","ERRO: dígito verificador")))))</f>
      </c>
      <c r="R125" s="6">
        <f>IF(P125="","",IF(COUNTIF($P$2:$P$1001,P125)&gt;1,"DUPLICADO","OK"))</f>
      </c>
      <c r="S125" s="6">
        <f>IF(AND(J125="",K125=""),"vazio",IF(AND(OR(J125="",LEN(SUBSTITUTE(SUBSTITUTE(SUBSTITUTE(SUBSTITUTE(SUBSTITUTE(SUBSTITUTE(SUBSTITUTE(TRIM(J125),".",""),"/",""),"-","")," ",""),"(",""),")",""),"+",""))=10,LEN(SUBSTITUTE(SUBSTITUTE(SUBSTITUTE(SUBSTITUTE(SUBSTITUTE(SUBSTITUTE(SUBSTITUTE(TRIM(J125),".",""),"/",""),"-","")," ",""),"(",""),")",""),"+",""))=11),OR(K125="",LEN(SUBSTITUTE(SUBSTITUTE(SUBSTITUTE(SUBSTITUTE(SUBSTITUTE(SUBSTITUTE(SUBSTITUTE(TRIM(K125),".",""),"/",""),"-","")," ",""),"(",""),")",""),"+",""))=10,LEN(SUBSTITUTE(SUBSTITUTE(SUBSTITUTE(SUBSTITUTE(SUBSTITUTE(SUBSTITUTE(SUBSTITUTE(TRIM(K125),".",""),"/",""),"-","")," ",""),"(",""),")",""),"+",""))=11)),"OK","ERRO: use DDD + número (10 ou 11 dígitos)"))</f>
      </c>
      <c r="T125" s="6">
        <f>IF(L125="","vazio",IF(AND(ISNUMBER(FIND("@",L125)),ISNUMBER(FIND(".",MID(L125,FIND("@",L125),99))),NOT(ISNUMBER(FIND(" ",TRIM(L125)))),NOT(ISNUMBER(FIND(";",L125))),NOT(ISNUMBER(FIND(",",L125)))),"OK","ERRO: um e-mail válido por linha"))</f>
      </c>
      <c r="U125" s="6">
        <f>IF(COUNTA(A125:O125)=0,"",IF(AND(B125&lt;&gt;"",C125&lt;&gt;"",D125&lt;&gt;"",E125&lt;&gt;"",H125&lt;&gt;"",OR(J125&lt;&gt;"",L125&lt;&gt;"")),"OK","ERRO: faltam "&amp;IF(B125="","Proprietário; ","")&amp;IF(C125="","Origem; ","")&amp;IF(D125="","CNPJ; ","")&amp;IF(E125="","Razão Social; ","")&amp;IF(H125="","Sobrenome; ","")&amp;IF(AND(J125="",L125=""),"telefone ou e-mail; ","")))</f>
      </c>
      <c r="V125" s="6">
        <f>IF(COUNTA(A125:O125)=0,"",IF(AND(Q125="OK",R125="OK",LEFT(S125,4)&lt;&gt;"ERRO",LEFT(T125,4)&lt;&gt;"ERRO",U125="OK"),"OK","REVISAR"))</f>
      </c>
    </row>
    <row r="126">
      <c r="A126" s="4"/>
      <c r="B126" s="5"/>
      <c r="C126" s="5"/>
      <c r="D126" s="5"/>
      <c r="E126" s="5"/>
      <c r="F126" s="4"/>
      <c r="G126" s="4"/>
      <c r="H126" s="5"/>
      <c r="I126" s="4"/>
      <c r="J126" s="4"/>
      <c r="K126" s="4"/>
      <c r="L126" s="4"/>
      <c r="M126" s="4"/>
      <c r="N126" s="4"/>
      <c r="O126" s="4"/>
      <c r="P126" s="6">
        <f>IF(D126="","",SUBSTITUTE(SUBSTITUTE(SUBSTITUTE(SUBSTITUTE(SUBSTITUTE(SUBSTITUTE(SUBSTITUTE(TRIM(D126),".",""),"/",""),"-","")," ",""),"(",""),")",""),"+",""))</f>
      </c>
      <c r="Q126" s="6">
        <f>IF(P126="","",IF(LEN(P126)&lt;&gt;14,"ERRO: "&amp;LEN(P126)&amp;" dígitos",IF(NOT(ISNUMBER(VALUE(P126))),"ERRO: não numérico",IF(LEN(SUBSTITUTE(P126,LEFT(P126,1),""))=0,"ERRO: dígitos repetidos",IF(AND(VALUE(MID(P126,13,1))=IF(MOD(SUMPRODUCT(--MID(P126,{1,2,3,4,5,6,7,8,9,10,11,12},1),{5,4,3,2,9,8,7,6,5,4,3,2}),11)&lt;2,0,11-MOD(SUMPRODUCT(--MID(P126,{1,2,3,4,5,6,7,8,9,10,11,12},1),{5,4,3,2,9,8,7,6,5,4,3,2}),11)),VALUE(MID(P126,14,1))=IF(MOD(SUMPRODUCT(--MID(P126,{1,2,3,4,5,6,7,8,9,10,11,12,13},1),{6,5,4,3,2,9,8,7,6,5,4,3,2}),11)&lt;2,0,11-MOD(SUMPRODUCT(--MID(P126,{1,2,3,4,5,6,7,8,9,10,11,12,13},1),{6,5,4,3,2,9,8,7,6,5,4,3,2}),11))),"OK","ERRO: dígito verificador")))))</f>
      </c>
      <c r="R126" s="6">
        <f>IF(P126="","",IF(COUNTIF($P$2:$P$1001,P126)&gt;1,"DUPLICADO","OK"))</f>
      </c>
      <c r="S126" s="6">
        <f>IF(AND(J126="",K126=""),"vazio",IF(AND(OR(J126="",LEN(SUBSTITUTE(SUBSTITUTE(SUBSTITUTE(SUBSTITUTE(SUBSTITUTE(SUBSTITUTE(SUBSTITUTE(TRIM(J126),".",""),"/",""),"-","")," ",""),"(",""),")",""),"+",""))=10,LEN(SUBSTITUTE(SUBSTITUTE(SUBSTITUTE(SUBSTITUTE(SUBSTITUTE(SUBSTITUTE(SUBSTITUTE(TRIM(J126),".",""),"/",""),"-","")," ",""),"(",""),")",""),"+",""))=11),OR(K126="",LEN(SUBSTITUTE(SUBSTITUTE(SUBSTITUTE(SUBSTITUTE(SUBSTITUTE(SUBSTITUTE(SUBSTITUTE(TRIM(K126),".",""),"/",""),"-","")," ",""),"(",""),")",""),"+",""))=10,LEN(SUBSTITUTE(SUBSTITUTE(SUBSTITUTE(SUBSTITUTE(SUBSTITUTE(SUBSTITUTE(SUBSTITUTE(TRIM(K126),".",""),"/",""),"-","")," ",""),"(",""),")",""),"+",""))=11)),"OK","ERRO: use DDD + número (10 ou 11 dígitos)"))</f>
      </c>
      <c r="T126" s="6">
        <f>IF(L126="","vazio",IF(AND(ISNUMBER(FIND("@",L126)),ISNUMBER(FIND(".",MID(L126,FIND("@",L126),99))),NOT(ISNUMBER(FIND(" ",TRIM(L126)))),NOT(ISNUMBER(FIND(";",L126))),NOT(ISNUMBER(FIND(",",L126)))),"OK","ERRO: um e-mail válido por linha"))</f>
      </c>
      <c r="U126" s="6">
        <f>IF(COUNTA(A126:O126)=0,"",IF(AND(B126&lt;&gt;"",C126&lt;&gt;"",D126&lt;&gt;"",E126&lt;&gt;"",H126&lt;&gt;"",OR(J126&lt;&gt;"",L126&lt;&gt;"")),"OK","ERRO: faltam "&amp;IF(B126="","Proprietário; ","")&amp;IF(C126="","Origem; ","")&amp;IF(D126="","CNPJ; ","")&amp;IF(E126="","Razão Social; ","")&amp;IF(H126="","Sobrenome; ","")&amp;IF(AND(J126="",L126=""),"telefone ou e-mail; ","")))</f>
      </c>
      <c r="V126" s="6">
        <f>IF(COUNTA(A126:O126)=0,"",IF(AND(Q126="OK",R126="OK",LEFT(S126,4)&lt;&gt;"ERRO",LEFT(T126,4)&lt;&gt;"ERRO",U126="OK"),"OK","REVISAR"))</f>
      </c>
    </row>
    <row r="127">
      <c r="A127" s="4"/>
      <c r="B127" s="5"/>
      <c r="C127" s="5"/>
      <c r="D127" s="5"/>
      <c r="E127" s="5"/>
      <c r="F127" s="4"/>
      <c r="G127" s="4"/>
      <c r="H127" s="5"/>
      <c r="I127" s="4"/>
      <c r="J127" s="4"/>
      <c r="K127" s="4"/>
      <c r="L127" s="4"/>
      <c r="M127" s="4"/>
      <c r="N127" s="4"/>
      <c r="O127" s="4"/>
      <c r="P127" s="6">
        <f>IF(D127="","",SUBSTITUTE(SUBSTITUTE(SUBSTITUTE(SUBSTITUTE(SUBSTITUTE(SUBSTITUTE(SUBSTITUTE(TRIM(D127),".",""),"/",""),"-","")," ",""),"(",""),")",""),"+",""))</f>
      </c>
      <c r="Q127" s="6">
        <f>IF(P127="","",IF(LEN(P127)&lt;&gt;14,"ERRO: "&amp;LEN(P127)&amp;" dígitos",IF(NOT(ISNUMBER(VALUE(P127))),"ERRO: não numérico",IF(LEN(SUBSTITUTE(P127,LEFT(P127,1),""))=0,"ERRO: dígitos repetidos",IF(AND(VALUE(MID(P127,13,1))=IF(MOD(SUMPRODUCT(--MID(P127,{1,2,3,4,5,6,7,8,9,10,11,12},1),{5,4,3,2,9,8,7,6,5,4,3,2}),11)&lt;2,0,11-MOD(SUMPRODUCT(--MID(P127,{1,2,3,4,5,6,7,8,9,10,11,12},1),{5,4,3,2,9,8,7,6,5,4,3,2}),11)),VALUE(MID(P127,14,1))=IF(MOD(SUMPRODUCT(--MID(P127,{1,2,3,4,5,6,7,8,9,10,11,12,13},1),{6,5,4,3,2,9,8,7,6,5,4,3,2}),11)&lt;2,0,11-MOD(SUMPRODUCT(--MID(P127,{1,2,3,4,5,6,7,8,9,10,11,12,13},1),{6,5,4,3,2,9,8,7,6,5,4,3,2}),11))),"OK","ERRO: dígito verificador")))))</f>
      </c>
      <c r="R127" s="6">
        <f>IF(P127="","",IF(COUNTIF($P$2:$P$1001,P127)&gt;1,"DUPLICADO","OK"))</f>
      </c>
      <c r="S127" s="6">
        <f>IF(AND(J127="",K127=""),"vazio",IF(AND(OR(J127="",LEN(SUBSTITUTE(SUBSTITUTE(SUBSTITUTE(SUBSTITUTE(SUBSTITUTE(SUBSTITUTE(SUBSTITUTE(TRIM(J127),".",""),"/",""),"-","")," ",""),"(",""),")",""),"+",""))=10,LEN(SUBSTITUTE(SUBSTITUTE(SUBSTITUTE(SUBSTITUTE(SUBSTITUTE(SUBSTITUTE(SUBSTITUTE(TRIM(J127),".",""),"/",""),"-","")," ",""),"(",""),")",""),"+",""))=11),OR(K127="",LEN(SUBSTITUTE(SUBSTITUTE(SUBSTITUTE(SUBSTITUTE(SUBSTITUTE(SUBSTITUTE(SUBSTITUTE(TRIM(K127),".",""),"/",""),"-","")," ",""),"(",""),")",""),"+",""))=10,LEN(SUBSTITUTE(SUBSTITUTE(SUBSTITUTE(SUBSTITUTE(SUBSTITUTE(SUBSTITUTE(SUBSTITUTE(TRIM(K127),".",""),"/",""),"-","")," ",""),"(",""),")",""),"+",""))=11)),"OK","ERRO: use DDD + número (10 ou 11 dígitos)"))</f>
      </c>
      <c r="T127" s="6">
        <f>IF(L127="","vazio",IF(AND(ISNUMBER(FIND("@",L127)),ISNUMBER(FIND(".",MID(L127,FIND("@",L127),99))),NOT(ISNUMBER(FIND(" ",TRIM(L127)))),NOT(ISNUMBER(FIND(";",L127))),NOT(ISNUMBER(FIND(",",L127)))),"OK","ERRO: um e-mail válido por linha"))</f>
      </c>
      <c r="U127" s="6">
        <f>IF(COUNTA(A127:O127)=0,"",IF(AND(B127&lt;&gt;"",C127&lt;&gt;"",D127&lt;&gt;"",E127&lt;&gt;"",H127&lt;&gt;"",OR(J127&lt;&gt;"",L127&lt;&gt;"")),"OK","ERRO: faltam "&amp;IF(B127="","Proprietário; ","")&amp;IF(C127="","Origem; ","")&amp;IF(D127="","CNPJ; ","")&amp;IF(E127="","Razão Social; ","")&amp;IF(H127="","Sobrenome; ","")&amp;IF(AND(J127="",L127=""),"telefone ou e-mail; ","")))</f>
      </c>
      <c r="V127" s="6">
        <f>IF(COUNTA(A127:O127)=0,"",IF(AND(Q127="OK",R127="OK",LEFT(S127,4)&lt;&gt;"ERRO",LEFT(T127,4)&lt;&gt;"ERRO",U127="OK"),"OK","REVISAR"))</f>
      </c>
    </row>
    <row r="128">
      <c r="A128" s="4"/>
      <c r="B128" s="5"/>
      <c r="C128" s="5"/>
      <c r="D128" s="5"/>
      <c r="E128" s="5"/>
      <c r="F128" s="4"/>
      <c r="G128" s="4"/>
      <c r="H128" s="5"/>
      <c r="I128" s="4"/>
      <c r="J128" s="4"/>
      <c r="K128" s="4"/>
      <c r="L128" s="4"/>
      <c r="M128" s="4"/>
      <c r="N128" s="4"/>
      <c r="O128" s="4"/>
      <c r="P128" s="6">
        <f>IF(D128="","",SUBSTITUTE(SUBSTITUTE(SUBSTITUTE(SUBSTITUTE(SUBSTITUTE(SUBSTITUTE(SUBSTITUTE(TRIM(D128),".",""),"/",""),"-","")," ",""),"(",""),")",""),"+",""))</f>
      </c>
      <c r="Q128" s="6">
        <f>IF(P128="","",IF(LEN(P128)&lt;&gt;14,"ERRO: "&amp;LEN(P128)&amp;" dígitos",IF(NOT(ISNUMBER(VALUE(P128))),"ERRO: não numérico",IF(LEN(SUBSTITUTE(P128,LEFT(P128,1),""))=0,"ERRO: dígitos repetidos",IF(AND(VALUE(MID(P128,13,1))=IF(MOD(SUMPRODUCT(--MID(P128,{1,2,3,4,5,6,7,8,9,10,11,12},1),{5,4,3,2,9,8,7,6,5,4,3,2}),11)&lt;2,0,11-MOD(SUMPRODUCT(--MID(P128,{1,2,3,4,5,6,7,8,9,10,11,12},1),{5,4,3,2,9,8,7,6,5,4,3,2}),11)),VALUE(MID(P128,14,1))=IF(MOD(SUMPRODUCT(--MID(P128,{1,2,3,4,5,6,7,8,9,10,11,12,13},1),{6,5,4,3,2,9,8,7,6,5,4,3,2}),11)&lt;2,0,11-MOD(SUMPRODUCT(--MID(P128,{1,2,3,4,5,6,7,8,9,10,11,12,13},1),{6,5,4,3,2,9,8,7,6,5,4,3,2}),11))),"OK","ERRO: dígito verificador")))))</f>
      </c>
      <c r="R128" s="6">
        <f>IF(P128="","",IF(COUNTIF($P$2:$P$1001,P128)&gt;1,"DUPLICADO","OK"))</f>
      </c>
      <c r="S128" s="6">
        <f>IF(AND(J128="",K128=""),"vazio",IF(AND(OR(J128="",LEN(SUBSTITUTE(SUBSTITUTE(SUBSTITUTE(SUBSTITUTE(SUBSTITUTE(SUBSTITUTE(SUBSTITUTE(TRIM(J128),".",""),"/",""),"-","")," ",""),"(",""),")",""),"+",""))=10,LEN(SUBSTITUTE(SUBSTITUTE(SUBSTITUTE(SUBSTITUTE(SUBSTITUTE(SUBSTITUTE(SUBSTITUTE(TRIM(J128),".",""),"/",""),"-","")," ",""),"(",""),")",""),"+",""))=11),OR(K128="",LEN(SUBSTITUTE(SUBSTITUTE(SUBSTITUTE(SUBSTITUTE(SUBSTITUTE(SUBSTITUTE(SUBSTITUTE(TRIM(K128),".",""),"/",""),"-","")," ",""),"(",""),")",""),"+",""))=10,LEN(SUBSTITUTE(SUBSTITUTE(SUBSTITUTE(SUBSTITUTE(SUBSTITUTE(SUBSTITUTE(SUBSTITUTE(TRIM(K128),".",""),"/",""),"-","")," ",""),"(",""),")",""),"+",""))=11)),"OK","ERRO: use DDD + número (10 ou 11 dígitos)"))</f>
      </c>
      <c r="T128" s="6">
        <f>IF(L128="","vazio",IF(AND(ISNUMBER(FIND("@",L128)),ISNUMBER(FIND(".",MID(L128,FIND("@",L128),99))),NOT(ISNUMBER(FIND(" ",TRIM(L128)))),NOT(ISNUMBER(FIND(";",L128))),NOT(ISNUMBER(FIND(",",L128)))),"OK","ERRO: um e-mail válido por linha"))</f>
      </c>
      <c r="U128" s="6">
        <f>IF(COUNTA(A128:O128)=0,"",IF(AND(B128&lt;&gt;"",C128&lt;&gt;"",D128&lt;&gt;"",E128&lt;&gt;"",H128&lt;&gt;"",OR(J128&lt;&gt;"",L128&lt;&gt;"")),"OK","ERRO: faltam "&amp;IF(B128="","Proprietário; ","")&amp;IF(C128="","Origem; ","")&amp;IF(D128="","CNPJ; ","")&amp;IF(E128="","Razão Social; ","")&amp;IF(H128="","Sobrenome; ","")&amp;IF(AND(J128="",L128=""),"telefone ou e-mail; ","")))</f>
      </c>
      <c r="V128" s="6">
        <f>IF(COUNTA(A128:O128)=0,"",IF(AND(Q128="OK",R128="OK",LEFT(S128,4)&lt;&gt;"ERRO",LEFT(T128,4)&lt;&gt;"ERRO",U128="OK"),"OK","REVISAR"))</f>
      </c>
    </row>
    <row r="129">
      <c r="A129" s="4"/>
      <c r="B129" s="5"/>
      <c r="C129" s="5"/>
      <c r="D129" s="5"/>
      <c r="E129" s="5"/>
      <c r="F129" s="4"/>
      <c r="G129" s="4"/>
      <c r="H129" s="5"/>
      <c r="I129" s="4"/>
      <c r="J129" s="4"/>
      <c r="K129" s="4"/>
      <c r="L129" s="4"/>
      <c r="M129" s="4"/>
      <c r="N129" s="4"/>
      <c r="O129" s="4"/>
      <c r="P129" s="6">
        <f>IF(D129="","",SUBSTITUTE(SUBSTITUTE(SUBSTITUTE(SUBSTITUTE(SUBSTITUTE(SUBSTITUTE(SUBSTITUTE(TRIM(D129),".",""),"/",""),"-","")," ",""),"(",""),")",""),"+",""))</f>
      </c>
      <c r="Q129" s="6">
        <f>IF(P129="","",IF(LEN(P129)&lt;&gt;14,"ERRO: "&amp;LEN(P129)&amp;" dígitos",IF(NOT(ISNUMBER(VALUE(P129))),"ERRO: não numérico",IF(LEN(SUBSTITUTE(P129,LEFT(P129,1),""))=0,"ERRO: dígitos repetidos",IF(AND(VALUE(MID(P129,13,1))=IF(MOD(SUMPRODUCT(--MID(P129,{1,2,3,4,5,6,7,8,9,10,11,12},1),{5,4,3,2,9,8,7,6,5,4,3,2}),11)&lt;2,0,11-MOD(SUMPRODUCT(--MID(P129,{1,2,3,4,5,6,7,8,9,10,11,12},1),{5,4,3,2,9,8,7,6,5,4,3,2}),11)),VALUE(MID(P129,14,1))=IF(MOD(SUMPRODUCT(--MID(P129,{1,2,3,4,5,6,7,8,9,10,11,12,13},1),{6,5,4,3,2,9,8,7,6,5,4,3,2}),11)&lt;2,0,11-MOD(SUMPRODUCT(--MID(P129,{1,2,3,4,5,6,7,8,9,10,11,12,13},1),{6,5,4,3,2,9,8,7,6,5,4,3,2}),11))),"OK","ERRO: dígito verificador")))))</f>
      </c>
      <c r="R129" s="6">
        <f>IF(P129="","",IF(COUNTIF($P$2:$P$1001,P129)&gt;1,"DUPLICADO","OK"))</f>
      </c>
      <c r="S129" s="6">
        <f>IF(AND(J129="",K129=""),"vazio",IF(AND(OR(J129="",LEN(SUBSTITUTE(SUBSTITUTE(SUBSTITUTE(SUBSTITUTE(SUBSTITUTE(SUBSTITUTE(SUBSTITUTE(TRIM(J129),".",""),"/",""),"-","")," ",""),"(",""),")",""),"+",""))=10,LEN(SUBSTITUTE(SUBSTITUTE(SUBSTITUTE(SUBSTITUTE(SUBSTITUTE(SUBSTITUTE(SUBSTITUTE(TRIM(J129),".",""),"/",""),"-","")," ",""),"(",""),")",""),"+",""))=11),OR(K129="",LEN(SUBSTITUTE(SUBSTITUTE(SUBSTITUTE(SUBSTITUTE(SUBSTITUTE(SUBSTITUTE(SUBSTITUTE(TRIM(K129),".",""),"/",""),"-","")," ",""),"(",""),")",""),"+",""))=10,LEN(SUBSTITUTE(SUBSTITUTE(SUBSTITUTE(SUBSTITUTE(SUBSTITUTE(SUBSTITUTE(SUBSTITUTE(TRIM(K129),".",""),"/",""),"-","")," ",""),"(",""),")",""),"+",""))=11)),"OK","ERRO: use DDD + número (10 ou 11 dígitos)"))</f>
      </c>
      <c r="T129" s="6">
        <f>IF(L129="","vazio",IF(AND(ISNUMBER(FIND("@",L129)),ISNUMBER(FIND(".",MID(L129,FIND("@",L129),99))),NOT(ISNUMBER(FIND(" ",TRIM(L129)))),NOT(ISNUMBER(FIND(";",L129))),NOT(ISNUMBER(FIND(",",L129)))),"OK","ERRO: um e-mail válido por linha"))</f>
      </c>
      <c r="U129" s="6">
        <f>IF(COUNTA(A129:O129)=0,"",IF(AND(B129&lt;&gt;"",C129&lt;&gt;"",D129&lt;&gt;"",E129&lt;&gt;"",H129&lt;&gt;"",OR(J129&lt;&gt;"",L129&lt;&gt;"")),"OK","ERRO: faltam "&amp;IF(B129="","Proprietário; ","")&amp;IF(C129="","Origem; ","")&amp;IF(D129="","CNPJ; ","")&amp;IF(E129="","Razão Social; ","")&amp;IF(H129="","Sobrenome; ","")&amp;IF(AND(J129="",L129=""),"telefone ou e-mail; ","")))</f>
      </c>
      <c r="V129" s="6">
        <f>IF(COUNTA(A129:O129)=0,"",IF(AND(Q129="OK",R129="OK",LEFT(S129,4)&lt;&gt;"ERRO",LEFT(T129,4)&lt;&gt;"ERRO",U129="OK"),"OK","REVISAR"))</f>
      </c>
    </row>
    <row r="130">
      <c r="A130" s="4"/>
      <c r="B130" s="5"/>
      <c r="C130" s="5"/>
      <c r="D130" s="5"/>
      <c r="E130" s="5"/>
      <c r="F130" s="4"/>
      <c r="G130" s="4"/>
      <c r="H130" s="5"/>
      <c r="I130" s="4"/>
      <c r="J130" s="4"/>
      <c r="K130" s="4"/>
      <c r="L130" s="4"/>
      <c r="M130" s="4"/>
      <c r="N130" s="4"/>
      <c r="O130" s="4"/>
      <c r="P130" s="6">
        <f>IF(D130="","",SUBSTITUTE(SUBSTITUTE(SUBSTITUTE(SUBSTITUTE(SUBSTITUTE(SUBSTITUTE(SUBSTITUTE(TRIM(D130),".",""),"/",""),"-","")," ",""),"(",""),")",""),"+",""))</f>
      </c>
      <c r="Q130" s="6">
        <f>IF(P130="","",IF(LEN(P130)&lt;&gt;14,"ERRO: "&amp;LEN(P130)&amp;" dígitos",IF(NOT(ISNUMBER(VALUE(P130))),"ERRO: não numérico",IF(LEN(SUBSTITUTE(P130,LEFT(P130,1),""))=0,"ERRO: dígitos repetidos",IF(AND(VALUE(MID(P130,13,1))=IF(MOD(SUMPRODUCT(--MID(P130,{1,2,3,4,5,6,7,8,9,10,11,12},1),{5,4,3,2,9,8,7,6,5,4,3,2}),11)&lt;2,0,11-MOD(SUMPRODUCT(--MID(P130,{1,2,3,4,5,6,7,8,9,10,11,12},1),{5,4,3,2,9,8,7,6,5,4,3,2}),11)),VALUE(MID(P130,14,1))=IF(MOD(SUMPRODUCT(--MID(P130,{1,2,3,4,5,6,7,8,9,10,11,12,13},1),{6,5,4,3,2,9,8,7,6,5,4,3,2}),11)&lt;2,0,11-MOD(SUMPRODUCT(--MID(P130,{1,2,3,4,5,6,7,8,9,10,11,12,13},1),{6,5,4,3,2,9,8,7,6,5,4,3,2}),11))),"OK","ERRO: dígito verificador")))))</f>
      </c>
      <c r="R130" s="6">
        <f>IF(P130="","",IF(COUNTIF($P$2:$P$1001,P130)&gt;1,"DUPLICADO","OK"))</f>
      </c>
      <c r="S130" s="6">
        <f>IF(AND(J130="",K130=""),"vazio",IF(AND(OR(J130="",LEN(SUBSTITUTE(SUBSTITUTE(SUBSTITUTE(SUBSTITUTE(SUBSTITUTE(SUBSTITUTE(SUBSTITUTE(TRIM(J130),".",""),"/",""),"-","")," ",""),"(",""),")",""),"+",""))=10,LEN(SUBSTITUTE(SUBSTITUTE(SUBSTITUTE(SUBSTITUTE(SUBSTITUTE(SUBSTITUTE(SUBSTITUTE(TRIM(J130),".",""),"/",""),"-","")," ",""),"(",""),")",""),"+",""))=11),OR(K130="",LEN(SUBSTITUTE(SUBSTITUTE(SUBSTITUTE(SUBSTITUTE(SUBSTITUTE(SUBSTITUTE(SUBSTITUTE(TRIM(K130),".",""),"/",""),"-","")," ",""),"(",""),")",""),"+",""))=10,LEN(SUBSTITUTE(SUBSTITUTE(SUBSTITUTE(SUBSTITUTE(SUBSTITUTE(SUBSTITUTE(SUBSTITUTE(TRIM(K130),".",""),"/",""),"-","")," ",""),"(",""),")",""),"+",""))=11)),"OK","ERRO: use DDD + número (10 ou 11 dígitos)"))</f>
      </c>
      <c r="T130" s="6">
        <f>IF(L130="","vazio",IF(AND(ISNUMBER(FIND("@",L130)),ISNUMBER(FIND(".",MID(L130,FIND("@",L130),99))),NOT(ISNUMBER(FIND(" ",TRIM(L130)))),NOT(ISNUMBER(FIND(";",L130))),NOT(ISNUMBER(FIND(",",L130)))),"OK","ERRO: um e-mail válido por linha"))</f>
      </c>
      <c r="U130" s="6">
        <f>IF(COUNTA(A130:O130)=0,"",IF(AND(B130&lt;&gt;"",C130&lt;&gt;"",D130&lt;&gt;"",E130&lt;&gt;"",H130&lt;&gt;"",OR(J130&lt;&gt;"",L130&lt;&gt;"")),"OK","ERRO: faltam "&amp;IF(B130="","Proprietário; ","")&amp;IF(C130="","Origem; ","")&amp;IF(D130="","CNPJ; ","")&amp;IF(E130="","Razão Social; ","")&amp;IF(H130="","Sobrenome; ","")&amp;IF(AND(J130="",L130=""),"telefone ou e-mail; ","")))</f>
      </c>
      <c r="V130" s="6">
        <f>IF(COUNTA(A130:O130)=0,"",IF(AND(Q130="OK",R130="OK",LEFT(S130,4)&lt;&gt;"ERRO",LEFT(T130,4)&lt;&gt;"ERRO",U130="OK"),"OK","REVISAR"))</f>
      </c>
    </row>
    <row r="131">
      <c r="A131" s="4"/>
      <c r="B131" s="5"/>
      <c r="C131" s="5"/>
      <c r="D131" s="5"/>
      <c r="E131" s="5"/>
      <c r="F131" s="4"/>
      <c r="G131" s="4"/>
      <c r="H131" s="5"/>
      <c r="I131" s="4"/>
      <c r="J131" s="4"/>
      <c r="K131" s="4"/>
      <c r="L131" s="4"/>
      <c r="M131" s="4"/>
      <c r="N131" s="4"/>
      <c r="O131" s="4"/>
      <c r="P131" s="6">
        <f>IF(D131="","",SUBSTITUTE(SUBSTITUTE(SUBSTITUTE(SUBSTITUTE(SUBSTITUTE(SUBSTITUTE(SUBSTITUTE(TRIM(D131),".",""),"/",""),"-","")," ",""),"(",""),")",""),"+",""))</f>
      </c>
      <c r="Q131" s="6">
        <f>IF(P131="","",IF(LEN(P131)&lt;&gt;14,"ERRO: "&amp;LEN(P131)&amp;" dígitos",IF(NOT(ISNUMBER(VALUE(P131))),"ERRO: não numérico",IF(LEN(SUBSTITUTE(P131,LEFT(P131,1),""))=0,"ERRO: dígitos repetidos",IF(AND(VALUE(MID(P131,13,1))=IF(MOD(SUMPRODUCT(--MID(P131,{1,2,3,4,5,6,7,8,9,10,11,12},1),{5,4,3,2,9,8,7,6,5,4,3,2}),11)&lt;2,0,11-MOD(SUMPRODUCT(--MID(P131,{1,2,3,4,5,6,7,8,9,10,11,12},1),{5,4,3,2,9,8,7,6,5,4,3,2}),11)),VALUE(MID(P131,14,1))=IF(MOD(SUMPRODUCT(--MID(P131,{1,2,3,4,5,6,7,8,9,10,11,12,13},1),{6,5,4,3,2,9,8,7,6,5,4,3,2}),11)&lt;2,0,11-MOD(SUMPRODUCT(--MID(P131,{1,2,3,4,5,6,7,8,9,10,11,12,13},1),{6,5,4,3,2,9,8,7,6,5,4,3,2}),11))),"OK","ERRO: dígito verificador")))))</f>
      </c>
      <c r="R131" s="6">
        <f>IF(P131="","",IF(COUNTIF($P$2:$P$1001,P131)&gt;1,"DUPLICADO","OK"))</f>
      </c>
      <c r="S131" s="6">
        <f>IF(AND(J131="",K131=""),"vazio",IF(AND(OR(J131="",LEN(SUBSTITUTE(SUBSTITUTE(SUBSTITUTE(SUBSTITUTE(SUBSTITUTE(SUBSTITUTE(SUBSTITUTE(TRIM(J131),".",""),"/",""),"-","")," ",""),"(",""),")",""),"+",""))=10,LEN(SUBSTITUTE(SUBSTITUTE(SUBSTITUTE(SUBSTITUTE(SUBSTITUTE(SUBSTITUTE(SUBSTITUTE(TRIM(J131),".",""),"/",""),"-","")," ",""),"(",""),")",""),"+",""))=11),OR(K131="",LEN(SUBSTITUTE(SUBSTITUTE(SUBSTITUTE(SUBSTITUTE(SUBSTITUTE(SUBSTITUTE(SUBSTITUTE(TRIM(K131),".",""),"/",""),"-","")," ",""),"(",""),")",""),"+",""))=10,LEN(SUBSTITUTE(SUBSTITUTE(SUBSTITUTE(SUBSTITUTE(SUBSTITUTE(SUBSTITUTE(SUBSTITUTE(TRIM(K131),".",""),"/",""),"-","")," ",""),"(",""),")",""),"+",""))=11)),"OK","ERRO: use DDD + número (10 ou 11 dígitos)"))</f>
      </c>
      <c r="T131" s="6">
        <f>IF(L131="","vazio",IF(AND(ISNUMBER(FIND("@",L131)),ISNUMBER(FIND(".",MID(L131,FIND("@",L131),99))),NOT(ISNUMBER(FIND(" ",TRIM(L131)))),NOT(ISNUMBER(FIND(";",L131))),NOT(ISNUMBER(FIND(",",L131)))),"OK","ERRO: um e-mail válido por linha"))</f>
      </c>
      <c r="U131" s="6">
        <f>IF(COUNTA(A131:O131)=0,"",IF(AND(B131&lt;&gt;"",C131&lt;&gt;"",D131&lt;&gt;"",E131&lt;&gt;"",H131&lt;&gt;"",OR(J131&lt;&gt;"",L131&lt;&gt;"")),"OK","ERRO: faltam "&amp;IF(B131="","Proprietário; ","")&amp;IF(C131="","Origem; ","")&amp;IF(D131="","CNPJ; ","")&amp;IF(E131="","Razão Social; ","")&amp;IF(H131="","Sobrenome; ","")&amp;IF(AND(J131="",L131=""),"telefone ou e-mail; ","")))</f>
      </c>
      <c r="V131" s="6">
        <f>IF(COUNTA(A131:O131)=0,"",IF(AND(Q131="OK",R131="OK",LEFT(S131,4)&lt;&gt;"ERRO",LEFT(T131,4)&lt;&gt;"ERRO",U131="OK"),"OK","REVISAR"))</f>
      </c>
    </row>
    <row r="132">
      <c r="A132" s="4"/>
      <c r="B132" s="5"/>
      <c r="C132" s="5"/>
      <c r="D132" s="5"/>
      <c r="E132" s="5"/>
      <c r="F132" s="4"/>
      <c r="G132" s="4"/>
      <c r="H132" s="5"/>
      <c r="I132" s="4"/>
      <c r="J132" s="4"/>
      <c r="K132" s="4"/>
      <c r="L132" s="4"/>
      <c r="M132" s="4"/>
      <c r="N132" s="4"/>
      <c r="O132" s="4"/>
      <c r="P132" s="6">
        <f>IF(D132="","",SUBSTITUTE(SUBSTITUTE(SUBSTITUTE(SUBSTITUTE(SUBSTITUTE(SUBSTITUTE(SUBSTITUTE(TRIM(D132),".",""),"/",""),"-","")," ",""),"(",""),")",""),"+",""))</f>
      </c>
      <c r="Q132" s="6">
        <f>IF(P132="","",IF(LEN(P132)&lt;&gt;14,"ERRO: "&amp;LEN(P132)&amp;" dígitos",IF(NOT(ISNUMBER(VALUE(P132))),"ERRO: não numérico",IF(LEN(SUBSTITUTE(P132,LEFT(P132,1),""))=0,"ERRO: dígitos repetidos",IF(AND(VALUE(MID(P132,13,1))=IF(MOD(SUMPRODUCT(--MID(P132,{1,2,3,4,5,6,7,8,9,10,11,12},1),{5,4,3,2,9,8,7,6,5,4,3,2}),11)&lt;2,0,11-MOD(SUMPRODUCT(--MID(P132,{1,2,3,4,5,6,7,8,9,10,11,12},1),{5,4,3,2,9,8,7,6,5,4,3,2}),11)),VALUE(MID(P132,14,1))=IF(MOD(SUMPRODUCT(--MID(P132,{1,2,3,4,5,6,7,8,9,10,11,12,13},1),{6,5,4,3,2,9,8,7,6,5,4,3,2}),11)&lt;2,0,11-MOD(SUMPRODUCT(--MID(P132,{1,2,3,4,5,6,7,8,9,10,11,12,13},1),{6,5,4,3,2,9,8,7,6,5,4,3,2}),11))),"OK","ERRO: dígito verificador")))))</f>
      </c>
      <c r="R132" s="6">
        <f>IF(P132="","",IF(COUNTIF($P$2:$P$1001,P132)&gt;1,"DUPLICADO","OK"))</f>
      </c>
      <c r="S132" s="6">
        <f>IF(AND(J132="",K132=""),"vazio",IF(AND(OR(J132="",LEN(SUBSTITUTE(SUBSTITUTE(SUBSTITUTE(SUBSTITUTE(SUBSTITUTE(SUBSTITUTE(SUBSTITUTE(TRIM(J132),".",""),"/",""),"-","")," ",""),"(",""),")",""),"+",""))=10,LEN(SUBSTITUTE(SUBSTITUTE(SUBSTITUTE(SUBSTITUTE(SUBSTITUTE(SUBSTITUTE(SUBSTITUTE(TRIM(J132),".",""),"/",""),"-","")," ",""),"(",""),")",""),"+",""))=11),OR(K132="",LEN(SUBSTITUTE(SUBSTITUTE(SUBSTITUTE(SUBSTITUTE(SUBSTITUTE(SUBSTITUTE(SUBSTITUTE(TRIM(K132),".",""),"/",""),"-","")," ",""),"(",""),")",""),"+",""))=10,LEN(SUBSTITUTE(SUBSTITUTE(SUBSTITUTE(SUBSTITUTE(SUBSTITUTE(SUBSTITUTE(SUBSTITUTE(TRIM(K132),".",""),"/",""),"-","")," ",""),"(",""),")",""),"+",""))=11)),"OK","ERRO: use DDD + número (10 ou 11 dígitos)"))</f>
      </c>
      <c r="T132" s="6">
        <f>IF(L132="","vazio",IF(AND(ISNUMBER(FIND("@",L132)),ISNUMBER(FIND(".",MID(L132,FIND("@",L132),99))),NOT(ISNUMBER(FIND(" ",TRIM(L132)))),NOT(ISNUMBER(FIND(";",L132))),NOT(ISNUMBER(FIND(",",L132)))),"OK","ERRO: um e-mail válido por linha"))</f>
      </c>
      <c r="U132" s="6">
        <f>IF(COUNTA(A132:O132)=0,"",IF(AND(B132&lt;&gt;"",C132&lt;&gt;"",D132&lt;&gt;"",E132&lt;&gt;"",H132&lt;&gt;"",OR(J132&lt;&gt;"",L132&lt;&gt;"")),"OK","ERRO: faltam "&amp;IF(B132="","Proprietário; ","")&amp;IF(C132="","Origem; ","")&amp;IF(D132="","CNPJ; ","")&amp;IF(E132="","Razão Social; ","")&amp;IF(H132="","Sobrenome; ","")&amp;IF(AND(J132="",L132=""),"telefone ou e-mail; ","")))</f>
      </c>
      <c r="V132" s="6">
        <f>IF(COUNTA(A132:O132)=0,"",IF(AND(Q132="OK",R132="OK",LEFT(S132,4)&lt;&gt;"ERRO",LEFT(T132,4)&lt;&gt;"ERRO",U132="OK"),"OK","REVISAR"))</f>
      </c>
    </row>
    <row r="133">
      <c r="A133" s="4"/>
      <c r="B133" s="5"/>
      <c r="C133" s="5"/>
      <c r="D133" s="5"/>
      <c r="E133" s="5"/>
      <c r="F133" s="4"/>
      <c r="G133" s="4"/>
      <c r="H133" s="5"/>
      <c r="I133" s="4"/>
      <c r="J133" s="4"/>
      <c r="K133" s="4"/>
      <c r="L133" s="4"/>
      <c r="M133" s="4"/>
      <c r="N133" s="4"/>
      <c r="O133" s="4"/>
      <c r="P133" s="6">
        <f>IF(D133="","",SUBSTITUTE(SUBSTITUTE(SUBSTITUTE(SUBSTITUTE(SUBSTITUTE(SUBSTITUTE(SUBSTITUTE(TRIM(D133),".",""),"/",""),"-","")," ",""),"(",""),")",""),"+",""))</f>
      </c>
      <c r="Q133" s="6">
        <f>IF(P133="","",IF(LEN(P133)&lt;&gt;14,"ERRO: "&amp;LEN(P133)&amp;" dígitos",IF(NOT(ISNUMBER(VALUE(P133))),"ERRO: não numérico",IF(LEN(SUBSTITUTE(P133,LEFT(P133,1),""))=0,"ERRO: dígitos repetidos",IF(AND(VALUE(MID(P133,13,1))=IF(MOD(SUMPRODUCT(--MID(P133,{1,2,3,4,5,6,7,8,9,10,11,12},1),{5,4,3,2,9,8,7,6,5,4,3,2}),11)&lt;2,0,11-MOD(SUMPRODUCT(--MID(P133,{1,2,3,4,5,6,7,8,9,10,11,12},1),{5,4,3,2,9,8,7,6,5,4,3,2}),11)),VALUE(MID(P133,14,1))=IF(MOD(SUMPRODUCT(--MID(P133,{1,2,3,4,5,6,7,8,9,10,11,12,13},1),{6,5,4,3,2,9,8,7,6,5,4,3,2}),11)&lt;2,0,11-MOD(SUMPRODUCT(--MID(P133,{1,2,3,4,5,6,7,8,9,10,11,12,13},1),{6,5,4,3,2,9,8,7,6,5,4,3,2}),11))),"OK","ERRO: dígito verificador")))))</f>
      </c>
      <c r="R133" s="6">
        <f>IF(P133="","",IF(COUNTIF($P$2:$P$1001,P133)&gt;1,"DUPLICADO","OK"))</f>
      </c>
      <c r="S133" s="6">
        <f>IF(AND(J133="",K133=""),"vazio",IF(AND(OR(J133="",LEN(SUBSTITUTE(SUBSTITUTE(SUBSTITUTE(SUBSTITUTE(SUBSTITUTE(SUBSTITUTE(SUBSTITUTE(TRIM(J133),".",""),"/",""),"-","")," ",""),"(",""),")",""),"+",""))=10,LEN(SUBSTITUTE(SUBSTITUTE(SUBSTITUTE(SUBSTITUTE(SUBSTITUTE(SUBSTITUTE(SUBSTITUTE(TRIM(J133),".",""),"/",""),"-","")," ",""),"(",""),")",""),"+",""))=11),OR(K133="",LEN(SUBSTITUTE(SUBSTITUTE(SUBSTITUTE(SUBSTITUTE(SUBSTITUTE(SUBSTITUTE(SUBSTITUTE(TRIM(K133),".",""),"/",""),"-","")," ",""),"(",""),")",""),"+",""))=10,LEN(SUBSTITUTE(SUBSTITUTE(SUBSTITUTE(SUBSTITUTE(SUBSTITUTE(SUBSTITUTE(SUBSTITUTE(TRIM(K133),".",""),"/",""),"-","")," ",""),"(",""),")",""),"+",""))=11)),"OK","ERRO: use DDD + número (10 ou 11 dígitos)"))</f>
      </c>
      <c r="T133" s="6">
        <f>IF(L133="","vazio",IF(AND(ISNUMBER(FIND("@",L133)),ISNUMBER(FIND(".",MID(L133,FIND("@",L133),99))),NOT(ISNUMBER(FIND(" ",TRIM(L133)))),NOT(ISNUMBER(FIND(";",L133))),NOT(ISNUMBER(FIND(",",L133)))),"OK","ERRO: um e-mail válido por linha"))</f>
      </c>
      <c r="U133" s="6">
        <f>IF(COUNTA(A133:O133)=0,"",IF(AND(B133&lt;&gt;"",C133&lt;&gt;"",D133&lt;&gt;"",E133&lt;&gt;"",H133&lt;&gt;"",OR(J133&lt;&gt;"",L133&lt;&gt;"")),"OK","ERRO: faltam "&amp;IF(B133="","Proprietário; ","")&amp;IF(C133="","Origem; ","")&amp;IF(D133="","CNPJ; ","")&amp;IF(E133="","Razão Social; ","")&amp;IF(H133="","Sobrenome; ","")&amp;IF(AND(J133="",L133=""),"telefone ou e-mail; ","")))</f>
      </c>
      <c r="V133" s="6">
        <f>IF(COUNTA(A133:O133)=0,"",IF(AND(Q133="OK",R133="OK",LEFT(S133,4)&lt;&gt;"ERRO",LEFT(T133,4)&lt;&gt;"ERRO",U133="OK"),"OK","REVISAR"))</f>
      </c>
    </row>
    <row r="134">
      <c r="A134" s="4"/>
      <c r="B134" s="5"/>
      <c r="C134" s="5"/>
      <c r="D134" s="5"/>
      <c r="E134" s="5"/>
      <c r="F134" s="4"/>
      <c r="G134" s="4"/>
      <c r="H134" s="5"/>
      <c r="I134" s="4"/>
      <c r="J134" s="4"/>
      <c r="K134" s="4"/>
      <c r="L134" s="4"/>
      <c r="M134" s="4"/>
      <c r="N134" s="4"/>
      <c r="O134" s="4"/>
      <c r="P134" s="6">
        <f>IF(D134="","",SUBSTITUTE(SUBSTITUTE(SUBSTITUTE(SUBSTITUTE(SUBSTITUTE(SUBSTITUTE(SUBSTITUTE(TRIM(D134),".",""),"/",""),"-","")," ",""),"(",""),")",""),"+",""))</f>
      </c>
      <c r="Q134" s="6">
        <f>IF(P134="","",IF(LEN(P134)&lt;&gt;14,"ERRO: "&amp;LEN(P134)&amp;" dígitos",IF(NOT(ISNUMBER(VALUE(P134))),"ERRO: não numérico",IF(LEN(SUBSTITUTE(P134,LEFT(P134,1),""))=0,"ERRO: dígitos repetidos",IF(AND(VALUE(MID(P134,13,1))=IF(MOD(SUMPRODUCT(--MID(P134,{1,2,3,4,5,6,7,8,9,10,11,12},1),{5,4,3,2,9,8,7,6,5,4,3,2}),11)&lt;2,0,11-MOD(SUMPRODUCT(--MID(P134,{1,2,3,4,5,6,7,8,9,10,11,12},1),{5,4,3,2,9,8,7,6,5,4,3,2}),11)),VALUE(MID(P134,14,1))=IF(MOD(SUMPRODUCT(--MID(P134,{1,2,3,4,5,6,7,8,9,10,11,12,13},1),{6,5,4,3,2,9,8,7,6,5,4,3,2}),11)&lt;2,0,11-MOD(SUMPRODUCT(--MID(P134,{1,2,3,4,5,6,7,8,9,10,11,12,13},1),{6,5,4,3,2,9,8,7,6,5,4,3,2}),11))),"OK","ERRO: dígito verificador")))))</f>
      </c>
      <c r="R134" s="6">
        <f>IF(P134="","",IF(COUNTIF($P$2:$P$1001,P134)&gt;1,"DUPLICADO","OK"))</f>
      </c>
      <c r="S134" s="6">
        <f>IF(AND(J134="",K134=""),"vazio",IF(AND(OR(J134="",LEN(SUBSTITUTE(SUBSTITUTE(SUBSTITUTE(SUBSTITUTE(SUBSTITUTE(SUBSTITUTE(SUBSTITUTE(TRIM(J134),".",""),"/",""),"-","")," ",""),"(",""),")",""),"+",""))=10,LEN(SUBSTITUTE(SUBSTITUTE(SUBSTITUTE(SUBSTITUTE(SUBSTITUTE(SUBSTITUTE(SUBSTITUTE(TRIM(J134),".",""),"/",""),"-","")," ",""),"(",""),")",""),"+",""))=11),OR(K134="",LEN(SUBSTITUTE(SUBSTITUTE(SUBSTITUTE(SUBSTITUTE(SUBSTITUTE(SUBSTITUTE(SUBSTITUTE(TRIM(K134),".",""),"/",""),"-","")," ",""),"(",""),")",""),"+",""))=10,LEN(SUBSTITUTE(SUBSTITUTE(SUBSTITUTE(SUBSTITUTE(SUBSTITUTE(SUBSTITUTE(SUBSTITUTE(TRIM(K134),".",""),"/",""),"-","")," ",""),"(",""),")",""),"+",""))=11)),"OK","ERRO: use DDD + número (10 ou 11 dígitos)"))</f>
      </c>
      <c r="T134" s="6">
        <f>IF(L134="","vazio",IF(AND(ISNUMBER(FIND("@",L134)),ISNUMBER(FIND(".",MID(L134,FIND("@",L134),99))),NOT(ISNUMBER(FIND(" ",TRIM(L134)))),NOT(ISNUMBER(FIND(";",L134))),NOT(ISNUMBER(FIND(",",L134)))),"OK","ERRO: um e-mail válido por linha"))</f>
      </c>
      <c r="U134" s="6">
        <f>IF(COUNTA(A134:O134)=0,"",IF(AND(B134&lt;&gt;"",C134&lt;&gt;"",D134&lt;&gt;"",E134&lt;&gt;"",H134&lt;&gt;"",OR(J134&lt;&gt;"",L134&lt;&gt;"")),"OK","ERRO: faltam "&amp;IF(B134="","Proprietário; ","")&amp;IF(C134="","Origem; ","")&amp;IF(D134="","CNPJ; ","")&amp;IF(E134="","Razão Social; ","")&amp;IF(H134="","Sobrenome; ","")&amp;IF(AND(J134="",L134=""),"telefone ou e-mail; ","")))</f>
      </c>
      <c r="V134" s="6">
        <f>IF(COUNTA(A134:O134)=0,"",IF(AND(Q134="OK",R134="OK",LEFT(S134,4)&lt;&gt;"ERRO",LEFT(T134,4)&lt;&gt;"ERRO",U134="OK"),"OK","REVISAR"))</f>
      </c>
    </row>
    <row r="135">
      <c r="A135" s="4"/>
      <c r="B135" s="5"/>
      <c r="C135" s="5"/>
      <c r="D135" s="5"/>
      <c r="E135" s="5"/>
      <c r="F135" s="4"/>
      <c r="G135" s="4"/>
      <c r="H135" s="5"/>
      <c r="I135" s="4"/>
      <c r="J135" s="4"/>
      <c r="K135" s="4"/>
      <c r="L135" s="4"/>
      <c r="M135" s="4"/>
      <c r="N135" s="4"/>
      <c r="O135" s="4"/>
      <c r="P135" s="6">
        <f>IF(D135="","",SUBSTITUTE(SUBSTITUTE(SUBSTITUTE(SUBSTITUTE(SUBSTITUTE(SUBSTITUTE(SUBSTITUTE(TRIM(D135),".",""),"/",""),"-","")," ",""),"(",""),")",""),"+",""))</f>
      </c>
      <c r="Q135" s="6">
        <f>IF(P135="","",IF(LEN(P135)&lt;&gt;14,"ERRO: "&amp;LEN(P135)&amp;" dígitos",IF(NOT(ISNUMBER(VALUE(P135))),"ERRO: não numérico",IF(LEN(SUBSTITUTE(P135,LEFT(P135,1),""))=0,"ERRO: dígitos repetidos",IF(AND(VALUE(MID(P135,13,1))=IF(MOD(SUMPRODUCT(--MID(P135,{1,2,3,4,5,6,7,8,9,10,11,12},1),{5,4,3,2,9,8,7,6,5,4,3,2}),11)&lt;2,0,11-MOD(SUMPRODUCT(--MID(P135,{1,2,3,4,5,6,7,8,9,10,11,12},1),{5,4,3,2,9,8,7,6,5,4,3,2}),11)),VALUE(MID(P135,14,1))=IF(MOD(SUMPRODUCT(--MID(P135,{1,2,3,4,5,6,7,8,9,10,11,12,13},1),{6,5,4,3,2,9,8,7,6,5,4,3,2}),11)&lt;2,0,11-MOD(SUMPRODUCT(--MID(P135,{1,2,3,4,5,6,7,8,9,10,11,12,13},1),{6,5,4,3,2,9,8,7,6,5,4,3,2}),11))),"OK","ERRO: dígito verificador")))))</f>
      </c>
      <c r="R135" s="6">
        <f>IF(P135="","",IF(COUNTIF($P$2:$P$1001,P135)&gt;1,"DUPLICADO","OK"))</f>
      </c>
      <c r="S135" s="6">
        <f>IF(AND(J135="",K135=""),"vazio",IF(AND(OR(J135="",LEN(SUBSTITUTE(SUBSTITUTE(SUBSTITUTE(SUBSTITUTE(SUBSTITUTE(SUBSTITUTE(SUBSTITUTE(TRIM(J135),".",""),"/",""),"-","")," ",""),"(",""),")",""),"+",""))=10,LEN(SUBSTITUTE(SUBSTITUTE(SUBSTITUTE(SUBSTITUTE(SUBSTITUTE(SUBSTITUTE(SUBSTITUTE(TRIM(J135),".",""),"/",""),"-","")," ",""),"(",""),")",""),"+",""))=11),OR(K135="",LEN(SUBSTITUTE(SUBSTITUTE(SUBSTITUTE(SUBSTITUTE(SUBSTITUTE(SUBSTITUTE(SUBSTITUTE(TRIM(K135),".",""),"/",""),"-","")," ",""),"(",""),")",""),"+",""))=10,LEN(SUBSTITUTE(SUBSTITUTE(SUBSTITUTE(SUBSTITUTE(SUBSTITUTE(SUBSTITUTE(SUBSTITUTE(TRIM(K135),".",""),"/",""),"-","")," ",""),"(",""),")",""),"+",""))=11)),"OK","ERRO: use DDD + número (10 ou 11 dígitos)"))</f>
      </c>
      <c r="T135" s="6">
        <f>IF(L135="","vazio",IF(AND(ISNUMBER(FIND("@",L135)),ISNUMBER(FIND(".",MID(L135,FIND("@",L135),99))),NOT(ISNUMBER(FIND(" ",TRIM(L135)))),NOT(ISNUMBER(FIND(";",L135))),NOT(ISNUMBER(FIND(",",L135)))),"OK","ERRO: um e-mail válido por linha"))</f>
      </c>
      <c r="U135" s="6">
        <f>IF(COUNTA(A135:O135)=0,"",IF(AND(B135&lt;&gt;"",C135&lt;&gt;"",D135&lt;&gt;"",E135&lt;&gt;"",H135&lt;&gt;"",OR(J135&lt;&gt;"",L135&lt;&gt;"")),"OK","ERRO: faltam "&amp;IF(B135="","Proprietário; ","")&amp;IF(C135="","Origem; ","")&amp;IF(D135="","CNPJ; ","")&amp;IF(E135="","Razão Social; ","")&amp;IF(H135="","Sobrenome; ","")&amp;IF(AND(J135="",L135=""),"telefone ou e-mail; ","")))</f>
      </c>
      <c r="V135" s="6">
        <f>IF(COUNTA(A135:O135)=0,"",IF(AND(Q135="OK",R135="OK",LEFT(S135,4)&lt;&gt;"ERRO",LEFT(T135,4)&lt;&gt;"ERRO",U135="OK"),"OK","REVISAR"))</f>
      </c>
    </row>
    <row r="136">
      <c r="A136" s="4"/>
      <c r="B136" s="5"/>
      <c r="C136" s="5"/>
      <c r="D136" s="5"/>
      <c r="E136" s="5"/>
      <c r="F136" s="4"/>
      <c r="G136" s="4"/>
      <c r="H136" s="5"/>
      <c r="I136" s="4"/>
      <c r="J136" s="4"/>
      <c r="K136" s="4"/>
      <c r="L136" s="4"/>
      <c r="M136" s="4"/>
      <c r="N136" s="4"/>
      <c r="O136" s="4"/>
      <c r="P136" s="6">
        <f>IF(D136="","",SUBSTITUTE(SUBSTITUTE(SUBSTITUTE(SUBSTITUTE(SUBSTITUTE(SUBSTITUTE(SUBSTITUTE(TRIM(D136),".",""),"/",""),"-","")," ",""),"(",""),")",""),"+",""))</f>
      </c>
      <c r="Q136" s="6">
        <f>IF(P136="","",IF(LEN(P136)&lt;&gt;14,"ERRO: "&amp;LEN(P136)&amp;" dígitos",IF(NOT(ISNUMBER(VALUE(P136))),"ERRO: não numérico",IF(LEN(SUBSTITUTE(P136,LEFT(P136,1),""))=0,"ERRO: dígitos repetidos",IF(AND(VALUE(MID(P136,13,1))=IF(MOD(SUMPRODUCT(--MID(P136,{1,2,3,4,5,6,7,8,9,10,11,12},1),{5,4,3,2,9,8,7,6,5,4,3,2}),11)&lt;2,0,11-MOD(SUMPRODUCT(--MID(P136,{1,2,3,4,5,6,7,8,9,10,11,12},1),{5,4,3,2,9,8,7,6,5,4,3,2}),11)),VALUE(MID(P136,14,1))=IF(MOD(SUMPRODUCT(--MID(P136,{1,2,3,4,5,6,7,8,9,10,11,12,13},1),{6,5,4,3,2,9,8,7,6,5,4,3,2}),11)&lt;2,0,11-MOD(SUMPRODUCT(--MID(P136,{1,2,3,4,5,6,7,8,9,10,11,12,13},1),{6,5,4,3,2,9,8,7,6,5,4,3,2}),11))),"OK","ERRO: dígito verificador")))))</f>
      </c>
      <c r="R136" s="6">
        <f>IF(P136="","",IF(COUNTIF($P$2:$P$1001,P136)&gt;1,"DUPLICADO","OK"))</f>
      </c>
      <c r="S136" s="6">
        <f>IF(AND(J136="",K136=""),"vazio",IF(AND(OR(J136="",LEN(SUBSTITUTE(SUBSTITUTE(SUBSTITUTE(SUBSTITUTE(SUBSTITUTE(SUBSTITUTE(SUBSTITUTE(TRIM(J136),".",""),"/",""),"-","")," ",""),"(",""),")",""),"+",""))=10,LEN(SUBSTITUTE(SUBSTITUTE(SUBSTITUTE(SUBSTITUTE(SUBSTITUTE(SUBSTITUTE(SUBSTITUTE(TRIM(J136),".",""),"/",""),"-","")," ",""),"(",""),")",""),"+",""))=11),OR(K136="",LEN(SUBSTITUTE(SUBSTITUTE(SUBSTITUTE(SUBSTITUTE(SUBSTITUTE(SUBSTITUTE(SUBSTITUTE(TRIM(K136),".",""),"/",""),"-","")," ",""),"(",""),")",""),"+",""))=10,LEN(SUBSTITUTE(SUBSTITUTE(SUBSTITUTE(SUBSTITUTE(SUBSTITUTE(SUBSTITUTE(SUBSTITUTE(TRIM(K136),".",""),"/",""),"-","")," ",""),"(",""),")",""),"+",""))=11)),"OK","ERRO: use DDD + número (10 ou 11 dígitos)"))</f>
      </c>
      <c r="T136" s="6">
        <f>IF(L136="","vazio",IF(AND(ISNUMBER(FIND("@",L136)),ISNUMBER(FIND(".",MID(L136,FIND("@",L136),99))),NOT(ISNUMBER(FIND(" ",TRIM(L136)))),NOT(ISNUMBER(FIND(";",L136))),NOT(ISNUMBER(FIND(",",L136)))),"OK","ERRO: um e-mail válido por linha"))</f>
      </c>
      <c r="U136" s="6">
        <f>IF(COUNTA(A136:O136)=0,"",IF(AND(B136&lt;&gt;"",C136&lt;&gt;"",D136&lt;&gt;"",E136&lt;&gt;"",H136&lt;&gt;"",OR(J136&lt;&gt;"",L136&lt;&gt;"")),"OK","ERRO: faltam "&amp;IF(B136="","Proprietário; ","")&amp;IF(C136="","Origem; ","")&amp;IF(D136="","CNPJ; ","")&amp;IF(E136="","Razão Social; ","")&amp;IF(H136="","Sobrenome; ","")&amp;IF(AND(J136="",L136=""),"telefone ou e-mail; ","")))</f>
      </c>
      <c r="V136" s="6">
        <f>IF(COUNTA(A136:O136)=0,"",IF(AND(Q136="OK",R136="OK",LEFT(S136,4)&lt;&gt;"ERRO",LEFT(T136,4)&lt;&gt;"ERRO",U136="OK"),"OK","REVISAR"))</f>
      </c>
    </row>
    <row r="137">
      <c r="A137" s="4"/>
      <c r="B137" s="5"/>
      <c r="C137" s="5"/>
      <c r="D137" s="5"/>
      <c r="E137" s="5"/>
      <c r="F137" s="4"/>
      <c r="G137" s="4"/>
      <c r="H137" s="5"/>
      <c r="I137" s="4"/>
      <c r="J137" s="4"/>
      <c r="K137" s="4"/>
      <c r="L137" s="4"/>
      <c r="M137" s="4"/>
      <c r="N137" s="4"/>
      <c r="O137" s="4"/>
      <c r="P137" s="6">
        <f>IF(D137="","",SUBSTITUTE(SUBSTITUTE(SUBSTITUTE(SUBSTITUTE(SUBSTITUTE(SUBSTITUTE(SUBSTITUTE(TRIM(D137),".",""),"/",""),"-","")," ",""),"(",""),")",""),"+",""))</f>
      </c>
      <c r="Q137" s="6">
        <f>IF(P137="","",IF(LEN(P137)&lt;&gt;14,"ERRO: "&amp;LEN(P137)&amp;" dígitos",IF(NOT(ISNUMBER(VALUE(P137))),"ERRO: não numérico",IF(LEN(SUBSTITUTE(P137,LEFT(P137,1),""))=0,"ERRO: dígitos repetidos",IF(AND(VALUE(MID(P137,13,1))=IF(MOD(SUMPRODUCT(--MID(P137,{1,2,3,4,5,6,7,8,9,10,11,12},1),{5,4,3,2,9,8,7,6,5,4,3,2}),11)&lt;2,0,11-MOD(SUMPRODUCT(--MID(P137,{1,2,3,4,5,6,7,8,9,10,11,12},1),{5,4,3,2,9,8,7,6,5,4,3,2}),11)),VALUE(MID(P137,14,1))=IF(MOD(SUMPRODUCT(--MID(P137,{1,2,3,4,5,6,7,8,9,10,11,12,13},1),{6,5,4,3,2,9,8,7,6,5,4,3,2}),11)&lt;2,0,11-MOD(SUMPRODUCT(--MID(P137,{1,2,3,4,5,6,7,8,9,10,11,12,13},1),{6,5,4,3,2,9,8,7,6,5,4,3,2}),11))),"OK","ERRO: dígito verificador")))))</f>
      </c>
      <c r="R137" s="6">
        <f>IF(P137="","",IF(COUNTIF($P$2:$P$1001,P137)&gt;1,"DUPLICADO","OK"))</f>
      </c>
      <c r="S137" s="6">
        <f>IF(AND(J137="",K137=""),"vazio",IF(AND(OR(J137="",LEN(SUBSTITUTE(SUBSTITUTE(SUBSTITUTE(SUBSTITUTE(SUBSTITUTE(SUBSTITUTE(SUBSTITUTE(TRIM(J137),".",""),"/",""),"-","")," ",""),"(",""),")",""),"+",""))=10,LEN(SUBSTITUTE(SUBSTITUTE(SUBSTITUTE(SUBSTITUTE(SUBSTITUTE(SUBSTITUTE(SUBSTITUTE(TRIM(J137),".",""),"/",""),"-","")," ",""),"(",""),")",""),"+",""))=11),OR(K137="",LEN(SUBSTITUTE(SUBSTITUTE(SUBSTITUTE(SUBSTITUTE(SUBSTITUTE(SUBSTITUTE(SUBSTITUTE(TRIM(K137),".",""),"/",""),"-","")," ",""),"(",""),")",""),"+",""))=10,LEN(SUBSTITUTE(SUBSTITUTE(SUBSTITUTE(SUBSTITUTE(SUBSTITUTE(SUBSTITUTE(SUBSTITUTE(TRIM(K137),".",""),"/",""),"-","")," ",""),"(",""),")",""),"+",""))=11)),"OK","ERRO: use DDD + número (10 ou 11 dígitos)"))</f>
      </c>
      <c r="T137" s="6">
        <f>IF(L137="","vazio",IF(AND(ISNUMBER(FIND("@",L137)),ISNUMBER(FIND(".",MID(L137,FIND("@",L137),99))),NOT(ISNUMBER(FIND(" ",TRIM(L137)))),NOT(ISNUMBER(FIND(";",L137))),NOT(ISNUMBER(FIND(",",L137)))),"OK","ERRO: um e-mail válido por linha"))</f>
      </c>
      <c r="U137" s="6">
        <f>IF(COUNTA(A137:O137)=0,"",IF(AND(B137&lt;&gt;"",C137&lt;&gt;"",D137&lt;&gt;"",E137&lt;&gt;"",H137&lt;&gt;"",OR(J137&lt;&gt;"",L137&lt;&gt;"")),"OK","ERRO: faltam "&amp;IF(B137="","Proprietário; ","")&amp;IF(C137="","Origem; ","")&amp;IF(D137="","CNPJ; ","")&amp;IF(E137="","Razão Social; ","")&amp;IF(H137="","Sobrenome; ","")&amp;IF(AND(J137="",L137=""),"telefone ou e-mail; ","")))</f>
      </c>
      <c r="V137" s="6">
        <f>IF(COUNTA(A137:O137)=0,"",IF(AND(Q137="OK",R137="OK",LEFT(S137,4)&lt;&gt;"ERRO",LEFT(T137,4)&lt;&gt;"ERRO",U137="OK"),"OK","REVISAR"))</f>
      </c>
    </row>
    <row r="138">
      <c r="A138" s="4"/>
      <c r="B138" s="5"/>
      <c r="C138" s="5"/>
      <c r="D138" s="5"/>
      <c r="E138" s="5"/>
      <c r="F138" s="4"/>
      <c r="G138" s="4"/>
      <c r="H138" s="5"/>
      <c r="I138" s="4"/>
      <c r="J138" s="4"/>
      <c r="K138" s="4"/>
      <c r="L138" s="4"/>
      <c r="M138" s="4"/>
      <c r="N138" s="4"/>
      <c r="O138" s="4"/>
      <c r="P138" s="6">
        <f>IF(D138="","",SUBSTITUTE(SUBSTITUTE(SUBSTITUTE(SUBSTITUTE(SUBSTITUTE(SUBSTITUTE(SUBSTITUTE(TRIM(D138),".",""),"/",""),"-","")," ",""),"(",""),")",""),"+",""))</f>
      </c>
      <c r="Q138" s="6">
        <f>IF(P138="","",IF(LEN(P138)&lt;&gt;14,"ERRO: "&amp;LEN(P138)&amp;" dígitos",IF(NOT(ISNUMBER(VALUE(P138))),"ERRO: não numérico",IF(LEN(SUBSTITUTE(P138,LEFT(P138,1),""))=0,"ERRO: dígitos repetidos",IF(AND(VALUE(MID(P138,13,1))=IF(MOD(SUMPRODUCT(--MID(P138,{1,2,3,4,5,6,7,8,9,10,11,12},1),{5,4,3,2,9,8,7,6,5,4,3,2}),11)&lt;2,0,11-MOD(SUMPRODUCT(--MID(P138,{1,2,3,4,5,6,7,8,9,10,11,12},1),{5,4,3,2,9,8,7,6,5,4,3,2}),11)),VALUE(MID(P138,14,1))=IF(MOD(SUMPRODUCT(--MID(P138,{1,2,3,4,5,6,7,8,9,10,11,12,13},1),{6,5,4,3,2,9,8,7,6,5,4,3,2}),11)&lt;2,0,11-MOD(SUMPRODUCT(--MID(P138,{1,2,3,4,5,6,7,8,9,10,11,12,13},1),{6,5,4,3,2,9,8,7,6,5,4,3,2}),11))),"OK","ERRO: dígito verificador")))))</f>
      </c>
      <c r="R138" s="6">
        <f>IF(P138="","",IF(COUNTIF($P$2:$P$1001,P138)&gt;1,"DUPLICADO","OK"))</f>
      </c>
      <c r="S138" s="6">
        <f>IF(AND(J138="",K138=""),"vazio",IF(AND(OR(J138="",LEN(SUBSTITUTE(SUBSTITUTE(SUBSTITUTE(SUBSTITUTE(SUBSTITUTE(SUBSTITUTE(SUBSTITUTE(TRIM(J138),".",""),"/",""),"-","")," ",""),"(",""),")",""),"+",""))=10,LEN(SUBSTITUTE(SUBSTITUTE(SUBSTITUTE(SUBSTITUTE(SUBSTITUTE(SUBSTITUTE(SUBSTITUTE(TRIM(J138),".",""),"/",""),"-","")," ",""),"(",""),")",""),"+",""))=11),OR(K138="",LEN(SUBSTITUTE(SUBSTITUTE(SUBSTITUTE(SUBSTITUTE(SUBSTITUTE(SUBSTITUTE(SUBSTITUTE(TRIM(K138),".",""),"/",""),"-","")," ",""),"(",""),")",""),"+",""))=10,LEN(SUBSTITUTE(SUBSTITUTE(SUBSTITUTE(SUBSTITUTE(SUBSTITUTE(SUBSTITUTE(SUBSTITUTE(TRIM(K138),".",""),"/",""),"-","")," ",""),"(",""),")",""),"+",""))=11)),"OK","ERRO: use DDD + número (10 ou 11 dígitos)"))</f>
      </c>
      <c r="T138" s="6">
        <f>IF(L138="","vazio",IF(AND(ISNUMBER(FIND("@",L138)),ISNUMBER(FIND(".",MID(L138,FIND("@",L138),99))),NOT(ISNUMBER(FIND(" ",TRIM(L138)))),NOT(ISNUMBER(FIND(";",L138))),NOT(ISNUMBER(FIND(",",L138)))),"OK","ERRO: um e-mail válido por linha"))</f>
      </c>
      <c r="U138" s="6">
        <f>IF(COUNTA(A138:O138)=0,"",IF(AND(B138&lt;&gt;"",C138&lt;&gt;"",D138&lt;&gt;"",E138&lt;&gt;"",H138&lt;&gt;"",OR(J138&lt;&gt;"",L138&lt;&gt;"")),"OK","ERRO: faltam "&amp;IF(B138="","Proprietário; ","")&amp;IF(C138="","Origem; ","")&amp;IF(D138="","CNPJ; ","")&amp;IF(E138="","Razão Social; ","")&amp;IF(H138="","Sobrenome; ","")&amp;IF(AND(J138="",L138=""),"telefone ou e-mail; ","")))</f>
      </c>
      <c r="V138" s="6">
        <f>IF(COUNTA(A138:O138)=0,"",IF(AND(Q138="OK",R138="OK",LEFT(S138,4)&lt;&gt;"ERRO",LEFT(T138,4)&lt;&gt;"ERRO",U138="OK"),"OK","REVISAR"))</f>
      </c>
    </row>
    <row r="139">
      <c r="A139" s="4"/>
      <c r="B139" s="5"/>
      <c r="C139" s="5"/>
      <c r="D139" s="5"/>
      <c r="E139" s="5"/>
      <c r="F139" s="4"/>
      <c r="G139" s="4"/>
      <c r="H139" s="5"/>
      <c r="I139" s="4"/>
      <c r="J139" s="4"/>
      <c r="K139" s="4"/>
      <c r="L139" s="4"/>
      <c r="M139" s="4"/>
      <c r="N139" s="4"/>
      <c r="O139" s="4"/>
      <c r="P139" s="6">
        <f>IF(D139="","",SUBSTITUTE(SUBSTITUTE(SUBSTITUTE(SUBSTITUTE(SUBSTITUTE(SUBSTITUTE(SUBSTITUTE(TRIM(D139),".",""),"/",""),"-","")," ",""),"(",""),")",""),"+",""))</f>
      </c>
      <c r="Q139" s="6">
        <f>IF(P139="","",IF(LEN(P139)&lt;&gt;14,"ERRO: "&amp;LEN(P139)&amp;" dígitos",IF(NOT(ISNUMBER(VALUE(P139))),"ERRO: não numérico",IF(LEN(SUBSTITUTE(P139,LEFT(P139,1),""))=0,"ERRO: dígitos repetidos",IF(AND(VALUE(MID(P139,13,1))=IF(MOD(SUMPRODUCT(--MID(P139,{1,2,3,4,5,6,7,8,9,10,11,12},1),{5,4,3,2,9,8,7,6,5,4,3,2}),11)&lt;2,0,11-MOD(SUMPRODUCT(--MID(P139,{1,2,3,4,5,6,7,8,9,10,11,12},1),{5,4,3,2,9,8,7,6,5,4,3,2}),11)),VALUE(MID(P139,14,1))=IF(MOD(SUMPRODUCT(--MID(P139,{1,2,3,4,5,6,7,8,9,10,11,12,13},1),{6,5,4,3,2,9,8,7,6,5,4,3,2}),11)&lt;2,0,11-MOD(SUMPRODUCT(--MID(P139,{1,2,3,4,5,6,7,8,9,10,11,12,13},1),{6,5,4,3,2,9,8,7,6,5,4,3,2}),11))),"OK","ERRO: dígito verificador")))))</f>
      </c>
      <c r="R139" s="6">
        <f>IF(P139="","",IF(COUNTIF($P$2:$P$1001,P139)&gt;1,"DUPLICADO","OK"))</f>
      </c>
      <c r="S139" s="6">
        <f>IF(AND(J139="",K139=""),"vazio",IF(AND(OR(J139="",LEN(SUBSTITUTE(SUBSTITUTE(SUBSTITUTE(SUBSTITUTE(SUBSTITUTE(SUBSTITUTE(SUBSTITUTE(TRIM(J139),".",""),"/",""),"-","")," ",""),"(",""),")",""),"+",""))=10,LEN(SUBSTITUTE(SUBSTITUTE(SUBSTITUTE(SUBSTITUTE(SUBSTITUTE(SUBSTITUTE(SUBSTITUTE(TRIM(J139),".",""),"/",""),"-","")," ",""),"(",""),")",""),"+",""))=11),OR(K139="",LEN(SUBSTITUTE(SUBSTITUTE(SUBSTITUTE(SUBSTITUTE(SUBSTITUTE(SUBSTITUTE(SUBSTITUTE(TRIM(K139),".",""),"/",""),"-","")," ",""),"(",""),")",""),"+",""))=10,LEN(SUBSTITUTE(SUBSTITUTE(SUBSTITUTE(SUBSTITUTE(SUBSTITUTE(SUBSTITUTE(SUBSTITUTE(TRIM(K139),".",""),"/",""),"-","")," ",""),"(",""),")",""),"+",""))=11)),"OK","ERRO: use DDD + número (10 ou 11 dígitos)"))</f>
      </c>
      <c r="T139" s="6">
        <f>IF(L139="","vazio",IF(AND(ISNUMBER(FIND("@",L139)),ISNUMBER(FIND(".",MID(L139,FIND("@",L139),99))),NOT(ISNUMBER(FIND(" ",TRIM(L139)))),NOT(ISNUMBER(FIND(";",L139))),NOT(ISNUMBER(FIND(",",L139)))),"OK","ERRO: um e-mail válido por linha"))</f>
      </c>
      <c r="U139" s="6">
        <f>IF(COUNTA(A139:O139)=0,"",IF(AND(B139&lt;&gt;"",C139&lt;&gt;"",D139&lt;&gt;"",E139&lt;&gt;"",H139&lt;&gt;"",OR(J139&lt;&gt;"",L139&lt;&gt;"")),"OK","ERRO: faltam "&amp;IF(B139="","Proprietário; ","")&amp;IF(C139="","Origem; ","")&amp;IF(D139="","CNPJ; ","")&amp;IF(E139="","Razão Social; ","")&amp;IF(H139="","Sobrenome; ","")&amp;IF(AND(J139="",L139=""),"telefone ou e-mail; ","")))</f>
      </c>
      <c r="V139" s="6">
        <f>IF(COUNTA(A139:O139)=0,"",IF(AND(Q139="OK",R139="OK",LEFT(S139,4)&lt;&gt;"ERRO",LEFT(T139,4)&lt;&gt;"ERRO",U139="OK"),"OK","REVISAR"))</f>
      </c>
    </row>
    <row r="140">
      <c r="A140" s="4"/>
      <c r="B140" s="5"/>
      <c r="C140" s="5"/>
      <c r="D140" s="5"/>
      <c r="E140" s="5"/>
      <c r="F140" s="4"/>
      <c r="G140" s="4"/>
      <c r="H140" s="5"/>
      <c r="I140" s="4"/>
      <c r="J140" s="4"/>
      <c r="K140" s="4"/>
      <c r="L140" s="4"/>
      <c r="M140" s="4"/>
      <c r="N140" s="4"/>
      <c r="O140" s="4"/>
      <c r="P140" s="6">
        <f>IF(D140="","",SUBSTITUTE(SUBSTITUTE(SUBSTITUTE(SUBSTITUTE(SUBSTITUTE(SUBSTITUTE(SUBSTITUTE(TRIM(D140),".",""),"/",""),"-","")," ",""),"(",""),")",""),"+",""))</f>
      </c>
      <c r="Q140" s="6">
        <f>IF(P140="","",IF(LEN(P140)&lt;&gt;14,"ERRO: "&amp;LEN(P140)&amp;" dígitos",IF(NOT(ISNUMBER(VALUE(P140))),"ERRO: não numérico",IF(LEN(SUBSTITUTE(P140,LEFT(P140,1),""))=0,"ERRO: dígitos repetidos",IF(AND(VALUE(MID(P140,13,1))=IF(MOD(SUMPRODUCT(--MID(P140,{1,2,3,4,5,6,7,8,9,10,11,12},1),{5,4,3,2,9,8,7,6,5,4,3,2}),11)&lt;2,0,11-MOD(SUMPRODUCT(--MID(P140,{1,2,3,4,5,6,7,8,9,10,11,12},1),{5,4,3,2,9,8,7,6,5,4,3,2}),11)),VALUE(MID(P140,14,1))=IF(MOD(SUMPRODUCT(--MID(P140,{1,2,3,4,5,6,7,8,9,10,11,12,13},1),{6,5,4,3,2,9,8,7,6,5,4,3,2}),11)&lt;2,0,11-MOD(SUMPRODUCT(--MID(P140,{1,2,3,4,5,6,7,8,9,10,11,12,13},1),{6,5,4,3,2,9,8,7,6,5,4,3,2}),11))),"OK","ERRO: dígito verificador")))))</f>
      </c>
      <c r="R140" s="6">
        <f>IF(P140="","",IF(COUNTIF($P$2:$P$1001,P140)&gt;1,"DUPLICADO","OK"))</f>
      </c>
      <c r="S140" s="6">
        <f>IF(AND(J140="",K140=""),"vazio",IF(AND(OR(J140="",LEN(SUBSTITUTE(SUBSTITUTE(SUBSTITUTE(SUBSTITUTE(SUBSTITUTE(SUBSTITUTE(SUBSTITUTE(TRIM(J140),".",""),"/",""),"-","")," ",""),"(",""),")",""),"+",""))=10,LEN(SUBSTITUTE(SUBSTITUTE(SUBSTITUTE(SUBSTITUTE(SUBSTITUTE(SUBSTITUTE(SUBSTITUTE(TRIM(J140),".",""),"/",""),"-","")," ",""),"(",""),")",""),"+",""))=11),OR(K140="",LEN(SUBSTITUTE(SUBSTITUTE(SUBSTITUTE(SUBSTITUTE(SUBSTITUTE(SUBSTITUTE(SUBSTITUTE(TRIM(K140),".",""),"/",""),"-","")," ",""),"(",""),")",""),"+",""))=10,LEN(SUBSTITUTE(SUBSTITUTE(SUBSTITUTE(SUBSTITUTE(SUBSTITUTE(SUBSTITUTE(SUBSTITUTE(TRIM(K140),".",""),"/",""),"-","")," ",""),"(",""),")",""),"+",""))=11)),"OK","ERRO: use DDD + número (10 ou 11 dígitos)"))</f>
      </c>
      <c r="T140" s="6">
        <f>IF(L140="","vazio",IF(AND(ISNUMBER(FIND("@",L140)),ISNUMBER(FIND(".",MID(L140,FIND("@",L140),99))),NOT(ISNUMBER(FIND(" ",TRIM(L140)))),NOT(ISNUMBER(FIND(";",L140))),NOT(ISNUMBER(FIND(",",L140)))),"OK","ERRO: um e-mail válido por linha"))</f>
      </c>
      <c r="U140" s="6">
        <f>IF(COUNTA(A140:O140)=0,"",IF(AND(B140&lt;&gt;"",C140&lt;&gt;"",D140&lt;&gt;"",E140&lt;&gt;"",H140&lt;&gt;"",OR(J140&lt;&gt;"",L140&lt;&gt;"")),"OK","ERRO: faltam "&amp;IF(B140="","Proprietário; ","")&amp;IF(C140="","Origem; ","")&amp;IF(D140="","CNPJ; ","")&amp;IF(E140="","Razão Social; ","")&amp;IF(H140="","Sobrenome; ","")&amp;IF(AND(J140="",L140=""),"telefone ou e-mail; ","")))</f>
      </c>
      <c r="V140" s="6">
        <f>IF(COUNTA(A140:O140)=0,"",IF(AND(Q140="OK",R140="OK",LEFT(S140,4)&lt;&gt;"ERRO",LEFT(T140,4)&lt;&gt;"ERRO",U140="OK"),"OK","REVISAR"))</f>
      </c>
    </row>
    <row r="141">
      <c r="A141" s="4"/>
      <c r="B141" s="5"/>
      <c r="C141" s="5"/>
      <c r="D141" s="5"/>
      <c r="E141" s="5"/>
      <c r="F141" s="4"/>
      <c r="G141" s="4"/>
      <c r="H141" s="5"/>
      <c r="I141" s="4"/>
      <c r="J141" s="4"/>
      <c r="K141" s="4"/>
      <c r="L141" s="4"/>
      <c r="M141" s="4"/>
      <c r="N141" s="4"/>
      <c r="O141" s="4"/>
      <c r="P141" s="6">
        <f>IF(D141="","",SUBSTITUTE(SUBSTITUTE(SUBSTITUTE(SUBSTITUTE(SUBSTITUTE(SUBSTITUTE(SUBSTITUTE(TRIM(D141),".",""),"/",""),"-","")," ",""),"(",""),")",""),"+",""))</f>
      </c>
      <c r="Q141" s="6">
        <f>IF(P141="","",IF(LEN(P141)&lt;&gt;14,"ERRO: "&amp;LEN(P141)&amp;" dígitos",IF(NOT(ISNUMBER(VALUE(P141))),"ERRO: não numérico",IF(LEN(SUBSTITUTE(P141,LEFT(P141,1),""))=0,"ERRO: dígitos repetidos",IF(AND(VALUE(MID(P141,13,1))=IF(MOD(SUMPRODUCT(--MID(P141,{1,2,3,4,5,6,7,8,9,10,11,12},1),{5,4,3,2,9,8,7,6,5,4,3,2}),11)&lt;2,0,11-MOD(SUMPRODUCT(--MID(P141,{1,2,3,4,5,6,7,8,9,10,11,12},1),{5,4,3,2,9,8,7,6,5,4,3,2}),11)),VALUE(MID(P141,14,1))=IF(MOD(SUMPRODUCT(--MID(P141,{1,2,3,4,5,6,7,8,9,10,11,12,13},1),{6,5,4,3,2,9,8,7,6,5,4,3,2}),11)&lt;2,0,11-MOD(SUMPRODUCT(--MID(P141,{1,2,3,4,5,6,7,8,9,10,11,12,13},1),{6,5,4,3,2,9,8,7,6,5,4,3,2}),11))),"OK","ERRO: dígito verificador")))))</f>
      </c>
      <c r="R141" s="6">
        <f>IF(P141="","",IF(COUNTIF($P$2:$P$1001,P141)&gt;1,"DUPLICADO","OK"))</f>
      </c>
      <c r="S141" s="6">
        <f>IF(AND(J141="",K141=""),"vazio",IF(AND(OR(J141="",LEN(SUBSTITUTE(SUBSTITUTE(SUBSTITUTE(SUBSTITUTE(SUBSTITUTE(SUBSTITUTE(SUBSTITUTE(TRIM(J141),".",""),"/",""),"-","")," ",""),"(",""),")",""),"+",""))=10,LEN(SUBSTITUTE(SUBSTITUTE(SUBSTITUTE(SUBSTITUTE(SUBSTITUTE(SUBSTITUTE(SUBSTITUTE(TRIM(J141),".",""),"/",""),"-","")," ",""),"(",""),")",""),"+",""))=11),OR(K141="",LEN(SUBSTITUTE(SUBSTITUTE(SUBSTITUTE(SUBSTITUTE(SUBSTITUTE(SUBSTITUTE(SUBSTITUTE(TRIM(K141),".",""),"/",""),"-","")," ",""),"(",""),")",""),"+",""))=10,LEN(SUBSTITUTE(SUBSTITUTE(SUBSTITUTE(SUBSTITUTE(SUBSTITUTE(SUBSTITUTE(SUBSTITUTE(TRIM(K141),".",""),"/",""),"-","")," ",""),"(",""),")",""),"+",""))=11)),"OK","ERRO: use DDD + número (10 ou 11 dígitos)"))</f>
      </c>
      <c r="T141" s="6">
        <f>IF(L141="","vazio",IF(AND(ISNUMBER(FIND("@",L141)),ISNUMBER(FIND(".",MID(L141,FIND("@",L141),99))),NOT(ISNUMBER(FIND(" ",TRIM(L141)))),NOT(ISNUMBER(FIND(";",L141))),NOT(ISNUMBER(FIND(",",L141)))),"OK","ERRO: um e-mail válido por linha"))</f>
      </c>
      <c r="U141" s="6">
        <f>IF(COUNTA(A141:O141)=0,"",IF(AND(B141&lt;&gt;"",C141&lt;&gt;"",D141&lt;&gt;"",E141&lt;&gt;"",H141&lt;&gt;"",OR(J141&lt;&gt;"",L141&lt;&gt;"")),"OK","ERRO: faltam "&amp;IF(B141="","Proprietário; ","")&amp;IF(C141="","Origem; ","")&amp;IF(D141="","CNPJ; ","")&amp;IF(E141="","Razão Social; ","")&amp;IF(H141="","Sobrenome; ","")&amp;IF(AND(J141="",L141=""),"telefone ou e-mail; ","")))</f>
      </c>
      <c r="V141" s="6">
        <f>IF(COUNTA(A141:O141)=0,"",IF(AND(Q141="OK",R141="OK",LEFT(S141,4)&lt;&gt;"ERRO",LEFT(T141,4)&lt;&gt;"ERRO",U141="OK"),"OK","REVISAR"))</f>
      </c>
    </row>
    <row r="142">
      <c r="A142" s="4"/>
      <c r="B142" s="5"/>
      <c r="C142" s="5"/>
      <c r="D142" s="5"/>
      <c r="E142" s="5"/>
      <c r="F142" s="4"/>
      <c r="G142" s="4"/>
      <c r="H142" s="5"/>
      <c r="I142" s="4"/>
      <c r="J142" s="4"/>
      <c r="K142" s="4"/>
      <c r="L142" s="4"/>
      <c r="M142" s="4"/>
      <c r="N142" s="4"/>
      <c r="O142" s="4"/>
      <c r="P142" s="6">
        <f>IF(D142="","",SUBSTITUTE(SUBSTITUTE(SUBSTITUTE(SUBSTITUTE(SUBSTITUTE(SUBSTITUTE(SUBSTITUTE(TRIM(D142),".",""),"/",""),"-","")," ",""),"(",""),")",""),"+",""))</f>
      </c>
      <c r="Q142" s="6">
        <f>IF(P142="","",IF(LEN(P142)&lt;&gt;14,"ERRO: "&amp;LEN(P142)&amp;" dígitos",IF(NOT(ISNUMBER(VALUE(P142))),"ERRO: não numérico",IF(LEN(SUBSTITUTE(P142,LEFT(P142,1),""))=0,"ERRO: dígitos repetidos",IF(AND(VALUE(MID(P142,13,1))=IF(MOD(SUMPRODUCT(--MID(P142,{1,2,3,4,5,6,7,8,9,10,11,12},1),{5,4,3,2,9,8,7,6,5,4,3,2}),11)&lt;2,0,11-MOD(SUMPRODUCT(--MID(P142,{1,2,3,4,5,6,7,8,9,10,11,12},1),{5,4,3,2,9,8,7,6,5,4,3,2}),11)),VALUE(MID(P142,14,1))=IF(MOD(SUMPRODUCT(--MID(P142,{1,2,3,4,5,6,7,8,9,10,11,12,13},1),{6,5,4,3,2,9,8,7,6,5,4,3,2}),11)&lt;2,0,11-MOD(SUMPRODUCT(--MID(P142,{1,2,3,4,5,6,7,8,9,10,11,12,13},1),{6,5,4,3,2,9,8,7,6,5,4,3,2}),11))),"OK","ERRO: dígito verificador")))))</f>
      </c>
      <c r="R142" s="6">
        <f>IF(P142="","",IF(COUNTIF($P$2:$P$1001,P142)&gt;1,"DUPLICADO","OK"))</f>
      </c>
      <c r="S142" s="6">
        <f>IF(AND(J142="",K142=""),"vazio",IF(AND(OR(J142="",LEN(SUBSTITUTE(SUBSTITUTE(SUBSTITUTE(SUBSTITUTE(SUBSTITUTE(SUBSTITUTE(SUBSTITUTE(TRIM(J142),".",""),"/",""),"-","")," ",""),"(",""),")",""),"+",""))=10,LEN(SUBSTITUTE(SUBSTITUTE(SUBSTITUTE(SUBSTITUTE(SUBSTITUTE(SUBSTITUTE(SUBSTITUTE(TRIM(J142),".",""),"/",""),"-","")," ",""),"(",""),")",""),"+",""))=11),OR(K142="",LEN(SUBSTITUTE(SUBSTITUTE(SUBSTITUTE(SUBSTITUTE(SUBSTITUTE(SUBSTITUTE(SUBSTITUTE(TRIM(K142),".",""),"/",""),"-","")," ",""),"(",""),")",""),"+",""))=10,LEN(SUBSTITUTE(SUBSTITUTE(SUBSTITUTE(SUBSTITUTE(SUBSTITUTE(SUBSTITUTE(SUBSTITUTE(TRIM(K142),".",""),"/",""),"-","")," ",""),"(",""),")",""),"+",""))=11)),"OK","ERRO: use DDD + número (10 ou 11 dígitos)"))</f>
      </c>
      <c r="T142" s="6">
        <f>IF(L142="","vazio",IF(AND(ISNUMBER(FIND("@",L142)),ISNUMBER(FIND(".",MID(L142,FIND("@",L142),99))),NOT(ISNUMBER(FIND(" ",TRIM(L142)))),NOT(ISNUMBER(FIND(";",L142))),NOT(ISNUMBER(FIND(",",L142)))),"OK","ERRO: um e-mail válido por linha"))</f>
      </c>
      <c r="U142" s="6">
        <f>IF(COUNTA(A142:O142)=0,"",IF(AND(B142&lt;&gt;"",C142&lt;&gt;"",D142&lt;&gt;"",E142&lt;&gt;"",H142&lt;&gt;"",OR(J142&lt;&gt;"",L142&lt;&gt;"")),"OK","ERRO: faltam "&amp;IF(B142="","Proprietário; ","")&amp;IF(C142="","Origem; ","")&amp;IF(D142="","CNPJ; ","")&amp;IF(E142="","Razão Social; ","")&amp;IF(H142="","Sobrenome; ","")&amp;IF(AND(J142="",L142=""),"telefone ou e-mail; ","")))</f>
      </c>
      <c r="V142" s="6">
        <f>IF(COUNTA(A142:O142)=0,"",IF(AND(Q142="OK",R142="OK",LEFT(S142,4)&lt;&gt;"ERRO",LEFT(T142,4)&lt;&gt;"ERRO",U142="OK"),"OK","REVISAR"))</f>
      </c>
    </row>
    <row r="143">
      <c r="A143" s="4"/>
      <c r="B143" s="5"/>
      <c r="C143" s="5"/>
      <c r="D143" s="5"/>
      <c r="E143" s="5"/>
      <c r="F143" s="4"/>
      <c r="G143" s="4"/>
      <c r="H143" s="5"/>
      <c r="I143" s="4"/>
      <c r="J143" s="4"/>
      <c r="K143" s="4"/>
      <c r="L143" s="4"/>
      <c r="M143" s="4"/>
      <c r="N143" s="4"/>
      <c r="O143" s="4"/>
      <c r="P143" s="6">
        <f>IF(D143="","",SUBSTITUTE(SUBSTITUTE(SUBSTITUTE(SUBSTITUTE(SUBSTITUTE(SUBSTITUTE(SUBSTITUTE(TRIM(D143),".",""),"/",""),"-","")," ",""),"(",""),")",""),"+",""))</f>
      </c>
      <c r="Q143" s="6">
        <f>IF(P143="","",IF(LEN(P143)&lt;&gt;14,"ERRO: "&amp;LEN(P143)&amp;" dígitos",IF(NOT(ISNUMBER(VALUE(P143))),"ERRO: não numérico",IF(LEN(SUBSTITUTE(P143,LEFT(P143,1),""))=0,"ERRO: dígitos repetidos",IF(AND(VALUE(MID(P143,13,1))=IF(MOD(SUMPRODUCT(--MID(P143,{1,2,3,4,5,6,7,8,9,10,11,12},1),{5,4,3,2,9,8,7,6,5,4,3,2}),11)&lt;2,0,11-MOD(SUMPRODUCT(--MID(P143,{1,2,3,4,5,6,7,8,9,10,11,12},1),{5,4,3,2,9,8,7,6,5,4,3,2}),11)),VALUE(MID(P143,14,1))=IF(MOD(SUMPRODUCT(--MID(P143,{1,2,3,4,5,6,7,8,9,10,11,12,13},1),{6,5,4,3,2,9,8,7,6,5,4,3,2}),11)&lt;2,0,11-MOD(SUMPRODUCT(--MID(P143,{1,2,3,4,5,6,7,8,9,10,11,12,13},1),{6,5,4,3,2,9,8,7,6,5,4,3,2}),11))),"OK","ERRO: dígito verificador")))))</f>
      </c>
      <c r="R143" s="6">
        <f>IF(P143="","",IF(COUNTIF($P$2:$P$1001,P143)&gt;1,"DUPLICADO","OK"))</f>
      </c>
      <c r="S143" s="6">
        <f>IF(AND(J143="",K143=""),"vazio",IF(AND(OR(J143="",LEN(SUBSTITUTE(SUBSTITUTE(SUBSTITUTE(SUBSTITUTE(SUBSTITUTE(SUBSTITUTE(SUBSTITUTE(TRIM(J143),".",""),"/",""),"-","")," ",""),"(",""),")",""),"+",""))=10,LEN(SUBSTITUTE(SUBSTITUTE(SUBSTITUTE(SUBSTITUTE(SUBSTITUTE(SUBSTITUTE(SUBSTITUTE(TRIM(J143),".",""),"/",""),"-","")," ",""),"(",""),")",""),"+",""))=11),OR(K143="",LEN(SUBSTITUTE(SUBSTITUTE(SUBSTITUTE(SUBSTITUTE(SUBSTITUTE(SUBSTITUTE(SUBSTITUTE(TRIM(K143),".",""),"/",""),"-","")," ",""),"(",""),")",""),"+",""))=10,LEN(SUBSTITUTE(SUBSTITUTE(SUBSTITUTE(SUBSTITUTE(SUBSTITUTE(SUBSTITUTE(SUBSTITUTE(TRIM(K143),".",""),"/",""),"-","")," ",""),"(",""),")",""),"+",""))=11)),"OK","ERRO: use DDD + número (10 ou 11 dígitos)"))</f>
      </c>
      <c r="T143" s="6">
        <f>IF(L143="","vazio",IF(AND(ISNUMBER(FIND("@",L143)),ISNUMBER(FIND(".",MID(L143,FIND("@",L143),99))),NOT(ISNUMBER(FIND(" ",TRIM(L143)))),NOT(ISNUMBER(FIND(";",L143))),NOT(ISNUMBER(FIND(",",L143)))),"OK","ERRO: um e-mail válido por linha"))</f>
      </c>
      <c r="U143" s="6">
        <f>IF(COUNTA(A143:O143)=0,"",IF(AND(B143&lt;&gt;"",C143&lt;&gt;"",D143&lt;&gt;"",E143&lt;&gt;"",H143&lt;&gt;"",OR(J143&lt;&gt;"",L143&lt;&gt;"")),"OK","ERRO: faltam "&amp;IF(B143="","Proprietário; ","")&amp;IF(C143="","Origem; ","")&amp;IF(D143="","CNPJ; ","")&amp;IF(E143="","Razão Social; ","")&amp;IF(H143="","Sobrenome; ","")&amp;IF(AND(J143="",L143=""),"telefone ou e-mail; ","")))</f>
      </c>
      <c r="V143" s="6">
        <f>IF(COUNTA(A143:O143)=0,"",IF(AND(Q143="OK",R143="OK",LEFT(S143,4)&lt;&gt;"ERRO",LEFT(T143,4)&lt;&gt;"ERRO",U143="OK"),"OK","REVISAR"))</f>
      </c>
    </row>
    <row r="144">
      <c r="A144" s="4"/>
      <c r="B144" s="5"/>
      <c r="C144" s="5"/>
      <c r="D144" s="5"/>
      <c r="E144" s="5"/>
      <c r="F144" s="4"/>
      <c r="G144" s="4"/>
      <c r="H144" s="5"/>
      <c r="I144" s="4"/>
      <c r="J144" s="4"/>
      <c r="K144" s="4"/>
      <c r="L144" s="4"/>
      <c r="M144" s="4"/>
      <c r="N144" s="4"/>
      <c r="O144" s="4"/>
      <c r="P144" s="6">
        <f>IF(D144="","",SUBSTITUTE(SUBSTITUTE(SUBSTITUTE(SUBSTITUTE(SUBSTITUTE(SUBSTITUTE(SUBSTITUTE(TRIM(D144),".",""),"/",""),"-","")," ",""),"(",""),")",""),"+",""))</f>
      </c>
      <c r="Q144" s="6">
        <f>IF(P144="","",IF(LEN(P144)&lt;&gt;14,"ERRO: "&amp;LEN(P144)&amp;" dígitos",IF(NOT(ISNUMBER(VALUE(P144))),"ERRO: não numérico",IF(LEN(SUBSTITUTE(P144,LEFT(P144,1),""))=0,"ERRO: dígitos repetidos",IF(AND(VALUE(MID(P144,13,1))=IF(MOD(SUMPRODUCT(--MID(P144,{1,2,3,4,5,6,7,8,9,10,11,12},1),{5,4,3,2,9,8,7,6,5,4,3,2}),11)&lt;2,0,11-MOD(SUMPRODUCT(--MID(P144,{1,2,3,4,5,6,7,8,9,10,11,12},1),{5,4,3,2,9,8,7,6,5,4,3,2}),11)),VALUE(MID(P144,14,1))=IF(MOD(SUMPRODUCT(--MID(P144,{1,2,3,4,5,6,7,8,9,10,11,12,13},1),{6,5,4,3,2,9,8,7,6,5,4,3,2}),11)&lt;2,0,11-MOD(SUMPRODUCT(--MID(P144,{1,2,3,4,5,6,7,8,9,10,11,12,13},1),{6,5,4,3,2,9,8,7,6,5,4,3,2}),11))),"OK","ERRO: dígito verificador")))))</f>
      </c>
      <c r="R144" s="6">
        <f>IF(P144="","",IF(COUNTIF($P$2:$P$1001,P144)&gt;1,"DUPLICADO","OK"))</f>
      </c>
      <c r="S144" s="6">
        <f>IF(AND(J144="",K144=""),"vazio",IF(AND(OR(J144="",LEN(SUBSTITUTE(SUBSTITUTE(SUBSTITUTE(SUBSTITUTE(SUBSTITUTE(SUBSTITUTE(SUBSTITUTE(TRIM(J144),".",""),"/",""),"-","")," ",""),"(",""),")",""),"+",""))=10,LEN(SUBSTITUTE(SUBSTITUTE(SUBSTITUTE(SUBSTITUTE(SUBSTITUTE(SUBSTITUTE(SUBSTITUTE(TRIM(J144),".",""),"/",""),"-","")," ",""),"(",""),")",""),"+",""))=11),OR(K144="",LEN(SUBSTITUTE(SUBSTITUTE(SUBSTITUTE(SUBSTITUTE(SUBSTITUTE(SUBSTITUTE(SUBSTITUTE(TRIM(K144),".",""),"/",""),"-","")," ",""),"(",""),")",""),"+",""))=10,LEN(SUBSTITUTE(SUBSTITUTE(SUBSTITUTE(SUBSTITUTE(SUBSTITUTE(SUBSTITUTE(SUBSTITUTE(TRIM(K144),".",""),"/",""),"-","")," ",""),"(",""),")",""),"+",""))=11)),"OK","ERRO: use DDD + número (10 ou 11 dígitos)"))</f>
      </c>
      <c r="T144" s="6">
        <f>IF(L144="","vazio",IF(AND(ISNUMBER(FIND("@",L144)),ISNUMBER(FIND(".",MID(L144,FIND("@",L144),99))),NOT(ISNUMBER(FIND(" ",TRIM(L144)))),NOT(ISNUMBER(FIND(";",L144))),NOT(ISNUMBER(FIND(",",L144)))),"OK","ERRO: um e-mail válido por linha"))</f>
      </c>
      <c r="U144" s="6">
        <f>IF(COUNTA(A144:O144)=0,"",IF(AND(B144&lt;&gt;"",C144&lt;&gt;"",D144&lt;&gt;"",E144&lt;&gt;"",H144&lt;&gt;"",OR(J144&lt;&gt;"",L144&lt;&gt;"")),"OK","ERRO: faltam "&amp;IF(B144="","Proprietário; ","")&amp;IF(C144="","Origem; ","")&amp;IF(D144="","CNPJ; ","")&amp;IF(E144="","Razão Social; ","")&amp;IF(H144="","Sobrenome; ","")&amp;IF(AND(J144="",L144=""),"telefone ou e-mail; ","")))</f>
      </c>
      <c r="V144" s="6">
        <f>IF(COUNTA(A144:O144)=0,"",IF(AND(Q144="OK",R144="OK",LEFT(S144,4)&lt;&gt;"ERRO",LEFT(T144,4)&lt;&gt;"ERRO",U144="OK"),"OK","REVISAR"))</f>
      </c>
    </row>
    <row r="145">
      <c r="A145" s="4"/>
      <c r="B145" s="5"/>
      <c r="C145" s="5"/>
      <c r="D145" s="5"/>
      <c r="E145" s="5"/>
      <c r="F145" s="4"/>
      <c r="G145" s="4"/>
      <c r="H145" s="5"/>
      <c r="I145" s="4"/>
      <c r="J145" s="4"/>
      <c r="K145" s="4"/>
      <c r="L145" s="4"/>
      <c r="M145" s="4"/>
      <c r="N145" s="4"/>
      <c r="O145" s="4"/>
      <c r="P145" s="6">
        <f>IF(D145="","",SUBSTITUTE(SUBSTITUTE(SUBSTITUTE(SUBSTITUTE(SUBSTITUTE(SUBSTITUTE(SUBSTITUTE(TRIM(D145),".",""),"/",""),"-","")," ",""),"(",""),")",""),"+",""))</f>
      </c>
      <c r="Q145" s="6">
        <f>IF(P145="","",IF(LEN(P145)&lt;&gt;14,"ERRO: "&amp;LEN(P145)&amp;" dígitos",IF(NOT(ISNUMBER(VALUE(P145))),"ERRO: não numérico",IF(LEN(SUBSTITUTE(P145,LEFT(P145,1),""))=0,"ERRO: dígitos repetidos",IF(AND(VALUE(MID(P145,13,1))=IF(MOD(SUMPRODUCT(--MID(P145,{1,2,3,4,5,6,7,8,9,10,11,12},1),{5,4,3,2,9,8,7,6,5,4,3,2}),11)&lt;2,0,11-MOD(SUMPRODUCT(--MID(P145,{1,2,3,4,5,6,7,8,9,10,11,12},1),{5,4,3,2,9,8,7,6,5,4,3,2}),11)),VALUE(MID(P145,14,1))=IF(MOD(SUMPRODUCT(--MID(P145,{1,2,3,4,5,6,7,8,9,10,11,12,13},1),{6,5,4,3,2,9,8,7,6,5,4,3,2}),11)&lt;2,0,11-MOD(SUMPRODUCT(--MID(P145,{1,2,3,4,5,6,7,8,9,10,11,12,13},1),{6,5,4,3,2,9,8,7,6,5,4,3,2}),11))),"OK","ERRO: dígito verificador")))))</f>
      </c>
      <c r="R145" s="6">
        <f>IF(P145="","",IF(COUNTIF($P$2:$P$1001,P145)&gt;1,"DUPLICADO","OK"))</f>
      </c>
      <c r="S145" s="6">
        <f>IF(AND(J145="",K145=""),"vazio",IF(AND(OR(J145="",LEN(SUBSTITUTE(SUBSTITUTE(SUBSTITUTE(SUBSTITUTE(SUBSTITUTE(SUBSTITUTE(SUBSTITUTE(TRIM(J145),".",""),"/",""),"-","")," ",""),"(",""),")",""),"+",""))=10,LEN(SUBSTITUTE(SUBSTITUTE(SUBSTITUTE(SUBSTITUTE(SUBSTITUTE(SUBSTITUTE(SUBSTITUTE(TRIM(J145),".",""),"/",""),"-","")," ",""),"(",""),")",""),"+",""))=11),OR(K145="",LEN(SUBSTITUTE(SUBSTITUTE(SUBSTITUTE(SUBSTITUTE(SUBSTITUTE(SUBSTITUTE(SUBSTITUTE(TRIM(K145),".",""),"/",""),"-","")," ",""),"(",""),")",""),"+",""))=10,LEN(SUBSTITUTE(SUBSTITUTE(SUBSTITUTE(SUBSTITUTE(SUBSTITUTE(SUBSTITUTE(SUBSTITUTE(TRIM(K145),".",""),"/",""),"-","")," ",""),"(",""),")",""),"+",""))=11)),"OK","ERRO: use DDD + número (10 ou 11 dígitos)"))</f>
      </c>
      <c r="T145" s="6">
        <f>IF(L145="","vazio",IF(AND(ISNUMBER(FIND("@",L145)),ISNUMBER(FIND(".",MID(L145,FIND("@",L145),99))),NOT(ISNUMBER(FIND(" ",TRIM(L145)))),NOT(ISNUMBER(FIND(";",L145))),NOT(ISNUMBER(FIND(",",L145)))),"OK","ERRO: um e-mail válido por linha"))</f>
      </c>
      <c r="U145" s="6">
        <f>IF(COUNTA(A145:O145)=0,"",IF(AND(B145&lt;&gt;"",C145&lt;&gt;"",D145&lt;&gt;"",E145&lt;&gt;"",H145&lt;&gt;"",OR(J145&lt;&gt;"",L145&lt;&gt;"")),"OK","ERRO: faltam "&amp;IF(B145="","Proprietário; ","")&amp;IF(C145="","Origem; ","")&amp;IF(D145="","CNPJ; ","")&amp;IF(E145="","Razão Social; ","")&amp;IF(H145="","Sobrenome; ","")&amp;IF(AND(J145="",L145=""),"telefone ou e-mail; ","")))</f>
      </c>
      <c r="V145" s="6">
        <f>IF(COUNTA(A145:O145)=0,"",IF(AND(Q145="OK",R145="OK",LEFT(S145,4)&lt;&gt;"ERRO",LEFT(T145,4)&lt;&gt;"ERRO",U145="OK"),"OK","REVISAR"))</f>
      </c>
    </row>
    <row r="146">
      <c r="A146" s="4"/>
      <c r="B146" s="5"/>
      <c r="C146" s="5"/>
      <c r="D146" s="5"/>
      <c r="E146" s="5"/>
      <c r="F146" s="4"/>
      <c r="G146" s="4"/>
      <c r="H146" s="5"/>
      <c r="I146" s="4"/>
      <c r="J146" s="4"/>
      <c r="K146" s="4"/>
      <c r="L146" s="4"/>
      <c r="M146" s="4"/>
      <c r="N146" s="4"/>
      <c r="O146" s="4"/>
      <c r="P146" s="6">
        <f>IF(D146="","",SUBSTITUTE(SUBSTITUTE(SUBSTITUTE(SUBSTITUTE(SUBSTITUTE(SUBSTITUTE(SUBSTITUTE(TRIM(D146),".",""),"/",""),"-","")," ",""),"(",""),")",""),"+",""))</f>
      </c>
      <c r="Q146" s="6">
        <f>IF(P146="","",IF(LEN(P146)&lt;&gt;14,"ERRO: "&amp;LEN(P146)&amp;" dígitos",IF(NOT(ISNUMBER(VALUE(P146))),"ERRO: não numérico",IF(LEN(SUBSTITUTE(P146,LEFT(P146,1),""))=0,"ERRO: dígitos repetidos",IF(AND(VALUE(MID(P146,13,1))=IF(MOD(SUMPRODUCT(--MID(P146,{1,2,3,4,5,6,7,8,9,10,11,12},1),{5,4,3,2,9,8,7,6,5,4,3,2}),11)&lt;2,0,11-MOD(SUMPRODUCT(--MID(P146,{1,2,3,4,5,6,7,8,9,10,11,12},1),{5,4,3,2,9,8,7,6,5,4,3,2}),11)),VALUE(MID(P146,14,1))=IF(MOD(SUMPRODUCT(--MID(P146,{1,2,3,4,5,6,7,8,9,10,11,12,13},1),{6,5,4,3,2,9,8,7,6,5,4,3,2}),11)&lt;2,0,11-MOD(SUMPRODUCT(--MID(P146,{1,2,3,4,5,6,7,8,9,10,11,12,13},1),{6,5,4,3,2,9,8,7,6,5,4,3,2}),11))),"OK","ERRO: dígito verificador")))))</f>
      </c>
      <c r="R146" s="6">
        <f>IF(P146="","",IF(COUNTIF($P$2:$P$1001,P146)&gt;1,"DUPLICADO","OK"))</f>
      </c>
      <c r="S146" s="6">
        <f>IF(AND(J146="",K146=""),"vazio",IF(AND(OR(J146="",LEN(SUBSTITUTE(SUBSTITUTE(SUBSTITUTE(SUBSTITUTE(SUBSTITUTE(SUBSTITUTE(SUBSTITUTE(TRIM(J146),".",""),"/",""),"-","")," ",""),"(",""),")",""),"+",""))=10,LEN(SUBSTITUTE(SUBSTITUTE(SUBSTITUTE(SUBSTITUTE(SUBSTITUTE(SUBSTITUTE(SUBSTITUTE(TRIM(J146),".",""),"/",""),"-","")," ",""),"(",""),")",""),"+",""))=11),OR(K146="",LEN(SUBSTITUTE(SUBSTITUTE(SUBSTITUTE(SUBSTITUTE(SUBSTITUTE(SUBSTITUTE(SUBSTITUTE(TRIM(K146),".",""),"/",""),"-","")," ",""),"(",""),")",""),"+",""))=10,LEN(SUBSTITUTE(SUBSTITUTE(SUBSTITUTE(SUBSTITUTE(SUBSTITUTE(SUBSTITUTE(SUBSTITUTE(TRIM(K146),".",""),"/",""),"-","")," ",""),"(",""),")",""),"+",""))=11)),"OK","ERRO: use DDD + número (10 ou 11 dígitos)"))</f>
      </c>
      <c r="T146" s="6">
        <f>IF(L146="","vazio",IF(AND(ISNUMBER(FIND("@",L146)),ISNUMBER(FIND(".",MID(L146,FIND("@",L146),99))),NOT(ISNUMBER(FIND(" ",TRIM(L146)))),NOT(ISNUMBER(FIND(";",L146))),NOT(ISNUMBER(FIND(",",L146)))),"OK","ERRO: um e-mail válido por linha"))</f>
      </c>
      <c r="U146" s="6">
        <f>IF(COUNTA(A146:O146)=0,"",IF(AND(B146&lt;&gt;"",C146&lt;&gt;"",D146&lt;&gt;"",E146&lt;&gt;"",H146&lt;&gt;"",OR(J146&lt;&gt;"",L146&lt;&gt;"")),"OK","ERRO: faltam "&amp;IF(B146="","Proprietário; ","")&amp;IF(C146="","Origem; ","")&amp;IF(D146="","CNPJ; ","")&amp;IF(E146="","Razão Social; ","")&amp;IF(H146="","Sobrenome; ","")&amp;IF(AND(J146="",L146=""),"telefone ou e-mail; ","")))</f>
      </c>
      <c r="V146" s="6">
        <f>IF(COUNTA(A146:O146)=0,"",IF(AND(Q146="OK",R146="OK",LEFT(S146,4)&lt;&gt;"ERRO",LEFT(T146,4)&lt;&gt;"ERRO",U146="OK"),"OK","REVISAR"))</f>
      </c>
    </row>
    <row r="147">
      <c r="A147" s="4"/>
      <c r="B147" s="5"/>
      <c r="C147" s="5"/>
      <c r="D147" s="5"/>
      <c r="E147" s="5"/>
      <c r="F147" s="4"/>
      <c r="G147" s="4"/>
      <c r="H147" s="5"/>
      <c r="I147" s="4"/>
      <c r="J147" s="4"/>
      <c r="K147" s="4"/>
      <c r="L147" s="4"/>
      <c r="M147" s="4"/>
      <c r="N147" s="4"/>
      <c r="O147" s="4"/>
      <c r="P147" s="6">
        <f>IF(D147="","",SUBSTITUTE(SUBSTITUTE(SUBSTITUTE(SUBSTITUTE(SUBSTITUTE(SUBSTITUTE(SUBSTITUTE(TRIM(D147),".",""),"/",""),"-","")," ",""),"(",""),")",""),"+",""))</f>
      </c>
      <c r="Q147" s="6">
        <f>IF(P147="","",IF(LEN(P147)&lt;&gt;14,"ERRO: "&amp;LEN(P147)&amp;" dígitos",IF(NOT(ISNUMBER(VALUE(P147))),"ERRO: não numérico",IF(LEN(SUBSTITUTE(P147,LEFT(P147,1),""))=0,"ERRO: dígitos repetidos",IF(AND(VALUE(MID(P147,13,1))=IF(MOD(SUMPRODUCT(--MID(P147,{1,2,3,4,5,6,7,8,9,10,11,12},1),{5,4,3,2,9,8,7,6,5,4,3,2}),11)&lt;2,0,11-MOD(SUMPRODUCT(--MID(P147,{1,2,3,4,5,6,7,8,9,10,11,12},1),{5,4,3,2,9,8,7,6,5,4,3,2}),11)),VALUE(MID(P147,14,1))=IF(MOD(SUMPRODUCT(--MID(P147,{1,2,3,4,5,6,7,8,9,10,11,12,13},1),{6,5,4,3,2,9,8,7,6,5,4,3,2}),11)&lt;2,0,11-MOD(SUMPRODUCT(--MID(P147,{1,2,3,4,5,6,7,8,9,10,11,12,13},1),{6,5,4,3,2,9,8,7,6,5,4,3,2}),11))),"OK","ERRO: dígito verificador")))))</f>
      </c>
      <c r="R147" s="6">
        <f>IF(P147="","",IF(COUNTIF($P$2:$P$1001,P147)&gt;1,"DUPLICADO","OK"))</f>
      </c>
      <c r="S147" s="6">
        <f>IF(AND(J147="",K147=""),"vazio",IF(AND(OR(J147="",LEN(SUBSTITUTE(SUBSTITUTE(SUBSTITUTE(SUBSTITUTE(SUBSTITUTE(SUBSTITUTE(SUBSTITUTE(TRIM(J147),".",""),"/",""),"-","")," ",""),"(",""),")",""),"+",""))=10,LEN(SUBSTITUTE(SUBSTITUTE(SUBSTITUTE(SUBSTITUTE(SUBSTITUTE(SUBSTITUTE(SUBSTITUTE(TRIM(J147),".",""),"/",""),"-","")," ",""),"(",""),")",""),"+",""))=11),OR(K147="",LEN(SUBSTITUTE(SUBSTITUTE(SUBSTITUTE(SUBSTITUTE(SUBSTITUTE(SUBSTITUTE(SUBSTITUTE(TRIM(K147),".",""),"/",""),"-","")," ",""),"(",""),")",""),"+",""))=10,LEN(SUBSTITUTE(SUBSTITUTE(SUBSTITUTE(SUBSTITUTE(SUBSTITUTE(SUBSTITUTE(SUBSTITUTE(TRIM(K147),".",""),"/",""),"-","")," ",""),"(",""),")",""),"+",""))=11)),"OK","ERRO: use DDD + número (10 ou 11 dígitos)"))</f>
      </c>
      <c r="T147" s="6">
        <f>IF(L147="","vazio",IF(AND(ISNUMBER(FIND("@",L147)),ISNUMBER(FIND(".",MID(L147,FIND("@",L147),99))),NOT(ISNUMBER(FIND(" ",TRIM(L147)))),NOT(ISNUMBER(FIND(";",L147))),NOT(ISNUMBER(FIND(",",L147)))),"OK","ERRO: um e-mail válido por linha"))</f>
      </c>
      <c r="U147" s="6">
        <f>IF(COUNTA(A147:O147)=0,"",IF(AND(B147&lt;&gt;"",C147&lt;&gt;"",D147&lt;&gt;"",E147&lt;&gt;"",H147&lt;&gt;"",OR(J147&lt;&gt;"",L147&lt;&gt;"")),"OK","ERRO: faltam "&amp;IF(B147="","Proprietário; ","")&amp;IF(C147="","Origem; ","")&amp;IF(D147="","CNPJ; ","")&amp;IF(E147="","Razão Social; ","")&amp;IF(H147="","Sobrenome; ","")&amp;IF(AND(J147="",L147=""),"telefone ou e-mail; ","")))</f>
      </c>
      <c r="V147" s="6">
        <f>IF(COUNTA(A147:O147)=0,"",IF(AND(Q147="OK",R147="OK",LEFT(S147,4)&lt;&gt;"ERRO",LEFT(T147,4)&lt;&gt;"ERRO",U147="OK"),"OK","REVISAR"))</f>
      </c>
    </row>
    <row r="148">
      <c r="A148" s="4"/>
      <c r="B148" s="5"/>
      <c r="C148" s="5"/>
      <c r="D148" s="5"/>
      <c r="E148" s="5"/>
      <c r="F148" s="4"/>
      <c r="G148" s="4"/>
      <c r="H148" s="5"/>
      <c r="I148" s="4"/>
      <c r="J148" s="4"/>
      <c r="K148" s="4"/>
      <c r="L148" s="4"/>
      <c r="M148" s="4"/>
      <c r="N148" s="4"/>
      <c r="O148" s="4"/>
      <c r="P148" s="6">
        <f>IF(D148="","",SUBSTITUTE(SUBSTITUTE(SUBSTITUTE(SUBSTITUTE(SUBSTITUTE(SUBSTITUTE(SUBSTITUTE(TRIM(D148),".",""),"/",""),"-","")," ",""),"(",""),")",""),"+",""))</f>
      </c>
      <c r="Q148" s="6">
        <f>IF(P148="","",IF(LEN(P148)&lt;&gt;14,"ERRO: "&amp;LEN(P148)&amp;" dígitos",IF(NOT(ISNUMBER(VALUE(P148))),"ERRO: não numérico",IF(LEN(SUBSTITUTE(P148,LEFT(P148,1),""))=0,"ERRO: dígitos repetidos",IF(AND(VALUE(MID(P148,13,1))=IF(MOD(SUMPRODUCT(--MID(P148,{1,2,3,4,5,6,7,8,9,10,11,12},1),{5,4,3,2,9,8,7,6,5,4,3,2}),11)&lt;2,0,11-MOD(SUMPRODUCT(--MID(P148,{1,2,3,4,5,6,7,8,9,10,11,12},1),{5,4,3,2,9,8,7,6,5,4,3,2}),11)),VALUE(MID(P148,14,1))=IF(MOD(SUMPRODUCT(--MID(P148,{1,2,3,4,5,6,7,8,9,10,11,12,13},1),{6,5,4,3,2,9,8,7,6,5,4,3,2}),11)&lt;2,0,11-MOD(SUMPRODUCT(--MID(P148,{1,2,3,4,5,6,7,8,9,10,11,12,13},1),{6,5,4,3,2,9,8,7,6,5,4,3,2}),11))),"OK","ERRO: dígito verificador")))))</f>
      </c>
      <c r="R148" s="6">
        <f>IF(P148="","",IF(COUNTIF($P$2:$P$1001,P148)&gt;1,"DUPLICADO","OK"))</f>
      </c>
      <c r="S148" s="6">
        <f>IF(AND(J148="",K148=""),"vazio",IF(AND(OR(J148="",LEN(SUBSTITUTE(SUBSTITUTE(SUBSTITUTE(SUBSTITUTE(SUBSTITUTE(SUBSTITUTE(SUBSTITUTE(TRIM(J148),".",""),"/",""),"-","")," ",""),"(",""),")",""),"+",""))=10,LEN(SUBSTITUTE(SUBSTITUTE(SUBSTITUTE(SUBSTITUTE(SUBSTITUTE(SUBSTITUTE(SUBSTITUTE(TRIM(J148),".",""),"/",""),"-","")," ",""),"(",""),")",""),"+",""))=11),OR(K148="",LEN(SUBSTITUTE(SUBSTITUTE(SUBSTITUTE(SUBSTITUTE(SUBSTITUTE(SUBSTITUTE(SUBSTITUTE(TRIM(K148),".",""),"/",""),"-","")," ",""),"(",""),")",""),"+",""))=10,LEN(SUBSTITUTE(SUBSTITUTE(SUBSTITUTE(SUBSTITUTE(SUBSTITUTE(SUBSTITUTE(SUBSTITUTE(TRIM(K148),".",""),"/",""),"-","")," ",""),"(",""),")",""),"+",""))=11)),"OK","ERRO: use DDD + número (10 ou 11 dígitos)"))</f>
      </c>
      <c r="T148" s="6">
        <f>IF(L148="","vazio",IF(AND(ISNUMBER(FIND("@",L148)),ISNUMBER(FIND(".",MID(L148,FIND("@",L148),99))),NOT(ISNUMBER(FIND(" ",TRIM(L148)))),NOT(ISNUMBER(FIND(";",L148))),NOT(ISNUMBER(FIND(",",L148)))),"OK","ERRO: um e-mail válido por linha"))</f>
      </c>
      <c r="U148" s="6">
        <f>IF(COUNTA(A148:O148)=0,"",IF(AND(B148&lt;&gt;"",C148&lt;&gt;"",D148&lt;&gt;"",E148&lt;&gt;"",H148&lt;&gt;"",OR(J148&lt;&gt;"",L148&lt;&gt;"")),"OK","ERRO: faltam "&amp;IF(B148="","Proprietário; ","")&amp;IF(C148="","Origem; ","")&amp;IF(D148="","CNPJ; ","")&amp;IF(E148="","Razão Social; ","")&amp;IF(H148="","Sobrenome; ","")&amp;IF(AND(J148="",L148=""),"telefone ou e-mail; ","")))</f>
      </c>
      <c r="V148" s="6">
        <f>IF(COUNTA(A148:O148)=0,"",IF(AND(Q148="OK",R148="OK",LEFT(S148,4)&lt;&gt;"ERRO",LEFT(T148,4)&lt;&gt;"ERRO",U148="OK"),"OK","REVISAR"))</f>
      </c>
    </row>
    <row r="149">
      <c r="A149" s="4"/>
      <c r="B149" s="5"/>
      <c r="C149" s="5"/>
      <c r="D149" s="5"/>
      <c r="E149" s="5"/>
      <c r="F149" s="4"/>
      <c r="G149" s="4"/>
      <c r="H149" s="5"/>
      <c r="I149" s="4"/>
      <c r="J149" s="4"/>
      <c r="K149" s="4"/>
      <c r="L149" s="4"/>
      <c r="M149" s="4"/>
      <c r="N149" s="4"/>
      <c r="O149" s="4"/>
      <c r="P149" s="6">
        <f>IF(D149="","",SUBSTITUTE(SUBSTITUTE(SUBSTITUTE(SUBSTITUTE(SUBSTITUTE(SUBSTITUTE(SUBSTITUTE(TRIM(D149),".",""),"/",""),"-","")," ",""),"(",""),")",""),"+",""))</f>
      </c>
      <c r="Q149" s="6">
        <f>IF(P149="","",IF(LEN(P149)&lt;&gt;14,"ERRO: "&amp;LEN(P149)&amp;" dígitos",IF(NOT(ISNUMBER(VALUE(P149))),"ERRO: não numérico",IF(LEN(SUBSTITUTE(P149,LEFT(P149,1),""))=0,"ERRO: dígitos repetidos",IF(AND(VALUE(MID(P149,13,1))=IF(MOD(SUMPRODUCT(--MID(P149,{1,2,3,4,5,6,7,8,9,10,11,12},1),{5,4,3,2,9,8,7,6,5,4,3,2}),11)&lt;2,0,11-MOD(SUMPRODUCT(--MID(P149,{1,2,3,4,5,6,7,8,9,10,11,12},1),{5,4,3,2,9,8,7,6,5,4,3,2}),11)),VALUE(MID(P149,14,1))=IF(MOD(SUMPRODUCT(--MID(P149,{1,2,3,4,5,6,7,8,9,10,11,12,13},1),{6,5,4,3,2,9,8,7,6,5,4,3,2}),11)&lt;2,0,11-MOD(SUMPRODUCT(--MID(P149,{1,2,3,4,5,6,7,8,9,10,11,12,13},1),{6,5,4,3,2,9,8,7,6,5,4,3,2}),11))),"OK","ERRO: dígito verificador")))))</f>
      </c>
      <c r="R149" s="6">
        <f>IF(P149="","",IF(COUNTIF($P$2:$P$1001,P149)&gt;1,"DUPLICADO","OK"))</f>
      </c>
      <c r="S149" s="6">
        <f>IF(AND(J149="",K149=""),"vazio",IF(AND(OR(J149="",LEN(SUBSTITUTE(SUBSTITUTE(SUBSTITUTE(SUBSTITUTE(SUBSTITUTE(SUBSTITUTE(SUBSTITUTE(TRIM(J149),".",""),"/",""),"-","")," ",""),"(",""),")",""),"+",""))=10,LEN(SUBSTITUTE(SUBSTITUTE(SUBSTITUTE(SUBSTITUTE(SUBSTITUTE(SUBSTITUTE(SUBSTITUTE(TRIM(J149),".",""),"/",""),"-","")," ",""),"(",""),")",""),"+",""))=11),OR(K149="",LEN(SUBSTITUTE(SUBSTITUTE(SUBSTITUTE(SUBSTITUTE(SUBSTITUTE(SUBSTITUTE(SUBSTITUTE(TRIM(K149),".",""),"/",""),"-","")," ",""),"(",""),")",""),"+",""))=10,LEN(SUBSTITUTE(SUBSTITUTE(SUBSTITUTE(SUBSTITUTE(SUBSTITUTE(SUBSTITUTE(SUBSTITUTE(TRIM(K149),".",""),"/",""),"-","")," ",""),"(",""),")",""),"+",""))=11)),"OK","ERRO: use DDD + número (10 ou 11 dígitos)"))</f>
      </c>
      <c r="T149" s="6">
        <f>IF(L149="","vazio",IF(AND(ISNUMBER(FIND("@",L149)),ISNUMBER(FIND(".",MID(L149,FIND("@",L149),99))),NOT(ISNUMBER(FIND(" ",TRIM(L149)))),NOT(ISNUMBER(FIND(";",L149))),NOT(ISNUMBER(FIND(",",L149)))),"OK","ERRO: um e-mail válido por linha"))</f>
      </c>
      <c r="U149" s="6">
        <f>IF(COUNTA(A149:O149)=0,"",IF(AND(B149&lt;&gt;"",C149&lt;&gt;"",D149&lt;&gt;"",E149&lt;&gt;"",H149&lt;&gt;"",OR(J149&lt;&gt;"",L149&lt;&gt;"")),"OK","ERRO: faltam "&amp;IF(B149="","Proprietário; ","")&amp;IF(C149="","Origem; ","")&amp;IF(D149="","CNPJ; ","")&amp;IF(E149="","Razão Social; ","")&amp;IF(H149="","Sobrenome; ","")&amp;IF(AND(J149="",L149=""),"telefone ou e-mail; ","")))</f>
      </c>
      <c r="V149" s="6">
        <f>IF(COUNTA(A149:O149)=0,"",IF(AND(Q149="OK",R149="OK",LEFT(S149,4)&lt;&gt;"ERRO",LEFT(T149,4)&lt;&gt;"ERRO",U149="OK"),"OK","REVISAR"))</f>
      </c>
    </row>
    <row r="150">
      <c r="A150" s="4"/>
      <c r="B150" s="5"/>
      <c r="C150" s="5"/>
      <c r="D150" s="5"/>
      <c r="E150" s="5"/>
      <c r="F150" s="4"/>
      <c r="G150" s="4"/>
      <c r="H150" s="5"/>
      <c r="I150" s="4"/>
      <c r="J150" s="4"/>
      <c r="K150" s="4"/>
      <c r="L150" s="4"/>
      <c r="M150" s="4"/>
      <c r="N150" s="4"/>
      <c r="O150" s="4"/>
      <c r="P150" s="6">
        <f>IF(D150="","",SUBSTITUTE(SUBSTITUTE(SUBSTITUTE(SUBSTITUTE(SUBSTITUTE(SUBSTITUTE(SUBSTITUTE(TRIM(D150),".",""),"/",""),"-","")," ",""),"(",""),")",""),"+",""))</f>
      </c>
      <c r="Q150" s="6">
        <f>IF(P150="","",IF(LEN(P150)&lt;&gt;14,"ERRO: "&amp;LEN(P150)&amp;" dígitos",IF(NOT(ISNUMBER(VALUE(P150))),"ERRO: não numérico",IF(LEN(SUBSTITUTE(P150,LEFT(P150,1),""))=0,"ERRO: dígitos repetidos",IF(AND(VALUE(MID(P150,13,1))=IF(MOD(SUMPRODUCT(--MID(P150,{1,2,3,4,5,6,7,8,9,10,11,12},1),{5,4,3,2,9,8,7,6,5,4,3,2}),11)&lt;2,0,11-MOD(SUMPRODUCT(--MID(P150,{1,2,3,4,5,6,7,8,9,10,11,12},1),{5,4,3,2,9,8,7,6,5,4,3,2}),11)),VALUE(MID(P150,14,1))=IF(MOD(SUMPRODUCT(--MID(P150,{1,2,3,4,5,6,7,8,9,10,11,12,13},1),{6,5,4,3,2,9,8,7,6,5,4,3,2}),11)&lt;2,0,11-MOD(SUMPRODUCT(--MID(P150,{1,2,3,4,5,6,7,8,9,10,11,12,13},1),{6,5,4,3,2,9,8,7,6,5,4,3,2}),11))),"OK","ERRO: dígito verificador")))))</f>
      </c>
      <c r="R150" s="6">
        <f>IF(P150="","",IF(COUNTIF($P$2:$P$1001,P150)&gt;1,"DUPLICADO","OK"))</f>
      </c>
      <c r="S150" s="6">
        <f>IF(AND(J150="",K150=""),"vazio",IF(AND(OR(J150="",LEN(SUBSTITUTE(SUBSTITUTE(SUBSTITUTE(SUBSTITUTE(SUBSTITUTE(SUBSTITUTE(SUBSTITUTE(TRIM(J150),".",""),"/",""),"-","")," ",""),"(",""),")",""),"+",""))=10,LEN(SUBSTITUTE(SUBSTITUTE(SUBSTITUTE(SUBSTITUTE(SUBSTITUTE(SUBSTITUTE(SUBSTITUTE(TRIM(J150),".",""),"/",""),"-","")," ",""),"(",""),")",""),"+",""))=11),OR(K150="",LEN(SUBSTITUTE(SUBSTITUTE(SUBSTITUTE(SUBSTITUTE(SUBSTITUTE(SUBSTITUTE(SUBSTITUTE(TRIM(K150),".",""),"/",""),"-","")," ",""),"(",""),")",""),"+",""))=10,LEN(SUBSTITUTE(SUBSTITUTE(SUBSTITUTE(SUBSTITUTE(SUBSTITUTE(SUBSTITUTE(SUBSTITUTE(TRIM(K150),".",""),"/",""),"-","")," ",""),"(",""),")",""),"+",""))=11)),"OK","ERRO: use DDD + número (10 ou 11 dígitos)"))</f>
      </c>
      <c r="T150" s="6">
        <f>IF(L150="","vazio",IF(AND(ISNUMBER(FIND("@",L150)),ISNUMBER(FIND(".",MID(L150,FIND("@",L150),99))),NOT(ISNUMBER(FIND(" ",TRIM(L150)))),NOT(ISNUMBER(FIND(";",L150))),NOT(ISNUMBER(FIND(",",L150)))),"OK","ERRO: um e-mail válido por linha"))</f>
      </c>
      <c r="U150" s="6">
        <f>IF(COUNTA(A150:O150)=0,"",IF(AND(B150&lt;&gt;"",C150&lt;&gt;"",D150&lt;&gt;"",E150&lt;&gt;"",H150&lt;&gt;"",OR(J150&lt;&gt;"",L150&lt;&gt;"")),"OK","ERRO: faltam "&amp;IF(B150="","Proprietário; ","")&amp;IF(C150="","Origem; ","")&amp;IF(D150="","CNPJ; ","")&amp;IF(E150="","Razão Social; ","")&amp;IF(H150="","Sobrenome; ","")&amp;IF(AND(J150="",L150=""),"telefone ou e-mail; ","")))</f>
      </c>
      <c r="V150" s="6">
        <f>IF(COUNTA(A150:O150)=0,"",IF(AND(Q150="OK",R150="OK",LEFT(S150,4)&lt;&gt;"ERRO",LEFT(T150,4)&lt;&gt;"ERRO",U150="OK"),"OK","REVISAR"))</f>
      </c>
    </row>
    <row r="151">
      <c r="A151" s="4"/>
      <c r="B151" s="5"/>
      <c r="C151" s="5"/>
      <c r="D151" s="5"/>
      <c r="E151" s="5"/>
      <c r="F151" s="4"/>
      <c r="G151" s="4"/>
      <c r="H151" s="5"/>
      <c r="I151" s="4"/>
      <c r="J151" s="4"/>
      <c r="K151" s="4"/>
      <c r="L151" s="4"/>
      <c r="M151" s="4"/>
      <c r="N151" s="4"/>
      <c r="O151" s="4"/>
      <c r="P151" s="6">
        <f>IF(D151="","",SUBSTITUTE(SUBSTITUTE(SUBSTITUTE(SUBSTITUTE(SUBSTITUTE(SUBSTITUTE(SUBSTITUTE(TRIM(D151),".",""),"/",""),"-","")," ",""),"(",""),")",""),"+",""))</f>
      </c>
      <c r="Q151" s="6">
        <f>IF(P151="","",IF(LEN(P151)&lt;&gt;14,"ERRO: "&amp;LEN(P151)&amp;" dígitos",IF(NOT(ISNUMBER(VALUE(P151))),"ERRO: não numérico",IF(LEN(SUBSTITUTE(P151,LEFT(P151,1),""))=0,"ERRO: dígitos repetidos",IF(AND(VALUE(MID(P151,13,1))=IF(MOD(SUMPRODUCT(--MID(P151,{1,2,3,4,5,6,7,8,9,10,11,12},1),{5,4,3,2,9,8,7,6,5,4,3,2}),11)&lt;2,0,11-MOD(SUMPRODUCT(--MID(P151,{1,2,3,4,5,6,7,8,9,10,11,12},1),{5,4,3,2,9,8,7,6,5,4,3,2}),11)),VALUE(MID(P151,14,1))=IF(MOD(SUMPRODUCT(--MID(P151,{1,2,3,4,5,6,7,8,9,10,11,12,13},1),{6,5,4,3,2,9,8,7,6,5,4,3,2}),11)&lt;2,0,11-MOD(SUMPRODUCT(--MID(P151,{1,2,3,4,5,6,7,8,9,10,11,12,13},1),{6,5,4,3,2,9,8,7,6,5,4,3,2}),11))),"OK","ERRO: dígito verificador")))))</f>
      </c>
      <c r="R151" s="6">
        <f>IF(P151="","",IF(COUNTIF($P$2:$P$1001,P151)&gt;1,"DUPLICADO","OK"))</f>
      </c>
      <c r="S151" s="6">
        <f>IF(AND(J151="",K151=""),"vazio",IF(AND(OR(J151="",LEN(SUBSTITUTE(SUBSTITUTE(SUBSTITUTE(SUBSTITUTE(SUBSTITUTE(SUBSTITUTE(SUBSTITUTE(TRIM(J151),".",""),"/",""),"-","")," ",""),"(",""),")",""),"+",""))=10,LEN(SUBSTITUTE(SUBSTITUTE(SUBSTITUTE(SUBSTITUTE(SUBSTITUTE(SUBSTITUTE(SUBSTITUTE(TRIM(J151),".",""),"/",""),"-","")," ",""),"(",""),")",""),"+",""))=11),OR(K151="",LEN(SUBSTITUTE(SUBSTITUTE(SUBSTITUTE(SUBSTITUTE(SUBSTITUTE(SUBSTITUTE(SUBSTITUTE(TRIM(K151),".",""),"/",""),"-","")," ",""),"(",""),")",""),"+",""))=10,LEN(SUBSTITUTE(SUBSTITUTE(SUBSTITUTE(SUBSTITUTE(SUBSTITUTE(SUBSTITUTE(SUBSTITUTE(TRIM(K151),".",""),"/",""),"-","")," ",""),"(",""),")",""),"+",""))=11)),"OK","ERRO: use DDD + número (10 ou 11 dígitos)"))</f>
      </c>
      <c r="T151" s="6">
        <f>IF(L151="","vazio",IF(AND(ISNUMBER(FIND("@",L151)),ISNUMBER(FIND(".",MID(L151,FIND("@",L151),99))),NOT(ISNUMBER(FIND(" ",TRIM(L151)))),NOT(ISNUMBER(FIND(";",L151))),NOT(ISNUMBER(FIND(",",L151)))),"OK","ERRO: um e-mail válido por linha"))</f>
      </c>
      <c r="U151" s="6">
        <f>IF(COUNTA(A151:O151)=0,"",IF(AND(B151&lt;&gt;"",C151&lt;&gt;"",D151&lt;&gt;"",E151&lt;&gt;"",H151&lt;&gt;"",OR(J151&lt;&gt;"",L151&lt;&gt;"")),"OK","ERRO: faltam "&amp;IF(B151="","Proprietário; ","")&amp;IF(C151="","Origem; ","")&amp;IF(D151="","CNPJ; ","")&amp;IF(E151="","Razão Social; ","")&amp;IF(H151="","Sobrenome; ","")&amp;IF(AND(J151="",L151=""),"telefone ou e-mail; ","")))</f>
      </c>
      <c r="V151" s="6">
        <f>IF(COUNTA(A151:O151)=0,"",IF(AND(Q151="OK",R151="OK",LEFT(S151,4)&lt;&gt;"ERRO",LEFT(T151,4)&lt;&gt;"ERRO",U151="OK"),"OK","REVISAR"))</f>
      </c>
    </row>
    <row r="152">
      <c r="A152" s="4"/>
      <c r="B152" s="5"/>
      <c r="C152" s="5"/>
      <c r="D152" s="5"/>
      <c r="E152" s="5"/>
      <c r="F152" s="4"/>
      <c r="G152" s="4"/>
      <c r="H152" s="5"/>
      <c r="I152" s="4"/>
      <c r="J152" s="4"/>
      <c r="K152" s="4"/>
      <c r="L152" s="4"/>
      <c r="M152" s="4"/>
      <c r="N152" s="4"/>
      <c r="O152" s="4"/>
      <c r="P152" s="6">
        <f>IF(D152="","",SUBSTITUTE(SUBSTITUTE(SUBSTITUTE(SUBSTITUTE(SUBSTITUTE(SUBSTITUTE(SUBSTITUTE(TRIM(D152),".",""),"/",""),"-","")," ",""),"(",""),")",""),"+",""))</f>
      </c>
      <c r="Q152" s="6">
        <f>IF(P152="","",IF(LEN(P152)&lt;&gt;14,"ERRO: "&amp;LEN(P152)&amp;" dígitos",IF(NOT(ISNUMBER(VALUE(P152))),"ERRO: não numérico",IF(LEN(SUBSTITUTE(P152,LEFT(P152,1),""))=0,"ERRO: dígitos repetidos",IF(AND(VALUE(MID(P152,13,1))=IF(MOD(SUMPRODUCT(--MID(P152,{1,2,3,4,5,6,7,8,9,10,11,12},1),{5,4,3,2,9,8,7,6,5,4,3,2}),11)&lt;2,0,11-MOD(SUMPRODUCT(--MID(P152,{1,2,3,4,5,6,7,8,9,10,11,12},1),{5,4,3,2,9,8,7,6,5,4,3,2}),11)),VALUE(MID(P152,14,1))=IF(MOD(SUMPRODUCT(--MID(P152,{1,2,3,4,5,6,7,8,9,10,11,12,13},1),{6,5,4,3,2,9,8,7,6,5,4,3,2}),11)&lt;2,0,11-MOD(SUMPRODUCT(--MID(P152,{1,2,3,4,5,6,7,8,9,10,11,12,13},1),{6,5,4,3,2,9,8,7,6,5,4,3,2}),11))),"OK","ERRO: dígito verificador")))))</f>
      </c>
      <c r="R152" s="6">
        <f>IF(P152="","",IF(COUNTIF($P$2:$P$1001,P152)&gt;1,"DUPLICADO","OK"))</f>
      </c>
      <c r="S152" s="6">
        <f>IF(AND(J152="",K152=""),"vazio",IF(AND(OR(J152="",LEN(SUBSTITUTE(SUBSTITUTE(SUBSTITUTE(SUBSTITUTE(SUBSTITUTE(SUBSTITUTE(SUBSTITUTE(TRIM(J152),".",""),"/",""),"-","")," ",""),"(",""),")",""),"+",""))=10,LEN(SUBSTITUTE(SUBSTITUTE(SUBSTITUTE(SUBSTITUTE(SUBSTITUTE(SUBSTITUTE(SUBSTITUTE(TRIM(J152),".",""),"/",""),"-","")," ",""),"(",""),")",""),"+",""))=11),OR(K152="",LEN(SUBSTITUTE(SUBSTITUTE(SUBSTITUTE(SUBSTITUTE(SUBSTITUTE(SUBSTITUTE(SUBSTITUTE(TRIM(K152),".",""),"/",""),"-","")," ",""),"(",""),")",""),"+",""))=10,LEN(SUBSTITUTE(SUBSTITUTE(SUBSTITUTE(SUBSTITUTE(SUBSTITUTE(SUBSTITUTE(SUBSTITUTE(TRIM(K152),".",""),"/",""),"-","")," ",""),"(",""),")",""),"+",""))=11)),"OK","ERRO: use DDD + número (10 ou 11 dígitos)"))</f>
      </c>
      <c r="T152" s="6">
        <f>IF(L152="","vazio",IF(AND(ISNUMBER(FIND("@",L152)),ISNUMBER(FIND(".",MID(L152,FIND("@",L152),99))),NOT(ISNUMBER(FIND(" ",TRIM(L152)))),NOT(ISNUMBER(FIND(";",L152))),NOT(ISNUMBER(FIND(",",L152)))),"OK","ERRO: um e-mail válido por linha"))</f>
      </c>
      <c r="U152" s="6">
        <f>IF(COUNTA(A152:O152)=0,"",IF(AND(B152&lt;&gt;"",C152&lt;&gt;"",D152&lt;&gt;"",E152&lt;&gt;"",H152&lt;&gt;"",OR(J152&lt;&gt;"",L152&lt;&gt;"")),"OK","ERRO: faltam "&amp;IF(B152="","Proprietário; ","")&amp;IF(C152="","Origem; ","")&amp;IF(D152="","CNPJ; ","")&amp;IF(E152="","Razão Social; ","")&amp;IF(H152="","Sobrenome; ","")&amp;IF(AND(J152="",L152=""),"telefone ou e-mail; ","")))</f>
      </c>
      <c r="V152" s="6">
        <f>IF(COUNTA(A152:O152)=0,"",IF(AND(Q152="OK",R152="OK",LEFT(S152,4)&lt;&gt;"ERRO",LEFT(T152,4)&lt;&gt;"ERRO",U152="OK"),"OK","REVISAR"))</f>
      </c>
    </row>
    <row r="153">
      <c r="A153" s="4"/>
      <c r="B153" s="5"/>
      <c r="C153" s="5"/>
      <c r="D153" s="5"/>
      <c r="E153" s="5"/>
      <c r="F153" s="4"/>
      <c r="G153" s="4"/>
      <c r="H153" s="5"/>
      <c r="I153" s="4"/>
      <c r="J153" s="4"/>
      <c r="K153" s="4"/>
      <c r="L153" s="4"/>
      <c r="M153" s="4"/>
      <c r="N153" s="4"/>
      <c r="O153" s="4"/>
      <c r="P153" s="6">
        <f>IF(D153="","",SUBSTITUTE(SUBSTITUTE(SUBSTITUTE(SUBSTITUTE(SUBSTITUTE(SUBSTITUTE(SUBSTITUTE(TRIM(D153),".",""),"/",""),"-","")," ",""),"(",""),")",""),"+",""))</f>
      </c>
      <c r="Q153" s="6">
        <f>IF(P153="","",IF(LEN(P153)&lt;&gt;14,"ERRO: "&amp;LEN(P153)&amp;" dígitos",IF(NOT(ISNUMBER(VALUE(P153))),"ERRO: não numérico",IF(LEN(SUBSTITUTE(P153,LEFT(P153,1),""))=0,"ERRO: dígitos repetidos",IF(AND(VALUE(MID(P153,13,1))=IF(MOD(SUMPRODUCT(--MID(P153,{1,2,3,4,5,6,7,8,9,10,11,12},1),{5,4,3,2,9,8,7,6,5,4,3,2}),11)&lt;2,0,11-MOD(SUMPRODUCT(--MID(P153,{1,2,3,4,5,6,7,8,9,10,11,12},1),{5,4,3,2,9,8,7,6,5,4,3,2}),11)),VALUE(MID(P153,14,1))=IF(MOD(SUMPRODUCT(--MID(P153,{1,2,3,4,5,6,7,8,9,10,11,12,13},1),{6,5,4,3,2,9,8,7,6,5,4,3,2}),11)&lt;2,0,11-MOD(SUMPRODUCT(--MID(P153,{1,2,3,4,5,6,7,8,9,10,11,12,13},1),{6,5,4,3,2,9,8,7,6,5,4,3,2}),11))),"OK","ERRO: dígito verificador")))))</f>
      </c>
      <c r="R153" s="6">
        <f>IF(P153="","",IF(COUNTIF($P$2:$P$1001,P153)&gt;1,"DUPLICADO","OK"))</f>
      </c>
      <c r="S153" s="6">
        <f>IF(AND(J153="",K153=""),"vazio",IF(AND(OR(J153="",LEN(SUBSTITUTE(SUBSTITUTE(SUBSTITUTE(SUBSTITUTE(SUBSTITUTE(SUBSTITUTE(SUBSTITUTE(TRIM(J153),".",""),"/",""),"-","")," ",""),"(",""),")",""),"+",""))=10,LEN(SUBSTITUTE(SUBSTITUTE(SUBSTITUTE(SUBSTITUTE(SUBSTITUTE(SUBSTITUTE(SUBSTITUTE(TRIM(J153),".",""),"/",""),"-","")," ",""),"(",""),")",""),"+",""))=11),OR(K153="",LEN(SUBSTITUTE(SUBSTITUTE(SUBSTITUTE(SUBSTITUTE(SUBSTITUTE(SUBSTITUTE(SUBSTITUTE(TRIM(K153),".",""),"/",""),"-","")," ",""),"(",""),")",""),"+",""))=10,LEN(SUBSTITUTE(SUBSTITUTE(SUBSTITUTE(SUBSTITUTE(SUBSTITUTE(SUBSTITUTE(SUBSTITUTE(TRIM(K153),".",""),"/",""),"-","")," ",""),"(",""),")",""),"+",""))=11)),"OK","ERRO: use DDD + número (10 ou 11 dígitos)"))</f>
      </c>
      <c r="T153" s="6">
        <f>IF(L153="","vazio",IF(AND(ISNUMBER(FIND("@",L153)),ISNUMBER(FIND(".",MID(L153,FIND("@",L153),99))),NOT(ISNUMBER(FIND(" ",TRIM(L153)))),NOT(ISNUMBER(FIND(";",L153))),NOT(ISNUMBER(FIND(",",L153)))),"OK","ERRO: um e-mail válido por linha"))</f>
      </c>
      <c r="U153" s="6">
        <f>IF(COUNTA(A153:O153)=0,"",IF(AND(B153&lt;&gt;"",C153&lt;&gt;"",D153&lt;&gt;"",E153&lt;&gt;"",H153&lt;&gt;"",OR(J153&lt;&gt;"",L153&lt;&gt;"")),"OK","ERRO: faltam "&amp;IF(B153="","Proprietário; ","")&amp;IF(C153="","Origem; ","")&amp;IF(D153="","CNPJ; ","")&amp;IF(E153="","Razão Social; ","")&amp;IF(H153="","Sobrenome; ","")&amp;IF(AND(J153="",L153=""),"telefone ou e-mail; ","")))</f>
      </c>
      <c r="V153" s="6">
        <f>IF(COUNTA(A153:O153)=0,"",IF(AND(Q153="OK",R153="OK",LEFT(S153,4)&lt;&gt;"ERRO",LEFT(T153,4)&lt;&gt;"ERRO",U153="OK"),"OK","REVISAR"))</f>
      </c>
    </row>
    <row r="154">
      <c r="A154" s="4"/>
      <c r="B154" s="5"/>
      <c r="C154" s="5"/>
      <c r="D154" s="5"/>
      <c r="E154" s="5"/>
      <c r="F154" s="4"/>
      <c r="G154" s="4"/>
      <c r="H154" s="5"/>
      <c r="I154" s="4"/>
      <c r="J154" s="4"/>
      <c r="K154" s="4"/>
      <c r="L154" s="4"/>
      <c r="M154" s="4"/>
      <c r="N154" s="4"/>
      <c r="O154" s="4"/>
      <c r="P154" s="6">
        <f>IF(D154="","",SUBSTITUTE(SUBSTITUTE(SUBSTITUTE(SUBSTITUTE(SUBSTITUTE(SUBSTITUTE(SUBSTITUTE(TRIM(D154),".",""),"/",""),"-","")," ",""),"(",""),")",""),"+",""))</f>
      </c>
      <c r="Q154" s="6">
        <f>IF(P154="","",IF(LEN(P154)&lt;&gt;14,"ERRO: "&amp;LEN(P154)&amp;" dígitos",IF(NOT(ISNUMBER(VALUE(P154))),"ERRO: não numérico",IF(LEN(SUBSTITUTE(P154,LEFT(P154,1),""))=0,"ERRO: dígitos repetidos",IF(AND(VALUE(MID(P154,13,1))=IF(MOD(SUMPRODUCT(--MID(P154,{1,2,3,4,5,6,7,8,9,10,11,12},1),{5,4,3,2,9,8,7,6,5,4,3,2}),11)&lt;2,0,11-MOD(SUMPRODUCT(--MID(P154,{1,2,3,4,5,6,7,8,9,10,11,12},1),{5,4,3,2,9,8,7,6,5,4,3,2}),11)),VALUE(MID(P154,14,1))=IF(MOD(SUMPRODUCT(--MID(P154,{1,2,3,4,5,6,7,8,9,10,11,12,13},1),{6,5,4,3,2,9,8,7,6,5,4,3,2}),11)&lt;2,0,11-MOD(SUMPRODUCT(--MID(P154,{1,2,3,4,5,6,7,8,9,10,11,12,13},1),{6,5,4,3,2,9,8,7,6,5,4,3,2}),11))),"OK","ERRO: dígito verificador")))))</f>
      </c>
      <c r="R154" s="6">
        <f>IF(P154="","",IF(COUNTIF($P$2:$P$1001,P154)&gt;1,"DUPLICADO","OK"))</f>
      </c>
      <c r="S154" s="6">
        <f>IF(AND(J154="",K154=""),"vazio",IF(AND(OR(J154="",LEN(SUBSTITUTE(SUBSTITUTE(SUBSTITUTE(SUBSTITUTE(SUBSTITUTE(SUBSTITUTE(SUBSTITUTE(TRIM(J154),".",""),"/",""),"-","")," ",""),"(",""),")",""),"+",""))=10,LEN(SUBSTITUTE(SUBSTITUTE(SUBSTITUTE(SUBSTITUTE(SUBSTITUTE(SUBSTITUTE(SUBSTITUTE(TRIM(J154),".",""),"/",""),"-","")," ",""),"(",""),")",""),"+",""))=11),OR(K154="",LEN(SUBSTITUTE(SUBSTITUTE(SUBSTITUTE(SUBSTITUTE(SUBSTITUTE(SUBSTITUTE(SUBSTITUTE(TRIM(K154),".",""),"/",""),"-","")," ",""),"(",""),")",""),"+",""))=10,LEN(SUBSTITUTE(SUBSTITUTE(SUBSTITUTE(SUBSTITUTE(SUBSTITUTE(SUBSTITUTE(SUBSTITUTE(TRIM(K154),".",""),"/",""),"-","")," ",""),"(",""),")",""),"+",""))=11)),"OK","ERRO: use DDD + número (10 ou 11 dígitos)"))</f>
      </c>
      <c r="T154" s="6">
        <f>IF(L154="","vazio",IF(AND(ISNUMBER(FIND("@",L154)),ISNUMBER(FIND(".",MID(L154,FIND("@",L154),99))),NOT(ISNUMBER(FIND(" ",TRIM(L154)))),NOT(ISNUMBER(FIND(";",L154))),NOT(ISNUMBER(FIND(",",L154)))),"OK","ERRO: um e-mail válido por linha"))</f>
      </c>
      <c r="U154" s="6">
        <f>IF(COUNTA(A154:O154)=0,"",IF(AND(B154&lt;&gt;"",C154&lt;&gt;"",D154&lt;&gt;"",E154&lt;&gt;"",H154&lt;&gt;"",OR(J154&lt;&gt;"",L154&lt;&gt;"")),"OK","ERRO: faltam "&amp;IF(B154="","Proprietário; ","")&amp;IF(C154="","Origem; ","")&amp;IF(D154="","CNPJ; ","")&amp;IF(E154="","Razão Social; ","")&amp;IF(H154="","Sobrenome; ","")&amp;IF(AND(J154="",L154=""),"telefone ou e-mail; ","")))</f>
      </c>
      <c r="V154" s="6">
        <f>IF(COUNTA(A154:O154)=0,"",IF(AND(Q154="OK",R154="OK",LEFT(S154,4)&lt;&gt;"ERRO",LEFT(T154,4)&lt;&gt;"ERRO",U154="OK"),"OK","REVISAR"))</f>
      </c>
    </row>
    <row r="155">
      <c r="A155" s="4"/>
      <c r="B155" s="5"/>
      <c r="C155" s="5"/>
      <c r="D155" s="5"/>
      <c r="E155" s="5"/>
      <c r="F155" s="4"/>
      <c r="G155" s="4"/>
      <c r="H155" s="5"/>
      <c r="I155" s="4"/>
      <c r="J155" s="4"/>
      <c r="K155" s="4"/>
      <c r="L155" s="4"/>
      <c r="M155" s="4"/>
      <c r="N155" s="4"/>
      <c r="O155" s="4"/>
      <c r="P155" s="6">
        <f>IF(D155="","",SUBSTITUTE(SUBSTITUTE(SUBSTITUTE(SUBSTITUTE(SUBSTITUTE(SUBSTITUTE(SUBSTITUTE(TRIM(D155),".",""),"/",""),"-","")," ",""),"(",""),")",""),"+",""))</f>
      </c>
      <c r="Q155" s="6">
        <f>IF(P155="","",IF(LEN(P155)&lt;&gt;14,"ERRO: "&amp;LEN(P155)&amp;" dígitos",IF(NOT(ISNUMBER(VALUE(P155))),"ERRO: não numérico",IF(LEN(SUBSTITUTE(P155,LEFT(P155,1),""))=0,"ERRO: dígitos repetidos",IF(AND(VALUE(MID(P155,13,1))=IF(MOD(SUMPRODUCT(--MID(P155,{1,2,3,4,5,6,7,8,9,10,11,12},1),{5,4,3,2,9,8,7,6,5,4,3,2}),11)&lt;2,0,11-MOD(SUMPRODUCT(--MID(P155,{1,2,3,4,5,6,7,8,9,10,11,12},1),{5,4,3,2,9,8,7,6,5,4,3,2}),11)),VALUE(MID(P155,14,1))=IF(MOD(SUMPRODUCT(--MID(P155,{1,2,3,4,5,6,7,8,9,10,11,12,13},1),{6,5,4,3,2,9,8,7,6,5,4,3,2}),11)&lt;2,0,11-MOD(SUMPRODUCT(--MID(P155,{1,2,3,4,5,6,7,8,9,10,11,12,13},1),{6,5,4,3,2,9,8,7,6,5,4,3,2}),11))),"OK","ERRO: dígito verificador")))))</f>
      </c>
      <c r="R155" s="6">
        <f>IF(P155="","",IF(COUNTIF($P$2:$P$1001,P155)&gt;1,"DUPLICADO","OK"))</f>
      </c>
      <c r="S155" s="6">
        <f>IF(AND(J155="",K155=""),"vazio",IF(AND(OR(J155="",LEN(SUBSTITUTE(SUBSTITUTE(SUBSTITUTE(SUBSTITUTE(SUBSTITUTE(SUBSTITUTE(SUBSTITUTE(TRIM(J155),".",""),"/",""),"-","")," ",""),"(",""),")",""),"+",""))=10,LEN(SUBSTITUTE(SUBSTITUTE(SUBSTITUTE(SUBSTITUTE(SUBSTITUTE(SUBSTITUTE(SUBSTITUTE(TRIM(J155),".",""),"/",""),"-","")," ",""),"(",""),")",""),"+",""))=11),OR(K155="",LEN(SUBSTITUTE(SUBSTITUTE(SUBSTITUTE(SUBSTITUTE(SUBSTITUTE(SUBSTITUTE(SUBSTITUTE(TRIM(K155),".",""),"/",""),"-","")," ",""),"(",""),")",""),"+",""))=10,LEN(SUBSTITUTE(SUBSTITUTE(SUBSTITUTE(SUBSTITUTE(SUBSTITUTE(SUBSTITUTE(SUBSTITUTE(TRIM(K155),".",""),"/",""),"-","")," ",""),"(",""),")",""),"+",""))=11)),"OK","ERRO: use DDD + número (10 ou 11 dígitos)"))</f>
      </c>
      <c r="T155" s="6">
        <f>IF(L155="","vazio",IF(AND(ISNUMBER(FIND("@",L155)),ISNUMBER(FIND(".",MID(L155,FIND("@",L155),99))),NOT(ISNUMBER(FIND(" ",TRIM(L155)))),NOT(ISNUMBER(FIND(";",L155))),NOT(ISNUMBER(FIND(",",L155)))),"OK","ERRO: um e-mail válido por linha"))</f>
      </c>
      <c r="U155" s="6">
        <f>IF(COUNTA(A155:O155)=0,"",IF(AND(B155&lt;&gt;"",C155&lt;&gt;"",D155&lt;&gt;"",E155&lt;&gt;"",H155&lt;&gt;"",OR(J155&lt;&gt;"",L155&lt;&gt;"")),"OK","ERRO: faltam "&amp;IF(B155="","Proprietário; ","")&amp;IF(C155="","Origem; ","")&amp;IF(D155="","CNPJ; ","")&amp;IF(E155="","Razão Social; ","")&amp;IF(H155="","Sobrenome; ","")&amp;IF(AND(J155="",L155=""),"telefone ou e-mail; ","")))</f>
      </c>
      <c r="V155" s="6">
        <f>IF(COUNTA(A155:O155)=0,"",IF(AND(Q155="OK",R155="OK",LEFT(S155,4)&lt;&gt;"ERRO",LEFT(T155,4)&lt;&gt;"ERRO",U155="OK"),"OK","REVISAR"))</f>
      </c>
    </row>
    <row r="156">
      <c r="A156" s="4"/>
      <c r="B156" s="5"/>
      <c r="C156" s="5"/>
      <c r="D156" s="5"/>
      <c r="E156" s="5"/>
      <c r="F156" s="4"/>
      <c r="G156" s="4"/>
      <c r="H156" s="5"/>
      <c r="I156" s="4"/>
      <c r="J156" s="4"/>
      <c r="K156" s="4"/>
      <c r="L156" s="4"/>
      <c r="M156" s="4"/>
      <c r="N156" s="4"/>
      <c r="O156" s="4"/>
      <c r="P156" s="6">
        <f>IF(D156="","",SUBSTITUTE(SUBSTITUTE(SUBSTITUTE(SUBSTITUTE(SUBSTITUTE(SUBSTITUTE(SUBSTITUTE(TRIM(D156),".",""),"/",""),"-","")," ",""),"(",""),")",""),"+",""))</f>
      </c>
      <c r="Q156" s="6">
        <f>IF(P156="","",IF(LEN(P156)&lt;&gt;14,"ERRO: "&amp;LEN(P156)&amp;" dígitos",IF(NOT(ISNUMBER(VALUE(P156))),"ERRO: não numérico",IF(LEN(SUBSTITUTE(P156,LEFT(P156,1),""))=0,"ERRO: dígitos repetidos",IF(AND(VALUE(MID(P156,13,1))=IF(MOD(SUMPRODUCT(--MID(P156,{1,2,3,4,5,6,7,8,9,10,11,12},1),{5,4,3,2,9,8,7,6,5,4,3,2}),11)&lt;2,0,11-MOD(SUMPRODUCT(--MID(P156,{1,2,3,4,5,6,7,8,9,10,11,12},1),{5,4,3,2,9,8,7,6,5,4,3,2}),11)),VALUE(MID(P156,14,1))=IF(MOD(SUMPRODUCT(--MID(P156,{1,2,3,4,5,6,7,8,9,10,11,12,13},1),{6,5,4,3,2,9,8,7,6,5,4,3,2}),11)&lt;2,0,11-MOD(SUMPRODUCT(--MID(P156,{1,2,3,4,5,6,7,8,9,10,11,12,13},1),{6,5,4,3,2,9,8,7,6,5,4,3,2}),11))),"OK","ERRO: dígito verificador")))))</f>
      </c>
      <c r="R156" s="6">
        <f>IF(P156="","",IF(COUNTIF($P$2:$P$1001,P156)&gt;1,"DUPLICADO","OK"))</f>
      </c>
      <c r="S156" s="6">
        <f>IF(AND(J156="",K156=""),"vazio",IF(AND(OR(J156="",LEN(SUBSTITUTE(SUBSTITUTE(SUBSTITUTE(SUBSTITUTE(SUBSTITUTE(SUBSTITUTE(SUBSTITUTE(TRIM(J156),".",""),"/",""),"-","")," ",""),"(",""),")",""),"+",""))=10,LEN(SUBSTITUTE(SUBSTITUTE(SUBSTITUTE(SUBSTITUTE(SUBSTITUTE(SUBSTITUTE(SUBSTITUTE(TRIM(J156),".",""),"/",""),"-","")," ",""),"(",""),")",""),"+",""))=11),OR(K156="",LEN(SUBSTITUTE(SUBSTITUTE(SUBSTITUTE(SUBSTITUTE(SUBSTITUTE(SUBSTITUTE(SUBSTITUTE(TRIM(K156),".",""),"/",""),"-","")," ",""),"(",""),")",""),"+",""))=10,LEN(SUBSTITUTE(SUBSTITUTE(SUBSTITUTE(SUBSTITUTE(SUBSTITUTE(SUBSTITUTE(SUBSTITUTE(TRIM(K156),".",""),"/",""),"-","")," ",""),"(",""),")",""),"+",""))=11)),"OK","ERRO: use DDD + número (10 ou 11 dígitos)"))</f>
      </c>
      <c r="T156" s="6">
        <f>IF(L156="","vazio",IF(AND(ISNUMBER(FIND("@",L156)),ISNUMBER(FIND(".",MID(L156,FIND("@",L156),99))),NOT(ISNUMBER(FIND(" ",TRIM(L156)))),NOT(ISNUMBER(FIND(";",L156))),NOT(ISNUMBER(FIND(",",L156)))),"OK","ERRO: um e-mail válido por linha"))</f>
      </c>
      <c r="U156" s="6">
        <f>IF(COUNTA(A156:O156)=0,"",IF(AND(B156&lt;&gt;"",C156&lt;&gt;"",D156&lt;&gt;"",E156&lt;&gt;"",H156&lt;&gt;"",OR(J156&lt;&gt;"",L156&lt;&gt;"")),"OK","ERRO: faltam "&amp;IF(B156="","Proprietário; ","")&amp;IF(C156="","Origem; ","")&amp;IF(D156="","CNPJ; ","")&amp;IF(E156="","Razão Social; ","")&amp;IF(H156="","Sobrenome; ","")&amp;IF(AND(J156="",L156=""),"telefone ou e-mail; ","")))</f>
      </c>
      <c r="V156" s="6">
        <f>IF(COUNTA(A156:O156)=0,"",IF(AND(Q156="OK",R156="OK",LEFT(S156,4)&lt;&gt;"ERRO",LEFT(T156,4)&lt;&gt;"ERRO",U156="OK"),"OK","REVISAR"))</f>
      </c>
    </row>
    <row r="157">
      <c r="A157" s="4"/>
      <c r="B157" s="5"/>
      <c r="C157" s="5"/>
      <c r="D157" s="5"/>
      <c r="E157" s="5"/>
      <c r="F157" s="4"/>
      <c r="G157" s="4"/>
      <c r="H157" s="5"/>
      <c r="I157" s="4"/>
      <c r="J157" s="4"/>
      <c r="K157" s="4"/>
      <c r="L157" s="4"/>
      <c r="M157" s="4"/>
      <c r="N157" s="4"/>
      <c r="O157" s="4"/>
      <c r="P157" s="6">
        <f>IF(D157="","",SUBSTITUTE(SUBSTITUTE(SUBSTITUTE(SUBSTITUTE(SUBSTITUTE(SUBSTITUTE(SUBSTITUTE(TRIM(D157),".",""),"/",""),"-","")," ",""),"(",""),")",""),"+",""))</f>
      </c>
      <c r="Q157" s="6">
        <f>IF(P157="","",IF(LEN(P157)&lt;&gt;14,"ERRO: "&amp;LEN(P157)&amp;" dígitos",IF(NOT(ISNUMBER(VALUE(P157))),"ERRO: não numérico",IF(LEN(SUBSTITUTE(P157,LEFT(P157,1),""))=0,"ERRO: dígitos repetidos",IF(AND(VALUE(MID(P157,13,1))=IF(MOD(SUMPRODUCT(--MID(P157,{1,2,3,4,5,6,7,8,9,10,11,12},1),{5,4,3,2,9,8,7,6,5,4,3,2}),11)&lt;2,0,11-MOD(SUMPRODUCT(--MID(P157,{1,2,3,4,5,6,7,8,9,10,11,12},1),{5,4,3,2,9,8,7,6,5,4,3,2}),11)),VALUE(MID(P157,14,1))=IF(MOD(SUMPRODUCT(--MID(P157,{1,2,3,4,5,6,7,8,9,10,11,12,13},1),{6,5,4,3,2,9,8,7,6,5,4,3,2}),11)&lt;2,0,11-MOD(SUMPRODUCT(--MID(P157,{1,2,3,4,5,6,7,8,9,10,11,12,13},1),{6,5,4,3,2,9,8,7,6,5,4,3,2}),11))),"OK","ERRO: dígito verificador")))))</f>
      </c>
      <c r="R157" s="6">
        <f>IF(P157="","",IF(COUNTIF($P$2:$P$1001,P157)&gt;1,"DUPLICADO","OK"))</f>
      </c>
      <c r="S157" s="6">
        <f>IF(AND(J157="",K157=""),"vazio",IF(AND(OR(J157="",LEN(SUBSTITUTE(SUBSTITUTE(SUBSTITUTE(SUBSTITUTE(SUBSTITUTE(SUBSTITUTE(SUBSTITUTE(TRIM(J157),".",""),"/",""),"-","")," ",""),"(",""),")",""),"+",""))=10,LEN(SUBSTITUTE(SUBSTITUTE(SUBSTITUTE(SUBSTITUTE(SUBSTITUTE(SUBSTITUTE(SUBSTITUTE(TRIM(J157),".",""),"/",""),"-","")," ",""),"(",""),")",""),"+",""))=11),OR(K157="",LEN(SUBSTITUTE(SUBSTITUTE(SUBSTITUTE(SUBSTITUTE(SUBSTITUTE(SUBSTITUTE(SUBSTITUTE(TRIM(K157),".",""),"/",""),"-","")," ",""),"(",""),")",""),"+",""))=10,LEN(SUBSTITUTE(SUBSTITUTE(SUBSTITUTE(SUBSTITUTE(SUBSTITUTE(SUBSTITUTE(SUBSTITUTE(TRIM(K157),".",""),"/",""),"-","")," ",""),"(",""),")",""),"+",""))=11)),"OK","ERRO: use DDD + número (10 ou 11 dígitos)"))</f>
      </c>
      <c r="T157" s="6">
        <f>IF(L157="","vazio",IF(AND(ISNUMBER(FIND("@",L157)),ISNUMBER(FIND(".",MID(L157,FIND("@",L157),99))),NOT(ISNUMBER(FIND(" ",TRIM(L157)))),NOT(ISNUMBER(FIND(";",L157))),NOT(ISNUMBER(FIND(",",L157)))),"OK","ERRO: um e-mail válido por linha"))</f>
      </c>
      <c r="U157" s="6">
        <f>IF(COUNTA(A157:O157)=0,"",IF(AND(B157&lt;&gt;"",C157&lt;&gt;"",D157&lt;&gt;"",E157&lt;&gt;"",H157&lt;&gt;"",OR(J157&lt;&gt;"",L157&lt;&gt;"")),"OK","ERRO: faltam "&amp;IF(B157="","Proprietário; ","")&amp;IF(C157="","Origem; ","")&amp;IF(D157="","CNPJ; ","")&amp;IF(E157="","Razão Social; ","")&amp;IF(H157="","Sobrenome; ","")&amp;IF(AND(J157="",L157=""),"telefone ou e-mail; ","")))</f>
      </c>
      <c r="V157" s="6">
        <f>IF(COUNTA(A157:O157)=0,"",IF(AND(Q157="OK",R157="OK",LEFT(S157,4)&lt;&gt;"ERRO",LEFT(T157,4)&lt;&gt;"ERRO",U157="OK"),"OK","REVISAR"))</f>
      </c>
    </row>
    <row r="158">
      <c r="A158" s="4"/>
      <c r="B158" s="5"/>
      <c r="C158" s="5"/>
      <c r="D158" s="5"/>
      <c r="E158" s="5"/>
      <c r="F158" s="4"/>
      <c r="G158" s="4"/>
      <c r="H158" s="5"/>
      <c r="I158" s="4"/>
      <c r="J158" s="4"/>
      <c r="K158" s="4"/>
      <c r="L158" s="4"/>
      <c r="M158" s="4"/>
      <c r="N158" s="4"/>
      <c r="O158" s="4"/>
      <c r="P158" s="6">
        <f>IF(D158="","",SUBSTITUTE(SUBSTITUTE(SUBSTITUTE(SUBSTITUTE(SUBSTITUTE(SUBSTITUTE(SUBSTITUTE(TRIM(D158),".",""),"/",""),"-","")," ",""),"(",""),")",""),"+",""))</f>
      </c>
      <c r="Q158" s="6">
        <f>IF(P158="","",IF(LEN(P158)&lt;&gt;14,"ERRO: "&amp;LEN(P158)&amp;" dígitos",IF(NOT(ISNUMBER(VALUE(P158))),"ERRO: não numérico",IF(LEN(SUBSTITUTE(P158,LEFT(P158,1),""))=0,"ERRO: dígitos repetidos",IF(AND(VALUE(MID(P158,13,1))=IF(MOD(SUMPRODUCT(--MID(P158,{1,2,3,4,5,6,7,8,9,10,11,12},1),{5,4,3,2,9,8,7,6,5,4,3,2}),11)&lt;2,0,11-MOD(SUMPRODUCT(--MID(P158,{1,2,3,4,5,6,7,8,9,10,11,12},1),{5,4,3,2,9,8,7,6,5,4,3,2}),11)),VALUE(MID(P158,14,1))=IF(MOD(SUMPRODUCT(--MID(P158,{1,2,3,4,5,6,7,8,9,10,11,12,13},1),{6,5,4,3,2,9,8,7,6,5,4,3,2}),11)&lt;2,0,11-MOD(SUMPRODUCT(--MID(P158,{1,2,3,4,5,6,7,8,9,10,11,12,13},1),{6,5,4,3,2,9,8,7,6,5,4,3,2}),11))),"OK","ERRO: dígito verificador")))))</f>
      </c>
      <c r="R158" s="6">
        <f>IF(P158="","",IF(COUNTIF($P$2:$P$1001,P158)&gt;1,"DUPLICADO","OK"))</f>
      </c>
      <c r="S158" s="6">
        <f>IF(AND(J158="",K158=""),"vazio",IF(AND(OR(J158="",LEN(SUBSTITUTE(SUBSTITUTE(SUBSTITUTE(SUBSTITUTE(SUBSTITUTE(SUBSTITUTE(SUBSTITUTE(TRIM(J158),".",""),"/",""),"-","")," ",""),"(",""),")",""),"+",""))=10,LEN(SUBSTITUTE(SUBSTITUTE(SUBSTITUTE(SUBSTITUTE(SUBSTITUTE(SUBSTITUTE(SUBSTITUTE(TRIM(J158),".",""),"/",""),"-","")," ",""),"(",""),")",""),"+",""))=11),OR(K158="",LEN(SUBSTITUTE(SUBSTITUTE(SUBSTITUTE(SUBSTITUTE(SUBSTITUTE(SUBSTITUTE(SUBSTITUTE(TRIM(K158),".",""),"/",""),"-","")," ",""),"(",""),")",""),"+",""))=10,LEN(SUBSTITUTE(SUBSTITUTE(SUBSTITUTE(SUBSTITUTE(SUBSTITUTE(SUBSTITUTE(SUBSTITUTE(TRIM(K158),".",""),"/",""),"-","")," ",""),"(",""),")",""),"+",""))=11)),"OK","ERRO: use DDD + número (10 ou 11 dígitos)"))</f>
      </c>
      <c r="T158" s="6">
        <f>IF(L158="","vazio",IF(AND(ISNUMBER(FIND("@",L158)),ISNUMBER(FIND(".",MID(L158,FIND("@",L158),99))),NOT(ISNUMBER(FIND(" ",TRIM(L158)))),NOT(ISNUMBER(FIND(";",L158))),NOT(ISNUMBER(FIND(",",L158)))),"OK","ERRO: um e-mail válido por linha"))</f>
      </c>
      <c r="U158" s="6">
        <f>IF(COUNTA(A158:O158)=0,"",IF(AND(B158&lt;&gt;"",C158&lt;&gt;"",D158&lt;&gt;"",E158&lt;&gt;"",H158&lt;&gt;"",OR(J158&lt;&gt;"",L158&lt;&gt;"")),"OK","ERRO: faltam "&amp;IF(B158="","Proprietário; ","")&amp;IF(C158="","Origem; ","")&amp;IF(D158="","CNPJ; ","")&amp;IF(E158="","Razão Social; ","")&amp;IF(H158="","Sobrenome; ","")&amp;IF(AND(J158="",L158=""),"telefone ou e-mail; ","")))</f>
      </c>
      <c r="V158" s="6">
        <f>IF(COUNTA(A158:O158)=0,"",IF(AND(Q158="OK",R158="OK",LEFT(S158,4)&lt;&gt;"ERRO",LEFT(T158,4)&lt;&gt;"ERRO",U158="OK"),"OK","REVISAR"))</f>
      </c>
    </row>
    <row r="159">
      <c r="A159" s="4"/>
      <c r="B159" s="5"/>
      <c r="C159" s="5"/>
      <c r="D159" s="5"/>
      <c r="E159" s="5"/>
      <c r="F159" s="4"/>
      <c r="G159" s="4"/>
      <c r="H159" s="5"/>
      <c r="I159" s="4"/>
      <c r="J159" s="4"/>
      <c r="K159" s="4"/>
      <c r="L159" s="4"/>
      <c r="M159" s="4"/>
      <c r="N159" s="4"/>
      <c r="O159" s="4"/>
      <c r="P159" s="6">
        <f>IF(D159="","",SUBSTITUTE(SUBSTITUTE(SUBSTITUTE(SUBSTITUTE(SUBSTITUTE(SUBSTITUTE(SUBSTITUTE(TRIM(D159),".",""),"/",""),"-","")," ",""),"(",""),")",""),"+",""))</f>
      </c>
      <c r="Q159" s="6">
        <f>IF(P159="","",IF(LEN(P159)&lt;&gt;14,"ERRO: "&amp;LEN(P159)&amp;" dígitos",IF(NOT(ISNUMBER(VALUE(P159))),"ERRO: não numérico",IF(LEN(SUBSTITUTE(P159,LEFT(P159,1),""))=0,"ERRO: dígitos repetidos",IF(AND(VALUE(MID(P159,13,1))=IF(MOD(SUMPRODUCT(--MID(P159,{1,2,3,4,5,6,7,8,9,10,11,12},1),{5,4,3,2,9,8,7,6,5,4,3,2}),11)&lt;2,0,11-MOD(SUMPRODUCT(--MID(P159,{1,2,3,4,5,6,7,8,9,10,11,12},1),{5,4,3,2,9,8,7,6,5,4,3,2}),11)),VALUE(MID(P159,14,1))=IF(MOD(SUMPRODUCT(--MID(P159,{1,2,3,4,5,6,7,8,9,10,11,12,13},1),{6,5,4,3,2,9,8,7,6,5,4,3,2}),11)&lt;2,0,11-MOD(SUMPRODUCT(--MID(P159,{1,2,3,4,5,6,7,8,9,10,11,12,13},1),{6,5,4,3,2,9,8,7,6,5,4,3,2}),11))),"OK","ERRO: dígito verificador")))))</f>
      </c>
      <c r="R159" s="6">
        <f>IF(P159="","",IF(COUNTIF($P$2:$P$1001,P159)&gt;1,"DUPLICADO","OK"))</f>
      </c>
      <c r="S159" s="6">
        <f>IF(AND(J159="",K159=""),"vazio",IF(AND(OR(J159="",LEN(SUBSTITUTE(SUBSTITUTE(SUBSTITUTE(SUBSTITUTE(SUBSTITUTE(SUBSTITUTE(SUBSTITUTE(TRIM(J159),".",""),"/",""),"-","")," ",""),"(",""),")",""),"+",""))=10,LEN(SUBSTITUTE(SUBSTITUTE(SUBSTITUTE(SUBSTITUTE(SUBSTITUTE(SUBSTITUTE(SUBSTITUTE(TRIM(J159),".",""),"/",""),"-","")," ",""),"(",""),")",""),"+",""))=11),OR(K159="",LEN(SUBSTITUTE(SUBSTITUTE(SUBSTITUTE(SUBSTITUTE(SUBSTITUTE(SUBSTITUTE(SUBSTITUTE(TRIM(K159),".",""),"/",""),"-","")," ",""),"(",""),")",""),"+",""))=10,LEN(SUBSTITUTE(SUBSTITUTE(SUBSTITUTE(SUBSTITUTE(SUBSTITUTE(SUBSTITUTE(SUBSTITUTE(TRIM(K159),".",""),"/",""),"-","")," ",""),"(",""),")",""),"+",""))=11)),"OK","ERRO: use DDD + número (10 ou 11 dígitos)"))</f>
      </c>
      <c r="T159" s="6">
        <f>IF(L159="","vazio",IF(AND(ISNUMBER(FIND("@",L159)),ISNUMBER(FIND(".",MID(L159,FIND("@",L159),99))),NOT(ISNUMBER(FIND(" ",TRIM(L159)))),NOT(ISNUMBER(FIND(";",L159))),NOT(ISNUMBER(FIND(",",L159)))),"OK","ERRO: um e-mail válido por linha"))</f>
      </c>
      <c r="U159" s="6">
        <f>IF(COUNTA(A159:O159)=0,"",IF(AND(B159&lt;&gt;"",C159&lt;&gt;"",D159&lt;&gt;"",E159&lt;&gt;"",H159&lt;&gt;"",OR(J159&lt;&gt;"",L159&lt;&gt;"")),"OK","ERRO: faltam "&amp;IF(B159="","Proprietário; ","")&amp;IF(C159="","Origem; ","")&amp;IF(D159="","CNPJ; ","")&amp;IF(E159="","Razão Social; ","")&amp;IF(H159="","Sobrenome; ","")&amp;IF(AND(J159="",L159=""),"telefone ou e-mail; ","")))</f>
      </c>
      <c r="V159" s="6">
        <f>IF(COUNTA(A159:O159)=0,"",IF(AND(Q159="OK",R159="OK",LEFT(S159,4)&lt;&gt;"ERRO",LEFT(T159,4)&lt;&gt;"ERRO",U159="OK"),"OK","REVISAR"))</f>
      </c>
    </row>
    <row r="160">
      <c r="A160" s="4"/>
      <c r="B160" s="5"/>
      <c r="C160" s="5"/>
      <c r="D160" s="5"/>
      <c r="E160" s="5"/>
      <c r="F160" s="4"/>
      <c r="G160" s="4"/>
      <c r="H160" s="5"/>
      <c r="I160" s="4"/>
      <c r="J160" s="4"/>
      <c r="K160" s="4"/>
      <c r="L160" s="4"/>
      <c r="M160" s="4"/>
      <c r="N160" s="4"/>
      <c r="O160" s="4"/>
      <c r="P160" s="6">
        <f>IF(D160="","",SUBSTITUTE(SUBSTITUTE(SUBSTITUTE(SUBSTITUTE(SUBSTITUTE(SUBSTITUTE(SUBSTITUTE(TRIM(D160),".",""),"/",""),"-","")," ",""),"(",""),")",""),"+",""))</f>
      </c>
      <c r="Q160" s="6">
        <f>IF(P160="","",IF(LEN(P160)&lt;&gt;14,"ERRO: "&amp;LEN(P160)&amp;" dígitos",IF(NOT(ISNUMBER(VALUE(P160))),"ERRO: não numérico",IF(LEN(SUBSTITUTE(P160,LEFT(P160,1),""))=0,"ERRO: dígitos repetidos",IF(AND(VALUE(MID(P160,13,1))=IF(MOD(SUMPRODUCT(--MID(P160,{1,2,3,4,5,6,7,8,9,10,11,12},1),{5,4,3,2,9,8,7,6,5,4,3,2}),11)&lt;2,0,11-MOD(SUMPRODUCT(--MID(P160,{1,2,3,4,5,6,7,8,9,10,11,12},1),{5,4,3,2,9,8,7,6,5,4,3,2}),11)),VALUE(MID(P160,14,1))=IF(MOD(SUMPRODUCT(--MID(P160,{1,2,3,4,5,6,7,8,9,10,11,12,13},1),{6,5,4,3,2,9,8,7,6,5,4,3,2}),11)&lt;2,0,11-MOD(SUMPRODUCT(--MID(P160,{1,2,3,4,5,6,7,8,9,10,11,12,13},1),{6,5,4,3,2,9,8,7,6,5,4,3,2}),11))),"OK","ERRO: dígito verificador")))))</f>
      </c>
      <c r="R160" s="6">
        <f>IF(P160="","",IF(COUNTIF($P$2:$P$1001,P160)&gt;1,"DUPLICADO","OK"))</f>
      </c>
      <c r="S160" s="6">
        <f>IF(AND(J160="",K160=""),"vazio",IF(AND(OR(J160="",LEN(SUBSTITUTE(SUBSTITUTE(SUBSTITUTE(SUBSTITUTE(SUBSTITUTE(SUBSTITUTE(SUBSTITUTE(TRIM(J160),".",""),"/",""),"-","")," ",""),"(",""),")",""),"+",""))=10,LEN(SUBSTITUTE(SUBSTITUTE(SUBSTITUTE(SUBSTITUTE(SUBSTITUTE(SUBSTITUTE(SUBSTITUTE(TRIM(J160),".",""),"/",""),"-","")," ",""),"(",""),")",""),"+",""))=11),OR(K160="",LEN(SUBSTITUTE(SUBSTITUTE(SUBSTITUTE(SUBSTITUTE(SUBSTITUTE(SUBSTITUTE(SUBSTITUTE(TRIM(K160),".",""),"/",""),"-","")," ",""),"(",""),")",""),"+",""))=10,LEN(SUBSTITUTE(SUBSTITUTE(SUBSTITUTE(SUBSTITUTE(SUBSTITUTE(SUBSTITUTE(SUBSTITUTE(TRIM(K160),".",""),"/",""),"-","")," ",""),"(",""),")",""),"+",""))=11)),"OK","ERRO: use DDD + número (10 ou 11 dígitos)"))</f>
      </c>
      <c r="T160" s="6">
        <f>IF(L160="","vazio",IF(AND(ISNUMBER(FIND("@",L160)),ISNUMBER(FIND(".",MID(L160,FIND("@",L160),99))),NOT(ISNUMBER(FIND(" ",TRIM(L160)))),NOT(ISNUMBER(FIND(";",L160))),NOT(ISNUMBER(FIND(",",L160)))),"OK","ERRO: um e-mail válido por linha"))</f>
      </c>
      <c r="U160" s="6">
        <f>IF(COUNTA(A160:O160)=0,"",IF(AND(B160&lt;&gt;"",C160&lt;&gt;"",D160&lt;&gt;"",E160&lt;&gt;"",H160&lt;&gt;"",OR(J160&lt;&gt;"",L160&lt;&gt;"")),"OK","ERRO: faltam "&amp;IF(B160="","Proprietário; ","")&amp;IF(C160="","Origem; ","")&amp;IF(D160="","CNPJ; ","")&amp;IF(E160="","Razão Social; ","")&amp;IF(H160="","Sobrenome; ","")&amp;IF(AND(J160="",L160=""),"telefone ou e-mail; ","")))</f>
      </c>
      <c r="V160" s="6">
        <f>IF(COUNTA(A160:O160)=0,"",IF(AND(Q160="OK",R160="OK",LEFT(S160,4)&lt;&gt;"ERRO",LEFT(T160,4)&lt;&gt;"ERRO",U160="OK"),"OK","REVISAR"))</f>
      </c>
    </row>
    <row r="161">
      <c r="A161" s="4"/>
      <c r="B161" s="5"/>
      <c r="C161" s="5"/>
      <c r="D161" s="5"/>
      <c r="E161" s="5"/>
      <c r="F161" s="4"/>
      <c r="G161" s="4"/>
      <c r="H161" s="5"/>
      <c r="I161" s="4"/>
      <c r="J161" s="4"/>
      <c r="K161" s="4"/>
      <c r="L161" s="4"/>
      <c r="M161" s="4"/>
      <c r="N161" s="4"/>
      <c r="O161" s="4"/>
      <c r="P161" s="6">
        <f>IF(D161="","",SUBSTITUTE(SUBSTITUTE(SUBSTITUTE(SUBSTITUTE(SUBSTITUTE(SUBSTITUTE(SUBSTITUTE(TRIM(D161),".",""),"/",""),"-","")," ",""),"(",""),")",""),"+",""))</f>
      </c>
      <c r="Q161" s="6">
        <f>IF(P161="","",IF(LEN(P161)&lt;&gt;14,"ERRO: "&amp;LEN(P161)&amp;" dígitos",IF(NOT(ISNUMBER(VALUE(P161))),"ERRO: não numérico",IF(LEN(SUBSTITUTE(P161,LEFT(P161,1),""))=0,"ERRO: dígitos repetidos",IF(AND(VALUE(MID(P161,13,1))=IF(MOD(SUMPRODUCT(--MID(P161,{1,2,3,4,5,6,7,8,9,10,11,12},1),{5,4,3,2,9,8,7,6,5,4,3,2}),11)&lt;2,0,11-MOD(SUMPRODUCT(--MID(P161,{1,2,3,4,5,6,7,8,9,10,11,12},1),{5,4,3,2,9,8,7,6,5,4,3,2}),11)),VALUE(MID(P161,14,1))=IF(MOD(SUMPRODUCT(--MID(P161,{1,2,3,4,5,6,7,8,9,10,11,12,13},1),{6,5,4,3,2,9,8,7,6,5,4,3,2}),11)&lt;2,0,11-MOD(SUMPRODUCT(--MID(P161,{1,2,3,4,5,6,7,8,9,10,11,12,13},1),{6,5,4,3,2,9,8,7,6,5,4,3,2}),11))),"OK","ERRO: dígito verificador")))))</f>
      </c>
      <c r="R161" s="6">
        <f>IF(P161="","",IF(COUNTIF($P$2:$P$1001,P161)&gt;1,"DUPLICADO","OK"))</f>
      </c>
      <c r="S161" s="6">
        <f>IF(AND(J161="",K161=""),"vazio",IF(AND(OR(J161="",LEN(SUBSTITUTE(SUBSTITUTE(SUBSTITUTE(SUBSTITUTE(SUBSTITUTE(SUBSTITUTE(SUBSTITUTE(TRIM(J161),".",""),"/",""),"-","")," ",""),"(",""),")",""),"+",""))=10,LEN(SUBSTITUTE(SUBSTITUTE(SUBSTITUTE(SUBSTITUTE(SUBSTITUTE(SUBSTITUTE(SUBSTITUTE(TRIM(J161),".",""),"/",""),"-","")," ",""),"(",""),")",""),"+",""))=11),OR(K161="",LEN(SUBSTITUTE(SUBSTITUTE(SUBSTITUTE(SUBSTITUTE(SUBSTITUTE(SUBSTITUTE(SUBSTITUTE(TRIM(K161),".",""),"/",""),"-","")," ",""),"(",""),")",""),"+",""))=10,LEN(SUBSTITUTE(SUBSTITUTE(SUBSTITUTE(SUBSTITUTE(SUBSTITUTE(SUBSTITUTE(SUBSTITUTE(TRIM(K161),".",""),"/",""),"-","")," ",""),"(",""),")",""),"+",""))=11)),"OK","ERRO: use DDD + número (10 ou 11 dígitos)"))</f>
      </c>
      <c r="T161" s="6">
        <f>IF(L161="","vazio",IF(AND(ISNUMBER(FIND("@",L161)),ISNUMBER(FIND(".",MID(L161,FIND("@",L161),99))),NOT(ISNUMBER(FIND(" ",TRIM(L161)))),NOT(ISNUMBER(FIND(";",L161))),NOT(ISNUMBER(FIND(",",L161)))),"OK","ERRO: um e-mail válido por linha"))</f>
      </c>
      <c r="U161" s="6">
        <f>IF(COUNTA(A161:O161)=0,"",IF(AND(B161&lt;&gt;"",C161&lt;&gt;"",D161&lt;&gt;"",E161&lt;&gt;"",H161&lt;&gt;"",OR(J161&lt;&gt;"",L161&lt;&gt;"")),"OK","ERRO: faltam "&amp;IF(B161="","Proprietário; ","")&amp;IF(C161="","Origem; ","")&amp;IF(D161="","CNPJ; ","")&amp;IF(E161="","Razão Social; ","")&amp;IF(H161="","Sobrenome; ","")&amp;IF(AND(J161="",L161=""),"telefone ou e-mail; ","")))</f>
      </c>
      <c r="V161" s="6">
        <f>IF(COUNTA(A161:O161)=0,"",IF(AND(Q161="OK",R161="OK",LEFT(S161,4)&lt;&gt;"ERRO",LEFT(T161,4)&lt;&gt;"ERRO",U161="OK"),"OK","REVISAR"))</f>
      </c>
    </row>
    <row r="162">
      <c r="A162" s="4"/>
      <c r="B162" s="5"/>
      <c r="C162" s="5"/>
      <c r="D162" s="5"/>
      <c r="E162" s="5"/>
      <c r="F162" s="4"/>
      <c r="G162" s="4"/>
      <c r="H162" s="5"/>
      <c r="I162" s="4"/>
      <c r="J162" s="4"/>
      <c r="K162" s="4"/>
      <c r="L162" s="4"/>
      <c r="M162" s="4"/>
      <c r="N162" s="4"/>
      <c r="O162" s="4"/>
      <c r="P162" s="6">
        <f>IF(D162="","",SUBSTITUTE(SUBSTITUTE(SUBSTITUTE(SUBSTITUTE(SUBSTITUTE(SUBSTITUTE(SUBSTITUTE(TRIM(D162),".",""),"/",""),"-","")," ",""),"(",""),")",""),"+",""))</f>
      </c>
      <c r="Q162" s="6">
        <f>IF(P162="","",IF(LEN(P162)&lt;&gt;14,"ERRO: "&amp;LEN(P162)&amp;" dígitos",IF(NOT(ISNUMBER(VALUE(P162))),"ERRO: não numérico",IF(LEN(SUBSTITUTE(P162,LEFT(P162,1),""))=0,"ERRO: dígitos repetidos",IF(AND(VALUE(MID(P162,13,1))=IF(MOD(SUMPRODUCT(--MID(P162,{1,2,3,4,5,6,7,8,9,10,11,12},1),{5,4,3,2,9,8,7,6,5,4,3,2}),11)&lt;2,0,11-MOD(SUMPRODUCT(--MID(P162,{1,2,3,4,5,6,7,8,9,10,11,12},1),{5,4,3,2,9,8,7,6,5,4,3,2}),11)),VALUE(MID(P162,14,1))=IF(MOD(SUMPRODUCT(--MID(P162,{1,2,3,4,5,6,7,8,9,10,11,12,13},1),{6,5,4,3,2,9,8,7,6,5,4,3,2}),11)&lt;2,0,11-MOD(SUMPRODUCT(--MID(P162,{1,2,3,4,5,6,7,8,9,10,11,12,13},1),{6,5,4,3,2,9,8,7,6,5,4,3,2}),11))),"OK","ERRO: dígito verificador")))))</f>
      </c>
      <c r="R162" s="6">
        <f>IF(P162="","",IF(COUNTIF($P$2:$P$1001,P162)&gt;1,"DUPLICADO","OK"))</f>
      </c>
      <c r="S162" s="6">
        <f>IF(AND(J162="",K162=""),"vazio",IF(AND(OR(J162="",LEN(SUBSTITUTE(SUBSTITUTE(SUBSTITUTE(SUBSTITUTE(SUBSTITUTE(SUBSTITUTE(SUBSTITUTE(TRIM(J162),".",""),"/",""),"-","")," ",""),"(",""),")",""),"+",""))=10,LEN(SUBSTITUTE(SUBSTITUTE(SUBSTITUTE(SUBSTITUTE(SUBSTITUTE(SUBSTITUTE(SUBSTITUTE(TRIM(J162),".",""),"/",""),"-","")," ",""),"(",""),")",""),"+",""))=11),OR(K162="",LEN(SUBSTITUTE(SUBSTITUTE(SUBSTITUTE(SUBSTITUTE(SUBSTITUTE(SUBSTITUTE(SUBSTITUTE(TRIM(K162),".",""),"/",""),"-","")," ",""),"(",""),")",""),"+",""))=10,LEN(SUBSTITUTE(SUBSTITUTE(SUBSTITUTE(SUBSTITUTE(SUBSTITUTE(SUBSTITUTE(SUBSTITUTE(TRIM(K162),".",""),"/",""),"-","")," ",""),"(",""),")",""),"+",""))=11)),"OK","ERRO: use DDD + número (10 ou 11 dígitos)"))</f>
      </c>
      <c r="T162" s="6">
        <f>IF(L162="","vazio",IF(AND(ISNUMBER(FIND("@",L162)),ISNUMBER(FIND(".",MID(L162,FIND("@",L162),99))),NOT(ISNUMBER(FIND(" ",TRIM(L162)))),NOT(ISNUMBER(FIND(";",L162))),NOT(ISNUMBER(FIND(",",L162)))),"OK","ERRO: um e-mail válido por linha"))</f>
      </c>
      <c r="U162" s="6">
        <f>IF(COUNTA(A162:O162)=0,"",IF(AND(B162&lt;&gt;"",C162&lt;&gt;"",D162&lt;&gt;"",E162&lt;&gt;"",H162&lt;&gt;"",OR(J162&lt;&gt;"",L162&lt;&gt;"")),"OK","ERRO: faltam "&amp;IF(B162="","Proprietário; ","")&amp;IF(C162="","Origem; ","")&amp;IF(D162="","CNPJ; ","")&amp;IF(E162="","Razão Social; ","")&amp;IF(H162="","Sobrenome; ","")&amp;IF(AND(J162="",L162=""),"telefone ou e-mail; ","")))</f>
      </c>
      <c r="V162" s="6">
        <f>IF(COUNTA(A162:O162)=0,"",IF(AND(Q162="OK",R162="OK",LEFT(S162,4)&lt;&gt;"ERRO",LEFT(T162,4)&lt;&gt;"ERRO",U162="OK"),"OK","REVISAR"))</f>
      </c>
    </row>
    <row r="163">
      <c r="A163" s="4"/>
      <c r="B163" s="5"/>
      <c r="C163" s="5"/>
      <c r="D163" s="5"/>
      <c r="E163" s="5"/>
      <c r="F163" s="4"/>
      <c r="G163" s="4"/>
      <c r="H163" s="5"/>
      <c r="I163" s="4"/>
      <c r="J163" s="4"/>
      <c r="K163" s="4"/>
      <c r="L163" s="4"/>
      <c r="M163" s="4"/>
      <c r="N163" s="4"/>
      <c r="O163" s="4"/>
      <c r="P163" s="6">
        <f>IF(D163="","",SUBSTITUTE(SUBSTITUTE(SUBSTITUTE(SUBSTITUTE(SUBSTITUTE(SUBSTITUTE(SUBSTITUTE(TRIM(D163),".",""),"/",""),"-","")," ",""),"(",""),")",""),"+",""))</f>
      </c>
      <c r="Q163" s="6">
        <f>IF(P163="","",IF(LEN(P163)&lt;&gt;14,"ERRO: "&amp;LEN(P163)&amp;" dígitos",IF(NOT(ISNUMBER(VALUE(P163))),"ERRO: não numérico",IF(LEN(SUBSTITUTE(P163,LEFT(P163,1),""))=0,"ERRO: dígitos repetidos",IF(AND(VALUE(MID(P163,13,1))=IF(MOD(SUMPRODUCT(--MID(P163,{1,2,3,4,5,6,7,8,9,10,11,12},1),{5,4,3,2,9,8,7,6,5,4,3,2}),11)&lt;2,0,11-MOD(SUMPRODUCT(--MID(P163,{1,2,3,4,5,6,7,8,9,10,11,12},1),{5,4,3,2,9,8,7,6,5,4,3,2}),11)),VALUE(MID(P163,14,1))=IF(MOD(SUMPRODUCT(--MID(P163,{1,2,3,4,5,6,7,8,9,10,11,12,13},1),{6,5,4,3,2,9,8,7,6,5,4,3,2}),11)&lt;2,0,11-MOD(SUMPRODUCT(--MID(P163,{1,2,3,4,5,6,7,8,9,10,11,12,13},1),{6,5,4,3,2,9,8,7,6,5,4,3,2}),11))),"OK","ERRO: dígito verificador")))))</f>
      </c>
      <c r="R163" s="6">
        <f>IF(P163="","",IF(COUNTIF($P$2:$P$1001,P163)&gt;1,"DUPLICADO","OK"))</f>
      </c>
      <c r="S163" s="6">
        <f>IF(AND(J163="",K163=""),"vazio",IF(AND(OR(J163="",LEN(SUBSTITUTE(SUBSTITUTE(SUBSTITUTE(SUBSTITUTE(SUBSTITUTE(SUBSTITUTE(SUBSTITUTE(TRIM(J163),".",""),"/",""),"-","")," ",""),"(",""),")",""),"+",""))=10,LEN(SUBSTITUTE(SUBSTITUTE(SUBSTITUTE(SUBSTITUTE(SUBSTITUTE(SUBSTITUTE(SUBSTITUTE(TRIM(J163),".",""),"/",""),"-","")," ",""),"(",""),")",""),"+",""))=11),OR(K163="",LEN(SUBSTITUTE(SUBSTITUTE(SUBSTITUTE(SUBSTITUTE(SUBSTITUTE(SUBSTITUTE(SUBSTITUTE(TRIM(K163),".",""),"/",""),"-","")," ",""),"(",""),")",""),"+",""))=10,LEN(SUBSTITUTE(SUBSTITUTE(SUBSTITUTE(SUBSTITUTE(SUBSTITUTE(SUBSTITUTE(SUBSTITUTE(TRIM(K163),".",""),"/",""),"-","")," ",""),"(",""),")",""),"+",""))=11)),"OK","ERRO: use DDD + número (10 ou 11 dígitos)"))</f>
      </c>
      <c r="T163" s="6">
        <f>IF(L163="","vazio",IF(AND(ISNUMBER(FIND("@",L163)),ISNUMBER(FIND(".",MID(L163,FIND("@",L163),99))),NOT(ISNUMBER(FIND(" ",TRIM(L163)))),NOT(ISNUMBER(FIND(";",L163))),NOT(ISNUMBER(FIND(",",L163)))),"OK","ERRO: um e-mail válido por linha"))</f>
      </c>
      <c r="U163" s="6">
        <f>IF(COUNTA(A163:O163)=0,"",IF(AND(B163&lt;&gt;"",C163&lt;&gt;"",D163&lt;&gt;"",E163&lt;&gt;"",H163&lt;&gt;"",OR(J163&lt;&gt;"",L163&lt;&gt;"")),"OK","ERRO: faltam "&amp;IF(B163="","Proprietário; ","")&amp;IF(C163="","Origem; ","")&amp;IF(D163="","CNPJ; ","")&amp;IF(E163="","Razão Social; ","")&amp;IF(H163="","Sobrenome; ","")&amp;IF(AND(J163="",L163=""),"telefone ou e-mail; ","")))</f>
      </c>
      <c r="V163" s="6">
        <f>IF(COUNTA(A163:O163)=0,"",IF(AND(Q163="OK",R163="OK",LEFT(S163,4)&lt;&gt;"ERRO",LEFT(T163,4)&lt;&gt;"ERRO",U163="OK"),"OK","REVISAR"))</f>
      </c>
    </row>
    <row r="164">
      <c r="A164" s="4"/>
      <c r="B164" s="5"/>
      <c r="C164" s="5"/>
      <c r="D164" s="5"/>
      <c r="E164" s="5"/>
      <c r="F164" s="4"/>
      <c r="G164" s="4"/>
      <c r="H164" s="5"/>
      <c r="I164" s="4"/>
      <c r="J164" s="4"/>
      <c r="K164" s="4"/>
      <c r="L164" s="4"/>
      <c r="M164" s="4"/>
      <c r="N164" s="4"/>
      <c r="O164" s="4"/>
      <c r="P164" s="6">
        <f>IF(D164="","",SUBSTITUTE(SUBSTITUTE(SUBSTITUTE(SUBSTITUTE(SUBSTITUTE(SUBSTITUTE(SUBSTITUTE(TRIM(D164),".",""),"/",""),"-","")," ",""),"(",""),")",""),"+",""))</f>
      </c>
      <c r="Q164" s="6">
        <f>IF(P164="","",IF(LEN(P164)&lt;&gt;14,"ERRO: "&amp;LEN(P164)&amp;" dígitos",IF(NOT(ISNUMBER(VALUE(P164))),"ERRO: não numérico",IF(LEN(SUBSTITUTE(P164,LEFT(P164,1),""))=0,"ERRO: dígitos repetidos",IF(AND(VALUE(MID(P164,13,1))=IF(MOD(SUMPRODUCT(--MID(P164,{1,2,3,4,5,6,7,8,9,10,11,12},1),{5,4,3,2,9,8,7,6,5,4,3,2}),11)&lt;2,0,11-MOD(SUMPRODUCT(--MID(P164,{1,2,3,4,5,6,7,8,9,10,11,12},1),{5,4,3,2,9,8,7,6,5,4,3,2}),11)),VALUE(MID(P164,14,1))=IF(MOD(SUMPRODUCT(--MID(P164,{1,2,3,4,5,6,7,8,9,10,11,12,13},1),{6,5,4,3,2,9,8,7,6,5,4,3,2}),11)&lt;2,0,11-MOD(SUMPRODUCT(--MID(P164,{1,2,3,4,5,6,7,8,9,10,11,12,13},1),{6,5,4,3,2,9,8,7,6,5,4,3,2}),11))),"OK","ERRO: dígito verificador")))))</f>
      </c>
      <c r="R164" s="6">
        <f>IF(P164="","",IF(COUNTIF($P$2:$P$1001,P164)&gt;1,"DUPLICADO","OK"))</f>
      </c>
      <c r="S164" s="6">
        <f>IF(AND(J164="",K164=""),"vazio",IF(AND(OR(J164="",LEN(SUBSTITUTE(SUBSTITUTE(SUBSTITUTE(SUBSTITUTE(SUBSTITUTE(SUBSTITUTE(SUBSTITUTE(TRIM(J164),".",""),"/",""),"-","")," ",""),"(",""),")",""),"+",""))=10,LEN(SUBSTITUTE(SUBSTITUTE(SUBSTITUTE(SUBSTITUTE(SUBSTITUTE(SUBSTITUTE(SUBSTITUTE(TRIM(J164),".",""),"/",""),"-","")," ",""),"(",""),")",""),"+",""))=11),OR(K164="",LEN(SUBSTITUTE(SUBSTITUTE(SUBSTITUTE(SUBSTITUTE(SUBSTITUTE(SUBSTITUTE(SUBSTITUTE(TRIM(K164),".",""),"/",""),"-","")," ",""),"(",""),")",""),"+",""))=10,LEN(SUBSTITUTE(SUBSTITUTE(SUBSTITUTE(SUBSTITUTE(SUBSTITUTE(SUBSTITUTE(SUBSTITUTE(TRIM(K164),".",""),"/",""),"-","")," ",""),"(",""),")",""),"+",""))=11)),"OK","ERRO: use DDD + número (10 ou 11 dígitos)"))</f>
      </c>
      <c r="T164" s="6">
        <f>IF(L164="","vazio",IF(AND(ISNUMBER(FIND("@",L164)),ISNUMBER(FIND(".",MID(L164,FIND("@",L164),99))),NOT(ISNUMBER(FIND(" ",TRIM(L164)))),NOT(ISNUMBER(FIND(";",L164))),NOT(ISNUMBER(FIND(",",L164)))),"OK","ERRO: um e-mail válido por linha"))</f>
      </c>
      <c r="U164" s="6">
        <f>IF(COUNTA(A164:O164)=0,"",IF(AND(B164&lt;&gt;"",C164&lt;&gt;"",D164&lt;&gt;"",E164&lt;&gt;"",H164&lt;&gt;"",OR(J164&lt;&gt;"",L164&lt;&gt;"")),"OK","ERRO: faltam "&amp;IF(B164="","Proprietário; ","")&amp;IF(C164="","Origem; ","")&amp;IF(D164="","CNPJ; ","")&amp;IF(E164="","Razão Social; ","")&amp;IF(H164="","Sobrenome; ","")&amp;IF(AND(J164="",L164=""),"telefone ou e-mail; ","")))</f>
      </c>
      <c r="V164" s="6">
        <f>IF(COUNTA(A164:O164)=0,"",IF(AND(Q164="OK",R164="OK",LEFT(S164,4)&lt;&gt;"ERRO",LEFT(T164,4)&lt;&gt;"ERRO",U164="OK"),"OK","REVISAR"))</f>
      </c>
    </row>
    <row r="165">
      <c r="A165" s="4"/>
      <c r="B165" s="5"/>
      <c r="C165" s="5"/>
      <c r="D165" s="5"/>
      <c r="E165" s="5"/>
      <c r="F165" s="4"/>
      <c r="G165" s="4"/>
      <c r="H165" s="5"/>
      <c r="I165" s="4"/>
      <c r="J165" s="4"/>
      <c r="K165" s="4"/>
      <c r="L165" s="4"/>
      <c r="M165" s="4"/>
      <c r="N165" s="4"/>
      <c r="O165" s="4"/>
      <c r="P165" s="6">
        <f>IF(D165="","",SUBSTITUTE(SUBSTITUTE(SUBSTITUTE(SUBSTITUTE(SUBSTITUTE(SUBSTITUTE(SUBSTITUTE(TRIM(D165),".",""),"/",""),"-","")," ",""),"(",""),")",""),"+",""))</f>
      </c>
      <c r="Q165" s="6">
        <f>IF(P165="","",IF(LEN(P165)&lt;&gt;14,"ERRO: "&amp;LEN(P165)&amp;" dígitos",IF(NOT(ISNUMBER(VALUE(P165))),"ERRO: não numérico",IF(LEN(SUBSTITUTE(P165,LEFT(P165,1),""))=0,"ERRO: dígitos repetidos",IF(AND(VALUE(MID(P165,13,1))=IF(MOD(SUMPRODUCT(--MID(P165,{1,2,3,4,5,6,7,8,9,10,11,12},1),{5,4,3,2,9,8,7,6,5,4,3,2}),11)&lt;2,0,11-MOD(SUMPRODUCT(--MID(P165,{1,2,3,4,5,6,7,8,9,10,11,12},1),{5,4,3,2,9,8,7,6,5,4,3,2}),11)),VALUE(MID(P165,14,1))=IF(MOD(SUMPRODUCT(--MID(P165,{1,2,3,4,5,6,7,8,9,10,11,12,13},1),{6,5,4,3,2,9,8,7,6,5,4,3,2}),11)&lt;2,0,11-MOD(SUMPRODUCT(--MID(P165,{1,2,3,4,5,6,7,8,9,10,11,12,13},1),{6,5,4,3,2,9,8,7,6,5,4,3,2}),11))),"OK","ERRO: dígito verificador")))))</f>
      </c>
      <c r="R165" s="6">
        <f>IF(P165="","",IF(COUNTIF($P$2:$P$1001,P165)&gt;1,"DUPLICADO","OK"))</f>
      </c>
      <c r="S165" s="6">
        <f>IF(AND(J165="",K165=""),"vazio",IF(AND(OR(J165="",LEN(SUBSTITUTE(SUBSTITUTE(SUBSTITUTE(SUBSTITUTE(SUBSTITUTE(SUBSTITUTE(SUBSTITUTE(TRIM(J165),".",""),"/",""),"-","")," ",""),"(",""),")",""),"+",""))=10,LEN(SUBSTITUTE(SUBSTITUTE(SUBSTITUTE(SUBSTITUTE(SUBSTITUTE(SUBSTITUTE(SUBSTITUTE(TRIM(J165),".",""),"/",""),"-","")," ",""),"(",""),")",""),"+",""))=11),OR(K165="",LEN(SUBSTITUTE(SUBSTITUTE(SUBSTITUTE(SUBSTITUTE(SUBSTITUTE(SUBSTITUTE(SUBSTITUTE(TRIM(K165),".",""),"/",""),"-","")," ",""),"(",""),")",""),"+",""))=10,LEN(SUBSTITUTE(SUBSTITUTE(SUBSTITUTE(SUBSTITUTE(SUBSTITUTE(SUBSTITUTE(SUBSTITUTE(TRIM(K165),".",""),"/",""),"-","")," ",""),"(",""),")",""),"+",""))=11)),"OK","ERRO: use DDD + número (10 ou 11 dígitos)"))</f>
      </c>
      <c r="T165" s="6">
        <f>IF(L165="","vazio",IF(AND(ISNUMBER(FIND("@",L165)),ISNUMBER(FIND(".",MID(L165,FIND("@",L165),99))),NOT(ISNUMBER(FIND(" ",TRIM(L165)))),NOT(ISNUMBER(FIND(";",L165))),NOT(ISNUMBER(FIND(",",L165)))),"OK","ERRO: um e-mail válido por linha"))</f>
      </c>
      <c r="U165" s="6">
        <f>IF(COUNTA(A165:O165)=0,"",IF(AND(B165&lt;&gt;"",C165&lt;&gt;"",D165&lt;&gt;"",E165&lt;&gt;"",H165&lt;&gt;"",OR(J165&lt;&gt;"",L165&lt;&gt;"")),"OK","ERRO: faltam "&amp;IF(B165="","Proprietário; ","")&amp;IF(C165="","Origem; ","")&amp;IF(D165="","CNPJ; ","")&amp;IF(E165="","Razão Social; ","")&amp;IF(H165="","Sobrenome; ","")&amp;IF(AND(J165="",L165=""),"telefone ou e-mail; ","")))</f>
      </c>
      <c r="V165" s="6">
        <f>IF(COUNTA(A165:O165)=0,"",IF(AND(Q165="OK",R165="OK",LEFT(S165,4)&lt;&gt;"ERRO",LEFT(T165,4)&lt;&gt;"ERRO",U165="OK"),"OK","REVISAR"))</f>
      </c>
    </row>
    <row r="166">
      <c r="A166" s="4"/>
      <c r="B166" s="5"/>
      <c r="C166" s="5"/>
      <c r="D166" s="5"/>
      <c r="E166" s="5"/>
      <c r="F166" s="4"/>
      <c r="G166" s="4"/>
      <c r="H166" s="5"/>
      <c r="I166" s="4"/>
      <c r="J166" s="4"/>
      <c r="K166" s="4"/>
      <c r="L166" s="4"/>
      <c r="M166" s="4"/>
      <c r="N166" s="4"/>
      <c r="O166" s="4"/>
      <c r="P166" s="6">
        <f>IF(D166="","",SUBSTITUTE(SUBSTITUTE(SUBSTITUTE(SUBSTITUTE(SUBSTITUTE(SUBSTITUTE(SUBSTITUTE(TRIM(D166),".",""),"/",""),"-","")," ",""),"(",""),")",""),"+",""))</f>
      </c>
      <c r="Q166" s="6">
        <f>IF(P166="","",IF(LEN(P166)&lt;&gt;14,"ERRO: "&amp;LEN(P166)&amp;" dígitos",IF(NOT(ISNUMBER(VALUE(P166))),"ERRO: não numérico",IF(LEN(SUBSTITUTE(P166,LEFT(P166,1),""))=0,"ERRO: dígitos repetidos",IF(AND(VALUE(MID(P166,13,1))=IF(MOD(SUMPRODUCT(--MID(P166,{1,2,3,4,5,6,7,8,9,10,11,12},1),{5,4,3,2,9,8,7,6,5,4,3,2}),11)&lt;2,0,11-MOD(SUMPRODUCT(--MID(P166,{1,2,3,4,5,6,7,8,9,10,11,12},1),{5,4,3,2,9,8,7,6,5,4,3,2}),11)),VALUE(MID(P166,14,1))=IF(MOD(SUMPRODUCT(--MID(P166,{1,2,3,4,5,6,7,8,9,10,11,12,13},1),{6,5,4,3,2,9,8,7,6,5,4,3,2}),11)&lt;2,0,11-MOD(SUMPRODUCT(--MID(P166,{1,2,3,4,5,6,7,8,9,10,11,12,13},1),{6,5,4,3,2,9,8,7,6,5,4,3,2}),11))),"OK","ERRO: dígito verificador")))))</f>
      </c>
      <c r="R166" s="6">
        <f>IF(P166="","",IF(COUNTIF($P$2:$P$1001,P166)&gt;1,"DUPLICADO","OK"))</f>
      </c>
      <c r="S166" s="6">
        <f>IF(AND(J166="",K166=""),"vazio",IF(AND(OR(J166="",LEN(SUBSTITUTE(SUBSTITUTE(SUBSTITUTE(SUBSTITUTE(SUBSTITUTE(SUBSTITUTE(SUBSTITUTE(TRIM(J166),".",""),"/",""),"-","")," ",""),"(",""),")",""),"+",""))=10,LEN(SUBSTITUTE(SUBSTITUTE(SUBSTITUTE(SUBSTITUTE(SUBSTITUTE(SUBSTITUTE(SUBSTITUTE(TRIM(J166),".",""),"/",""),"-","")," ",""),"(",""),")",""),"+",""))=11),OR(K166="",LEN(SUBSTITUTE(SUBSTITUTE(SUBSTITUTE(SUBSTITUTE(SUBSTITUTE(SUBSTITUTE(SUBSTITUTE(TRIM(K166),".",""),"/",""),"-","")," ",""),"(",""),")",""),"+",""))=10,LEN(SUBSTITUTE(SUBSTITUTE(SUBSTITUTE(SUBSTITUTE(SUBSTITUTE(SUBSTITUTE(SUBSTITUTE(TRIM(K166),".",""),"/",""),"-","")," ",""),"(",""),")",""),"+",""))=11)),"OK","ERRO: use DDD + número (10 ou 11 dígitos)"))</f>
      </c>
      <c r="T166" s="6">
        <f>IF(L166="","vazio",IF(AND(ISNUMBER(FIND("@",L166)),ISNUMBER(FIND(".",MID(L166,FIND("@",L166),99))),NOT(ISNUMBER(FIND(" ",TRIM(L166)))),NOT(ISNUMBER(FIND(";",L166))),NOT(ISNUMBER(FIND(",",L166)))),"OK","ERRO: um e-mail válido por linha"))</f>
      </c>
      <c r="U166" s="6">
        <f>IF(COUNTA(A166:O166)=0,"",IF(AND(B166&lt;&gt;"",C166&lt;&gt;"",D166&lt;&gt;"",E166&lt;&gt;"",H166&lt;&gt;"",OR(J166&lt;&gt;"",L166&lt;&gt;"")),"OK","ERRO: faltam "&amp;IF(B166="","Proprietário; ","")&amp;IF(C166="","Origem; ","")&amp;IF(D166="","CNPJ; ","")&amp;IF(E166="","Razão Social; ","")&amp;IF(H166="","Sobrenome; ","")&amp;IF(AND(J166="",L166=""),"telefone ou e-mail; ","")))</f>
      </c>
      <c r="V166" s="6">
        <f>IF(COUNTA(A166:O166)=0,"",IF(AND(Q166="OK",R166="OK",LEFT(S166,4)&lt;&gt;"ERRO",LEFT(T166,4)&lt;&gt;"ERRO",U166="OK"),"OK","REVISAR"))</f>
      </c>
    </row>
    <row r="167">
      <c r="A167" s="4"/>
      <c r="B167" s="5"/>
      <c r="C167" s="5"/>
      <c r="D167" s="5"/>
      <c r="E167" s="5"/>
      <c r="F167" s="4"/>
      <c r="G167" s="4"/>
      <c r="H167" s="5"/>
      <c r="I167" s="4"/>
      <c r="J167" s="4"/>
      <c r="K167" s="4"/>
      <c r="L167" s="4"/>
      <c r="M167" s="4"/>
      <c r="N167" s="4"/>
      <c r="O167" s="4"/>
      <c r="P167" s="6">
        <f>IF(D167="","",SUBSTITUTE(SUBSTITUTE(SUBSTITUTE(SUBSTITUTE(SUBSTITUTE(SUBSTITUTE(SUBSTITUTE(TRIM(D167),".",""),"/",""),"-","")," ",""),"(",""),")",""),"+",""))</f>
      </c>
      <c r="Q167" s="6">
        <f>IF(P167="","",IF(LEN(P167)&lt;&gt;14,"ERRO: "&amp;LEN(P167)&amp;" dígitos",IF(NOT(ISNUMBER(VALUE(P167))),"ERRO: não numérico",IF(LEN(SUBSTITUTE(P167,LEFT(P167,1),""))=0,"ERRO: dígitos repetidos",IF(AND(VALUE(MID(P167,13,1))=IF(MOD(SUMPRODUCT(--MID(P167,{1,2,3,4,5,6,7,8,9,10,11,12},1),{5,4,3,2,9,8,7,6,5,4,3,2}),11)&lt;2,0,11-MOD(SUMPRODUCT(--MID(P167,{1,2,3,4,5,6,7,8,9,10,11,12},1),{5,4,3,2,9,8,7,6,5,4,3,2}),11)),VALUE(MID(P167,14,1))=IF(MOD(SUMPRODUCT(--MID(P167,{1,2,3,4,5,6,7,8,9,10,11,12,13},1),{6,5,4,3,2,9,8,7,6,5,4,3,2}),11)&lt;2,0,11-MOD(SUMPRODUCT(--MID(P167,{1,2,3,4,5,6,7,8,9,10,11,12,13},1),{6,5,4,3,2,9,8,7,6,5,4,3,2}),11))),"OK","ERRO: dígito verificador")))))</f>
      </c>
      <c r="R167" s="6">
        <f>IF(P167="","",IF(COUNTIF($P$2:$P$1001,P167)&gt;1,"DUPLICADO","OK"))</f>
      </c>
      <c r="S167" s="6">
        <f>IF(AND(J167="",K167=""),"vazio",IF(AND(OR(J167="",LEN(SUBSTITUTE(SUBSTITUTE(SUBSTITUTE(SUBSTITUTE(SUBSTITUTE(SUBSTITUTE(SUBSTITUTE(TRIM(J167),".",""),"/",""),"-","")," ",""),"(",""),")",""),"+",""))=10,LEN(SUBSTITUTE(SUBSTITUTE(SUBSTITUTE(SUBSTITUTE(SUBSTITUTE(SUBSTITUTE(SUBSTITUTE(TRIM(J167),".",""),"/",""),"-","")," ",""),"(",""),")",""),"+",""))=11),OR(K167="",LEN(SUBSTITUTE(SUBSTITUTE(SUBSTITUTE(SUBSTITUTE(SUBSTITUTE(SUBSTITUTE(SUBSTITUTE(TRIM(K167),".",""),"/",""),"-","")," ",""),"(",""),")",""),"+",""))=10,LEN(SUBSTITUTE(SUBSTITUTE(SUBSTITUTE(SUBSTITUTE(SUBSTITUTE(SUBSTITUTE(SUBSTITUTE(TRIM(K167),".",""),"/",""),"-","")," ",""),"(",""),")",""),"+",""))=11)),"OK","ERRO: use DDD + número (10 ou 11 dígitos)"))</f>
      </c>
      <c r="T167" s="6">
        <f>IF(L167="","vazio",IF(AND(ISNUMBER(FIND("@",L167)),ISNUMBER(FIND(".",MID(L167,FIND("@",L167),99))),NOT(ISNUMBER(FIND(" ",TRIM(L167)))),NOT(ISNUMBER(FIND(";",L167))),NOT(ISNUMBER(FIND(",",L167)))),"OK","ERRO: um e-mail válido por linha"))</f>
      </c>
      <c r="U167" s="6">
        <f>IF(COUNTA(A167:O167)=0,"",IF(AND(B167&lt;&gt;"",C167&lt;&gt;"",D167&lt;&gt;"",E167&lt;&gt;"",H167&lt;&gt;"",OR(J167&lt;&gt;"",L167&lt;&gt;"")),"OK","ERRO: faltam "&amp;IF(B167="","Proprietário; ","")&amp;IF(C167="","Origem; ","")&amp;IF(D167="","CNPJ; ","")&amp;IF(E167="","Razão Social; ","")&amp;IF(H167="","Sobrenome; ","")&amp;IF(AND(J167="",L167=""),"telefone ou e-mail; ","")))</f>
      </c>
      <c r="V167" s="6">
        <f>IF(COUNTA(A167:O167)=0,"",IF(AND(Q167="OK",R167="OK",LEFT(S167,4)&lt;&gt;"ERRO",LEFT(T167,4)&lt;&gt;"ERRO",U167="OK"),"OK","REVISAR"))</f>
      </c>
    </row>
    <row r="168">
      <c r="A168" s="4"/>
      <c r="B168" s="5"/>
      <c r="C168" s="5"/>
      <c r="D168" s="5"/>
      <c r="E168" s="5"/>
      <c r="F168" s="4"/>
      <c r="G168" s="4"/>
      <c r="H168" s="5"/>
      <c r="I168" s="4"/>
      <c r="J168" s="4"/>
      <c r="K168" s="4"/>
      <c r="L168" s="4"/>
      <c r="M168" s="4"/>
      <c r="N168" s="4"/>
      <c r="O168" s="4"/>
      <c r="P168" s="6">
        <f>IF(D168="","",SUBSTITUTE(SUBSTITUTE(SUBSTITUTE(SUBSTITUTE(SUBSTITUTE(SUBSTITUTE(SUBSTITUTE(TRIM(D168),".",""),"/",""),"-","")," ",""),"(",""),")",""),"+",""))</f>
      </c>
      <c r="Q168" s="6">
        <f>IF(P168="","",IF(LEN(P168)&lt;&gt;14,"ERRO: "&amp;LEN(P168)&amp;" dígitos",IF(NOT(ISNUMBER(VALUE(P168))),"ERRO: não numérico",IF(LEN(SUBSTITUTE(P168,LEFT(P168,1),""))=0,"ERRO: dígitos repetidos",IF(AND(VALUE(MID(P168,13,1))=IF(MOD(SUMPRODUCT(--MID(P168,{1,2,3,4,5,6,7,8,9,10,11,12},1),{5,4,3,2,9,8,7,6,5,4,3,2}),11)&lt;2,0,11-MOD(SUMPRODUCT(--MID(P168,{1,2,3,4,5,6,7,8,9,10,11,12},1),{5,4,3,2,9,8,7,6,5,4,3,2}),11)),VALUE(MID(P168,14,1))=IF(MOD(SUMPRODUCT(--MID(P168,{1,2,3,4,5,6,7,8,9,10,11,12,13},1),{6,5,4,3,2,9,8,7,6,5,4,3,2}),11)&lt;2,0,11-MOD(SUMPRODUCT(--MID(P168,{1,2,3,4,5,6,7,8,9,10,11,12,13},1),{6,5,4,3,2,9,8,7,6,5,4,3,2}),11))),"OK","ERRO: dígito verificador")))))</f>
      </c>
      <c r="R168" s="6">
        <f>IF(P168="","",IF(COUNTIF($P$2:$P$1001,P168)&gt;1,"DUPLICADO","OK"))</f>
      </c>
      <c r="S168" s="6">
        <f>IF(AND(J168="",K168=""),"vazio",IF(AND(OR(J168="",LEN(SUBSTITUTE(SUBSTITUTE(SUBSTITUTE(SUBSTITUTE(SUBSTITUTE(SUBSTITUTE(SUBSTITUTE(TRIM(J168),".",""),"/",""),"-","")," ",""),"(",""),")",""),"+",""))=10,LEN(SUBSTITUTE(SUBSTITUTE(SUBSTITUTE(SUBSTITUTE(SUBSTITUTE(SUBSTITUTE(SUBSTITUTE(TRIM(J168),".",""),"/",""),"-","")," ",""),"(",""),")",""),"+",""))=11),OR(K168="",LEN(SUBSTITUTE(SUBSTITUTE(SUBSTITUTE(SUBSTITUTE(SUBSTITUTE(SUBSTITUTE(SUBSTITUTE(TRIM(K168),".",""),"/",""),"-","")," ",""),"(",""),")",""),"+",""))=10,LEN(SUBSTITUTE(SUBSTITUTE(SUBSTITUTE(SUBSTITUTE(SUBSTITUTE(SUBSTITUTE(SUBSTITUTE(TRIM(K168),".",""),"/",""),"-","")," ",""),"(",""),")",""),"+",""))=11)),"OK","ERRO: use DDD + número (10 ou 11 dígitos)"))</f>
      </c>
      <c r="T168" s="6">
        <f>IF(L168="","vazio",IF(AND(ISNUMBER(FIND("@",L168)),ISNUMBER(FIND(".",MID(L168,FIND("@",L168),99))),NOT(ISNUMBER(FIND(" ",TRIM(L168)))),NOT(ISNUMBER(FIND(";",L168))),NOT(ISNUMBER(FIND(",",L168)))),"OK","ERRO: um e-mail válido por linha"))</f>
      </c>
      <c r="U168" s="6">
        <f>IF(COUNTA(A168:O168)=0,"",IF(AND(B168&lt;&gt;"",C168&lt;&gt;"",D168&lt;&gt;"",E168&lt;&gt;"",H168&lt;&gt;"",OR(J168&lt;&gt;"",L168&lt;&gt;"")),"OK","ERRO: faltam "&amp;IF(B168="","Proprietário; ","")&amp;IF(C168="","Origem; ","")&amp;IF(D168="","CNPJ; ","")&amp;IF(E168="","Razão Social; ","")&amp;IF(H168="","Sobrenome; ","")&amp;IF(AND(J168="",L168=""),"telefone ou e-mail; ","")))</f>
      </c>
      <c r="V168" s="6">
        <f>IF(COUNTA(A168:O168)=0,"",IF(AND(Q168="OK",R168="OK",LEFT(S168,4)&lt;&gt;"ERRO",LEFT(T168,4)&lt;&gt;"ERRO",U168="OK"),"OK","REVISAR"))</f>
      </c>
    </row>
    <row r="169">
      <c r="A169" s="4"/>
      <c r="B169" s="5"/>
      <c r="C169" s="5"/>
      <c r="D169" s="5"/>
      <c r="E169" s="5"/>
      <c r="F169" s="4"/>
      <c r="G169" s="4"/>
      <c r="H169" s="5"/>
      <c r="I169" s="4"/>
      <c r="J169" s="4"/>
      <c r="K169" s="4"/>
      <c r="L169" s="4"/>
      <c r="M169" s="4"/>
      <c r="N169" s="4"/>
      <c r="O169" s="4"/>
      <c r="P169" s="6">
        <f>IF(D169="","",SUBSTITUTE(SUBSTITUTE(SUBSTITUTE(SUBSTITUTE(SUBSTITUTE(SUBSTITUTE(SUBSTITUTE(TRIM(D169),".",""),"/",""),"-","")," ",""),"(",""),")",""),"+",""))</f>
      </c>
      <c r="Q169" s="6">
        <f>IF(P169="","",IF(LEN(P169)&lt;&gt;14,"ERRO: "&amp;LEN(P169)&amp;" dígitos",IF(NOT(ISNUMBER(VALUE(P169))),"ERRO: não numérico",IF(LEN(SUBSTITUTE(P169,LEFT(P169,1),""))=0,"ERRO: dígitos repetidos",IF(AND(VALUE(MID(P169,13,1))=IF(MOD(SUMPRODUCT(--MID(P169,{1,2,3,4,5,6,7,8,9,10,11,12},1),{5,4,3,2,9,8,7,6,5,4,3,2}),11)&lt;2,0,11-MOD(SUMPRODUCT(--MID(P169,{1,2,3,4,5,6,7,8,9,10,11,12},1),{5,4,3,2,9,8,7,6,5,4,3,2}),11)),VALUE(MID(P169,14,1))=IF(MOD(SUMPRODUCT(--MID(P169,{1,2,3,4,5,6,7,8,9,10,11,12,13},1),{6,5,4,3,2,9,8,7,6,5,4,3,2}),11)&lt;2,0,11-MOD(SUMPRODUCT(--MID(P169,{1,2,3,4,5,6,7,8,9,10,11,12,13},1),{6,5,4,3,2,9,8,7,6,5,4,3,2}),11))),"OK","ERRO: dígito verificador")))))</f>
      </c>
      <c r="R169" s="6">
        <f>IF(P169="","",IF(COUNTIF($P$2:$P$1001,P169)&gt;1,"DUPLICADO","OK"))</f>
      </c>
      <c r="S169" s="6">
        <f>IF(AND(J169="",K169=""),"vazio",IF(AND(OR(J169="",LEN(SUBSTITUTE(SUBSTITUTE(SUBSTITUTE(SUBSTITUTE(SUBSTITUTE(SUBSTITUTE(SUBSTITUTE(TRIM(J169),".",""),"/",""),"-","")," ",""),"(",""),")",""),"+",""))=10,LEN(SUBSTITUTE(SUBSTITUTE(SUBSTITUTE(SUBSTITUTE(SUBSTITUTE(SUBSTITUTE(SUBSTITUTE(TRIM(J169),".",""),"/",""),"-","")," ",""),"(",""),")",""),"+",""))=11),OR(K169="",LEN(SUBSTITUTE(SUBSTITUTE(SUBSTITUTE(SUBSTITUTE(SUBSTITUTE(SUBSTITUTE(SUBSTITUTE(TRIM(K169),".",""),"/",""),"-","")," ",""),"(",""),")",""),"+",""))=10,LEN(SUBSTITUTE(SUBSTITUTE(SUBSTITUTE(SUBSTITUTE(SUBSTITUTE(SUBSTITUTE(SUBSTITUTE(TRIM(K169),".",""),"/",""),"-","")," ",""),"(",""),")",""),"+",""))=11)),"OK","ERRO: use DDD + número (10 ou 11 dígitos)"))</f>
      </c>
      <c r="T169" s="6">
        <f>IF(L169="","vazio",IF(AND(ISNUMBER(FIND("@",L169)),ISNUMBER(FIND(".",MID(L169,FIND("@",L169),99))),NOT(ISNUMBER(FIND(" ",TRIM(L169)))),NOT(ISNUMBER(FIND(";",L169))),NOT(ISNUMBER(FIND(",",L169)))),"OK","ERRO: um e-mail válido por linha"))</f>
      </c>
      <c r="U169" s="6">
        <f>IF(COUNTA(A169:O169)=0,"",IF(AND(B169&lt;&gt;"",C169&lt;&gt;"",D169&lt;&gt;"",E169&lt;&gt;"",H169&lt;&gt;"",OR(J169&lt;&gt;"",L169&lt;&gt;"")),"OK","ERRO: faltam "&amp;IF(B169="","Proprietário; ","")&amp;IF(C169="","Origem; ","")&amp;IF(D169="","CNPJ; ","")&amp;IF(E169="","Razão Social; ","")&amp;IF(H169="","Sobrenome; ","")&amp;IF(AND(J169="",L169=""),"telefone ou e-mail; ","")))</f>
      </c>
      <c r="V169" s="6">
        <f>IF(COUNTA(A169:O169)=0,"",IF(AND(Q169="OK",R169="OK",LEFT(S169,4)&lt;&gt;"ERRO",LEFT(T169,4)&lt;&gt;"ERRO",U169="OK"),"OK","REVISAR"))</f>
      </c>
    </row>
    <row r="170">
      <c r="A170" s="4"/>
      <c r="B170" s="5"/>
      <c r="C170" s="5"/>
      <c r="D170" s="5"/>
      <c r="E170" s="5"/>
      <c r="F170" s="4"/>
      <c r="G170" s="4"/>
      <c r="H170" s="5"/>
      <c r="I170" s="4"/>
      <c r="J170" s="4"/>
      <c r="K170" s="4"/>
      <c r="L170" s="4"/>
      <c r="M170" s="4"/>
      <c r="N170" s="4"/>
      <c r="O170" s="4"/>
      <c r="P170" s="6">
        <f>IF(D170="","",SUBSTITUTE(SUBSTITUTE(SUBSTITUTE(SUBSTITUTE(SUBSTITUTE(SUBSTITUTE(SUBSTITUTE(TRIM(D170),".",""),"/",""),"-","")," ",""),"(",""),")",""),"+",""))</f>
      </c>
      <c r="Q170" s="6">
        <f>IF(P170="","",IF(LEN(P170)&lt;&gt;14,"ERRO: "&amp;LEN(P170)&amp;" dígitos",IF(NOT(ISNUMBER(VALUE(P170))),"ERRO: não numérico",IF(LEN(SUBSTITUTE(P170,LEFT(P170,1),""))=0,"ERRO: dígitos repetidos",IF(AND(VALUE(MID(P170,13,1))=IF(MOD(SUMPRODUCT(--MID(P170,{1,2,3,4,5,6,7,8,9,10,11,12},1),{5,4,3,2,9,8,7,6,5,4,3,2}),11)&lt;2,0,11-MOD(SUMPRODUCT(--MID(P170,{1,2,3,4,5,6,7,8,9,10,11,12},1),{5,4,3,2,9,8,7,6,5,4,3,2}),11)),VALUE(MID(P170,14,1))=IF(MOD(SUMPRODUCT(--MID(P170,{1,2,3,4,5,6,7,8,9,10,11,12,13},1),{6,5,4,3,2,9,8,7,6,5,4,3,2}),11)&lt;2,0,11-MOD(SUMPRODUCT(--MID(P170,{1,2,3,4,5,6,7,8,9,10,11,12,13},1),{6,5,4,3,2,9,8,7,6,5,4,3,2}),11))),"OK","ERRO: dígito verificador")))))</f>
      </c>
      <c r="R170" s="6">
        <f>IF(P170="","",IF(COUNTIF($P$2:$P$1001,P170)&gt;1,"DUPLICADO","OK"))</f>
      </c>
      <c r="S170" s="6">
        <f>IF(AND(J170="",K170=""),"vazio",IF(AND(OR(J170="",LEN(SUBSTITUTE(SUBSTITUTE(SUBSTITUTE(SUBSTITUTE(SUBSTITUTE(SUBSTITUTE(SUBSTITUTE(TRIM(J170),".",""),"/",""),"-","")," ",""),"(",""),")",""),"+",""))=10,LEN(SUBSTITUTE(SUBSTITUTE(SUBSTITUTE(SUBSTITUTE(SUBSTITUTE(SUBSTITUTE(SUBSTITUTE(TRIM(J170),".",""),"/",""),"-","")," ",""),"(",""),")",""),"+",""))=11),OR(K170="",LEN(SUBSTITUTE(SUBSTITUTE(SUBSTITUTE(SUBSTITUTE(SUBSTITUTE(SUBSTITUTE(SUBSTITUTE(TRIM(K170),".",""),"/",""),"-","")," ",""),"(",""),")",""),"+",""))=10,LEN(SUBSTITUTE(SUBSTITUTE(SUBSTITUTE(SUBSTITUTE(SUBSTITUTE(SUBSTITUTE(SUBSTITUTE(TRIM(K170),".",""),"/",""),"-","")," ",""),"(",""),")",""),"+",""))=11)),"OK","ERRO: use DDD + número (10 ou 11 dígitos)"))</f>
      </c>
      <c r="T170" s="6">
        <f>IF(L170="","vazio",IF(AND(ISNUMBER(FIND("@",L170)),ISNUMBER(FIND(".",MID(L170,FIND("@",L170),99))),NOT(ISNUMBER(FIND(" ",TRIM(L170)))),NOT(ISNUMBER(FIND(";",L170))),NOT(ISNUMBER(FIND(",",L170)))),"OK","ERRO: um e-mail válido por linha"))</f>
      </c>
      <c r="U170" s="6">
        <f>IF(COUNTA(A170:O170)=0,"",IF(AND(B170&lt;&gt;"",C170&lt;&gt;"",D170&lt;&gt;"",E170&lt;&gt;"",H170&lt;&gt;"",OR(J170&lt;&gt;"",L170&lt;&gt;"")),"OK","ERRO: faltam "&amp;IF(B170="","Proprietário; ","")&amp;IF(C170="","Origem; ","")&amp;IF(D170="","CNPJ; ","")&amp;IF(E170="","Razão Social; ","")&amp;IF(H170="","Sobrenome; ","")&amp;IF(AND(J170="",L170=""),"telefone ou e-mail; ","")))</f>
      </c>
      <c r="V170" s="6">
        <f>IF(COUNTA(A170:O170)=0,"",IF(AND(Q170="OK",R170="OK",LEFT(S170,4)&lt;&gt;"ERRO",LEFT(T170,4)&lt;&gt;"ERRO",U170="OK"),"OK","REVISAR"))</f>
      </c>
    </row>
    <row r="171">
      <c r="A171" s="4"/>
      <c r="B171" s="5"/>
      <c r="C171" s="5"/>
      <c r="D171" s="5"/>
      <c r="E171" s="5"/>
      <c r="F171" s="4"/>
      <c r="G171" s="4"/>
      <c r="H171" s="5"/>
      <c r="I171" s="4"/>
      <c r="J171" s="4"/>
      <c r="K171" s="4"/>
      <c r="L171" s="4"/>
      <c r="M171" s="4"/>
      <c r="N171" s="4"/>
      <c r="O171" s="4"/>
      <c r="P171" s="6">
        <f>IF(D171="","",SUBSTITUTE(SUBSTITUTE(SUBSTITUTE(SUBSTITUTE(SUBSTITUTE(SUBSTITUTE(SUBSTITUTE(TRIM(D171),".",""),"/",""),"-","")," ",""),"(",""),")",""),"+",""))</f>
      </c>
      <c r="Q171" s="6">
        <f>IF(P171="","",IF(LEN(P171)&lt;&gt;14,"ERRO: "&amp;LEN(P171)&amp;" dígitos",IF(NOT(ISNUMBER(VALUE(P171))),"ERRO: não numérico",IF(LEN(SUBSTITUTE(P171,LEFT(P171,1),""))=0,"ERRO: dígitos repetidos",IF(AND(VALUE(MID(P171,13,1))=IF(MOD(SUMPRODUCT(--MID(P171,{1,2,3,4,5,6,7,8,9,10,11,12},1),{5,4,3,2,9,8,7,6,5,4,3,2}),11)&lt;2,0,11-MOD(SUMPRODUCT(--MID(P171,{1,2,3,4,5,6,7,8,9,10,11,12},1),{5,4,3,2,9,8,7,6,5,4,3,2}),11)),VALUE(MID(P171,14,1))=IF(MOD(SUMPRODUCT(--MID(P171,{1,2,3,4,5,6,7,8,9,10,11,12,13},1),{6,5,4,3,2,9,8,7,6,5,4,3,2}),11)&lt;2,0,11-MOD(SUMPRODUCT(--MID(P171,{1,2,3,4,5,6,7,8,9,10,11,12,13},1),{6,5,4,3,2,9,8,7,6,5,4,3,2}),11))),"OK","ERRO: dígito verificador")))))</f>
      </c>
      <c r="R171" s="6">
        <f>IF(P171="","",IF(COUNTIF($P$2:$P$1001,P171)&gt;1,"DUPLICADO","OK"))</f>
      </c>
      <c r="S171" s="6">
        <f>IF(AND(J171="",K171=""),"vazio",IF(AND(OR(J171="",LEN(SUBSTITUTE(SUBSTITUTE(SUBSTITUTE(SUBSTITUTE(SUBSTITUTE(SUBSTITUTE(SUBSTITUTE(TRIM(J171),".",""),"/",""),"-","")," ",""),"(",""),")",""),"+",""))=10,LEN(SUBSTITUTE(SUBSTITUTE(SUBSTITUTE(SUBSTITUTE(SUBSTITUTE(SUBSTITUTE(SUBSTITUTE(TRIM(J171),".",""),"/",""),"-","")," ",""),"(",""),")",""),"+",""))=11),OR(K171="",LEN(SUBSTITUTE(SUBSTITUTE(SUBSTITUTE(SUBSTITUTE(SUBSTITUTE(SUBSTITUTE(SUBSTITUTE(TRIM(K171),".",""),"/",""),"-","")," ",""),"(",""),")",""),"+",""))=10,LEN(SUBSTITUTE(SUBSTITUTE(SUBSTITUTE(SUBSTITUTE(SUBSTITUTE(SUBSTITUTE(SUBSTITUTE(TRIM(K171),".",""),"/",""),"-","")," ",""),"(",""),")",""),"+",""))=11)),"OK","ERRO: use DDD + número (10 ou 11 dígitos)"))</f>
      </c>
      <c r="T171" s="6">
        <f>IF(L171="","vazio",IF(AND(ISNUMBER(FIND("@",L171)),ISNUMBER(FIND(".",MID(L171,FIND("@",L171),99))),NOT(ISNUMBER(FIND(" ",TRIM(L171)))),NOT(ISNUMBER(FIND(";",L171))),NOT(ISNUMBER(FIND(",",L171)))),"OK","ERRO: um e-mail válido por linha"))</f>
      </c>
      <c r="U171" s="6">
        <f>IF(COUNTA(A171:O171)=0,"",IF(AND(B171&lt;&gt;"",C171&lt;&gt;"",D171&lt;&gt;"",E171&lt;&gt;"",H171&lt;&gt;"",OR(J171&lt;&gt;"",L171&lt;&gt;"")),"OK","ERRO: faltam "&amp;IF(B171="","Proprietário; ","")&amp;IF(C171="","Origem; ","")&amp;IF(D171="","CNPJ; ","")&amp;IF(E171="","Razão Social; ","")&amp;IF(H171="","Sobrenome; ","")&amp;IF(AND(J171="",L171=""),"telefone ou e-mail; ","")))</f>
      </c>
      <c r="V171" s="6">
        <f>IF(COUNTA(A171:O171)=0,"",IF(AND(Q171="OK",R171="OK",LEFT(S171,4)&lt;&gt;"ERRO",LEFT(T171,4)&lt;&gt;"ERRO",U171="OK"),"OK","REVISAR"))</f>
      </c>
    </row>
    <row r="172">
      <c r="A172" s="4"/>
      <c r="B172" s="5"/>
      <c r="C172" s="5"/>
      <c r="D172" s="5"/>
      <c r="E172" s="5"/>
      <c r="F172" s="4"/>
      <c r="G172" s="4"/>
      <c r="H172" s="5"/>
      <c r="I172" s="4"/>
      <c r="J172" s="4"/>
      <c r="K172" s="4"/>
      <c r="L172" s="4"/>
      <c r="M172" s="4"/>
      <c r="N172" s="4"/>
      <c r="O172" s="4"/>
      <c r="P172" s="6">
        <f>IF(D172="","",SUBSTITUTE(SUBSTITUTE(SUBSTITUTE(SUBSTITUTE(SUBSTITUTE(SUBSTITUTE(SUBSTITUTE(TRIM(D172),".",""),"/",""),"-","")," ",""),"(",""),")",""),"+",""))</f>
      </c>
      <c r="Q172" s="6">
        <f>IF(P172="","",IF(LEN(P172)&lt;&gt;14,"ERRO: "&amp;LEN(P172)&amp;" dígitos",IF(NOT(ISNUMBER(VALUE(P172))),"ERRO: não numérico",IF(LEN(SUBSTITUTE(P172,LEFT(P172,1),""))=0,"ERRO: dígitos repetidos",IF(AND(VALUE(MID(P172,13,1))=IF(MOD(SUMPRODUCT(--MID(P172,{1,2,3,4,5,6,7,8,9,10,11,12},1),{5,4,3,2,9,8,7,6,5,4,3,2}),11)&lt;2,0,11-MOD(SUMPRODUCT(--MID(P172,{1,2,3,4,5,6,7,8,9,10,11,12},1),{5,4,3,2,9,8,7,6,5,4,3,2}),11)),VALUE(MID(P172,14,1))=IF(MOD(SUMPRODUCT(--MID(P172,{1,2,3,4,5,6,7,8,9,10,11,12,13},1),{6,5,4,3,2,9,8,7,6,5,4,3,2}),11)&lt;2,0,11-MOD(SUMPRODUCT(--MID(P172,{1,2,3,4,5,6,7,8,9,10,11,12,13},1),{6,5,4,3,2,9,8,7,6,5,4,3,2}),11))),"OK","ERRO: dígito verificador")))))</f>
      </c>
      <c r="R172" s="6">
        <f>IF(P172="","",IF(COUNTIF($P$2:$P$1001,P172)&gt;1,"DUPLICADO","OK"))</f>
      </c>
      <c r="S172" s="6">
        <f>IF(AND(J172="",K172=""),"vazio",IF(AND(OR(J172="",LEN(SUBSTITUTE(SUBSTITUTE(SUBSTITUTE(SUBSTITUTE(SUBSTITUTE(SUBSTITUTE(SUBSTITUTE(TRIM(J172),".",""),"/",""),"-","")," ",""),"(",""),")",""),"+",""))=10,LEN(SUBSTITUTE(SUBSTITUTE(SUBSTITUTE(SUBSTITUTE(SUBSTITUTE(SUBSTITUTE(SUBSTITUTE(TRIM(J172),".",""),"/",""),"-","")," ",""),"(",""),")",""),"+",""))=11),OR(K172="",LEN(SUBSTITUTE(SUBSTITUTE(SUBSTITUTE(SUBSTITUTE(SUBSTITUTE(SUBSTITUTE(SUBSTITUTE(TRIM(K172),".",""),"/",""),"-","")," ",""),"(",""),")",""),"+",""))=10,LEN(SUBSTITUTE(SUBSTITUTE(SUBSTITUTE(SUBSTITUTE(SUBSTITUTE(SUBSTITUTE(SUBSTITUTE(TRIM(K172),".",""),"/",""),"-","")," ",""),"(",""),")",""),"+",""))=11)),"OK","ERRO: use DDD + número (10 ou 11 dígitos)"))</f>
      </c>
      <c r="T172" s="6">
        <f>IF(L172="","vazio",IF(AND(ISNUMBER(FIND("@",L172)),ISNUMBER(FIND(".",MID(L172,FIND("@",L172),99))),NOT(ISNUMBER(FIND(" ",TRIM(L172)))),NOT(ISNUMBER(FIND(";",L172))),NOT(ISNUMBER(FIND(",",L172)))),"OK","ERRO: um e-mail válido por linha"))</f>
      </c>
      <c r="U172" s="6">
        <f>IF(COUNTA(A172:O172)=0,"",IF(AND(B172&lt;&gt;"",C172&lt;&gt;"",D172&lt;&gt;"",E172&lt;&gt;"",H172&lt;&gt;"",OR(J172&lt;&gt;"",L172&lt;&gt;"")),"OK","ERRO: faltam "&amp;IF(B172="","Proprietário; ","")&amp;IF(C172="","Origem; ","")&amp;IF(D172="","CNPJ; ","")&amp;IF(E172="","Razão Social; ","")&amp;IF(H172="","Sobrenome; ","")&amp;IF(AND(J172="",L172=""),"telefone ou e-mail; ","")))</f>
      </c>
      <c r="V172" s="6">
        <f>IF(COUNTA(A172:O172)=0,"",IF(AND(Q172="OK",R172="OK",LEFT(S172,4)&lt;&gt;"ERRO",LEFT(T172,4)&lt;&gt;"ERRO",U172="OK"),"OK","REVISAR"))</f>
      </c>
    </row>
    <row r="173">
      <c r="A173" s="4"/>
      <c r="B173" s="5"/>
      <c r="C173" s="5"/>
      <c r="D173" s="5"/>
      <c r="E173" s="5"/>
      <c r="F173" s="4"/>
      <c r="G173" s="4"/>
      <c r="H173" s="5"/>
      <c r="I173" s="4"/>
      <c r="J173" s="4"/>
      <c r="K173" s="4"/>
      <c r="L173" s="4"/>
      <c r="M173" s="4"/>
      <c r="N173" s="4"/>
      <c r="O173" s="4"/>
      <c r="P173" s="6">
        <f>IF(D173="","",SUBSTITUTE(SUBSTITUTE(SUBSTITUTE(SUBSTITUTE(SUBSTITUTE(SUBSTITUTE(SUBSTITUTE(TRIM(D173),".",""),"/",""),"-","")," ",""),"(",""),")",""),"+",""))</f>
      </c>
      <c r="Q173" s="6">
        <f>IF(P173="","",IF(LEN(P173)&lt;&gt;14,"ERRO: "&amp;LEN(P173)&amp;" dígitos",IF(NOT(ISNUMBER(VALUE(P173))),"ERRO: não numérico",IF(LEN(SUBSTITUTE(P173,LEFT(P173,1),""))=0,"ERRO: dígitos repetidos",IF(AND(VALUE(MID(P173,13,1))=IF(MOD(SUMPRODUCT(--MID(P173,{1,2,3,4,5,6,7,8,9,10,11,12},1),{5,4,3,2,9,8,7,6,5,4,3,2}),11)&lt;2,0,11-MOD(SUMPRODUCT(--MID(P173,{1,2,3,4,5,6,7,8,9,10,11,12},1),{5,4,3,2,9,8,7,6,5,4,3,2}),11)),VALUE(MID(P173,14,1))=IF(MOD(SUMPRODUCT(--MID(P173,{1,2,3,4,5,6,7,8,9,10,11,12,13},1),{6,5,4,3,2,9,8,7,6,5,4,3,2}),11)&lt;2,0,11-MOD(SUMPRODUCT(--MID(P173,{1,2,3,4,5,6,7,8,9,10,11,12,13},1),{6,5,4,3,2,9,8,7,6,5,4,3,2}),11))),"OK","ERRO: dígito verificador")))))</f>
      </c>
      <c r="R173" s="6">
        <f>IF(P173="","",IF(COUNTIF($P$2:$P$1001,P173)&gt;1,"DUPLICADO","OK"))</f>
      </c>
      <c r="S173" s="6">
        <f>IF(AND(J173="",K173=""),"vazio",IF(AND(OR(J173="",LEN(SUBSTITUTE(SUBSTITUTE(SUBSTITUTE(SUBSTITUTE(SUBSTITUTE(SUBSTITUTE(SUBSTITUTE(TRIM(J173),".",""),"/",""),"-","")," ",""),"(",""),")",""),"+",""))=10,LEN(SUBSTITUTE(SUBSTITUTE(SUBSTITUTE(SUBSTITUTE(SUBSTITUTE(SUBSTITUTE(SUBSTITUTE(TRIM(J173),".",""),"/",""),"-","")," ",""),"(",""),")",""),"+",""))=11),OR(K173="",LEN(SUBSTITUTE(SUBSTITUTE(SUBSTITUTE(SUBSTITUTE(SUBSTITUTE(SUBSTITUTE(SUBSTITUTE(TRIM(K173),".",""),"/",""),"-","")," ",""),"(",""),")",""),"+",""))=10,LEN(SUBSTITUTE(SUBSTITUTE(SUBSTITUTE(SUBSTITUTE(SUBSTITUTE(SUBSTITUTE(SUBSTITUTE(TRIM(K173),".",""),"/",""),"-","")," ",""),"(",""),")",""),"+",""))=11)),"OK","ERRO: use DDD + número (10 ou 11 dígitos)"))</f>
      </c>
      <c r="T173" s="6">
        <f>IF(L173="","vazio",IF(AND(ISNUMBER(FIND("@",L173)),ISNUMBER(FIND(".",MID(L173,FIND("@",L173),99))),NOT(ISNUMBER(FIND(" ",TRIM(L173)))),NOT(ISNUMBER(FIND(";",L173))),NOT(ISNUMBER(FIND(",",L173)))),"OK","ERRO: um e-mail válido por linha"))</f>
      </c>
      <c r="U173" s="6">
        <f>IF(COUNTA(A173:O173)=0,"",IF(AND(B173&lt;&gt;"",C173&lt;&gt;"",D173&lt;&gt;"",E173&lt;&gt;"",H173&lt;&gt;"",OR(J173&lt;&gt;"",L173&lt;&gt;"")),"OK","ERRO: faltam "&amp;IF(B173="","Proprietário; ","")&amp;IF(C173="","Origem; ","")&amp;IF(D173="","CNPJ; ","")&amp;IF(E173="","Razão Social; ","")&amp;IF(H173="","Sobrenome; ","")&amp;IF(AND(J173="",L173=""),"telefone ou e-mail; ","")))</f>
      </c>
      <c r="V173" s="6">
        <f>IF(COUNTA(A173:O173)=0,"",IF(AND(Q173="OK",R173="OK",LEFT(S173,4)&lt;&gt;"ERRO",LEFT(T173,4)&lt;&gt;"ERRO",U173="OK"),"OK","REVISAR"))</f>
      </c>
    </row>
    <row r="174">
      <c r="A174" s="4"/>
      <c r="B174" s="5"/>
      <c r="C174" s="5"/>
      <c r="D174" s="5"/>
      <c r="E174" s="5"/>
      <c r="F174" s="4"/>
      <c r="G174" s="4"/>
      <c r="H174" s="5"/>
      <c r="I174" s="4"/>
      <c r="J174" s="4"/>
      <c r="K174" s="4"/>
      <c r="L174" s="4"/>
      <c r="M174" s="4"/>
      <c r="N174" s="4"/>
      <c r="O174" s="4"/>
      <c r="P174" s="6">
        <f>IF(D174="","",SUBSTITUTE(SUBSTITUTE(SUBSTITUTE(SUBSTITUTE(SUBSTITUTE(SUBSTITUTE(SUBSTITUTE(TRIM(D174),".",""),"/",""),"-","")," ",""),"(",""),")",""),"+",""))</f>
      </c>
      <c r="Q174" s="6">
        <f>IF(P174="","",IF(LEN(P174)&lt;&gt;14,"ERRO: "&amp;LEN(P174)&amp;" dígitos",IF(NOT(ISNUMBER(VALUE(P174))),"ERRO: não numérico",IF(LEN(SUBSTITUTE(P174,LEFT(P174,1),""))=0,"ERRO: dígitos repetidos",IF(AND(VALUE(MID(P174,13,1))=IF(MOD(SUMPRODUCT(--MID(P174,{1,2,3,4,5,6,7,8,9,10,11,12},1),{5,4,3,2,9,8,7,6,5,4,3,2}),11)&lt;2,0,11-MOD(SUMPRODUCT(--MID(P174,{1,2,3,4,5,6,7,8,9,10,11,12},1),{5,4,3,2,9,8,7,6,5,4,3,2}),11)),VALUE(MID(P174,14,1))=IF(MOD(SUMPRODUCT(--MID(P174,{1,2,3,4,5,6,7,8,9,10,11,12,13},1),{6,5,4,3,2,9,8,7,6,5,4,3,2}),11)&lt;2,0,11-MOD(SUMPRODUCT(--MID(P174,{1,2,3,4,5,6,7,8,9,10,11,12,13},1),{6,5,4,3,2,9,8,7,6,5,4,3,2}),11))),"OK","ERRO: dígito verificador")))))</f>
      </c>
      <c r="R174" s="6">
        <f>IF(P174="","",IF(COUNTIF($P$2:$P$1001,P174)&gt;1,"DUPLICADO","OK"))</f>
      </c>
      <c r="S174" s="6">
        <f>IF(AND(J174="",K174=""),"vazio",IF(AND(OR(J174="",LEN(SUBSTITUTE(SUBSTITUTE(SUBSTITUTE(SUBSTITUTE(SUBSTITUTE(SUBSTITUTE(SUBSTITUTE(TRIM(J174),".",""),"/",""),"-","")," ",""),"(",""),")",""),"+",""))=10,LEN(SUBSTITUTE(SUBSTITUTE(SUBSTITUTE(SUBSTITUTE(SUBSTITUTE(SUBSTITUTE(SUBSTITUTE(TRIM(J174),".",""),"/",""),"-","")," ",""),"(",""),")",""),"+",""))=11),OR(K174="",LEN(SUBSTITUTE(SUBSTITUTE(SUBSTITUTE(SUBSTITUTE(SUBSTITUTE(SUBSTITUTE(SUBSTITUTE(TRIM(K174),".",""),"/",""),"-","")," ",""),"(",""),")",""),"+",""))=10,LEN(SUBSTITUTE(SUBSTITUTE(SUBSTITUTE(SUBSTITUTE(SUBSTITUTE(SUBSTITUTE(SUBSTITUTE(TRIM(K174),".",""),"/",""),"-","")," ",""),"(",""),")",""),"+",""))=11)),"OK","ERRO: use DDD + número (10 ou 11 dígitos)"))</f>
      </c>
      <c r="T174" s="6">
        <f>IF(L174="","vazio",IF(AND(ISNUMBER(FIND("@",L174)),ISNUMBER(FIND(".",MID(L174,FIND("@",L174),99))),NOT(ISNUMBER(FIND(" ",TRIM(L174)))),NOT(ISNUMBER(FIND(";",L174))),NOT(ISNUMBER(FIND(",",L174)))),"OK","ERRO: um e-mail válido por linha"))</f>
      </c>
      <c r="U174" s="6">
        <f>IF(COUNTA(A174:O174)=0,"",IF(AND(B174&lt;&gt;"",C174&lt;&gt;"",D174&lt;&gt;"",E174&lt;&gt;"",H174&lt;&gt;"",OR(J174&lt;&gt;"",L174&lt;&gt;"")),"OK","ERRO: faltam "&amp;IF(B174="","Proprietário; ","")&amp;IF(C174="","Origem; ","")&amp;IF(D174="","CNPJ; ","")&amp;IF(E174="","Razão Social; ","")&amp;IF(H174="","Sobrenome; ","")&amp;IF(AND(J174="",L174=""),"telefone ou e-mail; ","")))</f>
      </c>
      <c r="V174" s="6">
        <f>IF(COUNTA(A174:O174)=0,"",IF(AND(Q174="OK",R174="OK",LEFT(S174,4)&lt;&gt;"ERRO",LEFT(T174,4)&lt;&gt;"ERRO",U174="OK"),"OK","REVISAR"))</f>
      </c>
    </row>
    <row r="175">
      <c r="A175" s="4"/>
      <c r="B175" s="5"/>
      <c r="C175" s="5"/>
      <c r="D175" s="5"/>
      <c r="E175" s="5"/>
      <c r="F175" s="4"/>
      <c r="G175" s="4"/>
      <c r="H175" s="5"/>
      <c r="I175" s="4"/>
      <c r="J175" s="4"/>
      <c r="K175" s="4"/>
      <c r="L175" s="4"/>
      <c r="M175" s="4"/>
      <c r="N175" s="4"/>
      <c r="O175" s="4"/>
      <c r="P175" s="6">
        <f>IF(D175="","",SUBSTITUTE(SUBSTITUTE(SUBSTITUTE(SUBSTITUTE(SUBSTITUTE(SUBSTITUTE(SUBSTITUTE(TRIM(D175),".",""),"/",""),"-","")," ",""),"(",""),")",""),"+",""))</f>
      </c>
      <c r="Q175" s="6">
        <f>IF(P175="","",IF(LEN(P175)&lt;&gt;14,"ERRO: "&amp;LEN(P175)&amp;" dígitos",IF(NOT(ISNUMBER(VALUE(P175))),"ERRO: não numérico",IF(LEN(SUBSTITUTE(P175,LEFT(P175,1),""))=0,"ERRO: dígitos repetidos",IF(AND(VALUE(MID(P175,13,1))=IF(MOD(SUMPRODUCT(--MID(P175,{1,2,3,4,5,6,7,8,9,10,11,12},1),{5,4,3,2,9,8,7,6,5,4,3,2}),11)&lt;2,0,11-MOD(SUMPRODUCT(--MID(P175,{1,2,3,4,5,6,7,8,9,10,11,12},1),{5,4,3,2,9,8,7,6,5,4,3,2}),11)),VALUE(MID(P175,14,1))=IF(MOD(SUMPRODUCT(--MID(P175,{1,2,3,4,5,6,7,8,9,10,11,12,13},1),{6,5,4,3,2,9,8,7,6,5,4,3,2}),11)&lt;2,0,11-MOD(SUMPRODUCT(--MID(P175,{1,2,3,4,5,6,7,8,9,10,11,12,13},1),{6,5,4,3,2,9,8,7,6,5,4,3,2}),11))),"OK","ERRO: dígito verificador")))))</f>
      </c>
      <c r="R175" s="6">
        <f>IF(P175="","",IF(COUNTIF($P$2:$P$1001,P175)&gt;1,"DUPLICADO","OK"))</f>
      </c>
      <c r="S175" s="6">
        <f>IF(AND(J175="",K175=""),"vazio",IF(AND(OR(J175="",LEN(SUBSTITUTE(SUBSTITUTE(SUBSTITUTE(SUBSTITUTE(SUBSTITUTE(SUBSTITUTE(SUBSTITUTE(TRIM(J175),".",""),"/",""),"-","")," ",""),"(",""),")",""),"+",""))=10,LEN(SUBSTITUTE(SUBSTITUTE(SUBSTITUTE(SUBSTITUTE(SUBSTITUTE(SUBSTITUTE(SUBSTITUTE(TRIM(J175),".",""),"/",""),"-","")," ",""),"(",""),")",""),"+",""))=11),OR(K175="",LEN(SUBSTITUTE(SUBSTITUTE(SUBSTITUTE(SUBSTITUTE(SUBSTITUTE(SUBSTITUTE(SUBSTITUTE(TRIM(K175),".",""),"/",""),"-","")," ",""),"(",""),")",""),"+",""))=10,LEN(SUBSTITUTE(SUBSTITUTE(SUBSTITUTE(SUBSTITUTE(SUBSTITUTE(SUBSTITUTE(SUBSTITUTE(TRIM(K175),".",""),"/",""),"-","")," ",""),"(",""),")",""),"+",""))=11)),"OK","ERRO: use DDD + número (10 ou 11 dígitos)"))</f>
      </c>
      <c r="T175" s="6">
        <f>IF(L175="","vazio",IF(AND(ISNUMBER(FIND("@",L175)),ISNUMBER(FIND(".",MID(L175,FIND("@",L175),99))),NOT(ISNUMBER(FIND(" ",TRIM(L175)))),NOT(ISNUMBER(FIND(";",L175))),NOT(ISNUMBER(FIND(",",L175)))),"OK","ERRO: um e-mail válido por linha"))</f>
      </c>
      <c r="U175" s="6">
        <f>IF(COUNTA(A175:O175)=0,"",IF(AND(B175&lt;&gt;"",C175&lt;&gt;"",D175&lt;&gt;"",E175&lt;&gt;"",H175&lt;&gt;"",OR(J175&lt;&gt;"",L175&lt;&gt;"")),"OK","ERRO: faltam "&amp;IF(B175="","Proprietário; ","")&amp;IF(C175="","Origem; ","")&amp;IF(D175="","CNPJ; ","")&amp;IF(E175="","Razão Social; ","")&amp;IF(H175="","Sobrenome; ","")&amp;IF(AND(J175="",L175=""),"telefone ou e-mail; ","")))</f>
      </c>
      <c r="V175" s="6">
        <f>IF(COUNTA(A175:O175)=0,"",IF(AND(Q175="OK",R175="OK",LEFT(S175,4)&lt;&gt;"ERRO",LEFT(T175,4)&lt;&gt;"ERRO",U175="OK"),"OK","REVISAR"))</f>
      </c>
    </row>
    <row r="176">
      <c r="A176" s="4"/>
      <c r="B176" s="5"/>
      <c r="C176" s="5"/>
      <c r="D176" s="5"/>
      <c r="E176" s="5"/>
      <c r="F176" s="4"/>
      <c r="G176" s="4"/>
      <c r="H176" s="5"/>
      <c r="I176" s="4"/>
      <c r="J176" s="4"/>
      <c r="K176" s="4"/>
      <c r="L176" s="4"/>
      <c r="M176" s="4"/>
      <c r="N176" s="4"/>
      <c r="O176" s="4"/>
      <c r="P176" s="6">
        <f>IF(D176="","",SUBSTITUTE(SUBSTITUTE(SUBSTITUTE(SUBSTITUTE(SUBSTITUTE(SUBSTITUTE(SUBSTITUTE(TRIM(D176),".",""),"/",""),"-","")," ",""),"(",""),")",""),"+",""))</f>
      </c>
      <c r="Q176" s="6">
        <f>IF(P176="","",IF(LEN(P176)&lt;&gt;14,"ERRO: "&amp;LEN(P176)&amp;" dígitos",IF(NOT(ISNUMBER(VALUE(P176))),"ERRO: não numérico",IF(LEN(SUBSTITUTE(P176,LEFT(P176,1),""))=0,"ERRO: dígitos repetidos",IF(AND(VALUE(MID(P176,13,1))=IF(MOD(SUMPRODUCT(--MID(P176,{1,2,3,4,5,6,7,8,9,10,11,12},1),{5,4,3,2,9,8,7,6,5,4,3,2}),11)&lt;2,0,11-MOD(SUMPRODUCT(--MID(P176,{1,2,3,4,5,6,7,8,9,10,11,12},1),{5,4,3,2,9,8,7,6,5,4,3,2}),11)),VALUE(MID(P176,14,1))=IF(MOD(SUMPRODUCT(--MID(P176,{1,2,3,4,5,6,7,8,9,10,11,12,13},1),{6,5,4,3,2,9,8,7,6,5,4,3,2}),11)&lt;2,0,11-MOD(SUMPRODUCT(--MID(P176,{1,2,3,4,5,6,7,8,9,10,11,12,13},1),{6,5,4,3,2,9,8,7,6,5,4,3,2}),11))),"OK","ERRO: dígito verificador")))))</f>
      </c>
      <c r="R176" s="6">
        <f>IF(P176="","",IF(COUNTIF($P$2:$P$1001,P176)&gt;1,"DUPLICADO","OK"))</f>
      </c>
      <c r="S176" s="6">
        <f>IF(AND(J176="",K176=""),"vazio",IF(AND(OR(J176="",LEN(SUBSTITUTE(SUBSTITUTE(SUBSTITUTE(SUBSTITUTE(SUBSTITUTE(SUBSTITUTE(SUBSTITUTE(TRIM(J176),".",""),"/",""),"-","")," ",""),"(",""),")",""),"+",""))=10,LEN(SUBSTITUTE(SUBSTITUTE(SUBSTITUTE(SUBSTITUTE(SUBSTITUTE(SUBSTITUTE(SUBSTITUTE(TRIM(J176),".",""),"/",""),"-","")," ",""),"(",""),")",""),"+",""))=11),OR(K176="",LEN(SUBSTITUTE(SUBSTITUTE(SUBSTITUTE(SUBSTITUTE(SUBSTITUTE(SUBSTITUTE(SUBSTITUTE(TRIM(K176),".",""),"/",""),"-","")," ",""),"(",""),")",""),"+",""))=10,LEN(SUBSTITUTE(SUBSTITUTE(SUBSTITUTE(SUBSTITUTE(SUBSTITUTE(SUBSTITUTE(SUBSTITUTE(TRIM(K176),".",""),"/",""),"-","")," ",""),"(",""),")",""),"+",""))=11)),"OK","ERRO: use DDD + número (10 ou 11 dígitos)"))</f>
      </c>
      <c r="T176" s="6">
        <f>IF(L176="","vazio",IF(AND(ISNUMBER(FIND("@",L176)),ISNUMBER(FIND(".",MID(L176,FIND("@",L176),99))),NOT(ISNUMBER(FIND(" ",TRIM(L176)))),NOT(ISNUMBER(FIND(";",L176))),NOT(ISNUMBER(FIND(",",L176)))),"OK","ERRO: um e-mail válido por linha"))</f>
      </c>
      <c r="U176" s="6">
        <f>IF(COUNTA(A176:O176)=0,"",IF(AND(B176&lt;&gt;"",C176&lt;&gt;"",D176&lt;&gt;"",E176&lt;&gt;"",H176&lt;&gt;"",OR(J176&lt;&gt;"",L176&lt;&gt;"")),"OK","ERRO: faltam "&amp;IF(B176="","Proprietário; ","")&amp;IF(C176="","Origem; ","")&amp;IF(D176="","CNPJ; ","")&amp;IF(E176="","Razão Social; ","")&amp;IF(H176="","Sobrenome; ","")&amp;IF(AND(J176="",L176=""),"telefone ou e-mail; ","")))</f>
      </c>
      <c r="V176" s="6">
        <f>IF(COUNTA(A176:O176)=0,"",IF(AND(Q176="OK",R176="OK",LEFT(S176,4)&lt;&gt;"ERRO",LEFT(T176,4)&lt;&gt;"ERRO",U176="OK"),"OK","REVISAR"))</f>
      </c>
    </row>
    <row r="177">
      <c r="A177" s="4"/>
      <c r="B177" s="5"/>
      <c r="C177" s="5"/>
      <c r="D177" s="5"/>
      <c r="E177" s="5"/>
      <c r="F177" s="4"/>
      <c r="G177" s="4"/>
      <c r="H177" s="5"/>
      <c r="I177" s="4"/>
      <c r="J177" s="4"/>
      <c r="K177" s="4"/>
      <c r="L177" s="4"/>
      <c r="M177" s="4"/>
      <c r="N177" s="4"/>
      <c r="O177" s="4"/>
      <c r="P177" s="6">
        <f>IF(D177="","",SUBSTITUTE(SUBSTITUTE(SUBSTITUTE(SUBSTITUTE(SUBSTITUTE(SUBSTITUTE(SUBSTITUTE(TRIM(D177),".",""),"/",""),"-","")," ",""),"(",""),")",""),"+",""))</f>
      </c>
      <c r="Q177" s="6">
        <f>IF(P177="","",IF(LEN(P177)&lt;&gt;14,"ERRO: "&amp;LEN(P177)&amp;" dígitos",IF(NOT(ISNUMBER(VALUE(P177))),"ERRO: não numérico",IF(LEN(SUBSTITUTE(P177,LEFT(P177,1),""))=0,"ERRO: dígitos repetidos",IF(AND(VALUE(MID(P177,13,1))=IF(MOD(SUMPRODUCT(--MID(P177,{1,2,3,4,5,6,7,8,9,10,11,12},1),{5,4,3,2,9,8,7,6,5,4,3,2}),11)&lt;2,0,11-MOD(SUMPRODUCT(--MID(P177,{1,2,3,4,5,6,7,8,9,10,11,12},1),{5,4,3,2,9,8,7,6,5,4,3,2}),11)),VALUE(MID(P177,14,1))=IF(MOD(SUMPRODUCT(--MID(P177,{1,2,3,4,5,6,7,8,9,10,11,12,13},1),{6,5,4,3,2,9,8,7,6,5,4,3,2}),11)&lt;2,0,11-MOD(SUMPRODUCT(--MID(P177,{1,2,3,4,5,6,7,8,9,10,11,12,13},1),{6,5,4,3,2,9,8,7,6,5,4,3,2}),11))),"OK","ERRO: dígito verificador")))))</f>
      </c>
      <c r="R177" s="6">
        <f>IF(P177="","",IF(COUNTIF($P$2:$P$1001,P177)&gt;1,"DUPLICADO","OK"))</f>
      </c>
      <c r="S177" s="6">
        <f>IF(AND(J177="",K177=""),"vazio",IF(AND(OR(J177="",LEN(SUBSTITUTE(SUBSTITUTE(SUBSTITUTE(SUBSTITUTE(SUBSTITUTE(SUBSTITUTE(SUBSTITUTE(TRIM(J177),".",""),"/",""),"-","")," ",""),"(",""),")",""),"+",""))=10,LEN(SUBSTITUTE(SUBSTITUTE(SUBSTITUTE(SUBSTITUTE(SUBSTITUTE(SUBSTITUTE(SUBSTITUTE(TRIM(J177),".",""),"/",""),"-","")," ",""),"(",""),")",""),"+",""))=11),OR(K177="",LEN(SUBSTITUTE(SUBSTITUTE(SUBSTITUTE(SUBSTITUTE(SUBSTITUTE(SUBSTITUTE(SUBSTITUTE(TRIM(K177),".",""),"/",""),"-","")," ",""),"(",""),")",""),"+",""))=10,LEN(SUBSTITUTE(SUBSTITUTE(SUBSTITUTE(SUBSTITUTE(SUBSTITUTE(SUBSTITUTE(SUBSTITUTE(TRIM(K177),".",""),"/",""),"-","")," ",""),"(",""),")",""),"+",""))=11)),"OK","ERRO: use DDD + número (10 ou 11 dígitos)"))</f>
      </c>
      <c r="T177" s="6">
        <f>IF(L177="","vazio",IF(AND(ISNUMBER(FIND("@",L177)),ISNUMBER(FIND(".",MID(L177,FIND("@",L177),99))),NOT(ISNUMBER(FIND(" ",TRIM(L177)))),NOT(ISNUMBER(FIND(";",L177))),NOT(ISNUMBER(FIND(",",L177)))),"OK","ERRO: um e-mail válido por linha"))</f>
      </c>
      <c r="U177" s="6">
        <f>IF(COUNTA(A177:O177)=0,"",IF(AND(B177&lt;&gt;"",C177&lt;&gt;"",D177&lt;&gt;"",E177&lt;&gt;"",H177&lt;&gt;"",OR(J177&lt;&gt;"",L177&lt;&gt;"")),"OK","ERRO: faltam "&amp;IF(B177="","Proprietário; ","")&amp;IF(C177="","Origem; ","")&amp;IF(D177="","CNPJ; ","")&amp;IF(E177="","Razão Social; ","")&amp;IF(H177="","Sobrenome; ","")&amp;IF(AND(J177="",L177=""),"telefone ou e-mail; ","")))</f>
      </c>
      <c r="V177" s="6">
        <f>IF(COUNTA(A177:O177)=0,"",IF(AND(Q177="OK",R177="OK",LEFT(S177,4)&lt;&gt;"ERRO",LEFT(T177,4)&lt;&gt;"ERRO",U177="OK"),"OK","REVISAR"))</f>
      </c>
    </row>
    <row r="178">
      <c r="A178" s="4"/>
      <c r="B178" s="5"/>
      <c r="C178" s="5"/>
      <c r="D178" s="5"/>
      <c r="E178" s="5"/>
      <c r="F178" s="4"/>
      <c r="G178" s="4"/>
      <c r="H178" s="5"/>
      <c r="I178" s="4"/>
      <c r="J178" s="4"/>
      <c r="K178" s="4"/>
      <c r="L178" s="4"/>
      <c r="M178" s="4"/>
      <c r="N178" s="4"/>
      <c r="O178" s="4"/>
      <c r="P178" s="6">
        <f>IF(D178="","",SUBSTITUTE(SUBSTITUTE(SUBSTITUTE(SUBSTITUTE(SUBSTITUTE(SUBSTITUTE(SUBSTITUTE(TRIM(D178),".",""),"/",""),"-","")," ",""),"(",""),")",""),"+",""))</f>
      </c>
      <c r="Q178" s="6">
        <f>IF(P178="","",IF(LEN(P178)&lt;&gt;14,"ERRO: "&amp;LEN(P178)&amp;" dígitos",IF(NOT(ISNUMBER(VALUE(P178))),"ERRO: não numérico",IF(LEN(SUBSTITUTE(P178,LEFT(P178,1),""))=0,"ERRO: dígitos repetidos",IF(AND(VALUE(MID(P178,13,1))=IF(MOD(SUMPRODUCT(--MID(P178,{1,2,3,4,5,6,7,8,9,10,11,12},1),{5,4,3,2,9,8,7,6,5,4,3,2}),11)&lt;2,0,11-MOD(SUMPRODUCT(--MID(P178,{1,2,3,4,5,6,7,8,9,10,11,12},1),{5,4,3,2,9,8,7,6,5,4,3,2}),11)),VALUE(MID(P178,14,1))=IF(MOD(SUMPRODUCT(--MID(P178,{1,2,3,4,5,6,7,8,9,10,11,12,13},1),{6,5,4,3,2,9,8,7,6,5,4,3,2}),11)&lt;2,0,11-MOD(SUMPRODUCT(--MID(P178,{1,2,3,4,5,6,7,8,9,10,11,12,13},1),{6,5,4,3,2,9,8,7,6,5,4,3,2}),11))),"OK","ERRO: dígito verificador")))))</f>
      </c>
      <c r="R178" s="6">
        <f>IF(P178="","",IF(COUNTIF($P$2:$P$1001,P178)&gt;1,"DUPLICADO","OK"))</f>
      </c>
      <c r="S178" s="6">
        <f>IF(AND(J178="",K178=""),"vazio",IF(AND(OR(J178="",LEN(SUBSTITUTE(SUBSTITUTE(SUBSTITUTE(SUBSTITUTE(SUBSTITUTE(SUBSTITUTE(SUBSTITUTE(TRIM(J178),".",""),"/",""),"-","")," ",""),"(",""),")",""),"+",""))=10,LEN(SUBSTITUTE(SUBSTITUTE(SUBSTITUTE(SUBSTITUTE(SUBSTITUTE(SUBSTITUTE(SUBSTITUTE(TRIM(J178),".",""),"/",""),"-","")," ",""),"(",""),")",""),"+",""))=11),OR(K178="",LEN(SUBSTITUTE(SUBSTITUTE(SUBSTITUTE(SUBSTITUTE(SUBSTITUTE(SUBSTITUTE(SUBSTITUTE(TRIM(K178),".",""),"/",""),"-","")," ",""),"(",""),")",""),"+",""))=10,LEN(SUBSTITUTE(SUBSTITUTE(SUBSTITUTE(SUBSTITUTE(SUBSTITUTE(SUBSTITUTE(SUBSTITUTE(TRIM(K178),".",""),"/",""),"-","")," ",""),"(",""),")",""),"+",""))=11)),"OK","ERRO: use DDD + número (10 ou 11 dígitos)"))</f>
      </c>
      <c r="T178" s="6">
        <f>IF(L178="","vazio",IF(AND(ISNUMBER(FIND("@",L178)),ISNUMBER(FIND(".",MID(L178,FIND("@",L178),99))),NOT(ISNUMBER(FIND(" ",TRIM(L178)))),NOT(ISNUMBER(FIND(";",L178))),NOT(ISNUMBER(FIND(",",L178)))),"OK","ERRO: um e-mail válido por linha"))</f>
      </c>
      <c r="U178" s="6">
        <f>IF(COUNTA(A178:O178)=0,"",IF(AND(B178&lt;&gt;"",C178&lt;&gt;"",D178&lt;&gt;"",E178&lt;&gt;"",H178&lt;&gt;"",OR(J178&lt;&gt;"",L178&lt;&gt;"")),"OK","ERRO: faltam "&amp;IF(B178="","Proprietário; ","")&amp;IF(C178="","Origem; ","")&amp;IF(D178="","CNPJ; ","")&amp;IF(E178="","Razão Social; ","")&amp;IF(H178="","Sobrenome; ","")&amp;IF(AND(J178="",L178=""),"telefone ou e-mail; ","")))</f>
      </c>
      <c r="V178" s="6">
        <f>IF(COUNTA(A178:O178)=0,"",IF(AND(Q178="OK",R178="OK",LEFT(S178,4)&lt;&gt;"ERRO",LEFT(T178,4)&lt;&gt;"ERRO",U178="OK"),"OK","REVISAR"))</f>
      </c>
    </row>
    <row r="179">
      <c r="A179" s="4"/>
      <c r="B179" s="5"/>
      <c r="C179" s="5"/>
      <c r="D179" s="5"/>
      <c r="E179" s="5"/>
      <c r="F179" s="4"/>
      <c r="G179" s="4"/>
      <c r="H179" s="5"/>
      <c r="I179" s="4"/>
      <c r="J179" s="4"/>
      <c r="K179" s="4"/>
      <c r="L179" s="4"/>
      <c r="M179" s="4"/>
      <c r="N179" s="4"/>
      <c r="O179" s="4"/>
      <c r="P179" s="6">
        <f>IF(D179="","",SUBSTITUTE(SUBSTITUTE(SUBSTITUTE(SUBSTITUTE(SUBSTITUTE(SUBSTITUTE(SUBSTITUTE(TRIM(D179),".",""),"/",""),"-","")," ",""),"(",""),")",""),"+",""))</f>
      </c>
      <c r="Q179" s="6">
        <f>IF(P179="","",IF(LEN(P179)&lt;&gt;14,"ERRO: "&amp;LEN(P179)&amp;" dígitos",IF(NOT(ISNUMBER(VALUE(P179))),"ERRO: não numérico",IF(LEN(SUBSTITUTE(P179,LEFT(P179,1),""))=0,"ERRO: dígitos repetidos",IF(AND(VALUE(MID(P179,13,1))=IF(MOD(SUMPRODUCT(--MID(P179,{1,2,3,4,5,6,7,8,9,10,11,12},1),{5,4,3,2,9,8,7,6,5,4,3,2}),11)&lt;2,0,11-MOD(SUMPRODUCT(--MID(P179,{1,2,3,4,5,6,7,8,9,10,11,12},1),{5,4,3,2,9,8,7,6,5,4,3,2}),11)),VALUE(MID(P179,14,1))=IF(MOD(SUMPRODUCT(--MID(P179,{1,2,3,4,5,6,7,8,9,10,11,12,13},1),{6,5,4,3,2,9,8,7,6,5,4,3,2}),11)&lt;2,0,11-MOD(SUMPRODUCT(--MID(P179,{1,2,3,4,5,6,7,8,9,10,11,12,13},1),{6,5,4,3,2,9,8,7,6,5,4,3,2}),11))),"OK","ERRO: dígito verificador")))))</f>
      </c>
      <c r="R179" s="6">
        <f>IF(P179="","",IF(COUNTIF($P$2:$P$1001,P179)&gt;1,"DUPLICADO","OK"))</f>
      </c>
      <c r="S179" s="6">
        <f>IF(AND(J179="",K179=""),"vazio",IF(AND(OR(J179="",LEN(SUBSTITUTE(SUBSTITUTE(SUBSTITUTE(SUBSTITUTE(SUBSTITUTE(SUBSTITUTE(SUBSTITUTE(TRIM(J179),".",""),"/",""),"-","")," ",""),"(",""),")",""),"+",""))=10,LEN(SUBSTITUTE(SUBSTITUTE(SUBSTITUTE(SUBSTITUTE(SUBSTITUTE(SUBSTITUTE(SUBSTITUTE(TRIM(J179),".",""),"/",""),"-","")," ",""),"(",""),")",""),"+",""))=11),OR(K179="",LEN(SUBSTITUTE(SUBSTITUTE(SUBSTITUTE(SUBSTITUTE(SUBSTITUTE(SUBSTITUTE(SUBSTITUTE(TRIM(K179),".",""),"/",""),"-","")," ",""),"(",""),")",""),"+",""))=10,LEN(SUBSTITUTE(SUBSTITUTE(SUBSTITUTE(SUBSTITUTE(SUBSTITUTE(SUBSTITUTE(SUBSTITUTE(TRIM(K179),".",""),"/",""),"-","")," ",""),"(",""),")",""),"+",""))=11)),"OK","ERRO: use DDD + número (10 ou 11 dígitos)"))</f>
      </c>
      <c r="T179" s="6">
        <f>IF(L179="","vazio",IF(AND(ISNUMBER(FIND("@",L179)),ISNUMBER(FIND(".",MID(L179,FIND("@",L179),99))),NOT(ISNUMBER(FIND(" ",TRIM(L179)))),NOT(ISNUMBER(FIND(";",L179))),NOT(ISNUMBER(FIND(",",L179)))),"OK","ERRO: um e-mail válido por linha"))</f>
      </c>
      <c r="U179" s="6">
        <f>IF(COUNTA(A179:O179)=0,"",IF(AND(B179&lt;&gt;"",C179&lt;&gt;"",D179&lt;&gt;"",E179&lt;&gt;"",H179&lt;&gt;"",OR(J179&lt;&gt;"",L179&lt;&gt;"")),"OK","ERRO: faltam "&amp;IF(B179="","Proprietário; ","")&amp;IF(C179="","Origem; ","")&amp;IF(D179="","CNPJ; ","")&amp;IF(E179="","Razão Social; ","")&amp;IF(H179="","Sobrenome; ","")&amp;IF(AND(J179="",L179=""),"telefone ou e-mail; ","")))</f>
      </c>
      <c r="V179" s="6">
        <f>IF(COUNTA(A179:O179)=0,"",IF(AND(Q179="OK",R179="OK",LEFT(S179,4)&lt;&gt;"ERRO",LEFT(T179,4)&lt;&gt;"ERRO",U179="OK"),"OK","REVISAR"))</f>
      </c>
    </row>
    <row r="180">
      <c r="A180" s="4"/>
      <c r="B180" s="5"/>
      <c r="C180" s="5"/>
      <c r="D180" s="5"/>
      <c r="E180" s="5"/>
      <c r="F180" s="4"/>
      <c r="G180" s="4"/>
      <c r="H180" s="5"/>
      <c r="I180" s="4"/>
      <c r="J180" s="4"/>
      <c r="K180" s="4"/>
      <c r="L180" s="4"/>
      <c r="M180" s="4"/>
      <c r="N180" s="4"/>
      <c r="O180" s="4"/>
      <c r="P180" s="6">
        <f>IF(D180="","",SUBSTITUTE(SUBSTITUTE(SUBSTITUTE(SUBSTITUTE(SUBSTITUTE(SUBSTITUTE(SUBSTITUTE(TRIM(D180),".",""),"/",""),"-","")," ",""),"(",""),")",""),"+",""))</f>
      </c>
      <c r="Q180" s="6">
        <f>IF(P180="","",IF(LEN(P180)&lt;&gt;14,"ERRO: "&amp;LEN(P180)&amp;" dígitos",IF(NOT(ISNUMBER(VALUE(P180))),"ERRO: não numérico",IF(LEN(SUBSTITUTE(P180,LEFT(P180,1),""))=0,"ERRO: dígitos repetidos",IF(AND(VALUE(MID(P180,13,1))=IF(MOD(SUMPRODUCT(--MID(P180,{1,2,3,4,5,6,7,8,9,10,11,12},1),{5,4,3,2,9,8,7,6,5,4,3,2}),11)&lt;2,0,11-MOD(SUMPRODUCT(--MID(P180,{1,2,3,4,5,6,7,8,9,10,11,12},1),{5,4,3,2,9,8,7,6,5,4,3,2}),11)),VALUE(MID(P180,14,1))=IF(MOD(SUMPRODUCT(--MID(P180,{1,2,3,4,5,6,7,8,9,10,11,12,13},1),{6,5,4,3,2,9,8,7,6,5,4,3,2}),11)&lt;2,0,11-MOD(SUMPRODUCT(--MID(P180,{1,2,3,4,5,6,7,8,9,10,11,12,13},1),{6,5,4,3,2,9,8,7,6,5,4,3,2}),11))),"OK","ERRO: dígito verificador")))))</f>
      </c>
      <c r="R180" s="6">
        <f>IF(P180="","",IF(COUNTIF($P$2:$P$1001,P180)&gt;1,"DUPLICADO","OK"))</f>
      </c>
      <c r="S180" s="6">
        <f>IF(AND(J180="",K180=""),"vazio",IF(AND(OR(J180="",LEN(SUBSTITUTE(SUBSTITUTE(SUBSTITUTE(SUBSTITUTE(SUBSTITUTE(SUBSTITUTE(SUBSTITUTE(TRIM(J180),".",""),"/",""),"-","")," ",""),"(",""),")",""),"+",""))=10,LEN(SUBSTITUTE(SUBSTITUTE(SUBSTITUTE(SUBSTITUTE(SUBSTITUTE(SUBSTITUTE(SUBSTITUTE(TRIM(J180),".",""),"/",""),"-","")," ",""),"(",""),")",""),"+",""))=11),OR(K180="",LEN(SUBSTITUTE(SUBSTITUTE(SUBSTITUTE(SUBSTITUTE(SUBSTITUTE(SUBSTITUTE(SUBSTITUTE(TRIM(K180),".",""),"/",""),"-","")," ",""),"(",""),")",""),"+",""))=10,LEN(SUBSTITUTE(SUBSTITUTE(SUBSTITUTE(SUBSTITUTE(SUBSTITUTE(SUBSTITUTE(SUBSTITUTE(TRIM(K180),".",""),"/",""),"-","")," ",""),"(",""),")",""),"+",""))=11)),"OK","ERRO: use DDD + número (10 ou 11 dígitos)"))</f>
      </c>
      <c r="T180" s="6">
        <f>IF(L180="","vazio",IF(AND(ISNUMBER(FIND("@",L180)),ISNUMBER(FIND(".",MID(L180,FIND("@",L180),99))),NOT(ISNUMBER(FIND(" ",TRIM(L180)))),NOT(ISNUMBER(FIND(";",L180))),NOT(ISNUMBER(FIND(",",L180)))),"OK","ERRO: um e-mail válido por linha"))</f>
      </c>
      <c r="U180" s="6">
        <f>IF(COUNTA(A180:O180)=0,"",IF(AND(B180&lt;&gt;"",C180&lt;&gt;"",D180&lt;&gt;"",E180&lt;&gt;"",H180&lt;&gt;"",OR(J180&lt;&gt;"",L180&lt;&gt;"")),"OK","ERRO: faltam "&amp;IF(B180="","Proprietário; ","")&amp;IF(C180="","Origem; ","")&amp;IF(D180="","CNPJ; ","")&amp;IF(E180="","Razão Social; ","")&amp;IF(H180="","Sobrenome; ","")&amp;IF(AND(J180="",L180=""),"telefone ou e-mail; ","")))</f>
      </c>
      <c r="V180" s="6">
        <f>IF(COUNTA(A180:O180)=0,"",IF(AND(Q180="OK",R180="OK",LEFT(S180,4)&lt;&gt;"ERRO",LEFT(T180,4)&lt;&gt;"ERRO",U180="OK"),"OK","REVISAR"))</f>
      </c>
    </row>
    <row r="181">
      <c r="A181" s="4"/>
      <c r="B181" s="5"/>
      <c r="C181" s="5"/>
      <c r="D181" s="5"/>
      <c r="E181" s="5"/>
      <c r="F181" s="4"/>
      <c r="G181" s="4"/>
      <c r="H181" s="5"/>
      <c r="I181" s="4"/>
      <c r="J181" s="4"/>
      <c r="K181" s="4"/>
      <c r="L181" s="4"/>
      <c r="M181" s="4"/>
      <c r="N181" s="4"/>
      <c r="O181" s="4"/>
      <c r="P181" s="6">
        <f>IF(D181="","",SUBSTITUTE(SUBSTITUTE(SUBSTITUTE(SUBSTITUTE(SUBSTITUTE(SUBSTITUTE(SUBSTITUTE(TRIM(D181),".",""),"/",""),"-","")," ",""),"(",""),")",""),"+",""))</f>
      </c>
      <c r="Q181" s="6">
        <f>IF(P181="","",IF(LEN(P181)&lt;&gt;14,"ERRO: "&amp;LEN(P181)&amp;" dígitos",IF(NOT(ISNUMBER(VALUE(P181))),"ERRO: não numérico",IF(LEN(SUBSTITUTE(P181,LEFT(P181,1),""))=0,"ERRO: dígitos repetidos",IF(AND(VALUE(MID(P181,13,1))=IF(MOD(SUMPRODUCT(--MID(P181,{1,2,3,4,5,6,7,8,9,10,11,12},1),{5,4,3,2,9,8,7,6,5,4,3,2}),11)&lt;2,0,11-MOD(SUMPRODUCT(--MID(P181,{1,2,3,4,5,6,7,8,9,10,11,12},1),{5,4,3,2,9,8,7,6,5,4,3,2}),11)),VALUE(MID(P181,14,1))=IF(MOD(SUMPRODUCT(--MID(P181,{1,2,3,4,5,6,7,8,9,10,11,12,13},1),{6,5,4,3,2,9,8,7,6,5,4,3,2}),11)&lt;2,0,11-MOD(SUMPRODUCT(--MID(P181,{1,2,3,4,5,6,7,8,9,10,11,12,13},1),{6,5,4,3,2,9,8,7,6,5,4,3,2}),11))),"OK","ERRO: dígito verificador")))))</f>
      </c>
      <c r="R181" s="6">
        <f>IF(P181="","",IF(COUNTIF($P$2:$P$1001,P181)&gt;1,"DUPLICADO","OK"))</f>
      </c>
      <c r="S181" s="6">
        <f>IF(AND(J181="",K181=""),"vazio",IF(AND(OR(J181="",LEN(SUBSTITUTE(SUBSTITUTE(SUBSTITUTE(SUBSTITUTE(SUBSTITUTE(SUBSTITUTE(SUBSTITUTE(TRIM(J181),".",""),"/",""),"-","")," ",""),"(",""),")",""),"+",""))=10,LEN(SUBSTITUTE(SUBSTITUTE(SUBSTITUTE(SUBSTITUTE(SUBSTITUTE(SUBSTITUTE(SUBSTITUTE(TRIM(J181),".",""),"/",""),"-","")," ",""),"(",""),")",""),"+",""))=11),OR(K181="",LEN(SUBSTITUTE(SUBSTITUTE(SUBSTITUTE(SUBSTITUTE(SUBSTITUTE(SUBSTITUTE(SUBSTITUTE(TRIM(K181),".",""),"/",""),"-","")," ",""),"(",""),")",""),"+",""))=10,LEN(SUBSTITUTE(SUBSTITUTE(SUBSTITUTE(SUBSTITUTE(SUBSTITUTE(SUBSTITUTE(SUBSTITUTE(TRIM(K181),".",""),"/",""),"-","")," ",""),"(",""),")",""),"+",""))=11)),"OK","ERRO: use DDD + número (10 ou 11 dígitos)"))</f>
      </c>
      <c r="T181" s="6">
        <f>IF(L181="","vazio",IF(AND(ISNUMBER(FIND("@",L181)),ISNUMBER(FIND(".",MID(L181,FIND("@",L181),99))),NOT(ISNUMBER(FIND(" ",TRIM(L181)))),NOT(ISNUMBER(FIND(";",L181))),NOT(ISNUMBER(FIND(",",L181)))),"OK","ERRO: um e-mail válido por linha"))</f>
      </c>
      <c r="U181" s="6">
        <f>IF(COUNTA(A181:O181)=0,"",IF(AND(B181&lt;&gt;"",C181&lt;&gt;"",D181&lt;&gt;"",E181&lt;&gt;"",H181&lt;&gt;"",OR(J181&lt;&gt;"",L181&lt;&gt;"")),"OK","ERRO: faltam "&amp;IF(B181="","Proprietário; ","")&amp;IF(C181="","Origem; ","")&amp;IF(D181="","CNPJ; ","")&amp;IF(E181="","Razão Social; ","")&amp;IF(H181="","Sobrenome; ","")&amp;IF(AND(J181="",L181=""),"telefone ou e-mail; ","")))</f>
      </c>
      <c r="V181" s="6">
        <f>IF(COUNTA(A181:O181)=0,"",IF(AND(Q181="OK",R181="OK",LEFT(S181,4)&lt;&gt;"ERRO",LEFT(T181,4)&lt;&gt;"ERRO",U181="OK"),"OK","REVISAR"))</f>
      </c>
    </row>
    <row r="182">
      <c r="A182" s="4"/>
      <c r="B182" s="5"/>
      <c r="C182" s="5"/>
      <c r="D182" s="5"/>
      <c r="E182" s="5"/>
      <c r="F182" s="4"/>
      <c r="G182" s="4"/>
      <c r="H182" s="5"/>
      <c r="I182" s="4"/>
      <c r="J182" s="4"/>
      <c r="K182" s="4"/>
      <c r="L182" s="4"/>
      <c r="M182" s="4"/>
      <c r="N182" s="4"/>
      <c r="O182" s="4"/>
      <c r="P182" s="6">
        <f>IF(D182="","",SUBSTITUTE(SUBSTITUTE(SUBSTITUTE(SUBSTITUTE(SUBSTITUTE(SUBSTITUTE(SUBSTITUTE(TRIM(D182),".",""),"/",""),"-","")," ",""),"(",""),")",""),"+",""))</f>
      </c>
      <c r="Q182" s="6">
        <f>IF(P182="","",IF(LEN(P182)&lt;&gt;14,"ERRO: "&amp;LEN(P182)&amp;" dígitos",IF(NOT(ISNUMBER(VALUE(P182))),"ERRO: não numérico",IF(LEN(SUBSTITUTE(P182,LEFT(P182,1),""))=0,"ERRO: dígitos repetidos",IF(AND(VALUE(MID(P182,13,1))=IF(MOD(SUMPRODUCT(--MID(P182,{1,2,3,4,5,6,7,8,9,10,11,12},1),{5,4,3,2,9,8,7,6,5,4,3,2}),11)&lt;2,0,11-MOD(SUMPRODUCT(--MID(P182,{1,2,3,4,5,6,7,8,9,10,11,12},1),{5,4,3,2,9,8,7,6,5,4,3,2}),11)),VALUE(MID(P182,14,1))=IF(MOD(SUMPRODUCT(--MID(P182,{1,2,3,4,5,6,7,8,9,10,11,12,13},1),{6,5,4,3,2,9,8,7,6,5,4,3,2}),11)&lt;2,0,11-MOD(SUMPRODUCT(--MID(P182,{1,2,3,4,5,6,7,8,9,10,11,12,13},1),{6,5,4,3,2,9,8,7,6,5,4,3,2}),11))),"OK","ERRO: dígito verificador")))))</f>
      </c>
      <c r="R182" s="6">
        <f>IF(P182="","",IF(COUNTIF($P$2:$P$1001,P182)&gt;1,"DUPLICADO","OK"))</f>
      </c>
      <c r="S182" s="6">
        <f>IF(AND(J182="",K182=""),"vazio",IF(AND(OR(J182="",LEN(SUBSTITUTE(SUBSTITUTE(SUBSTITUTE(SUBSTITUTE(SUBSTITUTE(SUBSTITUTE(SUBSTITUTE(TRIM(J182),".",""),"/",""),"-","")," ",""),"(",""),")",""),"+",""))=10,LEN(SUBSTITUTE(SUBSTITUTE(SUBSTITUTE(SUBSTITUTE(SUBSTITUTE(SUBSTITUTE(SUBSTITUTE(TRIM(J182),".",""),"/",""),"-","")," ",""),"(",""),")",""),"+",""))=11),OR(K182="",LEN(SUBSTITUTE(SUBSTITUTE(SUBSTITUTE(SUBSTITUTE(SUBSTITUTE(SUBSTITUTE(SUBSTITUTE(TRIM(K182),".",""),"/",""),"-","")," ",""),"(",""),")",""),"+",""))=10,LEN(SUBSTITUTE(SUBSTITUTE(SUBSTITUTE(SUBSTITUTE(SUBSTITUTE(SUBSTITUTE(SUBSTITUTE(TRIM(K182),".",""),"/",""),"-","")," ",""),"(",""),")",""),"+",""))=11)),"OK","ERRO: use DDD + número (10 ou 11 dígitos)"))</f>
      </c>
      <c r="T182" s="6">
        <f>IF(L182="","vazio",IF(AND(ISNUMBER(FIND("@",L182)),ISNUMBER(FIND(".",MID(L182,FIND("@",L182),99))),NOT(ISNUMBER(FIND(" ",TRIM(L182)))),NOT(ISNUMBER(FIND(";",L182))),NOT(ISNUMBER(FIND(",",L182)))),"OK","ERRO: um e-mail válido por linha"))</f>
      </c>
      <c r="U182" s="6">
        <f>IF(COUNTA(A182:O182)=0,"",IF(AND(B182&lt;&gt;"",C182&lt;&gt;"",D182&lt;&gt;"",E182&lt;&gt;"",H182&lt;&gt;"",OR(J182&lt;&gt;"",L182&lt;&gt;"")),"OK","ERRO: faltam "&amp;IF(B182="","Proprietário; ","")&amp;IF(C182="","Origem; ","")&amp;IF(D182="","CNPJ; ","")&amp;IF(E182="","Razão Social; ","")&amp;IF(H182="","Sobrenome; ","")&amp;IF(AND(J182="",L182=""),"telefone ou e-mail; ","")))</f>
      </c>
      <c r="V182" s="6">
        <f>IF(COUNTA(A182:O182)=0,"",IF(AND(Q182="OK",R182="OK",LEFT(S182,4)&lt;&gt;"ERRO",LEFT(T182,4)&lt;&gt;"ERRO",U182="OK"),"OK","REVISAR"))</f>
      </c>
    </row>
    <row r="183">
      <c r="A183" s="4"/>
      <c r="B183" s="5"/>
      <c r="C183" s="5"/>
      <c r="D183" s="5"/>
      <c r="E183" s="5"/>
      <c r="F183" s="4"/>
      <c r="G183" s="4"/>
      <c r="H183" s="5"/>
      <c r="I183" s="4"/>
      <c r="J183" s="4"/>
      <c r="K183" s="4"/>
      <c r="L183" s="4"/>
      <c r="M183" s="4"/>
      <c r="N183" s="4"/>
      <c r="O183" s="4"/>
      <c r="P183" s="6">
        <f>IF(D183="","",SUBSTITUTE(SUBSTITUTE(SUBSTITUTE(SUBSTITUTE(SUBSTITUTE(SUBSTITUTE(SUBSTITUTE(TRIM(D183),".",""),"/",""),"-","")," ",""),"(",""),")",""),"+",""))</f>
      </c>
      <c r="Q183" s="6">
        <f>IF(P183="","",IF(LEN(P183)&lt;&gt;14,"ERRO: "&amp;LEN(P183)&amp;" dígitos",IF(NOT(ISNUMBER(VALUE(P183))),"ERRO: não numérico",IF(LEN(SUBSTITUTE(P183,LEFT(P183,1),""))=0,"ERRO: dígitos repetidos",IF(AND(VALUE(MID(P183,13,1))=IF(MOD(SUMPRODUCT(--MID(P183,{1,2,3,4,5,6,7,8,9,10,11,12},1),{5,4,3,2,9,8,7,6,5,4,3,2}),11)&lt;2,0,11-MOD(SUMPRODUCT(--MID(P183,{1,2,3,4,5,6,7,8,9,10,11,12},1),{5,4,3,2,9,8,7,6,5,4,3,2}),11)),VALUE(MID(P183,14,1))=IF(MOD(SUMPRODUCT(--MID(P183,{1,2,3,4,5,6,7,8,9,10,11,12,13},1),{6,5,4,3,2,9,8,7,6,5,4,3,2}),11)&lt;2,0,11-MOD(SUMPRODUCT(--MID(P183,{1,2,3,4,5,6,7,8,9,10,11,12,13},1),{6,5,4,3,2,9,8,7,6,5,4,3,2}),11))),"OK","ERRO: dígito verificador")))))</f>
      </c>
      <c r="R183" s="6">
        <f>IF(P183="","",IF(COUNTIF($P$2:$P$1001,P183)&gt;1,"DUPLICADO","OK"))</f>
      </c>
      <c r="S183" s="6">
        <f>IF(AND(J183="",K183=""),"vazio",IF(AND(OR(J183="",LEN(SUBSTITUTE(SUBSTITUTE(SUBSTITUTE(SUBSTITUTE(SUBSTITUTE(SUBSTITUTE(SUBSTITUTE(TRIM(J183),".",""),"/",""),"-","")," ",""),"(",""),")",""),"+",""))=10,LEN(SUBSTITUTE(SUBSTITUTE(SUBSTITUTE(SUBSTITUTE(SUBSTITUTE(SUBSTITUTE(SUBSTITUTE(TRIM(J183),".",""),"/",""),"-","")," ",""),"(",""),")",""),"+",""))=11),OR(K183="",LEN(SUBSTITUTE(SUBSTITUTE(SUBSTITUTE(SUBSTITUTE(SUBSTITUTE(SUBSTITUTE(SUBSTITUTE(TRIM(K183),".",""),"/",""),"-","")," ",""),"(",""),")",""),"+",""))=10,LEN(SUBSTITUTE(SUBSTITUTE(SUBSTITUTE(SUBSTITUTE(SUBSTITUTE(SUBSTITUTE(SUBSTITUTE(TRIM(K183),".",""),"/",""),"-","")," ",""),"(",""),")",""),"+",""))=11)),"OK","ERRO: use DDD + número (10 ou 11 dígitos)"))</f>
      </c>
      <c r="T183" s="6">
        <f>IF(L183="","vazio",IF(AND(ISNUMBER(FIND("@",L183)),ISNUMBER(FIND(".",MID(L183,FIND("@",L183),99))),NOT(ISNUMBER(FIND(" ",TRIM(L183)))),NOT(ISNUMBER(FIND(";",L183))),NOT(ISNUMBER(FIND(",",L183)))),"OK","ERRO: um e-mail válido por linha"))</f>
      </c>
      <c r="U183" s="6">
        <f>IF(COUNTA(A183:O183)=0,"",IF(AND(B183&lt;&gt;"",C183&lt;&gt;"",D183&lt;&gt;"",E183&lt;&gt;"",H183&lt;&gt;"",OR(J183&lt;&gt;"",L183&lt;&gt;"")),"OK","ERRO: faltam "&amp;IF(B183="","Proprietário; ","")&amp;IF(C183="","Origem; ","")&amp;IF(D183="","CNPJ; ","")&amp;IF(E183="","Razão Social; ","")&amp;IF(H183="","Sobrenome; ","")&amp;IF(AND(J183="",L183=""),"telefone ou e-mail; ","")))</f>
      </c>
      <c r="V183" s="6">
        <f>IF(COUNTA(A183:O183)=0,"",IF(AND(Q183="OK",R183="OK",LEFT(S183,4)&lt;&gt;"ERRO",LEFT(T183,4)&lt;&gt;"ERRO",U183="OK"),"OK","REVISAR"))</f>
      </c>
    </row>
    <row r="184">
      <c r="A184" s="4"/>
      <c r="B184" s="5"/>
      <c r="C184" s="5"/>
      <c r="D184" s="5"/>
      <c r="E184" s="5"/>
      <c r="F184" s="4"/>
      <c r="G184" s="4"/>
      <c r="H184" s="5"/>
      <c r="I184" s="4"/>
      <c r="J184" s="4"/>
      <c r="K184" s="4"/>
      <c r="L184" s="4"/>
      <c r="M184" s="4"/>
      <c r="N184" s="4"/>
      <c r="O184" s="4"/>
      <c r="P184" s="6">
        <f>IF(D184="","",SUBSTITUTE(SUBSTITUTE(SUBSTITUTE(SUBSTITUTE(SUBSTITUTE(SUBSTITUTE(SUBSTITUTE(TRIM(D184),".",""),"/",""),"-","")," ",""),"(",""),")",""),"+",""))</f>
      </c>
      <c r="Q184" s="6">
        <f>IF(P184="","",IF(LEN(P184)&lt;&gt;14,"ERRO: "&amp;LEN(P184)&amp;" dígitos",IF(NOT(ISNUMBER(VALUE(P184))),"ERRO: não numérico",IF(LEN(SUBSTITUTE(P184,LEFT(P184,1),""))=0,"ERRO: dígitos repetidos",IF(AND(VALUE(MID(P184,13,1))=IF(MOD(SUMPRODUCT(--MID(P184,{1,2,3,4,5,6,7,8,9,10,11,12},1),{5,4,3,2,9,8,7,6,5,4,3,2}),11)&lt;2,0,11-MOD(SUMPRODUCT(--MID(P184,{1,2,3,4,5,6,7,8,9,10,11,12},1),{5,4,3,2,9,8,7,6,5,4,3,2}),11)),VALUE(MID(P184,14,1))=IF(MOD(SUMPRODUCT(--MID(P184,{1,2,3,4,5,6,7,8,9,10,11,12,13},1),{6,5,4,3,2,9,8,7,6,5,4,3,2}),11)&lt;2,0,11-MOD(SUMPRODUCT(--MID(P184,{1,2,3,4,5,6,7,8,9,10,11,12,13},1),{6,5,4,3,2,9,8,7,6,5,4,3,2}),11))),"OK","ERRO: dígito verificador")))))</f>
      </c>
      <c r="R184" s="6">
        <f>IF(P184="","",IF(COUNTIF($P$2:$P$1001,P184)&gt;1,"DUPLICADO","OK"))</f>
      </c>
      <c r="S184" s="6">
        <f>IF(AND(J184="",K184=""),"vazio",IF(AND(OR(J184="",LEN(SUBSTITUTE(SUBSTITUTE(SUBSTITUTE(SUBSTITUTE(SUBSTITUTE(SUBSTITUTE(SUBSTITUTE(TRIM(J184),".",""),"/",""),"-","")," ",""),"(",""),")",""),"+",""))=10,LEN(SUBSTITUTE(SUBSTITUTE(SUBSTITUTE(SUBSTITUTE(SUBSTITUTE(SUBSTITUTE(SUBSTITUTE(TRIM(J184),".",""),"/",""),"-","")," ",""),"(",""),")",""),"+",""))=11),OR(K184="",LEN(SUBSTITUTE(SUBSTITUTE(SUBSTITUTE(SUBSTITUTE(SUBSTITUTE(SUBSTITUTE(SUBSTITUTE(TRIM(K184),".",""),"/",""),"-","")," ",""),"(",""),")",""),"+",""))=10,LEN(SUBSTITUTE(SUBSTITUTE(SUBSTITUTE(SUBSTITUTE(SUBSTITUTE(SUBSTITUTE(SUBSTITUTE(TRIM(K184),".",""),"/",""),"-","")," ",""),"(",""),")",""),"+",""))=11)),"OK","ERRO: use DDD + número (10 ou 11 dígitos)"))</f>
      </c>
      <c r="T184" s="6">
        <f>IF(L184="","vazio",IF(AND(ISNUMBER(FIND("@",L184)),ISNUMBER(FIND(".",MID(L184,FIND("@",L184),99))),NOT(ISNUMBER(FIND(" ",TRIM(L184)))),NOT(ISNUMBER(FIND(";",L184))),NOT(ISNUMBER(FIND(",",L184)))),"OK","ERRO: um e-mail válido por linha"))</f>
      </c>
      <c r="U184" s="6">
        <f>IF(COUNTA(A184:O184)=0,"",IF(AND(B184&lt;&gt;"",C184&lt;&gt;"",D184&lt;&gt;"",E184&lt;&gt;"",H184&lt;&gt;"",OR(J184&lt;&gt;"",L184&lt;&gt;"")),"OK","ERRO: faltam "&amp;IF(B184="","Proprietário; ","")&amp;IF(C184="","Origem; ","")&amp;IF(D184="","CNPJ; ","")&amp;IF(E184="","Razão Social; ","")&amp;IF(H184="","Sobrenome; ","")&amp;IF(AND(J184="",L184=""),"telefone ou e-mail; ","")))</f>
      </c>
      <c r="V184" s="6">
        <f>IF(COUNTA(A184:O184)=0,"",IF(AND(Q184="OK",R184="OK",LEFT(S184,4)&lt;&gt;"ERRO",LEFT(T184,4)&lt;&gt;"ERRO",U184="OK"),"OK","REVISAR"))</f>
      </c>
    </row>
    <row r="185">
      <c r="A185" s="4"/>
      <c r="B185" s="5"/>
      <c r="C185" s="5"/>
      <c r="D185" s="5"/>
      <c r="E185" s="5"/>
      <c r="F185" s="4"/>
      <c r="G185" s="4"/>
      <c r="H185" s="5"/>
      <c r="I185" s="4"/>
      <c r="J185" s="4"/>
      <c r="K185" s="4"/>
      <c r="L185" s="4"/>
      <c r="M185" s="4"/>
      <c r="N185" s="4"/>
      <c r="O185" s="4"/>
      <c r="P185" s="6">
        <f>IF(D185="","",SUBSTITUTE(SUBSTITUTE(SUBSTITUTE(SUBSTITUTE(SUBSTITUTE(SUBSTITUTE(SUBSTITUTE(TRIM(D185),".",""),"/",""),"-","")," ",""),"(",""),")",""),"+",""))</f>
      </c>
      <c r="Q185" s="6">
        <f>IF(P185="","",IF(LEN(P185)&lt;&gt;14,"ERRO: "&amp;LEN(P185)&amp;" dígitos",IF(NOT(ISNUMBER(VALUE(P185))),"ERRO: não numérico",IF(LEN(SUBSTITUTE(P185,LEFT(P185,1),""))=0,"ERRO: dígitos repetidos",IF(AND(VALUE(MID(P185,13,1))=IF(MOD(SUMPRODUCT(--MID(P185,{1,2,3,4,5,6,7,8,9,10,11,12},1),{5,4,3,2,9,8,7,6,5,4,3,2}),11)&lt;2,0,11-MOD(SUMPRODUCT(--MID(P185,{1,2,3,4,5,6,7,8,9,10,11,12},1),{5,4,3,2,9,8,7,6,5,4,3,2}),11)),VALUE(MID(P185,14,1))=IF(MOD(SUMPRODUCT(--MID(P185,{1,2,3,4,5,6,7,8,9,10,11,12,13},1),{6,5,4,3,2,9,8,7,6,5,4,3,2}),11)&lt;2,0,11-MOD(SUMPRODUCT(--MID(P185,{1,2,3,4,5,6,7,8,9,10,11,12,13},1),{6,5,4,3,2,9,8,7,6,5,4,3,2}),11))),"OK","ERRO: dígito verificador")))))</f>
      </c>
      <c r="R185" s="6">
        <f>IF(P185="","",IF(COUNTIF($P$2:$P$1001,P185)&gt;1,"DUPLICADO","OK"))</f>
      </c>
      <c r="S185" s="6">
        <f>IF(AND(J185="",K185=""),"vazio",IF(AND(OR(J185="",LEN(SUBSTITUTE(SUBSTITUTE(SUBSTITUTE(SUBSTITUTE(SUBSTITUTE(SUBSTITUTE(SUBSTITUTE(TRIM(J185),".",""),"/",""),"-","")," ",""),"(",""),")",""),"+",""))=10,LEN(SUBSTITUTE(SUBSTITUTE(SUBSTITUTE(SUBSTITUTE(SUBSTITUTE(SUBSTITUTE(SUBSTITUTE(TRIM(J185),".",""),"/",""),"-","")," ",""),"(",""),")",""),"+",""))=11),OR(K185="",LEN(SUBSTITUTE(SUBSTITUTE(SUBSTITUTE(SUBSTITUTE(SUBSTITUTE(SUBSTITUTE(SUBSTITUTE(TRIM(K185),".",""),"/",""),"-","")," ",""),"(",""),")",""),"+",""))=10,LEN(SUBSTITUTE(SUBSTITUTE(SUBSTITUTE(SUBSTITUTE(SUBSTITUTE(SUBSTITUTE(SUBSTITUTE(TRIM(K185),".",""),"/",""),"-","")," ",""),"(",""),")",""),"+",""))=11)),"OK","ERRO: use DDD + número (10 ou 11 dígitos)"))</f>
      </c>
      <c r="T185" s="6">
        <f>IF(L185="","vazio",IF(AND(ISNUMBER(FIND("@",L185)),ISNUMBER(FIND(".",MID(L185,FIND("@",L185),99))),NOT(ISNUMBER(FIND(" ",TRIM(L185)))),NOT(ISNUMBER(FIND(";",L185))),NOT(ISNUMBER(FIND(",",L185)))),"OK","ERRO: um e-mail válido por linha"))</f>
      </c>
      <c r="U185" s="6">
        <f>IF(COUNTA(A185:O185)=0,"",IF(AND(B185&lt;&gt;"",C185&lt;&gt;"",D185&lt;&gt;"",E185&lt;&gt;"",H185&lt;&gt;"",OR(J185&lt;&gt;"",L185&lt;&gt;"")),"OK","ERRO: faltam "&amp;IF(B185="","Proprietário; ","")&amp;IF(C185="","Origem; ","")&amp;IF(D185="","CNPJ; ","")&amp;IF(E185="","Razão Social; ","")&amp;IF(H185="","Sobrenome; ","")&amp;IF(AND(J185="",L185=""),"telefone ou e-mail; ","")))</f>
      </c>
      <c r="V185" s="6">
        <f>IF(COUNTA(A185:O185)=0,"",IF(AND(Q185="OK",R185="OK",LEFT(S185,4)&lt;&gt;"ERRO",LEFT(T185,4)&lt;&gt;"ERRO",U185="OK"),"OK","REVISAR"))</f>
      </c>
    </row>
    <row r="186">
      <c r="A186" s="4"/>
      <c r="B186" s="5"/>
      <c r="C186" s="5"/>
      <c r="D186" s="5"/>
      <c r="E186" s="5"/>
      <c r="F186" s="4"/>
      <c r="G186" s="4"/>
      <c r="H186" s="5"/>
      <c r="I186" s="4"/>
      <c r="J186" s="4"/>
      <c r="K186" s="4"/>
      <c r="L186" s="4"/>
      <c r="M186" s="4"/>
      <c r="N186" s="4"/>
      <c r="O186" s="4"/>
      <c r="P186" s="6">
        <f>IF(D186="","",SUBSTITUTE(SUBSTITUTE(SUBSTITUTE(SUBSTITUTE(SUBSTITUTE(SUBSTITUTE(SUBSTITUTE(TRIM(D186),".",""),"/",""),"-","")," ",""),"(",""),")",""),"+",""))</f>
      </c>
      <c r="Q186" s="6">
        <f>IF(P186="","",IF(LEN(P186)&lt;&gt;14,"ERRO: "&amp;LEN(P186)&amp;" dígitos",IF(NOT(ISNUMBER(VALUE(P186))),"ERRO: não numérico",IF(LEN(SUBSTITUTE(P186,LEFT(P186,1),""))=0,"ERRO: dígitos repetidos",IF(AND(VALUE(MID(P186,13,1))=IF(MOD(SUMPRODUCT(--MID(P186,{1,2,3,4,5,6,7,8,9,10,11,12},1),{5,4,3,2,9,8,7,6,5,4,3,2}),11)&lt;2,0,11-MOD(SUMPRODUCT(--MID(P186,{1,2,3,4,5,6,7,8,9,10,11,12},1),{5,4,3,2,9,8,7,6,5,4,3,2}),11)),VALUE(MID(P186,14,1))=IF(MOD(SUMPRODUCT(--MID(P186,{1,2,3,4,5,6,7,8,9,10,11,12,13},1),{6,5,4,3,2,9,8,7,6,5,4,3,2}),11)&lt;2,0,11-MOD(SUMPRODUCT(--MID(P186,{1,2,3,4,5,6,7,8,9,10,11,12,13},1),{6,5,4,3,2,9,8,7,6,5,4,3,2}),11))),"OK","ERRO: dígito verificador")))))</f>
      </c>
      <c r="R186" s="6">
        <f>IF(P186="","",IF(COUNTIF($P$2:$P$1001,P186)&gt;1,"DUPLICADO","OK"))</f>
      </c>
      <c r="S186" s="6">
        <f>IF(AND(J186="",K186=""),"vazio",IF(AND(OR(J186="",LEN(SUBSTITUTE(SUBSTITUTE(SUBSTITUTE(SUBSTITUTE(SUBSTITUTE(SUBSTITUTE(SUBSTITUTE(TRIM(J186),".",""),"/",""),"-","")," ",""),"(",""),")",""),"+",""))=10,LEN(SUBSTITUTE(SUBSTITUTE(SUBSTITUTE(SUBSTITUTE(SUBSTITUTE(SUBSTITUTE(SUBSTITUTE(TRIM(J186),".",""),"/",""),"-","")," ",""),"(",""),")",""),"+",""))=11),OR(K186="",LEN(SUBSTITUTE(SUBSTITUTE(SUBSTITUTE(SUBSTITUTE(SUBSTITUTE(SUBSTITUTE(SUBSTITUTE(TRIM(K186),".",""),"/",""),"-","")," ",""),"(",""),")",""),"+",""))=10,LEN(SUBSTITUTE(SUBSTITUTE(SUBSTITUTE(SUBSTITUTE(SUBSTITUTE(SUBSTITUTE(SUBSTITUTE(TRIM(K186),".",""),"/",""),"-","")," ",""),"(",""),")",""),"+",""))=11)),"OK","ERRO: use DDD + número (10 ou 11 dígitos)"))</f>
      </c>
      <c r="T186" s="6">
        <f>IF(L186="","vazio",IF(AND(ISNUMBER(FIND("@",L186)),ISNUMBER(FIND(".",MID(L186,FIND("@",L186),99))),NOT(ISNUMBER(FIND(" ",TRIM(L186)))),NOT(ISNUMBER(FIND(";",L186))),NOT(ISNUMBER(FIND(",",L186)))),"OK","ERRO: um e-mail válido por linha"))</f>
      </c>
      <c r="U186" s="6">
        <f>IF(COUNTA(A186:O186)=0,"",IF(AND(B186&lt;&gt;"",C186&lt;&gt;"",D186&lt;&gt;"",E186&lt;&gt;"",H186&lt;&gt;"",OR(J186&lt;&gt;"",L186&lt;&gt;"")),"OK","ERRO: faltam "&amp;IF(B186="","Proprietário; ","")&amp;IF(C186="","Origem; ","")&amp;IF(D186="","CNPJ; ","")&amp;IF(E186="","Razão Social; ","")&amp;IF(H186="","Sobrenome; ","")&amp;IF(AND(J186="",L186=""),"telefone ou e-mail; ","")))</f>
      </c>
      <c r="V186" s="6">
        <f>IF(COUNTA(A186:O186)=0,"",IF(AND(Q186="OK",R186="OK",LEFT(S186,4)&lt;&gt;"ERRO",LEFT(T186,4)&lt;&gt;"ERRO",U186="OK"),"OK","REVISAR"))</f>
      </c>
    </row>
    <row r="187">
      <c r="A187" s="4"/>
      <c r="B187" s="5"/>
      <c r="C187" s="5"/>
      <c r="D187" s="5"/>
      <c r="E187" s="5"/>
      <c r="F187" s="4"/>
      <c r="G187" s="4"/>
      <c r="H187" s="5"/>
      <c r="I187" s="4"/>
      <c r="J187" s="4"/>
      <c r="K187" s="4"/>
      <c r="L187" s="4"/>
      <c r="M187" s="4"/>
      <c r="N187" s="4"/>
      <c r="O187" s="4"/>
      <c r="P187" s="6">
        <f>IF(D187="","",SUBSTITUTE(SUBSTITUTE(SUBSTITUTE(SUBSTITUTE(SUBSTITUTE(SUBSTITUTE(SUBSTITUTE(TRIM(D187),".",""),"/",""),"-","")," ",""),"(",""),")",""),"+",""))</f>
      </c>
      <c r="Q187" s="6">
        <f>IF(P187="","",IF(LEN(P187)&lt;&gt;14,"ERRO: "&amp;LEN(P187)&amp;" dígitos",IF(NOT(ISNUMBER(VALUE(P187))),"ERRO: não numérico",IF(LEN(SUBSTITUTE(P187,LEFT(P187,1),""))=0,"ERRO: dígitos repetidos",IF(AND(VALUE(MID(P187,13,1))=IF(MOD(SUMPRODUCT(--MID(P187,{1,2,3,4,5,6,7,8,9,10,11,12},1),{5,4,3,2,9,8,7,6,5,4,3,2}),11)&lt;2,0,11-MOD(SUMPRODUCT(--MID(P187,{1,2,3,4,5,6,7,8,9,10,11,12},1),{5,4,3,2,9,8,7,6,5,4,3,2}),11)),VALUE(MID(P187,14,1))=IF(MOD(SUMPRODUCT(--MID(P187,{1,2,3,4,5,6,7,8,9,10,11,12,13},1),{6,5,4,3,2,9,8,7,6,5,4,3,2}),11)&lt;2,0,11-MOD(SUMPRODUCT(--MID(P187,{1,2,3,4,5,6,7,8,9,10,11,12,13},1),{6,5,4,3,2,9,8,7,6,5,4,3,2}),11))),"OK","ERRO: dígito verificador")))))</f>
      </c>
      <c r="R187" s="6">
        <f>IF(P187="","",IF(COUNTIF($P$2:$P$1001,P187)&gt;1,"DUPLICADO","OK"))</f>
      </c>
      <c r="S187" s="6">
        <f>IF(AND(J187="",K187=""),"vazio",IF(AND(OR(J187="",LEN(SUBSTITUTE(SUBSTITUTE(SUBSTITUTE(SUBSTITUTE(SUBSTITUTE(SUBSTITUTE(SUBSTITUTE(TRIM(J187),".",""),"/",""),"-","")," ",""),"(",""),")",""),"+",""))=10,LEN(SUBSTITUTE(SUBSTITUTE(SUBSTITUTE(SUBSTITUTE(SUBSTITUTE(SUBSTITUTE(SUBSTITUTE(TRIM(J187),".",""),"/",""),"-","")," ",""),"(",""),")",""),"+",""))=11),OR(K187="",LEN(SUBSTITUTE(SUBSTITUTE(SUBSTITUTE(SUBSTITUTE(SUBSTITUTE(SUBSTITUTE(SUBSTITUTE(TRIM(K187),".",""),"/",""),"-","")," ",""),"(",""),")",""),"+",""))=10,LEN(SUBSTITUTE(SUBSTITUTE(SUBSTITUTE(SUBSTITUTE(SUBSTITUTE(SUBSTITUTE(SUBSTITUTE(TRIM(K187),".",""),"/",""),"-","")," ",""),"(",""),")",""),"+",""))=11)),"OK","ERRO: use DDD + número (10 ou 11 dígitos)"))</f>
      </c>
      <c r="T187" s="6">
        <f>IF(L187="","vazio",IF(AND(ISNUMBER(FIND("@",L187)),ISNUMBER(FIND(".",MID(L187,FIND("@",L187),99))),NOT(ISNUMBER(FIND(" ",TRIM(L187)))),NOT(ISNUMBER(FIND(";",L187))),NOT(ISNUMBER(FIND(",",L187)))),"OK","ERRO: um e-mail válido por linha"))</f>
      </c>
      <c r="U187" s="6">
        <f>IF(COUNTA(A187:O187)=0,"",IF(AND(B187&lt;&gt;"",C187&lt;&gt;"",D187&lt;&gt;"",E187&lt;&gt;"",H187&lt;&gt;"",OR(J187&lt;&gt;"",L187&lt;&gt;"")),"OK","ERRO: faltam "&amp;IF(B187="","Proprietário; ","")&amp;IF(C187="","Origem; ","")&amp;IF(D187="","CNPJ; ","")&amp;IF(E187="","Razão Social; ","")&amp;IF(H187="","Sobrenome; ","")&amp;IF(AND(J187="",L187=""),"telefone ou e-mail; ","")))</f>
      </c>
      <c r="V187" s="6">
        <f>IF(COUNTA(A187:O187)=0,"",IF(AND(Q187="OK",R187="OK",LEFT(S187,4)&lt;&gt;"ERRO",LEFT(T187,4)&lt;&gt;"ERRO",U187="OK"),"OK","REVISAR"))</f>
      </c>
    </row>
    <row r="188">
      <c r="A188" s="4"/>
      <c r="B188" s="5"/>
      <c r="C188" s="5"/>
      <c r="D188" s="5"/>
      <c r="E188" s="5"/>
      <c r="F188" s="4"/>
      <c r="G188" s="4"/>
      <c r="H188" s="5"/>
      <c r="I188" s="4"/>
      <c r="J188" s="4"/>
      <c r="K188" s="4"/>
      <c r="L188" s="4"/>
      <c r="M188" s="4"/>
      <c r="N188" s="4"/>
      <c r="O188" s="4"/>
      <c r="P188" s="6">
        <f>IF(D188="","",SUBSTITUTE(SUBSTITUTE(SUBSTITUTE(SUBSTITUTE(SUBSTITUTE(SUBSTITUTE(SUBSTITUTE(TRIM(D188),".",""),"/",""),"-","")," ",""),"(",""),")",""),"+",""))</f>
      </c>
      <c r="Q188" s="6">
        <f>IF(P188="","",IF(LEN(P188)&lt;&gt;14,"ERRO: "&amp;LEN(P188)&amp;" dígitos",IF(NOT(ISNUMBER(VALUE(P188))),"ERRO: não numérico",IF(LEN(SUBSTITUTE(P188,LEFT(P188,1),""))=0,"ERRO: dígitos repetidos",IF(AND(VALUE(MID(P188,13,1))=IF(MOD(SUMPRODUCT(--MID(P188,{1,2,3,4,5,6,7,8,9,10,11,12},1),{5,4,3,2,9,8,7,6,5,4,3,2}),11)&lt;2,0,11-MOD(SUMPRODUCT(--MID(P188,{1,2,3,4,5,6,7,8,9,10,11,12},1),{5,4,3,2,9,8,7,6,5,4,3,2}),11)),VALUE(MID(P188,14,1))=IF(MOD(SUMPRODUCT(--MID(P188,{1,2,3,4,5,6,7,8,9,10,11,12,13},1),{6,5,4,3,2,9,8,7,6,5,4,3,2}),11)&lt;2,0,11-MOD(SUMPRODUCT(--MID(P188,{1,2,3,4,5,6,7,8,9,10,11,12,13},1),{6,5,4,3,2,9,8,7,6,5,4,3,2}),11))),"OK","ERRO: dígito verificador")))))</f>
      </c>
      <c r="R188" s="6">
        <f>IF(P188="","",IF(COUNTIF($P$2:$P$1001,P188)&gt;1,"DUPLICADO","OK"))</f>
      </c>
      <c r="S188" s="6">
        <f>IF(AND(J188="",K188=""),"vazio",IF(AND(OR(J188="",LEN(SUBSTITUTE(SUBSTITUTE(SUBSTITUTE(SUBSTITUTE(SUBSTITUTE(SUBSTITUTE(SUBSTITUTE(TRIM(J188),".",""),"/",""),"-","")," ",""),"(",""),")",""),"+",""))=10,LEN(SUBSTITUTE(SUBSTITUTE(SUBSTITUTE(SUBSTITUTE(SUBSTITUTE(SUBSTITUTE(SUBSTITUTE(TRIM(J188),".",""),"/",""),"-","")," ",""),"(",""),")",""),"+",""))=11),OR(K188="",LEN(SUBSTITUTE(SUBSTITUTE(SUBSTITUTE(SUBSTITUTE(SUBSTITUTE(SUBSTITUTE(SUBSTITUTE(TRIM(K188),".",""),"/",""),"-","")," ",""),"(",""),")",""),"+",""))=10,LEN(SUBSTITUTE(SUBSTITUTE(SUBSTITUTE(SUBSTITUTE(SUBSTITUTE(SUBSTITUTE(SUBSTITUTE(TRIM(K188),".",""),"/",""),"-","")," ",""),"(",""),")",""),"+",""))=11)),"OK","ERRO: use DDD + número (10 ou 11 dígitos)"))</f>
      </c>
      <c r="T188" s="6">
        <f>IF(L188="","vazio",IF(AND(ISNUMBER(FIND("@",L188)),ISNUMBER(FIND(".",MID(L188,FIND("@",L188),99))),NOT(ISNUMBER(FIND(" ",TRIM(L188)))),NOT(ISNUMBER(FIND(";",L188))),NOT(ISNUMBER(FIND(",",L188)))),"OK","ERRO: um e-mail válido por linha"))</f>
      </c>
      <c r="U188" s="6">
        <f>IF(COUNTA(A188:O188)=0,"",IF(AND(B188&lt;&gt;"",C188&lt;&gt;"",D188&lt;&gt;"",E188&lt;&gt;"",H188&lt;&gt;"",OR(J188&lt;&gt;"",L188&lt;&gt;"")),"OK","ERRO: faltam "&amp;IF(B188="","Proprietário; ","")&amp;IF(C188="","Origem; ","")&amp;IF(D188="","CNPJ; ","")&amp;IF(E188="","Razão Social; ","")&amp;IF(H188="","Sobrenome; ","")&amp;IF(AND(J188="",L188=""),"telefone ou e-mail; ","")))</f>
      </c>
      <c r="V188" s="6">
        <f>IF(COUNTA(A188:O188)=0,"",IF(AND(Q188="OK",R188="OK",LEFT(S188,4)&lt;&gt;"ERRO",LEFT(T188,4)&lt;&gt;"ERRO",U188="OK"),"OK","REVISAR"))</f>
      </c>
    </row>
    <row r="189">
      <c r="A189" s="4"/>
      <c r="B189" s="5"/>
      <c r="C189" s="5"/>
      <c r="D189" s="5"/>
      <c r="E189" s="5"/>
      <c r="F189" s="4"/>
      <c r="G189" s="4"/>
      <c r="H189" s="5"/>
      <c r="I189" s="4"/>
      <c r="J189" s="4"/>
      <c r="K189" s="4"/>
      <c r="L189" s="4"/>
      <c r="M189" s="4"/>
      <c r="N189" s="4"/>
      <c r="O189" s="4"/>
      <c r="P189" s="6">
        <f>IF(D189="","",SUBSTITUTE(SUBSTITUTE(SUBSTITUTE(SUBSTITUTE(SUBSTITUTE(SUBSTITUTE(SUBSTITUTE(TRIM(D189),".",""),"/",""),"-","")," ",""),"(",""),")",""),"+",""))</f>
      </c>
      <c r="Q189" s="6">
        <f>IF(P189="","",IF(LEN(P189)&lt;&gt;14,"ERRO: "&amp;LEN(P189)&amp;" dígitos",IF(NOT(ISNUMBER(VALUE(P189))),"ERRO: não numérico",IF(LEN(SUBSTITUTE(P189,LEFT(P189,1),""))=0,"ERRO: dígitos repetidos",IF(AND(VALUE(MID(P189,13,1))=IF(MOD(SUMPRODUCT(--MID(P189,{1,2,3,4,5,6,7,8,9,10,11,12},1),{5,4,3,2,9,8,7,6,5,4,3,2}),11)&lt;2,0,11-MOD(SUMPRODUCT(--MID(P189,{1,2,3,4,5,6,7,8,9,10,11,12},1),{5,4,3,2,9,8,7,6,5,4,3,2}),11)),VALUE(MID(P189,14,1))=IF(MOD(SUMPRODUCT(--MID(P189,{1,2,3,4,5,6,7,8,9,10,11,12,13},1),{6,5,4,3,2,9,8,7,6,5,4,3,2}),11)&lt;2,0,11-MOD(SUMPRODUCT(--MID(P189,{1,2,3,4,5,6,7,8,9,10,11,12,13},1),{6,5,4,3,2,9,8,7,6,5,4,3,2}),11))),"OK","ERRO: dígito verificador")))))</f>
      </c>
      <c r="R189" s="6">
        <f>IF(P189="","",IF(COUNTIF($P$2:$P$1001,P189)&gt;1,"DUPLICADO","OK"))</f>
      </c>
      <c r="S189" s="6">
        <f>IF(AND(J189="",K189=""),"vazio",IF(AND(OR(J189="",LEN(SUBSTITUTE(SUBSTITUTE(SUBSTITUTE(SUBSTITUTE(SUBSTITUTE(SUBSTITUTE(SUBSTITUTE(TRIM(J189),".",""),"/",""),"-","")," ",""),"(",""),")",""),"+",""))=10,LEN(SUBSTITUTE(SUBSTITUTE(SUBSTITUTE(SUBSTITUTE(SUBSTITUTE(SUBSTITUTE(SUBSTITUTE(TRIM(J189),".",""),"/",""),"-","")," ",""),"(",""),")",""),"+",""))=11),OR(K189="",LEN(SUBSTITUTE(SUBSTITUTE(SUBSTITUTE(SUBSTITUTE(SUBSTITUTE(SUBSTITUTE(SUBSTITUTE(TRIM(K189),".",""),"/",""),"-","")," ",""),"(",""),")",""),"+",""))=10,LEN(SUBSTITUTE(SUBSTITUTE(SUBSTITUTE(SUBSTITUTE(SUBSTITUTE(SUBSTITUTE(SUBSTITUTE(TRIM(K189),".",""),"/",""),"-","")," ",""),"(",""),")",""),"+",""))=11)),"OK","ERRO: use DDD + número (10 ou 11 dígitos)"))</f>
      </c>
      <c r="T189" s="6">
        <f>IF(L189="","vazio",IF(AND(ISNUMBER(FIND("@",L189)),ISNUMBER(FIND(".",MID(L189,FIND("@",L189),99))),NOT(ISNUMBER(FIND(" ",TRIM(L189)))),NOT(ISNUMBER(FIND(";",L189))),NOT(ISNUMBER(FIND(",",L189)))),"OK","ERRO: um e-mail válido por linha"))</f>
      </c>
      <c r="U189" s="6">
        <f>IF(COUNTA(A189:O189)=0,"",IF(AND(B189&lt;&gt;"",C189&lt;&gt;"",D189&lt;&gt;"",E189&lt;&gt;"",H189&lt;&gt;"",OR(J189&lt;&gt;"",L189&lt;&gt;"")),"OK","ERRO: faltam "&amp;IF(B189="","Proprietário; ","")&amp;IF(C189="","Origem; ","")&amp;IF(D189="","CNPJ; ","")&amp;IF(E189="","Razão Social; ","")&amp;IF(H189="","Sobrenome; ","")&amp;IF(AND(J189="",L189=""),"telefone ou e-mail; ","")))</f>
      </c>
      <c r="V189" s="6">
        <f>IF(COUNTA(A189:O189)=0,"",IF(AND(Q189="OK",R189="OK",LEFT(S189,4)&lt;&gt;"ERRO",LEFT(T189,4)&lt;&gt;"ERRO",U189="OK"),"OK","REVISAR"))</f>
      </c>
    </row>
    <row r="190">
      <c r="A190" s="4"/>
      <c r="B190" s="5"/>
      <c r="C190" s="5"/>
      <c r="D190" s="5"/>
      <c r="E190" s="5"/>
      <c r="F190" s="4"/>
      <c r="G190" s="4"/>
      <c r="H190" s="5"/>
      <c r="I190" s="4"/>
      <c r="J190" s="4"/>
      <c r="K190" s="4"/>
      <c r="L190" s="4"/>
      <c r="M190" s="4"/>
      <c r="N190" s="4"/>
      <c r="O190" s="4"/>
      <c r="P190" s="6">
        <f>IF(D190="","",SUBSTITUTE(SUBSTITUTE(SUBSTITUTE(SUBSTITUTE(SUBSTITUTE(SUBSTITUTE(SUBSTITUTE(TRIM(D190),".",""),"/",""),"-","")," ",""),"(",""),")",""),"+",""))</f>
      </c>
      <c r="Q190" s="6">
        <f>IF(P190="","",IF(LEN(P190)&lt;&gt;14,"ERRO: "&amp;LEN(P190)&amp;" dígitos",IF(NOT(ISNUMBER(VALUE(P190))),"ERRO: não numérico",IF(LEN(SUBSTITUTE(P190,LEFT(P190,1),""))=0,"ERRO: dígitos repetidos",IF(AND(VALUE(MID(P190,13,1))=IF(MOD(SUMPRODUCT(--MID(P190,{1,2,3,4,5,6,7,8,9,10,11,12},1),{5,4,3,2,9,8,7,6,5,4,3,2}),11)&lt;2,0,11-MOD(SUMPRODUCT(--MID(P190,{1,2,3,4,5,6,7,8,9,10,11,12},1),{5,4,3,2,9,8,7,6,5,4,3,2}),11)),VALUE(MID(P190,14,1))=IF(MOD(SUMPRODUCT(--MID(P190,{1,2,3,4,5,6,7,8,9,10,11,12,13},1),{6,5,4,3,2,9,8,7,6,5,4,3,2}),11)&lt;2,0,11-MOD(SUMPRODUCT(--MID(P190,{1,2,3,4,5,6,7,8,9,10,11,12,13},1),{6,5,4,3,2,9,8,7,6,5,4,3,2}),11))),"OK","ERRO: dígito verificador")))))</f>
      </c>
      <c r="R190" s="6">
        <f>IF(P190="","",IF(COUNTIF($P$2:$P$1001,P190)&gt;1,"DUPLICADO","OK"))</f>
      </c>
      <c r="S190" s="6">
        <f>IF(AND(J190="",K190=""),"vazio",IF(AND(OR(J190="",LEN(SUBSTITUTE(SUBSTITUTE(SUBSTITUTE(SUBSTITUTE(SUBSTITUTE(SUBSTITUTE(SUBSTITUTE(TRIM(J190),".",""),"/",""),"-","")," ",""),"(",""),")",""),"+",""))=10,LEN(SUBSTITUTE(SUBSTITUTE(SUBSTITUTE(SUBSTITUTE(SUBSTITUTE(SUBSTITUTE(SUBSTITUTE(TRIM(J190),".",""),"/",""),"-","")," ",""),"(",""),")",""),"+",""))=11),OR(K190="",LEN(SUBSTITUTE(SUBSTITUTE(SUBSTITUTE(SUBSTITUTE(SUBSTITUTE(SUBSTITUTE(SUBSTITUTE(TRIM(K190),".",""),"/",""),"-","")," ",""),"(",""),")",""),"+",""))=10,LEN(SUBSTITUTE(SUBSTITUTE(SUBSTITUTE(SUBSTITUTE(SUBSTITUTE(SUBSTITUTE(SUBSTITUTE(TRIM(K190),".",""),"/",""),"-","")," ",""),"(",""),")",""),"+",""))=11)),"OK","ERRO: use DDD + número (10 ou 11 dígitos)"))</f>
      </c>
      <c r="T190" s="6">
        <f>IF(L190="","vazio",IF(AND(ISNUMBER(FIND("@",L190)),ISNUMBER(FIND(".",MID(L190,FIND("@",L190),99))),NOT(ISNUMBER(FIND(" ",TRIM(L190)))),NOT(ISNUMBER(FIND(";",L190))),NOT(ISNUMBER(FIND(",",L190)))),"OK","ERRO: um e-mail válido por linha"))</f>
      </c>
      <c r="U190" s="6">
        <f>IF(COUNTA(A190:O190)=0,"",IF(AND(B190&lt;&gt;"",C190&lt;&gt;"",D190&lt;&gt;"",E190&lt;&gt;"",H190&lt;&gt;"",OR(J190&lt;&gt;"",L190&lt;&gt;"")),"OK","ERRO: faltam "&amp;IF(B190="","Proprietário; ","")&amp;IF(C190="","Origem; ","")&amp;IF(D190="","CNPJ; ","")&amp;IF(E190="","Razão Social; ","")&amp;IF(H190="","Sobrenome; ","")&amp;IF(AND(J190="",L190=""),"telefone ou e-mail; ","")))</f>
      </c>
      <c r="V190" s="6">
        <f>IF(COUNTA(A190:O190)=0,"",IF(AND(Q190="OK",R190="OK",LEFT(S190,4)&lt;&gt;"ERRO",LEFT(T190,4)&lt;&gt;"ERRO",U190="OK"),"OK","REVISAR"))</f>
      </c>
    </row>
    <row r="191">
      <c r="A191" s="4"/>
      <c r="B191" s="5"/>
      <c r="C191" s="5"/>
      <c r="D191" s="5"/>
      <c r="E191" s="5"/>
      <c r="F191" s="4"/>
      <c r="G191" s="4"/>
      <c r="H191" s="5"/>
      <c r="I191" s="4"/>
      <c r="J191" s="4"/>
      <c r="K191" s="4"/>
      <c r="L191" s="4"/>
      <c r="M191" s="4"/>
      <c r="N191" s="4"/>
      <c r="O191" s="4"/>
      <c r="P191" s="6">
        <f>IF(D191="","",SUBSTITUTE(SUBSTITUTE(SUBSTITUTE(SUBSTITUTE(SUBSTITUTE(SUBSTITUTE(SUBSTITUTE(TRIM(D191),".",""),"/",""),"-","")," ",""),"(",""),")",""),"+",""))</f>
      </c>
      <c r="Q191" s="6">
        <f>IF(P191="","",IF(LEN(P191)&lt;&gt;14,"ERRO: "&amp;LEN(P191)&amp;" dígitos",IF(NOT(ISNUMBER(VALUE(P191))),"ERRO: não numérico",IF(LEN(SUBSTITUTE(P191,LEFT(P191,1),""))=0,"ERRO: dígitos repetidos",IF(AND(VALUE(MID(P191,13,1))=IF(MOD(SUMPRODUCT(--MID(P191,{1,2,3,4,5,6,7,8,9,10,11,12},1),{5,4,3,2,9,8,7,6,5,4,3,2}),11)&lt;2,0,11-MOD(SUMPRODUCT(--MID(P191,{1,2,3,4,5,6,7,8,9,10,11,12},1),{5,4,3,2,9,8,7,6,5,4,3,2}),11)),VALUE(MID(P191,14,1))=IF(MOD(SUMPRODUCT(--MID(P191,{1,2,3,4,5,6,7,8,9,10,11,12,13},1),{6,5,4,3,2,9,8,7,6,5,4,3,2}),11)&lt;2,0,11-MOD(SUMPRODUCT(--MID(P191,{1,2,3,4,5,6,7,8,9,10,11,12,13},1),{6,5,4,3,2,9,8,7,6,5,4,3,2}),11))),"OK","ERRO: dígito verificador")))))</f>
      </c>
      <c r="R191" s="6">
        <f>IF(P191="","",IF(COUNTIF($P$2:$P$1001,P191)&gt;1,"DUPLICADO","OK"))</f>
      </c>
      <c r="S191" s="6">
        <f>IF(AND(J191="",K191=""),"vazio",IF(AND(OR(J191="",LEN(SUBSTITUTE(SUBSTITUTE(SUBSTITUTE(SUBSTITUTE(SUBSTITUTE(SUBSTITUTE(SUBSTITUTE(TRIM(J191),".",""),"/",""),"-","")," ",""),"(",""),")",""),"+",""))=10,LEN(SUBSTITUTE(SUBSTITUTE(SUBSTITUTE(SUBSTITUTE(SUBSTITUTE(SUBSTITUTE(SUBSTITUTE(TRIM(J191),".",""),"/",""),"-","")," ",""),"(",""),")",""),"+",""))=11),OR(K191="",LEN(SUBSTITUTE(SUBSTITUTE(SUBSTITUTE(SUBSTITUTE(SUBSTITUTE(SUBSTITUTE(SUBSTITUTE(TRIM(K191),".",""),"/",""),"-","")," ",""),"(",""),")",""),"+",""))=10,LEN(SUBSTITUTE(SUBSTITUTE(SUBSTITUTE(SUBSTITUTE(SUBSTITUTE(SUBSTITUTE(SUBSTITUTE(TRIM(K191),".",""),"/",""),"-","")," ",""),"(",""),")",""),"+",""))=11)),"OK","ERRO: use DDD + número (10 ou 11 dígitos)"))</f>
      </c>
      <c r="T191" s="6">
        <f>IF(L191="","vazio",IF(AND(ISNUMBER(FIND("@",L191)),ISNUMBER(FIND(".",MID(L191,FIND("@",L191),99))),NOT(ISNUMBER(FIND(" ",TRIM(L191)))),NOT(ISNUMBER(FIND(";",L191))),NOT(ISNUMBER(FIND(",",L191)))),"OK","ERRO: um e-mail válido por linha"))</f>
      </c>
      <c r="U191" s="6">
        <f>IF(COUNTA(A191:O191)=0,"",IF(AND(B191&lt;&gt;"",C191&lt;&gt;"",D191&lt;&gt;"",E191&lt;&gt;"",H191&lt;&gt;"",OR(J191&lt;&gt;"",L191&lt;&gt;"")),"OK","ERRO: faltam "&amp;IF(B191="","Proprietário; ","")&amp;IF(C191="","Origem; ","")&amp;IF(D191="","CNPJ; ","")&amp;IF(E191="","Razão Social; ","")&amp;IF(H191="","Sobrenome; ","")&amp;IF(AND(J191="",L191=""),"telefone ou e-mail; ","")))</f>
      </c>
      <c r="V191" s="6">
        <f>IF(COUNTA(A191:O191)=0,"",IF(AND(Q191="OK",R191="OK",LEFT(S191,4)&lt;&gt;"ERRO",LEFT(T191,4)&lt;&gt;"ERRO",U191="OK"),"OK","REVISAR"))</f>
      </c>
    </row>
    <row r="192">
      <c r="A192" s="4"/>
      <c r="B192" s="5"/>
      <c r="C192" s="5"/>
      <c r="D192" s="5"/>
      <c r="E192" s="5"/>
      <c r="F192" s="4"/>
      <c r="G192" s="4"/>
      <c r="H192" s="5"/>
      <c r="I192" s="4"/>
      <c r="J192" s="4"/>
      <c r="K192" s="4"/>
      <c r="L192" s="4"/>
      <c r="M192" s="4"/>
      <c r="N192" s="4"/>
      <c r="O192" s="4"/>
      <c r="P192" s="6">
        <f>IF(D192="","",SUBSTITUTE(SUBSTITUTE(SUBSTITUTE(SUBSTITUTE(SUBSTITUTE(SUBSTITUTE(SUBSTITUTE(TRIM(D192),".",""),"/",""),"-","")," ",""),"(",""),")",""),"+",""))</f>
      </c>
      <c r="Q192" s="6">
        <f>IF(P192="","",IF(LEN(P192)&lt;&gt;14,"ERRO: "&amp;LEN(P192)&amp;" dígitos",IF(NOT(ISNUMBER(VALUE(P192))),"ERRO: não numérico",IF(LEN(SUBSTITUTE(P192,LEFT(P192,1),""))=0,"ERRO: dígitos repetidos",IF(AND(VALUE(MID(P192,13,1))=IF(MOD(SUMPRODUCT(--MID(P192,{1,2,3,4,5,6,7,8,9,10,11,12},1),{5,4,3,2,9,8,7,6,5,4,3,2}),11)&lt;2,0,11-MOD(SUMPRODUCT(--MID(P192,{1,2,3,4,5,6,7,8,9,10,11,12},1),{5,4,3,2,9,8,7,6,5,4,3,2}),11)),VALUE(MID(P192,14,1))=IF(MOD(SUMPRODUCT(--MID(P192,{1,2,3,4,5,6,7,8,9,10,11,12,13},1),{6,5,4,3,2,9,8,7,6,5,4,3,2}),11)&lt;2,0,11-MOD(SUMPRODUCT(--MID(P192,{1,2,3,4,5,6,7,8,9,10,11,12,13},1),{6,5,4,3,2,9,8,7,6,5,4,3,2}),11))),"OK","ERRO: dígito verificador")))))</f>
      </c>
      <c r="R192" s="6">
        <f>IF(P192="","",IF(COUNTIF($P$2:$P$1001,P192)&gt;1,"DUPLICADO","OK"))</f>
      </c>
      <c r="S192" s="6">
        <f>IF(AND(J192="",K192=""),"vazio",IF(AND(OR(J192="",LEN(SUBSTITUTE(SUBSTITUTE(SUBSTITUTE(SUBSTITUTE(SUBSTITUTE(SUBSTITUTE(SUBSTITUTE(TRIM(J192),".",""),"/",""),"-","")," ",""),"(",""),")",""),"+",""))=10,LEN(SUBSTITUTE(SUBSTITUTE(SUBSTITUTE(SUBSTITUTE(SUBSTITUTE(SUBSTITUTE(SUBSTITUTE(TRIM(J192),".",""),"/",""),"-","")," ",""),"(",""),")",""),"+",""))=11),OR(K192="",LEN(SUBSTITUTE(SUBSTITUTE(SUBSTITUTE(SUBSTITUTE(SUBSTITUTE(SUBSTITUTE(SUBSTITUTE(TRIM(K192),".",""),"/",""),"-","")," ",""),"(",""),")",""),"+",""))=10,LEN(SUBSTITUTE(SUBSTITUTE(SUBSTITUTE(SUBSTITUTE(SUBSTITUTE(SUBSTITUTE(SUBSTITUTE(TRIM(K192),".",""),"/",""),"-","")," ",""),"(",""),")",""),"+",""))=11)),"OK","ERRO: use DDD + número (10 ou 11 dígitos)"))</f>
      </c>
      <c r="T192" s="6">
        <f>IF(L192="","vazio",IF(AND(ISNUMBER(FIND("@",L192)),ISNUMBER(FIND(".",MID(L192,FIND("@",L192),99))),NOT(ISNUMBER(FIND(" ",TRIM(L192)))),NOT(ISNUMBER(FIND(";",L192))),NOT(ISNUMBER(FIND(",",L192)))),"OK","ERRO: um e-mail válido por linha"))</f>
      </c>
      <c r="U192" s="6">
        <f>IF(COUNTA(A192:O192)=0,"",IF(AND(B192&lt;&gt;"",C192&lt;&gt;"",D192&lt;&gt;"",E192&lt;&gt;"",H192&lt;&gt;"",OR(J192&lt;&gt;"",L192&lt;&gt;"")),"OK","ERRO: faltam "&amp;IF(B192="","Proprietário; ","")&amp;IF(C192="","Origem; ","")&amp;IF(D192="","CNPJ; ","")&amp;IF(E192="","Razão Social; ","")&amp;IF(H192="","Sobrenome; ","")&amp;IF(AND(J192="",L192=""),"telefone ou e-mail; ","")))</f>
      </c>
      <c r="V192" s="6">
        <f>IF(COUNTA(A192:O192)=0,"",IF(AND(Q192="OK",R192="OK",LEFT(S192,4)&lt;&gt;"ERRO",LEFT(T192,4)&lt;&gt;"ERRO",U192="OK"),"OK","REVISAR"))</f>
      </c>
    </row>
    <row r="193">
      <c r="A193" s="4"/>
      <c r="B193" s="5"/>
      <c r="C193" s="5"/>
      <c r="D193" s="5"/>
      <c r="E193" s="5"/>
      <c r="F193" s="4"/>
      <c r="G193" s="4"/>
      <c r="H193" s="5"/>
      <c r="I193" s="4"/>
      <c r="J193" s="4"/>
      <c r="K193" s="4"/>
      <c r="L193" s="4"/>
      <c r="M193" s="4"/>
      <c r="N193" s="4"/>
      <c r="O193" s="4"/>
      <c r="P193" s="6">
        <f>IF(D193="","",SUBSTITUTE(SUBSTITUTE(SUBSTITUTE(SUBSTITUTE(SUBSTITUTE(SUBSTITUTE(SUBSTITUTE(TRIM(D193),".",""),"/",""),"-","")," ",""),"(",""),")",""),"+",""))</f>
      </c>
      <c r="Q193" s="6">
        <f>IF(P193="","",IF(LEN(P193)&lt;&gt;14,"ERRO: "&amp;LEN(P193)&amp;" dígitos",IF(NOT(ISNUMBER(VALUE(P193))),"ERRO: não numérico",IF(LEN(SUBSTITUTE(P193,LEFT(P193,1),""))=0,"ERRO: dígitos repetidos",IF(AND(VALUE(MID(P193,13,1))=IF(MOD(SUMPRODUCT(--MID(P193,{1,2,3,4,5,6,7,8,9,10,11,12},1),{5,4,3,2,9,8,7,6,5,4,3,2}),11)&lt;2,0,11-MOD(SUMPRODUCT(--MID(P193,{1,2,3,4,5,6,7,8,9,10,11,12},1),{5,4,3,2,9,8,7,6,5,4,3,2}),11)),VALUE(MID(P193,14,1))=IF(MOD(SUMPRODUCT(--MID(P193,{1,2,3,4,5,6,7,8,9,10,11,12,13},1),{6,5,4,3,2,9,8,7,6,5,4,3,2}),11)&lt;2,0,11-MOD(SUMPRODUCT(--MID(P193,{1,2,3,4,5,6,7,8,9,10,11,12,13},1),{6,5,4,3,2,9,8,7,6,5,4,3,2}),11))),"OK","ERRO: dígito verificador")))))</f>
      </c>
      <c r="R193" s="6">
        <f>IF(P193="","",IF(COUNTIF($P$2:$P$1001,P193)&gt;1,"DUPLICADO","OK"))</f>
      </c>
      <c r="S193" s="6">
        <f>IF(AND(J193="",K193=""),"vazio",IF(AND(OR(J193="",LEN(SUBSTITUTE(SUBSTITUTE(SUBSTITUTE(SUBSTITUTE(SUBSTITUTE(SUBSTITUTE(SUBSTITUTE(TRIM(J193),".",""),"/",""),"-","")," ",""),"(",""),")",""),"+",""))=10,LEN(SUBSTITUTE(SUBSTITUTE(SUBSTITUTE(SUBSTITUTE(SUBSTITUTE(SUBSTITUTE(SUBSTITUTE(TRIM(J193),".",""),"/",""),"-","")," ",""),"(",""),")",""),"+",""))=11),OR(K193="",LEN(SUBSTITUTE(SUBSTITUTE(SUBSTITUTE(SUBSTITUTE(SUBSTITUTE(SUBSTITUTE(SUBSTITUTE(TRIM(K193),".",""),"/",""),"-","")," ",""),"(",""),")",""),"+",""))=10,LEN(SUBSTITUTE(SUBSTITUTE(SUBSTITUTE(SUBSTITUTE(SUBSTITUTE(SUBSTITUTE(SUBSTITUTE(TRIM(K193),".",""),"/",""),"-","")," ",""),"(",""),")",""),"+",""))=11)),"OK","ERRO: use DDD + número (10 ou 11 dígitos)"))</f>
      </c>
      <c r="T193" s="6">
        <f>IF(L193="","vazio",IF(AND(ISNUMBER(FIND("@",L193)),ISNUMBER(FIND(".",MID(L193,FIND("@",L193),99))),NOT(ISNUMBER(FIND(" ",TRIM(L193)))),NOT(ISNUMBER(FIND(";",L193))),NOT(ISNUMBER(FIND(",",L193)))),"OK","ERRO: um e-mail válido por linha"))</f>
      </c>
      <c r="U193" s="6">
        <f>IF(COUNTA(A193:O193)=0,"",IF(AND(B193&lt;&gt;"",C193&lt;&gt;"",D193&lt;&gt;"",E193&lt;&gt;"",H193&lt;&gt;"",OR(J193&lt;&gt;"",L193&lt;&gt;"")),"OK","ERRO: faltam "&amp;IF(B193="","Proprietário; ","")&amp;IF(C193="","Origem; ","")&amp;IF(D193="","CNPJ; ","")&amp;IF(E193="","Razão Social; ","")&amp;IF(H193="","Sobrenome; ","")&amp;IF(AND(J193="",L193=""),"telefone ou e-mail; ","")))</f>
      </c>
      <c r="V193" s="6">
        <f>IF(COUNTA(A193:O193)=0,"",IF(AND(Q193="OK",R193="OK",LEFT(S193,4)&lt;&gt;"ERRO",LEFT(T193,4)&lt;&gt;"ERRO",U193="OK"),"OK","REVISAR"))</f>
      </c>
    </row>
    <row r="194">
      <c r="A194" s="4"/>
      <c r="B194" s="5"/>
      <c r="C194" s="5"/>
      <c r="D194" s="5"/>
      <c r="E194" s="5"/>
      <c r="F194" s="4"/>
      <c r="G194" s="4"/>
      <c r="H194" s="5"/>
      <c r="I194" s="4"/>
      <c r="J194" s="4"/>
      <c r="K194" s="4"/>
      <c r="L194" s="4"/>
      <c r="M194" s="4"/>
      <c r="N194" s="4"/>
      <c r="O194" s="4"/>
      <c r="P194" s="6">
        <f>IF(D194="","",SUBSTITUTE(SUBSTITUTE(SUBSTITUTE(SUBSTITUTE(SUBSTITUTE(SUBSTITUTE(SUBSTITUTE(TRIM(D194),".",""),"/",""),"-","")," ",""),"(",""),")",""),"+",""))</f>
      </c>
      <c r="Q194" s="6">
        <f>IF(P194="","",IF(LEN(P194)&lt;&gt;14,"ERRO: "&amp;LEN(P194)&amp;" dígitos",IF(NOT(ISNUMBER(VALUE(P194))),"ERRO: não numérico",IF(LEN(SUBSTITUTE(P194,LEFT(P194,1),""))=0,"ERRO: dígitos repetidos",IF(AND(VALUE(MID(P194,13,1))=IF(MOD(SUMPRODUCT(--MID(P194,{1,2,3,4,5,6,7,8,9,10,11,12},1),{5,4,3,2,9,8,7,6,5,4,3,2}),11)&lt;2,0,11-MOD(SUMPRODUCT(--MID(P194,{1,2,3,4,5,6,7,8,9,10,11,12},1),{5,4,3,2,9,8,7,6,5,4,3,2}),11)),VALUE(MID(P194,14,1))=IF(MOD(SUMPRODUCT(--MID(P194,{1,2,3,4,5,6,7,8,9,10,11,12,13},1),{6,5,4,3,2,9,8,7,6,5,4,3,2}),11)&lt;2,0,11-MOD(SUMPRODUCT(--MID(P194,{1,2,3,4,5,6,7,8,9,10,11,12,13},1),{6,5,4,3,2,9,8,7,6,5,4,3,2}),11))),"OK","ERRO: dígito verificador")))))</f>
      </c>
      <c r="R194" s="6">
        <f>IF(P194="","",IF(COUNTIF($P$2:$P$1001,P194)&gt;1,"DUPLICADO","OK"))</f>
      </c>
      <c r="S194" s="6">
        <f>IF(AND(J194="",K194=""),"vazio",IF(AND(OR(J194="",LEN(SUBSTITUTE(SUBSTITUTE(SUBSTITUTE(SUBSTITUTE(SUBSTITUTE(SUBSTITUTE(SUBSTITUTE(TRIM(J194),".",""),"/",""),"-","")," ",""),"(",""),")",""),"+",""))=10,LEN(SUBSTITUTE(SUBSTITUTE(SUBSTITUTE(SUBSTITUTE(SUBSTITUTE(SUBSTITUTE(SUBSTITUTE(TRIM(J194),".",""),"/",""),"-","")," ",""),"(",""),")",""),"+",""))=11),OR(K194="",LEN(SUBSTITUTE(SUBSTITUTE(SUBSTITUTE(SUBSTITUTE(SUBSTITUTE(SUBSTITUTE(SUBSTITUTE(TRIM(K194),".",""),"/",""),"-","")," ",""),"(",""),")",""),"+",""))=10,LEN(SUBSTITUTE(SUBSTITUTE(SUBSTITUTE(SUBSTITUTE(SUBSTITUTE(SUBSTITUTE(SUBSTITUTE(TRIM(K194),".",""),"/",""),"-","")," ",""),"(",""),")",""),"+",""))=11)),"OK","ERRO: use DDD + número (10 ou 11 dígitos)"))</f>
      </c>
      <c r="T194" s="6">
        <f>IF(L194="","vazio",IF(AND(ISNUMBER(FIND("@",L194)),ISNUMBER(FIND(".",MID(L194,FIND("@",L194),99))),NOT(ISNUMBER(FIND(" ",TRIM(L194)))),NOT(ISNUMBER(FIND(";",L194))),NOT(ISNUMBER(FIND(",",L194)))),"OK","ERRO: um e-mail válido por linha"))</f>
      </c>
      <c r="U194" s="6">
        <f>IF(COUNTA(A194:O194)=0,"",IF(AND(B194&lt;&gt;"",C194&lt;&gt;"",D194&lt;&gt;"",E194&lt;&gt;"",H194&lt;&gt;"",OR(J194&lt;&gt;"",L194&lt;&gt;"")),"OK","ERRO: faltam "&amp;IF(B194="","Proprietário; ","")&amp;IF(C194="","Origem; ","")&amp;IF(D194="","CNPJ; ","")&amp;IF(E194="","Razão Social; ","")&amp;IF(H194="","Sobrenome; ","")&amp;IF(AND(J194="",L194=""),"telefone ou e-mail; ","")))</f>
      </c>
      <c r="V194" s="6">
        <f>IF(COUNTA(A194:O194)=0,"",IF(AND(Q194="OK",R194="OK",LEFT(S194,4)&lt;&gt;"ERRO",LEFT(T194,4)&lt;&gt;"ERRO",U194="OK"),"OK","REVISAR"))</f>
      </c>
    </row>
    <row r="195">
      <c r="A195" s="4"/>
      <c r="B195" s="5"/>
      <c r="C195" s="5"/>
      <c r="D195" s="5"/>
      <c r="E195" s="5"/>
      <c r="F195" s="4"/>
      <c r="G195" s="4"/>
      <c r="H195" s="5"/>
      <c r="I195" s="4"/>
      <c r="J195" s="4"/>
      <c r="K195" s="4"/>
      <c r="L195" s="4"/>
      <c r="M195" s="4"/>
      <c r="N195" s="4"/>
      <c r="O195" s="4"/>
      <c r="P195" s="6">
        <f>IF(D195="","",SUBSTITUTE(SUBSTITUTE(SUBSTITUTE(SUBSTITUTE(SUBSTITUTE(SUBSTITUTE(SUBSTITUTE(TRIM(D195),".",""),"/",""),"-","")," ",""),"(",""),")",""),"+",""))</f>
      </c>
      <c r="Q195" s="6">
        <f>IF(P195="","",IF(LEN(P195)&lt;&gt;14,"ERRO: "&amp;LEN(P195)&amp;" dígitos",IF(NOT(ISNUMBER(VALUE(P195))),"ERRO: não numérico",IF(LEN(SUBSTITUTE(P195,LEFT(P195,1),""))=0,"ERRO: dígitos repetidos",IF(AND(VALUE(MID(P195,13,1))=IF(MOD(SUMPRODUCT(--MID(P195,{1,2,3,4,5,6,7,8,9,10,11,12},1),{5,4,3,2,9,8,7,6,5,4,3,2}),11)&lt;2,0,11-MOD(SUMPRODUCT(--MID(P195,{1,2,3,4,5,6,7,8,9,10,11,12},1),{5,4,3,2,9,8,7,6,5,4,3,2}),11)),VALUE(MID(P195,14,1))=IF(MOD(SUMPRODUCT(--MID(P195,{1,2,3,4,5,6,7,8,9,10,11,12,13},1),{6,5,4,3,2,9,8,7,6,5,4,3,2}),11)&lt;2,0,11-MOD(SUMPRODUCT(--MID(P195,{1,2,3,4,5,6,7,8,9,10,11,12,13},1),{6,5,4,3,2,9,8,7,6,5,4,3,2}),11))),"OK","ERRO: dígito verificador")))))</f>
      </c>
      <c r="R195" s="6">
        <f>IF(P195="","",IF(COUNTIF($P$2:$P$1001,P195)&gt;1,"DUPLICADO","OK"))</f>
      </c>
      <c r="S195" s="6">
        <f>IF(AND(J195="",K195=""),"vazio",IF(AND(OR(J195="",LEN(SUBSTITUTE(SUBSTITUTE(SUBSTITUTE(SUBSTITUTE(SUBSTITUTE(SUBSTITUTE(SUBSTITUTE(TRIM(J195),".",""),"/",""),"-","")," ",""),"(",""),")",""),"+",""))=10,LEN(SUBSTITUTE(SUBSTITUTE(SUBSTITUTE(SUBSTITUTE(SUBSTITUTE(SUBSTITUTE(SUBSTITUTE(TRIM(J195),".",""),"/",""),"-","")," ",""),"(",""),")",""),"+",""))=11),OR(K195="",LEN(SUBSTITUTE(SUBSTITUTE(SUBSTITUTE(SUBSTITUTE(SUBSTITUTE(SUBSTITUTE(SUBSTITUTE(TRIM(K195),".",""),"/",""),"-","")," ",""),"(",""),")",""),"+",""))=10,LEN(SUBSTITUTE(SUBSTITUTE(SUBSTITUTE(SUBSTITUTE(SUBSTITUTE(SUBSTITUTE(SUBSTITUTE(TRIM(K195),".",""),"/",""),"-","")," ",""),"(",""),")",""),"+",""))=11)),"OK","ERRO: use DDD + número (10 ou 11 dígitos)"))</f>
      </c>
      <c r="T195" s="6">
        <f>IF(L195="","vazio",IF(AND(ISNUMBER(FIND("@",L195)),ISNUMBER(FIND(".",MID(L195,FIND("@",L195),99))),NOT(ISNUMBER(FIND(" ",TRIM(L195)))),NOT(ISNUMBER(FIND(";",L195))),NOT(ISNUMBER(FIND(",",L195)))),"OK","ERRO: um e-mail válido por linha"))</f>
      </c>
      <c r="U195" s="6">
        <f>IF(COUNTA(A195:O195)=0,"",IF(AND(B195&lt;&gt;"",C195&lt;&gt;"",D195&lt;&gt;"",E195&lt;&gt;"",H195&lt;&gt;"",OR(J195&lt;&gt;"",L195&lt;&gt;"")),"OK","ERRO: faltam "&amp;IF(B195="","Proprietário; ","")&amp;IF(C195="","Origem; ","")&amp;IF(D195="","CNPJ; ","")&amp;IF(E195="","Razão Social; ","")&amp;IF(H195="","Sobrenome; ","")&amp;IF(AND(J195="",L195=""),"telefone ou e-mail; ","")))</f>
      </c>
      <c r="V195" s="6">
        <f>IF(COUNTA(A195:O195)=0,"",IF(AND(Q195="OK",R195="OK",LEFT(S195,4)&lt;&gt;"ERRO",LEFT(T195,4)&lt;&gt;"ERRO",U195="OK"),"OK","REVISAR"))</f>
      </c>
    </row>
    <row r="196">
      <c r="A196" s="4"/>
      <c r="B196" s="5"/>
      <c r="C196" s="5"/>
      <c r="D196" s="5"/>
      <c r="E196" s="5"/>
      <c r="F196" s="4"/>
      <c r="G196" s="4"/>
      <c r="H196" s="5"/>
      <c r="I196" s="4"/>
      <c r="J196" s="4"/>
      <c r="K196" s="4"/>
      <c r="L196" s="4"/>
      <c r="M196" s="4"/>
      <c r="N196" s="4"/>
      <c r="O196" s="4"/>
      <c r="P196" s="6">
        <f>IF(D196="","",SUBSTITUTE(SUBSTITUTE(SUBSTITUTE(SUBSTITUTE(SUBSTITUTE(SUBSTITUTE(SUBSTITUTE(TRIM(D196),".",""),"/",""),"-","")," ",""),"(",""),")",""),"+",""))</f>
      </c>
      <c r="Q196" s="6">
        <f>IF(P196="","",IF(LEN(P196)&lt;&gt;14,"ERRO: "&amp;LEN(P196)&amp;" dígitos",IF(NOT(ISNUMBER(VALUE(P196))),"ERRO: não numérico",IF(LEN(SUBSTITUTE(P196,LEFT(P196,1),""))=0,"ERRO: dígitos repetidos",IF(AND(VALUE(MID(P196,13,1))=IF(MOD(SUMPRODUCT(--MID(P196,{1,2,3,4,5,6,7,8,9,10,11,12},1),{5,4,3,2,9,8,7,6,5,4,3,2}),11)&lt;2,0,11-MOD(SUMPRODUCT(--MID(P196,{1,2,3,4,5,6,7,8,9,10,11,12},1),{5,4,3,2,9,8,7,6,5,4,3,2}),11)),VALUE(MID(P196,14,1))=IF(MOD(SUMPRODUCT(--MID(P196,{1,2,3,4,5,6,7,8,9,10,11,12,13},1),{6,5,4,3,2,9,8,7,6,5,4,3,2}),11)&lt;2,0,11-MOD(SUMPRODUCT(--MID(P196,{1,2,3,4,5,6,7,8,9,10,11,12,13},1),{6,5,4,3,2,9,8,7,6,5,4,3,2}),11))),"OK","ERRO: dígito verificador")))))</f>
      </c>
      <c r="R196" s="6">
        <f>IF(P196="","",IF(COUNTIF($P$2:$P$1001,P196)&gt;1,"DUPLICADO","OK"))</f>
      </c>
      <c r="S196" s="6">
        <f>IF(AND(J196="",K196=""),"vazio",IF(AND(OR(J196="",LEN(SUBSTITUTE(SUBSTITUTE(SUBSTITUTE(SUBSTITUTE(SUBSTITUTE(SUBSTITUTE(SUBSTITUTE(TRIM(J196),".",""),"/",""),"-","")," ",""),"(",""),")",""),"+",""))=10,LEN(SUBSTITUTE(SUBSTITUTE(SUBSTITUTE(SUBSTITUTE(SUBSTITUTE(SUBSTITUTE(SUBSTITUTE(TRIM(J196),".",""),"/",""),"-","")," ",""),"(",""),")",""),"+",""))=11),OR(K196="",LEN(SUBSTITUTE(SUBSTITUTE(SUBSTITUTE(SUBSTITUTE(SUBSTITUTE(SUBSTITUTE(SUBSTITUTE(TRIM(K196),".",""),"/",""),"-","")," ",""),"(",""),")",""),"+",""))=10,LEN(SUBSTITUTE(SUBSTITUTE(SUBSTITUTE(SUBSTITUTE(SUBSTITUTE(SUBSTITUTE(SUBSTITUTE(TRIM(K196),".",""),"/",""),"-","")," ",""),"(",""),")",""),"+",""))=11)),"OK","ERRO: use DDD + número (10 ou 11 dígitos)"))</f>
      </c>
      <c r="T196" s="6">
        <f>IF(L196="","vazio",IF(AND(ISNUMBER(FIND("@",L196)),ISNUMBER(FIND(".",MID(L196,FIND("@",L196),99))),NOT(ISNUMBER(FIND(" ",TRIM(L196)))),NOT(ISNUMBER(FIND(";",L196))),NOT(ISNUMBER(FIND(",",L196)))),"OK","ERRO: um e-mail válido por linha"))</f>
      </c>
      <c r="U196" s="6">
        <f>IF(COUNTA(A196:O196)=0,"",IF(AND(B196&lt;&gt;"",C196&lt;&gt;"",D196&lt;&gt;"",E196&lt;&gt;"",H196&lt;&gt;"",OR(J196&lt;&gt;"",L196&lt;&gt;"")),"OK","ERRO: faltam "&amp;IF(B196="","Proprietário; ","")&amp;IF(C196="","Origem; ","")&amp;IF(D196="","CNPJ; ","")&amp;IF(E196="","Razão Social; ","")&amp;IF(H196="","Sobrenome; ","")&amp;IF(AND(J196="",L196=""),"telefone ou e-mail; ","")))</f>
      </c>
      <c r="V196" s="6">
        <f>IF(COUNTA(A196:O196)=0,"",IF(AND(Q196="OK",R196="OK",LEFT(S196,4)&lt;&gt;"ERRO",LEFT(T196,4)&lt;&gt;"ERRO",U196="OK"),"OK","REVISAR"))</f>
      </c>
    </row>
    <row r="197">
      <c r="A197" s="4"/>
      <c r="B197" s="5"/>
      <c r="C197" s="5"/>
      <c r="D197" s="5"/>
      <c r="E197" s="5"/>
      <c r="F197" s="4"/>
      <c r="G197" s="4"/>
      <c r="H197" s="5"/>
      <c r="I197" s="4"/>
      <c r="J197" s="4"/>
      <c r="K197" s="4"/>
      <c r="L197" s="4"/>
      <c r="M197" s="4"/>
      <c r="N197" s="4"/>
      <c r="O197" s="4"/>
      <c r="P197" s="6">
        <f>IF(D197="","",SUBSTITUTE(SUBSTITUTE(SUBSTITUTE(SUBSTITUTE(SUBSTITUTE(SUBSTITUTE(SUBSTITUTE(TRIM(D197),".",""),"/",""),"-","")," ",""),"(",""),")",""),"+",""))</f>
      </c>
      <c r="Q197" s="6">
        <f>IF(P197="","",IF(LEN(P197)&lt;&gt;14,"ERRO: "&amp;LEN(P197)&amp;" dígitos",IF(NOT(ISNUMBER(VALUE(P197))),"ERRO: não numérico",IF(LEN(SUBSTITUTE(P197,LEFT(P197,1),""))=0,"ERRO: dígitos repetidos",IF(AND(VALUE(MID(P197,13,1))=IF(MOD(SUMPRODUCT(--MID(P197,{1,2,3,4,5,6,7,8,9,10,11,12},1),{5,4,3,2,9,8,7,6,5,4,3,2}),11)&lt;2,0,11-MOD(SUMPRODUCT(--MID(P197,{1,2,3,4,5,6,7,8,9,10,11,12},1),{5,4,3,2,9,8,7,6,5,4,3,2}),11)),VALUE(MID(P197,14,1))=IF(MOD(SUMPRODUCT(--MID(P197,{1,2,3,4,5,6,7,8,9,10,11,12,13},1),{6,5,4,3,2,9,8,7,6,5,4,3,2}),11)&lt;2,0,11-MOD(SUMPRODUCT(--MID(P197,{1,2,3,4,5,6,7,8,9,10,11,12,13},1),{6,5,4,3,2,9,8,7,6,5,4,3,2}),11))),"OK","ERRO: dígito verificador")))))</f>
      </c>
      <c r="R197" s="6">
        <f>IF(P197="","",IF(COUNTIF($P$2:$P$1001,P197)&gt;1,"DUPLICADO","OK"))</f>
      </c>
      <c r="S197" s="6">
        <f>IF(AND(J197="",K197=""),"vazio",IF(AND(OR(J197="",LEN(SUBSTITUTE(SUBSTITUTE(SUBSTITUTE(SUBSTITUTE(SUBSTITUTE(SUBSTITUTE(SUBSTITUTE(TRIM(J197),".",""),"/",""),"-","")," ",""),"(",""),")",""),"+",""))=10,LEN(SUBSTITUTE(SUBSTITUTE(SUBSTITUTE(SUBSTITUTE(SUBSTITUTE(SUBSTITUTE(SUBSTITUTE(TRIM(J197),".",""),"/",""),"-","")," ",""),"(",""),")",""),"+",""))=11),OR(K197="",LEN(SUBSTITUTE(SUBSTITUTE(SUBSTITUTE(SUBSTITUTE(SUBSTITUTE(SUBSTITUTE(SUBSTITUTE(TRIM(K197),".",""),"/",""),"-","")," ",""),"(",""),")",""),"+",""))=10,LEN(SUBSTITUTE(SUBSTITUTE(SUBSTITUTE(SUBSTITUTE(SUBSTITUTE(SUBSTITUTE(SUBSTITUTE(TRIM(K197),".",""),"/",""),"-","")," ",""),"(",""),")",""),"+",""))=11)),"OK","ERRO: use DDD + número (10 ou 11 dígitos)"))</f>
      </c>
      <c r="T197" s="6">
        <f>IF(L197="","vazio",IF(AND(ISNUMBER(FIND("@",L197)),ISNUMBER(FIND(".",MID(L197,FIND("@",L197),99))),NOT(ISNUMBER(FIND(" ",TRIM(L197)))),NOT(ISNUMBER(FIND(";",L197))),NOT(ISNUMBER(FIND(",",L197)))),"OK","ERRO: um e-mail válido por linha"))</f>
      </c>
      <c r="U197" s="6">
        <f>IF(COUNTA(A197:O197)=0,"",IF(AND(B197&lt;&gt;"",C197&lt;&gt;"",D197&lt;&gt;"",E197&lt;&gt;"",H197&lt;&gt;"",OR(J197&lt;&gt;"",L197&lt;&gt;"")),"OK","ERRO: faltam "&amp;IF(B197="","Proprietário; ","")&amp;IF(C197="","Origem; ","")&amp;IF(D197="","CNPJ; ","")&amp;IF(E197="","Razão Social; ","")&amp;IF(H197="","Sobrenome; ","")&amp;IF(AND(J197="",L197=""),"telefone ou e-mail; ","")))</f>
      </c>
      <c r="V197" s="6">
        <f>IF(COUNTA(A197:O197)=0,"",IF(AND(Q197="OK",R197="OK",LEFT(S197,4)&lt;&gt;"ERRO",LEFT(T197,4)&lt;&gt;"ERRO",U197="OK"),"OK","REVISAR"))</f>
      </c>
    </row>
    <row r="198">
      <c r="A198" s="4"/>
      <c r="B198" s="5"/>
      <c r="C198" s="5"/>
      <c r="D198" s="5"/>
      <c r="E198" s="5"/>
      <c r="F198" s="4"/>
      <c r="G198" s="4"/>
      <c r="H198" s="5"/>
      <c r="I198" s="4"/>
      <c r="J198" s="4"/>
      <c r="K198" s="4"/>
      <c r="L198" s="4"/>
      <c r="M198" s="4"/>
      <c r="N198" s="4"/>
      <c r="O198" s="4"/>
      <c r="P198" s="6">
        <f>IF(D198="","",SUBSTITUTE(SUBSTITUTE(SUBSTITUTE(SUBSTITUTE(SUBSTITUTE(SUBSTITUTE(SUBSTITUTE(TRIM(D198),".",""),"/",""),"-","")," ",""),"(",""),")",""),"+",""))</f>
      </c>
      <c r="Q198" s="6">
        <f>IF(P198="","",IF(LEN(P198)&lt;&gt;14,"ERRO: "&amp;LEN(P198)&amp;" dígitos",IF(NOT(ISNUMBER(VALUE(P198))),"ERRO: não numérico",IF(LEN(SUBSTITUTE(P198,LEFT(P198,1),""))=0,"ERRO: dígitos repetidos",IF(AND(VALUE(MID(P198,13,1))=IF(MOD(SUMPRODUCT(--MID(P198,{1,2,3,4,5,6,7,8,9,10,11,12},1),{5,4,3,2,9,8,7,6,5,4,3,2}),11)&lt;2,0,11-MOD(SUMPRODUCT(--MID(P198,{1,2,3,4,5,6,7,8,9,10,11,12},1),{5,4,3,2,9,8,7,6,5,4,3,2}),11)),VALUE(MID(P198,14,1))=IF(MOD(SUMPRODUCT(--MID(P198,{1,2,3,4,5,6,7,8,9,10,11,12,13},1),{6,5,4,3,2,9,8,7,6,5,4,3,2}),11)&lt;2,0,11-MOD(SUMPRODUCT(--MID(P198,{1,2,3,4,5,6,7,8,9,10,11,12,13},1),{6,5,4,3,2,9,8,7,6,5,4,3,2}),11))),"OK","ERRO: dígito verificador")))))</f>
      </c>
      <c r="R198" s="6">
        <f>IF(P198="","",IF(COUNTIF($P$2:$P$1001,P198)&gt;1,"DUPLICADO","OK"))</f>
      </c>
      <c r="S198" s="6">
        <f>IF(AND(J198="",K198=""),"vazio",IF(AND(OR(J198="",LEN(SUBSTITUTE(SUBSTITUTE(SUBSTITUTE(SUBSTITUTE(SUBSTITUTE(SUBSTITUTE(SUBSTITUTE(TRIM(J198),".",""),"/",""),"-","")," ",""),"(",""),")",""),"+",""))=10,LEN(SUBSTITUTE(SUBSTITUTE(SUBSTITUTE(SUBSTITUTE(SUBSTITUTE(SUBSTITUTE(SUBSTITUTE(TRIM(J198),".",""),"/",""),"-","")," ",""),"(",""),")",""),"+",""))=11),OR(K198="",LEN(SUBSTITUTE(SUBSTITUTE(SUBSTITUTE(SUBSTITUTE(SUBSTITUTE(SUBSTITUTE(SUBSTITUTE(TRIM(K198),".",""),"/",""),"-","")," ",""),"(",""),")",""),"+",""))=10,LEN(SUBSTITUTE(SUBSTITUTE(SUBSTITUTE(SUBSTITUTE(SUBSTITUTE(SUBSTITUTE(SUBSTITUTE(TRIM(K198),".",""),"/",""),"-","")," ",""),"(",""),")",""),"+",""))=11)),"OK","ERRO: use DDD + número (10 ou 11 dígitos)"))</f>
      </c>
      <c r="T198" s="6">
        <f>IF(L198="","vazio",IF(AND(ISNUMBER(FIND("@",L198)),ISNUMBER(FIND(".",MID(L198,FIND("@",L198),99))),NOT(ISNUMBER(FIND(" ",TRIM(L198)))),NOT(ISNUMBER(FIND(";",L198))),NOT(ISNUMBER(FIND(",",L198)))),"OK","ERRO: um e-mail válido por linha"))</f>
      </c>
      <c r="U198" s="6">
        <f>IF(COUNTA(A198:O198)=0,"",IF(AND(B198&lt;&gt;"",C198&lt;&gt;"",D198&lt;&gt;"",E198&lt;&gt;"",H198&lt;&gt;"",OR(J198&lt;&gt;"",L198&lt;&gt;"")),"OK","ERRO: faltam "&amp;IF(B198="","Proprietário; ","")&amp;IF(C198="","Origem; ","")&amp;IF(D198="","CNPJ; ","")&amp;IF(E198="","Razão Social; ","")&amp;IF(H198="","Sobrenome; ","")&amp;IF(AND(J198="",L198=""),"telefone ou e-mail; ","")))</f>
      </c>
      <c r="V198" s="6">
        <f>IF(COUNTA(A198:O198)=0,"",IF(AND(Q198="OK",R198="OK",LEFT(S198,4)&lt;&gt;"ERRO",LEFT(T198,4)&lt;&gt;"ERRO",U198="OK"),"OK","REVISAR"))</f>
      </c>
    </row>
    <row r="199">
      <c r="A199" s="4"/>
      <c r="B199" s="5"/>
      <c r="C199" s="5"/>
      <c r="D199" s="5"/>
      <c r="E199" s="5"/>
      <c r="F199" s="4"/>
      <c r="G199" s="4"/>
      <c r="H199" s="5"/>
      <c r="I199" s="4"/>
      <c r="J199" s="4"/>
      <c r="K199" s="4"/>
      <c r="L199" s="4"/>
      <c r="M199" s="4"/>
      <c r="N199" s="4"/>
      <c r="O199" s="4"/>
      <c r="P199" s="6">
        <f>IF(D199="","",SUBSTITUTE(SUBSTITUTE(SUBSTITUTE(SUBSTITUTE(SUBSTITUTE(SUBSTITUTE(SUBSTITUTE(TRIM(D199),".",""),"/",""),"-","")," ",""),"(",""),")",""),"+",""))</f>
      </c>
      <c r="Q199" s="6">
        <f>IF(P199="","",IF(LEN(P199)&lt;&gt;14,"ERRO: "&amp;LEN(P199)&amp;" dígitos",IF(NOT(ISNUMBER(VALUE(P199))),"ERRO: não numérico",IF(LEN(SUBSTITUTE(P199,LEFT(P199,1),""))=0,"ERRO: dígitos repetidos",IF(AND(VALUE(MID(P199,13,1))=IF(MOD(SUMPRODUCT(--MID(P199,{1,2,3,4,5,6,7,8,9,10,11,12},1),{5,4,3,2,9,8,7,6,5,4,3,2}),11)&lt;2,0,11-MOD(SUMPRODUCT(--MID(P199,{1,2,3,4,5,6,7,8,9,10,11,12},1),{5,4,3,2,9,8,7,6,5,4,3,2}),11)),VALUE(MID(P199,14,1))=IF(MOD(SUMPRODUCT(--MID(P199,{1,2,3,4,5,6,7,8,9,10,11,12,13},1),{6,5,4,3,2,9,8,7,6,5,4,3,2}),11)&lt;2,0,11-MOD(SUMPRODUCT(--MID(P199,{1,2,3,4,5,6,7,8,9,10,11,12,13},1),{6,5,4,3,2,9,8,7,6,5,4,3,2}),11))),"OK","ERRO: dígito verificador")))))</f>
      </c>
      <c r="R199" s="6">
        <f>IF(P199="","",IF(COUNTIF($P$2:$P$1001,P199)&gt;1,"DUPLICADO","OK"))</f>
      </c>
      <c r="S199" s="6">
        <f>IF(AND(J199="",K199=""),"vazio",IF(AND(OR(J199="",LEN(SUBSTITUTE(SUBSTITUTE(SUBSTITUTE(SUBSTITUTE(SUBSTITUTE(SUBSTITUTE(SUBSTITUTE(TRIM(J199),".",""),"/",""),"-","")," ",""),"(",""),")",""),"+",""))=10,LEN(SUBSTITUTE(SUBSTITUTE(SUBSTITUTE(SUBSTITUTE(SUBSTITUTE(SUBSTITUTE(SUBSTITUTE(TRIM(J199),".",""),"/",""),"-","")," ",""),"(",""),")",""),"+",""))=11),OR(K199="",LEN(SUBSTITUTE(SUBSTITUTE(SUBSTITUTE(SUBSTITUTE(SUBSTITUTE(SUBSTITUTE(SUBSTITUTE(TRIM(K199),".",""),"/",""),"-","")," ",""),"(",""),")",""),"+",""))=10,LEN(SUBSTITUTE(SUBSTITUTE(SUBSTITUTE(SUBSTITUTE(SUBSTITUTE(SUBSTITUTE(SUBSTITUTE(TRIM(K199),".",""),"/",""),"-","")," ",""),"(",""),")",""),"+",""))=11)),"OK","ERRO: use DDD + número (10 ou 11 dígitos)"))</f>
      </c>
      <c r="T199" s="6">
        <f>IF(L199="","vazio",IF(AND(ISNUMBER(FIND("@",L199)),ISNUMBER(FIND(".",MID(L199,FIND("@",L199),99))),NOT(ISNUMBER(FIND(" ",TRIM(L199)))),NOT(ISNUMBER(FIND(";",L199))),NOT(ISNUMBER(FIND(",",L199)))),"OK","ERRO: um e-mail válido por linha"))</f>
      </c>
      <c r="U199" s="6">
        <f>IF(COUNTA(A199:O199)=0,"",IF(AND(B199&lt;&gt;"",C199&lt;&gt;"",D199&lt;&gt;"",E199&lt;&gt;"",H199&lt;&gt;"",OR(J199&lt;&gt;"",L199&lt;&gt;"")),"OK","ERRO: faltam "&amp;IF(B199="","Proprietário; ","")&amp;IF(C199="","Origem; ","")&amp;IF(D199="","CNPJ; ","")&amp;IF(E199="","Razão Social; ","")&amp;IF(H199="","Sobrenome; ","")&amp;IF(AND(J199="",L199=""),"telefone ou e-mail; ","")))</f>
      </c>
      <c r="V199" s="6">
        <f>IF(COUNTA(A199:O199)=0,"",IF(AND(Q199="OK",R199="OK",LEFT(S199,4)&lt;&gt;"ERRO",LEFT(T199,4)&lt;&gt;"ERRO",U199="OK"),"OK","REVISAR"))</f>
      </c>
    </row>
    <row r="200">
      <c r="A200" s="4"/>
      <c r="B200" s="5"/>
      <c r="C200" s="5"/>
      <c r="D200" s="5"/>
      <c r="E200" s="5"/>
      <c r="F200" s="4"/>
      <c r="G200" s="4"/>
      <c r="H200" s="5"/>
      <c r="I200" s="4"/>
      <c r="J200" s="4"/>
      <c r="K200" s="4"/>
      <c r="L200" s="4"/>
      <c r="M200" s="4"/>
      <c r="N200" s="4"/>
      <c r="O200" s="4"/>
      <c r="P200" s="6">
        <f>IF(D200="","",SUBSTITUTE(SUBSTITUTE(SUBSTITUTE(SUBSTITUTE(SUBSTITUTE(SUBSTITUTE(SUBSTITUTE(TRIM(D200),".",""),"/",""),"-","")," ",""),"(",""),")",""),"+",""))</f>
      </c>
      <c r="Q200" s="6">
        <f>IF(P200="","",IF(LEN(P200)&lt;&gt;14,"ERRO: "&amp;LEN(P200)&amp;" dígitos",IF(NOT(ISNUMBER(VALUE(P200))),"ERRO: não numérico",IF(LEN(SUBSTITUTE(P200,LEFT(P200,1),""))=0,"ERRO: dígitos repetidos",IF(AND(VALUE(MID(P200,13,1))=IF(MOD(SUMPRODUCT(--MID(P200,{1,2,3,4,5,6,7,8,9,10,11,12},1),{5,4,3,2,9,8,7,6,5,4,3,2}),11)&lt;2,0,11-MOD(SUMPRODUCT(--MID(P200,{1,2,3,4,5,6,7,8,9,10,11,12},1),{5,4,3,2,9,8,7,6,5,4,3,2}),11)),VALUE(MID(P200,14,1))=IF(MOD(SUMPRODUCT(--MID(P200,{1,2,3,4,5,6,7,8,9,10,11,12,13},1),{6,5,4,3,2,9,8,7,6,5,4,3,2}),11)&lt;2,0,11-MOD(SUMPRODUCT(--MID(P200,{1,2,3,4,5,6,7,8,9,10,11,12,13},1),{6,5,4,3,2,9,8,7,6,5,4,3,2}),11))),"OK","ERRO: dígito verificador")))))</f>
      </c>
      <c r="R200" s="6">
        <f>IF(P200="","",IF(COUNTIF($P$2:$P$1001,P200)&gt;1,"DUPLICADO","OK"))</f>
      </c>
      <c r="S200" s="6">
        <f>IF(AND(J200="",K200=""),"vazio",IF(AND(OR(J200="",LEN(SUBSTITUTE(SUBSTITUTE(SUBSTITUTE(SUBSTITUTE(SUBSTITUTE(SUBSTITUTE(SUBSTITUTE(TRIM(J200),".",""),"/",""),"-","")," ",""),"(",""),")",""),"+",""))=10,LEN(SUBSTITUTE(SUBSTITUTE(SUBSTITUTE(SUBSTITUTE(SUBSTITUTE(SUBSTITUTE(SUBSTITUTE(TRIM(J200),".",""),"/",""),"-","")," ",""),"(",""),")",""),"+",""))=11),OR(K200="",LEN(SUBSTITUTE(SUBSTITUTE(SUBSTITUTE(SUBSTITUTE(SUBSTITUTE(SUBSTITUTE(SUBSTITUTE(TRIM(K200),".",""),"/",""),"-","")," ",""),"(",""),")",""),"+",""))=10,LEN(SUBSTITUTE(SUBSTITUTE(SUBSTITUTE(SUBSTITUTE(SUBSTITUTE(SUBSTITUTE(SUBSTITUTE(TRIM(K200),".",""),"/",""),"-","")," ",""),"(",""),")",""),"+",""))=11)),"OK","ERRO: use DDD + número (10 ou 11 dígitos)"))</f>
      </c>
      <c r="T200" s="6">
        <f>IF(L200="","vazio",IF(AND(ISNUMBER(FIND("@",L200)),ISNUMBER(FIND(".",MID(L200,FIND("@",L200),99))),NOT(ISNUMBER(FIND(" ",TRIM(L200)))),NOT(ISNUMBER(FIND(";",L200))),NOT(ISNUMBER(FIND(",",L200)))),"OK","ERRO: um e-mail válido por linha"))</f>
      </c>
      <c r="U200" s="6">
        <f>IF(COUNTA(A200:O200)=0,"",IF(AND(B200&lt;&gt;"",C200&lt;&gt;"",D200&lt;&gt;"",E200&lt;&gt;"",H200&lt;&gt;"",OR(J200&lt;&gt;"",L200&lt;&gt;"")),"OK","ERRO: faltam "&amp;IF(B200="","Proprietário; ","")&amp;IF(C200="","Origem; ","")&amp;IF(D200="","CNPJ; ","")&amp;IF(E200="","Razão Social; ","")&amp;IF(H200="","Sobrenome; ","")&amp;IF(AND(J200="",L200=""),"telefone ou e-mail; ","")))</f>
      </c>
      <c r="V200" s="6">
        <f>IF(COUNTA(A200:O200)=0,"",IF(AND(Q200="OK",R200="OK",LEFT(S200,4)&lt;&gt;"ERRO",LEFT(T200,4)&lt;&gt;"ERRO",U200="OK"),"OK","REVISAR"))</f>
      </c>
    </row>
    <row r="201">
      <c r="A201" s="4"/>
      <c r="B201" s="5"/>
      <c r="C201" s="5"/>
      <c r="D201" s="5"/>
      <c r="E201" s="5"/>
      <c r="F201" s="4"/>
      <c r="G201" s="4"/>
      <c r="H201" s="5"/>
      <c r="I201" s="4"/>
      <c r="J201" s="4"/>
      <c r="K201" s="4"/>
      <c r="L201" s="4"/>
      <c r="M201" s="4"/>
      <c r="N201" s="4"/>
      <c r="O201" s="4"/>
      <c r="P201" s="6">
        <f>IF(D201="","",SUBSTITUTE(SUBSTITUTE(SUBSTITUTE(SUBSTITUTE(SUBSTITUTE(SUBSTITUTE(SUBSTITUTE(TRIM(D201),".",""),"/",""),"-","")," ",""),"(",""),")",""),"+",""))</f>
      </c>
      <c r="Q201" s="6">
        <f>IF(P201="","",IF(LEN(P201)&lt;&gt;14,"ERRO: "&amp;LEN(P201)&amp;" dígitos",IF(NOT(ISNUMBER(VALUE(P201))),"ERRO: não numérico",IF(LEN(SUBSTITUTE(P201,LEFT(P201,1),""))=0,"ERRO: dígitos repetidos",IF(AND(VALUE(MID(P201,13,1))=IF(MOD(SUMPRODUCT(--MID(P201,{1,2,3,4,5,6,7,8,9,10,11,12},1),{5,4,3,2,9,8,7,6,5,4,3,2}),11)&lt;2,0,11-MOD(SUMPRODUCT(--MID(P201,{1,2,3,4,5,6,7,8,9,10,11,12},1),{5,4,3,2,9,8,7,6,5,4,3,2}),11)),VALUE(MID(P201,14,1))=IF(MOD(SUMPRODUCT(--MID(P201,{1,2,3,4,5,6,7,8,9,10,11,12,13},1),{6,5,4,3,2,9,8,7,6,5,4,3,2}),11)&lt;2,0,11-MOD(SUMPRODUCT(--MID(P201,{1,2,3,4,5,6,7,8,9,10,11,12,13},1),{6,5,4,3,2,9,8,7,6,5,4,3,2}),11))),"OK","ERRO: dígito verificador")))))</f>
      </c>
      <c r="R201" s="6">
        <f>IF(P201="","",IF(COUNTIF($P$2:$P$1001,P201)&gt;1,"DUPLICADO","OK"))</f>
      </c>
      <c r="S201" s="6">
        <f>IF(AND(J201="",K201=""),"vazio",IF(AND(OR(J201="",LEN(SUBSTITUTE(SUBSTITUTE(SUBSTITUTE(SUBSTITUTE(SUBSTITUTE(SUBSTITUTE(SUBSTITUTE(TRIM(J201),".",""),"/",""),"-","")," ",""),"(",""),")",""),"+",""))=10,LEN(SUBSTITUTE(SUBSTITUTE(SUBSTITUTE(SUBSTITUTE(SUBSTITUTE(SUBSTITUTE(SUBSTITUTE(TRIM(J201),".",""),"/",""),"-","")," ",""),"(",""),")",""),"+",""))=11),OR(K201="",LEN(SUBSTITUTE(SUBSTITUTE(SUBSTITUTE(SUBSTITUTE(SUBSTITUTE(SUBSTITUTE(SUBSTITUTE(TRIM(K201),".",""),"/",""),"-","")," ",""),"(",""),")",""),"+",""))=10,LEN(SUBSTITUTE(SUBSTITUTE(SUBSTITUTE(SUBSTITUTE(SUBSTITUTE(SUBSTITUTE(SUBSTITUTE(TRIM(K201),".",""),"/",""),"-","")," ",""),"(",""),")",""),"+",""))=11)),"OK","ERRO: use DDD + número (10 ou 11 dígitos)"))</f>
      </c>
      <c r="T201" s="6">
        <f>IF(L201="","vazio",IF(AND(ISNUMBER(FIND("@",L201)),ISNUMBER(FIND(".",MID(L201,FIND("@",L201),99))),NOT(ISNUMBER(FIND(" ",TRIM(L201)))),NOT(ISNUMBER(FIND(";",L201))),NOT(ISNUMBER(FIND(",",L201)))),"OK","ERRO: um e-mail válido por linha"))</f>
      </c>
      <c r="U201" s="6">
        <f>IF(COUNTA(A201:O201)=0,"",IF(AND(B201&lt;&gt;"",C201&lt;&gt;"",D201&lt;&gt;"",E201&lt;&gt;"",H201&lt;&gt;"",OR(J201&lt;&gt;"",L201&lt;&gt;"")),"OK","ERRO: faltam "&amp;IF(B201="","Proprietário; ","")&amp;IF(C201="","Origem; ","")&amp;IF(D201="","CNPJ; ","")&amp;IF(E201="","Razão Social; ","")&amp;IF(H201="","Sobrenome; ","")&amp;IF(AND(J201="",L201=""),"telefone ou e-mail; ","")))</f>
      </c>
      <c r="V201" s="6">
        <f>IF(COUNTA(A201:O201)=0,"",IF(AND(Q201="OK",R201="OK",LEFT(S201,4)&lt;&gt;"ERRO",LEFT(T201,4)&lt;&gt;"ERRO",U201="OK"),"OK","REVISAR"))</f>
      </c>
    </row>
    <row r="202">
      <c r="A202" s="4"/>
      <c r="B202" s="5"/>
      <c r="C202" s="5"/>
      <c r="D202" s="5"/>
      <c r="E202" s="5"/>
      <c r="F202" s="4"/>
      <c r="G202" s="4"/>
      <c r="H202" s="5"/>
      <c r="I202" s="4"/>
      <c r="J202" s="4"/>
      <c r="K202" s="4"/>
      <c r="L202" s="4"/>
      <c r="M202" s="4"/>
      <c r="N202" s="4"/>
      <c r="O202" s="4"/>
      <c r="P202" s="6">
        <f>IF(D202="","",SUBSTITUTE(SUBSTITUTE(SUBSTITUTE(SUBSTITUTE(SUBSTITUTE(SUBSTITUTE(SUBSTITUTE(TRIM(D202),".",""),"/",""),"-","")," ",""),"(",""),")",""),"+",""))</f>
      </c>
      <c r="Q202" s="6">
        <f>IF(P202="","",IF(LEN(P202)&lt;&gt;14,"ERRO: "&amp;LEN(P202)&amp;" dígitos",IF(NOT(ISNUMBER(VALUE(P202))),"ERRO: não numérico",IF(LEN(SUBSTITUTE(P202,LEFT(P202,1),""))=0,"ERRO: dígitos repetidos",IF(AND(VALUE(MID(P202,13,1))=IF(MOD(SUMPRODUCT(--MID(P202,{1,2,3,4,5,6,7,8,9,10,11,12},1),{5,4,3,2,9,8,7,6,5,4,3,2}),11)&lt;2,0,11-MOD(SUMPRODUCT(--MID(P202,{1,2,3,4,5,6,7,8,9,10,11,12},1),{5,4,3,2,9,8,7,6,5,4,3,2}),11)),VALUE(MID(P202,14,1))=IF(MOD(SUMPRODUCT(--MID(P202,{1,2,3,4,5,6,7,8,9,10,11,12,13},1),{6,5,4,3,2,9,8,7,6,5,4,3,2}),11)&lt;2,0,11-MOD(SUMPRODUCT(--MID(P202,{1,2,3,4,5,6,7,8,9,10,11,12,13},1),{6,5,4,3,2,9,8,7,6,5,4,3,2}),11))),"OK","ERRO: dígito verificador")))))</f>
      </c>
      <c r="R202" s="6">
        <f>IF(P202="","",IF(COUNTIF($P$2:$P$1001,P202)&gt;1,"DUPLICADO","OK"))</f>
      </c>
      <c r="S202" s="6">
        <f>IF(AND(J202="",K202=""),"vazio",IF(AND(OR(J202="",LEN(SUBSTITUTE(SUBSTITUTE(SUBSTITUTE(SUBSTITUTE(SUBSTITUTE(SUBSTITUTE(SUBSTITUTE(TRIM(J202),".",""),"/",""),"-","")," ",""),"(",""),")",""),"+",""))=10,LEN(SUBSTITUTE(SUBSTITUTE(SUBSTITUTE(SUBSTITUTE(SUBSTITUTE(SUBSTITUTE(SUBSTITUTE(TRIM(J202),".",""),"/",""),"-","")," ",""),"(",""),")",""),"+",""))=11),OR(K202="",LEN(SUBSTITUTE(SUBSTITUTE(SUBSTITUTE(SUBSTITUTE(SUBSTITUTE(SUBSTITUTE(SUBSTITUTE(TRIM(K202),".",""),"/",""),"-","")," ",""),"(",""),")",""),"+",""))=10,LEN(SUBSTITUTE(SUBSTITUTE(SUBSTITUTE(SUBSTITUTE(SUBSTITUTE(SUBSTITUTE(SUBSTITUTE(TRIM(K202),".",""),"/",""),"-","")," ",""),"(",""),")",""),"+",""))=11)),"OK","ERRO: use DDD + número (10 ou 11 dígitos)"))</f>
      </c>
      <c r="T202" s="6">
        <f>IF(L202="","vazio",IF(AND(ISNUMBER(FIND("@",L202)),ISNUMBER(FIND(".",MID(L202,FIND("@",L202),99))),NOT(ISNUMBER(FIND(" ",TRIM(L202)))),NOT(ISNUMBER(FIND(";",L202))),NOT(ISNUMBER(FIND(",",L202)))),"OK","ERRO: um e-mail válido por linha"))</f>
      </c>
      <c r="U202" s="6">
        <f>IF(COUNTA(A202:O202)=0,"",IF(AND(B202&lt;&gt;"",C202&lt;&gt;"",D202&lt;&gt;"",E202&lt;&gt;"",H202&lt;&gt;"",OR(J202&lt;&gt;"",L202&lt;&gt;"")),"OK","ERRO: faltam "&amp;IF(B202="","Proprietário; ","")&amp;IF(C202="","Origem; ","")&amp;IF(D202="","CNPJ; ","")&amp;IF(E202="","Razão Social; ","")&amp;IF(H202="","Sobrenome; ","")&amp;IF(AND(J202="",L202=""),"telefone ou e-mail; ","")))</f>
      </c>
      <c r="V202" s="6">
        <f>IF(COUNTA(A202:O202)=0,"",IF(AND(Q202="OK",R202="OK",LEFT(S202,4)&lt;&gt;"ERRO",LEFT(T202,4)&lt;&gt;"ERRO",U202="OK"),"OK","REVISAR"))</f>
      </c>
    </row>
    <row r="203">
      <c r="A203" s="4"/>
      <c r="B203" s="5"/>
      <c r="C203" s="5"/>
      <c r="D203" s="5"/>
      <c r="E203" s="5"/>
      <c r="F203" s="4"/>
      <c r="G203" s="4"/>
      <c r="H203" s="5"/>
      <c r="I203" s="4"/>
      <c r="J203" s="4"/>
      <c r="K203" s="4"/>
      <c r="L203" s="4"/>
      <c r="M203" s="4"/>
      <c r="N203" s="4"/>
      <c r="O203" s="4"/>
      <c r="P203" s="6">
        <f>IF(D203="","",SUBSTITUTE(SUBSTITUTE(SUBSTITUTE(SUBSTITUTE(SUBSTITUTE(SUBSTITUTE(SUBSTITUTE(TRIM(D203),".",""),"/",""),"-","")," ",""),"(",""),")",""),"+",""))</f>
      </c>
      <c r="Q203" s="6">
        <f>IF(P203="","",IF(LEN(P203)&lt;&gt;14,"ERRO: "&amp;LEN(P203)&amp;" dígitos",IF(NOT(ISNUMBER(VALUE(P203))),"ERRO: não numérico",IF(LEN(SUBSTITUTE(P203,LEFT(P203,1),""))=0,"ERRO: dígitos repetidos",IF(AND(VALUE(MID(P203,13,1))=IF(MOD(SUMPRODUCT(--MID(P203,{1,2,3,4,5,6,7,8,9,10,11,12},1),{5,4,3,2,9,8,7,6,5,4,3,2}),11)&lt;2,0,11-MOD(SUMPRODUCT(--MID(P203,{1,2,3,4,5,6,7,8,9,10,11,12},1),{5,4,3,2,9,8,7,6,5,4,3,2}),11)),VALUE(MID(P203,14,1))=IF(MOD(SUMPRODUCT(--MID(P203,{1,2,3,4,5,6,7,8,9,10,11,12,13},1),{6,5,4,3,2,9,8,7,6,5,4,3,2}),11)&lt;2,0,11-MOD(SUMPRODUCT(--MID(P203,{1,2,3,4,5,6,7,8,9,10,11,12,13},1),{6,5,4,3,2,9,8,7,6,5,4,3,2}),11))),"OK","ERRO: dígito verificador")))))</f>
      </c>
      <c r="R203" s="6">
        <f>IF(P203="","",IF(COUNTIF($P$2:$P$1001,P203)&gt;1,"DUPLICADO","OK"))</f>
      </c>
      <c r="S203" s="6">
        <f>IF(AND(J203="",K203=""),"vazio",IF(AND(OR(J203="",LEN(SUBSTITUTE(SUBSTITUTE(SUBSTITUTE(SUBSTITUTE(SUBSTITUTE(SUBSTITUTE(SUBSTITUTE(TRIM(J203),".",""),"/",""),"-","")," ",""),"(",""),")",""),"+",""))=10,LEN(SUBSTITUTE(SUBSTITUTE(SUBSTITUTE(SUBSTITUTE(SUBSTITUTE(SUBSTITUTE(SUBSTITUTE(TRIM(J203),".",""),"/",""),"-","")," ",""),"(",""),")",""),"+",""))=11),OR(K203="",LEN(SUBSTITUTE(SUBSTITUTE(SUBSTITUTE(SUBSTITUTE(SUBSTITUTE(SUBSTITUTE(SUBSTITUTE(TRIM(K203),".",""),"/",""),"-","")," ",""),"(",""),")",""),"+",""))=10,LEN(SUBSTITUTE(SUBSTITUTE(SUBSTITUTE(SUBSTITUTE(SUBSTITUTE(SUBSTITUTE(SUBSTITUTE(TRIM(K203),".",""),"/",""),"-","")," ",""),"(",""),")",""),"+",""))=11)),"OK","ERRO: use DDD + número (10 ou 11 dígitos)"))</f>
      </c>
      <c r="T203" s="6">
        <f>IF(L203="","vazio",IF(AND(ISNUMBER(FIND("@",L203)),ISNUMBER(FIND(".",MID(L203,FIND("@",L203),99))),NOT(ISNUMBER(FIND(" ",TRIM(L203)))),NOT(ISNUMBER(FIND(";",L203))),NOT(ISNUMBER(FIND(",",L203)))),"OK","ERRO: um e-mail válido por linha"))</f>
      </c>
      <c r="U203" s="6">
        <f>IF(COUNTA(A203:O203)=0,"",IF(AND(B203&lt;&gt;"",C203&lt;&gt;"",D203&lt;&gt;"",E203&lt;&gt;"",H203&lt;&gt;"",OR(J203&lt;&gt;"",L203&lt;&gt;"")),"OK","ERRO: faltam "&amp;IF(B203="","Proprietário; ","")&amp;IF(C203="","Origem; ","")&amp;IF(D203="","CNPJ; ","")&amp;IF(E203="","Razão Social; ","")&amp;IF(H203="","Sobrenome; ","")&amp;IF(AND(J203="",L203=""),"telefone ou e-mail; ","")))</f>
      </c>
      <c r="V203" s="6">
        <f>IF(COUNTA(A203:O203)=0,"",IF(AND(Q203="OK",R203="OK",LEFT(S203,4)&lt;&gt;"ERRO",LEFT(T203,4)&lt;&gt;"ERRO",U203="OK"),"OK","REVISAR"))</f>
      </c>
    </row>
    <row r="204">
      <c r="A204" s="4"/>
      <c r="B204" s="5"/>
      <c r="C204" s="5"/>
      <c r="D204" s="5"/>
      <c r="E204" s="5"/>
      <c r="F204" s="4"/>
      <c r="G204" s="4"/>
      <c r="H204" s="5"/>
      <c r="I204" s="4"/>
      <c r="J204" s="4"/>
      <c r="K204" s="4"/>
      <c r="L204" s="4"/>
      <c r="M204" s="4"/>
      <c r="N204" s="4"/>
      <c r="O204" s="4"/>
      <c r="P204" s="6">
        <f>IF(D204="","",SUBSTITUTE(SUBSTITUTE(SUBSTITUTE(SUBSTITUTE(SUBSTITUTE(SUBSTITUTE(SUBSTITUTE(TRIM(D204),".",""),"/",""),"-","")," ",""),"(",""),")",""),"+",""))</f>
      </c>
      <c r="Q204" s="6">
        <f>IF(P204="","",IF(LEN(P204)&lt;&gt;14,"ERRO: "&amp;LEN(P204)&amp;" dígitos",IF(NOT(ISNUMBER(VALUE(P204))),"ERRO: não numérico",IF(LEN(SUBSTITUTE(P204,LEFT(P204,1),""))=0,"ERRO: dígitos repetidos",IF(AND(VALUE(MID(P204,13,1))=IF(MOD(SUMPRODUCT(--MID(P204,{1,2,3,4,5,6,7,8,9,10,11,12},1),{5,4,3,2,9,8,7,6,5,4,3,2}),11)&lt;2,0,11-MOD(SUMPRODUCT(--MID(P204,{1,2,3,4,5,6,7,8,9,10,11,12},1),{5,4,3,2,9,8,7,6,5,4,3,2}),11)),VALUE(MID(P204,14,1))=IF(MOD(SUMPRODUCT(--MID(P204,{1,2,3,4,5,6,7,8,9,10,11,12,13},1),{6,5,4,3,2,9,8,7,6,5,4,3,2}),11)&lt;2,0,11-MOD(SUMPRODUCT(--MID(P204,{1,2,3,4,5,6,7,8,9,10,11,12,13},1),{6,5,4,3,2,9,8,7,6,5,4,3,2}),11))),"OK","ERRO: dígito verificador")))))</f>
      </c>
      <c r="R204" s="6">
        <f>IF(P204="","",IF(COUNTIF($P$2:$P$1001,P204)&gt;1,"DUPLICADO","OK"))</f>
      </c>
      <c r="S204" s="6">
        <f>IF(AND(J204="",K204=""),"vazio",IF(AND(OR(J204="",LEN(SUBSTITUTE(SUBSTITUTE(SUBSTITUTE(SUBSTITUTE(SUBSTITUTE(SUBSTITUTE(SUBSTITUTE(TRIM(J204),".",""),"/",""),"-","")," ",""),"(",""),")",""),"+",""))=10,LEN(SUBSTITUTE(SUBSTITUTE(SUBSTITUTE(SUBSTITUTE(SUBSTITUTE(SUBSTITUTE(SUBSTITUTE(TRIM(J204),".",""),"/",""),"-","")," ",""),"(",""),")",""),"+",""))=11),OR(K204="",LEN(SUBSTITUTE(SUBSTITUTE(SUBSTITUTE(SUBSTITUTE(SUBSTITUTE(SUBSTITUTE(SUBSTITUTE(TRIM(K204),".",""),"/",""),"-","")," ",""),"(",""),")",""),"+",""))=10,LEN(SUBSTITUTE(SUBSTITUTE(SUBSTITUTE(SUBSTITUTE(SUBSTITUTE(SUBSTITUTE(SUBSTITUTE(TRIM(K204),".",""),"/",""),"-","")," ",""),"(",""),")",""),"+",""))=11)),"OK","ERRO: use DDD + número (10 ou 11 dígitos)"))</f>
      </c>
      <c r="T204" s="6">
        <f>IF(L204="","vazio",IF(AND(ISNUMBER(FIND("@",L204)),ISNUMBER(FIND(".",MID(L204,FIND("@",L204),99))),NOT(ISNUMBER(FIND(" ",TRIM(L204)))),NOT(ISNUMBER(FIND(";",L204))),NOT(ISNUMBER(FIND(",",L204)))),"OK","ERRO: um e-mail válido por linha"))</f>
      </c>
      <c r="U204" s="6">
        <f>IF(COUNTA(A204:O204)=0,"",IF(AND(B204&lt;&gt;"",C204&lt;&gt;"",D204&lt;&gt;"",E204&lt;&gt;"",H204&lt;&gt;"",OR(J204&lt;&gt;"",L204&lt;&gt;"")),"OK","ERRO: faltam "&amp;IF(B204="","Proprietário; ","")&amp;IF(C204="","Origem; ","")&amp;IF(D204="","CNPJ; ","")&amp;IF(E204="","Razão Social; ","")&amp;IF(H204="","Sobrenome; ","")&amp;IF(AND(J204="",L204=""),"telefone ou e-mail; ","")))</f>
      </c>
      <c r="V204" s="6">
        <f>IF(COUNTA(A204:O204)=0,"",IF(AND(Q204="OK",R204="OK",LEFT(S204,4)&lt;&gt;"ERRO",LEFT(T204,4)&lt;&gt;"ERRO",U204="OK"),"OK","REVISAR"))</f>
      </c>
    </row>
    <row r="205">
      <c r="A205" s="4"/>
      <c r="B205" s="5"/>
      <c r="C205" s="5"/>
      <c r="D205" s="5"/>
      <c r="E205" s="5"/>
      <c r="F205" s="4"/>
      <c r="G205" s="4"/>
      <c r="H205" s="5"/>
      <c r="I205" s="4"/>
      <c r="J205" s="4"/>
      <c r="K205" s="4"/>
      <c r="L205" s="4"/>
      <c r="M205" s="4"/>
      <c r="N205" s="4"/>
      <c r="O205" s="4"/>
      <c r="P205" s="6">
        <f>IF(D205="","",SUBSTITUTE(SUBSTITUTE(SUBSTITUTE(SUBSTITUTE(SUBSTITUTE(SUBSTITUTE(SUBSTITUTE(TRIM(D205),".",""),"/",""),"-","")," ",""),"(",""),")",""),"+",""))</f>
      </c>
      <c r="Q205" s="6">
        <f>IF(P205="","",IF(LEN(P205)&lt;&gt;14,"ERRO: "&amp;LEN(P205)&amp;" dígitos",IF(NOT(ISNUMBER(VALUE(P205))),"ERRO: não numérico",IF(LEN(SUBSTITUTE(P205,LEFT(P205,1),""))=0,"ERRO: dígitos repetidos",IF(AND(VALUE(MID(P205,13,1))=IF(MOD(SUMPRODUCT(--MID(P205,{1,2,3,4,5,6,7,8,9,10,11,12},1),{5,4,3,2,9,8,7,6,5,4,3,2}),11)&lt;2,0,11-MOD(SUMPRODUCT(--MID(P205,{1,2,3,4,5,6,7,8,9,10,11,12},1),{5,4,3,2,9,8,7,6,5,4,3,2}),11)),VALUE(MID(P205,14,1))=IF(MOD(SUMPRODUCT(--MID(P205,{1,2,3,4,5,6,7,8,9,10,11,12,13},1),{6,5,4,3,2,9,8,7,6,5,4,3,2}),11)&lt;2,0,11-MOD(SUMPRODUCT(--MID(P205,{1,2,3,4,5,6,7,8,9,10,11,12,13},1),{6,5,4,3,2,9,8,7,6,5,4,3,2}),11))),"OK","ERRO: dígito verificador")))))</f>
      </c>
      <c r="R205" s="6">
        <f>IF(P205="","",IF(COUNTIF($P$2:$P$1001,P205)&gt;1,"DUPLICADO","OK"))</f>
      </c>
      <c r="S205" s="6">
        <f>IF(AND(J205="",K205=""),"vazio",IF(AND(OR(J205="",LEN(SUBSTITUTE(SUBSTITUTE(SUBSTITUTE(SUBSTITUTE(SUBSTITUTE(SUBSTITUTE(SUBSTITUTE(TRIM(J205),".",""),"/",""),"-","")," ",""),"(",""),")",""),"+",""))=10,LEN(SUBSTITUTE(SUBSTITUTE(SUBSTITUTE(SUBSTITUTE(SUBSTITUTE(SUBSTITUTE(SUBSTITUTE(TRIM(J205),".",""),"/",""),"-","")," ",""),"(",""),")",""),"+",""))=11),OR(K205="",LEN(SUBSTITUTE(SUBSTITUTE(SUBSTITUTE(SUBSTITUTE(SUBSTITUTE(SUBSTITUTE(SUBSTITUTE(TRIM(K205),".",""),"/",""),"-","")," ",""),"(",""),")",""),"+",""))=10,LEN(SUBSTITUTE(SUBSTITUTE(SUBSTITUTE(SUBSTITUTE(SUBSTITUTE(SUBSTITUTE(SUBSTITUTE(TRIM(K205),".",""),"/",""),"-","")," ",""),"(",""),")",""),"+",""))=11)),"OK","ERRO: use DDD + número (10 ou 11 dígitos)"))</f>
      </c>
      <c r="T205" s="6">
        <f>IF(L205="","vazio",IF(AND(ISNUMBER(FIND("@",L205)),ISNUMBER(FIND(".",MID(L205,FIND("@",L205),99))),NOT(ISNUMBER(FIND(" ",TRIM(L205)))),NOT(ISNUMBER(FIND(";",L205))),NOT(ISNUMBER(FIND(",",L205)))),"OK","ERRO: um e-mail válido por linha"))</f>
      </c>
      <c r="U205" s="6">
        <f>IF(COUNTA(A205:O205)=0,"",IF(AND(B205&lt;&gt;"",C205&lt;&gt;"",D205&lt;&gt;"",E205&lt;&gt;"",H205&lt;&gt;"",OR(J205&lt;&gt;"",L205&lt;&gt;"")),"OK","ERRO: faltam "&amp;IF(B205="","Proprietário; ","")&amp;IF(C205="","Origem; ","")&amp;IF(D205="","CNPJ; ","")&amp;IF(E205="","Razão Social; ","")&amp;IF(H205="","Sobrenome; ","")&amp;IF(AND(J205="",L205=""),"telefone ou e-mail; ","")))</f>
      </c>
      <c r="V205" s="6">
        <f>IF(COUNTA(A205:O205)=0,"",IF(AND(Q205="OK",R205="OK",LEFT(S205,4)&lt;&gt;"ERRO",LEFT(T205,4)&lt;&gt;"ERRO",U205="OK"),"OK","REVISAR"))</f>
      </c>
    </row>
    <row r="206">
      <c r="A206" s="4"/>
      <c r="B206" s="5"/>
      <c r="C206" s="5"/>
      <c r="D206" s="5"/>
      <c r="E206" s="5"/>
      <c r="F206" s="4"/>
      <c r="G206" s="4"/>
      <c r="H206" s="5"/>
      <c r="I206" s="4"/>
      <c r="J206" s="4"/>
      <c r="K206" s="4"/>
      <c r="L206" s="4"/>
      <c r="M206" s="4"/>
      <c r="N206" s="4"/>
      <c r="O206" s="4"/>
      <c r="P206" s="6">
        <f>IF(D206="","",SUBSTITUTE(SUBSTITUTE(SUBSTITUTE(SUBSTITUTE(SUBSTITUTE(SUBSTITUTE(SUBSTITUTE(TRIM(D206),".",""),"/",""),"-","")," ",""),"(",""),")",""),"+",""))</f>
      </c>
      <c r="Q206" s="6">
        <f>IF(P206="","",IF(LEN(P206)&lt;&gt;14,"ERRO: "&amp;LEN(P206)&amp;" dígitos",IF(NOT(ISNUMBER(VALUE(P206))),"ERRO: não numérico",IF(LEN(SUBSTITUTE(P206,LEFT(P206,1),""))=0,"ERRO: dígitos repetidos",IF(AND(VALUE(MID(P206,13,1))=IF(MOD(SUMPRODUCT(--MID(P206,{1,2,3,4,5,6,7,8,9,10,11,12},1),{5,4,3,2,9,8,7,6,5,4,3,2}),11)&lt;2,0,11-MOD(SUMPRODUCT(--MID(P206,{1,2,3,4,5,6,7,8,9,10,11,12},1),{5,4,3,2,9,8,7,6,5,4,3,2}),11)),VALUE(MID(P206,14,1))=IF(MOD(SUMPRODUCT(--MID(P206,{1,2,3,4,5,6,7,8,9,10,11,12,13},1),{6,5,4,3,2,9,8,7,6,5,4,3,2}),11)&lt;2,0,11-MOD(SUMPRODUCT(--MID(P206,{1,2,3,4,5,6,7,8,9,10,11,12,13},1),{6,5,4,3,2,9,8,7,6,5,4,3,2}),11))),"OK","ERRO: dígito verificador")))))</f>
      </c>
      <c r="R206" s="6">
        <f>IF(P206="","",IF(COUNTIF($P$2:$P$1001,P206)&gt;1,"DUPLICADO","OK"))</f>
      </c>
      <c r="S206" s="6">
        <f>IF(AND(J206="",K206=""),"vazio",IF(AND(OR(J206="",LEN(SUBSTITUTE(SUBSTITUTE(SUBSTITUTE(SUBSTITUTE(SUBSTITUTE(SUBSTITUTE(SUBSTITUTE(TRIM(J206),".",""),"/",""),"-","")," ",""),"(",""),")",""),"+",""))=10,LEN(SUBSTITUTE(SUBSTITUTE(SUBSTITUTE(SUBSTITUTE(SUBSTITUTE(SUBSTITUTE(SUBSTITUTE(TRIM(J206),".",""),"/",""),"-","")," ",""),"(",""),")",""),"+",""))=11),OR(K206="",LEN(SUBSTITUTE(SUBSTITUTE(SUBSTITUTE(SUBSTITUTE(SUBSTITUTE(SUBSTITUTE(SUBSTITUTE(TRIM(K206),".",""),"/",""),"-","")," ",""),"(",""),")",""),"+",""))=10,LEN(SUBSTITUTE(SUBSTITUTE(SUBSTITUTE(SUBSTITUTE(SUBSTITUTE(SUBSTITUTE(SUBSTITUTE(TRIM(K206),".",""),"/",""),"-","")," ",""),"(",""),")",""),"+",""))=11)),"OK","ERRO: use DDD + número (10 ou 11 dígitos)"))</f>
      </c>
      <c r="T206" s="6">
        <f>IF(L206="","vazio",IF(AND(ISNUMBER(FIND("@",L206)),ISNUMBER(FIND(".",MID(L206,FIND("@",L206),99))),NOT(ISNUMBER(FIND(" ",TRIM(L206)))),NOT(ISNUMBER(FIND(";",L206))),NOT(ISNUMBER(FIND(",",L206)))),"OK","ERRO: um e-mail válido por linha"))</f>
      </c>
      <c r="U206" s="6">
        <f>IF(COUNTA(A206:O206)=0,"",IF(AND(B206&lt;&gt;"",C206&lt;&gt;"",D206&lt;&gt;"",E206&lt;&gt;"",H206&lt;&gt;"",OR(J206&lt;&gt;"",L206&lt;&gt;"")),"OK","ERRO: faltam "&amp;IF(B206="","Proprietário; ","")&amp;IF(C206="","Origem; ","")&amp;IF(D206="","CNPJ; ","")&amp;IF(E206="","Razão Social; ","")&amp;IF(H206="","Sobrenome; ","")&amp;IF(AND(J206="",L206=""),"telefone ou e-mail; ","")))</f>
      </c>
      <c r="V206" s="6">
        <f>IF(COUNTA(A206:O206)=0,"",IF(AND(Q206="OK",R206="OK",LEFT(S206,4)&lt;&gt;"ERRO",LEFT(T206,4)&lt;&gt;"ERRO",U206="OK"),"OK","REVISAR"))</f>
      </c>
    </row>
    <row r="207">
      <c r="A207" s="4"/>
      <c r="B207" s="5"/>
      <c r="C207" s="5"/>
      <c r="D207" s="5"/>
      <c r="E207" s="5"/>
      <c r="F207" s="4"/>
      <c r="G207" s="4"/>
      <c r="H207" s="5"/>
      <c r="I207" s="4"/>
      <c r="J207" s="4"/>
      <c r="K207" s="4"/>
      <c r="L207" s="4"/>
      <c r="M207" s="4"/>
      <c r="N207" s="4"/>
      <c r="O207" s="4"/>
      <c r="P207" s="6">
        <f>IF(D207="","",SUBSTITUTE(SUBSTITUTE(SUBSTITUTE(SUBSTITUTE(SUBSTITUTE(SUBSTITUTE(SUBSTITUTE(TRIM(D207),".",""),"/",""),"-","")," ",""),"(",""),")",""),"+",""))</f>
      </c>
      <c r="Q207" s="6">
        <f>IF(P207="","",IF(LEN(P207)&lt;&gt;14,"ERRO: "&amp;LEN(P207)&amp;" dígitos",IF(NOT(ISNUMBER(VALUE(P207))),"ERRO: não numérico",IF(LEN(SUBSTITUTE(P207,LEFT(P207,1),""))=0,"ERRO: dígitos repetidos",IF(AND(VALUE(MID(P207,13,1))=IF(MOD(SUMPRODUCT(--MID(P207,{1,2,3,4,5,6,7,8,9,10,11,12},1),{5,4,3,2,9,8,7,6,5,4,3,2}),11)&lt;2,0,11-MOD(SUMPRODUCT(--MID(P207,{1,2,3,4,5,6,7,8,9,10,11,12},1),{5,4,3,2,9,8,7,6,5,4,3,2}),11)),VALUE(MID(P207,14,1))=IF(MOD(SUMPRODUCT(--MID(P207,{1,2,3,4,5,6,7,8,9,10,11,12,13},1),{6,5,4,3,2,9,8,7,6,5,4,3,2}),11)&lt;2,0,11-MOD(SUMPRODUCT(--MID(P207,{1,2,3,4,5,6,7,8,9,10,11,12,13},1),{6,5,4,3,2,9,8,7,6,5,4,3,2}),11))),"OK","ERRO: dígito verificador")))))</f>
      </c>
      <c r="R207" s="6">
        <f>IF(P207="","",IF(COUNTIF($P$2:$P$1001,P207)&gt;1,"DUPLICADO","OK"))</f>
      </c>
      <c r="S207" s="6">
        <f>IF(AND(J207="",K207=""),"vazio",IF(AND(OR(J207="",LEN(SUBSTITUTE(SUBSTITUTE(SUBSTITUTE(SUBSTITUTE(SUBSTITUTE(SUBSTITUTE(SUBSTITUTE(TRIM(J207),".",""),"/",""),"-","")," ",""),"(",""),")",""),"+",""))=10,LEN(SUBSTITUTE(SUBSTITUTE(SUBSTITUTE(SUBSTITUTE(SUBSTITUTE(SUBSTITUTE(SUBSTITUTE(TRIM(J207),".",""),"/",""),"-","")," ",""),"(",""),")",""),"+",""))=11),OR(K207="",LEN(SUBSTITUTE(SUBSTITUTE(SUBSTITUTE(SUBSTITUTE(SUBSTITUTE(SUBSTITUTE(SUBSTITUTE(TRIM(K207),".",""),"/",""),"-","")," ",""),"(",""),")",""),"+",""))=10,LEN(SUBSTITUTE(SUBSTITUTE(SUBSTITUTE(SUBSTITUTE(SUBSTITUTE(SUBSTITUTE(SUBSTITUTE(TRIM(K207),".",""),"/",""),"-","")," ",""),"(",""),")",""),"+",""))=11)),"OK","ERRO: use DDD + número (10 ou 11 dígitos)"))</f>
      </c>
      <c r="T207" s="6">
        <f>IF(L207="","vazio",IF(AND(ISNUMBER(FIND("@",L207)),ISNUMBER(FIND(".",MID(L207,FIND("@",L207),99))),NOT(ISNUMBER(FIND(" ",TRIM(L207)))),NOT(ISNUMBER(FIND(";",L207))),NOT(ISNUMBER(FIND(",",L207)))),"OK","ERRO: um e-mail válido por linha"))</f>
      </c>
      <c r="U207" s="6">
        <f>IF(COUNTA(A207:O207)=0,"",IF(AND(B207&lt;&gt;"",C207&lt;&gt;"",D207&lt;&gt;"",E207&lt;&gt;"",H207&lt;&gt;"",OR(J207&lt;&gt;"",L207&lt;&gt;"")),"OK","ERRO: faltam "&amp;IF(B207="","Proprietário; ","")&amp;IF(C207="","Origem; ","")&amp;IF(D207="","CNPJ; ","")&amp;IF(E207="","Razão Social; ","")&amp;IF(H207="","Sobrenome; ","")&amp;IF(AND(J207="",L207=""),"telefone ou e-mail; ","")))</f>
      </c>
      <c r="V207" s="6">
        <f>IF(COUNTA(A207:O207)=0,"",IF(AND(Q207="OK",R207="OK",LEFT(S207,4)&lt;&gt;"ERRO",LEFT(T207,4)&lt;&gt;"ERRO",U207="OK"),"OK","REVISAR"))</f>
      </c>
    </row>
    <row r="208">
      <c r="A208" s="4"/>
      <c r="B208" s="5"/>
      <c r="C208" s="5"/>
      <c r="D208" s="5"/>
      <c r="E208" s="5"/>
      <c r="F208" s="4"/>
      <c r="G208" s="4"/>
      <c r="H208" s="5"/>
      <c r="I208" s="4"/>
      <c r="J208" s="4"/>
      <c r="K208" s="4"/>
      <c r="L208" s="4"/>
      <c r="M208" s="4"/>
      <c r="N208" s="4"/>
      <c r="O208" s="4"/>
      <c r="P208" s="6">
        <f>IF(D208="","",SUBSTITUTE(SUBSTITUTE(SUBSTITUTE(SUBSTITUTE(SUBSTITUTE(SUBSTITUTE(SUBSTITUTE(TRIM(D208),".",""),"/",""),"-","")," ",""),"(",""),")",""),"+",""))</f>
      </c>
      <c r="Q208" s="6">
        <f>IF(P208="","",IF(LEN(P208)&lt;&gt;14,"ERRO: "&amp;LEN(P208)&amp;" dígitos",IF(NOT(ISNUMBER(VALUE(P208))),"ERRO: não numérico",IF(LEN(SUBSTITUTE(P208,LEFT(P208,1),""))=0,"ERRO: dígitos repetidos",IF(AND(VALUE(MID(P208,13,1))=IF(MOD(SUMPRODUCT(--MID(P208,{1,2,3,4,5,6,7,8,9,10,11,12},1),{5,4,3,2,9,8,7,6,5,4,3,2}),11)&lt;2,0,11-MOD(SUMPRODUCT(--MID(P208,{1,2,3,4,5,6,7,8,9,10,11,12},1),{5,4,3,2,9,8,7,6,5,4,3,2}),11)),VALUE(MID(P208,14,1))=IF(MOD(SUMPRODUCT(--MID(P208,{1,2,3,4,5,6,7,8,9,10,11,12,13},1),{6,5,4,3,2,9,8,7,6,5,4,3,2}),11)&lt;2,0,11-MOD(SUMPRODUCT(--MID(P208,{1,2,3,4,5,6,7,8,9,10,11,12,13},1),{6,5,4,3,2,9,8,7,6,5,4,3,2}),11))),"OK","ERRO: dígito verificador")))))</f>
      </c>
      <c r="R208" s="6">
        <f>IF(P208="","",IF(COUNTIF($P$2:$P$1001,P208)&gt;1,"DUPLICADO","OK"))</f>
      </c>
      <c r="S208" s="6">
        <f>IF(AND(J208="",K208=""),"vazio",IF(AND(OR(J208="",LEN(SUBSTITUTE(SUBSTITUTE(SUBSTITUTE(SUBSTITUTE(SUBSTITUTE(SUBSTITUTE(SUBSTITUTE(TRIM(J208),".",""),"/",""),"-","")," ",""),"(",""),")",""),"+",""))=10,LEN(SUBSTITUTE(SUBSTITUTE(SUBSTITUTE(SUBSTITUTE(SUBSTITUTE(SUBSTITUTE(SUBSTITUTE(TRIM(J208),".",""),"/",""),"-","")," ",""),"(",""),")",""),"+",""))=11),OR(K208="",LEN(SUBSTITUTE(SUBSTITUTE(SUBSTITUTE(SUBSTITUTE(SUBSTITUTE(SUBSTITUTE(SUBSTITUTE(TRIM(K208),".",""),"/",""),"-","")," ",""),"(",""),")",""),"+",""))=10,LEN(SUBSTITUTE(SUBSTITUTE(SUBSTITUTE(SUBSTITUTE(SUBSTITUTE(SUBSTITUTE(SUBSTITUTE(TRIM(K208),".",""),"/",""),"-","")," ",""),"(",""),")",""),"+",""))=11)),"OK","ERRO: use DDD + número (10 ou 11 dígitos)"))</f>
      </c>
      <c r="T208" s="6">
        <f>IF(L208="","vazio",IF(AND(ISNUMBER(FIND("@",L208)),ISNUMBER(FIND(".",MID(L208,FIND("@",L208),99))),NOT(ISNUMBER(FIND(" ",TRIM(L208)))),NOT(ISNUMBER(FIND(";",L208))),NOT(ISNUMBER(FIND(",",L208)))),"OK","ERRO: um e-mail válido por linha"))</f>
      </c>
      <c r="U208" s="6">
        <f>IF(COUNTA(A208:O208)=0,"",IF(AND(B208&lt;&gt;"",C208&lt;&gt;"",D208&lt;&gt;"",E208&lt;&gt;"",H208&lt;&gt;"",OR(J208&lt;&gt;"",L208&lt;&gt;"")),"OK","ERRO: faltam "&amp;IF(B208="","Proprietário; ","")&amp;IF(C208="","Origem; ","")&amp;IF(D208="","CNPJ; ","")&amp;IF(E208="","Razão Social; ","")&amp;IF(H208="","Sobrenome; ","")&amp;IF(AND(J208="",L208=""),"telefone ou e-mail; ","")))</f>
      </c>
      <c r="V208" s="6">
        <f>IF(COUNTA(A208:O208)=0,"",IF(AND(Q208="OK",R208="OK",LEFT(S208,4)&lt;&gt;"ERRO",LEFT(T208,4)&lt;&gt;"ERRO",U208="OK"),"OK","REVISAR"))</f>
      </c>
    </row>
    <row r="209">
      <c r="A209" s="4"/>
      <c r="B209" s="5"/>
      <c r="C209" s="5"/>
      <c r="D209" s="5"/>
      <c r="E209" s="5"/>
      <c r="F209" s="4"/>
      <c r="G209" s="4"/>
      <c r="H209" s="5"/>
      <c r="I209" s="4"/>
      <c r="J209" s="4"/>
      <c r="K209" s="4"/>
      <c r="L209" s="4"/>
      <c r="M209" s="4"/>
      <c r="N209" s="4"/>
      <c r="O209" s="4"/>
      <c r="P209" s="6">
        <f>IF(D209="","",SUBSTITUTE(SUBSTITUTE(SUBSTITUTE(SUBSTITUTE(SUBSTITUTE(SUBSTITUTE(SUBSTITUTE(TRIM(D209),".",""),"/",""),"-","")," ",""),"(",""),")",""),"+",""))</f>
      </c>
      <c r="Q209" s="6">
        <f>IF(P209="","",IF(LEN(P209)&lt;&gt;14,"ERRO: "&amp;LEN(P209)&amp;" dígitos",IF(NOT(ISNUMBER(VALUE(P209))),"ERRO: não numérico",IF(LEN(SUBSTITUTE(P209,LEFT(P209,1),""))=0,"ERRO: dígitos repetidos",IF(AND(VALUE(MID(P209,13,1))=IF(MOD(SUMPRODUCT(--MID(P209,{1,2,3,4,5,6,7,8,9,10,11,12},1),{5,4,3,2,9,8,7,6,5,4,3,2}),11)&lt;2,0,11-MOD(SUMPRODUCT(--MID(P209,{1,2,3,4,5,6,7,8,9,10,11,12},1),{5,4,3,2,9,8,7,6,5,4,3,2}),11)),VALUE(MID(P209,14,1))=IF(MOD(SUMPRODUCT(--MID(P209,{1,2,3,4,5,6,7,8,9,10,11,12,13},1),{6,5,4,3,2,9,8,7,6,5,4,3,2}),11)&lt;2,0,11-MOD(SUMPRODUCT(--MID(P209,{1,2,3,4,5,6,7,8,9,10,11,12,13},1),{6,5,4,3,2,9,8,7,6,5,4,3,2}),11))),"OK","ERRO: dígito verificador")))))</f>
      </c>
      <c r="R209" s="6">
        <f>IF(P209="","",IF(COUNTIF($P$2:$P$1001,P209)&gt;1,"DUPLICADO","OK"))</f>
      </c>
      <c r="S209" s="6">
        <f>IF(AND(J209="",K209=""),"vazio",IF(AND(OR(J209="",LEN(SUBSTITUTE(SUBSTITUTE(SUBSTITUTE(SUBSTITUTE(SUBSTITUTE(SUBSTITUTE(SUBSTITUTE(TRIM(J209),".",""),"/",""),"-","")," ",""),"(",""),")",""),"+",""))=10,LEN(SUBSTITUTE(SUBSTITUTE(SUBSTITUTE(SUBSTITUTE(SUBSTITUTE(SUBSTITUTE(SUBSTITUTE(TRIM(J209),".",""),"/",""),"-","")," ",""),"(",""),")",""),"+",""))=11),OR(K209="",LEN(SUBSTITUTE(SUBSTITUTE(SUBSTITUTE(SUBSTITUTE(SUBSTITUTE(SUBSTITUTE(SUBSTITUTE(TRIM(K209),".",""),"/",""),"-","")," ",""),"(",""),")",""),"+",""))=10,LEN(SUBSTITUTE(SUBSTITUTE(SUBSTITUTE(SUBSTITUTE(SUBSTITUTE(SUBSTITUTE(SUBSTITUTE(TRIM(K209),".",""),"/",""),"-","")," ",""),"(",""),")",""),"+",""))=11)),"OK","ERRO: use DDD + número (10 ou 11 dígitos)"))</f>
      </c>
      <c r="T209" s="6">
        <f>IF(L209="","vazio",IF(AND(ISNUMBER(FIND("@",L209)),ISNUMBER(FIND(".",MID(L209,FIND("@",L209),99))),NOT(ISNUMBER(FIND(" ",TRIM(L209)))),NOT(ISNUMBER(FIND(";",L209))),NOT(ISNUMBER(FIND(",",L209)))),"OK","ERRO: um e-mail válido por linha"))</f>
      </c>
      <c r="U209" s="6">
        <f>IF(COUNTA(A209:O209)=0,"",IF(AND(B209&lt;&gt;"",C209&lt;&gt;"",D209&lt;&gt;"",E209&lt;&gt;"",H209&lt;&gt;"",OR(J209&lt;&gt;"",L209&lt;&gt;"")),"OK","ERRO: faltam "&amp;IF(B209="","Proprietário; ","")&amp;IF(C209="","Origem; ","")&amp;IF(D209="","CNPJ; ","")&amp;IF(E209="","Razão Social; ","")&amp;IF(H209="","Sobrenome; ","")&amp;IF(AND(J209="",L209=""),"telefone ou e-mail; ","")))</f>
      </c>
      <c r="V209" s="6">
        <f>IF(COUNTA(A209:O209)=0,"",IF(AND(Q209="OK",R209="OK",LEFT(S209,4)&lt;&gt;"ERRO",LEFT(T209,4)&lt;&gt;"ERRO",U209="OK"),"OK","REVISAR"))</f>
      </c>
    </row>
    <row r="210">
      <c r="A210" s="4"/>
      <c r="B210" s="5"/>
      <c r="C210" s="5"/>
      <c r="D210" s="5"/>
      <c r="E210" s="5"/>
      <c r="F210" s="4"/>
      <c r="G210" s="4"/>
      <c r="H210" s="5"/>
      <c r="I210" s="4"/>
      <c r="J210" s="4"/>
      <c r="K210" s="4"/>
      <c r="L210" s="4"/>
      <c r="M210" s="4"/>
      <c r="N210" s="4"/>
      <c r="O210" s="4"/>
      <c r="P210" s="6">
        <f>IF(D210="","",SUBSTITUTE(SUBSTITUTE(SUBSTITUTE(SUBSTITUTE(SUBSTITUTE(SUBSTITUTE(SUBSTITUTE(TRIM(D210),".",""),"/",""),"-","")," ",""),"(",""),")",""),"+",""))</f>
      </c>
      <c r="Q210" s="6">
        <f>IF(P210="","",IF(LEN(P210)&lt;&gt;14,"ERRO: "&amp;LEN(P210)&amp;" dígitos",IF(NOT(ISNUMBER(VALUE(P210))),"ERRO: não numérico",IF(LEN(SUBSTITUTE(P210,LEFT(P210,1),""))=0,"ERRO: dígitos repetidos",IF(AND(VALUE(MID(P210,13,1))=IF(MOD(SUMPRODUCT(--MID(P210,{1,2,3,4,5,6,7,8,9,10,11,12},1),{5,4,3,2,9,8,7,6,5,4,3,2}),11)&lt;2,0,11-MOD(SUMPRODUCT(--MID(P210,{1,2,3,4,5,6,7,8,9,10,11,12},1),{5,4,3,2,9,8,7,6,5,4,3,2}),11)),VALUE(MID(P210,14,1))=IF(MOD(SUMPRODUCT(--MID(P210,{1,2,3,4,5,6,7,8,9,10,11,12,13},1),{6,5,4,3,2,9,8,7,6,5,4,3,2}),11)&lt;2,0,11-MOD(SUMPRODUCT(--MID(P210,{1,2,3,4,5,6,7,8,9,10,11,12,13},1),{6,5,4,3,2,9,8,7,6,5,4,3,2}),11))),"OK","ERRO: dígito verificador")))))</f>
      </c>
      <c r="R210" s="6">
        <f>IF(P210="","",IF(COUNTIF($P$2:$P$1001,P210)&gt;1,"DUPLICADO","OK"))</f>
      </c>
      <c r="S210" s="6">
        <f>IF(AND(J210="",K210=""),"vazio",IF(AND(OR(J210="",LEN(SUBSTITUTE(SUBSTITUTE(SUBSTITUTE(SUBSTITUTE(SUBSTITUTE(SUBSTITUTE(SUBSTITUTE(TRIM(J210),".",""),"/",""),"-","")," ",""),"(",""),")",""),"+",""))=10,LEN(SUBSTITUTE(SUBSTITUTE(SUBSTITUTE(SUBSTITUTE(SUBSTITUTE(SUBSTITUTE(SUBSTITUTE(TRIM(J210),".",""),"/",""),"-","")," ",""),"(",""),")",""),"+",""))=11),OR(K210="",LEN(SUBSTITUTE(SUBSTITUTE(SUBSTITUTE(SUBSTITUTE(SUBSTITUTE(SUBSTITUTE(SUBSTITUTE(TRIM(K210),".",""),"/",""),"-","")," ",""),"(",""),")",""),"+",""))=10,LEN(SUBSTITUTE(SUBSTITUTE(SUBSTITUTE(SUBSTITUTE(SUBSTITUTE(SUBSTITUTE(SUBSTITUTE(TRIM(K210),".",""),"/",""),"-","")," ",""),"(",""),")",""),"+",""))=11)),"OK","ERRO: use DDD + número (10 ou 11 dígitos)"))</f>
      </c>
      <c r="T210" s="6">
        <f>IF(L210="","vazio",IF(AND(ISNUMBER(FIND("@",L210)),ISNUMBER(FIND(".",MID(L210,FIND("@",L210),99))),NOT(ISNUMBER(FIND(" ",TRIM(L210)))),NOT(ISNUMBER(FIND(";",L210))),NOT(ISNUMBER(FIND(",",L210)))),"OK","ERRO: um e-mail válido por linha"))</f>
      </c>
      <c r="U210" s="6">
        <f>IF(COUNTA(A210:O210)=0,"",IF(AND(B210&lt;&gt;"",C210&lt;&gt;"",D210&lt;&gt;"",E210&lt;&gt;"",H210&lt;&gt;"",OR(J210&lt;&gt;"",L210&lt;&gt;"")),"OK","ERRO: faltam "&amp;IF(B210="","Proprietário; ","")&amp;IF(C210="","Origem; ","")&amp;IF(D210="","CNPJ; ","")&amp;IF(E210="","Razão Social; ","")&amp;IF(H210="","Sobrenome; ","")&amp;IF(AND(J210="",L210=""),"telefone ou e-mail; ","")))</f>
      </c>
      <c r="V210" s="6">
        <f>IF(COUNTA(A210:O210)=0,"",IF(AND(Q210="OK",R210="OK",LEFT(S210,4)&lt;&gt;"ERRO",LEFT(T210,4)&lt;&gt;"ERRO",U210="OK"),"OK","REVISAR"))</f>
      </c>
    </row>
    <row r="211">
      <c r="A211" s="4"/>
      <c r="B211" s="5"/>
      <c r="C211" s="5"/>
      <c r="D211" s="5"/>
      <c r="E211" s="5"/>
      <c r="F211" s="4"/>
      <c r="G211" s="4"/>
      <c r="H211" s="5"/>
      <c r="I211" s="4"/>
      <c r="J211" s="4"/>
      <c r="K211" s="4"/>
      <c r="L211" s="4"/>
      <c r="M211" s="4"/>
      <c r="N211" s="4"/>
      <c r="O211" s="4"/>
      <c r="P211" s="6">
        <f>IF(D211="","",SUBSTITUTE(SUBSTITUTE(SUBSTITUTE(SUBSTITUTE(SUBSTITUTE(SUBSTITUTE(SUBSTITUTE(TRIM(D211),".",""),"/",""),"-","")," ",""),"(",""),")",""),"+",""))</f>
      </c>
      <c r="Q211" s="6">
        <f>IF(P211="","",IF(LEN(P211)&lt;&gt;14,"ERRO: "&amp;LEN(P211)&amp;" dígitos",IF(NOT(ISNUMBER(VALUE(P211))),"ERRO: não numérico",IF(LEN(SUBSTITUTE(P211,LEFT(P211,1),""))=0,"ERRO: dígitos repetidos",IF(AND(VALUE(MID(P211,13,1))=IF(MOD(SUMPRODUCT(--MID(P211,{1,2,3,4,5,6,7,8,9,10,11,12},1),{5,4,3,2,9,8,7,6,5,4,3,2}),11)&lt;2,0,11-MOD(SUMPRODUCT(--MID(P211,{1,2,3,4,5,6,7,8,9,10,11,12},1),{5,4,3,2,9,8,7,6,5,4,3,2}),11)),VALUE(MID(P211,14,1))=IF(MOD(SUMPRODUCT(--MID(P211,{1,2,3,4,5,6,7,8,9,10,11,12,13},1),{6,5,4,3,2,9,8,7,6,5,4,3,2}),11)&lt;2,0,11-MOD(SUMPRODUCT(--MID(P211,{1,2,3,4,5,6,7,8,9,10,11,12,13},1),{6,5,4,3,2,9,8,7,6,5,4,3,2}),11))),"OK","ERRO: dígito verificador")))))</f>
      </c>
      <c r="R211" s="6">
        <f>IF(P211="","",IF(COUNTIF($P$2:$P$1001,P211)&gt;1,"DUPLICADO","OK"))</f>
      </c>
      <c r="S211" s="6">
        <f>IF(AND(J211="",K211=""),"vazio",IF(AND(OR(J211="",LEN(SUBSTITUTE(SUBSTITUTE(SUBSTITUTE(SUBSTITUTE(SUBSTITUTE(SUBSTITUTE(SUBSTITUTE(TRIM(J211),".",""),"/",""),"-","")," ",""),"(",""),")",""),"+",""))=10,LEN(SUBSTITUTE(SUBSTITUTE(SUBSTITUTE(SUBSTITUTE(SUBSTITUTE(SUBSTITUTE(SUBSTITUTE(TRIM(J211),".",""),"/",""),"-","")," ",""),"(",""),")",""),"+",""))=11),OR(K211="",LEN(SUBSTITUTE(SUBSTITUTE(SUBSTITUTE(SUBSTITUTE(SUBSTITUTE(SUBSTITUTE(SUBSTITUTE(TRIM(K211),".",""),"/",""),"-","")," ",""),"(",""),")",""),"+",""))=10,LEN(SUBSTITUTE(SUBSTITUTE(SUBSTITUTE(SUBSTITUTE(SUBSTITUTE(SUBSTITUTE(SUBSTITUTE(TRIM(K211),".",""),"/",""),"-","")," ",""),"(",""),")",""),"+",""))=11)),"OK","ERRO: use DDD + número (10 ou 11 dígitos)"))</f>
      </c>
      <c r="T211" s="6">
        <f>IF(L211="","vazio",IF(AND(ISNUMBER(FIND("@",L211)),ISNUMBER(FIND(".",MID(L211,FIND("@",L211),99))),NOT(ISNUMBER(FIND(" ",TRIM(L211)))),NOT(ISNUMBER(FIND(";",L211))),NOT(ISNUMBER(FIND(",",L211)))),"OK","ERRO: um e-mail válido por linha"))</f>
      </c>
      <c r="U211" s="6">
        <f>IF(COUNTA(A211:O211)=0,"",IF(AND(B211&lt;&gt;"",C211&lt;&gt;"",D211&lt;&gt;"",E211&lt;&gt;"",H211&lt;&gt;"",OR(J211&lt;&gt;"",L211&lt;&gt;"")),"OK","ERRO: faltam "&amp;IF(B211="","Proprietário; ","")&amp;IF(C211="","Origem; ","")&amp;IF(D211="","CNPJ; ","")&amp;IF(E211="","Razão Social; ","")&amp;IF(H211="","Sobrenome; ","")&amp;IF(AND(J211="",L211=""),"telefone ou e-mail; ","")))</f>
      </c>
      <c r="V211" s="6">
        <f>IF(COUNTA(A211:O211)=0,"",IF(AND(Q211="OK",R211="OK",LEFT(S211,4)&lt;&gt;"ERRO",LEFT(T211,4)&lt;&gt;"ERRO",U211="OK"),"OK","REVISAR"))</f>
      </c>
    </row>
    <row r="212">
      <c r="A212" s="4"/>
      <c r="B212" s="5"/>
      <c r="C212" s="5"/>
      <c r="D212" s="5"/>
      <c r="E212" s="5"/>
      <c r="F212" s="4"/>
      <c r="G212" s="4"/>
      <c r="H212" s="5"/>
      <c r="I212" s="4"/>
      <c r="J212" s="4"/>
      <c r="K212" s="4"/>
      <c r="L212" s="4"/>
      <c r="M212" s="4"/>
      <c r="N212" s="4"/>
      <c r="O212" s="4"/>
      <c r="P212" s="6">
        <f>IF(D212="","",SUBSTITUTE(SUBSTITUTE(SUBSTITUTE(SUBSTITUTE(SUBSTITUTE(SUBSTITUTE(SUBSTITUTE(TRIM(D212),".",""),"/",""),"-","")," ",""),"(",""),")",""),"+",""))</f>
      </c>
      <c r="Q212" s="6">
        <f>IF(P212="","",IF(LEN(P212)&lt;&gt;14,"ERRO: "&amp;LEN(P212)&amp;" dígitos",IF(NOT(ISNUMBER(VALUE(P212))),"ERRO: não numérico",IF(LEN(SUBSTITUTE(P212,LEFT(P212,1),""))=0,"ERRO: dígitos repetidos",IF(AND(VALUE(MID(P212,13,1))=IF(MOD(SUMPRODUCT(--MID(P212,{1,2,3,4,5,6,7,8,9,10,11,12},1),{5,4,3,2,9,8,7,6,5,4,3,2}),11)&lt;2,0,11-MOD(SUMPRODUCT(--MID(P212,{1,2,3,4,5,6,7,8,9,10,11,12},1),{5,4,3,2,9,8,7,6,5,4,3,2}),11)),VALUE(MID(P212,14,1))=IF(MOD(SUMPRODUCT(--MID(P212,{1,2,3,4,5,6,7,8,9,10,11,12,13},1),{6,5,4,3,2,9,8,7,6,5,4,3,2}),11)&lt;2,0,11-MOD(SUMPRODUCT(--MID(P212,{1,2,3,4,5,6,7,8,9,10,11,12,13},1),{6,5,4,3,2,9,8,7,6,5,4,3,2}),11))),"OK","ERRO: dígito verificador")))))</f>
      </c>
      <c r="R212" s="6">
        <f>IF(P212="","",IF(COUNTIF($P$2:$P$1001,P212)&gt;1,"DUPLICADO","OK"))</f>
      </c>
      <c r="S212" s="6">
        <f>IF(AND(J212="",K212=""),"vazio",IF(AND(OR(J212="",LEN(SUBSTITUTE(SUBSTITUTE(SUBSTITUTE(SUBSTITUTE(SUBSTITUTE(SUBSTITUTE(SUBSTITUTE(TRIM(J212),".",""),"/",""),"-","")," ",""),"(",""),")",""),"+",""))=10,LEN(SUBSTITUTE(SUBSTITUTE(SUBSTITUTE(SUBSTITUTE(SUBSTITUTE(SUBSTITUTE(SUBSTITUTE(TRIM(J212),".",""),"/",""),"-","")," ",""),"(",""),")",""),"+",""))=11),OR(K212="",LEN(SUBSTITUTE(SUBSTITUTE(SUBSTITUTE(SUBSTITUTE(SUBSTITUTE(SUBSTITUTE(SUBSTITUTE(TRIM(K212),".",""),"/",""),"-","")," ",""),"(",""),")",""),"+",""))=10,LEN(SUBSTITUTE(SUBSTITUTE(SUBSTITUTE(SUBSTITUTE(SUBSTITUTE(SUBSTITUTE(SUBSTITUTE(TRIM(K212),".",""),"/",""),"-","")," ",""),"(",""),")",""),"+",""))=11)),"OK","ERRO: use DDD + número (10 ou 11 dígitos)"))</f>
      </c>
      <c r="T212" s="6">
        <f>IF(L212="","vazio",IF(AND(ISNUMBER(FIND("@",L212)),ISNUMBER(FIND(".",MID(L212,FIND("@",L212),99))),NOT(ISNUMBER(FIND(" ",TRIM(L212)))),NOT(ISNUMBER(FIND(";",L212))),NOT(ISNUMBER(FIND(",",L212)))),"OK","ERRO: um e-mail válido por linha"))</f>
      </c>
      <c r="U212" s="6">
        <f>IF(COUNTA(A212:O212)=0,"",IF(AND(B212&lt;&gt;"",C212&lt;&gt;"",D212&lt;&gt;"",E212&lt;&gt;"",H212&lt;&gt;"",OR(J212&lt;&gt;"",L212&lt;&gt;"")),"OK","ERRO: faltam "&amp;IF(B212="","Proprietário; ","")&amp;IF(C212="","Origem; ","")&amp;IF(D212="","CNPJ; ","")&amp;IF(E212="","Razão Social; ","")&amp;IF(H212="","Sobrenome; ","")&amp;IF(AND(J212="",L212=""),"telefone ou e-mail; ","")))</f>
      </c>
      <c r="V212" s="6">
        <f>IF(COUNTA(A212:O212)=0,"",IF(AND(Q212="OK",R212="OK",LEFT(S212,4)&lt;&gt;"ERRO",LEFT(T212,4)&lt;&gt;"ERRO",U212="OK"),"OK","REVISAR"))</f>
      </c>
    </row>
    <row r="213">
      <c r="A213" s="4"/>
      <c r="B213" s="5"/>
      <c r="C213" s="5"/>
      <c r="D213" s="5"/>
      <c r="E213" s="5"/>
      <c r="F213" s="4"/>
      <c r="G213" s="4"/>
      <c r="H213" s="5"/>
      <c r="I213" s="4"/>
      <c r="J213" s="4"/>
      <c r="K213" s="4"/>
      <c r="L213" s="4"/>
      <c r="M213" s="4"/>
      <c r="N213" s="4"/>
      <c r="O213" s="4"/>
      <c r="P213" s="6">
        <f>IF(D213="","",SUBSTITUTE(SUBSTITUTE(SUBSTITUTE(SUBSTITUTE(SUBSTITUTE(SUBSTITUTE(SUBSTITUTE(TRIM(D213),".",""),"/",""),"-","")," ",""),"(",""),")",""),"+",""))</f>
      </c>
      <c r="Q213" s="6">
        <f>IF(P213="","",IF(LEN(P213)&lt;&gt;14,"ERRO: "&amp;LEN(P213)&amp;" dígitos",IF(NOT(ISNUMBER(VALUE(P213))),"ERRO: não numérico",IF(LEN(SUBSTITUTE(P213,LEFT(P213,1),""))=0,"ERRO: dígitos repetidos",IF(AND(VALUE(MID(P213,13,1))=IF(MOD(SUMPRODUCT(--MID(P213,{1,2,3,4,5,6,7,8,9,10,11,12},1),{5,4,3,2,9,8,7,6,5,4,3,2}),11)&lt;2,0,11-MOD(SUMPRODUCT(--MID(P213,{1,2,3,4,5,6,7,8,9,10,11,12},1),{5,4,3,2,9,8,7,6,5,4,3,2}),11)),VALUE(MID(P213,14,1))=IF(MOD(SUMPRODUCT(--MID(P213,{1,2,3,4,5,6,7,8,9,10,11,12,13},1),{6,5,4,3,2,9,8,7,6,5,4,3,2}),11)&lt;2,0,11-MOD(SUMPRODUCT(--MID(P213,{1,2,3,4,5,6,7,8,9,10,11,12,13},1),{6,5,4,3,2,9,8,7,6,5,4,3,2}),11))),"OK","ERRO: dígito verificador")))))</f>
      </c>
      <c r="R213" s="6">
        <f>IF(P213="","",IF(COUNTIF($P$2:$P$1001,P213)&gt;1,"DUPLICADO","OK"))</f>
      </c>
      <c r="S213" s="6">
        <f>IF(AND(J213="",K213=""),"vazio",IF(AND(OR(J213="",LEN(SUBSTITUTE(SUBSTITUTE(SUBSTITUTE(SUBSTITUTE(SUBSTITUTE(SUBSTITUTE(SUBSTITUTE(TRIM(J213),".",""),"/",""),"-","")," ",""),"(",""),")",""),"+",""))=10,LEN(SUBSTITUTE(SUBSTITUTE(SUBSTITUTE(SUBSTITUTE(SUBSTITUTE(SUBSTITUTE(SUBSTITUTE(TRIM(J213),".",""),"/",""),"-","")," ",""),"(",""),")",""),"+",""))=11),OR(K213="",LEN(SUBSTITUTE(SUBSTITUTE(SUBSTITUTE(SUBSTITUTE(SUBSTITUTE(SUBSTITUTE(SUBSTITUTE(TRIM(K213),".",""),"/",""),"-","")," ",""),"(",""),")",""),"+",""))=10,LEN(SUBSTITUTE(SUBSTITUTE(SUBSTITUTE(SUBSTITUTE(SUBSTITUTE(SUBSTITUTE(SUBSTITUTE(TRIM(K213),".",""),"/",""),"-","")," ",""),"(",""),")",""),"+",""))=11)),"OK","ERRO: use DDD + número (10 ou 11 dígitos)"))</f>
      </c>
      <c r="T213" s="6">
        <f>IF(L213="","vazio",IF(AND(ISNUMBER(FIND("@",L213)),ISNUMBER(FIND(".",MID(L213,FIND("@",L213),99))),NOT(ISNUMBER(FIND(" ",TRIM(L213)))),NOT(ISNUMBER(FIND(";",L213))),NOT(ISNUMBER(FIND(",",L213)))),"OK","ERRO: um e-mail válido por linha"))</f>
      </c>
      <c r="U213" s="6">
        <f>IF(COUNTA(A213:O213)=0,"",IF(AND(B213&lt;&gt;"",C213&lt;&gt;"",D213&lt;&gt;"",E213&lt;&gt;"",H213&lt;&gt;"",OR(J213&lt;&gt;"",L213&lt;&gt;"")),"OK","ERRO: faltam "&amp;IF(B213="","Proprietário; ","")&amp;IF(C213="","Origem; ","")&amp;IF(D213="","CNPJ; ","")&amp;IF(E213="","Razão Social; ","")&amp;IF(H213="","Sobrenome; ","")&amp;IF(AND(J213="",L213=""),"telefone ou e-mail; ","")))</f>
      </c>
      <c r="V213" s="6">
        <f>IF(COUNTA(A213:O213)=0,"",IF(AND(Q213="OK",R213="OK",LEFT(S213,4)&lt;&gt;"ERRO",LEFT(T213,4)&lt;&gt;"ERRO",U213="OK"),"OK","REVISAR"))</f>
      </c>
    </row>
    <row r="214">
      <c r="A214" s="4"/>
      <c r="B214" s="5"/>
      <c r="C214" s="5"/>
      <c r="D214" s="5"/>
      <c r="E214" s="5"/>
      <c r="F214" s="4"/>
      <c r="G214" s="4"/>
      <c r="H214" s="5"/>
      <c r="I214" s="4"/>
      <c r="J214" s="4"/>
      <c r="K214" s="4"/>
      <c r="L214" s="4"/>
      <c r="M214" s="4"/>
      <c r="N214" s="4"/>
      <c r="O214" s="4"/>
      <c r="P214" s="6">
        <f>IF(D214="","",SUBSTITUTE(SUBSTITUTE(SUBSTITUTE(SUBSTITUTE(SUBSTITUTE(SUBSTITUTE(SUBSTITUTE(TRIM(D214),".",""),"/",""),"-","")," ",""),"(",""),")",""),"+",""))</f>
      </c>
      <c r="Q214" s="6">
        <f>IF(P214="","",IF(LEN(P214)&lt;&gt;14,"ERRO: "&amp;LEN(P214)&amp;" dígitos",IF(NOT(ISNUMBER(VALUE(P214))),"ERRO: não numérico",IF(LEN(SUBSTITUTE(P214,LEFT(P214,1),""))=0,"ERRO: dígitos repetidos",IF(AND(VALUE(MID(P214,13,1))=IF(MOD(SUMPRODUCT(--MID(P214,{1,2,3,4,5,6,7,8,9,10,11,12},1),{5,4,3,2,9,8,7,6,5,4,3,2}),11)&lt;2,0,11-MOD(SUMPRODUCT(--MID(P214,{1,2,3,4,5,6,7,8,9,10,11,12},1),{5,4,3,2,9,8,7,6,5,4,3,2}),11)),VALUE(MID(P214,14,1))=IF(MOD(SUMPRODUCT(--MID(P214,{1,2,3,4,5,6,7,8,9,10,11,12,13},1),{6,5,4,3,2,9,8,7,6,5,4,3,2}),11)&lt;2,0,11-MOD(SUMPRODUCT(--MID(P214,{1,2,3,4,5,6,7,8,9,10,11,12,13},1),{6,5,4,3,2,9,8,7,6,5,4,3,2}),11))),"OK","ERRO: dígito verificador")))))</f>
      </c>
      <c r="R214" s="6">
        <f>IF(P214="","",IF(COUNTIF($P$2:$P$1001,P214)&gt;1,"DUPLICADO","OK"))</f>
      </c>
      <c r="S214" s="6">
        <f>IF(AND(J214="",K214=""),"vazio",IF(AND(OR(J214="",LEN(SUBSTITUTE(SUBSTITUTE(SUBSTITUTE(SUBSTITUTE(SUBSTITUTE(SUBSTITUTE(SUBSTITUTE(TRIM(J214),".",""),"/",""),"-","")," ",""),"(",""),")",""),"+",""))=10,LEN(SUBSTITUTE(SUBSTITUTE(SUBSTITUTE(SUBSTITUTE(SUBSTITUTE(SUBSTITUTE(SUBSTITUTE(TRIM(J214),".",""),"/",""),"-","")," ",""),"(",""),")",""),"+",""))=11),OR(K214="",LEN(SUBSTITUTE(SUBSTITUTE(SUBSTITUTE(SUBSTITUTE(SUBSTITUTE(SUBSTITUTE(SUBSTITUTE(TRIM(K214),".",""),"/",""),"-","")," ",""),"(",""),")",""),"+",""))=10,LEN(SUBSTITUTE(SUBSTITUTE(SUBSTITUTE(SUBSTITUTE(SUBSTITUTE(SUBSTITUTE(SUBSTITUTE(TRIM(K214),".",""),"/",""),"-","")," ",""),"(",""),")",""),"+",""))=11)),"OK","ERRO: use DDD + número (10 ou 11 dígitos)"))</f>
      </c>
      <c r="T214" s="6">
        <f>IF(L214="","vazio",IF(AND(ISNUMBER(FIND("@",L214)),ISNUMBER(FIND(".",MID(L214,FIND("@",L214),99))),NOT(ISNUMBER(FIND(" ",TRIM(L214)))),NOT(ISNUMBER(FIND(";",L214))),NOT(ISNUMBER(FIND(",",L214)))),"OK","ERRO: um e-mail válido por linha"))</f>
      </c>
      <c r="U214" s="6">
        <f>IF(COUNTA(A214:O214)=0,"",IF(AND(B214&lt;&gt;"",C214&lt;&gt;"",D214&lt;&gt;"",E214&lt;&gt;"",H214&lt;&gt;"",OR(J214&lt;&gt;"",L214&lt;&gt;"")),"OK","ERRO: faltam "&amp;IF(B214="","Proprietário; ","")&amp;IF(C214="","Origem; ","")&amp;IF(D214="","CNPJ; ","")&amp;IF(E214="","Razão Social; ","")&amp;IF(H214="","Sobrenome; ","")&amp;IF(AND(J214="",L214=""),"telefone ou e-mail; ","")))</f>
      </c>
      <c r="V214" s="6">
        <f>IF(COUNTA(A214:O214)=0,"",IF(AND(Q214="OK",R214="OK",LEFT(S214,4)&lt;&gt;"ERRO",LEFT(T214,4)&lt;&gt;"ERRO",U214="OK"),"OK","REVISAR"))</f>
      </c>
    </row>
    <row r="215">
      <c r="A215" s="4"/>
      <c r="B215" s="5"/>
      <c r="C215" s="5"/>
      <c r="D215" s="5"/>
      <c r="E215" s="5"/>
      <c r="F215" s="4"/>
      <c r="G215" s="4"/>
      <c r="H215" s="5"/>
      <c r="I215" s="4"/>
      <c r="J215" s="4"/>
      <c r="K215" s="4"/>
      <c r="L215" s="4"/>
      <c r="M215" s="4"/>
      <c r="N215" s="4"/>
      <c r="O215" s="4"/>
      <c r="P215" s="6">
        <f>IF(D215="","",SUBSTITUTE(SUBSTITUTE(SUBSTITUTE(SUBSTITUTE(SUBSTITUTE(SUBSTITUTE(SUBSTITUTE(TRIM(D215),".",""),"/",""),"-","")," ",""),"(",""),")",""),"+",""))</f>
      </c>
      <c r="Q215" s="6">
        <f>IF(P215="","",IF(LEN(P215)&lt;&gt;14,"ERRO: "&amp;LEN(P215)&amp;" dígitos",IF(NOT(ISNUMBER(VALUE(P215))),"ERRO: não numérico",IF(LEN(SUBSTITUTE(P215,LEFT(P215,1),""))=0,"ERRO: dígitos repetidos",IF(AND(VALUE(MID(P215,13,1))=IF(MOD(SUMPRODUCT(--MID(P215,{1,2,3,4,5,6,7,8,9,10,11,12},1),{5,4,3,2,9,8,7,6,5,4,3,2}),11)&lt;2,0,11-MOD(SUMPRODUCT(--MID(P215,{1,2,3,4,5,6,7,8,9,10,11,12},1),{5,4,3,2,9,8,7,6,5,4,3,2}),11)),VALUE(MID(P215,14,1))=IF(MOD(SUMPRODUCT(--MID(P215,{1,2,3,4,5,6,7,8,9,10,11,12,13},1),{6,5,4,3,2,9,8,7,6,5,4,3,2}),11)&lt;2,0,11-MOD(SUMPRODUCT(--MID(P215,{1,2,3,4,5,6,7,8,9,10,11,12,13},1),{6,5,4,3,2,9,8,7,6,5,4,3,2}),11))),"OK","ERRO: dígito verificador")))))</f>
      </c>
      <c r="R215" s="6">
        <f>IF(P215="","",IF(COUNTIF($P$2:$P$1001,P215)&gt;1,"DUPLICADO","OK"))</f>
      </c>
      <c r="S215" s="6">
        <f>IF(AND(J215="",K215=""),"vazio",IF(AND(OR(J215="",LEN(SUBSTITUTE(SUBSTITUTE(SUBSTITUTE(SUBSTITUTE(SUBSTITUTE(SUBSTITUTE(SUBSTITUTE(TRIM(J215),".",""),"/",""),"-","")," ",""),"(",""),")",""),"+",""))=10,LEN(SUBSTITUTE(SUBSTITUTE(SUBSTITUTE(SUBSTITUTE(SUBSTITUTE(SUBSTITUTE(SUBSTITUTE(TRIM(J215),".",""),"/",""),"-","")," ",""),"(",""),")",""),"+",""))=11),OR(K215="",LEN(SUBSTITUTE(SUBSTITUTE(SUBSTITUTE(SUBSTITUTE(SUBSTITUTE(SUBSTITUTE(SUBSTITUTE(TRIM(K215),".",""),"/",""),"-","")," ",""),"(",""),")",""),"+",""))=10,LEN(SUBSTITUTE(SUBSTITUTE(SUBSTITUTE(SUBSTITUTE(SUBSTITUTE(SUBSTITUTE(SUBSTITUTE(TRIM(K215),".",""),"/",""),"-","")," ",""),"(",""),")",""),"+",""))=11)),"OK","ERRO: use DDD + número (10 ou 11 dígitos)"))</f>
      </c>
      <c r="T215" s="6">
        <f>IF(L215="","vazio",IF(AND(ISNUMBER(FIND("@",L215)),ISNUMBER(FIND(".",MID(L215,FIND("@",L215),99))),NOT(ISNUMBER(FIND(" ",TRIM(L215)))),NOT(ISNUMBER(FIND(";",L215))),NOT(ISNUMBER(FIND(",",L215)))),"OK","ERRO: um e-mail válido por linha"))</f>
      </c>
      <c r="U215" s="6">
        <f>IF(COUNTA(A215:O215)=0,"",IF(AND(B215&lt;&gt;"",C215&lt;&gt;"",D215&lt;&gt;"",E215&lt;&gt;"",H215&lt;&gt;"",OR(J215&lt;&gt;"",L215&lt;&gt;"")),"OK","ERRO: faltam "&amp;IF(B215="","Proprietário; ","")&amp;IF(C215="","Origem; ","")&amp;IF(D215="","CNPJ; ","")&amp;IF(E215="","Razão Social; ","")&amp;IF(H215="","Sobrenome; ","")&amp;IF(AND(J215="",L215=""),"telefone ou e-mail; ","")))</f>
      </c>
      <c r="V215" s="6">
        <f>IF(COUNTA(A215:O215)=0,"",IF(AND(Q215="OK",R215="OK",LEFT(S215,4)&lt;&gt;"ERRO",LEFT(T215,4)&lt;&gt;"ERRO",U215="OK"),"OK","REVISAR"))</f>
      </c>
    </row>
    <row r="216">
      <c r="A216" s="4"/>
      <c r="B216" s="5"/>
      <c r="C216" s="5"/>
      <c r="D216" s="5"/>
      <c r="E216" s="5"/>
      <c r="F216" s="4"/>
      <c r="G216" s="4"/>
      <c r="H216" s="5"/>
      <c r="I216" s="4"/>
      <c r="J216" s="4"/>
      <c r="K216" s="4"/>
      <c r="L216" s="4"/>
      <c r="M216" s="4"/>
      <c r="N216" s="4"/>
      <c r="O216" s="4"/>
      <c r="P216" s="6">
        <f>IF(D216="","",SUBSTITUTE(SUBSTITUTE(SUBSTITUTE(SUBSTITUTE(SUBSTITUTE(SUBSTITUTE(SUBSTITUTE(TRIM(D216),".",""),"/",""),"-","")," ",""),"(",""),")",""),"+",""))</f>
      </c>
      <c r="Q216" s="6">
        <f>IF(P216="","",IF(LEN(P216)&lt;&gt;14,"ERRO: "&amp;LEN(P216)&amp;" dígitos",IF(NOT(ISNUMBER(VALUE(P216))),"ERRO: não numérico",IF(LEN(SUBSTITUTE(P216,LEFT(P216,1),""))=0,"ERRO: dígitos repetidos",IF(AND(VALUE(MID(P216,13,1))=IF(MOD(SUMPRODUCT(--MID(P216,{1,2,3,4,5,6,7,8,9,10,11,12},1),{5,4,3,2,9,8,7,6,5,4,3,2}),11)&lt;2,0,11-MOD(SUMPRODUCT(--MID(P216,{1,2,3,4,5,6,7,8,9,10,11,12},1),{5,4,3,2,9,8,7,6,5,4,3,2}),11)),VALUE(MID(P216,14,1))=IF(MOD(SUMPRODUCT(--MID(P216,{1,2,3,4,5,6,7,8,9,10,11,12,13},1),{6,5,4,3,2,9,8,7,6,5,4,3,2}),11)&lt;2,0,11-MOD(SUMPRODUCT(--MID(P216,{1,2,3,4,5,6,7,8,9,10,11,12,13},1),{6,5,4,3,2,9,8,7,6,5,4,3,2}),11))),"OK","ERRO: dígito verificador")))))</f>
      </c>
      <c r="R216" s="6">
        <f>IF(P216="","",IF(COUNTIF($P$2:$P$1001,P216)&gt;1,"DUPLICADO","OK"))</f>
      </c>
      <c r="S216" s="6">
        <f>IF(AND(J216="",K216=""),"vazio",IF(AND(OR(J216="",LEN(SUBSTITUTE(SUBSTITUTE(SUBSTITUTE(SUBSTITUTE(SUBSTITUTE(SUBSTITUTE(SUBSTITUTE(TRIM(J216),".",""),"/",""),"-","")," ",""),"(",""),")",""),"+",""))=10,LEN(SUBSTITUTE(SUBSTITUTE(SUBSTITUTE(SUBSTITUTE(SUBSTITUTE(SUBSTITUTE(SUBSTITUTE(TRIM(J216),".",""),"/",""),"-","")," ",""),"(",""),")",""),"+",""))=11),OR(K216="",LEN(SUBSTITUTE(SUBSTITUTE(SUBSTITUTE(SUBSTITUTE(SUBSTITUTE(SUBSTITUTE(SUBSTITUTE(TRIM(K216),".",""),"/",""),"-","")," ",""),"(",""),")",""),"+",""))=10,LEN(SUBSTITUTE(SUBSTITUTE(SUBSTITUTE(SUBSTITUTE(SUBSTITUTE(SUBSTITUTE(SUBSTITUTE(TRIM(K216),".",""),"/",""),"-","")," ",""),"(",""),")",""),"+",""))=11)),"OK","ERRO: use DDD + número (10 ou 11 dígitos)"))</f>
      </c>
      <c r="T216" s="6">
        <f>IF(L216="","vazio",IF(AND(ISNUMBER(FIND("@",L216)),ISNUMBER(FIND(".",MID(L216,FIND("@",L216),99))),NOT(ISNUMBER(FIND(" ",TRIM(L216)))),NOT(ISNUMBER(FIND(";",L216))),NOT(ISNUMBER(FIND(",",L216)))),"OK","ERRO: um e-mail válido por linha"))</f>
      </c>
      <c r="U216" s="6">
        <f>IF(COUNTA(A216:O216)=0,"",IF(AND(B216&lt;&gt;"",C216&lt;&gt;"",D216&lt;&gt;"",E216&lt;&gt;"",H216&lt;&gt;"",OR(J216&lt;&gt;"",L216&lt;&gt;"")),"OK","ERRO: faltam "&amp;IF(B216="","Proprietário; ","")&amp;IF(C216="","Origem; ","")&amp;IF(D216="","CNPJ; ","")&amp;IF(E216="","Razão Social; ","")&amp;IF(H216="","Sobrenome; ","")&amp;IF(AND(J216="",L216=""),"telefone ou e-mail; ","")))</f>
      </c>
      <c r="V216" s="6">
        <f>IF(COUNTA(A216:O216)=0,"",IF(AND(Q216="OK",R216="OK",LEFT(S216,4)&lt;&gt;"ERRO",LEFT(T216,4)&lt;&gt;"ERRO",U216="OK"),"OK","REVISAR"))</f>
      </c>
    </row>
    <row r="217">
      <c r="A217" s="4"/>
      <c r="B217" s="5"/>
      <c r="C217" s="5"/>
      <c r="D217" s="5"/>
      <c r="E217" s="5"/>
      <c r="F217" s="4"/>
      <c r="G217" s="4"/>
      <c r="H217" s="5"/>
      <c r="I217" s="4"/>
      <c r="J217" s="4"/>
      <c r="K217" s="4"/>
      <c r="L217" s="4"/>
      <c r="M217" s="4"/>
      <c r="N217" s="4"/>
      <c r="O217" s="4"/>
      <c r="P217" s="6">
        <f>IF(D217="","",SUBSTITUTE(SUBSTITUTE(SUBSTITUTE(SUBSTITUTE(SUBSTITUTE(SUBSTITUTE(SUBSTITUTE(TRIM(D217),".",""),"/",""),"-","")," ",""),"(",""),")",""),"+",""))</f>
      </c>
      <c r="Q217" s="6">
        <f>IF(P217="","",IF(LEN(P217)&lt;&gt;14,"ERRO: "&amp;LEN(P217)&amp;" dígitos",IF(NOT(ISNUMBER(VALUE(P217))),"ERRO: não numérico",IF(LEN(SUBSTITUTE(P217,LEFT(P217,1),""))=0,"ERRO: dígitos repetidos",IF(AND(VALUE(MID(P217,13,1))=IF(MOD(SUMPRODUCT(--MID(P217,{1,2,3,4,5,6,7,8,9,10,11,12},1),{5,4,3,2,9,8,7,6,5,4,3,2}),11)&lt;2,0,11-MOD(SUMPRODUCT(--MID(P217,{1,2,3,4,5,6,7,8,9,10,11,12},1),{5,4,3,2,9,8,7,6,5,4,3,2}),11)),VALUE(MID(P217,14,1))=IF(MOD(SUMPRODUCT(--MID(P217,{1,2,3,4,5,6,7,8,9,10,11,12,13},1),{6,5,4,3,2,9,8,7,6,5,4,3,2}),11)&lt;2,0,11-MOD(SUMPRODUCT(--MID(P217,{1,2,3,4,5,6,7,8,9,10,11,12,13},1),{6,5,4,3,2,9,8,7,6,5,4,3,2}),11))),"OK","ERRO: dígito verificador")))))</f>
      </c>
      <c r="R217" s="6">
        <f>IF(P217="","",IF(COUNTIF($P$2:$P$1001,P217)&gt;1,"DUPLICADO","OK"))</f>
      </c>
      <c r="S217" s="6">
        <f>IF(AND(J217="",K217=""),"vazio",IF(AND(OR(J217="",LEN(SUBSTITUTE(SUBSTITUTE(SUBSTITUTE(SUBSTITUTE(SUBSTITUTE(SUBSTITUTE(SUBSTITUTE(TRIM(J217),".",""),"/",""),"-","")," ",""),"(",""),")",""),"+",""))=10,LEN(SUBSTITUTE(SUBSTITUTE(SUBSTITUTE(SUBSTITUTE(SUBSTITUTE(SUBSTITUTE(SUBSTITUTE(TRIM(J217),".",""),"/",""),"-","")," ",""),"(",""),")",""),"+",""))=11),OR(K217="",LEN(SUBSTITUTE(SUBSTITUTE(SUBSTITUTE(SUBSTITUTE(SUBSTITUTE(SUBSTITUTE(SUBSTITUTE(TRIM(K217),".",""),"/",""),"-","")," ",""),"(",""),")",""),"+",""))=10,LEN(SUBSTITUTE(SUBSTITUTE(SUBSTITUTE(SUBSTITUTE(SUBSTITUTE(SUBSTITUTE(SUBSTITUTE(TRIM(K217),".",""),"/",""),"-","")," ",""),"(",""),")",""),"+",""))=11)),"OK","ERRO: use DDD + número (10 ou 11 dígitos)"))</f>
      </c>
      <c r="T217" s="6">
        <f>IF(L217="","vazio",IF(AND(ISNUMBER(FIND("@",L217)),ISNUMBER(FIND(".",MID(L217,FIND("@",L217),99))),NOT(ISNUMBER(FIND(" ",TRIM(L217)))),NOT(ISNUMBER(FIND(";",L217))),NOT(ISNUMBER(FIND(",",L217)))),"OK","ERRO: um e-mail válido por linha"))</f>
      </c>
      <c r="U217" s="6">
        <f>IF(COUNTA(A217:O217)=0,"",IF(AND(B217&lt;&gt;"",C217&lt;&gt;"",D217&lt;&gt;"",E217&lt;&gt;"",H217&lt;&gt;"",OR(J217&lt;&gt;"",L217&lt;&gt;"")),"OK","ERRO: faltam "&amp;IF(B217="","Proprietário; ","")&amp;IF(C217="","Origem; ","")&amp;IF(D217="","CNPJ; ","")&amp;IF(E217="","Razão Social; ","")&amp;IF(H217="","Sobrenome; ","")&amp;IF(AND(J217="",L217=""),"telefone ou e-mail; ","")))</f>
      </c>
      <c r="V217" s="6">
        <f>IF(COUNTA(A217:O217)=0,"",IF(AND(Q217="OK",R217="OK",LEFT(S217,4)&lt;&gt;"ERRO",LEFT(T217,4)&lt;&gt;"ERRO",U217="OK"),"OK","REVISAR"))</f>
      </c>
    </row>
    <row r="218">
      <c r="A218" s="4"/>
      <c r="B218" s="5"/>
      <c r="C218" s="5"/>
      <c r="D218" s="5"/>
      <c r="E218" s="5"/>
      <c r="F218" s="4"/>
      <c r="G218" s="4"/>
      <c r="H218" s="5"/>
      <c r="I218" s="4"/>
      <c r="J218" s="4"/>
      <c r="K218" s="4"/>
      <c r="L218" s="4"/>
      <c r="M218" s="4"/>
      <c r="N218" s="4"/>
      <c r="O218" s="4"/>
      <c r="P218" s="6">
        <f>IF(D218="","",SUBSTITUTE(SUBSTITUTE(SUBSTITUTE(SUBSTITUTE(SUBSTITUTE(SUBSTITUTE(SUBSTITUTE(TRIM(D218),".",""),"/",""),"-","")," ",""),"(",""),")",""),"+",""))</f>
      </c>
      <c r="Q218" s="6">
        <f>IF(P218="","",IF(LEN(P218)&lt;&gt;14,"ERRO: "&amp;LEN(P218)&amp;" dígitos",IF(NOT(ISNUMBER(VALUE(P218))),"ERRO: não numérico",IF(LEN(SUBSTITUTE(P218,LEFT(P218,1),""))=0,"ERRO: dígitos repetidos",IF(AND(VALUE(MID(P218,13,1))=IF(MOD(SUMPRODUCT(--MID(P218,{1,2,3,4,5,6,7,8,9,10,11,12},1),{5,4,3,2,9,8,7,6,5,4,3,2}),11)&lt;2,0,11-MOD(SUMPRODUCT(--MID(P218,{1,2,3,4,5,6,7,8,9,10,11,12},1),{5,4,3,2,9,8,7,6,5,4,3,2}),11)),VALUE(MID(P218,14,1))=IF(MOD(SUMPRODUCT(--MID(P218,{1,2,3,4,5,6,7,8,9,10,11,12,13},1),{6,5,4,3,2,9,8,7,6,5,4,3,2}),11)&lt;2,0,11-MOD(SUMPRODUCT(--MID(P218,{1,2,3,4,5,6,7,8,9,10,11,12,13},1),{6,5,4,3,2,9,8,7,6,5,4,3,2}),11))),"OK","ERRO: dígito verificador")))))</f>
      </c>
      <c r="R218" s="6">
        <f>IF(P218="","",IF(COUNTIF($P$2:$P$1001,P218)&gt;1,"DUPLICADO","OK"))</f>
      </c>
      <c r="S218" s="6">
        <f>IF(AND(J218="",K218=""),"vazio",IF(AND(OR(J218="",LEN(SUBSTITUTE(SUBSTITUTE(SUBSTITUTE(SUBSTITUTE(SUBSTITUTE(SUBSTITUTE(SUBSTITUTE(TRIM(J218),".",""),"/",""),"-","")," ",""),"(",""),")",""),"+",""))=10,LEN(SUBSTITUTE(SUBSTITUTE(SUBSTITUTE(SUBSTITUTE(SUBSTITUTE(SUBSTITUTE(SUBSTITUTE(TRIM(J218),".",""),"/",""),"-","")," ",""),"(",""),")",""),"+",""))=11),OR(K218="",LEN(SUBSTITUTE(SUBSTITUTE(SUBSTITUTE(SUBSTITUTE(SUBSTITUTE(SUBSTITUTE(SUBSTITUTE(TRIM(K218),".",""),"/",""),"-","")," ",""),"(",""),")",""),"+",""))=10,LEN(SUBSTITUTE(SUBSTITUTE(SUBSTITUTE(SUBSTITUTE(SUBSTITUTE(SUBSTITUTE(SUBSTITUTE(TRIM(K218),".",""),"/",""),"-","")," ",""),"(",""),")",""),"+",""))=11)),"OK","ERRO: use DDD + número (10 ou 11 dígitos)"))</f>
      </c>
      <c r="T218" s="6">
        <f>IF(L218="","vazio",IF(AND(ISNUMBER(FIND("@",L218)),ISNUMBER(FIND(".",MID(L218,FIND("@",L218),99))),NOT(ISNUMBER(FIND(" ",TRIM(L218)))),NOT(ISNUMBER(FIND(";",L218))),NOT(ISNUMBER(FIND(",",L218)))),"OK","ERRO: um e-mail válido por linha"))</f>
      </c>
      <c r="U218" s="6">
        <f>IF(COUNTA(A218:O218)=0,"",IF(AND(B218&lt;&gt;"",C218&lt;&gt;"",D218&lt;&gt;"",E218&lt;&gt;"",H218&lt;&gt;"",OR(J218&lt;&gt;"",L218&lt;&gt;"")),"OK","ERRO: faltam "&amp;IF(B218="","Proprietário; ","")&amp;IF(C218="","Origem; ","")&amp;IF(D218="","CNPJ; ","")&amp;IF(E218="","Razão Social; ","")&amp;IF(H218="","Sobrenome; ","")&amp;IF(AND(J218="",L218=""),"telefone ou e-mail; ","")))</f>
      </c>
      <c r="V218" s="6">
        <f>IF(COUNTA(A218:O218)=0,"",IF(AND(Q218="OK",R218="OK",LEFT(S218,4)&lt;&gt;"ERRO",LEFT(T218,4)&lt;&gt;"ERRO",U218="OK"),"OK","REVISAR"))</f>
      </c>
    </row>
    <row r="219">
      <c r="A219" s="4"/>
      <c r="B219" s="5"/>
      <c r="C219" s="5"/>
      <c r="D219" s="5"/>
      <c r="E219" s="5"/>
      <c r="F219" s="4"/>
      <c r="G219" s="4"/>
      <c r="H219" s="5"/>
      <c r="I219" s="4"/>
      <c r="J219" s="4"/>
      <c r="K219" s="4"/>
      <c r="L219" s="4"/>
      <c r="M219" s="4"/>
      <c r="N219" s="4"/>
      <c r="O219" s="4"/>
      <c r="P219" s="6">
        <f>IF(D219="","",SUBSTITUTE(SUBSTITUTE(SUBSTITUTE(SUBSTITUTE(SUBSTITUTE(SUBSTITUTE(SUBSTITUTE(TRIM(D219),".",""),"/",""),"-","")," ",""),"(",""),")",""),"+",""))</f>
      </c>
      <c r="Q219" s="6">
        <f>IF(P219="","",IF(LEN(P219)&lt;&gt;14,"ERRO: "&amp;LEN(P219)&amp;" dígitos",IF(NOT(ISNUMBER(VALUE(P219))),"ERRO: não numérico",IF(LEN(SUBSTITUTE(P219,LEFT(P219,1),""))=0,"ERRO: dígitos repetidos",IF(AND(VALUE(MID(P219,13,1))=IF(MOD(SUMPRODUCT(--MID(P219,{1,2,3,4,5,6,7,8,9,10,11,12},1),{5,4,3,2,9,8,7,6,5,4,3,2}),11)&lt;2,0,11-MOD(SUMPRODUCT(--MID(P219,{1,2,3,4,5,6,7,8,9,10,11,12},1),{5,4,3,2,9,8,7,6,5,4,3,2}),11)),VALUE(MID(P219,14,1))=IF(MOD(SUMPRODUCT(--MID(P219,{1,2,3,4,5,6,7,8,9,10,11,12,13},1),{6,5,4,3,2,9,8,7,6,5,4,3,2}),11)&lt;2,0,11-MOD(SUMPRODUCT(--MID(P219,{1,2,3,4,5,6,7,8,9,10,11,12,13},1),{6,5,4,3,2,9,8,7,6,5,4,3,2}),11))),"OK","ERRO: dígito verificador")))))</f>
      </c>
      <c r="R219" s="6">
        <f>IF(P219="","",IF(COUNTIF($P$2:$P$1001,P219)&gt;1,"DUPLICADO","OK"))</f>
      </c>
      <c r="S219" s="6">
        <f>IF(AND(J219="",K219=""),"vazio",IF(AND(OR(J219="",LEN(SUBSTITUTE(SUBSTITUTE(SUBSTITUTE(SUBSTITUTE(SUBSTITUTE(SUBSTITUTE(SUBSTITUTE(TRIM(J219),".",""),"/",""),"-","")," ",""),"(",""),")",""),"+",""))=10,LEN(SUBSTITUTE(SUBSTITUTE(SUBSTITUTE(SUBSTITUTE(SUBSTITUTE(SUBSTITUTE(SUBSTITUTE(TRIM(J219),".",""),"/",""),"-","")," ",""),"(",""),")",""),"+",""))=11),OR(K219="",LEN(SUBSTITUTE(SUBSTITUTE(SUBSTITUTE(SUBSTITUTE(SUBSTITUTE(SUBSTITUTE(SUBSTITUTE(TRIM(K219),".",""),"/",""),"-","")," ",""),"(",""),")",""),"+",""))=10,LEN(SUBSTITUTE(SUBSTITUTE(SUBSTITUTE(SUBSTITUTE(SUBSTITUTE(SUBSTITUTE(SUBSTITUTE(TRIM(K219),".",""),"/",""),"-","")," ",""),"(",""),")",""),"+",""))=11)),"OK","ERRO: use DDD + número (10 ou 11 dígitos)"))</f>
      </c>
      <c r="T219" s="6">
        <f>IF(L219="","vazio",IF(AND(ISNUMBER(FIND("@",L219)),ISNUMBER(FIND(".",MID(L219,FIND("@",L219),99))),NOT(ISNUMBER(FIND(" ",TRIM(L219)))),NOT(ISNUMBER(FIND(";",L219))),NOT(ISNUMBER(FIND(",",L219)))),"OK","ERRO: um e-mail válido por linha"))</f>
      </c>
      <c r="U219" s="6">
        <f>IF(COUNTA(A219:O219)=0,"",IF(AND(B219&lt;&gt;"",C219&lt;&gt;"",D219&lt;&gt;"",E219&lt;&gt;"",H219&lt;&gt;"",OR(J219&lt;&gt;"",L219&lt;&gt;"")),"OK","ERRO: faltam "&amp;IF(B219="","Proprietário; ","")&amp;IF(C219="","Origem; ","")&amp;IF(D219="","CNPJ; ","")&amp;IF(E219="","Razão Social; ","")&amp;IF(H219="","Sobrenome; ","")&amp;IF(AND(J219="",L219=""),"telefone ou e-mail; ","")))</f>
      </c>
      <c r="V219" s="6">
        <f>IF(COUNTA(A219:O219)=0,"",IF(AND(Q219="OK",R219="OK",LEFT(S219,4)&lt;&gt;"ERRO",LEFT(T219,4)&lt;&gt;"ERRO",U219="OK"),"OK","REVISAR"))</f>
      </c>
    </row>
    <row r="220">
      <c r="A220" s="4"/>
      <c r="B220" s="5"/>
      <c r="C220" s="5"/>
      <c r="D220" s="5"/>
      <c r="E220" s="5"/>
      <c r="F220" s="4"/>
      <c r="G220" s="4"/>
      <c r="H220" s="5"/>
      <c r="I220" s="4"/>
      <c r="J220" s="4"/>
      <c r="K220" s="4"/>
      <c r="L220" s="4"/>
      <c r="M220" s="4"/>
      <c r="N220" s="4"/>
      <c r="O220" s="4"/>
      <c r="P220" s="6">
        <f>IF(D220="","",SUBSTITUTE(SUBSTITUTE(SUBSTITUTE(SUBSTITUTE(SUBSTITUTE(SUBSTITUTE(SUBSTITUTE(TRIM(D220),".",""),"/",""),"-","")," ",""),"(",""),")",""),"+",""))</f>
      </c>
      <c r="Q220" s="6">
        <f>IF(P220="","",IF(LEN(P220)&lt;&gt;14,"ERRO: "&amp;LEN(P220)&amp;" dígitos",IF(NOT(ISNUMBER(VALUE(P220))),"ERRO: não numérico",IF(LEN(SUBSTITUTE(P220,LEFT(P220,1),""))=0,"ERRO: dígitos repetidos",IF(AND(VALUE(MID(P220,13,1))=IF(MOD(SUMPRODUCT(--MID(P220,{1,2,3,4,5,6,7,8,9,10,11,12},1),{5,4,3,2,9,8,7,6,5,4,3,2}),11)&lt;2,0,11-MOD(SUMPRODUCT(--MID(P220,{1,2,3,4,5,6,7,8,9,10,11,12},1),{5,4,3,2,9,8,7,6,5,4,3,2}),11)),VALUE(MID(P220,14,1))=IF(MOD(SUMPRODUCT(--MID(P220,{1,2,3,4,5,6,7,8,9,10,11,12,13},1),{6,5,4,3,2,9,8,7,6,5,4,3,2}),11)&lt;2,0,11-MOD(SUMPRODUCT(--MID(P220,{1,2,3,4,5,6,7,8,9,10,11,12,13},1),{6,5,4,3,2,9,8,7,6,5,4,3,2}),11))),"OK","ERRO: dígito verificador")))))</f>
      </c>
      <c r="R220" s="6">
        <f>IF(P220="","",IF(COUNTIF($P$2:$P$1001,P220)&gt;1,"DUPLICADO","OK"))</f>
      </c>
      <c r="S220" s="6">
        <f>IF(AND(J220="",K220=""),"vazio",IF(AND(OR(J220="",LEN(SUBSTITUTE(SUBSTITUTE(SUBSTITUTE(SUBSTITUTE(SUBSTITUTE(SUBSTITUTE(SUBSTITUTE(TRIM(J220),".",""),"/",""),"-","")," ",""),"(",""),")",""),"+",""))=10,LEN(SUBSTITUTE(SUBSTITUTE(SUBSTITUTE(SUBSTITUTE(SUBSTITUTE(SUBSTITUTE(SUBSTITUTE(TRIM(J220),".",""),"/",""),"-","")," ",""),"(",""),")",""),"+",""))=11),OR(K220="",LEN(SUBSTITUTE(SUBSTITUTE(SUBSTITUTE(SUBSTITUTE(SUBSTITUTE(SUBSTITUTE(SUBSTITUTE(TRIM(K220),".",""),"/",""),"-","")," ",""),"(",""),")",""),"+",""))=10,LEN(SUBSTITUTE(SUBSTITUTE(SUBSTITUTE(SUBSTITUTE(SUBSTITUTE(SUBSTITUTE(SUBSTITUTE(TRIM(K220),".",""),"/",""),"-","")," ",""),"(",""),")",""),"+",""))=11)),"OK","ERRO: use DDD + número (10 ou 11 dígitos)"))</f>
      </c>
      <c r="T220" s="6">
        <f>IF(L220="","vazio",IF(AND(ISNUMBER(FIND("@",L220)),ISNUMBER(FIND(".",MID(L220,FIND("@",L220),99))),NOT(ISNUMBER(FIND(" ",TRIM(L220)))),NOT(ISNUMBER(FIND(";",L220))),NOT(ISNUMBER(FIND(",",L220)))),"OK","ERRO: um e-mail válido por linha"))</f>
      </c>
      <c r="U220" s="6">
        <f>IF(COUNTA(A220:O220)=0,"",IF(AND(B220&lt;&gt;"",C220&lt;&gt;"",D220&lt;&gt;"",E220&lt;&gt;"",H220&lt;&gt;"",OR(J220&lt;&gt;"",L220&lt;&gt;"")),"OK","ERRO: faltam "&amp;IF(B220="","Proprietário; ","")&amp;IF(C220="","Origem; ","")&amp;IF(D220="","CNPJ; ","")&amp;IF(E220="","Razão Social; ","")&amp;IF(H220="","Sobrenome; ","")&amp;IF(AND(J220="",L220=""),"telefone ou e-mail; ","")))</f>
      </c>
      <c r="V220" s="6">
        <f>IF(COUNTA(A220:O220)=0,"",IF(AND(Q220="OK",R220="OK",LEFT(S220,4)&lt;&gt;"ERRO",LEFT(T220,4)&lt;&gt;"ERRO",U220="OK"),"OK","REVISAR"))</f>
      </c>
    </row>
    <row r="221">
      <c r="A221" s="4"/>
      <c r="B221" s="5"/>
      <c r="C221" s="5"/>
      <c r="D221" s="5"/>
      <c r="E221" s="5"/>
      <c r="F221" s="4"/>
      <c r="G221" s="4"/>
      <c r="H221" s="5"/>
      <c r="I221" s="4"/>
      <c r="J221" s="4"/>
      <c r="K221" s="4"/>
      <c r="L221" s="4"/>
      <c r="M221" s="4"/>
      <c r="N221" s="4"/>
      <c r="O221" s="4"/>
      <c r="P221" s="6">
        <f>IF(D221="","",SUBSTITUTE(SUBSTITUTE(SUBSTITUTE(SUBSTITUTE(SUBSTITUTE(SUBSTITUTE(SUBSTITUTE(TRIM(D221),".",""),"/",""),"-","")," ",""),"(",""),")",""),"+",""))</f>
      </c>
      <c r="Q221" s="6">
        <f>IF(P221="","",IF(LEN(P221)&lt;&gt;14,"ERRO: "&amp;LEN(P221)&amp;" dígitos",IF(NOT(ISNUMBER(VALUE(P221))),"ERRO: não numérico",IF(LEN(SUBSTITUTE(P221,LEFT(P221,1),""))=0,"ERRO: dígitos repetidos",IF(AND(VALUE(MID(P221,13,1))=IF(MOD(SUMPRODUCT(--MID(P221,{1,2,3,4,5,6,7,8,9,10,11,12},1),{5,4,3,2,9,8,7,6,5,4,3,2}),11)&lt;2,0,11-MOD(SUMPRODUCT(--MID(P221,{1,2,3,4,5,6,7,8,9,10,11,12},1),{5,4,3,2,9,8,7,6,5,4,3,2}),11)),VALUE(MID(P221,14,1))=IF(MOD(SUMPRODUCT(--MID(P221,{1,2,3,4,5,6,7,8,9,10,11,12,13},1),{6,5,4,3,2,9,8,7,6,5,4,3,2}),11)&lt;2,0,11-MOD(SUMPRODUCT(--MID(P221,{1,2,3,4,5,6,7,8,9,10,11,12,13},1),{6,5,4,3,2,9,8,7,6,5,4,3,2}),11))),"OK","ERRO: dígito verificador")))))</f>
      </c>
      <c r="R221" s="6">
        <f>IF(P221="","",IF(COUNTIF($P$2:$P$1001,P221)&gt;1,"DUPLICADO","OK"))</f>
      </c>
      <c r="S221" s="6">
        <f>IF(AND(J221="",K221=""),"vazio",IF(AND(OR(J221="",LEN(SUBSTITUTE(SUBSTITUTE(SUBSTITUTE(SUBSTITUTE(SUBSTITUTE(SUBSTITUTE(SUBSTITUTE(TRIM(J221),".",""),"/",""),"-","")," ",""),"(",""),")",""),"+",""))=10,LEN(SUBSTITUTE(SUBSTITUTE(SUBSTITUTE(SUBSTITUTE(SUBSTITUTE(SUBSTITUTE(SUBSTITUTE(TRIM(J221),".",""),"/",""),"-","")," ",""),"(",""),")",""),"+",""))=11),OR(K221="",LEN(SUBSTITUTE(SUBSTITUTE(SUBSTITUTE(SUBSTITUTE(SUBSTITUTE(SUBSTITUTE(SUBSTITUTE(TRIM(K221),".",""),"/",""),"-","")," ",""),"(",""),")",""),"+",""))=10,LEN(SUBSTITUTE(SUBSTITUTE(SUBSTITUTE(SUBSTITUTE(SUBSTITUTE(SUBSTITUTE(SUBSTITUTE(TRIM(K221),".",""),"/",""),"-","")," ",""),"(",""),")",""),"+",""))=11)),"OK","ERRO: use DDD + número (10 ou 11 dígitos)"))</f>
      </c>
      <c r="T221" s="6">
        <f>IF(L221="","vazio",IF(AND(ISNUMBER(FIND("@",L221)),ISNUMBER(FIND(".",MID(L221,FIND("@",L221),99))),NOT(ISNUMBER(FIND(" ",TRIM(L221)))),NOT(ISNUMBER(FIND(";",L221))),NOT(ISNUMBER(FIND(",",L221)))),"OK","ERRO: um e-mail válido por linha"))</f>
      </c>
      <c r="U221" s="6">
        <f>IF(COUNTA(A221:O221)=0,"",IF(AND(B221&lt;&gt;"",C221&lt;&gt;"",D221&lt;&gt;"",E221&lt;&gt;"",H221&lt;&gt;"",OR(J221&lt;&gt;"",L221&lt;&gt;"")),"OK","ERRO: faltam "&amp;IF(B221="","Proprietário; ","")&amp;IF(C221="","Origem; ","")&amp;IF(D221="","CNPJ; ","")&amp;IF(E221="","Razão Social; ","")&amp;IF(H221="","Sobrenome; ","")&amp;IF(AND(J221="",L221=""),"telefone ou e-mail; ","")))</f>
      </c>
      <c r="V221" s="6">
        <f>IF(COUNTA(A221:O221)=0,"",IF(AND(Q221="OK",R221="OK",LEFT(S221,4)&lt;&gt;"ERRO",LEFT(T221,4)&lt;&gt;"ERRO",U221="OK"),"OK","REVISAR"))</f>
      </c>
    </row>
    <row r="222">
      <c r="A222" s="4"/>
      <c r="B222" s="5"/>
      <c r="C222" s="5"/>
      <c r="D222" s="5"/>
      <c r="E222" s="5"/>
      <c r="F222" s="4"/>
      <c r="G222" s="4"/>
      <c r="H222" s="5"/>
      <c r="I222" s="4"/>
      <c r="J222" s="4"/>
      <c r="K222" s="4"/>
      <c r="L222" s="4"/>
      <c r="M222" s="4"/>
      <c r="N222" s="4"/>
      <c r="O222" s="4"/>
      <c r="P222" s="6">
        <f>IF(D222="","",SUBSTITUTE(SUBSTITUTE(SUBSTITUTE(SUBSTITUTE(SUBSTITUTE(SUBSTITUTE(SUBSTITUTE(TRIM(D222),".",""),"/",""),"-","")," ",""),"(",""),")",""),"+",""))</f>
      </c>
      <c r="Q222" s="6">
        <f>IF(P222="","",IF(LEN(P222)&lt;&gt;14,"ERRO: "&amp;LEN(P222)&amp;" dígitos",IF(NOT(ISNUMBER(VALUE(P222))),"ERRO: não numérico",IF(LEN(SUBSTITUTE(P222,LEFT(P222,1),""))=0,"ERRO: dígitos repetidos",IF(AND(VALUE(MID(P222,13,1))=IF(MOD(SUMPRODUCT(--MID(P222,{1,2,3,4,5,6,7,8,9,10,11,12},1),{5,4,3,2,9,8,7,6,5,4,3,2}),11)&lt;2,0,11-MOD(SUMPRODUCT(--MID(P222,{1,2,3,4,5,6,7,8,9,10,11,12},1),{5,4,3,2,9,8,7,6,5,4,3,2}),11)),VALUE(MID(P222,14,1))=IF(MOD(SUMPRODUCT(--MID(P222,{1,2,3,4,5,6,7,8,9,10,11,12,13},1),{6,5,4,3,2,9,8,7,6,5,4,3,2}),11)&lt;2,0,11-MOD(SUMPRODUCT(--MID(P222,{1,2,3,4,5,6,7,8,9,10,11,12,13},1),{6,5,4,3,2,9,8,7,6,5,4,3,2}),11))),"OK","ERRO: dígito verificador")))))</f>
      </c>
      <c r="R222" s="6">
        <f>IF(P222="","",IF(COUNTIF($P$2:$P$1001,P222)&gt;1,"DUPLICADO","OK"))</f>
      </c>
      <c r="S222" s="6">
        <f>IF(AND(J222="",K222=""),"vazio",IF(AND(OR(J222="",LEN(SUBSTITUTE(SUBSTITUTE(SUBSTITUTE(SUBSTITUTE(SUBSTITUTE(SUBSTITUTE(SUBSTITUTE(TRIM(J222),".",""),"/",""),"-","")," ",""),"(",""),")",""),"+",""))=10,LEN(SUBSTITUTE(SUBSTITUTE(SUBSTITUTE(SUBSTITUTE(SUBSTITUTE(SUBSTITUTE(SUBSTITUTE(TRIM(J222),".",""),"/",""),"-","")," ",""),"(",""),")",""),"+",""))=11),OR(K222="",LEN(SUBSTITUTE(SUBSTITUTE(SUBSTITUTE(SUBSTITUTE(SUBSTITUTE(SUBSTITUTE(SUBSTITUTE(TRIM(K222),".",""),"/",""),"-","")," ",""),"(",""),")",""),"+",""))=10,LEN(SUBSTITUTE(SUBSTITUTE(SUBSTITUTE(SUBSTITUTE(SUBSTITUTE(SUBSTITUTE(SUBSTITUTE(TRIM(K222),".",""),"/",""),"-","")," ",""),"(",""),")",""),"+",""))=11)),"OK","ERRO: use DDD + número (10 ou 11 dígitos)"))</f>
      </c>
      <c r="T222" s="6">
        <f>IF(L222="","vazio",IF(AND(ISNUMBER(FIND("@",L222)),ISNUMBER(FIND(".",MID(L222,FIND("@",L222),99))),NOT(ISNUMBER(FIND(" ",TRIM(L222)))),NOT(ISNUMBER(FIND(";",L222))),NOT(ISNUMBER(FIND(",",L222)))),"OK","ERRO: um e-mail válido por linha"))</f>
      </c>
      <c r="U222" s="6">
        <f>IF(COUNTA(A222:O222)=0,"",IF(AND(B222&lt;&gt;"",C222&lt;&gt;"",D222&lt;&gt;"",E222&lt;&gt;"",H222&lt;&gt;"",OR(J222&lt;&gt;"",L222&lt;&gt;"")),"OK","ERRO: faltam "&amp;IF(B222="","Proprietário; ","")&amp;IF(C222="","Origem; ","")&amp;IF(D222="","CNPJ; ","")&amp;IF(E222="","Razão Social; ","")&amp;IF(H222="","Sobrenome; ","")&amp;IF(AND(J222="",L222=""),"telefone ou e-mail; ","")))</f>
      </c>
      <c r="V222" s="6">
        <f>IF(COUNTA(A222:O222)=0,"",IF(AND(Q222="OK",R222="OK",LEFT(S222,4)&lt;&gt;"ERRO",LEFT(T222,4)&lt;&gt;"ERRO",U222="OK"),"OK","REVISAR"))</f>
      </c>
    </row>
    <row r="223">
      <c r="A223" s="4"/>
      <c r="B223" s="5"/>
      <c r="C223" s="5"/>
      <c r="D223" s="5"/>
      <c r="E223" s="5"/>
      <c r="F223" s="4"/>
      <c r="G223" s="4"/>
      <c r="H223" s="5"/>
      <c r="I223" s="4"/>
      <c r="J223" s="4"/>
      <c r="K223" s="4"/>
      <c r="L223" s="4"/>
      <c r="M223" s="4"/>
      <c r="N223" s="4"/>
      <c r="O223" s="4"/>
      <c r="P223" s="6">
        <f>IF(D223="","",SUBSTITUTE(SUBSTITUTE(SUBSTITUTE(SUBSTITUTE(SUBSTITUTE(SUBSTITUTE(SUBSTITUTE(TRIM(D223),".",""),"/",""),"-","")," ",""),"(",""),")",""),"+",""))</f>
      </c>
      <c r="Q223" s="6">
        <f>IF(P223="","",IF(LEN(P223)&lt;&gt;14,"ERRO: "&amp;LEN(P223)&amp;" dígitos",IF(NOT(ISNUMBER(VALUE(P223))),"ERRO: não numérico",IF(LEN(SUBSTITUTE(P223,LEFT(P223,1),""))=0,"ERRO: dígitos repetidos",IF(AND(VALUE(MID(P223,13,1))=IF(MOD(SUMPRODUCT(--MID(P223,{1,2,3,4,5,6,7,8,9,10,11,12},1),{5,4,3,2,9,8,7,6,5,4,3,2}),11)&lt;2,0,11-MOD(SUMPRODUCT(--MID(P223,{1,2,3,4,5,6,7,8,9,10,11,12},1),{5,4,3,2,9,8,7,6,5,4,3,2}),11)),VALUE(MID(P223,14,1))=IF(MOD(SUMPRODUCT(--MID(P223,{1,2,3,4,5,6,7,8,9,10,11,12,13},1),{6,5,4,3,2,9,8,7,6,5,4,3,2}),11)&lt;2,0,11-MOD(SUMPRODUCT(--MID(P223,{1,2,3,4,5,6,7,8,9,10,11,12,13},1),{6,5,4,3,2,9,8,7,6,5,4,3,2}),11))),"OK","ERRO: dígito verificador")))))</f>
      </c>
      <c r="R223" s="6">
        <f>IF(P223="","",IF(COUNTIF($P$2:$P$1001,P223)&gt;1,"DUPLICADO","OK"))</f>
      </c>
      <c r="S223" s="6">
        <f>IF(AND(J223="",K223=""),"vazio",IF(AND(OR(J223="",LEN(SUBSTITUTE(SUBSTITUTE(SUBSTITUTE(SUBSTITUTE(SUBSTITUTE(SUBSTITUTE(SUBSTITUTE(TRIM(J223),".",""),"/",""),"-","")," ",""),"(",""),")",""),"+",""))=10,LEN(SUBSTITUTE(SUBSTITUTE(SUBSTITUTE(SUBSTITUTE(SUBSTITUTE(SUBSTITUTE(SUBSTITUTE(TRIM(J223),".",""),"/",""),"-","")," ",""),"(",""),")",""),"+",""))=11),OR(K223="",LEN(SUBSTITUTE(SUBSTITUTE(SUBSTITUTE(SUBSTITUTE(SUBSTITUTE(SUBSTITUTE(SUBSTITUTE(TRIM(K223),".",""),"/",""),"-","")," ",""),"(",""),")",""),"+",""))=10,LEN(SUBSTITUTE(SUBSTITUTE(SUBSTITUTE(SUBSTITUTE(SUBSTITUTE(SUBSTITUTE(SUBSTITUTE(TRIM(K223),".",""),"/",""),"-","")," ",""),"(",""),")",""),"+",""))=11)),"OK","ERRO: use DDD + número (10 ou 11 dígitos)"))</f>
      </c>
      <c r="T223" s="6">
        <f>IF(L223="","vazio",IF(AND(ISNUMBER(FIND("@",L223)),ISNUMBER(FIND(".",MID(L223,FIND("@",L223),99))),NOT(ISNUMBER(FIND(" ",TRIM(L223)))),NOT(ISNUMBER(FIND(";",L223))),NOT(ISNUMBER(FIND(",",L223)))),"OK","ERRO: um e-mail válido por linha"))</f>
      </c>
      <c r="U223" s="6">
        <f>IF(COUNTA(A223:O223)=0,"",IF(AND(B223&lt;&gt;"",C223&lt;&gt;"",D223&lt;&gt;"",E223&lt;&gt;"",H223&lt;&gt;"",OR(J223&lt;&gt;"",L223&lt;&gt;"")),"OK","ERRO: faltam "&amp;IF(B223="","Proprietário; ","")&amp;IF(C223="","Origem; ","")&amp;IF(D223="","CNPJ; ","")&amp;IF(E223="","Razão Social; ","")&amp;IF(H223="","Sobrenome; ","")&amp;IF(AND(J223="",L223=""),"telefone ou e-mail; ","")))</f>
      </c>
      <c r="V223" s="6">
        <f>IF(COUNTA(A223:O223)=0,"",IF(AND(Q223="OK",R223="OK",LEFT(S223,4)&lt;&gt;"ERRO",LEFT(T223,4)&lt;&gt;"ERRO",U223="OK"),"OK","REVISAR"))</f>
      </c>
    </row>
    <row r="224">
      <c r="A224" s="4"/>
      <c r="B224" s="5"/>
      <c r="C224" s="5"/>
      <c r="D224" s="5"/>
      <c r="E224" s="5"/>
      <c r="F224" s="4"/>
      <c r="G224" s="4"/>
      <c r="H224" s="5"/>
      <c r="I224" s="4"/>
      <c r="J224" s="4"/>
      <c r="K224" s="4"/>
      <c r="L224" s="4"/>
      <c r="M224" s="4"/>
      <c r="N224" s="4"/>
      <c r="O224" s="4"/>
      <c r="P224" s="6">
        <f>IF(D224="","",SUBSTITUTE(SUBSTITUTE(SUBSTITUTE(SUBSTITUTE(SUBSTITUTE(SUBSTITUTE(SUBSTITUTE(TRIM(D224),".",""),"/",""),"-","")," ",""),"(",""),")",""),"+",""))</f>
      </c>
      <c r="Q224" s="6">
        <f>IF(P224="","",IF(LEN(P224)&lt;&gt;14,"ERRO: "&amp;LEN(P224)&amp;" dígitos",IF(NOT(ISNUMBER(VALUE(P224))),"ERRO: não numérico",IF(LEN(SUBSTITUTE(P224,LEFT(P224,1),""))=0,"ERRO: dígitos repetidos",IF(AND(VALUE(MID(P224,13,1))=IF(MOD(SUMPRODUCT(--MID(P224,{1,2,3,4,5,6,7,8,9,10,11,12},1),{5,4,3,2,9,8,7,6,5,4,3,2}),11)&lt;2,0,11-MOD(SUMPRODUCT(--MID(P224,{1,2,3,4,5,6,7,8,9,10,11,12},1),{5,4,3,2,9,8,7,6,5,4,3,2}),11)),VALUE(MID(P224,14,1))=IF(MOD(SUMPRODUCT(--MID(P224,{1,2,3,4,5,6,7,8,9,10,11,12,13},1),{6,5,4,3,2,9,8,7,6,5,4,3,2}),11)&lt;2,0,11-MOD(SUMPRODUCT(--MID(P224,{1,2,3,4,5,6,7,8,9,10,11,12,13},1),{6,5,4,3,2,9,8,7,6,5,4,3,2}),11))),"OK","ERRO: dígito verificador")))))</f>
      </c>
      <c r="R224" s="6">
        <f>IF(P224="","",IF(COUNTIF($P$2:$P$1001,P224)&gt;1,"DUPLICADO","OK"))</f>
      </c>
      <c r="S224" s="6">
        <f>IF(AND(J224="",K224=""),"vazio",IF(AND(OR(J224="",LEN(SUBSTITUTE(SUBSTITUTE(SUBSTITUTE(SUBSTITUTE(SUBSTITUTE(SUBSTITUTE(SUBSTITUTE(TRIM(J224),".",""),"/",""),"-","")," ",""),"(",""),")",""),"+",""))=10,LEN(SUBSTITUTE(SUBSTITUTE(SUBSTITUTE(SUBSTITUTE(SUBSTITUTE(SUBSTITUTE(SUBSTITUTE(TRIM(J224),".",""),"/",""),"-","")," ",""),"(",""),")",""),"+",""))=11),OR(K224="",LEN(SUBSTITUTE(SUBSTITUTE(SUBSTITUTE(SUBSTITUTE(SUBSTITUTE(SUBSTITUTE(SUBSTITUTE(TRIM(K224),".",""),"/",""),"-","")," ",""),"(",""),")",""),"+",""))=10,LEN(SUBSTITUTE(SUBSTITUTE(SUBSTITUTE(SUBSTITUTE(SUBSTITUTE(SUBSTITUTE(SUBSTITUTE(TRIM(K224),".",""),"/",""),"-","")," ",""),"(",""),")",""),"+",""))=11)),"OK","ERRO: use DDD + número (10 ou 11 dígitos)"))</f>
      </c>
      <c r="T224" s="6">
        <f>IF(L224="","vazio",IF(AND(ISNUMBER(FIND("@",L224)),ISNUMBER(FIND(".",MID(L224,FIND("@",L224),99))),NOT(ISNUMBER(FIND(" ",TRIM(L224)))),NOT(ISNUMBER(FIND(";",L224))),NOT(ISNUMBER(FIND(",",L224)))),"OK","ERRO: um e-mail válido por linha"))</f>
      </c>
      <c r="U224" s="6">
        <f>IF(COUNTA(A224:O224)=0,"",IF(AND(B224&lt;&gt;"",C224&lt;&gt;"",D224&lt;&gt;"",E224&lt;&gt;"",H224&lt;&gt;"",OR(J224&lt;&gt;"",L224&lt;&gt;"")),"OK","ERRO: faltam "&amp;IF(B224="","Proprietário; ","")&amp;IF(C224="","Origem; ","")&amp;IF(D224="","CNPJ; ","")&amp;IF(E224="","Razão Social; ","")&amp;IF(H224="","Sobrenome; ","")&amp;IF(AND(J224="",L224=""),"telefone ou e-mail; ","")))</f>
      </c>
      <c r="V224" s="6">
        <f>IF(COUNTA(A224:O224)=0,"",IF(AND(Q224="OK",R224="OK",LEFT(S224,4)&lt;&gt;"ERRO",LEFT(T224,4)&lt;&gt;"ERRO",U224="OK"),"OK","REVISAR"))</f>
      </c>
    </row>
    <row r="225">
      <c r="A225" s="4"/>
      <c r="B225" s="5"/>
      <c r="C225" s="5"/>
      <c r="D225" s="5"/>
      <c r="E225" s="5"/>
      <c r="F225" s="4"/>
      <c r="G225" s="4"/>
      <c r="H225" s="5"/>
      <c r="I225" s="4"/>
      <c r="J225" s="4"/>
      <c r="K225" s="4"/>
      <c r="L225" s="4"/>
      <c r="M225" s="4"/>
      <c r="N225" s="4"/>
      <c r="O225" s="4"/>
      <c r="P225" s="6">
        <f>IF(D225="","",SUBSTITUTE(SUBSTITUTE(SUBSTITUTE(SUBSTITUTE(SUBSTITUTE(SUBSTITUTE(SUBSTITUTE(TRIM(D225),".",""),"/",""),"-","")," ",""),"(",""),")",""),"+",""))</f>
      </c>
      <c r="Q225" s="6">
        <f>IF(P225="","",IF(LEN(P225)&lt;&gt;14,"ERRO: "&amp;LEN(P225)&amp;" dígitos",IF(NOT(ISNUMBER(VALUE(P225))),"ERRO: não numérico",IF(LEN(SUBSTITUTE(P225,LEFT(P225,1),""))=0,"ERRO: dígitos repetidos",IF(AND(VALUE(MID(P225,13,1))=IF(MOD(SUMPRODUCT(--MID(P225,{1,2,3,4,5,6,7,8,9,10,11,12},1),{5,4,3,2,9,8,7,6,5,4,3,2}),11)&lt;2,0,11-MOD(SUMPRODUCT(--MID(P225,{1,2,3,4,5,6,7,8,9,10,11,12},1),{5,4,3,2,9,8,7,6,5,4,3,2}),11)),VALUE(MID(P225,14,1))=IF(MOD(SUMPRODUCT(--MID(P225,{1,2,3,4,5,6,7,8,9,10,11,12,13},1),{6,5,4,3,2,9,8,7,6,5,4,3,2}),11)&lt;2,0,11-MOD(SUMPRODUCT(--MID(P225,{1,2,3,4,5,6,7,8,9,10,11,12,13},1),{6,5,4,3,2,9,8,7,6,5,4,3,2}),11))),"OK","ERRO: dígito verificador")))))</f>
      </c>
      <c r="R225" s="6">
        <f>IF(P225="","",IF(COUNTIF($P$2:$P$1001,P225)&gt;1,"DUPLICADO","OK"))</f>
      </c>
      <c r="S225" s="6">
        <f>IF(AND(J225="",K225=""),"vazio",IF(AND(OR(J225="",LEN(SUBSTITUTE(SUBSTITUTE(SUBSTITUTE(SUBSTITUTE(SUBSTITUTE(SUBSTITUTE(SUBSTITUTE(TRIM(J225),".",""),"/",""),"-","")," ",""),"(",""),")",""),"+",""))=10,LEN(SUBSTITUTE(SUBSTITUTE(SUBSTITUTE(SUBSTITUTE(SUBSTITUTE(SUBSTITUTE(SUBSTITUTE(TRIM(J225),".",""),"/",""),"-","")," ",""),"(",""),")",""),"+",""))=11),OR(K225="",LEN(SUBSTITUTE(SUBSTITUTE(SUBSTITUTE(SUBSTITUTE(SUBSTITUTE(SUBSTITUTE(SUBSTITUTE(TRIM(K225),".",""),"/",""),"-","")," ",""),"(",""),")",""),"+",""))=10,LEN(SUBSTITUTE(SUBSTITUTE(SUBSTITUTE(SUBSTITUTE(SUBSTITUTE(SUBSTITUTE(SUBSTITUTE(TRIM(K225),".",""),"/",""),"-","")," ",""),"(",""),")",""),"+",""))=11)),"OK","ERRO: use DDD + número (10 ou 11 dígitos)"))</f>
      </c>
      <c r="T225" s="6">
        <f>IF(L225="","vazio",IF(AND(ISNUMBER(FIND("@",L225)),ISNUMBER(FIND(".",MID(L225,FIND("@",L225),99))),NOT(ISNUMBER(FIND(" ",TRIM(L225)))),NOT(ISNUMBER(FIND(";",L225))),NOT(ISNUMBER(FIND(",",L225)))),"OK","ERRO: um e-mail válido por linha"))</f>
      </c>
      <c r="U225" s="6">
        <f>IF(COUNTA(A225:O225)=0,"",IF(AND(B225&lt;&gt;"",C225&lt;&gt;"",D225&lt;&gt;"",E225&lt;&gt;"",H225&lt;&gt;"",OR(J225&lt;&gt;"",L225&lt;&gt;"")),"OK","ERRO: faltam "&amp;IF(B225="","Proprietário; ","")&amp;IF(C225="","Origem; ","")&amp;IF(D225="","CNPJ; ","")&amp;IF(E225="","Razão Social; ","")&amp;IF(H225="","Sobrenome; ","")&amp;IF(AND(J225="",L225=""),"telefone ou e-mail; ","")))</f>
      </c>
      <c r="V225" s="6">
        <f>IF(COUNTA(A225:O225)=0,"",IF(AND(Q225="OK",R225="OK",LEFT(S225,4)&lt;&gt;"ERRO",LEFT(T225,4)&lt;&gt;"ERRO",U225="OK"),"OK","REVISAR"))</f>
      </c>
    </row>
    <row r="226">
      <c r="A226" s="4"/>
      <c r="B226" s="5"/>
      <c r="C226" s="5"/>
      <c r="D226" s="5"/>
      <c r="E226" s="5"/>
      <c r="F226" s="4"/>
      <c r="G226" s="4"/>
      <c r="H226" s="5"/>
      <c r="I226" s="4"/>
      <c r="J226" s="4"/>
      <c r="K226" s="4"/>
      <c r="L226" s="4"/>
      <c r="M226" s="4"/>
      <c r="N226" s="4"/>
      <c r="O226" s="4"/>
      <c r="P226" s="6">
        <f>IF(D226="","",SUBSTITUTE(SUBSTITUTE(SUBSTITUTE(SUBSTITUTE(SUBSTITUTE(SUBSTITUTE(SUBSTITUTE(TRIM(D226),".",""),"/",""),"-","")," ",""),"(",""),")",""),"+",""))</f>
      </c>
      <c r="Q226" s="6">
        <f>IF(P226="","",IF(LEN(P226)&lt;&gt;14,"ERRO: "&amp;LEN(P226)&amp;" dígitos",IF(NOT(ISNUMBER(VALUE(P226))),"ERRO: não numérico",IF(LEN(SUBSTITUTE(P226,LEFT(P226,1),""))=0,"ERRO: dígitos repetidos",IF(AND(VALUE(MID(P226,13,1))=IF(MOD(SUMPRODUCT(--MID(P226,{1,2,3,4,5,6,7,8,9,10,11,12},1),{5,4,3,2,9,8,7,6,5,4,3,2}),11)&lt;2,0,11-MOD(SUMPRODUCT(--MID(P226,{1,2,3,4,5,6,7,8,9,10,11,12},1),{5,4,3,2,9,8,7,6,5,4,3,2}),11)),VALUE(MID(P226,14,1))=IF(MOD(SUMPRODUCT(--MID(P226,{1,2,3,4,5,6,7,8,9,10,11,12,13},1),{6,5,4,3,2,9,8,7,6,5,4,3,2}),11)&lt;2,0,11-MOD(SUMPRODUCT(--MID(P226,{1,2,3,4,5,6,7,8,9,10,11,12,13},1),{6,5,4,3,2,9,8,7,6,5,4,3,2}),11))),"OK","ERRO: dígito verificador")))))</f>
      </c>
      <c r="R226" s="6">
        <f>IF(P226="","",IF(COUNTIF($P$2:$P$1001,P226)&gt;1,"DUPLICADO","OK"))</f>
      </c>
      <c r="S226" s="6">
        <f>IF(AND(J226="",K226=""),"vazio",IF(AND(OR(J226="",LEN(SUBSTITUTE(SUBSTITUTE(SUBSTITUTE(SUBSTITUTE(SUBSTITUTE(SUBSTITUTE(SUBSTITUTE(TRIM(J226),".",""),"/",""),"-","")," ",""),"(",""),")",""),"+",""))=10,LEN(SUBSTITUTE(SUBSTITUTE(SUBSTITUTE(SUBSTITUTE(SUBSTITUTE(SUBSTITUTE(SUBSTITUTE(TRIM(J226),".",""),"/",""),"-","")," ",""),"(",""),")",""),"+",""))=11),OR(K226="",LEN(SUBSTITUTE(SUBSTITUTE(SUBSTITUTE(SUBSTITUTE(SUBSTITUTE(SUBSTITUTE(SUBSTITUTE(TRIM(K226),".",""),"/",""),"-","")," ",""),"(",""),")",""),"+",""))=10,LEN(SUBSTITUTE(SUBSTITUTE(SUBSTITUTE(SUBSTITUTE(SUBSTITUTE(SUBSTITUTE(SUBSTITUTE(TRIM(K226),".",""),"/",""),"-","")," ",""),"(",""),")",""),"+",""))=11)),"OK","ERRO: use DDD + número (10 ou 11 dígitos)"))</f>
      </c>
      <c r="T226" s="6">
        <f>IF(L226="","vazio",IF(AND(ISNUMBER(FIND("@",L226)),ISNUMBER(FIND(".",MID(L226,FIND("@",L226),99))),NOT(ISNUMBER(FIND(" ",TRIM(L226)))),NOT(ISNUMBER(FIND(";",L226))),NOT(ISNUMBER(FIND(",",L226)))),"OK","ERRO: um e-mail válido por linha"))</f>
      </c>
      <c r="U226" s="6">
        <f>IF(COUNTA(A226:O226)=0,"",IF(AND(B226&lt;&gt;"",C226&lt;&gt;"",D226&lt;&gt;"",E226&lt;&gt;"",H226&lt;&gt;"",OR(J226&lt;&gt;"",L226&lt;&gt;"")),"OK","ERRO: faltam "&amp;IF(B226="","Proprietário; ","")&amp;IF(C226="","Origem; ","")&amp;IF(D226="","CNPJ; ","")&amp;IF(E226="","Razão Social; ","")&amp;IF(H226="","Sobrenome; ","")&amp;IF(AND(J226="",L226=""),"telefone ou e-mail; ","")))</f>
      </c>
      <c r="V226" s="6">
        <f>IF(COUNTA(A226:O226)=0,"",IF(AND(Q226="OK",R226="OK",LEFT(S226,4)&lt;&gt;"ERRO",LEFT(T226,4)&lt;&gt;"ERRO",U226="OK"),"OK","REVISAR"))</f>
      </c>
    </row>
    <row r="227">
      <c r="A227" s="4"/>
      <c r="B227" s="5"/>
      <c r="C227" s="5"/>
      <c r="D227" s="5"/>
      <c r="E227" s="5"/>
      <c r="F227" s="4"/>
      <c r="G227" s="4"/>
      <c r="H227" s="5"/>
      <c r="I227" s="4"/>
      <c r="J227" s="4"/>
      <c r="K227" s="4"/>
      <c r="L227" s="4"/>
      <c r="M227" s="4"/>
      <c r="N227" s="4"/>
      <c r="O227" s="4"/>
      <c r="P227" s="6">
        <f>IF(D227="","",SUBSTITUTE(SUBSTITUTE(SUBSTITUTE(SUBSTITUTE(SUBSTITUTE(SUBSTITUTE(SUBSTITUTE(TRIM(D227),".",""),"/",""),"-","")," ",""),"(",""),")",""),"+",""))</f>
      </c>
      <c r="Q227" s="6">
        <f>IF(P227="","",IF(LEN(P227)&lt;&gt;14,"ERRO: "&amp;LEN(P227)&amp;" dígitos",IF(NOT(ISNUMBER(VALUE(P227))),"ERRO: não numérico",IF(LEN(SUBSTITUTE(P227,LEFT(P227,1),""))=0,"ERRO: dígitos repetidos",IF(AND(VALUE(MID(P227,13,1))=IF(MOD(SUMPRODUCT(--MID(P227,{1,2,3,4,5,6,7,8,9,10,11,12},1),{5,4,3,2,9,8,7,6,5,4,3,2}),11)&lt;2,0,11-MOD(SUMPRODUCT(--MID(P227,{1,2,3,4,5,6,7,8,9,10,11,12},1),{5,4,3,2,9,8,7,6,5,4,3,2}),11)),VALUE(MID(P227,14,1))=IF(MOD(SUMPRODUCT(--MID(P227,{1,2,3,4,5,6,7,8,9,10,11,12,13},1),{6,5,4,3,2,9,8,7,6,5,4,3,2}),11)&lt;2,0,11-MOD(SUMPRODUCT(--MID(P227,{1,2,3,4,5,6,7,8,9,10,11,12,13},1),{6,5,4,3,2,9,8,7,6,5,4,3,2}),11))),"OK","ERRO: dígito verificador")))))</f>
      </c>
      <c r="R227" s="6">
        <f>IF(P227="","",IF(COUNTIF($P$2:$P$1001,P227)&gt;1,"DUPLICADO","OK"))</f>
      </c>
      <c r="S227" s="6">
        <f>IF(AND(J227="",K227=""),"vazio",IF(AND(OR(J227="",LEN(SUBSTITUTE(SUBSTITUTE(SUBSTITUTE(SUBSTITUTE(SUBSTITUTE(SUBSTITUTE(SUBSTITUTE(TRIM(J227),".",""),"/",""),"-","")," ",""),"(",""),")",""),"+",""))=10,LEN(SUBSTITUTE(SUBSTITUTE(SUBSTITUTE(SUBSTITUTE(SUBSTITUTE(SUBSTITUTE(SUBSTITUTE(TRIM(J227),".",""),"/",""),"-","")," ",""),"(",""),")",""),"+",""))=11),OR(K227="",LEN(SUBSTITUTE(SUBSTITUTE(SUBSTITUTE(SUBSTITUTE(SUBSTITUTE(SUBSTITUTE(SUBSTITUTE(TRIM(K227),".",""),"/",""),"-","")," ",""),"(",""),")",""),"+",""))=10,LEN(SUBSTITUTE(SUBSTITUTE(SUBSTITUTE(SUBSTITUTE(SUBSTITUTE(SUBSTITUTE(SUBSTITUTE(TRIM(K227),".",""),"/",""),"-","")," ",""),"(",""),")",""),"+",""))=11)),"OK","ERRO: use DDD + número (10 ou 11 dígitos)"))</f>
      </c>
      <c r="T227" s="6">
        <f>IF(L227="","vazio",IF(AND(ISNUMBER(FIND("@",L227)),ISNUMBER(FIND(".",MID(L227,FIND("@",L227),99))),NOT(ISNUMBER(FIND(" ",TRIM(L227)))),NOT(ISNUMBER(FIND(";",L227))),NOT(ISNUMBER(FIND(",",L227)))),"OK","ERRO: um e-mail válido por linha"))</f>
      </c>
      <c r="U227" s="6">
        <f>IF(COUNTA(A227:O227)=0,"",IF(AND(B227&lt;&gt;"",C227&lt;&gt;"",D227&lt;&gt;"",E227&lt;&gt;"",H227&lt;&gt;"",OR(J227&lt;&gt;"",L227&lt;&gt;"")),"OK","ERRO: faltam "&amp;IF(B227="","Proprietário; ","")&amp;IF(C227="","Origem; ","")&amp;IF(D227="","CNPJ; ","")&amp;IF(E227="","Razão Social; ","")&amp;IF(H227="","Sobrenome; ","")&amp;IF(AND(J227="",L227=""),"telefone ou e-mail; ","")))</f>
      </c>
      <c r="V227" s="6">
        <f>IF(COUNTA(A227:O227)=0,"",IF(AND(Q227="OK",R227="OK",LEFT(S227,4)&lt;&gt;"ERRO",LEFT(T227,4)&lt;&gt;"ERRO",U227="OK"),"OK","REVISAR"))</f>
      </c>
    </row>
    <row r="228">
      <c r="A228" s="4"/>
      <c r="B228" s="5"/>
      <c r="C228" s="5"/>
      <c r="D228" s="5"/>
      <c r="E228" s="5"/>
      <c r="F228" s="4"/>
      <c r="G228" s="4"/>
      <c r="H228" s="5"/>
      <c r="I228" s="4"/>
      <c r="J228" s="4"/>
      <c r="K228" s="4"/>
      <c r="L228" s="4"/>
      <c r="M228" s="4"/>
      <c r="N228" s="4"/>
      <c r="O228" s="4"/>
      <c r="P228" s="6">
        <f>IF(D228="","",SUBSTITUTE(SUBSTITUTE(SUBSTITUTE(SUBSTITUTE(SUBSTITUTE(SUBSTITUTE(SUBSTITUTE(TRIM(D228),".",""),"/",""),"-","")," ",""),"(",""),")",""),"+",""))</f>
      </c>
      <c r="Q228" s="6">
        <f>IF(P228="","",IF(LEN(P228)&lt;&gt;14,"ERRO: "&amp;LEN(P228)&amp;" dígitos",IF(NOT(ISNUMBER(VALUE(P228))),"ERRO: não numérico",IF(LEN(SUBSTITUTE(P228,LEFT(P228,1),""))=0,"ERRO: dígitos repetidos",IF(AND(VALUE(MID(P228,13,1))=IF(MOD(SUMPRODUCT(--MID(P228,{1,2,3,4,5,6,7,8,9,10,11,12},1),{5,4,3,2,9,8,7,6,5,4,3,2}),11)&lt;2,0,11-MOD(SUMPRODUCT(--MID(P228,{1,2,3,4,5,6,7,8,9,10,11,12},1),{5,4,3,2,9,8,7,6,5,4,3,2}),11)),VALUE(MID(P228,14,1))=IF(MOD(SUMPRODUCT(--MID(P228,{1,2,3,4,5,6,7,8,9,10,11,12,13},1),{6,5,4,3,2,9,8,7,6,5,4,3,2}),11)&lt;2,0,11-MOD(SUMPRODUCT(--MID(P228,{1,2,3,4,5,6,7,8,9,10,11,12,13},1),{6,5,4,3,2,9,8,7,6,5,4,3,2}),11))),"OK","ERRO: dígito verificador")))))</f>
      </c>
      <c r="R228" s="6">
        <f>IF(P228="","",IF(COUNTIF($P$2:$P$1001,P228)&gt;1,"DUPLICADO","OK"))</f>
      </c>
      <c r="S228" s="6">
        <f>IF(AND(J228="",K228=""),"vazio",IF(AND(OR(J228="",LEN(SUBSTITUTE(SUBSTITUTE(SUBSTITUTE(SUBSTITUTE(SUBSTITUTE(SUBSTITUTE(SUBSTITUTE(TRIM(J228),".",""),"/",""),"-","")," ",""),"(",""),")",""),"+",""))=10,LEN(SUBSTITUTE(SUBSTITUTE(SUBSTITUTE(SUBSTITUTE(SUBSTITUTE(SUBSTITUTE(SUBSTITUTE(TRIM(J228),".",""),"/",""),"-","")," ",""),"(",""),")",""),"+",""))=11),OR(K228="",LEN(SUBSTITUTE(SUBSTITUTE(SUBSTITUTE(SUBSTITUTE(SUBSTITUTE(SUBSTITUTE(SUBSTITUTE(TRIM(K228),".",""),"/",""),"-","")," ",""),"(",""),")",""),"+",""))=10,LEN(SUBSTITUTE(SUBSTITUTE(SUBSTITUTE(SUBSTITUTE(SUBSTITUTE(SUBSTITUTE(SUBSTITUTE(TRIM(K228),".",""),"/",""),"-","")," ",""),"(",""),")",""),"+",""))=11)),"OK","ERRO: use DDD + número (10 ou 11 dígitos)"))</f>
      </c>
      <c r="T228" s="6">
        <f>IF(L228="","vazio",IF(AND(ISNUMBER(FIND("@",L228)),ISNUMBER(FIND(".",MID(L228,FIND("@",L228),99))),NOT(ISNUMBER(FIND(" ",TRIM(L228)))),NOT(ISNUMBER(FIND(";",L228))),NOT(ISNUMBER(FIND(",",L228)))),"OK","ERRO: um e-mail válido por linha"))</f>
      </c>
      <c r="U228" s="6">
        <f>IF(COUNTA(A228:O228)=0,"",IF(AND(B228&lt;&gt;"",C228&lt;&gt;"",D228&lt;&gt;"",E228&lt;&gt;"",H228&lt;&gt;"",OR(J228&lt;&gt;"",L228&lt;&gt;"")),"OK","ERRO: faltam "&amp;IF(B228="","Proprietário; ","")&amp;IF(C228="","Origem; ","")&amp;IF(D228="","CNPJ; ","")&amp;IF(E228="","Razão Social; ","")&amp;IF(H228="","Sobrenome; ","")&amp;IF(AND(J228="",L228=""),"telefone ou e-mail; ","")))</f>
      </c>
      <c r="V228" s="6">
        <f>IF(COUNTA(A228:O228)=0,"",IF(AND(Q228="OK",R228="OK",LEFT(S228,4)&lt;&gt;"ERRO",LEFT(T228,4)&lt;&gt;"ERRO",U228="OK"),"OK","REVISAR"))</f>
      </c>
    </row>
    <row r="229">
      <c r="A229" s="4"/>
      <c r="B229" s="5"/>
      <c r="C229" s="5"/>
      <c r="D229" s="5"/>
      <c r="E229" s="5"/>
      <c r="F229" s="4"/>
      <c r="G229" s="4"/>
      <c r="H229" s="5"/>
      <c r="I229" s="4"/>
      <c r="J229" s="4"/>
      <c r="K229" s="4"/>
      <c r="L229" s="4"/>
      <c r="M229" s="4"/>
      <c r="N229" s="4"/>
      <c r="O229" s="4"/>
      <c r="P229" s="6">
        <f>IF(D229="","",SUBSTITUTE(SUBSTITUTE(SUBSTITUTE(SUBSTITUTE(SUBSTITUTE(SUBSTITUTE(SUBSTITUTE(TRIM(D229),".",""),"/",""),"-","")," ",""),"(",""),")",""),"+",""))</f>
      </c>
      <c r="Q229" s="6">
        <f>IF(P229="","",IF(LEN(P229)&lt;&gt;14,"ERRO: "&amp;LEN(P229)&amp;" dígitos",IF(NOT(ISNUMBER(VALUE(P229))),"ERRO: não numérico",IF(LEN(SUBSTITUTE(P229,LEFT(P229,1),""))=0,"ERRO: dígitos repetidos",IF(AND(VALUE(MID(P229,13,1))=IF(MOD(SUMPRODUCT(--MID(P229,{1,2,3,4,5,6,7,8,9,10,11,12},1),{5,4,3,2,9,8,7,6,5,4,3,2}),11)&lt;2,0,11-MOD(SUMPRODUCT(--MID(P229,{1,2,3,4,5,6,7,8,9,10,11,12},1),{5,4,3,2,9,8,7,6,5,4,3,2}),11)),VALUE(MID(P229,14,1))=IF(MOD(SUMPRODUCT(--MID(P229,{1,2,3,4,5,6,7,8,9,10,11,12,13},1),{6,5,4,3,2,9,8,7,6,5,4,3,2}),11)&lt;2,0,11-MOD(SUMPRODUCT(--MID(P229,{1,2,3,4,5,6,7,8,9,10,11,12,13},1),{6,5,4,3,2,9,8,7,6,5,4,3,2}),11))),"OK","ERRO: dígito verificador")))))</f>
      </c>
      <c r="R229" s="6">
        <f>IF(P229="","",IF(COUNTIF($P$2:$P$1001,P229)&gt;1,"DUPLICADO","OK"))</f>
      </c>
      <c r="S229" s="6">
        <f>IF(AND(J229="",K229=""),"vazio",IF(AND(OR(J229="",LEN(SUBSTITUTE(SUBSTITUTE(SUBSTITUTE(SUBSTITUTE(SUBSTITUTE(SUBSTITUTE(SUBSTITUTE(TRIM(J229),".",""),"/",""),"-","")," ",""),"(",""),")",""),"+",""))=10,LEN(SUBSTITUTE(SUBSTITUTE(SUBSTITUTE(SUBSTITUTE(SUBSTITUTE(SUBSTITUTE(SUBSTITUTE(TRIM(J229),".",""),"/",""),"-","")," ",""),"(",""),")",""),"+",""))=11),OR(K229="",LEN(SUBSTITUTE(SUBSTITUTE(SUBSTITUTE(SUBSTITUTE(SUBSTITUTE(SUBSTITUTE(SUBSTITUTE(TRIM(K229),".",""),"/",""),"-","")," ",""),"(",""),")",""),"+",""))=10,LEN(SUBSTITUTE(SUBSTITUTE(SUBSTITUTE(SUBSTITUTE(SUBSTITUTE(SUBSTITUTE(SUBSTITUTE(TRIM(K229),".",""),"/",""),"-","")," ",""),"(",""),")",""),"+",""))=11)),"OK","ERRO: use DDD + número (10 ou 11 dígitos)"))</f>
      </c>
      <c r="T229" s="6">
        <f>IF(L229="","vazio",IF(AND(ISNUMBER(FIND("@",L229)),ISNUMBER(FIND(".",MID(L229,FIND("@",L229),99))),NOT(ISNUMBER(FIND(" ",TRIM(L229)))),NOT(ISNUMBER(FIND(";",L229))),NOT(ISNUMBER(FIND(",",L229)))),"OK","ERRO: um e-mail válido por linha"))</f>
      </c>
      <c r="U229" s="6">
        <f>IF(COUNTA(A229:O229)=0,"",IF(AND(B229&lt;&gt;"",C229&lt;&gt;"",D229&lt;&gt;"",E229&lt;&gt;"",H229&lt;&gt;"",OR(J229&lt;&gt;"",L229&lt;&gt;"")),"OK","ERRO: faltam "&amp;IF(B229="","Proprietário; ","")&amp;IF(C229="","Origem; ","")&amp;IF(D229="","CNPJ; ","")&amp;IF(E229="","Razão Social; ","")&amp;IF(H229="","Sobrenome; ","")&amp;IF(AND(J229="",L229=""),"telefone ou e-mail; ","")))</f>
      </c>
      <c r="V229" s="6">
        <f>IF(COUNTA(A229:O229)=0,"",IF(AND(Q229="OK",R229="OK",LEFT(S229,4)&lt;&gt;"ERRO",LEFT(T229,4)&lt;&gt;"ERRO",U229="OK"),"OK","REVISAR"))</f>
      </c>
    </row>
    <row r="230">
      <c r="A230" s="4"/>
      <c r="B230" s="5"/>
      <c r="C230" s="5"/>
      <c r="D230" s="5"/>
      <c r="E230" s="5"/>
      <c r="F230" s="4"/>
      <c r="G230" s="4"/>
      <c r="H230" s="5"/>
      <c r="I230" s="4"/>
      <c r="J230" s="4"/>
      <c r="K230" s="4"/>
      <c r="L230" s="4"/>
      <c r="M230" s="4"/>
      <c r="N230" s="4"/>
      <c r="O230" s="4"/>
      <c r="P230" s="6">
        <f>IF(D230="","",SUBSTITUTE(SUBSTITUTE(SUBSTITUTE(SUBSTITUTE(SUBSTITUTE(SUBSTITUTE(SUBSTITUTE(TRIM(D230),".",""),"/",""),"-","")," ",""),"(",""),")",""),"+",""))</f>
      </c>
      <c r="Q230" s="6">
        <f>IF(P230="","",IF(LEN(P230)&lt;&gt;14,"ERRO: "&amp;LEN(P230)&amp;" dígitos",IF(NOT(ISNUMBER(VALUE(P230))),"ERRO: não numérico",IF(LEN(SUBSTITUTE(P230,LEFT(P230,1),""))=0,"ERRO: dígitos repetidos",IF(AND(VALUE(MID(P230,13,1))=IF(MOD(SUMPRODUCT(--MID(P230,{1,2,3,4,5,6,7,8,9,10,11,12},1),{5,4,3,2,9,8,7,6,5,4,3,2}),11)&lt;2,0,11-MOD(SUMPRODUCT(--MID(P230,{1,2,3,4,5,6,7,8,9,10,11,12},1),{5,4,3,2,9,8,7,6,5,4,3,2}),11)),VALUE(MID(P230,14,1))=IF(MOD(SUMPRODUCT(--MID(P230,{1,2,3,4,5,6,7,8,9,10,11,12,13},1),{6,5,4,3,2,9,8,7,6,5,4,3,2}),11)&lt;2,0,11-MOD(SUMPRODUCT(--MID(P230,{1,2,3,4,5,6,7,8,9,10,11,12,13},1),{6,5,4,3,2,9,8,7,6,5,4,3,2}),11))),"OK","ERRO: dígito verificador")))))</f>
      </c>
      <c r="R230" s="6">
        <f>IF(P230="","",IF(COUNTIF($P$2:$P$1001,P230)&gt;1,"DUPLICADO","OK"))</f>
      </c>
      <c r="S230" s="6">
        <f>IF(AND(J230="",K230=""),"vazio",IF(AND(OR(J230="",LEN(SUBSTITUTE(SUBSTITUTE(SUBSTITUTE(SUBSTITUTE(SUBSTITUTE(SUBSTITUTE(SUBSTITUTE(TRIM(J230),".",""),"/",""),"-","")," ",""),"(",""),")",""),"+",""))=10,LEN(SUBSTITUTE(SUBSTITUTE(SUBSTITUTE(SUBSTITUTE(SUBSTITUTE(SUBSTITUTE(SUBSTITUTE(TRIM(J230),".",""),"/",""),"-","")," ",""),"(",""),")",""),"+",""))=11),OR(K230="",LEN(SUBSTITUTE(SUBSTITUTE(SUBSTITUTE(SUBSTITUTE(SUBSTITUTE(SUBSTITUTE(SUBSTITUTE(TRIM(K230),".",""),"/",""),"-","")," ",""),"(",""),")",""),"+",""))=10,LEN(SUBSTITUTE(SUBSTITUTE(SUBSTITUTE(SUBSTITUTE(SUBSTITUTE(SUBSTITUTE(SUBSTITUTE(TRIM(K230),".",""),"/",""),"-","")," ",""),"(",""),")",""),"+",""))=11)),"OK","ERRO: use DDD + número (10 ou 11 dígitos)"))</f>
      </c>
      <c r="T230" s="6">
        <f>IF(L230="","vazio",IF(AND(ISNUMBER(FIND("@",L230)),ISNUMBER(FIND(".",MID(L230,FIND("@",L230),99))),NOT(ISNUMBER(FIND(" ",TRIM(L230)))),NOT(ISNUMBER(FIND(";",L230))),NOT(ISNUMBER(FIND(",",L230)))),"OK","ERRO: um e-mail válido por linha"))</f>
      </c>
      <c r="U230" s="6">
        <f>IF(COUNTA(A230:O230)=0,"",IF(AND(B230&lt;&gt;"",C230&lt;&gt;"",D230&lt;&gt;"",E230&lt;&gt;"",H230&lt;&gt;"",OR(J230&lt;&gt;"",L230&lt;&gt;"")),"OK","ERRO: faltam "&amp;IF(B230="","Proprietário; ","")&amp;IF(C230="","Origem; ","")&amp;IF(D230="","CNPJ; ","")&amp;IF(E230="","Razão Social; ","")&amp;IF(H230="","Sobrenome; ","")&amp;IF(AND(J230="",L230=""),"telefone ou e-mail; ","")))</f>
      </c>
      <c r="V230" s="6">
        <f>IF(COUNTA(A230:O230)=0,"",IF(AND(Q230="OK",R230="OK",LEFT(S230,4)&lt;&gt;"ERRO",LEFT(T230,4)&lt;&gt;"ERRO",U230="OK"),"OK","REVISAR"))</f>
      </c>
    </row>
    <row r="231">
      <c r="A231" s="4"/>
      <c r="B231" s="5"/>
      <c r="C231" s="5"/>
      <c r="D231" s="5"/>
      <c r="E231" s="5"/>
      <c r="F231" s="4"/>
      <c r="G231" s="4"/>
      <c r="H231" s="5"/>
      <c r="I231" s="4"/>
      <c r="J231" s="4"/>
      <c r="K231" s="4"/>
      <c r="L231" s="4"/>
      <c r="M231" s="4"/>
      <c r="N231" s="4"/>
      <c r="O231" s="4"/>
      <c r="P231" s="6">
        <f>IF(D231="","",SUBSTITUTE(SUBSTITUTE(SUBSTITUTE(SUBSTITUTE(SUBSTITUTE(SUBSTITUTE(SUBSTITUTE(TRIM(D231),".",""),"/",""),"-","")," ",""),"(",""),")",""),"+",""))</f>
      </c>
      <c r="Q231" s="6">
        <f>IF(P231="","",IF(LEN(P231)&lt;&gt;14,"ERRO: "&amp;LEN(P231)&amp;" dígitos",IF(NOT(ISNUMBER(VALUE(P231))),"ERRO: não numérico",IF(LEN(SUBSTITUTE(P231,LEFT(P231,1),""))=0,"ERRO: dígitos repetidos",IF(AND(VALUE(MID(P231,13,1))=IF(MOD(SUMPRODUCT(--MID(P231,{1,2,3,4,5,6,7,8,9,10,11,12},1),{5,4,3,2,9,8,7,6,5,4,3,2}),11)&lt;2,0,11-MOD(SUMPRODUCT(--MID(P231,{1,2,3,4,5,6,7,8,9,10,11,12},1),{5,4,3,2,9,8,7,6,5,4,3,2}),11)),VALUE(MID(P231,14,1))=IF(MOD(SUMPRODUCT(--MID(P231,{1,2,3,4,5,6,7,8,9,10,11,12,13},1),{6,5,4,3,2,9,8,7,6,5,4,3,2}),11)&lt;2,0,11-MOD(SUMPRODUCT(--MID(P231,{1,2,3,4,5,6,7,8,9,10,11,12,13},1),{6,5,4,3,2,9,8,7,6,5,4,3,2}),11))),"OK","ERRO: dígito verificador")))))</f>
      </c>
      <c r="R231" s="6">
        <f>IF(P231="","",IF(COUNTIF($P$2:$P$1001,P231)&gt;1,"DUPLICADO","OK"))</f>
      </c>
      <c r="S231" s="6">
        <f>IF(AND(J231="",K231=""),"vazio",IF(AND(OR(J231="",LEN(SUBSTITUTE(SUBSTITUTE(SUBSTITUTE(SUBSTITUTE(SUBSTITUTE(SUBSTITUTE(SUBSTITUTE(TRIM(J231),".",""),"/",""),"-","")," ",""),"(",""),")",""),"+",""))=10,LEN(SUBSTITUTE(SUBSTITUTE(SUBSTITUTE(SUBSTITUTE(SUBSTITUTE(SUBSTITUTE(SUBSTITUTE(TRIM(J231),".",""),"/",""),"-","")," ",""),"(",""),")",""),"+",""))=11),OR(K231="",LEN(SUBSTITUTE(SUBSTITUTE(SUBSTITUTE(SUBSTITUTE(SUBSTITUTE(SUBSTITUTE(SUBSTITUTE(TRIM(K231),".",""),"/",""),"-","")," ",""),"(",""),")",""),"+",""))=10,LEN(SUBSTITUTE(SUBSTITUTE(SUBSTITUTE(SUBSTITUTE(SUBSTITUTE(SUBSTITUTE(SUBSTITUTE(TRIM(K231),".",""),"/",""),"-","")," ",""),"(",""),")",""),"+",""))=11)),"OK","ERRO: use DDD + número (10 ou 11 dígitos)"))</f>
      </c>
      <c r="T231" s="6">
        <f>IF(L231="","vazio",IF(AND(ISNUMBER(FIND("@",L231)),ISNUMBER(FIND(".",MID(L231,FIND("@",L231),99))),NOT(ISNUMBER(FIND(" ",TRIM(L231)))),NOT(ISNUMBER(FIND(";",L231))),NOT(ISNUMBER(FIND(",",L231)))),"OK","ERRO: um e-mail válido por linha"))</f>
      </c>
      <c r="U231" s="6">
        <f>IF(COUNTA(A231:O231)=0,"",IF(AND(B231&lt;&gt;"",C231&lt;&gt;"",D231&lt;&gt;"",E231&lt;&gt;"",H231&lt;&gt;"",OR(J231&lt;&gt;"",L231&lt;&gt;"")),"OK","ERRO: faltam "&amp;IF(B231="","Proprietário; ","")&amp;IF(C231="","Origem; ","")&amp;IF(D231="","CNPJ; ","")&amp;IF(E231="","Razão Social; ","")&amp;IF(H231="","Sobrenome; ","")&amp;IF(AND(J231="",L231=""),"telefone ou e-mail; ","")))</f>
      </c>
      <c r="V231" s="6">
        <f>IF(COUNTA(A231:O231)=0,"",IF(AND(Q231="OK",R231="OK",LEFT(S231,4)&lt;&gt;"ERRO",LEFT(T231,4)&lt;&gt;"ERRO",U231="OK"),"OK","REVISAR"))</f>
      </c>
    </row>
    <row r="232">
      <c r="A232" s="4"/>
      <c r="B232" s="5"/>
      <c r="C232" s="5"/>
      <c r="D232" s="5"/>
      <c r="E232" s="5"/>
      <c r="F232" s="4"/>
      <c r="G232" s="4"/>
      <c r="H232" s="5"/>
      <c r="I232" s="4"/>
      <c r="J232" s="4"/>
      <c r="K232" s="4"/>
      <c r="L232" s="4"/>
      <c r="M232" s="4"/>
      <c r="N232" s="4"/>
      <c r="O232" s="4"/>
      <c r="P232" s="6">
        <f>IF(D232="","",SUBSTITUTE(SUBSTITUTE(SUBSTITUTE(SUBSTITUTE(SUBSTITUTE(SUBSTITUTE(SUBSTITUTE(TRIM(D232),".",""),"/",""),"-","")," ",""),"(",""),")",""),"+",""))</f>
      </c>
      <c r="Q232" s="6">
        <f>IF(P232="","",IF(LEN(P232)&lt;&gt;14,"ERRO: "&amp;LEN(P232)&amp;" dígitos",IF(NOT(ISNUMBER(VALUE(P232))),"ERRO: não numérico",IF(LEN(SUBSTITUTE(P232,LEFT(P232,1),""))=0,"ERRO: dígitos repetidos",IF(AND(VALUE(MID(P232,13,1))=IF(MOD(SUMPRODUCT(--MID(P232,{1,2,3,4,5,6,7,8,9,10,11,12},1),{5,4,3,2,9,8,7,6,5,4,3,2}),11)&lt;2,0,11-MOD(SUMPRODUCT(--MID(P232,{1,2,3,4,5,6,7,8,9,10,11,12},1),{5,4,3,2,9,8,7,6,5,4,3,2}),11)),VALUE(MID(P232,14,1))=IF(MOD(SUMPRODUCT(--MID(P232,{1,2,3,4,5,6,7,8,9,10,11,12,13},1),{6,5,4,3,2,9,8,7,6,5,4,3,2}),11)&lt;2,0,11-MOD(SUMPRODUCT(--MID(P232,{1,2,3,4,5,6,7,8,9,10,11,12,13},1),{6,5,4,3,2,9,8,7,6,5,4,3,2}),11))),"OK","ERRO: dígito verificador")))))</f>
      </c>
      <c r="R232" s="6">
        <f>IF(P232="","",IF(COUNTIF($P$2:$P$1001,P232)&gt;1,"DUPLICADO","OK"))</f>
      </c>
      <c r="S232" s="6">
        <f>IF(AND(J232="",K232=""),"vazio",IF(AND(OR(J232="",LEN(SUBSTITUTE(SUBSTITUTE(SUBSTITUTE(SUBSTITUTE(SUBSTITUTE(SUBSTITUTE(SUBSTITUTE(TRIM(J232),".",""),"/",""),"-","")," ",""),"(",""),")",""),"+",""))=10,LEN(SUBSTITUTE(SUBSTITUTE(SUBSTITUTE(SUBSTITUTE(SUBSTITUTE(SUBSTITUTE(SUBSTITUTE(TRIM(J232),".",""),"/",""),"-","")," ",""),"(",""),")",""),"+",""))=11),OR(K232="",LEN(SUBSTITUTE(SUBSTITUTE(SUBSTITUTE(SUBSTITUTE(SUBSTITUTE(SUBSTITUTE(SUBSTITUTE(TRIM(K232),".",""),"/",""),"-","")," ",""),"(",""),")",""),"+",""))=10,LEN(SUBSTITUTE(SUBSTITUTE(SUBSTITUTE(SUBSTITUTE(SUBSTITUTE(SUBSTITUTE(SUBSTITUTE(TRIM(K232),".",""),"/",""),"-","")," ",""),"(",""),")",""),"+",""))=11)),"OK","ERRO: use DDD + número (10 ou 11 dígitos)"))</f>
      </c>
      <c r="T232" s="6">
        <f>IF(L232="","vazio",IF(AND(ISNUMBER(FIND("@",L232)),ISNUMBER(FIND(".",MID(L232,FIND("@",L232),99))),NOT(ISNUMBER(FIND(" ",TRIM(L232)))),NOT(ISNUMBER(FIND(";",L232))),NOT(ISNUMBER(FIND(",",L232)))),"OK","ERRO: um e-mail válido por linha"))</f>
      </c>
      <c r="U232" s="6">
        <f>IF(COUNTA(A232:O232)=0,"",IF(AND(B232&lt;&gt;"",C232&lt;&gt;"",D232&lt;&gt;"",E232&lt;&gt;"",H232&lt;&gt;"",OR(J232&lt;&gt;"",L232&lt;&gt;"")),"OK","ERRO: faltam "&amp;IF(B232="","Proprietário; ","")&amp;IF(C232="","Origem; ","")&amp;IF(D232="","CNPJ; ","")&amp;IF(E232="","Razão Social; ","")&amp;IF(H232="","Sobrenome; ","")&amp;IF(AND(J232="",L232=""),"telefone ou e-mail; ","")))</f>
      </c>
      <c r="V232" s="6">
        <f>IF(COUNTA(A232:O232)=0,"",IF(AND(Q232="OK",R232="OK",LEFT(S232,4)&lt;&gt;"ERRO",LEFT(T232,4)&lt;&gt;"ERRO",U232="OK"),"OK","REVISAR"))</f>
      </c>
    </row>
    <row r="233">
      <c r="A233" s="4"/>
      <c r="B233" s="5"/>
      <c r="C233" s="5"/>
      <c r="D233" s="5"/>
      <c r="E233" s="5"/>
      <c r="F233" s="4"/>
      <c r="G233" s="4"/>
      <c r="H233" s="5"/>
      <c r="I233" s="4"/>
      <c r="J233" s="4"/>
      <c r="K233" s="4"/>
      <c r="L233" s="4"/>
      <c r="M233" s="4"/>
      <c r="N233" s="4"/>
      <c r="O233" s="4"/>
      <c r="P233" s="6">
        <f>IF(D233="","",SUBSTITUTE(SUBSTITUTE(SUBSTITUTE(SUBSTITUTE(SUBSTITUTE(SUBSTITUTE(SUBSTITUTE(TRIM(D233),".",""),"/",""),"-","")," ",""),"(",""),")",""),"+",""))</f>
      </c>
      <c r="Q233" s="6">
        <f>IF(P233="","",IF(LEN(P233)&lt;&gt;14,"ERRO: "&amp;LEN(P233)&amp;" dígitos",IF(NOT(ISNUMBER(VALUE(P233))),"ERRO: não numérico",IF(LEN(SUBSTITUTE(P233,LEFT(P233,1),""))=0,"ERRO: dígitos repetidos",IF(AND(VALUE(MID(P233,13,1))=IF(MOD(SUMPRODUCT(--MID(P233,{1,2,3,4,5,6,7,8,9,10,11,12},1),{5,4,3,2,9,8,7,6,5,4,3,2}),11)&lt;2,0,11-MOD(SUMPRODUCT(--MID(P233,{1,2,3,4,5,6,7,8,9,10,11,12},1),{5,4,3,2,9,8,7,6,5,4,3,2}),11)),VALUE(MID(P233,14,1))=IF(MOD(SUMPRODUCT(--MID(P233,{1,2,3,4,5,6,7,8,9,10,11,12,13},1),{6,5,4,3,2,9,8,7,6,5,4,3,2}),11)&lt;2,0,11-MOD(SUMPRODUCT(--MID(P233,{1,2,3,4,5,6,7,8,9,10,11,12,13},1),{6,5,4,3,2,9,8,7,6,5,4,3,2}),11))),"OK","ERRO: dígito verificador")))))</f>
      </c>
      <c r="R233" s="6">
        <f>IF(P233="","",IF(COUNTIF($P$2:$P$1001,P233)&gt;1,"DUPLICADO","OK"))</f>
      </c>
      <c r="S233" s="6">
        <f>IF(AND(J233="",K233=""),"vazio",IF(AND(OR(J233="",LEN(SUBSTITUTE(SUBSTITUTE(SUBSTITUTE(SUBSTITUTE(SUBSTITUTE(SUBSTITUTE(SUBSTITUTE(TRIM(J233),".",""),"/",""),"-","")," ",""),"(",""),")",""),"+",""))=10,LEN(SUBSTITUTE(SUBSTITUTE(SUBSTITUTE(SUBSTITUTE(SUBSTITUTE(SUBSTITUTE(SUBSTITUTE(TRIM(J233),".",""),"/",""),"-","")," ",""),"(",""),")",""),"+",""))=11),OR(K233="",LEN(SUBSTITUTE(SUBSTITUTE(SUBSTITUTE(SUBSTITUTE(SUBSTITUTE(SUBSTITUTE(SUBSTITUTE(TRIM(K233),".",""),"/",""),"-","")," ",""),"(",""),")",""),"+",""))=10,LEN(SUBSTITUTE(SUBSTITUTE(SUBSTITUTE(SUBSTITUTE(SUBSTITUTE(SUBSTITUTE(SUBSTITUTE(TRIM(K233),".",""),"/",""),"-","")," ",""),"(",""),")",""),"+",""))=11)),"OK","ERRO: use DDD + número (10 ou 11 dígitos)"))</f>
      </c>
      <c r="T233" s="6">
        <f>IF(L233="","vazio",IF(AND(ISNUMBER(FIND("@",L233)),ISNUMBER(FIND(".",MID(L233,FIND("@",L233),99))),NOT(ISNUMBER(FIND(" ",TRIM(L233)))),NOT(ISNUMBER(FIND(";",L233))),NOT(ISNUMBER(FIND(",",L233)))),"OK","ERRO: um e-mail válido por linha"))</f>
      </c>
      <c r="U233" s="6">
        <f>IF(COUNTA(A233:O233)=0,"",IF(AND(B233&lt;&gt;"",C233&lt;&gt;"",D233&lt;&gt;"",E233&lt;&gt;"",H233&lt;&gt;"",OR(J233&lt;&gt;"",L233&lt;&gt;"")),"OK","ERRO: faltam "&amp;IF(B233="","Proprietário; ","")&amp;IF(C233="","Origem; ","")&amp;IF(D233="","CNPJ; ","")&amp;IF(E233="","Razão Social; ","")&amp;IF(H233="","Sobrenome; ","")&amp;IF(AND(J233="",L233=""),"telefone ou e-mail; ","")))</f>
      </c>
      <c r="V233" s="6">
        <f>IF(COUNTA(A233:O233)=0,"",IF(AND(Q233="OK",R233="OK",LEFT(S233,4)&lt;&gt;"ERRO",LEFT(T233,4)&lt;&gt;"ERRO",U233="OK"),"OK","REVISAR"))</f>
      </c>
    </row>
    <row r="234">
      <c r="A234" s="4"/>
      <c r="B234" s="5"/>
      <c r="C234" s="5"/>
      <c r="D234" s="5"/>
      <c r="E234" s="5"/>
      <c r="F234" s="4"/>
      <c r="G234" s="4"/>
      <c r="H234" s="5"/>
      <c r="I234" s="4"/>
      <c r="J234" s="4"/>
      <c r="K234" s="4"/>
      <c r="L234" s="4"/>
      <c r="M234" s="4"/>
      <c r="N234" s="4"/>
      <c r="O234" s="4"/>
      <c r="P234" s="6">
        <f>IF(D234="","",SUBSTITUTE(SUBSTITUTE(SUBSTITUTE(SUBSTITUTE(SUBSTITUTE(SUBSTITUTE(SUBSTITUTE(TRIM(D234),".",""),"/",""),"-","")," ",""),"(",""),")",""),"+",""))</f>
      </c>
      <c r="Q234" s="6">
        <f>IF(P234="","",IF(LEN(P234)&lt;&gt;14,"ERRO: "&amp;LEN(P234)&amp;" dígitos",IF(NOT(ISNUMBER(VALUE(P234))),"ERRO: não numérico",IF(LEN(SUBSTITUTE(P234,LEFT(P234,1),""))=0,"ERRO: dígitos repetidos",IF(AND(VALUE(MID(P234,13,1))=IF(MOD(SUMPRODUCT(--MID(P234,{1,2,3,4,5,6,7,8,9,10,11,12},1),{5,4,3,2,9,8,7,6,5,4,3,2}),11)&lt;2,0,11-MOD(SUMPRODUCT(--MID(P234,{1,2,3,4,5,6,7,8,9,10,11,12},1),{5,4,3,2,9,8,7,6,5,4,3,2}),11)),VALUE(MID(P234,14,1))=IF(MOD(SUMPRODUCT(--MID(P234,{1,2,3,4,5,6,7,8,9,10,11,12,13},1),{6,5,4,3,2,9,8,7,6,5,4,3,2}),11)&lt;2,0,11-MOD(SUMPRODUCT(--MID(P234,{1,2,3,4,5,6,7,8,9,10,11,12,13},1),{6,5,4,3,2,9,8,7,6,5,4,3,2}),11))),"OK","ERRO: dígito verificador")))))</f>
      </c>
      <c r="R234" s="6">
        <f>IF(P234="","",IF(COUNTIF($P$2:$P$1001,P234)&gt;1,"DUPLICADO","OK"))</f>
      </c>
      <c r="S234" s="6">
        <f>IF(AND(J234="",K234=""),"vazio",IF(AND(OR(J234="",LEN(SUBSTITUTE(SUBSTITUTE(SUBSTITUTE(SUBSTITUTE(SUBSTITUTE(SUBSTITUTE(SUBSTITUTE(TRIM(J234),".",""),"/",""),"-","")," ",""),"(",""),")",""),"+",""))=10,LEN(SUBSTITUTE(SUBSTITUTE(SUBSTITUTE(SUBSTITUTE(SUBSTITUTE(SUBSTITUTE(SUBSTITUTE(TRIM(J234),".",""),"/",""),"-","")," ",""),"(",""),")",""),"+",""))=11),OR(K234="",LEN(SUBSTITUTE(SUBSTITUTE(SUBSTITUTE(SUBSTITUTE(SUBSTITUTE(SUBSTITUTE(SUBSTITUTE(TRIM(K234),".",""),"/",""),"-","")," ",""),"(",""),")",""),"+",""))=10,LEN(SUBSTITUTE(SUBSTITUTE(SUBSTITUTE(SUBSTITUTE(SUBSTITUTE(SUBSTITUTE(SUBSTITUTE(TRIM(K234),".",""),"/",""),"-","")," ",""),"(",""),")",""),"+",""))=11)),"OK","ERRO: use DDD + número (10 ou 11 dígitos)"))</f>
      </c>
      <c r="T234" s="6">
        <f>IF(L234="","vazio",IF(AND(ISNUMBER(FIND("@",L234)),ISNUMBER(FIND(".",MID(L234,FIND("@",L234),99))),NOT(ISNUMBER(FIND(" ",TRIM(L234)))),NOT(ISNUMBER(FIND(";",L234))),NOT(ISNUMBER(FIND(",",L234)))),"OK","ERRO: um e-mail válido por linha"))</f>
      </c>
      <c r="U234" s="6">
        <f>IF(COUNTA(A234:O234)=0,"",IF(AND(B234&lt;&gt;"",C234&lt;&gt;"",D234&lt;&gt;"",E234&lt;&gt;"",H234&lt;&gt;"",OR(J234&lt;&gt;"",L234&lt;&gt;"")),"OK","ERRO: faltam "&amp;IF(B234="","Proprietário; ","")&amp;IF(C234="","Origem; ","")&amp;IF(D234="","CNPJ; ","")&amp;IF(E234="","Razão Social; ","")&amp;IF(H234="","Sobrenome; ","")&amp;IF(AND(J234="",L234=""),"telefone ou e-mail; ","")))</f>
      </c>
      <c r="V234" s="6">
        <f>IF(COUNTA(A234:O234)=0,"",IF(AND(Q234="OK",R234="OK",LEFT(S234,4)&lt;&gt;"ERRO",LEFT(T234,4)&lt;&gt;"ERRO",U234="OK"),"OK","REVISAR"))</f>
      </c>
    </row>
    <row r="235">
      <c r="A235" s="4"/>
      <c r="B235" s="5"/>
      <c r="C235" s="5"/>
      <c r="D235" s="5"/>
      <c r="E235" s="5"/>
      <c r="F235" s="4"/>
      <c r="G235" s="4"/>
      <c r="H235" s="5"/>
      <c r="I235" s="4"/>
      <c r="J235" s="4"/>
      <c r="K235" s="4"/>
      <c r="L235" s="4"/>
      <c r="M235" s="4"/>
      <c r="N235" s="4"/>
      <c r="O235" s="4"/>
      <c r="P235" s="6">
        <f>IF(D235="","",SUBSTITUTE(SUBSTITUTE(SUBSTITUTE(SUBSTITUTE(SUBSTITUTE(SUBSTITUTE(SUBSTITUTE(TRIM(D235),".",""),"/",""),"-","")," ",""),"(",""),")",""),"+",""))</f>
      </c>
      <c r="Q235" s="6">
        <f>IF(P235="","",IF(LEN(P235)&lt;&gt;14,"ERRO: "&amp;LEN(P235)&amp;" dígitos",IF(NOT(ISNUMBER(VALUE(P235))),"ERRO: não numérico",IF(LEN(SUBSTITUTE(P235,LEFT(P235,1),""))=0,"ERRO: dígitos repetidos",IF(AND(VALUE(MID(P235,13,1))=IF(MOD(SUMPRODUCT(--MID(P235,{1,2,3,4,5,6,7,8,9,10,11,12},1),{5,4,3,2,9,8,7,6,5,4,3,2}),11)&lt;2,0,11-MOD(SUMPRODUCT(--MID(P235,{1,2,3,4,5,6,7,8,9,10,11,12},1),{5,4,3,2,9,8,7,6,5,4,3,2}),11)),VALUE(MID(P235,14,1))=IF(MOD(SUMPRODUCT(--MID(P235,{1,2,3,4,5,6,7,8,9,10,11,12,13},1),{6,5,4,3,2,9,8,7,6,5,4,3,2}),11)&lt;2,0,11-MOD(SUMPRODUCT(--MID(P235,{1,2,3,4,5,6,7,8,9,10,11,12,13},1),{6,5,4,3,2,9,8,7,6,5,4,3,2}),11))),"OK","ERRO: dígito verificador")))))</f>
      </c>
      <c r="R235" s="6">
        <f>IF(P235="","",IF(COUNTIF($P$2:$P$1001,P235)&gt;1,"DUPLICADO","OK"))</f>
      </c>
      <c r="S235" s="6">
        <f>IF(AND(J235="",K235=""),"vazio",IF(AND(OR(J235="",LEN(SUBSTITUTE(SUBSTITUTE(SUBSTITUTE(SUBSTITUTE(SUBSTITUTE(SUBSTITUTE(SUBSTITUTE(TRIM(J235),".",""),"/",""),"-","")," ",""),"(",""),")",""),"+",""))=10,LEN(SUBSTITUTE(SUBSTITUTE(SUBSTITUTE(SUBSTITUTE(SUBSTITUTE(SUBSTITUTE(SUBSTITUTE(TRIM(J235),".",""),"/",""),"-","")," ",""),"(",""),")",""),"+",""))=11),OR(K235="",LEN(SUBSTITUTE(SUBSTITUTE(SUBSTITUTE(SUBSTITUTE(SUBSTITUTE(SUBSTITUTE(SUBSTITUTE(TRIM(K235),".",""),"/",""),"-","")," ",""),"(",""),")",""),"+",""))=10,LEN(SUBSTITUTE(SUBSTITUTE(SUBSTITUTE(SUBSTITUTE(SUBSTITUTE(SUBSTITUTE(SUBSTITUTE(TRIM(K235),".",""),"/",""),"-","")," ",""),"(",""),")",""),"+",""))=11)),"OK","ERRO: use DDD + número (10 ou 11 dígitos)"))</f>
      </c>
      <c r="T235" s="6">
        <f>IF(L235="","vazio",IF(AND(ISNUMBER(FIND("@",L235)),ISNUMBER(FIND(".",MID(L235,FIND("@",L235),99))),NOT(ISNUMBER(FIND(" ",TRIM(L235)))),NOT(ISNUMBER(FIND(";",L235))),NOT(ISNUMBER(FIND(",",L235)))),"OK","ERRO: um e-mail válido por linha"))</f>
      </c>
      <c r="U235" s="6">
        <f>IF(COUNTA(A235:O235)=0,"",IF(AND(B235&lt;&gt;"",C235&lt;&gt;"",D235&lt;&gt;"",E235&lt;&gt;"",H235&lt;&gt;"",OR(J235&lt;&gt;"",L235&lt;&gt;"")),"OK","ERRO: faltam "&amp;IF(B235="","Proprietário; ","")&amp;IF(C235="","Origem; ","")&amp;IF(D235="","CNPJ; ","")&amp;IF(E235="","Razão Social; ","")&amp;IF(H235="","Sobrenome; ","")&amp;IF(AND(J235="",L235=""),"telefone ou e-mail; ","")))</f>
      </c>
      <c r="V235" s="6">
        <f>IF(COUNTA(A235:O235)=0,"",IF(AND(Q235="OK",R235="OK",LEFT(S235,4)&lt;&gt;"ERRO",LEFT(T235,4)&lt;&gt;"ERRO",U235="OK"),"OK","REVISAR"))</f>
      </c>
    </row>
    <row r="236">
      <c r="A236" s="4"/>
      <c r="B236" s="5"/>
      <c r="C236" s="5"/>
      <c r="D236" s="5"/>
      <c r="E236" s="5"/>
      <c r="F236" s="4"/>
      <c r="G236" s="4"/>
      <c r="H236" s="5"/>
      <c r="I236" s="4"/>
      <c r="J236" s="4"/>
      <c r="K236" s="4"/>
      <c r="L236" s="4"/>
      <c r="M236" s="4"/>
      <c r="N236" s="4"/>
      <c r="O236" s="4"/>
      <c r="P236" s="6">
        <f>IF(D236="","",SUBSTITUTE(SUBSTITUTE(SUBSTITUTE(SUBSTITUTE(SUBSTITUTE(SUBSTITUTE(SUBSTITUTE(TRIM(D236),".",""),"/",""),"-","")," ",""),"(",""),")",""),"+",""))</f>
      </c>
      <c r="Q236" s="6">
        <f>IF(P236="","",IF(LEN(P236)&lt;&gt;14,"ERRO: "&amp;LEN(P236)&amp;" dígitos",IF(NOT(ISNUMBER(VALUE(P236))),"ERRO: não numérico",IF(LEN(SUBSTITUTE(P236,LEFT(P236,1),""))=0,"ERRO: dígitos repetidos",IF(AND(VALUE(MID(P236,13,1))=IF(MOD(SUMPRODUCT(--MID(P236,{1,2,3,4,5,6,7,8,9,10,11,12},1),{5,4,3,2,9,8,7,6,5,4,3,2}),11)&lt;2,0,11-MOD(SUMPRODUCT(--MID(P236,{1,2,3,4,5,6,7,8,9,10,11,12},1),{5,4,3,2,9,8,7,6,5,4,3,2}),11)),VALUE(MID(P236,14,1))=IF(MOD(SUMPRODUCT(--MID(P236,{1,2,3,4,5,6,7,8,9,10,11,12,13},1),{6,5,4,3,2,9,8,7,6,5,4,3,2}),11)&lt;2,0,11-MOD(SUMPRODUCT(--MID(P236,{1,2,3,4,5,6,7,8,9,10,11,12,13},1),{6,5,4,3,2,9,8,7,6,5,4,3,2}),11))),"OK","ERRO: dígito verificador")))))</f>
      </c>
      <c r="R236" s="6">
        <f>IF(P236="","",IF(COUNTIF($P$2:$P$1001,P236)&gt;1,"DUPLICADO","OK"))</f>
      </c>
      <c r="S236" s="6">
        <f>IF(AND(J236="",K236=""),"vazio",IF(AND(OR(J236="",LEN(SUBSTITUTE(SUBSTITUTE(SUBSTITUTE(SUBSTITUTE(SUBSTITUTE(SUBSTITUTE(SUBSTITUTE(TRIM(J236),".",""),"/",""),"-","")," ",""),"(",""),")",""),"+",""))=10,LEN(SUBSTITUTE(SUBSTITUTE(SUBSTITUTE(SUBSTITUTE(SUBSTITUTE(SUBSTITUTE(SUBSTITUTE(TRIM(J236),".",""),"/",""),"-","")," ",""),"(",""),")",""),"+",""))=11),OR(K236="",LEN(SUBSTITUTE(SUBSTITUTE(SUBSTITUTE(SUBSTITUTE(SUBSTITUTE(SUBSTITUTE(SUBSTITUTE(TRIM(K236),".",""),"/",""),"-","")," ",""),"(",""),")",""),"+",""))=10,LEN(SUBSTITUTE(SUBSTITUTE(SUBSTITUTE(SUBSTITUTE(SUBSTITUTE(SUBSTITUTE(SUBSTITUTE(TRIM(K236),".",""),"/",""),"-","")," ",""),"(",""),")",""),"+",""))=11)),"OK","ERRO: use DDD + número (10 ou 11 dígitos)"))</f>
      </c>
      <c r="T236" s="6">
        <f>IF(L236="","vazio",IF(AND(ISNUMBER(FIND("@",L236)),ISNUMBER(FIND(".",MID(L236,FIND("@",L236),99))),NOT(ISNUMBER(FIND(" ",TRIM(L236)))),NOT(ISNUMBER(FIND(";",L236))),NOT(ISNUMBER(FIND(",",L236)))),"OK","ERRO: um e-mail válido por linha"))</f>
      </c>
      <c r="U236" s="6">
        <f>IF(COUNTA(A236:O236)=0,"",IF(AND(B236&lt;&gt;"",C236&lt;&gt;"",D236&lt;&gt;"",E236&lt;&gt;"",H236&lt;&gt;"",OR(J236&lt;&gt;"",L236&lt;&gt;"")),"OK","ERRO: faltam "&amp;IF(B236="","Proprietário; ","")&amp;IF(C236="","Origem; ","")&amp;IF(D236="","CNPJ; ","")&amp;IF(E236="","Razão Social; ","")&amp;IF(H236="","Sobrenome; ","")&amp;IF(AND(J236="",L236=""),"telefone ou e-mail; ","")))</f>
      </c>
      <c r="V236" s="6">
        <f>IF(COUNTA(A236:O236)=0,"",IF(AND(Q236="OK",R236="OK",LEFT(S236,4)&lt;&gt;"ERRO",LEFT(T236,4)&lt;&gt;"ERRO",U236="OK"),"OK","REVISAR"))</f>
      </c>
    </row>
    <row r="237">
      <c r="A237" s="4"/>
      <c r="B237" s="5"/>
      <c r="C237" s="5"/>
      <c r="D237" s="5"/>
      <c r="E237" s="5"/>
      <c r="F237" s="4"/>
      <c r="G237" s="4"/>
      <c r="H237" s="5"/>
      <c r="I237" s="4"/>
      <c r="J237" s="4"/>
      <c r="K237" s="4"/>
      <c r="L237" s="4"/>
      <c r="M237" s="4"/>
      <c r="N237" s="4"/>
      <c r="O237" s="4"/>
      <c r="P237" s="6">
        <f>IF(D237="","",SUBSTITUTE(SUBSTITUTE(SUBSTITUTE(SUBSTITUTE(SUBSTITUTE(SUBSTITUTE(SUBSTITUTE(TRIM(D237),".",""),"/",""),"-","")," ",""),"(",""),")",""),"+",""))</f>
      </c>
      <c r="Q237" s="6">
        <f>IF(P237="","",IF(LEN(P237)&lt;&gt;14,"ERRO: "&amp;LEN(P237)&amp;" dígitos",IF(NOT(ISNUMBER(VALUE(P237))),"ERRO: não numérico",IF(LEN(SUBSTITUTE(P237,LEFT(P237,1),""))=0,"ERRO: dígitos repetidos",IF(AND(VALUE(MID(P237,13,1))=IF(MOD(SUMPRODUCT(--MID(P237,{1,2,3,4,5,6,7,8,9,10,11,12},1),{5,4,3,2,9,8,7,6,5,4,3,2}),11)&lt;2,0,11-MOD(SUMPRODUCT(--MID(P237,{1,2,3,4,5,6,7,8,9,10,11,12},1),{5,4,3,2,9,8,7,6,5,4,3,2}),11)),VALUE(MID(P237,14,1))=IF(MOD(SUMPRODUCT(--MID(P237,{1,2,3,4,5,6,7,8,9,10,11,12,13},1),{6,5,4,3,2,9,8,7,6,5,4,3,2}),11)&lt;2,0,11-MOD(SUMPRODUCT(--MID(P237,{1,2,3,4,5,6,7,8,9,10,11,12,13},1),{6,5,4,3,2,9,8,7,6,5,4,3,2}),11))),"OK","ERRO: dígito verificador")))))</f>
      </c>
      <c r="R237" s="6">
        <f>IF(P237="","",IF(COUNTIF($P$2:$P$1001,P237)&gt;1,"DUPLICADO","OK"))</f>
      </c>
      <c r="S237" s="6">
        <f>IF(AND(J237="",K237=""),"vazio",IF(AND(OR(J237="",LEN(SUBSTITUTE(SUBSTITUTE(SUBSTITUTE(SUBSTITUTE(SUBSTITUTE(SUBSTITUTE(SUBSTITUTE(TRIM(J237),".",""),"/",""),"-","")," ",""),"(",""),")",""),"+",""))=10,LEN(SUBSTITUTE(SUBSTITUTE(SUBSTITUTE(SUBSTITUTE(SUBSTITUTE(SUBSTITUTE(SUBSTITUTE(TRIM(J237),".",""),"/",""),"-","")," ",""),"(",""),")",""),"+",""))=11),OR(K237="",LEN(SUBSTITUTE(SUBSTITUTE(SUBSTITUTE(SUBSTITUTE(SUBSTITUTE(SUBSTITUTE(SUBSTITUTE(TRIM(K237),".",""),"/",""),"-","")," ",""),"(",""),")",""),"+",""))=10,LEN(SUBSTITUTE(SUBSTITUTE(SUBSTITUTE(SUBSTITUTE(SUBSTITUTE(SUBSTITUTE(SUBSTITUTE(TRIM(K237),".",""),"/",""),"-","")," ",""),"(",""),")",""),"+",""))=11)),"OK","ERRO: use DDD + número (10 ou 11 dígitos)"))</f>
      </c>
      <c r="T237" s="6">
        <f>IF(L237="","vazio",IF(AND(ISNUMBER(FIND("@",L237)),ISNUMBER(FIND(".",MID(L237,FIND("@",L237),99))),NOT(ISNUMBER(FIND(" ",TRIM(L237)))),NOT(ISNUMBER(FIND(";",L237))),NOT(ISNUMBER(FIND(",",L237)))),"OK","ERRO: um e-mail válido por linha"))</f>
      </c>
      <c r="U237" s="6">
        <f>IF(COUNTA(A237:O237)=0,"",IF(AND(B237&lt;&gt;"",C237&lt;&gt;"",D237&lt;&gt;"",E237&lt;&gt;"",H237&lt;&gt;"",OR(J237&lt;&gt;"",L237&lt;&gt;"")),"OK","ERRO: faltam "&amp;IF(B237="","Proprietário; ","")&amp;IF(C237="","Origem; ","")&amp;IF(D237="","CNPJ; ","")&amp;IF(E237="","Razão Social; ","")&amp;IF(H237="","Sobrenome; ","")&amp;IF(AND(J237="",L237=""),"telefone ou e-mail; ","")))</f>
      </c>
      <c r="V237" s="6">
        <f>IF(COUNTA(A237:O237)=0,"",IF(AND(Q237="OK",R237="OK",LEFT(S237,4)&lt;&gt;"ERRO",LEFT(T237,4)&lt;&gt;"ERRO",U237="OK"),"OK","REVISAR"))</f>
      </c>
    </row>
    <row r="238">
      <c r="A238" s="4"/>
      <c r="B238" s="5"/>
      <c r="C238" s="5"/>
      <c r="D238" s="5"/>
      <c r="E238" s="5"/>
      <c r="F238" s="4"/>
      <c r="G238" s="4"/>
      <c r="H238" s="5"/>
      <c r="I238" s="4"/>
      <c r="J238" s="4"/>
      <c r="K238" s="4"/>
      <c r="L238" s="4"/>
      <c r="M238" s="4"/>
      <c r="N238" s="4"/>
      <c r="O238" s="4"/>
      <c r="P238" s="6">
        <f>IF(D238="","",SUBSTITUTE(SUBSTITUTE(SUBSTITUTE(SUBSTITUTE(SUBSTITUTE(SUBSTITUTE(SUBSTITUTE(TRIM(D238),".",""),"/",""),"-","")," ",""),"(",""),")",""),"+",""))</f>
      </c>
      <c r="Q238" s="6">
        <f>IF(P238="","",IF(LEN(P238)&lt;&gt;14,"ERRO: "&amp;LEN(P238)&amp;" dígitos",IF(NOT(ISNUMBER(VALUE(P238))),"ERRO: não numérico",IF(LEN(SUBSTITUTE(P238,LEFT(P238,1),""))=0,"ERRO: dígitos repetidos",IF(AND(VALUE(MID(P238,13,1))=IF(MOD(SUMPRODUCT(--MID(P238,{1,2,3,4,5,6,7,8,9,10,11,12},1),{5,4,3,2,9,8,7,6,5,4,3,2}),11)&lt;2,0,11-MOD(SUMPRODUCT(--MID(P238,{1,2,3,4,5,6,7,8,9,10,11,12},1),{5,4,3,2,9,8,7,6,5,4,3,2}),11)),VALUE(MID(P238,14,1))=IF(MOD(SUMPRODUCT(--MID(P238,{1,2,3,4,5,6,7,8,9,10,11,12,13},1),{6,5,4,3,2,9,8,7,6,5,4,3,2}),11)&lt;2,0,11-MOD(SUMPRODUCT(--MID(P238,{1,2,3,4,5,6,7,8,9,10,11,12,13},1),{6,5,4,3,2,9,8,7,6,5,4,3,2}),11))),"OK","ERRO: dígito verificador")))))</f>
      </c>
      <c r="R238" s="6">
        <f>IF(P238="","",IF(COUNTIF($P$2:$P$1001,P238)&gt;1,"DUPLICADO","OK"))</f>
      </c>
      <c r="S238" s="6">
        <f>IF(AND(J238="",K238=""),"vazio",IF(AND(OR(J238="",LEN(SUBSTITUTE(SUBSTITUTE(SUBSTITUTE(SUBSTITUTE(SUBSTITUTE(SUBSTITUTE(SUBSTITUTE(TRIM(J238),".",""),"/",""),"-","")," ",""),"(",""),")",""),"+",""))=10,LEN(SUBSTITUTE(SUBSTITUTE(SUBSTITUTE(SUBSTITUTE(SUBSTITUTE(SUBSTITUTE(SUBSTITUTE(TRIM(J238),".",""),"/",""),"-","")," ",""),"(",""),")",""),"+",""))=11),OR(K238="",LEN(SUBSTITUTE(SUBSTITUTE(SUBSTITUTE(SUBSTITUTE(SUBSTITUTE(SUBSTITUTE(SUBSTITUTE(TRIM(K238),".",""),"/",""),"-","")," ",""),"(",""),")",""),"+",""))=10,LEN(SUBSTITUTE(SUBSTITUTE(SUBSTITUTE(SUBSTITUTE(SUBSTITUTE(SUBSTITUTE(SUBSTITUTE(TRIM(K238),".",""),"/",""),"-","")," ",""),"(",""),")",""),"+",""))=11)),"OK","ERRO: use DDD + número (10 ou 11 dígitos)"))</f>
      </c>
      <c r="T238" s="6">
        <f>IF(L238="","vazio",IF(AND(ISNUMBER(FIND("@",L238)),ISNUMBER(FIND(".",MID(L238,FIND("@",L238),99))),NOT(ISNUMBER(FIND(" ",TRIM(L238)))),NOT(ISNUMBER(FIND(";",L238))),NOT(ISNUMBER(FIND(",",L238)))),"OK","ERRO: um e-mail válido por linha"))</f>
      </c>
      <c r="U238" s="6">
        <f>IF(COUNTA(A238:O238)=0,"",IF(AND(B238&lt;&gt;"",C238&lt;&gt;"",D238&lt;&gt;"",E238&lt;&gt;"",H238&lt;&gt;"",OR(J238&lt;&gt;"",L238&lt;&gt;"")),"OK","ERRO: faltam "&amp;IF(B238="","Proprietário; ","")&amp;IF(C238="","Origem; ","")&amp;IF(D238="","CNPJ; ","")&amp;IF(E238="","Razão Social; ","")&amp;IF(H238="","Sobrenome; ","")&amp;IF(AND(J238="",L238=""),"telefone ou e-mail; ","")))</f>
      </c>
      <c r="V238" s="6">
        <f>IF(COUNTA(A238:O238)=0,"",IF(AND(Q238="OK",R238="OK",LEFT(S238,4)&lt;&gt;"ERRO",LEFT(T238,4)&lt;&gt;"ERRO",U238="OK"),"OK","REVISAR"))</f>
      </c>
    </row>
    <row r="239">
      <c r="A239" s="4"/>
      <c r="B239" s="5"/>
      <c r="C239" s="5"/>
      <c r="D239" s="5"/>
      <c r="E239" s="5"/>
      <c r="F239" s="4"/>
      <c r="G239" s="4"/>
      <c r="H239" s="5"/>
      <c r="I239" s="4"/>
      <c r="J239" s="4"/>
      <c r="K239" s="4"/>
      <c r="L239" s="4"/>
      <c r="M239" s="4"/>
      <c r="N239" s="4"/>
      <c r="O239" s="4"/>
      <c r="P239" s="6">
        <f>IF(D239="","",SUBSTITUTE(SUBSTITUTE(SUBSTITUTE(SUBSTITUTE(SUBSTITUTE(SUBSTITUTE(SUBSTITUTE(TRIM(D239),".",""),"/",""),"-","")," ",""),"(",""),")",""),"+",""))</f>
      </c>
      <c r="Q239" s="6">
        <f>IF(P239="","",IF(LEN(P239)&lt;&gt;14,"ERRO: "&amp;LEN(P239)&amp;" dígitos",IF(NOT(ISNUMBER(VALUE(P239))),"ERRO: não numérico",IF(LEN(SUBSTITUTE(P239,LEFT(P239,1),""))=0,"ERRO: dígitos repetidos",IF(AND(VALUE(MID(P239,13,1))=IF(MOD(SUMPRODUCT(--MID(P239,{1,2,3,4,5,6,7,8,9,10,11,12},1),{5,4,3,2,9,8,7,6,5,4,3,2}),11)&lt;2,0,11-MOD(SUMPRODUCT(--MID(P239,{1,2,3,4,5,6,7,8,9,10,11,12},1),{5,4,3,2,9,8,7,6,5,4,3,2}),11)),VALUE(MID(P239,14,1))=IF(MOD(SUMPRODUCT(--MID(P239,{1,2,3,4,5,6,7,8,9,10,11,12,13},1),{6,5,4,3,2,9,8,7,6,5,4,3,2}),11)&lt;2,0,11-MOD(SUMPRODUCT(--MID(P239,{1,2,3,4,5,6,7,8,9,10,11,12,13},1),{6,5,4,3,2,9,8,7,6,5,4,3,2}),11))),"OK","ERRO: dígito verificador")))))</f>
      </c>
      <c r="R239" s="6">
        <f>IF(P239="","",IF(COUNTIF($P$2:$P$1001,P239)&gt;1,"DUPLICADO","OK"))</f>
      </c>
      <c r="S239" s="6">
        <f>IF(AND(J239="",K239=""),"vazio",IF(AND(OR(J239="",LEN(SUBSTITUTE(SUBSTITUTE(SUBSTITUTE(SUBSTITUTE(SUBSTITUTE(SUBSTITUTE(SUBSTITUTE(TRIM(J239),".",""),"/",""),"-","")," ",""),"(",""),")",""),"+",""))=10,LEN(SUBSTITUTE(SUBSTITUTE(SUBSTITUTE(SUBSTITUTE(SUBSTITUTE(SUBSTITUTE(SUBSTITUTE(TRIM(J239),".",""),"/",""),"-","")," ",""),"(",""),")",""),"+",""))=11),OR(K239="",LEN(SUBSTITUTE(SUBSTITUTE(SUBSTITUTE(SUBSTITUTE(SUBSTITUTE(SUBSTITUTE(SUBSTITUTE(TRIM(K239),".",""),"/",""),"-","")," ",""),"(",""),")",""),"+",""))=10,LEN(SUBSTITUTE(SUBSTITUTE(SUBSTITUTE(SUBSTITUTE(SUBSTITUTE(SUBSTITUTE(SUBSTITUTE(TRIM(K239),".",""),"/",""),"-","")," ",""),"(",""),")",""),"+",""))=11)),"OK","ERRO: use DDD + número (10 ou 11 dígitos)"))</f>
      </c>
      <c r="T239" s="6">
        <f>IF(L239="","vazio",IF(AND(ISNUMBER(FIND("@",L239)),ISNUMBER(FIND(".",MID(L239,FIND("@",L239),99))),NOT(ISNUMBER(FIND(" ",TRIM(L239)))),NOT(ISNUMBER(FIND(";",L239))),NOT(ISNUMBER(FIND(",",L239)))),"OK","ERRO: um e-mail válido por linha"))</f>
      </c>
      <c r="U239" s="6">
        <f>IF(COUNTA(A239:O239)=0,"",IF(AND(B239&lt;&gt;"",C239&lt;&gt;"",D239&lt;&gt;"",E239&lt;&gt;"",H239&lt;&gt;"",OR(J239&lt;&gt;"",L239&lt;&gt;"")),"OK","ERRO: faltam "&amp;IF(B239="","Proprietário; ","")&amp;IF(C239="","Origem; ","")&amp;IF(D239="","CNPJ; ","")&amp;IF(E239="","Razão Social; ","")&amp;IF(H239="","Sobrenome; ","")&amp;IF(AND(J239="",L239=""),"telefone ou e-mail; ","")))</f>
      </c>
      <c r="V239" s="6">
        <f>IF(COUNTA(A239:O239)=0,"",IF(AND(Q239="OK",R239="OK",LEFT(S239,4)&lt;&gt;"ERRO",LEFT(T239,4)&lt;&gt;"ERRO",U239="OK"),"OK","REVISAR"))</f>
      </c>
    </row>
    <row r="240">
      <c r="A240" s="4"/>
      <c r="B240" s="5"/>
      <c r="C240" s="5"/>
      <c r="D240" s="5"/>
      <c r="E240" s="5"/>
      <c r="F240" s="4"/>
      <c r="G240" s="4"/>
      <c r="H240" s="5"/>
      <c r="I240" s="4"/>
      <c r="J240" s="4"/>
      <c r="K240" s="4"/>
      <c r="L240" s="4"/>
      <c r="M240" s="4"/>
      <c r="N240" s="4"/>
      <c r="O240" s="4"/>
      <c r="P240" s="6">
        <f>IF(D240="","",SUBSTITUTE(SUBSTITUTE(SUBSTITUTE(SUBSTITUTE(SUBSTITUTE(SUBSTITUTE(SUBSTITUTE(TRIM(D240),".",""),"/",""),"-","")," ",""),"(",""),")",""),"+",""))</f>
      </c>
      <c r="Q240" s="6">
        <f>IF(P240="","",IF(LEN(P240)&lt;&gt;14,"ERRO: "&amp;LEN(P240)&amp;" dígitos",IF(NOT(ISNUMBER(VALUE(P240))),"ERRO: não numérico",IF(LEN(SUBSTITUTE(P240,LEFT(P240,1),""))=0,"ERRO: dígitos repetidos",IF(AND(VALUE(MID(P240,13,1))=IF(MOD(SUMPRODUCT(--MID(P240,{1,2,3,4,5,6,7,8,9,10,11,12},1),{5,4,3,2,9,8,7,6,5,4,3,2}),11)&lt;2,0,11-MOD(SUMPRODUCT(--MID(P240,{1,2,3,4,5,6,7,8,9,10,11,12},1),{5,4,3,2,9,8,7,6,5,4,3,2}),11)),VALUE(MID(P240,14,1))=IF(MOD(SUMPRODUCT(--MID(P240,{1,2,3,4,5,6,7,8,9,10,11,12,13},1),{6,5,4,3,2,9,8,7,6,5,4,3,2}),11)&lt;2,0,11-MOD(SUMPRODUCT(--MID(P240,{1,2,3,4,5,6,7,8,9,10,11,12,13},1),{6,5,4,3,2,9,8,7,6,5,4,3,2}),11))),"OK","ERRO: dígito verificador")))))</f>
      </c>
      <c r="R240" s="6">
        <f>IF(P240="","",IF(COUNTIF($P$2:$P$1001,P240)&gt;1,"DUPLICADO","OK"))</f>
      </c>
      <c r="S240" s="6">
        <f>IF(AND(J240="",K240=""),"vazio",IF(AND(OR(J240="",LEN(SUBSTITUTE(SUBSTITUTE(SUBSTITUTE(SUBSTITUTE(SUBSTITUTE(SUBSTITUTE(SUBSTITUTE(TRIM(J240),".",""),"/",""),"-","")," ",""),"(",""),")",""),"+",""))=10,LEN(SUBSTITUTE(SUBSTITUTE(SUBSTITUTE(SUBSTITUTE(SUBSTITUTE(SUBSTITUTE(SUBSTITUTE(TRIM(J240),".",""),"/",""),"-","")," ",""),"(",""),")",""),"+",""))=11),OR(K240="",LEN(SUBSTITUTE(SUBSTITUTE(SUBSTITUTE(SUBSTITUTE(SUBSTITUTE(SUBSTITUTE(SUBSTITUTE(TRIM(K240),".",""),"/",""),"-","")," ",""),"(",""),")",""),"+",""))=10,LEN(SUBSTITUTE(SUBSTITUTE(SUBSTITUTE(SUBSTITUTE(SUBSTITUTE(SUBSTITUTE(SUBSTITUTE(TRIM(K240),".",""),"/",""),"-","")," ",""),"(",""),")",""),"+",""))=11)),"OK","ERRO: use DDD + número (10 ou 11 dígitos)"))</f>
      </c>
      <c r="T240" s="6">
        <f>IF(L240="","vazio",IF(AND(ISNUMBER(FIND("@",L240)),ISNUMBER(FIND(".",MID(L240,FIND("@",L240),99))),NOT(ISNUMBER(FIND(" ",TRIM(L240)))),NOT(ISNUMBER(FIND(";",L240))),NOT(ISNUMBER(FIND(",",L240)))),"OK","ERRO: um e-mail válido por linha"))</f>
      </c>
      <c r="U240" s="6">
        <f>IF(COUNTA(A240:O240)=0,"",IF(AND(B240&lt;&gt;"",C240&lt;&gt;"",D240&lt;&gt;"",E240&lt;&gt;"",H240&lt;&gt;"",OR(J240&lt;&gt;"",L240&lt;&gt;"")),"OK","ERRO: faltam "&amp;IF(B240="","Proprietário; ","")&amp;IF(C240="","Origem; ","")&amp;IF(D240="","CNPJ; ","")&amp;IF(E240="","Razão Social; ","")&amp;IF(H240="","Sobrenome; ","")&amp;IF(AND(J240="",L240=""),"telefone ou e-mail; ","")))</f>
      </c>
      <c r="V240" s="6">
        <f>IF(COUNTA(A240:O240)=0,"",IF(AND(Q240="OK",R240="OK",LEFT(S240,4)&lt;&gt;"ERRO",LEFT(T240,4)&lt;&gt;"ERRO",U240="OK"),"OK","REVISAR"))</f>
      </c>
    </row>
    <row r="241">
      <c r="A241" s="4"/>
      <c r="B241" s="5"/>
      <c r="C241" s="5"/>
      <c r="D241" s="5"/>
      <c r="E241" s="5"/>
      <c r="F241" s="4"/>
      <c r="G241" s="4"/>
      <c r="H241" s="5"/>
      <c r="I241" s="4"/>
      <c r="J241" s="4"/>
      <c r="K241" s="4"/>
      <c r="L241" s="4"/>
      <c r="M241" s="4"/>
      <c r="N241" s="4"/>
      <c r="O241" s="4"/>
      <c r="P241" s="6">
        <f>IF(D241="","",SUBSTITUTE(SUBSTITUTE(SUBSTITUTE(SUBSTITUTE(SUBSTITUTE(SUBSTITUTE(SUBSTITUTE(TRIM(D241),".",""),"/",""),"-","")," ",""),"(",""),")",""),"+",""))</f>
      </c>
      <c r="Q241" s="6">
        <f>IF(P241="","",IF(LEN(P241)&lt;&gt;14,"ERRO: "&amp;LEN(P241)&amp;" dígitos",IF(NOT(ISNUMBER(VALUE(P241))),"ERRO: não numérico",IF(LEN(SUBSTITUTE(P241,LEFT(P241,1),""))=0,"ERRO: dígitos repetidos",IF(AND(VALUE(MID(P241,13,1))=IF(MOD(SUMPRODUCT(--MID(P241,{1,2,3,4,5,6,7,8,9,10,11,12},1),{5,4,3,2,9,8,7,6,5,4,3,2}),11)&lt;2,0,11-MOD(SUMPRODUCT(--MID(P241,{1,2,3,4,5,6,7,8,9,10,11,12},1),{5,4,3,2,9,8,7,6,5,4,3,2}),11)),VALUE(MID(P241,14,1))=IF(MOD(SUMPRODUCT(--MID(P241,{1,2,3,4,5,6,7,8,9,10,11,12,13},1),{6,5,4,3,2,9,8,7,6,5,4,3,2}),11)&lt;2,0,11-MOD(SUMPRODUCT(--MID(P241,{1,2,3,4,5,6,7,8,9,10,11,12,13},1),{6,5,4,3,2,9,8,7,6,5,4,3,2}),11))),"OK","ERRO: dígito verificador")))))</f>
      </c>
      <c r="R241" s="6">
        <f>IF(P241="","",IF(COUNTIF($P$2:$P$1001,P241)&gt;1,"DUPLICADO","OK"))</f>
      </c>
      <c r="S241" s="6">
        <f>IF(AND(J241="",K241=""),"vazio",IF(AND(OR(J241="",LEN(SUBSTITUTE(SUBSTITUTE(SUBSTITUTE(SUBSTITUTE(SUBSTITUTE(SUBSTITUTE(SUBSTITUTE(TRIM(J241),".",""),"/",""),"-","")," ",""),"(",""),")",""),"+",""))=10,LEN(SUBSTITUTE(SUBSTITUTE(SUBSTITUTE(SUBSTITUTE(SUBSTITUTE(SUBSTITUTE(SUBSTITUTE(TRIM(J241),".",""),"/",""),"-","")," ",""),"(",""),")",""),"+",""))=11),OR(K241="",LEN(SUBSTITUTE(SUBSTITUTE(SUBSTITUTE(SUBSTITUTE(SUBSTITUTE(SUBSTITUTE(SUBSTITUTE(TRIM(K241),".",""),"/",""),"-","")," ",""),"(",""),")",""),"+",""))=10,LEN(SUBSTITUTE(SUBSTITUTE(SUBSTITUTE(SUBSTITUTE(SUBSTITUTE(SUBSTITUTE(SUBSTITUTE(TRIM(K241),".",""),"/",""),"-","")," ",""),"(",""),")",""),"+",""))=11)),"OK","ERRO: use DDD + número (10 ou 11 dígitos)"))</f>
      </c>
      <c r="T241" s="6">
        <f>IF(L241="","vazio",IF(AND(ISNUMBER(FIND("@",L241)),ISNUMBER(FIND(".",MID(L241,FIND("@",L241),99))),NOT(ISNUMBER(FIND(" ",TRIM(L241)))),NOT(ISNUMBER(FIND(";",L241))),NOT(ISNUMBER(FIND(",",L241)))),"OK","ERRO: um e-mail válido por linha"))</f>
      </c>
      <c r="U241" s="6">
        <f>IF(COUNTA(A241:O241)=0,"",IF(AND(B241&lt;&gt;"",C241&lt;&gt;"",D241&lt;&gt;"",E241&lt;&gt;"",H241&lt;&gt;"",OR(J241&lt;&gt;"",L241&lt;&gt;"")),"OK","ERRO: faltam "&amp;IF(B241="","Proprietário; ","")&amp;IF(C241="","Origem; ","")&amp;IF(D241="","CNPJ; ","")&amp;IF(E241="","Razão Social; ","")&amp;IF(H241="","Sobrenome; ","")&amp;IF(AND(J241="",L241=""),"telefone ou e-mail; ","")))</f>
      </c>
      <c r="V241" s="6">
        <f>IF(COUNTA(A241:O241)=0,"",IF(AND(Q241="OK",R241="OK",LEFT(S241,4)&lt;&gt;"ERRO",LEFT(T241,4)&lt;&gt;"ERRO",U241="OK"),"OK","REVISAR"))</f>
      </c>
    </row>
    <row r="242">
      <c r="A242" s="4"/>
      <c r="B242" s="5"/>
      <c r="C242" s="5"/>
      <c r="D242" s="5"/>
      <c r="E242" s="5"/>
      <c r="F242" s="4"/>
      <c r="G242" s="4"/>
      <c r="H242" s="5"/>
      <c r="I242" s="4"/>
      <c r="J242" s="4"/>
      <c r="K242" s="4"/>
      <c r="L242" s="4"/>
      <c r="M242" s="4"/>
      <c r="N242" s="4"/>
      <c r="O242" s="4"/>
      <c r="P242" s="6">
        <f>IF(D242="","",SUBSTITUTE(SUBSTITUTE(SUBSTITUTE(SUBSTITUTE(SUBSTITUTE(SUBSTITUTE(SUBSTITUTE(TRIM(D242),".",""),"/",""),"-","")," ",""),"(",""),")",""),"+",""))</f>
      </c>
      <c r="Q242" s="6">
        <f>IF(P242="","",IF(LEN(P242)&lt;&gt;14,"ERRO: "&amp;LEN(P242)&amp;" dígitos",IF(NOT(ISNUMBER(VALUE(P242))),"ERRO: não numérico",IF(LEN(SUBSTITUTE(P242,LEFT(P242,1),""))=0,"ERRO: dígitos repetidos",IF(AND(VALUE(MID(P242,13,1))=IF(MOD(SUMPRODUCT(--MID(P242,{1,2,3,4,5,6,7,8,9,10,11,12},1),{5,4,3,2,9,8,7,6,5,4,3,2}),11)&lt;2,0,11-MOD(SUMPRODUCT(--MID(P242,{1,2,3,4,5,6,7,8,9,10,11,12},1),{5,4,3,2,9,8,7,6,5,4,3,2}),11)),VALUE(MID(P242,14,1))=IF(MOD(SUMPRODUCT(--MID(P242,{1,2,3,4,5,6,7,8,9,10,11,12,13},1),{6,5,4,3,2,9,8,7,6,5,4,3,2}),11)&lt;2,0,11-MOD(SUMPRODUCT(--MID(P242,{1,2,3,4,5,6,7,8,9,10,11,12,13},1),{6,5,4,3,2,9,8,7,6,5,4,3,2}),11))),"OK","ERRO: dígito verificador")))))</f>
      </c>
      <c r="R242" s="6">
        <f>IF(P242="","",IF(COUNTIF($P$2:$P$1001,P242)&gt;1,"DUPLICADO","OK"))</f>
      </c>
      <c r="S242" s="6">
        <f>IF(AND(J242="",K242=""),"vazio",IF(AND(OR(J242="",LEN(SUBSTITUTE(SUBSTITUTE(SUBSTITUTE(SUBSTITUTE(SUBSTITUTE(SUBSTITUTE(SUBSTITUTE(TRIM(J242),".",""),"/",""),"-","")," ",""),"(",""),")",""),"+",""))=10,LEN(SUBSTITUTE(SUBSTITUTE(SUBSTITUTE(SUBSTITUTE(SUBSTITUTE(SUBSTITUTE(SUBSTITUTE(TRIM(J242),".",""),"/",""),"-","")," ",""),"(",""),")",""),"+",""))=11),OR(K242="",LEN(SUBSTITUTE(SUBSTITUTE(SUBSTITUTE(SUBSTITUTE(SUBSTITUTE(SUBSTITUTE(SUBSTITUTE(TRIM(K242),".",""),"/",""),"-","")," ",""),"(",""),")",""),"+",""))=10,LEN(SUBSTITUTE(SUBSTITUTE(SUBSTITUTE(SUBSTITUTE(SUBSTITUTE(SUBSTITUTE(SUBSTITUTE(TRIM(K242),".",""),"/",""),"-","")," ",""),"(",""),")",""),"+",""))=11)),"OK","ERRO: use DDD + número (10 ou 11 dígitos)"))</f>
      </c>
      <c r="T242" s="6">
        <f>IF(L242="","vazio",IF(AND(ISNUMBER(FIND("@",L242)),ISNUMBER(FIND(".",MID(L242,FIND("@",L242),99))),NOT(ISNUMBER(FIND(" ",TRIM(L242)))),NOT(ISNUMBER(FIND(";",L242))),NOT(ISNUMBER(FIND(",",L242)))),"OK","ERRO: um e-mail válido por linha"))</f>
      </c>
      <c r="U242" s="6">
        <f>IF(COUNTA(A242:O242)=0,"",IF(AND(B242&lt;&gt;"",C242&lt;&gt;"",D242&lt;&gt;"",E242&lt;&gt;"",H242&lt;&gt;"",OR(J242&lt;&gt;"",L242&lt;&gt;"")),"OK","ERRO: faltam "&amp;IF(B242="","Proprietário; ","")&amp;IF(C242="","Origem; ","")&amp;IF(D242="","CNPJ; ","")&amp;IF(E242="","Razão Social; ","")&amp;IF(H242="","Sobrenome; ","")&amp;IF(AND(J242="",L242=""),"telefone ou e-mail; ","")))</f>
      </c>
      <c r="V242" s="6">
        <f>IF(COUNTA(A242:O242)=0,"",IF(AND(Q242="OK",R242="OK",LEFT(S242,4)&lt;&gt;"ERRO",LEFT(T242,4)&lt;&gt;"ERRO",U242="OK"),"OK","REVISAR"))</f>
      </c>
    </row>
    <row r="243">
      <c r="A243" s="4"/>
      <c r="B243" s="5"/>
      <c r="C243" s="5"/>
      <c r="D243" s="5"/>
      <c r="E243" s="5"/>
      <c r="F243" s="4"/>
      <c r="G243" s="4"/>
      <c r="H243" s="5"/>
      <c r="I243" s="4"/>
      <c r="J243" s="4"/>
      <c r="K243" s="4"/>
      <c r="L243" s="4"/>
      <c r="M243" s="4"/>
      <c r="N243" s="4"/>
      <c r="O243" s="4"/>
      <c r="P243" s="6">
        <f>IF(D243="","",SUBSTITUTE(SUBSTITUTE(SUBSTITUTE(SUBSTITUTE(SUBSTITUTE(SUBSTITUTE(SUBSTITUTE(TRIM(D243),".",""),"/",""),"-","")," ",""),"(",""),")",""),"+",""))</f>
      </c>
      <c r="Q243" s="6">
        <f>IF(P243="","",IF(LEN(P243)&lt;&gt;14,"ERRO: "&amp;LEN(P243)&amp;" dígitos",IF(NOT(ISNUMBER(VALUE(P243))),"ERRO: não numérico",IF(LEN(SUBSTITUTE(P243,LEFT(P243,1),""))=0,"ERRO: dígitos repetidos",IF(AND(VALUE(MID(P243,13,1))=IF(MOD(SUMPRODUCT(--MID(P243,{1,2,3,4,5,6,7,8,9,10,11,12},1),{5,4,3,2,9,8,7,6,5,4,3,2}),11)&lt;2,0,11-MOD(SUMPRODUCT(--MID(P243,{1,2,3,4,5,6,7,8,9,10,11,12},1),{5,4,3,2,9,8,7,6,5,4,3,2}),11)),VALUE(MID(P243,14,1))=IF(MOD(SUMPRODUCT(--MID(P243,{1,2,3,4,5,6,7,8,9,10,11,12,13},1),{6,5,4,3,2,9,8,7,6,5,4,3,2}),11)&lt;2,0,11-MOD(SUMPRODUCT(--MID(P243,{1,2,3,4,5,6,7,8,9,10,11,12,13},1),{6,5,4,3,2,9,8,7,6,5,4,3,2}),11))),"OK","ERRO: dígito verificador")))))</f>
      </c>
      <c r="R243" s="6">
        <f>IF(P243="","",IF(COUNTIF($P$2:$P$1001,P243)&gt;1,"DUPLICADO","OK"))</f>
      </c>
      <c r="S243" s="6">
        <f>IF(AND(J243="",K243=""),"vazio",IF(AND(OR(J243="",LEN(SUBSTITUTE(SUBSTITUTE(SUBSTITUTE(SUBSTITUTE(SUBSTITUTE(SUBSTITUTE(SUBSTITUTE(TRIM(J243),".",""),"/",""),"-","")," ",""),"(",""),")",""),"+",""))=10,LEN(SUBSTITUTE(SUBSTITUTE(SUBSTITUTE(SUBSTITUTE(SUBSTITUTE(SUBSTITUTE(SUBSTITUTE(TRIM(J243),".",""),"/",""),"-","")," ",""),"(",""),")",""),"+",""))=11),OR(K243="",LEN(SUBSTITUTE(SUBSTITUTE(SUBSTITUTE(SUBSTITUTE(SUBSTITUTE(SUBSTITUTE(SUBSTITUTE(TRIM(K243),".",""),"/",""),"-","")," ",""),"(",""),")",""),"+",""))=10,LEN(SUBSTITUTE(SUBSTITUTE(SUBSTITUTE(SUBSTITUTE(SUBSTITUTE(SUBSTITUTE(SUBSTITUTE(TRIM(K243),".",""),"/",""),"-","")," ",""),"(",""),")",""),"+",""))=11)),"OK","ERRO: use DDD + número (10 ou 11 dígitos)"))</f>
      </c>
      <c r="T243" s="6">
        <f>IF(L243="","vazio",IF(AND(ISNUMBER(FIND("@",L243)),ISNUMBER(FIND(".",MID(L243,FIND("@",L243),99))),NOT(ISNUMBER(FIND(" ",TRIM(L243)))),NOT(ISNUMBER(FIND(";",L243))),NOT(ISNUMBER(FIND(",",L243)))),"OK","ERRO: um e-mail válido por linha"))</f>
      </c>
      <c r="U243" s="6">
        <f>IF(COUNTA(A243:O243)=0,"",IF(AND(B243&lt;&gt;"",C243&lt;&gt;"",D243&lt;&gt;"",E243&lt;&gt;"",H243&lt;&gt;"",OR(J243&lt;&gt;"",L243&lt;&gt;"")),"OK","ERRO: faltam "&amp;IF(B243="","Proprietário; ","")&amp;IF(C243="","Origem; ","")&amp;IF(D243="","CNPJ; ","")&amp;IF(E243="","Razão Social; ","")&amp;IF(H243="","Sobrenome; ","")&amp;IF(AND(J243="",L243=""),"telefone ou e-mail; ","")))</f>
      </c>
      <c r="V243" s="6">
        <f>IF(COUNTA(A243:O243)=0,"",IF(AND(Q243="OK",R243="OK",LEFT(S243,4)&lt;&gt;"ERRO",LEFT(T243,4)&lt;&gt;"ERRO",U243="OK"),"OK","REVISAR"))</f>
      </c>
    </row>
    <row r="244">
      <c r="A244" s="4"/>
      <c r="B244" s="5"/>
      <c r="C244" s="5"/>
      <c r="D244" s="5"/>
      <c r="E244" s="5"/>
      <c r="F244" s="4"/>
      <c r="G244" s="4"/>
      <c r="H244" s="5"/>
      <c r="I244" s="4"/>
      <c r="J244" s="4"/>
      <c r="K244" s="4"/>
      <c r="L244" s="4"/>
      <c r="M244" s="4"/>
      <c r="N244" s="4"/>
      <c r="O244" s="4"/>
      <c r="P244" s="6">
        <f>IF(D244="","",SUBSTITUTE(SUBSTITUTE(SUBSTITUTE(SUBSTITUTE(SUBSTITUTE(SUBSTITUTE(SUBSTITUTE(TRIM(D244),".",""),"/",""),"-","")," ",""),"(",""),")",""),"+",""))</f>
      </c>
      <c r="Q244" s="6">
        <f>IF(P244="","",IF(LEN(P244)&lt;&gt;14,"ERRO: "&amp;LEN(P244)&amp;" dígitos",IF(NOT(ISNUMBER(VALUE(P244))),"ERRO: não numérico",IF(LEN(SUBSTITUTE(P244,LEFT(P244,1),""))=0,"ERRO: dígitos repetidos",IF(AND(VALUE(MID(P244,13,1))=IF(MOD(SUMPRODUCT(--MID(P244,{1,2,3,4,5,6,7,8,9,10,11,12},1),{5,4,3,2,9,8,7,6,5,4,3,2}),11)&lt;2,0,11-MOD(SUMPRODUCT(--MID(P244,{1,2,3,4,5,6,7,8,9,10,11,12},1),{5,4,3,2,9,8,7,6,5,4,3,2}),11)),VALUE(MID(P244,14,1))=IF(MOD(SUMPRODUCT(--MID(P244,{1,2,3,4,5,6,7,8,9,10,11,12,13},1),{6,5,4,3,2,9,8,7,6,5,4,3,2}),11)&lt;2,0,11-MOD(SUMPRODUCT(--MID(P244,{1,2,3,4,5,6,7,8,9,10,11,12,13},1),{6,5,4,3,2,9,8,7,6,5,4,3,2}),11))),"OK","ERRO: dígito verificador")))))</f>
      </c>
      <c r="R244" s="6">
        <f>IF(P244="","",IF(COUNTIF($P$2:$P$1001,P244)&gt;1,"DUPLICADO","OK"))</f>
      </c>
      <c r="S244" s="6">
        <f>IF(AND(J244="",K244=""),"vazio",IF(AND(OR(J244="",LEN(SUBSTITUTE(SUBSTITUTE(SUBSTITUTE(SUBSTITUTE(SUBSTITUTE(SUBSTITUTE(SUBSTITUTE(TRIM(J244),".",""),"/",""),"-","")," ",""),"(",""),")",""),"+",""))=10,LEN(SUBSTITUTE(SUBSTITUTE(SUBSTITUTE(SUBSTITUTE(SUBSTITUTE(SUBSTITUTE(SUBSTITUTE(TRIM(J244),".",""),"/",""),"-","")," ",""),"(",""),")",""),"+",""))=11),OR(K244="",LEN(SUBSTITUTE(SUBSTITUTE(SUBSTITUTE(SUBSTITUTE(SUBSTITUTE(SUBSTITUTE(SUBSTITUTE(TRIM(K244),".",""),"/",""),"-","")," ",""),"(",""),")",""),"+",""))=10,LEN(SUBSTITUTE(SUBSTITUTE(SUBSTITUTE(SUBSTITUTE(SUBSTITUTE(SUBSTITUTE(SUBSTITUTE(TRIM(K244),".",""),"/",""),"-","")," ",""),"(",""),")",""),"+",""))=11)),"OK","ERRO: use DDD + número (10 ou 11 dígitos)"))</f>
      </c>
      <c r="T244" s="6">
        <f>IF(L244="","vazio",IF(AND(ISNUMBER(FIND("@",L244)),ISNUMBER(FIND(".",MID(L244,FIND("@",L244),99))),NOT(ISNUMBER(FIND(" ",TRIM(L244)))),NOT(ISNUMBER(FIND(";",L244))),NOT(ISNUMBER(FIND(",",L244)))),"OK","ERRO: um e-mail válido por linha"))</f>
      </c>
      <c r="U244" s="6">
        <f>IF(COUNTA(A244:O244)=0,"",IF(AND(B244&lt;&gt;"",C244&lt;&gt;"",D244&lt;&gt;"",E244&lt;&gt;"",H244&lt;&gt;"",OR(J244&lt;&gt;"",L244&lt;&gt;"")),"OK","ERRO: faltam "&amp;IF(B244="","Proprietário; ","")&amp;IF(C244="","Origem; ","")&amp;IF(D244="","CNPJ; ","")&amp;IF(E244="","Razão Social; ","")&amp;IF(H244="","Sobrenome; ","")&amp;IF(AND(J244="",L244=""),"telefone ou e-mail; ","")))</f>
      </c>
      <c r="V244" s="6">
        <f>IF(COUNTA(A244:O244)=0,"",IF(AND(Q244="OK",R244="OK",LEFT(S244,4)&lt;&gt;"ERRO",LEFT(T244,4)&lt;&gt;"ERRO",U244="OK"),"OK","REVISAR"))</f>
      </c>
    </row>
    <row r="245">
      <c r="A245" s="4"/>
      <c r="B245" s="5"/>
      <c r="C245" s="5"/>
      <c r="D245" s="5"/>
      <c r="E245" s="5"/>
      <c r="F245" s="4"/>
      <c r="G245" s="4"/>
      <c r="H245" s="5"/>
      <c r="I245" s="4"/>
      <c r="J245" s="4"/>
      <c r="K245" s="4"/>
      <c r="L245" s="4"/>
      <c r="M245" s="4"/>
      <c r="N245" s="4"/>
      <c r="O245" s="4"/>
      <c r="P245" s="6">
        <f>IF(D245="","",SUBSTITUTE(SUBSTITUTE(SUBSTITUTE(SUBSTITUTE(SUBSTITUTE(SUBSTITUTE(SUBSTITUTE(TRIM(D245),".",""),"/",""),"-","")," ",""),"(",""),")",""),"+",""))</f>
      </c>
      <c r="Q245" s="6">
        <f>IF(P245="","",IF(LEN(P245)&lt;&gt;14,"ERRO: "&amp;LEN(P245)&amp;" dígitos",IF(NOT(ISNUMBER(VALUE(P245))),"ERRO: não numérico",IF(LEN(SUBSTITUTE(P245,LEFT(P245,1),""))=0,"ERRO: dígitos repetidos",IF(AND(VALUE(MID(P245,13,1))=IF(MOD(SUMPRODUCT(--MID(P245,{1,2,3,4,5,6,7,8,9,10,11,12},1),{5,4,3,2,9,8,7,6,5,4,3,2}),11)&lt;2,0,11-MOD(SUMPRODUCT(--MID(P245,{1,2,3,4,5,6,7,8,9,10,11,12},1),{5,4,3,2,9,8,7,6,5,4,3,2}),11)),VALUE(MID(P245,14,1))=IF(MOD(SUMPRODUCT(--MID(P245,{1,2,3,4,5,6,7,8,9,10,11,12,13},1),{6,5,4,3,2,9,8,7,6,5,4,3,2}),11)&lt;2,0,11-MOD(SUMPRODUCT(--MID(P245,{1,2,3,4,5,6,7,8,9,10,11,12,13},1),{6,5,4,3,2,9,8,7,6,5,4,3,2}),11))),"OK","ERRO: dígito verificador")))))</f>
      </c>
      <c r="R245" s="6">
        <f>IF(P245="","",IF(COUNTIF($P$2:$P$1001,P245)&gt;1,"DUPLICADO","OK"))</f>
      </c>
      <c r="S245" s="6">
        <f>IF(AND(J245="",K245=""),"vazio",IF(AND(OR(J245="",LEN(SUBSTITUTE(SUBSTITUTE(SUBSTITUTE(SUBSTITUTE(SUBSTITUTE(SUBSTITUTE(SUBSTITUTE(TRIM(J245),".",""),"/",""),"-","")," ",""),"(",""),")",""),"+",""))=10,LEN(SUBSTITUTE(SUBSTITUTE(SUBSTITUTE(SUBSTITUTE(SUBSTITUTE(SUBSTITUTE(SUBSTITUTE(TRIM(J245),".",""),"/",""),"-","")," ",""),"(",""),")",""),"+",""))=11),OR(K245="",LEN(SUBSTITUTE(SUBSTITUTE(SUBSTITUTE(SUBSTITUTE(SUBSTITUTE(SUBSTITUTE(SUBSTITUTE(TRIM(K245),".",""),"/",""),"-","")," ",""),"(",""),")",""),"+",""))=10,LEN(SUBSTITUTE(SUBSTITUTE(SUBSTITUTE(SUBSTITUTE(SUBSTITUTE(SUBSTITUTE(SUBSTITUTE(TRIM(K245),".",""),"/",""),"-","")," ",""),"(",""),")",""),"+",""))=11)),"OK","ERRO: use DDD + número (10 ou 11 dígitos)"))</f>
      </c>
      <c r="T245" s="6">
        <f>IF(L245="","vazio",IF(AND(ISNUMBER(FIND("@",L245)),ISNUMBER(FIND(".",MID(L245,FIND("@",L245),99))),NOT(ISNUMBER(FIND(" ",TRIM(L245)))),NOT(ISNUMBER(FIND(";",L245))),NOT(ISNUMBER(FIND(",",L245)))),"OK","ERRO: um e-mail válido por linha"))</f>
      </c>
      <c r="U245" s="6">
        <f>IF(COUNTA(A245:O245)=0,"",IF(AND(B245&lt;&gt;"",C245&lt;&gt;"",D245&lt;&gt;"",E245&lt;&gt;"",H245&lt;&gt;"",OR(J245&lt;&gt;"",L245&lt;&gt;"")),"OK","ERRO: faltam "&amp;IF(B245="","Proprietário; ","")&amp;IF(C245="","Origem; ","")&amp;IF(D245="","CNPJ; ","")&amp;IF(E245="","Razão Social; ","")&amp;IF(H245="","Sobrenome; ","")&amp;IF(AND(J245="",L245=""),"telefone ou e-mail; ","")))</f>
      </c>
      <c r="V245" s="6">
        <f>IF(COUNTA(A245:O245)=0,"",IF(AND(Q245="OK",R245="OK",LEFT(S245,4)&lt;&gt;"ERRO",LEFT(T245,4)&lt;&gt;"ERRO",U245="OK"),"OK","REVISAR"))</f>
      </c>
    </row>
    <row r="246">
      <c r="A246" s="4"/>
      <c r="B246" s="5"/>
      <c r="C246" s="5"/>
      <c r="D246" s="5"/>
      <c r="E246" s="5"/>
      <c r="F246" s="4"/>
      <c r="G246" s="4"/>
      <c r="H246" s="5"/>
      <c r="I246" s="4"/>
      <c r="J246" s="4"/>
      <c r="K246" s="4"/>
      <c r="L246" s="4"/>
      <c r="M246" s="4"/>
      <c r="N246" s="4"/>
      <c r="O246" s="4"/>
      <c r="P246" s="6">
        <f>IF(D246="","",SUBSTITUTE(SUBSTITUTE(SUBSTITUTE(SUBSTITUTE(SUBSTITUTE(SUBSTITUTE(SUBSTITUTE(TRIM(D246),".",""),"/",""),"-","")," ",""),"(",""),")",""),"+",""))</f>
      </c>
      <c r="Q246" s="6">
        <f>IF(P246="","",IF(LEN(P246)&lt;&gt;14,"ERRO: "&amp;LEN(P246)&amp;" dígitos",IF(NOT(ISNUMBER(VALUE(P246))),"ERRO: não numérico",IF(LEN(SUBSTITUTE(P246,LEFT(P246,1),""))=0,"ERRO: dígitos repetidos",IF(AND(VALUE(MID(P246,13,1))=IF(MOD(SUMPRODUCT(--MID(P246,{1,2,3,4,5,6,7,8,9,10,11,12},1),{5,4,3,2,9,8,7,6,5,4,3,2}),11)&lt;2,0,11-MOD(SUMPRODUCT(--MID(P246,{1,2,3,4,5,6,7,8,9,10,11,12},1),{5,4,3,2,9,8,7,6,5,4,3,2}),11)),VALUE(MID(P246,14,1))=IF(MOD(SUMPRODUCT(--MID(P246,{1,2,3,4,5,6,7,8,9,10,11,12,13},1),{6,5,4,3,2,9,8,7,6,5,4,3,2}),11)&lt;2,0,11-MOD(SUMPRODUCT(--MID(P246,{1,2,3,4,5,6,7,8,9,10,11,12,13},1),{6,5,4,3,2,9,8,7,6,5,4,3,2}),11))),"OK","ERRO: dígito verificador")))))</f>
      </c>
      <c r="R246" s="6">
        <f>IF(P246="","",IF(COUNTIF($P$2:$P$1001,P246)&gt;1,"DUPLICADO","OK"))</f>
      </c>
      <c r="S246" s="6">
        <f>IF(AND(J246="",K246=""),"vazio",IF(AND(OR(J246="",LEN(SUBSTITUTE(SUBSTITUTE(SUBSTITUTE(SUBSTITUTE(SUBSTITUTE(SUBSTITUTE(SUBSTITUTE(TRIM(J246),".",""),"/",""),"-","")," ",""),"(",""),")",""),"+",""))=10,LEN(SUBSTITUTE(SUBSTITUTE(SUBSTITUTE(SUBSTITUTE(SUBSTITUTE(SUBSTITUTE(SUBSTITUTE(TRIM(J246),".",""),"/",""),"-","")," ",""),"(",""),")",""),"+",""))=11),OR(K246="",LEN(SUBSTITUTE(SUBSTITUTE(SUBSTITUTE(SUBSTITUTE(SUBSTITUTE(SUBSTITUTE(SUBSTITUTE(TRIM(K246),".",""),"/",""),"-","")," ",""),"(",""),")",""),"+",""))=10,LEN(SUBSTITUTE(SUBSTITUTE(SUBSTITUTE(SUBSTITUTE(SUBSTITUTE(SUBSTITUTE(SUBSTITUTE(TRIM(K246),".",""),"/",""),"-","")," ",""),"(",""),")",""),"+",""))=11)),"OK","ERRO: use DDD + número (10 ou 11 dígitos)"))</f>
      </c>
      <c r="T246" s="6">
        <f>IF(L246="","vazio",IF(AND(ISNUMBER(FIND("@",L246)),ISNUMBER(FIND(".",MID(L246,FIND("@",L246),99))),NOT(ISNUMBER(FIND(" ",TRIM(L246)))),NOT(ISNUMBER(FIND(";",L246))),NOT(ISNUMBER(FIND(",",L246)))),"OK","ERRO: um e-mail válido por linha"))</f>
      </c>
      <c r="U246" s="6">
        <f>IF(COUNTA(A246:O246)=0,"",IF(AND(B246&lt;&gt;"",C246&lt;&gt;"",D246&lt;&gt;"",E246&lt;&gt;"",H246&lt;&gt;"",OR(J246&lt;&gt;"",L246&lt;&gt;"")),"OK","ERRO: faltam "&amp;IF(B246="","Proprietário; ","")&amp;IF(C246="","Origem; ","")&amp;IF(D246="","CNPJ; ","")&amp;IF(E246="","Razão Social; ","")&amp;IF(H246="","Sobrenome; ","")&amp;IF(AND(J246="",L246=""),"telefone ou e-mail; ","")))</f>
      </c>
      <c r="V246" s="6">
        <f>IF(COUNTA(A246:O246)=0,"",IF(AND(Q246="OK",R246="OK",LEFT(S246,4)&lt;&gt;"ERRO",LEFT(T246,4)&lt;&gt;"ERRO",U246="OK"),"OK","REVISAR"))</f>
      </c>
    </row>
    <row r="247">
      <c r="A247" s="4"/>
      <c r="B247" s="5"/>
      <c r="C247" s="5"/>
      <c r="D247" s="5"/>
      <c r="E247" s="5"/>
      <c r="F247" s="4"/>
      <c r="G247" s="4"/>
      <c r="H247" s="5"/>
      <c r="I247" s="4"/>
      <c r="J247" s="4"/>
      <c r="K247" s="4"/>
      <c r="L247" s="4"/>
      <c r="M247" s="4"/>
      <c r="N247" s="4"/>
      <c r="O247" s="4"/>
      <c r="P247" s="6">
        <f>IF(D247="","",SUBSTITUTE(SUBSTITUTE(SUBSTITUTE(SUBSTITUTE(SUBSTITUTE(SUBSTITUTE(SUBSTITUTE(TRIM(D247),".",""),"/",""),"-","")," ",""),"(",""),")",""),"+",""))</f>
      </c>
      <c r="Q247" s="6">
        <f>IF(P247="","",IF(LEN(P247)&lt;&gt;14,"ERRO: "&amp;LEN(P247)&amp;" dígitos",IF(NOT(ISNUMBER(VALUE(P247))),"ERRO: não numérico",IF(LEN(SUBSTITUTE(P247,LEFT(P247,1),""))=0,"ERRO: dígitos repetidos",IF(AND(VALUE(MID(P247,13,1))=IF(MOD(SUMPRODUCT(--MID(P247,{1,2,3,4,5,6,7,8,9,10,11,12},1),{5,4,3,2,9,8,7,6,5,4,3,2}),11)&lt;2,0,11-MOD(SUMPRODUCT(--MID(P247,{1,2,3,4,5,6,7,8,9,10,11,12},1),{5,4,3,2,9,8,7,6,5,4,3,2}),11)),VALUE(MID(P247,14,1))=IF(MOD(SUMPRODUCT(--MID(P247,{1,2,3,4,5,6,7,8,9,10,11,12,13},1),{6,5,4,3,2,9,8,7,6,5,4,3,2}),11)&lt;2,0,11-MOD(SUMPRODUCT(--MID(P247,{1,2,3,4,5,6,7,8,9,10,11,12,13},1),{6,5,4,3,2,9,8,7,6,5,4,3,2}),11))),"OK","ERRO: dígito verificador")))))</f>
      </c>
      <c r="R247" s="6">
        <f>IF(P247="","",IF(COUNTIF($P$2:$P$1001,P247)&gt;1,"DUPLICADO","OK"))</f>
      </c>
      <c r="S247" s="6">
        <f>IF(AND(J247="",K247=""),"vazio",IF(AND(OR(J247="",LEN(SUBSTITUTE(SUBSTITUTE(SUBSTITUTE(SUBSTITUTE(SUBSTITUTE(SUBSTITUTE(SUBSTITUTE(TRIM(J247),".",""),"/",""),"-","")," ",""),"(",""),")",""),"+",""))=10,LEN(SUBSTITUTE(SUBSTITUTE(SUBSTITUTE(SUBSTITUTE(SUBSTITUTE(SUBSTITUTE(SUBSTITUTE(TRIM(J247),".",""),"/",""),"-","")," ",""),"(",""),")",""),"+",""))=11),OR(K247="",LEN(SUBSTITUTE(SUBSTITUTE(SUBSTITUTE(SUBSTITUTE(SUBSTITUTE(SUBSTITUTE(SUBSTITUTE(TRIM(K247),".",""),"/",""),"-","")," ",""),"(",""),")",""),"+",""))=10,LEN(SUBSTITUTE(SUBSTITUTE(SUBSTITUTE(SUBSTITUTE(SUBSTITUTE(SUBSTITUTE(SUBSTITUTE(TRIM(K247),".",""),"/",""),"-","")," ",""),"(",""),")",""),"+",""))=11)),"OK","ERRO: use DDD + número (10 ou 11 dígitos)"))</f>
      </c>
      <c r="T247" s="6">
        <f>IF(L247="","vazio",IF(AND(ISNUMBER(FIND("@",L247)),ISNUMBER(FIND(".",MID(L247,FIND("@",L247),99))),NOT(ISNUMBER(FIND(" ",TRIM(L247)))),NOT(ISNUMBER(FIND(";",L247))),NOT(ISNUMBER(FIND(",",L247)))),"OK","ERRO: um e-mail válido por linha"))</f>
      </c>
      <c r="U247" s="6">
        <f>IF(COUNTA(A247:O247)=0,"",IF(AND(B247&lt;&gt;"",C247&lt;&gt;"",D247&lt;&gt;"",E247&lt;&gt;"",H247&lt;&gt;"",OR(J247&lt;&gt;"",L247&lt;&gt;"")),"OK","ERRO: faltam "&amp;IF(B247="","Proprietário; ","")&amp;IF(C247="","Origem; ","")&amp;IF(D247="","CNPJ; ","")&amp;IF(E247="","Razão Social; ","")&amp;IF(H247="","Sobrenome; ","")&amp;IF(AND(J247="",L247=""),"telefone ou e-mail; ","")))</f>
      </c>
      <c r="V247" s="6">
        <f>IF(COUNTA(A247:O247)=0,"",IF(AND(Q247="OK",R247="OK",LEFT(S247,4)&lt;&gt;"ERRO",LEFT(T247,4)&lt;&gt;"ERRO",U247="OK"),"OK","REVISAR"))</f>
      </c>
    </row>
    <row r="248">
      <c r="A248" s="4"/>
      <c r="B248" s="5"/>
      <c r="C248" s="5"/>
      <c r="D248" s="5"/>
      <c r="E248" s="5"/>
      <c r="F248" s="4"/>
      <c r="G248" s="4"/>
      <c r="H248" s="5"/>
      <c r="I248" s="4"/>
      <c r="J248" s="4"/>
      <c r="K248" s="4"/>
      <c r="L248" s="4"/>
      <c r="M248" s="4"/>
      <c r="N248" s="4"/>
      <c r="O248" s="4"/>
      <c r="P248" s="6">
        <f>IF(D248="","",SUBSTITUTE(SUBSTITUTE(SUBSTITUTE(SUBSTITUTE(SUBSTITUTE(SUBSTITUTE(SUBSTITUTE(TRIM(D248),".",""),"/",""),"-","")," ",""),"(",""),")",""),"+",""))</f>
      </c>
      <c r="Q248" s="6">
        <f>IF(P248="","",IF(LEN(P248)&lt;&gt;14,"ERRO: "&amp;LEN(P248)&amp;" dígitos",IF(NOT(ISNUMBER(VALUE(P248))),"ERRO: não numérico",IF(LEN(SUBSTITUTE(P248,LEFT(P248,1),""))=0,"ERRO: dígitos repetidos",IF(AND(VALUE(MID(P248,13,1))=IF(MOD(SUMPRODUCT(--MID(P248,{1,2,3,4,5,6,7,8,9,10,11,12},1),{5,4,3,2,9,8,7,6,5,4,3,2}),11)&lt;2,0,11-MOD(SUMPRODUCT(--MID(P248,{1,2,3,4,5,6,7,8,9,10,11,12},1),{5,4,3,2,9,8,7,6,5,4,3,2}),11)),VALUE(MID(P248,14,1))=IF(MOD(SUMPRODUCT(--MID(P248,{1,2,3,4,5,6,7,8,9,10,11,12,13},1),{6,5,4,3,2,9,8,7,6,5,4,3,2}),11)&lt;2,0,11-MOD(SUMPRODUCT(--MID(P248,{1,2,3,4,5,6,7,8,9,10,11,12,13},1),{6,5,4,3,2,9,8,7,6,5,4,3,2}),11))),"OK","ERRO: dígito verificador")))))</f>
      </c>
      <c r="R248" s="6">
        <f>IF(P248="","",IF(COUNTIF($P$2:$P$1001,P248)&gt;1,"DUPLICADO","OK"))</f>
      </c>
      <c r="S248" s="6">
        <f>IF(AND(J248="",K248=""),"vazio",IF(AND(OR(J248="",LEN(SUBSTITUTE(SUBSTITUTE(SUBSTITUTE(SUBSTITUTE(SUBSTITUTE(SUBSTITUTE(SUBSTITUTE(TRIM(J248),".",""),"/",""),"-","")," ",""),"(",""),")",""),"+",""))=10,LEN(SUBSTITUTE(SUBSTITUTE(SUBSTITUTE(SUBSTITUTE(SUBSTITUTE(SUBSTITUTE(SUBSTITUTE(TRIM(J248),".",""),"/",""),"-","")," ",""),"(",""),")",""),"+",""))=11),OR(K248="",LEN(SUBSTITUTE(SUBSTITUTE(SUBSTITUTE(SUBSTITUTE(SUBSTITUTE(SUBSTITUTE(SUBSTITUTE(TRIM(K248),".",""),"/",""),"-","")," ",""),"(",""),")",""),"+",""))=10,LEN(SUBSTITUTE(SUBSTITUTE(SUBSTITUTE(SUBSTITUTE(SUBSTITUTE(SUBSTITUTE(SUBSTITUTE(TRIM(K248),".",""),"/",""),"-","")," ",""),"(",""),")",""),"+",""))=11)),"OK","ERRO: use DDD + número (10 ou 11 dígitos)"))</f>
      </c>
      <c r="T248" s="6">
        <f>IF(L248="","vazio",IF(AND(ISNUMBER(FIND("@",L248)),ISNUMBER(FIND(".",MID(L248,FIND("@",L248),99))),NOT(ISNUMBER(FIND(" ",TRIM(L248)))),NOT(ISNUMBER(FIND(";",L248))),NOT(ISNUMBER(FIND(",",L248)))),"OK","ERRO: um e-mail válido por linha"))</f>
      </c>
      <c r="U248" s="6">
        <f>IF(COUNTA(A248:O248)=0,"",IF(AND(B248&lt;&gt;"",C248&lt;&gt;"",D248&lt;&gt;"",E248&lt;&gt;"",H248&lt;&gt;"",OR(J248&lt;&gt;"",L248&lt;&gt;"")),"OK","ERRO: faltam "&amp;IF(B248="","Proprietário; ","")&amp;IF(C248="","Origem; ","")&amp;IF(D248="","CNPJ; ","")&amp;IF(E248="","Razão Social; ","")&amp;IF(H248="","Sobrenome; ","")&amp;IF(AND(J248="",L248=""),"telefone ou e-mail; ","")))</f>
      </c>
      <c r="V248" s="6">
        <f>IF(COUNTA(A248:O248)=0,"",IF(AND(Q248="OK",R248="OK",LEFT(S248,4)&lt;&gt;"ERRO",LEFT(T248,4)&lt;&gt;"ERRO",U248="OK"),"OK","REVISAR"))</f>
      </c>
    </row>
    <row r="249">
      <c r="A249" s="4"/>
      <c r="B249" s="5"/>
      <c r="C249" s="5"/>
      <c r="D249" s="5"/>
      <c r="E249" s="5"/>
      <c r="F249" s="4"/>
      <c r="G249" s="4"/>
      <c r="H249" s="5"/>
      <c r="I249" s="4"/>
      <c r="J249" s="4"/>
      <c r="K249" s="4"/>
      <c r="L249" s="4"/>
      <c r="M249" s="4"/>
      <c r="N249" s="4"/>
      <c r="O249" s="4"/>
      <c r="P249" s="6">
        <f>IF(D249="","",SUBSTITUTE(SUBSTITUTE(SUBSTITUTE(SUBSTITUTE(SUBSTITUTE(SUBSTITUTE(SUBSTITUTE(TRIM(D249),".",""),"/",""),"-","")," ",""),"(",""),")",""),"+",""))</f>
      </c>
      <c r="Q249" s="6">
        <f>IF(P249="","",IF(LEN(P249)&lt;&gt;14,"ERRO: "&amp;LEN(P249)&amp;" dígitos",IF(NOT(ISNUMBER(VALUE(P249))),"ERRO: não numérico",IF(LEN(SUBSTITUTE(P249,LEFT(P249,1),""))=0,"ERRO: dígitos repetidos",IF(AND(VALUE(MID(P249,13,1))=IF(MOD(SUMPRODUCT(--MID(P249,{1,2,3,4,5,6,7,8,9,10,11,12},1),{5,4,3,2,9,8,7,6,5,4,3,2}),11)&lt;2,0,11-MOD(SUMPRODUCT(--MID(P249,{1,2,3,4,5,6,7,8,9,10,11,12},1),{5,4,3,2,9,8,7,6,5,4,3,2}),11)),VALUE(MID(P249,14,1))=IF(MOD(SUMPRODUCT(--MID(P249,{1,2,3,4,5,6,7,8,9,10,11,12,13},1),{6,5,4,3,2,9,8,7,6,5,4,3,2}),11)&lt;2,0,11-MOD(SUMPRODUCT(--MID(P249,{1,2,3,4,5,6,7,8,9,10,11,12,13},1),{6,5,4,3,2,9,8,7,6,5,4,3,2}),11))),"OK","ERRO: dígito verificador")))))</f>
      </c>
      <c r="R249" s="6">
        <f>IF(P249="","",IF(COUNTIF($P$2:$P$1001,P249)&gt;1,"DUPLICADO","OK"))</f>
      </c>
      <c r="S249" s="6">
        <f>IF(AND(J249="",K249=""),"vazio",IF(AND(OR(J249="",LEN(SUBSTITUTE(SUBSTITUTE(SUBSTITUTE(SUBSTITUTE(SUBSTITUTE(SUBSTITUTE(SUBSTITUTE(TRIM(J249),".",""),"/",""),"-","")," ",""),"(",""),")",""),"+",""))=10,LEN(SUBSTITUTE(SUBSTITUTE(SUBSTITUTE(SUBSTITUTE(SUBSTITUTE(SUBSTITUTE(SUBSTITUTE(TRIM(J249),".",""),"/",""),"-","")," ",""),"(",""),")",""),"+",""))=11),OR(K249="",LEN(SUBSTITUTE(SUBSTITUTE(SUBSTITUTE(SUBSTITUTE(SUBSTITUTE(SUBSTITUTE(SUBSTITUTE(TRIM(K249),".",""),"/",""),"-","")," ",""),"(",""),")",""),"+",""))=10,LEN(SUBSTITUTE(SUBSTITUTE(SUBSTITUTE(SUBSTITUTE(SUBSTITUTE(SUBSTITUTE(SUBSTITUTE(TRIM(K249),".",""),"/",""),"-","")," ",""),"(",""),")",""),"+",""))=11)),"OK","ERRO: use DDD + número (10 ou 11 dígitos)"))</f>
      </c>
      <c r="T249" s="6">
        <f>IF(L249="","vazio",IF(AND(ISNUMBER(FIND("@",L249)),ISNUMBER(FIND(".",MID(L249,FIND("@",L249),99))),NOT(ISNUMBER(FIND(" ",TRIM(L249)))),NOT(ISNUMBER(FIND(";",L249))),NOT(ISNUMBER(FIND(",",L249)))),"OK","ERRO: um e-mail válido por linha"))</f>
      </c>
      <c r="U249" s="6">
        <f>IF(COUNTA(A249:O249)=0,"",IF(AND(B249&lt;&gt;"",C249&lt;&gt;"",D249&lt;&gt;"",E249&lt;&gt;"",H249&lt;&gt;"",OR(J249&lt;&gt;"",L249&lt;&gt;"")),"OK","ERRO: faltam "&amp;IF(B249="","Proprietário; ","")&amp;IF(C249="","Origem; ","")&amp;IF(D249="","CNPJ; ","")&amp;IF(E249="","Razão Social; ","")&amp;IF(H249="","Sobrenome; ","")&amp;IF(AND(J249="",L249=""),"telefone ou e-mail; ","")))</f>
      </c>
      <c r="V249" s="6">
        <f>IF(COUNTA(A249:O249)=0,"",IF(AND(Q249="OK",R249="OK",LEFT(S249,4)&lt;&gt;"ERRO",LEFT(T249,4)&lt;&gt;"ERRO",U249="OK"),"OK","REVISAR"))</f>
      </c>
    </row>
    <row r="250">
      <c r="A250" s="4"/>
      <c r="B250" s="5"/>
      <c r="C250" s="5"/>
      <c r="D250" s="5"/>
      <c r="E250" s="5"/>
      <c r="F250" s="4"/>
      <c r="G250" s="4"/>
      <c r="H250" s="5"/>
      <c r="I250" s="4"/>
      <c r="J250" s="4"/>
      <c r="K250" s="4"/>
      <c r="L250" s="4"/>
      <c r="M250" s="4"/>
      <c r="N250" s="4"/>
      <c r="O250" s="4"/>
      <c r="P250" s="6">
        <f>IF(D250="","",SUBSTITUTE(SUBSTITUTE(SUBSTITUTE(SUBSTITUTE(SUBSTITUTE(SUBSTITUTE(SUBSTITUTE(TRIM(D250),".",""),"/",""),"-","")," ",""),"(",""),")",""),"+",""))</f>
      </c>
      <c r="Q250" s="6">
        <f>IF(P250="","",IF(LEN(P250)&lt;&gt;14,"ERRO: "&amp;LEN(P250)&amp;" dígitos",IF(NOT(ISNUMBER(VALUE(P250))),"ERRO: não numérico",IF(LEN(SUBSTITUTE(P250,LEFT(P250,1),""))=0,"ERRO: dígitos repetidos",IF(AND(VALUE(MID(P250,13,1))=IF(MOD(SUMPRODUCT(--MID(P250,{1,2,3,4,5,6,7,8,9,10,11,12},1),{5,4,3,2,9,8,7,6,5,4,3,2}),11)&lt;2,0,11-MOD(SUMPRODUCT(--MID(P250,{1,2,3,4,5,6,7,8,9,10,11,12},1),{5,4,3,2,9,8,7,6,5,4,3,2}),11)),VALUE(MID(P250,14,1))=IF(MOD(SUMPRODUCT(--MID(P250,{1,2,3,4,5,6,7,8,9,10,11,12,13},1),{6,5,4,3,2,9,8,7,6,5,4,3,2}),11)&lt;2,0,11-MOD(SUMPRODUCT(--MID(P250,{1,2,3,4,5,6,7,8,9,10,11,12,13},1),{6,5,4,3,2,9,8,7,6,5,4,3,2}),11))),"OK","ERRO: dígito verificador")))))</f>
      </c>
      <c r="R250" s="6">
        <f>IF(P250="","",IF(COUNTIF($P$2:$P$1001,P250)&gt;1,"DUPLICADO","OK"))</f>
      </c>
      <c r="S250" s="6">
        <f>IF(AND(J250="",K250=""),"vazio",IF(AND(OR(J250="",LEN(SUBSTITUTE(SUBSTITUTE(SUBSTITUTE(SUBSTITUTE(SUBSTITUTE(SUBSTITUTE(SUBSTITUTE(TRIM(J250),".",""),"/",""),"-","")," ",""),"(",""),")",""),"+",""))=10,LEN(SUBSTITUTE(SUBSTITUTE(SUBSTITUTE(SUBSTITUTE(SUBSTITUTE(SUBSTITUTE(SUBSTITUTE(TRIM(J250),".",""),"/",""),"-","")," ",""),"(",""),")",""),"+",""))=11),OR(K250="",LEN(SUBSTITUTE(SUBSTITUTE(SUBSTITUTE(SUBSTITUTE(SUBSTITUTE(SUBSTITUTE(SUBSTITUTE(TRIM(K250),".",""),"/",""),"-","")," ",""),"(",""),")",""),"+",""))=10,LEN(SUBSTITUTE(SUBSTITUTE(SUBSTITUTE(SUBSTITUTE(SUBSTITUTE(SUBSTITUTE(SUBSTITUTE(TRIM(K250),".",""),"/",""),"-","")," ",""),"(",""),")",""),"+",""))=11)),"OK","ERRO: use DDD + número (10 ou 11 dígitos)"))</f>
      </c>
      <c r="T250" s="6">
        <f>IF(L250="","vazio",IF(AND(ISNUMBER(FIND("@",L250)),ISNUMBER(FIND(".",MID(L250,FIND("@",L250),99))),NOT(ISNUMBER(FIND(" ",TRIM(L250)))),NOT(ISNUMBER(FIND(";",L250))),NOT(ISNUMBER(FIND(",",L250)))),"OK","ERRO: um e-mail válido por linha"))</f>
      </c>
      <c r="U250" s="6">
        <f>IF(COUNTA(A250:O250)=0,"",IF(AND(B250&lt;&gt;"",C250&lt;&gt;"",D250&lt;&gt;"",E250&lt;&gt;"",H250&lt;&gt;"",OR(J250&lt;&gt;"",L250&lt;&gt;"")),"OK","ERRO: faltam "&amp;IF(B250="","Proprietário; ","")&amp;IF(C250="","Origem; ","")&amp;IF(D250="","CNPJ; ","")&amp;IF(E250="","Razão Social; ","")&amp;IF(H250="","Sobrenome; ","")&amp;IF(AND(J250="",L250=""),"telefone ou e-mail; ","")))</f>
      </c>
      <c r="V250" s="6">
        <f>IF(COUNTA(A250:O250)=0,"",IF(AND(Q250="OK",R250="OK",LEFT(S250,4)&lt;&gt;"ERRO",LEFT(T250,4)&lt;&gt;"ERRO",U250="OK"),"OK","REVISAR"))</f>
      </c>
    </row>
    <row r="251">
      <c r="A251" s="4"/>
      <c r="B251" s="5"/>
      <c r="C251" s="5"/>
      <c r="D251" s="5"/>
      <c r="E251" s="5"/>
      <c r="F251" s="4"/>
      <c r="G251" s="4"/>
      <c r="H251" s="5"/>
      <c r="I251" s="4"/>
      <c r="J251" s="4"/>
      <c r="K251" s="4"/>
      <c r="L251" s="4"/>
      <c r="M251" s="4"/>
      <c r="N251" s="4"/>
      <c r="O251" s="4"/>
      <c r="P251" s="6">
        <f>IF(D251="","",SUBSTITUTE(SUBSTITUTE(SUBSTITUTE(SUBSTITUTE(SUBSTITUTE(SUBSTITUTE(SUBSTITUTE(TRIM(D251),".",""),"/",""),"-","")," ",""),"(",""),")",""),"+",""))</f>
      </c>
      <c r="Q251" s="6">
        <f>IF(P251="","",IF(LEN(P251)&lt;&gt;14,"ERRO: "&amp;LEN(P251)&amp;" dígitos",IF(NOT(ISNUMBER(VALUE(P251))),"ERRO: não numérico",IF(LEN(SUBSTITUTE(P251,LEFT(P251,1),""))=0,"ERRO: dígitos repetidos",IF(AND(VALUE(MID(P251,13,1))=IF(MOD(SUMPRODUCT(--MID(P251,{1,2,3,4,5,6,7,8,9,10,11,12},1),{5,4,3,2,9,8,7,6,5,4,3,2}),11)&lt;2,0,11-MOD(SUMPRODUCT(--MID(P251,{1,2,3,4,5,6,7,8,9,10,11,12},1),{5,4,3,2,9,8,7,6,5,4,3,2}),11)),VALUE(MID(P251,14,1))=IF(MOD(SUMPRODUCT(--MID(P251,{1,2,3,4,5,6,7,8,9,10,11,12,13},1),{6,5,4,3,2,9,8,7,6,5,4,3,2}),11)&lt;2,0,11-MOD(SUMPRODUCT(--MID(P251,{1,2,3,4,5,6,7,8,9,10,11,12,13},1),{6,5,4,3,2,9,8,7,6,5,4,3,2}),11))),"OK","ERRO: dígito verificador")))))</f>
      </c>
      <c r="R251" s="6">
        <f>IF(P251="","",IF(COUNTIF($P$2:$P$1001,P251)&gt;1,"DUPLICADO","OK"))</f>
      </c>
      <c r="S251" s="6">
        <f>IF(AND(J251="",K251=""),"vazio",IF(AND(OR(J251="",LEN(SUBSTITUTE(SUBSTITUTE(SUBSTITUTE(SUBSTITUTE(SUBSTITUTE(SUBSTITUTE(SUBSTITUTE(TRIM(J251),".",""),"/",""),"-","")," ",""),"(",""),")",""),"+",""))=10,LEN(SUBSTITUTE(SUBSTITUTE(SUBSTITUTE(SUBSTITUTE(SUBSTITUTE(SUBSTITUTE(SUBSTITUTE(TRIM(J251),".",""),"/",""),"-","")," ",""),"(",""),")",""),"+",""))=11),OR(K251="",LEN(SUBSTITUTE(SUBSTITUTE(SUBSTITUTE(SUBSTITUTE(SUBSTITUTE(SUBSTITUTE(SUBSTITUTE(TRIM(K251),".",""),"/",""),"-","")," ",""),"(",""),")",""),"+",""))=10,LEN(SUBSTITUTE(SUBSTITUTE(SUBSTITUTE(SUBSTITUTE(SUBSTITUTE(SUBSTITUTE(SUBSTITUTE(TRIM(K251),".",""),"/",""),"-","")," ",""),"(",""),")",""),"+",""))=11)),"OK","ERRO: use DDD + número (10 ou 11 dígitos)"))</f>
      </c>
      <c r="T251" s="6">
        <f>IF(L251="","vazio",IF(AND(ISNUMBER(FIND("@",L251)),ISNUMBER(FIND(".",MID(L251,FIND("@",L251),99))),NOT(ISNUMBER(FIND(" ",TRIM(L251)))),NOT(ISNUMBER(FIND(";",L251))),NOT(ISNUMBER(FIND(",",L251)))),"OK","ERRO: um e-mail válido por linha"))</f>
      </c>
      <c r="U251" s="6">
        <f>IF(COUNTA(A251:O251)=0,"",IF(AND(B251&lt;&gt;"",C251&lt;&gt;"",D251&lt;&gt;"",E251&lt;&gt;"",H251&lt;&gt;"",OR(J251&lt;&gt;"",L251&lt;&gt;"")),"OK","ERRO: faltam "&amp;IF(B251="","Proprietário; ","")&amp;IF(C251="","Origem; ","")&amp;IF(D251="","CNPJ; ","")&amp;IF(E251="","Razão Social; ","")&amp;IF(H251="","Sobrenome; ","")&amp;IF(AND(J251="",L251=""),"telefone ou e-mail; ","")))</f>
      </c>
      <c r="V251" s="6">
        <f>IF(COUNTA(A251:O251)=0,"",IF(AND(Q251="OK",R251="OK",LEFT(S251,4)&lt;&gt;"ERRO",LEFT(T251,4)&lt;&gt;"ERRO",U251="OK"),"OK","REVISAR"))</f>
      </c>
    </row>
    <row r="252">
      <c r="A252" s="4"/>
      <c r="B252" s="5"/>
      <c r="C252" s="5"/>
      <c r="D252" s="5"/>
      <c r="E252" s="5"/>
      <c r="F252" s="4"/>
      <c r="G252" s="4"/>
      <c r="H252" s="5"/>
      <c r="I252" s="4"/>
      <c r="J252" s="4"/>
      <c r="K252" s="4"/>
      <c r="L252" s="4"/>
      <c r="M252" s="4"/>
      <c r="N252" s="4"/>
      <c r="O252" s="4"/>
      <c r="P252" s="6">
        <f>IF(D252="","",SUBSTITUTE(SUBSTITUTE(SUBSTITUTE(SUBSTITUTE(SUBSTITUTE(SUBSTITUTE(SUBSTITUTE(TRIM(D252),".",""),"/",""),"-","")," ",""),"(",""),")",""),"+",""))</f>
      </c>
      <c r="Q252" s="6">
        <f>IF(P252="","",IF(LEN(P252)&lt;&gt;14,"ERRO: "&amp;LEN(P252)&amp;" dígitos",IF(NOT(ISNUMBER(VALUE(P252))),"ERRO: não numérico",IF(LEN(SUBSTITUTE(P252,LEFT(P252,1),""))=0,"ERRO: dígitos repetidos",IF(AND(VALUE(MID(P252,13,1))=IF(MOD(SUMPRODUCT(--MID(P252,{1,2,3,4,5,6,7,8,9,10,11,12},1),{5,4,3,2,9,8,7,6,5,4,3,2}),11)&lt;2,0,11-MOD(SUMPRODUCT(--MID(P252,{1,2,3,4,5,6,7,8,9,10,11,12},1),{5,4,3,2,9,8,7,6,5,4,3,2}),11)),VALUE(MID(P252,14,1))=IF(MOD(SUMPRODUCT(--MID(P252,{1,2,3,4,5,6,7,8,9,10,11,12,13},1),{6,5,4,3,2,9,8,7,6,5,4,3,2}),11)&lt;2,0,11-MOD(SUMPRODUCT(--MID(P252,{1,2,3,4,5,6,7,8,9,10,11,12,13},1),{6,5,4,3,2,9,8,7,6,5,4,3,2}),11))),"OK","ERRO: dígito verificador")))))</f>
      </c>
      <c r="R252" s="6">
        <f>IF(P252="","",IF(COUNTIF($P$2:$P$1001,P252)&gt;1,"DUPLICADO","OK"))</f>
      </c>
      <c r="S252" s="6">
        <f>IF(AND(J252="",K252=""),"vazio",IF(AND(OR(J252="",LEN(SUBSTITUTE(SUBSTITUTE(SUBSTITUTE(SUBSTITUTE(SUBSTITUTE(SUBSTITUTE(SUBSTITUTE(TRIM(J252),".",""),"/",""),"-","")," ",""),"(",""),")",""),"+",""))=10,LEN(SUBSTITUTE(SUBSTITUTE(SUBSTITUTE(SUBSTITUTE(SUBSTITUTE(SUBSTITUTE(SUBSTITUTE(TRIM(J252),".",""),"/",""),"-","")," ",""),"(",""),")",""),"+",""))=11),OR(K252="",LEN(SUBSTITUTE(SUBSTITUTE(SUBSTITUTE(SUBSTITUTE(SUBSTITUTE(SUBSTITUTE(SUBSTITUTE(TRIM(K252),".",""),"/",""),"-","")," ",""),"(",""),")",""),"+",""))=10,LEN(SUBSTITUTE(SUBSTITUTE(SUBSTITUTE(SUBSTITUTE(SUBSTITUTE(SUBSTITUTE(SUBSTITUTE(TRIM(K252),".",""),"/",""),"-","")," ",""),"(",""),")",""),"+",""))=11)),"OK","ERRO: use DDD + número (10 ou 11 dígitos)"))</f>
      </c>
      <c r="T252" s="6">
        <f>IF(L252="","vazio",IF(AND(ISNUMBER(FIND("@",L252)),ISNUMBER(FIND(".",MID(L252,FIND("@",L252),99))),NOT(ISNUMBER(FIND(" ",TRIM(L252)))),NOT(ISNUMBER(FIND(";",L252))),NOT(ISNUMBER(FIND(",",L252)))),"OK","ERRO: um e-mail válido por linha"))</f>
      </c>
      <c r="U252" s="6">
        <f>IF(COUNTA(A252:O252)=0,"",IF(AND(B252&lt;&gt;"",C252&lt;&gt;"",D252&lt;&gt;"",E252&lt;&gt;"",H252&lt;&gt;"",OR(J252&lt;&gt;"",L252&lt;&gt;"")),"OK","ERRO: faltam "&amp;IF(B252="","Proprietário; ","")&amp;IF(C252="","Origem; ","")&amp;IF(D252="","CNPJ; ","")&amp;IF(E252="","Razão Social; ","")&amp;IF(H252="","Sobrenome; ","")&amp;IF(AND(J252="",L252=""),"telefone ou e-mail; ","")))</f>
      </c>
      <c r="V252" s="6">
        <f>IF(COUNTA(A252:O252)=0,"",IF(AND(Q252="OK",R252="OK",LEFT(S252,4)&lt;&gt;"ERRO",LEFT(T252,4)&lt;&gt;"ERRO",U252="OK"),"OK","REVISAR"))</f>
      </c>
    </row>
    <row r="253">
      <c r="A253" s="4"/>
      <c r="B253" s="5"/>
      <c r="C253" s="5"/>
      <c r="D253" s="5"/>
      <c r="E253" s="5"/>
      <c r="F253" s="4"/>
      <c r="G253" s="4"/>
      <c r="H253" s="5"/>
      <c r="I253" s="4"/>
      <c r="J253" s="4"/>
      <c r="K253" s="4"/>
      <c r="L253" s="4"/>
      <c r="M253" s="4"/>
      <c r="N253" s="4"/>
      <c r="O253" s="4"/>
      <c r="P253" s="6">
        <f>IF(D253="","",SUBSTITUTE(SUBSTITUTE(SUBSTITUTE(SUBSTITUTE(SUBSTITUTE(SUBSTITUTE(SUBSTITUTE(TRIM(D253),".",""),"/",""),"-","")," ",""),"(",""),")",""),"+",""))</f>
      </c>
      <c r="Q253" s="6">
        <f>IF(P253="","",IF(LEN(P253)&lt;&gt;14,"ERRO: "&amp;LEN(P253)&amp;" dígitos",IF(NOT(ISNUMBER(VALUE(P253))),"ERRO: não numérico",IF(LEN(SUBSTITUTE(P253,LEFT(P253,1),""))=0,"ERRO: dígitos repetidos",IF(AND(VALUE(MID(P253,13,1))=IF(MOD(SUMPRODUCT(--MID(P253,{1,2,3,4,5,6,7,8,9,10,11,12},1),{5,4,3,2,9,8,7,6,5,4,3,2}),11)&lt;2,0,11-MOD(SUMPRODUCT(--MID(P253,{1,2,3,4,5,6,7,8,9,10,11,12},1),{5,4,3,2,9,8,7,6,5,4,3,2}),11)),VALUE(MID(P253,14,1))=IF(MOD(SUMPRODUCT(--MID(P253,{1,2,3,4,5,6,7,8,9,10,11,12,13},1),{6,5,4,3,2,9,8,7,6,5,4,3,2}),11)&lt;2,0,11-MOD(SUMPRODUCT(--MID(P253,{1,2,3,4,5,6,7,8,9,10,11,12,13},1),{6,5,4,3,2,9,8,7,6,5,4,3,2}),11))),"OK","ERRO: dígito verificador")))))</f>
      </c>
      <c r="R253" s="6">
        <f>IF(P253="","",IF(COUNTIF($P$2:$P$1001,P253)&gt;1,"DUPLICADO","OK"))</f>
      </c>
      <c r="S253" s="6">
        <f>IF(AND(J253="",K253=""),"vazio",IF(AND(OR(J253="",LEN(SUBSTITUTE(SUBSTITUTE(SUBSTITUTE(SUBSTITUTE(SUBSTITUTE(SUBSTITUTE(SUBSTITUTE(TRIM(J253),".",""),"/",""),"-","")," ",""),"(",""),")",""),"+",""))=10,LEN(SUBSTITUTE(SUBSTITUTE(SUBSTITUTE(SUBSTITUTE(SUBSTITUTE(SUBSTITUTE(SUBSTITUTE(TRIM(J253),".",""),"/",""),"-","")," ",""),"(",""),")",""),"+",""))=11),OR(K253="",LEN(SUBSTITUTE(SUBSTITUTE(SUBSTITUTE(SUBSTITUTE(SUBSTITUTE(SUBSTITUTE(SUBSTITUTE(TRIM(K253),".",""),"/",""),"-","")," ",""),"(",""),")",""),"+",""))=10,LEN(SUBSTITUTE(SUBSTITUTE(SUBSTITUTE(SUBSTITUTE(SUBSTITUTE(SUBSTITUTE(SUBSTITUTE(TRIM(K253),".",""),"/",""),"-","")," ",""),"(",""),")",""),"+",""))=11)),"OK","ERRO: use DDD + número (10 ou 11 dígitos)"))</f>
      </c>
      <c r="T253" s="6">
        <f>IF(L253="","vazio",IF(AND(ISNUMBER(FIND("@",L253)),ISNUMBER(FIND(".",MID(L253,FIND("@",L253),99))),NOT(ISNUMBER(FIND(" ",TRIM(L253)))),NOT(ISNUMBER(FIND(";",L253))),NOT(ISNUMBER(FIND(",",L253)))),"OK","ERRO: um e-mail válido por linha"))</f>
      </c>
      <c r="U253" s="6">
        <f>IF(COUNTA(A253:O253)=0,"",IF(AND(B253&lt;&gt;"",C253&lt;&gt;"",D253&lt;&gt;"",E253&lt;&gt;"",H253&lt;&gt;"",OR(J253&lt;&gt;"",L253&lt;&gt;"")),"OK","ERRO: faltam "&amp;IF(B253="","Proprietário; ","")&amp;IF(C253="","Origem; ","")&amp;IF(D253="","CNPJ; ","")&amp;IF(E253="","Razão Social; ","")&amp;IF(H253="","Sobrenome; ","")&amp;IF(AND(J253="",L253=""),"telefone ou e-mail; ","")))</f>
      </c>
      <c r="V253" s="6">
        <f>IF(COUNTA(A253:O253)=0,"",IF(AND(Q253="OK",R253="OK",LEFT(S253,4)&lt;&gt;"ERRO",LEFT(T253,4)&lt;&gt;"ERRO",U253="OK"),"OK","REVISAR"))</f>
      </c>
    </row>
    <row r="254">
      <c r="A254" s="4"/>
      <c r="B254" s="5"/>
      <c r="C254" s="5"/>
      <c r="D254" s="5"/>
      <c r="E254" s="5"/>
      <c r="F254" s="4"/>
      <c r="G254" s="4"/>
      <c r="H254" s="5"/>
      <c r="I254" s="4"/>
      <c r="J254" s="4"/>
      <c r="K254" s="4"/>
      <c r="L254" s="4"/>
      <c r="M254" s="4"/>
      <c r="N254" s="4"/>
      <c r="O254" s="4"/>
      <c r="P254" s="6">
        <f>IF(D254="","",SUBSTITUTE(SUBSTITUTE(SUBSTITUTE(SUBSTITUTE(SUBSTITUTE(SUBSTITUTE(SUBSTITUTE(TRIM(D254),".",""),"/",""),"-","")," ",""),"(",""),")",""),"+",""))</f>
      </c>
      <c r="Q254" s="6">
        <f>IF(P254="","",IF(LEN(P254)&lt;&gt;14,"ERRO: "&amp;LEN(P254)&amp;" dígitos",IF(NOT(ISNUMBER(VALUE(P254))),"ERRO: não numérico",IF(LEN(SUBSTITUTE(P254,LEFT(P254,1),""))=0,"ERRO: dígitos repetidos",IF(AND(VALUE(MID(P254,13,1))=IF(MOD(SUMPRODUCT(--MID(P254,{1,2,3,4,5,6,7,8,9,10,11,12},1),{5,4,3,2,9,8,7,6,5,4,3,2}),11)&lt;2,0,11-MOD(SUMPRODUCT(--MID(P254,{1,2,3,4,5,6,7,8,9,10,11,12},1),{5,4,3,2,9,8,7,6,5,4,3,2}),11)),VALUE(MID(P254,14,1))=IF(MOD(SUMPRODUCT(--MID(P254,{1,2,3,4,5,6,7,8,9,10,11,12,13},1),{6,5,4,3,2,9,8,7,6,5,4,3,2}),11)&lt;2,0,11-MOD(SUMPRODUCT(--MID(P254,{1,2,3,4,5,6,7,8,9,10,11,12,13},1),{6,5,4,3,2,9,8,7,6,5,4,3,2}),11))),"OK","ERRO: dígito verificador")))))</f>
      </c>
      <c r="R254" s="6">
        <f>IF(P254="","",IF(COUNTIF($P$2:$P$1001,P254)&gt;1,"DUPLICADO","OK"))</f>
      </c>
      <c r="S254" s="6">
        <f>IF(AND(J254="",K254=""),"vazio",IF(AND(OR(J254="",LEN(SUBSTITUTE(SUBSTITUTE(SUBSTITUTE(SUBSTITUTE(SUBSTITUTE(SUBSTITUTE(SUBSTITUTE(TRIM(J254),".",""),"/",""),"-","")," ",""),"(",""),")",""),"+",""))=10,LEN(SUBSTITUTE(SUBSTITUTE(SUBSTITUTE(SUBSTITUTE(SUBSTITUTE(SUBSTITUTE(SUBSTITUTE(TRIM(J254),".",""),"/",""),"-","")," ",""),"(",""),")",""),"+",""))=11),OR(K254="",LEN(SUBSTITUTE(SUBSTITUTE(SUBSTITUTE(SUBSTITUTE(SUBSTITUTE(SUBSTITUTE(SUBSTITUTE(TRIM(K254),".",""),"/",""),"-","")," ",""),"(",""),")",""),"+",""))=10,LEN(SUBSTITUTE(SUBSTITUTE(SUBSTITUTE(SUBSTITUTE(SUBSTITUTE(SUBSTITUTE(SUBSTITUTE(TRIM(K254),".",""),"/",""),"-","")," ",""),"(",""),")",""),"+",""))=11)),"OK","ERRO: use DDD + número (10 ou 11 dígitos)"))</f>
      </c>
      <c r="T254" s="6">
        <f>IF(L254="","vazio",IF(AND(ISNUMBER(FIND("@",L254)),ISNUMBER(FIND(".",MID(L254,FIND("@",L254),99))),NOT(ISNUMBER(FIND(" ",TRIM(L254)))),NOT(ISNUMBER(FIND(";",L254))),NOT(ISNUMBER(FIND(",",L254)))),"OK","ERRO: um e-mail válido por linha"))</f>
      </c>
      <c r="U254" s="6">
        <f>IF(COUNTA(A254:O254)=0,"",IF(AND(B254&lt;&gt;"",C254&lt;&gt;"",D254&lt;&gt;"",E254&lt;&gt;"",H254&lt;&gt;"",OR(J254&lt;&gt;"",L254&lt;&gt;"")),"OK","ERRO: faltam "&amp;IF(B254="","Proprietário; ","")&amp;IF(C254="","Origem; ","")&amp;IF(D254="","CNPJ; ","")&amp;IF(E254="","Razão Social; ","")&amp;IF(H254="","Sobrenome; ","")&amp;IF(AND(J254="",L254=""),"telefone ou e-mail; ","")))</f>
      </c>
      <c r="V254" s="6">
        <f>IF(COUNTA(A254:O254)=0,"",IF(AND(Q254="OK",R254="OK",LEFT(S254,4)&lt;&gt;"ERRO",LEFT(T254,4)&lt;&gt;"ERRO",U254="OK"),"OK","REVISAR"))</f>
      </c>
    </row>
    <row r="255">
      <c r="A255" s="4"/>
      <c r="B255" s="5"/>
      <c r="C255" s="5"/>
      <c r="D255" s="5"/>
      <c r="E255" s="5"/>
      <c r="F255" s="4"/>
      <c r="G255" s="4"/>
      <c r="H255" s="5"/>
      <c r="I255" s="4"/>
      <c r="J255" s="4"/>
      <c r="K255" s="4"/>
      <c r="L255" s="4"/>
      <c r="M255" s="4"/>
      <c r="N255" s="4"/>
      <c r="O255" s="4"/>
      <c r="P255" s="6">
        <f>IF(D255="","",SUBSTITUTE(SUBSTITUTE(SUBSTITUTE(SUBSTITUTE(SUBSTITUTE(SUBSTITUTE(SUBSTITUTE(TRIM(D255),".",""),"/",""),"-","")," ",""),"(",""),")",""),"+",""))</f>
      </c>
      <c r="Q255" s="6">
        <f>IF(P255="","",IF(LEN(P255)&lt;&gt;14,"ERRO: "&amp;LEN(P255)&amp;" dígitos",IF(NOT(ISNUMBER(VALUE(P255))),"ERRO: não numérico",IF(LEN(SUBSTITUTE(P255,LEFT(P255,1),""))=0,"ERRO: dígitos repetidos",IF(AND(VALUE(MID(P255,13,1))=IF(MOD(SUMPRODUCT(--MID(P255,{1,2,3,4,5,6,7,8,9,10,11,12},1),{5,4,3,2,9,8,7,6,5,4,3,2}),11)&lt;2,0,11-MOD(SUMPRODUCT(--MID(P255,{1,2,3,4,5,6,7,8,9,10,11,12},1),{5,4,3,2,9,8,7,6,5,4,3,2}),11)),VALUE(MID(P255,14,1))=IF(MOD(SUMPRODUCT(--MID(P255,{1,2,3,4,5,6,7,8,9,10,11,12,13},1),{6,5,4,3,2,9,8,7,6,5,4,3,2}),11)&lt;2,0,11-MOD(SUMPRODUCT(--MID(P255,{1,2,3,4,5,6,7,8,9,10,11,12,13},1),{6,5,4,3,2,9,8,7,6,5,4,3,2}),11))),"OK","ERRO: dígito verificador")))))</f>
      </c>
      <c r="R255" s="6">
        <f>IF(P255="","",IF(COUNTIF($P$2:$P$1001,P255)&gt;1,"DUPLICADO","OK"))</f>
      </c>
      <c r="S255" s="6">
        <f>IF(AND(J255="",K255=""),"vazio",IF(AND(OR(J255="",LEN(SUBSTITUTE(SUBSTITUTE(SUBSTITUTE(SUBSTITUTE(SUBSTITUTE(SUBSTITUTE(SUBSTITUTE(TRIM(J255),".",""),"/",""),"-","")," ",""),"(",""),")",""),"+",""))=10,LEN(SUBSTITUTE(SUBSTITUTE(SUBSTITUTE(SUBSTITUTE(SUBSTITUTE(SUBSTITUTE(SUBSTITUTE(TRIM(J255),".",""),"/",""),"-","")," ",""),"(",""),")",""),"+",""))=11),OR(K255="",LEN(SUBSTITUTE(SUBSTITUTE(SUBSTITUTE(SUBSTITUTE(SUBSTITUTE(SUBSTITUTE(SUBSTITUTE(TRIM(K255),".",""),"/",""),"-","")," ",""),"(",""),")",""),"+",""))=10,LEN(SUBSTITUTE(SUBSTITUTE(SUBSTITUTE(SUBSTITUTE(SUBSTITUTE(SUBSTITUTE(SUBSTITUTE(TRIM(K255),".",""),"/",""),"-","")," ",""),"(",""),")",""),"+",""))=11)),"OK","ERRO: use DDD + número (10 ou 11 dígitos)"))</f>
      </c>
      <c r="T255" s="6">
        <f>IF(L255="","vazio",IF(AND(ISNUMBER(FIND("@",L255)),ISNUMBER(FIND(".",MID(L255,FIND("@",L255),99))),NOT(ISNUMBER(FIND(" ",TRIM(L255)))),NOT(ISNUMBER(FIND(";",L255))),NOT(ISNUMBER(FIND(",",L255)))),"OK","ERRO: um e-mail válido por linha"))</f>
      </c>
      <c r="U255" s="6">
        <f>IF(COUNTA(A255:O255)=0,"",IF(AND(B255&lt;&gt;"",C255&lt;&gt;"",D255&lt;&gt;"",E255&lt;&gt;"",H255&lt;&gt;"",OR(J255&lt;&gt;"",L255&lt;&gt;"")),"OK","ERRO: faltam "&amp;IF(B255="","Proprietário; ","")&amp;IF(C255="","Origem; ","")&amp;IF(D255="","CNPJ; ","")&amp;IF(E255="","Razão Social; ","")&amp;IF(H255="","Sobrenome; ","")&amp;IF(AND(J255="",L255=""),"telefone ou e-mail; ","")))</f>
      </c>
      <c r="V255" s="6">
        <f>IF(COUNTA(A255:O255)=0,"",IF(AND(Q255="OK",R255="OK",LEFT(S255,4)&lt;&gt;"ERRO",LEFT(T255,4)&lt;&gt;"ERRO",U255="OK"),"OK","REVISAR"))</f>
      </c>
    </row>
    <row r="256">
      <c r="A256" s="4"/>
      <c r="B256" s="5"/>
      <c r="C256" s="5"/>
      <c r="D256" s="5"/>
      <c r="E256" s="5"/>
      <c r="F256" s="4"/>
      <c r="G256" s="4"/>
      <c r="H256" s="5"/>
      <c r="I256" s="4"/>
      <c r="J256" s="4"/>
      <c r="K256" s="4"/>
      <c r="L256" s="4"/>
      <c r="M256" s="4"/>
      <c r="N256" s="4"/>
      <c r="O256" s="4"/>
      <c r="P256" s="6">
        <f>IF(D256="","",SUBSTITUTE(SUBSTITUTE(SUBSTITUTE(SUBSTITUTE(SUBSTITUTE(SUBSTITUTE(SUBSTITUTE(TRIM(D256),".",""),"/",""),"-","")," ",""),"(",""),")",""),"+",""))</f>
      </c>
      <c r="Q256" s="6">
        <f>IF(P256="","",IF(LEN(P256)&lt;&gt;14,"ERRO: "&amp;LEN(P256)&amp;" dígitos",IF(NOT(ISNUMBER(VALUE(P256))),"ERRO: não numérico",IF(LEN(SUBSTITUTE(P256,LEFT(P256,1),""))=0,"ERRO: dígitos repetidos",IF(AND(VALUE(MID(P256,13,1))=IF(MOD(SUMPRODUCT(--MID(P256,{1,2,3,4,5,6,7,8,9,10,11,12},1),{5,4,3,2,9,8,7,6,5,4,3,2}),11)&lt;2,0,11-MOD(SUMPRODUCT(--MID(P256,{1,2,3,4,5,6,7,8,9,10,11,12},1),{5,4,3,2,9,8,7,6,5,4,3,2}),11)),VALUE(MID(P256,14,1))=IF(MOD(SUMPRODUCT(--MID(P256,{1,2,3,4,5,6,7,8,9,10,11,12,13},1),{6,5,4,3,2,9,8,7,6,5,4,3,2}),11)&lt;2,0,11-MOD(SUMPRODUCT(--MID(P256,{1,2,3,4,5,6,7,8,9,10,11,12,13},1),{6,5,4,3,2,9,8,7,6,5,4,3,2}),11))),"OK","ERRO: dígito verificador")))))</f>
      </c>
      <c r="R256" s="6">
        <f>IF(P256="","",IF(COUNTIF($P$2:$P$1001,P256)&gt;1,"DUPLICADO","OK"))</f>
      </c>
      <c r="S256" s="6">
        <f>IF(AND(J256="",K256=""),"vazio",IF(AND(OR(J256="",LEN(SUBSTITUTE(SUBSTITUTE(SUBSTITUTE(SUBSTITUTE(SUBSTITUTE(SUBSTITUTE(SUBSTITUTE(TRIM(J256),".",""),"/",""),"-","")," ",""),"(",""),")",""),"+",""))=10,LEN(SUBSTITUTE(SUBSTITUTE(SUBSTITUTE(SUBSTITUTE(SUBSTITUTE(SUBSTITUTE(SUBSTITUTE(TRIM(J256),".",""),"/",""),"-","")," ",""),"(",""),")",""),"+",""))=11),OR(K256="",LEN(SUBSTITUTE(SUBSTITUTE(SUBSTITUTE(SUBSTITUTE(SUBSTITUTE(SUBSTITUTE(SUBSTITUTE(TRIM(K256),".",""),"/",""),"-","")," ",""),"(",""),")",""),"+",""))=10,LEN(SUBSTITUTE(SUBSTITUTE(SUBSTITUTE(SUBSTITUTE(SUBSTITUTE(SUBSTITUTE(SUBSTITUTE(TRIM(K256),".",""),"/",""),"-","")," ",""),"(",""),")",""),"+",""))=11)),"OK","ERRO: use DDD + número (10 ou 11 dígitos)"))</f>
      </c>
      <c r="T256" s="6">
        <f>IF(L256="","vazio",IF(AND(ISNUMBER(FIND("@",L256)),ISNUMBER(FIND(".",MID(L256,FIND("@",L256),99))),NOT(ISNUMBER(FIND(" ",TRIM(L256)))),NOT(ISNUMBER(FIND(";",L256))),NOT(ISNUMBER(FIND(",",L256)))),"OK","ERRO: um e-mail válido por linha"))</f>
      </c>
      <c r="U256" s="6">
        <f>IF(COUNTA(A256:O256)=0,"",IF(AND(B256&lt;&gt;"",C256&lt;&gt;"",D256&lt;&gt;"",E256&lt;&gt;"",H256&lt;&gt;"",OR(J256&lt;&gt;"",L256&lt;&gt;"")),"OK","ERRO: faltam "&amp;IF(B256="","Proprietário; ","")&amp;IF(C256="","Origem; ","")&amp;IF(D256="","CNPJ; ","")&amp;IF(E256="","Razão Social; ","")&amp;IF(H256="","Sobrenome; ","")&amp;IF(AND(J256="",L256=""),"telefone ou e-mail; ","")))</f>
      </c>
      <c r="V256" s="6">
        <f>IF(COUNTA(A256:O256)=0,"",IF(AND(Q256="OK",R256="OK",LEFT(S256,4)&lt;&gt;"ERRO",LEFT(T256,4)&lt;&gt;"ERRO",U256="OK"),"OK","REVISAR"))</f>
      </c>
    </row>
    <row r="257">
      <c r="A257" s="4"/>
      <c r="B257" s="5"/>
      <c r="C257" s="5"/>
      <c r="D257" s="5"/>
      <c r="E257" s="5"/>
      <c r="F257" s="4"/>
      <c r="G257" s="4"/>
      <c r="H257" s="5"/>
      <c r="I257" s="4"/>
      <c r="J257" s="4"/>
      <c r="K257" s="4"/>
      <c r="L257" s="4"/>
      <c r="M257" s="4"/>
      <c r="N257" s="4"/>
      <c r="O257" s="4"/>
      <c r="P257" s="6">
        <f>IF(D257="","",SUBSTITUTE(SUBSTITUTE(SUBSTITUTE(SUBSTITUTE(SUBSTITUTE(SUBSTITUTE(SUBSTITUTE(TRIM(D257),".",""),"/",""),"-","")," ",""),"(",""),")",""),"+",""))</f>
      </c>
      <c r="Q257" s="6">
        <f>IF(P257="","",IF(LEN(P257)&lt;&gt;14,"ERRO: "&amp;LEN(P257)&amp;" dígitos",IF(NOT(ISNUMBER(VALUE(P257))),"ERRO: não numérico",IF(LEN(SUBSTITUTE(P257,LEFT(P257,1),""))=0,"ERRO: dígitos repetidos",IF(AND(VALUE(MID(P257,13,1))=IF(MOD(SUMPRODUCT(--MID(P257,{1,2,3,4,5,6,7,8,9,10,11,12},1),{5,4,3,2,9,8,7,6,5,4,3,2}),11)&lt;2,0,11-MOD(SUMPRODUCT(--MID(P257,{1,2,3,4,5,6,7,8,9,10,11,12},1),{5,4,3,2,9,8,7,6,5,4,3,2}),11)),VALUE(MID(P257,14,1))=IF(MOD(SUMPRODUCT(--MID(P257,{1,2,3,4,5,6,7,8,9,10,11,12,13},1),{6,5,4,3,2,9,8,7,6,5,4,3,2}),11)&lt;2,0,11-MOD(SUMPRODUCT(--MID(P257,{1,2,3,4,5,6,7,8,9,10,11,12,13},1),{6,5,4,3,2,9,8,7,6,5,4,3,2}),11))),"OK","ERRO: dígito verificador")))))</f>
      </c>
      <c r="R257" s="6">
        <f>IF(P257="","",IF(COUNTIF($P$2:$P$1001,P257)&gt;1,"DUPLICADO","OK"))</f>
      </c>
      <c r="S257" s="6">
        <f>IF(AND(J257="",K257=""),"vazio",IF(AND(OR(J257="",LEN(SUBSTITUTE(SUBSTITUTE(SUBSTITUTE(SUBSTITUTE(SUBSTITUTE(SUBSTITUTE(SUBSTITUTE(TRIM(J257),".",""),"/",""),"-","")," ",""),"(",""),")",""),"+",""))=10,LEN(SUBSTITUTE(SUBSTITUTE(SUBSTITUTE(SUBSTITUTE(SUBSTITUTE(SUBSTITUTE(SUBSTITUTE(TRIM(J257),".",""),"/",""),"-","")," ",""),"(",""),")",""),"+",""))=11),OR(K257="",LEN(SUBSTITUTE(SUBSTITUTE(SUBSTITUTE(SUBSTITUTE(SUBSTITUTE(SUBSTITUTE(SUBSTITUTE(TRIM(K257),".",""),"/",""),"-","")," ",""),"(",""),")",""),"+",""))=10,LEN(SUBSTITUTE(SUBSTITUTE(SUBSTITUTE(SUBSTITUTE(SUBSTITUTE(SUBSTITUTE(SUBSTITUTE(TRIM(K257),".",""),"/",""),"-","")," ",""),"(",""),")",""),"+",""))=11)),"OK","ERRO: use DDD + número (10 ou 11 dígitos)"))</f>
      </c>
      <c r="T257" s="6">
        <f>IF(L257="","vazio",IF(AND(ISNUMBER(FIND("@",L257)),ISNUMBER(FIND(".",MID(L257,FIND("@",L257),99))),NOT(ISNUMBER(FIND(" ",TRIM(L257)))),NOT(ISNUMBER(FIND(";",L257))),NOT(ISNUMBER(FIND(",",L257)))),"OK","ERRO: um e-mail válido por linha"))</f>
      </c>
      <c r="U257" s="6">
        <f>IF(COUNTA(A257:O257)=0,"",IF(AND(B257&lt;&gt;"",C257&lt;&gt;"",D257&lt;&gt;"",E257&lt;&gt;"",H257&lt;&gt;"",OR(J257&lt;&gt;"",L257&lt;&gt;"")),"OK","ERRO: faltam "&amp;IF(B257="","Proprietário; ","")&amp;IF(C257="","Origem; ","")&amp;IF(D257="","CNPJ; ","")&amp;IF(E257="","Razão Social; ","")&amp;IF(H257="","Sobrenome; ","")&amp;IF(AND(J257="",L257=""),"telefone ou e-mail; ","")))</f>
      </c>
      <c r="V257" s="6">
        <f>IF(COUNTA(A257:O257)=0,"",IF(AND(Q257="OK",R257="OK",LEFT(S257,4)&lt;&gt;"ERRO",LEFT(T257,4)&lt;&gt;"ERRO",U257="OK"),"OK","REVISAR"))</f>
      </c>
    </row>
    <row r="258">
      <c r="A258" s="4"/>
      <c r="B258" s="5"/>
      <c r="C258" s="5"/>
      <c r="D258" s="5"/>
      <c r="E258" s="5"/>
      <c r="F258" s="4"/>
      <c r="G258" s="4"/>
      <c r="H258" s="5"/>
      <c r="I258" s="4"/>
      <c r="J258" s="4"/>
      <c r="K258" s="4"/>
      <c r="L258" s="4"/>
      <c r="M258" s="4"/>
      <c r="N258" s="4"/>
      <c r="O258" s="4"/>
      <c r="P258" s="6">
        <f>IF(D258="","",SUBSTITUTE(SUBSTITUTE(SUBSTITUTE(SUBSTITUTE(SUBSTITUTE(SUBSTITUTE(SUBSTITUTE(TRIM(D258),".",""),"/",""),"-","")," ",""),"(",""),")",""),"+",""))</f>
      </c>
      <c r="Q258" s="6">
        <f>IF(P258="","",IF(LEN(P258)&lt;&gt;14,"ERRO: "&amp;LEN(P258)&amp;" dígitos",IF(NOT(ISNUMBER(VALUE(P258))),"ERRO: não numérico",IF(LEN(SUBSTITUTE(P258,LEFT(P258,1),""))=0,"ERRO: dígitos repetidos",IF(AND(VALUE(MID(P258,13,1))=IF(MOD(SUMPRODUCT(--MID(P258,{1,2,3,4,5,6,7,8,9,10,11,12},1),{5,4,3,2,9,8,7,6,5,4,3,2}),11)&lt;2,0,11-MOD(SUMPRODUCT(--MID(P258,{1,2,3,4,5,6,7,8,9,10,11,12},1),{5,4,3,2,9,8,7,6,5,4,3,2}),11)),VALUE(MID(P258,14,1))=IF(MOD(SUMPRODUCT(--MID(P258,{1,2,3,4,5,6,7,8,9,10,11,12,13},1),{6,5,4,3,2,9,8,7,6,5,4,3,2}),11)&lt;2,0,11-MOD(SUMPRODUCT(--MID(P258,{1,2,3,4,5,6,7,8,9,10,11,12,13},1),{6,5,4,3,2,9,8,7,6,5,4,3,2}),11))),"OK","ERRO: dígito verificador")))))</f>
      </c>
      <c r="R258" s="6">
        <f>IF(P258="","",IF(COUNTIF($P$2:$P$1001,P258)&gt;1,"DUPLICADO","OK"))</f>
      </c>
      <c r="S258" s="6">
        <f>IF(AND(J258="",K258=""),"vazio",IF(AND(OR(J258="",LEN(SUBSTITUTE(SUBSTITUTE(SUBSTITUTE(SUBSTITUTE(SUBSTITUTE(SUBSTITUTE(SUBSTITUTE(TRIM(J258),".",""),"/",""),"-","")," ",""),"(",""),")",""),"+",""))=10,LEN(SUBSTITUTE(SUBSTITUTE(SUBSTITUTE(SUBSTITUTE(SUBSTITUTE(SUBSTITUTE(SUBSTITUTE(TRIM(J258),".",""),"/",""),"-","")," ",""),"(",""),")",""),"+",""))=11),OR(K258="",LEN(SUBSTITUTE(SUBSTITUTE(SUBSTITUTE(SUBSTITUTE(SUBSTITUTE(SUBSTITUTE(SUBSTITUTE(TRIM(K258),".",""),"/",""),"-","")," ",""),"(",""),")",""),"+",""))=10,LEN(SUBSTITUTE(SUBSTITUTE(SUBSTITUTE(SUBSTITUTE(SUBSTITUTE(SUBSTITUTE(SUBSTITUTE(TRIM(K258),".",""),"/",""),"-","")," ",""),"(",""),")",""),"+",""))=11)),"OK","ERRO: use DDD + número (10 ou 11 dígitos)"))</f>
      </c>
      <c r="T258" s="6">
        <f>IF(L258="","vazio",IF(AND(ISNUMBER(FIND("@",L258)),ISNUMBER(FIND(".",MID(L258,FIND("@",L258),99))),NOT(ISNUMBER(FIND(" ",TRIM(L258)))),NOT(ISNUMBER(FIND(";",L258))),NOT(ISNUMBER(FIND(",",L258)))),"OK","ERRO: um e-mail válido por linha"))</f>
      </c>
      <c r="U258" s="6">
        <f>IF(COUNTA(A258:O258)=0,"",IF(AND(B258&lt;&gt;"",C258&lt;&gt;"",D258&lt;&gt;"",E258&lt;&gt;"",H258&lt;&gt;"",OR(J258&lt;&gt;"",L258&lt;&gt;"")),"OK","ERRO: faltam "&amp;IF(B258="","Proprietário; ","")&amp;IF(C258="","Origem; ","")&amp;IF(D258="","CNPJ; ","")&amp;IF(E258="","Razão Social; ","")&amp;IF(H258="","Sobrenome; ","")&amp;IF(AND(J258="",L258=""),"telefone ou e-mail; ","")))</f>
      </c>
      <c r="V258" s="6">
        <f>IF(COUNTA(A258:O258)=0,"",IF(AND(Q258="OK",R258="OK",LEFT(S258,4)&lt;&gt;"ERRO",LEFT(T258,4)&lt;&gt;"ERRO",U258="OK"),"OK","REVISAR"))</f>
      </c>
    </row>
    <row r="259">
      <c r="A259" s="4"/>
      <c r="B259" s="5"/>
      <c r="C259" s="5"/>
      <c r="D259" s="5"/>
      <c r="E259" s="5"/>
      <c r="F259" s="4"/>
      <c r="G259" s="4"/>
      <c r="H259" s="5"/>
      <c r="I259" s="4"/>
      <c r="J259" s="4"/>
      <c r="K259" s="4"/>
      <c r="L259" s="4"/>
      <c r="M259" s="4"/>
      <c r="N259" s="4"/>
      <c r="O259" s="4"/>
      <c r="P259" s="6">
        <f>IF(D259="","",SUBSTITUTE(SUBSTITUTE(SUBSTITUTE(SUBSTITUTE(SUBSTITUTE(SUBSTITUTE(SUBSTITUTE(TRIM(D259),".",""),"/",""),"-","")," ",""),"(",""),")",""),"+",""))</f>
      </c>
      <c r="Q259" s="6">
        <f>IF(P259="","",IF(LEN(P259)&lt;&gt;14,"ERRO: "&amp;LEN(P259)&amp;" dígitos",IF(NOT(ISNUMBER(VALUE(P259))),"ERRO: não numérico",IF(LEN(SUBSTITUTE(P259,LEFT(P259,1),""))=0,"ERRO: dígitos repetidos",IF(AND(VALUE(MID(P259,13,1))=IF(MOD(SUMPRODUCT(--MID(P259,{1,2,3,4,5,6,7,8,9,10,11,12},1),{5,4,3,2,9,8,7,6,5,4,3,2}),11)&lt;2,0,11-MOD(SUMPRODUCT(--MID(P259,{1,2,3,4,5,6,7,8,9,10,11,12},1),{5,4,3,2,9,8,7,6,5,4,3,2}),11)),VALUE(MID(P259,14,1))=IF(MOD(SUMPRODUCT(--MID(P259,{1,2,3,4,5,6,7,8,9,10,11,12,13},1),{6,5,4,3,2,9,8,7,6,5,4,3,2}),11)&lt;2,0,11-MOD(SUMPRODUCT(--MID(P259,{1,2,3,4,5,6,7,8,9,10,11,12,13},1),{6,5,4,3,2,9,8,7,6,5,4,3,2}),11))),"OK","ERRO: dígito verificador")))))</f>
      </c>
      <c r="R259" s="6">
        <f>IF(P259="","",IF(COUNTIF($P$2:$P$1001,P259)&gt;1,"DUPLICADO","OK"))</f>
      </c>
      <c r="S259" s="6">
        <f>IF(AND(J259="",K259=""),"vazio",IF(AND(OR(J259="",LEN(SUBSTITUTE(SUBSTITUTE(SUBSTITUTE(SUBSTITUTE(SUBSTITUTE(SUBSTITUTE(SUBSTITUTE(TRIM(J259),".",""),"/",""),"-","")," ",""),"(",""),")",""),"+",""))=10,LEN(SUBSTITUTE(SUBSTITUTE(SUBSTITUTE(SUBSTITUTE(SUBSTITUTE(SUBSTITUTE(SUBSTITUTE(TRIM(J259),".",""),"/",""),"-","")," ",""),"(",""),")",""),"+",""))=11),OR(K259="",LEN(SUBSTITUTE(SUBSTITUTE(SUBSTITUTE(SUBSTITUTE(SUBSTITUTE(SUBSTITUTE(SUBSTITUTE(TRIM(K259),".",""),"/",""),"-","")," ",""),"(",""),")",""),"+",""))=10,LEN(SUBSTITUTE(SUBSTITUTE(SUBSTITUTE(SUBSTITUTE(SUBSTITUTE(SUBSTITUTE(SUBSTITUTE(TRIM(K259),".",""),"/",""),"-","")," ",""),"(",""),")",""),"+",""))=11)),"OK","ERRO: use DDD + número (10 ou 11 dígitos)"))</f>
      </c>
      <c r="T259" s="6">
        <f>IF(L259="","vazio",IF(AND(ISNUMBER(FIND("@",L259)),ISNUMBER(FIND(".",MID(L259,FIND("@",L259),99))),NOT(ISNUMBER(FIND(" ",TRIM(L259)))),NOT(ISNUMBER(FIND(";",L259))),NOT(ISNUMBER(FIND(",",L259)))),"OK","ERRO: um e-mail válido por linha"))</f>
      </c>
      <c r="U259" s="6">
        <f>IF(COUNTA(A259:O259)=0,"",IF(AND(B259&lt;&gt;"",C259&lt;&gt;"",D259&lt;&gt;"",E259&lt;&gt;"",H259&lt;&gt;"",OR(J259&lt;&gt;"",L259&lt;&gt;"")),"OK","ERRO: faltam "&amp;IF(B259="","Proprietário; ","")&amp;IF(C259="","Origem; ","")&amp;IF(D259="","CNPJ; ","")&amp;IF(E259="","Razão Social; ","")&amp;IF(H259="","Sobrenome; ","")&amp;IF(AND(J259="",L259=""),"telefone ou e-mail; ","")))</f>
      </c>
      <c r="V259" s="6">
        <f>IF(COUNTA(A259:O259)=0,"",IF(AND(Q259="OK",R259="OK",LEFT(S259,4)&lt;&gt;"ERRO",LEFT(T259,4)&lt;&gt;"ERRO",U259="OK"),"OK","REVISAR"))</f>
      </c>
    </row>
    <row r="260">
      <c r="A260" s="4"/>
      <c r="B260" s="5"/>
      <c r="C260" s="5"/>
      <c r="D260" s="5"/>
      <c r="E260" s="5"/>
      <c r="F260" s="4"/>
      <c r="G260" s="4"/>
      <c r="H260" s="5"/>
      <c r="I260" s="4"/>
      <c r="J260" s="4"/>
      <c r="K260" s="4"/>
      <c r="L260" s="4"/>
      <c r="M260" s="4"/>
      <c r="N260" s="4"/>
      <c r="O260" s="4"/>
      <c r="P260" s="6">
        <f>IF(D260="","",SUBSTITUTE(SUBSTITUTE(SUBSTITUTE(SUBSTITUTE(SUBSTITUTE(SUBSTITUTE(SUBSTITUTE(TRIM(D260),".",""),"/",""),"-","")," ",""),"(",""),")",""),"+",""))</f>
      </c>
      <c r="Q260" s="6">
        <f>IF(P260="","",IF(LEN(P260)&lt;&gt;14,"ERRO: "&amp;LEN(P260)&amp;" dígitos",IF(NOT(ISNUMBER(VALUE(P260))),"ERRO: não numérico",IF(LEN(SUBSTITUTE(P260,LEFT(P260,1),""))=0,"ERRO: dígitos repetidos",IF(AND(VALUE(MID(P260,13,1))=IF(MOD(SUMPRODUCT(--MID(P260,{1,2,3,4,5,6,7,8,9,10,11,12},1),{5,4,3,2,9,8,7,6,5,4,3,2}),11)&lt;2,0,11-MOD(SUMPRODUCT(--MID(P260,{1,2,3,4,5,6,7,8,9,10,11,12},1),{5,4,3,2,9,8,7,6,5,4,3,2}),11)),VALUE(MID(P260,14,1))=IF(MOD(SUMPRODUCT(--MID(P260,{1,2,3,4,5,6,7,8,9,10,11,12,13},1),{6,5,4,3,2,9,8,7,6,5,4,3,2}),11)&lt;2,0,11-MOD(SUMPRODUCT(--MID(P260,{1,2,3,4,5,6,7,8,9,10,11,12,13},1),{6,5,4,3,2,9,8,7,6,5,4,3,2}),11))),"OK","ERRO: dígito verificador")))))</f>
      </c>
      <c r="R260" s="6">
        <f>IF(P260="","",IF(COUNTIF($P$2:$P$1001,P260)&gt;1,"DUPLICADO","OK"))</f>
      </c>
      <c r="S260" s="6">
        <f>IF(AND(J260="",K260=""),"vazio",IF(AND(OR(J260="",LEN(SUBSTITUTE(SUBSTITUTE(SUBSTITUTE(SUBSTITUTE(SUBSTITUTE(SUBSTITUTE(SUBSTITUTE(TRIM(J260),".",""),"/",""),"-","")," ",""),"(",""),")",""),"+",""))=10,LEN(SUBSTITUTE(SUBSTITUTE(SUBSTITUTE(SUBSTITUTE(SUBSTITUTE(SUBSTITUTE(SUBSTITUTE(TRIM(J260),".",""),"/",""),"-","")," ",""),"(",""),")",""),"+",""))=11),OR(K260="",LEN(SUBSTITUTE(SUBSTITUTE(SUBSTITUTE(SUBSTITUTE(SUBSTITUTE(SUBSTITUTE(SUBSTITUTE(TRIM(K260),".",""),"/",""),"-","")," ",""),"(",""),")",""),"+",""))=10,LEN(SUBSTITUTE(SUBSTITUTE(SUBSTITUTE(SUBSTITUTE(SUBSTITUTE(SUBSTITUTE(SUBSTITUTE(TRIM(K260),".",""),"/",""),"-","")," ",""),"(",""),")",""),"+",""))=11)),"OK","ERRO: use DDD + número (10 ou 11 dígitos)"))</f>
      </c>
      <c r="T260" s="6">
        <f>IF(L260="","vazio",IF(AND(ISNUMBER(FIND("@",L260)),ISNUMBER(FIND(".",MID(L260,FIND("@",L260),99))),NOT(ISNUMBER(FIND(" ",TRIM(L260)))),NOT(ISNUMBER(FIND(";",L260))),NOT(ISNUMBER(FIND(",",L260)))),"OK","ERRO: um e-mail válido por linha"))</f>
      </c>
      <c r="U260" s="6">
        <f>IF(COUNTA(A260:O260)=0,"",IF(AND(B260&lt;&gt;"",C260&lt;&gt;"",D260&lt;&gt;"",E260&lt;&gt;"",H260&lt;&gt;"",OR(J260&lt;&gt;"",L260&lt;&gt;"")),"OK","ERRO: faltam "&amp;IF(B260="","Proprietário; ","")&amp;IF(C260="","Origem; ","")&amp;IF(D260="","CNPJ; ","")&amp;IF(E260="","Razão Social; ","")&amp;IF(H260="","Sobrenome; ","")&amp;IF(AND(J260="",L260=""),"telefone ou e-mail; ","")))</f>
      </c>
      <c r="V260" s="6">
        <f>IF(COUNTA(A260:O260)=0,"",IF(AND(Q260="OK",R260="OK",LEFT(S260,4)&lt;&gt;"ERRO",LEFT(T260,4)&lt;&gt;"ERRO",U260="OK"),"OK","REVISAR"))</f>
      </c>
    </row>
    <row r="261">
      <c r="A261" s="4"/>
      <c r="B261" s="5"/>
      <c r="C261" s="5"/>
      <c r="D261" s="5"/>
      <c r="E261" s="5"/>
      <c r="F261" s="4"/>
      <c r="G261" s="4"/>
      <c r="H261" s="5"/>
      <c r="I261" s="4"/>
      <c r="J261" s="4"/>
      <c r="K261" s="4"/>
      <c r="L261" s="4"/>
      <c r="M261" s="4"/>
      <c r="N261" s="4"/>
      <c r="O261" s="4"/>
      <c r="P261" s="6">
        <f>IF(D261="","",SUBSTITUTE(SUBSTITUTE(SUBSTITUTE(SUBSTITUTE(SUBSTITUTE(SUBSTITUTE(SUBSTITUTE(TRIM(D261),".",""),"/",""),"-","")," ",""),"(",""),")",""),"+",""))</f>
      </c>
      <c r="Q261" s="6">
        <f>IF(P261="","",IF(LEN(P261)&lt;&gt;14,"ERRO: "&amp;LEN(P261)&amp;" dígitos",IF(NOT(ISNUMBER(VALUE(P261))),"ERRO: não numérico",IF(LEN(SUBSTITUTE(P261,LEFT(P261,1),""))=0,"ERRO: dígitos repetidos",IF(AND(VALUE(MID(P261,13,1))=IF(MOD(SUMPRODUCT(--MID(P261,{1,2,3,4,5,6,7,8,9,10,11,12},1),{5,4,3,2,9,8,7,6,5,4,3,2}),11)&lt;2,0,11-MOD(SUMPRODUCT(--MID(P261,{1,2,3,4,5,6,7,8,9,10,11,12},1),{5,4,3,2,9,8,7,6,5,4,3,2}),11)),VALUE(MID(P261,14,1))=IF(MOD(SUMPRODUCT(--MID(P261,{1,2,3,4,5,6,7,8,9,10,11,12,13},1),{6,5,4,3,2,9,8,7,6,5,4,3,2}),11)&lt;2,0,11-MOD(SUMPRODUCT(--MID(P261,{1,2,3,4,5,6,7,8,9,10,11,12,13},1),{6,5,4,3,2,9,8,7,6,5,4,3,2}),11))),"OK","ERRO: dígito verificador")))))</f>
      </c>
      <c r="R261" s="6">
        <f>IF(P261="","",IF(COUNTIF($P$2:$P$1001,P261)&gt;1,"DUPLICADO","OK"))</f>
      </c>
      <c r="S261" s="6">
        <f>IF(AND(J261="",K261=""),"vazio",IF(AND(OR(J261="",LEN(SUBSTITUTE(SUBSTITUTE(SUBSTITUTE(SUBSTITUTE(SUBSTITUTE(SUBSTITUTE(SUBSTITUTE(TRIM(J261),".",""),"/",""),"-","")," ",""),"(",""),")",""),"+",""))=10,LEN(SUBSTITUTE(SUBSTITUTE(SUBSTITUTE(SUBSTITUTE(SUBSTITUTE(SUBSTITUTE(SUBSTITUTE(TRIM(J261),".",""),"/",""),"-","")," ",""),"(",""),")",""),"+",""))=11),OR(K261="",LEN(SUBSTITUTE(SUBSTITUTE(SUBSTITUTE(SUBSTITUTE(SUBSTITUTE(SUBSTITUTE(SUBSTITUTE(TRIM(K261),".",""),"/",""),"-","")," ",""),"(",""),")",""),"+",""))=10,LEN(SUBSTITUTE(SUBSTITUTE(SUBSTITUTE(SUBSTITUTE(SUBSTITUTE(SUBSTITUTE(SUBSTITUTE(TRIM(K261),".",""),"/",""),"-","")," ",""),"(",""),")",""),"+",""))=11)),"OK","ERRO: use DDD + número (10 ou 11 dígitos)"))</f>
      </c>
      <c r="T261" s="6">
        <f>IF(L261="","vazio",IF(AND(ISNUMBER(FIND("@",L261)),ISNUMBER(FIND(".",MID(L261,FIND("@",L261),99))),NOT(ISNUMBER(FIND(" ",TRIM(L261)))),NOT(ISNUMBER(FIND(";",L261))),NOT(ISNUMBER(FIND(",",L261)))),"OK","ERRO: um e-mail válido por linha"))</f>
      </c>
      <c r="U261" s="6">
        <f>IF(COUNTA(A261:O261)=0,"",IF(AND(B261&lt;&gt;"",C261&lt;&gt;"",D261&lt;&gt;"",E261&lt;&gt;"",H261&lt;&gt;"",OR(J261&lt;&gt;"",L261&lt;&gt;"")),"OK","ERRO: faltam "&amp;IF(B261="","Proprietário; ","")&amp;IF(C261="","Origem; ","")&amp;IF(D261="","CNPJ; ","")&amp;IF(E261="","Razão Social; ","")&amp;IF(H261="","Sobrenome; ","")&amp;IF(AND(J261="",L261=""),"telefone ou e-mail; ","")))</f>
      </c>
      <c r="V261" s="6">
        <f>IF(COUNTA(A261:O261)=0,"",IF(AND(Q261="OK",R261="OK",LEFT(S261,4)&lt;&gt;"ERRO",LEFT(T261,4)&lt;&gt;"ERRO",U261="OK"),"OK","REVISAR"))</f>
      </c>
    </row>
    <row r="262">
      <c r="A262" s="4"/>
      <c r="B262" s="5"/>
      <c r="C262" s="5"/>
      <c r="D262" s="5"/>
      <c r="E262" s="5"/>
      <c r="F262" s="4"/>
      <c r="G262" s="4"/>
      <c r="H262" s="5"/>
      <c r="I262" s="4"/>
      <c r="J262" s="4"/>
      <c r="K262" s="4"/>
      <c r="L262" s="4"/>
      <c r="M262" s="4"/>
      <c r="N262" s="4"/>
      <c r="O262" s="4"/>
      <c r="P262" s="6">
        <f>IF(D262="","",SUBSTITUTE(SUBSTITUTE(SUBSTITUTE(SUBSTITUTE(SUBSTITUTE(SUBSTITUTE(SUBSTITUTE(TRIM(D262),".",""),"/",""),"-","")," ",""),"(",""),")",""),"+",""))</f>
      </c>
      <c r="Q262" s="6">
        <f>IF(P262="","",IF(LEN(P262)&lt;&gt;14,"ERRO: "&amp;LEN(P262)&amp;" dígitos",IF(NOT(ISNUMBER(VALUE(P262))),"ERRO: não numérico",IF(LEN(SUBSTITUTE(P262,LEFT(P262,1),""))=0,"ERRO: dígitos repetidos",IF(AND(VALUE(MID(P262,13,1))=IF(MOD(SUMPRODUCT(--MID(P262,{1,2,3,4,5,6,7,8,9,10,11,12},1),{5,4,3,2,9,8,7,6,5,4,3,2}),11)&lt;2,0,11-MOD(SUMPRODUCT(--MID(P262,{1,2,3,4,5,6,7,8,9,10,11,12},1),{5,4,3,2,9,8,7,6,5,4,3,2}),11)),VALUE(MID(P262,14,1))=IF(MOD(SUMPRODUCT(--MID(P262,{1,2,3,4,5,6,7,8,9,10,11,12,13},1),{6,5,4,3,2,9,8,7,6,5,4,3,2}),11)&lt;2,0,11-MOD(SUMPRODUCT(--MID(P262,{1,2,3,4,5,6,7,8,9,10,11,12,13},1),{6,5,4,3,2,9,8,7,6,5,4,3,2}),11))),"OK","ERRO: dígito verificador")))))</f>
      </c>
      <c r="R262" s="6">
        <f>IF(P262="","",IF(COUNTIF($P$2:$P$1001,P262)&gt;1,"DUPLICADO","OK"))</f>
      </c>
      <c r="S262" s="6">
        <f>IF(AND(J262="",K262=""),"vazio",IF(AND(OR(J262="",LEN(SUBSTITUTE(SUBSTITUTE(SUBSTITUTE(SUBSTITUTE(SUBSTITUTE(SUBSTITUTE(SUBSTITUTE(TRIM(J262),".",""),"/",""),"-","")," ",""),"(",""),")",""),"+",""))=10,LEN(SUBSTITUTE(SUBSTITUTE(SUBSTITUTE(SUBSTITUTE(SUBSTITUTE(SUBSTITUTE(SUBSTITUTE(TRIM(J262),".",""),"/",""),"-","")," ",""),"(",""),")",""),"+",""))=11),OR(K262="",LEN(SUBSTITUTE(SUBSTITUTE(SUBSTITUTE(SUBSTITUTE(SUBSTITUTE(SUBSTITUTE(SUBSTITUTE(TRIM(K262),".",""),"/",""),"-","")," ",""),"(",""),")",""),"+",""))=10,LEN(SUBSTITUTE(SUBSTITUTE(SUBSTITUTE(SUBSTITUTE(SUBSTITUTE(SUBSTITUTE(SUBSTITUTE(TRIM(K262),".",""),"/",""),"-","")," ",""),"(",""),")",""),"+",""))=11)),"OK","ERRO: use DDD + número (10 ou 11 dígitos)"))</f>
      </c>
      <c r="T262" s="6">
        <f>IF(L262="","vazio",IF(AND(ISNUMBER(FIND("@",L262)),ISNUMBER(FIND(".",MID(L262,FIND("@",L262),99))),NOT(ISNUMBER(FIND(" ",TRIM(L262)))),NOT(ISNUMBER(FIND(";",L262))),NOT(ISNUMBER(FIND(",",L262)))),"OK","ERRO: um e-mail válido por linha"))</f>
      </c>
      <c r="U262" s="6">
        <f>IF(COUNTA(A262:O262)=0,"",IF(AND(B262&lt;&gt;"",C262&lt;&gt;"",D262&lt;&gt;"",E262&lt;&gt;"",H262&lt;&gt;"",OR(J262&lt;&gt;"",L262&lt;&gt;"")),"OK","ERRO: faltam "&amp;IF(B262="","Proprietário; ","")&amp;IF(C262="","Origem; ","")&amp;IF(D262="","CNPJ; ","")&amp;IF(E262="","Razão Social; ","")&amp;IF(H262="","Sobrenome; ","")&amp;IF(AND(J262="",L262=""),"telefone ou e-mail; ","")))</f>
      </c>
      <c r="V262" s="6">
        <f>IF(COUNTA(A262:O262)=0,"",IF(AND(Q262="OK",R262="OK",LEFT(S262,4)&lt;&gt;"ERRO",LEFT(T262,4)&lt;&gt;"ERRO",U262="OK"),"OK","REVISAR"))</f>
      </c>
    </row>
    <row r="263">
      <c r="A263" s="4"/>
      <c r="B263" s="5"/>
      <c r="C263" s="5"/>
      <c r="D263" s="5"/>
      <c r="E263" s="5"/>
      <c r="F263" s="4"/>
      <c r="G263" s="4"/>
      <c r="H263" s="5"/>
      <c r="I263" s="4"/>
      <c r="J263" s="4"/>
      <c r="K263" s="4"/>
      <c r="L263" s="4"/>
      <c r="M263" s="4"/>
      <c r="N263" s="4"/>
      <c r="O263" s="4"/>
      <c r="P263" s="6">
        <f>IF(D263="","",SUBSTITUTE(SUBSTITUTE(SUBSTITUTE(SUBSTITUTE(SUBSTITUTE(SUBSTITUTE(SUBSTITUTE(TRIM(D263),".",""),"/",""),"-","")," ",""),"(",""),")",""),"+",""))</f>
      </c>
      <c r="Q263" s="6">
        <f>IF(P263="","",IF(LEN(P263)&lt;&gt;14,"ERRO: "&amp;LEN(P263)&amp;" dígitos",IF(NOT(ISNUMBER(VALUE(P263))),"ERRO: não numérico",IF(LEN(SUBSTITUTE(P263,LEFT(P263,1),""))=0,"ERRO: dígitos repetidos",IF(AND(VALUE(MID(P263,13,1))=IF(MOD(SUMPRODUCT(--MID(P263,{1,2,3,4,5,6,7,8,9,10,11,12},1),{5,4,3,2,9,8,7,6,5,4,3,2}),11)&lt;2,0,11-MOD(SUMPRODUCT(--MID(P263,{1,2,3,4,5,6,7,8,9,10,11,12},1),{5,4,3,2,9,8,7,6,5,4,3,2}),11)),VALUE(MID(P263,14,1))=IF(MOD(SUMPRODUCT(--MID(P263,{1,2,3,4,5,6,7,8,9,10,11,12,13},1),{6,5,4,3,2,9,8,7,6,5,4,3,2}),11)&lt;2,0,11-MOD(SUMPRODUCT(--MID(P263,{1,2,3,4,5,6,7,8,9,10,11,12,13},1),{6,5,4,3,2,9,8,7,6,5,4,3,2}),11))),"OK","ERRO: dígito verificador")))))</f>
      </c>
      <c r="R263" s="6">
        <f>IF(P263="","",IF(COUNTIF($P$2:$P$1001,P263)&gt;1,"DUPLICADO","OK"))</f>
      </c>
      <c r="S263" s="6">
        <f>IF(AND(J263="",K263=""),"vazio",IF(AND(OR(J263="",LEN(SUBSTITUTE(SUBSTITUTE(SUBSTITUTE(SUBSTITUTE(SUBSTITUTE(SUBSTITUTE(SUBSTITUTE(TRIM(J263),".",""),"/",""),"-","")," ",""),"(",""),")",""),"+",""))=10,LEN(SUBSTITUTE(SUBSTITUTE(SUBSTITUTE(SUBSTITUTE(SUBSTITUTE(SUBSTITUTE(SUBSTITUTE(TRIM(J263),".",""),"/",""),"-","")," ",""),"(",""),")",""),"+",""))=11),OR(K263="",LEN(SUBSTITUTE(SUBSTITUTE(SUBSTITUTE(SUBSTITUTE(SUBSTITUTE(SUBSTITUTE(SUBSTITUTE(TRIM(K263),".",""),"/",""),"-","")," ",""),"(",""),")",""),"+",""))=10,LEN(SUBSTITUTE(SUBSTITUTE(SUBSTITUTE(SUBSTITUTE(SUBSTITUTE(SUBSTITUTE(SUBSTITUTE(TRIM(K263),".",""),"/",""),"-","")," ",""),"(",""),")",""),"+",""))=11)),"OK","ERRO: use DDD + número (10 ou 11 dígitos)"))</f>
      </c>
      <c r="T263" s="6">
        <f>IF(L263="","vazio",IF(AND(ISNUMBER(FIND("@",L263)),ISNUMBER(FIND(".",MID(L263,FIND("@",L263),99))),NOT(ISNUMBER(FIND(" ",TRIM(L263)))),NOT(ISNUMBER(FIND(";",L263))),NOT(ISNUMBER(FIND(",",L263)))),"OK","ERRO: um e-mail válido por linha"))</f>
      </c>
      <c r="U263" s="6">
        <f>IF(COUNTA(A263:O263)=0,"",IF(AND(B263&lt;&gt;"",C263&lt;&gt;"",D263&lt;&gt;"",E263&lt;&gt;"",H263&lt;&gt;"",OR(J263&lt;&gt;"",L263&lt;&gt;"")),"OK","ERRO: faltam "&amp;IF(B263="","Proprietário; ","")&amp;IF(C263="","Origem; ","")&amp;IF(D263="","CNPJ; ","")&amp;IF(E263="","Razão Social; ","")&amp;IF(H263="","Sobrenome; ","")&amp;IF(AND(J263="",L263=""),"telefone ou e-mail; ","")))</f>
      </c>
      <c r="V263" s="6">
        <f>IF(COUNTA(A263:O263)=0,"",IF(AND(Q263="OK",R263="OK",LEFT(S263,4)&lt;&gt;"ERRO",LEFT(T263,4)&lt;&gt;"ERRO",U263="OK"),"OK","REVISAR"))</f>
      </c>
    </row>
    <row r="264">
      <c r="A264" s="4"/>
      <c r="B264" s="5"/>
      <c r="C264" s="5"/>
      <c r="D264" s="5"/>
      <c r="E264" s="5"/>
      <c r="F264" s="4"/>
      <c r="G264" s="4"/>
      <c r="H264" s="5"/>
      <c r="I264" s="4"/>
      <c r="J264" s="4"/>
      <c r="K264" s="4"/>
      <c r="L264" s="4"/>
      <c r="M264" s="4"/>
      <c r="N264" s="4"/>
      <c r="O264" s="4"/>
      <c r="P264" s="6">
        <f>IF(D264="","",SUBSTITUTE(SUBSTITUTE(SUBSTITUTE(SUBSTITUTE(SUBSTITUTE(SUBSTITUTE(SUBSTITUTE(TRIM(D264),".",""),"/",""),"-","")," ",""),"(",""),")",""),"+",""))</f>
      </c>
      <c r="Q264" s="6">
        <f>IF(P264="","",IF(LEN(P264)&lt;&gt;14,"ERRO: "&amp;LEN(P264)&amp;" dígitos",IF(NOT(ISNUMBER(VALUE(P264))),"ERRO: não numérico",IF(LEN(SUBSTITUTE(P264,LEFT(P264,1),""))=0,"ERRO: dígitos repetidos",IF(AND(VALUE(MID(P264,13,1))=IF(MOD(SUMPRODUCT(--MID(P264,{1,2,3,4,5,6,7,8,9,10,11,12},1),{5,4,3,2,9,8,7,6,5,4,3,2}),11)&lt;2,0,11-MOD(SUMPRODUCT(--MID(P264,{1,2,3,4,5,6,7,8,9,10,11,12},1),{5,4,3,2,9,8,7,6,5,4,3,2}),11)),VALUE(MID(P264,14,1))=IF(MOD(SUMPRODUCT(--MID(P264,{1,2,3,4,5,6,7,8,9,10,11,12,13},1),{6,5,4,3,2,9,8,7,6,5,4,3,2}),11)&lt;2,0,11-MOD(SUMPRODUCT(--MID(P264,{1,2,3,4,5,6,7,8,9,10,11,12,13},1),{6,5,4,3,2,9,8,7,6,5,4,3,2}),11))),"OK","ERRO: dígito verificador")))))</f>
      </c>
      <c r="R264" s="6">
        <f>IF(P264="","",IF(COUNTIF($P$2:$P$1001,P264)&gt;1,"DUPLICADO","OK"))</f>
      </c>
      <c r="S264" s="6">
        <f>IF(AND(J264="",K264=""),"vazio",IF(AND(OR(J264="",LEN(SUBSTITUTE(SUBSTITUTE(SUBSTITUTE(SUBSTITUTE(SUBSTITUTE(SUBSTITUTE(SUBSTITUTE(TRIM(J264),".",""),"/",""),"-","")," ",""),"(",""),")",""),"+",""))=10,LEN(SUBSTITUTE(SUBSTITUTE(SUBSTITUTE(SUBSTITUTE(SUBSTITUTE(SUBSTITUTE(SUBSTITUTE(TRIM(J264),".",""),"/",""),"-","")," ",""),"(",""),")",""),"+",""))=11),OR(K264="",LEN(SUBSTITUTE(SUBSTITUTE(SUBSTITUTE(SUBSTITUTE(SUBSTITUTE(SUBSTITUTE(SUBSTITUTE(TRIM(K264),".",""),"/",""),"-","")," ",""),"(",""),")",""),"+",""))=10,LEN(SUBSTITUTE(SUBSTITUTE(SUBSTITUTE(SUBSTITUTE(SUBSTITUTE(SUBSTITUTE(SUBSTITUTE(TRIM(K264),".",""),"/",""),"-","")," ",""),"(",""),")",""),"+",""))=11)),"OK","ERRO: use DDD + número (10 ou 11 dígitos)"))</f>
      </c>
      <c r="T264" s="6">
        <f>IF(L264="","vazio",IF(AND(ISNUMBER(FIND("@",L264)),ISNUMBER(FIND(".",MID(L264,FIND("@",L264),99))),NOT(ISNUMBER(FIND(" ",TRIM(L264)))),NOT(ISNUMBER(FIND(";",L264))),NOT(ISNUMBER(FIND(",",L264)))),"OK","ERRO: um e-mail válido por linha"))</f>
      </c>
      <c r="U264" s="6">
        <f>IF(COUNTA(A264:O264)=0,"",IF(AND(B264&lt;&gt;"",C264&lt;&gt;"",D264&lt;&gt;"",E264&lt;&gt;"",H264&lt;&gt;"",OR(J264&lt;&gt;"",L264&lt;&gt;"")),"OK","ERRO: faltam "&amp;IF(B264="","Proprietário; ","")&amp;IF(C264="","Origem; ","")&amp;IF(D264="","CNPJ; ","")&amp;IF(E264="","Razão Social; ","")&amp;IF(H264="","Sobrenome; ","")&amp;IF(AND(J264="",L264=""),"telefone ou e-mail; ","")))</f>
      </c>
      <c r="V264" s="6">
        <f>IF(COUNTA(A264:O264)=0,"",IF(AND(Q264="OK",R264="OK",LEFT(S264,4)&lt;&gt;"ERRO",LEFT(T264,4)&lt;&gt;"ERRO",U264="OK"),"OK","REVISAR"))</f>
      </c>
    </row>
    <row r="265">
      <c r="A265" s="4"/>
      <c r="B265" s="5"/>
      <c r="C265" s="5"/>
      <c r="D265" s="5"/>
      <c r="E265" s="5"/>
      <c r="F265" s="4"/>
      <c r="G265" s="4"/>
      <c r="H265" s="5"/>
      <c r="I265" s="4"/>
      <c r="J265" s="4"/>
      <c r="K265" s="4"/>
      <c r="L265" s="4"/>
      <c r="M265" s="4"/>
      <c r="N265" s="4"/>
      <c r="O265" s="4"/>
      <c r="P265" s="6">
        <f>IF(D265="","",SUBSTITUTE(SUBSTITUTE(SUBSTITUTE(SUBSTITUTE(SUBSTITUTE(SUBSTITUTE(SUBSTITUTE(TRIM(D265),".",""),"/",""),"-","")," ",""),"(",""),")",""),"+",""))</f>
      </c>
      <c r="Q265" s="6">
        <f>IF(P265="","",IF(LEN(P265)&lt;&gt;14,"ERRO: "&amp;LEN(P265)&amp;" dígitos",IF(NOT(ISNUMBER(VALUE(P265))),"ERRO: não numérico",IF(LEN(SUBSTITUTE(P265,LEFT(P265,1),""))=0,"ERRO: dígitos repetidos",IF(AND(VALUE(MID(P265,13,1))=IF(MOD(SUMPRODUCT(--MID(P265,{1,2,3,4,5,6,7,8,9,10,11,12},1),{5,4,3,2,9,8,7,6,5,4,3,2}),11)&lt;2,0,11-MOD(SUMPRODUCT(--MID(P265,{1,2,3,4,5,6,7,8,9,10,11,12},1),{5,4,3,2,9,8,7,6,5,4,3,2}),11)),VALUE(MID(P265,14,1))=IF(MOD(SUMPRODUCT(--MID(P265,{1,2,3,4,5,6,7,8,9,10,11,12,13},1),{6,5,4,3,2,9,8,7,6,5,4,3,2}),11)&lt;2,0,11-MOD(SUMPRODUCT(--MID(P265,{1,2,3,4,5,6,7,8,9,10,11,12,13},1),{6,5,4,3,2,9,8,7,6,5,4,3,2}),11))),"OK","ERRO: dígito verificador")))))</f>
      </c>
      <c r="R265" s="6">
        <f>IF(P265="","",IF(COUNTIF($P$2:$P$1001,P265)&gt;1,"DUPLICADO","OK"))</f>
      </c>
      <c r="S265" s="6">
        <f>IF(AND(J265="",K265=""),"vazio",IF(AND(OR(J265="",LEN(SUBSTITUTE(SUBSTITUTE(SUBSTITUTE(SUBSTITUTE(SUBSTITUTE(SUBSTITUTE(SUBSTITUTE(TRIM(J265),".",""),"/",""),"-","")," ",""),"(",""),")",""),"+",""))=10,LEN(SUBSTITUTE(SUBSTITUTE(SUBSTITUTE(SUBSTITUTE(SUBSTITUTE(SUBSTITUTE(SUBSTITUTE(TRIM(J265),".",""),"/",""),"-","")," ",""),"(",""),")",""),"+",""))=11),OR(K265="",LEN(SUBSTITUTE(SUBSTITUTE(SUBSTITUTE(SUBSTITUTE(SUBSTITUTE(SUBSTITUTE(SUBSTITUTE(TRIM(K265),".",""),"/",""),"-","")," ",""),"(",""),")",""),"+",""))=10,LEN(SUBSTITUTE(SUBSTITUTE(SUBSTITUTE(SUBSTITUTE(SUBSTITUTE(SUBSTITUTE(SUBSTITUTE(TRIM(K265),".",""),"/",""),"-","")," ",""),"(",""),")",""),"+",""))=11)),"OK","ERRO: use DDD + número (10 ou 11 dígitos)"))</f>
      </c>
      <c r="T265" s="6">
        <f>IF(L265="","vazio",IF(AND(ISNUMBER(FIND("@",L265)),ISNUMBER(FIND(".",MID(L265,FIND("@",L265),99))),NOT(ISNUMBER(FIND(" ",TRIM(L265)))),NOT(ISNUMBER(FIND(";",L265))),NOT(ISNUMBER(FIND(",",L265)))),"OK","ERRO: um e-mail válido por linha"))</f>
      </c>
      <c r="U265" s="6">
        <f>IF(COUNTA(A265:O265)=0,"",IF(AND(B265&lt;&gt;"",C265&lt;&gt;"",D265&lt;&gt;"",E265&lt;&gt;"",H265&lt;&gt;"",OR(J265&lt;&gt;"",L265&lt;&gt;"")),"OK","ERRO: faltam "&amp;IF(B265="","Proprietário; ","")&amp;IF(C265="","Origem; ","")&amp;IF(D265="","CNPJ; ","")&amp;IF(E265="","Razão Social; ","")&amp;IF(H265="","Sobrenome; ","")&amp;IF(AND(J265="",L265=""),"telefone ou e-mail; ","")))</f>
      </c>
      <c r="V265" s="6">
        <f>IF(COUNTA(A265:O265)=0,"",IF(AND(Q265="OK",R265="OK",LEFT(S265,4)&lt;&gt;"ERRO",LEFT(T265,4)&lt;&gt;"ERRO",U265="OK"),"OK","REVISAR"))</f>
      </c>
    </row>
    <row r="266">
      <c r="A266" s="4"/>
      <c r="B266" s="5"/>
      <c r="C266" s="5"/>
      <c r="D266" s="5"/>
      <c r="E266" s="5"/>
      <c r="F266" s="4"/>
      <c r="G266" s="4"/>
      <c r="H266" s="5"/>
      <c r="I266" s="4"/>
      <c r="J266" s="4"/>
      <c r="K266" s="4"/>
      <c r="L266" s="4"/>
      <c r="M266" s="4"/>
      <c r="N266" s="4"/>
      <c r="O266" s="4"/>
      <c r="P266" s="6">
        <f>IF(D266="","",SUBSTITUTE(SUBSTITUTE(SUBSTITUTE(SUBSTITUTE(SUBSTITUTE(SUBSTITUTE(SUBSTITUTE(TRIM(D266),".",""),"/",""),"-","")," ",""),"(",""),")",""),"+",""))</f>
      </c>
      <c r="Q266" s="6">
        <f>IF(P266="","",IF(LEN(P266)&lt;&gt;14,"ERRO: "&amp;LEN(P266)&amp;" dígitos",IF(NOT(ISNUMBER(VALUE(P266))),"ERRO: não numérico",IF(LEN(SUBSTITUTE(P266,LEFT(P266,1),""))=0,"ERRO: dígitos repetidos",IF(AND(VALUE(MID(P266,13,1))=IF(MOD(SUMPRODUCT(--MID(P266,{1,2,3,4,5,6,7,8,9,10,11,12},1),{5,4,3,2,9,8,7,6,5,4,3,2}),11)&lt;2,0,11-MOD(SUMPRODUCT(--MID(P266,{1,2,3,4,5,6,7,8,9,10,11,12},1),{5,4,3,2,9,8,7,6,5,4,3,2}),11)),VALUE(MID(P266,14,1))=IF(MOD(SUMPRODUCT(--MID(P266,{1,2,3,4,5,6,7,8,9,10,11,12,13},1),{6,5,4,3,2,9,8,7,6,5,4,3,2}),11)&lt;2,0,11-MOD(SUMPRODUCT(--MID(P266,{1,2,3,4,5,6,7,8,9,10,11,12,13},1),{6,5,4,3,2,9,8,7,6,5,4,3,2}),11))),"OK","ERRO: dígito verificador")))))</f>
      </c>
      <c r="R266" s="6">
        <f>IF(P266="","",IF(COUNTIF($P$2:$P$1001,P266)&gt;1,"DUPLICADO","OK"))</f>
      </c>
      <c r="S266" s="6">
        <f>IF(AND(J266="",K266=""),"vazio",IF(AND(OR(J266="",LEN(SUBSTITUTE(SUBSTITUTE(SUBSTITUTE(SUBSTITUTE(SUBSTITUTE(SUBSTITUTE(SUBSTITUTE(TRIM(J266),".",""),"/",""),"-","")," ",""),"(",""),")",""),"+",""))=10,LEN(SUBSTITUTE(SUBSTITUTE(SUBSTITUTE(SUBSTITUTE(SUBSTITUTE(SUBSTITUTE(SUBSTITUTE(TRIM(J266),".",""),"/",""),"-","")," ",""),"(",""),")",""),"+",""))=11),OR(K266="",LEN(SUBSTITUTE(SUBSTITUTE(SUBSTITUTE(SUBSTITUTE(SUBSTITUTE(SUBSTITUTE(SUBSTITUTE(TRIM(K266),".",""),"/",""),"-","")," ",""),"(",""),")",""),"+",""))=10,LEN(SUBSTITUTE(SUBSTITUTE(SUBSTITUTE(SUBSTITUTE(SUBSTITUTE(SUBSTITUTE(SUBSTITUTE(TRIM(K266),".",""),"/",""),"-","")," ",""),"(",""),")",""),"+",""))=11)),"OK","ERRO: use DDD + número (10 ou 11 dígitos)"))</f>
      </c>
      <c r="T266" s="6">
        <f>IF(L266="","vazio",IF(AND(ISNUMBER(FIND("@",L266)),ISNUMBER(FIND(".",MID(L266,FIND("@",L266),99))),NOT(ISNUMBER(FIND(" ",TRIM(L266)))),NOT(ISNUMBER(FIND(";",L266))),NOT(ISNUMBER(FIND(",",L266)))),"OK","ERRO: um e-mail válido por linha"))</f>
      </c>
      <c r="U266" s="6">
        <f>IF(COUNTA(A266:O266)=0,"",IF(AND(B266&lt;&gt;"",C266&lt;&gt;"",D266&lt;&gt;"",E266&lt;&gt;"",H266&lt;&gt;"",OR(J266&lt;&gt;"",L266&lt;&gt;"")),"OK","ERRO: faltam "&amp;IF(B266="","Proprietário; ","")&amp;IF(C266="","Origem; ","")&amp;IF(D266="","CNPJ; ","")&amp;IF(E266="","Razão Social; ","")&amp;IF(H266="","Sobrenome; ","")&amp;IF(AND(J266="",L266=""),"telefone ou e-mail; ","")))</f>
      </c>
      <c r="V266" s="6">
        <f>IF(COUNTA(A266:O266)=0,"",IF(AND(Q266="OK",R266="OK",LEFT(S266,4)&lt;&gt;"ERRO",LEFT(T266,4)&lt;&gt;"ERRO",U266="OK"),"OK","REVISAR"))</f>
      </c>
    </row>
    <row r="267">
      <c r="A267" s="4"/>
      <c r="B267" s="5"/>
      <c r="C267" s="5"/>
      <c r="D267" s="5"/>
      <c r="E267" s="5"/>
      <c r="F267" s="4"/>
      <c r="G267" s="4"/>
      <c r="H267" s="5"/>
      <c r="I267" s="4"/>
      <c r="J267" s="4"/>
      <c r="K267" s="4"/>
      <c r="L267" s="4"/>
      <c r="M267" s="4"/>
      <c r="N267" s="4"/>
      <c r="O267" s="4"/>
      <c r="P267" s="6">
        <f>IF(D267="","",SUBSTITUTE(SUBSTITUTE(SUBSTITUTE(SUBSTITUTE(SUBSTITUTE(SUBSTITUTE(SUBSTITUTE(TRIM(D267),".",""),"/",""),"-","")," ",""),"(",""),")",""),"+",""))</f>
      </c>
      <c r="Q267" s="6">
        <f>IF(P267="","",IF(LEN(P267)&lt;&gt;14,"ERRO: "&amp;LEN(P267)&amp;" dígitos",IF(NOT(ISNUMBER(VALUE(P267))),"ERRO: não numérico",IF(LEN(SUBSTITUTE(P267,LEFT(P267,1),""))=0,"ERRO: dígitos repetidos",IF(AND(VALUE(MID(P267,13,1))=IF(MOD(SUMPRODUCT(--MID(P267,{1,2,3,4,5,6,7,8,9,10,11,12},1),{5,4,3,2,9,8,7,6,5,4,3,2}),11)&lt;2,0,11-MOD(SUMPRODUCT(--MID(P267,{1,2,3,4,5,6,7,8,9,10,11,12},1),{5,4,3,2,9,8,7,6,5,4,3,2}),11)),VALUE(MID(P267,14,1))=IF(MOD(SUMPRODUCT(--MID(P267,{1,2,3,4,5,6,7,8,9,10,11,12,13},1),{6,5,4,3,2,9,8,7,6,5,4,3,2}),11)&lt;2,0,11-MOD(SUMPRODUCT(--MID(P267,{1,2,3,4,5,6,7,8,9,10,11,12,13},1),{6,5,4,3,2,9,8,7,6,5,4,3,2}),11))),"OK","ERRO: dígito verificador")))))</f>
      </c>
      <c r="R267" s="6">
        <f>IF(P267="","",IF(COUNTIF($P$2:$P$1001,P267)&gt;1,"DUPLICADO","OK"))</f>
      </c>
      <c r="S267" s="6">
        <f>IF(AND(J267="",K267=""),"vazio",IF(AND(OR(J267="",LEN(SUBSTITUTE(SUBSTITUTE(SUBSTITUTE(SUBSTITUTE(SUBSTITUTE(SUBSTITUTE(SUBSTITUTE(TRIM(J267),".",""),"/",""),"-","")," ",""),"(",""),")",""),"+",""))=10,LEN(SUBSTITUTE(SUBSTITUTE(SUBSTITUTE(SUBSTITUTE(SUBSTITUTE(SUBSTITUTE(SUBSTITUTE(TRIM(J267),".",""),"/",""),"-","")," ",""),"(",""),")",""),"+",""))=11),OR(K267="",LEN(SUBSTITUTE(SUBSTITUTE(SUBSTITUTE(SUBSTITUTE(SUBSTITUTE(SUBSTITUTE(SUBSTITUTE(TRIM(K267),".",""),"/",""),"-","")," ",""),"(",""),")",""),"+",""))=10,LEN(SUBSTITUTE(SUBSTITUTE(SUBSTITUTE(SUBSTITUTE(SUBSTITUTE(SUBSTITUTE(SUBSTITUTE(TRIM(K267),".",""),"/",""),"-","")," ",""),"(",""),")",""),"+",""))=11)),"OK","ERRO: use DDD + número (10 ou 11 dígitos)"))</f>
      </c>
      <c r="T267" s="6">
        <f>IF(L267="","vazio",IF(AND(ISNUMBER(FIND("@",L267)),ISNUMBER(FIND(".",MID(L267,FIND("@",L267),99))),NOT(ISNUMBER(FIND(" ",TRIM(L267)))),NOT(ISNUMBER(FIND(";",L267))),NOT(ISNUMBER(FIND(",",L267)))),"OK","ERRO: um e-mail válido por linha"))</f>
      </c>
      <c r="U267" s="6">
        <f>IF(COUNTA(A267:O267)=0,"",IF(AND(B267&lt;&gt;"",C267&lt;&gt;"",D267&lt;&gt;"",E267&lt;&gt;"",H267&lt;&gt;"",OR(J267&lt;&gt;"",L267&lt;&gt;"")),"OK","ERRO: faltam "&amp;IF(B267="","Proprietário; ","")&amp;IF(C267="","Origem; ","")&amp;IF(D267="","CNPJ; ","")&amp;IF(E267="","Razão Social; ","")&amp;IF(H267="","Sobrenome; ","")&amp;IF(AND(J267="",L267=""),"telefone ou e-mail; ","")))</f>
      </c>
      <c r="V267" s="6">
        <f>IF(COUNTA(A267:O267)=0,"",IF(AND(Q267="OK",R267="OK",LEFT(S267,4)&lt;&gt;"ERRO",LEFT(T267,4)&lt;&gt;"ERRO",U267="OK"),"OK","REVISAR"))</f>
      </c>
    </row>
    <row r="268">
      <c r="A268" s="4"/>
      <c r="B268" s="5"/>
      <c r="C268" s="5"/>
      <c r="D268" s="5"/>
      <c r="E268" s="5"/>
      <c r="F268" s="4"/>
      <c r="G268" s="4"/>
      <c r="H268" s="5"/>
      <c r="I268" s="4"/>
      <c r="J268" s="4"/>
      <c r="K268" s="4"/>
      <c r="L268" s="4"/>
      <c r="M268" s="4"/>
      <c r="N268" s="4"/>
      <c r="O268" s="4"/>
      <c r="P268" s="6">
        <f>IF(D268="","",SUBSTITUTE(SUBSTITUTE(SUBSTITUTE(SUBSTITUTE(SUBSTITUTE(SUBSTITUTE(SUBSTITUTE(TRIM(D268),".",""),"/",""),"-","")," ",""),"(",""),")",""),"+",""))</f>
      </c>
      <c r="Q268" s="6">
        <f>IF(P268="","",IF(LEN(P268)&lt;&gt;14,"ERRO: "&amp;LEN(P268)&amp;" dígitos",IF(NOT(ISNUMBER(VALUE(P268))),"ERRO: não numérico",IF(LEN(SUBSTITUTE(P268,LEFT(P268,1),""))=0,"ERRO: dígitos repetidos",IF(AND(VALUE(MID(P268,13,1))=IF(MOD(SUMPRODUCT(--MID(P268,{1,2,3,4,5,6,7,8,9,10,11,12},1),{5,4,3,2,9,8,7,6,5,4,3,2}),11)&lt;2,0,11-MOD(SUMPRODUCT(--MID(P268,{1,2,3,4,5,6,7,8,9,10,11,12},1),{5,4,3,2,9,8,7,6,5,4,3,2}),11)),VALUE(MID(P268,14,1))=IF(MOD(SUMPRODUCT(--MID(P268,{1,2,3,4,5,6,7,8,9,10,11,12,13},1),{6,5,4,3,2,9,8,7,6,5,4,3,2}),11)&lt;2,0,11-MOD(SUMPRODUCT(--MID(P268,{1,2,3,4,5,6,7,8,9,10,11,12,13},1),{6,5,4,3,2,9,8,7,6,5,4,3,2}),11))),"OK","ERRO: dígito verificador")))))</f>
      </c>
      <c r="R268" s="6">
        <f>IF(P268="","",IF(COUNTIF($P$2:$P$1001,P268)&gt;1,"DUPLICADO","OK"))</f>
      </c>
      <c r="S268" s="6">
        <f>IF(AND(J268="",K268=""),"vazio",IF(AND(OR(J268="",LEN(SUBSTITUTE(SUBSTITUTE(SUBSTITUTE(SUBSTITUTE(SUBSTITUTE(SUBSTITUTE(SUBSTITUTE(TRIM(J268),".",""),"/",""),"-","")," ",""),"(",""),")",""),"+",""))=10,LEN(SUBSTITUTE(SUBSTITUTE(SUBSTITUTE(SUBSTITUTE(SUBSTITUTE(SUBSTITUTE(SUBSTITUTE(TRIM(J268),".",""),"/",""),"-","")," ",""),"(",""),")",""),"+",""))=11),OR(K268="",LEN(SUBSTITUTE(SUBSTITUTE(SUBSTITUTE(SUBSTITUTE(SUBSTITUTE(SUBSTITUTE(SUBSTITUTE(TRIM(K268),".",""),"/",""),"-","")," ",""),"(",""),")",""),"+",""))=10,LEN(SUBSTITUTE(SUBSTITUTE(SUBSTITUTE(SUBSTITUTE(SUBSTITUTE(SUBSTITUTE(SUBSTITUTE(TRIM(K268),".",""),"/",""),"-","")," ",""),"(",""),")",""),"+",""))=11)),"OK","ERRO: use DDD + número (10 ou 11 dígitos)"))</f>
      </c>
      <c r="T268" s="6">
        <f>IF(L268="","vazio",IF(AND(ISNUMBER(FIND("@",L268)),ISNUMBER(FIND(".",MID(L268,FIND("@",L268),99))),NOT(ISNUMBER(FIND(" ",TRIM(L268)))),NOT(ISNUMBER(FIND(";",L268))),NOT(ISNUMBER(FIND(",",L268)))),"OK","ERRO: um e-mail válido por linha"))</f>
      </c>
      <c r="U268" s="6">
        <f>IF(COUNTA(A268:O268)=0,"",IF(AND(B268&lt;&gt;"",C268&lt;&gt;"",D268&lt;&gt;"",E268&lt;&gt;"",H268&lt;&gt;"",OR(J268&lt;&gt;"",L268&lt;&gt;"")),"OK","ERRO: faltam "&amp;IF(B268="","Proprietário; ","")&amp;IF(C268="","Origem; ","")&amp;IF(D268="","CNPJ; ","")&amp;IF(E268="","Razão Social; ","")&amp;IF(H268="","Sobrenome; ","")&amp;IF(AND(J268="",L268=""),"telefone ou e-mail; ","")))</f>
      </c>
      <c r="V268" s="6">
        <f>IF(COUNTA(A268:O268)=0,"",IF(AND(Q268="OK",R268="OK",LEFT(S268,4)&lt;&gt;"ERRO",LEFT(T268,4)&lt;&gt;"ERRO",U268="OK"),"OK","REVISAR"))</f>
      </c>
    </row>
    <row r="269">
      <c r="A269" s="4"/>
      <c r="B269" s="5"/>
      <c r="C269" s="5"/>
      <c r="D269" s="5"/>
      <c r="E269" s="5"/>
      <c r="F269" s="4"/>
      <c r="G269" s="4"/>
      <c r="H269" s="5"/>
      <c r="I269" s="4"/>
      <c r="J269" s="4"/>
      <c r="K269" s="4"/>
      <c r="L269" s="4"/>
      <c r="M269" s="4"/>
      <c r="N269" s="4"/>
      <c r="O269" s="4"/>
      <c r="P269" s="6">
        <f>IF(D269="","",SUBSTITUTE(SUBSTITUTE(SUBSTITUTE(SUBSTITUTE(SUBSTITUTE(SUBSTITUTE(SUBSTITUTE(TRIM(D269),".",""),"/",""),"-","")," ",""),"(",""),")",""),"+",""))</f>
      </c>
      <c r="Q269" s="6">
        <f>IF(P269="","",IF(LEN(P269)&lt;&gt;14,"ERRO: "&amp;LEN(P269)&amp;" dígitos",IF(NOT(ISNUMBER(VALUE(P269))),"ERRO: não numérico",IF(LEN(SUBSTITUTE(P269,LEFT(P269,1),""))=0,"ERRO: dígitos repetidos",IF(AND(VALUE(MID(P269,13,1))=IF(MOD(SUMPRODUCT(--MID(P269,{1,2,3,4,5,6,7,8,9,10,11,12},1),{5,4,3,2,9,8,7,6,5,4,3,2}),11)&lt;2,0,11-MOD(SUMPRODUCT(--MID(P269,{1,2,3,4,5,6,7,8,9,10,11,12},1),{5,4,3,2,9,8,7,6,5,4,3,2}),11)),VALUE(MID(P269,14,1))=IF(MOD(SUMPRODUCT(--MID(P269,{1,2,3,4,5,6,7,8,9,10,11,12,13},1),{6,5,4,3,2,9,8,7,6,5,4,3,2}),11)&lt;2,0,11-MOD(SUMPRODUCT(--MID(P269,{1,2,3,4,5,6,7,8,9,10,11,12,13},1),{6,5,4,3,2,9,8,7,6,5,4,3,2}),11))),"OK","ERRO: dígito verificador")))))</f>
      </c>
      <c r="R269" s="6">
        <f>IF(P269="","",IF(COUNTIF($P$2:$P$1001,P269)&gt;1,"DUPLICADO","OK"))</f>
      </c>
      <c r="S269" s="6">
        <f>IF(AND(J269="",K269=""),"vazio",IF(AND(OR(J269="",LEN(SUBSTITUTE(SUBSTITUTE(SUBSTITUTE(SUBSTITUTE(SUBSTITUTE(SUBSTITUTE(SUBSTITUTE(TRIM(J269),".",""),"/",""),"-","")," ",""),"(",""),")",""),"+",""))=10,LEN(SUBSTITUTE(SUBSTITUTE(SUBSTITUTE(SUBSTITUTE(SUBSTITUTE(SUBSTITUTE(SUBSTITUTE(TRIM(J269),".",""),"/",""),"-","")," ",""),"(",""),")",""),"+",""))=11),OR(K269="",LEN(SUBSTITUTE(SUBSTITUTE(SUBSTITUTE(SUBSTITUTE(SUBSTITUTE(SUBSTITUTE(SUBSTITUTE(TRIM(K269),".",""),"/",""),"-","")," ",""),"(",""),")",""),"+",""))=10,LEN(SUBSTITUTE(SUBSTITUTE(SUBSTITUTE(SUBSTITUTE(SUBSTITUTE(SUBSTITUTE(SUBSTITUTE(TRIM(K269),".",""),"/",""),"-","")," ",""),"(",""),")",""),"+",""))=11)),"OK","ERRO: use DDD + número (10 ou 11 dígitos)"))</f>
      </c>
      <c r="T269" s="6">
        <f>IF(L269="","vazio",IF(AND(ISNUMBER(FIND("@",L269)),ISNUMBER(FIND(".",MID(L269,FIND("@",L269),99))),NOT(ISNUMBER(FIND(" ",TRIM(L269)))),NOT(ISNUMBER(FIND(";",L269))),NOT(ISNUMBER(FIND(",",L269)))),"OK","ERRO: um e-mail válido por linha"))</f>
      </c>
      <c r="U269" s="6">
        <f>IF(COUNTA(A269:O269)=0,"",IF(AND(B269&lt;&gt;"",C269&lt;&gt;"",D269&lt;&gt;"",E269&lt;&gt;"",H269&lt;&gt;"",OR(J269&lt;&gt;"",L269&lt;&gt;"")),"OK","ERRO: faltam "&amp;IF(B269="","Proprietário; ","")&amp;IF(C269="","Origem; ","")&amp;IF(D269="","CNPJ; ","")&amp;IF(E269="","Razão Social; ","")&amp;IF(H269="","Sobrenome; ","")&amp;IF(AND(J269="",L269=""),"telefone ou e-mail; ","")))</f>
      </c>
      <c r="V269" s="6">
        <f>IF(COUNTA(A269:O269)=0,"",IF(AND(Q269="OK",R269="OK",LEFT(S269,4)&lt;&gt;"ERRO",LEFT(T269,4)&lt;&gt;"ERRO",U269="OK"),"OK","REVISAR"))</f>
      </c>
    </row>
    <row r="270">
      <c r="A270" s="4"/>
      <c r="B270" s="5"/>
      <c r="C270" s="5"/>
      <c r="D270" s="5"/>
      <c r="E270" s="5"/>
      <c r="F270" s="4"/>
      <c r="G270" s="4"/>
      <c r="H270" s="5"/>
      <c r="I270" s="4"/>
      <c r="J270" s="4"/>
      <c r="K270" s="4"/>
      <c r="L270" s="4"/>
      <c r="M270" s="4"/>
      <c r="N270" s="4"/>
      <c r="O270" s="4"/>
      <c r="P270" s="6">
        <f>IF(D270="","",SUBSTITUTE(SUBSTITUTE(SUBSTITUTE(SUBSTITUTE(SUBSTITUTE(SUBSTITUTE(SUBSTITUTE(TRIM(D270),".",""),"/",""),"-","")," ",""),"(",""),")",""),"+",""))</f>
      </c>
      <c r="Q270" s="6">
        <f>IF(P270="","",IF(LEN(P270)&lt;&gt;14,"ERRO: "&amp;LEN(P270)&amp;" dígitos",IF(NOT(ISNUMBER(VALUE(P270))),"ERRO: não numérico",IF(LEN(SUBSTITUTE(P270,LEFT(P270,1),""))=0,"ERRO: dígitos repetidos",IF(AND(VALUE(MID(P270,13,1))=IF(MOD(SUMPRODUCT(--MID(P270,{1,2,3,4,5,6,7,8,9,10,11,12},1),{5,4,3,2,9,8,7,6,5,4,3,2}),11)&lt;2,0,11-MOD(SUMPRODUCT(--MID(P270,{1,2,3,4,5,6,7,8,9,10,11,12},1),{5,4,3,2,9,8,7,6,5,4,3,2}),11)),VALUE(MID(P270,14,1))=IF(MOD(SUMPRODUCT(--MID(P270,{1,2,3,4,5,6,7,8,9,10,11,12,13},1),{6,5,4,3,2,9,8,7,6,5,4,3,2}),11)&lt;2,0,11-MOD(SUMPRODUCT(--MID(P270,{1,2,3,4,5,6,7,8,9,10,11,12,13},1),{6,5,4,3,2,9,8,7,6,5,4,3,2}),11))),"OK","ERRO: dígito verificador")))))</f>
      </c>
      <c r="R270" s="6">
        <f>IF(P270="","",IF(COUNTIF($P$2:$P$1001,P270)&gt;1,"DUPLICADO","OK"))</f>
      </c>
      <c r="S270" s="6">
        <f>IF(AND(J270="",K270=""),"vazio",IF(AND(OR(J270="",LEN(SUBSTITUTE(SUBSTITUTE(SUBSTITUTE(SUBSTITUTE(SUBSTITUTE(SUBSTITUTE(SUBSTITUTE(TRIM(J270),".",""),"/",""),"-","")," ",""),"(",""),")",""),"+",""))=10,LEN(SUBSTITUTE(SUBSTITUTE(SUBSTITUTE(SUBSTITUTE(SUBSTITUTE(SUBSTITUTE(SUBSTITUTE(TRIM(J270),".",""),"/",""),"-","")," ",""),"(",""),")",""),"+",""))=11),OR(K270="",LEN(SUBSTITUTE(SUBSTITUTE(SUBSTITUTE(SUBSTITUTE(SUBSTITUTE(SUBSTITUTE(SUBSTITUTE(TRIM(K270),".",""),"/",""),"-","")," ",""),"(",""),")",""),"+",""))=10,LEN(SUBSTITUTE(SUBSTITUTE(SUBSTITUTE(SUBSTITUTE(SUBSTITUTE(SUBSTITUTE(SUBSTITUTE(TRIM(K270),".",""),"/",""),"-","")," ",""),"(",""),")",""),"+",""))=11)),"OK","ERRO: use DDD + número (10 ou 11 dígitos)"))</f>
      </c>
      <c r="T270" s="6">
        <f>IF(L270="","vazio",IF(AND(ISNUMBER(FIND("@",L270)),ISNUMBER(FIND(".",MID(L270,FIND("@",L270),99))),NOT(ISNUMBER(FIND(" ",TRIM(L270)))),NOT(ISNUMBER(FIND(";",L270))),NOT(ISNUMBER(FIND(",",L270)))),"OK","ERRO: um e-mail válido por linha"))</f>
      </c>
      <c r="U270" s="6">
        <f>IF(COUNTA(A270:O270)=0,"",IF(AND(B270&lt;&gt;"",C270&lt;&gt;"",D270&lt;&gt;"",E270&lt;&gt;"",H270&lt;&gt;"",OR(J270&lt;&gt;"",L270&lt;&gt;"")),"OK","ERRO: faltam "&amp;IF(B270="","Proprietário; ","")&amp;IF(C270="","Origem; ","")&amp;IF(D270="","CNPJ; ","")&amp;IF(E270="","Razão Social; ","")&amp;IF(H270="","Sobrenome; ","")&amp;IF(AND(J270="",L270=""),"telefone ou e-mail; ","")))</f>
      </c>
      <c r="V270" s="6">
        <f>IF(COUNTA(A270:O270)=0,"",IF(AND(Q270="OK",R270="OK",LEFT(S270,4)&lt;&gt;"ERRO",LEFT(T270,4)&lt;&gt;"ERRO",U270="OK"),"OK","REVISAR"))</f>
      </c>
    </row>
    <row r="271">
      <c r="A271" s="4"/>
      <c r="B271" s="5"/>
      <c r="C271" s="5"/>
      <c r="D271" s="5"/>
      <c r="E271" s="5"/>
      <c r="F271" s="4"/>
      <c r="G271" s="4"/>
      <c r="H271" s="5"/>
      <c r="I271" s="4"/>
      <c r="J271" s="4"/>
      <c r="K271" s="4"/>
      <c r="L271" s="4"/>
      <c r="M271" s="4"/>
      <c r="N271" s="4"/>
      <c r="O271" s="4"/>
      <c r="P271" s="6">
        <f>IF(D271="","",SUBSTITUTE(SUBSTITUTE(SUBSTITUTE(SUBSTITUTE(SUBSTITUTE(SUBSTITUTE(SUBSTITUTE(TRIM(D271),".",""),"/",""),"-","")," ",""),"(",""),")",""),"+",""))</f>
      </c>
      <c r="Q271" s="6">
        <f>IF(P271="","",IF(LEN(P271)&lt;&gt;14,"ERRO: "&amp;LEN(P271)&amp;" dígitos",IF(NOT(ISNUMBER(VALUE(P271))),"ERRO: não numérico",IF(LEN(SUBSTITUTE(P271,LEFT(P271,1),""))=0,"ERRO: dígitos repetidos",IF(AND(VALUE(MID(P271,13,1))=IF(MOD(SUMPRODUCT(--MID(P271,{1,2,3,4,5,6,7,8,9,10,11,12},1),{5,4,3,2,9,8,7,6,5,4,3,2}),11)&lt;2,0,11-MOD(SUMPRODUCT(--MID(P271,{1,2,3,4,5,6,7,8,9,10,11,12},1),{5,4,3,2,9,8,7,6,5,4,3,2}),11)),VALUE(MID(P271,14,1))=IF(MOD(SUMPRODUCT(--MID(P271,{1,2,3,4,5,6,7,8,9,10,11,12,13},1),{6,5,4,3,2,9,8,7,6,5,4,3,2}),11)&lt;2,0,11-MOD(SUMPRODUCT(--MID(P271,{1,2,3,4,5,6,7,8,9,10,11,12,13},1),{6,5,4,3,2,9,8,7,6,5,4,3,2}),11))),"OK","ERRO: dígito verificador")))))</f>
      </c>
      <c r="R271" s="6">
        <f>IF(P271="","",IF(COUNTIF($P$2:$P$1001,P271)&gt;1,"DUPLICADO","OK"))</f>
      </c>
      <c r="S271" s="6">
        <f>IF(AND(J271="",K271=""),"vazio",IF(AND(OR(J271="",LEN(SUBSTITUTE(SUBSTITUTE(SUBSTITUTE(SUBSTITUTE(SUBSTITUTE(SUBSTITUTE(SUBSTITUTE(TRIM(J271),".",""),"/",""),"-","")," ",""),"(",""),")",""),"+",""))=10,LEN(SUBSTITUTE(SUBSTITUTE(SUBSTITUTE(SUBSTITUTE(SUBSTITUTE(SUBSTITUTE(SUBSTITUTE(TRIM(J271),".",""),"/",""),"-","")," ",""),"(",""),")",""),"+",""))=11),OR(K271="",LEN(SUBSTITUTE(SUBSTITUTE(SUBSTITUTE(SUBSTITUTE(SUBSTITUTE(SUBSTITUTE(SUBSTITUTE(TRIM(K271),".",""),"/",""),"-","")," ",""),"(",""),")",""),"+",""))=10,LEN(SUBSTITUTE(SUBSTITUTE(SUBSTITUTE(SUBSTITUTE(SUBSTITUTE(SUBSTITUTE(SUBSTITUTE(TRIM(K271),".",""),"/",""),"-","")," ",""),"(",""),")",""),"+",""))=11)),"OK","ERRO: use DDD + número (10 ou 11 dígitos)"))</f>
      </c>
      <c r="T271" s="6">
        <f>IF(L271="","vazio",IF(AND(ISNUMBER(FIND("@",L271)),ISNUMBER(FIND(".",MID(L271,FIND("@",L271),99))),NOT(ISNUMBER(FIND(" ",TRIM(L271)))),NOT(ISNUMBER(FIND(";",L271))),NOT(ISNUMBER(FIND(",",L271)))),"OK","ERRO: um e-mail válido por linha"))</f>
      </c>
      <c r="U271" s="6">
        <f>IF(COUNTA(A271:O271)=0,"",IF(AND(B271&lt;&gt;"",C271&lt;&gt;"",D271&lt;&gt;"",E271&lt;&gt;"",H271&lt;&gt;"",OR(J271&lt;&gt;"",L271&lt;&gt;"")),"OK","ERRO: faltam "&amp;IF(B271="","Proprietário; ","")&amp;IF(C271="","Origem; ","")&amp;IF(D271="","CNPJ; ","")&amp;IF(E271="","Razão Social; ","")&amp;IF(H271="","Sobrenome; ","")&amp;IF(AND(J271="",L271=""),"telefone ou e-mail; ","")))</f>
      </c>
      <c r="V271" s="6">
        <f>IF(COUNTA(A271:O271)=0,"",IF(AND(Q271="OK",R271="OK",LEFT(S271,4)&lt;&gt;"ERRO",LEFT(T271,4)&lt;&gt;"ERRO",U271="OK"),"OK","REVISAR"))</f>
      </c>
    </row>
    <row r="272">
      <c r="A272" s="4"/>
      <c r="B272" s="5"/>
      <c r="C272" s="5"/>
      <c r="D272" s="5"/>
      <c r="E272" s="5"/>
      <c r="F272" s="4"/>
      <c r="G272" s="4"/>
      <c r="H272" s="5"/>
      <c r="I272" s="4"/>
      <c r="J272" s="4"/>
      <c r="K272" s="4"/>
      <c r="L272" s="4"/>
      <c r="M272" s="4"/>
      <c r="N272" s="4"/>
      <c r="O272" s="4"/>
      <c r="P272" s="6">
        <f>IF(D272="","",SUBSTITUTE(SUBSTITUTE(SUBSTITUTE(SUBSTITUTE(SUBSTITUTE(SUBSTITUTE(SUBSTITUTE(TRIM(D272),".",""),"/",""),"-","")," ",""),"(",""),")",""),"+",""))</f>
      </c>
      <c r="Q272" s="6">
        <f>IF(P272="","",IF(LEN(P272)&lt;&gt;14,"ERRO: "&amp;LEN(P272)&amp;" dígitos",IF(NOT(ISNUMBER(VALUE(P272))),"ERRO: não numérico",IF(LEN(SUBSTITUTE(P272,LEFT(P272,1),""))=0,"ERRO: dígitos repetidos",IF(AND(VALUE(MID(P272,13,1))=IF(MOD(SUMPRODUCT(--MID(P272,{1,2,3,4,5,6,7,8,9,10,11,12},1),{5,4,3,2,9,8,7,6,5,4,3,2}),11)&lt;2,0,11-MOD(SUMPRODUCT(--MID(P272,{1,2,3,4,5,6,7,8,9,10,11,12},1),{5,4,3,2,9,8,7,6,5,4,3,2}),11)),VALUE(MID(P272,14,1))=IF(MOD(SUMPRODUCT(--MID(P272,{1,2,3,4,5,6,7,8,9,10,11,12,13},1),{6,5,4,3,2,9,8,7,6,5,4,3,2}),11)&lt;2,0,11-MOD(SUMPRODUCT(--MID(P272,{1,2,3,4,5,6,7,8,9,10,11,12,13},1),{6,5,4,3,2,9,8,7,6,5,4,3,2}),11))),"OK","ERRO: dígito verificador")))))</f>
      </c>
      <c r="R272" s="6">
        <f>IF(P272="","",IF(COUNTIF($P$2:$P$1001,P272)&gt;1,"DUPLICADO","OK"))</f>
      </c>
      <c r="S272" s="6">
        <f>IF(AND(J272="",K272=""),"vazio",IF(AND(OR(J272="",LEN(SUBSTITUTE(SUBSTITUTE(SUBSTITUTE(SUBSTITUTE(SUBSTITUTE(SUBSTITUTE(SUBSTITUTE(TRIM(J272),".",""),"/",""),"-","")," ",""),"(",""),")",""),"+",""))=10,LEN(SUBSTITUTE(SUBSTITUTE(SUBSTITUTE(SUBSTITUTE(SUBSTITUTE(SUBSTITUTE(SUBSTITUTE(TRIM(J272),".",""),"/",""),"-","")," ",""),"(",""),")",""),"+",""))=11),OR(K272="",LEN(SUBSTITUTE(SUBSTITUTE(SUBSTITUTE(SUBSTITUTE(SUBSTITUTE(SUBSTITUTE(SUBSTITUTE(TRIM(K272),".",""),"/",""),"-","")," ",""),"(",""),")",""),"+",""))=10,LEN(SUBSTITUTE(SUBSTITUTE(SUBSTITUTE(SUBSTITUTE(SUBSTITUTE(SUBSTITUTE(SUBSTITUTE(TRIM(K272),".",""),"/",""),"-","")," ",""),"(",""),")",""),"+",""))=11)),"OK","ERRO: use DDD + número (10 ou 11 dígitos)"))</f>
      </c>
      <c r="T272" s="6">
        <f>IF(L272="","vazio",IF(AND(ISNUMBER(FIND("@",L272)),ISNUMBER(FIND(".",MID(L272,FIND("@",L272),99))),NOT(ISNUMBER(FIND(" ",TRIM(L272)))),NOT(ISNUMBER(FIND(";",L272))),NOT(ISNUMBER(FIND(",",L272)))),"OK","ERRO: um e-mail válido por linha"))</f>
      </c>
      <c r="U272" s="6">
        <f>IF(COUNTA(A272:O272)=0,"",IF(AND(B272&lt;&gt;"",C272&lt;&gt;"",D272&lt;&gt;"",E272&lt;&gt;"",H272&lt;&gt;"",OR(J272&lt;&gt;"",L272&lt;&gt;"")),"OK","ERRO: faltam "&amp;IF(B272="","Proprietário; ","")&amp;IF(C272="","Origem; ","")&amp;IF(D272="","CNPJ; ","")&amp;IF(E272="","Razão Social; ","")&amp;IF(H272="","Sobrenome; ","")&amp;IF(AND(J272="",L272=""),"telefone ou e-mail; ","")))</f>
      </c>
      <c r="V272" s="6">
        <f>IF(COUNTA(A272:O272)=0,"",IF(AND(Q272="OK",R272="OK",LEFT(S272,4)&lt;&gt;"ERRO",LEFT(T272,4)&lt;&gt;"ERRO",U272="OK"),"OK","REVISAR"))</f>
      </c>
    </row>
    <row r="273">
      <c r="A273" s="4"/>
      <c r="B273" s="5"/>
      <c r="C273" s="5"/>
      <c r="D273" s="5"/>
      <c r="E273" s="5"/>
      <c r="F273" s="4"/>
      <c r="G273" s="4"/>
      <c r="H273" s="5"/>
      <c r="I273" s="4"/>
      <c r="J273" s="4"/>
      <c r="K273" s="4"/>
      <c r="L273" s="4"/>
      <c r="M273" s="4"/>
      <c r="N273" s="4"/>
      <c r="O273" s="4"/>
      <c r="P273" s="6">
        <f>IF(D273="","",SUBSTITUTE(SUBSTITUTE(SUBSTITUTE(SUBSTITUTE(SUBSTITUTE(SUBSTITUTE(SUBSTITUTE(TRIM(D273),".",""),"/",""),"-","")," ",""),"(",""),")",""),"+",""))</f>
      </c>
      <c r="Q273" s="6">
        <f>IF(P273="","",IF(LEN(P273)&lt;&gt;14,"ERRO: "&amp;LEN(P273)&amp;" dígitos",IF(NOT(ISNUMBER(VALUE(P273))),"ERRO: não numérico",IF(LEN(SUBSTITUTE(P273,LEFT(P273,1),""))=0,"ERRO: dígitos repetidos",IF(AND(VALUE(MID(P273,13,1))=IF(MOD(SUMPRODUCT(--MID(P273,{1,2,3,4,5,6,7,8,9,10,11,12},1),{5,4,3,2,9,8,7,6,5,4,3,2}),11)&lt;2,0,11-MOD(SUMPRODUCT(--MID(P273,{1,2,3,4,5,6,7,8,9,10,11,12},1),{5,4,3,2,9,8,7,6,5,4,3,2}),11)),VALUE(MID(P273,14,1))=IF(MOD(SUMPRODUCT(--MID(P273,{1,2,3,4,5,6,7,8,9,10,11,12,13},1),{6,5,4,3,2,9,8,7,6,5,4,3,2}),11)&lt;2,0,11-MOD(SUMPRODUCT(--MID(P273,{1,2,3,4,5,6,7,8,9,10,11,12,13},1),{6,5,4,3,2,9,8,7,6,5,4,3,2}),11))),"OK","ERRO: dígito verificador")))))</f>
      </c>
      <c r="R273" s="6">
        <f>IF(P273="","",IF(COUNTIF($P$2:$P$1001,P273)&gt;1,"DUPLICADO","OK"))</f>
      </c>
      <c r="S273" s="6">
        <f>IF(AND(J273="",K273=""),"vazio",IF(AND(OR(J273="",LEN(SUBSTITUTE(SUBSTITUTE(SUBSTITUTE(SUBSTITUTE(SUBSTITUTE(SUBSTITUTE(SUBSTITUTE(TRIM(J273),".",""),"/",""),"-","")," ",""),"(",""),")",""),"+",""))=10,LEN(SUBSTITUTE(SUBSTITUTE(SUBSTITUTE(SUBSTITUTE(SUBSTITUTE(SUBSTITUTE(SUBSTITUTE(TRIM(J273),".",""),"/",""),"-","")," ",""),"(",""),")",""),"+",""))=11),OR(K273="",LEN(SUBSTITUTE(SUBSTITUTE(SUBSTITUTE(SUBSTITUTE(SUBSTITUTE(SUBSTITUTE(SUBSTITUTE(TRIM(K273),".",""),"/",""),"-","")," ",""),"(",""),")",""),"+",""))=10,LEN(SUBSTITUTE(SUBSTITUTE(SUBSTITUTE(SUBSTITUTE(SUBSTITUTE(SUBSTITUTE(SUBSTITUTE(TRIM(K273),".",""),"/",""),"-","")," ",""),"(",""),")",""),"+",""))=11)),"OK","ERRO: use DDD + número (10 ou 11 dígitos)"))</f>
      </c>
      <c r="T273" s="6">
        <f>IF(L273="","vazio",IF(AND(ISNUMBER(FIND("@",L273)),ISNUMBER(FIND(".",MID(L273,FIND("@",L273),99))),NOT(ISNUMBER(FIND(" ",TRIM(L273)))),NOT(ISNUMBER(FIND(";",L273))),NOT(ISNUMBER(FIND(",",L273)))),"OK","ERRO: um e-mail válido por linha"))</f>
      </c>
      <c r="U273" s="6">
        <f>IF(COUNTA(A273:O273)=0,"",IF(AND(B273&lt;&gt;"",C273&lt;&gt;"",D273&lt;&gt;"",E273&lt;&gt;"",H273&lt;&gt;"",OR(J273&lt;&gt;"",L273&lt;&gt;"")),"OK","ERRO: faltam "&amp;IF(B273="","Proprietário; ","")&amp;IF(C273="","Origem; ","")&amp;IF(D273="","CNPJ; ","")&amp;IF(E273="","Razão Social; ","")&amp;IF(H273="","Sobrenome; ","")&amp;IF(AND(J273="",L273=""),"telefone ou e-mail; ","")))</f>
      </c>
      <c r="V273" s="6">
        <f>IF(COUNTA(A273:O273)=0,"",IF(AND(Q273="OK",R273="OK",LEFT(S273,4)&lt;&gt;"ERRO",LEFT(T273,4)&lt;&gt;"ERRO",U273="OK"),"OK","REVISAR"))</f>
      </c>
    </row>
    <row r="274">
      <c r="A274" s="4"/>
      <c r="B274" s="5"/>
      <c r="C274" s="5"/>
      <c r="D274" s="5"/>
      <c r="E274" s="5"/>
      <c r="F274" s="4"/>
      <c r="G274" s="4"/>
      <c r="H274" s="5"/>
      <c r="I274" s="4"/>
      <c r="J274" s="4"/>
      <c r="K274" s="4"/>
      <c r="L274" s="4"/>
      <c r="M274" s="4"/>
      <c r="N274" s="4"/>
      <c r="O274" s="4"/>
      <c r="P274" s="6">
        <f>IF(D274="","",SUBSTITUTE(SUBSTITUTE(SUBSTITUTE(SUBSTITUTE(SUBSTITUTE(SUBSTITUTE(SUBSTITUTE(TRIM(D274),".",""),"/",""),"-","")," ",""),"(",""),")",""),"+",""))</f>
      </c>
      <c r="Q274" s="6">
        <f>IF(P274="","",IF(LEN(P274)&lt;&gt;14,"ERRO: "&amp;LEN(P274)&amp;" dígitos",IF(NOT(ISNUMBER(VALUE(P274))),"ERRO: não numérico",IF(LEN(SUBSTITUTE(P274,LEFT(P274,1),""))=0,"ERRO: dígitos repetidos",IF(AND(VALUE(MID(P274,13,1))=IF(MOD(SUMPRODUCT(--MID(P274,{1,2,3,4,5,6,7,8,9,10,11,12},1),{5,4,3,2,9,8,7,6,5,4,3,2}),11)&lt;2,0,11-MOD(SUMPRODUCT(--MID(P274,{1,2,3,4,5,6,7,8,9,10,11,12},1),{5,4,3,2,9,8,7,6,5,4,3,2}),11)),VALUE(MID(P274,14,1))=IF(MOD(SUMPRODUCT(--MID(P274,{1,2,3,4,5,6,7,8,9,10,11,12,13},1),{6,5,4,3,2,9,8,7,6,5,4,3,2}),11)&lt;2,0,11-MOD(SUMPRODUCT(--MID(P274,{1,2,3,4,5,6,7,8,9,10,11,12,13},1),{6,5,4,3,2,9,8,7,6,5,4,3,2}),11))),"OK","ERRO: dígito verificador")))))</f>
      </c>
      <c r="R274" s="6">
        <f>IF(P274="","",IF(COUNTIF($P$2:$P$1001,P274)&gt;1,"DUPLICADO","OK"))</f>
      </c>
      <c r="S274" s="6">
        <f>IF(AND(J274="",K274=""),"vazio",IF(AND(OR(J274="",LEN(SUBSTITUTE(SUBSTITUTE(SUBSTITUTE(SUBSTITUTE(SUBSTITUTE(SUBSTITUTE(SUBSTITUTE(TRIM(J274),".",""),"/",""),"-","")," ",""),"(",""),")",""),"+",""))=10,LEN(SUBSTITUTE(SUBSTITUTE(SUBSTITUTE(SUBSTITUTE(SUBSTITUTE(SUBSTITUTE(SUBSTITUTE(TRIM(J274),".",""),"/",""),"-","")," ",""),"(",""),")",""),"+",""))=11),OR(K274="",LEN(SUBSTITUTE(SUBSTITUTE(SUBSTITUTE(SUBSTITUTE(SUBSTITUTE(SUBSTITUTE(SUBSTITUTE(TRIM(K274),".",""),"/",""),"-","")," ",""),"(",""),")",""),"+",""))=10,LEN(SUBSTITUTE(SUBSTITUTE(SUBSTITUTE(SUBSTITUTE(SUBSTITUTE(SUBSTITUTE(SUBSTITUTE(TRIM(K274),".",""),"/",""),"-","")," ",""),"(",""),")",""),"+",""))=11)),"OK","ERRO: use DDD + número (10 ou 11 dígitos)"))</f>
      </c>
      <c r="T274" s="6">
        <f>IF(L274="","vazio",IF(AND(ISNUMBER(FIND("@",L274)),ISNUMBER(FIND(".",MID(L274,FIND("@",L274),99))),NOT(ISNUMBER(FIND(" ",TRIM(L274)))),NOT(ISNUMBER(FIND(";",L274))),NOT(ISNUMBER(FIND(",",L274)))),"OK","ERRO: um e-mail válido por linha"))</f>
      </c>
      <c r="U274" s="6">
        <f>IF(COUNTA(A274:O274)=0,"",IF(AND(B274&lt;&gt;"",C274&lt;&gt;"",D274&lt;&gt;"",E274&lt;&gt;"",H274&lt;&gt;"",OR(J274&lt;&gt;"",L274&lt;&gt;"")),"OK","ERRO: faltam "&amp;IF(B274="","Proprietário; ","")&amp;IF(C274="","Origem; ","")&amp;IF(D274="","CNPJ; ","")&amp;IF(E274="","Razão Social; ","")&amp;IF(H274="","Sobrenome; ","")&amp;IF(AND(J274="",L274=""),"telefone ou e-mail; ","")))</f>
      </c>
      <c r="V274" s="6">
        <f>IF(COUNTA(A274:O274)=0,"",IF(AND(Q274="OK",R274="OK",LEFT(S274,4)&lt;&gt;"ERRO",LEFT(T274,4)&lt;&gt;"ERRO",U274="OK"),"OK","REVISAR"))</f>
      </c>
    </row>
    <row r="275">
      <c r="A275" s="4"/>
      <c r="B275" s="5"/>
      <c r="C275" s="5"/>
      <c r="D275" s="5"/>
      <c r="E275" s="5"/>
      <c r="F275" s="4"/>
      <c r="G275" s="4"/>
      <c r="H275" s="5"/>
      <c r="I275" s="4"/>
      <c r="J275" s="4"/>
      <c r="K275" s="4"/>
      <c r="L275" s="4"/>
      <c r="M275" s="4"/>
      <c r="N275" s="4"/>
      <c r="O275" s="4"/>
      <c r="P275" s="6">
        <f>IF(D275="","",SUBSTITUTE(SUBSTITUTE(SUBSTITUTE(SUBSTITUTE(SUBSTITUTE(SUBSTITUTE(SUBSTITUTE(TRIM(D275),".",""),"/",""),"-","")," ",""),"(",""),")",""),"+",""))</f>
      </c>
      <c r="Q275" s="6">
        <f>IF(P275="","",IF(LEN(P275)&lt;&gt;14,"ERRO: "&amp;LEN(P275)&amp;" dígitos",IF(NOT(ISNUMBER(VALUE(P275))),"ERRO: não numérico",IF(LEN(SUBSTITUTE(P275,LEFT(P275,1),""))=0,"ERRO: dígitos repetidos",IF(AND(VALUE(MID(P275,13,1))=IF(MOD(SUMPRODUCT(--MID(P275,{1,2,3,4,5,6,7,8,9,10,11,12},1),{5,4,3,2,9,8,7,6,5,4,3,2}),11)&lt;2,0,11-MOD(SUMPRODUCT(--MID(P275,{1,2,3,4,5,6,7,8,9,10,11,12},1),{5,4,3,2,9,8,7,6,5,4,3,2}),11)),VALUE(MID(P275,14,1))=IF(MOD(SUMPRODUCT(--MID(P275,{1,2,3,4,5,6,7,8,9,10,11,12,13},1),{6,5,4,3,2,9,8,7,6,5,4,3,2}),11)&lt;2,0,11-MOD(SUMPRODUCT(--MID(P275,{1,2,3,4,5,6,7,8,9,10,11,12,13},1),{6,5,4,3,2,9,8,7,6,5,4,3,2}),11))),"OK","ERRO: dígito verificador")))))</f>
      </c>
      <c r="R275" s="6">
        <f>IF(P275="","",IF(COUNTIF($P$2:$P$1001,P275)&gt;1,"DUPLICADO","OK"))</f>
      </c>
      <c r="S275" s="6">
        <f>IF(AND(J275="",K275=""),"vazio",IF(AND(OR(J275="",LEN(SUBSTITUTE(SUBSTITUTE(SUBSTITUTE(SUBSTITUTE(SUBSTITUTE(SUBSTITUTE(SUBSTITUTE(TRIM(J275),".",""),"/",""),"-","")," ",""),"(",""),")",""),"+",""))=10,LEN(SUBSTITUTE(SUBSTITUTE(SUBSTITUTE(SUBSTITUTE(SUBSTITUTE(SUBSTITUTE(SUBSTITUTE(TRIM(J275),".",""),"/",""),"-","")," ",""),"(",""),")",""),"+",""))=11),OR(K275="",LEN(SUBSTITUTE(SUBSTITUTE(SUBSTITUTE(SUBSTITUTE(SUBSTITUTE(SUBSTITUTE(SUBSTITUTE(TRIM(K275),".",""),"/",""),"-","")," ",""),"(",""),")",""),"+",""))=10,LEN(SUBSTITUTE(SUBSTITUTE(SUBSTITUTE(SUBSTITUTE(SUBSTITUTE(SUBSTITUTE(SUBSTITUTE(TRIM(K275),".",""),"/",""),"-","")," ",""),"(",""),")",""),"+",""))=11)),"OK","ERRO: use DDD + número (10 ou 11 dígitos)"))</f>
      </c>
      <c r="T275" s="6">
        <f>IF(L275="","vazio",IF(AND(ISNUMBER(FIND("@",L275)),ISNUMBER(FIND(".",MID(L275,FIND("@",L275),99))),NOT(ISNUMBER(FIND(" ",TRIM(L275)))),NOT(ISNUMBER(FIND(";",L275))),NOT(ISNUMBER(FIND(",",L275)))),"OK","ERRO: um e-mail válido por linha"))</f>
      </c>
      <c r="U275" s="6">
        <f>IF(COUNTA(A275:O275)=0,"",IF(AND(B275&lt;&gt;"",C275&lt;&gt;"",D275&lt;&gt;"",E275&lt;&gt;"",H275&lt;&gt;"",OR(J275&lt;&gt;"",L275&lt;&gt;"")),"OK","ERRO: faltam "&amp;IF(B275="","Proprietário; ","")&amp;IF(C275="","Origem; ","")&amp;IF(D275="","CNPJ; ","")&amp;IF(E275="","Razão Social; ","")&amp;IF(H275="","Sobrenome; ","")&amp;IF(AND(J275="",L275=""),"telefone ou e-mail; ","")))</f>
      </c>
      <c r="V275" s="6">
        <f>IF(COUNTA(A275:O275)=0,"",IF(AND(Q275="OK",R275="OK",LEFT(S275,4)&lt;&gt;"ERRO",LEFT(T275,4)&lt;&gt;"ERRO",U275="OK"),"OK","REVISAR"))</f>
      </c>
    </row>
    <row r="276">
      <c r="A276" s="4"/>
      <c r="B276" s="5"/>
      <c r="C276" s="5"/>
      <c r="D276" s="5"/>
      <c r="E276" s="5"/>
      <c r="F276" s="4"/>
      <c r="G276" s="4"/>
      <c r="H276" s="5"/>
      <c r="I276" s="4"/>
      <c r="J276" s="4"/>
      <c r="K276" s="4"/>
      <c r="L276" s="4"/>
      <c r="M276" s="4"/>
      <c r="N276" s="4"/>
      <c r="O276" s="4"/>
      <c r="P276" s="6">
        <f>IF(D276="","",SUBSTITUTE(SUBSTITUTE(SUBSTITUTE(SUBSTITUTE(SUBSTITUTE(SUBSTITUTE(SUBSTITUTE(TRIM(D276),".",""),"/",""),"-","")," ",""),"(",""),")",""),"+",""))</f>
      </c>
      <c r="Q276" s="6">
        <f>IF(P276="","",IF(LEN(P276)&lt;&gt;14,"ERRO: "&amp;LEN(P276)&amp;" dígitos",IF(NOT(ISNUMBER(VALUE(P276))),"ERRO: não numérico",IF(LEN(SUBSTITUTE(P276,LEFT(P276,1),""))=0,"ERRO: dígitos repetidos",IF(AND(VALUE(MID(P276,13,1))=IF(MOD(SUMPRODUCT(--MID(P276,{1,2,3,4,5,6,7,8,9,10,11,12},1),{5,4,3,2,9,8,7,6,5,4,3,2}),11)&lt;2,0,11-MOD(SUMPRODUCT(--MID(P276,{1,2,3,4,5,6,7,8,9,10,11,12},1),{5,4,3,2,9,8,7,6,5,4,3,2}),11)),VALUE(MID(P276,14,1))=IF(MOD(SUMPRODUCT(--MID(P276,{1,2,3,4,5,6,7,8,9,10,11,12,13},1),{6,5,4,3,2,9,8,7,6,5,4,3,2}),11)&lt;2,0,11-MOD(SUMPRODUCT(--MID(P276,{1,2,3,4,5,6,7,8,9,10,11,12,13},1),{6,5,4,3,2,9,8,7,6,5,4,3,2}),11))),"OK","ERRO: dígito verificador")))))</f>
      </c>
      <c r="R276" s="6">
        <f>IF(P276="","",IF(COUNTIF($P$2:$P$1001,P276)&gt;1,"DUPLICADO","OK"))</f>
      </c>
      <c r="S276" s="6">
        <f>IF(AND(J276="",K276=""),"vazio",IF(AND(OR(J276="",LEN(SUBSTITUTE(SUBSTITUTE(SUBSTITUTE(SUBSTITUTE(SUBSTITUTE(SUBSTITUTE(SUBSTITUTE(TRIM(J276),".",""),"/",""),"-","")," ",""),"(",""),")",""),"+",""))=10,LEN(SUBSTITUTE(SUBSTITUTE(SUBSTITUTE(SUBSTITUTE(SUBSTITUTE(SUBSTITUTE(SUBSTITUTE(TRIM(J276),".",""),"/",""),"-","")," ",""),"(",""),")",""),"+",""))=11),OR(K276="",LEN(SUBSTITUTE(SUBSTITUTE(SUBSTITUTE(SUBSTITUTE(SUBSTITUTE(SUBSTITUTE(SUBSTITUTE(TRIM(K276),".",""),"/",""),"-","")," ",""),"(",""),")",""),"+",""))=10,LEN(SUBSTITUTE(SUBSTITUTE(SUBSTITUTE(SUBSTITUTE(SUBSTITUTE(SUBSTITUTE(SUBSTITUTE(TRIM(K276),".",""),"/",""),"-","")," ",""),"(",""),")",""),"+",""))=11)),"OK","ERRO: use DDD + número (10 ou 11 dígitos)"))</f>
      </c>
      <c r="T276" s="6">
        <f>IF(L276="","vazio",IF(AND(ISNUMBER(FIND("@",L276)),ISNUMBER(FIND(".",MID(L276,FIND("@",L276),99))),NOT(ISNUMBER(FIND(" ",TRIM(L276)))),NOT(ISNUMBER(FIND(";",L276))),NOT(ISNUMBER(FIND(",",L276)))),"OK","ERRO: um e-mail válido por linha"))</f>
      </c>
      <c r="U276" s="6">
        <f>IF(COUNTA(A276:O276)=0,"",IF(AND(B276&lt;&gt;"",C276&lt;&gt;"",D276&lt;&gt;"",E276&lt;&gt;"",H276&lt;&gt;"",OR(J276&lt;&gt;"",L276&lt;&gt;"")),"OK","ERRO: faltam "&amp;IF(B276="","Proprietário; ","")&amp;IF(C276="","Origem; ","")&amp;IF(D276="","CNPJ; ","")&amp;IF(E276="","Razão Social; ","")&amp;IF(H276="","Sobrenome; ","")&amp;IF(AND(J276="",L276=""),"telefone ou e-mail; ","")))</f>
      </c>
      <c r="V276" s="6">
        <f>IF(COUNTA(A276:O276)=0,"",IF(AND(Q276="OK",R276="OK",LEFT(S276,4)&lt;&gt;"ERRO",LEFT(T276,4)&lt;&gt;"ERRO",U276="OK"),"OK","REVISAR"))</f>
      </c>
    </row>
    <row r="277">
      <c r="A277" s="4"/>
      <c r="B277" s="5"/>
      <c r="C277" s="5"/>
      <c r="D277" s="5"/>
      <c r="E277" s="5"/>
      <c r="F277" s="4"/>
      <c r="G277" s="4"/>
      <c r="H277" s="5"/>
      <c r="I277" s="4"/>
      <c r="J277" s="4"/>
      <c r="K277" s="4"/>
      <c r="L277" s="4"/>
      <c r="M277" s="4"/>
      <c r="N277" s="4"/>
      <c r="O277" s="4"/>
      <c r="P277" s="6">
        <f>IF(D277="","",SUBSTITUTE(SUBSTITUTE(SUBSTITUTE(SUBSTITUTE(SUBSTITUTE(SUBSTITUTE(SUBSTITUTE(TRIM(D277),".",""),"/",""),"-","")," ",""),"(",""),")",""),"+",""))</f>
      </c>
      <c r="Q277" s="6">
        <f>IF(P277="","",IF(LEN(P277)&lt;&gt;14,"ERRO: "&amp;LEN(P277)&amp;" dígitos",IF(NOT(ISNUMBER(VALUE(P277))),"ERRO: não numérico",IF(LEN(SUBSTITUTE(P277,LEFT(P277,1),""))=0,"ERRO: dígitos repetidos",IF(AND(VALUE(MID(P277,13,1))=IF(MOD(SUMPRODUCT(--MID(P277,{1,2,3,4,5,6,7,8,9,10,11,12},1),{5,4,3,2,9,8,7,6,5,4,3,2}),11)&lt;2,0,11-MOD(SUMPRODUCT(--MID(P277,{1,2,3,4,5,6,7,8,9,10,11,12},1),{5,4,3,2,9,8,7,6,5,4,3,2}),11)),VALUE(MID(P277,14,1))=IF(MOD(SUMPRODUCT(--MID(P277,{1,2,3,4,5,6,7,8,9,10,11,12,13},1),{6,5,4,3,2,9,8,7,6,5,4,3,2}),11)&lt;2,0,11-MOD(SUMPRODUCT(--MID(P277,{1,2,3,4,5,6,7,8,9,10,11,12,13},1),{6,5,4,3,2,9,8,7,6,5,4,3,2}),11))),"OK","ERRO: dígito verificador")))))</f>
      </c>
      <c r="R277" s="6">
        <f>IF(P277="","",IF(COUNTIF($P$2:$P$1001,P277)&gt;1,"DUPLICADO","OK"))</f>
      </c>
      <c r="S277" s="6">
        <f>IF(AND(J277="",K277=""),"vazio",IF(AND(OR(J277="",LEN(SUBSTITUTE(SUBSTITUTE(SUBSTITUTE(SUBSTITUTE(SUBSTITUTE(SUBSTITUTE(SUBSTITUTE(TRIM(J277),".",""),"/",""),"-","")," ",""),"(",""),")",""),"+",""))=10,LEN(SUBSTITUTE(SUBSTITUTE(SUBSTITUTE(SUBSTITUTE(SUBSTITUTE(SUBSTITUTE(SUBSTITUTE(TRIM(J277),".",""),"/",""),"-","")," ",""),"(",""),")",""),"+",""))=11),OR(K277="",LEN(SUBSTITUTE(SUBSTITUTE(SUBSTITUTE(SUBSTITUTE(SUBSTITUTE(SUBSTITUTE(SUBSTITUTE(TRIM(K277),".",""),"/",""),"-","")," ",""),"(",""),")",""),"+",""))=10,LEN(SUBSTITUTE(SUBSTITUTE(SUBSTITUTE(SUBSTITUTE(SUBSTITUTE(SUBSTITUTE(SUBSTITUTE(TRIM(K277),".",""),"/",""),"-","")," ",""),"(",""),")",""),"+",""))=11)),"OK","ERRO: use DDD + número (10 ou 11 dígitos)"))</f>
      </c>
      <c r="T277" s="6">
        <f>IF(L277="","vazio",IF(AND(ISNUMBER(FIND("@",L277)),ISNUMBER(FIND(".",MID(L277,FIND("@",L277),99))),NOT(ISNUMBER(FIND(" ",TRIM(L277)))),NOT(ISNUMBER(FIND(";",L277))),NOT(ISNUMBER(FIND(",",L277)))),"OK","ERRO: um e-mail válido por linha"))</f>
      </c>
      <c r="U277" s="6">
        <f>IF(COUNTA(A277:O277)=0,"",IF(AND(B277&lt;&gt;"",C277&lt;&gt;"",D277&lt;&gt;"",E277&lt;&gt;"",H277&lt;&gt;"",OR(J277&lt;&gt;"",L277&lt;&gt;"")),"OK","ERRO: faltam "&amp;IF(B277="","Proprietário; ","")&amp;IF(C277="","Origem; ","")&amp;IF(D277="","CNPJ; ","")&amp;IF(E277="","Razão Social; ","")&amp;IF(H277="","Sobrenome; ","")&amp;IF(AND(J277="",L277=""),"telefone ou e-mail; ","")))</f>
      </c>
      <c r="V277" s="6">
        <f>IF(COUNTA(A277:O277)=0,"",IF(AND(Q277="OK",R277="OK",LEFT(S277,4)&lt;&gt;"ERRO",LEFT(T277,4)&lt;&gt;"ERRO",U277="OK"),"OK","REVISAR"))</f>
      </c>
    </row>
    <row r="278">
      <c r="A278" s="4"/>
      <c r="B278" s="5"/>
      <c r="C278" s="5"/>
      <c r="D278" s="5"/>
      <c r="E278" s="5"/>
      <c r="F278" s="4"/>
      <c r="G278" s="4"/>
      <c r="H278" s="5"/>
      <c r="I278" s="4"/>
      <c r="J278" s="4"/>
      <c r="K278" s="4"/>
      <c r="L278" s="4"/>
      <c r="M278" s="4"/>
      <c r="N278" s="4"/>
      <c r="O278" s="4"/>
      <c r="P278" s="6">
        <f>IF(D278="","",SUBSTITUTE(SUBSTITUTE(SUBSTITUTE(SUBSTITUTE(SUBSTITUTE(SUBSTITUTE(SUBSTITUTE(TRIM(D278),".",""),"/",""),"-","")," ",""),"(",""),")",""),"+",""))</f>
      </c>
      <c r="Q278" s="6">
        <f>IF(P278="","",IF(LEN(P278)&lt;&gt;14,"ERRO: "&amp;LEN(P278)&amp;" dígitos",IF(NOT(ISNUMBER(VALUE(P278))),"ERRO: não numérico",IF(LEN(SUBSTITUTE(P278,LEFT(P278,1),""))=0,"ERRO: dígitos repetidos",IF(AND(VALUE(MID(P278,13,1))=IF(MOD(SUMPRODUCT(--MID(P278,{1,2,3,4,5,6,7,8,9,10,11,12},1),{5,4,3,2,9,8,7,6,5,4,3,2}),11)&lt;2,0,11-MOD(SUMPRODUCT(--MID(P278,{1,2,3,4,5,6,7,8,9,10,11,12},1),{5,4,3,2,9,8,7,6,5,4,3,2}),11)),VALUE(MID(P278,14,1))=IF(MOD(SUMPRODUCT(--MID(P278,{1,2,3,4,5,6,7,8,9,10,11,12,13},1),{6,5,4,3,2,9,8,7,6,5,4,3,2}),11)&lt;2,0,11-MOD(SUMPRODUCT(--MID(P278,{1,2,3,4,5,6,7,8,9,10,11,12,13},1),{6,5,4,3,2,9,8,7,6,5,4,3,2}),11))),"OK","ERRO: dígito verificador")))))</f>
      </c>
      <c r="R278" s="6">
        <f>IF(P278="","",IF(COUNTIF($P$2:$P$1001,P278)&gt;1,"DUPLICADO","OK"))</f>
      </c>
      <c r="S278" s="6">
        <f>IF(AND(J278="",K278=""),"vazio",IF(AND(OR(J278="",LEN(SUBSTITUTE(SUBSTITUTE(SUBSTITUTE(SUBSTITUTE(SUBSTITUTE(SUBSTITUTE(SUBSTITUTE(TRIM(J278),".",""),"/",""),"-","")," ",""),"(",""),")",""),"+",""))=10,LEN(SUBSTITUTE(SUBSTITUTE(SUBSTITUTE(SUBSTITUTE(SUBSTITUTE(SUBSTITUTE(SUBSTITUTE(TRIM(J278),".",""),"/",""),"-","")," ",""),"(",""),")",""),"+",""))=11),OR(K278="",LEN(SUBSTITUTE(SUBSTITUTE(SUBSTITUTE(SUBSTITUTE(SUBSTITUTE(SUBSTITUTE(SUBSTITUTE(TRIM(K278),".",""),"/",""),"-","")," ",""),"(",""),")",""),"+",""))=10,LEN(SUBSTITUTE(SUBSTITUTE(SUBSTITUTE(SUBSTITUTE(SUBSTITUTE(SUBSTITUTE(SUBSTITUTE(TRIM(K278),".",""),"/",""),"-","")," ",""),"(",""),")",""),"+",""))=11)),"OK","ERRO: use DDD + número (10 ou 11 dígitos)"))</f>
      </c>
      <c r="T278" s="6">
        <f>IF(L278="","vazio",IF(AND(ISNUMBER(FIND("@",L278)),ISNUMBER(FIND(".",MID(L278,FIND("@",L278),99))),NOT(ISNUMBER(FIND(" ",TRIM(L278)))),NOT(ISNUMBER(FIND(";",L278))),NOT(ISNUMBER(FIND(",",L278)))),"OK","ERRO: um e-mail válido por linha"))</f>
      </c>
      <c r="U278" s="6">
        <f>IF(COUNTA(A278:O278)=0,"",IF(AND(B278&lt;&gt;"",C278&lt;&gt;"",D278&lt;&gt;"",E278&lt;&gt;"",H278&lt;&gt;"",OR(J278&lt;&gt;"",L278&lt;&gt;"")),"OK","ERRO: faltam "&amp;IF(B278="","Proprietário; ","")&amp;IF(C278="","Origem; ","")&amp;IF(D278="","CNPJ; ","")&amp;IF(E278="","Razão Social; ","")&amp;IF(H278="","Sobrenome; ","")&amp;IF(AND(J278="",L278=""),"telefone ou e-mail; ","")))</f>
      </c>
      <c r="V278" s="6">
        <f>IF(COUNTA(A278:O278)=0,"",IF(AND(Q278="OK",R278="OK",LEFT(S278,4)&lt;&gt;"ERRO",LEFT(T278,4)&lt;&gt;"ERRO",U278="OK"),"OK","REVISAR"))</f>
      </c>
    </row>
    <row r="279">
      <c r="A279" s="4"/>
      <c r="B279" s="5"/>
      <c r="C279" s="5"/>
      <c r="D279" s="5"/>
      <c r="E279" s="5"/>
      <c r="F279" s="4"/>
      <c r="G279" s="4"/>
      <c r="H279" s="5"/>
      <c r="I279" s="4"/>
      <c r="J279" s="4"/>
      <c r="K279" s="4"/>
      <c r="L279" s="4"/>
      <c r="M279" s="4"/>
      <c r="N279" s="4"/>
      <c r="O279" s="4"/>
      <c r="P279" s="6">
        <f>IF(D279="","",SUBSTITUTE(SUBSTITUTE(SUBSTITUTE(SUBSTITUTE(SUBSTITUTE(SUBSTITUTE(SUBSTITUTE(TRIM(D279),".",""),"/",""),"-","")," ",""),"(",""),")",""),"+",""))</f>
      </c>
      <c r="Q279" s="6">
        <f>IF(P279="","",IF(LEN(P279)&lt;&gt;14,"ERRO: "&amp;LEN(P279)&amp;" dígitos",IF(NOT(ISNUMBER(VALUE(P279))),"ERRO: não numérico",IF(LEN(SUBSTITUTE(P279,LEFT(P279,1),""))=0,"ERRO: dígitos repetidos",IF(AND(VALUE(MID(P279,13,1))=IF(MOD(SUMPRODUCT(--MID(P279,{1,2,3,4,5,6,7,8,9,10,11,12},1),{5,4,3,2,9,8,7,6,5,4,3,2}),11)&lt;2,0,11-MOD(SUMPRODUCT(--MID(P279,{1,2,3,4,5,6,7,8,9,10,11,12},1),{5,4,3,2,9,8,7,6,5,4,3,2}),11)),VALUE(MID(P279,14,1))=IF(MOD(SUMPRODUCT(--MID(P279,{1,2,3,4,5,6,7,8,9,10,11,12,13},1),{6,5,4,3,2,9,8,7,6,5,4,3,2}),11)&lt;2,0,11-MOD(SUMPRODUCT(--MID(P279,{1,2,3,4,5,6,7,8,9,10,11,12,13},1),{6,5,4,3,2,9,8,7,6,5,4,3,2}),11))),"OK","ERRO: dígito verificador")))))</f>
      </c>
      <c r="R279" s="6">
        <f>IF(P279="","",IF(COUNTIF($P$2:$P$1001,P279)&gt;1,"DUPLICADO","OK"))</f>
      </c>
      <c r="S279" s="6">
        <f>IF(AND(J279="",K279=""),"vazio",IF(AND(OR(J279="",LEN(SUBSTITUTE(SUBSTITUTE(SUBSTITUTE(SUBSTITUTE(SUBSTITUTE(SUBSTITUTE(SUBSTITUTE(TRIM(J279),".",""),"/",""),"-","")," ",""),"(",""),")",""),"+",""))=10,LEN(SUBSTITUTE(SUBSTITUTE(SUBSTITUTE(SUBSTITUTE(SUBSTITUTE(SUBSTITUTE(SUBSTITUTE(TRIM(J279),".",""),"/",""),"-","")," ",""),"(",""),")",""),"+",""))=11),OR(K279="",LEN(SUBSTITUTE(SUBSTITUTE(SUBSTITUTE(SUBSTITUTE(SUBSTITUTE(SUBSTITUTE(SUBSTITUTE(TRIM(K279),".",""),"/",""),"-","")," ",""),"(",""),")",""),"+",""))=10,LEN(SUBSTITUTE(SUBSTITUTE(SUBSTITUTE(SUBSTITUTE(SUBSTITUTE(SUBSTITUTE(SUBSTITUTE(TRIM(K279),".",""),"/",""),"-","")," ",""),"(",""),")",""),"+",""))=11)),"OK","ERRO: use DDD + número (10 ou 11 dígitos)"))</f>
      </c>
      <c r="T279" s="6">
        <f>IF(L279="","vazio",IF(AND(ISNUMBER(FIND("@",L279)),ISNUMBER(FIND(".",MID(L279,FIND("@",L279),99))),NOT(ISNUMBER(FIND(" ",TRIM(L279)))),NOT(ISNUMBER(FIND(";",L279))),NOT(ISNUMBER(FIND(",",L279)))),"OK","ERRO: um e-mail válido por linha"))</f>
      </c>
      <c r="U279" s="6">
        <f>IF(COUNTA(A279:O279)=0,"",IF(AND(B279&lt;&gt;"",C279&lt;&gt;"",D279&lt;&gt;"",E279&lt;&gt;"",H279&lt;&gt;"",OR(J279&lt;&gt;"",L279&lt;&gt;"")),"OK","ERRO: faltam "&amp;IF(B279="","Proprietário; ","")&amp;IF(C279="","Origem; ","")&amp;IF(D279="","CNPJ; ","")&amp;IF(E279="","Razão Social; ","")&amp;IF(H279="","Sobrenome; ","")&amp;IF(AND(J279="",L279=""),"telefone ou e-mail; ","")))</f>
      </c>
      <c r="V279" s="6">
        <f>IF(COUNTA(A279:O279)=0,"",IF(AND(Q279="OK",R279="OK",LEFT(S279,4)&lt;&gt;"ERRO",LEFT(T279,4)&lt;&gt;"ERRO",U279="OK"),"OK","REVISAR"))</f>
      </c>
    </row>
    <row r="280">
      <c r="A280" s="4"/>
      <c r="B280" s="5"/>
      <c r="C280" s="5"/>
      <c r="D280" s="5"/>
      <c r="E280" s="5"/>
      <c r="F280" s="4"/>
      <c r="G280" s="4"/>
      <c r="H280" s="5"/>
      <c r="I280" s="4"/>
      <c r="J280" s="4"/>
      <c r="K280" s="4"/>
      <c r="L280" s="4"/>
      <c r="M280" s="4"/>
      <c r="N280" s="4"/>
      <c r="O280" s="4"/>
      <c r="P280" s="6">
        <f>IF(D280="","",SUBSTITUTE(SUBSTITUTE(SUBSTITUTE(SUBSTITUTE(SUBSTITUTE(SUBSTITUTE(SUBSTITUTE(TRIM(D280),".",""),"/",""),"-","")," ",""),"(",""),")",""),"+",""))</f>
      </c>
      <c r="Q280" s="6">
        <f>IF(P280="","",IF(LEN(P280)&lt;&gt;14,"ERRO: "&amp;LEN(P280)&amp;" dígitos",IF(NOT(ISNUMBER(VALUE(P280))),"ERRO: não numérico",IF(LEN(SUBSTITUTE(P280,LEFT(P280,1),""))=0,"ERRO: dígitos repetidos",IF(AND(VALUE(MID(P280,13,1))=IF(MOD(SUMPRODUCT(--MID(P280,{1,2,3,4,5,6,7,8,9,10,11,12},1),{5,4,3,2,9,8,7,6,5,4,3,2}),11)&lt;2,0,11-MOD(SUMPRODUCT(--MID(P280,{1,2,3,4,5,6,7,8,9,10,11,12},1),{5,4,3,2,9,8,7,6,5,4,3,2}),11)),VALUE(MID(P280,14,1))=IF(MOD(SUMPRODUCT(--MID(P280,{1,2,3,4,5,6,7,8,9,10,11,12,13},1),{6,5,4,3,2,9,8,7,6,5,4,3,2}),11)&lt;2,0,11-MOD(SUMPRODUCT(--MID(P280,{1,2,3,4,5,6,7,8,9,10,11,12,13},1),{6,5,4,3,2,9,8,7,6,5,4,3,2}),11))),"OK","ERRO: dígito verificador")))))</f>
      </c>
      <c r="R280" s="6">
        <f>IF(P280="","",IF(COUNTIF($P$2:$P$1001,P280)&gt;1,"DUPLICADO","OK"))</f>
      </c>
      <c r="S280" s="6">
        <f>IF(AND(J280="",K280=""),"vazio",IF(AND(OR(J280="",LEN(SUBSTITUTE(SUBSTITUTE(SUBSTITUTE(SUBSTITUTE(SUBSTITUTE(SUBSTITUTE(SUBSTITUTE(TRIM(J280),".",""),"/",""),"-","")," ",""),"(",""),")",""),"+",""))=10,LEN(SUBSTITUTE(SUBSTITUTE(SUBSTITUTE(SUBSTITUTE(SUBSTITUTE(SUBSTITUTE(SUBSTITUTE(TRIM(J280),".",""),"/",""),"-","")," ",""),"(",""),")",""),"+",""))=11),OR(K280="",LEN(SUBSTITUTE(SUBSTITUTE(SUBSTITUTE(SUBSTITUTE(SUBSTITUTE(SUBSTITUTE(SUBSTITUTE(TRIM(K280),".",""),"/",""),"-","")," ",""),"(",""),")",""),"+",""))=10,LEN(SUBSTITUTE(SUBSTITUTE(SUBSTITUTE(SUBSTITUTE(SUBSTITUTE(SUBSTITUTE(SUBSTITUTE(TRIM(K280),".",""),"/",""),"-","")," ",""),"(",""),")",""),"+",""))=11)),"OK","ERRO: use DDD + número (10 ou 11 dígitos)"))</f>
      </c>
      <c r="T280" s="6">
        <f>IF(L280="","vazio",IF(AND(ISNUMBER(FIND("@",L280)),ISNUMBER(FIND(".",MID(L280,FIND("@",L280),99))),NOT(ISNUMBER(FIND(" ",TRIM(L280)))),NOT(ISNUMBER(FIND(";",L280))),NOT(ISNUMBER(FIND(",",L280)))),"OK","ERRO: um e-mail válido por linha"))</f>
      </c>
      <c r="U280" s="6">
        <f>IF(COUNTA(A280:O280)=0,"",IF(AND(B280&lt;&gt;"",C280&lt;&gt;"",D280&lt;&gt;"",E280&lt;&gt;"",H280&lt;&gt;"",OR(J280&lt;&gt;"",L280&lt;&gt;"")),"OK","ERRO: faltam "&amp;IF(B280="","Proprietário; ","")&amp;IF(C280="","Origem; ","")&amp;IF(D280="","CNPJ; ","")&amp;IF(E280="","Razão Social; ","")&amp;IF(H280="","Sobrenome; ","")&amp;IF(AND(J280="",L280=""),"telefone ou e-mail; ","")))</f>
      </c>
      <c r="V280" s="6">
        <f>IF(COUNTA(A280:O280)=0,"",IF(AND(Q280="OK",R280="OK",LEFT(S280,4)&lt;&gt;"ERRO",LEFT(T280,4)&lt;&gt;"ERRO",U280="OK"),"OK","REVISAR"))</f>
      </c>
    </row>
    <row r="281">
      <c r="A281" s="4"/>
      <c r="B281" s="5"/>
      <c r="C281" s="5"/>
      <c r="D281" s="5"/>
      <c r="E281" s="5"/>
      <c r="F281" s="4"/>
      <c r="G281" s="4"/>
      <c r="H281" s="5"/>
      <c r="I281" s="4"/>
      <c r="J281" s="4"/>
      <c r="K281" s="4"/>
      <c r="L281" s="4"/>
      <c r="M281" s="4"/>
      <c r="N281" s="4"/>
      <c r="O281" s="4"/>
      <c r="P281" s="6">
        <f>IF(D281="","",SUBSTITUTE(SUBSTITUTE(SUBSTITUTE(SUBSTITUTE(SUBSTITUTE(SUBSTITUTE(SUBSTITUTE(TRIM(D281),".",""),"/",""),"-","")," ",""),"(",""),")",""),"+",""))</f>
      </c>
      <c r="Q281" s="6">
        <f>IF(P281="","",IF(LEN(P281)&lt;&gt;14,"ERRO: "&amp;LEN(P281)&amp;" dígitos",IF(NOT(ISNUMBER(VALUE(P281))),"ERRO: não numérico",IF(LEN(SUBSTITUTE(P281,LEFT(P281,1),""))=0,"ERRO: dígitos repetidos",IF(AND(VALUE(MID(P281,13,1))=IF(MOD(SUMPRODUCT(--MID(P281,{1,2,3,4,5,6,7,8,9,10,11,12},1),{5,4,3,2,9,8,7,6,5,4,3,2}),11)&lt;2,0,11-MOD(SUMPRODUCT(--MID(P281,{1,2,3,4,5,6,7,8,9,10,11,12},1),{5,4,3,2,9,8,7,6,5,4,3,2}),11)),VALUE(MID(P281,14,1))=IF(MOD(SUMPRODUCT(--MID(P281,{1,2,3,4,5,6,7,8,9,10,11,12,13},1),{6,5,4,3,2,9,8,7,6,5,4,3,2}),11)&lt;2,0,11-MOD(SUMPRODUCT(--MID(P281,{1,2,3,4,5,6,7,8,9,10,11,12,13},1),{6,5,4,3,2,9,8,7,6,5,4,3,2}),11))),"OK","ERRO: dígito verificador")))))</f>
      </c>
      <c r="R281" s="6">
        <f>IF(P281="","",IF(COUNTIF($P$2:$P$1001,P281)&gt;1,"DUPLICADO","OK"))</f>
      </c>
      <c r="S281" s="6">
        <f>IF(AND(J281="",K281=""),"vazio",IF(AND(OR(J281="",LEN(SUBSTITUTE(SUBSTITUTE(SUBSTITUTE(SUBSTITUTE(SUBSTITUTE(SUBSTITUTE(SUBSTITUTE(TRIM(J281),".",""),"/",""),"-","")," ",""),"(",""),")",""),"+",""))=10,LEN(SUBSTITUTE(SUBSTITUTE(SUBSTITUTE(SUBSTITUTE(SUBSTITUTE(SUBSTITUTE(SUBSTITUTE(TRIM(J281),".",""),"/",""),"-","")," ",""),"(",""),")",""),"+",""))=11),OR(K281="",LEN(SUBSTITUTE(SUBSTITUTE(SUBSTITUTE(SUBSTITUTE(SUBSTITUTE(SUBSTITUTE(SUBSTITUTE(TRIM(K281),".",""),"/",""),"-","")," ",""),"(",""),")",""),"+",""))=10,LEN(SUBSTITUTE(SUBSTITUTE(SUBSTITUTE(SUBSTITUTE(SUBSTITUTE(SUBSTITUTE(SUBSTITUTE(TRIM(K281),".",""),"/",""),"-","")," ",""),"(",""),")",""),"+",""))=11)),"OK","ERRO: use DDD + número (10 ou 11 dígitos)"))</f>
      </c>
      <c r="T281" s="6">
        <f>IF(L281="","vazio",IF(AND(ISNUMBER(FIND("@",L281)),ISNUMBER(FIND(".",MID(L281,FIND("@",L281),99))),NOT(ISNUMBER(FIND(" ",TRIM(L281)))),NOT(ISNUMBER(FIND(";",L281))),NOT(ISNUMBER(FIND(",",L281)))),"OK","ERRO: um e-mail válido por linha"))</f>
      </c>
      <c r="U281" s="6">
        <f>IF(COUNTA(A281:O281)=0,"",IF(AND(B281&lt;&gt;"",C281&lt;&gt;"",D281&lt;&gt;"",E281&lt;&gt;"",H281&lt;&gt;"",OR(J281&lt;&gt;"",L281&lt;&gt;"")),"OK","ERRO: faltam "&amp;IF(B281="","Proprietário; ","")&amp;IF(C281="","Origem; ","")&amp;IF(D281="","CNPJ; ","")&amp;IF(E281="","Razão Social; ","")&amp;IF(H281="","Sobrenome; ","")&amp;IF(AND(J281="",L281=""),"telefone ou e-mail; ","")))</f>
      </c>
      <c r="V281" s="6">
        <f>IF(COUNTA(A281:O281)=0,"",IF(AND(Q281="OK",R281="OK",LEFT(S281,4)&lt;&gt;"ERRO",LEFT(T281,4)&lt;&gt;"ERRO",U281="OK"),"OK","REVISAR"))</f>
      </c>
    </row>
    <row r="282">
      <c r="A282" s="4"/>
      <c r="B282" s="5"/>
      <c r="C282" s="5"/>
      <c r="D282" s="5"/>
      <c r="E282" s="5"/>
      <c r="F282" s="4"/>
      <c r="G282" s="4"/>
      <c r="H282" s="5"/>
      <c r="I282" s="4"/>
      <c r="J282" s="4"/>
      <c r="K282" s="4"/>
      <c r="L282" s="4"/>
      <c r="M282" s="4"/>
      <c r="N282" s="4"/>
      <c r="O282" s="4"/>
      <c r="P282" s="6">
        <f>IF(D282="","",SUBSTITUTE(SUBSTITUTE(SUBSTITUTE(SUBSTITUTE(SUBSTITUTE(SUBSTITUTE(SUBSTITUTE(TRIM(D282),".",""),"/",""),"-","")," ",""),"(",""),")",""),"+",""))</f>
      </c>
      <c r="Q282" s="6">
        <f>IF(P282="","",IF(LEN(P282)&lt;&gt;14,"ERRO: "&amp;LEN(P282)&amp;" dígitos",IF(NOT(ISNUMBER(VALUE(P282))),"ERRO: não numérico",IF(LEN(SUBSTITUTE(P282,LEFT(P282,1),""))=0,"ERRO: dígitos repetidos",IF(AND(VALUE(MID(P282,13,1))=IF(MOD(SUMPRODUCT(--MID(P282,{1,2,3,4,5,6,7,8,9,10,11,12},1),{5,4,3,2,9,8,7,6,5,4,3,2}),11)&lt;2,0,11-MOD(SUMPRODUCT(--MID(P282,{1,2,3,4,5,6,7,8,9,10,11,12},1),{5,4,3,2,9,8,7,6,5,4,3,2}),11)),VALUE(MID(P282,14,1))=IF(MOD(SUMPRODUCT(--MID(P282,{1,2,3,4,5,6,7,8,9,10,11,12,13},1),{6,5,4,3,2,9,8,7,6,5,4,3,2}),11)&lt;2,0,11-MOD(SUMPRODUCT(--MID(P282,{1,2,3,4,5,6,7,8,9,10,11,12,13},1),{6,5,4,3,2,9,8,7,6,5,4,3,2}),11))),"OK","ERRO: dígito verificador")))))</f>
      </c>
      <c r="R282" s="6">
        <f>IF(P282="","",IF(COUNTIF($P$2:$P$1001,P282)&gt;1,"DUPLICADO","OK"))</f>
      </c>
      <c r="S282" s="6">
        <f>IF(AND(J282="",K282=""),"vazio",IF(AND(OR(J282="",LEN(SUBSTITUTE(SUBSTITUTE(SUBSTITUTE(SUBSTITUTE(SUBSTITUTE(SUBSTITUTE(SUBSTITUTE(TRIM(J282),".",""),"/",""),"-","")," ",""),"(",""),")",""),"+",""))=10,LEN(SUBSTITUTE(SUBSTITUTE(SUBSTITUTE(SUBSTITUTE(SUBSTITUTE(SUBSTITUTE(SUBSTITUTE(TRIM(J282),".",""),"/",""),"-","")," ",""),"(",""),")",""),"+",""))=11),OR(K282="",LEN(SUBSTITUTE(SUBSTITUTE(SUBSTITUTE(SUBSTITUTE(SUBSTITUTE(SUBSTITUTE(SUBSTITUTE(TRIM(K282),".",""),"/",""),"-","")," ",""),"(",""),")",""),"+",""))=10,LEN(SUBSTITUTE(SUBSTITUTE(SUBSTITUTE(SUBSTITUTE(SUBSTITUTE(SUBSTITUTE(SUBSTITUTE(TRIM(K282),".",""),"/",""),"-","")," ",""),"(",""),")",""),"+",""))=11)),"OK","ERRO: use DDD + número (10 ou 11 dígitos)"))</f>
      </c>
      <c r="T282" s="6">
        <f>IF(L282="","vazio",IF(AND(ISNUMBER(FIND("@",L282)),ISNUMBER(FIND(".",MID(L282,FIND("@",L282),99))),NOT(ISNUMBER(FIND(" ",TRIM(L282)))),NOT(ISNUMBER(FIND(";",L282))),NOT(ISNUMBER(FIND(",",L282)))),"OK","ERRO: um e-mail válido por linha"))</f>
      </c>
      <c r="U282" s="6">
        <f>IF(COUNTA(A282:O282)=0,"",IF(AND(B282&lt;&gt;"",C282&lt;&gt;"",D282&lt;&gt;"",E282&lt;&gt;"",H282&lt;&gt;"",OR(J282&lt;&gt;"",L282&lt;&gt;"")),"OK","ERRO: faltam "&amp;IF(B282="","Proprietário; ","")&amp;IF(C282="","Origem; ","")&amp;IF(D282="","CNPJ; ","")&amp;IF(E282="","Razão Social; ","")&amp;IF(H282="","Sobrenome; ","")&amp;IF(AND(J282="",L282=""),"telefone ou e-mail; ","")))</f>
      </c>
      <c r="V282" s="6">
        <f>IF(COUNTA(A282:O282)=0,"",IF(AND(Q282="OK",R282="OK",LEFT(S282,4)&lt;&gt;"ERRO",LEFT(T282,4)&lt;&gt;"ERRO",U282="OK"),"OK","REVISAR"))</f>
      </c>
    </row>
    <row r="283">
      <c r="A283" s="4"/>
      <c r="B283" s="5"/>
      <c r="C283" s="5"/>
      <c r="D283" s="5"/>
      <c r="E283" s="5"/>
      <c r="F283" s="4"/>
      <c r="G283" s="4"/>
      <c r="H283" s="5"/>
      <c r="I283" s="4"/>
      <c r="J283" s="4"/>
      <c r="K283" s="4"/>
      <c r="L283" s="4"/>
      <c r="M283" s="4"/>
      <c r="N283" s="4"/>
      <c r="O283" s="4"/>
      <c r="P283" s="6">
        <f>IF(D283="","",SUBSTITUTE(SUBSTITUTE(SUBSTITUTE(SUBSTITUTE(SUBSTITUTE(SUBSTITUTE(SUBSTITUTE(TRIM(D283),".",""),"/",""),"-","")," ",""),"(",""),")",""),"+",""))</f>
      </c>
      <c r="Q283" s="6">
        <f>IF(P283="","",IF(LEN(P283)&lt;&gt;14,"ERRO: "&amp;LEN(P283)&amp;" dígitos",IF(NOT(ISNUMBER(VALUE(P283))),"ERRO: não numérico",IF(LEN(SUBSTITUTE(P283,LEFT(P283,1),""))=0,"ERRO: dígitos repetidos",IF(AND(VALUE(MID(P283,13,1))=IF(MOD(SUMPRODUCT(--MID(P283,{1,2,3,4,5,6,7,8,9,10,11,12},1),{5,4,3,2,9,8,7,6,5,4,3,2}),11)&lt;2,0,11-MOD(SUMPRODUCT(--MID(P283,{1,2,3,4,5,6,7,8,9,10,11,12},1),{5,4,3,2,9,8,7,6,5,4,3,2}),11)),VALUE(MID(P283,14,1))=IF(MOD(SUMPRODUCT(--MID(P283,{1,2,3,4,5,6,7,8,9,10,11,12,13},1),{6,5,4,3,2,9,8,7,6,5,4,3,2}),11)&lt;2,0,11-MOD(SUMPRODUCT(--MID(P283,{1,2,3,4,5,6,7,8,9,10,11,12,13},1),{6,5,4,3,2,9,8,7,6,5,4,3,2}),11))),"OK","ERRO: dígito verificador")))))</f>
      </c>
      <c r="R283" s="6">
        <f>IF(P283="","",IF(COUNTIF($P$2:$P$1001,P283)&gt;1,"DUPLICADO","OK"))</f>
      </c>
      <c r="S283" s="6">
        <f>IF(AND(J283="",K283=""),"vazio",IF(AND(OR(J283="",LEN(SUBSTITUTE(SUBSTITUTE(SUBSTITUTE(SUBSTITUTE(SUBSTITUTE(SUBSTITUTE(SUBSTITUTE(TRIM(J283),".",""),"/",""),"-","")," ",""),"(",""),")",""),"+",""))=10,LEN(SUBSTITUTE(SUBSTITUTE(SUBSTITUTE(SUBSTITUTE(SUBSTITUTE(SUBSTITUTE(SUBSTITUTE(TRIM(J283),".",""),"/",""),"-","")," ",""),"(",""),")",""),"+",""))=11),OR(K283="",LEN(SUBSTITUTE(SUBSTITUTE(SUBSTITUTE(SUBSTITUTE(SUBSTITUTE(SUBSTITUTE(SUBSTITUTE(TRIM(K283),".",""),"/",""),"-","")," ",""),"(",""),")",""),"+",""))=10,LEN(SUBSTITUTE(SUBSTITUTE(SUBSTITUTE(SUBSTITUTE(SUBSTITUTE(SUBSTITUTE(SUBSTITUTE(TRIM(K283),".",""),"/",""),"-","")," ",""),"(",""),")",""),"+",""))=11)),"OK","ERRO: use DDD + número (10 ou 11 dígitos)"))</f>
      </c>
      <c r="T283" s="6">
        <f>IF(L283="","vazio",IF(AND(ISNUMBER(FIND("@",L283)),ISNUMBER(FIND(".",MID(L283,FIND("@",L283),99))),NOT(ISNUMBER(FIND(" ",TRIM(L283)))),NOT(ISNUMBER(FIND(";",L283))),NOT(ISNUMBER(FIND(",",L283)))),"OK","ERRO: um e-mail válido por linha"))</f>
      </c>
      <c r="U283" s="6">
        <f>IF(COUNTA(A283:O283)=0,"",IF(AND(B283&lt;&gt;"",C283&lt;&gt;"",D283&lt;&gt;"",E283&lt;&gt;"",H283&lt;&gt;"",OR(J283&lt;&gt;"",L283&lt;&gt;"")),"OK","ERRO: faltam "&amp;IF(B283="","Proprietário; ","")&amp;IF(C283="","Origem; ","")&amp;IF(D283="","CNPJ; ","")&amp;IF(E283="","Razão Social; ","")&amp;IF(H283="","Sobrenome; ","")&amp;IF(AND(J283="",L283=""),"telefone ou e-mail; ","")))</f>
      </c>
      <c r="V283" s="6">
        <f>IF(COUNTA(A283:O283)=0,"",IF(AND(Q283="OK",R283="OK",LEFT(S283,4)&lt;&gt;"ERRO",LEFT(T283,4)&lt;&gt;"ERRO",U283="OK"),"OK","REVISAR"))</f>
      </c>
    </row>
    <row r="284">
      <c r="A284" s="4"/>
      <c r="B284" s="5"/>
      <c r="C284" s="5"/>
      <c r="D284" s="5"/>
      <c r="E284" s="5"/>
      <c r="F284" s="4"/>
      <c r="G284" s="4"/>
      <c r="H284" s="5"/>
      <c r="I284" s="4"/>
      <c r="J284" s="4"/>
      <c r="K284" s="4"/>
      <c r="L284" s="4"/>
      <c r="M284" s="4"/>
      <c r="N284" s="4"/>
      <c r="O284" s="4"/>
      <c r="P284" s="6">
        <f>IF(D284="","",SUBSTITUTE(SUBSTITUTE(SUBSTITUTE(SUBSTITUTE(SUBSTITUTE(SUBSTITUTE(SUBSTITUTE(TRIM(D284),".",""),"/",""),"-","")," ",""),"(",""),")",""),"+",""))</f>
      </c>
      <c r="Q284" s="6">
        <f>IF(P284="","",IF(LEN(P284)&lt;&gt;14,"ERRO: "&amp;LEN(P284)&amp;" dígitos",IF(NOT(ISNUMBER(VALUE(P284))),"ERRO: não numérico",IF(LEN(SUBSTITUTE(P284,LEFT(P284,1),""))=0,"ERRO: dígitos repetidos",IF(AND(VALUE(MID(P284,13,1))=IF(MOD(SUMPRODUCT(--MID(P284,{1,2,3,4,5,6,7,8,9,10,11,12},1),{5,4,3,2,9,8,7,6,5,4,3,2}),11)&lt;2,0,11-MOD(SUMPRODUCT(--MID(P284,{1,2,3,4,5,6,7,8,9,10,11,12},1),{5,4,3,2,9,8,7,6,5,4,3,2}),11)),VALUE(MID(P284,14,1))=IF(MOD(SUMPRODUCT(--MID(P284,{1,2,3,4,5,6,7,8,9,10,11,12,13},1),{6,5,4,3,2,9,8,7,6,5,4,3,2}),11)&lt;2,0,11-MOD(SUMPRODUCT(--MID(P284,{1,2,3,4,5,6,7,8,9,10,11,12,13},1),{6,5,4,3,2,9,8,7,6,5,4,3,2}),11))),"OK","ERRO: dígito verificador")))))</f>
      </c>
      <c r="R284" s="6">
        <f>IF(P284="","",IF(COUNTIF($P$2:$P$1001,P284)&gt;1,"DUPLICADO","OK"))</f>
      </c>
      <c r="S284" s="6">
        <f>IF(AND(J284="",K284=""),"vazio",IF(AND(OR(J284="",LEN(SUBSTITUTE(SUBSTITUTE(SUBSTITUTE(SUBSTITUTE(SUBSTITUTE(SUBSTITUTE(SUBSTITUTE(TRIM(J284),".",""),"/",""),"-","")," ",""),"(",""),")",""),"+",""))=10,LEN(SUBSTITUTE(SUBSTITUTE(SUBSTITUTE(SUBSTITUTE(SUBSTITUTE(SUBSTITUTE(SUBSTITUTE(TRIM(J284),".",""),"/",""),"-","")," ",""),"(",""),")",""),"+",""))=11),OR(K284="",LEN(SUBSTITUTE(SUBSTITUTE(SUBSTITUTE(SUBSTITUTE(SUBSTITUTE(SUBSTITUTE(SUBSTITUTE(TRIM(K284),".",""),"/",""),"-","")," ",""),"(",""),")",""),"+",""))=10,LEN(SUBSTITUTE(SUBSTITUTE(SUBSTITUTE(SUBSTITUTE(SUBSTITUTE(SUBSTITUTE(SUBSTITUTE(TRIM(K284),".",""),"/",""),"-","")," ",""),"(",""),")",""),"+",""))=11)),"OK","ERRO: use DDD + número (10 ou 11 dígitos)"))</f>
      </c>
      <c r="T284" s="6">
        <f>IF(L284="","vazio",IF(AND(ISNUMBER(FIND("@",L284)),ISNUMBER(FIND(".",MID(L284,FIND("@",L284),99))),NOT(ISNUMBER(FIND(" ",TRIM(L284)))),NOT(ISNUMBER(FIND(";",L284))),NOT(ISNUMBER(FIND(",",L284)))),"OK","ERRO: um e-mail válido por linha"))</f>
      </c>
      <c r="U284" s="6">
        <f>IF(COUNTA(A284:O284)=0,"",IF(AND(B284&lt;&gt;"",C284&lt;&gt;"",D284&lt;&gt;"",E284&lt;&gt;"",H284&lt;&gt;"",OR(J284&lt;&gt;"",L284&lt;&gt;"")),"OK","ERRO: faltam "&amp;IF(B284="","Proprietário; ","")&amp;IF(C284="","Origem; ","")&amp;IF(D284="","CNPJ; ","")&amp;IF(E284="","Razão Social; ","")&amp;IF(H284="","Sobrenome; ","")&amp;IF(AND(J284="",L284=""),"telefone ou e-mail; ","")))</f>
      </c>
      <c r="V284" s="6">
        <f>IF(COUNTA(A284:O284)=0,"",IF(AND(Q284="OK",R284="OK",LEFT(S284,4)&lt;&gt;"ERRO",LEFT(T284,4)&lt;&gt;"ERRO",U284="OK"),"OK","REVISAR"))</f>
      </c>
    </row>
    <row r="285">
      <c r="A285" s="4"/>
      <c r="B285" s="5"/>
      <c r="C285" s="5"/>
      <c r="D285" s="5"/>
      <c r="E285" s="5"/>
      <c r="F285" s="4"/>
      <c r="G285" s="4"/>
      <c r="H285" s="5"/>
      <c r="I285" s="4"/>
      <c r="J285" s="4"/>
      <c r="K285" s="4"/>
      <c r="L285" s="4"/>
      <c r="M285" s="4"/>
      <c r="N285" s="4"/>
      <c r="O285" s="4"/>
      <c r="P285" s="6">
        <f>IF(D285="","",SUBSTITUTE(SUBSTITUTE(SUBSTITUTE(SUBSTITUTE(SUBSTITUTE(SUBSTITUTE(SUBSTITUTE(TRIM(D285),".",""),"/",""),"-","")," ",""),"(",""),")",""),"+",""))</f>
      </c>
      <c r="Q285" s="6">
        <f>IF(P285="","",IF(LEN(P285)&lt;&gt;14,"ERRO: "&amp;LEN(P285)&amp;" dígitos",IF(NOT(ISNUMBER(VALUE(P285))),"ERRO: não numérico",IF(LEN(SUBSTITUTE(P285,LEFT(P285,1),""))=0,"ERRO: dígitos repetidos",IF(AND(VALUE(MID(P285,13,1))=IF(MOD(SUMPRODUCT(--MID(P285,{1,2,3,4,5,6,7,8,9,10,11,12},1),{5,4,3,2,9,8,7,6,5,4,3,2}),11)&lt;2,0,11-MOD(SUMPRODUCT(--MID(P285,{1,2,3,4,5,6,7,8,9,10,11,12},1),{5,4,3,2,9,8,7,6,5,4,3,2}),11)),VALUE(MID(P285,14,1))=IF(MOD(SUMPRODUCT(--MID(P285,{1,2,3,4,5,6,7,8,9,10,11,12,13},1),{6,5,4,3,2,9,8,7,6,5,4,3,2}),11)&lt;2,0,11-MOD(SUMPRODUCT(--MID(P285,{1,2,3,4,5,6,7,8,9,10,11,12,13},1),{6,5,4,3,2,9,8,7,6,5,4,3,2}),11))),"OK","ERRO: dígito verificador")))))</f>
      </c>
      <c r="R285" s="6">
        <f>IF(P285="","",IF(COUNTIF($P$2:$P$1001,P285)&gt;1,"DUPLICADO","OK"))</f>
      </c>
      <c r="S285" s="6">
        <f>IF(AND(J285="",K285=""),"vazio",IF(AND(OR(J285="",LEN(SUBSTITUTE(SUBSTITUTE(SUBSTITUTE(SUBSTITUTE(SUBSTITUTE(SUBSTITUTE(SUBSTITUTE(TRIM(J285),".",""),"/",""),"-","")," ",""),"(",""),")",""),"+",""))=10,LEN(SUBSTITUTE(SUBSTITUTE(SUBSTITUTE(SUBSTITUTE(SUBSTITUTE(SUBSTITUTE(SUBSTITUTE(TRIM(J285),".",""),"/",""),"-","")," ",""),"(",""),")",""),"+",""))=11),OR(K285="",LEN(SUBSTITUTE(SUBSTITUTE(SUBSTITUTE(SUBSTITUTE(SUBSTITUTE(SUBSTITUTE(SUBSTITUTE(TRIM(K285),".",""),"/",""),"-","")," ",""),"(",""),")",""),"+",""))=10,LEN(SUBSTITUTE(SUBSTITUTE(SUBSTITUTE(SUBSTITUTE(SUBSTITUTE(SUBSTITUTE(SUBSTITUTE(TRIM(K285),".",""),"/",""),"-","")," ",""),"(",""),")",""),"+",""))=11)),"OK","ERRO: use DDD + número (10 ou 11 dígitos)"))</f>
      </c>
      <c r="T285" s="6">
        <f>IF(L285="","vazio",IF(AND(ISNUMBER(FIND("@",L285)),ISNUMBER(FIND(".",MID(L285,FIND("@",L285),99))),NOT(ISNUMBER(FIND(" ",TRIM(L285)))),NOT(ISNUMBER(FIND(";",L285))),NOT(ISNUMBER(FIND(",",L285)))),"OK","ERRO: um e-mail válido por linha"))</f>
      </c>
      <c r="U285" s="6">
        <f>IF(COUNTA(A285:O285)=0,"",IF(AND(B285&lt;&gt;"",C285&lt;&gt;"",D285&lt;&gt;"",E285&lt;&gt;"",H285&lt;&gt;"",OR(J285&lt;&gt;"",L285&lt;&gt;"")),"OK","ERRO: faltam "&amp;IF(B285="","Proprietário; ","")&amp;IF(C285="","Origem; ","")&amp;IF(D285="","CNPJ; ","")&amp;IF(E285="","Razão Social; ","")&amp;IF(H285="","Sobrenome; ","")&amp;IF(AND(J285="",L285=""),"telefone ou e-mail; ","")))</f>
      </c>
      <c r="V285" s="6">
        <f>IF(COUNTA(A285:O285)=0,"",IF(AND(Q285="OK",R285="OK",LEFT(S285,4)&lt;&gt;"ERRO",LEFT(T285,4)&lt;&gt;"ERRO",U285="OK"),"OK","REVISAR"))</f>
      </c>
    </row>
    <row r="286">
      <c r="A286" s="4"/>
      <c r="B286" s="5"/>
      <c r="C286" s="5"/>
      <c r="D286" s="5"/>
      <c r="E286" s="5"/>
      <c r="F286" s="4"/>
      <c r="G286" s="4"/>
      <c r="H286" s="5"/>
      <c r="I286" s="4"/>
      <c r="J286" s="4"/>
      <c r="K286" s="4"/>
      <c r="L286" s="4"/>
      <c r="M286" s="4"/>
      <c r="N286" s="4"/>
      <c r="O286" s="4"/>
      <c r="P286" s="6">
        <f>IF(D286="","",SUBSTITUTE(SUBSTITUTE(SUBSTITUTE(SUBSTITUTE(SUBSTITUTE(SUBSTITUTE(SUBSTITUTE(TRIM(D286),".",""),"/",""),"-","")," ",""),"(",""),")",""),"+",""))</f>
      </c>
      <c r="Q286" s="6">
        <f>IF(P286="","",IF(LEN(P286)&lt;&gt;14,"ERRO: "&amp;LEN(P286)&amp;" dígitos",IF(NOT(ISNUMBER(VALUE(P286))),"ERRO: não numérico",IF(LEN(SUBSTITUTE(P286,LEFT(P286,1),""))=0,"ERRO: dígitos repetidos",IF(AND(VALUE(MID(P286,13,1))=IF(MOD(SUMPRODUCT(--MID(P286,{1,2,3,4,5,6,7,8,9,10,11,12},1),{5,4,3,2,9,8,7,6,5,4,3,2}),11)&lt;2,0,11-MOD(SUMPRODUCT(--MID(P286,{1,2,3,4,5,6,7,8,9,10,11,12},1),{5,4,3,2,9,8,7,6,5,4,3,2}),11)),VALUE(MID(P286,14,1))=IF(MOD(SUMPRODUCT(--MID(P286,{1,2,3,4,5,6,7,8,9,10,11,12,13},1),{6,5,4,3,2,9,8,7,6,5,4,3,2}),11)&lt;2,0,11-MOD(SUMPRODUCT(--MID(P286,{1,2,3,4,5,6,7,8,9,10,11,12,13},1),{6,5,4,3,2,9,8,7,6,5,4,3,2}),11))),"OK","ERRO: dígito verificador")))))</f>
      </c>
      <c r="R286" s="6">
        <f>IF(P286="","",IF(COUNTIF($P$2:$P$1001,P286)&gt;1,"DUPLICADO","OK"))</f>
      </c>
      <c r="S286" s="6">
        <f>IF(AND(J286="",K286=""),"vazio",IF(AND(OR(J286="",LEN(SUBSTITUTE(SUBSTITUTE(SUBSTITUTE(SUBSTITUTE(SUBSTITUTE(SUBSTITUTE(SUBSTITUTE(TRIM(J286),".",""),"/",""),"-","")," ",""),"(",""),")",""),"+",""))=10,LEN(SUBSTITUTE(SUBSTITUTE(SUBSTITUTE(SUBSTITUTE(SUBSTITUTE(SUBSTITUTE(SUBSTITUTE(TRIM(J286),".",""),"/",""),"-","")," ",""),"(",""),")",""),"+",""))=11),OR(K286="",LEN(SUBSTITUTE(SUBSTITUTE(SUBSTITUTE(SUBSTITUTE(SUBSTITUTE(SUBSTITUTE(SUBSTITUTE(TRIM(K286),".",""),"/",""),"-","")," ",""),"(",""),")",""),"+",""))=10,LEN(SUBSTITUTE(SUBSTITUTE(SUBSTITUTE(SUBSTITUTE(SUBSTITUTE(SUBSTITUTE(SUBSTITUTE(TRIM(K286),".",""),"/",""),"-","")," ",""),"(",""),")",""),"+",""))=11)),"OK","ERRO: use DDD + número (10 ou 11 dígitos)"))</f>
      </c>
      <c r="T286" s="6">
        <f>IF(L286="","vazio",IF(AND(ISNUMBER(FIND("@",L286)),ISNUMBER(FIND(".",MID(L286,FIND("@",L286),99))),NOT(ISNUMBER(FIND(" ",TRIM(L286)))),NOT(ISNUMBER(FIND(";",L286))),NOT(ISNUMBER(FIND(",",L286)))),"OK","ERRO: um e-mail válido por linha"))</f>
      </c>
      <c r="U286" s="6">
        <f>IF(COUNTA(A286:O286)=0,"",IF(AND(B286&lt;&gt;"",C286&lt;&gt;"",D286&lt;&gt;"",E286&lt;&gt;"",H286&lt;&gt;"",OR(J286&lt;&gt;"",L286&lt;&gt;"")),"OK","ERRO: faltam "&amp;IF(B286="","Proprietário; ","")&amp;IF(C286="","Origem; ","")&amp;IF(D286="","CNPJ; ","")&amp;IF(E286="","Razão Social; ","")&amp;IF(H286="","Sobrenome; ","")&amp;IF(AND(J286="",L286=""),"telefone ou e-mail; ","")))</f>
      </c>
      <c r="V286" s="6">
        <f>IF(COUNTA(A286:O286)=0,"",IF(AND(Q286="OK",R286="OK",LEFT(S286,4)&lt;&gt;"ERRO",LEFT(T286,4)&lt;&gt;"ERRO",U286="OK"),"OK","REVISAR"))</f>
      </c>
    </row>
    <row r="287">
      <c r="A287" s="4"/>
      <c r="B287" s="5"/>
      <c r="C287" s="5"/>
      <c r="D287" s="5"/>
      <c r="E287" s="5"/>
      <c r="F287" s="4"/>
      <c r="G287" s="4"/>
      <c r="H287" s="5"/>
      <c r="I287" s="4"/>
      <c r="J287" s="4"/>
      <c r="K287" s="4"/>
      <c r="L287" s="4"/>
      <c r="M287" s="4"/>
      <c r="N287" s="4"/>
      <c r="O287" s="4"/>
      <c r="P287" s="6">
        <f>IF(D287="","",SUBSTITUTE(SUBSTITUTE(SUBSTITUTE(SUBSTITUTE(SUBSTITUTE(SUBSTITUTE(SUBSTITUTE(TRIM(D287),".",""),"/",""),"-","")," ",""),"(",""),")",""),"+",""))</f>
      </c>
      <c r="Q287" s="6">
        <f>IF(P287="","",IF(LEN(P287)&lt;&gt;14,"ERRO: "&amp;LEN(P287)&amp;" dígitos",IF(NOT(ISNUMBER(VALUE(P287))),"ERRO: não numérico",IF(LEN(SUBSTITUTE(P287,LEFT(P287,1),""))=0,"ERRO: dígitos repetidos",IF(AND(VALUE(MID(P287,13,1))=IF(MOD(SUMPRODUCT(--MID(P287,{1,2,3,4,5,6,7,8,9,10,11,12},1),{5,4,3,2,9,8,7,6,5,4,3,2}),11)&lt;2,0,11-MOD(SUMPRODUCT(--MID(P287,{1,2,3,4,5,6,7,8,9,10,11,12},1),{5,4,3,2,9,8,7,6,5,4,3,2}),11)),VALUE(MID(P287,14,1))=IF(MOD(SUMPRODUCT(--MID(P287,{1,2,3,4,5,6,7,8,9,10,11,12,13},1),{6,5,4,3,2,9,8,7,6,5,4,3,2}),11)&lt;2,0,11-MOD(SUMPRODUCT(--MID(P287,{1,2,3,4,5,6,7,8,9,10,11,12,13},1),{6,5,4,3,2,9,8,7,6,5,4,3,2}),11))),"OK","ERRO: dígito verificador")))))</f>
      </c>
      <c r="R287" s="6">
        <f>IF(P287="","",IF(COUNTIF($P$2:$P$1001,P287)&gt;1,"DUPLICADO","OK"))</f>
      </c>
      <c r="S287" s="6">
        <f>IF(AND(J287="",K287=""),"vazio",IF(AND(OR(J287="",LEN(SUBSTITUTE(SUBSTITUTE(SUBSTITUTE(SUBSTITUTE(SUBSTITUTE(SUBSTITUTE(SUBSTITUTE(TRIM(J287),".",""),"/",""),"-","")," ",""),"(",""),")",""),"+",""))=10,LEN(SUBSTITUTE(SUBSTITUTE(SUBSTITUTE(SUBSTITUTE(SUBSTITUTE(SUBSTITUTE(SUBSTITUTE(TRIM(J287),".",""),"/",""),"-","")," ",""),"(",""),")",""),"+",""))=11),OR(K287="",LEN(SUBSTITUTE(SUBSTITUTE(SUBSTITUTE(SUBSTITUTE(SUBSTITUTE(SUBSTITUTE(SUBSTITUTE(TRIM(K287),".",""),"/",""),"-","")," ",""),"(",""),")",""),"+",""))=10,LEN(SUBSTITUTE(SUBSTITUTE(SUBSTITUTE(SUBSTITUTE(SUBSTITUTE(SUBSTITUTE(SUBSTITUTE(TRIM(K287),".",""),"/",""),"-","")," ",""),"(",""),")",""),"+",""))=11)),"OK","ERRO: use DDD + número (10 ou 11 dígitos)"))</f>
      </c>
      <c r="T287" s="6">
        <f>IF(L287="","vazio",IF(AND(ISNUMBER(FIND("@",L287)),ISNUMBER(FIND(".",MID(L287,FIND("@",L287),99))),NOT(ISNUMBER(FIND(" ",TRIM(L287)))),NOT(ISNUMBER(FIND(";",L287))),NOT(ISNUMBER(FIND(",",L287)))),"OK","ERRO: um e-mail válido por linha"))</f>
      </c>
      <c r="U287" s="6">
        <f>IF(COUNTA(A287:O287)=0,"",IF(AND(B287&lt;&gt;"",C287&lt;&gt;"",D287&lt;&gt;"",E287&lt;&gt;"",H287&lt;&gt;"",OR(J287&lt;&gt;"",L287&lt;&gt;"")),"OK","ERRO: faltam "&amp;IF(B287="","Proprietário; ","")&amp;IF(C287="","Origem; ","")&amp;IF(D287="","CNPJ; ","")&amp;IF(E287="","Razão Social; ","")&amp;IF(H287="","Sobrenome; ","")&amp;IF(AND(J287="",L287=""),"telefone ou e-mail; ","")))</f>
      </c>
      <c r="V287" s="6">
        <f>IF(COUNTA(A287:O287)=0,"",IF(AND(Q287="OK",R287="OK",LEFT(S287,4)&lt;&gt;"ERRO",LEFT(T287,4)&lt;&gt;"ERRO",U287="OK"),"OK","REVISAR"))</f>
      </c>
    </row>
    <row r="288">
      <c r="A288" s="4"/>
      <c r="B288" s="5"/>
      <c r="C288" s="5"/>
      <c r="D288" s="5"/>
      <c r="E288" s="5"/>
      <c r="F288" s="4"/>
      <c r="G288" s="4"/>
      <c r="H288" s="5"/>
      <c r="I288" s="4"/>
      <c r="J288" s="4"/>
      <c r="K288" s="4"/>
      <c r="L288" s="4"/>
      <c r="M288" s="4"/>
      <c r="N288" s="4"/>
      <c r="O288" s="4"/>
      <c r="P288" s="6">
        <f>IF(D288="","",SUBSTITUTE(SUBSTITUTE(SUBSTITUTE(SUBSTITUTE(SUBSTITUTE(SUBSTITUTE(SUBSTITUTE(TRIM(D288),".",""),"/",""),"-","")," ",""),"(",""),")",""),"+",""))</f>
      </c>
      <c r="Q288" s="6">
        <f>IF(P288="","",IF(LEN(P288)&lt;&gt;14,"ERRO: "&amp;LEN(P288)&amp;" dígitos",IF(NOT(ISNUMBER(VALUE(P288))),"ERRO: não numérico",IF(LEN(SUBSTITUTE(P288,LEFT(P288,1),""))=0,"ERRO: dígitos repetidos",IF(AND(VALUE(MID(P288,13,1))=IF(MOD(SUMPRODUCT(--MID(P288,{1,2,3,4,5,6,7,8,9,10,11,12},1),{5,4,3,2,9,8,7,6,5,4,3,2}),11)&lt;2,0,11-MOD(SUMPRODUCT(--MID(P288,{1,2,3,4,5,6,7,8,9,10,11,12},1),{5,4,3,2,9,8,7,6,5,4,3,2}),11)),VALUE(MID(P288,14,1))=IF(MOD(SUMPRODUCT(--MID(P288,{1,2,3,4,5,6,7,8,9,10,11,12,13},1),{6,5,4,3,2,9,8,7,6,5,4,3,2}),11)&lt;2,0,11-MOD(SUMPRODUCT(--MID(P288,{1,2,3,4,5,6,7,8,9,10,11,12,13},1),{6,5,4,3,2,9,8,7,6,5,4,3,2}),11))),"OK","ERRO: dígito verificador")))))</f>
      </c>
      <c r="R288" s="6">
        <f>IF(P288="","",IF(COUNTIF($P$2:$P$1001,P288)&gt;1,"DUPLICADO","OK"))</f>
      </c>
      <c r="S288" s="6">
        <f>IF(AND(J288="",K288=""),"vazio",IF(AND(OR(J288="",LEN(SUBSTITUTE(SUBSTITUTE(SUBSTITUTE(SUBSTITUTE(SUBSTITUTE(SUBSTITUTE(SUBSTITUTE(TRIM(J288),".",""),"/",""),"-","")," ",""),"(",""),")",""),"+",""))=10,LEN(SUBSTITUTE(SUBSTITUTE(SUBSTITUTE(SUBSTITUTE(SUBSTITUTE(SUBSTITUTE(SUBSTITUTE(TRIM(J288),".",""),"/",""),"-","")," ",""),"(",""),")",""),"+",""))=11),OR(K288="",LEN(SUBSTITUTE(SUBSTITUTE(SUBSTITUTE(SUBSTITUTE(SUBSTITUTE(SUBSTITUTE(SUBSTITUTE(TRIM(K288),".",""),"/",""),"-","")," ",""),"(",""),")",""),"+",""))=10,LEN(SUBSTITUTE(SUBSTITUTE(SUBSTITUTE(SUBSTITUTE(SUBSTITUTE(SUBSTITUTE(SUBSTITUTE(TRIM(K288),".",""),"/",""),"-","")," ",""),"(",""),")",""),"+",""))=11)),"OK","ERRO: use DDD + número (10 ou 11 dígitos)"))</f>
      </c>
      <c r="T288" s="6">
        <f>IF(L288="","vazio",IF(AND(ISNUMBER(FIND("@",L288)),ISNUMBER(FIND(".",MID(L288,FIND("@",L288),99))),NOT(ISNUMBER(FIND(" ",TRIM(L288)))),NOT(ISNUMBER(FIND(";",L288))),NOT(ISNUMBER(FIND(",",L288)))),"OK","ERRO: um e-mail válido por linha"))</f>
      </c>
      <c r="U288" s="6">
        <f>IF(COUNTA(A288:O288)=0,"",IF(AND(B288&lt;&gt;"",C288&lt;&gt;"",D288&lt;&gt;"",E288&lt;&gt;"",H288&lt;&gt;"",OR(J288&lt;&gt;"",L288&lt;&gt;"")),"OK","ERRO: faltam "&amp;IF(B288="","Proprietário; ","")&amp;IF(C288="","Origem; ","")&amp;IF(D288="","CNPJ; ","")&amp;IF(E288="","Razão Social; ","")&amp;IF(H288="","Sobrenome; ","")&amp;IF(AND(J288="",L288=""),"telefone ou e-mail; ","")))</f>
      </c>
      <c r="V288" s="6">
        <f>IF(COUNTA(A288:O288)=0,"",IF(AND(Q288="OK",R288="OK",LEFT(S288,4)&lt;&gt;"ERRO",LEFT(T288,4)&lt;&gt;"ERRO",U288="OK"),"OK","REVISAR"))</f>
      </c>
    </row>
    <row r="289">
      <c r="A289" s="4"/>
      <c r="B289" s="5"/>
      <c r="C289" s="5"/>
      <c r="D289" s="5"/>
      <c r="E289" s="5"/>
      <c r="F289" s="4"/>
      <c r="G289" s="4"/>
      <c r="H289" s="5"/>
      <c r="I289" s="4"/>
      <c r="J289" s="4"/>
      <c r="K289" s="4"/>
      <c r="L289" s="4"/>
      <c r="M289" s="4"/>
      <c r="N289" s="4"/>
      <c r="O289" s="4"/>
      <c r="P289" s="6">
        <f>IF(D289="","",SUBSTITUTE(SUBSTITUTE(SUBSTITUTE(SUBSTITUTE(SUBSTITUTE(SUBSTITUTE(SUBSTITUTE(TRIM(D289),".",""),"/",""),"-","")," ",""),"(",""),")",""),"+",""))</f>
      </c>
      <c r="Q289" s="6">
        <f>IF(P289="","",IF(LEN(P289)&lt;&gt;14,"ERRO: "&amp;LEN(P289)&amp;" dígitos",IF(NOT(ISNUMBER(VALUE(P289))),"ERRO: não numérico",IF(LEN(SUBSTITUTE(P289,LEFT(P289,1),""))=0,"ERRO: dígitos repetidos",IF(AND(VALUE(MID(P289,13,1))=IF(MOD(SUMPRODUCT(--MID(P289,{1,2,3,4,5,6,7,8,9,10,11,12},1),{5,4,3,2,9,8,7,6,5,4,3,2}),11)&lt;2,0,11-MOD(SUMPRODUCT(--MID(P289,{1,2,3,4,5,6,7,8,9,10,11,12},1),{5,4,3,2,9,8,7,6,5,4,3,2}),11)),VALUE(MID(P289,14,1))=IF(MOD(SUMPRODUCT(--MID(P289,{1,2,3,4,5,6,7,8,9,10,11,12,13},1),{6,5,4,3,2,9,8,7,6,5,4,3,2}),11)&lt;2,0,11-MOD(SUMPRODUCT(--MID(P289,{1,2,3,4,5,6,7,8,9,10,11,12,13},1),{6,5,4,3,2,9,8,7,6,5,4,3,2}),11))),"OK","ERRO: dígito verificador")))))</f>
      </c>
      <c r="R289" s="6">
        <f>IF(P289="","",IF(COUNTIF($P$2:$P$1001,P289)&gt;1,"DUPLICADO","OK"))</f>
      </c>
      <c r="S289" s="6">
        <f>IF(AND(J289="",K289=""),"vazio",IF(AND(OR(J289="",LEN(SUBSTITUTE(SUBSTITUTE(SUBSTITUTE(SUBSTITUTE(SUBSTITUTE(SUBSTITUTE(SUBSTITUTE(TRIM(J289),".",""),"/",""),"-","")," ",""),"(",""),")",""),"+",""))=10,LEN(SUBSTITUTE(SUBSTITUTE(SUBSTITUTE(SUBSTITUTE(SUBSTITUTE(SUBSTITUTE(SUBSTITUTE(TRIM(J289),".",""),"/",""),"-","")," ",""),"(",""),")",""),"+",""))=11),OR(K289="",LEN(SUBSTITUTE(SUBSTITUTE(SUBSTITUTE(SUBSTITUTE(SUBSTITUTE(SUBSTITUTE(SUBSTITUTE(TRIM(K289),".",""),"/",""),"-","")," ",""),"(",""),")",""),"+",""))=10,LEN(SUBSTITUTE(SUBSTITUTE(SUBSTITUTE(SUBSTITUTE(SUBSTITUTE(SUBSTITUTE(SUBSTITUTE(TRIM(K289),".",""),"/",""),"-","")," ",""),"(",""),")",""),"+",""))=11)),"OK","ERRO: use DDD + número (10 ou 11 dígitos)"))</f>
      </c>
      <c r="T289" s="6">
        <f>IF(L289="","vazio",IF(AND(ISNUMBER(FIND("@",L289)),ISNUMBER(FIND(".",MID(L289,FIND("@",L289),99))),NOT(ISNUMBER(FIND(" ",TRIM(L289)))),NOT(ISNUMBER(FIND(";",L289))),NOT(ISNUMBER(FIND(",",L289)))),"OK","ERRO: um e-mail válido por linha"))</f>
      </c>
      <c r="U289" s="6">
        <f>IF(COUNTA(A289:O289)=0,"",IF(AND(B289&lt;&gt;"",C289&lt;&gt;"",D289&lt;&gt;"",E289&lt;&gt;"",H289&lt;&gt;"",OR(J289&lt;&gt;"",L289&lt;&gt;"")),"OK","ERRO: faltam "&amp;IF(B289="","Proprietário; ","")&amp;IF(C289="","Origem; ","")&amp;IF(D289="","CNPJ; ","")&amp;IF(E289="","Razão Social; ","")&amp;IF(H289="","Sobrenome; ","")&amp;IF(AND(J289="",L289=""),"telefone ou e-mail; ","")))</f>
      </c>
      <c r="V289" s="6">
        <f>IF(COUNTA(A289:O289)=0,"",IF(AND(Q289="OK",R289="OK",LEFT(S289,4)&lt;&gt;"ERRO",LEFT(T289,4)&lt;&gt;"ERRO",U289="OK"),"OK","REVISAR"))</f>
      </c>
    </row>
    <row r="290">
      <c r="A290" s="4"/>
      <c r="B290" s="5"/>
      <c r="C290" s="5"/>
      <c r="D290" s="5"/>
      <c r="E290" s="5"/>
      <c r="F290" s="4"/>
      <c r="G290" s="4"/>
      <c r="H290" s="5"/>
      <c r="I290" s="4"/>
      <c r="J290" s="4"/>
      <c r="K290" s="4"/>
      <c r="L290" s="4"/>
      <c r="M290" s="4"/>
      <c r="N290" s="4"/>
      <c r="O290" s="4"/>
      <c r="P290" s="6">
        <f>IF(D290="","",SUBSTITUTE(SUBSTITUTE(SUBSTITUTE(SUBSTITUTE(SUBSTITUTE(SUBSTITUTE(SUBSTITUTE(TRIM(D290),".",""),"/",""),"-","")," ",""),"(",""),")",""),"+",""))</f>
      </c>
      <c r="Q290" s="6">
        <f>IF(P290="","",IF(LEN(P290)&lt;&gt;14,"ERRO: "&amp;LEN(P290)&amp;" dígitos",IF(NOT(ISNUMBER(VALUE(P290))),"ERRO: não numérico",IF(LEN(SUBSTITUTE(P290,LEFT(P290,1),""))=0,"ERRO: dígitos repetidos",IF(AND(VALUE(MID(P290,13,1))=IF(MOD(SUMPRODUCT(--MID(P290,{1,2,3,4,5,6,7,8,9,10,11,12},1),{5,4,3,2,9,8,7,6,5,4,3,2}),11)&lt;2,0,11-MOD(SUMPRODUCT(--MID(P290,{1,2,3,4,5,6,7,8,9,10,11,12},1),{5,4,3,2,9,8,7,6,5,4,3,2}),11)),VALUE(MID(P290,14,1))=IF(MOD(SUMPRODUCT(--MID(P290,{1,2,3,4,5,6,7,8,9,10,11,12,13},1),{6,5,4,3,2,9,8,7,6,5,4,3,2}),11)&lt;2,0,11-MOD(SUMPRODUCT(--MID(P290,{1,2,3,4,5,6,7,8,9,10,11,12,13},1),{6,5,4,3,2,9,8,7,6,5,4,3,2}),11))),"OK","ERRO: dígito verificador")))))</f>
      </c>
      <c r="R290" s="6">
        <f>IF(P290="","",IF(COUNTIF($P$2:$P$1001,P290)&gt;1,"DUPLICADO","OK"))</f>
      </c>
      <c r="S290" s="6">
        <f>IF(AND(J290="",K290=""),"vazio",IF(AND(OR(J290="",LEN(SUBSTITUTE(SUBSTITUTE(SUBSTITUTE(SUBSTITUTE(SUBSTITUTE(SUBSTITUTE(SUBSTITUTE(TRIM(J290),".",""),"/",""),"-","")," ",""),"(",""),")",""),"+",""))=10,LEN(SUBSTITUTE(SUBSTITUTE(SUBSTITUTE(SUBSTITUTE(SUBSTITUTE(SUBSTITUTE(SUBSTITUTE(TRIM(J290),".",""),"/",""),"-","")," ",""),"(",""),")",""),"+",""))=11),OR(K290="",LEN(SUBSTITUTE(SUBSTITUTE(SUBSTITUTE(SUBSTITUTE(SUBSTITUTE(SUBSTITUTE(SUBSTITUTE(TRIM(K290),".",""),"/",""),"-","")," ",""),"(",""),")",""),"+",""))=10,LEN(SUBSTITUTE(SUBSTITUTE(SUBSTITUTE(SUBSTITUTE(SUBSTITUTE(SUBSTITUTE(SUBSTITUTE(TRIM(K290),".",""),"/",""),"-","")," ",""),"(",""),")",""),"+",""))=11)),"OK","ERRO: use DDD + número (10 ou 11 dígitos)"))</f>
      </c>
      <c r="T290" s="6">
        <f>IF(L290="","vazio",IF(AND(ISNUMBER(FIND("@",L290)),ISNUMBER(FIND(".",MID(L290,FIND("@",L290),99))),NOT(ISNUMBER(FIND(" ",TRIM(L290)))),NOT(ISNUMBER(FIND(";",L290))),NOT(ISNUMBER(FIND(",",L290)))),"OK","ERRO: um e-mail válido por linha"))</f>
      </c>
      <c r="U290" s="6">
        <f>IF(COUNTA(A290:O290)=0,"",IF(AND(B290&lt;&gt;"",C290&lt;&gt;"",D290&lt;&gt;"",E290&lt;&gt;"",H290&lt;&gt;"",OR(J290&lt;&gt;"",L290&lt;&gt;"")),"OK","ERRO: faltam "&amp;IF(B290="","Proprietário; ","")&amp;IF(C290="","Origem; ","")&amp;IF(D290="","CNPJ; ","")&amp;IF(E290="","Razão Social; ","")&amp;IF(H290="","Sobrenome; ","")&amp;IF(AND(J290="",L290=""),"telefone ou e-mail; ","")))</f>
      </c>
      <c r="V290" s="6">
        <f>IF(COUNTA(A290:O290)=0,"",IF(AND(Q290="OK",R290="OK",LEFT(S290,4)&lt;&gt;"ERRO",LEFT(T290,4)&lt;&gt;"ERRO",U290="OK"),"OK","REVISAR"))</f>
      </c>
    </row>
    <row r="291">
      <c r="A291" s="4"/>
      <c r="B291" s="5"/>
      <c r="C291" s="5"/>
      <c r="D291" s="5"/>
      <c r="E291" s="5"/>
      <c r="F291" s="4"/>
      <c r="G291" s="4"/>
      <c r="H291" s="5"/>
      <c r="I291" s="4"/>
      <c r="J291" s="4"/>
      <c r="K291" s="4"/>
      <c r="L291" s="4"/>
      <c r="M291" s="4"/>
      <c r="N291" s="4"/>
      <c r="O291" s="4"/>
      <c r="P291" s="6">
        <f>IF(D291="","",SUBSTITUTE(SUBSTITUTE(SUBSTITUTE(SUBSTITUTE(SUBSTITUTE(SUBSTITUTE(SUBSTITUTE(TRIM(D291),".",""),"/",""),"-","")," ",""),"(",""),")",""),"+",""))</f>
      </c>
      <c r="Q291" s="6">
        <f>IF(P291="","",IF(LEN(P291)&lt;&gt;14,"ERRO: "&amp;LEN(P291)&amp;" dígitos",IF(NOT(ISNUMBER(VALUE(P291))),"ERRO: não numérico",IF(LEN(SUBSTITUTE(P291,LEFT(P291,1),""))=0,"ERRO: dígitos repetidos",IF(AND(VALUE(MID(P291,13,1))=IF(MOD(SUMPRODUCT(--MID(P291,{1,2,3,4,5,6,7,8,9,10,11,12},1),{5,4,3,2,9,8,7,6,5,4,3,2}),11)&lt;2,0,11-MOD(SUMPRODUCT(--MID(P291,{1,2,3,4,5,6,7,8,9,10,11,12},1),{5,4,3,2,9,8,7,6,5,4,3,2}),11)),VALUE(MID(P291,14,1))=IF(MOD(SUMPRODUCT(--MID(P291,{1,2,3,4,5,6,7,8,9,10,11,12,13},1),{6,5,4,3,2,9,8,7,6,5,4,3,2}),11)&lt;2,0,11-MOD(SUMPRODUCT(--MID(P291,{1,2,3,4,5,6,7,8,9,10,11,12,13},1),{6,5,4,3,2,9,8,7,6,5,4,3,2}),11))),"OK","ERRO: dígito verificador")))))</f>
      </c>
      <c r="R291" s="6">
        <f>IF(P291="","",IF(COUNTIF($P$2:$P$1001,P291)&gt;1,"DUPLICADO","OK"))</f>
      </c>
      <c r="S291" s="6">
        <f>IF(AND(J291="",K291=""),"vazio",IF(AND(OR(J291="",LEN(SUBSTITUTE(SUBSTITUTE(SUBSTITUTE(SUBSTITUTE(SUBSTITUTE(SUBSTITUTE(SUBSTITUTE(TRIM(J291),".",""),"/",""),"-","")," ",""),"(",""),")",""),"+",""))=10,LEN(SUBSTITUTE(SUBSTITUTE(SUBSTITUTE(SUBSTITUTE(SUBSTITUTE(SUBSTITUTE(SUBSTITUTE(TRIM(J291),".",""),"/",""),"-","")," ",""),"(",""),")",""),"+",""))=11),OR(K291="",LEN(SUBSTITUTE(SUBSTITUTE(SUBSTITUTE(SUBSTITUTE(SUBSTITUTE(SUBSTITUTE(SUBSTITUTE(TRIM(K291),".",""),"/",""),"-","")," ",""),"(",""),")",""),"+",""))=10,LEN(SUBSTITUTE(SUBSTITUTE(SUBSTITUTE(SUBSTITUTE(SUBSTITUTE(SUBSTITUTE(SUBSTITUTE(TRIM(K291),".",""),"/",""),"-","")," ",""),"(",""),")",""),"+",""))=11)),"OK","ERRO: use DDD + número (10 ou 11 dígitos)"))</f>
      </c>
      <c r="T291" s="6">
        <f>IF(L291="","vazio",IF(AND(ISNUMBER(FIND("@",L291)),ISNUMBER(FIND(".",MID(L291,FIND("@",L291),99))),NOT(ISNUMBER(FIND(" ",TRIM(L291)))),NOT(ISNUMBER(FIND(";",L291))),NOT(ISNUMBER(FIND(",",L291)))),"OK","ERRO: um e-mail válido por linha"))</f>
      </c>
      <c r="U291" s="6">
        <f>IF(COUNTA(A291:O291)=0,"",IF(AND(B291&lt;&gt;"",C291&lt;&gt;"",D291&lt;&gt;"",E291&lt;&gt;"",H291&lt;&gt;"",OR(J291&lt;&gt;"",L291&lt;&gt;"")),"OK","ERRO: faltam "&amp;IF(B291="","Proprietário; ","")&amp;IF(C291="","Origem; ","")&amp;IF(D291="","CNPJ; ","")&amp;IF(E291="","Razão Social; ","")&amp;IF(H291="","Sobrenome; ","")&amp;IF(AND(J291="",L291=""),"telefone ou e-mail; ","")))</f>
      </c>
      <c r="V291" s="6">
        <f>IF(COUNTA(A291:O291)=0,"",IF(AND(Q291="OK",R291="OK",LEFT(S291,4)&lt;&gt;"ERRO",LEFT(T291,4)&lt;&gt;"ERRO",U291="OK"),"OK","REVISAR"))</f>
      </c>
    </row>
    <row r="292">
      <c r="A292" s="4"/>
      <c r="B292" s="5"/>
      <c r="C292" s="5"/>
      <c r="D292" s="5"/>
      <c r="E292" s="5"/>
      <c r="F292" s="4"/>
      <c r="G292" s="4"/>
      <c r="H292" s="5"/>
      <c r="I292" s="4"/>
      <c r="J292" s="4"/>
      <c r="K292" s="4"/>
      <c r="L292" s="4"/>
      <c r="M292" s="4"/>
      <c r="N292" s="4"/>
      <c r="O292" s="4"/>
      <c r="P292" s="6">
        <f>IF(D292="","",SUBSTITUTE(SUBSTITUTE(SUBSTITUTE(SUBSTITUTE(SUBSTITUTE(SUBSTITUTE(SUBSTITUTE(TRIM(D292),".",""),"/",""),"-","")," ",""),"(",""),")",""),"+",""))</f>
      </c>
      <c r="Q292" s="6">
        <f>IF(P292="","",IF(LEN(P292)&lt;&gt;14,"ERRO: "&amp;LEN(P292)&amp;" dígitos",IF(NOT(ISNUMBER(VALUE(P292))),"ERRO: não numérico",IF(LEN(SUBSTITUTE(P292,LEFT(P292,1),""))=0,"ERRO: dígitos repetidos",IF(AND(VALUE(MID(P292,13,1))=IF(MOD(SUMPRODUCT(--MID(P292,{1,2,3,4,5,6,7,8,9,10,11,12},1),{5,4,3,2,9,8,7,6,5,4,3,2}),11)&lt;2,0,11-MOD(SUMPRODUCT(--MID(P292,{1,2,3,4,5,6,7,8,9,10,11,12},1),{5,4,3,2,9,8,7,6,5,4,3,2}),11)),VALUE(MID(P292,14,1))=IF(MOD(SUMPRODUCT(--MID(P292,{1,2,3,4,5,6,7,8,9,10,11,12,13},1),{6,5,4,3,2,9,8,7,6,5,4,3,2}),11)&lt;2,0,11-MOD(SUMPRODUCT(--MID(P292,{1,2,3,4,5,6,7,8,9,10,11,12,13},1),{6,5,4,3,2,9,8,7,6,5,4,3,2}),11))),"OK","ERRO: dígito verificador")))))</f>
      </c>
      <c r="R292" s="6">
        <f>IF(P292="","",IF(COUNTIF($P$2:$P$1001,P292)&gt;1,"DUPLICADO","OK"))</f>
      </c>
      <c r="S292" s="6">
        <f>IF(AND(J292="",K292=""),"vazio",IF(AND(OR(J292="",LEN(SUBSTITUTE(SUBSTITUTE(SUBSTITUTE(SUBSTITUTE(SUBSTITUTE(SUBSTITUTE(SUBSTITUTE(TRIM(J292),".",""),"/",""),"-","")," ",""),"(",""),")",""),"+",""))=10,LEN(SUBSTITUTE(SUBSTITUTE(SUBSTITUTE(SUBSTITUTE(SUBSTITUTE(SUBSTITUTE(SUBSTITUTE(TRIM(J292),".",""),"/",""),"-","")," ",""),"(",""),")",""),"+",""))=11),OR(K292="",LEN(SUBSTITUTE(SUBSTITUTE(SUBSTITUTE(SUBSTITUTE(SUBSTITUTE(SUBSTITUTE(SUBSTITUTE(TRIM(K292),".",""),"/",""),"-","")," ",""),"(",""),")",""),"+",""))=10,LEN(SUBSTITUTE(SUBSTITUTE(SUBSTITUTE(SUBSTITUTE(SUBSTITUTE(SUBSTITUTE(SUBSTITUTE(TRIM(K292),".",""),"/",""),"-","")," ",""),"(",""),")",""),"+",""))=11)),"OK","ERRO: use DDD + número (10 ou 11 dígitos)"))</f>
      </c>
      <c r="T292" s="6">
        <f>IF(L292="","vazio",IF(AND(ISNUMBER(FIND("@",L292)),ISNUMBER(FIND(".",MID(L292,FIND("@",L292),99))),NOT(ISNUMBER(FIND(" ",TRIM(L292)))),NOT(ISNUMBER(FIND(";",L292))),NOT(ISNUMBER(FIND(",",L292)))),"OK","ERRO: um e-mail válido por linha"))</f>
      </c>
      <c r="U292" s="6">
        <f>IF(COUNTA(A292:O292)=0,"",IF(AND(B292&lt;&gt;"",C292&lt;&gt;"",D292&lt;&gt;"",E292&lt;&gt;"",H292&lt;&gt;"",OR(J292&lt;&gt;"",L292&lt;&gt;"")),"OK","ERRO: faltam "&amp;IF(B292="","Proprietário; ","")&amp;IF(C292="","Origem; ","")&amp;IF(D292="","CNPJ; ","")&amp;IF(E292="","Razão Social; ","")&amp;IF(H292="","Sobrenome; ","")&amp;IF(AND(J292="",L292=""),"telefone ou e-mail; ","")))</f>
      </c>
      <c r="V292" s="6">
        <f>IF(COUNTA(A292:O292)=0,"",IF(AND(Q292="OK",R292="OK",LEFT(S292,4)&lt;&gt;"ERRO",LEFT(T292,4)&lt;&gt;"ERRO",U292="OK"),"OK","REVISAR"))</f>
      </c>
    </row>
    <row r="293">
      <c r="A293" s="4"/>
      <c r="B293" s="5"/>
      <c r="C293" s="5"/>
      <c r="D293" s="5"/>
      <c r="E293" s="5"/>
      <c r="F293" s="4"/>
      <c r="G293" s="4"/>
      <c r="H293" s="5"/>
      <c r="I293" s="4"/>
      <c r="J293" s="4"/>
      <c r="K293" s="4"/>
      <c r="L293" s="4"/>
      <c r="M293" s="4"/>
      <c r="N293" s="4"/>
      <c r="O293" s="4"/>
      <c r="P293" s="6">
        <f>IF(D293="","",SUBSTITUTE(SUBSTITUTE(SUBSTITUTE(SUBSTITUTE(SUBSTITUTE(SUBSTITUTE(SUBSTITUTE(TRIM(D293),".",""),"/",""),"-","")," ",""),"(",""),")",""),"+",""))</f>
      </c>
      <c r="Q293" s="6">
        <f>IF(P293="","",IF(LEN(P293)&lt;&gt;14,"ERRO: "&amp;LEN(P293)&amp;" dígitos",IF(NOT(ISNUMBER(VALUE(P293))),"ERRO: não numérico",IF(LEN(SUBSTITUTE(P293,LEFT(P293,1),""))=0,"ERRO: dígitos repetidos",IF(AND(VALUE(MID(P293,13,1))=IF(MOD(SUMPRODUCT(--MID(P293,{1,2,3,4,5,6,7,8,9,10,11,12},1),{5,4,3,2,9,8,7,6,5,4,3,2}),11)&lt;2,0,11-MOD(SUMPRODUCT(--MID(P293,{1,2,3,4,5,6,7,8,9,10,11,12},1),{5,4,3,2,9,8,7,6,5,4,3,2}),11)),VALUE(MID(P293,14,1))=IF(MOD(SUMPRODUCT(--MID(P293,{1,2,3,4,5,6,7,8,9,10,11,12,13},1),{6,5,4,3,2,9,8,7,6,5,4,3,2}),11)&lt;2,0,11-MOD(SUMPRODUCT(--MID(P293,{1,2,3,4,5,6,7,8,9,10,11,12,13},1),{6,5,4,3,2,9,8,7,6,5,4,3,2}),11))),"OK","ERRO: dígito verificador")))))</f>
      </c>
      <c r="R293" s="6">
        <f>IF(P293="","",IF(COUNTIF($P$2:$P$1001,P293)&gt;1,"DUPLICADO","OK"))</f>
      </c>
      <c r="S293" s="6">
        <f>IF(AND(J293="",K293=""),"vazio",IF(AND(OR(J293="",LEN(SUBSTITUTE(SUBSTITUTE(SUBSTITUTE(SUBSTITUTE(SUBSTITUTE(SUBSTITUTE(SUBSTITUTE(TRIM(J293),".",""),"/",""),"-","")," ",""),"(",""),")",""),"+",""))=10,LEN(SUBSTITUTE(SUBSTITUTE(SUBSTITUTE(SUBSTITUTE(SUBSTITUTE(SUBSTITUTE(SUBSTITUTE(TRIM(J293),".",""),"/",""),"-","")," ",""),"(",""),")",""),"+",""))=11),OR(K293="",LEN(SUBSTITUTE(SUBSTITUTE(SUBSTITUTE(SUBSTITUTE(SUBSTITUTE(SUBSTITUTE(SUBSTITUTE(TRIM(K293),".",""),"/",""),"-","")," ",""),"(",""),")",""),"+",""))=10,LEN(SUBSTITUTE(SUBSTITUTE(SUBSTITUTE(SUBSTITUTE(SUBSTITUTE(SUBSTITUTE(SUBSTITUTE(TRIM(K293),".",""),"/",""),"-","")," ",""),"(",""),")",""),"+",""))=11)),"OK","ERRO: use DDD + número (10 ou 11 dígitos)"))</f>
      </c>
      <c r="T293" s="6">
        <f>IF(L293="","vazio",IF(AND(ISNUMBER(FIND("@",L293)),ISNUMBER(FIND(".",MID(L293,FIND("@",L293),99))),NOT(ISNUMBER(FIND(" ",TRIM(L293)))),NOT(ISNUMBER(FIND(";",L293))),NOT(ISNUMBER(FIND(",",L293)))),"OK","ERRO: um e-mail válido por linha"))</f>
      </c>
      <c r="U293" s="6">
        <f>IF(COUNTA(A293:O293)=0,"",IF(AND(B293&lt;&gt;"",C293&lt;&gt;"",D293&lt;&gt;"",E293&lt;&gt;"",H293&lt;&gt;"",OR(J293&lt;&gt;"",L293&lt;&gt;"")),"OK","ERRO: faltam "&amp;IF(B293="","Proprietário; ","")&amp;IF(C293="","Origem; ","")&amp;IF(D293="","CNPJ; ","")&amp;IF(E293="","Razão Social; ","")&amp;IF(H293="","Sobrenome; ","")&amp;IF(AND(J293="",L293=""),"telefone ou e-mail; ","")))</f>
      </c>
      <c r="V293" s="6">
        <f>IF(COUNTA(A293:O293)=0,"",IF(AND(Q293="OK",R293="OK",LEFT(S293,4)&lt;&gt;"ERRO",LEFT(T293,4)&lt;&gt;"ERRO",U293="OK"),"OK","REVISAR"))</f>
      </c>
    </row>
    <row r="294">
      <c r="A294" s="4"/>
      <c r="B294" s="5"/>
      <c r="C294" s="5"/>
      <c r="D294" s="5"/>
      <c r="E294" s="5"/>
      <c r="F294" s="4"/>
      <c r="G294" s="4"/>
      <c r="H294" s="5"/>
      <c r="I294" s="4"/>
      <c r="J294" s="4"/>
      <c r="K294" s="4"/>
      <c r="L294" s="4"/>
      <c r="M294" s="4"/>
      <c r="N294" s="4"/>
      <c r="O294" s="4"/>
      <c r="P294" s="6">
        <f>IF(D294="","",SUBSTITUTE(SUBSTITUTE(SUBSTITUTE(SUBSTITUTE(SUBSTITUTE(SUBSTITUTE(SUBSTITUTE(TRIM(D294),".",""),"/",""),"-","")," ",""),"(",""),")",""),"+",""))</f>
      </c>
      <c r="Q294" s="6">
        <f>IF(P294="","",IF(LEN(P294)&lt;&gt;14,"ERRO: "&amp;LEN(P294)&amp;" dígitos",IF(NOT(ISNUMBER(VALUE(P294))),"ERRO: não numérico",IF(LEN(SUBSTITUTE(P294,LEFT(P294,1),""))=0,"ERRO: dígitos repetidos",IF(AND(VALUE(MID(P294,13,1))=IF(MOD(SUMPRODUCT(--MID(P294,{1,2,3,4,5,6,7,8,9,10,11,12},1),{5,4,3,2,9,8,7,6,5,4,3,2}),11)&lt;2,0,11-MOD(SUMPRODUCT(--MID(P294,{1,2,3,4,5,6,7,8,9,10,11,12},1),{5,4,3,2,9,8,7,6,5,4,3,2}),11)),VALUE(MID(P294,14,1))=IF(MOD(SUMPRODUCT(--MID(P294,{1,2,3,4,5,6,7,8,9,10,11,12,13},1),{6,5,4,3,2,9,8,7,6,5,4,3,2}),11)&lt;2,0,11-MOD(SUMPRODUCT(--MID(P294,{1,2,3,4,5,6,7,8,9,10,11,12,13},1),{6,5,4,3,2,9,8,7,6,5,4,3,2}),11))),"OK","ERRO: dígito verificador")))))</f>
      </c>
      <c r="R294" s="6">
        <f>IF(P294="","",IF(COUNTIF($P$2:$P$1001,P294)&gt;1,"DUPLICADO","OK"))</f>
      </c>
      <c r="S294" s="6">
        <f>IF(AND(J294="",K294=""),"vazio",IF(AND(OR(J294="",LEN(SUBSTITUTE(SUBSTITUTE(SUBSTITUTE(SUBSTITUTE(SUBSTITUTE(SUBSTITUTE(SUBSTITUTE(TRIM(J294),".",""),"/",""),"-","")," ",""),"(",""),")",""),"+",""))=10,LEN(SUBSTITUTE(SUBSTITUTE(SUBSTITUTE(SUBSTITUTE(SUBSTITUTE(SUBSTITUTE(SUBSTITUTE(TRIM(J294),".",""),"/",""),"-","")," ",""),"(",""),")",""),"+",""))=11),OR(K294="",LEN(SUBSTITUTE(SUBSTITUTE(SUBSTITUTE(SUBSTITUTE(SUBSTITUTE(SUBSTITUTE(SUBSTITUTE(TRIM(K294),".",""),"/",""),"-","")," ",""),"(",""),")",""),"+",""))=10,LEN(SUBSTITUTE(SUBSTITUTE(SUBSTITUTE(SUBSTITUTE(SUBSTITUTE(SUBSTITUTE(SUBSTITUTE(TRIM(K294),".",""),"/",""),"-","")," ",""),"(",""),")",""),"+",""))=11)),"OK","ERRO: use DDD + número (10 ou 11 dígitos)"))</f>
      </c>
      <c r="T294" s="6">
        <f>IF(L294="","vazio",IF(AND(ISNUMBER(FIND("@",L294)),ISNUMBER(FIND(".",MID(L294,FIND("@",L294),99))),NOT(ISNUMBER(FIND(" ",TRIM(L294)))),NOT(ISNUMBER(FIND(";",L294))),NOT(ISNUMBER(FIND(",",L294)))),"OK","ERRO: um e-mail válido por linha"))</f>
      </c>
      <c r="U294" s="6">
        <f>IF(COUNTA(A294:O294)=0,"",IF(AND(B294&lt;&gt;"",C294&lt;&gt;"",D294&lt;&gt;"",E294&lt;&gt;"",H294&lt;&gt;"",OR(J294&lt;&gt;"",L294&lt;&gt;"")),"OK","ERRO: faltam "&amp;IF(B294="","Proprietário; ","")&amp;IF(C294="","Origem; ","")&amp;IF(D294="","CNPJ; ","")&amp;IF(E294="","Razão Social; ","")&amp;IF(H294="","Sobrenome; ","")&amp;IF(AND(J294="",L294=""),"telefone ou e-mail; ","")))</f>
      </c>
      <c r="V294" s="6">
        <f>IF(COUNTA(A294:O294)=0,"",IF(AND(Q294="OK",R294="OK",LEFT(S294,4)&lt;&gt;"ERRO",LEFT(T294,4)&lt;&gt;"ERRO",U294="OK"),"OK","REVISAR"))</f>
      </c>
    </row>
    <row r="295">
      <c r="A295" s="4"/>
      <c r="B295" s="5"/>
      <c r="C295" s="5"/>
      <c r="D295" s="5"/>
      <c r="E295" s="5"/>
      <c r="F295" s="4"/>
      <c r="G295" s="4"/>
      <c r="H295" s="5"/>
      <c r="I295" s="4"/>
      <c r="J295" s="4"/>
      <c r="K295" s="4"/>
      <c r="L295" s="4"/>
      <c r="M295" s="4"/>
      <c r="N295" s="4"/>
      <c r="O295" s="4"/>
      <c r="P295" s="6">
        <f>IF(D295="","",SUBSTITUTE(SUBSTITUTE(SUBSTITUTE(SUBSTITUTE(SUBSTITUTE(SUBSTITUTE(SUBSTITUTE(TRIM(D295),".",""),"/",""),"-","")," ",""),"(",""),")",""),"+",""))</f>
      </c>
      <c r="Q295" s="6">
        <f>IF(P295="","",IF(LEN(P295)&lt;&gt;14,"ERRO: "&amp;LEN(P295)&amp;" dígitos",IF(NOT(ISNUMBER(VALUE(P295))),"ERRO: não numérico",IF(LEN(SUBSTITUTE(P295,LEFT(P295,1),""))=0,"ERRO: dígitos repetidos",IF(AND(VALUE(MID(P295,13,1))=IF(MOD(SUMPRODUCT(--MID(P295,{1,2,3,4,5,6,7,8,9,10,11,12},1),{5,4,3,2,9,8,7,6,5,4,3,2}),11)&lt;2,0,11-MOD(SUMPRODUCT(--MID(P295,{1,2,3,4,5,6,7,8,9,10,11,12},1),{5,4,3,2,9,8,7,6,5,4,3,2}),11)),VALUE(MID(P295,14,1))=IF(MOD(SUMPRODUCT(--MID(P295,{1,2,3,4,5,6,7,8,9,10,11,12,13},1),{6,5,4,3,2,9,8,7,6,5,4,3,2}),11)&lt;2,0,11-MOD(SUMPRODUCT(--MID(P295,{1,2,3,4,5,6,7,8,9,10,11,12,13},1),{6,5,4,3,2,9,8,7,6,5,4,3,2}),11))),"OK","ERRO: dígito verificador")))))</f>
      </c>
      <c r="R295" s="6">
        <f>IF(P295="","",IF(COUNTIF($P$2:$P$1001,P295)&gt;1,"DUPLICADO","OK"))</f>
      </c>
      <c r="S295" s="6">
        <f>IF(AND(J295="",K295=""),"vazio",IF(AND(OR(J295="",LEN(SUBSTITUTE(SUBSTITUTE(SUBSTITUTE(SUBSTITUTE(SUBSTITUTE(SUBSTITUTE(SUBSTITUTE(TRIM(J295),".",""),"/",""),"-","")," ",""),"(",""),")",""),"+",""))=10,LEN(SUBSTITUTE(SUBSTITUTE(SUBSTITUTE(SUBSTITUTE(SUBSTITUTE(SUBSTITUTE(SUBSTITUTE(TRIM(J295),".",""),"/",""),"-","")," ",""),"(",""),")",""),"+",""))=11),OR(K295="",LEN(SUBSTITUTE(SUBSTITUTE(SUBSTITUTE(SUBSTITUTE(SUBSTITUTE(SUBSTITUTE(SUBSTITUTE(TRIM(K295),".",""),"/",""),"-","")," ",""),"(",""),")",""),"+",""))=10,LEN(SUBSTITUTE(SUBSTITUTE(SUBSTITUTE(SUBSTITUTE(SUBSTITUTE(SUBSTITUTE(SUBSTITUTE(TRIM(K295),".",""),"/",""),"-","")," ",""),"(",""),")",""),"+",""))=11)),"OK","ERRO: use DDD + número (10 ou 11 dígitos)"))</f>
      </c>
      <c r="T295" s="6">
        <f>IF(L295="","vazio",IF(AND(ISNUMBER(FIND("@",L295)),ISNUMBER(FIND(".",MID(L295,FIND("@",L295),99))),NOT(ISNUMBER(FIND(" ",TRIM(L295)))),NOT(ISNUMBER(FIND(";",L295))),NOT(ISNUMBER(FIND(",",L295)))),"OK","ERRO: um e-mail válido por linha"))</f>
      </c>
      <c r="U295" s="6">
        <f>IF(COUNTA(A295:O295)=0,"",IF(AND(B295&lt;&gt;"",C295&lt;&gt;"",D295&lt;&gt;"",E295&lt;&gt;"",H295&lt;&gt;"",OR(J295&lt;&gt;"",L295&lt;&gt;"")),"OK","ERRO: faltam "&amp;IF(B295="","Proprietário; ","")&amp;IF(C295="","Origem; ","")&amp;IF(D295="","CNPJ; ","")&amp;IF(E295="","Razão Social; ","")&amp;IF(H295="","Sobrenome; ","")&amp;IF(AND(J295="",L295=""),"telefone ou e-mail; ","")))</f>
      </c>
      <c r="V295" s="6">
        <f>IF(COUNTA(A295:O295)=0,"",IF(AND(Q295="OK",R295="OK",LEFT(S295,4)&lt;&gt;"ERRO",LEFT(T295,4)&lt;&gt;"ERRO",U295="OK"),"OK","REVISAR"))</f>
      </c>
    </row>
    <row r="296">
      <c r="A296" s="4"/>
      <c r="B296" s="5"/>
      <c r="C296" s="5"/>
      <c r="D296" s="5"/>
      <c r="E296" s="5"/>
      <c r="F296" s="4"/>
      <c r="G296" s="4"/>
      <c r="H296" s="5"/>
      <c r="I296" s="4"/>
      <c r="J296" s="4"/>
      <c r="K296" s="4"/>
      <c r="L296" s="4"/>
      <c r="M296" s="4"/>
      <c r="N296" s="4"/>
      <c r="O296" s="4"/>
      <c r="P296" s="6">
        <f>IF(D296="","",SUBSTITUTE(SUBSTITUTE(SUBSTITUTE(SUBSTITUTE(SUBSTITUTE(SUBSTITUTE(SUBSTITUTE(TRIM(D296),".",""),"/",""),"-","")," ",""),"(",""),")",""),"+",""))</f>
      </c>
      <c r="Q296" s="6">
        <f>IF(P296="","",IF(LEN(P296)&lt;&gt;14,"ERRO: "&amp;LEN(P296)&amp;" dígitos",IF(NOT(ISNUMBER(VALUE(P296))),"ERRO: não numérico",IF(LEN(SUBSTITUTE(P296,LEFT(P296,1),""))=0,"ERRO: dígitos repetidos",IF(AND(VALUE(MID(P296,13,1))=IF(MOD(SUMPRODUCT(--MID(P296,{1,2,3,4,5,6,7,8,9,10,11,12},1),{5,4,3,2,9,8,7,6,5,4,3,2}),11)&lt;2,0,11-MOD(SUMPRODUCT(--MID(P296,{1,2,3,4,5,6,7,8,9,10,11,12},1),{5,4,3,2,9,8,7,6,5,4,3,2}),11)),VALUE(MID(P296,14,1))=IF(MOD(SUMPRODUCT(--MID(P296,{1,2,3,4,5,6,7,8,9,10,11,12,13},1),{6,5,4,3,2,9,8,7,6,5,4,3,2}),11)&lt;2,0,11-MOD(SUMPRODUCT(--MID(P296,{1,2,3,4,5,6,7,8,9,10,11,12,13},1),{6,5,4,3,2,9,8,7,6,5,4,3,2}),11))),"OK","ERRO: dígito verificador")))))</f>
      </c>
      <c r="R296" s="6">
        <f>IF(P296="","",IF(COUNTIF($P$2:$P$1001,P296)&gt;1,"DUPLICADO","OK"))</f>
      </c>
      <c r="S296" s="6">
        <f>IF(AND(J296="",K296=""),"vazio",IF(AND(OR(J296="",LEN(SUBSTITUTE(SUBSTITUTE(SUBSTITUTE(SUBSTITUTE(SUBSTITUTE(SUBSTITUTE(SUBSTITUTE(TRIM(J296),".",""),"/",""),"-","")," ",""),"(",""),")",""),"+",""))=10,LEN(SUBSTITUTE(SUBSTITUTE(SUBSTITUTE(SUBSTITUTE(SUBSTITUTE(SUBSTITUTE(SUBSTITUTE(TRIM(J296),".",""),"/",""),"-","")," ",""),"(",""),")",""),"+",""))=11),OR(K296="",LEN(SUBSTITUTE(SUBSTITUTE(SUBSTITUTE(SUBSTITUTE(SUBSTITUTE(SUBSTITUTE(SUBSTITUTE(TRIM(K296),".",""),"/",""),"-","")," ",""),"(",""),")",""),"+",""))=10,LEN(SUBSTITUTE(SUBSTITUTE(SUBSTITUTE(SUBSTITUTE(SUBSTITUTE(SUBSTITUTE(SUBSTITUTE(TRIM(K296),".",""),"/",""),"-","")," ",""),"(",""),")",""),"+",""))=11)),"OK","ERRO: use DDD + número (10 ou 11 dígitos)"))</f>
      </c>
      <c r="T296" s="6">
        <f>IF(L296="","vazio",IF(AND(ISNUMBER(FIND("@",L296)),ISNUMBER(FIND(".",MID(L296,FIND("@",L296),99))),NOT(ISNUMBER(FIND(" ",TRIM(L296)))),NOT(ISNUMBER(FIND(";",L296))),NOT(ISNUMBER(FIND(",",L296)))),"OK","ERRO: um e-mail válido por linha"))</f>
      </c>
      <c r="U296" s="6">
        <f>IF(COUNTA(A296:O296)=0,"",IF(AND(B296&lt;&gt;"",C296&lt;&gt;"",D296&lt;&gt;"",E296&lt;&gt;"",H296&lt;&gt;"",OR(J296&lt;&gt;"",L296&lt;&gt;"")),"OK","ERRO: faltam "&amp;IF(B296="","Proprietário; ","")&amp;IF(C296="","Origem; ","")&amp;IF(D296="","CNPJ; ","")&amp;IF(E296="","Razão Social; ","")&amp;IF(H296="","Sobrenome; ","")&amp;IF(AND(J296="",L296=""),"telefone ou e-mail; ","")))</f>
      </c>
      <c r="V296" s="6">
        <f>IF(COUNTA(A296:O296)=0,"",IF(AND(Q296="OK",R296="OK",LEFT(S296,4)&lt;&gt;"ERRO",LEFT(T296,4)&lt;&gt;"ERRO",U296="OK"),"OK","REVISAR"))</f>
      </c>
    </row>
    <row r="297">
      <c r="A297" s="4"/>
      <c r="B297" s="5"/>
      <c r="C297" s="5"/>
      <c r="D297" s="5"/>
      <c r="E297" s="5"/>
      <c r="F297" s="4"/>
      <c r="G297" s="4"/>
      <c r="H297" s="5"/>
      <c r="I297" s="4"/>
      <c r="J297" s="4"/>
      <c r="K297" s="4"/>
      <c r="L297" s="4"/>
      <c r="M297" s="4"/>
      <c r="N297" s="4"/>
      <c r="O297" s="4"/>
      <c r="P297" s="6">
        <f>IF(D297="","",SUBSTITUTE(SUBSTITUTE(SUBSTITUTE(SUBSTITUTE(SUBSTITUTE(SUBSTITUTE(SUBSTITUTE(TRIM(D297),".",""),"/",""),"-","")," ",""),"(",""),")",""),"+",""))</f>
      </c>
      <c r="Q297" s="6">
        <f>IF(P297="","",IF(LEN(P297)&lt;&gt;14,"ERRO: "&amp;LEN(P297)&amp;" dígitos",IF(NOT(ISNUMBER(VALUE(P297))),"ERRO: não numérico",IF(LEN(SUBSTITUTE(P297,LEFT(P297,1),""))=0,"ERRO: dígitos repetidos",IF(AND(VALUE(MID(P297,13,1))=IF(MOD(SUMPRODUCT(--MID(P297,{1,2,3,4,5,6,7,8,9,10,11,12},1),{5,4,3,2,9,8,7,6,5,4,3,2}),11)&lt;2,0,11-MOD(SUMPRODUCT(--MID(P297,{1,2,3,4,5,6,7,8,9,10,11,12},1),{5,4,3,2,9,8,7,6,5,4,3,2}),11)),VALUE(MID(P297,14,1))=IF(MOD(SUMPRODUCT(--MID(P297,{1,2,3,4,5,6,7,8,9,10,11,12,13},1),{6,5,4,3,2,9,8,7,6,5,4,3,2}),11)&lt;2,0,11-MOD(SUMPRODUCT(--MID(P297,{1,2,3,4,5,6,7,8,9,10,11,12,13},1),{6,5,4,3,2,9,8,7,6,5,4,3,2}),11))),"OK","ERRO: dígito verificador")))))</f>
      </c>
      <c r="R297" s="6">
        <f>IF(P297="","",IF(COUNTIF($P$2:$P$1001,P297)&gt;1,"DUPLICADO","OK"))</f>
      </c>
      <c r="S297" s="6">
        <f>IF(AND(J297="",K297=""),"vazio",IF(AND(OR(J297="",LEN(SUBSTITUTE(SUBSTITUTE(SUBSTITUTE(SUBSTITUTE(SUBSTITUTE(SUBSTITUTE(SUBSTITUTE(TRIM(J297),".",""),"/",""),"-","")," ",""),"(",""),")",""),"+",""))=10,LEN(SUBSTITUTE(SUBSTITUTE(SUBSTITUTE(SUBSTITUTE(SUBSTITUTE(SUBSTITUTE(SUBSTITUTE(TRIM(J297),".",""),"/",""),"-","")," ",""),"(",""),")",""),"+",""))=11),OR(K297="",LEN(SUBSTITUTE(SUBSTITUTE(SUBSTITUTE(SUBSTITUTE(SUBSTITUTE(SUBSTITUTE(SUBSTITUTE(TRIM(K297),".",""),"/",""),"-","")," ",""),"(",""),")",""),"+",""))=10,LEN(SUBSTITUTE(SUBSTITUTE(SUBSTITUTE(SUBSTITUTE(SUBSTITUTE(SUBSTITUTE(SUBSTITUTE(TRIM(K297),".",""),"/",""),"-","")," ",""),"(",""),")",""),"+",""))=11)),"OK","ERRO: use DDD + número (10 ou 11 dígitos)"))</f>
      </c>
      <c r="T297" s="6">
        <f>IF(L297="","vazio",IF(AND(ISNUMBER(FIND("@",L297)),ISNUMBER(FIND(".",MID(L297,FIND("@",L297),99))),NOT(ISNUMBER(FIND(" ",TRIM(L297)))),NOT(ISNUMBER(FIND(";",L297))),NOT(ISNUMBER(FIND(",",L297)))),"OK","ERRO: um e-mail válido por linha"))</f>
      </c>
      <c r="U297" s="6">
        <f>IF(COUNTA(A297:O297)=0,"",IF(AND(B297&lt;&gt;"",C297&lt;&gt;"",D297&lt;&gt;"",E297&lt;&gt;"",H297&lt;&gt;"",OR(J297&lt;&gt;"",L297&lt;&gt;"")),"OK","ERRO: faltam "&amp;IF(B297="","Proprietário; ","")&amp;IF(C297="","Origem; ","")&amp;IF(D297="","CNPJ; ","")&amp;IF(E297="","Razão Social; ","")&amp;IF(H297="","Sobrenome; ","")&amp;IF(AND(J297="",L297=""),"telefone ou e-mail; ","")))</f>
      </c>
      <c r="V297" s="6">
        <f>IF(COUNTA(A297:O297)=0,"",IF(AND(Q297="OK",R297="OK",LEFT(S297,4)&lt;&gt;"ERRO",LEFT(T297,4)&lt;&gt;"ERRO",U297="OK"),"OK","REVISAR"))</f>
      </c>
    </row>
    <row r="298">
      <c r="A298" s="4"/>
      <c r="B298" s="5"/>
      <c r="C298" s="5"/>
      <c r="D298" s="5"/>
      <c r="E298" s="5"/>
      <c r="F298" s="4"/>
      <c r="G298" s="4"/>
      <c r="H298" s="5"/>
      <c r="I298" s="4"/>
      <c r="J298" s="4"/>
      <c r="K298" s="4"/>
      <c r="L298" s="4"/>
      <c r="M298" s="4"/>
      <c r="N298" s="4"/>
      <c r="O298" s="4"/>
      <c r="P298" s="6">
        <f>IF(D298="","",SUBSTITUTE(SUBSTITUTE(SUBSTITUTE(SUBSTITUTE(SUBSTITUTE(SUBSTITUTE(SUBSTITUTE(TRIM(D298),".",""),"/",""),"-","")," ",""),"(",""),")",""),"+",""))</f>
      </c>
      <c r="Q298" s="6">
        <f>IF(P298="","",IF(LEN(P298)&lt;&gt;14,"ERRO: "&amp;LEN(P298)&amp;" dígitos",IF(NOT(ISNUMBER(VALUE(P298))),"ERRO: não numérico",IF(LEN(SUBSTITUTE(P298,LEFT(P298,1),""))=0,"ERRO: dígitos repetidos",IF(AND(VALUE(MID(P298,13,1))=IF(MOD(SUMPRODUCT(--MID(P298,{1,2,3,4,5,6,7,8,9,10,11,12},1),{5,4,3,2,9,8,7,6,5,4,3,2}),11)&lt;2,0,11-MOD(SUMPRODUCT(--MID(P298,{1,2,3,4,5,6,7,8,9,10,11,12},1),{5,4,3,2,9,8,7,6,5,4,3,2}),11)),VALUE(MID(P298,14,1))=IF(MOD(SUMPRODUCT(--MID(P298,{1,2,3,4,5,6,7,8,9,10,11,12,13},1),{6,5,4,3,2,9,8,7,6,5,4,3,2}),11)&lt;2,0,11-MOD(SUMPRODUCT(--MID(P298,{1,2,3,4,5,6,7,8,9,10,11,12,13},1),{6,5,4,3,2,9,8,7,6,5,4,3,2}),11))),"OK","ERRO: dígito verificador")))))</f>
      </c>
      <c r="R298" s="6">
        <f>IF(P298="","",IF(COUNTIF($P$2:$P$1001,P298)&gt;1,"DUPLICADO","OK"))</f>
      </c>
      <c r="S298" s="6">
        <f>IF(AND(J298="",K298=""),"vazio",IF(AND(OR(J298="",LEN(SUBSTITUTE(SUBSTITUTE(SUBSTITUTE(SUBSTITUTE(SUBSTITUTE(SUBSTITUTE(SUBSTITUTE(TRIM(J298),".",""),"/",""),"-","")," ",""),"(",""),")",""),"+",""))=10,LEN(SUBSTITUTE(SUBSTITUTE(SUBSTITUTE(SUBSTITUTE(SUBSTITUTE(SUBSTITUTE(SUBSTITUTE(TRIM(J298),".",""),"/",""),"-","")," ",""),"(",""),")",""),"+",""))=11),OR(K298="",LEN(SUBSTITUTE(SUBSTITUTE(SUBSTITUTE(SUBSTITUTE(SUBSTITUTE(SUBSTITUTE(SUBSTITUTE(TRIM(K298),".",""),"/",""),"-","")," ",""),"(",""),")",""),"+",""))=10,LEN(SUBSTITUTE(SUBSTITUTE(SUBSTITUTE(SUBSTITUTE(SUBSTITUTE(SUBSTITUTE(SUBSTITUTE(TRIM(K298),".",""),"/",""),"-","")," ",""),"(",""),")",""),"+",""))=11)),"OK","ERRO: use DDD + número (10 ou 11 dígitos)"))</f>
      </c>
      <c r="T298" s="6">
        <f>IF(L298="","vazio",IF(AND(ISNUMBER(FIND("@",L298)),ISNUMBER(FIND(".",MID(L298,FIND("@",L298),99))),NOT(ISNUMBER(FIND(" ",TRIM(L298)))),NOT(ISNUMBER(FIND(";",L298))),NOT(ISNUMBER(FIND(",",L298)))),"OK","ERRO: um e-mail válido por linha"))</f>
      </c>
      <c r="U298" s="6">
        <f>IF(COUNTA(A298:O298)=0,"",IF(AND(B298&lt;&gt;"",C298&lt;&gt;"",D298&lt;&gt;"",E298&lt;&gt;"",H298&lt;&gt;"",OR(J298&lt;&gt;"",L298&lt;&gt;"")),"OK","ERRO: faltam "&amp;IF(B298="","Proprietário; ","")&amp;IF(C298="","Origem; ","")&amp;IF(D298="","CNPJ; ","")&amp;IF(E298="","Razão Social; ","")&amp;IF(H298="","Sobrenome; ","")&amp;IF(AND(J298="",L298=""),"telefone ou e-mail; ","")))</f>
      </c>
      <c r="V298" s="6">
        <f>IF(COUNTA(A298:O298)=0,"",IF(AND(Q298="OK",R298="OK",LEFT(S298,4)&lt;&gt;"ERRO",LEFT(T298,4)&lt;&gt;"ERRO",U298="OK"),"OK","REVISAR"))</f>
      </c>
    </row>
    <row r="299">
      <c r="A299" s="4"/>
      <c r="B299" s="5"/>
      <c r="C299" s="5"/>
      <c r="D299" s="5"/>
      <c r="E299" s="5"/>
      <c r="F299" s="4"/>
      <c r="G299" s="4"/>
      <c r="H299" s="5"/>
      <c r="I299" s="4"/>
      <c r="J299" s="4"/>
      <c r="K299" s="4"/>
      <c r="L299" s="4"/>
      <c r="M299" s="4"/>
      <c r="N299" s="4"/>
      <c r="O299" s="4"/>
      <c r="P299" s="6">
        <f>IF(D299="","",SUBSTITUTE(SUBSTITUTE(SUBSTITUTE(SUBSTITUTE(SUBSTITUTE(SUBSTITUTE(SUBSTITUTE(TRIM(D299),".",""),"/",""),"-","")," ",""),"(",""),")",""),"+",""))</f>
      </c>
      <c r="Q299" s="6">
        <f>IF(P299="","",IF(LEN(P299)&lt;&gt;14,"ERRO: "&amp;LEN(P299)&amp;" dígitos",IF(NOT(ISNUMBER(VALUE(P299))),"ERRO: não numérico",IF(LEN(SUBSTITUTE(P299,LEFT(P299,1),""))=0,"ERRO: dígitos repetidos",IF(AND(VALUE(MID(P299,13,1))=IF(MOD(SUMPRODUCT(--MID(P299,{1,2,3,4,5,6,7,8,9,10,11,12},1),{5,4,3,2,9,8,7,6,5,4,3,2}),11)&lt;2,0,11-MOD(SUMPRODUCT(--MID(P299,{1,2,3,4,5,6,7,8,9,10,11,12},1),{5,4,3,2,9,8,7,6,5,4,3,2}),11)),VALUE(MID(P299,14,1))=IF(MOD(SUMPRODUCT(--MID(P299,{1,2,3,4,5,6,7,8,9,10,11,12,13},1),{6,5,4,3,2,9,8,7,6,5,4,3,2}),11)&lt;2,0,11-MOD(SUMPRODUCT(--MID(P299,{1,2,3,4,5,6,7,8,9,10,11,12,13},1),{6,5,4,3,2,9,8,7,6,5,4,3,2}),11))),"OK","ERRO: dígito verificador")))))</f>
      </c>
      <c r="R299" s="6">
        <f>IF(P299="","",IF(COUNTIF($P$2:$P$1001,P299)&gt;1,"DUPLICADO","OK"))</f>
      </c>
      <c r="S299" s="6">
        <f>IF(AND(J299="",K299=""),"vazio",IF(AND(OR(J299="",LEN(SUBSTITUTE(SUBSTITUTE(SUBSTITUTE(SUBSTITUTE(SUBSTITUTE(SUBSTITUTE(SUBSTITUTE(TRIM(J299),".",""),"/",""),"-","")," ",""),"(",""),")",""),"+",""))=10,LEN(SUBSTITUTE(SUBSTITUTE(SUBSTITUTE(SUBSTITUTE(SUBSTITUTE(SUBSTITUTE(SUBSTITUTE(TRIM(J299),".",""),"/",""),"-","")," ",""),"(",""),")",""),"+",""))=11),OR(K299="",LEN(SUBSTITUTE(SUBSTITUTE(SUBSTITUTE(SUBSTITUTE(SUBSTITUTE(SUBSTITUTE(SUBSTITUTE(TRIM(K299),".",""),"/",""),"-","")," ",""),"(",""),")",""),"+",""))=10,LEN(SUBSTITUTE(SUBSTITUTE(SUBSTITUTE(SUBSTITUTE(SUBSTITUTE(SUBSTITUTE(SUBSTITUTE(TRIM(K299),".",""),"/",""),"-","")," ",""),"(",""),")",""),"+",""))=11)),"OK","ERRO: use DDD + número (10 ou 11 dígitos)"))</f>
      </c>
      <c r="T299" s="6">
        <f>IF(L299="","vazio",IF(AND(ISNUMBER(FIND("@",L299)),ISNUMBER(FIND(".",MID(L299,FIND("@",L299),99))),NOT(ISNUMBER(FIND(" ",TRIM(L299)))),NOT(ISNUMBER(FIND(";",L299))),NOT(ISNUMBER(FIND(",",L299)))),"OK","ERRO: um e-mail válido por linha"))</f>
      </c>
      <c r="U299" s="6">
        <f>IF(COUNTA(A299:O299)=0,"",IF(AND(B299&lt;&gt;"",C299&lt;&gt;"",D299&lt;&gt;"",E299&lt;&gt;"",H299&lt;&gt;"",OR(J299&lt;&gt;"",L299&lt;&gt;"")),"OK","ERRO: faltam "&amp;IF(B299="","Proprietário; ","")&amp;IF(C299="","Origem; ","")&amp;IF(D299="","CNPJ; ","")&amp;IF(E299="","Razão Social; ","")&amp;IF(H299="","Sobrenome; ","")&amp;IF(AND(J299="",L299=""),"telefone ou e-mail; ","")))</f>
      </c>
      <c r="V299" s="6">
        <f>IF(COUNTA(A299:O299)=0,"",IF(AND(Q299="OK",R299="OK",LEFT(S299,4)&lt;&gt;"ERRO",LEFT(T299,4)&lt;&gt;"ERRO",U299="OK"),"OK","REVISAR"))</f>
      </c>
    </row>
    <row r="300">
      <c r="A300" s="4"/>
      <c r="B300" s="5"/>
      <c r="C300" s="5"/>
      <c r="D300" s="5"/>
      <c r="E300" s="5"/>
      <c r="F300" s="4"/>
      <c r="G300" s="4"/>
      <c r="H300" s="5"/>
      <c r="I300" s="4"/>
      <c r="J300" s="4"/>
      <c r="K300" s="4"/>
      <c r="L300" s="4"/>
      <c r="M300" s="4"/>
      <c r="N300" s="4"/>
      <c r="O300" s="4"/>
      <c r="P300" s="6">
        <f>IF(D300="","",SUBSTITUTE(SUBSTITUTE(SUBSTITUTE(SUBSTITUTE(SUBSTITUTE(SUBSTITUTE(SUBSTITUTE(TRIM(D300),".",""),"/",""),"-","")," ",""),"(",""),")",""),"+",""))</f>
      </c>
      <c r="Q300" s="6">
        <f>IF(P300="","",IF(LEN(P300)&lt;&gt;14,"ERRO: "&amp;LEN(P300)&amp;" dígitos",IF(NOT(ISNUMBER(VALUE(P300))),"ERRO: não numérico",IF(LEN(SUBSTITUTE(P300,LEFT(P300,1),""))=0,"ERRO: dígitos repetidos",IF(AND(VALUE(MID(P300,13,1))=IF(MOD(SUMPRODUCT(--MID(P300,{1,2,3,4,5,6,7,8,9,10,11,12},1),{5,4,3,2,9,8,7,6,5,4,3,2}),11)&lt;2,0,11-MOD(SUMPRODUCT(--MID(P300,{1,2,3,4,5,6,7,8,9,10,11,12},1),{5,4,3,2,9,8,7,6,5,4,3,2}),11)),VALUE(MID(P300,14,1))=IF(MOD(SUMPRODUCT(--MID(P300,{1,2,3,4,5,6,7,8,9,10,11,12,13},1),{6,5,4,3,2,9,8,7,6,5,4,3,2}),11)&lt;2,0,11-MOD(SUMPRODUCT(--MID(P300,{1,2,3,4,5,6,7,8,9,10,11,12,13},1),{6,5,4,3,2,9,8,7,6,5,4,3,2}),11))),"OK","ERRO: dígito verificador")))))</f>
      </c>
      <c r="R300" s="6">
        <f>IF(P300="","",IF(COUNTIF($P$2:$P$1001,P300)&gt;1,"DUPLICADO","OK"))</f>
      </c>
      <c r="S300" s="6">
        <f>IF(AND(J300="",K300=""),"vazio",IF(AND(OR(J300="",LEN(SUBSTITUTE(SUBSTITUTE(SUBSTITUTE(SUBSTITUTE(SUBSTITUTE(SUBSTITUTE(SUBSTITUTE(TRIM(J300),".",""),"/",""),"-","")," ",""),"(",""),")",""),"+",""))=10,LEN(SUBSTITUTE(SUBSTITUTE(SUBSTITUTE(SUBSTITUTE(SUBSTITUTE(SUBSTITUTE(SUBSTITUTE(TRIM(J300),".",""),"/",""),"-","")," ",""),"(",""),")",""),"+",""))=11),OR(K300="",LEN(SUBSTITUTE(SUBSTITUTE(SUBSTITUTE(SUBSTITUTE(SUBSTITUTE(SUBSTITUTE(SUBSTITUTE(TRIM(K300),".",""),"/",""),"-","")," ",""),"(",""),")",""),"+",""))=10,LEN(SUBSTITUTE(SUBSTITUTE(SUBSTITUTE(SUBSTITUTE(SUBSTITUTE(SUBSTITUTE(SUBSTITUTE(TRIM(K300),".",""),"/",""),"-","")," ",""),"(",""),")",""),"+",""))=11)),"OK","ERRO: use DDD + número (10 ou 11 dígitos)"))</f>
      </c>
      <c r="T300" s="6">
        <f>IF(L300="","vazio",IF(AND(ISNUMBER(FIND("@",L300)),ISNUMBER(FIND(".",MID(L300,FIND("@",L300),99))),NOT(ISNUMBER(FIND(" ",TRIM(L300)))),NOT(ISNUMBER(FIND(";",L300))),NOT(ISNUMBER(FIND(",",L300)))),"OK","ERRO: um e-mail válido por linha"))</f>
      </c>
      <c r="U300" s="6">
        <f>IF(COUNTA(A300:O300)=0,"",IF(AND(B300&lt;&gt;"",C300&lt;&gt;"",D300&lt;&gt;"",E300&lt;&gt;"",H300&lt;&gt;"",OR(J300&lt;&gt;"",L300&lt;&gt;"")),"OK","ERRO: faltam "&amp;IF(B300="","Proprietário; ","")&amp;IF(C300="","Origem; ","")&amp;IF(D300="","CNPJ; ","")&amp;IF(E300="","Razão Social; ","")&amp;IF(H300="","Sobrenome; ","")&amp;IF(AND(J300="",L300=""),"telefone ou e-mail; ","")))</f>
      </c>
      <c r="V300" s="6">
        <f>IF(COUNTA(A300:O300)=0,"",IF(AND(Q300="OK",R300="OK",LEFT(S300,4)&lt;&gt;"ERRO",LEFT(T300,4)&lt;&gt;"ERRO",U300="OK"),"OK","REVISAR"))</f>
      </c>
    </row>
    <row r="301">
      <c r="A301" s="4"/>
      <c r="B301" s="5"/>
      <c r="C301" s="5"/>
      <c r="D301" s="5"/>
      <c r="E301" s="5"/>
      <c r="F301" s="4"/>
      <c r="G301" s="4"/>
      <c r="H301" s="5"/>
      <c r="I301" s="4"/>
      <c r="J301" s="4"/>
      <c r="K301" s="4"/>
      <c r="L301" s="4"/>
      <c r="M301" s="4"/>
      <c r="N301" s="4"/>
      <c r="O301" s="4"/>
      <c r="P301" s="6">
        <f>IF(D301="","",SUBSTITUTE(SUBSTITUTE(SUBSTITUTE(SUBSTITUTE(SUBSTITUTE(SUBSTITUTE(SUBSTITUTE(TRIM(D301),".",""),"/",""),"-","")," ",""),"(",""),")",""),"+",""))</f>
      </c>
      <c r="Q301" s="6">
        <f>IF(P301="","",IF(LEN(P301)&lt;&gt;14,"ERRO: "&amp;LEN(P301)&amp;" dígitos",IF(NOT(ISNUMBER(VALUE(P301))),"ERRO: não numérico",IF(LEN(SUBSTITUTE(P301,LEFT(P301,1),""))=0,"ERRO: dígitos repetidos",IF(AND(VALUE(MID(P301,13,1))=IF(MOD(SUMPRODUCT(--MID(P301,{1,2,3,4,5,6,7,8,9,10,11,12},1),{5,4,3,2,9,8,7,6,5,4,3,2}),11)&lt;2,0,11-MOD(SUMPRODUCT(--MID(P301,{1,2,3,4,5,6,7,8,9,10,11,12},1),{5,4,3,2,9,8,7,6,5,4,3,2}),11)),VALUE(MID(P301,14,1))=IF(MOD(SUMPRODUCT(--MID(P301,{1,2,3,4,5,6,7,8,9,10,11,12,13},1),{6,5,4,3,2,9,8,7,6,5,4,3,2}),11)&lt;2,0,11-MOD(SUMPRODUCT(--MID(P301,{1,2,3,4,5,6,7,8,9,10,11,12,13},1),{6,5,4,3,2,9,8,7,6,5,4,3,2}),11))),"OK","ERRO: dígito verificador")))))</f>
      </c>
      <c r="R301" s="6">
        <f>IF(P301="","",IF(COUNTIF($P$2:$P$1001,P301)&gt;1,"DUPLICADO","OK"))</f>
      </c>
      <c r="S301" s="6">
        <f>IF(AND(J301="",K301=""),"vazio",IF(AND(OR(J301="",LEN(SUBSTITUTE(SUBSTITUTE(SUBSTITUTE(SUBSTITUTE(SUBSTITUTE(SUBSTITUTE(SUBSTITUTE(TRIM(J301),".",""),"/",""),"-","")," ",""),"(",""),")",""),"+",""))=10,LEN(SUBSTITUTE(SUBSTITUTE(SUBSTITUTE(SUBSTITUTE(SUBSTITUTE(SUBSTITUTE(SUBSTITUTE(TRIM(J301),".",""),"/",""),"-","")," ",""),"(",""),")",""),"+",""))=11),OR(K301="",LEN(SUBSTITUTE(SUBSTITUTE(SUBSTITUTE(SUBSTITUTE(SUBSTITUTE(SUBSTITUTE(SUBSTITUTE(TRIM(K301),".",""),"/",""),"-","")," ",""),"(",""),")",""),"+",""))=10,LEN(SUBSTITUTE(SUBSTITUTE(SUBSTITUTE(SUBSTITUTE(SUBSTITUTE(SUBSTITUTE(SUBSTITUTE(TRIM(K301),".",""),"/",""),"-","")," ",""),"(",""),")",""),"+",""))=11)),"OK","ERRO: use DDD + número (10 ou 11 dígitos)"))</f>
      </c>
      <c r="T301" s="6">
        <f>IF(L301="","vazio",IF(AND(ISNUMBER(FIND("@",L301)),ISNUMBER(FIND(".",MID(L301,FIND("@",L301),99))),NOT(ISNUMBER(FIND(" ",TRIM(L301)))),NOT(ISNUMBER(FIND(";",L301))),NOT(ISNUMBER(FIND(",",L301)))),"OK","ERRO: um e-mail válido por linha"))</f>
      </c>
      <c r="U301" s="6">
        <f>IF(COUNTA(A301:O301)=0,"",IF(AND(B301&lt;&gt;"",C301&lt;&gt;"",D301&lt;&gt;"",E301&lt;&gt;"",H301&lt;&gt;"",OR(J301&lt;&gt;"",L301&lt;&gt;"")),"OK","ERRO: faltam "&amp;IF(B301="","Proprietário; ","")&amp;IF(C301="","Origem; ","")&amp;IF(D301="","CNPJ; ","")&amp;IF(E301="","Razão Social; ","")&amp;IF(H301="","Sobrenome; ","")&amp;IF(AND(J301="",L301=""),"telefone ou e-mail; ","")))</f>
      </c>
      <c r="V301" s="6">
        <f>IF(COUNTA(A301:O301)=0,"",IF(AND(Q301="OK",R301="OK",LEFT(S301,4)&lt;&gt;"ERRO",LEFT(T301,4)&lt;&gt;"ERRO",U301="OK"),"OK","REVISAR"))</f>
      </c>
    </row>
    <row r="302">
      <c r="A302" s="4"/>
      <c r="B302" s="5"/>
      <c r="C302" s="5"/>
      <c r="D302" s="5"/>
      <c r="E302" s="5"/>
      <c r="F302" s="4"/>
      <c r="G302" s="4"/>
      <c r="H302" s="5"/>
      <c r="I302" s="4"/>
      <c r="J302" s="4"/>
      <c r="K302" s="4"/>
      <c r="L302" s="4"/>
      <c r="M302" s="4"/>
      <c r="N302" s="4"/>
      <c r="O302" s="4"/>
      <c r="P302" s="6">
        <f>IF(D302="","",SUBSTITUTE(SUBSTITUTE(SUBSTITUTE(SUBSTITUTE(SUBSTITUTE(SUBSTITUTE(SUBSTITUTE(TRIM(D302),".",""),"/",""),"-","")," ",""),"(",""),")",""),"+",""))</f>
      </c>
      <c r="Q302" s="6">
        <f>IF(P302="","",IF(LEN(P302)&lt;&gt;14,"ERRO: "&amp;LEN(P302)&amp;" dígitos",IF(NOT(ISNUMBER(VALUE(P302))),"ERRO: não numérico",IF(LEN(SUBSTITUTE(P302,LEFT(P302,1),""))=0,"ERRO: dígitos repetidos",IF(AND(VALUE(MID(P302,13,1))=IF(MOD(SUMPRODUCT(--MID(P302,{1,2,3,4,5,6,7,8,9,10,11,12},1),{5,4,3,2,9,8,7,6,5,4,3,2}),11)&lt;2,0,11-MOD(SUMPRODUCT(--MID(P302,{1,2,3,4,5,6,7,8,9,10,11,12},1),{5,4,3,2,9,8,7,6,5,4,3,2}),11)),VALUE(MID(P302,14,1))=IF(MOD(SUMPRODUCT(--MID(P302,{1,2,3,4,5,6,7,8,9,10,11,12,13},1),{6,5,4,3,2,9,8,7,6,5,4,3,2}),11)&lt;2,0,11-MOD(SUMPRODUCT(--MID(P302,{1,2,3,4,5,6,7,8,9,10,11,12,13},1),{6,5,4,3,2,9,8,7,6,5,4,3,2}),11))),"OK","ERRO: dígito verificador")))))</f>
      </c>
      <c r="R302" s="6">
        <f>IF(P302="","",IF(COUNTIF($P$2:$P$1001,P302)&gt;1,"DUPLICADO","OK"))</f>
      </c>
      <c r="S302" s="6">
        <f>IF(AND(J302="",K302=""),"vazio",IF(AND(OR(J302="",LEN(SUBSTITUTE(SUBSTITUTE(SUBSTITUTE(SUBSTITUTE(SUBSTITUTE(SUBSTITUTE(SUBSTITUTE(TRIM(J302),".",""),"/",""),"-","")," ",""),"(",""),")",""),"+",""))=10,LEN(SUBSTITUTE(SUBSTITUTE(SUBSTITUTE(SUBSTITUTE(SUBSTITUTE(SUBSTITUTE(SUBSTITUTE(TRIM(J302),".",""),"/",""),"-","")," ",""),"(",""),")",""),"+",""))=11),OR(K302="",LEN(SUBSTITUTE(SUBSTITUTE(SUBSTITUTE(SUBSTITUTE(SUBSTITUTE(SUBSTITUTE(SUBSTITUTE(TRIM(K302),".",""),"/",""),"-","")," ",""),"(",""),")",""),"+",""))=10,LEN(SUBSTITUTE(SUBSTITUTE(SUBSTITUTE(SUBSTITUTE(SUBSTITUTE(SUBSTITUTE(SUBSTITUTE(TRIM(K302),".",""),"/",""),"-","")," ",""),"(",""),")",""),"+",""))=11)),"OK","ERRO: use DDD + número (10 ou 11 dígitos)"))</f>
      </c>
      <c r="T302" s="6">
        <f>IF(L302="","vazio",IF(AND(ISNUMBER(FIND("@",L302)),ISNUMBER(FIND(".",MID(L302,FIND("@",L302),99))),NOT(ISNUMBER(FIND(" ",TRIM(L302)))),NOT(ISNUMBER(FIND(";",L302))),NOT(ISNUMBER(FIND(",",L302)))),"OK","ERRO: um e-mail válido por linha"))</f>
      </c>
      <c r="U302" s="6">
        <f>IF(COUNTA(A302:O302)=0,"",IF(AND(B302&lt;&gt;"",C302&lt;&gt;"",D302&lt;&gt;"",E302&lt;&gt;"",H302&lt;&gt;"",OR(J302&lt;&gt;"",L302&lt;&gt;"")),"OK","ERRO: faltam "&amp;IF(B302="","Proprietário; ","")&amp;IF(C302="","Origem; ","")&amp;IF(D302="","CNPJ; ","")&amp;IF(E302="","Razão Social; ","")&amp;IF(H302="","Sobrenome; ","")&amp;IF(AND(J302="",L302=""),"telefone ou e-mail; ","")))</f>
      </c>
      <c r="V302" s="6">
        <f>IF(COUNTA(A302:O302)=0,"",IF(AND(Q302="OK",R302="OK",LEFT(S302,4)&lt;&gt;"ERRO",LEFT(T302,4)&lt;&gt;"ERRO",U302="OK"),"OK","REVISAR"))</f>
      </c>
    </row>
    <row r="303">
      <c r="A303" s="4"/>
      <c r="B303" s="5"/>
      <c r="C303" s="5"/>
      <c r="D303" s="5"/>
      <c r="E303" s="5"/>
      <c r="F303" s="4"/>
      <c r="G303" s="4"/>
      <c r="H303" s="5"/>
      <c r="I303" s="4"/>
      <c r="J303" s="4"/>
      <c r="K303" s="4"/>
      <c r="L303" s="4"/>
      <c r="M303" s="4"/>
      <c r="N303" s="4"/>
      <c r="O303" s="4"/>
      <c r="P303" s="6">
        <f>IF(D303="","",SUBSTITUTE(SUBSTITUTE(SUBSTITUTE(SUBSTITUTE(SUBSTITUTE(SUBSTITUTE(SUBSTITUTE(TRIM(D303),".",""),"/",""),"-","")," ",""),"(",""),")",""),"+",""))</f>
      </c>
      <c r="Q303" s="6">
        <f>IF(P303="","",IF(LEN(P303)&lt;&gt;14,"ERRO: "&amp;LEN(P303)&amp;" dígitos",IF(NOT(ISNUMBER(VALUE(P303))),"ERRO: não numérico",IF(LEN(SUBSTITUTE(P303,LEFT(P303,1),""))=0,"ERRO: dígitos repetidos",IF(AND(VALUE(MID(P303,13,1))=IF(MOD(SUMPRODUCT(--MID(P303,{1,2,3,4,5,6,7,8,9,10,11,12},1),{5,4,3,2,9,8,7,6,5,4,3,2}),11)&lt;2,0,11-MOD(SUMPRODUCT(--MID(P303,{1,2,3,4,5,6,7,8,9,10,11,12},1),{5,4,3,2,9,8,7,6,5,4,3,2}),11)),VALUE(MID(P303,14,1))=IF(MOD(SUMPRODUCT(--MID(P303,{1,2,3,4,5,6,7,8,9,10,11,12,13},1),{6,5,4,3,2,9,8,7,6,5,4,3,2}),11)&lt;2,0,11-MOD(SUMPRODUCT(--MID(P303,{1,2,3,4,5,6,7,8,9,10,11,12,13},1),{6,5,4,3,2,9,8,7,6,5,4,3,2}),11))),"OK","ERRO: dígito verificador")))))</f>
      </c>
      <c r="R303" s="6">
        <f>IF(P303="","",IF(COUNTIF($P$2:$P$1001,P303)&gt;1,"DUPLICADO","OK"))</f>
      </c>
      <c r="S303" s="6">
        <f>IF(AND(J303="",K303=""),"vazio",IF(AND(OR(J303="",LEN(SUBSTITUTE(SUBSTITUTE(SUBSTITUTE(SUBSTITUTE(SUBSTITUTE(SUBSTITUTE(SUBSTITUTE(TRIM(J303),".",""),"/",""),"-","")," ",""),"(",""),")",""),"+",""))=10,LEN(SUBSTITUTE(SUBSTITUTE(SUBSTITUTE(SUBSTITUTE(SUBSTITUTE(SUBSTITUTE(SUBSTITUTE(TRIM(J303),".",""),"/",""),"-","")," ",""),"(",""),")",""),"+",""))=11),OR(K303="",LEN(SUBSTITUTE(SUBSTITUTE(SUBSTITUTE(SUBSTITUTE(SUBSTITUTE(SUBSTITUTE(SUBSTITUTE(TRIM(K303),".",""),"/",""),"-","")," ",""),"(",""),")",""),"+",""))=10,LEN(SUBSTITUTE(SUBSTITUTE(SUBSTITUTE(SUBSTITUTE(SUBSTITUTE(SUBSTITUTE(SUBSTITUTE(TRIM(K303),".",""),"/",""),"-","")," ",""),"(",""),")",""),"+",""))=11)),"OK","ERRO: use DDD + número (10 ou 11 dígitos)"))</f>
      </c>
      <c r="T303" s="6">
        <f>IF(L303="","vazio",IF(AND(ISNUMBER(FIND("@",L303)),ISNUMBER(FIND(".",MID(L303,FIND("@",L303),99))),NOT(ISNUMBER(FIND(" ",TRIM(L303)))),NOT(ISNUMBER(FIND(";",L303))),NOT(ISNUMBER(FIND(",",L303)))),"OK","ERRO: um e-mail válido por linha"))</f>
      </c>
      <c r="U303" s="6">
        <f>IF(COUNTA(A303:O303)=0,"",IF(AND(B303&lt;&gt;"",C303&lt;&gt;"",D303&lt;&gt;"",E303&lt;&gt;"",H303&lt;&gt;"",OR(J303&lt;&gt;"",L303&lt;&gt;"")),"OK","ERRO: faltam "&amp;IF(B303="","Proprietário; ","")&amp;IF(C303="","Origem; ","")&amp;IF(D303="","CNPJ; ","")&amp;IF(E303="","Razão Social; ","")&amp;IF(H303="","Sobrenome; ","")&amp;IF(AND(J303="",L303=""),"telefone ou e-mail; ","")))</f>
      </c>
      <c r="V303" s="6">
        <f>IF(COUNTA(A303:O303)=0,"",IF(AND(Q303="OK",R303="OK",LEFT(S303,4)&lt;&gt;"ERRO",LEFT(T303,4)&lt;&gt;"ERRO",U303="OK"),"OK","REVISAR"))</f>
      </c>
    </row>
    <row r="304">
      <c r="A304" s="4"/>
      <c r="B304" s="5"/>
      <c r="C304" s="5"/>
      <c r="D304" s="5"/>
      <c r="E304" s="5"/>
      <c r="F304" s="4"/>
      <c r="G304" s="4"/>
      <c r="H304" s="5"/>
      <c r="I304" s="4"/>
      <c r="J304" s="4"/>
      <c r="K304" s="4"/>
      <c r="L304" s="4"/>
      <c r="M304" s="4"/>
      <c r="N304" s="4"/>
      <c r="O304" s="4"/>
      <c r="P304" s="6">
        <f>IF(D304="","",SUBSTITUTE(SUBSTITUTE(SUBSTITUTE(SUBSTITUTE(SUBSTITUTE(SUBSTITUTE(SUBSTITUTE(TRIM(D304),".",""),"/",""),"-","")," ",""),"(",""),")",""),"+",""))</f>
      </c>
      <c r="Q304" s="6">
        <f>IF(P304="","",IF(LEN(P304)&lt;&gt;14,"ERRO: "&amp;LEN(P304)&amp;" dígitos",IF(NOT(ISNUMBER(VALUE(P304))),"ERRO: não numérico",IF(LEN(SUBSTITUTE(P304,LEFT(P304,1),""))=0,"ERRO: dígitos repetidos",IF(AND(VALUE(MID(P304,13,1))=IF(MOD(SUMPRODUCT(--MID(P304,{1,2,3,4,5,6,7,8,9,10,11,12},1),{5,4,3,2,9,8,7,6,5,4,3,2}),11)&lt;2,0,11-MOD(SUMPRODUCT(--MID(P304,{1,2,3,4,5,6,7,8,9,10,11,12},1),{5,4,3,2,9,8,7,6,5,4,3,2}),11)),VALUE(MID(P304,14,1))=IF(MOD(SUMPRODUCT(--MID(P304,{1,2,3,4,5,6,7,8,9,10,11,12,13},1),{6,5,4,3,2,9,8,7,6,5,4,3,2}),11)&lt;2,0,11-MOD(SUMPRODUCT(--MID(P304,{1,2,3,4,5,6,7,8,9,10,11,12,13},1),{6,5,4,3,2,9,8,7,6,5,4,3,2}),11))),"OK","ERRO: dígito verificador")))))</f>
      </c>
      <c r="R304" s="6">
        <f>IF(P304="","",IF(COUNTIF($P$2:$P$1001,P304)&gt;1,"DUPLICADO","OK"))</f>
      </c>
      <c r="S304" s="6">
        <f>IF(AND(J304="",K304=""),"vazio",IF(AND(OR(J304="",LEN(SUBSTITUTE(SUBSTITUTE(SUBSTITUTE(SUBSTITUTE(SUBSTITUTE(SUBSTITUTE(SUBSTITUTE(TRIM(J304),".",""),"/",""),"-","")," ",""),"(",""),")",""),"+",""))=10,LEN(SUBSTITUTE(SUBSTITUTE(SUBSTITUTE(SUBSTITUTE(SUBSTITUTE(SUBSTITUTE(SUBSTITUTE(TRIM(J304),".",""),"/",""),"-","")," ",""),"(",""),")",""),"+",""))=11),OR(K304="",LEN(SUBSTITUTE(SUBSTITUTE(SUBSTITUTE(SUBSTITUTE(SUBSTITUTE(SUBSTITUTE(SUBSTITUTE(TRIM(K304),".",""),"/",""),"-","")," ",""),"(",""),")",""),"+",""))=10,LEN(SUBSTITUTE(SUBSTITUTE(SUBSTITUTE(SUBSTITUTE(SUBSTITUTE(SUBSTITUTE(SUBSTITUTE(TRIM(K304),".",""),"/",""),"-","")," ",""),"(",""),")",""),"+",""))=11)),"OK","ERRO: use DDD + número (10 ou 11 dígitos)"))</f>
      </c>
      <c r="T304" s="6">
        <f>IF(L304="","vazio",IF(AND(ISNUMBER(FIND("@",L304)),ISNUMBER(FIND(".",MID(L304,FIND("@",L304),99))),NOT(ISNUMBER(FIND(" ",TRIM(L304)))),NOT(ISNUMBER(FIND(";",L304))),NOT(ISNUMBER(FIND(",",L304)))),"OK","ERRO: um e-mail válido por linha"))</f>
      </c>
      <c r="U304" s="6">
        <f>IF(COUNTA(A304:O304)=0,"",IF(AND(B304&lt;&gt;"",C304&lt;&gt;"",D304&lt;&gt;"",E304&lt;&gt;"",H304&lt;&gt;"",OR(J304&lt;&gt;"",L304&lt;&gt;"")),"OK","ERRO: faltam "&amp;IF(B304="","Proprietário; ","")&amp;IF(C304="","Origem; ","")&amp;IF(D304="","CNPJ; ","")&amp;IF(E304="","Razão Social; ","")&amp;IF(H304="","Sobrenome; ","")&amp;IF(AND(J304="",L304=""),"telefone ou e-mail; ","")))</f>
      </c>
      <c r="V304" s="6">
        <f>IF(COUNTA(A304:O304)=0,"",IF(AND(Q304="OK",R304="OK",LEFT(S304,4)&lt;&gt;"ERRO",LEFT(T304,4)&lt;&gt;"ERRO",U304="OK"),"OK","REVISAR"))</f>
      </c>
    </row>
    <row r="305">
      <c r="A305" s="4"/>
      <c r="B305" s="5"/>
      <c r="C305" s="5"/>
      <c r="D305" s="5"/>
      <c r="E305" s="5"/>
      <c r="F305" s="4"/>
      <c r="G305" s="4"/>
      <c r="H305" s="5"/>
      <c r="I305" s="4"/>
      <c r="J305" s="4"/>
      <c r="K305" s="4"/>
      <c r="L305" s="4"/>
      <c r="M305" s="4"/>
      <c r="N305" s="4"/>
      <c r="O305" s="4"/>
      <c r="P305" s="6">
        <f>IF(D305="","",SUBSTITUTE(SUBSTITUTE(SUBSTITUTE(SUBSTITUTE(SUBSTITUTE(SUBSTITUTE(SUBSTITUTE(TRIM(D305),".",""),"/",""),"-","")," ",""),"(",""),")",""),"+",""))</f>
      </c>
      <c r="Q305" s="6">
        <f>IF(P305="","",IF(LEN(P305)&lt;&gt;14,"ERRO: "&amp;LEN(P305)&amp;" dígitos",IF(NOT(ISNUMBER(VALUE(P305))),"ERRO: não numérico",IF(LEN(SUBSTITUTE(P305,LEFT(P305,1),""))=0,"ERRO: dígitos repetidos",IF(AND(VALUE(MID(P305,13,1))=IF(MOD(SUMPRODUCT(--MID(P305,{1,2,3,4,5,6,7,8,9,10,11,12},1),{5,4,3,2,9,8,7,6,5,4,3,2}),11)&lt;2,0,11-MOD(SUMPRODUCT(--MID(P305,{1,2,3,4,5,6,7,8,9,10,11,12},1),{5,4,3,2,9,8,7,6,5,4,3,2}),11)),VALUE(MID(P305,14,1))=IF(MOD(SUMPRODUCT(--MID(P305,{1,2,3,4,5,6,7,8,9,10,11,12,13},1),{6,5,4,3,2,9,8,7,6,5,4,3,2}),11)&lt;2,0,11-MOD(SUMPRODUCT(--MID(P305,{1,2,3,4,5,6,7,8,9,10,11,12,13},1),{6,5,4,3,2,9,8,7,6,5,4,3,2}),11))),"OK","ERRO: dígito verificador")))))</f>
      </c>
      <c r="R305" s="6">
        <f>IF(P305="","",IF(COUNTIF($P$2:$P$1001,P305)&gt;1,"DUPLICADO","OK"))</f>
      </c>
      <c r="S305" s="6">
        <f>IF(AND(J305="",K305=""),"vazio",IF(AND(OR(J305="",LEN(SUBSTITUTE(SUBSTITUTE(SUBSTITUTE(SUBSTITUTE(SUBSTITUTE(SUBSTITUTE(SUBSTITUTE(TRIM(J305),".",""),"/",""),"-","")," ",""),"(",""),")",""),"+",""))=10,LEN(SUBSTITUTE(SUBSTITUTE(SUBSTITUTE(SUBSTITUTE(SUBSTITUTE(SUBSTITUTE(SUBSTITUTE(TRIM(J305),".",""),"/",""),"-","")," ",""),"(",""),")",""),"+",""))=11),OR(K305="",LEN(SUBSTITUTE(SUBSTITUTE(SUBSTITUTE(SUBSTITUTE(SUBSTITUTE(SUBSTITUTE(SUBSTITUTE(TRIM(K305),".",""),"/",""),"-","")," ",""),"(",""),")",""),"+",""))=10,LEN(SUBSTITUTE(SUBSTITUTE(SUBSTITUTE(SUBSTITUTE(SUBSTITUTE(SUBSTITUTE(SUBSTITUTE(TRIM(K305),".",""),"/",""),"-","")," ",""),"(",""),")",""),"+",""))=11)),"OK","ERRO: use DDD + número (10 ou 11 dígitos)"))</f>
      </c>
      <c r="T305" s="6">
        <f>IF(L305="","vazio",IF(AND(ISNUMBER(FIND("@",L305)),ISNUMBER(FIND(".",MID(L305,FIND("@",L305),99))),NOT(ISNUMBER(FIND(" ",TRIM(L305)))),NOT(ISNUMBER(FIND(";",L305))),NOT(ISNUMBER(FIND(",",L305)))),"OK","ERRO: um e-mail válido por linha"))</f>
      </c>
      <c r="U305" s="6">
        <f>IF(COUNTA(A305:O305)=0,"",IF(AND(B305&lt;&gt;"",C305&lt;&gt;"",D305&lt;&gt;"",E305&lt;&gt;"",H305&lt;&gt;"",OR(J305&lt;&gt;"",L305&lt;&gt;"")),"OK","ERRO: faltam "&amp;IF(B305="","Proprietário; ","")&amp;IF(C305="","Origem; ","")&amp;IF(D305="","CNPJ; ","")&amp;IF(E305="","Razão Social; ","")&amp;IF(H305="","Sobrenome; ","")&amp;IF(AND(J305="",L305=""),"telefone ou e-mail; ","")))</f>
      </c>
      <c r="V305" s="6">
        <f>IF(COUNTA(A305:O305)=0,"",IF(AND(Q305="OK",R305="OK",LEFT(S305,4)&lt;&gt;"ERRO",LEFT(T305,4)&lt;&gt;"ERRO",U305="OK"),"OK","REVISAR"))</f>
      </c>
    </row>
    <row r="306">
      <c r="A306" s="4"/>
      <c r="B306" s="5"/>
      <c r="C306" s="5"/>
      <c r="D306" s="5"/>
      <c r="E306" s="5"/>
      <c r="F306" s="4"/>
      <c r="G306" s="4"/>
      <c r="H306" s="5"/>
      <c r="I306" s="4"/>
      <c r="J306" s="4"/>
      <c r="K306" s="4"/>
      <c r="L306" s="4"/>
      <c r="M306" s="4"/>
      <c r="N306" s="4"/>
      <c r="O306" s="4"/>
      <c r="P306" s="6">
        <f>IF(D306="","",SUBSTITUTE(SUBSTITUTE(SUBSTITUTE(SUBSTITUTE(SUBSTITUTE(SUBSTITUTE(SUBSTITUTE(TRIM(D306),".",""),"/",""),"-","")," ",""),"(",""),")",""),"+",""))</f>
      </c>
      <c r="Q306" s="6">
        <f>IF(P306="","",IF(LEN(P306)&lt;&gt;14,"ERRO: "&amp;LEN(P306)&amp;" dígitos",IF(NOT(ISNUMBER(VALUE(P306))),"ERRO: não numérico",IF(LEN(SUBSTITUTE(P306,LEFT(P306,1),""))=0,"ERRO: dígitos repetidos",IF(AND(VALUE(MID(P306,13,1))=IF(MOD(SUMPRODUCT(--MID(P306,{1,2,3,4,5,6,7,8,9,10,11,12},1),{5,4,3,2,9,8,7,6,5,4,3,2}),11)&lt;2,0,11-MOD(SUMPRODUCT(--MID(P306,{1,2,3,4,5,6,7,8,9,10,11,12},1),{5,4,3,2,9,8,7,6,5,4,3,2}),11)),VALUE(MID(P306,14,1))=IF(MOD(SUMPRODUCT(--MID(P306,{1,2,3,4,5,6,7,8,9,10,11,12,13},1),{6,5,4,3,2,9,8,7,6,5,4,3,2}),11)&lt;2,0,11-MOD(SUMPRODUCT(--MID(P306,{1,2,3,4,5,6,7,8,9,10,11,12,13},1),{6,5,4,3,2,9,8,7,6,5,4,3,2}),11))),"OK","ERRO: dígito verificador")))))</f>
      </c>
      <c r="R306" s="6">
        <f>IF(P306="","",IF(COUNTIF($P$2:$P$1001,P306)&gt;1,"DUPLICADO","OK"))</f>
      </c>
      <c r="S306" s="6">
        <f>IF(AND(J306="",K306=""),"vazio",IF(AND(OR(J306="",LEN(SUBSTITUTE(SUBSTITUTE(SUBSTITUTE(SUBSTITUTE(SUBSTITUTE(SUBSTITUTE(SUBSTITUTE(TRIM(J306),".",""),"/",""),"-","")," ",""),"(",""),")",""),"+",""))=10,LEN(SUBSTITUTE(SUBSTITUTE(SUBSTITUTE(SUBSTITUTE(SUBSTITUTE(SUBSTITUTE(SUBSTITUTE(TRIM(J306),".",""),"/",""),"-","")," ",""),"(",""),")",""),"+",""))=11),OR(K306="",LEN(SUBSTITUTE(SUBSTITUTE(SUBSTITUTE(SUBSTITUTE(SUBSTITUTE(SUBSTITUTE(SUBSTITUTE(TRIM(K306),".",""),"/",""),"-","")," ",""),"(",""),")",""),"+",""))=10,LEN(SUBSTITUTE(SUBSTITUTE(SUBSTITUTE(SUBSTITUTE(SUBSTITUTE(SUBSTITUTE(SUBSTITUTE(TRIM(K306),".",""),"/",""),"-","")," ",""),"(",""),")",""),"+",""))=11)),"OK","ERRO: use DDD + número (10 ou 11 dígitos)"))</f>
      </c>
      <c r="T306" s="6">
        <f>IF(L306="","vazio",IF(AND(ISNUMBER(FIND("@",L306)),ISNUMBER(FIND(".",MID(L306,FIND("@",L306),99))),NOT(ISNUMBER(FIND(" ",TRIM(L306)))),NOT(ISNUMBER(FIND(";",L306))),NOT(ISNUMBER(FIND(",",L306)))),"OK","ERRO: um e-mail válido por linha"))</f>
      </c>
      <c r="U306" s="6">
        <f>IF(COUNTA(A306:O306)=0,"",IF(AND(B306&lt;&gt;"",C306&lt;&gt;"",D306&lt;&gt;"",E306&lt;&gt;"",H306&lt;&gt;"",OR(J306&lt;&gt;"",L306&lt;&gt;"")),"OK","ERRO: faltam "&amp;IF(B306="","Proprietário; ","")&amp;IF(C306="","Origem; ","")&amp;IF(D306="","CNPJ; ","")&amp;IF(E306="","Razão Social; ","")&amp;IF(H306="","Sobrenome; ","")&amp;IF(AND(J306="",L306=""),"telefone ou e-mail; ","")))</f>
      </c>
      <c r="V306" s="6">
        <f>IF(COUNTA(A306:O306)=0,"",IF(AND(Q306="OK",R306="OK",LEFT(S306,4)&lt;&gt;"ERRO",LEFT(T306,4)&lt;&gt;"ERRO",U306="OK"),"OK","REVISAR"))</f>
      </c>
    </row>
    <row r="307">
      <c r="A307" s="4"/>
      <c r="B307" s="5"/>
      <c r="C307" s="5"/>
      <c r="D307" s="5"/>
      <c r="E307" s="5"/>
      <c r="F307" s="4"/>
      <c r="G307" s="4"/>
      <c r="H307" s="5"/>
      <c r="I307" s="4"/>
      <c r="J307" s="4"/>
      <c r="K307" s="4"/>
      <c r="L307" s="4"/>
      <c r="M307" s="4"/>
      <c r="N307" s="4"/>
      <c r="O307" s="4"/>
      <c r="P307" s="6">
        <f>IF(D307="","",SUBSTITUTE(SUBSTITUTE(SUBSTITUTE(SUBSTITUTE(SUBSTITUTE(SUBSTITUTE(SUBSTITUTE(TRIM(D307),".",""),"/",""),"-","")," ",""),"(",""),")",""),"+",""))</f>
      </c>
      <c r="Q307" s="6">
        <f>IF(P307="","",IF(LEN(P307)&lt;&gt;14,"ERRO: "&amp;LEN(P307)&amp;" dígitos",IF(NOT(ISNUMBER(VALUE(P307))),"ERRO: não numérico",IF(LEN(SUBSTITUTE(P307,LEFT(P307,1),""))=0,"ERRO: dígitos repetidos",IF(AND(VALUE(MID(P307,13,1))=IF(MOD(SUMPRODUCT(--MID(P307,{1,2,3,4,5,6,7,8,9,10,11,12},1),{5,4,3,2,9,8,7,6,5,4,3,2}),11)&lt;2,0,11-MOD(SUMPRODUCT(--MID(P307,{1,2,3,4,5,6,7,8,9,10,11,12},1),{5,4,3,2,9,8,7,6,5,4,3,2}),11)),VALUE(MID(P307,14,1))=IF(MOD(SUMPRODUCT(--MID(P307,{1,2,3,4,5,6,7,8,9,10,11,12,13},1),{6,5,4,3,2,9,8,7,6,5,4,3,2}),11)&lt;2,0,11-MOD(SUMPRODUCT(--MID(P307,{1,2,3,4,5,6,7,8,9,10,11,12,13},1),{6,5,4,3,2,9,8,7,6,5,4,3,2}),11))),"OK","ERRO: dígito verificador")))))</f>
      </c>
      <c r="R307" s="6">
        <f>IF(P307="","",IF(COUNTIF($P$2:$P$1001,P307)&gt;1,"DUPLICADO","OK"))</f>
      </c>
      <c r="S307" s="6">
        <f>IF(AND(J307="",K307=""),"vazio",IF(AND(OR(J307="",LEN(SUBSTITUTE(SUBSTITUTE(SUBSTITUTE(SUBSTITUTE(SUBSTITUTE(SUBSTITUTE(SUBSTITUTE(TRIM(J307),".",""),"/",""),"-","")," ",""),"(",""),")",""),"+",""))=10,LEN(SUBSTITUTE(SUBSTITUTE(SUBSTITUTE(SUBSTITUTE(SUBSTITUTE(SUBSTITUTE(SUBSTITUTE(TRIM(J307),".",""),"/",""),"-","")," ",""),"(",""),")",""),"+",""))=11),OR(K307="",LEN(SUBSTITUTE(SUBSTITUTE(SUBSTITUTE(SUBSTITUTE(SUBSTITUTE(SUBSTITUTE(SUBSTITUTE(TRIM(K307),".",""),"/",""),"-","")," ",""),"(",""),")",""),"+",""))=10,LEN(SUBSTITUTE(SUBSTITUTE(SUBSTITUTE(SUBSTITUTE(SUBSTITUTE(SUBSTITUTE(SUBSTITUTE(TRIM(K307),".",""),"/",""),"-","")," ",""),"(",""),")",""),"+",""))=11)),"OK","ERRO: use DDD + número (10 ou 11 dígitos)"))</f>
      </c>
      <c r="T307" s="6">
        <f>IF(L307="","vazio",IF(AND(ISNUMBER(FIND("@",L307)),ISNUMBER(FIND(".",MID(L307,FIND("@",L307),99))),NOT(ISNUMBER(FIND(" ",TRIM(L307)))),NOT(ISNUMBER(FIND(";",L307))),NOT(ISNUMBER(FIND(",",L307)))),"OK","ERRO: um e-mail válido por linha"))</f>
      </c>
      <c r="U307" s="6">
        <f>IF(COUNTA(A307:O307)=0,"",IF(AND(B307&lt;&gt;"",C307&lt;&gt;"",D307&lt;&gt;"",E307&lt;&gt;"",H307&lt;&gt;"",OR(J307&lt;&gt;"",L307&lt;&gt;"")),"OK","ERRO: faltam "&amp;IF(B307="","Proprietário; ","")&amp;IF(C307="","Origem; ","")&amp;IF(D307="","CNPJ; ","")&amp;IF(E307="","Razão Social; ","")&amp;IF(H307="","Sobrenome; ","")&amp;IF(AND(J307="",L307=""),"telefone ou e-mail; ","")))</f>
      </c>
      <c r="V307" s="6">
        <f>IF(COUNTA(A307:O307)=0,"",IF(AND(Q307="OK",R307="OK",LEFT(S307,4)&lt;&gt;"ERRO",LEFT(T307,4)&lt;&gt;"ERRO",U307="OK"),"OK","REVISAR"))</f>
      </c>
    </row>
    <row r="308">
      <c r="A308" s="4"/>
      <c r="B308" s="5"/>
      <c r="C308" s="5"/>
      <c r="D308" s="5"/>
      <c r="E308" s="5"/>
      <c r="F308" s="4"/>
      <c r="G308" s="4"/>
      <c r="H308" s="5"/>
      <c r="I308" s="4"/>
      <c r="J308" s="4"/>
      <c r="K308" s="4"/>
      <c r="L308" s="4"/>
      <c r="M308" s="4"/>
      <c r="N308" s="4"/>
      <c r="O308" s="4"/>
      <c r="P308" s="6">
        <f>IF(D308="","",SUBSTITUTE(SUBSTITUTE(SUBSTITUTE(SUBSTITUTE(SUBSTITUTE(SUBSTITUTE(SUBSTITUTE(TRIM(D308),".",""),"/",""),"-","")," ",""),"(",""),")",""),"+",""))</f>
      </c>
      <c r="Q308" s="6">
        <f>IF(P308="","",IF(LEN(P308)&lt;&gt;14,"ERRO: "&amp;LEN(P308)&amp;" dígitos",IF(NOT(ISNUMBER(VALUE(P308))),"ERRO: não numérico",IF(LEN(SUBSTITUTE(P308,LEFT(P308,1),""))=0,"ERRO: dígitos repetidos",IF(AND(VALUE(MID(P308,13,1))=IF(MOD(SUMPRODUCT(--MID(P308,{1,2,3,4,5,6,7,8,9,10,11,12},1),{5,4,3,2,9,8,7,6,5,4,3,2}),11)&lt;2,0,11-MOD(SUMPRODUCT(--MID(P308,{1,2,3,4,5,6,7,8,9,10,11,12},1),{5,4,3,2,9,8,7,6,5,4,3,2}),11)),VALUE(MID(P308,14,1))=IF(MOD(SUMPRODUCT(--MID(P308,{1,2,3,4,5,6,7,8,9,10,11,12,13},1),{6,5,4,3,2,9,8,7,6,5,4,3,2}),11)&lt;2,0,11-MOD(SUMPRODUCT(--MID(P308,{1,2,3,4,5,6,7,8,9,10,11,12,13},1),{6,5,4,3,2,9,8,7,6,5,4,3,2}),11))),"OK","ERRO: dígito verificador")))))</f>
      </c>
      <c r="R308" s="6">
        <f>IF(P308="","",IF(COUNTIF($P$2:$P$1001,P308)&gt;1,"DUPLICADO","OK"))</f>
      </c>
      <c r="S308" s="6">
        <f>IF(AND(J308="",K308=""),"vazio",IF(AND(OR(J308="",LEN(SUBSTITUTE(SUBSTITUTE(SUBSTITUTE(SUBSTITUTE(SUBSTITUTE(SUBSTITUTE(SUBSTITUTE(TRIM(J308),".",""),"/",""),"-","")," ",""),"(",""),")",""),"+",""))=10,LEN(SUBSTITUTE(SUBSTITUTE(SUBSTITUTE(SUBSTITUTE(SUBSTITUTE(SUBSTITUTE(SUBSTITUTE(TRIM(J308),".",""),"/",""),"-","")," ",""),"(",""),")",""),"+",""))=11),OR(K308="",LEN(SUBSTITUTE(SUBSTITUTE(SUBSTITUTE(SUBSTITUTE(SUBSTITUTE(SUBSTITUTE(SUBSTITUTE(TRIM(K308),".",""),"/",""),"-","")," ",""),"(",""),")",""),"+",""))=10,LEN(SUBSTITUTE(SUBSTITUTE(SUBSTITUTE(SUBSTITUTE(SUBSTITUTE(SUBSTITUTE(SUBSTITUTE(TRIM(K308),".",""),"/",""),"-","")," ",""),"(",""),")",""),"+",""))=11)),"OK","ERRO: use DDD + número (10 ou 11 dígitos)"))</f>
      </c>
      <c r="T308" s="6">
        <f>IF(L308="","vazio",IF(AND(ISNUMBER(FIND("@",L308)),ISNUMBER(FIND(".",MID(L308,FIND("@",L308),99))),NOT(ISNUMBER(FIND(" ",TRIM(L308)))),NOT(ISNUMBER(FIND(";",L308))),NOT(ISNUMBER(FIND(",",L308)))),"OK","ERRO: um e-mail válido por linha"))</f>
      </c>
      <c r="U308" s="6">
        <f>IF(COUNTA(A308:O308)=0,"",IF(AND(B308&lt;&gt;"",C308&lt;&gt;"",D308&lt;&gt;"",E308&lt;&gt;"",H308&lt;&gt;"",OR(J308&lt;&gt;"",L308&lt;&gt;"")),"OK","ERRO: faltam "&amp;IF(B308="","Proprietário; ","")&amp;IF(C308="","Origem; ","")&amp;IF(D308="","CNPJ; ","")&amp;IF(E308="","Razão Social; ","")&amp;IF(H308="","Sobrenome; ","")&amp;IF(AND(J308="",L308=""),"telefone ou e-mail; ","")))</f>
      </c>
      <c r="V308" s="6">
        <f>IF(COUNTA(A308:O308)=0,"",IF(AND(Q308="OK",R308="OK",LEFT(S308,4)&lt;&gt;"ERRO",LEFT(T308,4)&lt;&gt;"ERRO",U308="OK"),"OK","REVISAR"))</f>
      </c>
    </row>
    <row r="309">
      <c r="A309" s="4"/>
      <c r="B309" s="5"/>
      <c r="C309" s="5"/>
      <c r="D309" s="5"/>
      <c r="E309" s="5"/>
      <c r="F309" s="4"/>
      <c r="G309" s="4"/>
      <c r="H309" s="5"/>
      <c r="I309" s="4"/>
      <c r="J309" s="4"/>
      <c r="K309" s="4"/>
      <c r="L309" s="4"/>
      <c r="M309" s="4"/>
      <c r="N309" s="4"/>
      <c r="O309" s="4"/>
      <c r="P309" s="6">
        <f>IF(D309="","",SUBSTITUTE(SUBSTITUTE(SUBSTITUTE(SUBSTITUTE(SUBSTITUTE(SUBSTITUTE(SUBSTITUTE(TRIM(D309),".",""),"/",""),"-","")," ",""),"(",""),")",""),"+",""))</f>
      </c>
      <c r="Q309" s="6">
        <f>IF(P309="","",IF(LEN(P309)&lt;&gt;14,"ERRO: "&amp;LEN(P309)&amp;" dígitos",IF(NOT(ISNUMBER(VALUE(P309))),"ERRO: não numérico",IF(LEN(SUBSTITUTE(P309,LEFT(P309,1),""))=0,"ERRO: dígitos repetidos",IF(AND(VALUE(MID(P309,13,1))=IF(MOD(SUMPRODUCT(--MID(P309,{1,2,3,4,5,6,7,8,9,10,11,12},1),{5,4,3,2,9,8,7,6,5,4,3,2}),11)&lt;2,0,11-MOD(SUMPRODUCT(--MID(P309,{1,2,3,4,5,6,7,8,9,10,11,12},1),{5,4,3,2,9,8,7,6,5,4,3,2}),11)),VALUE(MID(P309,14,1))=IF(MOD(SUMPRODUCT(--MID(P309,{1,2,3,4,5,6,7,8,9,10,11,12,13},1),{6,5,4,3,2,9,8,7,6,5,4,3,2}),11)&lt;2,0,11-MOD(SUMPRODUCT(--MID(P309,{1,2,3,4,5,6,7,8,9,10,11,12,13},1),{6,5,4,3,2,9,8,7,6,5,4,3,2}),11))),"OK","ERRO: dígito verificador")))))</f>
      </c>
      <c r="R309" s="6">
        <f>IF(P309="","",IF(COUNTIF($P$2:$P$1001,P309)&gt;1,"DUPLICADO","OK"))</f>
      </c>
      <c r="S309" s="6">
        <f>IF(AND(J309="",K309=""),"vazio",IF(AND(OR(J309="",LEN(SUBSTITUTE(SUBSTITUTE(SUBSTITUTE(SUBSTITUTE(SUBSTITUTE(SUBSTITUTE(SUBSTITUTE(TRIM(J309),".",""),"/",""),"-","")," ",""),"(",""),")",""),"+",""))=10,LEN(SUBSTITUTE(SUBSTITUTE(SUBSTITUTE(SUBSTITUTE(SUBSTITUTE(SUBSTITUTE(SUBSTITUTE(TRIM(J309),".",""),"/",""),"-","")," ",""),"(",""),")",""),"+",""))=11),OR(K309="",LEN(SUBSTITUTE(SUBSTITUTE(SUBSTITUTE(SUBSTITUTE(SUBSTITUTE(SUBSTITUTE(SUBSTITUTE(TRIM(K309),".",""),"/",""),"-","")," ",""),"(",""),")",""),"+",""))=10,LEN(SUBSTITUTE(SUBSTITUTE(SUBSTITUTE(SUBSTITUTE(SUBSTITUTE(SUBSTITUTE(SUBSTITUTE(TRIM(K309),".",""),"/",""),"-","")," ",""),"(",""),")",""),"+",""))=11)),"OK","ERRO: use DDD + número (10 ou 11 dígitos)"))</f>
      </c>
      <c r="T309" s="6">
        <f>IF(L309="","vazio",IF(AND(ISNUMBER(FIND("@",L309)),ISNUMBER(FIND(".",MID(L309,FIND("@",L309),99))),NOT(ISNUMBER(FIND(" ",TRIM(L309)))),NOT(ISNUMBER(FIND(";",L309))),NOT(ISNUMBER(FIND(",",L309)))),"OK","ERRO: um e-mail válido por linha"))</f>
      </c>
      <c r="U309" s="6">
        <f>IF(COUNTA(A309:O309)=0,"",IF(AND(B309&lt;&gt;"",C309&lt;&gt;"",D309&lt;&gt;"",E309&lt;&gt;"",H309&lt;&gt;"",OR(J309&lt;&gt;"",L309&lt;&gt;"")),"OK","ERRO: faltam "&amp;IF(B309="","Proprietário; ","")&amp;IF(C309="","Origem; ","")&amp;IF(D309="","CNPJ; ","")&amp;IF(E309="","Razão Social; ","")&amp;IF(H309="","Sobrenome; ","")&amp;IF(AND(J309="",L309=""),"telefone ou e-mail; ","")))</f>
      </c>
      <c r="V309" s="6">
        <f>IF(COUNTA(A309:O309)=0,"",IF(AND(Q309="OK",R309="OK",LEFT(S309,4)&lt;&gt;"ERRO",LEFT(T309,4)&lt;&gt;"ERRO",U309="OK"),"OK","REVISAR"))</f>
      </c>
    </row>
    <row r="310">
      <c r="A310" s="4"/>
      <c r="B310" s="5"/>
      <c r="C310" s="5"/>
      <c r="D310" s="5"/>
      <c r="E310" s="5"/>
      <c r="F310" s="4"/>
      <c r="G310" s="4"/>
      <c r="H310" s="5"/>
      <c r="I310" s="4"/>
      <c r="J310" s="4"/>
      <c r="K310" s="4"/>
      <c r="L310" s="4"/>
      <c r="M310" s="4"/>
      <c r="N310" s="4"/>
      <c r="O310" s="4"/>
      <c r="P310" s="6">
        <f>IF(D310="","",SUBSTITUTE(SUBSTITUTE(SUBSTITUTE(SUBSTITUTE(SUBSTITUTE(SUBSTITUTE(SUBSTITUTE(TRIM(D310),".",""),"/",""),"-","")," ",""),"(",""),")",""),"+",""))</f>
      </c>
      <c r="Q310" s="6">
        <f>IF(P310="","",IF(LEN(P310)&lt;&gt;14,"ERRO: "&amp;LEN(P310)&amp;" dígitos",IF(NOT(ISNUMBER(VALUE(P310))),"ERRO: não numérico",IF(LEN(SUBSTITUTE(P310,LEFT(P310,1),""))=0,"ERRO: dígitos repetidos",IF(AND(VALUE(MID(P310,13,1))=IF(MOD(SUMPRODUCT(--MID(P310,{1,2,3,4,5,6,7,8,9,10,11,12},1),{5,4,3,2,9,8,7,6,5,4,3,2}),11)&lt;2,0,11-MOD(SUMPRODUCT(--MID(P310,{1,2,3,4,5,6,7,8,9,10,11,12},1),{5,4,3,2,9,8,7,6,5,4,3,2}),11)),VALUE(MID(P310,14,1))=IF(MOD(SUMPRODUCT(--MID(P310,{1,2,3,4,5,6,7,8,9,10,11,12,13},1),{6,5,4,3,2,9,8,7,6,5,4,3,2}),11)&lt;2,0,11-MOD(SUMPRODUCT(--MID(P310,{1,2,3,4,5,6,7,8,9,10,11,12,13},1),{6,5,4,3,2,9,8,7,6,5,4,3,2}),11))),"OK","ERRO: dígito verificador")))))</f>
      </c>
      <c r="R310" s="6">
        <f>IF(P310="","",IF(COUNTIF($P$2:$P$1001,P310)&gt;1,"DUPLICADO","OK"))</f>
      </c>
      <c r="S310" s="6">
        <f>IF(AND(J310="",K310=""),"vazio",IF(AND(OR(J310="",LEN(SUBSTITUTE(SUBSTITUTE(SUBSTITUTE(SUBSTITUTE(SUBSTITUTE(SUBSTITUTE(SUBSTITUTE(TRIM(J310),".",""),"/",""),"-","")," ",""),"(",""),")",""),"+",""))=10,LEN(SUBSTITUTE(SUBSTITUTE(SUBSTITUTE(SUBSTITUTE(SUBSTITUTE(SUBSTITUTE(SUBSTITUTE(TRIM(J310),".",""),"/",""),"-","")," ",""),"(",""),")",""),"+",""))=11),OR(K310="",LEN(SUBSTITUTE(SUBSTITUTE(SUBSTITUTE(SUBSTITUTE(SUBSTITUTE(SUBSTITUTE(SUBSTITUTE(TRIM(K310),".",""),"/",""),"-","")," ",""),"(",""),")",""),"+",""))=10,LEN(SUBSTITUTE(SUBSTITUTE(SUBSTITUTE(SUBSTITUTE(SUBSTITUTE(SUBSTITUTE(SUBSTITUTE(TRIM(K310),".",""),"/",""),"-","")," ",""),"(",""),")",""),"+",""))=11)),"OK","ERRO: use DDD + número (10 ou 11 dígitos)"))</f>
      </c>
      <c r="T310" s="6">
        <f>IF(L310="","vazio",IF(AND(ISNUMBER(FIND("@",L310)),ISNUMBER(FIND(".",MID(L310,FIND("@",L310),99))),NOT(ISNUMBER(FIND(" ",TRIM(L310)))),NOT(ISNUMBER(FIND(";",L310))),NOT(ISNUMBER(FIND(",",L310)))),"OK","ERRO: um e-mail válido por linha"))</f>
      </c>
      <c r="U310" s="6">
        <f>IF(COUNTA(A310:O310)=0,"",IF(AND(B310&lt;&gt;"",C310&lt;&gt;"",D310&lt;&gt;"",E310&lt;&gt;"",H310&lt;&gt;"",OR(J310&lt;&gt;"",L310&lt;&gt;"")),"OK","ERRO: faltam "&amp;IF(B310="","Proprietário; ","")&amp;IF(C310="","Origem; ","")&amp;IF(D310="","CNPJ; ","")&amp;IF(E310="","Razão Social; ","")&amp;IF(H310="","Sobrenome; ","")&amp;IF(AND(J310="",L310=""),"telefone ou e-mail; ","")))</f>
      </c>
      <c r="V310" s="6">
        <f>IF(COUNTA(A310:O310)=0,"",IF(AND(Q310="OK",R310="OK",LEFT(S310,4)&lt;&gt;"ERRO",LEFT(T310,4)&lt;&gt;"ERRO",U310="OK"),"OK","REVISAR"))</f>
      </c>
    </row>
    <row r="311">
      <c r="A311" s="4"/>
      <c r="B311" s="5"/>
      <c r="C311" s="5"/>
      <c r="D311" s="5"/>
      <c r="E311" s="5"/>
      <c r="F311" s="4"/>
      <c r="G311" s="4"/>
      <c r="H311" s="5"/>
      <c r="I311" s="4"/>
      <c r="J311" s="4"/>
      <c r="K311" s="4"/>
      <c r="L311" s="4"/>
      <c r="M311" s="4"/>
      <c r="N311" s="4"/>
      <c r="O311" s="4"/>
      <c r="P311" s="6">
        <f>IF(D311="","",SUBSTITUTE(SUBSTITUTE(SUBSTITUTE(SUBSTITUTE(SUBSTITUTE(SUBSTITUTE(SUBSTITUTE(TRIM(D311),".",""),"/",""),"-","")," ",""),"(",""),")",""),"+",""))</f>
      </c>
      <c r="Q311" s="6">
        <f>IF(P311="","",IF(LEN(P311)&lt;&gt;14,"ERRO: "&amp;LEN(P311)&amp;" dígitos",IF(NOT(ISNUMBER(VALUE(P311))),"ERRO: não numérico",IF(LEN(SUBSTITUTE(P311,LEFT(P311,1),""))=0,"ERRO: dígitos repetidos",IF(AND(VALUE(MID(P311,13,1))=IF(MOD(SUMPRODUCT(--MID(P311,{1,2,3,4,5,6,7,8,9,10,11,12},1),{5,4,3,2,9,8,7,6,5,4,3,2}),11)&lt;2,0,11-MOD(SUMPRODUCT(--MID(P311,{1,2,3,4,5,6,7,8,9,10,11,12},1),{5,4,3,2,9,8,7,6,5,4,3,2}),11)),VALUE(MID(P311,14,1))=IF(MOD(SUMPRODUCT(--MID(P311,{1,2,3,4,5,6,7,8,9,10,11,12,13},1),{6,5,4,3,2,9,8,7,6,5,4,3,2}),11)&lt;2,0,11-MOD(SUMPRODUCT(--MID(P311,{1,2,3,4,5,6,7,8,9,10,11,12,13},1),{6,5,4,3,2,9,8,7,6,5,4,3,2}),11))),"OK","ERRO: dígito verificador")))))</f>
      </c>
      <c r="R311" s="6">
        <f>IF(P311="","",IF(COUNTIF($P$2:$P$1001,P311)&gt;1,"DUPLICADO","OK"))</f>
      </c>
      <c r="S311" s="6">
        <f>IF(AND(J311="",K311=""),"vazio",IF(AND(OR(J311="",LEN(SUBSTITUTE(SUBSTITUTE(SUBSTITUTE(SUBSTITUTE(SUBSTITUTE(SUBSTITUTE(SUBSTITUTE(TRIM(J311),".",""),"/",""),"-","")," ",""),"(",""),")",""),"+",""))=10,LEN(SUBSTITUTE(SUBSTITUTE(SUBSTITUTE(SUBSTITUTE(SUBSTITUTE(SUBSTITUTE(SUBSTITUTE(TRIM(J311),".",""),"/",""),"-","")," ",""),"(",""),")",""),"+",""))=11),OR(K311="",LEN(SUBSTITUTE(SUBSTITUTE(SUBSTITUTE(SUBSTITUTE(SUBSTITUTE(SUBSTITUTE(SUBSTITUTE(TRIM(K311),".",""),"/",""),"-","")," ",""),"(",""),")",""),"+",""))=10,LEN(SUBSTITUTE(SUBSTITUTE(SUBSTITUTE(SUBSTITUTE(SUBSTITUTE(SUBSTITUTE(SUBSTITUTE(TRIM(K311),".",""),"/",""),"-","")," ",""),"(",""),")",""),"+",""))=11)),"OK","ERRO: use DDD + número (10 ou 11 dígitos)"))</f>
      </c>
      <c r="T311" s="6">
        <f>IF(L311="","vazio",IF(AND(ISNUMBER(FIND("@",L311)),ISNUMBER(FIND(".",MID(L311,FIND("@",L311),99))),NOT(ISNUMBER(FIND(" ",TRIM(L311)))),NOT(ISNUMBER(FIND(";",L311))),NOT(ISNUMBER(FIND(",",L311)))),"OK","ERRO: um e-mail válido por linha"))</f>
      </c>
      <c r="U311" s="6">
        <f>IF(COUNTA(A311:O311)=0,"",IF(AND(B311&lt;&gt;"",C311&lt;&gt;"",D311&lt;&gt;"",E311&lt;&gt;"",H311&lt;&gt;"",OR(J311&lt;&gt;"",L311&lt;&gt;"")),"OK","ERRO: faltam "&amp;IF(B311="","Proprietário; ","")&amp;IF(C311="","Origem; ","")&amp;IF(D311="","CNPJ; ","")&amp;IF(E311="","Razão Social; ","")&amp;IF(H311="","Sobrenome; ","")&amp;IF(AND(J311="",L311=""),"telefone ou e-mail; ","")))</f>
      </c>
      <c r="V311" s="6">
        <f>IF(COUNTA(A311:O311)=0,"",IF(AND(Q311="OK",R311="OK",LEFT(S311,4)&lt;&gt;"ERRO",LEFT(T311,4)&lt;&gt;"ERRO",U311="OK"),"OK","REVISAR"))</f>
      </c>
    </row>
    <row r="312">
      <c r="A312" s="4"/>
      <c r="B312" s="5"/>
      <c r="C312" s="5"/>
      <c r="D312" s="5"/>
      <c r="E312" s="5"/>
      <c r="F312" s="4"/>
      <c r="G312" s="4"/>
      <c r="H312" s="5"/>
      <c r="I312" s="4"/>
      <c r="J312" s="4"/>
      <c r="K312" s="4"/>
      <c r="L312" s="4"/>
      <c r="M312" s="4"/>
      <c r="N312" s="4"/>
      <c r="O312" s="4"/>
      <c r="P312" s="6">
        <f>IF(D312="","",SUBSTITUTE(SUBSTITUTE(SUBSTITUTE(SUBSTITUTE(SUBSTITUTE(SUBSTITUTE(SUBSTITUTE(TRIM(D312),".",""),"/",""),"-","")," ",""),"(",""),")",""),"+",""))</f>
      </c>
      <c r="Q312" s="6">
        <f>IF(P312="","",IF(LEN(P312)&lt;&gt;14,"ERRO: "&amp;LEN(P312)&amp;" dígitos",IF(NOT(ISNUMBER(VALUE(P312))),"ERRO: não numérico",IF(LEN(SUBSTITUTE(P312,LEFT(P312,1),""))=0,"ERRO: dígitos repetidos",IF(AND(VALUE(MID(P312,13,1))=IF(MOD(SUMPRODUCT(--MID(P312,{1,2,3,4,5,6,7,8,9,10,11,12},1),{5,4,3,2,9,8,7,6,5,4,3,2}),11)&lt;2,0,11-MOD(SUMPRODUCT(--MID(P312,{1,2,3,4,5,6,7,8,9,10,11,12},1),{5,4,3,2,9,8,7,6,5,4,3,2}),11)),VALUE(MID(P312,14,1))=IF(MOD(SUMPRODUCT(--MID(P312,{1,2,3,4,5,6,7,8,9,10,11,12,13},1),{6,5,4,3,2,9,8,7,6,5,4,3,2}),11)&lt;2,0,11-MOD(SUMPRODUCT(--MID(P312,{1,2,3,4,5,6,7,8,9,10,11,12,13},1),{6,5,4,3,2,9,8,7,6,5,4,3,2}),11))),"OK","ERRO: dígito verificador")))))</f>
      </c>
      <c r="R312" s="6">
        <f>IF(P312="","",IF(COUNTIF($P$2:$P$1001,P312)&gt;1,"DUPLICADO","OK"))</f>
      </c>
      <c r="S312" s="6">
        <f>IF(AND(J312="",K312=""),"vazio",IF(AND(OR(J312="",LEN(SUBSTITUTE(SUBSTITUTE(SUBSTITUTE(SUBSTITUTE(SUBSTITUTE(SUBSTITUTE(SUBSTITUTE(TRIM(J312),".",""),"/",""),"-","")," ",""),"(",""),")",""),"+",""))=10,LEN(SUBSTITUTE(SUBSTITUTE(SUBSTITUTE(SUBSTITUTE(SUBSTITUTE(SUBSTITUTE(SUBSTITUTE(TRIM(J312),".",""),"/",""),"-","")," ",""),"(",""),")",""),"+",""))=11),OR(K312="",LEN(SUBSTITUTE(SUBSTITUTE(SUBSTITUTE(SUBSTITUTE(SUBSTITUTE(SUBSTITUTE(SUBSTITUTE(TRIM(K312),".",""),"/",""),"-","")," ",""),"(",""),")",""),"+",""))=10,LEN(SUBSTITUTE(SUBSTITUTE(SUBSTITUTE(SUBSTITUTE(SUBSTITUTE(SUBSTITUTE(SUBSTITUTE(TRIM(K312),".",""),"/",""),"-","")," ",""),"(",""),")",""),"+",""))=11)),"OK","ERRO: use DDD + número (10 ou 11 dígitos)"))</f>
      </c>
      <c r="T312" s="6">
        <f>IF(L312="","vazio",IF(AND(ISNUMBER(FIND("@",L312)),ISNUMBER(FIND(".",MID(L312,FIND("@",L312),99))),NOT(ISNUMBER(FIND(" ",TRIM(L312)))),NOT(ISNUMBER(FIND(";",L312))),NOT(ISNUMBER(FIND(",",L312)))),"OK","ERRO: um e-mail válido por linha"))</f>
      </c>
      <c r="U312" s="6">
        <f>IF(COUNTA(A312:O312)=0,"",IF(AND(B312&lt;&gt;"",C312&lt;&gt;"",D312&lt;&gt;"",E312&lt;&gt;"",H312&lt;&gt;"",OR(J312&lt;&gt;"",L312&lt;&gt;"")),"OK","ERRO: faltam "&amp;IF(B312="","Proprietário; ","")&amp;IF(C312="","Origem; ","")&amp;IF(D312="","CNPJ; ","")&amp;IF(E312="","Razão Social; ","")&amp;IF(H312="","Sobrenome; ","")&amp;IF(AND(J312="",L312=""),"telefone ou e-mail; ","")))</f>
      </c>
      <c r="V312" s="6">
        <f>IF(COUNTA(A312:O312)=0,"",IF(AND(Q312="OK",R312="OK",LEFT(S312,4)&lt;&gt;"ERRO",LEFT(T312,4)&lt;&gt;"ERRO",U312="OK"),"OK","REVISAR"))</f>
      </c>
    </row>
    <row r="313">
      <c r="A313" s="4"/>
      <c r="B313" s="5"/>
      <c r="C313" s="5"/>
      <c r="D313" s="5"/>
      <c r="E313" s="5"/>
      <c r="F313" s="4"/>
      <c r="G313" s="4"/>
      <c r="H313" s="5"/>
      <c r="I313" s="4"/>
      <c r="J313" s="4"/>
      <c r="K313" s="4"/>
      <c r="L313" s="4"/>
      <c r="M313" s="4"/>
      <c r="N313" s="4"/>
      <c r="O313" s="4"/>
      <c r="P313" s="6">
        <f>IF(D313="","",SUBSTITUTE(SUBSTITUTE(SUBSTITUTE(SUBSTITUTE(SUBSTITUTE(SUBSTITUTE(SUBSTITUTE(TRIM(D313),".",""),"/",""),"-","")," ",""),"(",""),")",""),"+",""))</f>
      </c>
      <c r="Q313" s="6">
        <f>IF(P313="","",IF(LEN(P313)&lt;&gt;14,"ERRO: "&amp;LEN(P313)&amp;" dígitos",IF(NOT(ISNUMBER(VALUE(P313))),"ERRO: não numérico",IF(LEN(SUBSTITUTE(P313,LEFT(P313,1),""))=0,"ERRO: dígitos repetidos",IF(AND(VALUE(MID(P313,13,1))=IF(MOD(SUMPRODUCT(--MID(P313,{1,2,3,4,5,6,7,8,9,10,11,12},1),{5,4,3,2,9,8,7,6,5,4,3,2}),11)&lt;2,0,11-MOD(SUMPRODUCT(--MID(P313,{1,2,3,4,5,6,7,8,9,10,11,12},1),{5,4,3,2,9,8,7,6,5,4,3,2}),11)),VALUE(MID(P313,14,1))=IF(MOD(SUMPRODUCT(--MID(P313,{1,2,3,4,5,6,7,8,9,10,11,12,13},1),{6,5,4,3,2,9,8,7,6,5,4,3,2}),11)&lt;2,0,11-MOD(SUMPRODUCT(--MID(P313,{1,2,3,4,5,6,7,8,9,10,11,12,13},1),{6,5,4,3,2,9,8,7,6,5,4,3,2}),11))),"OK","ERRO: dígito verificador")))))</f>
      </c>
      <c r="R313" s="6">
        <f>IF(P313="","",IF(COUNTIF($P$2:$P$1001,P313)&gt;1,"DUPLICADO","OK"))</f>
      </c>
      <c r="S313" s="6">
        <f>IF(AND(J313="",K313=""),"vazio",IF(AND(OR(J313="",LEN(SUBSTITUTE(SUBSTITUTE(SUBSTITUTE(SUBSTITUTE(SUBSTITUTE(SUBSTITUTE(SUBSTITUTE(TRIM(J313),".",""),"/",""),"-","")," ",""),"(",""),")",""),"+",""))=10,LEN(SUBSTITUTE(SUBSTITUTE(SUBSTITUTE(SUBSTITUTE(SUBSTITUTE(SUBSTITUTE(SUBSTITUTE(TRIM(J313),".",""),"/",""),"-","")," ",""),"(",""),")",""),"+",""))=11),OR(K313="",LEN(SUBSTITUTE(SUBSTITUTE(SUBSTITUTE(SUBSTITUTE(SUBSTITUTE(SUBSTITUTE(SUBSTITUTE(TRIM(K313),".",""),"/",""),"-","")," ",""),"(",""),")",""),"+",""))=10,LEN(SUBSTITUTE(SUBSTITUTE(SUBSTITUTE(SUBSTITUTE(SUBSTITUTE(SUBSTITUTE(SUBSTITUTE(TRIM(K313),".",""),"/",""),"-","")," ",""),"(",""),")",""),"+",""))=11)),"OK","ERRO: use DDD + número (10 ou 11 dígitos)"))</f>
      </c>
      <c r="T313" s="6">
        <f>IF(L313="","vazio",IF(AND(ISNUMBER(FIND("@",L313)),ISNUMBER(FIND(".",MID(L313,FIND("@",L313),99))),NOT(ISNUMBER(FIND(" ",TRIM(L313)))),NOT(ISNUMBER(FIND(";",L313))),NOT(ISNUMBER(FIND(",",L313)))),"OK","ERRO: um e-mail válido por linha"))</f>
      </c>
      <c r="U313" s="6">
        <f>IF(COUNTA(A313:O313)=0,"",IF(AND(B313&lt;&gt;"",C313&lt;&gt;"",D313&lt;&gt;"",E313&lt;&gt;"",H313&lt;&gt;"",OR(J313&lt;&gt;"",L313&lt;&gt;"")),"OK","ERRO: faltam "&amp;IF(B313="","Proprietário; ","")&amp;IF(C313="","Origem; ","")&amp;IF(D313="","CNPJ; ","")&amp;IF(E313="","Razão Social; ","")&amp;IF(H313="","Sobrenome; ","")&amp;IF(AND(J313="",L313=""),"telefone ou e-mail; ","")))</f>
      </c>
      <c r="V313" s="6">
        <f>IF(COUNTA(A313:O313)=0,"",IF(AND(Q313="OK",R313="OK",LEFT(S313,4)&lt;&gt;"ERRO",LEFT(T313,4)&lt;&gt;"ERRO",U313="OK"),"OK","REVISAR"))</f>
      </c>
    </row>
    <row r="314">
      <c r="A314" s="4"/>
      <c r="B314" s="5"/>
      <c r="C314" s="5"/>
      <c r="D314" s="5"/>
      <c r="E314" s="5"/>
      <c r="F314" s="4"/>
      <c r="G314" s="4"/>
      <c r="H314" s="5"/>
      <c r="I314" s="4"/>
      <c r="J314" s="4"/>
      <c r="K314" s="4"/>
      <c r="L314" s="4"/>
      <c r="M314" s="4"/>
      <c r="N314" s="4"/>
      <c r="O314" s="4"/>
      <c r="P314" s="6">
        <f>IF(D314="","",SUBSTITUTE(SUBSTITUTE(SUBSTITUTE(SUBSTITUTE(SUBSTITUTE(SUBSTITUTE(SUBSTITUTE(TRIM(D314),".",""),"/",""),"-","")," ",""),"(",""),")",""),"+",""))</f>
      </c>
      <c r="Q314" s="6">
        <f>IF(P314="","",IF(LEN(P314)&lt;&gt;14,"ERRO: "&amp;LEN(P314)&amp;" dígitos",IF(NOT(ISNUMBER(VALUE(P314))),"ERRO: não numérico",IF(LEN(SUBSTITUTE(P314,LEFT(P314,1),""))=0,"ERRO: dígitos repetidos",IF(AND(VALUE(MID(P314,13,1))=IF(MOD(SUMPRODUCT(--MID(P314,{1,2,3,4,5,6,7,8,9,10,11,12},1),{5,4,3,2,9,8,7,6,5,4,3,2}),11)&lt;2,0,11-MOD(SUMPRODUCT(--MID(P314,{1,2,3,4,5,6,7,8,9,10,11,12},1),{5,4,3,2,9,8,7,6,5,4,3,2}),11)),VALUE(MID(P314,14,1))=IF(MOD(SUMPRODUCT(--MID(P314,{1,2,3,4,5,6,7,8,9,10,11,12,13},1),{6,5,4,3,2,9,8,7,6,5,4,3,2}),11)&lt;2,0,11-MOD(SUMPRODUCT(--MID(P314,{1,2,3,4,5,6,7,8,9,10,11,12,13},1),{6,5,4,3,2,9,8,7,6,5,4,3,2}),11))),"OK","ERRO: dígito verificador")))))</f>
      </c>
      <c r="R314" s="6">
        <f>IF(P314="","",IF(COUNTIF($P$2:$P$1001,P314)&gt;1,"DUPLICADO","OK"))</f>
      </c>
      <c r="S314" s="6">
        <f>IF(AND(J314="",K314=""),"vazio",IF(AND(OR(J314="",LEN(SUBSTITUTE(SUBSTITUTE(SUBSTITUTE(SUBSTITUTE(SUBSTITUTE(SUBSTITUTE(SUBSTITUTE(TRIM(J314),".",""),"/",""),"-","")," ",""),"(",""),")",""),"+",""))=10,LEN(SUBSTITUTE(SUBSTITUTE(SUBSTITUTE(SUBSTITUTE(SUBSTITUTE(SUBSTITUTE(SUBSTITUTE(TRIM(J314),".",""),"/",""),"-","")," ",""),"(",""),")",""),"+",""))=11),OR(K314="",LEN(SUBSTITUTE(SUBSTITUTE(SUBSTITUTE(SUBSTITUTE(SUBSTITUTE(SUBSTITUTE(SUBSTITUTE(TRIM(K314),".",""),"/",""),"-","")," ",""),"(",""),")",""),"+",""))=10,LEN(SUBSTITUTE(SUBSTITUTE(SUBSTITUTE(SUBSTITUTE(SUBSTITUTE(SUBSTITUTE(SUBSTITUTE(TRIM(K314),".",""),"/",""),"-","")," ",""),"(",""),")",""),"+",""))=11)),"OK","ERRO: use DDD + número (10 ou 11 dígitos)"))</f>
      </c>
      <c r="T314" s="6">
        <f>IF(L314="","vazio",IF(AND(ISNUMBER(FIND("@",L314)),ISNUMBER(FIND(".",MID(L314,FIND("@",L314),99))),NOT(ISNUMBER(FIND(" ",TRIM(L314)))),NOT(ISNUMBER(FIND(";",L314))),NOT(ISNUMBER(FIND(",",L314)))),"OK","ERRO: um e-mail válido por linha"))</f>
      </c>
      <c r="U314" s="6">
        <f>IF(COUNTA(A314:O314)=0,"",IF(AND(B314&lt;&gt;"",C314&lt;&gt;"",D314&lt;&gt;"",E314&lt;&gt;"",H314&lt;&gt;"",OR(J314&lt;&gt;"",L314&lt;&gt;"")),"OK","ERRO: faltam "&amp;IF(B314="","Proprietário; ","")&amp;IF(C314="","Origem; ","")&amp;IF(D314="","CNPJ; ","")&amp;IF(E314="","Razão Social; ","")&amp;IF(H314="","Sobrenome; ","")&amp;IF(AND(J314="",L314=""),"telefone ou e-mail; ","")))</f>
      </c>
      <c r="V314" s="6">
        <f>IF(COUNTA(A314:O314)=0,"",IF(AND(Q314="OK",R314="OK",LEFT(S314,4)&lt;&gt;"ERRO",LEFT(T314,4)&lt;&gt;"ERRO",U314="OK"),"OK","REVISAR"))</f>
      </c>
    </row>
    <row r="315">
      <c r="A315" s="4"/>
      <c r="B315" s="5"/>
      <c r="C315" s="5"/>
      <c r="D315" s="5"/>
      <c r="E315" s="5"/>
      <c r="F315" s="4"/>
      <c r="G315" s="4"/>
      <c r="H315" s="5"/>
      <c r="I315" s="4"/>
      <c r="J315" s="4"/>
      <c r="K315" s="4"/>
      <c r="L315" s="4"/>
      <c r="M315" s="4"/>
      <c r="N315" s="4"/>
      <c r="O315" s="4"/>
      <c r="P315" s="6">
        <f>IF(D315="","",SUBSTITUTE(SUBSTITUTE(SUBSTITUTE(SUBSTITUTE(SUBSTITUTE(SUBSTITUTE(SUBSTITUTE(TRIM(D315),".",""),"/",""),"-","")," ",""),"(",""),")",""),"+",""))</f>
      </c>
      <c r="Q315" s="6">
        <f>IF(P315="","",IF(LEN(P315)&lt;&gt;14,"ERRO: "&amp;LEN(P315)&amp;" dígitos",IF(NOT(ISNUMBER(VALUE(P315))),"ERRO: não numérico",IF(LEN(SUBSTITUTE(P315,LEFT(P315,1),""))=0,"ERRO: dígitos repetidos",IF(AND(VALUE(MID(P315,13,1))=IF(MOD(SUMPRODUCT(--MID(P315,{1,2,3,4,5,6,7,8,9,10,11,12},1),{5,4,3,2,9,8,7,6,5,4,3,2}),11)&lt;2,0,11-MOD(SUMPRODUCT(--MID(P315,{1,2,3,4,5,6,7,8,9,10,11,12},1),{5,4,3,2,9,8,7,6,5,4,3,2}),11)),VALUE(MID(P315,14,1))=IF(MOD(SUMPRODUCT(--MID(P315,{1,2,3,4,5,6,7,8,9,10,11,12,13},1),{6,5,4,3,2,9,8,7,6,5,4,3,2}),11)&lt;2,0,11-MOD(SUMPRODUCT(--MID(P315,{1,2,3,4,5,6,7,8,9,10,11,12,13},1),{6,5,4,3,2,9,8,7,6,5,4,3,2}),11))),"OK","ERRO: dígito verificador")))))</f>
      </c>
      <c r="R315" s="6">
        <f>IF(P315="","",IF(COUNTIF($P$2:$P$1001,P315)&gt;1,"DUPLICADO","OK"))</f>
      </c>
      <c r="S315" s="6">
        <f>IF(AND(J315="",K315=""),"vazio",IF(AND(OR(J315="",LEN(SUBSTITUTE(SUBSTITUTE(SUBSTITUTE(SUBSTITUTE(SUBSTITUTE(SUBSTITUTE(SUBSTITUTE(TRIM(J315),".",""),"/",""),"-","")," ",""),"(",""),")",""),"+",""))=10,LEN(SUBSTITUTE(SUBSTITUTE(SUBSTITUTE(SUBSTITUTE(SUBSTITUTE(SUBSTITUTE(SUBSTITUTE(TRIM(J315),".",""),"/",""),"-","")," ",""),"(",""),")",""),"+",""))=11),OR(K315="",LEN(SUBSTITUTE(SUBSTITUTE(SUBSTITUTE(SUBSTITUTE(SUBSTITUTE(SUBSTITUTE(SUBSTITUTE(TRIM(K315),".",""),"/",""),"-","")," ",""),"(",""),")",""),"+",""))=10,LEN(SUBSTITUTE(SUBSTITUTE(SUBSTITUTE(SUBSTITUTE(SUBSTITUTE(SUBSTITUTE(SUBSTITUTE(TRIM(K315),".",""),"/",""),"-","")," ",""),"(",""),")",""),"+",""))=11)),"OK","ERRO: use DDD + número (10 ou 11 dígitos)"))</f>
      </c>
      <c r="T315" s="6">
        <f>IF(L315="","vazio",IF(AND(ISNUMBER(FIND("@",L315)),ISNUMBER(FIND(".",MID(L315,FIND("@",L315),99))),NOT(ISNUMBER(FIND(" ",TRIM(L315)))),NOT(ISNUMBER(FIND(";",L315))),NOT(ISNUMBER(FIND(",",L315)))),"OK","ERRO: um e-mail válido por linha"))</f>
      </c>
      <c r="U315" s="6">
        <f>IF(COUNTA(A315:O315)=0,"",IF(AND(B315&lt;&gt;"",C315&lt;&gt;"",D315&lt;&gt;"",E315&lt;&gt;"",H315&lt;&gt;"",OR(J315&lt;&gt;"",L315&lt;&gt;"")),"OK","ERRO: faltam "&amp;IF(B315="","Proprietário; ","")&amp;IF(C315="","Origem; ","")&amp;IF(D315="","CNPJ; ","")&amp;IF(E315="","Razão Social; ","")&amp;IF(H315="","Sobrenome; ","")&amp;IF(AND(J315="",L315=""),"telefone ou e-mail; ","")))</f>
      </c>
      <c r="V315" s="6">
        <f>IF(COUNTA(A315:O315)=0,"",IF(AND(Q315="OK",R315="OK",LEFT(S315,4)&lt;&gt;"ERRO",LEFT(T315,4)&lt;&gt;"ERRO",U315="OK"),"OK","REVISAR"))</f>
      </c>
    </row>
    <row r="316">
      <c r="A316" s="4"/>
      <c r="B316" s="5"/>
      <c r="C316" s="5"/>
      <c r="D316" s="5"/>
      <c r="E316" s="5"/>
      <c r="F316" s="4"/>
      <c r="G316" s="4"/>
      <c r="H316" s="5"/>
      <c r="I316" s="4"/>
      <c r="J316" s="4"/>
      <c r="K316" s="4"/>
      <c r="L316" s="4"/>
      <c r="M316" s="4"/>
      <c r="N316" s="4"/>
      <c r="O316" s="4"/>
      <c r="P316" s="6">
        <f>IF(D316="","",SUBSTITUTE(SUBSTITUTE(SUBSTITUTE(SUBSTITUTE(SUBSTITUTE(SUBSTITUTE(SUBSTITUTE(TRIM(D316),".",""),"/",""),"-","")," ",""),"(",""),")",""),"+",""))</f>
      </c>
      <c r="Q316" s="6">
        <f>IF(P316="","",IF(LEN(P316)&lt;&gt;14,"ERRO: "&amp;LEN(P316)&amp;" dígitos",IF(NOT(ISNUMBER(VALUE(P316))),"ERRO: não numérico",IF(LEN(SUBSTITUTE(P316,LEFT(P316,1),""))=0,"ERRO: dígitos repetidos",IF(AND(VALUE(MID(P316,13,1))=IF(MOD(SUMPRODUCT(--MID(P316,{1,2,3,4,5,6,7,8,9,10,11,12},1),{5,4,3,2,9,8,7,6,5,4,3,2}),11)&lt;2,0,11-MOD(SUMPRODUCT(--MID(P316,{1,2,3,4,5,6,7,8,9,10,11,12},1),{5,4,3,2,9,8,7,6,5,4,3,2}),11)),VALUE(MID(P316,14,1))=IF(MOD(SUMPRODUCT(--MID(P316,{1,2,3,4,5,6,7,8,9,10,11,12,13},1),{6,5,4,3,2,9,8,7,6,5,4,3,2}),11)&lt;2,0,11-MOD(SUMPRODUCT(--MID(P316,{1,2,3,4,5,6,7,8,9,10,11,12,13},1),{6,5,4,3,2,9,8,7,6,5,4,3,2}),11))),"OK","ERRO: dígito verificador")))))</f>
      </c>
      <c r="R316" s="6">
        <f>IF(P316="","",IF(COUNTIF($P$2:$P$1001,P316)&gt;1,"DUPLICADO","OK"))</f>
      </c>
      <c r="S316" s="6">
        <f>IF(AND(J316="",K316=""),"vazio",IF(AND(OR(J316="",LEN(SUBSTITUTE(SUBSTITUTE(SUBSTITUTE(SUBSTITUTE(SUBSTITUTE(SUBSTITUTE(SUBSTITUTE(TRIM(J316),".",""),"/",""),"-","")," ",""),"(",""),")",""),"+",""))=10,LEN(SUBSTITUTE(SUBSTITUTE(SUBSTITUTE(SUBSTITUTE(SUBSTITUTE(SUBSTITUTE(SUBSTITUTE(TRIM(J316),".",""),"/",""),"-","")," ",""),"(",""),")",""),"+",""))=11),OR(K316="",LEN(SUBSTITUTE(SUBSTITUTE(SUBSTITUTE(SUBSTITUTE(SUBSTITUTE(SUBSTITUTE(SUBSTITUTE(TRIM(K316),".",""),"/",""),"-","")," ",""),"(",""),")",""),"+",""))=10,LEN(SUBSTITUTE(SUBSTITUTE(SUBSTITUTE(SUBSTITUTE(SUBSTITUTE(SUBSTITUTE(SUBSTITUTE(TRIM(K316),".",""),"/",""),"-","")," ",""),"(",""),")",""),"+",""))=11)),"OK","ERRO: use DDD + número (10 ou 11 dígitos)"))</f>
      </c>
      <c r="T316" s="6">
        <f>IF(L316="","vazio",IF(AND(ISNUMBER(FIND("@",L316)),ISNUMBER(FIND(".",MID(L316,FIND("@",L316),99))),NOT(ISNUMBER(FIND(" ",TRIM(L316)))),NOT(ISNUMBER(FIND(";",L316))),NOT(ISNUMBER(FIND(",",L316)))),"OK","ERRO: um e-mail válido por linha"))</f>
      </c>
      <c r="U316" s="6">
        <f>IF(COUNTA(A316:O316)=0,"",IF(AND(B316&lt;&gt;"",C316&lt;&gt;"",D316&lt;&gt;"",E316&lt;&gt;"",H316&lt;&gt;"",OR(J316&lt;&gt;"",L316&lt;&gt;"")),"OK","ERRO: faltam "&amp;IF(B316="","Proprietário; ","")&amp;IF(C316="","Origem; ","")&amp;IF(D316="","CNPJ; ","")&amp;IF(E316="","Razão Social; ","")&amp;IF(H316="","Sobrenome; ","")&amp;IF(AND(J316="",L316=""),"telefone ou e-mail; ","")))</f>
      </c>
      <c r="V316" s="6">
        <f>IF(COUNTA(A316:O316)=0,"",IF(AND(Q316="OK",R316="OK",LEFT(S316,4)&lt;&gt;"ERRO",LEFT(T316,4)&lt;&gt;"ERRO",U316="OK"),"OK","REVISAR"))</f>
      </c>
    </row>
    <row r="317">
      <c r="A317" s="4"/>
      <c r="B317" s="5"/>
      <c r="C317" s="5"/>
      <c r="D317" s="5"/>
      <c r="E317" s="5"/>
      <c r="F317" s="4"/>
      <c r="G317" s="4"/>
      <c r="H317" s="5"/>
      <c r="I317" s="4"/>
      <c r="J317" s="4"/>
      <c r="K317" s="4"/>
      <c r="L317" s="4"/>
      <c r="M317" s="4"/>
      <c r="N317" s="4"/>
      <c r="O317" s="4"/>
      <c r="P317" s="6">
        <f>IF(D317="","",SUBSTITUTE(SUBSTITUTE(SUBSTITUTE(SUBSTITUTE(SUBSTITUTE(SUBSTITUTE(SUBSTITUTE(TRIM(D317),".",""),"/",""),"-","")," ",""),"(",""),")",""),"+",""))</f>
      </c>
      <c r="Q317" s="6">
        <f>IF(P317="","",IF(LEN(P317)&lt;&gt;14,"ERRO: "&amp;LEN(P317)&amp;" dígitos",IF(NOT(ISNUMBER(VALUE(P317))),"ERRO: não numérico",IF(LEN(SUBSTITUTE(P317,LEFT(P317,1),""))=0,"ERRO: dígitos repetidos",IF(AND(VALUE(MID(P317,13,1))=IF(MOD(SUMPRODUCT(--MID(P317,{1,2,3,4,5,6,7,8,9,10,11,12},1),{5,4,3,2,9,8,7,6,5,4,3,2}),11)&lt;2,0,11-MOD(SUMPRODUCT(--MID(P317,{1,2,3,4,5,6,7,8,9,10,11,12},1),{5,4,3,2,9,8,7,6,5,4,3,2}),11)),VALUE(MID(P317,14,1))=IF(MOD(SUMPRODUCT(--MID(P317,{1,2,3,4,5,6,7,8,9,10,11,12,13},1),{6,5,4,3,2,9,8,7,6,5,4,3,2}),11)&lt;2,0,11-MOD(SUMPRODUCT(--MID(P317,{1,2,3,4,5,6,7,8,9,10,11,12,13},1),{6,5,4,3,2,9,8,7,6,5,4,3,2}),11))),"OK","ERRO: dígito verificador")))))</f>
      </c>
      <c r="R317" s="6">
        <f>IF(P317="","",IF(COUNTIF($P$2:$P$1001,P317)&gt;1,"DUPLICADO","OK"))</f>
      </c>
      <c r="S317" s="6">
        <f>IF(AND(J317="",K317=""),"vazio",IF(AND(OR(J317="",LEN(SUBSTITUTE(SUBSTITUTE(SUBSTITUTE(SUBSTITUTE(SUBSTITUTE(SUBSTITUTE(SUBSTITUTE(TRIM(J317),".",""),"/",""),"-","")," ",""),"(",""),")",""),"+",""))=10,LEN(SUBSTITUTE(SUBSTITUTE(SUBSTITUTE(SUBSTITUTE(SUBSTITUTE(SUBSTITUTE(SUBSTITUTE(TRIM(J317),".",""),"/",""),"-","")," ",""),"(",""),")",""),"+",""))=11),OR(K317="",LEN(SUBSTITUTE(SUBSTITUTE(SUBSTITUTE(SUBSTITUTE(SUBSTITUTE(SUBSTITUTE(SUBSTITUTE(TRIM(K317),".",""),"/",""),"-","")," ",""),"(",""),")",""),"+",""))=10,LEN(SUBSTITUTE(SUBSTITUTE(SUBSTITUTE(SUBSTITUTE(SUBSTITUTE(SUBSTITUTE(SUBSTITUTE(TRIM(K317),".",""),"/",""),"-","")," ",""),"(",""),")",""),"+",""))=11)),"OK","ERRO: use DDD + número (10 ou 11 dígitos)"))</f>
      </c>
      <c r="T317" s="6">
        <f>IF(L317="","vazio",IF(AND(ISNUMBER(FIND("@",L317)),ISNUMBER(FIND(".",MID(L317,FIND("@",L317),99))),NOT(ISNUMBER(FIND(" ",TRIM(L317)))),NOT(ISNUMBER(FIND(";",L317))),NOT(ISNUMBER(FIND(",",L317)))),"OK","ERRO: um e-mail válido por linha"))</f>
      </c>
      <c r="U317" s="6">
        <f>IF(COUNTA(A317:O317)=0,"",IF(AND(B317&lt;&gt;"",C317&lt;&gt;"",D317&lt;&gt;"",E317&lt;&gt;"",H317&lt;&gt;"",OR(J317&lt;&gt;"",L317&lt;&gt;"")),"OK","ERRO: faltam "&amp;IF(B317="","Proprietário; ","")&amp;IF(C317="","Origem; ","")&amp;IF(D317="","CNPJ; ","")&amp;IF(E317="","Razão Social; ","")&amp;IF(H317="","Sobrenome; ","")&amp;IF(AND(J317="",L317=""),"telefone ou e-mail; ","")))</f>
      </c>
      <c r="V317" s="6">
        <f>IF(COUNTA(A317:O317)=0,"",IF(AND(Q317="OK",R317="OK",LEFT(S317,4)&lt;&gt;"ERRO",LEFT(T317,4)&lt;&gt;"ERRO",U317="OK"),"OK","REVISAR"))</f>
      </c>
    </row>
    <row r="318">
      <c r="A318" s="4"/>
      <c r="B318" s="5"/>
      <c r="C318" s="5"/>
      <c r="D318" s="5"/>
      <c r="E318" s="5"/>
      <c r="F318" s="4"/>
      <c r="G318" s="4"/>
      <c r="H318" s="5"/>
      <c r="I318" s="4"/>
      <c r="J318" s="4"/>
      <c r="K318" s="4"/>
      <c r="L318" s="4"/>
      <c r="M318" s="4"/>
      <c r="N318" s="4"/>
      <c r="O318" s="4"/>
      <c r="P318" s="6">
        <f>IF(D318="","",SUBSTITUTE(SUBSTITUTE(SUBSTITUTE(SUBSTITUTE(SUBSTITUTE(SUBSTITUTE(SUBSTITUTE(TRIM(D318),".",""),"/",""),"-","")," ",""),"(",""),")",""),"+",""))</f>
      </c>
      <c r="Q318" s="6">
        <f>IF(P318="","",IF(LEN(P318)&lt;&gt;14,"ERRO: "&amp;LEN(P318)&amp;" dígitos",IF(NOT(ISNUMBER(VALUE(P318))),"ERRO: não numérico",IF(LEN(SUBSTITUTE(P318,LEFT(P318,1),""))=0,"ERRO: dígitos repetidos",IF(AND(VALUE(MID(P318,13,1))=IF(MOD(SUMPRODUCT(--MID(P318,{1,2,3,4,5,6,7,8,9,10,11,12},1),{5,4,3,2,9,8,7,6,5,4,3,2}),11)&lt;2,0,11-MOD(SUMPRODUCT(--MID(P318,{1,2,3,4,5,6,7,8,9,10,11,12},1),{5,4,3,2,9,8,7,6,5,4,3,2}),11)),VALUE(MID(P318,14,1))=IF(MOD(SUMPRODUCT(--MID(P318,{1,2,3,4,5,6,7,8,9,10,11,12,13},1),{6,5,4,3,2,9,8,7,6,5,4,3,2}),11)&lt;2,0,11-MOD(SUMPRODUCT(--MID(P318,{1,2,3,4,5,6,7,8,9,10,11,12,13},1),{6,5,4,3,2,9,8,7,6,5,4,3,2}),11))),"OK","ERRO: dígito verificador")))))</f>
      </c>
      <c r="R318" s="6">
        <f>IF(P318="","",IF(COUNTIF($P$2:$P$1001,P318)&gt;1,"DUPLICADO","OK"))</f>
      </c>
      <c r="S318" s="6">
        <f>IF(AND(J318="",K318=""),"vazio",IF(AND(OR(J318="",LEN(SUBSTITUTE(SUBSTITUTE(SUBSTITUTE(SUBSTITUTE(SUBSTITUTE(SUBSTITUTE(SUBSTITUTE(TRIM(J318),".",""),"/",""),"-","")," ",""),"(",""),")",""),"+",""))=10,LEN(SUBSTITUTE(SUBSTITUTE(SUBSTITUTE(SUBSTITUTE(SUBSTITUTE(SUBSTITUTE(SUBSTITUTE(TRIM(J318),".",""),"/",""),"-","")," ",""),"(",""),")",""),"+",""))=11),OR(K318="",LEN(SUBSTITUTE(SUBSTITUTE(SUBSTITUTE(SUBSTITUTE(SUBSTITUTE(SUBSTITUTE(SUBSTITUTE(TRIM(K318),".",""),"/",""),"-","")," ",""),"(",""),")",""),"+",""))=10,LEN(SUBSTITUTE(SUBSTITUTE(SUBSTITUTE(SUBSTITUTE(SUBSTITUTE(SUBSTITUTE(SUBSTITUTE(TRIM(K318),".",""),"/",""),"-","")," ",""),"(",""),")",""),"+",""))=11)),"OK","ERRO: use DDD + número (10 ou 11 dígitos)"))</f>
      </c>
      <c r="T318" s="6">
        <f>IF(L318="","vazio",IF(AND(ISNUMBER(FIND("@",L318)),ISNUMBER(FIND(".",MID(L318,FIND("@",L318),99))),NOT(ISNUMBER(FIND(" ",TRIM(L318)))),NOT(ISNUMBER(FIND(";",L318))),NOT(ISNUMBER(FIND(",",L318)))),"OK","ERRO: um e-mail válido por linha"))</f>
      </c>
      <c r="U318" s="6">
        <f>IF(COUNTA(A318:O318)=0,"",IF(AND(B318&lt;&gt;"",C318&lt;&gt;"",D318&lt;&gt;"",E318&lt;&gt;"",H318&lt;&gt;"",OR(J318&lt;&gt;"",L318&lt;&gt;"")),"OK","ERRO: faltam "&amp;IF(B318="","Proprietário; ","")&amp;IF(C318="","Origem; ","")&amp;IF(D318="","CNPJ; ","")&amp;IF(E318="","Razão Social; ","")&amp;IF(H318="","Sobrenome; ","")&amp;IF(AND(J318="",L318=""),"telefone ou e-mail; ","")))</f>
      </c>
      <c r="V318" s="6">
        <f>IF(COUNTA(A318:O318)=0,"",IF(AND(Q318="OK",R318="OK",LEFT(S318,4)&lt;&gt;"ERRO",LEFT(T318,4)&lt;&gt;"ERRO",U318="OK"),"OK","REVISAR"))</f>
      </c>
    </row>
    <row r="319">
      <c r="A319" s="4"/>
      <c r="B319" s="5"/>
      <c r="C319" s="5"/>
      <c r="D319" s="5"/>
      <c r="E319" s="5"/>
      <c r="F319" s="4"/>
      <c r="G319" s="4"/>
      <c r="H319" s="5"/>
      <c r="I319" s="4"/>
      <c r="J319" s="4"/>
      <c r="K319" s="4"/>
      <c r="L319" s="4"/>
      <c r="M319" s="4"/>
      <c r="N319" s="4"/>
      <c r="O319" s="4"/>
      <c r="P319" s="6">
        <f>IF(D319="","",SUBSTITUTE(SUBSTITUTE(SUBSTITUTE(SUBSTITUTE(SUBSTITUTE(SUBSTITUTE(SUBSTITUTE(TRIM(D319),".",""),"/",""),"-","")," ",""),"(",""),")",""),"+",""))</f>
      </c>
      <c r="Q319" s="6">
        <f>IF(P319="","",IF(LEN(P319)&lt;&gt;14,"ERRO: "&amp;LEN(P319)&amp;" dígitos",IF(NOT(ISNUMBER(VALUE(P319))),"ERRO: não numérico",IF(LEN(SUBSTITUTE(P319,LEFT(P319,1),""))=0,"ERRO: dígitos repetidos",IF(AND(VALUE(MID(P319,13,1))=IF(MOD(SUMPRODUCT(--MID(P319,{1,2,3,4,5,6,7,8,9,10,11,12},1),{5,4,3,2,9,8,7,6,5,4,3,2}),11)&lt;2,0,11-MOD(SUMPRODUCT(--MID(P319,{1,2,3,4,5,6,7,8,9,10,11,12},1),{5,4,3,2,9,8,7,6,5,4,3,2}),11)),VALUE(MID(P319,14,1))=IF(MOD(SUMPRODUCT(--MID(P319,{1,2,3,4,5,6,7,8,9,10,11,12,13},1),{6,5,4,3,2,9,8,7,6,5,4,3,2}),11)&lt;2,0,11-MOD(SUMPRODUCT(--MID(P319,{1,2,3,4,5,6,7,8,9,10,11,12,13},1),{6,5,4,3,2,9,8,7,6,5,4,3,2}),11))),"OK","ERRO: dígito verificador")))))</f>
      </c>
      <c r="R319" s="6">
        <f>IF(P319="","",IF(COUNTIF($P$2:$P$1001,P319)&gt;1,"DUPLICADO","OK"))</f>
      </c>
      <c r="S319" s="6">
        <f>IF(AND(J319="",K319=""),"vazio",IF(AND(OR(J319="",LEN(SUBSTITUTE(SUBSTITUTE(SUBSTITUTE(SUBSTITUTE(SUBSTITUTE(SUBSTITUTE(SUBSTITUTE(TRIM(J319),".",""),"/",""),"-","")," ",""),"(",""),")",""),"+",""))=10,LEN(SUBSTITUTE(SUBSTITUTE(SUBSTITUTE(SUBSTITUTE(SUBSTITUTE(SUBSTITUTE(SUBSTITUTE(TRIM(J319),".",""),"/",""),"-","")," ",""),"(",""),")",""),"+",""))=11),OR(K319="",LEN(SUBSTITUTE(SUBSTITUTE(SUBSTITUTE(SUBSTITUTE(SUBSTITUTE(SUBSTITUTE(SUBSTITUTE(TRIM(K319),".",""),"/",""),"-","")," ",""),"(",""),")",""),"+",""))=10,LEN(SUBSTITUTE(SUBSTITUTE(SUBSTITUTE(SUBSTITUTE(SUBSTITUTE(SUBSTITUTE(SUBSTITUTE(TRIM(K319),".",""),"/",""),"-","")," ",""),"(",""),")",""),"+",""))=11)),"OK","ERRO: use DDD + número (10 ou 11 dígitos)"))</f>
      </c>
      <c r="T319" s="6">
        <f>IF(L319="","vazio",IF(AND(ISNUMBER(FIND("@",L319)),ISNUMBER(FIND(".",MID(L319,FIND("@",L319),99))),NOT(ISNUMBER(FIND(" ",TRIM(L319)))),NOT(ISNUMBER(FIND(";",L319))),NOT(ISNUMBER(FIND(",",L319)))),"OK","ERRO: um e-mail válido por linha"))</f>
      </c>
      <c r="U319" s="6">
        <f>IF(COUNTA(A319:O319)=0,"",IF(AND(B319&lt;&gt;"",C319&lt;&gt;"",D319&lt;&gt;"",E319&lt;&gt;"",H319&lt;&gt;"",OR(J319&lt;&gt;"",L319&lt;&gt;"")),"OK","ERRO: faltam "&amp;IF(B319="","Proprietário; ","")&amp;IF(C319="","Origem; ","")&amp;IF(D319="","CNPJ; ","")&amp;IF(E319="","Razão Social; ","")&amp;IF(H319="","Sobrenome; ","")&amp;IF(AND(J319="",L319=""),"telefone ou e-mail; ","")))</f>
      </c>
      <c r="V319" s="6">
        <f>IF(COUNTA(A319:O319)=0,"",IF(AND(Q319="OK",R319="OK",LEFT(S319,4)&lt;&gt;"ERRO",LEFT(T319,4)&lt;&gt;"ERRO",U319="OK"),"OK","REVISAR"))</f>
      </c>
    </row>
    <row r="320">
      <c r="A320" s="4"/>
      <c r="B320" s="5"/>
      <c r="C320" s="5"/>
      <c r="D320" s="5"/>
      <c r="E320" s="5"/>
      <c r="F320" s="4"/>
      <c r="G320" s="4"/>
      <c r="H320" s="5"/>
      <c r="I320" s="4"/>
      <c r="J320" s="4"/>
      <c r="K320" s="4"/>
      <c r="L320" s="4"/>
      <c r="M320" s="4"/>
      <c r="N320" s="4"/>
      <c r="O320" s="4"/>
      <c r="P320" s="6">
        <f>IF(D320="","",SUBSTITUTE(SUBSTITUTE(SUBSTITUTE(SUBSTITUTE(SUBSTITUTE(SUBSTITUTE(SUBSTITUTE(TRIM(D320),".",""),"/",""),"-","")," ",""),"(",""),")",""),"+",""))</f>
      </c>
      <c r="Q320" s="6">
        <f>IF(P320="","",IF(LEN(P320)&lt;&gt;14,"ERRO: "&amp;LEN(P320)&amp;" dígitos",IF(NOT(ISNUMBER(VALUE(P320))),"ERRO: não numérico",IF(LEN(SUBSTITUTE(P320,LEFT(P320,1),""))=0,"ERRO: dígitos repetidos",IF(AND(VALUE(MID(P320,13,1))=IF(MOD(SUMPRODUCT(--MID(P320,{1,2,3,4,5,6,7,8,9,10,11,12},1),{5,4,3,2,9,8,7,6,5,4,3,2}),11)&lt;2,0,11-MOD(SUMPRODUCT(--MID(P320,{1,2,3,4,5,6,7,8,9,10,11,12},1),{5,4,3,2,9,8,7,6,5,4,3,2}),11)),VALUE(MID(P320,14,1))=IF(MOD(SUMPRODUCT(--MID(P320,{1,2,3,4,5,6,7,8,9,10,11,12,13},1),{6,5,4,3,2,9,8,7,6,5,4,3,2}),11)&lt;2,0,11-MOD(SUMPRODUCT(--MID(P320,{1,2,3,4,5,6,7,8,9,10,11,12,13},1),{6,5,4,3,2,9,8,7,6,5,4,3,2}),11))),"OK","ERRO: dígito verificador")))))</f>
      </c>
      <c r="R320" s="6">
        <f>IF(P320="","",IF(COUNTIF($P$2:$P$1001,P320)&gt;1,"DUPLICADO","OK"))</f>
      </c>
      <c r="S320" s="6">
        <f>IF(AND(J320="",K320=""),"vazio",IF(AND(OR(J320="",LEN(SUBSTITUTE(SUBSTITUTE(SUBSTITUTE(SUBSTITUTE(SUBSTITUTE(SUBSTITUTE(SUBSTITUTE(TRIM(J320),".",""),"/",""),"-","")," ",""),"(",""),")",""),"+",""))=10,LEN(SUBSTITUTE(SUBSTITUTE(SUBSTITUTE(SUBSTITUTE(SUBSTITUTE(SUBSTITUTE(SUBSTITUTE(TRIM(J320),".",""),"/",""),"-","")," ",""),"(",""),")",""),"+",""))=11),OR(K320="",LEN(SUBSTITUTE(SUBSTITUTE(SUBSTITUTE(SUBSTITUTE(SUBSTITUTE(SUBSTITUTE(SUBSTITUTE(TRIM(K320),".",""),"/",""),"-","")," ",""),"(",""),")",""),"+",""))=10,LEN(SUBSTITUTE(SUBSTITUTE(SUBSTITUTE(SUBSTITUTE(SUBSTITUTE(SUBSTITUTE(SUBSTITUTE(TRIM(K320),".",""),"/",""),"-","")," ",""),"(",""),")",""),"+",""))=11)),"OK","ERRO: use DDD + número (10 ou 11 dígitos)"))</f>
      </c>
      <c r="T320" s="6">
        <f>IF(L320="","vazio",IF(AND(ISNUMBER(FIND("@",L320)),ISNUMBER(FIND(".",MID(L320,FIND("@",L320),99))),NOT(ISNUMBER(FIND(" ",TRIM(L320)))),NOT(ISNUMBER(FIND(";",L320))),NOT(ISNUMBER(FIND(",",L320)))),"OK","ERRO: um e-mail válido por linha"))</f>
      </c>
      <c r="U320" s="6">
        <f>IF(COUNTA(A320:O320)=0,"",IF(AND(B320&lt;&gt;"",C320&lt;&gt;"",D320&lt;&gt;"",E320&lt;&gt;"",H320&lt;&gt;"",OR(J320&lt;&gt;"",L320&lt;&gt;"")),"OK","ERRO: faltam "&amp;IF(B320="","Proprietário; ","")&amp;IF(C320="","Origem; ","")&amp;IF(D320="","CNPJ; ","")&amp;IF(E320="","Razão Social; ","")&amp;IF(H320="","Sobrenome; ","")&amp;IF(AND(J320="",L320=""),"telefone ou e-mail; ","")))</f>
      </c>
      <c r="V320" s="6">
        <f>IF(COUNTA(A320:O320)=0,"",IF(AND(Q320="OK",R320="OK",LEFT(S320,4)&lt;&gt;"ERRO",LEFT(T320,4)&lt;&gt;"ERRO",U320="OK"),"OK","REVISAR"))</f>
      </c>
    </row>
    <row r="321">
      <c r="A321" s="4"/>
      <c r="B321" s="5"/>
      <c r="C321" s="5"/>
      <c r="D321" s="5"/>
      <c r="E321" s="5"/>
      <c r="F321" s="4"/>
      <c r="G321" s="4"/>
      <c r="H321" s="5"/>
      <c r="I321" s="4"/>
      <c r="J321" s="4"/>
      <c r="K321" s="4"/>
      <c r="L321" s="4"/>
      <c r="M321" s="4"/>
      <c r="N321" s="4"/>
      <c r="O321" s="4"/>
      <c r="P321" s="6">
        <f>IF(D321="","",SUBSTITUTE(SUBSTITUTE(SUBSTITUTE(SUBSTITUTE(SUBSTITUTE(SUBSTITUTE(SUBSTITUTE(TRIM(D321),".",""),"/",""),"-","")," ",""),"(",""),")",""),"+",""))</f>
      </c>
      <c r="Q321" s="6">
        <f>IF(P321="","",IF(LEN(P321)&lt;&gt;14,"ERRO: "&amp;LEN(P321)&amp;" dígitos",IF(NOT(ISNUMBER(VALUE(P321))),"ERRO: não numérico",IF(LEN(SUBSTITUTE(P321,LEFT(P321,1),""))=0,"ERRO: dígitos repetidos",IF(AND(VALUE(MID(P321,13,1))=IF(MOD(SUMPRODUCT(--MID(P321,{1,2,3,4,5,6,7,8,9,10,11,12},1),{5,4,3,2,9,8,7,6,5,4,3,2}),11)&lt;2,0,11-MOD(SUMPRODUCT(--MID(P321,{1,2,3,4,5,6,7,8,9,10,11,12},1),{5,4,3,2,9,8,7,6,5,4,3,2}),11)),VALUE(MID(P321,14,1))=IF(MOD(SUMPRODUCT(--MID(P321,{1,2,3,4,5,6,7,8,9,10,11,12,13},1),{6,5,4,3,2,9,8,7,6,5,4,3,2}),11)&lt;2,0,11-MOD(SUMPRODUCT(--MID(P321,{1,2,3,4,5,6,7,8,9,10,11,12,13},1),{6,5,4,3,2,9,8,7,6,5,4,3,2}),11))),"OK","ERRO: dígito verificador")))))</f>
      </c>
      <c r="R321" s="6">
        <f>IF(P321="","",IF(COUNTIF($P$2:$P$1001,P321)&gt;1,"DUPLICADO","OK"))</f>
      </c>
      <c r="S321" s="6">
        <f>IF(AND(J321="",K321=""),"vazio",IF(AND(OR(J321="",LEN(SUBSTITUTE(SUBSTITUTE(SUBSTITUTE(SUBSTITUTE(SUBSTITUTE(SUBSTITUTE(SUBSTITUTE(TRIM(J321),".",""),"/",""),"-","")," ",""),"(",""),")",""),"+",""))=10,LEN(SUBSTITUTE(SUBSTITUTE(SUBSTITUTE(SUBSTITUTE(SUBSTITUTE(SUBSTITUTE(SUBSTITUTE(TRIM(J321),".",""),"/",""),"-","")," ",""),"(",""),")",""),"+",""))=11),OR(K321="",LEN(SUBSTITUTE(SUBSTITUTE(SUBSTITUTE(SUBSTITUTE(SUBSTITUTE(SUBSTITUTE(SUBSTITUTE(TRIM(K321),".",""),"/",""),"-","")," ",""),"(",""),")",""),"+",""))=10,LEN(SUBSTITUTE(SUBSTITUTE(SUBSTITUTE(SUBSTITUTE(SUBSTITUTE(SUBSTITUTE(SUBSTITUTE(TRIM(K321),".",""),"/",""),"-","")," ",""),"(",""),")",""),"+",""))=11)),"OK","ERRO: use DDD + número (10 ou 11 dígitos)"))</f>
      </c>
      <c r="T321" s="6">
        <f>IF(L321="","vazio",IF(AND(ISNUMBER(FIND("@",L321)),ISNUMBER(FIND(".",MID(L321,FIND("@",L321),99))),NOT(ISNUMBER(FIND(" ",TRIM(L321)))),NOT(ISNUMBER(FIND(";",L321))),NOT(ISNUMBER(FIND(",",L321)))),"OK","ERRO: um e-mail válido por linha"))</f>
      </c>
      <c r="U321" s="6">
        <f>IF(COUNTA(A321:O321)=0,"",IF(AND(B321&lt;&gt;"",C321&lt;&gt;"",D321&lt;&gt;"",E321&lt;&gt;"",H321&lt;&gt;"",OR(J321&lt;&gt;"",L321&lt;&gt;"")),"OK","ERRO: faltam "&amp;IF(B321="","Proprietário; ","")&amp;IF(C321="","Origem; ","")&amp;IF(D321="","CNPJ; ","")&amp;IF(E321="","Razão Social; ","")&amp;IF(H321="","Sobrenome; ","")&amp;IF(AND(J321="",L321=""),"telefone ou e-mail; ","")))</f>
      </c>
      <c r="V321" s="6">
        <f>IF(COUNTA(A321:O321)=0,"",IF(AND(Q321="OK",R321="OK",LEFT(S321,4)&lt;&gt;"ERRO",LEFT(T321,4)&lt;&gt;"ERRO",U321="OK"),"OK","REVISAR"))</f>
      </c>
    </row>
    <row r="322">
      <c r="A322" s="4"/>
      <c r="B322" s="5"/>
      <c r="C322" s="5"/>
      <c r="D322" s="5"/>
      <c r="E322" s="5"/>
      <c r="F322" s="4"/>
      <c r="G322" s="4"/>
      <c r="H322" s="5"/>
      <c r="I322" s="4"/>
      <c r="J322" s="4"/>
      <c r="K322" s="4"/>
      <c r="L322" s="4"/>
      <c r="M322" s="4"/>
      <c r="N322" s="4"/>
      <c r="O322" s="4"/>
      <c r="P322" s="6">
        <f>IF(D322="","",SUBSTITUTE(SUBSTITUTE(SUBSTITUTE(SUBSTITUTE(SUBSTITUTE(SUBSTITUTE(SUBSTITUTE(TRIM(D322),".",""),"/",""),"-","")," ",""),"(",""),")",""),"+",""))</f>
      </c>
      <c r="Q322" s="6">
        <f>IF(P322="","",IF(LEN(P322)&lt;&gt;14,"ERRO: "&amp;LEN(P322)&amp;" dígitos",IF(NOT(ISNUMBER(VALUE(P322))),"ERRO: não numérico",IF(LEN(SUBSTITUTE(P322,LEFT(P322,1),""))=0,"ERRO: dígitos repetidos",IF(AND(VALUE(MID(P322,13,1))=IF(MOD(SUMPRODUCT(--MID(P322,{1,2,3,4,5,6,7,8,9,10,11,12},1),{5,4,3,2,9,8,7,6,5,4,3,2}),11)&lt;2,0,11-MOD(SUMPRODUCT(--MID(P322,{1,2,3,4,5,6,7,8,9,10,11,12},1),{5,4,3,2,9,8,7,6,5,4,3,2}),11)),VALUE(MID(P322,14,1))=IF(MOD(SUMPRODUCT(--MID(P322,{1,2,3,4,5,6,7,8,9,10,11,12,13},1),{6,5,4,3,2,9,8,7,6,5,4,3,2}),11)&lt;2,0,11-MOD(SUMPRODUCT(--MID(P322,{1,2,3,4,5,6,7,8,9,10,11,12,13},1),{6,5,4,3,2,9,8,7,6,5,4,3,2}),11))),"OK","ERRO: dígito verificador")))))</f>
      </c>
      <c r="R322" s="6">
        <f>IF(P322="","",IF(COUNTIF($P$2:$P$1001,P322)&gt;1,"DUPLICADO","OK"))</f>
      </c>
      <c r="S322" s="6">
        <f>IF(AND(J322="",K322=""),"vazio",IF(AND(OR(J322="",LEN(SUBSTITUTE(SUBSTITUTE(SUBSTITUTE(SUBSTITUTE(SUBSTITUTE(SUBSTITUTE(SUBSTITUTE(TRIM(J322),".",""),"/",""),"-","")," ",""),"(",""),")",""),"+",""))=10,LEN(SUBSTITUTE(SUBSTITUTE(SUBSTITUTE(SUBSTITUTE(SUBSTITUTE(SUBSTITUTE(SUBSTITUTE(TRIM(J322),".",""),"/",""),"-","")," ",""),"(",""),")",""),"+",""))=11),OR(K322="",LEN(SUBSTITUTE(SUBSTITUTE(SUBSTITUTE(SUBSTITUTE(SUBSTITUTE(SUBSTITUTE(SUBSTITUTE(TRIM(K322),".",""),"/",""),"-","")," ",""),"(",""),")",""),"+",""))=10,LEN(SUBSTITUTE(SUBSTITUTE(SUBSTITUTE(SUBSTITUTE(SUBSTITUTE(SUBSTITUTE(SUBSTITUTE(TRIM(K322),".",""),"/",""),"-","")," ",""),"(",""),")",""),"+",""))=11)),"OK","ERRO: use DDD + número (10 ou 11 dígitos)"))</f>
      </c>
      <c r="T322" s="6">
        <f>IF(L322="","vazio",IF(AND(ISNUMBER(FIND("@",L322)),ISNUMBER(FIND(".",MID(L322,FIND("@",L322),99))),NOT(ISNUMBER(FIND(" ",TRIM(L322)))),NOT(ISNUMBER(FIND(";",L322))),NOT(ISNUMBER(FIND(",",L322)))),"OK","ERRO: um e-mail válido por linha"))</f>
      </c>
      <c r="U322" s="6">
        <f>IF(COUNTA(A322:O322)=0,"",IF(AND(B322&lt;&gt;"",C322&lt;&gt;"",D322&lt;&gt;"",E322&lt;&gt;"",H322&lt;&gt;"",OR(J322&lt;&gt;"",L322&lt;&gt;"")),"OK","ERRO: faltam "&amp;IF(B322="","Proprietário; ","")&amp;IF(C322="","Origem; ","")&amp;IF(D322="","CNPJ; ","")&amp;IF(E322="","Razão Social; ","")&amp;IF(H322="","Sobrenome; ","")&amp;IF(AND(J322="",L322=""),"telefone ou e-mail; ","")))</f>
      </c>
      <c r="V322" s="6">
        <f>IF(COUNTA(A322:O322)=0,"",IF(AND(Q322="OK",R322="OK",LEFT(S322,4)&lt;&gt;"ERRO",LEFT(T322,4)&lt;&gt;"ERRO",U322="OK"),"OK","REVISAR"))</f>
      </c>
    </row>
    <row r="323">
      <c r="A323" s="4"/>
      <c r="B323" s="5"/>
      <c r="C323" s="5"/>
      <c r="D323" s="5"/>
      <c r="E323" s="5"/>
      <c r="F323" s="4"/>
      <c r="G323" s="4"/>
      <c r="H323" s="5"/>
      <c r="I323" s="4"/>
      <c r="J323" s="4"/>
      <c r="K323" s="4"/>
      <c r="L323" s="4"/>
      <c r="M323" s="4"/>
      <c r="N323" s="4"/>
      <c r="O323" s="4"/>
      <c r="P323" s="6">
        <f>IF(D323="","",SUBSTITUTE(SUBSTITUTE(SUBSTITUTE(SUBSTITUTE(SUBSTITUTE(SUBSTITUTE(SUBSTITUTE(TRIM(D323),".",""),"/",""),"-","")," ",""),"(",""),")",""),"+",""))</f>
      </c>
      <c r="Q323" s="6">
        <f>IF(P323="","",IF(LEN(P323)&lt;&gt;14,"ERRO: "&amp;LEN(P323)&amp;" dígitos",IF(NOT(ISNUMBER(VALUE(P323))),"ERRO: não numérico",IF(LEN(SUBSTITUTE(P323,LEFT(P323,1),""))=0,"ERRO: dígitos repetidos",IF(AND(VALUE(MID(P323,13,1))=IF(MOD(SUMPRODUCT(--MID(P323,{1,2,3,4,5,6,7,8,9,10,11,12},1),{5,4,3,2,9,8,7,6,5,4,3,2}),11)&lt;2,0,11-MOD(SUMPRODUCT(--MID(P323,{1,2,3,4,5,6,7,8,9,10,11,12},1),{5,4,3,2,9,8,7,6,5,4,3,2}),11)),VALUE(MID(P323,14,1))=IF(MOD(SUMPRODUCT(--MID(P323,{1,2,3,4,5,6,7,8,9,10,11,12,13},1),{6,5,4,3,2,9,8,7,6,5,4,3,2}),11)&lt;2,0,11-MOD(SUMPRODUCT(--MID(P323,{1,2,3,4,5,6,7,8,9,10,11,12,13},1),{6,5,4,3,2,9,8,7,6,5,4,3,2}),11))),"OK","ERRO: dígito verificador")))))</f>
      </c>
      <c r="R323" s="6">
        <f>IF(P323="","",IF(COUNTIF($P$2:$P$1001,P323)&gt;1,"DUPLICADO","OK"))</f>
      </c>
      <c r="S323" s="6">
        <f>IF(AND(J323="",K323=""),"vazio",IF(AND(OR(J323="",LEN(SUBSTITUTE(SUBSTITUTE(SUBSTITUTE(SUBSTITUTE(SUBSTITUTE(SUBSTITUTE(SUBSTITUTE(TRIM(J323),".",""),"/",""),"-","")," ",""),"(",""),")",""),"+",""))=10,LEN(SUBSTITUTE(SUBSTITUTE(SUBSTITUTE(SUBSTITUTE(SUBSTITUTE(SUBSTITUTE(SUBSTITUTE(TRIM(J323),".",""),"/",""),"-","")," ",""),"(",""),")",""),"+",""))=11),OR(K323="",LEN(SUBSTITUTE(SUBSTITUTE(SUBSTITUTE(SUBSTITUTE(SUBSTITUTE(SUBSTITUTE(SUBSTITUTE(TRIM(K323),".",""),"/",""),"-","")," ",""),"(",""),")",""),"+",""))=10,LEN(SUBSTITUTE(SUBSTITUTE(SUBSTITUTE(SUBSTITUTE(SUBSTITUTE(SUBSTITUTE(SUBSTITUTE(TRIM(K323),".",""),"/",""),"-","")," ",""),"(",""),")",""),"+",""))=11)),"OK","ERRO: use DDD + número (10 ou 11 dígitos)"))</f>
      </c>
      <c r="T323" s="6">
        <f>IF(L323="","vazio",IF(AND(ISNUMBER(FIND("@",L323)),ISNUMBER(FIND(".",MID(L323,FIND("@",L323),99))),NOT(ISNUMBER(FIND(" ",TRIM(L323)))),NOT(ISNUMBER(FIND(";",L323))),NOT(ISNUMBER(FIND(",",L323)))),"OK","ERRO: um e-mail válido por linha"))</f>
      </c>
      <c r="U323" s="6">
        <f>IF(COUNTA(A323:O323)=0,"",IF(AND(B323&lt;&gt;"",C323&lt;&gt;"",D323&lt;&gt;"",E323&lt;&gt;"",H323&lt;&gt;"",OR(J323&lt;&gt;"",L323&lt;&gt;"")),"OK","ERRO: faltam "&amp;IF(B323="","Proprietário; ","")&amp;IF(C323="","Origem; ","")&amp;IF(D323="","CNPJ; ","")&amp;IF(E323="","Razão Social; ","")&amp;IF(H323="","Sobrenome; ","")&amp;IF(AND(J323="",L323=""),"telefone ou e-mail; ","")))</f>
      </c>
      <c r="V323" s="6">
        <f>IF(COUNTA(A323:O323)=0,"",IF(AND(Q323="OK",R323="OK",LEFT(S323,4)&lt;&gt;"ERRO",LEFT(T323,4)&lt;&gt;"ERRO",U323="OK"),"OK","REVISAR"))</f>
      </c>
    </row>
    <row r="324">
      <c r="A324" s="4"/>
      <c r="B324" s="5"/>
      <c r="C324" s="5"/>
      <c r="D324" s="5"/>
      <c r="E324" s="5"/>
      <c r="F324" s="4"/>
      <c r="G324" s="4"/>
      <c r="H324" s="5"/>
      <c r="I324" s="4"/>
      <c r="J324" s="4"/>
      <c r="K324" s="4"/>
      <c r="L324" s="4"/>
      <c r="M324" s="4"/>
      <c r="N324" s="4"/>
      <c r="O324" s="4"/>
      <c r="P324" s="6">
        <f>IF(D324="","",SUBSTITUTE(SUBSTITUTE(SUBSTITUTE(SUBSTITUTE(SUBSTITUTE(SUBSTITUTE(SUBSTITUTE(TRIM(D324),".",""),"/",""),"-","")," ",""),"(",""),")",""),"+",""))</f>
      </c>
      <c r="Q324" s="6">
        <f>IF(P324="","",IF(LEN(P324)&lt;&gt;14,"ERRO: "&amp;LEN(P324)&amp;" dígitos",IF(NOT(ISNUMBER(VALUE(P324))),"ERRO: não numérico",IF(LEN(SUBSTITUTE(P324,LEFT(P324,1),""))=0,"ERRO: dígitos repetidos",IF(AND(VALUE(MID(P324,13,1))=IF(MOD(SUMPRODUCT(--MID(P324,{1,2,3,4,5,6,7,8,9,10,11,12},1),{5,4,3,2,9,8,7,6,5,4,3,2}),11)&lt;2,0,11-MOD(SUMPRODUCT(--MID(P324,{1,2,3,4,5,6,7,8,9,10,11,12},1),{5,4,3,2,9,8,7,6,5,4,3,2}),11)),VALUE(MID(P324,14,1))=IF(MOD(SUMPRODUCT(--MID(P324,{1,2,3,4,5,6,7,8,9,10,11,12,13},1),{6,5,4,3,2,9,8,7,6,5,4,3,2}),11)&lt;2,0,11-MOD(SUMPRODUCT(--MID(P324,{1,2,3,4,5,6,7,8,9,10,11,12,13},1),{6,5,4,3,2,9,8,7,6,5,4,3,2}),11))),"OK","ERRO: dígito verificador")))))</f>
      </c>
      <c r="R324" s="6">
        <f>IF(P324="","",IF(COUNTIF($P$2:$P$1001,P324)&gt;1,"DUPLICADO","OK"))</f>
      </c>
      <c r="S324" s="6">
        <f>IF(AND(J324="",K324=""),"vazio",IF(AND(OR(J324="",LEN(SUBSTITUTE(SUBSTITUTE(SUBSTITUTE(SUBSTITUTE(SUBSTITUTE(SUBSTITUTE(SUBSTITUTE(TRIM(J324),".",""),"/",""),"-","")," ",""),"(",""),")",""),"+",""))=10,LEN(SUBSTITUTE(SUBSTITUTE(SUBSTITUTE(SUBSTITUTE(SUBSTITUTE(SUBSTITUTE(SUBSTITUTE(TRIM(J324),".",""),"/",""),"-","")," ",""),"(",""),")",""),"+",""))=11),OR(K324="",LEN(SUBSTITUTE(SUBSTITUTE(SUBSTITUTE(SUBSTITUTE(SUBSTITUTE(SUBSTITUTE(SUBSTITUTE(TRIM(K324),".",""),"/",""),"-","")," ",""),"(",""),")",""),"+",""))=10,LEN(SUBSTITUTE(SUBSTITUTE(SUBSTITUTE(SUBSTITUTE(SUBSTITUTE(SUBSTITUTE(SUBSTITUTE(TRIM(K324),".",""),"/",""),"-","")," ",""),"(",""),")",""),"+",""))=11)),"OK","ERRO: use DDD + número (10 ou 11 dígitos)"))</f>
      </c>
      <c r="T324" s="6">
        <f>IF(L324="","vazio",IF(AND(ISNUMBER(FIND("@",L324)),ISNUMBER(FIND(".",MID(L324,FIND("@",L324),99))),NOT(ISNUMBER(FIND(" ",TRIM(L324)))),NOT(ISNUMBER(FIND(";",L324))),NOT(ISNUMBER(FIND(",",L324)))),"OK","ERRO: um e-mail válido por linha"))</f>
      </c>
      <c r="U324" s="6">
        <f>IF(COUNTA(A324:O324)=0,"",IF(AND(B324&lt;&gt;"",C324&lt;&gt;"",D324&lt;&gt;"",E324&lt;&gt;"",H324&lt;&gt;"",OR(J324&lt;&gt;"",L324&lt;&gt;"")),"OK","ERRO: faltam "&amp;IF(B324="","Proprietário; ","")&amp;IF(C324="","Origem; ","")&amp;IF(D324="","CNPJ; ","")&amp;IF(E324="","Razão Social; ","")&amp;IF(H324="","Sobrenome; ","")&amp;IF(AND(J324="",L324=""),"telefone ou e-mail; ","")))</f>
      </c>
      <c r="V324" s="6">
        <f>IF(COUNTA(A324:O324)=0,"",IF(AND(Q324="OK",R324="OK",LEFT(S324,4)&lt;&gt;"ERRO",LEFT(T324,4)&lt;&gt;"ERRO",U324="OK"),"OK","REVISAR"))</f>
      </c>
    </row>
    <row r="325">
      <c r="A325" s="4"/>
      <c r="B325" s="5"/>
      <c r="C325" s="5"/>
      <c r="D325" s="5"/>
      <c r="E325" s="5"/>
      <c r="F325" s="4"/>
      <c r="G325" s="4"/>
      <c r="H325" s="5"/>
      <c r="I325" s="4"/>
      <c r="J325" s="4"/>
      <c r="K325" s="4"/>
      <c r="L325" s="4"/>
      <c r="M325" s="4"/>
      <c r="N325" s="4"/>
      <c r="O325" s="4"/>
      <c r="P325" s="6">
        <f>IF(D325="","",SUBSTITUTE(SUBSTITUTE(SUBSTITUTE(SUBSTITUTE(SUBSTITUTE(SUBSTITUTE(SUBSTITUTE(TRIM(D325),".",""),"/",""),"-","")," ",""),"(",""),")",""),"+",""))</f>
      </c>
      <c r="Q325" s="6">
        <f>IF(P325="","",IF(LEN(P325)&lt;&gt;14,"ERRO: "&amp;LEN(P325)&amp;" dígitos",IF(NOT(ISNUMBER(VALUE(P325))),"ERRO: não numérico",IF(LEN(SUBSTITUTE(P325,LEFT(P325,1),""))=0,"ERRO: dígitos repetidos",IF(AND(VALUE(MID(P325,13,1))=IF(MOD(SUMPRODUCT(--MID(P325,{1,2,3,4,5,6,7,8,9,10,11,12},1),{5,4,3,2,9,8,7,6,5,4,3,2}),11)&lt;2,0,11-MOD(SUMPRODUCT(--MID(P325,{1,2,3,4,5,6,7,8,9,10,11,12},1),{5,4,3,2,9,8,7,6,5,4,3,2}),11)),VALUE(MID(P325,14,1))=IF(MOD(SUMPRODUCT(--MID(P325,{1,2,3,4,5,6,7,8,9,10,11,12,13},1),{6,5,4,3,2,9,8,7,6,5,4,3,2}),11)&lt;2,0,11-MOD(SUMPRODUCT(--MID(P325,{1,2,3,4,5,6,7,8,9,10,11,12,13},1),{6,5,4,3,2,9,8,7,6,5,4,3,2}),11))),"OK","ERRO: dígito verificador")))))</f>
      </c>
      <c r="R325" s="6">
        <f>IF(P325="","",IF(COUNTIF($P$2:$P$1001,P325)&gt;1,"DUPLICADO","OK"))</f>
      </c>
      <c r="S325" s="6">
        <f>IF(AND(J325="",K325=""),"vazio",IF(AND(OR(J325="",LEN(SUBSTITUTE(SUBSTITUTE(SUBSTITUTE(SUBSTITUTE(SUBSTITUTE(SUBSTITUTE(SUBSTITUTE(TRIM(J325),".",""),"/",""),"-","")," ",""),"(",""),")",""),"+",""))=10,LEN(SUBSTITUTE(SUBSTITUTE(SUBSTITUTE(SUBSTITUTE(SUBSTITUTE(SUBSTITUTE(SUBSTITUTE(TRIM(J325),".",""),"/",""),"-","")," ",""),"(",""),")",""),"+",""))=11),OR(K325="",LEN(SUBSTITUTE(SUBSTITUTE(SUBSTITUTE(SUBSTITUTE(SUBSTITUTE(SUBSTITUTE(SUBSTITUTE(TRIM(K325),".",""),"/",""),"-","")," ",""),"(",""),")",""),"+",""))=10,LEN(SUBSTITUTE(SUBSTITUTE(SUBSTITUTE(SUBSTITUTE(SUBSTITUTE(SUBSTITUTE(SUBSTITUTE(TRIM(K325),".",""),"/",""),"-","")," ",""),"(",""),")",""),"+",""))=11)),"OK","ERRO: use DDD + número (10 ou 11 dígitos)"))</f>
      </c>
      <c r="T325" s="6">
        <f>IF(L325="","vazio",IF(AND(ISNUMBER(FIND("@",L325)),ISNUMBER(FIND(".",MID(L325,FIND("@",L325),99))),NOT(ISNUMBER(FIND(" ",TRIM(L325)))),NOT(ISNUMBER(FIND(";",L325))),NOT(ISNUMBER(FIND(",",L325)))),"OK","ERRO: um e-mail válido por linha"))</f>
      </c>
      <c r="U325" s="6">
        <f>IF(COUNTA(A325:O325)=0,"",IF(AND(B325&lt;&gt;"",C325&lt;&gt;"",D325&lt;&gt;"",E325&lt;&gt;"",H325&lt;&gt;"",OR(J325&lt;&gt;"",L325&lt;&gt;"")),"OK","ERRO: faltam "&amp;IF(B325="","Proprietário; ","")&amp;IF(C325="","Origem; ","")&amp;IF(D325="","CNPJ; ","")&amp;IF(E325="","Razão Social; ","")&amp;IF(H325="","Sobrenome; ","")&amp;IF(AND(J325="",L325=""),"telefone ou e-mail; ","")))</f>
      </c>
      <c r="V325" s="6">
        <f>IF(COUNTA(A325:O325)=0,"",IF(AND(Q325="OK",R325="OK",LEFT(S325,4)&lt;&gt;"ERRO",LEFT(T325,4)&lt;&gt;"ERRO",U325="OK"),"OK","REVISAR"))</f>
      </c>
    </row>
    <row r="326">
      <c r="A326" s="4"/>
      <c r="B326" s="5"/>
      <c r="C326" s="5"/>
      <c r="D326" s="5"/>
      <c r="E326" s="5"/>
      <c r="F326" s="4"/>
      <c r="G326" s="4"/>
      <c r="H326" s="5"/>
      <c r="I326" s="4"/>
      <c r="J326" s="4"/>
      <c r="K326" s="4"/>
      <c r="L326" s="4"/>
      <c r="M326" s="4"/>
      <c r="N326" s="4"/>
      <c r="O326" s="4"/>
      <c r="P326" s="6">
        <f>IF(D326="","",SUBSTITUTE(SUBSTITUTE(SUBSTITUTE(SUBSTITUTE(SUBSTITUTE(SUBSTITUTE(SUBSTITUTE(TRIM(D326),".",""),"/",""),"-","")," ",""),"(",""),")",""),"+",""))</f>
      </c>
      <c r="Q326" s="6">
        <f>IF(P326="","",IF(LEN(P326)&lt;&gt;14,"ERRO: "&amp;LEN(P326)&amp;" dígitos",IF(NOT(ISNUMBER(VALUE(P326))),"ERRO: não numérico",IF(LEN(SUBSTITUTE(P326,LEFT(P326,1),""))=0,"ERRO: dígitos repetidos",IF(AND(VALUE(MID(P326,13,1))=IF(MOD(SUMPRODUCT(--MID(P326,{1,2,3,4,5,6,7,8,9,10,11,12},1),{5,4,3,2,9,8,7,6,5,4,3,2}),11)&lt;2,0,11-MOD(SUMPRODUCT(--MID(P326,{1,2,3,4,5,6,7,8,9,10,11,12},1),{5,4,3,2,9,8,7,6,5,4,3,2}),11)),VALUE(MID(P326,14,1))=IF(MOD(SUMPRODUCT(--MID(P326,{1,2,3,4,5,6,7,8,9,10,11,12,13},1),{6,5,4,3,2,9,8,7,6,5,4,3,2}),11)&lt;2,0,11-MOD(SUMPRODUCT(--MID(P326,{1,2,3,4,5,6,7,8,9,10,11,12,13},1),{6,5,4,3,2,9,8,7,6,5,4,3,2}),11))),"OK","ERRO: dígito verificador")))))</f>
      </c>
      <c r="R326" s="6">
        <f>IF(P326="","",IF(COUNTIF($P$2:$P$1001,P326)&gt;1,"DUPLICADO","OK"))</f>
      </c>
      <c r="S326" s="6">
        <f>IF(AND(J326="",K326=""),"vazio",IF(AND(OR(J326="",LEN(SUBSTITUTE(SUBSTITUTE(SUBSTITUTE(SUBSTITUTE(SUBSTITUTE(SUBSTITUTE(SUBSTITUTE(TRIM(J326),".",""),"/",""),"-","")," ",""),"(",""),")",""),"+",""))=10,LEN(SUBSTITUTE(SUBSTITUTE(SUBSTITUTE(SUBSTITUTE(SUBSTITUTE(SUBSTITUTE(SUBSTITUTE(TRIM(J326),".",""),"/",""),"-","")," ",""),"(",""),")",""),"+",""))=11),OR(K326="",LEN(SUBSTITUTE(SUBSTITUTE(SUBSTITUTE(SUBSTITUTE(SUBSTITUTE(SUBSTITUTE(SUBSTITUTE(TRIM(K326),".",""),"/",""),"-","")," ",""),"(",""),")",""),"+",""))=10,LEN(SUBSTITUTE(SUBSTITUTE(SUBSTITUTE(SUBSTITUTE(SUBSTITUTE(SUBSTITUTE(SUBSTITUTE(TRIM(K326),".",""),"/",""),"-","")," ",""),"(",""),")",""),"+",""))=11)),"OK","ERRO: use DDD + número (10 ou 11 dígitos)"))</f>
      </c>
      <c r="T326" s="6">
        <f>IF(L326="","vazio",IF(AND(ISNUMBER(FIND("@",L326)),ISNUMBER(FIND(".",MID(L326,FIND("@",L326),99))),NOT(ISNUMBER(FIND(" ",TRIM(L326)))),NOT(ISNUMBER(FIND(";",L326))),NOT(ISNUMBER(FIND(",",L326)))),"OK","ERRO: um e-mail válido por linha"))</f>
      </c>
      <c r="U326" s="6">
        <f>IF(COUNTA(A326:O326)=0,"",IF(AND(B326&lt;&gt;"",C326&lt;&gt;"",D326&lt;&gt;"",E326&lt;&gt;"",H326&lt;&gt;"",OR(J326&lt;&gt;"",L326&lt;&gt;"")),"OK","ERRO: faltam "&amp;IF(B326="","Proprietário; ","")&amp;IF(C326="","Origem; ","")&amp;IF(D326="","CNPJ; ","")&amp;IF(E326="","Razão Social; ","")&amp;IF(H326="","Sobrenome; ","")&amp;IF(AND(J326="",L326=""),"telefone ou e-mail; ","")))</f>
      </c>
      <c r="V326" s="6">
        <f>IF(COUNTA(A326:O326)=0,"",IF(AND(Q326="OK",R326="OK",LEFT(S326,4)&lt;&gt;"ERRO",LEFT(T326,4)&lt;&gt;"ERRO",U326="OK"),"OK","REVISAR"))</f>
      </c>
    </row>
    <row r="327">
      <c r="A327" s="4"/>
      <c r="B327" s="5"/>
      <c r="C327" s="5"/>
      <c r="D327" s="5"/>
      <c r="E327" s="5"/>
      <c r="F327" s="4"/>
      <c r="G327" s="4"/>
      <c r="H327" s="5"/>
      <c r="I327" s="4"/>
      <c r="J327" s="4"/>
      <c r="K327" s="4"/>
      <c r="L327" s="4"/>
      <c r="M327" s="4"/>
      <c r="N327" s="4"/>
      <c r="O327" s="4"/>
      <c r="P327" s="6">
        <f>IF(D327="","",SUBSTITUTE(SUBSTITUTE(SUBSTITUTE(SUBSTITUTE(SUBSTITUTE(SUBSTITUTE(SUBSTITUTE(TRIM(D327),".",""),"/",""),"-","")," ",""),"(",""),")",""),"+",""))</f>
      </c>
      <c r="Q327" s="6">
        <f>IF(P327="","",IF(LEN(P327)&lt;&gt;14,"ERRO: "&amp;LEN(P327)&amp;" dígitos",IF(NOT(ISNUMBER(VALUE(P327))),"ERRO: não numérico",IF(LEN(SUBSTITUTE(P327,LEFT(P327,1),""))=0,"ERRO: dígitos repetidos",IF(AND(VALUE(MID(P327,13,1))=IF(MOD(SUMPRODUCT(--MID(P327,{1,2,3,4,5,6,7,8,9,10,11,12},1),{5,4,3,2,9,8,7,6,5,4,3,2}),11)&lt;2,0,11-MOD(SUMPRODUCT(--MID(P327,{1,2,3,4,5,6,7,8,9,10,11,12},1),{5,4,3,2,9,8,7,6,5,4,3,2}),11)),VALUE(MID(P327,14,1))=IF(MOD(SUMPRODUCT(--MID(P327,{1,2,3,4,5,6,7,8,9,10,11,12,13},1),{6,5,4,3,2,9,8,7,6,5,4,3,2}),11)&lt;2,0,11-MOD(SUMPRODUCT(--MID(P327,{1,2,3,4,5,6,7,8,9,10,11,12,13},1),{6,5,4,3,2,9,8,7,6,5,4,3,2}),11))),"OK","ERRO: dígito verificador")))))</f>
      </c>
      <c r="R327" s="6">
        <f>IF(P327="","",IF(COUNTIF($P$2:$P$1001,P327)&gt;1,"DUPLICADO","OK"))</f>
      </c>
      <c r="S327" s="6">
        <f>IF(AND(J327="",K327=""),"vazio",IF(AND(OR(J327="",LEN(SUBSTITUTE(SUBSTITUTE(SUBSTITUTE(SUBSTITUTE(SUBSTITUTE(SUBSTITUTE(SUBSTITUTE(TRIM(J327),".",""),"/",""),"-","")," ",""),"(",""),")",""),"+",""))=10,LEN(SUBSTITUTE(SUBSTITUTE(SUBSTITUTE(SUBSTITUTE(SUBSTITUTE(SUBSTITUTE(SUBSTITUTE(TRIM(J327),".",""),"/",""),"-","")," ",""),"(",""),")",""),"+",""))=11),OR(K327="",LEN(SUBSTITUTE(SUBSTITUTE(SUBSTITUTE(SUBSTITUTE(SUBSTITUTE(SUBSTITUTE(SUBSTITUTE(TRIM(K327),".",""),"/",""),"-","")," ",""),"(",""),")",""),"+",""))=10,LEN(SUBSTITUTE(SUBSTITUTE(SUBSTITUTE(SUBSTITUTE(SUBSTITUTE(SUBSTITUTE(SUBSTITUTE(TRIM(K327),".",""),"/",""),"-","")," ",""),"(",""),")",""),"+",""))=11)),"OK","ERRO: use DDD + número (10 ou 11 dígitos)"))</f>
      </c>
      <c r="T327" s="6">
        <f>IF(L327="","vazio",IF(AND(ISNUMBER(FIND("@",L327)),ISNUMBER(FIND(".",MID(L327,FIND("@",L327),99))),NOT(ISNUMBER(FIND(" ",TRIM(L327)))),NOT(ISNUMBER(FIND(";",L327))),NOT(ISNUMBER(FIND(",",L327)))),"OK","ERRO: um e-mail válido por linha"))</f>
      </c>
      <c r="U327" s="6">
        <f>IF(COUNTA(A327:O327)=0,"",IF(AND(B327&lt;&gt;"",C327&lt;&gt;"",D327&lt;&gt;"",E327&lt;&gt;"",H327&lt;&gt;"",OR(J327&lt;&gt;"",L327&lt;&gt;"")),"OK","ERRO: faltam "&amp;IF(B327="","Proprietário; ","")&amp;IF(C327="","Origem; ","")&amp;IF(D327="","CNPJ; ","")&amp;IF(E327="","Razão Social; ","")&amp;IF(H327="","Sobrenome; ","")&amp;IF(AND(J327="",L327=""),"telefone ou e-mail; ","")))</f>
      </c>
      <c r="V327" s="6">
        <f>IF(COUNTA(A327:O327)=0,"",IF(AND(Q327="OK",R327="OK",LEFT(S327,4)&lt;&gt;"ERRO",LEFT(T327,4)&lt;&gt;"ERRO",U327="OK"),"OK","REVISAR"))</f>
      </c>
    </row>
    <row r="328">
      <c r="A328" s="4"/>
      <c r="B328" s="5"/>
      <c r="C328" s="5"/>
      <c r="D328" s="5"/>
      <c r="E328" s="5"/>
      <c r="F328" s="4"/>
      <c r="G328" s="4"/>
      <c r="H328" s="5"/>
      <c r="I328" s="4"/>
      <c r="J328" s="4"/>
      <c r="K328" s="4"/>
      <c r="L328" s="4"/>
      <c r="M328" s="4"/>
      <c r="N328" s="4"/>
      <c r="O328" s="4"/>
      <c r="P328" s="6">
        <f>IF(D328="","",SUBSTITUTE(SUBSTITUTE(SUBSTITUTE(SUBSTITUTE(SUBSTITUTE(SUBSTITUTE(SUBSTITUTE(TRIM(D328),".",""),"/",""),"-","")," ",""),"(",""),")",""),"+",""))</f>
      </c>
      <c r="Q328" s="6">
        <f>IF(P328="","",IF(LEN(P328)&lt;&gt;14,"ERRO: "&amp;LEN(P328)&amp;" dígitos",IF(NOT(ISNUMBER(VALUE(P328))),"ERRO: não numérico",IF(LEN(SUBSTITUTE(P328,LEFT(P328,1),""))=0,"ERRO: dígitos repetidos",IF(AND(VALUE(MID(P328,13,1))=IF(MOD(SUMPRODUCT(--MID(P328,{1,2,3,4,5,6,7,8,9,10,11,12},1),{5,4,3,2,9,8,7,6,5,4,3,2}),11)&lt;2,0,11-MOD(SUMPRODUCT(--MID(P328,{1,2,3,4,5,6,7,8,9,10,11,12},1),{5,4,3,2,9,8,7,6,5,4,3,2}),11)),VALUE(MID(P328,14,1))=IF(MOD(SUMPRODUCT(--MID(P328,{1,2,3,4,5,6,7,8,9,10,11,12,13},1),{6,5,4,3,2,9,8,7,6,5,4,3,2}),11)&lt;2,0,11-MOD(SUMPRODUCT(--MID(P328,{1,2,3,4,5,6,7,8,9,10,11,12,13},1),{6,5,4,3,2,9,8,7,6,5,4,3,2}),11))),"OK","ERRO: dígito verificador")))))</f>
      </c>
      <c r="R328" s="6">
        <f>IF(P328="","",IF(COUNTIF($P$2:$P$1001,P328)&gt;1,"DUPLICADO","OK"))</f>
      </c>
      <c r="S328" s="6">
        <f>IF(AND(J328="",K328=""),"vazio",IF(AND(OR(J328="",LEN(SUBSTITUTE(SUBSTITUTE(SUBSTITUTE(SUBSTITUTE(SUBSTITUTE(SUBSTITUTE(SUBSTITUTE(TRIM(J328),".",""),"/",""),"-","")," ",""),"(",""),")",""),"+",""))=10,LEN(SUBSTITUTE(SUBSTITUTE(SUBSTITUTE(SUBSTITUTE(SUBSTITUTE(SUBSTITUTE(SUBSTITUTE(TRIM(J328),".",""),"/",""),"-","")," ",""),"(",""),")",""),"+",""))=11),OR(K328="",LEN(SUBSTITUTE(SUBSTITUTE(SUBSTITUTE(SUBSTITUTE(SUBSTITUTE(SUBSTITUTE(SUBSTITUTE(TRIM(K328),".",""),"/",""),"-","")," ",""),"(",""),")",""),"+",""))=10,LEN(SUBSTITUTE(SUBSTITUTE(SUBSTITUTE(SUBSTITUTE(SUBSTITUTE(SUBSTITUTE(SUBSTITUTE(TRIM(K328),".",""),"/",""),"-","")," ",""),"(",""),")",""),"+",""))=11)),"OK","ERRO: use DDD + número (10 ou 11 dígitos)"))</f>
      </c>
      <c r="T328" s="6">
        <f>IF(L328="","vazio",IF(AND(ISNUMBER(FIND("@",L328)),ISNUMBER(FIND(".",MID(L328,FIND("@",L328),99))),NOT(ISNUMBER(FIND(" ",TRIM(L328)))),NOT(ISNUMBER(FIND(";",L328))),NOT(ISNUMBER(FIND(",",L328)))),"OK","ERRO: um e-mail válido por linha"))</f>
      </c>
      <c r="U328" s="6">
        <f>IF(COUNTA(A328:O328)=0,"",IF(AND(B328&lt;&gt;"",C328&lt;&gt;"",D328&lt;&gt;"",E328&lt;&gt;"",H328&lt;&gt;"",OR(J328&lt;&gt;"",L328&lt;&gt;"")),"OK","ERRO: faltam "&amp;IF(B328="","Proprietário; ","")&amp;IF(C328="","Origem; ","")&amp;IF(D328="","CNPJ; ","")&amp;IF(E328="","Razão Social; ","")&amp;IF(H328="","Sobrenome; ","")&amp;IF(AND(J328="",L328=""),"telefone ou e-mail; ","")))</f>
      </c>
      <c r="V328" s="6">
        <f>IF(COUNTA(A328:O328)=0,"",IF(AND(Q328="OK",R328="OK",LEFT(S328,4)&lt;&gt;"ERRO",LEFT(T328,4)&lt;&gt;"ERRO",U328="OK"),"OK","REVISAR"))</f>
      </c>
    </row>
    <row r="329">
      <c r="A329" s="4"/>
      <c r="B329" s="5"/>
      <c r="C329" s="5"/>
      <c r="D329" s="5"/>
      <c r="E329" s="5"/>
      <c r="F329" s="4"/>
      <c r="G329" s="4"/>
      <c r="H329" s="5"/>
      <c r="I329" s="4"/>
      <c r="J329" s="4"/>
      <c r="K329" s="4"/>
      <c r="L329" s="4"/>
      <c r="M329" s="4"/>
      <c r="N329" s="4"/>
      <c r="O329" s="4"/>
      <c r="P329" s="6">
        <f>IF(D329="","",SUBSTITUTE(SUBSTITUTE(SUBSTITUTE(SUBSTITUTE(SUBSTITUTE(SUBSTITUTE(SUBSTITUTE(TRIM(D329),".",""),"/",""),"-","")," ",""),"(",""),")",""),"+",""))</f>
      </c>
      <c r="Q329" s="6">
        <f>IF(P329="","",IF(LEN(P329)&lt;&gt;14,"ERRO: "&amp;LEN(P329)&amp;" dígitos",IF(NOT(ISNUMBER(VALUE(P329))),"ERRO: não numérico",IF(LEN(SUBSTITUTE(P329,LEFT(P329,1),""))=0,"ERRO: dígitos repetidos",IF(AND(VALUE(MID(P329,13,1))=IF(MOD(SUMPRODUCT(--MID(P329,{1,2,3,4,5,6,7,8,9,10,11,12},1),{5,4,3,2,9,8,7,6,5,4,3,2}),11)&lt;2,0,11-MOD(SUMPRODUCT(--MID(P329,{1,2,3,4,5,6,7,8,9,10,11,12},1),{5,4,3,2,9,8,7,6,5,4,3,2}),11)),VALUE(MID(P329,14,1))=IF(MOD(SUMPRODUCT(--MID(P329,{1,2,3,4,5,6,7,8,9,10,11,12,13},1),{6,5,4,3,2,9,8,7,6,5,4,3,2}),11)&lt;2,0,11-MOD(SUMPRODUCT(--MID(P329,{1,2,3,4,5,6,7,8,9,10,11,12,13},1),{6,5,4,3,2,9,8,7,6,5,4,3,2}),11))),"OK","ERRO: dígito verificador")))))</f>
      </c>
      <c r="R329" s="6">
        <f>IF(P329="","",IF(COUNTIF($P$2:$P$1001,P329)&gt;1,"DUPLICADO","OK"))</f>
      </c>
      <c r="S329" s="6">
        <f>IF(AND(J329="",K329=""),"vazio",IF(AND(OR(J329="",LEN(SUBSTITUTE(SUBSTITUTE(SUBSTITUTE(SUBSTITUTE(SUBSTITUTE(SUBSTITUTE(SUBSTITUTE(TRIM(J329),".",""),"/",""),"-","")," ",""),"(",""),")",""),"+",""))=10,LEN(SUBSTITUTE(SUBSTITUTE(SUBSTITUTE(SUBSTITUTE(SUBSTITUTE(SUBSTITUTE(SUBSTITUTE(TRIM(J329),".",""),"/",""),"-","")," ",""),"(",""),")",""),"+",""))=11),OR(K329="",LEN(SUBSTITUTE(SUBSTITUTE(SUBSTITUTE(SUBSTITUTE(SUBSTITUTE(SUBSTITUTE(SUBSTITUTE(TRIM(K329),".",""),"/",""),"-","")," ",""),"(",""),")",""),"+",""))=10,LEN(SUBSTITUTE(SUBSTITUTE(SUBSTITUTE(SUBSTITUTE(SUBSTITUTE(SUBSTITUTE(SUBSTITUTE(TRIM(K329),".",""),"/",""),"-","")," ",""),"(",""),")",""),"+",""))=11)),"OK","ERRO: use DDD + número (10 ou 11 dígitos)"))</f>
      </c>
      <c r="T329" s="6">
        <f>IF(L329="","vazio",IF(AND(ISNUMBER(FIND("@",L329)),ISNUMBER(FIND(".",MID(L329,FIND("@",L329),99))),NOT(ISNUMBER(FIND(" ",TRIM(L329)))),NOT(ISNUMBER(FIND(";",L329))),NOT(ISNUMBER(FIND(",",L329)))),"OK","ERRO: um e-mail válido por linha"))</f>
      </c>
      <c r="U329" s="6">
        <f>IF(COUNTA(A329:O329)=0,"",IF(AND(B329&lt;&gt;"",C329&lt;&gt;"",D329&lt;&gt;"",E329&lt;&gt;"",H329&lt;&gt;"",OR(J329&lt;&gt;"",L329&lt;&gt;"")),"OK","ERRO: faltam "&amp;IF(B329="","Proprietário; ","")&amp;IF(C329="","Origem; ","")&amp;IF(D329="","CNPJ; ","")&amp;IF(E329="","Razão Social; ","")&amp;IF(H329="","Sobrenome; ","")&amp;IF(AND(J329="",L329=""),"telefone ou e-mail; ","")))</f>
      </c>
      <c r="V329" s="6">
        <f>IF(COUNTA(A329:O329)=0,"",IF(AND(Q329="OK",R329="OK",LEFT(S329,4)&lt;&gt;"ERRO",LEFT(T329,4)&lt;&gt;"ERRO",U329="OK"),"OK","REVISAR"))</f>
      </c>
    </row>
    <row r="330">
      <c r="A330" s="4"/>
      <c r="B330" s="5"/>
      <c r="C330" s="5"/>
      <c r="D330" s="5"/>
      <c r="E330" s="5"/>
      <c r="F330" s="4"/>
      <c r="G330" s="4"/>
      <c r="H330" s="5"/>
      <c r="I330" s="4"/>
      <c r="J330" s="4"/>
      <c r="K330" s="4"/>
      <c r="L330" s="4"/>
      <c r="M330" s="4"/>
      <c r="N330" s="4"/>
      <c r="O330" s="4"/>
      <c r="P330" s="6">
        <f>IF(D330="","",SUBSTITUTE(SUBSTITUTE(SUBSTITUTE(SUBSTITUTE(SUBSTITUTE(SUBSTITUTE(SUBSTITUTE(TRIM(D330),".",""),"/",""),"-","")," ",""),"(",""),")",""),"+",""))</f>
      </c>
      <c r="Q330" s="6">
        <f>IF(P330="","",IF(LEN(P330)&lt;&gt;14,"ERRO: "&amp;LEN(P330)&amp;" dígitos",IF(NOT(ISNUMBER(VALUE(P330))),"ERRO: não numérico",IF(LEN(SUBSTITUTE(P330,LEFT(P330,1),""))=0,"ERRO: dígitos repetidos",IF(AND(VALUE(MID(P330,13,1))=IF(MOD(SUMPRODUCT(--MID(P330,{1,2,3,4,5,6,7,8,9,10,11,12},1),{5,4,3,2,9,8,7,6,5,4,3,2}),11)&lt;2,0,11-MOD(SUMPRODUCT(--MID(P330,{1,2,3,4,5,6,7,8,9,10,11,12},1),{5,4,3,2,9,8,7,6,5,4,3,2}),11)),VALUE(MID(P330,14,1))=IF(MOD(SUMPRODUCT(--MID(P330,{1,2,3,4,5,6,7,8,9,10,11,12,13},1),{6,5,4,3,2,9,8,7,6,5,4,3,2}),11)&lt;2,0,11-MOD(SUMPRODUCT(--MID(P330,{1,2,3,4,5,6,7,8,9,10,11,12,13},1),{6,5,4,3,2,9,8,7,6,5,4,3,2}),11))),"OK","ERRO: dígito verificador")))))</f>
      </c>
      <c r="R330" s="6">
        <f>IF(P330="","",IF(COUNTIF($P$2:$P$1001,P330)&gt;1,"DUPLICADO","OK"))</f>
      </c>
      <c r="S330" s="6">
        <f>IF(AND(J330="",K330=""),"vazio",IF(AND(OR(J330="",LEN(SUBSTITUTE(SUBSTITUTE(SUBSTITUTE(SUBSTITUTE(SUBSTITUTE(SUBSTITUTE(SUBSTITUTE(TRIM(J330),".",""),"/",""),"-","")," ",""),"(",""),")",""),"+",""))=10,LEN(SUBSTITUTE(SUBSTITUTE(SUBSTITUTE(SUBSTITUTE(SUBSTITUTE(SUBSTITUTE(SUBSTITUTE(TRIM(J330),".",""),"/",""),"-","")," ",""),"(",""),")",""),"+",""))=11),OR(K330="",LEN(SUBSTITUTE(SUBSTITUTE(SUBSTITUTE(SUBSTITUTE(SUBSTITUTE(SUBSTITUTE(SUBSTITUTE(TRIM(K330),".",""),"/",""),"-","")," ",""),"(",""),")",""),"+",""))=10,LEN(SUBSTITUTE(SUBSTITUTE(SUBSTITUTE(SUBSTITUTE(SUBSTITUTE(SUBSTITUTE(SUBSTITUTE(TRIM(K330),".",""),"/",""),"-","")," ",""),"(",""),")",""),"+",""))=11)),"OK","ERRO: use DDD + número (10 ou 11 dígitos)"))</f>
      </c>
      <c r="T330" s="6">
        <f>IF(L330="","vazio",IF(AND(ISNUMBER(FIND("@",L330)),ISNUMBER(FIND(".",MID(L330,FIND("@",L330),99))),NOT(ISNUMBER(FIND(" ",TRIM(L330)))),NOT(ISNUMBER(FIND(";",L330))),NOT(ISNUMBER(FIND(",",L330)))),"OK","ERRO: um e-mail válido por linha"))</f>
      </c>
      <c r="U330" s="6">
        <f>IF(COUNTA(A330:O330)=0,"",IF(AND(B330&lt;&gt;"",C330&lt;&gt;"",D330&lt;&gt;"",E330&lt;&gt;"",H330&lt;&gt;"",OR(J330&lt;&gt;"",L330&lt;&gt;"")),"OK","ERRO: faltam "&amp;IF(B330="","Proprietário; ","")&amp;IF(C330="","Origem; ","")&amp;IF(D330="","CNPJ; ","")&amp;IF(E330="","Razão Social; ","")&amp;IF(H330="","Sobrenome; ","")&amp;IF(AND(J330="",L330=""),"telefone ou e-mail; ","")))</f>
      </c>
      <c r="V330" s="6">
        <f>IF(COUNTA(A330:O330)=0,"",IF(AND(Q330="OK",R330="OK",LEFT(S330,4)&lt;&gt;"ERRO",LEFT(T330,4)&lt;&gt;"ERRO",U330="OK"),"OK","REVISAR"))</f>
      </c>
    </row>
    <row r="331">
      <c r="A331" s="4"/>
      <c r="B331" s="5"/>
      <c r="C331" s="5"/>
      <c r="D331" s="5"/>
      <c r="E331" s="5"/>
      <c r="F331" s="4"/>
      <c r="G331" s="4"/>
      <c r="H331" s="5"/>
      <c r="I331" s="4"/>
      <c r="J331" s="4"/>
      <c r="K331" s="4"/>
      <c r="L331" s="4"/>
      <c r="M331" s="4"/>
      <c r="N331" s="4"/>
      <c r="O331" s="4"/>
      <c r="P331" s="6">
        <f>IF(D331="","",SUBSTITUTE(SUBSTITUTE(SUBSTITUTE(SUBSTITUTE(SUBSTITUTE(SUBSTITUTE(SUBSTITUTE(TRIM(D331),".",""),"/",""),"-","")," ",""),"(",""),")",""),"+",""))</f>
      </c>
      <c r="Q331" s="6">
        <f>IF(P331="","",IF(LEN(P331)&lt;&gt;14,"ERRO: "&amp;LEN(P331)&amp;" dígitos",IF(NOT(ISNUMBER(VALUE(P331))),"ERRO: não numérico",IF(LEN(SUBSTITUTE(P331,LEFT(P331,1),""))=0,"ERRO: dígitos repetidos",IF(AND(VALUE(MID(P331,13,1))=IF(MOD(SUMPRODUCT(--MID(P331,{1,2,3,4,5,6,7,8,9,10,11,12},1),{5,4,3,2,9,8,7,6,5,4,3,2}),11)&lt;2,0,11-MOD(SUMPRODUCT(--MID(P331,{1,2,3,4,5,6,7,8,9,10,11,12},1),{5,4,3,2,9,8,7,6,5,4,3,2}),11)),VALUE(MID(P331,14,1))=IF(MOD(SUMPRODUCT(--MID(P331,{1,2,3,4,5,6,7,8,9,10,11,12,13},1),{6,5,4,3,2,9,8,7,6,5,4,3,2}),11)&lt;2,0,11-MOD(SUMPRODUCT(--MID(P331,{1,2,3,4,5,6,7,8,9,10,11,12,13},1),{6,5,4,3,2,9,8,7,6,5,4,3,2}),11))),"OK","ERRO: dígito verificador")))))</f>
      </c>
      <c r="R331" s="6">
        <f>IF(P331="","",IF(COUNTIF($P$2:$P$1001,P331)&gt;1,"DUPLICADO","OK"))</f>
      </c>
      <c r="S331" s="6">
        <f>IF(AND(J331="",K331=""),"vazio",IF(AND(OR(J331="",LEN(SUBSTITUTE(SUBSTITUTE(SUBSTITUTE(SUBSTITUTE(SUBSTITUTE(SUBSTITUTE(SUBSTITUTE(TRIM(J331),".",""),"/",""),"-","")," ",""),"(",""),")",""),"+",""))=10,LEN(SUBSTITUTE(SUBSTITUTE(SUBSTITUTE(SUBSTITUTE(SUBSTITUTE(SUBSTITUTE(SUBSTITUTE(TRIM(J331),".",""),"/",""),"-","")," ",""),"(",""),")",""),"+",""))=11),OR(K331="",LEN(SUBSTITUTE(SUBSTITUTE(SUBSTITUTE(SUBSTITUTE(SUBSTITUTE(SUBSTITUTE(SUBSTITUTE(TRIM(K331),".",""),"/",""),"-","")," ",""),"(",""),")",""),"+",""))=10,LEN(SUBSTITUTE(SUBSTITUTE(SUBSTITUTE(SUBSTITUTE(SUBSTITUTE(SUBSTITUTE(SUBSTITUTE(TRIM(K331),".",""),"/",""),"-","")," ",""),"(",""),")",""),"+",""))=11)),"OK","ERRO: use DDD + número (10 ou 11 dígitos)"))</f>
      </c>
      <c r="T331" s="6">
        <f>IF(L331="","vazio",IF(AND(ISNUMBER(FIND("@",L331)),ISNUMBER(FIND(".",MID(L331,FIND("@",L331),99))),NOT(ISNUMBER(FIND(" ",TRIM(L331)))),NOT(ISNUMBER(FIND(";",L331))),NOT(ISNUMBER(FIND(",",L331)))),"OK","ERRO: um e-mail válido por linha"))</f>
      </c>
      <c r="U331" s="6">
        <f>IF(COUNTA(A331:O331)=0,"",IF(AND(B331&lt;&gt;"",C331&lt;&gt;"",D331&lt;&gt;"",E331&lt;&gt;"",H331&lt;&gt;"",OR(J331&lt;&gt;"",L331&lt;&gt;"")),"OK","ERRO: faltam "&amp;IF(B331="","Proprietário; ","")&amp;IF(C331="","Origem; ","")&amp;IF(D331="","CNPJ; ","")&amp;IF(E331="","Razão Social; ","")&amp;IF(H331="","Sobrenome; ","")&amp;IF(AND(J331="",L331=""),"telefone ou e-mail; ","")))</f>
      </c>
      <c r="V331" s="6">
        <f>IF(COUNTA(A331:O331)=0,"",IF(AND(Q331="OK",R331="OK",LEFT(S331,4)&lt;&gt;"ERRO",LEFT(T331,4)&lt;&gt;"ERRO",U331="OK"),"OK","REVISAR"))</f>
      </c>
    </row>
    <row r="332">
      <c r="A332" s="4"/>
      <c r="B332" s="5"/>
      <c r="C332" s="5"/>
      <c r="D332" s="5"/>
      <c r="E332" s="5"/>
      <c r="F332" s="4"/>
      <c r="G332" s="4"/>
      <c r="H332" s="5"/>
      <c r="I332" s="4"/>
      <c r="J332" s="4"/>
      <c r="K332" s="4"/>
      <c r="L332" s="4"/>
      <c r="M332" s="4"/>
      <c r="N332" s="4"/>
      <c r="O332" s="4"/>
      <c r="P332" s="6">
        <f>IF(D332="","",SUBSTITUTE(SUBSTITUTE(SUBSTITUTE(SUBSTITUTE(SUBSTITUTE(SUBSTITUTE(SUBSTITUTE(TRIM(D332),".",""),"/",""),"-","")," ",""),"(",""),")",""),"+",""))</f>
      </c>
      <c r="Q332" s="6">
        <f>IF(P332="","",IF(LEN(P332)&lt;&gt;14,"ERRO: "&amp;LEN(P332)&amp;" dígitos",IF(NOT(ISNUMBER(VALUE(P332))),"ERRO: não numérico",IF(LEN(SUBSTITUTE(P332,LEFT(P332,1),""))=0,"ERRO: dígitos repetidos",IF(AND(VALUE(MID(P332,13,1))=IF(MOD(SUMPRODUCT(--MID(P332,{1,2,3,4,5,6,7,8,9,10,11,12},1),{5,4,3,2,9,8,7,6,5,4,3,2}),11)&lt;2,0,11-MOD(SUMPRODUCT(--MID(P332,{1,2,3,4,5,6,7,8,9,10,11,12},1),{5,4,3,2,9,8,7,6,5,4,3,2}),11)),VALUE(MID(P332,14,1))=IF(MOD(SUMPRODUCT(--MID(P332,{1,2,3,4,5,6,7,8,9,10,11,12,13},1),{6,5,4,3,2,9,8,7,6,5,4,3,2}),11)&lt;2,0,11-MOD(SUMPRODUCT(--MID(P332,{1,2,3,4,5,6,7,8,9,10,11,12,13},1),{6,5,4,3,2,9,8,7,6,5,4,3,2}),11))),"OK","ERRO: dígito verificador")))))</f>
      </c>
      <c r="R332" s="6">
        <f>IF(P332="","",IF(COUNTIF($P$2:$P$1001,P332)&gt;1,"DUPLICADO","OK"))</f>
      </c>
      <c r="S332" s="6">
        <f>IF(AND(J332="",K332=""),"vazio",IF(AND(OR(J332="",LEN(SUBSTITUTE(SUBSTITUTE(SUBSTITUTE(SUBSTITUTE(SUBSTITUTE(SUBSTITUTE(SUBSTITUTE(TRIM(J332),".",""),"/",""),"-","")," ",""),"(",""),")",""),"+",""))=10,LEN(SUBSTITUTE(SUBSTITUTE(SUBSTITUTE(SUBSTITUTE(SUBSTITUTE(SUBSTITUTE(SUBSTITUTE(TRIM(J332),".",""),"/",""),"-","")," ",""),"(",""),")",""),"+",""))=11),OR(K332="",LEN(SUBSTITUTE(SUBSTITUTE(SUBSTITUTE(SUBSTITUTE(SUBSTITUTE(SUBSTITUTE(SUBSTITUTE(TRIM(K332),".",""),"/",""),"-","")," ",""),"(",""),")",""),"+",""))=10,LEN(SUBSTITUTE(SUBSTITUTE(SUBSTITUTE(SUBSTITUTE(SUBSTITUTE(SUBSTITUTE(SUBSTITUTE(TRIM(K332),".",""),"/",""),"-","")," ",""),"(",""),")",""),"+",""))=11)),"OK","ERRO: use DDD + número (10 ou 11 dígitos)"))</f>
      </c>
      <c r="T332" s="6">
        <f>IF(L332="","vazio",IF(AND(ISNUMBER(FIND("@",L332)),ISNUMBER(FIND(".",MID(L332,FIND("@",L332),99))),NOT(ISNUMBER(FIND(" ",TRIM(L332)))),NOT(ISNUMBER(FIND(";",L332))),NOT(ISNUMBER(FIND(",",L332)))),"OK","ERRO: um e-mail válido por linha"))</f>
      </c>
      <c r="U332" s="6">
        <f>IF(COUNTA(A332:O332)=0,"",IF(AND(B332&lt;&gt;"",C332&lt;&gt;"",D332&lt;&gt;"",E332&lt;&gt;"",H332&lt;&gt;"",OR(J332&lt;&gt;"",L332&lt;&gt;"")),"OK","ERRO: faltam "&amp;IF(B332="","Proprietário; ","")&amp;IF(C332="","Origem; ","")&amp;IF(D332="","CNPJ; ","")&amp;IF(E332="","Razão Social; ","")&amp;IF(H332="","Sobrenome; ","")&amp;IF(AND(J332="",L332=""),"telefone ou e-mail; ","")))</f>
      </c>
      <c r="V332" s="6">
        <f>IF(COUNTA(A332:O332)=0,"",IF(AND(Q332="OK",R332="OK",LEFT(S332,4)&lt;&gt;"ERRO",LEFT(T332,4)&lt;&gt;"ERRO",U332="OK"),"OK","REVISAR"))</f>
      </c>
    </row>
    <row r="333">
      <c r="A333" s="4"/>
      <c r="B333" s="5"/>
      <c r="C333" s="5"/>
      <c r="D333" s="5"/>
      <c r="E333" s="5"/>
      <c r="F333" s="4"/>
      <c r="G333" s="4"/>
      <c r="H333" s="5"/>
      <c r="I333" s="4"/>
      <c r="J333" s="4"/>
      <c r="K333" s="4"/>
      <c r="L333" s="4"/>
      <c r="M333" s="4"/>
      <c r="N333" s="4"/>
      <c r="O333" s="4"/>
      <c r="P333" s="6">
        <f>IF(D333="","",SUBSTITUTE(SUBSTITUTE(SUBSTITUTE(SUBSTITUTE(SUBSTITUTE(SUBSTITUTE(SUBSTITUTE(TRIM(D333),".",""),"/",""),"-","")," ",""),"(",""),")",""),"+",""))</f>
      </c>
      <c r="Q333" s="6">
        <f>IF(P333="","",IF(LEN(P333)&lt;&gt;14,"ERRO: "&amp;LEN(P333)&amp;" dígitos",IF(NOT(ISNUMBER(VALUE(P333))),"ERRO: não numérico",IF(LEN(SUBSTITUTE(P333,LEFT(P333,1),""))=0,"ERRO: dígitos repetidos",IF(AND(VALUE(MID(P333,13,1))=IF(MOD(SUMPRODUCT(--MID(P333,{1,2,3,4,5,6,7,8,9,10,11,12},1),{5,4,3,2,9,8,7,6,5,4,3,2}),11)&lt;2,0,11-MOD(SUMPRODUCT(--MID(P333,{1,2,3,4,5,6,7,8,9,10,11,12},1),{5,4,3,2,9,8,7,6,5,4,3,2}),11)),VALUE(MID(P333,14,1))=IF(MOD(SUMPRODUCT(--MID(P333,{1,2,3,4,5,6,7,8,9,10,11,12,13},1),{6,5,4,3,2,9,8,7,6,5,4,3,2}),11)&lt;2,0,11-MOD(SUMPRODUCT(--MID(P333,{1,2,3,4,5,6,7,8,9,10,11,12,13},1),{6,5,4,3,2,9,8,7,6,5,4,3,2}),11))),"OK","ERRO: dígito verificador")))))</f>
      </c>
      <c r="R333" s="6">
        <f>IF(P333="","",IF(COUNTIF($P$2:$P$1001,P333)&gt;1,"DUPLICADO","OK"))</f>
      </c>
      <c r="S333" s="6">
        <f>IF(AND(J333="",K333=""),"vazio",IF(AND(OR(J333="",LEN(SUBSTITUTE(SUBSTITUTE(SUBSTITUTE(SUBSTITUTE(SUBSTITUTE(SUBSTITUTE(SUBSTITUTE(TRIM(J333),".",""),"/",""),"-","")," ",""),"(",""),")",""),"+",""))=10,LEN(SUBSTITUTE(SUBSTITUTE(SUBSTITUTE(SUBSTITUTE(SUBSTITUTE(SUBSTITUTE(SUBSTITUTE(TRIM(J333),".",""),"/",""),"-","")," ",""),"(",""),")",""),"+",""))=11),OR(K333="",LEN(SUBSTITUTE(SUBSTITUTE(SUBSTITUTE(SUBSTITUTE(SUBSTITUTE(SUBSTITUTE(SUBSTITUTE(TRIM(K333),".",""),"/",""),"-","")," ",""),"(",""),")",""),"+",""))=10,LEN(SUBSTITUTE(SUBSTITUTE(SUBSTITUTE(SUBSTITUTE(SUBSTITUTE(SUBSTITUTE(SUBSTITUTE(TRIM(K333),".",""),"/",""),"-","")," ",""),"(",""),")",""),"+",""))=11)),"OK","ERRO: use DDD + número (10 ou 11 dígitos)"))</f>
      </c>
      <c r="T333" s="6">
        <f>IF(L333="","vazio",IF(AND(ISNUMBER(FIND("@",L333)),ISNUMBER(FIND(".",MID(L333,FIND("@",L333),99))),NOT(ISNUMBER(FIND(" ",TRIM(L333)))),NOT(ISNUMBER(FIND(";",L333))),NOT(ISNUMBER(FIND(",",L333)))),"OK","ERRO: um e-mail válido por linha"))</f>
      </c>
      <c r="U333" s="6">
        <f>IF(COUNTA(A333:O333)=0,"",IF(AND(B333&lt;&gt;"",C333&lt;&gt;"",D333&lt;&gt;"",E333&lt;&gt;"",H333&lt;&gt;"",OR(J333&lt;&gt;"",L333&lt;&gt;"")),"OK","ERRO: faltam "&amp;IF(B333="","Proprietário; ","")&amp;IF(C333="","Origem; ","")&amp;IF(D333="","CNPJ; ","")&amp;IF(E333="","Razão Social; ","")&amp;IF(H333="","Sobrenome; ","")&amp;IF(AND(J333="",L333=""),"telefone ou e-mail; ","")))</f>
      </c>
      <c r="V333" s="6">
        <f>IF(COUNTA(A333:O333)=0,"",IF(AND(Q333="OK",R333="OK",LEFT(S333,4)&lt;&gt;"ERRO",LEFT(T333,4)&lt;&gt;"ERRO",U333="OK"),"OK","REVISAR"))</f>
      </c>
    </row>
    <row r="334">
      <c r="A334" s="4"/>
      <c r="B334" s="5"/>
      <c r="C334" s="5"/>
      <c r="D334" s="5"/>
      <c r="E334" s="5"/>
      <c r="F334" s="4"/>
      <c r="G334" s="4"/>
      <c r="H334" s="5"/>
      <c r="I334" s="4"/>
      <c r="J334" s="4"/>
      <c r="K334" s="4"/>
      <c r="L334" s="4"/>
      <c r="M334" s="4"/>
      <c r="N334" s="4"/>
      <c r="O334" s="4"/>
      <c r="P334" s="6">
        <f>IF(D334="","",SUBSTITUTE(SUBSTITUTE(SUBSTITUTE(SUBSTITUTE(SUBSTITUTE(SUBSTITUTE(SUBSTITUTE(TRIM(D334),".",""),"/",""),"-","")," ",""),"(",""),")",""),"+",""))</f>
      </c>
      <c r="Q334" s="6">
        <f>IF(P334="","",IF(LEN(P334)&lt;&gt;14,"ERRO: "&amp;LEN(P334)&amp;" dígitos",IF(NOT(ISNUMBER(VALUE(P334))),"ERRO: não numérico",IF(LEN(SUBSTITUTE(P334,LEFT(P334,1),""))=0,"ERRO: dígitos repetidos",IF(AND(VALUE(MID(P334,13,1))=IF(MOD(SUMPRODUCT(--MID(P334,{1,2,3,4,5,6,7,8,9,10,11,12},1),{5,4,3,2,9,8,7,6,5,4,3,2}),11)&lt;2,0,11-MOD(SUMPRODUCT(--MID(P334,{1,2,3,4,5,6,7,8,9,10,11,12},1),{5,4,3,2,9,8,7,6,5,4,3,2}),11)),VALUE(MID(P334,14,1))=IF(MOD(SUMPRODUCT(--MID(P334,{1,2,3,4,5,6,7,8,9,10,11,12,13},1),{6,5,4,3,2,9,8,7,6,5,4,3,2}),11)&lt;2,0,11-MOD(SUMPRODUCT(--MID(P334,{1,2,3,4,5,6,7,8,9,10,11,12,13},1),{6,5,4,3,2,9,8,7,6,5,4,3,2}),11))),"OK","ERRO: dígito verificador")))))</f>
      </c>
      <c r="R334" s="6">
        <f>IF(P334="","",IF(COUNTIF($P$2:$P$1001,P334)&gt;1,"DUPLICADO","OK"))</f>
      </c>
      <c r="S334" s="6">
        <f>IF(AND(J334="",K334=""),"vazio",IF(AND(OR(J334="",LEN(SUBSTITUTE(SUBSTITUTE(SUBSTITUTE(SUBSTITUTE(SUBSTITUTE(SUBSTITUTE(SUBSTITUTE(TRIM(J334),".",""),"/",""),"-","")," ",""),"(",""),")",""),"+",""))=10,LEN(SUBSTITUTE(SUBSTITUTE(SUBSTITUTE(SUBSTITUTE(SUBSTITUTE(SUBSTITUTE(SUBSTITUTE(TRIM(J334),".",""),"/",""),"-","")," ",""),"(",""),")",""),"+",""))=11),OR(K334="",LEN(SUBSTITUTE(SUBSTITUTE(SUBSTITUTE(SUBSTITUTE(SUBSTITUTE(SUBSTITUTE(SUBSTITUTE(TRIM(K334),".",""),"/",""),"-","")," ",""),"(",""),")",""),"+",""))=10,LEN(SUBSTITUTE(SUBSTITUTE(SUBSTITUTE(SUBSTITUTE(SUBSTITUTE(SUBSTITUTE(SUBSTITUTE(TRIM(K334),".",""),"/",""),"-","")," ",""),"(",""),")",""),"+",""))=11)),"OK","ERRO: use DDD + número (10 ou 11 dígitos)"))</f>
      </c>
      <c r="T334" s="6">
        <f>IF(L334="","vazio",IF(AND(ISNUMBER(FIND("@",L334)),ISNUMBER(FIND(".",MID(L334,FIND("@",L334),99))),NOT(ISNUMBER(FIND(" ",TRIM(L334)))),NOT(ISNUMBER(FIND(";",L334))),NOT(ISNUMBER(FIND(",",L334)))),"OK","ERRO: um e-mail válido por linha"))</f>
      </c>
      <c r="U334" s="6">
        <f>IF(COUNTA(A334:O334)=0,"",IF(AND(B334&lt;&gt;"",C334&lt;&gt;"",D334&lt;&gt;"",E334&lt;&gt;"",H334&lt;&gt;"",OR(J334&lt;&gt;"",L334&lt;&gt;"")),"OK","ERRO: faltam "&amp;IF(B334="","Proprietário; ","")&amp;IF(C334="","Origem; ","")&amp;IF(D334="","CNPJ; ","")&amp;IF(E334="","Razão Social; ","")&amp;IF(H334="","Sobrenome; ","")&amp;IF(AND(J334="",L334=""),"telefone ou e-mail; ","")))</f>
      </c>
      <c r="V334" s="6">
        <f>IF(COUNTA(A334:O334)=0,"",IF(AND(Q334="OK",R334="OK",LEFT(S334,4)&lt;&gt;"ERRO",LEFT(T334,4)&lt;&gt;"ERRO",U334="OK"),"OK","REVISAR"))</f>
      </c>
    </row>
    <row r="335">
      <c r="A335" s="4"/>
      <c r="B335" s="5"/>
      <c r="C335" s="5"/>
      <c r="D335" s="5"/>
      <c r="E335" s="5"/>
      <c r="F335" s="4"/>
      <c r="G335" s="4"/>
      <c r="H335" s="5"/>
      <c r="I335" s="4"/>
      <c r="J335" s="4"/>
      <c r="K335" s="4"/>
      <c r="L335" s="4"/>
      <c r="M335" s="4"/>
      <c r="N335" s="4"/>
      <c r="O335" s="4"/>
      <c r="P335" s="6">
        <f>IF(D335="","",SUBSTITUTE(SUBSTITUTE(SUBSTITUTE(SUBSTITUTE(SUBSTITUTE(SUBSTITUTE(SUBSTITUTE(TRIM(D335),".",""),"/",""),"-","")," ",""),"(",""),")",""),"+",""))</f>
      </c>
      <c r="Q335" s="6">
        <f>IF(P335="","",IF(LEN(P335)&lt;&gt;14,"ERRO: "&amp;LEN(P335)&amp;" dígitos",IF(NOT(ISNUMBER(VALUE(P335))),"ERRO: não numérico",IF(LEN(SUBSTITUTE(P335,LEFT(P335,1),""))=0,"ERRO: dígitos repetidos",IF(AND(VALUE(MID(P335,13,1))=IF(MOD(SUMPRODUCT(--MID(P335,{1,2,3,4,5,6,7,8,9,10,11,12},1),{5,4,3,2,9,8,7,6,5,4,3,2}),11)&lt;2,0,11-MOD(SUMPRODUCT(--MID(P335,{1,2,3,4,5,6,7,8,9,10,11,12},1),{5,4,3,2,9,8,7,6,5,4,3,2}),11)),VALUE(MID(P335,14,1))=IF(MOD(SUMPRODUCT(--MID(P335,{1,2,3,4,5,6,7,8,9,10,11,12,13},1),{6,5,4,3,2,9,8,7,6,5,4,3,2}),11)&lt;2,0,11-MOD(SUMPRODUCT(--MID(P335,{1,2,3,4,5,6,7,8,9,10,11,12,13},1),{6,5,4,3,2,9,8,7,6,5,4,3,2}),11))),"OK","ERRO: dígito verificador")))))</f>
      </c>
      <c r="R335" s="6">
        <f>IF(P335="","",IF(COUNTIF($P$2:$P$1001,P335)&gt;1,"DUPLICADO","OK"))</f>
      </c>
      <c r="S335" s="6">
        <f>IF(AND(J335="",K335=""),"vazio",IF(AND(OR(J335="",LEN(SUBSTITUTE(SUBSTITUTE(SUBSTITUTE(SUBSTITUTE(SUBSTITUTE(SUBSTITUTE(SUBSTITUTE(TRIM(J335),".",""),"/",""),"-","")," ",""),"(",""),")",""),"+",""))=10,LEN(SUBSTITUTE(SUBSTITUTE(SUBSTITUTE(SUBSTITUTE(SUBSTITUTE(SUBSTITUTE(SUBSTITUTE(TRIM(J335),".",""),"/",""),"-","")," ",""),"(",""),")",""),"+",""))=11),OR(K335="",LEN(SUBSTITUTE(SUBSTITUTE(SUBSTITUTE(SUBSTITUTE(SUBSTITUTE(SUBSTITUTE(SUBSTITUTE(TRIM(K335),".",""),"/",""),"-","")," ",""),"(",""),")",""),"+",""))=10,LEN(SUBSTITUTE(SUBSTITUTE(SUBSTITUTE(SUBSTITUTE(SUBSTITUTE(SUBSTITUTE(SUBSTITUTE(TRIM(K335),".",""),"/",""),"-","")," ",""),"(",""),")",""),"+",""))=11)),"OK","ERRO: use DDD + número (10 ou 11 dígitos)"))</f>
      </c>
      <c r="T335" s="6">
        <f>IF(L335="","vazio",IF(AND(ISNUMBER(FIND("@",L335)),ISNUMBER(FIND(".",MID(L335,FIND("@",L335),99))),NOT(ISNUMBER(FIND(" ",TRIM(L335)))),NOT(ISNUMBER(FIND(";",L335))),NOT(ISNUMBER(FIND(",",L335)))),"OK","ERRO: um e-mail válido por linha"))</f>
      </c>
      <c r="U335" s="6">
        <f>IF(COUNTA(A335:O335)=0,"",IF(AND(B335&lt;&gt;"",C335&lt;&gt;"",D335&lt;&gt;"",E335&lt;&gt;"",H335&lt;&gt;"",OR(J335&lt;&gt;"",L335&lt;&gt;"")),"OK","ERRO: faltam "&amp;IF(B335="","Proprietário; ","")&amp;IF(C335="","Origem; ","")&amp;IF(D335="","CNPJ; ","")&amp;IF(E335="","Razão Social; ","")&amp;IF(H335="","Sobrenome; ","")&amp;IF(AND(J335="",L335=""),"telefone ou e-mail; ","")))</f>
      </c>
      <c r="V335" s="6">
        <f>IF(COUNTA(A335:O335)=0,"",IF(AND(Q335="OK",R335="OK",LEFT(S335,4)&lt;&gt;"ERRO",LEFT(T335,4)&lt;&gt;"ERRO",U335="OK"),"OK","REVISAR"))</f>
      </c>
    </row>
    <row r="336">
      <c r="A336" s="4"/>
      <c r="B336" s="5"/>
      <c r="C336" s="5"/>
      <c r="D336" s="5"/>
      <c r="E336" s="5"/>
      <c r="F336" s="4"/>
      <c r="G336" s="4"/>
      <c r="H336" s="5"/>
      <c r="I336" s="4"/>
      <c r="J336" s="4"/>
      <c r="K336" s="4"/>
      <c r="L336" s="4"/>
      <c r="M336" s="4"/>
      <c r="N336" s="4"/>
      <c r="O336" s="4"/>
      <c r="P336" s="6">
        <f>IF(D336="","",SUBSTITUTE(SUBSTITUTE(SUBSTITUTE(SUBSTITUTE(SUBSTITUTE(SUBSTITUTE(SUBSTITUTE(TRIM(D336),".",""),"/",""),"-","")," ",""),"(",""),")",""),"+",""))</f>
      </c>
      <c r="Q336" s="6">
        <f>IF(P336="","",IF(LEN(P336)&lt;&gt;14,"ERRO: "&amp;LEN(P336)&amp;" dígitos",IF(NOT(ISNUMBER(VALUE(P336))),"ERRO: não numérico",IF(LEN(SUBSTITUTE(P336,LEFT(P336,1),""))=0,"ERRO: dígitos repetidos",IF(AND(VALUE(MID(P336,13,1))=IF(MOD(SUMPRODUCT(--MID(P336,{1,2,3,4,5,6,7,8,9,10,11,12},1),{5,4,3,2,9,8,7,6,5,4,3,2}),11)&lt;2,0,11-MOD(SUMPRODUCT(--MID(P336,{1,2,3,4,5,6,7,8,9,10,11,12},1),{5,4,3,2,9,8,7,6,5,4,3,2}),11)),VALUE(MID(P336,14,1))=IF(MOD(SUMPRODUCT(--MID(P336,{1,2,3,4,5,6,7,8,9,10,11,12,13},1),{6,5,4,3,2,9,8,7,6,5,4,3,2}),11)&lt;2,0,11-MOD(SUMPRODUCT(--MID(P336,{1,2,3,4,5,6,7,8,9,10,11,12,13},1),{6,5,4,3,2,9,8,7,6,5,4,3,2}),11))),"OK","ERRO: dígito verificador")))))</f>
      </c>
      <c r="R336" s="6">
        <f>IF(P336="","",IF(COUNTIF($P$2:$P$1001,P336)&gt;1,"DUPLICADO","OK"))</f>
      </c>
      <c r="S336" s="6">
        <f>IF(AND(J336="",K336=""),"vazio",IF(AND(OR(J336="",LEN(SUBSTITUTE(SUBSTITUTE(SUBSTITUTE(SUBSTITUTE(SUBSTITUTE(SUBSTITUTE(SUBSTITUTE(TRIM(J336),".",""),"/",""),"-","")," ",""),"(",""),")",""),"+",""))=10,LEN(SUBSTITUTE(SUBSTITUTE(SUBSTITUTE(SUBSTITUTE(SUBSTITUTE(SUBSTITUTE(SUBSTITUTE(TRIM(J336),".",""),"/",""),"-","")," ",""),"(",""),")",""),"+",""))=11),OR(K336="",LEN(SUBSTITUTE(SUBSTITUTE(SUBSTITUTE(SUBSTITUTE(SUBSTITUTE(SUBSTITUTE(SUBSTITUTE(TRIM(K336),".",""),"/",""),"-","")," ",""),"(",""),")",""),"+",""))=10,LEN(SUBSTITUTE(SUBSTITUTE(SUBSTITUTE(SUBSTITUTE(SUBSTITUTE(SUBSTITUTE(SUBSTITUTE(TRIM(K336),".",""),"/",""),"-","")," ",""),"(",""),")",""),"+",""))=11)),"OK","ERRO: use DDD + número (10 ou 11 dígitos)"))</f>
      </c>
      <c r="T336" s="6">
        <f>IF(L336="","vazio",IF(AND(ISNUMBER(FIND("@",L336)),ISNUMBER(FIND(".",MID(L336,FIND("@",L336),99))),NOT(ISNUMBER(FIND(" ",TRIM(L336)))),NOT(ISNUMBER(FIND(";",L336))),NOT(ISNUMBER(FIND(",",L336)))),"OK","ERRO: um e-mail válido por linha"))</f>
      </c>
      <c r="U336" s="6">
        <f>IF(COUNTA(A336:O336)=0,"",IF(AND(B336&lt;&gt;"",C336&lt;&gt;"",D336&lt;&gt;"",E336&lt;&gt;"",H336&lt;&gt;"",OR(J336&lt;&gt;"",L336&lt;&gt;"")),"OK","ERRO: faltam "&amp;IF(B336="","Proprietário; ","")&amp;IF(C336="","Origem; ","")&amp;IF(D336="","CNPJ; ","")&amp;IF(E336="","Razão Social; ","")&amp;IF(H336="","Sobrenome; ","")&amp;IF(AND(J336="",L336=""),"telefone ou e-mail; ","")))</f>
      </c>
      <c r="V336" s="6">
        <f>IF(COUNTA(A336:O336)=0,"",IF(AND(Q336="OK",R336="OK",LEFT(S336,4)&lt;&gt;"ERRO",LEFT(T336,4)&lt;&gt;"ERRO",U336="OK"),"OK","REVISAR"))</f>
      </c>
    </row>
    <row r="337">
      <c r="A337" s="4"/>
      <c r="B337" s="5"/>
      <c r="C337" s="5"/>
      <c r="D337" s="5"/>
      <c r="E337" s="5"/>
      <c r="F337" s="4"/>
      <c r="G337" s="4"/>
      <c r="H337" s="5"/>
      <c r="I337" s="4"/>
      <c r="J337" s="4"/>
      <c r="K337" s="4"/>
      <c r="L337" s="4"/>
      <c r="M337" s="4"/>
      <c r="N337" s="4"/>
      <c r="O337" s="4"/>
      <c r="P337" s="6">
        <f>IF(D337="","",SUBSTITUTE(SUBSTITUTE(SUBSTITUTE(SUBSTITUTE(SUBSTITUTE(SUBSTITUTE(SUBSTITUTE(TRIM(D337),".",""),"/",""),"-","")," ",""),"(",""),")",""),"+",""))</f>
      </c>
      <c r="Q337" s="6">
        <f>IF(P337="","",IF(LEN(P337)&lt;&gt;14,"ERRO: "&amp;LEN(P337)&amp;" dígitos",IF(NOT(ISNUMBER(VALUE(P337))),"ERRO: não numérico",IF(LEN(SUBSTITUTE(P337,LEFT(P337,1),""))=0,"ERRO: dígitos repetidos",IF(AND(VALUE(MID(P337,13,1))=IF(MOD(SUMPRODUCT(--MID(P337,{1,2,3,4,5,6,7,8,9,10,11,12},1),{5,4,3,2,9,8,7,6,5,4,3,2}),11)&lt;2,0,11-MOD(SUMPRODUCT(--MID(P337,{1,2,3,4,5,6,7,8,9,10,11,12},1),{5,4,3,2,9,8,7,6,5,4,3,2}),11)),VALUE(MID(P337,14,1))=IF(MOD(SUMPRODUCT(--MID(P337,{1,2,3,4,5,6,7,8,9,10,11,12,13},1),{6,5,4,3,2,9,8,7,6,5,4,3,2}),11)&lt;2,0,11-MOD(SUMPRODUCT(--MID(P337,{1,2,3,4,5,6,7,8,9,10,11,12,13},1),{6,5,4,3,2,9,8,7,6,5,4,3,2}),11))),"OK","ERRO: dígito verificador")))))</f>
      </c>
      <c r="R337" s="6">
        <f>IF(P337="","",IF(COUNTIF($P$2:$P$1001,P337)&gt;1,"DUPLICADO","OK"))</f>
      </c>
      <c r="S337" s="6">
        <f>IF(AND(J337="",K337=""),"vazio",IF(AND(OR(J337="",LEN(SUBSTITUTE(SUBSTITUTE(SUBSTITUTE(SUBSTITUTE(SUBSTITUTE(SUBSTITUTE(SUBSTITUTE(TRIM(J337),".",""),"/",""),"-","")," ",""),"(",""),")",""),"+",""))=10,LEN(SUBSTITUTE(SUBSTITUTE(SUBSTITUTE(SUBSTITUTE(SUBSTITUTE(SUBSTITUTE(SUBSTITUTE(TRIM(J337),".",""),"/",""),"-","")," ",""),"(",""),")",""),"+",""))=11),OR(K337="",LEN(SUBSTITUTE(SUBSTITUTE(SUBSTITUTE(SUBSTITUTE(SUBSTITUTE(SUBSTITUTE(SUBSTITUTE(TRIM(K337),".",""),"/",""),"-","")," ",""),"(",""),")",""),"+",""))=10,LEN(SUBSTITUTE(SUBSTITUTE(SUBSTITUTE(SUBSTITUTE(SUBSTITUTE(SUBSTITUTE(SUBSTITUTE(TRIM(K337),".",""),"/",""),"-","")," ",""),"(",""),")",""),"+",""))=11)),"OK","ERRO: use DDD + número (10 ou 11 dígitos)"))</f>
      </c>
      <c r="T337" s="6">
        <f>IF(L337="","vazio",IF(AND(ISNUMBER(FIND("@",L337)),ISNUMBER(FIND(".",MID(L337,FIND("@",L337),99))),NOT(ISNUMBER(FIND(" ",TRIM(L337)))),NOT(ISNUMBER(FIND(";",L337))),NOT(ISNUMBER(FIND(",",L337)))),"OK","ERRO: um e-mail válido por linha"))</f>
      </c>
      <c r="U337" s="6">
        <f>IF(COUNTA(A337:O337)=0,"",IF(AND(B337&lt;&gt;"",C337&lt;&gt;"",D337&lt;&gt;"",E337&lt;&gt;"",H337&lt;&gt;"",OR(J337&lt;&gt;"",L337&lt;&gt;"")),"OK","ERRO: faltam "&amp;IF(B337="","Proprietário; ","")&amp;IF(C337="","Origem; ","")&amp;IF(D337="","CNPJ; ","")&amp;IF(E337="","Razão Social; ","")&amp;IF(H337="","Sobrenome; ","")&amp;IF(AND(J337="",L337=""),"telefone ou e-mail; ","")))</f>
      </c>
      <c r="V337" s="6">
        <f>IF(COUNTA(A337:O337)=0,"",IF(AND(Q337="OK",R337="OK",LEFT(S337,4)&lt;&gt;"ERRO",LEFT(T337,4)&lt;&gt;"ERRO",U337="OK"),"OK","REVISAR"))</f>
      </c>
    </row>
    <row r="338">
      <c r="A338" s="4"/>
      <c r="B338" s="5"/>
      <c r="C338" s="5"/>
      <c r="D338" s="5"/>
      <c r="E338" s="5"/>
      <c r="F338" s="4"/>
      <c r="G338" s="4"/>
      <c r="H338" s="5"/>
      <c r="I338" s="4"/>
      <c r="J338" s="4"/>
      <c r="K338" s="4"/>
      <c r="L338" s="4"/>
      <c r="M338" s="4"/>
      <c r="N338" s="4"/>
      <c r="O338" s="4"/>
      <c r="P338" s="6">
        <f>IF(D338="","",SUBSTITUTE(SUBSTITUTE(SUBSTITUTE(SUBSTITUTE(SUBSTITUTE(SUBSTITUTE(SUBSTITUTE(TRIM(D338),".",""),"/",""),"-","")," ",""),"(",""),")",""),"+",""))</f>
      </c>
      <c r="Q338" s="6">
        <f>IF(P338="","",IF(LEN(P338)&lt;&gt;14,"ERRO: "&amp;LEN(P338)&amp;" dígitos",IF(NOT(ISNUMBER(VALUE(P338))),"ERRO: não numérico",IF(LEN(SUBSTITUTE(P338,LEFT(P338,1),""))=0,"ERRO: dígitos repetidos",IF(AND(VALUE(MID(P338,13,1))=IF(MOD(SUMPRODUCT(--MID(P338,{1,2,3,4,5,6,7,8,9,10,11,12},1),{5,4,3,2,9,8,7,6,5,4,3,2}),11)&lt;2,0,11-MOD(SUMPRODUCT(--MID(P338,{1,2,3,4,5,6,7,8,9,10,11,12},1),{5,4,3,2,9,8,7,6,5,4,3,2}),11)),VALUE(MID(P338,14,1))=IF(MOD(SUMPRODUCT(--MID(P338,{1,2,3,4,5,6,7,8,9,10,11,12,13},1),{6,5,4,3,2,9,8,7,6,5,4,3,2}),11)&lt;2,0,11-MOD(SUMPRODUCT(--MID(P338,{1,2,3,4,5,6,7,8,9,10,11,12,13},1),{6,5,4,3,2,9,8,7,6,5,4,3,2}),11))),"OK","ERRO: dígito verificador")))))</f>
      </c>
      <c r="R338" s="6">
        <f>IF(P338="","",IF(COUNTIF($P$2:$P$1001,P338)&gt;1,"DUPLICADO","OK"))</f>
      </c>
      <c r="S338" s="6">
        <f>IF(AND(J338="",K338=""),"vazio",IF(AND(OR(J338="",LEN(SUBSTITUTE(SUBSTITUTE(SUBSTITUTE(SUBSTITUTE(SUBSTITUTE(SUBSTITUTE(SUBSTITUTE(TRIM(J338),".",""),"/",""),"-","")," ",""),"(",""),")",""),"+",""))=10,LEN(SUBSTITUTE(SUBSTITUTE(SUBSTITUTE(SUBSTITUTE(SUBSTITUTE(SUBSTITUTE(SUBSTITUTE(TRIM(J338),".",""),"/",""),"-","")," ",""),"(",""),")",""),"+",""))=11),OR(K338="",LEN(SUBSTITUTE(SUBSTITUTE(SUBSTITUTE(SUBSTITUTE(SUBSTITUTE(SUBSTITUTE(SUBSTITUTE(TRIM(K338),".",""),"/",""),"-","")," ",""),"(",""),")",""),"+",""))=10,LEN(SUBSTITUTE(SUBSTITUTE(SUBSTITUTE(SUBSTITUTE(SUBSTITUTE(SUBSTITUTE(SUBSTITUTE(TRIM(K338),".",""),"/",""),"-","")," ",""),"(",""),")",""),"+",""))=11)),"OK","ERRO: use DDD + número (10 ou 11 dígitos)"))</f>
      </c>
      <c r="T338" s="6">
        <f>IF(L338="","vazio",IF(AND(ISNUMBER(FIND("@",L338)),ISNUMBER(FIND(".",MID(L338,FIND("@",L338),99))),NOT(ISNUMBER(FIND(" ",TRIM(L338)))),NOT(ISNUMBER(FIND(";",L338))),NOT(ISNUMBER(FIND(",",L338)))),"OK","ERRO: um e-mail válido por linha"))</f>
      </c>
      <c r="U338" s="6">
        <f>IF(COUNTA(A338:O338)=0,"",IF(AND(B338&lt;&gt;"",C338&lt;&gt;"",D338&lt;&gt;"",E338&lt;&gt;"",H338&lt;&gt;"",OR(J338&lt;&gt;"",L338&lt;&gt;"")),"OK","ERRO: faltam "&amp;IF(B338="","Proprietário; ","")&amp;IF(C338="","Origem; ","")&amp;IF(D338="","CNPJ; ","")&amp;IF(E338="","Razão Social; ","")&amp;IF(H338="","Sobrenome; ","")&amp;IF(AND(J338="",L338=""),"telefone ou e-mail; ","")))</f>
      </c>
      <c r="V338" s="6">
        <f>IF(COUNTA(A338:O338)=0,"",IF(AND(Q338="OK",R338="OK",LEFT(S338,4)&lt;&gt;"ERRO",LEFT(T338,4)&lt;&gt;"ERRO",U338="OK"),"OK","REVISAR"))</f>
      </c>
    </row>
    <row r="339">
      <c r="A339" s="4"/>
      <c r="B339" s="5"/>
      <c r="C339" s="5"/>
      <c r="D339" s="5"/>
      <c r="E339" s="5"/>
      <c r="F339" s="4"/>
      <c r="G339" s="4"/>
      <c r="H339" s="5"/>
      <c r="I339" s="4"/>
      <c r="J339" s="4"/>
      <c r="K339" s="4"/>
      <c r="L339" s="4"/>
      <c r="M339" s="4"/>
      <c r="N339" s="4"/>
      <c r="O339" s="4"/>
      <c r="P339" s="6">
        <f>IF(D339="","",SUBSTITUTE(SUBSTITUTE(SUBSTITUTE(SUBSTITUTE(SUBSTITUTE(SUBSTITUTE(SUBSTITUTE(TRIM(D339),".",""),"/",""),"-","")," ",""),"(",""),")",""),"+",""))</f>
      </c>
      <c r="Q339" s="6">
        <f>IF(P339="","",IF(LEN(P339)&lt;&gt;14,"ERRO: "&amp;LEN(P339)&amp;" dígitos",IF(NOT(ISNUMBER(VALUE(P339))),"ERRO: não numérico",IF(LEN(SUBSTITUTE(P339,LEFT(P339,1),""))=0,"ERRO: dígitos repetidos",IF(AND(VALUE(MID(P339,13,1))=IF(MOD(SUMPRODUCT(--MID(P339,{1,2,3,4,5,6,7,8,9,10,11,12},1),{5,4,3,2,9,8,7,6,5,4,3,2}),11)&lt;2,0,11-MOD(SUMPRODUCT(--MID(P339,{1,2,3,4,5,6,7,8,9,10,11,12},1),{5,4,3,2,9,8,7,6,5,4,3,2}),11)),VALUE(MID(P339,14,1))=IF(MOD(SUMPRODUCT(--MID(P339,{1,2,3,4,5,6,7,8,9,10,11,12,13},1),{6,5,4,3,2,9,8,7,6,5,4,3,2}),11)&lt;2,0,11-MOD(SUMPRODUCT(--MID(P339,{1,2,3,4,5,6,7,8,9,10,11,12,13},1),{6,5,4,3,2,9,8,7,6,5,4,3,2}),11))),"OK","ERRO: dígito verificador")))))</f>
      </c>
      <c r="R339" s="6">
        <f>IF(P339="","",IF(COUNTIF($P$2:$P$1001,P339)&gt;1,"DUPLICADO","OK"))</f>
      </c>
      <c r="S339" s="6">
        <f>IF(AND(J339="",K339=""),"vazio",IF(AND(OR(J339="",LEN(SUBSTITUTE(SUBSTITUTE(SUBSTITUTE(SUBSTITUTE(SUBSTITUTE(SUBSTITUTE(SUBSTITUTE(TRIM(J339),".",""),"/",""),"-","")," ",""),"(",""),")",""),"+",""))=10,LEN(SUBSTITUTE(SUBSTITUTE(SUBSTITUTE(SUBSTITUTE(SUBSTITUTE(SUBSTITUTE(SUBSTITUTE(TRIM(J339),".",""),"/",""),"-","")," ",""),"(",""),")",""),"+",""))=11),OR(K339="",LEN(SUBSTITUTE(SUBSTITUTE(SUBSTITUTE(SUBSTITUTE(SUBSTITUTE(SUBSTITUTE(SUBSTITUTE(TRIM(K339),".",""),"/",""),"-","")," ",""),"(",""),")",""),"+",""))=10,LEN(SUBSTITUTE(SUBSTITUTE(SUBSTITUTE(SUBSTITUTE(SUBSTITUTE(SUBSTITUTE(SUBSTITUTE(TRIM(K339),".",""),"/",""),"-","")," ",""),"(",""),")",""),"+",""))=11)),"OK","ERRO: use DDD + número (10 ou 11 dígitos)"))</f>
      </c>
      <c r="T339" s="6">
        <f>IF(L339="","vazio",IF(AND(ISNUMBER(FIND("@",L339)),ISNUMBER(FIND(".",MID(L339,FIND("@",L339),99))),NOT(ISNUMBER(FIND(" ",TRIM(L339)))),NOT(ISNUMBER(FIND(";",L339))),NOT(ISNUMBER(FIND(",",L339)))),"OK","ERRO: um e-mail válido por linha"))</f>
      </c>
      <c r="U339" s="6">
        <f>IF(COUNTA(A339:O339)=0,"",IF(AND(B339&lt;&gt;"",C339&lt;&gt;"",D339&lt;&gt;"",E339&lt;&gt;"",H339&lt;&gt;"",OR(J339&lt;&gt;"",L339&lt;&gt;"")),"OK","ERRO: faltam "&amp;IF(B339="","Proprietário; ","")&amp;IF(C339="","Origem; ","")&amp;IF(D339="","CNPJ; ","")&amp;IF(E339="","Razão Social; ","")&amp;IF(H339="","Sobrenome; ","")&amp;IF(AND(J339="",L339=""),"telefone ou e-mail; ","")))</f>
      </c>
      <c r="V339" s="6">
        <f>IF(COUNTA(A339:O339)=0,"",IF(AND(Q339="OK",R339="OK",LEFT(S339,4)&lt;&gt;"ERRO",LEFT(T339,4)&lt;&gt;"ERRO",U339="OK"),"OK","REVISAR"))</f>
      </c>
    </row>
    <row r="340">
      <c r="A340" s="4"/>
      <c r="B340" s="5"/>
      <c r="C340" s="5"/>
      <c r="D340" s="5"/>
      <c r="E340" s="5"/>
      <c r="F340" s="4"/>
      <c r="G340" s="4"/>
      <c r="H340" s="5"/>
      <c r="I340" s="4"/>
      <c r="J340" s="4"/>
      <c r="K340" s="4"/>
      <c r="L340" s="4"/>
      <c r="M340" s="4"/>
      <c r="N340" s="4"/>
      <c r="O340" s="4"/>
      <c r="P340" s="6">
        <f>IF(D340="","",SUBSTITUTE(SUBSTITUTE(SUBSTITUTE(SUBSTITUTE(SUBSTITUTE(SUBSTITUTE(SUBSTITUTE(TRIM(D340),".",""),"/",""),"-","")," ",""),"(",""),")",""),"+",""))</f>
      </c>
      <c r="Q340" s="6">
        <f>IF(P340="","",IF(LEN(P340)&lt;&gt;14,"ERRO: "&amp;LEN(P340)&amp;" dígitos",IF(NOT(ISNUMBER(VALUE(P340))),"ERRO: não numérico",IF(LEN(SUBSTITUTE(P340,LEFT(P340,1),""))=0,"ERRO: dígitos repetidos",IF(AND(VALUE(MID(P340,13,1))=IF(MOD(SUMPRODUCT(--MID(P340,{1,2,3,4,5,6,7,8,9,10,11,12},1),{5,4,3,2,9,8,7,6,5,4,3,2}),11)&lt;2,0,11-MOD(SUMPRODUCT(--MID(P340,{1,2,3,4,5,6,7,8,9,10,11,12},1),{5,4,3,2,9,8,7,6,5,4,3,2}),11)),VALUE(MID(P340,14,1))=IF(MOD(SUMPRODUCT(--MID(P340,{1,2,3,4,5,6,7,8,9,10,11,12,13},1),{6,5,4,3,2,9,8,7,6,5,4,3,2}),11)&lt;2,0,11-MOD(SUMPRODUCT(--MID(P340,{1,2,3,4,5,6,7,8,9,10,11,12,13},1),{6,5,4,3,2,9,8,7,6,5,4,3,2}),11))),"OK","ERRO: dígito verificador")))))</f>
      </c>
      <c r="R340" s="6">
        <f>IF(P340="","",IF(COUNTIF($P$2:$P$1001,P340)&gt;1,"DUPLICADO","OK"))</f>
      </c>
      <c r="S340" s="6">
        <f>IF(AND(J340="",K340=""),"vazio",IF(AND(OR(J340="",LEN(SUBSTITUTE(SUBSTITUTE(SUBSTITUTE(SUBSTITUTE(SUBSTITUTE(SUBSTITUTE(SUBSTITUTE(TRIM(J340),".",""),"/",""),"-","")," ",""),"(",""),")",""),"+",""))=10,LEN(SUBSTITUTE(SUBSTITUTE(SUBSTITUTE(SUBSTITUTE(SUBSTITUTE(SUBSTITUTE(SUBSTITUTE(TRIM(J340),".",""),"/",""),"-","")," ",""),"(",""),")",""),"+",""))=11),OR(K340="",LEN(SUBSTITUTE(SUBSTITUTE(SUBSTITUTE(SUBSTITUTE(SUBSTITUTE(SUBSTITUTE(SUBSTITUTE(TRIM(K340),".",""),"/",""),"-","")," ",""),"(",""),")",""),"+",""))=10,LEN(SUBSTITUTE(SUBSTITUTE(SUBSTITUTE(SUBSTITUTE(SUBSTITUTE(SUBSTITUTE(SUBSTITUTE(TRIM(K340),".",""),"/",""),"-","")," ",""),"(",""),")",""),"+",""))=11)),"OK","ERRO: use DDD + número (10 ou 11 dígitos)"))</f>
      </c>
      <c r="T340" s="6">
        <f>IF(L340="","vazio",IF(AND(ISNUMBER(FIND("@",L340)),ISNUMBER(FIND(".",MID(L340,FIND("@",L340),99))),NOT(ISNUMBER(FIND(" ",TRIM(L340)))),NOT(ISNUMBER(FIND(";",L340))),NOT(ISNUMBER(FIND(",",L340)))),"OK","ERRO: um e-mail válido por linha"))</f>
      </c>
      <c r="U340" s="6">
        <f>IF(COUNTA(A340:O340)=0,"",IF(AND(B340&lt;&gt;"",C340&lt;&gt;"",D340&lt;&gt;"",E340&lt;&gt;"",H340&lt;&gt;"",OR(J340&lt;&gt;"",L340&lt;&gt;"")),"OK","ERRO: faltam "&amp;IF(B340="","Proprietário; ","")&amp;IF(C340="","Origem; ","")&amp;IF(D340="","CNPJ; ","")&amp;IF(E340="","Razão Social; ","")&amp;IF(H340="","Sobrenome; ","")&amp;IF(AND(J340="",L340=""),"telefone ou e-mail; ","")))</f>
      </c>
      <c r="V340" s="6">
        <f>IF(COUNTA(A340:O340)=0,"",IF(AND(Q340="OK",R340="OK",LEFT(S340,4)&lt;&gt;"ERRO",LEFT(T340,4)&lt;&gt;"ERRO",U340="OK"),"OK","REVISAR"))</f>
      </c>
    </row>
    <row r="341">
      <c r="A341" s="4"/>
      <c r="B341" s="5"/>
      <c r="C341" s="5"/>
      <c r="D341" s="5"/>
      <c r="E341" s="5"/>
      <c r="F341" s="4"/>
      <c r="G341" s="4"/>
      <c r="H341" s="5"/>
      <c r="I341" s="4"/>
      <c r="J341" s="4"/>
      <c r="K341" s="4"/>
      <c r="L341" s="4"/>
      <c r="M341" s="4"/>
      <c r="N341" s="4"/>
      <c r="O341" s="4"/>
      <c r="P341" s="6">
        <f>IF(D341="","",SUBSTITUTE(SUBSTITUTE(SUBSTITUTE(SUBSTITUTE(SUBSTITUTE(SUBSTITUTE(SUBSTITUTE(TRIM(D341),".",""),"/",""),"-","")," ",""),"(",""),")",""),"+",""))</f>
      </c>
      <c r="Q341" s="6">
        <f>IF(P341="","",IF(LEN(P341)&lt;&gt;14,"ERRO: "&amp;LEN(P341)&amp;" dígitos",IF(NOT(ISNUMBER(VALUE(P341))),"ERRO: não numérico",IF(LEN(SUBSTITUTE(P341,LEFT(P341,1),""))=0,"ERRO: dígitos repetidos",IF(AND(VALUE(MID(P341,13,1))=IF(MOD(SUMPRODUCT(--MID(P341,{1,2,3,4,5,6,7,8,9,10,11,12},1),{5,4,3,2,9,8,7,6,5,4,3,2}),11)&lt;2,0,11-MOD(SUMPRODUCT(--MID(P341,{1,2,3,4,5,6,7,8,9,10,11,12},1),{5,4,3,2,9,8,7,6,5,4,3,2}),11)),VALUE(MID(P341,14,1))=IF(MOD(SUMPRODUCT(--MID(P341,{1,2,3,4,5,6,7,8,9,10,11,12,13},1),{6,5,4,3,2,9,8,7,6,5,4,3,2}),11)&lt;2,0,11-MOD(SUMPRODUCT(--MID(P341,{1,2,3,4,5,6,7,8,9,10,11,12,13},1),{6,5,4,3,2,9,8,7,6,5,4,3,2}),11))),"OK","ERRO: dígito verificador")))))</f>
      </c>
      <c r="R341" s="6">
        <f>IF(P341="","",IF(COUNTIF($P$2:$P$1001,P341)&gt;1,"DUPLICADO","OK"))</f>
      </c>
      <c r="S341" s="6">
        <f>IF(AND(J341="",K341=""),"vazio",IF(AND(OR(J341="",LEN(SUBSTITUTE(SUBSTITUTE(SUBSTITUTE(SUBSTITUTE(SUBSTITUTE(SUBSTITUTE(SUBSTITUTE(TRIM(J341),".",""),"/",""),"-","")," ",""),"(",""),")",""),"+",""))=10,LEN(SUBSTITUTE(SUBSTITUTE(SUBSTITUTE(SUBSTITUTE(SUBSTITUTE(SUBSTITUTE(SUBSTITUTE(TRIM(J341),".",""),"/",""),"-","")," ",""),"(",""),")",""),"+",""))=11),OR(K341="",LEN(SUBSTITUTE(SUBSTITUTE(SUBSTITUTE(SUBSTITUTE(SUBSTITUTE(SUBSTITUTE(SUBSTITUTE(TRIM(K341),".",""),"/",""),"-","")," ",""),"(",""),")",""),"+",""))=10,LEN(SUBSTITUTE(SUBSTITUTE(SUBSTITUTE(SUBSTITUTE(SUBSTITUTE(SUBSTITUTE(SUBSTITUTE(TRIM(K341),".",""),"/",""),"-","")," ",""),"(",""),")",""),"+",""))=11)),"OK","ERRO: use DDD + número (10 ou 11 dígitos)"))</f>
      </c>
      <c r="T341" s="6">
        <f>IF(L341="","vazio",IF(AND(ISNUMBER(FIND("@",L341)),ISNUMBER(FIND(".",MID(L341,FIND("@",L341),99))),NOT(ISNUMBER(FIND(" ",TRIM(L341)))),NOT(ISNUMBER(FIND(";",L341))),NOT(ISNUMBER(FIND(",",L341)))),"OK","ERRO: um e-mail válido por linha"))</f>
      </c>
      <c r="U341" s="6">
        <f>IF(COUNTA(A341:O341)=0,"",IF(AND(B341&lt;&gt;"",C341&lt;&gt;"",D341&lt;&gt;"",E341&lt;&gt;"",H341&lt;&gt;"",OR(J341&lt;&gt;"",L341&lt;&gt;"")),"OK","ERRO: faltam "&amp;IF(B341="","Proprietário; ","")&amp;IF(C341="","Origem; ","")&amp;IF(D341="","CNPJ; ","")&amp;IF(E341="","Razão Social; ","")&amp;IF(H341="","Sobrenome; ","")&amp;IF(AND(J341="",L341=""),"telefone ou e-mail; ","")))</f>
      </c>
      <c r="V341" s="6">
        <f>IF(COUNTA(A341:O341)=0,"",IF(AND(Q341="OK",R341="OK",LEFT(S341,4)&lt;&gt;"ERRO",LEFT(T341,4)&lt;&gt;"ERRO",U341="OK"),"OK","REVISAR"))</f>
      </c>
    </row>
    <row r="342">
      <c r="A342" s="4"/>
      <c r="B342" s="5"/>
      <c r="C342" s="5"/>
      <c r="D342" s="5"/>
      <c r="E342" s="5"/>
      <c r="F342" s="4"/>
      <c r="G342" s="4"/>
      <c r="H342" s="5"/>
      <c r="I342" s="4"/>
      <c r="J342" s="4"/>
      <c r="K342" s="4"/>
      <c r="L342" s="4"/>
      <c r="M342" s="4"/>
      <c r="N342" s="4"/>
      <c r="O342" s="4"/>
      <c r="P342" s="6">
        <f>IF(D342="","",SUBSTITUTE(SUBSTITUTE(SUBSTITUTE(SUBSTITUTE(SUBSTITUTE(SUBSTITUTE(SUBSTITUTE(TRIM(D342),".",""),"/",""),"-","")," ",""),"(",""),")",""),"+",""))</f>
      </c>
      <c r="Q342" s="6">
        <f>IF(P342="","",IF(LEN(P342)&lt;&gt;14,"ERRO: "&amp;LEN(P342)&amp;" dígitos",IF(NOT(ISNUMBER(VALUE(P342))),"ERRO: não numérico",IF(LEN(SUBSTITUTE(P342,LEFT(P342,1),""))=0,"ERRO: dígitos repetidos",IF(AND(VALUE(MID(P342,13,1))=IF(MOD(SUMPRODUCT(--MID(P342,{1,2,3,4,5,6,7,8,9,10,11,12},1),{5,4,3,2,9,8,7,6,5,4,3,2}),11)&lt;2,0,11-MOD(SUMPRODUCT(--MID(P342,{1,2,3,4,5,6,7,8,9,10,11,12},1),{5,4,3,2,9,8,7,6,5,4,3,2}),11)),VALUE(MID(P342,14,1))=IF(MOD(SUMPRODUCT(--MID(P342,{1,2,3,4,5,6,7,8,9,10,11,12,13},1),{6,5,4,3,2,9,8,7,6,5,4,3,2}),11)&lt;2,0,11-MOD(SUMPRODUCT(--MID(P342,{1,2,3,4,5,6,7,8,9,10,11,12,13},1),{6,5,4,3,2,9,8,7,6,5,4,3,2}),11))),"OK","ERRO: dígito verificador")))))</f>
      </c>
      <c r="R342" s="6">
        <f>IF(P342="","",IF(COUNTIF($P$2:$P$1001,P342)&gt;1,"DUPLICADO","OK"))</f>
      </c>
      <c r="S342" s="6">
        <f>IF(AND(J342="",K342=""),"vazio",IF(AND(OR(J342="",LEN(SUBSTITUTE(SUBSTITUTE(SUBSTITUTE(SUBSTITUTE(SUBSTITUTE(SUBSTITUTE(SUBSTITUTE(TRIM(J342),".",""),"/",""),"-","")," ",""),"(",""),")",""),"+",""))=10,LEN(SUBSTITUTE(SUBSTITUTE(SUBSTITUTE(SUBSTITUTE(SUBSTITUTE(SUBSTITUTE(SUBSTITUTE(TRIM(J342),".",""),"/",""),"-","")," ",""),"(",""),")",""),"+",""))=11),OR(K342="",LEN(SUBSTITUTE(SUBSTITUTE(SUBSTITUTE(SUBSTITUTE(SUBSTITUTE(SUBSTITUTE(SUBSTITUTE(TRIM(K342),".",""),"/",""),"-","")," ",""),"(",""),")",""),"+",""))=10,LEN(SUBSTITUTE(SUBSTITUTE(SUBSTITUTE(SUBSTITUTE(SUBSTITUTE(SUBSTITUTE(SUBSTITUTE(TRIM(K342),".",""),"/",""),"-","")," ",""),"(",""),")",""),"+",""))=11)),"OK","ERRO: use DDD + número (10 ou 11 dígitos)"))</f>
      </c>
      <c r="T342" s="6">
        <f>IF(L342="","vazio",IF(AND(ISNUMBER(FIND("@",L342)),ISNUMBER(FIND(".",MID(L342,FIND("@",L342),99))),NOT(ISNUMBER(FIND(" ",TRIM(L342)))),NOT(ISNUMBER(FIND(";",L342))),NOT(ISNUMBER(FIND(",",L342)))),"OK","ERRO: um e-mail válido por linha"))</f>
      </c>
      <c r="U342" s="6">
        <f>IF(COUNTA(A342:O342)=0,"",IF(AND(B342&lt;&gt;"",C342&lt;&gt;"",D342&lt;&gt;"",E342&lt;&gt;"",H342&lt;&gt;"",OR(J342&lt;&gt;"",L342&lt;&gt;"")),"OK","ERRO: faltam "&amp;IF(B342="","Proprietário; ","")&amp;IF(C342="","Origem; ","")&amp;IF(D342="","CNPJ; ","")&amp;IF(E342="","Razão Social; ","")&amp;IF(H342="","Sobrenome; ","")&amp;IF(AND(J342="",L342=""),"telefone ou e-mail; ","")))</f>
      </c>
      <c r="V342" s="6">
        <f>IF(COUNTA(A342:O342)=0,"",IF(AND(Q342="OK",R342="OK",LEFT(S342,4)&lt;&gt;"ERRO",LEFT(T342,4)&lt;&gt;"ERRO",U342="OK"),"OK","REVISAR"))</f>
      </c>
    </row>
    <row r="343">
      <c r="A343" s="4"/>
      <c r="B343" s="5"/>
      <c r="C343" s="5"/>
      <c r="D343" s="5"/>
      <c r="E343" s="5"/>
      <c r="F343" s="4"/>
      <c r="G343" s="4"/>
      <c r="H343" s="5"/>
      <c r="I343" s="4"/>
      <c r="J343" s="4"/>
      <c r="K343" s="4"/>
      <c r="L343" s="4"/>
      <c r="M343" s="4"/>
      <c r="N343" s="4"/>
      <c r="O343" s="4"/>
      <c r="P343" s="6">
        <f>IF(D343="","",SUBSTITUTE(SUBSTITUTE(SUBSTITUTE(SUBSTITUTE(SUBSTITUTE(SUBSTITUTE(SUBSTITUTE(TRIM(D343),".",""),"/",""),"-","")," ",""),"(",""),")",""),"+",""))</f>
      </c>
      <c r="Q343" s="6">
        <f>IF(P343="","",IF(LEN(P343)&lt;&gt;14,"ERRO: "&amp;LEN(P343)&amp;" dígitos",IF(NOT(ISNUMBER(VALUE(P343))),"ERRO: não numérico",IF(LEN(SUBSTITUTE(P343,LEFT(P343,1),""))=0,"ERRO: dígitos repetidos",IF(AND(VALUE(MID(P343,13,1))=IF(MOD(SUMPRODUCT(--MID(P343,{1,2,3,4,5,6,7,8,9,10,11,12},1),{5,4,3,2,9,8,7,6,5,4,3,2}),11)&lt;2,0,11-MOD(SUMPRODUCT(--MID(P343,{1,2,3,4,5,6,7,8,9,10,11,12},1),{5,4,3,2,9,8,7,6,5,4,3,2}),11)),VALUE(MID(P343,14,1))=IF(MOD(SUMPRODUCT(--MID(P343,{1,2,3,4,5,6,7,8,9,10,11,12,13},1),{6,5,4,3,2,9,8,7,6,5,4,3,2}),11)&lt;2,0,11-MOD(SUMPRODUCT(--MID(P343,{1,2,3,4,5,6,7,8,9,10,11,12,13},1),{6,5,4,3,2,9,8,7,6,5,4,3,2}),11))),"OK","ERRO: dígito verificador")))))</f>
      </c>
      <c r="R343" s="6">
        <f>IF(P343="","",IF(COUNTIF($P$2:$P$1001,P343)&gt;1,"DUPLICADO","OK"))</f>
      </c>
      <c r="S343" s="6">
        <f>IF(AND(J343="",K343=""),"vazio",IF(AND(OR(J343="",LEN(SUBSTITUTE(SUBSTITUTE(SUBSTITUTE(SUBSTITUTE(SUBSTITUTE(SUBSTITUTE(SUBSTITUTE(TRIM(J343),".",""),"/",""),"-","")," ",""),"(",""),")",""),"+",""))=10,LEN(SUBSTITUTE(SUBSTITUTE(SUBSTITUTE(SUBSTITUTE(SUBSTITUTE(SUBSTITUTE(SUBSTITUTE(TRIM(J343),".",""),"/",""),"-","")," ",""),"(",""),")",""),"+",""))=11),OR(K343="",LEN(SUBSTITUTE(SUBSTITUTE(SUBSTITUTE(SUBSTITUTE(SUBSTITUTE(SUBSTITUTE(SUBSTITUTE(TRIM(K343),".",""),"/",""),"-","")," ",""),"(",""),")",""),"+",""))=10,LEN(SUBSTITUTE(SUBSTITUTE(SUBSTITUTE(SUBSTITUTE(SUBSTITUTE(SUBSTITUTE(SUBSTITUTE(TRIM(K343),".",""),"/",""),"-","")," ",""),"(",""),")",""),"+",""))=11)),"OK","ERRO: use DDD + número (10 ou 11 dígitos)"))</f>
      </c>
      <c r="T343" s="6">
        <f>IF(L343="","vazio",IF(AND(ISNUMBER(FIND("@",L343)),ISNUMBER(FIND(".",MID(L343,FIND("@",L343),99))),NOT(ISNUMBER(FIND(" ",TRIM(L343)))),NOT(ISNUMBER(FIND(";",L343))),NOT(ISNUMBER(FIND(",",L343)))),"OK","ERRO: um e-mail válido por linha"))</f>
      </c>
      <c r="U343" s="6">
        <f>IF(COUNTA(A343:O343)=0,"",IF(AND(B343&lt;&gt;"",C343&lt;&gt;"",D343&lt;&gt;"",E343&lt;&gt;"",H343&lt;&gt;"",OR(J343&lt;&gt;"",L343&lt;&gt;"")),"OK","ERRO: faltam "&amp;IF(B343="","Proprietário; ","")&amp;IF(C343="","Origem; ","")&amp;IF(D343="","CNPJ; ","")&amp;IF(E343="","Razão Social; ","")&amp;IF(H343="","Sobrenome; ","")&amp;IF(AND(J343="",L343=""),"telefone ou e-mail; ","")))</f>
      </c>
      <c r="V343" s="6">
        <f>IF(COUNTA(A343:O343)=0,"",IF(AND(Q343="OK",R343="OK",LEFT(S343,4)&lt;&gt;"ERRO",LEFT(T343,4)&lt;&gt;"ERRO",U343="OK"),"OK","REVISAR"))</f>
      </c>
    </row>
    <row r="344">
      <c r="A344" s="4"/>
      <c r="B344" s="5"/>
      <c r="C344" s="5"/>
      <c r="D344" s="5"/>
      <c r="E344" s="5"/>
      <c r="F344" s="4"/>
      <c r="G344" s="4"/>
      <c r="H344" s="5"/>
      <c r="I344" s="4"/>
      <c r="J344" s="4"/>
      <c r="K344" s="4"/>
      <c r="L344" s="4"/>
      <c r="M344" s="4"/>
      <c r="N344" s="4"/>
      <c r="O344" s="4"/>
      <c r="P344" s="6">
        <f>IF(D344="","",SUBSTITUTE(SUBSTITUTE(SUBSTITUTE(SUBSTITUTE(SUBSTITUTE(SUBSTITUTE(SUBSTITUTE(TRIM(D344),".",""),"/",""),"-","")," ",""),"(",""),")",""),"+",""))</f>
      </c>
      <c r="Q344" s="6">
        <f>IF(P344="","",IF(LEN(P344)&lt;&gt;14,"ERRO: "&amp;LEN(P344)&amp;" dígitos",IF(NOT(ISNUMBER(VALUE(P344))),"ERRO: não numérico",IF(LEN(SUBSTITUTE(P344,LEFT(P344,1),""))=0,"ERRO: dígitos repetidos",IF(AND(VALUE(MID(P344,13,1))=IF(MOD(SUMPRODUCT(--MID(P344,{1,2,3,4,5,6,7,8,9,10,11,12},1),{5,4,3,2,9,8,7,6,5,4,3,2}),11)&lt;2,0,11-MOD(SUMPRODUCT(--MID(P344,{1,2,3,4,5,6,7,8,9,10,11,12},1),{5,4,3,2,9,8,7,6,5,4,3,2}),11)),VALUE(MID(P344,14,1))=IF(MOD(SUMPRODUCT(--MID(P344,{1,2,3,4,5,6,7,8,9,10,11,12,13},1),{6,5,4,3,2,9,8,7,6,5,4,3,2}),11)&lt;2,0,11-MOD(SUMPRODUCT(--MID(P344,{1,2,3,4,5,6,7,8,9,10,11,12,13},1),{6,5,4,3,2,9,8,7,6,5,4,3,2}),11))),"OK","ERRO: dígito verificador")))))</f>
      </c>
      <c r="R344" s="6">
        <f>IF(P344="","",IF(COUNTIF($P$2:$P$1001,P344)&gt;1,"DUPLICADO","OK"))</f>
      </c>
      <c r="S344" s="6">
        <f>IF(AND(J344="",K344=""),"vazio",IF(AND(OR(J344="",LEN(SUBSTITUTE(SUBSTITUTE(SUBSTITUTE(SUBSTITUTE(SUBSTITUTE(SUBSTITUTE(SUBSTITUTE(TRIM(J344),".",""),"/",""),"-","")," ",""),"(",""),")",""),"+",""))=10,LEN(SUBSTITUTE(SUBSTITUTE(SUBSTITUTE(SUBSTITUTE(SUBSTITUTE(SUBSTITUTE(SUBSTITUTE(TRIM(J344),".",""),"/",""),"-","")," ",""),"(",""),")",""),"+",""))=11),OR(K344="",LEN(SUBSTITUTE(SUBSTITUTE(SUBSTITUTE(SUBSTITUTE(SUBSTITUTE(SUBSTITUTE(SUBSTITUTE(TRIM(K344),".",""),"/",""),"-","")," ",""),"(",""),")",""),"+",""))=10,LEN(SUBSTITUTE(SUBSTITUTE(SUBSTITUTE(SUBSTITUTE(SUBSTITUTE(SUBSTITUTE(SUBSTITUTE(TRIM(K344),".",""),"/",""),"-","")," ",""),"(",""),")",""),"+",""))=11)),"OK","ERRO: use DDD + número (10 ou 11 dígitos)"))</f>
      </c>
      <c r="T344" s="6">
        <f>IF(L344="","vazio",IF(AND(ISNUMBER(FIND("@",L344)),ISNUMBER(FIND(".",MID(L344,FIND("@",L344),99))),NOT(ISNUMBER(FIND(" ",TRIM(L344)))),NOT(ISNUMBER(FIND(";",L344))),NOT(ISNUMBER(FIND(",",L344)))),"OK","ERRO: um e-mail válido por linha"))</f>
      </c>
      <c r="U344" s="6">
        <f>IF(COUNTA(A344:O344)=0,"",IF(AND(B344&lt;&gt;"",C344&lt;&gt;"",D344&lt;&gt;"",E344&lt;&gt;"",H344&lt;&gt;"",OR(J344&lt;&gt;"",L344&lt;&gt;"")),"OK","ERRO: faltam "&amp;IF(B344="","Proprietário; ","")&amp;IF(C344="","Origem; ","")&amp;IF(D344="","CNPJ; ","")&amp;IF(E344="","Razão Social; ","")&amp;IF(H344="","Sobrenome; ","")&amp;IF(AND(J344="",L344=""),"telefone ou e-mail; ","")))</f>
      </c>
      <c r="V344" s="6">
        <f>IF(COUNTA(A344:O344)=0,"",IF(AND(Q344="OK",R344="OK",LEFT(S344,4)&lt;&gt;"ERRO",LEFT(T344,4)&lt;&gt;"ERRO",U344="OK"),"OK","REVISAR"))</f>
      </c>
    </row>
    <row r="345">
      <c r="A345" s="4"/>
      <c r="B345" s="5"/>
      <c r="C345" s="5"/>
      <c r="D345" s="5"/>
      <c r="E345" s="5"/>
      <c r="F345" s="4"/>
      <c r="G345" s="4"/>
      <c r="H345" s="5"/>
      <c r="I345" s="4"/>
      <c r="J345" s="4"/>
      <c r="K345" s="4"/>
      <c r="L345" s="4"/>
      <c r="M345" s="4"/>
      <c r="N345" s="4"/>
      <c r="O345" s="4"/>
      <c r="P345" s="6">
        <f>IF(D345="","",SUBSTITUTE(SUBSTITUTE(SUBSTITUTE(SUBSTITUTE(SUBSTITUTE(SUBSTITUTE(SUBSTITUTE(TRIM(D345),".",""),"/",""),"-","")," ",""),"(",""),")",""),"+",""))</f>
      </c>
      <c r="Q345" s="6">
        <f>IF(P345="","",IF(LEN(P345)&lt;&gt;14,"ERRO: "&amp;LEN(P345)&amp;" dígitos",IF(NOT(ISNUMBER(VALUE(P345))),"ERRO: não numérico",IF(LEN(SUBSTITUTE(P345,LEFT(P345,1),""))=0,"ERRO: dígitos repetidos",IF(AND(VALUE(MID(P345,13,1))=IF(MOD(SUMPRODUCT(--MID(P345,{1,2,3,4,5,6,7,8,9,10,11,12},1),{5,4,3,2,9,8,7,6,5,4,3,2}),11)&lt;2,0,11-MOD(SUMPRODUCT(--MID(P345,{1,2,3,4,5,6,7,8,9,10,11,12},1),{5,4,3,2,9,8,7,6,5,4,3,2}),11)),VALUE(MID(P345,14,1))=IF(MOD(SUMPRODUCT(--MID(P345,{1,2,3,4,5,6,7,8,9,10,11,12,13},1),{6,5,4,3,2,9,8,7,6,5,4,3,2}),11)&lt;2,0,11-MOD(SUMPRODUCT(--MID(P345,{1,2,3,4,5,6,7,8,9,10,11,12,13},1),{6,5,4,3,2,9,8,7,6,5,4,3,2}),11))),"OK","ERRO: dígito verificador")))))</f>
      </c>
      <c r="R345" s="6">
        <f>IF(P345="","",IF(COUNTIF($P$2:$P$1001,P345)&gt;1,"DUPLICADO","OK"))</f>
      </c>
      <c r="S345" s="6">
        <f>IF(AND(J345="",K345=""),"vazio",IF(AND(OR(J345="",LEN(SUBSTITUTE(SUBSTITUTE(SUBSTITUTE(SUBSTITUTE(SUBSTITUTE(SUBSTITUTE(SUBSTITUTE(TRIM(J345),".",""),"/",""),"-","")," ",""),"(",""),")",""),"+",""))=10,LEN(SUBSTITUTE(SUBSTITUTE(SUBSTITUTE(SUBSTITUTE(SUBSTITUTE(SUBSTITUTE(SUBSTITUTE(TRIM(J345),".",""),"/",""),"-","")," ",""),"(",""),")",""),"+",""))=11),OR(K345="",LEN(SUBSTITUTE(SUBSTITUTE(SUBSTITUTE(SUBSTITUTE(SUBSTITUTE(SUBSTITUTE(SUBSTITUTE(TRIM(K345),".",""),"/",""),"-","")," ",""),"(",""),")",""),"+",""))=10,LEN(SUBSTITUTE(SUBSTITUTE(SUBSTITUTE(SUBSTITUTE(SUBSTITUTE(SUBSTITUTE(SUBSTITUTE(TRIM(K345),".",""),"/",""),"-","")," ",""),"(",""),")",""),"+",""))=11)),"OK","ERRO: use DDD + número (10 ou 11 dígitos)"))</f>
      </c>
      <c r="T345" s="6">
        <f>IF(L345="","vazio",IF(AND(ISNUMBER(FIND("@",L345)),ISNUMBER(FIND(".",MID(L345,FIND("@",L345),99))),NOT(ISNUMBER(FIND(" ",TRIM(L345)))),NOT(ISNUMBER(FIND(";",L345))),NOT(ISNUMBER(FIND(",",L345)))),"OK","ERRO: um e-mail válido por linha"))</f>
      </c>
      <c r="U345" s="6">
        <f>IF(COUNTA(A345:O345)=0,"",IF(AND(B345&lt;&gt;"",C345&lt;&gt;"",D345&lt;&gt;"",E345&lt;&gt;"",H345&lt;&gt;"",OR(J345&lt;&gt;"",L345&lt;&gt;"")),"OK","ERRO: faltam "&amp;IF(B345="","Proprietário; ","")&amp;IF(C345="","Origem; ","")&amp;IF(D345="","CNPJ; ","")&amp;IF(E345="","Razão Social; ","")&amp;IF(H345="","Sobrenome; ","")&amp;IF(AND(J345="",L345=""),"telefone ou e-mail; ","")))</f>
      </c>
      <c r="V345" s="6">
        <f>IF(COUNTA(A345:O345)=0,"",IF(AND(Q345="OK",R345="OK",LEFT(S345,4)&lt;&gt;"ERRO",LEFT(T345,4)&lt;&gt;"ERRO",U345="OK"),"OK","REVISAR"))</f>
      </c>
    </row>
    <row r="346">
      <c r="A346" s="4"/>
      <c r="B346" s="5"/>
      <c r="C346" s="5"/>
      <c r="D346" s="5"/>
      <c r="E346" s="5"/>
      <c r="F346" s="4"/>
      <c r="G346" s="4"/>
      <c r="H346" s="5"/>
      <c r="I346" s="4"/>
      <c r="J346" s="4"/>
      <c r="K346" s="4"/>
      <c r="L346" s="4"/>
      <c r="M346" s="4"/>
      <c r="N346" s="4"/>
      <c r="O346" s="4"/>
      <c r="P346" s="6">
        <f>IF(D346="","",SUBSTITUTE(SUBSTITUTE(SUBSTITUTE(SUBSTITUTE(SUBSTITUTE(SUBSTITUTE(SUBSTITUTE(TRIM(D346),".",""),"/",""),"-","")," ",""),"(",""),")",""),"+",""))</f>
      </c>
      <c r="Q346" s="6">
        <f>IF(P346="","",IF(LEN(P346)&lt;&gt;14,"ERRO: "&amp;LEN(P346)&amp;" dígitos",IF(NOT(ISNUMBER(VALUE(P346))),"ERRO: não numérico",IF(LEN(SUBSTITUTE(P346,LEFT(P346,1),""))=0,"ERRO: dígitos repetidos",IF(AND(VALUE(MID(P346,13,1))=IF(MOD(SUMPRODUCT(--MID(P346,{1,2,3,4,5,6,7,8,9,10,11,12},1),{5,4,3,2,9,8,7,6,5,4,3,2}),11)&lt;2,0,11-MOD(SUMPRODUCT(--MID(P346,{1,2,3,4,5,6,7,8,9,10,11,12},1),{5,4,3,2,9,8,7,6,5,4,3,2}),11)),VALUE(MID(P346,14,1))=IF(MOD(SUMPRODUCT(--MID(P346,{1,2,3,4,5,6,7,8,9,10,11,12,13},1),{6,5,4,3,2,9,8,7,6,5,4,3,2}),11)&lt;2,0,11-MOD(SUMPRODUCT(--MID(P346,{1,2,3,4,5,6,7,8,9,10,11,12,13},1),{6,5,4,3,2,9,8,7,6,5,4,3,2}),11))),"OK","ERRO: dígito verificador")))))</f>
      </c>
      <c r="R346" s="6">
        <f>IF(P346="","",IF(COUNTIF($P$2:$P$1001,P346)&gt;1,"DUPLICADO","OK"))</f>
      </c>
      <c r="S346" s="6">
        <f>IF(AND(J346="",K346=""),"vazio",IF(AND(OR(J346="",LEN(SUBSTITUTE(SUBSTITUTE(SUBSTITUTE(SUBSTITUTE(SUBSTITUTE(SUBSTITUTE(SUBSTITUTE(TRIM(J346),".",""),"/",""),"-","")," ",""),"(",""),")",""),"+",""))=10,LEN(SUBSTITUTE(SUBSTITUTE(SUBSTITUTE(SUBSTITUTE(SUBSTITUTE(SUBSTITUTE(SUBSTITUTE(TRIM(J346),".",""),"/",""),"-","")," ",""),"(",""),")",""),"+",""))=11),OR(K346="",LEN(SUBSTITUTE(SUBSTITUTE(SUBSTITUTE(SUBSTITUTE(SUBSTITUTE(SUBSTITUTE(SUBSTITUTE(TRIM(K346),".",""),"/",""),"-","")," ",""),"(",""),")",""),"+",""))=10,LEN(SUBSTITUTE(SUBSTITUTE(SUBSTITUTE(SUBSTITUTE(SUBSTITUTE(SUBSTITUTE(SUBSTITUTE(TRIM(K346),".",""),"/",""),"-","")," ",""),"(",""),")",""),"+",""))=11)),"OK","ERRO: use DDD + número (10 ou 11 dígitos)"))</f>
      </c>
      <c r="T346" s="6">
        <f>IF(L346="","vazio",IF(AND(ISNUMBER(FIND("@",L346)),ISNUMBER(FIND(".",MID(L346,FIND("@",L346),99))),NOT(ISNUMBER(FIND(" ",TRIM(L346)))),NOT(ISNUMBER(FIND(";",L346))),NOT(ISNUMBER(FIND(",",L346)))),"OK","ERRO: um e-mail válido por linha"))</f>
      </c>
      <c r="U346" s="6">
        <f>IF(COUNTA(A346:O346)=0,"",IF(AND(B346&lt;&gt;"",C346&lt;&gt;"",D346&lt;&gt;"",E346&lt;&gt;"",H346&lt;&gt;"",OR(J346&lt;&gt;"",L346&lt;&gt;"")),"OK","ERRO: faltam "&amp;IF(B346="","Proprietário; ","")&amp;IF(C346="","Origem; ","")&amp;IF(D346="","CNPJ; ","")&amp;IF(E346="","Razão Social; ","")&amp;IF(H346="","Sobrenome; ","")&amp;IF(AND(J346="",L346=""),"telefone ou e-mail; ","")))</f>
      </c>
      <c r="V346" s="6">
        <f>IF(COUNTA(A346:O346)=0,"",IF(AND(Q346="OK",R346="OK",LEFT(S346,4)&lt;&gt;"ERRO",LEFT(T346,4)&lt;&gt;"ERRO",U346="OK"),"OK","REVISAR"))</f>
      </c>
    </row>
    <row r="347">
      <c r="A347" s="4"/>
      <c r="B347" s="5"/>
      <c r="C347" s="5"/>
      <c r="D347" s="5"/>
      <c r="E347" s="5"/>
      <c r="F347" s="4"/>
      <c r="G347" s="4"/>
      <c r="H347" s="5"/>
      <c r="I347" s="4"/>
      <c r="J347" s="4"/>
      <c r="K347" s="4"/>
      <c r="L347" s="4"/>
      <c r="M347" s="4"/>
      <c r="N347" s="4"/>
      <c r="O347" s="4"/>
      <c r="P347" s="6">
        <f>IF(D347="","",SUBSTITUTE(SUBSTITUTE(SUBSTITUTE(SUBSTITUTE(SUBSTITUTE(SUBSTITUTE(SUBSTITUTE(TRIM(D347),".",""),"/",""),"-","")," ",""),"(",""),")",""),"+",""))</f>
      </c>
      <c r="Q347" s="6">
        <f>IF(P347="","",IF(LEN(P347)&lt;&gt;14,"ERRO: "&amp;LEN(P347)&amp;" dígitos",IF(NOT(ISNUMBER(VALUE(P347))),"ERRO: não numérico",IF(LEN(SUBSTITUTE(P347,LEFT(P347,1),""))=0,"ERRO: dígitos repetidos",IF(AND(VALUE(MID(P347,13,1))=IF(MOD(SUMPRODUCT(--MID(P347,{1,2,3,4,5,6,7,8,9,10,11,12},1),{5,4,3,2,9,8,7,6,5,4,3,2}),11)&lt;2,0,11-MOD(SUMPRODUCT(--MID(P347,{1,2,3,4,5,6,7,8,9,10,11,12},1),{5,4,3,2,9,8,7,6,5,4,3,2}),11)),VALUE(MID(P347,14,1))=IF(MOD(SUMPRODUCT(--MID(P347,{1,2,3,4,5,6,7,8,9,10,11,12,13},1),{6,5,4,3,2,9,8,7,6,5,4,3,2}),11)&lt;2,0,11-MOD(SUMPRODUCT(--MID(P347,{1,2,3,4,5,6,7,8,9,10,11,12,13},1),{6,5,4,3,2,9,8,7,6,5,4,3,2}),11))),"OK","ERRO: dígito verificador")))))</f>
      </c>
      <c r="R347" s="6">
        <f>IF(P347="","",IF(COUNTIF($P$2:$P$1001,P347)&gt;1,"DUPLICADO","OK"))</f>
      </c>
      <c r="S347" s="6">
        <f>IF(AND(J347="",K347=""),"vazio",IF(AND(OR(J347="",LEN(SUBSTITUTE(SUBSTITUTE(SUBSTITUTE(SUBSTITUTE(SUBSTITUTE(SUBSTITUTE(SUBSTITUTE(TRIM(J347),".",""),"/",""),"-","")," ",""),"(",""),")",""),"+",""))=10,LEN(SUBSTITUTE(SUBSTITUTE(SUBSTITUTE(SUBSTITUTE(SUBSTITUTE(SUBSTITUTE(SUBSTITUTE(TRIM(J347),".",""),"/",""),"-","")," ",""),"(",""),")",""),"+",""))=11),OR(K347="",LEN(SUBSTITUTE(SUBSTITUTE(SUBSTITUTE(SUBSTITUTE(SUBSTITUTE(SUBSTITUTE(SUBSTITUTE(TRIM(K347),".",""),"/",""),"-","")," ",""),"(",""),")",""),"+",""))=10,LEN(SUBSTITUTE(SUBSTITUTE(SUBSTITUTE(SUBSTITUTE(SUBSTITUTE(SUBSTITUTE(SUBSTITUTE(TRIM(K347),".",""),"/",""),"-","")," ",""),"(",""),")",""),"+",""))=11)),"OK","ERRO: use DDD + número (10 ou 11 dígitos)"))</f>
      </c>
      <c r="T347" s="6">
        <f>IF(L347="","vazio",IF(AND(ISNUMBER(FIND("@",L347)),ISNUMBER(FIND(".",MID(L347,FIND("@",L347),99))),NOT(ISNUMBER(FIND(" ",TRIM(L347)))),NOT(ISNUMBER(FIND(";",L347))),NOT(ISNUMBER(FIND(",",L347)))),"OK","ERRO: um e-mail válido por linha"))</f>
      </c>
      <c r="U347" s="6">
        <f>IF(COUNTA(A347:O347)=0,"",IF(AND(B347&lt;&gt;"",C347&lt;&gt;"",D347&lt;&gt;"",E347&lt;&gt;"",H347&lt;&gt;"",OR(J347&lt;&gt;"",L347&lt;&gt;"")),"OK","ERRO: faltam "&amp;IF(B347="","Proprietário; ","")&amp;IF(C347="","Origem; ","")&amp;IF(D347="","CNPJ; ","")&amp;IF(E347="","Razão Social; ","")&amp;IF(H347="","Sobrenome; ","")&amp;IF(AND(J347="",L347=""),"telefone ou e-mail; ","")))</f>
      </c>
      <c r="V347" s="6">
        <f>IF(COUNTA(A347:O347)=0,"",IF(AND(Q347="OK",R347="OK",LEFT(S347,4)&lt;&gt;"ERRO",LEFT(T347,4)&lt;&gt;"ERRO",U347="OK"),"OK","REVISAR"))</f>
      </c>
    </row>
    <row r="348">
      <c r="A348" s="4"/>
      <c r="B348" s="5"/>
      <c r="C348" s="5"/>
      <c r="D348" s="5"/>
      <c r="E348" s="5"/>
      <c r="F348" s="4"/>
      <c r="G348" s="4"/>
      <c r="H348" s="5"/>
      <c r="I348" s="4"/>
      <c r="J348" s="4"/>
      <c r="K348" s="4"/>
      <c r="L348" s="4"/>
      <c r="M348" s="4"/>
      <c r="N348" s="4"/>
      <c r="O348" s="4"/>
      <c r="P348" s="6">
        <f>IF(D348="","",SUBSTITUTE(SUBSTITUTE(SUBSTITUTE(SUBSTITUTE(SUBSTITUTE(SUBSTITUTE(SUBSTITUTE(TRIM(D348),".",""),"/",""),"-","")," ",""),"(",""),")",""),"+",""))</f>
      </c>
      <c r="Q348" s="6">
        <f>IF(P348="","",IF(LEN(P348)&lt;&gt;14,"ERRO: "&amp;LEN(P348)&amp;" dígitos",IF(NOT(ISNUMBER(VALUE(P348))),"ERRO: não numérico",IF(LEN(SUBSTITUTE(P348,LEFT(P348,1),""))=0,"ERRO: dígitos repetidos",IF(AND(VALUE(MID(P348,13,1))=IF(MOD(SUMPRODUCT(--MID(P348,{1,2,3,4,5,6,7,8,9,10,11,12},1),{5,4,3,2,9,8,7,6,5,4,3,2}),11)&lt;2,0,11-MOD(SUMPRODUCT(--MID(P348,{1,2,3,4,5,6,7,8,9,10,11,12},1),{5,4,3,2,9,8,7,6,5,4,3,2}),11)),VALUE(MID(P348,14,1))=IF(MOD(SUMPRODUCT(--MID(P348,{1,2,3,4,5,6,7,8,9,10,11,12,13},1),{6,5,4,3,2,9,8,7,6,5,4,3,2}),11)&lt;2,0,11-MOD(SUMPRODUCT(--MID(P348,{1,2,3,4,5,6,7,8,9,10,11,12,13},1),{6,5,4,3,2,9,8,7,6,5,4,3,2}),11))),"OK","ERRO: dígito verificador")))))</f>
      </c>
      <c r="R348" s="6">
        <f>IF(P348="","",IF(COUNTIF($P$2:$P$1001,P348)&gt;1,"DUPLICADO","OK"))</f>
      </c>
      <c r="S348" s="6">
        <f>IF(AND(J348="",K348=""),"vazio",IF(AND(OR(J348="",LEN(SUBSTITUTE(SUBSTITUTE(SUBSTITUTE(SUBSTITUTE(SUBSTITUTE(SUBSTITUTE(SUBSTITUTE(TRIM(J348),".",""),"/",""),"-","")," ",""),"(",""),")",""),"+",""))=10,LEN(SUBSTITUTE(SUBSTITUTE(SUBSTITUTE(SUBSTITUTE(SUBSTITUTE(SUBSTITUTE(SUBSTITUTE(TRIM(J348),".",""),"/",""),"-","")," ",""),"(",""),")",""),"+",""))=11),OR(K348="",LEN(SUBSTITUTE(SUBSTITUTE(SUBSTITUTE(SUBSTITUTE(SUBSTITUTE(SUBSTITUTE(SUBSTITUTE(TRIM(K348),".",""),"/",""),"-","")," ",""),"(",""),")",""),"+",""))=10,LEN(SUBSTITUTE(SUBSTITUTE(SUBSTITUTE(SUBSTITUTE(SUBSTITUTE(SUBSTITUTE(SUBSTITUTE(TRIM(K348),".",""),"/",""),"-","")," ",""),"(",""),")",""),"+",""))=11)),"OK","ERRO: use DDD + número (10 ou 11 dígitos)"))</f>
      </c>
      <c r="T348" s="6">
        <f>IF(L348="","vazio",IF(AND(ISNUMBER(FIND("@",L348)),ISNUMBER(FIND(".",MID(L348,FIND("@",L348),99))),NOT(ISNUMBER(FIND(" ",TRIM(L348)))),NOT(ISNUMBER(FIND(";",L348))),NOT(ISNUMBER(FIND(",",L348)))),"OK","ERRO: um e-mail válido por linha"))</f>
      </c>
      <c r="U348" s="6">
        <f>IF(COUNTA(A348:O348)=0,"",IF(AND(B348&lt;&gt;"",C348&lt;&gt;"",D348&lt;&gt;"",E348&lt;&gt;"",H348&lt;&gt;"",OR(J348&lt;&gt;"",L348&lt;&gt;"")),"OK","ERRO: faltam "&amp;IF(B348="","Proprietário; ","")&amp;IF(C348="","Origem; ","")&amp;IF(D348="","CNPJ; ","")&amp;IF(E348="","Razão Social; ","")&amp;IF(H348="","Sobrenome; ","")&amp;IF(AND(J348="",L348=""),"telefone ou e-mail; ","")))</f>
      </c>
      <c r="V348" s="6">
        <f>IF(COUNTA(A348:O348)=0,"",IF(AND(Q348="OK",R348="OK",LEFT(S348,4)&lt;&gt;"ERRO",LEFT(T348,4)&lt;&gt;"ERRO",U348="OK"),"OK","REVISAR"))</f>
      </c>
    </row>
    <row r="349">
      <c r="A349" s="4"/>
      <c r="B349" s="5"/>
      <c r="C349" s="5"/>
      <c r="D349" s="5"/>
      <c r="E349" s="5"/>
      <c r="F349" s="4"/>
      <c r="G349" s="4"/>
      <c r="H349" s="5"/>
      <c r="I349" s="4"/>
      <c r="J349" s="4"/>
      <c r="K349" s="4"/>
      <c r="L349" s="4"/>
      <c r="M349" s="4"/>
      <c r="N349" s="4"/>
      <c r="O349" s="4"/>
      <c r="P349" s="6">
        <f>IF(D349="","",SUBSTITUTE(SUBSTITUTE(SUBSTITUTE(SUBSTITUTE(SUBSTITUTE(SUBSTITUTE(SUBSTITUTE(TRIM(D349),".",""),"/",""),"-","")," ",""),"(",""),")",""),"+",""))</f>
      </c>
      <c r="Q349" s="6">
        <f>IF(P349="","",IF(LEN(P349)&lt;&gt;14,"ERRO: "&amp;LEN(P349)&amp;" dígitos",IF(NOT(ISNUMBER(VALUE(P349))),"ERRO: não numérico",IF(LEN(SUBSTITUTE(P349,LEFT(P349,1),""))=0,"ERRO: dígitos repetidos",IF(AND(VALUE(MID(P349,13,1))=IF(MOD(SUMPRODUCT(--MID(P349,{1,2,3,4,5,6,7,8,9,10,11,12},1),{5,4,3,2,9,8,7,6,5,4,3,2}),11)&lt;2,0,11-MOD(SUMPRODUCT(--MID(P349,{1,2,3,4,5,6,7,8,9,10,11,12},1),{5,4,3,2,9,8,7,6,5,4,3,2}),11)),VALUE(MID(P349,14,1))=IF(MOD(SUMPRODUCT(--MID(P349,{1,2,3,4,5,6,7,8,9,10,11,12,13},1),{6,5,4,3,2,9,8,7,6,5,4,3,2}),11)&lt;2,0,11-MOD(SUMPRODUCT(--MID(P349,{1,2,3,4,5,6,7,8,9,10,11,12,13},1),{6,5,4,3,2,9,8,7,6,5,4,3,2}),11))),"OK","ERRO: dígito verificador")))))</f>
      </c>
      <c r="R349" s="6">
        <f>IF(P349="","",IF(COUNTIF($P$2:$P$1001,P349)&gt;1,"DUPLICADO","OK"))</f>
      </c>
      <c r="S349" s="6">
        <f>IF(AND(J349="",K349=""),"vazio",IF(AND(OR(J349="",LEN(SUBSTITUTE(SUBSTITUTE(SUBSTITUTE(SUBSTITUTE(SUBSTITUTE(SUBSTITUTE(SUBSTITUTE(TRIM(J349),".",""),"/",""),"-","")," ",""),"(",""),")",""),"+",""))=10,LEN(SUBSTITUTE(SUBSTITUTE(SUBSTITUTE(SUBSTITUTE(SUBSTITUTE(SUBSTITUTE(SUBSTITUTE(TRIM(J349),".",""),"/",""),"-","")," ",""),"(",""),")",""),"+",""))=11),OR(K349="",LEN(SUBSTITUTE(SUBSTITUTE(SUBSTITUTE(SUBSTITUTE(SUBSTITUTE(SUBSTITUTE(SUBSTITUTE(TRIM(K349),".",""),"/",""),"-","")," ",""),"(",""),")",""),"+",""))=10,LEN(SUBSTITUTE(SUBSTITUTE(SUBSTITUTE(SUBSTITUTE(SUBSTITUTE(SUBSTITUTE(SUBSTITUTE(TRIM(K349),".",""),"/",""),"-","")," ",""),"(",""),")",""),"+",""))=11)),"OK","ERRO: use DDD + número (10 ou 11 dígitos)"))</f>
      </c>
      <c r="T349" s="6">
        <f>IF(L349="","vazio",IF(AND(ISNUMBER(FIND("@",L349)),ISNUMBER(FIND(".",MID(L349,FIND("@",L349),99))),NOT(ISNUMBER(FIND(" ",TRIM(L349)))),NOT(ISNUMBER(FIND(";",L349))),NOT(ISNUMBER(FIND(",",L349)))),"OK","ERRO: um e-mail válido por linha"))</f>
      </c>
      <c r="U349" s="6">
        <f>IF(COUNTA(A349:O349)=0,"",IF(AND(B349&lt;&gt;"",C349&lt;&gt;"",D349&lt;&gt;"",E349&lt;&gt;"",H349&lt;&gt;"",OR(J349&lt;&gt;"",L349&lt;&gt;"")),"OK","ERRO: faltam "&amp;IF(B349="","Proprietário; ","")&amp;IF(C349="","Origem; ","")&amp;IF(D349="","CNPJ; ","")&amp;IF(E349="","Razão Social; ","")&amp;IF(H349="","Sobrenome; ","")&amp;IF(AND(J349="",L349=""),"telefone ou e-mail; ","")))</f>
      </c>
      <c r="V349" s="6">
        <f>IF(COUNTA(A349:O349)=0,"",IF(AND(Q349="OK",R349="OK",LEFT(S349,4)&lt;&gt;"ERRO",LEFT(T349,4)&lt;&gt;"ERRO",U349="OK"),"OK","REVISAR"))</f>
      </c>
    </row>
    <row r="350">
      <c r="A350" s="4"/>
      <c r="B350" s="5"/>
      <c r="C350" s="5"/>
      <c r="D350" s="5"/>
      <c r="E350" s="5"/>
      <c r="F350" s="4"/>
      <c r="G350" s="4"/>
      <c r="H350" s="5"/>
      <c r="I350" s="4"/>
      <c r="J350" s="4"/>
      <c r="K350" s="4"/>
      <c r="L350" s="4"/>
      <c r="M350" s="4"/>
      <c r="N350" s="4"/>
      <c r="O350" s="4"/>
      <c r="P350" s="6">
        <f>IF(D350="","",SUBSTITUTE(SUBSTITUTE(SUBSTITUTE(SUBSTITUTE(SUBSTITUTE(SUBSTITUTE(SUBSTITUTE(TRIM(D350),".",""),"/",""),"-","")," ",""),"(",""),")",""),"+",""))</f>
      </c>
      <c r="Q350" s="6">
        <f>IF(P350="","",IF(LEN(P350)&lt;&gt;14,"ERRO: "&amp;LEN(P350)&amp;" dígitos",IF(NOT(ISNUMBER(VALUE(P350))),"ERRO: não numérico",IF(LEN(SUBSTITUTE(P350,LEFT(P350,1),""))=0,"ERRO: dígitos repetidos",IF(AND(VALUE(MID(P350,13,1))=IF(MOD(SUMPRODUCT(--MID(P350,{1,2,3,4,5,6,7,8,9,10,11,12},1),{5,4,3,2,9,8,7,6,5,4,3,2}),11)&lt;2,0,11-MOD(SUMPRODUCT(--MID(P350,{1,2,3,4,5,6,7,8,9,10,11,12},1),{5,4,3,2,9,8,7,6,5,4,3,2}),11)),VALUE(MID(P350,14,1))=IF(MOD(SUMPRODUCT(--MID(P350,{1,2,3,4,5,6,7,8,9,10,11,12,13},1),{6,5,4,3,2,9,8,7,6,5,4,3,2}),11)&lt;2,0,11-MOD(SUMPRODUCT(--MID(P350,{1,2,3,4,5,6,7,8,9,10,11,12,13},1),{6,5,4,3,2,9,8,7,6,5,4,3,2}),11))),"OK","ERRO: dígito verificador")))))</f>
      </c>
      <c r="R350" s="6">
        <f>IF(P350="","",IF(COUNTIF($P$2:$P$1001,P350)&gt;1,"DUPLICADO","OK"))</f>
      </c>
      <c r="S350" s="6">
        <f>IF(AND(J350="",K350=""),"vazio",IF(AND(OR(J350="",LEN(SUBSTITUTE(SUBSTITUTE(SUBSTITUTE(SUBSTITUTE(SUBSTITUTE(SUBSTITUTE(SUBSTITUTE(TRIM(J350),".",""),"/",""),"-","")," ",""),"(",""),")",""),"+",""))=10,LEN(SUBSTITUTE(SUBSTITUTE(SUBSTITUTE(SUBSTITUTE(SUBSTITUTE(SUBSTITUTE(SUBSTITUTE(TRIM(J350),".",""),"/",""),"-","")," ",""),"(",""),")",""),"+",""))=11),OR(K350="",LEN(SUBSTITUTE(SUBSTITUTE(SUBSTITUTE(SUBSTITUTE(SUBSTITUTE(SUBSTITUTE(SUBSTITUTE(TRIM(K350),".",""),"/",""),"-","")," ",""),"(",""),")",""),"+",""))=10,LEN(SUBSTITUTE(SUBSTITUTE(SUBSTITUTE(SUBSTITUTE(SUBSTITUTE(SUBSTITUTE(SUBSTITUTE(TRIM(K350),".",""),"/",""),"-","")," ",""),"(",""),")",""),"+",""))=11)),"OK","ERRO: use DDD + número (10 ou 11 dígitos)"))</f>
      </c>
      <c r="T350" s="6">
        <f>IF(L350="","vazio",IF(AND(ISNUMBER(FIND("@",L350)),ISNUMBER(FIND(".",MID(L350,FIND("@",L350),99))),NOT(ISNUMBER(FIND(" ",TRIM(L350)))),NOT(ISNUMBER(FIND(";",L350))),NOT(ISNUMBER(FIND(",",L350)))),"OK","ERRO: um e-mail válido por linha"))</f>
      </c>
      <c r="U350" s="6">
        <f>IF(COUNTA(A350:O350)=0,"",IF(AND(B350&lt;&gt;"",C350&lt;&gt;"",D350&lt;&gt;"",E350&lt;&gt;"",H350&lt;&gt;"",OR(J350&lt;&gt;"",L350&lt;&gt;"")),"OK","ERRO: faltam "&amp;IF(B350="","Proprietário; ","")&amp;IF(C350="","Origem; ","")&amp;IF(D350="","CNPJ; ","")&amp;IF(E350="","Razão Social; ","")&amp;IF(H350="","Sobrenome; ","")&amp;IF(AND(J350="",L350=""),"telefone ou e-mail; ","")))</f>
      </c>
      <c r="V350" s="6">
        <f>IF(COUNTA(A350:O350)=0,"",IF(AND(Q350="OK",R350="OK",LEFT(S350,4)&lt;&gt;"ERRO",LEFT(T350,4)&lt;&gt;"ERRO",U350="OK"),"OK","REVISAR"))</f>
      </c>
    </row>
    <row r="351">
      <c r="A351" s="4"/>
      <c r="B351" s="5"/>
      <c r="C351" s="5"/>
      <c r="D351" s="5"/>
      <c r="E351" s="5"/>
      <c r="F351" s="4"/>
      <c r="G351" s="4"/>
      <c r="H351" s="5"/>
      <c r="I351" s="4"/>
      <c r="J351" s="4"/>
      <c r="K351" s="4"/>
      <c r="L351" s="4"/>
      <c r="M351" s="4"/>
      <c r="N351" s="4"/>
      <c r="O351" s="4"/>
      <c r="P351" s="6">
        <f>IF(D351="","",SUBSTITUTE(SUBSTITUTE(SUBSTITUTE(SUBSTITUTE(SUBSTITUTE(SUBSTITUTE(SUBSTITUTE(TRIM(D351),".",""),"/",""),"-","")," ",""),"(",""),")",""),"+",""))</f>
      </c>
      <c r="Q351" s="6">
        <f>IF(P351="","",IF(LEN(P351)&lt;&gt;14,"ERRO: "&amp;LEN(P351)&amp;" dígitos",IF(NOT(ISNUMBER(VALUE(P351))),"ERRO: não numérico",IF(LEN(SUBSTITUTE(P351,LEFT(P351,1),""))=0,"ERRO: dígitos repetidos",IF(AND(VALUE(MID(P351,13,1))=IF(MOD(SUMPRODUCT(--MID(P351,{1,2,3,4,5,6,7,8,9,10,11,12},1),{5,4,3,2,9,8,7,6,5,4,3,2}),11)&lt;2,0,11-MOD(SUMPRODUCT(--MID(P351,{1,2,3,4,5,6,7,8,9,10,11,12},1),{5,4,3,2,9,8,7,6,5,4,3,2}),11)),VALUE(MID(P351,14,1))=IF(MOD(SUMPRODUCT(--MID(P351,{1,2,3,4,5,6,7,8,9,10,11,12,13},1),{6,5,4,3,2,9,8,7,6,5,4,3,2}),11)&lt;2,0,11-MOD(SUMPRODUCT(--MID(P351,{1,2,3,4,5,6,7,8,9,10,11,12,13},1),{6,5,4,3,2,9,8,7,6,5,4,3,2}),11))),"OK","ERRO: dígito verificador")))))</f>
      </c>
      <c r="R351" s="6">
        <f>IF(P351="","",IF(COUNTIF($P$2:$P$1001,P351)&gt;1,"DUPLICADO","OK"))</f>
      </c>
      <c r="S351" s="6">
        <f>IF(AND(J351="",K351=""),"vazio",IF(AND(OR(J351="",LEN(SUBSTITUTE(SUBSTITUTE(SUBSTITUTE(SUBSTITUTE(SUBSTITUTE(SUBSTITUTE(SUBSTITUTE(TRIM(J351),".",""),"/",""),"-","")," ",""),"(",""),")",""),"+",""))=10,LEN(SUBSTITUTE(SUBSTITUTE(SUBSTITUTE(SUBSTITUTE(SUBSTITUTE(SUBSTITUTE(SUBSTITUTE(TRIM(J351),".",""),"/",""),"-","")," ",""),"(",""),")",""),"+",""))=11),OR(K351="",LEN(SUBSTITUTE(SUBSTITUTE(SUBSTITUTE(SUBSTITUTE(SUBSTITUTE(SUBSTITUTE(SUBSTITUTE(TRIM(K351),".",""),"/",""),"-","")," ",""),"(",""),")",""),"+",""))=10,LEN(SUBSTITUTE(SUBSTITUTE(SUBSTITUTE(SUBSTITUTE(SUBSTITUTE(SUBSTITUTE(SUBSTITUTE(TRIM(K351),".",""),"/",""),"-","")," ",""),"(",""),")",""),"+",""))=11)),"OK","ERRO: use DDD + número (10 ou 11 dígitos)"))</f>
      </c>
      <c r="T351" s="6">
        <f>IF(L351="","vazio",IF(AND(ISNUMBER(FIND("@",L351)),ISNUMBER(FIND(".",MID(L351,FIND("@",L351),99))),NOT(ISNUMBER(FIND(" ",TRIM(L351)))),NOT(ISNUMBER(FIND(";",L351))),NOT(ISNUMBER(FIND(",",L351)))),"OK","ERRO: um e-mail válido por linha"))</f>
      </c>
      <c r="U351" s="6">
        <f>IF(COUNTA(A351:O351)=0,"",IF(AND(B351&lt;&gt;"",C351&lt;&gt;"",D351&lt;&gt;"",E351&lt;&gt;"",H351&lt;&gt;"",OR(J351&lt;&gt;"",L351&lt;&gt;"")),"OK","ERRO: faltam "&amp;IF(B351="","Proprietário; ","")&amp;IF(C351="","Origem; ","")&amp;IF(D351="","CNPJ; ","")&amp;IF(E351="","Razão Social; ","")&amp;IF(H351="","Sobrenome; ","")&amp;IF(AND(J351="",L351=""),"telefone ou e-mail; ","")))</f>
      </c>
      <c r="V351" s="6">
        <f>IF(COUNTA(A351:O351)=0,"",IF(AND(Q351="OK",R351="OK",LEFT(S351,4)&lt;&gt;"ERRO",LEFT(T351,4)&lt;&gt;"ERRO",U351="OK"),"OK","REVISAR"))</f>
      </c>
    </row>
    <row r="352">
      <c r="A352" s="4"/>
      <c r="B352" s="5"/>
      <c r="C352" s="5"/>
      <c r="D352" s="5"/>
      <c r="E352" s="5"/>
      <c r="F352" s="4"/>
      <c r="G352" s="4"/>
      <c r="H352" s="5"/>
      <c r="I352" s="4"/>
      <c r="J352" s="4"/>
      <c r="K352" s="4"/>
      <c r="L352" s="4"/>
      <c r="M352" s="4"/>
      <c r="N352" s="4"/>
      <c r="O352" s="4"/>
      <c r="P352" s="6">
        <f>IF(D352="","",SUBSTITUTE(SUBSTITUTE(SUBSTITUTE(SUBSTITUTE(SUBSTITUTE(SUBSTITUTE(SUBSTITUTE(TRIM(D352),".",""),"/",""),"-","")," ",""),"(",""),")",""),"+",""))</f>
      </c>
      <c r="Q352" s="6">
        <f>IF(P352="","",IF(LEN(P352)&lt;&gt;14,"ERRO: "&amp;LEN(P352)&amp;" dígitos",IF(NOT(ISNUMBER(VALUE(P352))),"ERRO: não numérico",IF(LEN(SUBSTITUTE(P352,LEFT(P352,1),""))=0,"ERRO: dígitos repetidos",IF(AND(VALUE(MID(P352,13,1))=IF(MOD(SUMPRODUCT(--MID(P352,{1,2,3,4,5,6,7,8,9,10,11,12},1),{5,4,3,2,9,8,7,6,5,4,3,2}),11)&lt;2,0,11-MOD(SUMPRODUCT(--MID(P352,{1,2,3,4,5,6,7,8,9,10,11,12},1),{5,4,3,2,9,8,7,6,5,4,3,2}),11)),VALUE(MID(P352,14,1))=IF(MOD(SUMPRODUCT(--MID(P352,{1,2,3,4,5,6,7,8,9,10,11,12,13},1),{6,5,4,3,2,9,8,7,6,5,4,3,2}),11)&lt;2,0,11-MOD(SUMPRODUCT(--MID(P352,{1,2,3,4,5,6,7,8,9,10,11,12,13},1),{6,5,4,3,2,9,8,7,6,5,4,3,2}),11))),"OK","ERRO: dígito verificador")))))</f>
      </c>
      <c r="R352" s="6">
        <f>IF(P352="","",IF(COUNTIF($P$2:$P$1001,P352)&gt;1,"DUPLICADO","OK"))</f>
      </c>
      <c r="S352" s="6">
        <f>IF(AND(J352="",K352=""),"vazio",IF(AND(OR(J352="",LEN(SUBSTITUTE(SUBSTITUTE(SUBSTITUTE(SUBSTITUTE(SUBSTITUTE(SUBSTITUTE(SUBSTITUTE(TRIM(J352),".",""),"/",""),"-","")," ",""),"(",""),")",""),"+",""))=10,LEN(SUBSTITUTE(SUBSTITUTE(SUBSTITUTE(SUBSTITUTE(SUBSTITUTE(SUBSTITUTE(SUBSTITUTE(TRIM(J352),".",""),"/",""),"-","")," ",""),"(",""),")",""),"+",""))=11),OR(K352="",LEN(SUBSTITUTE(SUBSTITUTE(SUBSTITUTE(SUBSTITUTE(SUBSTITUTE(SUBSTITUTE(SUBSTITUTE(TRIM(K352),".",""),"/",""),"-","")," ",""),"(",""),")",""),"+",""))=10,LEN(SUBSTITUTE(SUBSTITUTE(SUBSTITUTE(SUBSTITUTE(SUBSTITUTE(SUBSTITUTE(SUBSTITUTE(TRIM(K352),".",""),"/",""),"-","")," ",""),"(",""),")",""),"+",""))=11)),"OK","ERRO: use DDD + número (10 ou 11 dígitos)"))</f>
      </c>
      <c r="T352" s="6">
        <f>IF(L352="","vazio",IF(AND(ISNUMBER(FIND("@",L352)),ISNUMBER(FIND(".",MID(L352,FIND("@",L352),99))),NOT(ISNUMBER(FIND(" ",TRIM(L352)))),NOT(ISNUMBER(FIND(";",L352))),NOT(ISNUMBER(FIND(",",L352)))),"OK","ERRO: um e-mail válido por linha"))</f>
      </c>
      <c r="U352" s="6">
        <f>IF(COUNTA(A352:O352)=0,"",IF(AND(B352&lt;&gt;"",C352&lt;&gt;"",D352&lt;&gt;"",E352&lt;&gt;"",H352&lt;&gt;"",OR(J352&lt;&gt;"",L352&lt;&gt;"")),"OK","ERRO: faltam "&amp;IF(B352="","Proprietário; ","")&amp;IF(C352="","Origem; ","")&amp;IF(D352="","CNPJ; ","")&amp;IF(E352="","Razão Social; ","")&amp;IF(H352="","Sobrenome; ","")&amp;IF(AND(J352="",L352=""),"telefone ou e-mail; ","")))</f>
      </c>
      <c r="V352" s="6">
        <f>IF(COUNTA(A352:O352)=0,"",IF(AND(Q352="OK",R352="OK",LEFT(S352,4)&lt;&gt;"ERRO",LEFT(T352,4)&lt;&gt;"ERRO",U352="OK"),"OK","REVISAR"))</f>
      </c>
    </row>
    <row r="353">
      <c r="A353" s="4"/>
      <c r="B353" s="5"/>
      <c r="C353" s="5"/>
      <c r="D353" s="5"/>
      <c r="E353" s="5"/>
      <c r="F353" s="4"/>
      <c r="G353" s="4"/>
      <c r="H353" s="5"/>
      <c r="I353" s="4"/>
      <c r="J353" s="4"/>
      <c r="K353" s="4"/>
      <c r="L353" s="4"/>
      <c r="M353" s="4"/>
      <c r="N353" s="4"/>
      <c r="O353" s="4"/>
      <c r="P353" s="6">
        <f>IF(D353="","",SUBSTITUTE(SUBSTITUTE(SUBSTITUTE(SUBSTITUTE(SUBSTITUTE(SUBSTITUTE(SUBSTITUTE(TRIM(D353),".",""),"/",""),"-","")," ",""),"(",""),")",""),"+",""))</f>
      </c>
      <c r="Q353" s="6">
        <f>IF(P353="","",IF(LEN(P353)&lt;&gt;14,"ERRO: "&amp;LEN(P353)&amp;" dígitos",IF(NOT(ISNUMBER(VALUE(P353))),"ERRO: não numérico",IF(LEN(SUBSTITUTE(P353,LEFT(P353,1),""))=0,"ERRO: dígitos repetidos",IF(AND(VALUE(MID(P353,13,1))=IF(MOD(SUMPRODUCT(--MID(P353,{1,2,3,4,5,6,7,8,9,10,11,12},1),{5,4,3,2,9,8,7,6,5,4,3,2}),11)&lt;2,0,11-MOD(SUMPRODUCT(--MID(P353,{1,2,3,4,5,6,7,8,9,10,11,12},1),{5,4,3,2,9,8,7,6,5,4,3,2}),11)),VALUE(MID(P353,14,1))=IF(MOD(SUMPRODUCT(--MID(P353,{1,2,3,4,5,6,7,8,9,10,11,12,13},1),{6,5,4,3,2,9,8,7,6,5,4,3,2}),11)&lt;2,0,11-MOD(SUMPRODUCT(--MID(P353,{1,2,3,4,5,6,7,8,9,10,11,12,13},1),{6,5,4,3,2,9,8,7,6,5,4,3,2}),11))),"OK","ERRO: dígito verificador")))))</f>
      </c>
      <c r="R353" s="6">
        <f>IF(P353="","",IF(COUNTIF($P$2:$P$1001,P353)&gt;1,"DUPLICADO","OK"))</f>
      </c>
      <c r="S353" s="6">
        <f>IF(AND(J353="",K353=""),"vazio",IF(AND(OR(J353="",LEN(SUBSTITUTE(SUBSTITUTE(SUBSTITUTE(SUBSTITUTE(SUBSTITUTE(SUBSTITUTE(SUBSTITUTE(TRIM(J353),".",""),"/",""),"-","")," ",""),"(",""),")",""),"+",""))=10,LEN(SUBSTITUTE(SUBSTITUTE(SUBSTITUTE(SUBSTITUTE(SUBSTITUTE(SUBSTITUTE(SUBSTITUTE(TRIM(J353),".",""),"/",""),"-","")," ",""),"(",""),")",""),"+",""))=11),OR(K353="",LEN(SUBSTITUTE(SUBSTITUTE(SUBSTITUTE(SUBSTITUTE(SUBSTITUTE(SUBSTITUTE(SUBSTITUTE(TRIM(K353),".",""),"/",""),"-","")," ",""),"(",""),")",""),"+",""))=10,LEN(SUBSTITUTE(SUBSTITUTE(SUBSTITUTE(SUBSTITUTE(SUBSTITUTE(SUBSTITUTE(SUBSTITUTE(TRIM(K353),".",""),"/",""),"-","")," ",""),"(",""),")",""),"+",""))=11)),"OK","ERRO: use DDD + número (10 ou 11 dígitos)"))</f>
      </c>
      <c r="T353" s="6">
        <f>IF(L353="","vazio",IF(AND(ISNUMBER(FIND("@",L353)),ISNUMBER(FIND(".",MID(L353,FIND("@",L353),99))),NOT(ISNUMBER(FIND(" ",TRIM(L353)))),NOT(ISNUMBER(FIND(";",L353))),NOT(ISNUMBER(FIND(",",L353)))),"OK","ERRO: um e-mail válido por linha"))</f>
      </c>
      <c r="U353" s="6">
        <f>IF(COUNTA(A353:O353)=0,"",IF(AND(B353&lt;&gt;"",C353&lt;&gt;"",D353&lt;&gt;"",E353&lt;&gt;"",H353&lt;&gt;"",OR(J353&lt;&gt;"",L353&lt;&gt;"")),"OK","ERRO: faltam "&amp;IF(B353="","Proprietário; ","")&amp;IF(C353="","Origem; ","")&amp;IF(D353="","CNPJ; ","")&amp;IF(E353="","Razão Social; ","")&amp;IF(H353="","Sobrenome; ","")&amp;IF(AND(J353="",L353=""),"telefone ou e-mail; ","")))</f>
      </c>
      <c r="V353" s="6">
        <f>IF(COUNTA(A353:O353)=0,"",IF(AND(Q353="OK",R353="OK",LEFT(S353,4)&lt;&gt;"ERRO",LEFT(T353,4)&lt;&gt;"ERRO",U353="OK"),"OK","REVISAR"))</f>
      </c>
    </row>
    <row r="354">
      <c r="A354" s="4"/>
      <c r="B354" s="5"/>
      <c r="C354" s="5"/>
      <c r="D354" s="5"/>
      <c r="E354" s="5"/>
      <c r="F354" s="4"/>
      <c r="G354" s="4"/>
      <c r="H354" s="5"/>
      <c r="I354" s="4"/>
      <c r="J354" s="4"/>
      <c r="K354" s="4"/>
      <c r="L354" s="4"/>
      <c r="M354" s="4"/>
      <c r="N354" s="4"/>
      <c r="O354" s="4"/>
      <c r="P354" s="6">
        <f>IF(D354="","",SUBSTITUTE(SUBSTITUTE(SUBSTITUTE(SUBSTITUTE(SUBSTITUTE(SUBSTITUTE(SUBSTITUTE(TRIM(D354),".",""),"/",""),"-","")," ",""),"(",""),")",""),"+",""))</f>
      </c>
      <c r="Q354" s="6">
        <f>IF(P354="","",IF(LEN(P354)&lt;&gt;14,"ERRO: "&amp;LEN(P354)&amp;" dígitos",IF(NOT(ISNUMBER(VALUE(P354))),"ERRO: não numérico",IF(LEN(SUBSTITUTE(P354,LEFT(P354,1),""))=0,"ERRO: dígitos repetidos",IF(AND(VALUE(MID(P354,13,1))=IF(MOD(SUMPRODUCT(--MID(P354,{1,2,3,4,5,6,7,8,9,10,11,12},1),{5,4,3,2,9,8,7,6,5,4,3,2}),11)&lt;2,0,11-MOD(SUMPRODUCT(--MID(P354,{1,2,3,4,5,6,7,8,9,10,11,12},1),{5,4,3,2,9,8,7,6,5,4,3,2}),11)),VALUE(MID(P354,14,1))=IF(MOD(SUMPRODUCT(--MID(P354,{1,2,3,4,5,6,7,8,9,10,11,12,13},1),{6,5,4,3,2,9,8,7,6,5,4,3,2}),11)&lt;2,0,11-MOD(SUMPRODUCT(--MID(P354,{1,2,3,4,5,6,7,8,9,10,11,12,13},1),{6,5,4,3,2,9,8,7,6,5,4,3,2}),11))),"OK","ERRO: dígito verificador")))))</f>
      </c>
      <c r="R354" s="6">
        <f>IF(P354="","",IF(COUNTIF($P$2:$P$1001,P354)&gt;1,"DUPLICADO","OK"))</f>
      </c>
      <c r="S354" s="6">
        <f>IF(AND(J354="",K354=""),"vazio",IF(AND(OR(J354="",LEN(SUBSTITUTE(SUBSTITUTE(SUBSTITUTE(SUBSTITUTE(SUBSTITUTE(SUBSTITUTE(SUBSTITUTE(TRIM(J354),".",""),"/",""),"-","")," ",""),"(",""),")",""),"+",""))=10,LEN(SUBSTITUTE(SUBSTITUTE(SUBSTITUTE(SUBSTITUTE(SUBSTITUTE(SUBSTITUTE(SUBSTITUTE(TRIM(J354),".",""),"/",""),"-","")," ",""),"(",""),")",""),"+",""))=11),OR(K354="",LEN(SUBSTITUTE(SUBSTITUTE(SUBSTITUTE(SUBSTITUTE(SUBSTITUTE(SUBSTITUTE(SUBSTITUTE(TRIM(K354),".",""),"/",""),"-","")," ",""),"(",""),")",""),"+",""))=10,LEN(SUBSTITUTE(SUBSTITUTE(SUBSTITUTE(SUBSTITUTE(SUBSTITUTE(SUBSTITUTE(SUBSTITUTE(TRIM(K354),".",""),"/",""),"-","")," ",""),"(",""),")",""),"+",""))=11)),"OK","ERRO: use DDD + número (10 ou 11 dígitos)"))</f>
      </c>
      <c r="T354" s="6">
        <f>IF(L354="","vazio",IF(AND(ISNUMBER(FIND("@",L354)),ISNUMBER(FIND(".",MID(L354,FIND("@",L354),99))),NOT(ISNUMBER(FIND(" ",TRIM(L354)))),NOT(ISNUMBER(FIND(";",L354))),NOT(ISNUMBER(FIND(",",L354)))),"OK","ERRO: um e-mail válido por linha"))</f>
      </c>
      <c r="U354" s="6">
        <f>IF(COUNTA(A354:O354)=0,"",IF(AND(B354&lt;&gt;"",C354&lt;&gt;"",D354&lt;&gt;"",E354&lt;&gt;"",H354&lt;&gt;"",OR(J354&lt;&gt;"",L354&lt;&gt;"")),"OK","ERRO: faltam "&amp;IF(B354="","Proprietário; ","")&amp;IF(C354="","Origem; ","")&amp;IF(D354="","CNPJ; ","")&amp;IF(E354="","Razão Social; ","")&amp;IF(H354="","Sobrenome; ","")&amp;IF(AND(J354="",L354=""),"telefone ou e-mail; ","")))</f>
      </c>
      <c r="V354" s="6">
        <f>IF(COUNTA(A354:O354)=0,"",IF(AND(Q354="OK",R354="OK",LEFT(S354,4)&lt;&gt;"ERRO",LEFT(T354,4)&lt;&gt;"ERRO",U354="OK"),"OK","REVISAR"))</f>
      </c>
    </row>
    <row r="355">
      <c r="A355" s="4"/>
      <c r="B355" s="5"/>
      <c r="C355" s="5"/>
      <c r="D355" s="5"/>
      <c r="E355" s="5"/>
      <c r="F355" s="4"/>
      <c r="G355" s="4"/>
      <c r="H355" s="5"/>
      <c r="I355" s="4"/>
      <c r="J355" s="4"/>
      <c r="K355" s="4"/>
      <c r="L355" s="4"/>
      <c r="M355" s="4"/>
      <c r="N355" s="4"/>
      <c r="O355" s="4"/>
      <c r="P355" s="6">
        <f>IF(D355="","",SUBSTITUTE(SUBSTITUTE(SUBSTITUTE(SUBSTITUTE(SUBSTITUTE(SUBSTITUTE(SUBSTITUTE(TRIM(D355),".",""),"/",""),"-","")," ",""),"(",""),")",""),"+",""))</f>
      </c>
      <c r="Q355" s="6">
        <f>IF(P355="","",IF(LEN(P355)&lt;&gt;14,"ERRO: "&amp;LEN(P355)&amp;" dígitos",IF(NOT(ISNUMBER(VALUE(P355))),"ERRO: não numérico",IF(LEN(SUBSTITUTE(P355,LEFT(P355,1),""))=0,"ERRO: dígitos repetidos",IF(AND(VALUE(MID(P355,13,1))=IF(MOD(SUMPRODUCT(--MID(P355,{1,2,3,4,5,6,7,8,9,10,11,12},1),{5,4,3,2,9,8,7,6,5,4,3,2}),11)&lt;2,0,11-MOD(SUMPRODUCT(--MID(P355,{1,2,3,4,5,6,7,8,9,10,11,12},1),{5,4,3,2,9,8,7,6,5,4,3,2}),11)),VALUE(MID(P355,14,1))=IF(MOD(SUMPRODUCT(--MID(P355,{1,2,3,4,5,6,7,8,9,10,11,12,13},1),{6,5,4,3,2,9,8,7,6,5,4,3,2}),11)&lt;2,0,11-MOD(SUMPRODUCT(--MID(P355,{1,2,3,4,5,6,7,8,9,10,11,12,13},1),{6,5,4,3,2,9,8,7,6,5,4,3,2}),11))),"OK","ERRO: dígito verificador")))))</f>
      </c>
      <c r="R355" s="6">
        <f>IF(P355="","",IF(COUNTIF($P$2:$P$1001,P355)&gt;1,"DUPLICADO","OK"))</f>
      </c>
      <c r="S355" s="6">
        <f>IF(AND(J355="",K355=""),"vazio",IF(AND(OR(J355="",LEN(SUBSTITUTE(SUBSTITUTE(SUBSTITUTE(SUBSTITUTE(SUBSTITUTE(SUBSTITUTE(SUBSTITUTE(TRIM(J355),".",""),"/",""),"-","")," ",""),"(",""),")",""),"+",""))=10,LEN(SUBSTITUTE(SUBSTITUTE(SUBSTITUTE(SUBSTITUTE(SUBSTITUTE(SUBSTITUTE(SUBSTITUTE(TRIM(J355),".",""),"/",""),"-","")," ",""),"(",""),")",""),"+",""))=11),OR(K355="",LEN(SUBSTITUTE(SUBSTITUTE(SUBSTITUTE(SUBSTITUTE(SUBSTITUTE(SUBSTITUTE(SUBSTITUTE(TRIM(K355),".",""),"/",""),"-","")," ",""),"(",""),")",""),"+",""))=10,LEN(SUBSTITUTE(SUBSTITUTE(SUBSTITUTE(SUBSTITUTE(SUBSTITUTE(SUBSTITUTE(SUBSTITUTE(TRIM(K355),".",""),"/",""),"-","")," ",""),"(",""),")",""),"+",""))=11)),"OK","ERRO: use DDD + número (10 ou 11 dígitos)"))</f>
      </c>
      <c r="T355" s="6">
        <f>IF(L355="","vazio",IF(AND(ISNUMBER(FIND("@",L355)),ISNUMBER(FIND(".",MID(L355,FIND("@",L355),99))),NOT(ISNUMBER(FIND(" ",TRIM(L355)))),NOT(ISNUMBER(FIND(";",L355))),NOT(ISNUMBER(FIND(",",L355)))),"OK","ERRO: um e-mail válido por linha"))</f>
      </c>
      <c r="U355" s="6">
        <f>IF(COUNTA(A355:O355)=0,"",IF(AND(B355&lt;&gt;"",C355&lt;&gt;"",D355&lt;&gt;"",E355&lt;&gt;"",H355&lt;&gt;"",OR(J355&lt;&gt;"",L355&lt;&gt;"")),"OK","ERRO: faltam "&amp;IF(B355="","Proprietário; ","")&amp;IF(C355="","Origem; ","")&amp;IF(D355="","CNPJ; ","")&amp;IF(E355="","Razão Social; ","")&amp;IF(H355="","Sobrenome; ","")&amp;IF(AND(J355="",L355=""),"telefone ou e-mail; ","")))</f>
      </c>
      <c r="V355" s="6">
        <f>IF(COUNTA(A355:O355)=0,"",IF(AND(Q355="OK",R355="OK",LEFT(S355,4)&lt;&gt;"ERRO",LEFT(T355,4)&lt;&gt;"ERRO",U355="OK"),"OK","REVISAR"))</f>
      </c>
    </row>
    <row r="356">
      <c r="A356" s="4"/>
      <c r="B356" s="5"/>
      <c r="C356" s="5"/>
      <c r="D356" s="5"/>
      <c r="E356" s="5"/>
      <c r="F356" s="4"/>
      <c r="G356" s="4"/>
      <c r="H356" s="5"/>
      <c r="I356" s="4"/>
      <c r="J356" s="4"/>
      <c r="K356" s="4"/>
      <c r="L356" s="4"/>
      <c r="M356" s="4"/>
      <c r="N356" s="4"/>
      <c r="O356" s="4"/>
      <c r="P356" s="6">
        <f>IF(D356="","",SUBSTITUTE(SUBSTITUTE(SUBSTITUTE(SUBSTITUTE(SUBSTITUTE(SUBSTITUTE(SUBSTITUTE(TRIM(D356),".",""),"/",""),"-","")," ",""),"(",""),")",""),"+",""))</f>
      </c>
      <c r="Q356" s="6">
        <f>IF(P356="","",IF(LEN(P356)&lt;&gt;14,"ERRO: "&amp;LEN(P356)&amp;" dígitos",IF(NOT(ISNUMBER(VALUE(P356))),"ERRO: não numérico",IF(LEN(SUBSTITUTE(P356,LEFT(P356,1),""))=0,"ERRO: dígitos repetidos",IF(AND(VALUE(MID(P356,13,1))=IF(MOD(SUMPRODUCT(--MID(P356,{1,2,3,4,5,6,7,8,9,10,11,12},1),{5,4,3,2,9,8,7,6,5,4,3,2}),11)&lt;2,0,11-MOD(SUMPRODUCT(--MID(P356,{1,2,3,4,5,6,7,8,9,10,11,12},1),{5,4,3,2,9,8,7,6,5,4,3,2}),11)),VALUE(MID(P356,14,1))=IF(MOD(SUMPRODUCT(--MID(P356,{1,2,3,4,5,6,7,8,9,10,11,12,13},1),{6,5,4,3,2,9,8,7,6,5,4,3,2}),11)&lt;2,0,11-MOD(SUMPRODUCT(--MID(P356,{1,2,3,4,5,6,7,8,9,10,11,12,13},1),{6,5,4,3,2,9,8,7,6,5,4,3,2}),11))),"OK","ERRO: dígito verificador")))))</f>
      </c>
      <c r="R356" s="6">
        <f>IF(P356="","",IF(COUNTIF($P$2:$P$1001,P356)&gt;1,"DUPLICADO","OK"))</f>
      </c>
      <c r="S356" s="6">
        <f>IF(AND(J356="",K356=""),"vazio",IF(AND(OR(J356="",LEN(SUBSTITUTE(SUBSTITUTE(SUBSTITUTE(SUBSTITUTE(SUBSTITUTE(SUBSTITUTE(SUBSTITUTE(TRIM(J356),".",""),"/",""),"-","")," ",""),"(",""),")",""),"+",""))=10,LEN(SUBSTITUTE(SUBSTITUTE(SUBSTITUTE(SUBSTITUTE(SUBSTITUTE(SUBSTITUTE(SUBSTITUTE(TRIM(J356),".",""),"/",""),"-","")," ",""),"(",""),")",""),"+",""))=11),OR(K356="",LEN(SUBSTITUTE(SUBSTITUTE(SUBSTITUTE(SUBSTITUTE(SUBSTITUTE(SUBSTITUTE(SUBSTITUTE(TRIM(K356),".",""),"/",""),"-","")," ",""),"(",""),")",""),"+",""))=10,LEN(SUBSTITUTE(SUBSTITUTE(SUBSTITUTE(SUBSTITUTE(SUBSTITUTE(SUBSTITUTE(SUBSTITUTE(TRIM(K356),".",""),"/",""),"-","")," ",""),"(",""),")",""),"+",""))=11)),"OK","ERRO: use DDD + número (10 ou 11 dígitos)"))</f>
      </c>
      <c r="T356" s="6">
        <f>IF(L356="","vazio",IF(AND(ISNUMBER(FIND("@",L356)),ISNUMBER(FIND(".",MID(L356,FIND("@",L356),99))),NOT(ISNUMBER(FIND(" ",TRIM(L356)))),NOT(ISNUMBER(FIND(";",L356))),NOT(ISNUMBER(FIND(",",L356)))),"OK","ERRO: um e-mail válido por linha"))</f>
      </c>
      <c r="U356" s="6">
        <f>IF(COUNTA(A356:O356)=0,"",IF(AND(B356&lt;&gt;"",C356&lt;&gt;"",D356&lt;&gt;"",E356&lt;&gt;"",H356&lt;&gt;"",OR(J356&lt;&gt;"",L356&lt;&gt;"")),"OK","ERRO: faltam "&amp;IF(B356="","Proprietário; ","")&amp;IF(C356="","Origem; ","")&amp;IF(D356="","CNPJ; ","")&amp;IF(E356="","Razão Social; ","")&amp;IF(H356="","Sobrenome; ","")&amp;IF(AND(J356="",L356=""),"telefone ou e-mail; ","")))</f>
      </c>
      <c r="V356" s="6">
        <f>IF(COUNTA(A356:O356)=0,"",IF(AND(Q356="OK",R356="OK",LEFT(S356,4)&lt;&gt;"ERRO",LEFT(T356,4)&lt;&gt;"ERRO",U356="OK"),"OK","REVISAR"))</f>
      </c>
    </row>
    <row r="357">
      <c r="A357" s="4"/>
      <c r="B357" s="5"/>
      <c r="C357" s="5"/>
      <c r="D357" s="5"/>
      <c r="E357" s="5"/>
      <c r="F357" s="4"/>
      <c r="G357" s="4"/>
      <c r="H357" s="5"/>
      <c r="I357" s="4"/>
      <c r="J357" s="4"/>
      <c r="K357" s="4"/>
      <c r="L357" s="4"/>
      <c r="M357" s="4"/>
      <c r="N357" s="4"/>
      <c r="O357" s="4"/>
      <c r="P357" s="6">
        <f>IF(D357="","",SUBSTITUTE(SUBSTITUTE(SUBSTITUTE(SUBSTITUTE(SUBSTITUTE(SUBSTITUTE(SUBSTITUTE(TRIM(D357),".",""),"/",""),"-","")," ",""),"(",""),")",""),"+",""))</f>
      </c>
      <c r="Q357" s="6">
        <f>IF(P357="","",IF(LEN(P357)&lt;&gt;14,"ERRO: "&amp;LEN(P357)&amp;" dígitos",IF(NOT(ISNUMBER(VALUE(P357))),"ERRO: não numérico",IF(LEN(SUBSTITUTE(P357,LEFT(P357,1),""))=0,"ERRO: dígitos repetidos",IF(AND(VALUE(MID(P357,13,1))=IF(MOD(SUMPRODUCT(--MID(P357,{1,2,3,4,5,6,7,8,9,10,11,12},1),{5,4,3,2,9,8,7,6,5,4,3,2}),11)&lt;2,0,11-MOD(SUMPRODUCT(--MID(P357,{1,2,3,4,5,6,7,8,9,10,11,12},1),{5,4,3,2,9,8,7,6,5,4,3,2}),11)),VALUE(MID(P357,14,1))=IF(MOD(SUMPRODUCT(--MID(P357,{1,2,3,4,5,6,7,8,9,10,11,12,13},1),{6,5,4,3,2,9,8,7,6,5,4,3,2}),11)&lt;2,0,11-MOD(SUMPRODUCT(--MID(P357,{1,2,3,4,5,6,7,8,9,10,11,12,13},1),{6,5,4,3,2,9,8,7,6,5,4,3,2}),11))),"OK","ERRO: dígito verificador")))))</f>
      </c>
      <c r="R357" s="6">
        <f>IF(P357="","",IF(COUNTIF($P$2:$P$1001,P357)&gt;1,"DUPLICADO","OK"))</f>
      </c>
      <c r="S357" s="6">
        <f>IF(AND(J357="",K357=""),"vazio",IF(AND(OR(J357="",LEN(SUBSTITUTE(SUBSTITUTE(SUBSTITUTE(SUBSTITUTE(SUBSTITUTE(SUBSTITUTE(SUBSTITUTE(TRIM(J357),".",""),"/",""),"-","")," ",""),"(",""),")",""),"+",""))=10,LEN(SUBSTITUTE(SUBSTITUTE(SUBSTITUTE(SUBSTITUTE(SUBSTITUTE(SUBSTITUTE(SUBSTITUTE(TRIM(J357),".",""),"/",""),"-","")," ",""),"(",""),")",""),"+",""))=11),OR(K357="",LEN(SUBSTITUTE(SUBSTITUTE(SUBSTITUTE(SUBSTITUTE(SUBSTITUTE(SUBSTITUTE(SUBSTITUTE(TRIM(K357),".",""),"/",""),"-","")," ",""),"(",""),")",""),"+",""))=10,LEN(SUBSTITUTE(SUBSTITUTE(SUBSTITUTE(SUBSTITUTE(SUBSTITUTE(SUBSTITUTE(SUBSTITUTE(TRIM(K357),".",""),"/",""),"-","")," ",""),"(",""),")",""),"+",""))=11)),"OK","ERRO: use DDD + número (10 ou 11 dígitos)"))</f>
      </c>
      <c r="T357" s="6">
        <f>IF(L357="","vazio",IF(AND(ISNUMBER(FIND("@",L357)),ISNUMBER(FIND(".",MID(L357,FIND("@",L357),99))),NOT(ISNUMBER(FIND(" ",TRIM(L357)))),NOT(ISNUMBER(FIND(";",L357))),NOT(ISNUMBER(FIND(",",L357)))),"OK","ERRO: um e-mail válido por linha"))</f>
      </c>
      <c r="U357" s="6">
        <f>IF(COUNTA(A357:O357)=0,"",IF(AND(B357&lt;&gt;"",C357&lt;&gt;"",D357&lt;&gt;"",E357&lt;&gt;"",H357&lt;&gt;"",OR(J357&lt;&gt;"",L357&lt;&gt;"")),"OK","ERRO: faltam "&amp;IF(B357="","Proprietário; ","")&amp;IF(C357="","Origem; ","")&amp;IF(D357="","CNPJ; ","")&amp;IF(E357="","Razão Social; ","")&amp;IF(H357="","Sobrenome; ","")&amp;IF(AND(J357="",L357=""),"telefone ou e-mail; ","")))</f>
      </c>
      <c r="V357" s="6">
        <f>IF(COUNTA(A357:O357)=0,"",IF(AND(Q357="OK",R357="OK",LEFT(S357,4)&lt;&gt;"ERRO",LEFT(T357,4)&lt;&gt;"ERRO",U357="OK"),"OK","REVISAR"))</f>
      </c>
    </row>
    <row r="358">
      <c r="A358" s="4"/>
      <c r="B358" s="5"/>
      <c r="C358" s="5"/>
      <c r="D358" s="5"/>
      <c r="E358" s="5"/>
      <c r="F358" s="4"/>
      <c r="G358" s="4"/>
      <c r="H358" s="5"/>
      <c r="I358" s="4"/>
      <c r="J358" s="4"/>
      <c r="K358" s="4"/>
      <c r="L358" s="4"/>
      <c r="M358" s="4"/>
      <c r="N358" s="4"/>
      <c r="O358" s="4"/>
      <c r="P358" s="6">
        <f>IF(D358="","",SUBSTITUTE(SUBSTITUTE(SUBSTITUTE(SUBSTITUTE(SUBSTITUTE(SUBSTITUTE(SUBSTITUTE(TRIM(D358),".",""),"/",""),"-","")," ",""),"(",""),")",""),"+",""))</f>
      </c>
      <c r="Q358" s="6">
        <f>IF(P358="","",IF(LEN(P358)&lt;&gt;14,"ERRO: "&amp;LEN(P358)&amp;" dígitos",IF(NOT(ISNUMBER(VALUE(P358))),"ERRO: não numérico",IF(LEN(SUBSTITUTE(P358,LEFT(P358,1),""))=0,"ERRO: dígitos repetidos",IF(AND(VALUE(MID(P358,13,1))=IF(MOD(SUMPRODUCT(--MID(P358,{1,2,3,4,5,6,7,8,9,10,11,12},1),{5,4,3,2,9,8,7,6,5,4,3,2}),11)&lt;2,0,11-MOD(SUMPRODUCT(--MID(P358,{1,2,3,4,5,6,7,8,9,10,11,12},1),{5,4,3,2,9,8,7,6,5,4,3,2}),11)),VALUE(MID(P358,14,1))=IF(MOD(SUMPRODUCT(--MID(P358,{1,2,3,4,5,6,7,8,9,10,11,12,13},1),{6,5,4,3,2,9,8,7,6,5,4,3,2}),11)&lt;2,0,11-MOD(SUMPRODUCT(--MID(P358,{1,2,3,4,5,6,7,8,9,10,11,12,13},1),{6,5,4,3,2,9,8,7,6,5,4,3,2}),11))),"OK","ERRO: dígito verificador")))))</f>
      </c>
      <c r="R358" s="6">
        <f>IF(P358="","",IF(COUNTIF($P$2:$P$1001,P358)&gt;1,"DUPLICADO","OK"))</f>
      </c>
      <c r="S358" s="6">
        <f>IF(AND(J358="",K358=""),"vazio",IF(AND(OR(J358="",LEN(SUBSTITUTE(SUBSTITUTE(SUBSTITUTE(SUBSTITUTE(SUBSTITUTE(SUBSTITUTE(SUBSTITUTE(TRIM(J358),".",""),"/",""),"-","")," ",""),"(",""),")",""),"+",""))=10,LEN(SUBSTITUTE(SUBSTITUTE(SUBSTITUTE(SUBSTITUTE(SUBSTITUTE(SUBSTITUTE(SUBSTITUTE(TRIM(J358),".",""),"/",""),"-","")," ",""),"(",""),")",""),"+",""))=11),OR(K358="",LEN(SUBSTITUTE(SUBSTITUTE(SUBSTITUTE(SUBSTITUTE(SUBSTITUTE(SUBSTITUTE(SUBSTITUTE(TRIM(K358),".",""),"/",""),"-","")," ",""),"(",""),")",""),"+",""))=10,LEN(SUBSTITUTE(SUBSTITUTE(SUBSTITUTE(SUBSTITUTE(SUBSTITUTE(SUBSTITUTE(SUBSTITUTE(TRIM(K358),".",""),"/",""),"-","")," ",""),"(",""),")",""),"+",""))=11)),"OK","ERRO: use DDD + número (10 ou 11 dígitos)"))</f>
      </c>
      <c r="T358" s="6">
        <f>IF(L358="","vazio",IF(AND(ISNUMBER(FIND("@",L358)),ISNUMBER(FIND(".",MID(L358,FIND("@",L358),99))),NOT(ISNUMBER(FIND(" ",TRIM(L358)))),NOT(ISNUMBER(FIND(";",L358))),NOT(ISNUMBER(FIND(",",L358)))),"OK","ERRO: um e-mail válido por linha"))</f>
      </c>
      <c r="U358" s="6">
        <f>IF(COUNTA(A358:O358)=0,"",IF(AND(B358&lt;&gt;"",C358&lt;&gt;"",D358&lt;&gt;"",E358&lt;&gt;"",H358&lt;&gt;"",OR(J358&lt;&gt;"",L358&lt;&gt;"")),"OK","ERRO: faltam "&amp;IF(B358="","Proprietário; ","")&amp;IF(C358="","Origem; ","")&amp;IF(D358="","CNPJ; ","")&amp;IF(E358="","Razão Social; ","")&amp;IF(H358="","Sobrenome; ","")&amp;IF(AND(J358="",L358=""),"telefone ou e-mail; ","")))</f>
      </c>
      <c r="V358" s="6">
        <f>IF(COUNTA(A358:O358)=0,"",IF(AND(Q358="OK",R358="OK",LEFT(S358,4)&lt;&gt;"ERRO",LEFT(T358,4)&lt;&gt;"ERRO",U358="OK"),"OK","REVISAR"))</f>
      </c>
    </row>
    <row r="359">
      <c r="A359" s="4"/>
      <c r="B359" s="5"/>
      <c r="C359" s="5"/>
      <c r="D359" s="5"/>
      <c r="E359" s="5"/>
      <c r="F359" s="4"/>
      <c r="G359" s="4"/>
      <c r="H359" s="5"/>
      <c r="I359" s="4"/>
      <c r="J359" s="4"/>
      <c r="K359" s="4"/>
      <c r="L359" s="4"/>
      <c r="M359" s="4"/>
      <c r="N359" s="4"/>
      <c r="O359" s="4"/>
      <c r="P359" s="6">
        <f>IF(D359="","",SUBSTITUTE(SUBSTITUTE(SUBSTITUTE(SUBSTITUTE(SUBSTITUTE(SUBSTITUTE(SUBSTITUTE(TRIM(D359),".",""),"/",""),"-","")," ",""),"(",""),")",""),"+",""))</f>
      </c>
      <c r="Q359" s="6">
        <f>IF(P359="","",IF(LEN(P359)&lt;&gt;14,"ERRO: "&amp;LEN(P359)&amp;" dígitos",IF(NOT(ISNUMBER(VALUE(P359))),"ERRO: não numérico",IF(LEN(SUBSTITUTE(P359,LEFT(P359,1),""))=0,"ERRO: dígitos repetidos",IF(AND(VALUE(MID(P359,13,1))=IF(MOD(SUMPRODUCT(--MID(P359,{1,2,3,4,5,6,7,8,9,10,11,12},1),{5,4,3,2,9,8,7,6,5,4,3,2}),11)&lt;2,0,11-MOD(SUMPRODUCT(--MID(P359,{1,2,3,4,5,6,7,8,9,10,11,12},1),{5,4,3,2,9,8,7,6,5,4,3,2}),11)),VALUE(MID(P359,14,1))=IF(MOD(SUMPRODUCT(--MID(P359,{1,2,3,4,5,6,7,8,9,10,11,12,13},1),{6,5,4,3,2,9,8,7,6,5,4,3,2}),11)&lt;2,0,11-MOD(SUMPRODUCT(--MID(P359,{1,2,3,4,5,6,7,8,9,10,11,12,13},1),{6,5,4,3,2,9,8,7,6,5,4,3,2}),11))),"OK","ERRO: dígito verificador")))))</f>
      </c>
      <c r="R359" s="6">
        <f>IF(P359="","",IF(COUNTIF($P$2:$P$1001,P359)&gt;1,"DUPLICADO","OK"))</f>
      </c>
      <c r="S359" s="6">
        <f>IF(AND(J359="",K359=""),"vazio",IF(AND(OR(J359="",LEN(SUBSTITUTE(SUBSTITUTE(SUBSTITUTE(SUBSTITUTE(SUBSTITUTE(SUBSTITUTE(SUBSTITUTE(TRIM(J359),".",""),"/",""),"-","")," ",""),"(",""),")",""),"+",""))=10,LEN(SUBSTITUTE(SUBSTITUTE(SUBSTITUTE(SUBSTITUTE(SUBSTITUTE(SUBSTITUTE(SUBSTITUTE(TRIM(J359),".",""),"/",""),"-","")," ",""),"(",""),")",""),"+",""))=11),OR(K359="",LEN(SUBSTITUTE(SUBSTITUTE(SUBSTITUTE(SUBSTITUTE(SUBSTITUTE(SUBSTITUTE(SUBSTITUTE(TRIM(K359),".",""),"/",""),"-","")," ",""),"(",""),")",""),"+",""))=10,LEN(SUBSTITUTE(SUBSTITUTE(SUBSTITUTE(SUBSTITUTE(SUBSTITUTE(SUBSTITUTE(SUBSTITUTE(TRIM(K359),".",""),"/",""),"-","")," ",""),"(",""),")",""),"+",""))=11)),"OK","ERRO: use DDD + número (10 ou 11 dígitos)"))</f>
      </c>
      <c r="T359" s="6">
        <f>IF(L359="","vazio",IF(AND(ISNUMBER(FIND("@",L359)),ISNUMBER(FIND(".",MID(L359,FIND("@",L359),99))),NOT(ISNUMBER(FIND(" ",TRIM(L359)))),NOT(ISNUMBER(FIND(";",L359))),NOT(ISNUMBER(FIND(",",L359)))),"OK","ERRO: um e-mail válido por linha"))</f>
      </c>
      <c r="U359" s="6">
        <f>IF(COUNTA(A359:O359)=0,"",IF(AND(B359&lt;&gt;"",C359&lt;&gt;"",D359&lt;&gt;"",E359&lt;&gt;"",H359&lt;&gt;"",OR(J359&lt;&gt;"",L359&lt;&gt;"")),"OK","ERRO: faltam "&amp;IF(B359="","Proprietário; ","")&amp;IF(C359="","Origem; ","")&amp;IF(D359="","CNPJ; ","")&amp;IF(E359="","Razão Social; ","")&amp;IF(H359="","Sobrenome; ","")&amp;IF(AND(J359="",L359=""),"telefone ou e-mail; ","")))</f>
      </c>
      <c r="V359" s="6">
        <f>IF(COUNTA(A359:O359)=0,"",IF(AND(Q359="OK",R359="OK",LEFT(S359,4)&lt;&gt;"ERRO",LEFT(T359,4)&lt;&gt;"ERRO",U359="OK"),"OK","REVISAR"))</f>
      </c>
    </row>
    <row r="360">
      <c r="A360" s="4"/>
      <c r="B360" s="5"/>
      <c r="C360" s="5"/>
      <c r="D360" s="5"/>
      <c r="E360" s="5"/>
      <c r="F360" s="4"/>
      <c r="G360" s="4"/>
      <c r="H360" s="5"/>
      <c r="I360" s="4"/>
      <c r="J360" s="4"/>
      <c r="K360" s="4"/>
      <c r="L360" s="4"/>
      <c r="M360" s="4"/>
      <c r="N360" s="4"/>
      <c r="O360" s="4"/>
      <c r="P360" s="6">
        <f>IF(D360="","",SUBSTITUTE(SUBSTITUTE(SUBSTITUTE(SUBSTITUTE(SUBSTITUTE(SUBSTITUTE(SUBSTITUTE(TRIM(D360),".",""),"/",""),"-","")," ",""),"(",""),")",""),"+",""))</f>
      </c>
      <c r="Q360" s="6">
        <f>IF(P360="","",IF(LEN(P360)&lt;&gt;14,"ERRO: "&amp;LEN(P360)&amp;" dígitos",IF(NOT(ISNUMBER(VALUE(P360))),"ERRO: não numérico",IF(LEN(SUBSTITUTE(P360,LEFT(P360,1),""))=0,"ERRO: dígitos repetidos",IF(AND(VALUE(MID(P360,13,1))=IF(MOD(SUMPRODUCT(--MID(P360,{1,2,3,4,5,6,7,8,9,10,11,12},1),{5,4,3,2,9,8,7,6,5,4,3,2}),11)&lt;2,0,11-MOD(SUMPRODUCT(--MID(P360,{1,2,3,4,5,6,7,8,9,10,11,12},1),{5,4,3,2,9,8,7,6,5,4,3,2}),11)),VALUE(MID(P360,14,1))=IF(MOD(SUMPRODUCT(--MID(P360,{1,2,3,4,5,6,7,8,9,10,11,12,13},1),{6,5,4,3,2,9,8,7,6,5,4,3,2}),11)&lt;2,0,11-MOD(SUMPRODUCT(--MID(P360,{1,2,3,4,5,6,7,8,9,10,11,12,13},1),{6,5,4,3,2,9,8,7,6,5,4,3,2}),11))),"OK","ERRO: dígito verificador")))))</f>
      </c>
      <c r="R360" s="6">
        <f>IF(P360="","",IF(COUNTIF($P$2:$P$1001,P360)&gt;1,"DUPLICADO","OK"))</f>
      </c>
      <c r="S360" s="6">
        <f>IF(AND(J360="",K360=""),"vazio",IF(AND(OR(J360="",LEN(SUBSTITUTE(SUBSTITUTE(SUBSTITUTE(SUBSTITUTE(SUBSTITUTE(SUBSTITUTE(SUBSTITUTE(TRIM(J360),".",""),"/",""),"-","")," ",""),"(",""),")",""),"+",""))=10,LEN(SUBSTITUTE(SUBSTITUTE(SUBSTITUTE(SUBSTITUTE(SUBSTITUTE(SUBSTITUTE(SUBSTITUTE(TRIM(J360),".",""),"/",""),"-","")," ",""),"(",""),")",""),"+",""))=11),OR(K360="",LEN(SUBSTITUTE(SUBSTITUTE(SUBSTITUTE(SUBSTITUTE(SUBSTITUTE(SUBSTITUTE(SUBSTITUTE(TRIM(K360),".",""),"/",""),"-","")," ",""),"(",""),")",""),"+",""))=10,LEN(SUBSTITUTE(SUBSTITUTE(SUBSTITUTE(SUBSTITUTE(SUBSTITUTE(SUBSTITUTE(SUBSTITUTE(TRIM(K360),".",""),"/",""),"-","")," ",""),"(",""),")",""),"+",""))=11)),"OK","ERRO: use DDD + número (10 ou 11 dígitos)"))</f>
      </c>
      <c r="T360" s="6">
        <f>IF(L360="","vazio",IF(AND(ISNUMBER(FIND("@",L360)),ISNUMBER(FIND(".",MID(L360,FIND("@",L360),99))),NOT(ISNUMBER(FIND(" ",TRIM(L360)))),NOT(ISNUMBER(FIND(";",L360))),NOT(ISNUMBER(FIND(",",L360)))),"OK","ERRO: um e-mail válido por linha"))</f>
      </c>
      <c r="U360" s="6">
        <f>IF(COUNTA(A360:O360)=0,"",IF(AND(B360&lt;&gt;"",C360&lt;&gt;"",D360&lt;&gt;"",E360&lt;&gt;"",H360&lt;&gt;"",OR(J360&lt;&gt;"",L360&lt;&gt;"")),"OK","ERRO: faltam "&amp;IF(B360="","Proprietário; ","")&amp;IF(C360="","Origem; ","")&amp;IF(D360="","CNPJ; ","")&amp;IF(E360="","Razão Social; ","")&amp;IF(H360="","Sobrenome; ","")&amp;IF(AND(J360="",L360=""),"telefone ou e-mail; ","")))</f>
      </c>
      <c r="V360" s="6">
        <f>IF(COUNTA(A360:O360)=0,"",IF(AND(Q360="OK",R360="OK",LEFT(S360,4)&lt;&gt;"ERRO",LEFT(T360,4)&lt;&gt;"ERRO",U360="OK"),"OK","REVISAR"))</f>
      </c>
    </row>
    <row r="361">
      <c r="A361" s="4"/>
      <c r="B361" s="5"/>
      <c r="C361" s="5"/>
      <c r="D361" s="5"/>
      <c r="E361" s="5"/>
      <c r="F361" s="4"/>
      <c r="G361" s="4"/>
      <c r="H361" s="5"/>
      <c r="I361" s="4"/>
      <c r="J361" s="4"/>
      <c r="K361" s="4"/>
      <c r="L361" s="4"/>
      <c r="M361" s="4"/>
      <c r="N361" s="4"/>
      <c r="O361" s="4"/>
      <c r="P361" s="6">
        <f>IF(D361="","",SUBSTITUTE(SUBSTITUTE(SUBSTITUTE(SUBSTITUTE(SUBSTITUTE(SUBSTITUTE(SUBSTITUTE(TRIM(D361),".",""),"/",""),"-","")," ",""),"(",""),")",""),"+",""))</f>
      </c>
      <c r="Q361" s="6">
        <f>IF(P361="","",IF(LEN(P361)&lt;&gt;14,"ERRO: "&amp;LEN(P361)&amp;" dígitos",IF(NOT(ISNUMBER(VALUE(P361))),"ERRO: não numérico",IF(LEN(SUBSTITUTE(P361,LEFT(P361,1),""))=0,"ERRO: dígitos repetidos",IF(AND(VALUE(MID(P361,13,1))=IF(MOD(SUMPRODUCT(--MID(P361,{1,2,3,4,5,6,7,8,9,10,11,12},1),{5,4,3,2,9,8,7,6,5,4,3,2}),11)&lt;2,0,11-MOD(SUMPRODUCT(--MID(P361,{1,2,3,4,5,6,7,8,9,10,11,12},1),{5,4,3,2,9,8,7,6,5,4,3,2}),11)),VALUE(MID(P361,14,1))=IF(MOD(SUMPRODUCT(--MID(P361,{1,2,3,4,5,6,7,8,9,10,11,12,13},1),{6,5,4,3,2,9,8,7,6,5,4,3,2}),11)&lt;2,0,11-MOD(SUMPRODUCT(--MID(P361,{1,2,3,4,5,6,7,8,9,10,11,12,13},1),{6,5,4,3,2,9,8,7,6,5,4,3,2}),11))),"OK","ERRO: dígito verificador")))))</f>
      </c>
      <c r="R361" s="6">
        <f>IF(P361="","",IF(COUNTIF($P$2:$P$1001,P361)&gt;1,"DUPLICADO","OK"))</f>
      </c>
      <c r="S361" s="6">
        <f>IF(AND(J361="",K361=""),"vazio",IF(AND(OR(J361="",LEN(SUBSTITUTE(SUBSTITUTE(SUBSTITUTE(SUBSTITUTE(SUBSTITUTE(SUBSTITUTE(SUBSTITUTE(TRIM(J361),".",""),"/",""),"-","")," ",""),"(",""),")",""),"+",""))=10,LEN(SUBSTITUTE(SUBSTITUTE(SUBSTITUTE(SUBSTITUTE(SUBSTITUTE(SUBSTITUTE(SUBSTITUTE(TRIM(J361),".",""),"/",""),"-","")," ",""),"(",""),")",""),"+",""))=11),OR(K361="",LEN(SUBSTITUTE(SUBSTITUTE(SUBSTITUTE(SUBSTITUTE(SUBSTITUTE(SUBSTITUTE(SUBSTITUTE(TRIM(K361),".",""),"/",""),"-","")," ",""),"(",""),")",""),"+",""))=10,LEN(SUBSTITUTE(SUBSTITUTE(SUBSTITUTE(SUBSTITUTE(SUBSTITUTE(SUBSTITUTE(SUBSTITUTE(TRIM(K361),".",""),"/",""),"-","")," ",""),"(",""),")",""),"+",""))=11)),"OK","ERRO: use DDD + número (10 ou 11 dígitos)"))</f>
      </c>
      <c r="T361" s="6">
        <f>IF(L361="","vazio",IF(AND(ISNUMBER(FIND("@",L361)),ISNUMBER(FIND(".",MID(L361,FIND("@",L361),99))),NOT(ISNUMBER(FIND(" ",TRIM(L361)))),NOT(ISNUMBER(FIND(";",L361))),NOT(ISNUMBER(FIND(",",L361)))),"OK","ERRO: um e-mail válido por linha"))</f>
      </c>
      <c r="U361" s="6">
        <f>IF(COUNTA(A361:O361)=0,"",IF(AND(B361&lt;&gt;"",C361&lt;&gt;"",D361&lt;&gt;"",E361&lt;&gt;"",H361&lt;&gt;"",OR(J361&lt;&gt;"",L361&lt;&gt;"")),"OK","ERRO: faltam "&amp;IF(B361="","Proprietário; ","")&amp;IF(C361="","Origem; ","")&amp;IF(D361="","CNPJ; ","")&amp;IF(E361="","Razão Social; ","")&amp;IF(H361="","Sobrenome; ","")&amp;IF(AND(J361="",L361=""),"telefone ou e-mail; ","")))</f>
      </c>
      <c r="V361" s="6">
        <f>IF(COUNTA(A361:O361)=0,"",IF(AND(Q361="OK",R361="OK",LEFT(S361,4)&lt;&gt;"ERRO",LEFT(T361,4)&lt;&gt;"ERRO",U361="OK"),"OK","REVISAR"))</f>
      </c>
    </row>
    <row r="362">
      <c r="A362" s="4"/>
      <c r="B362" s="5"/>
      <c r="C362" s="5"/>
      <c r="D362" s="5"/>
      <c r="E362" s="5"/>
      <c r="F362" s="4"/>
      <c r="G362" s="4"/>
      <c r="H362" s="5"/>
      <c r="I362" s="4"/>
      <c r="J362" s="4"/>
      <c r="K362" s="4"/>
      <c r="L362" s="4"/>
      <c r="M362" s="4"/>
      <c r="N362" s="4"/>
      <c r="O362" s="4"/>
      <c r="P362" s="6">
        <f>IF(D362="","",SUBSTITUTE(SUBSTITUTE(SUBSTITUTE(SUBSTITUTE(SUBSTITUTE(SUBSTITUTE(SUBSTITUTE(TRIM(D362),".",""),"/",""),"-","")," ",""),"(",""),")",""),"+",""))</f>
      </c>
      <c r="Q362" s="6">
        <f>IF(P362="","",IF(LEN(P362)&lt;&gt;14,"ERRO: "&amp;LEN(P362)&amp;" dígitos",IF(NOT(ISNUMBER(VALUE(P362))),"ERRO: não numérico",IF(LEN(SUBSTITUTE(P362,LEFT(P362,1),""))=0,"ERRO: dígitos repetidos",IF(AND(VALUE(MID(P362,13,1))=IF(MOD(SUMPRODUCT(--MID(P362,{1,2,3,4,5,6,7,8,9,10,11,12},1),{5,4,3,2,9,8,7,6,5,4,3,2}),11)&lt;2,0,11-MOD(SUMPRODUCT(--MID(P362,{1,2,3,4,5,6,7,8,9,10,11,12},1),{5,4,3,2,9,8,7,6,5,4,3,2}),11)),VALUE(MID(P362,14,1))=IF(MOD(SUMPRODUCT(--MID(P362,{1,2,3,4,5,6,7,8,9,10,11,12,13},1),{6,5,4,3,2,9,8,7,6,5,4,3,2}),11)&lt;2,0,11-MOD(SUMPRODUCT(--MID(P362,{1,2,3,4,5,6,7,8,9,10,11,12,13},1),{6,5,4,3,2,9,8,7,6,5,4,3,2}),11))),"OK","ERRO: dígito verificador")))))</f>
      </c>
      <c r="R362" s="6">
        <f>IF(P362="","",IF(COUNTIF($P$2:$P$1001,P362)&gt;1,"DUPLICADO","OK"))</f>
      </c>
      <c r="S362" s="6">
        <f>IF(AND(J362="",K362=""),"vazio",IF(AND(OR(J362="",LEN(SUBSTITUTE(SUBSTITUTE(SUBSTITUTE(SUBSTITUTE(SUBSTITUTE(SUBSTITUTE(SUBSTITUTE(TRIM(J362),".",""),"/",""),"-","")," ",""),"(",""),")",""),"+",""))=10,LEN(SUBSTITUTE(SUBSTITUTE(SUBSTITUTE(SUBSTITUTE(SUBSTITUTE(SUBSTITUTE(SUBSTITUTE(TRIM(J362),".",""),"/",""),"-","")," ",""),"(",""),")",""),"+",""))=11),OR(K362="",LEN(SUBSTITUTE(SUBSTITUTE(SUBSTITUTE(SUBSTITUTE(SUBSTITUTE(SUBSTITUTE(SUBSTITUTE(TRIM(K362),".",""),"/",""),"-","")," ",""),"(",""),")",""),"+",""))=10,LEN(SUBSTITUTE(SUBSTITUTE(SUBSTITUTE(SUBSTITUTE(SUBSTITUTE(SUBSTITUTE(SUBSTITUTE(TRIM(K362),".",""),"/",""),"-","")," ",""),"(",""),")",""),"+",""))=11)),"OK","ERRO: use DDD + número (10 ou 11 dígitos)"))</f>
      </c>
      <c r="T362" s="6">
        <f>IF(L362="","vazio",IF(AND(ISNUMBER(FIND("@",L362)),ISNUMBER(FIND(".",MID(L362,FIND("@",L362),99))),NOT(ISNUMBER(FIND(" ",TRIM(L362)))),NOT(ISNUMBER(FIND(";",L362))),NOT(ISNUMBER(FIND(",",L362)))),"OK","ERRO: um e-mail válido por linha"))</f>
      </c>
      <c r="U362" s="6">
        <f>IF(COUNTA(A362:O362)=0,"",IF(AND(B362&lt;&gt;"",C362&lt;&gt;"",D362&lt;&gt;"",E362&lt;&gt;"",H362&lt;&gt;"",OR(J362&lt;&gt;"",L362&lt;&gt;"")),"OK","ERRO: faltam "&amp;IF(B362="","Proprietário; ","")&amp;IF(C362="","Origem; ","")&amp;IF(D362="","CNPJ; ","")&amp;IF(E362="","Razão Social; ","")&amp;IF(H362="","Sobrenome; ","")&amp;IF(AND(J362="",L362=""),"telefone ou e-mail; ","")))</f>
      </c>
      <c r="V362" s="6">
        <f>IF(COUNTA(A362:O362)=0,"",IF(AND(Q362="OK",R362="OK",LEFT(S362,4)&lt;&gt;"ERRO",LEFT(T362,4)&lt;&gt;"ERRO",U362="OK"),"OK","REVISAR"))</f>
      </c>
    </row>
    <row r="363">
      <c r="A363" s="4"/>
      <c r="B363" s="5"/>
      <c r="C363" s="5"/>
      <c r="D363" s="5"/>
      <c r="E363" s="5"/>
      <c r="F363" s="4"/>
      <c r="G363" s="4"/>
      <c r="H363" s="5"/>
      <c r="I363" s="4"/>
      <c r="J363" s="4"/>
      <c r="K363" s="4"/>
      <c r="L363" s="4"/>
      <c r="M363" s="4"/>
      <c r="N363" s="4"/>
      <c r="O363" s="4"/>
      <c r="P363" s="6">
        <f>IF(D363="","",SUBSTITUTE(SUBSTITUTE(SUBSTITUTE(SUBSTITUTE(SUBSTITUTE(SUBSTITUTE(SUBSTITUTE(TRIM(D363),".",""),"/",""),"-","")," ",""),"(",""),")",""),"+",""))</f>
      </c>
      <c r="Q363" s="6">
        <f>IF(P363="","",IF(LEN(P363)&lt;&gt;14,"ERRO: "&amp;LEN(P363)&amp;" dígitos",IF(NOT(ISNUMBER(VALUE(P363))),"ERRO: não numérico",IF(LEN(SUBSTITUTE(P363,LEFT(P363,1),""))=0,"ERRO: dígitos repetidos",IF(AND(VALUE(MID(P363,13,1))=IF(MOD(SUMPRODUCT(--MID(P363,{1,2,3,4,5,6,7,8,9,10,11,12},1),{5,4,3,2,9,8,7,6,5,4,3,2}),11)&lt;2,0,11-MOD(SUMPRODUCT(--MID(P363,{1,2,3,4,5,6,7,8,9,10,11,12},1),{5,4,3,2,9,8,7,6,5,4,3,2}),11)),VALUE(MID(P363,14,1))=IF(MOD(SUMPRODUCT(--MID(P363,{1,2,3,4,5,6,7,8,9,10,11,12,13},1),{6,5,4,3,2,9,8,7,6,5,4,3,2}),11)&lt;2,0,11-MOD(SUMPRODUCT(--MID(P363,{1,2,3,4,5,6,7,8,9,10,11,12,13},1),{6,5,4,3,2,9,8,7,6,5,4,3,2}),11))),"OK","ERRO: dígito verificador")))))</f>
      </c>
      <c r="R363" s="6">
        <f>IF(P363="","",IF(COUNTIF($P$2:$P$1001,P363)&gt;1,"DUPLICADO","OK"))</f>
      </c>
      <c r="S363" s="6">
        <f>IF(AND(J363="",K363=""),"vazio",IF(AND(OR(J363="",LEN(SUBSTITUTE(SUBSTITUTE(SUBSTITUTE(SUBSTITUTE(SUBSTITUTE(SUBSTITUTE(SUBSTITUTE(TRIM(J363),".",""),"/",""),"-","")," ",""),"(",""),")",""),"+",""))=10,LEN(SUBSTITUTE(SUBSTITUTE(SUBSTITUTE(SUBSTITUTE(SUBSTITUTE(SUBSTITUTE(SUBSTITUTE(TRIM(J363),".",""),"/",""),"-","")," ",""),"(",""),")",""),"+",""))=11),OR(K363="",LEN(SUBSTITUTE(SUBSTITUTE(SUBSTITUTE(SUBSTITUTE(SUBSTITUTE(SUBSTITUTE(SUBSTITUTE(TRIM(K363),".",""),"/",""),"-","")," ",""),"(",""),")",""),"+",""))=10,LEN(SUBSTITUTE(SUBSTITUTE(SUBSTITUTE(SUBSTITUTE(SUBSTITUTE(SUBSTITUTE(SUBSTITUTE(TRIM(K363),".",""),"/",""),"-","")," ",""),"(",""),")",""),"+",""))=11)),"OK","ERRO: use DDD + número (10 ou 11 dígitos)"))</f>
      </c>
      <c r="T363" s="6">
        <f>IF(L363="","vazio",IF(AND(ISNUMBER(FIND("@",L363)),ISNUMBER(FIND(".",MID(L363,FIND("@",L363),99))),NOT(ISNUMBER(FIND(" ",TRIM(L363)))),NOT(ISNUMBER(FIND(";",L363))),NOT(ISNUMBER(FIND(",",L363)))),"OK","ERRO: um e-mail válido por linha"))</f>
      </c>
      <c r="U363" s="6">
        <f>IF(COUNTA(A363:O363)=0,"",IF(AND(B363&lt;&gt;"",C363&lt;&gt;"",D363&lt;&gt;"",E363&lt;&gt;"",H363&lt;&gt;"",OR(J363&lt;&gt;"",L363&lt;&gt;"")),"OK","ERRO: faltam "&amp;IF(B363="","Proprietário; ","")&amp;IF(C363="","Origem; ","")&amp;IF(D363="","CNPJ; ","")&amp;IF(E363="","Razão Social; ","")&amp;IF(H363="","Sobrenome; ","")&amp;IF(AND(J363="",L363=""),"telefone ou e-mail; ","")))</f>
      </c>
      <c r="V363" s="6">
        <f>IF(COUNTA(A363:O363)=0,"",IF(AND(Q363="OK",R363="OK",LEFT(S363,4)&lt;&gt;"ERRO",LEFT(T363,4)&lt;&gt;"ERRO",U363="OK"),"OK","REVISAR"))</f>
      </c>
    </row>
    <row r="364">
      <c r="A364" s="4"/>
      <c r="B364" s="5"/>
      <c r="C364" s="5"/>
      <c r="D364" s="5"/>
      <c r="E364" s="5"/>
      <c r="F364" s="4"/>
      <c r="G364" s="4"/>
      <c r="H364" s="5"/>
      <c r="I364" s="4"/>
      <c r="J364" s="4"/>
      <c r="K364" s="4"/>
      <c r="L364" s="4"/>
      <c r="M364" s="4"/>
      <c r="N364" s="4"/>
      <c r="O364" s="4"/>
      <c r="P364" s="6">
        <f>IF(D364="","",SUBSTITUTE(SUBSTITUTE(SUBSTITUTE(SUBSTITUTE(SUBSTITUTE(SUBSTITUTE(SUBSTITUTE(TRIM(D364),".",""),"/",""),"-","")," ",""),"(",""),")",""),"+",""))</f>
      </c>
      <c r="Q364" s="6">
        <f>IF(P364="","",IF(LEN(P364)&lt;&gt;14,"ERRO: "&amp;LEN(P364)&amp;" dígitos",IF(NOT(ISNUMBER(VALUE(P364))),"ERRO: não numérico",IF(LEN(SUBSTITUTE(P364,LEFT(P364,1),""))=0,"ERRO: dígitos repetidos",IF(AND(VALUE(MID(P364,13,1))=IF(MOD(SUMPRODUCT(--MID(P364,{1,2,3,4,5,6,7,8,9,10,11,12},1),{5,4,3,2,9,8,7,6,5,4,3,2}),11)&lt;2,0,11-MOD(SUMPRODUCT(--MID(P364,{1,2,3,4,5,6,7,8,9,10,11,12},1),{5,4,3,2,9,8,7,6,5,4,3,2}),11)),VALUE(MID(P364,14,1))=IF(MOD(SUMPRODUCT(--MID(P364,{1,2,3,4,5,6,7,8,9,10,11,12,13},1),{6,5,4,3,2,9,8,7,6,5,4,3,2}),11)&lt;2,0,11-MOD(SUMPRODUCT(--MID(P364,{1,2,3,4,5,6,7,8,9,10,11,12,13},1),{6,5,4,3,2,9,8,7,6,5,4,3,2}),11))),"OK","ERRO: dígito verificador")))))</f>
      </c>
      <c r="R364" s="6">
        <f>IF(P364="","",IF(COUNTIF($P$2:$P$1001,P364)&gt;1,"DUPLICADO","OK"))</f>
      </c>
      <c r="S364" s="6">
        <f>IF(AND(J364="",K364=""),"vazio",IF(AND(OR(J364="",LEN(SUBSTITUTE(SUBSTITUTE(SUBSTITUTE(SUBSTITUTE(SUBSTITUTE(SUBSTITUTE(SUBSTITUTE(TRIM(J364),".",""),"/",""),"-","")," ",""),"(",""),")",""),"+",""))=10,LEN(SUBSTITUTE(SUBSTITUTE(SUBSTITUTE(SUBSTITUTE(SUBSTITUTE(SUBSTITUTE(SUBSTITUTE(TRIM(J364),".",""),"/",""),"-","")," ",""),"(",""),")",""),"+",""))=11),OR(K364="",LEN(SUBSTITUTE(SUBSTITUTE(SUBSTITUTE(SUBSTITUTE(SUBSTITUTE(SUBSTITUTE(SUBSTITUTE(TRIM(K364),".",""),"/",""),"-","")," ",""),"(",""),")",""),"+",""))=10,LEN(SUBSTITUTE(SUBSTITUTE(SUBSTITUTE(SUBSTITUTE(SUBSTITUTE(SUBSTITUTE(SUBSTITUTE(TRIM(K364),".",""),"/",""),"-","")," ",""),"(",""),")",""),"+",""))=11)),"OK","ERRO: use DDD + número (10 ou 11 dígitos)"))</f>
      </c>
      <c r="T364" s="6">
        <f>IF(L364="","vazio",IF(AND(ISNUMBER(FIND("@",L364)),ISNUMBER(FIND(".",MID(L364,FIND("@",L364),99))),NOT(ISNUMBER(FIND(" ",TRIM(L364)))),NOT(ISNUMBER(FIND(";",L364))),NOT(ISNUMBER(FIND(",",L364)))),"OK","ERRO: um e-mail válido por linha"))</f>
      </c>
      <c r="U364" s="6">
        <f>IF(COUNTA(A364:O364)=0,"",IF(AND(B364&lt;&gt;"",C364&lt;&gt;"",D364&lt;&gt;"",E364&lt;&gt;"",H364&lt;&gt;"",OR(J364&lt;&gt;"",L364&lt;&gt;"")),"OK","ERRO: faltam "&amp;IF(B364="","Proprietário; ","")&amp;IF(C364="","Origem; ","")&amp;IF(D364="","CNPJ; ","")&amp;IF(E364="","Razão Social; ","")&amp;IF(H364="","Sobrenome; ","")&amp;IF(AND(J364="",L364=""),"telefone ou e-mail; ","")))</f>
      </c>
      <c r="V364" s="6">
        <f>IF(COUNTA(A364:O364)=0,"",IF(AND(Q364="OK",R364="OK",LEFT(S364,4)&lt;&gt;"ERRO",LEFT(T364,4)&lt;&gt;"ERRO",U364="OK"),"OK","REVISAR"))</f>
      </c>
    </row>
    <row r="365">
      <c r="A365" s="4"/>
      <c r="B365" s="5"/>
      <c r="C365" s="5"/>
      <c r="D365" s="5"/>
      <c r="E365" s="5"/>
      <c r="F365" s="4"/>
      <c r="G365" s="4"/>
      <c r="H365" s="5"/>
      <c r="I365" s="4"/>
      <c r="J365" s="4"/>
      <c r="K365" s="4"/>
      <c r="L365" s="4"/>
      <c r="M365" s="4"/>
      <c r="N365" s="4"/>
      <c r="O365" s="4"/>
      <c r="P365" s="6">
        <f>IF(D365="","",SUBSTITUTE(SUBSTITUTE(SUBSTITUTE(SUBSTITUTE(SUBSTITUTE(SUBSTITUTE(SUBSTITUTE(TRIM(D365),".",""),"/",""),"-","")," ",""),"(",""),")",""),"+",""))</f>
      </c>
      <c r="Q365" s="6">
        <f>IF(P365="","",IF(LEN(P365)&lt;&gt;14,"ERRO: "&amp;LEN(P365)&amp;" dígitos",IF(NOT(ISNUMBER(VALUE(P365))),"ERRO: não numérico",IF(LEN(SUBSTITUTE(P365,LEFT(P365,1),""))=0,"ERRO: dígitos repetidos",IF(AND(VALUE(MID(P365,13,1))=IF(MOD(SUMPRODUCT(--MID(P365,{1,2,3,4,5,6,7,8,9,10,11,12},1),{5,4,3,2,9,8,7,6,5,4,3,2}),11)&lt;2,0,11-MOD(SUMPRODUCT(--MID(P365,{1,2,3,4,5,6,7,8,9,10,11,12},1),{5,4,3,2,9,8,7,6,5,4,3,2}),11)),VALUE(MID(P365,14,1))=IF(MOD(SUMPRODUCT(--MID(P365,{1,2,3,4,5,6,7,8,9,10,11,12,13},1),{6,5,4,3,2,9,8,7,6,5,4,3,2}),11)&lt;2,0,11-MOD(SUMPRODUCT(--MID(P365,{1,2,3,4,5,6,7,8,9,10,11,12,13},1),{6,5,4,3,2,9,8,7,6,5,4,3,2}),11))),"OK","ERRO: dígito verificador")))))</f>
      </c>
      <c r="R365" s="6">
        <f>IF(P365="","",IF(COUNTIF($P$2:$P$1001,P365)&gt;1,"DUPLICADO","OK"))</f>
      </c>
      <c r="S365" s="6">
        <f>IF(AND(J365="",K365=""),"vazio",IF(AND(OR(J365="",LEN(SUBSTITUTE(SUBSTITUTE(SUBSTITUTE(SUBSTITUTE(SUBSTITUTE(SUBSTITUTE(SUBSTITUTE(TRIM(J365),".",""),"/",""),"-","")," ",""),"(",""),")",""),"+",""))=10,LEN(SUBSTITUTE(SUBSTITUTE(SUBSTITUTE(SUBSTITUTE(SUBSTITUTE(SUBSTITUTE(SUBSTITUTE(TRIM(J365),".",""),"/",""),"-","")," ",""),"(",""),")",""),"+",""))=11),OR(K365="",LEN(SUBSTITUTE(SUBSTITUTE(SUBSTITUTE(SUBSTITUTE(SUBSTITUTE(SUBSTITUTE(SUBSTITUTE(TRIM(K365),".",""),"/",""),"-","")," ",""),"(",""),")",""),"+",""))=10,LEN(SUBSTITUTE(SUBSTITUTE(SUBSTITUTE(SUBSTITUTE(SUBSTITUTE(SUBSTITUTE(SUBSTITUTE(TRIM(K365),".",""),"/",""),"-","")," ",""),"(",""),")",""),"+",""))=11)),"OK","ERRO: use DDD + número (10 ou 11 dígitos)"))</f>
      </c>
      <c r="T365" s="6">
        <f>IF(L365="","vazio",IF(AND(ISNUMBER(FIND("@",L365)),ISNUMBER(FIND(".",MID(L365,FIND("@",L365),99))),NOT(ISNUMBER(FIND(" ",TRIM(L365)))),NOT(ISNUMBER(FIND(";",L365))),NOT(ISNUMBER(FIND(",",L365)))),"OK","ERRO: um e-mail válido por linha"))</f>
      </c>
      <c r="U365" s="6">
        <f>IF(COUNTA(A365:O365)=0,"",IF(AND(B365&lt;&gt;"",C365&lt;&gt;"",D365&lt;&gt;"",E365&lt;&gt;"",H365&lt;&gt;"",OR(J365&lt;&gt;"",L365&lt;&gt;"")),"OK","ERRO: faltam "&amp;IF(B365="","Proprietário; ","")&amp;IF(C365="","Origem; ","")&amp;IF(D365="","CNPJ; ","")&amp;IF(E365="","Razão Social; ","")&amp;IF(H365="","Sobrenome; ","")&amp;IF(AND(J365="",L365=""),"telefone ou e-mail; ","")))</f>
      </c>
      <c r="V365" s="6">
        <f>IF(COUNTA(A365:O365)=0,"",IF(AND(Q365="OK",R365="OK",LEFT(S365,4)&lt;&gt;"ERRO",LEFT(T365,4)&lt;&gt;"ERRO",U365="OK"),"OK","REVISAR"))</f>
      </c>
    </row>
    <row r="366">
      <c r="A366" s="4"/>
      <c r="B366" s="5"/>
      <c r="C366" s="5"/>
      <c r="D366" s="5"/>
      <c r="E366" s="5"/>
      <c r="F366" s="4"/>
      <c r="G366" s="4"/>
      <c r="H366" s="5"/>
      <c r="I366" s="4"/>
      <c r="J366" s="4"/>
      <c r="K366" s="4"/>
      <c r="L366" s="4"/>
      <c r="M366" s="4"/>
      <c r="N366" s="4"/>
      <c r="O366" s="4"/>
      <c r="P366" s="6">
        <f>IF(D366="","",SUBSTITUTE(SUBSTITUTE(SUBSTITUTE(SUBSTITUTE(SUBSTITUTE(SUBSTITUTE(SUBSTITUTE(TRIM(D366),".",""),"/",""),"-","")," ",""),"(",""),")",""),"+",""))</f>
      </c>
      <c r="Q366" s="6">
        <f>IF(P366="","",IF(LEN(P366)&lt;&gt;14,"ERRO: "&amp;LEN(P366)&amp;" dígitos",IF(NOT(ISNUMBER(VALUE(P366))),"ERRO: não numérico",IF(LEN(SUBSTITUTE(P366,LEFT(P366,1),""))=0,"ERRO: dígitos repetidos",IF(AND(VALUE(MID(P366,13,1))=IF(MOD(SUMPRODUCT(--MID(P366,{1,2,3,4,5,6,7,8,9,10,11,12},1),{5,4,3,2,9,8,7,6,5,4,3,2}),11)&lt;2,0,11-MOD(SUMPRODUCT(--MID(P366,{1,2,3,4,5,6,7,8,9,10,11,12},1),{5,4,3,2,9,8,7,6,5,4,3,2}),11)),VALUE(MID(P366,14,1))=IF(MOD(SUMPRODUCT(--MID(P366,{1,2,3,4,5,6,7,8,9,10,11,12,13},1),{6,5,4,3,2,9,8,7,6,5,4,3,2}),11)&lt;2,0,11-MOD(SUMPRODUCT(--MID(P366,{1,2,3,4,5,6,7,8,9,10,11,12,13},1),{6,5,4,3,2,9,8,7,6,5,4,3,2}),11))),"OK","ERRO: dígito verificador")))))</f>
      </c>
      <c r="R366" s="6">
        <f>IF(P366="","",IF(COUNTIF($P$2:$P$1001,P366)&gt;1,"DUPLICADO","OK"))</f>
      </c>
      <c r="S366" s="6">
        <f>IF(AND(J366="",K366=""),"vazio",IF(AND(OR(J366="",LEN(SUBSTITUTE(SUBSTITUTE(SUBSTITUTE(SUBSTITUTE(SUBSTITUTE(SUBSTITUTE(SUBSTITUTE(TRIM(J366),".",""),"/",""),"-","")," ",""),"(",""),")",""),"+",""))=10,LEN(SUBSTITUTE(SUBSTITUTE(SUBSTITUTE(SUBSTITUTE(SUBSTITUTE(SUBSTITUTE(SUBSTITUTE(TRIM(J366),".",""),"/",""),"-","")," ",""),"(",""),")",""),"+",""))=11),OR(K366="",LEN(SUBSTITUTE(SUBSTITUTE(SUBSTITUTE(SUBSTITUTE(SUBSTITUTE(SUBSTITUTE(SUBSTITUTE(TRIM(K366),".",""),"/",""),"-","")," ",""),"(",""),")",""),"+",""))=10,LEN(SUBSTITUTE(SUBSTITUTE(SUBSTITUTE(SUBSTITUTE(SUBSTITUTE(SUBSTITUTE(SUBSTITUTE(TRIM(K366),".",""),"/",""),"-","")," ",""),"(",""),")",""),"+",""))=11)),"OK","ERRO: use DDD + número (10 ou 11 dígitos)"))</f>
      </c>
      <c r="T366" s="6">
        <f>IF(L366="","vazio",IF(AND(ISNUMBER(FIND("@",L366)),ISNUMBER(FIND(".",MID(L366,FIND("@",L366),99))),NOT(ISNUMBER(FIND(" ",TRIM(L366)))),NOT(ISNUMBER(FIND(";",L366))),NOT(ISNUMBER(FIND(",",L366)))),"OK","ERRO: um e-mail válido por linha"))</f>
      </c>
      <c r="U366" s="6">
        <f>IF(COUNTA(A366:O366)=0,"",IF(AND(B366&lt;&gt;"",C366&lt;&gt;"",D366&lt;&gt;"",E366&lt;&gt;"",H366&lt;&gt;"",OR(J366&lt;&gt;"",L366&lt;&gt;"")),"OK","ERRO: faltam "&amp;IF(B366="","Proprietário; ","")&amp;IF(C366="","Origem; ","")&amp;IF(D366="","CNPJ; ","")&amp;IF(E366="","Razão Social; ","")&amp;IF(H366="","Sobrenome; ","")&amp;IF(AND(J366="",L366=""),"telefone ou e-mail; ","")))</f>
      </c>
      <c r="V366" s="6">
        <f>IF(COUNTA(A366:O366)=0,"",IF(AND(Q366="OK",R366="OK",LEFT(S366,4)&lt;&gt;"ERRO",LEFT(T366,4)&lt;&gt;"ERRO",U366="OK"),"OK","REVISAR"))</f>
      </c>
    </row>
    <row r="367">
      <c r="A367" s="4"/>
      <c r="B367" s="5"/>
      <c r="C367" s="5"/>
      <c r="D367" s="5"/>
      <c r="E367" s="5"/>
      <c r="F367" s="4"/>
      <c r="G367" s="4"/>
      <c r="H367" s="5"/>
      <c r="I367" s="4"/>
      <c r="J367" s="4"/>
      <c r="K367" s="4"/>
      <c r="L367" s="4"/>
      <c r="M367" s="4"/>
      <c r="N367" s="4"/>
      <c r="O367" s="4"/>
      <c r="P367" s="6">
        <f>IF(D367="","",SUBSTITUTE(SUBSTITUTE(SUBSTITUTE(SUBSTITUTE(SUBSTITUTE(SUBSTITUTE(SUBSTITUTE(TRIM(D367),".",""),"/",""),"-","")," ",""),"(",""),")",""),"+",""))</f>
      </c>
      <c r="Q367" s="6">
        <f>IF(P367="","",IF(LEN(P367)&lt;&gt;14,"ERRO: "&amp;LEN(P367)&amp;" dígitos",IF(NOT(ISNUMBER(VALUE(P367))),"ERRO: não numérico",IF(LEN(SUBSTITUTE(P367,LEFT(P367,1),""))=0,"ERRO: dígitos repetidos",IF(AND(VALUE(MID(P367,13,1))=IF(MOD(SUMPRODUCT(--MID(P367,{1,2,3,4,5,6,7,8,9,10,11,12},1),{5,4,3,2,9,8,7,6,5,4,3,2}),11)&lt;2,0,11-MOD(SUMPRODUCT(--MID(P367,{1,2,3,4,5,6,7,8,9,10,11,12},1),{5,4,3,2,9,8,7,6,5,4,3,2}),11)),VALUE(MID(P367,14,1))=IF(MOD(SUMPRODUCT(--MID(P367,{1,2,3,4,5,6,7,8,9,10,11,12,13},1),{6,5,4,3,2,9,8,7,6,5,4,3,2}),11)&lt;2,0,11-MOD(SUMPRODUCT(--MID(P367,{1,2,3,4,5,6,7,8,9,10,11,12,13},1),{6,5,4,3,2,9,8,7,6,5,4,3,2}),11))),"OK","ERRO: dígito verificador")))))</f>
      </c>
      <c r="R367" s="6">
        <f>IF(P367="","",IF(COUNTIF($P$2:$P$1001,P367)&gt;1,"DUPLICADO","OK"))</f>
      </c>
      <c r="S367" s="6">
        <f>IF(AND(J367="",K367=""),"vazio",IF(AND(OR(J367="",LEN(SUBSTITUTE(SUBSTITUTE(SUBSTITUTE(SUBSTITUTE(SUBSTITUTE(SUBSTITUTE(SUBSTITUTE(TRIM(J367),".",""),"/",""),"-","")," ",""),"(",""),")",""),"+",""))=10,LEN(SUBSTITUTE(SUBSTITUTE(SUBSTITUTE(SUBSTITUTE(SUBSTITUTE(SUBSTITUTE(SUBSTITUTE(TRIM(J367),".",""),"/",""),"-","")," ",""),"(",""),")",""),"+",""))=11),OR(K367="",LEN(SUBSTITUTE(SUBSTITUTE(SUBSTITUTE(SUBSTITUTE(SUBSTITUTE(SUBSTITUTE(SUBSTITUTE(TRIM(K367),".",""),"/",""),"-","")," ",""),"(",""),")",""),"+",""))=10,LEN(SUBSTITUTE(SUBSTITUTE(SUBSTITUTE(SUBSTITUTE(SUBSTITUTE(SUBSTITUTE(SUBSTITUTE(TRIM(K367),".",""),"/",""),"-","")," ",""),"(",""),")",""),"+",""))=11)),"OK","ERRO: use DDD + número (10 ou 11 dígitos)"))</f>
      </c>
      <c r="T367" s="6">
        <f>IF(L367="","vazio",IF(AND(ISNUMBER(FIND("@",L367)),ISNUMBER(FIND(".",MID(L367,FIND("@",L367),99))),NOT(ISNUMBER(FIND(" ",TRIM(L367)))),NOT(ISNUMBER(FIND(";",L367))),NOT(ISNUMBER(FIND(",",L367)))),"OK","ERRO: um e-mail válido por linha"))</f>
      </c>
      <c r="U367" s="6">
        <f>IF(COUNTA(A367:O367)=0,"",IF(AND(B367&lt;&gt;"",C367&lt;&gt;"",D367&lt;&gt;"",E367&lt;&gt;"",H367&lt;&gt;"",OR(J367&lt;&gt;"",L367&lt;&gt;"")),"OK","ERRO: faltam "&amp;IF(B367="","Proprietário; ","")&amp;IF(C367="","Origem; ","")&amp;IF(D367="","CNPJ; ","")&amp;IF(E367="","Razão Social; ","")&amp;IF(H367="","Sobrenome; ","")&amp;IF(AND(J367="",L367=""),"telefone ou e-mail; ","")))</f>
      </c>
      <c r="V367" s="6">
        <f>IF(COUNTA(A367:O367)=0,"",IF(AND(Q367="OK",R367="OK",LEFT(S367,4)&lt;&gt;"ERRO",LEFT(T367,4)&lt;&gt;"ERRO",U367="OK"),"OK","REVISAR"))</f>
      </c>
    </row>
    <row r="368">
      <c r="A368" s="4"/>
      <c r="B368" s="5"/>
      <c r="C368" s="5"/>
      <c r="D368" s="5"/>
      <c r="E368" s="5"/>
      <c r="F368" s="4"/>
      <c r="G368" s="4"/>
      <c r="H368" s="5"/>
      <c r="I368" s="4"/>
      <c r="J368" s="4"/>
      <c r="K368" s="4"/>
      <c r="L368" s="4"/>
      <c r="M368" s="4"/>
      <c r="N368" s="4"/>
      <c r="O368" s="4"/>
      <c r="P368" s="6">
        <f>IF(D368="","",SUBSTITUTE(SUBSTITUTE(SUBSTITUTE(SUBSTITUTE(SUBSTITUTE(SUBSTITUTE(SUBSTITUTE(TRIM(D368),".",""),"/",""),"-","")," ",""),"(",""),")",""),"+",""))</f>
      </c>
      <c r="Q368" s="6">
        <f>IF(P368="","",IF(LEN(P368)&lt;&gt;14,"ERRO: "&amp;LEN(P368)&amp;" dígitos",IF(NOT(ISNUMBER(VALUE(P368))),"ERRO: não numérico",IF(LEN(SUBSTITUTE(P368,LEFT(P368,1),""))=0,"ERRO: dígitos repetidos",IF(AND(VALUE(MID(P368,13,1))=IF(MOD(SUMPRODUCT(--MID(P368,{1,2,3,4,5,6,7,8,9,10,11,12},1),{5,4,3,2,9,8,7,6,5,4,3,2}),11)&lt;2,0,11-MOD(SUMPRODUCT(--MID(P368,{1,2,3,4,5,6,7,8,9,10,11,12},1),{5,4,3,2,9,8,7,6,5,4,3,2}),11)),VALUE(MID(P368,14,1))=IF(MOD(SUMPRODUCT(--MID(P368,{1,2,3,4,5,6,7,8,9,10,11,12,13},1),{6,5,4,3,2,9,8,7,6,5,4,3,2}),11)&lt;2,0,11-MOD(SUMPRODUCT(--MID(P368,{1,2,3,4,5,6,7,8,9,10,11,12,13},1),{6,5,4,3,2,9,8,7,6,5,4,3,2}),11))),"OK","ERRO: dígito verificador")))))</f>
      </c>
      <c r="R368" s="6">
        <f>IF(P368="","",IF(COUNTIF($P$2:$P$1001,P368)&gt;1,"DUPLICADO","OK"))</f>
      </c>
      <c r="S368" s="6">
        <f>IF(AND(J368="",K368=""),"vazio",IF(AND(OR(J368="",LEN(SUBSTITUTE(SUBSTITUTE(SUBSTITUTE(SUBSTITUTE(SUBSTITUTE(SUBSTITUTE(SUBSTITUTE(TRIM(J368),".",""),"/",""),"-","")," ",""),"(",""),")",""),"+",""))=10,LEN(SUBSTITUTE(SUBSTITUTE(SUBSTITUTE(SUBSTITUTE(SUBSTITUTE(SUBSTITUTE(SUBSTITUTE(TRIM(J368),".",""),"/",""),"-","")," ",""),"(",""),")",""),"+",""))=11),OR(K368="",LEN(SUBSTITUTE(SUBSTITUTE(SUBSTITUTE(SUBSTITUTE(SUBSTITUTE(SUBSTITUTE(SUBSTITUTE(TRIM(K368),".",""),"/",""),"-","")," ",""),"(",""),")",""),"+",""))=10,LEN(SUBSTITUTE(SUBSTITUTE(SUBSTITUTE(SUBSTITUTE(SUBSTITUTE(SUBSTITUTE(SUBSTITUTE(TRIM(K368),".",""),"/",""),"-","")," ",""),"(",""),")",""),"+",""))=11)),"OK","ERRO: use DDD + número (10 ou 11 dígitos)"))</f>
      </c>
      <c r="T368" s="6">
        <f>IF(L368="","vazio",IF(AND(ISNUMBER(FIND("@",L368)),ISNUMBER(FIND(".",MID(L368,FIND("@",L368),99))),NOT(ISNUMBER(FIND(" ",TRIM(L368)))),NOT(ISNUMBER(FIND(";",L368))),NOT(ISNUMBER(FIND(",",L368)))),"OK","ERRO: um e-mail válido por linha"))</f>
      </c>
      <c r="U368" s="6">
        <f>IF(COUNTA(A368:O368)=0,"",IF(AND(B368&lt;&gt;"",C368&lt;&gt;"",D368&lt;&gt;"",E368&lt;&gt;"",H368&lt;&gt;"",OR(J368&lt;&gt;"",L368&lt;&gt;"")),"OK","ERRO: faltam "&amp;IF(B368="","Proprietário; ","")&amp;IF(C368="","Origem; ","")&amp;IF(D368="","CNPJ; ","")&amp;IF(E368="","Razão Social; ","")&amp;IF(H368="","Sobrenome; ","")&amp;IF(AND(J368="",L368=""),"telefone ou e-mail; ","")))</f>
      </c>
      <c r="V368" s="6">
        <f>IF(COUNTA(A368:O368)=0,"",IF(AND(Q368="OK",R368="OK",LEFT(S368,4)&lt;&gt;"ERRO",LEFT(T368,4)&lt;&gt;"ERRO",U368="OK"),"OK","REVISAR"))</f>
      </c>
    </row>
    <row r="369">
      <c r="A369" s="4"/>
      <c r="B369" s="5"/>
      <c r="C369" s="5"/>
      <c r="D369" s="5"/>
      <c r="E369" s="5"/>
      <c r="F369" s="4"/>
      <c r="G369" s="4"/>
      <c r="H369" s="5"/>
      <c r="I369" s="4"/>
      <c r="J369" s="4"/>
      <c r="K369" s="4"/>
      <c r="L369" s="4"/>
      <c r="M369" s="4"/>
      <c r="N369" s="4"/>
      <c r="O369" s="4"/>
      <c r="P369" s="6">
        <f>IF(D369="","",SUBSTITUTE(SUBSTITUTE(SUBSTITUTE(SUBSTITUTE(SUBSTITUTE(SUBSTITUTE(SUBSTITUTE(TRIM(D369),".",""),"/",""),"-","")," ",""),"(",""),")",""),"+",""))</f>
      </c>
      <c r="Q369" s="6">
        <f>IF(P369="","",IF(LEN(P369)&lt;&gt;14,"ERRO: "&amp;LEN(P369)&amp;" dígitos",IF(NOT(ISNUMBER(VALUE(P369))),"ERRO: não numérico",IF(LEN(SUBSTITUTE(P369,LEFT(P369,1),""))=0,"ERRO: dígitos repetidos",IF(AND(VALUE(MID(P369,13,1))=IF(MOD(SUMPRODUCT(--MID(P369,{1,2,3,4,5,6,7,8,9,10,11,12},1),{5,4,3,2,9,8,7,6,5,4,3,2}),11)&lt;2,0,11-MOD(SUMPRODUCT(--MID(P369,{1,2,3,4,5,6,7,8,9,10,11,12},1),{5,4,3,2,9,8,7,6,5,4,3,2}),11)),VALUE(MID(P369,14,1))=IF(MOD(SUMPRODUCT(--MID(P369,{1,2,3,4,5,6,7,8,9,10,11,12,13},1),{6,5,4,3,2,9,8,7,6,5,4,3,2}),11)&lt;2,0,11-MOD(SUMPRODUCT(--MID(P369,{1,2,3,4,5,6,7,8,9,10,11,12,13},1),{6,5,4,3,2,9,8,7,6,5,4,3,2}),11))),"OK","ERRO: dígito verificador")))))</f>
      </c>
      <c r="R369" s="6">
        <f>IF(P369="","",IF(COUNTIF($P$2:$P$1001,P369)&gt;1,"DUPLICADO","OK"))</f>
      </c>
      <c r="S369" s="6">
        <f>IF(AND(J369="",K369=""),"vazio",IF(AND(OR(J369="",LEN(SUBSTITUTE(SUBSTITUTE(SUBSTITUTE(SUBSTITUTE(SUBSTITUTE(SUBSTITUTE(SUBSTITUTE(TRIM(J369),".",""),"/",""),"-","")," ",""),"(",""),")",""),"+",""))=10,LEN(SUBSTITUTE(SUBSTITUTE(SUBSTITUTE(SUBSTITUTE(SUBSTITUTE(SUBSTITUTE(SUBSTITUTE(TRIM(J369),".",""),"/",""),"-","")," ",""),"(",""),")",""),"+",""))=11),OR(K369="",LEN(SUBSTITUTE(SUBSTITUTE(SUBSTITUTE(SUBSTITUTE(SUBSTITUTE(SUBSTITUTE(SUBSTITUTE(TRIM(K369),".",""),"/",""),"-","")," ",""),"(",""),")",""),"+",""))=10,LEN(SUBSTITUTE(SUBSTITUTE(SUBSTITUTE(SUBSTITUTE(SUBSTITUTE(SUBSTITUTE(SUBSTITUTE(TRIM(K369),".",""),"/",""),"-","")," ",""),"(",""),")",""),"+",""))=11)),"OK","ERRO: use DDD + número (10 ou 11 dígitos)"))</f>
      </c>
      <c r="T369" s="6">
        <f>IF(L369="","vazio",IF(AND(ISNUMBER(FIND("@",L369)),ISNUMBER(FIND(".",MID(L369,FIND("@",L369),99))),NOT(ISNUMBER(FIND(" ",TRIM(L369)))),NOT(ISNUMBER(FIND(";",L369))),NOT(ISNUMBER(FIND(",",L369)))),"OK","ERRO: um e-mail válido por linha"))</f>
      </c>
      <c r="U369" s="6">
        <f>IF(COUNTA(A369:O369)=0,"",IF(AND(B369&lt;&gt;"",C369&lt;&gt;"",D369&lt;&gt;"",E369&lt;&gt;"",H369&lt;&gt;"",OR(J369&lt;&gt;"",L369&lt;&gt;"")),"OK","ERRO: faltam "&amp;IF(B369="","Proprietário; ","")&amp;IF(C369="","Origem; ","")&amp;IF(D369="","CNPJ; ","")&amp;IF(E369="","Razão Social; ","")&amp;IF(H369="","Sobrenome; ","")&amp;IF(AND(J369="",L369=""),"telefone ou e-mail; ","")))</f>
      </c>
      <c r="V369" s="6">
        <f>IF(COUNTA(A369:O369)=0,"",IF(AND(Q369="OK",R369="OK",LEFT(S369,4)&lt;&gt;"ERRO",LEFT(T369,4)&lt;&gt;"ERRO",U369="OK"),"OK","REVISAR"))</f>
      </c>
    </row>
    <row r="370">
      <c r="A370" s="4"/>
      <c r="B370" s="5"/>
      <c r="C370" s="5"/>
      <c r="D370" s="5"/>
      <c r="E370" s="5"/>
      <c r="F370" s="4"/>
      <c r="G370" s="4"/>
      <c r="H370" s="5"/>
      <c r="I370" s="4"/>
      <c r="J370" s="4"/>
      <c r="K370" s="4"/>
      <c r="L370" s="4"/>
      <c r="M370" s="4"/>
      <c r="N370" s="4"/>
      <c r="O370" s="4"/>
      <c r="P370" s="6">
        <f>IF(D370="","",SUBSTITUTE(SUBSTITUTE(SUBSTITUTE(SUBSTITUTE(SUBSTITUTE(SUBSTITUTE(SUBSTITUTE(TRIM(D370),".",""),"/",""),"-","")," ",""),"(",""),")",""),"+",""))</f>
      </c>
      <c r="Q370" s="6">
        <f>IF(P370="","",IF(LEN(P370)&lt;&gt;14,"ERRO: "&amp;LEN(P370)&amp;" dígitos",IF(NOT(ISNUMBER(VALUE(P370))),"ERRO: não numérico",IF(LEN(SUBSTITUTE(P370,LEFT(P370,1),""))=0,"ERRO: dígitos repetidos",IF(AND(VALUE(MID(P370,13,1))=IF(MOD(SUMPRODUCT(--MID(P370,{1,2,3,4,5,6,7,8,9,10,11,12},1),{5,4,3,2,9,8,7,6,5,4,3,2}),11)&lt;2,0,11-MOD(SUMPRODUCT(--MID(P370,{1,2,3,4,5,6,7,8,9,10,11,12},1),{5,4,3,2,9,8,7,6,5,4,3,2}),11)),VALUE(MID(P370,14,1))=IF(MOD(SUMPRODUCT(--MID(P370,{1,2,3,4,5,6,7,8,9,10,11,12,13},1),{6,5,4,3,2,9,8,7,6,5,4,3,2}),11)&lt;2,0,11-MOD(SUMPRODUCT(--MID(P370,{1,2,3,4,5,6,7,8,9,10,11,12,13},1),{6,5,4,3,2,9,8,7,6,5,4,3,2}),11))),"OK","ERRO: dígito verificador")))))</f>
      </c>
      <c r="R370" s="6">
        <f>IF(P370="","",IF(COUNTIF($P$2:$P$1001,P370)&gt;1,"DUPLICADO","OK"))</f>
      </c>
      <c r="S370" s="6">
        <f>IF(AND(J370="",K370=""),"vazio",IF(AND(OR(J370="",LEN(SUBSTITUTE(SUBSTITUTE(SUBSTITUTE(SUBSTITUTE(SUBSTITUTE(SUBSTITUTE(SUBSTITUTE(TRIM(J370),".",""),"/",""),"-","")," ",""),"(",""),")",""),"+",""))=10,LEN(SUBSTITUTE(SUBSTITUTE(SUBSTITUTE(SUBSTITUTE(SUBSTITUTE(SUBSTITUTE(SUBSTITUTE(TRIM(J370),".",""),"/",""),"-","")," ",""),"(",""),")",""),"+",""))=11),OR(K370="",LEN(SUBSTITUTE(SUBSTITUTE(SUBSTITUTE(SUBSTITUTE(SUBSTITUTE(SUBSTITUTE(SUBSTITUTE(TRIM(K370),".",""),"/",""),"-","")," ",""),"(",""),")",""),"+",""))=10,LEN(SUBSTITUTE(SUBSTITUTE(SUBSTITUTE(SUBSTITUTE(SUBSTITUTE(SUBSTITUTE(SUBSTITUTE(TRIM(K370),".",""),"/",""),"-","")," ",""),"(",""),")",""),"+",""))=11)),"OK","ERRO: use DDD + número (10 ou 11 dígitos)"))</f>
      </c>
      <c r="T370" s="6">
        <f>IF(L370="","vazio",IF(AND(ISNUMBER(FIND("@",L370)),ISNUMBER(FIND(".",MID(L370,FIND("@",L370),99))),NOT(ISNUMBER(FIND(" ",TRIM(L370)))),NOT(ISNUMBER(FIND(";",L370))),NOT(ISNUMBER(FIND(",",L370)))),"OK","ERRO: um e-mail válido por linha"))</f>
      </c>
      <c r="U370" s="6">
        <f>IF(COUNTA(A370:O370)=0,"",IF(AND(B370&lt;&gt;"",C370&lt;&gt;"",D370&lt;&gt;"",E370&lt;&gt;"",H370&lt;&gt;"",OR(J370&lt;&gt;"",L370&lt;&gt;"")),"OK","ERRO: faltam "&amp;IF(B370="","Proprietário; ","")&amp;IF(C370="","Origem; ","")&amp;IF(D370="","CNPJ; ","")&amp;IF(E370="","Razão Social; ","")&amp;IF(H370="","Sobrenome; ","")&amp;IF(AND(J370="",L370=""),"telefone ou e-mail; ","")))</f>
      </c>
      <c r="V370" s="6">
        <f>IF(COUNTA(A370:O370)=0,"",IF(AND(Q370="OK",R370="OK",LEFT(S370,4)&lt;&gt;"ERRO",LEFT(T370,4)&lt;&gt;"ERRO",U370="OK"),"OK","REVISAR"))</f>
      </c>
    </row>
    <row r="371">
      <c r="A371" s="4"/>
      <c r="B371" s="5"/>
      <c r="C371" s="5"/>
      <c r="D371" s="5"/>
      <c r="E371" s="5"/>
      <c r="F371" s="4"/>
      <c r="G371" s="4"/>
      <c r="H371" s="5"/>
      <c r="I371" s="4"/>
      <c r="J371" s="4"/>
      <c r="K371" s="4"/>
      <c r="L371" s="4"/>
      <c r="M371" s="4"/>
      <c r="N371" s="4"/>
      <c r="O371" s="4"/>
      <c r="P371" s="6">
        <f>IF(D371="","",SUBSTITUTE(SUBSTITUTE(SUBSTITUTE(SUBSTITUTE(SUBSTITUTE(SUBSTITUTE(SUBSTITUTE(TRIM(D371),".",""),"/",""),"-","")," ",""),"(",""),")",""),"+",""))</f>
      </c>
      <c r="Q371" s="6">
        <f>IF(P371="","",IF(LEN(P371)&lt;&gt;14,"ERRO: "&amp;LEN(P371)&amp;" dígitos",IF(NOT(ISNUMBER(VALUE(P371))),"ERRO: não numérico",IF(LEN(SUBSTITUTE(P371,LEFT(P371,1),""))=0,"ERRO: dígitos repetidos",IF(AND(VALUE(MID(P371,13,1))=IF(MOD(SUMPRODUCT(--MID(P371,{1,2,3,4,5,6,7,8,9,10,11,12},1),{5,4,3,2,9,8,7,6,5,4,3,2}),11)&lt;2,0,11-MOD(SUMPRODUCT(--MID(P371,{1,2,3,4,5,6,7,8,9,10,11,12},1),{5,4,3,2,9,8,7,6,5,4,3,2}),11)),VALUE(MID(P371,14,1))=IF(MOD(SUMPRODUCT(--MID(P371,{1,2,3,4,5,6,7,8,9,10,11,12,13},1),{6,5,4,3,2,9,8,7,6,5,4,3,2}),11)&lt;2,0,11-MOD(SUMPRODUCT(--MID(P371,{1,2,3,4,5,6,7,8,9,10,11,12,13},1),{6,5,4,3,2,9,8,7,6,5,4,3,2}),11))),"OK","ERRO: dígito verificador")))))</f>
      </c>
      <c r="R371" s="6">
        <f>IF(P371="","",IF(COUNTIF($P$2:$P$1001,P371)&gt;1,"DUPLICADO","OK"))</f>
      </c>
      <c r="S371" s="6">
        <f>IF(AND(J371="",K371=""),"vazio",IF(AND(OR(J371="",LEN(SUBSTITUTE(SUBSTITUTE(SUBSTITUTE(SUBSTITUTE(SUBSTITUTE(SUBSTITUTE(SUBSTITUTE(TRIM(J371),".",""),"/",""),"-","")," ",""),"(",""),")",""),"+",""))=10,LEN(SUBSTITUTE(SUBSTITUTE(SUBSTITUTE(SUBSTITUTE(SUBSTITUTE(SUBSTITUTE(SUBSTITUTE(TRIM(J371),".",""),"/",""),"-","")," ",""),"(",""),")",""),"+",""))=11),OR(K371="",LEN(SUBSTITUTE(SUBSTITUTE(SUBSTITUTE(SUBSTITUTE(SUBSTITUTE(SUBSTITUTE(SUBSTITUTE(TRIM(K371),".",""),"/",""),"-","")," ",""),"(",""),")",""),"+",""))=10,LEN(SUBSTITUTE(SUBSTITUTE(SUBSTITUTE(SUBSTITUTE(SUBSTITUTE(SUBSTITUTE(SUBSTITUTE(TRIM(K371),".",""),"/",""),"-","")," ",""),"(",""),")",""),"+",""))=11)),"OK","ERRO: use DDD + número (10 ou 11 dígitos)"))</f>
      </c>
      <c r="T371" s="6">
        <f>IF(L371="","vazio",IF(AND(ISNUMBER(FIND("@",L371)),ISNUMBER(FIND(".",MID(L371,FIND("@",L371),99))),NOT(ISNUMBER(FIND(" ",TRIM(L371)))),NOT(ISNUMBER(FIND(";",L371))),NOT(ISNUMBER(FIND(",",L371)))),"OK","ERRO: um e-mail válido por linha"))</f>
      </c>
      <c r="U371" s="6">
        <f>IF(COUNTA(A371:O371)=0,"",IF(AND(B371&lt;&gt;"",C371&lt;&gt;"",D371&lt;&gt;"",E371&lt;&gt;"",H371&lt;&gt;"",OR(J371&lt;&gt;"",L371&lt;&gt;"")),"OK","ERRO: faltam "&amp;IF(B371="","Proprietário; ","")&amp;IF(C371="","Origem; ","")&amp;IF(D371="","CNPJ; ","")&amp;IF(E371="","Razão Social; ","")&amp;IF(H371="","Sobrenome; ","")&amp;IF(AND(J371="",L371=""),"telefone ou e-mail; ","")))</f>
      </c>
      <c r="V371" s="6">
        <f>IF(COUNTA(A371:O371)=0,"",IF(AND(Q371="OK",R371="OK",LEFT(S371,4)&lt;&gt;"ERRO",LEFT(T371,4)&lt;&gt;"ERRO",U371="OK"),"OK","REVISAR"))</f>
      </c>
    </row>
    <row r="372">
      <c r="A372" s="4"/>
      <c r="B372" s="5"/>
      <c r="C372" s="5"/>
      <c r="D372" s="5"/>
      <c r="E372" s="5"/>
      <c r="F372" s="4"/>
      <c r="G372" s="4"/>
      <c r="H372" s="5"/>
      <c r="I372" s="4"/>
      <c r="J372" s="4"/>
      <c r="K372" s="4"/>
      <c r="L372" s="4"/>
      <c r="M372" s="4"/>
      <c r="N372" s="4"/>
      <c r="O372" s="4"/>
      <c r="P372" s="6">
        <f>IF(D372="","",SUBSTITUTE(SUBSTITUTE(SUBSTITUTE(SUBSTITUTE(SUBSTITUTE(SUBSTITUTE(SUBSTITUTE(TRIM(D372),".",""),"/",""),"-","")," ",""),"(",""),")",""),"+",""))</f>
      </c>
      <c r="Q372" s="6">
        <f>IF(P372="","",IF(LEN(P372)&lt;&gt;14,"ERRO: "&amp;LEN(P372)&amp;" dígitos",IF(NOT(ISNUMBER(VALUE(P372))),"ERRO: não numérico",IF(LEN(SUBSTITUTE(P372,LEFT(P372,1),""))=0,"ERRO: dígitos repetidos",IF(AND(VALUE(MID(P372,13,1))=IF(MOD(SUMPRODUCT(--MID(P372,{1,2,3,4,5,6,7,8,9,10,11,12},1),{5,4,3,2,9,8,7,6,5,4,3,2}),11)&lt;2,0,11-MOD(SUMPRODUCT(--MID(P372,{1,2,3,4,5,6,7,8,9,10,11,12},1),{5,4,3,2,9,8,7,6,5,4,3,2}),11)),VALUE(MID(P372,14,1))=IF(MOD(SUMPRODUCT(--MID(P372,{1,2,3,4,5,6,7,8,9,10,11,12,13},1),{6,5,4,3,2,9,8,7,6,5,4,3,2}),11)&lt;2,0,11-MOD(SUMPRODUCT(--MID(P372,{1,2,3,4,5,6,7,8,9,10,11,12,13},1),{6,5,4,3,2,9,8,7,6,5,4,3,2}),11))),"OK","ERRO: dígito verificador")))))</f>
      </c>
      <c r="R372" s="6">
        <f>IF(P372="","",IF(COUNTIF($P$2:$P$1001,P372)&gt;1,"DUPLICADO","OK"))</f>
      </c>
      <c r="S372" s="6">
        <f>IF(AND(J372="",K372=""),"vazio",IF(AND(OR(J372="",LEN(SUBSTITUTE(SUBSTITUTE(SUBSTITUTE(SUBSTITUTE(SUBSTITUTE(SUBSTITUTE(SUBSTITUTE(TRIM(J372),".",""),"/",""),"-","")," ",""),"(",""),")",""),"+",""))=10,LEN(SUBSTITUTE(SUBSTITUTE(SUBSTITUTE(SUBSTITUTE(SUBSTITUTE(SUBSTITUTE(SUBSTITUTE(TRIM(J372),".",""),"/",""),"-","")," ",""),"(",""),")",""),"+",""))=11),OR(K372="",LEN(SUBSTITUTE(SUBSTITUTE(SUBSTITUTE(SUBSTITUTE(SUBSTITUTE(SUBSTITUTE(SUBSTITUTE(TRIM(K372),".",""),"/",""),"-","")," ",""),"(",""),")",""),"+",""))=10,LEN(SUBSTITUTE(SUBSTITUTE(SUBSTITUTE(SUBSTITUTE(SUBSTITUTE(SUBSTITUTE(SUBSTITUTE(TRIM(K372),".",""),"/",""),"-","")," ",""),"(",""),")",""),"+",""))=11)),"OK","ERRO: use DDD + número (10 ou 11 dígitos)"))</f>
      </c>
      <c r="T372" s="6">
        <f>IF(L372="","vazio",IF(AND(ISNUMBER(FIND("@",L372)),ISNUMBER(FIND(".",MID(L372,FIND("@",L372),99))),NOT(ISNUMBER(FIND(" ",TRIM(L372)))),NOT(ISNUMBER(FIND(";",L372))),NOT(ISNUMBER(FIND(",",L372)))),"OK","ERRO: um e-mail válido por linha"))</f>
      </c>
      <c r="U372" s="6">
        <f>IF(COUNTA(A372:O372)=0,"",IF(AND(B372&lt;&gt;"",C372&lt;&gt;"",D372&lt;&gt;"",E372&lt;&gt;"",H372&lt;&gt;"",OR(J372&lt;&gt;"",L372&lt;&gt;"")),"OK","ERRO: faltam "&amp;IF(B372="","Proprietário; ","")&amp;IF(C372="","Origem; ","")&amp;IF(D372="","CNPJ; ","")&amp;IF(E372="","Razão Social; ","")&amp;IF(H372="","Sobrenome; ","")&amp;IF(AND(J372="",L372=""),"telefone ou e-mail; ","")))</f>
      </c>
      <c r="V372" s="6">
        <f>IF(COUNTA(A372:O372)=0,"",IF(AND(Q372="OK",R372="OK",LEFT(S372,4)&lt;&gt;"ERRO",LEFT(T372,4)&lt;&gt;"ERRO",U372="OK"),"OK","REVISAR"))</f>
      </c>
    </row>
    <row r="373">
      <c r="A373" s="4"/>
      <c r="B373" s="5"/>
      <c r="C373" s="5"/>
      <c r="D373" s="5"/>
      <c r="E373" s="5"/>
      <c r="F373" s="4"/>
      <c r="G373" s="4"/>
      <c r="H373" s="5"/>
      <c r="I373" s="4"/>
      <c r="J373" s="4"/>
      <c r="K373" s="4"/>
      <c r="L373" s="4"/>
      <c r="M373" s="4"/>
      <c r="N373" s="4"/>
      <c r="O373" s="4"/>
      <c r="P373" s="6">
        <f>IF(D373="","",SUBSTITUTE(SUBSTITUTE(SUBSTITUTE(SUBSTITUTE(SUBSTITUTE(SUBSTITUTE(SUBSTITUTE(TRIM(D373),".",""),"/",""),"-","")," ",""),"(",""),")",""),"+",""))</f>
      </c>
      <c r="Q373" s="6">
        <f>IF(P373="","",IF(LEN(P373)&lt;&gt;14,"ERRO: "&amp;LEN(P373)&amp;" dígitos",IF(NOT(ISNUMBER(VALUE(P373))),"ERRO: não numérico",IF(LEN(SUBSTITUTE(P373,LEFT(P373,1),""))=0,"ERRO: dígitos repetidos",IF(AND(VALUE(MID(P373,13,1))=IF(MOD(SUMPRODUCT(--MID(P373,{1,2,3,4,5,6,7,8,9,10,11,12},1),{5,4,3,2,9,8,7,6,5,4,3,2}),11)&lt;2,0,11-MOD(SUMPRODUCT(--MID(P373,{1,2,3,4,5,6,7,8,9,10,11,12},1),{5,4,3,2,9,8,7,6,5,4,3,2}),11)),VALUE(MID(P373,14,1))=IF(MOD(SUMPRODUCT(--MID(P373,{1,2,3,4,5,6,7,8,9,10,11,12,13},1),{6,5,4,3,2,9,8,7,6,5,4,3,2}),11)&lt;2,0,11-MOD(SUMPRODUCT(--MID(P373,{1,2,3,4,5,6,7,8,9,10,11,12,13},1),{6,5,4,3,2,9,8,7,6,5,4,3,2}),11))),"OK","ERRO: dígito verificador")))))</f>
      </c>
      <c r="R373" s="6">
        <f>IF(P373="","",IF(COUNTIF($P$2:$P$1001,P373)&gt;1,"DUPLICADO","OK"))</f>
      </c>
      <c r="S373" s="6">
        <f>IF(AND(J373="",K373=""),"vazio",IF(AND(OR(J373="",LEN(SUBSTITUTE(SUBSTITUTE(SUBSTITUTE(SUBSTITUTE(SUBSTITUTE(SUBSTITUTE(SUBSTITUTE(TRIM(J373),".",""),"/",""),"-","")," ",""),"(",""),")",""),"+",""))=10,LEN(SUBSTITUTE(SUBSTITUTE(SUBSTITUTE(SUBSTITUTE(SUBSTITUTE(SUBSTITUTE(SUBSTITUTE(TRIM(J373),".",""),"/",""),"-","")," ",""),"(",""),")",""),"+",""))=11),OR(K373="",LEN(SUBSTITUTE(SUBSTITUTE(SUBSTITUTE(SUBSTITUTE(SUBSTITUTE(SUBSTITUTE(SUBSTITUTE(TRIM(K373),".",""),"/",""),"-","")," ",""),"(",""),")",""),"+",""))=10,LEN(SUBSTITUTE(SUBSTITUTE(SUBSTITUTE(SUBSTITUTE(SUBSTITUTE(SUBSTITUTE(SUBSTITUTE(TRIM(K373),".",""),"/",""),"-","")," ",""),"(",""),")",""),"+",""))=11)),"OK","ERRO: use DDD + número (10 ou 11 dígitos)"))</f>
      </c>
      <c r="T373" s="6">
        <f>IF(L373="","vazio",IF(AND(ISNUMBER(FIND("@",L373)),ISNUMBER(FIND(".",MID(L373,FIND("@",L373),99))),NOT(ISNUMBER(FIND(" ",TRIM(L373)))),NOT(ISNUMBER(FIND(";",L373))),NOT(ISNUMBER(FIND(",",L373)))),"OK","ERRO: um e-mail válido por linha"))</f>
      </c>
      <c r="U373" s="6">
        <f>IF(COUNTA(A373:O373)=0,"",IF(AND(B373&lt;&gt;"",C373&lt;&gt;"",D373&lt;&gt;"",E373&lt;&gt;"",H373&lt;&gt;"",OR(J373&lt;&gt;"",L373&lt;&gt;"")),"OK","ERRO: faltam "&amp;IF(B373="","Proprietário; ","")&amp;IF(C373="","Origem; ","")&amp;IF(D373="","CNPJ; ","")&amp;IF(E373="","Razão Social; ","")&amp;IF(H373="","Sobrenome; ","")&amp;IF(AND(J373="",L373=""),"telefone ou e-mail; ","")))</f>
      </c>
      <c r="V373" s="6">
        <f>IF(COUNTA(A373:O373)=0,"",IF(AND(Q373="OK",R373="OK",LEFT(S373,4)&lt;&gt;"ERRO",LEFT(T373,4)&lt;&gt;"ERRO",U373="OK"),"OK","REVISAR"))</f>
      </c>
    </row>
    <row r="374">
      <c r="A374" s="4"/>
      <c r="B374" s="5"/>
      <c r="C374" s="5"/>
      <c r="D374" s="5"/>
      <c r="E374" s="5"/>
      <c r="F374" s="4"/>
      <c r="G374" s="4"/>
      <c r="H374" s="5"/>
      <c r="I374" s="4"/>
      <c r="J374" s="4"/>
      <c r="K374" s="4"/>
      <c r="L374" s="4"/>
      <c r="M374" s="4"/>
      <c r="N374" s="4"/>
      <c r="O374" s="4"/>
      <c r="P374" s="6">
        <f>IF(D374="","",SUBSTITUTE(SUBSTITUTE(SUBSTITUTE(SUBSTITUTE(SUBSTITUTE(SUBSTITUTE(SUBSTITUTE(TRIM(D374),".",""),"/",""),"-","")," ",""),"(",""),")",""),"+",""))</f>
      </c>
      <c r="Q374" s="6">
        <f>IF(P374="","",IF(LEN(P374)&lt;&gt;14,"ERRO: "&amp;LEN(P374)&amp;" dígitos",IF(NOT(ISNUMBER(VALUE(P374))),"ERRO: não numérico",IF(LEN(SUBSTITUTE(P374,LEFT(P374,1),""))=0,"ERRO: dígitos repetidos",IF(AND(VALUE(MID(P374,13,1))=IF(MOD(SUMPRODUCT(--MID(P374,{1,2,3,4,5,6,7,8,9,10,11,12},1),{5,4,3,2,9,8,7,6,5,4,3,2}),11)&lt;2,0,11-MOD(SUMPRODUCT(--MID(P374,{1,2,3,4,5,6,7,8,9,10,11,12},1),{5,4,3,2,9,8,7,6,5,4,3,2}),11)),VALUE(MID(P374,14,1))=IF(MOD(SUMPRODUCT(--MID(P374,{1,2,3,4,5,6,7,8,9,10,11,12,13},1),{6,5,4,3,2,9,8,7,6,5,4,3,2}),11)&lt;2,0,11-MOD(SUMPRODUCT(--MID(P374,{1,2,3,4,5,6,7,8,9,10,11,12,13},1),{6,5,4,3,2,9,8,7,6,5,4,3,2}),11))),"OK","ERRO: dígito verificador")))))</f>
      </c>
      <c r="R374" s="6">
        <f>IF(P374="","",IF(COUNTIF($P$2:$P$1001,P374)&gt;1,"DUPLICADO","OK"))</f>
      </c>
      <c r="S374" s="6">
        <f>IF(AND(J374="",K374=""),"vazio",IF(AND(OR(J374="",LEN(SUBSTITUTE(SUBSTITUTE(SUBSTITUTE(SUBSTITUTE(SUBSTITUTE(SUBSTITUTE(SUBSTITUTE(TRIM(J374),".",""),"/",""),"-","")," ",""),"(",""),")",""),"+",""))=10,LEN(SUBSTITUTE(SUBSTITUTE(SUBSTITUTE(SUBSTITUTE(SUBSTITUTE(SUBSTITUTE(SUBSTITUTE(TRIM(J374),".",""),"/",""),"-","")," ",""),"(",""),")",""),"+",""))=11),OR(K374="",LEN(SUBSTITUTE(SUBSTITUTE(SUBSTITUTE(SUBSTITUTE(SUBSTITUTE(SUBSTITUTE(SUBSTITUTE(TRIM(K374),".",""),"/",""),"-","")," ",""),"(",""),")",""),"+",""))=10,LEN(SUBSTITUTE(SUBSTITUTE(SUBSTITUTE(SUBSTITUTE(SUBSTITUTE(SUBSTITUTE(SUBSTITUTE(TRIM(K374),".",""),"/",""),"-","")," ",""),"(",""),")",""),"+",""))=11)),"OK","ERRO: use DDD + número (10 ou 11 dígitos)"))</f>
      </c>
      <c r="T374" s="6">
        <f>IF(L374="","vazio",IF(AND(ISNUMBER(FIND("@",L374)),ISNUMBER(FIND(".",MID(L374,FIND("@",L374),99))),NOT(ISNUMBER(FIND(" ",TRIM(L374)))),NOT(ISNUMBER(FIND(";",L374))),NOT(ISNUMBER(FIND(",",L374)))),"OK","ERRO: um e-mail válido por linha"))</f>
      </c>
      <c r="U374" s="6">
        <f>IF(COUNTA(A374:O374)=0,"",IF(AND(B374&lt;&gt;"",C374&lt;&gt;"",D374&lt;&gt;"",E374&lt;&gt;"",H374&lt;&gt;"",OR(J374&lt;&gt;"",L374&lt;&gt;"")),"OK","ERRO: faltam "&amp;IF(B374="","Proprietário; ","")&amp;IF(C374="","Origem; ","")&amp;IF(D374="","CNPJ; ","")&amp;IF(E374="","Razão Social; ","")&amp;IF(H374="","Sobrenome; ","")&amp;IF(AND(J374="",L374=""),"telefone ou e-mail; ","")))</f>
      </c>
      <c r="V374" s="6">
        <f>IF(COUNTA(A374:O374)=0,"",IF(AND(Q374="OK",R374="OK",LEFT(S374,4)&lt;&gt;"ERRO",LEFT(T374,4)&lt;&gt;"ERRO",U374="OK"),"OK","REVISAR"))</f>
      </c>
    </row>
    <row r="375">
      <c r="A375" s="4"/>
      <c r="B375" s="5"/>
      <c r="C375" s="5"/>
      <c r="D375" s="5"/>
      <c r="E375" s="5"/>
      <c r="F375" s="4"/>
      <c r="G375" s="4"/>
      <c r="H375" s="5"/>
      <c r="I375" s="4"/>
      <c r="J375" s="4"/>
      <c r="K375" s="4"/>
      <c r="L375" s="4"/>
      <c r="M375" s="4"/>
      <c r="N375" s="4"/>
      <c r="O375" s="4"/>
      <c r="P375" s="6">
        <f>IF(D375="","",SUBSTITUTE(SUBSTITUTE(SUBSTITUTE(SUBSTITUTE(SUBSTITUTE(SUBSTITUTE(SUBSTITUTE(TRIM(D375),".",""),"/",""),"-","")," ",""),"(",""),")",""),"+",""))</f>
      </c>
      <c r="Q375" s="6">
        <f>IF(P375="","",IF(LEN(P375)&lt;&gt;14,"ERRO: "&amp;LEN(P375)&amp;" dígitos",IF(NOT(ISNUMBER(VALUE(P375))),"ERRO: não numérico",IF(LEN(SUBSTITUTE(P375,LEFT(P375,1),""))=0,"ERRO: dígitos repetidos",IF(AND(VALUE(MID(P375,13,1))=IF(MOD(SUMPRODUCT(--MID(P375,{1,2,3,4,5,6,7,8,9,10,11,12},1),{5,4,3,2,9,8,7,6,5,4,3,2}),11)&lt;2,0,11-MOD(SUMPRODUCT(--MID(P375,{1,2,3,4,5,6,7,8,9,10,11,12},1),{5,4,3,2,9,8,7,6,5,4,3,2}),11)),VALUE(MID(P375,14,1))=IF(MOD(SUMPRODUCT(--MID(P375,{1,2,3,4,5,6,7,8,9,10,11,12,13},1),{6,5,4,3,2,9,8,7,6,5,4,3,2}),11)&lt;2,0,11-MOD(SUMPRODUCT(--MID(P375,{1,2,3,4,5,6,7,8,9,10,11,12,13},1),{6,5,4,3,2,9,8,7,6,5,4,3,2}),11))),"OK","ERRO: dígito verificador")))))</f>
      </c>
      <c r="R375" s="6">
        <f>IF(P375="","",IF(COUNTIF($P$2:$P$1001,P375)&gt;1,"DUPLICADO","OK"))</f>
      </c>
      <c r="S375" s="6">
        <f>IF(AND(J375="",K375=""),"vazio",IF(AND(OR(J375="",LEN(SUBSTITUTE(SUBSTITUTE(SUBSTITUTE(SUBSTITUTE(SUBSTITUTE(SUBSTITUTE(SUBSTITUTE(TRIM(J375),".",""),"/",""),"-","")," ",""),"(",""),")",""),"+",""))=10,LEN(SUBSTITUTE(SUBSTITUTE(SUBSTITUTE(SUBSTITUTE(SUBSTITUTE(SUBSTITUTE(SUBSTITUTE(TRIM(J375),".",""),"/",""),"-","")," ",""),"(",""),")",""),"+",""))=11),OR(K375="",LEN(SUBSTITUTE(SUBSTITUTE(SUBSTITUTE(SUBSTITUTE(SUBSTITUTE(SUBSTITUTE(SUBSTITUTE(TRIM(K375),".",""),"/",""),"-","")," ",""),"(",""),")",""),"+",""))=10,LEN(SUBSTITUTE(SUBSTITUTE(SUBSTITUTE(SUBSTITUTE(SUBSTITUTE(SUBSTITUTE(SUBSTITUTE(TRIM(K375),".",""),"/",""),"-","")," ",""),"(",""),")",""),"+",""))=11)),"OK","ERRO: use DDD + número (10 ou 11 dígitos)"))</f>
      </c>
      <c r="T375" s="6">
        <f>IF(L375="","vazio",IF(AND(ISNUMBER(FIND("@",L375)),ISNUMBER(FIND(".",MID(L375,FIND("@",L375),99))),NOT(ISNUMBER(FIND(" ",TRIM(L375)))),NOT(ISNUMBER(FIND(";",L375))),NOT(ISNUMBER(FIND(",",L375)))),"OK","ERRO: um e-mail válido por linha"))</f>
      </c>
      <c r="U375" s="6">
        <f>IF(COUNTA(A375:O375)=0,"",IF(AND(B375&lt;&gt;"",C375&lt;&gt;"",D375&lt;&gt;"",E375&lt;&gt;"",H375&lt;&gt;"",OR(J375&lt;&gt;"",L375&lt;&gt;"")),"OK","ERRO: faltam "&amp;IF(B375="","Proprietário; ","")&amp;IF(C375="","Origem; ","")&amp;IF(D375="","CNPJ; ","")&amp;IF(E375="","Razão Social; ","")&amp;IF(H375="","Sobrenome; ","")&amp;IF(AND(J375="",L375=""),"telefone ou e-mail; ","")))</f>
      </c>
      <c r="V375" s="6">
        <f>IF(COUNTA(A375:O375)=0,"",IF(AND(Q375="OK",R375="OK",LEFT(S375,4)&lt;&gt;"ERRO",LEFT(T375,4)&lt;&gt;"ERRO",U375="OK"),"OK","REVISAR"))</f>
      </c>
    </row>
    <row r="376">
      <c r="A376" s="4"/>
      <c r="B376" s="5"/>
      <c r="C376" s="5"/>
      <c r="D376" s="5"/>
      <c r="E376" s="5"/>
      <c r="F376" s="4"/>
      <c r="G376" s="4"/>
      <c r="H376" s="5"/>
      <c r="I376" s="4"/>
      <c r="J376" s="4"/>
      <c r="K376" s="4"/>
      <c r="L376" s="4"/>
      <c r="M376" s="4"/>
      <c r="N376" s="4"/>
      <c r="O376" s="4"/>
      <c r="P376" s="6">
        <f>IF(D376="","",SUBSTITUTE(SUBSTITUTE(SUBSTITUTE(SUBSTITUTE(SUBSTITUTE(SUBSTITUTE(SUBSTITUTE(TRIM(D376),".",""),"/",""),"-","")," ",""),"(",""),")",""),"+",""))</f>
      </c>
      <c r="Q376" s="6">
        <f>IF(P376="","",IF(LEN(P376)&lt;&gt;14,"ERRO: "&amp;LEN(P376)&amp;" dígitos",IF(NOT(ISNUMBER(VALUE(P376))),"ERRO: não numérico",IF(LEN(SUBSTITUTE(P376,LEFT(P376,1),""))=0,"ERRO: dígitos repetidos",IF(AND(VALUE(MID(P376,13,1))=IF(MOD(SUMPRODUCT(--MID(P376,{1,2,3,4,5,6,7,8,9,10,11,12},1),{5,4,3,2,9,8,7,6,5,4,3,2}),11)&lt;2,0,11-MOD(SUMPRODUCT(--MID(P376,{1,2,3,4,5,6,7,8,9,10,11,12},1),{5,4,3,2,9,8,7,6,5,4,3,2}),11)),VALUE(MID(P376,14,1))=IF(MOD(SUMPRODUCT(--MID(P376,{1,2,3,4,5,6,7,8,9,10,11,12,13},1),{6,5,4,3,2,9,8,7,6,5,4,3,2}),11)&lt;2,0,11-MOD(SUMPRODUCT(--MID(P376,{1,2,3,4,5,6,7,8,9,10,11,12,13},1),{6,5,4,3,2,9,8,7,6,5,4,3,2}),11))),"OK","ERRO: dígito verificador")))))</f>
      </c>
      <c r="R376" s="6">
        <f>IF(P376="","",IF(COUNTIF($P$2:$P$1001,P376)&gt;1,"DUPLICADO","OK"))</f>
      </c>
      <c r="S376" s="6">
        <f>IF(AND(J376="",K376=""),"vazio",IF(AND(OR(J376="",LEN(SUBSTITUTE(SUBSTITUTE(SUBSTITUTE(SUBSTITUTE(SUBSTITUTE(SUBSTITUTE(SUBSTITUTE(TRIM(J376),".",""),"/",""),"-","")," ",""),"(",""),")",""),"+",""))=10,LEN(SUBSTITUTE(SUBSTITUTE(SUBSTITUTE(SUBSTITUTE(SUBSTITUTE(SUBSTITUTE(SUBSTITUTE(TRIM(J376),".",""),"/",""),"-","")," ",""),"(",""),")",""),"+",""))=11),OR(K376="",LEN(SUBSTITUTE(SUBSTITUTE(SUBSTITUTE(SUBSTITUTE(SUBSTITUTE(SUBSTITUTE(SUBSTITUTE(TRIM(K376),".",""),"/",""),"-","")," ",""),"(",""),")",""),"+",""))=10,LEN(SUBSTITUTE(SUBSTITUTE(SUBSTITUTE(SUBSTITUTE(SUBSTITUTE(SUBSTITUTE(SUBSTITUTE(TRIM(K376),".",""),"/",""),"-","")," ",""),"(",""),")",""),"+",""))=11)),"OK","ERRO: use DDD + número (10 ou 11 dígitos)"))</f>
      </c>
      <c r="T376" s="6">
        <f>IF(L376="","vazio",IF(AND(ISNUMBER(FIND("@",L376)),ISNUMBER(FIND(".",MID(L376,FIND("@",L376),99))),NOT(ISNUMBER(FIND(" ",TRIM(L376)))),NOT(ISNUMBER(FIND(";",L376))),NOT(ISNUMBER(FIND(",",L376)))),"OK","ERRO: um e-mail válido por linha"))</f>
      </c>
      <c r="U376" s="6">
        <f>IF(COUNTA(A376:O376)=0,"",IF(AND(B376&lt;&gt;"",C376&lt;&gt;"",D376&lt;&gt;"",E376&lt;&gt;"",H376&lt;&gt;"",OR(J376&lt;&gt;"",L376&lt;&gt;"")),"OK","ERRO: faltam "&amp;IF(B376="","Proprietário; ","")&amp;IF(C376="","Origem; ","")&amp;IF(D376="","CNPJ; ","")&amp;IF(E376="","Razão Social; ","")&amp;IF(H376="","Sobrenome; ","")&amp;IF(AND(J376="",L376=""),"telefone ou e-mail; ","")))</f>
      </c>
      <c r="V376" s="6">
        <f>IF(COUNTA(A376:O376)=0,"",IF(AND(Q376="OK",R376="OK",LEFT(S376,4)&lt;&gt;"ERRO",LEFT(T376,4)&lt;&gt;"ERRO",U376="OK"),"OK","REVISAR"))</f>
      </c>
    </row>
    <row r="377">
      <c r="A377" s="4"/>
      <c r="B377" s="5"/>
      <c r="C377" s="5"/>
      <c r="D377" s="5"/>
      <c r="E377" s="5"/>
      <c r="F377" s="4"/>
      <c r="G377" s="4"/>
      <c r="H377" s="5"/>
      <c r="I377" s="4"/>
      <c r="J377" s="4"/>
      <c r="K377" s="4"/>
      <c r="L377" s="4"/>
      <c r="M377" s="4"/>
      <c r="N377" s="4"/>
      <c r="O377" s="4"/>
      <c r="P377" s="6">
        <f>IF(D377="","",SUBSTITUTE(SUBSTITUTE(SUBSTITUTE(SUBSTITUTE(SUBSTITUTE(SUBSTITUTE(SUBSTITUTE(TRIM(D377),".",""),"/",""),"-","")," ",""),"(",""),")",""),"+",""))</f>
      </c>
      <c r="Q377" s="6">
        <f>IF(P377="","",IF(LEN(P377)&lt;&gt;14,"ERRO: "&amp;LEN(P377)&amp;" dígitos",IF(NOT(ISNUMBER(VALUE(P377))),"ERRO: não numérico",IF(LEN(SUBSTITUTE(P377,LEFT(P377,1),""))=0,"ERRO: dígitos repetidos",IF(AND(VALUE(MID(P377,13,1))=IF(MOD(SUMPRODUCT(--MID(P377,{1,2,3,4,5,6,7,8,9,10,11,12},1),{5,4,3,2,9,8,7,6,5,4,3,2}),11)&lt;2,0,11-MOD(SUMPRODUCT(--MID(P377,{1,2,3,4,5,6,7,8,9,10,11,12},1),{5,4,3,2,9,8,7,6,5,4,3,2}),11)),VALUE(MID(P377,14,1))=IF(MOD(SUMPRODUCT(--MID(P377,{1,2,3,4,5,6,7,8,9,10,11,12,13},1),{6,5,4,3,2,9,8,7,6,5,4,3,2}),11)&lt;2,0,11-MOD(SUMPRODUCT(--MID(P377,{1,2,3,4,5,6,7,8,9,10,11,12,13},1),{6,5,4,3,2,9,8,7,6,5,4,3,2}),11))),"OK","ERRO: dígito verificador")))))</f>
      </c>
      <c r="R377" s="6">
        <f>IF(P377="","",IF(COUNTIF($P$2:$P$1001,P377)&gt;1,"DUPLICADO","OK"))</f>
      </c>
      <c r="S377" s="6">
        <f>IF(AND(J377="",K377=""),"vazio",IF(AND(OR(J377="",LEN(SUBSTITUTE(SUBSTITUTE(SUBSTITUTE(SUBSTITUTE(SUBSTITUTE(SUBSTITUTE(SUBSTITUTE(TRIM(J377),".",""),"/",""),"-","")," ",""),"(",""),")",""),"+",""))=10,LEN(SUBSTITUTE(SUBSTITUTE(SUBSTITUTE(SUBSTITUTE(SUBSTITUTE(SUBSTITUTE(SUBSTITUTE(TRIM(J377),".",""),"/",""),"-","")," ",""),"(",""),")",""),"+",""))=11),OR(K377="",LEN(SUBSTITUTE(SUBSTITUTE(SUBSTITUTE(SUBSTITUTE(SUBSTITUTE(SUBSTITUTE(SUBSTITUTE(TRIM(K377),".",""),"/",""),"-","")," ",""),"(",""),")",""),"+",""))=10,LEN(SUBSTITUTE(SUBSTITUTE(SUBSTITUTE(SUBSTITUTE(SUBSTITUTE(SUBSTITUTE(SUBSTITUTE(TRIM(K377),".",""),"/",""),"-","")," ",""),"(",""),")",""),"+",""))=11)),"OK","ERRO: use DDD + número (10 ou 11 dígitos)"))</f>
      </c>
      <c r="T377" s="6">
        <f>IF(L377="","vazio",IF(AND(ISNUMBER(FIND("@",L377)),ISNUMBER(FIND(".",MID(L377,FIND("@",L377),99))),NOT(ISNUMBER(FIND(" ",TRIM(L377)))),NOT(ISNUMBER(FIND(";",L377))),NOT(ISNUMBER(FIND(",",L377)))),"OK","ERRO: um e-mail válido por linha"))</f>
      </c>
      <c r="U377" s="6">
        <f>IF(COUNTA(A377:O377)=0,"",IF(AND(B377&lt;&gt;"",C377&lt;&gt;"",D377&lt;&gt;"",E377&lt;&gt;"",H377&lt;&gt;"",OR(J377&lt;&gt;"",L377&lt;&gt;"")),"OK","ERRO: faltam "&amp;IF(B377="","Proprietário; ","")&amp;IF(C377="","Origem; ","")&amp;IF(D377="","CNPJ; ","")&amp;IF(E377="","Razão Social; ","")&amp;IF(H377="","Sobrenome; ","")&amp;IF(AND(J377="",L377=""),"telefone ou e-mail; ","")))</f>
      </c>
      <c r="V377" s="6">
        <f>IF(COUNTA(A377:O377)=0,"",IF(AND(Q377="OK",R377="OK",LEFT(S377,4)&lt;&gt;"ERRO",LEFT(T377,4)&lt;&gt;"ERRO",U377="OK"),"OK","REVISAR"))</f>
      </c>
    </row>
    <row r="378">
      <c r="A378" s="4"/>
      <c r="B378" s="5"/>
      <c r="C378" s="5"/>
      <c r="D378" s="5"/>
      <c r="E378" s="5"/>
      <c r="F378" s="4"/>
      <c r="G378" s="4"/>
      <c r="H378" s="5"/>
      <c r="I378" s="4"/>
      <c r="J378" s="4"/>
      <c r="K378" s="4"/>
      <c r="L378" s="4"/>
      <c r="M378" s="4"/>
      <c r="N378" s="4"/>
      <c r="O378" s="4"/>
      <c r="P378" s="6">
        <f>IF(D378="","",SUBSTITUTE(SUBSTITUTE(SUBSTITUTE(SUBSTITUTE(SUBSTITUTE(SUBSTITUTE(SUBSTITUTE(TRIM(D378),".",""),"/",""),"-","")," ",""),"(",""),")",""),"+",""))</f>
      </c>
      <c r="Q378" s="6">
        <f>IF(P378="","",IF(LEN(P378)&lt;&gt;14,"ERRO: "&amp;LEN(P378)&amp;" dígitos",IF(NOT(ISNUMBER(VALUE(P378))),"ERRO: não numérico",IF(LEN(SUBSTITUTE(P378,LEFT(P378,1),""))=0,"ERRO: dígitos repetidos",IF(AND(VALUE(MID(P378,13,1))=IF(MOD(SUMPRODUCT(--MID(P378,{1,2,3,4,5,6,7,8,9,10,11,12},1),{5,4,3,2,9,8,7,6,5,4,3,2}),11)&lt;2,0,11-MOD(SUMPRODUCT(--MID(P378,{1,2,3,4,5,6,7,8,9,10,11,12},1),{5,4,3,2,9,8,7,6,5,4,3,2}),11)),VALUE(MID(P378,14,1))=IF(MOD(SUMPRODUCT(--MID(P378,{1,2,3,4,5,6,7,8,9,10,11,12,13},1),{6,5,4,3,2,9,8,7,6,5,4,3,2}),11)&lt;2,0,11-MOD(SUMPRODUCT(--MID(P378,{1,2,3,4,5,6,7,8,9,10,11,12,13},1),{6,5,4,3,2,9,8,7,6,5,4,3,2}),11))),"OK","ERRO: dígito verificador")))))</f>
      </c>
      <c r="R378" s="6">
        <f>IF(P378="","",IF(COUNTIF($P$2:$P$1001,P378)&gt;1,"DUPLICADO","OK"))</f>
      </c>
      <c r="S378" s="6">
        <f>IF(AND(J378="",K378=""),"vazio",IF(AND(OR(J378="",LEN(SUBSTITUTE(SUBSTITUTE(SUBSTITUTE(SUBSTITUTE(SUBSTITUTE(SUBSTITUTE(SUBSTITUTE(TRIM(J378),".",""),"/",""),"-","")," ",""),"(",""),")",""),"+",""))=10,LEN(SUBSTITUTE(SUBSTITUTE(SUBSTITUTE(SUBSTITUTE(SUBSTITUTE(SUBSTITUTE(SUBSTITUTE(TRIM(J378),".",""),"/",""),"-","")," ",""),"(",""),")",""),"+",""))=11),OR(K378="",LEN(SUBSTITUTE(SUBSTITUTE(SUBSTITUTE(SUBSTITUTE(SUBSTITUTE(SUBSTITUTE(SUBSTITUTE(TRIM(K378),".",""),"/",""),"-","")," ",""),"(",""),")",""),"+",""))=10,LEN(SUBSTITUTE(SUBSTITUTE(SUBSTITUTE(SUBSTITUTE(SUBSTITUTE(SUBSTITUTE(SUBSTITUTE(TRIM(K378),".",""),"/",""),"-","")," ",""),"(",""),")",""),"+",""))=11)),"OK","ERRO: use DDD + número (10 ou 11 dígitos)"))</f>
      </c>
      <c r="T378" s="6">
        <f>IF(L378="","vazio",IF(AND(ISNUMBER(FIND("@",L378)),ISNUMBER(FIND(".",MID(L378,FIND("@",L378),99))),NOT(ISNUMBER(FIND(" ",TRIM(L378)))),NOT(ISNUMBER(FIND(";",L378))),NOT(ISNUMBER(FIND(",",L378)))),"OK","ERRO: um e-mail válido por linha"))</f>
      </c>
      <c r="U378" s="6">
        <f>IF(COUNTA(A378:O378)=0,"",IF(AND(B378&lt;&gt;"",C378&lt;&gt;"",D378&lt;&gt;"",E378&lt;&gt;"",H378&lt;&gt;"",OR(J378&lt;&gt;"",L378&lt;&gt;"")),"OK","ERRO: faltam "&amp;IF(B378="","Proprietário; ","")&amp;IF(C378="","Origem; ","")&amp;IF(D378="","CNPJ; ","")&amp;IF(E378="","Razão Social; ","")&amp;IF(H378="","Sobrenome; ","")&amp;IF(AND(J378="",L378=""),"telefone ou e-mail; ","")))</f>
      </c>
      <c r="V378" s="6">
        <f>IF(COUNTA(A378:O378)=0,"",IF(AND(Q378="OK",R378="OK",LEFT(S378,4)&lt;&gt;"ERRO",LEFT(T378,4)&lt;&gt;"ERRO",U378="OK"),"OK","REVISAR"))</f>
      </c>
    </row>
    <row r="379">
      <c r="A379" s="4"/>
      <c r="B379" s="5"/>
      <c r="C379" s="5"/>
      <c r="D379" s="5"/>
      <c r="E379" s="5"/>
      <c r="F379" s="4"/>
      <c r="G379" s="4"/>
      <c r="H379" s="5"/>
      <c r="I379" s="4"/>
      <c r="J379" s="4"/>
      <c r="K379" s="4"/>
      <c r="L379" s="4"/>
      <c r="M379" s="4"/>
      <c r="N379" s="4"/>
      <c r="O379" s="4"/>
      <c r="P379" s="6">
        <f>IF(D379="","",SUBSTITUTE(SUBSTITUTE(SUBSTITUTE(SUBSTITUTE(SUBSTITUTE(SUBSTITUTE(SUBSTITUTE(TRIM(D379),".",""),"/",""),"-","")," ",""),"(",""),")",""),"+",""))</f>
      </c>
      <c r="Q379" s="6">
        <f>IF(P379="","",IF(LEN(P379)&lt;&gt;14,"ERRO: "&amp;LEN(P379)&amp;" dígitos",IF(NOT(ISNUMBER(VALUE(P379))),"ERRO: não numérico",IF(LEN(SUBSTITUTE(P379,LEFT(P379,1),""))=0,"ERRO: dígitos repetidos",IF(AND(VALUE(MID(P379,13,1))=IF(MOD(SUMPRODUCT(--MID(P379,{1,2,3,4,5,6,7,8,9,10,11,12},1),{5,4,3,2,9,8,7,6,5,4,3,2}),11)&lt;2,0,11-MOD(SUMPRODUCT(--MID(P379,{1,2,3,4,5,6,7,8,9,10,11,12},1),{5,4,3,2,9,8,7,6,5,4,3,2}),11)),VALUE(MID(P379,14,1))=IF(MOD(SUMPRODUCT(--MID(P379,{1,2,3,4,5,6,7,8,9,10,11,12,13},1),{6,5,4,3,2,9,8,7,6,5,4,3,2}),11)&lt;2,0,11-MOD(SUMPRODUCT(--MID(P379,{1,2,3,4,5,6,7,8,9,10,11,12,13},1),{6,5,4,3,2,9,8,7,6,5,4,3,2}),11))),"OK","ERRO: dígito verificador")))))</f>
      </c>
      <c r="R379" s="6">
        <f>IF(P379="","",IF(COUNTIF($P$2:$P$1001,P379)&gt;1,"DUPLICADO","OK"))</f>
      </c>
      <c r="S379" s="6">
        <f>IF(AND(J379="",K379=""),"vazio",IF(AND(OR(J379="",LEN(SUBSTITUTE(SUBSTITUTE(SUBSTITUTE(SUBSTITUTE(SUBSTITUTE(SUBSTITUTE(SUBSTITUTE(TRIM(J379),".",""),"/",""),"-","")," ",""),"(",""),")",""),"+",""))=10,LEN(SUBSTITUTE(SUBSTITUTE(SUBSTITUTE(SUBSTITUTE(SUBSTITUTE(SUBSTITUTE(SUBSTITUTE(TRIM(J379),".",""),"/",""),"-","")," ",""),"(",""),")",""),"+",""))=11),OR(K379="",LEN(SUBSTITUTE(SUBSTITUTE(SUBSTITUTE(SUBSTITUTE(SUBSTITUTE(SUBSTITUTE(SUBSTITUTE(TRIM(K379),".",""),"/",""),"-","")," ",""),"(",""),")",""),"+",""))=10,LEN(SUBSTITUTE(SUBSTITUTE(SUBSTITUTE(SUBSTITUTE(SUBSTITUTE(SUBSTITUTE(SUBSTITUTE(TRIM(K379),".",""),"/",""),"-","")," ",""),"(",""),")",""),"+",""))=11)),"OK","ERRO: use DDD + número (10 ou 11 dígitos)"))</f>
      </c>
      <c r="T379" s="6">
        <f>IF(L379="","vazio",IF(AND(ISNUMBER(FIND("@",L379)),ISNUMBER(FIND(".",MID(L379,FIND("@",L379),99))),NOT(ISNUMBER(FIND(" ",TRIM(L379)))),NOT(ISNUMBER(FIND(";",L379))),NOT(ISNUMBER(FIND(",",L379)))),"OK","ERRO: um e-mail válido por linha"))</f>
      </c>
      <c r="U379" s="6">
        <f>IF(COUNTA(A379:O379)=0,"",IF(AND(B379&lt;&gt;"",C379&lt;&gt;"",D379&lt;&gt;"",E379&lt;&gt;"",H379&lt;&gt;"",OR(J379&lt;&gt;"",L379&lt;&gt;"")),"OK","ERRO: faltam "&amp;IF(B379="","Proprietário; ","")&amp;IF(C379="","Origem; ","")&amp;IF(D379="","CNPJ; ","")&amp;IF(E379="","Razão Social; ","")&amp;IF(H379="","Sobrenome; ","")&amp;IF(AND(J379="",L379=""),"telefone ou e-mail; ","")))</f>
      </c>
      <c r="V379" s="6">
        <f>IF(COUNTA(A379:O379)=0,"",IF(AND(Q379="OK",R379="OK",LEFT(S379,4)&lt;&gt;"ERRO",LEFT(T379,4)&lt;&gt;"ERRO",U379="OK"),"OK","REVISAR"))</f>
      </c>
    </row>
    <row r="380">
      <c r="A380" s="4"/>
      <c r="B380" s="5"/>
      <c r="C380" s="5"/>
      <c r="D380" s="5"/>
      <c r="E380" s="5"/>
      <c r="F380" s="4"/>
      <c r="G380" s="4"/>
      <c r="H380" s="5"/>
      <c r="I380" s="4"/>
      <c r="J380" s="4"/>
      <c r="K380" s="4"/>
      <c r="L380" s="4"/>
      <c r="M380" s="4"/>
      <c r="N380" s="4"/>
      <c r="O380" s="4"/>
      <c r="P380" s="6">
        <f>IF(D380="","",SUBSTITUTE(SUBSTITUTE(SUBSTITUTE(SUBSTITUTE(SUBSTITUTE(SUBSTITUTE(SUBSTITUTE(TRIM(D380),".",""),"/",""),"-","")," ",""),"(",""),")",""),"+",""))</f>
      </c>
      <c r="Q380" s="6">
        <f>IF(P380="","",IF(LEN(P380)&lt;&gt;14,"ERRO: "&amp;LEN(P380)&amp;" dígitos",IF(NOT(ISNUMBER(VALUE(P380))),"ERRO: não numérico",IF(LEN(SUBSTITUTE(P380,LEFT(P380,1),""))=0,"ERRO: dígitos repetidos",IF(AND(VALUE(MID(P380,13,1))=IF(MOD(SUMPRODUCT(--MID(P380,{1,2,3,4,5,6,7,8,9,10,11,12},1),{5,4,3,2,9,8,7,6,5,4,3,2}),11)&lt;2,0,11-MOD(SUMPRODUCT(--MID(P380,{1,2,3,4,5,6,7,8,9,10,11,12},1),{5,4,3,2,9,8,7,6,5,4,3,2}),11)),VALUE(MID(P380,14,1))=IF(MOD(SUMPRODUCT(--MID(P380,{1,2,3,4,5,6,7,8,9,10,11,12,13},1),{6,5,4,3,2,9,8,7,6,5,4,3,2}),11)&lt;2,0,11-MOD(SUMPRODUCT(--MID(P380,{1,2,3,4,5,6,7,8,9,10,11,12,13},1),{6,5,4,3,2,9,8,7,6,5,4,3,2}),11))),"OK","ERRO: dígito verificador")))))</f>
      </c>
      <c r="R380" s="6">
        <f>IF(P380="","",IF(COUNTIF($P$2:$P$1001,P380)&gt;1,"DUPLICADO","OK"))</f>
      </c>
      <c r="S380" s="6">
        <f>IF(AND(J380="",K380=""),"vazio",IF(AND(OR(J380="",LEN(SUBSTITUTE(SUBSTITUTE(SUBSTITUTE(SUBSTITUTE(SUBSTITUTE(SUBSTITUTE(SUBSTITUTE(TRIM(J380),".",""),"/",""),"-","")," ",""),"(",""),")",""),"+",""))=10,LEN(SUBSTITUTE(SUBSTITUTE(SUBSTITUTE(SUBSTITUTE(SUBSTITUTE(SUBSTITUTE(SUBSTITUTE(TRIM(J380),".",""),"/",""),"-","")," ",""),"(",""),")",""),"+",""))=11),OR(K380="",LEN(SUBSTITUTE(SUBSTITUTE(SUBSTITUTE(SUBSTITUTE(SUBSTITUTE(SUBSTITUTE(SUBSTITUTE(TRIM(K380),".",""),"/",""),"-","")," ",""),"(",""),")",""),"+",""))=10,LEN(SUBSTITUTE(SUBSTITUTE(SUBSTITUTE(SUBSTITUTE(SUBSTITUTE(SUBSTITUTE(SUBSTITUTE(TRIM(K380),".",""),"/",""),"-","")," ",""),"(",""),")",""),"+",""))=11)),"OK","ERRO: use DDD + número (10 ou 11 dígitos)"))</f>
      </c>
      <c r="T380" s="6">
        <f>IF(L380="","vazio",IF(AND(ISNUMBER(FIND("@",L380)),ISNUMBER(FIND(".",MID(L380,FIND("@",L380),99))),NOT(ISNUMBER(FIND(" ",TRIM(L380)))),NOT(ISNUMBER(FIND(";",L380))),NOT(ISNUMBER(FIND(",",L380)))),"OK","ERRO: um e-mail válido por linha"))</f>
      </c>
      <c r="U380" s="6">
        <f>IF(COUNTA(A380:O380)=0,"",IF(AND(B380&lt;&gt;"",C380&lt;&gt;"",D380&lt;&gt;"",E380&lt;&gt;"",H380&lt;&gt;"",OR(J380&lt;&gt;"",L380&lt;&gt;"")),"OK","ERRO: faltam "&amp;IF(B380="","Proprietário; ","")&amp;IF(C380="","Origem; ","")&amp;IF(D380="","CNPJ; ","")&amp;IF(E380="","Razão Social; ","")&amp;IF(H380="","Sobrenome; ","")&amp;IF(AND(J380="",L380=""),"telefone ou e-mail; ","")))</f>
      </c>
      <c r="V380" s="6">
        <f>IF(COUNTA(A380:O380)=0,"",IF(AND(Q380="OK",R380="OK",LEFT(S380,4)&lt;&gt;"ERRO",LEFT(T380,4)&lt;&gt;"ERRO",U380="OK"),"OK","REVISAR"))</f>
      </c>
    </row>
    <row r="381">
      <c r="A381" s="4"/>
      <c r="B381" s="5"/>
      <c r="C381" s="5"/>
      <c r="D381" s="5"/>
      <c r="E381" s="5"/>
      <c r="F381" s="4"/>
      <c r="G381" s="4"/>
      <c r="H381" s="5"/>
      <c r="I381" s="4"/>
      <c r="J381" s="4"/>
      <c r="K381" s="4"/>
      <c r="L381" s="4"/>
      <c r="M381" s="4"/>
      <c r="N381" s="4"/>
      <c r="O381" s="4"/>
      <c r="P381" s="6">
        <f>IF(D381="","",SUBSTITUTE(SUBSTITUTE(SUBSTITUTE(SUBSTITUTE(SUBSTITUTE(SUBSTITUTE(SUBSTITUTE(TRIM(D381),".",""),"/",""),"-","")," ",""),"(",""),")",""),"+",""))</f>
      </c>
      <c r="Q381" s="6">
        <f>IF(P381="","",IF(LEN(P381)&lt;&gt;14,"ERRO: "&amp;LEN(P381)&amp;" dígitos",IF(NOT(ISNUMBER(VALUE(P381))),"ERRO: não numérico",IF(LEN(SUBSTITUTE(P381,LEFT(P381,1),""))=0,"ERRO: dígitos repetidos",IF(AND(VALUE(MID(P381,13,1))=IF(MOD(SUMPRODUCT(--MID(P381,{1,2,3,4,5,6,7,8,9,10,11,12},1),{5,4,3,2,9,8,7,6,5,4,3,2}),11)&lt;2,0,11-MOD(SUMPRODUCT(--MID(P381,{1,2,3,4,5,6,7,8,9,10,11,12},1),{5,4,3,2,9,8,7,6,5,4,3,2}),11)),VALUE(MID(P381,14,1))=IF(MOD(SUMPRODUCT(--MID(P381,{1,2,3,4,5,6,7,8,9,10,11,12,13},1),{6,5,4,3,2,9,8,7,6,5,4,3,2}),11)&lt;2,0,11-MOD(SUMPRODUCT(--MID(P381,{1,2,3,4,5,6,7,8,9,10,11,12,13},1),{6,5,4,3,2,9,8,7,6,5,4,3,2}),11))),"OK","ERRO: dígito verificador")))))</f>
      </c>
      <c r="R381" s="6">
        <f>IF(P381="","",IF(COUNTIF($P$2:$P$1001,P381)&gt;1,"DUPLICADO","OK"))</f>
      </c>
      <c r="S381" s="6">
        <f>IF(AND(J381="",K381=""),"vazio",IF(AND(OR(J381="",LEN(SUBSTITUTE(SUBSTITUTE(SUBSTITUTE(SUBSTITUTE(SUBSTITUTE(SUBSTITUTE(SUBSTITUTE(TRIM(J381),".",""),"/",""),"-","")," ",""),"(",""),")",""),"+",""))=10,LEN(SUBSTITUTE(SUBSTITUTE(SUBSTITUTE(SUBSTITUTE(SUBSTITUTE(SUBSTITUTE(SUBSTITUTE(TRIM(J381),".",""),"/",""),"-","")," ",""),"(",""),")",""),"+",""))=11),OR(K381="",LEN(SUBSTITUTE(SUBSTITUTE(SUBSTITUTE(SUBSTITUTE(SUBSTITUTE(SUBSTITUTE(SUBSTITUTE(TRIM(K381),".",""),"/",""),"-","")," ",""),"(",""),")",""),"+",""))=10,LEN(SUBSTITUTE(SUBSTITUTE(SUBSTITUTE(SUBSTITUTE(SUBSTITUTE(SUBSTITUTE(SUBSTITUTE(TRIM(K381),".",""),"/",""),"-","")," ",""),"(",""),")",""),"+",""))=11)),"OK","ERRO: use DDD + número (10 ou 11 dígitos)"))</f>
      </c>
      <c r="T381" s="6">
        <f>IF(L381="","vazio",IF(AND(ISNUMBER(FIND("@",L381)),ISNUMBER(FIND(".",MID(L381,FIND("@",L381),99))),NOT(ISNUMBER(FIND(" ",TRIM(L381)))),NOT(ISNUMBER(FIND(";",L381))),NOT(ISNUMBER(FIND(",",L381)))),"OK","ERRO: um e-mail válido por linha"))</f>
      </c>
      <c r="U381" s="6">
        <f>IF(COUNTA(A381:O381)=0,"",IF(AND(B381&lt;&gt;"",C381&lt;&gt;"",D381&lt;&gt;"",E381&lt;&gt;"",H381&lt;&gt;"",OR(J381&lt;&gt;"",L381&lt;&gt;"")),"OK","ERRO: faltam "&amp;IF(B381="","Proprietário; ","")&amp;IF(C381="","Origem; ","")&amp;IF(D381="","CNPJ; ","")&amp;IF(E381="","Razão Social; ","")&amp;IF(H381="","Sobrenome; ","")&amp;IF(AND(J381="",L381=""),"telefone ou e-mail; ","")))</f>
      </c>
      <c r="V381" s="6">
        <f>IF(COUNTA(A381:O381)=0,"",IF(AND(Q381="OK",R381="OK",LEFT(S381,4)&lt;&gt;"ERRO",LEFT(T381,4)&lt;&gt;"ERRO",U381="OK"),"OK","REVISAR"))</f>
      </c>
    </row>
    <row r="382">
      <c r="A382" s="4"/>
      <c r="B382" s="5"/>
      <c r="C382" s="5"/>
      <c r="D382" s="5"/>
      <c r="E382" s="5"/>
      <c r="F382" s="4"/>
      <c r="G382" s="4"/>
      <c r="H382" s="5"/>
      <c r="I382" s="4"/>
      <c r="J382" s="4"/>
      <c r="K382" s="4"/>
      <c r="L382" s="4"/>
      <c r="M382" s="4"/>
      <c r="N382" s="4"/>
      <c r="O382" s="4"/>
      <c r="P382" s="6">
        <f>IF(D382="","",SUBSTITUTE(SUBSTITUTE(SUBSTITUTE(SUBSTITUTE(SUBSTITUTE(SUBSTITUTE(SUBSTITUTE(TRIM(D382),".",""),"/",""),"-","")," ",""),"(",""),")",""),"+",""))</f>
      </c>
      <c r="Q382" s="6">
        <f>IF(P382="","",IF(LEN(P382)&lt;&gt;14,"ERRO: "&amp;LEN(P382)&amp;" dígitos",IF(NOT(ISNUMBER(VALUE(P382))),"ERRO: não numérico",IF(LEN(SUBSTITUTE(P382,LEFT(P382,1),""))=0,"ERRO: dígitos repetidos",IF(AND(VALUE(MID(P382,13,1))=IF(MOD(SUMPRODUCT(--MID(P382,{1,2,3,4,5,6,7,8,9,10,11,12},1),{5,4,3,2,9,8,7,6,5,4,3,2}),11)&lt;2,0,11-MOD(SUMPRODUCT(--MID(P382,{1,2,3,4,5,6,7,8,9,10,11,12},1),{5,4,3,2,9,8,7,6,5,4,3,2}),11)),VALUE(MID(P382,14,1))=IF(MOD(SUMPRODUCT(--MID(P382,{1,2,3,4,5,6,7,8,9,10,11,12,13},1),{6,5,4,3,2,9,8,7,6,5,4,3,2}),11)&lt;2,0,11-MOD(SUMPRODUCT(--MID(P382,{1,2,3,4,5,6,7,8,9,10,11,12,13},1),{6,5,4,3,2,9,8,7,6,5,4,3,2}),11))),"OK","ERRO: dígito verificador")))))</f>
      </c>
      <c r="R382" s="6">
        <f>IF(P382="","",IF(COUNTIF($P$2:$P$1001,P382)&gt;1,"DUPLICADO","OK"))</f>
      </c>
      <c r="S382" s="6">
        <f>IF(AND(J382="",K382=""),"vazio",IF(AND(OR(J382="",LEN(SUBSTITUTE(SUBSTITUTE(SUBSTITUTE(SUBSTITUTE(SUBSTITUTE(SUBSTITUTE(SUBSTITUTE(TRIM(J382),".",""),"/",""),"-","")," ",""),"(",""),")",""),"+",""))=10,LEN(SUBSTITUTE(SUBSTITUTE(SUBSTITUTE(SUBSTITUTE(SUBSTITUTE(SUBSTITUTE(SUBSTITUTE(TRIM(J382),".",""),"/",""),"-","")," ",""),"(",""),")",""),"+",""))=11),OR(K382="",LEN(SUBSTITUTE(SUBSTITUTE(SUBSTITUTE(SUBSTITUTE(SUBSTITUTE(SUBSTITUTE(SUBSTITUTE(TRIM(K382),".",""),"/",""),"-","")," ",""),"(",""),")",""),"+",""))=10,LEN(SUBSTITUTE(SUBSTITUTE(SUBSTITUTE(SUBSTITUTE(SUBSTITUTE(SUBSTITUTE(SUBSTITUTE(TRIM(K382),".",""),"/",""),"-","")," ",""),"(",""),")",""),"+",""))=11)),"OK","ERRO: use DDD + número (10 ou 11 dígitos)"))</f>
      </c>
      <c r="T382" s="6">
        <f>IF(L382="","vazio",IF(AND(ISNUMBER(FIND("@",L382)),ISNUMBER(FIND(".",MID(L382,FIND("@",L382),99))),NOT(ISNUMBER(FIND(" ",TRIM(L382)))),NOT(ISNUMBER(FIND(";",L382))),NOT(ISNUMBER(FIND(",",L382)))),"OK","ERRO: um e-mail válido por linha"))</f>
      </c>
      <c r="U382" s="6">
        <f>IF(COUNTA(A382:O382)=0,"",IF(AND(B382&lt;&gt;"",C382&lt;&gt;"",D382&lt;&gt;"",E382&lt;&gt;"",H382&lt;&gt;"",OR(J382&lt;&gt;"",L382&lt;&gt;"")),"OK","ERRO: faltam "&amp;IF(B382="","Proprietário; ","")&amp;IF(C382="","Origem; ","")&amp;IF(D382="","CNPJ; ","")&amp;IF(E382="","Razão Social; ","")&amp;IF(H382="","Sobrenome; ","")&amp;IF(AND(J382="",L382=""),"telefone ou e-mail; ","")))</f>
      </c>
      <c r="V382" s="6">
        <f>IF(COUNTA(A382:O382)=0,"",IF(AND(Q382="OK",R382="OK",LEFT(S382,4)&lt;&gt;"ERRO",LEFT(T382,4)&lt;&gt;"ERRO",U382="OK"),"OK","REVISAR"))</f>
      </c>
    </row>
    <row r="383">
      <c r="A383" s="4"/>
      <c r="B383" s="5"/>
      <c r="C383" s="5"/>
      <c r="D383" s="5"/>
      <c r="E383" s="5"/>
      <c r="F383" s="4"/>
      <c r="G383" s="4"/>
      <c r="H383" s="5"/>
      <c r="I383" s="4"/>
      <c r="J383" s="4"/>
      <c r="K383" s="4"/>
      <c r="L383" s="4"/>
      <c r="M383" s="4"/>
      <c r="N383" s="4"/>
      <c r="O383" s="4"/>
      <c r="P383" s="6">
        <f>IF(D383="","",SUBSTITUTE(SUBSTITUTE(SUBSTITUTE(SUBSTITUTE(SUBSTITUTE(SUBSTITUTE(SUBSTITUTE(TRIM(D383),".",""),"/",""),"-","")," ",""),"(",""),")",""),"+",""))</f>
      </c>
      <c r="Q383" s="6">
        <f>IF(P383="","",IF(LEN(P383)&lt;&gt;14,"ERRO: "&amp;LEN(P383)&amp;" dígitos",IF(NOT(ISNUMBER(VALUE(P383))),"ERRO: não numérico",IF(LEN(SUBSTITUTE(P383,LEFT(P383,1),""))=0,"ERRO: dígitos repetidos",IF(AND(VALUE(MID(P383,13,1))=IF(MOD(SUMPRODUCT(--MID(P383,{1,2,3,4,5,6,7,8,9,10,11,12},1),{5,4,3,2,9,8,7,6,5,4,3,2}),11)&lt;2,0,11-MOD(SUMPRODUCT(--MID(P383,{1,2,3,4,5,6,7,8,9,10,11,12},1),{5,4,3,2,9,8,7,6,5,4,3,2}),11)),VALUE(MID(P383,14,1))=IF(MOD(SUMPRODUCT(--MID(P383,{1,2,3,4,5,6,7,8,9,10,11,12,13},1),{6,5,4,3,2,9,8,7,6,5,4,3,2}),11)&lt;2,0,11-MOD(SUMPRODUCT(--MID(P383,{1,2,3,4,5,6,7,8,9,10,11,12,13},1),{6,5,4,3,2,9,8,7,6,5,4,3,2}),11))),"OK","ERRO: dígito verificador")))))</f>
      </c>
      <c r="R383" s="6">
        <f>IF(P383="","",IF(COUNTIF($P$2:$P$1001,P383)&gt;1,"DUPLICADO","OK"))</f>
      </c>
      <c r="S383" s="6">
        <f>IF(AND(J383="",K383=""),"vazio",IF(AND(OR(J383="",LEN(SUBSTITUTE(SUBSTITUTE(SUBSTITUTE(SUBSTITUTE(SUBSTITUTE(SUBSTITUTE(SUBSTITUTE(TRIM(J383),".",""),"/",""),"-","")," ",""),"(",""),")",""),"+",""))=10,LEN(SUBSTITUTE(SUBSTITUTE(SUBSTITUTE(SUBSTITUTE(SUBSTITUTE(SUBSTITUTE(SUBSTITUTE(TRIM(J383),".",""),"/",""),"-","")," ",""),"(",""),")",""),"+",""))=11),OR(K383="",LEN(SUBSTITUTE(SUBSTITUTE(SUBSTITUTE(SUBSTITUTE(SUBSTITUTE(SUBSTITUTE(SUBSTITUTE(TRIM(K383),".",""),"/",""),"-","")," ",""),"(",""),")",""),"+",""))=10,LEN(SUBSTITUTE(SUBSTITUTE(SUBSTITUTE(SUBSTITUTE(SUBSTITUTE(SUBSTITUTE(SUBSTITUTE(TRIM(K383),".",""),"/",""),"-","")," ",""),"(",""),")",""),"+",""))=11)),"OK","ERRO: use DDD + número (10 ou 11 dígitos)"))</f>
      </c>
      <c r="T383" s="6">
        <f>IF(L383="","vazio",IF(AND(ISNUMBER(FIND("@",L383)),ISNUMBER(FIND(".",MID(L383,FIND("@",L383),99))),NOT(ISNUMBER(FIND(" ",TRIM(L383)))),NOT(ISNUMBER(FIND(";",L383))),NOT(ISNUMBER(FIND(",",L383)))),"OK","ERRO: um e-mail válido por linha"))</f>
      </c>
      <c r="U383" s="6">
        <f>IF(COUNTA(A383:O383)=0,"",IF(AND(B383&lt;&gt;"",C383&lt;&gt;"",D383&lt;&gt;"",E383&lt;&gt;"",H383&lt;&gt;"",OR(J383&lt;&gt;"",L383&lt;&gt;"")),"OK","ERRO: faltam "&amp;IF(B383="","Proprietário; ","")&amp;IF(C383="","Origem; ","")&amp;IF(D383="","CNPJ; ","")&amp;IF(E383="","Razão Social; ","")&amp;IF(H383="","Sobrenome; ","")&amp;IF(AND(J383="",L383=""),"telefone ou e-mail; ","")))</f>
      </c>
      <c r="V383" s="6">
        <f>IF(COUNTA(A383:O383)=0,"",IF(AND(Q383="OK",R383="OK",LEFT(S383,4)&lt;&gt;"ERRO",LEFT(T383,4)&lt;&gt;"ERRO",U383="OK"),"OK","REVISAR"))</f>
      </c>
    </row>
    <row r="384">
      <c r="A384" s="4"/>
      <c r="B384" s="5"/>
      <c r="C384" s="5"/>
      <c r="D384" s="5"/>
      <c r="E384" s="5"/>
      <c r="F384" s="4"/>
      <c r="G384" s="4"/>
      <c r="H384" s="5"/>
      <c r="I384" s="4"/>
      <c r="J384" s="4"/>
      <c r="K384" s="4"/>
      <c r="L384" s="4"/>
      <c r="M384" s="4"/>
      <c r="N384" s="4"/>
      <c r="O384" s="4"/>
      <c r="P384" s="6">
        <f>IF(D384="","",SUBSTITUTE(SUBSTITUTE(SUBSTITUTE(SUBSTITUTE(SUBSTITUTE(SUBSTITUTE(SUBSTITUTE(TRIM(D384),".",""),"/",""),"-","")," ",""),"(",""),")",""),"+",""))</f>
      </c>
      <c r="Q384" s="6">
        <f>IF(P384="","",IF(LEN(P384)&lt;&gt;14,"ERRO: "&amp;LEN(P384)&amp;" dígitos",IF(NOT(ISNUMBER(VALUE(P384))),"ERRO: não numérico",IF(LEN(SUBSTITUTE(P384,LEFT(P384,1),""))=0,"ERRO: dígitos repetidos",IF(AND(VALUE(MID(P384,13,1))=IF(MOD(SUMPRODUCT(--MID(P384,{1,2,3,4,5,6,7,8,9,10,11,12},1),{5,4,3,2,9,8,7,6,5,4,3,2}),11)&lt;2,0,11-MOD(SUMPRODUCT(--MID(P384,{1,2,3,4,5,6,7,8,9,10,11,12},1),{5,4,3,2,9,8,7,6,5,4,3,2}),11)),VALUE(MID(P384,14,1))=IF(MOD(SUMPRODUCT(--MID(P384,{1,2,3,4,5,6,7,8,9,10,11,12,13},1),{6,5,4,3,2,9,8,7,6,5,4,3,2}),11)&lt;2,0,11-MOD(SUMPRODUCT(--MID(P384,{1,2,3,4,5,6,7,8,9,10,11,12,13},1),{6,5,4,3,2,9,8,7,6,5,4,3,2}),11))),"OK","ERRO: dígito verificador")))))</f>
      </c>
      <c r="R384" s="6">
        <f>IF(P384="","",IF(COUNTIF($P$2:$P$1001,P384)&gt;1,"DUPLICADO","OK"))</f>
      </c>
      <c r="S384" s="6">
        <f>IF(AND(J384="",K384=""),"vazio",IF(AND(OR(J384="",LEN(SUBSTITUTE(SUBSTITUTE(SUBSTITUTE(SUBSTITUTE(SUBSTITUTE(SUBSTITUTE(SUBSTITUTE(TRIM(J384),".",""),"/",""),"-","")," ",""),"(",""),")",""),"+",""))=10,LEN(SUBSTITUTE(SUBSTITUTE(SUBSTITUTE(SUBSTITUTE(SUBSTITUTE(SUBSTITUTE(SUBSTITUTE(TRIM(J384),".",""),"/",""),"-","")," ",""),"(",""),")",""),"+",""))=11),OR(K384="",LEN(SUBSTITUTE(SUBSTITUTE(SUBSTITUTE(SUBSTITUTE(SUBSTITUTE(SUBSTITUTE(SUBSTITUTE(TRIM(K384),".",""),"/",""),"-","")," ",""),"(",""),")",""),"+",""))=10,LEN(SUBSTITUTE(SUBSTITUTE(SUBSTITUTE(SUBSTITUTE(SUBSTITUTE(SUBSTITUTE(SUBSTITUTE(TRIM(K384),".",""),"/",""),"-","")," ",""),"(",""),")",""),"+",""))=11)),"OK","ERRO: use DDD + número (10 ou 11 dígitos)"))</f>
      </c>
      <c r="T384" s="6">
        <f>IF(L384="","vazio",IF(AND(ISNUMBER(FIND("@",L384)),ISNUMBER(FIND(".",MID(L384,FIND("@",L384),99))),NOT(ISNUMBER(FIND(" ",TRIM(L384)))),NOT(ISNUMBER(FIND(";",L384))),NOT(ISNUMBER(FIND(",",L384)))),"OK","ERRO: um e-mail válido por linha"))</f>
      </c>
      <c r="U384" s="6">
        <f>IF(COUNTA(A384:O384)=0,"",IF(AND(B384&lt;&gt;"",C384&lt;&gt;"",D384&lt;&gt;"",E384&lt;&gt;"",H384&lt;&gt;"",OR(J384&lt;&gt;"",L384&lt;&gt;"")),"OK","ERRO: faltam "&amp;IF(B384="","Proprietário; ","")&amp;IF(C384="","Origem; ","")&amp;IF(D384="","CNPJ; ","")&amp;IF(E384="","Razão Social; ","")&amp;IF(H384="","Sobrenome; ","")&amp;IF(AND(J384="",L384=""),"telefone ou e-mail; ","")))</f>
      </c>
      <c r="V384" s="6">
        <f>IF(COUNTA(A384:O384)=0,"",IF(AND(Q384="OK",R384="OK",LEFT(S384,4)&lt;&gt;"ERRO",LEFT(T384,4)&lt;&gt;"ERRO",U384="OK"),"OK","REVISAR"))</f>
      </c>
    </row>
    <row r="385">
      <c r="A385" s="4"/>
      <c r="B385" s="5"/>
      <c r="C385" s="5"/>
      <c r="D385" s="5"/>
      <c r="E385" s="5"/>
      <c r="F385" s="4"/>
      <c r="G385" s="4"/>
      <c r="H385" s="5"/>
      <c r="I385" s="4"/>
      <c r="J385" s="4"/>
      <c r="K385" s="4"/>
      <c r="L385" s="4"/>
      <c r="M385" s="4"/>
      <c r="N385" s="4"/>
      <c r="O385" s="4"/>
      <c r="P385" s="6">
        <f>IF(D385="","",SUBSTITUTE(SUBSTITUTE(SUBSTITUTE(SUBSTITUTE(SUBSTITUTE(SUBSTITUTE(SUBSTITUTE(TRIM(D385),".",""),"/",""),"-","")," ",""),"(",""),")",""),"+",""))</f>
      </c>
      <c r="Q385" s="6">
        <f>IF(P385="","",IF(LEN(P385)&lt;&gt;14,"ERRO: "&amp;LEN(P385)&amp;" dígitos",IF(NOT(ISNUMBER(VALUE(P385))),"ERRO: não numérico",IF(LEN(SUBSTITUTE(P385,LEFT(P385,1),""))=0,"ERRO: dígitos repetidos",IF(AND(VALUE(MID(P385,13,1))=IF(MOD(SUMPRODUCT(--MID(P385,{1,2,3,4,5,6,7,8,9,10,11,12},1),{5,4,3,2,9,8,7,6,5,4,3,2}),11)&lt;2,0,11-MOD(SUMPRODUCT(--MID(P385,{1,2,3,4,5,6,7,8,9,10,11,12},1),{5,4,3,2,9,8,7,6,5,4,3,2}),11)),VALUE(MID(P385,14,1))=IF(MOD(SUMPRODUCT(--MID(P385,{1,2,3,4,5,6,7,8,9,10,11,12,13},1),{6,5,4,3,2,9,8,7,6,5,4,3,2}),11)&lt;2,0,11-MOD(SUMPRODUCT(--MID(P385,{1,2,3,4,5,6,7,8,9,10,11,12,13},1),{6,5,4,3,2,9,8,7,6,5,4,3,2}),11))),"OK","ERRO: dígito verificador")))))</f>
      </c>
      <c r="R385" s="6">
        <f>IF(P385="","",IF(COUNTIF($P$2:$P$1001,P385)&gt;1,"DUPLICADO","OK"))</f>
      </c>
      <c r="S385" s="6">
        <f>IF(AND(J385="",K385=""),"vazio",IF(AND(OR(J385="",LEN(SUBSTITUTE(SUBSTITUTE(SUBSTITUTE(SUBSTITUTE(SUBSTITUTE(SUBSTITUTE(SUBSTITUTE(TRIM(J385),".",""),"/",""),"-","")," ",""),"(",""),")",""),"+",""))=10,LEN(SUBSTITUTE(SUBSTITUTE(SUBSTITUTE(SUBSTITUTE(SUBSTITUTE(SUBSTITUTE(SUBSTITUTE(TRIM(J385),".",""),"/",""),"-","")," ",""),"(",""),")",""),"+",""))=11),OR(K385="",LEN(SUBSTITUTE(SUBSTITUTE(SUBSTITUTE(SUBSTITUTE(SUBSTITUTE(SUBSTITUTE(SUBSTITUTE(TRIM(K385),".",""),"/",""),"-","")," ",""),"(",""),")",""),"+",""))=10,LEN(SUBSTITUTE(SUBSTITUTE(SUBSTITUTE(SUBSTITUTE(SUBSTITUTE(SUBSTITUTE(SUBSTITUTE(TRIM(K385),".",""),"/",""),"-","")," ",""),"(",""),")",""),"+",""))=11)),"OK","ERRO: use DDD + número (10 ou 11 dígitos)"))</f>
      </c>
      <c r="T385" s="6">
        <f>IF(L385="","vazio",IF(AND(ISNUMBER(FIND("@",L385)),ISNUMBER(FIND(".",MID(L385,FIND("@",L385),99))),NOT(ISNUMBER(FIND(" ",TRIM(L385)))),NOT(ISNUMBER(FIND(";",L385))),NOT(ISNUMBER(FIND(",",L385)))),"OK","ERRO: um e-mail válido por linha"))</f>
      </c>
      <c r="U385" s="6">
        <f>IF(COUNTA(A385:O385)=0,"",IF(AND(B385&lt;&gt;"",C385&lt;&gt;"",D385&lt;&gt;"",E385&lt;&gt;"",H385&lt;&gt;"",OR(J385&lt;&gt;"",L385&lt;&gt;"")),"OK","ERRO: faltam "&amp;IF(B385="","Proprietário; ","")&amp;IF(C385="","Origem; ","")&amp;IF(D385="","CNPJ; ","")&amp;IF(E385="","Razão Social; ","")&amp;IF(H385="","Sobrenome; ","")&amp;IF(AND(J385="",L385=""),"telefone ou e-mail; ","")))</f>
      </c>
      <c r="V385" s="6">
        <f>IF(COUNTA(A385:O385)=0,"",IF(AND(Q385="OK",R385="OK",LEFT(S385,4)&lt;&gt;"ERRO",LEFT(T385,4)&lt;&gt;"ERRO",U385="OK"),"OK","REVISAR"))</f>
      </c>
    </row>
    <row r="386">
      <c r="A386" s="4"/>
      <c r="B386" s="5"/>
      <c r="C386" s="5"/>
      <c r="D386" s="5"/>
      <c r="E386" s="5"/>
      <c r="F386" s="4"/>
      <c r="G386" s="4"/>
      <c r="H386" s="5"/>
      <c r="I386" s="4"/>
      <c r="J386" s="4"/>
      <c r="K386" s="4"/>
      <c r="L386" s="4"/>
      <c r="M386" s="4"/>
      <c r="N386" s="4"/>
      <c r="O386" s="4"/>
      <c r="P386" s="6">
        <f>IF(D386="","",SUBSTITUTE(SUBSTITUTE(SUBSTITUTE(SUBSTITUTE(SUBSTITUTE(SUBSTITUTE(SUBSTITUTE(TRIM(D386),".",""),"/",""),"-","")," ",""),"(",""),")",""),"+",""))</f>
      </c>
      <c r="Q386" s="6">
        <f>IF(P386="","",IF(LEN(P386)&lt;&gt;14,"ERRO: "&amp;LEN(P386)&amp;" dígitos",IF(NOT(ISNUMBER(VALUE(P386))),"ERRO: não numérico",IF(LEN(SUBSTITUTE(P386,LEFT(P386,1),""))=0,"ERRO: dígitos repetidos",IF(AND(VALUE(MID(P386,13,1))=IF(MOD(SUMPRODUCT(--MID(P386,{1,2,3,4,5,6,7,8,9,10,11,12},1),{5,4,3,2,9,8,7,6,5,4,3,2}),11)&lt;2,0,11-MOD(SUMPRODUCT(--MID(P386,{1,2,3,4,5,6,7,8,9,10,11,12},1),{5,4,3,2,9,8,7,6,5,4,3,2}),11)),VALUE(MID(P386,14,1))=IF(MOD(SUMPRODUCT(--MID(P386,{1,2,3,4,5,6,7,8,9,10,11,12,13},1),{6,5,4,3,2,9,8,7,6,5,4,3,2}),11)&lt;2,0,11-MOD(SUMPRODUCT(--MID(P386,{1,2,3,4,5,6,7,8,9,10,11,12,13},1),{6,5,4,3,2,9,8,7,6,5,4,3,2}),11))),"OK","ERRO: dígito verificador")))))</f>
      </c>
      <c r="R386" s="6">
        <f>IF(P386="","",IF(COUNTIF($P$2:$P$1001,P386)&gt;1,"DUPLICADO","OK"))</f>
      </c>
      <c r="S386" s="6">
        <f>IF(AND(J386="",K386=""),"vazio",IF(AND(OR(J386="",LEN(SUBSTITUTE(SUBSTITUTE(SUBSTITUTE(SUBSTITUTE(SUBSTITUTE(SUBSTITUTE(SUBSTITUTE(TRIM(J386),".",""),"/",""),"-","")," ",""),"(",""),")",""),"+",""))=10,LEN(SUBSTITUTE(SUBSTITUTE(SUBSTITUTE(SUBSTITUTE(SUBSTITUTE(SUBSTITUTE(SUBSTITUTE(TRIM(J386),".",""),"/",""),"-","")," ",""),"(",""),")",""),"+",""))=11),OR(K386="",LEN(SUBSTITUTE(SUBSTITUTE(SUBSTITUTE(SUBSTITUTE(SUBSTITUTE(SUBSTITUTE(SUBSTITUTE(TRIM(K386),".",""),"/",""),"-","")," ",""),"(",""),")",""),"+",""))=10,LEN(SUBSTITUTE(SUBSTITUTE(SUBSTITUTE(SUBSTITUTE(SUBSTITUTE(SUBSTITUTE(SUBSTITUTE(TRIM(K386),".",""),"/",""),"-","")," ",""),"(",""),")",""),"+",""))=11)),"OK","ERRO: use DDD + número (10 ou 11 dígitos)"))</f>
      </c>
      <c r="T386" s="6">
        <f>IF(L386="","vazio",IF(AND(ISNUMBER(FIND("@",L386)),ISNUMBER(FIND(".",MID(L386,FIND("@",L386),99))),NOT(ISNUMBER(FIND(" ",TRIM(L386)))),NOT(ISNUMBER(FIND(";",L386))),NOT(ISNUMBER(FIND(",",L386)))),"OK","ERRO: um e-mail válido por linha"))</f>
      </c>
      <c r="U386" s="6">
        <f>IF(COUNTA(A386:O386)=0,"",IF(AND(B386&lt;&gt;"",C386&lt;&gt;"",D386&lt;&gt;"",E386&lt;&gt;"",H386&lt;&gt;"",OR(J386&lt;&gt;"",L386&lt;&gt;"")),"OK","ERRO: faltam "&amp;IF(B386="","Proprietário; ","")&amp;IF(C386="","Origem; ","")&amp;IF(D386="","CNPJ; ","")&amp;IF(E386="","Razão Social; ","")&amp;IF(H386="","Sobrenome; ","")&amp;IF(AND(J386="",L386=""),"telefone ou e-mail; ","")))</f>
      </c>
      <c r="V386" s="6">
        <f>IF(COUNTA(A386:O386)=0,"",IF(AND(Q386="OK",R386="OK",LEFT(S386,4)&lt;&gt;"ERRO",LEFT(T386,4)&lt;&gt;"ERRO",U386="OK"),"OK","REVISAR"))</f>
      </c>
    </row>
    <row r="387">
      <c r="A387" s="4"/>
      <c r="B387" s="5"/>
      <c r="C387" s="5"/>
      <c r="D387" s="5"/>
      <c r="E387" s="5"/>
      <c r="F387" s="4"/>
      <c r="G387" s="4"/>
      <c r="H387" s="5"/>
      <c r="I387" s="4"/>
      <c r="J387" s="4"/>
      <c r="K387" s="4"/>
      <c r="L387" s="4"/>
      <c r="M387" s="4"/>
      <c r="N387" s="4"/>
      <c r="O387" s="4"/>
      <c r="P387" s="6">
        <f>IF(D387="","",SUBSTITUTE(SUBSTITUTE(SUBSTITUTE(SUBSTITUTE(SUBSTITUTE(SUBSTITUTE(SUBSTITUTE(TRIM(D387),".",""),"/",""),"-","")," ",""),"(",""),")",""),"+",""))</f>
      </c>
      <c r="Q387" s="6">
        <f>IF(P387="","",IF(LEN(P387)&lt;&gt;14,"ERRO: "&amp;LEN(P387)&amp;" dígitos",IF(NOT(ISNUMBER(VALUE(P387))),"ERRO: não numérico",IF(LEN(SUBSTITUTE(P387,LEFT(P387,1),""))=0,"ERRO: dígitos repetidos",IF(AND(VALUE(MID(P387,13,1))=IF(MOD(SUMPRODUCT(--MID(P387,{1,2,3,4,5,6,7,8,9,10,11,12},1),{5,4,3,2,9,8,7,6,5,4,3,2}),11)&lt;2,0,11-MOD(SUMPRODUCT(--MID(P387,{1,2,3,4,5,6,7,8,9,10,11,12},1),{5,4,3,2,9,8,7,6,5,4,3,2}),11)),VALUE(MID(P387,14,1))=IF(MOD(SUMPRODUCT(--MID(P387,{1,2,3,4,5,6,7,8,9,10,11,12,13},1),{6,5,4,3,2,9,8,7,6,5,4,3,2}),11)&lt;2,0,11-MOD(SUMPRODUCT(--MID(P387,{1,2,3,4,5,6,7,8,9,10,11,12,13},1),{6,5,4,3,2,9,8,7,6,5,4,3,2}),11))),"OK","ERRO: dígito verificador")))))</f>
      </c>
      <c r="R387" s="6">
        <f>IF(P387="","",IF(COUNTIF($P$2:$P$1001,P387)&gt;1,"DUPLICADO","OK"))</f>
      </c>
      <c r="S387" s="6">
        <f>IF(AND(J387="",K387=""),"vazio",IF(AND(OR(J387="",LEN(SUBSTITUTE(SUBSTITUTE(SUBSTITUTE(SUBSTITUTE(SUBSTITUTE(SUBSTITUTE(SUBSTITUTE(TRIM(J387),".",""),"/",""),"-","")," ",""),"(",""),")",""),"+",""))=10,LEN(SUBSTITUTE(SUBSTITUTE(SUBSTITUTE(SUBSTITUTE(SUBSTITUTE(SUBSTITUTE(SUBSTITUTE(TRIM(J387),".",""),"/",""),"-","")," ",""),"(",""),")",""),"+",""))=11),OR(K387="",LEN(SUBSTITUTE(SUBSTITUTE(SUBSTITUTE(SUBSTITUTE(SUBSTITUTE(SUBSTITUTE(SUBSTITUTE(TRIM(K387),".",""),"/",""),"-","")," ",""),"(",""),")",""),"+",""))=10,LEN(SUBSTITUTE(SUBSTITUTE(SUBSTITUTE(SUBSTITUTE(SUBSTITUTE(SUBSTITUTE(SUBSTITUTE(TRIM(K387),".",""),"/",""),"-","")," ",""),"(",""),")",""),"+",""))=11)),"OK","ERRO: use DDD + número (10 ou 11 dígitos)"))</f>
      </c>
      <c r="T387" s="6">
        <f>IF(L387="","vazio",IF(AND(ISNUMBER(FIND("@",L387)),ISNUMBER(FIND(".",MID(L387,FIND("@",L387),99))),NOT(ISNUMBER(FIND(" ",TRIM(L387)))),NOT(ISNUMBER(FIND(";",L387))),NOT(ISNUMBER(FIND(",",L387)))),"OK","ERRO: um e-mail válido por linha"))</f>
      </c>
      <c r="U387" s="6">
        <f>IF(COUNTA(A387:O387)=0,"",IF(AND(B387&lt;&gt;"",C387&lt;&gt;"",D387&lt;&gt;"",E387&lt;&gt;"",H387&lt;&gt;"",OR(J387&lt;&gt;"",L387&lt;&gt;"")),"OK","ERRO: faltam "&amp;IF(B387="","Proprietário; ","")&amp;IF(C387="","Origem; ","")&amp;IF(D387="","CNPJ; ","")&amp;IF(E387="","Razão Social; ","")&amp;IF(H387="","Sobrenome; ","")&amp;IF(AND(J387="",L387=""),"telefone ou e-mail; ","")))</f>
      </c>
      <c r="V387" s="6">
        <f>IF(COUNTA(A387:O387)=0,"",IF(AND(Q387="OK",R387="OK",LEFT(S387,4)&lt;&gt;"ERRO",LEFT(T387,4)&lt;&gt;"ERRO",U387="OK"),"OK","REVISAR"))</f>
      </c>
    </row>
    <row r="388">
      <c r="A388" s="4"/>
      <c r="B388" s="5"/>
      <c r="C388" s="5"/>
      <c r="D388" s="5"/>
      <c r="E388" s="5"/>
      <c r="F388" s="4"/>
      <c r="G388" s="4"/>
      <c r="H388" s="5"/>
      <c r="I388" s="4"/>
      <c r="J388" s="4"/>
      <c r="K388" s="4"/>
      <c r="L388" s="4"/>
      <c r="M388" s="4"/>
      <c r="N388" s="4"/>
      <c r="O388" s="4"/>
      <c r="P388" s="6">
        <f>IF(D388="","",SUBSTITUTE(SUBSTITUTE(SUBSTITUTE(SUBSTITUTE(SUBSTITUTE(SUBSTITUTE(SUBSTITUTE(TRIM(D388),".",""),"/",""),"-","")," ",""),"(",""),")",""),"+",""))</f>
      </c>
      <c r="Q388" s="6">
        <f>IF(P388="","",IF(LEN(P388)&lt;&gt;14,"ERRO: "&amp;LEN(P388)&amp;" dígitos",IF(NOT(ISNUMBER(VALUE(P388))),"ERRO: não numérico",IF(LEN(SUBSTITUTE(P388,LEFT(P388,1),""))=0,"ERRO: dígitos repetidos",IF(AND(VALUE(MID(P388,13,1))=IF(MOD(SUMPRODUCT(--MID(P388,{1,2,3,4,5,6,7,8,9,10,11,12},1),{5,4,3,2,9,8,7,6,5,4,3,2}),11)&lt;2,0,11-MOD(SUMPRODUCT(--MID(P388,{1,2,3,4,5,6,7,8,9,10,11,12},1),{5,4,3,2,9,8,7,6,5,4,3,2}),11)),VALUE(MID(P388,14,1))=IF(MOD(SUMPRODUCT(--MID(P388,{1,2,3,4,5,6,7,8,9,10,11,12,13},1),{6,5,4,3,2,9,8,7,6,5,4,3,2}),11)&lt;2,0,11-MOD(SUMPRODUCT(--MID(P388,{1,2,3,4,5,6,7,8,9,10,11,12,13},1),{6,5,4,3,2,9,8,7,6,5,4,3,2}),11))),"OK","ERRO: dígito verificador")))))</f>
      </c>
      <c r="R388" s="6">
        <f>IF(P388="","",IF(COUNTIF($P$2:$P$1001,P388)&gt;1,"DUPLICADO","OK"))</f>
      </c>
      <c r="S388" s="6">
        <f>IF(AND(J388="",K388=""),"vazio",IF(AND(OR(J388="",LEN(SUBSTITUTE(SUBSTITUTE(SUBSTITUTE(SUBSTITUTE(SUBSTITUTE(SUBSTITUTE(SUBSTITUTE(TRIM(J388),".",""),"/",""),"-","")," ",""),"(",""),")",""),"+",""))=10,LEN(SUBSTITUTE(SUBSTITUTE(SUBSTITUTE(SUBSTITUTE(SUBSTITUTE(SUBSTITUTE(SUBSTITUTE(TRIM(J388),".",""),"/",""),"-","")," ",""),"(",""),")",""),"+",""))=11),OR(K388="",LEN(SUBSTITUTE(SUBSTITUTE(SUBSTITUTE(SUBSTITUTE(SUBSTITUTE(SUBSTITUTE(SUBSTITUTE(TRIM(K388),".",""),"/",""),"-","")," ",""),"(",""),")",""),"+",""))=10,LEN(SUBSTITUTE(SUBSTITUTE(SUBSTITUTE(SUBSTITUTE(SUBSTITUTE(SUBSTITUTE(SUBSTITUTE(TRIM(K388),".",""),"/",""),"-","")," ",""),"(",""),")",""),"+",""))=11)),"OK","ERRO: use DDD + número (10 ou 11 dígitos)"))</f>
      </c>
      <c r="T388" s="6">
        <f>IF(L388="","vazio",IF(AND(ISNUMBER(FIND("@",L388)),ISNUMBER(FIND(".",MID(L388,FIND("@",L388),99))),NOT(ISNUMBER(FIND(" ",TRIM(L388)))),NOT(ISNUMBER(FIND(";",L388))),NOT(ISNUMBER(FIND(",",L388)))),"OK","ERRO: um e-mail válido por linha"))</f>
      </c>
      <c r="U388" s="6">
        <f>IF(COUNTA(A388:O388)=0,"",IF(AND(B388&lt;&gt;"",C388&lt;&gt;"",D388&lt;&gt;"",E388&lt;&gt;"",H388&lt;&gt;"",OR(J388&lt;&gt;"",L388&lt;&gt;"")),"OK","ERRO: faltam "&amp;IF(B388="","Proprietário; ","")&amp;IF(C388="","Origem; ","")&amp;IF(D388="","CNPJ; ","")&amp;IF(E388="","Razão Social; ","")&amp;IF(H388="","Sobrenome; ","")&amp;IF(AND(J388="",L388=""),"telefone ou e-mail; ","")))</f>
      </c>
      <c r="V388" s="6">
        <f>IF(COUNTA(A388:O388)=0,"",IF(AND(Q388="OK",R388="OK",LEFT(S388,4)&lt;&gt;"ERRO",LEFT(T388,4)&lt;&gt;"ERRO",U388="OK"),"OK","REVISAR"))</f>
      </c>
    </row>
    <row r="389">
      <c r="A389" s="4"/>
      <c r="B389" s="5"/>
      <c r="C389" s="5"/>
      <c r="D389" s="5"/>
      <c r="E389" s="5"/>
      <c r="F389" s="4"/>
      <c r="G389" s="4"/>
      <c r="H389" s="5"/>
      <c r="I389" s="4"/>
      <c r="J389" s="4"/>
      <c r="K389" s="4"/>
      <c r="L389" s="4"/>
      <c r="M389" s="4"/>
      <c r="N389" s="4"/>
      <c r="O389" s="4"/>
      <c r="P389" s="6">
        <f>IF(D389="","",SUBSTITUTE(SUBSTITUTE(SUBSTITUTE(SUBSTITUTE(SUBSTITUTE(SUBSTITUTE(SUBSTITUTE(TRIM(D389),".",""),"/",""),"-","")," ",""),"(",""),")",""),"+",""))</f>
      </c>
      <c r="Q389" s="6">
        <f>IF(P389="","",IF(LEN(P389)&lt;&gt;14,"ERRO: "&amp;LEN(P389)&amp;" dígitos",IF(NOT(ISNUMBER(VALUE(P389))),"ERRO: não numérico",IF(LEN(SUBSTITUTE(P389,LEFT(P389,1),""))=0,"ERRO: dígitos repetidos",IF(AND(VALUE(MID(P389,13,1))=IF(MOD(SUMPRODUCT(--MID(P389,{1,2,3,4,5,6,7,8,9,10,11,12},1),{5,4,3,2,9,8,7,6,5,4,3,2}),11)&lt;2,0,11-MOD(SUMPRODUCT(--MID(P389,{1,2,3,4,5,6,7,8,9,10,11,12},1),{5,4,3,2,9,8,7,6,5,4,3,2}),11)),VALUE(MID(P389,14,1))=IF(MOD(SUMPRODUCT(--MID(P389,{1,2,3,4,5,6,7,8,9,10,11,12,13},1),{6,5,4,3,2,9,8,7,6,5,4,3,2}),11)&lt;2,0,11-MOD(SUMPRODUCT(--MID(P389,{1,2,3,4,5,6,7,8,9,10,11,12,13},1),{6,5,4,3,2,9,8,7,6,5,4,3,2}),11))),"OK","ERRO: dígito verificador")))))</f>
      </c>
      <c r="R389" s="6">
        <f>IF(P389="","",IF(COUNTIF($P$2:$P$1001,P389)&gt;1,"DUPLICADO","OK"))</f>
      </c>
      <c r="S389" s="6">
        <f>IF(AND(J389="",K389=""),"vazio",IF(AND(OR(J389="",LEN(SUBSTITUTE(SUBSTITUTE(SUBSTITUTE(SUBSTITUTE(SUBSTITUTE(SUBSTITUTE(SUBSTITUTE(TRIM(J389),".",""),"/",""),"-","")," ",""),"(",""),")",""),"+",""))=10,LEN(SUBSTITUTE(SUBSTITUTE(SUBSTITUTE(SUBSTITUTE(SUBSTITUTE(SUBSTITUTE(SUBSTITUTE(TRIM(J389),".",""),"/",""),"-","")," ",""),"(",""),")",""),"+",""))=11),OR(K389="",LEN(SUBSTITUTE(SUBSTITUTE(SUBSTITUTE(SUBSTITUTE(SUBSTITUTE(SUBSTITUTE(SUBSTITUTE(TRIM(K389),".",""),"/",""),"-","")," ",""),"(",""),")",""),"+",""))=10,LEN(SUBSTITUTE(SUBSTITUTE(SUBSTITUTE(SUBSTITUTE(SUBSTITUTE(SUBSTITUTE(SUBSTITUTE(TRIM(K389),".",""),"/",""),"-","")," ",""),"(",""),")",""),"+",""))=11)),"OK","ERRO: use DDD + número (10 ou 11 dígitos)"))</f>
      </c>
      <c r="T389" s="6">
        <f>IF(L389="","vazio",IF(AND(ISNUMBER(FIND("@",L389)),ISNUMBER(FIND(".",MID(L389,FIND("@",L389),99))),NOT(ISNUMBER(FIND(" ",TRIM(L389)))),NOT(ISNUMBER(FIND(";",L389))),NOT(ISNUMBER(FIND(",",L389)))),"OK","ERRO: um e-mail válido por linha"))</f>
      </c>
      <c r="U389" s="6">
        <f>IF(COUNTA(A389:O389)=0,"",IF(AND(B389&lt;&gt;"",C389&lt;&gt;"",D389&lt;&gt;"",E389&lt;&gt;"",H389&lt;&gt;"",OR(J389&lt;&gt;"",L389&lt;&gt;"")),"OK","ERRO: faltam "&amp;IF(B389="","Proprietário; ","")&amp;IF(C389="","Origem; ","")&amp;IF(D389="","CNPJ; ","")&amp;IF(E389="","Razão Social; ","")&amp;IF(H389="","Sobrenome; ","")&amp;IF(AND(J389="",L389=""),"telefone ou e-mail; ","")))</f>
      </c>
      <c r="V389" s="6">
        <f>IF(COUNTA(A389:O389)=0,"",IF(AND(Q389="OK",R389="OK",LEFT(S389,4)&lt;&gt;"ERRO",LEFT(T389,4)&lt;&gt;"ERRO",U389="OK"),"OK","REVISAR"))</f>
      </c>
    </row>
    <row r="390">
      <c r="A390" s="4"/>
      <c r="B390" s="5"/>
      <c r="C390" s="5"/>
      <c r="D390" s="5"/>
      <c r="E390" s="5"/>
      <c r="F390" s="4"/>
      <c r="G390" s="4"/>
      <c r="H390" s="5"/>
      <c r="I390" s="4"/>
      <c r="J390" s="4"/>
      <c r="K390" s="4"/>
      <c r="L390" s="4"/>
      <c r="M390" s="4"/>
      <c r="N390" s="4"/>
      <c r="O390" s="4"/>
      <c r="P390" s="6">
        <f>IF(D390="","",SUBSTITUTE(SUBSTITUTE(SUBSTITUTE(SUBSTITUTE(SUBSTITUTE(SUBSTITUTE(SUBSTITUTE(TRIM(D390),".",""),"/",""),"-","")," ",""),"(",""),")",""),"+",""))</f>
      </c>
      <c r="Q390" s="6">
        <f>IF(P390="","",IF(LEN(P390)&lt;&gt;14,"ERRO: "&amp;LEN(P390)&amp;" dígitos",IF(NOT(ISNUMBER(VALUE(P390))),"ERRO: não numérico",IF(LEN(SUBSTITUTE(P390,LEFT(P390,1),""))=0,"ERRO: dígitos repetidos",IF(AND(VALUE(MID(P390,13,1))=IF(MOD(SUMPRODUCT(--MID(P390,{1,2,3,4,5,6,7,8,9,10,11,12},1),{5,4,3,2,9,8,7,6,5,4,3,2}),11)&lt;2,0,11-MOD(SUMPRODUCT(--MID(P390,{1,2,3,4,5,6,7,8,9,10,11,12},1),{5,4,3,2,9,8,7,6,5,4,3,2}),11)),VALUE(MID(P390,14,1))=IF(MOD(SUMPRODUCT(--MID(P390,{1,2,3,4,5,6,7,8,9,10,11,12,13},1),{6,5,4,3,2,9,8,7,6,5,4,3,2}),11)&lt;2,0,11-MOD(SUMPRODUCT(--MID(P390,{1,2,3,4,5,6,7,8,9,10,11,12,13},1),{6,5,4,3,2,9,8,7,6,5,4,3,2}),11))),"OK","ERRO: dígito verificador")))))</f>
      </c>
      <c r="R390" s="6">
        <f>IF(P390="","",IF(COUNTIF($P$2:$P$1001,P390)&gt;1,"DUPLICADO","OK"))</f>
      </c>
      <c r="S390" s="6">
        <f>IF(AND(J390="",K390=""),"vazio",IF(AND(OR(J390="",LEN(SUBSTITUTE(SUBSTITUTE(SUBSTITUTE(SUBSTITUTE(SUBSTITUTE(SUBSTITUTE(SUBSTITUTE(TRIM(J390),".",""),"/",""),"-","")," ",""),"(",""),")",""),"+",""))=10,LEN(SUBSTITUTE(SUBSTITUTE(SUBSTITUTE(SUBSTITUTE(SUBSTITUTE(SUBSTITUTE(SUBSTITUTE(TRIM(J390),".",""),"/",""),"-","")," ",""),"(",""),")",""),"+",""))=11),OR(K390="",LEN(SUBSTITUTE(SUBSTITUTE(SUBSTITUTE(SUBSTITUTE(SUBSTITUTE(SUBSTITUTE(SUBSTITUTE(TRIM(K390),".",""),"/",""),"-","")," ",""),"(",""),")",""),"+",""))=10,LEN(SUBSTITUTE(SUBSTITUTE(SUBSTITUTE(SUBSTITUTE(SUBSTITUTE(SUBSTITUTE(SUBSTITUTE(TRIM(K390),".",""),"/",""),"-","")," ",""),"(",""),")",""),"+",""))=11)),"OK","ERRO: use DDD + número (10 ou 11 dígitos)"))</f>
      </c>
      <c r="T390" s="6">
        <f>IF(L390="","vazio",IF(AND(ISNUMBER(FIND("@",L390)),ISNUMBER(FIND(".",MID(L390,FIND("@",L390),99))),NOT(ISNUMBER(FIND(" ",TRIM(L390)))),NOT(ISNUMBER(FIND(";",L390))),NOT(ISNUMBER(FIND(",",L390)))),"OK","ERRO: um e-mail válido por linha"))</f>
      </c>
      <c r="U390" s="6">
        <f>IF(COUNTA(A390:O390)=0,"",IF(AND(B390&lt;&gt;"",C390&lt;&gt;"",D390&lt;&gt;"",E390&lt;&gt;"",H390&lt;&gt;"",OR(J390&lt;&gt;"",L390&lt;&gt;"")),"OK","ERRO: faltam "&amp;IF(B390="","Proprietário; ","")&amp;IF(C390="","Origem; ","")&amp;IF(D390="","CNPJ; ","")&amp;IF(E390="","Razão Social; ","")&amp;IF(H390="","Sobrenome; ","")&amp;IF(AND(J390="",L390=""),"telefone ou e-mail; ","")))</f>
      </c>
      <c r="V390" s="6">
        <f>IF(COUNTA(A390:O390)=0,"",IF(AND(Q390="OK",R390="OK",LEFT(S390,4)&lt;&gt;"ERRO",LEFT(T390,4)&lt;&gt;"ERRO",U390="OK"),"OK","REVISAR"))</f>
      </c>
    </row>
    <row r="391">
      <c r="A391" s="4"/>
      <c r="B391" s="5"/>
      <c r="C391" s="5"/>
      <c r="D391" s="5"/>
      <c r="E391" s="5"/>
      <c r="F391" s="4"/>
      <c r="G391" s="4"/>
      <c r="H391" s="5"/>
      <c r="I391" s="4"/>
      <c r="J391" s="4"/>
      <c r="K391" s="4"/>
      <c r="L391" s="4"/>
      <c r="M391" s="4"/>
      <c r="N391" s="4"/>
      <c r="O391" s="4"/>
      <c r="P391" s="6">
        <f>IF(D391="","",SUBSTITUTE(SUBSTITUTE(SUBSTITUTE(SUBSTITUTE(SUBSTITUTE(SUBSTITUTE(SUBSTITUTE(TRIM(D391),".",""),"/",""),"-","")," ",""),"(",""),")",""),"+",""))</f>
      </c>
      <c r="Q391" s="6">
        <f>IF(P391="","",IF(LEN(P391)&lt;&gt;14,"ERRO: "&amp;LEN(P391)&amp;" dígitos",IF(NOT(ISNUMBER(VALUE(P391))),"ERRO: não numérico",IF(LEN(SUBSTITUTE(P391,LEFT(P391,1),""))=0,"ERRO: dígitos repetidos",IF(AND(VALUE(MID(P391,13,1))=IF(MOD(SUMPRODUCT(--MID(P391,{1,2,3,4,5,6,7,8,9,10,11,12},1),{5,4,3,2,9,8,7,6,5,4,3,2}),11)&lt;2,0,11-MOD(SUMPRODUCT(--MID(P391,{1,2,3,4,5,6,7,8,9,10,11,12},1),{5,4,3,2,9,8,7,6,5,4,3,2}),11)),VALUE(MID(P391,14,1))=IF(MOD(SUMPRODUCT(--MID(P391,{1,2,3,4,5,6,7,8,9,10,11,12,13},1),{6,5,4,3,2,9,8,7,6,5,4,3,2}),11)&lt;2,0,11-MOD(SUMPRODUCT(--MID(P391,{1,2,3,4,5,6,7,8,9,10,11,12,13},1),{6,5,4,3,2,9,8,7,6,5,4,3,2}),11))),"OK","ERRO: dígito verificador")))))</f>
      </c>
      <c r="R391" s="6">
        <f>IF(P391="","",IF(COUNTIF($P$2:$P$1001,P391)&gt;1,"DUPLICADO","OK"))</f>
      </c>
      <c r="S391" s="6">
        <f>IF(AND(J391="",K391=""),"vazio",IF(AND(OR(J391="",LEN(SUBSTITUTE(SUBSTITUTE(SUBSTITUTE(SUBSTITUTE(SUBSTITUTE(SUBSTITUTE(SUBSTITUTE(TRIM(J391),".",""),"/",""),"-","")," ",""),"(",""),")",""),"+",""))=10,LEN(SUBSTITUTE(SUBSTITUTE(SUBSTITUTE(SUBSTITUTE(SUBSTITUTE(SUBSTITUTE(SUBSTITUTE(TRIM(J391),".",""),"/",""),"-","")," ",""),"(",""),")",""),"+",""))=11),OR(K391="",LEN(SUBSTITUTE(SUBSTITUTE(SUBSTITUTE(SUBSTITUTE(SUBSTITUTE(SUBSTITUTE(SUBSTITUTE(TRIM(K391),".",""),"/",""),"-","")," ",""),"(",""),")",""),"+",""))=10,LEN(SUBSTITUTE(SUBSTITUTE(SUBSTITUTE(SUBSTITUTE(SUBSTITUTE(SUBSTITUTE(SUBSTITUTE(TRIM(K391),".",""),"/",""),"-","")," ",""),"(",""),")",""),"+",""))=11)),"OK","ERRO: use DDD + número (10 ou 11 dígitos)"))</f>
      </c>
      <c r="T391" s="6">
        <f>IF(L391="","vazio",IF(AND(ISNUMBER(FIND("@",L391)),ISNUMBER(FIND(".",MID(L391,FIND("@",L391),99))),NOT(ISNUMBER(FIND(" ",TRIM(L391)))),NOT(ISNUMBER(FIND(";",L391))),NOT(ISNUMBER(FIND(",",L391)))),"OK","ERRO: um e-mail válido por linha"))</f>
      </c>
      <c r="U391" s="6">
        <f>IF(COUNTA(A391:O391)=0,"",IF(AND(B391&lt;&gt;"",C391&lt;&gt;"",D391&lt;&gt;"",E391&lt;&gt;"",H391&lt;&gt;"",OR(J391&lt;&gt;"",L391&lt;&gt;"")),"OK","ERRO: faltam "&amp;IF(B391="","Proprietário; ","")&amp;IF(C391="","Origem; ","")&amp;IF(D391="","CNPJ; ","")&amp;IF(E391="","Razão Social; ","")&amp;IF(H391="","Sobrenome; ","")&amp;IF(AND(J391="",L391=""),"telefone ou e-mail; ","")))</f>
      </c>
      <c r="V391" s="6">
        <f>IF(COUNTA(A391:O391)=0,"",IF(AND(Q391="OK",R391="OK",LEFT(S391,4)&lt;&gt;"ERRO",LEFT(T391,4)&lt;&gt;"ERRO",U391="OK"),"OK","REVISAR"))</f>
      </c>
    </row>
    <row r="392">
      <c r="A392" s="4"/>
      <c r="B392" s="5"/>
      <c r="C392" s="5"/>
      <c r="D392" s="5"/>
      <c r="E392" s="5"/>
      <c r="F392" s="4"/>
      <c r="G392" s="4"/>
      <c r="H392" s="5"/>
      <c r="I392" s="4"/>
      <c r="J392" s="4"/>
      <c r="K392" s="4"/>
      <c r="L392" s="4"/>
      <c r="M392" s="4"/>
      <c r="N392" s="4"/>
      <c r="O392" s="4"/>
      <c r="P392" s="6">
        <f>IF(D392="","",SUBSTITUTE(SUBSTITUTE(SUBSTITUTE(SUBSTITUTE(SUBSTITUTE(SUBSTITUTE(SUBSTITUTE(TRIM(D392),".",""),"/",""),"-","")," ",""),"(",""),")",""),"+",""))</f>
      </c>
      <c r="Q392" s="6">
        <f>IF(P392="","",IF(LEN(P392)&lt;&gt;14,"ERRO: "&amp;LEN(P392)&amp;" dígitos",IF(NOT(ISNUMBER(VALUE(P392))),"ERRO: não numérico",IF(LEN(SUBSTITUTE(P392,LEFT(P392,1),""))=0,"ERRO: dígitos repetidos",IF(AND(VALUE(MID(P392,13,1))=IF(MOD(SUMPRODUCT(--MID(P392,{1,2,3,4,5,6,7,8,9,10,11,12},1),{5,4,3,2,9,8,7,6,5,4,3,2}),11)&lt;2,0,11-MOD(SUMPRODUCT(--MID(P392,{1,2,3,4,5,6,7,8,9,10,11,12},1),{5,4,3,2,9,8,7,6,5,4,3,2}),11)),VALUE(MID(P392,14,1))=IF(MOD(SUMPRODUCT(--MID(P392,{1,2,3,4,5,6,7,8,9,10,11,12,13},1),{6,5,4,3,2,9,8,7,6,5,4,3,2}),11)&lt;2,0,11-MOD(SUMPRODUCT(--MID(P392,{1,2,3,4,5,6,7,8,9,10,11,12,13},1),{6,5,4,3,2,9,8,7,6,5,4,3,2}),11))),"OK","ERRO: dígito verificador")))))</f>
      </c>
      <c r="R392" s="6">
        <f>IF(P392="","",IF(COUNTIF($P$2:$P$1001,P392)&gt;1,"DUPLICADO","OK"))</f>
      </c>
      <c r="S392" s="6">
        <f>IF(AND(J392="",K392=""),"vazio",IF(AND(OR(J392="",LEN(SUBSTITUTE(SUBSTITUTE(SUBSTITUTE(SUBSTITUTE(SUBSTITUTE(SUBSTITUTE(SUBSTITUTE(TRIM(J392),".",""),"/",""),"-","")," ",""),"(",""),")",""),"+",""))=10,LEN(SUBSTITUTE(SUBSTITUTE(SUBSTITUTE(SUBSTITUTE(SUBSTITUTE(SUBSTITUTE(SUBSTITUTE(TRIM(J392),".",""),"/",""),"-","")," ",""),"(",""),")",""),"+",""))=11),OR(K392="",LEN(SUBSTITUTE(SUBSTITUTE(SUBSTITUTE(SUBSTITUTE(SUBSTITUTE(SUBSTITUTE(SUBSTITUTE(TRIM(K392),".",""),"/",""),"-","")," ",""),"(",""),")",""),"+",""))=10,LEN(SUBSTITUTE(SUBSTITUTE(SUBSTITUTE(SUBSTITUTE(SUBSTITUTE(SUBSTITUTE(SUBSTITUTE(TRIM(K392),".",""),"/",""),"-","")," ",""),"(",""),")",""),"+",""))=11)),"OK","ERRO: use DDD + número (10 ou 11 dígitos)"))</f>
      </c>
      <c r="T392" s="6">
        <f>IF(L392="","vazio",IF(AND(ISNUMBER(FIND("@",L392)),ISNUMBER(FIND(".",MID(L392,FIND("@",L392),99))),NOT(ISNUMBER(FIND(" ",TRIM(L392)))),NOT(ISNUMBER(FIND(";",L392))),NOT(ISNUMBER(FIND(",",L392)))),"OK","ERRO: um e-mail válido por linha"))</f>
      </c>
      <c r="U392" s="6">
        <f>IF(COUNTA(A392:O392)=0,"",IF(AND(B392&lt;&gt;"",C392&lt;&gt;"",D392&lt;&gt;"",E392&lt;&gt;"",H392&lt;&gt;"",OR(J392&lt;&gt;"",L392&lt;&gt;"")),"OK","ERRO: faltam "&amp;IF(B392="","Proprietário; ","")&amp;IF(C392="","Origem; ","")&amp;IF(D392="","CNPJ; ","")&amp;IF(E392="","Razão Social; ","")&amp;IF(H392="","Sobrenome; ","")&amp;IF(AND(J392="",L392=""),"telefone ou e-mail; ","")))</f>
      </c>
      <c r="V392" s="6">
        <f>IF(COUNTA(A392:O392)=0,"",IF(AND(Q392="OK",R392="OK",LEFT(S392,4)&lt;&gt;"ERRO",LEFT(T392,4)&lt;&gt;"ERRO",U392="OK"),"OK","REVISAR"))</f>
      </c>
    </row>
    <row r="393">
      <c r="A393" s="4"/>
      <c r="B393" s="5"/>
      <c r="C393" s="5"/>
      <c r="D393" s="5"/>
      <c r="E393" s="5"/>
      <c r="F393" s="4"/>
      <c r="G393" s="4"/>
      <c r="H393" s="5"/>
      <c r="I393" s="4"/>
      <c r="J393" s="4"/>
      <c r="K393" s="4"/>
      <c r="L393" s="4"/>
      <c r="M393" s="4"/>
      <c r="N393" s="4"/>
      <c r="O393" s="4"/>
      <c r="P393" s="6">
        <f>IF(D393="","",SUBSTITUTE(SUBSTITUTE(SUBSTITUTE(SUBSTITUTE(SUBSTITUTE(SUBSTITUTE(SUBSTITUTE(TRIM(D393),".",""),"/",""),"-","")," ",""),"(",""),")",""),"+",""))</f>
      </c>
      <c r="Q393" s="6">
        <f>IF(P393="","",IF(LEN(P393)&lt;&gt;14,"ERRO: "&amp;LEN(P393)&amp;" dígitos",IF(NOT(ISNUMBER(VALUE(P393))),"ERRO: não numérico",IF(LEN(SUBSTITUTE(P393,LEFT(P393,1),""))=0,"ERRO: dígitos repetidos",IF(AND(VALUE(MID(P393,13,1))=IF(MOD(SUMPRODUCT(--MID(P393,{1,2,3,4,5,6,7,8,9,10,11,12},1),{5,4,3,2,9,8,7,6,5,4,3,2}),11)&lt;2,0,11-MOD(SUMPRODUCT(--MID(P393,{1,2,3,4,5,6,7,8,9,10,11,12},1),{5,4,3,2,9,8,7,6,5,4,3,2}),11)),VALUE(MID(P393,14,1))=IF(MOD(SUMPRODUCT(--MID(P393,{1,2,3,4,5,6,7,8,9,10,11,12,13},1),{6,5,4,3,2,9,8,7,6,5,4,3,2}),11)&lt;2,0,11-MOD(SUMPRODUCT(--MID(P393,{1,2,3,4,5,6,7,8,9,10,11,12,13},1),{6,5,4,3,2,9,8,7,6,5,4,3,2}),11))),"OK","ERRO: dígito verificador")))))</f>
      </c>
      <c r="R393" s="6">
        <f>IF(P393="","",IF(COUNTIF($P$2:$P$1001,P393)&gt;1,"DUPLICADO","OK"))</f>
      </c>
      <c r="S393" s="6">
        <f>IF(AND(J393="",K393=""),"vazio",IF(AND(OR(J393="",LEN(SUBSTITUTE(SUBSTITUTE(SUBSTITUTE(SUBSTITUTE(SUBSTITUTE(SUBSTITUTE(SUBSTITUTE(TRIM(J393),".",""),"/",""),"-","")," ",""),"(",""),")",""),"+",""))=10,LEN(SUBSTITUTE(SUBSTITUTE(SUBSTITUTE(SUBSTITUTE(SUBSTITUTE(SUBSTITUTE(SUBSTITUTE(TRIM(J393),".",""),"/",""),"-","")," ",""),"(",""),")",""),"+",""))=11),OR(K393="",LEN(SUBSTITUTE(SUBSTITUTE(SUBSTITUTE(SUBSTITUTE(SUBSTITUTE(SUBSTITUTE(SUBSTITUTE(TRIM(K393),".",""),"/",""),"-","")," ",""),"(",""),")",""),"+",""))=10,LEN(SUBSTITUTE(SUBSTITUTE(SUBSTITUTE(SUBSTITUTE(SUBSTITUTE(SUBSTITUTE(SUBSTITUTE(TRIM(K393),".",""),"/",""),"-","")," ",""),"(",""),")",""),"+",""))=11)),"OK","ERRO: use DDD + número (10 ou 11 dígitos)"))</f>
      </c>
      <c r="T393" s="6">
        <f>IF(L393="","vazio",IF(AND(ISNUMBER(FIND("@",L393)),ISNUMBER(FIND(".",MID(L393,FIND("@",L393),99))),NOT(ISNUMBER(FIND(" ",TRIM(L393)))),NOT(ISNUMBER(FIND(";",L393))),NOT(ISNUMBER(FIND(",",L393)))),"OK","ERRO: um e-mail válido por linha"))</f>
      </c>
      <c r="U393" s="6">
        <f>IF(COUNTA(A393:O393)=0,"",IF(AND(B393&lt;&gt;"",C393&lt;&gt;"",D393&lt;&gt;"",E393&lt;&gt;"",H393&lt;&gt;"",OR(J393&lt;&gt;"",L393&lt;&gt;"")),"OK","ERRO: faltam "&amp;IF(B393="","Proprietário; ","")&amp;IF(C393="","Origem; ","")&amp;IF(D393="","CNPJ; ","")&amp;IF(E393="","Razão Social; ","")&amp;IF(H393="","Sobrenome; ","")&amp;IF(AND(J393="",L393=""),"telefone ou e-mail; ","")))</f>
      </c>
      <c r="V393" s="6">
        <f>IF(COUNTA(A393:O393)=0,"",IF(AND(Q393="OK",R393="OK",LEFT(S393,4)&lt;&gt;"ERRO",LEFT(T393,4)&lt;&gt;"ERRO",U393="OK"),"OK","REVISAR"))</f>
      </c>
    </row>
    <row r="394">
      <c r="A394" s="4"/>
      <c r="B394" s="5"/>
      <c r="C394" s="5"/>
      <c r="D394" s="5"/>
      <c r="E394" s="5"/>
      <c r="F394" s="4"/>
      <c r="G394" s="4"/>
      <c r="H394" s="5"/>
      <c r="I394" s="4"/>
      <c r="J394" s="4"/>
      <c r="K394" s="4"/>
      <c r="L394" s="4"/>
      <c r="M394" s="4"/>
      <c r="N394" s="4"/>
      <c r="O394" s="4"/>
      <c r="P394" s="6">
        <f>IF(D394="","",SUBSTITUTE(SUBSTITUTE(SUBSTITUTE(SUBSTITUTE(SUBSTITUTE(SUBSTITUTE(SUBSTITUTE(TRIM(D394),".",""),"/",""),"-","")," ",""),"(",""),")",""),"+",""))</f>
      </c>
      <c r="Q394" s="6">
        <f>IF(P394="","",IF(LEN(P394)&lt;&gt;14,"ERRO: "&amp;LEN(P394)&amp;" dígitos",IF(NOT(ISNUMBER(VALUE(P394))),"ERRO: não numérico",IF(LEN(SUBSTITUTE(P394,LEFT(P394,1),""))=0,"ERRO: dígitos repetidos",IF(AND(VALUE(MID(P394,13,1))=IF(MOD(SUMPRODUCT(--MID(P394,{1,2,3,4,5,6,7,8,9,10,11,12},1),{5,4,3,2,9,8,7,6,5,4,3,2}),11)&lt;2,0,11-MOD(SUMPRODUCT(--MID(P394,{1,2,3,4,5,6,7,8,9,10,11,12},1),{5,4,3,2,9,8,7,6,5,4,3,2}),11)),VALUE(MID(P394,14,1))=IF(MOD(SUMPRODUCT(--MID(P394,{1,2,3,4,5,6,7,8,9,10,11,12,13},1),{6,5,4,3,2,9,8,7,6,5,4,3,2}),11)&lt;2,0,11-MOD(SUMPRODUCT(--MID(P394,{1,2,3,4,5,6,7,8,9,10,11,12,13},1),{6,5,4,3,2,9,8,7,6,5,4,3,2}),11))),"OK","ERRO: dígito verificador")))))</f>
      </c>
      <c r="R394" s="6">
        <f>IF(P394="","",IF(COUNTIF($P$2:$P$1001,P394)&gt;1,"DUPLICADO","OK"))</f>
      </c>
      <c r="S394" s="6">
        <f>IF(AND(J394="",K394=""),"vazio",IF(AND(OR(J394="",LEN(SUBSTITUTE(SUBSTITUTE(SUBSTITUTE(SUBSTITUTE(SUBSTITUTE(SUBSTITUTE(SUBSTITUTE(TRIM(J394),".",""),"/",""),"-","")," ",""),"(",""),")",""),"+",""))=10,LEN(SUBSTITUTE(SUBSTITUTE(SUBSTITUTE(SUBSTITUTE(SUBSTITUTE(SUBSTITUTE(SUBSTITUTE(TRIM(J394),".",""),"/",""),"-","")," ",""),"(",""),")",""),"+",""))=11),OR(K394="",LEN(SUBSTITUTE(SUBSTITUTE(SUBSTITUTE(SUBSTITUTE(SUBSTITUTE(SUBSTITUTE(SUBSTITUTE(TRIM(K394),".",""),"/",""),"-","")," ",""),"(",""),")",""),"+",""))=10,LEN(SUBSTITUTE(SUBSTITUTE(SUBSTITUTE(SUBSTITUTE(SUBSTITUTE(SUBSTITUTE(SUBSTITUTE(TRIM(K394),".",""),"/",""),"-","")," ",""),"(",""),")",""),"+",""))=11)),"OK","ERRO: use DDD + número (10 ou 11 dígitos)"))</f>
      </c>
      <c r="T394" s="6">
        <f>IF(L394="","vazio",IF(AND(ISNUMBER(FIND("@",L394)),ISNUMBER(FIND(".",MID(L394,FIND("@",L394),99))),NOT(ISNUMBER(FIND(" ",TRIM(L394)))),NOT(ISNUMBER(FIND(";",L394))),NOT(ISNUMBER(FIND(",",L394)))),"OK","ERRO: um e-mail válido por linha"))</f>
      </c>
      <c r="U394" s="6">
        <f>IF(COUNTA(A394:O394)=0,"",IF(AND(B394&lt;&gt;"",C394&lt;&gt;"",D394&lt;&gt;"",E394&lt;&gt;"",H394&lt;&gt;"",OR(J394&lt;&gt;"",L394&lt;&gt;"")),"OK","ERRO: faltam "&amp;IF(B394="","Proprietário; ","")&amp;IF(C394="","Origem; ","")&amp;IF(D394="","CNPJ; ","")&amp;IF(E394="","Razão Social; ","")&amp;IF(H394="","Sobrenome; ","")&amp;IF(AND(J394="",L394=""),"telefone ou e-mail; ","")))</f>
      </c>
      <c r="V394" s="6">
        <f>IF(COUNTA(A394:O394)=0,"",IF(AND(Q394="OK",R394="OK",LEFT(S394,4)&lt;&gt;"ERRO",LEFT(T394,4)&lt;&gt;"ERRO",U394="OK"),"OK","REVISAR"))</f>
      </c>
    </row>
    <row r="395">
      <c r="A395" s="4"/>
      <c r="B395" s="5"/>
      <c r="C395" s="5"/>
      <c r="D395" s="5"/>
      <c r="E395" s="5"/>
      <c r="F395" s="4"/>
      <c r="G395" s="4"/>
      <c r="H395" s="5"/>
      <c r="I395" s="4"/>
      <c r="J395" s="4"/>
      <c r="K395" s="4"/>
      <c r="L395" s="4"/>
      <c r="M395" s="4"/>
      <c r="N395" s="4"/>
      <c r="O395" s="4"/>
      <c r="P395" s="6">
        <f>IF(D395="","",SUBSTITUTE(SUBSTITUTE(SUBSTITUTE(SUBSTITUTE(SUBSTITUTE(SUBSTITUTE(SUBSTITUTE(TRIM(D395),".",""),"/",""),"-","")," ",""),"(",""),")",""),"+",""))</f>
      </c>
      <c r="Q395" s="6">
        <f>IF(P395="","",IF(LEN(P395)&lt;&gt;14,"ERRO: "&amp;LEN(P395)&amp;" dígitos",IF(NOT(ISNUMBER(VALUE(P395))),"ERRO: não numérico",IF(LEN(SUBSTITUTE(P395,LEFT(P395,1),""))=0,"ERRO: dígitos repetidos",IF(AND(VALUE(MID(P395,13,1))=IF(MOD(SUMPRODUCT(--MID(P395,{1,2,3,4,5,6,7,8,9,10,11,12},1),{5,4,3,2,9,8,7,6,5,4,3,2}),11)&lt;2,0,11-MOD(SUMPRODUCT(--MID(P395,{1,2,3,4,5,6,7,8,9,10,11,12},1),{5,4,3,2,9,8,7,6,5,4,3,2}),11)),VALUE(MID(P395,14,1))=IF(MOD(SUMPRODUCT(--MID(P395,{1,2,3,4,5,6,7,8,9,10,11,12,13},1),{6,5,4,3,2,9,8,7,6,5,4,3,2}),11)&lt;2,0,11-MOD(SUMPRODUCT(--MID(P395,{1,2,3,4,5,6,7,8,9,10,11,12,13},1),{6,5,4,3,2,9,8,7,6,5,4,3,2}),11))),"OK","ERRO: dígito verificador")))))</f>
      </c>
      <c r="R395" s="6">
        <f>IF(P395="","",IF(COUNTIF($P$2:$P$1001,P395)&gt;1,"DUPLICADO","OK"))</f>
      </c>
      <c r="S395" s="6">
        <f>IF(AND(J395="",K395=""),"vazio",IF(AND(OR(J395="",LEN(SUBSTITUTE(SUBSTITUTE(SUBSTITUTE(SUBSTITUTE(SUBSTITUTE(SUBSTITUTE(SUBSTITUTE(TRIM(J395),".",""),"/",""),"-","")," ",""),"(",""),")",""),"+",""))=10,LEN(SUBSTITUTE(SUBSTITUTE(SUBSTITUTE(SUBSTITUTE(SUBSTITUTE(SUBSTITUTE(SUBSTITUTE(TRIM(J395),".",""),"/",""),"-","")," ",""),"(",""),")",""),"+",""))=11),OR(K395="",LEN(SUBSTITUTE(SUBSTITUTE(SUBSTITUTE(SUBSTITUTE(SUBSTITUTE(SUBSTITUTE(SUBSTITUTE(TRIM(K395),".",""),"/",""),"-","")," ",""),"(",""),")",""),"+",""))=10,LEN(SUBSTITUTE(SUBSTITUTE(SUBSTITUTE(SUBSTITUTE(SUBSTITUTE(SUBSTITUTE(SUBSTITUTE(TRIM(K395),".",""),"/",""),"-","")," ",""),"(",""),")",""),"+",""))=11)),"OK","ERRO: use DDD + número (10 ou 11 dígitos)"))</f>
      </c>
      <c r="T395" s="6">
        <f>IF(L395="","vazio",IF(AND(ISNUMBER(FIND("@",L395)),ISNUMBER(FIND(".",MID(L395,FIND("@",L395),99))),NOT(ISNUMBER(FIND(" ",TRIM(L395)))),NOT(ISNUMBER(FIND(";",L395))),NOT(ISNUMBER(FIND(",",L395)))),"OK","ERRO: um e-mail válido por linha"))</f>
      </c>
      <c r="U395" s="6">
        <f>IF(COUNTA(A395:O395)=0,"",IF(AND(B395&lt;&gt;"",C395&lt;&gt;"",D395&lt;&gt;"",E395&lt;&gt;"",H395&lt;&gt;"",OR(J395&lt;&gt;"",L395&lt;&gt;"")),"OK","ERRO: faltam "&amp;IF(B395="","Proprietário; ","")&amp;IF(C395="","Origem; ","")&amp;IF(D395="","CNPJ; ","")&amp;IF(E395="","Razão Social; ","")&amp;IF(H395="","Sobrenome; ","")&amp;IF(AND(J395="",L395=""),"telefone ou e-mail; ","")))</f>
      </c>
      <c r="V395" s="6">
        <f>IF(COUNTA(A395:O395)=0,"",IF(AND(Q395="OK",R395="OK",LEFT(S395,4)&lt;&gt;"ERRO",LEFT(T395,4)&lt;&gt;"ERRO",U395="OK"),"OK","REVISAR"))</f>
      </c>
    </row>
    <row r="396">
      <c r="A396" s="4"/>
      <c r="B396" s="5"/>
      <c r="C396" s="5"/>
      <c r="D396" s="5"/>
      <c r="E396" s="5"/>
      <c r="F396" s="4"/>
      <c r="G396" s="4"/>
      <c r="H396" s="5"/>
      <c r="I396" s="4"/>
      <c r="J396" s="4"/>
      <c r="K396" s="4"/>
      <c r="L396" s="4"/>
      <c r="M396" s="4"/>
      <c r="N396" s="4"/>
      <c r="O396" s="4"/>
      <c r="P396" s="6">
        <f>IF(D396="","",SUBSTITUTE(SUBSTITUTE(SUBSTITUTE(SUBSTITUTE(SUBSTITUTE(SUBSTITUTE(SUBSTITUTE(TRIM(D396),".",""),"/",""),"-","")," ",""),"(",""),")",""),"+",""))</f>
      </c>
      <c r="Q396" s="6">
        <f>IF(P396="","",IF(LEN(P396)&lt;&gt;14,"ERRO: "&amp;LEN(P396)&amp;" dígitos",IF(NOT(ISNUMBER(VALUE(P396))),"ERRO: não numérico",IF(LEN(SUBSTITUTE(P396,LEFT(P396,1),""))=0,"ERRO: dígitos repetidos",IF(AND(VALUE(MID(P396,13,1))=IF(MOD(SUMPRODUCT(--MID(P396,{1,2,3,4,5,6,7,8,9,10,11,12},1),{5,4,3,2,9,8,7,6,5,4,3,2}),11)&lt;2,0,11-MOD(SUMPRODUCT(--MID(P396,{1,2,3,4,5,6,7,8,9,10,11,12},1),{5,4,3,2,9,8,7,6,5,4,3,2}),11)),VALUE(MID(P396,14,1))=IF(MOD(SUMPRODUCT(--MID(P396,{1,2,3,4,5,6,7,8,9,10,11,12,13},1),{6,5,4,3,2,9,8,7,6,5,4,3,2}),11)&lt;2,0,11-MOD(SUMPRODUCT(--MID(P396,{1,2,3,4,5,6,7,8,9,10,11,12,13},1),{6,5,4,3,2,9,8,7,6,5,4,3,2}),11))),"OK","ERRO: dígito verificador")))))</f>
      </c>
      <c r="R396" s="6">
        <f>IF(P396="","",IF(COUNTIF($P$2:$P$1001,P396)&gt;1,"DUPLICADO","OK"))</f>
      </c>
      <c r="S396" s="6">
        <f>IF(AND(J396="",K396=""),"vazio",IF(AND(OR(J396="",LEN(SUBSTITUTE(SUBSTITUTE(SUBSTITUTE(SUBSTITUTE(SUBSTITUTE(SUBSTITUTE(SUBSTITUTE(TRIM(J396),".",""),"/",""),"-","")," ",""),"(",""),")",""),"+",""))=10,LEN(SUBSTITUTE(SUBSTITUTE(SUBSTITUTE(SUBSTITUTE(SUBSTITUTE(SUBSTITUTE(SUBSTITUTE(TRIM(J396),".",""),"/",""),"-","")," ",""),"(",""),")",""),"+",""))=11),OR(K396="",LEN(SUBSTITUTE(SUBSTITUTE(SUBSTITUTE(SUBSTITUTE(SUBSTITUTE(SUBSTITUTE(SUBSTITUTE(TRIM(K396),".",""),"/",""),"-","")," ",""),"(",""),")",""),"+",""))=10,LEN(SUBSTITUTE(SUBSTITUTE(SUBSTITUTE(SUBSTITUTE(SUBSTITUTE(SUBSTITUTE(SUBSTITUTE(TRIM(K396),".",""),"/",""),"-","")," ",""),"(",""),")",""),"+",""))=11)),"OK","ERRO: use DDD + número (10 ou 11 dígitos)"))</f>
      </c>
      <c r="T396" s="6">
        <f>IF(L396="","vazio",IF(AND(ISNUMBER(FIND("@",L396)),ISNUMBER(FIND(".",MID(L396,FIND("@",L396),99))),NOT(ISNUMBER(FIND(" ",TRIM(L396)))),NOT(ISNUMBER(FIND(";",L396))),NOT(ISNUMBER(FIND(",",L396)))),"OK","ERRO: um e-mail válido por linha"))</f>
      </c>
      <c r="U396" s="6">
        <f>IF(COUNTA(A396:O396)=0,"",IF(AND(B396&lt;&gt;"",C396&lt;&gt;"",D396&lt;&gt;"",E396&lt;&gt;"",H396&lt;&gt;"",OR(J396&lt;&gt;"",L396&lt;&gt;"")),"OK","ERRO: faltam "&amp;IF(B396="","Proprietário; ","")&amp;IF(C396="","Origem; ","")&amp;IF(D396="","CNPJ; ","")&amp;IF(E396="","Razão Social; ","")&amp;IF(H396="","Sobrenome; ","")&amp;IF(AND(J396="",L396=""),"telefone ou e-mail; ","")))</f>
      </c>
      <c r="V396" s="6">
        <f>IF(COUNTA(A396:O396)=0,"",IF(AND(Q396="OK",R396="OK",LEFT(S396,4)&lt;&gt;"ERRO",LEFT(T396,4)&lt;&gt;"ERRO",U396="OK"),"OK","REVISAR"))</f>
      </c>
    </row>
    <row r="397">
      <c r="A397" s="4"/>
      <c r="B397" s="5"/>
      <c r="C397" s="5"/>
      <c r="D397" s="5"/>
      <c r="E397" s="5"/>
      <c r="F397" s="4"/>
      <c r="G397" s="4"/>
      <c r="H397" s="5"/>
      <c r="I397" s="4"/>
      <c r="J397" s="4"/>
      <c r="K397" s="4"/>
      <c r="L397" s="4"/>
      <c r="M397" s="4"/>
      <c r="N397" s="4"/>
      <c r="O397" s="4"/>
      <c r="P397" s="6">
        <f>IF(D397="","",SUBSTITUTE(SUBSTITUTE(SUBSTITUTE(SUBSTITUTE(SUBSTITUTE(SUBSTITUTE(SUBSTITUTE(TRIM(D397),".",""),"/",""),"-","")," ",""),"(",""),")",""),"+",""))</f>
      </c>
      <c r="Q397" s="6">
        <f>IF(P397="","",IF(LEN(P397)&lt;&gt;14,"ERRO: "&amp;LEN(P397)&amp;" dígitos",IF(NOT(ISNUMBER(VALUE(P397))),"ERRO: não numérico",IF(LEN(SUBSTITUTE(P397,LEFT(P397,1),""))=0,"ERRO: dígitos repetidos",IF(AND(VALUE(MID(P397,13,1))=IF(MOD(SUMPRODUCT(--MID(P397,{1,2,3,4,5,6,7,8,9,10,11,12},1),{5,4,3,2,9,8,7,6,5,4,3,2}),11)&lt;2,0,11-MOD(SUMPRODUCT(--MID(P397,{1,2,3,4,5,6,7,8,9,10,11,12},1),{5,4,3,2,9,8,7,6,5,4,3,2}),11)),VALUE(MID(P397,14,1))=IF(MOD(SUMPRODUCT(--MID(P397,{1,2,3,4,5,6,7,8,9,10,11,12,13},1),{6,5,4,3,2,9,8,7,6,5,4,3,2}),11)&lt;2,0,11-MOD(SUMPRODUCT(--MID(P397,{1,2,3,4,5,6,7,8,9,10,11,12,13},1),{6,5,4,3,2,9,8,7,6,5,4,3,2}),11))),"OK","ERRO: dígito verificador")))))</f>
      </c>
      <c r="R397" s="6">
        <f>IF(P397="","",IF(COUNTIF($P$2:$P$1001,P397)&gt;1,"DUPLICADO","OK"))</f>
      </c>
      <c r="S397" s="6">
        <f>IF(AND(J397="",K397=""),"vazio",IF(AND(OR(J397="",LEN(SUBSTITUTE(SUBSTITUTE(SUBSTITUTE(SUBSTITUTE(SUBSTITUTE(SUBSTITUTE(SUBSTITUTE(TRIM(J397),".",""),"/",""),"-","")," ",""),"(",""),")",""),"+",""))=10,LEN(SUBSTITUTE(SUBSTITUTE(SUBSTITUTE(SUBSTITUTE(SUBSTITUTE(SUBSTITUTE(SUBSTITUTE(TRIM(J397),".",""),"/",""),"-","")," ",""),"(",""),")",""),"+",""))=11),OR(K397="",LEN(SUBSTITUTE(SUBSTITUTE(SUBSTITUTE(SUBSTITUTE(SUBSTITUTE(SUBSTITUTE(SUBSTITUTE(TRIM(K397),".",""),"/",""),"-","")," ",""),"(",""),")",""),"+",""))=10,LEN(SUBSTITUTE(SUBSTITUTE(SUBSTITUTE(SUBSTITUTE(SUBSTITUTE(SUBSTITUTE(SUBSTITUTE(TRIM(K397),".",""),"/",""),"-","")," ",""),"(",""),")",""),"+",""))=11)),"OK","ERRO: use DDD + número (10 ou 11 dígitos)"))</f>
      </c>
      <c r="T397" s="6">
        <f>IF(L397="","vazio",IF(AND(ISNUMBER(FIND("@",L397)),ISNUMBER(FIND(".",MID(L397,FIND("@",L397),99))),NOT(ISNUMBER(FIND(" ",TRIM(L397)))),NOT(ISNUMBER(FIND(";",L397))),NOT(ISNUMBER(FIND(",",L397)))),"OK","ERRO: um e-mail válido por linha"))</f>
      </c>
      <c r="U397" s="6">
        <f>IF(COUNTA(A397:O397)=0,"",IF(AND(B397&lt;&gt;"",C397&lt;&gt;"",D397&lt;&gt;"",E397&lt;&gt;"",H397&lt;&gt;"",OR(J397&lt;&gt;"",L397&lt;&gt;"")),"OK","ERRO: faltam "&amp;IF(B397="","Proprietário; ","")&amp;IF(C397="","Origem; ","")&amp;IF(D397="","CNPJ; ","")&amp;IF(E397="","Razão Social; ","")&amp;IF(H397="","Sobrenome; ","")&amp;IF(AND(J397="",L397=""),"telefone ou e-mail; ","")))</f>
      </c>
      <c r="V397" s="6">
        <f>IF(COUNTA(A397:O397)=0,"",IF(AND(Q397="OK",R397="OK",LEFT(S397,4)&lt;&gt;"ERRO",LEFT(T397,4)&lt;&gt;"ERRO",U397="OK"),"OK","REVISAR"))</f>
      </c>
    </row>
    <row r="398">
      <c r="A398" s="4"/>
      <c r="B398" s="5"/>
      <c r="C398" s="5"/>
      <c r="D398" s="5"/>
      <c r="E398" s="5"/>
      <c r="F398" s="4"/>
      <c r="G398" s="4"/>
      <c r="H398" s="5"/>
      <c r="I398" s="4"/>
      <c r="J398" s="4"/>
      <c r="K398" s="4"/>
      <c r="L398" s="4"/>
      <c r="M398" s="4"/>
      <c r="N398" s="4"/>
      <c r="O398" s="4"/>
      <c r="P398" s="6">
        <f>IF(D398="","",SUBSTITUTE(SUBSTITUTE(SUBSTITUTE(SUBSTITUTE(SUBSTITUTE(SUBSTITUTE(SUBSTITUTE(TRIM(D398),".",""),"/",""),"-","")," ",""),"(",""),")",""),"+",""))</f>
      </c>
      <c r="Q398" s="6">
        <f>IF(P398="","",IF(LEN(P398)&lt;&gt;14,"ERRO: "&amp;LEN(P398)&amp;" dígitos",IF(NOT(ISNUMBER(VALUE(P398))),"ERRO: não numérico",IF(LEN(SUBSTITUTE(P398,LEFT(P398,1),""))=0,"ERRO: dígitos repetidos",IF(AND(VALUE(MID(P398,13,1))=IF(MOD(SUMPRODUCT(--MID(P398,{1,2,3,4,5,6,7,8,9,10,11,12},1),{5,4,3,2,9,8,7,6,5,4,3,2}),11)&lt;2,0,11-MOD(SUMPRODUCT(--MID(P398,{1,2,3,4,5,6,7,8,9,10,11,12},1),{5,4,3,2,9,8,7,6,5,4,3,2}),11)),VALUE(MID(P398,14,1))=IF(MOD(SUMPRODUCT(--MID(P398,{1,2,3,4,5,6,7,8,9,10,11,12,13},1),{6,5,4,3,2,9,8,7,6,5,4,3,2}),11)&lt;2,0,11-MOD(SUMPRODUCT(--MID(P398,{1,2,3,4,5,6,7,8,9,10,11,12,13},1),{6,5,4,3,2,9,8,7,6,5,4,3,2}),11))),"OK","ERRO: dígito verificador")))))</f>
      </c>
      <c r="R398" s="6">
        <f>IF(P398="","",IF(COUNTIF($P$2:$P$1001,P398)&gt;1,"DUPLICADO","OK"))</f>
      </c>
      <c r="S398" s="6">
        <f>IF(AND(J398="",K398=""),"vazio",IF(AND(OR(J398="",LEN(SUBSTITUTE(SUBSTITUTE(SUBSTITUTE(SUBSTITUTE(SUBSTITUTE(SUBSTITUTE(SUBSTITUTE(TRIM(J398),".",""),"/",""),"-","")," ",""),"(",""),")",""),"+",""))=10,LEN(SUBSTITUTE(SUBSTITUTE(SUBSTITUTE(SUBSTITUTE(SUBSTITUTE(SUBSTITUTE(SUBSTITUTE(TRIM(J398),".",""),"/",""),"-","")," ",""),"(",""),")",""),"+",""))=11),OR(K398="",LEN(SUBSTITUTE(SUBSTITUTE(SUBSTITUTE(SUBSTITUTE(SUBSTITUTE(SUBSTITUTE(SUBSTITUTE(TRIM(K398),".",""),"/",""),"-","")," ",""),"(",""),")",""),"+",""))=10,LEN(SUBSTITUTE(SUBSTITUTE(SUBSTITUTE(SUBSTITUTE(SUBSTITUTE(SUBSTITUTE(SUBSTITUTE(TRIM(K398),".",""),"/",""),"-","")," ",""),"(",""),")",""),"+",""))=11)),"OK","ERRO: use DDD + número (10 ou 11 dígitos)"))</f>
      </c>
      <c r="T398" s="6">
        <f>IF(L398="","vazio",IF(AND(ISNUMBER(FIND("@",L398)),ISNUMBER(FIND(".",MID(L398,FIND("@",L398),99))),NOT(ISNUMBER(FIND(" ",TRIM(L398)))),NOT(ISNUMBER(FIND(";",L398))),NOT(ISNUMBER(FIND(",",L398)))),"OK","ERRO: um e-mail válido por linha"))</f>
      </c>
      <c r="U398" s="6">
        <f>IF(COUNTA(A398:O398)=0,"",IF(AND(B398&lt;&gt;"",C398&lt;&gt;"",D398&lt;&gt;"",E398&lt;&gt;"",H398&lt;&gt;"",OR(J398&lt;&gt;"",L398&lt;&gt;"")),"OK","ERRO: faltam "&amp;IF(B398="","Proprietário; ","")&amp;IF(C398="","Origem; ","")&amp;IF(D398="","CNPJ; ","")&amp;IF(E398="","Razão Social; ","")&amp;IF(H398="","Sobrenome; ","")&amp;IF(AND(J398="",L398=""),"telefone ou e-mail; ","")))</f>
      </c>
      <c r="V398" s="6">
        <f>IF(COUNTA(A398:O398)=0,"",IF(AND(Q398="OK",R398="OK",LEFT(S398,4)&lt;&gt;"ERRO",LEFT(T398,4)&lt;&gt;"ERRO",U398="OK"),"OK","REVISAR"))</f>
      </c>
    </row>
    <row r="399">
      <c r="A399" s="4"/>
      <c r="B399" s="5"/>
      <c r="C399" s="5"/>
      <c r="D399" s="5"/>
      <c r="E399" s="5"/>
      <c r="F399" s="4"/>
      <c r="G399" s="4"/>
      <c r="H399" s="5"/>
      <c r="I399" s="4"/>
      <c r="J399" s="4"/>
      <c r="K399" s="4"/>
      <c r="L399" s="4"/>
      <c r="M399" s="4"/>
      <c r="N399" s="4"/>
      <c r="O399" s="4"/>
      <c r="P399" s="6">
        <f>IF(D399="","",SUBSTITUTE(SUBSTITUTE(SUBSTITUTE(SUBSTITUTE(SUBSTITUTE(SUBSTITUTE(SUBSTITUTE(TRIM(D399),".",""),"/",""),"-","")," ",""),"(",""),")",""),"+",""))</f>
      </c>
      <c r="Q399" s="6">
        <f>IF(P399="","",IF(LEN(P399)&lt;&gt;14,"ERRO: "&amp;LEN(P399)&amp;" dígitos",IF(NOT(ISNUMBER(VALUE(P399))),"ERRO: não numérico",IF(LEN(SUBSTITUTE(P399,LEFT(P399,1),""))=0,"ERRO: dígitos repetidos",IF(AND(VALUE(MID(P399,13,1))=IF(MOD(SUMPRODUCT(--MID(P399,{1,2,3,4,5,6,7,8,9,10,11,12},1),{5,4,3,2,9,8,7,6,5,4,3,2}),11)&lt;2,0,11-MOD(SUMPRODUCT(--MID(P399,{1,2,3,4,5,6,7,8,9,10,11,12},1),{5,4,3,2,9,8,7,6,5,4,3,2}),11)),VALUE(MID(P399,14,1))=IF(MOD(SUMPRODUCT(--MID(P399,{1,2,3,4,5,6,7,8,9,10,11,12,13},1),{6,5,4,3,2,9,8,7,6,5,4,3,2}),11)&lt;2,0,11-MOD(SUMPRODUCT(--MID(P399,{1,2,3,4,5,6,7,8,9,10,11,12,13},1),{6,5,4,3,2,9,8,7,6,5,4,3,2}),11))),"OK","ERRO: dígito verificador")))))</f>
      </c>
      <c r="R399" s="6">
        <f>IF(P399="","",IF(COUNTIF($P$2:$P$1001,P399)&gt;1,"DUPLICADO","OK"))</f>
      </c>
      <c r="S399" s="6">
        <f>IF(AND(J399="",K399=""),"vazio",IF(AND(OR(J399="",LEN(SUBSTITUTE(SUBSTITUTE(SUBSTITUTE(SUBSTITUTE(SUBSTITUTE(SUBSTITUTE(SUBSTITUTE(TRIM(J399),".",""),"/",""),"-","")," ",""),"(",""),")",""),"+",""))=10,LEN(SUBSTITUTE(SUBSTITUTE(SUBSTITUTE(SUBSTITUTE(SUBSTITUTE(SUBSTITUTE(SUBSTITUTE(TRIM(J399),".",""),"/",""),"-","")," ",""),"(",""),")",""),"+",""))=11),OR(K399="",LEN(SUBSTITUTE(SUBSTITUTE(SUBSTITUTE(SUBSTITUTE(SUBSTITUTE(SUBSTITUTE(SUBSTITUTE(TRIM(K399),".",""),"/",""),"-","")," ",""),"(",""),")",""),"+",""))=10,LEN(SUBSTITUTE(SUBSTITUTE(SUBSTITUTE(SUBSTITUTE(SUBSTITUTE(SUBSTITUTE(SUBSTITUTE(TRIM(K399),".",""),"/",""),"-","")," ",""),"(",""),")",""),"+",""))=11)),"OK","ERRO: use DDD + número (10 ou 11 dígitos)"))</f>
      </c>
      <c r="T399" s="6">
        <f>IF(L399="","vazio",IF(AND(ISNUMBER(FIND("@",L399)),ISNUMBER(FIND(".",MID(L399,FIND("@",L399),99))),NOT(ISNUMBER(FIND(" ",TRIM(L399)))),NOT(ISNUMBER(FIND(";",L399))),NOT(ISNUMBER(FIND(",",L399)))),"OK","ERRO: um e-mail válido por linha"))</f>
      </c>
      <c r="U399" s="6">
        <f>IF(COUNTA(A399:O399)=0,"",IF(AND(B399&lt;&gt;"",C399&lt;&gt;"",D399&lt;&gt;"",E399&lt;&gt;"",H399&lt;&gt;"",OR(J399&lt;&gt;"",L399&lt;&gt;"")),"OK","ERRO: faltam "&amp;IF(B399="","Proprietário; ","")&amp;IF(C399="","Origem; ","")&amp;IF(D399="","CNPJ; ","")&amp;IF(E399="","Razão Social; ","")&amp;IF(H399="","Sobrenome; ","")&amp;IF(AND(J399="",L399=""),"telefone ou e-mail; ","")))</f>
      </c>
      <c r="V399" s="6">
        <f>IF(COUNTA(A399:O399)=0,"",IF(AND(Q399="OK",R399="OK",LEFT(S399,4)&lt;&gt;"ERRO",LEFT(T399,4)&lt;&gt;"ERRO",U399="OK"),"OK","REVISAR"))</f>
      </c>
    </row>
    <row r="400">
      <c r="A400" s="4"/>
      <c r="B400" s="5"/>
      <c r="C400" s="5"/>
      <c r="D400" s="5"/>
      <c r="E400" s="5"/>
      <c r="F400" s="4"/>
      <c r="G400" s="4"/>
      <c r="H400" s="5"/>
      <c r="I400" s="4"/>
      <c r="J400" s="4"/>
      <c r="K400" s="4"/>
      <c r="L400" s="4"/>
      <c r="M400" s="4"/>
      <c r="N400" s="4"/>
      <c r="O400" s="4"/>
      <c r="P400" s="6">
        <f>IF(D400="","",SUBSTITUTE(SUBSTITUTE(SUBSTITUTE(SUBSTITUTE(SUBSTITUTE(SUBSTITUTE(SUBSTITUTE(TRIM(D400),".",""),"/",""),"-","")," ",""),"(",""),")",""),"+",""))</f>
      </c>
      <c r="Q400" s="6">
        <f>IF(P400="","",IF(LEN(P400)&lt;&gt;14,"ERRO: "&amp;LEN(P400)&amp;" dígitos",IF(NOT(ISNUMBER(VALUE(P400))),"ERRO: não numérico",IF(LEN(SUBSTITUTE(P400,LEFT(P400,1),""))=0,"ERRO: dígitos repetidos",IF(AND(VALUE(MID(P400,13,1))=IF(MOD(SUMPRODUCT(--MID(P400,{1,2,3,4,5,6,7,8,9,10,11,12},1),{5,4,3,2,9,8,7,6,5,4,3,2}),11)&lt;2,0,11-MOD(SUMPRODUCT(--MID(P400,{1,2,3,4,5,6,7,8,9,10,11,12},1),{5,4,3,2,9,8,7,6,5,4,3,2}),11)),VALUE(MID(P400,14,1))=IF(MOD(SUMPRODUCT(--MID(P400,{1,2,3,4,5,6,7,8,9,10,11,12,13},1),{6,5,4,3,2,9,8,7,6,5,4,3,2}),11)&lt;2,0,11-MOD(SUMPRODUCT(--MID(P400,{1,2,3,4,5,6,7,8,9,10,11,12,13},1),{6,5,4,3,2,9,8,7,6,5,4,3,2}),11))),"OK","ERRO: dígito verificador")))))</f>
      </c>
      <c r="R400" s="6">
        <f>IF(P400="","",IF(COUNTIF($P$2:$P$1001,P400)&gt;1,"DUPLICADO","OK"))</f>
      </c>
      <c r="S400" s="6">
        <f>IF(AND(J400="",K400=""),"vazio",IF(AND(OR(J400="",LEN(SUBSTITUTE(SUBSTITUTE(SUBSTITUTE(SUBSTITUTE(SUBSTITUTE(SUBSTITUTE(SUBSTITUTE(TRIM(J400),".",""),"/",""),"-","")," ",""),"(",""),")",""),"+",""))=10,LEN(SUBSTITUTE(SUBSTITUTE(SUBSTITUTE(SUBSTITUTE(SUBSTITUTE(SUBSTITUTE(SUBSTITUTE(TRIM(J400),".",""),"/",""),"-","")," ",""),"(",""),")",""),"+",""))=11),OR(K400="",LEN(SUBSTITUTE(SUBSTITUTE(SUBSTITUTE(SUBSTITUTE(SUBSTITUTE(SUBSTITUTE(SUBSTITUTE(TRIM(K400),".",""),"/",""),"-","")," ",""),"(",""),")",""),"+",""))=10,LEN(SUBSTITUTE(SUBSTITUTE(SUBSTITUTE(SUBSTITUTE(SUBSTITUTE(SUBSTITUTE(SUBSTITUTE(TRIM(K400),".",""),"/",""),"-","")," ",""),"(",""),")",""),"+",""))=11)),"OK","ERRO: use DDD + número (10 ou 11 dígitos)"))</f>
      </c>
      <c r="T400" s="6">
        <f>IF(L400="","vazio",IF(AND(ISNUMBER(FIND("@",L400)),ISNUMBER(FIND(".",MID(L400,FIND("@",L400),99))),NOT(ISNUMBER(FIND(" ",TRIM(L400)))),NOT(ISNUMBER(FIND(";",L400))),NOT(ISNUMBER(FIND(",",L400)))),"OK","ERRO: um e-mail válido por linha"))</f>
      </c>
      <c r="U400" s="6">
        <f>IF(COUNTA(A400:O400)=0,"",IF(AND(B400&lt;&gt;"",C400&lt;&gt;"",D400&lt;&gt;"",E400&lt;&gt;"",H400&lt;&gt;"",OR(J400&lt;&gt;"",L400&lt;&gt;"")),"OK","ERRO: faltam "&amp;IF(B400="","Proprietário; ","")&amp;IF(C400="","Origem; ","")&amp;IF(D400="","CNPJ; ","")&amp;IF(E400="","Razão Social; ","")&amp;IF(H400="","Sobrenome; ","")&amp;IF(AND(J400="",L400=""),"telefone ou e-mail; ","")))</f>
      </c>
      <c r="V400" s="6">
        <f>IF(COUNTA(A400:O400)=0,"",IF(AND(Q400="OK",R400="OK",LEFT(S400,4)&lt;&gt;"ERRO",LEFT(T400,4)&lt;&gt;"ERRO",U400="OK"),"OK","REVISAR"))</f>
      </c>
    </row>
    <row r="401">
      <c r="A401" s="4"/>
      <c r="B401" s="5"/>
      <c r="C401" s="5"/>
      <c r="D401" s="5"/>
      <c r="E401" s="5"/>
      <c r="F401" s="4"/>
      <c r="G401" s="4"/>
      <c r="H401" s="5"/>
      <c r="I401" s="4"/>
      <c r="J401" s="4"/>
      <c r="K401" s="4"/>
      <c r="L401" s="4"/>
      <c r="M401" s="4"/>
      <c r="N401" s="4"/>
      <c r="O401" s="4"/>
      <c r="P401" s="6">
        <f>IF(D401="","",SUBSTITUTE(SUBSTITUTE(SUBSTITUTE(SUBSTITUTE(SUBSTITUTE(SUBSTITUTE(SUBSTITUTE(TRIM(D401),".",""),"/",""),"-","")," ",""),"(",""),")",""),"+",""))</f>
      </c>
      <c r="Q401" s="6">
        <f>IF(P401="","",IF(LEN(P401)&lt;&gt;14,"ERRO: "&amp;LEN(P401)&amp;" dígitos",IF(NOT(ISNUMBER(VALUE(P401))),"ERRO: não numérico",IF(LEN(SUBSTITUTE(P401,LEFT(P401,1),""))=0,"ERRO: dígitos repetidos",IF(AND(VALUE(MID(P401,13,1))=IF(MOD(SUMPRODUCT(--MID(P401,{1,2,3,4,5,6,7,8,9,10,11,12},1),{5,4,3,2,9,8,7,6,5,4,3,2}),11)&lt;2,0,11-MOD(SUMPRODUCT(--MID(P401,{1,2,3,4,5,6,7,8,9,10,11,12},1),{5,4,3,2,9,8,7,6,5,4,3,2}),11)),VALUE(MID(P401,14,1))=IF(MOD(SUMPRODUCT(--MID(P401,{1,2,3,4,5,6,7,8,9,10,11,12,13},1),{6,5,4,3,2,9,8,7,6,5,4,3,2}),11)&lt;2,0,11-MOD(SUMPRODUCT(--MID(P401,{1,2,3,4,5,6,7,8,9,10,11,12,13},1),{6,5,4,3,2,9,8,7,6,5,4,3,2}),11))),"OK","ERRO: dígito verificador")))))</f>
      </c>
      <c r="R401" s="6">
        <f>IF(P401="","",IF(COUNTIF($P$2:$P$1001,P401)&gt;1,"DUPLICADO","OK"))</f>
      </c>
      <c r="S401" s="6">
        <f>IF(AND(J401="",K401=""),"vazio",IF(AND(OR(J401="",LEN(SUBSTITUTE(SUBSTITUTE(SUBSTITUTE(SUBSTITUTE(SUBSTITUTE(SUBSTITUTE(SUBSTITUTE(TRIM(J401),".",""),"/",""),"-","")," ",""),"(",""),")",""),"+",""))=10,LEN(SUBSTITUTE(SUBSTITUTE(SUBSTITUTE(SUBSTITUTE(SUBSTITUTE(SUBSTITUTE(SUBSTITUTE(TRIM(J401),".",""),"/",""),"-","")," ",""),"(",""),")",""),"+",""))=11),OR(K401="",LEN(SUBSTITUTE(SUBSTITUTE(SUBSTITUTE(SUBSTITUTE(SUBSTITUTE(SUBSTITUTE(SUBSTITUTE(TRIM(K401),".",""),"/",""),"-","")," ",""),"(",""),")",""),"+",""))=10,LEN(SUBSTITUTE(SUBSTITUTE(SUBSTITUTE(SUBSTITUTE(SUBSTITUTE(SUBSTITUTE(SUBSTITUTE(TRIM(K401),".",""),"/",""),"-","")," ",""),"(",""),")",""),"+",""))=11)),"OK","ERRO: use DDD + número (10 ou 11 dígitos)"))</f>
      </c>
      <c r="T401" s="6">
        <f>IF(L401="","vazio",IF(AND(ISNUMBER(FIND("@",L401)),ISNUMBER(FIND(".",MID(L401,FIND("@",L401),99))),NOT(ISNUMBER(FIND(" ",TRIM(L401)))),NOT(ISNUMBER(FIND(";",L401))),NOT(ISNUMBER(FIND(",",L401)))),"OK","ERRO: um e-mail válido por linha"))</f>
      </c>
      <c r="U401" s="6">
        <f>IF(COUNTA(A401:O401)=0,"",IF(AND(B401&lt;&gt;"",C401&lt;&gt;"",D401&lt;&gt;"",E401&lt;&gt;"",H401&lt;&gt;"",OR(J401&lt;&gt;"",L401&lt;&gt;"")),"OK","ERRO: faltam "&amp;IF(B401="","Proprietário; ","")&amp;IF(C401="","Origem; ","")&amp;IF(D401="","CNPJ; ","")&amp;IF(E401="","Razão Social; ","")&amp;IF(H401="","Sobrenome; ","")&amp;IF(AND(J401="",L401=""),"telefone ou e-mail; ","")))</f>
      </c>
      <c r="V401" s="6">
        <f>IF(COUNTA(A401:O401)=0,"",IF(AND(Q401="OK",R401="OK",LEFT(S401,4)&lt;&gt;"ERRO",LEFT(T401,4)&lt;&gt;"ERRO",U401="OK"),"OK","REVISAR"))</f>
      </c>
    </row>
    <row r="402">
      <c r="A402" s="4"/>
      <c r="B402" s="5"/>
      <c r="C402" s="5"/>
      <c r="D402" s="5"/>
      <c r="E402" s="5"/>
      <c r="F402" s="4"/>
      <c r="G402" s="4"/>
      <c r="H402" s="5"/>
      <c r="I402" s="4"/>
      <c r="J402" s="4"/>
      <c r="K402" s="4"/>
      <c r="L402" s="4"/>
      <c r="M402" s="4"/>
      <c r="N402" s="4"/>
      <c r="O402" s="4"/>
      <c r="P402" s="6">
        <f>IF(D402="","",SUBSTITUTE(SUBSTITUTE(SUBSTITUTE(SUBSTITUTE(SUBSTITUTE(SUBSTITUTE(SUBSTITUTE(TRIM(D402),".",""),"/",""),"-","")," ",""),"(",""),")",""),"+",""))</f>
      </c>
      <c r="Q402" s="6">
        <f>IF(P402="","",IF(LEN(P402)&lt;&gt;14,"ERRO: "&amp;LEN(P402)&amp;" dígitos",IF(NOT(ISNUMBER(VALUE(P402))),"ERRO: não numérico",IF(LEN(SUBSTITUTE(P402,LEFT(P402,1),""))=0,"ERRO: dígitos repetidos",IF(AND(VALUE(MID(P402,13,1))=IF(MOD(SUMPRODUCT(--MID(P402,{1,2,3,4,5,6,7,8,9,10,11,12},1),{5,4,3,2,9,8,7,6,5,4,3,2}),11)&lt;2,0,11-MOD(SUMPRODUCT(--MID(P402,{1,2,3,4,5,6,7,8,9,10,11,12},1),{5,4,3,2,9,8,7,6,5,4,3,2}),11)),VALUE(MID(P402,14,1))=IF(MOD(SUMPRODUCT(--MID(P402,{1,2,3,4,5,6,7,8,9,10,11,12,13},1),{6,5,4,3,2,9,8,7,6,5,4,3,2}),11)&lt;2,0,11-MOD(SUMPRODUCT(--MID(P402,{1,2,3,4,5,6,7,8,9,10,11,12,13},1),{6,5,4,3,2,9,8,7,6,5,4,3,2}),11))),"OK","ERRO: dígito verificador")))))</f>
      </c>
      <c r="R402" s="6">
        <f>IF(P402="","",IF(COUNTIF($P$2:$P$1001,P402)&gt;1,"DUPLICADO","OK"))</f>
      </c>
      <c r="S402" s="6">
        <f>IF(AND(J402="",K402=""),"vazio",IF(AND(OR(J402="",LEN(SUBSTITUTE(SUBSTITUTE(SUBSTITUTE(SUBSTITUTE(SUBSTITUTE(SUBSTITUTE(SUBSTITUTE(TRIM(J402),".",""),"/",""),"-","")," ",""),"(",""),")",""),"+",""))=10,LEN(SUBSTITUTE(SUBSTITUTE(SUBSTITUTE(SUBSTITUTE(SUBSTITUTE(SUBSTITUTE(SUBSTITUTE(TRIM(J402),".",""),"/",""),"-","")," ",""),"(",""),")",""),"+",""))=11),OR(K402="",LEN(SUBSTITUTE(SUBSTITUTE(SUBSTITUTE(SUBSTITUTE(SUBSTITUTE(SUBSTITUTE(SUBSTITUTE(TRIM(K402),".",""),"/",""),"-","")," ",""),"(",""),")",""),"+",""))=10,LEN(SUBSTITUTE(SUBSTITUTE(SUBSTITUTE(SUBSTITUTE(SUBSTITUTE(SUBSTITUTE(SUBSTITUTE(TRIM(K402),".",""),"/",""),"-","")," ",""),"(",""),")",""),"+",""))=11)),"OK","ERRO: use DDD + número (10 ou 11 dígitos)"))</f>
      </c>
      <c r="T402" s="6">
        <f>IF(L402="","vazio",IF(AND(ISNUMBER(FIND("@",L402)),ISNUMBER(FIND(".",MID(L402,FIND("@",L402),99))),NOT(ISNUMBER(FIND(" ",TRIM(L402)))),NOT(ISNUMBER(FIND(";",L402))),NOT(ISNUMBER(FIND(",",L402)))),"OK","ERRO: um e-mail válido por linha"))</f>
      </c>
      <c r="U402" s="6">
        <f>IF(COUNTA(A402:O402)=0,"",IF(AND(B402&lt;&gt;"",C402&lt;&gt;"",D402&lt;&gt;"",E402&lt;&gt;"",H402&lt;&gt;"",OR(J402&lt;&gt;"",L402&lt;&gt;"")),"OK","ERRO: faltam "&amp;IF(B402="","Proprietário; ","")&amp;IF(C402="","Origem; ","")&amp;IF(D402="","CNPJ; ","")&amp;IF(E402="","Razão Social; ","")&amp;IF(H402="","Sobrenome; ","")&amp;IF(AND(J402="",L402=""),"telefone ou e-mail; ","")))</f>
      </c>
      <c r="V402" s="6">
        <f>IF(COUNTA(A402:O402)=0,"",IF(AND(Q402="OK",R402="OK",LEFT(S402,4)&lt;&gt;"ERRO",LEFT(T402,4)&lt;&gt;"ERRO",U402="OK"),"OK","REVISAR"))</f>
      </c>
    </row>
    <row r="403">
      <c r="A403" s="4"/>
      <c r="B403" s="5"/>
      <c r="C403" s="5"/>
      <c r="D403" s="5"/>
      <c r="E403" s="5"/>
      <c r="F403" s="4"/>
      <c r="G403" s="4"/>
      <c r="H403" s="5"/>
      <c r="I403" s="4"/>
      <c r="J403" s="4"/>
      <c r="K403" s="4"/>
      <c r="L403" s="4"/>
      <c r="M403" s="4"/>
      <c r="N403" s="4"/>
      <c r="O403" s="4"/>
      <c r="P403" s="6">
        <f>IF(D403="","",SUBSTITUTE(SUBSTITUTE(SUBSTITUTE(SUBSTITUTE(SUBSTITUTE(SUBSTITUTE(SUBSTITUTE(TRIM(D403),".",""),"/",""),"-","")," ",""),"(",""),")",""),"+",""))</f>
      </c>
      <c r="Q403" s="6">
        <f>IF(P403="","",IF(LEN(P403)&lt;&gt;14,"ERRO: "&amp;LEN(P403)&amp;" dígitos",IF(NOT(ISNUMBER(VALUE(P403))),"ERRO: não numérico",IF(LEN(SUBSTITUTE(P403,LEFT(P403,1),""))=0,"ERRO: dígitos repetidos",IF(AND(VALUE(MID(P403,13,1))=IF(MOD(SUMPRODUCT(--MID(P403,{1,2,3,4,5,6,7,8,9,10,11,12},1),{5,4,3,2,9,8,7,6,5,4,3,2}),11)&lt;2,0,11-MOD(SUMPRODUCT(--MID(P403,{1,2,3,4,5,6,7,8,9,10,11,12},1),{5,4,3,2,9,8,7,6,5,4,3,2}),11)),VALUE(MID(P403,14,1))=IF(MOD(SUMPRODUCT(--MID(P403,{1,2,3,4,5,6,7,8,9,10,11,12,13},1),{6,5,4,3,2,9,8,7,6,5,4,3,2}),11)&lt;2,0,11-MOD(SUMPRODUCT(--MID(P403,{1,2,3,4,5,6,7,8,9,10,11,12,13},1),{6,5,4,3,2,9,8,7,6,5,4,3,2}),11))),"OK","ERRO: dígito verificador")))))</f>
      </c>
      <c r="R403" s="6">
        <f>IF(P403="","",IF(COUNTIF($P$2:$P$1001,P403)&gt;1,"DUPLICADO","OK"))</f>
      </c>
      <c r="S403" s="6">
        <f>IF(AND(J403="",K403=""),"vazio",IF(AND(OR(J403="",LEN(SUBSTITUTE(SUBSTITUTE(SUBSTITUTE(SUBSTITUTE(SUBSTITUTE(SUBSTITUTE(SUBSTITUTE(TRIM(J403),".",""),"/",""),"-","")," ",""),"(",""),")",""),"+",""))=10,LEN(SUBSTITUTE(SUBSTITUTE(SUBSTITUTE(SUBSTITUTE(SUBSTITUTE(SUBSTITUTE(SUBSTITUTE(TRIM(J403),".",""),"/",""),"-","")," ",""),"(",""),")",""),"+",""))=11),OR(K403="",LEN(SUBSTITUTE(SUBSTITUTE(SUBSTITUTE(SUBSTITUTE(SUBSTITUTE(SUBSTITUTE(SUBSTITUTE(TRIM(K403),".",""),"/",""),"-","")," ",""),"(",""),")",""),"+",""))=10,LEN(SUBSTITUTE(SUBSTITUTE(SUBSTITUTE(SUBSTITUTE(SUBSTITUTE(SUBSTITUTE(SUBSTITUTE(TRIM(K403),".",""),"/",""),"-","")," ",""),"(",""),")",""),"+",""))=11)),"OK","ERRO: use DDD + número (10 ou 11 dígitos)"))</f>
      </c>
      <c r="T403" s="6">
        <f>IF(L403="","vazio",IF(AND(ISNUMBER(FIND("@",L403)),ISNUMBER(FIND(".",MID(L403,FIND("@",L403),99))),NOT(ISNUMBER(FIND(" ",TRIM(L403)))),NOT(ISNUMBER(FIND(";",L403))),NOT(ISNUMBER(FIND(",",L403)))),"OK","ERRO: um e-mail válido por linha"))</f>
      </c>
      <c r="U403" s="6">
        <f>IF(COUNTA(A403:O403)=0,"",IF(AND(B403&lt;&gt;"",C403&lt;&gt;"",D403&lt;&gt;"",E403&lt;&gt;"",H403&lt;&gt;"",OR(J403&lt;&gt;"",L403&lt;&gt;"")),"OK","ERRO: faltam "&amp;IF(B403="","Proprietário; ","")&amp;IF(C403="","Origem; ","")&amp;IF(D403="","CNPJ; ","")&amp;IF(E403="","Razão Social; ","")&amp;IF(H403="","Sobrenome; ","")&amp;IF(AND(J403="",L403=""),"telefone ou e-mail; ","")))</f>
      </c>
      <c r="V403" s="6">
        <f>IF(COUNTA(A403:O403)=0,"",IF(AND(Q403="OK",R403="OK",LEFT(S403,4)&lt;&gt;"ERRO",LEFT(T403,4)&lt;&gt;"ERRO",U403="OK"),"OK","REVISAR"))</f>
      </c>
    </row>
    <row r="404">
      <c r="A404" s="4"/>
      <c r="B404" s="5"/>
      <c r="C404" s="5"/>
      <c r="D404" s="5"/>
      <c r="E404" s="5"/>
      <c r="F404" s="4"/>
      <c r="G404" s="4"/>
      <c r="H404" s="5"/>
      <c r="I404" s="4"/>
      <c r="J404" s="4"/>
      <c r="K404" s="4"/>
      <c r="L404" s="4"/>
      <c r="M404" s="4"/>
      <c r="N404" s="4"/>
      <c r="O404" s="4"/>
      <c r="P404" s="6">
        <f>IF(D404="","",SUBSTITUTE(SUBSTITUTE(SUBSTITUTE(SUBSTITUTE(SUBSTITUTE(SUBSTITUTE(SUBSTITUTE(TRIM(D404),".",""),"/",""),"-","")," ",""),"(",""),")",""),"+",""))</f>
      </c>
      <c r="Q404" s="6">
        <f>IF(P404="","",IF(LEN(P404)&lt;&gt;14,"ERRO: "&amp;LEN(P404)&amp;" dígitos",IF(NOT(ISNUMBER(VALUE(P404))),"ERRO: não numérico",IF(LEN(SUBSTITUTE(P404,LEFT(P404,1),""))=0,"ERRO: dígitos repetidos",IF(AND(VALUE(MID(P404,13,1))=IF(MOD(SUMPRODUCT(--MID(P404,{1,2,3,4,5,6,7,8,9,10,11,12},1),{5,4,3,2,9,8,7,6,5,4,3,2}),11)&lt;2,0,11-MOD(SUMPRODUCT(--MID(P404,{1,2,3,4,5,6,7,8,9,10,11,12},1),{5,4,3,2,9,8,7,6,5,4,3,2}),11)),VALUE(MID(P404,14,1))=IF(MOD(SUMPRODUCT(--MID(P404,{1,2,3,4,5,6,7,8,9,10,11,12,13},1),{6,5,4,3,2,9,8,7,6,5,4,3,2}),11)&lt;2,0,11-MOD(SUMPRODUCT(--MID(P404,{1,2,3,4,5,6,7,8,9,10,11,12,13},1),{6,5,4,3,2,9,8,7,6,5,4,3,2}),11))),"OK","ERRO: dígito verificador")))))</f>
      </c>
      <c r="R404" s="6">
        <f>IF(P404="","",IF(COUNTIF($P$2:$P$1001,P404)&gt;1,"DUPLICADO","OK"))</f>
      </c>
      <c r="S404" s="6">
        <f>IF(AND(J404="",K404=""),"vazio",IF(AND(OR(J404="",LEN(SUBSTITUTE(SUBSTITUTE(SUBSTITUTE(SUBSTITUTE(SUBSTITUTE(SUBSTITUTE(SUBSTITUTE(TRIM(J404),".",""),"/",""),"-","")," ",""),"(",""),")",""),"+",""))=10,LEN(SUBSTITUTE(SUBSTITUTE(SUBSTITUTE(SUBSTITUTE(SUBSTITUTE(SUBSTITUTE(SUBSTITUTE(TRIM(J404),".",""),"/",""),"-","")," ",""),"(",""),")",""),"+",""))=11),OR(K404="",LEN(SUBSTITUTE(SUBSTITUTE(SUBSTITUTE(SUBSTITUTE(SUBSTITUTE(SUBSTITUTE(SUBSTITUTE(TRIM(K404),".",""),"/",""),"-","")," ",""),"(",""),")",""),"+",""))=10,LEN(SUBSTITUTE(SUBSTITUTE(SUBSTITUTE(SUBSTITUTE(SUBSTITUTE(SUBSTITUTE(SUBSTITUTE(TRIM(K404),".",""),"/",""),"-","")," ",""),"(",""),")",""),"+",""))=11)),"OK","ERRO: use DDD + número (10 ou 11 dígitos)"))</f>
      </c>
      <c r="T404" s="6">
        <f>IF(L404="","vazio",IF(AND(ISNUMBER(FIND("@",L404)),ISNUMBER(FIND(".",MID(L404,FIND("@",L404),99))),NOT(ISNUMBER(FIND(" ",TRIM(L404)))),NOT(ISNUMBER(FIND(";",L404))),NOT(ISNUMBER(FIND(",",L404)))),"OK","ERRO: um e-mail válido por linha"))</f>
      </c>
      <c r="U404" s="6">
        <f>IF(COUNTA(A404:O404)=0,"",IF(AND(B404&lt;&gt;"",C404&lt;&gt;"",D404&lt;&gt;"",E404&lt;&gt;"",H404&lt;&gt;"",OR(J404&lt;&gt;"",L404&lt;&gt;"")),"OK","ERRO: faltam "&amp;IF(B404="","Proprietário; ","")&amp;IF(C404="","Origem; ","")&amp;IF(D404="","CNPJ; ","")&amp;IF(E404="","Razão Social; ","")&amp;IF(H404="","Sobrenome; ","")&amp;IF(AND(J404="",L404=""),"telefone ou e-mail; ","")))</f>
      </c>
      <c r="V404" s="6">
        <f>IF(COUNTA(A404:O404)=0,"",IF(AND(Q404="OK",R404="OK",LEFT(S404,4)&lt;&gt;"ERRO",LEFT(T404,4)&lt;&gt;"ERRO",U404="OK"),"OK","REVISAR"))</f>
      </c>
    </row>
    <row r="405">
      <c r="A405" s="4"/>
      <c r="B405" s="5"/>
      <c r="C405" s="5"/>
      <c r="D405" s="5"/>
      <c r="E405" s="5"/>
      <c r="F405" s="4"/>
      <c r="G405" s="4"/>
      <c r="H405" s="5"/>
      <c r="I405" s="4"/>
      <c r="J405" s="4"/>
      <c r="K405" s="4"/>
      <c r="L405" s="4"/>
      <c r="M405" s="4"/>
      <c r="N405" s="4"/>
      <c r="O405" s="4"/>
      <c r="P405" s="6">
        <f>IF(D405="","",SUBSTITUTE(SUBSTITUTE(SUBSTITUTE(SUBSTITUTE(SUBSTITUTE(SUBSTITUTE(SUBSTITUTE(TRIM(D405),".",""),"/",""),"-","")," ",""),"(",""),")",""),"+",""))</f>
      </c>
      <c r="Q405" s="6">
        <f>IF(P405="","",IF(LEN(P405)&lt;&gt;14,"ERRO: "&amp;LEN(P405)&amp;" dígitos",IF(NOT(ISNUMBER(VALUE(P405))),"ERRO: não numérico",IF(LEN(SUBSTITUTE(P405,LEFT(P405,1),""))=0,"ERRO: dígitos repetidos",IF(AND(VALUE(MID(P405,13,1))=IF(MOD(SUMPRODUCT(--MID(P405,{1,2,3,4,5,6,7,8,9,10,11,12},1),{5,4,3,2,9,8,7,6,5,4,3,2}),11)&lt;2,0,11-MOD(SUMPRODUCT(--MID(P405,{1,2,3,4,5,6,7,8,9,10,11,12},1),{5,4,3,2,9,8,7,6,5,4,3,2}),11)),VALUE(MID(P405,14,1))=IF(MOD(SUMPRODUCT(--MID(P405,{1,2,3,4,5,6,7,8,9,10,11,12,13},1),{6,5,4,3,2,9,8,7,6,5,4,3,2}),11)&lt;2,0,11-MOD(SUMPRODUCT(--MID(P405,{1,2,3,4,5,6,7,8,9,10,11,12,13},1),{6,5,4,3,2,9,8,7,6,5,4,3,2}),11))),"OK","ERRO: dígito verificador")))))</f>
      </c>
      <c r="R405" s="6">
        <f>IF(P405="","",IF(COUNTIF($P$2:$P$1001,P405)&gt;1,"DUPLICADO","OK"))</f>
      </c>
      <c r="S405" s="6">
        <f>IF(AND(J405="",K405=""),"vazio",IF(AND(OR(J405="",LEN(SUBSTITUTE(SUBSTITUTE(SUBSTITUTE(SUBSTITUTE(SUBSTITUTE(SUBSTITUTE(SUBSTITUTE(TRIM(J405),".",""),"/",""),"-","")," ",""),"(",""),")",""),"+",""))=10,LEN(SUBSTITUTE(SUBSTITUTE(SUBSTITUTE(SUBSTITUTE(SUBSTITUTE(SUBSTITUTE(SUBSTITUTE(TRIM(J405),".",""),"/",""),"-","")," ",""),"(",""),")",""),"+",""))=11),OR(K405="",LEN(SUBSTITUTE(SUBSTITUTE(SUBSTITUTE(SUBSTITUTE(SUBSTITUTE(SUBSTITUTE(SUBSTITUTE(TRIM(K405),".",""),"/",""),"-","")," ",""),"(",""),")",""),"+",""))=10,LEN(SUBSTITUTE(SUBSTITUTE(SUBSTITUTE(SUBSTITUTE(SUBSTITUTE(SUBSTITUTE(SUBSTITUTE(TRIM(K405),".",""),"/",""),"-","")," ",""),"(",""),")",""),"+",""))=11)),"OK","ERRO: use DDD + número (10 ou 11 dígitos)"))</f>
      </c>
      <c r="T405" s="6">
        <f>IF(L405="","vazio",IF(AND(ISNUMBER(FIND("@",L405)),ISNUMBER(FIND(".",MID(L405,FIND("@",L405),99))),NOT(ISNUMBER(FIND(" ",TRIM(L405)))),NOT(ISNUMBER(FIND(";",L405))),NOT(ISNUMBER(FIND(",",L405)))),"OK","ERRO: um e-mail válido por linha"))</f>
      </c>
      <c r="U405" s="6">
        <f>IF(COUNTA(A405:O405)=0,"",IF(AND(B405&lt;&gt;"",C405&lt;&gt;"",D405&lt;&gt;"",E405&lt;&gt;"",H405&lt;&gt;"",OR(J405&lt;&gt;"",L405&lt;&gt;"")),"OK","ERRO: faltam "&amp;IF(B405="","Proprietário; ","")&amp;IF(C405="","Origem; ","")&amp;IF(D405="","CNPJ; ","")&amp;IF(E405="","Razão Social; ","")&amp;IF(H405="","Sobrenome; ","")&amp;IF(AND(J405="",L405=""),"telefone ou e-mail; ","")))</f>
      </c>
      <c r="V405" s="6">
        <f>IF(COUNTA(A405:O405)=0,"",IF(AND(Q405="OK",R405="OK",LEFT(S405,4)&lt;&gt;"ERRO",LEFT(T405,4)&lt;&gt;"ERRO",U405="OK"),"OK","REVISAR"))</f>
      </c>
    </row>
    <row r="406">
      <c r="A406" s="4"/>
      <c r="B406" s="5"/>
      <c r="C406" s="5"/>
      <c r="D406" s="5"/>
      <c r="E406" s="5"/>
      <c r="F406" s="4"/>
      <c r="G406" s="4"/>
      <c r="H406" s="5"/>
      <c r="I406" s="4"/>
      <c r="J406" s="4"/>
      <c r="K406" s="4"/>
      <c r="L406" s="4"/>
      <c r="M406" s="4"/>
      <c r="N406" s="4"/>
      <c r="O406" s="4"/>
      <c r="P406" s="6">
        <f>IF(D406="","",SUBSTITUTE(SUBSTITUTE(SUBSTITUTE(SUBSTITUTE(SUBSTITUTE(SUBSTITUTE(SUBSTITUTE(TRIM(D406),".",""),"/",""),"-","")," ",""),"(",""),")",""),"+",""))</f>
      </c>
      <c r="Q406" s="6">
        <f>IF(P406="","",IF(LEN(P406)&lt;&gt;14,"ERRO: "&amp;LEN(P406)&amp;" dígitos",IF(NOT(ISNUMBER(VALUE(P406))),"ERRO: não numérico",IF(LEN(SUBSTITUTE(P406,LEFT(P406,1),""))=0,"ERRO: dígitos repetidos",IF(AND(VALUE(MID(P406,13,1))=IF(MOD(SUMPRODUCT(--MID(P406,{1,2,3,4,5,6,7,8,9,10,11,12},1),{5,4,3,2,9,8,7,6,5,4,3,2}),11)&lt;2,0,11-MOD(SUMPRODUCT(--MID(P406,{1,2,3,4,5,6,7,8,9,10,11,12},1),{5,4,3,2,9,8,7,6,5,4,3,2}),11)),VALUE(MID(P406,14,1))=IF(MOD(SUMPRODUCT(--MID(P406,{1,2,3,4,5,6,7,8,9,10,11,12,13},1),{6,5,4,3,2,9,8,7,6,5,4,3,2}),11)&lt;2,0,11-MOD(SUMPRODUCT(--MID(P406,{1,2,3,4,5,6,7,8,9,10,11,12,13},1),{6,5,4,3,2,9,8,7,6,5,4,3,2}),11))),"OK","ERRO: dígito verificador")))))</f>
      </c>
      <c r="R406" s="6">
        <f>IF(P406="","",IF(COUNTIF($P$2:$P$1001,P406)&gt;1,"DUPLICADO","OK"))</f>
      </c>
      <c r="S406" s="6">
        <f>IF(AND(J406="",K406=""),"vazio",IF(AND(OR(J406="",LEN(SUBSTITUTE(SUBSTITUTE(SUBSTITUTE(SUBSTITUTE(SUBSTITUTE(SUBSTITUTE(SUBSTITUTE(TRIM(J406),".",""),"/",""),"-","")," ",""),"(",""),")",""),"+",""))=10,LEN(SUBSTITUTE(SUBSTITUTE(SUBSTITUTE(SUBSTITUTE(SUBSTITUTE(SUBSTITUTE(SUBSTITUTE(TRIM(J406),".",""),"/",""),"-","")," ",""),"(",""),")",""),"+",""))=11),OR(K406="",LEN(SUBSTITUTE(SUBSTITUTE(SUBSTITUTE(SUBSTITUTE(SUBSTITUTE(SUBSTITUTE(SUBSTITUTE(TRIM(K406),".",""),"/",""),"-","")," ",""),"(",""),")",""),"+",""))=10,LEN(SUBSTITUTE(SUBSTITUTE(SUBSTITUTE(SUBSTITUTE(SUBSTITUTE(SUBSTITUTE(SUBSTITUTE(TRIM(K406),".",""),"/",""),"-","")," ",""),"(",""),")",""),"+",""))=11)),"OK","ERRO: use DDD + número (10 ou 11 dígitos)"))</f>
      </c>
      <c r="T406" s="6">
        <f>IF(L406="","vazio",IF(AND(ISNUMBER(FIND("@",L406)),ISNUMBER(FIND(".",MID(L406,FIND("@",L406),99))),NOT(ISNUMBER(FIND(" ",TRIM(L406)))),NOT(ISNUMBER(FIND(";",L406))),NOT(ISNUMBER(FIND(",",L406)))),"OK","ERRO: um e-mail válido por linha"))</f>
      </c>
      <c r="U406" s="6">
        <f>IF(COUNTA(A406:O406)=0,"",IF(AND(B406&lt;&gt;"",C406&lt;&gt;"",D406&lt;&gt;"",E406&lt;&gt;"",H406&lt;&gt;"",OR(J406&lt;&gt;"",L406&lt;&gt;"")),"OK","ERRO: faltam "&amp;IF(B406="","Proprietário; ","")&amp;IF(C406="","Origem; ","")&amp;IF(D406="","CNPJ; ","")&amp;IF(E406="","Razão Social; ","")&amp;IF(H406="","Sobrenome; ","")&amp;IF(AND(J406="",L406=""),"telefone ou e-mail; ","")))</f>
      </c>
      <c r="V406" s="6">
        <f>IF(COUNTA(A406:O406)=0,"",IF(AND(Q406="OK",R406="OK",LEFT(S406,4)&lt;&gt;"ERRO",LEFT(T406,4)&lt;&gt;"ERRO",U406="OK"),"OK","REVISAR"))</f>
      </c>
    </row>
    <row r="407">
      <c r="A407" s="4"/>
      <c r="B407" s="5"/>
      <c r="C407" s="5"/>
      <c r="D407" s="5"/>
      <c r="E407" s="5"/>
      <c r="F407" s="4"/>
      <c r="G407" s="4"/>
      <c r="H407" s="5"/>
      <c r="I407" s="4"/>
      <c r="J407" s="4"/>
      <c r="K407" s="4"/>
      <c r="L407" s="4"/>
      <c r="M407" s="4"/>
      <c r="N407" s="4"/>
      <c r="O407" s="4"/>
      <c r="P407" s="6">
        <f>IF(D407="","",SUBSTITUTE(SUBSTITUTE(SUBSTITUTE(SUBSTITUTE(SUBSTITUTE(SUBSTITUTE(SUBSTITUTE(TRIM(D407),".",""),"/",""),"-","")," ",""),"(",""),")",""),"+",""))</f>
      </c>
      <c r="Q407" s="6">
        <f>IF(P407="","",IF(LEN(P407)&lt;&gt;14,"ERRO: "&amp;LEN(P407)&amp;" dígitos",IF(NOT(ISNUMBER(VALUE(P407))),"ERRO: não numérico",IF(LEN(SUBSTITUTE(P407,LEFT(P407,1),""))=0,"ERRO: dígitos repetidos",IF(AND(VALUE(MID(P407,13,1))=IF(MOD(SUMPRODUCT(--MID(P407,{1,2,3,4,5,6,7,8,9,10,11,12},1),{5,4,3,2,9,8,7,6,5,4,3,2}),11)&lt;2,0,11-MOD(SUMPRODUCT(--MID(P407,{1,2,3,4,5,6,7,8,9,10,11,12},1),{5,4,3,2,9,8,7,6,5,4,3,2}),11)),VALUE(MID(P407,14,1))=IF(MOD(SUMPRODUCT(--MID(P407,{1,2,3,4,5,6,7,8,9,10,11,12,13},1),{6,5,4,3,2,9,8,7,6,5,4,3,2}),11)&lt;2,0,11-MOD(SUMPRODUCT(--MID(P407,{1,2,3,4,5,6,7,8,9,10,11,12,13},1),{6,5,4,3,2,9,8,7,6,5,4,3,2}),11))),"OK","ERRO: dígito verificador")))))</f>
      </c>
      <c r="R407" s="6">
        <f>IF(P407="","",IF(COUNTIF($P$2:$P$1001,P407)&gt;1,"DUPLICADO","OK"))</f>
      </c>
      <c r="S407" s="6">
        <f>IF(AND(J407="",K407=""),"vazio",IF(AND(OR(J407="",LEN(SUBSTITUTE(SUBSTITUTE(SUBSTITUTE(SUBSTITUTE(SUBSTITUTE(SUBSTITUTE(SUBSTITUTE(TRIM(J407),".",""),"/",""),"-","")," ",""),"(",""),")",""),"+",""))=10,LEN(SUBSTITUTE(SUBSTITUTE(SUBSTITUTE(SUBSTITUTE(SUBSTITUTE(SUBSTITUTE(SUBSTITUTE(TRIM(J407),".",""),"/",""),"-","")," ",""),"(",""),")",""),"+",""))=11),OR(K407="",LEN(SUBSTITUTE(SUBSTITUTE(SUBSTITUTE(SUBSTITUTE(SUBSTITUTE(SUBSTITUTE(SUBSTITUTE(TRIM(K407),".",""),"/",""),"-","")," ",""),"(",""),")",""),"+",""))=10,LEN(SUBSTITUTE(SUBSTITUTE(SUBSTITUTE(SUBSTITUTE(SUBSTITUTE(SUBSTITUTE(SUBSTITUTE(TRIM(K407),".",""),"/",""),"-","")," ",""),"(",""),")",""),"+",""))=11)),"OK","ERRO: use DDD + número (10 ou 11 dígitos)"))</f>
      </c>
      <c r="T407" s="6">
        <f>IF(L407="","vazio",IF(AND(ISNUMBER(FIND("@",L407)),ISNUMBER(FIND(".",MID(L407,FIND("@",L407),99))),NOT(ISNUMBER(FIND(" ",TRIM(L407)))),NOT(ISNUMBER(FIND(";",L407))),NOT(ISNUMBER(FIND(",",L407)))),"OK","ERRO: um e-mail válido por linha"))</f>
      </c>
      <c r="U407" s="6">
        <f>IF(COUNTA(A407:O407)=0,"",IF(AND(B407&lt;&gt;"",C407&lt;&gt;"",D407&lt;&gt;"",E407&lt;&gt;"",H407&lt;&gt;"",OR(J407&lt;&gt;"",L407&lt;&gt;"")),"OK","ERRO: faltam "&amp;IF(B407="","Proprietário; ","")&amp;IF(C407="","Origem; ","")&amp;IF(D407="","CNPJ; ","")&amp;IF(E407="","Razão Social; ","")&amp;IF(H407="","Sobrenome; ","")&amp;IF(AND(J407="",L407=""),"telefone ou e-mail; ","")))</f>
      </c>
      <c r="V407" s="6">
        <f>IF(COUNTA(A407:O407)=0,"",IF(AND(Q407="OK",R407="OK",LEFT(S407,4)&lt;&gt;"ERRO",LEFT(T407,4)&lt;&gt;"ERRO",U407="OK"),"OK","REVISAR"))</f>
      </c>
    </row>
    <row r="408">
      <c r="A408" s="4"/>
      <c r="B408" s="5"/>
      <c r="C408" s="5"/>
      <c r="D408" s="5"/>
      <c r="E408" s="5"/>
      <c r="F408" s="4"/>
      <c r="G408" s="4"/>
      <c r="H408" s="5"/>
      <c r="I408" s="4"/>
      <c r="J408" s="4"/>
      <c r="K408" s="4"/>
      <c r="L408" s="4"/>
      <c r="M408" s="4"/>
      <c r="N408" s="4"/>
      <c r="O408" s="4"/>
      <c r="P408" s="6">
        <f>IF(D408="","",SUBSTITUTE(SUBSTITUTE(SUBSTITUTE(SUBSTITUTE(SUBSTITUTE(SUBSTITUTE(SUBSTITUTE(TRIM(D408),".",""),"/",""),"-","")," ",""),"(",""),")",""),"+",""))</f>
      </c>
      <c r="Q408" s="6">
        <f>IF(P408="","",IF(LEN(P408)&lt;&gt;14,"ERRO: "&amp;LEN(P408)&amp;" dígitos",IF(NOT(ISNUMBER(VALUE(P408))),"ERRO: não numérico",IF(LEN(SUBSTITUTE(P408,LEFT(P408,1),""))=0,"ERRO: dígitos repetidos",IF(AND(VALUE(MID(P408,13,1))=IF(MOD(SUMPRODUCT(--MID(P408,{1,2,3,4,5,6,7,8,9,10,11,12},1),{5,4,3,2,9,8,7,6,5,4,3,2}),11)&lt;2,0,11-MOD(SUMPRODUCT(--MID(P408,{1,2,3,4,5,6,7,8,9,10,11,12},1),{5,4,3,2,9,8,7,6,5,4,3,2}),11)),VALUE(MID(P408,14,1))=IF(MOD(SUMPRODUCT(--MID(P408,{1,2,3,4,5,6,7,8,9,10,11,12,13},1),{6,5,4,3,2,9,8,7,6,5,4,3,2}),11)&lt;2,0,11-MOD(SUMPRODUCT(--MID(P408,{1,2,3,4,5,6,7,8,9,10,11,12,13},1),{6,5,4,3,2,9,8,7,6,5,4,3,2}),11))),"OK","ERRO: dígito verificador")))))</f>
      </c>
      <c r="R408" s="6">
        <f>IF(P408="","",IF(COUNTIF($P$2:$P$1001,P408)&gt;1,"DUPLICADO","OK"))</f>
      </c>
      <c r="S408" s="6">
        <f>IF(AND(J408="",K408=""),"vazio",IF(AND(OR(J408="",LEN(SUBSTITUTE(SUBSTITUTE(SUBSTITUTE(SUBSTITUTE(SUBSTITUTE(SUBSTITUTE(SUBSTITUTE(TRIM(J408),".",""),"/",""),"-","")," ",""),"(",""),")",""),"+",""))=10,LEN(SUBSTITUTE(SUBSTITUTE(SUBSTITUTE(SUBSTITUTE(SUBSTITUTE(SUBSTITUTE(SUBSTITUTE(TRIM(J408),".",""),"/",""),"-","")," ",""),"(",""),")",""),"+",""))=11),OR(K408="",LEN(SUBSTITUTE(SUBSTITUTE(SUBSTITUTE(SUBSTITUTE(SUBSTITUTE(SUBSTITUTE(SUBSTITUTE(TRIM(K408),".",""),"/",""),"-","")," ",""),"(",""),")",""),"+",""))=10,LEN(SUBSTITUTE(SUBSTITUTE(SUBSTITUTE(SUBSTITUTE(SUBSTITUTE(SUBSTITUTE(SUBSTITUTE(TRIM(K408),".",""),"/",""),"-","")," ",""),"(",""),")",""),"+",""))=11)),"OK","ERRO: use DDD + número (10 ou 11 dígitos)"))</f>
      </c>
      <c r="T408" s="6">
        <f>IF(L408="","vazio",IF(AND(ISNUMBER(FIND("@",L408)),ISNUMBER(FIND(".",MID(L408,FIND("@",L408),99))),NOT(ISNUMBER(FIND(" ",TRIM(L408)))),NOT(ISNUMBER(FIND(";",L408))),NOT(ISNUMBER(FIND(",",L408)))),"OK","ERRO: um e-mail válido por linha"))</f>
      </c>
      <c r="U408" s="6">
        <f>IF(COUNTA(A408:O408)=0,"",IF(AND(B408&lt;&gt;"",C408&lt;&gt;"",D408&lt;&gt;"",E408&lt;&gt;"",H408&lt;&gt;"",OR(J408&lt;&gt;"",L408&lt;&gt;"")),"OK","ERRO: faltam "&amp;IF(B408="","Proprietário; ","")&amp;IF(C408="","Origem; ","")&amp;IF(D408="","CNPJ; ","")&amp;IF(E408="","Razão Social; ","")&amp;IF(H408="","Sobrenome; ","")&amp;IF(AND(J408="",L408=""),"telefone ou e-mail; ","")))</f>
      </c>
      <c r="V408" s="6">
        <f>IF(COUNTA(A408:O408)=0,"",IF(AND(Q408="OK",R408="OK",LEFT(S408,4)&lt;&gt;"ERRO",LEFT(T408,4)&lt;&gt;"ERRO",U408="OK"),"OK","REVISAR"))</f>
      </c>
    </row>
    <row r="409">
      <c r="A409" s="4"/>
      <c r="B409" s="5"/>
      <c r="C409" s="5"/>
      <c r="D409" s="5"/>
      <c r="E409" s="5"/>
      <c r="F409" s="4"/>
      <c r="G409" s="4"/>
      <c r="H409" s="5"/>
      <c r="I409" s="4"/>
      <c r="J409" s="4"/>
      <c r="K409" s="4"/>
      <c r="L409" s="4"/>
      <c r="M409" s="4"/>
      <c r="N409" s="4"/>
      <c r="O409" s="4"/>
      <c r="P409" s="6">
        <f>IF(D409="","",SUBSTITUTE(SUBSTITUTE(SUBSTITUTE(SUBSTITUTE(SUBSTITUTE(SUBSTITUTE(SUBSTITUTE(TRIM(D409),".",""),"/",""),"-","")," ",""),"(",""),")",""),"+",""))</f>
      </c>
      <c r="Q409" s="6">
        <f>IF(P409="","",IF(LEN(P409)&lt;&gt;14,"ERRO: "&amp;LEN(P409)&amp;" dígitos",IF(NOT(ISNUMBER(VALUE(P409))),"ERRO: não numérico",IF(LEN(SUBSTITUTE(P409,LEFT(P409,1),""))=0,"ERRO: dígitos repetidos",IF(AND(VALUE(MID(P409,13,1))=IF(MOD(SUMPRODUCT(--MID(P409,{1,2,3,4,5,6,7,8,9,10,11,12},1),{5,4,3,2,9,8,7,6,5,4,3,2}),11)&lt;2,0,11-MOD(SUMPRODUCT(--MID(P409,{1,2,3,4,5,6,7,8,9,10,11,12},1),{5,4,3,2,9,8,7,6,5,4,3,2}),11)),VALUE(MID(P409,14,1))=IF(MOD(SUMPRODUCT(--MID(P409,{1,2,3,4,5,6,7,8,9,10,11,12,13},1),{6,5,4,3,2,9,8,7,6,5,4,3,2}),11)&lt;2,0,11-MOD(SUMPRODUCT(--MID(P409,{1,2,3,4,5,6,7,8,9,10,11,12,13},1),{6,5,4,3,2,9,8,7,6,5,4,3,2}),11))),"OK","ERRO: dígito verificador")))))</f>
      </c>
      <c r="R409" s="6">
        <f>IF(P409="","",IF(COUNTIF($P$2:$P$1001,P409)&gt;1,"DUPLICADO","OK"))</f>
      </c>
      <c r="S409" s="6">
        <f>IF(AND(J409="",K409=""),"vazio",IF(AND(OR(J409="",LEN(SUBSTITUTE(SUBSTITUTE(SUBSTITUTE(SUBSTITUTE(SUBSTITUTE(SUBSTITUTE(SUBSTITUTE(TRIM(J409),".",""),"/",""),"-","")," ",""),"(",""),")",""),"+",""))=10,LEN(SUBSTITUTE(SUBSTITUTE(SUBSTITUTE(SUBSTITUTE(SUBSTITUTE(SUBSTITUTE(SUBSTITUTE(TRIM(J409),".",""),"/",""),"-","")," ",""),"(",""),")",""),"+",""))=11),OR(K409="",LEN(SUBSTITUTE(SUBSTITUTE(SUBSTITUTE(SUBSTITUTE(SUBSTITUTE(SUBSTITUTE(SUBSTITUTE(TRIM(K409),".",""),"/",""),"-","")," ",""),"(",""),")",""),"+",""))=10,LEN(SUBSTITUTE(SUBSTITUTE(SUBSTITUTE(SUBSTITUTE(SUBSTITUTE(SUBSTITUTE(SUBSTITUTE(TRIM(K409),".",""),"/",""),"-","")," ",""),"(",""),")",""),"+",""))=11)),"OK","ERRO: use DDD + número (10 ou 11 dígitos)"))</f>
      </c>
      <c r="T409" s="6">
        <f>IF(L409="","vazio",IF(AND(ISNUMBER(FIND("@",L409)),ISNUMBER(FIND(".",MID(L409,FIND("@",L409),99))),NOT(ISNUMBER(FIND(" ",TRIM(L409)))),NOT(ISNUMBER(FIND(";",L409))),NOT(ISNUMBER(FIND(",",L409)))),"OK","ERRO: um e-mail válido por linha"))</f>
      </c>
      <c r="U409" s="6">
        <f>IF(COUNTA(A409:O409)=0,"",IF(AND(B409&lt;&gt;"",C409&lt;&gt;"",D409&lt;&gt;"",E409&lt;&gt;"",H409&lt;&gt;"",OR(J409&lt;&gt;"",L409&lt;&gt;"")),"OK","ERRO: faltam "&amp;IF(B409="","Proprietário; ","")&amp;IF(C409="","Origem; ","")&amp;IF(D409="","CNPJ; ","")&amp;IF(E409="","Razão Social; ","")&amp;IF(H409="","Sobrenome; ","")&amp;IF(AND(J409="",L409=""),"telefone ou e-mail; ","")))</f>
      </c>
      <c r="V409" s="6">
        <f>IF(COUNTA(A409:O409)=0,"",IF(AND(Q409="OK",R409="OK",LEFT(S409,4)&lt;&gt;"ERRO",LEFT(T409,4)&lt;&gt;"ERRO",U409="OK"),"OK","REVISAR"))</f>
      </c>
    </row>
    <row r="410">
      <c r="A410" s="4"/>
      <c r="B410" s="5"/>
      <c r="C410" s="5"/>
      <c r="D410" s="5"/>
      <c r="E410" s="5"/>
      <c r="F410" s="4"/>
      <c r="G410" s="4"/>
      <c r="H410" s="5"/>
      <c r="I410" s="4"/>
      <c r="J410" s="4"/>
      <c r="K410" s="4"/>
      <c r="L410" s="4"/>
      <c r="M410" s="4"/>
      <c r="N410" s="4"/>
      <c r="O410" s="4"/>
      <c r="P410" s="6">
        <f>IF(D410="","",SUBSTITUTE(SUBSTITUTE(SUBSTITUTE(SUBSTITUTE(SUBSTITUTE(SUBSTITUTE(SUBSTITUTE(TRIM(D410),".",""),"/",""),"-","")," ",""),"(",""),")",""),"+",""))</f>
      </c>
      <c r="Q410" s="6">
        <f>IF(P410="","",IF(LEN(P410)&lt;&gt;14,"ERRO: "&amp;LEN(P410)&amp;" dígitos",IF(NOT(ISNUMBER(VALUE(P410))),"ERRO: não numérico",IF(LEN(SUBSTITUTE(P410,LEFT(P410,1),""))=0,"ERRO: dígitos repetidos",IF(AND(VALUE(MID(P410,13,1))=IF(MOD(SUMPRODUCT(--MID(P410,{1,2,3,4,5,6,7,8,9,10,11,12},1),{5,4,3,2,9,8,7,6,5,4,3,2}),11)&lt;2,0,11-MOD(SUMPRODUCT(--MID(P410,{1,2,3,4,5,6,7,8,9,10,11,12},1),{5,4,3,2,9,8,7,6,5,4,3,2}),11)),VALUE(MID(P410,14,1))=IF(MOD(SUMPRODUCT(--MID(P410,{1,2,3,4,5,6,7,8,9,10,11,12,13},1),{6,5,4,3,2,9,8,7,6,5,4,3,2}),11)&lt;2,0,11-MOD(SUMPRODUCT(--MID(P410,{1,2,3,4,5,6,7,8,9,10,11,12,13},1),{6,5,4,3,2,9,8,7,6,5,4,3,2}),11))),"OK","ERRO: dígito verificador")))))</f>
      </c>
      <c r="R410" s="6">
        <f>IF(P410="","",IF(COUNTIF($P$2:$P$1001,P410)&gt;1,"DUPLICADO","OK"))</f>
      </c>
      <c r="S410" s="6">
        <f>IF(AND(J410="",K410=""),"vazio",IF(AND(OR(J410="",LEN(SUBSTITUTE(SUBSTITUTE(SUBSTITUTE(SUBSTITUTE(SUBSTITUTE(SUBSTITUTE(SUBSTITUTE(TRIM(J410),".",""),"/",""),"-","")," ",""),"(",""),")",""),"+",""))=10,LEN(SUBSTITUTE(SUBSTITUTE(SUBSTITUTE(SUBSTITUTE(SUBSTITUTE(SUBSTITUTE(SUBSTITUTE(TRIM(J410),".",""),"/",""),"-","")," ",""),"(",""),")",""),"+",""))=11),OR(K410="",LEN(SUBSTITUTE(SUBSTITUTE(SUBSTITUTE(SUBSTITUTE(SUBSTITUTE(SUBSTITUTE(SUBSTITUTE(TRIM(K410),".",""),"/",""),"-","")," ",""),"(",""),")",""),"+",""))=10,LEN(SUBSTITUTE(SUBSTITUTE(SUBSTITUTE(SUBSTITUTE(SUBSTITUTE(SUBSTITUTE(SUBSTITUTE(TRIM(K410),".",""),"/",""),"-","")," ",""),"(",""),")",""),"+",""))=11)),"OK","ERRO: use DDD + número (10 ou 11 dígitos)"))</f>
      </c>
      <c r="T410" s="6">
        <f>IF(L410="","vazio",IF(AND(ISNUMBER(FIND("@",L410)),ISNUMBER(FIND(".",MID(L410,FIND("@",L410),99))),NOT(ISNUMBER(FIND(" ",TRIM(L410)))),NOT(ISNUMBER(FIND(";",L410))),NOT(ISNUMBER(FIND(",",L410)))),"OK","ERRO: um e-mail válido por linha"))</f>
      </c>
      <c r="U410" s="6">
        <f>IF(COUNTA(A410:O410)=0,"",IF(AND(B410&lt;&gt;"",C410&lt;&gt;"",D410&lt;&gt;"",E410&lt;&gt;"",H410&lt;&gt;"",OR(J410&lt;&gt;"",L410&lt;&gt;"")),"OK","ERRO: faltam "&amp;IF(B410="","Proprietário; ","")&amp;IF(C410="","Origem; ","")&amp;IF(D410="","CNPJ; ","")&amp;IF(E410="","Razão Social; ","")&amp;IF(H410="","Sobrenome; ","")&amp;IF(AND(J410="",L410=""),"telefone ou e-mail; ","")))</f>
      </c>
      <c r="V410" s="6">
        <f>IF(COUNTA(A410:O410)=0,"",IF(AND(Q410="OK",R410="OK",LEFT(S410,4)&lt;&gt;"ERRO",LEFT(T410,4)&lt;&gt;"ERRO",U410="OK"),"OK","REVISAR"))</f>
      </c>
    </row>
    <row r="411">
      <c r="A411" s="4"/>
      <c r="B411" s="5"/>
      <c r="C411" s="5"/>
      <c r="D411" s="5"/>
      <c r="E411" s="5"/>
      <c r="F411" s="4"/>
      <c r="G411" s="4"/>
      <c r="H411" s="5"/>
      <c r="I411" s="4"/>
      <c r="J411" s="4"/>
      <c r="K411" s="4"/>
      <c r="L411" s="4"/>
      <c r="M411" s="4"/>
      <c r="N411" s="4"/>
      <c r="O411" s="4"/>
      <c r="P411" s="6">
        <f>IF(D411="","",SUBSTITUTE(SUBSTITUTE(SUBSTITUTE(SUBSTITUTE(SUBSTITUTE(SUBSTITUTE(SUBSTITUTE(TRIM(D411),".",""),"/",""),"-","")," ",""),"(",""),")",""),"+",""))</f>
      </c>
      <c r="Q411" s="6">
        <f>IF(P411="","",IF(LEN(P411)&lt;&gt;14,"ERRO: "&amp;LEN(P411)&amp;" dígitos",IF(NOT(ISNUMBER(VALUE(P411))),"ERRO: não numérico",IF(LEN(SUBSTITUTE(P411,LEFT(P411,1),""))=0,"ERRO: dígitos repetidos",IF(AND(VALUE(MID(P411,13,1))=IF(MOD(SUMPRODUCT(--MID(P411,{1,2,3,4,5,6,7,8,9,10,11,12},1),{5,4,3,2,9,8,7,6,5,4,3,2}),11)&lt;2,0,11-MOD(SUMPRODUCT(--MID(P411,{1,2,3,4,5,6,7,8,9,10,11,12},1),{5,4,3,2,9,8,7,6,5,4,3,2}),11)),VALUE(MID(P411,14,1))=IF(MOD(SUMPRODUCT(--MID(P411,{1,2,3,4,5,6,7,8,9,10,11,12,13},1),{6,5,4,3,2,9,8,7,6,5,4,3,2}),11)&lt;2,0,11-MOD(SUMPRODUCT(--MID(P411,{1,2,3,4,5,6,7,8,9,10,11,12,13},1),{6,5,4,3,2,9,8,7,6,5,4,3,2}),11))),"OK","ERRO: dígito verificador")))))</f>
      </c>
      <c r="R411" s="6">
        <f>IF(P411="","",IF(COUNTIF($P$2:$P$1001,P411)&gt;1,"DUPLICADO","OK"))</f>
      </c>
      <c r="S411" s="6">
        <f>IF(AND(J411="",K411=""),"vazio",IF(AND(OR(J411="",LEN(SUBSTITUTE(SUBSTITUTE(SUBSTITUTE(SUBSTITUTE(SUBSTITUTE(SUBSTITUTE(SUBSTITUTE(TRIM(J411),".",""),"/",""),"-","")," ",""),"(",""),")",""),"+",""))=10,LEN(SUBSTITUTE(SUBSTITUTE(SUBSTITUTE(SUBSTITUTE(SUBSTITUTE(SUBSTITUTE(SUBSTITUTE(TRIM(J411),".",""),"/",""),"-","")," ",""),"(",""),")",""),"+",""))=11),OR(K411="",LEN(SUBSTITUTE(SUBSTITUTE(SUBSTITUTE(SUBSTITUTE(SUBSTITUTE(SUBSTITUTE(SUBSTITUTE(TRIM(K411),".",""),"/",""),"-","")," ",""),"(",""),")",""),"+",""))=10,LEN(SUBSTITUTE(SUBSTITUTE(SUBSTITUTE(SUBSTITUTE(SUBSTITUTE(SUBSTITUTE(SUBSTITUTE(TRIM(K411),".",""),"/",""),"-","")," ",""),"(",""),")",""),"+",""))=11)),"OK","ERRO: use DDD + número (10 ou 11 dígitos)"))</f>
      </c>
      <c r="T411" s="6">
        <f>IF(L411="","vazio",IF(AND(ISNUMBER(FIND("@",L411)),ISNUMBER(FIND(".",MID(L411,FIND("@",L411),99))),NOT(ISNUMBER(FIND(" ",TRIM(L411)))),NOT(ISNUMBER(FIND(";",L411))),NOT(ISNUMBER(FIND(",",L411)))),"OK","ERRO: um e-mail válido por linha"))</f>
      </c>
      <c r="U411" s="6">
        <f>IF(COUNTA(A411:O411)=0,"",IF(AND(B411&lt;&gt;"",C411&lt;&gt;"",D411&lt;&gt;"",E411&lt;&gt;"",H411&lt;&gt;"",OR(J411&lt;&gt;"",L411&lt;&gt;"")),"OK","ERRO: faltam "&amp;IF(B411="","Proprietário; ","")&amp;IF(C411="","Origem; ","")&amp;IF(D411="","CNPJ; ","")&amp;IF(E411="","Razão Social; ","")&amp;IF(H411="","Sobrenome; ","")&amp;IF(AND(J411="",L411=""),"telefone ou e-mail; ","")))</f>
      </c>
      <c r="V411" s="6">
        <f>IF(COUNTA(A411:O411)=0,"",IF(AND(Q411="OK",R411="OK",LEFT(S411,4)&lt;&gt;"ERRO",LEFT(T411,4)&lt;&gt;"ERRO",U411="OK"),"OK","REVISAR"))</f>
      </c>
    </row>
    <row r="412">
      <c r="A412" s="4"/>
      <c r="B412" s="5"/>
      <c r="C412" s="5"/>
      <c r="D412" s="5"/>
      <c r="E412" s="5"/>
      <c r="F412" s="4"/>
      <c r="G412" s="4"/>
      <c r="H412" s="5"/>
      <c r="I412" s="4"/>
      <c r="J412" s="4"/>
      <c r="K412" s="4"/>
      <c r="L412" s="4"/>
      <c r="M412" s="4"/>
      <c r="N412" s="4"/>
      <c r="O412" s="4"/>
      <c r="P412" s="6">
        <f>IF(D412="","",SUBSTITUTE(SUBSTITUTE(SUBSTITUTE(SUBSTITUTE(SUBSTITUTE(SUBSTITUTE(SUBSTITUTE(TRIM(D412),".",""),"/",""),"-","")," ",""),"(",""),")",""),"+",""))</f>
      </c>
      <c r="Q412" s="6">
        <f>IF(P412="","",IF(LEN(P412)&lt;&gt;14,"ERRO: "&amp;LEN(P412)&amp;" dígitos",IF(NOT(ISNUMBER(VALUE(P412))),"ERRO: não numérico",IF(LEN(SUBSTITUTE(P412,LEFT(P412,1),""))=0,"ERRO: dígitos repetidos",IF(AND(VALUE(MID(P412,13,1))=IF(MOD(SUMPRODUCT(--MID(P412,{1,2,3,4,5,6,7,8,9,10,11,12},1),{5,4,3,2,9,8,7,6,5,4,3,2}),11)&lt;2,0,11-MOD(SUMPRODUCT(--MID(P412,{1,2,3,4,5,6,7,8,9,10,11,12},1),{5,4,3,2,9,8,7,6,5,4,3,2}),11)),VALUE(MID(P412,14,1))=IF(MOD(SUMPRODUCT(--MID(P412,{1,2,3,4,5,6,7,8,9,10,11,12,13},1),{6,5,4,3,2,9,8,7,6,5,4,3,2}),11)&lt;2,0,11-MOD(SUMPRODUCT(--MID(P412,{1,2,3,4,5,6,7,8,9,10,11,12,13},1),{6,5,4,3,2,9,8,7,6,5,4,3,2}),11))),"OK","ERRO: dígito verificador")))))</f>
      </c>
      <c r="R412" s="6">
        <f>IF(P412="","",IF(COUNTIF($P$2:$P$1001,P412)&gt;1,"DUPLICADO","OK"))</f>
      </c>
      <c r="S412" s="6">
        <f>IF(AND(J412="",K412=""),"vazio",IF(AND(OR(J412="",LEN(SUBSTITUTE(SUBSTITUTE(SUBSTITUTE(SUBSTITUTE(SUBSTITUTE(SUBSTITUTE(SUBSTITUTE(TRIM(J412),".",""),"/",""),"-","")," ",""),"(",""),")",""),"+",""))=10,LEN(SUBSTITUTE(SUBSTITUTE(SUBSTITUTE(SUBSTITUTE(SUBSTITUTE(SUBSTITUTE(SUBSTITUTE(TRIM(J412),".",""),"/",""),"-","")," ",""),"(",""),")",""),"+",""))=11),OR(K412="",LEN(SUBSTITUTE(SUBSTITUTE(SUBSTITUTE(SUBSTITUTE(SUBSTITUTE(SUBSTITUTE(SUBSTITUTE(TRIM(K412),".",""),"/",""),"-","")," ",""),"(",""),")",""),"+",""))=10,LEN(SUBSTITUTE(SUBSTITUTE(SUBSTITUTE(SUBSTITUTE(SUBSTITUTE(SUBSTITUTE(SUBSTITUTE(TRIM(K412),".",""),"/",""),"-","")," ",""),"(",""),")",""),"+",""))=11)),"OK","ERRO: use DDD + número (10 ou 11 dígitos)"))</f>
      </c>
      <c r="T412" s="6">
        <f>IF(L412="","vazio",IF(AND(ISNUMBER(FIND("@",L412)),ISNUMBER(FIND(".",MID(L412,FIND("@",L412),99))),NOT(ISNUMBER(FIND(" ",TRIM(L412)))),NOT(ISNUMBER(FIND(";",L412))),NOT(ISNUMBER(FIND(",",L412)))),"OK","ERRO: um e-mail válido por linha"))</f>
      </c>
      <c r="U412" s="6">
        <f>IF(COUNTA(A412:O412)=0,"",IF(AND(B412&lt;&gt;"",C412&lt;&gt;"",D412&lt;&gt;"",E412&lt;&gt;"",H412&lt;&gt;"",OR(J412&lt;&gt;"",L412&lt;&gt;"")),"OK","ERRO: faltam "&amp;IF(B412="","Proprietário; ","")&amp;IF(C412="","Origem; ","")&amp;IF(D412="","CNPJ; ","")&amp;IF(E412="","Razão Social; ","")&amp;IF(H412="","Sobrenome; ","")&amp;IF(AND(J412="",L412=""),"telefone ou e-mail; ","")))</f>
      </c>
      <c r="V412" s="6">
        <f>IF(COUNTA(A412:O412)=0,"",IF(AND(Q412="OK",R412="OK",LEFT(S412,4)&lt;&gt;"ERRO",LEFT(T412,4)&lt;&gt;"ERRO",U412="OK"),"OK","REVISAR"))</f>
      </c>
    </row>
    <row r="413">
      <c r="A413" s="4"/>
      <c r="B413" s="5"/>
      <c r="C413" s="5"/>
      <c r="D413" s="5"/>
      <c r="E413" s="5"/>
      <c r="F413" s="4"/>
      <c r="G413" s="4"/>
      <c r="H413" s="5"/>
      <c r="I413" s="4"/>
      <c r="J413" s="4"/>
      <c r="K413" s="4"/>
      <c r="L413" s="4"/>
      <c r="M413" s="4"/>
      <c r="N413" s="4"/>
      <c r="O413" s="4"/>
      <c r="P413" s="6">
        <f>IF(D413="","",SUBSTITUTE(SUBSTITUTE(SUBSTITUTE(SUBSTITUTE(SUBSTITUTE(SUBSTITUTE(SUBSTITUTE(TRIM(D413),".",""),"/",""),"-","")," ",""),"(",""),")",""),"+",""))</f>
      </c>
      <c r="Q413" s="6">
        <f>IF(P413="","",IF(LEN(P413)&lt;&gt;14,"ERRO: "&amp;LEN(P413)&amp;" dígitos",IF(NOT(ISNUMBER(VALUE(P413))),"ERRO: não numérico",IF(LEN(SUBSTITUTE(P413,LEFT(P413,1),""))=0,"ERRO: dígitos repetidos",IF(AND(VALUE(MID(P413,13,1))=IF(MOD(SUMPRODUCT(--MID(P413,{1,2,3,4,5,6,7,8,9,10,11,12},1),{5,4,3,2,9,8,7,6,5,4,3,2}),11)&lt;2,0,11-MOD(SUMPRODUCT(--MID(P413,{1,2,3,4,5,6,7,8,9,10,11,12},1),{5,4,3,2,9,8,7,6,5,4,3,2}),11)),VALUE(MID(P413,14,1))=IF(MOD(SUMPRODUCT(--MID(P413,{1,2,3,4,5,6,7,8,9,10,11,12,13},1),{6,5,4,3,2,9,8,7,6,5,4,3,2}),11)&lt;2,0,11-MOD(SUMPRODUCT(--MID(P413,{1,2,3,4,5,6,7,8,9,10,11,12,13},1),{6,5,4,3,2,9,8,7,6,5,4,3,2}),11))),"OK","ERRO: dígito verificador")))))</f>
      </c>
      <c r="R413" s="6">
        <f>IF(P413="","",IF(COUNTIF($P$2:$P$1001,P413)&gt;1,"DUPLICADO","OK"))</f>
      </c>
      <c r="S413" s="6">
        <f>IF(AND(J413="",K413=""),"vazio",IF(AND(OR(J413="",LEN(SUBSTITUTE(SUBSTITUTE(SUBSTITUTE(SUBSTITUTE(SUBSTITUTE(SUBSTITUTE(SUBSTITUTE(TRIM(J413),".",""),"/",""),"-","")," ",""),"(",""),")",""),"+",""))=10,LEN(SUBSTITUTE(SUBSTITUTE(SUBSTITUTE(SUBSTITUTE(SUBSTITUTE(SUBSTITUTE(SUBSTITUTE(TRIM(J413),".",""),"/",""),"-","")," ",""),"(",""),")",""),"+",""))=11),OR(K413="",LEN(SUBSTITUTE(SUBSTITUTE(SUBSTITUTE(SUBSTITUTE(SUBSTITUTE(SUBSTITUTE(SUBSTITUTE(TRIM(K413),".",""),"/",""),"-","")," ",""),"(",""),")",""),"+",""))=10,LEN(SUBSTITUTE(SUBSTITUTE(SUBSTITUTE(SUBSTITUTE(SUBSTITUTE(SUBSTITUTE(SUBSTITUTE(TRIM(K413),".",""),"/",""),"-","")," ",""),"(",""),")",""),"+",""))=11)),"OK","ERRO: use DDD + número (10 ou 11 dígitos)"))</f>
      </c>
      <c r="T413" s="6">
        <f>IF(L413="","vazio",IF(AND(ISNUMBER(FIND("@",L413)),ISNUMBER(FIND(".",MID(L413,FIND("@",L413),99))),NOT(ISNUMBER(FIND(" ",TRIM(L413)))),NOT(ISNUMBER(FIND(";",L413))),NOT(ISNUMBER(FIND(",",L413)))),"OK","ERRO: um e-mail válido por linha"))</f>
      </c>
      <c r="U413" s="6">
        <f>IF(COUNTA(A413:O413)=0,"",IF(AND(B413&lt;&gt;"",C413&lt;&gt;"",D413&lt;&gt;"",E413&lt;&gt;"",H413&lt;&gt;"",OR(J413&lt;&gt;"",L413&lt;&gt;"")),"OK","ERRO: faltam "&amp;IF(B413="","Proprietário; ","")&amp;IF(C413="","Origem; ","")&amp;IF(D413="","CNPJ; ","")&amp;IF(E413="","Razão Social; ","")&amp;IF(H413="","Sobrenome; ","")&amp;IF(AND(J413="",L413=""),"telefone ou e-mail; ","")))</f>
      </c>
      <c r="V413" s="6">
        <f>IF(COUNTA(A413:O413)=0,"",IF(AND(Q413="OK",R413="OK",LEFT(S413,4)&lt;&gt;"ERRO",LEFT(T413,4)&lt;&gt;"ERRO",U413="OK"),"OK","REVISAR"))</f>
      </c>
    </row>
    <row r="414">
      <c r="A414" s="4"/>
      <c r="B414" s="5"/>
      <c r="C414" s="5"/>
      <c r="D414" s="5"/>
      <c r="E414" s="5"/>
      <c r="F414" s="4"/>
      <c r="G414" s="4"/>
      <c r="H414" s="5"/>
      <c r="I414" s="4"/>
      <c r="J414" s="4"/>
      <c r="K414" s="4"/>
      <c r="L414" s="4"/>
      <c r="M414" s="4"/>
      <c r="N414" s="4"/>
      <c r="O414" s="4"/>
      <c r="P414" s="6">
        <f>IF(D414="","",SUBSTITUTE(SUBSTITUTE(SUBSTITUTE(SUBSTITUTE(SUBSTITUTE(SUBSTITUTE(SUBSTITUTE(TRIM(D414),".",""),"/",""),"-","")," ",""),"(",""),")",""),"+",""))</f>
      </c>
      <c r="Q414" s="6">
        <f>IF(P414="","",IF(LEN(P414)&lt;&gt;14,"ERRO: "&amp;LEN(P414)&amp;" dígitos",IF(NOT(ISNUMBER(VALUE(P414))),"ERRO: não numérico",IF(LEN(SUBSTITUTE(P414,LEFT(P414,1),""))=0,"ERRO: dígitos repetidos",IF(AND(VALUE(MID(P414,13,1))=IF(MOD(SUMPRODUCT(--MID(P414,{1,2,3,4,5,6,7,8,9,10,11,12},1),{5,4,3,2,9,8,7,6,5,4,3,2}),11)&lt;2,0,11-MOD(SUMPRODUCT(--MID(P414,{1,2,3,4,5,6,7,8,9,10,11,12},1),{5,4,3,2,9,8,7,6,5,4,3,2}),11)),VALUE(MID(P414,14,1))=IF(MOD(SUMPRODUCT(--MID(P414,{1,2,3,4,5,6,7,8,9,10,11,12,13},1),{6,5,4,3,2,9,8,7,6,5,4,3,2}),11)&lt;2,0,11-MOD(SUMPRODUCT(--MID(P414,{1,2,3,4,5,6,7,8,9,10,11,12,13},1),{6,5,4,3,2,9,8,7,6,5,4,3,2}),11))),"OK","ERRO: dígito verificador")))))</f>
      </c>
      <c r="R414" s="6">
        <f>IF(P414="","",IF(COUNTIF($P$2:$P$1001,P414)&gt;1,"DUPLICADO","OK"))</f>
      </c>
      <c r="S414" s="6">
        <f>IF(AND(J414="",K414=""),"vazio",IF(AND(OR(J414="",LEN(SUBSTITUTE(SUBSTITUTE(SUBSTITUTE(SUBSTITUTE(SUBSTITUTE(SUBSTITUTE(SUBSTITUTE(TRIM(J414),".",""),"/",""),"-","")," ",""),"(",""),")",""),"+",""))=10,LEN(SUBSTITUTE(SUBSTITUTE(SUBSTITUTE(SUBSTITUTE(SUBSTITUTE(SUBSTITUTE(SUBSTITUTE(TRIM(J414),".",""),"/",""),"-","")," ",""),"(",""),")",""),"+",""))=11),OR(K414="",LEN(SUBSTITUTE(SUBSTITUTE(SUBSTITUTE(SUBSTITUTE(SUBSTITUTE(SUBSTITUTE(SUBSTITUTE(TRIM(K414),".",""),"/",""),"-","")," ",""),"(",""),")",""),"+",""))=10,LEN(SUBSTITUTE(SUBSTITUTE(SUBSTITUTE(SUBSTITUTE(SUBSTITUTE(SUBSTITUTE(SUBSTITUTE(TRIM(K414),".",""),"/",""),"-","")," ",""),"(",""),")",""),"+",""))=11)),"OK","ERRO: use DDD + número (10 ou 11 dígitos)"))</f>
      </c>
      <c r="T414" s="6">
        <f>IF(L414="","vazio",IF(AND(ISNUMBER(FIND("@",L414)),ISNUMBER(FIND(".",MID(L414,FIND("@",L414),99))),NOT(ISNUMBER(FIND(" ",TRIM(L414)))),NOT(ISNUMBER(FIND(";",L414))),NOT(ISNUMBER(FIND(",",L414)))),"OK","ERRO: um e-mail válido por linha"))</f>
      </c>
      <c r="U414" s="6">
        <f>IF(COUNTA(A414:O414)=0,"",IF(AND(B414&lt;&gt;"",C414&lt;&gt;"",D414&lt;&gt;"",E414&lt;&gt;"",H414&lt;&gt;"",OR(J414&lt;&gt;"",L414&lt;&gt;"")),"OK","ERRO: faltam "&amp;IF(B414="","Proprietário; ","")&amp;IF(C414="","Origem; ","")&amp;IF(D414="","CNPJ; ","")&amp;IF(E414="","Razão Social; ","")&amp;IF(H414="","Sobrenome; ","")&amp;IF(AND(J414="",L414=""),"telefone ou e-mail; ","")))</f>
      </c>
      <c r="V414" s="6">
        <f>IF(COUNTA(A414:O414)=0,"",IF(AND(Q414="OK",R414="OK",LEFT(S414,4)&lt;&gt;"ERRO",LEFT(T414,4)&lt;&gt;"ERRO",U414="OK"),"OK","REVISAR"))</f>
      </c>
    </row>
    <row r="415">
      <c r="A415" s="4"/>
      <c r="B415" s="5"/>
      <c r="C415" s="5"/>
      <c r="D415" s="5"/>
      <c r="E415" s="5"/>
      <c r="F415" s="4"/>
      <c r="G415" s="4"/>
      <c r="H415" s="5"/>
      <c r="I415" s="4"/>
      <c r="J415" s="4"/>
      <c r="K415" s="4"/>
      <c r="L415" s="4"/>
      <c r="M415" s="4"/>
      <c r="N415" s="4"/>
      <c r="O415" s="4"/>
      <c r="P415" s="6">
        <f>IF(D415="","",SUBSTITUTE(SUBSTITUTE(SUBSTITUTE(SUBSTITUTE(SUBSTITUTE(SUBSTITUTE(SUBSTITUTE(TRIM(D415),".",""),"/",""),"-","")," ",""),"(",""),")",""),"+",""))</f>
      </c>
      <c r="Q415" s="6">
        <f>IF(P415="","",IF(LEN(P415)&lt;&gt;14,"ERRO: "&amp;LEN(P415)&amp;" dígitos",IF(NOT(ISNUMBER(VALUE(P415))),"ERRO: não numérico",IF(LEN(SUBSTITUTE(P415,LEFT(P415,1),""))=0,"ERRO: dígitos repetidos",IF(AND(VALUE(MID(P415,13,1))=IF(MOD(SUMPRODUCT(--MID(P415,{1,2,3,4,5,6,7,8,9,10,11,12},1),{5,4,3,2,9,8,7,6,5,4,3,2}),11)&lt;2,0,11-MOD(SUMPRODUCT(--MID(P415,{1,2,3,4,5,6,7,8,9,10,11,12},1),{5,4,3,2,9,8,7,6,5,4,3,2}),11)),VALUE(MID(P415,14,1))=IF(MOD(SUMPRODUCT(--MID(P415,{1,2,3,4,5,6,7,8,9,10,11,12,13},1),{6,5,4,3,2,9,8,7,6,5,4,3,2}),11)&lt;2,0,11-MOD(SUMPRODUCT(--MID(P415,{1,2,3,4,5,6,7,8,9,10,11,12,13},1),{6,5,4,3,2,9,8,7,6,5,4,3,2}),11))),"OK","ERRO: dígito verificador")))))</f>
      </c>
      <c r="R415" s="6">
        <f>IF(P415="","",IF(COUNTIF($P$2:$P$1001,P415)&gt;1,"DUPLICADO","OK"))</f>
      </c>
      <c r="S415" s="6">
        <f>IF(AND(J415="",K415=""),"vazio",IF(AND(OR(J415="",LEN(SUBSTITUTE(SUBSTITUTE(SUBSTITUTE(SUBSTITUTE(SUBSTITUTE(SUBSTITUTE(SUBSTITUTE(TRIM(J415),".",""),"/",""),"-","")," ",""),"(",""),")",""),"+",""))=10,LEN(SUBSTITUTE(SUBSTITUTE(SUBSTITUTE(SUBSTITUTE(SUBSTITUTE(SUBSTITUTE(SUBSTITUTE(TRIM(J415),".",""),"/",""),"-","")," ",""),"(",""),")",""),"+",""))=11),OR(K415="",LEN(SUBSTITUTE(SUBSTITUTE(SUBSTITUTE(SUBSTITUTE(SUBSTITUTE(SUBSTITUTE(SUBSTITUTE(TRIM(K415),".",""),"/",""),"-","")," ",""),"(",""),")",""),"+",""))=10,LEN(SUBSTITUTE(SUBSTITUTE(SUBSTITUTE(SUBSTITUTE(SUBSTITUTE(SUBSTITUTE(SUBSTITUTE(TRIM(K415),".",""),"/",""),"-","")," ",""),"(",""),")",""),"+",""))=11)),"OK","ERRO: use DDD + número (10 ou 11 dígitos)"))</f>
      </c>
      <c r="T415" s="6">
        <f>IF(L415="","vazio",IF(AND(ISNUMBER(FIND("@",L415)),ISNUMBER(FIND(".",MID(L415,FIND("@",L415),99))),NOT(ISNUMBER(FIND(" ",TRIM(L415)))),NOT(ISNUMBER(FIND(";",L415))),NOT(ISNUMBER(FIND(",",L415)))),"OK","ERRO: um e-mail válido por linha"))</f>
      </c>
      <c r="U415" s="6">
        <f>IF(COUNTA(A415:O415)=0,"",IF(AND(B415&lt;&gt;"",C415&lt;&gt;"",D415&lt;&gt;"",E415&lt;&gt;"",H415&lt;&gt;"",OR(J415&lt;&gt;"",L415&lt;&gt;"")),"OK","ERRO: faltam "&amp;IF(B415="","Proprietário; ","")&amp;IF(C415="","Origem; ","")&amp;IF(D415="","CNPJ; ","")&amp;IF(E415="","Razão Social; ","")&amp;IF(H415="","Sobrenome; ","")&amp;IF(AND(J415="",L415=""),"telefone ou e-mail; ","")))</f>
      </c>
      <c r="V415" s="6">
        <f>IF(COUNTA(A415:O415)=0,"",IF(AND(Q415="OK",R415="OK",LEFT(S415,4)&lt;&gt;"ERRO",LEFT(T415,4)&lt;&gt;"ERRO",U415="OK"),"OK","REVISAR"))</f>
      </c>
    </row>
    <row r="416">
      <c r="A416" s="4"/>
      <c r="B416" s="5"/>
      <c r="C416" s="5"/>
      <c r="D416" s="5"/>
      <c r="E416" s="5"/>
      <c r="F416" s="4"/>
      <c r="G416" s="4"/>
      <c r="H416" s="5"/>
      <c r="I416" s="4"/>
      <c r="J416" s="4"/>
      <c r="K416" s="4"/>
      <c r="L416" s="4"/>
      <c r="M416" s="4"/>
      <c r="N416" s="4"/>
      <c r="O416" s="4"/>
      <c r="P416" s="6">
        <f>IF(D416="","",SUBSTITUTE(SUBSTITUTE(SUBSTITUTE(SUBSTITUTE(SUBSTITUTE(SUBSTITUTE(SUBSTITUTE(TRIM(D416),".",""),"/",""),"-","")," ",""),"(",""),")",""),"+",""))</f>
      </c>
      <c r="Q416" s="6">
        <f>IF(P416="","",IF(LEN(P416)&lt;&gt;14,"ERRO: "&amp;LEN(P416)&amp;" dígitos",IF(NOT(ISNUMBER(VALUE(P416))),"ERRO: não numérico",IF(LEN(SUBSTITUTE(P416,LEFT(P416,1),""))=0,"ERRO: dígitos repetidos",IF(AND(VALUE(MID(P416,13,1))=IF(MOD(SUMPRODUCT(--MID(P416,{1,2,3,4,5,6,7,8,9,10,11,12},1),{5,4,3,2,9,8,7,6,5,4,3,2}),11)&lt;2,0,11-MOD(SUMPRODUCT(--MID(P416,{1,2,3,4,5,6,7,8,9,10,11,12},1),{5,4,3,2,9,8,7,6,5,4,3,2}),11)),VALUE(MID(P416,14,1))=IF(MOD(SUMPRODUCT(--MID(P416,{1,2,3,4,5,6,7,8,9,10,11,12,13},1),{6,5,4,3,2,9,8,7,6,5,4,3,2}),11)&lt;2,0,11-MOD(SUMPRODUCT(--MID(P416,{1,2,3,4,5,6,7,8,9,10,11,12,13},1),{6,5,4,3,2,9,8,7,6,5,4,3,2}),11))),"OK","ERRO: dígito verificador")))))</f>
      </c>
      <c r="R416" s="6">
        <f>IF(P416="","",IF(COUNTIF($P$2:$P$1001,P416)&gt;1,"DUPLICADO","OK"))</f>
      </c>
      <c r="S416" s="6">
        <f>IF(AND(J416="",K416=""),"vazio",IF(AND(OR(J416="",LEN(SUBSTITUTE(SUBSTITUTE(SUBSTITUTE(SUBSTITUTE(SUBSTITUTE(SUBSTITUTE(SUBSTITUTE(TRIM(J416),".",""),"/",""),"-","")," ",""),"(",""),")",""),"+",""))=10,LEN(SUBSTITUTE(SUBSTITUTE(SUBSTITUTE(SUBSTITUTE(SUBSTITUTE(SUBSTITUTE(SUBSTITUTE(TRIM(J416),".",""),"/",""),"-","")," ",""),"(",""),")",""),"+",""))=11),OR(K416="",LEN(SUBSTITUTE(SUBSTITUTE(SUBSTITUTE(SUBSTITUTE(SUBSTITUTE(SUBSTITUTE(SUBSTITUTE(TRIM(K416),".",""),"/",""),"-","")," ",""),"(",""),")",""),"+",""))=10,LEN(SUBSTITUTE(SUBSTITUTE(SUBSTITUTE(SUBSTITUTE(SUBSTITUTE(SUBSTITUTE(SUBSTITUTE(TRIM(K416),".",""),"/",""),"-","")," ",""),"(",""),")",""),"+",""))=11)),"OK","ERRO: use DDD + número (10 ou 11 dígitos)"))</f>
      </c>
      <c r="T416" s="6">
        <f>IF(L416="","vazio",IF(AND(ISNUMBER(FIND("@",L416)),ISNUMBER(FIND(".",MID(L416,FIND("@",L416),99))),NOT(ISNUMBER(FIND(" ",TRIM(L416)))),NOT(ISNUMBER(FIND(";",L416))),NOT(ISNUMBER(FIND(",",L416)))),"OK","ERRO: um e-mail válido por linha"))</f>
      </c>
      <c r="U416" s="6">
        <f>IF(COUNTA(A416:O416)=0,"",IF(AND(B416&lt;&gt;"",C416&lt;&gt;"",D416&lt;&gt;"",E416&lt;&gt;"",H416&lt;&gt;"",OR(J416&lt;&gt;"",L416&lt;&gt;"")),"OK","ERRO: faltam "&amp;IF(B416="","Proprietário; ","")&amp;IF(C416="","Origem; ","")&amp;IF(D416="","CNPJ; ","")&amp;IF(E416="","Razão Social; ","")&amp;IF(H416="","Sobrenome; ","")&amp;IF(AND(J416="",L416=""),"telefone ou e-mail; ","")))</f>
      </c>
      <c r="V416" s="6">
        <f>IF(COUNTA(A416:O416)=0,"",IF(AND(Q416="OK",R416="OK",LEFT(S416,4)&lt;&gt;"ERRO",LEFT(T416,4)&lt;&gt;"ERRO",U416="OK"),"OK","REVISAR"))</f>
      </c>
    </row>
    <row r="417">
      <c r="A417" s="4"/>
      <c r="B417" s="5"/>
      <c r="C417" s="5"/>
      <c r="D417" s="5"/>
      <c r="E417" s="5"/>
      <c r="F417" s="4"/>
      <c r="G417" s="4"/>
      <c r="H417" s="5"/>
      <c r="I417" s="4"/>
      <c r="J417" s="4"/>
      <c r="K417" s="4"/>
      <c r="L417" s="4"/>
      <c r="M417" s="4"/>
      <c r="N417" s="4"/>
      <c r="O417" s="4"/>
      <c r="P417" s="6">
        <f>IF(D417="","",SUBSTITUTE(SUBSTITUTE(SUBSTITUTE(SUBSTITUTE(SUBSTITUTE(SUBSTITUTE(SUBSTITUTE(TRIM(D417),".",""),"/",""),"-","")," ",""),"(",""),")",""),"+",""))</f>
      </c>
      <c r="Q417" s="6">
        <f>IF(P417="","",IF(LEN(P417)&lt;&gt;14,"ERRO: "&amp;LEN(P417)&amp;" dígitos",IF(NOT(ISNUMBER(VALUE(P417))),"ERRO: não numérico",IF(LEN(SUBSTITUTE(P417,LEFT(P417,1),""))=0,"ERRO: dígitos repetidos",IF(AND(VALUE(MID(P417,13,1))=IF(MOD(SUMPRODUCT(--MID(P417,{1,2,3,4,5,6,7,8,9,10,11,12},1),{5,4,3,2,9,8,7,6,5,4,3,2}),11)&lt;2,0,11-MOD(SUMPRODUCT(--MID(P417,{1,2,3,4,5,6,7,8,9,10,11,12},1),{5,4,3,2,9,8,7,6,5,4,3,2}),11)),VALUE(MID(P417,14,1))=IF(MOD(SUMPRODUCT(--MID(P417,{1,2,3,4,5,6,7,8,9,10,11,12,13},1),{6,5,4,3,2,9,8,7,6,5,4,3,2}),11)&lt;2,0,11-MOD(SUMPRODUCT(--MID(P417,{1,2,3,4,5,6,7,8,9,10,11,12,13},1),{6,5,4,3,2,9,8,7,6,5,4,3,2}),11))),"OK","ERRO: dígito verificador")))))</f>
      </c>
      <c r="R417" s="6">
        <f>IF(P417="","",IF(COUNTIF($P$2:$P$1001,P417)&gt;1,"DUPLICADO","OK"))</f>
      </c>
      <c r="S417" s="6">
        <f>IF(AND(J417="",K417=""),"vazio",IF(AND(OR(J417="",LEN(SUBSTITUTE(SUBSTITUTE(SUBSTITUTE(SUBSTITUTE(SUBSTITUTE(SUBSTITUTE(SUBSTITUTE(TRIM(J417),".",""),"/",""),"-","")," ",""),"(",""),")",""),"+",""))=10,LEN(SUBSTITUTE(SUBSTITUTE(SUBSTITUTE(SUBSTITUTE(SUBSTITUTE(SUBSTITUTE(SUBSTITUTE(TRIM(J417),".",""),"/",""),"-","")," ",""),"(",""),")",""),"+",""))=11),OR(K417="",LEN(SUBSTITUTE(SUBSTITUTE(SUBSTITUTE(SUBSTITUTE(SUBSTITUTE(SUBSTITUTE(SUBSTITUTE(TRIM(K417),".",""),"/",""),"-","")," ",""),"(",""),")",""),"+",""))=10,LEN(SUBSTITUTE(SUBSTITUTE(SUBSTITUTE(SUBSTITUTE(SUBSTITUTE(SUBSTITUTE(SUBSTITUTE(TRIM(K417),".",""),"/",""),"-","")," ",""),"(",""),")",""),"+",""))=11)),"OK","ERRO: use DDD + número (10 ou 11 dígitos)"))</f>
      </c>
      <c r="T417" s="6">
        <f>IF(L417="","vazio",IF(AND(ISNUMBER(FIND("@",L417)),ISNUMBER(FIND(".",MID(L417,FIND("@",L417),99))),NOT(ISNUMBER(FIND(" ",TRIM(L417)))),NOT(ISNUMBER(FIND(";",L417))),NOT(ISNUMBER(FIND(",",L417)))),"OK","ERRO: um e-mail válido por linha"))</f>
      </c>
      <c r="U417" s="6">
        <f>IF(COUNTA(A417:O417)=0,"",IF(AND(B417&lt;&gt;"",C417&lt;&gt;"",D417&lt;&gt;"",E417&lt;&gt;"",H417&lt;&gt;"",OR(J417&lt;&gt;"",L417&lt;&gt;"")),"OK","ERRO: faltam "&amp;IF(B417="","Proprietário; ","")&amp;IF(C417="","Origem; ","")&amp;IF(D417="","CNPJ; ","")&amp;IF(E417="","Razão Social; ","")&amp;IF(H417="","Sobrenome; ","")&amp;IF(AND(J417="",L417=""),"telefone ou e-mail; ","")))</f>
      </c>
      <c r="V417" s="6">
        <f>IF(COUNTA(A417:O417)=0,"",IF(AND(Q417="OK",R417="OK",LEFT(S417,4)&lt;&gt;"ERRO",LEFT(T417,4)&lt;&gt;"ERRO",U417="OK"),"OK","REVISAR"))</f>
      </c>
    </row>
    <row r="418">
      <c r="A418" s="4"/>
      <c r="B418" s="5"/>
      <c r="C418" s="5"/>
      <c r="D418" s="5"/>
      <c r="E418" s="5"/>
      <c r="F418" s="4"/>
      <c r="G418" s="4"/>
      <c r="H418" s="5"/>
      <c r="I418" s="4"/>
      <c r="J418" s="4"/>
      <c r="K418" s="4"/>
      <c r="L418" s="4"/>
      <c r="M418" s="4"/>
      <c r="N418" s="4"/>
      <c r="O418" s="4"/>
      <c r="P418" s="6">
        <f>IF(D418="","",SUBSTITUTE(SUBSTITUTE(SUBSTITUTE(SUBSTITUTE(SUBSTITUTE(SUBSTITUTE(SUBSTITUTE(TRIM(D418),".",""),"/",""),"-","")," ",""),"(",""),")",""),"+",""))</f>
      </c>
      <c r="Q418" s="6">
        <f>IF(P418="","",IF(LEN(P418)&lt;&gt;14,"ERRO: "&amp;LEN(P418)&amp;" dígitos",IF(NOT(ISNUMBER(VALUE(P418))),"ERRO: não numérico",IF(LEN(SUBSTITUTE(P418,LEFT(P418,1),""))=0,"ERRO: dígitos repetidos",IF(AND(VALUE(MID(P418,13,1))=IF(MOD(SUMPRODUCT(--MID(P418,{1,2,3,4,5,6,7,8,9,10,11,12},1),{5,4,3,2,9,8,7,6,5,4,3,2}),11)&lt;2,0,11-MOD(SUMPRODUCT(--MID(P418,{1,2,3,4,5,6,7,8,9,10,11,12},1),{5,4,3,2,9,8,7,6,5,4,3,2}),11)),VALUE(MID(P418,14,1))=IF(MOD(SUMPRODUCT(--MID(P418,{1,2,3,4,5,6,7,8,9,10,11,12,13},1),{6,5,4,3,2,9,8,7,6,5,4,3,2}),11)&lt;2,0,11-MOD(SUMPRODUCT(--MID(P418,{1,2,3,4,5,6,7,8,9,10,11,12,13},1),{6,5,4,3,2,9,8,7,6,5,4,3,2}),11))),"OK","ERRO: dígito verificador")))))</f>
      </c>
      <c r="R418" s="6">
        <f>IF(P418="","",IF(COUNTIF($P$2:$P$1001,P418)&gt;1,"DUPLICADO","OK"))</f>
      </c>
      <c r="S418" s="6">
        <f>IF(AND(J418="",K418=""),"vazio",IF(AND(OR(J418="",LEN(SUBSTITUTE(SUBSTITUTE(SUBSTITUTE(SUBSTITUTE(SUBSTITUTE(SUBSTITUTE(SUBSTITUTE(TRIM(J418),".",""),"/",""),"-","")," ",""),"(",""),")",""),"+",""))=10,LEN(SUBSTITUTE(SUBSTITUTE(SUBSTITUTE(SUBSTITUTE(SUBSTITUTE(SUBSTITUTE(SUBSTITUTE(TRIM(J418),".",""),"/",""),"-","")," ",""),"(",""),")",""),"+",""))=11),OR(K418="",LEN(SUBSTITUTE(SUBSTITUTE(SUBSTITUTE(SUBSTITUTE(SUBSTITUTE(SUBSTITUTE(SUBSTITUTE(TRIM(K418),".",""),"/",""),"-","")," ",""),"(",""),")",""),"+",""))=10,LEN(SUBSTITUTE(SUBSTITUTE(SUBSTITUTE(SUBSTITUTE(SUBSTITUTE(SUBSTITUTE(SUBSTITUTE(TRIM(K418),".",""),"/",""),"-","")," ",""),"(",""),")",""),"+",""))=11)),"OK","ERRO: use DDD + número (10 ou 11 dígitos)"))</f>
      </c>
      <c r="T418" s="6">
        <f>IF(L418="","vazio",IF(AND(ISNUMBER(FIND("@",L418)),ISNUMBER(FIND(".",MID(L418,FIND("@",L418),99))),NOT(ISNUMBER(FIND(" ",TRIM(L418)))),NOT(ISNUMBER(FIND(";",L418))),NOT(ISNUMBER(FIND(",",L418)))),"OK","ERRO: um e-mail válido por linha"))</f>
      </c>
      <c r="U418" s="6">
        <f>IF(COUNTA(A418:O418)=0,"",IF(AND(B418&lt;&gt;"",C418&lt;&gt;"",D418&lt;&gt;"",E418&lt;&gt;"",H418&lt;&gt;"",OR(J418&lt;&gt;"",L418&lt;&gt;"")),"OK","ERRO: faltam "&amp;IF(B418="","Proprietário; ","")&amp;IF(C418="","Origem; ","")&amp;IF(D418="","CNPJ; ","")&amp;IF(E418="","Razão Social; ","")&amp;IF(H418="","Sobrenome; ","")&amp;IF(AND(J418="",L418=""),"telefone ou e-mail; ","")))</f>
      </c>
      <c r="V418" s="6">
        <f>IF(COUNTA(A418:O418)=0,"",IF(AND(Q418="OK",R418="OK",LEFT(S418,4)&lt;&gt;"ERRO",LEFT(T418,4)&lt;&gt;"ERRO",U418="OK"),"OK","REVISAR"))</f>
      </c>
    </row>
    <row r="419">
      <c r="A419" s="4"/>
      <c r="B419" s="5"/>
      <c r="C419" s="5"/>
      <c r="D419" s="5"/>
      <c r="E419" s="5"/>
      <c r="F419" s="4"/>
      <c r="G419" s="4"/>
      <c r="H419" s="5"/>
      <c r="I419" s="4"/>
      <c r="J419" s="4"/>
      <c r="K419" s="4"/>
      <c r="L419" s="4"/>
      <c r="M419" s="4"/>
      <c r="N419" s="4"/>
      <c r="O419" s="4"/>
      <c r="P419" s="6">
        <f>IF(D419="","",SUBSTITUTE(SUBSTITUTE(SUBSTITUTE(SUBSTITUTE(SUBSTITUTE(SUBSTITUTE(SUBSTITUTE(TRIM(D419),".",""),"/",""),"-","")," ",""),"(",""),")",""),"+",""))</f>
      </c>
      <c r="Q419" s="6">
        <f>IF(P419="","",IF(LEN(P419)&lt;&gt;14,"ERRO: "&amp;LEN(P419)&amp;" dígitos",IF(NOT(ISNUMBER(VALUE(P419))),"ERRO: não numérico",IF(LEN(SUBSTITUTE(P419,LEFT(P419,1),""))=0,"ERRO: dígitos repetidos",IF(AND(VALUE(MID(P419,13,1))=IF(MOD(SUMPRODUCT(--MID(P419,{1,2,3,4,5,6,7,8,9,10,11,12},1),{5,4,3,2,9,8,7,6,5,4,3,2}),11)&lt;2,0,11-MOD(SUMPRODUCT(--MID(P419,{1,2,3,4,5,6,7,8,9,10,11,12},1),{5,4,3,2,9,8,7,6,5,4,3,2}),11)),VALUE(MID(P419,14,1))=IF(MOD(SUMPRODUCT(--MID(P419,{1,2,3,4,5,6,7,8,9,10,11,12,13},1),{6,5,4,3,2,9,8,7,6,5,4,3,2}),11)&lt;2,0,11-MOD(SUMPRODUCT(--MID(P419,{1,2,3,4,5,6,7,8,9,10,11,12,13},1),{6,5,4,3,2,9,8,7,6,5,4,3,2}),11))),"OK","ERRO: dígito verificador")))))</f>
      </c>
      <c r="R419" s="6">
        <f>IF(P419="","",IF(COUNTIF($P$2:$P$1001,P419)&gt;1,"DUPLICADO","OK"))</f>
      </c>
      <c r="S419" s="6">
        <f>IF(AND(J419="",K419=""),"vazio",IF(AND(OR(J419="",LEN(SUBSTITUTE(SUBSTITUTE(SUBSTITUTE(SUBSTITUTE(SUBSTITUTE(SUBSTITUTE(SUBSTITUTE(TRIM(J419),".",""),"/",""),"-","")," ",""),"(",""),")",""),"+",""))=10,LEN(SUBSTITUTE(SUBSTITUTE(SUBSTITUTE(SUBSTITUTE(SUBSTITUTE(SUBSTITUTE(SUBSTITUTE(TRIM(J419),".",""),"/",""),"-","")," ",""),"(",""),")",""),"+",""))=11),OR(K419="",LEN(SUBSTITUTE(SUBSTITUTE(SUBSTITUTE(SUBSTITUTE(SUBSTITUTE(SUBSTITUTE(SUBSTITUTE(TRIM(K419),".",""),"/",""),"-","")," ",""),"(",""),")",""),"+",""))=10,LEN(SUBSTITUTE(SUBSTITUTE(SUBSTITUTE(SUBSTITUTE(SUBSTITUTE(SUBSTITUTE(SUBSTITUTE(TRIM(K419),".",""),"/",""),"-","")," ",""),"(",""),")",""),"+",""))=11)),"OK","ERRO: use DDD + número (10 ou 11 dígitos)"))</f>
      </c>
      <c r="T419" s="6">
        <f>IF(L419="","vazio",IF(AND(ISNUMBER(FIND("@",L419)),ISNUMBER(FIND(".",MID(L419,FIND("@",L419),99))),NOT(ISNUMBER(FIND(" ",TRIM(L419)))),NOT(ISNUMBER(FIND(";",L419))),NOT(ISNUMBER(FIND(",",L419)))),"OK","ERRO: um e-mail válido por linha"))</f>
      </c>
      <c r="U419" s="6">
        <f>IF(COUNTA(A419:O419)=0,"",IF(AND(B419&lt;&gt;"",C419&lt;&gt;"",D419&lt;&gt;"",E419&lt;&gt;"",H419&lt;&gt;"",OR(J419&lt;&gt;"",L419&lt;&gt;"")),"OK","ERRO: faltam "&amp;IF(B419="","Proprietário; ","")&amp;IF(C419="","Origem; ","")&amp;IF(D419="","CNPJ; ","")&amp;IF(E419="","Razão Social; ","")&amp;IF(H419="","Sobrenome; ","")&amp;IF(AND(J419="",L419=""),"telefone ou e-mail; ","")))</f>
      </c>
      <c r="V419" s="6">
        <f>IF(COUNTA(A419:O419)=0,"",IF(AND(Q419="OK",R419="OK",LEFT(S419,4)&lt;&gt;"ERRO",LEFT(T419,4)&lt;&gt;"ERRO",U419="OK"),"OK","REVISAR"))</f>
      </c>
    </row>
    <row r="420">
      <c r="A420" s="4"/>
      <c r="B420" s="5"/>
      <c r="C420" s="5"/>
      <c r="D420" s="5"/>
      <c r="E420" s="5"/>
      <c r="F420" s="4"/>
      <c r="G420" s="4"/>
      <c r="H420" s="5"/>
      <c r="I420" s="4"/>
      <c r="J420" s="4"/>
      <c r="K420" s="4"/>
      <c r="L420" s="4"/>
      <c r="M420" s="4"/>
      <c r="N420" s="4"/>
      <c r="O420" s="4"/>
      <c r="P420" s="6">
        <f>IF(D420="","",SUBSTITUTE(SUBSTITUTE(SUBSTITUTE(SUBSTITUTE(SUBSTITUTE(SUBSTITUTE(SUBSTITUTE(TRIM(D420),".",""),"/",""),"-","")," ",""),"(",""),")",""),"+",""))</f>
      </c>
      <c r="Q420" s="6">
        <f>IF(P420="","",IF(LEN(P420)&lt;&gt;14,"ERRO: "&amp;LEN(P420)&amp;" dígitos",IF(NOT(ISNUMBER(VALUE(P420))),"ERRO: não numérico",IF(LEN(SUBSTITUTE(P420,LEFT(P420,1),""))=0,"ERRO: dígitos repetidos",IF(AND(VALUE(MID(P420,13,1))=IF(MOD(SUMPRODUCT(--MID(P420,{1,2,3,4,5,6,7,8,9,10,11,12},1),{5,4,3,2,9,8,7,6,5,4,3,2}),11)&lt;2,0,11-MOD(SUMPRODUCT(--MID(P420,{1,2,3,4,5,6,7,8,9,10,11,12},1),{5,4,3,2,9,8,7,6,5,4,3,2}),11)),VALUE(MID(P420,14,1))=IF(MOD(SUMPRODUCT(--MID(P420,{1,2,3,4,5,6,7,8,9,10,11,12,13},1),{6,5,4,3,2,9,8,7,6,5,4,3,2}),11)&lt;2,0,11-MOD(SUMPRODUCT(--MID(P420,{1,2,3,4,5,6,7,8,9,10,11,12,13},1),{6,5,4,3,2,9,8,7,6,5,4,3,2}),11))),"OK","ERRO: dígito verificador")))))</f>
      </c>
      <c r="R420" s="6">
        <f>IF(P420="","",IF(COUNTIF($P$2:$P$1001,P420)&gt;1,"DUPLICADO","OK"))</f>
      </c>
      <c r="S420" s="6">
        <f>IF(AND(J420="",K420=""),"vazio",IF(AND(OR(J420="",LEN(SUBSTITUTE(SUBSTITUTE(SUBSTITUTE(SUBSTITUTE(SUBSTITUTE(SUBSTITUTE(SUBSTITUTE(TRIM(J420),".",""),"/",""),"-","")," ",""),"(",""),")",""),"+",""))=10,LEN(SUBSTITUTE(SUBSTITUTE(SUBSTITUTE(SUBSTITUTE(SUBSTITUTE(SUBSTITUTE(SUBSTITUTE(TRIM(J420),".",""),"/",""),"-","")," ",""),"(",""),")",""),"+",""))=11),OR(K420="",LEN(SUBSTITUTE(SUBSTITUTE(SUBSTITUTE(SUBSTITUTE(SUBSTITUTE(SUBSTITUTE(SUBSTITUTE(TRIM(K420),".",""),"/",""),"-","")," ",""),"(",""),")",""),"+",""))=10,LEN(SUBSTITUTE(SUBSTITUTE(SUBSTITUTE(SUBSTITUTE(SUBSTITUTE(SUBSTITUTE(SUBSTITUTE(TRIM(K420),".",""),"/",""),"-","")," ",""),"(",""),")",""),"+",""))=11)),"OK","ERRO: use DDD + número (10 ou 11 dígitos)"))</f>
      </c>
      <c r="T420" s="6">
        <f>IF(L420="","vazio",IF(AND(ISNUMBER(FIND("@",L420)),ISNUMBER(FIND(".",MID(L420,FIND("@",L420),99))),NOT(ISNUMBER(FIND(" ",TRIM(L420)))),NOT(ISNUMBER(FIND(";",L420))),NOT(ISNUMBER(FIND(",",L420)))),"OK","ERRO: um e-mail válido por linha"))</f>
      </c>
      <c r="U420" s="6">
        <f>IF(COUNTA(A420:O420)=0,"",IF(AND(B420&lt;&gt;"",C420&lt;&gt;"",D420&lt;&gt;"",E420&lt;&gt;"",H420&lt;&gt;"",OR(J420&lt;&gt;"",L420&lt;&gt;"")),"OK","ERRO: faltam "&amp;IF(B420="","Proprietário; ","")&amp;IF(C420="","Origem; ","")&amp;IF(D420="","CNPJ; ","")&amp;IF(E420="","Razão Social; ","")&amp;IF(H420="","Sobrenome; ","")&amp;IF(AND(J420="",L420=""),"telefone ou e-mail; ","")))</f>
      </c>
      <c r="V420" s="6">
        <f>IF(COUNTA(A420:O420)=0,"",IF(AND(Q420="OK",R420="OK",LEFT(S420,4)&lt;&gt;"ERRO",LEFT(T420,4)&lt;&gt;"ERRO",U420="OK"),"OK","REVISAR"))</f>
      </c>
    </row>
    <row r="421">
      <c r="A421" s="4"/>
      <c r="B421" s="5"/>
      <c r="C421" s="5"/>
      <c r="D421" s="5"/>
      <c r="E421" s="5"/>
      <c r="F421" s="4"/>
      <c r="G421" s="4"/>
      <c r="H421" s="5"/>
      <c r="I421" s="4"/>
      <c r="J421" s="4"/>
      <c r="K421" s="4"/>
      <c r="L421" s="4"/>
      <c r="M421" s="4"/>
      <c r="N421" s="4"/>
      <c r="O421" s="4"/>
      <c r="P421" s="6">
        <f>IF(D421="","",SUBSTITUTE(SUBSTITUTE(SUBSTITUTE(SUBSTITUTE(SUBSTITUTE(SUBSTITUTE(SUBSTITUTE(TRIM(D421),".",""),"/",""),"-","")," ",""),"(",""),")",""),"+",""))</f>
      </c>
      <c r="Q421" s="6">
        <f>IF(P421="","",IF(LEN(P421)&lt;&gt;14,"ERRO: "&amp;LEN(P421)&amp;" dígitos",IF(NOT(ISNUMBER(VALUE(P421))),"ERRO: não numérico",IF(LEN(SUBSTITUTE(P421,LEFT(P421,1),""))=0,"ERRO: dígitos repetidos",IF(AND(VALUE(MID(P421,13,1))=IF(MOD(SUMPRODUCT(--MID(P421,{1,2,3,4,5,6,7,8,9,10,11,12},1),{5,4,3,2,9,8,7,6,5,4,3,2}),11)&lt;2,0,11-MOD(SUMPRODUCT(--MID(P421,{1,2,3,4,5,6,7,8,9,10,11,12},1),{5,4,3,2,9,8,7,6,5,4,3,2}),11)),VALUE(MID(P421,14,1))=IF(MOD(SUMPRODUCT(--MID(P421,{1,2,3,4,5,6,7,8,9,10,11,12,13},1),{6,5,4,3,2,9,8,7,6,5,4,3,2}),11)&lt;2,0,11-MOD(SUMPRODUCT(--MID(P421,{1,2,3,4,5,6,7,8,9,10,11,12,13},1),{6,5,4,3,2,9,8,7,6,5,4,3,2}),11))),"OK","ERRO: dígito verificador")))))</f>
      </c>
      <c r="R421" s="6">
        <f>IF(P421="","",IF(COUNTIF($P$2:$P$1001,P421)&gt;1,"DUPLICADO","OK"))</f>
      </c>
      <c r="S421" s="6">
        <f>IF(AND(J421="",K421=""),"vazio",IF(AND(OR(J421="",LEN(SUBSTITUTE(SUBSTITUTE(SUBSTITUTE(SUBSTITUTE(SUBSTITUTE(SUBSTITUTE(SUBSTITUTE(TRIM(J421),".",""),"/",""),"-","")," ",""),"(",""),")",""),"+",""))=10,LEN(SUBSTITUTE(SUBSTITUTE(SUBSTITUTE(SUBSTITUTE(SUBSTITUTE(SUBSTITUTE(SUBSTITUTE(TRIM(J421),".",""),"/",""),"-","")," ",""),"(",""),")",""),"+",""))=11),OR(K421="",LEN(SUBSTITUTE(SUBSTITUTE(SUBSTITUTE(SUBSTITUTE(SUBSTITUTE(SUBSTITUTE(SUBSTITUTE(TRIM(K421),".",""),"/",""),"-","")," ",""),"(",""),")",""),"+",""))=10,LEN(SUBSTITUTE(SUBSTITUTE(SUBSTITUTE(SUBSTITUTE(SUBSTITUTE(SUBSTITUTE(SUBSTITUTE(TRIM(K421),".",""),"/",""),"-","")," ",""),"(",""),")",""),"+",""))=11)),"OK","ERRO: use DDD + número (10 ou 11 dígitos)"))</f>
      </c>
      <c r="T421" s="6">
        <f>IF(L421="","vazio",IF(AND(ISNUMBER(FIND("@",L421)),ISNUMBER(FIND(".",MID(L421,FIND("@",L421),99))),NOT(ISNUMBER(FIND(" ",TRIM(L421)))),NOT(ISNUMBER(FIND(";",L421))),NOT(ISNUMBER(FIND(",",L421)))),"OK","ERRO: um e-mail válido por linha"))</f>
      </c>
      <c r="U421" s="6">
        <f>IF(COUNTA(A421:O421)=0,"",IF(AND(B421&lt;&gt;"",C421&lt;&gt;"",D421&lt;&gt;"",E421&lt;&gt;"",H421&lt;&gt;"",OR(J421&lt;&gt;"",L421&lt;&gt;"")),"OK","ERRO: faltam "&amp;IF(B421="","Proprietário; ","")&amp;IF(C421="","Origem; ","")&amp;IF(D421="","CNPJ; ","")&amp;IF(E421="","Razão Social; ","")&amp;IF(H421="","Sobrenome; ","")&amp;IF(AND(J421="",L421=""),"telefone ou e-mail; ","")))</f>
      </c>
      <c r="V421" s="6">
        <f>IF(COUNTA(A421:O421)=0,"",IF(AND(Q421="OK",R421="OK",LEFT(S421,4)&lt;&gt;"ERRO",LEFT(T421,4)&lt;&gt;"ERRO",U421="OK"),"OK","REVISAR"))</f>
      </c>
    </row>
    <row r="422">
      <c r="A422" s="4"/>
      <c r="B422" s="5"/>
      <c r="C422" s="5"/>
      <c r="D422" s="5"/>
      <c r="E422" s="5"/>
      <c r="F422" s="4"/>
      <c r="G422" s="4"/>
      <c r="H422" s="5"/>
      <c r="I422" s="4"/>
      <c r="J422" s="4"/>
      <c r="K422" s="4"/>
      <c r="L422" s="4"/>
      <c r="M422" s="4"/>
      <c r="N422" s="4"/>
      <c r="O422" s="4"/>
      <c r="P422" s="6">
        <f>IF(D422="","",SUBSTITUTE(SUBSTITUTE(SUBSTITUTE(SUBSTITUTE(SUBSTITUTE(SUBSTITUTE(SUBSTITUTE(TRIM(D422),".",""),"/",""),"-","")," ",""),"(",""),")",""),"+",""))</f>
      </c>
      <c r="Q422" s="6">
        <f>IF(P422="","",IF(LEN(P422)&lt;&gt;14,"ERRO: "&amp;LEN(P422)&amp;" dígitos",IF(NOT(ISNUMBER(VALUE(P422))),"ERRO: não numérico",IF(LEN(SUBSTITUTE(P422,LEFT(P422,1),""))=0,"ERRO: dígitos repetidos",IF(AND(VALUE(MID(P422,13,1))=IF(MOD(SUMPRODUCT(--MID(P422,{1,2,3,4,5,6,7,8,9,10,11,12},1),{5,4,3,2,9,8,7,6,5,4,3,2}),11)&lt;2,0,11-MOD(SUMPRODUCT(--MID(P422,{1,2,3,4,5,6,7,8,9,10,11,12},1),{5,4,3,2,9,8,7,6,5,4,3,2}),11)),VALUE(MID(P422,14,1))=IF(MOD(SUMPRODUCT(--MID(P422,{1,2,3,4,5,6,7,8,9,10,11,12,13},1),{6,5,4,3,2,9,8,7,6,5,4,3,2}),11)&lt;2,0,11-MOD(SUMPRODUCT(--MID(P422,{1,2,3,4,5,6,7,8,9,10,11,12,13},1),{6,5,4,3,2,9,8,7,6,5,4,3,2}),11))),"OK","ERRO: dígito verificador")))))</f>
      </c>
      <c r="R422" s="6">
        <f>IF(P422="","",IF(COUNTIF($P$2:$P$1001,P422)&gt;1,"DUPLICADO","OK"))</f>
      </c>
      <c r="S422" s="6">
        <f>IF(AND(J422="",K422=""),"vazio",IF(AND(OR(J422="",LEN(SUBSTITUTE(SUBSTITUTE(SUBSTITUTE(SUBSTITUTE(SUBSTITUTE(SUBSTITUTE(SUBSTITUTE(TRIM(J422),".",""),"/",""),"-","")," ",""),"(",""),")",""),"+",""))=10,LEN(SUBSTITUTE(SUBSTITUTE(SUBSTITUTE(SUBSTITUTE(SUBSTITUTE(SUBSTITUTE(SUBSTITUTE(TRIM(J422),".",""),"/",""),"-","")," ",""),"(",""),")",""),"+",""))=11),OR(K422="",LEN(SUBSTITUTE(SUBSTITUTE(SUBSTITUTE(SUBSTITUTE(SUBSTITUTE(SUBSTITUTE(SUBSTITUTE(TRIM(K422),".",""),"/",""),"-","")," ",""),"(",""),")",""),"+",""))=10,LEN(SUBSTITUTE(SUBSTITUTE(SUBSTITUTE(SUBSTITUTE(SUBSTITUTE(SUBSTITUTE(SUBSTITUTE(TRIM(K422),".",""),"/",""),"-","")," ",""),"(",""),")",""),"+",""))=11)),"OK","ERRO: use DDD + número (10 ou 11 dígitos)"))</f>
      </c>
      <c r="T422" s="6">
        <f>IF(L422="","vazio",IF(AND(ISNUMBER(FIND("@",L422)),ISNUMBER(FIND(".",MID(L422,FIND("@",L422),99))),NOT(ISNUMBER(FIND(" ",TRIM(L422)))),NOT(ISNUMBER(FIND(";",L422))),NOT(ISNUMBER(FIND(",",L422)))),"OK","ERRO: um e-mail válido por linha"))</f>
      </c>
      <c r="U422" s="6">
        <f>IF(COUNTA(A422:O422)=0,"",IF(AND(B422&lt;&gt;"",C422&lt;&gt;"",D422&lt;&gt;"",E422&lt;&gt;"",H422&lt;&gt;"",OR(J422&lt;&gt;"",L422&lt;&gt;"")),"OK","ERRO: faltam "&amp;IF(B422="","Proprietário; ","")&amp;IF(C422="","Origem; ","")&amp;IF(D422="","CNPJ; ","")&amp;IF(E422="","Razão Social; ","")&amp;IF(H422="","Sobrenome; ","")&amp;IF(AND(J422="",L422=""),"telefone ou e-mail; ","")))</f>
      </c>
      <c r="V422" s="6">
        <f>IF(COUNTA(A422:O422)=0,"",IF(AND(Q422="OK",R422="OK",LEFT(S422,4)&lt;&gt;"ERRO",LEFT(T422,4)&lt;&gt;"ERRO",U422="OK"),"OK","REVISAR"))</f>
      </c>
    </row>
    <row r="423">
      <c r="A423" s="4"/>
      <c r="B423" s="5"/>
      <c r="C423" s="5"/>
      <c r="D423" s="5"/>
      <c r="E423" s="5"/>
      <c r="F423" s="4"/>
      <c r="G423" s="4"/>
      <c r="H423" s="5"/>
      <c r="I423" s="4"/>
      <c r="J423" s="4"/>
      <c r="K423" s="4"/>
      <c r="L423" s="4"/>
      <c r="M423" s="4"/>
      <c r="N423" s="4"/>
      <c r="O423" s="4"/>
      <c r="P423" s="6">
        <f>IF(D423="","",SUBSTITUTE(SUBSTITUTE(SUBSTITUTE(SUBSTITUTE(SUBSTITUTE(SUBSTITUTE(SUBSTITUTE(TRIM(D423),".",""),"/",""),"-","")," ",""),"(",""),")",""),"+",""))</f>
      </c>
      <c r="Q423" s="6">
        <f>IF(P423="","",IF(LEN(P423)&lt;&gt;14,"ERRO: "&amp;LEN(P423)&amp;" dígitos",IF(NOT(ISNUMBER(VALUE(P423))),"ERRO: não numérico",IF(LEN(SUBSTITUTE(P423,LEFT(P423,1),""))=0,"ERRO: dígitos repetidos",IF(AND(VALUE(MID(P423,13,1))=IF(MOD(SUMPRODUCT(--MID(P423,{1,2,3,4,5,6,7,8,9,10,11,12},1),{5,4,3,2,9,8,7,6,5,4,3,2}),11)&lt;2,0,11-MOD(SUMPRODUCT(--MID(P423,{1,2,3,4,5,6,7,8,9,10,11,12},1),{5,4,3,2,9,8,7,6,5,4,3,2}),11)),VALUE(MID(P423,14,1))=IF(MOD(SUMPRODUCT(--MID(P423,{1,2,3,4,5,6,7,8,9,10,11,12,13},1),{6,5,4,3,2,9,8,7,6,5,4,3,2}),11)&lt;2,0,11-MOD(SUMPRODUCT(--MID(P423,{1,2,3,4,5,6,7,8,9,10,11,12,13},1),{6,5,4,3,2,9,8,7,6,5,4,3,2}),11))),"OK","ERRO: dígito verificador")))))</f>
      </c>
      <c r="R423" s="6">
        <f>IF(P423="","",IF(COUNTIF($P$2:$P$1001,P423)&gt;1,"DUPLICADO","OK"))</f>
      </c>
      <c r="S423" s="6">
        <f>IF(AND(J423="",K423=""),"vazio",IF(AND(OR(J423="",LEN(SUBSTITUTE(SUBSTITUTE(SUBSTITUTE(SUBSTITUTE(SUBSTITUTE(SUBSTITUTE(SUBSTITUTE(TRIM(J423),".",""),"/",""),"-","")," ",""),"(",""),")",""),"+",""))=10,LEN(SUBSTITUTE(SUBSTITUTE(SUBSTITUTE(SUBSTITUTE(SUBSTITUTE(SUBSTITUTE(SUBSTITUTE(TRIM(J423),".",""),"/",""),"-","")," ",""),"(",""),")",""),"+",""))=11),OR(K423="",LEN(SUBSTITUTE(SUBSTITUTE(SUBSTITUTE(SUBSTITUTE(SUBSTITUTE(SUBSTITUTE(SUBSTITUTE(TRIM(K423),".",""),"/",""),"-","")," ",""),"(",""),")",""),"+",""))=10,LEN(SUBSTITUTE(SUBSTITUTE(SUBSTITUTE(SUBSTITUTE(SUBSTITUTE(SUBSTITUTE(SUBSTITUTE(TRIM(K423),".",""),"/",""),"-","")," ",""),"(",""),")",""),"+",""))=11)),"OK","ERRO: use DDD + número (10 ou 11 dígitos)"))</f>
      </c>
      <c r="T423" s="6">
        <f>IF(L423="","vazio",IF(AND(ISNUMBER(FIND("@",L423)),ISNUMBER(FIND(".",MID(L423,FIND("@",L423),99))),NOT(ISNUMBER(FIND(" ",TRIM(L423)))),NOT(ISNUMBER(FIND(";",L423))),NOT(ISNUMBER(FIND(",",L423)))),"OK","ERRO: um e-mail válido por linha"))</f>
      </c>
      <c r="U423" s="6">
        <f>IF(COUNTA(A423:O423)=0,"",IF(AND(B423&lt;&gt;"",C423&lt;&gt;"",D423&lt;&gt;"",E423&lt;&gt;"",H423&lt;&gt;"",OR(J423&lt;&gt;"",L423&lt;&gt;"")),"OK","ERRO: faltam "&amp;IF(B423="","Proprietário; ","")&amp;IF(C423="","Origem; ","")&amp;IF(D423="","CNPJ; ","")&amp;IF(E423="","Razão Social; ","")&amp;IF(H423="","Sobrenome; ","")&amp;IF(AND(J423="",L423=""),"telefone ou e-mail; ","")))</f>
      </c>
      <c r="V423" s="6">
        <f>IF(COUNTA(A423:O423)=0,"",IF(AND(Q423="OK",R423="OK",LEFT(S423,4)&lt;&gt;"ERRO",LEFT(T423,4)&lt;&gt;"ERRO",U423="OK"),"OK","REVISAR"))</f>
      </c>
    </row>
    <row r="424">
      <c r="A424" s="4"/>
      <c r="B424" s="5"/>
      <c r="C424" s="5"/>
      <c r="D424" s="5"/>
      <c r="E424" s="5"/>
      <c r="F424" s="4"/>
      <c r="G424" s="4"/>
      <c r="H424" s="5"/>
      <c r="I424" s="4"/>
      <c r="J424" s="4"/>
      <c r="K424" s="4"/>
      <c r="L424" s="4"/>
      <c r="M424" s="4"/>
      <c r="N424" s="4"/>
      <c r="O424" s="4"/>
      <c r="P424" s="6">
        <f>IF(D424="","",SUBSTITUTE(SUBSTITUTE(SUBSTITUTE(SUBSTITUTE(SUBSTITUTE(SUBSTITUTE(SUBSTITUTE(TRIM(D424),".",""),"/",""),"-","")," ",""),"(",""),")",""),"+",""))</f>
      </c>
      <c r="Q424" s="6">
        <f>IF(P424="","",IF(LEN(P424)&lt;&gt;14,"ERRO: "&amp;LEN(P424)&amp;" dígitos",IF(NOT(ISNUMBER(VALUE(P424))),"ERRO: não numérico",IF(LEN(SUBSTITUTE(P424,LEFT(P424,1),""))=0,"ERRO: dígitos repetidos",IF(AND(VALUE(MID(P424,13,1))=IF(MOD(SUMPRODUCT(--MID(P424,{1,2,3,4,5,6,7,8,9,10,11,12},1),{5,4,3,2,9,8,7,6,5,4,3,2}),11)&lt;2,0,11-MOD(SUMPRODUCT(--MID(P424,{1,2,3,4,5,6,7,8,9,10,11,12},1),{5,4,3,2,9,8,7,6,5,4,3,2}),11)),VALUE(MID(P424,14,1))=IF(MOD(SUMPRODUCT(--MID(P424,{1,2,3,4,5,6,7,8,9,10,11,12,13},1),{6,5,4,3,2,9,8,7,6,5,4,3,2}),11)&lt;2,0,11-MOD(SUMPRODUCT(--MID(P424,{1,2,3,4,5,6,7,8,9,10,11,12,13},1),{6,5,4,3,2,9,8,7,6,5,4,3,2}),11))),"OK","ERRO: dígito verificador")))))</f>
      </c>
      <c r="R424" s="6">
        <f>IF(P424="","",IF(COUNTIF($P$2:$P$1001,P424)&gt;1,"DUPLICADO","OK"))</f>
      </c>
      <c r="S424" s="6">
        <f>IF(AND(J424="",K424=""),"vazio",IF(AND(OR(J424="",LEN(SUBSTITUTE(SUBSTITUTE(SUBSTITUTE(SUBSTITUTE(SUBSTITUTE(SUBSTITUTE(SUBSTITUTE(TRIM(J424),".",""),"/",""),"-","")," ",""),"(",""),")",""),"+",""))=10,LEN(SUBSTITUTE(SUBSTITUTE(SUBSTITUTE(SUBSTITUTE(SUBSTITUTE(SUBSTITUTE(SUBSTITUTE(TRIM(J424),".",""),"/",""),"-","")," ",""),"(",""),")",""),"+",""))=11),OR(K424="",LEN(SUBSTITUTE(SUBSTITUTE(SUBSTITUTE(SUBSTITUTE(SUBSTITUTE(SUBSTITUTE(SUBSTITUTE(TRIM(K424),".",""),"/",""),"-","")," ",""),"(",""),")",""),"+",""))=10,LEN(SUBSTITUTE(SUBSTITUTE(SUBSTITUTE(SUBSTITUTE(SUBSTITUTE(SUBSTITUTE(SUBSTITUTE(TRIM(K424),".",""),"/",""),"-","")," ",""),"(",""),")",""),"+",""))=11)),"OK","ERRO: use DDD + número (10 ou 11 dígitos)"))</f>
      </c>
      <c r="T424" s="6">
        <f>IF(L424="","vazio",IF(AND(ISNUMBER(FIND("@",L424)),ISNUMBER(FIND(".",MID(L424,FIND("@",L424),99))),NOT(ISNUMBER(FIND(" ",TRIM(L424)))),NOT(ISNUMBER(FIND(";",L424))),NOT(ISNUMBER(FIND(",",L424)))),"OK","ERRO: um e-mail válido por linha"))</f>
      </c>
      <c r="U424" s="6">
        <f>IF(COUNTA(A424:O424)=0,"",IF(AND(B424&lt;&gt;"",C424&lt;&gt;"",D424&lt;&gt;"",E424&lt;&gt;"",H424&lt;&gt;"",OR(J424&lt;&gt;"",L424&lt;&gt;"")),"OK","ERRO: faltam "&amp;IF(B424="","Proprietário; ","")&amp;IF(C424="","Origem; ","")&amp;IF(D424="","CNPJ; ","")&amp;IF(E424="","Razão Social; ","")&amp;IF(H424="","Sobrenome; ","")&amp;IF(AND(J424="",L424=""),"telefone ou e-mail; ","")))</f>
      </c>
      <c r="V424" s="6">
        <f>IF(COUNTA(A424:O424)=0,"",IF(AND(Q424="OK",R424="OK",LEFT(S424,4)&lt;&gt;"ERRO",LEFT(T424,4)&lt;&gt;"ERRO",U424="OK"),"OK","REVISAR"))</f>
      </c>
    </row>
    <row r="425">
      <c r="A425" s="4"/>
      <c r="B425" s="5"/>
      <c r="C425" s="5"/>
      <c r="D425" s="5"/>
      <c r="E425" s="5"/>
      <c r="F425" s="4"/>
      <c r="G425" s="4"/>
      <c r="H425" s="5"/>
      <c r="I425" s="4"/>
      <c r="J425" s="4"/>
      <c r="K425" s="4"/>
      <c r="L425" s="4"/>
      <c r="M425" s="4"/>
      <c r="N425" s="4"/>
      <c r="O425" s="4"/>
      <c r="P425" s="6">
        <f>IF(D425="","",SUBSTITUTE(SUBSTITUTE(SUBSTITUTE(SUBSTITUTE(SUBSTITUTE(SUBSTITUTE(SUBSTITUTE(TRIM(D425),".",""),"/",""),"-","")," ",""),"(",""),")",""),"+",""))</f>
      </c>
      <c r="Q425" s="6">
        <f>IF(P425="","",IF(LEN(P425)&lt;&gt;14,"ERRO: "&amp;LEN(P425)&amp;" dígitos",IF(NOT(ISNUMBER(VALUE(P425))),"ERRO: não numérico",IF(LEN(SUBSTITUTE(P425,LEFT(P425,1),""))=0,"ERRO: dígitos repetidos",IF(AND(VALUE(MID(P425,13,1))=IF(MOD(SUMPRODUCT(--MID(P425,{1,2,3,4,5,6,7,8,9,10,11,12},1),{5,4,3,2,9,8,7,6,5,4,3,2}),11)&lt;2,0,11-MOD(SUMPRODUCT(--MID(P425,{1,2,3,4,5,6,7,8,9,10,11,12},1),{5,4,3,2,9,8,7,6,5,4,3,2}),11)),VALUE(MID(P425,14,1))=IF(MOD(SUMPRODUCT(--MID(P425,{1,2,3,4,5,6,7,8,9,10,11,12,13},1),{6,5,4,3,2,9,8,7,6,5,4,3,2}),11)&lt;2,0,11-MOD(SUMPRODUCT(--MID(P425,{1,2,3,4,5,6,7,8,9,10,11,12,13},1),{6,5,4,3,2,9,8,7,6,5,4,3,2}),11))),"OK","ERRO: dígito verificador")))))</f>
      </c>
      <c r="R425" s="6">
        <f>IF(P425="","",IF(COUNTIF($P$2:$P$1001,P425)&gt;1,"DUPLICADO","OK"))</f>
      </c>
      <c r="S425" s="6">
        <f>IF(AND(J425="",K425=""),"vazio",IF(AND(OR(J425="",LEN(SUBSTITUTE(SUBSTITUTE(SUBSTITUTE(SUBSTITUTE(SUBSTITUTE(SUBSTITUTE(SUBSTITUTE(TRIM(J425),".",""),"/",""),"-","")," ",""),"(",""),")",""),"+",""))=10,LEN(SUBSTITUTE(SUBSTITUTE(SUBSTITUTE(SUBSTITUTE(SUBSTITUTE(SUBSTITUTE(SUBSTITUTE(TRIM(J425),".",""),"/",""),"-","")," ",""),"(",""),")",""),"+",""))=11),OR(K425="",LEN(SUBSTITUTE(SUBSTITUTE(SUBSTITUTE(SUBSTITUTE(SUBSTITUTE(SUBSTITUTE(SUBSTITUTE(TRIM(K425),".",""),"/",""),"-","")," ",""),"(",""),")",""),"+",""))=10,LEN(SUBSTITUTE(SUBSTITUTE(SUBSTITUTE(SUBSTITUTE(SUBSTITUTE(SUBSTITUTE(SUBSTITUTE(TRIM(K425),".",""),"/",""),"-","")," ",""),"(",""),")",""),"+",""))=11)),"OK","ERRO: use DDD + número (10 ou 11 dígitos)"))</f>
      </c>
      <c r="T425" s="6">
        <f>IF(L425="","vazio",IF(AND(ISNUMBER(FIND("@",L425)),ISNUMBER(FIND(".",MID(L425,FIND("@",L425),99))),NOT(ISNUMBER(FIND(" ",TRIM(L425)))),NOT(ISNUMBER(FIND(";",L425))),NOT(ISNUMBER(FIND(",",L425)))),"OK","ERRO: um e-mail válido por linha"))</f>
      </c>
      <c r="U425" s="6">
        <f>IF(COUNTA(A425:O425)=0,"",IF(AND(B425&lt;&gt;"",C425&lt;&gt;"",D425&lt;&gt;"",E425&lt;&gt;"",H425&lt;&gt;"",OR(J425&lt;&gt;"",L425&lt;&gt;"")),"OK","ERRO: faltam "&amp;IF(B425="","Proprietário; ","")&amp;IF(C425="","Origem; ","")&amp;IF(D425="","CNPJ; ","")&amp;IF(E425="","Razão Social; ","")&amp;IF(H425="","Sobrenome; ","")&amp;IF(AND(J425="",L425=""),"telefone ou e-mail; ","")))</f>
      </c>
      <c r="V425" s="6">
        <f>IF(COUNTA(A425:O425)=0,"",IF(AND(Q425="OK",R425="OK",LEFT(S425,4)&lt;&gt;"ERRO",LEFT(T425,4)&lt;&gt;"ERRO",U425="OK"),"OK","REVISAR"))</f>
      </c>
    </row>
    <row r="426">
      <c r="A426" s="4"/>
      <c r="B426" s="5"/>
      <c r="C426" s="5"/>
      <c r="D426" s="5"/>
      <c r="E426" s="5"/>
      <c r="F426" s="4"/>
      <c r="G426" s="4"/>
      <c r="H426" s="5"/>
      <c r="I426" s="4"/>
      <c r="J426" s="4"/>
      <c r="K426" s="4"/>
      <c r="L426" s="4"/>
      <c r="M426" s="4"/>
      <c r="N426" s="4"/>
      <c r="O426" s="4"/>
      <c r="P426" s="6">
        <f>IF(D426="","",SUBSTITUTE(SUBSTITUTE(SUBSTITUTE(SUBSTITUTE(SUBSTITUTE(SUBSTITUTE(SUBSTITUTE(TRIM(D426),".",""),"/",""),"-","")," ",""),"(",""),")",""),"+",""))</f>
      </c>
      <c r="Q426" s="6">
        <f>IF(P426="","",IF(LEN(P426)&lt;&gt;14,"ERRO: "&amp;LEN(P426)&amp;" dígitos",IF(NOT(ISNUMBER(VALUE(P426))),"ERRO: não numérico",IF(LEN(SUBSTITUTE(P426,LEFT(P426,1),""))=0,"ERRO: dígitos repetidos",IF(AND(VALUE(MID(P426,13,1))=IF(MOD(SUMPRODUCT(--MID(P426,{1,2,3,4,5,6,7,8,9,10,11,12},1),{5,4,3,2,9,8,7,6,5,4,3,2}),11)&lt;2,0,11-MOD(SUMPRODUCT(--MID(P426,{1,2,3,4,5,6,7,8,9,10,11,12},1),{5,4,3,2,9,8,7,6,5,4,3,2}),11)),VALUE(MID(P426,14,1))=IF(MOD(SUMPRODUCT(--MID(P426,{1,2,3,4,5,6,7,8,9,10,11,12,13},1),{6,5,4,3,2,9,8,7,6,5,4,3,2}),11)&lt;2,0,11-MOD(SUMPRODUCT(--MID(P426,{1,2,3,4,5,6,7,8,9,10,11,12,13},1),{6,5,4,3,2,9,8,7,6,5,4,3,2}),11))),"OK","ERRO: dígito verificador")))))</f>
      </c>
      <c r="R426" s="6">
        <f>IF(P426="","",IF(COUNTIF($P$2:$P$1001,P426)&gt;1,"DUPLICADO","OK"))</f>
      </c>
      <c r="S426" s="6">
        <f>IF(AND(J426="",K426=""),"vazio",IF(AND(OR(J426="",LEN(SUBSTITUTE(SUBSTITUTE(SUBSTITUTE(SUBSTITUTE(SUBSTITUTE(SUBSTITUTE(SUBSTITUTE(TRIM(J426),".",""),"/",""),"-","")," ",""),"(",""),")",""),"+",""))=10,LEN(SUBSTITUTE(SUBSTITUTE(SUBSTITUTE(SUBSTITUTE(SUBSTITUTE(SUBSTITUTE(SUBSTITUTE(TRIM(J426),".",""),"/",""),"-","")," ",""),"(",""),")",""),"+",""))=11),OR(K426="",LEN(SUBSTITUTE(SUBSTITUTE(SUBSTITUTE(SUBSTITUTE(SUBSTITUTE(SUBSTITUTE(SUBSTITUTE(TRIM(K426),".",""),"/",""),"-","")," ",""),"(",""),")",""),"+",""))=10,LEN(SUBSTITUTE(SUBSTITUTE(SUBSTITUTE(SUBSTITUTE(SUBSTITUTE(SUBSTITUTE(SUBSTITUTE(TRIM(K426),".",""),"/",""),"-","")," ",""),"(",""),")",""),"+",""))=11)),"OK","ERRO: use DDD + número (10 ou 11 dígitos)"))</f>
      </c>
      <c r="T426" s="6">
        <f>IF(L426="","vazio",IF(AND(ISNUMBER(FIND("@",L426)),ISNUMBER(FIND(".",MID(L426,FIND("@",L426),99))),NOT(ISNUMBER(FIND(" ",TRIM(L426)))),NOT(ISNUMBER(FIND(";",L426))),NOT(ISNUMBER(FIND(",",L426)))),"OK","ERRO: um e-mail válido por linha"))</f>
      </c>
      <c r="U426" s="6">
        <f>IF(COUNTA(A426:O426)=0,"",IF(AND(B426&lt;&gt;"",C426&lt;&gt;"",D426&lt;&gt;"",E426&lt;&gt;"",H426&lt;&gt;"",OR(J426&lt;&gt;"",L426&lt;&gt;"")),"OK","ERRO: faltam "&amp;IF(B426="","Proprietário; ","")&amp;IF(C426="","Origem; ","")&amp;IF(D426="","CNPJ; ","")&amp;IF(E426="","Razão Social; ","")&amp;IF(H426="","Sobrenome; ","")&amp;IF(AND(J426="",L426=""),"telefone ou e-mail; ","")))</f>
      </c>
      <c r="V426" s="6">
        <f>IF(COUNTA(A426:O426)=0,"",IF(AND(Q426="OK",R426="OK",LEFT(S426,4)&lt;&gt;"ERRO",LEFT(T426,4)&lt;&gt;"ERRO",U426="OK"),"OK","REVISAR"))</f>
      </c>
    </row>
    <row r="427">
      <c r="A427" s="4"/>
      <c r="B427" s="5"/>
      <c r="C427" s="5"/>
      <c r="D427" s="5"/>
      <c r="E427" s="5"/>
      <c r="F427" s="4"/>
      <c r="G427" s="4"/>
      <c r="H427" s="5"/>
      <c r="I427" s="4"/>
      <c r="J427" s="4"/>
      <c r="K427" s="4"/>
      <c r="L427" s="4"/>
      <c r="M427" s="4"/>
      <c r="N427" s="4"/>
      <c r="O427" s="4"/>
      <c r="P427" s="6">
        <f>IF(D427="","",SUBSTITUTE(SUBSTITUTE(SUBSTITUTE(SUBSTITUTE(SUBSTITUTE(SUBSTITUTE(SUBSTITUTE(TRIM(D427),".",""),"/",""),"-","")," ",""),"(",""),")",""),"+",""))</f>
      </c>
      <c r="Q427" s="6">
        <f>IF(P427="","",IF(LEN(P427)&lt;&gt;14,"ERRO: "&amp;LEN(P427)&amp;" dígitos",IF(NOT(ISNUMBER(VALUE(P427))),"ERRO: não numérico",IF(LEN(SUBSTITUTE(P427,LEFT(P427,1),""))=0,"ERRO: dígitos repetidos",IF(AND(VALUE(MID(P427,13,1))=IF(MOD(SUMPRODUCT(--MID(P427,{1,2,3,4,5,6,7,8,9,10,11,12},1),{5,4,3,2,9,8,7,6,5,4,3,2}),11)&lt;2,0,11-MOD(SUMPRODUCT(--MID(P427,{1,2,3,4,5,6,7,8,9,10,11,12},1),{5,4,3,2,9,8,7,6,5,4,3,2}),11)),VALUE(MID(P427,14,1))=IF(MOD(SUMPRODUCT(--MID(P427,{1,2,3,4,5,6,7,8,9,10,11,12,13},1),{6,5,4,3,2,9,8,7,6,5,4,3,2}),11)&lt;2,0,11-MOD(SUMPRODUCT(--MID(P427,{1,2,3,4,5,6,7,8,9,10,11,12,13},1),{6,5,4,3,2,9,8,7,6,5,4,3,2}),11))),"OK","ERRO: dígito verificador")))))</f>
      </c>
      <c r="R427" s="6">
        <f>IF(P427="","",IF(COUNTIF($P$2:$P$1001,P427)&gt;1,"DUPLICADO","OK"))</f>
      </c>
      <c r="S427" s="6">
        <f>IF(AND(J427="",K427=""),"vazio",IF(AND(OR(J427="",LEN(SUBSTITUTE(SUBSTITUTE(SUBSTITUTE(SUBSTITUTE(SUBSTITUTE(SUBSTITUTE(SUBSTITUTE(TRIM(J427),".",""),"/",""),"-","")," ",""),"(",""),")",""),"+",""))=10,LEN(SUBSTITUTE(SUBSTITUTE(SUBSTITUTE(SUBSTITUTE(SUBSTITUTE(SUBSTITUTE(SUBSTITUTE(TRIM(J427),".",""),"/",""),"-","")," ",""),"(",""),")",""),"+",""))=11),OR(K427="",LEN(SUBSTITUTE(SUBSTITUTE(SUBSTITUTE(SUBSTITUTE(SUBSTITUTE(SUBSTITUTE(SUBSTITUTE(TRIM(K427),".",""),"/",""),"-","")," ",""),"(",""),")",""),"+",""))=10,LEN(SUBSTITUTE(SUBSTITUTE(SUBSTITUTE(SUBSTITUTE(SUBSTITUTE(SUBSTITUTE(SUBSTITUTE(TRIM(K427),".",""),"/",""),"-","")," ",""),"(",""),")",""),"+",""))=11)),"OK","ERRO: use DDD + número (10 ou 11 dígitos)"))</f>
      </c>
      <c r="T427" s="6">
        <f>IF(L427="","vazio",IF(AND(ISNUMBER(FIND("@",L427)),ISNUMBER(FIND(".",MID(L427,FIND("@",L427),99))),NOT(ISNUMBER(FIND(" ",TRIM(L427)))),NOT(ISNUMBER(FIND(";",L427))),NOT(ISNUMBER(FIND(",",L427)))),"OK","ERRO: um e-mail válido por linha"))</f>
      </c>
      <c r="U427" s="6">
        <f>IF(COUNTA(A427:O427)=0,"",IF(AND(B427&lt;&gt;"",C427&lt;&gt;"",D427&lt;&gt;"",E427&lt;&gt;"",H427&lt;&gt;"",OR(J427&lt;&gt;"",L427&lt;&gt;"")),"OK","ERRO: faltam "&amp;IF(B427="","Proprietário; ","")&amp;IF(C427="","Origem; ","")&amp;IF(D427="","CNPJ; ","")&amp;IF(E427="","Razão Social; ","")&amp;IF(H427="","Sobrenome; ","")&amp;IF(AND(J427="",L427=""),"telefone ou e-mail; ","")))</f>
      </c>
      <c r="V427" s="6">
        <f>IF(COUNTA(A427:O427)=0,"",IF(AND(Q427="OK",R427="OK",LEFT(S427,4)&lt;&gt;"ERRO",LEFT(T427,4)&lt;&gt;"ERRO",U427="OK"),"OK","REVISAR"))</f>
      </c>
    </row>
    <row r="428">
      <c r="A428" s="4"/>
      <c r="B428" s="5"/>
      <c r="C428" s="5"/>
      <c r="D428" s="5"/>
      <c r="E428" s="5"/>
      <c r="F428" s="4"/>
      <c r="G428" s="4"/>
      <c r="H428" s="5"/>
      <c r="I428" s="4"/>
      <c r="J428" s="4"/>
      <c r="K428" s="4"/>
      <c r="L428" s="4"/>
      <c r="M428" s="4"/>
      <c r="N428" s="4"/>
      <c r="O428" s="4"/>
      <c r="P428" s="6">
        <f>IF(D428="","",SUBSTITUTE(SUBSTITUTE(SUBSTITUTE(SUBSTITUTE(SUBSTITUTE(SUBSTITUTE(SUBSTITUTE(TRIM(D428),".",""),"/",""),"-","")," ",""),"(",""),")",""),"+",""))</f>
      </c>
      <c r="Q428" s="6">
        <f>IF(P428="","",IF(LEN(P428)&lt;&gt;14,"ERRO: "&amp;LEN(P428)&amp;" dígitos",IF(NOT(ISNUMBER(VALUE(P428))),"ERRO: não numérico",IF(LEN(SUBSTITUTE(P428,LEFT(P428,1),""))=0,"ERRO: dígitos repetidos",IF(AND(VALUE(MID(P428,13,1))=IF(MOD(SUMPRODUCT(--MID(P428,{1,2,3,4,5,6,7,8,9,10,11,12},1),{5,4,3,2,9,8,7,6,5,4,3,2}),11)&lt;2,0,11-MOD(SUMPRODUCT(--MID(P428,{1,2,3,4,5,6,7,8,9,10,11,12},1),{5,4,3,2,9,8,7,6,5,4,3,2}),11)),VALUE(MID(P428,14,1))=IF(MOD(SUMPRODUCT(--MID(P428,{1,2,3,4,5,6,7,8,9,10,11,12,13},1),{6,5,4,3,2,9,8,7,6,5,4,3,2}),11)&lt;2,0,11-MOD(SUMPRODUCT(--MID(P428,{1,2,3,4,5,6,7,8,9,10,11,12,13},1),{6,5,4,3,2,9,8,7,6,5,4,3,2}),11))),"OK","ERRO: dígito verificador")))))</f>
      </c>
      <c r="R428" s="6">
        <f>IF(P428="","",IF(COUNTIF($P$2:$P$1001,P428)&gt;1,"DUPLICADO","OK"))</f>
      </c>
      <c r="S428" s="6">
        <f>IF(AND(J428="",K428=""),"vazio",IF(AND(OR(J428="",LEN(SUBSTITUTE(SUBSTITUTE(SUBSTITUTE(SUBSTITUTE(SUBSTITUTE(SUBSTITUTE(SUBSTITUTE(TRIM(J428),".",""),"/",""),"-","")," ",""),"(",""),")",""),"+",""))=10,LEN(SUBSTITUTE(SUBSTITUTE(SUBSTITUTE(SUBSTITUTE(SUBSTITUTE(SUBSTITUTE(SUBSTITUTE(TRIM(J428),".",""),"/",""),"-","")," ",""),"(",""),")",""),"+",""))=11),OR(K428="",LEN(SUBSTITUTE(SUBSTITUTE(SUBSTITUTE(SUBSTITUTE(SUBSTITUTE(SUBSTITUTE(SUBSTITUTE(TRIM(K428),".",""),"/",""),"-","")," ",""),"(",""),")",""),"+",""))=10,LEN(SUBSTITUTE(SUBSTITUTE(SUBSTITUTE(SUBSTITUTE(SUBSTITUTE(SUBSTITUTE(SUBSTITUTE(TRIM(K428),".",""),"/",""),"-","")," ",""),"(",""),")",""),"+",""))=11)),"OK","ERRO: use DDD + número (10 ou 11 dígitos)"))</f>
      </c>
      <c r="T428" s="6">
        <f>IF(L428="","vazio",IF(AND(ISNUMBER(FIND("@",L428)),ISNUMBER(FIND(".",MID(L428,FIND("@",L428),99))),NOT(ISNUMBER(FIND(" ",TRIM(L428)))),NOT(ISNUMBER(FIND(";",L428))),NOT(ISNUMBER(FIND(",",L428)))),"OK","ERRO: um e-mail válido por linha"))</f>
      </c>
      <c r="U428" s="6">
        <f>IF(COUNTA(A428:O428)=0,"",IF(AND(B428&lt;&gt;"",C428&lt;&gt;"",D428&lt;&gt;"",E428&lt;&gt;"",H428&lt;&gt;"",OR(J428&lt;&gt;"",L428&lt;&gt;"")),"OK","ERRO: faltam "&amp;IF(B428="","Proprietário; ","")&amp;IF(C428="","Origem; ","")&amp;IF(D428="","CNPJ; ","")&amp;IF(E428="","Razão Social; ","")&amp;IF(H428="","Sobrenome; ","")&amp;IF(AND(J428="",L428=""),"telefone ou e-mail; ","")))</f>
      </c>
      <c r="V428" s="6">
        <f>IF(COUNTA(A428:O428)=0,"",IF(AND(Q428="OK",R428="OK",LEFT(S428,4)&lt;&gt;"ERRO",LEFT(T428,4)&lt;&gt;"ERRO",U428="OK"),"OK","REVISAR"))</f>
      </c>
    </row>
    <row r="429">
      <c r="A429" s="4"/>
      <c r="B429" s="5"/>
      <c r="C429" s="5"/>
      <c r="D429" s="5"/>
      <c r="E429" s="5"/>
      <c r="F429" s="4"/>
      <c r="G429" s="4"/>
      <c r="H429" s="5"/>
      <c r="I429" s="4"/>
      <c r="J429" s="4"/>
      <c r="K429" s="4"/>
      <c r="L429" s="4"/>
      <c r="M429" s="4"/>
      <c r="N429" s="4"/>
      <c r="O429" s="4"/>
      <c r="P429" s="6">
        <f>IF(D429="","",SUBSTITUTE(SUBSTITUTE(SUBSTITUTE(SUBSTITUTE(SUBSTITUTE(SUBSTITUTE(SUBSTITUTE(TRIM(D429),".",""),"/",""),"-","")," ",""),"(",""),")",""),"+",""))</f>
      </c>
      <c r="Q429" s="6">
        <f>IF(P429="","",IF(LEN(P429)&lt;&gt;14,"ERRO: "&amp;LEN(P429)&amp;" dígitos",IF(NOT(ISNUMBER(VALUE(P429))),"ERRO: não numérico",IF(LEN(SUBSTITUTE(P429,LEFT(P429,1),""))=0,"ERRO: dígitos repetidos",IF(AND(VALUE(MID(P429,13,1))=IF(MOD(SUMPRODUCT(--MID(P429,{1,2,3,4,5,6,7,8,9,10,11,12},1),{5,4,3,2,9,8,7,6,5,4,3,2}),11)&lt;2,0,11-MOD(SUMPRODUCT(--MID(P429,{1,2,3,4,5,6,7,8,9,10,11,12},1),{5,4,3,2,9,8,7,6,5,4,3,2}),11)),VALUE(MID(P429,14,1))=IF(MOD(SUMPRODUCT(--MID(P429,{1,2,3,4,5,6,7,8,9,10,11,12,13},1),{6,5,4,3,2,9,8,7,6,5,4,3,2}),11)&lt;2,0,11-MOD(SUMPRODUCT(--MID(P429,{1,2,3,4,5,6,7,8,9,10,11,12,13},1),{6,5,4,3,2,9,8,7,6,5,4,3,2}),11))),"OK","ERRO: dígito verificador")))))</f>
      </c>
      <c r="R429" s="6">
        <f>IF(P429="","",IF(COUNTIF($P$2:$P$1001,P429)&gt;1,"DUPLICADO","OK"))</f>
      </c>
      <c r="S429" s="6">
        <f>IF(AND(J429="",K429=""),"vazio",IF(AND(OR(J429="",LEN(SUBSTITUTE(SUBSTITUTE(SUBSTITUTE(SUBSTITUTE(SUBSTITUTE(SUBSTITUTE(SUBSTITUTE(TRIM(J429),".",""),"/",""),"-","")," ",""),"(",""),")",""),"+",""))=10,LEN(SUBSTITUTE(SUBSTITUTE(SUBSTITUTE(SUBSTITUTE(SUBSTITUTE(SUBSTITUTE(SUBSTITUTE(TRIM(J429),".",""),"/",""),"-","")," ",""),"(",""),")",""),"+",""))=11),OR(K429="",LEN(SUBSTITUTE(SUBSTITUTE(SUBSTITUTE(SUBSTITUTE(SUBSTITUTE(SUBSTITUTE(SUBSTITUTE(TRIM(K429),".",""),"/",""),"-","")," ",""),"(",""),")",""),"+",""))=10,LEN(SUBSTITUTE(SUBSTITUTE(SUBSTITUTE(SUBSTITUTE(SUBSTITUTE(SUBSTITUTE(SUBSTITUTE(TRIM(K429),".",""),"/",""),"-","")," ",""),"(",""),")",""),"+",""))=11)),"OK","ERRO: use DDD + número (10 ou 11 dígitos)"))</f>
      </c>
      <c r="T429" s="6">
        <f>IF(L429="","vazio",IF(AND(ISNUMBER(FIND("@",L429)),ISNUMBER(FIND(".",MID(L429,FIND("@",L429),99))),NOT(ISNUMBER(FIND(" ",TRIM(L429)))),NOT(ISNUMBER(FIND(";",L429))),NOT(ISNUMBER(FIND(",",L429)))),"OK","ERRO: um e-mail válido por linha"))</f>
      </c>
      <c r="U429" s="6">
        <f>IF(COUNTA(A429:O429)=0,"",IF(AND(B429&lt;&gt;"",C429&lt;&gt;"",D429&lt;&gt;"",E429&lt;&gt;"",H429&lt;&gt;"",OR(J429&lt;&gt;"",L429&lt;&gt;"")),"OK","ERRO: faltam "&amp;IF(B429="","Proprietário; ","")&amp;IF(C429="","Origem; ","")&amp;IF(D429="","CNPJ; ","")&amp;IF(E429="","Razão Social; ","")&amp;IF(H429="","Sobrenome; ","")&amp;IF(AND(J429="",L429=""),"telefone ou e-mail; ","")))</f>
      </c>
      <c r="V429" s="6">
        <f>IF(COUNTA(A429:O429)=0,"",IF(AND(Q429="OK",R429="OK",LEFT(S429,4)&lt;&gt;"ERRO",LEFT(T429,4)&lt;&gt;"ERRO",U429="OK"),"OK","REVISAR"))</f>
      </c>
    </row>
    <row r="430">
      <c r="A430" s="4"/>
      <c r="B430" s="5"/>
      <c r="C430" s="5"/>
      <c r="D430" s="5"/>
      <c r="E430" s="5"/>
      <c r="F430" s="4"/>
      <c r="G430" s="4"/>
      <c r="H430" s="5"/>
      <c r="I430" s="4"/>
      <c r="J430" s="4"/>
      <c r="K430" s="4"/>
      <c r="L430" s="4"/>
      <c r="M430" s="4"/>
      <c r="N430" s="4"/>
      <c r="O430" s="4"/>
      <c r="P430" s="6">
        <f>IF(D430="","",SUBSTITUTE(SUBSTITUTE(SUBSTITUTE(SUBSTITUTE(SUBSTITUTE(SUBSTITUTE(SUBSTITUTE(TRIM(D430),".",""),"/",""),"-","")," ",""),"(",""),")",""),"+",""))</f>
      </c>
      <c r="Q430" s="6">
        <f>IF(P430="","",IF(LEN(P430)&lt;&gt;14,"ERRO: "&amp;LEN(P430)&amp;" dígitos",IF(NOT(ISNUMBER(VALUE(P430))),"ERRO: não numérico",IF(LEN(SUBSTITUTE(P430,LEFT(P430,1),""))=0,"ERRO: dígitos repetidos",IF(AND(VALUE(MID(P430,13,1))=IF(MOD(SUMPRODUCT(--MID(P430,{1,2,3,4,5,6,7,8,9,10,11,12},1),{5,4,3,2,9,8,7,6,5,4,3,2}),11)&lt;2,0,11-MOD(SUMPRODUCT(--MID(P430,{1,2,3,4,5,6,7,8,9,10,11,12},1),{5,4,3,2,9,8,7,6,5,4,3,2}),11)),VALUE(MID(P430,14,1))=IF(MOD(SUMPRODUCT(--MID(P430,{1,2,3,4,5,6,7,8,9,10,11,12,13},1),{6,5,4,3,2,9,8,7,6,5,4,3,2}),11)&lt;2,0,11-MOD(SUMPRODUCT(--MID(P430,{1,2,3,4,5,6,7,8,9,10,11,12,13},1),{6,5,4,3,2,9,8,7,6,5,4,3,2}),11))),"OK","ERRO: dígito verificador")))))</f>
      </c>
      <c r="R430" s="6">
        <f>IF(P430="","",IF(COUNTIF($P$2:$P$1001,P430)&gt;1,"DUPLICADO","OK"))</f>
      </c>
      <c r="S430" s="6">
        <f>IF(AND(J430="",K430=""),"vazio",IF(AND(OR(J430="",LEN(SUBSTITUTE(SUBSTITUTE(SUBSTITUTE(SUBSTITUTE(SUBSTITUTE(SUBSTITUTE(SUBSTITUTE(TRIM(J430),".",""),"/",""),"-","")," ",""),"(",""),")",""),"+",""))=10,LEN(SUBSTITUTE(SUBSTITUTE(SUBSTITUTE(SUBSTITUTE(SUBSTITUTE(SUBSTITUTE(SUBSTITUTE(TRIM(J430),".",""),"/",""),"-","")," ",""),"(",""),")",""),"+",""))=11),OR(K430="",LEN(SUBSTITUTE(SUBSTITUTE(SUBSTITUTE(SUBSTITUTE(SUBSTITUTE(SUBSTITUTE(SUBSTITUTE(TRIM(K430),".",""),"/",""),"-","")," ",""),"(",""),")",""),"+",""))=10,LEN(SUBSTITUTE(SUBSTITUTE(SUBSTITUTE(SUBSTITUTE(SUBSTITUTE(SUBSTITUTE(SUBSTITUTE(TRIM(K430),".",""),"/",""),"-","")," ",""),"(",""),")",""),"+",""))=11)),"OK","ERRO: use DDD + número (10 ou 11 dígitos)"))</f>
      </c>
      <c r="T430" s="6">
        <f>IF(L430="","vazio",IF(AND(ISNUMBER(FIND("@",L430)),ISNUMBER(FIND(".",MID(L430,FIND("@",L430),99))),NOT(ISNUMBER(FIND(" ",TRIM(L430)))),NOT(ISNUMBER(FIND(";",L430))),NOT(ISNUMBER(FIND(",",L430)))),"OK","ERRO: um e-mail válido por linha"))</f>
      </c>
      <c r="U430" s="6">
        <f>IF(COUNTA(A430:O430)=0,"",IF(AND(B430&lt;&gt;"",C430&lt;&gt;"",D430&lt;&gt;"",E430&lt;&gt;"",H430&lt;&gt;"",OR(J430&lt;&gt;"",L430&lt;&gt;"")),"OK","ERRO: faltam "&amp;IF(B430="","Proprietário; ","")&amp;IF(C430="","Origem; ","")&amp;IF(D430="","CNPJ; ","")&amp;IF(E430="","Razão Social; ","")&amp;IF(H430="","Sobrenome; ","")&amp;IF(AND(J430="",L430=""),"telefone ou e-mail; ","")))</f>
      </c>
      <c r="V430" s="6">
        <f>IF(COUNTA(A430:O430)=0,"",IF(AND(Q430="OK",R430="OK",LEFT(S430,4)&lt;&gt;"ERRO",LEFT(T430,4)&lt;&gt;"ERRO",U430="OK"),"OK","REVISAR"))</f>
      </c>
    </row>
    <row r="431">
      <c r="A431" s="4"/>
      <c r="B431" s="5"/>
      <c r="C431" s="5"/>
      <c r="D431" s="5"/>
      <c r="E431" s="5"/>
      <c r="F431" s="4"/>
      <c r="G431" s="4"/>
      <c r="H431" s="5"/>
      <c r="I431" s="4"/>
      <c r="J431" s="4"/>
      <c r="K431" s="4"/>
      <c r="L431" s="4"/>
      <c r="M431" s="4"/>
      <c r="N431" s="4"/>
      <c r="O431" s="4"/>
      <c r="P431" s="6">
        <f>IF(D431="","",SUBSTITUTE(SUBSTITUTE(SUBSTITUTE(SUBSTITUTE(SUBSTITUTE(SUBSTITUTE(SUBSTITUTE(TRIM(D431),".",""),"/",""),"-","")," ",""),"(",""),")",""),"+",""))</f>
      </c>
      <c r="Q431" s="6">
        <f>IF(P431="","",IF(LEN(P431)&lt;&gt;14,"ERRO: "&amp;LEN(P431)&amp;" dígitos",IF(NOT(ISNUMBER(VALUE(P431))),"ERRO: não numérico",IF(LEN(SUBSTITUTE(P431,LEFT(P431,1),""))=0,"ERRO: dígitos repetidos",IF(AND(VALUE(MID(P431,13,1))=IF(MOD(SUMPRODUCT(--MID(P431,{1,2,3,4,5,6,7,8,9,10,11,12},1),{5,4,3,2,9,8,7,6,5,4,3,2}),11)&lt;2,0,11-MOD(SUMPRODUCT(--MID(P431,{1,2,3,4,5,6,7,8,9,10,11,12},1),{5,4,3,2,9,8,7,6,5,4,3,2}),11)),VALUE(MID(P431,14,1))=IF(MOD(SUMPRODUCT(--MID(P431,{1,2,3,4,5,6,7,8,9,10,11,12,13},1),{6,5,4,3,2,9,8,7,6,5,4,3,2}),11)&lt;2,0,11-MOD(SUMPRODUCT(--MID(P431,{1,2,3,4,5,6,7,8,9,10,11,12,13},1),{6,5,4,3,2,9,8,7,6,5,4,3,2}),11))),"OK","ERRO: dígito verificador")))))</f>
      </c>
      <c r="R431" s="6">
        <f>IF(P431="","",IF(COUNTIF($P$2:$P$1001,P431)&gt;1,"DUPLICADO","OK"))</f>
      </c>
      <c r="S431" s="6">
        <f>IF(AND(J431="",K431=""),"vazio",IF(AND(OR(J431="",LEN(SUBSTITUTE(SUBSTITUTE(SUBSTITUTE(SUBSTITUTE(SUBSTITUTE(SUBSTITUTE(SUBSTITUTE(TRIM(J431),".",""),"/",""),"-","")," ",""),"(",""),")",""),"+",""))=10,LEN(SUBSTITUTE(SUBSTITUTE(SUBSTITUTE(SUBSTITUTE(SUBSTITUTE(SUBSTITUTE(SUBSTITUTE(TRIM(J431),".",""),"/",""),"-","")," ",""),"(",""),")",""),"+",""))=11),OR(K431="",LEN(SUBSTITUTE(SUBSTITUTE(SUBSTITUTE(SUBSTITUTE(SUBSTITUTE(SUBSTITUTE(SUBSTITUTE(TRIM(K431),".",""),"/",""),"-","")," ",""),"(",""),")",""),"+",""))=10,LEN(SUBSTITUTE(SUBSTITUTE(SUBSTITUTE(SUBSTITUTE(SUBSTITUTE(SUBSTITUTE(SUBSTITUTE(TRIM(K431),".",""),"/",""),"-","")," ",""),"(",""),")",""),"+",""))=11)),"OK","ERRO: use DDD + número (10 ou 11 dígitos)"))</f>
      </c>
      <c r="T431" s="6">
        <f>IF(L431="","vazio",IF(AND(ISNUMBER(FIND("@",L431)),ISNUMBER(FIND(".",MID(L431,FIND("@",L431),99))),NOT(ISNUMBER(FIND(" ",TRIM(L431)))),NOT(ISNUMBER(FIND(";",L431))),NOT(ISNUMBER(FIND(",",L431)))),"OK","ERRO: um e-mail válido por linha"))</f>
      </c>
      <c r="U431" s="6">
        <f>IF(COUNTA(A431:O431)=0,"",IF(AND(B431&lt;&gt;"",C431&lt;&gt;"",D431&lt;&gt;"",E431&lt;&gt;"",H431&lt;&gt;"",OR(J431&lt;&gt;"",L431&lt;&gt;"")),"OK","ERRO: faltam "&amp;IF(B431="","Proprietário; ","")&amp;IF(C431="","Origem; ","")&amp;IF(D431="","CNPJ; ","")&amp;IF(E431="","Razão Social; ","")&amp;IF(H431="","Sobrenome; ","")&amp;IF(AND(J431="",L431=""),"telefone ou e-mail; ","")))</f>
      </c>
      <c r="V431" s="6">
        <f>IF(COUNTA(A431:O431)=0,"",IF(AND(Q431="OK",R431="OK",LEFT(S431,4)&lt;&gt;"ERRO",LEFT(T431,4)&lt;&gt;"ERRO",U431="OK"),"OK","REVISAR"))</f>
      </c>
    </row>
    <row r="432">
      <c r="A432" s="4"/>
      <c r="B432" s="5"/>
      <c r="C432" s="5"/>
      <c r="D432" s="5"/>
      <c r="E432" s="5"/>
      <c r="F432" s="4"/>
      <c r="G432" s="4"/>
      <c r="H432" s="5"/>
      <c r="I432" s="4"/>
      <c r="J432" s="4"/>
      <c r="K432" s="4"/>
      <c r="L432" s="4"/>
      <c r="M432" s="4"/>
      <c r="N432" s="4"/>
      <c r="O432" s="4"/>
      <c r="P432" s="6">
        <f>IF(D432="","",SUBSTITUTE(SUBSTITUTE(SUBSTITUTE(SUBSTITUTE(SUBSTITUTE(SUBSTITUTE(SUBSTITUTE(TRIM(D432),".",""),"/",""),"-","")," ",""),"(",""),")",""),"+",""))</f>
      </c>
      <c r="Q432" s="6">
        <f>IF(P432="","",IF(LEN(P432)&lt;&gt;14,"ERRO: "&amp;LEN(P432)&amp;" dígitos",IF(NOT(ISNUMBER(VALUE(P432))),"ERRO: não numérico",IF(LEN(SUBSTITUTE(P432,LEFT(P432,1),""))=0,"ERRO: dígitos repetidos",IF(AND(VALUE(MID(P432,13,1))=IF(MOD(SUMPRODUCT(--MID(P432,{1,2,3,4,5,6,7,8,9,10,11,12},1),{5,4,3,2,9,8,7,6,5,4,3,2}),11)&lt;2,0,11-MOD(SUMPRODUCT(--MID(P432,{1,2,3,4,5,6,7,8,9,10,11,12},1),{5,4,3,2,9,8,7,6,5,4,3,2}),11)),VALUE(MID(P432,14,1))=IF(MOD(SUMPRODUCT(--MID(P432,{1,2,3,4,5,6,7,8,9,10,11,12,13},1),{6,5,4,3,2,9,8,7,6,5,4,3,2}),11)&lt;2,0,11-MOD(SUMPRODUCT(--MID(P432,{1,2,3,4,5,6,7,8,9,10,11,12,13},1),{6,5,4,3,2,9,8,7,6,5,4,3,2}),11))),"OK","ERRO: dígito verificador")))))</f>
      </c>
      <c r="R432" s="6">
        <f>IF(P432="","",IF(COUNTIF($P$2:$P$1001,P432)&gt;1,"DUPLICADO","OK"))</f>
      </c>
      <c r="S432" s="6">
        <f>IF(AND(J432="",K432=""),"vazio",IF(AND(OR(J432="",LEN(SUBSTITUTE(SUBSTITUTE(SUBSTITUTE(SUBSTITUTE(SUBSTITUTE(SUBSTITUTE(SUBSTITUTE(TRIM(J432),".",""),"/",""),"-","")," ",""),"(",""),")",""),"+",""))=10,LEN(SUBSTITUTE(SUBSTITUTE(SUBSTITUTE(SUBSTITUTE(SUBSTITUTE(SUBSTITUTE(SUBSTITUTE(TRIM(J432),".",""),"/",""),"-","")," ",""),"(",""),")",""),"+",""))=11),OR(K432="",LEN(SUBSTITUTE(SUBSTITUTE(SUBSTITUTE(SUBSTITUTE(SUBSTITUTE(SUBSTITUTE(SUBSTITUTE(TRIM(K432),".",""),"/",""),"-","")," ",""),"(",""),")",""),"+",""))=10,LEN(SUBSTITUTE(SUBSTITUTE(SUBSTITUTE(SUBSTITUTE(SUBSTITUTE(SUBSTITUTE(SUBSTITUTE(TRIM(K432),".",""),"/",""),"-","")," ",""),"(",""),")",""),"+",""))=11)),"OK","ERRO: use DDD + número (10 ou 11 dígitos)"))</f>
      </c>
      <c r="T432" s="6">
        <f>IF(L432="","vazio",IF(AND(ISNUMBER(FIND("@",L432)),ISNUMBER(FIND(".",MID(L432,FIND("@",L432),99))),NOT(ISNUMBER(FIND(" ",TRIM(L432)))),NOT(ISNUMBER(FIND(";",L432))),NOT(ISNUMBER(FIND(",",L432)))),"OK","ERRO: um e-mail válido por linha"))</f>
      </c>
      <c r="U432" s="6">
        <f>IF(COUNTA(A432:O432)=0,"",IF(AND(B432&lt;&gt;"",C432&lt;&gt;"",D432&lt;&gt;"",E432&lt;&gt;"",H432&lt;&gt;"",OR(J432&lt;&gt;"",L432&lt;&gt;"")),"OK","ERRO: faltam "&amp;IF(B432="","Proprietário; ","")&amp;IF(C432="","Origem; ","")&amp;IF(D432="","CNPJ; ","")&amp;IF(E432="","Razão Social; ","")&amp;IF(H432="","Sobrenome; ","")&amp;IF(AND(J432="",L432=""),"telefone ou e-mail; ","")))</f>
      </c>
      <c r="V432" s="6">
        <f>IF(COUNTA(A432:O432)=0,"",IF(AND(Q432="OK",R432="OK",LEFT(S432,4)&lt;&gt;"ERRO",LEFT(T432,4)&lt;&gt;"ERRO",U432="OK"),"OK","REVISAR"))</f>
      </c>
    </row>
    <row r="433">
      <c r="A433" s="4"/>
      <c r="B433" s="5"/>
      <c r="C433" s="5"/>
      <c r="D433" s="5"/>
      <c r="E433" s="5"/>
      <c r="F433" s="4"/>
      <c r="G433" s="4"/>
      <c r="H433" s="5"/>
      <c r="I433" s="4"/>
      <c r="J433" s="4"/>
      <c r="K433" s="4"/>
      <c r="L433" s="4"/>
      <c r="M433" s="4"/>
      <c r="N433" s="4"/>
      <c r="O433" s="4"/>
      <c r="P433" s="6">
        <f>IF(D433="","",SUBSTITUTE(SUBSTITUTE(SUBSTITUTE(SUBSTITUTE(SUBSTITUTE(SUBSTITUTE(SUBSTITUTE(TRIM(D433),".",""),"/",""),"-","")," ",""),"(",""),")",""),"+",""))</f>
      </c>
      <c r="Q433" s="6">
        <f>IF(P433="","",IF(LEN(P433)&lt;&gt;14,"ERRO: "&amp;LEN(P433)&amp;" dígitos",IF(NOT(ISNUMBER(VALUE(P433))),"ERRO: não numérico",IF(LEN(SUBSTITUTE(P433,LEFT(P433,1),""))=0,"ERRO: dígitos repetidos",IF(AND(VALUE(MID(P433,13,1))=IF(MOD(SUMPRODUCT(--MID(P433,{1,2,3,4,5,6,7,8,9,10,11,12},1),{5,4,3,2,9,8,7,6,5,4,3,2}),11)&lt;2,0,11-MOD(SUMPRODUCT(--MID(P433,{1,2,3,4,5,6,7,8,9,10,11,12},1),{5,4,3,2,9,8,7,6,5,4,3,2}),11)),VALUE(MID(P433,14,1))=IF(MOD(SUMPRODUCT(--MID(P433,{1,2,3,4,5,6,7,8,9,10,11,12,13},1),{6,5,4,3,2,9,8,7,6,5,4,3,2}),11)&lt;2,0,11-MOD(SUMPRODUCT(--MID(P433,{1,2,3,4,5,6,7,8,9,10,11,12,13},1),{6,5,4,3,2,9,8,7,6,5,4,3,2}),11))),"OK","ERRO: dígito verificador")))))</f>
      </c>
      <c r="R433" s="6">
        <f>IF(P433="","",IF(COUNTIF($P$2:$P$1001,P433)&gt;1,"DUPLICADO","OK"))</f>
      </c>
      <c r="S433" s="6">
        <f>IF(AND(J433="",K433=""),"vazio",IF(AND(OR(J433="",LEN(SUBSTITUTE(SUBSTITUTE(SUBSTITUTE(SUBSTITUTE(SUBSTITUTE(SUBSTITUTE(SUBSTITUTE(TRIM(J433),".",""),"/",""),"-","")," ",""),"(",""),")",""),"+",""))=10,LEN(SUBSTITUTE(SUBSTITUTE(SUBSTITUTE(SUBSTITUTE(SUBSTITUTE(SUBSTITUTE(SUBSTITUTE(TRIM(J433),".",""),"/",""),"-","")," ",""),"(",""),")",""),"+",""))=11),OR(K433="",LEN(SUBSTITUTE(SUBSTITUTE(SUBSTITUTE(SUBSTITUTE(SUBSTITUTE(SUBSTITUTE(SUBSTITUTE(TRIM(K433),".",""),"/",""),"-","")," ",""),"(",""),")",""),"+",""))=10,LEN(SUBSTITUTE(SUBSTITUTE(SUBSTITUTE(SUBSTITUTE(SUBSTITUTE(SUBSTITUTE(SUBSTITUTE(TRIM(K433),".",""),"/",""),"-","")," ",""),"(",""),")",""),"+",""))=11)),"OK","ERRO: use DDD + número (10 ou 11 dígitos)"))</f>
      </c>
      <c r="T433" s="6">
        <f>IF(L433="","vazio",IF(AND(ISNUMBER(FIND("@",L433)),ISNUMBER(FIND(".",MID(L433,FIND("@",L433),99))),NOT(ISNUMBER(FIND(" ",TRIM(L433)))),NOT(ISNUMBER(FIND(";",L433))),NOT(ISNUMBER(FIND(",",L433)))),"OK","ERRO: um e-mail válido por linha"))</f>
      </c>
      <c r="U433" s="6">
        <f>IF(COUNTA(A433:O433)=0,"",IF(AND(B433&lt;&gt;"",C433&lt;&gt;"",D433&lt;&gt;"",E433&lt;&gt;"",H433&lt;&gt;"",OR(J433&lt;&gt;"",L433&lt;&gt;"")),"OK","ERRO: faltam "&amp;IF(B433="","Proprietário; ","")&amp;IF(C433="","Origem; ","")&amp;IF(D433="","CNPJ; ","")&amp;IF(E433="","Razão Social; ","")&amp;IF(H433="","Sobrenome; ","")&amp;IF(AND(J433="",L433=""),"telefone ou e-mail; ","")))</f>
      </c>
      <c r="V433" s="6">
        <f>IF(COUNTA(A433:O433)=0,"",IF(AND(Q433="OK",R433="OK",LEFT(S433,4)&lt;&gt;"ERRO",LEFT(T433,4)&lt;&gt;"ERRO",U433="OK"),"OK","REVISAR"))</f>
      </c>
    </row>
    <row r="434">
      <c r="A434" s="4"/>
      <c r="B434" s="5"/>
      <c r="C434" s="5"/>
      <c r="D434" s="5"/>
      <c r="E434" s="5"/>
      <c r="F434" s="4"/>
      <c r="G434" s="4"/>
      <c r="H434" s="5"/>
      <c r="I434" s="4"/>
      <c r="J434" s="4"/>
      <c r="K434" s="4"/>
      <c r="L434" s="4"/>
      <c r="M434" s="4"/>
      <c r="N434" s="4"/>
      <c r="O434" s="4"/>
      <c r="P434" s="6">
        <f>IF(D434="","",SUBSTITUTE(SUBSTITUTE(SUBSTITUTE(SUBSTITUTE(SUBSTITUTE(SUBSTITUTE(SUBSTITUTE(TRIM(D434),".",""),"/",""),"-","")," ",""),"(",""),")",""),"+",""))</f>
      </c>
      <c r="Q434" s="6">
        <f>IF(P434="","",IF(LEN(P434)&lt;&gt;14,"ERRO: "&amp;LEN(P434)&amp;" dígitos",IF(NOT(ISNUMBER(VALUE(P434))),"ERRO: não numérico",IF(LEN(SUBSTITUTE(P434,LEFT(P434,1),""))=0,"ERRO: dígitos repetidos",IF(AND(VALUE(MID(P434,13,1))=IF(MOD(SUMPRODUCT(--MID(P434,{1,2,3,4,5,6,7,8,9,10,11,12},1),{5,4,3,2,9,8,7,6,5,4,3,2}),11)&lt;2,0,11-MOD(SUMPRODUCT(--MID(P434,{1,2,3,4,5,6,7,8,9,10,11,12},1),{5,4,3,2,9,8,7,6,5,4,3,2}),11)),VALUE(MID(P434,14,1))=IF(MOD(SUMPRODUCT(--MID(P434,{1,2,3,4,5,6,7,8,9,10,11,12,13},1),{6,5,4,3,2,9,8,7,6,5,4,3,2}),11)&lt;2,0,11-MOD(SUMPRODUCT(--MID(P434,{1,2,3,4,5,6,7,8,9,10,11,12,13},1),{6,5,4,3,2,9,8,7,6,5,4,3,2}),11))),"OK","ERRO: dígito verificador")))))</f>
      </c>
      <c r="R434" s="6">
        <f>IF(P434="","",IF(COUNTIF($P$2:$P$1001,P434)&gt;1,"DUPLICADO","OK"))</f>
      </c>
      <c r="S434" s="6">
        <f>IF(AND(J434="",K434=""),"vazio",IF(AND(OR(J434="",LEN(SUBSTITUTE(SUBSTITUTE(SUBSTITUTE(SUBSTITUTE(SUBSTITUTE(SUBSTITUTE(SUBSTITUTE(TRIM(J434),".",""),"/",""),"-","")," ",""),"(",""),")",""),"+",""))=10,LEN(SUBSTITUTE(SUBSTITUTE(SUBSTITUTE(SUBSTITUTE(SUBSTITUTE(SUBSTITUTE(SUBSTITUTE(TRIM(J434),".",""),"/",""),"-","")," ",""),"(",""),")",""),"+",""))=11),OR(K434="",LEN(SUBSTITUTE(SUBSTITUTE(SUBSTITUTE(SUBSTITUTE(SUBSTITUTE(SUBSTITUTE(SUBSTITUTE(TRIM(K434),".",""),"/",""),"-","")," ",""),"(",""),")",""),"+",""))=10,LEN(SUBSTITUTE(SUBSTITUTE(SUBSTITUTE(SUBSTITUTE(SUBSTITUTE(SUBSTITUTE(SUBSTITUTE(TRIM(K434),".",""),"/",""),"-","")," ",""),"(",""),")",""),"+",""))=11)),"OK","ERRO: use DDD + número (10 ou 11 dígitos)"))</f>
      </c>
      <c r="T434" s="6">
        <f>IF(L434="","vazio",IF(AND(ISNUMBER(FIND("@",L434)),ISNUMBER(FIND(".",MID(L434,FIND("@",L434),99))),NOT(ISNUMBER(FIND(" ",TRIM(L434)))),NOT(ISNUMBER(FIND(";",L434))),NOT(ISNUMBER(FIND(",",L434)))),"OK","ERRO: um e-mail válido por linha"))</f>
      </c>
      <c r="U434" s="6">
        <f>IF(COUNTA(A434:O434)=0,"",IF(AND(B434&lt;&gt;"",C434&lt;&gt;"",D434&lt;&gt;"",E434&lt;&gt;"",H434&lt;&gt;"",OR(J434&lt;&gt;"",L434&lt;&gt;"")),"OK","ERRO: faltam "&amp;IF(B434="","Proprietário; ","")&amp;IF(C434="","Origem; ","")&amp;IF(D434="","CNPJ; ","")&amp;IF(E434="","Razão Social; ","")&amp;IF(H434="","Sobrenome; ","")&amp;IF(AND(J434="",L434=""),"telefone ou e-mail; ","")))</f>
      </c>
      <c r="V434" s="6">
        <f>IF(COUNTA(A434:O434)=0,"",IF(AND(Q434="OK",R434="OK",LEFT(S434,4)&lt;&gt;"ERRO",LEFT(T434,4)&lt;&gt;"ERRO",U434="OK"),"OK","REVISAR"))</f>
      </c>
    </row>
    <row r="435">
      <c r="A435" s="4"/>
      <c r="B435" s="5"/>
      <c r="C435" s="5"/>
      <c r="D435" s="5"/>
      <c r="E435" s="5"/>
      <c r="F435" s="4"/>
      <c r="G435" s="4"/>
      <c r="H435" s="5"/>
      <c r="I435" s="4"/>
      <c r="J435" s="4"/>
      <c r="K435" s="4"/>
      <c r="L435" s="4"/>
      <c r="M435" s="4"/>
      <c r="N435" s="4"/>
      <c r="O435" s="4"/>
      <c r="P435" s="6">
        <f>IF(D435="","",SUBSTITUTE(SUBSTITUTE(SUBSTITUTE(SUBSTITUTE(SUBSTITUTE(SUBSTITUTE(SUBSTITUTE(TRIM(D435),".",""),"/",""),"-","")," ",""),"(",""),")",""),"+",""))</f>
      </c>
      <c r="Q435" s="6">
        <f>IF(P435="","",IF(LEN(P435)&lt;&gt;14,"ERRO: "&amp;LEN(P435)&amp;" dígitos",IF(NOT(ISNUMBER(VALUE(P435))),"ERRO: não numérico",IF(LEN(SUBSTITUTE(P435,LEFT(P435,1),""))=0,"ERRO: dígitos repetidos",IF(AND(VALUE(MID(P435,13,1))=IF(MOD(SUMPRODUCT(--MID(P435,{1,2,3,4,5,6,7,8,9,10,11,12},1),{5,4,3,2,9,8,7,6,5,4,3,2}),11)&lt;2,0,11-MOD(SUMPRODUCT(--MID(P435,{1,2,3,4,5,6,7,8,9,10,11,12},1),{5,4,3,2,9,8,7,6,5,4,3,2}),11)),VALUE(MID(P435,14,1))=IF(MOD(SUMPRODUCT(--MID(P435,{1,2,3,4,5,6,7,8,9,10,11,12,13},1),{6,5,4,3,2,9,8,7,6,5,4,3,2}),11)&lt;2,0,11-MOD(SUMPRODUCT(--MID(P435,{1,2,3,4,5,6,7,8,9,10,11,12,13},1),{6,5,4,3,2,9,8,7,6,5,4,3,2}),11))),"OK","ERRO: dígito verificador")))))</f>
      </c>
      <c r="R435" s="6">
        <f>IF(P435="","",IF(COUNTIF($P$2:$P$1001,P435)&gt;1,"DUPLICADO","OK"))</f>
      </c>
      <c r="S435" s="6">
        <f>IF(AND(J435="",K435=""),"vazio",IF(AND(OR(J435="",LEN(SUBSTITUTE(SUBSTITUTE(SUBSTITUTE(SUBSTITUTE(SUBSTITUTE(SUBSTITUTE(SUBSTITUTE(TRIM(J435),".",""),"/",""),"-","")," ",""),"(",""),")",""),"+",""))=10,LEN(SUBSTITUTE(SUBSTITUTE(SUBSTITUTE(SUBSTITUTE(SUBSTITUTE(SUBSTITUTE(SUBSTITUTE(TRIM(J435),".",""),"/",""),"-","")," ",""),"(",""),")",""),"+",""))=11),OR(K435="",LEN(SUBSTITUTE(SUBSTITUTE(SUBSTITUTE(SUBSTITUTE(SUBSTITUTE(SUBSTITUTE(SUBSTITUTE(TRIM(K435),".",""),"/",""),"-","")," ",""),"(",""),")",""),"+",""))=10,LEN(SUBSTITUTE(SUBSTITUTE(SUBSTITUTE(SUBSTITUTE(SUBSTITUTE(SUBSTITUTE(SUBSTITUTE(TRIM(K435),".",""),"/",""),"-","")," ",""),"(",""),")",""),"+",""))=11)),"OK","ERRO: use DDD + número (10 ou 11 dígitos)"))</f>
      </c>
      <c r="T435" s="6">
        <f>IF(L435="","vazio",IF(AND(ISNUMBER(FIND("@",L435)),ISNUMBER(FIND(".",MID(L435,FIND("@",L435),99))),NOT(ISNUMBER(FIND(" ",TRIM(L435)))),NOT(ISNUMBER(FIND(";",L435))),NOT(ISNUMBER(FIND(",",L435)))),"OK","ERRO: um e-mail válido por linha"))</f>
      </c>
      <c r="U435" s="6">
        <f>IF(COUNTA(A435:O435)=0,"",IF(AND(B435&lt;&gt;"",C435&lt;&gt;"",D435&lt;&gt;"",E435&lt;&gt;"",H435&lt;&gt;"",OR(J435&lt;&gt;"",L435&lt;&gt;"")),"OK","ERRO: faltam "&amp;IF(B435="","Proprietário; ","")&amp;IF(C435="","Origem; ","")&amp;IF(D435="","CNPJ; ","")&amp;IF(E435="","Razão Social; ","")&amp;IF(H435="","Sobrenome; ","")&amp;IF(AND(J435="",L435=""),"telefone ou e-mail; ","")))</f>
      </c>
      <c r="V435" s="6">
        <f>IF(COUNTA(A435:O435)=0,"",IF(AND(Q435="OK",R435="OK",LEFT(S435,4)&lt;&gt;"ERRO",LEFT(T435,4)&lt;&gt;"ERRO",U435="OK"),"OK","REVISAR"))</f>
      </c>
    </row>
    <row r="436">
      <c r="A436" s="4"/>
      <c r="B436" s="5"/>
      <c r="C436" s="5"/>
      <c r="D436" s="5"/>
      <c r="E436" s="5"/>
      <c r="F436" s="4"/>
      <c r="G436" s="4"/>
      <c r="H436" s="5"/>
      <c r="I436" s="4"/>
      <c r="J436" s="4"/>
      <c r="K436" s="4"/>
      <c r="L436" s="4"/>
      <c r="M436" s="4"/>
      <c r="N436" s="4"/>
      <c r="O436" s="4"/>
      <c r="P436" s="6">
        <f>IF(D436="","",SUBSTITUTE(SUBSTITUTE(SUBSTITUTE(SUBSTITUTE(SUBSTITUTE(SUBSTITUTE(SUBSTITUTE(TRIM(D436),".",""),"/",""),"-","")," ",""),"(",""),")",""),"+",""))</f>
      </c>
      <c r="Q436" s="6">
        <f>IF(P436="","",IF(LEN(P436)&lt;&gt;14,"ERRO: "&amp;LEN(P436)&amp;" dígitos",IF(NOT(ISNUMBER(VALUE(P436))),"ERRO: não numérico",IF(LEN(SUBSTITUTE(P436,LEFT(P436,1),""))=0,"ERRO: dígitos repetidos",IF(AND(VALUE(MID(P436,13,1))=IF(MOD(SUMPRODUCT(--MID(P436,{1,2,3,4,5,6,7,8,9,10,11,12},1),{5,4,3,2,9,8,7,6,5,4,3,2}),11)&lt;2,0,11-MOD(SUMPRODUCT(--MID(P436,{1,2,3,4,5,6,7,8,9,10,11,12},1),{5,4,3,2,9,8,7,6,5,4,3,2}),11)),VALUE(MID(P436,14,1))=IF(MOD(SUMPRODUCT(--MID(P436,{1,2,3,4,5,6,7,8,9,10,11,12,13},1),{6,5,4,3,2,9,8,7,6,5,4,3,2}),11)&lt;2,0,11-MOD(SUMPRODUCT(--MID(P436,{1,2,3,4,5,6,7,8,9,10,11,12,13},1),{6,5,4,3,2,9,8,7,6,5,4,3,2}),11))),"OK","ERRO: dígito verificador")))))</f>
      </c>
      <c r="R436" s="6">
        <f>IF(P436="","",IF(COUNTIF($P$2:$P$1001,P436)&gt;1,"DUPLICADO","OK"))</f>
      </c>
      <c r="S436" s="6">
        <f>IF(AND(J436="",K436=""),"vazio",IF(AND(OR(J436="",LEN(SUBSTITUTE(SUBSTITUTE(SUBSTITUTE(SUBSTITUTE(SUBSTITUTE(SUBSTITUTE(SUBSTITUTE(TRIM(J436),".",""),"/",""),"-","")," ",""),"(",""),")",""),"+",""))=10,LEN(SUBSTITUTE(SUBSTITUTE(SUBSTITUTE(SUBSTITUTE(SUBSTITUTE(SUBSTITUTE(SUBSTITUTE(TRIM(J436),".",""),"/",""),"-","")," ",""),"(",""),")",""),"+",""))=11),OR(K436="",LEN(SUBSTITUTE(SUBSTITUTE(SUBSTITUTE(SUBSTITUTE(SUBSTITUTE(SUBSTITUTE(SUBSTITUTE(TRIM(K436),".",""),"/",""),"-","")," ",""),"(",""),")",""),"+",""))=10,LEN(SUBSTITUTE(SUBSTITUTE(SUBSTITUTE(SUBSTITUTE(SUBSTITUTE(SUBSTITUTE(SUBSTITUTE(TRIM(K436),".",""),"/",""),"-","")," ",""),"(",""),")",""),"+",""))=11)),"OK","ERRO: use DDD + número (10 ou 11 dígitos)"))</f>
      </c>
      <c r="T436" s="6">
        <f>IF(L436="","vazio",IF(AND(ISNUMBER(FIND("@",L436)),ISNUMBER(FIND(".",MID(L436,FIND("@",L436),99))),NOT(ISNUMBER(FIND(" ",TRIM(L436)))),NOT(ISNUMBER(FIND(";",L436))),NOT(ISNUMBER(FIND(",",L436)))),"OK","ERRO: um e-mail válido por linha"))</f>
      </c>
      <c r="U436" s="6">
        <f>IF(COUNTA(A436:O436)=0,"",IF(AND(B436&lt;&gt;"",C436&lt;&gt;"",D436&lt;&gt;"",E436&lt;&gt;"",H436&lt;&gt;"",OR(J436&lt;&gt;"",L436&lt;&gt;"")),"OK","ERRO: faltam "&amp;IF(B436="","Proprietário; ","")&amp;IF(C436="","Origem; ","")&amp;IF(D436="","CNPJ; ","")&amp;IF(E436="","Razão Social; ","")&amp;IF(H436="","Sobrenome; ","")&amp;IF(AND(J436="",L436=""),"telefone ou e-mail; ","")))</f>
      </c>
      <c r="V436" s="6">
        <f>IF(COUNTA(A436:O436)=0,"",IF(AND(Q436="OK",R436="OK",LEFT(S436,4)&lt;&gt;"ERRO",LEFT(T436,4)&lt;&gt;"ERRO",U436="OK"),"OK","REVISAR"))</f>
      </c>
    </row>
    <row r="437">
      <c r="A437" s="4"/>
      <c r="B437" s="5"/>
      <c r="C437" s="5"/>
      <c r="D437" s="5"/>
      <c r="E437" s="5"/>
      <c r="F437" s="4"/>
      <c r="G437" s="4"/>
      <c r="H437" s="5"/>
      <c r="I437" s="4"/>
      <c r="J437" s="4"/>
      <c r="K437" s="4"/>
      <c r="L437" s="4"/>
      <c r="M437" s="4"/>
      <c r="N437" s="4"/>
      <c r="O437" s="4"/>
      <c r="P437" s="6">
        <f>IF(D437="","",SUBSTITUTE(SUBSTITUTE(SUBSTITUTE(SUBSTITUTE(SUBSTITUTE(SUBSTITUTE(SUBSTITUTE(TRIM(D437),".",""),"/",""),"-","")," ",""),"(",""),")",""),"+",""))</f>
      </c>
      <c r="Q437" s="6">
        <f>IF(P437="","",IF(LEN(P437)&lt;&gt;14,"ERRO: "&amp;LEN(P437)&amp;" dígitos",IF(NOT(ISNUMBER(VALUE(P437))),"ERRO: não numérico",IF(LEN(SUBSTITUTE(P437,LEFT(P437,1),""))=0,"ERRO: dígitos repetidos",IF(AND(VALUE(MID(P437,13,1))=IF(MOD(SUMPRODUCT(--MID(P437,{1,2,3,4,5,6,7,8,9,10,11,12},1),{5,4,3,2,9,8,7,6,5,4,3,2}),11)&lt;2,0,11-MOD(SUMPRODUCT(--MID(P437,{1,2,3,4,5,6,7,8,9,10,11,12},1),{5,4,3,2,9,8,7,6,5,4,3,2}),11)),VALUE(MID(P437,14,1))=IF(MOD(SUMPRODUCT(--MID(P437,{1,2,3,4,5,6,7,8,9,10,11,12,13},1),{6,5,4,3,2,9,8,7,6,5,4,3,2}),11)&lt;2,0,11-MOD(SUMPRODUCT(--MID(P437,{1,2,3,4,5,6,7,8,9,10,11,12,13},1),{6,5,4,3,2,9,8,7,6,5,4,3,2}),11))),"OK","ERRO: dígito verificador")))))</f>
      </c>
      <c r="R437" s="6">
        <f>IF(P437="","",IF(COUNTIF($P$2:$P$1001,P437)&gt;1,"DUPLICADO","OK"))</f>
      </c>
      <c r="S437" s="6">
        <f>IF(AND(J437="",K437=""),"vazio",IF(AND(OR(J437="",LEN(SUBSTITUTE(SUBSTITUTE(SUBSTITUTE(SUBSTITUTE(SUBSTITUTE(SUBSTITUTE(SUBSTITUTE(TRIM(J437),".",""),"/",""),"-","")," ",""),"(",""),")",""),"+",""))=10,LEN(SUBSTITUTE(SUBSTITUTE(SUBSTITUTE(SUBSTITUTE(SUBSTITUTE(SUBSTITUTE(SUBSTITUTE(TRIM(J437),".",""),"/",""),"-","")," ",""),"(",""),")",""),"+",""))=11),OR(K437="",LEN(SUBSTITUTE(SUBSTITUTE(SUBSTITUTE(SUBSTITUTE(SUBSTITUTE(SUBSTITUTE(SUBSTITUTE(TRIM(K437),".",""),"/",""),"-","")," ",""),"(",""),")",""),"+",""))=10,LEN(SUBSTITUTE(SUBSTITUTE(SUBSTITUTE(SUBSTITUTE(SUBSTITUTE(SUBSTITUTE(SUBSTITUTE(TRIM(K437),".",""),"/",""),"-","")," ",""),"(",""),")",""),"+",""))=11)),"OK","ERRO: use DDD + número (10 ou 11 dígitos)"))</f>
      </c>
      <c r="T437" s="6">
        <f>IF(L437="","vazio",IF(AND(ISNUMBER(FIND("@",L437)),ISNUMBER(FIND(".",MID(L437,FIND("@",L437),99))),NOT(ISNUMBER(FIND(" ",TRIM(L437)))),NOT(ISNUMBER(FIND(";",L437))),NOT(ISNUMBER(FIND(",",L437)))),"OK","ERRO: um e-mail válido por linha"))</f>
      </c>
      <c r="U437" s="6">
        <f>IF(COUNTA(A437:O437)=0,"",IF(AND(B437&lt;&gt;"",C437&lt;&gt;"",D437&lt;&gt;"",E437&lt;&gt;"",H437&lt;&gt;"",OR(J437&lt;&gt;"",L437&lt;&gt;"")),"OK","ERRO: faltam "&amp;IF(B437="","Proprietário; ","")&amp;IF(C437="","Origem; ","")&amp;IF(D437="","CNPJ; ","")&amp;IF(E437="","Razão Social; ","")&amp;IF(H437="","Sobrenome; ","")&amp;IF(AND(J437="",L437=""),"telefone ou e-mail; ","")))</f>
      </c>
      <c r="V437" s="6">
        <f>IF(COUNTA(A437:O437)=0,"",IF(AND(Q437="OK",R437="OK",LEFT(S437,4)&lt;&gt;"ERRO",LEFT(T437,4)&lt;&gt;"ERRO",U437="OK"),"OK","REVISAR"))</f>
      </c>
    </row>
    <row r="438">
      <c r="A438" s="4"/>
      <c r="B438" s="5"/>
      <c r="C438" s="5"/>
      <c r="D438" s="5"/>
      <c r="E438" s="5"/>
      <c r="F438" s="4"/>
      <c r="G438" s="4"/>
      <c r="H438" s="5"/>
      <c r="I438" s="4"/>
      <c r="J438" s="4"/>
      <c r="K438" s="4"/>
      <c r="L438" s="4"/>
      <c r="M438" s="4"/>
      <c r="N438" s="4"/>
      <c r="O438" s="4"/>
      <c r="P438" s="6">
        <f>IF(D438="","",SUBSTITUTE(SUBSTITUTE(SUBSTITUTE(SUBSTITUTE(SUBSTITUTE(SUBSTITUTE(SUBSTITUTE(TRIM(D438),".",""),"/",""),"-","")," ",""),"(",""),")",""),"+",""))</f>
      </c>
      <c r="Q438" s="6">
        <f>IF(P438="","",IF(LEN(P438)&lt;&gt;14,"ERRO: "&amp;LEN(P438)&amp;" dígitos",IF(NOT(ISNUMBER(VALUE(P438))),"ERRO: não numérico",IF(LEN(SUBSTITUTE(P438,LEFT(P438,1),""))=0,"ERRO: dígitos repetidos",IF(AND(VALUE(MID(P438,13,1))=IF(MOD(SUMPRODUCT(--MID(P438,{1,2,3,4,5,6,7,8,9,10,11,12},1),{5,4,3,2,9,8,7,6,5,4,3,2}),11)&lt;2,0,11-MOD(SUMPRODUCT(--MID(P438,{1,2,3,4,5,6,7,8,9,10,11,12},1),{5,4,3,2,9,8,7,6,5,4,3,2}),11)),VALUE(MID(P438,14,1))=IF(MOD(SUMPRODUCT(--MID(P438,{1,2,3,4,5,6,7,8,9,10,11,12,13},1),{6,5,4,3,2,9,8,7,6,5,4,3,2}),11)&lt;2,0,11-MOD(SUMPRODUCT(--MID(P438,{1,2,3,4,5,6,7,8,9,10,11,12,13},1),{6,5,4,3,2,9,8,7,6,5,4,3,2}),11))),"OK","ERRO: dígito verificador")))))</f>
      </c>
      <c r="R438" s="6">
        <f>IF(P438="","",IF(COUNTIF($P$2:$P$1001,P438)&gt;1,"DUPLICADO","OK"))</f>
      </c>
      <c r="S438" s="6">
        <f>IF(AND(J438="",K438=""),"vazio",IF(AND(OR(J438="",LEN(SUBSTITUTE(SUBSTITUTE(SUBSTITUTE(SUBSTITUTE(SUBSTITUTE(SUBSTITUTE(SUBSTITUTE(TRIM(J438),".",""),"/",""),"-","")," ",""),"(",""),")",""),"+",""))=10,LEN(SUBSTITUTE(SUBSTITUTE(SUBSTITUTE(SUBSTITUTE(SUBSTITUTE(SUBSTITUTE(SUBSTITUTE(TRIM(J438),".",""),"/",""),"-","")," ",""),"(",""),")",""),"+",""))=11),OR(K438="",LEN(SUBSTITUTE(SUBSTITUTE(SUBSTITUTE(SUBSTITUTE(SUBSTITUTE(SUBSTITUTE(SUBSTITUTE(TRIM(K438),".",""),"/",""),"-","")," ",""),"(",""),")",""),"+",""))=10,LEN(SUBSTITUTE(SUBSTITUTE(SUBSTITUTE(SUBSTITUTE(SUBSTITUTE(SUBSTITUTE(SUBSTITUTE(TRIM(K438),".",""),"/",""),"-","")," ",""),"(",""),")",""),"+",""))=11)),"OK","ERRO: use DDD + número (10 ou 11 dígitos)"))</f>
      </c>
      <c r="T438" s="6">
        <f>IF(L438="","vazio",IF(AND(ISNUMBER(FIND("@",L438)),ISNUMBER(FIND(".",MID(L438,FIND("@",L438),99))),NOT(ISNUMBER(FIND(" ",TRIM(L438)))),NOT(ISNUMBER(FIND(";",L438))),NOT(ISNUMBER(FIND(",",L438)))),"OK","ERRO: um e-mail válido por linha"))</f>
      </c>
      <c r="U438" s="6">
        <f>IF(COUNTA(A438:O438)=0,"",IF(AND(B438&lt;&gt;"",C438&lt;&gt;"",D438&lt;&gt;"",E438&lt;&gt;"",H438&lt;&gt;"",OR(J438&lt;&gt;"",L438&lt;&gt;"")),"OK","ERRO: faltam "&amp;IF(B438="","Proprietário; ","")&amp;IF(C438="","Origem; ","")&amp;IF(D438="","CNPJ; ","")&amp;IF(E438="","Razão Social; ","")&amp;IF(H438="","Sobrenome; ","")&amp;IF(AND(J438="",L438=""),"telefone ou e-mail; ","")))</f>
      </c>
      <c r="V438" s="6">
        <f>IF(COUNTA(A438:O438)=0,"",IF(AND(Q438="OK",R438="OK",LEFT(S438,4)&lt;&gt;"ERRO",LEFT(T438,4)&lt;&gt;"ERRO",U438="OK"),"OK","REVISAR"))</f>
      </c>
    </row>
    <row r="439">
      <c r="A439" s="4"/>
      <c r="B439" s="5"/>
      <c r="C439" s="5"/>
      <c r="D439" s="5"/>
      <c r="E439" s="5"/>
      <c r="F439" s="4"/>
      <c r="G439" s="4"/>
      <c r="H439" s="5"/>
      <c r="I439" s="4"/>
      <c r="J439" s="4"/>
      <c r="K439" s="4"/>
      <c r="L439" s="4"/>
      <c r="M439" s="4"/>
      <c r="N439" s="4"/>
      <c r="O439" s="4"/>
      <c r="P439" s="6">
        <f>IF(D439="","",SUBSTITUTE(SUBSTITUTE(SUBSTITUTE(SUBSTITUTE(SUBSTITUTE(SUBSTITUTE(SUBSTITUTE(TRIM(D439),".",""),"/",""),"-","")," ",""),"(",""),")",""),"+",""))</f>
      </c>
      <c r="Q439" s="6">
        <f>IF(P439="","",IF(LEN(P439)&lt;&gt;14,"ERRO: "&amp;LEN(P439)&amp;" dígitos",IF(NOT(ISNUMBER(VALUE(P439))),"ERRO: não numérico",IF(LEN(SUBSTITUTE(P439,LEFT(P439,1),""))=0,"ERRO: dígitos repetidos",IF(AND(VALUE(MID(P439,13,1))=IF(MOD(SUMPRODUCT(--MID(P439,{1,2,3,4,5,6,7,8,9,10,11,12},1),{5,4,3,2,9,8,7,6,5,4,3,2}),11)&lt;2,0,11-MOD(SUMPRODUCT(--MID(P439,{1,2,3,4,5,6,7,8,9,10,11,12},1),{5,4,3,2,9,8,7,6,5,4,3,2}),11)),VALUE(MID(P439,14,1))=IF(MOD(SUMPRODUCT(--MID(P439,{1,2,3,4,5,6,7,8,9,10,11,12,13},1),{6,5,4,3,2,9,8,7,6,5,4,3,2}),11)&lt;2,0,11-MOD(SUMPRODUCT(--MID(P439,{1,2,3,4,5,6,7,8,9,10,11,12,13},1),{6,5,4,3,2,9,8,7,6,5,4,3,2}),11))),"OK","ERRO: dígito verificador")))))</f>
      </c>
      <c r="R439" s="6">
        <f>IF(P439="","",IF(COUNTIF($P$2:$P$1001,P439)&gt;1,"DUPLICADO","OK"))</f>
      </c>
      <c r="S439" s="6">
        <f>IF(AND(J439="",K439=""),"vazio",IF(AND(OR(J439="",LEN(SUBSTITUTE(SUBSTITUTE(SUBSTITUTE(SUBSTITUTE(SUBSTITUTE(SUBSTITUTE(SUBSTITUTE(TRIM(J439),".",""),"/",""),"-","")," ",""),"(",""),")",""),"+",""))=10,LEN(SUBSTITUTE(SUBSTITUTE(SUBSTITUTE(SUBSTITUTE(SUBSTITUTE(SUBSTITUTE(SUBSTITUTE(TRIM(J439),".",""),"/",""),"-","")," ",""),"(",""),")",""),"+",""))=11),OR(K439="",LEN(SUBSTITUTE(SUBSTITUTE(SUBSTITUTE(SUBSTITUTE(SUBSTITUTE(SUBSTITUTE(SUBSTITUTE(TRIM(K439),".",""),"/",""),"-","")," ",""),"(",""),")",""),"+",""))=10,LEN(SUBSTITUTE(SUBSTITUTE(SUBSTITUTE(SUBSTITUTE(SUBSTITUTE(SUBSTITUTE(SUBSTITUTE(TRIM(K439),".",""),"/",""),"-","")," ",""),"(",""),")",""),"+",""))=11)),"OK","ERRO: use DDD + número (10 ou 11 dígitos)"))</f>
      </c>
      <c r="T439" s="6">
        <f>IF(L439="","vazio",IF(AND(ISNUMBER(FIND("@",L439)),ISNUMBER(FIND(".",MID(L439,FIND("@",L439),99))),NOT(ISNUMBER(FIND(" ",TRIM(L439)))),NOT(ISNUMBER(FIND(";",L439))),NOT(ISNUMBER(FIND(",",L439)))),"OK","ERRO: um e-mail válido por linha"))</f>
      </c>
      <c r="U439" s="6">
        <f>IF(COUNTA(A439:O439)=0,"",IF(AND(B439&lt;&gt;"",C439&lt;&gt;"",D439&lt;&gt;"",E439&lt;&gt;"",H439&lt;&gt;"",OR(J439&lt;&gt;"",L439&lt;&gt;"")),"OK","ERRO: faltam "&amp;IF(B439="","Proprietário; ","")&amp;IF(C439="","Origem; ","")&amp;IF(D439="","CNPJ; ","")&amp;IF(E439="","Razão Social; ","")&amp;IF(H439="","Sobrenome; ","")&amp;IF(AND(J439="",L439=""),"telefone ou e-mail; ","")))</f>
      </c>
      <c r="V439" s="6">
        <f>IF(COUNTA(A439:O439)=0,"",IF(AND(Q439="OK",R439="OK",LEFT(S439,4)&lt;&gt;"ERRO",LEFT(T439,4)&lt;&gt;"ERRO",U439="OK"),"OK","REVISAR"))</f>
      </c>
    </row>
    <row r="440">
      <c r="A440" s="4"/>
      <c r="B440" s="5"/>
      <c r="C440" s="5"/>
      <c r="D440" s="5"/>
      <c r="E440" s="5"/>
      <c r="F440" s="4"/>
      <c r="G440" s="4"/>
      <c r="H440" s="5"/>
      <c r="I440" s="4"/>
      <c r="J440" s="4"/>
      <c r="K440" s="4"/>
      <c r="L440" s="4"/>
      <c r="M440" s="4"/>
      <c r="N440" s="4"/>
      <c r="O440" s="4"/>
      <c r="P440" s="6">
        <f>IF(D440="","",SUBSTITUTE(SUBSTITUTE(SUBSTITUTE(SUBSTITUTE(SUBSTITUTE(SUBSTITUTE(SUBSTITUTE(TRIM(D440),".",""),"/",""),"-","")," ",""),"(",""),")",""),"+",""))</f>
      </c>
      <c r="Q440" s="6">
        <f>IF(P440="","",IF(LEN(P440)&lt;&gt;14,"ERRO: "&amp;LEN(P440)&amp;" dígitos",IF(NOT(ISNUMBER(VALUE(P440))),"ERRO: não numérico",IF(LEN(SUBSTITUTE(P440,LEFT(P440,1),""))=0,"ERRO: dígitos repetidos",IF(AND(VALUE(MID(P440,13,1))=IF(MOD(SUMPRODUCT(--MID(P440,{1,2,3,4,5,6,7,8,9,10,11,12},1),{5,4,3,2,9,8,7,6,5,4,3,2}),11)&lt;2,0,11-MOD(SUMPRODUCT(--MID(P440,{1,2,3,4,5,6,7,8,9,10,11,12},1),{5,4,3,2,9,8,7,6,5,4,3,2}),11)),VALUE(MID(P440,14,1))=IF(MOD(SUMPRODUCT(--MID(P440,{1,2,3,4,5,6,7,8,9,10,11,12,13},1),{6,5,4,3,2,9,8,7,6,5,4,3,2}),11)&lt;2,0,11-MOD(SUMPRODUCT(--MID(P440,{1,2,3,4,5,6,7,8,9,10,11,12,13},1),{6,5,4,3,2,9,8,7,6,5,4,3,2}),11))),"OK","ERRO: dígito verificador")))))</f>
      </c>
      <c r="R440" s="6">
        <f>IF(P440="","",IF(COUNTIF($P$2:$P$1001,P440)&gt;1,"DUPLICADO","OK"))</f>
      </c>
      <c r="S440" s="6">
        <f>IF(AND(J440="",K440=""),"vazio",IF(AND(OR(J440="",LEN(SUBSTITUTE(SUBSTITUTE(SUBSTITUTE(SUBSTITUTE(SUBSTITUTE(SUBSTITUTE(SUBSTITUTE(TRIM(J440),".",""),"/",""),"-","")," ",""),"(",""),")",""),"+",""))=10,LEN(SUBSTITUTE(SUBSTITUTE(SUBSTITUTE(SUBSTITUTE(SUBSTITUTE(SUBSTITUTE(SUBSTITUTE(TRIM(J440),".",""),"/",""),"-","")," ",""),"(",""),")",""),"+",""))=11),OR(K440="",LEN(SUBSTITUTE(SUBSTITUTE(SUBSTITUTE(SUBSTITUTE(SUBSTITUTE(SUBSTITUTE(SUBSTITUTE(TRIM(K440),".",""),"/",""),"-","")," ",""),"(",""),")",""),"+",""))=10,LEN(SUBSTITUTE(SUBSTITUTE(SUBSTITUTE(SUBSTITUTE(SUBSTITUTE(SUBSTITUTE(SUBSTITUTE(TRIM(K440),".",""),"/",""),"-","")," ",""),"(",""),")",""),"+",""))=11)),"OK","ERRO: use DDD + número (10 ou 11 dígitos)"))</f>
      </c>
      <c r="T440" s="6">
        <f>IF(L440="","vazio",IF(AND(ISNUMBER(FIND("@",L440)),ISNUMBER(FIND(".",MID(L440,FIND("@",L440),99))),NOT(ISNUMBER(FIND(" ",TRIM(L440)))),NOT(ISNUMBER(FIND(";",L440))),NOT(ISNUMBER(FIND(",",L440)))),"OK","ERRO: um e-mail válido por linha"))</f>
      </c>
      <c r="U440" s="6">
        <f>IF(COUNTA(A440:O440)=0,"",IF(AND(B440&lt;&gt;"",C440&lt;&gt;"",D440&lt;&gt;"",E440&lt;&gt;"",H440&lt;&gt;"",OR(J440&lt;&gt;"",L440&lt;&gt;"")),"OK","ERRO: faltam "&amp;IF(B440="","Proprietário; ","")&amp;IF(C440="","Origem; ","")&amp;IF(D440="","CNPJ; ","")&amp;IF(E440="","Razão Social; ","")&amp;IF(H440="","Sobrenome; ","")&amp;IF(AND(J440="",L440=""),"telefone ou e-mail; ","")))</f>
      </c>
      <c r="V440" s="6">
        <f>IF(COUNTA(A440:O440)=0,"",IF(AND(Q440="OK",R440="OK",LEFT(S440,4)&lt;&gt;"ERRO",LEFT(T440,4)&lt;&gt;"ERRO",U440="OK"),"OK","REVISAR"))</f>
      </c>
    </row>
    <row r="441">
      <c r="A441" s="4"/>
      <c r="B441" s="5"/>
      <c r="C441" s="5"/>
      <c r="D441" s="5"/>
      <c r="E441" s="5"/>
      <c r="F441" s="4"/>
      <c r="G441" s="4"/>
      <c r="H441" s="5"/>
      <c r="I441" s="4"/>
      <c r="J441" s="4"/>
      <c r="K441" s="4"/>
      <c r="L441" s="4"/>
      <c r="M441" s="4"/>
      <c r="N441" s="4"/>
      <c r="O441" s="4"/>
      <c r="P441" s="6">
        <f>IF(D441="","",SUBSTITUTE(SUBSTITUTE(SUBSTITUTE(SUBSTITUTE(SUBSTITUTE(SUBSTITUTE(SUBSTITUTE(TRIM(D441),".",""),"/",""),"-","")," ",""),"(",""),")",""),"+",""))</f>
      </c>
      <c r="Q441" s="6">
        <f>IF(P441="","",IF(LEN(P441)&lt;&gt;14,"ERRO: "&amp;LEN(P441)&amp;" dígitos",IF(NOT(ISNUMBER(VALUE(P441))),"ERRO: não numérico",IF(LEN(SUBSTITUTE(P441,LEFT(P441,1),""))=0,"ERRO: dígitos repetidos",IF(AND(VALUE(MID(P441,13,1))=IF(MOD(SUMPRODUCT(--MID(P441,{1,2,3,4,5,6,7,8,9,10,11,12},1),{5,4,3,2,9,8,7,6,5,4,3,2}),11)&lt;2,0,11-MOD(SUMPRODUCT(--MID(P441,{1,2,3,4,5,6,7,8,9,10,11,12},1),{5,4,3,2,9,8,7,6,5,4,3,2}),11)),VALUE(MID(P441,14,1))=IF(MOD(SUMPRODUCT(--MID(P441,{1,2,3,4,5,6,7,8,9,10,11,12,13},1),{6,5,4,3,2,9,8,7,6,5,4,3,2}),11)&lt;2,0,11-MOD(SUMPRODUCT(--MID(P441,{1,2,3,4,5,6,7,8,9,10,11,12,13},1),{6,5,4,3,2,9,8,7,6,5,4,3,2}),11))),"OK","ERRO: dígito verificador")))))</f>
      </c>
      <c r="R441" s="6">
        <f>IF(P441="","",IF(COUNTIF($P$2:$P$1001,P441)&gt;1,"DUPLICADO","OK"))</f>
      </c>
      <c r="S441" s="6">
        <f>IF(AND(J441="",K441=""),"vazio",IF(AND(OR(J441="",LEN(SUBSTITUTE(SUBSTITUTE(SUBSTITUTE(SUBSTITUTE(SUBSTITUTE(SUBSTITUTE(SUBSTITUTE(TRIM(J441),".",""),"/",""),"-","")," ",""),"(",""),")",""),"+",""))=10,LEN(SUBSTITUTE(SUBSTITUTE(SUBSTITUTE(SUBSTITUTE(SUBSTITUTE(SUBSTITUTE(SUBSTITUTE(TRIM(J441),".",""),"/",""),"-","")," ",""),"(",""),")",""),"+",""))=11),OR(K441="",LEN(SUBSTITUTE(SUBSTITUTE(SUBSTITUTE(SUBSTITUTE(SUBSTITUTE(SUBSTITUTE(SUBSTITUTE(TRIM(K441),".",""),"/",""),"-","")," ",""),"(",""),")",""),"+",""))=10,LEN(SUBSTITUTE(SUBSTITUTE(SUBSTITUTE(SUBSTITUTE(SUBSTITUTE(SUBSTITUTE(SUBSTITUTE(TRIM(K441),".",""),"/",""),"-","")," ",""),"(",""),")",""),"+",""))=11)),"OK","ERRO: use DDD + número (10 ou 11 dígitos)"))</f>
      </c>
      <c r="T441" s="6">
        <f>IF(L441="","vazio",IF(AND(ISNUMBER(FIND("@",L441)),ISNUMBER(FIND(".",MID(L441,FIND("@",L441),99))),NOT(ISNUMBER(FIND(" ",TRIM(L441)))),NOT(ISNUMBER(FIND(";",L441))),NOT(ISNUMBER(FIND(",",L441)))),"OK","ERRO: um e-mail válido por linha"))</f>
      </c>
      <c r="U441" s="6">
        <f>IF(COUNTA(A441:O441)=0,"",IF(AND(B441&lt;&gt;"",C441&lt;&gt;"",D441&lt;&gt;"",E441&lt;&gt;"",H441&lt;&gt;"",OR(J441&lt;&gt;"",L441&lt;&gt;"")),"OK","ERRO: faltam "&amp;IF(B441="","Proprietário; ","")&amp;IF(C441="","Origem; ","")&amp;IF(D441="","CNPJ; ","")&amp;IF(E441="","Razão Social; ","")&amp;IF(H441="","Sobrenome; ","")&amp;IF(AND(J441="",L441=""),"telefone ou e-mail; ","")))</f>
      </c>
      <c r="V441" s="6">
        <f>IF(COUNTA(A441:O441)=0,"",IF(AND(Q441="OK",R441="OK",LEFT(S441,4)&lt;&gt;"ERRO",LEFT(T441,4)&lt;&gt;"ERRO",U441="OK"),"OK","REVISAR"))</f>
      </c>
    </row>
    <row r="442">
      <c r="A442" s="4"/>
      <c r="B442" s="5"/>
      <c r="C442" s="5"/>
      <c r="D442" s="5"/>
      <c r="E442" s="5"/>
      <c r="F442" s="4"/>
      <c r="G442" s="4"/>
      <c r="H442" s="5"/>
      <c r="I442" s="4"/>
      <c r="J442" s="4"/>
      <c r="K442" s="4"/>
      <c r="L442" s="4"/>
      <c r="M442" s="4"/>
      <c r="N442" s="4"/>
      <c r="O442" s="4"/>
      <c r="P442" s="6">
        <f>IF(D442="","",SUBSTITUTE(SUBSTITUTE(SUBSTITUTE(SUBSTITUTE(SUBSTITUTE(SUBSTITUTE(SUBSTITUTE(TRIM(D442),".",""),"/",""),"-","")," ",""),"(",""),")",""),"+",""))</f>
      </c>
      <c r="Q442" s="6">
        <f>IF(P442="","",IF(LEN(P442)&lt;&gt;14,"ERRO: "&amp;LEN(P442)&amp;" dígitos",IF(NOT(ISNUMBER(VALUE(P442))),"ERRO: não numérico",IF(LEN(SUBSTITUTE(P442,LEFT(P442,1),""))=0,"ERRO: dígitos repetidos",IF(AND(VALUE(MID(P442,13,1))=IF(MOD(SUMPRODUCT(--MID(P442,{1,2,3,4,5,6,7,8,9,10,11,12},1),{5,4,3,2,9,8,7,6,5,4,3,2}),11)&lt;2,0,11-MOD(SUMPRODUCT(--MID(P442,{1,2,3,4,5,6,7,8,9,10,11,12},1),{5,4,3,2,9,8,7,6,5,4,3,2}),11)),VALUE(MID(P442,14,1))=IF(MOD(SUMPRODUCT(--MID(P442,{1,2,3,4,5,6,7,8,9,10,11,12,13},1),{6,5,4,3,2,9,8,7,6,5,4,3,2}),11)&lt;2,0,11-MOD(SUMPRODUCT(--MID(P442,{1,2,3,4,5,6,7,8,9,10,11,12,13},1),{6,5,4,3,2,9,8,7,6,5,4,3,2}),11))),"OK","ERRO: dígito verificador")))))</f>
      </c>
      <c r="R442" s="6">
        <f>IF(P442="","",IF(COUNTIF($P$2:$P$1001,P442)&gt;1,"DUPLICADO","OK"))</f>
      </c>
      <c r="S442" s="6">
        <f>IF(AND(J442="",K442=""),"vazio",IF(AND(OR(J442="",LEN(SUBSTITUTE(SUBSTITUTE(SUBSTITUTE(SUBSTITUTE(SUBSTITUTE(SUBSTITUTE(SUBSTITUTE(TRIM(J442),".",""),"/",""),"-","")," ",""),"(",""),")",""),"+",""))=10,LEN(SUBSTITUTE(SUBSTITUTE(SUBSTITUTE(SUBSTITUTE(SUBSTITUTE(SUBSTITUTE(SUBSTITUTE(TRIM(J442),".",""),"/",""),"-","")," ",""),"(",""),")",""),"+",""))=11),OR(K442="",LEN(SUBSTITUTE(SUBSTITUTE(SUBSTITUTE(SUBSTITUTE(SUBSTITUTE(SUBSTITUTE(SUBSTITUTE(TRIM(K442),".",""),"/",""),"-","")," ",""),"(",""),")",""),"+",""))=10,LEN(SUBSTITUTE(SUBSTITUTE(SUBSTITUTE(SUBSTITUTE(SUBSTITUTE(SUBSTITUTE(SUBSTITUTE(TRIM(K442),".",""),"/",""),"-","")," ",""),"(",""),")",""),"+",""))=11)),"OK","ERRO: use DDD + número (10 ou 11 dígitos)"))</f>
      </c>
      <c r="T442" s="6">
        <f>IF(L442="","vazio",IF(AND(ISNUMBER(FIND("@",L442)),ISNUMBER(FIND(".",MID(L442,FIND("@",L442),99))),NOT(ISNUMBER(FIND(" ",TRIM(L442)))),NOT(ISNUMBER(FIND(";",L442))),NOT(ISNUMBER(FIND(",",L442)))),"OK","ERRO: um e-mail válido por linha"))</f>
      </c>
      <c r="U442" s="6">
        <f>IF(COUNTA(A442:O442)=0,"",IF(AND(B442&lt;&gt;"",C442&lt;&gt;"",D442&lt;&gt;"",E442&lt;&gt;"",H442&lt;&gt;"",OR(J442&lt;&gt;"",L442&lt;&gt;"")),"OK","ERRO: faltam "&amp;IF(B442="","Proprietário; ","")&amp;IF(C442="","Origem; ","")&amp;IF(D442="","CNPJ; ","")&amp;IF(E442="","Razão Social; ","")&amp;IF(H442="","Sobrenome; ","")&amp;IF(AND(J442="",L442=""),"telefone ou e-mail; ","")))</f>
      </c>
      <c r="V442" s="6">
        <f>IF(COUNTA(A442:O442)=0,"",IF(AND(Q442="OK",R442="OK",LEFT(S442,4)&lt;&gt;"ERRO",LEFT(T442,4)&lt;&gt;"ERRO",U442="OK"),"OK","REVISAR"))</f>
      </c>
    </row>
    <row r="443">
      <c r="A443" s="4"/>
      <c r="B443" s="5"/>
      <c r="C443" s="5"/>
      <c r="D443" s="5"/>
      <c r="E443" s="5"/>
      <c r="F443" s="4"/>
      <c r="G443" s="4"/>
      <c r="H443" s="5"/>
      <c r="I443" s="4"/>
      <c r="J443" s="4"/>
      <c r="K443" s="4"/>
      <c r="L443" s="4"/>
      <c r="M443" s="4"/>
      <c r="N443" s="4"/>
      <c r="O443" s="4"/>
      <c r="P443" s="6">
        <f>IF(D443="","",SUBSTITUTE(SUBSTITUTE(SUBSTITUTE(SUBSTITUTE(SUBSTITUTE(SUBSTITUTE(SUBSTITUTE(TRIM(D443),".",""),"/",""),"-","")," ",""),"(",""),")",""),"+",""))</f>
      </c>
      <c r="Q443" s="6">
        <f>IF(P443="","",IF(LEN(P443)&lt;&gt;14,"ERRO: "&amp;LEN(P443)&amp;" dígitos",IF(NOT(ISNUMBER(VALUE(P443))),"ERRO: não numérico",IF(LEN(SUBSTITUTE(P443,LEFT(P443,1),""))=0,"ERRO: dígitos repetidos",IF(AND(VALUE(MID(P443,13,1))=IF(MOD(SUMPRODUCT(--MID(P443,{1,2,3,4,5,6,7,8,9,10,11,12},1),{5,4,3,2,9,8,7,6,5,4,3,2}),11)&lt;2,0,11-MOD(SUMPRODUCT(--MID(P443,{1,2,3,4,5,6,7,8,9,10,11,12},1),{5,4,3,2,9,8,7,6,5,4,3,2}),11)),VALUE(MID(P443,14,1))=IF(MOD(SUMPRODUCT(--MID(P443,{1,2,3,4,5,6,7,8,9,10,11,12,13},1),{6,5,4,3,2,9,8,7,6,5,4,3,2}),11)&lt;2,0,11-MOD(SUMPRODUCT(--MID(P443,{1,2,3,4,5,6,7,8,9,10,11,12,13},1),{6,5,4,3,2,9,8,7,6,5,4,3,2}),11))),"OK","ERRO: dígito verificador")))))</f>
      </c>
      <c r="R443" s="6">
        <f>IF(P443="","",IF(COUNTIF($P$2:$P$1001,P443)&gt;1,"DUPLICADO","OK"))</f>
      </c>
      <c r="S443" s="6">
        <f>IF(AND(J443="",K443=""),"vazio",IF(AND(OR(J443="",LEN(SUBSTITUTE(SUBSTITUTE(SUBSTITUTE(SUBSTITUTE(SUBSTITUTE(SUBSTITUTE(SUBSTITUTE(TRIM(J443),".",""),"/",""),"-","")," ",""),"(",""),")",""),"+",""))=10,LEN(SUBSTITUTE(SUBSTITUTE(SUBSTITUTE(SUBSTITUTE(SUBSTITUTE(SUBSTITUTE(SUBSTITUTE(TRIM(J443),".",""),"/",""),"-","")," ",""),"(",""),")",""),"+",""))=11),OR(K443="",LEN(SUBSTITUTE(SUBSTITUTE(SUBSTITUTE(SUBSTITUTE(SUBSTITUTE(SUBSTITUTE(SUBSTITUTE(TRIM(K443),".",""),"/",""),"-","")," ",""),"(",""),")",""),"+",""))=10,LEN(SUBSTITUTE(SUBSTITUTE(SUBSTITUTE(SUBSTITUTE(SUBSTITUTE(SUBSTITUTE(SUBSTITUTE(TRIM(K443),".",""),"/",""),"-","")," ",""),"(",""),")",""),"+",""))=11)),"OK","ERRO: use DDD + número (10 ou 11 dígitos)"))</f>
      </c>
      <c r="T443" s="6">
        <f>IF(L443="","vazio",IF(AND(ISNUMBER(FIND("@",L443)),ISNUMBER(FIND(".",MID(L443,FIND("@",L443),99))),NOT(ISNUMBER(FIND(" ",TRIM(L443)))),NOT(ISNUMBER(FIND(";",L443))),NOT(ISNUMBER(FIND(",",L443)))),"OK","ERRO: um e-mail válido por linha"))</f>
      </c>
      <c r="U443" s="6">
        <f>IF(COUNTA(A443:O443)=0,"",IF(AND(B443&lt;&gt;"",C443&lt;&gt;"",D443&lt;&gt;"",E443&lt;&gt;"",H443&lt;&gt;"",OR(J443&lt;&gt;"",L443&lt;&gt;"")),"OK","ERRO: faltam "&amp;IF(B443="","Proprietário; ","")&amp;IF(C443="","Origem; ","")&amp;IF(D443="","CNPJ; ","")&amp;IF(E443="","Razão Social; ","")&amp;IF(H443="","Sobrenome; ","")&amp;IF(AND(J443="",L443=""),"telefone ou e-mail; ","")))</f>
      </c>
      <c r="V443" s="6">
        <f>IF(COUNTA(A443:O443)=0,"",IF(AND(Q443="OK",R443="OK",LEFT(S443,4)&lt;&gt;"ERRO",LEFT(T443,4)&lt;&gt;"ERRO",U443="OK"),"OK","REVISAR"))</f>
      </c>
    </row>
    <row r="444">
      <c r="A444" s="4"/>
      <c r="B444" s="5"/>
      <c r="C444" s="5"/>
      <c r="D444" s="5"/>
      <c r="E444" s="5"/>
      <c r="F444" s="4"/>
      <c r="G444" s="4"/>
      <c r="H444" s="5"/>
      <c r="I444" s="4"/>
      <c r="J444" s="4"/>
      <c r="K444" s="4"/>
      <c r="L444" s="4"/>
      <c r="M444" s="4"/>
      <c r="N444" s="4"/>
      <c r="O444" s="4"/>
      <c r="P444" s="6">
        <f>IF(D444="","",SUBSTITUTE(SUBSTITUTE(SUBSTITUTE(SUBSTITUTE(SUBSTITUTE(SUBSTITUTE(SUBSTITUTE(TRIM(D444),".",""),"/",""),"-","")," ",""),"(",""),")",""),"+",""))</f>
      </c>
      <c r="Q444" s="6">
        <f>IF(P444="","",IF(LEN(P444)&lt;&gt;14,"ERRO: "&amp;LEN(P444)&amp;" dígitos",IF(NOT(ISNUMBER(VALUE(P444))),"ERRO: não numérico",IF(LEN(SUBSTITUTE(P444,LEFT(P444,1),""))=0,"ERRO: dígitos repetidos",IF(AND(VALUE(MID(P444,13,1))=IF(MOD(SUMPRODUCT(--MID(P444,{1,2,3,4,5,6,7,8,9,10,11,12},1),{5,4,3,2,9,8,7,6,5,4,3,2}),11)&lt;2,0,11-MOD(SUMPRODUCT(--MID(P444,{1,2,3,4,5,6,7,8,9,10,11,12},1),{5,4,3,2,9,8,7,6,5,4,3,2}),11)),VALUE(MID(P444,14,1))=IF(MOD(SUMPRODUCT(--MID(P444,{1,2,3,4,5,6,7,8,9,10,11,12,13},1),{6,5,4,3,2,9,8,7,6,5,4,3,2}),11)&lt;2,0,11-MOD(SUMPRODUCT(--MID(P444,{1,2,3,4,5,6,7,8,9,10,11,12,13},1),{6,5,4,3,2,9,8,7,6,5,4,3,2}),11))),"OK","ERRO: dígito verificador")))))</f>
      </c>
      <c r="R444" s="6">
        <f>IF(P444="","",IF(COUNTIF($P$2:$P$1001,P444)&gt;1,"DUPLICADO","OK"))</f>
      </c>
      <c r="S444" s="6">
        <f>IF(AND(J444="",K444=""),"vazio",IF(AND(OR(J444="",LEN(SUBSTITUTE(SUBSTITUTE(SUBSTITUTE(SUBSTITUTE(SUBSTITUTE(SUBSTITUTE(SUBSTITUTE(TRIM(J444),".",""),"/",""),"-","")," ",""),"(",""),")",""),"+",""))=10,LEN(SUBSTITUTE(SUBSTITUTE(SUBSTITUTE(SUBSTITUTE(SUBSTITUTE(SUBSTITUTE(SUBSTITUTE(TRIM(J444),".",""),"/",""),"-","")," ",""),"(",""),")",""),"+",""))=11),OR(K444="",LEN(SUBSTITUTE(SUBSTITUTE(SUBSTITUTE(SUBSTITUTE(SUBSTITUTE(SUBSTITUTE(SUBSTITUTE(TRIM(K444),".",""),"/",""),"-","")," ",""),"(",""),")",""),"+",""))=10,LEN(SUBSTITUTE(SUBSTITUTE(SUBSTITUTE(SUBSTITUTE(SUBSTITUTE(SUBSTITUTE(SUBSTITUTE(TRIM(K444),".",""),"/",""),"-","")," ",""),"(",""),")",""),"+",""))=11)),"OK","ERRO: use DDD + número (10 ou 11 dígitos)"))</f>
      </c>
      <c r="T444" s="6">
        <f>IF(L444="","vazio",IF(AND(ISNUMBER(FIND("@",L444)),ISNUMBER(FIND(".",MID(L444,FIND("@",L444),99))),NOT(ISNUMBER(FIND(" ",TRIM(L444)))),NOT(ISNUMBER(FIND(";",L444))),NOT(ISNUMBER(FIND(",",L444)))),"OK","ERRO: um e-mail válido por linha"))</f>
      </c>
      <c r="U444" s="6">
        <f>IF(COUNTA(A444:O444)=0,"",IF(AND(B444&lt;&gt;"",C444&lt;&gt;"",D444&lt;&gt;"",E444&lt;&gt;"",H444&lt;&gt;"",OR(J444&lt;&gt;"",L444&lt;&gt;"")),"OK","ERRO: faltam "&amp;IF(B444="","Proprietário; ","")&amp;IF(C444="","Origem; ","")&amp;IF(D444="","CNPJ; ","")&amp;IF(E444="","Razão Social; ","")&amp;IF(H444="","Sobrenome; ","")&amp;IF(AND(J444="",L444=""),"telefone ou e-mail; ","")))</f>
      </c>
      <c r="V444" s="6">
        <f>IF(COUNTA(A444:O444)=0,"",IF(AND(Q444="OK",R444="OK",LEFT(S444,4)&lt;&gt;"ERRO",LEFT(T444,4)&lt;&gt;"ERRO",U444="OK"),"OK","REVISAR"))</f>
      </c>
    </row>
    <row r="445">
      <c r="A445" s="4"/>
      <c r="B445" s="5"/>
      <c r="C445" s="5"/>
      <c r="D445" s="5"/>
      <c r="E445" s="5"/>
      <c r="F445" s="4"/>
      <c r="G445" s="4"/>
      <c r="H445" s="5"/>
      <c r="I445" s="4"/>
      <c r="J445" s="4"/>
      <c r="K445" s="4"/>
      <c r="L445" s="4"/>
      <c r="M445" s="4"/>
      <c r="N445" s="4"/>
      <c r="O445" s="4"/>
      <c r="P445" s="6">
        <f>IF(D445="","",SUBSTITUTE(SUBSTITUTE(SUBSTITUTE(SUBSTITUTE(SUBSTITUTE(SUBSTITUTE(SUBSTITUTE(TRIM(D445),".",""),"/",""),"-","")," ",""),"(",""),")",""),"+",""))</f>
      </c>
      <c r="Q445" s="6">
        <f>IF(P445="","",IF(LEN(P445)&lt;&gt;14,"ERRO: "&amp;LEN(P445)&amp;" dígitos",IF(NOT(ISNUMBER(VALUE(P445))),"ERRO: não numérico",IF(LEN(SUBSTITUTE(P445,LEFT(P445,1),""))=0,"ERRO: dígitos repetidos",IF(AND(VALUE(MID(P445,13,1))=IF(MOD(SUMPRODUCT(--MID(P445,{1,2,3,4,5,6,7,8,9,10,11,12},1),{5,4,3,2,9,8,7,6,5,4,3,2}),11)&lt;2,0,11-MOD(SUMPRODUCT(--MID(P445,{1,2,3,4,5,6,7,8,9,10,11,12},1),{5,4,3,2,9,8,7,6,5,4,3,2}),11)),VALUE(MID(P445,14,1))=IF(MOD(SUMPRODUCT(--MID(P445,{1,2,3,4,5,6,7,8,9,10,11,12,13},1),{6,5,4,3,2,9,8,7,6,5,4,3,2}),11)&lt;2,0,11-MOD(SUMPRODUCT(--MID(P445,{1,2,3,4,5,6,7,8,9,10,11,12,13},1),{6,5,4,3,2,9,8,7,6,5,4,3,2}),11))),"OK","ERRO: dígito verificador")))))</f>
      </c>
      <c r="R445" s="6">
        <f>IF(P445="","",IF(COUNTIF($P$2:$P$1001,P445)&gt;1,"DUPLICADO","OK"))</f>
      </c>
      <c r="S445" s="6">
        <f>IF(AND(J445="",K445=""),"vazio",IF(AND(OR(J445="",LEN(SUBSTITUTE(SUBSTITUTE(SUBSTITUTE(SUBSTITUTE(SUBSTITUTE(SUBSTITUTE(SUBSTITUTE(TRIM(J445),".",""),"/",""),"-","")," ",""),"(",""),")",""),"+",""))=10,LEN(SUBSTITUTE(SUBSTITUTE(SUBSTITUTE(SUBSTITUTE(SUBSTITUTE(SUBSTITUTE(SUBSTITUTE(TRIM(J445),".",""),"/",""),"-","")," ",""),"(",""),")",""),"+",""))=11),OR(K445="",LEN(SUBSTITUTE(SUBSTITUTE(SUBSTITUTE(SUBSTITUTE(SUBSTITUTE(SUBSTITUTE(SUBSTITUTE(TRIM(K445),".",""),"/",""),"-","")," ",""),"(",""),")",""),"+",""))=10,LEN(SUBSTITUTE(SUBSTITUTE(SUBSTITUTE(SUBSTITUTE(SUBSTITUTE(SUBSTITUTE(SUBSTITUTE(TRIM(K445),".",""),"/",""),"-","")," ",""),"(",""),")",""),"+",""))=11)),"OK","ERRO: use DDD + número (10 ou 11 dígitos)"))</f>
      </c>
      <c r="T445" s="6">
        <f>IF(L445="","vazio",IF(AND(ISNUMBER(FIND("@",L445)),ISNUMBER(FIND(".",MID(L445,FIND("@",L445),99))),NOT(ISNUMBER(FIND(" ",TRIM(L445)))),NOT(ISNUMBER(FIND(";",L445))),NOT(ISNUMBER(FIND(",",L445)))),"OK","ERRO: um e-mail válido por linha"))</f>
      </c>
      <c r="U445" s="6">
        <f>IF(COUNTA(A445:O445)=0,"",IF(AND(B445&lt;&gt;"",C445&lt;&gt;"",D445&lt;&gt;"",E445&lt;&gt;"",H445&lt;&gt;"",OR(J445&lt;&gt;"",L445&lt;&gt;"")),"OK","ERRO: faltam "&amp;IF(B445="","Proprietário; ","")&amp;IF(C445="","Origem; ","")&amp;IF(D445="","CNPJ; ","")&amp;IF(E445="","Razão Social; ","")&amp;IF(H445="","Sobrenome; ","")&amp;IF(AND(J445="",L445=""),"telefone ou e-mail; ","")))</f>
      </c>
      <c r="V445" s="6">
        <f>IF(COUNTA(A445:O445)=0,"",IF(AND(Q445="OK",R445="OK",LEFT(S445,4)&lt;&gt;"ERRO",LEFT(T445,4)&lt;&gt;"ERRO",U445="OK"),"OK","REVISAR"))</f>
      </c>
    </row>
    <row r="446">
      <c r="A446" s="4"/>
      <c r="B446" s="5"/>
      <c r="C446" s="5"/>
      <c r="D446" s="5"/>
      <c r="E446" s="5"/>
      <c r="F446" s="4"/>
      <c r="G446" s="4"/>
      <c r="H446" s="5"/>
      <c r="I446" s="4"/>
      <c r="J446" s="4"/>
      <c r="K446" s="4"/>
      <c r="L446" s="4"/>
      <c r="M446" s="4"/>
      <c r="N446" s="4"/>
      <c r="O446" s="4"/>
      <c r="P446" s="6">
        <f>IF(D446="","",SUBSTITUTE(SUBSTITUTE(SUBSTITUTE(SUBSTITUTE(SUBSTITUTE(SUBSTITUTE(SUBSTITUTE(TRIM(D446),".",""),"/",""),"-","")," ",""),"(",""),")",""),"+",""))</f>
      </c>
      <c r="Q446" s="6">
        <f>IF(P446="","",IF(LEN(P446)&lt;&gt;14,"ERRO: "&amp;LEN(P446)&amp;" dígitos",IF(NOT(ISNUMBER(VALUE(P446))),"ERRO: não numérico",IF(LEN(SUBSTITUTE(P446,LEFT(P446,1),""))=0,"ERRO: dígitos repetidos",IF(AND(VALUE(MID(P446,13,1))=IF(MOD(SUMPRODUCT(--MID(P446,{1,2,3,4,5,6,7,8,9,10,11,12},1),{5,4,3,2,9,8,7,6,5,4,3,2}),11)&lt;2,0,11-MOD(SUMPRODUCT(--MID(P446,{1,2,3,4,5,6,7,8,9,10,11,12},1),{5,4,3,2,9,8,7,6,5,4,3,2}),11)),VALUE(MID(P446,14,1))=IF(MOD(SUMPRODUCT(--MID(P446,{1,2,3,4,5,6,7,8,9,10,11,12,13},1),{6,5,4,3,2,9,8,7,6,5,4,3,2}),11)&lt;2,0,11-MOD(SUMPRODUCT(--MID(P446,{1,2,3,4,5,6,7,8,9,10,11,12,13},1),{6,5,4,3,2,9,8,7,6,5,4,3,2}),11))),"OK","ERRO: dígito verificador")))))</f>
      </c>
      <c r="R446" s="6">
        <f>IF(P446="","",IF(COUNTIF($P$2:$P$1001,P446)&gt;1,"DUPLICADO","OK"))</f>
      </c>
      <c r="S446" s="6">
        <f>IF(AND(J446="",K446=""),"vazio",IF(AND(OR(J446="",LEN(SUBSTITUTE(SUBSTITUTE(SUBSTITUTE(SUBSTITUTE(SUBSTITUTE(SUBSTITUTE(SUBSTITUTE(TRIM(J446),".",""),"/",""),"-","")," ",""),"(",""),")",""),"+",""))=10,LEN(SUBSTITUTE(SUBSTITUTE(SUBSTITUTE(SUBSTITUTE(SUBSTITUTE(SUBSTITUTE(SUBSTITUTE(TRIM(J446),".",""),"/",""),"-","")," ",""),"(",""),")",""),"+",""))=11),OR(K446="",LEN(SUBSTITUTE(SUBSTITUTE(SUBSTITUTE(SUBSTITUTE(SUBSTITUTE(SUBSTITUTE(SUBSTITUTE(TRIM(K446),".",""),"/",""),"-","")," ",""),"(",""),")",""),"+",""))=10,LEN(SUBSTITUTE(SUBSTITUTE(SUBSTITUTE(SUBSTITUTE(SUBSTITUTE(SUBSTITUTE(SUBSTITUTE(TRIM(K446),".",""),"/",""),"-","")," ",""),"(",""),")",""),"+",""))=11)),"OK","ERRO: use DDD + número (10 ou 11 dígitos)"))</f>
      </c>
      <c r="T446" s="6">
        <f>IF(L446="","vazio",IF(AND(ISNUMBER(FIND("@",L446)),ISNUMBER(FIND(".",MID(L446,FIND("@",L446),99))),NOT(ISNUMBER(FIND(" ",TRIM(L446)))),NOT(ISNUMBER(FIND(";",L446))),NOT(ISNUMBER(FIND(",",L446)))),"OK","ERRO: um e-mail válido por linha"))</f>
      </c>
      <c r="U446" s="6">
        <f>IF(COUNTA(A446:O446)=0,"",IF(AND(B446&lt;&gt;"",C446&lt;&gt;"",D446&lt;&gt;"",E446&lt;&gt;"",H446&lt;&gt;"",OR(J446&lt;&gt;"",L446&lt;&gt;"")),"OK","ERRO: faltam "&amp;IF(B446="","Proprietário; ","")&amp;IF(C446="","Origem; ","")&amp;IF(D446="","CNPJ; ","")&amp;IF(E446="","Razão Social; ","")&amp;IF(H446="","Sobrenome; ","")&amp;IF(AND(J446="",L446=""),"telefone ou e-mail; ","")))</f>
      </c>
      <c r="V446" s="6">
        <f>IF(COUNTA(A446:O446)=0,"",IF(AND(Q446="OK",R446="OK",LEFT(S446,4)&lt;&gt;"ERRO",LEFT(T446,4)&lt;&gt;"ERRO",U446="OK"),"OK","REVISAR"))</f>
      </c>
    </row>
    <row r="447">
      <c r="A447" s="4"/>
      <c r="B447" s="5"/>
      <c r="C447" s="5"/>
      <c r="D447" s="5"/>
      <c r="E447" s="5"/>
      <c r="F447" s="4"/>
      <c r="G447" s="4"/>
      <c r="H447" s="5"/>
      <c r="I447" s="4"/>
      <c r="J447" s="4"/>
      <c r="K447" s="4"/>
      <c r="L447" s="4"/>
      <c r="M447" s="4"/>
      <c r="N447" s="4"/>
      <c r="O447" s="4"/>
      <c r="P447" s="6">
        <f>IF(D447="","",SUBSTITUTE(SUBSTITUTE(SUBSTITUTE(SUBSTITUTE(SUBSTITUTE(SUBSTITUTE(SUBSTITUTE(TRIM(D447),".",""),"/",""),"-","")," ",""),"(",""),")",""),"+",""))</f>
      </c>
      <c r="Q447" s="6">
        <f>IF(P447="","",IF(LEN(P447)&lt;&gt;14,"ERRO: "&amp;LEN(P447)&amp;" dígitos",IF(NOT(ISNUMBER(VALUE(P447))),"ERRO: não numérico",IF(LEN(SUBSTITUTE(P447,LEFT(P447,1),""))=0,"ERRO: dígitos repetidos",IF(AND(VALUE(MID(P447,13,1))=IF(MOD(SUMPRODUCT(--MID(P447,{1,2,3,4,5,6,7,8,9,10,11,12},1),{5,4,3,2,9,8,7,6,5,4,3,2}),11)&lt;2,0,11-MOD(SUMPRODUCT(--MID(P447,{1,2,3,4,5,6,7,8,9,10,11,12},1),{5,4,3,2,9,8,7,6,5,4,3,2}),11)),VALUE(MID(P447,14,1))=IF(MOD(SUMPRODUCT(--MID(P447,{1,2,3,4,5,6,7,8,9,10,11,12,13},1),{6,5,4,3,2,9,8,7,6,5,4,3,2}),11)&lt;2,0,11-MOD(SUMPRODUCT(--MID(P447,{1,2,3,4,5,6,7,8,9,10,11,12,13},1),{6,5,4,3,2,9,8,7,6,5,4,3,2}),11))),"OK","ERRO: dígito verificador")))))</f>
      </c>
      <c r="R447" s="6">
        <f>IF(P447="","",IF(COUNTIF($P$2:$P$1001,P447)&gt;1,"DUPLICADO","OK"))</f>
      </c>
      <c r="S447" s="6">
        <f>IF(AND(J447="",K447=""),"vazio",IF(AND(OR(J447="",LEN(SUBSTITUTE(SUBSTITUTE(SUBSTITUTE(SUBSTITUTE(SUBSTITUTE(SUBSTITUTE(SUBSTITUTE(TRIM(J447),".",""),"/",""),"-","")," ",""),"(",""),")",""),"+",""))=10,LEN(SUBSTITUTE(SUBSTITUTE(SUBSTITUTE(SUBSTITUTE(SUBSTITUTE(SUBSTITUTE(SUBSTITUTE(TRIM(J447),".",""),"/",""),"-","")," ",""),"(",""),")",""),"+",""))=11),OR(K447="",LEN(SUBSTITUTE(SUBSTITUTE(SUBSTITUTE(SUBSTITUTE(SUBSTITUTE(SUBSTITUTE(SUBSTITUTE(TRIM(K447),".",""),"/",""),"-","")," ",""),"(",""),")",""),"+",""))=10,LEN(SUBSTITUTE(SUBSTITUTE(SUBSTITUTE(SUBSTITUTE(SUBSTITUTE(SUBSTITUTE(SUBSTITUTE(TRIM(K447),".",""),"/",""),"-","")," ",""),"(",""),")",""),"+",""))=11)),"OK","ERRO: use DDD + número (10 ou 11 dígitos)"))</f>
      </c>
      <c r="T447" s="6">
        <f>IF(L447="","vazio",IF(AND(ISNUMBER(FIND("@",L447)),ISNUMBER(FIND(".",MID(L447,FIND("@",L447),99))),NOT(ISNUMBER(FIND(" ",TRIM(L447)))),NOT(ISNUMBER(FIND(";",L447))),NOT(ISNUMBER(FIND(",",L447)))),"OK","ERRO: um e-mail válido por linha"))</f>
      </c>
      <c r="U447" s="6">
        <f>IF(COUNTA(A447:O447)=0,"",IF(AND(B447&lt;&gt;"",C447&lt;&gt;"",D447&lt;&gt;"",E447&lt;&gt;"",H447&lt;&gt;"",OR(J447&lt;&gt;"",L447&lt;&gt;"")),"OK","ERRO: faltam "&amp;IF(B447="","Proprietário; ","")&amp;IF(C447="","Origem; ","")&amp;IF(D447="","CNPJ; ","")&amp;IF(E447="","Razão Social; ","")&amp;IF(H447="","Sobrenome; ","")&amp;IF(AND(J447="",L447=""),"telefone ou e-mail; ","")))</f>
      </c>
      <c r="V447" s="6">
        <f>IF(COUNTA(A447:O447)=0,"",IF(AND(Q447="OK",R447="OK",LEFT(S447,4)&lt;&gt;"ERRO",LEFT(T447,4)&lt;&gt;"ERRO",U447="OK"),"OK","REVISAR"))</f>
      </c>
    </row>
    <row r="448">
      <c r="A448" s="4"/>
      <c r="B448" s="5"/>
      <c r="C448" s="5"/>
      <c r="D448" s="5"/>
      <c r="E448" s="5"/>
      <c r="F448" s="4"/>
      <c r="G448" s="4"/>
      <c r="H448" s="5"/>
      <c r="I448" s="4"/>
      <c r="J448" s="4"/>
      <c r="K448" s="4"/>
      <c r="L448" s="4"/>
      <c r="M448" s="4"/>
      <c r="N448" s="4"/>
      <c r="O448" s="4"/>
      <c r="P448" s="6">
        <f>IF(D448="","",SUBSTITUTE(SUBSTITUTE(SUBSTITUTE(SUBSTITUTE(SUBSTITUTE(SUBSTITUTE(SUBSTITUTE(TRIM(D448),".",""),"/",""),"-","")," ",""),"(",""),")",""),"+",""))</f>
      </c>
      <c r="Q448" s="6">
        <f>IF(P448="","",IF(LEN(P448)&lt;&gt;14,"ERRO: "&amp;LEN(P448)&amp;" dígitos",IF(NOT(ISNUMBER(VALUE(P448))),"ERRO: não numérico",IF(LEN(SUBSTITUTE(P448,LEFT(P448,1),""))=0,"ERRO: dígitos repetidos",IF(AND(VALUE(MID(P448,13,1))=IF(MOD(SUMPRODUCT(--MID(P448,{1,2,3,4,5,6,7,8,9,10,11,12},1),{5,4,3,2,9,8,7,6,5,4,3,2}),11)&lt;2,0,11-MOD(SUMPRODUCT(--MID(P448,{1,2,3,4,5,6,7,8,9,10,11,12},1),{5,4,3,2,9,8,7,6,5,4,3,2}),11)),VALUE(MID(P448,14,1))=IF(MOD(SUMPRODUCT(--MID(P448,{1,2,3,4,5,6,7,8,9,10,11,12,13},1),{6,5,4,3,2,9,8,7,6,5,4,3,2}),11)&lt;2,0,11-MOD(SUMPRODUCT(--MID(P448,{1,2,3,4,5,6,7,8,9,10,11,12,13},1),{6,5,4,3,2,9,8,7,6,5,4,3,2}),11))),"OK","ERRO: dígito verificador")))))</f>
      </c>
      <c r="R448" s="6">
        <f>IF(P448="","",IF(COUNTIF($P$2:$P$1001,P448)&gt;1,"DUPLICADO","OK"))</f>
      </c>
      <c r="S448" s="6">
        <f>IF(AND(J448="",K448=""),"vazio",IF(AND(OR(J448="",LEN(SUBSTITUTE(SUBSTITUTE(SUBSTITUTE(SUBSTITUTE(SUBSTITUTE(SUBSTITUTE(SUBSTITUTE(TRIM(J448),".",""),"/",""),"-","")," ",""),"(",""),")",""),"+",""))=10,LEN(SUBSTITUTE(SUBSTITUTE(SUBSTITUTE(SUBSTITUTE(SUBSTITUTE(SUBSTITUTE(SUBSTITUTE(TRIM(J448),".",""),"/",""),"-","")," ",""),"(",""),")",""),"+",""))=11),OR(K448="",LEN(SUBSTITUTE(SUBSTITUTE(SUBSTITUTE(SUBSTITUTE(SUBSTITUTE(SUBSTITUTE(SUBSTITUTE(TRIM(K448),".",""),"/",""),"-","")," ",""),"(",""),")",""),"+",""))=10,LEN(SUBSTITUTE(SUBSTITUTE(SUBSTITUTE(SUBSTITUTE(SUBSTITUTE(SUBSTITUTE(SUBSTITUTE(TRIM(K448),".",""),"/",""),"-","")," ",""),"(",""),")",""),"+",""))=11)),"OK","ERRO: use DDD + número (10 ou 11 dígitos)"))</f>
      </c>
      <c r="T448" s="6">
        <f>IF(L448="","vazio",IF(AND(ISNUMBER(FIND("@",L448)),ISNUMBER(FIND(".",MID(L448,FIND("@",L448),99))),NOT(ISNUMBER(FIND(" ",TRIM(L448)))),NOT(ISNUMBER(FIND(";",L448))),NOT(ISNUMBER(FIND(",",L448)))),"OK","ERRO: um e-mail válido por linha"))</f>
      </c>
      <c r="U448" s="6">
        <f>IF(COUNTA(A448:O448)=0,"",IF(AND(B448&lt;&gt;"",C448&lt;&gt;"",D448&lt;&gt;"",E448&lt;&gt;"",H448&lt;&gt;"",OR(J448&lt;&gt;"",L448&lt;&gt;"")),"OK","ERRO: faltam "&amp;IF(B448="","Proprietário; ","")&amp;IF(C448="","Origem; ","")&amp;IF(D448="","CNPJ; ","")&amp;IF(E448="","Razão Social; ","")&amp;IF(H448="","Sobrenome; ","")&amp;IF(AND(J448="",L448=""),"telefone ou e-mail; ","")))</f>
      </c>
      <c r="V448" s="6">
        <f>IF(COUNTA(A448:O448)=0,"",IF(AND(Q448="OK",R448="OK",LEFT(S448,4)&lt;&gt;"ERRO",LEFT(T448,4)&lt;&gt;"ERRO",U448="OK"),"OK","REVISAR"))</f>
      </c>
    </row>
    <row r="449">
      <c r="A449" s="4"/>
      <c r="B449" s="5"/>
      <c r="C449" s="5"/>
      <c r="D449" s="5"/>
      <c r="E449" s="5"/>
      <c r="F449" s="4"/>
      <c r="G449" s="4"/>
      <c r="H449" s="5"/>
      <c r="I449" s="4"/>
      <c r="J449" s="4"/>
      <c r="K449" s="4"/>
      <c r="L449" s="4"/>
      <c r="M449" s="4"/>
      <c r="N449" s="4"/>
      <c r="O449" s="4"/>
      <c r="P449" s="6">
        <f>IF(D449="","",SUBSTITUTE(SUBSTITUTE(SUBSTITUTE(SUBSTITUTE(SUBSTITUTE(SUBSTITUTE(SUBSTITUTE(TRIM(D449),".",""),"/",""),"-","")," ",""),"(",""),")",""),"+",""))</f>
      </c>
      <c r="Q449" s="6">
        <f>IF(P449="","",IF(LEN(P449)&lt;&gt;14,"ERRO: "&amp;LEN(P449)&amp;" dígitos",IF(NOT(ISNUMBER(VALUE(P449))),"ERRO: não numérico",IF(LEN(SUBSTITUTE(P449,LEFT(P449,1),""))=0,"ERRO: dígitos repetidos",IF(AND(VALUE(MID(P449,13,1))=IF(MOD(SUMPRODUCT(--MID(P449,{1,2,3,4,5,6,7,8,9,10,11,12},1),{5,4,3,2,9,8,7,6,5,4,3,2}),11)&lt;2,0,11-MOD(SUMPRODUCT(--MID(P449,{1,2,3,4,5,6,7,8,9,10,11,12},1),{5,4,3,2,9,8,7,6,5,4,3,2}),11)),VALUE(MID(P449,14,1))=IF(MOD(SUMPRODUCT(--MID(P449,{1,2,3,4,5,6,7,8,9,10,11,12,13},1),{6,5,4,3,2,9,8,7,6,5,4,3,2}),11)&lt;2,0,11-MOD(SUMPRODUCT(--MID(P449,{1,2,3,4,5,6,7,8,9,10,11,12,13},1),{6,5,4,3,2,9,8,7,6,5,4,3,2}),11))),"OK","ERRO: dígito verificador")))))</f>
      </c>
      <c r="R449" s="6">
        <f>IF(P449="","",IF(COUNTIF($P$2:$P$1001,P449)&gt;1,"DUPLICADO","OK"))</f>
      </c>
      <c r="S449" s="6">
        <f>IF(AND(J449="",K449=""),"vazio",IF(AND(OR(J449="",LEN(SUBSTITUTE(SUBSTITUTE(SUBSTITUTE(SUBSTITUTE(SUBSTITUTE(SUBSTITUTE(SUBSTITUTE(TRIM(J449),".",""),"/",""),"-","")," ",""),"(",""),")",""),"+",""))=10,LEN(SUBSTITUTE(SUBSTITUTE(SUBSTITUTE(SUBSTITUTE(SUBSTITUTE(SUBSTITUTE(SUBSTITUTE(TRIM(J449),".",""),"/",""),"-","")," ",""),"(",""),")",""),"+",""))=11),OR(K449="",LEN(SUBSTITUTE(SUBSTITUTE(SUBSTITUTE(SUBSTITUTE(SUBSTITUTE(SUBSTITUTE(SUBSTITUTE(TRIM(K449),".",""),"/",""),"-","")," ",""),"(",""),")",""),"+",""))=10,LEN(SUBSTITUTE(SUBSTITUTE(SUBSTITUTE(SUBSTITUTE(SUBSTITUTE(SUBSTITUTE(SUBSTITUTE(TRIM(K449),".",""),"/",""),"-","")," ",""),"(",""),")",""),"+",""))=11)),"OK","ERRO: use DDD + número (10 ou 11 dígitos)"))</f>
      </c>
      <c r="T449" s="6">
        <f>IF(L449="","vazio",IF(AND(ISNUMBER(FIND("@",L449)),ISNUMBER(FIND(".",MID(L449,FIND("@",L449),99))),NOT(ISNUMBER(FIND(" ",TRIM(L449)))),NOT(ISNUMBER(FIND(";",L449))),NOT(ISNUMBER(FIND(",",L449)))),"OK","ERRO: um e-mail válido por linha"))</f>
      </c>
      <c r="U449" s="6">
        <f>IF(COUNTA(A449:O449)=0,"",IF(AND(B449&lt;&gt;"",C449&lt;&gt;"",D449&lt;&gt;"",E449&lt;&gt;"",H449&lt;&gt;"",OR(J449&lt;&gt;"",L449&lt;&gt;"")),"OK","ERRO: faltam "&amp;IF(B449="","Proprietário; ","")&amp;IF(C449="","Origem; ","")&amp;IF(D449="","CNPJ; ","")&amp;IF(E449="","Razão Social; ","")&amp;IF(H449="","Sobrenome; ","")&amp;IF(AND(J449="",L449=""),"telefone ou e-mail; ","")))</f>
      </c>
      <c r="V449" s="6">
        <f>IF(COUNTA(A449:O449)=0,"",IF(AND(Q449="OK",R449="OK",LEFT(S449,4)&lt;&gt;"ERRO",LEFT(T449,4)&lt;&gt;"ERRO",U449="OK"),"OK","REVISAR"))</f>
      </c>
    </row>
    <row r="450">
      <c r="A450" s="4"/>
      <c r="B450" s="5"/>
      <c r="C450" s="5"/>
      <c r="D450" s="5"/>
      <c r="E450" s="5"/>
      <c r="F450" s="4"/>
      <c r="G450" s="4"/>
      <c r="H450" s="5"/>
      <c r="I450" s="4"/>
      <c r="J450" s="4"/>
      <c r="K450" s="4"/>
      <c r="L450" s="4"/>
      <c r="M450" s="4"/>
      <c r="N450" s="4"/>
      <c r="O450" s="4"/>
      <c r="P450" s="6">
        <f>IF(D450="","",SUBSTITUTE(SUBSTITUTE(SUBSTITUTE(SUBSTITUTE(SUBSTITUTE(SUBSTITUTE(SUBSTITUTE(TRIM(D450),".",""),"/",""),"-","")," ",""),"(",""),")",""),"+",""))</f>
      </c>
      <c r="Q450" s="6">
        <f>IF(P450="","",IF(LEN(P450)&lt;&gt;14,"ERRO: "&amp;LEN(P450)&amp;" dígitos",IF(NOT(ISNUMBER(VALUE(P450))),"ERRO: não numérico",IF(LEN(SUBSTITUTE(P450,LEFT(P450,1),""))=0,"ERRO: dígitos repetidos",IF(AND(VALUE(MID(P450,13,1))=IF(MOD(SUMPRODUCT(--MID(P450,{1,2,3,4,5,6,7,8,9,10,11,12},1),{5,4,3,2,9,8,7,6,5,4,3,2}),11)&lt;2,0,11-MOD(SUMPRODUCT(--MID(P450,{1,2,3,4,5,6,7,8,9,10,11,12},1),{5,4,3,2,9,8,7,6,5,4,3,2}),11)),VALUE(MID(P450,14,1))=IF(MOD(SUMPRODUCT(--MID(P450,{1,2,3,4,5,6,7,8,9,10,11,12,13},1),{6,5,4,3,2,9,8,7,6,5,4,3,2}),11)&lt;2,0,11-MOD(SUMPRODUCT(--MID(P450,{1,2,3,4,5,6,7,8,9,10,11,12,13},1),{6,5,4,3,2,9,8,7,6,5,4,3,2}),11))),"OK","ERRO: dígito verificador")))))</f>
      </c>
      <c r="R450" s="6">
        <f>IF(P450="","",IF(COUNTIF($P$2:$P$1001,P450)&gt;1,"DUPLICADO","OK"))</f>
      </c>
      <c r="S450" s="6">
        <f>IF(AND(J450="",K450=""),"vazio",IF(AND(OR(J450="",LEN(SUBSTITUTE(SUBSTITUTE(SUBSTITUTE(SUBSTITUTE(SUBSTITUTE(SUBSTITUTE(SUBSTITUTE(TRIM(J450),".",""),"/",""),"-","")," ",""),"(",""),")",""),"+",""))=10,LEN(SUBSTITUTE(SUBSTITUTE(SUBSTITUTE(SUBSTITUTE(SUBSTITUTE(SUBSTITUTE(SUBSTITUTE(TRIM(J450),".",""),"/",""),"-","")," ",""),"(",""),")",""),"+",""))=11),OR(K450="",LEN(SUBSTITUTE(SUBSTITUTE(SUBSTITUTE(SUBSTITUTE(SUBSTITUTE(SUBSTITUTE(SUBSTITUTE(TRIM(K450),".",""),"/",""),"-","")," ",""),"(",""),")",""),"+",""))=10,LEN(SUBSTITUTE(SUBSTITUTE(SUBSTITUTE(SUBSTITUTE(SUBSTITUTE(SUBSTITUTE(SUBSTITUTE(TRIM(K450),".",""),"/",""),"-","")," ",""),"(",""),")",""),"+",""))=11)),"OK","ERRO: use DDD + número (10 ou 11 dígitos)"))</f>
      </c>
      <c r="T450" s="6">
        <f>IF(L450="","vazio",IF(AND(ISNUMBER(FIND("@",L450)),ISNUMBER(FIND(".",MID(L450,FIND("@",L450),99))),NOT(ISNUMBER(FIND(" ",TRIM(L450)))),NOT(ISNUMBER(FIND(";",L450))),NOT(ISNUMBER(FIND(",",L450)))),"OK","ERRO: um e-mail válido por linha"))</f>
      </c>
      <c r="U450" s="6">
        <f>IF(COUNTA(A450:O450)=0,"",IF(AND(B450&lt;&gt;"",C450&lt;&gt;"",D450&lt;&gt;"",E450&lt;&gt;"",H450&lt;&gt;"",OR(J450&lt;&gt;"",L450&lt;&gt;"")),"OK","ERRO: faltam "&amp;IF(B450="","Proprietário; ","")&amp;IF(C450="","Origem; ","")&amp;IF(D450="","CNPJ; ","")&amp;IF(E450="","Razão Social; ","")&amp;IF(H450="","Sobrenome; ","")&amp;IF(AND(J450="",L450=""),"telefone ou e-mail; ","")))</f>
      </c>
      <c r="V450" s="6">
        <f>IF(COUNTA(A450:O450)=0,"",IF(AND(Q450="OK",R450="OK",LEFT(S450,4)&lt;&gt;"ERRO",LEFT(T450,4)&lt;&gt;"ERRO",U450="OK"),"OK","REVISAR"))</f>
      </c>
    </row>
    <row r="451">
      <c r="A451" s="4"/>
      <c r="B451" s="5"/>
      <c r="C451" s="5"/>
      <c r="D451" s="5"/>
      <c r="E451" s="5"/>
      <c r="F451" s="4"/>
      <c r="G451" s="4"/>
      <c r="H451" s="5"/>
      <c r="I451" s="4"/>
      <c r="J451" s="4"/>
      <c r="K451" s="4"/>
      <c r="L451" s="4"/>
      <c r="M451" s="4"/>
      <c r="N451" s="4"/>
      <c r="O451" s="4"/>
      <c r="P451" s="6">
        <f>IF(D451="","",SUBSTITUTE(SUBSTITUTE(SUBSTITUTE(SUBSTITUTE(SUBSTITUTE(SUBSTITUTE(SUBSTITUTE(TRIM(D451),".",""),"/",""),"-","")," ",""),"(",""),")",""),"+",""))</f>
      </c>
      <c r="Q451" s="6">
        <f>IF(P451="","",IF(LEN(P451)&lt;&gt;14,"ERRO: "&amp;LEN(P451)&amp;" dígitos",IF(NOT(ISNUMBER(VALUE(P451))),"ERRO: não numérico",IF(LEN(SUBSTITUTE(P451,LEFT(P451,1),""))=0,"ERRO: dígitos repetidos",IF(AND(VALUE(MID(P451,13,1))=IF(MOD(SUMPRODUCT(--MID(P451,{1,2,3,4,5,6,7,8,9,10,11,12},1),{5,4,3,2,9,8,7,6,5,4,3,2}),11)&lt;2,0,11-MOD(SUMPRODUCT(--MID(P451,{1,2,3,4,5,6,7,8,9,10,11,12},1),{5,4,3,2,9,8,7,6,5,4,3,2}),11)),VALUE(MID(P451,14,1))=IF(MOD(SUMPRODUCT(--MID(P451,{1,2,3,4,5,6,7,8,9,10,11,12,13},1),{6,5,4,3,2,9,8,7,6,5,4,3,2}),11)&lt;2,0,11-MOD(SUMPRODUCT(--MID(P451,{1,2,3,4,5,6,7,8,9,10,11,12,13},1),{6,5,4,3,2,9,8,7,6,5,4,3,2}),11))),"OK","ERRO: dígito verificador")))))</f>
      </c>
      <c r="R451" s="6">
        <f>IF(P451="","",IF(COUNTIF($P$2:$P$1001,P451)&gt;1,"DUPLICADO","OK"))</f>
      </c>
      <c r="S451" s="6">
        <f>IF(AND(J451="",K451=""),"vazio",IF(AND(OR(J451="",LEN(SUBSTITUTE(SUBSTITUTE(SUBSTITUTE(SUBSTITUTE(SUBSTITUTE(SUBSTITUTE(SUBSTITUTE(TRIM(J451),".",""),"/",""),"-","")," ",""),"(",""),")",""),"+",""))=10,LEN(SUBSTITUTE(SUBSTITUTE(SUBSTITUTE(SUBSTITUTE(SUBSTITUTE(SUBSTITUTE(SUBSTITUTE(TRIM(J451),".",""),"/",""),"-","")," ",""),"(",""),")",""),"+",""))=11),OR(K451="",LEN(SUBSTITUTE(SUBSTITUTE(SUBSTITUTE(SUBSTITUTE(SUBSTITUTE(SUBSTITUTE(SUBSTITUTE(TRIM(K451),".",""),"/",""),"-","")," ",""),"(",""),")",""),"+",""))=10,LEN(SUBSTITUTE(SUBSTITUTE(SUBSTITUTE(SUBSTITUTE(SUBSTITUTE(SUBSTITUTE(SUBSTITUTE(TRIM(K451),".",""),"/",""),"-","")," ",""),"(",""),")",""),"+",""))=11)),"OK","ERRO: use DDD + número (10 ou 11 dígitos)"))</f>
      </c>
      <c r="T451" s="6">
        <f>IF(L451="","vazio",IF(AND(ISNUMBER(FIND("@",L451)),ISNUMBER(FIND(".",MID(L451,FIND("@",L451),99))),NOT(ISNUMBER(FIND(" ",TRIM(L451)))),NOT(ISNUMBER(FIND(";",L451))),NOT(ISNUMBER(FIND(",",L451)))),"OK","ERRO: um e-mail válido por linha"))</f>
      </c>
      <c r="U451" s="6">
        <f>IF(COUNTA(A451:O451)=0,"",IF(AND(B451&lt;&gt;"",C451&lt;&gt;"",D451&lt;&gt;"",E451&lt;&gt;"",H451&lt;&gt;"",OR(J451&lt;&gt;"",L451&lt;&gt;"")),"OK","ERRO: faltam "&amp;IF(B451="","Proprietário; ","")&amp;IF(C451="","Origem; ","")&amp;IF(D451="","CNPJ; ","")&amp;IF(E451="","Razão Social; ","")&amp;IF(H451="","Sobrenome; ","")&amp;IF(AND(J451="",L451=""),"telefone ou e-mail; ","")))</f>
      </c>
      <c r="V451" s="6">
        <f>IF(COUNTA(A451:O451)=0,"",IF(AND(Q451="OK",R451="OK",LEFT(S451,4)&lt;&gt;"ERRO",LEFT(T451,4)&lt;&gt;"ERRO",U451="OK"),"OK","REVISAR"))</f>
      </c>
    </row>
    <row r="452">
      <c r="A452" s="4"/>
      <c r="B452" s="5"/>
      <c r="C452" s="5"/>
      <c r="D452" s="5"/>
      <c r="E452" s="5"/>
      <c r="F452" s="4"/>
      <c r="G452" s="4"/>
      <c r="H452" s="5"/>
      <c r="I452" s="4"/>
      <c r="J452" s="4"/>
      <c r="K452" s="4"/>
      <c r="L452" s="4"/>
      <c r="M452" s="4"/>
      <c r="N452" s="4"/>
      <c r="O452" s="4"/>
      <c r="P452" s="6">
        <f>IF(D452="","",SUBSTITUTE(SUBSTITUTE(SUBSTITUTE(SUBSTITUTE(SUBSTITUTE(SUBSTITUTE(SUBSTITUTE(TRIM(D452),".",""),"/",""),"-","")," ",""),"(",""),")",""),"+",""))</f>
      </c>
      <c r="Q452" s="6">
        <f>IF(P452="","",IF(LEN(P452)&lt;&gt;14,"ERRO: "&amp;LEN(P452)&amp;" dígitos",IF(NOT(ISNUMBER(VALUE(P452))),"ERRO: não numérico",IF(LEN(SUBSTITUTE(P452,LEFT(P452,1),""))=0,"ERRO: dígitos repetidos",IF(AND(VALUE(MID(P452,13,1))=IF(MOD(SUMPRODUCT(--MID(P452,{1,2,3,4,5,6,7,8,9,10,11,12},1),{5,4,3,2,9,8,7,6,5,4,3,2}),11)&lt;2,0,11-MOD(SUMPRODUCT(--MID(P452,{1,2,3,4,5,6,7,8,9,10,11,12},1),{5,4,3,2,9,8,7,6,5,4,3,2}),11)),VALUE(MID(P452,14,1))=IF(MOD(SUMPRODUCT(--MID(P452,{1,2,3,4,5,6,7,8,9,10,11,12,13},1),{6,5,4,3,2,9,8,7,6,5,4,3,2}),11)&lt;2,0,11-MOD(SUMPRODUCT(--MID(P452,{1,2,3,4,5,6,7,8,9,10,11,12,13},1),{6,5,4,3,2,9,8,7,6,5,4,3,2}),11))),"OK","ERRO: dígito verificador")))))</f>
      </c>
      <c r="R452" s="6">
        <f>IF(P452="","",IF(COUNTIF($P$2:$P$1001,P452)&gt;1,"DUPLICADO","OK"))</f>
      </c>
      <c r="S452" s="6">
        <f>IF(AND(J452="",K452=""),"vazio",IF(AND(OR(J452="",LEN(SUBSTITUTE(SUBSTITUTE(SUBSTITUTE(SUBSTITUTE(SUBSTITUTE(SUBSTITUTE(SUBSTITUTE(TRIM(J452),".",""),"/",""),"-","")," ",""),"(",""),")",""),"+",""))=10,LEN(SUBSTITUTE(SUBSTITUTE(SUBSTITUTE(SUBSTITUTE(SUBSTITUTE(SUBSTITUTE(SUBSTITUTE(TRIM(J452),".",""),"/",""),"-","")," ",""),"(",""),")",""),"+",""))=11),OR(K452="",LEN(SUBSTITUTE(SUBSTITUTE(SUBSTITUTE(SUBSTITUTE(SUBSTITUTE(SUBSTITUTE(SUBSTITUTE(TRIM(K452),".",""),"/",""),"-","")," ",""),"(",""),")",""),"+",""))=10,LEN(SUBSTITUTE(SUBSTITUTE(SUBSTITUTE(SUBSTITUTE(SUBSTITUTE(SUBSTITUTE(SUBSTITUTE(TRIM(K452),".",""),"/",""),"-","")," ",""),"(",""),")",""),"+",""))=11)),"OK","ERRO: use DDD + número (10 ou 11 dígitos)"))</f>
      </c>
      <c r="T452" s="6">
        <f>IF(L452="","vazio",IF(AND(ISNUMBER(FIND("@",L452)),ISNUMBER(FIND(".",MID(L452,FIND("@",L452),99))),NOT(ISNUMBER(FIND(" ",TRIM(L452)))),NOT(ISNUMBER(FIND(";",L452))),NOT(ISNUMBER(FIND(",",L452)))),"OK","ERRO: um e-mail válido por linha"))</f>
      </c>
      <c r="U452" s="6">
        <f>IF(COUNTA(A452:O452)=0,"",IF(AND(B452&lt;&gt;"",C452&lt;&gt;"",D452&lt;&gt;"",E452&lt;&gt;"",H452&lt;&gt;"",OR(J452&lt;&gt;"",L452&lt;&gt;"")),"OK","ERRO: faltam "&amp;IF(B452="","Proprietário; ","")&amp;IF(C452="","Origem; ","")&amp;IF(D452="","CNPJ; ","")&amp;IF(E452="","Razão Social; ","")&amp;IF(H452="","Sobrenome; ","")&amp;IF(AND(J452="",L452=""),"telefone ou e-mail; ","")))</f>
      </c>
      <c r="V452" s="6">
        <f>IF(COUNTA(A452:O452)=0,"",IF(AND(Q452="OK",R452="OK",LEFT(S452,4)&lt;&gt;"ERRO",LEFT(T452,4)&lt;&gt;"ERRO",U452="OK"),"OK","REVISAR"))</f>
      </c>
    </row>
    <row r="453">
      <c r="A453" s="4"/>
      <c r="B453" s="5"/>
      <c r="C453" s="5"/>
      <c r="D453" s="5"/>
      <c r="E453" s="5"/>
      <c r="F453" s="4"/>
      <c r="G453" s="4"/>
      <c r="H453" s="5"/>
      <c r="I453" s="4"/>
      <c r="J453" s="4"/>
      <c r="K453" s="4"/>
      <c r="L453" s="4"/>
      <c r="M453" s="4"/>
      <c r="N453" s="4"/>
      <c r="O453" s="4"/>
      <c r="P453" s="6">
        <f>IF(D453="","",SUBSTITUTE(SUBSTITUTE(SUBSTITUTE(SUBSTITUTE(SUBSTITUTE(SUBSTITUTE(SUBSTITUTE(TRIM(D453),".",""),"/",""),"-","")," ",""),"(",""),")",""),"+",""))</f>
      </c>
      <c r="Q453" s="6">
        <f>IF(P453="","",IF(LEN(P453)&lt;&gt;14,"ERRO: "&amp;LEN(P453)&amp;" dígitos",IF(NOT(ISNUMBER(VALUE(P453))),"ERRO: não numérico",IF(LEN(SUBSTITUTE(P453,LEFT(P453,1),""))=0,"ERRO: dígitos repetidos",IF(AND(VALUE(MID(P453,13,1))=IF(MOD(SUMPRODUCT(--MID(P453,{1,2,3,4,5,6,7,8,9,10,11,12},1),{5,4,3,2,9,8,7,6,5,4,3,2}),11)&lt;2,0,11-MOD(SUMPRODUCT(--MID(P453,{1,2,3,4,5,6,7,8,9,10,11,12},1),{5,4,3,2,9,8,7,6,5,4,3,2}),11)),VALUE(MID(P453,14,1))=IF(MOD(SUMPRODUCT(--MID(P453,{1,2,3,4,5,6,7,8,9,10,11,12,13},1),{6,5,4,3,2,9,8,7,6,5,4,3,2}),11)&lt;2,0,11-MOD(SUMPRODUCT(--MID(P453,{1,2,3,4,5,6,7,8,9,10,11,12,13},1),{6,5,4,3,2,9,8,7,6,5,4,3,2}),11))),"OK","ERRO: dígito verificador")))))</f>
      </c>
      <c r="R453" s="6">
        <f>IF(P453="","",IF(COUNTIF($P$2:$P$1001,P453)&gt;1,"DUPLICADO","OK"))</f>
      </c>
      <c r="S453" s="6">
        <f>IF(AND(J453="",K453=""),"vazio",IF(AND(OR(J453="",LEN(SUBSTITUTE(SUBSTITUTE(SUBSTITUTE(SUBSTITUTE(SUBSTITUTE(SUBSTITUTE(SUBSTITUTE(TRIM(J453),".",""),"/",""),"-","")," ",""),"(",""),")",""),"+",""))=10,LEN(SUBSTITUTE(SUBSTITUTE(SUBSTITUTE(SUBSTITUTE(SUBSTITUTE(SUBSTITUTE(SUBSTITUTE(TRIM(J453),".",""),"/",""),"-","")," ",""),"(",""),")",""),"+",""))=11),OR(K453="",LEN(SUBSTITUTE(SUBSTITUTE(SUBSTITUTE(SUBSTITUTE(SUBSTITUTE(SUBSTITUTE(SUBSTITUTE(TRIM(K453),".",""),"/",""),"-","")," ",""),"(",""),")",""),"+",""))=10,LEN(SUBSTITUTE(SUBSTITUTE(SUBSTITUTE(SUBSTITUTE(SUBSTITUTE(SUBSTITUTE(SUBSTITUTE(TRIM(K453),".",""),"/",""),"-","")," ",""),"(",""),")",""),"+",""))=11)),"OK","ERRO: use DDD + número (10 ou 11 dígitos)"))</f>
      </c>
      <c r="T453" s="6">
        <f>IF(L453="","vazio",IF(AND(ISNUMBER(FIND("@",L453)),ISNUMBER(FIND(".",MID(L453,FIND("@",L453),99))),NOT(ISNUMBER(FIND(" ",TRIM(L453)))),NOT(ISNUMBER(FIND(";",L453))),NOT(ISNUMBER(FIND(",",L453)))),"OK","ERRO: um e-mail válido por linha"))</f>
      </c>
      <c r="U453" s="6">
        <f>IF(COUNTA(A453:O453)=0,"",IF(AND(B453&lt;&gt;"",C453&lt;&gt;"",D453&lt;&gt;"",E453&lt;&gt;"",H453&lt;&gt;"",OR(J453&lt;&gt;"",L453&lt;&gt;"")),"OK","ERRO: faltam "&amp;IF(B453="","Proprietário; ","")&amp;IF(C453="","Origem; ","")&amp;IF(D453="","CNPJ; ","")&amp;IF(E453="","Razão Social; ","")&amp;IF(H453="","Sobrenome; ","")&amp;IF(AND(J453="",L453=""),"telefone ou e-mail; ","")))</f>
      </c>
      <c r="V453" s="6">
        <f>IF(COUNTA(A453:O453)=0,"",IF(AND(Q453="OK",R453="OK",LEFT(S453,4)&lt;&gt;"ERRO",LEFT(T453,4)&lt;&gt;"ERRO",U453="OK"),"OK","REVISAR"))</f>
      </c>
    </row>
    <row r="454">
      <c r="A454" s="4"/>
      <c r="B454" s="5"/>
      <c r="C454" s="5"/>
      <c r="D454" s="5"/>
      <c r="E454" s="5"/>
      <c r="F454" s="4"/>
      <c r="G454" s="4"/>
      <c r="H454" s="5"/>
      <c r="I454" s="4"/>
      <c r="J454" s="4"/>
      <c r="K454" s="4"/>
      <c r="L454" s="4"/>
      <c r="M454" s="4"/>
      <c r="N454" s="4"/>
      <c r="O454" s="4"/>
      <c r="P454" s="6">
        <f>IF(D454="","",SUBSTITUTE(SUBSTITUTE(SUBSTITUTE(SUBSTITUTE(SUBSTITUTE(SUBSTITUTE(SUBSTITUTE(TRIM(D454),".",""),"/",""),"-","")," ",""),"(",""),")",""),"+",""))</f>
      </c>
      <c r="Q454" s="6">
        <f>IF(P454="","",IF(LEN(P454)&lt;&gt;14,"ERRO: "&amp;LEN(P454)&amp;" dígitos",IF(NOT(ISNUMBER(VALUE(P454))),"ERRO: não numérico",IF(LEN(SUBSTITUTE(P454,LEFT(P454,1),""))=0,"ERRO: dígitos repetidos",IF(AND(VALUE(MID(P454,13,1))=IF(MOD(SUMPRODUCT(--MID(P454,{1,2,3,4,5,6,7,8,9,10,11,12},1),{5,4,3,2,9,8,7,6,5,4,3,2}),11)&lt;2,0,11-MOD(SUMPRODUCT(--MID(P454,{1,2,3,4,5,6,7,8,9,10,11,12},1),{5,4,3,2,9,8,7,6,5,4,3,2}),11)),VALUE(MID(P454,14,1))=IF(MOD(SUMPRODUCT(--MID(P454,{1,2,3,4,5,6,7,8,9,10,11,12,13},1),{6,5,4,3,2,9,8,7,6,5,4,3,2}),11)&lt;2,0,11-MOD(SUMPRODUCT(--MID(P454,{1,2,3,4,5,6,7,8,9,10,11,12,13},1),{6,5,4,3,2,9,8,7,6,5,4,3,2}),11))),"OK","ERRO: dígito verificador")))))</f>
      </c>
      <c r="R454" s="6">
        <f>IF(P454="","",IF(COUNTIF($P$2:$P$1001,P454)&gt;1,"DUPLICADO","OK"))</f>
      </c>
      <c r="S454" s="6">
        <f>IF(AND(J454="",K454=""),"vazio",IF(AND(OR(J454="",LEN(SUBSTITUTE(SUBSTITUTE(SUBSTITUTE(SUBSTITUTE(SUBSTITUTE(SUBSTITUTE(SUBSTITUTE(TRIM(J454),".",""),"/",""),"-","")," ",""),"(",""),")",""),"+",""))=10,LEN(SUBSTITUTE(SUBSTITUTE(SUBSTITUTE(SUBSTITUTE(SUBSTITUTE(SUBSTITUTE(SUBSTITUTE(TRIM(J454),".",""),"/",""),"-","")," ",""),"(",""),")",""),"+",""))=11),OR(K454="",LEN(SUBSTITUTE(SUBSTITUTE(SUBSTITUTE(SUBSTITUTE(SUBSTITUTE(SUBSTITUTE(SUBSTITUTE(TRIM(K454),".",""),"/",""),"-","")," ",""),"(",""),")",""),"+",""))=10,LEN(SUBSTITUTE(SUBSTITUTE(SUBSTITUTE(SUBSTITUTE(SUBSTITUTE(SUBSTITUTE(SUBSTITUTE(TRIM(K454),".",""),"/",""),"-","")," ",""),"(",""),")",""),"+",""))=11)),"OK","ERRO: use DDD + número (10 ou 11 dígitos)"))</f>
      </c>
      <c r="T454" s="6">
        <f>IF(L454="","vazio",IF(AND(ISNUMBER(FIND("@",L454)),ISNUMBER(FIND(".",MID(L454,FIND("@",L454),99))),NOT(ISNUMBER(FIND(" ",TRIM(L454)))),NOT(ISNUMBER(FIND(";",L454))),NOT(ISNUMBER(FIND(",",L454)))),"OK","ERRO: um e-mail válido por linha"))</f>
      </c>
      <c r="U454" s="6">
        <f>IF(COUNTA(A454:O454)=0,"",IF(AND(B454&lt;&gt;"",C454&lt;&gt;"",D454&lt;&gt;"",E454&lt;&gt;"",H454&lt;&gt;"",OR(J454&lt;&gt;"",L454&lt;&gt;"")),"OK","ERRO: faltam "&amp;IF(B454="","Proprietário; ","")&amp;IF(C454="","Origem; ","")&amp;IF(D454="","CNPJ; ","")&amp;IF(E454="","Razão Social; ","")&amp;IF(H454="","Sobrenome; ","")&amp;IF(AND(J454="",L454=""),"telefone ou e-mail; ","")))</f>
      </c>
      <c r="V454" s="6">
        <f>IF(COUNTA(A454:O454)=0,"",IF(AND(Q454="OK",R454="OK",LEFT(S454,4)&lt;&gt;"ERRO",LEFT(T454,4)&lt;&gt;"ERRO",U454="OK"),"OK","REVISAR"))</f>
      </c>
    </row>
    <row r="455">
      <c r="A455" s="4"/>
      <c r="B455" s="5"/>
      <c r="C455" s="5"/>
      <c r="D455" s="5"/>
      <c r="E455" s="5"/>
      <c r="F455" s="4"/>
      <c r="G455" s="4"/>
      <c r="H455" s="5"/>
      <c r="I455" s="4"/>
      <c r="J455" s="4"/>
      <c r="K455" s="4"/>
      <c r="L455" s="4"/>
      <c r="M455" s="4"/>
      <c r="N455" s="4"/>
      <c r="O455" s="4"/>
      <c r="P455" s="6">
        <f>IF(D455="","",SUBSTITUTE(SUBSTITUTE(SUBSTITUTE(SUBSTITUTE(SUBSTITUTE(SUBSTITUTE(SUBSTITUTE(TRIM(D455),".",""),"/",""),"-","")," ",""),"(",""),")",""),"+",""))</f>
      </c>
      <c r="Q455" s="6">
        <f>IF(P455="","",IF(LEN(P455)&lt;&gt;14,"ERRO: "&amp;LEN(P455)&amp;" dígitos",IF(NOT(ISNUMBER(VALUE(P455))),"ERRO: não numérico",IF(LEN(SUBSTITUTE(P455,LEFT(P455,1),""))=0,"ERRO: dígitos repetidos",IF(AND(VALUE(MID(P455,13,1))=IF(MOD(SUMPRODUCT(--MID(P455,{1,2,3,4,5,6,7,8,9,10,11,12},1),{5,4,3,2,9,8,7,6,5,4,3,2}),11)&lt;2,0,11-MOD(SUMPRODUCT(--MID(P455,{1,2,3,4,5,6,7,8,9,10,11,12},1),{5,4,3,2,9,8,7,6,5,4,3,2}),11)),VALUE(MID(P455,14,1))=IF(MOD(SUMPRODUCT(--MID(P455,{1,2,3,4,5,6,7,8,9,10,11,12,13},1),{6,5,4,3,2,9,8,7,6,5,4,3,2}),11)&lt;2,0,11-MOD(SUMPRODUCT(--MID(P455,{1,2,3,4,5,6,7,8,9,10,11,12,13},1),{6,5,4,3,2,9,8,7,6,5,4,3,2}),11))),"OK","ERRO: dígito verificador")))))</f>
      </c>
      <c r="R455" s="6">
        <f>IF(P455="","",IF(COUNTIF($P$2:$P$1001,P455)&gt;1,"DUPLICADO","OK"))</f>
      </c>
      <c r="S455" s="6">
        <f>IF(AND(J455="",K455=""),"vazio",IF(AND(OR(J455="",LEN(SUBSTITUTE(SUBSTITUTE(SUBSTITUTE(SUBSTITUTE(SUBSTITUTE(SUBSTITUTE(SUBSTITUTE(TRIM(J455),".",""),"/",""),"-","")," ",""),"(",""),")",""),"+",""))=10,LEN(SUBSTITUTE(SUBSTITUTE(SUBSTITUTE(SUBSTITUTE(SUBSTITUTE(SUBSTITUTE(SUBSTITUTE(TRIM(J455),".",""),"/",""),"-","")," ",""),"(",""),")",""),"+",""))=11),OR(K455="",LEN(SUBSTITUTE(SUBSTITUTE(SUBSTITUTE(SUBSTITUTE(SUBSTITUTE(SUBSTITUTE(SUBSTITUTE(TRIM(K455),".",""),"/",""),"-","")," ",""),"(",""),")",""),"+",""))=10,LEN(SUBSTITUTE(SUBSTITUTE(SUBSTITUTE(SUBSTITUTE(SUBSTITUTE(SUBSTITUTE(SUBSTITUTE(TRIM(K455),".",""),"/",""),"-","")," ",""),"(",""),")",""),"+",""))=11)),"OK","ERRO: use DDD + número (10 ou 11 dígitos)"))</f>
      </c>
      <c r="T455" s="6">
        <f>IF(L455="","vazio",IF(AND(ISNUMBER(FIND("@",L455)),ISNUMBER(FIND(".",MID(L455,FIND("@",L455),99))),NOT(ISNUMBER(FIND(" ",TRIM(L455)))),NOT(ISNUMBER(FIND(";",L455))),NOT(ISNUMBER(FIND(",",L455)))),"OK","ERRO: um e-mail válido por linha"))</f>
      </c>
      <c r="U455" s="6">
        <f>IF(COUNTA(A455:O455)=0,"",IF(AND(B455&lt;&gt;"",C455&lt;&gt;"",D455&lt;&gt;"",E455&lt;&gt;"",H455&lt;&gt;"",OR(J455&lt;&gt;"",L455&lt;&gt;"")),"OK","ERRO: faltam "&amp;IF(B455="","Proprietário; ","")&amp;IF(C455="","Origem; ","")&amp;IF(D455="","CNPJ; ","")&amp;IF(E455="","Razão Social; ","")&amp;IF(H455="","Sobrenome; ","")&amp;IF(AND(J455="",L455=""),"telefone ou e-mail; ","")))</f>
      </c>
      <c r="V455" s="6">
        <f>IF(COUNTA(A455:O455)=0,"",IF(AND(Q455="OK",R455="OK",LEFT(S455,4)&lt;&gt;"ERRO",LEFT(T455,4)&lt;&gt;"ERRO",U455="OK"),"OK","REVISAR"))</f>
      </c>
    </row>
    <row r="456">
      <c r="A456" s="4"/>
      <c r="B456" s="5"/>
      <c r="C456" s="5"/>
      <c r="D456" s="5"/>
      <c r="E456" s="5"/>
      <c r="F456" s="4"/>
      <c r="G456" s="4"/>
      <c r="H456" s="5"/>
      <c r="I456" s="4"/>
      <c r="J456" s="4"/>
      <c r="K456" s="4"/>
      <c r="L456" s="4"/>
      <c r="M456" s="4"/>
      <c r="N456" s="4"/>
      <c r="O456" s="4"/>
      <c r="P456" s="6">
        <f>IF(D456="","",SUBSTITUTE(SUBSTITUTE(SUBSTITUTE(SUBSTITUTE(SUBSTITUTE(SUBSTITUTE(SUBSTITUTE(TRIM(D456),".",""),"/",""),"-","")," ",""),"(",""),")",""),"+",""))</f>
      </c>
      <c r="Q456" s="6">
        <f>IF(P456="","",IF(LEN(P456)&lt;&gt;14,"ERRO: "&amp;LEN(P456)&amp;" dígitos",IF(NOT(ISNUMBER(VALUE(P456))),"ERRO: não numérico",IF(LEN(SUBSTITUTE(P456,LEFT(P456,1),""))=0,"ERRO: dígitos repetidos",IF(AND(VALUE(MID(P456,13,1))=IF(MOD(SUMPRODUCT(--MID(P456,{1,2,3,4,5,6,7,8,9,10,11,12},1),{5,4,3,2,9,8,7,6,5,4,3,2}),11)&lt;2,0,11-MOD(SUMPRODUCT(--MID(P456,{1,2,3,4,5,6,7,8,9,10,11,12},1),{5,4,3,2,9,8,7,6,5,4,3,2}),11)),VALUE(MID(P456,14,1))=IF(MOD(SUMPRODUCT(--MID(P456,{1,2,3,4,5,6,7,8,9,10,11,12,13},1),{6,5,4,3,2,9,8,7,6,5,4,3,2}),11)&lt;2,0,11-MOD(SUMPRODUCT(--MID(P456,{1,2,3,4,5,6,7,8,9,10,11,12,13},1),{6,5,4,3,2,9,8,7,6,5,4,3,2}),11))),"OK","ERRO: dígito verificador")))))</f>
      </c>
      <c r="R456" s="6">
        <f>IF(P456="","",IF(COUNTIF($P$2:$P$1001,P456)&gt;1,"DUPLICADO","OK"))</f>
      </c>
      <c r="S456" s="6">
        <f>IF(AND(J456="",K456=""),"vazio",IF(AND(OR(J456="",LEN(SUBSTITUTE(SUBSTITUTE(SUBSTITUTE(SUBSTITUTE(SUBSTITUTE(SUBSTITUTE(SUBSTITUTE(TRIM(J456),".",""),"/",""),"-","")," ",""),"(",""),")",""),"+",""))=10,LEN(SUBSTITUTE(SUBSTITUTE(SUBSTITUTE(SUBSTITUTE(SUBSTITUTE(SUBSTITUTE(SUBSTITUTE(TRIM(J456),".",""),"/",""),"-","")," ",""),"(",""),")",""),"+",""))=11),OR(K456="",LEN(SUBSTITUTE(SUBSTITUTE(SUBSTITUTE(SUBSTITUTE(SUBSTITUTE(SUBSTITUTE(SUBSTITUTE(TRIM(K456),".",""),"/",""),"-","")," ",""),"(",""),")",""),"+",""))=10,LEN(SUBSTITUTE(SUBSTITUTE(SUBSTITUTE(SUBSTITUTE(SUBSTITUTE(SUBSTITUTE(SUBSTITUTE(TRIM(K456),".",""),"/",""),"-","")," ",""),"(",""),")",""),"+",""))=11)),"OK","ERRO: use DDD + número (10 ou 11 dígitos)"))</f>
      </c>
      <c r="T456" s="6">
        <f>IF(L456="","vazio",IF(AND(ISNUMBER(FIND("@",L456)),ISNUMBER(FIND(".",MID(L456,FIND("@",L456),99))),NOT(ISNUMBER(FIND(" ",TRIM(L456)))),NOT(ISNUMBER(FIND(";",L456))),NOT(ISNUMBER(FIND(",",L456)))),"OK","ERRO: um e-mail válido por linha"))</f>
      </c>
      <c r="U456" s="6">
        <f>IF(COUNTA(A456:O456)=0,"",IF(AND(B456&lt;&gt;"",C456&lt;&gt;"",D456&lt;&gt;"",E456&lt;&gt;"",H456&lt;&gt;"",OR(J456&lt;&gt;"",L456&lt;&gt;"")),"OK","ERRO: faltam "&amp;IF(B456="","Proprietário; ","")&amp;IF(C456="","Origem; ","")&amp;IF(D456="","CNPJ; ","")&amp;IF(E456="","Razão Social; ","")&amp;IF(H456="","Sobrenome; ","")&amp;IF(AND(J456="",L456=""),"telefone ou e-mail; ","")))</f>
      </c>
      <c r="V456" s="6">
        <f>IF(COUNTA(A456:O456)=0,"",IF(AND(Q456="OK",R456="OK",LEFT(S456,4)&lt;&gt;"ERRO",LEFT(T456,4)&lt;&gt;"ERRO",U456="OK"),"OK","REVISAR"))</f>
      </c>
    </row>
    <row r="457">
      <c r="A457" s="4"/>
      <c r="B457" s="5"/>
      <c r="C457" s="5"/>
      <c r="D457" s="5"/>
      <c r="E457" s="5"/>
      <c r="F457" s="4"/>
      <c r="G457" s="4"/>
      <c r="H457" s="5"/>
      <c r="I457" s="4"/>
      <c r="J457" s="4"/>
      <c r="K457" s="4"/>
      <c r="L457" s="4"/>
      <c r="M457" s="4"/>
      <c r="N457" s="4"/>
      <c r="O457" s="4"/>
      <c r="P457" s="6">
        <f>IF(D457="","",SUBSTITUTE(SUBSTITUTE(SUBSTITUTE(SUBSTITUTE(SUBSTITUTE(SUBSTITUTE(SUBSTITUTE(TRIM(D457),".",""),"/",""),"-","")," ",""),"(",""),")",""),"+",""))</f>
      </c>
      <c r="Q457" s="6">
        <f>IF(P457="","",IF(LEN(P457)&lt;&gt;14,"ERRO: "&amp;LEN(P457)&amp;" dígitos",IF(NOT(ISNUMBER(VALUE(P457))),"ERRO: não numérico",IF(LEN(SUBSTITUTE(P457,LEFT(P457,1),""))=0,"ERRO: dígitos repetidos",IF(AND(VALUE(MID(P457,13,1))=IF(MOD(SUMPRODUCT(--MID(P457,{1,2,3,4,5,6,7,8,9,10,11,12},1),{5,4,3,2,9,8,7,6,5,4,3,2}),11)&lt;2,0,11-MOD(SUMPRODUCT(--MID(P457,{1,2,3,4,5,6,7,8,9,10,11,12},1),{5,4,3,2,9,8,7,6,5,4,3,2}),11)),VALUE(MID(P457,14,1))=IF(MOD(SUMPRODUCT(--MID(P457,{1,2,3,4,5,6,7,8,9,10,11,12,13},1),{6,5,4,3,2,9,8,7,6,5,4,3,2}),11)&lt;2,0,11-MOD(SUMPRODUCT(--MID(P457,{1,2,3,4,5,6,7,8,9,10,11,12,13},1),{6,5,4,3,2,9,8,7,6,5,4,3,2}),11))),"OK","ERRO: dígito verificador")))))</f>
      </c>
      <c r="R457" s="6">
        <f>IF(P457="","",IF(COUNTIF($P$2:$P$1001,P457)&gt;1,"DUPLICADO","OK"))</f>
      </c>
      <c r="S457" s="6">
        <f>IF(AND(J457="",K457=""),"vazio",IF(AND(OR(J457="",LEN(SUBSTITUTE(SUBSTITUTE(SUBSTITUTE(SUBSTITUTE(SUBSTITUTE(SUBSTITUTE(SUBSTITUTE(TRIM(J457),".",""),"/",""),"-","")," ",""),"(",""),")",""),"+",""))=10,LEN(SUBSTITUTE(SUBSTITUTE(SUBSTITUTE(SUBSTITUTE(SUBSTITUTE(SUBSTITUTE(SUBSTITUTE(TRIM(J457),".",""),"/",""),"-","")," ",""),"(",""),")",""),"+",""))=11),OR(K457="",LEN(SUBSTITUTE(SUBSTITUTE(SUBSTITUTE(SUBSTITUTE(SUBSTITUTE(SUBSTITUTE(SUBSTITUTE(TRIM(K457),".",""),"/",""),"-","")," ",""),"(",""),")",""),"+",""))=10,LEN(SUBSTITUTE(SUBSTITUTE(SUBSTITUTE(SUBSTITUTE(SUBSTITUTE(SUBSTITUTE(SUBSTITUTE(TRIM(K457),".",""),"/",""),"-","")," ",""),"(",""),")",""),"+",""))=11)),"OK","ERRO: use DDD + número (10 ou 11 dígitos)"))</f>
      </c>
      <c r="T457" s="6">
        <f>IF(L457="","vazio",IF(AND(ISNUMBER(FIND("@",L457)),ISNUMBER(FIND(".",MID(L457,FIND("@",L457),99))),NOT(ISNUMBER(FIND(" ",TRIM(L457)))),NOT(ISNUMBER(FIND(";",L457))),NOT(ISNUMBER(FIND(",",L457)))),"OK","ERRO: um e-mail válido por linha"))</f>
      </c>
      <c r="U457" s="6">
        <f>IF(COUNTA(A457:O457)=0,"",IF(AND(B457&lt;&gt;"",C457&lt;&gt;"",D457&lt;&gt;"",E457&lt;&gt;"",H457&lt;&gt;"",OR(J457&lt;&gt;"",L457&lt;&gt;"")),"OK","ERRO: faltam "&amp;IF(B457="","Proprietário; ","")&amp;IF(C457="","Origem; ","")&amp;IF(D457="","CNPJ; ","")&amp;IF(E457="","Razão Social; ","")&amp;IF(H457="","Sobrenome; ","")&amp;IF(AND(J457="",L457=""),"telefone ou e-mail; ","")))</f>
      </c>
      <c r="V457" s="6">
        <f>IF(COUNTA(A457:O457)=0,"",IF(AND(Q457="OK",R457="OK",LEFT(S457,4)&lt;&gt;"ERRO",LEFT(T457,4)&lt;&gt;"ERRO",U457="OK"),"OK","REVISAR"))</f>
      </c>
    </row>
    <row r="458">
      <c r="A458" s="4"/>
      <c r="B458" s="5"/>
      <c r="C458" s="5"/>
      <c r="D458" s="5"/>
      <c r="E458" s="5"/>
      <c r="F458" s="4"/>
      <c r="G458" s="4"/>
      <c r="H458" s="5"/>
      <c r="I458" s="4"/>
      <c r="J458" s="4"/>
      <c r="K458" s="4"/>
      <c r="L458" s="4"/>
      <c r="M458" s="4"/>
      <c r="N458" s="4"/>
      <c r="O458" s="4"/>
      <c r="P458" s="6">
        <f>IF(D458="","",SUBSTITUTE(SUBSTITUTE(SUBSTITUTE(SUBSTITUTE(SUBSTITUTE(SUBSTITUTE(SUBSTITUTE(TRIM(D458),".",""),"/",""),"-","")," ",""),"(",""),")",""),"+",""))</f>
      </c>
      <c r="Q458" s="6">
        <f>IF(P458="","",IF(LEN(P458)&lt;&gt;14,"ERRO: "&amp;LEN(P458)&amp;" dígitos",IF(NOT(ISNUMBER(VALUE(P458))),"ERRO: não numérico",IF(LEN(SUBSTITUTE(P458,LEFT(P458,1),""))=0,"ERRO: dígitos repetidos",IF(AND(VALUE(MID(P458,13,1))=IF(MOD(SUMPRODUCT(--MID(P458,{1,2,3,4,5,6,7,8,9,10,11,12},1),{5,4,3,2,9,8,7,6,5,4,3,2}),11)&lt;2,0,11-MOD(SUMPRODUCT(--MID(P458,{1,2,3,4,5,6,7,8,9,10,11,12},1),{5,4,3,2,9,8,7,6,5,4,3,2}),11)),VALUE(MID(P458,14,1))=IF(MOD(SUMPRODUCT(--MID(P458,{1,2,3,4,5,6,7,8,9,10,11,12,13},1),{6,5,4,3,2,9,8,7,6,5,4,3,2}),11)&lt;2,0,11-MOD(SUMPRODUCT(--MID(P458,{1,2,3,4,5,6,7,8,9,10,11,12,13},1),{6,5,4,3,2,9,8,7,6,5,4,3,2}),11))),"OK","ERRO: dígito verificador")))))</f>
      </c>
      <c r="R458" s="6">
        <f>IF(P458="","",IF(COUNTIF($P$2:$P$1001,P458)&gt;1,"DUPLICADO","OK"))</f>
      </c>
      <c r="S458" s="6">
        <f>IF(AND(J458="",K458=""),"vazio",IF(AND(OR(J458="",LEN(SUBSTITUTE(SUBSTITUTE(SUBSTITUTE(SUBSTITUTE(SUBSTITUTE(SUBSTITUTE(SUBSTITUTE(TRIM(J458),".",""),"/",""),"-","")," ",""),"(",""),")",""),"+",""))=10,LEN(SUBSTITUTE(SUBSTITUTE(SUBSTITUTE(SUBSTITUTE(SUBSTITUTE(SUBSTITUTE(SUBSTITUTE(TRIM(J458),".",""),"/",""),"-","")," ",""),"(",""),")",""),"+",""))=11),OR(K458="",LEN(SUBSTITUTE(SUBSTITUTE(SUBSTITUTE(SUBSTITUTE(SUBSTITUTE(SUBSTITUTE(SUBSTITUTE(TRIM(K458),".",""),"/",""),"-","")," ",""),"(",""),")",""),"+",""))=10,LEN(SUBSTITUTE(SUBSTITUTE(SUBSTITUTE(SUBSTITUTE(SUBSTITUTE(SUBSTITUTE(SUBSTITUTE(TRIM(K458),".",""),"/",""),"-","")," ",""),"(",""),")",""),"+",""))=11)),"OK","ERRO: use DDD + número (10 ou 11 dígitos)"))</f>
      </c>
      <c r="T458" s="6">
        <f>IF(L458="","vazio",IF(AND(ISNUMBER(FIND("@",L458)),ISNUMBER(FIND(".",MID(L458,FIND("@",L458),99))),NOT(ISNUMBER(FIND(" ",TRIM(L458)))),NOT(ISNUMBER(FIND(";",L458))),NOT(ISNUMBER(FIND(",",L458)))),"OK","ERRO: um e-mail válido por linha"))</f>
      </c>
      <c r="U458" s="6">
        <f>IF(COUNTA(A458:O458)=0,"",IF(AND(B458&lt;&gt;"",C458&lt;&gt;"",D458&lt;&gt;"",E458&lt;&gt;"",H458&lt;&gt;"",OR(J458&lt;&gt;"",L458&lt;&gt;"")),"OK","ERRO: faltam "&amp;IF(B458="","Proprietário; ","")&amp;IF(C458="","Origem; ","")&amp;IF(D458="","CNPJ; ","")&amp;IF(E458="","Razão Social; ","")&amp;IF(H458="","Sobrenome; ","")&amp;IF(AND(J458="",L458=""),"telefone ou e-mail; ","")))</f>
      </c>
      <c r="V458" s="6">
        <f>IF(COUNTA(A458:O458)=0,"",IF(AND(Q458="OK",R458="OK",LEFT(S458,4)&lt;&gt;"ERRO",LEFT(T458,4)&lt;&gt;"ERRO",U458="OK"),"OK","REVISAR"))</f>
      </c>
    </row>
    <row r="459">
      <c r="A459" s="4"/>
      <c r="B459" s="5"/>
      <c r="C459" s="5"/>
      <c r="D459" s="5"/>
      <c r="E459" s="5"/>
      <c r="F459" s="4"/>
      <c r="G459" s="4"/>
      <c r="H459" s="5"/>
      <c r="I459" s="4"/>
      <c r="J459" s="4"/>
      <c r="K459" s="4"/>
      <c r="L459" s="4"/>
      <c r="M459" s="4"/>
      <c r="N459" s="4"/>
      <c r="O459" s="4"/>
      <c r="P459" s="6">
        <f>IF(D459="","",SUBSTITUTE(SUBSTITUTE(SUBSTITUTE(SUBSTITUTE(SUBSTITUTE(SUBSTITUTE(SUBSTITUTE(TRIM(D459),".",""),"/",""),"-","")," ",""),"(",""),")",""),"+",""))</f>
      </c>
      <c r="Q459" s="6">
        <f>IF(P459="","",IF(LEN(P459)&lt;&gt;14,"ERRO: "&amp;LEN(P459)&amp;" dígitos",IF(NOT(ISNUMBER(VALUE(P459))),"ERRO: não numérico",IF(LEN(SUBSTITUTE(P459,LEFT(P459,1),""))=0,"ERRO: dígitos repetidos",IF(AND(VALUE(MID(P459,13,1))=IF(MOD(SUMPRODUCT(--MID(P459,{1,2,3,4,5,6,7,8,9,10,11,12},1),{5,4,3,2,9,8,7,6,5,4,3,2}),11)&lt;2,0,11-MOD(SUMPRODUCT(--MID(P459,{1,2,3,4,5,6,7,8,9,10,11,12},1),{5,4,3,2,9,8,7,6,5,4,3,2}),11)),VALUE(MID(P459,14,1))=IF(MOD(SUMPRODUCT(--MID(P459,{1,2,3,4,5,6,7,8,9,10,11,12,13},1),{6,5,4,3,2,9,8,7,6,5,4,3,2}),11)&lt;2,0,11-MOD(SUMPRODUCT(--MID(P459,{1,2,3,4,5,6,7,8,9,10,11,12,13},1),{6,5,4,3,2,9,8,7,6,5,4,3,2}),11))),"OK","ERRO: dígito verificador")))))</f>
      </c>
      <c r="R459" s="6">
        <f>IF(P459="","",IF(COUNTIF($P$2:$P$1001,P459)&gt;1,"DUPLICADO","OK"))</f>
      </c>
      <c r="S459" s="6">
        <f>IF(AND(J459="",K459=""),"vazio",IF(AND(OR(J459="",LEN(SUBSTITUTE(SUBSTITUTE(SUBSTITUTE(SUBSTITUTE(SUBSTITUTE(SUBSTITUTE(SUBSTITUTE(TRIM(J459),".",""),"/",""),"-","")," ",""),"(",""),")",""),"+",""))=10,LEN(SUBSTITUTE(SUBSTITUTE(SUBSTITUTE(SUBSTITUTE(SUBSTITUTE(SUBSTITUTE(SUBSTITUTE(TRIM(J459),".",""),"/",""),"-","")," ",""),"(",""),")",""),"+",""))=11),OR(K459="",LEN(SUBSTITUTE(SUBSTITUTE(SUBSTITUTE(SUBSTITUTE(SUBSTITUTE(SUBSTITUTE(SUBSTITUTE(TRIM(K459),".",""),"/",""),"-","")," ",""),"(",""),")",""),"+",""))=10,LEN(SUBSTITUTE(SUBSTITUTE(SUBSTITUTE(SUBSTITUTE(SUBSTITUTE(SUBSTITUTE(SUBSTITUTE(TRIM(K459),".",""),"/",""),"-","")," ",""),"(",""),")",""),"+",""))=11)),"OK","ERRO: use DDD + número (10 ou 11 dígitos)"))</f>
      </c>
      <c r="T459" s="6">
        <f>IF(L459="","vazio",IF(AND(ISNUMBER(FIND("@",L459)),ISNUMBER(FIND(".",MID(L459,FIND("@",L459),99))),NOT(ISNUMBER(FIND(" ",TRIM(L459)))),NOT(ISNUMBER(FIND(";",L459))),NOT(ISNUMBER(FIND(",",L459)))),"OK","ERRO: um e-mail válido por linha"))</f>
      </c>
      <c r="U459" s="6">
        <f>IF(COUNTA(A459:O459)=0,"",IF(AND(B459&lt;&gt;"",C459&lt;&gt;"",D459&lt;&gt;"",E459&lt;&gt;"",H459&lt;&gt;"",OR(J459&lt;&gt;"",L459&lt;&gt;"")),"OK","ERRO: faltam "&amp;IF(B459="","Proprietário; ","")&amp;IF(C459="","Origem; ","")&amp;IF(D459="","CNPJ; ","")&amp;IF(E459="","Razão Social; ","")&amp;IF(H459="","Sobrenome; ","")&amp;IF(AND(J459="",L459=""),"telefone ou e-mail; ","")))</f>
      </c>
      <c r="V459" s="6">
        <f>IF(COUNTA(A459:O459)=0,"",IF(AND(Q459="OK",R459="OK",LEFT(S459,4)&lt;&gt;"ERRO",LEFT(T459,4)&lt;&gt;"ERRO",U459="OK"),"OK","REVISAR"))</f>
      </c>
    </row>
    <row r="460">
      <c r="A460" s="4"/>
      <c r="B460" s="5"/>
      <c r="C460" s="5"/>
      <c r="D460" s="5"/>
      <c r="E460" s="5"/>
      <c r="F460" s="4"/>
      <c r="G460" s="4"/>
      <c r="H460" s="5"/>
      <c r="I460" s="4"/>
      <c r="J460" s="4"/>
      <c r="K460" s="4"/>
      <c r="L460" s="4"/>
      <c r="M460" s="4"/>
      <c r="N460" s="4"/>
      <c r="O460" s="4"/>
      <c r="P460" s="6">
        <f>IF(D460="","",SUBSTITUTE(SUBSTITUTE(SUBSTITUTE(SUBSTITUTE(SUBSTITUTE(SUBSTITUTE(SUBSTITUTE(TRIM(D460),".",""),"/",""),"-","")," ",""),"(",""),")",""),"+",""))</f>
      </c>
      <c r="Q460" s="6">
        <f>IF(P460="","",IF(LEN(P460)&lt;&gt;14,"ERRO: "&amp;LEN(P460)&amp;" dígitos",IF(NOT(ISNUMBER(VALUE(P460))),"ERRO: não numérico",IF(LEN(SUBSTITUTE(P460,LEFT(P460,1),""))=0,"ERRO: dígitos repetidos",IF(AND(VALUE(MID(P460,13,1))=IF(MOD(SUMPRODUCT(--MID(P460,{1,2,3,4,5,6,7,8,9,10,11,12},1),{5,4,3,2,9,8,7,6,5,4,3,2}),11)&lt;2,0,11-MOD(SUMPRODUCT(--MID(P460,{1,2,3,4,5,6,7,8,9,10,11,12},1),{5,4,3,2,9,8,7,6,5,4,3,2}),11)),VALUE(MID(P460,14,1))=IF(MOD(SUMPRODUCT(--MID(P460,{1,2,3,4,5,6,7,8,9,10,11,12,13},1),{6,5,4,3,2,9,8,7,6,5,4,3,2}),11)&lt;2,0,11-MOD(SUMPRODUCT(--MID(P460,{1,2,3,4,5,6,7,8,9,10,11,12,13},1),{6,5,4,3,2,9,8,7,6,5,4,3,2}),11))),"OK","ERRO: dígito verificador")))))</f>
      </c>
      <c r="R460" s="6">
        <f>IF(P460="","",IF(COUNTIF($P$2:$P$1001,P460)&gt;1,"DUPLICADO","OK"))</f>
      </c>
      <c r="S460" s="6">
        <f>IF(AND(J460="",K460=""),"vazio",IF(AND(OR(J460="",LEN(SUBSTITUTE(SUBSTITUTE(SUBSTITUTE(SUBSTITUTE(SUBSTITUTE(SUBSTITUTE(SUBSTITUTE(TRIM(J460),".",""),"/",""),"-","")," ",""),"(",""),")",""),"+",""))=10,LEN(SUBSTITUTE(SUBSTITUTE(SUBSTITUTE(SUBSTITUTE(SUBSTITUTE(SUBSTITUTE(SUBSTITUTE(TRIM(J460),".",""),"/",""),"-","")," ",""),"(",""),")",""),"+",""))=11),OR(K460="",LEN(SUBSTITUTE(SUBSTITUTE(SUBSTITUTE(SUBSTITUTE(SUBSTITUTE(SUBSTITUTE(SUBSTITUTE(TRIM(K460),".",""),"/",""),"-","")," ",""),"(",""),")",""),"+",""))=10,LEN(SUBSTITUTE(SUBSTITUTE(SUBSTITUTE(SUBSTITUTE(SUBSTITUTE(SUBSTITUTE(SUBSTITUTE(TRIM(K460),".",""),"/",""),"-","")," ",""),"(",""),")",""),"+",""))=11)),"OK","ERRO: use DDD + número (10 ou 11 dígitos)"))</f>
      </c>
      <c r="T460" s="6">
        <f>IF(L460="","vazio",IF(AND(ISNUMBER(FIND("@",L460)),ISNUMBER(FIND(".",MID(L460,FIND("@",L460),99))),NOT(ISNUMBER(FIND(" ",TRIM(L460)))),NOT(ISNUMBER(FIND(";",L460))),NOT(ISNUMBER(FIND(",",L460)))),"OK","ERRO: um e-mail válido por linha"))</f>
      </c>
      <c r="U460" s="6">
        <f>IF(COUNTA(A460:O460)=0,"",IF(AND(B460&lt;&gt;"",C460&lt;&gt;"",D460&lt;&gt;"",E460&lt;&gt;"",H460&lt;&gt;"",OR(J460&lt;&gt;"",L460&lt;&gt;"")),"OK","ERRO: faltam "&amp;IF(B460="","Proprietário; ","")&amp;IF(C460="","Origem; ","")&amp;IF(D460="","CNPJ; ","")&amp;IF(E460="","Razão Social; ","")&amp;IF(H460="","Sobrenome; ","")&amp;IF(AND(J460="",L460=""),"telefone ou e-mail; ","")))</f>
      </c>
      <c r="V460" s="6">
        <f>IF(COUNTA(A460:O460)=0,"",IF(AND(Q460="OK",R460="OK",LEFT(S460,4)&lt;&gt;"ERRO",LEFT(T460,4)&lt;&gt;"ERRO",U460="OK"),"OK","REVISAR"))</f>
      </c>
    </row>
    <row r="461">
      <c r="A461" s="4"/>
      <c r="B461" s="5"/>
      <c r="C461" s="5"/>
      <c r="D461" s="5"/>
      <c r="E461" s="5"/>
      <c r="F461" s="4"/>
      <c r="G461" s="4"/>
      <c r="H461" s="5"/>
      <c r="I461" s="4"/>
      <c r="J461" s="4"/>
      <c r="K461" s="4"/>
      <c r="L461" s="4"/>
      <c r="M461" s="4"/>
      <c r="N461" s="4"/>
      <c r="O461" s="4"/>
      <c r="P461" s="6">
        <f>IF(D461="","",SUBSTITUTE(SUBSTITUTE(SUBSTITUTE(SUBSTITUTE(SUBSTITUTE(SUBSTITUTE(SUBSTITUTE(TRIM(D461),".",""),"/",""),"-","")," ",""),"(",""),")",""),"+",""))</f>
      </c>
      <c r="Q461" s="6">
        <f>IF(P461="","",IF(LEN(P461)&lt;&gt;14,"ERRO: "&amp;LEN(P461)&amp;" dígitos",IF(NOT(ISNUMBER(VALUE(P461))),"ERRO: não numérico",IF(LEN(SUBSTITUTE(P461,LEFT(P461,1),""))=0,"ERRO: dígitos repetidos",IF(AND(VALUE(MID(P461,13,1))=IF(MOD(SUMPRODUCT(--MID(P461,{1,2,3,4,5,6,7,8,9,10,11,12},1),{5,4,3,2,9,8,7,6,5,4,3,2}),11)&lt;2,0,11-MOD(SUMPRODUCT(--MID(P461,{1,2,3,4,5,6,7,8,9,10,11,12},1),{5,4,3,2,9,8,7,6,5,4,3,2}),11)),VALUE(MID(P461,14,1))=IF(MOD(SUMPRODUCT(--MID(P461,{1,2,3,4,5,6,7,8,9,10,11,12,13},1),{6,5,4,3,2,9,8,7,6,5,4,3,2}),11)&lt;2,0,11-MOD(SUMPRODUCT(--MID(P461,{1,2,3,4,5,6,7,8,9,10,11,12,13},1),{6,5,4,3,2,9,8,7,6,5,4,3,2}),11))),"OK","ERRO: dígito verificador")))))</f>
      </c>
      <c r="R461" s="6">
        <f>IF(P461="","",IF(COUNTIF($P$2:$P$1001,P461)&gt;1,"DUPLICADO","OK"))</f>
      </c>
      <c r="S461" s="6">
        <f>IF(AND(J461="",K461=""),"vazio",IF(AND(OR(J461="",LEN(SUBSTITUTE(SUBSTITUTE(SUBSTITUTE(SUBSTITUTE(SUBSTITUTE(SUBSTITUTE(SUBSTITUTE(TRIM(J461),".",""),"/",""),"-","")," ",""),"(",""),")",""),"+",""))=10,LEN(SUBSTITUTE(SUBSTITUTE(SUBSTITUTE(SUBSTITUTE(SUBSTITUTE(SUBSTITUTE(SUBSTITUTE(TRIM(J461),".",""),"/",""),"-","")," ",""),"(",""),")",""),"+",""))=11),OR(K461="",LEN(SUBSTITUTE(SUBSTITUTE(SUBSTITUTE(SUBSTITUTE(SUBSTITUTE(SUBSTITUTE(SUBSTITUTE(TRIM(K461),".",""),"/",""),"-","")," ",""),"(",""),")",""),"+",""))=10,LEN(SUBSTITUTE(SUBSTITUTE(SUBSTITUTE(SUBSTITUTE(SUBSTITUTE(SUBSTITUTE(SUBSTITUTE(TRIM(K461),".",""),"/",""),"-","")," ",""),"(",""),")",""),"+",""))=11)),"OK","ERRO: use DDD + número (10 ou 11 dígitos)"))</f>
      </c>
      <c r="T461" s="6">
        <f>IF(L461="","vazio",IF(AND(ISNUMBER(FIND("@",L461)),ISNUMBER(FIND(".",MID(L461,FIND("@",L461),99))),NOT(ISNUMBER(FIND(" ",TRIM(L461)))),NOT(ISNUMBER(FIND(";",L461))),NOT(ISNUMBER(FIND(",",L461)))),"OK","ERRO: um e-mail válido por linha"))</f>
      </c>
      <c r="U461" s="6">
        <f>IF(COUNTA(A461:O461)=0,"",IF(AND(B461&lt;&gt;"",C461&lt;&gt;"",D461&lt;&gt;"",E461&lt;&gt;"",H461&lt;&gt;"",OR(J461&lt;&gt;"",L461&lt;&gt;"")),"OK","ERRO: faltam "&amp;IF(B461="","Proprietário; ","")&amp;IF(C461="","Origem; ","")&amp;IF(D461="","CNPJ; ","")&amp;IF(E461="","Razão Social; ","")&amp;IF(H461="","Sobrenome; ","")&amp;IF(AND(J461="",L461=""),"telefone ou e-mail; ","")))</f>
      </c>
      <c r="V461" s="6">
        <f>IF(COUNTA(A461:O461)=0,"",IF(AND(Q461="OK",R461="OK",LEFT(S461,4)&lt;&gt;"ERRO",LEFT(T461,4)&lt;&gt;"ERRO",U461="OK"),"OK","REVISAR"))</f>
      </c>
    </row>
    <row r="462">
      <c r="A462" s="4"/>
      <c r="B462" s="5"/>
      <c r="C462" s="5"/>
      <c r="D462" s="5"/>
      <c r="E462" s="5"/>
      <c r="F462" s="4"/>
      <c r="G462" s="4"/>
      <c r="H462" s="5"/>
      <c r="I462" s="4"/>
      <c r="J462" s="4"/>
      <c r="K462" s="4"/>
      <c r="L462" s="4"/>
      <c r="M462" s="4"/>
      <c r="N462" s="4"/>
      <c r="O462" s="4"/>
      <c r="P462" s="6">
        <f>IF(D462="","",SUBSTITUTE(SUBSTITUTE(SUBSTITUTE(SUBSTITUTE(SUBSTITUTE(SUBSTITUTE(SUBSTITUTE(TRIM(D462),".",""),"/",""),"-","")," ",""),"(",""),")",""),"+",""))</f>
      </c>
      <c r="Q462" s="6">
        <f>IF(P462="","",IF(LEN(P462)&lt;&gt;14,"ERRO: "&amp;LEN(P462)&amp;" dígitos",IF(NOT(ISNUMBER(VALUE(P462))),"ERRO: não numérico",IF(LEN(SUBSTITUTE(P462,LEFT(P462,1),""))=0,"ERRO: dígitos repetidos",IF(AND(VALUE(MID(P462,13,1))=IF(MOD(SUMPRODUCT(--MID(P462,{1,2,3,4,5,6,7,8,9,10,11,12},1),{5,4,3,2,9,8,7,6,5,4,3,2}),11)&lt;2,0,11-MOD(SUMPRODUCT(--MID(P462,{1,2,3,4,5,6,7,8,9,10,11,12},1),{5,4,3,2,9,8,7,6,5,4,3,2}),11)),VALUE(MID(P462,14,1))=IF(MOD(SUMPRODUCT(--MID(P462,{1,2,3,4,5,6,7,8,9,10,11,12,13},1),{6,5,4,3,2,9,8,7,6,5,4,3,2}),11)&lt;2,0,11-MOD(SUMPRODUCT(--MID(P462,{1,2,3,4,5,6,7,8,9,10,11,12,13},1),{6,5,4,3,2,9,8,7,6,5,4,3,2}),11))),"OK","ERRO: dígito verificador")))))</f>
      </c>
      <c r="R462" s="6">
        <f>IF(P462="","",IF(COUNTIF($P$2:$P$1001,P462)&gt;1,"DUPLICADO","OK"))</f>
      </c>
      <c r="S462" s="6">
        <f>IF(AND(J462="",K462=""),"vazio",IF(AND(OR(J462="",LEN(SUBSTITUTE(SUBSTITUTE(SUBSTITUTE(SUBSTITUTE(SUBSTITUTE(SUBSTITUTE(SUBSTITUTE(TRIM(J462),".",""),"/",""),"-","")," ",""),"(",""),")",""),"+",""))=10,LEN(SUBSTITUTE(SUBSTITUTE(SUBSTITUTE(SUBSTITUTE(SUBSTITUTE(SUBSTITUTE(SUBSTITUTE(TRIM(J462),".",""),"/",""),"-","")," ",""),"(",""),")",""),"+",""))=11),OR(K462="",LEN(SUBSTITUTE(SUBSTITUTE(SUBSTITUTE(SUBSTITUTE(SUBSTITUTE(SUBSTITUTE(SUBSTITUTE(TRIM(K462),".",""),"/",""),"-","")," ",""),"(",""),")",""),"+",""))=10,LEN(SUBSTITUTE(SUBSTITUTE(SUBSTITUTE(SUBSTITUTE(SUBSTITUTE(SUBSTITUTE(SUBSTITUTE(TRIM(K462),".",""),"/",""),"-","")," ",""),"(",""),")",""),"+",""))=11)),"OK","ERRO: use DDD + número (10 ou 11 dígitos)"))</f>
      </c>
      <c r="T462" s="6">
        <f>IF(L462="","vazio",IF(AND(ISNUMBER(FIND("@",L462)),ISNUMBER(FIND(".",MID(L462,FIND("@",L462),99))),NOT(ISNUMBER(FIND(" ",TRIM(L462)))),NOT(ISNUMBER(FIND(";",L462))),NOT(ISNUMBER(FIND(",",L462)))),"OK","ERRO: um e-mail válido por linha"))</f>
      </c>
      <c r="U462" s="6">
        <f>IF(COUNTA(A462:O462)=0,"",IF(AND(B462&lt;&gt;"",C462&lt;&gt;"",D462&lt;&gt;"",E462&lt;&gt;"",H462&lt;&gt;"",OR(J462&lt;&gt;"",L462&lt;&gt;"")),"OK","ERRO: faltam "&amp;IF(B462="","Proprietário; ","")&amp;IF(C462="","Origem; ","")&amp;IF(D462="","CNPJ; ","")&amp;IF(E462="","Razão Social; ","")&amp;IF(H462="","Sobrenome; ","")&amp;IF(AND(J462="",L462=""),"telefone ou e-mail; ","")))</f>
      </c>
      <c r="V462" s="6">
        <f>IF(COUNTA(A462:O462)=0,"",IF(AND(Q462="OK",R462="OK",LEFT(S462,4)&lt;&gt;"ERRO",LEFT(T462,4)&lt;&gt;"ERRO",U462="OK"),"OK","REVISAR"))</f>
      </c>
    </row>
    <row r="463">
      <c r="A463" s="4"/>
      <c r="B463" s="5"/>
      <c r="C463" s="5"/>
      <c r="D463" s="5"/>
      <c r="E463" s="5"/>
      <c r="F463" s="4"/>
      <c r="G463" s="4"/>
      <c r="H463" s="5"/>
      <c r="I463" s="4"/>
      <c r="J463" s="4"/>
      <c r="K463" s="4"/>
      <c r="L463" s="4"/>
      <c r="M463" s="4"/>
      <c r="N463" s="4"/>
      <c r="O463" s="4"/>
      <c r="P463" s="6">
        <f>IF(D463="","",SUBSTITUTE(SUBSTITUTE(SUBSTITUTE(SUBSTITUTE(SUBSTITUTE(SUBSTITUTE(SUBSTITUTE(TRIM(D463),".",""),"/",""),"-","")," ",""),"(",""),")",""),"+",""))</f>
      </c>
      <c r="Q463" s="6">
        <f>IF(P463="","",IF(LEN(P463)&lt;&gt;14,"ERRO: "&amp;LEN(P463)&amp;" dígitos",IF(NOT(ISNUMBER(VALUE(P463))),"ERRO: não numérico",IF(LEN(SUBSTITUTE(P463,LEFT(P463,1),""))=0,"ERRO: dígitos repetidos",IF(AND(VALUE(MID(P463,13,1))=IF(MOD(SUMPRODUCT(--MID(P463,{1,2,3,4,5,6,7,8,9,10,11,12},1),{5,4,3,2,9,8,7,6,5,4,3,2}),11)&lt;2,0,11-MOD(SUMPRODUCT(--MID(P463,{1,2,3,4,5,6,7,8,9,10,11,12},1),{5,4,3,2,9,8,7,6,5,4,3,2}),11)),VALUE(MID(P463,14,1))=IF(MOD(SUMPRODUCT(--MID(P463,{1,2,3,4,5,6,7,8,9,10,11,12,13},1),{6,5,4,3,2,9,8,7,6,5,4,3,2}),11)&lt;2,0,11-MOD(SUMPRODUCT(--MID(P463,{1,2,3,4,5,6,7,8,9,10,11,12,13},1),{6,5,4,3,2,9,8,7,6,5,4,3,2}),11))),"OK","ERRO: dígito verificador")))))</f>
      </c>
      <c r="R463" s="6">
        <f>IF(P463="","",IF(COUNTIF($P$2:$P$1001,P463)&gt;1,"DUPLICADO","OK"))</f>
      </c>
      <c r="S463" s="6">
        <f>IF(AND(J463="",K463=""),"vazio",IF(AND(OR(J463="",LEN(SUBSTITUTE(SUBSTITUTE(SUBSTITUTE(SUBSTITUTE(SUBSTITUTE(SUBSTITUTE(SUBSTITUTE(TRIM(J463),".",""),"/",""),"-","")," ",""),"(",""),")",""),"+",""))=10,LEN(SUBSTITUTE(SUBSTITUTE(SUBSTITUTE(SUBSTITUTE(SUBSTITUTE(SUBSTITUTE(SUBSTITUTE(TRIM(J463),".",""),"/",""),"-","")," ",""),"(",""),")",""),"+",""))=11),OR(K463="",LEN(SUBSTITUTE(SUBSTITUTE(SUBSTITUTE(SUBSTITUTE(SUBSTITUTE(SUBSTITUTE(SUBSTITUTE(TRIM(K463),".",""),"/",""),"-","")," ",""),"(",""),")",""),"+",""))=10,LEN(SUBSTITUTE(SUBSTITUTE(SUBSTITUTE(SUBSTITUTE(SUBSTITUTE(SUBSTITUTE(SUBSTITUTE(TRIM(K463),".",""),"/",""),"-","")," ",""),"(",""),")",""),"+",""))=11)),"OK","ERRO: use DDD + número (10 ou 11 dígitos)"))</f>
      </c>
      <c r="T463" s="6">
        <f>IF(L463="","vazio",IF(AND(ISNUMBER(FIND("@",L463)),ISNUMBER(FIND(".",MID(L463,FIND("@",L463),99))),NOT(ISNUMBER(FIND(" ",TRIM(L463)))),NOT(ISNUMBER(FIND(";",L463))),NOT(ISNUMBER(FIND(",",L463)))),"OK","ERRO: um e-mail válido por linha"))</f>
      </c>
      <c r="U463" s="6">
        <f>IF(COUNTA(A463:O463)=0,"",IF(AND(B463&lt;&gt;"",C463&lt;&gt;"",D463&lt;&gt;"",E463&lt;&gt;"",H463&lt;&gt;"",OR(J463&lt;&gt;"",L463&lt;&gt;"")),"OK","ERRO: faltam "&amp;IF(B463="","Proprietário; ","")&amp;IF(C463="","Origem; ","")&amp;IF(D463="","CNPJ; ","")&amp;IF(E463="","Razão Social; ","")&amp;IF(H463="","Sobrenome; ","")&amp;IF(AND(J463="",L463=""),"telefone ou e-mail; ","")))</f>
      </c>
      <c r="V463" s="6">
        <f>IF(COUNTA(A463:O463)=0,"",IF(AND(Q463="OK",R463="OK",LEFT(S463,4)&lt;&gt;"ERRO",LEFT(T463,4)&lt;&gt;"ERRO",U463="OK"),"OK","REVISAR"))</f>
      </c>
    </row>
    <row r="464">
      <c r="A464" s="4"/>
      <c r="B464" s="5"/>
      <c r="C464" s="5"/>
      <c r="D464" s="5"/>
      <c r="E464" s="5"/>
      <c r="F464" s="4"/>
      <c r="G464" s="4"/>
      <c r="H464" s="5"/>
      <c r="I464" s="4"/>
      <c r="J464" s="4"/>
      <c r="K464" s="4"/>
      <c r="L464" s="4"/>
      <c r="M464" s="4"/>
      <c r="N464" s="4"/>
      <c r="O464" s="4"/>
      <c r="P464" s="6">
        <f>IF(D464="","",SUBSTITUTE(SUBSTITUTE(SUBSTITUTE(SUBSTITUTE(SUBSTITUTE(SUBSTITUTE(SUBSTITUTE(TRIM(D464),".",""),"/",""),"-","")," ",""),"(",""),")",""),"+",""))</f>
      </c>
      <c r="Q464" s="6">
        <f>IF(P464="","",IF(LEN(P464)&lt;&gt;14,"ERRO: "&amp;LEN(P464)&amp;" dígitos",IF(NOT(ISNUMBER(VALUE(P464))),"ERRO: não numérico",IF(LEN(SUBSTITUTE(P464,LEFT(P464,1),""))=0,"ERRO: dígitos repetidos",IF(AND(VALUE(MID(P464,13,1))=IF(MOD(SUMPRODUCT(--MID(P464,{1,2,3,4,5,6,7,8,9,10,11,12},1),{5,4,3,2,9,8,7,6,5,4,3,2}),11)&lt;2,0,11-MOD(SUMPRODUCT(--MID(P464,{1,2,3,4,5,6,7,8,9,10,11,12},1),{5,4,3,2,9,8,7,6,5,4,3,2}),11)),VALUE(MID(P464,14,1))=IF(MOD(SUMPRODUCT(--MID(P464,{1,2,3,4,5,6,7,8,9,10,11,12,13},1),{6,5,4,3,2,9,8,7,6,5,4,3,2}),11)&lt;2,0,11-MOD(SUMPRODUCT(--MID(P464,{1,2,3,4,5,6,7,8,9,10,11,12,13},1),{6,5,4,3,2,9,8,7,6,5,4,3,2}),11))),"OK","ERRO: dígito verificador")))))</f>
      </c>
      <c r="R464" s="6">
        <f>IF(P464="","",IF(COUNTIF($P$2:$P$1001,P464)&gt;1,"DUPLICADO","OK"))</f>
      </c>
      <c r="S464" s="6">
        <f>IF(AND(J464="",K464=""),"vazio",IF(AND(OR(J464="",LEN(SUBSTITUTE(SUBSTITUTE(SUBSTITUTE(SUBSTITUTE(SUBSTITUTE(SUBSTITUTE(SUBSTITUTE(TRIM(J464),".",""),"/",""),"-","")," ",""),"(",""),")",""),"+",""))=10,LEN(SUBSTITUTE(SUBSTITUTE(SUBSTITUTE(SUBSTITUTE(SUBSTITUTE(SUBSTITUTE(SUBSTITUTE(TRIM(J464),".",""),"/",""),"-","")," ",""),"(",""),")",""),"+",""))=11),OR(K464="",LEN(SUBSTITUTE(SUBSTITUTE(SUBSTITUTE(SUBSTITUTE(SUBSTITUTE(SUBSTITUTE(SUBSTITUTE(TRIM(K464),".",""),"/",""),"-","")," ",""),"(",""),")",""),"+",""))=10,LEN(SUBSTITUTE(SUBSTITUTE(SUBSTITUTE(SUBSTITUTE(SUBSTITUTE(SUBSTITUTE(SUBSTITUTE(TRIM(K464),".",""),"/",""),"-","")," ",""),"(",""),")",""),"+",""))=11)),"OK","ERRO: use DDD + número (10 ou 11 dígitos)"))</f>
      </c>
      <c r="T464" s="6">
        <f>IF(L464="","vazio",IF(AND(ISNUMBER(FIND("@",L464)),ISNUMBER(FIND(".",MID(L464,FIND("@",L464),99))),NOT(ISNUMBER(FIND(" ",TRIM(L464)))),NOT(ISNUMBER(FIND(";",L464))),NOT(ISNUMBER(FIND(",",L464)))),"OK","ERRO: um e-mail válido por linha"))</f>
      </c>
      <c r="U464" s="6">
        <f>IF(COUNTA(A464:O464)=0,"",IF(AND(B464&lt;&gt;"",C464&lt;&gt;"",D464&lt;&gt;"",E464&lt;&gt;"",H464&lt;&gt;"",OR(J464&lt;&gt;"",L464&lt;&gt;"")),"OK","ERRO: faltam "&amp;IF(B464="","Proprietário; ","")&amp;IF(C464="","Origem; ","")&amp;IF(D464="","CNPJ; ","")&amp;IF(E464="","Razão Social; ","")&amp;IF(H464="","Sobrenome; ","")&amp;IF(AND(J464="",L464=""),"telefone ou e-mail; ","")))</f>
      </c>
      <c r="V464" s="6">
        <f>IF(COUNTA(A464:O464)=0,"",IF(AND(Q464="OK",R464="OK",LEFT(S464,4)&lt;&gt;"ERRO",LEFT(T464,4)&lt;&gt;"ERRO",U464="OK"),"OK","REVISAR"))</f>
      </c>
    </row>
    <row r="465">
      <c r="A465" s="4"/>
      <c r="B465" s="5"/>
      <c r="C465" s="5"/>
      <c r="D465" s="5"/>
      <c r="E465" s="5"/>
      <c r="F465" s="4"/>
      <c r="G465" s="4"/>
      <c r="H465" s="5"/>
      <c r="I465" s="4"/>
      <c r="J465" s="4"/>
      <c r="K465" s="4"/>
      <c r="L465" s="4"/>
      <c r="M465" s="4"/>
      <c r="N465" s="4"/>
      <c r="O465" s="4"/>
      <c r="P465" s="6">
        <f>IF(D465="","",SUBSTITUTE(SUBSTITUTE(SUBSTITUTE(SUBSTITUTE(SUBSTITUTE(SUBSTITUTE(SUBSTITUTE(TRIM(D465),".",""),"/",""),"-","")," ",""),"(",""),")",""),"+",""))</f>
      </c>
      <c r="Q465" s="6">
        <f>IF(P465="","",IF(LEN(P465)&lt;&gt;14,"ERRO: "&amp;LEN(P465)&amp;" dígitos",IF(NOT(ISNUMBER(VALUE(P465))),"ERRO: não numérico",IF(LEN(SUBSTITUTE(P465,LEFT(P465,1),""))=0,"ERRO: dígitos repetidos",IF(AND(VALUE(MID(P465,13,1))=IF(MOD(SUMPRODUCT(--MID(P465,{1,2,3,4,5,6,7,8,9,10,11,12},1),{5,4,3,2,9,8,7,6,5,4,3,2}),11)&lt;2,0,11-MOD(SUMPRODUCT(--MID(P465,{1,2,3,4,5,6,7,8,9,10,11,12},1),{5,4,3,2,9,8,7,6,5,4,3,2}),11)),VALUE(MID(P465,14,1))=IF(MOD(SUMPRODUCT(--MID(P465,{1,2,3,4,5,6,7,8,9,10,11,12,13},1),{6,5,4,3,2,9,8,7,6,5,4,3,2}),11)&lt;2,0,11-MOD(SUMPRODUCT(--MID(P465,{1,2,3,4,5,6,7,8,9,10,11,12,13},1),{6,5,4,3,2,9,8,7,6,5,4,3,2}),11))),"OK","ERRO: dígito verificador")))))</f>
      </c>
      <c r="R465" s="6">
        <f>IF(P465="","",IF(COUNTIF($P$2:$P$1001,P465)&gt;1,"DUPLICADO","OK"))</f>
      </c>
      <c r="S465" s="6">
        <f>IF(AND(J465="",K465=""),"vazio",IF(AND(OR(J465="",LEN(SUBSTITUTE(SUBSTITUTE(SUBSTITUTE(SUBSTITUTE(SUBSTITUTE(SUBSTITUTE(SUBSTITUTE(TRIM(J465),".",""),"/",""),"-","")," ",""),"(",""),")",""),"+",""))=10,LEN(SUBSTITUTE(SUBSTITUTE(SUBSTITUTE(SUBSTITUTE(SUBSTITUTE(SUBSTITUTE(SUBSTITUTE(TRIM(J465),".",""),"/",""),"-","")," ",""),"(",""),")",""),"+",""))=11),OR(K465="",LEN(SUBSTITUTE(SUBSTITUTE(SUBSTITUTE(SUBSTITUTE(SUBSTITUTE(SUBSTITUTE(SUBSTITUTE(TRIM(K465),".",""),"/",""),"-","")," ",""),"(",""),")",""),"+",""))=10,LEN(SUBSTITUTE(SUBSTITUTE(SUBSTITUTE(SUBSTITUTE(SUBSTITUTE(SUBSTITUTE(SUBSTITUTE(TRIM(K465),".",""),"/",""),"-","")," ",""),"(",""),")",""),"+",""))=11)),"OK","ERRO: use DDD + número (10 ou 11 dígitos)"))</f>
      </c>
      <c r="T465" s="6">
        <f>IF(L465="","vazio",IF(AND(ISNUMBER(FIND("@",L465)),ISNUMBER(FIND(".",MID(L465,FIND("@",L465),99))),NOT(ISNUMBER(FIND(" ",TRIM(L465)))),NOT(ISNUMBER(FIND(";",L465))),NOT(ISNUMBER(FIND(",",L465)))),"OK","ERRO: um e-mail válido por linha"))</f>
      </c>
      <c r="U465" s="6">
        <f>IF(COUNTA(A465:O465)=0,"",IF(AND(B465&lt;&gt;"",C465&lt;&gt;"",D465&lt;&gt;"",E465&lt;&gt;"",H465&lt;&gt;"",OR(J465&lt;&gt;"",L465&lt;&gt;"")),"OK","ERRO: faltam "&amp;IF(B465="","Proprietário; ","")&amp;IF(C465="","Origem; ","")&amp;IF(D465="","CNPJ; ","")&amp;IF(E465="","Razão Social; ","")&amp;IF(H465="","Sobrenome; ","")&amp;IF(AND(J465="",L465=""),"telefone ou e-mail; ","")))</f>
      </c>
      <c r="V465" s="6">
        <f>IF(COUNTA(A465:O465)=0,"",IF(AND(Q465="OK",R465="OK",LEFT(S465,4)&lt;&gt;"ERRO",LEFT(T465,4)&lt;&gt;"ERRO",U465="OK"),"OK","REVISAR"))</f>
      </c>
    </row>
    <row r="466">
      <c r="A466" s="4"/>
      <c r="B466" s="5"/>
      <c r="C466" s="5"/>
      <c r="D466" s="5"/>
      <c r="E466" s="5"/>
      <c r="F466" s="4"/>
      <c r="G466" s="4"/>
      <c r="H466" s="5"/>
      <c r="I466" s="4"/>
      <c r="J466" s="4"/>
      <c r="K466" s="4"/>
      <c r="L466" s="4"/>
      <c r="M466" s="4"/>
      <c r="N466" s="4"/>
      <c r="O466" s="4"/>
      <c r="P466" s="6">
        <f>IF(D466="","",SUBSTITUTE(SUBSTITUTE(SUBSTITUTE(SUBSTITUTE(SUBSTITUTE(SUBSTITUTE(SUBSTITUTE(TRIM(D466),".",""),"/",""),"-","")," ",""),"(",""),")",""),"+",""))</f>
      </c>
      <c r="Q466" s="6">
        <f>IF(P466="","",IF(LEN(P466)&lt;&gt;14,"ERRO: "&amp;LEN(P466)&amp;" dígitos",IF(NOT(ISNUMBER(VALUE(P466))),"ERRO: não numérico",IF(LEN(SUBSTITUTE(P466,LEFT(P466,1),""))=0,"ERRO: dígitos repetidos",IF(AND(VALUE(MID(P466,13,1))=IF(MOD(SUMPRODUCT(--MID(P466,{1,2,3,4,5,6,7,8,9,10,11,12},1),{5,4,3,2,9,8,7,6,5,4,3,2}),11)&lt;2,0,11-MOD(SUMPRODUCT(--MID(P466,{1,2,3,4,5,6,7,8,9,10,11,12},1),{5,4,3,2,9,8,7,6,5,4,3,2}),11)),VALUE(MID(P466,14,1))=IF(MOD(SUMPRODUCT(--MID(P466,{1,2,3,4,5,6,7,8,9,10,11,12,13},1),{6,5,4,3,2,9,8,7,6,5,4,3,2}),11)&lt;2,0,11-MOD(SUMPRODUCT(--MID(P466,{1,2,3,4,5,6,7,8,9,10,11,12,13},1),{6,5,4,3,2,9,8,7,6,5,4,3,2}),11))),"OK","ERRO: dígito verificador")))))</f>
      </c>
      <c r="R466" s="6">
        <f>IF(P466="","",IF(COUNTIF($P$2:$P$1001,P466)&gt;1,"DUPLICADO","OK"))</f>
      </c>
      <c r="S466" s="6">
        <f>IF(AND(J466="",K466=""),"vazio",IF(AND(OR(J466="",LEN(SUBSTITUTE(SUBSTITUTE(SUBSTITUTE(SUBSTITUTE(SUBSTITUTE(SUBSTITUTE(SUBSTITUTE(TRIM(J466),".",""),"/",""),"-","")," ",""),"(",""),")",""),"+",""))=10,LEN(SUBSTITUTE(SUBSTITUTE(SUBSTITUTE(SUBSTITUTE(SUBSTITUTE(SUBSTITUTE(SUBSTITUTE(TRIM(J466),".",""),"/",""),"-","")," ",""),"(",""),")",""),"+",""))=11),OR(K466="",LEN(SUBSTITUTE(SUBSTITUTE(SUBSTITUTE(SUBSTITUTE(SUBSTITUTE(SUBSTITUTE(SUBSTITUTE(TRIM(K466),".",""),"/",""),"-","")," ",""),"(",""),")",""),"+",""))=10,LEN(SUBSTITUTE(SUBSTITUTE(SUBSTITUTE(SUBSTITUTE(SUBSTITUTE(SUBSTITUTE(SUBSTITUTE(TRIM(K466),".",""),"/",""),"-","")," ",""),"(",""),")",""),"+",""))=11)),"OK","ERRO: use DDD + número (10 ou 11 dígitos)"))</f>
      </c>
      <c r="T466" s="6">
        <f>IF(L466="","vazio",IF(AND(ISNUMBER(FIND("@",L466)),ISNUMBER(FIND(".",MID(L466,FIND("@",L466),99))),NOT(ISNUMBER(FIND(" ",TRIM(L466)))),NOT(ISNUMBER(FIND(";",L466))),NOT(ISNUMBER(FIND(",",L466)))),"OK","ERRO: um e-mail válido por linha"))</f>
      </c>
      <c r="U466" s="6">
        <f>IF(COUNTA(A466:O466)=0,"",IF(AND(B466&lt;&gt;"",C466&lt;&gt;"",D466&lt;&gt;"",E466&lt;&gt;"",H466&lt;&gt;"",OR(J466&lt;&gt;"",L466&lt;&gt;"")),"OK","ERRO: faltam "&amp;IF(B466="","Proprietário; ","")&amp;IF(C466="","Origem; ","")&amp;IF(D466="","CNPJ; ","")&amp;IF(E466="","Razão Social; ","")&amp;IF(H466="","Sobrenome; ","")&amp;IF(AND(J466="",L466=""),"telefone ou e-mail; ","")))</f>
      </c>
      <c r="V466" s="6">
        <f>IF(COUNTA(A466:O466)=0,"",IF(AND(Q466="OK",R466="OK",LEFT(S466,4)&lt;&gt;"ERRO",LEFT(T466,4)&lt;&gt;"ERRO",U466="OK"),"OK","REVISAR"))</f>
      </c>
    </row>
    <row r="467">
      <c r="A467" s="4"/>
      <c r="B467" s="5"/>
      <c r="C467" s="5"/>
      <c r="D467" s="5"/>
      <c r="E467" s="5"/>
      <c r="F467" s="4"/>
      <c r="G467" s="4"/>
      <c r="H467" s="5"/>
      <c r="I467" s="4"/>
      <c r="J467" s="4"/>
      <c r="K467" s="4"/>
      <c r="L467" s="4"/>
      <c r="M467" s="4"/>
      <c r="N467" s="4"/>
      <c r="O467" s="4"/>
      <c r="P467" s="6">
        <f>IF(D467="","",SUBSTITUTE(SUBSTITUTE(SUBSTITUTE(SUBSTITUTE(SUBSTITUTE(SUBSTITUTE(SUBSTITUTE(TRIM(D467),".",""),"/",""),"-","")," ",""),"(",""),")",""),"+",""))</f>
      </c>
      <c r="Q467" s="6">
        <f>IF(P467="","",IF(LEN(P467)&lt;&gt;14,"ERRO: "&amp;LEN(P467)&amp;" dígitos",IF(NOT(ISNUMBER(VALUE(P467))),"ERRO: não numérico",IF(LEN(SUBSTITUTE(P467,LEFT(P467,1),""))=0,"ERRO: dígitos repetidos",IF(AND(VALUE(MID(P467,13,1))=IF(MOD(SUMPRODUCT(--MID(P467,{1,2,3,4,5,6,7,8,9,10,11,12},1),{5,4,3,2,9,8,7,6,5,4,3,2}),11)&lt;2,0,11-MOD(SUMPRODUCT(--MID(P467,{1,2,3,4,5,6,7,8,9,10,11,12},1),{5,4,3,2,9,8,7,6,5,4,3,2}),11)),VALUE(MID(P467,14,1))=IF(MOD(SUMPRODUCT(--MID(P467,{1,2,3,4,5,6,7,8,9,10,11,12,13},1),{6,5,4,3,2,9,8,7,6,5,4,3,2}),11)&lt;2,0,11-MOD(SUMPRODUCT(--MID(P467,{1,2,3,4,5,6,7,8,9,10,11,12,13},1),{6,5,4,3,2,9,8,7,6,5,4,3,2}),11))),"OK","ERRO: dígito verificador")))))</f>
      </c>
      <c r="R467" s="6">
        <f>IF(P467="","",IF(COUNTIF($P$2:$P$1001,P467)&gt;1,"DUPLICADO","OK"))</f>
      </c>
      <c r="S467" s="6">
        <f>IF(AND(J467="",K467=""),"vazio",IF(AND(OR(J467="",LEN(SUBSTITUTE(SUBSTITUTE(SUBSTITUTE(SUBSTITUTE(SUBSTITUTE(SUBSTITUTE(SUBSTITUTE(TRIM(J467),".",""),"/",""),"-","")," ",""),"(",""),")",""),"+",""))=10,LEN(SUBSTITUTE(SUBSTITUTE(SUBSTITUTE(SUBSTITUTE(SUBSTITUTE(SUBSTITUTE(SUBSTITUTE(TRIM(J467),".",""),"/",""),"-","")," ",""),"(",""),")",""),"+",""))=11),OR(K467="",LEN(SUBSTITUTE(SUBSTITUTE(SUBSTITUTE(SUBSTITUTE(SUBSTITUTE(SUBSTITUTE(SUBSTITUTE(TRIM(K467),".",""),"/",""),"-","")," ",""),"(",""),")",""),"+",""))=10,LEN(SUBSTITUTE(SUBSTITUTE(SUBSTITUTE(SUBSTITUTE(SUBSTITUTE(SUBSTITUTE(SUBSTITUTE(TRIM(K467),".",""),"/",""),"-","")," ",""),"(",""),")",""),"+",""))=11)),"OK","ERRO: use DDD + número (10 ou 11 dígitos)"))</f>
      </c>
      <c r="T467" s="6">
        <f>IF(L467="","vazio",IF(AND(ISNUMBER(FIND("@",L467)),ISNUMBER(FIND(".",MID(L467,FIND("@",L467),99))),NOT(ISNUMBER(FIND(" ",TRIM(L467)))),NOT(ISNUMBER(FIND(";",L467))),NOT(ISNUMBER(FIND(",",L467)))),"OK","ERRO: um e-mail válido por linha"))</f>
      </c>
      <c r="U467" s="6">
        <f>IF(COUNTA(A467:O467)=0,"",IF(AND(B467&lt;&gt;"",C467&lt;&gt;"",D467&lt;&gt;"",E467&lt;&gt;"",H467&lt;&gt;"",OR(J467&lt;&gt;"",L467&lt;&gt;"")),"OK","ERRO: faltam "&amp;IF(B467="","Proprietário; ","")&amp;IF(C467="","Origem; ","")&amp;IF(D467="","CNPJ; ","")&amp;IF(E467="","Razão Social; ","")&amp;IF(H467="","Sobrenome; ","")&amp;IF(AND(J467="",L467=""),"telefone ou e-mail; ","")))</f>
      </c>
      <c r="V467" s="6">
        <f>IF(COUNTA(A467:O467)=0,"",IF(AND(Q467="OK",R467="OK",LEFT(S467,4)&lt;&gt;"ERRO",LEFT(T467,4)&lt;&gt;"ERRO",U467="OK"),"OK","REVISAR"))</f>
      </c>
    </row>
    <row r="468">
      <c r="A468" s="4"/>
      <c r="B468" s="5"/>
      <c r="C468" s="5"/>
      <c r="D468" s="5"/>
      <c r="E468" s="5"/>
      <c r="F468" s="4"/>
      <c r="G468" s="4"/>
      <c r="H468" s="5"/>
      <c r="I468" s="4"/>
      <c r="J468" s="4"/>
      <c r="K468" s="4"/>
      <c r="L468" s="4"/>
      <c r="M468" s="4"/>
      <c r="N468" s="4"/>
      <c r="O468" s="4"/>
      <c r="P468" s="6">
        <f>IF(D468="","",SUBSTITUTE(SUBSTITUTE(SUBSTITUTE(SUBSTITUTE(SUBSTITUTE(SUBSTITUTE(SUBSTITUTE(TRIM(D468),".",""),"/",""),"-","")," ",""),"(",""),")",""),"+",""))</f>
      </c>
      <c r="Q468" s="6">
        <f>IF(P468="","",IF(LEN(P468)&lt;&gt;14,"ERRO: "&amp;LEN(P468)&amp;" dígitos",IF(NOT(ISNUMBER(VALUE(P468))),"ERRO: não numérico",IF(LEN(SUBSTITUTE(P468,LEFT(P468,1),""))=0,"ERRO: dígitos repetidos",IF(AND(VALUE(MID(P468,13,1))=IF(MOD(SUMPRODUCT(--MID(P468,{1,2,3,4,5,6,7,8,9,10,11,12},1),{5,4,3,2,9,8,7,6,5,4,3,2}),11)&lt;2,0,11-MOD(SUMPRODUCT(--MID(P468,{1,2,3,4,5,6,7,8,9,10,11,12},1),{5,4,3,2,9,8,7,6,5,4,3,2}),11)),VALUE(MID(P468,14,1))=IF(MOD(SUMPRODUCT(--MID(P468,{1,2,3,4,5,6,7,8,9,10,11,12,13},1),{6,5,4,3,2,9,8,7,6,5,4,3,2}),11)&lt;2,0,11-MOD(SUMPRODUCT(--MID(P468,{1,2,3,4,5,6,7,8,9,10,11,12,13},1),{6,5,4,3,2,9,8,7,6,5,4,3,2}),11))),"OK","ERRO: dígito verificador")))))</f>
      </c>
      <c r="R468" s="6">
        <f>IF(P468="","",IF(COUNTIF($P$2:$P$1001,P468)&gt;1,"DUPLICADO","OK"))</f>
      </c>
      <c r="S468" s="6">
        <f>IF(AND(J468="",K468=""),"vazio",IF(AND(OR(J468="",LEN(SUBSTITUTE(SUBSTITUTE(SUBSTITUTE(SUBSTITUTE(SUBSTITUTE(SUBSTITUTE(SUBSTITUTE(TRIM(J468),".",""),"/",""),"-","")," ",""),"(",""),")",""),"+",""))=10,LEN(SUBSTITUTE(SUBSTITUTE(SUBSTITUTE(SUBSTITUTE(SUBSTITUTE(SUBSTITUTE(SUBSTITUTE(TRIM(J468),".",""),"/",""),"-","")," ",""),"(",""),")",""),"+",""))=11),OR(K468="",LEN(SUBSTITUTE(SUBSTITUTE(SUBSTITUTE(SUBSTITUTE(SUBSTITUTE(SUBSTITUTE(SUBSTITUTE(TRIM(K468),".",""),"/",""),"-","")," ",""),"(",""),")",""),"+",""))=10,LEN(SUBSTITUTE(SUBSTITUTE(SUBSTITUTE(SUBSTITUTE(SUBSTITUTE(SUBSTITUTE(SUBSTITUTE(TRIM(K468),".",""),"/",""),"-","")," ",""),"(",""),")",""),"+",""))=11)),"OK","ERRO: use DDD + número (10 ou 11 dígitos)"))</f>
      </c>
      <c r="T468" s="6">
        <f>IF(L468="","vazio",IF(AND(ISNUMBER(FIND("@",L468)),ISNUMBER(FIND(".",MID(L468,FIND("@",L468),99))),NOT(ISNUMBER(FIND(" ",TRIM(L468)))),NOT(ISNUMBER(FIND(";",L468))),NOT(ISNUMBER(FIND(",",L468)))),"OK","ERRO: um e-mail válido por linha"))</f>
      </c>
      <c r="U468" s="6">
        <f>IF(COUNTA(A468:O468)=0,"",IF(AND(B468&lt;&gt;"",C468&lt;&gt;"",D468&lt;&gt;"",E468&lt;&gt;"",H468&lt;&gt;"",OR(J468&lt;&gt;"",L468&lt;&gt;"")),"OK","ERRO: faltam "&amp;IF(B468="","Proprietário; ","")&amp;IF(C468="","Origem; ","")&amp;IF(D468="","CNPJ; ","")&amp;IF(E468="","Razão Social; ","")&amp;IF(H468="","Sobrenome; ","")&amp;IF(AND(J468="",L468=""),"telefone ou e-mail; ","")))</f>
      </c>
      <c r="V468" s="6">
        <f>IF(COUNTA(A468:O468)=0,"",IF(AND(Q468="OK",R468="OK",LEFT(S468,4)&lt;&gt;"ERRO",LEFT(T468,4)&lt;&gt;"ERRO",U468="OK"),"OK","REVISAR"))</f>
      </c>
    </row>
    <row r="469">
      <c r="A469" s="4"/>
      <c r="B469" s="5"/>
      <c r="C469" s="5"/>
      <c r="D469" s="5"/>
      <c r="E469" s="5"/>
      <c r="F469" s="4"/>
      <c r="G469" s="4"/>
      <c r="H469" s="5"/>
      <c r="I469" s="4"/>
      <c r="J469" s="4"/>
      <c r="K469" s="4"/>
      <c r="L469" s="4"/>
      <c r="M469" s="4"/>
      <c r="N469" s="4"/>
      <c r="O469" s="4"/>
      <c r="P469" s="6">
        <f>IF(D469="","",SUBSTITUTE(SUBSTITUTE(SUBSTITUTE(SUBSTITUTE(SUBSTITUTE(SUBSTITUTE(SUBSTITUTE(TRIM(D469),".",""),"/",""),"-","")," ",""),"(",""),")",""),"+",""))</f>
      </c>
      <c r="Q469" s="6">
        <f>IF(P469="","",IF(LEN(P469)&lt;&gt;14,"ERRO: "&amp;LEN(P469)&amp;" dígitos",IF(NOT(ISNUMBER(VALUE(P469))),"ERRO: não numérico",IF(LEN(SUBSTITUTE(P469,LEFT(P469,1),""))=0,"ERRO: dígitos repetidos",IF(AND(VALUE(MID(P469,13,1))=IF(MOD(SUMPRODUCT(--MID(P469,{1,2,3,4,5,6,7,8,9,10,11,12},1),{5,4,3,2,9,8,7,6,5,4,3,2}),11)&lt;2,0,11-MOD(SUMPRODUCT(--MID(P469,{1,2,3,4,5,6,7,8,9,10,11,12},1),{5,4,3,2,9,8,7,6,5,4,3,2}),11)),VALUE(MID(P469,14,1))=IF(MOD(SUMPRODUCT(--MID(P469,{1,2,3,4,5,6,7,8,9,10,11,12,13},1),{6,5,4,3,2,9,8,7,6,5,4,3,2}),11)&lt;2,0,11-MOD(SUMPRODUCT(--MID(P469,{1,2,3,4,5,6,7,8,9,10,11,12,13},1),{6,5,4,3,2,9,8,7,6,5,4,3,2}),11))),"OK","ERRO: dígito verificador")))))</f>
      </c>
      <c r="R469" s="6">
        <f>IF(P469="","",IF(COUNTIF($P$2:$P$1001,P469)&gt;1,"DUPLICADO","OK"))</f>
      </c>
      <c r="S469" s="6">
        <f>IF(AND(J469="",K469=""),"vazio",IF(AND(OR(J469="",LEN(SUBSTITUTE(SUBSTITUTE(SUBSTITUTE(SUBSTITUTE(SUBSTITUTE(SUBSTITUTE(SUBSTITUTE(TRIM(J469),".",""),"/",""),"-","")," ",""),"(",""),")",""),"+",""))=10,LEN(SUBSTITUTE(SUBSTITUTE(SUBSTITUTE(SUBSTITUTE(SUBSTITUTE(SUBSTITUTE(SUBSTITUTE(TRIM(J469),".",""),"/",""),"-","")," ",""),"(",""),")",""),"+",""))=11),OR(K469="",LEN(SUBSTITUTE(SUBSTITUTE(SUBSTITUTE(SUBSTITUTE(SUBSTITUTE(SUBSTITUTE(SUBSTITUTE(TRIM(K469),".",""),"/",""),"-","")," ",""),"(",""),")",""),"+",""))=10,LEN(SUBSTITUTE(SUBSTITUTE(SUBSTITUTE(SUBSTITUTE(SUBSTITUTE(SUBSTITUTE(SUBSTITUTE(TRIM(K469),".",""),"/",""),"-","")," ",""),"(",""),")",""),"+",""))=11)),"OK","ERRO: use DDD + número (10 ou 11 dígitos)"))</f>
      </c>
      <c r="T469" s="6">
        <f>IF(L469="","vazio",IF(AND(ISNUMBER(FIND("@",L469)),ISNUMBER(FIND(".",MID(L469,FIND("@",L469),99))),NOT(ISNUMBER(FIND(" ",TRIM(L469)))),NOT(ISNUMBER(FIND(";",L469))),NOT(ISNUMBER(FIND(",",L469)))),"OK","ERRO: um e-mail válido por linha"))</f>
      </c>
      <c r="U469" s="6">
        <f>IF(COUNTA(A469:O469)=0,"",IF(AND(B469&lt;&gt;"",C469&lt;&gt;"",D469&lt;&gt;"",E469&lt;&gt;"",H469&lt;&gt;"",OR(J469&lt;&gt;"",L469&lt;&gt;"")),"OK","ERRO: faltam "&amp;IF(B469="","Proprietário; ","")&amp;IF(C469="","Origem; ","")&amp;IF(D469="","CNPJ; ","")&amp;IF(E469="","Razão Social; ","")&amp;IF(H469="","Sobrenome; ","")&amp;IF(AND(J469="",L469=""),"telefone ou e-mail; ","")))</f>
      </c>
      <c r="V469" s="6">
        <f>IF(COUNTA(A469:O469)=0,"",IF(AND(Q469="OK",R469="OK",LEFT(S469,4)&lt;&gt;"ERRO",LEFT(T469,4)&lt;&gt;"ERRO",U469="OK"),"OK","REVISAR"))</f>
      </c>
    </row>
    <row r="470">
      <c r="A470" s="4"/>
      <c r="B470" s="5"/>
      <c r="C470" s="5"/>
      <c r="D470" s="5"/>
      <c r="E470" s="5"/>
      <c r="F470" s="4"/>
      <c r="G470" s="4"/>
      <c r="H470" s="5"/>
      <c r="I470" s="4"/>
      <c r="J470" s="4"/>
      <c r="K470" s="4"/>
      <c r="L470" s="4"/>
      <c r="M470" s="4"/>
      <c r="N470" s="4"/>
      <c r="O470" s="4"/>
      <c r="P470" s="6">
        <f>IF(D470="","",SUBSTITUTE(SUBSTITUTE(SUBSTITUTE(SUBSTITUTE(SUBSTITUTE(SUBSTITUTE(SUBSTITUTE(TRIM(D470),".",""),"/",""),"-","")," ",""),"(",""),")",""),"+",""))</f>
      </c>
      <c r="Q470" s="6">
        <f>IF(P470="","",IF(LEN(P470)&lt;&gt;14,"ERRO: "&amp;LEN(P470)&amp;" dígitos",IF(NOT(ISNUMBER(VALUE(P470))),"ERRO: não numérico",IF(LEN(SUBSTITUTE(P470,LEFT(P470,1),""))=0,"ERRO: dígitos repetidos",IF(AND(VALUE(MID(P470,13,1))=IF(MOD(SUMPRODUCT(--MID(P470,{1,2,3,4,5,6,7,8,9,10,11,12},1),{5,4,3,2,9,8,7,6,5,4,3,2}),11)&lt;2,0,11-MOD(SUMPRODUCT(--MID(P470,{1,2,3,4,5,6,7,8,9,10,11,12},1),{5,4,3,2,9,8,7,6,5,4,3,2}),11)),VALUE(MID(P470,14,1))=IF(MOD(SUMPRODUCT(--MID(P470,{1,2,3,4,5,6,7,8,9,10,11,12,13},1),{6,5,4,3,2,9,8,7,6,5,4,3,2}),11)&lt;2,0,11-MOD(SUMPRODUCT(--MID(P470,{1,2,3,4,5,6,7,8,9,10,11,12,13},1),{6,5,4,3,2,9,8,7,6,5,4,3,2}),11))),"OK","ERRO: dígito verificador")))))</f>
      </c>
      <c r="R470" s="6">
        <f>IF(P470="","",IF(COUNTIF($P$2:$P$1001,P470)&gt;1,"DUPLICADO","OK"))</f>
      </c>
      <c r="S470" s="6">
        <f>IF(AND(J470="",K470=""),"vazio",IF(AND(OR(J470="",LEN(SUBSTITUTE(SUBSTITUTE(SUBSTITUTE(SUBSTITUTE(SUBSTITUTE(SUBSTITUTE(SUBSTITUTE(TRIM(J470),".",""),"/",""),"-","")," ",""),"(",""),")",""),"+",""))=10,LEN(SUBSTITUTE(SUBSTITUTE(SUBSTITUTE(SUBSTITUTE(SUBSTITUTE(SUBSTITUTE(SUBSTITUTE(TRIM(J470),".",""),"/",""),"-","")," ",""),"(",""),")",""),"+",""))=11),OR(K470="",LEN(SUBSTITUTE(SUBSTITUTE(SUBSTITUTE(SUBSTITUTE(SUBSTITUTE(SUBSTITUTE(SUBSTITUTE(TRIM(K470),".",""),"/",""),"-","")," ",""),"(",""),")",""),"+",""))=10,LEN(SUBSTITUTE(SUBSTITUTE(SUBSTITUTE(SUBSTITUTE(SUBSTITUTE(SUBSTITUTE(SUBSTITUTE(TRIM(K470),".",""),"/",""),"-","")," ",""),"(",""),")",""),"+",""))=11)),"OK","ERRO: use DDD + número (10 ou 11 dígitos)"))</f>
      </c>
      <c r="T470" s="6">
        <f>IF(L470="","vazio",IF(AND(ISNUMBER(FIND("@",L470)),ISNUMBER(FIND(".",MID(L470,FIND("@",L470),99))),NOT(ISNUMBER(FIND(" ",TRIM(L470)))),NOT(ISNUMBER(FIND(";",L470))),NOT(ISNUMBER(FIND(",",L470)))),"OK","ERRO: um e-mail válido por linha"))</f>
      </c>
      <c r="U470" s="6">
        <f>IF(COUNTA(A470:O470)=0,"",IF(AND(B470&lt;&gt;"",C470&lt;&gt;"",D470&lt;&gt;"",E470&lt;&gt;"",H470&lt;&gt;"",OR(J470&lt;&gt;"",L470&lt;&gt;"")),"OK","ERRO: faltam "&amp;IF(B470="","Proprietário; ","")&amp;IF(C470="","Origem; ","")&amp;IF(D470="","CNPJ; ","")&amp;IF(E470="","Razão Social; ","")&amp;IF(H470="","Sobrenome; ","")&amp;IF(AND(J470="",L470=""),"telefone ou e-mail; ","")))</f>
      </c>
      <c r="V470" s="6">
        <f>IF(COUNTA(A470:O470)=0,"",IF(AND(Q470="OK",R470="OK",LEFT(S470,4)&lt;&gt;"ERRO",LEFT(T470,4)&lt;&gt;"ERRO",U470="OK"),"OK","REVISAR"))</f>
      </c>
    </row>
    <row r="471">
      <c r="A471" s="4"/>
      <c r="B471" s="5"/>
      <c r="C471" s="5"/>
      <c r="D471" s="5"/>
      <c r="E471" s="5"/>
      <c r="F471" s="4"/>
      <c r="G471" s="4"/>
      <c r="H471" s="5"/>
      <c r="I471" s="4"/>
      <c r="J471" s="4"/>
      <c r="K471" s="4"/>
      <c r="L471" s="4"/>
      <c r="M471" s="4"/>
      <c r="N471" s="4"/>
      <c r="O471" s="4"/>
      <c r="P471" s="6">
        <f>IF(D471="","",SUBSTITUTE(SUBSTITUTE(SUBSTITUTE(SUBSTITUTE(SUBSTITUTE(SUBSTITUTE(SUBSTITUTE(TRIM(D471),".",""),"/",""),"-","")," ",""),"(",""),")",""),"+",""))</f>
      </c>
      <c r="Q471" s="6">
        <f>IF(P471="","",IF(LEN(P471)&lt;&gt;14,"ERRO: "&amp;LEN(P471)&amp;" dígitos",IF(NOT(ISNUMBER(VALUE(P471))),"ERRO: não numérico",IF(LEN(SUBSTITUTE(P471,LEFT(P471,1),""))=0,"ERRO: dígitos repetidos",IF(AND(VALUE(MID(P471,13,1))=IF(MOD(SUMPRODUCT(--MID(P471,{1,2,3,4,5,6,7,8,9,10,11,12},1),{5,4,3,2,9,8,7,6,5,4,3,2}),11)&lt;2,0,11-MOD(SUMPRODUCT(--MID(P471,{1,2,3,4,5,6,7,8,9,10,11,12},1),{5,4,3,2,9,8,7,6,5,4,3,2}),11)),VALUE(MID(P471,14,1))=IF(MOD(SUMPRODUCT(--MID(P471,{1,2,3,4,5,6,7,8,9,10,11,12,13},1),{6,5,4,3,2,9,8,7,6,5,4,3,2}),11)&lt;2,0,11-MOD(SUMPRODUCT(--MID(P471,{1,2,3,4,5,6,7,8,9,10,11,12,13},1),{6,5,4,3,2,9,8,7,6,5,4,3,2}),11))),"OK","ERRO: dígito verificador")))))</f>
      </c>
      <c r="R471" s="6">
        <f>IF(P471="","",IF(COUNTIF($P$2:$P$1001,P471)&gt;1,"DUPLICADO","OK"))</f>
      </c>
      <c r="S471" s="6">
        <f>IF(AND(J471="",K471=""),"vazio",IF(AND(OR(J471="",LEN(SUBSTITUTE(SUBSTITUTE(SUBSTITUTE(SUBSTITUTE(SUBSTITUTE(SUBSTITUTE(SUBSTITUTE(TRIM(J471),".",""),"/",""),"-","")," ",""),"(",""),")",""),"+",""))=10,LEN(SUBSTITUTE(SUBSTITUTE(SUBSTITUTE(SUBSTITUTE(SUBSTITUTE(SUBSTITUTE(SUBSTITUTE(TRIM(J471),".",""),"/",""),"-","")," ",""),"(",""),")",""),"+",""))=11),OR(K471="",LEN(SUBSTITUTE(SUBSTITUTE(SUBSTITUTE(SUBSTITUTE(SUBSTITUTE(SUBSTITUTE(SUBSTITUTE(TRIM(K471),".",""),"/",""),"-","")," ",""),"(",""),")",""),"+",""))=10,LEN(SUBSTITUTE(SUBSTITUTE(SUBSTITUTE(SUBSTITUTE(SUBSTITUTE(SUBSTITUTE(SUBSTITUTE(TRIM(K471),".",""),"/",""),"-","")," ",""),"(",""),")",""),"+",""))=11)),"OK","ERRO: use DDD + número (10 ou 11 dígitos)"))</f>
      </c>
      <c r="T471" s="6">
        <f>IF(L471="","vazio",IF(AND(ISNUMBER(FIND("@",L471)),ISNUMBER(FIND(".",MID(L471,FIND("@",L471),99))),NOT(ISNUMBER(FIND(" ",TRIM(L471)))),NOT(ISNUMBER(FIND(";",L471))),NOT(ISNUMBER(FIND(",",L471)))),"OK","ERRO: um e-mail válido por linha"))</f>
      </c>
      <c r="U471" s="6">
        <f>IF(COUNTA(A471:O471)=0,"",IF(AND(B471&lt;&gt;"",C471&lt;&gt;"",D471&lt;&gt;"",E471&lt;&gt;"",H471&lt;&gt;"",OR(J471&lt;&gt;"",L471&lt;&gt;"")),"OK","ERRO: faltam "&amp;IF(B471="","Proprietário; ","")&amp;IF(C471="","Origem; ","")&amp;IF(D471="","CNPJ; ","")&amp;IF(E471="","Razão Social; ","")&amp;IF(H471="","Sobrenome; ","")&amp;IF(AND(J471="",L471=""),"telefone ou e-mail; ","")))</f>
      </c>
      <c r="V471" s="6">
        <f>IF(COUNTA(A471:O471)=0,"",IF(AND(Q471="OK",R471="OK",LEFT(S471,4)&lt;&gt;"ERRO",LEFT(T471,4)&lt;&gt;"ERRO",U471="OK"),"OK","REVISAR"))</f>
      </c>
    </row>
    <row r="472">
      <c r="A472" s="4"/>
      <c r="B472" s="5"/>
      <c r="C472" s="5"/>
      <c r="D472" s="5"/>
      <c r="E472" s="5"/>
      <c r="F472" s="4"/>
      <c r="G472" s="4"/>
      <c r="H472" s="5"/>
      <c r="I472" s="4"/>
      <c r="J472" s="4"/>
      <c r="K472" s="4"/>
      <c r="L472" s="4"/>
      <c r="M472" s="4"/>
      <c r="N472" s="4"/>
      <c r="O472" s="4"/>
      <c r="P472" s="6">
        <f>IF(D472="","",SUBSTITUTE(SUBSTITUTE(SUBSTITUTE(SUBSTITUTE(SUBSTITUTE(SUBSTITUTE(SUBSTITUTE(TRIM(D472),".",""),"/",""),"-","")," ",""),"(",""),")",""),"+",""))</f>
      </c>
      <c r="Q472" s="6">
        <f>IF(P472="","",IF(LEN(P472)&lt;&gt;14,"ERRO: "&amp;LEN(P472)&amp;" dígitos",IF(NOT(ISNUMBER(VALUE(P472))),"ERRO: não numérico",IF(LEN(SUBSTITUTE(P472,LEFT(P472,1),""))=0,"ERRO: dígitos repetidos",IF(AND(VALUE(MID(P472,13,1))=IF(MOD(SUMPRODUCT(--MID(P472,{1,2,3,4,5,6,7,8,9,10,11,12},1),{5,4,3,2,9,8,7,6,5,4,3,2}),11)&lt;2,0,11-MOD(SUMPRODUCT(--MID(P472,{1,2,3,4,5,6,7,8,9,10,11,12},1),{5,4,3,2,9,8,7,6,5,4,3,2}),11)),VALUE(MID(P472,14,1))=IF(MOD(SUMPRODUCT(--MID(P472,{1,2,3,4,5,6,7,8,9,10,11,12,13},1),{6,5,4,3,2,9,8,7,6,5,4,3,2}),11)&lt;2,0,11-MOD(SUMPRODUCT(--MID(P472,{1,2,3,4,5,6,7,8,9,10,11,12,13},1),{6,5,4,3,2,9,8,7,6,5,4,3,2}),11))),"OK","ERRO: dígito verificador")))))</f>
      </c>
      <c r="R472" s="6">
        <f>IF(P472="","",IF(COUNTIF($P$2:$P$1001,P472)&gt;1,"DUPLICADO","OK"))</f>
      </c>
      <c r="S472" s="6">
        <f>IF(AND(J472="",K472=""),"vazio",IF(AND(OR(J472="",LEN(SUBSTITUTE(SUBSTITUTE(SUBSTITUTE(SUBSTITUTE(SUBSTITUTE(SUBSTITUTE(SUBSTITUTE(TRIM(J472),".",""),"/",""),"-","")," ",""),"(",""),")",""),"+",""))=10,LEN(SUBSTITUTE(SUBSTITUTE(SUBSTITUTE(SUBSTITUTE(SUBSTITUTE(SUBSTITUTE(SUBSTITUTE(TRIM(J472),".",""),"/",""),"-","")," ",""),"(",""),")",""),"+",""))=11),OR(K472="",LEN(SUBSTITUTE(SUBSTITUTE(SUBSTITUTE(SUBSTITUTE(SUBSTITUTE(SUBSTITUTE(SUBSTITUTE(TRIM(K472),".",""),"/",""),"-","")," ",""),"(",""),")",""),"+",""))=10,LEN(SUBSTITUTE(SUBSTITUTE(SUBSTITUTE(SUBSTITUTE(SUBSTITUTE(SUBSTITUTE(SUBSTITUTE(TRIM(K472),".",""),"/",""),"-","")," ",""),"(",""),")",""),"+",""))=11)),"OK","ERRO: use DDD + número (10 ou 11 dígitos)"))</f>
      </c>
      <c r="T472" s="6">
        <f>IF(L472="","vazio",IF(AND(ISNUMBER(FIND("@",L472)),ISNUMBER(FIND(".",MID(L472,FIND("@",L472),99))),NOT(ISNUMBER(FIND(" ",TRIM(L472)))),NOT(ISNUMBER(FIND(";",L472))),NOT(ISNUMBER(FIND(",",L472)))),"OK","ERRO: um e-mail válido por linha"))</f>
      </c>
      <c r="U472" s="6">
        <f>IF(COUNTA(A472:O472)=0,"",IF(AND(B472&lt;&gt;"",C472&lt;&gt;"",D472&lt;&gt;"",E472&lt;&gt;"",H472&lt;&gt;"",OR(J472&lt;&gt;"",L472&lt;&gt;"")),"OK","ERRO: faltam "&amp;IF(B472="","Proprietário; ","")&amp;IF(C472="","Origem; ","")&amp;IF(D472="","CNPJ; ","")&amp;IF(E472="","Razão Social; ","")&amp;IF(H472="","Sobrenome; ","")&amp;IF(AND(J472="",L472=""),"telefone ou e-mail; ","")))</f>
      </c>
      <c r="V472" s="6">
        <f>IF(COUNTA(A472:O472)=0,"",IF(AND(Q472="OK",R472="OK",LEFT(S472,4)&lt;&gt;"ERRO",LEFT(T472,4)&lt;&gt;"ERRO",U472="OK"),"OK","REVISAR"))</f>
      </c>
    </row>
    <row r="473">
      <c r="A473" s="4"/>
      <c r="B473" s="5"/>
      <c r="C473" s="5"/>
      <c r="D473" s="5"/>
      <c r="E473" s="5"/>
      <c r="F473" s="4"/>
      <c r="G473" s="4"/>
      <c r="H473" s="5"/>
      <c r="I473" s="4"/>
      <c r="J473" s="4"/>
      <c r="K473" s="4"/>
      <c r="L473" s="4"/>
      <c r="M473" s="4"/>
      <c r="N473" s="4"/>
      <c r="O473" s="4"/>
      <c r="P473" s="6">
        <f>IF(D473="","",SUBSTITUTE(SUBSTITUTE(SUBSTITUTE(SUBSTITUTE(SUBSTITUTE(SUBSTITUTE(SUBSTITUTE(TRIM(D473),".",""),"/",""),"-","")," ",""),"(",""),")",""),"+",""))</f>
      </c>
      <c r="Q473" s="6">
        <f>IF(P473="","",IF(LEN(P473)&lt;&gt;14,"ERRO: "&amp;LEN(P473)&amp;" dígitos",IF(NOT(ISNUMBER(VALUE(P473))),"ERRO: não numérico",IF(LEN(SUBSTITUTE(P473,LEFT(P473,1),""))=0,"ERRO: dígitos repetidos",IF(AND(VALUE(MID(P473,13,1))=IF(MOD(SUMPRODUCT(--MID(P473,{1,2,3,4,5,6,7,8,9,10,11,12},1),{5,4,3,2,9,8,7,6,5,4,3,2}),11)&lt;2,0,11-MOD(SUMPRODUCT(--MID(P473,{1,2,3,4,5,6,7,8,9,10,11,12},1),{5,4,3,2,9,8,7,6,5,4,3,2}),11)),VALUE(MID(P473,14,1))=IF(MOD(SUMPRODUCT(--MID(P473,{1,2,3,4,5,6,7,8,9,10,11,12,13},1),{6,5,4,3,2,9,8,7,6,5,4,3,2}),11)&lt;2,0,11-MOD(SUMPRODUCT(--MID(P473,{1,2,3,4,5,6,7,8,9,10,11,12,13},1),{6,5,4,3,2,9,8,7,6,5,4,3,2}),11))),"OK","ERRO: dígito verificador")))))</f>
      </c>
      <c r="R473" s="6">
        <f>IF(P473="","",IF(COUNTIF($P$2:$P$1001,P473)&gt;1,"DUPLICADO","OK"))</f>
      </c>
      <c r="S473" s="6">
        <f>IF(AND(J473="",K473=""),"vazio",IF(AND(OR(J473="",LEN(SUBSTITUTE(SUBSTITUTE(SUBSTITUTE(SUBSTITUTE(SUBSTITUTE(SUBSTITUTE(SUBSTITUTE(TRIM(J473),".",""),"/",""),"-","")," ",""),"(",""),")",""),"+",""))=10,LEN(SUBSTITUTE(SUBSTITUTE(SUBSTITUTE(SUBSTITUTE(SUBSTITUTE(SUBSTITUTE(SUBSTITUTE(TRIM(J473),".",""),"/",""),"-","")," ",""),"(",""),")",""),"+",""))=11),OR(K473="",LEN(SUBSTITUTE(SUBSTITUTE(SUBSTITUTE(SUBSTITUTE(SUBSTITUTE(SUBSTITUTE(SUBSTITUTE(TRIM(K473),".",""),"/",""),"-","")," ",""),"(",""),")",""),"+",""))=10,LEN(SUBSTITUTE(SUBSTITUTE(SUBSTITUTE(SUBSTITUTE(SUBSTITUTE(SUBSTITUTE(SUBSTITUTE(TRIM(K473),".",""),"/",""),"-","")," ",""),"(",""),")",""),"+",""))=11)),"OK","ERRO: use DDD + número (10 ou 11 dígitos)"))</f>
      </c>
      <c r="T473" s="6">
        <f>IF(L473="","vazio",IF(AND(ISNUMBER(FIND("@",L473)),ISNUMBER(FIND(".",MID(L473,FIND("@",L473),99))),NOT(ISNUMBER(FIND(" ",TRIM(L473)))),NOT(ISNUMBER(FIND(";",L473))),NOT(ISNUMBER(FIND(",",L473)))),"OK","ERRO: um e-mail válido por linha"))</f>
      </c>
      <c r="U473" s="6">
        <f>IF(COUNTA(A473:O473)=0,"",IF(AND(B473&lt;&gt;"",C473&lt;&gt;"",D473&lt;&gt;"",E473&lt;&gt;"",H473&lt;&gt;"",OR(J473&lt;&gt;"",L473&lt;&gt;"")),"OK","ERRO: faltam "&amp;IF(B473="","Proprietário; ","")&amp;IF(C473="","Origem; ","")&amp;IF(D473="","CNPJ; ","")&amp;IF(E473="","Razão Social; ","")&amp;IF(H473="","Sobrenome; ","")&amp;IF(AND(J473="",L473=""),"telefone ou e-mail; ","")))</f>
      </c>
      <c r="V473" s="6">
        <f>IF(COUNTA(A473:O473)=0,"",IF(AND(Q473="OK",R473="OK",LEFT(S473,4)&lt;&gt;"ERRO",LEFT(T473,4)&lt;&gt;"ERRO",U473="OK"),"OK","REVISAR"))</f>
      </c>
    </row>
    <row r="474">
      <c r="A474" s="4"/>
      <c r="B474" s="5"/>
      <c r="C474" s="5"/>
      <c r="D474" s="5"/>
      <c r="E474" s="5"/>
      <c r="F474" s="4"/>
      <c r="G474" s="4"/>
      <c r="H474" s="5"/>
      <c r="I474" s="4"/>
      <c r="J474" s="4"/>
      <c r="K474" s="4"/>
      <c r="L474" s="4"/>
      <c r="M474" s="4"/>
      <c r="N474" s="4"/>
      <c r="O474" s="4"/>
      <c r="P474" s="6">
        <f>IF(D474="","",SUBSTITUTE(SUBSTITUTE(SUBSTITUTE(SUBSTITUTE(SUBSTITUTE(SUBSTITUTE(SUBSTITUTE(TRIM(D474),".",""),"/",""),"-","")," ",""),"(",""),")",""),"+",""))</f>
      </c>
      <c r="Q474" s="6">
        <f>IF(P474="","",IF(LEN(P474)&lt;&gt;14,"ERRO: "&amp;LEN(P474)&amp;" dígitos",IF(NOT(ISNUMBER(VALUE(P474))),"ERRO: não numérico",IF(LEN(SUBSTITUTE(P474,LEFT(P474,1),""))=0,"ERRO: dígitos repetidos",IF(AND(VALUE(MID(P474,13,1))=IF(MOD(SUMPRODUCT(--MID(P474,{1,2,3,4,5,6,7,8,9,10,11,12},1),{5,4,3,2,9,8,7,6,5,4,3,2}),11)&lt;2,0,11-MOD(SUMPRODUCT(--MID(P474,{1,2,3,4,5,6,7,8,9,10,11,12},1),{5,4,3,2,9,8,7,6,5,4,3,2}),11)),VALUE(MID(P474,14,1))=IF(MOD(SUMPRODUCT(--MID(P474,{1,2,3,4,5,6,7,8,9,10,11,12,13},1),{6,5,4,3,2,9,8,7,6,5,4,3,2}),11)&lt;2,0,11-MOD(SUMPRODUCT(--MID(P474,{1,2,3,4,5,6,7,8,9,10,11,12,13},1),{6,5,4,3,2,9,8,7,6,5,4,3,2}),11))),"OK","ERRO: dígito verificador")))))</f>
      </c>
      <c r="R474" s="6">
        <f>IF(P474="","",IF(COUNTIF($P$2:$P$1001,P474)&gt;1,"DUPLICADO","OK"))</f>
      </c>
      <c r="S474" s="6">
        <f>IF(AND(J474="",K474=""),"vazio",IF(AND(OR(J474="",LEN(SUBSTITUTE(SUBSTITUTE(SUBSTITUTE(SUBSTITUTE(SUBSTITUTE(SUBSTITUTE(SUBSTITUTE(TRIM(J474),".",""),"/",""),"-","")," ",""),"(",""),")",""),"+",""))=10,LEN(SUBSTITUTE(SUBSTITUTE(SUBSTITUTE(SUBSTITUTE(SUBSTITUTE(SUBSTITUTE(SUBSTITUTE(TRIM(J474),".",""),"/",""),"-","")," ",""),"(",""),")",""),"+",""))=11),OR(K474="",LEN(SUBSTITUTE(SUBSTITUTE(SUBSTITUTE(SUBSTITUTE(SUBSTITUTE(SUBSTITUTE(SUBSTITUTE(TRIM(K474),".",""),"/",""),"-","")," ",""),"(",""),")",""),"+",""))=10,LEN(SUBSTITUTE(SUBSTITUTE(SUBSTITUTE(SUBSTITUTE(SUBSTITUTE(SUBSTITUTE(SUBSTITUTE(TRIM(K474),".",""),"/",""),"-","")," ",""),"(",""),")",""),"+",""))=11)),"OK","ERRO: use DDD + número (10 ou 11 dígitos)"))</f>
      </c>
      <c r="T474" s="6">
        <f>IF(L474="","vazio",IF(AND(ISNUMBER(FIND("@",L474)),ISNUMBER(FIND(".",MID(L474,FIND("@",L474),99))),NOT(ISNUMBER(FIND(" ",TRIM(L474)))),NOT(ISNUMBER(FIND(";",L474))),NOT(ISNUMBER(FIND(",",L474)))),"OK","ERRO: um e-mail válido por linha"))</f>
      </c>
      <c r="U474" s="6">
        <f>IF(COUNTA(A474:O474)=0,"",IF(AND(B474&lt;&gt;"",C474&lt;&gt;"",D474&lt;&gt;"",E474&lt;&gt;"",H474&lt;&gt;"",OR(J474&lt;&gt;"",L474&lt;&gt;"")),"OK","ERRO: faltam "&amp;IF(B474="","Proprietário; ","")&amp;IF(C474="","Origem; ","")&amp;IF(D474="","CNPJ; ","")&amp;IF(E474="","Razão Social; ","")&amp;IF(H474="","Sobrenome; ","")&amp;IF(AND(J474="",L474=""),"telefone ou e-mail; ","")))</f>
      </c>
      <c r="V474" s="6">
        <f>IF(COUNTA(A474:O474)=0,"",IF(AND(Q474="OK",R474="OK",LEFT(S474,4)&lt;&gt;"ERRO",LEFT(T474,4)&lt;&gt;"ERRO",U474="OK"),"OK","REVISAR"))</f>
      </c>
    </row>
    <row r="475">
      <c r="A475" s="4"/>
      <c r="B475" s="5"/>
      <c r="C475" s="5"/>
      <c r="D475" s="5"/>
      <c r="E475" s="5"/>
      <c r="F475" s="4"/>
      <c r="G475" s="4"/>
      <c r="H475" s="5"/>
      <c r="I475" s="4"/>
      <c r="J475" s="4"/>
      <c r="K475" s="4"/>
      <c r="L475" s="4"/>
      <c r="M475" s="4"/>
      <c r="N475" s="4"/>
      <c r="O475" s="4"/>
      <c r="P475" s="6">
        <f>IF(D475="","",SUBSTITUTE(SUBSTITUTE(SUBSTITUTE(SUBSTITUTE(SUBSTITUTE(SUBSTITUTE(SUBSTITUTE(TRIM(D475),".",""),"/",""),"-","")," ",""),"(",""),")",""),"+",""))</f>
      </c>
      <c r="Q475" s="6">
        <f>IF(P475="","",IF(LEN(P475)&lt;&gt;14,"ERRO: "&amp;LEN(P475)&amp;" dígitos",IF(NOT(ISNUMBER(VALUE(P475))),"ERRO: não numérico",IF(LEN(SUBSTITUTE(P475,LEFT(P475,1),""))=0,"ERRO: dígitos repetidos",IF(AND(VALUE(MID(P475,13,1))=IF(MOD(SUMPRODUCT(--MID(P475,{1,2,3,4,5,6,7,8,9,10,11,12},1),{5,4,3,2,9,8,7,6,5,4,3,2}),11)&lt;2,0,11-MOD(SUMPRODUCT(--MID(P475,{1,2,3,4,5,6,7,8,9,10,11,12},1),{5,4,3,2,9,8,7,6,5,4,3,2}),11)),VALUE(MID(P475,14,1))=IF(MOD(SUMPRODUCT(--MID(P475,{1,2,3,4,5,6,7,8,9,10,11,12,13},1),{6,5,4,3,2,9,8,7,6,5,4,3,2}),11)&lt;2,0,11-MOD(SUMPRODUCT(--MID(P475,{1,2,3,4,5,6,7,8,9,10,11,12,13},1),{6,5,4,3,2,9,8,7,6,5,4,3,2}),11))),"OK","ERRO: dígito verificador")))))</f>
      </c>
      <c r="R475" s="6">
        <f>IF(P475="","",IF(COUNTIF($P$2:$P$1001,P475)&gt;1,"DUPLICADO","OK"))</f>
      </c>
      <c r="S475" s="6">
        <f>IF(AND(J475="",K475=""),"vazio",IF(AND(OR(J475="",LEN(SUBSTITUTE(SUBSTITUTE(SUBSTITUTE(SUBSTITUTE(SUBSTITUTE(SUBSTITUTE(SUBSTITUTE(TRIM(J475),".",""),"/",""),"-","")," ",""),"(",""),")",""),"+",""))=10,LEN(SUBSTITUTE(SUBSTITUTE(SUBSTITUTE(SUBSTITUTE(SUBSTITUTE(SUBSTITUTE(SUBSTITUTE(TRIM(J475),".",""),"/",""),"-","")," ",""),"(",""),")",""),"+",""))=11),OR(K475="",LEN(SUBSTITUTE(SUBSTITUTE(SUBSTITUTE(SUBSTITUTE(SUBSTITUTE(SUBSTITUTE(SUBSTITUTE(TRIM(K475),".",""),"/",""),"-","")," ",""),"(",""),")",""),"+",""))=10,LEN(SUBSTITUTE(SUBSTITUTE(SUBSTITUTE(SUBSTITUTE(SUBSTITUTE(SUBSTITUTE(SUBSTITUTE(TRIM(K475),".",""),"/",""),"-","")," ",""),"(",""),")",""),"+",""))=11)),"OK","ERRO: use DDD + número (10 ou 11 dígitos)"))</f>
      </c>
      <c r="T475" s="6">
        <f>IF(L475="","vazio",IF(AND(ISNUMBER(FIND("@",L475)),ISNUMBER(FIND(".",MID(L475,FIND("@",L475),99))),NOT(ISNUMBER(FIND(" ",TRIM(L475)))),NOT(ISNUMBER(FIND(";",L475))),NOT(ISNUMBER(FIND(",",L475)))),"OK","ERRO: um e-mail válido por linha"))</f>
      </c>
      <c r="U475" s="6">
        <f>IF(COUNTA(A475:O475)=0,"",IF(AND(B475&lt;&gt;"",C475&lt;&gt;"",D475&lt;&gt;"",E475&lt;&gt;"",H475&lt;&gt;"",OR(J475&lt;&gt;"",L475&lt;&gt;"")),"OK","ERRO: faltam "&amp;IF(B475="","Proprietário; ","")&amp;IF(C475="","Origem; ","")&amp;IF(D475="","CNPJ; ","")&amp;IF(E475="","Razão Social; ","")&amp;IF(H475="","Sobrenome; ","")&amp;IF(AND(J475="",L475=""),"telefone ou e-mail; ","")))</f>
      </c>
      <c r="V475" s="6">
        <f>IF(COUNTA(A475:O475)=0,"",IF(AND(Q475="OK",R475="OK",LEFT(S475,4)&lt;&gt;"ERRO",LEFT(T475,4)&lt;&gt;"ERRO",U475="OK"),"OK","REVISAR"))</f>
      </c>
    </row>
    <row r="476">
      <c r="A476" s="4"/>
      <c r="B476" s="5"/>
      <c r="C476" s="5"/>
      <c r="D476" s="5"/>
      <c r="E476" s="5"/>
      <c r="F476" s="4"/>
      <c r="G476" s="4"/>
      <c r="H476" s="5"/>
      <c r="I476" s="4"/>
      <c r="J476" s="4"/>
      <c r="K476" s="4"/>
      <c r="L476" s="4"/>
      <c r="M476" s="4"/>
      <c r="N476" s="4"/>
      <c r="O476" s="4"/>
      <c r="P476" s="6">
        <f>IF(D476="","",SUBSTITUTE(SUBSTITUTE(SUBSTITUTE(SUBSTITUTE(SUBSTITUTE(SUBSTITUTE(SUBSTITUTE(TRIM(D476),".",""),"/",""),"-","")," ",""),"(",""),")",""),"+",""))</f>
      </c>
      <c r="Q476" s="6">
        <f>IF(P476="","",IF(LEN(P476)&lt;&gt;14,"ERRO: "&amp;LEN(P476)&amp;" dígitos",IF(NOT(ISNUMBER(VALUE(P476))),"ERRO: não numérico",IF(LEN(SUBSTITUTE(P476,LEFT(P476,1),""))=0,"ERRO: dígitos repetidos",IF(AND(VALUE(MID(P476,13,1))=IF(MOD(SUMPRODUCT(--MID(P476,{1,2,3,4,5,6,7,8,9,10,11,12},1),{5,4,3,2,9,8,7,6,5,4,3,2}),11)&lt;2,0,11-MOD(SUMPRODUCT(--MID(P476,{1,2,3,4,5,6,7,8,9,10,11,12},1),{5,4,3,2,9,8,7,6,5,4,3,2}),11)),VALUE(MID(P476,14,1))=IF(MOD(SUMPRODUCT(--MID(P476,{1,2,3,4,5,6,7,8,9,10,11,12,13},1),{6,5,4,3,2,9,8,7,6,5,4,3,2}),11)&lt;2,0,11-MOD(SUMPRODUCT(--MID(P476,{1,2,3,4,5,6,7,8,9,10,11,12,13},1),{6,5,4,3,2,9,8,7,6,5,4,3,2}),11))),"OK","ERRO: dígito verificador")))))</f>
      </c>
      <c r="R476" s="6">
        <f>IF(P476="","",IF(COUNTIF($P$2:$P$1001,P476)&gt;1,"DUPLICADO","OK"))</f>
      </c>
      <c r="S476" s="6">
        <f>IF(AND(J476="",K476=""),"vazio",IF(AND(OR(J476="",LEN(SUBSTITUTE(SUBSTITUTE(SUBSTITUTE(SUBSTITUTE(SUBSTITUTE(SUBSTITUTE(SUBSTITUTE(TRIM(J476),".",""),"/",""),"-","")," ",""),"(",""),")",""),"+",""))=10,LEN(SUBSTITUTE(SUBSTITUTE(SUBSTITUTE(SUBSTITUTE(SUBSTITUTE(SUBSTITUTE(SUBSTITUTE(TRIM(J476),".",""),"/",""),"-","")," ",""),"(",""),")",""),"+",""))=11),OR(K476="",LEN(SUBSTITUTE(SUBSTITUTE(SUBSTITUTE(SUBSTITUTE(SUBSTITUTE(SUBSTITUTE(SUBSTITUTE(TRIM(K476),".",""),"/",""),"-","")," ",""),"(",""),")",""),"+",""))=10,LEN(SUBSTITUTE(SUBSTITUTE(SUBSTITUTE(SUBSTITUTE(SUBSTITUTE(SUBSTITUTE(SUBSTITUTE(TRIM(K476),".",""),"/",""),"-","")," ",""),"(",""),")",""),"+",""))=11)),"OK","ERRO: use DDD + número (10 ou 11 dígitos)"))</f>
      </c>
      <c r="T476" s="6">
        <f>IF(L476="","vazio",IF(AND(ISNUMBER(FIND("@",L476)),ISNUMBER(FIND(".",MID(L476,FIND("@",L476),99))),NOT(ISNUMBER(FIND(" ",TRIM(L476)))),NOT(ISNUMBER(FIND(";",L476))),NOT(ISNUMBER(FIND(",",L476)))),"OK","ERRO: um e-mail válido por linha"))</f>
      </c>
      <c r="U476" s="6">
        <f>IF(COUNTA(A476:O476)=0,"",IF(AND(B476&lt;&gt;"",C476&lt;&gt;"",D476&lt;&gt;"",E476&lt;&gt;"",H476&lt;&gt;"",OR(J476&lt;&gt;"",L476&lt;&gt;"")),"OK","ERRO: faltam "&amp;IF(B476="","Proprietário; ","")&amp;IF(C476="","Origem; ","")&amp;IF(D476="","CNPJ; ","")&amp;IF(E476="","Razão Social; ","")&amp;IF(H476="","Sobrenome; ","")&amp;IF(AND(J476="",L476=""),"telefone ou e-mail; ","")))</f>
      </c>
      <c r="V476" s="6">
        <f>IF(COUNTA(A476:O476)=0,"",IF(AND(Q476="OK",R476="OK",LEFT(S476,4)&lt;&gt;"ERRO",LEFT(T476,4)&lt;&gt;"ERRO",U476="OK"),"OK","REVISAR"))</f>
      </c>
    </row>
    <row r="477">
      <c r="A477" s="4"/>
      <c r="B477" s="5"/>
      <c r="C477" s="5"/>
      <c r="D477" s="5"/>
      <c r="E477" s="5"/>
      <c r="F477" s="4"/>
      <c r="G477" s="4"/>
      <c r="H477" s="5"/>
      <c r="I477" s="4"/>
      <c r="J477" s="4"/>
      <c r="K477" s="4"/>
      <c r="L477" s="4"/>
      <c r="M477" s="4"/>
      <c r="N477" s="4"/>
      <c r="O477" s="4"/>
      <c r="P477" s="6">
        <f>IF(D477="","",SUBSTITUTE(SUBSTITUTE(SUBSTITUTE(SUBSTITUTE(SUBSTITUTE(SUBSTITUTE(SUBSTITUTE(TRIM(D477),".",""),"/",""),"-","")," ",""),"(",""),")",""),"+",""))</f>
      </c>
      <c r="Q477" s="6">
        <f>IF(P477="","",IF(LEN(P477)&lt;&gt;14,"ERRO: "&amp;LEN(P477)&amp;" dígitos",IF(NOT(ISNUMBER(VALUE(P477))),"ERRO: não numérico",IF(LEN(SUBSTITUTE(P477,LEFT(P477,1),""))=0,"ERRO: dígitos repetidos",IF(AND(VALUE(MID(P477,13,1))=IF(MOD(SUMPRODUCT(--MID(P477,{1,2,3,4,5,6,7,8,9,10,11,12},1),{5,4,3,2,9,8,7,6,5,4,3,2}),11)&lt;2,0,11-MOD(SUMPRODUCT(--MID(P477,{1,2,3,4,5,6,7,8,9,10,11,12},1),{5,4,3,2,9,8,7,6,5,4,3,2}),11)),VALUE(MID(P477,14,1))=IF(MOD(SUMPRODUCT(--MID(P477,{1,2,3,4,5,6,7,8,9,10,11,12,13},1),{6,5,4,3,2,9,8,7,6,5,4,3,2}),11)&lt;2,0,11-MOD(SUMPRODUCT(--MID(P477,{1,2,3,4,5,6,7,8,9,10,11,12,13},1),{6,5,4,3,2,9,8,7,6,5,4,3,2}),11))),"OK","ERRO: dígito verificador")))))</f>
      </c>
      <c r="R477" s="6">
        <f>IF(P477="","",IF(COUNTIF($P$2:$P$1001,P477)&gt;1,"DUPLICADO","OK"))</f>
      </c>
      <c r="S477" s="6">
        <f>IF(AND(J477="",K477=""),"vazio",IF(AND(OR(J477="",LEN(SUBSTITUTE(SUBSTITUTE(SUBSTITUTE(SUBSTITUTE(SUBSTITUTE(SUBSTITUTE(SUBSTITUTE(TRIM(J477),".",""),"/",""),"-","")," ",""),"(",""),")",""),"+",""))=10,LEN(SUBSTITUTE(SUBSTITUTE(SUBSTITUTE(SUBSTITUTE(SUBSTITUTE(SUBSTITUTE(SUBSTITUTE(TRIM(J477),".",""),"/",""),"-","")," ",""),"(",""),")",""),"+",""))=11),OR(K477="",LEN(SUBSTITUTE(SUBSTITUTE(SUBSTITUTE(SUBSTITUTE(SUBSTITUTE(SUBSTITUTE(SUBSTITUTE(TRIM(K477),".",""),"/",""),"-","")," ",""),"(",""),")",""),"+",""))=10,LEN(SUBSTITUTE(SUBSTITUTE(SUBSTITUTE(SUBSTITUTE(SUBSTITUTE(SUBSTITUTE(SUBSTITUTE(TRIM(K477),".",""),"/",""),"-","")," ",""),"(",""),")",""),"+",""))=11)),"OK","ERRO: use DDD + número (10 ou 11 dígitos)"))</f>
      </c>
      <c r="T477" s="6">
        <f>IF(L477="","vazio",IF(AND(ISNUMBER(FIND("@",L477)),ISNUMBER(FIND(".",MID(L477,FIND("@",L477),99))),NOT(ISNUMBER(FIND(" ",TRIM(L477)))),NOT(ISNUMBER(FIND(";",L477))),NOT(ISNUMBER(FIND(",",L477)))),"OK","ERRO: um e-mail válido por linha"))</f>
      </c>
      <c r="U477" s="6">
        <f>IF(COUNTA(A477:O477)=0,"",IF(AND(B477&lt;&gt;"",C477&lt;&gt;"",D477&lt;&gt;"",E477&lt;&gt;"",H477&lt;&gt;"",OR(J477&lt;&gt;"",L477&lt;&gt;"")),"OK","ERRO: faltam "&amp;IF(B477="","Proprietário; ","")&amp;IF(C477="","Origem; ","")&amp;IF(D477="","CNPJ; ","")&amp;IF(E477="","Razão Social; ","")&amp;IF(H477="","Sobrenome; ","")&amp;IF(AND(J477="",L477=""),"telefone ou e-mail; ","")))</f>
      </c>
      <c r="V477" s="6">
        <f>IF(COUNTA(A477:O477)=0,"",IF(AND(Q477="OK",R477="OK",LEFT(S477,4)&lt;&gt;"ERRO",LEFT(T477,4)&lt;&gt;"ERRO",U477="OK"),"OK","REVISAR"))</f>
      </c>
    </row>
    <row r="478">
      <c r="A478" s="4"/>
      <c r="B478" s="5"/>
      <c r="C478" s="5"/>
      <c r="D478" s="5"/>
      <c r="E478" s="5"/>
      <c r="F478" s="4"/>
      <c r="G478" s="4"/>
      <c r="H478" s="5"/>
      <c r="I478" s="4"/>
      <c r="J478" s="4"/>
      <c r="K478" s="4"/>
      <c r="L478" s="4"/>
      <c r="M478" s="4"/>
      <c r="N478" s="4"/>
      <c r="O478" s="4"/>
      <c r="P478" s="6">
        <f>IF(D478="","",SUBSTITUTE(SUBSTITUTE(SUBSTITUTE(SUBSTITUTE(SUBSTITUTE(SUBSTITUTE(SUBSTITUTE(TRIM(D478),".",""),"/",""),"-","")," ",""),"(",""),")",""),"+",""))</f>
      </c>
      <c r="Q478" s="6">
        <f>IF(P478="","",IF(LEN(P478)&lt;&gt;14,"ERRO: "&amp;LEN(P478)&amp;" dígitos",IF(NOT(ISNUMBER(VALUE(P478))),"ERRO: não numérico",IF(LEN(SUBSTITUTE(P478,LEFT(P478,1),""))=0,"ERRO: dígitos repetidos",IF(AND(VALUE(MID(P478,13,1))=IF(MOD(SUMPRODUCT(--MID(P478,{1,2,3,4,5,6,7,8,9,10,11,12},1),{5,4,3,2,9,8,7,6,5,4,3,2}),11)&lt;2,0,11-MOD(SUMPRODUCT(--MID(P478,{1,2,3,4,5,6,7,8,9,10,11,12},1),{5,4,3,2,9,8,7,6,5,4,3,2}),11)),VALUE(MID(P478,14,1))=IF(MOD(SUMPRODUCT(--MID(P478,{1,2,3,4,5,6,7,8,9,10,11,12,13},1),{6,5,4,3,2,9,8,7,6,5,4,3,2}),11)&lt;2,0,11-MOD(SUMPRODUCT(--MID(P478,{1,2,3,4,5,6,7,8,9,10,11,12,13},1),{6,5,4,3,2,9,8,7,6,5,4,3,2}),11))),"OK","ERRO: dígito verificador")))))</f>
      </c>
      <c r="R478" s="6">
        <f>IF(P478="","",IF(COUNTIF($P$2:$P$1001,P478)&gt;1,"DUPLICADO","OK"))</f>
      </c>
      <c r="S478" s="6">
        <f>IF(AND(J478="",K478=""),"vazio",IF(AND(OR(J478="",LEN(SUBSTITUTE(SUBSTITUTE(SUBSTITUTE(SUBSTITUTE(SUBSTITUTE(SUBSTITUTE(SUBSTITUTE(TRIM(J478),".",""),"/",""),"-","")," ",""),"(",""),")",""),"+",""))=10,LEN(SUBSTITUTE(SUBSTITUTE(SUBSTITUTE(SUBSTITUTE(SUBSTITUTE(SUBSTITUTE(SUBSTITUTE(TRIM(J478),".",""),"/",""),"-","")," ",""),"(",""),")",""),"+",""))=11),OR(K478="",LEN(SUBSTITUTE(SUBSTITUTE(SUBSTITUTE(SUBSTITUTE(SUBSTITUTE(SUBSTITUTE(SUBSTITUTE(TRIM(K478),".",""),"/",""),"-","")," ",""),"(",""),")",""),"+",""))=10,LEN(SUBSTITUTE(SUBSTITUTE(SUBSTITUTE(SUBSTITUTE(SUBSTITUTE(SUBSTITUTE(SUBSTITUTE(TRIM(K478),".",""),"/",""),"-","")," ",""),"(",""),")",""),"+",""))=11)),"OK","ERRO: use DDD + número (10 ou 11 dígitos)"))</f>
      </c>
      <c r="T478" s="6">
        <f>IF(L478="","vazio",IF(AND(ISNUMBER(FIND("@",L478)),ISNUMBER(FIND(".",MID(L478,FIND("@",L478),99))),NOT(ISNUMBER(FIND(" ",TRIM(L478)))),NOT(ISNUMBER(FIND(";",L478))),NOT(ISNUMBER(FIND(",",L478)))),"OK","ERRO: um e-mail válido por linha"))</f>
      </c>
      <c r="U478" s="6">
        <f>IF(COUNTA(A478:O478)=0,"",IF(AND(B478&lt;&gt;"",C478&lt;&gt;"",D478&lt;&gt;"",E478&lt;&gt;"",H478&lt;&gt;"",OR(J478&lt;&gt;"",L478&lt;&gt;"")),"OK","ERRO: faltam "&amp;IF(B478="","Proprietário; ","")&amp;IF(C478="","Origem; ","")&amp;IF(D478="","CNPJ; ","")&amp;IF(E478="","Razão Social; ","")&amp;IF(H478="","Sobrenome; ","")&amp;IF(AND(J478="",L478=""),"telefone ou e-mail; ","")))</f>
      </c>
      <c r="V478" s="6">
        <f>IF(COUNTA(A478:O478)=0,"",IF(AND(Q478="OK",R478="OK",LEFT(S478,4)&lt;&gt;"ERRO",LEFT(T478,4)&lt;&gt;"ERRO",U478="OK"),"OK","REVISAR"))</f>
      </c>
    </row>
    <row r="479">
      <c r="A479" s="4"/>
      <c r="B479" s="5"/>
      <c r="C479" s="5"/>
      <c r="D479" s="5"/>
      <c r="E479" s="5"/>
      <c r="F479" s="4"/>
      <c r="G479" s="4"/>
      <c r="H479" s="5"/>
      <c r="I479" s="4"/>
      <c r="J479" s="4"/>
      <c r="K479" s="4"/>
      <c r="L479" s="4"/>
      <c r="M479" s="4"/>
      <c r="N479" s="4"/>
      <c r="O479" s="4"/>
      <c r="P479" s="6">
        <f>IF(D479="","",SUBSTITUTE(SUBSTITUTE(SUBSTITUTE(SUBSTITUTE(SUBSTITUTE(SUBSTITUTE(SUBSTITUTE(TRIM(D479),".",""),"/",""),"-","")," ",""),"(",""),")",""),"+",""))</f>
      </c>
      <c r="Q479" s="6">
        <f>IF(P479="","",IF(LEN(P479)&lt;&gt;14,"ERRO: "&amp;LEN(P479)&amp;" dígitos",IF(NOT(ISNUMBER(VALUE(P479))),"ERRO: não numérico",IF(LEN(SUBSTITUTE(P479,LEFT(P479,1),""))=0,"ERRO: dígitos repetidos",IF(AND(VALUE(MID(P479,13,1))=IF(MOD(SUMPRODUCT(--MID(P479,{1,2,3,4,5,6,7,8,9,10,11,12},1),{5,4,3,2,9,8,7,6,5,4,3,2}),11)&lt;2,0,11-MOD(SUMPRODUCT(--MID(P479,{1,2,3,4,5,6,7,8,9,10,11,12},1),{5,4,3,2,9,8,7,6,5,4,3,2}),11)),VALUE(MID(P479,14,1))=IF(MOD(SUMPRODUCT(--MID(P479,{1,2,3,4,5,6,7,8,9,10,11,12,13},1),{6,5,4,3,2,9,8,7,6,5,4,3,2}),11)&lt;2,0,11-MOD(SUMPRODUCT(--MID(P479,{1,2,3,4,5,6,7,8,9,10,11,12,13},1),{6,5,4,3,2,9,8,7,6,5,4,3,2}),11))),"OK","ERRO: dígito verificador")))))</f>
      </c>
      <c r="R479" s="6">
        <f>IF(P479="","",IF(COUNTIF($P$2:$P$1001,P479)&gt;1,"DUPLICADO","OK"))</f>
      </c>
      <c r="S479" s="6">
        <f>IF(AND(J479="",K479=""),"vazio",IF(AND(OR(J479="",LEN(SUBSTITUTE(SUBSTITUTE(SUBSTITUTE(SUBSTITUTE(SUBSTITUTE(SUBSTITUTE(SUBSTITUTE(TRIM(J479),".",""),"/",""),"-","")," ",""),"(",""),")",""),"+",""))=10,LEN(SUBSTITUTE(SUBSTITUTE(SUBSTITUTE(SUBSTITUTE(SUBSTITUTE(SUBSTITUTE(SUBSTITUTE(TRIM(J479),".",""),"/",""),"-","")," ",""),"(",""),")",""),"+",""))=11),OR(K479="",LEN(SUBSTITUTE(SUBSTITUTE(SUBSTITUTE(SUBSTITUTE(SUBSTITUTE(SUBSTITUTE(SUBSTITUTE(TRIM(K479),".",""),"/",""),"-","")," ",""),"(",""),")",""),"+",""))=10,LEN(SUBSTITUTE(SUBSTITUTE(SUBSTITUTE(SUBSTITUTE(SUBSTITUTE(SUBSTITUTE(SUBSTITUTE(TRIM(K479),".",""),"/",""),"-","")," ",""),"(",""),")",""),"+",""))=11)),"OK","ERRO: use DDD + número (10 ou 11 dígitos)"))</f>
      </c>
      <c r="T479" s="6">
        <f>IF(L479="","vazio",IF(AND(ISNUMBER(FIND("@",L479)),ISNUMBER(FIND(".",MID(L479,FIND("@",L479),99))),NOT(ISNUMBER(FIND(" ",TRIM(L479)))),NOT(ISNUMBER(FIND(";",L479))),NOT(ISNUMBER(FIND(",",L479)))),"OK","ERRO: um e-mail válido por linha"))</f>
      </c>
      <c r="U479" s="6">
        <f>IF(COUNTA(A479:O479)=0,"",IF(AND(B479&lt;&gt;"",C479&lt;&gt;"",D479&lt;&gt;"",E479&lt;&gt;"",H479&lt;&gt;"",OR(J479&lt;&gt;"",L479&lt;&gt;"")),"OK","ERRO: faltam "&amp;IF(B479="","Proprietário; ","")&amp;IF(C479="","Origem; ","")&amp;IF(D479="","CNPJ; ","")&amp;IF(E479="","Razão Social; ","")&amp;IF(H479="","Sobrenome; ","")&amp;IF(AND(J479="",L479=""),"telefone ou e-mail; ","")))</f>
      </c>
      <c r="V479" s="6">
        <f>IF(COUNTA(A479:O479)=0,"",IF(AND(Q479="OK",R479="OK",LEFT(S479,4)&lt;&gt;"ERRO",LEFT(T479,4)&lt;&gt;"ERRO",U479="OK"),"OK","REVISAR"))</f>
      </c>
    </row>
    <row r="480">
      <c r="A480" s="4"/>
      <c r="B480" s="5"/>
      <c r="C480" s="5"/>
      <c r="D480" s="5"/>
      <c r="E480" s="5"/>
      <c r="F480" s="4"/>
      <c r="G480" s="4"/>
      <c r="H480" s="5"/>
      <c r="I480" s="4"/>
      <c r="J480" s="4"/>
      <c r="K480" s="4"/>
      <c r="L480" s="4"/>
      <c r="M480" s="4"/>
      <c r="N480" s="4"/>
      <c r="O480" s="4"/>
      <c r="P480" s="6">
        <f>IF(D480="","",SUBSTITUTE(SUBSTITUTE(SUBSTITUTE(SUBSTITUTE(SUBSTITUTE(SUBSTITUTE(SUBSTITUTE(TRIM(D480),".",""),"/",""),"-","")," ",""),"(",""),")",""),"+",""))</f>
      </c>
      <c r="Q480" s="6">
        <f>IF(P480="","",IF(LEN(P480)&lt;&gt;14,"ERRO: "&amp;LEN(P480)&amp;" dígitos",IF(NOT(ISNUMBER(VALUE(P480))),"ERRO: não numérico",IF(LEN(SUBSTITUTE(P480,LEFT(P480,1),""))=0,"ERRO: dígitos repetidos",IF(AND(VALUE(MID(P480,13,1))=IF(MOD(SUMPRODUCT(--MID(P480,{1,2,3,4,5,6,7,8,9,10,11,12},1),{5,4,3,2,9,8,7,6,5,4,3,2}),11)&lt;2,0,11-MOD(SUMPRODUCT(--MID(P480,{1,2,3,4,5,6,7,8,9,10,11,12},1),{5,4,3,2,9,8,7,6,5,4,3,2}),11)),VALUE(MID(P480,14,1))=IF(MOD(SUMPRODUCT(--MID(P480,{1,2,3,4,5,6,7,8,9,10,11,12,13},1),{6,5,4,3,2,9,8,7,6,5,4,3,2}),11)&lt;2,0,11-MOD(SUMPRODUCT(--MID(P480,{1,2,3,4,5,6,7,8,9,10,11,12,13},1),{6,5,4,3,2,9,8,7,6,5,4,3,2}),11))),"OK","ERRO: dígito verificador")))))</f>
      </c>
      <c r="R480" s="6">
        <f>IF(P480="","",IF(COUNTIF($P$2:$P$1001,P480)&gt;1,"DUPLICADO","OK"))</f>
      </c>
      <c r="S480" s="6">
        <f>IF(AND(J480="",K480=""),"vazio",IF(AND(OR(J480="",LEN(SUBSTITUTE(SUBSTITUTE(SUBSTITUTE(SUBSTITUTE(SUBSTITUTE(SUBSTITUTE(SUBSTITUTE(TRIM(J480),".",""),"/",""),"-","")," ",""),"(",""),")",""),"+",""))=10,LEN(SUBSTITUTE(SUBSTITUTE(SUBSTITUTE(SUBSTITUTE(SUBSTITUTE(SUBSTITUTE(SUBSTITUTE(TRIM(J480),".",""),"/",""),"-","")," ",""),"(",""),")",""),"+",""))=11),OR(K480="",LEN(SUBSTITUTE(SUBSTITUTE(SUBSTITUTE(SUBSTITUTE(SUBSTITUTE(SUBSTITUTE(SUBSTITUTE(TRIM(K480),".",""),"/",""),"-","")," ",""),"(",""),")",""),"+",""))=10,LEN(SUBSTITUTE(SUBSTITUTE(SUBSTITUTE(SUBSTITUTE(SUBSTITUTE(SUBSTITUTE(SUBSTITUTE(TRIM(K480),".",""),"/",""),"-","")," ",""),"(",""),")",""),"+",""))=11)),"OK","ERRO: use DDD + número (10 ou 11 dígitos)"))</f>
      </c>
      <c r="T480" s="6">
        <f>IF(L480="","vazio",IF(AND(ISNUMBER(FIND("@",L480)),ISNUMBER(FIND(".",MID(L480,FIND("@",L480),99))),NOT(ISNUMBER(FIND(" ",TRIM(L480)))),NOT(ISNUMBER(FIND(";",L480))),NOT(ISNUMBER(FIND(",",L480)))),"OK","ERRO: um e-mail válido por linha"))</f>
      </c>
      <c r="U480" s="6">
        <f>IF(COUNTA(A480:O480)=0,"",IF(AND(B480&lt;&gt;"",C480&lt;&gt;"",D480&lt;&gt;"",E480&lt;&gt;"",H480&lt;&gt;"",OR(J480&lt;&gt;"",L480&lt;&gt;"")),"OK","ERRO: faltam "&amp;IF(B480="","Proprietário; ","")&amp;IF(C480="","Origem; ","")&amp;IF(D480="","CNPJ; ","")&amp;IF(E480="","Razão Social; ","")&amp;IF(H480="","Sobrenome; ","")&amp;IF(AND(J480="",L480=""),"telefone ou e-mail; ","")))</f>
      </c>
      <c r="V480" s="6">
        <f>IF(COUNTA(A480:O480)=0,"",IF(AND(Q480="OK",R480="OK",LEFT(S480,4)&lt;&gt;"ERRO",LEFT(T480,4)&lt;&gt;"ERRO",U480="OK"),"OK","REVISAR"))</f>
      </c>
    </row>
    <row r="481">
      <c r="A481" s="4"/>
      <c r="B481" s="5"/>
      <c r="C481" s="5"/>
      <c r="D481" s="5"/>
      <c r="E481" s="5"/>
      <c r="F481" s="4"/>
      <c r="G481" s="4"/>
      <c r="H481" s="5"/>
      <c r="I481" s="4"/>
      <c r="J481" s="4"/>
      <c r="K481" s="4"/>
      <c r="L481" s="4"/>
      <c r="M481" s="4"/>
      <c r="N481" s="4"/>
      <c r="O481" s="4"/>
      <c r="P481" s="6">
        <f>IF(D481="","",SUBSTITUTE(SUBSTITUTE(SUBSTITUTE(SUBSTITUTE(SUBSTITUTE(SUBSTITUTE(SUBSTITUTE(TRIM(D481),".",""),"/",""),"-","")," ",""),"(",""),")",""),"+",""))</f>
      </c>
      <c r="Q481" s="6">
        <f>IF(P481="","",IF(LEN(P481)&lt;&gt;14,"ERRO: "&amp;LEN(P481)&amp;" dígitos",IF(NOT(ISNUMBER(VALUE(P481))),"ERRO: não numérico",IF(LEN(SUBSTITUTE(P481,LEFT(P481,1),""))=0,"ERRO: dígitos repetidos",IF(AND(VALUE(MID(P481,13,1))=IF(MOD(SUMPRODUCT(--MID(P481,{1,2,3,4,5,6,7,8,9,10,11,12},1),{5,4,3,2,9,8,7,6,5,4,3,2}),11)&lt;2,0,11-MOD(SUMPRODUCT(--MID(P481,{1,2,3,4,5,6,7,8,9,10,11,12},1),{5,4,3,2,9,8,7,6,5,4,3,2}),11)),VALUE(MID(P481,14,1))=IF(MOD(SUMPRODUCT(--MID(P481,{1,2,3,4,5,6,7,8,9,10,11,12,13},1),{6,5,4,3,2,9,8,7,6,5,4,3,2}),11)&lt;2,0,11-MOD(SUMPRODUCT(--MID(P481,{1,2,3,4,5,6,7,8,9,10,11,12,13},1),{6,5,4,3,2,9,8,7,6,5,4,3,2}),11))),"OK","ERRO: dígito verificador")))))</f>
      </c>
      <c r="R481" s="6">
        <f>IF(P481="","",IF(COUNTIF($P$2:$P$1001,P481)&gt;1,"DUPLICADO","OK"))</f>
      </c>
      <c r="S481" s="6">
        <f>IF(AND(J481="",K481=""),"vazio",IF(AND(OR(J481="",LEN(SUBSTITUTE(SUBSTITUTE(SUBSTITUTE(SUBSTITUTE(SUBSTITUTE(SUBSTITUTE(SUBSTITUTE(TRIM(J481),".",""),"/",""),"-","")," ",""),"(",""),")",""),"+",""))=10,LEN(SUBSTITUTE(SUBSTITUTE(SUBSTITUTE(SUBSTITUTE(SUBSTITUTE(SUBSTITUTE(SUBSTITUTE(TRIM(J481),".",""),"/",""),"-","")," ",""),"(",""),")",""),"+",""))=11),OR(K481="",LEN(SUBSTITUTE(SUBSTITUTE(SUBSTITUTE(SUBSTITUTE(SUBSTITUTE(SUBSTITUTE(SUBSTITUTE(TRIM(K481),".",""),"/",""),"-","")," ",""),"(",""),")",""),"+",""))=10,LEN(SUBSTITUTE(SUBSTITUTE(SUBSTITUTE(SUBSTITUTE(SUBSTITUTE(SUBSTITUTE(SUBSTITUTE(TRIM(K481),".",""),"/",""),"-","")," ",""),"(",""),")",""),"+",""))=11)),"OK","ERRO: use DDD + número (10 ou 11 dígitos)"))</f>
      </c>
      <c r="T481" s="6">
        <f>IF(L481="","vazio",IF(AND(ISNUMBER(FIND("@",L481)),ISNUMBER(FIND(".",MID(L481,FIND("@",L481),99))),NOT(ISNUMBER(FIND(" ",TRIM(L481)))),NOT(ISNUMBER(FIND(";",L481))),NOT(ISNUMBER(FIND(",",L481)))),"OK","ERRO: um e-mail válido por linha"))</f>
      </c>
      <c r="U481" s="6">
        <f>IF(COUNTA(A481:O481)=0,"",IF(AND(B481&lt;&gt;"",C481&lt;&gt;"",D481&lt;&gt;"",E481&lt;&gt;"",H481&lt;&gt;"",OR(J481&lt;&gt;"",L481&lt;&gt;"")),"OK","ERRO: faltam "&amp;IF(B481="","Proprietário; ","")&amp;IF(C481="","Origem; ","")&amp;IF(D481="","CNPJ; ","")&amp;IF(E481="","Razão Social; ","")&amp;IF(H481="","Sobrenome; ","")&amp;IF(AND(J481="",L481=""),"telefone ou e-mail; ","")))</f>
      </c>
      <c r="V481" s="6">
        <f>IF(COUNTA(A481:O481)=0,"",IF(AND(Q481="OK",R481="OK",LEFT(S481,4)&lt;&gt;"ERRO",LEFT(T481,4)&lt;&gt;"ERRO",U481="OK"),"OK","REVISAR"))</f>
      </c>
    </row>
    <row r="482">
      <c r="A482" s="4"/>
      <c r="B482" s="5"/>
      <c r="C482" s="5"/>
      <c r="D482" s="5"/>
      <c r="E482" s="5"/>
      <c r="F482" s="4"/>
      <c r="G482" s="4"/>
      <c r="H482" s="5"/>
      <c r="I482" s="4"/>
      <c r="J482" s="4"/>
      <c r="K482" s="4"/>
      <c r="L482" s="4"/>
      <c r="M482" s="4"/>
      <c r="N482" s="4"/>
      <c r="O482" s="4"/>
      <c r="P482" s="6">
        <f>IF(D482="","",SUBSTITUTE(SUBSTITUTE(SUBSTITUTE(SUBSTITUTE(SUBSTITUTE(SUBSTITUTE(SUBSTITUTE(TRIM(D482),".",""),"/",""),"-","")," ",""),"(",""),")",""),"+",""))</f>
      </c>
      <c r="Q482" s="6">
        <f>IF(P482="","",IF(LEN(P482)&lt;&gt;14,"ERRO: "&amp;LEN(P482)&amp;" dígitos",IF(NOT(ISNUMBER(VALUE(P482))),"ERRO: não numérico",IF(LEN(SUBSTITUTE(P482,LEFT(P482,1),""))=0,"ERRO: dígitos repetidos",IF(AND(VALUE(MID(P482,13,1))=IF(MOD(SUMPRODUCT(--MID(P482,{1,2,3,4,5,6,7,8,9,10,11,12},1),{5,4,3,2,9,8,7,6,5,4,3,2}),11)&lt;2,0,11-MOD(SUMPRODUCT(--MID(P482,{1,2,3,4,5,6,7,8,9,10,11,12},1),{5,4,3,2,9,8,7,6,5,4,3,2}),11)),VALUE(MID(P482,14,1))=IF(MOD(SUMPRODUCT(--MID(P482,{1,2,3,4,5,6,7,8,9,10,11,12,13},1),{6,5,4,3,2,9,8,7,6,5,4,3,2}),11)&lt;2,0,11-MOD(SUMPRODUCT(--MID(P482,{1,2,3,4,5,6,7,8,9,10,11,12,13},1),{6,5,4,3,2,9,8,7,6,5,4,3,2}),11))),"OK","ERRO: dígito verificador")))))</f>
      </c>
      <c r="R482" s="6">
        <f>IF(P482="","",IF(COUNTIF($P$2:$P$1001,P482)&gt;1,"DUPLICADO","OK"))</f>
      </c>
      <c r="S482" s="6">
        <f>IF(AND(J482="",K482=""),"vazio",IF(AND(OR(J482="",LEN(SUBSTITUTE(SUBSTITUTE(SUBSTITUTE(SUBSTITUTE(SUBSTITUTE(SUBSTITUTE(SUBSTITUTE(TRIM(J482),".",""),"/",""),"-","")," ",""),"(",""),")",""),"+",""))=10,LEN(SUBSTITUTE(SUBSTITUTE(SUBSTITUTE(SUBSTITUTE(SUBSTITUTE(SUBSTITUTE(SUBSTITUTE(TRIM(J482),".",""),"/",""),"-","")," ",""),"(",""),")",""),"+",""))=11),OR(K482="",LEN(SUBSTITUTE(SUBSTITUTE(SUBSTITUTE(SUBSTITUTE(SUBSTITUTE(SUBSTITUTE(SUBSTITUTE(TRIM(K482),".",""),"/",""),"-","")," ",""),"(",""),")",""),"+",""))=10,LEN(SUBSTITUTE(SUBSTITUTE(SUBSTITUTE(SUBSTITUTE(SUBSTITUTE(SUBSTITUTE(SUBSTITUTE(TRIM(K482),".",""),"/",""),"-","")," ",""),"(",""),")",""),"+",""))=11)),"OK","ERRO: use DDD + número (10 ou 11 dígitos)"))</f>
      </c>
      <c r="T482" s="6">
        <f>IF(L482="","vazio",IF(AND(ISNUMBER(FIND("@",L482)),ISNUMBER(FIND(".",MID(L482,FIND("@",L482),99))),NOT(ISNUMBER(FIND(" ",TRIM(L482)))),NOT(ISNUMBER(FIND(";",L482))),NOT(ISNUMBER(FIND(",",L482)))),"OK","ERRO: um e-mail válido por linha"))</f>
      </c>
      <c r="U482" s="6">
        <f>IF(COUNTA(A482:O482)=0,"",IF(AND(B482&lt;&gt;"",C482&lt;&gt;"",D482&lt;&gt;"",E482&lt;&gt;"",H482&lt;&gt;"",OR(J482&lt;&gt;"",L482&lt;&gt;"")),"OK","ERRO: faltam "&amp;IF(B482="","Proprietário; ","")&amp;IF(C482="","Origem; ","")&amp;IF(D482="","CNPJ; ","")&amp;IF(E482="","Razão Social; ","")&amp;IF(H482="","Sobrenome; ","")&amp;IF(AND(J482="",L482=""),"telefone ou e-mail; ","")))</f>
      </c>
      <c r="V482" s="6">
        <f>IF(COUNTA(A482:O482)=0,"",IF(AND(Q482="OK",R482="OK",LEFT(S482,4)&lt;&gt;"ERRO",LEFT(T482,4)&lt;&gt;"ERRO",U482="OK"),"OK","REVISAR"))</f>
      </c>
    </row>
    <row r="483">
      <c r="A483" s="4"/>
      <c r="B483" s="5"/>
      <c r="C483" s="5"/>
      <c r="D483" s="5"/>
      <c r="E483" s="5"/>
      <c r="F483" s="4"/>
      <c r="G483" s="4"/>
      <c r="H483" s="5"/>
      <c r="I483" s="4"/>
      <c r="J483" s="4"/>
      <c r="K483" s="4"/>
      <c r="L483" s="4"/>
      <c r="M483" s="4"/>
      <c r="N483" s="4"/>
      <c r="O483" s="4"/>
      <c r="P483" s="6">
        <f>IF(D483="","",SUBSTITUTE(SUBSTITUTE(SUBSTITUTE(SUBSTITUTE(SUBSTITUTE(SUBSTITUTE(SUBSTITUTE(TRIM(D483),".",""),"/",""),"-","")," ",""),"(",""),")",""),"+",""))</f>
      </c>
      <c r="Q483" s="6">
        <f>IF(P483="","",IF(LEN(P483)&lt;&gt;14,"ERRO: "&amp;LEN(P483)&amp;" dígitos",IF(NOT(ISNUMBER(VALUE(P483))),"ERRO: não numérico",IF(LEN(SUBSTITUTE(P483,LEFT(P483,1),""))=0,"ERRO: dígitos repetidos",IF(AND(VALUE(MID(P483,13,1))=IF(MOD(SUMPRODUCT(--MID(P483,{1,2,3,4,5,6,7,8,9,10,11,12},1),{5,4,3,2,9,8,7,6,5,4,3,2}),11)&lt;2,0,11-MOD(SUMPRODUCT(--MID(P483,{1,2,3,4,5,6,7,8,9,10,11,12},1),{5,4,3,2,9,8,7,6,5,4,3,2}),11)),VALUE(MID(P483,14,1))=IF(MOD(SUMPRODUCT(--MID(P483,{1,2,3,4,5,6,7,8,9,10,11,12,13},1),{6,5,4,3,2,9,8,7,6,5,4,3,2}),11)&lt;2,0,11-MOD(SUMPRODUCT(--MID(P483,{1,2,3,4,5,6,7,8,9,10,11,12,13},1),{6,5,4,3,2,9,8,7,6,5,4,3,2}),11))),"OK","ERRO: dígito verificador")))))</f>
      </c>
      <c r="R483" s="6">
        <f>IF(P483="","",IF(COUNTIF($P$2:$P$1001,P483)&gt;1,"DUPLICADO","OK"))</f>
      </c>
      <c r="S483" s="6">
        <f>IF(AND(J483="",K483=""),"vazio",IF(AND(OR(J483="",LEN(SUBSTITUTE(SUBSTITUTE(SUBSTITUTE(SUBSTITUTE(SUBSTITUTE(SUBSTITUTE(SUBSTITUTE(TRIM(J483),".",""),"/",""),"-","")," ",""),"(",""),")",""),"+",""))=10,LEN(SUBSTITUTE(SUBSTITUTE(SUBSTITUTE(SUBSTITUTE(SUBSTITUTE(SUBSTITUTE(SUBSTITUTE(TRIM(J483),".",""),"/",""),"-","")," ",""),"(",""),")",""),"+",""))=11),OR(K483="",LEN(SUBSTITUTE(SUBSTITUTE(SUBSTITUTE(SUBSTITUTE(SUBSTITUTE(SUBSTITUTE(SUBSTITUTE(TRIM(K483),".",""),"/",""),"-","")," ",""),"(",""),")",""),"+",""))=10,LEN(SUBSTITUTE(SUBSTITUTE(SUBSTITUTE(SUBSTITUTE(SUBSTITUTE(SUBSTITUTE(SUBSTITUTE(TRIM(K483),".",""),"/",""),"-","")," ",""),"(",""),")",""),"+",""))=11)),"OK","ERRO: use DDD + número (10 ou 11 dígitos)"))</f>
      </c>
      <c r="T483" s="6">
        <f>IF(L483="","vazio",IF(AND(ISNUMBER(FIND("@",L483)),ISNUMBER(FIND(".",MID(L483,FIND("@",L483),99))),NOT(ISNUMBER(FIND(" ",TRIM(L483)))),NOT(ISNUMBER(FIND(";",L483))),NOT(ISNUMBER(FIND(",",L483)))),"OK","ERRO: um e-mail válido por linha"))</f>
      </c>
      <c r="U483" s="6">
        <f>IF(COUNTA(A483:O483)=0,"",IF(AND(B483&lt;&gt;"",C483&lt;&gt;"",D483&lt;&gt;"",E483&lt;&gt;"",H483&lt;&gt;"",OR(J483&lt;&gt;"",L483&lt;&gt;"")),"OK","ERRO: faltam "&amp;IF(B483="","Proprietário; ","")&amp;IF(C483="","Origem; ","")&amp;IF(D483="","CNPJ; ","")&amp;IF(E483="","Razão Social; ","")&amp;IF(H483="","Sobrenome; ","")&amp;IF(AND(J483="",L483=""),"telefone ou e-mail; ","")))</f>
      </c>
      <c r="V483" s="6">
        <f>IF(COUNTA(A483:O483)=0,"",IF(AND(Q483="OK",R483="OK",LEFT(S483,4)&lt;&gt;"ERRO",LEFT(T483,4)&lt;&gt;"ERRO",U483="OK"),"OK","REVISAR"))</f>
      </c>
    </row>
    <row r="484">
      <c r="A484" s="4"/>
      <c r="B484" s="5"/>
      <c r="C484" s="5"/>
      <c r="D484" s="5"/>
      <c r="E484" s="5"/>
      <c r="F484" s="4"/>
      <c r="G484" s="4"/>
      <c r="H484" s="5"/>
      <c r="I484" s="4"/>
      <c r="J484" s="4"/>
      <c r="K484" s="4"/>
      <c r="L484" s="4"/>
      <c r="M484" s="4"/>
      <c r="N484" s="4"/>
      <c r="O484" s="4"/>
      <c r="P484" s="6">
        <f>IF(D484="","",SUBSTITUTE(SUBSTITUTE(SUBSTITUTE(SUBSTITUTE(SUBSTITUTE(SUBSTITUTE(SUBSTITUTE(TRIM(D484),".",""),"/",""),"-","")," ",""),"(",""),")",""),"+",""))</f>
      </c>
      <c r="Q484" s="6">
        <f>IF(P484="","",IF(LEN(P484)&lt;&gt;14,"ERRO: "&amp;LEN(P484)&amp;" dígitos",IF(NOT(ISNUMBER(VALUE(P484))),"ERRO: não numérico",IF(LEN(SUBSTITUTE(P484,LEFT(P484,1),""))=0,"ERRO: dígitos repetidos",IF(AND(VALUE(MID(P484,13,1))=IF(MOD(SUMPRODUCT(--MID(P484,{1,2,3,4,5,6,7,8,9,10,11,12},1),{5,4,3,2,9,8,7,6,5,4,3,2}),11)&lt;2,0,11-MOD(SUMPRODUCT(--MID(P484,{1,2,3,4,5,6,7,8,9,10,11,12},1),{5,4,3,2,9,8,7,6,5,4,3,2}),11)),VALUE(MID(P484,14,1))=IF(MOD(SUMPRODUCT(--MID(P484,{1,2,3,4,5,6,7,8,9,10,11,12,13},1),{6,5,4,3,2,9,8,7,6,5,4,3,2}),11)&lt;2,0,11-MOD(SUMPRODUCT(--MID(P484,{1,2,3,4,5,6,7,8,9,10,11,12,13},1),{6,5,4,3,2,9,8,7,6,5,4,3,2}),11))),"OK","ERRO: dígito verificador")))))</f>
      </c>
      <c r="R484" s="6">
        <f>IF(P484="","",IF(COUNTIF($P$2:$P$1001,P484)&gt;1,"DUPLICADO","OK"))</f>
      </c>
      <c r="S484" s="6">
        <f>IF(AND(J484="",K484=""),"vazio",IF(AND(OR(J484="",LEN(SUBSTITUTE(SUBSTITUTE(SUBSTITUTE(SUBSTITUTE(SUBSTITUTE(SUBSTITUTE(SUBSTITUTE(TRIM(J484),".",""),"/",""),"-","")," ",""),"(",""),")",""),"+",""))=10,LEN(SUBSTITUTE(SUBSTITUTE(SUBSTITUTE(SUBSTITUTE(SUBSTITUTE(SUBSTITUTE(SUBSTITUTE(TRIM(J484),".",""),"/",""),"-","")," ",""),"(",""),")",""),"+",""))=11),OR(K484="",LEN(SUBSTITUTE(SUBSTITUTE(SUBSTITUTE(SUBSTITUTE(SUBSTITUTE(SUBSTITUTE(SUBSTITUTE(TRIM(K484),".",""),"/",""),"-","")," ",""),"(",""),")",""),"+",""))=10,LEN(SUBSTITUTE(SUBSTITUTE(SUBSTITUTE(SUBSTITUTE(SUBSTITUTE(SUBSTITUTE(SUBSTITUTE(TRIM(K484),".",""),"/",""),"-","")," ",""),"(",""),")",""),"+",""))=11)),"OK","ERRO: use DDD + número (10 ou 11 dígitos)"))</f>
      </c>
      <c r="T484" s="6">
        <f>IF(L484="","vazio",IF(AND(ISNUMBER(FIND("@",L484)),ISNUMBER(FIND(".",MID(L484,FIND("@",L484),99))),NOT(ISNUMBER(FIND(" ",TRIM(L484)))),NOT(ISNUMBER(FIND(";",L484))),NOT(ISNUMBER(FIND(",",L484)))),"OK","ERRO: um e-mail válido por linha"))</f>
      </c>
      <c r="U484" s="6">
        <f>IF(COUNTA(A484:O484)=0,"",IF(AND(B484&lt;&gt;"",C484&lt;&gt;"",D484&lt;&gt;"",E484&lt;&gt;"",H484&lt;&gt;"",OR(J484&lt;&gt;"",L484&lt;&gt;"")),"OK","ERRO: faltam "&amp;IF(B484="","Proprietário; ","")&amp;IF(C484="","Origem; ","")&amp;IF(D484="","CNPJ; ","")&amp;IF(E484="","Razão Social; ","")&amp;IF(H484="","Sobrenome; ","")&amp;IF(AND(J484="",L484=""),"telefone ou e-mail; ","")))</f>
      </c>
      <c r="V484" s="6">
        <f>IF(COUNTA(A484:O484)=0,"",IF(AND(Q484="OK",R484="OK",LEFT(S484,4)&lt;&gt;"ERRO",LEFT(T484,4)&lt;&gt;"ERRO",U484="OK"),"OK","REVISAR"))</f>
      </c>
    </row>
    <row r="485">
      <c r="A485" s="4"/>
      <c r="B485" s="5"/>
      <c r="C485" s="5"/>
      <c r="D485" s="5"/>
      <c r="E485" s="5"/>
      <c r="F485" s="4"/>
      <c r="G485" s="4"/>
      <c r="H485" s="5"/>
      <c r="I485" s="4"/>
      <c r="J485" s="4"/>
      <c r="K485" s="4"/>
      <c r="L485" s="4"/>
      <c r="M485" s="4"/>
      <c r="N485" s="4"/>
      <c r="O485" s="4"/>
      <c r="P485" s="6">
        <f>IF(D485="","",SUBSTITUTE(SUBSTITUTE(SUBSTITUTE(SUBSTITUTE(SUBSTITUTE(SUBSTITUTE(SUBSTITUTE(TRIM(D485),".",""),"/",""),"-","")," ",""),"(",""),")",""),"+",""))</f>
      </c>
      <c r="Q485" s="6">
        <f>IF(P485="","",IF(LEN(P485)&lt;&gt;14,"ERRO: "&amp;LEN(P485)&amp;" dígitos",IF(NOT(ISNUMBER(VALUE(P485))),"ERRO: não numérico",IF(LEN(SUBSTITUTE(P485,LEFT(P485,1),""))=0,"ERRO: dígitos repetidos",IF(AND(VALUE(MID(P485,13,1))=IF(MOD(SUMPRODUCT(--MID(P485,{1,2,3,4,5,6,7,8,9,10,11,12},1),{5,4,3,2,9,8,7,6,5,4,3,2}),11)&lt;2,0,11-MOD(SUMPRODUCT(--MID(P485,{1,2,3,4,5,6,7,8,9,10,11,12},1),{5,4,3,2,9,8,7,6,5,4,3,2}),11)),VALUE(MID(P485,14,1))=IF(MOD(SUMPRODUCT(--MID(P485,{1,2,3,4,5,6,7,8,9,10,11,12,13},1),{6,5,4,3,2,9,8,7,6,5,4,3,2}),11)&lt;2,0,11-MOD(SUMPRODUCT(--MID(P485,{1,2,3,4,5,6,7,8,9,10,11,12,13},1),{6,5,4,3,2,9,8,7,6,5,4,3,2}),11))),"OK","ERRO: dígito verificador")))))</f>
      </c>
      <c r="R485" s="6">
        <f>IF(P485="","",IF(COUNTIF($P$2:$P$1001,P485)&gt;1,"DUPLICADO","OK"))</f>
      </c>
      <c r="S485" s="6">
        <f>IF(AND(J485="",K485=""),"vazio",IF(AND(OR(J485="",LEN(SUBSTITUTE(SUBSTITUTE(SUBSTITUTE(SUBSTITUTE(SUBSTITUTE(SUBSTITUTE(SUBSTITUTE(TRIM(J485),".",""),"/",""),"-","")," ",""),"(",""),")",""),"+",""))=10,LEN(SUBSTITUTE(SUBSTITUTE(SUBSTITUTE(SUBSTITUTE(SUBSTITUTE(SUBSTITUTE(SUBSTITUTE(TRIM(J485),".",""),"/",""),"-","")," ",""),"(",""),")",""),"+",""))=11),OR(K485="",LEN(SUBSTITUTE(SUBSTITUTE(SUBSTITUTE(SUBSTITUTE(SUBSTITUTE(SUBSTITUTE(SUBSTITUTE(TRIM(K485),".",""),"/",""),"-","")," ",""),"(",""),")",""),"+",""))=10,LEN(SUBSTITUTE(SUBSTITUTE(SUBSTITUTE(SUBSTITUTE(SUBSTITUTE(SUBSTITUTE(SUBSTITUTE(TRIM(K485),".",""),"/",""),"-","")," ",""),"(",""),")",""),"+",""))=11)),"OK","ERRO: use DDD + número (10 ou 11 dígitos)"))</f>
      </c>
      <c r="T485" s="6">
        <f>IF(L485="","vazio",IF(AND(ISNUMBER(FIND("@",L485)),ISNUMBER(FIND(".",MID(L485,FIND("@",L485),99))),NOT(ISNUMBER(FIND(" ",TRIM(L485)))),NOT(ISNUMBER(FIND(";",L485))),NOT(ISNUMBER(FIND(",",L485)))),"OK","ERRO: um e-mail válido por linha"))</f>
      </c>
      <c r="U485" s="6">
        <f>IF(COUNTA(A485:O485)=0,"",IF(AND(B485&lt;&gt;"",C485&lt;&gt;"",D485&lt;&gt;"",E485&lt;&gt;"",H485&lt;&gt;"",OR(J485&lt;&gt;"",L485&lt;&gt;"")),"OK","ERRO: faltam "&amp;IF(B485="","Proprietário; ","")&amp;IF(C485="","Origem; ","")&amp;IF(D485="","CNPJ; ","")&amp;IF(E485="","Razão Social; ","")&amp;IF(H485="","Sobrenome; ","")&amp;IF(AND(J485="",L485=""),"telefone ou e-mail; ","")))</f>
      </c>
      <c r="V485" s="6">
        <f>IF(COUNTA(A485:O485)=0,"",IF(AND(Q485="OK",R485="OK",LEFT(S485,4)&lt;&gt;"ERRO",LEFT(T485,4)&lt;&gt;"ERRO",U485="OK"),"OK","REVISAR"))</f>
      </c>
    </row>
    <row r="486">
      <c r="A486" s="4"/>
      <c r="B486" s="5"/>
      <c r="C486" s="5"/>
      <c r="D486" s="5"/>
      <c r="E486" s="5"/>
      <c r="F486" s="4"/>
      <c r="G486" s="4"/>
      <c r="H486" s="5"/>
      <c r="I486" s="4"/>
      <c r="J486" s="4"/>
      <c r="K486" s="4"/>
      <c r="L486" s="4"/>
      <c r="M486" s="4"/>
      <c r="N486" s="4"/>
      <c r="O486" s="4"/>
      <c r="P486" s="6">
        <f>IF(D486="","",SUBSTITUTE(SUBSTITUTE(SUBSTITUTE(SUBSTITUTE(SUBSTITUTE(SUBSTITUTE(SUBSTITUTE(TRIM(D486),".",""),"/",""),"-","")," ",""),"(",""),")",""),"+",""))</f>
      </c>
      <c r="Q486" s="6">
        <f>IF(P486="","",IF(LEN(P486)&lt;&gt;14,"ERRO: "&amp;LEN(P486)&amp;" dígitos",IF(NOT(ISNUMBER(VALUE(P486))),"ERRO: não numérico",IF(LEN(SUBSTITUTE(P486,LEFT(P486,1),""))=0,"ERRO: dígitos repetidos",IF(AND(VALUE(MID(P486,13,1))=IF(MOD(SUMPRODUCT(--MID(P486,{1,2,3,4,5,6,7,8,9,10,11,12},1),{5,4,3,2,9,8,7,6,5,4,3,2}),11)&lt;2,0,11-MOD(SUMPRODUCT(--MID(P486,{1,2,3,4,5,6,7,8,9,10,11,12},1),{5,4,3,2,9,8,7,6,5,4,3,2}),11)),VALUE(MID(P486,14,1))=IF(MOD(SUMPRODUCT(--MID(P486,{1,2,3,4,5,6,7,8,9,10,11,12,13},1),{6,5,4,3,2,9,8,7,6,5,4,3,2}),11)&lt;2,0,11-MOD(SUMPRODUCT(--MID(P486,{1,2,3,4,5,6,7,8,9,10,11,12,13},1),{6,5,4,3,2,9,8,7,6,5,4,3,2}),11))),"OK","ERRO: dígito verificador")))))</f>
      </c>
      <c r="R486" s="6">
        <f>IF(P486="","",IF(COUNTIF($P$2:$P$1001,P486)&gt;1,"DUPLICADO","OK"))</f>
      </c>
      <c r="S486" s="6">
        <f>IF(AND(J486="",K486=""),"vazio",IF(AND(OR(J486="",LEN(SUBSTITUTE(SUBSTITUTE(SUBSTITUTE(SUBSTITUTE(SUBSTITUTE(SUBSTITUTE(SUBSTITUTE(TRIM(J486),".",""),"/",""),"-","")," ",""),"(",""),")",""),"+",""))=10,LEN(SUBSTITUTE(SUBSTITUTE(SUBSTITUTE(SUBSTITUTE(SUBSTITUTE(SUBSTITUTE(SUBSTITUTE(TRIM(J486),".",""),"/",""),"-","")," ",""),"(",""),")",""),"+",""))=11),OR(K486="",LEN(SUBSTITUTE(SUBSTITUTE(SUBSTITUTE(SUBSTITUTE(SUBSTITUTE(SUBSTITUTE(SUBSTITUTE(TRIM(K486),".",""),"/",""),"-","")," ",""),"(",""),")",""),"+",""))=10,LEN(SUBSTITUTE(SUBSTITUTE(SUBSTITUTE(SUBSTITUTE(SUBSTITUTE(SUBSTITUTE(SUBSTITUTE(TRIM(K486),".",""),"/",""),"-","")," ",""),"(",""),")",""),"+",""))=11)),"OK","ERRO: use DDD + número (10 ou 11 dígitos)"))</f>
      </c>
      <c r="T486" s="6">
        <f>IF(L486="","vazio",IF(AND(ISNUMBER(FIND("@",L486)),ISNUMBER(FIND(".",MID(L486,FIND("@",L486),99))),NOT(ISNUMBER(FIND(" ",TRIM(L486)))),NOT(ISNUMBER(FIND(";",L486))),NOT(ISNUMBER(FIND(",",L486)))),"OK","ERRO: um e-mail válido por linha"))</f>
      </c>
      <c r="U486" s="6">
        <f>IF(COUNTA(A486:O486)=0,"",IF(AND(B486&lt;&gt;"",C486&lt;&gt;"",D486&lt;&gt;"",E486&lt;&gt;"",H486&lt;&gt;"",OR(J486&lt;&gt;"",L486&lt;&gt;"")),"OK","ERRO: faltam "&amp;IF(B486="","Proprietário; ","")&amp;IF(C486="","Origem; ","")&amp;IF(D486="","CNPJ; ","")&amp;IF(E486="","Razão Social; ","")&amp;IF(H486="","Sobrenome; ","")&amp;IF(AND(J486="",L486=""),"telefone ou e-mail; ","")))</f>
      </c>
      <c r="V486" s="6">
        <f>IF(COUNTA(A486:O486)=0,"",IF(AND(Q486="OK",R486="OK",LEFT(S486,4)&lt;&gt;"ERRO",LEFT(T486,4)&lt;&gt;"ERRO",U486="OK"),"OK","REVISAR"))</f>
      </c>
    </row>
    <row r="487">
      <c r="A487" s="4"/>
      <c r="B487" s="5"/>
      <c r="C487" s="5"/>
      <c r="D487" s="5"/>
      <c r="E487" s="5"/>
      <c r="F487" s="4"/>
      <c r="G487" s="4"/>
      <c r="H487" s="5"/>
      <c r="I487" s="4"/>
      <c r="J487" s="4"/>
      <c r="K487" s="4"/>
      <c r="L487" s="4"/>
      <c r="M487" s="4"/>
      <c r="N487" s="4"/>
      <c r="O487" s="4"/>
      <c r="P487" s="6">
        <f>IF(D487="","",SUBSTITUTE(SUBSTITUTE(SUBSTITUTE(SUBSTITUTE(SUBSTITUTE(SUBSTITUTE(SUBSTITUTE(TRIM(D487),".",""),"/",""),"-","")," ",""),"(",""),")",""),"+",""))</f>
      </c>
      <c r="Q487" s="6">
        <f>IF(P487="","",IF(LEN(P487)&lt;&gt;14,"ERRO: "&amp;LEN(P487)&amp;" dígitos",IF(NOT(ISNUMBER(VALUE(P487))),"ERRO: não numérico",IF(LEN(SUBSTITUTE(P487,LEFT(P487,1),""))=0,"ERRO: dígitos repetidos",IF(AND(VALUE(MID(P487,13,1))=IF(MOD(SUMPRODUCT(--MID(P487,{1,2,3,4,5,6,7,8,9,10,11,12},1),{5,4,3,2,9,8,7,6,5,4,3,2}),11)&lt;2,0,11-MOD(SUMPRODUCT(--MID(P487,{1,2,3,4,5,6,7,8,9,10,11,12},1),{5,4,3,2,9,8,7,6,5,4,3,2}),11)),VALUE(MID(P487,14,1))=IF(MOD(SUMPRODUCT(--MID(P487,{1,2,3,4,5,6,7,8,9,10,11,12,13},1),{6,5,4,3,2,9,8,7,6,5,4,3,2}),11)&lt;2,0,11-MOD(SUMPRODUCT(--MID(P487,{1,2,3,4,5,6,7,8,9,10,11,12,13},1),{6,5,4,3,2,9,8,7,6,5,4,3,2}),11))),"OK","ERRO: dígito verificador")))))</f>
      </c>
      <c r="R487" s="6">
        <f>IF(P487="","",IF(COUNTIF($P$2:$P$1001,P487)&gt;1,"DUPLICADO","OK"))</f>
      </c>
      <c r="S487" s="6">
        <f>IF(AND(J487="",K487=""),"vazio",IF(AND(OR(J487="",LEN(SUBSTITUTE(SUBSTITUTE(SUBSTITUTE(SUBSTITUTE(SUBSTITUTE(SUBSTITUTE(SUBSTITUTE(TRIM(J487),".",""),"/",""),"-","")," ",""),"(",""),")",""),"+",""))=10,LEN(SUBSTITUTE(SUBSTITUTE(SUBSTITUTE(SUBSTITUTE(SUBSTITUTE(SUBSTITUTE(SUBSTITUTE(TRIM(J487),".",""),"/",""),"-","")," ",""),"(",""),")",""),"+",""))=11),OR(K487="",LEN(SUBSTITUTE(SUBSTITUTE(SUBSTITUTE(SUBSTITUTE(SUBSTITUTE(SUBSTITUTE(SUBSTITUTE(TRIM(K487),".",""),"/",""),"-","")," ",""),"(",""),")",""),"+",""))=10,LEN(SUBSTITUTE(SUBSTITUTE(SUBSTITUTE(SUBSTITUTE(SUBSTITUTE(SUBSTITUTE(SUBSTITUTE(TRIM(K487),".",""),"/",""),"-","")," ",""),"(",""),")",""),"+",""))=11)),"OK","ERRO: use DDD + número (10 ou 11 dígitos)"))</f>
      </c>
      <c r="T487" s="6">
        <f>IF(L487="","vazio",IF(AND(ISNUMBER(FIND("@",L487)),ISNUMBER(FIND(".",MID(L487,FIND("@",L487),99))),NOT(ISNUMBER(FIND(" ",TRIM(L487)))),NOT(ISNUMBER(FIND(";",L487))),NOT(ISNUMBER(FIND(",",L487)))),"OK","ERRO: um e-mail válido por linha"))</f>
      </c>
      <c r="U487" s="6">
        <f>IF(COUNTA(A487:O487)=0,"",IF(AND(B487&lt;&gt;"",C487&lt;&gt;"",D487&lt;&gt;"",E487&lt;&gt;"",H487&lt;&gt;"",OR(J487&lt;&gt;"",L487&lt;&gt;"")),"OK","ERRO: faltam "&amp;IF(B487="","Proprietário; ","")&amp;IF(C487="","Origem; ","")&amp;IF(D487="","CNPJ; ","")&amp;IF(E487="","Razão Social; ","")&amp;IF(H487="","Sobrenome; ","")&amp;IF(AND(J487="",L487=""),"telefone ou e-mail; ","")))</f>
      </c>
      <c r="V487" s="6">
        <f>IF(COUNTA(A487:O487)=0,"",IF(AND(Q487="OK",R487="OK",LEFT(S487,4)&lt;&gt;"ERRO",LEFT(T487,4)&lt;&gt;"ERRO",U487="OK"),"OK","REVISAR"))</f>
      </c>
    </row>
    <row r="488">
      <c r="A488" s="4"/>
      <c r="B488" s="5"/>
      <c r="C488" s="5"/>
      <c r="D488" s="5"/>
      <c r="E488" s="5"/>
      <c r="F488" s="4"/>
      <c r="G488" s="4"/>
      <c r="H488" s="5"/>
      <c r="I488" s="4"/>
      <c r="J488" s="4"/>
      <c r="K488" s="4"/>
      <c r="L488" s="4"/>
      <c r="M488" s="4"/>
      <c r="N488" s="4"/>
      <c r="O488" s="4"/>
      <c r="P488" s="6">
        <f>IF(D488="","",SUBSTITUTE(SUBSTITUTE(SUBSTITUTE(SUBSTITUTE(SUBSTITUTE(SUBSTITUTE(SUBSTITUTE(TRIM(D488),".",""),"/",""),"-","")," ",""),"(",""),")",""),"+",""))</f>
      </c>
      <c r="Q488" s="6">
        <f>IF(P488="","",IF(LEN(P488)&lt;&gt;14,"ERRO: "&amp;LEN(P488)&amp;" dígitos",IF(NOT(ISNUMBER(VALUE(P488))),"ERRO: não numérico",IF(LEN(SUBSTITUTE(P488,LEFT(P488,1),""))=0,"ERRO: dígitos repetidos",IF(AND(VALUE(MID(P488,13,1))=IF(MOD(SUMPRODUCT(--MID(P488,{1,2,3,4,5,6,7,8,9,10,11,12},1),{5,4,3,2,9,8,7,6,5,4,3,2}),11)&lt;2,0,11-MOD(SUMPRODUCT(--MID(P488,{1,2,3,4,5,6,7,8,9,10,11,12},1),{5,4,3,2,9,8,7,6,5,4,3,2}),11)),VALUE(MID(P488,14,1))=IF(MOD(SUMPRODUCT(--MID(P488,{1,2,3,4,5,6,7,8,9,10,11,12,13},1),{6,5,4,3,2,9,8,7,6,5,4,3,2}),11)&lt;2,0,11-MOD(SUMPRODUCT(--MID(P488,{1,2,3,4,5,6,7,8,9,10,11,12,13},1),{6,5,4,3,2,9,8,7,6,5,4,3,2}),11))),"OK","ERRO: dígito verificador")))))</f>
      </c>
      <c r="R488" s="6">
        <f>IF(P488="","",IF(COUNTIF($P$2:$P$1001,P488)&gt;1,"DUPLICADO","OK"))</f>
      </c>
      <c r="S488" s="6">
        <f>IF(AND(J488="",K488=""),"vazio",IF(AND(OR(J488="",LEN(SUBSTITUTE(SUBSTITUTE(SUBSTITUTE(SUBSTITUTE(SUBSTITUTE(SUBSTITUTE(SUBSTITUTE(TRIM(J488),".",""),"/",""),"-","")," ",""),"(",""),")",""),"+",""))=10,LEN(SUBSTITUTE(SUBSTITUTE(SUBSTITUTE(SUBSTITUTE(SUBSTITUTE(SUBSTITUTE(SUBSTITUTE(TRIM(J488),".",""),"/",""),"-","")," ",""),"(",""),")",""),"+",""))=11),OR(K488="",LEN(SUBSTITUTE(SUBSTITUTE(SUBSTITUTE(SUBSTITUTE(SUBSTITUTE(SUBSTITUTE(SUBSTITUTE(TRIM(K488),".",""),"/",""),"-","")," ",""),"(",""),")",""),"+",""))=10,LEN(SUBSTITUTE(SUBSTITUTE(SUBSTITUTE(SUBSTITUTE(SUBSTITUTE(SUBSTITUTE(SUBSTITUTE(TRIM(K488),".",""),"/",""),"-","")," ",""),"(",""),")",""),"+",""))=11)),"OK","ERRO: use DDD + número (10 ou 11 dígitos)"))</f>
      </c>
      <c r="T488" s="6">
        <f>IF(L488="","vazio",IF(AND(ISNUMBER(FIND("@",L488)),ISNUMBER(FIND(".",MID(L488,FIND("@",L488),99))),NOT(ISNUMBER(FIND(" ",TRIM(L488)))),NOT(ISNUMBER(FIND(";",L488))),NOT(ISNUMBER(FIND(",",L488)))),"OK","ERRO: um e-mail válido por linha"))</f>
      </c>
      <c r="U488" s="6">
        <f>IF(COUNTA(A488:O488)=0,"",IF(AND(B488&lt;&gt;"",C488&lt;&gt;"",D488&lt;&gt;"",E488&lt;&gt;"",H488&lt;&gt;"",OR(J488&lt;&gt;"",L488&lt;&gt;"")),"OK","ERRO: faltam "&amp;IF(B488="","Proprietário; ","")&amp;IF(C488="","Origem; ","")&amp;IF(D488="","CNPJ; ","")&amp;IF(E488="","Razão Social; ","")&amp;IF(H488="","Sobrenome; ","")&amp;IF(AND(J488="",L488=""),"telefone ou e-mail; ","")))</f>
      </c>
      <c r="V488" s="6">
        <f>IF(COUNTA(A488:O488)=0,"",IF(AND(Q488="OK",R488="OK",LEFT(S488,4)&lt;&gt;"ERRO",LEFT(T488,4)&lt;&gt;"ERRO",U488="OK"),"OK","REVISAR"))</f>
      </c>
    </row>
    <row r="489">
      <c r="A489" s="4"/>
      <c r="B489" s="5"/>
      <c r="C489" s="5"/>
      <c r="D489" s="5"/>
      <c r="E489" s="5"/>
      <c r="F489" s="4"/>
      <c r="G489" s="4"/>
      <c r="H489" s="5"/>
      <c r="I489" s="4"/>
      <c r="J489" s="4"/>
      <c r="K489" s="4"/>
      <c r="L489" s="4"/>
      <c r="M489" s="4"/>
      <c r="N489" s="4"/>
      <c r="O489" s="4"/>
      <c r="P489" s="6">
        <f>IF(D489="","",SUBSTITUTE(SUBSTITUTE(SUBSTITUTE(SUBSTITUTE(SUBSTITUTE(SUBSTITUTE(SUBSTITUTE(TRIM(D489),".",""),"/",""),"-","")," ",""),"(",""),")",""),"+",""))</f>
      </c>
      <c r="Q489" s="6">
        <f>IF(P489="","",IF(LEN(P489)&lt;&gt;14,"ERRO: "&amp;LEN(P489)&amp;" dígitos",IF(NOT(ISNUMBER(VALUE(P489))),"ERRO: não numérico",IF(LEN(SUBSTITUTE(P489,LEFT(P489,1),""))=0,"ERRO: dígitos repetidos",IF(AND(VALUE(MID(P489,13,1))=IF(MOD(SUMPRODUCT(--MID(P489,{1,2,3,4,5,6,7,8,9,10,11,12},1),{5,4,3,2,9,8,7,6,5,4,3,2}),11)&lt;2,0,11-MOD(SUMPRODUCT(--MID(P489,{1,2,3,4,5,6,7,8,9,10,11,12},1),{5,4,3,2,9,8,7,6,5,4,3,2}),11)),VALUE(MID(P489,14,1))=IF(MOD(SUMPRODUCT(--MID(P489,{1,2,3,4,5,6,7,8,9,10,11,12,13},1),{6,5,4,3,2,9,8,7,6,5,4,3,2}),11)&lt;2,0,11-MOD(SUMPRODUCT(--MID(P489,{1,2,3,4,5,6,7,8,9,10,11,12,13},1),{6,5,4,3,2,9,8,7,6,5,4,3,2}),11))),"OK","ERRO: dígito verificador")))))</f>
      </c>
      <c r="R489" s="6">
        <f>IF(P489="","",IF(COUNTIF($P$2:$P$1001,P489)&gt;1,"DUPLICADO","OK"))</f>
      </c>
      <c r="S489" s="6">
        <f>IF(AND(J489="",K489=""),"vazio",IF(AND(OR(J489="",LEN(SUBSTITUTE(SUBSTITUTE(SUBSTITUTE(SUBSTITUTE(SUBSTITUTE(SUBSTITUTE(SUBSTITUTE(TRIM(J489),".",""),"/",""),"-","")," ",""),"(",""),")",""),"+",""))=10,LEN(SUBSTITUTE(SUBSTITUTE(SUBSTITUTE(SUBSTITUTE(SUBSTITUTE(SUBSTITUTE(SUBSTITUTE(TRIM(J489),".",""),"/",""),"-","")," ",""),"(",""),")",""),"+",""))=11),OR(K489="",LEN(SUBSTITUTE(SUBSTITUTE(SUBSTITUTE(SUBSTITUTE(SUBSTITUTE(SUBSTITUTE(SUBSTITUTE(TRIM(K489),".",""),"/",""),"-","")," ",""),"(",""),")",""),"+",""))=10,LEN(SUBSTITUTE(SUBSTITUTE(SUBSTITUTE(SUBSTITUTE(SUBSTITUTE(SUBSTITUTE(SUBSTITUTE(TRIM(K489),".",""),"/",""),"-","")," ",""),"(",""),")",""),"+",""))=11)),"OK","ERRO: use DDD + número (10 ou 11 dígitos)"))</f>
      </c>
      <c r="T489" s="6">
        <f>IF(L489="","vazio",IF(AND(ISNUMBER(FIND("@",L489)),ISNUMBER(FIND(".",MID(L489,FIND("@",L489),99))),NOT(ISNUMBER(FIND(" ",TRIM(L489)))),NOT(ISNUMBER(FIND(";",L489))),NOT(ISNUMBER(FIND(",",L489)))),"OK","ERRO: um e-mail válido por linha"))</f>
      </c>
      <c r="U489" s="6">
        <f>IF(COUNTA(A489:O489)=0,"",IF(AND(B489&lt;&gt;"",C489&lt;&gt;"",D489&lt;&gt;"",E489&lt;&gt;"",H489&lt;&gt;"",OR(J489&lt;&gt;"",L489&lt;&gt;"")),"OK","ERRO: faltam "&amp;IF(B489="","Proprietário; ","")&amp;IF(C489="","Origem; ","")&amp;IF(D489="","CNPJ; ","")&amp;IF(E489="","Razão Social; ","")&amp;IF(H489="","Sobrenome; ","")&amp;IF(AND(J489="",L489=""),"telefone ou e-mail; ","")))</f>
      </c>
      <c r="V489" s="6">
        <f>IF(COUNTA(A489:O489)=0,"",IF(AND(Q489="OK",R489="OK",LEFT(S489,4)&lt;&gt;"ERRO",LEFT(T489,4)&lt;&gt;"ERRO",U489="OK"),"OK","REVISAR"))</f>
      </c>
    </row>
    <row r="490">
      <c r="A490" s="4"/>
      <c r="B490" s="5"/>
      <c r="C490" s="5"/>
      <c r="D490" s="5"/>
      <c r="E490" s="5"/>
      <c r="F490" s="4"/>
      <c r="G490" s="4"/>
      <c r="H490" s="5"/>
      <c r="I490" s="4"/>
      <c r="J490" s="4"/>
      <c r="K490" s="4"/>
      <c r="L490" s="4"/>
      <c r="M490" s="4"/>
      <c r="N490" s="4"/>
      <c r="O490" s="4"/>
      <c r="P490" s="6">
        <f>IF(D490="","",SUBSTITUTE(SUBSTITUTE(SUBSTITUTE(SUBSTITUTE(SUBSTITUTE(SUBSTITUTE(SUBSTITUTE(TRIM(D490),".",""),"/",""),"-","")," ",""),"(",""),")",""),"+",""))</f>
      </c>
      <c r="Q490" s="6">
        <f>IF(P490="","",IF(LEN(P490)&lt;&gt;14,"ERRO: "&amp;LEN(P490)&amp;" dígitos",IF(NOT(ISNUMBER(VALUE(P490))),"ERRO: não numérico",IF(LEN(SUBSTITUTE(P490,LEFT(P490,1),""))=0,"ERRO: dígitos repetidos",IF(AND(VALUE(MID(P490,13,1))=IF(MOD(SUMPRODUCT(--MID(P490,{1,2,3,4,5,6,7,8,9,10,11,12},1),{5,4,3,2,9,8,7,6,5,4,3,2}),11)&lt;2,0,11-MOD(SUMPRODUCT(--MID(P490,{1,2,3,4,5,6,7,8,9,10,11,12},1),{5,4,3,2,9,8,7,6,5,4,3,2}),11)),VALUE(MID(P490,14,1))=IF(MOD(SUMPRODUCT(--MID(P490,{1,2,3,4,5,6,7,8,9,10,11,12,13},1),{6,5,4,3,2,9,8,7,6,5,4,3,2}),11)&lt;2,0,11-MOD(SUMPRODUCT(--MID(P490,{1,2,3,4,5,6,7,8,9,10,11,12,13},1),{6,5,4,3,2,9,8,7,6,5,4,3,2}),11))),"OK","ERRO: dígito verificador")))))</f>
      </c>
      <c r="R490" s="6">
        <f>IF(P490="","",IF(COUNTIF($P$2:$P$1001,P490)&gt;1,"DUPLICADO","OK"))</f>
      </c>
      <c r="S490" s="6">
        <f>IF(AND(J490="",K490=""),"vazio",IF(AND(OR(J490="",LEN(SUBSTITUTE(SUBSTITUTE(SUBSTITUTE(SUBSTITUTE(SUBSTITUTE(SUBSTITUTE(SUBSTITUTE(TRIM(J490),".",""),"/",""),"-","")," ",""),"(",""),")",""),"+",""))=10,LEN(SUBSTITUTE(SUBSTITUTE(SUBSTITUTE(SUBSTITUTE(SUBSTITUTE(SUBSTITUTE(SUBSTITUTE(TRIM(J490),".",""),"/",""),"-","")," ",""),"(",""),")",""),"+",""))=11),OR(K490="",LEN(SUBSTITUTE(SUBSTITUTE(SUBSTITUTE(SUBSTITUTE(SUBSTITUTE(SUBSTITUTE(SUBSTITUTE(TRIM(K490),".",""),"/",""),"-","")," ",""),"(",""),")",""),"+",""))=10,LEN(SUBSTITUTE(SUBSTITUTE(SUBSTITUTE(SUBSTITUTE(SUBSTITUTE(SUBSTITUTE(SUBSTITUTE(TRIM(K490),".",""),"/",""),"-","")," ",""),"(",""),")",""),"+",""))=11)),"OK","ERRO: use DDD + número (10 ou 11 dígitos)"))</f>
      </c>
      <c r="T490" s="6">
        <f>IF(L490="","vazio",IF(AND(ISNUMBER(FIND("@",L490)),ISNUMBER(FIND(".",MID(L490,FIND("@",L490),99))),NOT(ISNUMBER(FIND(" ",TRIM(L490)))),NOT(ISNUMBER(FIND(";",L490))),NOT(ISNUMBER(FIND(",",L490)))),"OK","ERRO: um e-mail válido por linha"))</f>
      </c>
      <c r="U490" s="6">
        <f>IF(COUNTA(A490:O490)=0,"",IF(AND(B490&lt;&gt;"",C490&lt;&gt;"",D490&lt;&gt;"",E490&lt;&gt;"",H490&lt;&gt;"",OR(J490&lt;&gt;"",L490&lt;&gt;"")),"OK","ERRO: faltam "&amp;IF(B490="","Proprietário; ","")&amp;IF(C490="","Origem; ","")&amp;IF(D490="","CNPJ; ","")&amp;IF(E490="","Razão Social; ","")&amp;IF(H490="","Sobrenome; ","")&amp;IF(AND(J490="",L490=""),"telefone ou e-mail; ","")))</f>
      </c>
      <c r="V490" s="6">
        <f>IF(COUNTA(A490:O490)=0,"",IF(AND(Q490="OK",R490="OK",LEFT(S490,4)&lt;&gt;"ERRO",LEFT(T490,4)&lt;&gt;"ERRO",U490="OK"),"OK","REVISAR"))</f>
      </c>
    </row>
    <row r="491">
      <c r="A491" s="4"/>
      <c r="B491" s="5"/>
      <c r="C491" s="5"/>
      <c r="D491" s="5"/>
      <c r="E491" s="5"/>
      <c r="F491" s="4"/>
      <c r="G491" s="4"/>
      <c r="H491" s="5"/>
      <c r="I491" s="4"/>
      <c r="J491" s="4"/>
      <c r="K491" s="4"/>
      <c r="L491" s="4"/>
      <c r="M491" s="4"/>
      <c r="N491" s="4"/>
      <c r="O491" s="4"/>
      <c r="P491" s="6">
        <f>IF(D491="","",SUBSTITUTE(SUBSTITUTE(SUBSTITUTE(SUBSTITUTE(SUBSTITUTE(SUBSTITUTE(SUBSTITUTE(TRIM(D491),".",""),"/",""),"-","")," ",""),"(",""),")",""),"+",""))</f>
      </c>
      <c r="Q491" s="6">
        <f>IF(P491="","",IF(LEN(P491)&lt;&gt;14,"ERRO: "&amp;LEN(P491)&amp;" dígitos",IF(NOT(ISNUMBER(VALUE(P491))),"ERRO: não numérico",IF(LEN(SUBSTITUTE(P491,LEFT(P491,1),""))=0,"ERRO: dígitos repetidos",IF(AND(VALUE(MID(P491,13,1))=IF(MOD(SUMPRODUCT(--MID(P491,{1,2,3,4,5,6,7,8,9,10,11,12},1),{5,4,3,2,9,8,7,6,5,4,3,2}),11)&lt;2,0,11-MOD(SUMPRODUCT(--MID(P491,{1,2,3,4,5,6,7,8,9,10,11,12},1),{5,4,3,2,9,8,7,6,5,4,3,2}),11)),VALUE(MID(P491,14,1))=IF(MOD(SUMPRODUCT(--MID(P491,{1,2,3,4,5,6,7,8,9,10,11,12,13},1),{6,5,4,3,2,9,8,7,6,5,4,3,2}),11)&lt;2,0,11-MOD(SUMPRODUCT(--MID(P491,{1,2,3,4,5,6,7,8,9,10,11,12,13},1),{6,5,4,3,2,9,8,7,6,5,4,3,2}),11))),"OK","ERRO: dígito verificador")))))</f>
      </c>
      <c r="R491" s="6">
        <f>IF(P491="","",IF(COUNTIF($P$2:$P$1001,P491)&gt;1,"DUPLICADO","OK"))</f>
      </c>
      <c r="S491" s="6">
        <f>IF(AND(J491="",K491=""),"vazio",IF(AND(OR(J491="",LEN(SUBSTITUTE(SUBSTITUTE(SUBSTITUTE(SUBSTITUTE(SUBSTITUTE(SUBSTITUTE(SUBSTITUTE(TRIM(J491),".",""),"/",""),"-","")," ",""),"(",""),")",""),"+",""))=10,LEN(SUBSTITUTE(SUBSTITUTE(SUBSTITUTE(SUBSTITUTE(SUBSTITUTE(SUBSTITUTE(SUBSTITUTE(TRIM(J491),".",""),"/",""),"-","")," ",""),"(",""),")",""),"+",""))=11),OR(K491="",LEN(SUBSTITUTE(SUBSTITUTE(SUBSTITUTE(SUBSTITUTE(SUBSTITUTE(SUBSTITUTE(SUBSTITUTE(TRIM(K491),".",""),"/",""),"-","")," ",""),"(",""),")",""),"+",""))=10,LEN(SUBSTITUTE(SUBSTITUTE(SUBSTITUTE(SUBSTITUTE(SUBSTITUTE(SUBSTITUTE(SUBSTITUTE(TRIM(K491),".",""),"/",""),"-","")," ",""),"(",""),")",""),"+",""))=11)),"OK","ERRO: use DDD + número (10 ou 11 dígitos)"))</f>
      </c>
      <c r="T491" s="6">
        <f>IF(L491="","vazio",IF(AND(ISNUMBER(FIND("@",L491)),ISNUMBER(FIND(".",MID(L491,FIND("@",L491),99))),NOT(ISNUMBER(FIND(" ",TRIM(L491)))),NOT(ISNUMBER(FIND(";",L491))),NOT(ISNUMBER(FIND(",",L491)))),"OK","ERRO: um e-mail válido por linha"))</f>
      </c>
      <c r="U491" s="6">
        <f>IF(COUNTA(A491:O491)=0,"",IF(AND(B491&lt;&gt;"",C491&lt;&gt;"",D491&lt;&gt;"",E491&lt;&gt;"",H491&lt;&gt;"",OR(J491&lt;&gt;"",L491&lt;&gt;"")),"OK","ERRO: faltam "&amp;IF(B491="","Proprietário; ","")&amp;IF(C491="","Origem; ","")&amp;IF(D491="","CNPJ; ","")&amp;IF(E491="","Razão Social; ","")&amp;IF(H491="","Sobrenome; ","")&amp;IF(AND(J491="",L491=""),"telefone ou e-mail; ","")))</f>
      </c>
      <c r="V491" s="6">
        <f>IF(COUNTA(A491:O491)=0,"",IF(AND(Q491="OK",R491="OK",LEFT(S491,4)&lt;&gt;"ERRO",LEFT(T491,4)&lt;&gt;"ERRO",U491="OK"),"OK","REVISAR"))</f>
      </c>
    </row>
    <row r="492">
      <c r="A492" s="4"/>
      <c r="B492" s="5"/>
      <c r="C492" s="5"/>
      <c r="D492" s="5"/>
      <c r="E492" s="5"/>
      <c r="F492" s="4"/>
      <c r="G492" s="4"/>
      <c r="H492" s="5"/>
      <c r="I492" s="4"/>
      <c r="J492" s="4"/>
      <c r="K492" s="4"/>
      <c r="L492" s="4"/>
      <c r="M492" s="4"/>
      <c r="N492" s="4"/>
      <c r="O492" s="4"/>
      <c r="P492" s="6">
        <f>IF(D492="","",SUBSTITUTE(SUBSTITUTE(SUBSTITUTE(SUBSTITUTE(SUBSTITUTE(SUBSTITUTE(SUBSTITUTE(TRIM(D492),".",""),"/",""),"-","")," ",""),"(",""),")",""),"+",""))</f>
      </c>
      <c r="Q492" s="6">
        <f>IF(P492="","",IF(LEN(P492)&lt;&gt;14,"ERRO: "&amp;LEN(P492)&amp;" dígitos",IF(NOT(ISNUMBER(VALUE(P492))),"ERRO: não numérico",IF(LEN(SUBSTITUTE(P492,LEFT(P492,1),""))=0,"ERRO: dígitos repetidos",IF(AND(VALUE(MID(P492,13,1))=IF(MOD(SUMPRODUCT(--MID(P492,{1,2,3,4,5,6,7,8,9,10,11,12},1),{5,4,3,2,9,8,7,6,5,4,3,2}),11)&lt;2,0,11-MOD(SUMPRODUCT(--MID(P492,{1,2,3,4,5,6,7,8,9,10,11,12},1),{5,4,3,2,9,8,7,6,5,4,3,2}),11)),VALUE(MID(P492,14,1))=IF(MOD(SUMPRODUCT(--MID(P492,{1,2,3,4,5,6,7,8,9,10,11,12,13},1),{6,5,4,3,2,9,8,7,6,5,4,3,2}),11)&lt;2,0,11-MOD(SUMPRODUCT(--MID(P492,{1,2,3,4,5,6,7,8,9,10,11,12,13},1),{6,5,4,3,2,9,8,7,6,5,4,3,2}),11))),"OK","ERRO: dígito verificador")))))</f>
      </c>
      <c r="R492" s="6">
        <f>IF(P492="","",IF(COUNTIF($P$2:$P$1001,P492)&gt;1,"DUPLICADO","OK"))</f>
      </c>
      <c r="S492" s="6">
        <f>IF(AND(J492="",K492=""),"vazio",IF(AND(OR(J492="",LEN(SUBSTITUTE(SUBSTITUTE(SUBSTITUTE(SUBSTITUTE(SUBSTITUTE(SUBSTITUTE(SUBSTITUTE(TRIM(J492),".",""),"/",""),"-","")," ",""),"(",""),")",""),"+",""))=10,LEN(SUBSTITUTE(SUBSTITUTE(SUBSTITUTE(SUBSTITUTE(SUBSTITUTE(SUBSTITUTE(SUBSTITUTE(TRIM(J492),".",""),"/",""),"-","")," ",""),"(",""),")",""),"+",""))=11),OR(K492="",LEN(SUBSTITUTE(SUBSTITUTE(SUBSTITUTE(SUBSTITUTE(SUBSTITUTE(SUBSTITUTE(SUBSTITUTE(TRIM(K492),".",""),"/",""),"-","")," ",""),"(",""),")",""),"+",""))=10,LEN(SUBSTITUTE(SUBSTITUTE(SUBSTITUTE(SUBSTITUTE(SUBSTITUTE(SUBSTITUTE(SUBSTITUTE(TRIM(K492),".",""),"/",""),"-","")," ",""),"(",""),")",""),"+",""))=11)),"OK","ERRO: use DDD + número (10 ou 11 dígitos)"))</f>
      </c>
      <c r="T492" s="6">
        <f>IF(L492="","vazio",IF(AND(ISNUMBER(FIND("@",L492)),ISNUMBER(FIND(".",MID(L492,FIND("@",L492),99))),NOT(ISNUMBER(FIND(" ",TRIM(L492)))),NOT(ISNUMBER(FIND(";",L492))),NOT(ISNUMBER(FIND(",",L492)))),"OK","ERRO: um e-mail válido por linha"))</f>
      </c>
      <c r="U492" s="6">
        <f>IF(COUNTA(A492:O492)=0,"",IF(AND(B492&lt;&gt;"",C492&lt;&gt;"",D492&lt;&gt;"",E492&lt;&gt;"",H492&lt;&gt;"",OR(J492&lt;&gt;"",L492&lt;&gt;"")),"OK","ERRO: faltam "&amp;IF(B492="","Proprietário; ","")&amp;IF(C492="","Origem; ","")&amp;IF(D492="","CNPJ; ","")&amp;IF(E492="","Razão Social; ","")&amp;IF(H492="","Sobrenome; ","")&amp;IF(AND(J492="",L492=""),"telefone ou e-mail; ","")))</f>
      </c>
      <c r="V492" s="6">
        <f>IF(COUNTA(A492:O492)=0,"",IF(AND(Q492="OK",R492="OK",LEFT(S492,4)&lt;&gt;"ERRO",LEFT(T492,4)&lt;&gt;"ERRO",U492="OK"),"OK","REVISAR"))</f>
      </c>
    </row>
    <row r="493">
      <c r="A493" s="4"/>
      <c r="B493" s="5"/>
      <c r="C493" s="5"/>
      <c r="D493" s="5"/>
      <c r="E493" s="5"/>
      <c r="F493" s="4"/>
      <c r="G493" s="4"/>
      <c r="H493" s="5"/>
      <c r="I493" s="4"/>
      <c r="J493" s="4"/>
      <c r="K493" s="4"/>
      <c r="L493" s="4"/>
      <c r="M493" s="4"/>
      <c r="N493" s="4"/>
      <c r="O493" s="4"/>
      <c r="P493" s="6">
        <f>IF(D493="","",SUBSTITUTE(SUBSTITUTE(SUBSTITUTE(SUBSTITUTE(SUBSTITUTE(SUBSTITUTE(SUBSTITUTE(TRIM(D493),".",""),"/",""),"-","")," ",""),"(",""),")",""),"+",""))</f>
      </c>
      <c r="Q493" s="6">
        <f>IF(P493="","",IF(LEN(P493)&lt;&gt;14,"ERRO: "&amp;LEN(P493)&amp;" dígitos",IF(NOT(ISNUMBER(VALUE(P493))),"ERRO: não numérico",IF(LEN(SUBSTITUTE(P493,LEFT(P493,1),""))=0,"ERRO: dígitos repetidos",IF(AND(VALUE(MID(P493,13,1))=IF(MOD(SUMPRODUCT(--MID(P493,{1,2,3,4,5,6,7,8,9,10,11,12},1),{5,4,3,2,9,8,7,6,5,4,3,2}),11)&lt;2,0,11-MOD(SUMPRODUCT(--MID(P493,{1,2,3,4,5,6,7,8,9,10,11,12},1),{5,4,3,2,9,8,7,6,5,4,3,2}),11)),VALUE(MID(P493,14,1))=IF(MOD(SUMPRODUCT(--MID(P493,{1,2,3,4,5,6,7,8,9,10,11,12,13},1),{6,5,4,3,2,9,8,7,6,5,4,3,2}),11)&lt;2,0,11-MOD(SUMPRODUCT(--MID(P493,{1,2,3,4,5,6,7,8,9,10,11,12,13},1),{6,5,4,3,2,9,8,7,6,5,4,3,2}),11))),"OK","ERRO: dígito verificador")))))</f>
      </c>
      <c r="R493" s="6">
        <f>IF(P493="","",IF(COUNTIF($P$2:$P$1001,P493)&gt;1,"DUPLICADO","OK"))</f>
      </c>
      <c r="S493" s="6">
        <f>IF(AND(J493="",K493=""),"vazio",IF(AND(OR(J493="",LEN(SUBSTITUTE(SUBSTITUTE(SUBSTITUTE(SUBSTITUTE(SUBSTITUTE(SUBSTITUTE(SUBSTITUTE(TRIM(J493),".",""),"/",""),"-","")," ",""),"(",""),")",""),"+",""))=10,LEN(SUBSTITUTE(SUBSTITUTE(SUBSTITUTE(SUBSTITUTE(SUBSTITUTE(SUBSTITUTE(SUBSTITUTE(TRIM(J493),".",""),"/",""),"-","")," ",""),"(",""),")",""),"+",""))=11),OR(K493="",LEN(SUBSTITUTE(SUBSTITUTE(SUBSTITUTE(SUBSTITUTE(SUBSTITUTE(SUBSTITUTE(SUBSTITUTE(TRIM(K493),".",""),"/",""),"-","")," ",""),"(",""),")",""),"+",""))=10,LEN(SUBSTITUTE(SUBSTITUTE(SUBSTITUTE(SUBSTITUTE(SUBSTITUTE(SUBSTITUTE(SUBSTITUTE(TRIM(K493),".",""),"/",""),"-","")," ",""),"(",""),")",""),"+",""))=11)),"OK","ERRO: use DDD + número (10 ou 11 dígitos)"))</f>
      </c>
      <c r="T493" s="6">
        <f>IF(L493="","vazio",IF(AND(ISNUMBER(FIND("@",L493)),ISNUMBER(FIND(".",MID(L493,FIND("@",L493),99))),NOT(ISNUMBER(FIND(" ",TRIM(L493)))),NOT(ISNUMBER(FIND(";",L493))),NOT(ISNUMBER(FIND(",",L493)))),"OK","ERRO: um e-mail válido por linha"))</f>
      </c>
      <c r="U493" s="6">
        <f>IF(COUNTA(A493:O493)=0,"",IF(AND(B493&lt;&gt;"",C493&lt;&gt;"",D493&lt;&gt;"",E493&lt;&gt;"",H493&lt;&gt;"",OR(J493&lt;&gt;"",L493&lt;&gt;"")),"OK","ERRO: faltam "&amp;IF(B493="","Proprietário; ","")&amp;IF(C493="","Origem; ","")&amp;IF(D493="","CNPJ; ","")&amp;IF(E493="","Razão Social; ","")&amp;IF(H493="","Sobrenome; ","")&amp;IF(AND(J493="",L493=""),"telefone ou e-mail; ","")))</f>
      </c>
      <c r="V493" s="6">
        <f>IF(COUNTA(A493:O493)=0,"",IF(AND(Q493="OK",R493="OK",LEFT(S493,4)&lt;&gt;"ERRO",LEFT(T493,4)&lt;&gt;"ERRO",U493="OK"),"OK","REVISAR"))</f>
      </c>
    </row>
    <row r="494">
      <c r="A494" s="4"/>
      <c r="B494" s="5"/>
      <c r="C494" s="5"/>
      <c r="D494" s="5"/>
      <c r="E494" s="5"/>
      <c r="F494" s="4"/>
      <c r="G494" s="4"/>
      <c r="H494" s="5"/>
      <c r="I494" s="4"/>
      <c r="J494" s="4"/>
      <c r="K494" s="4"/>
      <c r="L494" s="4"/>
      <c r="M494" s="4"/>
      <c r="N494" s="4"/>
      <c r="O494" s="4"/>
      <c r="P494" s="6">
        <f>IF(D494="","",SUBSTITUTE(SUBSTITUTE(SUBSTITUTE(SUBSTITUTE(SUBSTITUTE(SUBSTITUTE(SUBSTITUTE(TRIM(D494),".",""),"/",""),"-","")," ",""),"(",""),")",""),"+",""))</f>
      </c>
      <c r="Q494" s="6">
        <f>IF(P494="","",IF(LEN(P494)&lt;&gt;14,"ERRO: "&amp;LEN(P494)&amp;" dígitos",IF(NOT(ISNUMBER(VALUE(P494))),"ERRO: não numérico",IF(LEN(SUBSTITUTE(P494,LEFT(P494,1),""))=0,"ERRO: dígitos repetidos",IF(AND(VALUE(MID(P494,13,1))=IF(MOD(SUMPRODUCT(--MID(P494,{1,2,3,4,5,6,7,8,9,10,11,12},1),{5,4,3,2,9,8,7,6,5,4,3,2}),11)&lt;2,0,11-MOD(SUMPRODUCT(--MID(P494,{1,2,3,4,5,6,7,8,9,10,11,12},1),{5,4,3,2,9,8,7,6,5,4,3,2}),11)),VALUE(MID(P494,14,1))=IF(MOD(SUMPRODUCT(--MID(P494,{1,2,3,4,5,6,7,8,9,10,11,12,13},1),{6,5,4,3,2,9,8,7,6,5,4,3,2}),11)&lt;2,0,11-MOD(SUMPRODUCT(--MID(P494,{1,2,3,4,5,6,7,8,9,10,11,12,13},1),{6,5,4,3,2,9,8,7,6,5,4,3,2}),11))),"OK","ERRO: dígito verificador")))))</f>
      </c>
      <c r="R494" s="6">
        <f>IF(P494="","",IF(COUNTIF($P$2:$P$1001,P494)&gt;1,"DUPLICADO","OK"))</f>
      </c>
      <c r="S494" s="6">
        <f>IF(AND(J494="",K494=""),"vazio",IF(AND(OR(J494="",LEN(SUBSTITUTE(SUBSTITUTE(SUBSTITUTE(SUBSTITUTE(SUBSTITUTE(SUBSTITUTE(SUBSTITUTE(TRIM(J494),".",""),"/",""),"-","")," ",""),"(",""),")",""),"+",""))=10,LEN(SUBSTITUTE(SUBSTITUTE(SUBSTITUTE(SUBSTITUTE(SUBSTITUTE(SUBSTITUTE(SUBSTITUTE(TRIM(J494),".",""),"/",""),"-","")," ",""),"(",""),")",""),"+",""))=11),OR(K494="",LEN(SUBSTITUTE(SUBSTITUTE(SUBSTITUTE(SUBSTITUTE(SUBSTITUTE(SUBSTITUTE(SUBSTITUTE(TRIM(K494),".",""),"/",""),"-","")," ",""),"(",""),")",""),"+",""))=10,LEN(SUBSTITUTE(SUBSTITUTE(SUBSTITUTE(SUBSTITUTE(SUBSTITUTE(SUBSTITUTE(SUBSTITUTE(TRIM(K494),".",""),"/",""),"-","")," ",""),"(",""),")",""),"+",""))=11)),"OK","ERRO: use DDD + número (10 ou 11 dígitos)"))</f>
      </c>
      <c r="T494" s="6">
        <f>IF(L494="","vazio",IF(AND(ISNUMBER(FIND("@",L494)),ISNUMBER(FIND(".",MID(L494,FIND("@",L494),99))),NOT(ISNUMBER(FIND(" ",TRIM(L494)))),NOT(ISNUMBER(FIND(";",L494))),NOT(ISNUMBER(FIND(",",L494)))),"OK","ERRO: um e-mail válido por linha"))</f>
      </c>
      <c r="U494" s="6">
        <f>IF(COUNTA(A494:O494)=0,"",IF(AND(B494&lt;&gt;"",C494&lt;&gt;"",D494&lt;&gt;"",E494&lt;&gt;"",H494&lt;&gt;"",OR(J494&lt;&gt;"",L494&lt;&gt;"")),"OK","ERRO: faltam "&amp;IF(B494="","Proprietário; ","")&amp;IF(C494="","Origem; ","")&amp;IF(D494="","CNPJ; ","")&amp;IF(E494="","Razão Social; ","")&amp;IF(H494="","Sobrenome; ","")&amp;IF(AND(J494="",L494=""),"telefone ou e-mail; ","")))</f>
      </c>
      <c r="V494" s="6">
        <f>IF(COUNTA(A494:O494)=0,"",IF(AND(Q494="OK",R494="OK",LEFT(S494,4)&lt;&gt;"ERRO",LEFT(T494,4)&lt;&gt;"ERRO",U494="OK"),"OK","REVISAR"))</f>
      </c>
    </row>
    <row r="495">
      <c r="A495" s="4"/>
      <c r="B495" s="5"/>
      <c r="C495" s="5"/>
      <c r="D495" s="5"/>
      <c r="E495" s="5"/>
      <c r="F495" s="4"/>
      <c r="G495" s="4"/>
      <c r="H495" s="5"/>
      <c r="I495" s="4"/>
      <c r="J495" s="4"/>
      <c r="K495" s="4"/>
      <c r="L495" s="4"/>
      <c r="M495" s="4"/>
      <c r="N495" s="4"/>
      <c r="O495" s="4"/>
      <c r="P495" s="6">
        <f>IF(D495="","",SUBSTITUTE(SUBSTITUTE(SUBSTITUTE(SUBSTITUTE(SUBSTITUTE(SUBSTITUTE(SUBSTITUTE(TRIM(D495),".",""),"/",""),"-","")," ",""),"(",""),")",""),"+",""))</f>
      </c>
      <c r="Q495" s="6">
        <f>IF(P495="","",IF(LEN(P495)&lt;&gt;14,"ERRO: "&amp;LEN(P495)&amp;" dígitos",IF(NOT(ISNUMBER(VALUE(P495))),"ERRO: não numérico",IF(LEN(SUBSTITUTE(P495,LEFT(P495,1),""))=0,"ERRO: dígitos repetidos",IF(AND(VALUE(MID(P495,13,1))=IF(MOD(SUMPRODUCT(--MID(P495,{1,2,3,4,5,6,7,8,9,10,11,12},1),{5,4,3,2,9,8,7,6,5,4,3,2}),11)&lt;2,0,11-MOD(SUMPRODUCT(--MID(P495,{1,2,3,4,5,6,7,8,9,10,11,12},1),{5,4,3,2,9,8,7,6,5,4,3,2}),11)),VALUE(MID(P495,14,1))=IF(MOD(SUMPRODUCT(--MID(P495,{1,2,3,4,5,6,7,8,9,10,11,12,13},1),{6,5,4,3,2,9,8,7,6,5,4,3,2}),11)&lt;2,0,11-MOD(SUMPRODUCT(--MID(P495,{1,2,3,4,5,6,7,8,9,10,11,12,13},1),{6,5,4,3,2,9,8,7,6,5,4,3,2}),11))),"OK","ERRO: dígito verificador")))))</f>
      </c>
      <c r="R495" s="6">
        <f>IF(P495="","",IF(COUNTIF($P$2:$P$1001,P495)&gt;1,"DUPLICADO","OK"))</f>
      </c>
      <c r="S495" s="6">
        <f>IF(AND(J495="",K495=""),"vazio",IF(AND(OR(J495="",LEN(SUBSTITUTE(SUBSTITUTE(SUBSTITUTE(SUBSTITUTE(SUBSTITUTE(SUBSTITUTE(SUBSTITUTE(TRIM(J495),".",""),"/",""),"-","")," ",""),"(",""),")",""),"+",""))=10,LEN(SUBSTITUTE(SUBSTITUTE(SUBSTITUTE(SUBSTITUTE(SUBSTITUTE(SUBSTITUTE(SUBSTITUTE(TRIM(J495),".",""),"/",""),"-","")," ",""),"(",""),")",""),"+",""))=11),OR(K495="",LEN(SUBSTITUTE(SUBSTITUTE(SUBSTITUTE(SUBSTITUTE(SUBSTITUTE(SUBSTITUTE(SUBSTITUTE(TRIM(K495),".",""),"/",""),"-","")," ",""),"(",""),")",""),"+",""))=10,LEN(SUBSTITUTE(SUBSTITUTE(SUBSTITUTE(SUBSTITUTE(SUBSTITUTE(SUBSTITUTE(SUBSTITUTE(TRIM(K495),".",""),"/",""),"-","")," ",""),"(",""),")",""),"+",""))=11)),"OK","ERRO: use DDD + número (10 ou 11 dígitos)"))</f>
      </c>
      <c r="T495" s="6">
        <f>IF(L495="","vazio",IF(AND(ISNUMBER(FIND("@",L495)),ISNUMBER(FIND(".",MID(L495,FIND("@",L495),99))),NOT(ISNUMBER(FIND(" ",TRIM(L495)))),NOT(ISNUMBER(FIND(";",L495))),NOT(ISNUMBER(FIND(",",L495)))),"OK","ERRO: um e-mail válido por linha"))</f>
      </c>
      <c r="U495" s="6">
        <f>IF(COUNTA(A495:O495)=0,"",IF(AND(B495&lt;&gt;"",C495&lt;&gt;"",D495&lt;&gt;"",E495&lt;&gt;"",H495&lt;&gt;"",OR(J495&lt;&gt;"",L495&lt;&gt;"")),"OK","ERRO: faltam "&amp;IF(B495="","Proprietário; ","")&amp;IF(C495="","Origem; ","")&amp;IF(D495="","CNPJ; ","")&amp;IF(E495="","Razão Social; ","")&amp;IF(H495="","Sobrenome; ","")&amp;IF(AND(J495="",L495=""),"telefone ou e-mail; ","")))</f>
      </c>
      <c r="V495" s="6">
        <f>IF(COUNTA(A495:O495)=0,"",IF(AND(Q495="OK",R495="OK",LEFT(S495,4)&lt;&gt;"ERRO",LEFT(T495,4)&lt;&gt;"ERRO",U495="OK"),"OK","REVISAR"))</f>
      </c>
    </row>
    <row r="496">
      <c r="A496" s="4"/>
      <c r="B496" s="5"/>
      <c r="C496" s="5"/>
      <c r="D496" s="5"/>
      <c r="E496" s="5"/>
      <c r="F496" s="4"/>
      <c r="G496" s="4"/>
      <c r="H496" s="5"/>
      <c r="I496" s="4"/>
      <c r="J496" s="4"/>
      <c r="K496" s="4"/>
      <c r="L496" s="4"/>
      <c r="M496" s="4"/>
      <c r="N496" s="4"/>
      <c r="O496" s="4"/>
      <c r="P496" s="6">
        <f>IF(D496="","",SUBSTITUTE(SUBSTITUTE(SUBSTITUTE(SUBSTITUTE(SUBSTITUTE(SUBSTITUTE(SUBSTITUTE(TRIM(D496),".",""),"/",""),"-","")," ",""),"(",""),")",""),"+",""))</f>
      </c>
      <c r="Q496" s="6">
        <f>IF(P496="","",IF(LEN(P496)&lt;&gt;14,"ERRO: "&amp;LEN(P496)&amp;" dígitos",IF(NOT(ISNUMBER(VALUE(P496))),"ERRO: não numérico",IF(LEN(SUBSTITUTE(P496,LEFT(P496,1),""))=0,"ERRO: dígitos repetidos",IF(AND(VALUE(MID(P496,13,1))=IF(MOD(SUMPRODUCT(--MID(P496,{1,2,3,4,5,6,7,8,9,10,11,12},1),{5,4,3,2,9,8,7,6,5,4,3,2}),11)&lt;2,0,11-MOD(SUMPRODUCT(--MID(P496,{1,2,3,4,5,6,7,8,9,10,11,12},1),{5,4,3,2,9,8,7,6,5,4,3,2}),11)),VALUE(MID(P496,14,1))=IF(MOD(SUMPRODUCT(--MID(P496,{1,2,3,4,5,6,7,8,9,10,11,12,13},1),{6,5,4,3,2,9,8,7,6,5,4,3,2}),11)&lt;2,0,11-MOD(SUMPRODUCT(--MID(P496,{1,2,3,4,5,6,7,8,9,10,11,12,13},1),{6,5,4,3,2,9,8,7,6,5,4,3,2}),11))),"OK","ERRO: dígito verificador")))))</f>
      </c>
      <c r="R496" s="6">
        <f>IF(P496="","",IF(COUNTIF($P$2:$P$1001,P496)&gt;1,"DUPLICADO","OK"))</f>
      </c>
      <c r="S496" s="6">
        <f>IF(AND(J496="",K496=""),"vazio",IF(AND(OR(J496="",LEN(SUBSTITUTE(SUBSTITUTE(SUBSTITUTE(SUBSTITUTE(SUBSTITUTE(SUBSTITUTE(SUBSTITUTE(TRIM(J496),".",""),"/",""),"-","")," ",""),"(",""),")",""),"+",""))=10,LEN(SUBSTITUTE(SUBSTITUTE(SUBSTITUTE(SUBSTITUTE(SUBSTITUTE(SUBSTITUTE(SUBSTITUTE(TRIM(J496),".",""),"/",""),"-","")," ",""),"(",""),")",""),"+",""))=11),OR(K496="",LEN(SUBSTITUTE(SUBSTITUTE(SUBSTITUTE(SUBSTITUTE(SUBSTITUTE(SUBSTITUTE(SUBSTITUTE(TRIM(K496),".",""),"/",""),"-","")," ",""),"(",""),")",""),"+",""))=10,LEN(SUBSTITUTE(SUBSTITUTE(SUBSTITUTE(SUBSTITUTE(SUBSTITUTE(SUBSTITUTE(SUBSTITUTE(TRIM(K496),".",""),"/",""),"-","")," ",""),"(",""),")",""),"+",""))=11)),"OK","ERRO: use DDD + número (10 ou 11 dígitos)"))</f>
      </c>
      <c r="T496" s="6">
        <f>IF(L496="","vazio",IF(AND(ISNUMBER(FIND("@",L496)),ISNUMBER(FIND(".",MID(L496,FIND("@",L496),99))),NOT(ISNUMBER(FIND(" ",TRIM(L496)))),NOT(ISNUMBER(FIND(";",L496))),NOT(ISNUMBER(FIND(",",L496)))),"OK","ERRO: um e-mail válido por linha"))</f>
      </c>
      <c r="U496" s="6">
        <f>IF(COUNTA(A496:O496)=0,"",IF(AND(B496&lt;&gt;"",C496&lt;&gt;"",D496&lt;&gt;"",E496&lt;&gt;"",H496&lt;&gt;"",OR(J496&lt;&gt;"",L496&lt;&gt;"")),"OK","ERRO: faltam "&amp;IF(B496="","Proprietário; ","")&amp;IF(C496="","Origem; ","")&amp;IF(D496="","CNPJ; ","")&amp;IF(E496="","Razão Social; ","")&amp;IF(H496="","Sobrenome; ","")&amp;IF(AND(J496="",L496=""),"telefone ou e-mail; ","")))</f>
      </c>
      <c r="V496" s="6">
        <f>IF(COUNTA(A496:O496)=0,"",IF(AND(Q496="OK",R496="OK",LEFT(S496,4)&lt;&gt;"ERRO",LEFT(T496,4)&lt;&gt;"ERRO",U496="OK"),"OK","REVISAR"))</f>
      </c>
    </row>
    <row r="497">
      <c r="A497" s="4"/>
      <c r="B497" s="5"/>
      <c r="C497" s="5"/>
      <c r="D497" s="5"/>
      <c r="E497" s="5"/>
      <c r="F497" s="4"/>
      <c r="G497" s="4"/>
      <c r="H497" s="5"/>
      <c r="I497" s="4"/>
      <c r="J497" s="4"/>
      <c r="K497" s="4"/>
      <c r="L497" s="4"/>
      <c r="M497" s="4"/>
      <c r="N497" s="4"/>
      <c r="O497" s="4"/>
      <c r="P497" s="6">
        <f>IF(D497="","",SUBSTITUTE(SUBSTITUTE(SUBSTITUTE(SUBSTITUTE(SUBSTITUTE(SUBSTITUTE(SUBSTITUTE(TRIM(D497),".",""),"/",""),"-","")," ",""),"(",""),")",""),"+",""))</f>
      </c>
      <c r="Q497" s="6">
        <f>IF(P497="","",IF(LEN(P497)&lt;&gt;14,"ERRO: "&amp;LEN(P497)&amp;" dígitos",IF(NOT(ISNUMBER(VALUE(P497))),"ERRO: não numérico",IF(LEN(SUBSTITUTE(P497,LEFT(P497,1),""))=0,"ERRO: dígitos repetidos",IF(AND(VALUE(MID(P497,13,1))=IF(MOD(SUMPRODUCT(--MID(P497,{1,2,3,4,5,6,7,8,9,10,11,12},1),{5,4,3,2,9,8,7,6,5,4,3,2}),11)&lt;2,0,11-MOD(SUMPRODUCT(--MID(P497,{1,2,3,4,5,6,7,8,9,10,11,12},1),{5,4,3,2,9,8,7,6,5,4,3,2}),11)),VALUE(MID(P497,14,1))=IF(MOD(SUMPRODUCT(--MID(P497,{1,2,3,4,5,6,7,8,9,10,11,12,13},1),{6,5,4,3,2,9,8,7,6,5,4,3,2}),11)&lt;2,0,11-MOD(SUMPRODUCT(--MID(P497,{1,2,3,4,5,6,7,8,9,10,11,12,13},1),{6,5,4,3,2,9,8,7,6,5,4,3,2}),11))),"OK","ERRO: dígito verificador")))))</f>
      </c>
      <c r="R497" s="6">
        <f>IF(P497="","",IF(COUNTIF($P$2:$P$1001,P497)&gt;1,"DUPLICADO","OK"))</f>
      </c>
      <c r="S497" s="6">
        <f>IF(AND(J497="",K497=""),"vazio",IF(AND(OR(J497="",LEN(SUBSTITUTE(SUBSTITUTE(SUBSTITUTE(SUBSTITUTE(SUBSTITUTE(SUBSTITUTE(SUBSTITUTE(TRIM(J497),".",""),"/",""),"-","")," ",""),"(",""),")",""),"+",""))=10,LEN(SUBSTITUTE(SUBSTITUTE(SUBSTITUTE(SUBSTITUTE(SUBSTITUTE(SUBSTITUTE(SUBSTITUTE(TRIM(J497),".",""),"/",""),"-","")," ",""),"(",""),")",""),"+",""))=11),OR(K497="",LEN(SUBSTITUTE(SUBSTITUTE(SUBSTITUTE(SUBSTITUTE(SUBSTITUTE(SUBSTITUTE(SUBSTITUTE(TRIM(K497),".",""),"/",""),"-","")," ",""),"(",""),")",""),"+",""))=10,LEN(SUBSTITUTE(SUBSTITUTE(SUBSTITUTE(SUBSTITUTE(SUBSTITUTE(SUBSTITUTE(SUBSTITUTE(TRIM(K497),".",""),"/",""),"-","")," ",""),"(",""),")",""),"+",""))=11)),"OK","ERRO: use DDD + número (10 ou 11 dígitos)"))</f>
      </c>
      <c r="T497" s="6">
        <f>IF(L497="","vazio",IF(AND(ISNUMBER(FIND("@",L497)),ISNUMBER(FIND(".",MID(L497,FIND("@",L497),99))),NOT(ISNUMBER(FIND(" ",TRIM(L497)))),NOT(ISNUMBER(FIND(";",L497))),NOT(ISNUMBER(FIND(",",L497)))),"OK","ERRO: um e-mail válido por linha"))</f>
      </c>
      <c r="U497" s="6">
        <f>IF(COUNTA(A497:O497)=0,"",IF(AND(B497&lt;&gt;"",C497&lt;&gt;"",D497&lt;&gt;"",E497&lt;&gt;"",H497&lt;&gt;"",OR(J497&lt;&gt;"",L497&lt;&gt;"")),"OK","ERRO: faltam "&amp;IF(B497="","Proprietário; ","")&amp;IF(C497="","Origem; ","")&amp;IF(D497="","CNPJ; ","")&amp;IF(E497="","Razão Social; ","")&amp;IF(H497="","Sobrenome; ","")&amp;IF(AND(J497="",L497=""),"telefone ou e-mail; ","")))</f>
      </c>
      <c r="V497" s="6">
        <f>IF(COUNTA(A497:O497)=0,"",IF(AND(Q497="OK",R497="OK",LEFT(S497,4)&lt;&gt;"ERRO",LEFT(T497,4)&lt;&gt;"ERRO",U497="OK"),"OK","REVISAR"))</f>
      </c>
    </row>
    <row r="498">
      <c r="A498" s="4"/>
      <c r="B498" s="5"/>
      <c r="C498" s="5"/>
      <c r="D498" s="5"/>
      <c r="E498" s="5"/>
      <c r="F498" s="4"/>
      <c r="G498" s="4"/>
      <c r="H498" s="5"/>
      <c r="I498" s="4"/>
      <c r="J498" s="4"/>
      <c r="K498" s="4"/>
      <c r="L498" s="4"/>
      <c r="M498" s="4"/>
      <c r="N498" s="4"/>
      <c r="O498" s="4"/>
      <c r="P498" s="6">
        <f>IF(D498="","",SUBSTITUTE(SUBSTITUTE(SUBSTITUTE(SUBSTITUTE(SUBSTITUTE(SUBSTITUTE(SUBSTITUTE(TRIM(D498),".",""),"/",""),"-","")," ",""),"(",""),")",""),"+",""))</f>
      </c>
      <c r="Q498" s="6">
        <f>IF(P498="","",IF(LEN(P498)&lt;&gt;14,"ERRO: "&amp;LEN(P498)&amp;" dígitos",IF(NOT(ISNUMBER(VALUE(P498))),"ERRO: não numérico",IF(LEN(SUBSTITUTE(P498,LEFT(P498,1),""))=0,"ERRO: dígitos repetidos",IF(AND(VALUE(MID(P498,13,1))=IF(MOD(SUMPRODUCT(--MID(P498,{1,2,3,4,5,6,7,8,9,10,11,12},1),{5,4,3,2,9,8,7,6,5,4,3,2}),11)&lt;2,0,11-MOD(SUMPRODUCT(--MID(P498,{1,2,3,4,5,6,7,8,9,10,11,12},1),{5,4,3,2,9,8,7,6,5,4,3,2}),11)),VALUE(MID(P498,14,1))=IF(MOD(SUMPRODUCT(--MID(P498,{1,2,3,4,5,6,7,8,9,10,11,12,13},1),{6,5,4,3,2,9,8,7,6,5,4,3,2}),11)&lt;2,0,11-MOD(SUMPRODUCT(--MID(P498,{1,2,3,4,5,6,7,8,9,10,11,12,13},1),{6,5,4,3,2,9,8,7,6,5,4,3,2}),11))),"OK","ERRO: dígito verificador")))))</f>
      </c>
      <c r="R498" s="6">
        <f>IF(P498="","",IF(COUNTIF($P$2:$P$1001,P498)&gt;1,"DUPLICADO","OK"))</f>
      </c>
      <c r="S498" s="6">
        <f>IF(AND(J498="",K498=""),"vazio",IF(AND(OR(J498="",LEN(SUBSTITUTE(SUBSTITUTE(SUBSTITUTE(SUBSTITUTE(SUBSTITUTE(SUBSTITUTE(SUBSTITUTE(TRIM(J498),".",""),"/",""),"-","")," ",""),"(",""),")",""),"+",""))=10,LEN(SUBSTITUTE(SUBSTITUTE(SUBSTITUTE(SUBSTITUTE(SUBSTITUTE(SUBSTITUTE(SUBSTITUTE(TRIM(J498),".",""),"/",""),"-","")," ",""),"(",""),")",""),"+",""))=11),OR(K498="",LEN(SUBSTITUTE(SUBSTITUTE(SUBSTITUTE(SUBSTITUTE(SUBSTITUTE(SUBSTITUTE(SUBSTITUTE(TRIM(K498),".",""),"/",""),"-","")," ",""),"(",""),")",""),"+",""))=10,LEN(SUBSTITUTE(SUBSTITUTE(SUBSTITUTE(SUBSTITUTE(SUBSTITUTE(SUBSTITUTE(SUBSTITUTE(TRIM(K498),".",""),"/",""),"-","")," ",""),"(",""),")",""),"+",""))=11)),"OK","ERRO: use DDD + número (10 ou 11 dígitos)"))</f>
      </c>
      <c r="T498" s="6">
        <f>IF(L498="","vazio",IF(AND(ISNUMBER(FIND("@",L498)),ISNUMBER(FIND(".",MID(L498,FIND("@",L498),99))),NOT(ISNUMBER(FIND(" ",TRIM(L498)))),NOT(ISNUMBER(FIND(";",L498))),NOT(ISNUMBER(FIND(",",L498)))),"OK","ERRO: um e-mail válido por linha"))</f>
      </c>
      <c r="U498" s="6">
        <f>IF(COUNTA(A498:O498)=0,"",IF(AND(B498&lt;&gt;"",C498&lt;&gt;"",D498&lt;&gt;"",E498&lt;&gt;"",H498&lt;&gt;"",OR(J498&lt;&gt;"",L498&lt;&gt;"")),"OK","ERRO: faltam "&amp;IF(B498="","Proprietário; ","")&amp;IF(C498="","Origem; ","")&amp;IF(D498="","CNPJ; ","")&amp;IF(E498="","Razão Social; ","")&amp;IF(H498="","Sobrenome; ","")&amp;IF(AND(J498="",L498=""),"telefone ou e-mail; ","")))</f>
      </c>
      <c r="V498" s="6">
        <f>IF(COUNTA(A498:O498)=0,"",IF(AND(Q498="OK",R498="OK",LEFT(S498,4)&lt;&gt;"ERRO",LEFT(T498,4)&lt;&gt;"ERRO",U498="OK"),"OK","REVISAR"))</f>
      </c>
    </row>
    <row r="499">
      <c r="A499" s="4"/>
      <c r="B499" s="5"/>
      <c r="C499" s="5"/>
      <c r="D499" s="5"/>
      <c r="E499" s="5"/>
      <c r="F499" s="4"/>
      <c r="G499" s="4"/>
      <c r="H499" s="5"/>
      <c r="I499" s="4"/>
      <c r="J499" s="4"/>
      <c r="K499" s="4"/>
      <c r="L499" s="4"/>
      <c r="M499" s="4"/>
      <c r="N499" s="4"/>
      <c r="O499" s="4"/>
      <c r="P499" s="6">
        <f>IF(D499="","",SUBSTITUTE(SUBSTITUTE(SUBSTITUTE(SUBSTITUTE(SUBSTITUTE(SUBSTITUTE(SUBSTITUTE(TRIM(D499),".",""),"/",""),"-","")," ",""),"(",""),")",""),"+",""))</f>
      </c>
      <c r="Q499" s="6">
        <f>IF(P499="","",IF(LEN(P499)&lt;&gt;14,"ERRO: "&amp;LEN(P499)&amp;" dígitos",IF(NOT(ISNUMBER(VALUE(P499))),"ERRO: não numérico",IF(LEN(SUBSTITUTE(P499,LEFT(P499,1),""))=0,"ERRO: dígitos repetidos",IF(AND(VALUE(MID(P499,13,1))=IF(MOD(SUMPRODUCT(--MID(P499,{1,2,3,4,5,6,7,8,9,10,11,12},1),{5,4,3,2,9,8,7,6,5,4,3,2}),11)&lt;2,0,11-MOD(SUMPRODUCT(--MID(P499,{1,2,3,4,5,6,7,8,9,10,11,12},1),{5,4,3,2,9,8,7,6,5,4,3,2}),11)),VALUE(MID(P499,14,1))=IF(MOD(SUMPRODUCT(--MID(P499,{1,2,3,4,5,6,7,8,9,10,11,12,13},1),{6,5,4,3,2,9,8,7,6,5,4,3,2}),11)&lt;2,0,11-MOD(SUMPRODUCT(--MID(P499,{1,2,3,4,5,6,7,8,9,10,11,12,13},1),{6,5,4,3,2,9,8,7,6,5,4,3,2}),11))),"OK","ERRO: dígito verificador")))))</f>
      </c>
      <c r="R499" s="6">
        <f>IF(P499="","",IF(COUNTIF($P$2:$P$1001,P499)&gt;1,"DUPLICADO","OK"))</f>
      </c>
      <c r="S499" s="6">
        <f>IF(AND(J499="",K499=""),"vazio",IF(AND(OR(J499="",LEN(SUBSTITUTE(SUBSTITUTE(SUBSTITUTE(SUBSTITUTE(SUBSTITUTE(SUBSTITUTE(SUBSTITUTE(TRIM(J499),".",""),"/",""),"-","")," ",""),"(",""),")",""),"+",""))=10,LEN(SUBSTITUTE(SUBSTITUTE(SUBSTITUTE(SUBSTITUTE(SUBSTITUTE(SUBSTITUTE(SUBSTITUTE(TRIM(J499),".",""),"/",""),"-","")," ",""),"(",""),")",""),"+",""))=11),OR(K499="",LEN(SUBSTITUTE(SUBSTITUTE(SUBSTITUTE(SUBSTITUTE(SUBSTITUTE(SUBSTITUTE(SUBSTITUTE(TRIM(K499),".",""),"/",""),"-","")," ",""),"(",""),")",""),"+",""))=10,LEN(SUBSTITUTE(SUBSTITUTE(SUBSTITUTE(SUBSTITUTE(SUBSTITUTE(SUBSTITUTE(SUBSTITUTE(TRIM(K499),".",""),"/",""),"-","")," ",""),"(",""),")",""),"+",""))=11)),"OK","ERRO: use DDD + número (10 ou 11 dígitos)"))</f>
      </c>
      <c r="T499" s="6">
        <f>IF(L499="","vazio",IF(AND(ISNUMBER(FIND("@",L499)),ISNUMBER(FIND(".",MID(L499,FIND("@",L499),99))),NOT(ISNUMBER(FIND(" ",TRIM(L499)))),NOT(ISNUMBER(FIND(";",L499))),NOT(ISNUMBER(FIND(",",L499)))),"OK","ERRO: um e-mail válido por linha"))</f>
      </c>
      <c r="U499" s="6">
        <f>IF(COUNTA(A499:O499)=0,"",IF(AND(B499&lt;&gt;"",C499&lt;&gt;"",D499&lt;&gt;"",E499&lt;&gt;"",H499&lt;&gt;"",OR(J499&lt;&gt;"",L499&lt;&gt;"")),"OK","ERRO: faltam "&amp;IF(B499="","Proprietário; ","")&amp;IF(C499="","Origem; ","")&amp;IF(D499="","CNPJ; ","")&amp;IF(E499="","Razão Social; ","")&amp;IF(H499="","Sobrenome; ","")&amp;IF(AND(J499="",L499=""),"telefone ou e-mail; ","")))</f>
      </c>
      <c r="V499" s="6">
        <f>IF(COUNTA(A499:O499)=0,"",IF(AND(Q499="OK",R499="OK",LEFT(S499,4)&lt;&gt;"ERRO",LEFT(T499,4)&lt;&gt;"ERRO",U499="OK"),"OK","REVISAR"))</f>
      </c>
    </row>
    <row r="500">
      <c r="A500" s="4"/>
      <c r="B500" s="5"/>
      <c r="C500" s="5"/>
      <c r="D500" s="5"/>
      <c r="E500" s="5"/>
      <c r="F500" s="4"/>
      <c r="G500" s="4"/>
      <c r="H500" s="5"/>
      <c r="I500" s="4"/>
      <c r="J500" s="4"/>
      <c r="K500" s="4"/>
      <c r="L500" s="4"/>
      <c r="M500" s="4"/>
      <c r="N500" s="4"/>
      <c r="O500" s="4"/>
      <c r="P500" s="6">
        <f>IF(D500="","",SUBSTITUTE(SUBSTITUTE(SUBSTITUTE(SUBSTITUTE(SUBSTITUTE(SUBSTITUTE(SUBSTITUTE(TRIM(D500),".",""),"/",""),"-","")," ",""),"(",""),")",""),"+",""))</f>
      </c>
      <c r="Q500" s="6">
        <f>IF(P500="","",IF(LEN(P500)&lt;&gt;14,"ERRO: "&amp;LEN(P500)&amp;" dígitos",IF(NOT(ISNUMBER(VALUE(P500))),"ERRO: não numérico",IF(LEN(SUBSTITUTE(P500,LEFT(P500,1),""))=0,"ERRO: dígitos repetidos",IF(AND(VALUE(MID(P500,13,1))=IF(MOD(SUMPRODUCT(--MID(P500,{1,2,3,4,5,6,7,8,9,10,11,12},1),{5,4,3,2,9,8,7,6,5,4,3,2}),11)&lt;2,0,11-MOD(SUMPRODUCT(--MID(P500,{1,2,3,4,5,6,7,8,9,10,11,12},1),{5,4,3,2,9,8,7,6,5,4,3,2}),11)),VALUE(MID(P500,14,1))=IF(MOD(SUMPRODUCT(--MID(P500,{1,2,3,4,5,6,7,8,9,10,11,12,13},1),{6,5,4,3,2,9,8,7,6,5,4,3,2}),11)&lt;2,0,11-MOD(SUMPRODUCT(--MID(P500,{1,2,3,4,5,6,7,8,9,10,11,12,13},1),{6,5,4,3,2,9,8,7,6,5,4,3,2}),11))),"OK","ERRO: dígito verificador")))))</f>
      </c>
      <c r="R500" s="6">
        <f>IF(P500="","",IF(COUNTIF($P$2:$P$1001,P500)&gt;1,"DUPLICADO","OK"))</f>
      </c>
      <c r="S500" s="6">
        <f>IF(AND(J500="",K500=""),"vazio",IF(AND(OR(J500="",LEN(SUBSTITUTE(SUBSTITUTE(SUBSTITUTE(SUBSTITUTE(SUBSTITUTE(SUBSTITUTE(SUBSTITUTE(TRIM(J500),".",""),"/",""),"-","")," ",""),"(",""),")",""),"+",""))=10,LEN(SUBSTITUTE(SUBSTITUTE(SUBSTITUTE(SUBSTITUTE(SUBSTITUTE(SUBSTITUTE(SUBSTITUTE(TRIM(J500),".",""),"/",""),"-","")," ",""),"(",""),")",""),"+",""))=11),OR(K500="",LEN(SUBSTITUTE(SUBSTITUTE(SUBSTITUTE(SUBSTITUTE(SUBSTITUTE(SUBSTITUTE(SUBSTITUTE(TRIM(K500),".",""),"/",""),"-","")," ",""),"(",""),")",""),"+",""))=10,LEN(SUBSTITUTE(SUBSTITUTE(SUBSTITUTE(SUBSTITUTE(SUBSTITUTE(SUBSTITUTE(SUBSTITUTE(TRIM(K500),".",""),"/",""),"-","")," ",""),"(",""),")",""),"+",""))=11)),"OK","ERRO: use DDD + número (10 ou 11 dígitos)"))</f>
      </c>
      <c r="T500" s="6">
        <f>IF(L500="","vazio",IF(AND(ISNUMBER(FIND("@",L500)),ISNUMBER(FIND(".",MID(L500,FIND("@",L500),99))),NOT(ISNUMBER(FIND(" ",TRIM(L500)))),NOT(ISNUMBER(FIND(";",L500))),NOT(ISNUMBER(FIND(",",L500)))),"OK","ERRO: um e-mail válido por linha"))</f>
      </c>
      <c r="U500" s="6">
        <f>IF(COUNTA(A500:O500)=0,"",IF(AND(B500&lt;&gt;"",C500&lt;&gt;"",D500&lt;&gt;"",E500&lt;&gt;"",H500&lt;&gt;"",OR(J500&lt;&gt;"",L500&lt;&gt;"")),"OK","ERRO: faltam "&amp;IF(B500="","Proprietário; ","")&amp;IF(C500="","Origem; ","")&amp;IF(D500="","CNPJ; ","")&amp;IF(E500="","Razão Social; ","")&amp;IF(H500="","Sobrenome; ","")&amp;IF(AND(J500="",L500=""),"telefone ou e-mail; ","")))</f>
      </c>
      <c r="V500" s="6">
        <f>IF(COUNTA(A500:O500)=0,"",IF(AND(Q500="OK",R500="OK",LEFT(S500,4)&lt;&gt;"ERRO",LEFT(T500,4)&lt;&gt;"ERRO",U500="OK"),"OK","REVISAR"))</f>
      </c>
    </row>
    <row r="501">
      <c r="A501" s="4"/>
      <c r="B501" s="5"/>
      <c r="C501" s="5"/>
      <c r="D501" s="5"/>
      <c r="E501" s="5"/>
      <c r="F501" s="4"/>
      <c r="G501" s="4"/>
      <c r="H501" s="5"/>
      <c r="I501" s="4"/>
      <c r="J501" s="4"/>
      <c r="K501" s="4"/>
      <c r="L501" s="4"/>
      <c r="M501" s="4"/>
      <c r="N501" s="4"/>
      <c r="O501" s="4"/>
      <c r="P501" s="6">
        <f>IF(D501="","",SUBSTITUTE(SUBSTITUTE(SUBSTITUTE(SUBSTITUTE(SUBSTITUTE(SUBSTITUTE(SUBSTITUTE(TRIM(D501),".",""),"/",""),"-","")," ",""),"(",""),")",""),"+",""))</f>
      </c>
      <c r="Q501" s="6">
        <f>IF(P501="","",IF(LEN(P501)&lt;&gt;14,"ERRO: "&amp;LEN(P501)&amp;" dígitos",IF(NOT(ISNUMBER(VALUE(P501))),"ERRO: não numérico",IF(LEN(SUBSTITUTE(P501,LEFT(P501,1),""))=0,"ERRO: dígitos repetidos",IF(AND(VALUE(MID(P501,13,1))=IF(MOD(SUMPRODUCT(--MID(P501,{1,2,3,4,5,6,7,8,9,10,11,12},1),{5,4,3,2,9,8,7,6,5,4,3,2}),11)&lt;2,0,11-MOD(SUMPRODUCT(--MID(P501,{1,2,3,4,5,6,7,8,9,10,11,12},1),{5,4,3,2,9,8,7,6,5,4,3,2}),11)),VALUE(MID(P501,14,1))=IF(MOD(SUMPRODUCT(--MID(P501,{1,2,3,4,5,6,7,8,9,10,11,12,13},1),{6,5,4,3,2,9,8,7,6,5,4,3,2}),11)&lt;2,0,11-MOD(SUMPRODUCT(--MID(P501,{1,2,3,4,5,6,7,8,9,10,11,12,13},1),{6,5,4,3,2,9,8,7,6,5,4,3,2}),11))),"OK","ERRO: dígito verificador")))))</f>
      </c>
      <c r="R501" s="6">
        <f>IF(P501="","",IF(COUNTIF($P$2:$P$1001,P501)&gt;1,"DUPLICADO","OK"))</f>
      </c>
      <c r="S501" s="6">
        <f>IF(AND(J501="",K501=""),"vazio",IF(AND(OR(J501="",LEN(SUBSTITUTE(SUBSTITUTE(SUBSTITUTE(SUBSTITUTE(SUBSTITUTE(SUBSTITUTE(SUBSTITUTE(TRIM(J501),".",""),"/",""),"-","")," ",""),"(",""),")",""),"+",""))=10,LEN(SUBSTITUTE(SUBSTITUTE(SUBSTITUTE(SUBSTITUTE(SUBSTITUTE(SUBSTITUTE(SUBSTITUTE(TRIM(J501),".",""),"/",""),"-","")," ",""),"(",""),")",""),"+",""))=11),OR(K501="",LEN(SUBSTITUTE(SUBSTITUTE(SUBSTITUTE(SUBSTITUTE(SUBSTITUTE(SUBSTITUTE(SUBSTITUTE(TRIM(K501),".",""),"/",""),"-","")," ",""),"(",""),")",""),"+",""))=10,LEN(SUBSTITUTE(SUBSTITUTE(SUBSTITUTE(SUBSTITUTE(SUBSTITUTE(SUBSTITUTE(SUBSTITUTE(TRIM(K501),".",""),"/",""),"-","")," ",""),"(",""),")",""),"+",""))=11)),"OK","ERRO: use DDD + número (10 ou 11 dígitos)"))</f>
      </c>
      <c r="T501" s="6">
        <f>IF(L501="","vazio",IF(AND(ISNUMBER(FIND("@",L501)),ISNUMBER(FIND(".",MID(L501,FIND("@",L501),99))),NOT(ISNUMBER(FIND(" ",TRIM(L501)))),NOT(ISNUMBER(FIND(";",L501))),NOT(ISNUMBER(FIND(",",L501)))),"OK","ERRO: um e-mail válido por linha"))</f>
      </c>
      <c r="U501" s="6">
        <f>IF(COUNTA(A501:O501)=0,"",IF(AND(B501&lt;&gt;"",C501&lt;&gt;"",D501&lt;&gt;"",E501&lt;&gt;"",H501&lt;&gt;"",OR(J501&lt;&gt;"",L501&lt;&gt;"")),"OK","ERRO: faltam "&amp;IF(B501="","Proprietário; ","")&amp;IF(C501="","Origem; ","")&amp;IF(D501="","CNPJ; ","")&amp;IF(E501="","Razão Social; ","")&amp;IF(H501="","Sobrenome; ","")&amp;IF(AND(J501="",L501=""),"telefone ou e-mail; ","")))</f>
      </c>
      <c r="V501" s="6">
        <f>IF(COUNTA(A501:O501)=0,"",IF(AND(Q501="OK",R501="OK",LEFT(S501,4)&lt;&gt;"ERRO",LEFT(T501,4)&lt;&gt;"ERRO",U501="OK"),"OK","REVISAR"))</f>
      </c>
    </row>
    <row r="502">
      <c r="A502" s="4"/>
      <c r="B502" s="5"/>
      <c r="C502" s="5"/>
      <c r="D502" s="5"/>
      <c r="E502" s="5"/>
      <c r="F502" s="4"/>
      <c r="G502" s="4"/>
      <c r="H502" s="5"/>
      <c r="I502" s="4"/>
      <c r="J502" s="4"/>
      <c r="K502" s="4"/>
      <c r="L502" s="4"/>
      <c r="M502" s="4"/>
      <c r="N502" s="4"/>
      <c r="O502" s="4"/>
      <c r="P502" s="6">
        <f>IF(D502="","",SUBSTITUTE(SUBSTITUTE(SUBSTITUTE(SUBSTITUTE(SUBSTITUTE(SUBSTITUTE(SUBSTITUTE(TRIM(D502),".",""),"/",""),"-","")," ",""),"(",""),")",""),"+",""))</f>
      </c>
      <c r="Q502" s="6">
        <f>IF(P502="","",IF(LEN(P502)&lt;&gt;14,"ERRO: "&amp;LEN(P502)&amp;" dígitos",IF(NOT(ISNUMBER(VALUE(P502))),"ERRO: não numérico",IF(LEN(SUBSTITUTE(P502,LEFT(P502,1),""))=0,"ERRO: dígitos repetidos",IF(AND(VALUE(MID(P502,13,1))=IF(MOD(SUMPRODUCT(--MID(P502,{1,2,3,4,5,6,7,8,9,10,11,12},1),{5,4,3,2,9,8,7,6,5,4,3,2}),11)&lt;2,0,11-MOD(SUMPRODUCT(--MID(P502,{1,2,3,4,5,6,7,8,9,10,11,12},1),{5,4,3,2,9,8,7,6,5,4,3,2}),11)),VALUE(MID(P502,14,1))=IF(MOD(SUMPRODUCT(--MID(P502,{1,2,3,4,5,6,7,8,9,10,11,12,13},1),{6,5,4,3,2,9,8,7,6,5,4,3,2}),11)&lt;2,0,11-MOD(SUMPRODUCT(--MID(P502,{1,2,3,4,5,6,7,8,9,10,11,12,13},1),{6,5,4,3,2,9,8,7,6,5,4,3,2}),11))),"OK","ERRO: dígito verificador")))))</f>
      </c>
      <c r="R502" s="6">
        <f>IF(P502="","",IF(COUNTIF($P$2:$P$1001,P502)&gt;1,"DUPLICADO","OK"))</f>
      </c>
      <c r="S502" s="6">
        <f>IF(AND(J502="",K502=""),"vazio",IF(AND(OR(J502="",LEN(SUBSTITUTE(SUBSTITUTE(SUBSTITUTE(SUBSTITUTE(SUBSTITUTE(SUBSTITUTE(SUBSTITUTE(TRIM(J502),".",""),"/",""),"-","")," ",""),"(",""),")",""),"+",""))=10,LEN(SUBSTITUTE(SUBSTITUTE(SUBSTITUTE(SUBSTITUTE(SUBSTITUTE(SUBSTITUTE(SUBSTITUTE(TRIM(J502),".",""),"/",""),"-","")," ",""),"(",""),")",""),"+",""))=11),OR(K502="",LEN(SUBSTITUTE(SUBSTITUTE(SUBSTITUTE(SUBSTITUTE(SUBSTITUTE(SUBSTITUTE(SUBSTITUTE(TRIM(K502),".",""),"/",""),"-","")," ",""),"(",""),")",""),"+",""))=10,LEN(SUBSTITUTE(SUBSTITUTE(SUBSTITUTE(SUBSTITUTE(SUBSTITUTE(SUBSTITUTE(SUBSTITUTE(TRIM(K502),".",""),"/",""),"-","")," ",""),"(",""),")",""),"+",""))=11)),"OK","ERRO: use DDD + número (10 ou 11 dígitos)"))</f>
      </c>
      <c r="T502" s="6">
        <f>IF(L502="","vazio",IF(AND(ISNUMBER(FIND("@",L502)),ISNUMBER(FIND(".",MID(L502,FIND("@",L502),99))),NOT(ISNUMBER(FIND(" ",TRIM(L502)))),NOT(ISNUMBER(FIND(";",L502))),NOT(ISNUMBER(FIND(",",L502)))),"OK","ERRO: um e-mail válido por linha"))</f>
      </c>
      <c r="U502" s="6">
        <f>IF(COUNTA(A502:O502)=0,"",IF(AND(B502&lt;&gt;"",C502&lt;&gt;"",D502&lt;&gt;"",E502&lt;&gt;"",H502&lt;&gt;"",OR(J502&lt;&gt;"",L502&lt;&gt;"")),"OK","ERRO: faltam "&amp;IF(B502="","Proprietário; ","")&amp;IF(C502="","Origem; ","")&amp;IF(D502="","CNPJ; ","")&amp;IF(E502="","Razão Social; ","")&amp;IF(H502="","Sobrenome; ","")&amp;IF(AND(J502="",L502=""),"telefone ou e-mail; ","")))</f>
      </c>
      <c r="V502" s="6">
        <f>IF(COUNTA(A502:O502)=0,"",IF(AND(Q502="OK",R502="OK",LEFT(S502,4)&lt;&gt;"ERRO",LEFT(T502,4)&lt;&gt;"ERRO",U502="OK"),"OK","REVISAR"))</f>
      </c>
    </row>
    <row r="503">
      <c r="A503" s="4"/>
      <c r="B503" s="5"/>
      <c r="C503" s="5"/>
      <c r="D503" s="5"/>
      <c r="E503" s="5"/>
      <c r="F503" s="4"/>
      <c r="G503" s="4"/>
      <c r="H503" s="5"/>
      <c r="I503" s="4"/>
      <c r="J503" s="4"/>
      <c r="K503" s="4"/>
      <c r="L503" s="4"/>
      <c r="M503" s="4"/>
      <c r="N503" s="4"/>
      <c r="O503" s="4"/>
      <c r="P503" s="6">
        <f>IF(D503="","",SUBSTITUTE(SUBSTITUTE(SUBSTITUTE(SUBSTITUTE(SUBSTITUTE(SUBSTITUTE(SUBSTITUTE(TRIM(D503),".",""),"/",""),"-","")," ",""),"(",""),")",""),"+",""))</f>
      </c>
      <c r="Q503" s="6">
        <f>IF(P503="","",IF(LEN(P503)&lt;&gt;14,"ERRO: "&amp;LEN(P503)&amp;" dígitos",IF(NOT(ISNUMBER(VALUE(P503))),"ERRO: não numérico",IF(LEN(SUBSTITUTE(P503,LEFT(P503,1),""))=0,"ERRO: dígitos repetidos",IF(AND(VALUE(MID(P503,13,1))=IF(MOD(SUMPRODUCT(--MID(P503,{1,2,3,4,5,6,7,8,9,10,11,12},1),{5,4,3,2,9,8,7,6,5,4,3,2}),11)&lt;2,0,11-MOD(SUMPRODUCT(--MID(P503,{1,2,3,4,5,6,7,8,9,10,11,12},1),{5,4,3,2,9,8,7,6,5,4,3,2}),11)),VALUE(MID(P503,14,1))=IF(MOD(SUMPRODUCT(--MID(P503,{1,2,3,4,5,6,7,8,9,10,11,12,13},1),{6,5,4,3,2,9,8,7,6,5,4,3,2}),11)&lt;2,0,11-MOD(SUMPRODUCT(--MID(P503,{1,2,3,4,5,6,7,8,9,10,11,12,13},1),{6,5,4,3,2,9,8,7,6,5,4,3,2}),11))),"OK","ERRO: dígito verificador")))))</f>
      </c>
      <c r="R503" s="6">
        <f>IF(P503="","",IF(COUNTIF($P$2:$P$1001,P503)&gt;1,"DUPLICADO","OK"))</f>
      </c>
      <c r="S503" s="6">
        <f>IF(AND(J503="",K503=""),"vazio",IF(AND(OR(J503="",LEN(SUBSTITUTE(SUBSTITUTE(SUBSTITUTE(SUBSTITUTE(SUBSTITUTE(SUBSTITUTE(SUBSTITUTE(TRIM(J503),".",""),"/",""),"-","")," ",""),"(",""),")",""),"+",""))=10,LEN(SUBSTITUTE(SUBSTITUTE(SUBSTITUTE(SUBSTITUTE(SUBSTITUTE(SUBSTITUTE(SUBSTITUTE(TRIM(J503),".",""),"/",""),"-","")," ",""),"(",""),")",""),"+",""))=11),OR(K503="",LEN(SUBSTITUTE(SUBSTITUTE(SUBSTITUTE(SUBSTITUTE(SUBSTITUTE(SUBSTITUTE(SUBSTITUTE(TRIM(K503),".",""),"/",""),"-","")," ",""),"(",""),")",""),"+",""))=10,LEN(SUBSTITUTE(SUBSTITUTE(SUBSTITUTE(SUBSTITUTE(SUBSTITUTE(SUBSTITUTE(SUBSTITUTE(TRIM(K503),".",""),"/",""),"-","")," ",""),"(",""),")",""),"+",""))=11)),"OK","ERRO: use DDD + número (10 ou 11 dígitos)"))</f>
      </c>
      <c r="T503" s="6">
        <f>IF(L503="","vazio",IF(AND(ISNUMBER(FIND("@",L503)),ISNUMBER(FIND(".",MID(L503,FIND("@",L503),99))),NOT(ISNUMBER(FIND(" ",TRIM(L503)))),NOT(ISNUMBER(FIND(";",L503))),NOT(ISNUMBER(FIND(",",L503)))),"OK","ERRO: um e-mail válido por linha"))</f>
      </c>
      <c r="U503" s="6">
        <f>IF(COUNTA(A503:O503)=0,"",IF(AND(B503&lt;&gt;"",C503&lt;&gt;"",D503&lt;&gt;"",E503&lt;&gt;"",H503&lt;&gt;"",OR(J503&lt;&gt;"",L503&lt;&gt;"")),"OK","ERRO: faltam "&amp;IF(B503="","Proprietário; ","")&amp;IF(C503="","Origem; ","")&amp;IF(D503="","CNPJ; ","")&amp;IF(E503="","Razão Social; ","")&amp;IF(H503="","Sobrenome; ","")&amp;IF(AND(J503="",L503=""),"telefone ou e-mail; ","")))</f>
      </c>
      <c r="V503" s="6">
        <f>IF(COUNTA(A503:O503)=0,"",IF(AND(Q503="OK",R503="OK",LEFT(S503,4)&lt;&gt;"ERRO",LEFT(T503,4)&lt;&gt;"ERRO",U503="OK"),"OK","REVISAR"))</f>
      </c>
    </row>
    <row r="504">
      <c r="A504" s="4"/>
      <c r="B504" s="5"/>
      <c r="C504" s="5"/>
      <c r="D504" s="5"/>
      <c r="E504" s="5"/>
      <c r="F504" s="4"/>
      <c r="G504" s="4"/>
      <c r="H504" s="5"/>
      <c r="I504" s="4"/>
      <c r="J504" s="4"/>
      <c r="K504" s="4"/>
      <c r="L504" s="4"/>
      <c r="M504" s="4"/>
      <c r="N504" s="4"/>
      <c r="O504" s="4"/>
      <c r="P504" s="6">
        <f>IF(D504="","",SUBSTITUTE(SUBSTITUTE(SUBSTITUTE(SUBSTITUTE(SUBSTITUTE(SUBSTITUTE(SUBSTITUTE(TRIM(D504),".",""),"/",""),"-","")," ",""),"(",""),")",""),"+",""))</f>
      </c>
      <c r="Q504" s="6">
        <f>IF(P504="","",IF(LEN(P504)&lt;&gt;14,"ERRO: "&amp;LEN(P504)&amp;" dígitos",IF(NOT(ISNUMBER(VALUE(P504))),"ERRO: não numérico",IF(LEN(SUBSTITUTE(P504,LEFT(P504,1),""))=0,"ERRO: dígitos repetidos",IF(AND(VALUE(MID(P504,13,1))=IF(MOD(SUMPRODUCT(--MID(P504,{1,2,3,4,5,6,7,8,9,10,11,12},1),{5,4,3,2,9,8,7,6,5,4,3,2}),11)&lt;2,0,11-MOD(SUMPRODUCT(--MID(P504,{1,2,3,4,5,6,7,8,9,10,11,12},1),{5,4,3,2,9,8,7,6,5,4,3,2}),11)),VALUE(MID(P504,14,1))=IF(MOD(SUMPRODUCT(--MID(P504,{1,2,3,4,5,6,7,8,9,10,11,12,13},1),{6,5,4,3,2,9,8,7,6,5,4,3,2}),11)&lt;2,0,11-MOD(SUMPRODUCT(--MID(P504,{1,2,3,4,5,6,7,8,9,10,11,12,13},1),{6,5,4,3,2,9,8,7,6,5,4,3,2}),11))),"OK","ERRO: dígito verificador")))))</f>
      </c>
      <c r="R504" s="6">
        <f>IF(P504="","",IF(COUNTIF($P$2:$P$1001,P504)&gt;1,"DUPLICADO","OK"))</f>
      </c>
      <c r="S504" s="6">
        <f>IF(AND(J504="",K504=""),"vazio",IF(AND(OR(J504="",LEN(SUBSTITUTE(SUBSTITUTE(SUBSTITUTE(SUBSTITUTE(SUBSTITUTE(SUBSTITUTE(SUBSTITUTE(TRIM(J504),".",""),"/",""),"-","")," ",""),"(",""),")",""),"+",""))=10,LEN(SUBSTITUTE(SUBSTITUTE(SUBSTITUTE(SUBSTITUTE(SUBSTITUTE(SUBSTITUTE(SUBSTITUTE(TRIM(J504),".",""),"/",""),"-","")," ",""),"(",""),")",""),"+",""))=11),OR(K504="",LEN(SUBSTITUTE(SUBSTITUTE(SUBSTITUTE(SUBSTITUTE(SUBSTITUTE(SUBSTITUTE(SUBSTITUTE(TRIM(K504),".",""),"/",""),"-","")," ",""),"(",""),")",""),"+",""))=10,LEN(SUBSTITUTE(SUBSTITUTE(SUBSTITUTE(SUBSTITUTE(SUBSTITUTE(SUBSTITUTE(SUBSTITUTE(TRIM(K504),".",""),"/",""),"-","")," ",""),"(",""),")",""),"+",""))=11)),"OK","ERRO: use DDD + número (10 ou 11 dígitos)"))</f>
      </c>
      <c r="T504" s="6">
        <f>IF(L504="","vazio",IF(AND(ISNUMBER(FIND("@",L504)),ISNUMBER(FIND(".",MID(L504,FIND("@",L504),99))),NOT(ISNUMBER(FIND(" ",TRIM(L504)))),NOT(ISNUMBER(FIND(";",L504))),NOT(ISNUMBER(FIND(",",L504)))),"OK","ERRO: um e-mail válido por linha"))</f>
      </c>
      <c r="U504" s="6">
        <f>IF(COUNTA(A504:O504)=0,"",IF(AND(B504&lt;&gt;"",C504&lt;&gt;"",D504&lt;&gt;"",E504&lt;&gt;"",H504&lt;&gt;"",OR(J504&lt;&gt;"",L504&lt;&gt;"")),"OK","ERRO: faltam "&amp;IF(B504="","Proprietário; ","")&amp;IF(C504="","Origem; ","")&amp;IF(D504="","CNPJ; ","")&amp;IF(E504="","Razão Social; ","")&amp;IF(H504="","Sobrenome; ","")&amp;IF(AND(J504="",L504=""),"telefone ou e-mail; ","")))</f>
      </c>
      <c r="V504" s="6">
        <f>IF(COUNTA(A504:O504)=0,"",IF(AND(Q504="OK",R504="OK",LEFT(S504,4)&lt;&gt;"ERRO",LEFT(T504,4)&lt;&gt;"ERRO",U504="OK"),"OK","REVISAR"))</f>
      </c>
    </row>
    <row r="505">
      <c r="A505" s="4"/>
      <c r="B505" s="5"/>
      <c r="C505" s="5"/>
      <c r="D505" s="5"/>
      <c r="E505" s="5"/>
      <c r="F505" s="4"/>
      <c r="G505" s="4"/>
      <c r="H505" s="5"/>
      <c r="I505" s="4"/>
      <c r="J505" s="4"/>
      <c r="K505" s="4"/>
      <c r="L505" s="4"/>
      <c r="M505" s="4"/>
      <c r="N505" s="4"/>
      <c r="O505" s="4"/>
      <c r="P505" s="6">
        <f>IF(D505="","",SUBSTITUTE(SUBSTITUTE(SUBSTITUTE(SUBSTITUTE(SUBSTITUTE(SUBSTITUTE(SUBSTITUTE(TRIM(D505),".",""),"/",""),"-","")," ",""),"(",""),")",""),"+",""))</f>
      </c>
      <c r="Q505" s="6">
        <f>IF(P505="","",IF(LEN(P505)&lt;&gt;14,"ERRO: "&amp;LEN(P505)&amp;" dígitos",IF(NOT(ISNUMBER(VALUE(P505))),"ERRO: não numérico",IF(LEN(SUBSTITUTE(P505,LEFT(P505,1),""))=0,"ERRO: dígitos repetidos",IF(AND(VALUE(MID(P505,13,1))=IF(MOD(SUMPRODUCT(--MID(P505,{1,2,3,4,5,6,7,8,9,10,11,12},1),{5,4,3,2,9,8,7,6,5,4,3,2}),11)&lt;2,0,11-MOD(SUMPRODUCT(--MID(P505,{1,2,3,4,5,6,7,8,9,10,11,12},1),{5,4,3,2,9,8,7,6,5,4,3,2}),11)),VALUE(MID(P505,14,1))=IF(MOD(SUMPRODUCT(--MID(P505,{1,2,3,4,5,6,7,8,9,10,11,12,13},1),{6,5,4,3,2,9,8,7,6,5,4,3,2}),11)&lt;2,0,11-MOD(SUMPRODUCT(--MID(P505,{1,2,3,4,5,6,7,8,9,10,11,12,13},1),{6,5,4,3,2,9,8,7,6,5,4,3,2}),11))),"OK","ERRO: dígito verificador")))))</f>
      </c>
      <c r="R505" s="6">
        <f>IF(P505="","",IF(COUNTIF($P$2:$P$1001,P505)&gt;1,"DUPLICADO","OK"))</f>
      </c>
      <c r="S505" s="6">
        <f>IF(AND(J505="",K505=""),"vazio",IF(AND(OR(J505="",LEN(SUBSTITUTE(SUBSTITUTE(SUBSTITUTE(SUBSTITUTE(SUBSTITUTE(SUBSTITUTE(SUBSTITUTE(TRIM(J505),".",""),"/",""),"-","")," ",""),"(",""),")",""),"+",""))=10,LEN(SUBSTITUTE(SUBSTITUTE(SUBSTITUTE(SUBSTITUTE(SUBSTITUTE(SUBSTITUTE(SUBSTITUTE(TRIM(J505),".",""),"/",""),"-","")," ",""),"(",""),")",""),"+",""))=11),OR(K505="",LEN(SUBSTITUTE(SUBSTITUTE(SUBSTITUTE(SUBSTITUTE(SUBSTITUTE(SUBSTITUTE(SUBSTITUTE(TRIM(K505),".",""),"/",""),"-","")," ",""),"(",""),")",""),"+",""))=10,LEN(SUBSTITUTE(SUBSTITUTE(SUBSTITUTE(SUBSTITUTE(SUBSTITUTE(SUBSTITUTE(SUBSTITUTE(TRIM(K505),".",""),"/",""),"-","")," ",""),"(",""),")",""),"+",""))=11)),"OK","ERRO: use DDD + número (10 ou 11 dígitos)"))</f>
      </c>
      <c r="T505" s="6">
        <f>IF(L505="","vazio",IF(AND(ISNUMBER(FIND("@",L505)),ISNUMBER(FIND(".",MID(L505,FIND("@",L505),99))),NOT(ISNUMBER(FIND(" ",TRIM(L505)))),NOT(ISNUMBER(FIND(";",L505))),NOT(ISNUMBER(FIND(",",L505)))),"OK","ERRO: um e-mail válido por linha"))</f>
      </c>
      <c r="U505" s="6">
        <f>IF(COUNTA(A505:O505)=0,"",IF(AND(B505&lt;&gt;"",C505&lt;&gt;"",D505&lt;&gt;"",E505&lt;&gt;"",H505&lt;&gt;"",OR(J505&lt;&gt;"",L505&lt;&gt;"")),"OK","ERRO: faltam "&amp;IF(B505="","Proprietário; ","")&amp;IF(C505="","Origem; ","")&amp;IF(D505="","CNPJ; ","")&amp;IF(E505="","Razão Social; ","")&amp;IF(H505="","Sobrenome; ","")&amp;IF(AND(J505="",L505=""),"telefone ou e-mail; ","")))</f>
      </c>
      <c r="V505" s="6">
        <f>IF(COUNTA(A505:O505)=0,"",IF(AND(Q505="OK",R505="OK",LEFT(S505,4)&lt;&gt;"ERRO",LEFT(T505,4)&lt;&gt;"ERRO",U505="OK"),"OK","REVISAR"))</f>
      </c>
    </row>
    <row r="506">
      <c r="A506" s="4"/>
      <c r="B506" s="5"/>
      <c r="C506" s="5"/>
      <c r="D506" s="5"/>
      <c r="E506" s="5"/>
      <c r="F506" s="4"/>
      <c r="G506" s="4"/>
      <c r="H506" s="5"/>
      <c r="I506" s="4"/>
      <c r="J506" s="4"/>
      <c r="K506" s="4"/>
      <c r="L506" s="4"/>
      <c r="M506" s="4"/>
      <c r="N506" s="4"/>
      <c r="O506" s="4"/>
      <c r="P506" s="6">
        <f>IF(D506="","",SUBSTITUTE(SUBSTITUTE(SUBSTITUTE(SUBSTITUTE(SUBSTITUTE(SUBSTITUTE(SUBSTITUTE(TRIM(D506),".",""),"/",""),"-","")," ",""),"(",""),")",""),"+",""))</f>
      </c>
      <c r="Q506" s="6">
        <f>IF(P506="","",IF(LEN(P506)&lt;&gt;14,"ERRO: "&amp;LEN(P506)&amp;" dígitos",IF(NOT(ISNUMBER(VALUE(P506))),"ERRO: não numérico",IF(LEN(SUBSTITUTE(P506,LEFT(P506,1),""))=0,"ERRO: dígitos repetidos",IF(AND(VALUE(MID(P506,13,1))=IF(MOD(SUMPRODUCT(--MID(P506,{1,2,3,4,5,6,7,8,9,10,11,12},1),{5,4,3,2,9,8,7,6,5,4,3,2}),11)&lt;2,0,11-MOD(SUMPRODUCT(--MID(P506,{1,2,3,4,5,6,7,8,9,10,11,12},1),{5,4,3,2,9,8,7,6,5,4,3,2}),11)),VALUE(MID(P506,14,1))=IF(MOD(SUMPRODUCT(--MID(P506,{1,2,3,4,5,6,7,8,9,10,11,12,13},1),{6,5,4,3,2,9,8,7,6,5,4,3,2}),11)&lt;2,0,11-MOD(SUMPRODUCT(--MID(P506,{1,2,3,4,5,6,7,8,9,10,11,12,13},1),{6,5,4,3,2,9,8,7,6,5,4,3,2}),11))),"OK","ERRO: dígito verificador")))))</f>
      </c>
      <c r="R506" s="6">
        <f>IF(P506="","",IF(COUNTIF($P$2:$P$1001,P506)&gt;1,"DUPLICADO","OK"))</f>
      </c>
      <c r="S506" s="6">
        <f>IF(AND(J506="",K506=""),"vazio",IF(AND(OR(J506="",LEN(SUBSTITUTE(SUBSTITUTE(SUBSTITUTE(SUBSTITUTE(SUBSTITUTE(SUBSTITUTE(SUBSTITUTE(TRIM(J506),".",""),"/",""),"-","")," ",""),"(",""),")",""),"+",""))=10,LEN(SUBSTITUTE(SUBSTITUTE(SUBSTITUTE(SUBSTITUTE(SUBSTITUTE(SUBSTITUTE(SUBSTITUTE(TRIM(J506),".",""),"/",""),"-","")," ",""),"(",""),")",""),"+",""))=11),OR(K506="",LEN(SUBSTITUTE(SUBSTITUTE(SUBSTITUTE(SUBSTITUTE(SUBSTITUTE(SUBSTITUTE(SUBSTITUTE(TRIM(K506),".",""),"/",""),"-","")," ",""),"(",""),")",""),"+",""))=10,LEN(SUBSTITUTE(SUBSTITUTE(SUBSTITUTE(SUBSTITUTE(SUBSTITUTE(SUBSTITUTE(SUBSTITUTE(TRIM(K506),".",""),"/",""),"-","")," ",""),"(",""),")",""),"+",""))=11)),"OK","ERRO: use DDD + número (10 ou 11 dígitos)"))</f>
      </c>
      <c r="T506" s="6">
        <f>IF(L506="","vazio",IF(AND(ISNUMBER(FIND("@",L506)),ISNUMBER(FIND(".",MID(L506,FIND("@",L506),99))),NOT(ISNUMBER(FIND(" ",TRIM(L506)))),NOT(ISNUMBER(FIND(";",L506))),NOT(ISNUMBER(FIND(",",L506)))),"OK","ERRO: um e-mail válido por linha"))</f>
      </c>
      <c r="U506" s="6">
        <f>IF(COUNTA(A506:O506)=0,"",IF(AND(B506&lt;&gt;"",C506&lt;&gt;"",D506&lt;&gt;"",E506&lt;&gt;"",H506&lt;&gt;"",OR(J506&lt;&gt;"",L506&lt;&gt;"")),"OK","ERRO: faltam "&amp;IF(B506="","Proprietário; ","")&amp;IF(C506="","Origem; ","")&amp;IF(D506="","CNPJ; ","")&amp;IF(E506="","Razão Social; ","")&amp;IF(H506="","Sobrenome; ","")&amp;IF(AND(J506="",L506=""),"telefone ou e-mail; ","")))</f>
      </c>
      <c r="V506" s="6">
        <f>IF(COUNTA(A506:O506)=0,"",IF(AND(Q506="OK",R506="OK",LEFT(S506,4)&lt;&gt;"ERRO",LEFT(T506,4)&lt;&gt;"ERRO",U506="OK"),"OK","REVISAR"))</f>
      </c>
    </row>
    <row r="507">
      <c r="A507" s="4"/>
      <c r="B507" s="5"/>
      <c r="C507" s="5"/>
      <c r="D507" s="5"/>
      <c r="E507" s="5"/>
      <c r="F507" s="4"/>
      <c r="G507" s="4"/>
      <c r="H507" s="5"/>
      <c r="I507" s="4"/>
      <c r="J507" s="4"/>
      <c r="K507" s="4"/>
      <c r="L507" s="4"/>
      <c r="M507" s="4"/>
      <c r="N507" s="4"/>
      <c r="O507" s="4"/>
      <c r="P507" s="6">
        <f>IF(D507="","",SUBSTITUTE(SUBSTITUTE(SUBSTITUTE(SUBSTITUTE(SUBSTITUTE(SUBSTITUTE(SUBSTITUTE(TRIM(D507),".",""),"/",""),"-","")," ",""),"(",""),")",""),"+",""))</f>
      </c>
      <c r="Q507" s="6">
        <f>IF(P507="","",IF(LEN(P507)&lt;&gt;14,"ERRO: "&amp;LEN(P507)&amp;" dígitos",IF(NOT(ISNUMBER(VALUE(P507))),"ERRO: não numérico",IF(LEN(SUBSTITUTE(P507,LEFT(P507,1),""))=0,"ERRO: dígitos repetidos",IF(AND(VALUE(MID(P507,13,1))=IF(MOD(SUMPRODUCT(--MID(P507,{1,2,3,4,5,6,7,8,9,10,11,12},1),{5,4,3,2,9,8,7,6,5,4,3,2}),11)&lt;2,0,11-MOD(SUMPRODUCT(--MID(P507,{1,2,3,4,5,6,7,8,9,10,11,12},1),{5,4,3,2,9,8,7,6,5,4,3,2}),11)),VALUE(MID(P507,14,1))=IF(MOD(SUMPRODUCT(--MID(P507,{1,2,3,4,5,6,7,8,9,10,11,12,13},1),{6,5,4,3,2,9,8,7,6,5,4,3,2}),11)&lt;2,0,11-MOD(SUMPRODUCT(--MID(P507,{1,2,3,4,5,6,7,8,9,10,11,12,13},1),{6,5,4,3,2,9,8,7,6,5,4,3,2}),11))),"OK","ERRO: dígito verificador")))))</f>
      </c>
      <c r="R507" s="6">
        <f>IF(P507="","",IF(COUNTIF($P$2:$P$1001,P507)&gt;1,"DUPLICADO","OK"))</f>
      </c>
      <c r="S507" s="6">
        <f>IF(AND(J507="",K507=""),"vazio",IF(AND(OR(J507="",LEN(SUBSTITUTE(SUBSTITUTE(SUBSTITUTE(SUBSTITUTE(SUBSTITUTE(SUBSTITUTE(SUBSTITUTE(TRIM(J507),".",""),"/",""),"-","")," ",""),"(",""),")",""),"+",""))=10,LEN(SUBSTITUTE(SUBSTITUTE(SUBSTITUTE(SUBSTITUTE(SUBSTITUTE(SUBSTITUTE(SUBSTITUTE(TRIM(J507),".",""),"/",""),"-","")," ",""),"(",""),")",""),"+",""))=11),OR(K507="",LEN(SUBSTITUTE(SUBSTITUTE(SUBSTITUTE(SUBSTITUTE(SUBSTITUTE(SUBSTITUTE(SUBSTITUTE(TRIM(K507),".",""),"/",""),"-","")," ",""),"(",""),")",""),"+",""))=10,LEN(SUBSTITUTE(SUBSTITUTE(SUBSTITUTE(SUBSTITUTE(SUBSTITUTE(SUBSTITUTE(SUBSTITUTE(TRIM(K507),".",""),"/",""),"-","")," ",""),"(",""),")",""),"+",""))=11)),"OK","ERRO: use DDD + número (10 ou 11 dígitos)"))</f>
      </c>
      <c r="T507" s="6">
        <f>IF(L507="","vazio",IF(AND(ISNUMBER(FIND("@",L507)),ISNUMBER(FIND(".",MID(L507,FIND("@",L507),99))),NOT(ISNUMBER(FIND(" ",TRIM(L507)))),NOT(ISNUMBER(FIND(";",L507))),NOT(ISNUMBER(FIND(",",L507)))),"OK","ERRO: um e-mail válido por linha"))</f>
      </c>
      <c r="U507" s="6">
        <f>IF(COUNTA(A507:O507)=0,"",IF(AND(B507&lt;&gt;"",C507&lt;&gt;"",D507&lt;&gt;"",E507&lt;&gt;"",H507&lt;&gt;"",OR(J507&lt;&gt;"",L507&lt;&gt;"")),"OK","ERRO: faltam "&amp;IF(B507="","Proprietário; ","")&amp;IF(C507="","Origem; ","")&amp;IF(D507="","CNPJ; ","")&amp;IF(E507="","Razão Social; ","")&amp;IF(H507="","Sobrenome; ","")&amp;IF(AND(J507="",L507=""),"telefone ou e-mail; ","")))</f>
      </c>
      <c r="V507" s="6">
        <f>IF(COUNTA(A507:O507)=0,"",IF(AND(Q507="OK",R507="OK",LEFT(S507,4)&lt;&gt;"ERRO",LEFT(T507,4)&lt;&gt;"ERRO",U507="OK"),"OK","REVISAR"))</f>
      </c>
    </row>
    <row r="508">
      <c r="A508" s="4"/>
      <c r="B508" s="5"/>
      <c r="C508" s="5"/>
      <c r="D508" s="5"/>
      <c r="E508" s="5"/>
      <c r="F508" s="4"/>
      <c r="G508" s="4"/>
      <c r="H508" s="5"/>
      <c r="I508" s="4"/>
      <c r="J508" s="4"/>
      <c r="K508" s="4"/>
      <c r="L508" s="4"/>
      <c r="M508" s="4"/>
      <c r="N508" s="4"/>
      <c r="O508" s="4"/>
      <c r="P508" s="6">
        <f>IF(D508="","",SUBSTITUTE(SUBSTITUTE(SUBSTITUTE(SUBSTITUTE(SUBSTITUTE(SUBSTITUTE(SUBSTITUTE(TRIM(D508),".",""),"/",""),"-","")," ",""),"(",""),")",""),"+",""))</f>
      </c>
      <c r="Q508" s="6">
        <f>IF(P508="","",IF(LEN(P508)&lt;&gt;14,"ERRO: "&amp;LEN(P508)&amp;" dígitos",IF(NOT(ISNUMBER(VALUE(P508))),"ERRO: não numérico",IF(LEN(SUBSTITUTE(P508,LEFT(P508,1),""))=0,"ERRO: dígitos repetidos",IF(AND(VALUE(MID(P508,13,1))=IF(MOD(SUMPRODUCT(--MID(P508,{1,2,3,4,5,6,7,8,9,10,11,12},1),{5,4,3,2,9,8,7,6,5,4,3,2}),11)&lt;2,0,11-MOD(SUMPRODUCT(--MID(P508,{1,2,3,4,5,6,7,8,9,10,11,12},1),{5,4,3,2,9,8,7,6,5,4,3,2}),11)),VALUE(MID(P508,14,1))=IF(MOD(SUMPRODUCT(--MID(P508,{1,2,3,4,5,6,7,8,9,10,11,12,13},1),{6,5,4,3,2,9,8,7,6,5,4,3,2}),11)&lt;2,0,11-MOD(SUMPRODUCT(--MID(P508,{1,2,3,4,5,6,7,8,9,10,11,12,13},1),{6,5,4,3,2,9,8,7,6,5,4,3,2}),11))),"OK","ERRO: dígito verificador")))))</f>
      </c>
      <c r="R508" s="6">
        <f>IF(P508="","",IF(COUNTIF($P$2:$P$1001,P508)&gt;1,"DUPLICADO","OK"))</f>
      </c>
      <c r="S508" s="6">
        <f>IF(AND(J508="",K508=""),"vazio",IF(AND(OR(J508="",LEN(SUBSTITUTE(SUBSTITUTE(SUBSTITUTE(SUBSTITUTE(SUBSTITUTE(SUBSTITUTE(SUBSTITUTE(TRIM(J508),".",""),"/",""),"-","")," ",""),"(",""),")",""),"+",""))=10,LEN(SUBSTITUTE(SUBSTITUTE(SUBSTITUTE(SUBSTITUTE(SUBSTITUTE(SUBSTITUTE(SUBSTITUTE(TRIM(J508),".",""),"/",""),"-","")," ",""),"(",""),")",""),"+",""))=11),OR(K508="",LEN(SUBSTITUTE(SUBSTITUTE(SUBSTITUTE(SUBSTITUTE(SUBSTITUTE(SUBSTITUTE(SUBSTITUTE(TRIM(K508),".",""),"/",""),"-","")," ",""),"(",""),")",""),"+",""))=10,LEN(SUBSTITUTE(SUBSTITUTE(SUBSTITUTE(SUBSTITUTE(SUBSTITUTE(SUBSTITUTE(SUBSTITUTE(TRIM(K508),".",""),"/",""),"-","")," ",""),"(",""),")",""),"+",""))=11)),"OK","ERRO: use DDD + número (10 ou 11 dígitos)"))</f>
      </c>
      <c r="T508" s="6">
        <f>IF(L508="","vazio",IF(AND(ISNUMBER(FIND("@",L508)),ISNUMBER(FIND(".",MID(L508,FIND("@",L508),99))),NOT(ISNUMBER(FIND(" ",TRIM(L508)))),NOT(ISNUMBER(FIND(";",L508))),NOT(ISNUMBER(FIND(",",L508)))),"OK","ERRO: um e-mail válido por linha"))</f>
      </c>
      <c r="U508" s="6">
        <f>IF(COUNTA(A508:O508)=0,"",IF(AND(B508&lt;&gt;"",C508&lt;&gt;"",D508&lt;&gt;"",E508&lt;&gt;"",H508&lt;&gt;"",OR(J508&lt;&gt;"",L508&lt;&gt;"")),"OK","ERRO: faltam "&amp;IF(B508="","Proprietário; ","")&amp;IF(C508="","Origem; ","")&amp;IF(D508="","CNPJ; ","")&amp;IF(E508="","Razão Social; ","")&amp;IF(H508="","Sobrenome; ","")&amp;IF(AND(J508="",L508=""),"telefone ou e-mail; ","")))</f>
      </c>
      <c r="V508" s="6">
        <f>IF(COUNTA(A508:O508)=0,"",IF(AND(Q508="OK",R508="OK",LEFT(S508,4)&lt;&gt;"ERRO",LEFT(T508,4)&lt;&gt;"ERRO",U508="OK"),"OK","REVISAR"))</f>
      </c>
    </row>
    <row r="509">
      <c r="A509" s="4"/>
      <c r="B509" s="5"/>
      <c r="C509" s="5"/>
      <c r="D509" s="5"/>
      <c r="E509" s="5"/>
      <c r="F509" s="4"/>
      <c r="G509" s="4"/>
      <c r="H509" s="5"/>
      <c r="I509" s="4"/>
      <c r="J509" s="4"/>
      <c r="K509" s="4"/>
      <c r="L509" s="4"/>
      <c r="M509" s="4"/>
      <c r="N509" s="4"/>
      <c r="O509" s="4"/>
      <c r="P509" s="6">
        <f>IF(D509="","",SUBSTITUTE(SUBSTITUTE(SUBSTITUTE(SUBSTITUTE(SUBSTITUTE(SUBSTITUTE(SUBSTITUTE(TRIM(D509),".",""),"/",""),"-","")," ",""),"(",""),")",""),"+",""))</f>
      </c>
      <c r="Q509" s="6">
        <f>IF(P509="","",IF(LEN(P509)&lt;&gt;14,"ERRO: "&amp;LEN(P509)&amp;" dígitos",IF(NOT(ISNUMBER(VALUE(P509))),"ERRO: não numérico",IF(LEN(SUBSTITUTE(P509,LEFT(P509,1),""))=0,"ERRO: dígitos repetidos",IF(AND(VALUE(MID(P509,13,1))=IF(MOD(SUMPRODUCT(--MID(P509,{1,2,3,4,5,6,7,8,9,10,11,12},1),{5,4,3,2,9,8,7,6,5,4,3,2}),11)&lt;2,0,11-MOD(SUMPRODUCT(--MID(P509,{1,2,3,4,5,6,7,8,9,10,11,12},1),{5,4,3,2,9,8,7,6,5,4,3,2}),11)),VALUE(MID(P509,14,1))=IF(MOD(SUMPRODUCT(--MID(P509,{1,2,3,4,5,6,7,8,9,10,11,12,13},1),{6,5,4,3,2,9,8,7,6,5,4,3,2}),11)&lt;2,0,11-MOD(SUMPRODUCT(--MID(P509,{1,2,3,4,5,6,7,8,9,10,11,12,13},1),{6,5,4,3,2,9,8,7,6,5,4,3,2}),11))),"OK","ERRO: dígito verificador")))))</f>
      </c>
      <c r="R509" s="6">
        <f>IF(P509="","",IF(COUNTIF($P$2:$P$1001,P509)&gt;1,"DUPLICADO","OK"))</f>
      </c>
      <c r="S509" s="6">
        <f>IF(AND(J509="",K509=""),"vazio",IF(AND(OR(J509="",LEN(SUBSTITUTE(SUBSTITUTE(SUBSTITUTE(SUBSTITUTE(SUBSTITUTE(SUBSTITUTE(SUBSTITUTE(TRIM(J509),".",""),"/",""),"-","")," ",""),"(",""),")",""),"+",""))=10,LEN(SUBSTITUTE(SUBSTITUTE(SUBSTITUTE(SUBSTITUTE(SUBSTITUTE(SUBSTITUTE(SUBSTITUTE(TRIM(J509),".",""),"/",""),"-","")," ",""),"(",""),")",""),"+",""))=11),OR(K509="",LEN(SUBSTITUTE(SUBSTITUTE(SUBSTITUTE(SUBSTITUTE(SUBSTITUTE(SUBSTITUTE(SUBSTITUTE(TRIM(K509),".",""),"/",""),"-","")," ",""),"(",""),")",""),"+",""))=10,LEN(SUBSTITUTE(SUBSTITUTE(SUBSTITUTE(SUBSTITUTE(SUBSTITUTE(SUBSTITUTE(SUBSTITUTE(TRIM(K509),".",""),"/",""),"-","")," ",""),"(",""),")",""),"+",""))=11)),"OK","ERRO: use DDD + número (10 ou 11 dígitos)"))</f>
      </c>
      <c r="T509" s="6">
        <f>IF(L509="","vazio",IF(AND(ISNUMBER(FIND("@",L509)),ISNUMBER(FIND(".",MID(L509,FIND("@",L509),99))),NOT(ISNUMBER(FIND(" ",TRIM(L509)))),NOT(ISNUMBER(FIND(";",L509))),NOT(ISNUMBER(FIND(",",L509)))),"OK","ERRO: um e-mail válido por linha"))</f>
      </c>
      <c r="U509" s="6">
        <f>IF(COUNTA(A509:O509)=0,"",IF(AND(B509&lt;&gt;"",C509&lt;&gt;"",D509&lt;&gt;"",E509&lt;&gt;"",H509&lt;&gt;"",OR(J509&lt;&gt;"",L509&lt;&gt;"")),"OK","ERRO: faltam "&amp;IF(B509="","Proprietário; ","")&amp;IF(C509="","Origem; ","")&amp;IF(D509="","CNPJ; ","")&amp;IF(E509="","Razão Social; ","")&amp;IF(H509="","Sobrenome; ","")&amp;IF(AND(J509="",L509=""),"telefone ou e-mail; ","")))</f>
      </c>
      <c r="V509" s="6">
        <f>IF(COUNTA(A509:O509)=0,"",IF(AND(Q509="OK",R509="OK",LEFT(S509,4)&lt;&gt;"ERRO",LEFT(T509,4)&lt;&gt;"ERRO",U509="OK"),"OK","REVISAR"))</f>
      </c>
    </row>
    <row r="510">
      <c r="A510" s="4"/>
      <c r="B510" s="5"/>
      <c r="C510" s="5"/>
      <c r="D510" s="5"/>
      <c r="E510" s="5"/>
      <c r="F510" s="4"/>
      <c r="G510" s="4"/>
      <c r="H510" s="5"/>
      <c r="I510" s="4"/>
      <c r="J510" s="4"/>
      <c r="K510" s="4"/>
      <c r="L510" s="4"/>
      <c r="M510" s="4"/>
      <c r="N510" s="4"/>
      <c r="O510" s="4"/>
      <c r="P510" s="6">
        <f>IF(D510="","",SUBSTITUTE(SUBSTITUTE(SUBSTITUTE(SUBSTITUTE(SUBSTITUTE(SUBSTITUTE(SUBSTITUTE(TRIM(D510),".",""),"/",""),"-","")," ",""),"(",""),")",""),"+",""))</f>
      </c>
      <c r="Q510" s="6">
        <f>IF(P510="","",IF(LEN(P510)&lt;&gt;14,"ERRO: "&amp;LEN(P510)&amp;" dígitos",IF(NOT(ISNUMBER(VALUE(P510))),"ERRO: não numérico",IF(LEN(SUBSTITUTE(P510,LEFT(P510,1),""))=0,"ERRO: dígitos repetidos",IF(AND(VALUE(MID(P510,13,1))=IF(MOD(SUMPRODUCT(--MID(P510,{1,2,3,4,5,6,7,8,9,10,11,12},1),{5,4,3,2,9,8,7,6,5,4,3,2}),11)&lt;2,0,11-MOD(SUMPRODUCT(--MID(P510,{1,2,3,4,5,6,7,8,9,10,11,12},1),{5,4,3,2,9,8,7,6,5,4,3,2}),11)),VALUE(MID(P510,14,1))=IF(MOD(SUMPRODUCT(--MID(P510,{1,2,3,4,5,6,7,8,9,10,11,12,13},1),{6,5,4,3,2,9,8,7,6,5,4,3,2}),11)&lt;2,0,11-MOD(SUMPRODUCT(--MID(P510,{1,2,3,4,5,6,7,8,9,10,11,12,13},1),{6,5,4,3,2,9,8,7,6,5,4,3,2}),11))),"OK","ERRO: dígito verificador")))))</f>
      </c>
      <c r="R510" s="6">
        <f>IF(P510="","",IF(COUNTIF($P$2:$P$1001,P510)&gt;1,"DUPLICADO","OK"))</f>
      </c>
      <c r="S510" s="6">
        <f>IF(AND(J510="",K510=""),"vazio",IF(AND(OR(J510="",LEN(SUBSTITUTE(SUBSTITUTE(SUBSTITUTE(SUBSTITUTE(SUBSTITUTE(SUBSTITUTE(SUBSTITUTE(TRIM(J510),".",""),"/",""),"-","")," ",""),"(",""),")",""),"+",""))=10,LEN(SUBSTITUTE(SUBSTITUTE(SUBSTITUTE(SUBSTITUTE(SUBSTITUTE(SUBSTITUTE(SUBSTITUTE(TRIM(J510),".",""),"/",""),"-","")," ",""),"(",""),")",""),"+",""))=11),OR(K510="",LEN(SUBSTITUTE(SUBSTITUTE(SUBSTITUTE(SUBSTITUTE(SUBSTITUTE(SUBSTITUTE(SUBSTITUTE(TRIM(K510),".",""),"/",""),"-","")," ",""),"(",""),")",""),"+",""))=10,LEN(SUBSTITUTE(SUBSTITUTE(SUBSTITUTE(SUBSTITUTE(SUBSTITUTE(SUBSTITUTE(SUBSTITUTE(TRIM(K510),".",""),"/",""),"-","")," ",""),"(",""),")",""),"+",""))=11)),"OK","ERRO: use DDD + número (10 ou 11 dígitos)"))</f>
      </c>
      <c r="T510" s="6">
        <f>IF(L510="","vazio",IF(AND(ISNUMBER(FIND("@",L510)),ISNUMBER(FIND(".",MID(L510,FIND("@",L510),99))),NOT(ISNUMBER(FIND(" ",TRIM(L510)))),NOT(ISNUMBER(FIND(";",L510))),NOT(ISNUMBER(FIND(",",L510)))),"OK","ERRO: um e-mail válido por linha"))</f>
      </c>
      <c r="U510" s="6">
        <f>IF(COUNTA(A510:O510)=0,"",IF(AND(B510&lt;&gt;"",C510&lt;&gt;"",D510&lt;&gt;"",E510&lt;&gt;"",H510&lt;&gt;"",OR(J510&lt;&gt;"",L510&lt;&gt;"")),"OK","ERRO: faltam "&amp;IF(B510="","Proprietário; ","")&amp;IF(C510="","Origem; ","")&amp;IF(D510="","CNPJ; ","")&amp;IF(E510="","Razão Social; ","")&amp;IF(H510="","Sobrenome; ","")&amp;IF(AND(J510="",L510=""),"telefone ou e-mail; ","")))</f>
      </c>
      <c r="V510" s="6">
        <f>IF(COUNTA(A510:O510)=0,"",IF(AND(Q510="OK",R510="OK",LEFT(S510,4)&lt;&gt;"ERRO",LEFT(T510,4)&lt;&gt;"ERRO",U510="OK"),"OK","REVISAR"))</f>
      </c>
    </row>
    <row r="511">
      <c r="A511" s="4"/>
      <c r="B511" s="5"/>
      <c r="C511" s="5"/>
      <c r="D511" s="5"/>
      <c r="E511" s="5"/>
      <c r="F511" s="4"/>
      <c r="G511" s="4"/>
      <c r="H511" s="5"/>
      <c r="I511" s="4"/>
      <c r="J511" s="4"/>
      <c r="K511" s="4"/>
      <c r="L511" s="4"/>
      <c r="M511" s="4"/>
      <c r="N511" s="4"/>
      <c r="O511" s="4"/>
      <c r="P511" s="6">
        <f>IF(D511="","",SUBSTITUTE(SUBSTITUTE(SUBSTITUTE(SUBSTITUTE(SUBSTITUTE(SUBSTITUTE(SUBSTITUTE(TRIM(D511),".",""),"/",""),"-","")," ",""),"(",""),")",""),"+",""))</f>
      </c>
      <c r="Q511" s="6">
        <f>IF(P511="","",IF(LEN(P511)&lt;&gt;14,"ERRO: "&amp;LEN(P511)&amp;" dígitos",IF(NOT(ISNUMBER(VALUE(P511))),"ERRO: não numérico",IF(LEN(SUBSTITUTE(P511,LEFT(P511,1),""))=0,"ERRO: dígitos repetidos",IF(AND(VALUE(MID(P511,13,1))=IF(MOD(SUMPRODUCT(--MID(P511,{1,2,3,4,5,6,7,8,9,10,11,12},1),{5,4,3,2,9,8,7,6,5,4,3,2}),11)&lt;2,0,11-MOD(SUMPRODUCT(--MID(P511,{1,2,3,4,5,6,7,8,9,10,11,12},1),{5,4,3,2,9,8,7,6,5,4,3,2}),11)),VALUE(MID(P511,14,1))=IF(MOD(SUMPRODUCT(--MID(P511,{1,2,3,4,5,6,7,8,9,10,11,12,13},1),{6,5,4,3,2,9,8,7,6,5,4,3,2}),11)&lt;2,0,11-MOD(SUMPRODUCT(--MID(P511,{1,2,3,4,5,6,7,8,9,10,11,12,13},1),{6,5,4,3,2,9,8,7,6,5,4,3,2}),11))),"OK","ERRO: dígito verificador")))))</f>
      </c>
      <c r="R511" s="6">
        <f>IF(P511="","",IF(COUNTIF($P$2:$P$1001,P511)&gt;1,"DUPLICADO","OK"))</f>
      </c>
      <c r="S511" s="6">
        <f>IF(AND(J511="",K511=""),"vazio",IF(AND(OR(J511="",LEN(SUBSTITUTE(SUBSTITUTE(SUBSTITUTE(SUBSTITUTE(SUBSTITUTE(SUBSTITUTE(SUBSTITUTE(TRIM(J511),".",""),"/",""),"-","")," ",""),"(",""),")",""),"+",""))=10,LEN(SUBSTITUTE(SUBSTITUTE(SUBSTITUTE(SUBSTITUTE(SUBSTITUTE(SUBSTITUTE(SUBSTITUTE(TRIM(J511),".",""),"/",""),"-","")," ",""),"(",""),")",""),"+",""))=11),OR(K511="",LEN(SUBSTITUTE(SUBSTITUTE(SUBSTITUTE(SUBSTITUTE(SUBSTITUTE(SUBSTITUTE(SUBSTITUTE(TRIM(K511),".",""),"/",""),"-","")," ",""),"(",""),")",""),"+",""))=10,LEN(SUBSTITUTE(SUBSTITUTE(SUBSTITUTE(SUBSTITUTE(SUBSTITUTE(SUBSTITUTE(SUBSTITUTE(TRIM(K511),".",""),"/",""),"-","")," ",""),"(",""),")",""),"+",""))=11)),"OK","ERRO: use DDD + número (10 ou 11 dígitos)"))</f>
      </c>
      <c r="T511" s="6">
        <f>IF(L511="","vazio",IF(AND(ISNUMBER(FIND("@",L511)),ISNUMBER(FIND(".",MID(L511,FIND("@",L511),99))),NOT(ISNUMBER(FIND(" ",TRIM(L511)))),NOT(ISNUMBER(FIND(";",L511))),NOT(ISNUMBER(FIND(",",L511)))),"OK","ERRO: um e-mail válido por linha"))</f>
      </c>
      <c r="U511" s="6">
        <f>IF(COUNTA(A511:O511)=0,"",IF(AND(B511&lt;&gt;"",C511&lt;&gt;"",D511&lt;&gt;"",E511&lt;&gt;"",H511&lt;&gt;"",OR(J511&lt;&gt;"",L511&lt;&gt;"")),"OK","ERRO: faltam "&amp;IF(B511="","Proprietário; ","")&amp;IF(C511="","Origem; ","")&amp;IF(D511="","CNPJ; ","")&amp;IF(E511="","Razão Social; ","")&amp;IF(H511="","Sobrenome; ","")&amp;IF(AND(J511="",L511=""),"telefone ou e-mail; ","")))</f>
      </c>
      <c r="V511" s="6">
        <f>IF(COUNTA(A511:O511)=0,"",IF(AND(Q511="OK",R511="OK",LEFT(S511,4)&lt;&gt;"ERRO",LEFT(T511,4)&lt;&gt;"ERRO",U511="OK"),"OK","REVISAR"))</f>
      </c>
    </row>
    <row r="512">
      <c r="A512" s="4"/>
      <c r="B512" s="5"/>
      <c r="C512" s="5"/>
      <c r="D512" s="5"/>
      <c r="E512" s="5"/>
      <c r="F512" s="4"/>
      <c r="G512" s="4"/>
      <c r="H512" s="5"/>
      <c r="I512" s="4"/>
      <c r="J512" s="4"/>
      <c r="K512" s="4"/>
      <c r="L512" s="4"/>
      <c r="M512" s="4"/>
      <c r="N512" s="4"/>
      <c r="O512" s="4"/>
      <c r="P512" s="6">
        <f>IF(D512="","",SUBSTITUTE(SUBSTITUTE(SUBSTITUTE(SUBSTITUTE(SUBSTITUTE(SUBSTITUTE(SUBSTITUTE(TRIM(D512),".",""),"/",""),"-","")," ",""),"(",""),")",""),"+",""))</f>
      </c>
      <c r="Q512" s="6">
        <f>IF(P512="","",IF(LEN(P512)&lt;&gt;14,"ERRO: "&amp;LEN(P512)&amp;" dígitos",IF(NOT(ISNUMBER(VALUE(P512))),"ERRO: não numérico",IF(LEN(SUBSTITUTE(P512,LEFT(P512,1),""))=0,"ERRO: dígitos repetidos",IF(AND(VALUE(MID(P512,13,1))=IF(MOD(SUMPRODUCT(--MID(P512,{1,2,3,4,5,6,7,8,9,10,11,12},1),{5,4,3,2,9,8,7,6,5,4,3,2}),11)&lt;2,0,11-MOD(SUMPRODUCT(--MID(P512,{1,2,3,4,5,6,7,8,9,10,11,12},1),{5,4,3,2,9,8,7,6,5,4,3,2}),11)),VALUE(MID(P512,14,1))=IF(MOD(SUMPRODUCT(--MID(P512,{1,2,3,4,5,6,7,8,9,10,11,12,13},1),{6,5,4,3,2,9,8,7,6,5,4,3,2}),11)&lt;2,0,11-MOD(SUMPRODUCT(--MID(P512,{1,2,3,4,5,6,7,8,9,10,11,12,13},1),{6,5,4,3,2,9,8,7,6,5,4,3,2}),11))),"OK","ERRO: dígito verificador")))))</f>
      </c>
      <c r="R512" s="6">
        <f>IF(P512="","",IF(COUNTIF($P$2:$P$1001,P512)&gt;1,"DUPLICADO","OK"))</f>
      </c>
      <c r="S512" s="6">
        <f>IF(AND(J512="",K512=""),"vazio",IF(AND(OR(J512="",LEN(SUBSTITUTE(SUBSTITUTE(SUBSTITUTE(SUBSTITUTE(SUBSTITUTE(SUBSTITUTE(SUBSTITUTE(TRIM(J512),".",""),"/",""),"-","")," ",""),"(",""),")",""),"+",""))=10,LEN(SUBSTITUTE(SUBSTITUTE(SUBSTITUTE(SUBSTITUTE(SUBSTITUTE(SUBSTITUTE(SUBSTITUTE(TRIM(J512),".",""),"/",""),"-","")," ",""),"(",""),")",""),"+",""))=11),OR(K512="",LEN(SUBSTITUTE(SUBSTITUTE(SUBSTITUTE(SUBSTITUTE(SUBSTITUTE(SUBSTITUTE(SUBSTITUTE(TRIM(K512),".",""),"/",""),"-","")," ",""),"(",""),")",""),"+",""))=10,LEN(SUBSTITUTE(SUBSTITUTE(SUBSTITUTE(SUBSTITUTE(SUBSTITUTE(SUBSTITUTE(SUBSTITUTE(TRIM(K512),".",""),"/",""),"-","")," ",""),"(",""),")",""),"+",""))=11)),"OK","ERRO: use DDD + número (10 ou 11 dígitos)"))</f>
      </c>
      <c r="T512" s="6">
        <f>IF(L512="","vazio",IF(AND(ISNUMBER(FIND("@",L512)),ISNUMBER(FIND(".",MID(L512,FIND("@",L512),99))),NOT(ISNUMBER(FIND(" ",TRIM(L512)))),NOT(ISNUMBER(FIND(";",L512))),NOT(ISNUMBER(FIND(",",L512)))),"OK","ERRO: um e-mail válido por linha"))</f>
      </c>
      <c r="U512" s="6">
        <f>IF(COUNTA(A512:O512)=0,"",IF(AND(B512&lt;&gt;"",C512&lt;&gt;"",D512&lt;&gt;"",E512&lt;&gt;"",H512&lt;&gt;"",OR(J512&lt;&gt;"",L512&lt;&gt;"")),"OK","ERRO: faltam "&amp;IF(B512="","Proprietário; ","")&amp;IF(C512="","Origem; ","")&amp;IF(D512="","CNPJ; ","")&amp;IF(E512="","Razão Social; ","")&amp;IF(H512="","Sobrenome; ","")&amp;IF(AND(J512="",L512=""),"telefone ou e-mail; ","")))</f>
      </c>
      <c r="V512" s="6">
        <f>IF(COUNTA(A512:O512)=0,"",IF(AND(Q512="OK",R512="OK",LEFT(S512,4)&lt;&gt;"ERRO",LEFT(T512,4)&lt;&gt;"ERRO",U512="OK"),"OK","REVISAR"))</f>
      </c>
    </row>
    <row r="513">
      <c r="A513" s="4"/>
      <c r="B513" s="5"/>
      <c r="C513" s="5"/>
      <c r="D513" s="5"/>
      <c r="E513" s="5"/>
      <c r="F513" s="4"/>
      <c r="G513" s="4"/>
      <c r="H513" s="5"/>
      <c r="I513" s="4"/>
      <c r="J513" s="4"/>
      <c r="K513" s="4"/>
      <c r="L513" s="4"/>
      <c r="M513" s="4"/>
      <c r="N513" s="4"/>
      <c r="O513" s="4"/>
      <c r="P513" s="6">
        <f>IF(D513="","",SUBSTITUTE(SUBSTITUTE(SUBSTITUTE(SUBSTITUTE(SUBSTITUTE(SUBSTITUTE(SUBSTITUTE(TRIM(D513),".",""),"/",""),"-","")," ",""),"(",""),")",""),"+",""))</f>
      </c>
      <c r="Q513" s="6">
        <f>IF(P513="","",IF(LEN(P513)&lt;&gt;14,"ERRO: "&amp;LEN(P513)&amp;" dígitos",IF(NOT(ISNUMBER(VALUE(P513))),"ERRO: não numérico",IF(LEN(SUBSTITUTE(P513,LEFT(P513,1),""))=0,"ERRO: dígitos repetidos",IF(AND(VALUE(MID(P513,13,1))=IF(MOD(SUMPRODUCT(--MID(P513,{1,2,3,4,5,6,7,8,9,10,11,12},1),{5,4,3,2,9,8,7,6,5,4,3,2}),11)&lt;2,0,11-MOD(SUMPRODUCT(--MID(P513,{1,2,3,4,5,6,7,8,9,10,11,12},1),{5,4,3,2,9,8,7,6,5,4,3,2}),11)),VALUE(MID(P513,14,1))=IF(MOD(SUMPRODUCT(--MID(P513,{1,2,3,4,5,6,7,8,9,10,11,12,13},1),{6,5,4,3,2,9,8,7,6,5,4,3,2}),11)&lt;2,0,11-MOD(SUMPRODUCT(--MID(P513,{1,2,3,4,5,6,7,8,9,10,11,12,13},1),{6,5,4,3,2,9,8,7,6,5,4,3,2}),11))),"OK","ERRO: dígito verificador")))))</f>
      </c>
      <c r="R513" s="6">
        <f>IF(P513="","",IF(COUNTIF($P$2:$P$1001,P513)&gt;1,"DUPLICADO","OK"))</f>
      </c>
      <c r="S513" s="6">
        <f>IF(AND(J513="",K513=""),"vazio",IF(AND(OR(J513="",LEN(SUBSTITUTE(SUBSTITUTE(SUBSTITUTE(SUBSTITUTE(SUBSTITUTE(SUBSTITUTE(SUBSTITUTE(TRIM(J513),".",""),"/",""),"-","")," ",""),"(",""),")",""),"+",""))=10,LEN(SUBSTITUTE(SUBSTITUTE(SUBSTITUTE(SUBSTITUTE(SUBSTITUTE(SUBSTITUTE(SUBSTITUTE(TRIM(J513),".",""),"/",""),"-","")," ",""),"(",""),")",""),"+",""))=11),OR(K513="",LEN(SUBSTITUTE(SUBSTITUTE(SUBSTITUTE(SUBSTITUTE(SUBSTITUTE(SUBSTITUTE(SUBSTITUTE(TRIM(K513),".",""),"/",""),"-","")," ",""),"(",""),")",""),"+",""))=10,LEN(SUBSTITUTE(SUBSTITUTE(SUBSTITUTE(SUBSTITUTE(SUBSTITUTE(SUBSTITUTE(SUBSTITUTE(TRIM(K513),".",""),"/",""),"-","")," ",""),"(",""),")",""),"+",""))=11)),"OK","ERRO: use DDD + número (10 ou 11 dígitos)"))</f>
      </c>
      <c r="T513" s="6">
        <f>IF(L513="","vazio",IF(AND(ISNUMBER(FIND("@",L513)),ISNUMBER(FIND(".",MID(L513,FIND("@",L513),99))),NOT(ISNUMBER(FIND(" ",TRIM(L513)))),NOT(ISNUMBER(FIND(";",L513))),NOT(ISNUMBER(FIND(",",L513)))),"OK","ERRO: um e-mail válido por linha"))</f>
      </c>
      <c r="U513" s="6">
        <f>IF(COUNTA(A513:O513)=0,"",IF(AND(B513&lt;&gt;"",C513&lt;&gt;"",D513&lt;&gt;"",E513&lt;&gt;"",H513&lt;&gt;"",OR(J513&lt;&gt;"",L513&lt;&gt;"")),"OK","ERRO: faltam "&amp;IF(B513="","Proprietário; ","")&amp;IF(C513="","Origem; ","")&amp;IF(D513="","CNPJ; ","")&amp;IF(E513="","Razão Social; ","")&amp;IF(H513="","Sobrenome; ","")&amp;IF(AND(J513="",L513=""),"telefone ou e-mail; ","")))</f>
      </c>
      <c r="V513" s="6">
        <f>IF(COUNTA(A513:O513)=0,"",IF(AND(Q513="OK",R513="OK",LEFT(S513,4)&lt;&gt;"ERRO",LEFT(T513,4)&lt;&gt;"ERRO",U513="OK"),"OK","REVISAR"))</f>
      </c>
    </row>
    <row r="514">
      <c r="A514" s="4"/>
      <c r="B514" s="5"/>
      <c r="C514" s="5"/>
      <c r="D514" s="5"/>
      <c r="E514" s="5"/>
      <c r="F514" s="4"/>
      <c r="G514" s="4"/>
      <c r="H514" s="5"/>
      <c r="I514" s="4"/>
      <c r="J514" s="4"/>
      <c r="K514" s="4"/>
      <c r="L514" s="4"/>
      <c r="M514" s="4"/>
      <c r="N514" s="4"/>
      <c r="O514" s="4"/>
      <c r="P514" s="6">
        <f>IF(D514="","",SUBSTITUTE(SUBSTITUTE(SUBSTITUTE(SUBSTITUTE(SUBSTITUTE(SUBSTITUTE(SUBSTITUTE(TRIM(D514),".",""),"/",""),"-","")," ",""),"(",""),")",""),"+",""))</f>
      </c>
      <c r="Q514" s="6">
        <f>IF(P514="","",IF(LEN(P514)&lt;&gt;14,"ERRO: "&amp;LEN(P514)&amp;" dígitos",IF(NOT(ISNUMBER(VALUE(P514))),"ERRO: não numérico",IF(LEN(SUBSTITUTE(P514,LEFT(P514,1),""))=0,"ERRO: dígitos repetidos",IF(AND(VALUE(MID(P514,13,1))=IF(MOD(SUMPRODUCT(--MID(P514,{1,2,3,4,5,6,7,8,9,10,11,12},1),{5,4,3,2,9,8,7,6,5,4,3,2}),11)&lt;2,0,11-MOD(SUMPRODUCT(--MID(P514,{1,2,3,4,5,6,7,8,9,10,11,12},1),{5,4,3,2,9,8,7,6,5,4,3,2}),11)),VALUE(MID(P514,14,1))=IF(MOD(SUMPRODUCT(--MID(P514,{1,2,3,4,5,6,7,8,9,10,11,12,13},1),{6,5,4,3,2,9,8,7,6,5,4,3,2}),11)&lt;2,0,11-MOD(SUMPRODUCT(--MID(P514,{1,2,3,4,5,6,7,8,9,10,11,12,13},1),{6,5,4,3,2,9,8,7,6,5,4,3,2}),11))),"OK","ERRO: dígito verificador")))))</f>
      </c>
      <c r="R514" s="6">
        <f>IF(P514="","",IF(COUNTIF($P$2:$P$1001,P514)&gt;1,"DUPLICADO","OK"))</f>
      </c>
      <c r="S514" s="6">
        <f>IF(AND(J514="",K514=""),"vazio",IF(AND(OR(J514="",LEN(SUBSTITUTE(SUBSTITUTE(SUBSTITUTE(SUBSTITUTE(SUBSTITUTE(SUBSTITUTE(SUBSTITUTE(TRIM(J514),".",""),"/",""),"-","")," ",""),"(",""),")",""),"+",""))=10,LEN(SUBSTITUTE(SUBSTITUTE(SUBSTITUTE(SUBSTITUTE(SUBSTITUTE(SUBSTITUTE(SUBSTITUTE(TRIM(J514),".",""),"/",""),"-","")," ",""),"(",""),")",""),"+",""))=11),OR(K514="",LEN(SUBSTITUTE(SUBSTITUTE(SUBSTITUTE(SUBSTITUTE(SUBSTITUTE(SUBSTITUTE(SUBSTITUTE(TRIM(K514),".",""),"/",""),"-","")," ",""),"(",""),")",""),"+",""))=10,LEN(SUBSTITUTE(SUBSTITUTE(SUBSTITUTE(SUBSTITUTE(SUBSTITUTE(SUBSTITUTE(SUBSTITUTE(TRIM(K514),".",""),"/",""),"-","")," ",""),"(",""),")",""),"+",""))=11)),"OK","ERRO: use DDD + número (10 ou 11 dígitos)"))</f>
      </c>
      <c r="T514" s="6">
        <f>IF(L514="","vazio",IF(AND(ISNUMBER(FIND("@",L514)),ISNUMBER(FIND(".",MID(L514,FIND("@",L514),99))),NOT(ISNUMBER(FIND(" ",TRIM(L514)))),NOT(ISNUMBER(FIND(";",L514))),NOT(ISNUMBER(FIND(",",L514)))),"OK","ERRO: um e-mail válido por linha"))</f>
      </c>
      <c r="U514" s="6">
        <f>IF(COUNTA(A514:O514)=0,"",IF(AND(B514&lt;&gt;"",C514&lt;&gt;"",D514&lt;&gt;"",E514&lt;&gt;"",H514&lt;&gt;"",OR(J514&lt;&gt;"",L514&lt;&gt;"")),"OK","ERRO: faltam "&amp;IF(B514="","Proprietário; ","")&amp;IF(C514="","Origem; ","")&amp;IF(D514="","CNPJ; ","")&amp;IF(E514="","Razão Social; ","")&amp;IF(H514="","Sobrenome; ","")&amp;IF(AND(J514="",L514=""),"telefone ou e-mail; ","")))</f>
      </c>
      <c r="V514" s="6">
        <f>IF(COUNTA(A514:O514)=0,"",IF(AND(Q514="OK",R514="OK",LEFT(S514,4)&lt;&gt;"ERRO",LEFT(T514,4)&lt;&gt;"ERRO",U514="OK"),"OK","REVISAR"))</f>
      </c>
    </row>
    <row r="515">
      <c r="A515" s="4"/>
      <c r="B515" s="5"/>
      <c r="C515" s="5"/>
      <c r="D515" s="5"/>
      <c r="E515" s="5"/>
      <c r="F515" s="4"/>
      <c r="G515" s="4"/>
      <c r="H515" s="5"/>
      <c r="I515" s="4"/>
      <c r="J515" s="4"/>
      <c r="K515" s="4"/>
      <c r="L515" s="4"/>
      <c r="M515" s="4"/>
      <c r="N515" s="4"/>
      <c r="O515" s="4"/>
      <c r="P515" s="6">
        <f>IF(D515="","",SUBSTITUTE(SUBSTITUTE(SUBSTITUTE(SUBSTITUTE(SUBSTITUTE(SUBSTITUTE(SUBSTITUTE(TRIM(D515),".",""),"/",""),"-","")," ",""),"(",""),")",""),"+",""))</f>
      </c>
      <c r="Q515" s="6">
        <f>IF(P515="","",IF(LEN(P515)&lt;&gt;14,"ERRO: "&amp;LEN(P515)&amp;" dígitos",IF(NOT(ISNUMBER(VALUE(P515))),"ERRO: não numérico",IF(LEN(SUBSTITUTE(P515,LEFT(P515,1),""))=0,"ERRO: dígitos repetidos",IF(AND(VALUE(MID(P515,13,1))=IF(MOD(SUMPRODUCT(--MID(P515,{1,2,3,4,5,6,7,8,9,10,11,12},1),{5,4,3,2,9,8,7,6,5,4,3,2}),11)&lt;2,0,11-MOD(SUMPRODUCT(--MID(P515,{1,2,3,4,5,6,7,8,9,10,11,12},1),{5,4,3,2,9,8,7,6,5,4,3,2}),11)),VALUE(MID(P515,14,1))=IF(MOD(SUMPRODUCT(--MID(P515,{1,2,3,4,5,6,7,8,9,10,11,12,13},1),{6,5,4,3,2,9,8,7,6,5,4,3,2}),11)&lt;2,0,11-MOD(SUMPRODUCT(--MID(P515,{1,2,3,4,5,6,7,8,9,10,11,12,13},1),{6,5,4,3,2,9,8,7,6,5,4,3,2}),11))),"OK","ERRO: dígito verificador")))))</f>
      </c>
      <c r="R515" s="6">
        <f>IF(P515="","",IF(COUNTIF($P$2:$P$1001,P515)&gt;1,"DUPLICADO","OK"))</f>
      </c>
      <c r="S515" s="6">
        <f>IF(AND(J515="",K515=""),"vazio",IF(AND(OR(J515="",LEN(SUBSTITUTE(SUBSTITUTE(SUBSTITUTE(SUBSTITUTE(SUBSTITUTE(SUBSTITUTE(SUBSTITUTE(TRIM(J515),".",""),"/",""),"-","")," ",""),"(",""),")",""),"+",""))=10,LEN(SUBSTITUTE(SUBSTITUTE(SUBSTITUTE(SUBSTITUTE(SUBSTITUTE(SUBSTITUTE(SUBSTITUTE(TRIM(J515),".",""),"/",""),"-","")," ",""),"(",""),")",""),"+",""))=11),OR(K515="",LEN(SUBSTITUTE(SUBSTITUTE(SUBSTITUTE(SUBSTITUTE(SUBSTITUTE(SUBSTITUTE(SUBSTITUTE(TRIM(K515),".",""),"/",""),"-","")," ",""),"(",""),")",""),"+",""))=10,LEN(SUBSTITUTE(SUBSTITUTE(SUBSTITUTE(SUBSTITUTE(SUBSTITUTE(SUBSTITUTE(SUBSTITUTE(TRIM(K515),".",""),"/",""),"-","")," ",""),"(",""),")",""),"+",""))=11)),"OK","ERRO: use DDD + número (10 ou 11 dígitos)"))</f>
      </c>
      <c r="T515" s="6">
        <f>IF(L515="","vazio",IF(AND(ISNUMBER(FIND("@",L515)),ISNUMBER(FIND(".",MID(L515,FIND("@",L515),99))),NOT(ISNUMBER(FIND(" ",TRIM(L515)))),NOT(ISNUMBER(FIND(";",L515))),NOT(ISNUMBER(FIND(",",L515)))),"OK","ERRO: um e-mail válido por linha"))</f>
      </c>
      <c r="U515" s="6">
        <f>IF(COUNTA(A515:O515)=0,"",IF(AND(B515&lt;&gt;"",C515&lt;&gt;"",D515&lt;&gt;"",E515&lt;&gt;"",H515&lt;&gt;"",OR(J515&lt;&gt;"",L515&lt;&gt;"")),"OK","ERRO: faltam "&amp;IF(B515="","Proprietário; ","")&amp;IF(C515="","Origem; ","")&amp;IF(D515="","CNPJ; ","")&amp;IF(E515="","Razão Social; ","")&amp;IF(H515="","Sobrenome; ","")&amp;IF(AND(J515="",L515=""),"telefone ou e-mail; ","")))</f>
      </c>
      <c r="V515" s="6">
        <f>IF(COUNTA(A515:O515)=0,"",IF(AND(Q515="OK",R515="OK",LEFT(S515,4)&lt;&gt;"ERRO",LEFT(T515,4)&lt;&gt;"ERRO",U515="OK"),"OK","REVISAR"))</f>
      </c>
    </row>
    <row r="516">
      <c r="A516" s="4"/>
      <c r="B516" s="5"/>
      <c r="C516" s="5"/>
      <c r="D516" s="5"/>
      <c r="E516" s="5"/>
      <c r="F516" s="4"/>
      <c r="G516" s="4"/>
      <c r="H516" s="5"/>
      <c r="I516" s="4"/>
      <c r="J516" s="4"/>
      <c r="K516" s="4"/>
      <c r="L516" s="4"/>
      <c r="M516" s="4"/>
      <c r="N516" s="4"/>
      <c r="O516" s="4"/>
      <c r="P516" s="6">
        <f>IF(D516="","",SUBSTITUTE(SUBSTITUTE(SUBSTITUTE(SUBSTITUTE(SUBSTITUTE(SUBSTITUTE(SUBSTITUTE(TRIM(D516),".",""),"/",""),"-","")," ",""),"(",""),")",""),"+",""))</f>
      </c>
      <c r="Q516" s="6">
        <f>IF(P516="","",IF(LEN(P516)&lt;&gt;14,"ERRO: "&amp;LEN(P516)&amp;" dígitos",IF(NOT(ISNUMBER(VALUE(P516))),"ERRO: não numérico",IF(LEN(SUBSTITUTE(P516,LEFT(P516,1),""))=0,"ERRO: dígitos repetidos",IF(AND(VALUE(MID(P516,13,1))=IF(MOD(SUMPRODUCT(--MID(P516,{1,2,3,4,5,6,7,8,9,10,11,12},1),{5,4,3,2,9,8,7,6,5,4,3,2}),11)&lt;2,0,11-MOD(SUMPRODUCT(--MID(P516,{1,2,3,4,5,6,7,8,9,10,11,12},1),{5,4,3,2,9,8,7,6,5,4,3,2}),11)),VALUE(MID(P516,14,1))=IF(MOD(SUMPRODUCT(--MID(P516,{1,2,3,4,5,6,7,8,9,10,11,12,13},1),{6,5,4,3,2,9,8,7,6,5,4,3,2}),11)&lt;2,0,11-MOD(SUMPRODUCT(--MID(P516,{1,2,3,4,5,6,7,8,9,10,11,12,13},1),{6,5,4,3,2,9,8,7,6,5,4,3,2}),11))),"OK","ERRO: dígito verificador")))))</f>
      </c>
      <c r="R516" s="6">
        <f>IF(P516="","",IF(COUNTIF($P$2:$P$1001,P516)&gt;1,"DUPLICADO","OK"))</f>
      </c>
      <c r="S516" s="6">
        <f>IF(AND(J516="",K516=""),"vazio",IF(AND(OR(J516="",LEN(SUBSTITUTE(SUBSTITUTE(SUBSTITUTE(SUBSTITUTE(SUBSTITUTE(SUBSTITUTE(SUBSTITUTE(TRIM(J516),".",""),"/",""),"-","")," ",""),"(",""),")",""),"+",""))=10,LEN(SUBSTITUTE(SUBSTITUTE(SUBSTITUTE(SUBSTITUTE(SUBSTITUTE(SUBSTITUTE(SUBSTITUTE(TRIM(J516),".",""),"/",""),"-","")," ",""),"(",""),")",""),"+",""))=11),OR(K516="",LEN(SUBSTITUTE(SUBSTITUTE(SUBSTITUTE(SUBSTITUTE(SUBSTITUTE(SUBSTITUTE(SUBSTITUTE(TRIM(K516),".",""),"/",""),"-","")," ",""),"(",""),")",""),"+",""))=10,LEN(SUBSTITUTE(SUBSTITUTE(SUBSTITUTE(SUBSTITUTE(SUBSTITUTE(SUBSTITUTE(SUBSTITUTE(TRIM(K516),".",""),"/",""),"-","")," ",""),"(",""),")",""),"+",""))=11)),"OK","ERRO: use DDD + número (10 ou 11 dígitos)"))</f>
      </c>
      <c r="T516" s="6">
        <f>IF(L516="","vazio",IF(AND(ISNUMBER(FIND("@",L516)),ISNUMBER(FIND(".",MID(L516,FIND("@",L516),99))),NOT(ISNUMBER(FIND(" ",TRIM(L516)))),NOT(ISNUMBER(FIND(";",L516))),NOT(ISNUMBER(FIND(",",L516)))),"OK","ERRO: um e-mail válido por linha"))</f>
      </c>
      <c r="U516" s="6">
        <f>IF(COUNTA(A516:O516)=0,"",IF(AND(B516&lt;&gt;"",C516&lt;&gt;"",D516&lt;&gt;"",E516&lt;&gt;"",H516&lt;&gt;"",OR(J516&lt;&gt;"",L516&lt;&gt;"")),"OK","ERRO: faltam "&amp;IF(B516="","Proprietário; ","")&amp;IF(C516="","Origem; ","")&amp;IF(D516="","CNPJ; ","")&amp;IF(E516="","Razão Social; ","")&amp;IF(H516="","Sobrenome; ","")&amp;IF(AND(J516="",L516=""),"telefone ou e-mail; ","")))</f>
      </c>
      <c r="V516" s="6">
        <f>IF(COUNTA(A516:O516)=0,"",IF(AND(Q516="OK",R516="OK",LEFT(S516,4)&lt;&gt;"ERRO",LEFT(T516,4)&lt;&gt;"ERRO",U516="OK"),"OK","REVISAR"))</f>
      </c>
    </row>
    <row r="517">
      <c r="A517" s="4"/>
      <c r="B517" s="5"/>
      <c r="C517" s="5"/>
      <c r="D517" s="5"/>
      <c r="E517" s="5"/>
      <c r="F517" s="4"/>
      <c r="G517" s="4"/>
      <c r="H517" s="5"/>
      <c r="I517" s="4"/>
      <c r="J517" s="4"/>
      <c r="K517" s="4"/>
      <c r="L517" s="4"/>
      <c r="M517" s="4"/>
      <c r="N517" s="4"/>
      <c r="O517" s="4"/>
      <c r="P517" s="6">
        <f>IF(D517="","",SUBSTITUTE(SUBSTITUTE(SUBSTITUTE(SUBSTITUTE(SUBSTITUTE(SUBSTITUTE(SUBSTITUTE(TRIM(D517),".",""),"/",""),"-","")," ",""),"(",""),")",""),"+",""))</f>
      </c>
      <c r="Q517" s="6">
        <f>IF(P517="","",IF(LEN(P517)&lt;&gt;14,"ERRO: "&amp;LEN(P517)&amp;" dígitos",IF(NOT(ISNUMBER(VALUE(P517))),"ERRO: não numérico",IF(LEN(SUBSTITUTE(P517,LEFT(P517,1),""))=0,"ERRO: dígitos repetidos",IF(AND(VALUE(MID(P517,13,1))=IF(MOD(SUMPRODUCT(--MID(P517,{1,2,3,4,5,6,7,8,9,10,11,12},1),{5,4,3,2,9,8,7,6,5,4,3,2}),11)&lt;2,0,11-MOD(SUMPRODUCT(--MID(P517,{1,2,3,4,5,6,7,8,9,10,11,12},1),{5,4,3,2,9,8,7,6,5,4,3,2}),11)),VALUE(MID(P517,14,1))=IF(MOD(SUMPRODUCT(--MID(P517,{1,2,3,4,5,6,7,8,9,10,11,12,13},1),{6,5,4,3,2,9,8,7,6,5,4,3,2}),11)&lt;2,0,11-MOD(SUMPRODUCT(--MID(P517,{1,2,3,4,5,6,7,8,9,10,11,12,13},1),{6,5,4,3,2,9,8,7,6,5,4,3,2}),11))),"OK","ERRO: dígito verificador")))))</f>
      </c>
      <c r="R517" s="6">
        <f>IF(P517="","",IF(COUNTIF($P$2:$P$1001,P517)&gt;1,"DUPLICADO","OK"))</f>
      </c>
      <c r="S517" s="6">
        <f>IF(AND(J517="",K517=""),"vazio",IF(AND(OR(J517="",LEN(SUBSTITUTE(SUBSTITUTE(SUBSTITUTE(SUBSTITUTE(SUBSTITUTE(SUBSTITUTE(SUBSTITUTE(TRIM(J517),".",""),"/",""),"-","")," ",""),"(",""),")",""),"+",""))=10,LEN(SUBSTITUTE(SUBSTITUTE(SUBSTITUTE(SUBSTITUTE(SUBSTITUTE(SUBSTITUTE(SUBSTITUTE(TRIM(J517),".",""),"/",""),"-","")," ",""),"(",""),")",""),"+",""))=11),OR(K517="",LEN(SUBSTITUTE(SUBSTITUTE(SUBSTITUTE(SUBSTITUTE(SUBSTITUTE(SUBSTITUTE(SUBSTITUTE(TRIM(K517),".",""),"/",""),"-","")," ",""),"(",""),")",""),"+",""))=10,LEN(SUBSTITUTE(SUBSTITUTE(SUBSTITUTE(SUBSTITUTE(SUBSTITUTE(SUBSTITUTE(SUBSTITUTE(TRIM(K517),".",""),"/",""),"-","")," ",""),"(",""),")",""),"+",""))=11)),"OK","ERRO: use DDD + número (10 ou 11 dígitos)"))</f>
      </c>
      <c r="T517" s="6">
        <f>IF(L517="","vazio",IF(AND(ISNUMBER(FIND("@",L517)),ISNUMBER(FIND(".",MID(L517,FIND("@",L517),99))),NOT(ISNUMBER(FIND(" ",TRIM(L517)))),NOT(ISNUMBER(FIND(";",L517))),NOT(ISNUMBER(FIND(",",L517)))),"OK","ERRO: um e-mail válido por linha"))</f>
      </c>
      <c r="U517" s="6">
        <f>IF(COUNTA(A517:O517)=0,"",IF(AND(B517&lt;&gt;"",C517&lt;&gt;"",D517&lt;&gt;"",E517&lt;&gt;"",H517&lt;&gt;"",OR(J517&lt;&gt;"",L517&lt;&gt;"")),"OK","ERRO: faltam "&amp;IF(B517="","Proprietário; ","")&amp;IF(C517="","Origem; ","")&amp;IF(D517="","CNPJ; ","")&amp;IF(E517="","Razão Social; ","")&amp;IF(H517="","Sobrenome; ","")&amp;IF(AND(J517="",L517=""),"telefone ou e-mail; ","")))</f>
      </c>
      <c r="V517" s="6">
        <f>IF(COUNTA(A517:O517)=0,"",IF(AND(Q517="OK",R517="OK",LEFT(S517,4)&lt;&gt;"ERRO",LEFT(T517,4)&lt;&gt;"ERRO",U517="OK"),"OK","REVISAR"))</f>
      </c>
    </row>
    <row r="518">
      <c r="A518" s="4"/>
      <c r="B518" s="5"/>
      <c r="C518" s="5"/>
      <c r="D518" s="5"/>
      <c r="E518" s="5"/>
      <c r="F518" s="4"/>
      <c r="G518" s="4"/>
      <c r="H518" s="5"/>
      <c r="I518" s="4"/>
      <c r="J518" s="4"/>
      <c r="K518" s="4"/>
      <c r="L518" s="4"/>
      <c r="M518" s="4"/>
      <c r="N518" s="4"/>
      <c r="O518" s="4"/>
      <c r="P518" s="6">
        <f>IF(D518="","",SUBSTITUTE(SUBSTITUTE(SUBSTITUTE(SUBSTITUTE(SUBSTITUTE(SUBSTITUTE(SUBSTITUTE(TRIM(D518),".",""),"/",""),"-","")," ",""),"(",""),")",""),"+",""))</f>
      </c>
      <c r="Q518" s="6">
        <f>IF(P518="","",IF(LEN(P518)&lt;&gt;14,"ERRO: "&amp;LEN(P518)&amp;" dígitos",IF(NOT(ISNUMBER(VALUE(P518))),"ERRO: não numérico",IF(LEN(SUBSTITUTE(P518,LEFT(P518,1),""))=0,"ERRO: dígitos repetidos",IF(AND(VALUE(MID(P518,13,1))=IF(MOD(SUMPRODUCT(--MID(P518,{1,2,3,4,5,6,7,8,9,10,11,12},1),{5,4,3,2,9,8,7,6,5,4,3,2}),11)&lt;2,0,11-MOD(SUMPRODUCT(--MID(P518,{1,2,3,4,5,6,7,8,9,10,11,12},1),{5,4,3,2,9,8,7,6,5,4,3,2}),11)),VALUE(MID(P518,14,1))=IF(MOD(SUMPRODUCT(--MID(P518,{1,2,3,4,5,6,7,8,9,10,11,12,13},1),{6,5,4,3,2,9,8,7,6,5,4,3,2}),11)&lt;2,0,11-MOD(SUMPRODUCT(--MID(P518,{1,2,3,4,5,6,7,8,9,10,11,12,13},1),{6,5,4,3,2,9,8,7,6,5,4,3,2}),11))),"OK","ERRO: dígito verificador")))))</f>
      </c>
      <c r="R518" s="6">
        <f>IF(P518="","",IF(COUNTIF($P$2:$P$1001,P518)&gt;1,"DUPLICADO","OK"))</f>
      </c>
      <c r="S518" s="6">
        <f>IF(AND(J518="",K518=""),"vazio",IF(AND(OR(J518="",LEN(SUBSTITUTE(SUBSTITUTE(SUBSTITUTE(SUBSTITUTE(SUBSTITUTE(SUBSTITUTE(SUBSTITUTE(TRIM(J518),".",""),"/",""),"-","")," ",""),"(",""),")",""),"+",""))=10,LEN(SUBSTITUTE(SUBSTITUTE(SUBSTITUTE(SUBSTITUTE(SUBSTITUTE(SUBSTITUTE(SUBSTITUTE(TRIM(J518),".",""),"/",""),"-","")," ",""),"(",""),")",""),"+",""))=11),OR(K518="",LEN(SUBSTITUTE(SUBSTITUTE(SUBSTITUTE(SUBSTITUTE(SUBSTITUTE(SUBSTITUTE(SUBSTITUTE(TRIM(K518),".",""),"/",""),"-","")," ",""),"(",""),")",""),"+",""))=10,LEN(SUBSTITUTE(SUBSTITUTE(SUBSTITUTE(SUBSTITUTE(SUBSTITUTE(SUBSTITUTE(SUBSTITUTE(TRIM(K518),".",""),"/",""),"-","")," ",""),"(",""),")",""),"+",""))=11)),"OK","ERRO: use DDD + número (10 ou 11 dígitos)"))</f>
      </c>
      <c r="T518" s="6">
        <f>IF(L518="","vazio",IF(AND(ISNUMBER(FIND("@",L518)),ISNUMBER(FIND(".",MID(L518,FIND("@",L518),99))),NOT(ISNUMBER(FIND(" ",TRIM(L518)))),NOT(ISNUMBER(FIND(";",L518))),NOT(ISNUMBER(FIND(",",L518)))),"OK","ERRO: um e-mail válido por linha"))</f>
      </c>
      <c r="U518" s="6">
        <f>IF(COUNTA(A518:O518)=0,"",IF(AND(B518&lt;&gt;"",C518&lt;&gt;"",D518&lt;&gt;"",E518&lt;&gt;"",H518&lt;&gt;"",OR(J518&lt;&gt;"",L518&lt;&gt;"")),"OK","ERRO: faltam "&amp;IF(B518="","Proprietário; ","")&amp;IF(C518="","Origem; ","")&amp;IF(D518="","CNPJ; ","")&amp;IF(E518="","Razão Social; ","")&amp;IF(H518="","Sobrenome; ","")&amp;IF(AND(J518="",L518=""),"telefone ou e-mail; ","")))</f>
      </c>
      <c r="V518" s="6">
        <f>IF(COUNTA(A518:O518)=0,"",IF(AND(Q518="OK",R518="OK",LEFT(S518,4)&lt;&gt;"ERRO",LEFT(T518,4)&lt;&gt;"ERRO",U518="OK"),"OK","REVISAR"))</f>
      </c>
    </row>
    <row r="519">
      <c r="A519" s="4"/>
      <c r="B519" s="5"/>
      <c r="C519" s="5"/>
      <c r="D519" s="5"/>
      <c r="E519" s="5"/>
      <c r="F519" s="4"/>
      <c r="G519" s="4"/>
      <c r="H519" s="5"/>
      <c r="I519" s="4"/>
      <c r="J519" s="4"/>
      <c r="K519" s="4"/>
      <c r="L519" s="4"/>
      <c r="M519" s="4"/>
      <c r="N519" s="4"/>
      <c r="O519" s="4"/>
      <c r="P519" s="6">
        <f>IF(D519="","",SUBSTITUTE(SUBSTITUTE(SUBSTITUTE(SUBSTITUTE(SUBSTITUTE(SUBSTITUTE(SUBSTITUTE(TRIM(D519),".",""),"/",""),"-","")," ",""),"(",""),")",""),"+",""))</f>
      </c>
      <c r="Q519" s="6">
        <f>IF(P519="","",IF(LEN(P519)&lt;&gt;14,"ERRO: "&amp;LEN(P519)&amp;" dígitos",IF(NOT(ISNUMBER(VALUE(P519))),"ERRO: não numérico",IF(LEN(SUBSTITUTE(P519,LEFT(P519,1),""))=0,"ERRO: dígitos repetidos",IF(AND(VALUE(MID(P519,13,1))=IF(MOD(SUMPRODUCT(--MID(P519,{1,2,3,4,5,6,7,8,9,10,11,12},1),{5,4,3,2,9,8,7,6,5,4,3,2}),11)&lt;2,0,11-MOD(SUMPRODUCT(--MID(P519,{1,2,3,4,5,6,7,8,9,10,11,12},1),{5,4,3,2,9,8,7,6,5,4,3,2}),11)),VALUE(MID(P519,14,1))=IF(MOD(SUMPRODUCT(--MID(P519,{1,2,3,4,5,6,7,8,9,10,11,12,13},1),{6,5,4,3,2,9,8,7,6,5,4,3,2}),11)&lt;2,0,11-MOD(SUMPRODUCT(--MID(P519,{1,2,3,4,5,6,7,8,9,10,11,12,13},1),{6,5,4,3,2,9,8,7,6,5,4,3,2}),11))),"OK","ERRO: dígito verificador")))))</f>
      </c>
      <c r="R519" s="6">
        <f>IF(P519="","",IF(COUNTIF($P$2:$P$1001,P519)&gt;1,"DUPLICADO","OK"))</f>
      </c>
      <c r="S519" s="6">
        <f>IF(AND(J519="",K519=""),"vazio",IF(AND(OR(J519="",LEN(SUBSTITUTE(SUBSTITUTE(SUBSTITUTE(SUBSTITUTE(SUBSTITUTE(SUBSTITUTE(SUBSTITUTE(TRIM(J519),".",""),"/",""),"-","")," ",""),"(",""),")",""),"+",""))=10,LEN(SUBSTITUTE(SUBSTITUTE(SUBSTITUTE(SUBSTITUTE(SUBSTITUTE(SUBSTITUTE(SUBSTITUTE(TRIM(J519),".",""),"/",""),"-","")," ",""),"(",""),")",""),"+",""))=11),OR(K519="",LEN(SUBSTITUTE(SUBSTITUTE(SUBSTITUTE(SUBSTITUTE(SUBSTITUTE(SUBSTITUTE(SUBSTITUTE(TRIM(K519),".",""),"/",""),"-","")," ",""),"(",""),")",""),"+",""))=10,LEN(SUBSTITUTE(SUBSTITUTE(SUBSTITUTE(SUBSTITUTE(SUBSTITUTE(SUBSTITUTE(SUBSTITUTE(TRIM(K519),".",""),"/",""),"-","")," ",""),"(",""),")",""),"+",""))=11)),"OK","ERRO: use DDD + número (10 ou 11 dígitos)"))</f>
      </c>
      <c r="T519" s="6">
        <f>IF(L519="","vazio",IF(AND(ISNUMBER(FIND("@",L519)),ISNUMBER(FIND(".",MID(L519,FIND("@",L519),99))),NOT(ISNUMBER(FIND(" ",TRIM(L519)))),NOT(ISNUMBER(FIND(";",L519))),NOT(ISNUMBER(FIND(",",L519)))),"OK","ERRO: um e-mail válido por linha"))</f>
      </c>
      <c r="U519" s="6">
        <f>IF(COUNTA(A519:O519)=0,"",IF(AND(B519&lt;&gt;"",C519&lt;&gt;"",D519&lt;&gt;"",E519&lt;&gt;"",H519&lt;&gt;"",OR(J519&lt;&gt;"",L519&lt;&gt;"")),"OK","ERRO: faltam "&amp;IF(B519="","Proprietário; ","")&amp;IF(C519="","Origem; ","")&amp;IF(D519="","CNPJ; ","")&amp;IF(E519="","Razão Social; ","")&amp;IF(H519="","Sobrenome; ","")&amp;IF(AND(J519="",L519=""),"telefone ou e-mail; ","")))</f>
      </c>
      <c r="V519" s="6">
        <f>IF(COUNTA(A519:O519)=0,"",IF(AND(Q519="OK",R519="OK",LEFT(S519,4)&lt;&gt;"ERRO",LEFT(T519,4)&lt;&gt;"ERRO",U519="OK"),"OK","REVISAR"))</f>
      </c>
    </row>
    <row r="520">
      <c r="A520" s="4"/>
      <c r="B520" s="5"/>
      <c r="C520" s="5"/>
      <c r="D520" s="5"/>
      <c r="E520" s="5"/>
      <c r="F520" s="4"/>
      <c r="G520" s="4"/>
      <c r="H520" s="5"/>
      <c r="I520" s="4"/>
      <c r="J520" s="4"/>
      <c r="K520" s="4"/>
      <c r="L520" s="4"/>
      <c r="M520" s="4"/>
      <c r="N520" s="4"/>
      <c r="O520" s="4"/>
      <c r="P520" s="6">
        <f>IF(D520="","",SUBSTITUTE(SUBSTITUTE(SUBSTITUTE(SUBSTITUTE(SUBSTITUTE(SUBSTITUTE(SUBSTITUTE(TRIM(D520),".",""),"/",""),"-","")," ",""),"(",""),")",""),"+",""))</f>
      </c>
      <c r="Q520" s="6">
        <f>IF(P520="","",IF(LEN(P520)&lt;&gt;14,"ERRO: "&amp;LEN(P520)&amp;" dígitos",IF(NOT(ISNUMBER(VALUE(P520))),"ERRO: não numérico",IF(LEN(SUBSTITUTE(P520,LEFT(P520,1),""))=0,"ERRO: dígitos repetidos",IF(AND(VALUE(MID(P520,13,1))=IF(MOD(SUMPRODUCT(--MID(P520,{1,2,3,4,5,6,7,8,9,10,11,12},1),{5,4,3,2,9,8,7,6,5,4,3,2}),11)&lt;2,0,11-MOD(SUMPRODUCT(--MID(P520,{1,2,3,4,5,6,7,8,9,10,11,12},1),{5,4,3,2,9,8,7,6,5,4,3,2}),11)),VALUE(MID(P520,14,1))=IF(MOD(SUMPRODUCT(--MID(P520,{1,2,3,4,5,6,7,8,9,10,11,12,13},1),{6,5,4,3,2,9,8,7,6,5,4,3,2}),11)&lt;2,0,11-MOD(SUMPRODUCT(--MID(P520,{1,2,3,4,5,6,7,8,9,10,11,12,13},1),{6,5,4,3,2,9,8,7,6,5,4,3,2}),11))),"OK","ERRO: dígito verificador")))))</f>
      </c>
      <c r="R520" s="6">
        <f>IF(P520="","",IF(COUNTIF($P$2:$P$1001,P520)&gt;1,"DUPLICADO","OK"))</f>
      </c>
      <c r="S520" s="6">
        <f>IF(AND(J520="",K520=""),"vazio",IF(AND(OR(J520="",LEN(SUBSTITUTE(SUBSTITUTE(SUBSTITUTE(SUBSTITUTE(SUBSTITUTE(SUBSTITUTE(SUBSTITUTE(TRIM(J520),".",""),"/",""),"-","")," ",""),"(",""),")",""),"+",""))=10,LEN(SUBSTITUTE(SUBSTITUTE(SUBSTITUTE(SUBSTITUTE(SUBSTITUTE(SUBSTITUTE(SUBSTITUTE(TRIM(J520),".",""),"/",""),"-","")," ",""),"(",""),")",""),"+",""))=11),OR(K520="",LEN(SUBSTITUTE(SUBSTITUTE(SUBSTITUTE(SUBSTITUTE(SUBSTITUTE(SUBSTITUTE(SUBSTITUTE(TRIM(K520),".",""),"/",""),"-","")," ",""),"(",""),")",""),"+",""))=10,LEN(SUBSTITUTE(SUBSTITUTE(SUBSTITUTE(SUBSTITUTE(SUBSTITUTE(SUBSTITUTE(SUBSTITUTE(TRIM(K520),".",""),"/",""),"-","")," ",""),"(",""),")",""),"+",""))=11)),"OK","ERRO: use DDD + número (10 ou 11 dígitos)"))</f>
      </c>
      <c r="T520" s="6">
        <f>IF(L520="","vazio",IF(AND(ISNUMBER(FIND("@",L520)),ISNUMBER(FIND(".",MID(L520,FIND("@",L520),99))),NOT(ISNUMBER(FIND(" ",TRIM(L520)))),NOT(ISNUMBER(FIND(";",L520))),NOT(ISNUMBER(FIND(",",L520)))),"OK","ERRO: um e-mail válido por linha"))</f>
      </c>
      <c r="U520" s="6">
        <f>IF(COUNTA(A520:O520)=0,"",IF(AND(B520&lt;&gt;"",C520&lt;&gt;"",D520&lt;&gt;"",E520&lt;&gt;"",H520&lt;&gt;"",OR(J520&lt;&gt;"",L520&lt;&gt;"")),"OK","ERRO: faltam "&amp;IF(B520="","Proprietário; ","")&amp;IF(C520="","Origem; ","")&amp;IF(D520="","CNPJ; ","")&amp;IF(E520="","Razão Social; ","")&amp;IF(H520="","Sobrenome; ","")&amp;IF(AND(J520="",L520=""),"telefone ou e-mail; ","")))</f>
      </c>
      <c r="V520" s="6">
        <f>IF(COUNTA(A520:O520)=0,"",IF(AND(Q520="OK",R520="OK",LEFT(S520,4)&lt;&gt;"ERRO",LEFT(T520,4)&lt;&gt;"ERRO",U520="OK"),"OK","REVISAR"))</f>
      </c>
    </row>
    <row r="521">
      <c r="A521" s="4"/>
      <c r="B521" s="5"/>
      <c r="C521" s="5"/>
      <c r="D521" s="5"/>
      <c r="E521" s="5"/>
      <c r="F521" s="4"/>
      <c r="G521" s="4"/>
      <c r="H521" s="5"/>
      <c r="I521" s="4"/>
      <c r="J521" s="4"/>
      <c r="K521" s="4"/>
      <c r="L521" s="4"/>
      <c r="M521" s="4"/>
      <c r="N521" s="4"/>
      <c r="O521" s="4"/>
      <c r="P521" s="6">
        <f>IF(D521="","",SUBSTITUTE(SUBSTITUTE(SUBSTITUTE(SUBSTITUTE(SUBSTITUTE(SUBSTITUTE(SUBSTITUTE(TRIM(D521),".",""),"/",""),"-","")," ",""),"(",""),")",""),"+",""))</f>
      </c>
      <c r="Q521" s="6">
        <f>IF(P521="","",IF(LEN(P521)&lt;&gt;14,"ERRO: "&amp;LEN(P521)&amp;" dígitos",IF(NOT(ISNUMBER(VALUE(P521))),"ERRO: não numérico",IF(LEN(SUBSTITUTE(P521,LEFT(P521,1),""))=0,"ERRO: dígitos repetidos",IF(AND(VALUE(MID(P521,13,1))=IF(MOD(SUMPRODUCT(--MID(P521,{1,2,3,4,5,6,7,8,9,10,11,12},1),{5,4,3,2,9,8,7,6,5,4,3,2}),11)&lt;2,0,11-MOD(SUMPRODUCT(--MID(P521,{1,2,3,4,5,6,7,8,9,10,11,12},1),{5,4,3,2,9,8,7,6,5,4,3,2}),11)),VALUE(MID(P521,14,1))=IF(MOD(SUMPRODUCT(--MID(P521,{1,2,3,4,5,6,7,8,9,10,11,12,13},1),{6,5,4,3,2,9,8,7,6,5,4,3,2}),11)&lt;2,0,11-MOD(SUMPRODUCT(--MID(P521,{1,2,3,4,5,6,7,8,9,10,11,12,13},1),{6,5,4,3,2,9,8,7,6,5,4,3,2}),11))),"OK","ERRO: dígito verificador")))))</f>
      </c>
      <c r="R521" s="6">
        <f>IF(P521="","",IF(COUNTIF($P$2:$P$1001,P521)&gt;1,"DUPLICADO","OK"))</f>
      </c>
      <c r="S521" s="6">
        <f>IF(AND(J521="",K521=""),"vazio",IF(AND(OR(J521="",LEN(SUBSTITUTE(SUBSTITUTE(SUBSTITUTE(SUBSTITUTE(SUBSTITUTE(SUBSTITUTE(SUBSTITUTE(TRIM(J521),".",""),"/",""),"-","")," ",""),"(",""),")",""),"+",""))=10,LEN(SUBSTITUTE(SUBSTITUTE(SUBSTITUTE(SUBSTITUTE(SUBSTITUTE(SUBSTITUTE(SUBSTITUTE(TRIM(J521),".",""),"/",""),"-","")," ",""),"(",""),")",""),"+",""))=11),OR(K521="",LEN(SUBSTITUTE(SUBSTITUTE(SUBSTITUTE(SUBSTITUTE(SUBSTITUTE(SUBSTITUTE(SUBSTITUTE(TRIM(K521),".",""),"/",""),"-","")," ",""),"(",""),")",""),"+",""))=10,LEN(SUBSTITUTE(SUBSTITUTE(SUBSTITUTE(SUBSTITUTE(SUBSTITUTE(SUBSTITUTE(SUBSTITUTE(TRIM(K521),".",""),"/",""),"-","")," ",""),"(",""),")",""),"+",""))=11)),"OK","ERRO: use DDD + número (10 ou 11 dígitos)"))</f>
      </c>
      <c r="T521" s="6">
        <f>IF(L521="","vazio",IF(AND(ISNUMBER(FIND("@",L521)),ISNUMBER(FIND(".",MID(L521,FIND("@",L521),99))),NOT(ISNUMBER(FIND(" ",TRIM(L521)))),NOT(ISNUMBER(FIND(";",L521))),NOT(ISNUMBER(FIND(",",L521)))),"OK","ERRO: um e-mail válido por linha"))</f>
      </c>
      <c r="U521" s="6">
        <f>IF(COUNTA(A521:O521)=0,"",IF(AND(B521&lt;&gt;"",C521&lt;&gt;"",D521&lt;&gt;"",E521&lt;&gt;"",H521&lt;&gt;"",OR(J521&lt;&gt;"",L521&lt;&gt;"")),"OK","ERRO: faltam "&amp;IF(B521="","Proprietário; ","")&amp;IF(C521="","Origem; ","")&amp;IF(D521="","CNPJ; ","")&amp;IF(E521="","Razão Social; ","")&amp;IF(H521="","Sobrenome; ","")&amp;IF(AND(J521="",L521=""),"telefone ou e-mail; ","")))</f>
      </c>
      <c r="V521" s="6">
        <f>IF(COUNTA(A521:O521)=0,"",IF(AND(Q521="OK",R521="OK",LEFT(S521,4)&lt;&gt;"ERRO",LEFT(T521,4)&lt;&gt;"ERRO",U521="OK"),"OK","REVISAR"))</f>
      </c>
    </row>
    <row r="522">
      <c r="A522" s="4"/>
      <c r="B522" s="5"/>
      <c r="C522" s="5"/>
      <c r="D522" s="5"/>
      <c r="E522" s="5"/>
      <c r="F522" s="4"/>
      <c r="G522" s="4"/>
      <c r="H522" s="5"/>
      <c r="I522" s="4"/>
      <c r="J522" s="4"/>
      <c r="K522" s="4"/>
      <c r="L522" s="4"/>
      <c r="M522" s="4"/>
      <c r="N522" s="4"/>
      <c r="O522" s="4"/>
      <c r="P522" s="6">
        <f>IF(D522="","",SUBSTITUTE(SUBSTITUTE(SUBSTITUTE(SUBSTITUTE(SUBSTITUTE(SUBSTITUTE(SUBSTITUTE(TRIM(D522),".",""),"/",""),"-","")," ",""),"(",""),")",""),"+",""))</f>
      </c>
      <c r="Q522" s="6">
        <f>IF(P522="","",IF(LEN(P522)&lt;&gt;14,"ERRO: "&amp;LEN(P522)&amp;" dígitos",IF(NOT(ISNUMBER(VALUE(P522))),"ERRO: não numérico",IF(LEN(SUBSTITUTE(P522,LEFT(P522,1),""))=0,"ERRO: dígitos repetidos",IF(AND(VALUE(MID(P522,13,1))=IF(MOD(SUMPRODUCT(--MID(P522,{1,2,3,4,5,6,7,8,9,10,11,12},1),{5,4,3,2,9,8,7,6,5,4,3,2}),11)&lt;2,0,11-MOD(SUMPRODUCT(--MID(P522,{1,2,3,4,5,6,7,8,9,10,11,12},1),{5,4,3,2,9,8,7,6,5,4,3,2}),11)),VALUE(MID(P522,14,1))=IF(MOD(SUMPRODUCT(--MID(P522,{1,2,3,4,5,6,7,8,9,10,11,12,13},1),{6,5,4,3,2,9,8,7,6,5,4,3,2}),11)&lt;2,0,11-MOD(SUMPRODUCT(--MID(P522,{1,2,3,4,5,6,7,8,9,10,11,12,13},1),{6,5,4,3,2,9,8,7,6,5,4,3,2}),11))),"OK","ERRO: dígito verificador")))))</f>
      </c>
      <c r="R522" s="6">
        <f>IF(P522="","",IF(COUNTIF($P$2:$P$1001,P522)&gt;1,"DUPLICADO","OK"))</f>
      </c>
      <c r="S522" s="6">
        <f>IF(AND(J522="",K522=""),"vazio",IF(AND(OR(J522="",LEN(SUBSTITUTE(SUBSTITUTE(SUBSTITUTE(SUBSTITUTE(SUBSTITUTE(SUBSTITUTE(SUBSTITUTE(TRIM(J522),".",""),"/",""),"-","")," ",""),"(",""),")",""),"+",""))=10,LEN(SUBSTITUTE(SUBSTITUTE(SUBSTITUTE(SUBSTITUTE(SUBSTITUTE(SUBSTITUTE(SUBSTITUTE(TRIM(J522),".",""),"/",""),"-","")," ",""),"(",""),")",""),"+",""))=11),OR(K522="",LEN(SUBSTITUTE(SUBSTITUTE(SUBSTITUTE(SUBSTITUTE(SUBSTITUTE(SUBSTITUTE(SUBSTITUTE(TRIM(K522),".",""),"/",""),"-","")," ",""),"(",""),")",""),"+",""))=10,LEN(SUBSTITUTE(SUBSTITUTE(SUBSTITUTE(SUBSTITUTE(SUBSTITUTE(SUBSTITUTE(SUBSTITUTE(TRIM(K522),".",""),"/",""),"-","")," ",""),"(",""),")",""),"+",""))=11)),"OK","ERRO: use DDD + número (10 ou 11 dígitos)"))</f>
      </c>
      <c r="T522" s="6">
        <f>IF(L522="","vazio",IF(AND(ISNUMBER(FIND("@",L522)),ISNUMBER(FIND(".",MID(L522,FIND("@",L522),99))),NOT(ISNUMBER(FIND(" ",TRIM(L522)))),NOT(ISNUMBER(FIND(";",L522))),NOT(ISNUMBER(FIND(",",L522)))),"OK","ERRO: um e-mail válido por linha"))</f>
      </c>
      <c r="U522" s="6">
        <f>IF(COUNTA(A522:O522)=0,"",IF(AND(B522&lt;&gt;"",C522&lt;&gt;"",D522&lt;&gt;"",E522&lt;&gt;"",H522&lt;&gt;"",OR(J522&lt;&gt;"",L522&lt;&gt;"")),"OK","ERRO: faltam "&amp;IF(B522="","Proprietário; ","")&amp;IF(C522="","Origem; ","")&amp;IF(D522="","CNPJ; ","")&amp;IF(E522="","Razão Social; ","")&amp;IF(H522="","Sobrenome; ","")&amp;IF(AND(J522="",L522=""),"telefone ou e-mail; ","")))</f>
      </c>
      <c r="V522" s="6">
        <f>IF(COUNTA(A522:O522)=0,"",IF(AND(Q522="OK",R522="OK",LEFT(S522,4)&lt;&gt;"ERRO",LEFT(T522,4)&lt;&gt;"ERRO",U522="OK"),"OK","REVISAR"))</f>
      </c>
    </row>
    <row r="523">
      <c r="A523" s="4"/>
      <c r="B523" s="5"/>
      <c r="C523" s="5"/>
      <c r="D523" s="5"/>
      <c r="E523" s="5"/>
      <c r="F523" s="4"/>
      <c r="G523" s="4"/>
      <c r="H523" s="5"/>
      <c r="I523" s="4"/>
      <c r="J523" s="4"/>
      <c r="K523" s="4"/>
      <c r="L523" s="4"/>
      <c r="M523" s="4"/>
      <c r="N523" s="4"/>
      <c r="O523" s="4"/>
      <c r="P523" s="6">
        <f>IF(D523="","",SUBSTITUTE(SUBSTITUTE(SUBSTITUTE(SUBSTITUTE(SUBSTITUTE(SUBSTITUTE(SUBSTITUTE(TRIM(D523),".",""),"/",""),"-","")," ",""),"(",""),")",""),"+",""))</f>
      </c>
      <c r="Q523" s="6">
        <f>IF(P523="","",IF(LEN(P523)&lt;&gt;14,"ERRO: "&amp;LEN(P523)&amp;" dígitos",IF(NOT(ISNUMBER(VALUE(P523))),"ERRO: não numérico",IF(LEN(SUBSTITUTE(P523,LEFT(P523,1),""))=0,"ERRO: dígitos repetidos",IF(AND(VALUE(MID(P523,13,1))=IF(MOD(SUMPRODUCT(--MID(P523,{1,2,3,4,5,6,7,8,9,10,11,12},1),{5,4,3,2,9,8,7,6,5,4,3,2}),11)&lt;2,0,11-MOD(SUMPRODUCT(--MID(P523,{1,2,3,4,5,6,7,8,9,10,11,12},1),{5,4,3,2,9,8,7,6,5,4,3,2}),11)),VALUE(MID(P523,14,1))=IF(MOD(SUMPRODUCT(--MID(P523,{1,2,3,4,5,6,7,8,9,10,11,12,13},1),{6,5,4,3,2,9,8,7,6,5,4,3,2}),11)&lt;2,0,11-MOD(SUMPRODUCT(--MID(P523,{1,2,3,4,5,6,7,8,9,10,11,12,13},1),{6,5,4,3,2,9,8,7,6,5,4,3,2}),11))),"OK","ERRO: dígito verificador")))))</f>
      </c>
      <c r="R523" s="6">
        <f>IF(P523="","",IF(COUNTIF($P$2:$P$1001,P523)&gt;1,"DUPLICADO","OK"))</f>
      </c>
      <c r="S523" s="6">
        <f>IF(AND(J523="",K523=""),"vazio",IF(AND(OR(J523="",LEN(SUBSTITUTE(SUBSTITUTE(SUBSTITUTE(SUBSTITUTE(SUBSTITUTE(SUBSTITUTE(SUBSTITUTE(TRIM(J523),".",""),"/",""),"-","")," ",""),"(",""),")",""),"+",""))=10,LEN(SUBSTITUTE(SUBSTITUTE(SUBSTITUTE(SUBSTITUTE(SUBSTITUTE(SUBSTITUTE(SUBSTITUTE(TRIM(J523),".",""),"/",""),"-","")," ",""),"(",""),")",""),"+",""))=11),OR(K523="",LEN(SUBSTITUTE(SUBSTITUTE(SUBSTITUTE(SUBSTITUTE(SUBSTITUTE(SUBSTITUTE(SUBSTITUTE(TRIM(K523),".",""),"/",""),"-","")," ",""),"(",""),")",""),"+",""))=10,LEN(SUBSTITUTE(SUBSTITUTE(SUBSTITUTE(SUBSTITUTE(SUBSTITUTE(SUBSTITUTE(SUBSTITUTE(TRIM(K523),".",""),"/",""),"-","")," ",""),"(",""),")",""),"+",""))=11)),"OK","ERRO: use DDD + número (10 ou 11 dígitos)"))</f>
      </c>
      <c r="T523" s="6">
        <f>IF(L523="","vazio",IF(AND(ISNUMBER(FIND("@",L523)),ISNUMBER(FIND(".",MID(L523,FIND("@",L523),99))),NOT(ISNUMBER(FIND(" ",TRIM(L523)))),NOT(ISNUMBER(FIND(";",L523))),NOT(ISNUMBER(FIND(",",L523)))),"OK","ERRO: um e-mail válido por linha"))</f>
      </c>
      <c r="U523" s="6">
        <f>IF(COUNTA(A523:O523)=0,"",IF(AND(B523&lt;&gt;"",C523&lt;&gt;"",D523&lt;&gt;"",E523&lt;&gt;"",H523&lt;&gt;"",OR(J523&lt;&gt;"",L523&lt;&gt;"")),"OK","ERRO: faltam "&amp;IF(B523="","Proprietário; ","")&amp;IF(C523="","Origem; ","")&amp;IF(D523="","CNPJ; ","")&amp;IF(E523="","Razão Social; ","")&amp;IF(H523="","Sobrenome; ","")&amp;IF(AND(J523="",L523=""),"telefone ou e-mail; ","")))</f>
      </c>
      <c r="V523" s="6">
        <f>IF(COUNTA(A523:O523)=0,"",IF(AND(Q523="OK",R523="OK",LEFT(S523,4)&lt;&gt;"ERRO",LEFT(T523,4)&lt;&gt;"ERRO",U523="OK"),"OK","REVISAR"))</f>
      </c>
    </row>
    <row r="524">
      <c r="A524" s="4"/>
      <c r="B524" s="5"/>
      <c r="C524" s="5"/>
      <c r="D524" s="5"/>
      <c r="E524" s="5"/>
      <c r="F524" s="4"/>
      <c r="G524" s="4"/>
      <c r="H524" s="5"/>
      <c r="I524" s="4"/>
      <c r="J524" s="4"/>
      <c r="K524" s="4"/>
      <c r="L524" s="4"/>
      <c r="M524" s="4"/>
      <c r="N524" s="4"/>
      <c r="O524" s="4"/>
      <c r="P524" s="6">
        <f>IF(D524="","",SUBSTITUTE(SUBSTITUTE(SUBSTITUTE(SUBSTITUTE(SUBSTITUTE(SUBSTITUTE(SUBSTITUTE(TRIM(D524),".",""),"/",""),"-","")," ",""),"(",""),")",""),"+",""))</f>
      </c>
      <c r="Q524" s="6">
        <f>IF(P524="","",IF(LEN(P524)&lt;&gt;14,"ERRO: "&amp;LEN(P524)&amp;" dígitos",IF(NOT(ISNUMBER(VALUE(P524))),"ERRO: não numérico",IF(LEN(SUBSTITUTE(P524,LEFT(P524,1),""))=0,"ERRO: dígitos repetidos",IF(AND(VALUE(MID(P524,13,1))=IF(MOD(SUMPRODUCT(--MID(P524,{1,2,3,4,5,6,7,8,9,10,11,12},1),{5,4,3,2,9,8,7,6,5,4,3,2}),11)&lt;2,0,11-MOD(SUMPRODUCT(--MID(P524,{1,2,3,4,5,6,7,8,9,10,11,12},1),{5,4,3,2,9,8,7,6,5,4,3,2}),11)),VALUE(MID(P524,14,1))=IF(MOD(SUMPRODUCT(--MID(P524,{1,2,3,4,5,6,7,8,9,10,11,12,13},1),{6,5,4,3,2,9,8,7,6,5,4,3,2}),11)&lt;2,0,11-MOD(SUMPRODUCT(--MID(P524,{1,2,3,4,5,6,7,8,9,10,11,12,13},1),{6,5,4,3,2,9,8,7,6,5,4,3,2}),11))),"OK","ERRO: dígito verificador")))))</f>
      </c>
      <c r="R524" s="6">
        <f>IF(P524="","",IF(COUNTIF($P$2:$P$1001,P524)&gt;1,"DUPLICADO","OK"))</f>
      </c>
      <c r="S524" s="6">
        <f>IF(AND(J524="",K524=""),"vazio",IF(AND(OR(J524="",LEN(SUBSTITUTE(SUBSTITUTE(SUBSTITUTE(SUBSTITUTE(SUBSTITUTE(SUBSTITUTE(SUBSTITUTE(TRIM(J524),".",""),"/",""),"-","")," ",""),"(",""),")",""),"+",""))=10,LEN(SUBSTITUTE(SUBSTITUTE(SUBSTITUTE(SUBSTITUTE(SUBSTITUTE(SUBSTITUTE(SUBSTITUTE(TRIM(J524),".",""),"/",""),"-","")," ",""),"(",""),")",""),"+",""))=11),OR(K524="",LEN(SUBSTITUTE(SUBSTITUTE(SUBSTITUTE(SUBSTITUTE(SUBSTITUTE(SUBSTITUTE(SUBSTITUTE(TRIM(K524),".",""),"/",""),"-","")," ",""),"(",""),")",""),"+",""))=10,LEN(SUBSTITUTE(SUBSTITUTE(SUBSTITUTE(SUBSTITUTE(SUBSTITUTE(SUBSTITUTE(SUBSTITUTE(TRIM(K524),".",""),"/",""),"-","")," ",""),"(",""),")",""),"+",""))=11)),"OK","ERRO: use DDD + número (10 ou 11 dígitos)"))</f>
      </c>
      <c r="T524" s="6">
        <f>IF(L524="","vazio",IF(AND(ISNUMBER(FIND("@",L524)),ISNUMBER(FIND(".",MID(L524,FIND("@",L524),99))),NOT(ISNUMBER(FIND(" ",TRIM(L524)))),NOT(ISNUMBER(FIND(";",L524))),NOT(ISNUMBER(FIND(",",L524)))),"OK","ERRO: um e-mail válido por linha"))</f>
      </c>
      <c r="U524" s="6">
        <f>IF(COUNTA(A524:O524)=0,"",IF(AND(B524&lt;&gt;"",C524&lt;&gt;"",D524&lt;&gt;"",E524&lt;&gt;"",H524&lt;&gt;"",OR(J524&lt;&gt;"",L524&lt;&gt;"")),"OK","ERRO: faltam "&amp;IF(B524="","Proprietário; ","")&amp;IF(C524="","Origem; ","")&amp;IF(D524="","CNPJ; ","")&amp;IF(E524="","Razão Social; ","")&amp;IF(H524="","Sobrenome; ","")&amp;IF(AND(J524="",L524=""),"telefone ou e-mail; ","")))</f>
      </c>
      <c r="V524" s="6">
        <f>IF(COUNTA(A524:O524)=0,"",IF(AND(Q524="OK",R524="OK",LEFT(S524,4)&lt;&gt;"ERRO",LEFT(T524,4)&lt;&gt;"ERRO",U524="OK"),"OK","REVISAR"))</f>
      </c>
    </row>
    <row r="525">
      <c r="A525" s="4"/>
      <c r="B525" s="5"/>
      <c r="C525" s="5"/>
      <c r="D525" s="5"/>
      <c r="E525" s="5"/>
      <c r="F525" s="4"/>
      <c r="G525" s="4"/>
      <c r="H525" s="5"/>
      <c r="I525" s="4"/>
      <c r="J525" s="4"/>
      <c r="K525" s="4"/>
      <c r="L525" s="4"/>
      <c r="M525" s="4"/>
      <c r="N525" s="4"/>
      <c r="O525" s="4"/>
      <c r="P525" s="6">
        <f>IF(D525="","",SUBSTITUTE(SUBSTITUTE(SUBSTITUTE(SUBSTITUTE(SUBSTITUTE(SUBSTITUTE(SUBSTITUTE(TRIM(D525),".",""),"/",""),"-","")," ",""),"(",""),")",""),"+",""))</f>
      </c>
      <c r="Q525" s="6">
        <f>IF(P525="","",IF(LEN(P525)&lt;&gt;14,"ERRO: "&amp;LEN(P525)&amp;" dígitos",IF(NOT(ISNUMBER(VALUE(P525))),"ERRO: não numérico",IF(LEN(SUBSTITUTE(P525,LEFT(P525,1),""))=0,"ERRO: dígitos repetidos",IF(AND(VALUE(MID(P525,13,1))=IF(MOD(SUMPRODUCT(--MID(P525,{1,2,3,4,5,6,7,8,9,10,11,12},1),{5,4,3,2,9,8,7,6,5,4,3,2}),11)&lt;2,0,11-MOD(SUMPRODUCT(--MID(P525,{1,2,3,4,5,6,7,8,9,10,11,12},1),{5,4,3,2,9,8,7,6,5,4,3,2}),11)),VALUE(MID(P525,14,1))=IF(MOD(SUMPRODUCT(--MID(P525,{1,2,3,4,5,6,7,8,9,10,11,12,13},1),{6,5,4,3,2,9,8,7,6,5,4,3,2}),11)&lt;2,0,11-MOD(SUMPRODUCT(--MID(P525,{1,2,3,4,5,6,7,8,9,10,11,12,13},1),{6,5,4,3,2,9,8,7,6,5,4,3,2}),11))),"OK","ERRO: dígito verificador")))))</f>
      </c>
      <c r="R525" s="6">
        <f>IF(P525="","",IF(COUNTIF($P$2:$P$1001,P525)&gt;1,"DUPLICADO","OK"))</f>
      </c>
      <c r="S525" s="6">
        <f>IF(AND(J525="",K525=""),"vazio",IF(AND(OR(J525="",LEN(SUBSTITUTE(SUBSTITUTE(SUBSTITUTE(SUBSTITUTE(SUBSTITUTE(SUBSTITUTE(SUBSTITUTE(TRIM(J525),".",""),"/",""),"-","")," ",""),"(",""),")",""),"+",""))=10,LEN(SUBSTITUTE(SUBSTITUTE(SUBSTITUTE(SUBSTITUTE(SUBSTITUTE(SUBSTITUTE(SUBSTITUTE(TRIM(J525),".",""),"/",""),"-","")," ",""),"(",""),")",""),"+",""))=11),OR(K525="",LEN(SUBSTITUTE(SUBSTITUTE(SUBSTITUTE(SUBSTITUTE(SUBSTITUTE(SUBSTITUTE(SUBSTITUTE(TRIM(K525),".",""),"/",""),"-","")," ",""),"(",""),")",""),"+",""))=10,LEN(SUBSTITUTE(SUBSTITUTE(SUBSTITUTE(SUBSTITUTE(SUBSTITUTE(SUBSTITUTE(SUBSTITUTE(TRIM(K525),".",""),"/",""),"-","")," ",""),"(",""),")",""),"+",""))=11)),"OK","ERRO: use DDD + número (10 ou 11 dígitos)"))</f>
      </c>
      <c r="T525" s="6">
        <f>IF(L525="","vazio",IF(AND(ISNUMBER(FIND("@",L525)),ISNUMBER(FIND(".",MID(L525,FIND("@",L525),99))),NOT(ISNUMBER(FIND(" ",TRIM(L525)))),NOT(ISNUMBER(FIND(";",L525))),NOT(ISNUMBER(FIND(",",L525)))),"OK","ERRO: um e-mail válido por linha"))</f>
      </c>
      <c r="U525" s="6">
        <f>IF(COUNTA(A525:O525)=0,"",IF(AND(B525&lt;&gt;"",C525&lt;&gt;"",D525&lt;&gt;"",E525&lt;&gt;"",H525&lt;&gt;"",OR(J525&lt;&gt;"",L525&lt;&gt;"")),"OK","ERRO: faltam "&amp;IF(B525="","Proprietário; ","")&amp;IF(C525="","Origem; ","")&amp;IF(D525="","CNPJ; ","")&amp;IF(E525="","Razão Social; ","")&amp;IF(H525="","Sobrenome; ","")&amp;IF(AND(J525="",L525=""),"telefone ou e-mail; ","")))</f>
      </c>
      <c r="V525" s="6">
        <f>IF(COUNTA(A525:O525)=0,"",IF(AND(Q525="OK",R525="OK",LEFT(S525,4)&lt;&gt;"ERRO",LEFT(T525,4)&lt;&gt;"ERRO",U525="OK"),"OK","REVISAR"))</f>
      </c>
    </row>
    <row r="526">
      <c r="A526" s="4"/>
      <c r="B526" s="5"/>
      <c r="C526" s="5"/>
      <c r="D526" s="5"/>
      <c r="E526" s="5"/>
      <c r="F526" s="4"/>
      <c r="G526" s="4"/>
      <c r="H526" s="5"/>
      <c r="I526" s="4"/>
      <c r="J526" s="4"/>
      <c r="K526" s="4"/>
      <c r="L526" s="4"/>
      <c r="M526" s="4"/>
      <c r="N526" s="4"/>
      <c r="O526" s="4"/>
      <c r="P526" s="6">
        <f>IF(D526="","",SUBSTITUTE(SUBSTITUTE(SUBSTITUTE(SUBSTITUTE(SUBSTITUTE(SUBSTITUTE(SUBSTITUTE(TRIM(D526),".",""),"/",""),"-","")," ",""),"(",""),")",""),"+",""))</f>
      </c>
      <c r="Q526" s="6">
        <f>IF(P526="","",IF(LEN(P526)&lt;&gt;14,"ERRO: "&amp;LEN(P526)&amp;" dígitos",IF(NOT(ISNUMBER(VALUE(P526))),"ERRO: não numérico",IF(LEN(SUBSTITUTE(P526,LEFT(P526,1),""))=0,"ERRO: dígitos repetidos",IF(AND(VALUE(MID(P526,13,1))=IF(MOD(SUMPRODUCT(--MID(P526,{1,2,3,4,5,6,7,8,9,10,11,12},1),{5,4,3,2,9,8,7,6,5,4,3,2}),11)&lt;2,0,11-MOD(SUMPRODUCT(--MID(P526,{1,2,3,4,5,6,7,8,9,10,11,12},1),{5,4,3,2,9,8,7,6,5,4,3,2}),11)),VALUE(MID(P526,14,1))=IF(MOD(SUMPRODUCT(--MID(P526,{1,2,3,4,5,6,7,8,9,10,11,12,13},1),{6,5,4,3,2,9,8,7,6,5,4,3,2}),11)&lt;2,0,11-MOD(SUMPRODUCT(--MID(P526,{1,2,3,4,5,6,7,8,9,10,11,12,13},1),{6,5,4,3,2,9,8,7,6,5,4,3,2}),11))),"OK","ERRO: dígito verificador")))))</f>
      </c>
      <c r="R526" s="6">
        <f>IF(P526="","",IF(COUNTIF($P$2:$P$1001,P526)&gt;1,"DUPLICADO","OK"))</f>
      </c>
      <c r="S526" s="6">
        <f>IF(AND(J526="",K526=""),"vazio",IF(AND(OR(J526="",LEN(SUBSTITUTE(SUBSTITUTE(SUBSTITUTE(SUBSTITUTE(SUBSTITUTE(SUBSTITUTE(SUBSTITUTE(TRIM(J526),".",""),"/",""),"-","")," ",""),"(",""),")",""),"+",""))=10,LEN(SUBSTITUTE(SUBSTITUTE(SUBSTITUTE(SUBSTITUTE(SUBSTITUTE(SUBSTITUTE(SUBSTITUTE(TRIM(J526),".",""),"/",""),"-","")," ",""),"(",""),")",""),"+",""))=11),OR(K526="",LEN(SUBSTITUTE(SUBSTITUTE(SUBSTITUTE(SUBSTITUTE(SUBSTITUTE(SUBSTITUTE(SUBSTITUTE(TRIM(K526),".",""),"/",""),"-","")," ",""),"(",""),")",""),"+",""))=10,LEN(SUBSTITUTE(SUBSTITUTE(SUBSTITUTE(SUBSTITUTE(SUBSTITUTE(SUBSTITUTE(SUBSTITUTE(TRIM(K526),".",""),"/",""),"-","")," ",""),"(",""),")",""),"+",""))=11)),"OK","ERRO: use DDD + número (10 ou 11 dígitos)"))</f>
      </c>
      <c r="T526" s="6">
        <f>IF(L526="","vazio",IF(AND(ISNUMBER(FIND("@",L526)),ISNUMBER(FIND(".",MID(L526,FIND("@",L526),99))),NOT(ISNUMBER(FIND(" ",TRIM(L526)))),NOT(ISNUMBER(FIND(";",L526))),NOT(ISNUMBER(FIND(",",L526)))),"OK","ERRO: um e-mail válido por linha"))</f>
      </c>
      <c r="U526" s="6">
        <f>IF(COUNTA(A526:O526)=0,"",IF(AND(B526&lt;&gt;"",C526&lt;&gt;"",D526&lt;&gt;"",E526&lt;&gt;"",H526&lt;&gt;"",OR(J526&lt;&gt;"",L526&lt;&gt;"")),"OK","ERRO: faltam "&amp;IF(B526="","Proprietário; ","")&amp;IF(C526="","Origem; ","")&amp;IF(D526="","CNPJ; ","")&amp;IF(E526="","Razão Social; ","")&amp;IF(H526="","Sobrenome; ","")&amp;IF(AND(J526="",L526=""),"telefone ou e-mail; ","")))</f>
      </c>
      <c r="V526" s="6">
        <f>IF(COUNTA(A526:O526)=0,"",IF(AND(Q526="OK",R526="OK",LEFT(S526,4)&lt;&gt;"ERRO",LEFT(T526,4)&lt;&gt;"ERRO",U526="OK"),"OK","REVISAR"))</f>
      </c>
    </row>
    <row r="527">
      <c r="A527" s="4"/>
      <c r="B527" s="5"/>
      <c r="C527" s="5"/>
      <c r="D527" s="5"/>
      <c r="E527" s="5"/>
      <c r="F527" s="4"/>
      <c r="G527" s="4"/>
      <c r="H527" s="5"/>
      <c r="I527" s="4"/>
      <c r="J527" s="4"/>
      <c r="K527" s="4"/>
      <c r="L527" s="4"/>
      <c r="M527" s="4"/>
      <c r="N527" s="4"/>
      <c r="O527" s="4"/>
      <c r="P527" s="6">
        <f>IF(D527="","",SUBSTITUTE(SUBSTITUTE(SUBSTITUTE(SUBSTITUTE(SUBSTITUTE(SUBSTITUTE(SUBSTITUTE(TRIM(D527),".",""),"/",""),"-","")," ",""),"(",""),")",""),"+",""))</f>
      </c>
      <c r="Q527" s="6">
        <f>IF(P527="","",IF(LEN(P527)&lt;&gt;14,"ERRO: "&amp;LEN(P527)&amp;" dígitos",IF(NOT(ISNUMBER(VALUE(P527))),"ERRO: não numérico",IF(LEN(SUBSTITUTE(P527,LEFT(P527,1),""))=0,"ERRO: dígitos repetidos",IF(AND(VALUE(MID(P527,13,1))=IF(MOD(SUMPRODUCT(--MID(P527,{1,2,3,4,5,6,7,8,9,10,11,12},1),{5,4,3,2,9,8,7,6,5,4,3,2}),11)&lt;2,0,11-MOD(SUMPRODUCT(--MID(P527,{1,2,3,4,5,6,7,8,9,10,11,12},1),{5,4,3,2,9,8,7,6,5,4,3,2}),11)),VALUE(MID(P527,14,1))=IF(MOD(SUMPRODUCT(--MID(P527,{1,2,3,4,5,6,7,8,9,10,11,12,13},1),{6,5,4,3,2,9,8,7,6,5,4,3,2}),11)&lt;2,0,11-MOD(SUMPRODUCT(--MID(P527,{1,2,3,4,5,6,7,8,9,10,11,12,13},1),{6,5,4,3,2,9,8,7,6,5,4,3,2}),11))),"OK","ERRO: dígito verificador")))))</f>
      </c>
      <c r="R527" s="6">
        <f>IF(P527="","",IF(COUNTIF($P$2:$P$1001,P527)&gt;1,"DUPLICADO","OK"))</f>
      </c>
      <c r="S527" s="6">
        <f>IF(AND(J527="",K527=""),"vazio",IF(AND(OR(J527="",LEN(SUBSTITUTE(SUBSTITUTE(SUBSTITUTE(SUBSTITUTE(SUBSTITUTE(SUBSTITUTE(SUBSTITUTE(TRIM(J527),".",""),"/",""),"-","")," ",""),"(",""),")",""),"+",""))=10,LEN(SUBSTITUTE(SUBSTITUTE(SUBSTITUTE(SUBSTITUTE(SUBSTITUTE(SUBSTITUTE(SUBSTITUTE(TRIM(J527),".",""),"/",""),"-","")," ",""),"(",""),")",""),"+",""))=11),OR(K527="",LEN(SUBSTITUTE(SUBSTITUTE(SUBSTITUTE(SUBSTITUTE(SUBSTITUTE(SUBSTITUTE(SUBSTITUTE(TRIM(K527),".",""),"/",""),"-","")," ",""),"(",""),")",""),"+",""))=10,LEN(SUBSTITUTE(SUBSTITUTE(SUBSTITUTE(SUBSTITUTE(SUBSTITUTE(SUBSTITUTE(SUBSTITUTE(TRIM(K527),".",""),"/",""),"-","")," ",""),"(",""),")",""),"+",""))=11)),"OK","ERRO: use DDD + número (10 ou 11 dígitos)"))</f>
      </c>
      <c r="T527" s="6">
        <f>IF(L527="","vazio",IF(AND(ISNUMBER(FIND("@",L527)),ISNUMBER(FIND(".",MID(L527,FIND("@",L527),99))),NOT(ISNUMBER(FIND(" ",TRIM(L527)))),NOT(ISNUMBER(FIND(";",L527))),NOT(ISNUMBER(FIND(",",L527)))),"OK","ERRO: um e-mail válido por linha"))</f>
      </c>
      <c r="U527" s="6">
        <f>IF(COUNTA(A527:O527)=0,"",IF(AND(B527&lt;&gt;"",C527&lt;&gt;"",D527&lt;&gt;"",E527&lt;&gt;"",H527&lt;&gt;"",OR(J527&lt;&gt;"",L527&lt;&gt;"")),"OK","ERRO: faltam "&amp;IF(B527="","Proprietário; ","")&amp;IF(C527="","Origem; ","")&amp;IF(D527="","CNPJ; ","")&amp;IF(E527="","Razão Social; ","")&amp;IF(H527="","Sobrenome; ","")&amp;IF(AND(J527="",L527=""),"telefone ou e-mail; ","")))</f>
      </c>
      <c r="V527" s="6">
        <f>IF(COUNTA(A527:O527)=0,"",IF(AND(Q527="OK",R527="OK",LEFT(S527,4)&lt;&gt;"ERRO",LEFT(T527,4)&lt;&gt;"ERRO",U527="OK"),"OK","REVISAR"))</f>
      </c>
    </row>
    <row r="528">
      <c r="A528" s="4"/>
      <c r="B528" s="5"/>
      <c r="C528" s="5"/>
      <c r="D528" s="5"/>
      <c r="E528" s="5"/>
      <c r="F528" s="4"/>
      <c r="G528" s="4"/>
      <c r="H528" s="5"/>
      <c r="I528" s="4"/>
      <c r="J528" s="4"/>
      <c r="K528" s="4"/>
      <c r="L528" s="4"/>
      <c r="M528" s="4"/>
      <c r="N528" s="4"/>
      <c r="O528" s="4"/>
      <c r="P528" s="6">
        <f>IF(D528="","",SUBSTITUTE(SUBSTITUTE(SUBSTITUTE(SUBSTITUTE(SUBSTITUTE(SUBSTITUTE(SUBSTITUTE(TRIM(D528),".",""),"/",""),"-","")," ",""),"(",""),")",""),"+",""))</f>
      </c>
      <c r="Q528" s="6">
        <f>IF(P528="","",IF(LEN(P528)&lt;&gt;14,"ERRO: "&amp;LEN(P528)&amp;" dígitos",IF(NOT(ISNUMBER(VALUE(P528))),"ERRO: não numérico",IF(LEN(SUBSTITUTE(P528,LEFT(P528,1),""))=0,"ERRO: dígitos repetidos",IF(AND(VALUE(MID(P528,13,1))=IF(MOD(SUMPRODUCT(--MID(P528,{1,2,3,4,5,6,7,8,9,10,11,12},1),{5,4,3,2,9,8,7,6,5,4,3,2}),11)&lt;2,0,11-MOD(SUMPRODUCT(--MID(P528,{1,2,3,4,5,6,7,8,9,10,11,12},1),{5,4,3,2,9,8,7,6,5,4,3,2}),11)),VALUE(MID(P528,14,1))=IF(MOD(SUMPRODUCT(--MID(P528,{1,2,3,4,5,6,7,8,9,10,11,12,13},1),{6,5,4,3,2,9,8,7,6,5,4,3,2}),11)&lt;2,0,11-MOD(SUMPRODUCT(--MID(P528,{1,2,3,4,5,6,7,8,9,10,11,12,13},1),{6,5,4,3,2,9,8,7,6,5,4,3,2}),11))),"OK","ERRO: dígito verificador")))))</f>
      </c>
      <c r="R528" s="6">
        <f>IF(P528="","",IF(COUNTIF($P$2:$P$1001,P528)&gt;1,"DUPLICADO","OK"))</f>
      </c>
      <c r="S528" s="6">
        <f>IF(AND(J528="",K528=""),"vazio",IF(AND(OR(J528="",LEN(SUBSTITUTE(SUBSTITUTE(SUBSTITUTE(SUBSTITUTE(SUBSTITUTE(SUBSTITUTE(SUBSTITUTE(TRIM(J528),".",""),"/",""),"-","")," ",""),"(",""),")",""),"+",""))=10,LEN(SUBSTITUTE(SUBSTITUTE(SUBSTITUTE(SUBSTITUTE(SUBSTITUTE(SUBSTITUTE(SUBSTITUTE(TRIM(J528),".",""),"/",""),"-","")," ",""),"(",""),")",""),"+",""))=11),OR(K528="",LEN(SUBSTITUTE(SUBSTITUTE(SUBSTITUTE(SUBSTITUTE(SUBSTITUTE(SUBSTITUTE(SUBSTITUTE(TRIM(K528),".",""),"/",""),"-","")," ",""),"(",""),")",""),"+",""))=10,LEN(SUBSTITUTE(SUBSTITUTE(SUBSTITUTE(SUBSTITUTE(SUBSTITUTE(SUBSTITUTE(SUBSTITUTE(TRIM(K528),".",""),"/",""),"-","")," ",""),"(",""),")",""),"+",""))=11)),"OK","ERRO: use DDD + número (10 ou 11 dígitos)"))</f>
      </c>
      <c r="T528" s="6">
        <f>IF(L528="","vazio",IF(AND(ISNUMBER(FIND("@",L528)),ISNUMBER(FIND(".",MID(L528,FIND("@",L528),99))),NOT(ISNUMBER(FIND(" ",TRIM(L528)))),NOT(ISNUMBER(FIND(";",L528))),NOT(ISNUMBER(FIND(",",L528)))),"OK","ERRO: um e-mail válido por linha"))</f>
      </c>
      <c r="U528" s="6">
        <f>IF(COUNTA(A528:O528)=0,"",IF(AND(B528&lt;&gt;"",C528&lt;&gt;"",D528&lt;&gt;"",E528&lt;&gt;"",H528&lt;&gt;"",OR(J528&lt;&gt;"",L528&lt;&gt;"")),"OK","ERRO: faltam "&amp;IF(B528="","Proprietário; ","")&amp;IF(C528="","Origem; ","")&amp;IF(D528="","CNPJ; ","")&amp;IF(E528="","Razão Social; ","")&amp;IF(H528="","Sobrenome; ","")&amp;IF(AND(J528="",L528=""),"telefone ou e-mail; ","")))</f>
      </c>
      <c r="V528" s="6">
        <f>IF(COUNTA(A528:O528)=0,"",IF(AND(Q528="OK",R528="OK",LEFT(S528,4)&lt;&gt;"ERRO",LEFT(T528,4)&lt;&gt;"ERRO",U528="OK"),"OK","REVISAR"))</f>
      </c>
    </row>
    <row r="529">
      <c r="A529" s="4"/>
      <c r="B529" s="5"/>
      <c r="C529" s="5"/>
      <c r="D529" s="5"/>
      <c r="E529" s="5"/>
      <c r="F529" s="4"/>
      <c r="G529" s="4"/>
      <c r="H529" s="5"/>
      <c r="I529" s="4"/>
      <c r="J529" s="4"/>
      <c r="K529" s="4"/>
      <c r="L529" s="4"/>
      <c r="M529" s="4"/>
      <c r="N529" s="4"/>
      <c r="O529" s="4"/>
      <c r="P529" s="6">
        <f>IF(D529="","",SUBSTITUTE(SUBSTITUTE(SUBSTITUTE(SUBSTITUTE(SUBSTITUTE(SUBSTITUTE(SUBSTITUTE(TRIM(D529),".",""),"/",""),"-","")," ",""),"(",""),")",""),"+",""))</f>
      </c>
      <c r="Q529" s="6">
        <f>IF(P529="","",IF(LEN(P529)&lt;&gt;14,"ERRO: "&amp;LEN(P529)&amp;" dígitos",IF(NOT(ISNUMBER(VALUE(P529))),"ERRO: não numérico",IF(LEN(SUBSTITUTE(P529,LEFT(P529,1),""))=0,"ERRO: dígitos repetidos",IF(AND(VALUE(MID(P529,13,1))=IF(MOD(SUMPRODUCT(--MID(P529,{1,2,3,4,5,6,7,8,9,10,11,12},1),{5,4,3,2,9,8,7,6,5,4,3,2}),11)&lt;2,0,11-MOD(SUMPRODUCT(--MID(P529,{1,2,3,4,5,6,7,8,9,10,11,12},1),{5,4,3,2,9,8,7,6,5,4,3,2}),11)),VALUE(MID(P529,14,1))=IF(MOD(SUMPRODUCT(--MID(P529,{1,2,3,4,5,6,7,8,9,10,11,12,13},1),{6,5,4,3,2,9,8,7,6,5,4,3,2}),11)&lt;2,0,11-MOD(SUMPRODUCT(--MID(P529,{1,2,3,4,5,6,7,8,9,10,11,12,13},1),{6,5,4,3,2,9,8,7,6,5,4,3,2}),11))),"OK","ERRO: dígito verificador")))))</f>
      </c>
      <c r="R529" s="6">
        <f>IF(P529="","",IF(COUNTIF($P$2:$P$1001,P529)&gt;1,"DUPLICADO","OK"))</f>
      </c>
      <c r="S529" s="6">
        <f>IF(AND(J529="",K529=""),"vazio",IF(AND(OR(J529="",LEN(SUBSTITUTE(SUBSTITUTE(SUBSTITUTE(SUBSTITUTE(SUBSTITUTE(SUBSTITUTE(SUBSTITUTE(TRIM(J529),".",""),"/",""),"-","")," ",""),"(",""),")",""),"+",""))=10,LEN(SUBSTITUTE(SUBSTITUTE(SUBSTITUTE(SUBSTITUTE(SUBSTITUTE(SUBSTITUTE(SUBSTITUTE(TRIM(J529),".",""),"/",""),"-","")," ",""),"(",""),")",""),"+",""))=11),OR(K529="",LEN(SUBSTITUTE(SUBSTITUTE(SUBSTITUTE(SUBSTITUTE(SUBSTITUTE(SUBSTITUTE(SUBSTITUTE(TRIM(K529),".",""),"/",""),"-","")," ",""),"(",""),")",""),"+",""))=10,LEN(SUBSTITUTE(SUBSTITUTE(SUBSTITUTE(SUBSTITUTE(SUBSTITUTE(SUBSTITUTE(SUBSTITUTE(TRIM(K529),".",""),"/",""),"-","")," ",""),"(",""),")",""),"+",""))=11)),"OK","ERRO: use DDD + número (10 ou 11 dígitos)"))</f>
      </c>
      <c r="T529" s="6">
        <f>IF(L529="","vazio",IF(AND(ISNUMBER(FIND("@",L529)),ISNUMBER(FIND(".",MID(L529,FIND("@",L529),99))),NOT(ISNUMBER(FIND(" ",TRIM(L529)))),NOT(ISNUMBER(FIND(";",L529))),NOT(ISNUMBER(FIND(",",L529)))),"OK","ERRO: um e-mail válido por linha"))</f>
      </c>
      <c r="U529" s="6">
        <f>IF(COUNTA(A529:O529)=0,"",IF(AND(B529&lt;&gt;"",C529&lt;&gt;"",D529&lt;&gt;"",E529&lt;&gt;"",H529&lt;&gt;"",OR(J529&lt;&gt;"",L529&lt;&gt;"")),"OK","ERRO: faltam "&amp;IF(B529="","Proprietário; ","")&amp;IF(C529="","Origem; ","")&amp;IF(D529="","CNPJ; ","")&amp;IF(E529="","Razão Social; ","")&amp;IF(H529="","Sobrenome; ","")&amp;IF(AND(J529="",L529=""),"telefone ou e-mail; ","")))</f>
      </c>
      <c r="V529" s="6">
        <f>IF(COUNTA(A529:O529)=0,"",IF(AND(Q529="OK",R529="OK",LEFT(S529,4)&lt;&gt;"ERRO",LEFT(T529,4)&lt;&gt;"ERRO",U529="OK"),"OK","REVISAR"))</f>
      </c>
    </row>
    <row r="530">
      <c r="A530" s="4"/>
      <c r="B530" s="5"/>
      <c r="C530" s="5"/>
      <c r="D530" s="5"/>
      <c r="E530" s="5"/>
      <c r="F530" s="4"/>
      <c r="G530" s="4"/>
      <c r="H530" s="5"/>
      <c r="I530" s="4"/>
      <c r="J530" s="4"/>
      <c r="K530" s="4"/>
      <c r="L530" s="4"/>
      <c r="M530" s="4"/>
      <c r="N530" s="4"/>
      <c r="O530" s="4"/>
      <c r="P530" s="6">
        <f>IF(D530="","",SUBSTITUTE(SUBSTITUTE(SUBSTITUTE(SUBSTITUTE(SUBSTITUTE(SUBSTITUTE(SUBSTITUTE(TRIM(D530),".",""),"/",""),"-","")," ",""),"(",""),")",""),"+",""))</f>
      </c>
      <c r="Q530" s="6">
        <f>IF(P530="","",IF(LEN(P530)&lt;&gt;14,"ERRO: "&amp;LEN(P530)&amp;" dígitos",IF(NOT(ISNUMBER(VALUE(P530))),"ERRO: não numérico",IF(LEN(SUBSTITUTE(P530,LEFT(P530,1),""))=0,"ERRO: dígitos repetidos",IF(AND(VALUE(MID(P530,13,1))=IF(MOD(SUMPRODUCT(--MID(P530,{1,2,3,4,5,6,7,8,9,10,11,12},1),{5,4,3,2,9,8,7,6,5,4,3,2}),11)&lt;2,0,11-MOD(SUMPRODUCT(--MID(P530,{1,2,3,4,5,6,7,8,9,10,11,12},1),{5,4,3,2,9,8,7,6,5,4,3,2}),11)),VALUE(MID(P530,14,1))=IF(MOD(SUMPRODUCT(--MID(P530,{1,2,3,4,5,6,7,8,9,10,11,12,13},1),{6,5,4,3,2,9,8,7,6,5,4,3,2}),11)&lt;2,0,11-MOD(SUMPRODUCT(--MID(P530,{1,2,3,4,5,6,7,8,9,10,11,12,13},1),{6,5,4,3,2,9,8,7,6,5,4,3,2}),11))),"OK","ERRO: dígito verificador")))))</f>
      </c>
      <c r="R530" s="6">
        <f>IF(P530="","",IF(COUNTIF($P$2:$P$1001,P530)&gt;1,"DUPLICADO","OK"))</f>
      </c>
      <c r="S530" s="6">
        <f>IF(AND(J530="",K530=""),"vazio",IF(AND(OR(J530="",LEN(SUBSTITUTE(SUBSTITUTE(SUBSTITUTE(SUBSTITUTE(SUBSTITUTE(SUBSTITUTE(SUBSTITUTE(TRIM(J530),".",""),"/",""),"-","")," ",""),"(",""),")",""),"+",""))=10,LEN(SUBSTITUTE(SUBSTITUTE(SUBSTITUTE(SUBSTITUTE(SUBSTITUTE(SUBSTITUTE(SUBSTITUTE(TRIM(J530),".",""),"/",""),"-","")," ",""),"(",""),")",""),"+",""))=11),OR(K530="",LEN(SUBSTITUTE(SUBSTITUTE(SUBSTITUTE(SUBSTITUTE(SUBSTITUTE(SUBSTITUTE(SUBSTITUTE(TRIM(K530),".",""),"/",""),"-","")," ",""),"(",""),")",""),"+",""))=10,LEN(SUBSTITUTE(SUBSTITUTE(SUBSTITUTE(SUBSTITUTE(SUBSTITUTE(SUBSTITUTE(SUBSTITUTE(TRIM(K530),".",""),"/",""),"-","")," ",""),"(",""),")",""),"+",""))=11)),"OK","ERRO: use DDD + número (10 ou 11 dígitos)"))</f>
      </c>
      <c r="T530" s="6">
        <f>IF(L530="","vazio",IF(AND(ISNUMBER(FIND("@",L530)),ISNUMBER(FIND(".",MID(L530,FIND("@",L530),99))),NOT(ISNUMBER(FIND(" ",TRIM(L530)))),NOT(ISNUMBER(FIND(";",L530))),NOT(ISNUMBER(FIND(",",L530)))),"OK","ERRO: um e-mail válido por linha"))</f>
      </c>
      <c r="U530" s="6">
        <f>IF(COUNTA(A530:O530)=0,"",IF(AND(B530&lt;&gt;"",C530&lt;&gt;"",D530&lt;&gt;"",E530&lt;&gt;"",H530&lt;&gt;"",OR(J530&lt;&gt;"",L530&lt;&gt;"")),"OK","ERRO: faltam "&amp;IF(B530="","Proprietário; ","")&amp;IF(C530="","Origem; ","")&amp;IF(D530="","CNPJ; ","")&amp;IF(E530="","Razão Social; ","")&amp;IF(H530="","Sobrenome; ","")&amp;IF(AND(J530="",L530=""),"telefone ou e-mail; ","")))</f>
      </c>
      <c r="V530" s="6">
        <f>IF(COUNTA(A530:O530)=0,"",IF(AND(Q530="OK",R530="OK",LEFT(S530,4)&lt;&gt;"ERRO",LEFT(T530,4)&lt;&gt;"ERRO",U530="OK"),"OK","REVISAR"))</f>
      </c>
    </row>
    <row r="531">
      <c r="A531" s="4"/>
      <c r="B531" s="5"/>
      <c r="C531" s="5"/>
      <c r="D531" s="5"/>
      <c r="E531" s="5"/>
      <c r="F531" s="4"/>
      <c r="G531" s="4"/>
      <c r="H531" s="5"/>
      <c r="I531" s="4"/>
      <c r="J531" s="4"/>
      <c r="K531" s="4"/>
      <c r="L531" s="4"/>
      <c r="M531" s="4"/>
      <c r="N531" s="4"/>
      <c r="O531" s="4"/>
      <c r="P531" s="6">
        <f>IF(D531="","",SUBSTITUTE(SUBSTITUTE(SUBSTITUTE(SUBSTITUTE(SUBSTITUTE(SUBSTITUTE(SUBSTITUTE(TRIM(D531),".",""),"/",""),"-","")," ",""),"(",""),")",""),"+",""))</f>
      </c>
      <c r="Q531" s="6">
        <f>IF(P531="","",IF(LEN(P531)&lt;&gt;14,"ERRO: "&amp;LEN(P531)&amp;" dígitos",IF(NOT(ISNUMBER(VALUE(P531))),"ERRO: não numérico",IF(LEN(SUBSTITUTE(P531,LEFT(P531,1),""))=0,"ERRO: dígitos repetidos",IF(AND(VALUE(MID(P531,13,1))=IF(MOD(SUMPRODUCT(--MID(P531,{1,2,3,4,5,6,7,8,9,10,11,12},1),{5,4,3,2,9,8,7,6,5,4,3,2}),11)&lt;2,0,11-MOD(SUMPRODUCT(--MID(P531,{1,2,3,4,5,6,7,8,9,10,11,12},1),{5,4,3,2,9,8,7,6,5,4,3,2}),11)),VALUE(MID(P531,14,1))=IF(MOD(SUMPRODUCT(--MID(P531,{1,2,3,4,5,6,7,8,9,10,11,12,13},1),{6,5,4,3,2,9,8,7,6,5,4,3,2}),11)&lt;2,0,11-MOD(SUMPRODUCT(--MID(P531,{1,2,3,4,5,6,7,8,9,10,11,12,13},1),{6,5,4,3,2,9,8,7,6,5,4,3,2}),11))),"OK","ERRO: dígito verificador")))))</f>
      </c>
      <c r="R531" s="6">
        <f>IF(P531="","",IF(COUNTIF($P$2:$P$1001,P531)&gt;1,"DUPLICADO","OK"))</f>
      </c>
      <c r="S531" s="6">
        <f>IF(AND(J531="",K531=""),"vazio",IF(AND(OR(J531="",LEN(SUBSTITUTE(SUBSTITUTE(SUBSTITUTE(SUBSTITUTE(SUBSTITUTE(SUBSTITUTE(SUBSTITUTE(TRIM(J531),".",""),"/",""),"-","")," ",""),"(",""),")",""),"+",""))=10,LEN(SUBSTITUTE(SUBSTITUTE(SUBSTITUTE(SUBSTITUTE(SUBSTITUTE(SUBSTITUTE(SUBSTITUTE(TRIM(J531),".",""),"/",""),"-","")," ",""),"(",""),")",""),"+",""))=11),OR(K531="",LEN(SUBSTITUTE(SUBSTITUTE(SUBSTITUTE(SUBSTITUTE(SUBSTITUTE(SUBSTITUTE(SUBSTITUTE(TRIM(K531),".",""),"/",""),"-","")," ",""),"(",""),")",""),"+",""))=10,LEN(SUBSTITUTE(SUBSTITUTE(SUBSTITUTE(SUBSTITUTE(SUBSTITUTE(SUBSTITUTE(SUBSTITUTE(TRIM(K531),".",""),"/",""),"-","")," ",""),"(",""),")",""),"+",""))=11)),"OK","ERRO: use DDD + número (10 ou 11 dígitos)"))</f>
      </c>
      <c r="T531" s="6">
        <f>IF(L531="","vazio",IF(AND(ISNUMBER(FIND("@",L531)),ISNUMBER(FIND(".",MID(L531,FIND("@",L531),99))),NOT(ISNUMBER(FIND(" ",TRIM(L531)))),NOT(ISNUMBER(FIND(";",L531))),NOT(ISNUMBER(FIND(",",L531)))),"OK","ERRO: um e-mail válido por linha"))</f>
      </c>
      <c r="U531" s="6">
        <f>IF(COUNTA(A531:O531)=0,"",IF(AND(B531&lt;&gt;"",C531&lt;&gt;"",D531&lt;&gt;"",E531&lt;&gt;"",H531&lt;&gt;"",OR(J531&lt;&gt;"",L531&lt;&gt;"")),"OK","ERRO: faltam "&amp;IF(B531="","Proprietário; ","")&amp;IF(C531="","Origem; ","")&amp;IF(D531="","CNPJ; ","")&amp;IF(E531="","Razão Social; ","")&amp;IF(H531="","Sobrenome; ","")&amp;IF(AND(J531="",L531=""),"telefone ou e-mail; ","")))</f>
      </c>
      <c r="V531" s="6">
        <f>IF(COUNTA(A531:O531)=0,"",IF(AND(Q531="OK",R531="OK",LEFT(S531,4)&lt;&gt;"ERRO",LEFT(T531,4)&lt;&gt;"ERRO",U531="OK"),"OK","REVISAR"))</f>
      </c>
    </row>
    <row r="532">
      <c r="A532" s="4"/>
      <c r="B532" s="5"/>
      <c r="C532" s="5"/>
      <c r="D532" s="5"/>
      <c r="E532" s="5"/>
      <c r="F532" s="4"/>
      <c r="G532" s="4"/>
      <c r="H532" s="5"/>
      <c r="I532" s="4"/>
      <c r="J532" s="4"/>
      <c r="K532" s="4"/>
      <c r="L532" s="4"/>
      <c r="M532" s="4"/>
      <c r="N532" s="4"/>
      <c r="O532" s="4"/>
      <c r="P532" s="6">
        <f>IF(D532="","",SUBSTITUTE(SUBSTITUTE(SUBSTITUTE(SUBSTITUTE(SUBSTITUTE(SUBSTITUTE(SUBSTITUTE(TRIM(D532),".",""),"/",""),"-","")," ",""),"(",""),")",""),"+",""))</f>
      </c>
      <c r="Q532" s="6">
        <f>IF(P532="","",IF(LEN(P532)&lt;&gt;14,"ERRO: "&amp;LEN(P532)&amp;" dígitos",IF(NOT(ISNUMBER(VALUE(P532))),"ERRO: não numérico",IF(LEN(SUBSTITUTE(P532,LEFT(P532,1),""))=0,"ERRO: dígitos repetidos",IF(AND(VALUE(MID(P532,13,1))=IF(MOD(SUMPRODUCT(--MID(P532,{1,2,3,4,5,6,7,8,9,10,11,12},1),{5,4,3,2,9,8,7,6,5,4,3,2}),11)&lt;2,0,11-MOD(SUMPRODUCT(--MID(P532,{1,2,3,4,5,6,7,8,9,10,11,12},1),{5,4,3,2,9,8,7,6,5,4,3,2}),11)),VALUE(MID(P532,14,1))=IF(MOD(SUMPRODUCT(--MID(P532,{1,2,3,4,5,6,7,8,9,10,11,12,13},1),{6,5,4,3,2,9,8,7,6,5,4,3,2}),11)&lt;2,0,11-MOD(SUMPRODUCT(--MID(P532,{1,2,3,4,5,6,7,8,9,10,11,12,13},1),{6,5,4,3,2,9,8,7,6,5,4,3,2}),11))),"OK","ERRO: dígito verificador")))))</f>
      </c>
      <c r="R532" s="6">
        <f>IF(P532="","",IF(COUNTIF($P$2:$P$1001,P532)&gt;1,"DUPLICADO","OK"))</f>
      </c>
      <c r="S532" s="6">
        <f>IF(AND(J532="",K532=""),"vazio",IF(AND(OR(J532="",LEN(SUBSTITUTE(SUBSTITUTE(SUBSTITUTE(SUBSTITUTE(SUBSTITUTE(SUBSTITUTE(SUBSTITUTE(TRIM(J532),".",""),"/",""),"-","")," ",""),"(",""),")",""),"+",""))=10,LEN(SUBSTITUTE(SUBSTITUTE(SUBSTITUTE(SUBSTITUTE(SUBSTITUTE(SUBSTITUTE(SUBSTITUTE(TRIM(J532),".",""),"/",""),"-","")," ",""),"(",""),")",""),"+",""))=11),OR(K532="",LEN(SUBSTITUTE(SUBSTITUTE(SUBSTITUTE(SUBSTITUTE(SUBSTITUTE(SUBSTITUTE(SUBSTITUTE(TRIM(K532),".",""),"/",""),"-","")," ",""),"(",""),")",""),"+",""))=10,LEN(SUBSTITUTE(SUBSTITUTE(SUBSTITUTE(SUBSTITUTE(SUBSTITUTE(SUBSTITUTE(SUBSTITUTE(TRIM(K532),".",""),"/",""),"-","")," ",""),"(",""),")",""),"+",""))=11)),"OK","ERRO: use DDD + número (10 ou 11 dígitos)"))</f>
      </c>
      <c r="T532" s="6">
        <f>IF(L532="","vazio",IF(AND(ISNUMBER(FIND("@",L532)),ISNUMBER(FIND(".",MID(L532,FIND("@",L532),99))),NOT(ISNUMBER(FIND(" ",TRIM(L532)))),NOT(ISNUMBER(FIND(";",L532))),NOT(ISNUMBER(FIND(",",L532)))),"OK","ERRO: um e-mail válido por linha"))</f>
      </c>
      <c r="U532" s="6">
        <f>IF(COUNTA(A532:O532)=0,"",IF(AND(B532&lt;&gt;"",C532&lt;&gt;"",D532&lt;&gt;"",E532&lt;&gt;"",H532&lt;&gt;"",OR(J532&lt;&gt;"",L532&lt;&gt;"")),"OK","ERRO: faltam "&amp;IF(B532="","Proprietário; ","")&amp;IF(C532="","Origem; ","")&amp;IF(D532="","CNPJ; ","")&amp;IF(E532="","Razão Social; ","")&amp;IF(H532="","Sobrenome; ","")&amp;IF(AND(J532="",L532=""),"telefone ou e-mail; ","")))</f>
      </c>
      <c r="V532" s="6">
        <f>IF(COUNTA(A532:O532)=0,"",IF(AND(Q532="OK",R532="OK",LEFT(S532,4)&lt;&gt;"ERRO",LEFT(T532,4)&lt;&gt;"ERRO",U532="OK"),"OK","REVISAR"))</f>
      </c>
    </row>
    <row r="533">
      <c r="A533" s="4"/>
      <c r="B533" s="5"/>
      <c r="C533" s="5"/>
      <c r="D533" s="5"/>
      <c r="E533" s="5"/>
      <c r="F533" s="4"/>
      <c r="G533" s="4"/>
      <c r="H533" s="5"/>
      <c r="I533" s="4"/>
      <c r="J533" s="4"/>
      <c r="K533" s="4"/>
      <c r="L533" s="4"/>
      <c r="M533" s="4"/>
      <c r="N533" s="4"/>
      <c r="O533" s="4"/>
      <c r="P533" s="6">
        <f>IF(D533="","",SUBSTITUTE(SUBSTITUTE(SUBSTITUTE(SUBSTITUTE(SUBSTITUTE(SUBSTITUTE(SUBSTITUTE(TRIM(D533),".",""),"/",""),"-","")," ",""),"(",""),")",""),"+",""))</f>
      </c>
      <c r="Q533" s="6">
        <f>IF(P533="","",IF(LEN(P533)&lt;&gt;14,"ERRO: "&amp;LEN(P533)&amp;" dígitos",IF(NOT(ISNUMBER(VALUE(P533))),"ERRO: não numérico",IF(LEN(SUBSTITUTE(P533,LEFT(P533,1),""))=0,"ERRO: dígitos repetidos",IF(AND(VALUE(MID(P533,13,1))=IF(MOD(SUMPRODUCT(--MID(P533,{1,2,3,4,5,6,7,8,9,10,11,12},1),{5,4,3,2,9,8,7,6,5,4,3,2}),11)&lt;2,0,11-MOD(SUMPRODUCT(--MID(P533,{1,2,3,4,5,6,7,8,9,10,11,12},1),{5,4,3,2,9,8,7,6,5,4,3,2}),11)),VALUE(MID(P533,14,1))=IF(MOD(SUMPRODUCT(--MID(P533,{1,2,3,4,5,6,7,8,9,10,11,12,13},1),{6,5,4,3,2,9,8,7,6,5,4,3,2}),11)&lt;2,0,11-MOD(SUMPRODUCT(--MID(P533,{1,2,3,4,5,6,7,8,9,10,11,12,13},1),{6,5,4,3,2,9,8,7,6,5,4,3,2}),11))),"OK","ERRO: dígito verificador")))))</f>
      </c>
      <c r="R533" s="6">
        <f>IF(P533="","",IF(COUNTIF($P$2:$P$1001,P533)&gt;1,"DUPLICADO","OK"))</f>
      </c>
      <c r="S533" s="6">
        <f>IF(AND(J533="",K533=""),"vazio",IF(AND(OR(J533="",LEN(SUBSTITUTE(SUBSTITUTE(SUBSTITUTE(SUBSTITUTE(SUBSTITUTE(SUBSTITUTE(SUBSTITUTE(TRIM(J533),".",""),"/",""),"-","")," ",""),"(",""),")",""),"+",""))=10,LEN(SUBSTITUTE(SUBSTITUTE(SUBSTITUTE(SUBSTITUTE(SUBSTITUTE(SUBSTITUTE(SUBSTITUTE(TRIM(J533),".",""),"/",""),"-","")," ",""),"(",""),")",""),"+",""))=11),OR(K533="",LEN(SUBSTITUTE(SUBSTITUTE(SUBSTITUTE(SUBSTITUTE(SUBSTITUTE(SUBSTITUTE(SUBSTITUTE(TRIM(K533),".",""),"/",""),"-","")," ",""),"(",""),")",""),"+",""))=10,LEN(SUBSTITUTE(SUBSTITUTE(SUBSTITUTE(SUBSTITUTE(SUBSTITUTE(SUBSTITUTE(SUBSTITUTE(TRIM(K533),".",""),"/",""),"-","")," ",""),"(",""),")",""),"+",""))=11)),"OK","ERRO: use DDD + número (10 ou 11 dígitos)"))</f>
      </c>
      <c r="T533" s="6">
        <f>IF(L533="","vazio",IF(AND(ISNUMBER(FIND("@",L533)),ISNUMBER(FIND(".",MID(L533,FIND("@",L533),99))),NOT(ISNUMBER(FIND(" ",TRIM(L533)))),NOT(ISNUMBER(FIND(";",L533))),NOT(ISNUMBER(FIND(",",L533)))),"OK","ERRO: um e-mail válido por linha"))</f>
      </c>
      <c r="U533" s="6">
        <f>IF(COUNTA(A533:O533)=0,"",IF(AND(B533&lt;&gt;"",C533&lt;&gt;"",D533&lt;&gt;"",E533&lt;&gt;"",H533&lt;&gt;"",OR(J533&lt;&gt;"",L533&lt;&gt;"")),"OK","ERRO: faltam "&amp;IF(B533="","Proprietário; ","")&amp;IF(C533="","Origem; ","")&amp;IF(D533="","CNPJ; ","")&amp;IF(E533="","Razão Social; ","")&amp;IF(H533="","Sobrenome; ","")&amp;IF(AND(J533="",L533=""),"telefone ou e-mail; ","")))</f>
      </c>
      <c r="V533" s="6">
        <f>IF(COUNTA(A533:O533)=0,"",IF(AND(Q533="OK",R533="OK",LEFT(S533,4)&lt;&gt;"ERRO",LEFT(T533,4)&lt;&gt;"ERRO",U533="OK"),"OK","REVISAR"))</f>
      </c>
    </row>
    <row r="534">
      <c r="A534" s="4"/>
      <c r="B534" s="5"/>
      <c r="C534" s="5"/>
      <c r="D534" s="5"/>
      <c r="E534" s="5"/>
      <c r="F534" s="4"/>
      <c r="G534" s="4"/>
      <c r="H534" s="5"/>
      <c r="I534" s="4"/>
      <c r="J534" s="4"/>
      <c r="K534" s="4"/>
      <c r="L534" s="4"/>
      <c r="M534" s="4"/>
      <c r="N534" s="4"/>
      <c r="O534" s="4"/>
      <c r="P534" s="6">
        <f>IF(D534="","",SUBSTITUTE(SUBSTITUTE(SUBSTITUTE(SUBSTITUTE(SUBSTITUTE(SUBSTITUTE(SUBSTITUTE(TRIM(D534),".",""),"/",""),"-","")," ",""),"(",""),")",""),"+",""))</f>
      </c>
      <c r="Q534" s="6">
        <f>IF(P534="","",IF(LEN(P534)&lt;&gt;14,"ERRO: "&amp;LEN(P534)&amp;" dígitos",IF(NOT(ISNUMBER(VALUE(P534))),"ERRO: não numérico",IF(LEN(SUBSTITUTE(P534,LEFT(P534,1),""))=0,"ERRO: dígitos repetidos",IF(AND(VALUE(MID(P534,13,1))=IF(MOD(SUMPRODUCT(--MID(P534,{1,2,3,4,5,6,7,8,9,10,11,12},1),{5,4,3,2,9,8,7,6,5,4,3,2}),11)&lt;2,0,11-MOD(SUMPRODUCT(--MID(P534,{1,2,3,4,5,6,7,8,9,10,11,12},1),{5,4,3,2,9,8,7,6,5,4,3,2}),11)),VALUE(MID(P534,14,1))=IF(MOD(SUMPRODUCT(--MID(P534,{1,2,3,4,5,6,7,8,9,10,11,12,13},1),{6,5,4,3,2,9,8,7,6,5,4,3,2}),11)&lt;2,0,11-MOD(SUMPRODUCT(--MID(P534,{1,2,3,4,5,6,7,8,9,10,11,12,13},1),{6,5,4,3,2,9,8,7,6,5,4,3,2}),11))),"OK","ERRO: dígito verificador")))))</f>
      </c>
      <c r="R534" s="6">
        <f>IF(P534="","",IF(COUNTIF($P$2:$P$1001,P534)&gt;1,"DUPLICADO","OK"))</f>
      </c>
      <c r="S534" s="6">
        <f>IF(AND(J534="",K534=""),"vazio",IF(AND(OR(J534="",LEN(SUBSTITUTE(SUBSTITUTE(SUBSTITUTE(SUBSTITUTE(SUBSTITUTE(SUBSTITUTE(SUBSTITUTE(TRIM(J534),".",""),"/",""),"-","")," ",""),"(",""),")",""),"+",""))=10,LEN(SUBSTITUTE(SUBSTITUTE(SUBSTITUTE(SUBSTITUTE(SUBSTITUTE(SUBSTITUTE(SUBSTITUTE(TRIM(J534),".",""),"/",""),"-","")," ",""),"(",""),")",""),"+",""))=11),OR(K534="",LEN(SUBSTITUTE(SUBSTITUTE(SUBSTITUTE(SUBSTITUTE(SUBSTITUTE(SUBSTITUTE(SUBSTITUTE(TRIM(K534),".",""),"/",""),"-","")," ",""),"(",""),")",""),"+",""))=10,LEN(SUBSTITUTE(SUBSTITUTE(SUBSTITUTE(SUBSTITUTE(SUBSTITUTE(SUBSTITUTE(SUBSTITUTE(TRIM(K534),".",""),"/",""),"-","")," ",""),"(",""),")",""),"+",""))=11)),"OK","ERRO: use DDD + número (10 ou 11 dígitos)"))</f>
      </c>
      <c r="T534" s="6">
        <f>IF(L534="","vazio",IF(AND(ISNUMBER(FIND("@",L534)),ISNUMBER(FIND(".",MID(L534,FIND("@",L534),99))),NOT(ISNUMBER(FIND(" ",TRIM(L534)))),NOT(ISNUMBER(FIND(";",L534))),NOT(ISNUMBER(FIND(",",L534)))),"OK","ERRO: um e-mail válido por linha"))</f>
      </c>
      <c r="U534" s="6">
        <f>IF(COUNTA(A534:O534)=0,"",IF(AND(B534&lt;&gt;"",C534&lt;&gt;"",D534&lt;&gt;"",E534&lt;&gt;"",H534&lt;&gt;"",OR(J534&lt;&gt;"",L534&lt;&gt;"")),"OK","ERRO: faltam "&amp;IF(B534="","Proprietário; ","")&amp;IF(C534="","Origem; ","")&amp;IF(D534="","CNPJ; ","")&amp;IF(E534="","Razão Social; ","")&amp;IF(H534="","Sobrenome; ","")&amp;IF(AND(J534="",L534=""),"telefone ou e-mail; ","")))</f>
      </c>
      <c r="V534" s="6">
        <f>IF(COUNTA(A534:O534)=0,"",IF(AND(Q534="OK",R534="OK",LEFT(S534,4)&lt;&gt;"ERRO",LEFT(T534,4)&lt;&gt;"ERRO",U534="OK"),"OK","REVISAR"))</f>
      </c>
    </row>
    <row r="535">
      <c r="A535" s="4"/>
      <c r="B535" s="5"/>
      <c r="C535" s="5"/>
      <c r="D535" s="5"/>
      <c r="E535" s="5"/>
      <c r="F535" s="4"/>
      <c r="G535" s="4"/>
      <c r="H535" s="5"/>
      <c r="I535" s="4"/>
      <c r="J535" s="4"/>
      <c r="K535" s="4"/>
      <c r="L535" s="4"/>
      <c r="M535" s="4"/>
      <c r="N535" s="4"/>
      <c r="O535" s="4"/>
      <c r="P535" s="6">
        <f>IF(D535="","",SUBSTITUTE(SUBSTITUTE(SUBSTITUTE(SUBSTITUTE(SUBSTITUTE(SUBSTITUTE(SUBSTITUTE(TRIM(D535),".",""),"/",""),"-","")," ",""),"(",""),")",""),"+",""))</f>
      </c>
      <c r="Q535" s="6">
        <f>IF(P535="","",IF(LEN(P535)&lt;&gt;14,"ERRO: "&amp;LEN(P535)&amp;" dígitos",IF(NOT(ISNUMBER(VALUE(P535))),"ERRO: não numérico",IF(LEN(SUBSTITUTE(P535,LEFT(P535,1),""))=0,"ERRO: dígitos repetidos",IF(AND(VALUE(MID(P535,13,1))=IF(MOD(SUMPRODUCT(--MID(P535,{1,2,3,4,5,6,7,8,9,10,11,12},1),{5,4,3,2,9,8,7,6,5,4,3,2}),11)&lt;2,0,11-MOD(SUMPRODUCT(--MID(P535,{1,2,3,4,5,6,7,8,9,10,11,12},1),{5,4,3,2,9,8,7,6,5,4,3,2}),11)),VALUE(MID(P535,14,1))=IF(MOD(SUMPRODUCT(--MID(P535,{1,2,3,4,5,6,7,8,9,10,11,12,13},1),{6,5,4,3,2,9,8,7,6,5,4,3,2}),11)&lt;2,0,11-MOD(SUMPRODUCT(--MID(P535,{1,2,3,4,5,6,7,8,9,10,11,12,13},1),{6,5,4,3,2,9,8,7,6,5,4,3,2}),11))),"OK","ERRO: dígito verificador")))))</f>
      </c>
      <c r="R535" s="6">
        <f>IF(P535="","",IF(COUNTIF($P$2:$P$1001,P535)&gt;1,"DUPLICADO","OK"))</f>
      </c>
      <c r="S535" s="6">
        <f>IF(AND(J535="",K535=""),"vazio",IF(AND(OR(J535="",LEN(SUBSTITUTE(SUBSTITUTE(SUBSTITUTE(SUBSTITUTE(SUBSTITUTE(SUBSTITUTE(SUBSTITUTE(TRIM(J535),".",""),"/",""),"-","")," ",""),"(",""),")",""),"+",""))=10,LEN(SUBSTITUTE(SUBSTITUTE(SUBSTITUTE(SUBSTITUTE(SUBSTITUTE(SUBSTITUTE(SUBSTITUTE(TRIM(J535),".",""),"/",""),"-","")," ",""),"(",""),")",""),"+",""))=11),OR(K535="",LEN(SUBSTITUTE(SUBSTITUTE(SUBSTITUTE(SUBSTITUTE(SUBSTITUTE(SUBSTITUTE(SUBSTITUTE(TRIM(K535),".",""),"/",""),"-","")," ",""),"(",""),")",""),"+",""))=10,LEN(SUBSTITUTE(SUBSTITUTE(SUBSTITUTE(SUBSTITUTE(SUBSTITUTE(SUBSTITUTE(SUBSTITUTE(TRIM(K535),".",""),"/",""),"-","")," ",""),"(",""),")",""),"+",""))=11)),"OK","ERRO: use DDD + número (10 ou 11 dígitos)"))</f>
      </c>
      <c r="T535" s="6">
        <f>IF(L535="","vazio",IF(AND(ISNUMBER(FIND("@",L535)),ISNUMBER(FIND(".",MID(L535,FIND("@",L535),99))),NOT(ISNUMBER(FIND(" ",TRIM(L535)))),NOT(ISNUMBER(FIND(";",L535))),NOT(ISNUMBER(FIND(",",L535)))),"OK","ERRO: um e-mail válido por linha"))</f>
      </c>
      <c r="U535" s="6">
        <f>IF(COUNTA(A535:O535)=0,"",IF(AND(B535&lt;&gt;"",C535&lt;&gt;"",D535&lt;&gt;"",E535&lt;&gt;"",H535&lt;&gt;"",OR(J535&lt;&gt;"",L535&lt;&gt;"")),"OK","ERRO: faltam "&amp;IF(B535="","Proprietário; ","")&amp;IF(C535="","Origem; ","")&amp;IF(D535="","CNPJ; ","")&amp;IF(E535="","Razão Social; ","")&amp;IF(H535="","Sobrenome; ","")&amp;IF(AND(J535="",L535=""),"telefone ou e-mail; ","")))</f>
      </c>
      <c r="V535" s="6">
        <f>IF(COUNTA(A535:O535)=0,"",IF(AND(Q535="OK",R535="OK",LEFT(S535,4)&lt;&gt;"ERRO",LEFT(T535,4)&lt;&gt;"ERRO",U535="OK"),"OK","REVISAR"))</f>
      </c>
    </row>
    <row r="536">
      <c r="A536" s="4"/>
      <c r="B536" s="5"/>
      <c r="C536" s="5"/>
      <c r="D536" s="5"/>
      <c r="E536" s="5"/>
      <c r="F536" s="4"/>
      <c r="G536" s="4"/>
      <c r="H536" s="5"/>
      <c r="I536" s="4"/>
      <c r="J536" s="4"/>
      <c r="K536" s="4"/>
      <c r="L536" s="4"/>
      <c r="M536" s="4"/>
      <c r="N536" s="4"/>
      <c r="O536" s="4"/>
      <c r="P536" s="6">
        <f>IF(D536="","",SUBSTITUTE(SUBSTITUTE(SUBSTITUTE(SUBSTITUTE(SUBSTITUTE(SUBSTITUTE(SUBSTITUTE(TRIM(D536),".",""),"/",""),"-","")," ",""),"(",""),")",""),"+",""))</f>
      </c>
      <c r="Q536" s="6">
        <f>IF(P536="","",IF(LEN(P536)&lt;&gt;14,"ERRO: "&amp;LEN(P536)&amp;" dígitos",IF(NOT(ISNUMBER(VALUE(P536))),"ERRO: não numérico",IF(LEN(SUBSTITUTE(P536,LEFT(P536,1),""))=0,"ERRO: dígitos repetidos",IF(AND(VALUE(MID(P536,13,1))=IF(MOD(SUMPRODUCT(--MID(P536,{1,2,3,4,5,6,7,8,9,10,11,12},1),{5,4,3,2,9,8,7,6,5,4,3,2}),11)&lt;2,0,11-MOD(SUMPRODUCT(--MID(P536,{1,2,3,4,5,6,7,8,9,10,11,12},1),{5,4,3,2,9,8,7,6,5,4,3,2}),11)),VALUE(MID(P536,14,1))=IF(MOD(SUMPRODUCT(--MID(P536,{1,2,3,4,5,6,7,8,9,10,11,12,13},1),{6,5,4,3,2,9,8,7,6,5,4,3,2}),11)&lt;2,0,11-MOD(SUMPRODUCT(--MID(P536,{1,2,3,4,5,6,7,8,9,10,11,12,13},1),{6,5,4,3,2,9,8,7,6,5,4,3,2}),11))),"OK","ERRO: dígito verificador")))))</f>
      </c>
      <c r="R536" s="6">
        <f>IF(P536="","",IF(COUNTIF($P$2:$P$1001,P536)&gt;1,"DUPLICADO","OK"))</f>
      </c>
      <c r="S536" s="6">
        <f>IF(AND(J536="",K536=""),"vazio",IF(AND(OR(J536="",LEN(SUBSTITUTE(SUBSTITUTE(SUBSTITUTE(SUBSTITUTE(SUBSTITUTE(SUBSTITUTE(SUBSTITUTE(TRIM(J536),".",""),"/",""),"-","")," ",""),"(",""),")",""),"+",""))=10,LEN(SUBSTITUTE(SUBSTITUTE(SUBSTITUTE(SUBSTITUTE(SUBSTITUTE(SUBSTITUTE(SUBSTITUTE(TRIM(J536),".",""),"/",""),"-","")," ",""),"(",""),")",""),"+",""))=11),OR(K536="",LEN(SUBSTITUTE(SUBSTITUTE(SUBSTITUTE(SUBSTITUTE(SUBSTITUTE(SUBSTITUTE(SUBSTITUTE(TRIM(K536),".",""),"/",""),"-","")," ",""),"(",""),")",""),"+",""))=10,LEN(SUBSTITUTE(SUBSTITUTE(SUBSTITUTE(SUBSTITUTE(SUBSTITUTE(SUBSTITUTE(SUBSTITUTE(TRIM(K536),".",""),"/",""),"-","")," ",""),"(",""),")",""),"+",""))=11)),"OK","ERRO: use DDD + número (10 ou 11 dígitos)"))</f>
      </c>
      <c r="T536" s="6">
        <f>IF(L536="","vazio",IF(AND(ISNUMBER(FIND("@",L536)),ISNUMBER(FIND(".",MID(L536,FIND("@",L536),99))),NOT(ISNUMBER(FIND(" ",TRIM(L536)))),NOT(ISNUMBER(FIND(";",L536))),NOT(ISNUMBER(FIND(",",L536)))),"OK","ERRO: um e-mail válido por linha"))</f>
      </c>
      <c r="U536" s="6">
        <f>IF(COUNTA(A536:O536)=0,"",IF(AND(B536&lt;&gt;"",C536&lt;&gt;"",D536&lt;&gt;"",E536&lt;&gt;"",H536&lt;&gt;"",OR(J536&lt;&gt;"",L536&lt;&gt;"")),"OK","ERRO: faltam "&amp;IF(B536="","Proprietário; ","")&amp;IF(C536="","Origem; ","")&amp;IF(D536="","CNPJ; ","")&amp;IF(E536="","Razão Social; ","")&amp;IF(H536="","Sobrenome; ","")&amp;IF(AND(J536="",L536=""),"telefone ou e-mail; ","")))</f>
      </c>
      <c r="V536" s="6">
        <f>IF(COUNTA(A536:O536)=0,"",IF(AND(Q536="OK",R536="OK",LEFT(S536,4)&lt;&gt;"ERRO",LEFT(T536,4)&lt;&gt;"ERRO",U536="OK"),"OK","REVISAR"))</f>
      </c>
    </row>
    <row r="537">
      <c r="A537" s="4"/>
      <c r="B537" s="5"/>
      <c r="C537" s="5"/>
      <c r="D537" s="5"/>
      <c r="E537" s="5"/>
      <c r="F537" s="4"/>
      <c r="G537" s="4"/>
      <c r="H537" s="5"/>
      <c r="I537" s="4"/>
      <c r="J537" s="4"/>
      <c r="K537" s="4"/>
      <c r="L537" s="4"/>
      <c r="M537" s="4"/>
      <c r="N537" s="4"/>
      <c r="O537" s="4"/>
      <c r="P537" s="6">
        <f>IF(D537="","",SUBSTITUTE(SUBSTITUTE(SUBSTITUTE(SUBSTITUTE(SUBSTITUTE(SUBSTITUTE(SUBSTITUTE(TRIM(D537),".",""),"/",""),"-","")," ",""),"(",""),")",""),"+",""))</f>
      </c>
      <c r="Q537" s="6">
        <f>IF(P537="","",IF(LEN(P537)&lt;&gt;14,"ERRO: "&amp;LEN(P537)&amp;" dígitos",IF(NOT(ISNUMBER(VALUE(P537))),"ERRO: não numérico",IF(LEN(SUBSTITUTE(P537,LEFT(P537,1),""))=0,"ERRO: dígitos repetidos",IF(AND(VALUE(MID(P537,13,1))=IF(MOD(SUMPRODUCT(--MID(P537,{1,2,3,4,5,6,7,8,9,10,11,12},1),{5,4,3,2,9,8,7,6,5,4,3,2}),11)&lt;2,0,11-MOD(SUMPRODUCT(--MID(P537,{1,2,3,4,5,6,7,8,9,10,11,12},1),{5,4,3,2,9,8,7,6,5,4,3,2}),11)),VALUE(MID(P537,14,1))=IF(MOD(SUMPRODUCT(--MID(P537,{1,2,3,4,5,6,7,8,9,10,11,12,13},1),{6,5,4,3,2,9,8,7,6,5,4,3,2}),11)&lt;2,0,11-MOD(SUMPRODUCT(--MID(P537,{1,2,3,4,5,6,7,8,9,10,11,12,13},1),{6,5,4,3,2,9,8,7,6,5,4,3,2}),11))),"OK","ERRO: dígito verificador")))))</f>
      </c>
      <c r="R537" s="6">
        <f>IF(P537="","",IF(COUNTIF($P$2:$P$1001,P537)&gt;1,"DUPLICADO","OK"))</f>
      </c>
      <c r="S537" s="6">
        <f>IF(AND(J537="",K537=""),"vazio",IF(AND(OR(J537="",LEN(SUBSTITUTE(SUBSTITUTE(SUBSTITUTE(SUBSTITUTE(SUBSTITUTE(SUBSTITUTE(SUBSTITUTE(TRIM(J537),".",""),"/",""),"-","")," ",""),"(",""),")",""),"+",""))=10,LEN(SUBSTITUTE(SUBSTITUTE(SUBSTITUTE(SUBSTITUTE(SUBSTITUTE(SUBSTITUTE(SUBSTITUTE(TRIM(J537),".",""),"/",""),"-","")," ",""),"(",""),")",""),"+",""))=11),OR(K537="",LEN(SUBSTITUTE(SUBSTITUTE(SUBSTITUTE(SUBSTITUTE(SUBSTITUTE(SUBSTITUTE(SUBSTITUTE(TRIM(K537),".",""),"/",""),"-","")," ",""),"(",""),")",""),"+",""))=10,LEN(SUBSTITUTE(SUBSTITUTE(SUBSTITUTE(SUBSTITUTE(SUBSTITUTE(SUBSTITUTE(SUBSTITUTE(TRIM(K537),".",""),"/",""),"-","")," ",""),"(",""),")",""),"+",""))=11)),"OK","ERRO: use DDD + número (10 ou 11 dígitos)"))</f>
      </c>
      <c r="T537" s="6">
        <f>IF(L537="","vazio",IF(AND(ISNUMBER(FIND("@",L537)),ISNUMBER(FIND(".",MID(L537,FIND("@",L537),99))),NOT(ISNUMBER(FIND(" ",TRIM(L537)))),NOT(ISNUMBER(FIND(";",L537))),NOT(ISNUMBER(FIND(",",L537)))),"OK","ERRO: um e-mail válido por linha"))</f>
      </c>
      <c r="U537" s="6">
        <f>IF(COUNTA(A537:O537)=0,"",IF(AND(B537&lt;&gt;"",C537&lt;&gt;"",D537&lt;&gt;"",E537&lt;&gt;"",H537&lt;&gt;"",OR(J537&lt;&gt;"",L537&lt;&gt;"")),"OK","ERRO: faltam "&amp;IF(B537="","Proprietário; ","")&amp;IF(C537="","Origem; ","")&amp;IF(D537="","CNPJ; ","")&amp;IF(E537="","Razão Social; ","")&amp;IF(H537="","Sobrenome; ","")&amp;IF(AND(J537="",L537=""),"telefone ou e-mail; ","")))</f>
      </c>
      <c r="V537" s="6">
        <f>IF(COUNTA(A537:O537)=0,"",IF(AND(Q537="OK",R537="OK",LEFT(S537,4)&lt;&gt;"ERRO",LEFT(T537,4)&lt;&gt;"ERRO",U537="OK"),"OK","REVISAR"))</f>
      </c>
    </row>
    <row r="538">
      <c r="A538" s="4"/>
      <c r="B538" s="5"/>
      <c r="C538" s="5"/>
      <c r="D538" s="5"/>
      <c r="E538" s="5"/>
      <c r="F538" s="4"/>
      <c r="G538" s="4"/>
      <c r="H538" s="5"/>
      <c r="I538" s="4"/>
      <c r="J538" s="4"/>
      <c r="K538" s="4"/>
      <c r="L538" s="4"/>
      <c r="M538" s="4"/>
      <c r="N538" s="4"/>
      <c r="O538" s="4"/>
      <c r="P538" s="6">
        <f>IF(D538="","",SUBSTITUTE(SUBSTITUTE(SUBSTITUTE(SUBSTITUTE(SUBSTITUTE(SUBSTITUTE(SUBSTITUTE(TRIM(D538),".",""),"/",""),"-","")," ",""),"(",""),")",""),"+",""))</f>
      </c>
      <c r="Q538" s="6">
        <f>IF(P538="","",IF(LEN(P538)&lt;&gt;14,"ERRO: "&amp;LEN(P538)&amp;" dígitos",IF(NOT(ISNUMBER(VALUE(P538))),"ERRO: não numérico",IF(LEN(SUBSTITUTE(P538,LEFT(P538,1),""))=0,"ERRO: dígitos repetidos",IF(AND(VALUE(MID(P538,13,1))=IF(MOD(SUMPRODUCT(--MID(P538,{1,2,3,4,5,6,7,8,9,10,11,12},1),{5,4,3,2,9,8,7,6,5,4,3,2}),11)&lt;2,0,11-MOD(SUMPRODUCT(--MID(P538,{1,2,3,4,5,6,7,8,9,10,11,12},1),{5,4,3,2,9,8,7,6,5,4,3,2}),11)),VALUE(MID(P538,14,1))=IF(MOD(SUMPRODUCT(--MID(P538,{1,2,3,4,5,6,7,8,9,10,11,12,13},1),{6,5,4,3,2,9,8,7,6,5,4,3,2}),11)&lt;2,0,11-MOD(SUMPRODUCT(--MID(P538,{1,2,3,4,5,6,7,8,9,10,11,12,13},1),{6,5,4,3,2,9,8,7,6,5,4,3,2}),11))),"OK","ERRO: dígito verificador")))))</f>
      </c>
      <c r="R538" s="6">
        <f>IF(P538="","",IF(COUNTIF($P$2:$P$1001,P538)&gt;1,"DUPLICADO","OK"))</f>
      </c>
      <c r="S538" s="6">
        <f>IF(AND(J538="",K538=""),"vazio",IF(AND(OR(J538="",LEN(SUBSTITUTE(SUBSTITUTE(SUBSTITUTE(SUBSTITUTE(SUBSTITUTE(SUBSTITUTE(SUBSTITUTE(TRIM(J538),".",""),"/",""),"-","")," ",""),"(",""),")",""),"+",""))=10,LEN(SUBSTITUTE(SUBSTITUTE(SUBSTITUTE(SUBSTITUTE(SUBSTITUTE(SUBSTITUTE(SUBSTITUTE(TRIM(J538),".",""),"/",""),"-","")," ",""),"(",""),")",""),"+",""))=11),OR(K538="",LEN(SUBSTITUTE(SUBSTITUTE(SUBSTITUTE(SUBSTITUTE(SUBSTITUTE(SUBSTITUTE(SUBSTITUTE(TRIM(K538),".",""),"/",""),"-","")," ",""),"(",""),")",""),"+",""))=10,LEN(SUBSTITUTE(SUBSTITUTE(SUBSTITUTE(SUBSTITUTE(SUBSTITUTE(SUBSTITUTE(SUBSTITUTE(TRIM(K538),".",""),"/",""),"-","")," ",""),"(",""),")",""),"+",""))=11)),"OK","ERRO: use DDD + número (10 ou 11 dígitos)"))</f>
      </c>
      <c r="T538" s="6">
        <f>IF(L538="","vazio",IF(AND(ISNUMBER(FIND("@",L538)),ISNUMBER(FIND(".",MID(L538,FIND("@",L538),99))),NOT(ISNUMBER(FIND(" ",TRIM(L538)))),NOT(ISNUMBER(FIND(";",L538))),NOT(ISNUMBER(FIND(",",L538)))),"OK","ERRO: um e-mail válido por linha"))</f>
      </c>
      <c r="U538" s="6">
        <f>IF(COUNTA(A538:O538)=0,"",IF(AND(B538&lt;&gt;"",C538&lt;&gt;"",D538&lt;&gt;"",E538&lt;&gt;"",H538&lt;&gt;"",OR(J538&lt;&gt;"",L538&lt;&gt;"")),"OK","ERRO: faltam "&amp;IF(B538="","Proprietário; ","")&amp;IF(C538="","Origem; ","")&amp;IF(D538="","CNPJ; ","")&amp;IF(E538="","Razão Social; ","")&amp;IF(H538="","Sobrenome; ","")&amp;IF(AND(J538="",L538=""),"telefone ou e-mail; ","")))</f>
      </c>
      <c r="V538" s="6">
        <f>IF(COUNTA(A538:O538)=0,"",IF(AND(Q538="OK",R538="OK",LEFT(S538,4)&lt;&gt;"ERRO",LEFT(T538,4)&lt;&gt;"ERRO",U538="OK"),"OK","REVISAR"))</f>
      </c>
    </row>
    <row r="539">
      <c r="A539" s="4"/>
      <c r="B539" s="5"/>
      <c r="C539" s="5"/>
      <c r="D539" s="5"/>
      <c r="E539" s="5"/>
      <c r="F539" s="4"/>
      <c r="G539" s="4"/>
      <c r="H539" s="5"/>
      <c r="I539" s="4"/>
      <c r="J539" s="4"/>
      <c r="K539" s="4"/>
      <c r="L539" s="4"/>
      <c r="M539" s="4"/>
      <c r="N539" s="4"/>
      <c r="O539" s="4"/>
      <c r="P539" s="6">
        <f>IF(D539="","",SUBSTITUTE(SUBSTITUTE(SUBSTITUTE(SUBSTITUTE(SUBSTITUTE(SUBSTITUTE(SUBSTITUTE(TRIM(D539),".",""),"/",""),"-","")," ",""),"(",""),")",""),"+",""))</f>
      </c>
      <c r="Q539" s="6">
        <f>IF(P539="","",IF(LEN(P539)&lt;&gt;14,"ERRO: "&amp;LEN(P539)&amp;" dígitos",IF(NOT(ISNUMBER(VALUE(P539))),"ERRO: não numérico",IF(LEN(SUBSTITUTE(P539,LEFT(P539,1),""))=0,"ERRO: dígitos repetidos",IF(AND(VALUE(MID(P539,13,1))=IF(MOD(SUMPRODUCT(--MID(P539,{1,2,3,4,5,6,7,8,9,10,11,12},1),{5,4,3,2,9,8,7,6,5,4,3,2}),11)&lt;2,0,11-MOD(SUMPRODUCT(--MID(P539,{1,2,3,4,5,6,7,8,9,10,11,12},1),{5,4,3,2,9,8,7,6,5,4,3,2}),11)),VALUE(MID(P539,14,1))=IF(MOD(SUMPRODUCT(--MID(P539,{1,2,3,4,5,6,7,8,9,10,11,12,13},1),{6,5,4,3,2,9,8,7,6,5,4,3,2}),11)&lt;2,0,11-MOD(SUMPRODUCT(--MID(P539,{1,2,3,4,5,6,7,8,9,10,11,12,13},1),{6,5,4,3,2,9,8,7,6,5,4,3,2}),11))),"OK","ERRO: dígito verificador")))))</f>
      </c>
      <c r="R539" s="6">
        <f>IF(P539="","",IF(COUNTIF($P$2:$P$1001,P539)&gt;1,"DUPLICADO","OK"))</f>
      </c>
      <c r="S539" s="6">
        <f>IF(AND(J539="",K539=""),"vazio",IF(AND(OR(J539="",LEN(SUBSTITUTE(SUBSTITUTE(SUBSTITUTE(SUBSTITUTE(SUBSTITUTE(SUBSTITUTE(SUBSTITUTE(TRIM(J539),".",""),"/",""),"-","")," ",""),"(",""),")",""),"+",""))=10,LEN(SUBSTITUTE(SUBSTITUTE(SUBSTITUTE(SUBSTITUTE(SUBSTITUTE(SUBSTITUTE(SUBSTITUTE(TRIM(J539),".",""),"/",""),"-","")," ",""),"(",""),")",""),"+",""))=11),OR(K539="",LEN(SUBSTITUTE(SUBSTITUTE(SUBSTITUTE(SUBSTITUTE(SUBSTITUTE(SUBSTITUTE(SUBSTITUTE(TRIM(K539),".",""),"/",""),"-","")," ",""),"(",""),")",""),"+",""))=10,LEN(SUBSTITUTE(SUBSTITUTE(SUBSTITUTE(SUBSTITUTE(SUBSTITUTE(SUBSTITUTE(SUBSTITUTE(TRIM(K539),".",""),"/",""),"-","")," ",""),"(",""),")",""),"+",""))=11)),"OK","ERRO: use DDD + número (10 ou 11 dígitos)"))</f>
      </c>
      <c r="T539" s="6">
        <f>IF(L539="","vazio",IF(AND(ISNUMBER(FIND("@",L539)),ISNUMBER(FIND(".",MID(L539,FIND("@",L539),99))),NOT(ISNUMBER(FIND(" ",TRIM(L539)))),NOT(ISNUMBER(FIND(";",L539))),NOT(ISNUMBER(FIND(",",L539)))),"OK","ERRO: um e-mail válido por linha"))</f>
      </c>
      <c r="U539" s="6">
        <f>IF(COUNTA(A539:O539)=0,"",IF(AND(B539&lt;&gt;"",C539&lt;&gt;"",D539&lt;&gt;"",E539&lt;&gt;"",H539&lt;&gt;"",OR(J539&lt;&gt;"",L539&lt;&gt;"")),"OK","ERRO: faltam "&amp;IF(B539="","Proprietário; ","")&amp;IF(C539="","Origem; ","")&amp;IF(D539="","CNPJ; ","")&amp;IF(E539="","Razão Social; ","")&amp;IF(H539="","Sobrenome; ","")&amp;IF(AND(J539="",L539=""),"telefone ou e-mail; ","")))</f>
      </c>
      <c r="V539" s="6">
        <f>IF(COUNTA(A539:O539)=0,"",IF(AND(Q539="OK",R539="OK",LEFT(S539,4)&lt;&gt;"ERRO",LEFT(T539,4)&lt;&gt;"ERRO",U539="OK"),"OK","REVISAR"))</f>
      </c>
    </row>
    <row r="540">
      <c r="A540" s="4"/>
      <c r="B540" s="5"/>
      <c r="C540" s="5"/>
      <c r="D540" s="5"/>
      <c r="E540" s="5"/>
      <c r="F540" s="4"/>
      <c r="G540" s="4"/>
      <c r="H540" s="5"/>
      <c r="I540" s="4"/>
      <c r="J540" s="4"/>
      <c r="K540" s="4"/>
      <c r="L540" s="4"/>
      <c r="M540" s="4"/>
      <c r="N540" s="4"/>
      <c r="O540" s="4"/>
      <c r="P540" s="6">
        <f>IF(D540="","",SUBSTITUTE(SUBSTITUTE(SUBSTITUTE(SUBSTITUTE(SUBSTITUTE(SUBSTITUTE(SUBSTITUTE(TRIM(D540),".",""),"/",""),"-","")," ",""),"(",""),")",""),"+",""))</f>
      </c>
      <c r="Q540" s="6">
        <f>IF(P540="","",IF(LEN(P540)&lt;&gt;14,"ERRO: "&amp;LEN(P540)&amp;" dígitos",IF(NOT(ISNUMBER(VALUE(P540))),"ERRO: não numérico",IF(LEN(SUBSTITUTE(P540,LEFT(P540,1),""))=0,"ERRO: dígitos repetidos",IF(AND(VALUE(MID(P540,13,1))=IF(MOD(SUMPRODUCT(--MID(P540,{1,2,3,4,5,6,7,8,9,10,11,12},1),{5,4,3,2,9,8,7,6,5,4,3,2}),11)&lt;2,0,11-MOD(SUMPRODUCT(--MID(P540,{1,2,3,4,5,6,7,8,9,10,11,12},1),{5,4,3,2,9,8,7,6,5,4,3,2}),11)),VALUE(MID(P540,14,1))=IF(MOD(SUMPRODUCT(--MID(P540,{1,2,3,4,5,6,7,8,9,10,11,12,13},1),{6,5,4,3,2,9,8,7,6,5,4,3,2}),11)&lt;2,0,11-MOD(SUMPRODUCT(--MID(P540,{1,2,3,4,5,6,7,8,9,10,11,12,13},1),{6,5,4,3,2,9,8,7,6,5,4,3,2}),11))),"OK","ERRO: dígito verificador")))))</f>
      </c>
      <c r="R540" s="6">
        <f>IF(P540="","",IF(COUNTIF($P$2:$P$1001,P540)&gt;1,"DUPLICADO","OK"))</f>
      </c>
      <c r="S540" s="6">
        <f>IF(AND(J540="",K540=""),"vazio",IF(AND(OR(J540="",LEN(SUBSTITUTE(SUBSTITUTE(SUBSTITUTE(SUBSTITUTE(SUBSTITUTE(SUBSTITUTE(SUBSTITUTE(TRIM(J540),".",""),"/",""),"-","")," ",""),"(",""),")",""),"+",""))=10,LEN(SUBSTITUTE(SUBSTITUTE(SUBSTITUTE(SUBSTITUTE(SUBSTITUTE(SUBSTITUTE(SUBSTITUTE(TRIM(J540),".",""),"/",""),"-","")," ",""),"(",""),")",""),"+",""))=11),OR(K540="",LEN(SUBSTITUTE(SUBSTITUTE(SUBSTITUTE(SUBSTITUTE(SUBSTITUTE(SUBSTITUTE(SUBSTITUTE(TRIM(K540),".",""),"/",""),"-","")," ",""),"(",""),")",""),"+",""))=10,LEN(SUBSTITUTE(SUBSTITUTE(SUBSTITUTE(SUBSTITUTE(SUBSTITUTE(SUBSTITUTE(SUBSTITUTE(TRIM(K540),".",""),"/",""),"-","")," ",""),"(",""),")",""),"+",""))=11)),"OK","ERRO: use DDD + número (10 ou 11 dígitos)"))</f>
      </c>
      <c r="T540" s="6">
        <f>IF(L540="","vazio",IF(AND(ISNUMBER(FIND("@",L540)),ISNUMBER(FIND(".",MID(L540,FIND("@",L540),99))),NOT(ISNUMBER(FIND(" ",TRIM(L540)))),NOT(ISNUMBER(FIND(";",L540))),NOT(ISNUMBER(FIND(",",L540)))),"OK","ERRO: um e-mail válido por linha"))</f>
      </c>
      <c r="U540" s="6">
        <f>IF(COUNTA(A540:O540)=0,"",IF(AND(B540&lt;&gt;"",C540&lt;&gt;"",D540&lt;&gt;"",E540&lt;&gt;"",H540&lt;&gt;"",OR(J540&lt;&gt;"",L540&lt;&gt;"")),"OK","ERRO: faltam "&amp;IF(B540="","Proprietário; ","")&amp;IF(C540="","Origem; ","")&amp;IF(D540="","CNPJ; ","")&amp;IF(E540="","Razão Social; ","")&amp;IF(H540="","Sobrenome; ","")&amp;IF(AND(J540="",L540=""),"telefone ou e-mail; ","")))</f>
      </c>
      <c r="V540" s="6">
        <f>IF(COUNTA(A540:O540)=0,"",IF(AND(Q540="OK",R540="OK",LEFT(S540,4)&lt;&gt;"ERRO",LEFT(T540,4)&lt;&gt;"ERRO",U540="OK"),"OK","REVISAR"))</f>
      </c>
    </row>
    <row r="541">
      <c r="A541" s="4"/>
      <c r="B541" s="5"/>
      <c r="C541" s="5"/>
      <c r="D541" s="5"/>
      <c r="E541" s="5"/>
      <c r="F541" s="4"/>
      <c r="G541" s="4"/>
      <c r="H541" s="5"/>
      <c r="I541" s="4"/>
      <c r="J541" s="4"/>
      <c r="K541" s="4"/>
      <c r="L541" s="4"/>
      <c r="M541" s="4"/>
      <c r="N541" s="4"/>
      <c r="O541" s="4"/>
      <c r="P541" s="6">
        <f>IF(D541="","",SUBSTITUTE(SUBSTITUTE(SUBSTITUTE(SUBSTITUTE(SUBSTITUTE(SUBSTITUTE(SUBSTITUTE(TRIM(D541),".",""),"/",""),"-","")," ",""),"(",""),")",""),"+",""))</f>
      </c>
      <c r="Q541" s="6">
        <f>IF(P541="","",IF(LEN(P541)&lt;&gt;14,"ERRO: "&amp;LEN(P541)&amp;" dígitos",IF(NOT(ISNUMBER(VALUE(P541))),"ERRO: não numérico",IF(LEN(SUBSTITUTE(P541,LEFT(P541,1),""))=0,"ERRO: dígitos repetidos",IF(AND(VALUE(MID(P541,13,1))=IF(MOD(SUMPRODUCT(--MID(P541,{1,2,3,4,5,6,7,8,9,10,11,12},1),{5,4,3,2,9,8,7,6,5,4,3,2}),11)&lt;2,0,11-MOD(SUMPRODUCT(--MID(P541,{1,2,3,4,5,6,7,8,9,10,11,12},1),{5,4,3,2,9,8,7,6,5,4,3,2}),11)),VALUE(MID(P541,14,1))=IF(MOD(SUMPRODUCT(--MID(P541,{1,2,3,4,5,6,7,8,9,10,11,12,13},1),{6,5,4,3,2,9,8,7,6,5,4,3,2}),11)&lt;2,0,11-MOD(SUMPRODUCT(--MID(P541,{1,2,3,4,5,6,7,8,9,10,11,12,13},1),{6,5,4,3,2,9,8,7,6,5,4,3,2}),11))),"OK","ERRO: dígito verificador")))))</f>
      </c>
      <c r="R541" s="6">
        <f>IF(P541="","",IF(COUNTIF($P$2:$P$1001,P541)&gt;1,"DUPLICADO","OK"))</f>
      </c>
      <c r="S541" s="6">
        <f>IF(AND(J541="",K541=""),"vazio",IF(AND(OR(J541="",LEN(SUBSTITUTE(SUBSTITUTE(SUBSTITUTE(SUBSTITUTE(SUBSTITUTE(SUBSTITUTE(SUBSTITUTE(TRIM(J541),".",""),"/",""),"-","")," ",""),"(",""),")",""),"+",""))=10,LEN(SUBSTITUTE(SUBSTITUTE(SUBSTITUTE(SUBSTITUTE(SUBSTITUTE(SUBSTITUTE(SUBSTITUTE(TRIM(J541),".",""),"/",""),"-","")," ",""),"(",""),")",""),"+",""))=11),OR(K541="",LEN(SUBSTITUTE(SUBSTITUTE(SUBSTITUTE(SUBSTITUTE(SUBSTITUTE(SUBSTITUTE(SUBSTITUTE(TRIM(K541),".",""),"/",""),"-","")," ",""),"(",""),")",""),"+",""))=10,LEN(SUBSTITUTE(SUBSTITUTE(SUBSTITUTE(SUBSTITUTE(SUBSTITUTE(SUBSTITUTE(SUBSTITUTE(TRIM(K541),".",""),"/",""),"-","")," ",""),"(",""),")",""),"+",""))=11)),"OK","ERRO: use DDD + número (10 ou 11 dígitos)"))</f>
      </c>
      <c r="T541" s="6">
        <f>IF(L541="","vazio",IF(AND(ISNUMBER(FIND("@",L541)),ISNUMBER(FIND(".",MID(L541,FIND("@",L541),99))),NOT(ISNUMBER(FIND(" ",TRIM(L541)))),NOT(ISNUMBER(FIND(";",L541))),NOT(ISNUMBER(FIND(",",L541)))),"OK","ERRO: um e-mail válido por linha"))</f>
      </c>
      <c r="U541" s="6">
        <f>IF(COUNTA(A541:O541)=0,"",IF(AND(B541&lt;&gt;"",C541&lt;&gt;"",D541&lt;&gt;"",E541&lt;&gt;"",H541&lt;&gt;"",OR(J541&lt;&gt;"",L541&lt;&gt;"")),"OK","ERRO: faltam "&amp;IF(B541="","Proprietário; ","")&amp;IF(C541="","Origem; ","")&amp;IF(D541="","CNPJ; ","")&amp;IF(E541="","Razão Social; ","")&amp;IF(H541="","Sobrenome; ","")&amp;IF(AND(J541="",L541=""),"telefone ou e-mail; ","")))</f>
      </c>
      <c r="V541" s="6">
        <f>IF(COUNTA(A541:O541)=0,"",IF(AND(Q541="OK",R541="OK",LEFT(S541,4)&lt;&gt;"ERRO",LEFT(T541,4)&lt;&gt;"ERRO",U541="OK"),"OK","REVISAR"))</f>
      </c>
    </row>
    <row r="542">
      <c r="A542" s="4"/>
      <c r="B542" s="5"/>
      <c r="C542" s="5"/>
      <c r="D542" s="5"/>
      <c r="E542" s="5"/>
      <c r="F542" s="4"/>
      <c r="G542" s="4"/>
      <c r="H542" s="5"/>
      <c r="I542" s="4"/>
      <c r="J542" s="4"/>
      <c r="K542" s="4"/>
      <c r="L542" s="4"/>
      <c r="M542" s="4"/>
      <c r="N542" s="4"/>
      <c r="O542" s="4"/>
      <c r="P542" s="6">
        <f>IF(D542="","",SUBSTITUTE(SUBSTITUTE(SUBSTITUTE(SUBSTITUTE(SUBSTITUTE(SUBSTITUTE(SUBSTITUTE(TRIM(D542),".",""),"/",""),"-","")," ",""),"(",""),")",""),"+",""))</f>
      </c>
      <c r="Q542" s="6">
        <f>IF(P542="","",IF(LEN(P542)&lt;&gt;14,"ERRO: "&amp;LEN(P542)&amp;" dígitos",IF(NOT(ISNUMBER(VALUE(P542))),"ERRO: não numérico",IF(LEN(SUBSTITUTE(P542,LEFT(P542,1),""))=0,"ERRO: dígitos repetidos",IF(AND(VALUE(MID(P542,13,1))=IF(MOD(SUMPRODUCT(--MID(P542,{1,2,3,4,5,6,7,8,9,10,11,12},1),{5,4,3,2,9,8,7,6,5,4,3,2}),11)&lt;2,0,11-MOD(SUMPRODUCT(--MID(P542,{1,2,3,4,5,6,7,8,9,10,11,12},1),{5,4,3,2,9,8,7,6,5,4,3,2}),11)),VALUE(MID(P542,14,1))=IF(MOD(SUMPRODUCT(--MID(P542,{1,2,3,4,5,6,7,8,9,10,11,12,13},1),{6,5,4,3,2,9,8,7,6,5,4,3,2}),11)&lt;2,0,11-MOD(SUMPRODUCT(--MID(P542,{1,2,3,4,5,6,7,8,9,10,11,12,13},1),{6,5,4,3,2,9,8,7,6,5,4,3,2}),11))),"OK","ERRO: dígito verificador")))))</f>
      </c>
      <c r="R542" s="6">
        <f>IF(P542="","",IF(COUNTIF($P$2:$P$1001,P542)&gt;1,"DUPLICADO","OK"))</f>
      </c>
      <c r="S542" s="6">
        <f>IF(AND(J542="",K542=""),"vazio",IF(AND(OR(J542="",LEN(SUBSTITUTE(SUBSTITUTE(SUBSTITUTE(SUBSTITUTE(SUBSTITUTE(SUBSTITUTE(SUBSTITUTE(TRIM(J542),".",""),"/",""),"-","")," ",""),"(",""),")",""),"+",""))=10,LEN(SUBSTITUTE(SUBSTITUTE(SUBSTITUTE(SUBSTITUTE(SUBSTITUTE(SUBSTITUTE(SUBSTITUTE(TRIM(J542),".",""),"/",""),"-","")," ",""),"(",""),")",""),"+",""))=11),OR(K542="",LEN(SUBSTITUTE(SUBSTITUTE(SUBSTITUTE(SUBSTITUTE(SUBSTITUTE(SUBSTITUTE(SUBSTITUTE(TRIM(K542),".",""),"/",""),"-","")," ",""),"(",""),")",""),"+",""))=10,LEN(SUBSTITUTE(SUBSTITUTE(SUBSTITUTE(SUBSTITUTE(SUBSTITUTE(SUBSTITUTE(SUBSTITUTE(TRIM(K542),".",""),"/",""),"-","")," ",""),"(",""),")",""),"+",""))=11)),"OK","ERRO: use DDD + número (10 ou 11 dígitos)"))</f>
      </c>
      <c r="T542" s="6">
        <f>IF(L542="","vazio",IF(AND(ISNUMBER(FIND("@",L542)),ISNUMBER(FIND(".",MID(L542,FIND("@",L542),99))),NOT(ISNUMBER(FIND(" ",TRIM(L542)))),NOT(ISNUMBER(FIND(";",L542))),NOT(ISNUMBER(FIND(",",L542)))),"OK","ERRO: um e-mail válido por linha"))</f>
      </c>
      <c r="U542" s="6">
        <f>IF(COUNTA(A542:O542)=0,"",IF(AND(B542&lt;&gt;"",C542&lt;&gt;"",D542&lt;&gt;"",E542&lt;&gt;"",H542&lt;&gt;"",OR(J542&lt;&gt;"",L542&lt;&gt;"")),"OK","ERRO: faltam "&amp;IF(B542="","Proprietário; ","")&amp;IF(C542="","Origem; ","")&amp;IF(D542="","CNPJ; ","")&amp;IF(E542="","Razão Social; ","")&amp;IF(H542="","Sobrenome; ","")&amp;IF(AND(J542="",L542=""),"telefone ou e-mail; ","")))</f>
      </c>
      <c r="V542" s="6">
        <f>IF(COUNTA(A542:O542)=0,"",IF(AND(Q542="OK",R542="OK",LEFT(S542,4)&lt;&gt;"ERRO",LEFT(T542,4)&lt;&gt;"ERRO",U542="OK"),"OK","REVISAR"))</f>
      </c>
    </row>
    <row r="543">
      <c r="A543" s="4"/>
      <c r="B543" s="5"/>
      <c r="C543" s="5"/>
      <c r="D543" s="5"/>
      <c r="E543" s="5"/>
      <c r="F543" s="4"/>
      <c r="G543" s="4"/>
      <c r="H543" s="5"/>
      <c r="I543" s="4"/>
      <c r="J543" s="4"/>
      <c r="K543" s="4"/>
      <c r="L543" s="4"/>
      <c r="M543" s="4"/>
      <c r="N543" s="4"/>
      <c r="O543" s="4"/>
      <c r="P543" s="6">
        <f>IF(D543="","",SUBSTITUTE(SUBSTITUTE(SUBSTITUTE(SUBSTITUTE(SUBSTITUTE(SUBSTITUTE(SUBSTITUTE(TRIM(D543),".",""),"/",""),"-","")," ",""),"(",""),")",""),"+",""))</f>
      </c>
      <c r="Q543" s="6">
        <f>IF(P543="","",IF(LEN(P543)&lt;&gt;14,"ERRO: "&amp;LEN(P543)&amp;" dígitos",IF(NOT(ISNUMBER(VALUE(P543))),"ERRO: não numérico",IF(LEN(SUBSTITUTE(P543,LEFT(P543,1),""))=0,"ERRO: dígitos repetidos",IF(AND(VALUE(MID(P543,13,1))=IF(MOD(SUMPRODUCT(--MID(P543,{1,2,3,4,5,6,7,8,9,10,11,12},1),{5,4,3,2,9,8,7,6,5,4,3,2}),11)&lt;2,0,11-MOD(SUMPRODUCT(--MID(P543,{1,2,3,4,5,6,7,8,9,10,11,12},1),{5,4,3,2,9,8,7,6,5,4,3,2}),11)),VALUE(MID(P543,14,1))=IF(MOD(SUMPRODUCT(--MID(P543,{1,2,3,4,5,6,7,8,9,10,11,12,13},1),{6,5,4,3,2,9,8,7,6,5,4,3,2}),11)&lt;2,0,11-MOD(SUMPRODUCT(--MID(P543,{1,2,3,4,5,6,7,8,9,10,11,12,13},1),{6,5,4,3,2,9,8,7,6,5,4,3,2}),11))),"OK","ERRO: dígito verificador")))))</f>
      </c>
      <c r="R543" s="6">
        <f>IF(P543="","",IF(COUNTIF($P$2:$P$1001,P543)&gt;1,"DUPLICADO","OK"))</f>
      </c>
      <c r="S543" s="6">
        <f>IF(AND(J543="",K543=""),"vazio",IF(AND(OR(J543="",LEN(SUBSTITUTE(SUBSTITUTE(SUBSTITUTE(SUBSTITUTE(SUBSTITUTE(SUBSTITUTE(SUBSTITUTE(TRIM(J543),".",""),"/",""),"-","")," ",""),"(",""),")",""),"+",""))=10,LEN(SUBSTITUTE(SUBSTITUTE(SUBSTITUTE(SUBSTITUTE(SUBSTITUTE(SUBSTITUTE(SUBSTITUTE(TRIM(J543),".",""),"/",""),"-","")," ",""),"(",""),")",""),"+",""))=11),OR(K543="",LEN(SUBSTITUTE(SUBSTITUTE(SUBSTITUTE(SUBSTITUTE(SUBSTITUTE(SUBSTITUTE(SUBSTITUTE(TRIM(K543),".",""),"/",""),"-","")," ",""),"(",""),")",""),"+",""))=10,LEN(SUBSTITUTE(SUBSTITUTE(SUBSTITUTE(SUBSTITUTE(SUBSTITUTE(SUBSTITUTE(SUBSTITUTE(TRIM(K543),".",""),"/",""),"-","")," ",""),"(",""),")",""),"+",""))=11)),"OK","ERRO: use DDD + número (10 ou 11 dígitos)"))</f>
      </c>
      <c r="T543" s="6">
        <f>IF(L543="","vazio",IF(AND(ISNUMBER(FIND("@",L543)),ISNUMBER(FIND(".",MID(L543,FIND("@",L543),99))),NOT(ISNUMBER(FIND(" ",TRIM(L543)))),NOT(ISNUMBER(FIND(";",L543))),NOT(ISNUMBER(FIND(",",L543)))),"OK","ERRO: um e-mail válido por linha"))</f>
      </c>
      <c r="U543" s="6">
        <f>IF(COUNTA(A543:O543)=0,"",IF(AND(B543&lt;&gt;"",C543&lt;&gt;"",D543&lt;&gt;"",E543&lt;&gt;"",H543&lt;&gt;"",OR(J543&lt;&gt;"",L543&lt;&gt;"")),"OK","ERRO: faltam "&amp;IF(B543="","Proprietário; ","")&amp;IF(C543="","Origem; ","")&amp;IF(D543="","CNPJ; ","")&amp;IF(E543="","Razão Social; ","")&amp;IF(H543="","Sobrenome; ","")&amp;IF(AND(J543="",L543=""),"telefone ou e-mail; ","")))</f>
      </c>
      <c r="V543" s="6">
        <f>IF(COUNTA(A543:O543)=0,"",IF(AND(Q543="OK",R543="OK",LEFT(S543,4)&lt;&gt;"ERRO",LEFT(T543,4)&lt;&gt;"ERRO",U543="OK"),"OK","REVISAR"))</f>
      </c>
    </row>
    <row r="544">
      <c r="A544" s="4"/>
      <c r="B544" s="5"/>
      <c r="C544" s="5"/>
      <c r="D544" s="5"/>
      <c r="E544" s="5"/>
      <c r="F544" s="4"/>
      <c r="G544" s="4"/>
      <c r="H544" s="5"/>
      <c r="I544" s="4"/>
      <c r="J544" s="4"/>
      <c r="K544" s="4"/>
      <c r="L544" s="4"/>
      <c r="M544" s="4"/>
      <c r="N544" s="4"/>
      <c r="O544" s="4"/>
      <c r="P544" s="6">
        <f>IF(D544="","",SUBSTITUTE(SUBSTITUTE(SUBSTITUTE(SUBSTITUTE(SUBSTITUTE(SUBSTITUTE(SUBSTITUTE(TRIM(D544),".",""),"/",""),"-","")," ",""),"(",""),")",""),"+",""))</f>
      </c>
      <c r="Q544" s="6">
        <f>IF(P544="","",IF(LEN(P544)&lt;&gt;14,"ERRO: "&amp;LEN(P544)&amp;" dígitos",IF(NOT(ISNUMBER(VALUE(P544))),"ERRO: não numérico",IF(LEN(SUBSTITUTE(P544,LEFT(P544,1),""))=0,"ERRO: dígitos repetidos",IF(AND(VALUE(MID(P544,13,1))=IF(MOD(SUMPRODUCT(--MID(P544,{1,2,3,4,5,6,7,8,9,10,11,12},1),{5,4,3,2,9,8,7,6,5,4,3,2}),11)&lt;2,0,11-MOD(SUMPRODUCT(--MID(P544,{1,2,3,4,5,6,7,8,9,10,11,12},1),{5,4,3,2,9,8,7,6,5,4,3,2}),11)),VALUE(MID(P544,14,1))=IF(MOD(SUMPRODUCT(--MID(P544,{1,2,3,4,5,6,7,8,9,10,11,12,13},1),{6,5,4,3,2,9,8,7,6,5,4,3,2}),11)&lt;2,0,11-MOD(SUMPRODUCT(--MID(P544,{1,2,3,4,5,6,7,8,9,10,11,12,13},1),{6,5,4,3,2,9,8,7,6,5,4,3,2}),11))),"OK","ERRO: dígito verificador")))))</f>
      </c>
      <c r="R544" s="6">
        <f>IF(P544="","",IF(COUNTIF($P$2:$P$1001,P544)&gt;1,"DUPLICADO","OK"))</f>
      </c>
      <c r="S544" s="6">
        <f>IF(AND(J544="",K544=""),"vazio",IF(AND(OR(J544="",LEN(SUBSTITUTE(SUBSTITUTE(SUBSTITUTE(SUBSTITUTE(SUBSTITUTE(SUBSTITUTE(SUBSTITUTE(TRIM(J544),".",""),"/",""),"-","")," ",""),"(",""),")",""),"+",""))=10,LEN(SUBSTITUTE(SUBSTITUTE(SUBSTITUTE(SUBSTITUTE(SUBSTITUTE(SUBSTITUTE(SUBSTITUTE(TRIM(J544),".",""),"/",""),"-","")," ",""),"(",""),")",""),"+",""))=11),OR(K544="",LEN(SUBSTITUTE(SUBSTITUTE(SUBSTITUTE(SUBSTITUTE(SUBSTITUTE(SUBSTITUTE(SUBSTITUTE(TRIM(K544),".",""),"/",""),"-","")," ",""),"(",""),")",""),"+",""))=10,LEN(SUBSTITUTE(SUBSTITUTE(SUBSTITUTE(SUBSTITUTE(SUBSTITUTE(SUBSTITUTE(SUBSTITUTE(TRIM(K544),".",""),"/",""),"-","")," ",""),"(",""),")",""),"+",""))=11)),"OK","ERRO: use DDD + número (10 ou 11 dígitos)"))</f>
      </c>
      <c r="T544" s="6">
        <f>IF(L544="","vazio",IF(AND(ISNUMBER(FIND("@",L544)),ISNUMBER(FIND(".",MID(L544,FIND("@",L544),99))),NOT(ISNUMBER(FIND(" ",TRIM(L544)))),NOT(ISNUMBER(FIND(";",L544))),NOT(ISNUMBER(FIND(",",L544)))),"OK","ERRO: um e-mail válido por linha"))</f>
      </c>
      <c r="U544" s="6">
        <f>IF(COUNTA(A544:O544)=0,"",IF(AND(B544&lt;&gt;"",C544&lt;&gt;"",D544&lt;&gt;"",E544&lt;&gt;"",H544&lt;&gt;"",OR(J544&lt;&gt;"",L544&lt;&gt;"")),"OK","ERRO: faltam "&amp;IF(B544="","Proprietário; ","")&amp;IF(C544="","Origem; ","")&amp;IF(D544="","CNPJ; ","")&amp;IF(E544="","Razão Social; ","")&amp;IF(H544="","Sobrenome; ","")&amp;IF(AND(J544="",L544=""),"telefone ou e-mail; ","")))</f>
      </c>
      <c r="V544" s="6">
        <f>IF(COUNTA(A544:O544)=0,"",IF(AND(Q544="OK",R544="OK",LEFT(S544,4)&lt;&gt;"ERRO",LEFT(T544,4)&lt;&gt;"ERRO",U544="OK"),"OK","REVISAR"))</f>
      </c>
    </row>
    <row r="545">
      <c r="A545" s="4"/>
      <c r="B545" s="5"/>
      <c r="C545" s="5"/>
      <c r="D545" s="5"/>
      <c r="E545" s="5"/>
      <c r="F545" s="4"/>
      <c r="G545" s="4"/>
      <c r="H545" s="5"/>
      <c r="I545" s="4"/>
      <c r="J545" s="4"/>
      <c r="K545" s="4"/>
      <c r="L545" s="4"/>
      <c r="M545" s="4"/>
      <c r="N545" s="4"/>
      <c r="O545" s="4"/>
      <c r="P545" s="6">
        <f>IF(D545="","",SUBSTITUTE(SUBSTITUTE(SUBSTITUTE(SUBSTITUTE(SUBSTITUTE(SUBSTITUTE(SUBSTITUTE(TRIM(D545),".",""),"/",""),"-","")," ",""),"(",""),")",""),"+",""))</f>
      </c>
      <c r="Q545" s="6">
        <f>IF(P545="","",IF(LEN(P545)&lt;&gt;14,"ERRO: "&amp;LEN(P545)&amp;" dígitos",IF(NOT(ISNUMBER(VALUE(P545))),"ERRO: não numérico",IF(LEN(SUBSTITUTE(P545,LEFT(P545,1),""))=0,"ERRO: dígitos repetidos",IF(AND(VALUE(MID(P545,13,1))=IF(MOD(SUMPRODUCT(--MID(P545,{1,2,3,4,5,6,7,8,9,10,11,12},1),{5,4,3,2,9,8,7,6,5,4,3,2}),11)&lt;2,0,11-MOD(SUMPRODUCT(--MID(P545,{1,2,3,4,5,6,7,8,9,10,11,12},1),{5,4,3,2,9,8,7,6,5,4,3,2}),11)),VALUE(MID(P545,14,1))=IF(MOD(SUMPRODUCT(--MID(P545,{1,2,3,4,5,6,7,8,9,10,11,12,13},1),{6,5,4,3,2,9,8,7,6,5,4,3,2}),11)&lt;2,0,11-MOD(SUMPRODUCT(--MID(P545,{1,2,3,4,5,6,7,8,9,10,11,12,13},1),{6,5,4,3,2,9,8,7,6,5,4,3,2}),11))),"OK","ERRO: dígito verificador")))))</f>
      </c>
      <c r="R545" s="6">
        <f>IF(P545="","",IF(COUNTIF($P$2:$P$1001,P545)&gt;1,"DUPLICADO","OK"))</f>
      </c>
      <c r="S545" s="6">
        <f>IF(AND(J545="",K545=""),"vazio",IF(AND(OR(J545="",LEN(SUBSTITUTE(SUBSTITUTE(SUBSTITUTE(SUBSTITUTE(SUBSTITUTE(SUBSTITUTE(SUBSTITUTE(TRIM(J545),".",""),"/",""),"-","")," ",""),"(",""),")",""),"+",""))=10,LEN(SUBSTITUTE(SUBSTITUTE(SUBSTITUTE(SUBSTITUTE(SUBSTITUTE(SUBSTITUTE(SUBSTITUTE(TRIM(J545),".",""),"/",""),"-","")," ",""),"(",""),")",""),"+",""))=11),OR(K545="",LEN(SUBSTITUTE(SUBSTITUTE(SUBSTITUTE(SUBSTITUTE(SUBSTITUTE(SUBSTITUTE(SUBSTITUTE(TRIM(K545),".",""),"/",""),"-","")," ",""),"(",""),")",""),"+",""))=10,LEN(SUBSTITUTE(SUBSTITUTE(SUBSTITUTE(SUBSTITUTE(SUBSTITUTE(SUBSTITUTE(SUBSTITUTE(TRIM(K545),".",""),"/",""),"-","")," ",""),"(",""),")",""),"+",""))=11)),"OK","ERRO: use DDD + número (10 ou 11 dígitos)"))</f>
      </c>
      <c r="T545" s="6">
        <f>IF(L545="","vazio",IF(AND(ISNUMBER(FIND("@",L545)),ISNUMBER(FIND(".",MID(L545,FIND("@",L545),99))),NOT(ISNUMBER(FIND(" ",TRIM(L545)))),NOT(ISNUMBER(FIND(";",L545))),NOT(ISNUMBER(FIND(",",L545)))),"OK","ERRO: um e-mail válido por linha"))</f>
      </c>
      <c r="U545" s="6">
        <f>IF(COUNTA(A545:O545)=0,"",IF(AND(B545&lt;&gt;"",C545&lt;&gt;"",D545&lt;&gt;"",E545&lt;&gt;"",H545&lt;&gt;"",OR(J545&lt;&gt;"",L545&lt;&gt;"")),"OK","ERRO: faltam "&amp;IF(B545="","Proprietário; ","")&amp;IF(C545="","Origem; ","")&amp;IF(D545="","CNPJ; ","")&amp;IF(E545="","Razão Social; ","")&amp;IF(H545="","Sobrenome; ","")&amp;IF(AND(J545="",L545=""),"telefone ou e-mail; ","")))</f>
      </c>
      <c r="V545" s="6">
        <f>IF(COUNTA(A545:O545)=0,"",IF(AND(Q545="OK",R545="OK",LEFT(S545,4)&lt;&gt;"ERRO",LEFT(T545,4)&lt;&gt;"ERRO",U545="OK"),"OK","REVISAR"))</f>
      </c>
    </row>
    <row r="546">
      <c r="A546" s="4"/>
      <c r="B546" s="5"/>
      <c r="C546" s="5"/>
      <c r="D546" s="5"/>
      <c r="E546" s="5"/>
      <c r="F546" s="4"/>
      <c r="G546" s="4"/>
      <c r="H546" s="5"/>
      <c r="I546" s="4"/>
      <c r="J546" s="4"/>
      <c r="K546" s="4"/>
      <c r="L546" s="4"/>
      <c r="M546" s="4"/>
      <c r="N546" s="4"/>
      <c r="O546" s="4"/>
      <c r="P546" s="6">
        <f>IF(D546="","",SUBSTITUTE(SUBSTITUTE(SUBSTITUTE(SUBSTITUTE(SUBSTITUTE(SUBSTITUTE(SUBSTITUTE(TRIM(D546),".",""),"/",""),"-","")," ",""),"(",""),")",""),"+",""))</f>
      </c>
      <c r="Q546" s="6">
        <f>IF(P546="","",IF(LEN(P546)&lt;&gt;14,"ERRO: "&amp;LEN(P546)&amp;" dígitos",IF(NOT(ISNUMBER(VALUE(P546))),"ERRO: não numérico",IF(LEN(SUBSTITUTE(P546,LEFT(P546,1),""))=0,"ERRO: dígitos repetidos",IF(AND(VALUE(MID(P546,13,1))=IF(MOD(SUMPRODUCT(--MID(P546,{1,2,3,4,5,6,7,8,9,10,11,12},1),{5,4,3,2,9,8,7,6,5,4,3,2}),11)&lt;2,0,11-MOD(SUMPRODUCT(--MID(P546,{1,2,3,4,5,6,7,8,9,10,11,12},1),{5,4,3,2,9,8,7,6,5,4,3,2}),11)),VALUE(MID(P546,14,1))=IF(MOD(SUMPRODUCT(--MID(P546,{1,2,3,4,5,6,7,8,9,10,11,12,13},1),{6,5,4,3,2,9,8,7,6,5,4,3,2}),11)&lt;2,0,11-MOD(SUMPRODUCT(--MID(P546,{1,2,3,4,5,6,7,8,9,10,11,12,13},1),{6,5,4,3,2,9,8,7,6,5,4,3,2}),11))),"OK","ERRO: dígito verificador")))))</f>
      </c>
      <c r="R546" s="6">
        <f>IF(P546="","",IF(COUNTIF($P$2:$P$1001,P546)&gt;1,"DUPLICADO","OK"))</f>
      </c>
      <c r="S546" s="6">
        <f>IF(AND(J546="",K546=""),"vazio",IF(AND(OR(J546="",LEN(SUBSTITUTE(SUBSTITUTE(SUBSTITUTE(SUBSTITUTE(SUBSTITUTE(SUBSTITUTE(SUBSTITUTE(TRIM(J546),".",""),"/",""),"-","")," ",""),"(",""),")",""),"+",""))=10,LEN(SUBSTITUTE(SUBSTITUTE(SUBSTITUTE(SUBSTITUTE(SUBSTITUTE(SUBSTITUTE(SUBSTITUTE(TRIM(J546),".",""),"/",""),"-","")," ",""),"(",""),")",""),"+",""))=11),OR(K546="",LEN(SUBSTITUTE(SUBSTITUTE(SUBSTITUTE(SUBSTITUTE(SUBSTITUTE(SUBSTITUTE(SUBSTITUTE(TRIM(K546),".",""),"/",""),"-","")," ",""),"(",""),")",""),"+",""))=10,LEN(SUBSTITUTE(SUBSTITUTE(SUBSTITUTE(SUBSTITUTE(SUBSTITUTE(SUBSTITUTE(SUBSTITUTE(TRIM(K546),".",""),"/",""),"-","")," ",""),"(",""),")",""),"+",""))=11)),"OK","ERRO: use DDD + número (10 ou 11 dígitos)"))</f>
      </c>
      <c r="T546" s="6">
        <f>IF(L546="","vazio",IF(AND(ISNUMBER(FIND("@",L546)),ISNUMBER(FIND(".",MID(L546,FIND("@",L546),99))),NOT(ISNUMBER(FIND(" ",TRIM(L546)))),NOT(ISNUMBER(FIND(";",L546))),NOT(ISNUMBER(FIND(",",L546)))),"OK","ERRO: um e-mail válido por linha"))</f>
      </c>
      <c r="U546" s="6">
        <f>IF(COUNTA(A546:O546)=0,"",IF(AND(B546&lt;&gt;"",C546&lt;&gt;"",D546&lt;&gt;"",E546&lt;&gt;"",H546&lt;&gt;"",OR(J546&lt;&gt;"",L546&lt;&gt;"")),"OK","ERRO: faltam "&amp;IF(B546="","Proprietário; ","")&amp;IF(C546="","Origem; ","")&amp;IF(D546="","CNPJ; ","")&amp;IF(E546="","Razão Social; ","")&amp;IF(H546="","Sobrenome; ","")&amp;IF(AND(J546="",L546=""),"telefone ou e-mail; ","")))</f>
      </c>
      <c r="V546" s="6">
        <f>IF(COUNTA(A546:O546)=0,"",IF(AND(Q546="OK",R546="OK",LEFT(S546,4)&lt;&gt;"ERRO",LEFT(T546,4)&lt;&gt;"ERRO",U546="OK"),"OK","REVISAR"))</f>
      </c>
    </row>
    <row r="547">
      <c r="A547" s="4"/>
      <c r="B547" s="5"/>
      <c r="C547" s="5"/>
      <c r="D547" s="5"/>
      <c r="E547" s="5"/>
      <c r="F547" s="4"/>
      <c r="G547" s="4"/>
      <c r="H547" s="5"/>
      <c r="I547" s="4"/>
      <c r="J547" s="4"/>
      <c r="K547" s="4"/>
      <c r="L547" s="4"/>
      <c r="M547" s="4"/>
      <c r="N547" s="4"/>
      <c r="O547" s="4"/>
      <c r="P547" s="6">
        <f>IF(D547="","",SUBSTITUTE(SUBSTITUTE(SUBSTITUTE(SUBSTITUTE(SUBSTITUTE(SUBSTITUTE(SUBSTITUTE(TRIM(D547),".",""),"/",""),"-","")," ",""),"(",""),")",""),"+",""))</f>
      </c>
      <c r="Q547" s="6">
        <f>IF(P547="","",IF(LEN(P547)&lt;&gt;14,"ERRO: "&amp;LEN(P547)&amp;" dígitos",IF(NOT(ISNUMBER(VALUE(P547))),"ERRO: não numérico",IF(LEN(SUBSTITUTE(P547,LEFT(P547,1),""))=0,"ERRO: dígitos repetidos",IF(AND(VALUE(MID(P547,13,1))=IF(MOD(SUMPRODUCT(--MID(P547,{1,2,3,4,5,6,7,8,9,10,11,12},1),{5,4,3,2,9,8,7,6,5,4,3,2}),11)&lt;2,0,11-MOD(SUMPRODUCT(--MID(P547,{1,2,3,4,5,6,7,8,9,10,11,12},1),{5,4,3,2,9,8,7,6,5,4,3,2}),11)),VALUE(MID(P547,14,1))=IF(MOD(SUMPRODUCT(--MID(P547,{1,2,3,4,5,6,7,8,9,10,11,12,13},1),{6,5,4,3,2,9,8,7,6,5,4,3,2}),11)&lt;2,0,11-MOD(SUMPRODUCT(--MID(P547,{1,2,3,4,5,6,7,8,9,10,11,12,13},1),{6,5,4,3,2,9,8,7,6,5,4,3,2}),11))),"OK","ERRO: dígito verificador")))))</f>
      </c>
      <c r="R547" s="6">
        <f>IF(P547="","",IF(COUNTIF($P$2:$P$1001,P547)&gt;1,"DUPLICADO","OK"))</f>
      </c>
      <c r="S547" s="6">
        <f>IF(AND(J547="",K547=""),"vazio",IF(AND(OR(J547="",LEN(SUBSTITUTE(SUBSTITUTE(SUBSTITUTE(SUBSTITUTE(SUBSTITUTE(SUBSTITUTE(SUBSTITUTE(TRIM(J547),".",""),"/",""),"-","")," ",""),"(",""),")",""),"+",""))=10,LEN(SUBSTITUTE(SUBSTITUTE(SUBSTITUTE(SUBSTITUTE(SUBSTITUTE(SUBSTITUTE(SUBSTITUTE(TRIM(J547),".",""),"/",""),"-","")," ",""),"(",""),")",""),"+",""))=11),OR(K547="",LEN(SUBSTITUTE(SUBSTITUTE(SUBSTITUTE(SUBSTITUTE(SUBSTITUTE(SUBSTITUTE(SUBSTITUTE(TRIM(K547),".",""),"/",""),"-","")," ",""),"(",""),")",""),"+",""))=10,LEN(SUBSTITUTE(SUBSTITUTE(SUBSTITUTE(SUBSTITUTE(SUBSTITUTE(SUBSTITUTE(SUBSTITUTE(TRIM(K547),".",""),"/",""),"-","")," ",""),"(",""),")",""),"+",""))=11)),"OK","ERRO: use DDD + número (10 ou 11 dígitos)"))</f>
      </c>
      <c r="T547" s="6">
        <f>IF(L547="","vazio",IF(AND(ISNUMBER(FIND("@",L547)),ISNUMBER(FIND(".",MID(L547,FIND("@",L547),99))),NOT(ISNUMBER(FIND(" ",TRIM(L547)))),NOT(ISNUMBER(FIND(";",L547))),NOT(ISNUMBER(FIND(",",L547)))),"OK","ERRO: um e-mail válido por linha"))</f>
      </c>
      <c r="U547" s="6">
        <f>IF(COUNTA(A547:O547)=0,"",IF(AND(B547&lt;&gt;"",C547&lt;&gt;"",D547&lt;&gt;"",E547&lt;&gt;"",H547&lt;&gt;"",OR(J547&lt;&gt;"",L547&lt;&gt;"")),"OK","ERRO: faltam "&amp;IF(B547="","Proprietário; ","")&amp;IF(C547="","Origem; ","")&amp;IF(D547="","CNPJ; ","")&amp;IF(E547="","Razão Social; ","")&amp;IF(H547="","Sobrenome; ","")&amp;IF(AND(J547="",L547=""),"telefone ou e-mail; ","")))</f>
      </c>
      <c r="V547" s="6">
        <f>IF(COUNTA(A547:O547)=0,"",IF(AND(Q547="OK",R547="OK",LEFT(S547,4)&lt;&gt;"ERRO",LEFT(T547,4)&lt;&gt;"ERRO",U547="OK"),"OK","REVISAR"))</f>
      </c>
    </row>
    <row r="548">
      <c r="A548" s="4"/>
      <c r="B548" s="5"/>
      <c r="C548" s="5"/>
      <c r="D548" s="5"/>
      <c r="E548" s="5"/>
      <c r="F548" s="4"/>
      <c r="G548" s="4"/>
      <c r="H548" s="5"/>
      <c r="I548" s="4"/>
      <c r="J548" s="4"/>
      <c r="K548" s="4"/>
      <c r="L548" s="4"/>
      <c r="M548" s="4"/>
      <c r="N548" s="4"/>
      <c r="O548" s="4"/>
      <c r="P548" s="6">
        <f>IF(D548="","",SUBSTITUTE(SUBSTITUTE(SUBSTITUTE(SUBSTITUTE(SUBSTITUTE(SUBSTITUTE(SUBSTITUTE(TRIM(D548),".",""),"/",""),"-","")," ",""),"(",""),")",""),"+",""))</f>
      </c>
      <c r="Q548" s="6">
        <f>IF(P548="","",IF(LEN(P548)&lt;&gt;14,"ERRO: "&amp;LEN(P548)&amp;" dígitos",IF(NOT(ISNUMBER(VALUE(P548))),"ERRO: não numérico",IF(LEN(SUBSTITUTE(P548,LEFT(P548,1),""))=0,"ERRO: dígitos repetidos",IF(AND(VALUE(MID(P548,13,1))=IF(MOD(SUMPRODUCT(--MID(P548,{1,2,3,4,5,6,7,8,9,10,11,12},1),{5,4,3,2,9,8,7,6,5,4,3,2}),11)&lt;2,0,11-MOD(SUMPRODUCT(--MID(P548,{1,2,3,4,5,6,7,8,9,10,11,12},1),{5,4,3,2,9,8,7,6,5,4,3,2}),11)),VALUE(MID(P548,14,1))=IF(MOD(SUMPRODUCT(--MID(P548,{1,2,3,4,5,6,7,8,9,10,11,12,13},1),{6,5,4,3,2,9,8,7,6,5,4,3,2}),11)&lt;2,0,11-MOD(SUMPRODUCT(--MID(P548,{1,2,3,4,5,6,7,8,9,10,11,12,13},1),{6,5,4,3,2,9,8,7,6,5,4,3,2}),11))),"OK","ERRO: dígito verificador")))))</f>
      </c>
      <c r="R548" s="6">
        <f>IF(P548="","",IF(COUNTIF($P$2:$P$1001,P548)&gt;1,"DUPLICADO","OK"))</f>
      </c>
      <c r="S548" s="6">
        <f>IF(AND(J548="",K548=""),"vazio",IF(AND(OR(J548="",LEN(SUBSTITUTE(SUBSTITUTE(SUBSTITUTE(SUBSTITUTE(SUBSTITUTE(SUBSTITUTE(SUBSTITUTE(TRIM(J548),".",""),"/",""),"-","")," ",""),"(",""),")",""),"+",""))=10,LEN(SUBSTITUTE(SUBSTITUTE(SUBSTITUTE(SUBSTITUTE(SUBSTITUTE(SUBSTITUTE(SUBSTITUTE(TRIM(J548),".",""),"/",""),"-","")," ",""),"(",""),")",""),"+",""))=11),OR(K548="",LEN(SUBSTITUTE(SUBSTITUTE(SUBSTITUTE(SUBSTITUTE(SUBSTITUTE(SUBSTITUTE(SUBSTITUTE(TRIM(K548),".",""),"/",""),"-","")," ",""),"(",""),")",""),"+",""))=10,LEN(SUBSTITUTE(SUBSTITUTE(SUBSTITUTE(SUBSTITUTE(SUBSTITUTE(SUBSTITUTE(SUBSTITUTE(TRIM(K548),".",""),"/",""),"-","")," ",""),"(",""),")",""),"+",""))=11)),"OK","ERRO: use DDD + número (10 ou 11 dígitos)"))</f>
      </c>
      <c r="T548" s="6">
        <f>IF(L548="","vazio",IF(AND(ISNUMBER(FIND("@",L548)),ISNUMBER(FIND(".",MID(L548,FIND("@",L548),99))),NOT(ISNUMBER(FIND(" ",TRIM(L548)))),NOT(ISNUMBER(FIND(";",L548))),NOT(ISNUMBER(FIND(",",L548)))),"OK","ERRO: um e-mail válido por linha"))</f>
      </c>
      <c r="U548" s="6">
        <f>IF(COUNTA(A548:O548)=0,"",IF(AND(B548&lt;&gt;"",C548&lt;&gt;"",D548&lt;&gt;"",E548&lt;&gt;"",H548&lt;&gt;"",OR(J548&lt;&gt;"",L548&lt;&gt;"")),"OK","ERRO: faltam "&amp;IF(B548="","Proprietário; ","")&amp;IF(C548="","Origem; ","")&amp;IF(D548="","CNPJ; ","")&amp;IF(E548="","Razão Social; ","")&amp;IF(H548="","Sobrenome; ","")&amp;IF(AND(J548="",L548=""),"telefone ou e-mail; ","")))</f>
      </c>
      <c r="V548" s="6">
        <f>IF(COUNTA(A548:O548)=0,"",IF(AND(Q548="OK",R548="OK",LEFT(S548,4)&lt;&gt;"ERRO",LEFT(T548,4)&lt;&gt;"ERRO",U548="OK"),"OK","REVISAR"))</f>
      </c>
    </row>
    <row r="549">
      <c r="A549" s="4"/>
      <c r="B549" s="5"/>
      <c r="C549" s="5"/>
      <c r="D549" s="5"/>
      <c r="E549" s="5"/>
      <c r="F549" s="4"/>
      <c r="G549" s="4"/>
      <c r="H549" s="5"/>
      <c r="I549" s="4"/>
      <c r="J549" s="4"/>
      <c r="K549" s="4"/>
      <c r="L549" s="4"/>
      <c r="M549" s="4"/>
      <c r="N549" s="4"/>
      <c r="O549" s="4"/>
      <c r="P549" s="6">
        <f>IF(D549="","",SUBSTITUTE(SUBSTITUTE(SUBSTITUTE(SUBSTITUTE(SUBSTITUTE(SUBSTITUTE(SUBSTITUTE(TRIM(D549),".",""),"/",""),"-","")," ",""),"(",""),")",""),"+",""))</f>
      </c>
      <c r="Q549" s="6">
        <f>IF(P549="","",IF(LEN(P549)&lt;&gt;14,"ERRO: "&amp;LEN(P549)&amp;" dígitos",IF(NOT(ISNUMBER(VALUE(P549))),"ERRO: não numérico",IF(LEN(SUBSTITUTE(P549,LEFT(P549,1),""))=0,"ERRO: dígitos repetidos",IF(AND(VALUE(MID(P549,13,1))=IF(MOD(SUMPRODUCT(--MID(P549,{1,2,3,4,5,6,7,8,9,10,11,12},1),{5,4,3,2,9,8,7,6,5,4,3,2}),11)&lt;2,0,11-MOD(SUMPRODUCT(--MID(P549,{1,2,3,4,5,6,7,8,9,10,11,12},1),{5,4,3,2,9,8,7,6,5,4,3,2}),11)),VALUE(MID(P549,14,1))=IF(MOD(SUMPRODUCT(--MID(P549,{1,2,3,4,5,6,7,8,9,10,11,12,13},1),{6,5,4,3,2,9,8,7,6,5,4,3,2}),11)&lt;2,0,11-MOD(SUMPRODUCT(--MID(P549,{1,2,3,4,5,6,7,8,9,10,11,12,13},1),{6,5,4,3,2,9,8,7,6,5,4,3,2}),11))),"OK","ERRO: dígito verificador")))))</f>
      </c>
      <c r="R549" s="6">
        <f>IF(P549="","",IF(COUNTIF($P$2:$P$1001,P549)&gt;1,"DUPLICADO","OK"))</f>
      </c>
      <c r="S549" s="6">
        <f>IF(AND(J549="",K549=""),"vazio",IF(AND(OR(J549="",LEN(SUBSTITUTE(SUBSTITUTE(SUBSTITUTE(SUBSTITUTE(SUBSTITUTE(SUBSTITUTE(SUBSTITUTE(TRIM(J549),".",""),"/",""),"-","")," ",""),"(",""),")",""),"+",""))=10,LEN(SUBSTITUTE(SUBSTITUTE(SUBSTITUTE(SUBSTITUTE(SUBSTITUTE(SUBSTITUTE(SUBSTITUTE(TRIM(J549),".",""),"/",""),"-","")," ",""),"(",""),")",""),"+",""))=11),OR(K549="",LEN(SUBSTITUTE(SUBSTITUTE(SUBSTITUTE(SUBSTITUTE(SUBSTITUTE(SUBSTITUTE(SUBSTITUTE(TRIM(K549),".",""),"/",""),"-","")," ",""),"(",""),")",""),"+",""))=10,LEN(SUBSTITUTE(SUBSTITUTE(SUBSTITUTE(SUBSTITUTE(SUBSTITUTE(SUBSTITUTE(SUBSTITUTE(TRIM(K549),".",""),"/",""),"-","")," ",""),"(",""),")",""),"+",""))=11)),"OK","ERRO: use DDD + número (10 ou 11 dígitos)"))</f>
      </c>
      <c r="T549" s="6">
        <f>IF(L549="","vazio",IF(AND(ISNUMBER(FIND("@",L549)),ISNUMBER(FIND(".",MID(L549,FIND("@",L549),99))),NOT(ISNUMBER(FIND(" ",TRIM(L549)))),NOT(ISNUMBER(FIND(";",L549))),NOT(ISNUMBER(FIND(",",L549)))),"OK","ERRO: um e-mail válido por linha"))</f>
      </c>
      <c r="U549" s="6">
        <f>IF(COUNTA(A549:O549)=0,"",IF(AND(B549&lt;&gt;"",C549&lt;&gt;"",D549&lt;&gt;"",E549&lt;&gt;"",H549&lt;&gt;"",OR(J549&lt;&gt;"",L549&lt;&gt;"")),"OK","ERRO: faltam "&amp;IF(B549="","Proprietário; ","")&amp;IF(C549="","Origem; ","")&amp;IF(D549="","CNPJ; ","")&amp;IF(E549="","Razão Social; ","")&amp;IF(H549="","Sobrenome; ","")&amp;IF(AND(J549="",L549=""),"telefone ou e-mail; ","")))</f>
      </c>
      <c r="V549" s="6">
        <f>IF(COUNTA(A549:O549)=0,"",IF(AND(Q549="OK",R549="OK",LEFT(S549,4)&lt;&gt;"ERRO",LEFT(T549,4)&lt;&gt;"ERRO",U549="OK"),"OK","REVISAR"))</f>
      </c>
    </row>
    <row r="550">
      <c r="A550" s="4"/>
      <c r="B550" s="5"/>
      <c r="C550" s="5"/>
      <c r="D550" s="5"/>
      <c r="E550" s="5"/>
      <c r="F550" s="4"/>
      <c r="G550" s="4"/>
      <c r="H550" s="5"/>
      <c r="I550" s="4"/>
      <c r="J550" s="4"/>
      <c r="K550" s="4"/>
      <c r="L550" s="4"/>
      <c r="M550" s="4"/>
      <c r="N550" s="4"/>
      <c r="O550" s="4"/>
      <c r="P550" s="6">
        <f>IF(D550="","",SUBSTITUTE(SUBSTITUTE(SUBSTITUTE(SUBSTITUTE(SUBSTITUTE(SUBSTITUTE(SUBSTITUTE(TRIM(D550),".",""),"/",""),"-","")," ",""),"(",""),")",""),"+",""))</f>
      </c>
      <c r="Q550" s="6">
        <f>IF(P550="","",IF(LEN(P550)&lt;&gt;14,"ERRO: "&amp;LEN(P550)&amp;" dígitos",IF(NOT(ISNUMBER(VALUE(P550))),"ERRO: não numérico",IF(LEN(SUBSTITUTE(P550,LEFT(P550,1),""))=0,"ERRO: dígitos repetidos",IF(AND(VALUE(MID(P550,13,1))=IF(MOD(SUMPRODUCT(--MID(P550,{1,2,3,4,5,6,7,8,9,10,11,12},1),{5,4,3,2,9,8,7,6,5,4,3,2}),11)&lt;2,0,11-MOD(SUMPRODUCT(--MID(P550,{1,2,3,4,5,6,7,8,9,10,11,12},1),{5,4,3,2,9,8,7,6,5,4,3,2}),11)),VALUE(MID(P550,14,1))=IF(MOD(SUMPRODUCT(--MID(P550,{1,2,3,4,5,6,7,8,9,10,11,12,13},1),{6,5,4,3,2,9,8,7,6,5,4,3,2}),11)&lt;2,0,11-MOD(SUMPRODUCT(--MID(P550,{1,2,3,4,5,6,7,8,9,10,11,12,13},1),{6,5,4,3,2,9,8,7,6,5,4,3,2}),11))),"OK","ERRO: dígito verificador")))))</f>
      </c>
      <c r="R550" s="6">
        <f>IF(P550="","",IF(COUNTIF($P$2:$P$1001,P550)&gt;1,"DUPLICADO","OK"))</f>
      </c>
      <c r="S550" s="6">
        <f>IF(AND(J550="",K550=""),"vazio",IF(AND(OR(J550="",LEN(SUBSTITUTE(SUBSTITUTE(SUBSTITUTE(SUBSTITUTE(SUBSTITUTE(SUBSTITUTE(SUBSTITUTE(TRIM(J550),".",""),"/",""),"-","")," ",""),"(",""),")",""),"+",""))=10,LEN(SUBSTITUTE(SUBSTITUTE(SUBSTITUTE(SUBSTITUTE(SUBSTITUTE(SUBSTITUTE(SUBSTITUTE(TRIM(J550),".",""),"/",""),"-","")," ",""),"(",""),")",""),"+",""))=11),OR(K550="",LEN(SUBSTITUTE(SUBSTITUTE(SUBSTITUTE(SUBSTITUTE(SUBSTITUTE(SUBSTITUTE(SUBSTITUTE(TRIM(K550),".",""),"/",""),"-","")," ",""),"(",""),")",""),"+",""))=10,LEN(SUBSTITUTE(SUBSTITUTE(SUBSTITUTE(SUBSTITUTE(SUBSTITUTE(SUBSTITUTE(SUBSTITUTE(TRIM(K550),".",""),"/",""),"-","")," ",""),"(",""),")",""),"+",""))=11)),"OK","ERRO: use DDD + número (10 ou 11 dígitos)"))</f>
      </c>
      <c r="T550" s="6">
        <f>IF(L550="","vazio",IF(AND(ISNUMBER(FIND("@",L550)),ISNUMBER(FIND(".",MID(L550,FIND("@",L550),99))),NOT(ISNUMBER(FIND(" ",TRIM(L550)))),NOT(ISNUMBER(FIND(";",L550))),NOT(ISNUMBER(FIND(",",L550)))),"OK","ERRO: um e-mail válido por linha"))</f>
      </c>
      <c r="U550" s="6">
        <f>IF(COUNTA(A550:O550)=0,"",IF(AND(B550&lt;&gt;"",C550&lt;&gt;"",D550&lt;&gt;"",E550&lt;&gt;"",H550&lt;&gt;"",OR(J550&lt;&gt;"",L550&lt;&gt;"")),"OK","ERRO: faltam "&amp;IF(B550="","Proprietário; ","")&amp;IF(C550="","Origem; ","")&amp;IF(D550="","CNPJ; ","")&amp;IF(E550="","Razão Social; ","")&amp;IF(H550="","Sobrenome; ","")&amp;IF(AND(J550="",L550=""),"telefone ou e-mail; ","")))</f>
      </c>
      <c r="V550" s="6">
        <f>IF(COUNTA(A550:O550)=0,"",IF(AND(Q550="OK",R550="OK",LEFT(S550,4)&lt;&gt;"ERRO",LEFT(T550,4)&lt;&gt;"ERRO",U550="OK"),"OK","REVISAR"))</f>
      </c>
    </row>
    <row r="551">
      <c r="A551" s="4"/>
      <c r="B551" s="5"/>
      <c r="C551" s="5"/>
      <c r="D551" s="5"/>
      <c r="E551" s="5"/>
      <c r="F551" s="4"/>
      <c r="G551" s="4"/>
      <c r="H551" s="5"/>
      <c r="I551" s="4"/>
      <c r="J551" s="4"/>
      <c r="K551" s="4"/>
      <c r="L551" s="4"/>
      <c r="M551" s="4"/>
      <c r="N551" s="4"/>
      <c r="O551" s="4"/>
      <c r="P551" s="6">
        <f>IF(D551="","",SUBSTITUTE(SUBSTITUTE(SUBSTITUTE(SUBSTITUTE(SUBSTITUTE(SUBSTITUTE(SUBSTITUTE(TRIM(D551),".",""),"/",""),"-","")," ",""),"(",""),")",""),"+",""))</f>
      </c>
      <c r="Q551" s="6">
        <f>IF(P551="","",IF(LEN(P551)&lt;&gt;14,"ERRO: "&amp;LEN(P551)&amp;" dígitos",IF(NOT(ISNUMBER(VALUE(P551))),"ERRO: não numérico",IF(LEN(SUBSTITUTE(P551,LEFT(P551,1),""))=0,"ERRO: dígitos repetidos",IF(AND(VALUE(MID(P551,13,1))=IF(MOD(SUMPRODUCT(--MID(P551,{1,2,3,4,5,6,7,8,9,10,11,12},1),{5,4,3,2,9,8,7,6,5,4,3,2}),11)&lt;2,0,11-MOD(SUMPRODUCT(--MID(P551,{1,2,3,4,5,6,7,8,9,10,11,12},1),{5,4,3,2,9,8,7,6,5,4,3,2}),11)),VALUE(MID(P551,14,1))=IF(MOD(SUMPRODUCT(--MID(P551,{1,2,3,4,5,6,7,8,9,10,11,12,13},1),{6,5,4,3,2,9,8,7,6,5,4,3,2}),11)&lt;2,0,11-MOD(SUMPRODUCT(--MID(P551,{1,2,3,4,5,6,7,8,9,10,11,12,13},1),{6,5,4,3,2,9,8,7,6,5,4,3,2}),11))),"OK","ERRO: dígito verificador")))))</f>
      </c>
      <c r="R551" s="6">
        <f>IF(P551="","",IF(COUNTIF($P$2:$P$1001,P551)&gt;1,"DUPLICADO","OK"))</f>
      </c>
      <c r="S551" s="6">
        <f>IF(AND(J551="",K551=""),"vazio",IF(AND(OR(J551="",LEN(SUBSTITUTE(SUBSTITUTE(SUBSTITUTE(SUBSTITUTE(SUBSTITUTE(SUBSTITUTE(SUBSTITUTE(TRIM(J551),".",""),"/",""),"-","")," ",""),"(",""),")",""),"+",""))=10,LEN(SUBSTITUTE(SUBSTITUTE(SUBSTITUTE(SUBSTITUTE(SUBSTITUTE(SUBSTITUTE(SUBSTITUTE(TRIM(J551),".",""),"/",""),"-","")," ",""),"(",""),")",""),"+",""))=11),OR(K551="",LEN(SUBSTITUTE(SUBSTITUTE(SUBSTITUTE(SUBSTITUTE(SUBSTITUTE(SUBSTITUTE(SUBSTITUTE(TRIM(K551),".",""),"/",""),"-","")," ",""),"(",""),")",""),"+",""))=10,LEN(SUBSTITUTE(SUBSTITUTE(SUBSTITUTE(SUBSTITUTE(SUBSTITUTE(SUBSTITUTE(SUBSTITUTE(TRIM(K551),".",""),"/",""),"-","")," ",""),"(",""),")",""),"+",""))=11)),"OK","ERRO: use DDD + número (10 ou 11 dígitos)"))</f>
      </c>
      <c r="T551" s="6">
        <f>IF(L551="","vazio",IF(AND(ISNUMBER(FIND("@",L551)),ISNUMBER(FIND(".",MID(L551,FIND("@",L551),99))),NOT(ISNUMBER(FIND(" ",TRIM(L551)))),NOT(ISNUMBER(FIND(";",L551))),NOT(ISNUMBER(FIND(",",L551)))),"OK","ERRO: um e-mail válido por linha"))</f>
      </c>
      <c r="U551" s="6">
        <f>IF(COUNTA(A551:O551)=0,"",IF(AND(B551&lt;&gt;"",C551&lt;&gt;"",D551&lt;&gt;"",E551&lt;&gt;"",H551&lt;&gt;"",OR(J551&lt;&gt;"",L551&lt;&gt;"")),"OK","ERRO: faltam "&amp;IF(B551="","Proprietário; ","")&amp;IF(C551="","Origem; ","")&amp;IF(D551="","CNPJ; ","")&amp;IF(E551="","Razão Social; ","")&amp;IF(H551="","Sobrenome; ","")&amp;IF(AND(J551="",L551=""),"telefone ou e-mail; ","")))</f>
      </c>
      <c r="V551" s="6">
        <f>IF(COUNTA(A551:O551)=0,"",IF(AND(Q551="OK",R551="OK",LEFT(S551,4)&lt;&gt;"ERRO",LEFT(T551,4)&lt;&gt;"ERRO",U551="OK"),"OK","REVISAR"))</f>
      </c>
    </row>
    <row r="552">
      <c r="A552" s="4"/>
      <c r="B552" s="5"/>
      <c r="C552" s="5"/>
      <c r="D552" s="5"/>
      <c r="E552" s="5"/>
      <c r="F552" s="4"/>
      <c r="G552" s="4"/>
      <c r="H552" s="5"/>
      <c r="I552" s="4"/>
      <c r="J552" s="4"/>
      <c r="K552" s="4"/>
      <c r="L552" s="4"/>
      <c r="M552" s="4"/>
      <c r="N552" s="4"/>
      <c r="O552" s="4"/>
      <c r="P552" s="6">
        <f>IF(D552="","",SUBSTITUTE(SUBSTITUTE(SUBSTITUTE(SUBSTITUTE(SUBSTITUTE(SUBSTITUTE(SUBSTITUTE(TRIM(D552),".",""),"/",""),"-","")," ",""),"(",""),")",""),"+",""))</f>
      </c>
      <c r="Q552" s="6">
        <f>IF(P552="","",IF(LEN(P552)&lt;&gt;14,"ERRO: "&amp;LEN(P552)&amp;" dígitos",IF(NOT(ISNUMBER(VALUE(P552))),"ERRO: não numérico",IF(LEN(SUBSTITUTE(P552,LEFT(P552,1),""))=0,"ERRO: dígitos repetidos",IF(AND(VALUE(MID(P552,13,1))=IF(MOD(SUMPRODUCT(--MID(P552,{1,2,3,4,5,6,7,8,9,10,11,12},1),{5,4,3,2,9,8,7,6,5,4,3,2}),11)&lt;2,0,11-MOD(SUMPRODUCT(--MID(P552,{1,2,3,4,5,6,7,8,9,10,11,12},1),{5,4,3,2,9,8,7,6,5,4,3,2}),11)),VALUE(MID(P552,14,1))=IF(MOD(SUMPRODUCT(--MID(P552,{1,2,3,4,5,6,7,8,9,10,11,12,13},1),{6,5,4,3,2,9,8,7,6,5,4,3,2}),11)&lt;2,0,11-MOD(SUMPRODUCT(--MID(P552,{1,2,3,4,5,6,7,8,9,10,11,12,13},1),{6,5,4,3,2,9,8,7,6,5,4,3,2}),11))),"OK","ERRO: dígito verificador")))))</f>
      </c>
      <c r="R552" s="6">
        <f>IF(P552="","",IF(COUNTIF($P$2:$P$1001,P552)&gt;1,"DUPLICADO","OK"))</f>
      </c>
      <c r="S552" s="6">
        <f>IF(AND(J552="",K552=""),"vazio",IF(AND(OR(J552="",LEN(SUBSTITUTE(SUBSTITUTE(SUBSTITUTE(SUBSTITUTE(SUBSTITUTE(SUBSTITUTE(SUBSTITUTE(TRIM(J552),".",""),"/",""),"-","")," ",""),"(",""),")",""),"+",""))=10,LEN(SUBSTITUTE(SUBSTITUTE(SUBSTITUTE(SUBSTITUTE(SUBSTITUTE(SUBSTITUTE(SUBSTITUTE(TRIM(J552),".",""),"/",""),"-","")," ",""),"(",""),")",""),"+",""))=11),OR(K552="",LEN(SUBSTITUTE(SUBSTITUTE(SUBSTITUTE(SUBSTITUTE(SUBSTITUTE(SUBSTITUTE(SUBSTITUTE(TRIM(K552),".",""),"/",""),"-","")," ",""),"(",""),")",""),"+",""))=10,LEN(SUBSTITUTE(SUBSTITUTE(SUBSTITUTE(SUBSTITUTE(SUBSTITUTE(SUBSTITUTE(SUBSTITUTE(TRIM(K552),".",""),"/",""),"-","")," ",""),"(",""),")",""),"+",""))=11)),"OK","ERRO: use DDD + número (10 ou 11 dígitos)"))</f>
      </c>
      <c r="T552" s="6">
        <f>IF(L552="","vazio",IF(AND(ISNUMBER(FIND("@",L552)),ISNUMBER(FIND(".",MID(L552,FIND("@",L552),99))),NOT(ISNUMBER(FIND(" ",TRIM(L552)))),NOT(ISNUMBER(FIND(";",L552))),NOT(ISNUMBER(FIND(",",L552)))),"OK","ERRO: um e-mail válido por linha"))</f>
      </c>
      <c r="U552" s="6">
        <f>IF(COUNTA(A552:O552)=0,"",IF(AND(B552&lt;&gt;"",C552&lt;&gt;"",D552&lt;&gt;"",E552&lt;&gt;"",H552&lt;&gt;"",OR(J552&lt;&gt;"",L552&lt;&gt;"")),"OK","ERRO: faltam "&amp;IF(B552="","Proprietário; ","")&amp;IF(C552="","Origem; ","")&amp;IF(D552="","CNPJ; ","")&amp;IF(E552="","Razão Social; ","")&amp;IF(H552="","Sobrenome; ","")&amp;IF(AND(J552="",L552=""),"telefone ou e-mail; ","")))</f>
      </c>
      <c r="V552" s="6">
        <f>IF(COUNTA(A552:O552)=0,"",IF(AND(Q552="OK",R552="OK",LEFT(S552,4)&lt;&gt;"ERRO",LEFT(T552,4)&lt;&gt;"ERRO",U552="OK"),"OK","REVISAR"))</f>
      </c>
    </row>
    <row r="553">
      <c r="A553" s="4"/>
      <c r="B553" s="5"/>
      <c r="C553" s="5"/>
      <c r="D553" s="5"/>
      <c r="E553" s="5"/>
      <c r="F553" s="4"/>
      <c r="G553" s="4"/>
      <c r="H553" s="5"/>
      <c r="I553" s="4"/>
      <c r="J553" s="4"/>
      <c r="K553" s="4"/>
      <c r="L553" s="4"/>
      <c r="M553" s="4"/>
      <c r="N553" s="4"/>
      <c r="O553" s="4"/>
      <c r="P553" s="6">
        <f>IF(D553="","",SUBSTITUTE(SUBSTITUTE(SUBSTITUTE(SUBSTITUTE(SUBSTITUTE(SUBSTITUTE(SUBSTITUTE(TRIM(D553),".",""),"/",""),"-","")," ",""),"(",""),")",""),"+",""))</f>
      </c>
      <c r="Q553" s="6">
        <f>IF(P553="","",IF(LEN(P553)&lt;&gt;14,"ERRO: "&amp;LEN(P553)&amp;" dígitos",IF(NOT(ISNUMBER(VALUE(P553))),"ERRO: não numérico",IF(LEN(SUBSTITUTE(P553,LEFT(P553,1),""))=0,"ERRO: dígitos repetidos",IF(AND(VALUE(MID(P553,13,1))=IF(MOD(SUMPRODUCT(--MID(P553,{1,2,3,4,5,6,7,8,9,10,11,12},1),{5,4,3,2,9,8,7,6,5,4,3,2}),11)&lt;2,0,11-MOD(SUMPRODUCT(--MID(P553,{1,2,3,4,5,6,7,8,9,10,11,12},1),{5,4,3,2,9,8,7,6,5,4,3,2}),11)),VALUE(MID(P553,14,1))=IF(MOD(SUMPRODUCT(--MID(P553,{1,2,3,4,5,6,7,8,9,10,11,12,13},1),{6,5,4,3,2,9,8,7,6,5,4,3,2}),11)&lt;2,0,11-MOD(SUMPRODUCT(--MID(P553,{1,2,3,4,5,6,7,8,9,10,11,12,13},1),{6,5,4,3,2,9,8,7,6,5,4,3,2}),11))),"OK","ERRO: dígito verificador")))))</f>
      </c>
      <c r="R553" s="6">
        <f>IF(P553="","",IF(COUNTIF($P$2:$P$1001,P553)&gt;1,"DUPLICADO","OK"))</f>
      </c>
      <c r="S553" s="6">
        <f>IF(AND(J553="",K553=""),"vazio",IF(AND(OR(J553="",LEN(SUBSTITUTE(SUBSTITUTE(SUBSTITUTE(SUBSTITUTE(SUBSTITUTE(SUBSTITUTE(SUBSTITUTE(TRIM(J553),".",""),"/",""),"-","")," ",""),"(",""),")",""),"+",""))=10,LEN(SUBSTITUTE(SUBSTITUTE(SUBSTITUTE(SUBSTITUTE(SUBSTITUTE(SUBSTITUTE(SUBSTITUTE(TRIM(J553),".",""),"/",""),"-","")," ",""),"(",""),")",""),"+",""))=11),OR(K553="",LEN(SUBSTITUTE(SUBSTITUTE(SUBSTITUTE(SUBSTITUTE(SUBSTITUTE(SUBSTITUTE(SUBSTITUTE(TRIM(K553),".",""),"/",""),"-","")," ",""),"(",""),")",""),"+",""))=10,LEN(SUBSTITUTE(SUBSTITUTE(SUBSTITUTE(SUBSTITUTE(SUBSTITUTE(SUBSTITUTE(SUBSTITUTE(TRIM(K553),".",""),"/",""),"-","")," ",""),"(",""),")",""),"+",""))=11)),"OK","ERRO: use DDD + número (10 ou 11 dígitos)"))</f>
      </c>
      <c r="T553" s="6">
        <f>IF(L553="","vazio",IF(AND(ISNUMBER(FIND("@",L553)),ISNUMBER(FIND(".",MID(L553,FIND("@",L553),99))),NOT(ISNUMBER(FIND(" ",TRIM(L553)))),NOT(ISNUMBER(FIND(";",L553))),NOT(ISNUMBER(FIND(",",L553)))),"OK","ERRO: um e-mail válido por linha"))</f>
      </c>
      <c r="U553" s="6">
        <f>IF(COUNTA(A553:O553)=0,"",IF(AND(B553&lt;&gt;"",C553&lt;&gt;"",D553&lt;&gt;"",E553&lt;&gt;"",H553&lt;&gt;"",OR(J553&lt;&gt;"",L553&lt;&gt;"")),"OK","ERRO: faltam "&amp;IF(B553="","Proprietário; ","")&amp;IF(C553="","Origem; ","")&amp;IF(D553="","CNPJ; ","")&amp;IF(E553="","Razão Social; ","")&amp;IF(H553="","Sobrenome; ","")&amp;IF(AND(J553="",L553=""),"telefone ou e-mail; ","")))</f>
      </c>
      <c r="V553" s="6">
        <f>IF(COUNTA(A553:O553)=0,"",IF(AND(Q553="OK",R553="OK",LEFT(S553,4)&lt;&gt;"ERRO",LEFT(T553,4)&lt;&gt;"ERRO",U553="OK"),"OK","REVISAR"))</f>
      </c>
    </row>
    <row r="554">
      <c r="A554" s="4"/>
      <c r="B554" s="5"/>
      <c r="C554" s="5"/>
      <c r="D554" s="5"/>
      <c r="E554" s="5"/>
      <c r="F554" s="4"/>
      <c r="G554" s="4"/>
      <c r="H554" s="5"/>
      <c r="I554" s="4"/>
      <c r="J554" s="4"/>
      <c r="K554" s="4"/>
      <c r="L554" s="4"/>
      <c r="M554" s="4"/>
      <c r="N554" s="4"/>
      <c r="O554" s="4"/>
      <c r="P554" s="6">
        <f>IF(D554="","",SUBSTITUTE(SUBSTITUTE(SUBSTITUTE(SUBSTITUTE(SUBSTITUTE(SUBSTITUTE(SUBSTITUTE(TRIM(D554),".",""),"/",""),"-","")," ",""),"(",""),")",""),"+",""))</f>
      </c>
      <c r="Q554" s="6">
        <f>IF(P554="","",IF(LEN(P554)&lt;&gt;14,"ERRO: "&amp;LEN(P554)&amp;" dígitos",IF(NOT(ISNUMBER(VALUE(P554))),"ERRO: não numérico",IF(LEN(SUBSTITUTE(P554,LEFT(P554,1),""))=0,"ERRO: dígitos repetidos",IF(AND(VALUE(MID(P554,13,1))=IF(MOD(SUMPRODUCT(--MID(P554,{1,2,3,4,5,6,7,8,9,10,11,12},1),{5,4,3,2,9,8,7,6,5,4,3,2}),11)&lt;2,0,11-MOD(SUMPRODUCT(--MID(P554,{1,2,3,4,5,6,7,8,9,10,11,12},1),{5,4,3,2,9,8,7,6,5,4,3,2}),11)),VALUE(MID(P554,14,1))=IF(MOD(SUMPRODUCT(--MID(P554,{1,2,3,4,5,6,7,8,9,10,11,12,13},1),{6,5,4,3,2,9,8,7,6,5,4,3,2}),11)&lt;2,0,11-MOD(SUMPRODUCT(--MID(P554,{1,2,3,4,5,6,7,8,9,10,11,12,13},1),{6,5,4,3,2,9,8,7,6,5,4,3,2}),11))),"OK","ERRO: dígito verificador")))))</f>
      </c>
      <c r="R554" s="6">
        <f>IF(P554="","",IF(COUNTIF($P$2:$P$1001,P554)&gt;1,"DUPLICADO","OK"))</f>
      </c>
      <c r="S554" s="6">
        <f>IF(AND(J554="",K554=""),"vazio",IF(AND(OR(J554="",LEN(SUBSTITUTE(SUBSTITUTE(SUBSTITUTE(SUBSTITUTE(SUBSTITUTE(SUBSTITUTE(SUBSTITUTE(TRIM(J554),".",""),"/",""),"-","")," ",""),"(",""),")",""),"+",""))=10,LEN(SUBSTITUTE(SUBSTITUTE(SUBSTITUTE(SUBSTITUTE(SUBSTITUTE(SUBSTITUTE(SUBSTITUTE(TRIM(J554),".",""),"/",""),"-","")," ",""),"(",""),")",""),"+",""))=11),OR(K554="",LEN(SUBSTITUTE(SUBSTITUTE(SUBSTITUTE(SUBSTITUTE(SUBSTITUTE(SUBSTITUTE(SUBSTITUTE(TRIM(K554),".",""),"/",""),"-","")," ",""),"(",""),")",""),"+",""))=10,LEN(SUBSTITUTE(SUBSTITUTE(SUBSTITUTE(SUBSTITUTE(SUBSTITUTE(SUBSTITUTE(SUBSTITUTE(TRIM(K554),".",""),"/",""),"-","")," ",""),"(",""),")",""),"+",""))=11)),"OK","ERRO: use DDD + número (10 ou 11 dígitos)"))</f>
      </c>
      <c r="T554" s="6">
        <f>IF(L554="","vazio",IF(AND(ISNUMBER(FIND("@",L554)),ISNUMBER(FIND(".",MID(L554,FIND("@",L554),99))),NOT(ISNUMBER(FIND(" ",TRIM(L554)))),NOT(ISNUMBER(FIND(";",L554))),NOT(ISNUMBER(FIND(",",L554)))),"OK","ERRO: um e-mail válido por linha"))</f>
      </c>
      <c r="U554" s="6">
        <f>IF(COUNTA(A554:O554)=0,"",IF(AND(B554&lt;&gt;"",C554&lt;&gt;"",D554&lt;&gt;"",E554&lt;&gt;"",H554&lt;&gt;"",OR(J554&lt;&gt;"",L554&lt;&gt;"")),"OK","ERRO: faltam "&amp;IF(B554="","Proprietário; ","")&amp;IF(C554="","Origem; ","")&amp;IF(D554="","CNPJ; ","")&amp;IF(E554="","Razão Social; ","")&amp;IF(H554="","Sobrenome; ","")&amp;IF(AND(J554="",L554=""),"telefone ou e-mail; ","")))</f>
      </c>
      <c r="V554" s="6">
        <f>IF(COUNTA(A554:O554)=0,"",IF(AND(Q554="OK",R554="OK",LEFT(S554,4)&lt;&gt;"ERRO",LEFT(T554,4)&lt;&gt;"ERRO",U554="OK"),"OK","REVISAR"))</f>
      </c>
    </row>
    <row r="555">
      <c r="A555" s="4"/>
      <c r="B555" s="5"/>
      <c r="C555" s="5"/>
      <c r="D555" s="5"/>
      <c r="E555" s="5"/>
      <c r="F555" s="4"/>
      <c r="G555" s="4"/>
      <c r="H555" s="5"/>
      <c r="I555" s="4"/>
      <c r="J555" s="4"/>
      <c r="K555" s="4"/>
      <c r="L555" s="4"/>
      <c r="M555" s="4"/>
      <c r="N555" s="4"/>
      <c r="O555" s="4"/>
      <c r="P555" s="6">
        <f>IF(D555="","",SUBSTITUTE(SUBSTITUTE(SUBSTITUTE(SUBSTITUTE(SUBSTITUTE(SUBSTITUTE(SUBSTITUTE(TRIM(D555),".",""),"/",""),"-","")," ",""),"(",""),")",""),"+",""))</f>
      </c>
      <c r="Q555" s="6">
        <f>IF(P555="","",IF(LEN(P555)&lt;&gt;14,"ERRO: "&amp;LEN(P555)&amp;" dígitos",IF(NOT(ISNUMBER(VALUE(P555))),"ERRO: não numérico",IF(LEN(SUBSTITUTE(P555,LEFT(P555,1),""))=0,"ERRO: dígitos repetidos",IF(AND(VALUE(MID(P555,13,1))=IF(MOD(SUMPRODUCT(--MID(P555,{1,2,3,4,5,6,7,8,9,10,11,12},1),{5,4,3,2,9,8,7,6,5,4,3,2}),11)&lt;2,0,11-MOD(SUMPRODUCT(--MID(P555,{1,2,3,4,5,6,7,8,9,10,11,12},1),{5,4,3,2,9,8,7,6,5,4,3,2}),11)),VALUE(MID(P555,14,1))=IF(MOD(SUMPRODUCT(--MID(P555,{1,2,3,4,5,6,7,8,9,10,11,12,13},1),{6,5,4,3,2,9,8,7,6,5,4,3,2}),11)&lt;2,0,11-MOD(SUMPRODUCT(--MID(P555,{1,2,3,4,5,6,7,8,9,10,11,12,13},1),{6,5,4,3,2,9,8,7,6,5,4,3,2}),11))),"OK","ERRO: dígito verificador")))))</f>
      </c>
      <c r="R555" s="6">
        <f>IF(P555="","",IF(COUNTIF($P$2:$P$1001,P555)&gt;1,"DUPLICADO","OK"))</f>
      </c>
      <c r="S555" s="6">
        <f>IF(AND(J555="",K555=""),"vazio",IF(AND(OR(J555="",LEN(SUBSTITUTE(SUBSTITUTE(SUBSTITUTE(SUBSTITUTE(SUBSTITUTE(SUBSTITUTE(SUBSTITUTE(TRIM(J555),".",""),"/",""),"-","")," ",""),"(",""),")",""),"+",""))=10,LEN(SUBSTITUTE(SUBSTITUTE(SUBSTITUTE(SUBSTITUTE(SUBSTITUTE(SUBSTITUTE(SUBSTITUTE(TRIM(J555),".",""),"/",""),"-","")," ",""),"(",""),")",""),"+",""))=11),OR(K555="",LEN(SUBSTITUTE(SUBSTITUTE(SUBSTITUTE(SUBSTITUTE(SUBSTITUTE(SUBSTITUTE(SUBSTITUTE(TRIM(K555),".",""),"/",""),"-","")," ",""),"(",""),")",""),"+",""))=10,LEN(SUBSTITUTE(SUBSTITUTE(SUBSTITUTE(SUBSTITUTE(SUBSTITUTE(SUBSTITUTE(SUBSTITUTE(TRIM(K555),".",""),"/",""),"-","")," ",""),"(",""),")",""),"+",""))=11)),"OK","ERRO: use DDD + número (10 ou 11 dígitos)"))</f>
      </c>
      <c r="T555" s="6">
        <f>IF(L555="","vazio",IF(AND(ISNUMBER(FIND("@",L555)),ISNUMBER(FIND(".",MID(L555,FIND("@",L555),99))),NOT(ISNUMBER(FIND(" ",TRIM(L555)))),NOT(ISNUMBER(FIND(";",L555))),NOT(ISNUMBER(FIND(",",L555)))),"OK","ERRO: um e-mail válido por linha"))</f>
      </c>
      <c r="U555" s="6">
        <f>IF(COUNTA(A555:O555)=0,"",IF(AND(B555&lt;&gt;"",C555&lt;&gt;"",D555&lt;&gt;"",E555&lt;&gt;"",H555&lt;&gt;"",OR(J555&lt;&gt;"",L555&lt;&gt;"")),"OK","ERRO: faltam "&amp;IF(B555="","Proprietário; ","")&amp;IF(C555="","Origem; ","")&amp;IF(D555="","CNPJ; ","")&amp;IF(E555="","Razão Social; ","")&amp;IF(H555="","Sobrenome; ","")&amp;IF(AND(J555="",L555=""),"telefone ou e-mail; ","")))</f>
      </c>
      <c r="V555" s="6">
        <f>IF(COUNTA(A555:O555)=0,"",IF(AND(Q555="OK",R555="OK",LEFT(S555,4)&lt;&gt;"ERRO",LEFT(T555,4)&lt;&gt;"ERRO",U555="OK"),"OK","REVISAR"))</f>
      </c>
    </row>
    <row r="556">
      <c r="A556" s="4"/>
      <c r="B556" s="5"/>
      <c r="C556" s="5"/>
      <c r="D556" s="5"/>
      <c r="E556" s="5"/>
      <c r="F556" s="4"/>
      <c r="G556" s="4"/>
      <c r="H556" s="5"/>
      <c r="I556" s="4"/>
      <c r="J556" s="4"/>
      <c r="K556" s="4"/>
      <c r="L556" s="4"/>
      <c r="M556" s="4"/>
      <c r="N556" s="4"/>
      <c r="O556" s="4"/>
      <c r="P556" s="6">
        <f>IF(D556="","",SUBSTITUTE(SUBSTITUTE(SUBSTITUTE(SUBSTITUTE(SUBSTITUTE(SUBSTITUTE(SUBSTITUTE(TRIM(D556),".",""),"/",""),"-","")," ",""),"(",""),")",""),"+",""))</f>
      </c>
      <c r="Q556" s="6">
        <f>IF(P556="","",IF(LEN(P556)&lt;&gt;14,"ERRO: "&amp;LEN(P556)&amp;" dígitos",IF(NOT(ISNUMBER(VALUE(P556))),"ERRO: não numérico",IF(LEN(SUBSTITUTE(P556,LEFT(P556,1),""))=0,"ERRO: dígitos repetidos",IF(AND(VALUE(MID(P556,13,1))=IF(MOD(SUMPRODUCT(--MID(P556,{1,2,3,4,5,6,7,8,9,10,11,12},1),{5,4,3,2,9,8,7,6,5,4,3,2}),11)&lt;2,0,11-MOD(SUMPRODUCT(--MID(P556,{1,2,3,4,5,6,7,8,9,10,11,12},1),{5,4,3,2,9,8,7,6,5,4,3,2}),11)),VALUE(MID(P556,14,1))=IF(MOD(SUMPRODUCT(--MID(P556,{1,2,3,4,5,6,7,8,9,10,11,12,13},1),{6,5,4,3,2,9,8,7,6,5,4,3,2}),11)&lt;2,0,11-MOD(SUMPRODUCT(--MID(P556,{1,2,3,4,5,6,7,8,9,10,11,12,13},1),{6,5,4,3,2,9,8,7,6,5,4,3,2}),11))),"OK","ERRO: dígito verificador")))))</f>
      </c>
      <c r="R556" s="6">
        <f>IF(P556="","",IF(COUNTIF($P$2:$P$1001,P556)&gt;1,"DUPLICADO","OK"))</f>
      </c>
      <c r="S556" s="6">
        <f>IF(AND(J556="",K556=""),"vazio",IF(AND(OR(J556="",LEN(SUBSTITUTE(SUBSTITUTE(SUBSTITUTE(SUBSTITUTE(SUBSTITUTE(SUBSTITUTE(SUBSTITUTE(TRIM(J556),".",""),"/",""),"-","")," ",""),"(",""),")",""),"+",""))=10,LEN(SUBSTITUTE(SUBSTITUTE(SUBSTITUTE(SUBSTITUTE(SUBSTITUTE(SUBSTITUTE(SUBSTITUTE(TRIM(J556),".",""),"/",""),"-","")," ",""),"(",""),")",""),"+",""))=11),OR(K556="",LEN(SUBSTITUTE(SUBSTITUTE(SUBSTITUTE(SUBSTITUTE(SUBSTITUTE(SUBSTITUTE(SUBSTITUTE(TRIM(K556),".",""),"/",""),"-","")," ",""),"(",""),")",""),"+",""))=10,LEN(SUBSTITUTE(SUBSTITUTE(SUBSTITUTE(SUBSTITUTE(SUBSTITUTE(SUBSTITUTE(SUBSTITUTE(TRIM(K556),".",""),"/",""),"-","")," ",""),"(",""),")",""),"+",""))=11)),"OK","ERRO: use DDD + número (10 ou 11 dígitos)"))</f>
      </c>
      <c r="T556" s="6">
        <f>IF(L556="","vazio",IF(AND(ISNUMBER(FIND("@",L556)),ISNUMBER(FIND(".",MID(L556,FIND("@",L556),99))),NOT(ISNUMBER(FIND(" ",TRIM(L556)))),NOT(ISNUMBER(FIND(";",L556))),NOT(ISNUMBER(FIND(",",L556)))),"OK","ERRO: um e-mail válido por linha"))</f>
      </c>
      <c r="U556" s="6">
        <f>IF(COUNTA(A556:O556)=0,"",IF(AND(B556&lt;&gt;"",C556&lt;&gt;"",D556&lt;&gt;"",E556&lt;&gt;"",H556&lt;&gt;"",OR(J556&lt;&gt;"",L556&lt;&gt;"")),"OK","ERRO: faltam "&amp;IF(B556="","Proprietário; ","")&amp;IF(C556="","Origem; ","")&amp;IF(D556="","CNPJ; ","")&amp;IF(E556="","Razão Social; ","")&amp;IF(H556="","Sobrenome; ","")&amp;IF(AND(J556="",L556=""),"telefone ou e-mail; ","")))</f>
      </c>
      <c r="V556" s="6">
        <f>IF(COUNTA(A556:O556)=0,"",IF(AND(Q556="OK",R556="OK",LEFT(S556,4)&lt;&gt;"ERRO",LEFT(T556,4)&lt;&gt;"ERRO",U556="OK"),"OK","REVISAR"))</f>
      </c>
    </row>
    <row r="557">
      <c r="A557" s="4"/>
      <c r="B557" s="5"/>
      <c r="C557" s="5"/>
      <c r="D557" s="5"/>
      <c r="E557" s="5"/>
      <c r="F557" s="4"/>
      <c r="G557" s="4"/>
      <c r="H557" s="5"/>
      <c r="I557" s="4"/>
      <c r="J557" s="4"/>
      <c r="K557" s="4"/>
      <c r="L557" s="4"/>
      <c r="M557" s="4"/>
      <c r="N557" s="4"/>
      <c r="O557" s="4"/>
      <c r="P557" s="6">
        <f>IF(D557="","",SUBSTITUTE(SUBSTITUTE(SUBSTITUTE(SUBSTITUTE(SUBSTITUTE(SUBSTITUTE(SUBSTITUTE(TRIM(D557),".",""),"/",""),"-","")," ",""),"(",""),")",""),"+",""))</f>
      </c>
      <c r="Q557" s="6">
        <f>IF(P557="","",IF(LEN(P557)&lt;&gt;14,"ERRO: "&amp;LEN(P557)&amp;" dígitos",IF(NOT(ISNUMBER(VALUE(P557))),"ERRO: não numérico",IF(LEN(SUBSTITUTE(P557,LEFT(P557,1),""))=0,"ERRO: dígitos repetidos",IF(AND(VALUE(MID(P557,13,1))=IF(MOD(SUMPRODUCT(--MID(P557,{1,2,3,4,5,6,7,8,9,10,11,12},1),{5,4,3,2,9,8,7,6,5,4,3,2}),11)&lt;2,0,11-MOD(SUMPRODUCT(--MID(P557,{1,2,3,4,5,6,7,8,9,10,11,12},1),{5,4,3,2,9,8,7,6,5,4,3,2}),11)),VALUE(MID(P557,14,1))=IF(MOD(SUMPRODUCT(--MID(P557,{1,2,3,4,5,6,7,8,9,10,11,12,13},1),{6,5,4,3,2,9,8,7,6,5,4,3,2}),11)&lt;2,0,11-MOD(SUMPRODUCT(--MID(P557,{1,2,3,4,5,6,7,8,9,10,11,12,13},1),{6,5,4,3,2,9,8,7,6,5,4,3,2}),11))),"OK","ERRO: dígito verificador")))))</f>
      </c>
      <c r="R557" s="6">
        <f>IF(P557="","",IF(COUNTIF($P$2:$P$1001,P557)&gt;1,"DUPLICADO","OK"))</f>
      </c>
      <c r="S557" s="6">
        <f>IF(AND(J557="",K557=""),"vazio",IF(AND(OR(J557="",LEN(SUBSTITUTE(SUBSTITUTE(SUBSTITUTE(SUBSTITUTE(SUBSTITUTE(SUBSTITUTE(SUBSTITUTE(TRIM(J557),".",""),"/",""),"-","")," ",""),"(",""),")",""),"+",""))=10,LEN(SUBSTITUTE(SUBSTITUTE(SUBSTITUTE(SUBSTITUTE(SUBSTITUTE(SUBSTITUTE(SUBSTITUTE(TRIM(J557),".",""),"/",""),"-","")," ",""),"(",""),")",""),"+",""))=11),OR(K557="",LEN(SUBSTITUTE(SUBSTITUTE(SUBSTITUTE(SUBSTITUTE(SUBSTITUTE(SUBSTITUTE(SUBSTITUTE(TRIM(K557),".",""),"/",""),"-","")," ",""),"(",""),")",""),"+",""))=10,LEN(SUBSTITUTE(SUBSTITUTE(SUBSTITUTE(SUBSTITUTE(SUBSTITUTE(SUBSTITUTE(SUBSTITUTE(TRIM(K557),".",""),"/",""),"-","")," ",""),"(",""),")",""),"+",""))=11)),"OK","ERRO: use DDD + número (10 ou 11 dígitos)"))</f>
      </c>
      <c r="T557" s="6">
        <f>IF(L557="","vazio",IF(AND(ISNUMBER(FIND("@",L557)),ISNUMBER(FIND(".",MID(L557,FIND("@",L557),99))),NOT(ISNUMBER(FIND(" ",TRIM(L557)))),NOT(ISNUMBER(FIND(";",L557))),NOT(ISNUMBER(FIND(",",L557)))),"OK","ERRO: um e-mail válido por linha"))</f>
      </c>
      <c r="U557" s="6">
        <f>IF(COUNTA(A557:O557)=0,"",IF(AND(B557&lt;&gt;"",C557&lt;&gt;"",D557&lt;&gt;"",E557&lt;&gt;"",H557&lt;&gt;"",OR(J557&lt;&gt;"",L557&lt;&gt;"")),"OK","ERRO: faltam "&amp;IF(B557="","Proprietário; ","")&amp;IF(C557="","Origem; ","")&amp;IF(D557="","CNPJ; ","")&amp;IF(E557="","Razão Social; ","")&amp;IF(H557="","Sobrenome; ","")&amp;IF(AND(J557="",L557=""),"telefone ou e-mail; ","")))</f>
      </c>
      <c r="V557" s="6">
        <f>IF(COUNTA(A557:O557)=0,"",IF(AND(Q557="OK",R557="OK",LEFT(S557,4)&lt;&gt;"ERRO",LEFT(T557,4)&lt;&gt;"ERRO",U557="OK"),"OK","REVISAR"))</f>
      </c>
    </row>
    <row r="558">
      <c r="A558" s="4"/>
      <c r="B558" s="5"/>
      <c r="C558" s="5"/>
      <c r="D558" s="5"/>
      <c r="E558" s="5"/>
      <c r="F558" s="4"/>
      <c r="G558" s="4"/>
      <c r="H558" s="5"/>
      <c r="I558" s="4"/>
      <c r="J558" s="4"/>
      <c r="K558" s="4"/>
      <c r="L558" s="4"/>
      <c r="M558" s="4"/>
      <c r="N558" s="4"/>
      <c r="O558" s="4"/>
      <c r="P558" s="6">
        <f>IF(D558="","",SUBSTITUTE(SUBSTITUTE(SUBSTITUTE(SUBSTITUTE(SUBSTITUTE(SUBSTITUTE(SUBSTITUTE(TRIM(D558),".",""),"/",""),"-","")," ",""),"(",""),")",""),"+",""))</f>
      </c>
      <c r="Q558" s="6">
        <f>IF(P558="","",IF(LEN(P558)&lt;&gt;14,"ERRO: "&amp;LEN(P558)&amp;" dígitos",IF(NOT(ISNUMBER(VALUE(P558))),"ERRO: não numérico",IF(LEN(SUBSTITUTE(P558,LEFT(P558,1),""))=0,"ERRO: dígitos repetidos",IF(AND(VALUE(MID(P558,13,1))=IF(MOD(SUMPRODUCT(--MID(P558,{1,2,3,4,5,6,7,8,9,10,11,12},1),{5,4,3,2,9,8,7,6,5,4,3,2}),11)&lt;2,0,11-MOD(SUMPRODUCT(--MID(P558,{1,2,3,4,5,6,7,8,9,10,11,12},1),{5,4,3,2,9,8,7,6,5,4,3,2}),11)),VALUE(MID(P558,14,1))=IF(MOD(SUMPRODUCT(--MID(P558,{1,2,3,4,5,6,7,8,9,10,11,12,13},1),{6,5,4,3,2,9,8,7,6,5,4,3,2}),11)&lt;2,0,11-MOD(SUMPRODUCT(--MID(P558,{1,2,3,4,5,6,7,8,9,10,11,12,13},1),{6,5,4,3,2,9,8,7,6,5,4,3,2}),11))),"OK","ERRO: dígito verificador")))))</f>
      </c>
      <c r="R558" s="6">
        <f>IF(P558="","",IF(COUNTIF($P$2:$P$1001,P558)&gt;1,"DUPLICADO","OK"))</f>
      </c>
      <c r="S558" s="6">
        <f>IF(AND(J558="",K558=""),"vazio",IF(AND(OR(J558="",LEN(SUBSTITUTE(SUBSTITUTE(SUBSTITUTE(SUBSTITUTE(SUBSTITUTE(SUBSTITUTE(SUBSTITUTE(TRIM(J558),".",""),"/",""),"-","")," ",""),"(",""),")",""),"+",""))=10,LEN(SUBSTITUTE(SUBSTITUTE(SUBSTITUTE(SUBSTITUTE(SUBSTITUTE(SUBSTITUTE(SUBSTITUTE(TRIM(J558),".",""),"/",""),"-","")," ",""),"(",""),")",""),"+",""))=11),OR(K558="",LEN(SUBSTITUTE(SUBSTITUTE(SUBSTITUTE(SUBSTITUTE(SUBSTITUTE(SUBSTITUTE(SUBSTITUTE(TRIM(K558),".",""),"/",""),"-","")," ",""),"(",""),")",""),"+",""))=10,LEN(SUBSTITUTE(SUBSTITUTE(SUBSTITUTE(SUBSTITUTE(SUBSTITUTE(SUBSTITUTE(SUBSTITUTE(TRIM(K558),".",""),"/",""),"-","")," ",""),"(",""),")",""),"+",""))=11)),"OK","ERRO: use DDD + número (10 ou 11 dígitos)"))</f>
      </c>
      <c r="T558" s="6">
        <f>IF(L558="","vazio",IF(AND(ISNUMBER(FIND("@",L558)),ISNUMBER(FIND(".",MID(L558,FIND("@",L558),99))),NOT(ISNUMBER(FIND(" ",TRIM(L558)))),NOT(ISNUMBER(FIND(";",L558))),NOT(ISNUMBER(FIND(",",L558)))),"OK","ERRO: um e-mail válido por linha"))</f>
      </c>
      <c r="U558" s="6">
        <f>IF(COUNTA(A558:O558)=0,"",IF(AND(B558&lt;&gt;"",C558&lt;&gt;"",D558&lt;&gt;"",E558&lt;&gt;"",H558&lt;&gt;"",OR(J558&lt;&gt;"",L558&lt;&gt;"")),"OK","ERRO: faltam "&amp;IF(B558="","Proprietário; ","")&amp;IF(C558="","Origem; ","")&amp;IF(D558="","CNPJ; ","")&amp;IF(E558="","Razão Social; ","")&amp;IF(H558="","Sobrenome; ","")&amp;IF(AND(J558="",L558=""),"telefone ou e-mail; ","")))</f>
      </c>
      <c r="V558" s="6">
        <f>IF(COUNTA(A558:O558)=0,"",IF(AND(Q558="OK",R558="OK",LEFT(S558,4)&lt;&gt;"ERRO",LEFT(T558,4)&lt;&gt;"ERRO",U558="OK"),"OK","REVISAR"))</f>
      </c>
    </row>
    <row r="559">
      <c r="A559" s="4"/>
      <c r="B559" s="5"/>
      <c r="C559" s="5"/>
      <c r="D559" s="5"/>
      <c r="E559" s="5"/>
      <c r="F559" s="4"/>
      <c r="G559" s="4"/>
      <c r="H559" s="5"/>
      <c r="I559" s="4"/>
      <c r="J559" s="4"/>
      <c r="K559" s="4"/>
      <c r="L559" s="4"/>
      <c r="M559" s="4"/>
      <c r="N559" s="4"/>
      <c r="O559" s="4"/>
      <c r="P559" s="6">
        <f>IF(D559="","",SUBSTITUTE(SUBSTITUTE(SUBSTITUTE(SUBSTITUTE(SUBSTITUTE(SUBSTITUTE(SUBSTITUTE(TRIM(D559),".",""),"/",""),"-","")," ",""),"(",""),")",""),"+",""))</f>
      </c>
      <c r="Q559" s="6">
        <f>IF(P559="","",IF(LEN(P559)&lt;&gt;14,"ERRO: "&amp;LEN(P559)&amp;" dígitos",IF(NOT(ISNUMBER(VALUE(P559))),"ERRO: não numérico",IF(LEN(SUBSTITUTE(P559,LEFT(P559,1),""))=0,"ERRO: dígitos repetidos",IF(AND(VALUE(MID(P559,13,1))=IF(MOD(SUMPRODUCT(--MID(P559,{1,2,3,4,5,6,7,8,9,10,11,12},1),{5,4,3,2,9,8,7,6,5,4,3,2}),11)&lt;2,0,11-MOD(SUMPRODUCT(--MID(P559,{1,2,3,4,5,6,7,8,9,10,11,12},1),{5,4,3,2,9,8,7,6,5,4,3,2}),11)),VALUE(MID(P559,14,1))=IF(MOD(SUMPRODUCT(--MID(P559,{1,2,3,4,5,6,7,8,9,10,11,12,13},1),{6,5,4,3,2,9,8,7,6,5,4,3,2}),11)&lt;2,0,11-MOD(SUMPRODUCT(--MID(P559,{1,2,3,4,5,6,7,8,9,10,11,12,13},1),{6,5,4,3,2,9,8,7,6,5,4,3,2}),11))),"OK","ERRO: dígito verificador")))))</f>
      </c>
      <c r="R559" s="6">
        <f>IF(P559="","",IF(COUNTIF($P$2:$P$1001,P559)&gt;1,"DUPLICADO","OK"))</f>
      </c>
      <c r="S559" s="6">
        <f>IF(AND(J559="",K559=""),"vazio",IF(AND(OR(J559="",LEN(SUBSTITUTE(SUBSTITUTE(SUBSTITUTE(SUBSTITUTE(SUBSTITUTE(SUBSTITUTE(SUBSTITUTE(TRIM(J559),".",""),"/",""),"-","")," ",""),"(",""),")",""),"+",""))=10,LEN(SUBSTITUTE(SUBSTITUTE(SUBSTITUTE(SUBSTITUTE(SUBSTITUTE(SUBSTITUTE(SUBSTITUTE(TRIM(J559),".",""),"/",""),"-","")," ",""),"(",""),")",""),"+",""))=11),OR(K559="",LEN(SUBSTITUTE(SUBSTITUTE(SUBSTITUTE(SUBSTITUTE(SUBSTITUTE(SUBSTITUTE(SUBSTITUTE(TRIM(K559),".",""),"/",""),"-","")," ",""),"(",""),")",""),"+",""))=10,LEN(SUBSTITUTE(SUBSTITUTE(SUBSTITUTE(SUBSTITUTE(SUBSTITUTE(SUBSTITUTE(SUBSTITUTE(TRIM(K559),".",""),"/",""),"-","")," ",""),"(",""),")",""),"+",""))=11)),"OK","ERRO: use DDD + número (10 ou 11 dígitos)"))</f>
      </c>
      <c r="T559" s="6">
        <f>IF(L559="","vazio",IF(AND(ISNUMBER(FIND("@",L559)),ISNUMBER(FIND(".",MID(L559,FIND("@",L559),99))),NOT(ISNUMBER(FIND(" ",TRIM(L559)))),NOT(ISNUMBER(FIND(";",L559))),NOT(ISNUMBER(FIND(",",L559)))),"OK","ERRO: um e-mail válido por linha"))</f>
      </c>
      <c r="U559" s="6">
        <f>IF(COUNTA(A559:O559)=0,"",IF(AND(B559&lt;&gt;"",C559&lt;&gt;"",D559&lt;&gt;"",E559&lt;&gt;"",H559&lt;&gt;"",OR(J559&lt;&gt;"",L559&lt;&gt;"")),"OK","ERRO: faltam "&amp;IF(B559="","Proprietário; ","")&amp;IF(C559="","Origem; ","")&amp;IF(D559="","CNPJ; ","")&amp;IF(E559="","Razão Social; ","")&amp;IF(H559="","Sobrenome; ","")&amp;IF(AND(J559="",L559=""),"telefone ou e-mail; ","")))</f>
      </c>
      <c r="V559" s="6">
        <f>IF(COUNTA(A559:O559)=0,"",IF(AND(Q559="OK",R559="OK",LEFT(S559,4)&lt;&gt;"ERRO",LEFT(T559,4)&lt;&gt;"ERRO",U559="OK"),"OK","REVISAR"))</f>
      </c>
    </row>
    <row r="560">
      <c r="A560" s="4"/>
      <c r="B560" s="5"/>
      <c r="C560" s="5"/>
      <c r="D560" s="5"/>
      <c r="E560" s="5"/>
      <c r="F560" s="4"/>
      <c r="G560" s="4"/>
      <c r="H560" s="5"/>
      <c r="I560" s="4"/>
      <c r="J560" s="4"/>
      <c r="K560" s="4"/>
      <c r="L560" s="4"/>
      <c r="M560" s="4"/>
      <c r="N560" s="4"/>
      <c r="O560" s="4"/>
      <c r="P560" s="6">
        <f>IF(D560="","",SUBSTITUTE(SUBSTITUTE(SUBSTITUTE(SUBSTITUTE(SUBSTITUTE(SUBSTITUTE(SUBSTITUTE(TRIM(D560),".",""),"/",""),"-","")," ",""),"(",""),")",""),"+",""))</f>
      </c>
      <c r="Q560" s="6">
        <f>IF(P560="","",IF(LEN(P560)&lt;&gt;14,"ERRO: "&amp;LEN(P560)&amp;" dígitos",IF(NOT(ISNUMBER(VALUE(P560))),"ERRO: não numérico",IF(LEN(SUBSTITUTE(P560,LEFT(P560,1),""))=0,"ERRO: dígitos repetidos",IF(AND(VALUE(MID(P560,13,1))=IF(MOD(SUMPRODUCT(--MID(P560,{1,2,3,4,5,6,7,8,9,10,11,12},1),{5,4,3,2,9,8,7,6,5,4,3,2}),11)&lt;2,0,11-MOD(SUMPRODUCT(--MID(P560,{1,2,3,4,5,6,7,8,9,10,11,12},1),{5,4,3,2,9,8,7,6,5,4,3,2}),11)),VALUE(MID(P560,14,1))=IF(MOD(SUMPRODUCT(--MID(P560,{1,2,3,4,5,6,7,8,9,10,11,12,13},1),{6,5,4,3,2,9,8,7,6,5,4,3,2}),11)&lt;2,0,11-MOD(SUMPRODUCT(--MID(P560,{1,2,3,4,5,6,7,8,9,10,11,12,13},1),{6,5,4,3,2,9,8,7,6,5,4,3,2}),11))),"OK","ERRO: dígito verificador")))))</f>
      </c>
      <c r="R560" s="6">
        <f>IF(P560="","",IF(COUNTIF($P$2:$P$1001,P560)&gt;1,"DUPLICADO","OK"))</f>
      </c>
      <c r="S560" s="6">
        <f>IF(AND(J560="",K560=""),"vazio",IF(AND(OR(J560="",LEN(SUBSTITUTE(SUBSTITUTE(SUBSTITUTE(SUBSTITUTE(SUBSTITUTE(SUBSTITUTE(SUBSTITUTE(TRIM(J560),".",""),"/",""),"-","")," ",""),"(",""),")",""),"+",""))=10,LEN(SUBSTITUTE(SUBSTITUTE(SUBSTITUTE(SUBSTITUTE(SUBSTITUTE(SUBSTITUTE(SUBSTITUTE(TRIM(J560),".",""),"/",""),"-","")," ",""),"(",""),")",""),"+",""))=11),OR(K560="",LEN(SUBSTITUTE(SUBSTITUTE(SUBSTITUTE(SUBSTITUTE(SUBSTITUTE(SUBSTITUTE(SUBSTITUTE(TRIM(K560),".",""),"/",""),"-","")," ",""),"(",""),")",""),"+",""))=10,LEN(SUBSTITUTE(SUBSTITUTE(SUBSTITUTE(SUBSTITUTE(SUBSTITUTE(SUBSTITUTE(SUBSTITUTE(TRIM(K560),".",""),"/",""),"-","")," ",""),"(",""),")",""),"+",""))=11)),"OK","ERRO: use DDD + número (10 ou 11 dígitos)"))</f>
      </c>
      <c r="T560" s="6">
        <f>IF(L560="","vazio",IF(AND(ISNUMBER(FIND("@",L560)),ISNUMBER(FIND(".",MID(L560,FIND("@",L560),99))),NOT(ISNUMBER(FIND(" ",TRIM(L560)))),NOT(ISNUMBER(FIND(";",L560))),NOT(ISNUMBER(FIND(",",L560)))),"OK","ERRO: um e-mail válido por linha"))</f>
      </c>
      <c r="U560" s="6">
        <f>IF(COUNTA(A560:O560)=0,"",IF(AND(B560&lt;&gt;"",C560&lt;&gt;"",D560&lt;&gt;"",E560&lt;&gt;"",H560&lt;&gt;"",OR(J560&lt;&gt;"",L560&lt;&gt;"")),"OK","ERRO: faltam "&amp;IF(B560="","Proprietário; ","")&amp;IF(C560="","Origem; ","")&amp;IF(D560="","CNPJ; ","")&amp;IF(E560="","Razão Social; ","")&amp;IF(H560="","Sobrenome; ","")&amp;IF(AND(J560="",L560=""),"telefone ou e-mail; ","")))</f>
      </c>
      <c r="V560" s="6">
        <f>IF(COUNTA(A560:O560)=0,"",IF(AND(Q560="OK",R560="OK",LEFT(S560,4)&lt;&gt;"ERRO",LEFT(T560,4)&lt;&gt;"ERRO",U560="OK"),"OK","REVISAR"))</f>
      </c>
    </row>
    <row r="561">
      <c r="A561" s="4"/>
      <c r="B561" s="5"/>
      <c r="C561" s="5"/>
      <c r="D561" s="5"/>
      <c r="E561" s="5"/>
      <c r="F561" s="4"/>
      <c r="G561" s="4"/>
      <c r="H561" s="5"/>
      <c r="I561" s="4"/>
      <c r="J561" s="4"/>
      <c r="K561" s="4"/>
      <c r="L561" s="4"/>
      <c r="M561" s="4"/>
      <c r="N561" s="4"/>
      <c r="O561" s="4"/>
      <c r="P561" s="6">
        <f>IF(D561="","",SUBSTITUTE(SUBSTITUTE(SUBSTITUTE(SUBSTITUTE(SUBSTITUTE(SUBSTITUTE(SUBSTITUTE(TRIM(D561),".",""),"/",""),"-","")," ",""),"(",""),")",""),"+",""))</f>
      </c>
      <c r="Q561" s="6">
        <f>IF(P561="","",IF(LEN(P561)&lt;&gt;14,"ERRO: "&amp;LEN(P561)&amp;" dígitos",IF(NOT(ISNUMBER(VALUE(P561))),"ERRO: não numérico",IF(LEN(SUBSTITUTE(P561,LEFT(P561,1),""))=0,"ERRO: dígitos repetidos",IF(AND(VALUE(MID(P561,13,1))=IF(MOD(SUMPRODUCT(--MID(P561,{1,2,3,4,5,6,7,8,9,10,11,12},1),{5,4,3,2,9,8,7,6,5,4,3,2}),11)&lt;2,0,11-MOD(SUMPRODUCT(--MID(P561,{1,2,3,4,5,6,7,8,9,10,11,12},1),{5,4,3,2,9,8,7,6,5,4,3,2}),11)),VALUE(MID(P561,14,1))=IF(MOD(SUMPRODUCT(--MID(P561,{1,2,3,4,5,6,7,8,9,10,11,12,13},1),{6,5,4,3,2,9,8,7,6,5,4,3,2}),11)&lt;2,0,11-MOD(SUMPRODUCT(--MID(P561,{1,2,3,4,5,6,7,8,9,10,11,12,13},1),{6,5,4,3,2,9,8,7,6,5,4,3,2}),11))),"OK","ERRO: dígito verificador")))))</f>
      </c>
      <c r="R561" s="6">
        <f>IF(P561="","",IF(COUNTIF($P$2:$P$1001,P561)&gt;1,"DUPLICADO","OK"))</f>
      </c>
      <c r="S561" s="6">
        <f>IF(AND(J561="",K561=""),"vazio",IF(AND(OR(J561="",LEN(SUBSTITUTE(SUBSTITUTE(SUBSTITUTE(SUBSTITUTE(SUBSTITUTE(SUBSTITUTE(SUBSTITUTE(TRIM(J561),".",""),"/",""),"-","")," ",""),"(",""),")",""),"+",""))=10,LEN(SUBSTITUTE(SUBSTITUTE(SUBSTITUTE(SUBSTITUTE(SUBSTITUTE(SUBSTITUTE(SUBSTITUTE(TRIM(J561),".",""),"/",""),"-","")," ",""),"(",""),")",""),"+",""))=11),OR(K561="",LEN(SUBSTITUTE(SUBSTITUTE(SUBSTITUTE(SUBSTITUTE(SUBSTITUTE(SUBSTITUTE(SUBSTITUTE(TRIM(K561),".",""),"/",""),"-","")," ",""),"(",""),")",""),"+",""))=10,LEN(SUBSTITUTE(SUBSTITUTE(SUBSTITUTE(SUBSTITUTE(SUBSTITUTE(SUBSTITUTE(SUBSTITUTE(TRIM(K561),".",""),"/",""),"-","")," ",""),"(",""),")",""),"+",""))=11)),"OK","ERRO: use DDD + número (10 ou 11 dígitos)"))</f>
      </c>
      <c r="T561" s="6">
        <f>IF(L561="","vazio",IF(AND(ISNUMBER(FIND("@",L561)),ISNUMBER(FIND(".",MID(L561,FIND("@",L561),99))),NOT(ISNUMBER(FIND(" ",TRIM(L561)))),NOT(ISNUMBER(FIND(";",L561))),NOT(ISNUMBER(FIND(",",L561)))),"OK","ERRO: um e-mail válido por linha"))</f>
      </c>
      <c r="U561" s="6">
        <f>IF(COUNTA(A561:O561)=0,"",IF(AND(B561&lt;&gt;"",C561&lt;&gt;"",D561&lt;&gt;"",E561&lt;&gt;"",H561&lt;&gt;"",OR(J561&lt;&gt;"",L561&lt;&gt;"")),"OK","ERRO: faltam "&amp;IF(B561="","Proprietário; ","")&amp;IF(C561="","Origem; ","")&amp;IF(D561="","CNPJ; ","")&amp;IF(E561="","Razão Social; ","")&amp;IF(H561="","Sobrenome; ","")&amp;IF(AND(J561="",L561=""),"telefone ou e-mail; ","")))</f>
      </c>
      <c r="V561" s="6">
        <f>IF(COUNTA(A561:O561)=0,"",IF(AND(Q561="OK",R561="OK",LEFT(S561,4)&lt;&gt;"ERRO",LEFT(T561,4)&lt;&gt;"ERRO",U561="OK"),"OK","REVISAR"))</f>
      </c>
    </row>
    <row r="562">
      <c r="A562" s="4"/>
      <c r="B562" s="5"/>
      <c r="C562" s="5"/>
      <c r="D562" s="5"/>
      <c r="E562" s="5"/>
      <c r="F562" s="4"/>
      <c r="G562" s="4"/>
      <c r="H562" s="5"/>
      <c r="I562" s="4"/>
      <c r="J562" s="4"/>
      <c r="K562" s="4"/>
      <c r="L562" s="4"/>
      <c r="M562" s="4"/>
      <c r="N562" s="4"/>
      <c r="O562" s="4"/>
      <c r="P562" s="6">
        <f>IF(D562="","",SUBSTITUTE(SUBSTITUTE(SUBSTITUTE(SUBSTITUTE(SUBSTITUTE(SUBSTITUTE(SUBSTITUTE(TRIM(D562),".",""),"/",""),"-","")," ",""),"(",""),")",""),"+",""))</f>
      </c>
      <c r="Q562" s="6">
        <f>IF(P562="","",IF(LEN(P562)&lt;&gt;14,"ERRO: "&amp;LEN(P562)&amp;" dígitos",IF(NOT(ISNUMBER(VALUE(P562))),"ERRO: não numérico",IF(LEN(SUBSTITUTE(P562,LEFT(P562,1),""))=0,"ERRO: dígitos repetidos",IF(AND(VALUE(MID(P562,13,1))=IF(MOD(SUMPRODUCT(--MID(P562,{1,2,3,4,5,6,7,8,9,10,11,12},1),{5,4,3,2,9,8,7,6,5,4,3,2}),11)&lt;2,0,11-MOD(SUMPRODUCT(--MID(P562,{1,2,3,4,5,6,7,8,9,10,11,12},1),{5,4,3,2,9,8,7,6,5,4,3,2}),11)),VALUE(MID(P562,14,1))=IF(MOD(SUMPRODUCT(--MID(P562,{1,2,3,4,5,6,7,8,9,10,11,12,13},1),{6,5,4,3,2,9,8,7,6,5,4,3,2}),11)&lt;2,0,11-MOD(SUMPRODUCT(--MID(P562,{1,2,3,4,5,6,7,8,9,10,11,12,13},1),{6,5,4,3,2,9,8,7,6,5,4,3,2}),11))),"OK","ERRO: dígito verificador")))))</f>
      </c>
      <c r="R562" s="6">
        <f>IF(P562="","",IF(COUNTIF($P$2:$P$1001,P562)&gt;1,"DUPLICADO","OK"))</f>
      </c>
      <c r="S562" s="6">
        <f>IF(AND(J562="",K562=""),"vazio",IF(AND(OR(J562="",LEN(SUBSTITUTE(SUBSTITUTE(SUBSTITUTE(SUBSTITUTE(SUBSTITUTE(SUBSTITUTE(SUBSTITUTE(TRIM(J562),".",""),"/",""),"-","")," ",""),"(",""),")",""),"+",""))=10,LEN(SUBSTITUTE(SUBSTITUTE(SUBSTITUTE(SUBSTITUTE(SUBSTITUTE(SUBSTITUTE(SUBSTITUTE(TRIM(J562),".",""),"/",""),"-","")," ",""),"(",""),")",""),"+",""))=11),OR(K562="",LEN(SUBSTITUTE(SUBSTITUTE(SUBSTITUTE(SUBSTITUTE(SUBSTITUTE(SUBSTITUTE(SUBSTITUTE(TRIM(K562),".",""),"/",""),"-","")," ",""),"(",""),")",""),"+",""))=10,LEN(SUBSTITUTE(SUBSTITUTE(SUBSTITUTE(SUBSTITUTE(SUBSTITUTE(SUBSTITUTE(SUBSTITUTE(TRIM(K562),".",""),"/",""),"-","")," ",""),"(",""),")",""),"+",""))=11)),"OK","ERRO: use DDD + número (10 ou 11 dígitos)"))</f>
      </c>
      <c r="T562" s="6">
        <f>IF(L562="","vazio",IF(AND(ISNUMBER(FIND("@",L562)),ISNUMBER(FIND(".",MID(L562,FIND("@",L562),99))),NOT(ISNUMBER(FIND(" ",TRIM(L562)))),NOT(ISNUMBER(FIND(";",L562))),NOT(ISNUMBER(FIND(",",L562)))),"OK","ERRO: um e-mail válido por linha"))</f>
      </c>
      <c r="U562" s="6">
        <f>IF(COUNTA(A562:O562)=0,"",IF(AND(B562&lt;&gt;"",C562&lt;&gt;"",D562&lt;&gt;"",E562&lt;&gt;"",H562&lt;&gt;"",OR(J562&lt;&gt;"",L562&lt;&gt;"")),"OK","ERRO: faltam "&amp;IF(B562="","Proprietário; ","")&amp;IF(C562="","Origem; ","")&amp;IF(D562="","CNPJ; ","")&amp;IF(E562="","Razão Social; ","")&amp;IF(H562="","Sobrenome; ","")&amp;IF(AND(J562="",L562=""),"telefone ou e-mail; ","")))</f>
      </c>
      <c r="V562" s="6">
        <f>IF(COUNTA(A562:O562)=0,"",IF(AND(Q562="OK",R562="OK",LEFT(S562,4)&lt;&gt;"ERRO",LEFT(T562,4)&lt;&gt;"ERRO",U562="OK"),"OK","REVISAR"))</f>
      </c>
    </row>
    <row r="563">
      <c r="A563" s="4"/>
      <c r="B563" s="5"/>
      <c r="C563" s="5"/>
      <c r="D563" s="5"/>
      <c r="E563" s="5"/>
      <c r="F563" s="4"/>
      <c r="G563" s="4"/>
      <c r="H563" s="5"/>
      <c r="I563" s="4"/>
      <c r="J563" s="4"/>
      <c r="K563" s="4"/>
      <c r="L563" s="4"/>
      <c r="M563" s="4"/>
      <c r="N563" s="4"/>
      <c r="O563" s="4"/>
      <c r="P563" s="6">
        <f>IF(D563="","",SUBSTITUTE(SUBSTITUTE(SUBSTITUTE(SUBSTITUTE(SUBSTITUTE(SUBSTITUTE(SUBSTITUTE(TRIM(D563),".",""),"/",""),"-","")," ",""),"(",""),")",""),"+",""))</f>
      </c>
      <c r="Q563" s="6">
        <f>IF(P563="","",IF(LEN(P563)&lt;&gt;14,"ERRO: "&amp;LEN(P563)&amp;" dígitos",IF(NOT(ISNUMBER(VALUE(P563))),"ERRO: não numérico",IF(LEN(SUBSTITUTE(P563,LEFT(P563,1),""))=0,"ERRO: dígitos repetidos",IF(AND(VALUE(MID(P563,13,1))=IF(MOD(SUMPRODUCT(--MID(P563,{1,2,3,4,5,6,7,8,9,10,11,12},1),{5,4,3,2,9,8,7,6,5,4,3,2}),11)&lt;2,0,11-MOD(SUMPRODUCT(--MID(P563,{1,2,3,4,5,6,7,8,9,10,11,12},1),{5,4,3,2,9,8,7,6,5,4,3,2}),11)),VALUE(MID(P563,14,1))=IF(MOD(SUMPRODUCT(--MID(P563,{1,2,3,4,5,6,7,8,9,10,11,12,13},1),{6,5,4,3,2,9,8,7,6,5,4,3,2}),11)&lt;2,0,11-MOD(SUMPRODUCT(--MID(P563,{1,2,3,4,5,6,7,8,9,10,11,12,13},1),{6,5,4,3,2,9,8,7,6,5,4,3,2}),11))),"OK","ERRO: dígito verificador")))))</f>
      </c>
      <c r="R563" s="6">
        <f>IF(P563="","",IF(COUNTIF($P$2:$P$1001,P563)&gt;1,"DUPLICADO","OK"))</f>
      </c>
      <c r="S563" s="6">
        <f>IF(AND(J563="",K563=""),"vazio",IF(AND(OR(J563="",LEN(SUBSTITUTE(SUBSTITUTE(SUBSTITUTE(SUBSTITUTE(SUBSTITUTE(SUBSTITUTE(SUBSTITUTE(TRIM(J563),".",""),"/",""),"-","")," ",""),"(",""),")",""),"+",""))=10,LEN(SUBSTITUTE(SUBSTITUTE(SUBSTITUTE(SUBSTITUTE(SUBSTITUTE(SUBSTITUTE(SUBSTITUTE(TRIM(J563),".",""),"/",""),"-","")," ",""),"(",""),")",""),"+",""))=11),OR(K563="",LEN(SUBSTITUTE(SUBSTITUTE(SUBSTITUTE(SUBSTITUTE(SUBSTITUTE(SUBSTITUTE(SUBSTITUTE(TRIM(K563),".",""),"/",""),"-","")," ",""),"(",""),")",""),"+",""))=10,LEN(SUBSTITUTE(SUBSTITUTE(SUBSTITUTE(SUBSTITUTE(SUBSTITUTE(SUBSTITUTE(SUBSTITUTE(TRIM(K563),".",""),"/",""),"-","")," ",""),"(",""),")",""),"+",""))=11)),"OK","ERRO: use DDD + número (10 ou 11 dígitos)"))</f>
      </c>
      <c r="T563" s="6">
        <f>IF(L563="","vazio",IF(AND(ISNUMBER(FIND("@",L563)),ISNUMBER(FIND(".",MID(L563,FIND("@",L563),99))),NOT(ISNUMBER(FIND(" ",TRIM(L563)))),NOT(ISNUMBER(FIND(";",L563))),NOT(ISNUMBER(FIND(",",L563)))),"OK","ERRO: um e-mail válido por linha"))</f>
      </c>
      <c r="U563" s="6">
        <f>IF(COUNTA(A563:O563)=0,"",IF(AND(B563&lt;&gt;"",C563&lt;&gt;"",D563&lt;&gt;"",E563&lt;&gt;"",H563&lt;&gt;"",OR(J563&lt;&gt;"",L563&lt;&gt;"")),"OK","ERRO: faltam "&amp;IF(B563="","Proprietário; ","")&amp;IF(C563="","Origem; ","")&amp;IF(D563="","CNPJ; ","")&amp;IF(E563="","Razão Social; ","")&amp;IF(H563="","Sobrenome; ","")&amp;IF(AND(J563="",L563=""),"telefone ou e-mail; ","")))</f>
      </c>
      <c r="V563" s="6">
        <f>IF(COUNTA(A563:O563)=0,"",IF(AND(Q563="OK",R563="OK",LEFT(S563,4)&lt;&gt;"ERRO",LEFT(T563,4)&lt;&gt;"ERRO",U563="OK"),"OK","REVISAR"))</f>
      </c>
    </row>
    <row r="564">
      <c r="A564" s="4"/>
      <c r="B564" s="5"/>
      <c r="C564" s="5"/>
      <c r="D564" s="5"/>
      <c r="E564" s="5"/>
      <c r="F564" s="4"/>
      <c r="G564" s="4"/>
      <c r="H564" s="5"/>
      <c r="I564" s="4"/>
      <c r="J564" s="4"/>
      <c r="K564" s="4"/>
      <c r="L564" s="4"/>
      <c r="M564" s="4"/>
      <c r="N564" s="4"/>
      <c r="O564" s="4"/>
      <c r="P564" s="6">
        <f>IF(D564="","",SUBSTITUTE(SUBSTITUTE(SUBSTITUTE(SUBSTITUTE(SUBSTITUTE(SUBSTITUTE(SUBSTITUTE(TRIM(D564),".",""),"/",""),"-","")," ",""),"(",""),")",""),"+",""))</f>
      </c>
      <c r="Q564" s="6">
        <f>IF(P564="","",IF(LEN(P564)&lt;&gt;14,"ERRO: "&amp;LEN(P564)&amp;" dígitos",IF(NOT(ISNUMBER(VALUE(P564))),"ERRO: não numérico",IF(LEN(SUBSTITUTE(P564,LEFT(P564,1),""))=0,"ERRO: dígitos repetidos",IF(AND(VALUE(MID(P564,13,1))=IF(MOD(SUMPRODUCT(--MID(P564,{1,2,3,4,5,6,7,8,9,10,11,12},1),{5,4,3,2,9,8,7,6,5,4,3,2}),11)&lt;2,0,11-MOD(SUMPRODUCT(--MID(P564,{1,2,3,4,5,6,7,8,9,10,11,12},1),{5,4,3,2,9,8,7,6,5,4,3,2}),11)),VALUE(MID(P564,14,1))=IF(MOD(SUMPRODUCT(--MID(P564,{1,2,3,4,5,6,7,8,9,10,11,12,13},1),{6,5,4,3,2,9,8,7,6,5,4,3,2}),11)&lt;2,0,11-MOD(SUMPRODUCT(--MID(P564,{1,2,3,4,5,6,7,8,9,10,11,12,13},1),{6,5,4,3,2,9,8,7,6,5,4,3,2}),11))),"OK","ERRO: dígito verificador")))))</f>
      </c>
      <c r="R564" s="6">
        <f>IF(P564="","",IF(COUNTIF($P$2:$P$1001,P564)&gt;1,"DUPLICADO","OK"))</f>
      </c>
      <c r="S564" s="6">
        <f>IF(AND(J564="",K564=""),"vazio",IF(AND(OR(J564="",LEN(SUBSTITUTE(SUBSTITUTE(SUBSTITUTE(SUBSTITUTE(SUBSTITUTE(SUBSTITUTE(SUBSTITUTE(TRIM(J564),".",""),"/",""),"-","")," ",""),"(",""),")",""),"+",""))=10,LEN(SUBSTITUTE(SUBSTITUTE(SUBSTITUTE(SUBSTITUTE(SUBSTITUTE(SUBSTITUTE(SUBSTITUTE(TRIM(J564),".",""),"/",""),"-","")," ",""),"(",""),")",""),"+",""))=11),OR(K564="",LEN(SUBSTITUTE(SUBSTITUTE(SUBSTITUTE(SUBSTITUTE(SUBSTITUTE(SUBSTITUTE(SUBSTITUTE(TRIM(K564),".",""),"/",""),"-","")," ",""),"(",""),")",""),"+",""))=10,LEN(SUBSTITUTE(SUBSTITUTE(SUBSTITUTE(SUBSTITUTE(SUBSTITUTE(SUBSTITUTE(SUBSTITUTE(TRIM(K564),".",""),"/",""),"-","")," ",""),"(",""),")",""),"+",""))=11)),"OK","ERRO: use DDD + número (10 ou 11 dígitos)"))</f>
      </c>
      <c r="T564" s="6">
        <f>IF(L564="","vazio",IF(AND(ISNUMBER(FIND("@",L564)),ISNUMBER(FIND(".",MID(L564,FIND("@",L564),99))),NOT(ISNUMBER(FIND(" ",TRIM(L564)))),NOT(ISNUMBER(FIND(";",L564))),NOT(ISNUMBER(FIND(",",L564)))),"OK","ERRO: um e-mail válido por linha"))</f>
      </c>
      <c r="U564" s="6">
        <f>IF(COUNTA(A564:O564)=0,"",IF(AND(B564&lt;&gt;"",C564&lt;&gt;"",D564&lt;&gt;"",E564&lt;&gt;"",H564&lt;&gt;"",OR(J564&lt;&gt;"",L564&lt;&gt;"")),"OK","ERRO: faltam "&amp;IF(B564="","Proprietário; ","")&amp;IF(C564="","Origem; ","")&amp;IF(D564="","CNPJ; ","")&amp;IF(E564="","Razão Social; ","")&amp;IF(H564="","Sobrenome; ","")&amp;IF(AND(J564="",L564=""),"telefone ou e-mail; ","")))</f>
      </c>
      <c r="V564" s="6">
        <f>IF(COUNTA(A564:O564)=0,"",IF(AND(Q564="OK",R564="OK",LEFT(S564,4)&lt;&gt;"ERRO",LEFT(T564,4)&lt;&gt;"ERRO",U564="OK"),"OK","REVISAR"))</f>
      </c>
    </row>
    <row r="565">
      <c r="A565" s="4"/>
      <c r="B565" s="5"/>
      <c r="C565" s="5"/>
      <c r="D565" s="5"/>
      <c r="E565" s="5"/>
      <c r="F565" s="4"/>
      <c r="G565" s="4"/>
      <c r="H565" s="5"/>
      <c r="I565" s="4"/>
      <c r="J565" s="4"/>
      <c r="K565" s="4"/>
      <c r="L565" s="4"/>
      <c r="M565" s="4"/>
      <c r="N565" s="4"/>
      <c r="O565" s="4"/>
      <c r="P565" s="6">
        <f>IF(D565="","",SUBSTITUTE(SUBSTITUTE(SUBSTITUTE(SUBSTITUTE(SUBSTITUTE(SUBSTITUTE(SUBSTITUTE(TRIM(D565),".",""),"/",""),"-","")," ",""),"(",""),")",""),"+",""))</f>
      </c>
      <c r="Q565" s="6">
        <f>IF(P565="","",IF(LEN(P565)&lt;&gt;14,"ERRO: "&amp;LEN(P565)&amp;" dígitos",IF(NOT(ISNUMBER(VALUE(P565))),"ERRO: não numérico",IF(LEN(SUBSTITUTE(P565,LEFT(P565,1),""))=0,"ERRO: dígitos repetidos",IF(AND(VALUE(MID(P565,13,1))=IF(MOD(SUMPRODUCT(--MID(P565,{1,2,3,4,5,6,7,8,9,10,11,12},1),{5,4,3,2,9,8,7,6,5,4,3,2}),11)&lt;2,0,11-MOD(SUMPRODUCT(--MID(P565,{1,2,3,4,5,6,7,8,9,10,11,12},1),{5,4,3,2,9,8,7,6,5,4,3,2}),11)),VALUE(MID(P565,14,1))=IF(MOD(SUMPRODUCT(--MID(P565,{1,2,3,4,5,6,7,8,9,10,11,12,13},1),{6,5,4,3,2,9,8,7,6,5,4,3,2}),11)&lt;2,0,11-MOD(SUMPRODUCT(--MID(P565,{1,2,3,4,5,6,7,8,9,10,11,12,13},1),{6,5,4,3,2,9,8,7,6,5,4,3,2}),11))),"OK","ERRO: dígito verificador")))))</f>
      </c>
      <c r="R565" s="6">
        <f>IF(P565="","",IF(COUNTIF($P$2:$P$1001,P565)&gt;1,"DUPLICADO","OK"))</f>
      </c>
      <c r="S565" s="6">
        <f>IF(AND(J565="",K565=""),"vazio",IF(AND(OR(J565="",LEN(SUBSTITUTE(SUBSTITUTE(SUBSTITUTE(SUBSTITUTE(SUBSTITUTE(SUBSTITUTE(SUBSTITUTE(TRIM(J565),".",""),"/",""),"-","")," ",""),"(",""),")",""),"+",""))=10,LEN(SUBSTITUTE(SUBSTITUTE(SUBSTITUTE(SUBSTITUTE(SUBSTITUTE(SUBSTITUTE(SUBSTITUTE(TRIM(J565),".",""),"/",""),"-","")," ",""),"(",""),")",""),"+",""))=11),OR(K565="",LEN(SUBSTITUTE(SUBSTITUTE(SUBSTITUTE(SUBSTITUTE(SUBSTITUTE(SUBSTITUTE(SUBSTITUTE(TRIM(K565),".",""),"/",""),"-","")," ",""),"(",""),")",""),"+",""))=10,LEN(SUBSTITUTE(SUBSTITUTE(SUBSTITUTE(SUBSTITUTE(SUBSTITUTE(SUBSTITUTE(SUBSTITUTE(TRIM(K565),".",""),"/",""),"-","")," ",""),"(",""),")",""),"+",""))=11)),"OK","ERRO: use DDD + número (10 ou 11 dígitos)"))</f>
      </c>
      <c r="T565" s="6">
        <f>IF(L565="","vazio",IF(AND(ISNUMBER(FIND("@",L565)),ISNUMBER(FIND(".",MID(L565,FIND("@",L565),99))),NOT(ISNUMBER(FIND(" ",TRIM(L565)))),NOT(ISNUMBER(FIND(";",L565))),NOT(ISNUMBER(FIND(",",L565)))),"OK","ERRO: um e-mail válido por linha"))</f>
      </c>
      <c r="U565" s="6">
        <f>IF(COUNTA(A565:O565)=0,"",IF(AND(B565&lt;&gt;"",C565&lt;&gt;"",D565&lt;&gt;"",E565&lt;&gt;"",H565&lt;&gt;"",OR(J565&lt;&gt;"",L565&lt;&gt;"")),"OK","ERRO: faltam "&amp;IF(B565="","Proprietário; ","")&amp;IF(C565="","Origem; ","")&amp;IF(D565="","CNPJ; ","")&amp;IF(E565="","Razão Social; ","")&amp;IF(H565="","Sobrenome; ","")&amp;IF(AND(J565="",L565=""),"telefone ou e-mail; ","")))</f>
      </c>
      <c r="V565" s="6">
        <f>IF(COUNTA(A565:O565)=0,"",IF(AND(Q565="OK",R565="OK",LEFT(S565,4)&lt;&gt;"ERRO",LEFT(T565,4)&lt;&gt;"ERRO",U565="OK"),"OK","REVISAR"))</f>
      </c>
    </row>
    <row r="566">
      <c r="A566" s="4"/>
      <c r="B566" s="5"/>
      <c r="C566" s="5"/>
      <c r="D566" s="5"/>
      <c r="E566" s="5"/>
      <c r="F566" s="4"/>
      <c r="G566" s="4"/>
      <c r="H566" s="5"/>
      <c r="I566" s="4"/>
      <c r="J566" s="4"/>
      <c r="K566" s="4"/>
      <c r="L566" s="4"/>
      <c r="M566" s="4"/>
      <c r="N566" s="4"/>
      <c r="O566" s="4"/>
      <c r="P566" s="6">
        <f>IF(D566="","",SUBSTITUTE(SUBSTITUTE(SUBSTITUTE(SUBSTITUTE(SUBSTITUTE(SUBSTITUTE(SUBSTITUTE(TRIM(D566),".",""),"/",""),"-","")," ",""),"(",""),")",""),"+",""))</f>
      </c>
      <c r="Q566" s="6">
        <f>IF(P566="","",IF(LEN(P566)&lt;&gt;14,"ERRO: "&amp;LEN(P566)&amp;" dígitos",IF(NOT(ISNUMBER(VALUE(P566))),"ERRO: não numérico",IF(LEN(SUBSTITUTE(P566,LEFT(P566,1),""))=0,"ERRO: dígitos repetidos",IF(AND(VALUE(MID(P566,13,1))=IF(MOD(SUMPRODUCT(--MID(P566,{1,2,3,4,5,6,7,8,9,10,11,12},1),{5,4,3,2,9,8,7,6,5,4,3,2}),11)&lt;2,0,11-MOD(SUMPRODUCT(--MID(P566,{1,2,3,4,5,6,7,8,9,10,11,12},1),{5,4,3,2,9,8,7,6,5,4,3,2}),11)),VALUE(MID(P566,14,1))=IF(MOD(SUMPRODUCT(--MID(P566,{1,2,3,4,5,6,7,8,9,10,11,12,13},1),{6,5,4,3,2,9,8,7,6,5,4,3,2}),11)&lt;2,0,11-MOD(SUMPRODUCT(--MID(P566,{1,2,3,4,5,6,7,8,9,10,11,12,13},1),{6,5,4,3,2,9,8,7,6,5,4,3,2}),11))),"OK","ERRO: dígito verificador")))))</f>
      </c>
      <c r="R566" s="6">
        <f>IF(P566="","",IF(COUNTIF($P$2:$P$1001,P566)&gt;1,"DUPLICADO","OK"))</f>
      </c>
      <c r="S566" s="6">
        <f>IF(AND(J566="",K566=""),"vazio",IF(AND(OR(J566="",LEN(SUBSTITUTE(SUBSTITUTE(SUBSTITUTE(SUBSTITUTE(SUBSTITUTE(SUBSTITUTE(SUBSTITUTE(TRIM(J566),".",""),"/",""),"-","")," ",""),"(",""),")",""),"+",""))=10,LEN(SUBSTITUTE(SUBSTITUTE(SUBSTITUTE(SUBSTITUTE(SUBSTITUTE(SUBSTITUTE(SUBSTITUTE(TRIM(J566),".",""),"/",""),"-","")," ",""),"(",""),")",""),"+",""))=11),OR(K566="",LEN(SUBSTITUTE(SUBSTITUTE(SUBSTITUTE(SUBSTITUTE(SUBSTITUTE(SUBSTITUTE(SUBSTITUTE(TRIM(K566),".",""),"/",""),"-","")," ",""),"(",""),")",""),"+",""))=10,LEN(SUBSTITUTE(SUBSTITUTE(SUBSTITUTE(SUBSTITUTE(SUBSTITUTE(SUBSTITUTE(SUBSTITUTE(TRIM(K566),".",""),"/",""),"-","")," ",""),"(",""),")",""),"+",""))=11)),"OK","ERRO: use DDD + número (10 ou 11 dígitos)"))</f>
      </c>
      <c r="T566" s="6">
        <f>IF(L566="","vazio",IF(AND(ISNUMBER(FIND("@",L566)),ISNUMBER(FIND(".",MID(L566,FIND("@",L566),99))),NOT(ISNUMBER(FIND(" ",TRIM(L566)))),NOT(ISNUMBER(FIND(";",L566))),NOT(ISNUMBER(FIND(",",L566)))),"OK","ERRO: um e-mail válido por linha"))</f>
      </c>
      <c r="U566" s="6">
        <f>IF(COUNTA(A566:O566)=0,"",IF(AND(B566&lt;&gt;"",C566&lt;&gt;"",D566&lt;&gt;"",E566&lt;&gt;"",H566&lt;&gt;"",OR(J566&lt;&gt;"",L566&lt;&gt;"")),"OK","ERRO: faltam "&amp;IF(B566="","Proprietário; ","")&amp;IF(C566="","Origem; ","")&amp;IF(D566="","CNPJ; ","")&amp;IF(E566="","Razão Social; ","")&amp;IF(H566="","Sobrenome; ","")&amp;IF(AND(J566="",L566=""),"telefone ou e-mail; ","")))</f>
      </c>
      <c r="V566" s="6">
        <f>IF(COUNTA(A566:O566)=0,"",IF(AND(Q566="OK",R566="OK",LEFT(S566,4)&lt;&gt;"ERRO",LEFT(T566,4)&lt;&gt;"ERRO",U566="OK"),"OK","REVISAR"))</f>
      </c>
    </row>
    <row r="567">
      <c r="A567" s="4"/>
      <c r="B567" s="5"/>
      <c r="C567" s="5"/>
      <c r="D567" s="5"/>
      <c r="E567" s="5"/>
      <c r="F567" s="4"/>
      <c r="G567" s="4"/>
      <c r="H567" s="5"/>
      <c r="I567" s="4"/>
      <c r="J567" s="4"/>
      <c r="K567" s="4"/>
      <c r="L567" s="4"/>
      <c r="M567" s="4"/>
      <c r="N567" s="4"/>
      <c r="O567" s="4"/>
      <c r="P567" s="6">
        <f>IF(D567="","",SUBSTITUTE(SUBSTITUTE(SUBSTITUTE(SUBSTITUTE(SUBSTITUTE(SUBSTITUTE(SUBSTITUTE(TRIM(D567),".",""),"/",""),"-","")," ",""),"(",""),")",""),"+",""))</f>
      </c>
      <c r="Q567" s="6">
        <f>IF(P567="","",IF(LEN(P567)&lt;&gt;14,"ERRO: "&amp;LEN(P567)&amp;" dígitos",IF(NOT(ISNUMBER(VALUE(P567))),"ERRO: não numérico",IF(LEN(SUBSTITUTE(P567,LEFT(P567,1),""))=0,"ERRO: dígitos repetidos",IF(AND(VALUE(MID(P567,13,1))=IF(MOD(SUMPRODUCT(--MID(P567,{1,2,3,4,5,6,7,8,9,10,11,12},1),{5,4,3,2,9,8,7,6,5,4,3,2}),11)&lt;2,0,11-MOD(SUMPRODUCT(--MID(P567,{1,2,3,4,5,6,7,8,9,10,11,12},1),{5,4,3,2,9,8,7,6,5,4,3,2}),11)),VALUE(MID(P567,14,1))=IF(MOD(SUMPRODUCT(--MID(P567,{1,2,3,4,5,6,7,8,9,10,11,12,13},1),{6,5,4,3,2,9,8,7,6,5,4,3,2}),11)&lt;2,0,11-MOD(SUMPRODUCT(--MID(P567,{1,2,3,4,5,6,7,8,9,10,11,12,13},1),{6,5,4,3,2,9,8,7,6,5,4,3,2}),11))),"OK","ERRO: dígito verificador")))))</f>
      </c>
      <c r="R567" s="6">
        <f>IF(P567="","",IF(COUNTIF($P$2:$P$1001,P567)&gt;1,"DUPLICADO","OK"))</f>
      </c>
      <c r="S567" s="6">
        <f>IF(AND(J567="",K567=""),"vazio",IF(AND(OR(J567="",LEN(SUBSTITUTE(SUBSTITUTE(SUBSTITUTE(SUBSTITUTE(SUBSTITUTE(SUBSTITUTE(SUBSTITUTE(TRIM(J567),".",""),"/",""),"-","")," ",""),"(",""),")",""),"+",""))=10,LEN(SUBSTITUTE(SUBSTITUTE(SUBSTITUTE(SUBSTITUTE(SUBSTITUTE(SUBSTITUTE(SUBSTITUTE(TRIM(J567),".",""),"/",""),"-","")," ",""),"(",""),")",""),"+",""))=11),OR(K567="",LEN(SUBSTITUTE(SUBSTITUTE(SUBSTITUTE(SUBSTITUTE(SUBSTITUTE(SUBSTITUTE(SUBSTITUTE(TRIM(K567),".",""),"/",""),"-","")," ",""),"(",""),")",""),"+",""))=10,LEN(SUBSTITUTE(SUBSTITUTE(SUBSTITUTE(SUBSTITUTE(SUBSTITUTE(SUBSTITUTE(SUBSTITUTE(TRIM(K567),".",""),"/",""),"-","")," ",""),"(",""),")",""),"+",""))=11)),"OK","ERRO: use DDD + número (10 ou 11 dígitos)"))</f>
      </c>
      <c r="T567" s="6">
        <f>IF(L567="","vazio",IF(AND(ISNUMBER(FIND("@",L567)),ISNUMBER(FIND(".",MID(L567,FIND("@",L567),99))),NOT(ISNUMBER(FIND(" ",TRIM(L567)))),NOT(ISNUMBER(FIND(";",L567))),NOT(ISNUMBER(FIND(",",L567)))),"OK","ERRO: um e-mail válido por linha"))</f>
      </c>
      <c r="U567" s="6">
        <f>IF(COUNTA(A567:O567)=0,"",IF(AND(B567&lt;&gt;"",C567&lt;&gt;"",D567&lt;&gt;"",E567&lt;&gt;"",H567&lt;&gt;"",OR(J567&lt;&gt;"",L567&lt;&gt;"")),"OK","ERRO: faltam "&amp;IF(B567="","Proprietário; ","")&amp;IF(C567="","Origem; ","")&amp;IF(D567="","CNPJ; ","")&amp;IF(E567="","Razão Social; ","")&amp;IF(H567="","Sobrenome; ","")&amp;IF(AND(J567="",L567=""),"telefone ou e-mail; ","")))</f>
      </c>
      <c r="V567" s="6">
        <f>IF(COUNTA(A567:O567)=0,"",IF(AND(Q567="OK",R567="OK",LEFT(S567,4)&lt;&gt;"ERRO",LEFT(T567,4)&lt;&gt;"ERRO",U567="OK"),"OK","REVISAR"))</f>
      </c>
    </row>
    <row r="568">
      <c r="A568" s="4"/>
      <c r="B568" s="5"/>
      <c r="C568" s="5"/>
      <c r="D568" s="5"/>
      <c r="E568" s="5"/>
      <c r="F568" s="4"/>
      <c r="G568" s="4"/>
      <c r="H568" s="5"/>
      <c r="I568" s="4"/>
      <c r="J568" s="4"/>
      <c r="K568" s="4"/>
      <c r="L568" s="4"/>
      <c r="M568" s="4"/>
      <c r="N568" s="4"/>
      <c r="O568" s="4"/>
      <c r="P568" s="6">
        <f>IF(D568="","",SUBSTITUTE(SUBSTITUTE(SUBSTITUTE(SUBSTITUTE(SUBSTITUTE(SUBSTITUTE(SUBSTITUTE(TRIM(D568),".",""),"/",""),"-","")," ",""),"(",""),")",""),"+",""))</f>
      </c>
      <c r="Q568" s="6">
        <f>IF(P568="","",IF(LEN(P568)&lt;&gt;14,"ERRO: "&amp;LEN(P568)&amp;" dígitos",IF(NOT(ISNUMBER(VALUE(P568))),"ERRO: não numérico",IF(LEN(SUBSTITUTE(P568,LEFT(P568,1),""))=0,"ERRO: dígitos repetidos",IF(AND(VALUE(MID(P568,13,1))=IF(MOD(SUMPRODUCT(--MID(P568,{1,2,3,4,5,6,7,8,9,10,11,12},1),{5,4,3,2,9,8,7,6,5,4,3,2}),11)&lt;2,0,11-MOD(SUMPRODUCT(--MID(P568,{1,2,3,4,5,6,7,8,9,10,11,12},1),{5,4,3,2,9,8,7,6,5,4,3,2}),11)),VALUE(MID(P568,14,1))=IF(MOD(SUMPRODUCT(--MID(P568,{1,2,3,4,5,6,7,8,9,10,11,12,13},1),{6,5,4,3,2,9,8,7,6,5,4,3,2}),11)&lt;2,0,11-MOD(SUMPRODUCT(--MID(P568,{1,2,3,4,5,6,7,8,9,10,11,12,13},1),{6,5,4,3,2,9,8,7,6,5,4,3,2}),11))),"OK","ERRO: dígito verificador")))))</f>
      </c>
      <c r="R568" s="6">
        <f>IF(P568="","",IF(COUNTIF($P$2:$P$1001,P568)&gt;1,"DUPLICADO","OK"))</f>
      </c>
      <c r="S568" s="6">
        <f>IF(AND(J568="",K568=""),"vazio",IF(AND(OR(J568="",LEN(SUBSTITUTE(SUBSTITUTE(SUBSTITUTE(SUBSTITUTE(SUBSTITUTE(SUBSTITUTE(SUBSTITUTE(TRIM(J568),".",""),"/",""),"-","")," ",""),"(",""),")",""),"+",""))=10,LEN(SUBSTITUTE(SUBSTITUTE(SUBSTITUTE(SUBSTITUTE(SUBSTITUTE(SUBSTITUTE(SUBSTITUTE(TRIM(J568),".",""),"/",""),"-","")," ",""),"(",""),")",""),"+",""))=11),OR(K568="",LEN(SUBSTITUTE(SUBSTITUTE(SUBSTITUTE(SUBSTITUTE(SUBSTITUTE(SUBSTITUTE(SUBSTITUTE(TRIM(K568),".",""),"/",""),"-","")," ",""),"(",""),")",""),"+",""))=10,LEN(SUBSTITUTE(SUBSTITUTE(SUBSTITUTE(SUBSTITUTE(SUBSTITUTE(SUBSTITUTE(SUBSTITUTE(TRIM(K568),".",""),"/",""),"-","")," ",""),"(",""),")",""),"+",""))=11)),"OK","ERRO: use DDD + número (10 ou 11 dígitos)"))</f>
      </c>
      <c r="T568" s="6">
        <f>IF(L568="","vazio",IF(AND(ISNUMBER(FIND("@",L568)),ISNUMBER(FIND(".",MID(L568,FIND("@",L568),99))),NOT(ISNUMBER(FIND(" ",TRIM(L568)))),NOT(ISNUMBER(FIND(";",L568))),NOT(ISNUMBER(FIND(",",L568)))),"OK","ERRO: um e-mail válido por linha"))</f>
      </c>
      <c r="U568" s="6">
        <f>IF(COUNTA(A568:O568)=0,"",IF(AND(B568&lt;&gt;"",C568&lt;&gt;"",D568&lt;&gt;"",E568&lt;&gt;"",H568&lt;&gt;"",OR(J568&lt;&gt;"",L568&lt;&gt;"")),"OK","ERRO: faltam "&amp;IF(B568="","Proprietário; ","")&amp;IF(C568="","Origem; ","")&amp;IF(D568="","CNPJ; ","")&amp;IF(E568="","Razão Social; ","")&amp;IF(H568="","Sobrenome; ","")&amp;IF(AND(J568="",L568=""),"telefone ou e-mail; ","")))</f>
      </c>
      <c r="V568" s="6">
        <f>IF(COUNTA(A568:O568)=0,"",IF(AND(Q568="OK",R568="OK",LEFT(S568,4)&lt;&gt;"ERRO",LEFT(T568,4)&lt;&gt;"ERRO",U568="OK"),"OK","REVISAR"))</f>
      </c>
    </row>
    <row r="569">
      <c r="A569" s="4"/>
      <c r="B569" s="5"/>
      <c r="C569" s="5"/>
      <c r="D569" s="5"/>
      <c r="E569" s="5"/>
      <c r="F569" s="4"/>
      <c r="G569" s="4"/>
      <c r="H569" s="5"/>
      <c r="I569" s="4"/>
      <c r="J569" s="4"/>
      <c r="K569" s="4"/>
      <c r="L569" s="4"/>
      <c r="M569" s="4"/>
      <c r="N569" s="4"/>
      <c r="O569" s="4"/>
      <c r="P569" s="6">
        <f>IF(D569="","",SUBSTITUTE(SUBSTITUTE(SUBSTITUTE(SUBSTITUTE(SUBSTITUTE(SUBSTITUTE(SUBSTITUTE(TRIM(D569),".",""),"/",""),"-","")," ",""),"(",""),")",""),"+",""))</f>
      </c>
      <c r="Q569" s="6">
        <f>IF(P569="","",IF(LEN(P569)&lt;&gt;14,"ERRO: "&amp;LEN(P569)&amp;" dígitos",IF(NOT(ISNUMBER(VALUE(P569))),"ERRO: não numérico",IF(LEN(SUBSTITUTE(P569,LEFT(P569,1),""))=0,"ERRO: dígitos repetidos",IF(AND(VALUE(MID(P569,13,1))=IF(MOD(SUMPRODUCT(--MID(P569,{1,2,3,4,5,6,7,8,9,10,11,12},1),{5,4,3,2,9,8,7,6,5,4,3,2}),11)&lt;2,0,11-MOD(SUMPRODUCT(--MID(P569,{1,2,3,4,5,6,7,8,9,10,11,12},1),{5,4,3,2,9,8,7,6,5,4,3,2}),11)),VALUE(MID(P569,14,1))=IF(MOD(SUMPRODUCT(--MID(P569,{1,2,3,4,5,6,7,8,9,10,11,12,13},1),{6,5,4,3,2,9,8,7,6,5,4,3,2}),11)&lt;2,0,11-MOD(SUMPRODUCT(--MID(P569,{1,2,3,4,5,6,7,8,9,10,11,12,13},1),{6,5,4,3,2,9,8,7,6,5,4,3,2}),11))),"OK","ERRO: dígito verificador")))))</f>
      </c>
      <c r="R569" s="6">
        <f>IF(P569="","",IF(COUNTIF($P$2:$P$1001,P569)&gt;1,"DUPLICADO","OK"))</f>
      </c>
      <c r="S569" s="6">
        <f>IF(AND(J569="",K569=""),"vazio",IF(AND(OR(J569="",LEN(SUBSTITUTE(SUBSTITUTE(SUBSTITUTE(SUBSTITUTE(SUBSTITUTE(SUBSTITUTE(SUBSTITUTE(TRIM(J569),".",""),"/",""),"-","")," ",""),"(",""),")",""),"+",""))=10,LEN(SUBSTITUTE(SUBSTITUTE(SUBSTITUTE(SUBSTITUTE(SUBSTITUTE(SUBSTITUTE(SUBSTITUTE(TRIM(J569),".",""),"/",""),"-","")," ",""),"(",""),")",""),"+",""))=11),OR(K569="",LEN(SUBSTITUTE(SUBSTITUTE(SUBSTITUTE(SUBSTITUTE(SUBSTITUTE(SUBSTITUTE(SUBSTITUTE(TRIM(K569),".",""),"/",""),"-","")," ",""),"(",""),")",""),"+",""))=10,LEN(SUBSTITUTE(SUBSTITUTE(SUBSTITUTE(SUBSTITUTE(SUBSTITUTE(SUBSTITUTE(SUBSTITUTE(TRIM(K569),".",""),"/",""),"-","")," ",""),"(",""),")",""),"+",""))=11)),"OK","ERRO: use DDD + número (10 ou 11 dígitos)"))</f>
      </c>
      <c r="T569" s="6">
        <f>IF(L569="","vazio",IF(AND(ISNUMBER(FIND("@",L569)),ISNUMBER(FIND(".",MID(L569,FIND("@",L569),99))),NOT(ISNUMBER(FIND(" ",TRIM(L569)))),NOT(ISNUMBER(FIND(";",L569))),NOT(ISNUMBER(FIND(",",L569)))),"OK","ERRO: um e-mail válido por linha"))</f>
      </c>
      <c r="U569" s="6">
        <f>IF(COUNTA(A569:O569)=0,"",IF(AND(B569&lt;&gt;"",C569&lt;&gt;"",D569&lt;&gt;"",E569&lt;&gt;"",H569&lt;&gt;"",OR(J569&lt;&gt;"",L569&lt;&gt;"")),"OK","ERRO: faltam "&amp;IF(B569="","Proprietário; ","")&amp;IF(C569="","Origem; ","")&amp;IF(D569="","CNPJ; ","")&amp;IF(E569="","Razão Social; ","")&amp;IF(H569="","Sobrenome; ","")&amp;IF(AND(J569="",L569=""),"telefone ou e-mail; ","")))</f>
      </c>
      <c r="V569" s="6">
        <f>IF(COUNTA(A569:O569)=0,"",IF(AND(Q569="OK",R569="OK",LEFT(S569,4)&lt;&gt;"ERRO",LEFT(T569,4)&lt;&gt;"ERRO",U569="OK"),"OK","REVISAR"))</f>
      </c>
    </row>
    <row r="570">
      <c r="A570" s="4"/>
      <c r="B570" s="5"/>
      <c r="C570" s="5"/>
      <c r="D570" s="5"/>
      <c r="E570" s="5"/>
      <c r="F570" s="4"/>
      <c r="G570" s="4"/>
      <c r="H570" s="5"/>
      <c r="I570" s="4"/>
      <c r="J570" s="4"/>
      <c r="K570" s="4"/>
      <c r="L570" s="4"/>
      <c r="M570" s="4"/>
      <c r="N570" s="4"/>
      <c r="O570" s="4"/>
      <c r="P570" s="6">
        <f>IF(D570="","",SUBSTITUTE(SUBSTITUTE(SUBSTITUTE(SUBSTITUTE(SUBSTITUTE(SUBSTITUTE(SUBSTITUTE(TRIM(D570),".",""),"/",""),"-","")," ",""),"(",""),")",""),"+",""))</f>
      </c>
      <c r="Q570" s="6">
        <f>IF(P570="","",IF(LEN(P570)&lt;&gt;14,"ERRO: "&amp;LEN(P570)&amp;" dígitos",IF(NOT(ISNUMBER(VALUE(P570))),"ERRO: não numérico",IF(LEN(SUBSTITUTE(P570,LEFT(P570,1),""))=0,"ERRO: dígitos repetidos",IF(AND(VALUE(MID(P570,13,1))=IF(MOD(SUMPRODUCT(--MID(P570,{1,2,3,4,5,6,7,8,9,10,11,12},1),{5,4,3,2,9,8,7,6,5,4,3,2}),11)&lt;2,0,11-MOD(SUMPRODUCT(--MID(P570,{1,2,3,4,5,6,7,8,9,10,11,12},1),{5,4,3,2,9,8,7,6,5,4,3,2}),11)),VALUE(MID(P570,14,1))=IF(MOD(SUMPRODUCT(--MID(P570,{1,2,3,4,5,6,7,8,9,10,11,12,13},1),{6,5,4,3,2,9,8,7,6,5,4,3,2}),11)&lt;2,0,11-MOD(SUMPRODUCT(--MID(P570,{1,2,3,4,5,6,7,8,9,10,11,12,13},1),{6,5,4,3,2,9,8,7,6,5,4,3,2}),11))),"OK","ERRO: dígito verificador")))))</f>
      </c>
      <c r="R570" s="6">
        <f>IF(P570="","",IF(COUNTIF($P$2:$P$1001,P570)&gt;1,"DUPLICADO","OK"))</f>
      </c>
      <c r="S570" s="6">
        <f>IF(AND(J570="",K570=""),"vazio",IF(AND(OR(J570="",LEN(SUBSTITUTE(SUBSTITUTE(SUBSTITUTE(SUBSTITUTE(SUBSTITUTE(SUBSTITUTE(SUBSTITUTE(TRIM(J570),".",""),"/",""),"-","")," ",""),"(",""),")",""),"+",""))=10,LEN(SUBSTITUTE(SUBSTITUTE(SUBSTITUTE(SUBSTITUTE(SUBSTITUTE(SUBSTITUTE(SUBSTITUTE(TRIM(J570),".",""),"/",""),"-","")," ",""),"(",""),")",""),"+",""))=11),OR(K570="",LEN(SUBSTITUTE(SUBSTITUTE(SUBSTITUTE(SUBSTITUTE(SUBSTITUTE(SUBSTITUTE(SUBSTITUTE(TRIM(K570),".",""),"/",""),"-","")," ",""),"(",""),")",""),"+",""))=10,LEN(SUBSTITUTE(SUBSTITUTE(SUBSTITUTE(SUBSTITUTE(SUBSTITUTE(SUBSTITUTE(SUBSTITUTE(TRIM(K570),".",""),"/",""),"-","")," ",""),"(",""),")",""),"+",""))=11)),"OK","ERRO: use DDD + número (10 ou 11 dígitos)"))</f>
      </c>
      <c r="T570" s="6">
        <f>IF(L570="","vazio",IF(AND(ISNUMBER(FIND("@",L570)),ISNUMBER(FIND(".",MID(L570,FIND("@",L570),99))),NOT(ISNUMBER(FIND(" ",TRIM(L570)))),NOT(ISNUMBER(FIND(";",L570))),NOT(ISNUMBER(FIND(",",L570)))),"OK","ERRO: um e-mail válido por linha"))</f>
      </c>
      <c r="U570" s="6">
        <f>IF(COUNTA(A570:O570)=0,"",IF(AND(B570&lt;&gt;"",C570&lt;&gt;"",D570&lt;&gt;"",E570&lt;&gt;"",H570&lt;&gt;"",OR(J570&lt;&gt;"",L570&lt;&gt;"")),"OK","ERRO: faltam "&amp;IF(B570="","Proprietário; ","")&amp;IF(C570="","Origem; ","")&amp;IF(D570="","CNPJ; ","")&amp;IF(E570="","Razão Social; ","")&amp;IF(H570="","Sobrenome; ","")&amp;IF(AND(J570="",L570=""),"telefone ou e-mail; ","")))</f>
      </c>
      <c r="V570" s="6">
        <f>IF(COUNTA(A570:O570)=0,"",IF(AND(Q570="OK",R570="OK",LEFT(S570,4)&lt;&gt;"ERRO",LEFT(T570,4)&lt;&gt;"ERRO",U570="OK"),"OK","REVISAR"))</f>
      </c>
    </row>
    <row r="571">
      <c r="A571" s="4"/>
      <c r="B571" s="5"/>
      <c r="C571" s="5"/>
      <c r="D571" s="5"/>
      <c r="E571" s="5"/>
      <c r="F571" s="4"/>
      <c r="G571" s="4"/>
      <c r="H571" s="5"/>
      <c r="I571" s="4"/>
      <c r="J571" s="4"/>
      <c r="K571" s="4"/>
      <c r="L571" s="4"/>
      <c r="M571" s="4"/>
      <c r="N571" s="4"/>
      <c r="O571" s="4"/>
      <c r="P571" s="6">
        <f>IF(D571="","",SUBSTITUTE(SUBSTITUTE(SUBSTITUTE(SUBSTITUTE(SUBSTITUTE(SUBSTITUTE(SUBSTITUTE(TRIM(D571),".",""),"/",""),"-","")," ",""),"(",""),")",""),"+",""))</f>
      </c>
      <c r="Q571" s="6">
        <f>IF(P571="","",IF(LEN(P571)&lt;&gt;14,"ERRO: "&amp;LEN(P571)&amp;" dígitos",IF(NOT(ISNUMBER(VALUE(P571))),"ERRO: não numérico",IF(LEN(SUBSTITUTE(P571,LEFT(P571,1),""))=0,"ERRO: dígitos repetidos",IF(AND(VALUE(MID(P571,13,1))=IF(MOD(SUMPRODUCT(--MID(P571,{1,2,3,4,5,6,7,8,9,10,11,12},1),{5,4,3,2,9,8,7,6,5,4,3,2}),11)&lt;2,0,11-MOD(SUMPRODUCT(--MID(P571,{1,2,3,4,5,6,7,8,9,10,11,12},1),{5,4,3,2,9,8,7,6,5,4,3,2}),11)),VALUE(MID(P571,14,1))=IF(MOD(SUMPRODUCT(--MID(P571,{1,2,3,4,5,6,7,8,9,10,11,12,13},1),{6,5,4,3,2,9,8,7,6,5,4,3,2}),11)&lt;2,0,11-MOD(SUMPRODUCT(--MID(P571,{1,2,3,4,5,6,7,8,9,10,11,12,13},1),{6,5,4,3,2,9,8,7,6,5,4,3,2}),11))),"OK","ERRO: dígito verificador")))))</f>
      </c>
      <c r="R571" s="6">
        <f>IF(P571="","",IF(COUNTIF($P$2:$P$1001,P571)&gt;1,"DUPLICADO","OK"))</f>
      </c>
      <c r="S571" s="6">
        <f>IF(AND(J571="",K571=""),"vazio",IF(AND(OR(J571="",LEN(SUBSTITUTE(SUBSTITUTE(SUBSTITUTE(SUBSTITUTE(SUBSTITUTE(SUBSTITUTE(SUBSTITUTE(TRIM(J571),".",""),"/",""),"-","")," ",""),"(",""),")",""),"+",""))=10,LEN(SUBSTITUTE(SUBSTITUTE(SUBSTITUTE(SUBSTITUTE(SUBSTITUTE(SUBSTITUTE(SUBSTITUTE(TRIM(J571),".",""),"/",""),"-","")," ",""),"(",""),")",""),"+",""))=11),OR(K571="",LEN(SUBSTITUTE(SUBSTITUTE(SUBSTITUTE(SUBSTITUTE(SUBSTITUTE(SUBSTITUTE(SUBSTITUTE(TRIM(K571),".",""),"/",""),"-","")," ",""),"(",""),")",""),"+",""))=10,LEN(SUBSTITUTE(SUBSTITUTE(SUBSTITUTE(SUBSTITUTE(SUBSTITUTE(SUBSTITUTE(SUBSTITUTE(TRIM(K571),".",""),"/",""),"-","")," ",""),"(",""),")",""),"+",""))=11)),"OK","ERRO: use DDD + número (10 ou 11 dígitos)"))</f>
      </c>
      <c r="T571" s="6">
        <f>IF(L571="","vazio",IF(AND(ISNUMBER(FIND("@",L571)),ISNUMBER(FIND(".",MID(L571,FIND("@",L571),99))),NOT(ISNUMBER(FIND(" ",TRIM(L571)))),NOT(ISNUMBER(FIND(";",L571))),NOT(ISNUMBER(FIND(",",L571)))),"OK","ERRO: um e-mail válido por linha"))</f>
      </c>
      <c r="U571" s="6">
        <f>IF(COUNTA(A571:O571)=0,"",IF(AND(B571&lt;&gt;"",C571&lt;&gt;"",D571&lt;&gt;"",E571&lt;&gt;"",H571&lt;&gt;"",OR(J571&lt;&gt;"",L571&lt;&gt;"")),"OK","ERRO: faltam "&amp;IF(B571="","Proprietário; ","")&amp;IF(C571="","Origem; ","")&amp;IF(D571="","CNPJ; ","")&amp;IF(E571="","Razão Social; ","")&amp;IF(H571="","Sobrenome; ","")&amp;IF(AND(J571="",L571=""),"telefone ou e-mail; ","")))</f>
      </c>
      <c r="V571" s="6">
        <f>IF(COUNTA(A571:O571)=0,"",IF(AND(Q571="OK",R571="OK",LEFT(S571,4)&lt;&gt;"ERRO",LEFT(T571,4)&lt;&gt;"ERRO",U571="OK"),"OK","REVISAR"))</f>
      </c>
    </row>
    <row r="572">
      <c r="A572" s="4"/>
      <c r="B572" s="5"/>
      <c r="C572" s="5"/>
      <c r="D572" s="5"/>
      <c r="E572" s="5"/>
      <c r="F572" s="4"/>
      <c r="G572" s="4"/>
      <c r="H572" s="5"/>
      <c r="I572" s="4"/>
      <c r="J572" s="4"/>
      <c r="K572" s="4"/>
      <c r="L572" s="4"/>
      <c r="M572" s="4"/>
      <c r="N572" s="4"/>
      <c r="O572" s="4"/>
      <c r="P572" s="6">
        <f>IF(D572="","",SUBSTITUTE(SUBSTITUTE(SUBSTITUTE(SUBSTITUTE(SUBSTITUTE(SUBSTITUTE(SUBSTITUTE(TRIM(D572),".",""),"/",""),"-","")," ",""),"(",""),")",""),"+",""))</f>
      </c>
      <c r="Q572" s="6">
        <f>IF(P572="","",IF(LEN(P572)&lt;&gt;14,"ERRO: "&amp;LEN(P572)&amp;" dígitos",IF(NOT(ISNUMBER(VALUE(P572))),"ERRO: não numérico",IF(LEN(SUBSTITUTE(P572,LEFT(P572,1),""))=0,"ERRO: dígitos repetidos",IF(AND(VALUE(MID(P572,13,1))=IF(MOD(SUMPRODUCT(--MID(P572,{1,2,3,4,5,6,7,8,9,10,11,12},1),{5,4,3,2,9,8,7,6,5,4,3,2}),11)&lt;2,0,11-MOD(SUMPRODUCT(--MID(P572,{1,2,3,4,5,6,7,8,9,10,11,12},1),{5,4,3,2,9,8,7,6,5,4,3,2}),11)),VALUE(MID(P572,14,1))=IF(MOD(SUMPRODUCT(--MID(P572,{1,2,3,4,5,6,7,8,9,10,11,12,13},1),{6,5,4,3,2,9,8,7,6,5,4,3,2}),11)&lt;2,0,11-MOD(SUMPRODUCT(--MID(P572,{1,2,3,4,5,6,7,8,9,10,11,12,13},1),{6,5,4,3,2,9,8,7,6,5,4,3,2}),11))),"OK","ERRO: dígito verificador")))))</f>
      </c>
      <c r="R572" s="6">
        <f>IF(P572="","",IF(COUNTIF($P$2:$P$1001,P572)&gt;1,"DUPLICADO","OK"))</f>
      </c>
      <c r="S572" s="6">
        <f>IF(AND(J572="",K572=""),"vazio",IF(AND(OR(J572="",LEN(SUBSTITUTE(SUBSTITUTE(SUBSTITUTE(SUBSTITUTE(SUBSTITUTE(SUBSTITUTE(SUBSTITUTE(TRIM(J572),".",""),"/",""),"-","")," ",""),"(",""),")",""),"+",""))=10,LEN(SUBSTITUTE(SUBSTITUTE(SUBSTITUTE(SUBSTITUTE(SUBSTITUTE(SUBSTITUTE(SUBSTITUTE(TRIM(J572),".",""),"/",""),"-","")," ",""),"(",""),")",""),"+",""))=11),OR(K572="",LEN(SUBSTITUTE(SUBSTITUTE(SUBSTITUTE(SUBSTITUTE(SUBSTITUTE(SUBSTITUTE(SUBSTITUTE(TRIM(K572),".",""),"/",""),"-","")," ",""),"(",""),")",""),"+",""))=10,LEN(SUBSTITUTE(SUBSTITUTE(SUBSTITUTE(SUBSTITUTE(SUBSTITUTE(SUBSTITUTE(SUBSTITUTE(TRIM(K572),".",""),"/",""),"-","")," ",""),"(",""),")",""),"+",""))=11)),"OK","ERRO: use DDD + número (10 ou 11 dígitos)"))</f>
      </c>
      <c r="T572" s="6">
        <f>IF(L572="","vazio",IF(AND(ISNUMBER(FIND("@",L572)),ISNUMBER(FIND(".",MID(L572,FIND("@",L572),99))),NOT(ISNUMBER(FIND(" ",TRIM(L572)))),NOT(ISNUMBER(FIND(";",L572))),NOT(ISNUMBER(FIND(",",L572)))),"OK","ERRO: um e-mail válido por linha"))</f>
      </c>
      <c r="U572" s="6">
        <f>IF(COUNTA(A572:O572)=0,"",IF(AND(B572&lt;&gt;"",C572&lt;&gt;"",D572&lt;&gt;"",E572&lt;&gt;"",H572&lt;&gt;"",OR(J572&lt;&gt;"",L572&lt;&gt;"")),"OK","ERRO: faltam "&amp;IF(B572="","Proprietário; ","")&amp;IF(C572="","Origem; ","")&amp;IF(D572="","CNPJ; ","")&amp;IF(E572="","Razão Social; ","")&amp;IF(H572="","Sobrenome; ","")&amp;IF(AND(J572="",L572=""),"telefone ou e-mail; ","")))</f>
      </c>
      <c r="V572" s="6">
        <f>IF(COUNTA(A572:O572)=0,"",IF(AND(Q572="OK",R572="OK",LEFT(S572,4)&lt;&gt;"ERRO",LEFT(T572,4)&lt;&gt;"ERRO",U572="OK"),"OK","REVISAR"))</f>
      </c>
    </row>
    <row r="573">
      <c r="A573" s="4"/>
      <c r="B573" s="5"/>
      <c r="C573" s="5"/>
      <c r="D573" s="5"/>
      <c r="E573" s="5"/>
      <c r="F573" s="4"/>
      <c r="G573" s="4"/>
      <c r="H573" s="5"/>
      <c r="I573" s="4"/>
      <c r="J573" s="4"/>
      <c r="K573" s="4"/>
      <c r="L573" s="4"/>
      <c r="M573" s="4"/>
      <c r="N573" s="4"/>
      <c r="O573" s="4"/>
      <c r="P573" s="6">
        <f>IF(D573="","",SUBSTITUTE(SUBSTITUTE(SUBSTITUTE(SUBSTITUTE(SUBSTITUTE(SUBSTITUTE(SUBSTITUTE(TRIM(D573),".",""),"/",""),"-","")," ",""),"(",""),")",""),"+",""))</f>
      </c>
      <c r="Q573" s="6">
        <f>IF(P573="","",IF(LEN(P573)&lt;&gt;14,"ERRO: "&amp;LEN(P573)&amp;" dígitos",IF(NOT(ISNUMBER(VALUE(P573))),"ERRO: não numérico",IF(LEN(SUBSTITUTE(P573,LEFT(P573,1),""))=0,"ERRO: dígitos repetidos",IF(AND(VALUE(MID(P573,13,1))=IF(MOD(SUMPRODUCT(--MID(P573,{1,2,3,4,5,6,7,8,9,10,11,12},1),{5,4,3,2,9,8,7,6,5,4,3,2}),11)&lt;2,0,11-MOD(SUMPRODUCT(--MID(P573,{1,2,3,4,5,6,7,8,9,10,11,12},1),{5,4,3,2,9,8,7,6,5,4,3,2}),11)),VALUE(MID(P573,14,1))=IF(MOD(SUMPRODUCT(--MID(P573,{1,2,3,4,5,6,7,8,9,10,11,12,13},1),{6,5,4,3,2,9,8,7,6,5,4,3,2}),11)&lt;2,0,11-MOD(SUMPRODUCT(--MID(P573,{1,2,3,4,5,6,7,8,9,10,11,12,13},1),{6,5,4,3,2,9,8,7,6,5,4,3,2}),11))),"OK","ERRO: dígito verificador")))))</f>
      </c>
      <c r="R573" s="6">
        <f>IF(P573="","",IF(COUNTIF($P$2:$P$1001,P573)&gt;1,"DUPLICADO","OK"))</f>
      </c>
      <c r="S573" s="6">
        <f>IF(AND(J573="",K573=""),"vazio",IF(AND(OR(J573="",LEN(SUBSTITUTE(SUBSTITUTE(SUBSTITUTE(SUBSTITUTE(SUBSTITUTE(SUBSTITUTE(SUBSTITUTE(TRIM(J573),".",""),"/",""),"-","")," ",""),"(",""),")",""),"+",""))=10,LEN(SUBSTITUTE(SUBSTITUTE(SUBSTITUTE(SUBSTITUTE(SUBSTITUTE(SUBSTITUTE(SUBSTITUTE(TRIM(J573),".",""),"/",""),"-","")," ",""),"(",""),")",""),"+",""))=11),OR(K573="",LEN(SUBSTITUTE(SUBSTITUTE(SUBSTITUTE(SUBSTITUTE(SUBSTITUTE(SUBSTITUTE(SUBSTITUTE(TRIM(K573),".",""),"/",""),"-","")," ",""),"(",""),")",""),"+",""))=10,LEN(SUBSTITUTE(SUBSTITUTE(SUBSTITUTE(SUBSTITUTE(SUBSTITUTE(SUBSTITUTE(SUBSTITUTE(TRIM(K573),".",""),"/",""),"-","")," ",""),"(",""),")",""),"+",""))=11)),"OK","ERRO: use DDD + número (10 ou 11 dígitos)"))</f>
      </c>
      <c r="T573" s="6">
        <f>IF(L573="","vazio",IF(AND(ISNUMBER(FIND("@",L573)),ISNUMBER(FIND(".",MID(L573,FIND("@",L573),99))),NOT(ISNUMBER(FIND(" ",TRIM(L573)))),NOT(ISNUMBER(FIND(";",L573))),NOT(ISNUMBER(FIND(",",L573)))),"OK","ERRO: um e-mail válido por linha"))</f>
      </c>
      <c r="U573" s="6">
        <f>IF(COUNTA(A573:O573)=0,"",IF(AND(B573&lt;&gt;"",C573&lt;&gt;"",D573&lt;&gt;"",E573&lt;&gt;"",H573&lt;&gt;"",OR(J573&lt;&gt;"",L573&lt;&gt;"")),"OK","ERRO: faltam "&amp;IF(B573="","Proprietário; ","")&amp;IF(C573="","Origem; ","")&amp;IF(D573="","CNPJ; ","")&amp;IF(E573="","Razão Social; ","")&amp;IF(H573="","Sobrenome; ","")&amp;IF(AND(J573="",L573=""),"telefone ou e-mail; ","")))</f>
      </c>
      <c r="V573" s="6">
        <f>IF(COUNTA(A573:O573)=0,"",IF(AND(Q573="OK",R573="OK",LEFT(S573,4)&lt;&gt;"ERRO",LEFT(T573,4)&lt;&gt;"ERRO",U573="OK"),"OK","REVISAR"))</f>
      </c>
    </row>
    <row r="574">
      <c r="A574" s="4"/>
      <c r="B574" s="5"/>
      <c r="C574" s="5"/>
      <c r="D574" s="5"/>
      <c r="E574" s="5"/>
      <c r="F574" s="4"/>
      <c r="G574" s="4"/>
      <c r="H574" s="5"/>
      <c r="I574" s="4"/>
      <c r="J574" s="4"/>
      <c r="K574" s="4"/>
      <c r="L574" s="4"/>
      <c r="M574" s="4"/>
      <c r="N574" s="4"/>
      <c r="O574" s="4"/>
      <c r="P574" s="6">
        <f>IF(D574="","",SUBSTITUTE(SUBSTITUTE(SUBSTITUTE(SUBSTITUTE(SUBSTITUTE(SUBSTITUTE(SUBSTITUTE(TRIM(D574),".",""),"/",""),"-","")," ",""),"(",""),")",""),"+",""))</f>
      </c>
      <c r="Q574" s="6">
        <f>IF(P574="","",IF(LEN(P574)&lt;&gt;14,"ERRO: "&amp;LEN(P574)&amp;" dígitos",IF(NOT(ISNUMBER(VALUE(P574))),"ERRO: não numérico",IF(LEN(SUBSTITUTE(P574,LEFT(P574,1),""))=0,"ERRO: dígitos repetidos",IF(AND(VALUE(MID(P574,13,1))=IF(MOD(SUMPRODUCT(--MID(P574,{1,2,3,4,5,6,7,8,9,10,11,12},1),{5,4,3,2,9,8,7,6,5,4,3,2}),11)&lt;2,0,11-MOD(SUMPRODUCT(--MID(P574,{1,2,3,4,5,6,7,8,9,10,11,12},1),{5,4,3,2,9,8,7,6,5,4,3,2}),11)),VALUE(MID(P574,14,1))=IF(MOD(SUMPRODUCT(--MID(P574,{1,2,3,4,5,6,7,8,9,10,11,12,13},1),{6,5,4,3,2,9,8,7,6,5,4,3,2}),11)&lt;2,0,11-MOD(SUMPRODUCT(--MID(P574,{1,2,3,4,5,6,7,8,9,10,11,12,13},1),{6,5,4,3,2,9,8,7,6,5,4,3,2}),11))),"OK","ERRO: dígito verificador")))))</f>
      </c>
      <c r="R574" s="6">
        <f>IF(P574="","",IF(COUNTIF($P$2:$P$1001,P574)&gt;1,"DUPLICADO","OK"))</f>
      </c>
      <c r="S574" s="6">
        <f>IF(AND(J574="",K574=""),"vazio",IF(AND(OR(J574="",LEN(SUBSTITUTE(SUBSTITUTE(SUBSTITUTE(SUBSTITUTE(SUBSTITUTE(SUBSTITUTE(SUBSTITUTE(TRIM(J574),".",""),"/",""),"-","")," ",""),"(",""),")",""),"+",""))=10,LEN(SUBSTITUTE(SUBSTITUTE(SUBSTITUTE(SUBSTITUTE(SUBSTITUTE(SUBSTITUTE(SUBSTITUTE(TRIM(J574),".",""),"/",""),"-","")," ",""),"(",""),")",""),"+",""))=11),OR(K574="",LEN(SUBSTITUTE(SUBSTITUTE(SUBSTITUTE(SUBSTITUTE(SUBSTITUTE(SUBSTITUTE(SUBSTITUTE(TRIM(K574),".",""),"/",""),"-","")," ",""),"(",""),")",""),"+",""))=10,LEN(SUBSTITUTE(SUBSTITUTE(SUBSTITUTE(SUBSTITUTE(SUBSTITUTE(SUBSTITUTE(SUBSTITUTE(TRIM(K574),".",""),"/",""),"-","")," ",""),"(",""),")",""),"+",""))=11)),"OK","ERRO: use DDD + número (10 ou 11 dígitos)"))</f>
      </c>
      <c r="T574" s="6">
        <f>IF(L574="","vazio",IF(AND(ISNUMBER(FIND("@",L574)),ISNUMBER(FIND(".",MID(L574,FIND("@",L574),99))),NOT(ISNUMBER(FIND(" ",TRIM(L574)))),NOT(ISNUMBER(FIND(";",L574))),NOT(ISNUMBER(FIND(",",L574)))),"OK","ERRO: um e-mail válido por linha"))</f>
      </c>
      <c r="U574" s="6">
        <f>IF(COUNTA(A574:O574)=0,"",IF(AND(B574&lt;&gt;"",C574&lt;&gt;"",D574&lt;&gt;"",E574&lt;&gt;"",H574&lt;&gt;"",OR(J574&lt;&gt;"",L574&lt;&gt;"")),"OK","ERRO: faltam "&amp;IF(B574="","Proprietário; ","")&amp;IF(C574="","Origem; ","")&amp;IF(D574="","CNPJ; ","")&amp;IF(E574="","Razão Social; ","")&amp;IF(H574="","Sobrenome; ","")&amp;IF(AND(J574="",L574=""),"telefone ou e-mail; ","")))</f>
      </c>
      <c r="V574" s="6">
        <f>IF(COUNTA(A574:O574)=0,"",IF(AND(Q574="OK",R574="OK",LEFT(S574,4)&lt;&gt;"ERRO",LEFT(T574,4)&lt;&gt;"ERRO",U574="OK"),"OK","REVISAR"))</f>
      </c>
    </row>
    <row r="575">
      <c r="A575" s="4"/>
      <c r="B575" s="5"/>
      <c r="C575" s="5"/>
      <c r="D575" s="5"/>
      <c r="E575" s="5"/>
      <c r="F575" s="4"/>
      <c r="G575" s="4"/>
      <c r="H575" s="5"/>
      <c r="I575" s="4"/>
      <c r="J575" s="4"/>
      <c r="K575" s="4"/>
      <c r="L575" s="4"/>
      <c r="M575" s="4"/>
      <c r="N575" s="4"/>
      <c r="O575" s="4"/>
      <c r="P575" s="6">
        <f>IF(D575="","",SUBSTITUTE(SUBSTITUTE(SUBSTITUTE(SUBSTITUTE(SUBSTITUTE(SUBSTITUTE(SUBSTITUTE(TRIM(D575),".",""),"/",""),"-","")," ",""),"(",""),")",""),"+",""))</f>
      </c>
      <c r="Q575" s="6">
        <f>IF(P575="","",IF(LEN(P575)&lt;&gt;14,"ERRO: "&amp;LEN(P575)&amp;" dígitos",IF(NOT(ISNUMBER(VALUE(P575))),"ERRO: não numérico",IF(LEN(SUBSTITUTE(P575,LEFT(P575,1),""))=0,"ERRO: dígitos repetidos",IF(AND(VALUE(MID(P575,13,1))=IF(MOD(SUMPRODUCT(--MID(P575,{1,2,3,4,5,6,7,8,9,10,11,12},1),{5,4,3,2,9,8,7,6,5,4,3,2}),11)&lt;2,0,11-MOD(SUMPRODUCT(--MID(P575,{1,2,3,4,5,6,7,8,9,10,11,12},1),{5,4,3,2,9,8,7,6,5,4,3,2}),11)),VALUE(MID(P575,14,1))=IF(MOD(SUMPRODUCT(--MID(P575,{1,2,3,4,5,6,7,8,9,10,11,12,13},1),{6,5,4,3,2,9,8,7,6,5,4,3,2}),11)&lt;2,0,11-MOD(SUMPRODUCT(--MID(P575,{1,2,3,4,5,6,7,8,9,10,11,12,13},1),{6,5,4,3,2,9,8,7,6,5,4,3,2}),11))),"OK","ERRO: dígito verificador")))))</f>
      </c>
      <c r="R575" s="6">
        <f>IF(P575="","",IF(COUNTIF($P$2:$P$1001,P575)&gt;1,"DUPLICADO","OK"))</f>
      </c>
      <c r="S575" s="6">
        <f>IF(AND(J575="",K575=""),"vazio",IF(AND(OR(J575="",LEN(SUBSTITUTE(SUBSTITUTE(SUBSTITUTE(SUBSTITUTE(SUBSTITUTE(SUBSTITUTE(SUBSTITUTE(TRIM(J575),".",""),"/",""),"-","")," ",""),"(",""),")",""),"+",""))=10,LEN(SUBSTITUTE(SUBSTITUTE(SUBSTITUTE(SUBSTITUTE(SUBSTITUTE(SUBSTITUTE(SUBSTITUTE(TRIM(J575),".",""),"/",""),"-","")," ",""),"(",""),")",""),"+",""))=11),OR(K575="",LEN(SUBSTITUTE(SUBSTITUTE(SUBSTITUTE(SUBSTITUTE(SUBSTITUTE(SUBSTITUTE(SUBSTITUTE(TRIM(K575),".",""),"/",""),"-","")," ",""),"(",""),")",""),"+",""))=10,LEN(SUBSTITUTE(SUBSTITUTE(SUBSTITUTE(SUBSTITUTE(SUBSTITUTE(SUBSTITUTE(SUBSTITUTE(TRIM(K575),".",""),"/",""),"-","")," ",""),"(",""),")",""),"+",""))=11)),"OK","ERRO: use DDD + número (10 ou 11 dígitos)"))</f>
      </c>
      <c r="T575" s="6">
        <f>IF(L575="","vazio",IF(AND(ISNUMBER(FIND("@",L575)),ISNUMBER(FIND(".",MID(L575,FIND("@",L575),99))),NOT(ISNUMBER(FIND(" ",TRIM(L575)))),NOT(ISNUMBER(FIND(";",L575))),NOT(ISNUMBER(FIND(",",L575)))),"OK","ERRO: um e-mail válido por linha"))</f>
      </c>
      <c r="U575" s="6">
        <f>IF(COUNTA(A575:O575)=0,"",IF(AND(B575&lt;&gt;"",C575&lt;&gt;"",D575&lt;&gt;"",E575&lt;&gt;"",H575&lt;&gt;"",OR(J575&lt;&gt;"",L575&lt;&gt;"")),"OK","ERRO: faltam "&amp;IF(B575="","Proprietário; ","")&amp;IF(C575="","Origem; ","")&amp;IF(D575="","CNPJ; ","")&amp;IF(E575="","Razão Social; ","")&amp;IF(H575="","Sobrenome; ","")&amp;IF(AND(J575="",L575=""),"telefone ou e-mail; ","")))</f>
      </c>
      <c r="V575" s="6">
        <f>IF(COUNTA(A575:O575)=0,"",IF(AND(Q575="OK",R575="OK",LEFT(S575,4)&lt;&gt;"ERRO",LEFT(T575,4)&lt;&gt;"ERRO",U575="OK"),"OK","REVISAR"))</f>
      </c>
    </row>
    <row r="576">
      <c r="A576" s="4"/>
      <c r="B576" s="5"/>
      <c r="C576" s="5"/>
      <c r="D576" s="5"/>
      <c r="E576" s="5"/>
      <c r="F576" s="4"/>
      <c r="G576" s="4"/>
      <c r="H576" s="5"/>
      <c r="I576" s="4"/>
      <c r="J576" s="4"/>
      <c r="K576" s="4"/>
      <c r="L576" s="4"/>
      <c r="M576" s="4"/>
      <c r="N576" s="4"/>
      <c r="O576" s="4"/>
      <c r="P576" s="6">
        <f>IF(D576="","",SUBSTITUTE(SUBSTITUTE(SUBSTITUTE(SUBSTITUTE(SUBSTITUTE(SUBSTITUTE(SUBSTITUTE(TRIM(D576),".",""),"/",""),"-","")," ",""),"(",""),")",""),"+",""))</f>
      </c>
      <c r="Q576" s="6">
        <f>IF(P576="","",IF(LEN(P576)&lt;&gt;14,"ERRO: "&amp;LEN(P576)&amp;" dígitos",IF(NOT(ISNUMBER(VALUE(P576))),"ERRO: não numérico",IF(LEN(SUBSTITUTE(P576,LEFT(P576,1),""))=0,"ERRO: dígitos repetidos",IF(AND(VALUE(MID(P576,13,1))=IF(MOD(SUMPRODUCT(--MID(P576,{1,2,3,4,5,6,7,8,9,10,11,12},1),{5,4,3,2,9,8,7,6,5,4,3,2}),11)&lt;2,0,11-MOD(SUMPRODUCT(--MID(P576,{1,2,3,4,5,6,7,8,9,10,11,12},1),{5,4,3,2,9,8,7,6,5,4,3,2}),11)),VALUE(MID(P576,14,1))=IF(MOD(SUMPRODUCT(--MID(P576,{1,2,3,4,5,6,7,8,9,10,11,12,13},1),{6,5,4,3,2,9,8,7,6,5,4,3,2}),11)&lt;2,0,11-MOD(SUMPRODUCT(--MID(P576,{1,2,3,4,5,6,7,8,9,10,11,12,13},1),{6,5,4,3,2,9,8,7,6,5,4,3,2}),11))),"OK","ERRO: dígito verificador")))))</f>
      </c>
      <c r="R576" s="6">
        <f>IF(P576="","",IF(COUNTIF($P$2:$P$1001,P576)&gt;1,"DUPLICADO","OK"))</f>
      </c>
      <c r="S576" s="6">
        <f>IF(AND(J576="",K576=""),"vazio",IF(AND(OR(J576="",LEN(SUBSTITUTE(SUBSTITUTE(SUBSTITUTE(SUBSTITUTE(SUBSTITUTE(SUBSTITUTE(SUBSTITUTE(TRIM(J576),".",""),"/",""),"-","")," ",""),"(",""),")",""),"+",""))=10,LEN(SUBSTITUTE(SUBSTITUTE(SUBSTITUTE(SUBSTITUTE(SUBSTITUTE(SUBSTITUTE(SUBSTITUTE(TRIM(J576),".",""),"/",""),"-","")," ",""),"(",""),")",""),"+",""))=11),OR(K576="",LEN(SUBSTITUTE(SUBSTITUTE(SUBSTITUTE(SUBSTITUTE(SUBSTITUTE(SUBSTITUTE(SUBSTITUTE(TRIM(K576),".",""),"/",""),"-","")," ",""),"(",""),")",""),"+",""))=10,LEN(SUBSTITUTE(SUBSTITUTE(SUBSTITUTE(SUBSTITUTE(SUBSTITUTE(SUBSTITUTE(SUBSTITUTE(TRIM(K576),".",""),"/",""),"-","")," ",""),"(",""),")",""),"+",""))=11)),"OK","ERRO: use DDD + número (10 ou 11 dígitos)"))</f>
      </c>
      <c r="T576" s="6">
        <f>IF(L576="","vazio",IF(AND(ISNUMBER(FIND("@",L576)),ISNUMBER(FIND(".",MID(L576,FIND("@",L576),99))),NOT(ISNUMBER(FIND(" ",TRIM(L576)))),NOT(ISNUMBER(FIND(";",L576))),NOT(ISNUMBER(FIND(",",L576)))),"OK","ERRO: um e-mail válido por linha"))</f>
      </c>
      <c r="U576" s="6">
        <f>IF(COUNTA(A576:O576)=0,"",IF(AND(B576&lt;&gt;"",C576&lt;&gt;"",D576&lt;&gt;"",E576&lt;&gt;"",H576&lt;&gt;"",OR(J576&lt;&gt;"",L576&lt;&gt;"")),"OK","ERRO: faltam "&amp;IF(B576="","Proprietário; ","")&amp;IF(C576="","Origem; ","")&amp;IF(D576="","CNPJ; ","")&amp;IF(E576="","Razão Social; ","")&amp;IF(H576="","Sobrenome; ","")&amp;IF(AND(J576="",L576=""),"telefone ou e-mail; ","")))</f>
      </c>
      <c r="V576" s="6">
        <f>IF(COUNTA(A576:O576)=0,"",IF(AND(Q576="OK",R576="OK",LEFT(S576,4)&lt;&gt;"ERRO",LEFT(T576,4)&lt;&gt;"ERRO",U576="OK"),"OK","REVISAR"))</f>
      </c>
    </row>
    <row r="577">
      <c r="A577" s="4"/>
      <c r="B577" s="5"/>
      <c r="C577" s="5"/>
      <c r="D577" s="5"/>
      <c r="E577" s="5"/>
      <c r="F577" s="4"/>
      <c r="G577" s="4"/>
      <c r="H577" s="5"/>
      <c r="I577" s="4"/>
      <c r="J577" s="4"/>
      <c r="K577" s="4"/>
      <c r="L577" s="4"/>
      <c r="M577" s="4"/>
      <c r="N577" s="4"/>
      <c r="O577" s="4"/>
      <c r="P577" s="6">
        <f>IF(D577="","",SUBSTITUTE(SUBSTITUTE(SUBSTITUTE(SUBSTITUTE(SUBSTITUTE(SUBSTITUTE(SUBSTITUTE(TRIM(D577),".",""),"/",""),"-","")," ",""),"(",""),")",""),"+",""))</f>
      </c>
      <c r="Q577" s="6">
        <f>IF(P577="","",IF(LEN(P577)&lt;&gt;14,"ERRO: "&amp;LEN(P577)&amp;" dígitos",IF(NOT(ISNUMBER(VALUE(P577))),"ERRO: não numérico",IF(LEN(SUBSTITUTE(P577,LEFT(P577,1),""))=0,"ERRO: dígitos repetidos",IF(AND(VALUE(MID(P577,13,1))=IF(MOD(SUMPRODUCT(--MID(P577,{1,2,3,4,5,6,7,8,9,10,11,12},1),{5,4,3,2,9,8,7,6,5,4,3,2}),11)&lt;2,0,11-MOD(SUMPRODUCT(--MID(P577,{1,2,3,4,5,6,7,8,9,10,11,12},1),{5,4,3,2,9,8,7,6,5,4,3,2}),11)),VALUE(MID(P577,14,1))=IF(MOD(SUMPRODUCT(--MID(P577,{1,2,3,4,5,6,7,8,9,10,11,12,13},1),{6,5,4,3,2,9,8,7,6,5,4,3,2}),11)&lt;2,0,11-MOD(SUMPRODUCT(--MID(P577,{1,2,3,4,5,6,7,8,9,10,11,12,13},1),{6,5,4,3,2,9,8,7,6,5,4,3,2}),11))),"OK","ERRO: dígito verificador")))))</f>
      </c>
      <c r="R577" s="6">
        <f>IF(P577="","",IF(COUNTIF($P$2:$P$1001,P577)&gt;1,"DUPLICADO","OK"))</f>
      </c>
      <c r="S577" s="6">
        <f>IF(AND(J577="",K577=""),"vazio",IF(AND(OR(J577="",LEN(SUBSTITUTE(SUBSTITUTE(SUBSTITUTE(SUBSTITUTE(SUBSTITUTE(SUBSTITUTE(SUBSTITUTE(TRIM(J577),".",""),"/",""),"-","")," ",""),"(",""),")",""),"+",""))=10,LEN(SUBSTITUTE(SUBSTITUTE(SUBSTITUTE(SUBSTITUTE(SUBSTITUTE(SUBSTITUTE(SUBSTITUTE(TRIM(J577),".",""),"/",""),"-","")," ",""),"(",""),")",""),"+",""))=11),OR(K577="",LEN(SUBSTITUTE(SUBSTITUTE(SUBSTITUTE(SUBSTITUTE(SUBSTITUTE(SUBSTITUTE(SUBSTITUTE(TRIM(K577),".",""),"/",""),"-","")," ",""),"(",""),")",""),"+",""))=10,LEN(SUBSTITUTE(SUBSTITUTE(SUBSTITUTE(SUBSTITUTE(SUBSTITUTE(SUBSTITUTE(SUBSTITUTE(TRIM(K577),".",""),"/",""),"-","")," ",""),"(",""),")",""),"+",""))=11)),"OK","ERRO: use DDD + número (10 ou 11 dígitos)"))</f>
      </c>
      <c r="T577" s="6">
        <f>IF(L577="","vazio",IF(AND(ISNUMBER(FIND("@",L577)),ISNUMBER(FIND(".",MID(L577,FIND("@",L577),99))),NOT(ISNUMBER(FIND(" ",TRIM(L577)))),NOT(ISNUMBER(FIND(";",L577))),NOT(ISNUMBER(FIND(",",L577)))),"OK","ERRO: um e-mail válido por linha"))</f>
      </c>
      <c r="U577" s="6">
        <f>IF(COUNTA(A577:O577)=0,"",IF(AND(B577&lt;&gt;"",C577&lt;&gt;"",D577&lt;&gt;"",E577&lt;&gt;"",H577&lt;&gt;"",OR(J577&lt;&gt;"",L577&lt;&gt;"")),"OK","ERRO: faltam "&amp;IF(B577="","Proprietário; ","")&amp;IF(C577="","Origem; ","")&amp;IF(D577="","CNPJ; ","")&amp;IF(E577="","Razão Social; ","")&amp;IF(H577="","Sobrenome; ","")&amp;IF(AND(J577="",L577=""),"telefone ou e-mail; ","")))</f>
      </c>
      <c r="V577" s="6">
        <f>IF(COUNTA(A577:O577)=0,"",IF(AND(Q577="OK",R577="OK",LEFT(S577,4)&lt;&gt;"ERRO",LEFT(T577,4)&lt;&gt;"ERRO",U577="OK"),"OK","REVISAR"))</f>
      </c>
    </row>
    <row r="578">
      <c r="A578" s="4"/>
      <c r="B578" s="5"/>
      <c r="C578" s="5"/>
      <c r="D578" s="5"/>
      <c r="E578" s="5"/>
      <c r="F578" s="4"/>
      <c r="G578" s="4"/>
      <c r="H578" s="5"/>
      <c r="I578" s="4"/>
      <c r="J578" s="4"/>
      <c r="K578" s="4"/>
      <c r="L578" s="4"/>
      <c r="M578" s="4"/>
      <c r="N578" s="4"/>
      <c r="O578" s="4"/>
      <c r="P578" s="6">
        <f>IF(D578="","",SUBSTITUTE(SUBSTITUTE(SUBSTITUTE(SUBSTITUTE(SUBSTITUTE(SUBSTITUTE(SUBSTITUTE(TRIM(D578),".",""),"/",""),"-","")," ",""),"(",""),")",""),"+",""))</f>
      </c>
      <c r="Q578" s="6">
        <f>IF(P578="","",IF(LEN(P578)&lt;&gt;14,"ERRO: "&amp;LEN(P578)&amp;" dígitos",IF(NOT(ISNUMBER(VALUE(P578))),"ERRO: não numérico",IF(LEN(SUBSTITUTE(P578,LEFT(P578,1),""))=0,"ERRO: dígitos repetidos",IF(AND(VALUE(MID(P578,13,1))=IF(MOD(SUMPRODUCT(--MID(P578,{1,2,3,4,5,6,7,8,9,10,11,12},1),{5,4,3,2,9,8,7,6,5,4,3,2}),11)&lt;2,0,11-MOD(SUMPRODUCT(--MID(P578,{1,2,3,4,5,6,7,8,9,10,11,12},1),{5,4,3,2,9,8,7,6,5,4,3,2}),11)),VALUE(MID(P578,14,1))=IF(MOD(SUMPRODUCT(--MID(P578,{1,2,3,4,5,6,7,8,9,10,11,12,13},1),{6,5,4,3,2,9,8,7,6,5,4,3,2}),11)&lt;2,0,11-MOD(SUMPRODUCT(--MID(P578,{1,2,3,4,5,6,7,8,9,10,11,12,13},1),{6,5,4,3,2,9,8,7,6,5,4,3,2}),11))),"OK","ERRO: dígito verificador")))))</f>
      </c>
      <c r="R578" s="6">
        <f>IF(P578="","",IF(COUNTIF($P$2:$P$1001,P578)&gt;1,"DUPLICADO","OK"))</f>
      </c>
      <c r="S578" s="6">
        <f>IF(AND(J578="",K578=""),"vazio",IF(AND(OR(J578="",LEN(SUBSTITUTE(SUBSTITUTE(SUBSTITUTE(SUBSTITUTE(SUBSTITUTE(SUBSTITUTE(SUBSTITUTE(TRIM(J578),".",""),"/",""),"-","")," ",""),"(",""),")",""),"+",""))=10,LEN(SUBSTITUTE(SUBSTITUTE(SUBSTITUTE(SUBSTITUTE(SUBSTITUTE(SUBSTITUTE(SUBSTITUTE(TRIM(J578),".",""),"/",""),"-","")," ",""),"(",""),")",""),"+",""))=11),OR(K578="",LEN(SUBSTITUTE(SUBSTITUTE(SUBSTITUTE(SUBSTITUTE(SUBSTITUTE(SUBSTITUTE(SUBSTITUTE(TRIM(K578),".",""),"/",""),"-","")," ",""),"(",""),")",""),"+",""))=10,LEN(SUBSTITUTE(SUBSTITUTE(SUBSTITUTE(SUBSTITUTE(SUBSTITUTE(SUBSTITUTE(SUBSTITUTE(TRIM(K578),".",""),"/",""),"-","")," ",""),"(",""),")",""),"+",""))=11)),"OK","ERRO: use DDD + número (10 ou 11 dígitos)"))</f>
      </c>
      <c r="T578" s="6">
        <f>IF(L578="","vazio",IF(AND(ISNUMBER(FIND("@",L578)),ISNUMBER(FIND(".",MID(L578,FIND("@",L578),99))),NOT(ISNUMBER(FIND(" ",TRIM(L578)))),NOT(ISNUMBER(FIND(";",L578))),NOT(ISNUMBER(FIND(",",L578)))),"OK","ERRO: um e-mail válido por linha"))</f>
      </c>
      <c r="U578" s="6">
        <f>IF(COUNTA(A578:O578)=0,"",IF(AND(B578&lt;&gt;"",C578&lt;&gt;"",D578&lt;&gt;"",E578&lt;&gt;"",H578&lt;&gt;"",OR(J578&lt;&gt;"",L578&lt;&gt;"")),"OK","ERRO: faltam "&amp;IF(B578="","Proprietário; ","")&amp;IF(C578="","Origem; ","")&amp;IF(D578="","CNPJ; ","")&amp;IF(E578="","Razão Social; ","")&amp;IF(H578="","Sobrenome; ","")&amp;IF(AND(J578="",L578=""),"telefone ou e-mail; ","")))</f>
      </c>
      <c r="V578" s="6">
        <f>IF(COUNTA(A578:O578)=0,"",IF(AND(Q578="OK",R578="OK",LEFT(S578,4)&lt;&gt;"ERRO",LEFT(T578,4)&lt;&gt;"ERRO",U578="OK"),"OK","REVISAR"))</f>
      </c>
    </row>
    <row r="579">
      <c r="A579" s="4"/>
      <c r="B579" s="5"/>
      <c r="C579" s="5"/>
      <c r="D579" s="5"/>
      <c r="E579" s="5"/>
      <c r="F579" s="4"/>
      <c r="G579" s="4"/>
      <c r="H579" s="5"/>
      <c r="I579" s="4"/>
      <c r="J579" s="4"/>
      <c r="K579" s="4"/>
      <c r="L579" s="4"/>
      <c r="M579" s="4"/>
      <c r="N579" s="4"/>
      <c r="O579" s="4"/>
      <c r="P579" s="6">
        <f>IF(D579="","",SUBSTITUTE(SUBSTITUTE(SUBSTITUTE(SUBSTITUTE(SUBSTITUTE(SUBSTITUTE(SUBSTITUTE(TRIM(D579),".",""),"/",""),"-","")," ",""),"(",""),")",""),"+",""))</f>
      </c>
      <c r="Q579" s="6">
        <f>IF(P579="","",IF(LEN(P579)&lt;&gt;14,"ERRO: "&amp;LEN(P579)&amp;" dígitos",IF(NOT(ISNUMBER(VALUE(P579))),"ERRO: não numérico",IF(LEN(SUBSTITUTE(P579,LEFT(P579,1),""))=0,"ERRO: dígitos repetidos",IF(AND(VALUE(MID(P579,13,1))=IF(MOD(SUMPRODUCT(--MID(P579,{1,2,3,4,5,6,7,8,9,10,11,12},1),{5,4,3,2,9,8,7,6,5,4,3,2}),11)&lt;2,0,11-MOD(SUMPRODUCT(--MID(P579,{1,2,3,4,5,6,7,8,9,10,11,12},1),{5,4,3,2,9,8,7,6,5,4,3,2}),11)),VALUE(MID(P579,14,1))=IF(MOD(SUMPRODUCT(--MID(P579,{1,2,3,4,5,6,7,8,9,10,11,12,13},1),{6,5,4,3,2,9,8,7,6,5,4,3,2}),11)&lt;2,0,11-MOD(SUMPRODUCT(--MID(P579,{1,2,3,4,5,6,7,8,9,10,11,12,13},1),{6,5,4,3,2,9,8,7,6,5,4,3,2}),11))),"OK","ERRO: dígito verificador")))))</f>
      </c>
      <c r="R579" s="6">
        <f>IF(P579="","",IF(COUNTIF($P$2:$P$1001,P579)&gt;1,"DUPLICADO","OK"))</f>
      </c>
      <c r="S579" s="6">
        <f>IF(AND(J579="",K579=""),"vazio",IF(AND(OR(J579="",LEN(SUBSTITUTE(SUBSTITUTE(SUBSTITUTE(SUBSTITUTE(SUBSTITUTE(SUBSTITUTE(SUBSTITUTE(TRIM(J579),".",""),"/",""),"-","")," ",""),"(",""),")",""),"+",""))=10,LEN(SUBSTITUTE(SUBSTITUTE(SUBSTITUTE(SUBSTITUTE(SUBSTITUTE(SUBSTITUTE(SUBSTITUTE(TRIM(J579),".",""),"/",""),"-","")," ",""),"(",""),")",""),"+",""))=11),OR(K579="",LEN(SUBSTITUTE(SUBSTITUTE(SUBSTITUTE(SUBSTITUTE(SUBSTITUTE(SUBSTITUTE(SUBSTITUTE(TRIM(K579),".",""),"/",""),"-","")," ",""),"(",""),")",""),"+",""))=10,LEN(SUBSTITUTE(SUBSTITUTE(SUBSTITUTE(SUBSTITUTE(SUBSTITUTE(SUBSTITUTE(SUBSTITUTE(TRIM(K579),".",""),"/",""),"-","")," ",""),"(",""),")",""),"+",""))=11)),"OK","ERRO: use DDD + número (10 ou 11 dígitos)"))</f>
      </c>
      <c r="T579" s="6">
        <f>IF(L579="","vazio",IF(AND(ISNUMBER(FIND("@",L579)),ISNUMBER(FIND(".",MID(L579,FIND("@",L579),99))),NOT(ISNUMBER(FIND(" ",TRIM(L579)))),NOT(ISNUMBER(FIND(";",L579))),NOT(ISNUMBER(FIND(",",L579)))),"OK","ERRO: um e-mail válido por linha"))</f>
      </c>
      <c r="U579" s="6">
        <f>IF(COUNTA(A579:O579)=0,"",IF(AND(B579&lt;&gt;"",C579&lt;&gt;"",D579&lt;&gt;"",E579&lt;&gt;"",H579&lt;&gt;"",OR(J579&lt;&gt;"",L579&lt;&gt;"")),"OK","ERRO: faltam "&amp;IF(B579="","Proprietário; ","")&amp;IF(C579="","Origem; ","")&amp;IF(D579="","CNPJ; ","")&amp;IF(E579="","Razão Social; ","")&amp;IF(H579="","Sobrenome; ","")&amp;IF(AND(J579="",L579=""),"telefone ou e-mail; ","")))</f>
      </c>
      <c r="V579" s="6">
        <f>IF(COUNTA(A579:O579)=0,"",IF(AND(Q579="OK",R579="OK",LEFT(S579,4)&lt;&gt;"ERRO",LEFT(T579,4)&lt;&gt;"ERRO",U579="OK"),"OK","REVISAR"))</f>
      </c>
    </row>
    <row r="580">
      <c r="A580" s="4"/>
      <c r="B580" s="5"/>
      <c r="C580" s="5"/>
      <c r="D580" s="5"/>
      <c r="E580" s="5"/>
      <c r="F580" s="4"/>
      <c r="G580" s="4"/>
      <c r="H580" s="5"/>
      <c r="I580" s="4"/>
      <c r="J580" s="4"/>
      <c r="K580" s="4"/>
      <c r="L580" s="4"/>
      <c r="M580" s="4"/>
      <c r="N580" s="4"/>
      <c r="O580" s="4"/>
      <c r="P580" s="6">
        <f>IF(D580="","",SUBSTITUTE(SUBSTITUTE(SUBSTITUTE(SUBSTITUTE(SUBSTITUTE(SUBSTITUTE(SUBSTITUTE(TRIM(D580),".",""),"/",""),"-","")," ",""),"(",""),")",""),"+",""))</f>
      </c>
      <c r="Q580" s="6">
        <f>IF(P580="","",IF(LEN(P580)&lt;&gt;14,"ERRO: "&amp;LEN(P580)&amp;" dígitos",IF(NOT(ISNUMBER(VALUE(P580))),"ERRO: não numérico",IF(LEN(SUBSTITUTE(P580,LEFT(P580,1),""))=0,"ERRO: dígitos repetidos",IF(AND(VALUE(MID(P580,13,1))=IF(MOD(SUMPRODUCT(--MID(P580,{1,2,3,4,5,6,7,8,9,10,11,12},1),{5,4,3,2,9,8,7,6,5,4,3,2}),11)&lt;2,0,11-MOD(SUMPRODUCT(--MID(P580,{1,2,3,4,5,6,7,8,9,10,11,12},1),{5,4,3,2,9,8,7,6,5,4,3,2}),11)),VALUE(MID(P580,14,1))=IF(MOD(SUMPRODUCT(--MID(P580,{1,2,3,4,5,6,7,8,9,10,11,12,13},1),{6,5,4,3,2,9,8,7,6,5,4,3,2}),11)&lt;2,0,11-MOD(SUMPRODUCT(--MID(P580,{1,2,3,4,5,6,7,8,9,10,11,12,13},1),{6,5,4,3,2,9,8,7,6,5,4,3,2}),11))),"OK","ERRO: dígito verificador")))))</f>
      </c>
      <c r="R580" s="6">
        <f>IF(P580="","",IF(COUNTIF($P$2:$P$1001,P580)&gt;1,"DUPLICADO","OK"))</f>
      </c>
      <c r="S580" s="6">
        <f>IF(AND(J580="",K580=""),"vazio",IF(AND(OR(J580="",LEN(SUBSTITUTE(SUBSTITUTE(SUBSTITUTE(SUBSTITUTE(SUBSTITUTE(SUBSTITUTE(SUBSTITUTE(TRIM(J580),".",""),"/",""),"-","")," ",""),"(",""),")",""),"+",""))=10,LEN(SUBSTITUTE(SUBSTITUTE(SUBSTITUTE(SUBSTITUTE(SUBSTITUTE(SUBSTITUTE(SUBSTITUTE(TRIM(J580),".",""),"/",""),"-","")," ",""),"(",""),")",""),"+",""))=11),OR(K580="",LEN(SUBSTITUTE(SUBSTITUTE(SUBSTITUTE(SUBSTITUTE(SUBSTITUTE(SUBSTITUTE(SUBSTITUTE(TRIM(K580),".",""),"/",""),"-","")," ",""),"(",""),")",""),"+",""))=10,LEN(SUBSTITUTE(SUBSTITUTE(SUBSTITUTE(SUBSTITUTE(SUBSTITUTE(SUBSTITUTE(SUBSTITUTE(TRIM(K580),".",""),"/",""),"-","")," ",""),"(",""),")",""),"+",""))=11)),"OK","ERRO: use DDD + número (10 ou 11 dígitos)"))</f>
      </c>
      <c r="T580" s="6">
        <f>IF(L580="","vazio",IF(AND(ISNUMBER(FIND("@",L580)),ISNUMBER(FIND(".",MID(L580,FIND("@",L580),99))),NOT(ISNUMBER(FIND(" ",TRIM(L580)))),NOT(ISNUMBER(FIND(";",L580))),NOT(ISNUMBER(FIND(",",L580)))),"OK","ERRO: um e-mail válido por linha"))</f>
      </c>
      <c r="U580" s="6">
        <f>IF(COUNTA(A580:O580)=0,"",IF(AND(B580&lt;&gt;"",C580&lt;&gt;"",D580&lt;&gt;"",E580&lt;&gt;"",H580&lt;&gt;"",OR(J580&lt;&gt;"",L580&lt;&gt;"")),"OK","ERRO: faltam "&amp;IF(B580="","Proprietário; ","")&amp;IF(C580="","Origem; ","")&amp;IF(D580="","CNPJ; ","")&amp;IF(E580="","Razão Social; ","")&amp;IF(H580="","Sobrenome; ","")&amp;IF(AND(J580="",L580=""),"telefone ou e-mail; ","")))</f>
      </c>
      <c r="V580" s="6">
        <f>IF(COUNTA(A580:O580)=0,"",IF(AND(Q580="OK",R580="OK",LEFT(S580,4)&lt;&gt;"ERRO",LEFT(T580,4)&lt;&gt;"ERRO",U580="OK"),"OK","REVISAR"))</f>
      </c>
    </row>
    <row r="581">
      <c r="A581" s="4"/>
      <c r="B581" s="5"/>
      <c r="C581" s="5"/>
      <c r="D581" s="5"/>
      <c r="E581" s="5"/>
      <c r="F581" s="4"/>
      <c r="G581" s="4"/>
      <c r="H581" s="5"/>
      <c r="I581" s="4"/>
      <c r="J581" s="4"/>
      <c r="K581" s="4"/>
      <c r="L581" s="4"/>
      <c r="M581" s="4"/>
      <c r="N581" s="4"/>
      <c r="O581" s="4"/>
      <c r="P581" s="6">
        <f>IF(D581="","",SUBSTITUTE(SUBSTITUTE(SUBSTITUTE(SUBSTITUTE(SUBSTITUTE(SUBSTITUTE(SUBSTITUTE(TRIM(D581),".",""),"/",""),"-","")," ",""),"(",""),")",""),"+",""))</f>
      </c>
      <c r="Q581" s="6">
        <f>IF(P581="","",IF(LEN(P581)&lt;&gt;14,"ERRO: "&amp;LEN(P581)&amp;" dígitos",IF(NOT(ISNUMBER(VALUE(P581))),"ERRO: não numérico",IF(LEN(SUBSTITUTE(P581,LEFT(P581,1),""))=0,"ERRO: dígitos repetidos",IF(AND(VALUE(MID(P581,13,1))=IF(MOD(SUMPRODUCT(--MID(P581,{1,2,3,4,5,6,7,8,9,10,11,12},1),{5,4,3,2,9,8,7,6,5,4,3,2}),11)&lt;2,0,11-MOD(SUMPRODUCT(--MID(P581,{1,2,3,4,5,6,7,8,9,10,11,12},1),{5,4,3,2,9,8,7,6,5,4,3,2}),11)),VALUE(MID(P581,14,1))=IF(MOD(SUMPRODUCT(--MID(P581,{1,2,3,4,5,6,7,8,9,10,11,12,13},1),{6,5,4,3,2,9,8,7,6,5,4,3,2}),11)&lt;2,0,11-MOD(SUMPRODUCT(--MID(P581,{1,2,3,4,5,6,7,8,9,10,11,12,13},1),{6,5,4,3,2,9,8,7,6,5,4,3,2}),11))),"OK","ERRO: dígito verificador")))))</f>
      </c>
      <c r="R581" s="6">
        <f>IF(P581="","",IF(COUNTIF($P$2:$P$1001,P581)&gt;1,"DUPLICADO","OK"))</f>
      </c>
      <c r="S581" s="6">
        <f>IF(AND(J581="",K581=""),"vazio",IF(AND(OR(J581="",LEN(SUBSTITUTE(SUBSTITUTE(SUBSTITUTE(SUBSTITUTE(SUBSTITUTE(SUBSTITUTE(SUBSTITUTE(TRIM(J581),".",""),"/",""),"-","")," ",""),"(",""),")",""),"+",""))=10,LEN(SUBSTITUTE(SUBSTITUTE(SUBSTITUTE(SUBSTITUTE(SUBSTITUTE(SUBSTITUTE(SUBSTITUTE(TRIM(J581),".",""),"/",""),"-","")," ",""),"(",""),")",""),"+",""))=11),OR(K581="",LEN(SUBSTITUTE(SUBSTITUTE(SUBSTITUTE(SUBSTITUTE(SUBSTITUTE(SUBSTITUTE(SUBSTITUTE(TRIM(K581),".",""),"/",""),"-","")," ",""),"(",""),")",""),"+",""))=10,LEN(SUBSTITUTE(SUBSTITUTE(SUBSTITUTE(SUBSTITUTE(SUBSTITUTE(SUBSTITUTE(SUBSTITUTE(TRIM(K581),".",""),"/",""),"-","")," ",""),"(",""),")",""),"+",""))=11)),"OK","ERRO: use DDD + número (10 ou 11 dígitos)"))</f>
      </c>
      <c r="T581" s="6">
        <f>IF(L581="","vazio",IF(AND(ISNUMBER(FIND("@",L581)),ISNUMBER(FIND(".",MID(L581,FIND("@",L581),99))),NOT(ISNUMBER(FIND(" ",TRIM(L581)))),NOT(ISNUMBER(FIND(";",L581))),NOT(ISNUMBER(FIND(",",L581)))),"OK","ERRO: um e-mail válido por linha"))</f>
      </c>
      <c r="U581" s="6">
        <f>IF(COUNTA(A581:O581)=0,"",IF(AND(B581&lt;&gt;"",C581&lt;&gt;"",D581&lt;&gt;"",E581&lt;&gt;"",H581&lt;&gt;"",OR(J581&lt;&gt;"",L581&lt;&gt;"")),"OK","ERRO: faltam "&amp;IF(B581="","Proprietário; ","")&amp;IF(C581="","Origem; ","")&amp;IF(D581="","CNPJ; ","")&amp;IF(E581="","Razão Social; ","")&amp;IF(H581="","Sobrenome; ","")&amp;IF(AND(J581="",L581=""),"telefone ou e-mail; ","")))</f>
      </c>
      <c r="V581" s="6">
        <f>IF(COUNTA(A581:O581)=0,"",IF(AND(Q581="OK",R581="OK",LEFT(S581,4)&lt;&gt;"ERRO",LEFT(T581,4)&lt;&gt;"ERRO",U581="OK"),"OK","REVISAR"))</f>
      </c>
    </row>
    <row r="582">
      <c r="A582" s="4"/>
      <c r="B582" s="5"/>
      <c r="C582" s="5"/>
      <c r="D582" s="5"/>
      <c r="E582" s="5"/>
      <c r="F582" s="4"/>
      <c r="G582" s="4"/>
      <c r="H582" s="5"/>
      <c r="I582" s="4"/>
      <c r="J582" s="4"/>
      <c r="K582" s="4"/>
      <c r="L582" s="4"/>
      <c r="M582" s="4"/>
      <c r="N582" s="4"/>
      <c r="O582" s="4"/>
      <c r="P582" s="6">
        <f>IF(D582="","",SUBSTITUTE(SUBSTITUTE(SUBSTITUTE(SUBSTITUTE(SUBSTITUTE(SUBSTITUTE(SUBSTITUTE(TRIM(D582),".",""),"/",""),"-","")," ",""),"(",""),")",""),"+",""))</f>
      </c>
      <c r="Q582" s="6">
        <f>IF(P582="","",IF(LEN(P582)&lt;&gt;14,"ERRO: "&amp;LEN(P582)&amp;" dígitos",IF(NOT(ISNUMBER(VALUE(P582))),"ERRO: não numérico",IF(LEN(SUBSTITUTE(P582,LEFT(P582,1),""))=0,"ERRO: dígitos repetidos",IF(AND(VALUE(MID(P582,13,1))=IF(MOD(SUMPRODUCT(--MID(P582,{1,2,3,4,5,6,7,8,9,10,11,12},1),{5,4,3,2,9,8,7,6,5,4,3,2}),11)&lt;2,0,11-MOD(SUMPRODUCT(--MID(P582,{1,2,3,4,5,6,7,8,9,10,11,12},1),{5,4,3,2,9,8,7,6,5,4,3,2}),11)),VALUE(MID(P582,14,1))=IF(MOD(SUMPRODUCT(--MID(P582,{1,2,3,4,5,6,7,8,9,10,11,12,13},1),{6,5,4,3,2,9,8,7,6,5,4,3,2}),11)&lt;2,0,11-MOD(SUMPRODUCT(--MID(P582,{1,2,3,4,5,6,7,8,9,10,11,12,13},1),{6,5,4,3,2,9,8,7,6,5,4,3,2}),11))),"OK","ERRO: dígito verificador")))))</f>
      </c>
      <c r="R582" s="6">
        <f>IF(P582="","",IF(COUNTIF($P$2:$P$1001,P582)&gt;1,"DUPLICADO","OK"))</f>
      </c>
      <c r="S582" s="6">
        <f>IF(AND(J582="",K582=""),"vazio",IF(AND(OR(J582="",LEN(SUBSTITUTE(SUBSTITUTE(SUBSTITUTE(SUBSTITUTE(SUBSTITUTE(SUBSTITUTE(SUBSTITUTE(TRIM(J582),".",""),"/",""),"-","")," ",""),"(",""),")",""),"+",""))=10,LEN(SUBSTITUTE(SUBSTITUTE(SUBSTITUTE(SUBSTITUTE(SUBSTITUTE(SUBSTITUTE(SUBSTITUTE(TRIM(J582),".",""),"/",""),"-","")," ",""),"(",""),")",""),"+",""))=11),OR(K582="",LEN(SUBSTITUTE(SUBSTITUTE(SUBSTITUTE(SUBSTITUTE(SUBSTITUTE(SUBSTITUTE(SUBSTITUTE(TRIM(K582),".",""),"/",""),"-","")," ",""),"(",""),")",""),"+",""))=10,LEN(SUBSTITUTE(SUBSTITUTE(SUBSTITUTE(SUBSTITUTE(SUBSTITUTE(SUBSTITUTE(SUBSTITUTE(TRIM(K582),".",""),"/",""),"-","")," ",""),"(",""),")",""),"+",""))=11)),"OK","ERRO: use DDD + número (10 ou 11 dígitos)"))</f>
      </c>
      <c r="T582" s="6">
        <f>IF(L582="","vazio",IF(AND(ISNUMBER(FIND("@",L582)),ISNUMBER(FIND(".",MID(L582,FIND("@",L582),99))),NOT(ISNUMBER(FIND(" ",TRIM(L582)))),NOT(ISNUMBER(FIND(";",L582))),NOT(ISNUMBER(FIND(",",L582)))),"OK","ERRO: um e-mail válido por linha"))</f>
      </c>
      <c r="U582" s="6">
        <f>IF(COUNTA(A582:O582)=0,"",IF(AND(B582&lt;&gt;"",C582&lt;&gt;"",D582&lt;&gt;"",E582&lt;&gt;"",H582&lt;&gt;"",OR(J582&lt;&gt;"",L582&lt;&gt;"")),"OK","ERRO: faltam "&amp;IF(B582="","Proprietário; ","")&amp;IF(C582="","Origem; ","")&amp;IF(D582="","CNPJ; ","")&amp;IF(E582="","Razão Social; ","")&amp;IF(H582="","Sobrenome; ","")&amp;IF(AND(J582="",L582=""),"telefone ou e-mail; ","")))</f>
      </c>
      <c r="V582" s="6">
        <f>IF(COUNTA(A582:O582)=0,"",IF(AND(Q582="OK",R582="OK",LEFT(S582,4)&lt;&gt;"ERRO",LEFT(T582,4)&lt;&gt;"ERRO",U582="OK"),"OK","REVISAR"))</f>
      </c>
    </row>
    <row r="583">
      <c r="A583" s="4"/>
      <c r="B583" s="5"/>
      <c r="C583" s="5"/>
      <c r="D583" s="5"/>
      <c r="E583" s="5"/>
      <c r="F583" s="4"/>
      <c r="G583" s="4"/>
      <c r="H583" s="5"/>
      <c r="I583" s="4"/>
      <c r="J583" s="4"/>
      <c r="K583" s="4"/>
      <c r="L583" s="4"/>
      <c r="M583" s="4"/>
      <c r="N583" s="4"/>
      <c r="O583" s="4"/>
      <c r="P583" s="6">
        <f>IF(D583="","",SUBSTITUTE(SUBSTITUTE(SUBSTITUTE(SUBSTITUTE(SUBSTITUTE(SUBSTITUTE(SUBSTITUTE(TRIM(D583),".",""),"/",""),"-","")," ",""),"(",""),")",""),"+",""))</f>
      </c>
      <c r="Q583" s="6">
        <f>IF(P583="","",IF(LEN(P583)&lt;&gt;14,"ERRO: "&amp;LEN(P583)&amp;" dígitos",IF(NOT(ISNUMBER(VALUE(P583))),"ERRO: não numérico",IF(LEN(SUBSTITUTE(P583,LEFT(P583,1),""))=0,"ERRO: dígitos repetidos",IF(AND(VALUE(MID(P583,13,1))=IF(MOD(SUMPRODUCT(--MID(P583,{1,2,3,4,5,6,7,8,9,10,11,12},1),{5,4,3,2,9,8,7,6,5,4,3,2}),11)&lt;2,0,11-MOD(SUMPRODUCT(--MID(P583,{1,2,3,4,5,6,7,8,9,10,11,12},1),{5,4,3,2,9,8,7,6,5,4,3,2}),11)),VALUE(MID(P583,14,1))=IF(MOD(SUMPRODUCT(--MID(P583,{1,2,3,4,5,6,7,8,9,10,11,12,13},1),{6,5,4,3,2,9,8,7,6,5,4,3,2}),11)&lt;2,0,11-MOD(SUMPRODUCT(--MID(P583,{1,2,3,4,5,6,7,8,9,10,11,12,13},1),{6,5,4,3,2,9,8,7,6,5,4,3,2}),11))),"OK","ERRO: dígito verificador")))))</f>
      </c>
      <c r="R583" s="6">
        <f>IF(P583="","",IF(COUNTIF($P$2:$P$1001,P583)&gt;1,"DUPLICADO","OK"))</f>
      </c>
      <c r="S583" s="6">
        <f>IF(AND(J583="",K583=""),"vazio",IF(AND(OR(J583="",LEN(SUBSTITUTE(SUBSTITUTE(SUBSTITUTE(SUBSTITUTE(SUBSTITUTE(SUBSTITUTE(SUBSTITUTE(TRIM(J583),".",""),"/",""),"-","")," ",""),"(",""),")",""),"+",""))=10,LEN(SUBSTITUTE(SUBSTITUTE(SUBSTITUTE(SUBSTITUTE(SUBSTITUTE(SUBSTITUTE(SUBSTITUTE(TRIM(J583),".",""),"/",""),"-","")," ",""),"(",""),")",""),"+",""))=11),OR(K583="",LEN(SUBSTITUTE(SUBSTITUTE(SUBSTITUTE(SUBSTITUTE(SUBSTITUTE(SUBSTITUTE(SUBSTITUTE(TRIM(K583),".",""),"/",""),"-","")," ",""),"(",""),")",""),"+",""))=10,LEN(SUBSTITUTE(SUBSTITUTE(SUBSTITUTE(SUBSTITUTE(SUBSTITUTE(SUBSTITUTE(SUBSTITUTE(TRIM(K583),".",""),"/",""),"-","")," ",""),"(",""),")",""),"+",""))=11)),"OK","ERRO: use DDD + número (10 ou 11 dígitos)"))</f>
      </c>
      <c r="T583" s="6">
        <f>IF(L583="","vazio",IF(AND(ISNUMBER(FIND("@",L583)),ISNUMBER(FIND(".",MID(L583,FIND("@",L583),99))),NOT(ISNUMBER(FIND(" ",TRIM(L583)))),NOT(ISNUMBER(FIND(";",L583))),NOT(ISNUMBER(FIND(",",L583)))),"OK","ERRO: um e-mail válido por linha"))</f>
      </c>
      <c r="U583" s="6">
        <f>IF(COUNTA(A583:O583)=0,"",IF(AND(B583&lt;&gt;"",C583&lt;&gt;"",D583&lt;&gt;"",E583&lt;&gt;"",H583&lt;&gt;"",OR(J583&lt;&gt;"",L583&lt;&gt;"")),"OK","ERRO: faltam "&amp;IF(B583="","Proprietário; ","")&amp;IF(C583="","Origem; ","")&amp;IF(D583="","CNPJ; ","")&amp;IF(E583="","Razão Social; ","")&amp;IF(H583="","Sobrenome; ","")&amp;IF(AND(J583="",L583=""),"telefone ou e-mail; ","")))</f>
      </c>
      <c r="V583" s="6">
        <f>IF(COUNTA(A583:O583)=0,"",IF(AND(Q583="OK",R583="OK",LEFT(S583,4)&lt;&gt;"ERRO",LEFT(T583,4)&lt;&gt;"ERRO",U583="OK"),"OK","REVISAR"))</f>
      </c>
    </row>
    <row r="584">
      <c r="A584" s="4"/>
      <c r="B584" s="5"/>
      <c r="C584" s="5"/>
      <c r="D584" s="5"/>
      <c r="E584" s="5"/>
      <c r="F584" s="4"/>
      <c r="G584" s="4"/>
      <c r="H584" s="5"/>
      <c r="I584" s="4"/>
      <c r="J584" s="4"/>
      <c r="K584" s="4"/>
      <c r="L584" s="4"/>
      <c r="M584" s="4"/>
      <c r="N584" s="4"/>
      <c r="O584" s="4"/>
      <c r="P584" s="6">
        <f>IF(D584="","",SUBSTITUTE(SUBSTITUTE(SUBSTITUTE(SUBSTITUTE(SUBSTITUTE(SUBSTITUTE(SUBSTITUTE(TRIM(D584),".",""),"/",""),"-","")," ",""),"(",""),")",""),"+",""))</f>
      </c>
      <c r="Q584" s="6">
        <f>IF(P584="","",IF(LEN(P584)&lt;&gt;14,"ERRO: "&amp;LEN(P584)&amp;" dígitos",IF(NOT(ISNUMBER(VALUE(P584))),"ERRO: não numérico",IF(LEN(SUBSTITUTE(P584,LEFT(P584,1),""))=0,"ERRO: dígitos repetidos",IF(AND(VALUE(MID(P584,13,1))=IF(MOD(SUMPRODUCT(--MID(P584,{1,2,3,4,5,6,7,8,9,10,11,12},1),{5,4,3,2,9,8,7,6,5,4,3,2}),11)&lt;2,0,11-MOD(SUMPRODUCT(--MID(P584,{1,2,3,4,5,6,7,8,9,10,11,12},1),{5,4,3,2,9,8,7,6,5,4,3,2}),11)),VALUE(MID(P584,14,1))=IF(MOD(SUMPRODUCT(--MID(P584,{1,2,3,4,5,6,7,8,9,10,11,12,13},1),{6,5,4,3,2,9,8,7,6,5,4,3,2}),11)&lt;2,0,11-MOD(SUMPRODUCT(--MID(P584,{1,2,3,4,5,6,7,8,9,10,11,12,13},1),{6,5,4,3,2,9,8,7,6,5,4,3,2}),11))),"OK","ERRO: dígito verificador")))))</f>
      </c>
      <c r="R584" s="6">
        <f>IF(P584="","",IF(COUNTIF($P$2:$P$1001,P584)&gt;1,"DUPLICADO","OK"))</f>
      </c>
      <c r="S584" s="6">
        <f>IF(AND(J584="",K584=""),"vazio",IF(AND(OR(J584="",LEN(SUBSTITUTE(SUBSTITUTE(SUBSTITUTE(SUBSTITUTE(SUBSTITUTE(SUBSTITUTE(SUBSTITUTE(TRIM(J584),".",""),"/",""),"-","")," ",""),"(",""),")",""),"+",""))=10,LEN(SUBSTITUTE(SUBSTITUTE(SUBSTITUTE(SUBSTITUTE(SUBSTITUTE(SUBSTITUTE(SUBSTITUTE(TRIM(J584),".",""),"/",""),"-","")," ",""),"(",""),")",""),"+",""))=11),OR(K584="",LEN(SUBSTITUTE(SUBSTITUTE(SUBSTITUTE(SUBSTITUTE(SUBSTITUTE(SUBSTITUTE(SUBSTITUTE(TRIM(K584),".",""),"/",""),"-","")," ",""),"(",""),")",""),"+",""))=10,LEN(SUBSTITUTE(SUBSTITUTE(SUBSTITUTE(SUBSTITUTE(SUBSTITUTE(SUBSTITUTE(SUBSTITUTE(TRIM(K584),".",""),"/",""),"-","")," ",""),"(",""),")",""),"+",""))=11)),"OK","ERRO: use DDD + número (10 ou 11 dígitos)"))</f>
      </c>
      <c r="T584" s="6">
        <f>IF(L584="","vazio",IF(AND(ISNUMBER(FIND("@",L584)),ISNUMBER(FIND(".",MID(L584,FIND("@",L584),99))),NOT(ISNUMBER(FIND(" ",TRIM(L584)))),NOT(ISNUMBER(FIND(";",L584))),NOT(ISNUMBER(FIND(",",L584)))),"OK","ERRO: um e-mail válido por linha"))</f>
      </c>
      <c r="U584" s="6">
        <f>IF(COUNTA(A584:O584)=0,"",IF(AND(B584&lt;&gt;"",C584&lt;&gt;"",D584&lt;&gt;"",E584&lt;&gt;"",H584&lt;&gt;"",OR(J584&lt;&gt;"",L584&lt;&gt;"")),"OK","ERRO: faltam "&amp;IF(B584="","Proprietário; ","")&amp;IF(C584="","Origem; ","")&amp;IF(D584="","CNPJ; ","")&amp;IF(E584="","Razão Social; ","")&amp;IF(H584="","Sobrenome; ","")&amp;IF(AND(J584="",L584=""),"telefone ou e-mail; ","")))</f>
      </c>
      <c r="V584" s="6">
        <f>IF(COUNTA(A584:O584)=0,"",IF(AND(Q584="OK",R584="OK",LEFT(S584,4)&lt;&gt;"ERRO",LEFT(T584,4)&lt;&gt;"ERRO",U584="OK"),"OK","REVISAR"))</f>
      </c>
    </row>
    <row r="585">
      <c r="A585" s="4"/>
      <c r="B585" s="5"/>
      <c r="C585" s="5"/>
      <c r="D585" s="5"/>
      <c r="E585" s="5"/>
      <c r="F585" s="4"/>
      <c r="G585" s="4"/>
      <c r="H585" s="5"/>
      <c r="I585" s="4"/>
      <c r="J585" s="4"/>
      <c r="K585" s="4"/>
      <c r="L585" s="4"/>
      <c r="M585" s="4"/>
      <c r="N585" s="4"/>
      <c r="O585" s="4"/>
      <c r="P585" s="6">
        <f>IF(D585="","",SUBSTITUTE(SUBSTITUTE(SUBSTITUTE(SUBSTITUTE(SUBSTITUTE(SUBSTITUTE(SUBSTITUTE(TRIM(D585),".",""),"/",""),"-","")," ",""),"(",""),")",""),"+",""))</f>
      </c>
      <c r="Q585" s="6">
        <f>IF(P585="","",IF(LEN(P585)&lt;&gt;14,"ERRO: "&amp;LEN(P585)&amp;" dígitos",IF(NOT(ISNUMBER(VALUE(P585))),"ERRO: não numérico",IF(LEN(SUBSTITUTE(P585,LEFT(P585,1),""))=0,"ERRO: dígitos repetidos",IF(AND(VALUE(MID(P585,13,1))=IF(MOD(SUMPRODUCT(--MID(P585,{1,2,3,4,5,6,7,8,9,10,11,12},1),{5,4,3,2,9,8,7,6,5,4,3,2}),11)&lt;2,0,11-MOD(SUMPRODUCT(--MID(P585,{1,2,3,4,5,6,7,8,9,10,11,12},1),{5,4,3,2,9,8,7,6,5,4,3,2}),11)),VALUE(MID(P585,14,1))=IF(MOD(SUMPRODUCT(--MID(P585,{1,2,3,4,5,6,7,8,9,10,11,12,13},1),{6,5,4,3,2,9,8,7,6,5,4,3,2}),11)&lt;2,0,11-MOD(SUMPRODUCT(--MID(P585,{1,2,3,4,5,6,7,8,9,10,11,12,13},1),{6,5,4,3,2,9,8,7,6,5,4,3,2}),11))),"OK","ERRO: dígito verificador")))))</f>
      </c>
      <c r="R585" s="6">
        <f>IF(P585="","",IF(COUNTIF($P$2:$P$1001,P585)&gt;1,"DUPLICADO","OK"))</f>
      </c>
      <c r="S585" s="6">
        <f>IF(AND(J585="",K585=""),"vazio",IF(AND(OR(J585="",LEN(SUBSTITUTE(SUBSTITUTE(SUBSTITUTE(SUBSTITUTE(SUBSTITUTE(SUBSTITUTE(SUBSTITUTE(TRIM(J585),".",""),"/",""),"-","")," ",""),"(",""),")",""),"+",""))=10,LEN(SUBSTITUTE(SUBSTITUTE(SUBSTITUTE(SUBSTITUTE(SUBSTITUTE(SUBSTITUTE(SUBSTITUTE(TRIM(J585),".",""),"/",""),"-","")," ",""),"(",""),")",""),"+",""))=11),OR(K585="",LEN(SUBSTITUTE(SUBSTITUTE(SUBSTITUTE(SUBSTITUTE(SUBSTITUTE(SUBSTITUTE(SUBSTITUTE(TRIM(K585),".",""),"/",""),"-","")," ",""),"(",""),")",""),"+",""))=10,LEN(SUBSTITUTE(SUBSTITUTE(SUBSTITUTE(SUBSTITUTE(SUBSTITUTE(SUBSTITUTE(SUBSTITUTE(TRIM(K585),".",""),"/",""),"-","")," ",""),"(",""),")",""),"+",""))=11)),"OK","ERRO: use DDD + número (10 ou 11 dígitos)"))</f>
      </c>
      <c r="T585" s="6">
        <f>IF(L585="","vazio",IF(AND(ISNUMBER(FIND("@",L585)),ISNUMBER(FIND(".",MID(L585,FIND("@",L585),99))),NOT(ISNUMBER(FIND(" ",TRIM(L585)))),NOT(ISNUMBER(FIND(";",L585))),NOT(ISNUMBER(FIND(",",L585)))),"OK","ERRO: um e-mail válido por linha"))</f>
      </c>
      <c r="U585" s="6">
        <f>IF(COUNTA(A585:O585)=0,"",IF(AND(B585&lt;&gt;"",C585&lt;&gt;"",D585&lt;&gt;"",E585&lt;&gt;"",H585&lt;&gt;"",OR(J585&lt;&gt;"",L585&lt;&gt;"")),"OK","ERRO: faltam "&amp;IF(B585="","Proprietário; ","")&amp;IF(C585="","Origem; ","")&amp;IF(D585="","CNPJ; ","")&amp;IF(E585="","Razão Social; ","")&amp;IF(H585="","Sobrenome; ","")&amp;IF(AND(J585="",L585=""),"telefone ou e-mail; ","")))</f>
      </c>
      <c r="V585" s="6">
        <f>IF(COUNTA(A585:O585)=0,"",IF(AND(Q585="OK",R585="OK",LEFT(S585,4)&lt;&gt;"ERRO",LEFT(T585,4)&lt;&gt;"ERRO",U585="OK"),"OK","REVISAR"))</f>
      </c>
    </row>
    <row r="586">
      <c r="A586" s="4"/>
      <c r="B586" s="5"/>
      <c r="C586" s="5"/>
      <c r="D586" s="5"/>
      <c r="E586" s="5"/>
      <c r="F586" s="4"/>
      <c r="G586" s="4"/>
      <c r="H586" s="5"/>
      <c r="I586" s="4"/>
      <c r="J586" s="4"/>
      <c r="K586" s="4"/>
      <c r="L586" s="4"/>
      <c r="M586" s="4"/>
      <c r="N586" s="4"/>
      <c r="O586" s="4"/>
      <c r="P586" s="6">
        <f>IF(D586="","",SUBSTITUTE(SUBSTITUTE(SUBSTITUTE(SUBSTITUTE(SUBSTITUTE(SUBSTITUTE(SUBSTITUTE(TRIM(D586),".",""),"/",""),"-","")," ",""),"(",""),")",""),"+",""))</f>
      </c>
      <c r="Q586" s="6">
        <f>IF(P586="","",IF(LEN(P586)&lt;&gt;14,"ERRO: "&amp;LEN(P586)&amp;" dígitos",IF(NOT(ISNUMBER(VALUE(P586))),"ERRO: não numérico",IF(LEN(SUBSTITUTE(P586,LEFT(P586,1),""))=0,"ERRO: dígitos repetidos",IF(AND(VALUE(MID(P586,13,1))=IF(MOD(SUMPRODUCT(--MID(P586,{1,2,3,4,5,6,7,8,9,10,11,12},1),{5,4,3,2,9,8,7,6,5,4,3,2}),11)&lt;2,0,11-MOD(SUMPRODUCT(--MID(P586,{1,2,3,4,5,6,7,8,9,10,11,12},1),{5,4,3,2,9,8,7,6,5,4,3,2}),11)),VALUE(MID(P586,14,1))=IF(MOD(SUMPRODUCT(--MID(P586,{1,2,3,4,5,6,7,8,9,10,11,12,13},1),{6,5,4,3,2,9,8,7,6,5,4,3,2}),11)&lt;2,0,11-MOD(SUMPRODUCT(--MID(P586,{1,2,3,4,5,6,7,8,9,10,11,12,13},1),{6,5,4,3,2,9,8,7,6,5,4,3,2}),11))),"OK","ERRO: dígito verificador")))))</f>
      </c>
      <c r="R586" s="6">
        <f>IF(P586="","",IF(COUNTIF($P$2:$P$1001,P586)&gt;1,"DUPLICADO","OK"))</f>
      </c>
      <c r="S586" s="6">
        <f>IF(AND(J586="",K586=""),"vazio",IF(AND(OR(J586="",LEN(SUBSTITUTE(SUBSTITUTE(SUBSTITUTE(SUBSTITUTE(SUBSTITUTE(SUBSTITUTE(SUBSTITUTE(TRIM(J586),".",""),"/",""),"-","")," ",""),"(",""),")",""),"+",""))=10,LEN(SUBSTITUTE(SUBSTITUTE(SUBSTITUTE(SUBSTITUTE(SUBSTITUTE(SUBSTITUTE(SUBSTITUTE(TRIM(J586),".",""),"/",""),"-","")," ",""),"(",""),")",""),"+",""))=11),OR(K586="",LEN(SUBSTITUTE(SUBSTITUTE(SUBSTITUTE(SUBSTITUTE(SUBSTITUTE(SUBSTITUTE(SUBSTITUTE(TRIM(K586),".",""),"/",""),"-","")," ",""),"(",""),")",""),"+",""))=10,LEN(SUBSTITUTE(SUBSTITUTE(SUBSTITUTE(SUBSTITUTE(SUBSTITUTE(SUBSTITUTE(SUBSTITUTE(TRIM(K586),".",""),"/",""),"-","")," ",""),"(",""),")",""),"+",""))=11)),"OK","ERRO: use DDD + número (10 ou 11 dígitos)"))</f>
      </c>
      <c r="T586" s="6">
        <f>IF(L586="","vazio",IF(AND(ISNUMBER(FIND("@",L586)),ISNUMBER(FIND(".",MID(L586,FIND("@",L586),99))),NOT(ISNUMBER(FIND(" ",TRIM(L586)))),NOT(ISNUMBER(FIND(";",L586))),NOT(ISNUMBER(FIND(",",L586)))),"OK","ERRO: um e-mail válido por linha"))</f>
      </c>
      <c r="U586" s="6">
        <f>IF(COUNTA(A586:O586)=0,"",IF(AND(B586&lt;&gt;"",C586&lt;&gt;"",D586&lt;&gt;"",E586&lt;&gt;"",H586&lt;&gt;"",OR(J586&lt;&gt;"",L586&lt;&gt;"")),"OK","ERRO: faltam "&amp;IF(B586="","Proprietário; ","")&amp;IF(C586="","Origem; ","")&amp;IF(D586="","CNPJ; ","")&amp;IF(E586="","Razão Social; ","")&amp;IF(H586="","Sobrenome; ","")&amp;IF(AND(J586="",L586=""),"telefone ou e-mail; ","")))</f>
      </c>
      <c r="V586" s="6">
        <f>IF(COUNTA(A586:O586)=0,"",IF(AND(Q586="OK",R586="OK",LEFT(S586,4)&lt;&gt;"ERRO",LEFT(T586,4)&lt;&gt;"ERRO",U586="OK"),"OK","REVISAR"))</f>
      </c>
    </row>
    <row r="587">
      <c r="A587" s="4"/>
      <c r="B587" s="5"/>
      <c r="C587" s="5"/>
      <c r="D587" s="5"/>
      <c r="E587" s="5"/>
      <c r="F587" s="4"/>
      <c r="G587" s="4"/>
      <c r="H587" s="5"/>
      <c r="I587" s="4"/>
      <c r="J587" s="4"/>
      <c r="K587" s="4"/>
      <c r="L587" s="4"/>
      <c r="M587" s="4"/>
      <c r="N587" s="4"/>
      <c r="O587" s="4"/>
      <c r="P587" s="6">
        <f>IF(D587="","",SUBSTITUTE(SUBSTITUTE(SUBSTITUTE(SUBSTITUTE(SUBSTITUTE(SUBSTITUTE(SUBSTITUTE(TRIM(D587),".",""),"/",""),"-","")," ",""),"(",""),")",""),"+",""))</f>
      </c>
      <c r="Q587" s="6">
        <f>IF(P587="","",IF(LEN(P587)&lt;&gt;14,"ERRO: "&amp;LEN(P587)&amp;" dígitos",IF(NOT(ISNUMBER(VALUE(P587))),"ERRO: não numérico",IF(LEN(SUBSTITUTE(P587,LEFT(P587,1),""))=0,"ERRO: dígitos repetidos",IF(AND(VALUE(MID(P587,13,1))=IF(MOD(SUMPRODUCT(--MID(P587,{1,2,3,4,5,6,7,8,9,10,11,12},1),{5,4,3,2,9,8,7,6,5,4,3,2}),11)&lt;2,0,11-MOD(SUMPRODUCT(--MID(P587,{1,2,3,4,5,6,7,8,9,10,11,12},1),{5,4,3,2,9,8,7,6,5,4,3,2}),11)),VALUE(MID(P587,14,1))=IF(MOD(SUMPRODUCT(--MID(P587,{1,2,3,4,5,6,7,8,9,10,11,12,13},1),{6,5,4,3,2,9,8,7,6,5,4,3,2}),11)&lt;2,0,11-MOD(SUMPRODUCT(--MID(P587,{1,2,3,4,5,6,7,8,9,10,11,12,13},1),{6,5,4,3,2,9,8,7,6,5,4,3,2}),11))),"OK","ERRO: dígito verificador")))))</f>
      </c>
      <c r="R587" s="6">
        <f>IF(P587="","",IF(COUNTIF($P$2:$P$1001,P587)&gt;1,"DUPLICADO","OK"))</f>
      </c>
      <c r="S587" s="6">
        <f>IF(AND(J587="",K587=""),"vazio",IF(AND(OR(J587="",LEN(SUBSTITUTE(SUBSTITUTE(SUBSTITUTE(SUBSTITUTE(SUBSTITUTE(SUBSTITUTE(SUBSTITUTE(TRIM(J587),".",""),"/",""),"-","")," ",""),"(",""),")",""),"+",""))=10,LEN(SUBSTITUTE(SUBSTITUTE(SUBSTITUTE(SUBSTITUTE(SUBSTITUTE(SUBSTITUTE(SUBSTITUTE(TRIM(J587),".",""),"/",""),"-","")," ",""),"(",""),")",""),"+",""))=11),OR(K587="",LEN(SUBSTITUTE(SUBSTITUTE(SUBSTITUTE(SUBSTITUTE(SUBSTITUTE(SUBSTITUTE(SUBSTITUTE(TRIM(K587),".",""),"/",""),"-","")," ",""),"(",""),")",""),"+",""))=10,LEN(SUBSTITUTE(SUBSTITUTE(SUBSTITUTE(SUBSTITUTE(SUBSTITUTE(SUBSTITUTE(SUBSTITUTE(TRIM(K587),".",""),"/",""),"-","")," ",""),"(",""),")",""),"+",""))=11)),"OK","ERRO: use DDD + número (10 ou 11 dígitos)"))</f>
      </c>
      <c r="T587" s="6">
        <f>IF(L587="","vazio",IF(AND(ISNUMBER(FIND("@",L587)),ISNUMBER(FIND(".",MID(L587,FIND("@",L587),99))),NOT(ISNUMBER(FIND(" ",TRIM(L587)))),NOT(ISNUMBER(FIND(";",L587))),NOT(ISNUMBER(FIND(",",L587)))),"OK","ERRO: um e-mail válido por linha"))</f>
      </c>
      <c r="U587" s="6">
        <f>IF(COUNTA(A587:O587)=0,"",IF(AND(B587&lt;&gt;"",C587&lt;&gt;"",D587&lt;&gt;"",E587&lt;&gt;"",H587&lt;&gt;"",OR(J587&lt;&gt;"",L587&lt;&gt;"")),"OK","ERRO: faltam "&amp;IF(B587="","Proprietário; ","")&amp;IF(C587="","Origem; ","")&amp;IF(D587="","CNPJ; ","")&amp;IF(E587="","Razão Social; ","")&amp;IF(H587="","Sobrenome; ","")&amp;IF(AND(J587="",L587=""),"telefone ou e-mail; ","")))</f>
      </c>
      <c r="V587" s="6">
        <f>IF(COUNTA(A587:O587)=0,"",IF(AND(Q587="OK",R587="OK",LEFT(S587,4)&lt;&gt;"ERRO",LEFT(T587,4)&lt;&gt;"ERRO",U587="OK"),"OK","REVISAR"))</f>
      </c>
    </row>
    <row r="588">
      <c r="A588" s="4"/>
      <c r="B588" s="5"/>
      <c r="C588" s="5"/>
      <c r="D588" s="5"/>
      <c r="E588" s="5"/>
      <c r="F588" s="4"/>
      <c r="G588" s="4"/>
      <c r="H588" s="5"/>
      <c r="I588" s="4"/>
      <c r="J588" s="4"/>
      <c r="K588" s="4"/>
      <c r="L588" s="4"/>
      <c r="M588" s="4"/>
      <c r="N588" s="4"/>
      <c r="O588" s="4"/>
      <c r="P588" s="6">
        <f>IF(D588="","",SUBSTITUTE(SUBSTITUTE(SUBSTITUTE(SUBSTITUTE(SUBSTITUTE(SUBSTITUTE(SUBSTITUTE(TRIM(D588),".",""),"/",""),"-","")," ",""),"(",""),")",""),"+",""))</f>
      </c>
      <c r="Q588" s="6">
        <f>IF(P588="","",IF(LEN(P588)&lt;&gt;14,"ERRO: "&amp;LEN(P588)&amp;" dígitos",IF(NOT(ISNUMBER(VALUE(P588))),"ERRO: não numérico",IF(LEN(SUBSTITUTE(P588,LEFT(P588,1),""))=0,"ERRO: dígitos repetidos",IF(AND(VALUE(MID(P588,13,1))=IF(MOD(SUMPRODUCT(--MID(P588,{1,2,3,4,5,6,7,8,9,10,11,12},1),{5,4,3,2,9,8,7,6,5,4,3,2}),11)&lt;2,0,11-MOD(SUMPRODUCT(--MID(P588,{1,2,3,4,5,6,7,8,9,10,11,12},1),{5,4,3,2,9,8,7,6,5,4,3,2}),11)),VALUE(MID(P588,14,1))=IF(MOD(SUMPRODUCT(--MID(P588,{1,2,3,4,5,6,7,8,9,10,11,12,13},1),{6,5,4,3,2,9,8,7,6,5,4,3,2}),11)&lt;2,0,11-MOD(SUMPRODUCT(--MID(P588,{1,2,3,4,5,6,7,8,9,10,11,12,13},1),{6,5,4,3,2,9,8,7,6,5,4,3,2}),11))),"OK","ERRO: dígito verificador")))))</f>
      </c>
      <c r="R588" s="6">
        <f>IF(P588="","",IF(COUNTIF($P$2:$P$1001,P588)&gt;1,"DUPLICADO","OK"))</f>
      </c>
      <c r="S588" s="6">
        <f>IF(AND(J588="",K588=""),"vazio",IF(AND(OR(J588="",LEN(SUBSTITUTE(SUBSTITUTE(SUBSTITUTE(SUBSTITUTE(SUBSTITUTE(SUBSTITUTE(SUBSTITUTE(TRIM(J588),".",""),"/",""),"-","")," ",""),"(",""),")",""),"+",""))=10,LEN(SUBSTITUTE(SUBSTITUTE(SUBSTITUTE(SUBSTITUTE(SUBSTITUTE(SUBSTITUTE(SUBSTITUTE(TRIM(J588),".",""),"/",""),"-","")," ",""),"(",""),")",""),"+",""))=11),OR(K588="",LEN(SUBSTITUTE(SUBSTITUTE(SUBSTITUTE(SUBSTITUTE(SUBSTITUTE(SUBSTITUTE(SUBSTITUTE(TRIM(K588),".",""),"/",""),"-","")," ",""),"(",""),")",""),"+",""))=10,LEN(SUBSTITUTE(SUBSTITUTE(SUBSTITUTE(SUBSTITUTE(SUBSTITUTE(SUBSTITUTE(SUBSTITUTE(TRIM(K588),".",""),"/",""),"-","")," ",""),"(",""),")",""),"+",""))=11)),"OK","ERRO: use DDD + número (10 ou 11 dígitos)"))</f>
      </c>
      <c r="T588" s="6">
        <f>IF(L588="","vazio",IF(AND(ISNUMBER(FIND("@",L588)),ISNUMBER(FIND(".",MID(L588,FIND("@",L588),99))),NOT(ISNUMBER(FIND(" ",TRIM(L588)))),NOT(ISNUMBER(FIND(";",L588))),NOT(ISNUMBER(FIND(",",L588)))),"OK","ERRO: um e-mail válido por linha"))</f>
      </c>
      <c r="U588" s="6">
        <f>IF(COUNTA(A588:O588)=0,"",IF(AND(B588&lt;&gt;"",C588&lt;&gt;"",D588&lt;&gt;"",E588&lt;&gt;"",H588&lt;&gt;"",OR(J588&lt;&gt;"",L588&lt;&gt;"")),"OK","ERRO: faltam "&amp;IF(B588="","Proprietário; ","")&amp;IF(C588="","Origem; ","")&amp;IF(D588="","CNPJ; ","")&amp;IF(E588="","Razão Social; ","")&amp;IF(H588="","Sobrenome; ","")&amp;IF(AND(J588="",L588=""),"telefone ou e-mail; ","")))</f>
      </c>
      <c r="V588" s="6">
        <f>IF(COUNTA(A588:O588)=0,"",IF(AND(Q588="OK",R588="OK",LEFT(S588,4)&lt;&gt;"ERRO",LEFT(T588,4)&lt;&gt;"ERRO",U588="OK"),"OK","REVISAR"))</f>
      </c>
    </row>
    <row r="589">
      <c r="A589" s="4"/>
      <c r="B589" s="5"/>
      <c r="C589" s="5"/>
      <c r="D589" s="5"/>
      <c r="E589" s="5"/>
      <c r="F589" s="4"/>
      <c r="G589" s="4"/>
      <c r="H589" s="5"/>
      <c r="I589" s="4"/>
      <c r="J589" s="4"/>
      <c r="K589" s="4"/>
      <c r="L589" s="4"/>
      <c r="M589" s="4"/>
      <c r="N589" s="4"/>
      <c r="O589" s="4"/>
      <c r="P589" s="6">
        <f>IF(D589="","",SUBSTITUTE(SUBSTITUTE(SUBSTITUTE(SUBSTITUTE(SUBSTITUTE(SUBSTITUTE(SUBSTITUTE(TRIM(D589),".",""),"/",""),"-","")," ",""),"(",""),")",""),"+",""))</f>
      </c>
      <c r="Q589" s="6">
        <f>IF(P589="","",IF(LEN(P589)&lt;&gt;14,"ERRO: "&amp;LEN(P589)&amp;" dígitos",IF(NOT(ISNUMBER(VALUE(P589))),"ERRO: não numérico",IF(LEN(SUBSTITUTE(P589,LEFT(P589,1),""))=0,"ERRO: dígitos repetidos",IF(AND(VALUE(MID(P589,13,1))=IF(MOD(SUMPRODUCT(--MID(P589,{1,2,3,4,5,6,7,8,9,10,11,12},1),{5,4,3,2,9,8,7,6,5,4,3,2}),11)&lt;2,0,11-MOD(SUMPRODUCT(--MID(P589,{1,2,3,4,5,6,7,8,9,10,11,12},1),{5,4,3,2,9,8,7,6,5,4,3,2}),11)),VALUE(MID(P589,14,1))=IF(MOD(SUMPRODUCT(--MID(P589,{1,2,3,4,5,6,7,8,9,10,11,12,13},1),{6,5,4,3,2,9,8,7,6,5,4,3,2}),11)&lt;2,0,11-MOD(SUMPRODUCT(--MID(P589,{1,2,3,4,5,6,7,8,9,10,11,12,13},1),{6,5,4,3,2,9,8,7,6,5,4,3,2}),11))),"OK","ERRO: dígito verificador")))))</f>
      </c>
      <c r="R589" s="6">
        <f>IF(P589="","",IF(COUNTIF($P$2:$P$1001,P589)&gt;1,"DUPLICADO","OK"))</f>
      </c>
      <c r="S589" s="6">
        <f>IF(AND(J589="",K589=""),"vazio",IF(AND(OR(J589="",LEN(SUBSTITUTE(SUBSTITUTE(SUBSTITUTE(SUBSTITUTE(SUBSTITUTE(SUBSTITUTE(SUBSTITUTE(TRIM(J589),".",""),"/",""),"-","")," ",""),"(",""),")",""),"+",""))=10,LEN(SUBSTITUTE(SUBSTITUTE(SUBSTITUTE(SUBSTITUTE(SUBSTITUTE(SUBSTITUTE(SUBSTITUTE(TRIM(J589),".",""),"/",""),"-","")," ",""),"(",""),")",""),"+",""))=11),OR(K589="",LEN(SUBSTITUTE(SUBSTITUTE(SUBSTITUTE(SUBSTITUTE(SUBSTITUTE(SUBSTITUTE(SUBSTITUTE(TRIM(K589),".",""),"/",""),"-","")," ",""),"(",""),")",""),"+",""))=10,LEN(SUBSTITUTE(SUBSTITUTE(SUBSTITUTE(SUBSTITUTE(SUBSTITUTE(SUBSTITUTE(SUBSTITUTE(TRIM(K589),".",""),"/",""),"-","")," ",""),"(",""),")",""),"+",""))=11)),"OK","ERRO: use DDD + número (10 ou 11 dígitos)"))</f>
      </c>
      <c r="T589" s="6">
        <f>IF(L589="","vazio",IF(AND(ISNUMBER(FIND("@",L589)),ISNUMBER(FIND(".",MID(L589,FIND("@",L589),99))),NOT(ISNUMBER(FIND(" ",TRIM(L589)))),NOT(ISNUMBER(FIND(";",L589))),NOT(ISNUMBER(FIND(",",L589)))),"OK","ERRO: um e-mail válido por linha"))</f>
      </c>
      <c r="U589" s="6">
        <f>IF(COUNTA(A589:O589)=0,"",IF(AND(B589&lt;&gt;"",C589&lt;&gt;"",D589&lt;&gt;"",E589&lt;&gt;"",H589&lt;&gt;"",OR(J589&lt;&gt;"",L589&lt;&gt;"")),"OK","ERRO: faltam "&amp;IF(B589="","Proprietário; ","")&amp;IF(C589="","Origem; ","")&amp;IF(D589="","CNPJ; ","")&amp;IF(E589="","Razão Social; ","")&amp;IF(H589="","Sobrenome; ","")&amp;IF(AND(J589="",L589=""),"telefone ou e-mail; ","")))</f>
      </c>
      <c r="V589" s="6">
        <f>IF(COUNTA(A589:O589)=0,"",IF(AND(Q589="OK",R589="OK",LEFT(S589,4)&lt;&gt;"ERRO",LEFT(T589,4)&lt;&gt;"ERRO",U589="OK"),"OK","REVISAR"))</f>
      </c>
    </row>
    <row r="590">
      <c r="A590" s="4"/>
      <c r="B590" s="5"/>
      <c r="C590" s="5"/>
      <c r="D590" s="5"/>
      <c r="E590" s="5"/>
      <c r="F590" s="4"/>
      <c r="G590" s="4"/>
      <c r="H590" s="5"/>
      <c r="I590" s="4"/>
      <c r="J590" s="4"/>
      <c r="K590" s="4"/>
      <c r="L590" s="4"/>
      <c r="M590" s="4"/>
      <c r="N590" s="4"/>
      <c r="O590" s="4"/>
      <c r="P590" s="6">
        <f>IF(D590="","",SUBSTITUTE(SUBSTITUTE(SUBSTITUTE(SUBSTITUTE(SUBSTITUTE(SUBSTITUTE(SUBSTITUTE(TRIM(D590),".",""),"/",""),"-","")," ",""),"(",""),")",""),"+",""))</f>
      </c>
      <c r="Q590" s="6">
        <f>IF(P590="","",IF(LEN(P590)&lt;&gt;14,"ERRO: "&amp;LEN(P590)&amp;" dígitos",IF(NOT(ISNUMBER(VALUE(P590))),"ERRO: não numérico",IF(LEN(SUBSTITUTE(P590,LEFT(P590,1),""))=0,"ERRO: dígitos repetidos",IF(AND(VALUE(MID(P590,13,1))=IF(MOD(SUMPRODUCT(--MID(P590,{1,2,3,4,5,6,7,8,9,10,11,12},1),{5,4,3,2,9,8,7,6,5,4,3,2}),11)&lt;2,0,11-MOD(SUMPRODUCT(--MID(P590,{1,2,3,4,5,6,7,8,9,10,11,12},1),{5,4,3,2,9,8,7,6,5,4,3,2}),11)),VALUE(MID(P590,14,1))=IF(MOD(SUMPRODUCT(--MID(P590,{1,2,3,4,5,6,7,8,9,10,11,12,13},1),{6,5,4,3,2,9,8,7,6,5,4,3,2}),11)&lt;2,0,11-MOD(SUMPRODUCT(--MID(P590,{1,2,3,4,5,6,7,8,9,10,11,12,13},1),{6,5,4,3,2,9,8,7,6,5,4,3,2}),11))),"OK","ERRO: dígito verificador")))))</f>
      </c>
      <c r="R590" s="6">
        <f>IF(P590="","",IF(COUNTIF($P$2:$P$1001,P590)&gt;1,"DUPLICADO","OK"))</f>
      </c>
      <c r="S590" s="6">
        <f>IF(AND(J590="",K590=""),"vazio",IF(AND(OR(J590="",LEN(SUBSTITUTE(SUBSTITUTE(SUBSTITUTE(SUBSTITUTE(SUBSTITUTE(SUBSTITUTE(SUBSTITUTE(TRIM(J590),".",""),"/",""),"-","")," ",""),"(",""),")",""),"+",""))=10,LEN(SUBSTITUTE(SUBSTITUTE(SUBSTITUTE(SUBSTITUTE(SUBSTITUTE(SUBSTITUTE(SUBSTITUTE(TRIM(J590),".",""),"/",""),"-","")," ",""),"(",""),")",""),"+",""))=11),OR(K590="",LEN(SUBSTITUTE(SUBSTITUTE(SUBSTITUTE(SUBSTITUTE(SUBSTITUTE(SUBSTITUTE(SUBSTITUTE(TRIM(K590),".",""),"/",""),"-","")," ",""),"(",""),")",""),"+",""))=10,LEN(SUBSTITUTE(SUBSTITUTE(SUBSTITUTE(SUBSTITUTE(SUBSTITUTE(SUBSTITUTE(SUBSTITUTE(TRIM(K590),".",""),"/",""),"-","")," ",""),"(",""),")",""),"+",""))=11)),"OK","ERRO: use DDD + número (10 ou 11 dígitos)"))</f>
      </c>
      <c r="T590" s="6">
        <f>IF(L590="","vazio",IF(AND(ISNUMBER(FIND("@",L590)),ISNUMBER(FIND(".",MID(L590,FIND("@",L590),99))),NOT(ISNUMBER(FIND(" ",TRIM(L590)))),NOT(ISNUMBER(FIND(";",L590))),NOT(ISNUMBER(FIND(",",L590)))),"OK","ERRO: um e-mail válido por linha"))</f>
      </c>
      <c r="U590" s="6">
        <f>IF(COUNTA(A590:O590)=0,"",IF(AND(B590&lt;&gt;"",C590&lt;&gt;"",D590&lt;&gt;"",E590&lt;&gt;"",H590&lt;&gt;"",OR(J590&lt;&gt;"",L590&lt;&gt;"")),"OK","ERRO: faltam "&amp;IF(B590="","Proprietário; ","")&amp;IF(C590="","Origem; ","")&amp;IF(D590="","CNPJ; ","")&amp;IF(E590="","Razão Social; ","")&amp;IF(H590="","Sobrenome; ","")&amp;IF(AND(J590="",L590=""),"telefone ou e-mail; ","")))</f>
      </c>
      <c r="V590" s="6">
        <f>IF(COUNTA(A590:O590)=0,"",IF(AND(Q590="OK",R590="OK",LEFT(S590,4)&lt;&gt;"ERRO",LEFT(T590,4)&lt;&gt;"ERRO",U590="OK"),"OK","REVISAR"))</f>
      </c>
    </row>
    <row r="591">
      <c r="A591" s="4"/>
      <c r="B591" s="5"/>
      <c r="C591" s="5"/>
      <c r="D591" s="5"/>
      <c r="E591" s="5"/>
      <c r="F591" s="4"/>
      <c r="G591" s="4"/>
      <c r="H591" s="5"/>
      <c r="I591" s="4"/>
      <c r="J591" s="4"/>
      <c r="K591" s="4"/>
      <c r="L591" s="4"/>
      <c r="M591" s="4"/>
      <c r="N591" s="4"/>
      <c r="O591" s="4"/>
      <c r="P591" s="6">
        <f>IF(D591="","",SUBSTITUTE(SUBSTITUTE(SUBSTITUTE(SUBSTITUTE(SUBSTITUTE(SUBSTITUTE(SUBSTITUTE(TRIM(D591),".",""),"/",""),"-","")," ",""),"(",""),")",""),"+",""))</f>
      </c>
      <c r="Q591" s="6">
        <f>IF(P591="","",IF(LEN(P591)&lt;&gt;14,"ERRO: "&amp;LEN(P591)&amp;" dígitos",IF(NOT(ISNUMBER(VALUE(P591))),"ERRO: não numérico",IF(LEN(SUBSTITUTE(P591,LEFT(P591,1),""))=0,"ERRO: dígitos repetidos",IF(AND(VALUE(MID(P591,13,1))=IF(MOD(SUMPRODUCT(--MID(P591,{1,2,3,4,5,6,7,8,9,10,11,12},1),{5,4,3,2,9,8,7,6,5,4,3,2}),11)&lt;2,0,11-MOD(SUMPRODUCT(--MID(P591,{1,2,3,4,5,6,7,8,9,10,11,12},1),{5,4,3,2,9,8,7,6,5,4,3,2}),11)),VALUE(MID(P591,14,1))=IF(MOD(SUMPRODUCT(--MID(P591,{1,2,3,4,5,6,7,8,9,10,11,12,13},1),{6,5,4,3,2,9,8,7,6,5,4,3,2}),11)&lt;2,0,11-MOD(SUMPRODUCT(--MID(P591,{1,2,3,4,5,6,7,8,9,10,11,12,13},1),{6,5,4,3,2,9,8,7,6,5,4,3,2}),11))),"OK","ERRO: dígito verificador")))))</f>
      </c>
      <c r="R591" s="6">
        <f>IF(P591="","",IF(COUNTIF($P$2:$P$1001,P591)&gt;1,"DUPLICADO","OK"))</f>
      </c>
      <c r="S591" s="6">
        <f>IF(AND(J591="",K591=""),"vazio",IF(AND(OR(J591="",LEN(SUBSTITUTE(SUBSTITUTE(SUBSTITUTE(SUBSTITUTE(SUBSTITUTE(SUBSTITUTE(SUBSTITUTE(TRIM(J591),".",""),"/",""),"-","")," ",""),"(",""),")",""),"+",""))=10,LEN(SUBSTITUTE(SUBSTITUTE(SUBSTITUTE(SUBSTITUTE(SUBSTITUTE(SUBSTITUTE(SUBSTITUTE(TRIM(J591),".",""),"/",""),"-","")," ",""),"(",""),")",""),"+",""))=11),OR(K591="",LEN(SUBSTITUTE(SUBSTITUTE(SUBSTITUTE(SUBSTITUTE(SUBSTITUTE(SUBSTITUTE(SUBSTITUTE(TRIM(K591),".",""),"/",""),"-","")," ",""),"(",""),")",""),"+",""))=10,LEN(SUBSTITUTE(SUBSTITUTE(SUBSTITUTE(SUBSTITUTE(SUBSTITUTE(SUBSTITUTE(SUBSTITUTE(TRIM(K591),".",""),"/",""),"-","")," ",""),"(",""),")",""),"+",""))=11)),"OK","ERRO: use DDD + número (10 ou 11 dígitos)"))</f>
      </c>
      <c r="T591" s="6">
        <f>IF(L591="","vazio",IF(AND(ISNUMBER(FIND("@",L591)),ISNUMBER(FIND(".",MID(L591,FIND("@",L591),99))),NOT(ISNUMBER(FIND(" ",TRIM(L591)))),NOT(ISNUMBER(FIND(";",L591))),NOT(ISNUMBER(FIND(",",L591)))),"OK","ERRO: um e-mail válido por linha"))</f>
      </c>
      <c r="U591" s="6">
        <f>IF(COUNTA(A591:O591)=0,"",IF(AND(B591&lt;&gt;"",C591&lt;&gt;"",D591&lt;&gt;"",E591&lt;&gt;"",H591&lt;&gt;"",OR(J591&lt;&gt;"",L591&lt;&gt;"")),"OK","ERRO: faltam "&amp;IF(B591="","Proprietário; ","")&amp;IF(C591="","Origem; ","")&amp;IF(D591="","CNPJ; ","")&amp;IF(E591="","Razão Social; ","")&amp;IF(H591="","Sobrenome; ","")&amp;IF(AND(J591="",L591=""),"telefone ou e-mail; ","")))</f>
      </c>
      <c r="V591" s="6">
        <f>IF(COUNTA(A591:O591)=0,"",IF(AND(Q591="OK",R591="OK",LEFT(S591,4)&lt;&gt;"ERRO",LEFT(T591,4)&lt;&gt;"ERRO",U591="OK"),"OK","REVISAR"))</f>
      </c>
    </row>
    <row r="592">
      <c r="A592" s="4"/>
      <c r="B592" s="5"/>
      <c r="C592" s="5"/>
      <c r="D592" s="5"/>
      <c r="E592" s="5"/>
      <c r="F592" s="4"/>
      <c r="G592" s="4"/>
      <c r="H592" s="5"/>
      <c r="I592" s="4"/>
      <c r="J592" s="4"/>
      <c r="K592" s="4"/>
      <c r="L592" s="4"/>
      <c r="M592" s="4"/>
      <c r="N592" s="4"/>
      <c r="O592" s="4"/>
      <c r="P592" s="6">
        <f>IF(D592="","",SUBSTITUTE(SUBSTITUTE(SUBSTITUTE(SUBSTITUTE(SUBSTITUTE(SUBSTITUTE(SUBSTITUTE(TRIM(D592),".",""),"/",""),"-","")," ",""),"(",""),")",""),"+",""))</f>
      </c>
      <c r="Q592" s="6">
        <f>IF(P592="","",IF(LEN(P592)&lt;&gt;14,"ERRO: "&amp;LEN(P592)&amp;" dígitos",IF(NOT(ISNUMBER(VALUE(P592))),"ERRO: não numérico",IF(LEN(SUBSTITUTE(P592,LEFT(P592,1),""))=0,"ERRO: dígitos repetidos",IF(AND(VALUE(MID(P592,13,1))=IF(MOD(SUMPRODUCT(--MID(P592,{1,2,3,4,5,6,7,8,9,10,11,12},1),{5,4,3,2,9,8,7,6,5,4,3,2}),11)&lt;2,0,11-MOD(SUMPRODUCT(--MID(P592,{1,2,3,4,5,6,7,8,9,10,11,12},1),{5,4,3,2,9,8,7,6,5,4,3,2}),11)),VALUE(MID(P592,14,1))=IF(MOD(SUMPRODUCT(--MID(P592,{1,2,3,4,5,6,7,8,9,10,11,12,13},1),{6,5,4,3,2,9,8,7,6,5,4,3,2}),11)&lt;2,0,11-MOD(SUMPRODUCT(--MID(P592,{1,2,3,4,5,6,7,8,9,10,11,12,13},1),{6,5,4,3,2,9,8,7,6,5,4,3,2}),11))),"OK","ERRO: dígito verificador")))))</f>
      </c>
      <c r="R592" s="6">
        <f>IF(P592="","",IF(COUNTIF($P$2:$P$1001,P592)&gt;1,"DUPLICADO","OK"))</f>
      </c>
      <c r="S592" s="6">
        <f>IF(AND(J592="",K592=""),"vazio",IF(AND(OR(J592="",LEN(SUBSTITUTE(SUBSTITUTE(SUBSTITUTE(SUBSTITUTE(SUBSTITUTE(SUBSTITUTE(SUBSTITUTE(TRIM(J592),".",""),"/",""),"-","")," ",""),"(",""),")",""),"+",""))=10,LEN(SUBSTITUTE(SUBSTITUTE(SUBSTITUTE(SUBSTITUTE(SUBSTITUTE(SUBSTITUTE(SUBSTITUTE(TRIM(J592),".",""),"/",""),"-","")," ",""),"(",""),")",""),"+",""))=11),OR(K592="",LEN(SUBSTITUTE(SUBSTITUTE(SUBSTITUTE(SUBSTITUTE(SUBSTITUTE(SUBSTITUTE(SUBSTITUTE(TRIM(K592),".",""),"/",""),"-","")," ",""),"(",""),")",""),"+",""))=10,LEN(SUBSTITUTE(SUBSTITUTE(SUBSTITUTE(SUBSTITUTE(SUBSTITUTE(SUBSTITUTE(SUBSTITUTE(TRIM(K592),".",""),"/",""),"-","")," ",""),"(",""),")",""),"+",""))=11)),"OK","ERRO: use DDD + número (10 ou 11 dígitos)"))</f>
      </c>
      <c r="T592" s="6">
        <f>IF(L592="","vazio",IF(AND(ISNUMBER(FIND("@",L592)),ISNUMBER(FIND(".",MID(L592,FIND("@",L592),99))),NOT(ISNUMBER(FIND(" ",TRIM(L592)))),NOT(ISNUMBER(FIND(";",L592))),NOT(ISNUMBER(FIND(",",L592)))),"OK","ERRO: um e-mail válido por linha"))</f>
      </c>
      <c r="U592" s="6">
        <f>IF(COUNTA(A592:O592)=0,"",IF(AND(B592&lt;&gt;"",C592&lt;&gt;"",D592&lt;&gt;"",E592&lt;&gt;"",H592&lt;&gt;"",OR(J592&lt;&gt;"",L592&lt;&gt;"")),"OK","ERRO: faltam "&amp;IF(B592="","Proprietário; ","")&amp;IF(C592="","Origem; ","")&amp;IF(D592="","CNPJ; ","")&amp;IF(E592="","Razão Social; ","")&amp;IF(H592="","Sobrenome; ","")&amp;IF(AND(J592="",L592=""),"telefone ou e-mail; ","")))</f>
      </c>
      <c r="V592" s="6">
        <f>IF(COUNTA(A592:O592)=0,"",IF(AND(Q592="OK",R592="OK",LEFT(S592,4)&lt;&gt;"ERRO",LEFT(T592,4)&lt;&gt;"ERRO",U592="OK"),"OK","REVISAR"))</f>
      </c>
    </row>
    <row r="593">
      <c r="A593" s="4"/>
      <c r="B593" s="5"/>
      <c r="C593" s="5"/>
      <c r="D593" s="5"/>
      <c r="E593" s="5"/>
      <c r="F593" s="4"/>
      <c r="G593" s="4"/>
      <c r="H593" s="5"/>
      <c r="I593" s="4"/>
      <c r="J593" s="4"/>
      <c r="K593" s="4"/>
      <c r="L593" s="4"/>
      <c r="M593" s="4"/>
      <c r="N593" s="4"/>
      <c r="O593" s="4"/>
      <c r="P593" s="6">
        <f>IF(D593="","",SUBSTITUTE(SUBSTITUTE(SUBSTITUTE(SUBSTITUTE(SUBSTITUTE(SUBSTITUTE(SUBSTITUTE(TRIM(D593),".",""),"/",""),"-","")," ",""),"(",""),")",""),"+",""))</f>
      </c>
      <c r="Q593" s="6">
        <f>IF(P593="","",IF(LEN(P593)&lt;&gt;14,"ERRO: "&amp;LEN(P593)&amp;" dígitos",IF(NOT(ISNUMBER(VALUE(P593))),"ERRO: não numérico",IF(LEN(SUBSTITUTE(P593,LEFT(P593,1),""))=0,"ERRO: dígitos repetidos",IF(AND(VALUE(MID(P593,13,1))=IF(MOD(SUMPRODUCT(--MID(P593,{1,2,3,4,5,6,7,8,9,10,11,12},1),{5,4,3,2,9,8,7,6,5,4,3,2}),11)&lt;2,0,11-MOD(SUMPRODUCT(--MID(P593,{1,2,3,4,5,6,7,8,9,10,11,12},1),{5,4,3,2,9,8,7,6,5,4,3,2}),11)),VALUE(MID(P593,14,1))=IF(MOD(SUMPRODUCT(--MID(P593,{1,2,3,4,5,6,7,8,9,10,11,12,13},1),{6,5,4,3,2,9,8,7,6,5,4,3,2}),11)&lt;2,0,11-MOD(SUMPRODUCT(--MID(P593,{1,2,3,4,5,6,7,8,9,10,11,12,13},1),{6,5,4,3,2,9,8,7,6,5,4,3,2}),11))),"OK","ERRO: dígito verificador")))))</f>
      </c>
      <c r="R593" s="6">
        <f>IF(P593="","",IF(COUNTIF($P$2:$P$1001,P593)&gt;1,"DUPLICADO","OK"))</f>
      </c>
      <c r="S593" s="6">
        <f>IF(AND(J593="",K593=""),"vazio",IF(AND(OR(J593="",LEN(SUBSTITUTE(SUBSTITUTE(SUBSTITUTE(SUBSTITUTE(SUBSTITUTE(SUBSTITUTE(SUBSTITUTE(TRIM(J593),".",""),"/",""),"-","")," ",""),"(",""),")",""),"+",""))=10,LEN(SUBSTITUTE(SUBSTITUTE(SUBSTITUTE(SUBSTITUTE(SUBSTITUTE(SUBSTITUTE(SUBSTITUTE(TRIM(J593),".",""),"/",""),"-","")," ",""),"(",""),")",""),"+",""))=11),OR(K593="",LEN(SUBSTITUTE(SUBSTITUTE(SUBSTITUTE(SUBSTITUTE(SUBSTITUTE(SUBSTITUTE(SUBSTITUTE(TRIM(K593),".",""),"/",""),"-","")," ",""),"(",""),")",""),"+",""))=10,LEN(SUBSTITUTE(SUBSTITUTE(SUBSTITUTE(SUBSTITUTE(SUBSTITUTE(SUBSTITUTE(SUBSTITUTE(TRIM(K593),".",""),"/",""),"-","")," ",""),"(",""),")",""),"+",""))=11)),"OK","ERRO: use DDD + número (10 ou 11 dígitos)"))</f>
      </c>
      <c r="T593" s="6">
        <f>IF(L593="","vazio",IF(AND(ISNUMBER(FIND("@",L593)),ISNUMBER(FIND(".",MID(L593,FIND("@",L593),99))),NOT(ISNUMBER(FIND(" ",TRIM(L593)))),NOT(ISNUMBER(FIND(";",L593))),NOT(ISNUMBER(FIND(",",L593)))),"OK","ERRO: um e-mail válido por linha"))</f>
      </c>
      <c r="U593" s="6">
        <f>IF(COUNTA(A593:O593)=0,"",IF(AND(B593&lt;&gt;"",C593&lt;&gt;"",D593&lt;&gt;"",E593&lt;&gt;"",H593&lt;&gt;"",OR(J593&lt;&gt;"",L593&lt;&gt;"")),"OK","ERRO: faltam "&amp;IF(B593="","Proprietário; ","")&amp;IF(C593="","Origem; ","")&amp;IF(D593="","CNPJ; ","")&amp;IF(E593="","Razão Social; ","")&amp;IF(H593="","Sobrenome; ","")&amp;IF(AND(J593="",L593=""),"telefone ou e-mail; ","")))</f>
      </c>
      <c r="V593" s="6">
        <f>IF(COUNTA(A593:O593)=0,"",IF(AND(Q593="OK",R593="OK",LEFT(S593,4)&lt;&gt;"ERRO",LEFT(T593,4)&lt;&gt;"ERRO",U593="OK"),"OK","REVISAR"))</f>
      </c>
    </row>
    <row r="594">
      <c r="A594" s="4"/>
      <c r="B594" s="5"/>
      <c r="C594" s="5"/>
      <c r="D594" s="5"/>
      <c r="E594" s="5"/>
      <c r="F594" s="4"/>
      <c r="G594" s="4"/>
      <c r="H594" s="5"/>
      <c r="I594" s="4"/>
      <c r="J594" s="4"/>
      <c r="K594" s="4"/>
      <c r="L594" s="4"/>
      <c r="M594" s="4"/>
      <c r="N594" s="4"/>
      <c r="O594" s="4"/>
      <c r="P594" s="6">
        <f>IF(D594="","",SUBSTITUTE(SUBSTITUTE(SUBSTITUTE(SUBSTITUTE(SUBSTITUTE(SUBSTITUTE(SUBSTITUTE(TRIM(D594),".",""),"/",""),"-","")," ",""),"(",""),")",""),"+",""))</f>
      </c>
      <c r="Q594" s="6">
        <f>IF(P594="","",IF(LEN(P594)&lt;&gt;14,"ERRO: "&amp;LEN(P594)&amp;" dígitos",IF(NOT(ISNUMBER(VALUE(P594))),"ERRO: não numérico",IF(LEN(SUBSTITUTE(P594,LEFT(P594,1),""))=0,"ERRO: dígitos repetidos",IF(AND(VALUE(MID(P594,13,1))=IF(MOD(SUMPRODUCT(--MID(P594,{1,2,3,4,5,6,7,8,9,10,11,12},1),{5,4,3,2,9,8,7,6,5,4,3,2}),11)&lt;2,0,11-MOD(SUMPRODUCT(--MID(P594,{1,2,3,4,5,6,7,8,9,10,11,12},1),{5,4,3,2,9,8,7,6,5,4,3,2}),11)),VALUE(MID(P594,14,1))=IF(MOD(SUMPRODUCT(--MID(P594,{1,2,3,4,5,6,7,8,9,10,11,12,13},1),{6,5,4,3,2,9,8,7,6,5,4,3,2}),11)&lt;2,0,11-MOD(SUMPRODUCT(--MID(P594,{1,2,3,4,5,6,7,8,9,10,11,12,13},1),{6,5,4,3,2,9,8,7,6,5,4,3,2}),11))),"OK","ERRO: dígito verificador")))))</f>
      </c>
      <c r="R594" s="6">
        <f>IF(P594="","",IF(COUNTIF($P$2:$P$1001,P594)&gt;1,"DUPLICADO","OK"))</f>
      </c>
      <c r="S594" s="6">
        <f>IF(AND(J594="",K594=""),"vazio",IF(AND(OR(J594="",LEN(SUBSTITUTE(SUBSTITUTE(SUBSTITUTE(SUBSTITUTE(SUBSTITUTE(SUBSTITUTE(SUBSTITUTE(TRIM(J594),".",""),"/",""),"-","")," ",""),"(",""),")",""),"+",""))=10,LEN(SUBSTITUTE(SUBSTITUTE(SUBSTITUTE(SUBSTITUTE(SUBSTITUTE(SUBSTITUTE(SUBSTITUTE(TRIM(J594),".",""),"/",""),"-","")," ",""),"(",""),")",""),"+",""))=11),OR(K594="",LEN(SUBSTITUTE(SUBSTITUTE(SUBSTITUTE(SUBSTITUTE(SUBSTITUTE(SUBSTITUTE(SUBSTITUTE(TRIM(K594),".",""),"/",""),"-","")," ",""),"(",""),")",""),"+",""))=10,LEN(SUBSTITUTE(SUBSTITUTE(SUBSTITUTE(SUBSTITUTE(SUBSTITUTE(SUBSTITUTE(SUBSTITUTE(TRIM(K594),".",""),"/",""),"-","")," ",""),"(",""),")",""),"+",""))=11)),"OK","ERRO: use DDD + número (10 ou 11 dígitos)"))</f>
      </c>
      <c r="T594" s="6">
        <f>IF(L594="","vazio",IF(AND(ISNUMBER(FIND("@",L594)),ISNUMBER(FIND(".",MID(L594,FIND("@",L594),99))),NOT(ISNUMBER(FIND(" ",TRIM(L594)))),NOT(ISNUMBER(FIND(";",L594))),NOT(ISNUMBER(FIND(",",L594)))),"OK","ERRO: um e-mail válido por linha"))</f>
      </c>
      <c r="U594" s="6">
        <f>IF(COUNTA(A594:O594)=0,"",IF(AND(B594&lt;&gt;"",C594&lt;&gt;"",D594&lt;&gt;"",E594&lt;&gt;"",H594&lt;&gt;"",OR(J594&lt;&gt;"",L594&lt;&gt;"")),"OK","ERRO: faltam "&amp;IF(B594="","Proprietário; ","")&amp;IF(C594="","Origem; ","")&amp;IF(D594="","CNPJ; ","")&amp;IF(E594="","Razão Social; ","")&amp;IF(H594="","Sobrenome; ","")&amp;IF(AND(J594="",L594=""),"telefone ou e-mail; ","")))</f>
      </c>
      <c r="V594" s="6">
        <f>IF(COUNTA(A594:O594)=0,"",IF(AND(Q594="OK",R594="OK",LEFT(S594,4)&lt;&gt;"ERRO",LEFT(T594,4)&lt;&gt;"ERRO",U594="OK"),"OK","REVISAR"))</f>
      </c>
    </row>
    <row r="595">
      <c r="A595" s="4"/>
      <c r="B595" s="5"/>
      <c r="C595" s="5"/>
      <c r="D595" s="5"/>
      <c r="E595" s="5"/>
      <c r="F595" s="4"/>
      <c r="G595" s="4"/>
      <c r="H595" s="5"/>
      <c r="I595" s="4"/>
      <c r="J595" s="4"/>
      <c r="K595" s="4"/>
      <c r="L595" s="4"/>
      <c r="M595" s="4"/>
      <c r="N595" s="4"/>
      <c r="O595" s="4"/>
      <c r="P595" s="6">
        <f>IF(D595="","",SUBSTITUTE(SUBSTITUTE(SUBSTITUTE(SUBSTITUTE(SUBSTITUTE(SUBSTITUTE(SUBSTITUTE(TRIM(D595),".",""),"/",""),"-","")," ",""),"(",""),")",""),"+",""))</f>
      </c>
      <c r="Q595" s="6">
        <f>IF(P595="","",IF(LEN(P595)&lt;&gt;14,"ERRO: "&amp;LEN(P595)&amp;" dígitos",IF(NOT(ISNUMBER(VALUE(P595))),"ERRO: não numérico",IF(LEN(SUBSTITUTE(P595,LEFT(P595,1),""))=0,"ERRO: dígitos repetidos",IF(AND(VALUE(MID(P595,13,1))=IF(MOD(SUMPRODUCT(--MID(P595,{1,2,3,4,5,6,7,8,9,10,11,12},1),{5,4,3,2,9,8,7,6,5,4,3,2}),11)&lt;2,0,11-MOD(SUMPRODUCT(--MID(P595,{1,2,3,4,5,6,7,8,9,10,11,12},1),{5,4,3,2,9,8,7,6,5,4,3,2}),11)),VALUE(MID(P595,14,1))=IF(MOD(SUMPRODUCT(--MID(P595,{1,2,3,4,5,6,7,8,9,10,11,12,13},1),{6,5,4,3,2,9,8,7,6,5,4,3,2}),11)&lt;2,0,11-MOD(SUMPRODUCT(--MID(P595,{1,2,3,4,5,6,7,8,9,10,11,12,13},1),{6,5,4,3,2,9,8,7,6,5,4,3,2}),11))),"OK","ERRO: dígito verificador")))))</f>
      </c>
      <c r="R595" s="6">
        <f>IF(P595="","",IF(COUNTIF($P$2:$P$1001,P595)&gt;1,"DUPLICADO","OK"))</f>
      </c>
      <c r="S595" s="6">
        <f>IF(AND(J595="",K595=""),"vazio",IF(AND(OR(J595="",LEN(SUBSTITUTE(SUBSTITUTE(SUBSTITUTE(SUBSTITUTE(SUBSTITUTE(SUBSTITUTE(SUBSTITUTE(TRIM(J595),".",""),"/",""),"-","")," ",""),"(",""),")",""),"+",""))=10,LEN(SUBSTITUTE(SUBSTITUTE(SUBSTITUTE(SUBSTITUTE(SUBSTITUTE(SUBSTITUTE(SUBSTITUTE(TRIM(J595),".",""),"/",""),"-","")," ",""),"(",""),")",""),"+",""))=11),OR(K595="",LEN(SUBSTITUTE(SUBSTITUTE(SUBSTITUTE(SUBSTITUTE(SUBSTITUTE(SUBSTITUTE(SUBSTITUTE(TRIM(K595),".",""),"/",""),"-","")," ",""),"(",""),")",""),"+",""))=10,LEN(SUBSTITUTE(SUBSTITUTE(SUBSTITUTE(SUBSTITUTE(SUBSTITUTE(SUBSTITUTE(SUBSTITUTE(TRIM(K595),".",""),"/",""),"-","")," ",""),"(",""),")",""),"+",""))=11)),"OK","ERRO: use DDD + número (10 ou 11 dígitos)"))</f>
      </c>
      <c r="T595" s="6">
        <f>IF(L595="","vazio",IF(AND(ISNUMBER(FIND("@",L595)),ISNUMBER(FIND(".",MID(L595,FIND("@",L595),99))),NOT(ISNUMBER(FIND(" ",TRIM(L595)))),NOT(ISNUMBER(FIND(";",L595))),NOT(ISNUMBER(FIND(",",L595)))),"OK","ERRO: um e-mail válido por linha"))</f>
      </c>
      <c r="U595" s="6">
        <f>IF(COUNTA(A595:O595)=0,"",IF(AND(B595&lt;&gt;"",C595&lt;&gt;"",D595&lt;&gt;"",E595&lt;&gt;"",H595&lt;&gt;"",OR(J595&lt;&gt;"",L595&lt;&gt;"")),"OK","ERRO: faltam "&amp;IF(B595="","Proprietário; ","")&amp;IF(C595="","Origem; ","")&amp;IF(D595="","CNPJ; ","")&amp;IF(E595="","Razão Social; ","")&amp;IF(H595="","Sobrenome; ","")&amp;IF(AND(J595="",L595=""),"telefone ou e-mail; ","")))</f>
      </c>
      <c r="V595" s="6">
        <f>IF(COUNTA(A595:O595)=0,"",IF(AND(Q595="OK",R595="OK",LEFT(S595,4)&lt;&gt;"ERRO",LEFT(T595,4)&lt;&gt;"ERRO",U595="OK"),"OK","REVISAR"))</f>
      </c>
    </row>
    <row r="596">
      <c r="A596" s="4"/>
      <c r="B596" s="5"/>
      <c r="C596" s="5"/>
      <c r="D596" s="5"/>
      <c r="E596" s="5"/>
      <c r="F596" s="4"/>
      <c r="G596" s="4"/>
      <c r="H596" s="5"/>
      <c r="I596" s="4"/>
      <c r="J596" s="4"/>
      <c r="K596" s="4"/>
      <c r="L596" s="4"/>
      <c r="M596" s="4"/>
      <c r="N596" s="4"/>
      <c r="O596" s="4"/>
      <c r="P596" s="6">
        <f>IF(D596="","",SUBSTITUTE(SUBSTITUTE(SUBSTITUTE(SUBSTITUTE(SUBSTITUTE(SUBSTITUTE(SUBSTITUTE(TRIM(D596),".",""),"/",""),"-","")," ",""),"(",""),")",""),"+",""))</f>
      </c>
      <c r="Q596" s="6">
        <f>IF(P596="","",IF(LEN(P596)&lt;&gt;14,"ERRO: "&amp;LEN(P596)&amp;" dígitos",IF(NOT(ISNUMBER(VALUE(P596))),"ERRO: não numérico",IF(LEN(SUBSTITUTE(P596,LEFT(P596,1),""))=0,"ERRO: dígitos repetidos",IF(AND(VALUE(MID(P596,13,1))=IF(MOD(SUMPRODUCT(--MID(P596,{1,2,3,4,5,6,7,8,9,10,11,12},1),{5,4,3,2,9,8,7,6,5,4,3,2}),11)&lt;2,0,11-MOD(SUMPRODUCT(--MID(P596,{1,2,3,4,5,6,7,8,9,10,11,12},1),{5,4,3,2,9,8,7,6,5,4,3,2}),11)),VALUE(MID(P596,14,1))=IF(MOD(SUMPRODUCT(--MID(P596,{1,2,3,4,5,6,7,8,9,10,11,12,13},1),{6,5,4,3,2,9,8,7,6,5,4,3,2}),11)&lt;2,0,11-MOD(SUMPRODUCT(--MID(P596,{1,2,3,4,5,6,7,8,9,10,11,12,13},1),{6,5,4,3,2,9,8,7,6,5,4,3,2}),11))),"OK","ERRO: dígito verificador")))))</f>
      </c>
      <c r="R596" s="6">
        <f>IF(P596="","",IF(COUNTIF($P$2:$P$1001,P596)&gt;1,"DUPLICADO","OK"))</f>
      </c>
      <c r="S596" s="6">
        <f>IF(AND(J596="",K596=""),"vazio",IF(AND(OR(J596="",LEN(SUBSTITUTE(SUBSTITUTE(SUBSTITUTE(SUBSTITUTE(SUBSTITUTE(SUBSTITUTE(SUBSTITUTE(TRIM(J596),".",""),"/",""),"-","")," ",""),"(",""),")",""),"+",""))=10,LEN(SUBSTITUTE(SUBSTITUTE(SUBSTITUTE(SUBSTITUTE(SUBSTITUTE(SUBSTITUTE(SUBSTITUTE(TRIM(J596),".",""),"/",""),"-","")," ",""),"(",""),")",""),"+",""))=11),OR(K596="",LEN(SUBSTITUTE(SUBSTITUTE(SUBSTITUTE(SUBSTITUTE(SUBSTITUTE(SUBSTITUTE(SUBSTITUTE(TRIM(K596),".",""),"/",""),"-","")," ",""),"(",""),")",""),"+",""))=10,LEN(SUBSTITUTE(SUBSTITUTE(SUBSTITUTE(SUBSTITUTE(SUBSTITUTE(SUBSTITUTE(SUBSTITUTE(TRIM(K596),".",""),"/",""),"-","")," ",""),"(",""),")",""),"+",""))=11)),"OK","ERRO: use DDD + número (10 ou 11 dígitos)"))</f>
      </c>
      <c r="T596" s="6">
        <f>IF(L596="","vazio",IF(AND(ISNUMBER(FIND("@",L596)),ISNUMBER(FIND(".",MID(L596,FIND("@",L596),99))),NOT(ISNUMBER(FIND(" ",TRIM(L596)))),NOT(ISNUMBER(FIND(";",L596))),NOT(ISNUMBER(FIND(",",L596)))),"OK","ERRO: um e-mail válido por linha"))</f>
      </c>
      <c r="U596" s="6">
        <f>IF(COUNTA(A596:O596)=0,"",IF(AND(B596&lt;&gt;"",C596&lt;&gt;"",D596&lt;&gt;"",E596&lt;&gt;"",H596&lt;&gt;"",OR(J596&lt;&gt;"",L596&lt;&gt;"")),"OK","ERRO: faltam "&amp;IF(B596="","Proprietário; ","")&amp;IF(C596="","Origem; ","")&amp;IF(D596="","CNPJ; ","")&amp;IF(E596="","Razão Social; ","")&amp;IF(H596="","Sobrenome; ","")&amp;IF(AND(J596="",L596=""),"telefone ou e-mail; ","")))</f>
      </c>
      <c r="V596" s="6">
        <f>IF(COUNTA(A596:O596)=0,"",IF(AND(Q596="OK",R596="OK",LEFT(S596,4)&lt;&gt;"ERRO",LEFT(T596,4)&lt;&gt;"ERRO",U596="OK"),"OK","REVISAR"))</f>
      </c>
    </row>
    <row r="597">
      <c r="A597" s="4"/>
      <c r="B597" s="5"/>
      <c r="C597" s="5"/>
      <c r="D597" s="5"/>
      <c r="E597" s="5"/>
      <c r="F597" s="4"/>
      <c r="G597" s="4"/>
      <c r="H597" s="5"/>
      <c r="I597" s="4"/>
      <c r="J597" s="4"/>
      <c r="K597" s="4"/>
      <c r="L597" s="4"/>
      <c r="M597" s="4"/>
      <c r="N597" s="4"/>
      <c r="O597" s="4"/>
      <c r="P597" s="6">
        <f>IF(D597="","",SUBSTITUTE(SUBSTITUTE(SUBSTITUTE(SUBSTITUTE(SUBSTITUTE(SUBSTITUTE(SUBSTITUTE(TRIM(D597),".",""),"/",""),"-","")," ",""),"(",""),")",""),"+",""))</f>
      </c>
      <c r="Q597" s="6">
        <f>IF(P597="","",IF(LEN(P597)&lt;&gt;14,"ERRO: "&amp;LEN(P597)&amp;" dígitos",IF(NOT(ISNUMBER(VALUE(P597))),"ERRO: não numérico",IF(LEN(SUBSTITUTE(P597,LEFT(P597,1),""))=0,"ERRO: dígitos repetidos",IF(AND(VALUE(MID(P597,13,1))=IF(MOD(SUMPRODUCT(--MID(P597,{1,2,3,4,5,6,7,8,9,10,11,12},1),{5,4,3,2,9,8,7,6,5,4,3,2}),11)&lt;2,0,11-MOD(SUMPRODUCT(--MID(P597,{1,2,3,4,5,6,7,8,9,10,11,12},1),{5,4,3,2,9,8,7,6,5,4,3,2}),11)),VALUE(MID(P597,14,1))=IF(MOD(SUMPRODUCT(--MID(P597,{1,2,3,4,5,6,7,8,9,10,11,12,13},1),{6,5,4,3,2,9,8,7,6,5,4,3,2}),11)&lt;2,0,11-MOD(SUMPRODUCT(--MID(P597,{1,2,3,4,5,6,7,8,9,10,11,12,13},1),{6,5,4,3,2,9,8,7,6,5,4,3,2}),11))),"OK","ERRO: dígito verificador")))))</f>
      </c>
      <c r="R597" s="6">
        <f>IF(P597="","",IF(COUNTIF($P$2:$P$1001,P597)&gt;1,"DUPLICADO","OK"))</f>
      </c>
      <c r="S597" s="6">
        <f>IF(AND(J597="",K597=""),"vazio",IF(AND(OR(J597="",LEN(SUBSTITUTE(SUBSTITUTE(SUBSTITUTE(SUBSTITUTE(SUBSTITUTE(SUBSTITUTE(SUBSTITUTE(TRIM(J597),".",""),"/",""),"-","")," ",""),"(",""),")",""),"+",""))=10,LEN(SUBSTITUTE(SUBSTITUTE(SUBSTITUTE(SUBSTITUTE(SUBSTITUTE(SUBSTITUTE(SUBSTITUTE(TRIM(J597),".",""),"/",""),"-","")," ",""),"(",""),")",""),"+",""))=11),OR(K597="",LEN(SUBSTITUTE(SUBSTITUTE(SUBSTITUTE(SUBSTITUTE(SUBSTITUTE(SUBSTITUTE(SUBSTITUTE(TRIM(K597),".",""),"/",""),"-","")," ",""),"(",""),")",""),"+",""))=10,LEN(SUBSTITUTE(SUBSTITUTE(SUBSTITUTE(SUBSTITUTE(SUBSTITUTE(SUBSTITUTE(SUBSTITUTE(TRIM(K597),".",""),"/",""),"-","")," ",""),"(",""),")",""),"+",""))=11)),"OK","ERRO: use DDD + número (10 ou 11 dígitos)"))</f>
      </c>
      <c r="T597" s="6">
        <f>IF(L597="","vazio",IF(AND(ISNUMBER(FIND("@",L597)),ISNUMBER(FIND(".",MID(L597,FIND("@",L597),99))),NOT(ISNUMBER(FIND(" ",TRIM(L597)))),NOT(ISNUMBER(FIND(";",L597))),NOT(ISNUMBER(FIND(",",L597)))),"OK","ERRO: um e-mail válido por linha"))</f>
      </c>
      <c r="U597" s="6">
        <f>IF(COUNTA(A597:O597)=0,"",IF(AND(B597&lt;&gt;"",C597&lt;&gt;"",D597&lt;&gt;"",E597&lt;&gt;"",H597&lt;&gt;"",OR(J597&lt;&gt;"",L597&lt;&gt;"")),"OK","ERRO: faltam "&amp;IF(B597="","Proprietário; ","")&amp;IF(C597="","Origem; ","")&amp;IF(D597="","CNPJ; ","")&amp;IF(E597="","Razão Social; ","")&amp;IF(H597="","Sobrenome; ","")&amp;IF(AND(J597="",L597=""),"telefone ou e-mail; ","")))</f>
      </c>
      <c r="V597" s="6">
        <f>IF(COUNTA(A597:O597)=0,"",IF(AND(Q597="OK",R597="OK",LEFT(S597,4)&lt;&gt;"ERRO",LEFT(T597,4)&lt;&gt;"ERRO",U597="OK"),"OK","REVISAR"))</f>
      </c>
    </row>
    <row r="598">
      <c r="A598" s="4"/>
      <c r="B598" s="5"/>
      <c r="C598" s="5"/>
      <c r="D598" s="5"/>
      <c r="E598" s="5"/>
      <c r="F598" s="4"/>
      <c r="G598" s="4"/>
      <c r="H598" s="5"/>
      <c r="I598" s="4"/>
      <c r="J598" s="4"/>
      <c r="K598" s="4"/>
      <c r="L598" s="4"/>
      <c r="M598" s="4"/>
      <c r="N598" s="4"/>
      <c r="O598" s="4"/>
      <c r="P598" s="6">
        <f>IF(D598="","",SUBSTITUTE(SUBSTITUTE(SUBSTITUTE(SUBSTITUTE(SUBSTITUTE(SUBSTITUTE(SUBSTITUTE(TRIM(D598),".",""),"/",""),"-","")," ",""),"(",""),")",""),"+",""))</f>
      </c>
      <c r="Q598" s="6">
        <f>IF(P598="","",IF(LEN(P598)&lt;&gt;14,"ERRO: "&amp;LEN(P598)&amp;" dígitos",IF(NOT(ISNUMBER(VALUE(P598))),"ERRO: não numérico",IF(LEN(SUBSTITUTE(P598,LEFT(P598,1),""))=0,"ERRO: dígitos repetidos",IF(AND(VALUE(MID(P598,13,1))=IF(MOD(SUMPRODUCT(--MID(P598,{1,2,3,4,5,6,7,8,9,10,11,12},1),{5,4,3,2,9,8,7,6,5,4,3,2}),11)&lt;2,0,11-MOD(SUMPRODUCT(--MID(P598,{1,2,3,4,5,6,7,8,9,10,11,12},1),{5,4,3,2,9,8,7,6,5,4,3,2}),11)),VALUE(MID(P598,14,1))=IF(MOD(SUMPRODUCT(--MID(P598,{1,2,3,4,5,6,7,8,9,10,11,12,13},1),{6,5,4,3,2,9,8,7,6,5,4,3,2}),11)&lt;2,0,11-MOD(SUMPRODUCT(--MID(P598,{1,2,3,4,5,6,7,8,9,10,11,12,13},1),{6,5,4,3,2,9,8,7,6,5,4,3,2}),11))),"OK","ERRO: dígito verificador")))))</f>
      </c>
      <c r="R598" s="6">
        <f>IF(P598="","",IF(COUNTIF($P$2:$P$1001,P598)&gt;1,"DUPLICADO","OK"))</f>
      </c>
      <c r="S598" s="6">
        <f>IF(AND(J598="",K598=""),"vazio",IF(AND(OR(J598="",LEN(SUBSTITUTE(SUBSTITUTE(SUBSTITUTE(SUBSTITUTE(SUBSTITUTE(SUBSTITUTE(SUBSTITUTE(TRIM(J598),".",""),"/",""),"-","")," ",""),"(",""),")",""),"+",""))=10,LEN(SUBSTITUTE(SUBSTITUTE(SUBSTITUTE(SUBSTITUTE(SUBSTITUTE(SUBSTITUTE(SUBSTITUTE(TRIM(J598),".",""),"/",""),"-","")," ",""),"(",""),")",""),"+",""))=11),OR(K598="",LEN(SUBSTITUTE(SUBSTITUTE(SUBSTITUTE(SUBSTITUTE(SUBSTITUTE(SUBSTITUTE(SUBSTITUTE(TRIM(K598),".",""),"/",""),"-","")," ",""),"(",""),")",""),"+",""))=10,LEN(SUBSTITUTE(SUBSTITUTE(SUBSTITUTE(SUBSTITUTE(SUBSTITUTE(SUBSTITUTE(SUBSTITUTE(TRIM(K598),".",""),"/",""),"-","")," ",""),"(",""),")",""),"+",""))=11)),"OK","ERRO: use DDD + número (10 ou 11 dígitos)"))</f>
      </c>
      <c r="T598" s="6">
        <f>IF(L598="","vazio",IF(AND(ISNUMBER(FIND("@",L598)),ISNUMBER(FIND(".",MID(L598,FIND("@",L598),99))),NOT(ISNUMBER(FIND(" ",TRIM(L598)))),NOT(ISNUMBER(FIND(";",L598))),NOT(ISNUMBER(FIND(",",L598)))),"OK","ERRO: um e-mail válido por linha"))</f>
      </c>
      <c r="U598" s="6">
        <f>IF(COUNTA(A598:O598)=0,"",IF(AND(B598&lt;&gt;"",C598&lt;&gt;"",D598&lt;&gt;"",E598&lt;&gt;"",H598&lt;&gt;"",OR(J598&lt;&gt;"",L598&lt;&gt;"")),"OK","ERRO: faltam "&amp;IF(B598="","Proprietário; ","")&amp;IF(C598="","Origem; ","")&amp;IF(D598="","CNPJ; ","")&amp;IF(E598="","Razão Social; ","")&amp;IF(H598="","Sobrenome; ","")&amp;IF(AND(J598="",L598=""),"telefone ou e-mail; ","")))</f>
      </c>
      <c r="V598" s="6">
        <f>IF(COUNTA(A598:O598)=0,"",IF(AND(Q598="OK",R598="OK",LEFT(S598,4)&lt;&gt;"ERRO",LEFT(T598,4)&lt;&gt;"ERRO",U598="OK"),"OK","REVISAR"))</f>
      </c>
    </row>
    <row r="599">
      <c r="A599" s="4"/>
      <c r="B599" s="5"/>
      <c r="C599" s="5"/>
      <c r="D599" s="5"/>
      <c r="E599" s="5"/>
      <c r="F599" s="4"/>
      <c r="G599" s="4"/>
      <c r="H599" s="5"/>
      <c r="I599" s="4"/>
      <c r="J599" s="4"/>
      <c r="K599" s="4"/>
      <c r="L599" s="4"/>
      <c r="M599" s="4"/>
      <c r="N599" s="4"/>
      <c r="O599" s="4"/>
      <c r="P599" s="6">
        <f>IF(D599="","",SUBSTITUTE(SUBSTITUTE(SUBSTITUTE(SUBSTITUTE(SUBSTITUTE(SUBSTITUTE(SUBSTITUTE(TRIM(D599),".",""),"/",""),"-","")," ",""),"(",""),")",""),"+",""))</f>
      </c>
      <c r="Q599" s="6">
        <f>IF(P599="","",IF(LEN(P599)&lt;&gt;14,"ERRO: "&amp;LEN(P599)&amp;" dígitos",IF(NOT(ISNUMBER(VALUE(P599))),"ERRO: não numérico",IF(LEN(SUBSTITUTE(P599,LEFT(P599,1),""))=0,"ERRO: dígitos repetidos",IF(AND(VALUE(MID(P599,13,1))=IF(MOD(SUMPRODUCT(--MID(P599,{1,2,3,4,5,6,7,8,9,10,11,12},1),{5,4,3,2,9,8,7,6,5,4,3,2}),11)&lt;2,0,11-MOD(SUMPRODUCT(--MID(P599,{1,2,3,4,5,6,7,8,9,10,11,12},1),{5,4,3,2,9,8,7,6,5,4,3,2}),11)),VALUE(MID(P599,14,1))=IF(MOD(SUMPRODUCT(--MID(P599,{1,2,3,4,5,6,7,8,9,10,11,12,13},1),{6,5,4,3,2,9,8,7,6,5,4,3,2}),11)&lt;2,0,11-MOD(SUMPRODUCT(--MID(P599,{1,2,3,4,5,6,7,8,9,10,11,12,13},1),{6,5,4,3,2,9,8,7,6,5,4,3,2}),11))),"OK","ERRO: dígito verificador")))))</f>
      </c>
      <c r="R599" s="6">
        <f>IF(P599="","",IF(COUNTIF($P$2:$P$1001,P599)&gt;1,"DUPLICADO","OK"))</f>
      </c>
      <c r="S599" s="6">
        <f>IF(AND(J599="",K599=""),"vazio",IF(AND(OR(J599="",LEN(SUBSTITUTE(SUBSTITUTE(SUBSTITUTE(SUBSTITUTE(SUBSTITUTE(SUBSTITUTE(SUBSTITUTE(TRIM(J599),".",""),"/",""),"-","")," ",""),"(",""),")",""),"+",""))=10,LEN(SUBSTITUTE(SUBSTITUTE(SUBSTITUTE(SUBSTITUTE(SUBSTITUTE(SUBSTITUTE(SUBSTITUTE(TRIM(J599),".",""),"/",""),"-","")," ",""),"(",""),")",""),"+",""))=11),OR(K599="",LEN(SUBSTITUTE(SUBSTITUTE(SUBSTITUTE(SUBSTITUTE(SUBSTITUTE(SUBSTITUTE(SUBSTITUTE(TRIM(K599),".",""),"/",""),"-","")," ",""),"(",""),")",""),"+",""))=10,LEN(SUBSTITUTE(SUBSTITUTE(SUBSTITUTE(SUBSTITUTE(SUBSTITUTE(SUBSTITUTE(SUBSTITUTE(TRIM(K599),".",""),"/",""),"-","")," ",""),"(",""),")",""),"+",""))=11)),"OK","ERRO: use DDD + número (10 ou 11 dígitos)"))</f>
      </c>
      <c r="T599" s="6">
        <f>IF(L599="","vazio",IF(AND(ISNUMBER(FIND("@",L599)),ISNUMBER(FIND(".",MID(L599,FIND("@",L599),99))),NOT(ISNUMBER(FIND(" ",TRIM(L599)))),NOT(ISNUMBER(FIND(";",L599))),NOT(ISNUMBER(FIND(",",L599)))),"OK","ERRO: um e-mail válido por linha"))</f>
      </c>
      <c r="U599" s="6">
        <f>IF(COUNTA(A599:O599)=0,"",IF(AND(B599&lt;&gt;"",C599&lt;&gt;"",D599&lt;&gt;"",E599&lt;&gt;"",H599&lt;&gt;"",OR(J599&lt;&gt;"",L599&lt;&gt;"")),"OK","ERRO: faltam "&amp;IF(B599="","Proprietário; ","")&amp;IF(C599="","Origem; ","")&amp;IF(D599="","CNPJ; ","")&amp;IF(E599="","Razão Social; ","")&amp;IF(H599="","Sobrenome; ","")&amp;IF(AND(J599="",L599=""),"telefone ou e-mail; ","")))</f>
      </c>
      <c r="V599" s="6">
        <f>IF(COUNTA(A599:O599)=0,"",IF(AND(Q599="OK",R599="OK",LEFT(S599,4)&lt;&gt;"ERRO",LEFT(T599,4)&lt;&gt;"ERRO",U599="OK"),"OK","REVISAR"))</f>
      </c>
    </row>
    <row r="600">
      <c r="A600" s="4"/>
      <c r="B600" s="5"/>
      <c r="C600" s="5"/>
      <c r="D600" s="5"/>
      <c r="E600" s="5"/>
      <c r="F600" s="4"/>
      <c r="G600" s="4"/>
      <c r="H600" s="5"/>
      <c r="I600" s="4"/>
      <c r="J600" s="4"/>
      <c r="K600" s="4"/>
      <c r="L600" s="4"/>
      <c r="M600" s="4"/>
      <c r="N600" s="4"/>
      <c r="O600" s="4"/>
      <c r="P600" s="6">
        <f>IF(D600="","",SUBSTITUTE(SUBSTITUTE(SUBSTITUTE(SUBSTITUTE(SUBSTITUTE(SUBSTITUTE(SUBSTITUTE(TRIM(D600),".",""),"/",""),"-","")," ",""),"(",""),")",""),"+",""))</f>
      </c>
      <c r="Q600" s="6">
        <f>IF(P600="","",IF(LEN(P600)&lt;&gt;14,"ERRO: "&amp;LEN(P600)&amp;" dígitos",IF(NOT(ISNUMBER(VALUE(P600))),"ERRO: não numérico",IF(LEN(SUBSTITUTE(P600,LEFT(P600,1),""))=0,"ERRO: dígitos repetidos",IF(AND(VALUE(MID(P600,13,1))=IF(MOD(SUMPRODUCT(--MID(P600,{1,2,3,4,5,6,7,8,9,10,11,12},1),{5,4,3,2,9,8,7,6,5,4,3,2}),11)&lt;2,0,11-MOD(SUMPRODUCT(--MID(P600,{1,2,3,4,5,6,7,8,9,10,11,12},1),{5,4,3,2,9,8,7,6,5,4,3,2}),11)),VALUE(MID(P600,14,1))=IF(MOD(SUMPRODUCT(--MID(P600,{1,2,3,4,5,6,7,8,9,10,11,12,13},1),{6,5,4,3,2,9,8,7,6,5,4,3,2}),11)&lt;2,0,11-MOD(SUMPRODUCT(--MID(P600,{1,2,3,4,5,6,7,8,9,10,11,12,13},1),{6,5,4,3,2,9,8,7,6,5,4,3,2}),11))),"OK","ERRO: dígito verificador")))))</f>
      </c>
      <c r="R600" s="6">
        <f>IF(P600="","",IF(COUNTIF($P$2:$P$1001,P600)&gt;1,"DUPLICADO","OK"))</f>
      </c>
      <c r="S600" s="6">
        <f>IF(AND(J600="",K600=""),"vazio",IF(AND(OR(J600="",LEN(SUBSTITUTE(SUBSTITUTE(SUBSTITUTE(SUBSTITUTE(SUBSTITUTE(SUBSTITUTE(SUBSTITUTE(TRIM(J600),".",""),"/",""),"-","")," ",""),"(",""),")",""),"+",""))=10,LEN(SUBSTITUTE(SUBSTITUTE(SUBSTITUTE(SUBSTITUTE(SUBSTITUTE(SUBSTITUTE(SUBSTITUTE(TRIM(J600),".",""),"/",""),"-","")," ",""),"(",""),")",""),"+",""))=11),OR(K600="",LEN(SUBSTITUTE(SUBSTITUTE(SUBSTITUTE(SUBSTITUTE(SUBSTITUTE(SUBSTITUTE(SUBSTITUTE(TRIM(K600),".",""),"/",""),"-","")," ",""),"(",""),")",""),"+",""))=10,LEN(SUBSTITUTE(SUBSTITUTE(SUBSTITUTE(SUBSTITUTE(SUBSTITUTE(SUBSTITUTE(SUBSTITUTE(TRIM(K600),".",""),"/",""),"-","")," ",""),"(",""),")",""),"+",""))=11)),"OK","ERRO: use DDD + número (10 ou 11 dígitos)"))</f>
      </c>
      <c r="T600" s="6">
        <f>IF(L600="","vazio",IF(AND(ISNUMBER(FIND("@",L600)),ISNUMBER(FIND(".",MID(L600,FIND("@",L600),99))),NOT(ISNUMBER(FIND(" ",TRIM(L600)))),NOT(ISNUMBER(FIND(";",L600))),NOT(ISNUMBER(FIND(",",L600)))),"OK","ERRO: um e-mail válido por linha"))</f>
      </c>
      <c r="U600" s="6">
        <f>IF(COUNTA(A600:O600)=0,"",IF(AND(B600&lt;&gt;"",C600&lt;&gt;"",D600&lt;&gt;"",E600&lt;&gt;"",H600&lt;&gt;"",OR(J600&lt;&gt;"",L600&lt;&gt;"")),"OK","ERRO: faltam "&amp;IF(B600="","Proprietário; ","")&amp;IF(C600="","Origem; ","")&amp;IF(D600="","CNPJ; ","")&amp;IF(E600="","Razão Social; ","")&amp;IF(H600="","Sobrenome; ","")&amp;IF(AND(J600="",L600=""),"telefone ou e-mail; ","")))</f>
      </c>
      <c r="V600" s="6">
        <f>IF(COUNTA(A600:O600)=0,"",IF(AND(Q600="OK",R600="OK",LEFT(S600,4)&lt;&gt;"ERRO",LEFT(T600,4)&lt;&gt;"ERRO",U600="OK"),"OK","REVISAR"))</f>
      </c>
    </row>
    <row r="601">
      <c r="A601" s="4"/>
      <c r="B601" s="5"/>
      <c r="C601" s="5"/>
      <c r="D601" s="5"/>
      <c r="E601" s="5"/>
      <c r="F601" s="4"/>
      <c r="G601" s="4"/>
      <c r="H601" s="5"/>
      <c r="I601" s="4"/>
      <c r="J601" s="4"/>
      <c r="K601" s="4"/>
      <c r="L601" s="4"/>
      <c r="M601" s="4"/>
      <c r="N601" s="4"/>
      <c r="O601" s="4"/>
      <c r="P601" s="6">
        <f>IF(D601="","",SUBSTITUTE(SUBSTITUTE(SUBSTITUTE(SUBSTITUTE(SUBSTITUTE(SUBSTITUTE(SUBSTITUTE(TRIM(D601),".",""),"/",""),"-","")," ",""),"(",""),")",""),"+",""))</f>
      </c>
      <c r="Q601" s="6">
        <f>IF(P601="","",IF(LEN(P601)&lt;&gt;14,"ERRO: "&amp;LEN(P601)&amp;" dígitos",IF(NOT(ISNUMBER(VALUE(P601))),"ERRO: não numérico",IF(LEN(SUBSTITUTE(P601,LEFT(P601,1),""))=0,"ERRO: dígitos repetidos",IF(AND(VALUE(MID(P601,13,1))=IF(MOD(SUMPRODUCT(--MID(P601,{1,2,3,4,5,6,7,8,9,10,11,12},1),{5,4,3,2,9,8,7,6,5,4,3,2}),11)&lt;2,0,11-MOD(SUMPRODUCT(--MID(P601,{1,2,3,4,5,6,7,8,9,10,11,12},1),{5,4,3,2,9,8,7,6,5,4,3,2}),11)),VALUE(MID(P601,14,1))=IF(MOD(SUMPRODUCT(--MID(P601,{1,2,3,4,5,6,7,8,9,10,11,12,13},1),{6,5,4,3,2,9,8,7,6,5,4,3,2}),11)&lt;2,0,11-MOD(SUMPRODUCT(--MID(P601,{1,2,3,4,5,6,7,8,9,10,11,12,13},1),{6,5,4,3,2,9,8,7,6,5,4,3,2}),11))),"OK","ERRO: dígito verificador")))))</f>
      </c>
      <c r="R601" s="6">
        <f>IF(P601="","",IF(COUNTIF($P$2:$P$1001,P601)&gt;1,"DUPLICADO","OK"))</f>
      </c>
      <c r="S601" s="6">
        <f>IF(AND(J601="",K601=""),"vazio",IF(AND(OR(J601="",LEN(SUBSTITUTE(SUBSTITUTE(SUBSTITUTE(SUBSTITUTE(SUBSTITUTE(SUBSTITUTE(SUBSTITUTE(TRIM(J601),".",""),"/",""),"-","")," ",""),"(",""),")",""),"+",""))=10,LEN(SUBSTITUTE(SUBSTITUTE(SUBSTITUTE(SUBSTITUTE(SUBSTITUTE(SUBSTITUTE(SUBSTITUTE(TRIM(J601),".",""),"/",""),"-","")," ",""),"(",""),")",""),"+",""))=11),OR(K601="",LEN(SUBSTITUTE(SUBSTITUTE(SUBSTITUTE(SUBSTITUTE(SUBSTITUTE(SUBSTITUTE(SUBSTITUTE(TRIM(K601),".",""),"/",""),"-","")," ",""),"(",""),")",""),"+",""))=10,LEN(SUBSTITUTE(SUBSTITUTE(SUBSTITUTE(SUBSTITUTE(SUBSTITUTE(SUBSTITUTE(SUBSTITUTE(TRIM(K601),".",""),"/",""),"-","")," ",""),"(",""),")",""),"+",""))=11)),"OK","ERRO: use DDD + número (10 ou 11 dígitos)"))</f>
      </c>
      <c r="T601" s="6">
        <f>IF(L601="","vazio",IF(AND(ISNUMBER(FIND("@",L601)),ISNUMBER(FIND(".",MID(L601,FIND("@",L601),99))),NOT(ISNUMBER(FIND(" ",TRIM(L601)))),NOT(ISNUMBER(FIND(";",L601))),NOT(ISNUMBER(FIND(",",L601)))),"OK","ERRO: um e-mail válido por linha"))</f>
      </c>
      <c r="U601" s="6">
        <f>IF(COUNTA(A601:O601)=0,"",IF(AND(B601&lt;&gt;"",C601&lt;&gt;"",D601&lt;&gt;"",E601&lt;&gt;"",H601&lt;&gt;"",OR(J601&lt;&gt;"",L601&lt;&gt;"")),"OK","ERRO: faltam "&amp;IF(B601="","Proprietário; ","")&amp;IF(C601="","Origem; ","")&amp;IF(D601="","CNPJ; ","")&amp;IF(E601="","Razão Social; ","")&amp;IF(H601="","Sobrenome; ","")&amp;IF(AND(J601="",L601=""),"telefone ou e-mail; ","")))</f>
      </c>
      <c r="V601" s="6">
        <f>IF(COUNTA(A601:O601)=0,"",IF(AND(Q601="OK",R601="OK",LEFT(S601,4)&lt;&gt;"ERRO",LEFT(T601,4)&lt;&gt;"ERRO",U601="OK"),"OK","REVISAR"))</f>
      </c>
    </row>
    <row r="602">
      <c r="A602" s="4"/>
      <c r="B602" s="5"/>
      <c r="C602" s="5"/>
      <c r="D602" s="5"/>
      <c r="E602" s="5"/>
      <c r="F602" s="4"/>
      <c r="G602" s="4"/>
      <c r="H602" s="5"/>
      <c r="I602" s="4"/>
      <c r="J602" s="4"/>
      <c r="K602" s="4"/>
      <c r="L602" s="4"/>
      <c r="M602" s="4"/>
      <c r="N602" s="4"/>
      <c r="O602" s="4"/>
      <c r="P602" s="6">
        <f>IF(D602="","",SUBSTITUTE(SUBSTITUTE(SUBSTITUTE(SUBSTITUTE(SUBSTITUTE(SUBSTITUTE(SUBSTITUTE(TRIM(D602),".",""),"/",""),"-","")," ",""),"(",""),")",""),"+",""))</f>
      </c>
      <c r="Q602" s="6">
        <f>IF(P602="","",IF(LEN(P602)&lt;&gt;14,"ERRO: "&amp;LEN(P602)&amp;" dígitos",IF(NOT(ISNUMBER(VALUE(P602))),"ERRO: não numérico",IF(LEN(SUBSTITUTE(P602,LEFT(P602,1),""))=0,"ERRO: dígitos repetidos",IF(AND(VALUE(MID(P602,13,1))=IF(MOD(SUMPRODUCT(--MID(P602,{1,2,3,4,5,6,7,8,9,10,11,12},1),{5,4,3,2,9,8,7,6,5,4,3,2}),11)&lt;2,0,11-MOD(SUMPRODUCT(--MID(P602,{1,2,3,4,5,6,7,8,9,10,11,12},1),{5,4,3,2,9,8,7,6,5,4,3,2}),11)),VALUE(MID(P602,14,1))=IF(MOD(SUMPRODUCT(--MID(P602,{1,2,3,4,5,6,7,8,9,10,11,12,13},1),{6,5,4,3,2,9,8,7,6,5,4,3,2}),11)&lt;2,0,11-MOD(SUMPRODUCT(--MID(P602,{1,2,3,4,5,6,7,8,9,10,11,12,13},1),{6,5,4,3,2,9,8,7,6,5,4,3,2}),11))),"OK","ERRO: dígito verificador")))))</f>
      </c>
      <c r="R602" s="6">
        <f>IF(P602="","",IF(COUNTIF($P$2:$P$1001,P602)&gt;1,"DUPLICADO","OK"))</f>
      </c>
      <c r="S602" s="6">
        <f>IF(AND(J602="",K602=""),"vazio",IF(AND(OR(J602="",LEN(SUBSTITUTE(SUBSTITUTE(SUBSTITUTE(SUBSTITUTE(SUBSTITUTE(SUBSTITUTE(SUBSTITUTE(TRIM(J602),".",""),"/",""),"-","")," ",""),"(",""),")",""),"+",""))=10,LEN(SUBSTITUTE(SUBSTITUTE(SUBSTITUTE(SUBSTITUTE(SUBSTITUTE(SUBSTITUTE(SUBSTITUTE(TRIM(J602),".",""),"/",""),"-","")," ",""),"(",""),")",""),"+",""))=11),OR(K602="",LEN(SUBSTITUTE(SUBSTITUTE(SUBSTITUTE(SUBSTITUTE(SUBSTITUTE(SUBSTITUTE(SUBSTITUTE(TRIM(K602),".",""),"/",""),"-","")," ",""),"(",""),")",""),"+",""))=10,LEN(SUBSTITUTE(SUBSTITUTE(SUBSTITUTE(SUBSTITUTE(SUBSTITUTE(SUBSTITUTE(SUBSTITUTE(TRIM(K602),".",""),"/",""),"-","")," ",""),"(",""),")",""),"+",""))=11)),"OK","ERRO: use DDD + número (10 ou 11 dígitos)"))</f>
      </c>
      <c r="T602" s="6">
        <f>IF(L602="","vazio",IF(AND(ISNUMBER(FIND("@",L602)),ISNUMBER(FIND(".",MID(L602,FIND("@",L602),99))),NOT(ISNUMBER(FIND(" ",TRIM(L602)))),NOT(ISNUMBER(FIND(";",L602))),NOT(ISNUMBER(FIND(",",L602)))),"OK","ERRO: um e-mail válido por linha"))</f>
      </c>
      <c r="U602" s="6">
        <f>IF(COUNTA(A602:O602)=0,"",IF(AND(B602&lt;&gt;"",C602&lt;&gt;"",D602&lt;&gt;"",E602&lt;&gt;"",H602&lt;&gt;"",OR(J602&lt;&gt;"",L602&lt;&gt;"")),"OK","ERRO: faltam "&amp;IF(B602="","Proprietário; ","")&amp;IF(C602="","Origem; ","")&amp;IF(D602="","CNPJ; ","")&amp;IF(E602="","Razão Social; ","")&amp;IF(H602="","Sobrenome; ","")&amp;IF(AND(J602="",L602=""),"telefone ou e-mail; ","")))</f>
      </c>
      <c r="V602" s="6">
        <f>IF(COUNTA(A602:O602)=0,"",IF(AND(Q602="OK",R602="OK",LEFT(S602,4)&lt;&gt;"ERRO",LEFT(T602,4)&lt;&gt;"ERRO",U602="OK"),"OK","REVISAR"))</f>
      </c>
    </row>
    <row r="603">
      <c r="A603" s="4"/>
      <c r="B603" s="5"/>
      <c r="C603" s="5"/>
      <c r="D603" s="5"/>
      <c r="E603" s="5"/>
      <c r="F603" s="4"/>
      <c r="G603" s="4"/>
      <c r="H603" s="5"/>
      <c r="I603" s="4"/>
      <c r="J603" s="4"/>
      <c r="K603" s="4"/>
      <c r="L603" s="4"/>
      <c r="M603" s="4"/>
      <c r="N603" s="4"/>
      <c r="O603" s="4"/>
      <c r="P603" s="6">
        <f>IF(D603="","",SUBSTITUTE(SUBSTITUTE(SUBSTITUTE(SUBSTITUTE(SUBSTITUTE(SUBSTITUTE(SUBSTITUTE(TRIM(D603),".",""),"/",""),"-","")," ",""),"(",""),")",""),"+",""))</f>
      </c>
      <c r="Q603" s="6">
        <f>IF(P603="","",IF(LEN(P603)&lt;&gt;14,"ERRO: "&amp;LEN(P603)&amp;" dígitos",IF(NOT(ISNUMBER(VALUE(P603))),"ERRO: não numérico",IF(LEN(SUBSTITUTE(P603,LEFT(P603,1),""))=0,"ERRO: dígitos repetidos",IF(AND(VALUE(MID(P603,13,1))=IF(MOD(SUMPRODUCT(--MID(P603,{1,2,3,4,5,6,7,8,9,10,11,12},1),{5,4,3,2,9,8,7,6,5,4,3,2}),11)&lt;2,0,11-MOD(SUMPRODUCT(--MID(P603,{1,2,3,4,5,6,7,8,9,10,11,12},1),{5,4,3,2,9,8,7,6,5,4,3,2}),11)),VALUE(MID(P603,14,1))=IF(MOD(SUMPRODUCT(--MID(P603,{1,2,3,4,5,6,7,8,9,10,11,12,13},1),{6,5,4,3,2,9,8,7,6,5,4,3,2}),11)&lt;2,0,11-MOD(SUMPRODUCT(--MID(P603,{1,2,3,4,5,6,7,8,9,10,11,12,13},1),{6,5,4,3,2,9,8,7,6,5,4,3,2}),11))),"OK","ERRO: dígito verificador")))))</f>
      </c>
      <c r="R603" s="6">
        <f>IF(P603="","",IF(COUNTIF($P$2:$P$1001,P603)&gt;1,"DUPLICADO","OK"))</f>
      </c>
      <c r="S603" s="6">
        <f>IF(AND(J603="",K603=""),"vazio",IF(AND(OR(J603="",LEN(SUBSTITUTE(SUBSTITUTE(SUBSTITUTE(SUBSTITUTE(SUBSTITUTE(SUBSTITUTE(SUBSTITUTE(TRIM(J603),".",""),"/",""),"-","")," ",""),"(",""),")",""),"+",""))=10,LEN(SUBSTITUTE(SUBSTITUTE(SUBSTITUTE(SUBSTITUTE(SUBSTITUTE(SUBSTITUTE(SUBSTITUTE(TRIM(J603),".",""),"/",""),"-","")," ",""),"(",""),")",""),"+",""))=11),OR(K603="",LEN(SUBSTITUTE(SUBSTITUTE(SUBSTITUTE(SUBSTITUTE(SUBSTITUTE(SUBSTITUTE(SUBSTITUTE(TRIM(K603),".",""),"/",""),"-","")," ",""),"(",""),")",""),"+",""))=10,LEN(SUBSTITUTE(SUBSTITUTE(SUBSTITUTE(SUBSTITUTE(SUBSTITUTE(SUBSTITUTE(SUBSTITUTE(TRIM(K603),".",""),"/",""),"-","")," ",""),"(",""),")",""),"+",""))=11)),"OK","ERRO: use DDD + número (10 ou 11 dígitos)"))</f>
      </c>
      <c r="T603" s="6">
        <f>IF(L603="","vazio",IF(AND(ISNUMBER(FIND("@",L603)),ISNUMBER(FIND(".",MID(L603,FIND("@",L603),99))),NOT(ISNUMBER(FIND(" ",TRIM(L603)))),NOT(ISNUMBER(FIND(";",L603))),NOT(ISNUMBER(FIND(",",L603)))),"OK","ERRO: um e-mail válido por linha"))</f>
      </c>
      <c r="U603" s="6">
        <f>IF(COUNTA(A603:O603)=0,"",IF(AND(B603&lt;&gt;"",C603&lt;&gt;"",D603&lt;&gt;"",E603&lt;&gt;"",H603&lt;&gt;"",OR(J603&lt;&gt;"",L603&lt;&gt;"")),"OK","ERRO: faltam "&amp;IF(B603="","Proprietário; ","")&amp;IF(C603="","Origem; ","")&amp;IF(D603="","CNPJ; ","")&amp;IF(E603="","Razão Social; ","")&amp;IF(H603="","Sobrenome; ","")&amp;IF(AND(J603="",L603=""),"telefone ou e-mail; ","")))</f>
      </c>
      <c r="V603" s="6">
        <f>IF(COUNTA(A603:O603)=0,"",IF(AND(Q603="OK",R603="OK",LEFT(S603,4)&lt;&gt;"ERRO",LEFT(T603,4)&lt;&gt;"ERRO",U603="OK"),"OK","REVISAR"))</f>
      </c>
    </row>
    <row r="604">
      <c r="A604" s="4"/>
      <c r="B604" s="5"/>
      <c r="C604" s="5"/>
      <c r="D604" s="5"/>
      <c r="E604" s="5"/>
      <c r="F604" s="4"/>
      <c r="G604" s="4"/>
      <c r="H604" s="5"/>
      <c r="I604" s="4"/>
      <c r="J604" s="4"/>
      <c r="K604" s="4"/>
      <c r="L604" s="4"/>
      <c r="M604" s="4"/>
      <c r="N604" s="4"/>
      <c r="O604" s="4"/>
      <c r="P604" s="6">
        <f>IF(D604="","",SUBSTITUTE(SUBSTITUTE(SUBSTITUTE(SUBSTITUTE(SUBSTITUTE(SUBSTITUTE(SUBSTITUTE(TRIM(D604),".",""),"/",""),"-","")," ",""),"(",""),")",""),"+",""))</f>
      </c>
      <c r="Q604" s="6">
        <f>IF(P604="","",IF(LEN(P604)&lt;&gt;14,"ERRO: "&amp;LEN(P604)&amp;" dígitos",IF(NOT(ISNUMBER(VALUE(P604))),"ERRO: não numérico",IF(LEN(SUBSTITUTE(P604,LEFT(P604,1),""))=0,"ERRO: dígitos repetidos",IF(AND(VALUE(MID(P604,13,1))=IF(MOD(SUMPRODUCT(--MID(P604,{1,2,3,4,5,6,7,8,9,10,11,12},1),{5,4,3,2,9,8,7,6,5,4,3,2}),11)&lt;2,0,11-MOD(SUMPRODUCT(--MID(P604,{1,2,3,4,5,6,7,8,9,10,11,12},1),{5,4,3,2,9,8,7,6,5,4,3,2}),11)),VALUE(MID(P604,14,1))=IF(MOD(SUMPRODUCT(--MID(P604,{1,2,3,4,5,6,7,8,9,10,11,12,13},1),{6,5,4,3,2,9,8,7,6,5,4,3,2}),11)&lt;2,0,11-MOD(SUMPRODUCT(--MID(P604,{1,2,3,4,5,6,7,8,9,10,11,12,13},1),{6,5,4,3,2,9,8,7,6,5,4,3,2}),11))),"OK","ERRO: dígito verificador")))))</f>
      </c>
      <c r="R604" s="6">
        <f>IF(P604="","",IF(COUNTIF($P$2:$P$1001,P604)&gt;1,"DUPLICADO","OK"))</f>
      </c>
      <c r="S604" s="6">
        <f>IF(AND(J604="",K604=""),"vazio",IF(AND(OR(J604="",LEN(SUBSTITUTE(SUBSTITUTE(SUBSTITUTE(SUBSTITUTE(SUBSTITUTE(SUBSTITUTE(SUBSTITUTE(TRIM(J604),".",""),"/",""),"-","")," ",""),"(",""),")",""),"+",""))=10,LEN(SUBSTITUTE(SUBSTITUTE(SUBSTITUTE(SUBSTITUTE(SUBSTITUTE(SUBSTITUTE(SUBSTITUTE(TRIM(J604),".",""),"/",""),"-","")," ",""),"(",""),")",""),"+",""))=11),OR(K604="",LEN(SUBSTITUTE(SUBSTITUTE(SUBSTITUTE(SUBSTITUTE(SUBSTITUTE(SUBSTITUTE(SUBSTITUTE(TRIM(K604),".",""),"/",""),"-","")," ",""),"(",""),")",""),"+",""))=10,LEN(SUBSTITUTE(SUBSTITUTE(SUBSTITUTE(SUBSTITUTE(SUBSTITUTE(SUBSTITUTE(SUBSTITUTE(TRIM(K604),".",""),"/",""),"-","")," ",""),"(",""),")",""),"+",""))=11)),"OK","ERRO: use DDD + número (10 ou 11 dígitos)"))</f>
      </c>
      <c r="T604" s="6">
        <f>IF(L604="","vazio",IF(AND(ISNUMBER(FIND("@",L604)),ISNUMBER(FIND(".",MID(L604,FIND("@",L604),99))),NOT(ISNUMBER(FIND(" ",TRIM(L604)))),NOT(ISNUMBER(FIND(";",L604))),NOT(ISNUMBER(FIND(",",L604)))),"OK","ERRO: um e-mail válido por linha"))</f>
      </c>
      <c r="U604" s="6">
        <f>IF(COUNTA(A604:O604)=0,"",IF(AND(B604&lt;&gt;"",C604&lt;&gt;"",D604&lt;&gt;"",E604&lt;&gt;"",H604&lt;&gt;"",OR(J604&lt;&gt;"",L604&lt;&gt;"")),"OK","ERRO: faltam "&amp;IF(B604="","Proprietário; ","")&amp;IF(C604="","Origem; ","")&amp;IF(D604="","CNPJ; ","")&amp;IF(E604="","Razão Social; ","")&amp;IF(H604="","Sobrenome; ","")&amp;IF(AND(J604="",L604=""),"telefone ou e-mail; ","")))</f>
      </c>
      <c r="V604" s="6">
        <f>IF(COUNTA(A604:O604)=0,"",IF(AND(Q604="OK",R604="OK",LEFT(S604,4)&lt;&gt;"ERRO",LEFT(T604,4)&lt;&gt;"ERRO",U604="OK"),"OK","REVISAR"))</f>
      </c>
    </row>
    <row r="605">
      <c r="A605" s="4"/>
      <c r="B605" s="5"/>
      <c r="C605" s="5"/>
      <c r="D605" s="5"/>
      <c r="E605" s="5"/>
      <c r="F605" s="4"/>
      <c r="G605" s="4"/>
      <c r="H605" s="5"/>
      <c r="I605" s="4"/>
      <c r="J605" s="4"/>
      <c r="K605" s="4"/>
      <c r="L605" s="4"/>
      <c r="M605" s="4"/>
      <c r="N605" s="4"/>
      <c r="O605" s="4"/>
      <c r="P605" s="6">
        <f>IF(D605="","",SUBSTITUTE(SUBSTITUTE(SUBSTITUTE(SUBSTITUTE(SUBSTITUTE(SUBSTITUTE(SUBSTITUTE(TRIM(D605),".",""),"/",""),"-","")," ",""),"(",""),")",""),"+",""))</f>
      </c>
      <c r="Q605" s="6">
        <f>IF(P605="","",IF(LEN(P605)&lt;&gt;14,"ERRO: "&amp;LEN(P605)&amp;" dígitos",IF(NOT(ISNUMBER(VALUE(P605))),"ERRO: não numérico",IF(LEN(SUBSTITUTE(P605,LEFT(P605,1),""))=0,"ERRO: dígitos repetidos",IF(AND(VALUE(MID(P605,13,1))=IF(MOD(SUMPRODUCT(--MID(P605,{1,2,3,4,5,6,7,8,9,10,11,12},1),{5,4,3,2,9,8,7,6,5,4,3,2}),11)&lt;2,0,11-MOD(SUMPRODUCT(--MID(P605,{1,2,3,4,5,6,7,8,9,10,11,12},1),{5,4,3,2,9,8,7,6,5,4,3,2}),11)),VALUE(MID(P605,14,1))=IF(MOD(SUMPRODUCT(--MID(P605,{1,2,3,4,5,6,7,8,9,10,11,12,13},1),{6,5,4,3,2,9,8,7,6,5,4,3,2}),11)&lt;2,0,11-MOD(SUMPRODUCT(--MID(P605,{1,2,3,4,5,6,7,8,9,10,11,12,13},1),{6,5,4,3,2,9,8,7,6,5,4,3,2}),11))),"OK","ERRO: dígito verificador")))))</f>
      </c>
      <c r="R605" s="6">
        <f>IF(P605="","",IF(COUNTIF($P$2:$P$1001,P605)&gt;1,"DUPLICADO","OK"))</f>
      </c>
      <c r="S605" s="6">
        <f>IF(AND(J605="",K605=""),"vazio",IF(AND(OR(J605="",LEN(SUBSTITUTE(SUBSTITUTE(SUBSTITUTE(SUBSTITUTE(SUBSTITUTE(SUBSTITUTE(SUBSTITUTE(TRIM(J605),".",""),"/",""),"-","")," ",""),"(",""),")",""),"+",""))=10,LEN(SUBSTITUTE(SUBSTITUTE(SUBSTITUTE(SUBSTITUTE(SUBSTITUTE(SUBSTITUTE(SUBSTITUTE(TRIM(J605),".",""),"/",""),"-","")," ",""),"(",""),")",""),"+",""))=11),OR(K605="",LEN(SUBSTITUTE(SUBSTITUTE(SUBSTITUTE(SUBSTITUTE(SUBSTITUTE(SUBSTITUTE(SUBSTITUTE(TRIM(K605),".",""),"/",""),"-","")," ",""),"(",""),")",""),"+",""))=10,LEN(SUBSTITUTE(SUBSTITUTE(SUBSTITUTE(SUBSTITUTE(SUBSTITUTE(SUBSTITUTE(SUBSTITUTE(TRIM(K605),".",""),"/",""),"-","")," ",""),"(",""),")",""),"+",""))=11)),"OK","ERRO: use DDD + número (10 ou 11 dígitos)"))</f>
      </c>
      <c r="T605" s="6">
        <f>IF(L605="","vazio",IF(AND(ISNUMBER(FIND("@",L605)),ISNUMBER(FIND(".",MID(L605,FIND("@",L605),99))),NOT(ISNUMBER(FIND(" ",TRIM(L605)))),NOT(ISNUMBER(FIND(";",L605))),NOT(ISNUMBER(FIND(",",L605)))),"OK","ERRO: um e-mail válido por linha"))</f>
      </c>
      <c r="U605" s="6">
        <f>IF(COUNTA(A605:O605)=0,"",IF(AND(B605&lt;&gt;"",C605&lt;&gt;"",D605&lt;&gt;"",E605&lt;&gt;"",H605&lt;&gt;"",OR(J605&lt;&gt;"",L605&lt;&gt;"")),"OK","ERRO: faltam "&amp;IF(B605="","Proprietário; ","")&amp;IF(C605="","Origem; ","")&amp;IF(D605="","CNPJ; ","")&amp;IF(E605="","Razão Social; ","")&amp;IF(H605="","Sobrenome; ","")&amp;IF(AND(J605="",L605=""),"telefone ou e-mail; ","")))</f>
      </c>
      <c r="V605" s="6">
        <f>IF(COUNTA(A605:O605)=0,"",IF(AND(Q605="OK",R605="OK",LEFT(S605,4)&lt;&gt;"ERRO",LEFT(T605,4)&lt;&gt;"ERRO",U605="OK"),"OK","REVISAR"))</f>
      </c>
    </row>
    <row r="606">
      <c r="A606" s="4"/>
      <c r="B606" s="5"/>
      <c r="C606" s="5"/>
      <c r="D606" s="5"/>
      <c r="E606" s="5"/>
      <c r="F606" s="4"/>
      <c r="G606" s="4"/>
      <c r="H606" s="5"/>
      <c r="I606" s="4"/>
      <c r="J606" s="4"/>
      <c r="K606" s="4"/>
      <c r="L606" s="4"/>
      <c r="M606" s="4"/>
      <c r="N606" s="4"/>
      <c r="O606" s="4"/>
      <c r="P606" s="6">
        <f>IF(D606="","",SUBSTITUTE(SUBSTITUTE(SUBSTITUTE(SUBSTITUTE(SUBSTITUTE(SUBSTITUTE(SUBSTITUTE(TRIM(D606),".",""),"/",""),"-","")," ",""),"(",""),")",""),"+",""))</f>
      </c>
      <c r="Q606" s="6">
        <f>IF(P606="","",IF(LEN(P606)&lt;&gt;14,"ERRO: "&amp;LEN(P606)&amp;" dígitos",IF(NOT(ISNUMBER(VALUE(P606))),"ERRO: não numérico",IF(LEN(SUBSTITUTE(P606,LEFT(P606,1),""))=0,"ERRO: dígitos repetidos",IF(AND(VALUE(MID(P606,13,1))=IF(MOD(SUMPRODUCT(--MID(P606,{1,2,3,4,5,6,7,8,9,10,11,12},1),{5,4,3,2,9,8,7,6,5,4,3,2}),11)&lt;2,0,11-MOD(SUMPRODUCT(--MID(P606,{1,2,3,4,5,6,7,8,9,10,11,12},1),{5,4,3,2,9,8,7,6,5,4,3,2}),11)),VALUE(MID(P606,14,1))=IF(MOD(SUMPRODUCT(--MID(P606,{1,2,3,4,5,6,7,8,9,10,11,12,13},1),{6,5,4,3,2,9,8,7,6,5,4,3,2}),11)&lt;2,0,11-MOD(SUMPRODUCT(--MID(P606,{1,2,3,4,5,6,7,8,9,10,11,12,13},1),{6,5,4,3,2,9,8,7,6,5,4,3,2}),11))),"OK","ERRO: dígito verificador")))))</f>
      </c>
      <c r="R606" s="6">
        <f>IF(P606="","",IF(COUNTIF($P$2:$P$1001,P606)&gt;1,"DUPLICADO","OK"))</f>
      </c>
      <c r="S606" s="6">
        <f>IF(AND(J606="",K606=""),"vazio",IF(AND(OR(J606="",LEN(SUBSTITUTE(SUBSTITUTE(SUBSTITUTE(SUBSTITUTE(SUBSTITUTE(SUBSTITUTE(SUBSTITUTE(TRIM(J606),".",""),"/",""),"-","")," ",""),"(",""),")",""),"+",""))=10,LEN(SUBSTITUTE(SUBSTITUTE(SUBSTITUTE(SUBSTITUTE(SUBSTITUTE(SUBSTITUTE(SUBSTITUTE(TRIM(J606),".",""),"/",""),"-","")," ",""),"(",""),")",""),"+",""))=11),OR(K606="",LEN(SUBSTITUTE(SUBSTITUTE(SUBSTITUTE(SUBSTITUTE(SUBSTITUTE(SUBSTITUTE(SUBSTITUTE(TRIM(K606),".",""),"/",""),"-","")," ",""),"(",""),")",""),"+",""))=10,LEN(SUBSTITUTE(SUBSTITUTE(SUBSTITUTE(SUBSTITUTE(SUBSTITUTE(SUBSTITUTE(SUBSTITUTE(TRIM(K606),".",""),"/",""),"-","")," ",""),"(",""),")",""),"+",""))=11)),"OK","ERRO: use DDD + número (10 ou 11 dígitos)"))</f>
      </c>
      <c r="T606" s="6">
        <f>IF(L606="","vazio",IF(AND(ISNUMBER(FIND("@",L606)),ISNUMBER(FIND(".",MID(L606,FIND("@",L606),99))),NOT(ISNUMBER(FIND(" ",TRIM(L606)))),NOT(ISNUMBER(FIND(";",L606))),NOT(ISNUMBER(FIND(",",L606)))),"OK","ERRO: um e-mail válido por linha"))</f>
      </c>
      <c r="U606" s="6">
        <f>IF(COUNTA(A606:O606)=0,"",IF(AND(B606&lt;&gt;"",C606&lt;&gt;"",D606&lt;&gt;"",E606&lt;&gt;"",H606&lt;&gt;"",OR(J606&lt;&gt;"",L606&lt;&gt;"")),"OK","ERRO: faltam "&amp;IF(B606="","Proprietário; ","")&amp;IF(C606="","Origem; ","")&amp;IF(D606="","CNPJ; ","")&amp;IF(E606="","Razão Social; ","")&amp;IF(H606="","Sobrenome; ","")&amp;IF(AND(J606="",L606=""),"telefone ou e-mail; ","")))</f>
      </c>
      <c r="V606" s="6">
        <f>IF(COUNTA(A606:O606)=0,"",IF(AND(Q606="OK",R606="OK",LEFT(S606,4)&lt;&gt;"ERRO",LEFT(T606,4)&lt;&gt;"ERRO",U606="OK"),"OK","REVISAR"))</f>
      </c>
    </row>
    <row r="607">
      <c r="A607" s="4"/>
      <c r="B607" s="5"/>
      <c r="C607" s="5"/>
      <c r="D607" s="5"/>
      <c r="E607" s="5"/>
      <c r="F607" s="4"/>
      <c r="G607" s="4"/>
      <c r="H607" s="5"/>
      <c r="I607" s="4"/>
      <c r="J607" s="4"/>
      <c r="K607" s="4"/>
      <c r="L607" s="4"/>
      <c r="M607" s="4"/>
      <c r="N607" s="4"/>
      <c r="O607" s="4"/>
      <c r="P607" s="6">
        <f>IF(D607="","",SUBSTITUTE(SUBSTITUTE(SUBSTITUTE(SUBSTITUTE(SUBSTITUTE(SUBSTITUTE(SUBSTITUTE(TRIM(D607),".",""),"/",""),"-","")," ",""),"(",""),")",""),"+",""))</f>
      </c>
      <c r="Q607" s="6">
        <f>IF(P607="","",IF(LEN(P607)&lt;&gt;14,"ERRO: "&amp;LEN(P607)&amp;" dígitos",IF(NOT(ISNUMBER(VALUE(P607))),"ERRO: não numérico",IF(LEN(SUBSTITUTE(P607,LEFT(P607,1),""))=0,"ERRO: dígitos repetidos",IF(AND(VALUE(MID(P607,13,1))=IF(MOD(SUMPRODUCT(--MID(P607,{1,2,3,4,5,6,7,8,9,10,11,12},1),{5,4,3,2,9,8,7,6,5,4,3,2}),11)&lt;2,0,11-MOD(SUMPRODUCT(--MID(P607,{1,2,3,4,5,6,7,8,9,10,11,12},1),{5,4,3,2,9,8,7,6,5,4,3,2}),11)),VALUE(MID(P607,14,1))=IF(MOD(SUMPRODUCT(--MID(P607,{1,2,3,4,5,6,7,8,9,10,11,12,13},1),{6,5,4,3,2,9,8,7,6,5,4,3,2}),11)&lt;2,0,11-MOD(SUMPRODUCT(--MID(P607,{1,2,3,4,5,6,7,8,9,10,11,12,13},1),{6,5,4,3,2,9,8,7,6,5,4,3,2}),11))),"OK","ERRO: dígito verificador")))))</f>
      </c>
      <c r="R607" s="6">
        <f>IF(P607="","",IF(COUNTIF($P$2:$P$1001,P607)&gt;1,"DUPLICADO","OK"))</f>
      </c>
      <c r="S607" s="6">
        <f>IF(AND(J607="",K607=""),"vazio",IF(AND(OR(J607="",LEN(SUBSTITUTE(SUBSTITUTE(SUBSTITUTE(SUBSTITUTE(SUBSTITUTE(SUBSTITUTE(SUBSTITUTE(TRIM(J607),".",""),"/",""),"-","")," ",""),"(",""),")",""),"+",""))=10,LEN(SUBSTITUTE(SUBSTITUTE(SUBSTITUTE(SUBSTITUTE(SUBSTITUTE(SUBSTITUTE(SUBSTITUTE(TRIM(J607),".",""),"/",""),"-","")," ",""),"(",""),")",""),"+",""))=11),OR(K607="",LEN(SUBSTITUTE(SUBSTITUTE(SUBSTITUTE(SUBSTITUTE(SUBSTITUTE(SUBSTITUTE(SUBSTITUTE(TRIM(K607),".",""),"/",""),"-","")," ",""),"(",""),")",""),"+",""))=10,LEN(SUBSTITUTE(SUBSTITUTE(SUBSTITUTE(SUBSTITUTE(SUBSTITUTE(SUBSTITUTE(SUBSTITUTE(TRIM(K607),".",""),"/",""),"-","")," ",""),"(",""),")",""),"+",""))=11)),"OK","ERRO: use DDD + número (10 ou 11 dígitos)"))</f>
      </c>
      <c r="T607" s="6">
        <f>IF(L607="","vazio",IF(AND(ISNUMBER(FIND("@",L607)),ISNUMBER(FIND(".",MID(L607,FIND("@",L607),99))),NOT(ISNUMBER(FIND(" ",TRIM(L607)))),NOT(ISNUMBER(FIND(";",L607))),NOT(ISNUMBER(FIND(",",L607)))),"OK","ERRO: um e-mail válido por linha"))</f>
      </c>
      <c r="U607" s="6">
        <f>IF(COUNTA(A607:O607)=0,"",IF(AND(B607&lt;&gt;"",C607&lt;&gt;"",D607&lt;&gt;"",E607&lt;&gt;"",H607&lt;&gt;"",OR(J607&lt;&gt;"",L607&lt;&gt;"")),"OK","ERRO: faltam "&amp;IF(B607="","Proprietário; ","")&amp;IF(C607="","Origem; ","")&amp;IF(D607="","CNPJ; ","")&amp;IF(E607="","Razão Social; ","")&amp;IF(H607="","Sobrenome; ","")&amp;IF(AND(J607="",L607=""),"telefone ou e-mail; ","")))</f>
      </c>
      <c r="V607" s="6">
        <f>IF(COUNTA(A607:O607)=0,"",IF(AND(Q607="OK",R607="OK",LEFT(S607,4)&lt;&gt;"ERRO",LEFT(T607,4)&lt;&gt;"ERRO",U607="OK"),"OK","REVISAR"))</f>
      </c>
    </row>
    <row r="608">
      <c r="A608" s="4"/>
      <c r="B608" s="5"/>
      <c r="C608" s="5"/>
      <c r="D608" s="5"/>
      <c r="E608" s="5"/>
      <c r="F608" s="4"/>
      <c r="G608" s="4"/>
      <c r="H608" s="5"/>
      <c r="I608" s="4"/>
      <c r="J608" s="4"/>
      <c r="K608" s="4"/>
      <c r="L608" s="4"/>
      <c r="M608" s="4"/>
      <c r="N608" s="4"/>
      <c r="O608" s="4"/>
      <c r="P608" s="6">
        <f>IF(D608="","",SUBSTITUTE(SUBSTITUTE(SUBSTITUTE(SUBSTITUTE(SUBSTITUTE(SUBSTITUTE(SUBSTITUTE(TRIM(D608),".",""),"/",""),"-","")," ",""),"(",""),")",""),"+",""))</f>
      </c>
      <c r="Q608" s="6">
        <f>IF(P608="","",IF(LEN(P608)&lt;&gt;14,"ERRO: "&amp;LEN(P608)&amp;" dígitos",IF(NOT(ISNUMBER(VALUE(P608))),"ERRO: não numérico",IF(LEN(SUBSTITUTE(P608,LEFT(P608,1),""))=0,"ERRO: dígitos repetidos",IF(AND(VALUE(MID(P608,13,1))=IF(MOD(SUMPRODUCT(--MID(P608,{1,2,3,4,5,6,7,8,9,10,11,12},1),{5,4,3,2,9,8,7,6,5,4,3,2}),11)&lt;2,0,11-MOD(SUMPRODUCT(--MID(P608,{1,2,3,4,5,6,7,8,9,10,11,12},1),{5,4,3,2,9,8,7,6,5,4,3,2}),11)),VALUE(MID(P608,14,1))=IF(MOD(SUMPRODUCT(--MID(P608,{1,2,3,4,5,6,7,8,9,10,11,12,13},1),{6,5,4,3,2,9,8,7,6,5,4,3,2}),11)&lt;2,0,11-MOD(SUMPRODUCT(--MID(P608,{1,2,3,4,5,6,7,8,9,10,11,12,13},1),{6,5,4,3,2,9,8,7,6,5,4,3,2}),11))),"OK","ERRO: dígito verificador")))))</f>
      </c>
      <c r="R608" s="6">
        <f>IF(P608="","",IF(COUNTIF($P$2:$P$1001,P608)&gt;1,"DUPLICADO","OK"))</f>
      </c>
      <c r="S608" s="6">
        <f>IF(AND(J608="",K608=""),"vazio",IF(AND(OR(J608="",LEN(SUBSTITUTE(SUBSTITUTE(SUBSTITUTE(SUBSTITUTE(SUBSTITUTE(SUBSTITUTE(SUBSTITUTE(TRIM(J608),".",""),"/",""),"-","")," ",""),"(",""),")",""),"+",""))=10,LEN(SUBSTITUTE(SUBSTITUTE(SUBSTITUTE(SUBSTITUTE(SUBSTITUTE(SUBSTITUTE(SUBSTITUTE(TRIM(J608),".",""),"/",""),"-","")," ",""),"(",""),")",""),"+",""))=11),OR(K608="",LEN(SUBSTITUTE(SUBSTITUTE(SUBSTITUTE(SUBSTITUTE(SUBSTITUTE(SUBSTITUTE(SUBSTITUTE(TRIM(K608),".",""),"/",""),"-","")," ",""),"(",""),")",""),"+",""))=10,LEN(SUBSTITUTE(SUBSTITUTE(SUBSTITUTE(SUBSTITUTE(SUBSTITUTE(SUBSTITUTE(SUBSTITUTE(TRIM(K608),".",""),"/",""),"-","")," ",""),"(",""),")",""),"+",""))=11)),"OK","ERRO: use DDD + número (10 ou 11 dígitos)"))</f>
      </c>
      <c r="T608" s="6">
        <f>IF(L608="","vazio",IF(AND(ISNUMBER(FIND("@",L608)),ISNUMBER(FIND(".",MID(L608,FIND("@",L608),99))),NOT(ISNUMBER(FIND(" ",TRIM(L608)))),NOT(ISNUMBER(FIND(";",L608))),NOT(ISNUMBER(FIND(",",L608)))),"OK","ERRO: um e-mail válido por linha"))</f>
      </c>
      <c r="U608" s="6">
        <f>IF(COUNTA(A608:O608)=0,"",IF(AND(B608&lt;&gt;"",C608&lt;&gt;"",D608&lt;&gt;"",E608&lt;&gt;"",H608&lt;&gt;"",OR(J608&lt;&gt;"",L608&lt;&gt;"")),"OK","ERRO: faltam "&amp;IF(B608="","Proprietário; ","")&amp;IF(C608="","Origem; ","")&amp;IF(D608="","CNPJ; ","")&amp;IF(E608="","Razão Social; ","")&amp;IF(H608="","Sobrenome; ","")&amp;IF(AND(J608="",L608=""),"telefone ou e-mail; ","")))</f>
      </c>
      <c r="V608" s="6">
        <f>IF(COUNTA(A608:O608)=0,"",IF(AND(Q608="OK",R608="OK",LEFT(S608,4)&lt;&gt;"ERRO",LEFT(T608,4)&lt;&gt;"ERRO",U608="OK"),"OK","REVISAR"))</f>
      </c>
    </row>
    <row r="609">
      <c r="A609" s="4"/>
      <c r="B609" s="5"/>
      <c r="C609" s="5"/>
      <c r="D609" s="5"/>
      <c r="E609" s="5"/>
      <c r="F609" s="4"/>
      <c r="G609" s="4"/>
      <c r="H609" s="5"/>
      <c r="I609" s="4"/>
      <c r="J609" s="4"/>
      <c r="K609" s="4"/>
      <c r="L609" s="4"/>
      <c r="M609" s="4"/>
      <c r="N609" s="4"/>
      <c r="O609" s="4"/>
      <c r="P609" s="6">
        <f>IF(D609="","",SUBSTITUTE(SUBSTITUTE(SUBSTITUTE(SUBSTITUTE(SUBSTITUTE(SUBSTITUTE(SUBSTITUTE(TRIM(D609),".",""),"/",""),"-","")," ",""),"(",""),")",""),"+",""))</f>
      </c>
      <c r="Q609" s="6">
        <f>IF(P609="","",IF(LEN(P609)&lt;&gt;14,"ERRO: "&amp;LEN(P609)&amp;" dígitos",IF(NOT(ISNUMBER(VALUE(P609))),"ERRO: não numérico",IF(LEN(SUBSTITUTE(P609,LEFT(P609,1),""))=0,"ERRO: dígitos repetidos",IF(AND(VALUE(MID(P609,13,1))=IF(MOD(SUMPRODUCT(--MID(P609,{1,2,3,4,5,6,7,8,9,10,11,12},1),{5,4,3,2,9,8,7,6,5,4,3,2}),11)&lt;2,0,11-MOD(SUMPRODUCT(--MID(P609,{1,2,3,4,5,6,7,8,9,10,11,12},1),{5,4,3,2,9,8,7,6,5,4,3,2}),11)),VALUE(MID(P609,14,1))=IF(MOD(SUMPRODUCT(--MID(P609,{1,2,3,4,5,6,7,8,9,10,11,12,13},1),{6,5,4,3,2,9,8,7,6,5,4,3,2}),11)&lt;2,0,11-MOD(SUMPRODUCT(--MID(P609,{1,2,3,4,5,6,7,8,9,10,11,12,13},1),{6,5,4,3,2,9,8,7,6,5,4,3,2}),11))),"OK","ERRO: dígito verificador")))))</f>
      </c>
      <c r="R609" s="6">
        <f>IF(P609="","",IF(COUNTIF($P$2:$P$1001,P609)&gt;1,"DUPLICADO","OK"))</f>
      </c>
      <c r="S609" s="6">
        <f>IF(AND(J609="",K609=""),"vazio",IF(AND(OR(J609="",LEN(SUBSTITUTE(SUBSTITUTE(SUBSTITUTE(SUBSTITUTE(SUBSTITUTE(SUBSTITUTE(SUBSTITUTE(TRIM(J609),".",""),"/",""),"-","")," ",""),"(",""),")",""),"+",""))=10,LEN(SUBSTITUTE(SUBSTITUTE(SUBSTITUTE(SUBSTITUTE(SUBSTITUTE(SUBSTITUTE(SUBSTITUTE(TRIM(J609),".",""),"/",""),"-","")," ",""),"(",""),")",""),"+",""))=11),OR(K609="",LEN(SUBSTITUTE(SUBSTITUTE(SUBSTITUTE(SUBSTITUTE(SUBSTITUTE(SUBSTITUTE(SUBSTITUTE(TRIM(K609),".",""),"/",""),"-","")," ",""),"(",""),")",""),"+",""))=10,LEN(SUBSTITUTE(SUBSTITUTE(SUBSTITUTE(SUBSTITUTE(SUBSTITUTE(SUBSTITUTE(SUBSTITUTE(TRIM(K609),".",""),"/",""),"-","")," ",""),"(",""),")",""),"+",""))=11)),"OK","ERRO: use DDD + número (10 ou 11 dígitos)"))</f>
      </c>
      <c r="T609" s="6">
        <f>IF(L609="","vazio",IF(AND(ISNUMBER(FIND("@",L609)),ISNUMBER(FIND(".",MID(L609,FIND("@",L609),99))),NOT(ISNUMBER(FIND(" ",TRIM(L609)))),NOT(ISNUMBER(FIND(";",L609))),NOT(ISNUMBER(FIND(",",L609)))),"OK","ERRO: um e-mail válido por linha"))</f>
      </c>
      <c r="U609" s="6">
        <f>IF(COUNTA(A609:O609)=0,"",IF(AND(B609&lt;&gt;"",C609&lt;&gt;"",D609&lt;&gt;"",E609&lt;&gt;"",H609&lt;&gt;"",OR(J609&lt;&gt;"",L609&lt;&gt;"")),"OK","ERRO: faltam "&amp;IF(B609="","Proprietário; ","")&amp;IF(C609="","Origem; ","")&amp;IF(D609="","CNPJ; ","")&amp;IF(E609="","Razão Social; ","")&amp;IF(H609="","Sobrenome; ","")&amp;IF(AND(J609="",L609=""),"telefone ou e-mail; ","")))</f>
      </c>
      <c r="V609" s="6">
        <f>IF(COUNTA(A609:O609)=0,"",IF(AND(Q609="OK",R609="OK",LEFT(S609,4)&lt;&gt;"ERRO",LEFT(T609,4)&lt;&gt;"ERRO",U609="OK"),"OK","REVISAR"))</f>
      </c>
    </row>
    <row r="610">
      <c r="A610" s="4"/>
      <c r="B610" s="5"/>
      <c r="C610" s="5"/>
      <c r="D610" s="5"/>
      <c r="E610" s="5"/>
      <c r="F610" s="4"/>
      <c r="G610" s="4"/>
      <c r="H610" s="5"/>
      <c r="I610" s="4"/>
      <c r="J610" s="4"/>
      <c r="K610" s="4"/>
      <c r="L610" s="4"/>
      <c r="M610" s="4"/>
      <c r="N610" s="4"/>
      <c r="O610" s="4"/>
      <c r="P610" s="6">
        <f>IF(D610="","",SUBSTITUTE(SUBSTITUTE(SUBSTITUTE(SUBSTITUTE(SUBSTITUTE(SUBSTITUTE(SUBSTITUTE(TRIM(D610),".",""),"/",""),"-","")," ",""),"(",""),")",""),"+",""))</f>
      </c>
      <c r="Q610" s="6">
        <f>IF(P610="","",IF(LEN(P610)&lt;&gt;14,"ERRO: "&amp;LEN(P610)&amp;" dígitos",IF(NOT(ISNUMBER(VALUE(P610))),"ERRO: não numérico",IF(LEN(SUBSTITUTE(P610,LEFT(P610,1),""))=0,"ERRO: dígitos repetidos",IF(AND(VALUE(MID(P610,13,1))=IF(MOD(SUMPRODUCT(--MID(P610,{1,2,3,4,5,6,7,8,9,10,11,12},1),{5,4,3,2,9,8,7,6,5,4,3,2}),11)&lt;2,0,11-MOD(SUMPRODUCT(--MID(P610,{1,2,3,4,5,6,7,8,9,10,11,12},1),{5,4,3,2,9,8,7,6,5,4,3,2}),11)),VALUE(MID(P610,14,1))=IF(MOD(SUMPRODUCT(--MID(P610,{1,2,3,4,5,6,7,8,9,10,11,12,13},1),{6,5,4,3,2,9,8,7,6,5,4,3,2}),11)&lt;2,0,11-MOD(SUMPRODUCT(--MID(P610,{1,2,3,4,5,6,7,8,9,10,11,12,13},1),{6,5,4,3,2,9,8,7,6,5,4,3,2}),11))),"OK","ERRO: dígito verificador")))))</f>
      </c>
      <c r="R610" s="6">
        <f>IF(P610="","",IF(COUNTIF($P$2:$P$1001,P610)&gt;1,"DUPLICADO","OK"))</f>
      </c>
      <c r="S610" s="6">
        <f>IF(AND(J610="",K610=""),"vazio",IF(AND(OR(J610="",LEN(SUBSTITUTE(SUBSTITUTE(SUBSTITUTE(SUBSTITUTE(SUBSTITUTE(SUBSTITUTE(SUBSTITUTE(TRIM(J610),".",""),"/",""),"-","")," ",""),"(",""),")",""),"+",""))=10,LEN(SUBSTITUTE(SUBSTITUTE(SUBSTITUTE(SUBSTITUTE(SUBSTITUTE(SUBSTITUTE(SUBSTITUTE(TRIM(J610),".",""),"/",""),"-","")," ",""),"(",""),")",""),"+",""))=11),OR(K610="",LEN(SUBSTITUTE(SUBSTITUTE(SUBSTITUTE(SUBSTITUTE(SUBSTITUTE(SUBSTITUTE(SUBSTITUTE(TRIM(K610),".",""),"/",""),"-","")," ",""),"(",""),")",""),"+",""))=10,LEN(SUBSTITUTE(SUBSTITUTE(SUBSTITUTE(SUBSTITUTE(SUBSTITUTE(SUBSTITUTE(SUBSTITUTE(TRIM(K610),".",""),"/",""),"-","")," ",""),"(",""),")",""),"+",""))=11)),"OK","ERRO: use DDD + número (10 ou 11 dígitos)"))</f>
      </c>
      <c r="T610" s="6">
        <f>IF(L610="","vazio",IF(AND(ISNUMBER(FIND("@",L610)),ISNUMBER(FIND(".",MID(L610,FIND("@",L610),99))),NOT(ISNUMBER(FIND(" ",TRIM(L610)))),NOT(ISNUMBER(FIND(";",L610))),NOT(ISNUMBER(FIND(",",L610)))),"OK","ERRO: um e-mail válido por linha"))</f>
      </c>
      <c r="U610" s="6">
        <f>IF(COUNTA(A610:O610)=0,"",IF(AND(B610&lt;&gt;"",C610&lt;&gt;"",D610&lt;&gt;"",E610&lt;&gt;"",H610&lt;&gt;"",OR(J610&lt;&gt;"",L610&lt;&gt;"")),"OK","ERRO: faltam "&amp;IF(B610="","Proprietário; ","")&amp;IF(C610="","Origem; ","")&amp;IF(D610="","CNPJ; ","")&amp;IF(E610="","Razão Social; ","")&amp;IF(H610="","Sobrenome; ","")&amp;IF(AND(J610="",L610=""),"telefone ou e-mail; ","")))</f>
      </c>
      <c r="V610" s="6">
        <f>IF(COUNTA(A610:O610)=0,"",IF(AND(Q610="OK",R610="OK",LEFT(S610,4)&lt;&gt;"ERRO",LEFT(T610,4)&lt;&gt;"ERRO",U610="OK"),"OK","REVISAR"))</f>
      </c>
    </row>
    <row r="611">
      <c r="A611" s="4"/>
      <c r="B611" s="5"/>
      <c r="C611" s="5"/>
      <c r="D611" s="5"/>
      <c r="E611" s="5"/>
      <c r="F611" s="4"/>
      <c r="G611" s="4"/>
      <c r="H611" s="5"/>
      <c r="I611" s="4"/>
      <c r="J611" s="4"/>
      <c r="K611" s="4"/>
      <c r="L611" s="4"/>
      <c r="M611" s="4"/>
      <c r="N611" s="4"/>
      <c r="O611" s="4"/>
      <c r="P611" s="6">
        <f>IF(D611="","",SUBSTITUTE(SUBSTITUTE(SUBSTITUTE(SUBSTITUTE(SUBSTITUTE(SUBSTITUTE(SUBSTITUTE(TRIM(D611),".",""),"/",""),"-","")," ",""),"(",""),")",""),"+",""))</f>
      </c>
      <c r="Q611" s="6">
        <f>IF(P611="","",IF(LEN(P611)&lt;&gt;14,"ERRO: "&amp;LEN(P611)&amp;" dígitos",IF(NOT(ISNUMBER(VALUE(P611))),"ERRO: não numérico",IF(LEN(SUBSTITUTE(P611,LEFT(P611,1),""))=0,"ERRO: dígitos repetidos",IF(AND(VALUE(MID(P611,13,1))=IF(MOD(SUMPRODUCT(--MID(P611,{1,2,3,4,5,6,7,8,9,10,11,12},1),{5,4,3,2,9,8,7,6,5,4,3,2}),11)&lt;2,0,11-MOD(SUMPRODUCT(--MID(P611,{1,2,3,4,5,6,7,8,9,10,11,12},1),{5,4,3,2,9,8,7,6,5,4,3,2}),11)),VALUE(MID(P611,14,1))=IF(MOD(SUMPRODUCT(--MID(P611,{1,2,3,4,5,6,7,8,9,10,11,12,13},1),{6,5,4,3,2,9,8,7,6,5,4,3,2}),11)&lt;2,0,11-MOD(SUMPRODUCT(--MID(P611,{1,2,3,4,5,6,7,8,9,10,11,12,13},1),{6,5,4,3,2,9,8,7,6,5,4,3,2}),11))),"OK","ERRO: dígito verificador")))))</f>
      </c>
      <c r="R611" s="6">
        <f>IF(P611="","",IF(COUNTIF($P$2:$P$1001,P611)&gt;1,"DUPLICADO","OK"))</f>
      </c>
      <c r="S611" s="6">
        <f>IF(AND(J611="",K611=""),"vazio",IF(AND(OR(J611="",LEN(SUBSTITUTE(SUBSTITUTE(SUBSTITUTE(SUBSTITUTE(SUBSTITUTE(SUBSTITUTE(SUBSTITUTE(TRIM(J611),".",""),"/",""),"-","")," ",""),"(",""),")",""),"+",""))=10,LEN(SUBSTITUTE(SUBSTITUTE(SUBSTITUTE(SUBSTITUTE(SUBSTITUTE(SUBSTITUTE(SUBSTITUTE(TRIM(J611),".",""),"/",""),"-","")," ",""),"(",""),")",""),"+",""))=11),OR(K611="",LEN(SUBSTITUTE(SUBSTITUTE(SUBSTITUTE(SUBSTITUTE(SUBSTITUTE(SUBSTITUTE(SUBSTITUTE(TRIM(K611),".",""),"/",""),"-","")," ",""),"(",""),")",""),"+",""))=10,LEN(SUBSTITUTE(SUBSTITUTE(SUBSTITUTE(SUBSTITUTE(SUBSTITUTE(SUBSTITUTE(SUBSTITUTE(TRIM(K611),".",""),"/",""),"-","")," ",""),"(",""),")",""),"+",""))=11)),"OK","ERRO: use DDD + número (10 ou 11 dígitos)"))</f>
      </c>
      <c r="T611" s="6">
        <f>IF(L611="","vazio",IF(AND(ISNUMBER(FIND("@",L611)),ISNUMBER(FIND(".",MID(L611,FIND("@",L611),99))),NOT(ISNUMBER(FIND(" ",TRIM(L611)))),NOT(ISNUMBER(FIND(";",L611))),NOT(ISNUMBER(FIND(",",L611)))),"OK","ERRO: um e-mail válido por linha"))</f>
      </c>
      <c r="U611" s="6">
        <f>IF(COUNTA(A611:O611)=0,"",IF(AND(B611&lt;&gt;"",C611&lt;&gt;"",D611&lt;&gt;"",E611&lt;&gt;"",H611&lt;&gt;"",OR(J611&lt;&gt;"",L611&lt;&gt;"")),"OK","ERRO: faltam "&amp;IF(B611="","Proprietário; ","")&amp;IF(C611="","Origem; ","")&amp;IF(D611="","CNPJ; ","")&amp;IF(E611="","Razão Social; ","")&amp;IF(H611="","Sobrenome; ","")&amp;IF(AND(J611="",L611=""),"telefone ou e-mail; ","")))</f>
      </c>
      <c r="V611" s="6">
        <f>IF(COUNTA(A611:O611)=0,"",IF(AND(Q611="OK",R611="OK",LEFT(S611,4)&lt;&gt;"ERRO",LEFT(T611,4)&lt;&gt;"ERRO",U611="OK"),"OK","REVISAR"))</f>
      </c>
    </row>
    <row r="612">
      <c r="A612" s="4"/>
      <c r="B612" s="5"/>
      <c r="C612" s="5"/>
      <c r="D612" s="5"/>
      <c r="E612" s="5"/>
      <c r="F612" s="4"/>
      <c r="G612" s="4"/>
      <c r="H612" s="5"/>
      <c r="I612" s="4"/>
      <c r="J612" s="4"/>
      <c r="K612" s="4"/>
      <c r="L612" s="4"/>
      <c r="M612" s="4"/>
      <c r="N612" s="4"/>
      <c r="O612" s="4"/>
      <c r="P612" s="6">
        <f>IF(D612="","",SUBSTITUTE(SUBSTITUTE(SUBSTITUTE(SUBSTITUTE(SUBSTITUTE(SUBSTITUTE(SUBSTITUTE(TRIM(D612),".",""),"/",""),"-","")," ",""),"(",""),")",""),"+",""))</f>
      </c>
      <c r="Q612" s="6">
        <f>IF(P612="","",IF(LEN(P612)&lt;&gt;14,"ERRO: "&amp;LEN(P612)&amp;" dígitos",IF(NOT(ISNUMBER(VALUE(P612))),"ERRO: não numérico",IF(LEN(SUBSTITUTE(P612,LEFT(P612,1),""))=0,"ERRO: dígitos repetidos",IF(AND(VALUE(MID(P612,13,1))=IF(MOD(SUMPRODUCT(--MID(P612,{1,2,3,4,5,6,7,8,9,10,11,12},1),{5,4,3,2,9,8,7,6,5,4,3,2}),11)&lt;2,0,11-MOD(SUMPRODUCT(--MID(P612,{1,2,3,4,5,6,7,8,9,10,11,12},1),{5,4,3,2,9,8,7,6,5,4,3,2}),11)),VALUE(MID(P612,14,1))=IF(MOD(SUMPRODUCT(--MID(P612,{1,2,3,4,5,6,7,8,9,10,11,12,13},1),{6,5,4,3,2,9,8,7,6,5,4,3,2}),11)&lt;2,0,11-MOD(SUMPRODUCT(--MID(P612,{1,2,3,4,5,6,7,8,9,10,11,12,13},1),{6,5,4,3,2,9,8,7,6,5,4,3,2}),11))),"OK","ERRO: dígito verificador")))))</f>
      </c>
      <c r="R612" s="6">
        <f>IF(P612="","",IF(COUNTIF($P$2:$P$1001,P612)&gt;1,"DUPLICADO","OK"))</f>
      </c>
      <c r="S612" s="6">
        <f>IF(AND(J612="",K612=""),"vazio",IF(AND(OR(J612="",LEN(SUBSTITUTE(SUBSTITUTE(SUBSTITUTE(SUBSTITUTE(SUBSTITUTE(SUBSTITUTE(SUBSTITUTE(TRIM(J612),".",""),"/",""),"-","")," ",""),"(",""),")",""),"+",""))=10,LEN(SUBSTITUTE(SUBSTITUTE(SUBSTITUTE(SUBSTITUTE(SUBSTITUTE(SUBSTITUTE(SUBSTITUTE(TRIM(J612),".",""),"/",""),"-","")," ",""),"(",""),")",""),"+",""))=11),OR(K612="",LEN(SUBSTITUTE(SUBSTITUTE(SUBSTITUTE(SUBSTITUTE(SUBSTITUTE(SUBSTITUTE(SUBSTITUTE(TRIM(K612),".",""),"/",""),"-","")," ",""),"(",""),")",""),"+",""))=10,LEN(SUBSTITUTE(SUBSTITUTE(SUBSTITUTE(SUBSTITUTE(SUBSTITUTE(SUBSTITUTE(SUBSTITUTE(TRIM(K612),".",""),"/",""),"-","")," ",""),"(",""),")",""),"+",""))=11)),"OK","ERRO: use DDD + número (10 ou 11 dígitos)"))</f>
      </c>
      <c r="T612" s="6">
        <f>IF(L612="","vazio",IF(AND(ISNUMBER(FIND("@",L612)),ISNUMBER(FIND(".",MID(L612,FIND("@",L612),99))),NOT(ISNUMBER(FIND(" ",TRIM(L612)))),NOT(ISNUMBER(FIND(";",L612))),NOT(ISNUMBER(FIND(",",L612)))),"OK","ERRO: um e-mail válido por linha"))</f>
      </c>
      <c r="U612" s="6">
        <f>IF(COUNTA(A612:O612)=0,"",IF(AND(B612&lt;&gt;"",C612&lt;&gt;"",D612&lt;&gt;"",E612&lt;&gt;"",H612&lt;&gt;"",OR(J612&lt;&gt;"",L612&lt;&gt;"")),"OK","ERRO: faltam "&amp;IF(B612="","Proprietário; ","")&amp;IF(C612="","Origem; ","")&amp;IF(D612="","CNPJ; ","")&amp;IF(E612="","Razão Social; ","")&amp;IF(H612="","Sobrenome; ","")&amp;IF(AND(J612="",L612=""),"telefone ou e-mail; ","")))</f>
      </c>
      <c r="V612" s="6">
        <f>IF(COUNTA(A612:O612)=0,"",IF(AND(Q612="OK",R612="OK",LEFT(S612,4)&lt;&gt;"ERRO",LEFT(T612,4)&lt;&gt;"ERRO",U612="OK"),"OK","REVISAR"))</f>
      </c>
    </row>
    <row r="613">
      <c r="A613" s="4"/>
      <c r="B613" s="5"/>
      <c r="C613" s="5"/>
      <c r="D613" s="5"/>
      <c r="E613" s="5"/>
      <c r="F613" s="4"/>
      <c r="G613" s="4"/>
      <c r="H613" s="5"/>
      <c r="I613" s="4"/>
      <c r="J613" s="4"/>
      <c r="K613" s="4"/>
      <c r="L613" s="4"/>
      <c r="M613" s="4"/>
      <c r="N613" s="4"/>
      <c r="O613" s="4"/>
      <c r="P613" s="6">
        <f>IF(D613="","",SUBSTITUTE(SUBSTITUTE(SUBSTITUTE(SUBSTITUTE(SUBSTITUTE(SUBSTITUTE(SUBSTITUTE(TRIM(D613),".",""),"/",""),"-","")," ",""),"(",""),")",""),"+",""))</f>
      </c>
      <c r="Q613" s="6">
        <f>IF(P613="","",IF(LEN(P613)&lt;&gt;14,"ERRO: "&amp;LEN(P613)&amp;" dígitos",IF(NOT(ISNUMBER(VALUE(P613))),"ERRO: não numérico",IF(LEN(SUBSTITUTE(P613,LEFT(P613,1),""))=0,"ERRO: dígitos repetidos",IF(AND(VALUE(MID(P613,13,1))=IF(MOD(SUMPRODUCT(--MID(P613,{1,2,3,4,5,6,7,8,9,10,11,12},1),{5,4,3,2,9,8,7,6,5,4,3,2}),11)&lt;2,0,11-MOD(SUMPRODUCT(--MID(P613,{1,2,3,4,5,6,7,8,9,10,11,12},1),{5,4,3,2,9,8,7,6,5,4,3,2}),11)),VALUE(MID(P613,14,1))=IF(MOD(SUMPRODUCT(--MID(P613,{1,2,3,4,5,6,7,8,9,10,11,12,13},1),{6,5,4,3,2,9,8,7,6,5,4,3,2}),11)&lt;2,0,11-MOD(SUMPRODUCT(--MID(P613,{1,2,3,4,5,6,7,8,9,10,11,12,13},1),{6,5,4,3,2,9,8,7,6,5,4,3,2}),11))),"OK","ERRO: dígito verificador")))))</f>
      </c>
      <c r="R613" s="6">
        <f>IF(P613="","",IF(COUNTIF($P$2:$P$1001,P613)&gt;1,"DUPLICADO","OK"))</f>
      </c>
      <c r="S613" s="6">
        <f>IF(AND(J613="",K613=""),"vazio",IF(AND(OR(J613="",LEN(SUBSTITUTE(SUBSTITUTE(SUBSTITUTE(SUBSTITUTE(SUBSTITUTE(SUBSTITUTE(SUBSTITUTE(TRIM(J613),".",""),"/",""),"-","")," ",""),"(",""),")",""),"+",""))=10,LEN(SUBSTITUTE(SUBSTITUTE(SUBSTITUTE(SUBSTITUTE(SUBSTITUTE(SUBSTITUTE(SUBSTITUTE(TRIM(J613),".",""),"/",""),"-","")," ",""),"(",""),")",""),"+",""))=11),OR(K613="",LEN(SUBSTITUTE(SUBSTITUTE(SUBSTITUTE(SUBSTITUTE(SUBSTITUTE(SUBSTITUTE(SUBSTITUTE(TRIM(K613),".",""),"/",""),"-","")," ",""),"(",""),")",""),"+",""))=10,LEN(SUBSTITUTE(SUBSTITUTE(SUBSTITUTE(SUBSTITUTE(SUBSTITUTE(SUBSTITUTE(SUBSTITUTE(TRIM(K613),".",""),"/",""),"-","")," ",""),"(",""),")",""),"+",""))=11)),"OK","ERRO: use DDD + número (10 ou 11 dígitos)"))</f>
      </c>
      <c r="T613" s="6">
        <f>IF(L613="","vazio",IF(AND(ISNUMBER(FIND("@",L613)),ISNUMBER(FIND(".",MID(L613,FIND("@",L613),99))),NOT(ISNUMBER(FIND(" ",TRIM(L613)))),NOT(ISNUMBER(FIND(";",L613))),NOT(ISNUMBER(FIND(",",L613)))),"OK","ERRO: um e-mail válido por linha"))</f>
      </c>
      <c r="U613" s="6">
        <f>IF(COUNTA(A613:O613)=0,"",IF(AND(B613&lt;&gt;"",C613&lt;&gt;"",D613&lt;&gt;"",E613&lt;&gt;"",H613&lt;&gt;"",OR(J613&lt;&gt;"",L613&lt;&gt;"")),"OK","ERRO: faltam "&amp;IF(B613="","Proprietário; ","")&amp;IF(C613="","Origem; ","")&amp;IF(D613="","CNPJ; ","")&amp;IF(E613="","Razão Social; ","")&amp;IF(H613="","Sobrenome; ","")&amp;IF(AND(J613="",L613=""),"telefone ou e-mail; ","")))</f>
      </c>
      <c r="V613" s="6">
        <f>IF(COUNTA(A613:O613)=0,"",IF(AND(Q613="OK",R613="OK",LEFT(S613,4)&lt;&gt;"ERRO",LEFT(T613,4)&lt;&gt;"ERRO",U613="OK"),"OK","REVISAR"))</f>
      </c>
    </row>
    <row r="614">
      <c r="A614" s="4"/>
      <c r="B614" s="5"/>
      <c r="C614" s="5"/>
      <c r="D614" s="5"/>
      <c r="E614" s="5"/>
      <c r="F614" s="4"/>
      <c r="G614" s="4"/>
      <c r="H614" s="5"/>
      <c r="I614" s="4"/>
      <c r="J614" s="4"/>
      <c r="K614" s="4"/>
      <c r="L614" s="4"/>
      <c r="M614" s="4"/>
      <c r="N614" s="4"/>
      <c r="O614" s="4"/>
      <c r="P614" s="6">
        <f>IF(D614="","",SUBSTITUTE(SUBSTITUTE(SUBSTITUTE(SUBSTITUTE(SUBSTITUTE(SUBSTITUTE(SUBSTITUTE(TRIM(D614),".",""),"/",""),"-","")," ",""),"(",""),")",""),"+",""))</f>
      </c>
      <c r="Q614" s="6">
        <f>IF(P614="","",IF(LEN(P614)&lt;&gt;14,"ERRO: "&amp;LEN(P614)&amp;" dígitos",IF(NOT(ISNUMBER(VALUE(P614))),"ERRO: não numérico",IF(LEN(SUBSTITUTE(P614,LEFT(P614,1),""))=0,"ERRO: dígitos repetidos",IF(AND(VALUE(MID(P614,13,1))=IF(MOD(SUMPRODUCT(--MID(P614,{1,2,3,4,5,6,7,8,9,10,11,12},1),{5,4,3,2,9,8,7,6,5,4,3,2}),11)&lt;2,0,11-MOD(SUMPRODUCT(--MID(P614,{1,2,3,4,5,6,7,8,9,10,11,12},1),{5,4,3,2,9,8,7,6,5,4,3,2}),11)),VALUE(MID(P614,14,1))=IF(MOD(SUMPRODUCT(--MID(P614,{1,2,3,4,5,6,7,8,9,10,11,12,13},1),{6,5,4,3,2,9,8,7,6,5,4,3,2}),11)&lt;2,0,11-MOD(SUMPRODUCT(--MID(P614,{1,2,3,4,5,6,7,8,9,10,11,12,13},1),{6,5,4,3,2,9,8,7,6,5,4,3,2}),11))),"OK","ERRO: dígito verificador")))))</f>
      </c>
      <c r="R614" s="6">
        <f>IF(P614="","",IF(COUNTIF($P$2:$P$1001,P614)&gt;1,"DUPLICADO","OK"))</f>
      </c>
      <c r="S614" s="6">
        <f>IF(AND(J614="",K614=""),"vazio",IF(AND(OR(J614="",LEN(SUBSTITUTE(SUBSTITUTE(SUBSTITUTE(SUBSTITUTE(SUBSTITUTE(SUBSTITUTE(SUBSTITUTE(TRIM(J614),".",""),"/",""),"-","")," ",""),"(",""),")",""),"+",""))=10,LEN(SUBSTITUTE(SUBSTITUTE(SUBSTITUTE(SUBSTITUTE(SUBSTITUTE(SUBSTITUTE(SUBSTITUTE(TRIM(J614),".",""),"/",""),"-","")," ",""),"(",""),")",""),"+",""))=11),OR(K614="",LEN(SUBSTITUTE(SUBSTITUTE(SUBSTITUTE(SUBSTITUTE(SUBSTITUTE(SUBSTITUTE(SUBSTITUTE(TRIM(K614),".",""),"/",""),"-","")," ",""),"(",""),")",""),"+",""))=10,LEN(SUBSTITUTE(SUBSTITUTE(SUBSTITUTE(SUBSTITUTE(SUBSTITUTE(SUBSTITUTE(SUBSTITUTE(TRIM(K614),".",""),"/",""),"-","")," ",""),"(",""),")",""),"+",""))=11)),"OK","ERRO: use DDD + número (10 ou 11 dígitos)"))</f>
      </c>
      <c r="T614" s="6">
        <f>IF(L614="","vazio",IF(AND(ISNUMBER(FIND("@",L614)),ISNUMBER(FIND(".",MID(L614,FIND("@",L614),99))),NOT(ISNUMBER(FIND(" ",TRIM(L614)))),NOT(ISNUMBER(FIND(";",L614))),NOT(ISNUMBER(FIND(",",L614)))),"OK","ERRO: um e-mail válido por linha"))</f>
      </c>
      <c r="U614" s="6">
        <f>IF(COUNTA(A614:O614)=0,"",IF(AND(B614&lt;&gt;"",C614&lt;&gt;"",D614&lt;&gt;"",E614&lt;&gt;"",H614&lt;&gt;"",OR(J614&lt;&gt;"",L614&lt;&gt;"")),"OK","ERRO: faltam "&amp;IF(B614="","Proprietário; ","")&amp;IF(C614="","Origem; ","")&amp;IF(D614="","CNPJ; ","")&amp;IF(E614="","Razão Social; ","")&amp;IF(H614="","Sobrenome; ","")&amp;IF(AND(J614="",L614=""),"telefone ou e-mail; ","")))</f>
      </c>
      <c r="V614" s="6">
        <f>IF(COUNTA(A614:O614)=0,"",IF(AND(Q614="OK",R614="OK",LEFT(S614,4)&lt;&gt;"ERRO",LEFT(T614,4)&lt;&gt;"ERRO",U614="OK"),"OK","REVISAR"))</f>
      </c>
    </row>
    <row r="615">
      <c r="A615" s="4"/>
      <c r="B615" s="5"/>
      <c r="C615" s="5"/>
      <c r="D615" s="5"/>
      <c r="E615" s="5"/>
      <c r="F615" s="4"/>
      <c r="G615" s="4"/>
      <c r="H615" s="5"/>
      <c r="I615" s="4"/>
      <c r="J615" s="4"/>
      <c r="K615" s="4"/>
      <c r="L615" s="4"/>
      <c r="M615" s="4"/>
      <c r="N615" s="4"/>
      <c r="O615" s="4"/>
      <c r="P615" s="6">
        <f>IF(D615="","",SUBSTITUTE(SUBSTITUTE(SUBSTITUTE(SUBSTITUTE(SUBSTITUTE(SUBSTITUTE(SUBSTITUTE(TRIM(D615),".",""),"/",""),"-","")," ",""),"(",""),")",""),"+",""))</f>
      </c>
      <c r="Q615" s="6">
        <f>IF(P615="","",IF(LEN(P615)&lt;&gt;14,"ERRO: "&amp;LEN(P615)&amp;" dígitos",IF(NOT(ISNUMBER(VALUE(P615))),"ERRO: não numérico",IF(LEN(SUBSTITUTE(P615,LEFT(P615,1),""))=0,"ERRO: dígitos repetidos",IF(AND(VALUE(MID(P615,13,1))=IF(MOD(SUMPRODUCT(--MID(P615,{1,2,3,4,5,6,7,8,9,10,11,12},1),{5,4,3,2,9,8,7,6,5,4,3,2}),11)&lt;2,0,11-MOD(SUMPRODUCT(--MID(P615,{1,2,3,4,5,6,7,8,9,10,11,12},1),{5,4,3,2,9,8,7,6,5,4,3,2}),11)),VALUE(MID(P615,14,1))=IF(MOD(SUMPRODUCT(--MID(P615,{1,2,3,4,5,6,7,8,9,10,11,12,13},1),{6,5,4,3,2,9,8,7,6,5,4,3,2}),11)&lt;2,0,11-MOD(SUMPRODUCT(--MID(P615,{1,2,3,4,5,6,7,8,9,10,11,12,13},1),{6,5,4,3,2,9,8,7,6,5,4,3,2}),11))),"OK","ERRO: dígito verificador")))))</f>
      </c>
      <c r="R615" s="6">
        <f>IF(P615="","",IF(COUNTIF($P$2:$P$1001,P615)&gt;1,"DUPLICADO","OK"))</f>
      </c>
      <c r="S615" s="6">
        <f>IF(AND(J615="",K615=""),"vazio",IF(AND(OR(J615="",LEN(SUBSTITUTE(SUBSTITUTE(SUBSTITUTE(SUBSTITUTE(SUBSTITUTE(SUBSTITUTE(SUBSTITUTE(TRIM(J615),".",""),"/",""),"-","")," ",""),"(",""),")",""),"+",""))=10,LEN(SUBSTITUTE(SUBSTITUTE(SUBSTITUTE(SUBSTITUTE(SUBSTITUTE(SUBSTITUTE(SUBSTITUTE(TRIM(J615),".",""),"/",""),"-","")," ",""),"(",""),")",""),"+",""))=11),OR(K615="",LEN(SUBSTITUTE(SUBSTITUTE(SUBSTITUTE(SUBSTITUTE(SUBSTITUTE(SUBSTITUTE(SUBSTITUTE(TRIM(K615),".",""),"/",""),"-","")," ",""),"(",""),")",""),"+",""))=10,LEN(SUBSTITUTE(SUBSTITUTE(SUBSTITUTE(SUBSTITUTE(SUBSTITUTE(SUBSTITUTE(SUBSTITUTE(TRIM(K615),".",""),"/",""),"-","")," ",""),"(",""),")",""),"+",""))=11)),"OK","ERRO: use DDD + número (10 ou 11 dígitos)"))</f>
      </c>
      <c r="T615" s="6">
        <f>IF(L615="","vazio",IF(AND(ISNUMBER(FIND("@",L615)),ISNUMBER(FIND(".",MID(L615,FIND("@",L615),99))),NOT(ISNUMBER(FIND(" ",TRIM(L615)))),NOT(ISNUMBER(FIND(";",L615))),NOT(ISNUMBER(FIND(",",L615)))),"OK","ERRO: um e-mail válido por linha"))</f>
      </c>
      <c r="U615" s="6">
        <f>IF(COUNTA(A615:O615)=0,"",IF(AND(B615&lt;&gt;"",C615&lt;&gt;"",D615&lt;&gt;"",E615&lt;&gt;"",H615&lt;&gt;"",OR(J615&lt;&gt;"",L615&lt;&gt;"")),"OK","ERRO: faltam "&amp;IF(B615="","Proprietário; ","")&amp;IF(C615="","Origem; ","")&amp;IF(D615="","CNPJ; ","")&amp;IF(E615="","Razão Social; ","")&amp;IF(H615="","Sobrenome; ","")&amp;IF(AND(J615="",L615=""),"telefone ou e-mail; ","")))</f>
      </c>
      <c r="V615" s="6">
        <f>IF(COUNTA(A615:O615)=0,"",IF(AND(Q615="OK",R615="OK",LEFT(S615,4)&lt;&gt;"ERRO",LEFT(T615,4)&lt;&gt;"ERRO",U615="OK"),"OK","REVISAR"))</f>
      </c>
    </row>
    <row r="616">
      <c r="A616" s="4"/>
      <c r="B616" s="5"/>
      <c r="C616" s="5"/>
      <c r="D616" s="5"/>
      <c r="E616" s="5"/>
      <c r="F616" s="4"/>
      <c r="G616" s="4"/>
      <c r="H616" s="5"/>
      <c r="I616" s="4"/>
      <c r="J616" s="4"/>
      <c r="K616" s="4"/>
      <c r="L616" s="4"/>
      <c r="M616" s="4"/>
      <c r="N616" s="4"/>
      <c r="O616" s="4"/>
      <c r="P616" s="6">
        <f>IF(D616="","",SUBSTITUTE(SUBSTITUTE(SUBSTITUTE(SUBSTITUTE(SUBSTITUTE(SUBSTITUTE(SUBSTITUTE(TRIM(D616),".",""),"/",""),"-","")," ",""),"(",""),")",""),"+",""))</f>
      </c>
      <c r="Q616" s="6">
        <f>IF(P616="","",IF(LEN(P616)&lt;&gt;14,"ERRO: "&amp;LEN(P616)&amp;" dígitos",IF(NOT(ISNUMBER(VALUE(P616))),"ERRO: não numérico",IF(LEN(SUBSTITUTE(P616,LEFT(P616,1),""))=0,"ERRO: dígitos repetidos",IF(AND(VALUE(MID(P616,13,1))=IF(MOD(SUMPRODUCT(--MID(P616,{1,2,3,4,5,6,7,8,9,10,11,12},1),{5,4,3,2,9,8,7,6,5,4,3,2}),11)&lt;2,0,11-MOD(SUMPRODUCT(--MID(P616,{1,2,3,4,5,6,7,8,9,10,11,12},1),{5,4,3,2,9,8,7,6,5,4,3,2}),11)),VALUE(MID(P616,14,1))=IF(MOD(SUMPRODUCT(--MID(P616,{1,2,3,4,5,6,7,8,9,10,11,12,13},1),{6,5,4,3,2,9,8,7,6,5,4,3,2}),11)&lt;2,0,11-MOD(SUMPRODUCT(--MID(P616,{1,2,3,4,5,6,7,8,9,10,11,12,13},1),{6,5,4,3,2,9,8,7,6,5,4,3,2}),11))),"OK","ERRO: dígito verificador")))))</f>
      </c>
      <c r="R616" s="6">
        <f>IF(P616="","",IF(COUNTIF($P$2:$P$1001,P616)&gt;1,"DUPLICADO","OK"))</f>
      </c>
      <c r="S616" s="6">
        <f>IF(AND(J616="",K616=""),"vazio",IF(AND(OR(J616="",LEN(SUBSTITUTE(SUBSTITUTE(SUBSTITUTE(SUBSTITUTE(SUBSTITUTE(SUBSTITUTE(SUBSTITUTE(TRIM(J616),".",""),"/",""),"-","")," ",""),"(",""),")",""),"+",""))=10,LEN(SUBSTITUTE(SUBSTITUTE(SUBSTITUTE(SUBSTITUTE(SUBSTITUTE(SUBSTITUTE(SUBSTITUTE(TRIM(J616),".",""),"/",""),"-","")," ",""),"(",""),")",""),"+",""))=11),OR(K616="",LEN(SUBSTITUTE(SUBSTITUTE(SUBSTITUTE(SUBSTITUTE(SUBSTITUTE(SUBSTITUTE(SUBSTITUTE(TRIM(K616),".",""),"/",""),"-","")," ",""),"(",""),")",""),"+",""))=10,LEN(SUBSTITUTE(SUBSTITUTE(SUBSTITUTE(SUBSTITUTE(SUBSTITUTE(SUBSTITUTE(SUBSTITUTE(TRIM(K616),".",""),"/",""),"-","")," ",""),"(",""),")",""),"+",""))=11)),"OK","ERRO: use DDD + número (10 ou 11 dígitos)"))</f>
      </c>
      <c r="T616" s="6">
        <f>IF(L616="","vazio",IF(AND(ISNUMBER(FIND("@",L616)),ISNUMBER(FIND(".",MID(L616,FIND("@",L616),99))),NOT(ISNUMBER(FIND(" ",TRIM(L616)))),NOT(ISNUMBER(FIND(";",L616))),NOT(ISNUMBER(FIND(",",L616)))),"OK","ERRO: um e-mail válido por linha"))</f>
      </c>
      <c r="U616" s="6">
        <f>IF(COUNTA(A616:O616)=0,"",IF(AND(B616&lt;&gt;"",C616&lt;&gt;"",D616&lt;&gt;"",E616&lt;&gt;"",H616&lt;&gt;"",OR(J616&lt;&gt;"",L616&lt;&gt;"")),"OK","ERRO: faltam "&amp;IF(B616="","Proprietário; ","")&amp;IF(C616="","Origem; ","")&amp;IF(D616="","CNPJ; ","")&amp;IF(E616="","Razão Social; ","")&amp;IF(H616="","Sobrenome; ","")&amp;IF(AND(J616="",L616=""),"telefone ou e-mail; ","")))</f>
      </c>
      <c r="V616" s="6">
        <f>IF(COUNTA(A616:O616)=0,"",IF(AND(Q616="OK",R616="OK",LEFT(S616,4)&lt;&gt;"ERRO",LEFT(T616,4)&lt;&gt;"ERRO",U616="OK"),"OK","REVISAR"))</f>
      </c>
    </row>
    <row r="617">
      <c r="A617" s="4"/>
      <c r="B617" s="5"/>
      <c r="C617" s="5"/>
      <c r="D617" s="5"/>
      <c r="E617" s="5"/>
      <c r="F617" s="4"/>
      <c r="G617" s="4"/>
      <c r="H617" s="5"/>
      <c r="I617" s="4"/>
      <c r="J617" s="4"/>
      <c r="K617" s="4"/>
      <c r="L617" s="4"/>
      <c r="M617" s="4"/>
      <c r="N617" s="4"/>
      <c r="O617" s="4"/>
      <c r="P617" s="6">
        <f>IF(D617="","",SUBSTITUTE(SUBSTITUTE(SUBSTITUTE(SUBSTITUTE(SUBSTITUTE(SUBSTITUTE(SUBSTITUTE(TRIM(D617),".",""),"/",""),"-","")," ",""),"(",""),")",""),"+",""))</f>
      </c>
      <c r="Q617" s="6">
        <f>IF(P617="","",IF(LEN(P617)&lt;&gt;14,"ERRO: "&amp;LEN(P617)&amp;" dígitos",IF(NOT(ISNUMBER(VALUE(P617))),"ERRO: não numérico",IF(LEN(SUBSTITUTE(P617,LEFT(P617,1),""))=0,"ERRO: dígitos repetidos",IF(AND(VALUE(MID(P617,13,1))=IF(MOD(SUMPRODUCT(--MID(P617,{1,2,3,4,5,6,7,8,9,10,11,12},1),{5,4,3,2,9,8,7,6,5,4,3,2}),11)&lt;2,0,11-MOD(SUMPRODUCT(--MID(P617,{1,2,3,4,5,6,7,8,9,10,11,12},1),{5,4,3,2,9,8,7,6,5,4,3,2}),11)),VALUE(MID(P617,14,1))=IF(MOD(SUMPRODUCT(--MID(P617,{1,2,3,4,5,6,7,8,9,10,11,12,13},1),{6,5,4,3,2,9,8,7,6,5,4,3,2}),11)&lt;2,0,11-MOD(SUMPRODUCT(--MID(P617,{1,2,3,4,5,6,7,8,9,10,11,12,13},1),{6,5,4,3,2,9,8,7,6,5,4,3,2}),11))),"OK","ERRO: dígito verificador")))))</f>
      </c>
      <c r="R617" s="6">
        <f>IF(P617="","",IF(COUNTIF($P$2:$P$1001,P617)&gt;1,"DUPLICADO","OK"))</f>
      </c>
      <c r="S617" s="6">
        <f>IF(AND(J617="",K617=""),"vazio",IF(AND(OR(J617="",LEN(SUBSTITUTE(SUBSTITUTE(SUBSTITUTE(SUBSTITUTE(SUBSTITUTE(SUBSTITUTE(SUBSTITUTE(TRIM(J617),".",""),"/",""),"-","")," ",""),"(",""),")",""),"+",""))=10,LEN(SUBSTITUTE(SUBSTITUTE(SUBSTITUTE(SUBSTITUTE(SUBSTITUTE(SUBSTITUTE(SUBSTITUTE(TRIM(J617),".",""),"/",""),"-","")," ",""),"(",""),")",""),"+",""))=11),OR(K617="",LEN(SUBSTITUTE(SUBSTITUTE(SUBSTITUTE(SUBSTITUTE(SUBSTITUTE(SUBSTITUTE(SUBSTITUTE(TRIM(K617),".",""),"/",""),"-","")," ",""),"(",""),")",""),"+",""))=10,LEN(SUBSTITUTE(SUBSTITUTE(SUBSTITUTE(SUBSTITUTE(SUBSTITUTE(SUBSTITUTE(SUBSTITUTE(TRIM(K617),".",""),"/",""),"-","")," ",""),"(",""),")",""),"+",""))=11)),"OK","ERRO: use DDD + número (10 ou 11 dígitos)"))</f>
      </c>
      <c r="T617" s="6">
        <f>IF(L617="","vazio",IF(AND(ISNUMBER(FIND("@",L617)),ISNUMBER(FIND(".",MID(L617,FIND("@",L617),99))),NOT(ISNUMBER(FIND(" ",TRIM(L617)))),NOT(ISNUMBER(FIND(";",L617))),NOT(ISNUMBER(FIND(",",L617)))),"OK","ERRO: um e-mail válido por linha"))</f>
      </c>
      <c r="U617" s="6">
        <f>IF(COUNTA(A617:O617)=0,"",IF(AND(B617&lt;&gt;"",C617&lt;&gt;"",D617&lt;&gt;"",E617&lt;&gt;"",H617&lt;&gt;"",OR(J617&lt;&gt;"",L617&lt;&gt;"")),"OK","ERRO: faltam "&amp;IF(B617="","Proprietário; ","")&amp;IF(C617="","Origem; ","")&amp;IF(D617="","CNPJ; ","")&amp;IF(E617="","Razão Social; ","")&amp;IF(H617="","Sobrenome; ","")&amp;IF(AND(J617="",L617=""),"telefone ou e-mail; ","")))</f>
      </c>
      <c r="V617" s="6">
        <f>IF(COUNTA(A617:O617)=0,"",IF(AND(Q617="OK",R617="OK",LEFT(S617,4)&lt;&gt;"ERRO",LEFT(T617,4)&lt;&gt;"ERRO",U617="OK"),"OK","REVISAR"))</f>
      </c>
    </row>
    <row r="618">
      <c r="A618" s="4"/>
      <c r="B618" s="5"/>
      <c r="C618" s="5"/>
      <c r="D618" s="5"/>
      <c r="E618" s="5"/>
      <c r="F618" s="4"/>
      <c r="G618" s="4"/>
      <c r="H618" s="5"/>
      <c r="I618" s="4"/>
      <c r="J618" s="4"/>
      <c r="K618" s="4"/>
      <c r="L618" s="4"/>
      <c r="M618" s="4"/>
      <c r="N618" s="4"/>
      <c r="O618" s="4"/>
      <c r="P618" s="6">
        <f>IF(D618="","",SUBSTITUTE(SUBSTITUTE(SUBSTITUTE(SUBSTITUTE(SUBSTITUTE(SUBSTITUTE(SUBSTITUTE(TRIM(D618),".",""),"/",""),"-","")," ",""),"(",""),")",""),"+",""))</f>
      </c>
      <c r="Q618" s="6">
        <f>IF(P618="","",IF(LEN(P618)&lt;&gt;14,"ERRO: "&amp;LEN(P618)&amp;" dígitos",IF(NOT(ISNUMBER(VALUE(P618))),"ERRO: não numérico",IF(LEN(SUBSTITUTE(P618,LEFT(P618,1),""))=0,"ERRO: dígitos repetidos",IF(AND(VALUE(MID(P618,13,1))=IF(MOD(SUMPRODUCT(--MID(P618,{1,2,3,4,5,6,7,8,9,10,11,12},1),{5,4,3,2,9,8,7,6,5,4,3,2}),11)&lt;2,0,11-MOD(SUMPRODUCT(--MID(P618,{1,2,3,4,5,6,7,8,9,10,11,12},1),{5,4,3,2,9,8,7,6,5,4,3,2}),11)),VALUE(MID(P618,14,1))=IF(MOD(SUMPRODUCT(--MID(P618,{1,2,3,4,5,6,7,8,9,10,11,12,13},1),{6,5,4,3,2,9,8,7,6,5,4,3,2}),11)&lt;2,0,11-MOD(SUMPRODUCT(--MID(P618,{1,2,3,4,5,6,7,8,9,10,11,12,13},1),{6,5,4,3,2,9,8,7,6,5,4,3,2}),11))),"OK","ERRO: dígito verificador")))))</f>
      </c>
      <c r="R618" s="6">
        <f>IF(P618="","",IF(COUNTIF($P$2:$P$1001,P618)&gt;1,"DUPLICADO","OK"))</f>
      </c>
      <c r="S618" s="6">
        <f>IF(AND(J618="",K618=""),"vazio",IF(AND(OR(J618="",LEN(SUBSTITUTE(SUBSTITUTE(SUBSTITUTE(SUBSTITUTE(SUBSTITUTE(SUBSTITUTE(SUBSTITUTE(TRIM(J618),".",""),"/",""),"-","")," ",""),"(",""),")",""),"+",""))=10,LEN(SUBSTITUTE(SUBSTITUTE(SUBSTITUTE(SUBSTITUTE(SUBSTITUTE(SUBSTITUTE(SUBSTITUTE(TRIM(J618),".",""),"/",""),"-","")," ",""),"(",""),")",""),"+",""))=11),OR(K618="",LEN(SUBSTITUTE(SUBSTITUTE(SUBSTITUTE(SUBSTITUTE(SUBSTITUTE(SUBSTITUTE(SUBSTITUTE(TRIM(K618),".",""),"/",""),"-","")," ",""),"(",""),")",""),"+",""))=10,LEN(SUBSTITUTE(SUBSTITUTE(SUBSTITUTE(SUBSTITUTE(SUBSTITUTE(SUBSTITUTE(SUBSTITUTE(TRIM(K618),".",""),"/",""),"-","")," ",""),"(",""),")",""),"+",""))=11)),"OK","ERRO: use DDD + número (10 ou 11 dígitos)"))</f>
      </c>
      <c r="T618" s="6">
        <f>IF(L618="","vazio",IF(AND(ISNUMBER(FIND("@",L618)),ISNUMBER(FIND(".",MID(L618,FIND("@",L618),99))),NOT(ISNUMBER(FIND(" ",TRIM(L618)))),NOT(ISNUMBER(FIND(";",L618))),NOT(ISNUMBER(FIND(",",L618)))),"OK","ERRO: um e-mail válido por linha"))</f>
      </c>
      <c r="U618" s="6">
        <f>IF(COUNTA(A618:O618)=0,"",IF(AND(B618&lt;&gt;"",C618&lt;&gt;"",D618&lt;&gt;"",E618&lt;&gt;"",H618&lt;&gt;"",OR(J618&lt;&gt;"",L618&lt;&gt;"")),"OK","ERRO: faltam "&amp;IF(B618="","Proprietário; ","")&amp;IF(C618="","Origem; ","")&amp;IF(D618="","CNPJ; ","")&amp;IF(E618="","Razão Social; ","")&amp;IF(H618="","Sobrenome; ","")&amp;IF(AND(J618="",L618=""),"telefone ou e-mail; ","")))</f>
      </c>
      <c r="V618" s="6">
        <f>IF(COUNTA(A618:O618)=0,"",IF(AND(Q618="OK",R618="OK",LEFT(S618,4)&lt;&gt;"ERRO",LEFT(T618,4)&lt;&gt;"ERRO",U618="OK"),"OK","REVISAR"))</f>
      </c>
    </row>
    <row r="619">
      <c r="A619" s="4"/>
      <c r="B619" s="5"/>
      <c r="C619" s="5"/>
      <c r="D619" s="5"/>
      <c r="E619" s="5"/>
      <c r="F619" s="4"/>
      <c r="G619" s="4"/>
      <c r="H619" s="5"/>
      <c r="I619" s="4"/>
      <c r="J619" s="4"/>
      <c r="K619" s="4"/>
      <c r="L619" s="4"/>
      <c r="M619" s="4"/>
      <c r="N619" s="4"/>
      <c r="O619" s="4"/>
      <c r="P619" s="6">
        <f>IF(D619="","",SUBSTITUTE(SUBSTITUTE(SUBSTITUTE(SUBSTITUTE(SUBSTITUTE(SUBSTITUTE(SUBSTITUTE(TRIM(D619),".",""),"/",""),"-","")," ",""),"(",""),")",""),"+",""))</f>
      </c>
      <c r="Q619" s="6">
        <f>IF(P619="","",IF(LEN(P619)&lt;&gt;14,"ERRO: "&amp;LEN(P619)&amp;" dígitos",IF(NOT(ISNUMBER(VALUE(P619))),"ERRO: não numérico",IF(LEN(SUBSTITUTE(P619,LEFT(P619,1),""))=0,"ERRO: dígitos repetidos",IF(AND(VALUE(MID(P619,13,1))=IF(MOD(SUMPRODUCT(--MID(P619,{1,2,3,4,5,6,7,8,9,10,11,12},1),{5,4,3,2,9,8,7,6,5,4,3,2}),11)&lt;2,0,11-MOD(SUMPRODUCT(--MID(P619,{1,2,3,4,5,6,7,8,9,10,11,12},1),{5,4,3,2,9,8,7,6,5,4,3,2}),11)),VALUE(MID(P619,14,1))=IF(MOD(SUMPRODUCT(--MID(P619,{1,2,3,4,5,6,7,8,9,10,11,12,13},1),{6,5,4,3,2,9,8,7,6,5,4,3,2}),11)&lt;2,0,11-MOD(SUMPRODUCT(--MID(P619,{1,2,3,4,5,6,7,8,9,10,11,12,13},1),{6,5,4,3,2,9,8,7,6,5,4,3,2}),11))),"OK","ERRO: dígito verificador")))))</f>
      </c>
      <c r="R619" s="6">
        <f>IF(P619="","",IF(COUNTIF($P$2:$P$1001,P619)&gt;1,"DUPLICADO","OK"))</f>
      </c>
      <c r="S619" s="6">
        <f>IF(AND(J619="",K619=""),"vazio",IF(AND(OR(J619="",LEN(SUBSTITUTE(SUBSTITUTE(SUBSTITUTE(SUBSTITUTE(SUBSTITUTE(SUBSTITUTE(SUBSTITUTE(TRIM(J619),".",""),"/",""),"-","")," ",""),"(",""),")",""),"+",""))=10,LEN(SUBSTITUTE(SUBSTITUTE(SUBSTITUTE(SUBSTITUTE(SUBSTITUTE(SUBSTITUTE(SUBSTITUTE(TRIM(J619),".",""),"/",""),"-","")," ",""),"(",""),")",""),"+",""))=11),OR(K619="",LEN(SUBSTITUTE(SUBSTITUTE(SUBSTITUTE(SUBSTITUTE(SUBSTITUTE(SUBSTITUTE(SUBSTITUTE(TRIM(K619),".",""),"/",""),"-","")," ",""),"(",""),")",""),"+",""))=10,LEN(SUBSTITUTE(SUBSTITUTE(SUBSTITUTE(SUBSTITUTE(SUBSTITUTE(SUBSTITUTE(SUBSTITUTE(TRIM(K619),".",""),"/",""),"-","")," ",""),"(",""),")",""),"+",""))=11)),"OK","ERRO: use DDD + número (10 ou 11 dígitos)"))</f>
      </c>
      <c r="T619" s="6">
        <f>IF(L619="","vazio",IF(AND(ISNUMBER(FIND("@",L619)),ISNUMBER(FIND(".",MID(L619,FIND("@",L619),99))),NOT(ISNUMBER(FIND(" ",TRIM(L619)))),NOT(ISNUMBER(FIND(";",L619))),NOT(ISNUMBER(FIND(",",L619)))),"OK","ERRO: um e-mail válido por linha"))</f>
      </c>
      <c r="U619" s="6">
        <f>IF(COUNTA(A619:O619)=0,"",IF(AND(B619&lt;&gt;"",C619&lt;&gt;"",D619&lt;&gt;"",E619&lt;&gt;"",H619&lt;&gt;"",OR(J619&lt;&gt;"",L619&lt;&gt;"")),"OK","ERRO: faltam "&amp;IF(B619="","Proprietário; ","")&amp;IF(C619="","Origem; ","")&amp;IF(D619="","CNPJ; ","")&amp;IF(E619="","Razão Social; ","")&amp;IF(H619="","Sobrenome; ","")&amp;IF(AND(J619="",L619=""),"telefone ou e-mail; ","")))</f>
      </c>
      <c r="V619" s="6">
        <f>IF(COUNTA(A619:O619)=0,"",IF(AND(Q619="OK",R619="OK",LEFT(S619,4)&lt;&gt;"ERRO",LEFT(T619,4)&lt;&gt;"ERRO",U619="OK"),"OK","REVISAR"))</f>
      </c>
    </row>
    <row r="620">
      <c r="A620" s="4"/>
      <c r="B620" s="5"/>
      <c r="C620" s="5"/>
      <c r="D620" s="5"/>
      <c r="E620" s="5"/>
      <c r="F620" s="4"/>
      <c r="G620" s="4"/>
      <c r="H620" s="5"/>
      <c r="I620" s="4"/>
      <c r="J620" s="4"/>
      <c r="K620" s="4"/>
      <c r="L620" s="4"/>
      <c r="M620" s="4"/>
      <c r="N620" s="4"/>
      <c r="O620" s="4"/>
      <c r="P620" s="6">
        <f>IF(D620="","",SUBSTITUTE(SUBSTITUTE(SUBSTITUTE(SUBSTITUTE(SUBSTITUTE(SUBSTITUTE(SUBSTITUTE(TRIM(D620),".",""),"/",""),"-","")," ",""),"(",""),")",""),"+",""))</f>
      </c>
      <c r="Q620" s="6">
        <f>IF(P620="","",IF(LEN(P620)&lt;&gt;14,"ERRO: "&amp;LEN(P620)&amp;" dígitos",IF(NOT(ISNUMBER(VALUE(P620))),"ERRO: não numérico",IF(LEN(SUBSTITUTE(P620,LEFT(P620,1),""))=0,"ERRO: dígitos repetidos",IF(AND(VALUE(MID(P620,13,1))=IF(MOD(SUMPRODUCT(--MID(P620,{1,2,3,4,5,6,7,8,9,10,11,12},1),{5,4,3,2,9,8,7,6,5,4,3,2}),11)&lt;2,0,11-MOD(SUMPRODUCT(--MID(P620,{1,2,3,4,5,6,7,8,9,10,11,12},1),{5,4,3,2,9,8,7,6,5,4,3,2}),11)),VALUE(MID(P620,14,1))=IF(MOD(SUMPRODUCT(--MID(P620,{1,2,3,4,5,6,7,8,9,10,11,12,13},1),{6,5,4,3,2,9,8,7,6,5,4,3,2}),11)&lt;2,0,11-MOD(SUMPRODUCT(--MID(P620,{1,2,3,4,5,6,7,8,9,10,11,12,13},1),{6,5,4,3,2,9,8,7,6,5,4,3,2}),11))),"OK","ERRO: dígito verificador")))))</f>
      </c>
      <c r="R620" s="6">
        <f>IF(P620="","",IF(COUNTIF($P$2:$P$1001,P620)&gt;1,"DUPLICADO","OK"))</f>
      </c>
      <c r="S620" s="6">
        <f>IF(AND(J620="",K620=""),"vazio",IF(AND(OR(J620="",LEN(SUBSTITUTE(SUBSTITUTE(SUBSTITUTE(SUBSTITUTE(SUBSTITUTE(SUBSTITUTE(SUBSTITUTE(TRIM(J620),".",""),"/",""),"-","")," ",""),"(",""),")",""),"+",""))=10,LEN(SUBSTITUTE(SUBSTITUTE(SUBSTITUTE(SUBSTITUTE(SUBSTITUTE(SUBSTITUTE(SUBSTITUTE(TRIM(J620),".",""),"/",""),"-","")," ",""),"(",""),")",""),"+",""))=11),OR(K620="",LEN(SUBSTITUTE(SUBSTITUTE(SUBSTITUTE(SUBSTITUTE(SUBSTITUTE(SUBSTITUTE(SUBSTITUTE(TRIM(K620),".",""),"/",""),"-","")," ",""),"(",""),")",""),"+",""))=10,LEN(SUBSTITUTE(SUBSTITUTE(SUBSTITUTE(SUBSTITUTE(SUBSTITUTE(SUBSTITUTE(SUBSTITUTE(TRIM(K620),".",""),"/",""),"-","")," ",""),"(",""),")",""),"+",""))=11)),"OK","ERRO: use DDD + número (10 ou 11 dígitos)"))</f>
      </c>
      <c r="T620" s="6">
        <f>IF(L620="","vazio",IF(AND(ISNUMBER(FIND("@",L620)),ISNUMBER(FIND(".",MID(L620,FIND("@",L620),99))),NOT(ISNUMBER(FIND(" ",TRIM(L620)))),NOT(ISNUMBER(FIND(";",L620))),NOT(ISNUMBER(FIND(",",L620)))),"OK","ERRO: um e-mail válido por linha"))</f>
      </c>
      <c r="U620" s="6">
        <f>IF(COUNTA(A620:O620)=0,"",IF(AND(B620&lt;&gt;"",C620&lt;&gt;"",D620&lt;&gt;"",E620&lt;&gt;"",H620&lt;&gt;"",OR(J620&lt;&gt;"",L620&lt;&gt;"")),"OK","ERRO: faltam "&amp;IF(B620="","Proprietário; ","")&amp;IF(C620="","Origem; ","")&amp;IF(D620="","CNPJ; ","")&amp;IF(E620="","Razão Social; ","")&amp;IF(H620="","Sobrenome; ","")&amp;IF(AND(J620="",L620=""),"telefone ou e-mail; ","")))</f>
      </c>
      <c r="V620" s="6">
        <f>IF(COUNTA(A620:O620)=0,"",IF(AND(Q620="OK",R620="OK",LEFT(S620,4)&lt;&gt;"ERRO",LEFT(T620,4)&lt;&gt;"ERRO",U620="OK"),"OK","REVISAR"))</f>
      </c>
    </row>
    <row r="621">
      <c r="A621" s="4"/>
      <c r="B621" s="5"/>
      <c r="C621" s="5"/>
      <c r="D621" s="5"/>
      <c r="E621" s="5"/>
      <c r="F621" s="4"/>
      <c r="G621" s="4"/>
      <c r="H621" s="5"/>
      <c r="I621" s="4"/>
      <c r="J621" s="4"/>
      <c r="K621" s="4"/>
      <c r="L621" s="4"/>
      <c r="M621" s="4"/>
      <c r="N621" s="4"/>
      <c r="O621" s="4"/>
      <c r="P621" s="6">
        <f>IF(D621="","",SUBSTITUTE(SUBSTITUTE(SUBSTITUTE(SUBSTITUTE(SUBSTITUTE(SUBSTITUTE(SUBSTITUTE(TRIM(D621),".",""),"/",""),"-","")," ",""),"(",""),")",""),"+",""))</f>
      </c>
      <c r="Q621" s="6">
        <f>IF(P621="","",IF(LEN(P621)&lt;&gt;14,"ERRO: "&amp;LEN(P621)&amp;" dígitos",IF(NOT(ISNUMBER(VALUE(P621))),"ERRO: não numérico",IF(LEN(SUBSTITUTE(P621,LEFT(P621,1),""))=0,"ERRO: dígitos repetidos",IF(AND(VALUE(MID(P621,13,1))=IF(MOD(SUMPRODUCT(--MID(P621,{1,2,3,4,5,6,7,8,9,10,11,12},1),{5,4,3,2,9,8,7,6,5,4,3,2}),11)&lt;2,0,11-MOD(SUMPRODUCT(--MID(P621,{1,2,3,4,5,6,7,8,9,10,11,12},1),{5,4,3,2,9,8,7,6,5,4,3,2}),11)),VALUE(MID(P621,14,1))=IF(MOD(SUMPRODUCT(--MID(P621,{1,2,3,4,5,6,7,8,9,10,11,12,13},1),{6,5,4,3,2,9,8,7,6,5,4,3,2}),11)&lt;2,0,11-MOD(SUMPRODUCT(--MID(P621,{1,2,3,4,5,6,7,8,9,10,11,12,13},1),{6,5,4,3,2,9,8,7,6,5,4,3,2}),11))),"OK","ERRO: dígito verificador")))))</f>
      </c>
      <c r="R621" s="6">
        <f>IF(P621="","",IF(COUNTIF($P$2:$P$1001,P621)&gt;1,"DUPLICADO","OK"))</f>
      </c>
      <c r="S621" s="6">
        <f>IF(AND(J621="",K621=""),"vazio",IF(AND(OR(J621="",LEN(SUBSTITUTE(SUBSTITUTE(SUBSTITUTE(SUBSTITUTE(SUBSTITUTE(SUBSTITUTE(SUBSTITUTE(TRIM(J621),".",""),"/",""),"-","")," ",""),"(",""),")",""),"+",""))=10,LEN(SUBSTITUTE(SUBSTITUTE(SUBSTITUTE(SUBSTITUTE(SUBSTITUTE(SUBSTITUTE(SUBSTITUTE(TRIM(J621),".",""),"/",""),"-","")," ",""),"(",""),")",""),"+",""))=11),OR(K621="",LEN(SUBSTITUTE(SUBSTITUTE(SUBSTITUTE(SUBSTITUTE(SUBSTITUTE(SUBSTITUTE(SUBSTITUTE(TRIM(K621),".",""),"/",""),"-","")," ",""),"(",""),")",""),"+",""))=10,LEN(SUBSTITUTE(SUBSTITUTE(SUBSTITUTE(SUBSTITUTE(SUBSTITUTE(SUBSTITUTE(SUBSTITUTE(TRIM(K621),".",""),"/",""),"-","")," ",""),"(",""),")",""),"+",""))=11)),"OK","ERRO: use DDD + número (10 ou 11 dígitos)"))</f>
      </c>
      <c r="T621" s="6">
        <f>IF(L621="","vazio",IF(AND(ISNUMBER(FIND("@",L621)),ISNUMBER(FIND(".",MID(L621,FIND("@",L621),99))),NOT(ISNUMBER(FIND(" ",TRIM(L621)))),NOT(ISNUMBER(FIND(";",L621))),NOT(ISNUMBER(FIND(",",L621)))),"OK","ERRO: um e-mail válido por linha"))</f>
      </c>
      <c r="U621" s="6">
        <f>IF(COUNTA(A621:O621)=0,"",IF(AND(B621&lt;&gt;"",C621&lt;&gt;"",D621&lt;&gt;"",E621&lt;&gt;"",H621&lt;&gt;"",OR(J621&lt;&gt;"",L621&lt;&gt;"")),"OK","ERRO: faltam "&amp;IF(B621="","Proprietário; ","")&amp;IF(C621="","Origem; ","")&amp;IF(D621="","CNPJ; ","")&amp;IF(E621="","Razão Social; ","")&amp;IF(H621="","Sobrenome; ","")&amp;IF(AND(J621="",L621=""),"telefone ou e-mail; ","")))</f>
      </c>
      <c r="V621" s="6">
        <f>IF(COUNTA(A621:O621)=0,"",IF(AND(Q621="OK",R621="OK",LEFT(S621,4)&lt;&gt;"ERRO",LEFT(T621,4)&lt;&gt;"ERRO",U621="OK"),"OK","REVISAR"))</f>
      </c>
    </row>
    <row r="622">
      <c r="A622" s="4"/>
      <c r="B622" s="5"/>
      <c r="C622" s="5"/>
      <c r="D622" s="5"/>
      <c r="E622" s="5"/>
      <c r="F622" s="4"/>
      <c r="G622" s="4"/>
      <c r="H622" s="5"/>
      <c r="I622" s="4"/>
      <c r="J622" s="4"/>
      <c r="K622" s="4"/>
      <c r="L622" s="4"/>
      <c r="M622" s="4"/>
      <c r="N622" s="4"/>
      <c r="O622" s="4"/>
      <c r="P622" s="6">
        <f>IF(D622="","",SUBSTITUTE(SUBSTITUTE(SUBSTITUTE(SUBSTITUTE(SUBSTITUTE(SUBSTITUTE(SUBSTITUTE(TRIM(D622),".",""),"/",""),"-","")," ",""),"(",""),")",""),"+",""))</f>
      </c>
      <c r="Q622" s="6">
        <f>IF(P622="","",IF(LEN(P622)&lt;&gt;14,"ERRO: "&amp;LEN(P622)&amp;" dígitos",IF(NOT(ISNUMBER(VALUE(P622))),"ERRO: não numérico",IF(LEN(SUBSTITUTE(P622,LEFT(P622,1),""))=0,"ERRO: dígitos repetidos",IF(AND(VALUE(MID(P622,13,1))=IF(MOD(SUMPRODUCT(--MID(P622,{1,2,3,4,5,6,7,8,9,10,11,12},1),{5,4,3,2,9,8,7,6,5,4,3,2}),11)&lt;2,0,11-MOD(SUMPRODUCT(--MID(P622,{1,2,3,4,5,6,7,8,9,10,11,12},1),{5,4,3,2,9,8,7,6,5,4,3,2}),11)),VALUE(MID(P622,14,1))=IF(MOD(SUMPRODUCT(--MID(P622,{1,2,3,4,5,6,7,8,9,10,11,12,13},1),{6,5,4,3,2,9,8,7,6,5,4,3,2}),11)&lt;2,0,11-MOD(SUMPRODUCT(--MID(P622,{1,2,3,4,5,6,7,8,9,10,11,12,13},1),{6,5,4,3,2,9,8,7,6,5,4,3,2}),11))),"OK","ERRO: dígito verificador")))))</f>
      </c>
      <c r="R622" s="6">
        <f>IF(P622="","",IF(COUNTIF($P$2:$P$1001,P622)&gt;1,"DUPLICADO","OK"))</f>
      </c>
      <c r="S622" s="6">
        <f>IF(AND(J622="",K622=""),"vazio",IF(AND(OR(J622="",LEN(SUBSTITUTE(SUBSTITUTE(SUBSTITUTE(SUBSTITUTE(SUBSTITUTE(SUBSTITUTE(SUBSTITUTE(TRIM(J622),".",""),"/",""),"-","")," ",""),"(",""),")",""),"+",""))=10,LEN(SUBSTITUTE(SUBSTITUTE(SUBSTITUTE(SUBSTITUTE(SUBSTITUTE(SUBSTITUTE(SUBSTITUTE(TRIM(J622),".",""),"/",""),"-","")," ",""),"(",""),")",""),"+",""))=11),OR(K622="",LEN(SUBSTITUTE(SUBSTITUTE(SUBSTITUTE(SUBSTITUTE(SUBSTITUTE(SUBSTITUTE(SUBSTITUTE(TRIM(K622),".",""),"/",""),"-","")," ",""),"(",""),")",""),"+",""))=10,LEN(SUBSTITUTE(SUBSTITUTE(SUBSTITUTE(SUBSTITUTE(SUBSTITUTE(SUBSTITUTE(SUBSTITUTE(TRIM(K622),".",""),"/",""),"-","")," ",""),"(",""),")",""),"+",""))=11)),"OK","ERRO: use DDD + número (10 ou 11 dígitos)"))</f>
      </c>
      <c r="T622" s="6">
        <f>IF(L622="","vazio",IF(AND(ISNUMBER(FIND("@",L622)),ISNUMBER(FIND(".",MID(L622,FIND("@",L622),99))),NOT(ISNUMBER(FIND(" ",TRIM(L622)))),NOT(ISNUMBER(FIND(";",L622))),NOT(ISNUMBER(FIND(",",L622)))),"OK","ERRO: um e-mail válido por linha"))</f>
      </c>
      <c r="U622" s="6">
        <f>IF(COUNTA(A622:O622)=0,"",IF(AND(B622&lt;&gt;"",C622&lt;&gt;"",D622&lt;&gt;"",E622&lt;&gt;"",H622&lt;&gt;"",OR(J622&lt;&gt;"",L622&lt;&gt;"")),"OK","ERRO: faltam "&amp;IF(B622="","Proprietário; ","")&amp;IF(C622="","Origem; ","")&amp;IF(D622="","CNPJ; ","")&amp;IF(E622="","Razão Social; ","")&amp;IF(H622="","Sobrenome; ","")&amp;IF(AND(J622="",L622=""),"telefone ou e-mail; ","")))</f>
      </c>
      <c r="V622" s="6">
        <f>IF(COUNTA(A622:O622)=0,"",IF(AND(Q622="OK",R622="OK",LEFT(S622,4)&lt;&gt;"ERRO",LEFT(T622,4)&lt;&gt;"ERRO",U622="OK"),"OK","REVISAR"))</f>
      </c>
    </row>
    <row r="623">
      <c r="A623" s="4"/>
      <c r="B623" s="5"/>
      <c r="C623" s="5"/>
      <c r="D623" s="5"/>
      <c r="E623" s="5"/>
      <c r="F623" s="4"/>
      <c r="G623" s="4"/>
      <c r="H623" s="5"/>
      <c r="I623" s="4"/>
      <c r="J623" s="4"/>
      <c r="K623" s="4"/>
      <c r="L623" s="4"/>
      <c r="M623" s="4"/>
      <c r="N623" s="4"/>
      <c r="O623" s="4"/>
      <c r="P623" s="6">
        <f>IF(D623="","",SUBSTITUTE(SUBSTITUTE(SUBSTITUTE(SUBSTITUTE(SUBSTITUTE(SUBSTITUTE(SUBSTITUTE(TRIM(D623),".",""),"/",""),"-","")," ",""),"(",""),")",""),"+",""))</f>
      </c>
      <c r="Q623" s="6">
        <f>IF(P623="","",IF(LEN(P623)&lt;&gt;14,"ERRO: "&amp;LEN(P623)&amp;" dígitos",IF(NOT(ISNUMBER(VALUE(P623))),"ERRO: não numérico",IF(LEN(SUBSTITUTE(P623,LEFT(P623,1),""))=0,"ERRO: dígitos repetidos",IF(AND(VALUE(MID(P623,13,1))=IF(MOD(SUMPRODUCT(--MID(P623,{1,2,3,4,5,6,7,8,9,10,11,12},1),{5,4,3,2,9,8,7,6,5,4,3,2}),11)&lt;2,0,11-MOD(SUMPRODUCT(--MID(P623,{1,2,3,4,5,6,7,8,9,10,11,12},1),{5,4,3,2,9,8,7,6,5,4,3,2}),11)),VALUE(MID(P623,14,1))=IF(MOD(SUMPRODUCT(--MID(P623,{1,2,3,4,5,6,7,8,9,10,11,12,13},1),{6,5,4,3,2,9,8,7,6,5,4,3,2}),11)&lt;2,0,11-MOD(SUMPRODUCT(--MID(P623,{1,2,3,4,5,6,7,8,9,10,11,12,13},1),{6,5,4,3,2,9,8,7,6,5,4,3,2}),11))),"OK","ERRO: dígito verificador")))))</f>
      </c>
      <c r="R623" s="6">
        <f>IF(P623="","",IF(COUNTIF($P$2:$P$1001,P623)&gt;1,"DUPLICADO","OK"))</f>
      </c>
      <c r="S623" s="6">
        <f>IF(AND(J623="",K623=""),"vazio",IF(AND(OR(J623="",LEN(SUBSTITUTE(SUBSTITUTE(SUBSTITUTE(SUBSTITUTE(SUBSTITUTE(SUBSTITUTE(SUBSTITUTE(TRIM(J623),".",""),"/",""),"-","")," ",""),"(",""),")",""),"+",""))=10,LEN(SUBSTITUTE(SUBSTITUTE(SUBSTITUTE(SUBSTITUTE(SUBSTITUTE(SUBSTITUTE(SUBSTITUTE(TRIM(J623),".",""),"/",""),"-","")," ",""),"(",""),")",""),"+",""))=11),OR(K623="",LEN(SUBSTITUTE(SUBSTITUTE(SUBSTITUTE(SUBSTITUTE(SUBSTITUTE(SUBSTITUTE(SUBSTITUTE(TRIM(K623),".",""),"/",""),"-","")," ",""),"(",""),")",""),"+",""))=10,LEN(SUBSTITUTE(SUBSTITUTE(SUBSTITUTE(SUBSTITUTE(SUBSTITUTE(SUBSTITUTE(SUBSTITUTE(TRIM(K623),".",""),"/",""),"-","")," ",""),"(",""),")",""),"+",""))=11)),"OK","ERRO: use DDD + número (10 ou 11 dígitos)"))</f>
      </c>
      <c r="T623" s="6">
        <f>IF(L623="","vazio",IF(AND(ISNUMBER(FIND("@",L623)),ISNUMBER(FIND(".",MID(L623,FIND("@",L623),99))),NOT(ISNUMBER(FIND(" ",TRIM(L623)))),NOT(ISNUMBER(FIND(";",L623))),NOT(ISNUMBER(FIND(",",L623)))),"OK","ERRO: um e-mail válido por linha"))</f>
      </c>
      <c r="U623" s="6">
        <f>IF(COUNTA(A623:O623)=0,"",IF(AND(B623&lt;&gt;"",C623&lt;&gt;"",D623&lt;&gt;"",E623&lt;&gt;"",H623&lt;&gt;"",OR(J623&lt;&gt;"",L623&lt;&gt;"")),"OK","ERRO: faltam "&amp;IF(B623="","Proprietário; ","")&amp;IF(C623="","Origem; ","")&amp;IF(D623="","CNPJ; ","")&amp;IF(E623="","Razão Social; ","")&amp;IF(H623="","Sobrenome; ","")&amp;IF(AND(J623="",L623=""),"telefone ou e-mail; ","")))</f>
      </c>
      <c r="V623" s="6">
        <f>IF(COUNTA(A623:O623)=0,"",IF(AND(Q623="OK",R623="OK",LEFT(S623,4)&lt;&gt;"ERRO",LEFT(T623,4)&lt;&gt;"ERRO",U623="OK"),"OK","REVISAR"))</f>
      </c>
    </row>
    <row r="624">
      <c r="A624" s="4"/>
      <c r="B624" s="5"/>
      <c r="C624" s="5"/>
      <c r="D624" s="5"/>
      <c r="E624" s="5"/>
      <c r="F624" s="4"/>
      <c r="G624" s="4"/>
      <c r="H624" s="5"/>
      <c r="I624" s="4"/>
      <c r="J624" s="4"/>
      <c r="K624" s="4"/>
      <c r="L624" s="4"/>
      <c r="M624" s="4"/>
      <c r="N624" s="4"/>
      <c r="O624" s="4"/>
      <c r="P624" s="6">
        <f>IF(D624="","",SUBSTITUTE(SUBSTITUTE(SUBSTITUTE(SUBSTITUTE(SUBSTITUTE(SUBSTITUTE(SUBSTITUTE(TRIM(D624),".",""),"/",""),"-","")," ",""),"(",""),")",""),"+",""))</f>
      </c>
      <c r="Q624" s="6">
        <f>IF(P624="","",IF(LEN(P624)&lt;&gt;14,"ERRO: "&amp;LEN(P624)&amp;" dígitos",IF(NOT(ISNUMBER(VALUE(P624))),"ERRO: não numérico",IF(LEN(SUBSTITUTE(P624,LEFT(P624,1),""))=0,"ERRO: dígitos repetidos",IF(AND(VALUE(MID(P624,13,1))=IF(MOD(SUMPRODUCT(--MID(P624,{1,2,3,4,5,6,7,8,9,10,11,12},1),{5,4,3,2,9,8,7,6,5,4,3,2}),11)&lt;2,0,11-MOD(SUMPRODUCT(--MID(P624,{1,2,3,4,5,6,7,8,9,10,11,12},1),{5,4,3,2,9,8,7,6,5,4,3,2}),11)),VALUE(MID(P624,14,1))=IF(MOD(SUMPRODUCT(--MID(P624,{1,2,3,4,5,6,7,8,9,10,11,12,13},1),{6,5,4,3,2,9,8,7,6,5,4,3,2}),11)&lt;2,0,11-MOD(SUMPRODUCT(--MID(P624,{1,2,3,4,5,6,7,8,9,10,11,12,13},1),{6,5,4,3,2,9,8,7,6,5,4,3,2}),11))),"OK","ERRO: dígito verificador")))))</f>
      </c>
      <c r="R624" s="6">
        <f>IF(P624="","",IF(COUNTIF($P$2:$P$1001,P624)&gt;1,"DUPLICADO","OK"))</f>
      </c>
      <c r="S624" s="6">
        <f>IF(AND(J624="",K624=""),"vazio",IF(AND(OR(J624="",LEN(SUBSTITUTE(SUBSTITUTE(SUBSTITUTE(SUBSTITUTE(SUBSTITUTE(SUBSTITUTE(SUBSTITUTE(TRIM(J624),".",""),"/",""),"-","")," ",""),"(",""),")",""),"+",""))=10,LEN(SUBSTITUTE(SUBSTITUTE(SUBSTITUTE(SUBSTITUTE(SUBSTITUTE(SUBSTITUTE(SUBSTITUTE(TRIM(J624),".",""),"/",""),"-","")," ",""),"(",""),")",""),"+",""))=11),OR(K624="",LEN(SUBSTITUTE(SUBSTITUTE(SUBSTITUTE(SUBSTITUTE(SUBSTITUTE(SUBSTITUTE(SUBSTITUTE(TRIM(K624),".",""),"/",""),"-","")," ",""),"(",""),")",""),"+",""))=10,LEN(SUBSTITUTE(SUBSTITUTE(SUBSTITUTE(SUBSTITUTE(SUBSTITUTE(SUBSTITUTE(SUBSTITUTE(TRIM(K624),".",""),"/",""),"-","")," ",""),"(",""),")",""),"+",""))=11)),"OK","ERRO: use DDD + número (10 ou 11 dígitos)"))</f>
      </c>
      <c r="T624" s="6">
        <f>IF(L624="","vazio",IF(AND(ISNUMBER(FIND("@",L624)),ISNUMBER(FIND(".",MID(L624,FIND("@",L624),99))),NOT(ISNUMBER(FIND(" ",TRIM(L624)))),NOT(ISNUMBER(FIND(";",L624))),NOT(ISNUMBER(FIND(",",L624)))),"OK","ERRO: um e-mail válido por linha"))</f>
      </c>
      <c r="U624" s="6">
        <f>IF(COUNTA(A624:O624)=0,"",IF(AND(B624&lt;&gt;"",C624&lt;&gt;"",D624&lt;&gt;"",E624&lt;&gt;"",H624&lt;&gt;"",OR(J624&lt;&gt;"",L624&lt;&gt;"")),"OK","ERRO: faltam "&amp;IF(B624="","Proprietário; ","")&amp;IF(C624="","Origem; ","")&amp;IF(D624="","CNPJ; ","")&amp;IF(E624="","Razão Social; ","")&amp;IF(H624="","Sobrenome; ","")&amp;IF(AND(J624="",L624=""),"telefone ou e-mail; ","")))</f>
      </c>
      <c r="V624" s="6">
        <f>IF(COUNTA(A624:O624)=0,"",IF(AND(Q624="OK",R624="OK",LEFT(S624,4)&lt;&gt;"ERRO",LEFT(T624,4)&lt;&gt;"ERRO",U624="OK"),"OK","REVISAR"))</f>
      </c>
    </row>
    <row r="625">
      <c r="A625" s="4"/>
      <c r="B625" s="5"/>
      <c r="C625" s="5"/>
      <c r="D625" s="5"/>
      <c r="E625" s="5"/>
      <c r="F625" s="4"/>
      <c r="G625" s="4"/>
      <c r="H625" s="5"/>
      <c r="I625" s="4"/>
      <c r="J625" s="4"/>
      <c r="K625" s="4"/>
      <c r="L625" s="4"/>
      <c r="M625" s="4"/>
      <c r="N625" s="4"/>
      <c r="O625" s="4"/>
      <c r="P625" s="6">
        <f>IF(D625="","",SUBSTITUTE(SUBSTITUTE(SUBSTITUTE(SUBSTITUTE(SUBSTITUTE(SUBSTITUTE(SUBSTITUTE(TRIM(D625),".",""),"/",""),"-","")," ",""),"(",""),")",""),"+",""))</f>
      </c>
      <c r="Q625" s="6">
        <f>IF(P625="","",IF(LEN(P625)&lt;&gt;14,"ERRO: "&amp;LEN(P625)&amp;" dígitos",IF(NOT(ISNUMBER(VALUE(P625))),"ERRO: não numérico",IF(LEN(SUBSTITUTE(P625,LEFT(P625,1),""))=0,"ERRO: dígitos repetidos",IF(AND(VALUE(MID(P625,13,1))=IF(MOD(SUMPRODUCT(--MID(P625,{1,2,3,4,5,6,7,8,9,10,11,12},1),{5,4,3,2,9,8,7,6,5,4,3,2}),11)&lt;2,0,11-MOD(SUMPRODUCT(--MID(P625,{1,2,3,4,5,6,7,8,9,10,11,12},1),{5,4,3,2,9,8,7,6,5,4,3,2}),11)),VALUE(MID(P625,14,1))=IF(MOD(SUMPRODUCT(--MID(P625,{1,2,3,4,5,6,7,8,9,10,11,12,13},1),{6,5,4,3,2,9,8,7,6,5,4,3,2}),11)&lt;2,0,11-MOD(SUMPRODUCT(--MID(P625,{1,2,3,4,5,6,7,8,9,10,11,12,13},1),{6,5,4,3,2,9,8,7,6,5,4,3,2}),11))),"OK","ERRO: dígito verificador")))))</f>
      </c>
      <c r="R625" s="6">
        <f>IF(P625="","",IF(COUNTIF($P$2:$P$1001,P625)&gt;1,"DUPLICADO","OK"))</f>
      </c>
      <c r="S625" s="6">
        <f>IF(AND(J625="",K625=""),"vazio",IF(AND(OR(J625="",LEN(SUBSTITUTE(SUBSTITUTE(SUBSTITUTE(SUBSTITUTE(SUBSTITUTE(SUBSTITUTE(SUBSTITUTE(TRIM(J625),".",""),"/",""),"-","")," ",""),"(",""),")",""),"+",""))=10,LEN(SUBSTITUTE(SUBSTITUTE(SUBSTITUTE(SUBSTITUTE(SUBSTITUTE(SUBSTITUTE(SUBSTITUTE(TRIM(J625),".",""),"/",""),"-","")," ",""),"(",""),")",""),"+",""))=11),OR(K625="",LEN(SUBSTITUTE(SUBSTITUTE(SUBSTITUTE(SUBSTITUTE(SUBSTITUTE(SUBSTITUTE(SUBSTITUTE(TRIM(K625),".",""),"/",""),"-","")," ",""),"(",""),")",""),"+",""))=10,LEN(SUBSTITUTE(SUBSTITUTE(SUBSTITUTE(SUBSTITUTE(SUBSTITUTE(SUBSTITUTE(SUBSTITUTE(TRIM(K625),".",""),"/",""),"-","")," ",""),"(",""),")",""),"+",""))=11)),"OK","ERRO: use DDD + número (10 ou 11 dígitos)"))</f>
      </c>
      <c r="T625" s="6">
        <f>IF(L625="","vazio",IF(AND(ISNUMBER(FIND("@",L625)),ISNUMBER(FIND(".",MID(L625,FIND("@",L625),99))),NOT(ISNUMBER(FIND(" ",TRIM(L625)))),NOT(ISNUMBER(FIND(";",L625))),NOT(ISNUMBER(FIND(",",L625)))),"OK","ERRO: um e-mail válido por linha"))</f>
      </c>
      <c r="U625" s="6">
        <f>IF(COUNTA(A625:O625)=0,"",IF(AND(B625&lt;&gt;"",C625&lt;&gt;"",D625&lt;&gt;"",E625&lt;&gt;"",H625&lt;&gt;"",OR(J625&lt;&gt;"",L625&lt;&gt;"")),"OK","ERRO: faltam "&amp;IF(B625="","Proprietário; ","")&amp;IF(C625="","Origem; ","")&amp;IF(D625="","CNPJ; ","")&amp;IF(E625="","Razão Social; ","")&amp;IF(H625="","Sobrenome; ","")&amp;IF(AND(J625="",L625=""),"telefone ou e-mail; ","")))</f>
      </c>
      <c r="V625" s="6">
        <f>IF(COUNTA(A625:O625)=0,"",IF(AND(Q625="OK",R625="OK",LEFT(S625,4)&lt;&gt;"ERRO",LEFT(T625,4)&lt;&gt;"ERRO",U625="OK"),"OK","REVISAR"))</f>
      </c>
    </row>
    <row r="626">
      <c r="A626" s="4"/>
      <c r="B626" s="5"/>
      <c r="C626" s="5"/>
      <c r="D626" s="5"/>
      <c r="E626" s="5"/>
      <c r="F626" s="4"/>
      <c r="G626" s="4"/>
      <c r="H626" s="5"/>
      <c r="I626" s="4"/>
      <c r="J626" s="4"/>
      <c r="K626" s="4"/>
      <c r="L626" s="4"/>
      <c r="M626" s="4"/>
      <c r="N626" s="4"/>
      <c r="O626" s="4"/>
      <c r="P626" s="6">
        <f>IF(D626="","",SUBSTITUTE(SUBSTITUTE(SUBSTITUTE(SUBSTITUTE(SUBSTITUTE(SUBSTITUTE(SUBSTITUTE(TRIM(D626),".",""),"/",""),"-","")," ",""),"(",""),")",""),"+",""))</f>
      </c>
      <c r="Q626" s="6">
        <f>IF(P626="","",IF(LEN(P626)&lt;&gt;14,"ERRO: "&amp;LEN(P626)&amp;" dígitos",IF(NOT(ISNUMBER(VALUE(P626))),"ERRO: não numérico",IF(LEN(SUBSTITUTE(P626,LEFT(P626,1),""))=0,"ERRO: dígitos repetidos",IF(AND(VALUE(MID(P626,13,1))=IF(MOD(SUMPRODUCT(--MID(P626,{1,2,3,4,5,6,7,8,9,10,11,12},1),{5,4,3,2,9,8,7,6,5,4,3,2}),11)&lt;2,0,11-MOD(SUMPRODUCT(--MID(P626,{1,2,3,4,5,6,7,8,9,10,11,12},1),{5,4,3,2,9,8,7,6,5,4,3,2}),11)),VALUE(MID(P626,14,1))=IF(MOD(SUMPRODUCT(--MID(P626,{1,2,3,4,5,6,7,8,9,10,11,12,13},1),{6,5,4,3,2,9,8,7,6,5,4,3,2}),11)&lt;2,0,11-MOD(SUMPRODUCT(--MID(P626,{1,2,3,4,5,6,7,8,9,10,11,12,13},1),{6,5,4,3,2,9,8,7,6,5,4,3,2}),11))),"OK","ERRO: dígito verificador")))))</f>
      </c>
      <c r="R626" s="6">
        <f>IF(P626="","",IF(COUNTIF($P$2:$P$1001,P626)&gt;1,"DUPLICADO","OK"))</f>
      </c>
      <c r="S626" s="6">
        <f>IF(AND(J626="",K626=""),"vazio",IF(AND(OR(J626="",LEN(SUBSTITUTE(SUBSTITUTE(SUBSTITUTE(SUBSTITUTE(SUBSTITUTE(SUBSTITUTE(SUBSTITUTE(TRIM(J626),".",""),"/",""),"-","")," ",""),"(",""),")",""),"+",""))=10,LEN(SUBSTITUTE(SUBSTITUTE(SUBSTITUTE(SUBSTITUTE(SUBSTITUTE(SUBSTITUTE(SUBSTITUTE(TRIM(J626),".",""),"/",""),"-","")," ",""),"(",""),")",""),"+",""))=11),OR(K626="",LEN(SUBSTITUTE(SUBSTITUTE(SUBSTITUTE(SUBSTITUTE(SUBSTITUTE(SUBSTITUTE(SUBSTITUTE(TRIM(K626),".",""),"/",""),"-","")," ",""),"(",""),")",""),"+",""))=10,LEN(SUBSTITUTE(SUBSTITUTE(SUBSTITUTE(SUBSTITUTE(SUBSTITUTE(SUBSTITUTE(SUBSTITUTE(TRIM(K626),".",""),"/",""),"-","")," ",""),"(",""),")",""),"+",""))=11)),"OK","ERRO: use DDD + número (10 ou 11 dígitos)"))</f>
      </c>
      <c r="T626" s="6">
        <f>IF(L626="","vazio",IF(AND(ISNUMBER(FIND("@",L626)),ISNUMBER(FIND(".",MID(L626,FIND("@",L626),99))),NOT(ISNUMBER(FIND(" ",TRIM(L626)))),NOT(ISNUMBER(FIND(";",L626))),NOT(ISNUMBER(FIND(",",L626)))),"OK","ERRO: um e-mail válido por linha"))</f>
      </c>
      <c r="U626" s="6">
        <f>IF(COUNTA(A626:O626)=0,"",IF(AND(B626&lt;&gt;"",C626&lt;&gt;"",D626&lt;&gt;"",E626&lt;&gt;"",H626&lt;&gt;"",OR(J626&lt;&gt;"",L626&lt;&gt;"")),"OK","ERRO: faltam "&amp;IF(B626="","Proprietário; ","")&amp;IF(C626="","Origem; ","")&amp;IF(D626="","CNPJ; ","")&amp;IF(E626="","Razão Social; ","")&amp;IF(H626="","Sobrenome; ","")&amp;IF(AND(J626="",L626=""),"telefone ou e-mail; ","")))</f>
      </c>
      <c r="V626" s="6">
        <f>IF(COUNTA(A626:O626)=0,"",IF(AND(Q626="OK",R626="OK",LEFT(S626,4)&lt;&gt;"ERRO",LEFT(T626,4)&lt;&gt;"ERRO",U626="OK"),"OK","REVISAR"))</f>
      </c>
    </row>
    <row r="627">
      <c r="A627" s="4"/>
      <c r="B627" s="5"/>
      <c r="C627" s="5"/>
      <c r="D627" s="5"/>
      <c r="E627" s="5"/>
      <c r="F627" s="4"/>
      <c r="G627" s="4"/>
      <c r="H627" s="5"/>
      <c r="I627" s="4"/>
      <c r="J627" s="4"/>
      <c r="K627" s="4"/>
      <c r="L627" s="4"/>
      <c r="M627" s="4"/>
      <c r="N627" s="4"/>
      <c r="O627" s="4"/>
      <c r="P627" s="6">
        <f>IF(D627="","",SUBSTITUTE(SUBSTITUTE(SUBSTITUTE(SUBSTITUTE(SUBSTITUTE(SUBSTITUTE(SUBSTITUTE(TRIM(D627),".",""),"/",""),"-","")," ",""),"(",""),")",""),"+",""))</f>
      </c>
      <c r="Q627" s="6">
        <f>IF(P627="","",IF(LEN(P627)&lt;&gt;14,"ERRO: "&amp;LEN(P627)&amp;" dígitos",IF(NOT(ISNUMBER(VALUE(P627))),"ERRO: não numérico",IF(LEN(SUBSTITUTE(P627,LEFT(P627,1),""))=0,"ERRO: dígitos repetidos",IF(AND(VALUE(MID(P627,13,1))=IF(MOD(SUMPRODUCT(--MID(P627,{1,2,3,4,5,6,7,8,9,10,11,12},1),{5,4,3,2,9,8,7,6,5,4,3,2}),11)&lt;2,0,11-MOD(SUMPRODUCT(--MID(P627,{1,2,3,4,5,6,7,8,9,10,11,12},1),{5,4,3,2,9,8,7,6,5,4,3,2}),11)),VALUE(MID(P627,14,1))=IF(MOD(SUMPRODUCT(--MID(P627,{1,2,3,4,5,6,7,8,9,10,11,12,13},1),{6,5,4,3,2,9,8,7,6,5,4,3,2}),11)&lt;2,0,11-MOD(SUMPRODUCT(--MID(P627,{1,2,3,4,5,6,7,8,9,10,11,12,13},1),{6,5,4,3,2,9,8,7,6,5,4,3,2}),11))),"OK","ERRO: dígito verificador")))))</f>
      </c>
      <c r="R627" s="6">
        <f>IF(P627="","",IF(COUNTIF($P$2:$P$1001,P627)&gt;1,"DUPLICADO","OK"))</f>
      </c>
      <c r="S627" s="6">
        <f>IF(AND(J627="",K627=""),"vazio",IF(AND(OR(J627="",LEN(SUBSTITUTE(SUBSTITUTE(SUBSTITUTE(SUBSTITUTE(SUBSTITUTE(SUBSTITUTE(SUBSTITUTE(TRIM(J627),".",""),"/",""),"-","")," ",""),"(",""),")",""),"+",""))=10,LEN(SUBSTITUTE(SUBSTITUTE(SUBSTITUTE(SUBSTITUTE(SUBSTITUTE(SUBSTITUTE(SUBSTITUTE(TRIM(J627),".",""),"/",""),"-","")," ",""),"(",""),")",""),"+",""))=11),OR(K627="",LEN(SUBSTITUTE(SUBSTITUTE(SUBSTITUTE(SUBSTITUTE(SUBSTITUTE(SUBSTITUTE(SUBSTITUTE(TRIM(K627),".",""),"/",""),"-","")," ",""),"(",""),")",""),"+",""))=10,LEN(SUBSTITUTE(SUBSTITUTE(SUBSTITUTE(SUBSTITUTE(SUBSTITUTE(SUBSTITUTE(SUBSTITUTE(TRIM(K627),".",""),"/",""),"-","")," ",""),"(",""),")",""),"+",""))=11)),"OK","ERRO: use DDD + número (10 ou 11 dígitos)"))</f>
      </c>
      <c r="T627" s="6">
        <f>IF(L627="","vazio",IF(AND(ISNUMBER(FIND("@",L627)),ISNUMBER(FIND(".",MID(L627,FIND("@",L627),99))),NOT(ISNUMBER(FIND(" ",TRIM(L627)))),NOT(ISNUMBER(FIND(";",L627))),NOT(ISNUMBER(FIND(",",L627)))),"OK","ERRO: um e-mail válido por linha"))</f>
      </c>
      <c r="U627" s="6">
        <f>IF(COUNTA(A627:O627)=0,"",IF(AND(B627&lt;&gt;"",C627&lt;&gt;"",D627&lt;&gt;"",E627&lt;&gt;"",H627&lt;&gt;"",OR(J627&lt;&gt;"",L627&lt;&gt;"")),"OK","ERRO: faltam "&amp;IF(B627="","Proprietário; ","")&amp;IF(C627="","Origem; ","")&amp;IF(D627="","CNPJ; ","")&amp;IF(E627="","Razão Social; ","")&amp;IF(H627="","Sobrenome; ","")&amp;IF(AND(J627="",L627=""),"telefone ou e-mail; ","")))</f>
      </c>
      <c r="V627" s="6">
        <f>IF(COUNTA(A627:O627)=0,"",IF(AND(Q627="OK",R627="OK",LEFT(S627,4)&lt;&gt;"ERRO",LEFT(T627,4)&lt;&gt;"ERRO",U627="OK"),"OK","REVISAR"))</f>
      </c>
    </row>
    <row r="628">
      <c r="A628" s="4"/>
      <c r="B628" s="5"/>
      <c r="C628" s="5"/>
      <c r="D628" s="5"/>
      <c r="E628" s="5"/>
      <c r="F628" s="4"/>
      <c r="G628" s="4"/>
      <c r="H628" s="5"/>
      <c r="I628" s="4"/>
      <c r="J628" s="4"/>
      <c r="K628" s="4"/>
      <c r="L628" s="4"/>
      <c r="M628" s="4"/>
      <c r="N628" s="4"/>
      <c r="O628" s="4"/>
      <c r="P628" s="6">
        <f>IF(D628="","",SUBSTITUTE(SUBSTITUTE(SUBSTITUTE(SUBSTITUTE(SUBSTITUTE(SUBSTITUTE(SUBSTITUTE(TRIM(D628),".",""),"/",""),"-","")," ",""),"(",""),")",""),"+",""))</f>
      </c>
      <c r="Q628" s="6">
        <f>IF(P628="","",IF(LEN(P628)&lt;&gt;14,"ERRO: "&amp;LEN(P628)&amp;" dígitos",IF(NOT(ISNUMBER(VALUE(P628))),"ERRO: não numérico",IF(LEN(SUBSTITUTE(P628,LEFT(P628,1),""))=0,"ERRO: dígitos repetidos",IF(AND(VALUE(MID(P628,13,1))=IF(MOD(SUMPRODUCT(--MID(P628,{1,2,3,4,5,6,7,8,9,10,11,12},1),{5,4,3,2,9,8,7,6,5,4,3,2}),11)&lt;2,0,11-MOD(SUMPRODUCT(--MID(P628,{1,2,3,4,5,6,7,8,9,10,11,12},1),{5,4,3,2,9,8,7,6,5,4,3,2}),11)),VALUE(MID(P628,14,1))=IF(MOD(SUMPRODUCT(--MID(P628,{1,2,3,4,5,6,7,8,9,10,11,12,13},1),{6,5,4,3,2,9,8,7,6,5,4,3,2}),11)&lt;2,0,11-MOD(SUMPRODUCT(--MID(P628,{1,2,3,4,5,6,7,8,9,10,11,12,13},1),{6,5,4,3,2,9,8,7,6,5,4,3,2}),11))),"OK","ERRO: dígito verificador")))))</f>
      </c>
      <c r="R628" s="6">
        <f>IF(P628="","",IF(COUNTIF($P$2:$P$1001,P628)&gt;1,"DUPLICADO","OK"))</f>
      </c>
      <c r="S628" s="6">
        <f>IF(AND(J628="",K628=""),"vazio",IF(AND(OR(J628="",LEN(SUBSTITUTE(SUBSTITUTE(SUBSTITUTE(SUBSTITUTE(SUBSTITUTE(SUBSTITUTE(SUBSTITUTE(TRIM(J628),".",""),"/",""),"-","")," ",""),"(",""),")",""),"+",""))=10,LEN(SUBSTITUTE(SUBSTITUTE(SUBSTITUTE(SUBSTITUTE(SUBSTITUTE(SUBSTITUTE(SUBSTITUTE(TRIM(J628),".",""),"/",""),"-","")," ",""),"(",""),")",""),"+",""))=11),OR(K628="",LEN(SUBSTITUTE(SUBSTITUTE(SUBSTITUTE(SUBSTITUTE(SUBSTITUTE(SUBSTITUTE(SUBSTITUTE(TRIM(K628),".",""),"/",""),"-","")," ",""),"(",""),")",""),"+",""))=10,LEN(SUBSTITUTE(SUBSTITUTE(SUBSTITUTE(SUBSTITUTE(SUBSTITUTE(SUBSTITUTE(SUBSTITUTE(TRIM(K628),".",""),"/",""),"-","")," ",""),"(",""),")",""),"+",""))=11)),"OK","ERRO: use DDD + número (10 ou 11 dígitos)"))</f>
      </c>
      <c r="T628" s="6">
        <f>IF(L628="","vazio",IF(AND(ISNUMBER(FIND("@",L628)),ISNUMBER(FIND(".",MID(L628,FIND("@",L628),99))),NOT(ISNUMBER(FIND(" ",TRIM(L628)))),NOT(ISNUMBER(FIND(";",L628))),NOT(ISNUMBER(FIND(",",L628)))),"OK","ERRO: um e-mail válido por linha"))</f>
      </c>
      <c r="U628" s="6">
        <f>IF(COUNTA(A628:O628)=0,"",IF(AND(B628&lt;&gt;"",C628&lt;&gt;"",D628&lt;&gt;"",E628&lt;&gt;"",H628&lt;&gt;"",OR(J628&lt;&gt;"",L628&lt;&gt;"")),"OK","ERRO: faltam "&amp;IF(B628="","Proprietário; ","")&amp;IF(C628="","Origem; ","")&amp;IF(D628="","CNPJ; ","")&amp;IF(E628="","Razão Social; ","")&amp;IF(H628="","Sobrenome; ","")&amp;IF(AND(J628="",L628=""),"telefone ou e-mail; ","")))</f>
      </c>
      <c r="V628" s="6">
        <f>IF(COUNTA(A628:O628)=0,"",IF(AND(Q628="OK",R628="OK",LEFT(S628,4)&lt;&gt;"ERRO",LEFT(T628,4)&lt;&gt;"ERRO",U628="OK"),"OK","REVISAR"))</f>
      </c>
    </row>
    <row r="629">
      <c r="A629" s="4"/>
      <c r="B629" s="5"/>
      <c r="C629" s="5"/>
      <c r="D629" s="5"/>
      <c r="E629" s="5"/>
      <c r="F629" s="4"/>
      <c r="G629" s="4"/>
      <c r="H629" s="5"/>
      <c r="I629" s="4"/>
      <c r="J629" s="4"/>
      <c r="K629" s="4"/>
      <c r="L629" s="4"/>
      <c r="M629" s="4"/>
      <c r="N629" s="4"/>
      <c r="O629" s="4"/>
      <c r="P629" s="6">
        <f>IF(D629="","",SUBSTITUTE(SUBSTITUTE(SUBSTITUTE(SUBSTITUTE(SUBSTITUTE(SUBSTITUTE(SUBSTITUTE(TRIM(D629),".",""),"/",""),"-","")," ",""),"(",""),")",""),"+",""))</f>
      </c>
      <c r="Q629" s="6">
        <f>IF(P629="","",IF(LEN(P629)&lt;&gt;14,"ERRO: "&amp;LEN(P629)&amp;" dígitos",IF(NOT(ISNUMBER(VALUE(P629))),"ERRO: não numérico",IF(LEN(SUBSTITUTE(P629,LEFT(P629,1),""))=0,"ERRO: dígitos repetidos",IF(AND(VALUE(MID(P629,13,1))=IF(MOD(SUMPRODUCT(--MID(P629,{1,2,3,4,5,6,7,8,9,10,11,12},1),{5,4,3,2,9,8,7,6,5,4,3,2}),11)&lt;2,0,11-MOD(SUMPRODUCT(--MID(P629,{1,2,3,4,5,6,7,8,9,10,11,12},1),{5,4,3,2,9,8,7,6,5,4,3,2}),11)),VALUE(MID(P629,14,1))=IF(MOD(SUMPRODUCT(--MID(P629,{1,2,3,4,5,6,7,8,9,10,11,12,13},1),{6,5,4,3,2,9,8,7,6,5,4,3,2}),11)&lt;2,0,11-MOD(SUMPRODUCT(--MID(P629,{1,2,3,4,5,6,7,8,9,10,11,12,13},1),{6,5,4,3,2,9,8,7,6,5,4,3,2}),11))),"OK","ERRO: dígito verificador")))))</f>
      </c>
      <c r="R629" s="6">
        <f>IF(P629="","",IF(COUNTIF($P$2:$P$1001,P629)&gt;1,"DUPLICADO","OK"))</f>
      </c>
      <c r="S629" s="6">
        <f>IF(AND(J629="",K629=""),"vazio",IF(AND(OR(J629="",LEN(SUBSTITUTE(SUBSTITUTE(SUBSTITUTE(SUBSTITUTE(SUBSTITUTE(SUBSTITUTE(SUBSTITUTE(TRIM(J629),".",""),"/",""),"-","")," ",""),"(",""),")",""),"+",""))=10,LEN(SUBSTITUTE(SUBSTITUTE(SUBSTITUTE(SUBSTITUTE(SUBSTITUTE(SUBSTITUTE(SUBSTITUTE(TRIM(J629),".",""),"/",""),"-","")," ",""),"(",""),")",""),"+",""))=11),OR(K629="",LEN(SUBSTITUTE(SUBSTITUTE(SUBSTITUTE(SUBSTITUTE(SUBSTITUTE(SUBSTITUTE(SUBSTITUTE(TRIM(K629),".",""),"/",""),"-","")," ",""),"(",""),")",""),"+",""))=10,LEN(SUBSTITUTE(SUBSTITUTE(SUBSTITUTE(SUBSTITUTE(SUBSTITUTE(SUBSTITUTE(SUBSTITUTE(TRIM(K629),".",""),"/",""),"-","")," ",""),"(",""),")",""),"+",""))=11)),"OK","ERRO: use DDD + número (10 ou 11 dígitos)"))</f>
      </c>
      <c r="T629" s="6">
        <f>IF(L629="","vazio",IF(AND(ISNUMBER(FIND("@",L629)),ISNUMBER(FIND(".",MID(L629,FIND("@",L629),99))),NOT(ISNUMBER(FIND(" ",TRIM(L629)))),NOT(ISNUMBER(FIND(";",L629))),NOT(ISNUMBER(FIND(",",L629)))),"OK","ERRO: um e-mail válido por linha"))</f>
      </c>
      <c r="U629" s="6">
        <f>IF(COUNTA(A629:O629)=0,"",IF(AND(B629&lt;&gt;"",C629&lt;&gt;"",D629&lt;&gt;"",E629&lt;&gt;"",H629&lt;&gt;"",OR(J629&lt;&gt;"",L629&lt;&gt;"")),"OK","ERRO: faltam "&amp;IF(B629="","Proprietário; ","")&amp;IF(C629="","Origem; ","")&amp;IF(D629="","CNPJ; ","")&amp;IF(E629="","Razão Social; ","")&amp;IF(H629="","Sobrenome; ","")&amp;IF(AND(J629="",L629=""),"telefone ou e-mail; ","")))</f>
      </c>
      <c r="V629" s="6">
        <f>IF(COUNTA(A629:O629)=0,"",IF(AND(Q629="OK",R629="OK",LEFT(S629,4)&lt;&gt;"ERRO",LEFT(T629,4)&lt;&gt;"ERRO",U629="OK"),"OK","REVISAR"))</f>
      </c>
    </row>
    <row r="630">
      <c r="A630" s="4"/>
      <c r="B630" s="5"/>
      <c r="C630" s="5"/>
      <c r="D630" s="5"/>
      <c r="E630" s="5"/>
      <c r="F630" s="4"/>
      <c r="G630" s="4"/>
      <c r="H630" s="5"/>
      <c r="I630" s="4"/>
      <c r="J630" s="4"/>
      <c r="K630" s="4"/>
      <c r="L630" s="4"/>
      <c r="M630" s="4"/>
      <c r="N630" s="4"/>
      <c r="O630" s="4"/>
      <c r="P630" s="6">
        <f>IF(D630="","",SUBSTITUTE(SUBSTITUTE(SUBSTITUTE(SUBSTITUTE(SUBSTITUTE(SUBSTITUTE(SUBSTITUTE(TRIM(D630),".",""),"/",""),"-","")," ",""),"(",""),")",""),"+",""))</f>
      </c>
      <c r="Q630" s="6">
        <f>IF(P630="","",IF(LEN(P630)&lt;&gt;14,"ERRO: "&amp;LEN(P630)&amp;" dígitos",IF(NOT(ISNUMBER(VALUE(P630))),"ERRO: não numérico",IF(LEN(SUBSTITUTE(P630,LEFT(P630,1),""))=0,"ERRO: dígitos repetidos",IF(AND(VALUE(MID(P630,13,1))=IF(MOD(SUMPRODUCT(--MID(P630,{1,2,3,4,5,6,7,8,9,10,11,12},1),{5,4,3,2,9,8,7,6,5,4,3,2}),11)&lt;2,0,11-MOD(SUMPRODUCT(--MID(P630,{1,2,3,4,5,6,7,8,9,10,11,12},1),{5,4,3,2,9,8,7,6,5,4,3,2}),11)),VALUE(MID(P630,14,1))=IF(MOD(SUMPRODUCT(--MID(P630,{1,2,3,4,5,6,7,8,9,10,11,12,13},1),{6,5,4,3,2,9,8,7,6,5,4,3,2}),11)&lt;2,0,11-MOD(SUMPRODUCT(--MID(P630,{1,2,3,4,5,6,7,8,9,10,11,12,13},1),{6,5,4,3,2,9,8,7,6,5,4,3,2}),11))),"OK","ERRO: dígito verificador")))))</f>
      </c>
      <c r="R630" s="6">
        <f>IF(P630="","",IF(COUNTIF($P$2:$P$1001,P630)&gt;1,"DUPLICADO","OK"))</f>
      </c>
      <c r="S630" s="6">
        <f>IF(AND(J630="",K630=""),"vazio",IF(AND(OR(J630="",LEN(SUBSTITUTE(SUBSTITUTE(SUBSTITUTE(SUBSTITUTE(SUBSTITUTE(SUBSTITUTE(SUBSTITUTE(TRIM(J630),".",""),"/",""),"-","")," ",""),"(",""),")",""),"+",""))=10,LEN(SUBSTITUTE(SUBSTITUTE(SUBSTITUTE(SUBSTITUTE(SUBSTITUTE(SUBSTITUTE(SUBSTITUTE(TRIM(J630),".",""),"/",""),"-","")," ",""),"(",""),")",""),"+",""))=11),OR(K630="",LEN(SUBSTITUTE(SUBSTITUTE(SUBSTITUTE(SUBSTITUTE(SUBSTITUTE(SUBSTITUTE(SUBSTITUTE(TRIM(K630),".",""),"/",""),"-","")," ",""),"(",""),")",""),"+",""))=10,LEN(SUBSTITUTE(SUBSTITUTE(SUBSTITUTE(SUBSTITUTE(SUBSTITUTE(SUBSTITUTE(SUBSTITUTE(TRIM(K630),".",""),"/",""),"-","")," ",""),"(",""),")",""),"+",""))=11)),"OK","ERRO: use DDD + número (10 ou 11 dígitos)"))</f>
      </c>
      <c r="T630" s="6">
        <f>IF(L630="","vazio",IF(AND(ISNUMBER(FIND("@",L630)),ISNUMBER(FIND(".",MID(L630,FIND("@",L630),99))),NOT(ISNUMBER(FIND(" ",TRIM(L630)))),NOT(ISNUMBER(FIND(";",L630))),NOT(ISNUMBER(FIND(",",L630)))),"OK","ERRO: um e-mail válido por linha"))</f>
      </c>
      <c r="U630" s="6">
        <f>IF(COUNTA(A630:O630)=0,"",IF(AND(B630&lt;&gt;"",C630&lt;&gt;"",D630&lt;&gt;"",E630&lt;&gt;"",H630&lt;&gt;"",OR(J630&lt;&gt;"",L630&lt;&gt;"")),"OK","ERRO: faltam "&amp;IF(B630="","Proprietário; ","")&amp;IF(C630="","Origem; ","")&amp;IF(D630="","CNPJ; ","")&amp;IF(E630="","Razão Social; ","")&amp;IF(H630="","Sobrenome; ","")&amp;IF(AND(J630="",L630=""),"telefone ou e-mail; ","")))</f>
      </c>
      <c r="V630" s="6">
        <f>IF(COUNTA(A630:O630)=0,"",IF(AND(Q630="OK",R630="OK",LEFT(S630,4)&lt;&gt;"ERRO",LEFT(T630,4)&lt;&gt;"ERRO",U630="OK"),"OK","REVISAR"))</f>
      </c>
    </row>
    <row r="631">
      <c r="A631" s="4"/>
      <c r="B631" s="5"/>
      <c r="C631" s="5"/>
      <c r="D631" s="5"/>
      <c r="E631" s="5"/>
      <c r="F631" s="4"/>
      <c r="G631" s="4"/>
      <c r="H631" s="5"/>
      <c r="I631" s="4"/>
      <c r="J631" s="4"/>
      <c r="K631" s="4"/>
      <c r="L631" s="4"/>
      <c r="M631" s="4"/>
      <c r="N631" s="4"/>
      <c r="O631" s="4"/>
      <c r="P631" s="6">
        <f>IF(D631="","",SUBSTITUTE(SUBSTITUTE(SUBSTITUTE(SUBSTITUTE(SUBSTITUTE(SUBSTITUTE(SUBSTITUTE(TRIM(D631),".",""),"/",""),"-","")," ",""),"(",""),")",""),"+",""))</f>
      </c>
      <c r="Q631" s="6">
        <f>IF(P631="","",IF(LEN(P631)&lt;&gt;14,"ERRO: "&amp;LEN(P631)&amp;" dígitos",IF(NOT(ISNUMBER(VALUE(P631))),"ERRO: não numérico",IF(LEN(SUBSTITUTE(P631,LEFT(P631,1),""))=0,"ERRO: dígitos repetidos",IF(AND(VALUE(MID(P631,13,1))=IF(MOD(SUMPRODUCT(--MID(P631,{1,2,3,4,5,6,7,8,9,10,11,12},1),{5,4,3,2,9,8,7,6,5,4,3,2}),11)&lt;2,0,11-MOD(SUMPRODUCT(--MID(P631,{1,2,3,4,5,6,7,8,9,10,11,12},1),{5,4,3,2,9,8,7,6,5,4,3,2}),11)),VALUE(MID(P631,14,1))=IF(MOD(SUMPRODUCT(--MID(P631,{1,2,3,4,5,6,7,8,9,10,11,12,13},1),{6,5,4,3,2,9,8,7,6,5,4,3,2}),11)&lt;2,0,11-MOD(SUMPRODUCT(--MID(P631,{1,2,3,4,5,6,7,8,9,10,11,12,13},1),{6,5,4,3,2,9,8,7,6,5,4,3,2}),11))),"OK","ERRO: dígito verificador")))))</f>
      </c>
      <c r="R631" s="6">
        <f>IF(P631="","",IF(COUNTIF($P$2:$P$1001,P631)&gt;1,"DUPLICADO","OK"))</f>
      </c>
      <c r="S631" s="6">
        <f>IF(AND(J631="",K631=""),"vazio",IF(AND(OR(J631="",LEN(SUBSTITUTE(SUBSTITUTE(SUBSTITUTE(SUBSTITUTE(SUBSTITUTE(SUBSTITUTE(SUBSTITUTE(TRIM(J631),".",""),"/",""),"-","")," ",""),"(",""),")",""),"+",""))=10,LEN(SUBSTITUTE(SUBSTITUTE(SUBSTITUTE(SUBSTITUTE(SUBSTITUTE(SUBSTITUTE(SUBSTITUTE(TRIM(J631),".",""),"/",""),"-","")," ",""),"(",""),")",""),"+",""))=11),OR(K631="",LEN(SUBSTITUTE(SUBSTITUTE(SUBSTITUTE(SUBSTITUTE(SUBSTITUTE(SUBSTITUTE(SUBSTITUTE(TRIM(K631),".",""),"/",""),"-","")," ",""),"(",""),")",""),"+",""))=10,LEN(SUBSTITUTE(SUBSTITUTE(SUBSTITUTE(SUBSTITUTE(SUBSTITUTE(SUBSTITUTE(SUBSTITUTE(TRIM(K631),".",""),"/",""),"-","")," ",""),"(",""),")",""),"+",""))=11)),"OK","ERRO: use DDD + número (10 ou 11 dígitos)"))</f>
      </c>
      <c r="T631" s="6">
        <f>IF(L631="","vazio",IF(AND(ISNUMBER(FIND("@",L631)),ISNUMBER(FIND(".",MID(L631,FIND("@",L631),99))),NOT(ISNUMBER(FIND(" ",TRIM(L631)))),NOT(ISNUMBER(FIND(";",L631))),NOT(ISNUMBER(FIND(",",L631)))),"OK","ERRO: um e-mail válido por linha"))</f>
      </c>
      <c r="U631" s="6">
        <f>IF(COUNTA(A631:O631)=0,"",IF(AND(B631&lt;&gt;"",C631&lt;&gt;"",D631&lt;&gt;"",E631&lt;&gt;"",H631&lt;&gt;"",OR(J631&lt;&gt;"",L631&lt;&gt;"")),"OK","ERRO: faltam "&amp;IF(B631="","Proprietário; ","")&amp;IF(C631="","Origem; ","")&amp;IF(D631="","CNPJ; ","")&amp;IF(E631="","Razão Social; ","")&amp;IF(H631="","Sobrenome; ","")&amp;IF(AND(J631="",L631=""),"telefone ou e-mail; ","")))</f>
      </c>
      <c r="V631" s="6">
        <f>IF(COUNTA(A631:O631)=0,"",IF(AND(Q631="OK",R631="OK",LEFT(S631,4)&lt;&gt;"ERRO",LEFT(T631,4)&lt;&gt;"ERRO",U631="OK"),"OK","REVISAR"))</f>
      </c>
    </row>
    <row r="632">
      <c r="A632" s="4"/>
      <c r="B632" s="5"/>
      <c r="C632" s="5"/>
      <c r="D632" s="5"/>
      <c r="E632" s="5"/>
      <c r="F632" s="4"/>
      <c r="G632" s="4"/>
      <c r="H632" s="5"/>
      <c r="I632" s="4"/>
      <c r="J632" s="4"/>
      <c r="K632" s="4"/>
      <c r="L632" s="4"/>
      <c r="M632" s="4"/>
      <c r="N632" s="4"/>
      <c r="O632" s="4"/>
      <c r="P632" s="6">
        <f>IF(D632="","",SUBSTITUTE(SUBSTITUTE(SUBSTITUTE(SUBSTITUTE(SUBSTITUTE(SUBSTITUTE(SUBSTITUTE(TRIM(D632),".",""),"/",""),"-","")," ",""),"(",""),")",""),"+",""))</f>
      </c>
      <c r="Q632" s="6">
        <f>IF(P632="","",IF(LEN(P632)&lt;&gt;14,"ERRO: "&amp;LEN(P632)&amp;" dígitos",IF(NOT(ISNUMBER(VALUE(P632))),"ERRO: não numérico",IF(LEN(SUBSTITUTE(P632,LEFT(P632,1),""))=0,"ERRO: dígitos repetidos",IF(AND(VALUE(MID(P632,13,1))=IF(MOD(SUMPRODUCT(--MID(P632,{1,2,3,4,5,6,7,8,9,10,11,12},1),{5,4,3,2,9,8,7,6,5,4,3,2}),11)&lt;2,0,11-MOD(SUMPRODUCT(--MID(P632,{1,2,3,4,5,6,7,8,9,10,11,12},1),{5,4,3,2,9,8,7,6,5,4,3,2}),11)),VALUE(MID(P632,14,1))=IF(MOD(SUMPRODUCT(--MID(P632,{1,2,3,4,5,6,7,8,9,10,11,12,13},1),{6,5,4,3,2,9,8,7,6,5,4,3,2}),11)&lt;2,0,11-MOD(SUMPRODUCT(--MID(P632,{1,2,3,4,5,6,7,8,9,10,11,12,13},1),{6,5,4,3,2,9,8,7,6,5,4,3,2}),11))),"OK","ERRO: dígito verificador")))))</f>
      </c>
      <c r="R632" s="6">
        <f>IF(P632="","",IF(COUNTIF($P$2:$P$1001,P632)&gt;1,"DUPLICADO","OK"))</f>
      </c>
      <c r="S632" s="6">
        <f>IF(AND(J632="",K632=""),"vazio",IF(AND(OR(J632="",LEN(SUBSTITUTE(SUBSTITUTE(SUBSTITUTE(SUBSTITUTE(SUBSTITUTE(SUBSTITUTE(SUBSTITUTE(TRIM(J632),".",""),"/",""),"-","")," ",""),"(",""),")",""),"+",""))=10,LEN(SUBSTITUTE(SUBSTITUTE(SUBSTITUTE(SUBSTITUTE(SUBSTITUTE(SUBSTITUTE(SUBSTITUTE(TRIM(J632),".",""),"/",""),"-","")," ",""),"(",""),")",""),"+",""))=11),OR(K632="",LEN(SUBSTITUTE(SUBSTITUTE(SUBSTITUTE(SUBSTITUTE(SUBSTITUTE(SUBSTITUTE(SUBSTITUTE(TRIM(K632),".",""),"/",""),"-","")," ",""),"(",""),")",""),"+",""))=10,LEN(SUBSTITUTE(SUBSTITUTE(SUBSTITUTE(SUBSTITUTE(SUBSTITUTE(SUBSTITUTE(SUBSTITUTE(TRIM(K632),".",""),"/",""),"-","")," ",""),"(",""),")",""),"+",""))=11)),"OK","ERRO: use DDD + número (10 ou 11 dígitos)"))</f>
      </c>
      <c r="T632" s="6">
        <f>IF(L632="","vazio",IF(AND(ISNUMBER(FIND("@",L632)),ISNUMBER(FIND(".",MID(L632,FIND("@",L632),99))),NOT(ISNUMBER(FIND(" ",TRIM(L632)))),NOT(ISNUMBER(FIND(";",L632))),NOT(ISNUMBER(FIND(",",L632)))),"OK","ERRO: um e-mail válido por linha"))</f>
      </c>
      <c r="U632" s="6">
        <f>IF(COUNTA(A632:O632)=0,"",IF(AND(B632&lt;&gt;"",C632&lt;&gt;"",D632&lt;&gt;"",E632&lt;&gt;"",H632&lt;&gt;"",OR(J632&lt;&gt;"",L632&lt;&gt;"")),"OK","ERRO: faltam "&amp;IF(B632="","Proprietário; ","")&amp;IF(C632="","Origem; ","")&amp;IF(D632="","CNPJ; ","")&amp;IF(E632="","Razão Social; ","")&amp;IF(H632="","Sobrenome; ","")&amp;IF(AND(J632="",L632=""),"telefone ou e-mail; ","")))</f>
      </c>
      <c r="V632" s="6">
        <f>IF(COUNTA(A632:O632)=0,"",IF(AND(Q632="OK",R632="OK",LEFT(S632,4)&lt;&gt;"ERRO",LEFT(T632,4)&lt;&gt;"ERRO",U632="OK"),"OK","REVISAR"))</f>
      </c>
    </row>
    <row r="633">
      <c r="A633" s="4"/>
      <c r="B633" s="5"/>
      <c r="C633" s="5"/>
      <c r="D633" s="5"/>
      <c r="E633" s="5"/>
      <c r="F633" s="4"/>
      <c r="G633" s="4"/>
      <c r="H633" s="5"/>
      <c r="I633" s="4"/>
      <c r="J633" s="4"/>
      <c r="K633" s="4"/>
      <c r="L633" s="4"/>
      <c r="M633" s="4"/>
      <c r="N633" s="4"/>
      <c r="O633" s="4"/>
      <c r="P633" s="6">
        <f>IF(D633="","",SUBSTITUTE(SUBSTITUTE(SUBSTITUTE(SUBSTITUTE(SUBSTITUTE(SUBSTITUTE(SUBSTITUTE(TRIM(D633),".",""),"/",""),"-","")," ",""),"(",""),")",""),"+",""))</f>
      </c>
      <c r="Q633" s="6">
        <f>IF(P633="","",IF(LEN(P633)&lt;&gt;14,"ERRO: "&amp;LEN(P633)&amp;" dígitos",IF(NOT(ISNUMBER(VALUE(P633))),"ERRO: não numérico",IF(LEN(SUBSTITUTE(P633,LEFT(P633,1),""))=0,"ERRO: dígitos repetidos",IF(AND(VALUE(MID(P633,13,1))=IF(MOD(SUMPRODUCT(--MID(P633,{1,2,3,4,5,6,7,8,9,10,11,12},1),{5,4,3,2,9,8,7,6,5,4,3,2}),11)&lt;2,0,11-MOD(SUMPRODUCT(--MID(P633,{1,2,3,4,5,6,7,8,9,10,11,12},1),{5,4,3,2,9,8,7,6,5,4,3,2}),11)),VALUE(MID(P633,14,1))=IF(MOD(SUMPRODUCT(--MID(P633,{1,2,3,4,5,6,7,8,9,10,11,12,13},1),{6,5,4,3,2,9,8,7,6,5,4,3,2}),11)&lt;2,0,11-MOD(SUMPRODUCT(--MID(P633,{1,2,3,4,5,6,7,8,9,10,11,12,13},1),{6,5,4,3,2,9,8,7,6,5,4,3,2}),11))),"OK","ERRO: dígito verificador")))))</f>
      </c>
      <c r="R633" s="6">
        <f>IF(P633="","",IF(COUNTIF($P$2:$P$1001,P633)&gt;1,"DUPLICADO","OK"))</f>
      </c>
      <c r="S633" s="6">
        <f>IF(AND(J633="",K633=""),"vazio",IF(AND(OR(J633="",LEN(SUBSTITUTE(SUBSTITUTE(SUBSTITUTE(SUBSTITUTE(SUBSTITUTE(SUBSTITUTE(SUBSTITUTE(TRIM(J633),".",""),"/",""),"-","")," ",""),"(",""),")",""),"+",""))=10,LEN(SUBSTITUTE(SUBSTITUTE(SUBSTITUTE(SUBSTITUTE(SUBSTITUTE(SUBSTITUTE(SUBSTITUTE(TRIM(J633),".",""),"/",""),"-","")," ",""),"(",""),")",""),"+",""))=11),OR(K633="",LEN(SUBSTITUTE(SUBSTITUTE(SUBSTITUTE(SUBSTITUTE(SUBSTITUTE(SUBSTITUTE(SUBSTITUTE(TRIM(K633),".",""),"/",""),"-","")," ",""),"(",""),")",""),"+",""))=10,LEN(SUBSTITUTE(SUBSTITUTE(SUBSTITUTE(SUBSTITUTE(SUBSTITUTE(SUBSTITUTE(SUBSTITUTE(TRIM(K633),".",""),"/",""),"-","")," ",""),"(",""),")",""),"+",""))=11)),"OK","ERRO: use DDD + número (10 ou 11 dígitos)"))</f>
      </c>
      <c r="T633" s="6">
        <f>IF(L633="","vazio",IF(AND(ISNUMBER(FIND("@",L633)),ISNUMBER(FIND(".",MID(L633,FIND("@",L633),99))),NOT(ISNUMBER(FIND(" ",TRIM(L633)))),NOT(ISNUMBER(FIND(";",L633))),NOT(ISNUMBER(FIND(",",L633)))),"OK","ERRO: um e-mail válido por linha"))</f>
      </c>
      <c r="U633" s="6">
        <f>IF(COUNTA(A633:O633)=0,"",IF(AND(B633&lt;&gt;"",C633&lt;&gt;"",D633&lt;&gt;"",E633&lt;&gt;"",H633&lt;&gt;"",OR(J633&lt;&gt;"",L633&lt;&gt;"")),"OK","ERRO: faltam "&amp;IF(B633="","Proprietário; ","")&amp;IF(C633="","Origem; ","")&amp;IF(D633="","CNPJ; ","")&amp;IF(E633="","Razão Social; ","")&amp;IF(H633="","Sobrenome; ","")&amp;IF(AND(J633="",L633=""),"telefone ou e-mail; ","")))</f>
      </c>
      <c r="V633" s="6">
        <f>IF(COUNTA(A633:O633)=0,"",IF(AND(Q633="OK",R633="OK",LEFT(S633,4)&lt;&gt;"ERRO",LEFT(T633,4)&lt;&gt;"ERRO",U633="OK"),"OK","REVISAR"))</f>
      </c>
    </row>
    <row r="634">
      <c r="A634" s="4"/>
      <c r="B634" s="5"/>
      <c r="C634" s="5"/>
      <c r="D634" s="5"/>
      <c r="E634" s="5"/>
      <c r="F634" s="4"/>
      <c r="G634" s="4"/>
      <c r="H634" s="5"/>
      <c r="I634" s="4"/>
      <c r="J634" s="4"/>
      <c r="K634" s="4"/>
      <c r="L634" s="4"/>
      <c r="M634" s="4"/>
      <c r="N634" s="4"/>
      <c r="O634" s="4"/>
      <c r="P634" s="6">
        <f>IF(D634="","",SUBSTITUTE(SUBSTITUTE(SUBSTITUTE(SUBSTITUTE(SUBSTITUTE(SUBSTITUTE(SUBSTITUTE(TRIM(D634),".",""),"/",""),"-","")," ",""),"(",""),")",""),"+",""))</f>
      </c>
      <c r="Q634" s="6">
        <f>IF(P634="","",IF(LEN(P634)&lt;&gt;14,"ERRO: "&amp;LEN(P634)&amp;" dígitos",IF(NOT(ISNUMBER(VALUE(P634))),"ERRO: não numérico",IF(LEN(SUBSTITUTE(P634,LEFT(P634,1),""))=0,"ERRO: dígitos repetidos",IF(AND(VALUE(MID(P634,13,1))=IF(MOD(SUMPRODUCT(--MID(P634,{1,2,3,4,5,6,7,8,9,10,11,12},1),{5,4,3,2,9,8,7,6,5,4,3,2}),11)&lt;2,0,11-MOD(SUMPRODUCT(--MID(P634,{1,2,3,4,5,6,7,8,9,10,11,12},1),{5,4,3,2,9,8,7,6,5,4,3,2}),11)),VALUE(MID(P634,14,1))=IF(MOD(SUMPRODUCT(--MID(P634,{1,2,3,4,5,6,7,8,9,10,11,12,13},1),{6,5,4,3,2,9,8,7,6,5,4,3,2}),11)&lt;2,0,11-MOD(SUMPRODUCT(--MID(P634,{1,2,3,4,5,6,7,8,9,10,11,12,13},1),{6,5,4,3,2,9,8,7,6,5,4,3,2}),11))),"OK","ERRO: dígito verificador")))))</f>
      </c>
      <c r="R634" s="6">
        <f>IF(P634="","",IF(COUNTIF($P$2:$P$1001,P634)&gt;1,"DUPLICADO","OK"))</f>
      </c>
      <c r="S634" s="6">
        <f>IF(AND(J634="",K634=""),"vazio",IF(AND(OR(J634="",LEN(SUBSTITUTE(SUBSTITUTE(SUBSTITUTE(SUBSTITUTE(SUBSTITUTE(SUBSTITUTE(SUBSTITUTE(TRIM(J634),".",""),"/",""),"-","")," ",""),"(",""),")",""),"+",""))=10,LEN(SUBSTITUTE(SUBSTITUTE(SUBSTITUTE(SUBSTITUTE(SUBSTITUTE(SUBSTITUTE(SUBSTITUTE(TRIM(J634),".",""),"/",""),"-","")," ",""),"(",""),")",""),"+",""))=11),OR(K634="",LEN(SUBSTITUTE(SUBSTITUTE(SUBSTITUTE(SUBSTITUTE(SUBSTITUTE(SUBSTITUTE(SUBSTITUTE(TRIM(K634),".",""),"/",""),"-","")," ",""),"(",""),")",""),"+",""))=10,LEN(SUBSTITUTE(SUBSTITUTE(SUBSTITUTE(SUBSTITUTE(SUBSTITUTE(SUBSTITUTE(SUBSTITUTE(TRIM(K634),".",""),"/",""),"-","")," ",""),"(",""),")",""),"+",""))=11)),"OK","ERRO: use DDD + número (10 ou 11 dígitos)"))</f>
      </c>
      <c r="T634" s="6">
        <f>IF(L634="","vazio",IF(AND(ISNUMBER(FIND("@",L634)),ISNUMBER(FIND(".",MID(L634,FIND("@",L634),99))),NOT(ISNUMBER(FIND(" ",TRIM(L634)))),NOT(ISNUMBER(FIND(";",L634))),NOT(ISNUMBER(FIND(",",L634)))),"OK","ERRO: um e-mail válido por linha"))</f>
      </c>
      <c r="U634" s="6">
        <f>IF(COUNTA(A634:O634)=0,"",IF(AND(B634&lt;&gt;"",C634&lt;&gt;"",D634&lt;&gt;"",E634&lt;&gt;"",H634&lt;&gt;"",OR(J634&lt;&gt;"",L634&lt;&gt;"")),"OK","ERRO: faltam "&amp;IF(B634="","Proprietário; ","")&amp;IF(C634="","Origem; ","")&amp;IF(D634="","CNPJ; ","")&amp;IF(E634="","Razão Social; ","")&amp;IF(H634="","Sobrenome; ","")&amp;IF(AND(J634="",L634=""),"telefone ou e-mail; ","")))</f>
      </c>
      <c r="V634" s="6">
        <f>IF(COUNTA(A634:O634)=0,"",IF(AND(Q634="OK",R634="OK",LEFT(S634,4)&lt;&gt;"ERRO",LEFT(T634,4)&lt;&gt;"ERRO",U634="OK"),"OK","REVISAR"))</f>
      </c>
    </row>
    <row r="635">
      <c r="A635" s="4"/>
      <c r="B635" s="5"/>
      <c r="C635" s="5"/>
      <c r="D635" s="5"/>
      <c r="E635" s="5"/>
      <c r="F635" s="4"/>
      <c r="G635" s="4"/>
      <c r="H635" s="5"/>
      <c r="I635" s="4"/>
      <c r="J635" s="4"/>
      <c r="K635" s="4"/>
      <c r="L635" s="4"/>
      <c r="M635" s="4"/>
      <c r="N635" s="4"/>
      <c r="O635" s="4"/>
      <c r="P635" s="6">
        <f>IF(D635="","",SUBSTITUTE(SUBSTITUTE(SUBSTITUTE(SUBSTITUTE(SUBSTITUTE(SUBSTITUTE(SUBSTITUTE(TRIM(D635),".",""),"/",""),"-","")," ",""),"(",""),")",""),"+",""))</f>
      </c>
      <c r="Q635" s="6">
        <f>IF(P635="","",IF(LEN(P635)&lt;&gt;14,"ERRO: "&amp;LEN(P635)&amp;" dígitos",IF(NOT(ISNUMBER(VALUE(P635))),"ERRO: não numérico",IF(LEN(SUBSTITUTE(P635,LEFT(P635,1),""))=0,"ERRO: dígitos repetidos",IF(AND(VALUE(MID(P635,13,1))=IF(MOD(SUMPRODUCT(--MID(P635,{1,2,3,4,5,6,7,8,9,10,11,12},1),{5,4,3,2,9,8,7,6,5,4,3,2}),11)&lt;2,0,11-MOD(SUMPRODUCT(--MID(P635,{1,2,3,4,5,6,7,8,9,10,11,12},1),{5,4,3,2,9,8,7,6,5,4,3,2}),11)),VALUE(MID(P635,14,1))=IF(MOD(SUMPRODUCT(--MID(P635,{1,2,3,4,5,6,7,8,9,10,11,12,13},1),{6,5,4,3,2,9,8,7,6,5,4,3,2}),11)&lt;2,0,11-MOD(SUMPRODUCT(--MID(P635,{1,2,3,4,5,6,7,8,9,10,11,12,13},1),{6,5,4,3,2,9,8,7,6,5,4,3,2}),11))),"OK","ERRO: dígito verificador")))))</f>
      </c>
      <c r="R635" s="6">
        <f>IF(P635="","",IF(COUNTIF($P$2:$P$1001,P635)&gt;1,"DUPLICADO","OK"))</f>
      </c>
      <c r="S635" s="6">
        <f>IF(AND(J635="",K635=""),"vazio",IF(AND(OR(J635="",LEN(SUBSTITUTE(SUBSTITUTE(SUBSTITUTE(SUBSTITUTE(SUBSTITUTE(SUBSTITUTE(SUBSTITUTE(TRIM(J635),".",""),"/",""),"-","")," ",""),"(",""),")",""),"+",""))=10,LEN(SUBSTITUTE(SUBSTITUTE(SUBSTITUTE(SUBSTITUTE(SUBSTITUTE(SUBSTITUTE(SUBSTITUTE(TRIM(J635),".",""),"/",""),"-","")," ",""),"(",""),")",""),"+",""))=11),OR(K635="",LEN(SUBSTITUTE(SUBSTITUTE(SUBSTITUTE(SUBSTITUTE(SUBSTITUTE(SUBSTITUTE(SUBSTITUTE(TRIM(K635),".",""),"/",""),"-","")," ",""),"(",""),")",""),"+",""))=10,LEN(SUBSTITUTE(SUBSTITUTE(SUBSTITUTE(SUBSTITUTE(SUBSTITUTE(SUBSTITUTE(SUBSTITUTE(TRIM(K635),".",""),"/",""),"-","")," ",""),"(",""),")",""),"+",""))=11)),"OK","ERRO: use DDD + número (10 ou 11 dígitos)"))</f>
      </c>
      <c r="T635" s="6">
        <f>IF(L635="","vazio",IF(AND(ISNUMBER(FIND("@",L635)),ISNUMBER(FIND(".",MID(L635,FIND("@",L635),99))),NOT(ISNUMBER(FIND(" ",TRIM(L635)))),NOT(ISNUMBER(FIND(";",L635))),NOT(ISNUMBER(FIND(",",L635)))),"OK","ERRO: um e-mail válido por linha"))</f>
      </c>
      <c r="U635" s="6">
        <f>IF(COUNTA(A635:O635)=0,"",IF(AND(B635&lt;&gt;"",C635&lt;&gt;"",D635&lt;&gt;"",E635&lt;&gt;"",H635&lt;&gt;"",OR(J635&lt;&gt;"",L635&lt;&gt;"")),"OK","ERRO: faltam "&amp;IF(B635="","Proprietário; ","")&amp;IF(C635="","Origem; ","")&amp;IF(D635="","CNPJ; ","")&amp;IF(E635="","Razão Social; ","")&amp;IF(H635="","Sobrenome; ","")&amp;IF(AND(J635="",L635=""),"telefone ou e-mail; ","")))</f>
      </c>
      <c r="V635" s="6">
        <f>IF(COUNTA(A635:O635)=0,"",IF(AND(Q635="OK",R635="OK",LEFT(S635,4)&lt;&gt;"ERRO",LEFT(T635,4)&lt;&gt;"ERRO",U635="OK"),"OK","REVISAR"))</f>
      </c>
    </row>
    <row r="636">
      <c r="A636" s="4"/>
      <c r="B636" s="5"/>
      <c r="C636" s="5"/>
      <c r="D636" s="5"/>
      <c r="E636" s="5"/>
      <c r="F636" s="4"/>
      <c r="G636" s="4"/>
      <c r="H636" s="5"/>
      <c r="I636" s="4"/>
      <c r="J636" s="4"/>
      <c r="K636" s="4"/>
      <c r="L636" s="4"/>
      <c r="M636" s="4"/>
      <c r="N636" s="4"/>
      <c r="O636" s="4"/>
      <c r="P636" s="6">
        <f>IF(D636="","",SUBSTITUTE(SUBSTITUTE(SUBSTITUTE(SUBSTITUTE(SUBSTITUTE(SUBSTITUTE(SUBSTITUTE(TRIM(D636),".",""),"/",""),"-","")," ",""),"(",""),")",""),"+",""))</f>
      </c>
      <c r="Q636" s="6">
        <f>IF(P636="","",IF(LEN(P636)&lt;&gt;14,"ERRO: "&amp;LEN(P636)&amp;" dígitos",IF(NOT(ISNUMBER(VALUE(P636))),"ERRO: não numérico",IF(LEN(SUBSTITUTE(P636,LEFT(P636,1),""))=0,"ERRO: dígitos repetidos",IF(AND(VALUE(MID(P636,13,1))=IF(MOD(SUMPRODUCT(--MID(P636,{1,2,3,4,5,6,7,8,9,10,11,12},1),{5,4,3,2,9,8,7,6,5,4,3,2}),11)&lt;2,0,11-MOD(SUMPRODUCT(--MID(P636,{1,2,3,4,5,6,7,8,9,10,11,12},1),{5,4,3,2,9,8,7,6,5,4,3,2}),11)),VALUE(MID(P636,14,1))=IF(MOD(SUMPRODUCT(--MID(P636,{1,2,3,4,5,6,7,8,9,10,11,12,13},1),{6,5,4,3,2,9,8,7,6,5,4,3,2}),11)&lt;2,0,11-MOD(SUMPRODUCT(--MID(P636,{1,2,3,4,5,6,7,8,9,10,11,12,13},1),{6,5,4,3,2,9,8,7,6,5,4,3,2}),11))),"OK","ERRO: dígito verificador")))))</f>
      </c>
      <c r="R636" s="6">
        <f>IF(P636="","",IF(COUNTIF($P$2:$P$1001,P636)&gt;1,"DUPLICADO","OK"))</f>
      </c>
      <c r="S636" s="6">
        <f>IF(AND(J636="",K636=""),"vazio",IF(AND(OR(J636="",LEN(SUBSTITUTE(SUBSTITUTE(SUBSTITUTE(SUBSTITUTE(SUBSTITUTE(SUBSTITUTE(SUBSTITUTE(TRIM(J636),".",""),"/",""),"-","")," ",""),"(",""),")",""),"+",""))=10,LEN(SUBSTITUTE(SUBSTITUTE(SUBSTITUTE(SUBSTITUTE(SUBSTITUTE(SUBSTITUTE(SUBSTITUTE(TRIM(J636),".",""),"/",""),"-","")," ",""),"(",""),")",""),"+",""))=11),OR(K636="",LEN(SUBSTITUTE(SUBSTITUTE(SUBSTITUTE(SUBSTITUTE(SUBSTITUTE(SUBSTITUTE(SUBSTITUTE(TRIM(K636),".",""),"/",""),"-","")," ",""),"(",""),")",""),"+",""))=10,LEN(SUBSTITUTE(SUBSTITUTE(SUBSTITUTE(SUBSTITUTE(SUBSTITUTE(SUBSTITUTE(SUBSTITUTE(TRIM(K636),".",""),"/",""),"-","")," ",""),"(",""),")",""),"+",""))=11)),"OK","ERRO: use DDD + número (10 ou 11 dígitos)"))</f>
      </c>
      <c r="T636" s="6">
        <f>IF(L636="","vazio",IF(AND(ISNUMBER(FIND("@",L636)),ISNUMBER(FIND(".",MID(L636,FIND("@",L636),99))),NOT(ISNUMBER(FIND(" ",TRIM(L636)))),NOT(ISNUMBER(FIND(";",L636))),NOT(ISNUMBER(FIND(",",L636)))),"OK","ERRO: um e-mail válido por linha"))</f>
      </c>
      <c r="U636" s="6">
        <f>IF(COUNTA(A636:O636)=0,"",IF(AND(B636&lt;&gt;"",C636&lt;&gt;"",D636&lt;&gt;"",E636&lt;&gt;"",H636&lt;&gt;"",OR(J636&lt;&gt;"",L636&lt;&gt;"")),"OK","ERRO: faltam "&amp;IF(B636="","Proprietário; ","")&amp;IF(C636="","Origem; ","")&amp;IF(D636="","CNPJ; ","")&amp;IF(E636="","Razão Social; ","")&amp;IF(H636="","Sobrenome; ","")&amp;IF(AND(J636="",L636=""),"telefone ou e-mail; ","")))</f>
      </c>
      <c r="V636" s="6">
        <f>IF(COUNTA(A636:O636)=0,"",IF(AND(Q636="OK",R636="OK",LEFT(S636,4)&lt;&gt;"ERRO",LEFT(T636,4)&lt;&gt;"ERRO",U636="OK"),"OK","REVISAR"))</f>
      </c>
    </row>
    <row r="637">
      <c r="A637" s="4"/>
      <c r="B637" s="5"/>
      <c r="C637" s="5"/>
      <c r="D637" s="5"/>
      <c r="E637" s="5"/>
      <c r="F637" s="4"/>
      <c r="G637" s="4"/>
      <c r="H637" s="5"/>
      <c r="I637" s="4"/>
      <c r="J637" s="4"/>
      <c r="K637" s="4"/>
      <c r="L637" s="4"/>
      <c r="M637" s="4"/>
      <c r="N637" s="4"/>
      <c r="O637" s="4"/>
      <c r="P637" s="6">
        <f>IF(D637="","",SUBSTITUTE(SUBSTITUTE(SUBSTITUTE(SUBSTITUTE(SUBSTITUTE(SUBSTITUTE(SUBSTITUTE(TRIM(D637),".",""),"/",""),"-","")," ",""),"(",""),")",""),"+",""))</f>
      </c>
      <c r="Q637" s="6">
        <f>IF(P637="","",IF(LEN(P637)&lt;&gt;14,"ERRO: "&amp;LEN(P637)&amp;" dígitos",IF(NOT(ISNUMBER(VALUE(P637))),"ERRO: não numérico",IF(LEN(SUBSTITUTE(P637,LEFT(P637,1),""))=0,"ERRO: dígitos repetidos",IF(AND(VALUE(MID(P637,13,1))=IF(MOD(SUMPRODUCT(--MID(P637,{1,2,3,4,5,6,7,8,9,10,11,12},1),{5,4,3,2,9,8,7,6,5,4,3,2}),11)&lt;2,0,11-MOD(SUMPRODUCT(--MID(P637,{1,2,3,4,5,6,7,8,9,10,11,12},1),{5,4,3,2,9,8,7,6,5,4,3,2}),11)),VALUE(MID(P637,14,1))=IF(MOD(SUMPRODUCT(--MID(P637,{1,2,3,4,5,6,7,8,9,10,11,12,13},1),{6,5,4,3,2,9,8,7,6,5,4,3,2}),11)&lt;2,0,11-MOD(SUMPRODUCT(--MID(P637,{1,2,3,4,5,6,7,8,9,10,11,12,13},1),{6,5,4,3,2,9,8,7,6,5,4,3,2}),11))),"OK","ERRO: dígito verificador")))))</f>
      </c>
      <c r="R637" s="6">
        <f>IF(P637="","",IF(COUNTIF($P$2:$P$1001,P637)&gt;1,"DUPLICADO","OK"))</f>
      </c>
      <c r="S637" s="6">
        <f>IF(AND(J637="",K637=""),"vazio",IF(AND(OR(J637="",LEN(SUBSTITUTE(SUBSTITUTE(SUBSTITUTE(SUBSTITUTE(SUBSTITUTE(SUBSTITUTE(SUBSTITUTE(TRIM(J637),".",""),"/",""),"-","")," ",""),"(",""),")",""),"+",""))=10,LEN(SUBSTITUTE(SUBSTITUTE(SUBSTITUTE(SUBSTITUTE(SUBSTITUTE(SUBSTITUTE(SUBSTITUTE(TRIM(J637),".",""),"/",""),"-","")," ",""),"(",""),")",""),"+",""))=11),OR(K637="",LEN(SUBSTITUTE(SUBSTITUTE(SUBSTITUTE(SUBSTITUTE(SUBSTITUTE(SUBSTITUTE(SUBSTITUTE(TRIM(K637),".",""),"/",""),"-","")," ",""),"(",""),")",""),"+",""))=10,LEN(SUBSTITUTE(SUBSTITUTE(SUBSTITUTE(SUBSTITUTE(SUBSTITUTE(SUBSTITUTE(SUBSTITUTE(TRIM(K637),".",""),"/",""),"-","")," ",""),"(",""),")",""),"+",""))=11)),"OK","ERRO: use DDD + número (10 ou 11 dígitos)"))</f>
      </c>
      <c r="T637" s="6">
        <f>IF(L637="","vazio",IF(AND(ISNUMBER(FIND("@",L637)),ISNUMBER(FIND(".",MID(L637,FIND("@",L637),99))),NOT(ISNUMBER(FIND(" ",TRIM(L637)))),NOT(ISNUMBER(FIND(";",L637))),NOT(ISNUMBER(FIND(",",L637)))),"OK","ERRO: um e-mail válido por linha"))</f>
      </c>
      <c r="U637" s="6">
        <f>IF(COUNTA(A637:O637)=0,"",IF(AND(B637&lt;&gt;"",C637&lt;&gt;"",D637&lt;&gt;"",E637&lt;&gt;"",H637&lt;&gt;"",OR(J637&lt;&gt;"",L637&lt;&gt;"")),"OK","ERRO: faltam "&amp;IF(B637="","Proprietário; ","")&amp;IF(C637="","Origem; ","")&amp;IF(D637="","CNPJ; ","")&amp;IF(E637="","Razão Social; ","")&amp;IF(H637="","Sobrenome; ","")&amp;IF(AND(J637="",L637=""),"telefone ou e-mail; ","")))</f>
      </c>
      <c r="V637" s="6">
        <f>IF(COUNTA(A637:O637)=0,"",IF(AND(Q637="OK",R637="OK",LEFT(S637,4)&lt;&gt;"ERRO",LEFT(T637,4)&lt;&gt;"ERRO",U637="OK"),"OK","REVISAR"))</f>
      </c>
    </row>
    <row r="638">
      <c r="A638" s="4"/>
      <c r="B638" s="5"/>
      <c r="C638" s="5"/>
      <c r="D638" s="5"/>
      <c r="E638" s="5"/>
      <c r="F638" s="4"/>
      <c r="G638" s="4"/>
      <c r="H638" s="5"/>
      <c r="I638" s="4"/>
      <c r="J638" s="4"/>
      <c r="K638" s="4"/>
      <c r="L638" s="4"/>
      <c r="M638" s="4"/>
      <c r="N638" s="4"/>
      <c r="O638" s="4"/>
      <c r="P638" s="6">
        <f>IF(D638="","",SUBSTITUTE(SUBSTITUTE(SUBSTITUTE(SUBSTITUTE(SUBSTITUTE(SUBSTITUTE(SUBSTITUTE(TRIM(D638),".",""),"/",""),"-","")," ",""),"(",""),")",""),"+",""))</f>
      </c>
      <c r="Q638" s="6">
        <f>IF(P638="","",IF(LEN(P638)&lt;&gt;14,"ERRO: "&amp;LEN(P638)&amp;" dígitos",IF(NOT(ISNUMBER(VALUE(P638))),"ERRO: não numérico",IF(LEN(SUBSTITUTE(P638,LEFT(P638,1),""))=0,"ERRO: dígitos repetidos",IF(AND(VALUE(MID(P638,13,1))=IF(MOD(SUMPRODUCT(--MID(P638,{1,2,3,4,5,6,7,8,9,10,11,12},1),{5,4,3,2,9,8,7,6,5,4,3,2}),11)&lt;2,0,11-MOD(SUMPRODUCT(--MID(P638,{1,2,3,4,5,6,7,8,9,10,11,12},1),{5,4,3,2,9,8,7,6,5,4,3,2}),11)),VALUE(MID(P638,14,1))=IF(MOD(SUMPRODUCT(--MID(P638,{1,2,3,4,5,6,7,8,9,10,11,12,13},1),{6,5,4,3,2,9,8,7,6,5,4,3,2}),11)&lt;2,0,11-MOD(SUMPRODUCT(--MID(P638,{1,2,3,4,5,6,7,8,9,10,11,12,13},1),{6,5,4,3,2,9,8,7,6,5,4,3,2}),11))),"OK","ERRO: dígito verificador")))))</f>
      </c>
      <c r="R638" s="6">
        <f>IF(P638="","",IF(COUNTIF($P$2:$P$1001,P638)&gt;1,"DUPLICADO","OK"))</f>
      </c>
      <c r="S638" s="6">
        <f>IF(AND(J638="",K638=""),"vazio",IF(AND(OR(J638="",LEN(SUBSTITUTE(SUBSTITUTE(SUBSTITUTE(SUBSTITUTE(SUBSTITUTE(SUBSTITUTE(SUBSTITUTE(TRIM(J638),".",""),"/",""),"-","")," ",""),"(",""),")",""),"+",""))=10,LEN(SUBSTITUTE(SUBSTITUTE(SUBSTITUTE(SUBSTITUTE(SUBSTITUTE(SUBSTITUTE(SUBSTITUTE(TRIM(J638),".",""),"/",""),"-","")," ",""),"(",""),")",""),"+",""))=11),OR(K638="",LEN(SUBSTITUTE(SUBSTITUTE(SUBSTITUTE(SUBSTITUTE(SUBSTITUTE(SUBSTITUTE(SUBSTITUTE(TRIM(K638),".",""),"/",""),"-","")," ",""),"(",""),")",""),"+",""))=10,LEN(SUBSTITUTE(SUBSTITUTE(SUBSTITUTE(SUBSTITUTE(SUBSTITUTE(SUBSTITUTE(SUBSTITUTE(TRIM(K638),".",""),"/",""),"-","")," ",""),"(",""),")",""),"+",""))=11)),"OK","ERRO: use DDD + número (10 ou 11 dígitos)"))</f>
      </c>
      <c r="T638" s="6">
        <f>IF(L638="","vazio",IF(AND(ISNUMBER(FIND("@",L638)),ISNUMBER(FIND(".",MID(L638,FIND("@",L638),99))),NOT(ISNUMBER(FIND(" ",TRIM(L638)))),NOT(ISNUMBER(FIND(";",L638))),NOT(ISNUMBER(FIND(",",L638)))),"OK","ERRO: um e-mail válido por linha"))</f>
      </c>
      <c r="U638" s="6">
        <f>IF(COUNTA(A638:O638)=0,"",IF(AND(B638&lt;&gt;"",C638&lt;&gt;"",D638&lt;&gt;"",E638&lt;&gt;"",H638&lt;&gt;"",OR(J638&lt;&gt;"",L638&lt;&gt;"")),"OK","ERRO: faltam "&amp;IF(B638="","Proprietário; ","")&amp;IF(C638="","Origem; ","")&amp;IF(D638="","CNPJ; ","")&amp;IF(E638="","Razão Social; ","")&amp;IF(H638="","Sobrenome; ","")&amp;IF(AND(J638="",L638=""),"telefone ou e-mail; ","")))</f>
      </c>
      <c r="V638" s="6">
        <f>IF(COUNTA(A638:O638)=0,"",IF(AND(Q638="OK",R638="OK",LEFT(S638,4)&lt;&gt;"ERRO",LEFT(T638,4)&lt;&gt;"ERRO",U638="OK"),"OK","REVISAR"))</f>
      </c>
    </row>
    <row r="639">
      <c r="A639" s="4"/>
      <c r="B639" s="5"/>
      <c r="C639" s="5"/>
      <c r="D639" s="5"/>
      <c r="E639" s="5"/>
      <c r="F639" s="4"/>
      <c r="G639" s="4"/>
      <c r="H639" s="5"/>
      <c r="I639" s="4"/>
      <c r="J639" s="4"/>
      <c r="K639" s="4"/>
      <c r="L639" s="4"/>
      <c r="M639" s="4"/>
      <c r="N639" s="4"/>
      <c r="O639" s="4"/>
      <c r="P639" s="6">
        <f>IF(D639="","",SUBSTITUTE(SUBSTITUTE(SUBSTITUTE(SUBSTITUTE(SUBSTITUTE(SUBSTITUTE(SUBSTITUTE(TRIM(D639),".",""),"/",""),"-","")," ",""),"(",""),")",""),"+",""))</f>
      </c>
      <c r="Q639" s="6">
        <f>IF(P639="","",IF(LEN(P639)&lt;&gt;14,"ERRO: "&amp;LEN(P639)&amp;" dígitos",IF(NOT(ISNUMBER(VALUE(P639))),"ERRO: não numérico",IF(LEN(SUBSTITUTE(P639,LEFT(P639,1),""))=0,"ERRO: dígitos repetidos",IF(AND(VALUE(MID(P639,13,1))=IF(MOD(SUMPRODUCT(--MID(P639,{1,2,3,4,5,6,7,8,9,10,11,12},1),{5,4,3,2,9,8,7,6,5,4,3,2}),11)&lt;2,0,11-MOD(SUMPRODUCT(--MID(P639,{1,2,3,4,5,6,7,8,9,10,11,12},1),{5,4,3,2,9,8,7,6,5,4,3,2}),11)),VALUE(MID(P639,14,1))=IF(MOD(SUMPRODUCT(--MID(P639,{1,2,3,4,5,6,7,8,9,10,11,12,13},1),{6,5,4,3,2,9,8,7,6,5,4,3,2}),11)&lt;2,0,11-MOD(SUMPRODUCT(--MID(P639,{1,2,3,4,5,6,7,8,9,10,11,12,13},1),{6,5,4,3,2,9,8,7,6,5,4,3,2}),11))),"OK","ERRO: dígito verificador")))))</f>
      </c>
      <c r="R639" s="6">
        <f>IF(P639="","",IF(COUNTIF($P$2:$P$1001,P639)&gt;1,"DUPLICADO","OK"))</f>
      </c>
      <c r="S639" s="6">
        <f>IF(AND(J639="",K639=""),"vazio",IF(AND(OR(J639="",LEN(SUBSTITUTE(SUBSTITUTE(SUBSTITUTE(SUBSTITUTE(SUBSTITUTE(SUBSTITUTE(SUBSTITUTE(TRIM(J639),".",""),"/",""),"-","")," ",""),"(",""),")",""),"+",""))=10,LEN(SUBSTITUTE(SUBSTITUTE(SUBSTITUTE(SUBSTITUTE(SUBSTITUTE(SUBSTITUTE(SUBSTITUTE(TRIM(J639),".",""),"/",""),"-","")," ",""),"(",""),")",""),"+",""))=11),OR(K639="",LEN(SUBSTITUTE(SUBSTITUTE(SUBSTITUTE(SUBSTITUTE(SUBSTITUTE(SUBSTITUTE(SUBSTITUTE(TRIM(K639),".",""),"/",""),"-","")," ",""),"(",""),")",""),"+",""))=10,LEN(SUBSTITUTE(SUBSTITUTE(SUBSTITUTE(SUBSTITUTE(SUBSTITUTE(SUBSTITUTE(SUBSTITUTE(TRIM(K639),".",""),"/",""),"-","")," ",""),"(",""),")",""),"+",""))=11)),"OK","ERRO: use DDD + número (10 ou 11 dígitos)"))</f>
      </c>
      <c r="T639" s="6">
        <f>IF(L639="","vazio",IF(AND(ISNUMBER(FIND("@",L639)),ISNUMBER(FIND(".",MID(L639,FIND("@",L639),99))),NOT(ISNUMBER(FIND(" ",TRIM(L639)))),NOT(ISNUMBER(FIND(";",L639))),NOT(ISNUMBER(FIND(",",L639)))),"OK","ERRO: um e-mail válido por linha"))</f>
      </c>
      <c r="U639" s="6">
        <f>IF(COUNTA(A639:O639)=0,"",IF(AND(B639&lt;&gt;"",C639&lt;&gt;"",D639&lt;&gt;"",E639&lt;&gt;"",H639&lt;&gt;"",OR(J639&lt;&gt;"",L639&lt;&gt;"")),"OK","ERRO: faltam "&amp;IF(B639="","Proprietário; ","")&amp;IF(C639="","Origem; ","")&amp;IF(D639="","CNPJ; ","")&amp;IF(E639="","Razão Social; ","")&amp;IF(H639="","Sobrenome; ","")&amp;IF(AND(J639="",L639=""),"telefone ou e-mail; ","")))</f>
      </c>
      <c r="V639" s="6">
        <f>IF(COUNTA(A639:O639)=0,"",IF(AND(Q639="OK",R639="OK",LEFT(S639,4)&lt;&gt;"ERRO",LEFT(T639,4)&lt;&gt;"ERRO",U639="OK"),"OK","REVISAR"))</f>
      </c>
    </row>
    <row r="640">
      <c r="A640" s="4"/>
      <c r="B640" s="5"/>
      <c r="C640" s="5"/>
      <c r="D640" s="5"/>
      <c r="E640" s="5"/>
      <c r="F640" s="4"/>
      <c r="G640" s="4"/>
      <c r="H640" s="5"/>
      <c r="I640" s="4"/>
      <c r="J640" s="4"/>
      <c r="K640" s="4"/>
      <c r="L640" s="4"/>
      <c r="M640" s="4"/>
      <c r="N640" s="4"/>
      <c r="O640" s="4"/>
      <c r="P640" s="6">
        <f>IF(D640="","",SUBSTITUTE(SUBSTITUTE(SUBSTITUTE(SUBSTITUTE(SUBSTITUTE(SUBSTITUTE(SUBSTITUTE(TRIM(D640),".",""),"/",""),"-","")," ",""),"(",""),")",""),"+",""))</f>
      </c>
      <c r="Q640" s="6">
        <f>IF(P640="","",IF(LEN(P640)&lt;&gt;14,"ERRO: "&amp;LEN(P640)&amp;" dígitos",IF(NOT(ISNUMBER(VALUE(P640))),"ERRO: não numérico",IF(LEN(SUBSTITUTE(P640,LEFT(P640,1),""))=0,"ERRO: dígitos repetidos",IF(AND(VALUE(MID(P640,13,1))=IF(MOD(SUMPRODUCT(--MID(P640,{1,2,3,4,5,6,7,8,9,10,11,12},1),{5,4,3,2,9,8,7,6,5,4,3,2}),11)&lt;2,0,11-MOD(SUMPRODUCT(--MID(P640,{1,2,3,4,5,6,7,8,9,10,11,12},1),{5,4,3,2,9,8,7,6,5,4,3,2}),11)),VALUE(MID(P640,14,1))=IF(MOD(SUMPRODUCT(--MID(P640,{1,2,3,4,5,6,7,8,9,10,11,12,13},1),{6,5,4,3,2,9,8,7,6,5,4,3,2}),11)&lt;2,0,11-MOD(SUMPRODUCT(--MID(P640,{1,2,3,4,5,6,7,8,9,10,11,12,13},1),{6,5,4,3,2,9,8,7,6,5,4,3,2}),11))),"OK","ERRO: dígito verificador")))))</f>
      </c>
      <c r="R640" s="6">
        <f>IF(P640="","",IF(COUNTIF($P$2:$P$1001,P640)&gt;1,"DUPLICADO","OK"))</f>
      </c>
      <c r="S640" s="6">
        <f>IF(AND(J640="",K640=""),"vazio",IF(AND(OR(J640="",LEN(SUBSTITUTE(SUBSTITUTE(SUBSTITUTE(SUBSTITUTE(SUBSTITUTE(SUBSTITUTE(SUBSTITUTE(TRIM(J640),".",""),"/",""),"-","")," ",""),"(",""),")",""),"+",""))=10,LEN(SUBSTITUTE(SUBSTITUTE(SUBSTITUTE(SUBSTITUTE(SUBSTITUTE(SUBSTITUTE(SUBSTITUTE(TRIM(J640),".",""),"/",""),"-","")," ",""),"(",""),")",""),"+",""))=11),OR(K640="",LEN(SUBSTITUTE(SUBSTITUTE(SUBSTITUTE(SUBSTITUTE(SUBSTITUTE(SUBSTITUTE(SUBSTITUTE(TRIM(K640),".",""),"/",""),"-","")," ",""),"(",""),")",""),"+",""))=10,LEN(SUBSTITUTE(SUBSTITUTE(SUBSTITUTE(SUBSTITUTE(SUBSTITUTE(SUBSTITUTE(SUBSTITUTE(TRIM(K640),".",""),"/",""),"-","")," ",""),"(",""),")",""),"+",""))=11)),"OK","ERRO: use DDD + número (10 ou 11 dígitos)"))</f>
      </c>
      <c r="T640" s="6">
        <f>IF(L640="","vazio",IF(AND(ISNUMBER(FIND("@",L640)),ISNUMBER(FIND(".",MID(L640,FIND("@",L640),99))),NOT(ISNUMBER(FIND(" ",TRIM(L640)))),NOT(ISNUMBER(FIND(";",L640))),NOT(ISNUMBER(FIND(",",L640)))),"OK","ERRO: um e-mail válido por linha"))</f>
      </c>
      <c r="U640" s="6">
        <f>IF(COUNTA(A640:O640)=0,"",IF(AND(B640&lt;&gt;"",C640&lt;&gt;"",D640&lt;&gt;"",E640&lt;&gt;"",H640&lt;&gt;"",OR(J640&lt;&gt;"",L640&lt;&gt;"")),"OK","ERRO: faltam "&amp;IF(B640="","Proprietário; ","")&amp;IF(C640="","Origem; ","")&amp;IF(D640="","CNPJ; ","")&amp;IF(E640="","Razão Social; ","")&amp;IF(H640="","Sobrenome; ","")&amp;IF(AND(J640="",L640=""),"telefone ou e-mail; ","")))</f>
      </c>
      <c r="V640" s="6">
        <f>IF(COUNTA(A640:O640)=0,"",IF(AND(Q640="OK",R640="OK",LEFT(S640,4)&lt;&gt;"ERRO",LEFT(T640,4)&lt;&gt;"ERRO",U640="OK"),"OK","REVISAR"))</f>
      </c>
    </row>
    <row r="641">
      <c r="A641" s="4"/>
      <c r="B641" s="5"/>
      <c r="C641" s="5"/>
      <c r="D641" s="5"/>
      <c r="E641" s="5"/>
      <c r="F641" s="4"/>
      <c r="G641" s="4"/>
      <c r="H641" s="5"/>
      <c r="I641" s="4"/>
      <c r="J641" s="4"/>
      <c r="K641" s="4"/>
      <c r="L641" s="4"/>
      <c r="M641" s="4"/>
      <c r="N641" s="4"/>
      <c r="O641" s="4"/>
      <c r="P641" s="6">
        <f>IF(D641="","",SUBSTITUTE(SUBSTITUTE(SUBSTITUTE(SUBSTITUTE(SUBSTITUTE(SUBSTITUTE(SUBSTITUTE(TRIM(D641),".",""),"/",""),"-","")," ",""),"(",""),")",""),"+",""))</f>
      </c>
      <c r="Q641" s="6">
        <f>IF(P641="","",IF(LEN(P641)&lt;&gt;14,"ERRO: "&amp;LEN(P641)&amp;" dígitos",IF(NOT(ISNUMBER(VALUE(P641))),"ERRO: não numérico",IF(LEN(SUBSTITUTE(P641,LEFT(P641,1),""))=0,"ERRO: dígitos repetidos",IF(AND(VALUE(MID(P641,13,1))=IF(MOD(SUMPRODUCT(--MID(P641,{1,2,3,4,5,6,7,8,9,10,11,12},1),{5,4,3,2,9,8,7,6,5,4,3,2}),11)&lt;2,0,11-MOD(SUMPRODUCT(--MID(P641,{1,2,3,4,5,6,7,8,9,10,11,12},1),{5,4,3,2,9,8,7,6,5,4,3,2}),11)),VALUE(MID(P641,14,1))=IF(MOD(SUMPRODUCT(--MID(P641,{1,2,3,4,5,6,7,8,9,10,11,12,13},1),{6,5,4,3,2,9,8,7,6,5,4,3,2}),11)&lt;2,0,11-MOD(SUMPRODUCT(--MID(P641,{1,2,3,4,5,6,7,8,9,10,11,12,13},1),{6,5,4,3,2,9,8,7,6,5,4,3,2}),11))),"OK","ERRO: dígito verificador")))))</f>
      </c>
      <c r="R641" s="6">
        <f>IF(P641="","",IF(COUNTIF($P$2:$P$1001,P641)&gt;1,"DUPLICADO","OK"))</f>
      </c>
      <c r="S641" s="6">
        <f>IF(AND(J641="",K641=""),"vazio",IF(AND(OR(J641="",LEN(SUBSTITUTE(SUBSTITUTE(SUBSTITUTE(SUBSTITUTE(SUBSTITUTE(SUBSTITUTE(SUBSTITUTE(TRIM(J641),".",""),"/",""),"-","")," ",""),"(",""),")",""),"+",""))=10,LEN(SUBSTITUTE(SUBSTITUTE(SUBSTITUTE(SUBSTITUTE(SUBSTITUTE(SUBSTITUTE(SUBSTITUTE(TRIM(J641),".",""),"/",""),"-","")," ",""),"(",""),")",""),"+",""))=11),OR(K641="",LEN(SUBSTITUTE(SUBSTITUTE(SUBSTITUTE(SUBSTITUTE(SUBSTITUTE(SUBSTITUTE(SUBSTITUTE(TRIM(K641),".",""),"/",""),"-","")," ",""),"(",""),")",""),"+",""))=10,LEN(SUBSTITUTE(SUBSTITUTE(SUBSTITUTE(SUBSTITUTE(SUBSTITUTE(SUBSTITUTE(SUBSTITUTE(TRIM(K641),".",""),"/",""),"-","")," ",""),"(",""),")",""),"+",""))=11)),"OK","ERRO: use DDD + número (10 ou 11 dígitos)"))</f>
      </c>
      <c r="T641" s="6">
        <f>IF(L641="","vazio",IF(AND(ISNUMBER(FIND("@",L641)),ISNUMBER(FIND(".",MID(L641,FIND("@",L641),99))),NOT(ISNUMBER(FIND(" ",TRIM(L641)))),NOT(ISNUMBER(FIND(";",L641))),NOT(ISNUMBER(FIND(",",L641)))),"OK","ERRO: um e-mail válido por linha"))</f>
      </c>
      <c r="U641" s="6">
        <f>IF(COUNTA(A641:O641)=0,"",IF(AND(B641&lt;&gt;"",C641&lt;&gt;"",D641&lt;&gt;"",E641&lt;&gt;"",H641&lt;&gt;"",OR(J641&lt;&gt;"",L641&lt;&gt;"")),"OK","ERRO: faltam "&amp;IF(B641="","Proprietário; ","")&amp;IF(C641="","Origem; ","")&amp;IF(D641="","CNPJ; ","")&amp;IF(E641="","Razão Social; ","")&amp;IF(H641="","Sobrenome; ","")&amp;IF(AND(J641="",L641=""),"telefone ou e-mail; ","")))</f>
      </c>
      <c r="V641" s="6">
        <f>IF(COUNTA(A641:O641)=0,"",IF(AND(Q641="OK",R641="OK",LEFT(S641,4)&lt;&gt;"ERRO",LEFT(T641,4)&lt;&gt;"ERRO",U641="OK"),"OK","REVISAR"))</f>
      </c>
    </row>
    <row r="642">
      <c r="A642" s="4"/>
      <c r="B642" s="5"/>
      <c r="C642" s="5"/>
      <c r="D642" s="5"/>
      <c r="E642" s="5"/>
      <c r="F642" s="4"/>
      <c r="G642" s="4"/>
      <c r="H642" s="5"/>
      <c r="I642" s="4"/>
      <c r="J642" s="4"/>
      <c r="K642" s="4"/>
      <c r="L642" s="4"/>
      <c r="M642" s="4"/>
      <c r="N642" s="4"/>
      <c r="O642" s="4"/>
      <c r="P642" s="6">
        <f>IF(D642="","",SUBSTITUTE(SUBSTITUTE(SUBSTITUTE(SUBSTITUTE(SUBSTITUTE(SUBSTITUTE(SUBSTITUTE(TRIM(D642),".",""),"/",""),"-","")," ",""),"(",""),")",""),"+",""))</f>
      </c>
      <c r="Q642" s="6">
        <f>IF(P642="","",IF(LEN(P642)&lt;&gt;14,"ERRO: "&amp;LEN(P642)&amp;" dígitos",IF(NOT(ISNUMBER(VALUE(P642))),"ERRO: não numérico",IF(LEN(SUBSTITUTE(P642,LEFT(P642,1),""))=0,"ERRO: dígitos repetidos",IF(AND(VALUE(MID(P642,13,1))=IF(MOD(SUMPRODUCT(--MID(P642,{1,2,3,4,5,6,7,8,9,10,11,12},1),{5,4,3,2,9,8,7,6,5,4,3,2}),11)&lt;2,0,11-MOD(SUMPRODUCT(--MID(P642,{1,2,3,4,5,6,7,8,9,10,11,12},1),{5,4,3,2,9,8,7,6,5,4,3,2}),11)),VALUE(MID(P642,14,1))=IF(MOD(SUMPRODUCT(--MID(P642,{1,2,3,4,5,6,7,8,9,10,11,12,13},1),{6,5,4,3,2,9,8,7,6,5,4,3,2}),11)&lt;2,0,11-MOD(SUMPRODUCT(--MID(P642,{1,2,3,4,5,6,7,8,9,10,11,12,13},1),{6,5,4,3,2,9,8,7,6,5,4,3,2}),11))),"OK","ERRO: dígito verificador")))))</f>
      </c>
      <c r="R642" s="6">
        <f>IF(P642="","",IF(COUNTIF($P$2:$P$1001,P642)&gt;1,"DUPLICADO","OK"))</f>
      </c>
      <c r="S642" s="6">
        <f>IF(AND(J642="",K642=""),"vazio",IF(AND(OR(J642="",LEN(SUBSTITUTE(SUBSTITUTE(SUBSTITUTE(SUBSTITUTE(SUBSTITUTE(SUBSTITUTE(SUBSTITUTE(TRIM(J642),".",""),"/",""),"-","")," ",""),"(",""),")",""),"+",""))=10,LEN(SUBSTITUTE(SUBSTITUTE(SUBSTITUTE(SUBSTITUTE(SUBSTITUTE(SUBSTITUTE(SUBSTITUTE(TRIM(J642),".",""),"/",""),"-","")," ",""),"(",""),")",""),"+",""))=11),OR(K642="",LEN(SUBSTITUTE(SUBSTITUTE(SUBSTITUTE(SUBSTITUTE(SUBSTITUTE(SUBSTITUTE(SUBSTITUTE(TRIM(K642),".",""),"/",""),"-","")," ",""),"(",""),")",""),"+",""))=10,LEN(SUBSTITUTE(SUBSTITUTE(SUBSTITUTE(SUBSTITUTE(SUBSTITUTE(SUBSTITUTE(SUBSTITUTE(TRIM(K642),".",""),"/",""),"-","")," ",""),"(",""),")",""),"+",""))=11)),"OK","ERRO: use DDD + número (10 ou 11 dígitos)"))</f>
      </c>
      <c r="T642" s="6">
        <f>IF(L642="","vazio",IF(AND(ISNUMBER(FIND("@",L642)),ISNUMBER(FIND(".",MID(L642,FIND("@",L642),99))),NOT(ISNUMBER(FIND(" ",TRIM(L642)))),NOT(ISNUMBER(FIND(";",L642))),NOT(ISNUMBER(FIND(",",L642)))),"OK","ERRO: um e-mail válido por linha"))</f>
      </c>
      <c r="U642" s="6">
        <f>IF(COUNTA(A642:O642)=0,"",IF(AND(B642&lt;&gt;"",C642&lt;&gt;"",D642&lt;&gt;"",E642&lt;&gt;"",H642&lt;&gt;"",OR(J642&lt;&gt;"",L642&lt;&gt;"")),"OK","ERRO: faltam "&amp;IF(B642="","Proprietário; ","")&amp;IF(C642="","Origem; ","")&amp;IF(D642="","CNPJ; ","")&amp;IF(E642="","Razão Social; ","")&amp;IF(H642="","Sobrenome; ","")&amp;IF(AND(J642="",L642=""),"telefone ou e-mail; ","")))</f>
      </c>
      <c r="V642" s="6">
        <f>IF(COUNTA(A642:O642)=0,"",IF(AND(Q642="OK",R642="OK",LEFT(S642,4)&lt;&gt;"ERRO",LEFT(T642,4)&lt;&gt;"ERRO",U642="OK"),"OK","REVISAR"))</f>
      </c>
    </row>
    <row r="643">
      <c r="A643" s="4"/>
      <c r="B643" s="5"/>
      <c r="C643" s="5"/>
      <c r="D643" s="5"/>
      <c r="E643" s="5"/>
      <c r="F643" s="4"/>
      <c r="G643" s="4"/>
      <c r="H643" s="5"/>
      <c r="I643" s="4"/>
      <c r="J643" s="4"/>
      <c r="K643" s="4"/>
      <c r="L643" s="4"/>
      <c r="M643" s="4"/>
      <c r="N643" s="4"/>
      <c r="O643" s="4"/>
      <c r="P643" s="6">
        <f>IF(D643="","",SUBSTITUTE(SUBSTITUTE(SUBSTITUTE(SUBSTITUTE(SUBSTITUTE(SUBSTITUTE(SUBSTITUTE(TRIM(D643),".",""),"/",""),"-","")," ",""),"(",""),")",""),"+",""))</f>
      </c>
      <c r="Q643" s="6">
        <f>IF(P643="","",IF(LEN(P643)&lt;&gt;14,"ERRO: "&amp;LEN(P643)&amp;" dígitos",IF(NOT(ISNUMBER(VALUE(P643))),"ERRO: não numérico",IF(LEN(SUBSTITUTE(P643,LEFT(P643,1),""))=0,"ERRO: dígitos repetidos",IF(AND(VALUE(MID(P643,13,1))=IF(MOD(SUMPRODUCT(--MID(P643,{1,2,3,4,5,6,7,8,9,10,11,12},1),{5,4,3,2,9,8,7,6,5,4,3,2}),11)&lt;2,0,11-MOD(SUMPRODUCT(--MID(P643,{1,2,3,4,5,6,7,8,9,10,11,12},1),{5,4,3,2,9,8,7,6,5,4,3,2}),11)),VALUE(MID(P643,14,1))=IF(MOD(SUMPRODUCT(--MID(P643,{1,2,3,4,5,6,7,8,9,10,11,12,13},1),{6,5,4,3,2,9,8,7,6,5,4,3,2}),11)&lt;2,0,11-MOD(SUMPRODUCT(--MID(P643,{1,2,3,4,5,6,7,8,9,10,11,12,13},1),{6,5,4,3,2,9,8,7,6,5,4,3,2}),11))),"OK","ERRO: dígito verificador")))))</f>
      </c>
      <c r="R643" s="6">
        <f>IF(P643="","",IF(COUNTIF($P$2:$P$1001,P643)&gt;1,"DUPLICADO","OK"))</f>
      </c>
      <c r="S643" s="6">
        <f>IF(AND(J643="",K643=""),"vazio",IF(AND(OR(J643="",LEN(SUBSTITUTE(SUBSTITUTE(SUBSTITUTE(SUBSTITUTE(SUBSTITUTE(SUBSTITUTE(SUBSTITUTE(TRIM(J643),".",""),"/",""),"-","")," ",""),"(",""),")",""),"+",""))=10,LEN(SUBSTITUTE(SUBSTITUTE(SUBSTITUTE(SUBSTITUTE(SUBSTITUTE(SUBSTITUTE(SUBSTITUTE(TRIM(J643),".",""),"/",""),"-","")," ",""),"(",""),")",""),"+",""))=11),OR(K643="",LEN(SUBSTITUTE(SUBSTITUTE(SUBSTITUTE(SUBSTITUTE(SUBSTITUTE(SUBSTITUTE(SUBSTITUTE(TRIM(K643),".",""),"/",""),"-","")," ",""),"(",""),")",""),"+",""))=10,LEN(SUBSTITUTE(SUBSTITUTE(SUBSTITUTE(SUBSTITUTE(SUBSTITUTE(SUBSTITUTE(SUBSTITUTE(TRIM(K643),".",""),"/",""),"-","")," ",""),"(",""),")",""),"+",""))=11)),"OK","ERRO: use DDD + número (10 ou 11 dígitos)"))</f>
      </c>
      <c r="T643" s="6">
        <f>IF(L643="","vazio",IF(AND(ISNUMBER(FIND("@",L643)),ISNUMBER(FIND(".",MID(L643,FIND("@",L643),99))),NOT(ISNUMBER(FIND(" ",TRIM(L643)))),NOT(ISNUMBER(FIND(";",L643))),NOT(ISNUMBER(FIND(",",L643)))),"OK","ERRO: um e-mail válido por linha"))</f>
      </c>
      <c r="U643" s="6">
        <f>IF(COUNTA(A643:O643)=0,"",IF(AND(B643&lt;&gt;"",C643&lt;&gt;"",D643&lt;&gt;"",E643&lt;&gt;"",H643&lt;&gt;"",OR(J643&lt;&gt;"",L643&lt;&gt;"")),"OK","ERRO: faltam "&amp;IF(B643="","Proprietário; ","")&amp;IF(C643="","Origem; ","")&amp;IF(D643="","CNPJ; ","")&amp;IF(E643="","Razão Social; ","")&amp;IF(H643="","Sobrenome; ","")&amp;IF(AND(J643="",L643=""),"telefone ou e-mail; ","")))</f>
      </c>
      <c r="V643" s="6">
        <f>IF(COUNTA(A643:O643)=0,"",IF(AND(Q643="OK",R643="OK",LEFT(S643,4)&lt;&gt;"ERRO",LEFT(T643,4)&lt;&gt;"ERRO",U643="OK"),"OK","REVISAR"))</f>
      </c>
    </row>
    <row r="644">
      <c r="A644" s="4"/>
      <c r="B644" s="5"/>
      <c r="C644" s="5"/>
      <c r="D644" s="5"/>
      <c r="E644" s="5"/>
      <c r="F644" s="4"/>
      <c r="G644" s="4"/>
      <c r="H644" s="5"/>
      <c r="I644" s="4"/>
      <c r="J644" s="4"/>
      <c r="K644" s="4"/>
      <c r="L644" s="4"/>
      <c r="M644" s="4"/>
      <c r="N644" s="4"/>
      <c r="O644" s="4"/>
      <c r="P644" s="6">
        <f>IF(D644="","",SUBSTITUTE(SUBSTITUTE(SUBSTITUTE(SUBSTITUTE(SUBSTITUTE(SUBSTITUTE(SUBSTITUTE(TRIM(D644),".",""),"/",""),"-","")," ",""),"(",""),")",""),"+",""))</f>
      </c>
      <c r="Q644" s="6">
        <f>IF(P644="","",IF(LEN(P644)&lt;&gt;14,"ERRO: "&amp;LEN(P644)&amp;" dígitos",IF(NOT(ISNUMBER(VALUE(P644))),"ERRO: não numérico",IF(LEN(SUBSTITUTE(P644,LEFT(P644,1),""))=0,"ERRO: dígitos repetidos",IF(AND(VALUE(MID(P644,13,1))=IF(MOD(SUMPRODUCT(--MID(P644,{1,2,3,4,5,6,7,8,9,10,11,12},1),{5,4,3,2,9,8,7,6,5,4,3,2}),11)&lt;2,0,11-MOD(SUMPRODUCT(--MID(P644,{1,2,3,4,5,6,7,8,9,10,11,12},1),{5,4,3,2,9,8,7,6,5,4,3,2}),11)),VALUE(MID(P644,14,1))=IF(MOD(SUMPRODUCT(--MID(P644,{1,2,3,4,5,6,7,8,9,10,11,12,13},1),{6,5,4,3,2,9,8,7,6,5,4,3,2}),11)&lt;2,0,11-MOD(SUMPRODUCT(--MID(P644,{1,2,3,4,5,6,7,8,9,10,11,12,13},1),{6,5,4,3,2,9,8,7,6,5,4,3,2}),11))),"OK","ERRO: dígito verificador")))))</f>
      </c>
      <c r="R644" s="6">
        <f>IF(P644="","",IF(COUNTIF($P$2:$P$1001,P644)&gt;1,"DUPLICADO","OK"))</f>
      </c>
      <c r="S644" s="6">
        <f>IF(AND(J644="",K644=""),"vazio",IF(AND(OR(J644="",LEN(SUBSTITUTE(SUBSTITUTE(SUBSTITUTE(SUBSTITUTE(SUBSTITUTE(SUBSTITUTE(SUBSTITUTE(TRIM(J644),".",""),"/",""),"-","")," ",""),"(",""),")",""),"+",""))=10,LEN(SUBSTITUTE(SUBSTITUTE(SUBSTITUTE(SUBSTITUTE(SUBSTITUTE(SUBSTITUTE(SUBSTITUTE(TRIM(J644),".",""),"/",""),"-","")," ",""),"(",""),")",""),"+",""))=11),OR(K644="",LEN(SUBSTITUTE(SUBSTITUTE(SUBSTITUTE(SUBSTITUTE(SUBSTITUTE(SUBSTITUTE(SUBSTITUTE(TRIM(K644),".",""),"/",""),"-","")," ",""),"(",""),")",""),"+",""))=10,LEN(SUBSTITUTE(SUBSTITUTE(SUBSTITUTE(SUBSTITUTE(SUBSTITUTE(SUBSTITUTE(SUBSTITUTE(TRIM(K644),".",""),"/",""),"-","")," ",""),"(",""),")",""),"+",""))=11)),"OK","ERRO: use DDD + número (10 ou 11 dígitos)"))</f>
      </c>
      <c r="T644" s="6">
        <f>IF(L644="","vazio",IF(AND(ISNUMBER(FIND("@",L644)),ISNUMBER(FIND(".",MID(L644,FIND("@",L644),99))),NOT(ISNUMBER(FIND(" ",TRIM(L644)))),NOT(ISNUMBER(FIND(";",L644))),NOT(ISNUMBER(FIND(",",L644)))),"OK","ERRO: um e-mail válido por linha"))</f>
      </c>
      <c r="U644" s="6">
        <f>IF(COUNTA(A644:O644)=0,"",IF(AND(B644&lt;&gt;"",C644&lt;&gt;"",D644&lt;&gt;"",E644&lt;&gt;"",H644&lt;&gt;"",OR(J644&lt;&gt;"",L644&lt;&gt;"")),"OK","ERRO: faltam "&amp;IF(B644="","Proprietário; ","")&amp;IF(C644="","Origem; ","")&amp;IF(D644="","CNPJ; ","")&amp;IF(E644="","Razão Social; ","")&amp;IF(H644="","Sobrenome; ","")&amp;IF(AND(J644="",L644=""),"telefone ou e-mail; ","")))</f>
      </c>
      <c r="V644" s="6">
        <f>IF(COUNTA(A644:O644)=0,"",IF(AND(Q644="OK",R644="OK",LEFT(S644,4)&lt;&gt;"ERRO",LEFT(T644,4)&lt;&gt;"ERRO",U644="OK"),"OK","REVISAR"))</f>
      </c>
    </row>
    <row r="645">
      <c r="A645" s="4"/>
      <c r="B645" s="5"/>
      <c r="C645" s="5"/>
      <c r="D645" s="5"/>
      <c r="E645" s="5"/>
      <c r="F645" s="4"/>
      <c r="G645" s="4"/>
      <c r="H645" s="5"/>
      <c r="I645" s="4"/>
      <c r="J645" s="4"/>
      <c r="K645" s="4"/>
      <c r="L645" s="4"/>
      <c r="M645" s="4"/>
      <c r="N645" s="4"/>
      <c r="O645" s="4"/>
      <c r="P645" s="6">
        <f>IF(D645="","",SUBSTITUTE(SUBSTITUTE(SUBSTITUTE(SUBSTITUTE(SUBSTITUTE(SUBSTITUTE(SUBSTITUTE(TRIM(D645),".",""),"/",""),"-","")," ",""),"(",""),")",""),"+",""))</f>
      </c>
      <c r="Q645" s="6">
        <f>IF(P645="","",IF(LEN(P645)&lt;&gt;14,"ERRO: "&amp;LEN(P645)&amp;" dígitos",IF(NOT(ISNUMBER(VALUE(P645))),"ERRO: não numérico",IF(LEN(SUBSTITUTE(P645,LEFT(P645,1),""))=0,"ERRO: dígitos repetidos",IF(AND(VALUE(MID(P645,13,1))=IF(MOD(SUMPRODUCT(--MID(P645,{1,2,3,4,5,6,7,8,9,10,11,12},1),{5,4,3,2,9,8,7,6,5,4,3,2}),11)&lt;2,0,11-MOD(SUMPRODUCT(--MID(P645,{1,2,3,4,5,6,7,8,9,10,11,12},1),{5,4,3,2,9,8,7,6,5,4,3,2}),11)),VALUE(MID(P645,14,1))=IF(MOD(SUMPRODUCT(--MID(P645,{1,2,3,4,5,6,7,8,9,10,11,12,13},1),{6,5,4,3,2,9,8,7,6,5,4,3,2}),11)&lt;2,0,11-MOD(SUMPRODUCT(--MID(P645,{1,2,3,4,5,6,7,8,9,10,11,12,13},1),{6,5,4,3,2,9,8,7,6,5,4,3,2}),11))),"OK","ERRO: dígito verificador")))))</f>
      </c>
      <c r="R645" s="6">
        <f>IF(P645="","",IF(COUNTIF($P$2:$P$1001,P645)&gt;1,"DUPLICADO","OK"))</f>
      </c>
      <c r="S645" s="6">
        <f>IF(AND(J645="",K645=""),"vazio",IF(AND(OR(J645="",LEN(SUBSTITUTE(SUBSTITUTE(SUBSTITUTE(SUBSTITUTE(SUBSTITUTE(SUBSTITUTE(SUBSTITUTE(TRIM(J645),".",""),"/",""),"-","")," ",""),"(",""),")",""),"+",""))=10,LEN(SUBSTITUTE(SUBSTITUTE(SUBSTITUTE(SUBSTITUTE(SUBSTITUTE(SUBSTITUTE(SUBSTITUTE(TRIM(J645),".",""),"/",""),"-","")," ",""),"(",""),")",""),"+",""))=11),OR(K645="",LEN(SUBSTITUTE(SUBSTITUTE(SUBSTITUTE(SUBSTITUTE(SUBSTITUTE(SUBSTITUTE(SUBSTITUTE(TRIM(K645),".",""),"/",""),"-","")," ",""),"(",""),")",""),"+",""))=10,LEN(SUBSTITUTE(SUBSTITUTE(SUBSTITUTE(SUBSTITUTE(SUBSTITUTE(SUBSTITUTE(SUBSTITUTE(TRIM(K645),".",""),"/",""),"-","")," ",""),"(",""),")",""),"+",""))=11)),"OK","ERRO: use DDD + número (10 ou 11 dígitos)"))</f>
      </c>
      <c r="T645" s="6">
        <f>IF(L645="","vazio",IF(AND(ISNUMBER(FIND("@",L645)),ISNUMBER(FIND(".",MID(L645,FIND("@",L645),99))),NOT(ISNUMBER(FIND(" ",TRIM(L645)))),NOT(ISNUMBER(FIND(";",L645))),NOT(ISNUMBER(FIND(",",L645)))),"OK","ERRO: um e-mail válido por linha"))</f>
      </c>
      <c r="U645" s="6">
        <f>IF(COUNTA(A645:O645)=0,"",IF(AND(B645&lt;&gt;"",C645&lt;&gt;"",D645&lt;&gt;"",E645&lt;&gt;"",H645&lt;&gt;"",OR(J645&lt;&gt;"",L645&lt;&gt;"")),"OK","ERRO: faltam "&amp;IF(B645="","Proprietário; ","")&amp;IF(C645="","Origem; ","")&amp;IF(D645="","CNPJ; ","")&amp;IF(E645="","Razão Social; ","")&amp;IF(H645="","Sobrenome; ","")&amp;IF(AND(J645="",L645=""),"telefone ou e-mail; ","")))</f>
      </c>
      <c r="V645" s="6">
        <f>IF(COUNTA(A645:O645)=0,"",IF(AND(Q645="OK",R645="OK",LEFT(S645,4)&lt;&gt;"ERRO",LEFT(T645,4)&lt;&gt;"ERRO",U645="OK"),"OK","REVISAR"))</f>
      </c>
    </row>
    <row r="646">
      <c r="A646" s="4"/>
      <c r="B646" s="5"/>
      <c r="C646" s="5"/>
      <c r="D646" s="5"/>
      <c r="E646" s="5"/>
      <c r="F646" s="4"/>
      <c r="G646" s="4"/>
      <c r="H646" s="5"/>
      <c r="I646" s="4"/>
      <c r="J646" s="4"/>
      <c r="K646" s="4"/>
      <c r="L646" s="4"/>
      <c r="M646" s="4"/>
      <c r="N646" s="4"/>
      <c r="O646" s="4"/>
      <c r="P646" s="6">
        <f>IF(D646="","",SUBSTITUTE(SUBSTITUTE(SUBSTITUTE(SUBSTITUTE(SUBSTITUTE(SUBSTITUTE(SUBSTITUTE(TRIM(D646),".",""),"/",""),"-","")," ",""),"(",""),")",""),"+",""))</f>
      </c>
      <c r="Q646" s="6">
        <f>IF(P646="","",IF(LEN(P646)&lt;&gt;14,"ERRO: "&amp;LEN(P646)&amp;" dígitos",IF(NOT(ISNUMBER(VALUE(P646))),"ERRO: não numérico",IF(LEN(SUBSTITUTE(P646,LEFT(P646,1),""))=0,"ERRO: dígitos repetidos",IF(AND(VALUE(MID(P646,13,1))=IF(MOD(SUMPRODUCT(--MID(P646,{1,2,3,4,5,6,7,8,9,10,11,12},1),{5,4,3,2,9,8,7,6,5,4,3,2}),11)&lt;2,0,11-MOD(SUMPRODUCT(--MID(P646,{1,2,3,4,5,6,7,8,9,10,11,12},1),{5,4,3,2,9,8,7,6,5,4,3,2}),11)),VALUE(MID(P646,14,1))=IF(MOD(SUMPRODUCT(--MID(P646,{1,2,3,4,5,6,7,8,9,10,11,12,13},1),{6,5,4,3,2,9,8,7,6,5,4,3,2}),11)&lt;2,0,11-MOD(SUMPRODUCT(--MID(P646,{1,2,3,4,5,6,7,8,9,10,11,12,13},1),{6,5,4,3,2,9,8,7,6,5,4,3,2}),11))),"OK","ERRO: dígito verificador")))))</f>
      </c>
      <c r="R646" s="6">
        <f>IF(P646="","",IF(COUNTIF($P$2:$P$1001,P646)&gt;1,"DUPLICADO","OK"))</f>
      </c>
      <c r="S646" s="6">
        <f>IF(AND(J646="",K646=""),"vazio",IF(AND(OR(J646="",LEN(SUBSTITUTE(SUBSTITUTE(SUBSTITUTE(SUBSTITUTE(SUBSTITUTE(SUBSTITUTE(SUBSTITUTE(TRIM(J646),".",""),"/",""),"-","")," ",""),"(",""),")",""),"+",""))=10,LEN(SUBSTITUTE(SUBSTITUTE(SUBSTITUTE(SUBSTITUTE(SUBSTITUTE(SUBSTITUTE(SUBSTITUTE(TRIM(J646),".",""),"/",""),"-","")," ",""),"(",""),")",""),"+",""))=11),OR(K646="",LEN(SUBSTITUTE(SUBSTITUTE(SUBSTITUTE(SUBSTITUTE(SUBSTITUTE(SUBSTITUTE(SUBSTITUTE(TRIM(K646),".",""),"/",""),"-","")," ",""),"(",""),")",""),"+",""))=10,LEN(SUBSTITUTE(SUBSTITUTE(SUBSTITUTE(SUBSTITUTE(SUBSTITUTE(SUBSTITUTE(SUBSTITUTE(TRIM(K646),".",""),"/",""),"-","")," ",""),"(",""),")",""),"+",""))=11)),"OK","ERRO: use DDD + número (10 ou 11 dígitos)"))</f>
      </c>
      <c r="T646" s="6">
        <f>IF(L646="","vazio",IF(AND(ISNUMBER(FIND("@",L646)),ISNUMBER(FIND(".",MID(L646,FIND("@",L646),99))),NOT(ISNUMBER(FIND(" ",TRIM(L646)))),NOT(ISNUMBER(FIND(";",L646))),NOT(ISNUMBER(FIND(",",L646)))),"OK","ERRO: um e-mail válido por linha"))</f>
      </c>
      <c r="U646" s="6">
        <f>IF(COUNTA(A646:O646)=0,"",IF(AND(B646&lt;&gt;"",C646&lt;&gt;"",D646&lt;&gt;"",E646&lt;&gt;"",H646&lt;&gt;"",OR(J646&lt;&gt;"",L646&lt;&gt;"")),"OK","ERRO: faltam "&amp;IF(B646="","Proprietário; ","")&amp;IF(C646="","Origem; ","")&amp;IF(D646="","CNPJ; ","")&amp;IF(E646="","Razão Social; ","")&amp;IF(H646="","Sobrenome; ","")&amp;IF(AND(J646="",L646=""),"telefone ou e-mail; ","")))</f>
      </c>
      <c r="V646" s="6">
        <f>IF(COUNTA(A646:O646)=0,"",IF(AND(Q646="OK",R646="OK",LEFT(S646,4)&lt;&gt;"ERRO",LEFT(T646,4)&lt;&gt;"ERRO",U646="OK"),"OK","REVISAR"))</f>
      </c>
    </row>
    <row r="647">
      <c r="A647" s="4"/>
      <c r="B647" s="5"/>
      <c r="C647" s="5"/>
      <c r="D647" s="5"/>
      <c r="E647" s="5"/>
      <c r="F647" s="4"/>
      <c r="G647" s="4"/>
      <c r="H647" s="5"/>
      <c r="I647" s="4"/>
      <c r="J647" s="4"/>
      <c r="K647" s="4"/>
      <c r="L647" s="4"/>
      <c r="M647" s="4"/>
      <c r="N647" s="4"/>
      <c r="O647" s="4"/>
      <c r="P647" s="6">
        <f>IF(D647="","",SUBSTITUTE(SUBSTITUTE(SUBSTITUTE(SUBSTITUTE(SUBSTITUTE(SUBSTITUTE(SUBSTITUTE(TRIM(D647),".",""),"/",""),"-","")," ",""),"(",""),")",""),"+",""))</f>
      </c>
      <c r="Q647" s="6">
        <f>IF(P647="","",IF(LEN(P647)&lt;&gt;14,"ERRO: "&amp;LEN(P647)&amp;" dígitos",IF(NOT(ISNUMBER(VALUE(P647))),"ERRO: não numérico",IF(LEN(SUBSTITUTE(P647,LEFT(P647,1),""))=0,"ERRO: dígitos repetidos",IF(AND(VALUE(MID(P647,13,1))=IF(MOD(SUMPRODUCT(--MID(P647,{1,2,3,4,5,6,7,8,9,10,11,12},1),{5,4,3,2,9,8,7,6,5,4,3,2}),11)&lt;2,0,11-MOD(SUMPRODUCT(--MID(P647,{1,2,3,4,5,6,7,8,9,10,11,12},1),{5,4,3,2,9,8,7,6,5,4,3,2}),11)),VALUE(MID(P647,14,1))=IF(MOD(SUMPRODUCT(--MID(P647,{1,2,3,4,5,6,7,8,9,10,11,12,13},1),{6,5,4,3,2,9,8,7,6,5,4,3,2}),11)&lt;2,0,11-MOD(SUMPRODUCT(--MID(P647,{1,2,3,4,5,6,7,8,9,10,11,12,13},1),{6,5,4,3,2,9,8,7,6,5,4,3,2}),11))),"OK","ERRO: dígito verificador")))))</f>
      </c>
      <c r="R647" s="6">
        <f>IF(P647="","",IF(COUNTIF($P$2:$P$1001,P647)&gt;1,"DUPLICADO","OK"))</f>
      </c>
      <c r="S647" s="6">
        <f>IF(AND(J647="",K647=""),"vazio",IF(AND(OR(J647="",LEN(SUBSTITUTE(SUBSTITUTE(SUBSTITUTE(SUBSTITUTE(SUBSTITUTE(SUBSTITUTE(SUBSTITUTE(TRIM(J647),".",""),"/",""),"-","")," ",""),"(",""),")",""),"+",""))=10,LEN(SUBSTITUTE(SUBSTITUTE(SUBSTITUTE(SUBSTITUTE(SUBSTITUTE(SUBSTITUTE(SUBSTITUTE(TRIM(J647),".",""),"/",""),"-","")," ",""),"(",""),")",""),"+",""))=11),OR(K647="",LEN(SUBSTITUTE(SUBSTITUTE(SUBSTITUTE(SUBSTITUTE(SUBSTITUTE(SUBSTITUTE(SUBSTITUTE(TRIM(K647),".",""),"/",""),"-","")," ",""),"(",""),")",""),"+",""))=10,LEN(SUBSTITUTE(SUBSTITUTE(SUBSTITUTE(SUBSTITUTE(SUBSTITUTE(SUBSTITUTE(SUBSTITUTE(TRIM(K647),".",""),"/",""),"-","")," ",""),"(",""),")",""),"+",""))=11)),"OK","ERRO: use DDD + número (10 ou 11 dígitos)"))</f>
      </c>
      <c r="T647" s="6">
        <f>IF(L647="","vazio",IF(AND(ISNUMBER(FIND("@",L647)),ISNUMBER(FIND(".",MID(L647,FIND("@",L647),99))),NOT(ISNUMBER(FIND(" ",TRIM(L647)))),NOT(ISNUMBER(FIND(";",L647))),NOT(ISNUMBER(FIND(",",L647)))),"OK","ERRO: um e-mail válido por linha"))</f>
      </c>
      <c r="U647" s="6">
        <f>IF(COUNTA(A647:O647)=0,"",IF(AND(B647&lt;&gt;"",C647&lt;&gt;"",D647&lt;&gt;"",E647&lt;&gt;"",H647&lt;&gt;"",OR(J647&lt;&gt;"",L647&lt;&gt;"")),"OK","ERRO: faltam "&amp;IF(B647="","Proprietário; ","")&amp;IF(C647="","Origem; ","")&amp;IF(D647="","CNPJ; ","")&amp;IF(E647="","Razão Social; ","")&amp;IF(H647="","Sobrenome; ","")&amp;IF(AND(J647="",L647=""),"telefone ou e-mail; ","")))</f>
      </c>
      <c r="V647" s="6">
        <f>IF(COUNTA(A647:O647)=0,"",IF(AND(Q647="OK",R647="OK",LEFT(S647,4)&lt;&gt;"ERRO",LEFT(T647,4)&lt;&gt;"ERRO",U647="OK"),"OK","REVISAR"))</f>
      </c>
    </row>
    <row r="648">
      <c r="A648" s="4"/>
      <c r="B648" s="5"/>
      <c r="C648" s="5"/>
      <c r="D648" s="5"/>
      <c r="E648" s="5"/>
      <c r="F648" s="4"/>
      <c r="G648" s="4"/>
      <c r="H648" s="5"/>
      <c r="I648" s="4"/>
      <c r="J648" s="4"/>
      <c r="K648" s="4"/>
      <c r="L648" s="4"/>
      <c r="M648" s="4"/>
      <c r="N648" s="4"/>
      <c r="O648" s="4"/>
      <c r="P648" s="6">
        <f>IF(D648="","",SUBSTITUTE(SUBSTITUTE(SUBSTITUTE(SUBSTITUTE(SUBSTITUTE(SUBSTITUTE(SUBSTITUTE(TRIM(D648),".",""),"/",""),"-","")," ",""),"(",""),")",""),"+",""))</f>
      </c>
      <c r="Q648" s="6">
        <f>IF(P648="","",IF(LEN(P648)&lt;&gt;14,"ERRO: "&amp;LEN(P648)&amp;" dígitos",IF(NOT(ISNUMBER(VALUE(P648))),"ERRO: não numérico",IF(LEN(SUBSTITUTE(P648,LEFT(P648,1),""))=0,"ERRO: dígitos repetidos",IF(AND(VALUE(MID(P648,13,1))=IF(MOD(SUMPRODUCT(--MID(P648,{1,2,3,4,5,6,7,8,9,10,11,12},1),{5,4,3,2,9,8,7,6,5,4,3,2}),11)&lt;2,0,11-MOD(SUMPRODUCT(--MID(P648,{1,2,3,4,5,6,7,8,9,10,11,12},1),{5,4,3,2,9,8,7,6,5,4,3,2}),11)),VALUE(MID(P648,14,1))=IF(MOD(SUMPRODUCT(--MID(P648,{1,2,3,4,5,6,7,8,9,10,11,12,13},1),{6,5,4,3,2,9,8,7,6,5,4,3,2}),11)&lt;2,0,11-MOD(SUMPRODUCT(--MID(P648,{1,2,3,4,5,6,7,8,9,10,11,12,13},1),{6,5,4,3,2,9,8,7,6,5,4,3,2}),11))),"OK","ERRO: dígito verificador")))))</f>
      </c>
      <c r="R648" s="6">
        <f>IF(P648="","",IF(COUNTIF($P$2:$P$1001,P648)&gt;1,"DUPLICADO","OK"))</f>
      </c>
      <c r="S648" s="6">
        <f>IF(AND(J648="",K648=""),"vazio",IF(AND(OR(J648="",LEN(SUBSTITUTE(SUBSTITUTE(SUBSTITUTE(SUBSTITUTE(SUBSTITUTE(SUBSTITUTE(SUBSTITUTE(TRIM(J648),".",""),"/",""),"-","")," ",""),"(",""),")",""),"+",""))=10,LEN(SUBSTITUTE(SUBSTITUTE(SUBSTITUTE(SUBSTITUTE(SUBSTITUTE(SUBSTITUTE(SUBSTITUTE(TRIM(J648),".",""),"/",""),"-","")," ",""),"(",""),")",""),"+",""))=11),OR(K648="",LEN(SUBSTITUTE(SUBSTITUTE(SUBSTITUTE(SUBSTITUTE(SUBSTITUTE(SUBSTITUTE(SUBSTITUTE(TRIM(K648),".",""),"/",""),"-","")," ",""),"(",""),")",""),"+",""))=10,LEN(SUBSTITUTE(SUBSTITUTE(SUBSTITUTE(SUBSTITUTE(SUBSTITUTE(SUBSTITUTE(SUBSTITUTE(TRIM(K648),".",""),"/",""),"-","")," ",""),"(",""),")",""),"+",""))=11)),"OK","ERRO: use DDD + número (10 ou 11 dígitos)"))</f>
      </c>
      <c r="T648" s="6">
        <f>IF(L648="","vazio",IF(AND(ISNUMBER(FIND("@",L648)),ISNUMBER(FIND(".",MID(L648,FIND("@",L648),99))),NOT(ISNUMBER(FIND(" ",TRIM(L648)))),NOT(ISNUMBER(FIND(";",L648))),NOT(ISNUMBER(FIND(",",L648)))),"OK","ERRO: um e-mail válido por linha"))</f>
      </c>
      <c r="U648" s="6">
        <f>IF(COUNTA(A648:O648)=0,"",IF(AND(B648&lt;&gt;"",C648&lt;&gt;"",D648&lt;&gt;"",E648&lt;&gt;"",H648&lt;&gt;"",OR(J648&lt;&gt;"",L648&lt;&gt;"")),"OK","ERRO: faltam "&amp;IF(B648="","Proprietário; ","")&amp;IF(C648="","Origem; ","")&amp;IF(D648="","CNPJ; ","")&amp;IF(E648="","Razão Social; ","")&amp;IF(H648="","Sobrenome; ","")&amp;IF(AND(J648="",L648=""),"telefone ou e-mail; ","")))</f>
      </c>
      <c r="V648" s="6">
        <f>IF(COUNTA(A648:O648)=0,"",IF(AND(Q648="OK",R648="OK",LEFT(S648,4)&lt;&gt;"ERRO",LEFT(T648,4)&lt;&gt;"ERRO",U648="OK"),"OK","REVISAR"))</f>
      </c>
    </row>
    <row r="649">
      <c r="A649" s="4"/>
      <c r="B649" s="5"/>
      <c r="C649" s="5"/>
      <c r="D649" s="5"/>
      <c r="E649" s="5"/>
      <c r="F649" s="4"/>
      <c r="G649" s="4"/>
      <c r="H649" s="5"/>
      <c r="I649" s="4"/>
      <c r="J649" s="4"/>
      <c r="K649" s="4"/>
      <c r="L649" s="4"/>
      <c r="M649" s="4"/>
      <c r="N649" s="4"/>
      <c r="O649" s="4"/>
      <c r="P649" s="6">
        <f>IF(D649="","",SUBSTITUTE(SUBSTITUTE(SUBSTITUTE(SUBSTITUTE(SUBSTITUTE(SUBSTITUTE(SUBSTITUTE(TRIM(D649),".",""),"/",""),"-","")," ",""),"(",""),")",""),"+",""))</f>
      </c>
      <c r="Q649" s="6">
        <f>IF(P649="","",IF(LEN(P649)&lt;&gt;14,"ERRO: "&amp;LEN(P649)&amp;" dígitos",IF(NOT(ISNUMBER(VALUE(P649))),"ERRO: não numérico",IF(LEN(SUBSTITUTE(P649,LEFT(P649,1),""))=0,"ERRO: dígitos repetidos",IF(AND(VALUE(MID(P649,13,1))=IF(MOD(SUMPRODUCT(--MID(P649,{1,2,3,4,5,6,7,8,9,10,11,12},1),{5,4,3,2,9,8,7,6,5,4,3,2}),11)&lt;2,0,11-MOD(SUMPRODUCT(--MID(P649,{1,2,3,4,5,6,7,8,9,10,11,12},1),{5,4,3,2,9,8,7,6,5,4,3,2}),11)),VALUE(MID(P649,14,1))=IF(MOD(SUMPRODUCT(--MID(P649,{1,2,3,4,5,6,7,8,9,10,11,12,13},1),{6,5,4,3,2,9,8,7,6,5,4,3,2}),11)&lt;2,0,11-MOD(SUMPRODUCT(--MID(P649,{1,2,3,4,5,6,7,8,9,10,11,12,13},1),{6,5,4,3,2,9,8,7,6,5,4,3,2}),11))),"OK","ERRO: dígito verificador")))))</f>
      </c>
      <c r="R649" s="6">
        <f>IF(P649="","",IF(COUNTIF($P$2:$P$1001,P649)&gt;1,"DUPLICADO","OK"))</f>
      </c>
      <c r="S649" s="6">
        <f>IF(AND(J649="",K649=""),"vazio",IF(AND(OR(J649="",LEN(SUBSTITUTE(SUBSTITUTE(SUBSTITUTE(SUBSTITUTE(SUBSTITUTE(SUBSTITUTE(SUBSTITUTE(TRIM(J649),".",""),"/",""),"-","")," ",""),"(",""),")",""),"+",""))=10,LEN(SUBSTITUTE(SUBSTITUTE(SUBSTITUTE(SUBSTITUTE(SUBSTITUTE(SUBSTITUTE(SUBSTITUTE(TRIM(J649),".",""),"/",""),"-","")," ",""),"(",""),")",""),"+",""))=11),OR(K649="",LEN(SUBSTITUTE(SUBSTITUTE(SUBSTITUTE(SUBSTITUTE(SUBSTITUTE(SUBSTITUTE(SUBSTITUTE(TRIM(K649),".",""),"/",""),"-","")," ",""),"(",""),")",""),"+",""))=10,LEN(SUBSTITUTE(SUBSTITUTE(SUBSTITUTE(SUBSTITUTE(SUBSTITUTE(SUBSTITUTE(SUBSTITUTE(TRIM(K649),".",""),"/",""),"-","")," ",""),"(",""),")",""),"+",""))=11)),"OK","ERRO: use DDD + número (10 ou 11 dígitos)"))</f>
      </c>
      <c r="T649" s="6">
        <f>IF(L649="","vazio",IF(AND(ISNUMBER(FIND("@",L649)),ISNUMBER(FIND(".",MID(L649,FIND("@",L649),99))),NOT(ISNUMBER(FIND(" ",TRIM(L649)))),NOT(ISNUMBER(FIND(";",L649))),NOT(ISNUMBER(FIND(",",L649)))),"OK","ERRO: um e-mail válido por linha"))</f>
      </c>
      <c r="U649" s="6">
        <f>IF(COUNTA(A649:O649)=0,"",IF(AND(B649&lt;&gt;"",C649&lt;&gt;"",D649&lt;&gt;"",E649&lt;&gt;"",H649&lt;&gt;"",OR(J649&lt;&gt;"",L649&lt;&gt;"")),"OK","ERRO: faltam "&amp;IF(B649="","Proprietário; ","")&amp;IF(C649="","Origem; ","")&amp;IF(D649="","CNPJ; ","")&amp;IF(E649="","Razão Social; ","")&amp;IF(H649="","Sobrenome; ","")&amp;IF(AND(J649="",L649=""),"telefone ou e-mail; ","")))</f>
      </c>
      <c r="V649" s="6">
        <f>IF(COUNTA(A649:O649)=0,"",IF(AND(Q649="OK",R649="OK",LEFT(S649,4)&lt;&gt;"ERRO",LEFT(T649,4)&lt;&gt;"ERRO",U649="OK"),"OK","REVISAR"))</f>
      </c>
    </row>
    <row r="650">
      <c r="A650" s="4"/>
      <c r="B650" s="5"/>
      <c r="C650" s="5"/>
      <c r="D650" s="5"/>
      <c r="E650" s="5"/>
      <c r="F650" s="4"/>
      <c r="G650" s="4"/>
      <c r="H650" s="5"/>
      <c r="I650" s="4"/>
      <c r="J650" s="4"/>
      <c r="K650" s="4"/>
      <c r="L650" s="4"/>
      <c r="M650" s="4"/>
      <c r="N650" s="4"/>
      <c r="O650" s="4"/>
      <c r="P650" s="6">
        <f>IF(D650="","",SUBSTITUTE(SUBSTITUTE(SUBSTITUTE(SUBSTITUTE(SUBSTITUTE(SUBSTITUTE(SUBSTITUTE(TRIM(D650),".",""),"/",""),"-","")," ",""),"(",""),")",""),"+",""))</f>
      </c>
      <c r="Q650" s="6">
        <f>IF(P650="","",IF(LEN(P650)&lt;&gt;14,"ERRO: "&amp;LEN(P650)&amp;" dígitos",IF(NOT(ISNUMBER(VALUE(P650))),"ERRO: não numérico",IF(LEN(SUBSTITUTE(P650,LEFT(P650,1),""))=0,"ERRO: dígitos repetidos",IF(AND(VALUE(MID(P650,13,1))=IF(MOD(SUMPRODUCT(--MID(P650,{1,2,3,4,5,6,7,8,9,10,11,12},1),{5,4,3,2,9,8,7,6,5,4,3,2}),11)&lt;2,0,11-MOD(SUMPRODUCT(--MID(P650,{1,2,3,4,5,6,7,8,9,10,11,12},1),{5,4,3,2,9,8,7,6,5,4,3,2}),11)),VALUE(MID(P650,14,1))=IF(MOD(SUMPRODUCT(--MID(P650,{1,2,3,4,5,6,7,8,9,10,11,12,13},1),{6,5,4,3,2,9,8,7,6,5,4,3,2}),11)&lt;2,0,11-MOD(SUMPRODUCT(--MID(P650,{1,2,3,4,5,6,7,8,9,10,11,12,13},1),{6,5,4,3,2,9,8,7,6,5,4,3,2}),11))),"OK","ERRO: dígito verificador")))))</f>
      </c>
      <c r="R650" s="6">
        <f>IF(P650="","",IF(COUNTIF($P$2:$P$1001,P650)&gt;1,"DUPLICADO","OK"))</f>
      </c>
      <c r="S650" s="6">
        <f>IF(AND(J650="",K650=""),"vazio",IF(AND(OR(J650="",LEN(SUBSTITUTE(SUBSTITUTE(SUBSTITUTE(SUBSTITUTE(SUBSTITUTE(SUBSTITUTE(SUBSTITUTE(TRIM(J650),".",""),"/",""),"-","")," ",""),"(",""),")",""),"+",""))=10,LEN(SUBSTITUTE(SUBSTITUTE(SUBSTITUTE(SUBSTITUTE(SUBSTITUTE(SUBSTITUTE(SUBSTITUTE(TRIM(J650),".",""),"/",""),"-","")," ",""),"(",""),")",""),"+",""))=11),OR(K650="",LEN(SUBSTITUTE(SUBSTITUTE(SUBSTITUTE(SUBSTITUTE(SUBSTITUTE(SUBSTITUTE(SUBSTITUTE(TRIM(K650),".",""),"/",""),"-","")," ",""),"(",""),")",""),"+",""))=10,LEN(SUBSTITUTE(SUBSTITUTE(SUBSTITUTE(SUBSTITUTE(SUBSTITUTE(SUBSTITUTE(SUBSTITUTE(TRIM(K650),".",""),"/",""),"-","")," ",""),"(",""),")",""),"+",""))=11)),"OK","ERRO: use DDD + número (10 ou 11 dígitos)"))</f>
      </c>
      <c r="T650" s="6">
        <f>IF(L650="","vazio",IF(AND(ISNUMBER(FIND("@",L650)),ISNUMBER(FIND(".",MID(L650,FIND("@",L650),99))),NOT(ISNUMBER(FIND(" ",TRIM(L650)))),NOT(ISNUMBER(FIND(";",L650))),NOT(ISNUMBER(FIND(",",L650)))),"OK","ERRO: um e-mail válido por linha"))</f>
      </c>
      <c r="U650" s="6">
        <f>IF(COUNTA(A650:O650)=0,"",IF(AND(B650&lt;&gt;"",C650&lt;&gt;"",D650&lt;&gt;"",E650&lt;&gt;"",H650&lt;&gt;"",OR(J650&lt;&gt;"",L650&lt;&gt;"")),"OK","ERRO: faltam "&amp;IF(B650="","Proprietário; ","")&amp;IF(C650="","Origem; ","")&amp;IF(D650="","CNPJ; ","")&amp;IF(E650="","Razão Social; ","")&amp;IF(H650="","Sobrenome; ","")&amp;IF(AND(J650="",L650=""),"telefone ou e-mail; ","")))</f>
      </c>
      <c r="V650" s="6">
        <f>IF(COUNTA(A650:O650)=0,"",IF(AND(Q650="OK",R650="OK",LEFT(S650,4)&lt;&gt;"ERRO",LEFT(T650,4)&lt;&gt;"ERRO",U650="OK"),"OK","REVISAR"))</f>
      </c>
    </row>
    <row r="651">
      <c r="A651" s="4"/>
      <c r="B651" s="5"/>
      <c r="C651" s="5"/>
      <c r="D651" s="5"/>
      <c r="E651" s="5"/>
      <c r="F651" s="4"/>
      <c r="G651" s="4"/>
      <c r="H651" s="5"/>
      <c r="I651" s="4"/>
      <c r="J651" s="4"/>
      <c r="K651" s="4"/>
      <c r="L651" s="4"/>
      <c r="M651" s="4"/>
      <c r="N651" s="4"/>
      <c r="O651" s="4"/>
      <c r="P651" s="6">
        <f>IF(D651="","",SUBSTITUTE(SUBSTITUTE(SUBSTITUTE(SUBSTITUTE(SUBSTITUTE(SUBSTITUTE(SUBSTITUTE(TRIM(D651),".",""),"/",""),"-","")," ",""),"(",""),")",""),"+",""))</f>
      </c>
      <c r="Q651" s="6">
        <f>IF(P651="","",IF(LEN(P651)&lt;&gt;14,"ERRO: "&amp;LEN(P651)&amp;" dígitos",IF(NOT(ISNUMBER(VALUE(P651))),"ERRO: não numérico",IF(LEN(SUBSTITUTE(P651,LEFT(P651,1),""))=0,"ERRO: dígitos repetidos",IF(AND(VALUE(MID(P651,13,1))=IF(MOD(SUMPRODUCT(--MID(P651,{1,2,3,4,5,6,7,8,9,10,11,12},1),{5,4,3,2,9,8,7,6,5,4,3,2}),11)&lt;2,0,11-MOD(SUMPRODUCT(--MID(P651,{1,2,3,4,5,6,7,8,9,10,11,12},1),{5,4,3,2,9,8,7,6,5,4,3,2}),11)),VALUE(MID(P651,14,1))=IF(MOD(SUMPRODUCT(--MID(P651,{1,2,3,4,5,6,7,8,9,10,11,12,13},1),{6,5,4,3,2,9,8,7,6,5,4,3,2}),11)&lt;2,0,11-MOD(SUMPRODUCT(--MID(P651,{1,2,3,4,5,6,7,8,9,10,11,12,13},1),{6,5,4,3,2,9,8,7,6,5,4,3,2}),11))),"OK","ERRO: dígito verificador")))))</f>
      </c>
      <c r="R651" s="6">
        <f>IF(P651="","",IF(COUNTIF($P$2:$P$1001,P651)&gt;1,"DUPLICADO","OK"))</f>
      </c>
      <c r="S651" s="6">
        <f>IF(AND(J651="",K651=""),"vazio",IF(AND(OR(J651="",LEN(SUBSTITUTE(SUBSTITUTE(SUBSTITUTE(SUBSTITUTE(SUBSTITUTE(SUBSTITUTE(SUBSTITUTE(TRIM(J651),".",""),"/",""),"-","")," ",""),"(",""),")",""),"+",""))=10,LEN(SUBSTITUTE(SUBSTITUTE(SUBSTITUTE(SUBSTITUTE(SUBSTITUTE(SUBSTITUTE(SUBSTITUTE(TRIM(J651),".",""),"/",""),"-","")," ",""),"(",""),")",""),"+",""))=11),OR(K651="",LEN(SUBSTITUTE(SUBSTITUTE(SUBSTITUTE(SUBSTITUTE(SUBSTITUTE(SUBSTITUTE(SUBSTITUTE(TRIM(K651),".",""),"/",""),"-","")," ",""),"(",""),")",""),"+",""))=10,LEN(SUBSTITUTE(SUBSTITUTE(SUBSTITUTE(SUBSTITUTE(SUBSTITUTE(SUBSTITUTE(SUBSTITUTE(TRIM(K651),".",""),"/",""),"-","")," ",""),"(",""),")",""),"+",""))=11)),"OK","ERRO: use DDD + número (10 ou 11 dígitos)"))</f>
      </c>
      <c r="T651" s="6">
        <f>IF(L651="","vazio",IF(AND(ISNUMBER(FIND("@",L651)),ISNUMBER(FIND(".",MID(L651,FIND("@",L651),99))),NOT(ISNUMBER(FIND(" ",TRIM(L651)))),NOT(ISNUMBER(FIND(";",L651))),NOT(ISNUMBER(FIND(",",L651)))),"OK","ERRO: um e-mail válido por linha"))</f>
      </c>
      <c r="U651" s="6">
        <f>IF(COUNTA(A651:O651)=0,"",IF(AND(B651&lt;&gt;"",C651&lt;&gt;"",D651&lt;&gt;"",E651&lt;&gt;"",H651&lt;&gt;"",OR(J651&lt;&gt;"",L651&lt;&gt;"")),"OK","ERRO: faltam "&amp;IF(B651="","Proprietário; ","")&amp;IF(C651="","Origem; ","")&amp;IF(D651="","CNPJ; ","")&amp;IF(E651="","Razão Social; ","")&amp;IF(H651="","Sobrenome; ","")&amp;IF(AND(J651="",L651=""),"telefone ou e-mail; ","")))</f>
      </c>
      <c r="V651" s="6">
        <f>IF(COUNTA(A651:O651)=0,"",IF(AND(Q651="OK",R651="OK",LEFT(S651,4)&lt;&gt;"ERRO",LEFT(T651,4)&lt;&gt;"ERRO",U651="OK"),"OK","REVISAR"))</f>
      </c>
    </row>
    <row r="652">
      <c r="A652" s="4"/>
      <c r="B652" s="5"/>
      <c r="C652" s="5"/>
      <c r="D652" s="5"/>
      <c r="E652" s="5"/>
      <c r="F652" s="4"/>
      <c r="G652" s="4"/>
      <c r="H652" s="5"/>
      <c r="I652" s="4"/>
      <c r="J652" s="4"/>
      <c r="K652" s="4"/>
      <c r="L652" s="4"/>
      <c r="M652" s="4"/>
      <c r="N652" s="4"/>
      <c r="O652" s="4"/>
      <c r="P652" s="6">
        <f>IF(D652="","",SUBSTITUTE(SUBSTITUTE(SUBSTITUTE(SUBSTITUTE(SUBSTITUTE(SUBSTITUTE(SUBSTITUTE(TRIM(D652),".",""),"/",""),"-","")," ",""),"(",""),")",""),"+",""))</f>
      </c>
      <c r="Q652" s="6">
        <f>IF(P652="","",IF(LEN(P652)&lt;&gt;14,"ERRO: "&amp;LEN(P652)&amp;" dígitos",IF(NOT(ISNUMBER(VALUE(P652))),"ERRO: não numérico",IF(LEN(SUBSTITUTE(P652,LEFT(P652,1),""))=0,"ERRO: dígitos repetidos",IF(AND(VALUE(MID(P652,13,1))=IF(MOD(SUMPRODUCT(--MID(P652,{1,2,3,4,5,6,7,8,9,10,11,12},1),{5,4,3,2,9,8,7,6,5,4,3,2}),11)&lt;2,0,11-MOD(SUMPRODUCT(--MID(P652,{1,2,3,4,5,6,7,8,9,10,11,12},1),{5,4,3,2,9,8,7,6,5,4,3,2}),11)),VALUE(MID(P652,14,1))=IF(MOD(SUMPRODUCT(--MID(P652,{1,2,3,4,5,6,7,8,9,10,11,12,13},1),{6,5,4,3,2,9,8,7,6,5,4,3,2}),11)&lt;2,0,11-MOD(SUMPRODUCT(--MID(P652,{1,2,3,4,5,6,7,8,9,10,11,12,13},1),{6,5,4,3,2,9,8,7,6,5,4,3,2}),11))),"OK","ERRO: dígito verificador")))))</f>
      </c>
      <c r="R652" s="6">
        <f>IF(P652="","",IF(COUNTIF($P$2:$P$1001,P652)&gt;1,"DUPLICADO","OK"))</f>
      </c>
      <c r="S652" s="6">
        <f>IF(AND(J652="",K652=""),"vazio",IF(AND(OR(J652="",LEN(SUBSTITUTE(SUBSTITUTE(SUBSTITUTE(SUBSTITUTE(SUBSTITUTE(SUBSTITUTE(SUBSTITUTE(TRIM(J652),".",""),"/",""),"-","")," ",""),"(",""),")",""),"+",""))=10,LEN(SUBSTITUTE(SUBSTITUTE(SUBSTITUTE(SUBSTITUTE(SUBSTITUTE(SUBSTITUTE(SUBSTITUTE(TRIM(J652),".",""),"/",""),"-","")," ",""),"(",""),")",""),"+",""))=11),OR(K652="",LEN(SUBSTITUTE(SUBSTITUTE(SUBSTITUTE(SUBSTITUTE(SUBSTITUTE(SUBSTITUTE(SUBSTITUTE(TRIM(K652),".",""),"/",""),"-","")," ",""),"(",""),")",""),"+",""))=10,LEN(SUBSTITUTE(SUBSTITUTE(SUBSTITUTE(SUBSTITUTE(SUBSTITUTE(SUBSTITUTE(SUBSTITUTE(TRIM(K652),".",""),"/",""),"-","")," ",""),"(",""),")",""),"+",""))=11)),"OK","ERRO: use DDD + número (10 ou 11 dígitos)"))</f>
      </c>
      <c r="T652" s="6">
        <f>IF(L652="","vazio",IF(AND(ISNUMBER(FIND("@",L652)),ISNUMBER(FIND(".",MID(L652,FIND("@",L652),99))),NOT(ISNUMBER(FIND(" ",TRIM(L652)))),NOT(ISNUMBER(FIND(";",L652))),NOT(ISNUMBER(FIND(",",L652)))),"OK","ERRO: um e-mail válido por linha"))</f>
      </c>
      <c r="U652" s="6">
        <f>IF(COUNTA(A652:O652)=0,"",IF(AND(B652&lt;&gt;"",C652&lt;&gt;"",D652&lt;&gt;"",E652&lt;&gt;"",H652&lt;&gt;"",OR(J652&lt;&gt;"",L652&lt;&gt;"")),"OK","ERRO: faltam "&amp;IF(B652="","Proprietário; ","")&amp;IF(C652="","Origem; ","")&amp;IF(D652="","CNPJ; ","")&amp;IF(E652="","Razão Social; ","")&amp;IF(H652="","Sobrenome; ","")&amp;IF(AND(J652="",L652=""),"telefone ou e-mail; ","")))</f>
      </c>
      <c r="V652" s="6">
        <f>IF(COUNTA(A652:O652)=0,"",IF(AND(Q652="OK",R652="OK",LEFT(S652,4)&lt;&gt;"ERRO",LEFT(T652,4)&lt;&gt;"ERRO",U652="OK"),"OK","REVISAR"))</f>
      </c>
    </row>
    <row r="653">
      <c r="A653" s="4"/>
      <c r="B653" s="5"/>
      <c r="C653" s="5"/>
      <c r="D653" s="5"/>
      <c r="E653" s="5"/>
      <c r="F653" s="4"/>
      <c r="G653" s="4"/>
      <c r="H653" s="5"/>
      <c r="I653" s="4"/>
      <c r="J653" s="4"/>
      <c r="K653" s="4"/>
      <c r="L653" s="4"/>
      <c r="M653" s="4"/>
      <c r="N653" s="4"/>
      <c r="O653" s="4"/>
      <c r="P653" s="6">
        <f>IF(D653="","",SUBSTITUTE(SUBSTITUTE(SUBSTITUTE(SUBSTITUTE(SUBSTITUTE(SUBSTITUTE(SUBSTITUTE(TRIM(D653),".",""),"/",""),"-","")," ",""),"(",""),")",""),"+",""))</f>
      </c>
      <c r="Q653" s="6">
        <f>IF(P653="","",IF(LEN(P653)&lt;&gt;14,"ERRO: "&amp;LEN(P653)&amp;" dígitos",IF(NOT(ISNUMBER(VALUE(P653))),"ERRO: não numérico",IF(LEN(SUBSTITUTE(P653,LEFT(P653,1),""))=0,"ERRO: dígitos repetidos",IF(AND(VALUE(MID(P653,13,1))=IF(MOD(SUMPRODUCT(--MID(P653,{1,2,3,4,5,6,7,8,9,10,11,12},1),{5,4,3,2,9,8,7,6,5,4,3,2}),11)&lt;2,0,11-MOD(SUMPRODUCT(--MID(P653,{1,2,3,4,5,6,7,8,9,10,11,12},1),{5,4,3,2,9,8,7,6,5,4,3,2}),11)),VALUE(MID(P653,14,1))=IF(MOD(SUMPRODUCT(--MID(P653,{1,2,3,4,5,6,7,8,9,10,11,12,13},1),{6,5,4,3,2,9,8,7,6,5,4,3,2}),11)&lt;2,0,11-MOD(SUMPRODUCT(--MID(P653,{1,2,3,4,5,6,7,8,9,10,11,12,13},1),{6,5,4,3,2,9,8,7,6,5,4,3,2}),11))),"OK","ERRO: dígito verificador")))))</f>
      </c>
      <c r="R653" s="6">
        <f>IF(P653="","",IF(COUNTIF($P$2:$P$1001,P653)&gt;1,"DUPLICADO","OK"))</f>
      </c>
      <c r="S653" s="6">
        <f>IF(AND(J653="",K653=""),"vazio",IF(AND(OR(J653="",LEN(SUBSTITUTE(SUBSTITUTE(SUBSTITUTE(SUBSTITUTE(SUBSTITUTE(SUBSTITUTE(SUBSTITUTE(TRIM(J653),".",""),"/",""),"-","")," ",""),"(",""),")",""),"+",""))=10,LEN(SUBSTITUTE(SUBSTITUTE(SUBSTITUTE(SUBSTITUTE(SUBSTITUTE(SUBSTITUTE(SUBSTITUTE(TRIM(J653),".",""),"/",""),"-","")," ",""),"(",""),")",""),"+",""))=11),OR(K653="",LEN(SUBSTITUTE(SUBSTITUTE(SUBSTITUTE(SUBSTITUTE(SUBSTITUTE(SUBSTITUTE(SUBSTITUTE(TRIM(K653),".",""),"/",""),"-","")," ",""),"(",""),")",""),"+",""))=10,LEN(SUBSTITUTE(SUBSTITUTE(SUBSTITUTE(SUBSTITUTE(SUBSTITUTE(SUBSTITUTE(SUBSTITUTE(TRIM(K653),".",""),"/",""),"-","")," ",""),"(",""),")",""),"+",""))=11)),"OK","ERRO: use DDD + número (10 ou 11 dígitos)"))</f>
      </c>
      <c r="T653" s="6">
        <f>IF(L653="","vazio",IF(AND(ISNUMBER(FIND("@",L653)),ISNUMBER(FIND(".",MID(L653,FIND("@",L653),99))),NOT(ISNUMBER(FIND(" ",TRIM(L653)))),NOT(ISNUMBER(FIND(";",L653))),NOT(ISNUMBER(FIND(",",L653)))),"OK","ERRO: um e-mail válido por linha"))</f>
      </c>
      <c r="U653" s="6">
        <f>IF(COUNTA(A653:O653)=0,"",IF(AND(B653&lt;&gt;"",C653&lt;&gt;"",D653&lt;&gt;"",E653&lt;&gt;"",H653&lt;&gt;"",OR(J653&lt;&gt;"",L653&lt;&gt;"")),"OK","ERRO: faltam "&amp;IF(B653="","Proprietário; ","")&amp;IF(C653="","Origem; ","")&amp;IF(D653="","CNPJ; ","")&amp;IF(E653="","Razão Social; ","")&amp;IF(H653="","Sobrenome; ","")&amp;IF(AND(J653="",L653=""),"telefone ou e-mail; ","")))</f>
      </c>
      <c r="V653" s="6">
        <f>IF(COUNTA(A653:O653)=0,"",IF(AND(Q653="OK",R653="OK",LEFT(S653,4)&lt;&gt;"ERRO",LEFT(T653,4)&lt;&gt;"ERRO",U653="OK"),"OK","REVISAR"))</f>
      </c>
    </row>
    <row r="654">
      <c r="A654" s="4"/>
      <c r="B654" s="5"/>
      <c r="C654" s="5"/>
      <c r="D654" s="5"/>
      <c r="E654" s="5"/>
      <c r="F654" s="4"/>
      <c r="G654" s="4"/>
      <c r="H654" s="5"/>
      <c r="I654" s="4"/>
      <c r="J654" s="4"/>
      <c r="K654" s="4"/>
      <c r="L654" s="4"/>
      <c r="M654" s="4"/>
      <c r="N654" s="4"/>
      <c r="O654" s="4"/>
      <c r="P654" s="6">
        <f>IF(D654="","",SUBSTITUTE(SUBSTITUTE(SUBSTITUTE(SUBSTITUTE(SUBSTITUTE(SUBSTITUTE(SUBSTITUTE(TRIM(D654),".",""),"/",""),"-","")," ",""),"(",""),")",""),"+",""))</f>
      </c>
      <c r="Q654" s="6">
        <f>IF(P654="","",IF(LEN(P654)&lt;&gt;14,"ERRO: "&amp;LEN(P654)&amp;" dígitos",IF(NOT(ISNUMBER(VALUE(P654))),"ERRO: não numérico",IF(LEN(SUBSTITUTE(P654,LEFT(P654,1),""))=0,"ERRO: dígitos repetidos",IF(AND(VALUE(MID(P654,13,1))=IF(MOD(SUMPRODUCT(--MID(P654,{1,2,3,4,5,6,7,8,9,10,11,12},1),{5,4,3,2,9,8,7,6,5,4,3,2}),11)&lt;2,0,11-MOD(SUMPRODUCT(--MID(P654,{1,2,3,4,5,6,7,8,9,10,11,12},1),{5,4,3,2,9,8,7,6,5,4,3,2}),11)),VALUE(MID(P654,14,1))=IF(MOD(SUMPRODUCT(--MID(P654,{1,2,3,4,5,6,7,8,9,10,11,12,13},1),{6,5,4,3,2,9,8,7,6,5,4,3,2}),11)&lt;2,0,11-MOD(SUMPRODUCT(--MID(P654,{1,2,3,4,5,6,7,8,9,10,11,12,13},1),{6,5,4,3,2,9,8,7,6,5,4,3,2}),11))),"OK","ERRO: dígito verificador")))))</f>
      </c>
      <c r="R654" s="6">
        <f>IF(P654="","",IF(COUNTIF($P$2:$P$1001,P654)&gt;1,"DUPLICADO","OK"))</f>
      </c>
      <c r="S654" s="6">
        <f>IF(AND(J654="",K654=""),"vazio",IF(AND(OR(J654="",LEN(SUBSTITUTE(SUBSTITUTE(SUBSTITUTE(SUBSTITUTE(SUBSTITUTE(SUBSTITUTE(SUBSTITUTE(TRIM(J654),".",""),"/",""),"-","")," ",""),"(",""),")",""),"+",""))=10,LEN(SUBSTITUTE(SUBSTITUTE(SUBSTITUTE(SUBSTITUTE(SUBSTITUTE(SUBSTITUTE(SUBSTITUTE(TRIM(J654),".",""),"/",""),"-","")," ",""),"(",""),")",""),"+",""))=11),OR(K654="",LEN(SUBSTITUTE(SUBSTITUTE(SUBSTITUTE(SUBSTITUTE(SUBSTITUTE(SUBSTITUTE(SUBSTITUTE(TRIM(K654),".",""),"/",""),"-","")," ",""),"(",""),")",""),"+",""))=10,LEN(SUBSTITUTE(SUBSTITUTE(SUBSTITUTE(SUBSTITUTE(SUBSTITUTE(SUBSTITUTE(SUBSTITUTE(TRIM(K654),".",""),"/",""),"-","")," ",""),"(",""),")",""),"+",""))=11)),"OK","ERRO: use DDD + número (10 ou 11 dígitos)"))</f>
      </c>
      <c r="T654" s="6">
        <f>IF(L654="","vazio",IF(AND(ISNUMBER(FIND("@",L654)),ISNUMBER(FIND(".",MID(L654,FIND("@",L654),99))),NOT(ISNUMBER(FIND(" ",TRIM(L654)))),NOT(ISNUMBER(FIND(";",L654))),NOT(ISNUMBER(FIND(",",L654)))),"OK","ERRO: um e-mail válido por linha"))</f>
      </c>
      <c r="U654" s="6">
        <f>IF(COUNTA(A654:O654)=0,"",IF(AND(B654&lt;&gt;"",C654&lt;&gt;"",D654&lt;&gt;"",E654&lt;&gt;"",H654&lt;&gt;"",OR(J654&lt;&gt;"",L654&lt;&gt;"")),"OK","ERRO: faltam "&amp;IF(B654="","Proprietário; ","")&amp;IF(C654="","Origem; ","")&amp;IF(D654="","CNPJ; ","")&amp;IF(E654="","Razão Social; ","")&amp;IF(H654="","Sobrenome; ","")&amp;IF(AND(J654="",L654=""),"telefone ou e-mail; ","")))</f>
      </c>
      <c r="V654" s="6">
        <f>IF(COUNTA(A654:O654)=0,"",IF(AND(Q654="OK",R654="OK",LEFT(S654,4)&lt;&gt;"ERRO",LEFT(T654,4)&lt;&gt;"ERRO",U654="OK"),"OK","REVISAR"))</f>
      </c>
    </row>
    <row r="655">
      <c r="A655" s="4"/>
      <c r="B655" s="5"/>
      <c r="C655" s="5"/>
      <c r="D655" s="5"/>
      <c r="E655" s="5"/>
      <c r="F655" s="4"/>
      <c r="G655" s="4"/>
      <c r="H655" s="5"/>
      <c r="I655" s="4"/>
      <c r="J655" s="4"/>
      <c r="K655" s="4"/>
      <c r="L655" s="4"/>
      <c r="M655" s="4"/>
      <c r="N655" s="4"/>
      <c r="O655" s="4"/>
      <c r="P655" s="6">
        <f>IF(D655="","",SUBSTITUTE(SUBSTITUTE(SUBSTITUTE(SUBSTITUTE(SUBSTITUTE(SUBSTITUTE(SUBSTITUTE(TRIM(D655),".",""),"/",""),"-","")," ",""),"(",""),")",""),"+",""))</f>
      </c>
      <c r="Q655" s="6">
        <f>IF(P655="","",IF(LEN(P655)&lt;&gt;14,"ERRO: "&amp;LEN(P655)&amp;" dígitos",IF(NOT(ISNUMBER(VALUE(P655))),"ERRO: não numérico",IF(LEN(SUBSTITUTE(P655,LEFT(P655,1),""))=0,"ERRO: dígitos repetidos",IF(AND(VALUE(MID(P655,13,1))=IF(MOD(SUMPRODUCT(--MID(P655,{1,2,3,4,5,6,7,8,9,10,11,12},1),{5,4,3,2,9,8,7,6,5,4,3,2}),11)&lt;2,0,11-MOD(SUMPRODUCT(--MID(P655,{1,2,3,4,5,6,7,8,9,10,11,12},1),{5,4,3,2,9,8,7,6,5,4,3,2}),11)),VALUE(MID(P655,14,1))=IF(MOD(SUMPRODUCT(--MID(P655,{1,2,3,4,5,6,7,8,9,10,11,12,13},1),{6,5,4,3,2,9,8,7,6,5,4,3,2}),11)&lt;2,0,11-MOD(SUMPRODUCT(--MID(P655,{1,2,3,4,5,6,7,8,9,10,11,12,13},1),{6,5,4,3,2,9,8,7,6,5,4,3,2}),11))),"OK","ERRO: dígito verificador")))))</f>
      </c>
      <c r="R655" s="6">
        <f>IF(P655="","",IF(COUNTIF($P$2:$P$1001,P655)&gt;1,"DUPLICADO","OK"))</f>
      </c>
      <c r="S655" s="6">
        <f>IF(AND(J655="",K655=""),"vazio",IF(AND(OR(J655="",LEN(SUBSTITUTE(SUBSTITUTE(SUBSTITUTE(SUBSTITUTE(SUBSTITUTE(SUBSTITUTE(SUBSTITUTE(TRIM(J655),".",""),"/",""),"-","")," ",""),"(",""),")",""),"+",""))=10,LEN(SUBSTITUTE(SUBSTITUTE(SUBSTITUTE(SUBSTITUTE(SUBSTITUTE(SUBSTITUTE(SUBSTITUTE(TRIM(J655),".",""),"/",""),"-","")," ",""),"(",""),")",""),"+",""))=11),OR(K655="",LEN(SUBSTITUTE(SUBSTITUTE(SUBSTITUTE(SUBSTITUTE(SUBSTITUTE(SUBSTITUTE(SUBSTITUTE(TRIM(K655),".",""),"/",""),"-","")," ",""),"(",""),")",""),"+",""))=10,LEN(SUBSTITUTE(SUBSTITUTE(SUBSTITUTE(SUBSTITUTE(SUBSTITUTE(SUBSTITUTE(SUBSTITUTE(TRIM(K655),".",""),"/",""),"-","")," ",""),"(",""),")",""),"+",""))=11)),"OK","ERRO: use DDD + número (10 ou 11 dígitos)"))</f>
      </c>
      <c r="T655" s="6">
        <f>IF(L655="","vazio",IF(AND(ISNUMBER(FIND("@",L655)),ISNUMBER(FIND(".",MID(L655,FIND("@",L655),99))),NOT(ISNUMBER(FIND(" ",TRIM(L655)))),NOT(ISNUMBER(FIND(";",L655))),NOT(ISNUMBER(FIND(",",L655)))),"OK","ERRO: um e-mail válido por linha"))</f>
      </c>
      <c r="U655" s="6">
        <f>IF(COUNTA(A655:O655)=0,"",IF(AND(B655&lt;&gt;"",C655&lt;&gt;"",D655&lt;&gt;"",E655&lt;&gt;"",H655&lt;&gt;"",OR(J655&lt;&gt;"",L655&lt;&gt;"")),"OK","ERRO: faltam "&amp;IF(B655="","Proprietário; ","")&amp;IF(C655="","Origem; ","")&amp;IF(D655="","CNPJ; ","")&amp;IF(E655="","Razão Social; ","")&amp;IF(H655="","Sobrenome; ","")&amp;IF(AND(J655="",L655=""),"telefone ou e-mail; ","")))</f>
      </c>
      <c r="V655" s="6">
        <f>IF(COUNTA(A655:O655)=0,"",IF(AND(Q655="OK",R655="OK",LEFT(S655,4)&lt;&gt;"ERRO",LEFT(T655,4)&lt;&gt;"ERRO",U655="OK"),"OK","REVISAR"))</f>
      </c>
    </row>
    <row r="656">
      <c r="A656" s="4"/>
      <c r="B656" s="5"/>
      <c r="C656" s="5"/>
      <c r="D656" s="5"/>
      <c r="E656" s="5"/>
      <c r="F656" s="4"/>
      <c r="G656" s="4"/>
      <c r="H656" s="5"/>
      <c r="I656" s="4"/>
      <c r="J656" s="4"/>
      <c r="K656" s="4"/>
      <c r="L656" s="4"/>
      <c r="M656" s="4"/>
      <c r="N656" s="4"/>
      <c r="O656" s="4"/>
      <c r="P656" s="6">
        <f>IF(D656="","",SUBSTITUTE(SUBSTITUTE(SUBSTITUTE(SUBSTITUTE(SUBSTITUTE(SUBSTITUTE(SUBSTITUTE(TRIM(D656),".",""),"/",""),"-","")," ",""),"(",""),")",""),"+",""))</f>
      </c>
      <c r="Q656" s="6">
        <f>IF(P656="","",IF(LEN(P656)&lt;&gt;14,"ERRO: "&amp;LEN(P656)&amp;" dígitos",IF(NOT(ISNUMBER(VALUE(P656))),"ERRO: não numérico",IF(LEN(SUBSTITUTE(P656,LEFT(P656,1),""))=0,"ERRO: dígitos repetidos",IF(AND(VALUE(MID(P656,13,1))=IF(MOD(SUMPRODUCT(--MID(P656,{1,2,3,4,5,6,7,8,9,10,11,12},1),{5,4,3,2,9,8,7,6,5,4,3,2}),11)&lt;2,0,11-MOD(SUMPRODUCT(--MID(P656,{1,2,3,4,5,6,7,8,9,10,11,12},1),{5,4,3,2,9,8,7,6,5,4,3,2}),11)),VALUE(MID(P656,14,1))=IF(MOD(SUMPRODUCT(--MID(P656,{1,2,3,4,5,6,7,8,9,10,11,12,13},1),{6,5,4,3,2,9,8,7,6,5,4,3,2}),11)&lt;2,0,11-MOD(SUMPRODUCT(--MID(P656,{1,2,3,4,5,6,7,8,9,10,11,12,13},1),{6,5,4,3,2,9,8,7,6,5,4,3,2}),11))),"OK","ERRO: dígito verificador")))))</f>
      </c>
      <c r="R656" s="6">
        <f>IF(P656="","",IF(COUNTIF($P$2:$P$1001,P656)&gt;1,"DUPLICADO","OK"))</f>
      </c>
      <c r="S656" s="6">
        <f>IF(AND(J656="",K656=""),"vazio",IF(AND(OR(J656="",LEN(SUBSTITUTE(SUBSTITUTE(SUBSTITUTE(SUBSTITUTE(SUBSTITUTE(SUBSTITUTE(SUBSTITUTE(TRIM(J656),".",""),"/",""),"-","")," ",""),"(",""),")",""),"+",""))=10,LEN(SUBSTITUTE(SUBSTITUTE(SUBSTITUTE(SUBSTITUTE(SUBSTITUTE(SUBSTITUTE(SUBSTITUTE(TRIM(J656),".",""),"/",""),"-","")," ",""),"(",""),")",""),"+",""))=11),OR(K656="",LEN(SUBSTITUTE(SUBSTITUTE(SUBSTITUTE(SUBSTITUTE(SUBSTITUTE(SUBSTITUTE(SUBSTITUTE(TRIM(K656),".",""),"/",""),"-","")," ",""),"(",""),")",""),"+",""))=10,LEN(SUBSTITUTE(SUBSTITUTE(SUBSTITUTE(SUBSTITUTE(SUBSTITUTE(SUBSTITUTE(SUBSTITUTE(TRIM(K656),".",""),"/",""),"-","")," ",""),"(",""),")",""),"+",""))=11)),"OK","ERRO: use DDD + número (10 ou 11 dígitos)"))</f>
      </c>
      <c r="T656" s="6">
        <f>IF(L656="","vazio",IF(AND(ISNUMBER(FIND("@",L656)),ISNUMBER(FIND(".",MID(L656,FIND("@",L656),99))),NOT(ISNUMBER(FIND(" ",TRIM(L656)))),NOT(ISNUMBER(FIND(";",L656))),NOT(ISNUMBER(FIND(",",L656)))),"OK","ERRO: um e-mail válido por linha"))</f>
      </c>
      <c r="U656" s="6">
        <f>IF(COUNTA(A656:O656)=0,"",IF(AND(B656&lt;&gt;"",C656&lt;&gt;"",D656&lt;&gt;"",E656&lt;&gt;"",H656&lt;&gt;"",OR(J656&lt;&gt;"",L656&lt;&gt;"")),"OK","ERRO: faltam "&amp;IF(B656="","Proprietário; ","")&amp;IF(C656="","Origem; ","")&amp;IF(D656="","CNPJ; ","")&amp;IF(E656="","Razão Social; ","")&amp;IF(H656="","Sobrenome; ","")&amp;IF(AND(J656="",L656=""),"telefone ou e-mail; ","")))</f>
      </c>
      <c r="V656" s="6">
        <f>IF(COUNTA(A656:O656)=0,"",IF(AND(Q656="OK",R656="OK",LEFT(S656,4)&lt;&gt;"ERRO",LEFT(T656,4)&lt;&gt;"ERRO",U656="OK"),"OK","REVISAR"))</f>
      </c>
    </row>
    <row r="657">
      <c r="A657" s="4"/>
      <c r="B657" s="5"/>
      <c r="C657" s="5"/>
      <c r="D657" s="5"/>
      <c r="E657" s="5"/>
      <c r="F657" s="4"/>
      <c r="G657" s="4"/>
      <c r="H657" s="5"/>
      <c r="I657" s="4"/>
      <c r="J657" s="4"/>
      <c r="K657" s="4"/>
      <c r="L657" s="4"/>
      <c r="M657" s="4"/>
      <c r="N657" s="4"/>
      <c r="O657" s="4"/>
      <c r="P657" s="6">
        <f>IF(D657="","",SUBSTITUTE(SUBSTITUTE(SUBSTITUTE(SUBSTITUTE(SUBSTITUTE(SUBSTITUTE(SUBSTITUTE(TRIM(D657),".",""),"/",""),"-","")," ",""),"(",""),")",""),"+",""))</f>
      </c>
      <c r="Q657" s="6">
        <f>IF(P657="","",IF(LEN(P657)&lt;&gt;14,"ERRO: "&amp;LEN(P657)&amp;" dígitos",IF(NOT(ISNUMBER(VALUE(P657))),"ERRO: não numérico",IF(LEN(SUBSTITUTE(P657,LEFT(P657,1),""))=0,"ERRO: dígitos repetidos",IF(AND(VALUE(MID(P657,13,1))=IF(MOD(SUMPRODUCT(--MID(P657,{1,2,3,4,5,6,7,8,9,10,11,12},1),{5,4,3,2,9,8,7,6,5,4,3,2}),11)&lt;2,0,11-MOD(SUMPRODUCT(--MID(P657,{1,2,3,4,5,6,7,8,9,10,11,12},1),{5,4,3,2,9,8,7,6,5,4,3,2}),11)),VALUE(MID(P657,14,1))=IF(MOD(SUMPRODUCT(--MID(P657,{1,2,3,4,5,6,7,8,9,10,11,12,13},1),{6,5,4,3,2,9,8,7,6,5,4,3,2}),11)&lt;2,0,11-MOD(SUMPRODUCT(--MID(P657,{1,2,3,4,5,6,7,8,9,10,11,12,13},1),{6,5,4,3,2,9,8,7,6,5,4,3,2}),11))),"OK","ERRO: dígito verificador")))))</f>
      </c>
      <c r="R657" s="6">
        <f>IF(P657="","",IF(COUNTIF($P$2:$P$1001,P657)&gt;1,"DUPLICADO","OK"))</f>
      </c>
      <c r="S657" s="6">
        <f>IF(AND(J657="",K657=""),"vazio",IF(AND(OR(J657="",LEN(SUBSTITUTE(SUBSTITUTE(SUBSTITUTE(SUBSTITUTE(SUBSTITUTE(SUBSTITUTE(SUBSTITUTE(TRIM(J657),".",""),"/",""),"-","")," ",""),"(",""),")",""),"+",""))=10,LEN(SUBSTITUTE(SUBSTITUTE(SUBSTITUTE(SUBSTITUTE(SUBSTITUTE(SUBSTITUTE(SUBSTITUTE(TRIM(J657),".",""),"/",""),"-","")," ",""),"(",""),")",""),"+",""))=11),OR(K657="",LEN(SUBSTITUTE(SUBSTITUTE(SUBSTITUTE(SUBSTITUTE(SUBSTITUTE(SUBSTITUTE(SUBSTITUTE(TRIM(K657),".",""),"/",""),"-","")," ",""),"(",""),")",""),"+",""))=10,LEN(SUBSTITUTE(SUBSTITUTE(SUBSTITUTE(SUBSTITUTE(SUBSTITUTE(SUBSTITUTE(SUBSTITUTE(TRIM(K657),".",""),"/",""),"-","")," ",""),"(",""),")",""),"+",""))=11)),"OK","ERRO: use DDD + número (10 ou 11 dígitos)"))</f>
      </c>
      <c r="T657" s="6">
        <f>IF(L657="","vazio",IF(AND(ISNUMBER(FIND("@",L657)),ISNUMBER(FIND(".",MID(L657,FIND("@",L657),99))),NOT(ISNUMBER(FIND(" ",TRIM(L657)))),NOT(ISNUMBER(FIND(";",L657))),NOT(ISNUMBER(FIND(",",L657)))),"OK","ERRO: um e-mail válido por linha"))</f>
      </c>
      <c r="U657" s="6">
        <f>IF(COUNTA(A657:O657)=0,"",IF(AND(B657&lt;&gt;"",C657&lt;&gt;"",D657&lt;&gt;"",E657&lt;&gt;"",H657&lt;&gt;"",OR(J657&lt;&gt;"",L657&lt;&gt;"")),"OK","ERRO: faltam "&amp;IF(B657="","Proprietário; ","")&amp;IF(C657="","Origem; ","")&amp;IF(D657="","CNPJ; ","")&amp;IF(E657="","Razão Social; ","")&amp;IF(H657="","Sobrenome; ","")&amp;IF(AND(J657="",L657=""),"telefone ou e-mail; ","")))</f>
      </c>
      <c r="V657" s="6">
        <f>IF(COUNTA(A657:O657)=0,"",IF(AND(Q657="OK",R657="OK",LEFT(S657,4)&lt;&gt;"ERRO",LEFT(T657,4)&lt;&gt;"ERRO",U657="OK"),"OK","REVISAR"))</f>
      </c>
    </row>
    <row r="658">
      <c r="A658" s="4"/>
      <c r="B658" s="5"/>
      <c r="C658" s="5"/>
      <c r="D658" s="5"/>
      <c r="E658" s="5"/>
      <c r="F658" s="4"/>
      <c r="G658" s="4"/>
      <c r="H658" s="5"/>
      <c r="I658" s="4"/>
      <c r="J658" s="4"/>
      <c r="K658" s="4"/>
      <c r="L658" s="4"/>
      <c r="M658" s="4"/>
      <c r="N658" s="4"/>
      <c r="O658" s="4"/>
      <c r="P658" s="6">
        <f>IF(D658="","",SUBSTITUTE(SUBSTITUTE(SUBSTITUTE(SUBSTITUTE(SUBSTITUTE(SUBSTITUTE(SUBSTITUTE(TRIM(D658),".",""),"/",""),"-","")," ",""),"(",""),")",""),"+",""))</f>
      </c>
      <c r="Q658" s="6">
        <f>IF(P658="","",IF(LEN(P658)&lt;&gt;14,"ERRO: "&amp;LEN(P658)&amp;" dígitos",IF(NOT(ISNUMBER(VALUE(P658))),"ERRO: não numérico",IF(LEN(SUBSTITUTE(P658,LEFT(P658,1),""))=0,"ERRO: dígitos repetidos",IF(AND(VALUE(MID(P658,13,1))=IF(MOD(SUMPRODUCT(--MID(P658,{1,2,3,4,5,6,7,8,9,10,11,12},1),{5,4,3,2,9,8,7,6,5,4,3,2}),11)&lt;2,0,11-MOD(SUMPRODUCT(--MID(P658,{1,2,3,4,5,6,7,8,9,10,11,12},1),{5,4,3,2,9,8,7,6,5,4,3,2}),11)),VALUE(MID(P658,14,1))=IF(MOD(SUMPRODUCT(--MID(P658,{1,2,3,4,5,6,7,8,9,10,11,12,13},1),{6,5,4,3,2,9,8,7,6,5,4,3,2}),11)&lt;2,0,11-MOD(SUMPRODUCT(--MID(P658,{1,2,3,4,5,6,7,8,9,10,11,12,13},1),{6,5,4,3,2,9,8,7,6,5,4,3,2}),11))),"OK","ERRO: dígito verificador")))))</f>
      </c>
      <c r="R658" s="6">
        <f>IF(P658="","",IF(COUNTIF($P$2:$P$1001,P658)&gt;1,"DUPLICADO","OK"))</f>
      </c>
      <c r="S658" s="6">
        <f>IF(AND(J658="",K658=""),"vazio",IF(AND(OR(J658="",LEN(SUBSTITUTE(SUBSTITUTE(SUBSTITUTE(SUBSTITUTE(SUBSTITUTE(SUBSTITUTE(SUBSTITUTE(TRIM(J658),".",""),"/",""),"-","")," ",""),"(",""),")",""),"+",""))=10,LEN(SUBSTITUTE(SUBSTITUTE(SUBSTITUTE(SUBSTITUTE(SUBSTITUTE(SUBSTITUTE(SUBSTITUTE(TRIM(J658),".",""),"/",""),"-","")," ",""),"(",""),")",""),"+",""))=11),OR(K658="",LEN(SUBSTITUTE(SUBSTITUTE(SUBSTITUTE(SUBSTITUTE(SUBSTITUTE(SUBSTITUTE(SUBSTITUTE(TRIM(K658),".",""),"/",""),"-","")," ",""),"(",""),")",""),"+",""))=10,LEN(SUBSTITUTE(SUBSTITUTE(SUBSTITUTE(SUBSTITUTE(SUBSTITUTE(SUBSTITUTE(SUBSTITUTE(TRIM(K658),".",""),"/",""),"-","")," ",""),"(",""),")",""),"+",""))=11)),"OK","ERRO: use DDD + número (10 ou 11 dígitos)"))</f>
      </c>
      <c r="T658" s="6">
        <f>IF(L658="","vazio",IF(AND(ISNUMBER(FIND("@",L658)),ISNUMBER(FIND(".",MID(L658,FIND("@",L658),99))),NOT(ISNUMBER(FIND(" ",TRIM(L658)))),NOT(ISNUMBER(FIND(";",L658))),NOT(ISNUMBER(FIND(",",L658)))),"OK","ERRO: um e-mail válido por linha"))</f>
      </c>
      <c r="U658" s="6">
        <f>IF(COUNTA(A658:O658)=0,"",IF(AND(B658&lt;&gt;"",C658&lt;&gt;"",D658&lt;&gt;"",E658&lt;&gt;"",H658&lt;&gt;"",OR(J658&lt;&gt;"",L658&lt;&gt;"")),"OK","ERRO: faltam "&amp;IF(B658="","Proprietário; ","")&amp;IF(C658="","Origem; ","")&amp;IF(D658="","CNPJ; ","")&amp;IF(E658="","Razão Social; ","")&amp;IF(H658="","Sobrenome; ","")&amp;IF(AND(J658="",L658=""),"telefone ou e-mail; ","")))</f>
      </c>
      <c r="V658" s="6">
        <f>IF(COUNTA(A658:O658)=0,"",IF(AND(Q658="OK",R658="OK",LEFT(S658,4)&lt;&gt;"ERRO",LEFT(T658,4)&lt;&gt;"ERRO",U658="OK"),"OK","REVISAR"))</f>
      </c>
    </row>
    <row r="659">
      <c r="A659" s="4"/>
      <c r="B659" s="5"/>
      <c r="C659" s="5"/>
      <c r="D659" s="5"/>
      <c r="E659" s="5"/>
      <c r="F659" s="4"/>
      <c r="G659" s="4"/>
      <c r="H659" s="5"/>
      <c r="I659" s="4"/>
      <c r="J659" s="4"/>
      <c r="K659" s="4"/>
      <c r="L659" s="4"/>
      <c r="M659" s="4"/>
      <c r="N659" s="4"/>
      <c r="O659" s="4"/>
      <c r="P659" s="6">
        <f>IF(D659="","",SUBSTITUTE(SUBSTITUTE(SUBSTITUTE(SUBSTITUTE(SUBSTITUTE(SUBSTITUTE(SUBSTITUTE(TRIM(D659),".",""),"/",""),"-","")," ",""),"(",""),")",""),"+",""))</f>
      </c>
      <c r="Q659" s="6">
        <f>IF(P659="","",IF(LEN(P659)&lt;&gt;14,"ERRO: "&amp;LEN(P659)&amp;" dígitos",IF(NOT(ISNUMBER(VALUE(P659))),"ERRO: não numérico",IF(LEN(SUBSTITUTE(P659,LEFT(P659,1),""))=0,"ERRO: dígitos repetidos",IF(AND(VALUE(MID(P659,13,1))=IF(MOD(SUMPRODUCT(--MID(P659,{1,2,3,4,5,6,7,8,9,10,11,12},1),{5,4,3,2,9,8,7,6,5,4,3,2}),11)&lt;2,0,11-MOD(SUMPRODUCT(--MID(P659,{1,2,3,4,5,6,7,8,9,10,11,12},1),{5,4,3,2,9,8,7,6,5,4,3,2}),11)),VALUE(MID(P659,14,1))=IF(MOD(SUMPRODUCT(--MID(P659,{1,2,3,4,5,6,7,8,9,10,11,12,13},1),{6,5,4,3,2,9,8,7,6,5,4,3,2}),11)&lt;2,0,11-MOD(SUMPRODUCT(--MID(P659,{1,2,3,4,5,6,7,8,9,10,11,12,13},1),{6,5,4,3,2,9,8,7,6,5,4,3,2}),11))),"OK","ERRO: dígito verificador")))))</f>
      </c>
      <c r="R659" s="6">
        <f>IF(P659="","",IF(COUNTIF($P$2:$P$1001,P659)&gt;1,"DUPLICADO","OK"))</f>
      </c>
      <c r="S659" s="6">
        <f>IF(AND(J659="",K659=""),"vazio",IF(AND(OR(J659="",LEN(SUBSTITUTE(SUBSTITUTE(SUBSTITUTE(SUBSTITUTE(SUBSTITUTE(SUBSTITUTE(SUBSTITUTE(TRIM(J659),".",""),"/",""),"-","")," ",""),"(",""),")",""),"+",""))=10,LEN(SUBSTITUTE(SUBSTITUTE(SUBSTITUTE(SUBSTITUTE(SUBSTITUTE(SUBSTITUTE(SUBSTITUTE(TRIM(J659),".",""),"/",""),"-","")," ",""),"(",""),")",""),"+",""))=11),OR(K659="",LEN(SUBSTITUTE(SUBSTITUTE(SUBSTITUTE(SUBSTITUTE(SUBSTITUTE(SUBSTITUTE(SUBSTITUTE(TRIM(K659),".",""),"/",""),"-","")," ",""),"(",""),")",""),"+",""))=10,LEN(SUBSTITUTE(SUBSTITUTE(SUBSTITUTE(SUBSTITUTE(SUBSTITUTE(SUBSTITUTE(SUBSTITUTE(TRIM(K659),".",""),"/",""),"-","")," ",""),"(",""),")",""),"+",""))=11)),"OK","ERRO: use DDD + número (10 ou 11 dígitos)"))</f>
      </c>
      <c r="T659" s="6">
        <f>IF(L659="","vazio",IF(AND(ISNUMBER(FIND("@",L659)),ISNUMBER(FIND(".",MID(L659,FIND("@",L659),99))),NOT(ISNUMBER(FIND(" ",TRIM(L659)))),NOT(ISNUMBER(FIND(";",L659))),NOT(ISNUMBER(FIND(",",L659)))),"OK","ERRO: um e-mail válido por linha"))</f>
      </c>
      <c r="U659" s="6">
        <f>IF(COUNTA(A659:O659)=0,"",IF(AND(B659&lt;&gt;"",C659&lt;&gt;"",D659&lt;&gt;"",E659&lt;&gt;"",H659&lt;&gt;"",OR(J659&lt;&gt;"",L659&lt;&gt;"")),"OK","ERRO: faltam "&amp;IF(B659="","Proprietário; ","")&amp;IF(C659="","Origem; ","")&amp;IF(D659="","CNPJ; ","")&amp;IF(E659="","Razão Social; ","")&amp;IF(H659="","Sobrenome; ","")&amp;IF(AND(J659="",L659=""),"telefone ou e-mail; ","")))</f>
      </c>
      <c r="V659" s="6">
        <f>IF(COUNTA(A659:O659)=0,"",IF(AND(Q659="OK",R659="OK",LEFT(S659,4)&lt;&gt;"ERRO",LEFT(T659,4)&lt;&gt;"ERRO",U659="OK"),"OK","REVISAR"))</f>
      </c>
    </row>
    <row r="660">
      <c r="A660" s="4"/>
      <c r="B660" s="5"/>
      <c r="C660" s="5"/>
      <c r="D660" s="5"/>
      <c r="E660" s="5"/>
      <c r="F660" s="4"/>
      <c r="G660" s="4"/>
      <c r="H660" s="5"/>
      <c r="I660" s="4"/>
      <c r="J660" s="4"/>
      <c r="K660" s="4"/>
      <c r="L660" s="4"/>
      <c r="M660" s="4"/>
      <c r="N660" s="4"/>
      <c r="O660" s="4"/>
      <c r="P660" s="6">
        <f>IF(D660="","",SUBSTITUTE(SUBSTITUTE(SUBSTITUTE(SUBSTITUTE(SUBSTITUTE(SUBSTITUTE(SUBSTITUTE(TRIM(D660),".",""),"/",""),"-","")," ",""),"(",""),")",""),"+",""))</f>
      </c>
      <c r="Q660" s="6">
        <f>IF(P660="","",IF(LEN(P660)&lt;&gt;14,"ERRO: "&amp;LEN(P660)&amp;" dígitos",IF(NOT(ISNUMBER(VALUE(P660))),"ERRO: não numérico",IF(LEN(SUBSTITUTE(P660,LEFT(P660,1),""))=0,"ERRO: dígitos repetidos",IF(AND(VALUE(MID(P660,13,1))=IF(MOD(SUMPRODUCT(--MID(P660,{1,2,3,4,5,6,7,8,9,10,11,12},1),{5,4,3,2,9,8,7,6,5,4,3,2}),11)&lt;2,0,11-MOD(SUMPRODUCT(--MID(P660,{1,2,3,4,5,6,7,8,9,10,11,12},1),{5,4,3,2,9,8,7,6,5,4,3,2}),11)),VALUE(MID(P660,14,1))=IF(MOD(SUMPRODUCT(--MID(P660,{1,2,3,4,5,6,7,8,9,10,11,12,13},1),{6,5,4,3,2,9,8,7,6,5,4,3,2}),11)&lt;2,0,11-MOD(SUMPRODUCT(--MID(P660,{1,2,3,4,5,6,7,8,9,10,11,12,13},1),{6,5,4,3,2,9,8,7,6,5,4,3,2}),11))),"OK","ERRO: dígito verificador")))))</f>
      </c>
      <c r="R660" s="6">
        <f>IF(P660="","",IF(COUNTIF($P$2:$P$1001,P660)&gt;1,"DUPLICADO","OK"))</f>
      </c>
      <c r="S660" s="6">
        <f>IF(AND(J660="",K660=""),"vazio",IF(AND(OR(J660="",LEN(SUBSTITUTE(SUBSTITUTE(SUBSTITUTE(SUBSTITUTE(SUBSTITUTE(SUBSTITUTE(SUBSTITUTE(TRIM(J660),".",""),"/",""),"-","")," ",""),"(",""),")",""),"+",""))=10,LEN(SUBSTITUTE(SUBSTITUTE(SUBSTITUTE(SUBSTITUTE(SUBSTITUTE(SUBSTITUTE(SUBSTITUTE(TRIM(J660),".",""),"/",""),"-","")," ",""),"(",""),")",""),"+",""))=11),OR(K660="",LEN(SUBSTITUTE(SUBSTITUTE(SUBSTITUTE(SUBSTITUTE(SUBSTITUTE(SUBSTITUTE(SUBSTITUTE(TRIM(K660),".",""),"/",""),"-","")," ",""),"(",""),")",""),"+",""))=10,LEN(SUBSTITUTE(SUBSTITUTE(SUBSTITUTE(SUBSTITUTE(SUBSTITUTE(SUBSTITUTE(SUBSTITUTE(TRIM(K660),".",""),"/",""),"-","")," ",""),"(",""),")",""),"+",""))=11)),"OK","ERRO: use DDD + número (10 ou 11 dígitos)"))</f>
      </c>
      <c r="T660" s="6">
        <f>IF(L660="","vazio",IF(AND(ISNUMBER(FIND("@",L660)),ISNUMBER(FIND(".",MID(L660,FIND("@",L660),99))),NOT(ISNUMBER(FIND(" ",TRIM(L660)))),NOT(ISNUMBER(FIND(";",L660))),NOT(ISNUMBER(FIND(",",L660)))),"OK","ERRO: um e-mail válido por linha"))</f>
      </c>
      <c r="U660" s="6">
        <f>IF(COUNTA(A660:O660)=0,"",IF(AND(B660&lt;&gt;"",C660&lt;&gt;"",D660&lt;&gt;"",E660&lt;&gt;"",H660&lt;&gt;"",OR(J660&lt;&gt;"",L660&lt;&gt;"")),"OK","ERRO: faltam "&amp;IF(B660="","Proprietário; ","")&amp;IF(C660="","Origem; ","")&amp;IF(D660="","CNPJ; ","")&amp;IF(E660="","Razão Social; ","")&amp;IF(H660="","Sobrenome; ","")&amp;IF(AND(J660="",L660=""),"telefone ou e-mail; ","")))</f>
      </c>
      <c r="V660" s="6">
        <f>IF(COUNTA(A660:O660)=0,"",IF(AND(Q660="OK",R660="OK",LEFT(S660,4)&lt;&gt;"ERRO",LEFT(T660,4)&lt;&gt;"ERRO",U660="OK"),"OK","REVISAR"))</f>
      </c>
    </row>
    <row r="661">
      <c r="A661" s="4"/>
      <c r="B661" s="5"/>
      <c r="C661" s="5"/>
      <c r="D661" s="5"/>
      <c r="E661" s="5"/>
      <c r="F661" s="4"/>
      <c r="G661" s="4"/>
      <c r="H661" s="5"/>
      <c r="I661" s="4"/>
      <c r="J661" s="4"/>
      <c r="K661" s="4"/>
      <c r="L661" s="4"/>
      <c r="M661" s="4"/>
      <c r="N661" s="4"/>
      <c r="O661" s="4"/>
      <c r="P661" s="6">
        <f>IF(D661="","",SUBSTITUTE(SUBSTITUTE(SUBSTITUTE(SUBSTITUTE(SUBSTITUTE(SUBSTITUTE(SUBSTITUTE(TRIM(D661),".",""),"/",""),"-","")," ",""),"(",""),")",""),"+",""))</f>
      </c>
      <c r="Q661" s="6">
        <f>IF(P661="","",IF(LEN(P661)&lt;&gt;14,"ERRO: "&amp;LEN(P661)&amp;" dígitos",IF(NOT(ISNUMBER(VALUE(P661))),"ERRO: não numérico",IF(LEN(SUBSTITUTE(P661,LEFT(P661,1),""))=0,"ERRO: dígitos repetidos",IF(AND(VALUE(MID(P661,13,1))=IF(MOD(SUMPRODUCT(--MID(P661,{1,2,3,4,5,6,7,8,9,10,11,12},1),{5,4,3,2,9,8,7,6,5,4,3,2}),11)&lt;2,0,11-MOD(SUMPRODUCT(--MID(P661,{1,2,3,4,5,6,7,8,9,10,11,12},1),{5,4,3,2,9,8,7,6,5,4,3,2}),11)),VALUE(MID(P661,14,1))=IF(MOD(SUMPRODUCT(--MID(P661,{1,2,3,4,5,6,7,8,9,10,11,12,13},1),{6,5,4,3,2,9,8,7,6,5,4,3,2}),11)&lt;2,0,11-MOD(SUMPRODUCT(--MID(P661,{1,2,3,4,5,6,7,8,9,10,11,12,13},1),{6,5,4,3,2,9,8,7,6,5,4,3,2}),11))),"OK","ERRO: dígito verificador")))))</f>
      </c>
      <c r="R661" s="6">
        <f>IF(P661="","",IF(COUNTIF($P$2:$P$1001,P661)&gt;1,"DUPLICADO","OK"))</f>
      </c>
      <c r="S661" s="6">
        <f>IF(AND(J661="",K661=""),"vazio",IF(AND(OR(J661="",LEN(SUBSTITUTE(SUBSTITUTE(SUBSTITUTE(SUBSTITUTE(SUBSTITUTE(SUBSTITUTE(SUBSTITUTE(TRIM(J661),".",""),"/",""),"-","")," ",""),"(",""),")",""),"+",""))=10,LEN(SUBSTITUTE(SUBSTITUTE(SUBSTITUTE(SUBSTITUTE(SUBSTITUTE(SUBSTITUTE(SUBSTITUTE(TRIM(J661),".",""),"/",""),"-","")," ",""),"(",""),")",""),"+",""))=11),OR(K661="",LEN(SUBSTITUTE(SUBSTITUTE(SUBSTITUTE(SUBSTITUTE(SUBSTITUTE(SUBSTITUTE(SUBSTITUTE(TRIM(K661),".",""),"/",""),"-","")," ",""),"(",""),")",""),"+",""))=10,LEN(SUBSTITUTE(SUBSTITUTE(SUBSTITUTE(SUBSTITUTE(SUBSTITUTE(SUBSTITUTE(SUBSTITUTE(TRIM(K661),".",""),"/",""),"-","")," ",""),"(",""),")",""),"+",""))=11)),"OK","ERRO: use DDD + número (10 ou 11 dígitos)"))</f>
      </c>
      <c r="T661" s="6">
        <f>IF(L661="","vazio",IF(AND(ISNUMBER(FIND("@",L661)),ISNUMBER(FIND(".",MID(L661,FIND("@",L661),99))),NOT(ISNUMBER(FIND(" ",TRIM(L661)))),NOT(ISNUMBER(FIND(";",L661))),NOT(ISNUMBER(FIND(",",L661)))),"OK","ERRO: um e-mail válido por linha"))</f>
      </c>
      <c r="U661" s="6">
        <f>IF(COUNTA(A661:O661)=0,"",IF(AND(B661&lt;&gt;"",C661&lt;&gt;"",D661&lt;&gt;"",E661&lt;&gt;"",H661&lt;&gt;"",OR(J661&lt;&gt;"",L661&lt;&gt;"")),"OK","ERRO: faltam "&amp;IF(B661="","Proprietário; ","")&amp;IF(C661="","Origem; ","")&amp;IF(D661="","CNPJ; ","")&amp;IF(E661="","Razão Social; ","")&amp;IF(H661="","Sobrenome; ","")&amp;IF(AND(J661="",L661=""),"telefone ou e-mail; ","")))</f>
      </c>
      <c r="V661" s="6">
        <f>IF(COUNTA(A661:O661)=0,"",IF(AND(Q661="OK",R661="OK",LEFT(S661,4)&lt;&gt;"ERRO",LEFT(T661,4)&lt;&gt;"ERRO",U661="OK"),"OK","REVISAR"))</f>
      </c>
    </row>
    <row r="662">
      <c r="A662" s="4"/>
      <c r="B662" s="5"/>
      <c r="C662" s="5"/>
      <c r="D662" s="5"/>
      <c r="E662" s="5"/>
      <c r="F662" s="4"/>
      <c r="G662" s="4"/>
      <c r="H662" s="5"/>
      <c r="I662" s="4"/>
      <c r="J662" s="4"/>
      <c r="K662" s="4"/>
      <c r="L662" s="4"/>
      <c r="M662" s="4"/>
      <c r="N662" s="4"/>
      <c r="O662" s="4"/>
      <c r="P662" s="6">
        <f>IF(D662="","",SUBSTITUTE(SUBSTITUTE(SUBSTITUTE(SUBSTITUTE(SUBSTITUTE(SUBSTITUTE(SUBSTITUTE(TRIM(D662),".",""),"/",""),"-","")," ",""),"(",""),")",""),"+",""))</f>
      </c>
      <c r="Q662" s="6">
        <f>IF(P662="","",IF(LEN(P662)&lt;&gt;14,"ERRO: "&amp;LEN(P662)&amp;" dígitos",IF(NOT(ISNUMBER(VALUE(P662))),"ERRO: não numérico",IF(LEN(SUBSTITUTE(P662,LEFT(P662,1),""))=0,"ERRO: dígitos repetidos",IF(AND(VALUE(MID(P662,13,1))=IF(MOD(SUMPRODUCT(--MID(P662,{1,2,3,4,5,6,7,8,9,10,11,12},1),{5,4,3,2,9,8,7,6,5,4,3,2}),11)&lt;2,0,11-MOD(SUMPRODUCT(--MID(P662,{1,2,3,4,5,6,7,8,9,10,11,12},1),{5,4,3,2,9,8,7,6,5,4,3,2}),11)),VALUE(MID(P662,14,1))=IF(MOD(SUMPRODUCT(--MID(P662,{1,2,3,4,5,6,7,8,9,10,11,12,13},1),{6,5,4,3,2,9,8,7,6,5,4,3,2}),11)&lt;2,0,11-MOD(SUMPRODUCT(--MID(P662,{1,2,3,4,5,6,7,8,9,10,11,12,13},1),{6,5,4,3,2,9,8,7,6,5,4,3,2}),11))),"OK","ERRO: dígito verificador")))))</f>
      </c>
      <c r="R662" s="6">
        <f>IF(P662="","",IF(COUNTIF($P$2:$P$1001,P662)&gt;1,"DUPLICADO","OK"))</f>
      </c>
      <c r="S662" s="6">
        <f>IF(AND(J662="",K662=""),"vazio",IF(AND(OR(J662="",LEN(SUBSTITUTE(SUBSTITUTE(SUBSTITUTE(SUBSTITUTE(SUBSTITUTE(SUBSTITUTE(SUBSTITUTE(TRIM(J662),".",""),"/",""),"-","")," ",""),"(",""),")",""),"+",""))=10,LEN(SUBSTITUTE(SUBSTITUTE(SUBSTITUTE(SUBSTITUTE(SUBSTITUTE(SUBSTITUTE(SUBSTITUTE(TRIM(J662),".",""),"/",""),"-","")," ",""),"(",""),")",""),"+",""))=11),OR(K662="",LEN(SUBSTITUTE(SUBSTITUTE(SUBSTITUTE(SUBSTITUTE(SUBSTITUTE(SUBSTITUTE(SUBSTITUTE(TRIM(K662),".",""),"/",""),"-","")," ",""),"(",""),")",""),"+",""))=10,LEN(SUBSTITUTE(SUBSTITUTE(SUBSTITUTE(SUBSTITUTE(SUBSTITUTE(SUBSTITUTE(SUBSTITUTE(TRIM(K662),".",""),"/",""),"-","")," ",""),"(",""),")",""),"+",""))=11)),"OK","ERRO: use DDD + número (10 ou 11 dígitos)"))</f>
      </c>
      <c r="T662" s="6">
        <f>IF(L662="","vazio",IF(AND(ISNUMBER(FIND("@",L662)),ISNUMBER(FIND(".",MID(L662,FIND("@",L662),99))),NOT(ISNUMBER(FIND(" ",TRIM(L662)))),NOT(ISNUMBER(FIND(";",L662))),NOT(ISNUMBER(FIND(",",L662)))),"OK","ERRO: um e-mail válido por linha"))</f>
      </c>
      <c r="U662" s="6">
        <f>IF(COUNTA(A662:O662)=0,"",IF(AND(B662&lt;&gt;"",C662&lt;&gt;"",D662&lt;&gt;"",E662&lt;&gt;"",H662&lt;&gt;"",OR(J662&lt;&gt;"",L662&lt;&gt;"")),"OK","ERRO: faltam "&amp;IF(B662="","Proprietário; ","")&amp;IF(C662="","Origem; ","")&amp;IF(D662="","CNPJ; ","")&amp;IF(E662="","Razão Social; ","")&amp;IF(H662="","Sobrenome; ","")&amp;IF(AND(J662="",L662=""),"telefone ou e-mail; ","")))</f>
      </c>
      <c r="V662" s="6">
        <f>IF(COUNTA(A662:O662)=0,"",IF(AND(Q662="OK",R662="OK",LEFT(S662,4)&lt;&gt;"ERRO",LEFT(T662,4)&lt;&gt;"ERRO",U662="OK"),"OK","REVISAR"))</f>
      </c>
    </row>
    <row r="663">
      <c r="A663" s="4"/>
      <c r="B663" s="5"/>
      <c r="C663" s="5"/>
      <c r="D663" s="5"/>
      <c r="E663" s="5"/>
      <c r="F663" s="4"/>
      <c r="G663" s="4"/>
      <c r="H663" s="5"/>
      <c r="I663" s="4"/>
      <c r="J663" s="4"/>
      <c r="K663" s="4"/>
      <c r="L663" s="4"/>
      <c r="M663" s="4"/>
      <c r="N663" s="4"/>
      <c r="O663" s="4"/>
      <c r="P663" s="6">
        <f>IF(D663="","",SUBSTITUTE(SUBSTITUTE(SUBSTITUTE(SUBSTITUTE(SUBSTITUTE(SUBSTITUTE(SUBSTITUTE(TRIM(D663),".",""),"/",""),"-","")," ",""),"(",""),")",""),"+",""))</f>
      </c>
      <c r="Q663" s="6">
        <f>IF(P663="","",IF(LEN(P663)&lt;&gt;14,"ERRO: "&amp;LEN(P663)&amp;" dígitos",IF(NOT(ISNUMBER(VALUE(P663))),"ERRO: não numérico",IF(LEN(SUBSTITUTE(P663,LEFT(P663,1),""))=0,"ERRO: dígitos repetidos",IF(AND(VALUE(MID(P663,13,1))=IF(MOD(SUMPRODUCT(--MID(P663,{1,2,3,4,5,6,7,8,9,10,11,12},1),{5,4,3,2,9,8,7,6,5,4,3,2}),11)&lt;2,0,11-MOD(SUMPRODUCT(--MID(P663,{1,2,3,4,5,6,7,8,9,10,11,12},1),{5,4,3,2,9,8,7,6,5,4,3,2}),11)),VALUE(MID(P663,14,1))=IF(MOD(SUMPRODUCT(--MID(P663,{1,2,3,4,5,6,7,8,9,10,11,12,13},1),{6,5,4,3,2,9,8,7,6,5,4,3,2}),11)&lt;2,0,11-MOD(SUMPRODUCT(--MID(P663,{1,2,3,4,5,6,7,8,9,10,11,12,13},1),{6,5,4,3,2,9,8,7,6,5,4,3,2}),11))),"OK","ERRO: dígito verificador")))))</f>
      </c>
      <c r="R663" s="6">
        <f>IF(P663="","",IF(COUNTIF($P$2:$P$1001,P663)&gt;1,"DUPLICADO","OK"))</f>
      </c>
      <c r="S663" s="6">
        <f>IF(AND(J663="",K663=""),"vazio",IF(AND(OR(J663="",LEN(SUBSTITUTE(SUBSTITUTE(SUBSTITUTE(SUBSTITUTE(SUBSTITUTE(SUBSTITUTE(SUBSTITUTE(TRIM(J663),".",""),"/",""),"-","")," ",""),"(",""),")",""),"+",""))=10,LEN(SUBSTITUTE(SUBSTITUTE(SUBSTITUTE(SUBSTITUTE(SUBSTITUTE(SUBSTITUTE(SUBSTITUTE(TRIM(J663),".",""),"/",""),"-","")," ",""),"(",""),")",""),"+",""))=11),OR(K663="",LEN(SUBSTITUTE(SUBSTITUTE(SUBSTITUTE(SUBSTITUTE(SUBSTITUTE(SUBSTITUTE(SUBSTITUTE(TRIM(K663),".",""),"/",""),"-","")," ",""),"(",""),")",""),"+",""))=10,LEN(SUBSTITUTE(SUBSTITUTE(SUBSTITUTE(SUBSTITUTE(SUBSTITUTE(SUBSTITUTE(SUBSTITUTE(TRIM(K663),".",""),"/",""),"-","")," ",""),"(",""),")",""),"+",""))=11)),"OK","ERRO: use DDD + número (10 ou 11 dígitos)"))</f>
      </c>
      <c r="T663" s="6">
        <f>IF(L663="","vazio",IF(AND(ISNUMBER(FIND("@",L663)),ISNUMBER(FIND(".",MID(L663,FIND("@",L663),99))),NOT(ISNUMBER(FIND(" ",TRIM(L663)))),NOT(ISNUMBER(FIND(";",L663))),NOT(ISNUMBER(FIND(",",L663)))),"OK","ERRO: um e-mail válido por linha"))</f>
      </c>
      <c r="U663" s="6">
        <f>IF(COUNTA(A663:O663)=0,"",IF(AND(B663&lt;&gt;"",C663&lt;&gt;"",D663&lt;&gt;"",E663&lt;&gt;"",H663&lt;&gt;"",OR(J663&lt;&gt;"",L663&lt;&gt;"")),"OK","ERRO: faltam "&amp;IF(B663="","Proprietário; ","")&amp;IF(C663="","Origem; ","")&amp;IF(D663="","CNPJ; ","")&amp;IF(E663="","Razão Social; ","")&amp;IF(H663="","Sobrenome; ","")&amp;IF(AND(J663="",L663=""),"telefone ou e-mail; ","")))</f>
      </c>
      <c r="V663" s="6">
        <f>IF(COUNTA(A663:O663)=0,"",IF(AND(Q663="OK",R663="OK",LEFT(S663,4)&lt;&gt;"ERRO",LEFT(T663,4)&lt;&gt;"ERRO",U663="OK"),"OK","REVISAR"))</f>
      </c>
    </row>
    <row r="664">
      <c r="A664" s="4"/>
      <c r="B664" s="5"/>
      <c r="C664" s="5"/>
      <c r="D664" s="5"/>
      <c r="E664" s="5"/>
      <c r="F664" s="4"/>
      <c r="G664" s="4"/>
      <c r="H664" s="5"/>
      <c r="I664" s="4"/>
      <c r="J664" s="4"/>
      <c r="K664" s="4"/>
      <c r="L664" s="4"/>
      <c r="M664" s="4"/>
      <c r="N664" s="4"/>
      <c r="O664" s="4"/>
      <c r="P664" s="6">
        <f>IF(D664="","",SUBSTITUTE(SUBSTITUTE(SUBSTITUTE(SUBSTITUTE(SUBSTITUTE(SUBSTITUTE(SUBSTITUTE(TRIM(D664),".",""),"/",""),"-","")," ",""),"(",""),")",""),"+",""))</f>
      </c>
      <c r="Q664" s="6">
        <f>IF(P664="","",IF(LEN(P664)&lt;&gt;14,"ERRO: "&amp;LEN(P664)&amp;" dígitos",IF(NOT(ISNUMBER(VALUE(P664))),"ERRO: não numérico",IF(LEN(SUBSTITUTE(P664,LEFT(P664,1),""))=0,"ERRO: dígitos repetidos",IF(AND(VALUE(MID(P664,13,1))=IF(MOD(SUMPRODUCT(--MID(P664,{1,2,3,4,5,6,7,8,9,10,11,12},1),{5,4,3,2,9,8,7,6,5,4,3,2}),11)&lt;2,0,11-MOD(SUMPRODUCT(--MID(P664,{1,2,3,4,5,6,7,8,9,10,11,12},1),{5,4,3,2,9,8,7,6,5,4,3,2}),11)),VALUE(MID(P664,14,1))=IF(MOD(SUMPRODUCT(--MID(P664,{1,2,3,4,5,6,7,8,9,10,11,12,13},1),{6,5,4,3,2,9,8,7,6,5,4,3,2}),11)&lt;2,0,11-MOD(SUMPRODUCT(--MID(P664,{1,2,3,4,5,6,7,8,9,10,11,12,13},1),{6,5,4,3,2,9,8,7,6,5,4,3,2}),11))),"OK","ERRO: dígito verificador")))))</f>
      </c>
      <c r="R664" s="6">
        <f>IF(P664="","",IF(COUNTIF($P$2:$P$1001,P664)&gt;1,"DUPLICADO","OK"))</f>
      </c>
      <c r="S664" s="6">
        <f>IF(AND(J664="",K664=""),"vazio",IF(AND(OR(J664="",LEN(SUBSTITUTE(SUBSTITUTE(SUBSTITUTE(SUBSTITUTE(SUBSTITUTE(SUBSTITUTE(SUBSTITUTE(TRIM(J664),".",""),"/",""),"-","")," ",""),"(",""),")",""),"+",""))=10,LEN(SUBSTITUTE(SUBSTITUTE(SUBSTITUTE(SUBSTITUTE(SUBSTITUTE(SUBSTITUTE(SUBSTITUTE(TRIM(J664),".",""),"/",""),"-","")," ",""),"(",""),")",""),"+",""))=11),OR(K664="",LEN(SUBSTITUTE(SUBSTITUTE(SUBSTITUTE(SUBSTITUTE(SUBSTITUTE(SUBSTITUTE(SUBSTITUTE(TRIM(K664),".",""),"/",""),"-","")," ",""),"(",""),")",""),"+",""))=10,LEN(SUBSTITUTE(SUBSTITUTE(SUBSTITUTE(SUBSTITUTE(SUBSTITUTE(SUBSTITUTE(SUBSTITUTE(TRIM(K664),".",""),"/",""),"-","")," ",""),"(",""),")",""),"+",""))=11)),"OK","ERRO: use DDD + número (10 ou 11 dígitos)"))</f>
      </c>
      <c r="T664" s="6">
        <f>IF(L664="","vazio",IF(AND(ISNUMBER(FIND("@",L664)),ISNUMBER(FIND(".",MID(L664,FIND("@",L664),99))),NOT(ISNUMBER(FIND(" ",TRIM(L664)))),NOT(ISNUMBER(FIND(";",L664))),NOT(ISNUMBER(FIND(",",L664)))),"OK","ERRO: um e-mail válido por linha"))</f>
      </c>
      <c r="U664" s="6">
        <f>IF(COUNTA(A664:O664)=0,"",IF(AND(B664&lt;&gt;"",C664&lt;&gt;"",D664&lt;&gt;"",E664&lt;&gt;"",H664&lt;&gt;"",OR(J664&lt;&gt;"",L664&lt;&gt;"")),"OK","ERRO: faltam "&amp;IF(B664="","Proprietário; ","")&amp;IF(C664="","Origem; ","")&amp;IF(D664="","CNPJ; ","")&amp;IF(E664="","Razão Social; ","")&amp;IF(H664="","Sobrenome; ","")&amp;IF(AND(J664="",L664=""),"telefone ou e-mail; ","")))</f>
      </c>
      <c r="V664" s="6">
        <f>IF(COUNTA(A664:O664)=0,"",IF(AND(Q664="OK",R664="OK",LEFT(S664,4)&lt;&gt;"ERRO",LEFT(T664,4)&lt;&gt;"ERRO",U664="OK"),"OK","REVISAR"))</f>
      </c>
    </row>
    <row r="665">
      <c r="A665" s="4"/>
      <c r="B665" s="5"/>
      <c r="C665" s="5"/>
      <c r="D665" s="5"/>
      <c r="E665" s="5"/>
      <c r="F665" s="4"/>
      <c r="G665" s="4"/>
      <c r="H665" s="5"/>
      <c r="I665" s="4"/>
      <c r="J665" s="4"/>
      <c r="K665" s="4"/>
      <c r="L665" s="4"/>
      <c r="M665" s="4"/>
      <c r="N665" s="4"/>
      <c r="O665" s="4"/>
      <c r="P665" s="6">
        <f>IF(D665="","",SUBSTITUTE(SUBSTITUTE(SUBSTITUTE(SUBSTITUTE(SUBSTITUTE(SUBSTITUTE(SUBSTITUTE(TRIM(D665),".",""),"/",""),"-","")," ",""),"(",""),")",""),"+",""))</f>
      </c>
      <c r="Q665" s="6">
        <f>IF(P665="","",IF(LEN(P665)&lt;&gt;14,"ERRO: "&amp;LEN(P665)&amp;" dígitos",IF(NOT(ISNUMBER(VALUE(P665))),"ERRO: não numérico",IF(LEN(SUBSTITUTE(P665,LEFT(P665,1),""))=0,"ERRO: dígitos repetidos",IF(AND(VALUE(MID(P665,13,1))=IF(MOD(SUMPRODUCT(--MID(P665,{1,2,3,4,5,6,7,8,9,10,11,12},1),{5,4,3,2,9,8,7,6,5,4,3,2}),11)&lt;2,0,11-MOD(SUMPRODUCT(--MID(P665,{1,2,3,4,5,6,7,8,9,10,11,12},1),{5,4,3,2,9,8,7,6,5,4,3,2}),11)),VALUE(MID(P665,14,1))=IF(MOD(SUMPRODUCT(--MID(P665,{1,2,3,4,5,6,7,8,9,10,11,12,13},1),{6,5,4,3,2,9,8,7,6,5,4,3,2}),11)&lt;2,0,11-MOD(SUMPRODUCT(--MID(P665,{1,2,3,4,5,6,7,8,9,10,11,12,13},1),{6,5,4,3,2,9,8,7,6,5,4,3,2}),11))),"OK","ERRO: dígito verificador")))))</f>
      </c>
      <c r="R665" s="6">
        <f>IF(P665="","",IF(COUNTIF($P$2:$P$1001,P665)&gt;1,"DUPLICADO","OK"))</f>
      </c>
      <c r="S665" s="6">
        <f>IF(AND(J665="",K665=""),"vazio",IF(AND(OR(J665="",LEN(SUBSTITUTE(SUBSTITUTE(SUBSTITUTE(SUBSTITUTE(SUBSTITUTE(SUBSTITUTE(SUBSTITUTE(TRIM(J665),".",""),"/",""),"-","")," ",""),"(",""),")",""),"+",""))=10,LEN(SUBSTITUTE(SUBSTITUTE(SUBSTITUTE(SUBSTITUTE(SUBSTITUTE(SUBSTITUTE(SUBSTITUTE(TRIM(J665),".",""),"/",""),"-","")," ",""),"(",""),")",""),"+",""))=11),OR(K665="",LEN(SUBSTITUTE(SUBSTITUTE(SUBSTITUTE(SUBSTITUTE(SUBSTITUTE(SUBSTITUTE(SUBSTITUTE(TRIM(K665),".",""),"/",""),"-","")," ",""),"(",""),")",""),"+",""))=10,LEN(SUBSTITUTE(SUBSTITUTE(SUBSTITUTE(SUBSTITUTE(SUBSTITUTE(SUBSTITUTE(SUBSTITUTE(TRIM(K665),".",""),"/",""),"-","")," ",""),"(",""),")",""),"+",""))=11)),"OK","ERRO: use DDD + número (10 ou 11 dígitos)"))</f>
      </c>
      <c r="T665" s="6">
        <f>IF(L665="","vazio",IF(AND(ISNUMBER(FIND("@",L665)),ISNUMBER(FIND(".",MID(L665,FIND("@",L665),99))),NOT(ISNUMBER(FIND(" ",TRIM(L665)))),NOT(ISNUMBER(FIND(";",L665))),NOT(ISNUMBER(FIND(",",L665)))),"OK","ERRO: um e-mail válido por linha"))</f>
      </c>
      <c r="U665" s="6">
        <f>IF(COUNTA(A665:O665)=0,"",IF(AND(B665&lt;&gt;"",C665&lt;&gt;"",D665&lt;&gt;"",E665&lt;&gt;"",H665&lt;&gt;"",OR(J665&lt;&gt;"",L665&lt;&gt;"")),"OK","ERRO: faltam "&amp;IF(B665="","Proprietário; ","")&amp;IF(C665="","Origem; ","")&amp;IF(D665="","CNPJ; ","")&amp;IF(E665="","Razão Social; ","")&amp;IF(H665="","Sobrenome; ","")&amp;IF(AND(J665="",L665=""),"telefone ou e-mail; ","")))</f>
      </c>
      <c r="V665" s="6">
        <f>IF(COUNTA(A665:O665)=0,"",IF(AND(Q665="OK",R665="OK",LEFT(S665,4)&lt;&gt;"ERRO",LEFT(T665,4)&lt;&gt;"ERRO",U665="OK"),"OK","REVISAR"))</f>
      </c>
    </row>
    <row r="666">
      <c r="A666" s="4"/>
      <c r="B666" s="5"/>
      <c r="C666" s="5"/>
      <c r="D666" s="5"/>
      <c r="E666" s="5"/>
      <c r="F666" s="4"/>
      <c r="G666" s="4"/>
      <c r="H666" s="5"/>
      <c r="I666" s="4"/>
      <c r="J666" s="4"/>
      <c r="K666" s="4"/>
      <c r="L666" s="4"/>
      <c r="M666" s="4"/>
      <c r="N666" s="4"/>
      <c r="O666" s="4"/>
      <c r="P666" s="6">
        <f>IF(D666="","",SUBSTITUTE(SUBSTITUTE(SUBSTITUTE(SUBSTITUTE(SUBSTITUTE(SUBSTITUTE(SUBSTITUTE(TRIM(D666),".",""),"/",""),"-","")," ",""),"(",""),")",""),"+",""))</f>
      </c>
      <c r="Q666" s="6">
        <f>IF(P666="","",IF(LEN(P666)&lt;&gt;14,"ERRO: "&amp;LEN(P666)&amp;" dígitos",IF(NOT(ISNUMBER(VALUE(P666))),"ERRO: não numérico",IF(LEN(SUBSTITUTE(P666,LEFT(P666,1),""))=0,"ERRO: dígitos repetidos",IF(AND(VALUE(MID(P666,13,1))=IF(MOD(SUMPRODUCT(--MID(P666,{1,2,3,4,5,6,7,8,9,10,11,12},1),{5,4,3,2,9,8,7,6,5,4,3,2}),11)&lt;2,0,11-MOD(SUMPRODUCT(--MID(P666,{1,2,3,4,5,6,7,8,9,10,11,12},1),{5,4,3,2,9,8,7,6,5,4,3,2}),11)),VALUE(MID(P666,14,1))=IF(MOD(SUMPRODUCT(--MID(P666,{1,2,3,4,5,6,7,8,9,10,11,12,13},1),{6,5,4,3,2,9,8,7,6,5,4,3,2}),11)&lt;2,0,11-MOD(SUMPRODUCT(--MID(P666,{1,2,3,4,5,6,7,8,9,10,11,12,13},1),{6,5,4,3,2,9,8,7,6,5,4,3,2}),11))),"OK","ERRO: dígito verificador")))))</f>
      </c>
      <c r="R666" s="6">
        <f>IF(P666="","",IF(COUNTIF($P$2:$P$1001,P666)&gt;1,"DUPLICADO","OK"))</f>
      </c>
      <c r="S666" s="6">
        <f>IF(AND(J666="",K666=""),"vazio",IF(AND(OR(J666="",LEN(SUBSTITUTE(SUBSTITUTE(SUBSTITUTE(SUBSTITUTE(SUBSTITUTE(SUBSTITUTE(SUBSTITUTE(TRIM(J666),".",""),"/",""),"-","")," ",""),"(",""),")",""),"+",""))=10,LEN(SUBSTITUTE(SUBSTITUTE(SUBSTITUTE(SUBSTITUTE(SUBSTITUTE(SUBSTITUTE(SUBSTITUTE(TRIM(J666),".",""),"/",""),"-","")," ",""),"(",""),")",""),"+",""))=11),OR(K666="",LEN(SUBSTITUTE(SUBSTITUTE(SUBSTITUTE(SUBSTITUTE(SUBSTITUTE(SUBSTITUTE(SUBSTITUTE(TRIM(K666),".",""),"/",""),"-","")," ",""),"(",""),")",""),"+",""))=10,LEN(SUBSTITUTE(SUBSTITUTE(SUBSTITUTE(SUBSTITUTE(SUBSTITUTE(SUBSTITUTE(SUBSTITUTE(TRIM(K666),".",""),"/",""),"-","")," ",""),"(",""),")",""),"+",""))=11)),"OK","ERRO: use DDD + número (10 ou 11 dígitos)"))</f>
      </c>
      <c r="T666" s="6">
        <f>IF(L666="","vazio",IF(AND(ISNUMBER(FIND("@",L666)),ISNUMBER(FIND(".",MID(L666,FIND("@",L666),99))),NOT(ISNUMBER(FIND(" ",TRIM(L666)))),NOT(ISNUMBER(FIND(";",L666))),NOT(ISNUMBER(FIND(",",L666)))),"OK","ERRO: um e-mail válido por linha"))</f>
      </c>
      <c r="U666" s="6">
        <f>IF(COUNTA(A666:O666)=0,"",IF(AND(B666&lt;&gt;"",C666&lt;&gt;"",D666&lt;&gt;"",E666&lt;&gt;"",H666&lt;&gt;"",OR(J666&lt;&gt;"",L666&lt;&gt;"")),"OK","ERRO: faltam "&amp;IF(B666="","Proprietário; ","")&amp;IF(C666="","Origem; ","")&amp;IF(D666="","CNPJ; ","")&amp;IF(E666="","Razão Social; ","")&amp;IF(H666="","Sobrenome; ","")&amp;IF(AND(J666="",L666=""),"telefone ou e-mail; ","")))</f>
      </c>
      <c r="V666" s="6">
        <f>IF(COUNTA(A666:O666)=0,"",IF(AND(Q666="OK",R666="OK",LEFT(S666,4)&lt;&gt;"ERRO",LEFT(T666,4)&lt;&gt;"ERRO",U666="OK"),"OK","REVISAR"))</f>
      </c>
    </row>
    <row r="667">
      <c r="A667" s="4"/>
      <c r="B667" s="5"/>
      <c r="C667" s="5"/>
      <c r="D667" s="5"/>
      <c r="E667" s="5"/>
      <c r="F667" s="4"/>
      <c r="G667" s="4"/>
      <c r="H667" s="5"/>
      <c r="I667" s="4"/>
      <c r="J667" s="4"/>
      <c r="K667" s="4"/>
      <c r="L667" s="4"/>
      <c r="M667" s="4"/>
      <c r="N667" s="4"/>
      <c r="O667" s="4"/>
      <c r="P667" s="6">
        <f>IF(D667="","",SUBSTITUTE(SUBSTITUTE(SUBSTITUTE(SUBSTITUTE(SUBSTITUTE(SUBSTITUTE(SUBSTITUTE(TRIM(D667),".",""),"/",""),"-","")," ",""),"(",""),")",""),"+",""))</f>
      </c>
      <c r="Q667" s="6">
        <f>IF(P667="","",IF(LEN(P667)&lt;&gt;14,"ERRO: "&amp;LEN(P667)&amp;" dígitos",IF(NOT(ISNUMBER(VALUE(P667))),"ERRO: não numérico",IF(LEN(SUBSTITUTE(P667,LEFT(P667,1),""))=0,"ERRO: dígitos repetidos",IF(AND(VALUE(MID(P667,13,1))=IF(MOD(SUMPRODUCT(--MID(P667,{1,2,3,4,5,6,7,8,9,10,11,12},1),{5,4,3,2,9,8,7,6,5,4,3,2}),11)&lt;2,0,11-MOD(SUMPRODUCT(--MID(P667,{1,2,3,4,5,6,7,8,9,10,11,12},1),{5,4,3,2,9,8,7,6,5,4,3,2}),11)),VALUE(MID(P667,14,1))=IF(MOD(SUMPRODUCT(--MID(P667,{1,2,3,4,5,6,7,8,9,10,11,12,13},1),{6,5,4,3,2,9,8,7,6,5,4,3,2}),11)&lt;2,0,11-MOD(SUMPRODUCT(--MID(P667,{1,2,3,4,5,6,7,8,9,10,11,12,13},1),{6,5,4,3,2,9,8,7,6,5,4,3,2}),11))),"OK","ERRO: dígito verificador")))))</f>
      </c>
      <c r="R667" s="6">
        <f>IF(P667="","",IF(COUNTIF($P$2:$P$1001,P667)&gt;1,"DUPLICADO","OK"))</f>
      </c>
      <c r="S667" s="6">
        <f>IF(AND(J667="",K667=""),"vazio",IF(AND(OR(J667="",LEN(SUBSTITUTE(SUBSTITUTE(SUBSTITUTE(SUBSTITUTE(SUBSTITUTE(SUBSTITUTE(SUBSTITUTE(TRIM(J667),".",""),"/",""),"-","")," ",""),"(",""),")",""),"+",""))=10,LEN(SUBSTITUTE(SUBSTITUTE(SUBSTITUTE(SUBSTITUTE(SUBSTITUTE(SUBSTITUTE(SUBSTITUTE(TRIM(J667),".",""),"/",""),"-","")," ",""),"(",""),")",""),"+",""))=11),OR(K667="",LEN(SUBSTITUTE(SUBSTITUTE(SUBSTITUTE(SUBSTITUTE(SUBSTITUTE(SUBSTITUTE(SUBSTITUTE(TRIM(K667),".",""),"/",""),"-","")," ",""),"(",""),")",""),"+",""))=10,LEN(SUBSTITUTE(SUBSTITUTE(SUBSTITUTE(SUBSTITUTE(SUBSTITUTE(SUBSTITUTE(SUBSTITUTE(TRIM(K667),".",""),"/",""),"-","")," ",""),"(",""),")",""),"+",""))=11)),"OK","ERRO: use DDD + número (10 ou 11 dígitos)"))</f>
      </c>
      <c r="T667" s="6">
        <f>IF(L667="","vazio",IF(AND(ISNUMBER(FIND("@",L667)),ISNUMBER(FIND(".",MID(L667,FIND("@",L667),99))),NOT(ISNUMBER(FIND(" ",TRIM(L667)))),NOT(ISNUMBER(FIND(";",L667))),NOT(ISNUMBER(FIND(",",L667)))),"OK","ERRO: um e-mail válido por linha"))</f>
      </c>
      <c r="U667" s="6">
        <f>IF(COUNTA(A667:O667)=0,"",IF(AND(B667&lt;&gt;"",C667&lt;&gt;"",D667&lt;&gt;"",E667&lt;&gt;"",H667&lt;&gt;"",OR(J667&lt;&gt;"",L667&lt;&gt;"")),"OK","ERRO: faltam "&amp;IF(B667="","Proprietário; ","")&amp;IF(C667="","Origem; ","")&amp;IF(D667="","CNPJ; ","")&amp;IF(E667="","Razão Social; ","")&amp;IF(H667="","Sobrenome; ","")&amp;IF(AND(J667="",L667=""),"telefone ou e-mail; ","")))</f>
      </c>
      <c r="V667" s="6">
        <f>IF(COUNTA(A667:O667)=0,"",IF(AND(Q667="OK",R667="OK",LEFT(S667,4)&lt;&gt;"ERRO",LEFT(T667,4)&lt;&gt;"ERRO",U667="OK"),"OK","REVISAR"))</f>
      </c>
    </row>
    <row r="668">
      <c r="A668" s="4"/>
      <c r="B668" s="5"/>
      <c r="C668" s="5"/>
      <c r="D668" s="5"/>
      <c r="E668" s="5"/>
      <c r="F668" s="4"/>
      <c r="G668" s="4"/>
      <c r="H668" s="5"/>
      <c r="I668" s="4"/>
      <c r="J668" s="4"/>
      <c r="K668" s="4"/>
      <c r="L668" s="4"/>
      <c r="M668" s="4"/>
      <c r="N668" s="4"/>
      <c r="O668" s="4"/>
      <c r="P668" s="6">
        <f>IF(D668="","",SUBSTITUTE(SUBSTITUTE(SUBSTITUTE(SUBSTITUTE(SUBSTITUTE(SUBSTITUTE(SUBSTITUTE(TRIM(D668),".",""),"/",""),"-","")," ",""),"(",""),")",""),"+",""))</f>
      </c>
      <c r="Q668" s="6">
        <f>IF(P668="","",IF(LEN(P668)&lt;&gt;14,"ERRO: "&amp;LEN(P668)&amp;" dígitos",IF(NOT(ISNUMBER(VALUE(P668))),"ERRO: não numérico",IF(LEN(SUBSTITUTE(P668,LEFT(P668,1),""))=0,"ERRO: dígitos repetidos",IF(AND(VALUE(MID(P668,13,1))=IF(MOD(SUMPRODUCT(--MID(P668,{1,2,3,4,5,6,7,8,9,10,11,12},1),{5,4,3,2,9,8,7,6,5,4,3,2}),11)&lt;2,0,11-MOD(SUMPRODUCT(--MID(P668,{1,2,3,4,5,6,7,8,9,10,11,12},1),{5,4,3,2,9,8,7,6,5,4,3,2}),11)),VALUE(MID(P668,14,1))=IF(MOD(SUMPRODUCT(--MID(P668,{1,2,3,4,5,6,7,8,9,10,11,12,13},1),{6,5,4,3,2,9,8,7,6,5,4,3,2}),11)&lt;2,0,11-MOD(SUMPRODUCT(--MID(P668,{1,2,3,4,5,6,7,8,9,10,11,12,13},1),{6,5,4,3,2,9,8,7,6,5,4,3,2}),11))),"OK","ERRO: dígito verificador")))))</f>
      </c>
      <c r="R668" s="6">
        <f>IF(P668="","",IF(COUNTIF($P$2:$P$1001,P668)&gt;1,"DUPLICADO","OK"))</f>
      </c>
      <c r="S668" s="6">
        <f>IF(AND(J668="",K668=""),"vazio",IF(AND(OR(J668="",LEN(SUBSTITUTE(SUBSTITUTE(SUBSTITUTE(SUBSTITUTE(SUBSTITUTE(SUBSTITUTE(SUBSTITUTE(TRIM(J668),".",""),"/",""),"-","")," ",""),"(",""),")",""),"+",""))=10,LEN(SUBSTITUTE(SUBSTITUTE(SUBSTITUTE(SUBSTITUTE(SUBSTITUTE(SUBSTITUTE(SUBSTITUTE(TRIM(J668),".",""),"/",""),"-","")," ",""),"(",""),")",""),"+",""))=11),OR(K668="",LEN(SUBSTITUTE(SUBSTITUTE(SUBSTITUTE(SUBSTITUTE(SUBSTITUTE(SUBSTITUTE(SUBSTITUTE(TRIM(K668),".",""),"/",""),"-","")," ",""),"(",""),")",""),"+",""))=10,LEN(SUBSTITUTE(SUBSTITUTE(SUBSTITUTE(SUBSTITUTE(SUBSTITUTE(SUBSTITUTE(SUBSTITUTE(TRIM(K668),".",""),"/",""),"-","")," ",""),"(",""),")",""),"+",""))=11)),"OK","ERRO: use DDD + número (10 ou 11 dígitos)"))</f>
      </c>
      <c r="T668" s="6">
        <f>IF(L668="","vazio",IF(AND(ISNUMBER(FIND("@",L668)),ISNUMBER(FIND(".",MID(L668,FIND("@",L668),99))),NOT(ISNUMBER(FIND(" ",TRIM(L668)))),NOT(ISNUMBER(FIND(";",L668))),NOT(ISNUMBER(FIND(",",L668)))),"OK","ERRO: um e-mail válido por linha"))</f>
      </c>
      <c r="U668" s="6">
        <f>IF(COUNTA(A668:O668)=0,"",IF(AND(B668&lt;&gt;"",C668&lt;&gt;"",D668&lt;&gt;"",E668&lt;&gt;"",H668&lt;&gt;"",OR(J668&lt;&gt;"",L668&lt;&gt;"")),"OK","ERRO: faltam "&amp;IF(B668="","Proprietário; ","")&amp;IF(C668="","Origem; ","")&amp;IF(D668="","CNPJ; ","")&amp;IF(E668="","Razão Social; ","")&amp;IF(H668="","Sobrenome; ","")&amp;IF(AND(J668="",L668=""),"telefone ou e-mail; ","")))</f>
      </c>
      <c r="V668" s="6">
        <f>IF(COUNTA(A668:O668)=0,"",IF(AND(Q668="OK",R668="OK",LEFT(S668,4)&lt;&gt;"ERRO",LEFT(T668,4)&lt;&gt;"ERRO",U668="OK"),"OK","REVISAR"))</f>
      </c>
    </row>
    <row r="669">
      <c r="A669" s="4"/>
      <c r="B669" s="5"/>
      <c r="C669" s="5"/>
      <c r="D669" s="5"/>
      <c r="E669" s="5"/>
      <c r="F669" s="4"/>
      <c r="G669" s="4"/>
      <c r="H669" s="5"/>
      <c r="I669" s="4"/>
      <c r="J669" s="4"/>
      <c r="K669" s="4"/>
      <c r="L669" s="4"/>
      <c r="M669" s="4"/>
      <c r="N669" s="4"/>
      <c r="O669" s="4"/>
      <c r="P669" s="6">
        <f>IF(D669="","",SUBSTITUTE(SUBSTITUTE(SUBSTITUTE(SUBSTITUTE(SUBSTITUTE(SUBSTITUTE(SUBSTITUTE(TRIM(D669),".",""),"/",""),"-","")," ",""),"(",""),")",""),"+",""))</f>
      </c>
      <c r="Q669" s="6">
        <f>IF(P669="","",IF(LEN(P669)&lt;&gt;14,"ERRO: "&amp;LEN(P669)&amp;" dígitos",IF(NOT(ISNUMBER(VALUE(P669))),"ERRO: não numérico",IF(LEN(SUBSTITUTE(P669,LEFT(P669,1),""))=0,"ERRO: dígitos repetidos",IF(AND(VALUE(MID(P669,13,1))=IF(MOD(SUMPRODUCT(--MID(P669,{1,2,3,4,5,6,7,8,9,10,11,12},1),{5,4,3,2,9,8,7,6,5,4,3,2}),11)&lt;2,0,11-MOD(SUMPRODUCT(--MID(P669,{1,2,3,4,5,6,7,8,9,10,11,12},1),{5,4,3,2,9,8,7,6,5,4,3,2}),11)),VALUE(MID(P669,14,1))=IF(MOD(SUMPRODUCT(--MID(P669,{1,2,3,4,5,6,7,8,9,10,11,12,13},1),{6,5,4,3,2,9,8,7,6,5,4,3,2}),11)&lt;2,0,11-MOD(SUMPRODUCT(--MID(P669,{1,2,3,4,5,6,7,8,9,10,11,12,13},1),{6,5,4,3,2,9,8,7,6,5,4,3,2}),11))),"OK","ERRO: dígito verificador")))))</f>
      </c>
      <c r="R669" s="6">
        <f>IF(P669="","",IF(COUNTIF($P$2:$P$1001,P669)&gt;1,"DUPLICADO","OK"))</f>
      </c>
      <c r="S669" s="6">
        <f>IF(AND(J669="",K669=""),"vazio",IF(AND(OR(J669="",LEN(SUBSTITUTE(SUBSTITUTE(SUBSTITUTE(SUBSTITUTE(SUBSTITUTE(SUBSTITUTE(SUBSTITUTE(TRIM(J669),".",""),"/",""),"-","")," ",""),"(",""),")",""),"+",""))=10,LEN(SUBSTITUTE(SUBSTITUTE(SUBSTITUTE(SUBSTITUTE(SUBSTITUTE(SUBSTITUTE(SUBSTITUTE(TRIM(J669),".",""),"/",""),"-","")," ",""),"(",""),")",""),"+",""))=11),OR(K669="",LEN(SUBSTITUTE(SUBSTITUTE(SUBSTITUTE(SUBSTITUTE(SUBSTITUTE(SUBSTITUTE(SUBSTITUTE(TRIM(K669),".",""),"/",""),"-","")," ",""),"(",""),")",""),"+",""))=10,LEN(SUBSTITUTE(SUBSTITUTE(SUBSTITUTE(SUBSTITUTE(SUBSTITUTE(SUBSTITUTE(SUBSTITUTE(TRIM(K669),".",""),"/",""),"-","")," ",""),"(",""),")",""),"+",""))=11)),"OK","ERRO: use DDD + número (10 ou 11 dígitos)"))</f>
      </c>
      <c r="T669" s="6">
        <f>IF(L669="","vazio",IF(AND(ISNUMBER(FIND("@",L669)),ISNUMBER(FIND(".",MID(L669,FIND("@",L669),99))),NOT(ISNUMBER(FIND(" ",TRIM(L669)))),NOT(ISNUMBER(FIND(";",L669))),NOT(ISNUMBER(FIND(",",L669)))),"OK","ERRO: um e-mail válido por linha"))</f>
      </c>
      <c r="U669" s="6">
        <f>IF(COUNTA(A669:O669)=0,"",IF(AND(B669&lt;&gt;"",C669&lt;&gt;"",D669&lt;&gt;"",E669&lt;&gt;"",H669&lt;&gt;"",OR(J669&lt;&gt;"",L669&lt;&gt;"")),"OK","ERRO: faltam "&amp;IF(B669="","Proprietário; ","")&amp;IF(C669="","Origem; ","")&amp;IF(D669="","CNPJ; ","")&amp;IF(E669="","Razão Social; ","")&amp;IF(H669="","Sobrenome; ","")&amp;IF(AND(J669="",L669=""),"telefone ou e-mail; ","")))</f>
      </c>
      <c r="V669" s="6">
        <f>IF(COUNTA(A669:O669)=0,"",IF(AND(Q669="OK",R669="OK",LEFT(S669,4)&lt;&gt;"ERRO",LEFT(T669,4)&lt;&gt;"ERRO",U669="OK"),"OK","REVISAR"))</f>
      </c>
    </row>
    <row r="670">
      <c r="A670" s="4"/>
      <c r="B670" s="5"/>
      <c r="C670" s="5"/>
      <c r="D670" s="5"/>
      <c r="E670" s="5"/>
      <c r="F670" s="4"/>
      <c r="G670" s="4"/>
      <c r="H670" s="5"/>
      <c r="I670" s="4"/>
      <c r="J670" s="4"/>
      <c r="K670" s="4"/>
      <c r="L670" s="4"/>
      <c r="M670" s="4"/>
      <c r="N670" s="4"/>
      <c r="O670" s="4"/>
      <c r="P670" s="6">
        <f>IF(D670="","",SUBSTITUTE(SUBSTITUTE(SUBSTITUTE(SUBSTITUTE(SUBSTITUTE(SUBSTITUTE(SUBSTITUTE(TRIM(D670),".",""),"/",""),"-","")," ",""),"(",""),")",""),"+",""))</f>
      </c>
      <c r="Q670" s="6">
        <f>IF(P670="","",IF(LEN(P670)&lt;&gt;14,"ERRO: "&amp;LEN(P670)&amp;" dígitos",IF(NOT(ISNUMBER(VALUE(P670))),"ERRO: não numérico",IF(LEN(SUBSTITUTE(P670,LEFT(P670,1),""))=0,"ERRO: dígitos repetidos",IF(AND(VALUE(MID(P670,13,1))=IF(MOD(SUMPRODUCT(--MID(P670,{1,2,3,4,5,6,7,8,9,10,11,12},1),{5,4,3,2,9,8,7,6,5,4,3,2}),11)&lt;2,0,11-MOD(SUMPRODUCT(--MID(P670,{1,2,3,4,5,6,7,8,9,10,11,12},1),{5,4,3,2,9,8,7,6,5,4,3,2}),11)),VALUE(MID(P670,14,1))=IF(MOD(SUMPRODUCT(--MID(P670,{1,2,3,4,5,6,7,8,9,10,11,12,13},1),{6,5,4,3,2,9,8,7,6,5,4,3,2}),11)&lt;2,0,11-MOD(SUMPRODUCT(--MID(P670,{1,2,3,4,5,6,7,8,9,10,11,12,13},1),{6,5,4,3,2,9,8,7,6,5,4,3,2}),11))),"OK","ERRO: dígito verificador")))))</f>
      </c>
      <c r="R670" s="6">
        <f>IF(P670="","",IF(COUNTIF($P$2:$P$1001,P670)&gt;1,"DUPLICADO","OK"))</f>
      </c>
      <c r="S670" s="6">
        <f>IF(AND(J670="",K670=""),"vazio",IF(AND(OR(J670="",LEN(SUBSTITUTE(SUBSTITUTE(SUBSTITUTE(SUBSTITUTE(SUBSTITUTE(SUBSTITUTE(SUBSTITUTE(TRIM(J670),".",""),"/",""),"-","")," ",""),"(",""),")",""),"+",""))=10,LEN(SUBSTITUTE(SUBSTITUTE(SUBSTITUTE(SUBSTITUTE(SUBSTITUTE(SUBSTITUTE(SUBSTITUTE(TRIM(J670),".",""),"/",""),"-","")," ",""),"(",""),")",""),"+",""))=11),OR(K670="",LEN(SUBSTITUTE(SUBSTITUTE(SUBSTITUTE(SUBSTITUTE(SUBSTITUTE(SUBSTITUTE(SUBSTITUTE(TRIM(K670),".",""),"/",""),"-","")," ",""),"(",""),")",""),"+",""))=10,LEN(SUBSTITUTE(SUBSTITUTE(SUBSTITUTE(SUBSTITUTE(SUBSTITUTE(SUBSTITUTE(SUBSTITUTE(TRIM(K670),".",""),"/",""),"-","")," ",""),"(",""),")",""),"+",""))=11)),"OK","ERRO: use DDD + número (10 ou 11 dígitos)"))</f>
      </c>
      <c r="T670" s="6">
        <f>IF(L670="","vazio",IF(AND(ISNUMBER(FIND("@",L670)),ISNUMBER(FIND(".",MID(L670,FIND("@",L670),99))),NOT(ISNUMBER(FIND(" ",TRIM(L670)))),NOT(ISNUMBER(FIND(";",L670))),NOT(ISNUMBER(FIND(",",L670)))),"OK","ERRO: um e-mail válido por linha"))</f>
      </c>
      <c r="U670" s="6">
        <f>IF(COUNTA(A670:O670)=0,"",IF(AND(B670&lt;&gt;"",C670&lt;&gt;"",D670&lt;&gt;"",E670&lt;&gt;"",H670&lt;&gt;"",OR(J670&lt;&gt;"",L670&lt;&gt;"")),"OK","ERRO: faltam "&amp;IF(B670="","Proprietário; ","")&amp;IF(C670="","Origem; ","")&amp;IF(D670="","CNPJ; ","")&amp;IF(E670="","Razão Social; ","")&amp;IF(H670="","Sobrenome; ","")&amp;IF(AND(J670="",L670=""),"telefone ou e-mail; ","")))</f>
      </c>
      <c r="V670" s="6">
        <f>IF(COUNTA(A670:O670)=0,"",IF(AND(Q670="OK",R670="OK",LEFT(S670,4)&lt;&gt;"ERRO",LEFT(T670,4)&lt;&gt;"ERRO",U670="OK"),"OK","REVISAR"))</f>
      </c>
    </row>
    <row r="671">
      <c r="A671" s="4"/>
      <c r="B671" s="5"/>
      <c r="C671" s="5"/>
      <c r="D671" s="5"/>
      <c r="E671" s="5"/>
      <c r="F671" s="4"/>
      <c r="G671" s="4"/>
      <c r="H671" s="5"/>
      <c r="I671" s="4"/>
      <c r="J671" s="4"/>
      <c r="K671" s="4"/>
      <c r="L671" s="4"/>
      <c r="M671" s="4"/>
      <c r="N671" s="4"/>
      <c r="O671" s="4"/>
      <c r="P671" s="6">
        <f>IF(D671="","",SUBSTITUTE(SUBSTITUTE(SUBSTITUTE(SUBSTITUTE(SUBSTITUTE(SUBSTITUTE(SUBSTITUTE(TRIM(D671),".",""),"/",""),"-","")," ",""),"(",""),")",""),"+",""))</f>
      </c>
      <c r="Q671" s="6">
        <f>IF(P671="","",IF(LEN(P671)&lt;&gt;14,"ERRO: "&amp;LEN(P671)&amp;" dígitos",IF(NOT(ISNUMBER(VALUE(P671))),"ERRO: não numérico",IF(LEN(SUBSTITUTE(P671,LEFT(P671,1),""))=0,"ERRO: dígitos repetidos",IF(AND(VALUE(MID(P671,13,1))=IF(MOD(SUMPRODUCT(--MID(P671,{1,2,3,4,5,6,7,8,9,10,11,12},1),{5,4,3,2,9,8,7,6,5,4,3,2}),11)&lt;2,0,11-MOD(SUMPRODUCT(--MID(P671,{1,2,3,4,5,6,7,8,9,10,11,12},1),{5,4,3,2,9,8,7,6,5,4,3,2}),11)),VALUE(MID(P671,14,1))=IF(MOD(SUMPRODUCT(--MID(P671,{1,2,3,4,5,6,7,8,9,10,11,12,13},1),{6,5,4,3,2,9,8,7,6,5,4,3,2}),11)&lt;2,0,11-MOD(SUMPRODUCT(--MID(P671,{1,2,3,4,5,6,7,8,9,10,11,12,13},1),{6,5,4,3,2,9,8,7,6,5,4,3,2}),11))),"OK","ERRO: dígito verificador")))))</f>
      </c>
      <c r="R671" s="6">
        <f>IF(P671="","",IF(COUNTIF($P$2:$P$1001,P671)&gt;1,"DUPLICADO","OK"))</f>
      </c>
      <c r="S671" s="6">
        <f>IF(AND(J671="",K671=""),"vazio",IF(AND(OR(J671="",LEN(SUBSTITUTE(SUBSTITUTE(SUBSTITUTE(SUBSTITUTE(SUBSTITUTE(SUBSTITUTE(SUBSTITUTE(TRIM(J671),".",""),"/",""),"-","")," ",""),"(",""),")",""),"+",""))=10,LEN(SUBSTITUTE(SUBSTITUTE(SUBSTITUTE(SUBSTITUTE(SUBSTITUTE(SUBSTITUTE(SUBSTITUTE(TRIM(J671),".",""),"/",""),"-","")," ",""),"(",""),")",""),"+",""))=11),OR(K671="",LEN(SUBSTITUTE(SUBSTITUTE(SUBSTITUTE(SUBSTITUTE(SUBSTITUTE(SUBSTITUTE(SUBSTITUTE(TRIM(K671),".",""),"/",""),"-","")," ",""),"(",""),")",""),"+",""))=10,LEN(SUBSTITUTE(SUBSTITUTE(SUBSTITUTE(SUBSTITUTE(SUBSTITUTE(SUBSTITUTE(SUBSTITUTE(TRIM(K671),".",""),"/",""),"-","")," ",""),"(",""),")",""),"+",""))=11)),"OK","ERRO: use DDD + número (10 ou 11 dígitos)"))</f>
      </c>
      <c r="T671" s="6">
        <f>IF(L671="","vazio",IF(AND(ISNUMBER(FIND("@",L671)),ISNUMBER(FIND(".",MID(L671,FIND("@",L671),99))),NOT(ISNUMBER(FIND(" ",TRIM(L671)))),NOT(ISNUMBER(FIND(";",L671))),NOT(ISNUMBER(FIND(",",L671)))),"OK","ERRO: um e-mail válido por linha"))</f>
      </c>
      <c r="U671" s="6">
        <f>IF(COUNTA(A671:O671)=0,"",IF(AND(B671&lt;&gt;"",C671&lt;&gt;"",D671&lt;&gt;"",E671&lt;&gt;"",H671&lt;&gt;"",OR(J671&lt;&gt;"",L671&lt;&gt;"")),"OK","ERRO: faltam "&amp;IF(B671="","Proprietário; ","")&amp;IF(C671="","Origem; ","")&amp;IF(D671="","CNPJ; ","")&amp;IF(E671="","Razão Social; ","")&amp;IF(H671="","Sobrenome; ","")&amp;IF(AND(J671="",L671=""),"telefone ou e-mail; ","")))</f>
      </c>
      <c r="V671" s="6">
        <f>IF(COUNTA(A671:O671)=0,"",IF(AND(Q671="OK",R671="OK",LEFT(S671,4)&lt;&gt;"ERRO",LEFT(T671,4)&lt;&gt;"ERRO",U671="OK"),"OK","REVISAR"))</f>
      </c>
    </row>
    <row r="672">
      <c r="A672" s="4"/>
      <c r="B672" s="5"/>
      <c r="C672" s="5"/>
      <c r="D672" s="5"/>
      <c r="E672" s="5"/>
      <c r="F672" s="4"/>
      <c r="G672" s="4"/>
      <c r="H672" s="5"/>
      <c r="I672" s="4"/>
      <c r="J672" s="4"/>
      <c r="K672" s="4"/>
      <c r="L672" s="4"/>
      <c r="M672" s="4"/>
      <c r="N672" s="4"/>
      <c r="O672" s="4"/>
      <c r="P672" s="6">
        <f>IF(D672="","",SUBSTITUTE(SUBSTITUTE(SUBSTITUTE(SUBSTITUTE(SUBSTITUTE(SUBSTITUTE(SUBSTITUTE(TRIM(D672),".",""),"/",""),"-","")," ",""),"(",""),")",""),"+",""))</f>
      </c>
      <c r="Q672" s="6">
        <f>IF(P672="","",IF(LEN(P672)&lt;&gt;14,"ERRO: "&amp;LEN(P672)&amp;" dígitos",IF(NOT(ISNUMBER(VALUE(P672))),"ERRO: não numérico",IF(LEN(SUBSTITUTE(P672,LEFT(P672,1),""))=0,"ERRO: dígitos repetidos",IF(AND(VALUE(MID(P672,13,1))=IF(MOD(SUMPRODUCT(--MID(P672,{1,2,3,4,5,6,7,8,9,10,11,12},1),{5,4,3,2,9,8,7,6,5,4,3,2}),11)&lt;2,0,11-MOD(SUMPRODUCT(--MID(P672,{1,2,3,4,5,6,7,8,9,10,11,12},1),{5,4,3,2,9,8,7,6,5,4,3,2}),11)),VALUE(MID(P672,14,1))=IF(MOD(SUMPRODUCT(--MID(P672,{1,2,3,4,5,6,7,8,9,10,11,12,13},1),{6,5,4,3,2,9,8,7,6,5,4,3,2}),11)&lt;2,0,11-MOD(SUMPRODUCT(--MID(P672,{1,2,3,4,5,6,7,8,9,10,11,12,13},1),{6,5,4,3,2,9,8,7,6,5,4,3,2}),11))),"OK","ERRO: dígito verificador")))))</f>
      </c>
      <c r="R672" s="6">
        <f>IF(P672="","",IF(COUNTIF($P$2:$P$1001,P672)&gt;1,"DUPLICADO","OK"))</f>
      </c>
      <c r="S672" s="6">
        <f>IF(AND(J672="",K672=""),"vazio",IF(AND(OR(J672="",LEN(SUBSTITUTE(SUBSTITUTE(SUBSTITUTE(SUBSTITUTE(SUBSTITUTE(SUBSTITUTE(SUBSTITUTE(TRIM(J672),".",""),"/",""),"-","")," ",""),"(",""),")",""),"+",""))=10,LEN(SUBSTITUTE(SUBSTITUTE(SUBSTITUTE(SUBSTITUTE(SUBSTITUTE(SUBSTITUTE(SUBSTITUTE(TRIM(J672),".",""),"/",""),"-","")," ",""),"(",""),")",""),"+",""))=11),OR(K672="",LEN(SUBSTITUTE(SUBSTITUTE(SUBSTITUTE(SUBSTITUTE(SUBSTITUTE(SUBSTITUTE(SUBSTITUTE(TRIM(K672),".",""),"/",""),"-","")," ",""),"(",""),")",""),"+",""))=10,LEN(SUBSTITUTE(SUBSTITUTE(SUBSTITUTE(SUBSTITUTE(SUBSTITUTE(SUBSTITUTE(SUBSTITUTE(TRIM(K672),".",""),"/",""),"-","")," ",""),"(",""),")",""),"+",""))=11)),"OK","ERRO: use DDD + número (10 ou 11 dígitos)"))</f>
      </c>
      <c r="T672" s="6">
        <f>IF(L672="","vazio",IF(AND(ISNUMBER(FIND("@",L672)),ISNUMBER(FIND(".",MID(L672,FIND("@",L672),99))),NOT(ISNUMBER(FIND(" ",TRIM(L672)))),NOT(ISNUMBER(FIND(";",L672))),NOT(ISNUMBER(FIND(",",L672)))),"OK","ERRO: um e-mail válido por linha"))</f>
      </c>
      <c r="U672" s="6">
        <f>IF(COUNTA(A672:O672)=0,"",IF(AND(B672&lt;&gt;"",C672&lt;&gt;"",D672&lt;&gt;"",E672&lt;&gt;"",H672&lt;&gt;"",OR(J672&lt;&gt;"",L672&lt;&gt;"")),"OK","ERRO: faltam "&amp;IF(B672="","Proprietário; ","")&amp;IF(C672="","Origem; ","")&amp;IF(D672="","CNPJ; ","")&amp;IF(E672="","Razão Social; ","")&amp;IF(H672="","Sobrenome; ","")&amp;IF(AND(J672="",L672=""),"telefone ou e-mail; ","")))</f>
      </c>
      <c r="V672" s="6">
        <f>IF(COUNTA(A672:O672)=0,"",IF(AND(Q672="OK",R672="OK",LEFT(S672,4)&lt;&gt;"ERRO",LEFT(T672,4)&lt;&gt;"ERRO",U672="OK"),"OK","REVISAR"))</f>
      </c>
    </row>
    <row r="673">
      <c r="A673" s="4"/>
      <c r="B673" s="5"/>
      <c r="C673" s="5"/>
      <c r="D673" s="5"/>
      <c r="E673" s="5"/>
      <c r="F673" s="4"/>
      <c r="G673" s="4"/>
      <c r="H673" s="5"/>
      <c r="I673" s="4"/>
      <c r="J673" s="4"/>
      <c r="K673" s="4"/>
      <c r="L673" s="4"/>
      <c r="M673" s="4"/>
      <c r="N673" s="4"/>
      <c r="O673" s="4"/>
      <c r="P673" s="6">
        <f>IF(D673="","",SUBSTITUTE(SUBSTITUTE(SUBSTITUTE(SUBSTITUTE(SUBSTITUTE(SUBSTITUTE(SUBSTITUTE(TRIM(D673),".",""),"/",""),"-","")," ",""),"(",""),")",""),"+",""))</f>
      </c>
      <c r="Q673" s="6">
        <f>IF(P673="","",IF(LEN(P673)&lt;&gt;14,"ERRO: "&amp;LEN(P673)&amp;" dígitos",IF(NOT(ISNUMBER(VALUE(P673))),"ERRO: não numérico",IF(LEN(SUBSTITUTE(P673,LEFT(P673,1),""))=0,"ERRO: dígitos repetidos",IF(AND(VALUE(MID(P673,13,1))=IF(MOD(SUMPRODUCT(--MID(P673,{1,2,3,4,5,6,7,8,9,10,11,12},1),{5,4,3,2,9,8,7,6,5,4,3,2}),11)&lt;2,0,11-MOD(SUMPRODUCT(--MID(P673,{1,2,3,4,5,6,7,8,9,10,11,12},1),{5,4,3,2,9,8,7,6,5,4,3,2}),11)),VALUE(MID(P673,14,1))=IF(MOD(SUMPRODUCT(--MID(P673,{1,2,3,4,5,6,7,8,9,10,11,12,13},1),{6,5,4,3,2,9,8,7,6,5,4,3,2}),11)&lt;2,0,11-MOD(SUMPRODUCT(--MID(P673,{1,2,3,4,5,6,7,8,9,10,11,12,13},1),{6,5,4,3,2,9,8,7,6,5,4,3,2}),11))),"OK","ERRO: dígito verificador")))))</f>
      </c>
      <c r="R673" s="6">
        <f>IF(P673="","",IF(COUNTIF($P$2:$P$1001,P673)&gt;1,"DUPLICADO","OK"))</f>
      </c>
      <c r="S673" s="6">
        <f>IF(AND(J673="",K673=""),"vazio",IF(AND(OR(J673="",LEN(SUBSTITUTE(SUBSTITUTE(SUBSTITUTE(SUBSTITUTE(SUBSTITUTE(SUBSTITUTE(SUBSTITUTE(TRIM(J673),".",""),"/",""),"-","")," ",""),"(",""),")",""),"+",""))=10,LEN(SUBSTITUTE(SUBSTITUTE(SUBSTITUTE(SUBSTITUTE(SUBSTITUTE(SUBSTITUTE(SUBSTITUTE(TRIM(J673),".",""),"/",""),"-","")," ",""),"(",""),")",""),"+",""))=11),OR(K673="",LEN(SUBSTITUTE(SUBSTITUTE(SUBSTITUTE(SUBSTITUTE(SUBSTITUTE(SUBSTITUTE(SUBSTITUTE(TRIM(K673),".",""),"/",""),"-","")," ",""),"(",""),")",""),"+",""))=10,LEN(SUBSTITUTE(SUBSTITUTE(SUBSTITUTE(SUBSTITUTE(SUBSTITUTE(SUBSTITUTE(SUBSTITUTE(TRIM(K673),".",""),"/",""),"-","")," ",""),"(",""),")",""),"+",""))=11)),"OK","ERRO: use DDD + número (10 ou 11 dígitos)"))</f>
      </c>
      <c r="T673" s="6">
        <f>IF(L673="","vazio",IF(AND(ISNUMBER(FIND("@",L673)),ISNUMBER(FIND(".",MID(L673,FIND("@",L673),99))),NOT(ISNUMBER(FIND(" ",TRIM(L673)))),NOT(ISNUMBER(FIND(";",L673))),NOT(ISNUMBER(FIND(",",L673)))),"OK","ERRO: um e-mail válido por linha"))</f>
      </c>
      <c r="U673" s="6">
        <f>IF(COUNTA(A673:O673)=0,"",IF(AND(B673&lt;&gt;"",C673&lt;&gt;"",D673&lt;&gt;"",E673&lt;&gt;"",H673&lt;&gt;"",OR(J673&lt;&gt;"",L673&lt;&gt;"")),"OK","ERRO: faltam "&amp;IF(B673="","Proprietário; ","")&amp;IF(C673="","Origem; ","")&amp;IF(D673="","CNPJ; ","")&amp;IF(E673="","Razão Social; ","")&amp;IF(H673="","Sobrenome; ","")&amp;IF(AND(J673="",L673=""),"telefone ou e-mail; ","")))</f>
      </c>
      <c r="V673" s="6">
        <f>IF(COUNTA(A673:O673)=0,"",IF(AND(Q673="OK",R673="OK",LEFT(S673,4)&lt;&gt;"ERRO",LEFT(T673,4)&lt;&gt;"ERRO",U673="OK"),"OK","REVISAR"))</f>
      </c>
    </row>
    <row r="674">
      <c r="A674" s="4"/>
      <c r="B674" s="5"/>
      <c r="C674" s="5"/>
      <c r="D674" s="5"/>
      <c r="E674" s="5"/>
      <c r="F674" s="4"/>
      <c r="G674" s="4"/>
      <c r="H674" s="5"/>
      <c r="I674" s="4"/>
      <c r="J674" s="4"/>
      <c r="K674" s="4"/>
      <c r="L674" s="4"/>
      <c r="M674" s="4"/>
      <c r="N674" s="4"/>
      <c r="O674" s="4"/>
      <c r="P674" s="6">
        <f>IF(D674="","",SUBSTITUTE(SUBSTITUTE(SUBSTITUTE(SUBSTITUTE(SUBSTITUTE(SUBSTITUTE(SUBSTITUTE(TRIM(D674),".",""),"/",""),"-","")," ",""),"(",""),")",""),"+",""))</f>
      </c>
      <c r="Q674" s="6">
        <f>IF(P674="","",IF(LEN(P674)&lt;&gt;14,"ERRO: "&amp;LEN(P674)&amp;" dígitos",IF(NOT(ISNUMBER(VALUE(P674))),"ERRO: não numérico",IF(LEN(SUBSTITUTE(P674,LEFT(P674,1),""))=0,"ERRO: dígitos repetidos",IF(AND(VALUE(MID(P674,13,1))=IF(MOD(SUMPRODUCT(--MID(P674,{1,2,3,4,5,6,7,8,9,10,11,12},1),{5,4,3,2,9,8,7,6,5,4,3,2}),11)&lt;2,0,11-MOD(SUMPRODUCT(--MID(P674,{1,2,3,4,5,6,7,8,9,10,11,12},1),{5,4,3,2,9,8,7,6,5,4,3,2}),11)),VALUE(MID(P674,14,1))=IF(MOD(SUMPRODUCT(--MID(P674,{1,2,3,4,5,6,7,8,9,10,11,12,13},1),{6,5,4,3,2,9,8,7,6,5,4,3,2}),11)&lt;2,0,11-MOD(SUMPRODUCT(--MID(P674,{1,2,3,4,5,6,7,8,9,10,11,12,13},1),{6,5,4,3,2,9,8,7,6,5,4,3,2}),11))),"OK","ERRO: dígito verificador")))))</f>
      </c>
      <c r="R674" s="6">
        <f>IF(P674="","",IF(COUNTIF($P$2:$P$1001,P674)&gt;1,"DUPLICADO","OK"))</f>
      </c>
      <c r="S674" s="6">
        <f>IF(AND(J674="",K674=""),"vazio",IF(AND(OR(J674="",LEN(SUBSTITUTE(SUBSTITUTE(SUBSTITUTE(SUBSTITUTE(SUBSTITUTE(SUBSTITUTE(SUBSTITUTE(TRIM(J674),".",""),"/",""),"-","")," ",""),"(",""),")",""),"+",""))=10,LEN(SUBSTITUTE(SUBSTITUTE(SUBSTITUTE(SUBSTITUTE(SUBSTITUTE(SUBSTITUTE(SUBSTITUTE(TRIM(J674),".",""),"/",""),"-","")," ",""),"(",""),")",""),"+",""))=11),OR(K674="",LEN(SUBSTITUTE(SUBSTITUTE(SUBSTITUTE(SUBSTITUTE(SUBSTITUTE(SUBSTITUTE(SUBSTITUTE(TRIM(K674),".",""),"/",""),"-","")," ",""),"(",""),")",""),"+",""))=10,LEN(SUBSTITUTE(SUBSTITUTE(SUBSTITUTE(SUBSTITUTE(SUBSTITUTE(SUBSTITUTE(SUBSTITUTE(TRIM(K674),".",""),"/",""),"-","")," ",""),"(",""),")",""),"+",""))=11)),"OK","ERRO: use DDD + número (10 ou 11 dígitos)"))</f>
      </c>
      <c r="T674" s="6">
        <f>IF(L674="","vazio",IF(AND(ISNUMBER(FIND("@",L674)),ISNUMBER(FIND(".",MID(L674,FIND("@",L674),99))),NOT(ISNUMBER(FIND(" ",TRIM(L674)))),NOT(ISNUMBER(FIND(";",L674))),NOT(ISNUMBER(FIND(",",L674)))),"OK","ERRO: um e-mail válido por linha"))</f>
      </c>
      <c r="U674" s="6">
        <f>IF(COUNTA(A674:O674)=0,"",IF(AND(B674&lt;&gt;"",C674&lt;&gt;"",D674&lt;&gt;"",E674&lt;&gt;"",H674&lt;&gt;"",OR(J674&lt;&gt;"",L674&lt;&gt;"")),"OK","ERRO: faltam "&amp;IF(B674="","Proprietário; ","")&amp;IF(C674="","Origem; ","")&amp;IF(D674="","CNPJ; ","")&amp;IF(E674="","Razão Social; ","")&amp;IF(H674="","Sobrenome; ","")&amp;IF(AND(J674="",L674=""),"telefone ou e-mail; ","")))</f>
      </c>
      <c r="V674" s="6">
        <f>IF(COUNTA(A674:O674)=0,"",IF(AND(Q674="OK",R674="OK",LEFT(S674,4)&lt;&gt;"ERRO",LEFT(T674,4)&lt;&gt;"ERRO",U674="OK"),"OK","REVISAR"))</f>
      </c>
    </row>
    <row r="675">
      <c r="A675" s="4"/>
      <c r="B675" s="5"/>
      <c r="C675" s="5"/>
      <c r="D675" s="5"/>
      <c r="E675" s="5"/>
      <c r="F675" s="4"/>
      <c r="G675" s="4"/>
      <c r="H675" s="5"/>
      <c r="I675" s="4"/>
      <c r="J675" s="4"/>
      <c r="K675" s="4"/>
      <c r="L675" s="4"/>
      <c r="M675" s="4"/>
      <c r="N675" s="4"/>
      <c r="O675" s="4"/>
      <c r="P675" s="6">
        <f>IF(D675="","",SUBSTITUTE(SUBSTITUTE(SUBSTITUTE(SUBSTITUTE(SUBSTITUTE(SUBSTITUTE(SUBSTITUTE(TRIM(D675),".",""),"/",""),"-","")," ",""),"(",""),")",""),"+",""))</f>
      </c>
      <c r="Q675" s="6">
        <f>IF(P675="","",IF(LEN(P675)&lt;&gt;14,"ERRO: "&amp;LEN(P675)&amp;" dígitos",IF(NOT(ISNUMBER(VALUE(P675))),"ERRO: não numérico",IF(LEN(SUBSTITUTE(P675,LEFT(P675,1),""))=0,"ERRO: dígitos repetidos",IF(AND(VALUE(MID(P675,13,1))=IF(MOD(SUMPRODUCT(--MID(P675,{1,2,3,4,5,6,7,8,9,10,11,12},1),{5,4,3,2,9,8,7,6,5,4,3,2}),11)&lt;2,0,11-MOD(SUMPRODUCT(--MID(P675,{1,2,3,4,5,6,7,8,9,10,11,12},1),{5,4,3,2,9,8,7,6,5,4,3,2}),11)),VALUE(MID(P675,14,1))=IF(MOD(SUMPRODUCT(--MID(P675,{1,2,3,4,5,6,7,8,9,10,11,12,13},1),{6,5,4,3,2,9,8,7,6,5,4,3,2}),11)&lt;2,0,11-MOD(SUMPRODUCT(--MID(P675,{1,2,3,4,5,6,7,8,9,10,11,12,13},1),{6,5,4,3,2,9,8,7,6,5,4,3,2}),11))),"OK","ERRO: dígito verificador")))))</f>
      </c>
      <c r="R675" s="6">
        <f>IF(P675="","",IF(COUNTIF($P$2:$P$1001,P675)&gt;1,"DUPLICADO","OK"))</f>
      </c>
      <c r="S675" s="6">
        <f>IF(AND(J675="",K675=""),"vazio",IF(AND(OR(J675="",LEN(SUBSTITUTE(SUBSTITUTE(SUBSTITUTE(SUBSTITUTE(SUBSTITUTE(SUBSTITUTE(SUBSTITUTE(TRIM(J675),".",""),"/",""),"-","")," ",""),"(",""),")",""),"+",""))=10,LEN(SUBSTITUTE(SUBSTITUTE(SUBSTITUTE(SUBSTITUTE(SUBSTITUTE(SUBSTITUTE(SUBSTITUTE(TRIM(J675),".",""),"/",""),"-","")," ",""),"(",""),")",""),"+",""))=11),OR(K675="",LEN(SUBSTITUTE(SUBSTITUTE(SUBSTITUTE(SUBSTITUTE(SUBSTITUTE(SUBSTITUTE(SUBSTITUTE(TRIM(K675),".",""),"/",""),"-","")," ",""),"(",""),")",""),"+",""))=10,LEN(SUBSTITUTE(SUBSTITUTE(SUBSTITUTE(SUBSTITUTE(SUBSTITUTE(SUBSTITUTE(SUBSTITUTE(TRIM(K675),".",""),"/",""),"-","")," ",""),"(",""),")",""),"+",""))=11)),"OK","ERRO: use DDD + número (10 ou 11 dígitos)"))</f>
      </c>
      <c r="T675" s="6">
        <f>IF(L675="","vazio",IF(AND(ISNUMBER(FIND("@",L675)),ISNUMBER(FIND(".",MID(L675,FIND("@",L675),99))),NOT(ISNUMBER(FIND(" ",TRIM(L675)))),NOT(ISNUMBER(FIND(";",L675))),NOT(ISNUMBER(FIND(",",L675)))),"OK","ERRO: um e-mail válido por linha"))</f>
      </c>
      <c r="U675" s="6">
        <f>IF(COUNTA(A675:O675)=0,"",IF(AND(B675&lt;&gt;"",C675&lt;&gt;"",D675&lt;&gt;"",E675&lt;&gt;"",H675&lt;&gt;"",OR(J675&lt;&gt;"",L675&lt;&gt;"")),"OK","ERRO: faltam "&amp;IF(B675="","Proprietário; ","")&amp;IF(C675="","Origem; ","")&amp;IF(D675="","CNPJ; ","")&amp;IF(E675="","Razão Social; ","")&amp;IF(H675="","Sobrenome; ","")&amp;IF(AND(J675="",L675=""),"telefone ou e-mail; ","")))</f>
      </c>
      <c r="V675" s="6">
        <f>IF(COUNTA(A675:O675)=0,"",IF(AND(Q675="OK",R675="OK",LEFT(S675,4)&lt;&gt;"ERRO",LEFT(T675,4)&lt;&gt;"ERRO",U675="OK"),"OK","REVISAR"))</f>
      </c>
    </row>
    <row r="676">
      <c r="A676" s="4"/>
      <c r="B676" s="5"/>
      <c r="C676" s="5"/>
      <c r="D676" s="5"/>
      <c r="E676" s="5"/>
      <c r="F676" s="4"/>
      <c r="G676" s="4"/>
      <c r="H676" s="5"/>
      <c r="I676" s="4"/>
      <c r="J676" s="4"/>
      <c r="K676" s="4"/>
      <c r="L676" s="4"/>
      <c r="M676" s="4"/>
      <c r="N676" s="4"/>
      <c r="O676" s="4"/>
      <c r="P676" s="6">
        <f>IF(D676="","",SUBSTITUTE(SUBSTITUTE(SUBSTITUTE(SUBSTITUTE(SUBSTITUTE(SUBSTITUTE(SUBSTITUTE(TRIM(D676),".",""),"/",""),"-","")," ",""),"(",""),")",""),"+",""))</f>
      </c>
      <c r="Q676" s="6">
        <f>IF(P676="","",IF(LEN(P676)&lt;&gt;14,"ERRO: "&amp;LEN(P676)&amp;" dígitos",IF(NOT(ISNUMBER(VALUE(P676))),"ERRO: não numérico",IF(LEN(SUBSTITUTE(P676,LEFT(P676,1),""))=0,"ERRO: dígitos repetidos",IF(AND(VALUE(MID(P676,13,1))=IF(MOD(SUMPRODUCT(--MID(P676,{1,2,3,4,5,6,7,8,9,10,11,12},1),{5,4,3,2,9,8,7,6,5,4,3,2}),11)&lt;2,0,11-MOD(SUMPRODUCT(--MID(P676,{1,2,3,4,5,6,7,8,9,10,11,12},1),{5,4,3,2,9,8,7,6,5,4,3,2}),11)),VALUE(MID(P676,14,1))=IF(MOD(SUMPRODUCT(--MID(P676,{1,2,3,4,5,6,7,8,9,10,11,12,13},1),{6,5,4,3,2,9,8,7,6,5,4,3,2}),11)&lt;2,0,11-MOD(SUMPRODUCT(--MID(P676,{1,2,3,4,5,6,7,8,9,10,11,12,13},1),{6,5,4,3,2,9,8,7,6,5,4,3,2}),11))),"OK","ERRO: dígito verificador")))))</f>
      </c>
      <c r="R676" s="6">
        <f>IF(P676="","",IF(COUNTIF($P$2:$P$1001,P676)&gt;1,"DUPLICADO","OK"))</f>
      </c>
      <c r="S676" s="6">
        <f>IF(AND(J676="",K676=""),"vazio",IF(AND(OR(J676="",LEN(SUBSTITUTE(SUBSTITUTE(SUBSTITUTE(SUBSTITUTE(SUBSTITUTE(SUBSTITUTE(SUBSTITUTE(TRIM(J676),".",""),"/",""),"-","")," ",""),"(",""),")",""),"+",""))=10,LEN(SUBSTITUTE(SUBSTITUTE(SUBSTITUTE(SUBSTITUTE(SUBSTITUTE(SUBSTITUTE(SUBSTITUTE(TRIM(J676),".",""),"/",""),"-","")," ",""),"(",""),")",""),"+",""))=11),OR(K676="",LEN(SUBSTITUTE(SUBSTITUTE(SUBSTITUTE(SUBSTITUTE(SUBSTITUTE(SUBSTITUTE(SUBSTITUTE(TRIM(K676),".",""),"/",""),"-","")," ",""),"(",""),")",""),"+",""))=10,LEN(SUBSTITUTE(SUBSTITUTE(SUBSTITUTE(SUBSTITUTE(SUBSTITUTE(SUBSTITUTE(SUBSTITUTE(TRIM(K676),".",""),"/",""),"-","")," ",""),"(",""),")",""),"+",""))=11)),"OK","ERRO: use DDD + número (10 ou 11 dígitos)"))</f>
      </c>
      <c r="T676" s="6">
        <f>IF(L676="","vazio",IF(AND(ISNUMBER(FIND("@",L676)),ISNUMBER(FIND(".",MID(L676,FIND("@",L676),99))),NOT(ISNUMBER(FIND(" ",TRIM(L676)))),NOT(ISNUMBER(FIND(";",L676))),NOT(ISNUMBER(FIND(",",L676)))),"OK","ERRO: um e-mail válido por linha"))</f>
      </c>
      <c r="U676" s="6">
        <f>IF(COUNTA(A676:O676)=0,"",IF(AND(B676&lt;&gt;"",C676&lt;&gt;"",D676&lt;&gt;"",E676&lt;&gt;"",H676&lt;&gt;"",OR(J676&lt;&gt;"",L676&lt;&gt;"")),"OK","ERRO: faltam "&amp;IF(B676="","Proprietário; ","")&amp;IF(C676="","Origem; ","")&amp;IF(D676="","CNPJ; ","")&amp;IF(E676="","Razão Social; ","")&amp;IF(H676="","Sobrenome; ","")&amp;IF(AND(J676="",L676=""),"telefone ou e-mail; ","")))</f>
      </c>
      <c r="V676" s="6">
        <f>IF(COUNTA(A676:O676)=0,"",IF(AND(Q676="OK",R676="OK",LEFT(S676,4)&lt;&gt;"ERRO",LEFT(T676,4)&lt;&gt;"ERRO",U676="OK"),"OK","REVISAR"))</f>
      </c>
    </row>
    <row r="677">
      <c r="A677" s="4"/>
      <c r="B677" s="5"/>
      <c r="C677" s="5"/>
      <c r="D677" s="5"/>
      <c r="E677" s="5"/>
      <c r="F677" s="4"/>
      <c r="G677" s="4"/>
      <c r="H677" s="5"/>
      <c r="I677" s="4"/>
      <c r="J677" s="4"/>
      <c r="K677" s="4"/>
      <c r="L677" s="4"/>
      <c r="M677" s="4"/>
      <c r="N677" s="4"/>
      <c r="O677" s="4"/>
      <c r="P677" s="6">
        <f>IF(D677="","",SUBSTITUTE(SUBSTITUTE(SUBSTITUTE(SUBSTITUTE(SUBSTITUTE(SUBSTITUTE(SUBSTITUTE(TRIM(D677),".",""),"/",""),"-","")," ",""),"(",""),")",""),"+",""))</f>
      </c>
      <c r="Q677" s="6">
        <f>IF(P677="","",IF(LEN(P677)&lt;&gt;14,"ERRO: "&amp;LEN(P677)&amp;" dígitos",IF(NOT(ISNUMBER(VALUE(P677))),"ERRO: não numérico",IF(LEN(SUBSTITUTE(P677,LEFT(P677,1),""))=0,"ERRO: dígitos repetidos",IF(AND(VALUE(MID(P677,13,1))=IF(MOD(SUMPRODUCT(--MID(P677,{1,2,3,4,5,6,7,8,9,10,11,12},1),{5,4,3,2,9,8,7,6,5,4,3,2}),11)&lt;2,0,11-MOD(SUMPRODUCT(--MID(P677,{1,2,3,4,5,6,7,8,9,10,11,12},1),{5,4,3,2,9,8,7,6,5,4,3,2}),11)),VALUE(MID(P677,14,1))=IF(MOD(SUMPRODUCT(--MID(P677,{1,2,3,4,5,6,7,8,9,10,11,12,13},1),{6,5,4,3,2,9,8,7,6,5,4,3,2}),11)&lt;2,0,11-MOD(SUMPRODUCT(--MID(P677,{1,2,3,4,5,6,7,8,9,10,11,12,13},1),{6,5,4,3,2,9,8,7,6,5,4,3,2}),11))),"OK","ERRO: dígito verificador")))))</f>
      </c>
      <c r="R677" s="6">
        <f>IF(P677="","",IF(COUNTIF($P$2:$P$1001,P677)&gt;1,"DUPLICADO","OK"))</f>
      </c>
      <c r="S677" s="6">
        <f>IF(AND(J677="",K677=""),"vazio",IF(AND(OR(J677="",LEN(SUBSTITUTE(SUBSTITUTE(SUBSTITUTE(SUBSTITUTE(SUBSTITUTE(SUBSTITUTE(SUBSTITUTE(TRIM(J677),".",""),"/",""),"-","")," ",""),"(",""),")",""),"+",""))=10,LEN(SUBSTITUTE(SUBSTITUTE(SUBSTITUTE(SUBSTITUTE(SUBSTITUTE(SUBSTITUTE(SUBSTITUTE(TRIM(J677),".",""),"/",""),"-","")," ",""),"(",""),")",""),"+",""))=11),OR(K677="",LEN(SUBSTITUTE(SUBSTITUTE(SUBSTITUTE(SUBSTITUTE(SUBSTITUTE(SUBSTITUTE(SUBSTITUTE(TRIM(K677),".",""),"/",""),"-","")," ",""),"(",""),")",""),"+",""))=10,LEN(SUBSTITUTE(SUBSTITUTE(SUBSTITUTE(SUBSTITUTE(SUBSTITUTE(SUBSTITUTE(SUBSTITUTE(TRIM(K677),".",""),"/",""),"-","")," ",""),"(",""),")",""),"+",""))=11)),"OK","ERRO: use DDD + número (10 ou 11 dígitos)"))</f>
      </c>
      <c r="T677" s="6">
        <f>IF(L677="","vazio",IF(AND(ISNUMBER(FIND("@",L677)),ISNUMBER(FIND(".",MID(L677,FIND("@",L677),99))),NOT(ISNUMBER(FIND(" ",TRIM(L677)))),NOT(ISNUMBER(FIND(";",L677))),NOT(ISNUMBER(FIND(",",L677)))),"OK","ERRO: um e-mail válido por linha"))</f>
      </c>
      <c r="U677" s="6">
        <f>IF(COUNTA(A677:O677)=0,"",IF(AND(B677&lt;&gt;"",C677&lt;&gt;"",D677&lt;&gt;"",E677&lt;&gt;"",H677&lt;&gt;"",OR(J677&lt;&gt;"",L677&lt;&gt;"")),"OK","ERRO: faltam "&amp;IF(B677="","Proprietário; ","")&amp;IF(C677="","Origem; ","")&amp;IF(D677="","CNPJ; ","")&amp;IF(E677="","Razão Social; ","")&amp;IF(H677="","Sobrenome; ","")&amp;IF(AND(J677="",L677=""),"telefone ou e-mail; ","")))</f>
      </c>
      <c r="V677" s="6">
        <f>IF(COUNTA(A677:O677)=0,"",IF(AND(Q677="OK",R677="OK",LEFT(S677,4)&lt;&gt;"ERRO",LEFT(T677,4)&lt;&gt;"ERRO",U677="OK"),"OK","REVISAR"))</f>
      </c>
    </row>
    <row r="678">
      <c r="A678" s="4"/>
      <c r="B678" s="5"/>
      <c r="C678" s="5"/>
      <c r="D678" s="5"/>
      <c r="E678" s="5"/>
      <c r="F678" s="4"/>
      <c r="G678" s="4"/>
      <c r="H678" s="5"/>
      <c r="I678" s="4"/>
      <c r="J678" s="4"/>
      <c r="K678" s="4"/>
      <c r="L678" s="4"/>
      <c r="M678" s="4"/>
      <c r="N678" s="4"/>
      <c r="O678" s="4"/>
      <c r="P678" s="6">
        <f>IF(D678="","",SUBSTITUTE(SUBSTITUTE(SUBSTITUTE(SUBSTITUTE(SUBSTITUTE(SUBSTITUTE(SUBSTITUTE(TRIM(D678),".",""),"/",""),"-","")," ",""),"(",""),")",""),"+",""))</f>
      </c>
      <c r="Q678" s="6">
        <f>IF(P678="","",IF(LEN(P678)&lt;&gt;14,"ERRO: "&amp;LEN(P678)&amp;" dígitos",IF(NOT(ISNUMBER(VALUE(P678))),"ERRO: não numérico",IF(LEN(SUBSTITUTE(P678,LEFT(P678,1),""))=0,"ERRO: dígitos repetidos",IF(AND(VALUE(MID(P678,13,1))=IF(MOD(SUMPRODUCT(--MID(P678,{1,2,3,4,5,6,7,8,9,10,11,12},1),{5,4,3,2,9,8,7,6,5,4,3,2}),11)&lt;2,0,11-MOD(SUMPRODUCT(--MID(P678,{1,2,3,4,5,6,7,8,9,10,11,12},1),{5,4,3,2,9,8,7,6,5,4,3,2}),11)),VALUE(MID(P678,14,1))=IF(MOD(SUMPRODUCT(--MID(P678,{1,2,3,4,5,6,7,8,9,10,11,12,13},1),{6,5,4,3,2,9,8,7,6,5,4,3,2}),11)&lt;2,0,11-MOD(SUMPRODUCT(--MID(P678,{1,2,3,4,5,6,7,8,9,10,11,12,13},1),{6,5,4,3,2,9,8,7,6,5,4,3,2}),11))),"OK","ERRO: dígito verificador")))))</f>
      </c>
      <c r="R678" s="6">
        <f>IF(P678="","",IF(COUNTIF($P$2:$P$1001,P678)&gt;1,"DUPLICADO","OK"))</f>
      </c>
      <c r="S678" s="6">
        <f>IF(AND(J678="",K678=""),"vazio",IF(AND(OR(J678="",LEN(SUBSTITUTE(SUBSTITUTE(SUBSTITUTE(SUBSTITUTE(SUBSTITUTE(SUBSTITUTE(SUBSTITUTE(TRIM(J678),".",""),"/",""),"-","")," ",""),"(",""),")",""),"+",""))=10,LEN(SUBSTITUTE(SUBSTITUTE(SUBSTITUTE(SUBSTITUTE(SUBSTITUTE(SUBSTITUTE(SUBSTITUTE(TRIM(J678),".",""),"/",""),"-","")," ",""),"(",""),")",""),"+",""))=11),OR(K678="",LEN(SUBSTITUTE(SUBSTITUTE(SUBSTITUTE(SUBSTITUTE(SUBSTITUTE(SUBSTITUTE(SUBSTITUTE(TRIM(K678),".",""),"/",""),"-","")," ",""),"(",""),")",""),"+",""))=10,LEN(SUBSTITUTE(SUBSTITUTE(SUBSTITUTE(SUBSTITUTE(SUBSTITUTE(SUBSTITUTE(SUBSTITUTE(TRIM(K678),".",""),"/",""),"-","")," ",""),"(",""),")",""),"+",""))=11)),"OK","ERRO: use DDD + número (10 ou 11 dígitos)"))</f>
      </c>
      <c r="T678" s="6">
        <f>IF(L678="","vazio",IF(AND(ISNUMBER(FIND("@",L678)),ISNUMBER(FIND(".",MID(L678,FIND("@",L678),99))),NOT(ISNUMBER(FIND(" ",TRIM(L678)))),NOT(ISNUMBER(FIND(";",L678))),NOT(ISNUMBER(FIND(",",L678)))),"OK","ERRO: um e-mail válido por linha"))</f>
      </c>
      <c r="U678" s="6">
        <f>IF(COUNTA(A678:O678)=0,"",IF(AND(B678&lt;&gt;"",C678&lt;&gt;"",D678&lt;&gt;"",E678&lt;&gt;"",H678&lt;&gt;"",OR(J678&lt;&gt;"",L678&lt;&gt;"")),"OK","ERRO: faltam "&amp;IF(B678="","Proprietário; ","")&amp;IF(C678="","Origem; ","")&amp;IF(D678="","CNPJ; ","")&amp;IF(E678="","Razão Social; ","")&amp;IF(H678="","Sobrenome; ","")&amp;IF(AND(J678="",L678=""),"telefone ou e-mail; ","")))</f>
      </c>
      <c r="V678" s="6">
        <f>IF(COUNTA(A678:O678)=0,"",IF(AND(Q678="OK",R678="OK",LEFT(S678,4)&lt;&gt;"ERRO",LEFT(T678,4)&lt;&gt;"ERRO",U678="OK"),"OK","REVISAR"))</f>
      </c>
    </row>
    <row r="679">
      <c r="A679" s="4"/>
      <c r="B679" s="5"/>
      <c r="C679" s="5"/>
      <c r="D679" s="5"/>
      <c r="E679" s="5"/>
      <c r="F679" s="4"/>
      <c r="G679" s="4"/>
      <c r="H679" s="5"/>
      <c r="I679" s="4"/>
      <c r="J679" s="4"/>
      <c r="K679" s="4"/>
      <c r="L679" s="4"/>
      <c r="M679" s="4"/>
      <c r="N679" s="4"/>
      <c r="O679" s="4"/>
      <c r="P679" s="6">
        <f>IF(D679="","",SUBSTITUTE(SUBSTITUTE(SUBSTITUTE(SUBSTITUTE(SUBSTITUTE(SUBSTITUTE(SUBSTITUTE(TRIM(D679),".",""),"/",""),"-","")," ",""),"(",""),")",""),"+",""))</f>
      </c>
      <c r="Q679" s="6">
        <f>IF(P679="","",IF(LEN(P679)&lt;&gt;14,"ERRO: "&amp;LEN(P679)&amp;" dígitos",IF(NOT(ISNUMBER(VALUE(P679))),"ERRO: não numérico",IF(LEN(SUBSTITUTE(P679,LEFT(P679,1),""))=0,"ERRO: dígitos repetidos",IF(AND(VALUE(MID(P679,13,1))=IF(MOD(SUMPRODUCT(--MID(P679,{1,2,3,4,5,6,7,8,9,10,11,12},1),{5,4,3,2,9,8,7,6,5,4,3,2}),11)&lt;2,0,11-MOD(SUMPRODUCT(--MID(P679,{1,2,3,4,5,6,7,8,9,10,11,12},1),{5,4,3,2,9,8,7,6,5,4,3,2}),11)),VALUE(MID(P679,14,1))=IF(MOD(SUMPRODUCT(--MID(P679,{1,2,3,4,5,6,7,8,9,10,11,12,13},1),{6,5,4,3,2,9,8,7,6,5,4,3,2}),11)&lt;2,0,11-MOD(SUMPRODUCT(--MID(P679,{1,2,3,4,5,6,7,8,9,10,11,12,13},1),{6,5,4,3,2,9,8,7,6,5,4,3,2}),11))),"OK","ERRO: dígito verificador")))))</f>
      </c>
      <c r="R679" s="6">
        <f>IF(P679="","",IF(COUNTIF($P$2:$P$1001,P679)&gt;1,"DUPLICADO","OK"))</f>
      </c>
      <c r="S679" s="6">
        <f>IF(AND(J679="",K679=""),"vazio",IF(AND(OR(J679="",LEN(SUBSTITUTE(SUBSTITUTE(SUBSTITUTE(SUBSTITUTE(SUBSTITUTE(SUBSTITUTE(SUBSTITUTE(TRIM(J679),".",""),"/",""),"-","")," ",""),"(",""),")",""),"+",""))=10,LEN(SUBSTITUTE(SUBSTITUTE(SUBSTITUTE(SUBSTITUTE(SUBSTITUTE(SUBSTITUTE(SUBSTITUTE(TRIM(J679),".",""),"/",""),"-","")," ",""),"(",""),")",""),"+",""))=11),OR(K679="",LEN(SUBSTITUTE(SUBSTITUTE(SUBSTITUTE(SUBSTITUTE(SUBSTITUTE(SUBSTITUTE(SUBSTITUTE(TRIM(K679),".",""),"/",""),"-","")," ",""),"(",""),")",""),"+",""))=10,LEN(SUBSTITUTE(SUBSTITUTE(SUBSTITUTE(SUBSTITUTE(SUBSTITUTE(SUBSTITUTE(SUBSTITUTE(TRIM(K679),".",""),"/",""),"-","")," ",""),"(",""),")",""),"+",""))=11)),"OK","ERRO: use DDD + número (10 ou 11 dígitos)"))</f>
      </c>
      <c r="T679" s="6">
        <f>IF(L679="","vazio",IF(AND(ISNUMBER(FIND("@",L679)),ISNUMBER(FIND(".",MID(L679,FIND("@",L679),99))),NOT(ISNUMBER(FIND(" ",TRIM(L679)))),NOT(ISNUMBER(FIND(";",L679))),NOT(ISNUMBER(FIND(",",L679)))),"OK","ERRO: um e-mail válido por linha"))</f>
      </c>
      <c r="U679" s="6">
        <f>IF(COUNTA(A679:O679)=0,"",IF(AND(B679&lt;&gt;"",C679&lt;&gt;"",D679&lt;&gt;"",E679&lt;&gt;"",H679&lt;&gt;"",OR(J679&lt;&gt;"",L679&lt;&gt;"")),"OK","ERRO: faltam "&amp;IF(B679="","Proprietário; ","")&amp;IF(C679="","Origem; ","")&amp;IF(D679="","CNPJ; ","")&amp;IF(E679="","Razão Social; ","")&amp;IF(H679="","Sobrenome; ","")&amp;IF(AND(J679="",L679=""),"telefone ou e-mail; ","")))</f>
      </c>
      <c r="V679" s="6">
        <f>IF(COUNTA(A679:O679)=0,"",IF(AND(Q679="OK",R679="OK",LEFT(S679,4)&lt;&gt;"ERRO",LEFT(T679,4)&lt;&gt;"ERRO",U679="OK"),"OK","REVISAR"))</f>
      </c>
    </row>
    <row r="680">
      <c r="A680" s="4"/>
      <c r="B680" s="5"/>
      <c r="C680" s="5"/>
      <c r="D680" s="5"/>
      <c r="E680" s="5"/>
      <c r="F680" s="4"/>
      <c r="G680" s="4"/>
      <c r="H680" s="5"/>
      <c r="I680" s="4"/>
      <c r="J680" s="4"/>
      <c r="K680" s="4"/>
      <c r="L680" s="4"/>
      <c r="M680" s="4"/>
      <c r="N680" s="4"/>
      <c r="O680" s="4"/>
      <c r="P680" s="6">
        <f>IF(D680="","",SUBSTITUTE(SUBSTITUTE(SUBSTITUTE(SUBSTITUTE(SUBSTITUTE(SUBSTITUTE(SUBSTITUTE(TRIM(D680),".",""),"/",""),"-","")," ",""),"(",""),")",""),"+",""))</f>
      </c>
      <c r="Q680" s="6">
        <f>IF(P680="","",IF(LEN(P680)&lt;&gt;14,"ERRO: "&amp;LEN(P680)&amp;" dígitos",IF(NOT(ISNUMBER(VALUE(P680))),"ERRO: não numérico",IF(LEN(SUBSTITUTE(P680,LEFT(P680,1),""))=0,"ERRO: dígitos repetidos",IF(AND(VALUE(MID(P680,13,1))=IF(MOD(SUMPRODUCT(--MID(P680,{1,2,3,4,5,6,7,8,9,10,11,12},1),{5,4,3,2,9,8,7,6,5,4,3,2}),11)&lt;2,0,11-MOD(SUMPRODUCT(--MID(P680,{1,2,3,4,5,6,7,8,9,10,11,12},1),{5,4,3,2,9,8,7,6,5,4,3,2}),11)),VALUE(MID(P680,14,1))=IF(MOD(SUMPRODUCT(--MID(P680,{1,2,3,4,5,6,7,8,9,10,11,12,13},1),{6,5,4,3,2,9,8,7,6,5,4,3,2}),11)&lt;2,0,11-MOD(SUMPRODUCT(--MID(P680,{1,2,3,4,5,6,7,8,9,10,11,12,13},1),{6,5,4,3,2,9,8,7,6,5,4,3,2}),11))),"OK","ERRO: dígito verificador")))))</f>
      </c>
      <c r="R680" s="6">
        <f>IF(P680="","",IF(COUNTIF($P$2:$P$1001,P680)&gt;1,"DUPLICADO","OK"))</f>
      </c>
      <c r="S680" s="6">
        <f>IF(AND(J680="",K680=""),"vazio",IF(AND(OR(J680="",LEN(SUBSTITUTE(SUBSTITUTE(SUBSTITUTE(SUBSTITUTE(SUBSTITUTE(SUBSTITUTE(SUBSTITUTE(TRIM(J680),".",""),"/",""),"-","")," ",""),"(",""),")",""),"+",""))=10,LEN(SUBSTITUTE(SUBSTITUTE(SUBSTITUTE(SUBSTITUTE(SUBSTITUTE(SUBSTITUTE(SUBSTITUTE(TRIM(J680),".",""),"/",""),"-","")," ",""),"(",""),")",""),"+",""))=11),OR(K680="",LEN(SUBSTITUTE(SUBSTITUTE(SUBSTITUTE(SUBSTITUTE(SUBSTITUTE(SUBSTITUTE(SUBSTITUTE(TRIM(K680),".",""),"/",""),"-","")," ",""),"(",""),")",""),"+",""))=10,LEN(SUBSTITUTE(SUBSTITUTE(SUBSTITUTE(SUBSTITUTE(SUBSTITUTE(SUBSTITUTE(SUBSTITUTE(TRIM(K680),".",""),"/",""),"-","")," ",""),"(",""),")",""),"+",""))=11)),"OK","ERRO: use DDD + número (10 ou 11 dígitos)"))</f>
      </c>
      <c r="T680" s="6">
        <f>IF(L680="","vazio",IF(AND(ISNUMBER(FIND("@",L680)),ISNUMBER(FIND(".",MID(L680,FIND("@",L680),99))),NOT(ISNUMBER(FIND(" ",TRIM(L680)))),NOT(ISNUMBER(FIND(";",L680))),NOT(ISNUMBER(FIND(",",L680)))),"OK","ERRO: um e-mail válido por linha"))</f>
      </c>
      <c r="U680" s="6">
        <f>IF(COUNTA(A680:O680)=0,"",IF(AND(B680&lt;&gt;"",C680&lt;&gt;"",D680&lt;&gt;"",E680&lt;&gt;"",H680&lt;&gt;"",OR(J680&lt;&gt;"",L680&lt;&gt;"")),"OK","ERRO: faltam "&amp;IF(B680="","Proprietário; ","")&amp;IF(C680="","Origem; ","")&amp;IF(D680="","CNPJ; ","")&amp;IF(E680="","Razão Social; ","")&amp;IF(H680="","Sobrenome; ","")&amp;IF(AND(J680="",L680=""),"telefone ou e-mail; ","")))</f>
      </c>
      <c r="V680" s="6">
        <f>IF(COUNTA(A680:O680)=0,"",IF(AND(Q680="OK",R680="OK",LEFT(S680,4)&lt;&gt;"ERRO",LEFT(T680,4)&lt;&gt;"ERRO",U680="OK"),"OK","REVISAR"))</f>
      </c>
    </row>
    <row r="681">
      <c r="A681" s="4"/>
      <c r="B681" s="5"/>
      <c r="C681" s="5"/>
      <c r="D681" s="5"/>
      <c r="E681" s="5"/>
      <c r="F681" s="4"/>
      <c r="G681" s="4"/>
      <c r="H681" s="5"/>
      <c r="I681" s="4"/>
      <c r="J681" s="4"/>
      <c r="K681" s="4"/>
      <c r="L681" s="4"/>
      <c r="M681" s="4"/>
      <c r="N681" s="4"/>
      <c r="O681" s="4"/>
      <c r="P681" s="6">
        <f>IF(D681="","",SUBSTITUTE(SUBSTITUTE(SUBSTITUTE(SUBSTITUTE(SUBSTITUTE(SUBSTITUTE(SUBSTITUTE(TRIM(D681),".",""),"/",""),"-","")," ",""),"(",""),")",""),"+",""))</f>
      </c>
      <c r="Q681" s="6">
        <f>IF(P681="","",IF(LEN(P681)&lt;&gt;14,"ERRO: "&amp;LEN(P681)&amp;" dígitos",IF(NOT(ISNUMBER(VALUE(P681))),"ERRO: não numérico",IF(LEN(SUBSTITUTE(P681,LEFT(P681,1),""))=0,"ERRO: dígitos repetidos",IF(AND(VALUE(MID(P681,13,1))=IF(MOD(SUMPRODUCT(--MID(P681,{1,2,3,4,5,6,7,8,9,10,11,12},1),{5,4,3,2,9,8,7,6,5,4,3,2}),11)&lt;2,0,11-MOD(SUMPRODUCT(--MID(P681,{1,2,3,4,5,6,7,8,9,10,11,12},1),{5,4,3,2,9,8,7,6,5,4,3,2}),11)),VALUE(MID(P681,14,1))=IF(MOD(SUMPRODUCT(--MID(P681,{1,2,3,4,5,6,7,8,9,10,11,12,13},1),{6,5,4,3,2,9,8,7,6,5,4,3,2}),11)&lt;2,0,11-MOD(SUMPRODUCT(--MID(P681,{1,2,3,4,5,6,7,8,9,10,11,12,13},1),{6,5,4,3,2,9,8,7,6,5,4,3,2}),11))),"OK","ERRO: dígito verificador")))))</f>
      </c>
      <c r="R681" s="6">
        <f>IF(P681="","",IF(COUNTIF($P$2:$P$1001,P681)&gt;1,"DUPLICADO","OK"))</f>
      </c>
      <c r="S681" s="6">
        <f>IF(AND(J681="",K681=""),"vazio",IF(AND(OR(J681="",LEN(SUBSTITUTE(SUBSTITUTE(SUBSTITUTE(SUBSTITUTE(SUBSTITUTE(SUBSTITUTE(SUBSTITUTE(TRIM(J681),".",""),"/",""),"-","")," ",""),"(",""),")",""),"+",""))=10,LEN(SUBSTITUTE(SUBSTITUTE(SUBSTITUTE(SUBSTITUTE(SUBSTITUTE(SUBSTITUTE(SUBSTITUTE(TRIM(J681),".",""),"/",""),"-","")," ",""),"(",""),")",""),"+",""))=11),OR(K681="",LEN(SUBSTITUTE(SUBSTITUTE(SUBSTITUTE(SUBSTITUTE(SUBSTITUTE(SUBSTITUTE(SUBSTITUTE(TRIM(K681),".",""),"/",""),"-","")," ",""),"(",""),")",""),"+",""))=10,LEN(SUBSTITUTE(SUBSTITUTE(SUBSTITUTE(SUBSTITUTE(SUBSTITUTE(SUBSTITUTE(SUBSTITUTE(TRIM(K681),".",""),"/",""),"-","")," ",""),"(",""),")",""),"+",""))=11)),"OK","ERRO: use DDD + número (10 ou 11 dígitos)"))</f>
      </c>
      <c r="T681" s="6">
        <f>IF(L681="","vazio",IF(AND(ISNUMBER(FIND("@",L681)),ISNUMBER(FIND(".",MID(L681,FIND("@",L681),99))),NOT(ISNUMBER(FIND(" ",TRIM(L681)))),NOT(ISNUMBER(FIND(";",L681))),NOT(ISNUMBER(FIND(",",L681)))),"OK","ERRO: um e-mail válido por linha"))</f>
      </c>
      <c r="U681" s="6">
        <f>IF(COUNTA(A681:O681)=0,"",IF(AND(B681&lt;&gt;"",C681&lt;&gt;"",D681&lt;&gt;"",E681&lt;&gt;"",H681&lt;&gt;"",OR(J681&lt;&gt;"",L681&lt;&gt;"")),"OK","ERRO: faltam "&amp;IF(B681="","Proprietário; ","")&amp;IF(C681="","Origem; ","")&amp;IF(D681="","CNPJ; ","")&amp;IF(E681="","Razão Social; ","")&amp;IF(H681="","Sobrenome; ","")&amp;IF(AND(J681="",L681=""),"telefone ou e-mail; ","")))</f>
      </c>
      <c r="V681" s="6">
        <f>IF(COUNTA(A681:O681)=0,"",IF(AND(Q681="OK",R681="OK",LEFT(S681,4)&lt;&gt;"ERRO",LEFT(T681,4)&lt;&gt;"ERRO",U681="OK"),"OK","REVISAR"))</f>
      </c>
    </row>
    <row r="682">
      <c r="A682" s="4"/>
      <c r="B682" s="5"/>
      <c r="C682" s="5"/>
      <c r="D682" s="5"/>
      <c r="E682" s="5"/>
      <c r="F682" s="4"/>
      <c r="G682" s="4"/>
      <c r="H682" s="5"/>
      <c r="I682" s="4"/>
      <c r="J682" s="4"/>
      <c r="K682" s="4"/>
      <c r="L682" s="4"/>
      <c r="M682" s="4"/>
      <c r="N682" s="4"/>
      <c r="O682" s="4"/>
      <c r="P682" s="6">
        <f>IF(D682="","",SUBSTITUTE(SUBSTITUTE(SUBSTITUTE(SUBSTITUTE(SUBSTITUTE(SUBSTITUTE(SUBSTITUTE(TRIM(D682),".",""),"/",""),"-","")," ",""),"(",""),")",""),"+",""))</f>
      </c>
      <c r="Q682" s="6">
        <f>IF(P682="","",IF(LEN(P682)&lt;&gt;14,"ERRO: "&amp;LEN(P682)&amp;" dígitos",IF(NOT(ISNUMBER(VALUE(P682))),"ERRO: não numérico",IF(LEN(SUBSTITUTE(P682,LEFT(P682,1),""))=0,"ERRO: dígitos repetidos",IF(AND(VALUE(MID(P682,13,1))=IF(MOD(SUMPRODUCT(--MID(P682,{1,2,3,4,5,6,7,8,9,10,11,12},1),{5,4,3,2,9,8,7,6,5,4,3,2}),11)&lt;2,0,11-MOD(SUMPRODUCT(--MID(P682,{1,2,3,4,5,6,7,8,9,10,11,12},1),{5,4,3,2,9,8,7,6,5,4,3,2}),11)),VALUE(MID(P682,14,1))=IF(MOD(SUMPRODUCT(--MID(P682,{1,2,3,4,5,6,7,8,9,10,11,12,13},1),{6,5,4,3,2,9,8,7,6,5,4,3,2}),11)&lt;2,0,11-MOD(SUMPRODUCT(--MID(P682,{1,2,3,4,5,6,7,8,9,10,11,12,13},1),{6,5,4,3,2,9,8,7,6,5,4,3,2}),11))),"OK","ERRO: dígito verificador")))))</f>
      </c>
      <c r="R682" s="6">
        <f>IF(P682="","",IF(COUNTIF($P$2:$P$1001,P682)&gt;1,"DUPLICADO","OK"))</f>
      </c>
      <c r="S682" s="6">
        <f>IF(AND(J682="",K682=""),"vazio",IF(AND(OR(J682="",LEN(SUBSTITUTE(SUBSTITUTE(SUBSTITUTE(SUBSTITUTE(SUBSTITUTE(SUBSTITUTE(SUBSTITUTE(TRIM(J682),".",""),"/",""),"-","")," ",""),"(",""),")",""),"+",""))=10,LEN(SUBSTITUTE(SUBSTITUTE(SUBSTITUTE(SUBSTITUTE(SUBSTITUTE(SUBSTITUTE(SUBSTITUTE(TRIM(J682),".",""),"/",""),"-","")," ",""),"(",""),")",""),"+",""))=11),OR(K682="",LEN(SUBSTITUTE(SUBSTITUTE(SUBSTITUTE(SUBSTITUTE(SUBSTITUTE(SUBSTITUTE(SUBSTITUTE(TRIM(K682),".",""),"/",""),"-","")," ",""),"(",""),")",""),"+",""))=10,LEN(SUBSTITUTE(SUBSTITUTE(SUBSTITUTE(SUBSTITUTE(SUBSTITUTE(SUBSTITUTE(SUBSTITUTE(TRIM(K682),".",""),"/",""),"-","")," ",""),"(",""),")",""),"+",""))=11)),"OK","ERRO: use DDD + número (10 ou 11 dígitos)"))</f>
      </c>
      <c r="T682" s="6">
        <f>IF(L682="","vazio",IF(AND(ISNUMBER(FIND("@",L682)),ISNUMBER(FIND(".",MID(L682,FIND("@",L682),99))),NOT(ISNUMBER(FIND(" ",TRIM(L682)))),NOT(ISNUMBER(FIND(";",L682))),NOT(ISNUMBER(FIND(",",L682)))),"OK","ERRO: um e-mail válido por linha"))</f>
      </c>
      <c r="U682" s="6">
        <f>IF(COUNTA(A682:O682)=0,"",IF(AND(B682&lt;&gt;"",C682&lt;&gt;"",D682&lt;&gt;"",E682&lt;&gt;"",H682&lt;&gt;"",OR(J682&lt;&gt;"",L682&lt;&gt;"")),"OK","ERRO: faltam "&amp;IF(B682="","Proprietário; ","")&amp;IF(C682="","Origem; ","")&amp;IF(D682="","CNPJ; ","")&amp;IF(E682="","Razão Social; ","")&amp;IF(H682="","Sobrenome; ","")&amp;IF(AND(J682="",L682=""),"telefone ou e-mail; ","")))</f>
      </c>
      <c r="V682" s="6">
        <f>IF(COUNTA(A682:O682)=0,"",IF(AND(Q682="OK",R682="OK",LEFT(S682,4)&lt;&gt;"ERRO",LEFT(T682,4)&lt;&gt;"ERRO",U682="OK"),"OK","REVISAR"))</f>
      </c>
    </row>
    <row r="683">
      <c r="A683" s="4"/>
      <c r="B683" s="5"/>
      <c r="C683" s="5"/>
      <c r="D683" s="5"/>
      <c r="E683" s="5"/>
      <c r="F683" s="4"/>
      <c r="G683" s="4"/>
      <c r="H683" s="5"/>
      <c r="I683" s="4"/>
      <c r="J683" s="4"/>
      <c r="K683" s="4"/>
      <c r="L683" s="4"/>
      <c r="M683" s="4"/>
      <c r="N683" s="4"/>
      <c r="O683" s="4"/>
      <c r="P683" s="6">
        <f>IF(D683="","",SUBSTITUTE(SUBSTITUTE(SUBSTITUTE(SUBSTITUTE(SUBSTITUTE(SUBSTITUTE(SUBSTITUTE(TRIM(D683),".",""),"/",""),"-","")," ",""),"(",""),")",""),"+",""))</f>
      </c>
      <c r="Q683" s="6">
        <f>IF(P683="","",IF(LEN(P683)&lt;&gt;14,"ERRO: "&amp;LEN(P683)&amp;" dígitos",IF(NOT(ISNUMBER(VALUE(P683))),"ERRO: não numérico",IF(LEN(SUBSTITUTE(P683,LEFT(P683,1),""))=0,"ERRO: dígitos repetidos",IF(AND(VALUE(MID(P683,13,1))=IF(MOD(SUMPRODUCT(--MID(P683,{1,2,3,4,5,6,7,8,9,10,11,12},1),{5,4,3,2,9,8,7,6,5,4,3,2}),11)&lt;2,0,11-MOD(SUMPRODUCT(--MID(P683,{1,2,3,4,5,6,7,8,9,10,11,12},1),{5,4,3,2,9,8,7,6,5,4,3,2}),11)),VALUE(MID(P683,14,1))=IF(MOD(SUMPRODUCT(--MID(P683,{1,2,3,4,5,6,7,8,9,10,11,12,13},1),{6,5,4,3,2,9,8,7,6,5,4,3,2}),11)&lt;2,0,11-MOD(SUMPRODUCT(--MID(P683,{1,2,3,4,5,6,7,8,9,10,11,12,13},1),{6,5,4,3,2,9,8,7,6,5,4,3,2}),11))),"OK","ERRO: dígito verificador")))))</f>
      </c>
      <c r="R683" s="6">
        <f>IF(P683="","",IF(COUNTIF($P$2:$P$1001,P683)&gt;1,"DUPLICADO","OK"))</f>
      </c>
      <c r="S683" s="6">
        <f>IF(AND(J683="",K683=""),"vazio",IF(AND(OR(J683="",LEN(SUBSTITUTE(SUBSTITUTE(SUBSTITUTE(SUBSTITUTE(SUBSTITUTE(SUBSTITUTE(SUBSTITUTE(TRIM(J683),".",""),"/",""),"-","")," ",""),"(",""),")",""),"+",""))=10,LEN(SUBSTITUTE(SUBSTITUTE(SUBSTITUTE(SUBSTITUTE(SUBSTITUTE(SUBSTITUTE(SUBSTITUTE(TRIM(J683),".",""),"/",""),"-","")," ",""),"(",""),")",""),"+",""))=11),OR(K683="",LEN(SUBSTITUTE(SUBSTITUTE(SUBSTITUTE(SUBSTITUTE(SUBSTITUTE(SUBSTITUTE(SUBSTITUTE(TRIM(K683),".",""),"/",""),"-","")," ",""),"(",""),")",""),"+",""))=10,LEN(SUBSTITUTE(SUBSTITUTE(SUBSTITUTE(SUBSTITUTE(SUBSTITUTE(SUBSTITUTE(SUBSTITUTE(TRIM(K683),".",""),"/",""),"-","")," ",""),"(",""),")",""),"+",""))=11)),"OK","ERRO: use DDD + número (10 ou 11 dígitos)"))</f>
      </c>
      <c r="T683" s="6">
        <f>IF(L683="","vazio",IF(AND(ISNUMBER(FIND("@",L683)),ISNUMBER(FIND(".",MID(L683,FIND("@",L683),99))),NOT(ISNUMBER(FIND(" ",TRIM(L683)))),NOT(ISNUMBER(FIND(";",L683))),NOT(ISNUMBER(FIND(",",L683)))),"OK","ERRO: um e-mail válido por linha"))</f>
      </c>
      <c r="U683" s="6">
        <f>IF(COUNTA(A683:O683)=0,"",IF(AND(B683&lt;&gt;"",C683&lt;&gt;"",D683&lt;&gt;"",E683&lt;&gt;"",H683&lt;&gt;"",OR(J683&lt;&gt;"",L683&lt;&gt;"")),"OK","ERRO: faltam "&amp;IF(B683="","Proprietário; ","")&amp;IF(C683="","Origem; ","")&amp;IF(D683="","CNPJ; ","")&amp;IF(E683="","Razão Social; ","")&amp;IF(H683="","Sobrenome; ","")&amp;IF(AND(J683="",L683=""),"telefone ou e-mail; ","")))</f>
      </c>
      <c r="V683" s="6">
        <f>IF(COUNTA(A683:O683)=0,"",IF(AND(Q683="OK",R683="OK",LEFT(S683,4)&lt;&gt;"ERRO",LEFT(T683,4)&lt;&gt;"ERRO",U683="OK"),"OK","REVISAR"))</f>
      </c>
    </row>
    <row r="684">
      <c r="A684" s="4"/>
      <c r="B684" s="5"/>
      <c r="C684" s="5"/>
      <c r="D684" s="5"/>
      <c r="E684" s="5"/>
      <c r="F684" s="4"/>
      <c r="G684" s="4"/>
      <c r="H684" s="5"/>
      <c r="I684" s="4"/>
      <c r="J684" s="4"/>
      <c r="K684" s="4"/>
      <c r="L684" s="4"/>
      <c r="M684" s="4"/>
      <c r="N684" s="4"/>
      <c r="O684" s="4"/>
      <c r="P684" s="6">
        <f>IF(D684="","",SUBSTITUTE(SUBSTITUTE(SUBSTITUTE(SUBSTITUTE(SUBSTITUTE(SUBSTITUTE(SUBSTITUTE(TRIM(D684),".",""),"/",""),"-","")," ",""),"(",""),")",""),"+",""))</f>
      </c>
      <c r="Q684" s="6">
        <f>IF(P684="","",IF(LEN(P684)&lt;&gt;14,"ERRO: "&amp;LEN(P684)&amp;" dígitos",IF(NOT(ISNUMBER(VALUE(P684))),"ERRO: não numérico",IF(LEN(SUBSTITUTE(P684,LEFT(P684,1),""))=0,"ERRO: dígitos repetidos",IF(AND(VALUE(MID(P684,13,1))=IF(MOD(SUMPRODUCT(--MID(P684,{1,2,3,4,5,6,7,8,9,10,11,12},1),{5,4,3,2,9,8,7,6,5,4,3,2}),11)&lt;2,0,11-MOD(SUMPRODUCT(--MID(P684,{1,2,3,4,5,6,7,8,9,10,11,12},1),{5,4,3,2,9,8,7,6,5,4,3,2}),11)),VALUE(MID(P684,14,1))=IF(MOD(SUMPRODUCT(--MID(P684,{1,2,3,4,5,6,7,8,9,10,11,12,13},1),{6,5,4,3,2,9,8,7,6,5,4,3,2}),11)&lt;2,0,11-MOD(SUMPRODUCT(--MID(P684,{1,2,3,4,5,6,7,8,9,10,11,12,13},1),{6,5,4,3,2,9,8,7,6,5,4,3,2}),11))),"OK","ERRO: dígito verificador")))))</f>
      </c>
      <c r="R684" s="6">
        <f>IF(P684="","",IF(COUNTIF($P$2:$P$1001,P684)&gt;1,"DUPLICADO","OK"))</f>
      </c>
      <c r="S684" s="6">
        <f>IF(AND(J684="",K684=""),"vazio",IF(AND(OR(J684="",LEN(SUBSTITUTE(SUBSTITUTE(SUBSTITUTE(SUBSTITUTE(SUBSTITUTE(SUBSTITUTE(SUBSTITUTE(TRIM(J684),".",""),"/",""),"-","")," ",""),"(",""),")",""),"+",""))=10,LEN(SUBSTITUTE(SUBSTITUTE(SUBSTITUTE(SUBSTITUTE(SUBSTITUTE(SUBSTITUTE(SUBSTITUTE(TRIM(J684),".",""),"/",""),"-","")," ",""),"(",""),")",""),"+",""))=11),OR(K684="",LEN(SUBSTITUTE(SUBSTITUTE(SUBSTITUTE(SUBSTITUTE(SUBSTITUTE(SUBSTITUTE(SUBSTITUTE(TRIM(K684),".",""),"/",""),"-","")," ",""),"(",""),")",""),"+",""))=10,LEN(SUBSTITUTE(SUBSTITUTE(SUBSTITUTE(SUBSTITUTE(SUBSTITUTE(SUBSTITUTE(SUBSTITUTE(TRIM(K684),".",""),"/",""),"-","")," ",""),"(",""),")",""),"+",""))=11)),"OK","ERRO: use DDD + número (10 ou 11 dígitos)"))</f>
      </c>
      <c r="T684" s="6">
        <f>IF(L684="","vazio",IF(AND(ISNUMBER(FIND("@",L684)),ISNUMBER(FIND(".",MID(L684,FIND("@",L684),99))),NOT(ISNUMBER(FIND(" ",TRIM(L684)))),NOT(ISNUMBER(FIND(";",L684))),NOT(ISNUMBER(FIND(",",L684)))),"OK","ERRO: um e-mail válido por linha"))</f>
      </c>
      <c r="U684" s="6">
        <f>IF(COUNTA(A684:O684)=0,"",IF(AND(B684&lt;&gt;"",C684&lt;&gt;"",D684&lt;&gt;"",E684&lt;&gt;"",H684&lt;&gt;"",OR(J684&lt;&gt;"",L684&lt;&gt;"")),"OK","ERRO: faltam "&amp;IF(B684="","Proprietário; ","")&amp;IF(C684="","Origem; ","")&amp;IF(D684="","CNPJ; ","")&amp;IF(E684="","Razão Social; ","")&amp;IF(H684="","Sobrenome; ","")&amp;IF(AND(J684="",L684=""),"telefone ou e-mail; ","")))</f>
      </c>
      <c r="V684" s="6">
        <f>IF(COUNTA(A684:O684)=0,"",IF(AND(Q684="OK",R684="OK",LEFT(S684,4)&lt;&gt;"ERRO",LEFT(T684,4)&lt;&gt;"ERRO",U684="OK"),"OK","REVISAR"))</f>
      </c>
    </row>
    <row r="685">
      <c r="A685" s="4"/>
      <c r="B685" s="5"/>
      <c r="C685" s="5"/>
      <c r="D685" s="5"/>
      <c r="E685" s="5"/>
      <c r="F685" s="4"/>
      <c r="G685" s="4"/>
      <c r="H685" s="5"/>
      <c r="I685" s="4"/>
      <c r="J685" s="4"/>
      <c r="K685" s="4"/>
      <c r="L685" s="4"/>
      <c r="M685" s="4"/>
      <c r="N685" s="4"/>
      <c r="O685" s="4"/>
      <c r="P685" s="6">
        <f>IF(D685="","",SUBSTITUTE(SUBSTITUTE(SUBSTITUTE(SUBSTITUTE(SUBSTITUTE(SUBSTITUTE(SUBSTITUTE(TRIM(D685),".",""),"/",""),"-","")," ",""),"(",""),")",""),"+",""))</f>
      </c>
      <c r="Q685" s="6">
        <f>IF(P685="","",IF(LEN(P685)&lt;&gt;14,"ERRO: "&amp;LEN(P685)&amp;" dígitos",IF(NOT(ISNUMBER(VALUE(P685))),"ERRO: não numérico",IF(LEN(SUBSTITUTE(P685,LEFT(P685,1),""))=0,"ERRO: dígitos repetidos",IF(AND(VALUE(MID(P685,13,1))=IF(MOD(SUMPRODUCT(--MID(P685,{1,2,3,4,5,6,7,8,9,10,11,12},1),{5,4,3,2,9,8,7,6,5,4,3,2}),11)&lt;2,0,11-MOD(SUMPRODUCT(--MID(P685,{1,2,3,4,5,6,7,8,9,10,11,12},1),{5,4,3,2,9,8,7,6,5,4,3,2}),11)),VALUE(MID(P685,14,1))=IF(MOD(SUMPRODUCT(--MID(P685,{1,2,3,4,5,6,7,8,9,10,11,12,13},1),{6,5,4,3,2,9,8,7,6,5,4,3,2}),11)&lt;2,0,11-MOD(SUMPRODUCT(--MID(P685,{1,2,3,4,5,6,7,8,9,10,11,12,13},1),{6,5,4,3,2,9,8,7,6,5,4,3,2}),11))),"OK","ERRO: dígito verificador")))))</f>
      </c>
      <c r="R685" s="6">
        <f>IF(P685="","",IF(COUNTIF($P$2:$P$1001,P685)&gt;1,"DUPLICADO","OK"))</f>
      </c>
      <c r="S685" s="6">
        <f>IF(AND(J685="",K685=""),"vazio",IF(AND(OR(J685="",LEN(SUBSTITUTE(SUBSTITUTE(SUBSTITUTE(SUBSTITUTE(SUBSTITUTE(SUBSTITUTE(SUBSTITUTE(TRIM(J685),".",""),"/",""),"-","")," ",""),"(",""),")",""),"+",""))=10,LEN(SUBSTITUTE(SUBSTITUTE(SUBSTITUTE(SUBSTITUTE(SUBSTITUTE(SUBSTITUTE(SUBSTITUTE(TRIM(J685),".",""),"/",""),"-","")," ",""),"(",""),")",""),"+",""))=11),OR(K685="",LEN(SUBSTITUTE(SUBSTITUTE(SUBSTITUTE(SUBSTITUTE(SUBSTITUTE(SUBSTITUTE(SUBSTITUTE(TRIM(K685),".",""),"/",""),"-","")," ",""),"(",""),")",""),"+",""))=10,LEN(SUBSTITUTE(SUBSTITUTE(SUBSTITUTE(SUBSTITUTE(SUBSTITUTE(SUBSTITUTE(SUBSTITUTE(TRIM(K685),".",""),"/",""),"-","")," ",""),"(",""),")",""),"+",""))=11)),"OK","ERRO: use DDD + número (10 ou 11 dígitos)"))</f>
      </c>
      <c r="T685" s="6">
        <f>IF(L685="","vazio",IF(AND(ISNUMBER(FIND("@",L685)),ISNUMBER(FIND(".",MID(L685,FIND("@",L685),99))),NOT(ISNUMBER(FIND(" ",TRIM(L685)))),NOT(ISNUMBER(FIND(";",L685))),NOT(ISNUMBER(FIND(",",L685)))),"OK","ERRO: um e-mail válido por linha"))</f>
      </c>
      <c r="U685" s="6">
        <f>IF(COUNTA(A685:O685)=0,"",IF(AND(B685&lt;&gt;"",C685&lt;&gt;"",D685&lt;&gt;"",E685&lt;&gt;"",H685&lt;&gt;"",OR(J685&lt;&gt;"",L685&lt;&gt;"")),"OK","ERRO: faltam "&amp;IF(B685="","Proprietário; ","")&amp;IF(C685="","Origem; ","")&amp;IF(D685="","CNPJ; ","")&amp;IF(E685="","Razão Social; ","")&amp;IF(H685="","Sobrenome; ","")&amp;IF(AND(J685="",L685=""),"telefone ou e-mail; ","")))</f>
      </c>
      <c r="V685" s="6">
        <f>IF(COUNTA(A685:O685)=0,"",IF(AND(Q685="OK",R685="OK",LEFT(S685,4)&lt;&gt;"ERRO",LEFT(T685,4)&lt;&gt;"ERRO",U685="OK"),"OK","REVISAR"))</f>
      </c>
    </row>
    <row r="686">
      <c r="A686" s="4"/>
      <c r="B686" s="5"/>
      <c r="C686" s="5"/>
      <c r="D686" s="5"/>
      <c r="E686" s="5"/>
      <c r="F686" s="4"/>
      <c r="G686" s="4"/>
      <c r="H686" s="5"/>
      <c r="I686" s="4"/>
      <c r="J686" s="4"/>
      <c r="K686" s="4"/>
      <c r="L686" s="4"/>
      <c r="M686" s="4"/>
      <c r="N686" s="4"/>
      <c r="O686" s="4"/>
      <c r="P686" s="6">
        <f>IF(D686="","",SUBSTITUTE(SUBSTITUTE(SUBSTITUTE(SUBSTITUTE(SUBSTITUTE(SUBSTITUTE(SUBSTITUTE(TRIM(D686),".",""),"/",""),"-","")," ",""),"(",""),")",""),"+",""))</f>
      </c>
      <c r="Q686" s="6">
        <f>IF(P686="","",IF(LEN(P686)&lt;&gt;14,"ERRO: "&amp;LEN(P686)&amp;" dígitos",IF(NOT(ISNUMBER(VALUE(P686))),"ERRO: não numérico",IF(LEN(SUBSTITUTE(P686,LEFT(P686,1),""))=0,"ERRO: dígitos repetidos",IF(AND(VALUE(MID(P686,13,1))=IF(MOD(SUMPRODUCT(--MID(P686,{1,2,3,4,5,6,7,8,9,10,11,12},1),{5,4,3,2,9,8,7,6,5,4,3,2}),11)&lt;2,0,11-MOD(SUMPRODUCT(--MID(P686,{1,2,3,4,5,6,7,8,9,10,11,12},1),{5,4,3,2,9,8,7,6,5,4,3,2}),11)),VALUE(MID(P686,14,1))=IF(MOD(SUMPRODUCT(--MID(P686,{1,2,3,4,5,6,7,8,9,10,11,12,13},1),{6,5,4,3,2,9,8,7,6,5,4,3,2}),11)&lt;2,0,11-MOD(SUMPRODUCT(--MID(P686,{1,2,3,4,5,6,7,8,9,10,11,12,13},1),{6,5,4,3,2,9,8,7,6,5,4,3,2}),11))),"OK","ERRO: dígito verificador")))))</f>
      </c>
      <c r="R686" s="6">
        <f>IF(P686="","",IF(COUNTIF($P$2:$P$1001,P686)&gt;1,"DUPLICADO","OK"))</f>
      </c>
      <c r="S686" s="6">
        <f>IF(AND(J686="",K686=""),"vazio",IF(AND(OR(J686="",LEN(SUBSTITUTE(SUBSTITUTE(SUBSTITUTE(SUBSTITUTE(SUBSTITUTE(SUBSTITUTE(SUBSTITUTE(TRIM(J686),".",""),"/",""),"-","")," ",""),"(",""),")",""),"+",""))=10,LEN(SUBSTITUTE(SUBSTITUTE(SUBSTITUTE(SUBSTITUTE(SUBSTITUTE(SUBSTITUTE(SUBSTITUTE(TRIM(J686),".",""),"/",""),"-","")," ",""),"(",""),")",""),"+",""))=11),OR(K686="",LEN(SUBSTITUTE(SUBSTITUTE(SUBSTITUTE(SUBSTITUTE(SUBSTITUTE(SUBSTITUTE(SUBSTITUTE(TRIM(K686),".",""),"/",""),"-","")," ",""),"(",""),")",""),"+",""))=10,LEN(SUBSTITUTE(SUBSTITUTE(SUBSTITUTE(SUBSTITUTE(SUBSTITUTE(SUBSTITUTE(SUBSTITUTE(TRIM(K686),".",""),"/",""),"-","")," ",""),"(",""),")",""),"+",""))=11)),"OK","ERRO: use DDD + número (10 ou 11 dígitos)"))</f>
      </c>
      <c r="T686" s="6">
        <f>IF(L686="","vazio",IF(AND(ISNUMBER(FIND("@",L686)),ISNUMBER(FIND(".",MID(L686,FIND("@",L686),99))),NOT(ISNUMBER(FIND(" ",TRIM(L686)))),NOT(ISNUMBER(FIND(";",L686))),NOT(ISNUMBER(FIND(",",L686)))),"OK","ERRO: um e-mail válido por linha"))</f>
      </c>
      <c r="U686" s="6">
        <f>IF(COUNTA(A686:O686)=0,"",IF(AND(B686&lt;&gt;"",C686&lt;&gt;"",D686&lt;&gt;"",E686&lt;&gt;"",H686&lt;&gt;"",OR(J686&lt;&gt;"",L686&lt;&gt;"")),"OK","ERRO: faltam "&amp;IF(B686="","Proprietário; ","")&amp;IF(C686="","Origem; ","")&amp;IF(D686="","CNPJ; ","")&amp;IF(E686="","Razão Social; ","")&amp;IF(H686="","Sobrenome; ","")&amp;IF(AND(J686="",L686=""),"telefone ou e-mail; ","")))</f>
      </c>
      <c r="V686" s="6">
        <f>IF(COUNTA(A686:O686)=0,"",IF(AND(Q686="OK",R686="OK",LEFT(S686,4)&lt;&gt;"ERRO",LEFT(T686,4)&lt;&gt;"ERRO",U686="OK"),"OK","REVISAR"))</f>
      </c>
    </row>
    <row r="687">
      <c r="A687" s="4"/>
      <c r="B687" s="5"/>
      <c r="C687" s="5"/>
      <c r="D687" s="5"/>
      <c r="E687" s="5"/>
      <c r="F687" s="4"/>
      <c r="G687" s="4"/>
      <c r="H687" s="5"/>
      <c r="I687" s="4"/>
      <c r="J687" s="4"/>
      <c r="K687" s="4"/>
      <c r="L687" s="4"/>
      <c r="M687" s="4"/>
      <c r="N687" s="4"/>
      <c r="O687" s="4"/>
      <c r="P687" s="6">
        <f>IF(D687="","",SUBSTITUTE(SUBSTITUTE(SUBSTITUTE(SUBSTITUTE(SUBSTITUTE(SUBSTITUTE(SUBSTITUTE(TRIM(D687),".",""),"/",""),"-","")," ",""),"(",""),")",""),"+",""))</f>
      </c>
      <c r="Q687" s="6">
        <f>IF(P687="","",IF(LEN(P687)&lt;&gt;14,"ERRO: "&amp;LEN(P687)&amp;" dígitos",IF(NOT(ISNUMBER(VALUE(P687))),"ERRO: não numérico",IF(LEN(SUBSTITUTE(P687,LEFT(P687,1),""))=0,"ERRO: dígitos repetidos",IF(AND(VALUE(MID(P687,13,1))=IF(MOD(SUMPRODUCT(--MID(P687,{1,2,3,4,5,6,7,8,9,10,11,12},1),{5,4,3,2,9,8,7,6,5,4,3,2}),11)&lt;2,0,11-MOD(SUMPRODUCT(--MID(P687,{1,2,3,4,5,6,7,8,9,10,11,12},1),{5,4,3,2,9,8,7,6,5,4,3,2}),11)),VALUE(MID(P687,14,1))=IF(MOD(SUMPRODUCT(--MID(P687,{1,2,3,4,5,6,7,8,9,10,11,12,13},1),{6,5,4,3,2,9,8,7,6,5,4,3,2}),11)&lt;2,0,11-MOD(SUMPRODUCT(--MID(P687,{1,2,3,4,5,6,7,8,9,10,11,12,13},1),{6,5,4,3,2,9,8,7,6,5,4,3,2}),11))),"OK","ERRO: dígito verificador")))))</f>
      </c>
      <c r="R687" s="6">
        <f>IF(P687="","",IF(COUNTIF($P$2:$P$1001,P687)&gt;1,"DUPLICADO","OK"))</f>
      </c>
      <c r="S687" s="6">
        <f>IF(AND(J687="",K687=""),"vazio",IF(AND(OR(J687="",LEN(SUBSTITUTE(SUBSTITUTE(SUBSTITUTE(SUBSTITUTE(SUBSTITUTE(SUBSTITUTE(SUBSTITUTE(TRIM(J687),".",""),"/",""),"-","")," ",""),"(",""),")",""),"+",""))=10,LEN(SUBSTITUTE(SUBSTITUTE(SUBSTITUTE(SUBSTITUTE(SUBSTITUTE(SUBSTITUTE(SUBSTITUTE(TRIM(J687),".",""),"/",""),"-","")," ",""),"(",""),")",""),"+",""))=11),OR(K687="",LEN(SUBSTITUTE(SUBSTITUTE(SUBSTITUTE(SUBSTITUTE(SUBSTITUTE(SUBSTITUTE(SUBSTITUTE(TRIM(K687),".",""),"/",""),"-","")," ",""),"(",""),")",""),"+",""))=10,LEN(SUBSTITUTE(SUBSTITUTE(SUBSTITUTE(SUBSTITUTE(SUBSTITUTE(SUBSTITUTE(SUBSTITUTE(TRIM(K687),".",""),"/",""),"-","")," ",""),"(",""),")",""),"+",""))=11)),"OK","ERRO: use DDD + número (10 ou 11 dígitos)"))</f>
      </c>
      <c r="T687" s="6">
        <f>IF(L687="","vazio",IF(AND(ISNUMBER(FIND("@",L687)),ISNUMBER(FIND(".",MID(L687,FIND("@",L687),99))),NOT(ISNUMBER(FIND(" ",TRIM(L687)))),NOT(ISNUMBER(FIND(";",L687))),NOT(ISNUMBER(FIND(",",L687)))),"OK","ERRO: um e-mail válido por linha"))</f>
      </c>
      <c r="U687" s="6">
        <f>IF(COUNTA(A687:O687)=0,"",IF(AND(B687&lt;&gt;"",C687&lt;&gt;"",D687&lt;&gt;"",E687&lt;&gt;"",H687&lt;&gt;"",OR(J687&lt;&gt;"",L687&lt;&gt;"")),"OK","ERRO: faltam "&amp;IF(B687="","Proprietário; ","")&amp;IF(C687="","Origem; ","")&amp;IF(D687="","CNPJ; ","")&amp;IF(E687="","Razão Social; ","")&amp;IF(H687="","Sobrenome; ","")&amp;IF(AND(J687="",L687=""),"telefone ou e-mail; ","")))</f>
      </c>
      <c r="V687" s="6">
        <f>IF(COUNTA(A687:O687)=0,"",IF(AND(Q687="OK",R687="OK",LEFT(S687,4)&lt;&gt;"ERRO",LEFT(T687,4)&lt;&gt;"ERRO",U687="OK"),"OK","REVISAR"))</f>
      </c>
    </row>
    <row r="688">
      <c r="A688" s="4"/>
      <c r="B688" s="5"/>
      <c r="C688" s="5"/>
      <c r="D688" s="5"/>
      <c r="E688" s="5"/>
      <c r="F688" s="4"/>
      <c r="G688" s="4"/>
      <c r="H688" s="5"/>
      <c r="I688" s="4"/>
      <c r="J688" s="4"/>
      <c r="K688" s="4"/>
      <c r="L688" s="4"/>
      <c r="M688" s="4"/>
      <c r="N688" s="4"/>
      <c r="O688" s="4"/>
      <c r="P688" s="6">
        <f>IF(D688="","",SUBSTITUTE(SUBSTITUTE(SUBSTITUTE(SUBSTITUTE(SUBSTITUTE(SUBSTITUTE(SUBSTITUTE(TRIM(D688),".",""),"/",""),"-","")," ",""),"(",""),")",""),"+",""))</f>
      </c>
      <c r="Q688" s="6">
        <f>IF(P688="","",IF(LEN(P688)&lt;&gt;14,"ERRO: "&amp;LEN(P688)&amp;" dígitos",IF(NOT(ISNUMBER(VALUE(P688))),"ERRO: não numérico",IF(LEN(SUBSTITUTE(P688,LEFT(P688,1),""))=0,"ERRO: dígitos repetidos",IF(AND(VALUE(MID(P688,13,1))=IF(MOD(SUMPRODUCT(--MID(P688,{1,2,3,4,5,6,7,8,9,10,11,12},1),{5,4,3,2,9,8,7,6,5,4,3,2}),11)&lt;2,0,11-MOD(SUMPRODUCT(--MID(P688,{1,2,3,4,5,6,7,8,9,10,11,12},1),{5,4,3,2,9,8,7,6,5,4,3,2}),11)),VALUE(MID(P688,14,1))=IF(MOD(SUMPRODUCT(--MID(P688,{1,2,3,4,5,6,7,8,9,10,11,12,13},1),{6,5,4,3,2,9,8,7,6,5,4,3,2}),11)&lt;2,0,11-MOD(SUMPRODUCT(--MID(P688,{1,2,3,4,5,6,7,8,9,10,11,12,13},1),{6,5,4,3,2,9,8,7,6,5,4,3,2}),11))),"OK","ERRO: dígito verificador")))))</f>
      </c>
      <c r="R688" s="6">
        <f>IF(P688="","",IF(COUNTIF($P$2:$P$1001,P688)&gt;1,"DUPLICADO","OK"))</f>
      </c>
      <c r="S688" s="6">
        <f>IF(AND(J688="",K688=""),"vazio",IF(AND(OR(J688="",LEN(SUBSTITUTE(SUBSTITUTE(SUBSTITUTE(SUBSTITUTE(SUBSTITUTE(SUBSTITUTE(SUBSTITUTE(TRIM(J688),".",""),"/",""),"-","")," ",""),"(",""),")",""),"+",""))=10,LEN(SUBSTITUTE(SUBSTITUTE(SUBSTITUTE(SUBSTITUTE(SUBSTITUTE(SUBSTITUTE(SUBSTITUTE(TRIM(J688),".",""),"/",""),"-","")," ",""),"(",""),")",""),"+",""))=11),OR(K688="",LEN(SUBSTITUTE(SUBSTITUTE(SUBSTITUTE(SUBSTITUTE(SUBSTITUTE(SUBSTITUTE(SUBSTITUTE(TRIM(K688),".",""),"/",""),"-","")," ",""),"(",""),")",""),"+",""))=10,LEN(SUBSTITUTE(SUBSTITUTE(SUBSTITUTE(SUBSTITUTE(SUBSTITUTE(SUBSTITUTE(SUBSTITUTE(TRIM(K688),".",""),"/",""),"-","")," ",""),"(",""),")",""),"+",""))=11)),"OK","ERRO: use DDD + número (10 ou 11 dígitos)"))</f>
      </c>
      <c r="T688" s="6">
        <f>IF(L688="","vazio",IF(AND(ISNUMBER(FIND("@",L688)),ISNUMBER(FIND(".",MID(L688,FIND("@",L688),99))),NOT(ISNUMBER(FIND(" ",TRIM(L688)))),NOT(ISNUMBER(FIND(";",L688))),NOT(ISNUMBER(FIND(",",L688)))),"OK","ERRO: um e-mail válido por linha"))</f>
      </c>
      <c r="U688" s="6">
        <f>IF(COUNTA(A688:O688)=0,"",IF(AND(B688&lt;&gt;"",C688&lt;&gt;"",D688&lt;&gt;"",E688&lt;&gt;"",H688&lt;&gt;"",OR(J688&lt;&gt;"",L688&lt;&gt;"")),"OK","ERRO: faltam "&amp;IF(B688="","Proprietário; ","")&amp;IF(C688="","Origem; ","")&amp;IF(D688="","CNPJ; ","")&amp;IF(E688="","Razão Social; ","")&amp;IF(H688="","Sobrenome; ","")&amp;IF(AND(J688="",L688=""),"telefone ou e-mail; ","")))</f>
      </c>
      <c r="V688" s="6">
        <f>IF(COUNTA(A688:O688)=0,"",IF(AND(Q688="OK",R688="OK",LEFT(S688,4)&lt;&gt;"ERRO",LEFT(T688,4)&lt;&gt;"ERRO",U688="OK"),"OK","REVISAR"))</f>
      </c>
    </row>
    <row r="689">
      <c r="A689" s="4"/>
      <c r="B689" s="5"/>
      <c r="C689" s="5"/>
      <c r="D689" s="5"/>
      <c r="E689" s="5"/>
      <c r="F689" s="4"/>
      <c r="G689" s="4"/>
      <c r="H689" s="5"/>
      <c r="I689" s="4"/>
      <c r="J689" s="4"/>
      <c r="K689" s="4"/>
      <c r="L689" s="4"/>
      <c r="M689" s="4"/>
      <c r="N689" s="4"/>
      <c r="O689" s="4"/>
      <c r="P689" s="6">
        <f>IF(D689="","",SUBSTITUTE(SUBSTITUTE(SUBSTITUTE(SUBSTITUTE(SUBSTITUTE(SUBSTITUTE(SUBSTITUTE(TRIM(D689),".",""),"/",""),"-","")," ",""),"(",""),")",""),"+",""))</f>
      </c>
      <c r="Q689" s="6">
        <f>IF(P689="","",IF(LEN(P689)&lt;&gt;14,"ERRO: "&amp;LEN(P689)&amp;" dígitos",IF(NOT(ISNUMBER(VALUE(P689))),"ERRO: não numérico",IF(LEN(SUBSTITUTE(P689,LEFT(P689,1),""))=0,"ERRO: dígitos repetidos",IF(AND(VALUE(MID(P689,13,1))=IF(MOD(SUMPRODUCT(--MID(P689,{1,2,3,4,5,6,7,8,9,10,11,12},1),{5,4,3,2,9,8,7,6,5,4,3,2}),11)&lt;2,0,11-MOD(SUMPRODUCT(--MID(P689,{1,2,3,4,5,6,7,8,9,10,11,12},1),{5,4,3,2,9,8,7,6,5,4,3,2}),11)),VALUE(MID(P689,14,1))=IF(MOD(SUMPRODUCT(--MID(P689,{1,2,3,4,5,6,7,8,9,10,11,12,13},1),{6,5,4,3,2,9,8,7,6,5,4,3,2}),11)&lt;2,0,11-MOD(SUMPRODUCT(--MID(P689,{1,2,3,4,5,6,7,8,9,10,11,12,13},1),{6,5,4,3,2,9,8,7,6,5,4,3,2}),11))),"OK","ERRO: dígito verificador")))))</f>
      </c>
      <c r="R689" s="6">
        <f>IF(P689="","",IF(COUNTIF($P$2:$P$1001,P689)&gt;1,"DUPLICADO","OK"))</f>
      </c>
      <c r="S689" s="6">
        <f>IF(AND(J689="",K689=""),"vazio",IF(AND(OR(J689="",LEN(SUBSTITUTE(SUBSTITUTE(SUBSTITUTE(SUBSTITUTE(SUBSTITUTE(SUBSTITUTE(SUBSTITUTE(TRIM(J689),".",""),"/",""),"-","")," ",""),"(",""),")",""),"+",""))=10,LEN(SUBSTITUTE(SUBSTITUTE(SUBSTITUTE(SUBSTITUTE(SUBSTITUTE(SUBSTITUTE(SUBSTITUTE(TRIM(J689),".",""),"/",""),"-","")," ",""),"(",""),")",""),"+",""))=11),OR(K689="",LEN(SUBSTITUTE(SUBSTITUTE(SUBSTITUTE(SUBSTITUTE(SUBSTITUTE(SUBSTITUTE(SUBSTITUTE(TRIM(K689),".",""),"/",""),"-","")," ",""),"(",""),")",""),"+",""))=10,LEN(SUBSTITUTE(SUBSTITUTE(SUBSTITUTE(SUBSTITUTE(SUBSTITUTE(SUBSTITUTE(SUBSTITUTE(TRIM(K689),".",""),"/",""),"-","")," ",""),"(",""),")",""),"+",""))=11)),"OK","ERRO: use DDD + número (10 ou 11 dígitos)"))</f>
      </c>
      <c r="T689" s="6">
        <f>IF(L689="","vazio",IF(AND(ISNUMBER(FIND("@",L689)),ISNUMBER(FIND(".",MID(L689,FIND("@",L689),99))),NOT(ISNUMBER(FIND(" ",TRIM(L689)))),NOT(ISNUMBER(FIND(";",L689))),NOT(ISNUMBER(FIND(",",L689)))),"OK","ERRO: um e-mail válido por linha"))</f>
      </c>
      <c r="U689" s="6">
        <f>IF(COUNTA(A689:O689)=0,"",IF(AND(B689&lt;&gt;"",C689&lt;&gt;"",D689&lt;&gt;"",E689&lt;&gt;"",H689&lt;&gt;"",OR(J689&lt;&gt;"",L689&lt;&gt;"")),"OK","ERRO: faltam "&amp;IF(B689="","Proprietário; ","")&amp;IF(C689="","Origem; ","")&amp;IF(D689="","CNPJ; ","")&amp;IF(E689="","Razão Social; ","")&amp;IF(H689="","Sobrenome; ","")&amp;IF(AND(J689="",L689=""),"telefone ou e-mail; ","")))</f>
      </c>
      <c r="V689" s="6">
        <f>IF(COUNTA(A689:O689)=0,"",IF(AND(Q689="OK",R689="OK",LEFT(S689,4)&lt;&gt;"ERRO",LEFT(T689,4)&lt;&gt;"ERRO",U689="OK"),"OK","REVISAR"))</f>
      </c>
    </row>
    <row r="690">
      <c r="A690" s="4"/>
      <c r="B690" s="5"/>
      <c r="C690" s="5"/>
      <c r="D690" s="5"/>
      <c r="E690" s="5"/>
      <c r="F690" s="4"/>
      <c r="G690" s="4"/>
      <c r="H690" s="5"/>
      <c r="I690" s="4"/>
      <c r="J690" s="4"/>
      <c r="K690" s="4"/>
      <c r="L690" s="4"/>
      <c r="M690" s="4"/>
      <c r="N690" s="4"/>
      <c r="O690" s="4"/>
      <c r="P690" s="6">
        <f>IF(D690="","",SUBSTITUTE(SUBSTITUTE(SUBSTITUTE(SUBSTITUTE(SUBSTITUTE(SUBSTITUTE(SUBSTITUTE(TRIM(D690),".",""),"/",""),"-","")," ",""),"(",""),")",""),"+",""))</f>
      </c>
      <c r="Q690" s="6">
        <f>IF(P690="","",IF(LEN(P690)&lt;&gt;14,"ERRO: "&amp;LEN(P690)&amp;" dígitos",IF(NOT(ISNUMBER(VALUE(P690))),"ERRO: não numérico",IF(LEN(SUBSTITUTE(P690,LEFT(P690,1),""))=0,"ERRO: dígitos repetidos",IF(AND(VALUE(MID(P690,13,1))=IF(MOD(SUMPRODUCT(--MID(P690,{1,2,3,4,5,6,7,8,9,10,11,12},1),{5,4,3,2,9,8,7,6,5,4,3,2}),11)&lt;2,0,11-MOD(SUMPRODUCT(--MID(P690,{1,2,3,4,5,6,7,8,9,10,11,12},1),{5,4,3,2,9,8,7,6,5,4,3,2}),11)),VALUE(MID(P690,14,1))=IF(MOD(SUMPRODUCT(--MID(P690,{1,2,3,4,5,6,7,8,9,10,11,12,13},1),{6,5,4,3,2,9,8,7,6,5,4,3,2}),11)&lt;2,0,11-MOD(SUMPRODUCT(--MID(P690,{1,2,3,4,5,6,7,8,9,10,11,12,13},1),{6,5,4,3,2,9,8,7,6,5,4,3,2}),11))),"OK","ERRO: dígito verificador")))))</f>
      </c>
      <c r="R690" s="6">
        <f>IF(P690="","",IF(COUNTIF($P$2:$P$1001,P690)&gt;1,"DUPLICADO","OK"))</f>
      </c>
      <c r="S690" s="6">
        <f>IF(AND(J690="",K690=""),"vazio",IF(AND(OR(J690="",LEN(SUBSTITUTE(SUBSTITUTE(SUBSTITUTE(SUBSTITUTE(SUBSTITUTE(SUBSTITUTE(SUBSTITUTE(TRIM(J690),".",""),"/",""),"-","")," ",""),"(",""),")",""),"+",""))=10,LEN(SUBSTITUTE(SUBSTITUTE(SUBSTITUTE(SUBSTITUTE(SUBSTITUTE(SUBSTITUTE(SUBSTITUTE(TRIM(J690),".",""),"/",""),"-","")," ",""),"(",""),")",""),"+",""))=11),OR(K690="",LEN(SUBSTITUTE(SUBSTITUTE(SUBSTITUTE(SUBSTITUTE(SUBSTITUTE(SUBSTITUTE(SUBSTITUTE(TRIM(K690),".",""),"/",""),"-","")," ",""),"(",""),")",""),"+",""))=10,LEN(SUBSTITUTE(SUBSTITUTE(SUBSTITUTE(SUBSTITUTE(SUBSTITUTE(SUBSTITUTE(SUBSTITUTE(TRIM(K690),".",""),"/",""),"-","")," ",""),"(",""),")",""),"+",""))=11)),"OK","ERRO: use DDD + número (10 ou 11 dígitos)"))</f>
      </c>
      <c r="T690" s="6">
        <f>IF(L690="","vazio",IF(AND(ISNUMBER(FIND("@",L690)),ISNUMBER(FIND(".",MID(L690,FIND("@",L690),99))),NOT(ISNUMBER(FIND(" ",TRIM(L690)))),NOT(ISNUMBER(FIND(";",L690))),NOT(ISNUMBER(FIND(",",L690)))),"OK","ERRO: um e-mail válido por linha"))</f>
      </c>
      <c r="U690" s="6">
        <f>IF(COUNTA(A690:O690)=0,"",IF(AND(B690&lt;&gt;"",C690&lt;&gt;"",D690&lt;&gt;"",E690&lt;&gt;"",H690&lt;&gt;"",OR(J690&lt;&gt;"",L690&lt;&gt;"")),"OK","ERRO: faltam "&amp;IF(B690="","Proprietário; ","")&amp;IF(C690="","Origem; ","")&amp;IF(D690="","CNPJ; ","")&amp;IF(E690="","Razão Social; ","")&amp;IF(H690="","Sobrenome; ","")&amp;IF(AND(J690="",L690=""),"telefone ou e-mail; ","")))</f>
      </c>
      <c r="V690" s="6">
        <f>IF(COUNTA(A690:O690)=0,"",IF(AND(Q690="OK",R690="OK",LEFT(S690,4)&lt;&gt;"ERRO",LEFT(T690,4)&lt;&gt;"ERRO",U690="OK"),"OK","REVISAR"))</f>
      </c>
    </row>
    <row r="691">
      <c r="A691" s="4"/>
      <c r="B691" s="5"/>
      <c r="C691" s="5"/>
      <c r="D691" s="5"/>
      <c r="E691" s="5"/>
      <c r="F691" s="4"/>
      <c r="G691" s="4"/>
      <c r="H691" s="5"/>
      <c r="I691" s="4"/>
      <c r="J691" s="4"/>
      <c r="K691" s="4"/>
      <c r="L691" s="4"/>
      <c r="M691" s="4"/>
      <c r="N691" s="4"/>
      <c r="O691" s="4"/>
      <c r="P691" s="6">
        <f>IF(D691="","",SUBSTITUTE(SUBSTITUTE(SUBSTITUTE(SUBSTITUTE(SUBSTITUTE(SUBSTITUTE(SUBSTITUTE(TRIM(D691),".",""),"/",""),"-","")," ",""),"(",""),")",""),"+",""))</f>
      </c>
      <c r="Q691" s="6">
        <f>IF(P691="","",IF(LEN(P691)&lt;&gt;14,"ERRO: "&amp;LEN(P691)&amp;" dígitos",IF(NOT(ISNUMBER(VALUE(P691))),"ERRO: não numérico",IF(LEN(SUBSTITUTE(P691,LEFT(P691,1),""))=0,"ERRO: dígitos repetidos",IF(AND(VALUE(MID(P691,13,1))=IF(MOD(SUMPRODUCT(--MID(P691,{1,2,3,4,5,6,7,8,9,10,11,12},1),{5,4,3,2,9,8,7,6,5,4,3,2}),11)&lt;2,0,11-MOD(SUMPRODUCT(--MID(P691,{1,2,3,4,5,6,7,8,9,10,11,12},1),{5,4,3,2,9,8,7,6,5,4,3,2}),11)),VALUE(MID(P691,14,1))=IF(MOD(SUMPRODUCT(--MID(P691,{1,2,3,4,5,6,7,8,9,10,11,12,13},1),{6,5,4,3,2,9,8,7,6,5,4,3,2}),11)&lt;2,0,11-MOD(SUMPRODUCT(--MID(P691,{1,2,3,4,5,6,7,8,9,10,11,12,13},1),{6,5,4,3,2,9,8,7,6,5,4,3,2}),11))),"OK","ERRO: dígito verificador")))))</f>
      </c>
      <c r="R691" s="6">
        <f>IF(P691="","",IF(COUNTIF($P$2:$P$1001,P691)&gt;1,"DUPLICADO","OK"))</f>
      </c>
      <c r="S691" s="6">
        <f>IF(AND(J691="",K691=""),"vazio",IF(AND(OR(J691="",LEN(SUBSTITUTE(SUBSTITUTE(SUBSTITUTE(SUBSTITUTE(SUBSTITUTE(SUBSTITUTE(SUBSTITUTE(TRIM(J691),".",""),"/",""),"-","")," ",""),"(",""),")",""),"+",""))=10,LEN(SUBSTITUTE(SUBSTITUTE(SUBSTITUTE(SUBSTITUTE(SUBSTITUTE(SUBSTITUTE(SUBSTITUTE(TRIM(J691),".",""),"/",""),"-","")," ",""),"(",""),")",""),"+",""))=11),OR(K691="",LEN(SUBSTITUTE(SUBSTITUTE(SUBSTITUTE(SUBSTITUTE(SUBSTITUTE(SUBSTITUTE(SUBSTITUTE(TRIM(K691),".",""),"/",""),"-","")," ",""),"(",""),")",""),"+",""))=10,LEN(SUBSTITUTE(SUBSTITUTE(SUBSTITUTE(SUBSTITUTE(SUBSTITUTE(SUBSTITUTE(SUBSTITUTE(TRIM(K691),".",""),"/",""),"-","")," ",""),"(",""),")",""),"+",""))=11)),"OK","ERRO: use DDD + número (10 ou 11 dígitos)"))</f>
      </c>
      <c r="T691" s="6">
        <f>IF(L691="","vazio",IF(AND(ISNUMBER(FIND("@",L691)),ISNUMBER(FIND(".",MID(L691,FIND("@",L691),99))),NOT(ISNUMBER(FIND(" ",TRIM(L691)))),NOT(ISNUMBER(FIND(";",L691))),NOT(ISNUMBER(FIND(",",L691)))),"OK","ERRO: um e-mail válido por linha"))</f>
      </c>
      <c r="U691" s="6">
        <f>IF(COUNTA(A691:O691)=0,"",IF(AND(B691&lt;&gt;"",C691&lt;&gt;"",D691&lt;&gt;"",E691&lt;&gt;"",H691&lt;&gt;"",OR(J691&lt;&gt;"",L691&lt;&gt;"")),"OK","ERRO: faltam "&amp;IF(B691="","Proprietário; ","")&amp;IF(C691="","Origem; ","")&amp;IF(D691="","CNPJ; ","")&amp;IF(E691="","Razão Social; ","")&amp;IF(H691="","Sobrenome; ","")&amp;IF(AND(J691="",L691=""),"telefone ou e-mail; ","")))</f>
      </c>
      <c r="V691" s="6">
        <f>IF(COUNTA(A691:O691)=0,"",IF(AND(Q691="OK",R691="OK",LEFT(S691,4)&lt;&gt;"ERRO",LEFT(T691,4)&lt;&gt;"ERRO",U691="OK"),"OK","REVISAR"))</f>
      </c>
    </row>
    <row r="692">
      <c r="A692" s="4"/>
      <c r="B692" s="5"/>
      <c r="C692" s="5"/>
      <c r="D692" s="5"/>
      <c r="E692" s="5"/>
      <c r="F692" s="4"/>
      <c r="G692" s="4"/>
      <c r="H692" s="5"/>
      <c r="I692" s="4"/>
      <c r="J692" s="4"/>
      <c r="K692" s="4"/>
      <c r="L692" s="4"/>
      <c r="M692" s="4"/>
      <c r="N692" s="4"/>
      <c r="O692" s="4"/>
      <c r="P692" s="6">
        <f>IF(D692="","",SUBSTITUTE(SUBSTITUTE(SUBSTITUTE(SUBSTITUTE(SUBSTITUTE(SUBSTITUTE(SUBSTITUTE(TRIM(D692),".",""),"/",""),"-","")," ",""),"(",""),")",""),"+",""))</f>
      </c>
      <c r="Q692" s="6">
        <f>IF(P692="","",IF(LEN(P692)&lt;&gt;14,"ERRO: "&amp;LEN(P692)&amp;" dígitos",IF(NOT(ISNUMBER(VALUE(P692))),"ERRO: não numérico",IF(LEN(SUBSTITUTE(P692,LEFT(P692,1),""))=0,"ERRO: dígitos repetidos",IF(AND(VALUE(MID(P692,13,1))=IF(MOD(SUMPRODUCT(--MID(P692,{1,2,3,4,5,6,7,8,9,10,11,12},1),{5,4,3,2,9,8,7,6,5,4,3,2}),11)&lt;2,0,11-MOD(SUMPRODUCT(--MID(P692,{1,2,3,4,5,6,7,8,9,10,11,12},1),{5,4,3,2,9,8,7,6,5,4,3,2}),11)),VALUE(MID(P692,14,1))=IF(MOD(SUMPRODUCT(--MID(P692,{1,2,3,4,5,6,7,8,9,10,11,12,13},1),{6,5,4,3,2,9,8,7,6,5,4,3,2}),11)&lt;2,0,11-MOD(SUMPRODUCT(--MID(P692,{1,2,3,4,5,6,7,8,9,10,11,12,13},1),{6,5,4,3,2,9,8,7,6,5,4,3,2}),11))),"OK","ERRO: dígito verificador")))))</f>
      </c>
      <c r="R692" s="6">
        <f>IF(P692="","",IF(COUNTIF($P$2:$P$1001,P692)&gt;1,"DUPLICADO","OK"))</f>
      </c>
      <c r="S692" s="6">
        <f>IF(AND(J692="",K692=""),"vazio",IF(AND(OR(J692="",LEN(SUBSTITUTE(SUBSTITUTE(SUBSTITUTE(SUBSTITUTE(SUBSTITUTE(SUBSTITUTE(SUBSTITUTE(TRIM(J692),".",""),"/",""),"-","")," ",""),"(",""),")",""),"+",""))=10,LEN(SUBSTITUTE(SUBSTITUTE(SUBSTITUTE(SUBSTITUTE(SUBSTITUTE(SUBSTITUTE(SUBSTITUTE(TRIM(J692),".",""),"/",""),"-","")," ",""),"(",""),")",""),"+",""))=11),OR(K692="",LEN(SUBSTITUTE(SUBSTITUTE(SUBSTITUTE(SUBSTITUTE(SUBSTITUTE(SUBSTITUTE(SUBSTITUTE(TRIM(K692),".",""),"/",""),"-","")," ",""),"(",""),")",""),"+",""))=10,LEN(SUBSTITUTE(SUBSTITUTE(SUBSTITUTE(SUBSTITUTE(SUBSTITUTE(SUBSTITUTE(SUBSTITUTE(TRIM(K692),".",""),"/",""),"-","")," ",""),"(",""),")",""),"+",""))=11)),"OK","ERRO: use DDD + número (10 ou 11 dígitos)"))</f>
      </c>
      <c r="T692" s="6">
        <f>IF(L692="","vazio",IF(AND(ISNUMBER(FIND("@",L692)),ISNUMBER(FIND(".",MID(L692,FIND("@",L692),99))),NOT(ISNUMBER(FIND(" ",TRIM(L692)))),NOT(ISNUMBER(FIND(";",L692))),NOT(ISNUMBER(FIND(",",L692)))),"OK","ERRO: um e-mail válido por linha"))</f>
      </c>
      <c r="U692" s="6">
        <f>IF(COUNTA(A692:O692)=0,"",IF(AND(B692&lt;&gt;"",C692&lt;&gt;"",D692&lt;&gt;"",E692&lt;&gt;"",H692&lt;&gt;"",OR(J692&lt;&gt;"",L692&lt;&gt;"")),"OK","ERRO: faltam "&amp;IF(B692="","Proprietário; ","")&amp;IF(C692="","Origem; ","")&amp;IF(D692="","CNPJ; ","")&amp;IF(E692="","Razão Social; ","")&amp;IF(H692="","Sobrenome; ","")&amp;IF(AND(J692="",L692=""),"telefone ou e-mail; ","")))</f>
      </c>
      <c r="V692" s="6">
        <f>IF(COUNTA(A692:O692)=0,"",IF(AND(Q692="OK",R692="OK",LEFT(S692,4)&lt;&gt;"ERRO",LEFT(T692,4)&lt;&gt;"ERRO",U692="OK"),"OK","REVISAR"))</f>
      </c>
    </row>
    <row r="693">
      <c r="A693" s="4"/>
      <c r="B693" s="5"/>
      <c r="C693" s="5"/>
      <c r="D693" s="5"/>
      <c r="E693" s="5"/>
      <c r="F693" s="4"/>
      <c r="G693" s="4"/>
      <c r="H693" s="5"/>
      <c r="I693" s="4"/>
      <c r="J693" s="4"/>
      <c r="K693" s="4"/>
      <c r="L693" s="4"/>
      <c r="M693" s="4"/>
      <c r="N693" s="4"/>
      <c r="O693" s="4"/>
      <c r="P693" s="6">
        <f>IF(D693="","",SUBSTITUTE(SUBSTITUTE(SUBSTITUTE(SUBSTITUTE(SUBSTITUTE(SUBSTITUTE(SUBSTITUTE(TRIM(D693),".",""),"/",""),"-","")," ",""),"(",""),")",""),"+",""))</f>
      </c>
      <c r="Q693" s="6">
        <f>IF(P693="","",IF(LEN(P693)&lt;&gt;14,"ERRO: "&amp;LEN(P693)&amp;" dígitos",IF(NOT(ISNUMBER(VALUE(P693))),"ERRO: não numérico",IF(LEN(SUBSTITUTE(P693,LEFT(P693,1),""))=0,"ERRO: dígitos repetidos",IF(AND(VALUE(MID(P693,13,1))=IF(MOD(SUMPRODUCT(--MID(P693,{1,2,3,4,5,6,7,8,9,10,11,12},1),{5,4,3,2,9,8,7,6,5,4,3,2}),11)&lt;2,0,11-MOD(SUMPRODUCT(--MID(P693,{1,2,3,4,5,6,7,8,9,10,11,12},1),{5,4,3,2,9,8,7,6,5,4,3,2}),11)),VALUE(MID(P693,14,1))=IF(MOD(SUMPRODUCT(--MID(P693,{1,2,3,4,5,6,7,8,9,10,11,12,13},1),{6,5,4,3,2,9,8,7,6,5,4,3,2}),11)&lt;2,0,11-MOD(SUMPRODUCT(--MID(P693,{1,2,3,4,5,6,7,8,9,10,11,12,13},1),{6,5,4,3,2,9,8,7,6,5,4,3,2}),11))),"OK","ERRO: dígito verificador")))))</f>
      </c>
      <c r="R693" s="6">
        <f>IF(P693="","",IF(COUNTIF($P$2:$P$1001,P693)&gt;1,"DUPLICADO","OK"))</f>
      </c>
      <c r="S693" s="6">
        <f>IF(AND(J693="",K693=""),"vazio",IF(AND(OR(J693="",LEN(SUBSTITUTE(SUBSTITUTE(SUBSTITUTE(SUBSTITUTE(SUBSTITUTE(SUBSTITUTE(SUBSTITUTE(TRIM(J693),".",""),"/",""),"-","")," ",""),"(",""),")",""),"+",""))=10,LEN(SUBSTITUTE(SUBSTITUTE(SUBSTITUTE(SUBSTITUTE(SUBSTITUTE(SUBSTITUTE(SUBSTITUTE(TRIM(J693),".",""),"/",""),"-","")," ",""),"(",""),")",""),"+",""))=11),OR(K693="",LEN(SUBSTITUTE(SUBSTITUTE(SUBSTITUTE(SUBSTITUTE(SUBSTITUTE(SUBSTITUTE(SUBSTITUTE(TRIM(K693),".",""),"/",""),"-","")," ",""),"(",""),")",""),"+",""))=10,LEN(SUBSTITUTE(SUBSTITUTE(SUBSTITUTE(SUBSTITUTE(SUBSTITUTE(SUBSTITUTE(SUBSTITUTE(TRIM(K693),".",""),"/",""),"-","")," ",""),"(",""),")",""),"+",""))=11)),"OK","ERRO: use DDD + número (10 ou 11 dígitos)"))</f>
      </c>
      <c r="T693" s="6">
        <f>IF(L693="","vazio",IF(AND(ISNUMBER(FIND("@",L693)),ISNUMBER(FIND(".",MID(L693,FIND("@",L693),99))),NOT(ISNUMBER(FIND(" ",TRIM(L693)))),NOT(ISNUMBER(FIND(";",L693))),NOT(ISNUMBER(FIND(",",L693)))),"OK","ERRO: um e-mail válido por linha"))</f>
      </c>
      <c r="U693" s="6">
        <f>IF(COUNTA(A693:O693)=0,"",IF(AND(B693&lt;&gt;"",C693&lt;&gt;"",D693&lt;&gt;"",E693&lt;&gt;"",H693&lt;&gt;"",OR(J693&lt;&gt;"",L693&lt;&gt;"")),"OK","ERRO: faltam "&amp;IF(B693="","Proprietário; ","")&amp;IF(C693="","Origem; ","")&amp;IF(D693="","CNPJ; ","")&amp;IF(E693="","Razão Social; ","")&amp;IF(H693="","Sobrenome; ","")&amp;IF(AND(J693="",L693=""),"telefone ou e-mail; ","")))</f>
      </c>
      <c r="V693" s="6">
        <f>IF(COUNTA(A693:O693)=0,"",IF(AND(Q693="OK",R693="OK",LEFT(S693,4)&lt;&gt;"ERRO",LEFT(T693,4)&lt;&gt;"ERRO",U693="OK"),"OK","REVISAR"))</f>
      </c>
    </row>
    <row r="694">
      <c r="A694" s="4"/>
      <c r="B694" s="5"/>
      <c r="C694" s="5"/>
      <c r="D694" s="5"/>
      <c r="E694" s="5"/>
      <c r="F694" s="4"/>
      <c r="G694" s="4"/>
      <c r="H694" s="5"/>
      <c r="I694" s="4"/>
      <c r="J694" s="4"/>
      <c r="K694" s="4"/>
      <c r="L694" s="4"/>
      <c r="M694" s="4"/>
      <c r="N694" s="4"/>
      <c r="O694" s="4"/>
      <c r="P694" s="6">
        <f>IF(D694="","",SUBSTITUTE(SUBSTITUTE(SUBSTITUTE(SUBSTITUTE(SUBSTITUTE(SUBSTITUTE(SUBSTITUTE(TRIM(D694),".",""),"/",""),"-","")," ",""),"(",""),")",""),"+",""))</f>
      </c>
      <c r="Q694" s="6">
        <f>IF(P694="","",IF(LEN(P694)&lt;&gt;14,"ERRO: "&amp;LEN(P694)&amp;" dígitos",IF(NOT(ISNUMBER(VALUE(P694))),"ERRO: não numérico",IF(LEN(SUBSTITUTE(P694,LEFT(P694,1),""))=0,"ERRO: dígitos repetidos",IF(AND(VALUE(MID(P694,13,1))=IF(MOD(SUMPRODUCT(--MID(P694,{1,2,3,4,5,6,7,8,9,10,11,12},1),{5,4,3,2,9,8,7,6,5,4,3,2}),11)&lt;2,0,11-MOD(SUMPRODUCT(--MID(P694,{1,2,3,4,5,6,7,8,9,10,11,12},1),{5,4,3,2,9,8,7,6,5,4,3,2}),11)),VALUE(MID(P694,14,1))=IF(MOD(SUMPRODUCT(--MID(P694,{1,2,3,4,5,6,7,8,9,10,11,12,13},1),{6,5,4,3,2,9,8,7,6,5,4,3,2}),11)&lt;2,0,11-MOD(SUMPRODUCT(--MID(P694,{1,2,3,4,5,6,7,8,9,10,11,12,13},1),{6,5,4,3,2,9,8,7,6,5,4,3,2}),11))),"OK","ERRO: dígito verificador")))))</f>
      </c>
      <c r="R694" s="6">
        <f>IF(P694="","",IF(COUNTIF($P$2:$P$1001,P694)&gt;1,"DUPLICADO","OK"))</f>
      </c>
      <c r="S694" s="6">
        <f>IF(AND(J694="",K694=""),"vazio",IF(AND(OR(J694="",LEN(SUBSTITUTE(SUBSTITUTE(SUBSTITUTE(SUBSTITUTE(SUBSTITUTE(SUBSTITUTE(SUBSTITUTE(TRIM(J694),".",""),"/",""),"-","")," ",""),"(",""),")",""),"+",""))=10,LEN(SUBSTITUTE(SUBSTITUTE(SUBSTITUTE(SUBSTITUTE(SUBSTITUTE(SUBSTITUTE(SUBSTITUTE(TRIM(J694),".",""),"/",""),"-","")," ",""),"(",""),")",""),"+",""))=11),OR(K694="",LEN(SUBSTITUTE(SUBSTITUTE(SUBSTITUTE(SUBSTITUTE(SUBSTITUTE(SUBSTITUTE(SUBSTITUTE(TRIM(K694),".",""),"/",""),"-","")," ",""),"(",""),")",""),"+",""))=10,LEN(SUBSTITUTE(SUBSTITUTE(SUBSTITUTE(SUBSTITUTE(SUBSTITUTE(SUBSTITUTE(SUBSTITUTE(TRIM(K694),".",""),"/",""),"-","")," ",""),"(",""),")",""),"+",""))=11)),"OK","ERRO: use DDD + número (10 ou 11 dígitos)"))</f>
      </c>
      <c r="T694" s="6">
        <f>IF(L694="","vazio",IF(AND(ISNUMBER(FIND("@",L694)),ISNUMBER(FIND(".",MID(L694,FIND("@",L694),99))),NOT(ISNUMBER(FIND(" ",TRIM(L694)))),NOT(ISNUMBER(FIND(";",L694))),NOT(ISNUMBER(FIND(",",L694)))),"OK","ERRO: um e-mail válido por linha"))</f>
      </c>
      <c r="U694" s="6">
        <f>IF(COUNTA(A694:O694)=0,"",IF(AND(B694&lt;&gt;"",C694&lt;&gt;"",D694&lt;&gt;"",E694&lt;&gt;"",H694&lt;&gt;"",OR(J694&lt;&gt;"",L694&lt;&gt;"")),"OK","ERRO: faltam "&amp;IF(B694="","Proprietário; ","")&amp;IF(C694="","Origem; ","")&amp;IF(D694="","CNPJ; ","")&amp;IF(E694="","Razão Social; ","")&amp;IF(H694="","Sobrenome; ","")&amp;IF(AND(J694="",L694=""),"telefone ou e-mail; ","")))</f>
      </c>
      <c r="V694" s="6">
        <f>IF(COUNTA(A694:O694)=0,"",IF(AND(Q694="OK",R694="OK",LEFT(S694,4)&lt;&gt;"ERRO",LEFT(T694,4)&lt;&gt;"ERRO",U694="OK"),"OK","REVISAR"))</f>
      </c>
    </row>
    <row r="695">
      <c r="A695" s="4"/>
      <c r="B695" s="5"/>
      <c r="C695" s="5"/>
      <c r="D695" s="5"/>
      <c r="E695" s="5"/>
      <c r="F695" s="4"/>
      <c r="G695" s="4"/>
      <c r="H695" s="5"/>
      <c r="I695" s="4"/>
      <c r="J695" s="4"/>
      <c r="K695" s="4"/>
      <c r="L695" s="4"/>
      <c r="M695" s="4"/>
      <c r="N695" s="4"/>
      <c r="O695" s="4"/>
      <c r="P695" s="6">
        <f>IF(D695="","",SUBSTITUTE(SUBSTITUTE(SUBSTITUTE(SUBSTITUTE(SUBSTITUTE(SUBSTITUTE(SUBSTITUTE(TRIM(D695),".",""),"/",""),"-","")," ",""),"(",""),")",""),"+",""))</f>
      </c>
      <c r="Q695" s="6">
        <f>IF(P695="","",IF(LEN(P695)&lt;&gt;14,"ERRO: "&amp;LEN(P695)&amp;" dígitos",IF(NOT(ISNUMBER(VALUE(P695))),"ERRO: não numérico",IF(LEN(SUBSTITUTE(P695,LEFT(P695,1),""))=0,"ERRO: dígitos repetidos",IF(AND(VALUE(MID(P695,13,1))=IF(MOD(SUMPRODUCT(--MID(P695,{1,2,3,4,5,6,7,8,9,10,11,12},1),{5,4,3,2,9,8,7,6,5,4,3,2}),11)&lt;2,0,11-MOD(SUMPRODUCT(--MID(P695,{1,2,3,4,5,6,7,8,9,10,11,12},1),{5,4,3,2,9,8,7,6,5,4,3,2}),11)),VALUE(MID(P695,14,1))=IF(MOD(SUMPRODUCT(--MID(P695,{1,2,3,4,5,6,7,8,9,10,11,12,13},1),{6,5,4,3,2,9,8,7,6,5,4,3,2}),11)&lt;2,0,11-MOD(SUMPRODUCT(--MID(P695,{1,2,3,4,5,6,7,8,9,10,11,12,13},1),{6,5,4,3,2,9,8,7,6,5,4,3,2}),11))),"OK","ERRO: dígito verificador")))))</f>
      </c>
      <c r="R695" s="6">
        <f>IF(P695="","",IF(COUNTIF($P$2:$P$1001,P695)&gt;1,"DUPLICADO","OK"))</f>
      </c>
      <c r="S695" s="6">
        <f>IF(AND(J695="",K695=""),"vazio",IF(AND(OR(J695="",LEN(SUBSTITUTE(SUBSTITUTE(SUBSTITUTE(SUBSTITUTE(SUBSTITUTE(SUBSTITUTE(SUBSTITUTE(TRIM(J695),".",""),"/",""),"-","")," ",""),"(",""),")",""),"+",""))=10,LEN(SUBSTITUTE(SUBSTITUTE(SUBSTITUTE(SUBSTITUTE(SUBSTITUTE(SUBSTITUTE(SUBSTITUTE(TRIM(J695),".",""),"/",""),"-","")," ",""),"(",""),")",""),"+",""))=11),OR(K695="",LEN(SUBSTITUTE(SUBSTITUTE(SUBSTITUTE(SUBSTITUTE(SUBSTITUTE(SUBSTITUTE(SUBSTITUTE(TRIM(K695),".",""),"/",""),"-","")," ",""),"(",""),")",""),"+",""))=10,LEN(SUBSTITUTE(SUBSTITUTE(SUBSTITUTE(SUBSTITUTE(SUBSTITUTE(SUBSTITUTE(SUBSTITUTE(TRIM(K695),".",""),"/",""),"-","")," ",""),"(",""),")",""),"+",""))=11)),"OK","ERRO: use DDD + número (10 ou 11 dígitos)"))</f>
      </c>
      <c r="T695" s="6">
        <f>IF(L695="","vazio",IF(AND(ISNUMBER(FIND("@",L695)),ISNUMBER(FIND(".",MID(L695,FIND("@",L695),99))),NOT(ISNUMBER(FIND(" ",TRIM(L695)))),NOT(ISNUMBER(FIND(";",L695))),NOT(ISNUMBER(FIND(",",L695)))),"OK","ERRO: um e-mail válido por linha"))</f>
      </c>
      <c r="U695" s="6">
        <f>IF(COUNTA(A695:O695)=0,"",IF(AND(B695&lt;&gt;"",C695&lt;&gt;"",D695&lt;&gt;"",E695&lt;&gt;"",H695&lt;&gt;"",OR(J695&lt;&gt;"",L695&lt;&gt;"")),"OK","ERRO: faltam "&amp;IF(B695="","Proprietário; ","")&amp;IF(C695="","Origem; ","")&amp;IF(D695="","CNPJ; ","")&amp;IF(E695="","Razão Social; ","")&amp;IF(H695="","Sobrenome; ","")&amp;IF(AND(J695="",L695=""),"telefone ou e-mail; ","")))</f>
      </c>
      <c r="V695" s="6">
        <f>IF(COUNTA(A695:O695)=0,"",IF(AND(Q695="OK",R695="OK",LEFT(S695,4)&lt;&gt;"ERRO",LEFT(T695,4)&lt;&gt;"ERRO",U695="OK"),"OK","REVISAR"))</f>
      </c>
    </row>
    <row r="696">
      <c r="A696" s="4"/>
      <c r="B696" s="5"/>
      <c r="C696" s="5"/>
      <c r="D696" s="5"/>
      <c r="E696" s="5"/>
      <c r="F696" s="4"/>
      <c r="G696" s="4"/>
      <c r="H696" s="5"/>
      <c r="I696" s="4"/>
      <c r="J696" s="4"/>
      <c r="K696" s="4"/>
      <c r="L696" s="4"/>
      <c r="M696" s="4"/>
      <c r="N696" s="4"/>
      <c r="O696" s="4"/>
      <c r="P696" s="6">
        <f>IF(D696="","",SUBSTITUTE(SUBSTITUTE(SUBSTITUTE(SUBSTITUTE(SUBSTITUTE(SUBSTITUTE(SUBSTITUTE(TRIM(D696),".",""),"/",""),"-","")," ",""),"(",""),")",""),"+",""))</f>
      </c>
      <c r="Q696" s="6">
        <f>IF(P696="","",IF(LEN(P696)&lt;&gt;14,"ERRO: "&amp;LEN(P696)&amp;" dígitos",IF(NOT(ISNUMBER(VALUE(P696))),"ERRO: não numérico",IF(LEN(SUBSTITUTE(P696,LEFT(P696,1),""))=0,"ERRO: dígitos repetidos",IF(AND(VALUE(MID(P696,13,1))=IF(MOD(SUMPRODUCT(--MID(P696,{1,2,3,4,5,6,7,8,9,10,11,12},1),{5,4,3,2,9,8,7,6,5,4,3,2}),11)&lt;2,0,11-MOD(SUMPRODUCT(--MID(P696,{1,2,3,4,5,6,7,8,9,10,11,12},1),{5,4,3,2,9,8,7,6,5,4,3,2}),11)),VALUE(MID(P696,14,1))=IF(MOD(SUMPRODUCT(--MID(P696,{1,2,3,4,5,6,7,8,9,10,11,12,13},1),{6,5,4,3,2,9,8,7,6,5,4,3,2}),11)&lt;2,0,11-MOD(SUMPRODUCT(--MID(P696,{1,2,3,4,5,6,7,8,9,10,11,12,13},1),{6,5,4,3,2,9,8,7,6,5,4,3,2}),11))),"OK","ERRO: dígito verificador")))))</f>
      </c>
      <c r="R696" s="6">
        <f>IF(P696="","",IF(COUNTIF($P$2:$P$1001,P696)&gt;1,"DUPLICADO","OK"))</f>
      </c>
      <c r="S696" s="6">
        <f>IF(AND(J696="",K696=""),"vazio",IF(AND(OR(J696="",LEN(SUBSTITUTE(SUBSTITUTE(SUBSTITUTE(SUBSTITUTE(SUBSTITUTE(SUBSTITUTE(SUBSTITUTE(TRIM(J696),".",""),"/",""),"-","")," ",""),"(",""),")",""),"+",""))=10,LEN(SUBSTITUTE(SUBSTITUTE(SUBSTITUTE(SUBSTITUTE(SUBSTITUTE(SUBSTITUTE(SUBSTITUTE(TRIM(J696),".",""),"/",""),"-","")," ",""),"(",""),")",""),"+",""))=11),OR(K696="",LEN(SUBSTITUTE(SUBSTITUTE(SUBSTITUTE(SUBSTITUTE(SUBSTITUTE(SUBSTITUTE(SUBSTITUTE(TRIM(K696),".",""),"/",""),"-","")," ",""),"(",""),")",""),"+",""))=10,LEN(SUBSTITUTE(SUBSTITUTE(SUBSTITUTE(SUBSTITUTE(SUBSTITUTE(SUBSTITUTE(SUBSTITUTE(TRIM(K696),".",""),"/",""),"-","")," ",""),"(",""),")",""),"+",""))=11)),"OK","ERRO: use DDD + número (10 ou 11 dígitos)"))</f>
      </c>
      <c r="T696" s="6">
        <f>IF(L696="","vazio",IF(AND(ISNUMBER(FIND("@",L696)),ISNUMBER(FIND(".",MID(L696,FIND("@",L696),99))),NOT(ISNUMBER(FIND(" ",TRIM(L696)))),NOT(ISNUMBER(FIND(";",L696))),NOT(ISNUMBER(FIND(",",L696)))),"OK","ERRO: um e-mail válido por linha"))</f>
      </c>
      <c r="U696" s="6">
        <f>IF(COUNTA(A696:O696)=0,"",IF(AND(B696&lt;&gt;"",C696&lt;&gt;"",D696&lt;&gt;"",E696&lt;&gt;"",H696&lt;&gt;"",OR(J696&lt;&gt;"",L696&lt;&gt;"")),"OK","ERRO: faltam "&amp;IF(B696="","Proprietário; ","")&amp;IF(C696="","Origem; ","")&amp;IF(D696="","CNPJ; ","")&amp;IF(E696="","Razão Social; ","")&amp;IF(H696="","Sobrenome; ","")&amp;IF(AND(J696="",L696=""),"telefone ou e-mail; ","")))</f>
      </c>
      <c r="V696" s="6">
        <f>IF(COUNTA(A696:O696)=0,"",IF(AND(Q696="OK",R696="OK",LEFT(S696,4)&lt;&gt;"ERRO",LEFT(T696,4)&lt;&gt;"ERRO",U696="OK"),"OK","REVISAR"))</f>
      </c>
    </row>
    <row r="697">
      <c r="A697" s="4"/>
      <c r="B697" s="5"/>
      <c r="C697" s="5"/>
      <c r="D697" s="5"/>
      <c r="E697" s="5"/>
      <c r="F697" s="4"/>
      <c r="G697" s="4"/>
      <c r="H697" s="5"/>
      <c r="I697" s="4"/>
      <c r="J697" s="4"/>
      <c r="K697" s="4"/>
      <c r="L697" s="4"/>
      <c r="M697" s="4"/>
      <c r="N697" s="4"/>
      <c r="O697" s="4"/>
      <c r="P697" s="6">
        <f>IF(D697="","",SUBSTITUTE(SUBSTITUTE(SUBSTITUTE(SUBSTITUTE(SUBSTITUTE(SUBSTITUTE(SUBSTITUTE(TRIM(D697),".",""),"/",""),"-","")," ",""),"(",""),")",""),"+",""))</f>
      </c>
      <c r="Q697" s="6">
        <f>IF(P697="","",IF(LEN(P697)&lt;&gt;14,"ERRO: "&amp;LEN(P697)&amp;" dígitos",IF(NOT(ISNUMBER(VALUE(P697))),"ERRO: não numérico",IF(LEN(SUBSTITUTE(P697,LEFT(P697,1),""))=0,"ERRO: dígitos repetidos",IF(AND(VALUE(MID(P697,13,1))=IF(MOD(SUMPRODUCT(--MID(P697,{1,2,3,4,5,6,7,8,9,10,11,12},1),{5,4,3,2,9,8,7,6,5,4,3,2}),11)&lt;2,0,11-MOD(SUMPRODUCT(--MID(P697,{1,2,3,4,5,6,7,8,9,10,11,12},1),{5,4,3,2,9,8,7,6,5,4,3,2}),11)),VALUE(MID(P697,14,1))=IF(MOD(SUMPRODUCT(--MID(P697,{1,2,3,4,5,6,7,8,9,10,11,12,13},1),{6,5,4,3,2,9,8,7,6,5,4,3,2}),11)&lt;2,0,11-MOD(SUMPRODUCT(--MID(P697,{1,2,3,4,5,6,7,8,9,10,11,12,13},1),{6,5,4,3,2,9,8,7,6,5,4,3,2}),11))),"OK","ERRO: dígito verificador")))))</f>
      </c>
      <c r="R697" s="6">
        <f>IF(P697="","",IF(COUNTIF($P$2:$P$1001,P697)&gt;1,"DUPLICADO","OK"))</f>
      </c>
      <c r="S697" s="6">
        <f>IF(AND(J697="",K697=""),"vazio",IF(AND(OR(J697="",LEN(SUBSTITUTE(SUBSTITUTE(SUBSTITUTE(SUBSTITUTE(SUBSTITUTE(SUBSTITUTE(SUBSTITUTE(TRIM(J697),".",""),"/",""),"-","")," ",""),"(",""),")",""),"+",""))=10,LEN(SUBSTITUTE(SUBSTITUTE(SUBSTITUTE(SUBSTITUTE(SUBSTITUTE(SUBSTITUTE(SUBSTITUTE(TRIM(J697),".",""),"/",""),"-","")," ",""),"(",""),")",""),"+",""))=11),OR(K697="",LEN(SUBSTITUTE(SUBSTITUTE(SUBSTITUTE(SUBSTITUTE(SUBSTITUTE(SUBSTITUTE(SUBSTITUTE(TRIM(K697),".",""),"/",""),"-","")," ",""),"(",""),")",""),"+",""))=10,LEN(SUBSTITUTE(SUBSTITUTE(SUBSTITUTE(SUBSTITUTE(SUBSTITUTE(SUBSTITUTE(SUBSTITUTE(TRIM(K697),".",""),"/",""),"-","")," ",""),"(",""),")",""),"+",""))=11)),"OK","ERRO: use DDD + número (10 ou 11 dígitos)"))</f>
      </c>
      <c r="T697" s="6">
        <f>IF(L697="","vazio",IF(AND(ISNUMBER(FIND("@",L697)),ISNUMBER(FIND(".",MID(L697,FIND("@",L697),99))),NOT(ISNUMBER(FIND(" ",TRIM(L697)))),NOT(ISNUMBER(FIND(";",L697))),NOT(ISNUMBER(FIND(",",L697)))),"OK","ERRO: um e-mail válido por linha"))</f>
      </c>
      <c r="U697" s="6">
        <f>IF(COUNTA(A697:O697)=0,"",IF(AND(B697&lt;&gt;"",C697&lt;&gt;"",D697&lt;&gt;"",E697&lt;&gt;"",H697&lt;&gt;"",OR(J697&lt;&gt;"",L697&lt;&gt;"")),"OK","ERRO: faltam "&amp;IF(B697="","Proprietário; ","")&amp;IF(C697="","Origem; ","")&amp;IF(D697="","CNPJ; ","")&amp;IF(E697="","Razão Social; ","")&amp;IF(H697="","Sobrenome; ","")&amp;IF(AND(J697="",L697=""),"telefone ou e-mail; ","")))</f>
      </c>
      <c r="V697" s="6">
        <f>IF(COUNTA(A697:O697)=0,"",IF(AND(Q697="OK",R697="OK",LEFT(S697,4)&lt;&gt;"ERRO",LEFT(T697,4)&lt;&gt;"ERRO",U697="OK"),"OK","REVISAR"))</f>
      </c>
    </row>
    <row r="698">
      <c r="A698" s="4"/>
      <c r="B698" s="5"/>
      <c r="C698" s="5"/>
      <c r="D698" s="5"/>
      <c r="E698" s="5"/>
      <c r="F698" s="4"/>
      <c r="G698" s="4"/>
      <c r="H698" s="5"/>
      <c r="I698" s="4"/>
      <c r="J698" s="4"/>
      <c r="K698" s="4"/>
      <c r="L698" s="4"/>
      <c r="M698" s="4"/>
      <c r="N698" s="4"/>
      <c r="O698" s="4"/>
      <c r="P698" s="6">
        <f>IF(D698="","",SUBSTITUTE(SUBSTITUTE(SUBSTITUTE(SUBSTITUTE(SUBSTITUTE(SUBSTITUTE(SUBSTITUTE(TRIM(D698),".",""),"/",""),"-","")," ",""),"(",""),")",""),"+",""))</f>
      </c>
      <c r="Q698" s="6">
        <f>IF(P698="","",IF(LEN(P698)&lt;&gt;14,"ERRO: "&amp;LEN(P698)&amp;" dígitos",IF(NOT(ISNUMBER(VALUE(P698))),"ERRO: não numérico",IF(LEN(SUBSTITUTE(P698,LEFT(P698,1),""))=0,"ERRO: dígitos repetidos",IF(AND(VALUE(MID(P698,13,1))=IF(MOD(SUMPRODUCT(--MID(P698,{1,2,3,4,5,6,7,8,9,10,11,12},1),{5,4,3,2,9,8,7,6,5,4,3,2}),11)&lt;2,0,11-MOD(SUMPRODUCT(--MID(P698,{1,2,3,4,5,6,7,8,9,10,11,12},1),{5,4,3,2,9,8,7,6,5,4,3,2}),11)),VALUE(MID(P698,14,1))=IF(MOD(SUMPRODUCT(--MID(P698,{1,2,3,4,5,6,7,8,9,10,11,12,13},1),{6,5,4,3,2,9,8,7,6,5,4,3,2}),11)&lt;2,0,11-MOD(SUMPRODUCT(--MID(P698,{1,2,3,4,5,6,7,8,9,10,11,12,13},1),{6,5,4,3,2,9,8,7,6,5,4,3,2}),11))),"OK","ERRO: dígito verificador")))))</f>
      </c>
      <c r="R698" s="6">
        <f>IF(P698="","",IF(COUNTIF($P$2:$P$1001,P698)&gt;1,"DUPLICADO","OK"))</f>
      </c>
      <c r="S698" s="6">
        <f>IF(AND(J698="",K698=""),"vazio",IF(AND(OR(J698="",LEN(SUBSTITUTE(SUBSTITUTE(SUBSTITUTE(SUBSTITUTE(SUBSTITUTE(SUBSTITUTE(SUBSTITUTE(TRIM(J698),".",""),"/",""),"-","")," ",""),"(",""),")",""),"+",""))=10,LEN(SUBSTITUTE(SUBSTITUTE(SUBSTITUTE(SUBSTITUTE(SUBSTITUTE(SUBSTITUTE(SUBSTITUTE(TRIM(J698),".",""),"/",""),"-","")," ",""),"(",""),")",""),"+",""))=11),OR(K698="",LEN(SUBSTITUTE(SUBSTITUTE(SUBSTITUTE(SUBSTITUTE(SUBSTITUTE(SUBSTITUTE(SUBSTITUTE(TRIM(K698),".",""),"/",""),"-","")," ",""),"(",""),")",""),"+",""))=10,LEN(SUBSTITUTE(SUBSTITUTE(SUBSTITUTE(SUBSTITUTE(SUBSTITUTE(SUBSTITUTE(SUBSTITUTE(TRIM(K698),".",""),"/",""),"-","")," ",""),"(",""),")",""),"+",""))=11)),"OK","ERRO: use DDD + número (10 ou 11 dígitos)"))</f>
      </c>
      <c r="T698" s="6">
        <f>IF(L698="","vazio",IF(AND(ISNUMBER(FIND("@",L698)),ISNUMBER(FIND(".",MID(L698,FIND("@",L698),99))),NOT(ISNUMBER(FIND(" ",TRIM(L698)))),NOT(ISNUMBER(FIND(";",L698))),NOT(ISNUMBER(FIND(",",L698)))),"OK","ERRO: um e-mail válido por linha"))</f>
      </c>
      <c r="U698" s="6">
        <f>IF(COUNTA(A698:O698)=0,"",IF(AND(B698&lt;&gt;"",C698&lt;&gt;"",D698&lt;&gt;"",E698&lt;&gt;"",H698&lt;&gt;"",OR(J698&lt;&gt;"",L698&lt;&gt;"")),"OK","ERRO: faltam "&amp;IF(B698="","Proprietário; ","")&amp;IF(C698="","Origem; ","")&amp;IF(D698="","CNPJ; ","")&amp;IF(E698="","Razão Social; ","")&amp;IF(H698="","Sobrenome; ","")&amp;IF(AND(J698="",L698=""),"telefone ou e-mail; ","")))</f>
      </c>
      <c r="V698" s="6">
        <f>IF(COUNTA(A698:O698)=0,"",IF(AND(Q698="OK",R698="OK",LEFT(S698,4)&lt;&gt;"ERRO",LEFT(T698,4)&lt;&gt;"ERRO",U698="OK"),"OK","REVISAR"))</f>
      </c>
    </row>
    <row r="699">
      <c r="A699" s="4"/>
      <c r="B699" s="5"/>
      <c r="C699" s="5"/>
      <c r="D699" s="5"/>
      <c r="E699" s="5"/>
      <c r="F699" s="4"/>
      <c r="G699" s="4"/>
      <c r="H699" s="5"/>
      <c r="I699" s="4"/>
      <c r="J699" s="4"/>
      <c r="K699" s="4"/>
      <c r="L699" s="4"/>
      <c r="M699" s="4"/>
      <c r="N699" s="4"/>
      <c r="O699" s="4"/>
      <c r="P699" s="6">
        <f>IF(D699="","",SUBSTITUTE(SUBSTITUTE(SUBSTITUTE(SUBSTITUTE(SUBSTITUTE(SUBSTITUTE(SUBSTITUTE(TRIM(D699),".",""),"/",""),"-","")," ",""),"(",""),")",""),"+",""))</f>
      </c>
      <c r="Q699" s="6">
        <f>IF(P699="","",IF(LEN(P699)&lt;&gt;14,"ERRO: "&amp;LEN(P699)&amp;" dígitos",IF(NOT(ISNUMBER(VALUE(P699))),"ERRO: não numérico",IF(LEN(SUBSTITUTE(P699,LEFT(P699,1),""))=0,"ERRO: dígitos repetidos",IF(AND(VALUE(MID(P699,13,1))=IF(MOD(SUMPRODUCT(--MID(P699,{1,2,3,4,5,6,7,8,9,10,11,12},1),{5,4,3,2,9,8,7,6,5,4,3,2}),11)&lt;2,0,11-MOD(SUMPRODUCT(--MID(P699,{1,2,3,4,5,6,7,8,9,10,11,12},1),{5,4,3,2,9,8,7,6,5,4,3,2}),11)),VALUE(MID(P699,14,1))=IF(MOD(SUMPRODUCT(--MID(P699,{1,2,3,4,5,6,7,8,9,10,11,12,13},1),{6,5,4,3,2,9,8,7,6,5,4,3,2}),11)&lt;2,0,11-MOD(SUMPRODUCT(--MID(P699,{1,2,3,4,5,6,7,8,9,10,11,12,13},1),{6,5,4,3,2,9,8,7,6,5,4,3,2}),11))),"OK","ERRO: dígito verificador")))))</f>
      </c>
      <c r="R699" s="6">
        <f>IF(P699="","",IF(COUNTIF($P$2:$P$1001,P699)&gt;1,"DUPLICADO","OK"))</f>
      </c>
      <c r="S699" s="6">
        <f>IF(AND(J699="",K699=""),"vazio",IF(AND(OR(J699="",LEN(SUBSTITUTE(SUBSTITUTE(SUBSTITUTE(SUBSTITUTE(SUBSTITUTE(SUBSTITUTE(SUBSTITUTE(TRIM(J699),".",""),"/",""),"-","")," ",""),"(",""),")",""),"+",""))=10,LEN(SUBSTITUTE(SUBSTITUTE(SUBSTITUTE(SUBSTITUTE(SUBSTITUTE(SUBSTITUTE(SUBSTITUTE(TRIM(J699),".",""),"/",""),"-","")," ",""),"(",""),")",""),"+",""))=11),OR(K699="",LEN(SUBSTITUTE(SUBSTITUTE(SUBSTITUTE(SUBSTITUTE(SUBSTITUTE(SUBSTITUTE(SUBSTITUTE(TRIM(K699),".",""),"/",""),"-","")," ",""),"(",""),")",""),"+",""))=10,LEN(SUBSTITUTE(SUBSTITUTE(SUBSTITUTE(SUBSTITUTE(SUBSTITUTE(SUBSTITUTE(SUBSTITUTE(TRIM(K699),".",""),"/",""),"-","")," ",""),"(",""),")",""),"+",""))=11)),"OK","ERRO: use DDD + número (10 ou 11 dígitos)"))</f>
      </c>
      <c r="T699" s="6">
        <f>IF(L699="","vazio",IF(AND(ISNUMBER(FIND("@",L699)),ISNUMBER(FIND(".",MID(L699,FIND("@",L699),99))),NOT(ISNUMBER(FIND(" ",TRIM(L699)))),NOT(ISNUMBER(FIND(";",L699))),NOT(ISNUMBER(FIND(",",L699)))),"OK","ERRO: um e-mail válido por linha"))</f>
      </c>
      <c r="U699" s="6">
        <f>IF(COUNTA(A699:O699)=0,"",IF(AND(B699&lt;&gt;"",C699&lt;&gt;"",D699&lt;&gt;"",E699&lt;&gt;"",H699&lt;&gt;"",OR(J699&lt;&gt;"",L699&lt;&gt;"")),"OK","ERRO: faltam "&amp;IF(B699="","Proprietário; ","")&amp;IF(C699="","Origem; ","")&amp;IF(D699="","CNPJ; ","")&amp;IF(E699="","Razão Social; ","")&amp;IF(H699="","Sobrenome; ","")&amp;IF(AND(J699="",L699=""),"telefone ou e-mail; ","")))</f>
      </c>
      <c r="V699" s="6">
        <f>IF(COUNTA(A699:O699)=0,"",IF(AND(Q699="OK",R699="OK",LEFT(S699,4)&lt;&gt;"ERRO",LEFT(T699,4)&lt;&gt;"ERRO",U699="OK"),"OK","REVISAR"))</f>
      </c>
    </row>
    <row r="700">
      <c r="A700" s="4"/>
      <c r="B700" s="5"/>
      <c r="C700" s="5"/>
      <c r="D700" s="5"/>
      <c r="E700" s="5"/>
      <c r="F700" s="4"/>
      <c r="G700" s="4"/>
      <c r="H700" s="5"/>
      <c r="I700" s="4"/>
      <c r="J700" s="4"/>
      <c r="K700" s="4"/>
      <c r="L700" s="4"/>
      <c r="M700" s="4"/>
      <c r="N700" s="4"/>
      <c r="O700" s="4"/>
      <c r="P700" s="6">
        <f>IF(D700="","",SUBSTITUTE(SUBSTITUTE(SUBSTITUTE(SUBSTITUTE(SUBSTITUTE(SUBSTITUTE(SUBSTITUTE(TRIM(D700),".",""),"/",""),"-","")," ",""),"(",""),")",""),"+",""))</f>
      </c>
      <c r="Q700" s="6">
        <f>IF(P700="","",IF(LEN(P700)&lt;&gt;14,"ERRO: "&amp;LEN(P700)&amp;" dígitos",IF(NOT(ISNUMBER(VALUE(P700))),"ERRO: não numérico",IF(LEN(SUBSTITUTE(P700,LEFT(P700,1),""))=0,"ERRO: dígitos repetidos",IF(AND(VALUE(MID(P700,13,1))=IF(MOD(SUMPRODUCT(--MID(P700,{1,2,3,4,5,6,7,8,9,10,11,12},1),{5,4,3,2,9,8,7,6,5,4,3,2}),11)&lt;2,0,11-MOD(SUMPRODUCT(--MID(P700,{1,2,3,4,5,6,7,8,9,10,11,12},1),{5,4,3,2,9,8,7,6,5,4,3,2}),11)),VALUE(MID(P700,14,1))=IF(MOD(SUMPRODUCT(--MID(P700,{1,2,3,4,5,6,7,8,9,10,11,12,13},1),{6,5,4,3,2,9,8,7,6,5,4,3,2}),11)&lt;2,0,11-MOD(SUMPRODUCT(--MID(P700,{1,2,3,4,5,6,7,8,9,10,11,12,13},1),{6,5,4,3,2,9,8,7,6,5,4,3,2}),11))),"OK","ERRO: dígito verificador")))))</f>
      </c>
      <c r="R700" s="6">
        <f>IF(P700="","",IF(COUNTIF($P$2:$P$1001,P700)&gt;1,"DUPLICADO","OK"))</f>
      </c>
      <c r="S700" s="6">
        <f>IF(AND(J700="",K700=""),"vazio",IF(AND(OR(J700="",LEN(SUBSTITUTE(SUBSTITUTE(SUBSTITUTE(SUBSTITUTE(SUBSTITUTE(SUBSTITUTE(SUBSTITUTE(TRIM(J700),".",""),"/",""),"-","")," ",""),"(",""),")",""),"+",""))=10,LEN(SUBSTITUTE(SUBSTITUTE(SUBSTITUTE(SUBSTITUTE(SUBSTITUTE(SUBSTITUTE(SUBSTITUTE(TRIM(J700),".",""),"/",""),"-","")," ",""),"(",""),")",""),"+",""))=11),OR(K700="",LEN(SUBSTITUTE(SUBSTITUTE(SUBSTITUTE(SUBSTITUTE(SUBSTITUTE(SUBSTITUTE(SUBSTITUTE(TRIM(K700),".",""),"/",""),"-","")," ",""),"(",""),")",""),"+",""))=10,LEN(SUBSTITUTE(SUBSTITUTE(SUBSTITUTE(SUBSTITUTE(SUBSTITUTE(SUBSTITUTE(SUBSTITUTE(TRIM(K700),".",""),"/",""),"-","")," ",""),"(",""),")",""),"+",""))=11)),"OK","ERRO: use DDD + número (10 ou 11 dígitos)"))</f>
      </c>
      <c r="T700" s="6">
        <f>IF(L700="","vazio",IF(AND(ISNUMBER(FIND("@",L700)),ISNUMBER(FIND(".",MID(L700,FIND("@",L700),99))),NOT(ISNUMBER(FIND(" ",TRIM(L700)))),NOT(ISNUMBER(FIND(";",L700))),NOT(ISNUMBER(FIND(",",L700)))),"OK","ERRO: um e-mail válido por linha"))</f>
      </c>
      <c r="U700" s="6">
        <f>IF(COUNTA(A700:O700)=0,"",IF(AND(B700&lt;&gt;"",C700&lt;&gt;"",D700&lt;&gt;"",E700&lt;&gt;"",H700&lt;&gt;"",OR(J700&lt;&gt;"",L700&lt;&gt;"")),"OK","ERRO: faltam "&amp;IF(B700="","Proprietário; ","")&amp;IF(C700="","Origem; ","")&amp;IF(D700="","CNPJ; ","")&amp;IF(E700="","Razão Social; ","")&amp;IF(H700="","Sobrenome; ","")&amp;IF(AND(J700="",L700=""),"telefone ou e-mail; ","")))</f>
      </c>
      <c r="V700" s="6">
        <f>IF(COUNTA(A700:O700)=0,"",IF(AND(Q700="OK",R700="OK",LEFT(S700,4)&lt;&gt;"ERRO",LEFT(T700,4)&lt;&gt;"ERRO",U700="OK"),"OK","REVISAR"))</f>
      </c>
    </row>
    <row r="701">
      <c r="A701" s="4"/>
      <c r="B701" s="5"/>
      <c r="C701" s="5"/>
      <c r="D701" s="5"/>
      <c r="E701" s="5"/>
      <c r="F701" s="4"/>
      <c r="G701" s="4"/>
      <c r="H701" s="5"/>
      <c r="I701" s="4"/>
      <c r="J701" s="4"/>
      <c r="K701" s="4"/>
      <c r="L701" s="4"/>
      <c r="M701" s="4"/>
      <c r="N701" s="4"/>
      <c r="O701" s="4"/>
      <c r="P701" s="6">
        <f>IF(D701="","",SUBSTITUTE(SUBSTITUTE(SUBSTITUTE(SUBSTITUTE(SUBSTITUTE(SUBSTITUTE(SUBSTITUTE(TRIM(D701),".",""),"/",""),"-","")," ",""),"(",""),")",""),"+",""))</f>
      </c>
      <c r="Q701" s="6">
        <f>IF(P701="","",IF(LEN(P701)&lt;&gt;14,"ERRO: "&amp;LEN(P701)&amp;" dígitos",IF(NOT(ISNUMBER(VALUE(P701))),"ERRO: não numérico",IF(LEN(SUBSTITUTE(P701,LEFT(P701,1),""))=0,"ERRO: dígitos repetidos",IF(AND(VALUE(MID(P701,13,1))=IF(MOD(SUMPRODUCT(--MID(P701,{1,2,3,4,5,6,7,8,9,10,11,12},1),{5,4,3,2,9,8,7,6,5,4,3,2}),11)&lt;2,0,11-MOD(SUMPRODUCT(--MID(P701,{1,2,3,4,5,6,7,8,9,10,11,12},1),{5,4,3,2,9,8,7,6,5,4,3,2}),11)),VALUE(MID(P701,14,1))=IF(MOD(SUMPRODUCT(--MID(P701,{1,2,3,4,5,6,7,8,9,10,11,12,13},1),{6,5,4,3,2,9,8,7,6,5,4,3,2}),11)&lt;2,0,11-MOD(SUMPRODUCT(--MID(P701,{1,2,3,4,5,6,7,8,9,10,11,12,13},1),{6,5,4,3,2,9,8,7,6,5,4,3,2}),11))),"OK","ERRO: dígito verificador")))))</f>
      </c>
      <c r="R701" s="6">
        <f>IF(P701="","",IF(COUNTIF($P$2:$P$1001,P701)&gt;1,"DUPLICADO","OK"))</f>
      </c>
      <c r="S701" s="6">
        <f>IF(AND(J701="",K701=""),"vazio",IF(AND(OR(J701="",LEN(SUBSTITUTE(SUBSTITUTE(SUBSTITUTE(SUBSTITUTE(SUBSTITUTE(SUBSTITUTE(SUBSTITUTE(TRIM(J701),".",""),"/",""),"-","")," ",""),"(",""),")",""),"+",""))=10,LEN(SUBSTITUTE(SUBSTITUTE(SUBSTITUTE(SUBSTITUTE(SUBSTITUTE(SUBSTITUTE(SUBSTITUTE(TRIM(J701),".",""),"/",""),"-","")," ",""),"(",""),")",""),"+",""))=11),OR(K701="",LEN(SUBSTITUTE(SUBSTITUTE(SUBSTITUTE(SUBSTITUTE(SUBSTITUTE(SUBSTITUTE(SUBSTITUTE(TRIM(K701),".",""),"/",""),"-","")," ",""),"(",""),")",""),"+",""))=10,LEN(SUBSTITUTE(SUBSTITUTE(SUBSTITUTE(SUBSTITUTE(SUBSTITUTE(SUBSTITUTE(SUBSTITUTE(TRIM(K701),".",""),"/",""),"-","")," ",""),"(",""),")",""),"+",""))=11)),"OK","ERRO: use DDD + número (10 ou 11 dígitos)"))</f>
      </c>
      <c r="T701" s="6">
        <f>IF(L701="","vazio",IF(AND(ISNUMBER(FIND("@",L701)),ISNUMBER(FIND(".",MID(L701,FIND("@",L701),99))),NOT(ISNUMBER(FIND(" ",TRIM(L701)))),NOT(ISNUMBER(FIND(";",L701))),NOT(ISNUMBER(FIND(",",L701)))),"OK","ERRO: um e-mail válido por linha"))</f>
      </c>
      <c r="U701" s="6">
        <f>IF(COUNTA(A701:O701)=0,"",IF(AND(B701&lt;&gt;"",C701&lt;&gt;"",D701&lt;&gt;"",E701&lt;&gt;"",H701&lt;&gt;"",OR(J701&lt;&gt;"",L701&lt;&gt;"")),"OK","ERRO: faltam "&amp;IF(B701="","Proprietário; ","")&amp;IF(C701="","Origem; ","")&amp;IF(D701="","CNPJ; ","")&amp;IF(E701="","Razão Social; ","")&amp;IF(H701="","Sobrenome; ","")&amp;IF(AND(J701="",L701=""),"telefone ou e-mail; ","")))</f>
      </c>
      <c r="V701" s="6">
        <f>IF(COUNTA(A701:O701)=0,"",IF(AND(Q701="OK",R701="OK",LEFT(S701,4)&lt;&gt;"ERRO",LEFT(T701,4)&lt;&gt;"ERRO",U701="OK"),"OK","REVISAR"))</f>
      </c>
    </row>
    <row r="702">
      <c r="A702" s="4"/>
      <c r="B702" s="5"/>
      <c r="C702" s="5"/>
      <c r="D702" s="5"/>
      <c r="E702" s="5"/>
      <c r="F702" s="4"/>
      <c r="G702" s="4"/>
      <c r="H702" s="5"/>
      <c r="I702" s="4"/>
      <c r="J702" s="4"/>
      <c r="K702" s="4"/>
      <c r="L702" s="4"/>
      <c r="M702" s="4"/>
      <c r="N702" s="4"/>
      <c r="O702" s="4"/>
      <c r="P702" s="6">
        <f>IF(D702="","",SUBSTITUTE(SUBSTITUTE(SUBSTITUTE(SUBSTITUTE(SUBSTITUTE(SUBSTITUTE(SUBSTITUTE(TRIM(D702),".",""),"/",""),"-","")," ",""),"(",""),")",""),"+",""))</f>
      </c>
      <c r="Q702" s="6">
        <f>IF(P702="","",IF(LEN(P702)&lt;&gt;14,"ERRO: "&amp;LEN(P702)&amp;" dígitos",IF(NOT(ISNUMBER(VALUE(P702))),"ERRO: não numérico",IF(LEN(SUBSTITUTE(P702,LEFT(P702,1),""))=0,"ERRO: dígitos repetidos",IF(AND(VALUE(MID(P702,13,1))=IF(MOD(SUMPRODUCT(--MID(P702,{1,2,3,4,5,6,7,8,9,10,11,12},1),{5,4,3,2,9,8,7,6,5,4,3,2}),11)&lt;2,0,11-MOD(SUMPRODUCT(--MID(P702,{1,2,3,4,5,6,7,8,9,10,11,12},1),{5,4,3,2,9,8,7,6,5,4,3,2}),11)),VALUE(MID(P702,14,1))=IF(MOD(SUMPRODUCT(--MID(P702,{1,2,3,4,5,6,7,8,9,10,11,12,13},1),{6,5,4,3,2,9,8,7,6,5,4,3,2}),11)&lt;2,0,11-MOD(SUMPRODUCT(--MID(P702,{1,2,3,4,5,6,7,8,9,10,11,12,13},1),{6,5,4,3,2,9,8,7,6,5,4,3,2}),11))),"OK","ERRO: dígito verificador")))))</f>
      </c>
      <c r="R702" s="6">
        <f>IF(P702="","",IF(COUNTIF($P$2:$P$1001,P702)&gt;1,"DUPLICADO","OK"))</f>
      </c>
      <c r="S702" s="6">
        <f>IF(AND(J702="",K702=""),"vazio",IF(AND(OR(J702="",LEN(SUBSTITUTE(SUBSTITUTE(SUBSTITUTE(SUBSTITUTE(SUBSTITUTE(SUBSTITUTE(SUBSTITUTE(TRIM(J702),".",""),"/",""),"-","")," ",""),"(",""),")",""),"+",""))=10,LEN(SUBSTITUTE(SUBSTITUTE(SUBSTITUTE(SUBSTITUTE(SUBSTITUTE(SUBSTITUTE(SUBSTITUTE(TRIM(J702),".",""),"/",""),"-","")," ",""),"(",""),")",""),"+",""))=11),OR(K702="",LEN(SUBSTITUTE(SUBSTITUTE(SUBSTITUTE(SUBSTITUTE(SUBSTITUTE(SUBSTITUTE(SUBSTITUTE(TRIM(K702),".",""),"/",""),"-","")," ",""),"(",""),")",""),"+",""))=10,LEN(SUBSTITUTE(SUBSTITUTE(SUBSTITUTE(SUBSTITUTE(SUBSTITUTE(SUBSTITUTE(SUBSTITUTE(TRIM(K702),".",""),"/",""),"-","")," ",""),"(",""),")",""),"+",""))=11)),"OK","ERRO: use DDD + número (10 ou 11 dígitos)"))</f>
      </c>
      <c r="T702" s="6">
        <f>IF(L702="","vazio",IF(AND(ISNUMBER(FIND("@",L702)),ISNUMBER(FIND(".",MID(L702,FIND("@",L702),99))),NOT(ISNUMBER(FIND(" ",TRIM(L702)))),NOT(ISNUMBER(FIND(";",L702))),NOT(ISNUMBER(FIND(",",L702)))),"OK","ERRO: um e-mail válido por linha"))</f>
      </c>
      <c r="U702" s="6">
        <f>IF(COUNTA(A702:O702)=0,"",IF(AND(B702&lt;&gt;"",C702&lt;&gt;"",D702&lt;&gt;"",E702&lt;&gt;"",H702&lt;&gt;"",OR(J702&lt;&gt;"",L702&lt;&gt;"")),"OK","ERRO: faltam "&amp;IF(B702="","Proprietário; ","")&amp;IF(C702="","Origem; ","")&amp;IF(D702="","CNPJ; ","")&amp;IF(E702="","Razão Social; ","")&amp;IF(H702="","Sobrenome; ","")&amp;IF(AND(J702="",L702=""),"telefone ou e-mail; ","")))</f>
      </c>
      <c r="V702" s="6">
        <f>IF(COUNTA(A702:O702)=0,"",IF(AND(Q702="OK",R702="OK",LEFT(S702,4)&lt;&gt;"ERRO",LEFT(T702,4)&lt;&gt;"ERRO",U702="OK"),"OK","REVISAR"))</f>
      </c>
    </row>
    <row r="703">
      <c r="A703" s="4"/>
      <c r="B703" s="5"/>
      <c r="C703" s="5"/>
      <c r="D703" s="5"/>
      <c r="E703" s="5"/>
      <c r="F703" s="4"/>
      <c r="G703" s="4"/>
      <c r="H703" s="5"/>
      <c r="I703" s="4"/>
      <c r="J703" s="4"/>
      <c r="K703" s="4"/>
      <c r="L703" s="4"/>
      <c r="M703" s="4"/>
      <c r="N703" s="4"/>
      <c r="O703" s="4"/>
      <c r="P703" s="6">
        <f>IF(D703="","",SUBSTITUTE(SUBSTITUTE(SUBSTITUTE(SUBSTITUTE(SUBSTITUTE(SUBSTITUTE(SUBSTITUTE(TRIM(D703),".",""),"/",""),"-","")," ",""),"(",""),")",""),"+",""))</f>
      </c>
      <c r="Q703" s="6">
        <f>IF(P703="","",IF(LEN(P703)&lt;&gt;14,"ERRO: "&amp;LEN(P703)&amp;" dígitos",IF(NOT(ISNUMBER(VALUE(P703))),"ERRO: não numérico",IF(LEN(SUBSTITUTE(P703,LEFT(P703,1),""))=0,"ERRO: dígitos repetidos",IF(AND(VALUE(MID(P703,13,1))=IF(MOD(SUMPRODUCT(--MID(P703,{1,2,3,4,5,6,7,8,9,10,11,12},1),{5,4,3,2,9,8,7,6,5,4,3,2}),11)&lt;2,0,11-MOD(SUMPRODUCT(--MID(P703,{1,2,3,4,5,6,7,8,9,10,11,12},1),{5,4,3,2,9,8,7,6,5,4,3,2}),11)),VALUE(MID(P703,14,1))=IF(MOD(SUMPRODUCT(--MID(P703,{1,2,3,4,5,6,7,8,9,10,11,12,13},1),{6,5,4,3,2,9,8,7,6,5,4,3,2}),11)&lt;2,0,11-MOD(SUMPRODUCT(--MID(P703,{1,2,3,4,5,6,7,8,9,10,11,12,13},1),{6,5,4,3,2,9,8,7,6,5,4,3,2}),11))),"OK","ERRO: dígito verificador")))))</f>
      </c>
      <c r="R703" s="6">
        <f>IF(P703="","",IF(COUNTIF($P$2:$P$1001,P703)&gt;1,"DUPLICADO","OK"))</f>
      </c>
      <c r="S703" s="6">
        <f>IF(AND(J703="",K703=""),"vazio",IF(AND(OR(J703="",LEN(SUBSTITUTE(SUBSTITUTE(SUBSTITUTE(SUBSTITUTE(SUBSTITUTE(SUBSTITUTE(SUBSTITUTE(TRIM(J703),".",""),"/",""),"-","")," ",""),"(",""),")",""),"+",""))=10,LEN(SUBSTITUTE(SUBSTITUTE(SUBSTITUTE(SUBSTITUTE(SUBSTITUTE(SUBSTITUTE(SUBSTITUTE(TRIM(J703),".",""),"/",""),"-","")," ",""),"(",""),")",""),"+",""))=11),OR(K703="",LEN(SUBSTITUTE(SUBSTITUTE(SUBSTITUTE(SUBSTITUTE(SUBSTITUTE(SUBSTITUTE(SUBSTITUTE(TRIM(K703),".",""),"/",""),"-","")," ",""),"(",""),")",""),"+",""))=10,LEN(SUBSTITUTE(SUBSTITUTE(SUBSTITUTE(SUBSTITUTE(SUBSTITUTE(SUBSTITUTE(SUBSTITUTE(TRIM(K703),".",""),"/",""),"-","")," ",""),"(",""),")",""),"+",""))=11)),"OK","ERRO: use DDD + número (10 ou 11 dígitos)"))</f>
      </c>
      <c r="T703" s="6">
        <f>IF(L703="","vazio",IF(AND(ISNUMBER(FIND("@",L703)),ISNUMBER(FIND(".",MID(L703,FIND("@",L703),99))),NOT(ISNUMBER(FIND(" ",TRIM(L703)))),NOT(ISNUMBER(FIND(";",L703))),NOT(ISNUMBER(FIND(",",L703)))),"OK","ERRO: um e-mail válido por linha"))</f>
      </c>
      <c r="U703" s="6">
        <f>IF(COUNTA(A703:O703)=0,"",IF(AND(B703&lt;&gt;"",C703&lt;&gt;"",D703&lt;&gt;"",E703&lt;&gt;"",H703&lt;&gt;"",OR(J703&lt;&gt;"",L703&lt;&gt;"")),"OK","ERRO: faltam "&amp;IF(B703="","Proprietário; ","")&amp;IF(C703="","Origem; ","")&amp;IF(D703="","CNPJ; ","")&amp;IF(E703="","Razão Social; ","")&amp;IF(H703="","Sobrenome; ","")&amp;IF(AND(J703="",L703=""),"telefone ou e-mail; ","")))</f>
      </c>
      <c r="V703" s="6">
        <f>IF(COUNTA(A703:O703)=0,"",IF(AND(Q703="OK",R703="OK",LEFT(S703,4)&lt;&gt;"ERRO",LEFT(T703,4)&lt;&gt;"ERRO",U703="OK"),"OK","REVISAR"))</f>
      </c>
    </row>
    <row r="704">
      <c r="A704" s="4"/>
      <c r="B704" s="5"/>
      <c r="C704" s="5"/>
      <c r="D704" s="5"/>
      <c r="E704" s="5"/>
      <c r="F704" s="4"/>
      <c r="G704" s="4"/>
      <c r="H704" s="5"/>
      <c r="I704" s="4"/>
      <c r="J704" s="4"/>
      <c r="K704" s="4"/>
      <c r="L704" s="4"/>
      <c r="M704" s="4"/>
      <c r="N704" s="4"/>
      <c r="O704" s="4"/>
      <c r="P704" s="6">
        <f>IF(D704="","",SUBSTITUTE(SUBSTITUTE(SUBSTITUTE(SUBSTITUTE(SUBSTITUTE(SUBSTITUTE(SUBSTITUTE(TRIM(D704),".",""),"/",""),"-","")," ",""),"(",""),")",""),"+",""))</f>
      </c>
      <c r="Q704" s="6">
        <f>IF(P704="","",IF(LEN(P704)&lt;&gt;14,"ERRO: "&amp;LEN(P704)&amp;" dígitos",IF(NOT(ISNUMBER(VALUE(P704))),"ERRO: não numérico",IF(LEN(SUBSTITUTE(P704,LEFT(P704,1),""))=0,"ERRO: dígitos repetidos",IF(AND(VALUE(MID(P704,13,1))=IF(MOD(SUMPRODUCT(--MID(P704,{1,2,3,4,5,6,7,8,9,10,11,12},1),{5,4,3,2,9,8,7,6,5,4,3,2}),11)&lt;2,0,11-MOD(SUMPRODUCT(--MID(P704,{1,2,3,4,5,6,7,8,9,10,11,12},1),{5,4,3,2,9,8,7,6,5,4,3,2}),11)),VALUE(MID(P704,14,1))=IF(MOD(SUMPRODUCT(--MID(P704,{1,2,3,4,5,6,7,8,9,10,11,12,13},1),{6,5,4,3,2,9,8,7,6,5,4,3,2}),11)&lt;2,0,11-MOD(SUMPRODUCT(--MID(P704,{1,2,3,4,5,6,7,8,9,10,11,12,13},1),{6,5,4,3,2,9,8,7,6,5,4,3,2}),11))),"OK","ERRO: dígito verificador")))))</f>
      </c>
      <c r="R704" s="6">
        <f>IF(P704="","",IF(COUNTIF($P$2:$P$1001,P704)&gt;1,"DUPLICADO","OK"))</f>
      </c>
      <c r="S704" s="6">
        <f>IF(AND(J704="",K704=""),"vazio",IF(AND(OR(J704="",LEN(SUBSTITUTE(SUBSTITUTE(SUBSTITUTE(SUBSTITUTE(SUBSTITUTE(SUBSTITUTE(SUBSTITUTE(TRIM(J704),".",""),"/",""),"-","")," ",""),"(",""),")",""),"+",""))=10,LEN(SUBSTITUTE(SUBSTITUTE(SUBSTITUTE(SUBSTITUTE(SUBSTITUTE(SUBSTITUTE(SUBSTITUTE(TRIM(J704),".",""),"/",""),"-","")," ",""),"(",""),")",""),"+",""))=11),OR(K704="",LEN(SUBSTITUTE(SUBSTITUTE(SUBSTITUTE(SUBSTITUTE(SUBSTITUTE(SUBSTITUTE(SUBSTITUTE(TRIM(K704),".",""),"/",""),"-","")," ",""),"(",""),")",""),"+",""))=10,LEN(SUBSTITUTE(SUBSTITUTE(SUBSTITUTE(SUBSTITUTE(SUBSTITUTE(SUBSTITUTE(SUBSTITUTE(TRIM(K704),".",""),"/",""),"-","")," ",""),"(",""),")",""),"+",""))=11)),"OK","ERRO: use DDD + número (10 ou 11 dígitos)"))</f>
      </c>
      <c r="T704" s="6">
        <f>IF(L704="","vazio",IF(AND(ISNUMBER(FIND("@",L704)),ISNUMBER(FIND(".",MID(L704,FIND("@",L704),99))),NOT(ISNUMBER(FIND(" ",TRIM(L704)))),NOT(ISNUMBER(FIND(";",L704))),NOT(ISNUMBER(FIND(",",L704)))),"OK","ERRO: um e-mail válido por linha"))</f>
      </c>
      <c r="U704" s="6">
        <f>IF(COUNTA(A704:O704)=0,"",IF(AND(B704&lt;&gt;"",C704&lt;&gt;"",D704&lt;&gt;"",E704&lt;&gt;"",H704&lt;&gt;"",OR(J704&lt;&gt;"",L704&lt;&gt;"")),"OK","ERRO: faltam "&amp;IF(B704="","Proprietário; ","")&amp;IF(C704="","Origem; ","")&amp;IF(D704="","CNPJ; ","")&amp;IF(E704="","Razão Social; ","")&amp;IF(H704="","Sobrenome; ","")&amp;IF(AND(J704="",L704=""),"telefone ou e-mail; ","")))</f>
      </c>
      <c r="V704" s="6">
        <f>IF(COUNTA(A704:O704)=0,"",IF(AND(Q704="OK",R704="OK",LEFT(S704,4)&lt;&gt;"ERRO",LEFT(T704,4)&lt;&gt;"ERRO",U704="OK"),"OK","REVISAR"))</f>
      </c>
    </row>
    <row r="705">
      <c r="A705" s="4"/>
      <c r="B705" s="5"/>
      <c r="C705" s="5"/>
      <c r="D705" s="5"/>
      <c r="E705" s="5"/>
      <c r="F705" s="4"/>
      <c r="G705" s="4"/>
      <c r="H705" s="5"/>
      <c r="I705" s="4"/>
      <c r="J705" s="4"/>
      <c r="K705" s="4"/>
      <c r="L705" s="4"/>
      <c r="M705" s="4"/>
      <c r="N705" s="4"/>
      <c r="O705" s="4"/>
      <c r="P705" s="6">
        <f>IF(D705="","",SUBSTITUTE(SUBSTITUTE(SUBSTITUTE(SUBSTITUTE(SUBSTITUTE(SUBSTITUTE(SUBSTITUTE(TRIM(D705),".",""),"/",""),"-","")," ",""),"(",""),")",""),"+",""))</f>
      </c>
      <c r="Q705" s="6">
        <f>IF(P705="","",IF(LEN(P705)&lt;&gt;14,"ERRO: "&amp;LEN(P705)&amp;" dígitos",IF(NOT(ISNUMBER(VALUE(P705))),"ERRO: não numérico",IF(LEN(SUBSTITUTE(P705,LEFT(P705,1),""))=0,"ERRO: dígitos repetidos",IF(AND(VALUE(MID(P705,13,1))=IF(MOD(SUMPRODUCT(--MID(P705,{1,2,3,4,5,6,7,8,9,10,11,12},1),{5,4,3,2,9,8,7,6,5,4,3,2}),11)&lt;2,0,11-MOD(SUMPRODUCT(--MID(P705,{1,2,3,4,5,6,7,8,9,10,11,12},1),{5,4,3,2,9,8,7,6,5,4,3,2}),11)),VALUE(MID(P705,14,1))=IF(MOD(SUMPRODUCT(--MID(P705,{1,2,3,4,5,6,7,8,9,10,11,12,13},1),{6,5,4,3,2,9,8,7,6,5,4,3,2}),11)&lt;2,0,11-MOD(SUMPRODUCT(--MID(P705,{1,2,3,4,5,6,7,8,9,10,11,12,13},1),{6,5,4,3,2,9,8,7,6,5,4,3,2}),11))),"OK","ERRO: dígito verificador")))))</f>
      </c>
      <c r="R705" s="6">
        <f>IF(P705="","",IF(COUNTIF($P$2:$P$1001,P705)&gt;1,"DUPLICADO","OK"))</f>
      </c>
      <c r="S705" s="6">
        <f>IF(AND(J705="",K705=""),"vazio",IF(AND(OR(J705="",LEN(SUBSTITUTE(SUBSTITUTE(SUBSTITUTE(SUBSTITUTE(SUBSTITUTE(SUBSTITUTE(SUBSTITUTE(TRIM(J705),".",""),"/",""),"-","")," ",""),"(",""),")",""),"+",""))=10,LEN(SUBSTITUTE(SUBSTITUTE(SUBSTITUTE(SUBSTITUTE(SUBSTITUTE(SUBSTITUTE(SUBSTITUTE(TRIM(J705),".",""),"/",""),"-","")," ",""),"(",""),")",""),"+",""))=11),OR(K705="",LEN(SUBSTITUTE(SUBSTITUTE(SUBSTITUTE(SUBSTITUTE(SUBSTITUTE(SUBSTITUTE(SUBSTITUTE(TRIM(K705),".",""),"/",""),"-","")," ",""),"(",""),")",""),"+",""))=10,LEN(SUBSTITUTE(SUBSTITUTE(SUBSTITUTE(SUBSTITUTE(SUBSTITUTE(SUBSTITUTE(SUBSTITUTE(TRIM(K705),".",""),"/",""),"-","")," ",""),"(",""),")",""),"+",""))=11)),"OK","ERRO: use DDD + número (10 ou 11 dígitos)"))</f>
      </c>
      <c r="T705" s="6">
        <f>IF(L705="","vazio",IF(AND(ISNUMBER(FIND("@",L705)),ISNUMBER(FIND(".",MID(L705,FIND("@",L705),99))),NOT(ISNUMBER(FIND(" ",TRIM(L705)))),NOT(ISNUMBER(FIND(";",L705))),NOT(ISNUMBER(FIND(",",L705)))),"OK","ERRO: um e-mail válido por linha"))</f>
      </c>
      <c r="U705" s="6">
        <f>IF(COUNTA(A705:O705)=0,"",IF(AND(B705&lt;&gt;"",C705&lt;&gt;"",D705&lt;&gt;"",E705&lt;&gt;"",H705&lt;&gt;"",OR(J705&lt;&gt;"",L705&lt;&gt;"")),"OK","ERRO: faltam "&amp;IF(B705="","Proprietário; ","")&amp;IF(C705="","Origem; ","")&amp;IF(D705="","CNPJ; ","")&amp;IF(E705="","Razão Social; ","")&amp;IF(H705="","Sobrenome; ","")&amp;IF(AND(J705="",L705=""),"telefone ou e-mail; ","")))</f>
      </c>
      <c r="V705" s="6">
        <f>IF(COUNTA(A705:O705)=0,"",IF(AND(Q705="OK",R705="OK",LEFT(S705,4)&lt;&gt;"ERRO",LEFT(T705,4)&lt;&gt;"ERRO",U705="OK"),"OK","REVISAR"))</f>
      </c>
    </row>
    <row r="706">
      <c r="A706" s="4"/>
      <c r="B706" s="5"/>
      <c r="C706" s="5"/>
      <c r="D706" s="5"/>
      <c r="E706" s="5"/>
      <c r="F706" s="4"/>
      <c r="G706" s="4"/>
      <c r="H706" s="5"/>
      <c r="I706" s="4"/>
      <c r="J706" s="4"/>
      <c r="K706" s="4"/>
      <c r="L706" s="4"/>
      <c r="M706" s="4"/>
      <c r="N706" s="4"/>
      <c r="O706" s="4"/>
      <c r="P706" s="6">
        <f>IF(D706="","",SUBSTITUTE(SUBSTITUTE(SUBSTITUTE(SUBSTITUTE(SUBSTITUTE(SUBSTITUTE(SUBSTITUTE(TRIM(D706),".",""),"/",""),"-","")," ",""),"(",""),")",""),"+",""))</f>
      </c>
      <c r="Q706" s="6">
        <f>IF(P706="","",IF(LEN(P706)&lt;&gt;14,"ERRO: "&amp;LEN(P706)&amp;" dígitos",IF(NOT(ISNUMBER(VALUE(P706))),"ERRO: não numérico",IF(LEN(SUBSTITUTE(P706,LEFT(P706,1),""))=0,"ERRO: dígitos repetidos",IF(AND(VALUE(MID(P706,13,1))=IF(MOD(SUMPRODUCT(--MID(P706,{1,2,3,4,5,6,7,8,9,10,11,12},1),{5,4,3,2,9,8,7,6,5,4,3,2}),11)&lt;2,0,11-MOD(SUMPRODUCT(--MID(P706,{1,2,3,4,5,6,7,8,9,10,11,12},1),{5,4,3,2,9,8,7,6,5,4,3,2}),11)),VALUE(MID(P706,14,1))=IF(MOD(SUMPRODUCT(--MID(P706,{1,2,3,4,5,6,7,8,9,10,11,12,13},1),{6,5,4,3,2,9,8,7,6,5,4,3,2}),11)&lt;2,0,11-MOD(SUMPRODUCT(--MID(P706,{1,2,3,4,5,6,7,8,9,10,11,12,13},1),{6,5,4,3,2,9,8,7,6,5,4,3,2}),11))),"OK","ERRO: dígito verificador")))))</f>
      </c>
      <c r="R706" s="6">
        <f>IF(P706="","",IF(COUNTIF($P$2:$P$1001,P706)&gt;1,"DUPLICADO","OK"))</f>
      </c>
      <c r="S706" s="6">
        <f>IF(AND(J706="",K706=""),"vazio",IF(AND(OR(J706="",LEN(SUBSTITUTE(SUBSTITUTE(SUBSTITUTE(SUBSTITUTE(SUBSTITUTE(SUBSTITUTE(SUBSTITUTE(TRIM(J706),".",""),"/",""),"-","")," ",""),"(",""),")",""),"+",""))=10,LEN(SUBSTITUTE(SUBSTITUTE(SUBSTITUTE(SUBSTITUTE(SUBSTITUTE(SUBSTITUTE(SUBSTITUTE(TRIM(J706),".",""),"/",""),"-","")," ",""),"(",""),")",""),"+",""))=11),OR(K706="",LEN(SUBSTITUTE(SUBSTITUTE(SUBSTITUTE(SUBSTITUTE(SUBSTITUTE(SUBSTITUTE(SUBSTITUTE(TRIM(K706),".",""),"/",""),"-","")," ",""),"(",""),")",""),"+",""))=10,LEN(SUBSTITUTE(SUBSTITUTE(SUBSTITUTE(SUBSTITUTE(SUBSTITUTE(SUBSTITUTE(SUBSTITUTE(TRIM(K706),".",""),"/",""),"-","")," ",""),"(",""),")",""),"+",""))=11)),"OK","ERRO: use DDD + número (10 ou 11 dígitos)"))</f>
      </c>
      <c r="T706" s="6">
        <f>IF(L706="","vazio",IF(AND(ISNUMBER(FIND("@",L706)),ISNUMBER(FIND(".",MID(L706,FIND("@",L706),99))),NOT(ISNUMBER(FIND(" ",TRIM(L706)))),NOT(ISNUMBER(FIND(";",L706))),NOT(ISNUMBER(FIND(",",L706)))),"OK","ERRO: um e-mail válido por linha"))</f>
      </c>
      <c r="U706" s="6">
        <f>IF(COUNTA(A706:O706)=0,"",IF(AND(B706&lt;&gt;"",C706&lt;&gt;"",D706&lt;&gt;"",E706&lt;&gt;"",H706&lt;&gt;"",OR(J706&lt;&gt;"",L706&lt;&gt;"")),"OK","ERRO: faltam "&amp;IF(B706="","Proprietário; ","")&amp;IF(C706="","Origem; ","")&amp;IF(D706="","CNPJ; ","")&amp;IF(E706="","Razão Social; ","")&amp;IF(H706="","Sobrenome; ","")&amp;IF(AND(J706="",L706=""),"telefone ou e-mail; ","")))</f>
      </c>
      <c r="V706" s="6">
        <f>IF(COUNTA(A706:O706)=0,"",IF(AND(Q706="OK",R706="OK",LEFT(S706,4)&lt;&gt;"ERRO",LEFT(T706,4)&lt;&gt;"ERRO",U706="OK"),"OK","REVISAR"))</f>
      </c>
    </row>
    <row r="707">
      <c r="A707" s="4"/>
      <c r="B707" s="5"/>
      <c r="C707" s="5"/>
      <c r="D707" s="5"/>
      <c r="E707" s="5"/>
      <c r="F707" s="4"/>
      <c r="G707" s="4"/>
      <c r="H707" s="5"/>
      <c r="I707" s="4"/>
      <c r="J707" s="4"/>
      <c r="K707" s="4"/>
      <c r="L707" s="4"/>
      <c r="M707" s="4"/>
      <c r="N707" s="4"/>
      <c r="O707" s="4"/>
      <c r="P707" s="6">
        <f>IF(D707="","",SUBSTITUTE(SUBSTITUTE(SUBSTITUTE(SUBSTITUTE(SUBSTITUTE(SUBSTITUTE(SUBSTITUTE(TRIM(D707),".",""),"/",""),"-","")," ",""),"(",""),")",""),"+",""))</f>
      </c>
      <c r="Q707" s="6">
        <f>IF(P707="","",IF(LEN(P707)&lt;&gt;14,"ERRO: "&amp;LEN(P707)&amp;" dígitos",IF(NOT(ISNUMBER(VALUE(P707))),"ERRO: não numérico",IF(LEN(SUBSTITUTE(P707,LEFT(P707,1),""))=0,"ERRO: dígitos repetidos",IF(AND(VALUE(MID(P707,13,1))=IF(MOD(SUMPRODUCT(--MID(P707,{1,2,3,4,5,6,7,8,9,10,11,12},1),{5,4,3,2,9,8,7,6,5,4,3,2}),11)&lt;2,0,11-MOD(SUMPRODUCT(--MID(P707,{1,2,3,4,5,6,7,8,9,10,11,12},1),{5,4,3,2,9,8,7,6,5,4,3,2}),11)),VALUE(MID(P707,14,1))=IF(MOD(SUMPRODUCT(--MID(P707,{1,2,3,4,5,6,7,8,9,10,11,12,13},1),{6,5,4,3,2,9,8,7,6,5,4,3,2}),11)&lt;2,0,11-MOD(SUMPRODUCT(--MID(P707,{1,2,3,4,5,6,7,8,9,10,11,12,13},1),{6,5,4,3,2,9,8,7,6,5,4,3,2}),11))),"OK","ERRO: dígito verificador")))))</f>
      </c>
      <c r="R707" s="6">
        <f>IF(P707="","",IF(COUNTIF($P$2:$P$1001,P707)&gt;1,"DUPLICADO","OK"))</f>
      </c>
      <c r="S707" s="6">
        <f>IF(AND(J707="",K707=""),"vazio",IF(AND(OR(J707="",LEN(SUBSTITUTE(SUBSTITUTE(SUBSTITUTE(SUBSTITUTE(SUBSTITUTE(SUBSTITUTE(SUBSTITUTE(TRIM(J707),".",""),"/",""),"-","")," ",""),"(",""),")",""),"+",""))=10,LEN(SUBSTITUTE(SUBSTITUTE(SUBSTITUTE(SUBSTITUTE(SUBSTITUTE(SUBSTITUTE(SUBSTITUTE(TRIM(J707),".",""),"/",""),"-","")," ",""),"(",""),")",""),"+",""))=11),OR(K707="",LEN(SUBSTITUTE(SUBSTITUTE(SUBSTITUTE(SUBSTITUTE(SUBSTITUTE(SUBSTITUTE(SUBSTITUTE(TRIM(K707),".",""),"/",""),"-","")," ",""),"(",""),")",""),"+",""))=10,LEN(SUBSTITUTE(SUBSTITUTE(SUBSTITUTE(SUBSTITUTE(SUBSTITUTE(SUBSTITUTE(SUBSTITUTE(TRIM(K707),".",""),"/",""),"-","")," ",""),"(",""),")",""),"+",""))=11)),"OK","ERRO: use DDD + número (10 ou 11 dígitos)"))</f>
      </c>
      <c r="T707" s="6">
        <f>IF(L707="","vazio",IF(AND(ISNUMBER(FIND("@",L707)),ISNUMBER(FIND(".",MID(L707,FIND("@",L707),99))),NOT(ISNUMBER(FIND(" ",TRIM(L707)))),NOT(ISNUMBER(FIND(";",L707))),NOT(ISNUMBER(FIND(",",L707)))),"OK","ERRO: um e-mail válido por linha"))</f>
      </c>
      <c r="U707" s="6">
        <f>IF(COUNTA(A707:O707)=0,"",IF(AND(B707&lt;&gt;"",C707&lt;&gt;"",D707&lt;&gt;"",E707&lt;&gt;"",H707&lt;&gt;"",OR(J707&lt;&gt;"",L707&lt;&gt;"")),"OK","ERRO: faltam "&amp;IF(B707="","Proprietário; ","")&amp;IF(C707="","Origem; ","")&amp;IF(D707="","CNPJ; ","")&amp;IF(E707="","Razão Social; ","")&amp;IF(H707="","Sobrenome; ","")&amp;IF(AND(J707="",L707=""),"telefone ou e-mail; ","")))</f>
      </c>
      <c r="V707" s="6">
        <f>IF(COUNTA(A707:O707)=0,"",IF(AND(Q707="OK",R707="OK",LEFT(S707,4)&lt;&gt;"ERRO",LEFT(T707,4)&lt;&gt;"ERRO",U707="OK"),"OK","REVISAR"))</f>
      </c>
    </row>
    <row r="708">
      <c r="A708" s="4"/>
      <c r="B708" s="5"/>
      <c r="C708" s="5"/>
      <c r="D708" s="5"/>
      <c r="E708" s="5"/>
      <c r="F708" s="4"/>
      <c r="G708" s="4"/>
      <c r="H708" s="5"/>
      <c r="I708" s="4"/>
      <c r="J708" s="4"/>
      <c r="K708" s="4"/>
      <c r="L708" s="4"/>
      <c r="M708" s="4"/>
      <c r="N708" s="4"/>
      <c r="O708" s="4"/>
      <c r="P708" s="6">
        <f>IF(D708="","",SUBSTITUTE(SUBSTITUTE(SUBSTITUTE(SUBSTITUTE(SUBSTITUTE(SUBSTITUTE(SUBSTITUTE(TRIM(D708),".",""),"/",""),"-","")," ",""),"(",""),")",""),"+",""))</f>
      </c>
      <c r="Q708" s="6">
        <f>IF(P708="","",IF(LEN(P708)&lt;&gt;14,"ERRO: "&amp;LEN(P708)&amp;" dígitos",IF(NOT(ISNUMBER(VALUE(P708))),"ERRO: não numérico",IF(LEN(SUBSTITUTE(P708,LEFT(P708,1),""))=0,"ERRO: dígitos repetidos",IF(AND(VALUE(MID(P708,13,1))=IF(MOD(SUMPRODUCT(--MID(P708,{1,2,3,4,5,6,7,8,9,10,11,12},1),{5,4,3,2,9,8,7,6,5,4,3,2}),11)&lt;2,0,11-MOD(SUMPRODUCT(--MID(P708,{1,2,3,4,5,6,7,8,9,10,11,12},1),{5,4,3,2,9,8,7,6,5,4,3,2}),11)),VALUE(MID(P708,14,1))=IF(MOD(SUMPRODUCT(--MID(P708,{1,2,3,4,5,6,7,8,9,10,11,12,13},1),{6,5,4,3,2,9,8,7,6,5,4,3,2}),11)&lt;2,0,11-MOD(SUMPRODUCT(--MID(P708,{1,2,3,4,5,6,7,8,9,10,11,12,13},1),{6,5,4,3,2,9,8,7,6,5,4,3,2}),11))),"OK","ERRO: dígito verificador")))))</f>
      </c>
      <c r="R708" s="6">
        <f>IF(P708="","",IF(COUNTIF($P$2:$P$1001,P708)&gt;1,"DUPLICADO","OK"))</f>
      </c>
      <c r="S708" s="6">
        <f>IF(AND(J708="",K708=""),"vazio",IF(AND(OR(J708="",LEN(SUBSTITUTE(SUBSTITUTE(SUBSTITUTE(SUBSTITUTE(SUBSTITUTE(SUBSTITUTE(SUBSTITUTE(TRIM(J708),".",""),"/",""),"-","")," ",""),"(",""),")",""),"+",""))=10,LEN(SUBSTITUTE(SUBSTITUTE(SUBSTITUTE(SUBSTITUTE(SUBSTITUTE(SUBSTITUTE(SUBSTITUTE(TRIM(J708),".",""),"/",""),"-","")," ",""),"(",""),")",""),"+",""))=11),OR(K708="",LEN(SUBSTITUTE(SUBSTITUTE(SUBSTITUTE(SUBSTITUTE(SUBSTITUTE(SUBSTITUTE(SUBSTITUTE(TRIM(K708),".",""),"/",""),"-","")," ",""),"(",""),")",""),"+",""))=10,LEN(SUBSTITUTE(SUBSTITUTE(SUBSTITUTE(SUBSTITUTE(SUBSTITUTE(SUBSTITUTE(SUBSTITUTE(TRIM(K708),".",""),"/",""),"-","")," ",""),"(",""),")",""),"+",""))=11)),"OK","ERRO: use DDD + número (10 ou 11 dígitos)"))</f>
      </c>
      <c r="T708" s="6">
        <f>IF(L708="","vazio",IF(AND(ISNUMBER(FIND("@",L708)),ISNUMBER(FIND(".",MID(L708,FIND("@",L708),99))),NOT(ISNUMBER(FIND(" ",TRIM(L708)))),NOT(ISNUMBER(FIND(";",L708))),NOT(ISNUMBER(FIND(",",L708)))),"OK","ERRO: um e-mail válido por linha"))</f>
      </c>
      <c r="U708" s="6">
        <f>IF(COUNTA(A708:O708)=0,"",IF(AND(B708&lt;&gt;"",C708&lt;&gt;"",D708&lt;&gt;"",E708&lt;&gt;"",H708&lt;&gt;"",OR(J708&lt;&gt;"",L708&lt;&gt;"")),"OK","ERRO: faltam "&amp;IF(B708="","Proprietário; ","")&amp;IF(C708="","Origem; ","")&amp;IF(D708="","CNPJ; ","")&amp;IF(E708="","Razão Social; ","")&amp;IF(H708="","Sobrenome; ","")&amp;IF(AND(J708="",L708=""),"telefone ou e-mail; ","")))</f>
      </c>
      <c r="V708" s="6">
        <f>IF(COUNTA(A708:O708)=0,"",IF(AND(Q708="OK",R708="OK",LEFT(S708,4)&lt;&gt;"ERRO",LEFT(T708,4)&lt;&gt;"ERRO",U708="OK"),"OK","REVISAR"))</f>
      </c>
    </row>
    <row r="709">
      <c r="A709" s="4"/>
      <c r="B709" s="5"/>
      <c r="C709" s="5"/>
      <c r="D709" s="5"/>
      <c r="E709" s="5"/>
      <c r="F709" s="4"/>
      <c r="G709" s="4"/>
      <c r="H709" s="5"/>
      <c r="I709" s="4"/>
      <c r="J709" s="4"/>
      <c r="K709" s="4"/>
      <c r="L709" s="4"/>
      <c r="M709" s="4"/>
      <c r="N709" s="4"/>
      <c r="O709" s="4"/>
      <c r="P709" s="6">
        <f>IF(D709="","",SUBSTITUTE(SUBSTITUTE(SUBSTITUTE(SUBSTITUTE(SUBSTITUTE(SUBSTITUTE(SUBSTITUTE(TRIM(D709),".",""),"/",""),"-","")," ",""),"(",""),")",""),"+",""))</f>
      </c>
      <c r="Q709" s="6">
        <f>IF(P709="","",IF(LEN(P709)&lt;&gt;14,"ERRO: "&amp;LEN(P709)&amp;" dígitos",IF(NOT(ISNUMBER(VALUE(P709))),"ERRO: não numérico",IF(LEN(SUBSTITUTE(P709,LEFT(P709,1),""))=0,"ERRO: dígitos repetidos",IF(AND(VALUE(MID(P709,13,1))=IF(MOD(SUMPRODUCT(--MID(P709,{1,2,3,4,5,6,7,8,9,10,11,12},1),{5,4,3,2,9,8,7,6,5,4,3,2}),11)&lt;2,0,11-MOD(SUMPRODUCT(--MID(P709,{1,2,3,4,5,6,7,8,9,10,11,12},1),{5,4,3,2,9,8,7,6,5,4,3,2}),11)),VALUE(MID(P709,14,1))=IF(MOD(SUMPRODUCT(--MID(P709,{1,2,3,4,5,6,7,8,9,10,11,12,13},1),{6,5,4,3,2,9,8,7,6,5,4,3,2}),11)&lt;2,0,11-MOD(SUMPRODUCT(--MID(P709,{1,2,3,4,5,6,7,8,9,10,11,12,13},1),{6,5,4,3,2,9,8,7,6,5,4,3,2}),11))),"OK","ERRO: dígito verificador")))))</f>
      </c>
      <c r="R709" s="6">
        <f>IF(P709="","",IF(COUNTIF($P$2:$P$1001,P709)&gt;1,"DUPLICADO","OK"))</f>
      </c>
      <c r="S709" s="6">
        <f>IF(AND(J709="",K709=""),"vazio",IF(AND(OR(J709="",LEN(SUBSTITUTE(SUBSTITUTE(SUBSTITUTE(SUBSTITUTE(SUBSTITUTE(SUBSTITUTE(SUBSTITUTE(TRIM(J709),".",""),"/",""),"-","")," ",""),"(",""),")",""),"+",""))=10,LEN(SUBSTITUTE(SUBSTITUTE(SUBSTITUTE(SUBSTITUTE(SUBSTITUTE(SUBSTITUTE(SUBSTITUTE(TRIM(J709),".",""),"/",""),"-","")," ",""),"(",""),")",""),"+",""))=11),OR(K709="",LEN(SUBSTITUTE(SUBSTITUTE(SUBSTITUTE(SUBSTITUTE(SUBSTITUTE(SUBSTITUTE(SUBSTITUTE(TRIM(K709),".",""),"/",""),"-","")," ",""),"(",""),")",""),"+",""))=10,LEN(SUBSTITUTE(SUBSTITUTE(SUBSTITUTE(SUBSTITUTE(SUBSTITUTE(SUBSTITUTE(SUBSTITUTE(TRIM(K709),".",""),"/",""),"-","")," ",""),"(",""),")",""),"+",""))=11)),"OK","ERRO: use DDD + número (10 ou 11 dígitos)"))</f>
      </c>
      <c r="T709" s="6">
        <f>IF(L709="","vazio",IF(AND(ISNUMBER(FIND("@",L709)),ISNUMBER(FIND(".",MID(L709,FIND("@",L709),99))),NOT(ISNUMBER(FIND(" ",TRIM(L709)))),NOT(ISNUMBER(FIND(";",L709))),NOT(ISNUMBER(FIND(",",L709)))),"OK","ERRO: um e-mail válido por linha"))</f>
      </c>
      <c r="U709" s="6">
        <f>IF(COUNTA(A709:O709)=0,"",IF(AND(B709&lt;&gt;"",C709&lt;&gt;"",D709&lt;&gt;"",E709&lt;&gt;"",H709&lt;&gt;"",OR(J709&lt;&gt;"",L709&lt;&gt;"")),"OK","ERRO: faltam "&amp;IF(B709="","Proprietário; ","")&amp;IF(C709="","Origem; ","")&amp;IF(D709="","CNPJ; ","")&amp;IF(E709="","Razão Social; ","")&amp;IF(H709="","Sobrenome; ","")&amp;IF(AND(J709="",L709=""),"telefone ou e-mail; ","")))</f>
      </c>
      <c r="V709" s="6">
        <f>IF(COUNTA(A709:O709)=0,"",IF(AND(Q709="OK",R709="OK",LEFT(S709,4)&lt;&gt;"ERRO",LEFT(T709,4)&lt;&gt;"ERRO",U709="OK"),"OK","REVISAR"))</f>
      </c>
    </row>
    <row r="710">
      <c r="A710" s="4"/>
      <c r="B710" s="5"/>
      <c r="C710" s="5"/>
      <c r="D710" s="5"/>
      <c r="E710" s="5"/>
      <c r="F710" s="4"/>
      <c r="G710" s="4"/>
      <c r="H710" s="5"/>
      <c r="I710" s="4"/>
      <c r="J710" s="4"/>
      <c r="K710" s="4"/>
      <c r="L710" s="4"/>
      <c r="M710" s="4"/>
      <c r="N710" s="4"/>
      <c r="O710" s="4"/>
      <c r="P710" s="6">
        <f>IF(D710="","",SUBSTITUTE(SUBSTITUTE(SUBSTITUTE(SUBSTITUTE(SUBSTITUTE(SUBSTITUTE(SUBSTITUTE(TRIM(D710),".",""),"/",""),"-","")," ",""),"(",""),")",""),"+",""))</f>
      </c>
      <c r="Q710" s="6">
        <f>IF(P710="","",IF(LEN(P710)&lt;&gt;14,"ERRO: "&amp;LEN(P710)&amp;" dígitos",IF(NOT(ISNUMBER(VALUE(P710))),"ERRO: não numérico",IF(LEN(SUBSTITUTE(P710,LEFT(P710,1),""))=0,"ERRO: dígitos repetidos",IF(AND(VALUE(MID(P710,13,1))=IF(MOD(SUMPRODUCT(--MID(P710,{1,2,3,4,5,6,7,8,9,10,11,12},1),{5,4,3,2,9,8,7,6,5,4,3,2}),11)&lt;2,0,11-MOD(SUMPRODUCT(--MID(P710,{1,2,3,4,5,6,7,8,9,10,11,12},1),{5,4,3,2,9,8,7,6,5,4,3,2}),11)),VALUE(MID(P710,14,1))=IF(MOD(SUMPRODUCT(--MID(P710,{1,2,3,4,5,6,7,8,9,10,11,12,13},1),{6,5,4,3,2,9,8,7,6,5,4,3,2}),11)&lt;2,0,11-MOD(SUMPRODUCT(--MID(P710,{1,2,3,4,5,6,7,8,9,10,11,12,13},1),{6,5,4,3,2,9,8,7,6,5,4,3,2}),11))),"OK","ERRO: dígito verificador")))))</f>
      </c>
      <c r="R710" s="6">
        <f>IF(P710="","",IF(COUNTIF($P$2:$P$1001,P710)&gt;1,"DUPLICADO","OK"))</f>
      </c>
      <c r="S710" s="6">
        <f>IF(AND(J710="",K710=""),"vazio",IF(AND(OR(J710="",LEN(SUBSTITUTE(SUBSTITUTE(SUBSTITUTE(SUBSTITUTE(SUBSTITUTE(SUBSTITUTE(SUBSTITUTE(TRIM(J710),".",""),"/",""),"-","")," ",""),"(",""),")",""),"+",""))=10,LEN(SUBSTITUTE(SUBSTITUTE(SUBSTITUTE(SUBSTITUTE(SUBSTITUTE(SUBSTITUTE(SUBSTITUTE(TRIM(J710),".",""),"/",""),"-","")," ",""),"(",""),")",""),"+",""))=11),OR(K710="",LEN(SUBSTITUTE(SUBSTITUTE(SUBSTITUTE(SUBSTITUTE(SUBSTITUTE(SUBSTITUTE(SUBSTITUTE(TRIM(K710),".",""),"/",""),"-","")," ",""),"(",""),")",""),"+",""))=10,LEN(SUBSTITUTE(SUBSTITUTE(SUBSTITUTE(SUBSTITUTE(SUBSTITUTE(SUBSTITUTE(SUBSTITUTE(TRIM(K710),".",""),"/",""),"-","")," ",""),"(",""),")",""),"+",""))=11)),"OK","ERRO: use DDD + número (10 ou 11 dígitos)"))</f>
      </c>
      <c r="T710" s="6">
        <f>IF(L710="","vazio",IF(AND(ISNUMBER(FIND("@",L710)),ISNUMBER(FIND(".",MID(L710,FIND("@",L710),99))),NOT(ISNUMBER(FIND(" ",TRIM(L710)))),NOT(ISNUMBER(FIND(";",L710))),NOT(ISNUMBER(FIND(",",L710)))),"OK","ERRO: um e-mail válido por linha"))</f>
      </c>
      <c r="U710" s="6">
        <f>IF(COUNTA(A710:O710)=0,"",IF(AND(B710&lt;&gt;"",C710&lt;&gt;"",D710&lt;&gt;"",E710&lt;&gt;"",H710&lt;&gt;"",OR(J710&lt;&gt;"",L710&lt;&gt;"")),"OK","ERRO: faltam "&amp;IF(B710="","Proprietário; ","")&amp;IF(C710="","Origem; ","")&amp;IF(D710="","CNPJ; ","")&amp;IF(E710="","Razão Social; ","")&amp;IF(H710="","Sobrenome; ","")&amp;IF(AND(J710="",L710=""),"telefone ou e-mail; ","")))</f>
      </c>
      <c r="V710" s="6">
        <f>IF(COUNTA(A710:O710)=0,"",IF(AND(Q710="OK",R710="OK",LEFT(S710,4)&lt;&gt;"ERRO",LEFT(T710,4)&lt;&gt;"ERRO",U710="OK"),"OK","REVISAR"))</f>
      </c>
    </row>
    <row r="711">
      <c r="A711" s="4"/>
      <c r="B711" s="5"/>
      <c r="C711" s="5"/>
      <c r="D711" s="5"/>
      <c r="E711" s="5"/>
      <c r="F711" s="4"/>
      <c r="G711" s="4"/>
      <c r="H711" s="5"/>
      <c r="I711" s="4"/>
      <c r="J711" s="4"/>
      <c r="K711" s="4"/>
      <c r="L711" s="4"/>
      <c r="M711" s="4"/>
      <c r="N711" s="4"/>
      <c r="O711" s="4"/>
      <c r="P711" s="6">
        <f>IF(D711="","",SUBSTITUTE(SUBSTITUTE(SUBSTITUTE(SUBSTITUTE(SUBSTITUTE(SUBSTITUTE(SUBSTITUTE(TRIM(D711),".",""),"/",""),"-","")," ",""),"(",""),")",""),"+",""))</f>
      </c>
      <c r="Q711" s="6">
        <f>IF(P711="","",IF(LEN(P711)&lt;&gt;14,"ERRO: "&amp;LEN(P711)&amp;" dígitos",IF(NOT(ISNUMBER(VALUE(P711))),"ERRO: não numérico",IF(LEN(SUBSTITUTE(P711,LEFT(P711,1),""))=0,"ERRO: dígitos repetidos",IF(AND(VALUE(MID(P711,13,1))=IF(MOD(SUMPRODUCT(--MID(P711,{1,2,3,4,5,6,7,8,9,10,11,12},1),{5,4,3,2,9,8,7,6,5,4,3,2}),11)&lt;2,0,11-MOD(SUMPRODUCT(--MID(P711,{1,2,3,4,5,6,7,8,9,10,11,12},1),{5,4,3,2,9,8,7,6,5,4,3,2}),11)),VALUE(MID(P711,14,1))=IF(MOD(SUMPRODUCT(--MID(P711,{1,2,3,4,5,6,7,8,9,10,11,12,13},1),{6,5,4,3,2,9,8,7,6,5,4,3,2}),11)&lt;2,0,11-MOD(SUMPRODUCT(--MID(P711,{1,2,3,4,5,6,7,8,9,10,11,12,13},1),{6,5,4,3,2,9,8,7,6,5,4,3,2}),11))),"OK","ERRO: dígito verificador")))))</f>
      </c>
      <c r="R711" s="6">
        <f>IF(P711="","",IF(COUNTIF($P$2:$P$1001,P711)&gt;1,"DUPLICADO","OK"))</f>
      </c>
      <c r="S711" s="6">
        <f>IF(AND(J711="",K711=""),"vazio",IF(AND(OR(J711="",LEN(SUBSTITUTE(SUBSTITUTE(SUBSTITUTE(SUBSTITUTE(SUBSTITUTE(SUBSTITUTE(SUBSTITUTE(TRIM(J711),".",""),"/",""),"-","")," ",""),"(",""),")",""),"+",""))=10,LEN(SUBSTITUTE(SUBSTITUTE(SUBSTITUTE(SUBSTITUTE(SUBSTITUTE(SUBSTITUTE(SUBSTITUTE(TRIM(J711),".",""),"/",""),"-","")," ",""),"(",""),")",""),"+",""))=11),OR(K711="",LEN(SUBSTITUTE(SUBSTITUTE(SUBSTITUTE(SUBSTITUTE(SUBSTITUTE(SUBSTITUTE(SUBSTITUTE(TRIM(K711),".",""),"/",""),"-","")," ",""),"(",""),")",""),"+",""))=10,LEN(SUBSTITUTE(SUBSTITUTE(SUBSTITUTE(SUBSTITUTE(SUBSTITUTE(SUBSTITUTE(SUBSTITUTE(TRIM(K711),".",""),"/",""),"-","")," ",""),"(",""),")",""),"+",""))=11)),"OK","ERRO: use DDD + número (10 ou 11 dígitos)"))</f>
      </c>
      <c r="T711" s="6">
        <f>IF(L711="","vazio",IF(AND(ISNUMBER(FIND("@",L711)),ISNUMBER(FIND(".",MID(L711,FIND("@",L711),99))),NOT(ISNUMBER(FIND(" ",TRIM(L711)))),NOT(ISNUMBER(FIND(";",L711))),NOT(ISNUMBER(FIND(",",L711)))),"OK","ERRO: um e-mail válido por linha"))</f>
      </c>
      <c r="U711" s="6">
        <f>IF(COUNTA(A711:O711)=0,"",IF(AND(B711&lt;&gt;"",C711&lt;&gt;"",D711&lt;&gt;"",E711&lt;&gt;"",H711&lt;&gt;"",OR(J711&lt;&gt;"",L711&lt;&gt;"")),"OK","ERRO: faltam "&amp;IF(B711="","Proprietário; ","")&amp;IF(C711="","Origem; ","")&amp;IF(D711="","CNPJ; ","")&amp;IF(E711="","Razão Social; ","")&amp;IF(H711="","Sobrenome; ","")&amp;IF(AND(J711="",L711=""),"telefone ou e-mail; ","")))</f>
      </c>
      <c r="V711" s="6">
        <f>IF(COUNTA(A711:O711)=0,"",IF(AND(Q711="OK",R711="OK",LEFT(S711,4)&lt;&gt;"ERRO",LEFT(T711,4)&lt;&gt;"ERRO",U711="OK"),"OK","REVISAR"))</f>
      </c>
    </row>
    <row r="712">
      <c r="A712" s="4"/>
      <c r="B712" s="5"/>
      <c r="C712" s="5"/>
      <c r="D712" s="5"/>
      <c r="E712" s="5"/>
      <c r="F712" s="4"/>
      <c r="G712" s="4"/>
      <c r="H712" s="5"/>
      <c r="I712" s="4"/>
      <c r="J712" s="4"/>
      <c r="K712" s="4"/>
      <c r="L712" s="4"/>
      <c r="M712" s="4"/>
      <c r="N712" s="4"/>
      <c r="O712" s="4"/>
      <c r="P712" s="6">
        <f>IF(D712="","",SUBSTITUTE(SUBSTITUTE(SUBSTITUTE(SUBSTITUTE(SUBSTITUTE(SUBSTITUTE(SUBSTITUTE(TRIM(D712),".",""),"/",""),"-","")," ",""),"(",""),")",""),"+",""))</f>
      </c>
      <c r="Q712" s="6">
        <f>IF(P712="","",IF(LEN(P712)&lt;&gt;14,"ERRO: "&amp;LEN(P712)&amp;" dígitos",IF(NOT(ISNUMBER(VALUE(P712))),"ERRO: não numérico",IF(LEN(SUBSTITUTE(P712,LEFT(P712,1),""))=0,"ERRO: dígitos repetidos",IF(AND(VALUE(MID(P712,13,1))=IF(MOD(SUMPRODUCT(--MID(P712,{1,2,3,4,5,6,7,8,9,10,11,12},1),{5,4,3,2,9,8,7,6,5,4,3,2}),11)&lt;2,0,11-MOD(SUMPRODUCT(--MID(P712,{1,2,3,4,5,6,7,8,9,10,11,12},1),{5,4,3,2,9,8,7,6,5,4,3,2}),11)),VALUE(MID(P712,14,1))=IF(MOD(SUMPRODUCT(--MID(P712,{1,2,3,4,5,6,7,8,9,10,11,12,13},1),{6,5,4,3,2,9,8,7,6,5,4,3,2}),11)&lt;2,0,11-MOD(SUMPRODUCT(--MID(P712,{1,2,3,4,5,6,7,8,9,10,11,12,13},1),{6,5,4,3,2,9,8,7,6,5,4,3,2}),11))),"OK","ERRO: dígito verificador")))))</f>
      </c>
      <c r="R712" s="6">
        <f>IF(P712="","",IF(COUNTIF($P$2:$P$1001,P712)&gt;1,"DUPLICADO","OK"))</f>
      </c>
      <c r="S712" s="6">
        <f>IF(AND(J712="",K712=""),"vazio",IF(AND(OR(J712="",LEN(SUBSTITUTE(SUBSTITUTE(SUBSTITUTE(SUBSTITUTE(SUBSTITUTE(SUBSTITUTE(SUBSTITUTE(TRIM(J712),".",""),"/",""),"-","")," ",""),"(",""),")",""),"+",""))=10,LEN(SUBSTITUTE(SUBSTITUTE(SUBSTITUTE(SUBSTITUTE(SUBSTITUTE(SUBSTITUTE(SUBSTITUTE(TRIM(J712),".",""),"/",""),"-","")," ",""),"(",""),")",""),"+",""))=11),OR(K712="",LEN(SUBSTITUTE(SUBSTITUTE(SUBSTITUTE(SUBSTITUTE(SUBSTITUTE(SUBSTITUTE(SUBSTITUTE(TRIM(K712),".",""),"/",""),"-","")," ",""),"(",""),")",""),"+",""))=10,LEN(SUBSTITUTE(SUBSTITUTE(SUBSTITUTE(SUBSTITUTE(SUBSTITUTE(SUBSTITUTE(SUBSTITUTE(TRIM(K712),".",""),"/",""),"-","")," ",""),"(",""),")",""),"+",""))=11)),"OK","ERRO: use DDD + número (10 ou 11 dígitos)"))</f>
      </c>
      <c r="T712" s="6">
        <f>IF(L712="","vazio",IF(AND(ISNUMBER(FIND("@",L712)),ISNUMBER(FIND(".",MID(L712,FIND("@",L712),99))),NOT(ISNUMBER(FIND(" ",TRIM(L712)))),NOT(ISNUMBER(FIND(";",L712))),NOT(ISNUMBER(FIND(",",L712)))),"OK","ERRO: um e-mail válido por linha"))</f>
      </c>
      <c r="U712" s="6">
        <f>IF(COUNTA(A712:O712)=0,"",IF(AND(B712&lt;&gt;"",C712&lt;&gt;"",D712&lt;&gt;"",E712&lt;&gt;"",H712&lt;&gt;"",OR(J712&lt;&gt;"",L712&lt;&gt;"")),"OK","ERRO: faltam "&amp;IF(B712="","Proprietário; ","")&amp;IF(C712="","Origem; ","")&amp;IF(D712="","CNPJ; ","")&amp;IF(E712="","Razão Social; ","")&amp;IF(H712="","Sobrenome; ","")&amp;IF(AND(J712="",L712=""),"telefone ou e-mail; ","")))</f>
      </c>
      <c r="V712" s="6">
        <f>IF(COUNTA(A712:O712)=0,"",IF(AND(Q712="OK",R712="OK",LEFT(S712,4)&lt;&gt;"ERRO",LEFT(T712,4)&lt;&gt;"ERRO",U712="OK"),"OK","REVISAR"))</f>
      </c>
    </row>
    <row r="713">
      <c r="A713" s="4"/>
      <c r="B713" s="5"/>
      <c r="C713" s="5"/>
      <c r="D713" s="5"/>
      <c r="E713" s="5"/>
      <c r="F713" s="4"/>
      <c r="G713" s="4"/>
      <c r="H713" s="5"/>
      <c r="I713" s="4"/>
      <c r="J713" s="4"/>
      <c r="K713" s="4"/>
      <c r="L713" s="4"/>
      <c r="M713" s="4"/>
      <c r="N713" s="4"/>
      <c r="O713" s="4"/>
      <c r="P713" s="6">
        <f>IF(D713="","",SUBSTITUTE(SUBSTITUTE(SUBSTITUTE(SUBSTITUTE(SUBSTITUTE(SUBSTITUTE(SUBSTITUTE(TRIM(D713),".",""),"/",""),"-","")," ",""),"(",""),")",""),"+",""))</f>
      </c>
      <c r="Q713" s="6">
        <f>IF(P713="","",IF(LEN(P713)&lt;&gt;14,"ERRO: "&amp;LEN(P713)&amp;" dígitos",IF(NOT(ISNUMBER(VALUE(P713))),"ERRO: não numérico",IF(LEN(SUBSTITUTE(P713,LEFT(P713,1),""))=0,"ERRO: dígitos repetidos",IF(AND(VALUE(MID(P713,13,1))=IF(MOD(SUMPRODUCT(--MID(P713,{1,2,3,4,5,6,7,8,9,10,11,12},1),{5,4,3,2,9,8,7,6,5,4,3,2}),11)&lt;2,0,11-MOD(SUMPRODUCT(--MID(P713,{1,2,3,4,5,6,7,8,9,10,11,12},1),{5,4,3,2,9,8,7,6,5,4,3,2}),11)),VALUE(MID(P713,14,1))=IF(MOD(SUMPRODUCT(--MID(P713,{1,2,3,4,5,6,7,8,9,10,11,12,13},1),{6,5,4,3,2,9,8,7,6,5,4,3,2}),11)&lt;2,0,11-MOD(SUMPRODUCT(--MID(P713,{1,2,3,4,5,6,7,8,9,10,11,12,13},1),{6,5,4,3,2,9,8,7,6,5,4,3,2}),11))),"OK","ERRO: dígito verificador")))))</f>
      </c>
      <c r="R713" s="6">
        <f>IF(P713="","",IF(COUNTIF($P$2:$P$1001,P713)&gt;1,"DUPLICADO","OK"))</f>
      </c>
      <c r="S713" s="6">
        <f>IF(AND(J713="",K713=""),"vazio",IF(AND(OR(J713="",LEN(SUBSTITUTE(SUBSTITUTE(SUBSTITUTE(SUBSTITUTE(SUBSTITUTE(SUBSTITUTE(SUBSTITUTE(TRIM(J713),".",""),"/",""),"-","")," ",""),"(",""),")",""),"+",""))=10,LEN(SUBSTITUTE(SUBSTITUTE(SUBSTITUTE(SUBSTITUTE(SUBSTITUTE(SUBSTITUTE(SUBSTITUTE(TRIM(J713),".",""),"/",""),"-","")," ",""),"(",""),")",""),"+",""))=11),OR(K713="",LEN(SUBSTITUTE(SUBSTITUTE(SUBSTITUTE(SUBSTITUTE(SUBSTITUTE(SUBSTITUTE(SUBSTITUTE(TRIM(K713),".",""),"/",""),"-","")," ",""),"(",""),")",""),"+",""))=10,LEN(SUBSTITUTE(SUBSTITUTE(SUBSTITUTE(SUBSTITUTE(SUBSTITUTE(SUBSTITUTE(SUBSTITUTE(TRIM(K713),".",""),"/",""),"-","")," ",""),"(",""),")",""),"+",""))=11)),"OK","ERRO: use DDD + número (10 ou 11 dígitos)"))</f>
      </c>
      <c r="T713" s="6">
        <f>IF(L713="","vazio",IF(AND(ISNUMBER(FIND("@",L713)),ISNUMBER(FIND(".",MID(L713,FIND("@",L713),99))),NOT(ISNUMBER(FIND(" ",TRIM(L713)))),NOT(ISNUMBER(FIND(";",L713))),NOT(ISNUMBER(FIND(",",L713)))),"OK","ERRO: um e-mail válido por linha"))</f>
      </c>
      <c r="U713" s="6">
        <f>IF(COUNTA(A713:O713)=0,"",IF(AND(B713&lt;&gt;"",C713&lt;&gt;"",D713&lt;&gt;"",E713&lt;&gt;"",H713&lt;&gt;"",OR(J713&lt;&gt;"",L713&lt;&gt;"")),"OK","ERRO: faltam "&amp;IF(B713="","Proprietário; ","")&amp;IF(C713="","Origem; ","")&amp;IF(D713="","CNPJ; ","")&amp;IF(E713="","Razão Social; ","")&amp;IF(H713="","Sobrenome; ","")&amp;IF(AND(J713="",L713=""),"telefone ou e-mail; ","")))</f>
      </c>
      <c r="V713" s="6">
        <f>IF(COUNTA(A713:O713)=0,"",IF(AND(Q713="OK",R713="OK",LEFT(S713,4)&lt;&gt;"ERRO",LEFT(T713,4)&lt;&gt;"ERRO",U713="OK"),"OK","REVISAR"))</f>
      </c>
    </row>
    <row r="714">
      <c r="A714" s="4"/>
      <c r="B714" s="5"/>
      <c r="C714" s="5"/>
      <c r="D714" s="5"/>
      <c r="E714" s="5"/>
      <c r="F714" s="4"/>
      <c r="G714" s="4"/>
      <c r="H714" s="5"/>
      <c r="I714" s="4"/>
      <c r="J714" s="4"/>
      <c r="K714" s="4"/>
      <c r="L714" s="4"/>
      <c r="M714" s="4"/>
      <c r="N714" s="4"/>
      <c r="O714" s="4"/>
      <c r="P714" s="6">
        <f>IF(D714="","",SUBSTITUTE(SUBSTITUTE(SUBSTITUTE(SUBSTITUTE(SUBSTITUTE(SUBSTITUTE(SUBSTITUTE(TRIM(D714),".",""),"/",""),"-","")," ",""),"(",""),")",""),"+",""))</f>
      </c>
      <c r="Q714" s="6">
        <f>IF(P714="","",IF(LEN(P714)&lt;&gt;14,"ERRO: "&amp;LEN(P714)&amp;" dígitos",IF(NOT(ISNUMBER(VALUE(P714))),"ERRO: não numérico",IF(LEN(SUBSTITUTE(P714,LEFT(P714,1),""))=0,"ERRO: dígitos repetidos",IF(AND(VALUE(MID(P714,13,1))=IF(MOD(SUMPRODUCT(--MID(P714,{1,2,3,4,5,6,7,8,9,10,11,12},1),{5,4,3,2,9,8,7,6,5,4,3,2}),11)&lt;2,0,11-MOD(SUMPRODUCT(--MID(P714,{1,2,3,4,5,6,7,8,9,10,11,12},1),{5,4,3,2,9,8,7,6,5,4,3,2}),11)),VALUE(MID(P714,14,1))=IF(MOD(SUMPRODUCT(--MID(P714,{1,2,3,4,5,6,7,8,9,10,11,12,13},1),{6,5,4,3,2,9,8,7,6,5,4,3,2}),11)&lt;2,0,11-MOD(SUMPRODUCT(--MID(P714,{1,2,3,4,5,6,7,8,9,10,11,12,13},1),{6,5,4,3,2,9,8,7,6,5,4,3,2}),11))),"OK","ERRO: dígito verificador")))))</f>
      </c>
      <c r="R714" s="6">
        <f>IF(P714="","",IF(COUNTIF($P$2:$P$1001,P714)&gt;1,"DUPLICADO","OK"))</f>
      </c>
      <c r="S714" s="6">
        <f>IF(AND(J714="",K714=""),"vazio",IF(AND(OR(J714="",LEN(SUBSTITUTE(SUBSTITUTE(SUBSTITUTE(SUBSTITUTE(SUBSTITUTE(SUBSTITUTE(SUBSTITUTE(TRIM(J714),".",""),"/",""),"-","")," ",""),"(",""),")",""),"+",""))=10,LEN(SUBSTITUTE(SUBSTITUTE(SUBSTITUTE(SUBSTITUTE(SUBSTITUTE(SUBSTITUTE(SUBSTITUTE(TRIM(J714),".",""),"/",""),"-","")," ",""),"(",""),")",""),"+",""))=11),OR(K714="",LEN(SUBSTITUTE(SUBSTITUTE(SUBSTITUTE(SUBSTITUTE(SUBSTITUTE(SUBSTITUTE(SUBSTITUTE(TRIM(K714),".",""),"/",""),"-","")," ",""),"(",""),")",""),"+",""))=10,LEN(SUBSTITUTE(SUBSTITUTE(SUBSTITUTE(SUBSTITUTE(SUBSTITUTE(SUBSTITUTE(SUBSTITUTE(TRIM(K714),".",""),"/",""),"-","")," ",""),"(",""),")",""),"+",""))=11)),"OK","ERRO: use DDD + número (10 ou 11 dígitos)"))</f>
      </c>
      <c r="T714" s="6">
        <f>IF(L714="","vazio",IF(AND(ISNUMBER(FIND("@",L714)),ISNUMBER(FIND(".",MID(L714,FIND("@",L714),99))),NOT(ISNUMBER(FIND(" ",TRIM(L714)))),NOT(ISNUMBER(FIND(";",L714))),NOT(ISNUMBER(FIND(",",L714)))),"OK","ERRO: um e-mail válido por linha"))</f>
      </c>
      <c r="U714" s="6">
        <f>IF(COUNTA(A714:O714)=0,"",IF(AND(B714&lt;&gt;"",C714&lt;&gt;"",D714&lt;&gt;"",E714&lt;&gt;"",H714&lt;&gt;"",OR(J714&lt;&gt;"",L714&lt;&gt;"")),"OK","ERRO: faltam "&amp;IF(B714="","Proprietário; ","")&amp;IF(C714="","Origem; ","")&amp;IF(D714="","CNPJ; ","")&amp;IF(E714="","Razão Social; ","")&amp;IF(H714="","Sobrenome; ","")&amp;IF(AND(J714="",L714=""),"telefone ou e-mail; ","")))</f>
      </c>
      <c r="V714" s="6">
        <f>IF(COUNTA(A714:O714)=0,"",IF(AND(Q714="OK",R714="OK",LEFT(S714,4)&lt;&gt;"ERRO",LEFT(T714,4)&lt;&gt;"ERRO",U714="OK"),"OK","REVISAR"))</f>
      </c>
    </row>
    <row r="715">
      <c r="A715" s="4"/>
      <c r="B715" s="5"/>
      <c r="C715" s="5"/>
      <c r="D715" s="5"/>
      <c r="E715" s="5"/>
      <c r="F715" s="4"/>
      <c r="G715" s="4"/>
      <c r="H715" s="5"/>
      <c r="I715" s="4"/>
      <c r="J715" s="4"/>
      <c r="K715" s="4"/>
      <c r="L715" s="4"/>
      <c r="M715" s="4"/>
      <c r="N715" s="4"/>
      <c r="O715" s="4"/>
      <c r="P715" s="6">
        <f>IF(D715="","",SUBSTITUTE(SUBSTITUTE(SUBSTITUTE(SUBSTITUTE(SUBSTITUTE(SUBSTITUTE(SUBSTITUTE(TRIM(D715),".",""),"/",""),"-","")," ",""),"(",""),")",""),"+",""))</f>
      </c>
      <c r="Q715" s="6">
        <f>IF(P715="","",IF(LEN(P715)&lt;&gt;14,"ERRO: "&amp;LEN(P715)&amp;" dígitos",IF(NOT(ISNUMBER(VALUE(P715))),"ERRO: não numérico",IF(LEN(SUBSTITUTE(P715,LEFT(P715,1),""))=0,"ERRO: dígitos repetidos",IF(AND(VALUE(MID(P715,13,1))=IF(MOD(SUMPRODUCT(--MID(P715,{1,2,3,4,5,6,7,8,9,10,11,12},1),{5,4,3,2,9,8,7,6,5,4,3,2}),11)&lt;2,0,11-MOD(SUMPRODUCT(--MID(P715,{1,2,3,4,5,6,7,8,9,10,11,12},1),{5,4,3,2,9,8,7,6,5,4,3,2}),11)),VALUE(MID(P715,14,1))=IF(MOD(SUMPRODUCT(--MID(P715,{1,2,3,4,5,6,7,8,9,10,11,12,13},1),{6,5,4,3,2,9,8,7,6,5,4,3,2}),11)&lt;2,0,11-MOD(SUMPRODUCT(--MID(P715,{1,2,3,4,5,6,7,8,9,10,11,12,13},1),{6,5,4,3,2,9,8,7,6,5,4,3,2}),11))),"OK","ERRO: dígito verificador")))))</f>
      </c>
      <c r="R715" s="6">
        <f>IF(P715="","",IF(COUNTIF($P$2:$P$1001,P715)&gt;1,"DUPLICADO","OK"))</f>
      </c>
      <c r="S715" s="6">
        <f>IF(AND(J715="",K715=""),"vazio",IF(AND(OR(J715="",LEN(SUBSTITUTE(SUBSTITUTE(SUBSTITUTE(SUBSTITUTE(SUBSTITUTE(SUBSTITUTE(SUBSTITUTE(TRIM(J715),".",""),"/",""),"-","")," ",""),"(",""),")",""),"+",""))=10,LEN(SUBSTITUTE(SUBSTITUTE(SUBSTITUTE(SUBSTITUTE(SUBSTITUTE(SUBSTITUTE(SUBSTITUTE(TRIM(J715),".",""),"/",""),"-","")," ",""),"(",""),")",""),"+",""))=11),OR(K715="",LEN(SUBSTITUTE(SUBSTITUTE(SUBSTITUTE(SUBSTITUTE(SUBSTITUTE(SUBSTITUTE(SUBSTITUTE(TRIM(K715),".",""),"/",""),"-","")," ",""),"(",""),")",""),"+",""))=10,LEN(SUBSTITUTE(SUBSTITUTE(SUBSTITUTE(SUBSTITUTE(SUBSTITUTE(SUBSTITUTE(SUBSTITUTE(TRIM(K715),".",""),"/",""),"-","")," ",""),"(",""),")",""),"+",""))=11)),"OK","ERRO: use DDD + número (10 ou 11 dígitos)"))</f>
      </c>
      <c r="T715" s="6">
        <f>IF(L715="","vazio",IF(AND(ISNUMBER(FIND("@",L715)),ISNUMBER(FIND(".",MID(L715,FIND("@",L715),99))),NOT(ISNUMBER(FIND(" ",TRIM(L715)))),NOT(ISNUMBER(FIND(";",L715))),NOT(ISNUMBER(FIND(",",L715)))),"OK","ERRO: um e-mail válido por linha"))</f>
      </c>
      <c r="U715" s="6">
        <f>IF(COUNTA(A715:O715)=0,"",IF(AND(B715&lt;&gt;"",C715&lt;&gt;"",D715&lt;&gt;"",E715&lt;&gt;"",H715&lt;&gt;"",OR(J715&lt;&gt;"",L715&lt;&gt;"")),"OK","ERRO: faltam "&amp;IF(B715="","Proprietário; ","")&amp;IF(C715="","Origem; ","")&amp;IF(D715="","CNPJ; ","")&amp;IF(E715="","Razão Social; ","")&amp;IF(H715="","Sobrenome; ","")&amp;IF(AND(J715="",L715=""),"telefone ou e-mail; ","")))</f>
      </c>
      <c r="V715" s="6">
        <f>IF(COUNTA(A715:O715)=0,"",IF(AND(Q715="OK",R715="OK",LEFT(S715,4)&lt;&gt;"ERRO",LEFT(T715,4)&lt;&gt;"ERRO",U715="OK"),"OK","REVISAR"))</f>
      </c>
    </row>
    <row r="716">
      <c r="A716" s="4"/>
      <c r="B716" s="5"/>
      <c r="C716" s="5"/>
      <c r="D716" s="5"/>
      <c r="E716" s="5"/>
      <c r="F716" s="4"/>
      <c r="G716" s="4"/>
      <c r="H716" s="5"/>
      <c r="I716" s="4"/>
      <c r="J716" s="4"/>
      <c r="K716" s="4"/>
      <c r="L716" s="4"/>
      <c r="M716" s="4"/>
      <c r="N716" s="4"/>
      <c r="O716" s="4"/>
      <c r="P716" s="6">
        <f>IF(D716="","",SUBSTITUTE(SUBSTITUTE(SUBSTITUTE(SUBSTITUTE(SUBSTITUTE(SUBSTITUTE(SUBSTITUTE(TRIM(D716),".",""),"/",""),"-","")," ",""),"(",""),")",""),"+",""))</f>
      </c>
      <c r="Q716" s="6">
        <f>IF(P716="","",IF(LEN(P716)&lt;&gt;14,"ERRO: "&amp;LEN(P716)&amp;" dígitos",IF(NOT(ISNUMBER(VALUE(P716))),"ERRO: não numérico",IF(LEN(SUBSTITUTE(P716,LEFT(P716,1),""))=0,"ERRO: dígitos repetidos",IF(AND(VALUE(MID(P716,13,1))=IF(MOD(SUMPRODUCT(--MID(P716,{1,2,3,4,5,6,7,8,9,10,11,12},1),{5,4,3,2,9,8,7,6,5,4,3,2}),11)&lt;2,0,11-MOD(SUMPRODUCT(--MID(P716,{1,2,3,4,5,6,7,8,9,10,11,12},1),{5,4,3,2,9,8,7,6,5,4,3,2}),11)),VALUE(MID(P716,14,1))=IF(MOD(SUMPRODUCT(--MID(P716,{1,2,3,4,5,6,7,8,9,10,11,12,13},1),{6,5,4,3,2,9,8,7,6,5,4,3,2}),11)&lt;2,0,11-MOD(SUMPRODUCT(--MID(P716,{1,2,3,4,5,6,7,8,9,10,11,12,13},1),{6,5,4,3,2,9,8,7,6,5,4,3,2}),11))),"OK","ERRO: dígito verificador")))))</f>
      </c>
      <c r="R716" s="6">
        <f>IF(P716="","",IF(COUNTIF($P$2:$P$1001,P716)&gt;1,"DUPLICADO","OK"))</f>
      </c>
      <c r="S716" s="6">
        <f>IF(AND(J716="",K716=""),"vazio",IF(AND(OR(J716="",LEN(SUBSTITUTE(SUBSTITUTE(SUBSTITUTE(SUBSTITUTE(SUBSTITUTE(SUBSTITUTE(SUBSTITUTE(TRIM(J716),".",""),"/",""),"-","")," ",""),"(",""),")",""),"+",""))=10,LEN(SUBSTITUTE(SUBSTITUTE(SUBSTITUTE(SUBSTITUTE(SUBSTITUTE(SUBSTITUTE(SUBSTITUTE(TRIM(J716),".",""),"/",""),"-","")," ",""),"(",""),")",""),"+",""))=11),OR(K716="",LEN(SUBSTITUTE(SUBSTITUTE(SUBSTITUTE(SUBSTITUTE(SUBSTITUTE(SUBSTITUTE(SUBSTITUTE(TRIM(K716),".",""),"/",""),"-","")," ",""),"(",""),")",""),"+",""))=10,LEN(SUBSTITUTE(SUBSTITUTE(SUBSTITUTE(SUBSTITUTE(SUBSTITUTE(SUBSTITUTE(SUBSTITUTE(TRIM(K716),".",""),"/",""),"-","")," ",""),"(",""),")",""),"+",""))=11)),"OK","ERRO: use DDD + número (10 ou 11 dígitos)"))</f>
      </c>
      <c r="T716" s="6">
        <f>IF(L716="","vazio",IF(AND(ISNUMBER(FIND("@",L716)),ISNUMBER(FIND(".",MID(L716,FIND("@",L716),99))),NOT(ISNUMBER(FIND(" ",TRIM(L716)))),NOT(ISNUMBER(FIND(";",L716))),NOT(ISNUMBER(FIND(",",L716)))),"OK","ERRO: um e-mail válido por linha"))</f>
      </c>
      <c r="U716" s="6">
        <f>IF(COUNTA(A716:O716)=0,"",IF(AND(B716&lt;&gt;"",C716&lt;&gt;"",D716&lt;&gt;"",E716&lt;&gt;"",H716&lt;&gt;"",OR(J716&lt;&gt;"",L716&lt;&gt;"")),"OK","ERRO: faltam "&amp;IF(B716="","Proprietário; ","")&amp;IF(C716="","Origem; ","")&amp;IF(D716="","CNPJ; ","")&amp;IF(E716="","Razão Social; ","")&amp;IF(H716="","Sobrenome; ","")&amp;IF(AND(J716="",L716=""),"telefone ou e-mail; ","")))</f>
      </c>
      <c r="V716" s="6">
        <f>IF(COUNTA(A716:O716)=0,"",IF(AND(Q716="OK",R716="OK",LEFT(S716,4)&lt;&gt;"ERRO",LEFT(T716,4)&lt;&gt;"ERRO",U716="OK"),"OK","REVISAR"))</f>
      </c>
    </row>
    <row r="717">
      <c r="A717" s="4"/>
      <c r="B717" s="5"/>
      <c r="C717" s="5"/>
      <c r="D717" s="5"/>
      <c r="E717" s="5"/>
      <c r="F717" s="4"/>
      <c r="G717" s="4"/>
      <c r="H717" s="5"/>
      <c r="I717" s="4"/>
      <c r="J717" s="4"/>
      <c r="K717" s="4"/>
      <c r="L717" s="4"/>
      <c r="M717" s="4"/>
      <c r="N717" s="4"/>
      <c r="O717" s="4"/>
      <c r="P717" s="6">
        <f>IF(D717="","",SUBSTITUTE(SUBSTITUTE(SUBSTITUTE(SUBSTITUTE(SUBSTITUTE(SUBSTITUTE(SUBSTITUTE(TRIM(D717),".",""),"/",""),"-","")," ",""),"(",""),")",""),"+",""))</f>
      </c>
      <c r="Q717" s="6">
        <f>IF(P717="","",IF(LEN(P717)&lt;&gt;14,"ERRO: "&amp;LEN(P717)&amp;" dígitos",IF(NOT(ISNUMBER(VALUE(P717))),"ERRO: não numérico",IF(LEN(SUBSTITUTE(P717,LEFT(P717,1),""))=0,"ERRO: dígitos repetidos",IF(AND(VALUE(MID(P717,13,1))=IF(MOD(SUMPRODUCT(--MID(P717,{1,2,3,4,5,6,7,8,9,10,11,12},1),{5,4,3,2,9,8,7,6,5,4,3,2}),11)&lt;2,0,11-MOD(SUMPRODUCT(--MID(P717,{1,2,3,4,5,6,7,8,9,10,11,12},1),{5,4,3,2,9,8,7,6,5,4,3,2}),11)),VALUE(MID(P717,14,1))=IF(MOD(SUMPRODUCT(--MID(P717,{1,2,3,4,5,6,7,8,9,10,11,12,13},1),{6,5,4,3,2,9,8,7,6,5,4,3,2}),11)&lt;2,0,11-MOD(SUMPRODUCT(--MID(P717,{1,2,3,4,5,6,7,8,9,10,11,12,13},1),{6,5,4,3,2,9,8,7,6,5,4,3,2}),11))),"OK","ERRO: dígito verificador")))))</f>
      </c>
      <c r="R717" s="6">
        <f>IF(P717="","",IF(COUNTIF($P$2:$P$1001,P717)&gt;1,"DUPLICADO","OK"))</f>
      </c>
      <c r="S717" s="6">
        <f>IF(AND(J717="",K717=""),"vazio",IF(AND(OR(J717="",LEN(SUBSTITUTE(SUBSTITUTE(SUBSTITUTE(SUBSTITUTE(SUBSTITUTE(SUBSTITUTE(SUBSTITUTE(TRIM(J717),".",""),"/",""),"-","")," ",""),"(",""),")",""),"+",""))=10,LEN(SUBSTITUTE(SUBSTITUTE(SUBSTITUTE(SUBSTITUTE(SUBSTITUTE(SUBSTITUTE(SUBSTITUTE(TRIM(J717),".",""),"/",""),"-","")," ",""),"(",""),")",""),"+",""))=11),OR(K717="",LEN(SUBSTITUTE(SUBSTITUTE(SUBSTITUTE(SUBSTITUTE(SUBSTITUTE(SUBSTITUTE(SUBSTITUTE(TRIM(K717),".",""),"/",""),"-","")," ",""),"(",""),")",""),"+",""))=10,LEN(SUBSTITUTE(SUBSTITUTE(SUBSTITUTE(SUBSTITUTE(SUBSTITUTE(SUBSTITUTE(SUBSTITUTE(TRIM(K717),".",""),"/",""),"-","")," ",""),"(",""),")",""),"+",""))=11)),"OK","ERRO: use DDD + número (10 ou 11 dígitos)"))</f>
      </c>
      <c r="T717" s="6">
        <f>IF(L717="","vazio",IF(AND(ISNUMBER(FIND("@",L717)),ISNUMBER(FIND(".",MID(L717,FIND("@",L717),99))),NOT(ISNUMBER(FIND(" ",TRIM(L717)))),NOT(ISNUMBER(FIND(";",L717))),NOT(ISNUMBER(FIND(",",L717)))),"OK","ERRO: um e-mail válido por linha"))</f>
      </c>
      <c r="U717" s="6">
        <f>IF(COUNTA(A717:O717)=0,"",IF(AND(B717&lt;&gt;"",C717&lt;&gt;"",D717&lt;&gt;"",E717&lt;&gt;"",H717&lt;&gt;"",OR(J717&lt;&gt;"",L717&lt;&gt;"")),"OK","ERRO: faltam "&amp;IF(B717="","Proprietário; ","")&amp;IF(C717="","Origem; ","")&amp;IF(D717="","CNPJ; ","")&amp;IF(E717="","Razão Social; ","")&amp;IF(H717="","Sobrenome; ","")&amp;IF(AND(J717="",L717=""),"telefone ou e-mail; ","")))</f>
      </c>
      <c r="V717" s="6">
        <f>IF(COUNTA(A717:O717)=0,"",IF(AND(Q717="OK",R717="OK",LEFT(S717,4)&lt;&gt;"ERRO",LEFT(T717,4)&lt;&gt;"ERRO",U717="OK"),"OK","REVISAR"))</f>
      </c>
    </row>
    <row r="718">
      <c r="A718" s="4"/>
      <c r="B718" s="5"/>
      <c r="C718" s="5"/>
      <c r="D718" s="5"/>
      <c r="E718" s="5"/>
      <c r="F718" s="4"/>
      <c r="G718" s="4"/>
      <c r="H718" s="5"/>
      <c r="I718" s="4"/>
      <c r="J718" s="4"/>
      <c r="K718" s="4"/>
      <c r="L718" s="4"/>
      <c r="M718" s="4"/>
      <c r="N718" s="4"/>
      <c r="O718" s="4"/>
      <c r="P718" s="6">
        <f>IF(D718="","",SUBSTITUTE(SUBSTITUTE(SUBSTITUTE(SUBSTITUTE(SUBSTITUTE(SUBSTITUTE(SUBSTITUTE(TRIM(D718),".",""),"/",""),"-","")," ",""),"(",""),")",""),"+",""))</f>
      </c>
      <c r="Q718" s="6">
        <f>IF(P718="","",IF(LEN(P718)&lt;&gt;14,"ERRO: "&amp;LEN(P718)&amp;" dígitos",IF(NOT(ISNUMBER(VALUE(P718))),"ERRO: não numérico",IF(LEN(SUBSTITUTE(P718,LEFT(P718,1),""))=0,"ERRO: dígitos repetidos",IF(AND(VALUE(MID(P718,13,1))=IF(MOD(SUMPRODUCT(--MID(P718,{1,2,3,4,5,6,7,8,9,10,11,12},1),{5,4,3,2,9,8,7,6,5,4,3,2}),11)&lt;2,0,11-MOD(SUMPRODUCT(--MID(P718,{1,2,3,4,5,6,7,8,9,10,11,12},1),{5,4,3,2,9,8,7,6,5,4,3,2}),11)),VALUE(MID(P718,14,1))=IF(MOD(SUMPRODUCT(--MID(P718,{1,2,3,4,5,6,7,8,9,10,11,12,13},1),{6,5,4,3,2,9,8,7,6,5,4,3,2}),11)&lt;2,0,11-MOD(SUMPRODUCT(--MID(P718,{1,2,3,4,5,6,7,8,9,10,11,12,13},1),{6,5,4,3,2,9,8,7,6,5,4,3,2}),11))),"OK","ERRO: dígito verificador")))))</f>
      </c>
      <c r="R718" s="6">
        <f>IF(P718="","",IF(COUNTIF($P$2:$P$1001,P718)&gt;1,"DUPLICADO","OK"))</f>
      </c>
      <c r="S718" s="6">
        <f>IF(AND(J718="",K718=""),"vazio",IF(AND(OR(J718="",LEN(SUBSTITUTE(SUBSTITUTE(SUBSTITUTE(SUBSTITUTE(SUBSTITUTE(SUBSTITUTE(SUBSTITUTE(TRIM(J718),".",""),"/",""),"-","")," ",""),"(",""),")",""),"+",""))=10,LEN(SUBSTITUTE(SUBSTITUTE(SUBSTITUTE(SUBSTITUTE(SUBSTITUTE(SUBSTITUTE(SUBSTITUTE(TRIM(J718),".",""),"/",""),"-","")," ",""),"(",""),")",""),"+",""))=11),OR(K718="",LEN(SUBSTITUTE(SUBSTITUTE(SUBSTITUTE(SUBSTITUTE(SUBSTITUTE(SUBSTITUTE(SUBSTITUTE(TRIM(K718),".",""),"/",""),"-","")," ",""),"(",""),")",""),"+",""))=10,LEN(SUBSTITUTE(SUBSTITUTE(SUBSTITUTE(SUBSTITUTE(SUBSTITUTE(SUBSTITUTE(SUBSTITUTE(TRIM(K718),".",""),"/",""),"-","")," ",""),"(",""),")",""),"+",""))=11)),"OK","ERRO: use DDD + número (10 ou 11 dígitos)"))</f>
      </c>
      <c r="T718" s="6">
        <f>IF(L718="","vazio",IF(AND(ISNUMBER(FIND("@",L718)),ISNUMBER(FIND(".",MID(L718,FIND("@",L718),99))),NOT(ISNUMBER(FIND(" ",TRIM(L718)))),NOT(ISNUMBER(FIND(";",L718))),NOT(ISNUMBER(FIND(",",L718)))),"OK","ERRO: um e-mail válido por linha"))</f>
      </c>
      <c r="U718" s="6">
        <f>IF(COUNTA(A718:O718)=0,"",IF(AND(B718&lt;&gt;"",C718&lt;&gt;"",D718&lt;&gt;"",E718&lt;&gt;"",H718&lt;&gt;"",OR(J718&lt;&gt;"",L718&lt;&gt;"")),"OK","ERRO: faltam "&amp;IF(B718="","Proprietário; ","")&amp;IF(C718="","Origem; ","")&amp;IF(D718="","CNPJ; ","")&amp;IF(E718="","Razão Social; ","")&amp;IF(H718="","Sobrenome; ","")&amp;IF(AND(J718="",L718=""),"telefone ou e-mail; ","")))</f>
      </c>
      <c r="V718" s="6">
        <f>IF(COUNTA(A718:O718)=0,"",IF(AND(Q718="OK",R718="OK",LEFT(S718,4)&lt;&gt;"ERRO",LEFT(T718,4)&lt;&gt;"ERRO",U718="OK"),"OK","REVISAR"))</f>
      </c>
    </row>
    <row r="719">
      <c r="A719" s="4"/>
      <c r="B719" s="5"/>
      <c r="C719" s="5"/>
      <c r="D719" s="5"/>
      <c r="E719" s="5"/>
      <c r="F719" s="4"/>
      <c r="G719" s="4"/>
      <c r="H719" s="5"/>
      <c r="I719" s="4"/>
      <c r="J719" s="4"/>
      <c r="K719" s="4"/>
      <c r="L719" s="4"/>
      <c r="M719" s="4"/>
      <c r="N719" s="4"/>
      <c r="O719" s="4"/>
      <c r="P719" s="6">
        <f>IF(D719="","",SUBSTITUTE(SUBSTITUTE(SUBSTITUTE(SUBSTITUTE(SUBSTITUTE(SUBSTITUTE(SUBSTITUTE(TRIM(D719),".",""),"/",""),"-","")," ",""),"(",""),")",""),"+",""))</f>
      </c>
      <c r="Q719" s="6">
        <f>IF(P719="","",IF(LEN(P719)&lt;&gt;14,"ERRO: "&amp;LEN(P719)&amp;" dígitos",IF(NOT(ISNUMBER(VALUE(P719))),"ERRO: não numérico",IF(LEN(SUBSTITUTE(P719,LEFT(P719,1),""))=0,"ERRO: dígitos repetidos",IF(AND(VALUE(MID(P719,13,1))=IF(MOD(SUMPRODUCT(--MID(P719,{1,2,3,4,5,6,7,8,9,10,11,12},1),{5,4,3,2,9,8,7,6,5,4,3,2}),11)&lt;2,0,11-MOD(SUMPRODUCT(--MID(P719,{1,2,3,4,5,6,7,8,9,10,11,12},1),{5,4,3,2,9,8,7,6,5,4,3,2}),11)),VALUE(MID(P719,14,1))=IF(MOD(SUMPRODUCT(--MID(P719,{1,2,3,4,5,6,7,8,9,10,11,12,13},1),{6,5,4,3,2,9,8,7,6,5,4,3,2}),11)&lt;2,0,11-MOD(SUMPRODUCT(--MID(P719,{1,2,3,4,5,6,7,8,9,10,11,12,13},1),{6,5,4,3,2,9,8,7,6,5,4,3,2}),11))),"OK","ERRO: dígito verificador")))))</f>
      </c>
      <c r="R719" s="6">
        <f>IF(P719="","",IF(COUNTIF($P$2:$P$1001,P719)&gt;1,"DUPLICADO","OK"))</f>
      </c>
      <c r="S719" s="6">
        <f>IF(AND(J719="",K719=""),"vazio",IF(AND(OR(J719="",LEN(SUBSTITUTE(SUBSTITUTE(SUBSTITUTE(SUBSTITUTE(SUBSTITUTE(SUBSTITUTE(SUBSTITUTE(TRIM(J719),".",""),"/",""),"-","")," ",""),"(",""),")",""),"+",""))=10,LEN(SUBSTITUTE(SUBSTITUTE(SUBSTITUTE(SUBSTITUTE(SUBSTITUTE(SUBSTITUTE(SUBSTITUTE(TRIM(J719),".",""),"/",""),"-","")," ",""),"(",""),")",""),"+",""))=11),OR(K719="",LEN(SUBSTITUTE(SUBSTITUTE(SUBSTITUTE(SUBSTITUTE(SUBSTITUTE(SUBSTITUTE(SUBSTITUTE(TRIM(K719),".",""),"/",""),"-","")," ",""),"(",""),")",""),"+",""))=10,LEN(SUBSTITUTE(SUBSTITUTE(SUBSTITUTE(SUBSTITUTE(SUBSTITUTE(SUBSTITUTE(SUBSTITUTE(TRIM(K719),".",""),"/",""),"-","")," ",""),"(",""),")",""),"+",""))=11)),"OK","ERRO: use DDD + número (10 ou 11 dígitos)"))</f>
      </c>
      <c r="T719" s="6">
        <f>IF(L719="","vazio",IF(AND(ISNUMBER(FIND("@",L719)),ISNUMBER(FIND(".",MID(L719,FIND("@",L719),99))),NOT(ISNUMBER(FIND(" ",TRIM(L719)))),NOT(ISNUMBER(FIND(";",L719))),NOT(ISNUMBER(FIND(",",L719)))),"OK","ERRO: um e-mail válido por linha"))</f>
      </c>
      <c r="U719" s="6">
        <f>IF(COUNTA(A719:O719)=0,"",IF(AND(B719&lt;&gt;"",C719&lt;&gt;"",D719&lt;&gt;"",E719&lt;&gt;"",H719&lt;&gt;"",OR(J719&lt;&gt;"",L719&lt;&gt;"")),"OK","ERRO: faltam "&amp;IF(B719="","Proprietário; ","")&amp;IF(C719="","Origem; ","")&amp;IF(D719="","CNPJ; ","")&amp;IF(E719="","Razão Social; ","")&amp;IF(H719="","Sobrenome; ","")&amp;IF(AND(J719="",L719=""),"telefone ou e-mail; ","")))</f>
      </c>
      <c r="V719" s="6">
        <f>IF(COUNTA(A719:O719)=0,"",IF(AND(Q719="OK",R719="OK",LEFT(S719,4)&lt;&gt;"ERRO",LEFT(T719,4)&lt;&gt;"ERRO",U719="OK"),"OK","REVISAR"))</f>
      </c>
    </row>
    <row r="720">
      <c r="A720" s="4"/>
      <c r="B720" s="5"/>
      <c r="C720" s="5"/>
      <c r="D720" s="5"/>
      <c r="E720" s="5"/>
      <c r="F720" s="4"/>
      <c r="G720" s="4"/>
      <c r="H720" s="5"/>
      <c r="I720" s="4"/>
      <c r="J720" s="4"/>
      <c r="K720" s="4"/>
      <c r="L720" s="4"/>
      <c r="M720" s="4"/>
      <c r="N720" s="4"/>
      <c r="O720" s="4"/>
      <c r="P720" s="6">
        <f>IF(D720="","",SUBSTITUTE(SUBSTITUTE(SUBSTITUTE(SUBSTITUTE(SUBSTITUTE(SUBSTITUTE(SUBSTITUTE(TRIM(D720),".",""),"/",""),"-","")," ",""),"(",""),")",""),"+",""))</f>
      </c>
      <c r="Q720" s="6">
        <f>IF(P720="","",IF(LEN(P720)&lt;&gt;14,"ERRO: "&amp;LEN(P720)&amp;" dígitos",IF(NOT(ISNUMBER(VALUE(P720))),"ERRO: não numérico",IF(LEN(SUBSTITUTE(P720,LEFT(P720,1),""))=0,"ERRO: dígitos repetidos",IF(AND(VALUE(MID(P720,13,1))=IF(MOD(SUMPRODUCT(--MID(P720,{1,2,3,4,5,6,7,8,9,10,11,12},1),{5,4,3,2,9,8,7,6,5,4,3,2}),11)&lt;2,0,11-MOD(SUMPRODUCT(--MID(P720,{1,2,3,4,5,6,7,8,9,10,11,12},1),{5,4,3,2,9,8,7,6,5,4,3,2}),11)),VALUE(MID(P720,14,1))=IF(MOD(SUMPRODUCT(--MID(P720,{1,2,3,4,5,6,7,8,9,10,11,12,13},1),{6,5,4,3,2,9,8,7,6,5,4,3,2}),11)&lt;2,0,11-MOD(SUMPRODUCT(--MID(P720,{1,2,3,4,5,6,7,8,9,10,11,12,13},1),{6,5,4,3,2,9,8,7,6,5,4,3,2}),11))),"OK","ERRO: dígito verificador")))))</f>
      </c>
      <c r="R720" s="6">
        <f>IF(P720="","",IF(COUNTIF($P$2:$P$1001,P720)&gt;1,"DUPLICADO","OK"))</f>
      </c>
      <c r="S720" s="6">
        <f>IF(AND(J720="",K720=""),"vazio",IF(AND(OR(J720="",LEN(SUBSTITUTE(SUBSTITUTE(SUBSTITUTE(SUBSTITUTE(SUBSTITUTE(SUBSTITUTE(SUBSTITUTE(TRIM(J720),".",""),"/",""),"-","")," ",""),"(",""),")",""),"+",""))=10,LEN(SUBSTITUTE(SUBSTITUTE(SUBSTITUTE(SUBSTITUTE(SUBSTITUTE(SUBSTITUTE(SUBSTITUTE(TRIM(J720),".",""),"/",""),"-","")," ",""),"(",""),")",""),"+",""))=11),OR(K720="",LEN(SUBSTITUTE(SUBSTITUTE(SUBSTITUTE(SUBSTITUTE(SUBSTITUTE(SUBSTITUTE(SUBSTITUTE(TRIM(K720),".",""),"/",""),"-","")," ",""),"(",""),")",""),"+",""))=10,LEN(SUBSTITUTE(SUBSTITUTE(SUBSTITUTE(SUBSTITUTE(SUBSTITUTE(SUBSTITUTE(SUBSTITUTE(TRIM(K720),".",""),"/",""),"-","")," ",""),"(",""),")",""),"+",""))=11)),"OK","ERRO: use DDD + número (10 ou 11 dígitos)"))</f>
      </c>
      <c r="T720" s="6">
        <f>IF(L720="","vazio",IF(AND(ISNUMBER(FIND("@",L720)),ISNUMBER(FIND(".",MID(L720,FIND("@",L720),99))),NOT(ISNUMBER(FIND(" ",TRIM(L720)))),NOT(ISNUMBER(FIND(";",L720))),NOT(ISNUMBER(FIND(",",L720)))),"OK","ERRO: um e-mail válido por linha"))</f>
      </c>
      <c r="U720" s="6">
        <f>IF(COUNTA(A720:O720)=0,"",IF(AND(B720&lt;&gt;"",C720&lt;&gt;"",D720&lt;&gt;"",E720&lt;&gt;"",H720&lt;&gt;"",OR(J720&lt;&gt;"",L720&lt;&gt;"")),"OK","ERRO: faltam "&amp;IF(B720="","Proprietário; ","")&amp;IF(C720="","Origem; ","")&amp;IF(D720="","CNPJ; ","")&amp;IF(E720="","Razão Social; ","")&amp;IF(H720="","Sobrenome; ","")&amp;IF(AND(J720="",L720=""),"telefone ou e-mail; ","")))</f>
      </c>
      <c r="V720" s="6">
        <f>IF(COUNTA(A720:O720)=0,"",IF(AND(Q720="OK",R720="OK",LEFT(S720,4)&lt;&gt;"ERRO",LEFT(T720,4)&lt;&gt;"ERRO",U720="OK"),"OK","REVISAR"))</f>
      </c>
    </row>
    <row r="721">
      <c r="A721" s="4"/>
      <c r="B721" s="5"/>
      <c r="C721" s="5"/>
      <c r="D721" s="5"/>
      <c r="E721" s="5"/>
      <c r="F721" s="4"/>
      <c r="G721" s="4"/>
      <c r="H721" s="5"/>
      <c r="I721" s="4"/>
      <c r="J721" s="4"/>
      <c r="K721" s="4"/>
      <c r="L721" s="4"/>
      <c r="M721" s="4"/>
      <c r="N721" s="4"/>
      <c r="O721" s="4"/>
      <c r="P721" s="6">
        <f>IF(D721="","",SUBSTITUTE(SUBSTITUTE(SUBSTITUTE(SUBSTITUTE(SUBSTITUTE(SUBSTITUTE(SUBSTITUTE(TRIM(D721),".",""),"/",""),"-","")," ",""),"(",""),")",""),"+",""))</f>
      </c>
      <c r="Q721" s="6">
        <f>IF(P721="","",IF(LEN(P721)&lt;&gt;14,"ERRO: "&amp;LEN(P721)&amp;" dígitos",IF(NOT(ISNUMBER(VALUE(P721))),"ERRO: não numérico",IF(LEN(SUBSTITUTE(P721,LEFT(P721,1),""))=0,"ERRO: dígitos repetidos",IF(AND(VALUE(MID(P721,13,1))=IF(MOD(SUMPRODUCT(--MID(P721,{1,2,3,4,5,6,7,8,9,10,11,12},1),{5,4,3,2,9,8,7,6,5,4,3,2}),11)&lt;2,0,11-MOD(SUMPRODUCT(--MID(P721,{1,2,3,4,5,6,7,8,9,10,11,12},1),{5,4,3,2,9,8,7,6,5,4,3,2}),11)),VALUE(MID(P721,14,1))=IF(MOD(SUMPRODUCT(--MID(P721,{1,2,3,4,5,6,7,8,9,10,11,12,13},1),{6,5,4,3,2,9,8,7,6,5,4,3,2}),11)&lt;2,0,11-MOD(SUMPRODUCT(--MID(P721,{1,2,3,4,5,6,7,8,9,10,11,12,13},1),{6,5,4,3,2,9,8,7,6,5,4,3,2}),11))),"OK","ERRO: dígito verificador")))))</f>
      </c>
      <c r="R721" s="6">
        <f>IF(P721="","",IF(COUNTIF($P$2:$P$1001,P721)&gt;1,"DUPLICADO","OK"))</f>
      </c>
      <c r="S721" s="6">
        <f>IF(AND(J721="",K721=""),"vazio",IF(AND(OR(J721="",LEN(SUBSTITUTE(SUBSTITUTE(SUBSTITUTE(SUBSTITUTE(SUBSTITUTE(SUBSTITUTE(SUBSTITUTE(TRIM(J721),".",""),"/",""),"-","")," ",""),"(",""),")",""),"+",""))=10,LEN(SUBSTITUTE(SUBSTITUTE(SUBSTITUTE(SUBSTITUTE(SUBSTITUTE(SUBSTITUTE(SUBSTITUTE(TRIM(J721),".",""),"/",""),"-","")," ",""),"(",""),")",""),"+",""))=11),OR(K721="",LEN(SUBSTITUTE(SUBSTITUTE(SUBSTITUTE(SUBSTITUTE(SUBSTITUTE(SUBSTITUTE(SUBSTITUTE(TRIM(K721),".",""),"/",""),"-","")," ",""),"(",""),")",""),"+",""))=10,LEN(SUBSTITUTE(SUBSTITUTE(SUBSTITUTE(SUBSTITUTE(SUBSTITUTE(SUBSTITUTE(SUBSTITUTE(TRIM(K721),".",""),"/",""),"-","")," ",""),"(",""),")",""),"+",""))=11)),"OK","ERRO: use DDD + número (10 ou 11 dígitos)"))</f>
      </c>
      <c r="T721" s="6">
        <f>IF(L721="","vazio",IF(AND(ISNUMBER(FIND("@",L721)),ISNUMBER(FIND(".",MID(L721,FIND("@",L721),99))),NOT(ISNUMBER(FIND(" ",TRIM(L721)))),NOT(ISNUMBER(FIND(";",L721))),NOT(ISNUMBER(FIND(",",L721)))),"OK","ERRO: um e-mail válido por linha"))</f>
      </c>
      <c r="U721" s="6">
        <f>IF(COUNTA(A721:O721)=0,"",IF(AND(B721&lt;&gt;"",C721&lt;&gt;"",D721&lt;&gt;"",E721&lt;&gt;"",H721&lt;&gt;"",OR(J721&lt;&gt;"",L721&lt;&gt;"")),"OK","ERRO: faltam "&amp;IF(B721="","Proprietário; ","")&amp;IF(C721="","Origem; ","")&amp;IF(D721="","CNPJ; ","")&amp;IF(E721="","Razão Social; ","")&amp;IF(H721="","Sobrenome; ","")&amp;IF(AND(J721="",L721=""),"telefone ou e-mail; ","")))</f>
      </c>
      <c r="V721" s="6">
        <f>IF(COUNTA(A721:O721)=0,"",IF(AND(Q721="OK",R721="OK",LEFT(S721,4)&lt;&gt;"ERRO",LEFT(T721,4)&lt;&gt;"ERRO",U721="OK"),"OK","REVISAR"))</f>
      </c>
    </row>
    <row r="722">
      <c r="A722" s="4"/>
      <c r="B722" s="5"/>
      <c r="C722" s="5"/>
      <c r="D722" s="5"/>
      <c r="E722" s="5"/>
      <c r="F722" s="4"/>
      <c r="G722" s="4"/>
      <c r="H722" s="5"/>
      <c r="I722" s="4"/>
      <c r="J722" s="4"/>
      <c r="K722" s="4"/>
      <c r="L722" s="4"/>
      <c r="M722" s="4"/>
      <c r="N722" s="4"/>
      <c r="O722" s="4"/>
      <c r="P722" s="6">
        <f>IF(D722="","",SUBSTITUTE(SUBSTITUTE(SUBSTITUTE(SUBSTITUTE(SUBSTITUTE(SUBSTITUTE(SUBSTITUTE(TRIM(D722),".",""),"/",""),"-","")," ",""),"(",""),")",""),"+",""))</f>
      </c>
      <c r="Q722" s="6">
        <f>IF(P722="","",IF(LEN(P722)&lt;&gt;14,"ERRO: "&amp;LEN(P722)&amp;" dígitos",IF(NOT(ISNUMBER(VALUE(P722))),"ERRO: não numérico",IF(LEN(SUBSTITUTE(P722,LEFT(P722,1),""))=0,"ERRO: dígitos repetidos",IF(AND(VALUE(MID(P722,13,1))=IF(MOD(SUMPRODUCT(--MID(P722,{1,2,3,4,5,6,7,8,9,10,11,12},1),{5,4,3,2,9,8,7,6,5,4,3,2}),11)&lt;2,0,11-MOD(SUMPRODUCT(--MID(P722,{1,2,3,4,5,6,7,8,9,10,11,12},1),{5,4,3,2,9,8,7,6,5,4,3,2}),11)),VALUE(MID(P722,14,1))=IF(MOD(SUMPRODUCT(--MID(P722,{1,2,3,4,5,6,7,8,9,10,11,12,13},1),{6,5,4,3,2,9,8,7,6,5,4,3,2}),11)&lt;2,0,11-MOD(SUMPRODUCT(--MID(P722,{1,2,3,4,5,6,7,8,9,10,11,12,13},1),{6,5,4,3,2,9,8,7,6,5,4,3,2}),11))),"OK","ERRO: dígito verificador")))))</f>
      </c>
      <c r="R722" s="6">
        <f>IF(P722="","",IF(COUNTIF($P$2:$P$1001,P722)&gt;1,"DUPLICADO","OK"))</f>
      </c>
      <c r="S722" s="6">
        <f>IF(AND(J722="",K722=""),"vazio",IF(AND(OR(J722="",LEN(SUBSTITUTE(SUBSTITUTE(SUBSTITUTE(SUBSTITUTE(SUBSTITUTE(SUBSTITUTE(SUBSTITUTE(TRIM(J722),".",""),"/",""),"-","")," ",""),"(",""),")",""),"+",""))=10,LEN(SUBSTITUTE(SUBSTITUTE(SUBSTITUTE(SUBSTITUTE(SUBSTITUTE(SUBSTITUTE(SUBSTITUTE(TRIM(J722),".",""),"/",""),"-","")," ",""),"(",""),")",""),"+",""))=11),OR(K722="",LEN(SUBSTITUTE(SUBSTITUTE(SUBSTITUTE(SUBSTITUTE(SUBSTITUTE(SUBSTITUTE(SUBSTITUTE(TRIM(K722),".",""),"/",""),"-","")," ",""),"(",""),")",""),"+",""))=10,LEN(SUBSTITUTE(SUBSTITUTE(SUBSTITUTE(SUBSTITUTE(SUBSTITUTE(SUBSTITUTE(SUBSTITUTE(TRIM(K722),".",""),"/",""),"-","")," ",""),"(",""),")",""),"+",""))=11)),"OK","ERRO: use DDD + número (10 ou 11 dígitos)"))</f>
      </c>
      <c r="T722" s="6">
        <f>IF(L722="","vazio",IF(AND(ISNUMBER(FIND("@",L722)),ISNUMBER(FIND(".",MID(L722,FIND("@",L722),99))),NOT(ISNUMBER(FIND(" ",TRIM(L722)))),NOT(ISNUMBER(FIND(";",L722))),NOT(ISNUMBER(FIND(",",L722)))),"OK","ERRO: um e-mail válido por linha"))</f>
      </c>
      <c r="U722" s="6">
        <f>IF(COUNTA(A722:O722)=0,"",IF(AND(B722&lt;&gt;"",C722&lt;&gt;"",D722&lt;&gt;"",E722&lt;&gt;"",H722&lt;&gt;"",OR(J722&lt;&gt;"",L722&lt;&gt;"")),"OK","ERRO: faltam "&amp;IF(B722="","Proprietário; ","")&amp;IF(C722="","Origem; ","")&amp;IF(D722="","CNPJ; ","")&amp;IF(E722="","Razão Social; ","")&amp;IF(H722="","Sobrenome; ","")&amp;IF(AND(J722="",L722=""),"telefone ou e-mail; ","")))</f>
      </c>
      <c r="V722" s="6">
        <f>IF(COUNTA(A722:O722)=0,"",IF(AND(Q722="OK",R722="OK",LEFT(S722,4)&lt;&gt;"ERRO",LEFT(T722,4)&lt;&gt;"ERRO",U722="OK"),"OK","REVISAR"))</f>
      </c>
    </row>
    <row r="723">
      <c r="A723" s="4"/>
      <c r="B723" s="5"/>
      <c r="C723" s="5"/>
      <c r="D723" s="5"/>
      <c r="E723" s="5"/>
      <c r="F723" s="4"/>
      <c r="G723" s="4"/>
      <c r="H723" s="5"/>
      <c r="I723" s="4"/>
      <c r="J723" s="4"/>
      <c r="K723" s="4"/>
      <c r="L723" s="4"/>
      <c r="M723" s="4"/>
      <c r="N723" s="4"/>
      <c r="O723" s="4"/>
      <c r="P723" s="6">
        <f>IF(D723="","",SUBSTITUTE(SUBSTITUTE(SUBSTITUTE(SUBSTITUTE(SUBSTITUTE(SUBSTITUTE(SUBSTITUTE(TRIM(D723),".",""),"/",""),"-","")," ",""),"(",""),")",""),"+",""))</f>
      </c>
      <c r="Q723" s="6">
        <f>IF(P723="","",IF(LEN(P723)&lt;&gt;14,"ERRO: "&amp;LEN(P723)&amp;" dígitos",IF(NOT(ISNUMBER(VALUE(P723))),"ERRO: não numérico",IF(LEN(SUBSTITUTE(P723,LEFT(P723,1),""))=0,"ERRO: dígitos repetidos",IF(AND(VALUE(MID(P723,13,1))=IF(MOD(SUMPRODUCT(--MID(P723,{1,2,3,4,5,6,7,8,9,10,11,12},1),{5,4,3,2,9,8,7,6,5,4,3,2}),11)&lt;2,0,11-MOD(SUMPRODUCT(--MID(P723,{1,2,3,4,5,6,7,8,9,10,11,12},1),{5,4,3,2,9,8,7,6,5,4,3,2}),11)),VALUE(MID(P723,14,1))=IF(MOD(SUMPRODUCT(--MID(P723,{1,2,3,4,5,6,7,8,9,10,11,12,13},1),{6,5,4,3,2,9,8,7,6,5,4,3,2}),11)&lt;2,0,11-MOD(SUMPRODUCT(--MID(P723,{1,2,3,4,5,6,7,8,9,10,11,12,13},1),{6,5,4,3,2,9,8,7,6,5,4,3,2}),11))),"OK","ERRO: dígito verificador")))))</f>
      </c>
      <c r="R723" s="6">
        <f>IF(P723="","",IF(COUNTIF($P$2:$P$1001,P723)&gt;1,"DUPLICADO","OK"))</f>
      </c>
      <c r="S723" s="6">
        <f>IF(AND(J723="",K723=""),"vazio",IF(AND(OR(J723="",LEN(SUBSTITUTE(SUBSTITUTE(SUBSTITUTE(SUBSTITUTE(SUBSTITUTE(SUBSTITUTE(SUBSTITUTE(TRIM(J723),".",""),"/",""),"-","")," ",""),"(",""),")",""),"+",""))=10,LEN(SUBSTITUTE(SUBSTITUTE(SUBSTITUTE(SUBSTITUTE(SUBSTITUTE(SUBSTITUTE(SUBSTITUTE(TRIM(J723),".",""),"/",""),"-","")," ",""),"(",""),")",""),"+",""))=11),OR(K723="",LEN(SUBSTITUTE(SUBSTITUTE(SUBSTITUTE(SUBSTITUTE(SUBSTITUTE(SUBSTITUTE(SUBSTITUTE(TRIM(K723),".",""),"/",""),"-","")," ",""),"(",""),")",""),"+",""))=10,LEN(SUBSTITUTE(SUBSTITUTE(SUBSTITUTE(SUBSTITUTE(SUBSTITUTE(SUBSTITUTE(SUBSTITUTE(TRIM(K723),".",""),"/",""),"-","")," ",""),"(",""),")",""),"+",""))=11)),"OK","ERRO: use DDD + número (10 ou 11 dígitos)"))</f>
      </c>
      <c r="T723" s="6">
        <f>IF(L723="","vazio",IF(AND(ISNUMBER(FIND("@",L723)),ISNUMBER(FIND(".",MID(L723,FIND("@",L723),99))),NOT(ISNUMBER(FIND(" ",TRIM(L723)))),NOT(ISNUMBER(FIND(";",L723))),NOT(ISNUMBER(FIND(",",L723)))),"OK","ERRO: um e-mail válido por linha"))</f>
      </c>
      <c r="U723" s="6">
        <f>IF(COUNTA(A723:O723)=0,"",IF(AND(B723&lt;&gt;"",C723&lt;&gt;"",D723&lt;&gt;"",E723&lt;&gt;"",H723&lt;&gt;"",OR(J723&lt;&gt;"",L723&lt;&gt;"")),"OK","ERRO: faltam "&amp;IF(B723="","Proprietário; ","")&amp;IF(C723="","Origem; ","")&amp;IF(D723="","CNPJ; ","")&amp;IF(E723="","Razão Social; ","")&amp;IF(H723="","Sobrenome; ","")&amp;IF(AND(J723="",L723=""),"telefone ou e-mail; ","")))</f>
      </c>
      <c r="V723" s="6">
        <f>IF(COUNTA(A723:O723)=0,"",IF(AND(Q723="OK",R723="OK",LEFT(S723,4)&lt;&gt;"ERRO",LEFT(T723,4)&lt;&gt;"ERRO",U723="OK"),"OK","REVISAR"))</f>
      </c>
    </row>
    <row r="724">
      <c r="A724" s="4"/>
      <c r="B724" s="5"/>
      <c r="C724" s="5"/>
      <c r="D724" s="5"/>
      <c r="E724" s="5"/>
      <c r="F724" s="4"/>
      <c r="G724" s="4"/>
      <c r="H724" s="5"/>
      <c r="I724" s="4"/>
      <c r="J724" s="4"/>
      <c r="K724" s="4"/>
      <c r="L724" s="4"/>
      <c r="M724" s="4"/>
      <c r="N724" s="4"/>
      <c r="O724" s="4"/>
      <c r="P724" s="6">
        <f>IF(D724="","",SUBSTITUTE(SUBSTITUTE(SUBSTITUTE(SUBSTITUTE(SUBSTITUTE(SUBSTITUTE(SUBSTITUTE(TRIM(D724),".",""),"/",""),"-","")," ",""),"(",""),")",""),"+",""))</f>
      </c>
      <c r="Q724" s="6">
        <f>IF(P724="","",IF(LEN(P724)&lt;&gt;14,"ERRO: "&amp;LEN(P724)&amp;" dígitos",IF(NOT(ISNUMBER(VALUE(P724))),"ERRO: não numérico",IF(LEN(SUBSTITUTE(P724,LEFT(P724,1),""))=0,"ERRO: dígitos repetidos",IF(AND(VALUE(MID(P724,13,1))=IF(MOD(SUMPRODUCT(--MID(P724,{1,2,3,4,5,6,7,8,9,10,11,12},1),{5,4,3,2,9,8,7,6,5,4,3,2}),11)&lt;2,0,11-MOD(SUMPRODUCT(--MID(P724,{1,2,3,4,5,6,7,8,9,10,11,12},1),{5,4,3,2,9,8,7,6,5,4,3,2}),11)),VALUE(MID(P724,14,1))=IF(MOD(SUMPRODUCT(--MID(P724,{1,2,3,4,5,6,7,8,9,10,11,12,13},1),{6,5,4,3,2,9,8,7,6,5,4,3,2}),11)&lt;2,0,11-MOD(SUMPRODUCT(--MID(P724,{1,2,3,4,5,6,7,8,9,10,11,12,13},1),{6,5,4,3,2,9,8,7,6,5,4,3,2}),11))),"OK","ERRO: dígito verificador")))))</f>
      </c>
      <c r="R724" s="6">
        <f>IF(P724="","",IF(COUNTIF($P$2:$P$1001,P724)&gt;1,"DUPLICADO","OK"))</f>
      </c>
      <c r="S724" s="6">
        <f>IF(AND(J724="",K724=""),"vazio",IF(AND(OR(J724="",LEN(SUBSTITUTE(SUBSTITUTE(SUBSTITUTE(SUBSTITUTE(SUBSTITUTE(SUBSTITUTE(SUBSTITUTE(TRIM(J724),".",""),"/",""),"-","")," ",""),"(",""),")",""),"+",""))=10,LEN(SUBSTITUTE(SUBSTITUTE(SUBSTITUTE(SUBSTITUTE(SUBSTITUTE(SUBSTITUTE(SUBSTITUTE(TRIM(J724),".",""),"/",""),"-","")," ",""),"(",""),")",""),"+",""))=11),OR(K724="",LEN(SUBSTITUTE(SUBSTITUTE(SUBSTITUTE(SUBSTITUTE(SUBSTITUTE(SUBSTITUTE(SUBSTITUTE(TRIM(K724),".",""),"/",""),"-","")," ",""),"(",""),")",""),"+",""))=10,LEN(SUBSTITUTE(SUBSTITUTE(SUBSTITUTE(SUBSTITUTE(SUBSTITUTE(SUBSTITUTE(SUBSTITUTE(TRIM(K724),".",""),"/",""),"-","")," ",""),"(",""),")",""),"+",""))=11)),"OK","ERRO: use DDD + número (10 ou 11 dígitos)"))</f>
      </c>
      <c r="T724" s="6">
        <f>IF(L724="","vazio",IF(AND(ISNUMBER(FIND("@",L724)),ISNUMBER(FIND(".",MID(L724,FIND("@",L724),99))),NOT(ISNUMBER(FIND(" ",TRIM(L724)))),NOT(ISNUMBER(FIND(";",L724))),NOT(ISNUMBER(FIND(",",L724)))),"OK","ERRO: um e-mail válido por linha"))</f>
      </c>
      <c r="U724" s="6">
        <f>IF(COUNTA(A724:O724)=0,"",IF(AND(B724&lt;&gt;"",C724&lt;&gt;"",D724&lt;&gt;"",E724&lt;&gt;"",H724&lt;&gt;"",OR(J724&lt;&gt;"",L724&lt;&gt;"")),"OK","ERRO: faltam "&amp;IF(B724="","Proprietário; ","")&amp;IF(C724="","Origem; ","")&amp;IF(D724="","CNPJ; ","")&amp;IF(E724="","Razão Social; ","")&amp;IF(H724="","Sobrenome; ","")&amp;IF(AND(J724="",L724=""),"telefone ou e-mail; ","")))</f>
      </c>
      <c r="V724" s="6">
        <f>IF(COUNTA(A724:O724)=0,"",IF(AND(Q724="OK",R724="OK",LEFT(S724,4)&lt;&gt;"ERRO",LEFT(T724,4)&lt;&gt;"ERRO",U724="OK"),"OK","REVISAR"))</f>
      </c>
    </row>
    <row r="725">
      <c r="A725" s="4"/>
      <c r="B725" s="5"/>
      <c r="C725" s="5"/>
      <c r="D725" s="5"/>
      <c r="E725" s="5"/>
      <c r="F725" s="4"/>
      <c r="G725" s="4"/>
      <c r="H725" s="5"/>
      <c r="I725" s="4"/>
      <c r="J725" s="4"/>
      <c r="K725" s="4"/>
      <c r="L725" s="4"/>
      <c r="M725" s="4"/>
      <c r="N725" s="4"/>
      <c r="O725" s="4"/>
      <c r="P725" s="6">
        <f>IF(D725="","",SUBSTITUTE(SUBSTITUTE(SUBSTITUTE(SUBSTITUTE(SUBSTITUTE(SUBSTITUTE(SUBSTITUTE(TRIM(D725),".",""),"/",""),"-","")," ",""),"(",""),")",""),"+",""))</f>
      </c>
      <c r="Q725" s="6">
        <f>IF(P725="","",IF(LEN(P725)&lt;&gt;14,"ERRO: "&amp;LEN(P725)&amp;" dígitos",IF(NOT(ISNUMBER(VALUE(P725))),"ERRO: não numérico",IF(LEN(SUBSTITUTE(P725,LEFT(P725,1),""))=0,"ERRO: dígitos repetidos",IF(AND(VALUE(MID(P725,13,1))=IF(MOD(SUMPRODUCT(--MID(P725,{1,2,3,4,5,6,7,8,9,10,11,12},1),{5,4,3,2,9,8,7,6,5,4,3,2}),11)&lt;2,0,11-MOD(SUMPRODUCT(--MID(P725,{1,2,3,4,5,6,7,8,9,10,11,12},1),{5,4,3,2,9,8,7,6,5,4,3,2}),11)),VALUE(MID(P725,14,1))=IF(MOD(SUMPRODUCT(--MID(P725,{1,2,3,4,5,6,7,8,9,10,11,12,13},1),{6,5,4,3,2,9,8,7,6,5,4,3,2}),11)&lt;2,0,11-MOD(SUMPRODUCT(--MID(P725,{1,2,3,4,5,6,7,8,9,10,11,12,13},1),{6,5,4,3,2,9,8,7,6,5,4,3,2}),11))),"OK","ERRO: dígito verificador")))))</f>
      </c>
      <c r="R725" s="6">
        <f>IF(P725="","",IF(COUNTIF($P$2:$P$1001,P725)&gt;1,"DUPLICADO","OK"))</f>
      </c>
      <c r="S725" s="6">
        <f>IF(AND(J725="",K725=""),"vazio",IF(AND(OR(J725="",LEN(SUBSTITUTE(SUBSTITUTE(SUBSTITUTE(SUBSTITUTE(SUBSTITUTE(SUBSTITUTE(SUBSTITUTE(TRIM(J725),".",""),"/",""),"-","")," ",""),"(",""),")",""),"+",""))=10,LEN(SUBSTITUTE(SUBSTITUTE(SUBSTITUTE(SUBSTITUTE(SUBSTITUTE(SUBSTITUTE(SUBSTITUTE(TRIM(J725),".",""),"/",""),"-","")," ",""),"(",""),")",""),"+",""))=11),OR(K725="",LEN(SUBSTITUTE(SUBSTITUTE(SUBSTITUTE(SUBSTITUTE(SUBSTITUTE(SUBSTITUTE(SUBSTITUTE(TRIM(K725),".",""),"/",""),"-","")," ",""),"(",""),")",""),"+",""))=10,LEN(SUBSTITUTE(SUBSTITUTE(SUBSTITUTE(SUBSTITUTE(SUBSTITUTE(SUBSTITUTE(SUBSTITUTE(TRIM(K725),".",""),"/",""),"-","")," ",""),"(",""),")",""),"+",""))=11)),"OK","ERRO: use DDD + número (10 ou 11 dígitos)"))</f>
      </c>
      <c r="T725" s="6">
        <f>IF(L725="","vazio",IF(AND(ISNUMBER(FIND("@",L725)),ISNUMBER(FIND(".",MID(L725,FIND("@",L725),99))),NOT(ISNUMBER(FIND(" ",TRIM(L725)))),NOT(ISNUMBER(FIND(";",L725))),NOT(ISNUMBER(FIND(",",L725)))),"OK","ERRO: um e-mail válido por linha"))</f>
      </c>
      <c r="U725" s="6">
        <f>IF(COUNTA(A725:O725)=0,"",IF(AND(B725&lt;&gt;"",C725&lt;&gt;"",D725&lt;&gt;"",E725&lt;&gt;"",H725&lt;&gt;"",OR(J725&lt;&gt;"",L725&lt;&gt;"")),"OK","ERRO: faltam "&amp;IF(B725="","Proprietário; ","")&amp;IF(C725="","Origem; ","")&amp;IF(D725="","CNPJ; ","")&amp;IF(E725="","Razão Social; ","")&amp;IF(H725="","Sobrenome; ","")&amp;IF(AND(J725="",L725=""),"telefone ou e-mail; ","")))</f>
      </c>
      <c r="V725" s="6">
        <f>IF(COUNTA(A725:O725)=0,"",IF(AND(Q725="OK",R725="OK",LEFT(S725,4)&lt;&gt;"ERRO",LEFT(T725,4)&lt;&gt;"ERRO",U725="OK"),"OK","REVISAR"))</f>
      </c>
    </row>
    <row r="726">
      <c r="A726" s="4"/>
      <c r="B726" s="5"/>
      <c r="C726" s="5"/>
      <c r="D726" s="5"/>
      <c r="E726" s="5"/>
      <c r="F726" s="4"/>
      <c r="G726" s="4"/>
      <c r="H726" s="5"/>
      <c r="I726" s="4"/>
      <c r="J726" s="4"/>
      <c r="K726" s="4"/>
      <c r="L726" s="4"/>
      <c r="M726" s="4"/>
      <c r="N726" s="4"/>
      <c r="O726" s="4"/>
      <c r="P726" s="6">
        <f>IF(D726="","",SUBSTITUTE(SUBSTITUTE(SUBSTITUTE(SUBSTITUTE(SUBSTITUTE(SUBSTITUTE(SUBSTITUTE(TRIM(D726),".",""),"/",""),"-","")," ",""),"(",""),")",""),"+",""))</f>
      </c>
      <c r="Q726" s="6">
        <f>IF(P726="","",IF(LEN(P726)&lt;&gt;14,"ERRO: "&amp;LEN(P726)&amp;" dígitos",IF(NOT(ISNUMBER(VALUE(P726))),"ERRO: não numérico",IF(LEN(SUBSTITUTE(P726,LEFT(P726,1),""))=0,"ERRO: dígitos repetidos",IF(AND(VALUE(MID(P726,13,1))=IF(MOD(SUMPRODUCT(--MID(P726,{1,2,3,4,5,6,7,8,9,10,11,12},1),{5,4,3,2,9,8,7,6,5,4,3,2}),11)&lt;2,0,11-MOD(SUMPRODUCT(--MID(P726,{1,2,3,4,5,6,7,8,9,10,11,12},1),{5,4,3,2,9,8,7,6,5,4,3,2}),11)),VALUE(MID(P726,14,1))=IF(MOD(SUMPRODUCT(--MID(P726,{1,2,3,4,5,6,7,8,9,10,11,12,13},1),{6,5,4,3,2,9,8,7,6,5,4,3,2}),11)&lt;2,0,11-MOD(SUMPRODUCT(--MID(P726,{1,2,3,4,5,6,7,8,9,10,11,12,13},1),{6,5,4,3,2,9,8,7,6,5,4,3,2}),11))),"OK","ERRO: dígito verificador")))))</f>
      </c>
      <c r="R726" s="6">
        <f>IF(P726="","",IF(COUNTIF($P$2:$P$1001,P726)&gt;1,"DUPLICADO","OK"))</f>
      </c>
      <c r="S726" s="6">
        <f>IF(AND(J726="",K726=""),"vazio",IF(AND(OR(J726="",LEN(SUBSTITUTE(SUBSTITUTE(SUBSTITUTE(SUBSTITUTE(SUBSTITUTE(SUBSTITUTE(SUBSTITUTE(TRIM(J726),".",""),"/",""),"-","")," ",""),"(",""),")",""),"+",""))=10,LEN(SUBSTITUTE(SUBSTITUTE(SUBSTITUTE(SUBSTITUTE(SUBSTITUTE(SUBSTITUTE(SUBSTITUTE(TRIM(J726),".",""),"/",""),"-","")," ",""),"(",""),")",""),"+",""))=11),OR(K726="",LEN(SUBSTITUTE(SUBSTITUTE(SUBSTITUTE(SUBSTITUTE(SUBSTITUTE(SUBSTITUTE(SUBSTITUTE(TRIM(K726),".",""),"/",""),"-","")," ",""),"(",""),")",""),"+",""))=10,LEN(SUBSTITUTE(SUBSTITUTE(SUBSTITUTE(SUBSTITUTE(SUBSTITUTE(SUBSTITUTE(SUBSTITUTE(TRIM(K726),".",""),"/",""),"-","")," ",""),"(",""),")",""),"+",""))=11)),"OK","ERRO: use DDD + número (10 ou 11 dígitos)"))</f>
      </c>
      <c r="T726" s="6">
        <f>IF(L726="","vazio",IF(AND(ISNUMBER(FIND("@",L726)),ISNUMBER(FIND(".",MID(L726,FIND("@",L726),99))),NOT(ISNUMBER(FIND(" ",TRIM(L726)))),NOT(ISNUMBER(FIND(";",L726))),NOT(ISNUMBER(FIND(",",L726)))),"OK","ERRO: um e-mail válido por linha"))</f>
      </c>
      <c r="U726" s="6">
        <f>IF(COUNTA(A726:O726)=0,"",IF(AND(B726&lt;&gt;"",C726&lt;&gt;"",D726&lt;&gt;"",E726&lt;&gt;"",H726&lt;&gt;"",OR(J726&lt;&gt;"",L726&lt;&gt;"")),"OK","ERRO: faltam "&amp;IF(B726="","Proprietário; ","")&amp;IF(C726="","Origem; ","")&amp;IF(D726="","CNPJ; ","")&amp;IF(E726="","Razão Social; ","")&amp;IF(H726="","Sobrenome; ","")&amp;IF(AND(J726="",L726=""),"telefone ou e-mail; ","")))</f>
      </c>
      <c r="V726" s="6">
        <f>IF(COUNTA(A726:O726)=0,"",IF(AND(Q726="OK",R726="OK",LEFT(S726,4)&lt;&gt;"ERRO",LEFT(T726,4)&lt;&gt;"ERRO",U726="OK"),"OK","REVISAR"))</f>
      </c>
    </row>
    <row r="727">
      <c r="A727" s="4"/>
      <c r="B727" s="5"/>
      <c r="C727" s="5"/>
      <c r="D727" s="5"/>
      <c r="E727" s="5"/>
      <c r="F727" s="4"/>
      <c r="G727" s="4"/>
      <c r="H727" s="5"/>
      <c r="I727" s="4"/>
      <c r="J727" s="4"/>
      <c r="K727" s="4"/>
      <c r="L727" s="4"/>
      <c r="M727" s="4"/>
      <c r="N727" s="4"/>
      <c r="O727" s="4"/>
      <c r="P727" s="6">
        <f>IF(D727="","",SUBSTITUTE(SUBSTITUTE(SUBSTITUTE(SUBSTITUTE(SUBSTITUTE(SUBSTITUTE(SUBSTITUTE(TRIM(D727),".",""),"/",""),"-","")," ",""),"(",""),")",""),"+",""))</f>
      </c>
      <c r="Q727" s="6">
        <f>IF(P727="","",IF(LEN(P727)&lt;&gt;14,"ERRO: "&amp;LEN(P727)&amp;" dígitos",IF(NOT(ISNUMBER(VALUE(P727))),"ERRO: não numérico",IF(LEN(SUBSTITUTE(P727,LEFT(P727,1),""))=0,"ERRO: dígitos repetidos",IF(AND(VALUE(MID(P727,13,1))=IF(MOD(SUMPRODUCT(--MID(P727,{1,2,3,4,5,6,7,8,9,10,11,12},1),{5,4,3,2,9,8,7,6,5,4,3,2}),11)&lt;2,0,11-MOD(SUMPRODUCT(--MID(P727,{1,2,3,4,5,6,7,8,9,10,11,12},1),{5,4,3,2,9,8,7,6,5,4,3,2}),11)),VALUE(MID(P727,14,1))=IF(MOD(SUMPRODUCT(--MID(P727,{1,2,3,4,5,6,7,8,9,10,11,12,13},1),{6,5,4,3,2,9,8,7,6,5,4,3,2}),11)&lt;2,0,11-MOD(SUMPRODUCT(--MID(P727,{1,2,3,4,5,6,7,8,9,10,11,12,13},1),{6,5,4,3,2,9,8,7,6,5,4,3,2}),11))),"OK","ERRO: dígito verificador")))))</f>
      </c>
      <c r="R727" s="6">
        <f>IF(P727="","",IF(COUNTIF($P$2:$P$1001,P727)&gt;1,"DUPLICADO","OK"))</f>
      </c>
      <c r="S727" s="6">
        <f>IF(AND(J727="",K727=""),"vazio",IF(AND(OR(J727="",LEN(SUBSTITUTE(SUBSTITUTE(SUBSTITUTE(SUBSTITUTE(SUBSTITUTE(SUBSTITUTE(SUBSTITUTE(TRIM(J727),".",""),"/",""),"-","")," ",""),"(",""),")",""),"+",""))=10,LEN(SUBSTITUTE(SUBSTITUTE(SUBSTITUTE(SUBSTITUTE(SUBSTITUTE(SUBSTITUTE(SUBSTITUTE(TRIM(J727),".",""),"/",""),"-","")," ",""),"(",""),")",""),"+",""))=11),OR(K727="",LEN(SUBSTITUTE(SUBSTITUTE(SUBSTITUTE(SUBSTITUTE(SUBSTITUTE(SUBSTITUTE(SUBSTITUTE(TRIM(K727),".",""),"/",""),"-","")," ",""),"(",""),")",""),"+",""))=10,LEN(SUBSTITUTE(SUBSTITUTE(SUBSTITUTE(SUBSTITUTE(SUBSTITUTE(SUBSTITUTE(SUBSTITUTE(TRIM(K727),".",""),"/",""),"-","")," ",""),"(",""),")",""),"+",""))=11)),"OK","ERRO: use DDD + número (10 ou 11 dígitos)"))</f>
      </c>
      <c r="T727" s="6">
        <f>IF(L727="","vazio",IF(AND(ISNUMBER(FIND("@",L727)),ISNUMBER(FIND(".",MID(L727,FIND("@",L727),99))),NOT(ISNUMBER(FIND(" ",TRIM(L727)))),NOT(ISNUMBER(FIND(";",L727))),NOT(ISNUMBER(FIND(",",L727)))),"OK","ERRO: um e-mail válido por linha"))</f>
      </c>
      <c r="U727" s="6">
        <f>IF(COUNTA(A727:O727)=0,"",IF(AND(B727&lt;&gt;"",C727&lt;&gt;"",D727&lt;&gt;"",E727&lt;&gt;"",H727&lt;&gt;"",OR(J727&lt;&gt;"",L727&lt;&gt;"")),"OK","ERRO: faltam "&amp;IF(B727="","Proprietário; ","")&amp;IF(C727="","Origem; ","")&amp;IF(D727="","CNPJ; ","")&amp;IF(E727="","Razão Social; ","")&amp;IF(H727="","Sobrenome; ","")&amp;IF(AND(J727="",L727=""),"telefone ou e-mail; ","")))</f>
      </c>
      <c r="V727" s="6">
        <f>IF(COUNTA(A727:O727)=0,"",IF(AND(Q727="OK",R727="OK",LEFT(S727,4)&lt;&gt;"ERRO",LEFT(T727,4)&lt;&gt;"ERRO",U727="OK"),"OK","REVISAR"))</f>
      </c>
    </row>
    <row r="728">
      <c r="A728" s="4"/>
      <c r="B728" s="5"/>
      <c r="C728" s="5"/>
      <c r="D728" s="5"/>
      <c r="E728" s="5"/>
      <c r="F728" s="4"/>
      <c r="G728" s="4"/>
      <c r="H728" s="5"/>
      <c r="I728" s="4"/>
      <c r="J728" s="4"/>
      <c r="K728" s="4"/>
      <c r="L728" s="4"/>
      <c r="M728" s="4"/>
      <c r="N728" s="4"/>
      <c r="O728" s="4"/>
      <c r="P728" s="6">
        <f>IF(D728="","",SUBSTITUTE(SUBSTITUTE(SUBSTITUTE(SUBSTITUTE(SUBSTITUTE(SUBSTITUTE(SUBSTITUTE(TRIM(D728),".",""),"/",""),"-","")," ",""),"(",""),")",""),"+",""))</f>
      </c>
      <c r="Q728" s="6">
        <f>IF(P728="","",IF(LEN(P728)&lt;&gt;14,"ERRO: "&amp;LEN(P728)&amp;" dígitos",IF(NOT(ISNUMBER(VALUE(P728))),"ERRO: não numérico",IF(LEN(SUBSTITUTE(P728,LEFT(P728,1),""))=0,"ERRO: dígitos repetidos",IF(AND(VALUE(MID(P728,13,1))=IF(MOD(SUMPRODUCT(--MID(P728,{1,2,3,4,5,6,7,8,9,10,11,12},1),{5,4,3,2,9,8,7,6,5,4,3,2}),11)&lt;2,0,11-MOD(SUMPRODUCT(--MID(P728,{1,2,3,4,5,6,7,8,9,10,11,12},1),{5,4,3,2,9,8,7,6,5,4,3,2}),11)),VALUE(MID(P728,14,1))=IF(MOD(SUMPRODUCT(--MID(P728,{1,2,3,4,5,6,7,8,9,10,11,12,13},1),{6,5,4,3,2,9,8,7,6,5,4,3,2}),11)&lt;2,0,11-MOD(SUMPRODUCT(--MID(P728,{1,2,3,4,5,6,7,8,9,10,11,12,13},1),{6,5,4,3,2,9,8,7,6,5,4,3,2}),11))),"OK","ERRO: dígito verificador")))))</f>
      </c>
      <c r="R728" s="6">
        <f>IF(P728="","",IF(COUNTIF($P$2:$P$1001,P728)&gt;1,"DUPLICADO","OK"))</f>
      </c>
      <c r="S728" s="6">
        <f>IF(AND(J728="",K728=""),"vazio",IF(AND(OR(J728="",LEN(SUBSTITUTE(SUBSTITUTE(SUBSTITUTE(SUBSTITUTE(SUBSTITUTE(SUBSTITUTE(SUBSTITUTE(TRIM(J728),".",""),"/",""),"-","")," ",""),"(",""),")",""),"+",""))=10,LEN(SUBSTITUTE(SUBSTITUTE(SUBSTITUTE(SUBSTITUTE(SUBSTITUTE(SUBSTITUTE(SUBSTITUTE(TRIM(J728),".",""),"/",""),"-","")," ",""),"(",""),")",""),"+",""))=11),OR(K728="",LEN(SUBSTITUTE(SUBSTITUTE(SUBSTITUTE(SUBSTITUTE(SUBSTITUTE(SUBSTITUTE(SUBSTITUTE(TRIM(K728),".",""),"/",""),"-","")," ",""),"(",""),")",""),"+",""))=10,LEN(SUBSTITUTE(SUBSTITUTE(SUBSTITUTE(SUBSTITUTE(SUBSTITUTE(SUBSTITUTE(SUBSTITUTE(TRIM(K728),".",""),"/",""),"-","")," ",""),"(",""),")",""),"+",""))=11)),"OK","ERRO: use DDD + número (10 ou 11 dígitos)"))</f>
      </c>
      <c r="T728" s="6">
        <f>IF(L728="","vazio",IF(AND(ISNUMBER(FIND("@",L728)),ISNUMBER(FIND(".",MID(L728,FIND("@",L728),99))),NOT(ISNUMBER(FIND(" ",TRIM(L728)))),NOT(ISNUMBER(FIND(";",L728))),NOT(ISNUMBER(FIND(",",L728)))),"OK","ERRO: um e-mail válido por linha"))</f>
      </c>
      <c r="U728" s="6">
        <f>IF(COUNTA(A728:O728)=0,"",IF(AND(B728&lt;&gt;"",C728&lt;&gt;"",D728&lt;&gt;"",E728&lt;&gt;"",H728&lt;&gt;"",OR(J728&lt;&gt;"",L728&lt;&gt;"")),"OK","ERRO: faltam "&amp;IF(B728="","Proprietário; ","")&amp;IF(C728="","Origem; ","")&amp;IF(D728="","CNPJ; ","")&amp;IF(E728="","Razão Social; ","")&amp;IF(H728="","Sobrenome; ","")&amp;IF(AND(J728="",L728=""),"telefone ou e-mail; ","")))</f>
      </c>
      <c r="V728" s="6">
        <f>IF(COUNTA(A728:O728)=0,"",IF(AND(Q728="OK",R728="OK",LEFT(S728,4)&lt;&gt;"ERRO",LEFT(T728,4)&lt;&gt;"ERRO",U728="OK"),"OK","REVISAR"))</f>
      </c>
    </row>
    <row r="729">
      <c r="A729" s="4"/>
      <c r="B729" s="5"/>
      <c r="C729" s="5"/>
      <c r="D729" s="5"/>
      <c r="E729" s="5"/>
      <c r="F729" s="4"/>
      <c r="G729" s="4"/>
      <c r="H729" s="5"/>
      <c r="I729" s="4"/>
      <c r="J729" s="4"/>
      <c r="K729" s="4"/>
      <c r="L729" s="4"/>
      <c r="M729" s="4"/>
      <c r="N729" s="4"/>
      <c r="O729" s="4"/>
      <c r="P729" s="6">
        <f>IF(D729="","",SUBSTITUTE(SUBSTITUTE(SUBSTITUTE(SUBSTITUTE(SUBSTITUTE(SUBSTITUTE(SUBSTITUTE(TRIM(D729),".",""),"/",""),"-","")," ",""),"(",""),")",""),"+",""))</f>
      </c>
      <c r="Q729" s="6">
        <f>IF(P729="","",IF(LEN(P729)&lt;&gt;14,"ERRO: "&amp;LEN(P729)&amp;" dígitos",IF(NOT(ISNUMBER(VALUE(P729))),"ERRO: não numérico",IF(LEN(SUBSTITUTE(P729,LEFT(P729,1),""))=0,"ERRO: dígitos repetidos",IF(AND(VALUE(MID(P729,13,1))=IF(MOD(SUMPRODUCT(--MID(P729,{1,2,3,4,5,6,7,8,9,10,11,12},1),{5,4,3,2,9,8,7,6,5,4,3,2}),11)&lt;2,0,11-MOD(SUMPRODUCT(--MID(P729,{1,2,3,4,5,6,7,8,9,10,11,12},1),{5,4,3,2,9,8,7,6,5,4,3,2}),11)),VALUE(MID(P729,14,1))=IF(MOD(SUMPRODUCT(--MID(P729,{1,2,3,4,5,6,7,8,9,10,11,12,13},1),{6,5,4,3,2,9,8,7,6,5,4,3,2}),11)&lt;2,0,11-MOD(SUMPRODUCT(--MID(P729,{1,2,3,4,5,6,7,8,9,10,11,12,13},1),{6,5,4,3,2,9,8,7,6,5,4,3,2}),11))),"OK","ERRO: dígito verificador")))))</f>
      </c>
      <c r="R729" s="6">
        <f>IF(P729="","",IF(COUNTIF($P$2:$P$1001,P729)&gt;1,"DUPLICADO","OK"))</f>
      </c>
      <c r="S729" s="6">
        <f>IF(AND(J729="",K729=""),"vazio",IF(AND(OR(J729="",LEN(SUBSTITUTE(SUBSTITUTE(SUBSTITUTE(SUBSTITUTE(SUBSTITUTE(SUBSTITUTE(SUBSTITUTE(TRIM(J729),".",""),"/",""),"-","")," ",""),"(",""),")",""),"+",""))=10,LEN(SUBSTITUTE(SUBSTITUTE(SUBSTITUTE(SUBSTITUTE(SUBSTITUTE(SUBSTITUTE(SUBSTITUTE(TRIM(J729),".",""),"/",""),"-","")," ",""),"(",""),")",""),"+",""))=11),OR(K729="",LEN(SUBSTITUTE(SUBSTITUTE(SUBSTITUTE(SUBSTITUTE(SUBSTITUTE(SUBSTITUTE(SUBSTITUTE(TRIM(K729),".",""),"/",""),"-","")," ",""),"(",""),")",""),"+",""))=10,LEN(SUBSTITUTE(SUBSTITUTE(SUBSTITUTE(SUBSTITUTE(SUBSTITUTE(SUBSTITUTE(SUBSTITUTE(TRIM(K729),".",""),"/",""),"-","")," ",""),"(",""),")",""),"+",""))=11)),"OK","ERRO: use DDD + número (10 ou 11 dígitos)"))</f>
      </c>
      <c r="T729" s="6">
        <f>IF(L729="","vazio",IF(AND(ISNUMBER(FIND("@",L729)),ISNUMBER(FIND(".",MID(L729,FIND("@",L729),99))),NOT(ISNUMBER(FIND(" ",TRIM(L729)))),NOT(ISNUMBER(FIND(";",L729))),NOT(ISNUMBER(FIND(",",L729)))),"OK","ERRO: um e-mail válido por linha"))</f>
      </c>
      <c r="U729" s="6">
        <f>IF(COUNTA(A729:O729)=0,"",IF(AND(B729&lt;&gt;"",C729&lt;&gt;"",D729&lt;&gt;"",E729&lt;&gt;"",H729&lt;&gt;"",OR(J729&lt;&gt;"",L729&lt;&gt;"")),"OK","ERRO: faltam "&amp;IF(B729="","Proprietário; ","")&amp;IF(C729="","Origem; ","")&amp;IF(D729="","CNPJ; ","")&amp;IF(E729="","Razão Social; ","")&amp;IF(H729="","Sobrenome; ","")&amp;IF(AND(J729="",L729=""),"telefone ou e-mail; ","")))</f>
      </c>
      <c r="V729" s="6">
        <f>IF(COUNTA(A729:O729)=0,"",IF(AND(Q729="OK",R729="OK",LEFT(S729,4)&lt;&gt;"ERRO",LEFT(T729,4)&lt;&gt;"ERRO",U729="OK"),"OK","REVISAR"))</f>
      </c>
    </row>
    <row r="730">
      <c r="A730" s="4"/>
      <c r="B730" s="5"/>
      <c r="C730" s="5"/>
      <c r="D730" s="5"/>
      <c r="E730" s="5"/>
      <c r="F730" s="4"/>
      <c r="G730" s="4"/>
      <c r="H730" s="5"/>
      <c r="I730" s="4"/>
      <c r="J730" s="4"/>
      <c r="K730" s="4"/>
      <c r="L730" s="4"/>
      <c r="M730" s="4"/>
      <c r="N730" s="4"/>
      <c r="O730" s="4"/>
      <c r="P730" s="6">
        <f>IF(D730="","",SUBSTITUTE(SUBSTITUTE(SUBSTITUTE(SUBSTITUTE(SUBSTITUTE(SUBSTITUTE(SUBSTITUTE(TRIM(D730),".",""),"/",""),"-","")," ",""),"(",""),")",""),"+",""))</f>
      </c>
      <c r="Q730" s="6">
        <f>IF(P730="","",IF(LEN(P730)&lt;&gt;14,"ERRO: "&amp;LEN(P730)&amp;" dígitos",IF(NOT(ISNUMBER(VALUE(P730))),"ERRO: não numérico",IF(LEN(SUBSTITUTE(P730,LEFT(P730,1),""))=0,"ERRO: dígitos repetidos",IF(AND(VALUE(MID(P730,13,1))=IF(MOD(SUMPRODUCT(--MID(P730,{1,2,3,4,5,6,7,8,9,10,11,12},1),{5,4,3,2,9,8,7,6,5,4,3,2}),11)&lt;2,0,11-MOD(SUMPRODUCT(--MID(P730,{1,2,3,4,5,6,7,8,9,10,11,12},1),{5,4,3,2,9,8,7,6,5,4,3,2}),11)),VALUE(MID(P730,14,1))=IF(MOD(SUMPRODUCT(--MID(P730,{1,2,3,4,5,6,7,8,9,10,11,12,13},1),{6,5,4,3,2,9,8,7,6,5,4,3,2}),11)&lt;2,0,11-MOD(SUMPRODUCT(--MID(P730,{1,2,3,4,5,6,7,8,9,10,11,12,13},1),{6,5,4,3,2,9,8,7,6,5,4,3,2}),11))),"OK","ERRO: dígito verificador")))))</f>
      </c>
      <c r="R730" s="6">
        <f>IF(P730="","",IF(COUNTIF($P$2:$P$1001,P730)&gt;1,"DUPLICADO","OK"))</f>
      </c>
      <c r="S730" s="6">
        <f>IF(AND(J730="",K730=""),"vazio",IF(AND(OR(J730="",LEN(SUBSTITUTE(SUBSTITUTE(SUBSTITUTE(SUBSTITUTE(SUBSTITUTE(SUBSTITUTE(SUBSTITUTE(TRIM(J730),".",""),"/",""),"-","")," ",""),"(",""),")",""),"+",""))=10,LEN(SUBSTITUTE(SUBSTITUTE(SUBSTITUTE(SUBSTITUTE(SUBSTITUTE(SUBSTITUTE(SUBSTITUTE(TRIM(J730),".",""),"/",""),"-","")," ",""),"(",""),")",""),"+",""))=11),OR(K730="",LEN(SUBSTITUTE(SUBSTITUTE(SUBSTITUTE(SUBSTITUTE(SUBSTITUTE(SUBSTITUTE(SUBSTITUTE(TRIM(K730),".",""),"/",""),"-","")," ",""),"(",""),")",""),"+",""))=10,LEN(SUBSTITUTE(SUBSTITUTE(SUBSTITUTE(SUBSTITUTE(SUBSTITUTE(SUBSTITUTE(SUBSTITUTE(TRIM(K730),".",""),"/",""),"-","")," ",""),"(",""),")",""),"+",""))=11)),"OK","ERRO: use DDD + número (10 ou 11 dígitos)"))</f>
      </c>
      <c r="T730" s="6">
        <f>IF(L730="","vazio",IF(AND(ISNUMBER(FIND("@",L730)),ISNUMBER(FIND(".",MID(L730,FIND("@",L730),99))),NOT(ISNUMBER(FIND(" ",TRIM(L730)))),NOT(ISNUMBER(FIND(";",L730))),NOT(ISNUMBER(FIND(",",L730)))),"OK","ERRO: um e-mail válido por linha"))</f>
      </c>
      <c r="U730" s="6">
        <f>IF(COUNTA(A730:O730)=0,"",IF(AND(B730&lt;&gt;"",C730&lt;&gt;"",D730&lt;&gt;"",E730&lt;&gt;"",H730&lt;&gt;"",OR(J730&lt;&gt;"",L730&lt;&gt;"")),"OK","ERRO: faltam "&amp;IF(B730="","Proprietário; ","")&amp;IF(C730="","Origem; ","")&amp;IF(D730="","CNPJ; ","")&amp;IF(E730="","Razão Social; ","")&amp;IF(H730="","Sobrenome; ","")&amp;IF(AND(J730="",L730=""),"telefone ou e-mail; ","")))</f>
      </c>
      <c r="V730" s="6">
        <f>IF(COUNTA(A730:O730)=0,"",IF(AND(Q730="OK",R730="OK",LEFT(S730,4)&lt;&gt;"ERRO",LEFT(T730,4)&lt;&gt;"ERRO",U730="OK"),"OK","REVISAR"))</f>
      </c>
    </row>
    <row r="731">
      <c r="A731" s="4"/>
      <c r="B731" s="5"/>
      <c r="C731" s="5"/>
      <c r="D731" s="5"/>
      <c r="E731" s="5"/>
      <c r="F731" s="4"/>
      <c r="G731" s="4"/>
      <c r="H731" s="5"/>
      <c r="I731" s="4"/>
      <c r="J731" s="4"/>
      <c r="K731" s="4"/>
      <c r="L731" s="4"/>
      <c r="M731" s="4"/>
      <c r="N731" s="4"/>
      <c r="O731" s="4"/>
      <c r="P731" s="6">
        <f>IF(D731="","",SUBSTITUTE(SUBSTITUTE(SUBSTITUTE(SUBSTITUTE(SUBSTITUTE(SUBSTITUTE(SUBSTITUTE(TRIM(D731),".",""),"/",""),"-","")," ",""),"(",""),")",""),"+",""))</f>
      </c>
      <c r="Q731" s="6">
        <f>IF(P731="","",IF(LEN(P731)&lt;&gt;14,"ERRO: "&amp;LEN(P731)&amp;" dígitos",IF(NOT(ISNUMBER(VALUE(P731))),"ERRO: não numérico",IF(LEN(SUBSTITUTE(P731,LEFT(P731,1),""))=0,"ERRO: dígitos repetidos",IF(AND(VALUE(MID(P731,13,1))=IF(MOD(SUMPRODUCT(--MID(P731,{1,2,3,4,5,6,7,8,9,10,11,12},1),{5,4,3,2,9,8,7,6,5,4,3,2}),11)&lt;2,0,11-MOD(SUMPRODUCT(--MID(P731,{1,2,3,4,5,6,7,8,9,10,11,12},1),{5,4,3,2,9,8,7,6,5,4,3,2}),11)),VALUE(MID(P731,14,1))=IF(MOD(SUMPRODUCT(--MID(P731,{1,2,3,4,5,6,7,8,9,10,11,12,13},1),{6,5,4,3,2,9,8,7,6,5,4,3,2}),11)&lt;2,0,11-MOD(SUMPRODUCT(--MID(P731,{1,2,3,4,5,6,7,8,9,10,11,12,13},1),{6,5,4,3,2,9,8,7,6,5,4,3,2}),11))),"OK","ERRO: dígito verificador")))))</f>
      </c>
      <c r="R731" s="6">
        <f>IF(P731="","",IF(COUNTIF($P$2:$P$1001,P731)&gt;1,"DUPLICADO","OK"))</f>
      </c>
      <c r="S731" s="6">
        <f>IF(AND(J731="",K731=""),"vazio",IF(AND(OR(J731="",LEN(SUBSTITUTE(SUBSTITUTE(SUBSTITUTE(SUBSTITUTE(SUBSTITUTE(SUBSTITUTE(SUBSTITUTE(TRIM(J731),".",""),"/",""),"-","")," ",""),"(",""),")",""),"+",""))=10,LEN(SUBSTITUTE(SUBSTITUTE(SUBSTITUTE(SUBSTITUTE(SUBSTITUTE(SUBSTITUTE(SUBSTITUTE(TRIM(J731),".",""),"/",""),"-","")," ",""),"(",""),")",""),"+",""))=11),OR(K731="",LEN(SUBSTITUTE(SUBSTITUTE(SUBSTITUTE(SUBSTITUTE(SUBSTITUTE(SUBSTITUTE(SUBSTITUTE(TRIM(K731),".",""),"/",""),"-","")," ",""),"(",""),")",""),"+",""))=10,LEN(SUBSTITUTE(SUBSTITUTE(SUBSTITUTE(SUBSTITUTE(SUBSTITUTE(SUBSTITUTE(SUBSTITUTE(TRIM(K731),".",""),"/",""),"-","")," ",""),"(",""),")",""),"+",""))=11)),"OK","ERRO: use DDD + número (10 ou 11 dígitos)"))</f>
      </c>
      <c r="T731" s="6">
        <f>IF(L731="","vazio",IF(AND(ISNUMBER(FIND("@",L731)),ISNUMBER(FIND(".",MID(L731,FIND("@",L731),99))),NOT(ISNUMBER(FIND(" ",TRIM(L731)))),NOT(ISNUMBER(FIND(";",L731))),NOT(ISNUMBER(FIND(",",L731)))),"OK","ERRO: um e-mail válido por linha"))</f>
      </c>
      <c r="U731" s="6">
        <f>IF(COUNTA(A731:O731)=0,"",IF(AND(B731&lt;&gt;"",C731&lt;&gt;"",D731&lt;&gt;"",E731&lt;&gt;"",H731&lt;&gt;"",OR(J731&lt;&gt;"",L731&lt;&gt;"")),"OK","ERRO: faltam "&amp;IF(B731="","Proprietário; ","")&amp;IF(C731="","Origem; ","")&amp;IF(D731="","CNPJ; ","")&amp;IF(E731="","Razão Social; ","")&amp;IF(H731="","Sobrenome; ","")&amp;IF(AND(J731="",L731=""),"telefone ou e-mail; ","")))</f>
      </c>
      <c r="V731" s="6">
        <f>IF(COUNTA(A731:O731)=0,"",IF(AND(Q731="OK",R731="OK",LEFT(S731,4)&lt;&gt;"ERRO",LEFT(T731,4)&lt;&gt;"ERRO",U731="OK"),"OK","REVISAR"))</f>
      </c>
    </row>
    <row r="732">
      <c r="A732" s="4"/>
      <c r="B732" s="5"/>
      <c r="C732" s="5"/>
      <c r="D732" s="5"/>
      <c r="E732" s="5"/>
      <c r="F732" s="4"/>
      <c r="G732" s="4"/>
      <c r="H732" s="5"/>
      <c r="I732" s="4"/>
      <c r="J732" s="4"/>
      <c r="K732" s="4"/>
      <c r="L732" s="4"/>
      <c r="M732" s="4"/>
      <c r="N732" s="4"/>
      <c r="O732" s="4"/>
      <c r="P732" s="6">
        <f>IF(D732="","",SUBSTITUTE(SUBSTITUTE(SUBSTITUTE(SUBSTITUTE(SUBSTITUTE(SUBSTITUTE(SUBSTITUTE(TRIM(D732),".",""),"/",""),"-","")," ",""),"(",""),")",""),"+",""))</f>
      </c>
      <c r="Q732" s="6">
        <f>IF(P732="","",IF(LEN(P732)&lt;&gt;14,"ERRO: "&amp;LEN(P732)&amp;" dígitos",IF(NOT(ISNUMBER(VALUE(P732))),"ERRO: não numérico",IF(LEN(SUBSTITUTE(P732,LEFT(P732,1),""))=0,"ERRO: dígitos repetidos",IF(AND(VALUE(MID(P732,13,1))=IF(MOD(SUMPRODUCT(--MID(P732,{1,2,3,4,5,6,7,8,9,10,11,12},1),{5,4,3,2,9,8,7,6,5,4,3,2}),11)&lt;2,0,11-MOD(SUMPRODUCT(--MID(P732,{1,2,3,4,5,6,7,8,9,10,11,12},1),{5,4,3,2,9,8,7,6,5,4,3,2}),11)),VALUE(MID(P732,14,1))=IF(MOD(SUMPRODUCT(--MID(P732,{1,2,3,4,5,6,7,8,9,10,11,12,13},1),{6,5,4,3,2,9,8,7,6,5,4,3,2}),11)&lt;2,0,11-MOD(SUMPRODUCT(--MID(P732,{1,2,3,4,5,6,7,8,9,10,11,12,13},1),{6,5,4,3,2,9,8,7,6,5,4,3,2}),11))),"OK","ERRO: dígito verificador")))))</f>
      </c>
      <c r="R732" s="6">
        <f>IF(P732="","",IF(COUNTIF($P$2:$P$1001,P732)&gt;1,"DUPLICADO","OK"))</f>
      </c>
      <c r="S732" s="6">
        <f>IF(AND(J732="",K732=""),"vazio",IF(AND(OR(J732="",LEN(SUBSTITUTE(SUBSTITUTE(SUBSTITUTE(SUBSTITUTE(SUBSTITUTE(SUBSTITUTE(SUBSTITUTE(TRIM(J732),".",""),"/",""),"-","")," ",""),"(",""),")",""),"+",""))=10,LEN(SUBSTITUTE(SUBSTITUTE(SUBSTITUTE(SUBSTITUTE(SUBSTITUTE(SUBSTITUTE(SUBSTITUTE(TRIM(J732),".",""),"/",""),"-","")," ",""),"(",""),")",""),"+",""))=11),OR(K732="",LEN(SUBSTITUTE(SUBSTITUTE(SUBSTITUTE(SUBSTITUTE(SUBSTITUTE(SUBSTITUTE(SUBSTITUTE(TRIM(K732),".",""),"/",""),"-","")," ",""),"(",""),")",""),"+",""))=10,LEN(SUBSTITUTE(SUBSTITUTE(SUBSTITUTE(SUBSTITUTE(SUBSTITUTE(SUBSTITUTE(SUBSTITUTE(TRIM(K732),".",""),"/",""),"-","")," ",""),"(",""),")",""),"+",""))=11)),"OK","ERRO: use DDD + número (10 ou 11 dígitos)"))</f>
      </c>
      <c r="T732" s="6">
        <f>IF(L732="","vazio",IF(AND(ISNUMBER(FIND("@",L732)),ISNUMBER(FIND(".",MID(L732,FIND("@",L732),99))),NOT(ISNUMBER(FIND(" ",TRIM(L732)))),NOT(ISNUMBER(FIND(";",L732))),NOT(ISNUMBER(FIND(",",L732)))),"OK","ERRO: um e-mail válido por linha"))</f>
      </c>
      <c r="U732" s="6">
        <f>IF(COUNTA(A732:O732)=0,"",IF(AND(B732&lt;&gt;"",C732&lt;&gt;"",D732&lt;&gt;"",E732&lt;&gt;"",H732&lt;&gt;"",OR(J732&lt;&gt;"",L732&lt;&gt;"")),"OK","ERRO: faltam "&amp;IF(B732="","Proprietário; ","")&amp;IF(C732="","Origem; ","")&amp;IF(D732="","CNPJ; ","")&amp;IF(E732="","Razão Social; ","")&amp;IF(H732="","Sobrenome; ","")&amp;IF(AND(J732="",L732=""),"telefone ou e-mail; ","")))</f>
      </c>
      <c r="V732" s="6">
        <f>IF(COUNTA(A732:O732)=0,"",IF(AND(Q732="OK",R732="OK",LEFT(S732,4)&lt;&gt;"ERRO",LEFT(T732,4)&lt;&gt;"ERRO",U732="OK"),"OK","REVISAR"))</f>
      </c>
    </row>
    <row r="733">
      <c r="A733" s="4"/>
      <c r="B733" s="5"/>
      <c r="C733" s="5"/>
      <c r="D733" s="5"/>
      <c r="E733" s="5"/>
      <c r="F733" s="4"/>
      <c r="G733" s="4"/>
      <c r="H733" s="5"/>
      <c r="I733" s="4"/>
      <c r="J733" s="4"/>
      <c r="K733" s="4"/>
      <c r="L733" s="4"/>
      <c r="M733" s="4"/>
      <c r="N733" s="4"/>
      <c r="O733" s="4"/>
      <c r="P733" s="6">
        <f>IF(D733="","",SUBSTITUTE(SUBSTITUTE(SUBSTITUTE(SUBSTITUTE(SUBSTITUTE(SUBSTITUTE(SUBSTITUTE(TRIM(D733),".",""),"/",""),"-","")," ",""),"(",""),")",""),"+",""))</f>
      </c>
      <c r="Q733" s="6">
        <f>IF(P733="","",IF(LEN(P733)&lt;&gt;14,"ERRO: "&amp;LEN(P733)&amp;" dígitos",IF(NOT(ISNUMBER(VALUE(P733))),"ERRO: não numérico",IF(LEN(SUBSTITUTE(P733,LEFT(P733,1),""))=0,"ERRO: dígitos repetidos",IF(AND(VALUE(MID(P733,13,1))=IF(MOD(SUMPRODUCT(--MID(P733,{1,2,3,4,5,6,7,8,9,10,11,12},1),{5,4,3,2,9,8,7,6,5,4,3,2}),11)&lt;2,0,11-MOD(SUMPRODUCT(--MID(P733,{1,2,3,4,5,6,7,8,9,10,11,12},1),{5,4,3,2,9,8,7,6,5,4,3,2}),11)),VALUE(MID(P733,14,1))=IF(MOD(SUMPRODUCT(--MID(P733,{1,2,3,4,5,6,7,8,9,10,11,12,13},1),{6,5,4,3,2,9,8,7,6,5,4,3,2}),11)&lt;2,0,11-MOD(SUMPRODUCT(--MID(P733,{1,2,3,4,5,6,7,8,9,10,11,12,13},1),{6,5,4,3,2,9,8,7,6,5,4,3,2}),11))),"OK","ERRO: dígito verificador")))))</f>
      </c>
      <c r="R733" s="6">
        <f>IF(P733="","",IF(COUNTIF($P$2:$P$1001,P733)&gt;1,"DUPLICADO","OK"))</f>
      </c>
      <c r="S733" s="6">
        <f>IF(AND(J733="",K733=""),"vazio",IF(AND(OR(J733="",LEN(SUBSTITUTE(SUBSTITUTE(SUBSTITUTE(SUBSTITUTE(SUBSTITUTE(SUBSTITUTE(SUBSTITUTE(TRIM(J733),".",""),"/",""),"-","")," ",""),"(",""),")",""),"+",""))=10,LEN(SUBSTITUTE(SUBSTITUTE(SUBSTITUTE(SUBSTITUTE(SUBSTITUTE(SUBSTITUTE(SUBSTITUTE(TRIM(J733),".",""),"/",""),"-","")," ",""),"(",""),")",""),"+",""))=11),OR(K733="",LEN(SUBSTITUTE(SUBSTITUTE(SUBSTITUTE(SUBSTITUTE(SUBSTITUTE(SUBSTITUTE(SUBSTITUTE(TRIM(K733),".",""),"/",""),"-","")," ",""),"(",""),")",""),"+",""))=10,LEN(SUBSTITUTE(SUBSTITUTE(SUBSTITUTE(SUBSTITUTE(SUBSTITUTE(SUBSTITUTE(SUBSTITUTE(TRIM(K733),".",""),"/",""),"-","")," ",""),"(",""),")",""),"+",""))=11)),"OK","ERRO: use DDD + número (10 ou 11 dígitos)"))</f>
      </c>
      <c r="T733" s="6">
        <f>IF(L733="","vazio",IF(AND(ISNUMBER(FIND("@",L733)),ISNUMBER(FIND(".",MID(L733,FIND("@",L733),99))),NOT(ISNUMBER(FIND(" ",TRIM(L733)))),NOT(ISNUMBER(FIND(";",L733))),NOT(ISNUMBER(FIND(",",L733)))),"OK","ERRO: um e-mail válido por linha"))</f>
      </c>
      <c r="U733" s="6">
        <f>IF(COUNTA(A733:O733)=0,"",IF(AND(B733&lt;&gt;"",C733&lt;&gt;"",D733&lt;&gt;"",E733&lt;&gt;"",H733&lt;&gt;"",OR(J733&lt;&gt;"",L733&lt;&gt;"")),"OK","ERRO: faltam "&amp;IF(B733="","Proprietário; ","")&amp;IF(C733="","Origem; ","")&amp;IF(D733="","CNPJ; ","")&amp;IF(E733="","Razão Social; ","")&amp;IF(H733="","Sobrenome; ","")&amp;IF(AND(J733="",L733=""),"telefone ou e-mail; ","")))</f>
      </c>
      <c r="V733" s="6">
        <f>IF(COUNTA(A733:O733)=0,"",IF(AND(Q733="OK",R733="OK",LEFT(S733,4)&lt;&gt;"ERRO",LEFT(T733,4)&lt;&gt;"ERRO",U733="OK"),"OK","REVISAR"))</f>
      </c>
    </row>
    <row r="734">
      <c r="A734" s="4"/>
      <c r="B734" s="5"/>
      <c r="C734" s="5"/>
      <c r="D734" s="5"/>
      <c r="E734" s="5"/>
      <c r="F734" s="4"/>
      <c r="G734" s="4"/>
      <c r="H734" s="5"/>
      <c r="I734" s="4"/>
      <c r="J734" s="4"/>
      <c r="K734" s="4"/>
      <c r="L734" s="4"/>
      <c r="M734" s="4"/>
      <c r="N734" s="4"/>
      <c r="O734" s="4"/>
      <c r="P734" s="6">
        <f>IF(D734="","",SUBSTITUTE(SUBSTITUTE(SUBSTITUTE(SUBSTITUTE(SUBSTITUTE(SUBSTITUTE(SUBSTITUTE(TRIM(D734),".",""),"/",""),"-","")," ",""),"(",""),")",""),"+",""))</f>
      </c>
      <c r="Q734" s="6">
        <f>IF(P734="","",IF(LEN(P734)&lt;&gt;14,"ERRO: "&amp;LEN(P734)&amp;" dígitos",IF(NOT(ISNUMBER(VALUE(P734))),"ERRO: não numérico",IF(LEN(SUBSTITUTE(P734,LEFT(P734,1),""))=0,"ERRO: dígitos repetidos",IF(AND(VALUE(MID(P734,13,1))=IF(MOD(SUMPRODUCT(--MID(P734,{1,2,3,4,5,6,7,8,9,10,11,12},1),{5,4,3,2,9,8,7,6,5,4,3,2}),11)&lt;2,0,11-MOD(SUMPRODUCT(--MID(P734,{1,2,3,4,5,6,7,8,9,10,11,12},1),{5,4,3,2,9,8,7,6,5,4,3,2}),11)),VALUE(MID(P734,14,1))=IF(MOD(SUMPRODUCT(--MID(P734,{1,2,3,4,5,6,7,8,9,10,11,12,13},1),{6,5,4,3,2,9,8,7,6,5,4,3,2}),11)&lt;2,0,11-MOD(SUMPRODUCT(--MID(P734,{1,2,3,4,5,6,7,8,9,10,11,12,13},1),{6,5,4,3,2,9,8,7,6,5,4,3,2}),11))),"OK","ERRO: dígito verificador")))))</f>
      </c>
      <c r="R734" s="6">
        <f>IF(P734="","",IF(COUNTIF($P$2:$P$1001,P734)&gt;1,"DUPLICADO","OK"))</f>
      </c>
      <c r="S734" s="6">
        <f>IF(AND(J734="",K734=""),"vazio",IF(AND(OR(J734="",LEN(SUBSTITUTE(SUBSTITUTE(SUBSTITUTE(SUBSTITUTE(SUBSTITUTE(SUBSTITUTE(SUBSTITUTE(TRIM(J734),".",""),"/",""),"-","")," ",""),"(",""),")",""),"+",""))=10,LEN(SUBSTITUTE(SUBSTITUTE(SUBSTITUTE(SUBSTITUTE(SUBSTITUTE(SUBSTITUTE(SUBSTITUTE(TRIM(J734),".",""),"/",""),"-","")," ",""),"(",""),")",""),"+",""))=11),OR(K734="",LEN(SUBSTITUTE(SUBSTITUTE(SUBSTITUTE(SUBSTITUTE(SUBSTITUTE(SUBSTITUTE(SUBSTITUTE(TRIM(K734),".",""),"/",""),"-","")," ",""),"(",""),")",""),"+",""))=10,LEN(SUBSTITUTE(SUBSTITUTE(SUBSTITUTE(SUBSTITUTE(SUBSTITUTE(SUBSTITUTE(SUBSTITUTE(TRIM(K734),".",""),"/",""),"-","")," ",""),"(",""),")",""),"+",""))=11)),"OK","ERRO: use DDD + número (10 ou 11 dígitos)"))</f>
      </c>
      <c r="T734" s="6">
        <f>IF(L734="","vazio",IF(AND(ISNUMBER(FIND("@",L734)),ISNUMBER(FIND(".",MID(L734,FIND("@",L734),99))),NOT(ISNUMBER(FIND(" ",TRIM(L734)))),NOT(ISNUMBER(FIND(";",L734))),NOT(ISNUMBER(FIND(",",L734)))),"OK","ERRO: um e-mail válido por linha"))</f>
      </c>
      <c r="U734" s="6">
        <f>IF(COUNTA(A734:O734)=0,"",IF(AND(B734&lt;&gt;"",C734&lt;&gt;"",D734&lt;&gt;"",E734&lt;&gt;"",H734&lt;&gt;"",OR(J734&lt;&gt;"",L734&lt;&gt;"")),"OK","ERRO: faltam "&amp;IF(B734="","Proprietário; ","")&amp;IF(C734="","Origem; ","")&amp;IF(D734="","CNPJ; ","")&amp;IF(E734="","Razão Social; ","")&amp;IF(H734="","Sobrenome; ","")&amp;IF(AND(J734="",L734=""),"telefone ou e-mail; ","")))</f>
      </c>
      <c r="V734" s="6">
        <f>IF(COUNTA(A734:O734)=0,"",IF(AND(Q734="OK",R734="OK",LEFT(S734,4)&lt;&gt;"ERRO",LEFT(T734,4)&lt;&gt;"ERRO",U734="OK"),"OK","REVISAR"))</f>
      </c>
    </row>
    <row r="735">
      <c r="A735" s="4"/>
      <c r="B735" s="5"/>
      <c r="C735" s="5"/>
      <c r="D735" s="5"/>
      <c r="E735" s="5"/>
      <c r="F735" s="4"/>
      <c r="G735" s="4"/>
      <c r="H735" s="5"/>
      <c r="I735" s="4"/>
      <c r="J735" s="4"/>
      <c r="K735" s="4"/>
      <c r="L735" s="4"/>
      <c r="M735" s="4"/>
      <c r="N735" s="4"/>
      <c r="O735" s="4"/>
      <c r="P735" s="6">
        <f>IF(D735="","",SUBSTITUTE(SUBSTITUTE(SUBSTITUTE(SUBSTITUTE(SUBSTITUTE(SUBSTITUTE(SUBSTITUTE(TRIM(D735),".",""),"/",""),"-","")," ",""),"(",""),")",""),"+",""))</f>
      </c>
      <c r="Q735" s="6">
        <f>IF(P735="","",IF(LEN(P735)&lt;&gt;14,"ERRO: "&amp;LEN(P735)&amp;" dígitos",IF(NOT(ISNUMBER(VALUE(P735))),"ERRO: não numérico",IF(LEN(SUBSTITUTE(P735,LEFT(P735,1),""))=0,"ERRO: dígitos repetidos",IF(AND(VALUE(MID(P735,13,1))=IF(MOD(SUMPRODUCT(--MID(P735,{1,2,3,4,5,6,7,8,9,10,11,12},1),{5,4,3,2,9,8,7,6,5,4,3,2}),11)&lt;2,0,11-MOD(SUMPRODUCT(--MID(P735,{1,2,3,4,5,6,7,8,9,10,11,12},1),{5,4,3,2,9,8,7,6,5,4,3,2}),11)),VALUE(MID(P735,14,1))=IF(MOD(SUMPRODUCT(--MID(P735,{1,2,3,4,5,6,7,8,9,10,11,12,13},1),{6,5,4,3,2,9,8,7,6,5,4,3,2}),11)&lt;2,0,11-MOD(SUMPRODUCT(--MID(P735,{1,2,3,4,5,6,7,8,9,10,11,12,13},1),{6,5,4,3,2,9,8,7,6,5,4,3,2}),11))),"OK","ERRO: dígito verificador")))))</f>
      </c>
      <c r="R735" s="6">
        <f>IF(P735="","",IF(COUNTIF($P$2:$P$1001,P735)&gt;1,"DUPLICADO","OK"))</f>
      </c>
      <c r="S735" s="6">
        <f>IF(AND(J735="",K735=""),"vazio",IF(AND(OR(J735="",LEN(SUBSTITUTE(SUBSTITUTE(SUBSTITUTE(SUBSTITUTE(SUBSTITUTE(SUBSTITUTE(SUBSTITUTE(TRIM(J735),".",""),"/",""),"-","")," ",""),"(",""),")",""),"+",""))=10,LEN(SUBSTITUTE(SUBSTITUTE(SUBSTITUTE(SUBSTITUTE(SUBSTITUTE(SUBSTITUTE(SUBSTITUTE(TRIM(J735),".",""),"/",""),"-","")," ",""),"(",""),")",""),"+",""))=11),OR(K735="",LEN(SUBSTITUTE(SUBSTITUTE(SUBSTITUTE(SUBSTITUTE(SUBSTITUTE(SUBSTITUTE(SUBSTITUTE(TRIM(K735),".",""),"/",""),"-","")," ",""),"(",""),")",""),"+",""))=10,LEN(SUBSTITUTE(SUBSTITUTE(SUBSTITUTE(SUBSTITUTE(SUBSTITUTE(SUBSTITUTE(SUBSTITUTE(TRIM(K735),".",""),"/",""),"-","")," ",""),"(",""),")",""),"+",""))=11)),"OK","ERRO: use DDD + número (10 ou 11 dígitos)"))</f>
      </c>
      <c r="T735" s="6">
        <f>IF(L735="","vazio",IF(AND(ISNUMBER(FIND("@",L735)),ISNUMBER(FIND(".",MID(L735,FIND("@",L735),99))),NOT(ISNUMBER(FIND(" ",TRIM(L735)))),NOT(ISNUMBER(FIND(";",L735))),NOT(ISNUMBER(FIND(",",L735)))),"OK","ERRO: um e-mail válido por linha"))</f>
      </c>
      <c r="U735" s="6">
        <f>IF(COUNTA(A735:O735)=0,"",IF(AND(B735&lt;&gt;"",C735&lt;&gt;"",D735&lt;&gt;"",E735&lt;&gt;"",H735&lt;&gt;"",OR(J735&lt;&gt;"",L735&lt;&gt;"")),"OK","ERRO: faltam "&amp;IF(B735="","Proprietário; ","")&amp;IF(C735="","Origem; ","")&amp;IF(D735="","CNPJ; ","")&amp;IF(E735="","Razão Social; ","")&amp;IF(H735="","Sobrenome; ","")&amp;IF(AND(J735="",L735=""),"telefone ou e-mail; ","")))</f>
      </c>
      <c r="V735" s="6">
        <f>IF(COUNTA(A735:O735)=0,"",IF(AND(Q735="OK",R735="OK",LEFT(S735,4)&lt;&gt;"ERRO",LEFT(T735,4)&lt;&gt;"ERRO",U735="OK"),"OK","REVISAR"))</f>
      </c>
    </row>
    <row r="736">
      <c r="A736" s="4"/>
      <c r="B736" s="5"/>
      <c r="C736" s="5"/>
      <c r="D736" s="5"/>
      <c r="E736" s="5"/>
      <c r="F736" s="4"/>
      <c r="G736" s="4"/>
      <c r="H736" s="5"/>
      <c r="I736" s="4"/>
      <c r="J736" s="4"/>
      <c r="K736" s="4"/>
      <c r="L736" s="4"/>
      <c r="M736" s="4"/>
      <c r="N736" s="4"/>
      <c r="O736" s="4"/>
      <c r="P736" s="6">
        <f>IF(D736="","",SUBSTITUTE(SUBSTITUTE(SUBSTITUTE(SUBSTITUTE(SUBSTITUTE(SUBSTITUTE(SUBSTITUTE(TRIM(D736),".",""),"/",""),"-","")," ",""),"(",""),")",""),"+",""))</f>
      </c>
      <c r="Q736" s="6">
        <f>IF(P736="","",IF(LEN(P736)&lt;&gt;14,"ERRO: "&amp;LEN(P736)&amp;" dígitos",IF(NOT(ISNUMBER(VALUE(P736))),"ERRO: não numérico",IF(LEN(SUBSTITUTE(P736,LEFT(P736,1),""))=0,"ERRO: dígitos repetidos",IF(AND(VALUE(MID(P736,13,1))=IF(MOD(SUMPRODUCT(--MID(P736,{1,2,3,4,5,6,7,8,9,10,11,12},1),{5,4,3,2,9,8,7,6,5,4,3,2}),11)&lt;2,0,11-MOD(SUMPRODUCT(--MID(P736,{1,2,3,4,5,6,7,8,9,10,11,12},1),{5,4,3,2,9,8,7,6,5,4,3,2}),11)),VALUE(MID(P736,14,1))=IF(MOD(SUMPRODUCT(--MID(P736,{1,2,3,4,5,6,7,8,9,10,11,12,13},1),{6,5,4,3,2,9,8,7,6,5,4,3,2}),11)&lt;2,0,11-MOD(SUMPRODUCT(--MID(P736,{1,2,3,4,5,6,7,8,9,10,11,12,13},1),{6,5,4,3,2,9,8,7,6,5,4,3,2}),11))),"OK","ERRO: dígito verificador")))))</f>
      </c>
      <c r="R736" s="6">
        <f>IF(P736="","",IF(COUNTIF($P$2:$P$1001,P736)&gt;1,"DUPLICADO","OK"))</f>
      </c>
      <c r="S736" s="6">
        <f>IF(AND(J736="",K736=""),"vazio",IF(AND(OR(J736="",LEN(SUBSTITUTE(SUBSTITUTE(SUBSTITUTE(SUBSTITUTE(SUBSTITUTE(SUBSTITUTE(SUBSTITUTE(TRIM(J736),".",""),"/",""),"-","")," ",""),"(",""),")",""),"+",""))=10,LEN(SUBSTITUTE(SUBSTITUTE(SUBSTITUTE(SUBSTITUTE(SUBSTITUTE(SUBSTITUTE(SUBSTITUTE(TRIM(J736),".",""),"/",""),"-","")," ",""),"(",""),")",""),"+",""))=11),OR(K736="",LEN(SUBSTITUTE(SUBSTITUTE(SUBSTITUTE(SUBSTITUTE(SUBSTITUTE(SUBSTITUTE(SUBSTITUTE(TRIM(K736),".",""),"/",""),"-","")," ",""),"(",""),")",""),"+",""))=10,LEN(SUBSTITUTE(SUBSTITUTE(SUBSTITUTE(SUBSTITUTE(SUBSTITUTE(SUBSTITUTE(SUBSTITUTE(TRIM(K736),".",""),"/",""),"-","")," ",""),"(",""),")",""),"+",""))=11)),"OK","ERRO: use DDD + número (10 ou 11 dígitos)"))</f>
      </c>
      <c r="T736" s="6">
        <f>IF(L736="","vazio",IF(AND(ISNUMBER(FIND("@",L736)),ISNUMBER(FIND(".",MID(L736,FIND("@",L736),99))),NOT(ISNUMBER(FIND(" ",TRIM(L736)))),NOT(ISNUMBER(FIND(";",L736))),NOT(ISNUMBER(FIND(",",L736)))),"OK","ERRO: um e-mail válido por linha"))</f>
      </c>
      <c r="U736" s="6">
        <f>IF(COUNTA(A736:O736)=0,"",IF(AND(B736&lt;&gt;"",C736&lt;&gt;"",D736&lt;&gt;"",E736&lt;&gt;"",H736&lt;&gt;"",OR(J736&lt;&gt;"",L736&lt;&gt;"")),"OK","ERRO: faltam "&amp;IF(B736="","Proprietário; ","")&amp;IF(C736="","Origem; ","")&amp;IF(D736="","CNPJ; ","")&amp;IF(E736="","Razão Social; ","")&amp;IF(H736="","Sobrenome; ","")&amp;IF(AND(J736="",L736=""),"telefone ou e-mail; ","")))</f>
      </c>
      <c r="V736" s="6">
        <f>IF(COUNTA(A736:O736)=0,"",IF(AND(Q736="OK",R736="OK",LEFT(S736,4)&lt;&gt;"ERRO",LEFT(T736,4)&lt;&gt;"ERRO",U736="OK"),"OK","REVISAR"))</f>
      </c>
    </row>
    <row r="737">
      <c r="A737" s="4"/>
      <c r="B737" s="5"/>
      <c r="C737" s="5"/>
      <c r="D737" s="5"/>
      <c r="E737" s="5"/>
      <c r="F737" s="4"/>
      <c r="G737" s="4"/>
      <c r="H737" s="5"/>
      <c r="I737" s="4"/>
      <c r="J737" s="4"/>
      <c r="K737" s="4"/>
      <c r="L737" s="4"/>
      <c r="M737" s="4"/>
      <c r="N737" s="4"/>
      <c r="O737" s="4"/>
      <c r="P737" s="6">
        <f>IF(D737="","",SUBSTITUTE(SUBSTITUTE(SUBSTITUTE(SUBSTITUTE(SUBSTITUTE(SUBSTITUTE(SUBSTITUTE(TRIM(D737),".",""),"/",""),"-","")," ",""),"(",""),")",""),"+",""))</f>
      </c>
      <c r="Q737" s="6">
        <f>IF(P737="","",IF(LEN(P737)&lt;&gt;14,"ERRO: "&amp;LEN(P737)&amp;" dígitos",IF(NOT(ISNUMBER(VALUE(P737))),"ERRO: não numérico",IF(LEN(SUBSTITUTE(P737,LEFT(P737,1),""))=0,"ERRO: dígitos repetidos",IF(AND(VALUE(MID(P737,13,1))=IF(MOD(SUMPRODUCT(--MID(P737,{1,2,3,4,5,6,7,8,9,10,11,12},1),{5,4,3,2,9,8,7,6,5,4,3,2}),11)&lt;2,0,11-MOD(SUMPRODUCT(--MID(P737,{1,2,3,4,5,6,7,8,9,10,11,12},1),{5,4,3,2,9,8,7,6,5,4,3,2}),11)),VALUE(MID(P737,14,1))=IF(MOD(SUMPRODUCT(--MID(P737,{1,2,3,4,5,6,7,8,9,10,11,12,13},1),{6,5,4,3,2,9,8,7,6,5,4,3,2}),11)&lt;2,0,11-MOD(SUMPRODUCT(--MID(P737,{1,2,3,4,5,6,7,8,9,10,11,12,13},1),{6,5,4,3,2,9,8,7,6,5,4,3,2}),11))),"OK","ERRO: dígito verificador")))))</f>
      </c>
      <c r="R737" s="6">
        <f>IF(P737="","",IF(COUNTIF($P$2:$P$1001,P737)&gt;1,"DUPLICADO","OK"))</f>
      </c>
      <c r="S737" s="6">
        <f>IF(AND(J737="",K737=""),"vazio",IF(AND(OR(J737="",LEN(SUBSTITUTE(SUBSTITUTE(SUBSTITUTE(SUBSTITUTE(SUBSTITUTE(SUBSTITUTE(SUBSTITUTE(TRIM(J737),".",""),"/",""),"-","")," ",""),"(",""),")",""),"+",""))=10,LEN(SUBSTITUTE(SUBSTITUTE(SUBSTITUTE(SUBSTITUTE(SUBSTITUTE(SUBSTITUTE(SUBSTITUTE(TRIM(J737),".",""),"/",""),"-","")," ",""),"(",""),")",""),"+",""))=11),OR(K737="",LEN(SUBSTITUTE(SUBSTITUTE(SUBSTITUTE(SUBSTITUTE(SUBSTITUTE(SUBSTITUTE(SUBSTITUTE(TRIM(K737),".",""),"/",""),"-","")," ",""),"(",""),")",""),"+",""))=10,LEN(SUBSTITUTE(SUBSTITUTE(SUBSTITUTE(SUBSTITUTE(SUBSTITUTE(SUBSTITUTE(SUBSTITUTE(TRIM(K737),".",""),"/",""),"-","")," ",""),"(",""),")",""),"+",""))=11)),"OK","ERRO: use DDD + número (10 ou 11 dígitos)"))</f>
      </c>
      <c r="T737" s="6">
        <f>IF(L737="","vazio",IF(AND(ISNUMBER(FIND("@",L737)),ISNUMBER(FIND(".",MID(L737,FIND("@",L737),99))),NOT(ISNUMBER(FIND(" ",TRIM(L737)))),NOT(ISNUMBER(FIND(";",L737))),NOT(ISNUMBER(FIND(",",L737)))),"OK","ERRO: um e-mail válido por linha"))</f>
      </c>
      <c r="U737" s="6">
        <f>IF(COUNTA(A737:O737)=0,"",IF(AND(B737&lt;&gt;"",C737&lt;&gt;"",D737&lt;&gt;"",E737&lt;&gt;"",H737&lt;&gt;"",OR(J737&lt;&gt;"",L737&lt;&gt;"")),"OK","ERRO: faltam "&amp;IF(B737="","Proprietário; ","")&amp;IF(C737="","Origem; ","")&amp;IF(D737="","CNPJ; ","")&amp;IF(E737="","Razão Social; ","")&amp;IF(H737="","Sobrenome; ","")&amp;IF(AND(J737="",L737=""),"telefone ou e-mail; ","")))</f>
      </c>
      <c r="V737" s="6">
        <f>IF(COUNTA(A737:O737)=0,"",IF(AND(Q737="OK",R737="OK",LEFT(S737,4)&lt;&gt;"ERRO",LEFT(T737,4)&lt;&gt;"ERRO",U737="OK"),"OK","REVISAR"))</f>
      </c>
    </row>
    <row r="738">
      <c r="A738" s="4"/>
      <c r="B738" s="5"/>
      <c r="C738" s="5"/>
      <c r="D738" s="5"/>
      <c r="E738" s="5"/>
      <c r="F738" s="4"/>
      <c r="G738" s="4"/>
      <c r="H738" s="5"/>
      <c r="I738" s="4"/>
      <c r="J738" s="4"/>
      <c r="K738" s="4"/>
      <c r="L738" s="4"/>
      <c r="M738" s="4"/>
      <c r="N738" s="4"/>
      <c r="O738" s="4"/>
      <c r="P738" s="6">
        <f>IF(D738="","",SUBSTITUTE(SUBSTITUTE(SUBSTITUTE(SUBSTITUTE(SUBSTITUTE(SUBSTITUTE(SUBSTITUTE(TRIM(D738),".",""),"/",""),"-","")," ",""),"(",""),")",""),"+",""))</f>
      </c>
      <c r="Q738" s="6">
        <f>IF(P738="","",IF(LEN(P738)&lt;&gt;14,"ERRO: "&amp;LEN(P738)&amp;" dígitos",IF(NOT(ISNUMBER(VALUE(P738))),"ERRO: não numérico",IF(LEN(SUBSTITUTE(P738,LEFT(P738,1),""))=0,"ERRO: dígitos repetidos",IF(AND(VALUE(MID(P738,13,1))=IF(MOD(SUMPRODUCT(--MID(P738,{1,2,3,4,5,6,7,8,9,10,11,12},1),{5,4,3,2,9,8,7,6,5,4,3,2}),11)&lt;2,0,11-MOD(SUMPRODUCT(--MID(P738,{1,2,3,4,5,6,7,8,9,10,11,12},1),{5,4,3,2,9,8,7,6,5,4,3,2}),11)),VALUE(MID(P738,14,1))=IF(MOD(SUMPRODUCT(--MID(P738,{1,2,3,4,5,6,7,8,9,10,11,12,13},1),{6,5,4,3,2,9,8,7,6,5,4,3,2}),11)&lt;2,0,11-MOD(SUMPRODUCT(--MID(P738,{1,2,3,4,5,6,7,8,9,10,11,12,13},1),{6,5,4,3,2,9,8,7,6,5,4,3,2}),11))),"OK","ERRO: dígito verificador")))))</f>
      </c>
      <c r="R738" s="6">
        <f>IF(P738="","",IF(COUNTIF($P$2:$P$1001,P738)&gt;1,"DUPLICADO","OK"))</f>
      </c>
      <c r="S738" s="6">
        <f>IF(AND(J738="",K738=""),"vazio",IF(AND(OR(J738="",LEN(SUBSTITUTE(SUBSTITUTE(SUBSTITUTE(SUBSTITUTE(SUBSTITUTE(SUBSTITUTE(SUBSTITUTE(TRIM(J738),".",""),"/",""),"-","")," ",""),"(",""),")",""),"+",""))=10,LEN(SUBSTITUTE(SUBSTITUTE(SUBSTITUTE(SUBSTITUTE(SUBSTITUTE(SUBSTITUTE(SUBSTITUTE(TRIM(J738),".",""),"/",""),"-","")," ",""),"(",""),")",""),"+",""))=11),OR(K738="",LEN(SUBSTITUTE(SUBSTITUTE(SUBSTITUTE(SUBSTITUTE(SUBSTITUTE(SUBSTITUTE(SUBSTITUTE(TRIM(K738),".",""),"/",""),"-","")," ",""),"(",""),")",""),"+",""))=10,LEN(SUBSTITUTE(SUBSTITUTE(SUBSTITUTE(SUBSTITUTE(SUBSTITUTE(SUBSTITUTE(SUBSTITUTE(TRIM(K738),".",""),"/",""),"-","")," ",""),"(",""),")",""),"+",""))=11)),"OK","ERRO: use DDD + número (10 ou 11 dígitos)"))</f>
      </c>
      <c r="T738" s="6">
        <f>IF(L738="","vazio",IF(AND(ISNUMBER(FIND("@",L738)),ISNUMBER(FIND(".",MID(L738,FIND("@",L738),99))),NOT(ISNUMBER(FIND(" ",TRIM(L738)))),NOT(ISNUMBER(FIND(";",L738))),NOT(ISNUMBER(FIND(",",L738)))),"OK","ERRO: um e-mail válido por linha"))</f>
      </c>
      <c r="U738" s="6">
        <f>IF(COUNTA(A738:O738)=0,"",IF(AND(B738&lt;&gt;"",C738&lt;&gt;"",D738&lt;&gt;"",E738&lt;&gt;"",H738&lt;&gt;"",OR(J738&lt;&gt;"",L738&lt;&gt;"")),"OK","ERRO: faltam "&amp;IF(B738="","Proprietário; ","")&amp;IF(C738="","Origem; ","")&amp;IF(D738="","CNPJ; ","")&amp;IF(E738="","Razão Social; ","")&amp;IF(H738="","Sobrenome; ","")&amp;IF(AND(J738="",L738=""),"telefone ou e-mail; ","")))</f>
      </c>
      <c r="V738" s="6">
        <f>IF(COUNTA(A738:O738)=0,"",IF(AND(Q738="OK",R738="OK",LEFT(S738,4)&lt;&gt;"ERRO",LEFT(T738,4)&lt;&gt;"ERRO",U738="OK"),"OK","REVISAR"))</f>
      </c>
    </row>
    <row r="739">
      <c r="A739" s="4"/>
      <c r="B739" s="5"/>
      <c r="C739" s="5"/>
      <c r="D739" s="5"/>
      <c r="E739" s="5"/>
      <c r="F739" s="4"/>
      <c r="G739" s="4"/>
      <c r="H739" s="5"/>
      <c r="I739" s="4"/>
      <c r="J739" s="4"/>
      <c r="K739" s="4"/>
      <c r="L739" s="4"/>
      <c r="M739" s="4"/>
      <c r="N739" s="4"/>
      <c r="O739" s="4"/>
      <c r="P739" s="6">
        <f>IF(D739="","",SUBSTITUTE(SUBSTITUTE(SUBSTITUTE(SUBSTITUTE(SUBSTITUTE(SUBSTITUTE(SUBSTITUTE(TRIM(D739),".",""),"/",""),"-","")," ",""),"(",""),")",""),"+",""))</f>
      </c>
      <c r="Q739" s="6">
        <f>IF(P739="","",IF(LEN(P739)&lt;&gt;14,"ERRO: "&amp;LEN(P739)&amp;" dígitos",IF(NOT(ISNUMBER(VALUE(P739))),"ERRO: não numérico",IF(LEN(SUBSTITUTE(P739,LEFT(P739,1),""))=0,"ERRO: dígitos repetidos",IF(AND(VALUE(MID(P739,13,1))=IF(MOD(SUMPRODUCT(--MID(P739,{1,2,3,4,5,6,7,8,9,10,11,12},1),{5,4,3,2,9,8,7,6,5,4,3,2}),11)&lt;2,0,11-MOD(SUMPRODUCT(--MID(P739,{1,2,3,4,5,6,7,8,9,10,11,12},1),{5,4,3,2,9,8,7,6,5,4,3,2}),11)),VALUE(MID(P739,14,1))=IF(MOD(SUMPRODUCT(--MID(P739,{1,2,3,4,5,6,7,8,9,10,11,12,13},1),{6,5,4,3,2,9,8,7,6,5,4,3,2}),11)&lt;2,0,11-MOD(SUMPRODUCT(--MID(P739,{1,2,3,4,5,6,7,8,9,10,11,12,13},1),{6,5,4,3,2,9,8,7,6,5,4,3,2}),11))),"OK","ERRO: dígito verificador")))))</f>
      </c>
      <c r="R739" s="6">
        <f>IF(P739="","",IF(COUNTIF($P$2:$P$1001,P739)&gt;1,"DUPLICADO","OK"))</f>
      </c>
      <c r="S739" s="6">
        <f>IF(AND(J739="",K739=""),"vazio",IF(AND(OR(J739="",LEN(SUBSTITUTE(SUBSTITUTE(SUBSTITUTE(SUBSTITUTE(SUBSTITUTE(SUBSTITUTE(SUBSTITUTE(TRIM(J739),".",""),"/",""),"-","")," ",""),"(",""),")",""),"+",""))=10,LEN(SUBSTITUTE(SUBSTITUTE(SUBSTITUTE(SUBSTITUTE(SUBSTITUTE(SUBSTITUTE(SUBSTITUTE(TRIM(J739),".",""),"/",""),"-","")," ",""),"(",""),")",""),"+",""))=11),OR(K739="",LEN(SUBSTITUTE(SUBSTITUTE(SUBSTITUTE(SUBSTITUTE(SUBSTITUTE(SUBSTITUTE(SUBSTITUTE(TRIM(K739),".",""),"/",""),"-","")," ",""),"(",""),")",""),"+",""))=10,LEN(SUBSTITUTE(SUBSTITUTE(SUBSTITUTE(SUBSTITUTE(SUBSTITUTE(SUBSTITUTE(SUBSTITUTE(TRIM(K739),".",""),"/",""),"-","")," ",""),"(",""),")",""),"+",""))=11)),"OK","ERRO: use DDD + número (10 ou 11 dígitos)"))</f>
      </c>
      <c r="T739" s="6">
        <f>IF(L739="","vazio",IF(AND(ISNUMBER(FIND("@",L739)),ISNUMBER(FIND(".",MID(L739,FIND("@",L739),99))),NOT(ISNUMBER(FIND(" ",TRIM(L739)))),NOT(ISNUMBER(FIND(";",L739))),NOT(ISNUMBER(FIND(",",L739)))),"OK","ERRO: um e-mail válido por linha"))</f>
      </c>
      <c r="U739" s="6">
        <f>IF(COUNTA(A739:O739)=0,"",IF(AND(B739&lt;&gt;"",C739&lt;&gt;"",D739&lt;&gt;"",E739&lt;&gt;"",H739&lt;&gt;"",OR(J739&lt;&gt;"",L739&lt;&gt;"")),"OK","ERRO: faltam "&amp;IF(B739="","Proprietário; ","")&amp;IF(C739="","Origem; ","")&amp;IF(D739="","CNPJ; ","")&amp;IF(E739="","Razão Social; ","")&amp;IF(H739="","Sobrenome; ","")&amp;IF(AND(J739="",L739=""),"telefone ou e-mail; ","")))</f>
      </c>
      <c r="V739" s="6">
        <f>IF(COUNTA(A739:O739)=0,"",IF(AND(Q739="OK",R739="OK",LEFT(S739,4)&lt;&gt;"ERRO",LEFT(T739,4)&lt;&gt;"ERRO",U739="OK"),"OK","REVISAR"))</f>
      </c>
    </row>
    <row r="740">
      <c r="A740" s="4"/>
      <c r="B740" s="5"/>
      <c r="C740" s="5"/>
      <c r="D740" s="5"/>
      <c r="E740" s="5"/>
      <c r="F740" s="4"/>
      <c r="G740" s="4"/>
      <c r="H740" s="5"/>
      <c r="I740" s="4"/>
      <c r="J740" s="4"/>
      <c r="K740" s="4"/>
      <c r="L740" s="4"/>
      <c r="M740" s="4"/>
      <c r="N740" s="4"/>
      <c r="O740" s="4"/>
      <c r="P740" s="6">
        <f>IF(D740="","",SUBSTITUTE(SUBSTITUTE(SUBSTITUTE(SUBSTITUTE(SUBSTITUTE(SUBSTITUTE(SUBSTITUTE(TRIM(D740),".",""),"/",""),"-","")," ",""),"(",""),")",""),"+",""))</f>
      </c>
      <c r="Q740" s="6">
        <f>IF(P740="","",IF(LEN(P740)&lt;&gt;14,"ERRO: "&amp;LEN(P740)&amp;" dígitos",IF(NOT(ISNUMBER(VALUE(P740))),"ERRO: não numérico",IF(LEN(SUBSTITUTE(P740,LEFT(P740,1),""))=0,"ERRO: dígitos repetidos",IF(AND(VALUE(MID(P740,13,1))=IF(MOD(SUMPRODUCT(--MID(P740,{1,2,3,4,5,6,7,8,9,10,11,12},1),{5,4,3,2,9,8,7,6,5,4,3,2}),11)&lt;2,0,11-MOD(SUMPRODUCT(--MID(P740,{1,2,3,4,5,6,7,8,9,10,11,12},1),{5,4,3,2,9,8,7,6,5,4,3,2}),11)),VALUE(MID(P740,14,1))=IF(MOD(SUMPRODUCT(--MID(P740,{1,2,3,4,5,6,7,8,9,10,11,12,13},1),{6,5,4,3,2,9,8,7,6,5,4,3,2}),11)&lt;2,0,11-MOD(SUMPRODUCT(--MID(P740,{1,2,3,4,5,6,7,8,9,10,11,12,13},1),{6,5,4,3,2,9,8,7,6,5,4,3,2}),11))),"OK","ERRO: dígito verificador")))))</f>
      </c>
      <c r="R740" s="6">
        <f>IF(P740="","",IF(COUNTIF($P$2:$P$1001,P740)&gt;1,"DUPLICADO","OK"))</f>
      </c>
      <c r="S740" s="6">
        <f>IF(AND(J740="",K740=""),"vazio",IF(AND(OR(J740="",LEN(SUBSTITUTE(SUBSTITUTE(SUBSTITUTE(SUBSTITUTE(SUBSTITUTE(SUBSTITUTE(SUBSTITUTE(TRIM(J740),".",""),"/",""),"-","")," ",""),"(",""),")",""),"+",""))=10,LEN(SUBSTITUTE(SUBSTITUTE(SUBSTITUTE(SUBSTITUTE(SUBSTITUTE(SUBSTITUTE(SUBSTITUTE(TRIM(J740),".",""),"/",""),"-","")," ",""),"(",""),")",""),"+",""))=11),OR(K740="",LEN(SUBSTITUTE(SUBSTITUTE(SUBSTITUTE(SUBSTITUTE(SUBSTITUTE(SUBSTITUTE(SUBSTITUTE(TRIM(K740),".",""),"/",""),"-","")," ",""),"(",""),")",""),"+",""))=10,LEN(SUBSTITUTE(SUBSTITUTE(SUBSTITUTE(SUBSTITUTE(SUBSTITUTE(SUBSTITUTE(SUBSTITUTE(TRIM(K740),".",""),"/",""),"-","")," ",""),"(",""),")",""),"+",""))=11)),"OK","ERRO: use DDD + número (10 ou 11 dígitos)"))</f>
      </c>
      <c r="T740" s="6">
        <f>IF(L740="","vazio",IF(AND(ISNUMBER(FIND("@",L740)),ISNUMBER(FIND(".",MID(L740,FIND("@",L740),99))),NOT(ISNUMBER(FIND(" ",TRIM(L740)))),NOT(ISNUMBER(FIND(";",L740))),NOT(ISNUMBER(FIND(",",L740)))),"OK","ERRO: um e-mail válido por linha"))</f>
      </c>
      <c r="U740" s="6">
        <f>IF(COUNTA(A740:O740)=0,"",IF(AND(B740&lt;&gt;"",C740&lt;&gt;"",D740&lt;&gt;"",E740&lt;&gt;"",H740&lt;&gt;"",OR(J740&lt;&gt;"",L740&lt;&gt;"")),"OK","ERRO: faltam "&amp;IF(B740="","Proprietário; ","")&amp;IF(C740="","Origem; ","")&amp;IF(D740="","CNPJ; ","")&amp;IF(E740="","Razão Social; ","")&amp;IF(H740="","Sobrenome; ","")&amp;IF(AND(J740="",L740=""),"telefone ou e-mail; ","")))</f>
      </c>
      <c r="V740" s="6">
        <f>IF(COUNTA(A740:O740)=0,"",IF(AND(Q740="OK",R740="OK",LEFT(S740,4)&lt;&gt;"ERRO",LEFT(T740,4)&lt;&gt;"ERRO",U740="OK"),"OK","REVISAR"))</f>
      </c>
    </row>
    <row r="741">
      <c r="A741" s="4"/>
      <c r="B741" s="5"/>
      <c r="C741" s="5"/>
      <c r="D741" s="5"/>
      <c r="E741" s="5"/>
      <c r="F741" s="4"/>
      <c r="G741" s="4"/>
      <c r="H741" s="5"/>
      <c r="I741" s="4"/>
      <c r="J741" s="4"/>
      <c r="K741" s="4"/>
      <c r="L741" s="4"/>
      <c r="M741" s="4"/>
      <c r="N741" s="4"/>
      <c r="O741" s="4"/>
      <c r="P741" s="6">
        <f>IF(D741="","",SUBSTITUTE(SUBSTITUTE(SUBSTITUTE(SUBSTITUTE(SUBSTITUTE(SUBSTITUTE(SUBSTITUTE(TRIM(D741),".",""),"/",""),"-","")," ",""),"(",""),")",""),"+",""))</f>
      </c>
      <c r="Q741" s="6">
        <f>IF(P741="","",IF(LEN(P741)&lt;&gt;14,"ERRO: "&amp;LEN(P741)&amp;" dígitos",IF(NOT(ISNUMBER(VALUE(P741))),"ERRO: não numérico",IF(LEN(SUBSTITUTE(P741,LEFT(P741,1),""))=0,"ERRO: dígitos repetidos",IF(AND(VALUE(MID(P741,13,1))=IF(MOD(SUMPRODUCT(--MID(P741,{1,2,3,4,5,6,7,8,9,10,11,12},1),{5,4,3,2,9,8,7,6,5,4,3,2}),11)&lt;2,0,11-MOD(SUMPRODUCT(--MID(P741,{1,2,3,4,5,6,7,8,9,10,11,12},1),{5,4,3,2,9,8,7,6,5,4,3,2}),11)),VALUE(MID(P741,14,1))=IF(MOD(SUMPRODUCT(--MID(P741,{1,2,3,4,5,6,7,8,9,10,11,12,13},1),{6,5,4,3,2,9,8,7,6,5,4,3,2}),11)&lt;2,0,11-MOD(SUMPRODUCT(--MID(P741,{1,2,3,4,5,6,7,8,9,10,11,12,13},1),{6,5,4,3,2,9,8,7,6,5,4,3,2}),11))),"OK","ERRO: dígito verificador")))))</f>
      </c>
      <c r="R741" s="6">
        <f>IF(P741="","",IF(COUNTIF($P$2:$P$1001,P741)&gt;1,"DUPLICADO","OK"))</f>
      </c>
      <c r="S741" s="6">
        <f>IF(AND(J741="",K741=""),"vazio",IF(AND(OR(J741="",LEN(SUBSTITUTE(SUBSTITUTE(SUBSTITUTE(SUBSTITUTE(SUBSTITUTE(SUBSTITUTE(SUBSTITUTE(TRIM(J741),".",""),"/",""),"-","")," ",""),"(",""),")",""),"+",""))=10,LEN(SUBSTITUTE(SUBSTITUTE(SUBSTITUTE(SUBSTITUTE(SUBSTITUTE(SUBSTITUTE(SUBSTITUTE(TRIM(J741),".",""),"/",""),"-","")," ",""),"(",""),")",""),"+",""))=11),OR(K741="",LEN(SUBSTITUTE(SUBSTITUTE(SUBSTITUTE(SUBSTITUTE(SUBSTITUTE(SUBSTITUTE(SUBSTITUTE(TRIM(K741),".",""),"/",""),"-","")," ",""),"(",""),")",""),"+",""))=10,LEN(SUBSTITUTE(SUBSTITUTE(SUBSTITUTE(SUBSTITUTE(SUBSTITUTE(SUBSTITUTE(SUBSTITUTE(TRIM(K741),".",""),"/",""),"-","")," ",""),"(",""),")",""),"+",""))=11)),"OK","ERRO: use DDD + número (10 ou 11 dígitos)"))</f>
      </c>
      <c r="T741" s="6">
        <f>IF(L741="","vazio",IF(AND(ISNUMBER(FIND("@",L741)),ISNUMBER(FIND(".",MID(L741,FIND("@",L741),99))),NOT(ISNUMBER(FIND(" ",TRIM(L741)))),NOT(ISNUMBER(FIND(";",L741))),NOT(ISNUMBER(FIND(",",L741)))),"OK","ERRO: um e-mail válido por linha"))</f>
      </c>
      <c r="U741" s="6">
        <f>IF(COUNTA(A741:O741)=0,"",IF(AND(B741&lt;&gt;"",C741&lt;&gt;"",D741&lt;&gt;"",E741&lt;&gt;"",H741&lt;&gt;"",OR(J741&lt;&gt;"",L741&lt;&gt;"")),"OK","ERRO: faltam "&amp;IF(B741="","Proprietário; ","")&amp;IF(C741="","Origem; ","")&amp;IF(D741="","CNPJ; ","")&amp;IF(E741="","Razão Social; ","")&amp;IF(H741="","Sobrenome; ","")&amp;IF(AND(J741="",L741=""),"telefone ou e-mail; ","")))</f>
      </c>
      <c r="V741" s="6">
        <f>IF(COUNTA(A741:O741)=0,"",IF(AND(Q741="OK",R741="OK",LEFT(S741,4)&lt;&gt;"ERRO",LEFT(T741,4)&lt;&gt;"ERRO",U741="OK"),"OK","REVISAR"))</f>
      </c>
    </row>
    <row r="742">
      <c r="A742" s="4"/>
      <c r="B742" s="5"/>
      <c r="C742" s="5"/>
      <c r="D742" s="5"/>
      <c r="E742" s="5"/>
      <c r="F742" s="4"/>
      <c r="G742" s="4"/>
      <c r="H742" s="5"/>
      <c r="I742" s="4"/>
      <c r="J742" s="4"/>
      <c r="K742" s="4"/>
      <c r="L742" s="4"/>
      <c r="M742" s="4"/>
      <c r="N742" s="4"/>
      <c r="O742" s="4"/>
      <c r="P742" s="6">
        <f>IF(D742="","",SUBSTITUTE(SUBSTITUTE(SUBSTITUTE(SUBSTITUTE(SUBSTITUTE(SUBSTITUTE(SUBSTITUTE(TRIM(D742),".",""),"/",""),"-","")," ",""),"(",""),")",""),"+",""))</f>
      </c>
      <c r="Q742" s="6">
        <f>IF(P742="","",IF(LEN(P742)&lt;&gt;14,"ERRO: "&amp;LEN(P742)&amp;" dígitos",IF(NOT(ISNUMBER(VALUE(P742))),"ERRO: não numérico",IF(LEN(SUBSTITUTE(P742,LEFT(P742,1),""))=0,"ERRO: dígitos repetidos",IF(AND(VALUE(MID(P742,13,1))=IF(MOD(SUMPRODUCT(--MID(P742,{1,2,3,4,5,6,7,8,9,10,11,12},1),{5,4,3,2,9,8,7,6,5,4,3,2}),11)&lt;2,0,11-MOD(SUMPRODUCT(--MID(P742,{1,2,3,4,5,6,7,8,9,10,11,12},1),{5,4,3,2,9,8,7,6,5,4,3,2}),11)),VALUE(MID(P742,14,1))=IF(MOD(SUMPRODUCT(--MID(P742,{1,2,3,4,5,6,7,8,9,10,11,12,13},1),{6,5,4,3,2,9,8,7,6,5,4,3,2}),11)&lt;2,0,11-MOD(SUMPRODUCT(--MID(P742,{1,2,3,4,5,6,7,8,9,10,11,12,13},1),{6,5,4,3,2,9,8,7,6,5,4,3,2}),11))),"OK","ERRO: dígito verificador")))))</f>
      </c>
      <c r="R742" s="6">
        <f>IF(P742="","",IF(COUNTIF($P$2:$P$1001,P742)&gt;1,"DUPLICADO","OK"))</f>
      </c>
      <c r="S742" s="6">
        <f>IF(AND(J742="",K742=""),"vazio",IF(AND(OR(J742="",LEN(SUBSTITUTE(SUBSTITUTE(SUBSTITUTE(SUBSTITUTE(SUBSTITUTE(SUBSTITUTE(SUBSTITUTE(TRIM(J742),".",""),"/",""),"-","")," ",""),"(",""),")",""),"+",""))=10,LEN(SUBSTITUTE(SUBSTITUTE(SUBSTITUTE(SUBSTITUTE(SUBSTITUTE(SUBSTITUTE(SUBSTITUTE(TRIM(J742),".",""),"/",""),"-","")," ",""),"(",""),")",""),"+",""))=11),OR(K742="",LEN(SUBSTITUTE(SUBSTITUTE(SUBSTITUTE(SUBSTITUTE(SUBSTITUTE(SUBSTITUTE(SUBSTITUTE(TRIM(K742),".",""),"/",""),"-","")," ",""),"(",""),")",""),"+",""))=10,LEN(SUBSTITUTE(SUBSTITUTE(SUBSTITUTE(SUBSTITUTE(SUBSTITUTE(SUBSTITUTE(SUBSTITUTE(TRIM(K742),".",""),"/",""),"-","")," ",""),"(",""),")",""),"+",""))=11)),"OK","ERRO: use DDD + número (10 ou 11 dígitos)"))</f>
      </c>
      <c r="T742" s="6">
        <f>IF(L742="","vazio",IF(AND(ISNUMBER(FIND("@",L742)),ISNUMBER(FIND(".",MID(L742,FIND("@",L742),99))),NOT(ISNUMBER(FIND(" ",TRIM(L742)))),NOT(ISNUMBER(FIND(";",L742))),NOT(ISNUMBER(FIND(",",L742)))),"OK","ERRO: um e-mail válido por linha"))</f>
      </c>
      <c r="U742" s="6">
        <f>IF(COUNTA(A742:O742)=0,"",IF(AND(B742&lt;&gt;"",C742&lt;&gt;"",D742&lt;&gt;"",E742&lt;&gt;"",H742&lt;&gt;"",OR(J742&lt;&gt;"",L742&lt;&gt;"")),"OK","ERRO: faltam "&amp;IF(B742="","Proprietário; ","")&amp;IF(C742="","Origem; ","")&amp;IF(D742="","CNPJ; ","")&amp;IF(E742="","Razão Social; ","")&amp;IF(H742="","Sobrenome; ","")&amp;IF(AND(J742="",L742=""),"telefone ou e-mail; ","")))</f>
      </c>
      <c r="V742" s="6">
        <f>IF(COUNTA(A742:O742)=0,"",IF(AND(Q742="OK",R742="OK",LEFT(S742,4)&lt;&gt;"ERRO",LEFT(T742,4)&lt;&gt;"ERRO",U742="OK"),"OK","REVISAR"))</f>
      </c>
    </row>
    <row r="743">
      <c r="A743" s="4"/>
      <c r="B743" s="5"/>
      <c r="C743" s="5"/>
      <c r="D743" s="5"/>
      <c r="E743" s="5"/>
      <c r="F743" s="4"/>
      <c r="G743" s="4"/>
      <c r="H743" s="5"/>
      <c r="I743" s="4"/>
      <c r="J743" s="4"/>
      <c r="K743" s="4"/>
      <c r="L743" s="4"/>
      <c r="M743" s="4"/>
      <c r="N743" s="4"/>
      <c r="O743" s="4"/>
      <c r="P743" s="6">
        <f>IF(D743="","",SUBSTITUTE(SUBSTITUTE(SUBSTITUTE(SUBSTITUTE(SUBSTITUTE(SUBSTITUTE(SUBSTITUTE(TRIM(D743),".",""),"/",""),"-","")," ",""),"(",""),")",""),"+",""))</f>
      </c>
      <c r="Q743" s="6">
        <f>IF(P743="","",IF(LEN(P743)&lt;&gt;14,"ERRO: "&amp;LEN(P743)&amp;" dígitos",IF(NOT(ISNUMBER(VALUE(P743))),"ERRO: não numérico",IF(LEN(SUBSTITUTE(P743,LEFT(P743,1),""))=0,"ERRO: dígitos repetidos",IF(AND(VALUE(MID(P743,13,1))=IF(MOD(SUMPRODUCT(--MID(P743,{1,2,3,4,5,6,7,8,9,10,11,12},1),{5,4,3,2,9,8,7,6,5,4,3,2}),11)&lt;2,0,11-MOD(SUMPRODUCT(--MID(P743,{1,2,3,4,5,6,7,8,9,10,11,12},1),{5,4,3,2,9,8,7,6,5,4,3,2}),11)),VALUE(MID(P743,14,1))=IF(MOD(SUMPRODUCT(--MID(P743,{1,2,3,4,5,6,7,8,9,10,11,12,13},1),{6,5,4,3,2,9,8,7,6,5,4,3,2}),11)&lt;2,0,11-MOD(SUMPRODUCT(--MID(P743,{1,2,3,4,5,6,7,8,9,10,11,12,13},1),{6,5,4,3,2,9,8,7,6,5,4,3,2}),11))),"OK","ERRO: dígito verificador")))))</f>
      </c>
      <c r="R743" s="6">
        <f>IF(P743="","",IF(COUNTIF($P$2:$P$1001,P743)&gt;1,"DUPLICADO","OK"))</f>
      </c>
      <c r="S743" s="6">
        <f>IF(AND(J743="",K743=""),"vazio",IF(AND(OR(J743="",LEN(SUBSTITUTE(SUBSTITUTE(SUBSTITUTE(SUBSTITUTE(SUBSTITUTE(SUBSTITUTE(SUBSTITUTE(TRIM(J743),".",""),"/",""),"-","")," ",""),"(",""),")",""),"+",""))=10,LEN(SUBSTITUTE(SUBSTITUTE(SUBSTITUTE(SUBSTITUTE(SUBSTITUTE(SUBSTITUTE(SUBSTITUTE(TRIM(J743),".",""),"/",""),"-","")," ",""),"(",""),")",""),"+",""))=11),OR(K743="",LEN(SUBSTITUTE(SUBSTITUTE(SUBSTITUTE(SUBSTITUTE(SUBSTITUTE(SUBSTITUTE(SUBSTITUTE(TRIM(K743),".",""),"/",""),"-","")," ",""),"(",""),")",""),"+",""))=10,LEN(SUBSTITUTE(SUBSTITUTE(SUBSTITUTE(SUBSTITUTE(SUBSTITUTE(SUBSTITUTE(SUBSTITUTE(TRIM(K743),".",""),"/",""),"-","")," ",""),"(",""),")",""),"+",""))=11)),"OK","ERRO: use DDD + número (10 ou 11 dígitos)"))</f>
      </c>
      <c r="T743" s="6">
        <f>IF(L743="","vazio",IF(AND(ISNUMBER(FIND("@",L743)),ISNUMBER(FIND(".",MID(L743,FIND("@",L743),99))),NOT(ISNUMBER(FIND(" ",TRIM(L743)))),NOT(ISNUMBER(FIND(";",L743))),NOT(ISNUMBER(FIND(",",L743)))),"OK","ERRO: um e-mail válido por linha"))</f>
      </c>
      <c r="U743" s="6">
        <f>IF(COUNTA(A743:O743)=0,"",IF(AND(B743&lt;&gt;"",C743&lt;&gt;"",D743&lt;&gt;"",E743&lt;&gt;"",H743&lt;&gt;"",OR(J743&lt;&gt;"",L743&lt;&gt;"")),"OK","ERRO: faltam "&amp;IF(B743="","Proprietário; ","")&amp;IF(C743="","Origem; ","")&amp;IF(D743="","CNPJ; ","")&amp;IF(E743="","Razão Social; ","")&amp;IF(H743="","Sobrenome; ","")&amp;IF(AND(J743="",L743=""),"telefone ou e-mail; ","")))</f>
      </c>
      <c r="V743" s="6">
        <f>IF(COUNTA(A743:O743)=0,"",IF(AND(Q743="OK",R743="OK",LEFT(S743,4)&lt;&gt;"ERRO",LEFT(T743,4)&lt;&gt;"ERRO",U743="OK"),"OK","REVISAR"))</f>
      </c>
    </row>
    <row r="744">
      <c r="A744" s="4"/>
      <c r="B744" s="5"/>
      <c r="C744" s="5"/>
      <c r="D744" s="5"/>
      <c r="E744" s="5"/>
      <c r="F744" s="4"/>
      <c r="G744" s="4"/>
      <c r="H744" s="5"/>
      <c r="I744" s="4"/>
      <c r="J744" s="4"/>
      <c r="K744" s="4"/>
      <c r="L744" s="4"/>
      <c r="M744" s="4"/>
      <c r="N744" s="4"/>
      <c r="O744" s="4"/>
      <c r="P744" s="6">
        <f>IF(D744="","",SUBSTITUTE(SUBSTITUTE(SUBSTITUTE(SUBSTITUTE(SUBSTITUTE(SUBSTITUTE(SUBSTITUTE(TRIM(D744),".",""),"/",""),"-","")," ",""),"(",""),")",""),"+",""))</f>
      </c>
      <c r="Q744" s="6">
        <f>IF(P744="","",IF(LEN(P744)&lt;&gt;14,"ERRO: "&amp;LEN(P744)&amp;" dígitos",IF(NOT(ISNUMBER(VALUE(P744))),"ERRO: não numérico",IF(LEN(SUBSTITUTE(P744,LEFT(P744,1),""))=0,"ERRO: dígitos repetidos",IF(AND(VALUE(MID(P744,13,1))=IF(MOD(SUMPRODUCT(--MID(P744,{1,2,3,4,5,6,7,8,9,10,11,12},1),{5,4,3,2,9,8,7,6,5,4,3,2}),11)&lt;2,0,11-MOD(SUMPRODUCT(--MID(P744,{1,2,3,4,5,6,7,8,9,10,11,12},1),{5,4,3,2,9,8,7,6,5,4,3,2}),11)),VALUE(MID(P744,14,1))=IF(MOD(SUMPRODUCT(--MID(P744,{1,2,3,4,5,6,7,8,9,10,11,12,13},1),{6,5,4,3,2,9,8,7,6,5,4,3,2}),11)&lt;2,0,11-MOD(SUMPRODUCT(--MID(P744,{1,2,3,4,5,6,7,8,9,10,11,12,13},1),{6,5,4,3,2,9,8,7,6,5,4,3,2}),11))),"OK","ERRO: dígito verificador")))))</f>
      </c>
      <c r="R744" s="6">
        <f>IF(P744="","",IF(COUNTIF($P$2:$P$1001,P744)&gt;1,"DUPLICADO","OK"))</f>
      </c>
      <c r="S744" s="6">
        <f>IF(AND(J744="",K744=""),"vazio",IF(AND(OR(J744="",LEN(SUBSTITUTE(SUBSTITUTE(SUBSTITUTE(SUBSTITUTE(SUBSTITUTE(SUBSTITUTE(SUBSTITUTE(TRIM(J744),".",""),"/",""),"-","")," ",""),"(",""),")",""),"+",""))=10,LEN(SUBSTITUTE(SUBSTITUTE(SUBSTITUTE(SUBSTITUTE(SUBSTITUTE(SUBSTITUTE(SUBSTITUTE(TRIM(J744),".",""),"/",""),"-","")," ",""),"(",""),")",""),"+",""))=11),OR(K744="",LEN(SUBSTITUTE(SUBSTITUTE(SUBSTITUTE(SUBSTITUTE(SUBSTITUTE(SUBSTITUTE(SUBSTITUTE(TRIM(K744),".",""),"/",""),"-","")," ",""),"(",""),")",""),"+",""))=10,LEN(SUBSTITUTE(SUBSTITUTE(SUBSTITUTE(SUBSTITUTE(SUBSTITUTE(SUBSTITUTE(SUBSTITUTE(TRIM(K744),".",""),"/",""),"-","")," ",""),"(",""),")",""),"+",""))=11)),"OK","ERRO: use DDD + número (10 ou 11 dígitos)"))</f>
      </c>
      <c r="T744" s="6">
        <f>IF(L744="","vazio",IF(AND(ISNUMBER(FIND("@",L744)),ISNUMBER(FIND(".",MID(L744,FIND("@",L744),99))),NOT(ISNUMBER(FIND(" ",TRIM(L744)))),NOT(ISNUMBER(FIND(";",L744))),NOT(ISNUMBER(FIND(",",L744)))),"OK","ERRO: um e-mail válido por linha"))</f>
      </c>
      <c r="U744" s="6">
        <f>IF(COUNTA(A744:O744)=0,"",IF(AND(B744&lt;&gt;"",C744&lt;&gt;"",D744&lt;&gt;"",E744&lt;&gt;"",H744&lt;&gt;"",OR(J744&lt;&gt;"",L744&lt;&gt;"")),"OK","ERRO: faltam "&amp;IF(B744="","Proprietário; ","")&amp;IF(C744="","Origem; ","")&amp;IF(D744="","CNPJ; ","")&amp;IF(E744="","Razão Social; ","")&amp;IF(H744="","Sobrenome; ","")&amp;IF(AND(J744="",L744=""),"telefone ou e-mail; ","")))</f>
      </c>
      <c r="V744" s="6">
        <f>IF(COUNTA(A744:O744)=0,"",IF(AND(Q744="OK",R744="OK",LEFT(S744,4)&lt;&gt;"ERRO",LEFT(T744,4)&lt;&gt;"ERRO",U744="OK"),"OK","REVISAR"))</f>
      </c>
    </row>
    <row r="745">
      <c r="A745" s="4"/>
      <c r="B745" s="5"/>
      <c r="C745" s="5"/>
      <c r="D745" s="5"/>
      <c r="E745" s="5"/>
      <c r="F745" s="4"/>
      <c r="G745" s="4"/>
      <c r="H745" s="5"/>
      <c r="I745" s="4"/>
      <c r="J745" s="4"/>
      <c r="K745" s="4"/>
      <c r="L745" s="4"/>
      <c r="M745" s="4"/>
      <c r="N745" s="4"/>
      <c r="O745" s="4"/>
      <c r="P745" s="6">
        <f>IF(D745="","",SUBSTITUTE(SUBSTITUTE(SUBSTITUTE(SUBSTITUTE(SUBSTITUTE(SUBSTITUTE(SUBSTITUTE(TRIM(D745),".",""),"/",""),"-","")," ",""),"(",""),")",""),"+",""))</f>
      </c>
      <c r="Q745" s="6">
        <f>IF(P745="","",IF(LEN(P745)&lt;&gt;14,"ERRO: "&amp;LEN(P745)&amp;" dígitos",IF(NOT(ISNUMBER(VALUE(P745))),"ERRO: não numérico",IF(LEN(SUBSTITUTE(P745,LEFT(P745,1),""))=0,"ERRO: dígitos repetidos",IF(AND(VALUE(MID(P745,13,1))=IF(MOD(SUMPRODUCT(--MID(P745,{1,2,3,4,5,6,7,8,9,10,11,12},1),{5,4,3,2,9,8,7,6,5,4,3,2}),11)&lt;2,0,11-MOD(SUMPRODUCT(--MID(P745,{1,2,3,4,5,6,7,8,9,10,11,12},1),{5,4,3,2,9,8,7,6,5,4,3,2}),11)),VALUE(MID(P745,14,1))=IF(MOD(SUMPRODUCT(--MID(P745,{1,2,3,4,5,6,7,8,9,10,11,12,13},1),{6,5,4,3,2,9,8,7,6,5,4,3,2}),11)&lt;2,0,11-MOD(SUMPRODUCT(--MID(P745,{1,2,3,4,5,6,7,8,9,10,11,12,13},1),{6,5,4,3,2,9,8,7,6,5,4,3,2}),11))),"OK","ERRO: dígito verificador")))))</f>
      </c>
      <c r="R745" s="6">
        <f>IF(P745="","",IF(COUNTIF($P$2:$P$1001,P745)&gt;1,"DUPLICADO","OK"))</f>
      </c>
      <c r="S745" s="6">
        <f>IF(AND(J745="",K745=""),"vazio",IF(AND(OR(J745="",LEN(SUBSTITUTE(SUBSTITUTE(SUBSTITUTE(SUBSTITUTE(SUBSTITUTE(SUBSTITUTE(SUBSTITUTE(TRIM(J745),".",""),"/",""),"-","")," ",""),"(",""),")",""),"+",""))=10,LEN(SUBSTITUTE(SUBSTITUTE(SUBSTITUTE(SUBSTITUTE(SUBSTITUTE(SUBSTITUTE(SUBSTITUTE(TRIM(J745),".",""),"/",""),"-","")," ",""),"(",""),")",""),"+",""))=11),OR(K745="",LEN(SUBSTITUTE(SUBSTITUTE(SUBSTITUTE(SUBSTITUTE(SUBSTITUTE(SUBSTITUTE(SUBSTITUTE(TRIM(K745),".",""),"/",""),"-","")," ",""),"(",""),")",""),"+",""))=10,LEN(SUBSTITUTE(SUBSTITUTE(SUBSTITUTE(SUBSTITUTE(SUBSTITUTE(SUBSTITUTE(SUBSTITUTE(TRIM(K745),".",""),"/",""),"-","")," ",""),"(",""),")",""),"+",""))=11)),"OK","ERRO: use DDD + número (10 ou 11 dígitos)"))</f>
      </c>
      <c r="T745" s="6">
        <f>IF(L745="","vazio",IF(AND(ISNUMBER(FIND("@",L745)),ISNUMBER(FIND(".",MID(L745,FIND("@",L745),99))),NOT(ISNUMBER(FIND(" ",TRIM(L745)))),NOT(ISNUMBER(FIND(";",L745))),NOT(ISNUMBER(FIND(",",L745)))),"OK","ERRO: um e-mail válido por linha"))</f>
      </c>
      <c r="U745" s="6">
        <f>IF(COUNTA(A745:O745)=0,"",IF(AND(B745&lt;&gt;"",C745&lt;&gt;"",D745&lt;&gt;"",E745&lt;&gt;"",H745&lt;&gt;"",OR(J745&lt;&gt;"",L745&lt;&gt;"")),"OK","ERRO: faltam "&amp;IF(B745="","Proprietário; ","")&amp;IF(C745="","Origem; ","")&amp;IF(D745="","CNPJ; ","")&amp;IF(E745="","Razão Social; ","")&amp;IF(H745="","Sobrenome; ","")&amp;IF(AND(J745="",L745=""),"telefone ou e-mail; ","")))</f>
      </c>
      <c r="V745" s="6">
        <f>IF(COUNTA(A745:O745)=0,"",IF(AND(Q745="OK",R745="OK",LEFT(S745,4)&lt;&gt;"ERRO",LEFT(T745,4)&lt;&gt;"ERRO",U745="OK"),"OK","REVISAR"))</f>
      </c>
    </row>
    <row r="746">
      <c r="A746" s="4"/>
      <c r="B746" s="5"/>
      <c r="C746" s="5"/>
      <c r="D746" s="5"/>
      <c r="E746" s="5"/>
      <c r="F746" s="4"/>
      <c r="G746" s="4"/>
      <c r="H746" s="5"/>
      <c r="I746" s="4"/>
      <c r="J746" s="4"/>
      <c r="K746" s="4"/>
      <c r="L746" s="4"/>
      <c r="M746" s="4"/>
      <c r="N746" s="4"/>
      <c r="O746" s="4"/>
      <c r="P746" s="6">
        <f>IF(D746="","",SUBSTITUTE(SUBSTITUTE(SUBSTITUTE(SUBSTITUTE(SUBSTITUTE(SUBSTITUTE(SUBSTITUTE(TRIM(D746),".",""),"/",""),"-","")," ",""),"(",""),")",""),"+",""))</f>
      </c>
      <c r="Q746" s="6">
        <f>IF(P746="","",IF(LEN(P746)&lt;&gt;14,"ERRO: "&amp;LEN(P746)&amp;" dígitos",IF(NOT(ISNUMBER(VALUE(P746))),"ERRO: não numérico",IF(LEN(SUBSTITUTE(P746,LEFT(P746,1),""))=0,"ERRO: dígitos repetidos",IF(AND(VALUE(MID(P746,13,1))=IF(MOD(SUMPRODUCT(--MID(P746,{1,2,3,4,5,6,7,8,9,10,11,12},1),{5,4,3,2,9,8,7,6,5,4,3,2}),11)&lt;2,0,11-MOD(SUMPRODUCT(--MID(P746,{1,2,3,4,5,6,7,8,9,10,11,12},1),{5,4,3,2,9,8,7,6,5,4,3,2}),11)),VALUE(MID(P746,14,1))=IF(MOD(SUMPRODUCT(--MID(P746,{1,2,3,4,5,6,7,8,9,10,11,12,13},1),{6,5,4,3,2,9,8,7,6,5,4,3,2}),11)&lt;2,0,11-MOD(SUMPRODUCT(--MID(P746,{1,2,3,4,5,6,7,8,9,10,11,12,13},1),{6,5,4,3,2,9,8,7,6,5,4,3,2}),11))),"OK","ERRO: dígito verificador")))))</f>
      </c>
      <c r="R746" s="6">
        <f>IF(P746="","",IF(COUNTIF($P$2:$P$1001,P746)&gt;1,"DUPLICADO","OK"))</f>
      </c>
      <c r="S746" s="6">
        <f>IF(AND(J746="",K746=""),"vazio",IF(AND(OR(J746="",LEN(SUBSTITUTE(SUBSTITUTE(SUBSTITUTE(SUBSTITUTE(SUBSTITUTE(SUBSTITUTE(SUBSTITUTE(TRIM(J746),".",""),"/",""),"-","")," ",""),"(",""),")",""),"+",""))=10,LEN(SUBSTITUTE(SUBSTITUTE(SUBSTITUTE(SUBSTITUTE(SUBSTITUTE(SUBSTITUTE(SUBSTITUTE(TRIM(J746),".",""),"/",""),"-","")," ",""),"(",""),")",""),"+",""))=11),OR(K746="",LEN(SUBSTITUTE(SUBSTITUTE(SUBSTITUTE(SUBSTITUTE(SUBSTITUTE(SUBSTITUTE(SUBSTITUTE(TRIM(K746),".",""),"/",""),"-","")," ",""),"(",""),")",""),"+",""))=10,LEN(SUBSTITUTE(SUBSTITUTE(SUBSTITUTE(SUBSTITUTE(SUBSTITUTE(SUBSTITUTE(SUBSTITUTE(TRIM(K746),".",""),"/",""),"-","")," ",""),"(",""),")",""),"+",""))=11)),"OK","ERRO: use DDD + número (10 ou 11 dígitos)"))</f>
      </c>
      <c r="T746" s="6">
        <f>IF(L746="","vazio",IF(AND(ISNUMBER(FIND("@",L746)),ISNUMBER(FIND(".",MID(L746,FIND("@",L746),99))),NOT(ISNUMBER(FIND(" ",TRIM(L746)))),NOT(ISNUMBER(FIND(";",L746))),NOT(ISNUMBER(FIND(",",L746)))),"OK","ERRO: um e-mail válido por linha"))</f>
      </c>
      <c r="U746" s="6">
        <f>IF(COUNTA(A746:O746)=0,"",IF(AND(B746&lt;&gt;"",C746&lt;&gt;"",D746&lt;&gt;"",E746&lt;&gt;"",H746&lt;&gt;"",OR(J746&lt;&gt;"",L746&lt;&gt;"")),"OK","ERRO: faltam "&amp;IF(B746="","Proprietário; ","")&amp;IF(C746="","Origem; ","")&amp;IF(D746="","CNPJ; ","")&amp;IF(E746="","Razão Social; ","")&amp;IF(H746="","Sobrenome; ","")&amp;IF(AND(J746="",L746=""),"telefone ou e-mail; ","")))</f>
      </c>
      <c r="V746" s="6">
        <f>IF(COUNTA(A746:O746)=0,"",IF(AND(Q746="OK",R746="OK",LEFT(S746,4)&lt;&gt;"ERRO",LEFT(T746,4)&lt;&gt;"ERRO",U746="OK"),"OK","REVISAR"))</f>
      </c>
    </row>
    <row r="747">
      <c r="A747" s="4"/>
      <c r="B747" s="5"/>
      <c r="C747" s="5"/>
      <c r="D747" s="5"/>
      <c r="E747" s="5"/>
      <c r="F747" s="4"/>
      <c r="G747" s="4"/>
      <c r="H747" s="5"/>
      <c r="I747" s="4"/>
      <c r="J747" s="4"/>
      <c r="K747" s="4"/>
      <c r="L747" s="4"/>
      <c r="M747" s="4"/>
      <c r="N747" s="4"/>
      <c r="O747" s="4"/>
      <c r="P747" s="6">
        <f>IF(D747="","",SUBSTITUTE(SUBSTITUTE(SUBSTITUTE(SUBSTITUTE(SUBSTITUTE(SUBSTITUTE(SUBSTITUTE(TRIM(D747),".",""),"/",""),"-","")," ",""),"(",""),")",""),"+",""))</f>
      </c>
      <c r="Q747" s="6">
        <f>IF(P747="","",IF(LEN(P747)&lt;&gt;14,"ERRO: "&amp;LEN(P747)&amp;" dígitos",IF(NOT(ISNUMBER(VALUE(P747))),"ERRO: não numérico",IF(LEN(SUBSTITUTE(P747,LEFT(P747,1),""))=0,"ERRO: dígitos repetidos",IF(AND(VALUE(MID(P747,13,1))=IF(MOD(SUMPRODUCT(--MID(P747,{1,2,3,4,5,6,7,8,9,10,11,12},1),{5,4,3,2,9,8,7,6,5,4,3,2}),11)&lt;2,0,11-MOD(SUMPRODUCT(--MID(P747,{1,2,3,4,5,6,7,8,9,10,11,12},1),{5,4,3,2,9,8,7,6,5,4,3,2}),11)),VALUE(MID(P747,14,1))=IF(MOD(SUMPRODUCT(--MID(P747,{1,2,3,4,5,6,7,8,9,10,11,12,13},1),{6,5,4,3,2,9,8,7,6,5,4,3,2}),11)&lt;2,0,11-MOD(SUMPRODUCT(--MID(P747,{1,2,3,4,5,6,7,8,9,10,11,12,13},1),{6,5,4,3,2,9,8,7,6,5,4,3,2}),11))),"OK","ERRO: dígito verificador")))))</f>
      </c>
      <c r="R747" s="6">
        <f>IF(P747="","",IF(COUNTIF($P$2:$P$1001,P747)&gt;1,"DUPLICADO","OK"))</f>
      </c>
      <c r="S747" s="6">
        <f>IF(AND(J747="",K747=""),"vazio",IF(AND(OR(J747="",LEN(SUBSTITUTE(SUBSTITUTE(SUBSTITUTE(SUBSTITUTE(SUBSTITUTE(SUBSTITUTE(SUBSTITUTE(TRIM(J747),".",""),"/",""),"-","")," ",""),"(",""),")",""),"+",""))=10,LEN(SUBSTITUTE(SUBSTITUTE(SUBSTITUTE(SUBSTITUTE(SUBSTITUTE(SUBSTITUTE(SUBSTITUTE(TRIM(J747),".",""),"/",""),"-","")," ",""),"(",""),")",""),"+",""))=11),OR(K747="",LEN(SUBSTITUTE(SUBSTITUTE(SUBSTITUTE(SUBSTITUTE(SUBSTITUTE(SUBSTITUTE(SUBSTITUTE(TRIM(K747),".",""),"/",""),"-","")," ",""),"(",""),")",""),"+",""))=10,LEN(SUBSTITUTE(SUBSTITUTE(SUBSTITUTE(SUBSTITUTE(SUBSTITUTE(SUBSTITUTE(SUBSTITUTE(TRIM(K747),".",""),"/",""),"-","")," ",""),"(",""),")",""),"+",""))=11)),"OK","ERRO: use DDD + número (10 ou 11 dígitos)"))</f>
      </c>
      <c r="T747" s="6">
        <f>IF(L747="","vazio",IF(AND(ISNUMBER(FIND("@",L747)),ISNUMBER(FIND(".",MID(L747,FIND("@",L747),99))),NOT(ISNUMBER(FIND(" ",TRIM(L747)))),NOT(ISNUMBER(FIND(";",L747))),NOT(ISNUMBER(FIND(",",L747)))),"OK","ERRO: um e-mail válido por linha"))</f>
      </c>
      <c r="U747" s="6">
        <f>IF(COUNTA(A747:O747)=0,"",IF(AND(B747&lt;&gt;"",C747&lt;&gt;"",D747&lt;&gt;"",E747&lt;&gt;"",H747&lt;&gt;"",OR(J747&lt;&gt;"",L747&lt;&gt;"")),"OK","ERRO: faltam "&amp;IF(B747="","Proprietário; ","")&amp;IF(C747="","Origem; ","")&amp;IF(D747="","CNPJ; ","")&amp;IF(E747="","Razão Social; ","")&amp;IF(H747="","Sobrenome; ","")&amp;IF(AND(J747="",L747=""),"telefone ou e-mail; ","")))</f>
      </c>
      <c r="V747" s="6">
        <f>IF(COUNTA(A747:O747)=0,"",IF(AND(Q747="OK",R747="OK",LEFT(S747,4)&lt;&gt;"ERRO",LEFT(T747,4)&lt;&gt;"ERRO",U747="OK"),"OK","REVISAR"))</f>
      </c>
    </row>
    <row r="748">
      <c r="A748" s="4"/>
      <c r="B748" s="5"/>
      <c r="C748" s="5"/>
      <c r="D748" s="5"/>
      <c r="E748" s="5"/>
      <c r="F748" s="4"/>
      <c r="G748" s="4"/>
      <c r="H748" s="5"/>
      <c r="I748" s="4"/>
      <c r="J748" s="4"/>
      <c r="K748" s="4"/>
      <c r="L748" s="4"/>
      <c r="M748" s="4"/>
      <c r="N748" s="4"/>
      <c r="O748" s="4"/>
      <c r="P748" s="6">
        <f>IF(D748="","",SUBSTITUTE(SUBSTITUTE(SUBSTITUTE(SUBSTITUTE(SUBSTITUTE(SUBSTITUTE(SUBSTITUTE(TRIM(D748),".",""),"/",""),"-","")," ",""),"(",""),")",""),"+",""))</f>
      </c>
      <c r="Q748" s="6">
        <f>IF(P748="","",IF(LEN(P748)&lt;&gt;14,"ERRO: "&amp;LEN(P748)&amp;" dígitos",IF(NOT(ISNUMBER(VALUE(P748))),"ERRO: não numérico",IF(LEN(SUBSTITUTE(P748,LEFT(P748,1),""))=0,"ERRO: dígitos repetidos",IF(AND(VALUE(MID(P748,13,1))=IF(MOD(SUMPRODUCT(--MID(P748,{1,2,3,4,5,6,7,8,9,10,11,12},1),{5,4,3,2,9,8,7,6,5,4,3,2}),11)&lt;2,0,11-MOD(SUMPRODUCT(--MID(P748,{1,2,3,4,5,6,7,8,9,10,11,12},1),{5,4,3,2,9,8,7,6,5,4,3,2}),11)),VALUE(MID(P748,14,1))=IF(MOD(SUMPRODUCT(--MID(P748,{1,2,3,4,5,6,7,8,9,10,11,12,13},1),{6,5,4,3,2,9,8,7,6,5,4,3,2}),11)&lt;2,0,11-MOD(SUMPRODUCT(--MID(P748,{1,2,3,4,5,6,7,8,9,10,11,12,13},1),{6,5,4,3,2,9,8,7,6,5,4,3,2}),11))),"OK","ERRO: dígito verificador")))))</f>
      </c>
      <c r="R748" s="6">
        <f>IF(P748="","",IF(COUNTIF($P$2:$P$1001,P748)&gt;1,"DUPLICADO","OK"))</f>
      </c>
      <c r="S748" s="6">
        <f>IF(AND(J748="",K748=""),"vazio",IF(AND(OR(J748="",LEN(SUBSTITUTE(SUBSTITUTE(SUBSTITUTE(SUBSTITUTE(SUBSTITUTE(SUBSTITUTE(SUBSTITUTE(TRIM(J748),".",""),"/",""),"-","")," ",""),"(",""),")",""),"+",""))=10,LEN(SUBSTITUTE(SUBSTITUTE(SUBSTITUTE(SUBSTITUTE(SUBSTITUTE(SUBSTITUTE(SUBSTITUTE(TRIM(J748),".",""),"/",""),"-","")," ",""),"(",""),")",""),"+",""))=11),OR(K748="",LEN(SUBSTITUTE(SUBSTITUTE(SUBSTITUTE(SUBSTITUTE(SUBSTITUTE(SUBSTITUTE(SUBSTITUTE(TRIM(K748),".",""),"/",""),"-","")," ",""),"(",""),")",""),"+",""))=10,LEN(SUBSTITUTE(SUBSTITUTE(SUBSTITUTE(SUBSTITUTE(SUBSTITUTE(SUBSTITUTE(SUBSTITUTE(TRIM(K748),".",""),"/",""),"-","")," ",""),"(",""),")",""),"+",""))=11)),"OK","ERRO: use DDD + número (10 ou 11 dígitos)"))</f>
      </c>
      <c r="T748" s="6">
        <f>IF(L748="","vazio",IF(AND(ISNUMBER(FIND("@",L748)),ISNUMBER(FIND(".",MID(L748,FIND("@",L748),99))),NOT(ISNUMBER(FIND(" ",TRIM(L748)))),NOT(ISNUMBER(FIND(";",L748))),NOT(ISNUMBER(FIND(",",L748)))),"OK","ERRO: um e-mail válido por linha"))</f>
      </c>
      <c r="U748" s="6">
        <f>IF(COUNTA(A748:O748)=0,"",IF(AND(B748&lt;&gt;"",C748&lt;&gt;"",D748&lt;&gt;"",E748&lt;&gt;"",H748&lt;&gt;"",OR(J748&lt;&gt;"",L748&lt;&gt;"")),"OK","ERRO: faltam "&amp;IF(B748="","Proprietário; ","")&amp;IF(C748="","Origem; ","")&amp;IF(D748="","CNPJ; ","")&amp;IF(E748="","Razão Social; ","")&amp;IF(H748="","Sobrenome; ","")&amp;IF(AND(J748="",L748=""),"telefone ou e-mail; ","")))</f>
      </c>
      <c r="V748" s="6">
        <f>IF(COUNTA(A748:O748)=0,"",IF(AND(Q748="OK",R748="OK",LEFT(S748,4)&lt;&gt;"ERRO",LEFT(T748,4)&lt;&gt;"ERRO",U748="OK"),"OK","REVISAR"))</f>
      </c>
    </row>
    <row r="749">
      <c r="A749" s="4"/>
      <c r="B749" s="5"/>
      <c r="C749" s="5"/>
      <c r="D749" s="5"/>
      <c r="E749" s="5"/>
      <c r="F749" s="4"/>
      <c r="G749" s="4"/>
      <c r="H749" s="5"/>
      <c r="I749" s="4"/>
      <c r="J749" s="4"/>
      <c r="K749" s="4"/>
      <c r="L749" s="4"/>
      <c r="M749" s="4"/>
      <c r="N749" s="4"/>
      <c r="O749" s="4"/>
      <c r="P749" s="6">
        <f>IF(D749="","",SUBSTITUTE(SUBSTITUTE(SUBSTITUTE(SUBSTITUTE(SUBSTITUTE(SUBSTITUTE(SUBSTITUTE(TRIM(D749),".",""),"/",""),"-","")," ",""),"(",""),")",""),"+",""))</f>
      </c>
      <c r="Q749" s="6">
        <f>IF(P749="","",IF(LEN(P749)&lt;&gt;14,"ERRO: "&amp;LEN(P749)&amp;" dígitos",IF(NOT(ISNUMBER(VALUE(P749))),"ERRO: não numérico",IF(LEN(SUBSTITUTE(P749,LEFT(P749,1),""))=0,"ERRO: dígitos repetidos",IF(AND(VALUE(MID(P749,13,1))=IF(MOD(SUMPRODUCT(--MID(P749,{1,2,3,4,5,6,7,8,9,10,11,12},1),{5,4,3,2,9,8,7,6,5,4,3,2}),11)&lt;2,0,11-MOD(SUMPRODUCT(--MID(P749,{1,2,3,4,5,6,7,8,9,10,11,12},1),{5,4,3,2,9,8,7,6,5,4,3,2}),11)),VALUE(MID(P749,14,1))=IF(MOD(SUMPRODUCT(--MID(P749,{1,2,3,4,5,6,7,8,9,10,11,12,13},1),{6,5,4,3,2,9,8,7,6,5,4,3,2}),11)&lt;2,0,11-MOD(SUMPRODUCT(--MID(P749,{1,2,3,4,5,6,7,8,9,10,11,12,13},1),{6,5,4,3,2,9,8,7,6,5,4,3,2}),11))),"OK","ERRO: dígito verificador")))))</f>
      </c>
      <c r="R749" s="6">
        <f>IF(P749="","",IF(COUNTIF($P$2:$P$1001,P749)&gt;1,"DUPLICADO","OK"))</f>
      </c>
      <c r="S749" s="6">
        <f>IF(AND(J749="",K749=""),"vazio",IF(AND(OR(J749="",LEN(SUBSTITUTE(SUBSTITUTE(SUBSTITUTE(SUBSTITUTE(SUBSTITUTE(SUBSTITUTE(SUBSTITUTE(TRIM(J749),".",""),"/",""),"-","")," ",""),"(",""),")",""),"+",""))=10,LEN(SUBSTITUTE(SUBSTITUTE(SUBSTITUTE(SUBSTITUTE(SUBSTITUTE(SUBSTITUTE(SUBSTITUTE(TRIM(J749),".",""),"/",""),"-","")," ",""),"(",""),")",""),"+",""))=11),OR(K749="",LEN(SUBSTITUTE(SUBSTITUTE(SUBSTITUTE(SUBSTITUTE(SUBSTITUTE(SUBSTITUTE(SUBSTITUTE(TRIM(K749),".",""),"/",""),"-","")," ",""),"(",""),")",""),"+",""))=10,LEN(SUBSTITUTE(SUBSTITUTE(SUBSTITUTE(SUBSTITUTE(SUBSTITUTE(SUBSTITUTE(SUBSTITUTE(TRIM(K749),".",""),"/",""),"-","")," ",""),"(",""),")",""),"+",""))=11)),"OK","ERRO: use DDD + número (10 ou 11 dígitos)"))</f>
      </c>
      <c r="T749" s="6">
        <f>IF(L749="","vazio",IF(AND(ISNUMBER(FIND("@",L749)),ISNUMBER(FIND(".",MID(L749,FIND("@",L749),99))),NOT(ISNUMBER(FIND(" ",TRIM(L749)))),NOT(ISNUMBER(FIND(";",L749))),NOT(ISNUMBER(FIND(",",L749)))),"OK","ERRO: um e-mail válido por linha"))</f>
      </c>
      <c r="U749" s="6">
        <f>IF(COUNTA(A749:O749)=0,"",IF(AND(B749&lt;&gt;"",C749&lt;&gt;"",D749&lt;&gt;"",E749&lt;&gt;"",H749&lt;&gt;"",OR(J749&lt;&gt;"",L749&lt;&gt;"")),"OK","ERRO: faltam "&amp;IF(B749="","Proprietário; ","")&amp;IF(C749="","Origem; ","")&amp;IF(D749="","CNPJ; ","")&amp;IF(E749="","Razão Social; ","")&amp;IF(H749="","Sobrenome; ","")&amp;IF(AND(J749="",L749=""),"telefone ou e-mail; ","")))</f>
      </c>
      <c r="V749" s="6">
        <f>IF(COUNTA(A749:O749)=0,"",IF(AND(Q749="OK",R749="OK",LEFT(S749,4)&lt;&gt;"ERRO",LEFT(T749,4)&lt;&gt;"ERRO",U749="OK"),"OK","REVISAR"))</f>
      </c>
    </row>
    <row r="750">
      <c r="A750" s="4"/>
      <c r="B750" s="5"/>
      <c r="C750" s="5"/>
      <c r="D750" s="5"/>
      <c r="E750" s="5"/>
      <c r="F750" s="4"/>
      <c r="G750" s="4"/>
      <c r="H750" s="5"/>
      <c r="I750" s="4"/>
      <c r="J750" s="4"/>
      <c r="K750" s="4"/>
      <c r="L750" s="4"/>
      <c r="M750" s="4"/>
      <c r="N750" s="4"/>
      <c r="O750" s="4"/>
      <c r="P750" s="6">
        <f>IF(D750="","",SUBSTITUTE(SUBSTITUTE(SUBSTITUTE(SUBSTITUTE(SUBSTITUTE(SUBSTITUTE(SUBSTITUTE(TRIM(D750),".",""),"/",""),"-","")," ",""),"(",""),")",""),"+",""))</f>
      </c>
      <c r="Q750" s="6">
        <f>IF(P750="","",IF(LEN(P750)&lt;&gt;14,"ERRO: "&amp;LEN(P750)&amp;" dígitos",IF(NOT(ISNUMBER(VALUE(P750))),"ERRO: não numérico",IF(LEN(SUBSTITUTE(P750,LEFT(P750,1),""))=0,"ERRO: dígitos repetidos",IF(AND(VALUE(MID(P750,13,1))=IF(MOD(SUMPRODUCT(--MID(P750,{1,2,3,4,5,6,7,8,9,10,11,12},1),{5,4,3,2,9,8,7,6,5,4,3,2}),11)&lt;2,0,11-MOD(SUMPRODUCT(--MID(P750,{1,2,3,4,5,6,7,8,9,10,11,12},1),{5,4,3,2,9,8,7,6,5,4,3,2}),11)),VALUE(MID(P750,14,1))=IF(MOD(SUMPRODUCT(--MID(P750,{1,2,3,4,5,6,7,8,9,10,11,12,13},1),{6,5,4,3,2,9,8,7,6,5,4,3,2}),11)&lt;2,0,11-MOD(SUMPRODUCT(--MID(P750,{1,2,3,4,5,6,7,8,9,10,11,12,13},1),{6,5,4,3,2,9,8,7,6,5,4,3,2}),11))),"OK","ERRO: dígito verificador")))))</f>
      </c>
      <c r="R750" s="6">
        <f>IF(P750="","",IF(COUNTIF($P$2:$P$1001,P750)&gt;1,"DUPLICADO","OK"))</f>
      </c>
      <c r="S750" s="6">
        <f>IF(AND(J750="",K750=""),"vazio",IF(AND(OR(J750="",LEN(SUBSTITUTE(SUBSTITUTE(SUBSTITUTE(SUBSTITUTE(SUBSTITUTE(SUBSTITUTE(SUBSTITUTE(TRIM(J750),".",""),"/",""),"-","")," ",""),"(",""),")",""),"+",""))=10,LEN(SUBSTITUTE(SUBSTITUTE(SUBSTITUTE(SUBSTITUTE(SUBSTITUTE(SUBSTITUTE(SUBSTITUTE(TRIM(J750),".",""),"/",""),"-","")," ",""),"(",""),")",""),"+",""))=11),OR(K750="",LEN(SUBSTITUTE(SUBSTITUTE(SUBSTITUTE(SUBSTITUTE(SUBSTITUTE(SUBSTITUTE(SUBSTITUTE(TRIM(K750),".",""),"/",""),"-","")," ",""),"(",""),")",""),"+",""))=10,LEN(SUBSTITUTE(SUBSTITUTE(SUBSTITUTE(SUBSTITUTE(SUBSTITUTE(SUBSTITUTE(SUBSTITUTE(TRIM(K750),".",""),"/",""),"-","")," ",""),"(",""),")",""),"+",""))=11)),"OK","ERRO: use DDD + número (10 ou 11 dígitos)"))</f>
      </c>
      <c r="T750" s="6">
        <f>IF(L750="","vazio",IF(AND(ISNUMBER(FIND("@",L750)),ISNUMBER(FIND(".",MID(L750,FIND("@",L750),99))),NOT(ISNUMBER(FIND(" ",TRIM(L750)))),NOT(ISNUMBER(FIND(";",L750))),NOT(ISNUMBER(FIND(",",L750)))),"OK","ERRO: um e-mail válido por linha"))</f>
      </c>
      <c r="U750" s="6">
        <f>IF(COUNTA(A750:O750)=0,"",IF(AND(B750&lt;&gt;"",C750&lt;&gt;"",D750&lt;&gt;"",E750&lt;&gt;"",H750&lt;&gt;"",OR(J750&lt;&gt;"",L750&lt;&gt;"")),"OK","ERRO: faltam "&amp;IF(B750="","Proprietário; ","")&amp;IF(C750="","Origem; ","")&amp;IF(D750="","CNPJ; ","")&amp;IF(E750="","Razão Social; ","")&amp;IF(H750="","Sobrenome; ","")&amp;IF(AND(J750="",L750=""),"telefone ou e-mail; ","")))</f>
      </c>
      <c r="V750" s="6">
        <f>IF(COUNTA(A750:O750)=0,"",IF(AND(Q750="OK",R750="OK",LEFT(S750,4)&lt;&gt;"ERRO",LEFT(T750,4)&lt;&gt;"ERRO",U750="OK"),"OK","REVISAR"))</f>
      </c>
    </row>
    <row r="751">
      <c r="A751" s="4"/>
      <c r="B751" s="5"/>
      <c r="C751" s="5"/>
      <c r="D751" s="5"/>
      <c r="E751" s="5"/>
      <c r="F751" s="4"/>
      <c r="G751" s="4"/>
      <c r="H751" s="5"/>
      <c r="I751" s="4"/>
      <c r="J751" s="4"/>
      <c r="K751" s="4"/>
      <c r="L751" s="4"/>
      <c r="M751" s="4"/>
      <c r="N751" s="4"/>
      <c r="O751" s="4"/>
      <c r="P751" s="6">
        <f>IF(D751="","",SUBSTITUTE(SUBSTITUTE(SUBSTITUTE(SUBSTITUTE(SUBSTITUTE(SUBSTITUTE(SUBSTITUTE(TRIM(D751),".",""),"/",""),"-","")," ",""),"(",""),")",""),"+",""))</f>
      </c>
      <c r="Q751" s="6">
        <f>IF(P751="","",IF(LEN(P751)&lt;&gt;14,"ERRO: "&amp;LEN(P751)&amp;" dígitos",IF(NOT(ISNUMBER(VALUE(P751))),"ERRO: não numérico",IF(LEN(SUBSTITUTE(P751,LEFT(P751,1),""))=0,"ERRO: dígitos repetidos",IF(AND(VALUE(MID(P751,13,1))=IF(MOD(SUMPRODUCT(--MID(P751,{1,2,3,4,5,6,7,8,9,10,11,12},1),{5,4,3,2,9,8,7,6,5,4,3,2}),11)&lt;2,0,11-MOD(SUMPRODUCT(--MID(P751,{1,2,3,4,5,6,7,8,9,10,11,12},1),{5,4,3,2,9,8,7,6,5,4,3,2}),11)),VALUE(MID(P751,14,1))=IF(MOD(SUMPRODUCT(--MID(P751,{1,2,3,4,5,6,7,8,9,10,11,12,13},1),{6,5,4,3,2,9,8,7,6,5,4,3,2}),11)&lt;2,0,11-MOD(SUMPRODUCT(--MID(P751,{1,2,3,4,5,6,7,8,9,10,11,12,13},1),{6,5,4,3,2,9,8,7,6,5,4,3,2}),11))),"OK","ERRO: dígito verificador")))))</f>
      </c>
      <c r="R751" s="6">
        <f>IF(P751="","",IF(COUNTIF($P$2:$P$1001,P751)&gt;1,"DUPLICADO","OK"))</f>
      </c>
      <c r="S751" s="6">
        <f>IF(AND(J751="",K751=""),"vazio",IF(AND(OR(J751="",LEN(SUBSTITUTE(SUBSTITUTE(SUBSTITUTE(SUBSTITUTE(SUBSTITUTE(SUBSTITUTE(SUBSTITUTE(TRIM(J751),".",""),"/",""),"-","")," ",""),"(",""),")",""),"+",""))=10,LEN(SUBSTITUTE(SUBSTITUTE(SUBSTITUTE(SUBSTITUTE(SUBSTITUTE(SUBSTITUTE(SUBSTITUTE(TRIM(J751),".",""),"/",""),"-","")," ",""),"(",""),")",""),"+",""))=11),OR(K751="",LEN(SUBSTITUTE(SUBSTITUTE(SUBSTITUTE(SUBSTITUTE(SUBSTITUTE(SUBSTITUTE(SUBSTITUTE(TRIM(K751),".",""),"/",""),"-","")," ",""),"(",""),")",""),"+",""))=10,LEN(SUBSTITUTE(SUBSTITUTE(SUBSTITUTE(SUBSTITUTE(SUBSTITUTE(SUBSTITUTE(SUBSTITUTE(TRIM(K751),".",""),"/",""),"-","")," ",""),"(",""),")",""),"+",""))=11)),"OK","ERRO: use DDD + número (10 ou 11 dígitos)"))</f>
      </c>
      <c r="T751" s="6">
        <f>IF(L751="","vazio",IF(AND(ISNUMBER(FIND("@",L751)),ISNUMBER(FIND(".",MID(L751,FIND("@",L751),99))),NOT(ISNUMBER(FIND(" ",TRIM(L751)))),NOT(ISNUMBER(FIND(";",L751))),NOT(ISNUMBER(FIND(",",L751)))),"OK","ERRO: um e-mail válido por linha"))</f>
      </c>
      <c r="U751" s="6">
        <f>IF(COUNTA(A751:O751)=0,"",IF(AND(B751&lt;&gt;"",C751&lt;&gt;"",D751&lt;&gt;"",E751&lt;&gt;"",H751&lt;&gt;"",OR(J751&lt;&gt;"",L751&lt;&gt;"")),"OK","ERRO: faltam "&amp;IF(B751="","Proprietário; ","")&amp;IF(C751="","Origem; ","")&amp;IF(D751="","CNPJ; ","")&amp;IF(E751="","Razão Social; ","")&amp;IF(H751="","Sobrenome; ","")&amp;IF(AND(J751="",L751=""),"telefone ou e-mail; ","")))</f>
      </c>
      <c r="V751" s="6">
        <f>IF(COUNTA(A751:O751)=0,"",IF(AND(Q751="OK",R751="OK",LEFT(S751,4)&lt;&gt;"ERRO",LEFT(T751,4)&lt;&gt;"ERRO",U751="OK"),"OK","REVISAR"))</f>
      </c>
    </row>
    <row r="752">
      <c r="A752" s="4"/>
      <c r="B752" s="5"/>
      <c r="C752" s="5"/>
      <c r="D752" s="5"/>
      <c r="E752" s="5"/>
      <c r="F752" s="4"/>
      <c r="G752" s="4"/>
      <c r="H752" s="5"/>
      <c r="I752" s="4"/>
      <c r="J752" s="4"/>
      <c r="K752" s="4"/>
      <c r="L752" s="4"/>
      <c r="M752" s="4"/>
      <c r="N752" s="4"/>
      <c r="O752" s="4"/>
      <c r="P752" s="6">
        <f>IF(D752="","",SUBSTITUTE(SUBSTITUTE(SUBSTITUTE(SUBSTITUTE(SUBSTITUTE(SUBSTITUTE(SUBSTITUTE(TRIM(D752),".",""),"/",""),"-","")," ",""),"(",""),")",""),"+",""))</f>
      </c>
      <c r="Q752" s="6">
        <f>IF(P752="","",IF(LEN(P752)&lt;&gt;14,"ERRO: "&amp;LEN(P752)&amp;" dígitos",IF(NOT(ISNUMBER(VALUE(P752))),"ERRO: não numérico",IF(LEN(SUBSTITUTE(P752,LEFT(P752,1),""))=0,"ERRO: dígitos repetidos",IF(AND(VALUE(MID(P752,13,1))=IF(MOD(SUMPRODUCT(--MID(P752,{1,2,3,4,5,6,7,8,9,10,11,12},1),{5,4,3,2,9,8,7,6,5,4,3,2}),11)&lt;2,0,11-MOD(SUMPRODUCT(--MID(P752,{1,2,3,4,5,6,7,8,9,10,11,12},1),{5,4,3,2,9,8,7,6,5,4,3,2}),11)),VALUE(MID(P752,14,1))=IF(MOD(SUMPRODUCT(--MID(P752,{1,2,3,4,5,6,7,8,9,10,11,12,13},1),{6,5,4,3,2,9,8,7,6,5,4,3,2}),11)&lt;2,0,11-MOD(SUMPRODUCT(--MID(P752,{1,2,3,4,5,6,7,8,9,10,11,12,13},1),{6,5,4,3,2,9,8,7,6,5,4,3,2}),11))),"OK","ERRO: dígito verificador")))))</f>
      </c>
      <c r="R752" s="6">
        <f>IF(P752="","",IF(COUNTIF($P$2:$P$1001,P752)&gt;1,"DUPLICADO","OK"))</f>
      </c>
      <c r="S752" s="6">
        <f>IF(AND(J752="",K752=""),"vazio",IF(AND(OR(J752="",LEN(SUBSTITUTE(SUBSTITUTE(SUBSTITUTE(SUBSTITUTE(SUBSTITUTE(SUBSTITUTE(SUBSTITUTE(TRIM(J752),".",""),"/",""),"-","")," ",""),"(",""),")",""),"+",""))=10,LEN(SUBSTITUTE(SUBSTITUTE(SUBSTITUTE(SUBSTITUTE(SUBSTITUTE(SUBSTITUTE(SUBSTITUTE(TRIM(J752),".",""),"/",""),"-","")," ",""),"(",""),")",""),"+",""))=11),OR(K752="",LEN(SUBSTITUTE(SUBSTITUTE(SUBSTITUTE(SUBSTITUTE(SUBSTITUTE(SUBSTITUTE(SUBSTITUTE(TRIM(K752),".",""),"/",""),"-","")," ",""),"(",""),")",""),"+",""))=10,LEN(SUBSTITUTE(SUBSTITUTE(SUBSTITUTE(SUBSTITUTE(SUBSTITUTE(SUBSTITUTE(SUBSTITUTE(TRIM(K752),".",""),"/",""),"-","")," ",""),"(",""),")",""),"+",""))=11)),"OK","ERRO: use DDD + número (10 ou 11 dígitos)"))</f>
      </c>
      <c r="T752" s="6">
        <f>IF(L752="","vazio",IF(AND(ISNUMBER(FIND("@",L752)),ISNUMBER(FIND(".",MID(L752,FIND("@",L752),99))),NOT(ISNUMBER(FIND(" ",TRIM(L752)))),NOT(ISNUMBER(FIND(";",L752))),NOT(ISNUMBER(FIND(",",L752)))),"OK","ERRO: um e-mail válido por linha"))</f>
      </c>
      <c r="U752" s="6">
        <f>IF(COUNTA(A752:O752)=0,"",IF(AND(B752&lt;&gt;"",C752&lt;&gt;"",D752&lt;&gt;"",E752&lt;&gt;"",H752&lt;&gt;"",OR(J752&lt;&gt;"",L752&lt;&gt;"")),"OK","ERRO: faltam "&amp;IF(B752="","Proprietário; ","")&amp;IF(C752="","Origem; ","")&amp;IF(D752="","CNPJ; ","")&amp;IF(E752="","Razão Social; ","")&amp;IF(H752="","Sobrenome; ","")&amp;IF(AND(J752="",L752=""),"telefone ou e-mail; ","")))</f>
      </c>
      <c r="V752" s="6">
        <f>IF(COUNTA(A752:O752)=0,"",IF(AND(Q752="OK",R752="OK",LEFT(S752,4)&lt;&gt;"ERRO",LEFT(T752,4)&lt;&gt;"ERRO",U752="OK"),"OK","REVISAR"))</f>
      </c>
    </row>
    <row r="753">
      <c r="A753" s="4"/>
      <c r="B753" s="5"/>
      <c r="C753" s="5"/>
      <c r="D753" s="5"/>
      <c r="E753" s="5"/>
      <c r="F753" s="4"/>
      <c r="G753" s="4"/>
      <c r="H753" s="5"/>
      <c r="I753" s="4"/>
      <c r="J753" s="4"/>
      <c r="K753" s="4"/>
      <c r="L753" s="4"/>
      <c r="M753" s="4"/>
      <c r="N753" s="4"/>
      <c r="O753" s="4"/>
      <c r="P753" s="6">
        <f>IF(D753="","",SUBSTITUTE(SUBSTITUTE(SUBSTITUTE(SUBSTITUTE(SUBSTITUTE(SUBSTITUTE(SUBSTITUTE(TRIM(D753),".",""),"/",""),"-","")," ",""),"(",""),")",""),"+",""))</f>
      </c>
      <c r="Q753" s="6">
        <f>IF(P753="","",IF(LEN(P753)&lt;&gt;14,"ERRO: "&amp;LEN(P753)&amp;" dígitos",IF(NOT(ISNUMBER(VALUE(P753))),"ERRO: não numérico",IF(LEN(SUBSTITUTE(P753,LEFT(P753,1),""))=0,"ERRO: dígitos repetidos",IF(AND(VALUE(MID(P753,13,1))=IF(MOD(SUMPRODUCT(--MID(P753,{1,2,3,4,5,6,7,8,9,10,11,12},1),{5,4,3,2,9,8,7,6,5,4,3,2}),11)&lt;2,0,11-MOD(SUMPRODUCT(--MID(P753,{1,2,3,4,5,6,7,8,9,10,11,12},1),{5,4,3,2,9,8,7,6,5,4,3,2}),11)),VALUE(MID(P753,14,1))=IF(MOD(SUMPRODUCT(--MID(P753,{1,2,3,4,5,6,7,8,9,10,11,12,13},1),{6,5,4,3,2,9,8,7,6,5,4,3,2}),11)&lt;2,0,11-MOD(SUMPRODUCT(--MID(P753,{1,2,3,4,5,6,7,8,9,10,11,12,13},1),{6,5,4,3,2,9,8,7,6,5,4,3,2}),11))),"OK","ERRO: dígito verificador")))))</f>
      </c>
      <c r="R753" s="6">
        <f>IF(P753="","",IF(COUNTIF($P$2:$P$1001,P753)&gt;1,"DUPLICADO","OK"))</f>
      </c>
      <c r="S753" s="6">
        <f>IF(AND(J753="",K753=""),"vazio",IF(AND(OR(J753="",LEN(SUBSTITUTE(SUBSTITUTE(SUBSTITUTE(SUBSTITUTE(SUBSTITUTE(SUBSTITUTE(SUBSTITUTE(TRIM(J753),".",""),"/",""),"-","")," ",""),"(",""),")",""),"+",""))=10,LEN(SUBSTITUTE(SUBSTITUTE(SUBSTITUTE(SUBSTITUTE(SUBSTITUTE(SUBSTITUTE(SUBSTITUTE(TRIM(J753),".",""),"/",""),"-","")," ",""),"(",""),")",""),"+",""))=11),OR(K753="",LEN(SUBSTITUTE(SUBSTITUTE(SUBSTITUTE(SUBSTITUTE(SUBSTITUTE(SUBSTITUTE(SUBSTITUTE(TRIM(K753),".",""),"/",""),"-","")," ",""),"(",""),")",""),"+",""))=10,LEN(SUBSTITUTE(SUBSTITUTE(SUBSTITUTE(SUBSTITUTE(SUBSTITUTE(SUBSTITUTE(SUBSTITUTE(TRIM(K753),".",""),"/",""),"-","")," ",""),"(",""),")",""),"+",""))=11)),"OK","ERRO: use DDD + número (10 ou 11 dígitos)"))</f>
      </c>
      <c r="T753" s="6">
        <f>IF(L753="","vazio",IF(AND(ISNUMBER(FIND("@",L753)),ISNUMBER(FIND(".",MID(L753,FIND("@",L753),99))),NOT(ISNUMBER(FIND(" ",TRIM(L753)))),NOT(ISNUMBER(FIND(";",L753))),NOT(ISNUMBER(FIND(",",L753)))),"OK","ERRO: um e-mail válido por linha"))</f>
      </c>
      <c r="U753" s="6">
        <f>IF(COUNTA(A753:O753)=0,"",IF(AND(B753&lt;&gt;"",C753&lt;&gt;"",D753&lt;&gt;"",E753&lt;&gt;"",H753&lt;&gt;"",OR(J753&lt;&gt;"",L753&lt;&gt;"")),"OK","ERRO: faltam "&amp;IF(B753="","Proprietário; ","")&amp;IF(C753="","Origem; ","")&amp;IF(D753="","CNPJ; ","")&amp;IF(E753="","Razão Social; ","")&amp;IF(H753="","Sobrenome; ","")&amp;IF(AND(J753="",L753=""),"telefone ou e-mail; ","")))</f>
      </c>
      <c r="V753" s="6">
        <f>IF(COUNTA(A753:O753)=0,"",IF(AND(Q753="OK",R753="OK",LEFT(S753,4)&lt;&gt;"ERRO",LEFT(T753,4)&lt;&gt;"ERRO",U753="OK"),"OK","REVISAR"))</f>
      </c>
    </row>
    <row r="754">
      <c r="A754" s="4"/>
      <c r="B754" s="5"/>
      <c r="C754" s="5"/>
      <c r="D754" s="5"/>
      <c r="E754" s="5"/>
      <c r="F754" s="4"/>
      <c r="G754" s="4"/>
      <c r="H754" s="5"/>
      <c r="I754" s="4"/>
      <c r="J754" s="4"/>
      <c r="K754" s="4"/>
      <c r="L754" s="4"/>
      <c r="M754" s="4"/>
      <c r="N754" s="4"/>
      <c r="O754" s="4"/>
      <c r="P754" s="6">
        <f>IF(D754="","",SUBSTITUTE(SUBSTITUTE(SUBSTITUTE(SUBSTITUTE(SUBSTITUTE(SUBSTITUTE(SUBSTITUTE(TRIM(D754),".",""),"/",""),"-","")," ",""),"(",""),")",""),"+",""))</f>
      </c>
      <c r="Q754" s="6">
        <f>IF(P754="","",IF(LEN(P754)&lt;&gt;14,"ERRO: "&amp;LEN(P754)&amp;" dígitos",IF(NOT(ISNUMBER(VALUE(P754))),"ERRO: não numérico",IF(LEN(SUBSTITUTE(P754,LEFT(P754,1),""))=0,"ERRO: dígitos repetidos",IF(AND(VALUE(MID(P754,13,1))=IF(MOD(SUMPRODUCT(--MID(P754,{1,2,3,4,5,6,7,8,9,10,11,12},1),{5,4,3,2,9,8,7,6,5,4,3,2}),11)&lt;2,0,11-MOD(SUMPRODUCT(--MID(P754,{1,2,3,4,5,6,7,8,9,10,11,12},1),{5,4,3,2,9,8,7,6,5,4,3,2}),11)),VALUE(MID(P754,14,1))=IF(MOD(SUMPRODUCT(--MID(P754,{1,2,3,4,5,6,7,8,9,10,11,12,13},1),{6,5,4,3,2,9,8,7,6,5,4,3,2}),11)&lt;2,0,11-MOD(SUMPRODUCT(--MID(P754,{1,2,3,4,5,6,7,8,9,10,11,12,13},1),{6,5,4,3,2,9,8,7,6,5,4,3,2}),11))),"OK","ERRO: dígito verificador")))))</f>
      </c>
      <c r="R754" s="6">
        <f>IF(P754="","",IF(COUNTIF($P$2:$P$1001,P754)&gt;1,"DUPLICADO","OK"))</f>
      </c>
      <c r="S754" s="6">
        <f>IF(AND(J754="",K754=""),"vazio",IF(AND(OR(J754="",LEN(SUBSTITUTE(SUBSTITUTE(SUBSTITUTE(SUBSTITUTE(SUBSTITUTE(SUBSTITUTE(SUBSTITUTE(TRIM(J754),".",""),"/",""),"-","")," ",""),"(",""),")",""),"+",""))=10,LEN(SUBSTITUTE(SUBSTITUTE(SUBSTITUTE(SUBSTITUTE(SUBSTITUTE(SUBSTITUTE(SUBSTITUTE(TRIM(J754),".",""),"/",""),"-","")," ",""),"(",""),")",""),"+",""))=11),OR(K754="",LEN(SUBSTITUTE(SUBSTITUTE(SUBSTITUTE(SUBSTITUTE(SUBSTITUTE(SUBSTITUTE(SUBSTITUTE(TRIM(K754),".",""),"/",""),"-","")," ",""),"(",""),")",""),"+",""))=10,LEN(SUBSTITUTE(SUBSTITUTE(SUBSTITUTE(SUBSTITUTE(SUBSTITUTE(SUBSTITUTE(SUBSTITUTE(TRIM(K754),".",""),"/",""),"-","")," ",""),"(",""),")",""),"+",""))=11)),"OK","ERRO: use DDD + número (10 ou 11 dígitos)"))</f>
      </c>
      <c r="T754" s="6">
        <f>IF(L754="","vazio",IF(AND(ISNUMBER(FIND("@",L754)),ISNUMBER(FIND(".",MID(L754,FIND("@",L754),99))),NOT(ISNUMBER(FIND(" ",TRIM(L754)))),NOT(ISNUMBER(FIND(";",L754))),NOT(ISNUMBER(FIND(",",L754)))),"OK","ERRO: um e-mail válido por linha"))</f>
      </c>
      <c r="U754" s="6">
        <f>IF(COUNTA(A754:O754)=0,"",IF(AND(B754&lt;&gt;"",C754&lt;&gt;"",D754&lt;&gt;"",E754&lt;&gt;"",H754&lt;&gt;"",OR(J754&lt;&gt;"",L754&lt;&gt;"")),"OK","ERRO: faltam "&amp;IF(B754="","Proprietário; ","")&amp;IF(C754="","Origem; ","")&amp;IF(D754="","CNPJ; ","")&amp;IF(E754="","Razão Social; ","")&amp;IF(H754="","Sobrenome; ","")&amp;IF(AND(J754="",L754=""),"telefone ou e-mail; ","")))</f>
      </c>
      <c r="V754" s="6">
        <f>IF(COUNTA(A754:O754)=0,"",IF(AND(Q754="OK",R754="OK",LEFT(S754,4)&lt;&gt;"ERRO",LEFT(T754,4)&lt;&gt;"ERRO",U754="OK"),"OK","REVISAR"))</f>
      </c>
    </row>
    <row r="755">
      <c r="A755" s="4"/>
      <c r="B755" s="5"/>
      <c r="C755" s="5"/>
      <c r="D755" s="5"/>
      <c r="E755" s="5"/>
      <c r="F755" s="4"/>
      <c r="G755" s="4"/>
      <c r="H755" s="5"/>
      <c r="I755" s="4"/>
      <c r="J755" s="4"/>
      <c r="K755" s="4"/>
      <c r="L755" s="4"/>
      <c r="M755" s="4"/>
      <c r="N755" s="4"/>
      <c r="O755" s="4"/>
      <c r="P755" s="6">
        <f>IF(D755="","",SUBSTITUTE(SUBSTITUTE(SUBSTITUTE(SUBSTITUTE(SUBSTITUTE(SUBSTITUTE(SUBSTITUTE(TRIM(D755),".",""),"/",""),"-","")," ",""),"(",""),")",""),"+",""))</f>
      </c>
      <c r="Q755" s="6">
        <f>IF(P755="","",IF(LEN(P755)&lt;&gt;14,"ERRO: "&amp;LEN(P755)&amp;" dígitos",IF(NOT(ISNUMBER(VALUE(P755))),"ERRO: não numérico",IF(LEN(SUBSTITUTE(P755,LEFT(P755,1),""))=0,"ERRO: dígitos repetidos",IF(AND(VALUE(MID(P755,13,1))=IF(MOD(SUMPRODUCT(--MID(P755,{1,2,3,4,5,6,7,8,9,10,11,12},1),{5,4,3,2,9,8,7,6,5,4,3,2}),11)&lt;2,0,11-MOD(SUMPRODUCT(--MID(P755,{1,2,3,4,5,6,7,8,9,10,11,12},1),{5,4,3,2,9,8,7,6,5,4,3,2}),11)),VALUE(MID(P755,14,1))=IF(MOD(SUMPRODUCT(--MID(P755,{1,2,3,4,5,6,7,8,9,10,11,12,13},1),{6,5,4,3,2,9,8,7,6,5,4,3,2}),11)&lt;2,0,11-MOD(SUMPRODUCT(--MID(P755,{1,2,3,4,5,6,7,8,9,10,11,12,13},1),{6,5,4,3,2,9,8,7,6,5,4,3,2}),11))),"OK","ERRO: dígito verificador")))))</f>
      </c>
      <c r="R755" s="6">
        <f>IF(P755="","",IF(COUNTIF($P$2:$P$1001,P755)&gt;1,"DUPLICADO","OK"))</f>
      </c>
      <c r="S755" s="6">
        <f>IF(AND(J755="",K755=""),"vazio",IF(AND(OR(J755="",LEN(SUBSTITUTE(SUBSTITUTE(SUBSTITUTE(SUBSTITUTE(SUBSTITUTE(SUBSTITUTE(SUBSTITUTE(TRIM(J755),".",""),"/",""),"-","")," ",""),"(",""),")",""),"+",""))=10,LEN(SUBSTITUTE(SUBSTITUTE(SUBSTITUTE(SUBSTITUTE(SUBSTITUTE(SUBSTITUTE(SUBSTITUTE(TRIM(J755),".",""),"/",""),"-","")," ",""),"(",""),")",""),"+",""))=11),OR(K755="",LEN(SUBSTITUTE(SUBSTITUTE(SUBSTITUTE(SUBSTITUTE(SUBSTITUTE(SUBSTITUTE(SUBSTITUTE(TRIM(K755),".",""),"/",""),"-","")," ",""),"(",""),")",""),"+",""))=10,LEN(SUBSTITUTE(SUBSTITUTE(SUBSTITUTE(SUBSTITUTE(SUBSTITUTE(SUBSTITUTE(SUBSTITUTE(TRIM(K755),".",""),"/",""),"-","")," ",""),"(",""),")",""),"+",""))=11)),"OK","ERRO: use DDD + número (10 ou 11 dígitos)"))</f>
      </c>
      <c r="T755" s="6">
        <f>IF(L755="","vazio",IF(AND(ISNUMBER(FIND("@",L755)),ISNUMBER(FIND(".",MID(L755,FIND("@",L755),99))),NOT(ISNUMBER(FIND(" ",TRIM(L755)))),NOT(ISNUMBER(FIND(";",L755))),NOT(ISNUMBER(FIND(",",L755)))),"OK","ERRO: um e-mail válido por linha"))</f>
      </c>
      <c r="U755" s="6">
        <f>IF(COUNTA(A755:O755)=0,"",IF(AND(B755&lt;&gt;"",C755&lt;&gt;"",D755&lt;&gt;"",E755&lt;&gt;"",H755&lt;&gt;"",OR(J755&lt;&gt;"",L755&lt;&gt;"")),"OK","ERRO: faltam "&amp;IF(B755="","Proprietário; ","")&amp;IF(C755="","Origem; ","")&amp;IF(D755="","CNPJ; ","")&amp;IF(E755="","Razão Social; ","")&amp;IF(H755="","Sobrenome; ","")&amp;IF(AND(J755="",L755=""),"telefone ou e-mail; ","")))</f>
      </c>
      <c r="V755" s="6">
        <f>IF(COUNTA(A755:O755)=0,"",IF(AND(Q755="OK",R755="OK",LEFT(S755,4)&lt;&gt;"ERRO",LEFT(T755,4)&lt;&gt;"ERRO",U755="OK"),"OK","REVISAR"))</f>
      </c>
    </row>
    <row r="756">
      <c r="A756" s="4"/>
      <c r="B756" s="5"/>
      <c r="C756" s="5"/>
      <c r="D756" s="5"/>
      <c r="E756" s="5"/>
      <c r="F756" s="4"/>
      <c r="G756" s="4"/>
      <c r="H756" s="5"/>
      <c r="I756" s="4"/>
      <c r="J756" s="4"/>
      <c r="K756" s="4"/>
      <c r="L756" s="4"/>
      <c r="M756" s="4"/>
      <c r="N756" s="4"/>
      <c r="O756" s="4"/>
      <c r="P756" s="6">
        <f>IF(D756="","",SUBSTITUTE(SUBSTITUTE(SUBSTITUTE(SUBSTITUTE(SUBSTITUTE(SUBSTITUTE(SUBSTITUTE(TRIM(D756),".",""),"/",""),"-","")," ",""),"(",""),")",""),"+",""))</f>
      </c>
      <c r="Q756" s="6">
        <f>IF(P756="","",IF(LEN(P756)&lt;&gt;14,"ERRO: "&amp;LEN(P756)&amp;" dígitos",IF(NOT(ISNUMBER(VALUE(P756))),"ERRO: não numérico",IF(LEN(SUBSTITUTE(P756,LEFT(P756,1),""))=0,"ERRO: dígitos repetidos",IF(AND(VALUE(MID(P756,13,1))=IF(MOD(SUMPRODUCT(--MID(P756,{1,2,3,4,5,6,7,8,9,10,11,12},1),{5,4,3,2,9,8,7,6,5,4,3,2}),11)&lt;2,0,11-MOD(SUMPRODUCT(--MID(P756,{1,2,3,4,5,6,7,8,9,10,11,12},1),{5,4,3,2,9,8,7,6,5,4,3,2}),11)),VALUE(MID(P756,14,1))=IF(MOD(SUMPRODUCT(--MID(P756,{1,2,3,4,5,6,7,8,9,10,11,12,13},1),{6,5,4,3,2,9,8,7,6,5,4,3,2}),11)&lt;2,0,11-MOD(SUMPRODUCT(--MID(P756,{1,2,3,4,5,6,7,8,9,10,11,12,13},1),{6,5,4,3,2,9,8,7,6,5,4,3,2}),11))),"OK","ERRO: dígito verificador")))))</f>
      </c>
      <c r="R756" s="6">
        <f>IF(P756="","",IF(COUNTIF($P$2:$P$1001,P756)&gt;1,"DUPLICADO","OK"))</f>
      </c>
      <c r="S756" s="6">
        <f>IF(AND(J756="",K756=""),"vazio",IF(AND(OR(J756="",LEN(SUBSTITUTE(SUBSTITUTE(SUBSTITUTE(SUBSTITUTE(SUBSTITUTE(SUBSTITUTE(SUBSTITUTE(TRIM(J756),".",""),"/",""),"-","")," ",""),"(",""),")",""),"+",""))=10,LEN(SUBSTITUTE(SUBSTITUTE(SUBSTITUTE(SUBSTITUTE(SUBSTITUTE(SUBSTITUTE(SUBSTITUTE(TRIM(J756),".",""),"/",""),"-","")," ",""),"(",""),")",""),"+",""))=11),OR(K756="",LEN(SUBSTITUTE(SUBSTITUTE(SUBSTITUTE(SUBSTITUTE(SUBSTITUTE(SUBSTITUTE(SUBSTITUTE(TRIM(K756),".",""),"/",""),"-","")," ",""),"(",""),")",""),"+",""))=10,LEN(SUBSTITUTE(SUBSTITUTE(SUBSTITUTE(SUBSTITUTE(SUBSTITUTE(SUBSTITUTE(SUBSTITUTE(TRIM(K756),".",""),"/",""),"-","")," ",""),"(",""),")",""),"+",""))=11)),"OK","ERRO: use DDD + número (10 ou 11 dígitos)"))</f>
      </c>
      <c r="T756" s="6">
        <f>IF(L756="","vazio",IF(AND(ISNUMBER(FIND("@",L756)),ISNUMBER(FIND(".",MID(L756,FIND("@",L756),99))),NOT(ISNUMBER(FIND(" ",TRIM(L756)))),NOT(ISNUMBER(FIND(";",L756))),NOT(ISNUMBER(FIND(",",L756)))),"OK","ERRO: um e-mail válido por linha"))</f>
      </c>
      <c r="U756" s="6">
        <f>IF(COUNTA(A756:O756)=0,"",IF(AND(B756&lt;&gt;"",C756&lt;&gt;"",D756&lt;&gt;"",E756&lt;&gt;"",H756&lt;&gt;"",OR(J756&lt;&gt;"",L756&lt;&gt;"")),"OK","ERRO: faltam "&amp;IF(B756="","Proprietário; ","")&amp;IF(C756="","Origem; ","")&amp;IF(D756="","CNPJ; ","")&amp;IF(E756="","Razão Social; ","")&amp;IF(H756="","Sobrenome; ","")&amp;IF(AND(J756="",L756=""),"telefone ou e-mail; ","")))</f>
      </c>
      <c r="V756" s="6">
        <f>IF(COUNTA(A756:O756)=0,"",IF(AND(Q756="OK",R756="OK",LEFT(S756,4)&lt;&gt;"ERRO",LEFT(T756,4)&lt;&gt;"ERRO",U756="OK"),"OK","REVISAR"))</f>
      </c>
    </row>
    <row r="757">
      <c r="A757" s="4"/>
      <c r="B757" s="5"/>
      <c r="C757" s="5"/>
      <c r="D757" s="5"/>
      <c r="E757" s="5"/>
      <c r="F757" s="4"/>
      <c r="G757" s="4"/>
      <c r="H757" s="5"/>
      <c r="I757" s="4"/>
      <c r="J757" s="4"/>
      <c r="K757" s="4"/>
      <c r="L757" s="4"/>
      <c r="M757" s="4"/>
      <c r="N757" s="4"/>
      <c r="O757" s="4"/>
      <c r="P757" s="6">
        <f>IF(D757="","",SUBSTITUTE(SUBSTITUTE(SUBSTITUTE(SUBSTITUTE(SUBSTITUTE(SUBSTITUTE(SUBSTITUTE(TRIM(D757),".",""),"/",""),"-","")," ",""),"(",""),")",""),"+",""))</f>
      </c>
      <c r="Q757" s="6">
        <f>IF(P757="","",IF(LEN(P757)&lt;&gt;14,"ERRO: "&amp;LEN(P757)&amp;" dígitos",IF(NOT(ISNUMBER(VALUE(P757))),"ERRO: não numérico",IF(LEN(SUBSTITUTE(P757,LEFT(P757,1),""))=0,"ERRO: dígitos repetidos",IF(AND(VALUE(MID(P757,13,1))=IF(MOD(SUMPRODUCT(--MID(P757,{1,2,3,4,5,6,7,8,9,10,11,12},1),{5,4,3,2,9,8,7,6,5,4,3,2}),11)&lt;2,0,11-MOD(SUMPRODUCT(--MID(P757,{1,2,3,4,5,6,7,8,9,10,11,12},1),{5,4,3,2,9,8,7,6,5,4,3,2}),11)),VALUE(MID(P757,14,1))=IF(MOD(SUMPRODUCT(--MID(P757,{1,2,3,4,5,6,7,8,9,10,11,12,13},1),{6,5,4,3,2,9,8,7,6,5,4,3,2}),11)&lt;2,0,11-MOD(SUMPRODUCT(--MID(P757,{1,2,3,4,5,6,7,8,9,10,11,12,13},1),{6,5,4,3,2,9,8,7,6,5,4,3,2}),11))),"OK","ERRO: dígito verificador")))))</f>
      </c>
      <c r="R757" s="6">
        <f>IF(P757="","",IF(COUNTIF($P$2:$P$1001,P757)&gt;1,"DUPLICADO","OK"))</f>
      </c>
      <c r="S757" s="6">
        <f>IF(AND(J757="",K757=""),"vazio",IF(AND(OR(J757="",LEN(SUBSTITUTE(SUBSTITUTE(SUBSTITUTE(SUBSTITUTE(SUBSTITUTE(SUBSTITUTE(SUBSTITUTE(TRIM(J757),".",""),"/",""),"-","")," ",""),"(",""),")",""),"+",""))=10,LEN(SUBSTITUTE(SUBSTITUTE(SUBSTITUTE(SUBSTITUTE(SUBSTITUTE(SUBSTITUTE(SUBSTITUTE(TRIM(J757),".",""),"/",""),"-","")," ",""),"(",""),")",""),"+",""))=11),OR(K757="",LEN(SUBSTITUTE(SUBSTITUTE(SUBSTITUTE(SUBSTITUTE(SUBSTITUTE(SUBSTITUTE(SUBSTITUTE(TRIM(K757),".",""),"/",""),"-","")," ",""),"(",""),")",""),"+",""))=10,LEN(SUBSTITUTE(SUBSTITUTE(SUBSTITUTE(SUBSTITUTE(SUBSTITUTE(SUBSTITUTE(SUBSTITUTE(TRIM(K757),".",""),"/",""),"-","")," ",""),"(",""),")",""),"+",""))=11)),"OK","ERRO: use DDD + número (10 ou 11 dígitos)"))</f>
      </c>
      <c r="T757" s="6">
        <f>IF(L757="","vazio",IF(AND(ISNUMBER(FIND("@",L757)),ISNUMBER(FIND(".",MID(L757,FIND("@",L757),99))),NOT(ISNUMBER(FIND(" ",TRIM(L757)))),NOT(ISNUMBER(FIND(";",L757))),NOT(ISNUMBER(FIND(",",L757)))),"OK","ERRO: um e-mail válido por linha"))</f>
      </c>
      <c r="U757" s="6">
        <f>IF(COUNTA(A757:O757)=0,"",IF(AND(B757&lt;&gt;"",C757&lt;&gt;"",D757&lt;&gt;"",E757&lt;&gt;"",H757&lt;&gt;"",OR(J757&lt;&gt;"",L757&lt;&gt;"")),"OK","ERRO: faltam "&amp;IF(B757="","Proprietário; ","")&amp;IF(C757="","Origem; ","")&amp;IF(D757="","CNPJ; ","")&amp;IF(E757="","Razão Social; ","")&amp;IF(H757="","Sobrenome; ","")&amp;IF(AND(J757="",L757=""),"telefone ou e-mail; ","")))</f>
      </c>
      <c r="V757" s="6">
        <f>IF(COUNTA(A757:O757)=0,"",IF(AND(Q757="OK",R757="OK",LEFT(S757,4)&lt;&gt;"ERRO",LEFT(T757,4)&lt;&gt;"ERRO",U757="OK"),"OK","REVISAR"))</f>
      </c>
    </row>
    <row r="758">
      <c r="A758" s="4"/>
      <c r="B758" s="5"/>
      <c r="C758" s="5"/>
      <c r="D758" s="5"/>
      <c r="E758" s="5"/>
      <c r="F758" s="4"/>
      <c r="G758" s="4"/>
      <c r="H758" s="5"/>
      <c r="I758" s="4"/>
      <c r="J758" s="4"/>
      <c r="K758" s="4"/>
      <c r="L758" s="4"/>
      <c r="M758" s="4"/>
      <c r="N758" s="4"/>
      <c r="O758" s="4"/>
      <c r="P758" s="6">
        <f>IF(D758="","",SUBSTITUTE(SUBSTITUTE(SUBSTITUTE(SUBSTITUTE(SUBSTITUTE(SUBSTITUTE(SUBSTITUTE(TRIM(D758),".",""),"/",""),"-","")," ",""),"(",""),")",""),"+",""))</f>
      </c>
      <c r="Q758" s="6">
        <f>IF(P758="","",IF(LEN(P758)&lt;&gt;14,"ERRO: "&amp;LEN(P758)&amp;" dígitos",IF(NOT(ISNUMBER(VALUE(P758))),"ERRO: não numérico",IF(LEN(SUBSTITUTE(P758,LEFT(P758,1),""))=0,"ERRO: dígitos repetidos",IF(AND(VALUE(MID(P758,13,1))=IF(MOD(SUMPRODUCT(--MID(P758,{1,2,3,4,5,6,7,8,9,10,11,12},1),{5,4,3,2,9,8,7,6,5,4,3,2}),11)&lt;2,0,11-MOD(SUMPRODUCT(--MID(P758,{1,2,3,4,5,6,7,8,9,10,11,12},1),{5,4,3,2,9,8,7,6,5,4,3,2}),11)),VALUE(MID(P758,14,1))=IF(MOD(SUMPRODUCT(--MID(P758,{1,2,3,4,5,6,7,8,9,10,11,12,13},1),{6,5,4,3,2,9,8,7,6,5,4,3,2}),11)&lt;2,0,11-MOD(SUMPRODUCT(--MID(P758,{1,2,3,4,5,6,7,8,9,10,11,12,13},1),{6,5,4,3,2,9,8,7,6,5,4,3,2}),11))),"OK","ERRO: dígito verificador")))))</f>
      </c>
      <c r="R758" s="6">
        <f>IF(P758="","",IF(COUNTIF($P$2:$P$1001,P758)&gt;1,"DUPLICADO","OK"))</f>
      </c>
      <c r="S758" s="6">
        <f>IF(AND(J758="",K758=""),"vazio",IF(AND(OR(J758="",LEN(SUBSTITUTE(SUBSTITUTE(SUBSTITUTE(SUBSTITUTE(SUBSTITUTE(SUBSTITUTE(SUBSTITUTE(TRIM(J758),".",""),"/",""),"-","")," ",""),"(",""),")",""),"+",""))=10,LEN(SUBSTITUTE(SUBSTITUTE(SUBSTITUTE(SUBSTITUTE(SUBSTITUTE(SUBSTITUTE(SUBSTITUTE(TRIM(J758),".",""),"/",""),"-","")," ",""),"(",""),")",""),"+",""))=11),OR(K758="",LEN(SUBSTITUTE(SUBSTITUTE(SUBSTITUTE(SUBSTITUTE(SUBSTITUTE(SUBSTITUTE(SUBSTITUTE(TRIM(K758),".",""),"/",""),"-","")," ",""),"(",""),")",""),"+",""))=10,LEN(SUBSTITUTE(SUBSTITUTE(SUBSTITUTE(SUBSTITUTE(SUBSTITUTE(SUBSTITUTE(SUBSTITUTE(TRIM(K758),".",""),"/",""),"-","")," ",""),"(",""),")",""),"+",""))=11)),"OK","ERRO: use DDD + número (10 ou 11 dígitos)"))</f>
      </c>
      <c r="T758" s="6">
        <f>IF(L758="","vazio",IF(AND(ISNUMBER(FIND("@",L758)),ISNUMBER(FIND(".",MID(L758,FIND("@",L758),99))),NOT(ISNUMBER(FIND(" ",TRIM(L758)))),NOT(ISNUMBER(FIND(";",L758))),NOT(ISNUMBER(FIND(",",L758)))),"OK","ERRO: um e-mail válido por linha"))</f>
      </c>
      <c r="U758" s="6">
        <f>IF(COUNTA(A758:O758)=0,"",IF(AND(B758&lt;&gt;"",C758&lt;&gt;"",D758&lt;&gt;"",E758&lt;&gt;"",H758&lt;&gt;"",OR(J758&lt;&gt;"",L758&lt;&gt;"")),"OK","ERRO: faltam "&amp;IF(B758="","Proprietário; ","")&amp;IF(C758="","Origem; ","")&amp;IF(D758="","CNPJ; ","")&amp;IF(E758="","Razão Social; ","")&amp;IF(H758="","Sobrenome; ","")&amp;IF(AND(J758="",L758=""),"telefone ou e-mail; ","")))</f>
      </c>
      <c r="V758" s="6">
        <f>IF(COUNTA(A758:O758)=0,"",IF(AND(Q758="OK",R758="OK",LEFT(S758,4)&lt;&gt;"ERRO",LEFT(T758,4)&lt;&gt;"ERRO",U758="OK"),"OK","REVISAR"))</f>
      </c>
    </row>
    <row r="759">
      <c r="A759" s="4"/>
      <c r="B759" s="5"/>
      <c r="C759" s="5"/>
      <c r="D759" s="5"/>
      <c r="E759" s="5"/>
      <c r="F759" s="4"/>
      <c r="G759" s="4"/>
      <c r="H759" s="5"/>
      <c r="I759" s="4"/>
      <c r="J759" s="4"/>
      <c r="K759" s="4"/>
      <c r="L759" s="4"/>
      <c r="M759" s="4"/>
      <c r="N759" s="4"/>
      <c r="O759" s="4"/>
      <c r="P759" s="6">
        <f>IF(D759="","",SUBSTITUTE(SUBSTITUTE(SUBSTITUTE(SUBSTITUTE(SUBSTITUTE(SUBSTITUTE(SUBSTITUTE(TRIM(D759),".",""),"/",""),"-","")," ",""),"(",""),")",""),"+",""))</f>
      </c>
      <c r="Q759" s="6">
        <f>IF(P759="","",IF(LEN(P759)&lt;&gt;14,"ERRO: "&amp;LEN(P759)&amp;" dígitos",IF(NOT(ISNUMBER(VALUE(P759))),"ERRO: não numérico",IF(LEN(SUBSTITUTE(P759,LEFT(P759,1),""))=0,"ERRO: dígitos repetidos",IF(AND(VALUE(MID(P759,13,1))=IF(MOD(SUMPRODUCT(--MID(P759,{1,2,3,4,5,6,7,8,9,10,11,12},1),{5,4,3,2,9,8,7,6,5,4,3,2}),11)&lt;2,0,11-MOD(SUMPRODUCT(--MID(P759,{1,2,3,4,5,6,7,8,9,10,11,12},1),{5,4,3,2,9,8,7,6,5,4,3,2}),11)),VALUE(MID(P759,14,1))=IF(MOD(SUMPRODUCT(--MID(P759,{1,2,3,4,5,6,7,8,9,10,11,12,13},1),{6,5,4,3,2,9,8,7,6,5,4,3,2}),11)&lt;2,0,11-MOD(SUMPRODUCT(--MID(P759,{1,2,3,4,5,6,7,8,9,10,11,12,13},1),{6,5,4,3,2,9,8,7,6,5,4,3,2}),11))),"OK","ERRO: dígito verificador")))))</f>
      </c>
      <c r="R759" s="6">
        <f>IF(P759="","",IF(COUNTIF($P$2:$P$1001,P759)&gt;1,"DUPLICADO","OK"))</f>
      </c>
      <c r="S759" s="6">
        <f>IF(AND(J759="",K759=""),"vazio",IF(AND(OR(J759="",LEN(SUBSTITUTE(SUBSTITUTE(SUBSTITUTE(SUBSTITUTE(SUBSTITUTE(SUBSTITUTE(SUBSTITUTE(TRIM(J759),".",""),"/",""),"-","")," ",""),"(",""),")",""),"+",""))=10,LEN(SUBSTITUTE(SUBSTITUTE(SUBSTITUTE(SUBSTITUTE(SUBSTITUTE(SUBSTITUTE(SUBSTITUTE(TRIM(J759),".",""),"/",""),"-","")," ",""),"(",""),")",""),"+",""))=11),OR(K759="",LEN(SUBSTITUTE(SUBSTITUTE(SUBSTITUTE(SUBSTITUTE(SUBSTITUTE(SUBSTITUTE(SUBSTITUTE(TRIM(K759),".",""),"/",""),"-","")," ",""),"(",""),")",""),"+",""))=10,LEN(SUBSTITUTE(SUBSTITUTE(SUBSTITUTE(SUBSTITUTE(SUBSTITUTE(SUBSTITUTE(SUBSTITUTE(TRIM(K759),".",""),"/",""),"-","")," ",""),"(",""),")",""),"+",""))=11)),"OK","ERRO: use DDD + número (10 ou 11 dígitos)"))</f>
      </c>
      <c r="T759" s="6">
        <f>IF(L759="","vazio",IF(AND(ISNUMBER(FIND("@",L759)),ISNUMBER(FIND(".",MID(L759,FIND("@",L759),99))),NOT(ISNUMBER(FIND(" ",TRIM(L759)))),NOT(ISNUMBER(FIND(";",L759))),NOT(ISNUMBER(FIND(",",L759)))),"OK","ERRO: um e-mail válido por linha"))</f>
      </c>
      <c r="U759" s="6">
        <f>IF(COUNTA(A759:O759)=0,"",IF(AND(B759&lt;&gt;"",C759&lt;&gt;"",D759&lt;&gt;"",E759&lt;&gt;"",H759&lt;&gt;"",OR(J759&lt;&gt;"",L759&lt;&gt;"")),"OK","ERRO: faltam "&amp;IF(B759="","Proprietário; ","")&amp;IF(C759="","Origem; ","")&amp;IF(D759="","CNPJ; ","")&amp;IF(E759="","Razão Social; ","")&amp;IF(H759="","Sobrenome; ","")&amp;IF(AND(J759="",L759=""),"telefone ou e-mail; ","")))</f>
      </c>
      <c r="V759" s="6">
        <f>IF(COUNTA(A759:O759)=0,"",IF(AND(Q759="OK",R759="OK",LEFT(S759,4)&lt;&gt;"ERRO",LEFT(T759,4)&lt;&gt;"ERRO",U759="OK"),"OK","REVISAR"))</f>
      </c>
    </row>
    <row r="760">
      <c r="A760" s="4"/>
      <c r="B760" s="5"/>
      <c r="C760" s="5"/>
      <c r="D760" s="5"/>
      <c r="E760" s="5"/>
      <c r="F760" s="4"/>
      <c r="G760" s="4"/>
      <c r="H760" s="5"/>
      <c r="I760" s="4"/>
      <c r="J760" s="4"/>
      <c r="K760" s="4"/>
      <c r="L760" s="4"/>
      <c r="M760" s="4"/>
      <c r="N760" s="4"/>
      <c r="O760" s="4"/>
      <c r="P760" s="6">
        <f>IF(D760="","",SUBSTITUTE(SUBSTITUTE(SUBSTITUTE(SUBSTITUTE(SUBSTITUTE(SUBSTITUTE(SUBSTITUTE(TRIM(D760),".",""),"/",""),"-","")," ",""),"(",""),")",""),"+",""))</f>
      </c>
      <c r="Q760" s="6">
        <f>IF(P760="","",IF(LEN(P760)&lt;&gt;14,"ERRO: "&amp;LEN(P760)&amp;" dígitos",IF(NOT(ISNUMBER(VALUE(P760))),"ERRO: não numérico",IF(LEN(SUBSTITUTE(P760,LEFT(P760,1),""))=0,"ERRO: dígitos repetidos",IF(AND(VALUE(MID(P760,13,1))=IF(MOD(SUMPRODUCT(--MID(P760,{1,2,3,4,5,6,7,8,9,10,11,12},1),{5,4,3,2,9,8,7,6,5,4,3,2}),11)&lt;2,0,11-MOD(SUMPRODUCT(--MID(P760,{1,2,3,4,5,6,7,8,9,10,11,12},1),{5,4,3,2,9,8,7,6,5,4,3,2}),11)),VALUE(MID(P760,14,1))=IF(MOD(SUMPRODUCT(--MID(P760,{1,2,3,4,5,6,7,8,9,10,11,12,13},1),{6,5,4,3,2,9,8,7,6,5,4,3,2}),11)&lt;2,0,11-MOD(SUMPRODUCT(--MID(P760,{1,2,3,4,5,6,7,8,9,10,11,12,13},1),{6,5,4,3,2,9,8,7,6,5,4,3,2}),11))),"OK","ERRO: dígito verificador")))))</f>
      </c>
      <c r="R760" s="6">
        <f>IF(P760="","",IF(COUNTIF($P$2:$P$1001,P760)&gt;1,"DUPLICADO","OK"))</f>
      </c>
      <c r="S760" s="6">
        <f>IF(AND(J760="",K760=""),"vazio",IF(AND(OR(J760="",LEN(SUBSTITUTE(SUBSTITUTE(SUBSTITUTE(SUBSTITUTE(SUBSTITUTE(SUBSTITUTE(SUBSTITUTE(TRIM(J760),".",""),"/",""),"-","")," ",""),"(",""),")",""),"+",""))=10,LEN(SUBSTITUTE(SUBSTITUTE(SUBSTITUTE(SUBSTITUTE(SUBSTITUTE(SUBSTITUTE(SUBSTITUTE(TRIM(J760),".",""),"/",""),"-","")," ",""),"(",""),")",""),"+",""))=11),OR(K760="",LEN(SUBSTITUTE(SUBSTITUTE(SUBSTITUTE(SUBSTITUTE(SUBSTITUTE(SUBSTITUTE(SUBSTITUTE(TRIM(K760),".",""),"/",""),"-","")," ",""),"(",""),")",""),"+",""))=10,LEN(SUBSTITUTE(SUBSTITUTE(SUBSTITUTE(SUBSTITUTE(SUBSTITUTE(SUBSTITUTE(SUBSTITUTE(TRIM(K760),".",""),"/",""),"-","")," ",""),"(",""),")",""),"+",""))=11)),"OK","ERRO: use DDD + número (10 ou 11 dígitos)"))</f>
      </c>
      <c r="T760" s="6">
        <f>IF(L760="","vazio",IF(AND(ISNUMBER(FIND("@",L760)),ISNUMBER(FIND(".",MID(L760,FIND("@",L760),99))),NOT(ISNUMBER(FIND(" ",TRIM(L760)))),NOT(ISNUMBER(FIND(";",L760))),NOT(ISNUMBER(FIND(",",L760)))),"OK","ERRO: um e-mail válido por linha"))</f>
      </c>
      <c r="U760" s="6">
        <f>IF(COUNTA(A760:O760)=0,"",IF(AND(B760&lt;&gt;"",C760&lt;&gt;"",D760&lt;&gt;"",E760&lt;&gt;"",H760&lt;&gt;"",OR(J760&lt;&gt;"",L760&lt;&gt;"")),"OK","ERRO: faltam "&amp;IF(B760="","Proprietário; ","")&amp;IF(C760="","Origem; ","")&amp;IF(D760="","CNPJ; ","")&amp;IF(E760="","Razão Social; ","")&amp;IF(H760="","Sobrenome; ","")&amp;IF(AND(J760="",L760=""),"telefone ou e-mail; ","")))</f>
      </c>
      <c r="V760" s="6">
        <f>IF(COUNTA(A760:O760)=0,"",IF(AND(Q760="OK",R760="OK",LEFT(S760,4)&lt;&gt;"ERRO",LEFT(T760,4)&lt;&gt;"ERRO",U760="OK"),"OK","REVISAR"))</f>
      </c>
    </row>
    <row r="761">
      <c r="A761" s="4"/>
      <c r="B761" s="5"/>
      <c r="C761" s="5"/>
      <c r="D761" s="5"/>
      <c r="E761" s="5"/>
      <c r="F761" s="4"/>
      <c r="G761" s="4"/>
      <c r="H761" s="5"/>
      <c r="I761" s="4"/>
      <c r="J761" s="4"/>
      <c r="K761" s="4"/>
      <c r="L761" s="4"/>
      <c r="M761" s="4"/>
      <c r="N761" s="4"/>
      <c r="O761" s="4"/>
      <c r="P761" s="6">
        <f>IF(D761="","",SUBSTITUTE(SUBSTITUTE(SUBSTITUTE(SUBSTITUTE(SUBSTITUTE(SUBSTITUTE(SUBSTITUTE(TRIM(D761),".",""),"/",""),"-","")," ",""),"(",""),")",""),"+",""))</f>
      </c>
      <c r="Q761" s="6">
        <f>IF(P761="","",IF(LEN(P761)&lt;&gt;14,"ERRO: "&amp;LEN(P761)&amp;" dígitos",IF(NOT(ISNUMBER(VALUE(P761))),"ERRO: não numérico",IF(LEN(SUBSTITUTE(P761,LEFT(P761,1),""))=0,"ERRO: dígitos repetidos",IF(AND(VALUE(MID(P761,13,1))=IF(MOD(SUMPRODUCT(--MID(P761,{1,2,3,4,5,6,7,8,9,10,11,12},1),{5,4,3,2,9,8,7,6,5,4,3,2}),11)&lt;2,0,11-MOD(SUMPRODUCT(--MID(P761,{1,2,3,4,5,6,7,8,9,10,11,12},1),{5,4,3,2,9,8,7,6,5,4,3,2}),11)),VALUE(MID(P761,14,1))=IF(MOD(SUMPRODUCT(--MID(P761,{1,2,3,4,5,6,7,8,9,10,11,12,13},1),{6,5,4,3,2,9,8,7,6,5,4,3,2}),11)&lt;2,0,11-MOD(SUMPRODUCT(--MID(P761,{1,2,3,4,5,6,7,8,9,10,11,12,13},1),{6,5,4,3,2,9,8,7,6,5,4,3,2}),11))),"OK","ERRO: dígito verificador")))))</f>
      </c>
      <c r="R761" s="6">
        <f>IF(P761="","",IF(COUNTIF($P$2:$P$1001,P761)&gt;1,"DUPLICADO","OK"))</f>
      </c>
      <c r="S761" s="6">
        <f>IF(AND(J761="",K761=""),"vazio",IF(AND(OR(J761="",LEN(SUBSTITUTE(SUBSTITUTE(SUBSTITUTE(SUBSTITUTE(SUBSTITUTE(SUBSTITUTE(SUBSTITUTE(TRIM(J761),".",""),"/",""),"-","")," ",""),"(",""),")",""),"+",""))=10,LEN(SUBSTITUTE(SUBSTITUTE(SUBSTITUTE(SUBSTITUTE(SUBSTITUTE(SUBSTITUTE(SUBSTITUTE(TRIM(J761),".",""),"/",""),"-","")," ",""),"(",""),")",""),"+",""))=11),OR(K761="",LEN(SUBSTITUTE(SUBSTITUTE(SUBSTITUTE(SUBSTITUTE(SUBSTITUTE(SUBSTITUTE(SUBSTITUTE(TRIM(K761),".",""),"/",""),"-","")," ",""),"(",""),")",""),"+",""))=10,LEN(SUBSTITUTE(SUBSTITUTE(SUBSTITUTE(SUBSTITUTE(SUBSTITUTE(SUBSTITUTE(SUBSTITUTE(TRIM(K761),".",""),"/",""),"-","")," ",""),"(",""),")",""),"+",""))=11)),"OK","ERRO: use DDD + número (10 ou 11 dígitos)"))</f>
      </c>
      <c r="T761" s="6">
        <f>IF(L761="","vazio",IF(AND(ISNUMBER(FIND("@",L761)),ISNUMBER(FIND(".",MID(L761,FIND("@",L761),99))),NOT(ISNUMBER(FIND(" ",TRIM(L761)))),NOT(ISNUMBER(FIND(";",L761))),NOT(ISNUMBER(FIND(",",L761)))),"OK","ERRO: um e-mail válido por linha"))</f>
      </c>
      <c r="U761" s="6">
        <f>IF(COUNTA(A761:O761)=0,"",IF(AND(B761&lt;&gt;"",C761&lt;&gt;"",D761&lt;&gt;"",E761&lt;&gt;"",H761&lt;&gt;"",OR(J761&lt;&gt;"",L761&lt;&gt;"")),"OK","ERRO: faltam "&amp;IF(B761="","Proprietário; ","")&amp;IF(C761="","Origem; ","")&amp;IF(D761="","CNPJ; ","")&amp;IF(E761="","Razão Social; ","")&amp;IF(H761="","Sobrenome; ","")&amp;IF(AND(J761="",L761=""),"telefone ou e-mail; ","")))</f>
      </c>
      <c r="V761" s="6">
        <f>IF(COUNTA(A761:O761)=0,"",IF(AND(Q761="OK",R761="OK",LEFT(S761,4)&lt;&gt;"ERRO",LEFT(T761,4)&lt;&gt;"ERRO",U761="OK"),"OK","REVISAR"))</f>
      </c>
    </row>
    <row r="762">
      <c r="A762" s="4"/>
      <c r="B762" s="5"/>
      <c r="C762" s="5"/>
      <c r="D762" s="5"/>
      <c r="E762" s="5"/>
      <c r="F762" s="4"/>
      <c r="G762" s="4"/>
      <c r="H762" s="5"/>
      <c r="I762" s="4"/>
      <c r="J762" s="4"/>
      <c r="K762" s="4"/>
      <c r="L762" s="4"/>
      <c r="M762" s="4"/>
      <c r="N762" s="4"/>
      <c r="O762" s="4"/>
      <c r="P762" s="6">
        <f>IF(D762="","",SUBSTITUTE(SUBSTITUTE(SUBSTITUTE(SUBSTITUTE(SUBSTITUTE(SUBSTITUTE(SUBSTITUTE(TRIM(D762),".",""),"/",""),"-","")," ",""),"(",""),")",""),"+",""))</f>
      </c>
      <c r="Q762" s="6">
        <f>IF(P762="","",IF(LEN(P762)&lt;&gt;14,"ERRO: "&amp;LEN(P762)&amp;" dígitos",IF(NOT(ISNUMBER(VALUE(P762))),"ERRO: não numérico",IF(LEN(SUBSTITUTE(P762,LEFT(P762,1),""))=0,"ERRO: dígitos repetidos",IF(AND(VALUE(MID(P762,13,1))=IF(MOD(SUMPRODUCT(--MID(P762,{1,2,3,4,5,6,7,8,9,10,11,12},1),{5,4,3,2,9,8,7,6,5,4,3,2}),11)&lt;2,0,11-MOD(SUMPRODUCT(--MID(P762,{1,2,3,4,5,6,7,8,9,10,11,12},1),{5,4,3,2,9,8,7,6,5,4,3,2}),11)),VALUE(MID(P762,14,1))=IF(MOD(SUMPRODUCT(--MID(P762,{1,2,3,4,5,6,7,8,9,10,11,12,13},1),{6,5,4,3,2,9,8,7,6,5,4,3,2}),11)&lt;2,0,11-MOD(SUMPRODUCT(--MID(P762,{1,2,3,4,5,6,7,8,9,10,11,12,13},1),{6,5,4,3,2,9,8,7,6,5,4,3,2}),11))),"OK","ERRO: dígito verificador")))))</f>
      </c>
      <c r="R762" s="6">
        <f>IF(P762="","",IF(COUNTIF($P$2:$P$1001,P762)&gt;1,"DUPLICADO","OK"))</f>
      </c>
      <c r="S762" s="6">
        <f>IF(AND(J762="",K762=""),"vazio",IF(AND(OR(J762="",LEN(SUBSTITUTE(SUBSTITUTE(SUBSTITUTE(SUBSTITUTE(SUBSTITUTE(SUBSTITUTE(SUBSTITUTE(TRIM(J762),".",""),"/",""),"-","")," ",""),"(",""),")",""),"+",""))=10,LEN(SUBSTITUTE(SUBSTITUTE(SUBSTITUTE(SUBSTITUTE(SUBSTITUTE(SUBSTITUTE(SUBSTITUTE(TRIM(J762),".",""),"/",""),"-","")," ",""),"(",""),")",""),"+",""))=11),OR(K762="",LEN(SUBSTITUTE(SUBSTITUTE(SUBSTITUTE(SUBSTITUTE(SUBSTITUTE(SUBSTITUTE(SUBSTITUTE(TRIM(K762),".",""),"/",""),"-","")," ",""),"(",""),")",""),"+",""))=10,LEN(SUBSTITUTE(SUBSTITUTE(SUBSTITUTE(SUBSTITUTE(SUBSTITUTE(SUBSTITUTE(SUBSTITUTE(TRIM(K762),".",""),"/",""),"-","")," ",""),"(",""),")",""),"+",""))=11)),"OK","ERRO: use DDD + número (10 ou 11 dígitos)"))</f>
      </c>
      <c r="T762" s="6">
        <f>IF(L762="","vazio",IF(AND(ISNUMBER(FIND("@",L762)),ISNUMBER(FIND(".",MID(L762,FIND("@",L762),99))),NOT(ISNUMBER(FIND(" ",TRIM(L762)))),NOT(ISNUMBER(FIND(";",L762))),NOT(ISNUMBER(FIND(",",L762)))),"OK","ERRO: um e-mail válido por linha"))</f>
      </c>
      <c r="U762" s="6">
        <f>IF(COUNTA(A762:O762)=0,"",IF(AND(B762&lt;&gt;"",C762&lt;&gt;"",D762&lt;&gt;"",E762&lt;&gt;"",H762&lt;&gt;"",OR(J762&lt;&gt;"",L762&lt;&gt;"")),"OK","ERRO: faltam "&amp;IF(B762="","Proprietário; ","")&amp;IF(C762="","Origem; ","")&amp;IF(D762="","CNPJ; ","")&amp;IF(E762="","Razão Social; ","")&amp;IF(H762="","Sobrenome; ","")&amp;IF(AND(J762="",L762=""),"telefone ou e-mail; ","")))</f>
      </c>
      <c r="V762" s="6">
        <f>IF(COUNTA(A762:O762)=0,"",IF(AND(Q762="OK",R762="OK",LEFT(S762,4)&lt;&gt;"ERRO",LEFT(T762,4)&lt;&gt;"ERRO",U762="OK"),"OK","REVISAR"))</f>
      </c>
    </row>
    <row r="763">
      <c r="A763" s="4"/>
      <c r="B763" s="5"/>
      <c r="C763" s="5"/>
      <c r="D763" s="5"/>
      <c r="E763" s="5"/>
      <c r="F763" s="4"/>
      <c r="G763" s="4"/>
      <c r="H763" s="5"/>
      <c r="I763" s="4"/>
      <c r="J763" s="4"/>
      <c r="K763" s="4"/>
      <c r="L763" s="4"/>
      <c r="M763" s="4"/>
      <c r="N763" s="4"/>
      <c r="O763" s="4"/>
      <c r="P763" s="6">
        <f>IF(D763="","",SUBSTITUTE(SUBSTITUTE(SUBSTITUTE(SUBSTITUTE(SUBSTITUTE(SUBSTITUTE(SUBSTITUTE(TRIM(D763),".",""),"/",""),"-","")," ",""),"(",""),")",""),"+",""))</f>
      </c>
      <c r="Q763" s="6">
        <f>IF(P763="","",IF(LEN(P763)&lt;&gt;14,"ERRO: "&amp;LEN(P763)&amp;" dígitos",IF(NOT(ISNUMBER(VALUE(P763))),"ERRO: não numérico",IF(LEN(SUBSTITUTE(P763,LEFT(P763,1),""))=0,"ERRO: dígitos repetidos",IF(AND(VALUE(MID(P763,13,1))=IF(MOD(SUMPRODUCT(--MID(P763,{1,2,3,4,5,6,7,8,9,10,11,12},1),{5,4,3,2,9,8,7,6,5,4,3,2}),11)&lt;2,0,11-MOD(SUMPRODUCT(--MID(P763,{1,2,3,4,5,6,7,8,9,10,11,12},1),{5,4,3,2,9,8,7,6,5,4,3,2}),11)),VALUE(MID(P763,14,1))=IF(MOD(SUMPRODUCT(--MID(P763,{1,2,3,4,5,6,7,8,9,10,11,12,13},1),{6,5,4,3,2,9,8,7,6,5,4,3,2}),11)&lt;2,0,11-MOD(SUMPRODUCT(--MID(P763,{1,2,3,4,5,6,7,8,9,10,11,12,13},1),{6,5,4,3,2,9,8,7,6,5,4,3,2}),11))),"OK","ERRO: dígito verificador")))))</f>
      </c>
      <c r="R763" s="6">
        <f>IF(P763="","",IF(COUNTIF($P$2:$P$1001,P763)&gt;1,"DUPLICADO","OK"))</f>
      </c>
      <c r="S763" s="6">
        <f>IF(AND(J763="",K763=""),"vazio",IF(AND(OR(J763="",LEN(SUBSTITUTE(SUBSTITUTE(SUBSTITUTE(SUBSTITUTE(SUBSTITUTE(SUBSTITUTE(SUBSTITUTE(TRIM(J763),".",""),"/",""),"-","")," ",""),"(",""),")",""),"+",""))=10,LEN(SUBSTITUTE(SUBSTITUTE(SUBSTITUTE(SUBSTITUTE(SUBSTITUTE(SUBSTITUTE(SUBSTITUTE(TRIM(J763),".",""),"/",""),"-","")," ",""),"(",""),")",""),"+",""))=11),OR(K763="",LEN(SUBSTITUTE(SUBSTITUTE(SUBSTITUTE(SUBSTITUTE(SUBSTITUTE(SUBSTITUTE(SUBSTITUTE(TRIM(K763),".",""),"/",""),"-","")," ",""),"(",""),")",""),"+",""))=10,LEN(SUBSTITUTE(SUBSTITUTE(SUBSTITUTE(SUBSTITUTE(SUBSTITUTE(SUBSTITUTE(SUBSTITUTE(TRIM(K763),".",""),"/",""),"-","")," ",""),"(",""),")",""),"+",""))=11)),"OK","ERRO: use DDD + número (10 ou 11 dígitos)"))</f>
      </c>
      <c r="T763" s="6">
        <f>IF(L763="","vazio",IF(AND(ISNUMBER(FIND("@",L763)),ISNUMBER(FIND(".",MID(L763,FIND("@",L763),99))),NOT(ISNUMBER(FIND(" ",TRIM(L763)))),NOT(ISNUMBER(FIND(";",L763))),NOT(ISNUMBER(FIND(",",L763)))),"OK","ERRO: um e-mail válido por linha"))</f>
      </c>
      <c r="U763" s="6">
        <f>IF(COUNTA(A763:O763)=0,"",IF(AND(B763&lt;&gt;"",C763&lt;&gt;"",D763&lt;&gt;"",E763&lt;&gt;"",H763&lt;&gt;"",OR(J763&lt;&gt;"",L763&lt;&gt;"")),"OK","ERRO: faltam "&amp;IF(B763="","Proprietário; ","")&amp;IF(C763="","Origem; ","")&amp;IF(D763="","CNPJ; ","")&amp;IF(E763="","Razão Social; ","")&amp;IF(H763="","Sobrenome; ","")&amp;IF(AND(J763="",L763=""),"telefone ou e-mail; ","")))</f>
      </c>
      <c r="V763" s="6">
        <f>IF(COUNTA(A763:O763)=0,"",IF(AND(Q763="OK",R763="OK",LEFT(S763,4)&lt;&gt;"ERRO",LEFT(T763,4)&lt;&gt;"ERRO",U763="OK"),"OK","REVISAR"))</f>
      </c>
    </row>
    <row r="764">
      <c r="A764" s="4"/>
      <c r="B764" s="5"/>
      <c r="C764" s="5"/>
      <c r="D764" s="5"/>
      <c r="E764" s="5"/>
      <c r="F764" s="4"/>
      <c r="G764" s="4"/>
      <c r="H764" s="5"/>
      <c r="I764" s="4"/>
      <c r="J764" s="4"/>
      <c r="K764" s="4"/>
      <c r="L764" s="4"/>
      <c r="M764" s="4"/>
      <c r="N764" s="4"/>
      <c r="O764" s="4"/>
      <c r="P764" s="6">
        <f>IF(D764="","",SUBSTITUTE(SUBSTITUTE(SUBSTITUTE(SUBSTITUTE(SUBSTITUTE(SUBSTITUTE(SUBSTITUTE(TRIM(D764),".",""),"/",""),"-","")," ",""),"(",""),")",""),"+",""))</f>
      </c>
      <c r="Q764" s="6">
        <f>IF(P764="","",IF(LEN(P764)&lt;&gt;14,"ERRO: "&amp;LEN(P764)&amp;" dígitos",IF(NOT(ISNUMBER(VALUE(P764))),"ERRO: não numérico",IF(LEN(SUBSTITUTE(P764,LEFT(P764,1),""))=0,"ERRO: dígitos repetidos",IF(AND(VALUE(MID(P764,13,1))=IF(MOD(SUMPRODUCT(--MID(P764,{1,2,3,4,5,6,7,8,9,10,11,12},1),{5,4,3,2,9,8,7,6,5,4,3,2}),11)&lt;2,0,11-MOD(SUMPRODUCT(--MID(P764,{1,2,3,4,5,6,7,8,9,10,11,12},1),{5,4,3,2,9,8,7,6,5,4,3,2}),11)),VALUE(MID(P764,14,1))=IF(MOD(SUMPRODUCT(--MID(P764,{1,2,3,4,5,6,7,8,9,10,11,12,13},1),{6,5,4,3,2,9,8,7,6,5,4,3,2}),11)&lt;2,0,11-MOD(SUMPRODUCT(--MID(P764,{1,2,3,4,5,6,7,8,9,10,11,12,13},1),{6,5,4,3,2,9,8,7,6,5,4,3,2}),11))),"OK","ERRO: dígito verificador")))))</f>
      </c>
      <c r="R764" s="6">
        <f>IF(P764="","",IF(COUNTIF($P$2:$P$1001,P764)&gt;1,"DUPLICADO","OK"))</f>
      </c>
      <c r="S764" s="6">
        <f>IF(AND(J764="",K764=""),"vazio",IF(AND(OR(J764="",LEN(SUBSTITUTE(SUBSTITUTE(SUBSTITUTE(SUBSTITUTE(SUBSTITUTE(SUBSTITUTE(SUBSTITUTE(TRIM(J764),".",""),"/",""),"-","")," ",""),"(",""),")",""),"+",""))=10,LEN(SUBSTITUTE(SUBSTITUTE(SUBSTITUTE(SUBSTITUTE(SUBSTITUTE(SUBSTITUTE(SUBSTITUTE(TRIM(J764),".",""),"/",""),"-","")," ",""),"(",""),")",""),"+",""))=11),OR(K764="",LEN(SUBSTITUTE(SUBSTITUTE(SUBSTITUTE(SUBSTITUTE(SUBSTITUTE(SUBSTITUTE(SUBSTITUTE(TRIM(K764),".",""),"/",""),"-","")," ",""),"(",""),")",""),"+",""))=10,LEN(SUBSTITUTE(SUBSTITUTE(SUBSTITUTE(SUBSTITUTE(SUBSTITUTE(SUBSTITUTE(SUBSTITUTE(TRIM(K764),".",""),"/",""),"-","")," ",""),"(",""),")",""),"+",""))=11)),"OK","ERRO: use DDD + número (10 ou 11 dígitos)"))</f>
      </c>
      <c r="T764" s="6">
        <f>IF(L764="","vazio",IF(AND(ISNUMBER(FIND("@",L764)),ISNUMBER(FIND(".",MID(L764,FIND("@",L764),99))),NOT(ISNUMBER(FIND(" ",TRIM(L764)))),NOT(ISNUMBER(FIND(";",L764))),NOT(ISNUMBER(FIND(",",L764)))),"OK","ERRO: um e-mail válido por linha"))</f>
      </c>
      <c r="U764" s="6">
        <f>IF(COUNTA(A764:O764)=0,"",IF(AND(B764&lt;&gt;"",C764&lt;&gt;"",D764&lt;&gt;"",E764&lt;&gt;"",H764&lt;&gt;"",OR(J764&lt;&gt;"",L764&lt;&gt;"")),"OK","ERRO: faltam "&amp;IF(B764="","Proprietário; ","")&amp;IF(C764="","Origem; ","")&amp;IF(D764="","CNPJ; ","")&amp;IF(E764="","Razão Social; ","")&amp;IF(H764="","Sobrenome; ","")&amp;IF(AND(J764="",L764=""),"telefone ou e-mail; ","")))</f>
      </c>
      <c r="V764" s="6">
        <f>IF(COUNTA(A764:O764)=0,"",IF(AND(Q764="OK",R764="OK",LEFT(S764,4)&lt;&gt;"ERRO",LEFT(T764,4)&lt;&gt;"ERRO",U764="OK"),"OK","REVISAR"))</f>
      </c>
    </row>
    <row r="765">
      <c r="A765" s="4"/>
      <c r="B765" s="5"/>
      <c r="C765" s="5"/>
      <c r="D765" s="5"/>
      <c r="E765" s="5"/>
      <c r="F765" s="4"/>
      <c r="G765" s="4"/>
      <c r="H765" s="5"/>
      <c r="I765" s="4"/>
      <c r="J765" s="4"/>
      <c r="K765" s="4"/>
      <c r="L765" s="4"/>
      <c r="M765" s="4"/>
      <c r="N765" s="4"/>
      <c r="O765" s="4"/>
      <c r="P765" s="6">
        <f>IF(D765="","",SUBSTITUTE(SUBSTITUTE(SUBSTITUTE(SUBSTITUTE(SUBSTITUTE(SUBSTITUTE(SUBSTITUTE(TRIM(D765),".",""),"/",""),"-","")," ",""),"(",""),")",""),"+",""))</f>
      </c>
      <c r="Q765" s="6">
        <f>IF(P765="","",IF(LEN(P765)&lt;&gt;14,"ERRO: "&amp;LEN(P765)&amp;" dígitos",IF(NOT(ISNUMBER(VALUE(P765))),"ERRO: não numérico",IF(LEN(SUBSTITUTE(P765,LEFT(P765,1),""))=0,"ERRO: dígitos repetidos",IF(AND(VALUE(MID(P765,13,1))=IF(MOD(SUMPRODUCT(--MID(P765,{1,2,3,4,5,6,7,8,9,10,11,12},1),{5,4,3,2,9,8,7,6,5,4,3,2}),11)&lt;2,0,11-MOD(SUMPRODUCT(--MID(P765,{1,2,3,4,5,6,7,8,9,10,11,12},1),{5,4,3,2,9,8,7,6,5,4,3,2}),11)),VALUE(MID(P765,14,1))=IF(MOD(SUMPRODUCT(--MID(P765,{1,2,3,4,5,6,7,8,9,10,11,12,13},1),{6,5,4,3,2,9,8,7,6,5,4,3,2}),11)&lt;2,0,11-MOD(SUMPRODUCT(--MID(P765,{1,2,3,4,5,6,7,8,9,10,11,12,13},1),{6,5,4,3,2,9,8,7,6,5,4,3,2}),11))),"OK","ERRO: dígito verificador")))))</f>
      </c>
      <c r="R765" s="6">
        <f>IF(P765="","",IF(COUNTIF($P$2:$P$1001,P765)&gt;1,"DUPLICADO","OK"))</f>
      </c>
      <c r="S765" s="6">
        <f>IF(AND(J765="",K765=""),"vazio",IF(AND(OR(J765="",LEN(SUBSTITUTE(SUBSTITUTE(SUBSTITUTE(SUBSTITUTE(SUBSTITUTE(SUBSTITUTE(SUBSTITUTE(TRIM(J765),".",""),"/",""),"-","")," ",""),"(",""),")",""),"+",""))=10,LEN(SUBSTITUTE(SUBSTITUTE(SUBSTITUTE(SUBSTITUTE(SUBSTITUTE(SUBSTITUTE(SUBSTITUTE(TRIM(J765),".",""),"/",""),"-","")," ",""),"(",""),")",""),"+",""))=11),OR(K765="",LEN(SUBSTITUTE(SUBSTITUTE(SUBSTITUTE(SUBSTITUTE(SUBSTITUTE(SUBSTITUTE(SUBSTITUTE(TRIM(K765),".",""),"/",""),"-","")," ",""),"(",""),")",""),"+",""))=10,LEN(SUBSTITUTE(SUBSTITUTE(SUBSTITUTE(SUBSTITUTE(SUBSTITUTE(SUBSTITUTE(SUBSTITUTE(TRIM(K765),".",""),"/",""),"-","")," ",""),"(",""),")",""),"+",""))=11)),"OK","ERRO: use DDD + número (10 ou 11 dígitos)"))</f>
      </c>
      <c r="T765" s="6">
        <f>IF(L765="","vazio",IF(AND(ISNUMBER(FIND("@",L765)),ISNUMBER(FIND(".",MID(L765,FIND("@",L765),99))),NOT(ISNUMBER(FIND(" ",TRIM(L765)))),NOT(ISNUMBER(FIND(";",L765))),NOT(ISNUMBER(FIND(",",L765)))),"OK","ERRO: um e-mail válido por linha"))</f>
      </c>
      <c r="U765" s="6">
        <f>IF(COUNTA(A765:O765)=0,"",IF(AND(B765&lt;&gt;"",C765&lt;&gt;"",D765&lt;&gt;"",E765&lt;&gt;"",H765&lt;&gt;"",OR(J765&lt;&gt;"",L765&lt;&gt;"")),"OK","ERRO: faltam "&amp;IF(B765="","Proprietário; ","")&amp;IF(C765="","Origem; ","")&amp;IF(D765="","CNPJ; ","")&amp;IF(E765="","Razão Social; ","")&amp;IF(H765="","Sobrenome; ","")&amp;IF(AND(J765="",L765=""),"telefone ou e-mail; ","")))</f>
      </c>
      <c r="V765" s="6">
        <f>IF(COUNTA(A765:O765)=0,"",IF(AND(Q765="OK",R765="OK",LEFT(S765,4)&lt;&gt;"ERRO",LEFT(T765,4)&lt;&gt;"ERRO",U765="OK"),"OK","REVISAR"))</f>
      </c>
    </row>
    <row r="766">
      <c r="A766" s="4"/>
      <c r="B766" s="5"/>
      <c r="C766" s="5"/>
      <c r="D766" s="5"/>
      <c r="E766" s="5"/>
      <c r="F766" s="4"/>
      <c r="G766" s="4"/>
      <c r="H766" s="5"/>
      <c r="I766" s="4"/>
      <c r="J766" s="4"/>
      <c r="K766" s="4"/>
      <c r="L766" s="4"/>
      <c r="M766" s="4"/>
      <c r="N766" s="4"/>
      <c r="O766" s="4"/>
      <c r="P766" s="6">
        <f>IF(D766="","",SUBSTITUTE(SUBSTITUTE(SUBSTITUTE(SUBSTITUTE(SUBSTITUTE(SUBSTITUTE(SUBSTITUTE(TRIM(D766),".",""),"/",""),"-","")," ",""),"(",""),")",""),"+",""))</f>
      </c>
      <c r="Q766" s="6">
        <f>IF(P766="","",IF(LEN(P766)&lt;&gt;14,"ERRO: "&amp;LEN(P766)&amp;" dígitos",IF(NOT(ISNUMBER(VALUE(P766))),"ERRO: não numérico",IF(LEN(SUBSTITUTE(P766,LEFT(P766,1),""))=0,"ERRO: dígitos repetidos",IF(AND(VALUE(MID(P766,13,1))=IF(MOD(SUMPRODUCT(--MID(P766,{1,2,3,4,5,6,7,8,9,10,11,12},1),{5,4,3,2,9,8,7,6,5,4,3,2}),11)&lt;2,0,11-MOD(SUMPRODUCT(--MID(P766,{1,2,3,4,5,6,7,8,9,10,11,12},1),{5,4,3,2,9,8,7,6,5,4,3,2}),11)),VALUE(MID(P766,14,1))=IF(MOD(SUMPRODUCT(--MID(P766,{1,2,3,4,5,6,7,8,9,10,11,12,13},1),{6,5,4,3,2,9,8,7,6,5,4,3,2}),11)&lt;2,0,11-MOD(SUMPRODUCT(--MID(P766,{1,2,3,4,5,6,7,8,9,10,11,12,13},1),{6,5,4,3,2,9,8,7,6,5,4,3,2}),11))),"OK","ERRO: dígito verificador")))))</f>
      </c>
      <c r="R766" s="6">
        <f>IF(P766="","",IF(COUNTIF($P$2:$P$1001,P766)&gt;1,"DUPLICADO","OK"))</f>
      </c>
      <c r="S766" s="6">
        <f>IF(AND(J766="",K766=""),"vazio",IF(AND(OR(J766="",LEN(SUBSTITUTE(SUBSTITUTE(SUBSTITUTE(SUBSTITUTE(SUBSTITUTE(SUBSTITUTE(SUBSTITUTE(TRIM(J766),".",""),"/",""),"-","")," ",""),"(",""),")",""),"+",""))=10,LEN(SUBSTITUTE(SUBSTITUTE(SUBSTITUTE(SUBSTITUTE(SUBSTITUTE(SUBSTITUTE(SUBSTITUTE(TRIM(J766),".",""),"/",""),"-","")," ",""),"(",""),")",""),"+",""))=11),OR(K766="",LEN(SUBSTITUTE(SUBSTITUTE(SUBSTITUTE(SUBSTITUTE(SUBSTITUTE(SUBSTITUTE(SUBSTITUTE(TRIM(K766),".",""),"/",""),"-","")," ",""),"(",""),")",""),"+",""))=10,LEN(SUBSTITUTE(SUBSTITUTE(SUBSTITUTE(SUBSTITUTE(SUBSTITUTE(SUBSTITUTE(SUBSTITUTE(TRIM(K766),".",""),"/",""),"-","")," ",""),"(",""),")",""),"+",""))=11)),"OK","ERRO: use DDD + número (10 ou 11 dígitos)"))</f>
      </c>
      <c r="T766" s="6">
        <f>IF(L766="","vazio",IF(AND(ISNUMBER(FIND("@",L766)),ISNUMBER(FIND(".",MID(L766,FIND("@",L766),99))),NOT(ISNUMBER(FIND(" ",TRIM(L766)))),NOT(ISNUMBER(FIND(";",L766))),NOT(ISNUMBER(FIND(",",L766)))),"OK","ERRO: um e-mail válido por linha"))</f>
      </c>
      <c r="U766" s="6">
        <f>IF(COUNTA(A766:O766)=0,"",IF(AND(B766&lt;&gt;"",C766&lt;&gt;"",D766&lt;&gt;"",E766&lt;&gt;"",H766&lt;&gt;"",OR(J766&lt;&gt;"",L766&lt;&gt;"")),"OK","ERRO: faltam "&amp;IF(B766="","Proprietário; ","")&amp;IF(C766="","Origem; ","")&amp;IF(D766="","CNPJ; ","")&amp;IF(E766="","Razão Social; ","")&amp;IF(H766="","Sobrenome; ","")&amp;IF(AND(J766="",L766=""),"telefone ou e-mail; ","")))</f>
      </c>
      <c r="V766" s="6">
        <f>IF(COUNTA(A766:O766)=0,"",IF(AND(Q766="OK",R766="OK",LEFT(S766,4)&lt;&gt;"ERRO",LEFT(T766,4)&lt;&gt;"ERRO",U766="OK"),"OK","REVISAR"))</f>
      </c>
    </row>
    <row r="767">
      <c r="A767" s="4"/>
      <c r="B767" s="5"/>
      <c r="C767" s="5"/>
      <c r="D767" s="5"/>
      <c r="E767" s="5"/>
      <c r="F767" s="4"/>
      <c r="G767" s="4"/>
      <c r="H767" s="5"/>
      <c r="I767" s="4"/>
      <c r="J767" s="4"/>
      <c r="K767" s="4"/>
      <c r="L767" s="4"/>
      <c r="M767" s="4"/>
      <c r="N767" s="4"/>
      <c r="O767" s="4"/>
      <c r="P767" s="6">
        <f>IF(D767="","",SUBSTITUTE(SUBSTITUTE(SUBSTITUTE(SUBSTITUTE(SUBSTITUTE(SUBSTITUTE(SUBSTITUTE(TRIM(D767),".",""),"/",""),"-","")," ",""),"(",""),")",""),"+",""))</f>
      </c>
      <c r="Q767" s="6">
        <f>IF(P767="","",IF(LEN(P767)&lt;&gt;14,"ERRO: "&amp;LEN(P767)&amp;" dígitos",IF(NOT(ISNUMBER(VALUE(P767))),"ERRO: não numérico",IF(LEN(SUBSTITUTE(P767,LEFT(P767,1),""))=0,"ERRO: dígitos repetidos",IF(AND(VALUE(MID(P767,13,1))=IF(MOD(SUMPRODUCT(--MID(P767,{1,2,3,4,5,6,7,8,9,10,11,12},1),{5,4,3,2,9,8,7,6,5,4,3,2}),11)&lt;2,0,11-MOD(SUMPRODUCT(--MID(P767,{1,2,3,4,5,6,7,8,9,10,11,12},1),{5,4,3,2,9,8,7,6,5,4,3,2}),11)),VALUE(MID(P767,14,1))=IF(MOD(SUMPRODUCT(--MID(P767,{1,2,3,4,5,6,7,8,9,10,11,12,13},1),{6,5,4,3,2,9,8,7,6,5,4,3,2}),11)&lt;2,0,11-MOD(SUMPRODUCT(--MID(P767,{1,2,3,4,5,6,7,8,9,10,11,12,13},1),{6,5,4,3,2,9,8,7,6,5,4,3,2}),11))),"OK","ERRO: dígito verificador")))))</f>
      </c>
      <c r="R767" s="6">
        <f>IF(P767="","",IF(COUNTIF($P$2:$P$1001,P767)&gt;1,"DUPLICADO","OK"))</f>
      </c>
      <c r="S767" s="6">
        <f>IF(AND(J767="",K767=""),"vazio",IF(AND(OR(J767="",LEN(SUBSTITUTE(SUBSTITUTE(SUBSTITUTE(SUBSTITUTE(SUBSTITUTE(SUBSTITUTE(SUBSTITUTE(TRIM(J767),".",""),"/",""),"-","")," ",""),"(",""),")",""),"+",""))=10,LEN(SUBSTITUTE(SUBSTITUTE(SUBSTITUTE(SUBSTITUTE(SUBSTITUTE(SUBSTITUTE(SUBSTITUTE(TRIM(J767),".",""),"/",""),"-","")," ",""),"(",""),")",""),"+",""))=11),OR(K767="",LEN(SUBSTITUTE(SUBSTITUTE(SUBSTITUTE(SUBSTITUTE(SUBSTITUTE(SUBSTITUTE(SUBSTITUTE(TRIM(K767),".",""),"/",""),"-","")," ",""),"(",""),")",""),"+",""))=10,LEN(SUBSTITUTE(SUBSTITUTE(SUBSTITUTE(SUBSTITUTE(SUBSTITUTE(SUBSTITUTE(SUBSTITUTE(TRIM(K767),".",""),"/",""),"-","")," ",""),"(",""),")",""),"+",""))=11)),"OK","ERRO: use DDD + número (10 ou 11 dígitos)"))</f>
      </c>
      <c r="T767" s="6">
        <f>IF(L767="","vazio",IF(AND(ISNUMBER(FIND("@",L767)),ISNUMBER(FIND(".",MID(L767,FIND("@",L767),99))),NOT(ISNUMBER(FIND(" ",TRIM(L767)))),NOT(ISNUMBER(FIND(";",L767))),NOT(ISNUMBER(FIND(",",L767)))),"OK","ERRO: um e-mail válido por linha"))</f>
      </c>
      <c r="U767" s="6">
        <f>IF(COUNTA(A767:O767)=0,"",IF(AND(B767&lt;&gt;"",C767&lt;&gt;"",D767&lt;&gt;"",E767&lt;&gt;"",H767&lt;&gt;"",OR(J767&lt;&gt;"",L767&lt;&gt;"")),"OK","ERRO: faltam "&amp;IF(B767="","Proprietário; ","")&amp;IF(C767="","Origem; ","")&amp;IF(D767="","CNPJ; ","")&amp;IF(E767="","Razão Social; ","")&amp;IF(H767="","Sobrenome; ","")&amp;IF(AND(J767="",L767=""),"telefone ou e-mail; ","")))</f>
      </c>
      <c r="V767" s="6">
        <f>IF(COUNTA(A767:O767)=0,"",IF(AND(Q767="OK",R767="OK",LEFT(S767,4)&lt;&gt;"ERRO",LEFT(T767,4)&lt;&gt;"ERRO",U767="OK"),"OK","REVISAR"))</f>
      </c>
    </row>
    <row r="768">
      <c r="A768" s="4"/>
      <c r="B768" s="5"/>
      <c r="C768" s="5"/>
      <c r="D768" s="5"/>
      <c r="E768" s="5"/>
      <c r="F768" s="4"/>
      <c r="G768" s="4"/>
      <c r="H768" s="5"/>
      <c r="I768" s="4"/>
      <c r="J768" s="4"/>
      <c r="K768" s="4"/>
      <c r="L768" s="4"/>
      <c r="M768" s="4"/>
      <c r="N768" s="4"/>
      <c r="O768" s="4"/>
      <c r="P768" s="6">
        <f>IF(D768="","",SUBSTITUTE(SUBSTITUTE(SUBSTITUTE(SUBSTITUTE(SUBSTITUTE(SUBSTITUTE(SUBSTITUTE(TRIM(D768),".",""),"/",""),"-","")," ",""),"(",""),")",""),"+",""))</f>
      </c>
      <c r="Q768" s="6">
        <f>IF(P768="","",IF(LEN(P768)&lt;&gt;14,"ERRO: "&amp;LEN(P768)&amp;" dígitos",IF(NOT(ISNUMBER(VALUE(P768))),"ERRO: não numérico",IF(LEN(SUBSTITUTE(P768,LEFT(P768,1),""))=0,"ERRO: dígitos repetidos",IF(AND(VALUE(MID(P768,13,1))=IF(MOD(SUMPRODUCT(--MID(P768,{1,2,3,4,5,6,7,8,9,10,11,12},1),{5,4,3,2,9,8,7,6,5,4,3,2}),11)&lt;2,0,11-MOD(SUMPRODUCT(--MID(P768,{1,2,3,4,5,6,7,8,9,10,11,12},1),{5,4,3,2,9,8,7,6,5,4,3,2}),11)),VALUE(MID(P768,14,1))=IF(MOD(SUMPRODUCT(--MID(P768,{1,2,3,4,5,6,7,8,9,10,11,12,13},1),{6,5,4,3,2,9,8,7,6,5,4,3,2}),11)&lt;2,0,11-MOD(SUMPRODUCT(--MID(P768,{1,2,3,4,5,6,7,8,9,10,11,12,13},1),{6,5,4,3,2,9,8,7,6,5,4,3,2}),11))),"OK","ERRO: dígito verificador")))))</f>
      </c>
      <c r="R768" s="6">
        <f>IF(P768="","",IF(COUNTIF($P$2:$P$1001,P768)&gt;1,"DUPLICADO","OK"))</f>
      </c>
      <c r="S768" s="6">
        <f>IF(AND(J768="",K768=""),"vazio",IF(AND(OR(J768="",LEN(SUBSTITUTE(SUBSTITUTE(SUBSTITUTE(SUBSTITUTE(SUBSTITUTE(SUBSTITUTE(SUBSTITUTE(TRIM(J768),".",""),"/",""),"-","")," ",""),"(",""),")",""),"+",""))=10,LEN(SUBSTITUTE(SUBSTITUTE(SUBSTITUTE(SUBSTITUTE(SUBSTITUTE(SUBSTITUTE(SUBSTITUTE(TRIM(J768),".",""),"/",""),"-","")," ",""),"(",""),")",""),"+",""))=11),OR(K768="",LEN(SUBSTITUTE(SUBSTITUTE(SUBSTITUTE(SUBSTITUTE(SUBSTITUTE(SUBSTITUTE(SUBSTITUTE(TRIM(K768),".",""),"/",""),"-","")," ",""),"(",""),")",""),"+",""))=10,LEN(SUBSTITUTE(SUBSTITUTE(SUBSTITUTE(SUBSTITUTE(SUBSTITUTE(SUBSTITUTE(SUBSTITUTE(TRIM(K768),".",""),"/",""),"-","")," ",""),"(",""),")",""),"+",""))=11)),"OK","ERRO: use DDD + número (10 ou 11 dígitos)"))</f>
      </c>
      <c r="T768" s="6">
        <f>IF(L768="","vazio",IF(AND(ISNUMBER(FIND("@",L768)),ISNUMBER(FIND(".",MID(L768,FIND("@",L768),99))),NOT(ISNUMBER(FIND(" ",TRIM(L768)))),NOT(ISNUMBER(FIND(";",L768))),NOT(ISNUMBER(FIND(",",L768)))),"OK","ERRO: um e-mail válido por linha"))</f>
      </c>
      <c r="U768" s="6">
        <f>IF(COUNTA(A768:O768)=0,"",IF(AND(B768&lt;&gt;"",C768&lt;&gt;"",D768&lt;&gt;"",E768&lt;&gt;"",H768&lt;&gt;"",OR(J768&lt;&gt;"",L768&lt;&gt;"")),"OK","ERRO: faltam "&amp;IF(B768="","Proprietário; ","")&amp;IF(C768="","Origem; ","")&amp;IF(D768="","CNPJ; ","")&amp;IF(E768="","Razão Social; ","")&amp;IF(H768="","Sobrenome; ","")&amp;IF(AND(J768="",L768=""),"telefone ou e-mail; ","")))</f>
      </c>
      <c r="V768" s="6">
        <f>IF(COUNTA(A768:O768)=0,"",IF(AND(Q768="OK",R768="OK",LEFT(S768,4)&lt;&gt;"ERRO",LEFT(T768,4)&lt;&gt;"ERRO",U768="OK"),"OK","REVISAR"))</f>
      </c>
    </row>
    <row r="769">
      <c r="A769" s="4"/>
      <c r="B769" s="5"/>
      <c r="C769" s="5"/>
      <c r="D769" s="5"/>
      <c r="E769" s="5"/>
      <c r="F769" s="4"/>
      <c r="G769" s="4"/>
      <c r="H769" s="5"/>
      <c r="I769" s="4"/>
      <c r="J769" s="4"/>
      <c r="K769" s="4"/>
      <c r="L769" s="4"/>
      <c r="M769" s="4"/>
      <c r="N769" s="4"/>
      <c r="O769" s="4"/>
      <c r="P769" s="6">
        <f>IF(D769="","",SUBSTITUTE(SUBSTITUTE(SUBSTITUTE(SUBSTITUTE(SUBSTITUTE(SUBSTITUTE(SUBSTITUTE(TRIM(D769),".",""),"/",""),"-","")," ",""),"(",""),")",""),"+",""))</f>
      </c>
      <c r="Q769" s="6">
        <f>IF(P769="","",IF(LEN(P769)&lt;&gt;14,"ERRO: "&amp;LEN(P769)&amp;" dígitos",IF(NOT(ISNUMBER(VALUE(P769))),"ERRO: não numérico",IF(LEN(SUBSTITUTE(P769,LEFT(P769,1),""))=0,"ERRO: dígitos repetidos",IF(AND(VALUE(MID(P769,13,1))=IF(MOD(SUMPRODUCT(--MID(P769,{1,2,3,4,5,6,7,8,9,10,11,12},1),{5,4,3,2,9,8,7,6,5,4,3,2}),11)&lt;2,0,11-MOD(SUMPRODUCT(--MID(P769,{1,2,3,4,5,6,7,8,9,10,11,12},1),{5,4,3,2,9,8,7,6,5,4,3,2}),11)),VALUE(MID(P769,14,1))=IF(MOD(SUMPRODUCT(--MID(P769,{1,2,3,4,5,6,7,8,9,10,11,12,13},1),{6,5,4,3,2,9,8,7,6,5,4,3,2}),11)&lt;2,0,11-MOD(SUMPRODUCT(--MID(P769,{1,2,3,4,5,6,7,8,9,10,11,12,13},1),{6,5,4,3,2,9,8,7,6,5,4,3,2}),11))),"OK","ERRO: dígito verificador")))))</f>
      </c>
      <c r="R769" s="6">
        <f>IF(P769="","",IF(COUNTIF($P$2:$P$1001,P769)&gt;1,"DUPLICADO","OK"))</f>
      </c>
      <c r="S769" s="6">
        <f>IF(AND(J769="",K769=""),"vazio",IF(AND(OR(J769="",LEN(SUBSTITUTE(SUBSTITUTE(SUBSTITUTE(SUBSTITUTE(SUBSTITUTE(SUBSTITUTE(SUBSTITUTE(TRIM(J769),".",""),"/",""),"-","")," ",""),"(",""),")",""),"+",""))=10,LEN(SUBSTITUTE(SUBSTITUTE(SUBSTITUTE(SUBSTITUTE(SUBSTITUTE(SUBSTITUTE(SUBSTITUTE(TRIM(J769),".",""),"/",""),"-","")," ",""),"(",""),")",""),"+",""))=11),OR(K769="",LEN(SUBSTITUTE(SUBSTITUTE(SUBSTITUTE(SUBSTITUTE(SUBSTITUTE(SUBSTITUTE(SUBSTITUTE(TRIM(K769),".",""),"/",""),"-","")," ",""),"(",""),")",""),"+",""))=10,LEN(SUBSTITUTE(SUBSTITUTE(SUBSTITUTE(SUBSTITUTE(SUBSTITUTE(SUBSTITUTE(SUBSTITUTE(TRIM(K769),".",""),"/",""),"-","")," ",""),"(",""),")",""),"+",""))=11)),"OK","ERRO: use DDD + número (10 ou 11 dígitos)"))</f>
      </c>
      <c r="T769" s="6">
        <f>IF(L769="","vazio",IF(AND(ISNUMBER(FIND("@",L769)),ISNUMBER(FIND(".",MID(L769,FIND("@",L769),99))),NOT(ISNUMBER(FIND(" ",TRIM(L769)))),NOT(ISNUMBER(FIND(";",L769))),NOT(ISNUMBER(FIND(",",L769)))),"OK","ERRO: um e-mail válido por linha"))</f>
      </c>
      <c r="U769" s="6">
        <f>IF(COUNTA(A769:O769)=0,"",IF(AND(B769&lt;&gt;"",C769&lt;&gt;"",D769&lt;&gt;"",E769&lt;&gt;"",H769&lt;&gt;"",OR(J769&lt;&gt;"",L769&lt;&gt;"")),"OK","ERRO: faltam "&amp;IF(B769="","Proprietário; ","")&amp;IF(C769="","Origem; ","")&amp;IF(D769="","CNPJ; ","")&amp;IF(E769="","Razão Social; ","")&amp;IF(H769="","Sobrenome; ","")&amp;IF(AND(J769="",L769=""),"telefone ou e-mail; ","")))</f>
      </c>
      <c r="V769" s="6">
        <f>IF(COUNTA(A769:O769)=0,"",IF(AND(Q769="OK",R769="OK",LEFT(S769,4)&lt;&gt;"ERRO",LEFT(T769,4)&lt;&gt;"ERRO",U769="OK"),"OK","REVISAR"))</f>
      </c>
    </row>
    <row r="770">
      <c r="A770" s="4"/>
      <c r="B770" s="5"/>
      <c r="C770" s="5"/>
      <c r="D770" s="5"/>
      <c r="E770" s="5"/>
      <c r="F770" s="4"/>
      <c r="G770" s="4"/>
      <c r="H770" s="5"/>
      <c r="I770" s="4"/>
      <c r="J770" s="4"/>
      <c r="K770" s="4"/>
      <c r="L770" s="4"/>
      <c r="M770" s="4"/>
      <c r="N770" s="4"/>
      <c r="O770" s="4"/>
      <c r="P770" s="6">
        <f>IF(D770="","",SUBSTITUTE(SUBSTITUTE(SUBSTITUTE(SUBSTITUTE(SUBSTITUTE(SUBSTITUTE(SUBSTITUTE(TRIM(D770),".",""),"/",""),"-","")," ",""),"(",""),")",""),"+",""))</f>
      </c>
      <c r="Q770" s="6">
        <f>IF(P770="","",IF(LEN(P770)&lt;&gt;14,"ERRO: "&amp;LEN(P770)&amp;" dígitos",IF(NOT(ISNUMBER(VALUE(P770))),"ERRO: não numérico",IF(LEN(SUBSTITUTE(P770,LEFT(P770,1),""))=0,"ERRO: dígitos repetidos",IF(AND(VALUE(MID(P770,13,1))=IF(MOD(SUMPRODUCT(--MID(P770,{1,2,3,4,5,6,7,8,9,10,11,12},1),{5,4,3,2,9,8,7,6,5,4,3,2}),11)&lt;2,0,11-MOD(SUMPRODUCT(--MID(P770,{1,2,3,4,5,6,7,8,9,10,11,12},1),{5,4,3,2,9,8,7,6,5,4,3,2}),11)),VALUE(MID(P770,14,1))=IF(MOD(SUMPRODUCT(--MID(P770,{1,2,3,4,5,6,7,8,9,10,11,12,13},1),{6,5,4,3,2,9,8,7,6,5,4,3,2}),11)&lt;2,0,11-MOD(SUMPRODUCT(--MID(P770,{1,2,3,4,5,6,7,8,9,10,11,12,13},1),{6,5,4,3,2,9,8,7,6,5,4,3,2}),11))),"OK","ERRO: dígito verificador")))))</f>
      </c>
      <c r="R770" s="6">
        <f>IF(P770="","",IF(COUNTIF($P$2:$P$1001,P770)&gt;1,"DUPLICADO","OK"))</f>
      </c>
      <c r="S770" s="6">
        <f>IF(AND(J770="",K770=""),"vazio",IF(AND(OR(J770="",LEN(SUBSTITUTE(SUBSTITUTE(SUBSTITUTE(SUBSTITUTE(SUBSTITUTE(SUBSTITUTE(SUBSTITUTE(TRIM(J770),".",""),"/",""),"-","")," ",""),"(",""),")",""),"+",""))=10,LEN(SUBSTITUTE(SUBSTITUTE(SUBSTITUTE(SUBSTITUTE(SUBSTITUTE(SUBSTITUTE(SUBSTITUTE(TRIM(J770),".",""),"/",""),"-","")," ",""),"(",""),")",""),"+",""))=11),OR(K770="",LEN(SUBSTITUTE(SUBSTITUTE(SUBSTITUTE(SUBSTITUTE(SUBSTITUTE(SUBSTITUTE(SUBSTITUTE(TRIM(K770),".",""),"/",""),"-","")," ",""),"(",""),")",""),"+",""))=10,LEN(SUBSTITUTE(SUBSTITUTE(SUBSTITUTE(SUBSTITUTE(SUBSTITUTE(SUBSTITUTE(SUBSTITUTE(TRIM(K770),".",""),"/",""),"-","")," ",""),"(",""),")",""),"+",""))=11)),"OK","ERRO: use DDD + número (10 ou 11 dígitos)"))</f>
      </c>
      <c r="T770" s="6">
        <f>IF(L770="","vazio",IF(AND(ISNUMBER(FIND("@",L770)),ISNUMBER(FIND(".",MID(L770,FIND("@",L770),99))),NOT(ISNUMBER(FIND(" ",TRIM(L770)))),NOT(ISNUMBER(FIND(";",L770))),NOT(ISNUMBER(FIND(",",L770)))),"OK","ERRO: um e-mail válido por linha"))</f>
      </c>
      <c r="U770" s="6">
        <f>IF(COUNTA(A770:O770)=0,"",IF(AND(B770&lt;&gt;"",C770&lt;&gt;"",D770&lt;&gt;"",E770&lt;&gt;"",H770&lt;&gt;"",OR(J770&lt;&gt;"",L770&lt;&gt;"")),"OK","ERRO: faltam "&amp;IF(B770="","Proprietário; ","")&amp;IF(C770="","Origem; ","")&amp;IF(D770="","CNPJ; ","")&amp;IF(E770="","Razão Social; ","")&amp;IF(H770="","Sobrenome; ","")&amp;IF(AND(J770="",L770=""),"telefone ou e-mail; ","")))</f>
      </c>
      <c r="V770" s="6">
        <f>IF(COUNTA(A770:O770)=0,"",IF(AND(Q770="OK",R770="OK",LEFT(S770,4)&lt;&gt;"ERRO",LEFT(T770,4)&lt;&gt;"ERRO",U770="OK"),"OK","REVISAR"))</f>
      </c>
    </row>
    <row r="771">
      <c r="A771" s="4"/>
      <c r="B771" s="5"/>
      <c r="C771" s="5"/>
      <c r="D771" s="5"/>
      <c r="E771" s="5"/>
      <c r="F771" s="4"/>
      <c r="G771" s="4"/>
      <c r="H771" s="5"/>
      <c r="I771" s="4"/>
      <c r="J771" s="4"/>
      <c r="K771" s="4"/>
      <c r="L771" s="4"/>
      <c r="M771" s="4"/>
      <c r="N771" s="4"/>
      <c r="O771" s="4"/>
      <c r="P771" s="6">
        <f>IF(D771="","",SUBSTITUTE(SUBSTITUTE(SUBSTITUTE(SUBSTITUTE(SUBSTITUTE(SUBSTITUTE(SUBSTITUTE(TRIM(D771),".",""),"/",""),"-","")," ",""),"(",""),")",""),"+",""))</f>
      </c>
      <c r="Q771" s="6">
        <f>IF(P771="","",IF(LEN(P771)&lt;&gt;14,"ERRO: "&amp;LEN(P771)&amp;" dígitos",IF(NOT(ISNUMBER(VALUE(P771))),"ERRO: não numérico",IF(LEN(SUBSTITUTE(P771,LEFT(P771,1),""))=0,"ERRO: dígitos repetidos",IF(AND(VALUE(MID(P771,13,1))=IF(MOD(SUMPRODUCT(--MID(P771,{1,2,3,4,5,6,7,8,9,10,11,12},1),{5,4,3,2,9,8,7,6,5,4,3,2}),11)&lt;2,0,11-MOD(SUMPRODUCT(--MID(P771,{1,2,3,4,5,6,7,8,9,10,11,12},1),{5,4,3,2,9,8,7,6,5,4,3,2}),11)),VALUE(MID(P771,14,1))=IF(MOD(SUMPRODUCT(--MID(P771,{1,2,3,4,5,6,7,8,9,10,11,12,13},1),{6,5,4,3,2,9,8,7,6,5,4,3,2}),11)&lt;2,0,11-MOD(SUMPRODUCT(--MID(P771,{1,2,3,4,5,6,7,8,9,10,11,12,13},1),{6,5,4,3,2,9,8,7,6,5,4,3,2}),11))),"OK","ERRO: dígito verificador")))))</f>
      </c>
      <c r="R771" s="6">
        <f>IF(P771="","",IF(COUNTIF($P$2:$P$1001,P771)&gt;1,"DUPLICADO","OK"))</f>
      </c>
      <c r="S771" s="6">
        <f>IF(AND(J771="",K771=""),"vazio",IF(AND(OR(J771="",LEN(SUBSTITUTE(SUBSTITUTE(SUBSTITUTE(SUBSTITUTE(SUBSTITUTE(SUBSTITUTE(SUBSTITUTE(TRIM(J771),".",""),"/",""),"-","")," ",""),"(",""),")",""),"+",""))=10,LEN(SUBSTITUTE(SUBSTITUTE(SUBSTITUTE(SUBSTITUTE(SUBSTITUTE(SUBSTITUTE(SUBSTITUTE(TRIM(J771),".",""),"/",""),"-","")," ",""),"(",""),")",""),"+",""))=11),OR(K771="",LEN(SUBSTITUTE(SUBSTITUTE(SUBSTITUTE(SUBSTITUTE(SUBSTITUTE(SUBSTITUTE(SUBSTITUTE(TRIM(K771),".",""),"/",""),"-","")," ",""),"(",""),")",""),"+",""))=10,LEN(SUBSTITUTE(SUBSTITUTE(SUBSTITUTE(SUBSTITUTE(SUBSTITUTE(SUBSTITUTE(SUBSTITUTE(TRIM(K771),".",""),"/",""),"-","")," ",""),"(",""),")",""),"+",""))=11)),"OK","ERRO: use DDD + número (10 ou 11 dígitos)"))</f>
      </c>
      <c r="T771" s="6">
        <f>IF(L771="","vazio",IF(AND(ISNUMBER(FIND("@",L771)),ISNUMBER(FIND(".",MID(L771,FIND("@",L771),99))),NOT(ISNUMBER(FIND(" ",TRIM(L771)))),NOT(ISNUMBER(FIND(";",L771))),NOT(ISNUMBER(FIND(",",L771)))),"OK","ERRO: um e-mail válido por linha"))</f>
      </c>
      <c r="U771" s="6">
        <f>IF(COUNTA(A771:O771)=0,"",IF(AND(B771&lt;&gt;"",C771&lt;&gt;"",D771&lt;&gt;"",E771&lt;&gt;"",H771&lt;&gt;"",OR(J771&lt;&gt;"",L771&lt;&gt;"")),"OK","ERRO: faltam "&amp;IF(B771="","Proprietário; ","")&amp;IF(C771="","Origem; ","")&amp;IF(D771="","CNPJ; ","")&amp;IF(E771="","Razão Social; ","")&amp;IF(H771="","Sobrenome; ","")&amp;IF(AND(J771="",L771=""),"telefone ou e-mail; ","")))</f>
      </c>
      <c r="V771" s="6">
        <f>IF(COUNTA(A771:O771)=0,"",IF(AND(Q771="OK",R771="OK",LEFT(S771,4)&lt;&gt;"ERRO",LEFT(T771,4)&lt;&gt;"ERRO",U771="OK"),"OK","REVISAR"))</f>
      </c>
    </row>
    <row r="772">
      <c r="A772" s="4"/>
      <c r="B772" s="5"/>
      <c r="C772" s="5"/>
      <c r="D772" s="5"/>
      <c r="E772" s="5"/>
      <c r="F772" s="4"/>
      <c r="G772" s="4"/>
      <c r="H772" s="5"/>
      <c r="I772" s="4"/>
      <c r="J772" s="4"/>
      <c r="K772" s="4"/>
      <c r="L772" s="4"/>
      <c r="M772" s="4"/>
      <c r="N772" s="4"/>
      <c r="O772" s="4"/>
      <c r="P772" s="6">
        <f>IF(D772="","",SUBSTITUTE(SUBSTITUTE(SUBSTITUTE(SUBSTITUTE(SUBSTITUTE(SUBSTITUTE(SUBSTITUTE(TRIM(D772),".",""),"/",""),"-","")," ",""),"(",""),")",""),"+",""))</f>
      </c>
      <c r="Q772" s="6">
        <f>IF(P772="","",IF(LEN(P772)&lt;&gt;14,"ERRO: "&amp;LEN(P772)&amp;" dígitos",IF(NOT(ISNUMBER(VALUE(P772))),"ERRO: não numérico",IF(LEN(SUBSTITUTE(P772,LEFT(P772,1),""))=0,"ERRO: dígitos repetidos",IF(AND(VALUE(MID(P772,13,1))=IF(MOD(SUMPRODUCT(--MID(P772,{1,2,3,4,5,6,7,8,9,10,11,12},1),{5,4,3,2,9,8,7,6,5,4,3,2}),11)&lt;2,0,11-MOD(SUMPRODUCT(--MID(P772,{1,2,3,4,5,6,7,8,9,10,11,12},1),{5,4,3,2,9,8,7,6,5,4,3,2}),11)),VALUE(MID(P772,14,1))=IF(MOD(SUMPRODUCT(--MID(P772,{1,2,3,4,5,6,7,8,9,10,11,12,13},1),{6,5,4,3,2,9,8,7,6,5,4,3,2}),11)&lt;2,0,11-MOD(SUMPRODUCT(--MID(P772,{1,2,3,4,5,6,7,8,9,10,11,12,13},1),{6,5,4,3,2,9,8,7,6,5,4,3,2}),11))),"OK","ERRO: dígito verificador")))))</f>
      </c>
      <c r="R772" s="6">
        <f>IF(P772="","",IF(COUNTIF($P$2:$P$1001,P772)&gt;1,"DUPLICADO","OK"))</f>
      </c>
      <c r="S772" s="6">
        <f>IF(AND(J772="",K772=""),"vazio",IF(AND(OR(J772="",LEN(SUBSTITUTE(SUBSTITUTE(SUBSTITUTE(SUBSTITUTE(SUBSTITUTE(SUBSTITUTE(SUBSTITUTE(TRIM(J772),".",""),"/",""),"-","")," ",""),"(",""),")",""),"+",""))=10,LEN(SUBSTITUTE(SUBSTITUTE(SUBSTITUTE(SUBSTITUTE(SUBSTITUTE(SUBSTITUTE(SUBSTITUTE(TRIM(J772),".",""),"/",""),"-","")," ",""),"(",""),")",""),"+",""))=11),OR(K772="",LEN(SUBSTITUTE(SUBSTITUTE(SUBSTITUTE(SUBSTITUTE(SUBSTITUTE(SUBSTITUTE(SUBSTITUTE(TRIM(K772),".",""),"/",""),"-","")," ",""),"(",""),")",""),"+",""))=10,LEN(SUBSTITUTE(SUBSTITUTE(SUBSTITUTE(SUBSTITUTE(SUBSTITUTE(SUBSTITUTE(SUBSTITUTE(TRIM(K772),".",""),"/",""),"-","")," ",""),"(",""),")",""),"+",""))=11)),"OK","ERRO: use DDD + número (10 ou 11 dígitos)"))</f>
      </c>
      <c r="T772" s="6">
        <f>IF(L772="","vazio",IF(AND(ISNUMBER(FIND("@",L772)),ISNUMBER(FIND(".",MID(L772,FIND("@",L772),99))),NOT(ISNUMBER(FIND(" ",TRIM(L772)))),NOT(ISNUMBER(FIND(";",L772))),NOT(ISNUMBER(FIND(",",L772)))),"OK","ERRO: um e-mail válido por linha"))</f>
      </c>
      <c r="U772" s="6">
        <f>IF(COUNTA(A772:O772)=0,"",IF(AND(B772&lt;&gt;"",C772&lt;&gt;"",D772&lt;&gt;"",E772&lt;&gt;"",H772&lt;&gt;"",OR(J772&lt;&gt;"",L772&lt;&gt;"")),"OK","ERRO: faltam "&amp;IF(B772="","Proprietário; ","")&amp;IF(C772="","Origem; ","")&amp;IF(D772="","CNPJ; ","")&amp;IF(E772="","Razão Social; ","")&amp;IF(H772="","Sobrenome; ","")&amp;IF(AND(J772="",L772=""),"telefone ou e-mail; ","")))</f>
      </c>
      <c r="V772" s="6">
        <f>IF(COUNTA(A772:O772)=0,"",IF(AND(Q772="OK",R772="OK",LEFT(S772,4)&lt;&gt;"ERRO",LEFT(T772,4)&lt;&gt;"ERRO",U772="OK"),"OK","REVISAR"))</f>
      </c>
    </row>
    <row r="773">
      <c r="A773" s="4"/>
      <c r="B773" s="5"/>
      <c r="C773" s="5"/>
      <c r="D773" s="5"/>
      <c r="E773" s="5"/>
      <c r="F773" s="4"/>
      <c r="G773" s="4"/>
      <c r="H773" s="5"/>
      <c r="I773" s="4"/>
      <c r="J773" s="4"/>
      <c r="K773" s="4"/>
      <c r="L773" s="4"/>
      <c r="M773" s="4"/>
      <c r="N773" s="4"/>
      <c r="O773" s="4"/>
      <c r="P773" s="6">
        <f>IF(D773="","",SUBSTITUTE(SUBSTITUTE(SUBSTITUTE(SUBSTITUTE(SUBSTITUTE(SUBSTITUTE(SUBSTITUTE(TRIM(D773),".",""),"/",""),"-","")," ",""),"(",""),")",""),"+",""))</f>
      </c>
      <c r="Q773" s="6">
        <f>IF(P773="","",IF(LEN(P773)&lt;&gt;14,"ERRO: "&amp;LEN(P773)&amp;" dígitos",IF(NOT(ISNUMBER(VALUE(P773))),"ERRO: não numérico",IF(LEN(SUBSTITUTE(P773,LEFT(P773,1),""))=0,"ERRO: dígitos repetidos",IF(AND(VALUE(MID(P773,13,1))=IF(MOD(SUMPRODUCT(--MID(P773,{1,2,3,4,5,6,7,8,9,10,11,12},1),{5,4,3,2,9,8,7,6,5,4,3,2}),11)&lt;2,0,11-MOD(SUMPRODUCT(--MID(P773,{1,2,3,4,5,6,7,8,9,10,11,12},1),{5,4,3,2,9,8,7,6,5,4,3,2}),11)),VALUE(MID(P773,14,1))=IF(MOD(SUMPRODUCT(--MID(P773,{1,2,3,4,5,6,7,8,9,10,11,12,13},1),{6,5,4,3,2,9,8,7,6,5,4,3,2}),11)&lt;2,0,11-MOD(SUMPRODUCT(--MID(P773,{1,2,3,4,5,6,7,8,9,10,11,12,13},1),{6,5,4,3,2,9,8,7,6,5,4,3,2}),11))),"OK","ERRO: dígito verificador")))))</f>
      </c>
      <c r="R773" s="6">
        <f>IF(P773="","",IF(COUNTIF($P$2:$P$1001,P773)&gt;1,"DUPLICADO","OK"))</f>
      </c>
      <c r="S773" s="6">
        <f>IF(AND(J773="",K773=""),"vazio",IF(AND(OR(J773="",LEN(SUBSTITUTE(SUBSTITUTE(SUBSTITUTE(SUBSTITUTE(SUBSTITUTE(SUBSTITUTE(SUBSTITUTE(TRIM(J773),".",""),"/",""),"-","")," ",""),"(",""),")",""),"+",""))=10,LEN(SUBSTITUTE(SUBSTITUTE(SUBSTITUTE(SUBSTITUTE(SUBSTITUTE(SUBSTITUTE(SUBSTITUTE(TRIM(J773),".",""),"/",""),"-","")," ",""),"(",""),")",""),"+",""))=11),OR(K773="",LEN(SUBSTITUTE(SUBSTITUTE(SUBSTITUTE(SUBSTITUTE(SUBSTITUTE(SUBSTITUTE(SUBSTITUTE(TRIM(K773),".",""),"/",""),"-","")," ",""),"(",""),")",""),"+",""))=10,LEN(SUBSTITUTE(SUBSTITUTE(SUBSTITUTE(SUBSTITUTE(SUBSTITUTE(SUBSTITUTE(SUBSTITUTE(TRIM(K773),".",""),"/",""),"-","")," ",""),"(",""),")",""),"+",""))=11)),"OK","ERRO: use DDD + número (10 ou 11 dígitos)"))</f>
      </c>
      <c r="T773" s="6">
        <f>IF(L773="","vazio",IF(AND(ISNUMBER(FIND("@",L773)),ISNUMBER(FIND(".",MID(L773,FIND("@",L773),99))),NOT(ISNUMBER(FIND(" ",TRIM(L773)))),NOT(ISNUMBER(FIND(";",L773))),NOT(ISNUMBER(FIND(",",L773)))),"OK","ERRO: um e-mail válido por linha"))</f>
      </c>
      <c r="U773" s="6">
        <f>IF(COUNTA(A773:O773)=0,"",IF(AND(B773&lt;&gt;"",C773&lt;&gt;"",D773&lt;&gt;"",E773&lt;&gt;"",H773&lt;&gt;"",OR(J773&lt;&gt;"",L773&lt;&gt;"")),"OK","ERRO: faltam "&amp;IF(B773="","Proprietário; ","")&amp;IF(C773="","Origem; ","")&amp;IF(D773="","CNPJ; ","")&amp;IF(E773="","Razão Social; ","")&amp;IF(H773="","Sobrenome; ","")&amp;IF(AND(J773="",L773=""),"telefone ou e-mail; ","")))</f>
      </c>
      <c r="V773" s="6">
        <f>IF(COUNTA(A773:O773)=0,"",IF(AND(Q773="OK",R773="OK",LEFT(S773,4)&lt;&gt;"ERRO",LEFT(T773,4)&lt;&gt;"ERRO",U773="OK"),"OK","REVISAR"))</f>
      </c>
    </row>
    <row r="774">
      <c r="A774" s="4"/>
      <c r="B774" s="5"/>
      <c r="C774" s="5"/>
      <c r="D774" s="5"/>
      <c r="E774" s="5"/>
      <c r="F774" s="4"/>
      <c r="G774" s="4"/>
      <c r="H774" s="5"/>
      <c r="I774" s="4"/>
      <c r="J774" s="4"/>
      <c r="K774" s="4"/>
      <c r="L774" s="4"/>
      <c r="M774" s="4"/>
      <c r="N774" s="4"/>
      <c r="O774" s="4"/>
      <c r="P774" s="6">
        <f>IF(D774="","",SUBSTITUTE(SUBSTITUTE(SUBSTITUTE(SUBSTITUTE(SUBSTITUTE(SUBSTITUTE(SUBSTITUTE(TRIM(D774),".",""),"/",""),"-","")," ",""),"(",""),")",""),"+",""))</f>
      </c>
      <c r="Q774" s="6">
        <f>IF(P774="","",IF(LEN(P774)&lt;&gt;14,"ERRO: "&amp;LEN(P774)&amp;" dígitos",IF(NOT(ISNUMBER(VALUE(P774))),"ERRO: não numérico",IF(LEN(SUBSTITUTE(P774,LEFT(P774,1),""))=0,"ERRO: dígitos repetidos",IF(AND(VALUE(MID(P774,13,1))=IF(MOD(SUMPRODUCT(--MID(P774,{1,2,3,4,5,6,7,8,9,10,11,12},1),{5,4,3,2,9,8,7,6,5,4,3,2}),11)&lt;2,0,11-MOD(SUMPRODUCT(--MID(P774,{1,2,3,4,5,6,7,8,9,10,11,12},1),{5,4,3,2,9,8,7,6,5,4,3,2}),11)),VALUE(MID(P774,14,1))=IF(MOD(SUMPRODUCT(--MID(P774,{1,2,3,4,5,6,7,8,9,10,11,12,13},1),{6,5,4,3,2,9,8,7,6,5,4,3,2}),11)&lt;2,0,11-MOD(SUMPRODUCT(--MID(P774,{1,2,3,4,5,6,7,8,9,10,11,12,13},1),{6,5,4,3,2,9,8,7,6,5,4,3,2}),11))),"OK","ERRO: dígito verificador")))))</f>
      </c>
      <c r="R774" s="6">
        <f>IF(P774="","",IF(COUNTIF($P$2:$P$1001,P774)&gt;1,"DUPLICADO","OK"))</f>
      </c>
      <c r="S774" s="6">
        <f>IF(AND(J774="",K774=""),"vazio",IF(AND(OR(J774="",LEN(SUBSTITUTE(SUBSTITUTE(SUBSTITUTE(SUBSTITUTE(SUBSTITUTE(SUBSTITUTE(SUBSTITUTE(TRIM(J774),".",""),"/",""),"-","")," ",""),"(",""),")",""),"+",""))=10,LEN(SUBSTITUTE(SUBSTITUTE(SUBSTITUTE(SUBSTITUTE(SUBSTITUTE(SUBSTITUTE(SUBSTITUTE(TRIM(J774),".",""),"/",""),"-","")," ",""),"(",""),")",""),"+",""))=11),OR(K774="",LEN(SUBSTITUTE(SUBSTITUTE(SUBSTITUTE(SUBSTITUTE(SUBSTITUTE(SUBSTITUTE(SUBSTITUTE(TRIM(K774),".",""),"/",""),"-","")," ",""),"(",""),")",""),"+",""))=10,LEN(SUBSTITUTE(SUBSTITUTE(SUBSTITUTE(SUBSTITUTE(SUBSTITUTE(SUBSTITUTE(SUBSTITUTE(TRIM(K774),".",""),"/",""),"-","")," ",""),"(",""),")",""),"+",""))=11)),"OK","ERRO: use DDD + número (10 ou 11 dígitos)"))</f>
      </c>
      <c r="T774" s="6">
        <f>IF(L774="","vazio",IF(AND(ISNUMBER(FIND("@",L774)),ISNUMBER(FIND(".",MID(L774,FIND("@",L774),99))),NOT(ISNUMBER(FIND(" ",TRIM(L774)))),NOT(ISNUMBER(FIND(";",L774))),NOT(ISNUMBER(FIND(",",L774)))),"OK","ERRO: um e-mail válido por linha"))</f>
      </c>
      <c r="U774" s="6">
        <f>IF(COUNTA(A774:O774)=0,"",IF(AND(B774&lt;&gt;"",C774&lt;&gt;"",D774&lt;&gt;"",E774&lt;&gt;"",H774&lt;&gt;"",OR(J774&lt;&gt;"",L774&lt;&gt;"")),"OK","ERRO: faltam "&amp;IF(B774="","Proprietário; ","")&amp;IF(C774="","Origem; ","")&amp;IF(D774="","CNPJ; ","")&amp;IF(E774="","Razão Social; ","")&amp;IF(H774="","Sobrenome; ","")&amp;IF(AND(J774="",L774=""),"telefone ou e-mail; ","")))</f>
      </c>
      <c r="V774" s="6">
        <f>IF(COUNTA(A774:O774)=0,"",IF(AND(Q774="OK",R774="OK",LEFT(S774,4)&lt;&gt;"ERRO",LEFT(T774,4)&lt;&gt;"ERRO",U774="OK"),"OK","REVISAR"))</f>
      </c>
    </row>
    <row r="775">
      <c r="A775" s="4"/>
      <c r="B775" s="5"/>
      <c r="C775" s="5"/>
      <c r="D775" s="5"/>
      <c r="E775" s="5"/>
      <c r="F775" s="4"/>
      <c r="G775" s="4"/>
      <c r="H775" s="5"/>
      <c r="I775" s="4"/>
      <c r="J775" s="4"/>
      <c r="K775" s="4"/>
      <c r="L775" s="4"/>
      <c r="M775" s="4"/>
      <c r="N775" s="4"/>
      <c r="O775" s="4"/>
      <c r="P775" s="6">
        <f>IF(D775="","",SUBSTITUTE(SUBSTITUTE(SUBSTITUTE(SUBSTITUTE(SUBSTITUTE(SUBSTITUTE(SUBSTITUTE(TRIM(D775),".",""),"/",""),"-","")," ",""),"(",""),")",""),"+",""))</f>
      </c>
      <c r="Q775" s="6">
        <f>IF(P775="","",IF(LEN(P775)&lt;&gt;14,"ERRO: "&amp;LEN(P775)&amp;" dígitos",IF(NOT(ISNUMBER(VALUE(P775))),"ERRO: não numérico",IF(LEN(SUBSTITUTE(P775,LEFT(P775,1),""))=0,"ERRO: dígitos repetidos",IF(AND(VALUE(MID(P775,13,1))=IF(MOD(SUMPRODUCT(--MID(P775,{1,2,3,4,5,6,7,8,9,10,11,12},1),{5,4,3,2,9,8,7,6,5,4,3,2}),11)&lt;2,0,11-MOD(SUMPRODUCT(--MID(P775,{1,2,3,4,5,6,7,8,9,10,11,12},1),{5,4,3,2,9,8,7,6,5,4,3,2}),11)),VALUE(MID(P775,14,1))=IF(MOD(SUMPRODUCT(--MID(P775,{1,2,3,4,5,6,7,8,9,10,11,12,13},1),{6,5,4,3,2,9,8,7,6,5,4,3,2}),11)&lt;2,0,11-MOD(SUMPRODUCT(--MID(P775,{1,2,3,4,5,6,7,8,9,10,11,12,13},1),{6,5,4,3,2,9,8,7,6,5,4,3,2}),11))),"OK","ERRO: dígito verificador")))))</f>
      </c>
      <c r="R775" s="6">
        <f>IF(P775="","",IF(COUNTIF($P$2:$P$1001,P775)&gt;1,"DUPLICADO","OK"))</f>
      </c>
      <c r="S775" s="6">
        <f>IF(AND(J775="",K775=""),"vazio",IF(AND(OR(J775="",LEN(SUBSTITUTE(SUBSTITUTE(SUBSTITUTE(SUBSTITUTE(SUBSTITUTE(SUBSTITUTE(SUBSTITUTE(TRIM(J775),".",""),"/",""),"-","")," ",""),"(",""),")",""),"+",""))=10,LEN(SUBSTITUTE(SUBSTITUTE(SUBSTITUTE(SUBSTITUTE(SUBSTITUTE(SUBSTITUTE(SUBSTITUTE(TRIM(J775),".",""),"/",""),"-","")," ",""),"(",""),")",""),"+",""))=11),OR(K775="",LEN(SUBSTITUTE(SUBSTITUTE(SUBSTITUTE(SUBSTITUTE(SUBSTITUTE(SUBSTITUTE(SUBSTITUTE(TRIM(K775),".",""),"/",""),"-","")," ",""),"(",""),")",""),"+",""))=10,LEN(SUBSTITUTE(SUBSTITUTE(SUBSTITUTE(SUBSTITUTE(SUBSTITUTE(SUBSTITUTE(SUBSTITUTE(TRIM(K775),".",""),"/",""),"-","")," ",""),"(",""),")",""),"+",""))=11)),"OK","ERRO: use DDD + número (10 ou 11 dígitos)"))</f>
      </c>
      <c r="T775" s="6">
        <f>IF(L775="","vazio",IF(AND(ISNUMBER(FIND("@",L775)),ISNUMBER(FIND(".",MID(L775,FIND("@",L775),99))),NOT(ISNUMBER(FIND(" ",TRIM(L775)))),NOT(ISNUMBER(FIND(";",L775))),NOT(ISNUMBER(FIND(",",L775)))),"OK","ERRO: um e-mail válido por linha"))</f>
      </c>
      <c r="U775" s="6">
        <f>IF(COUNTA(A775:O775)=0,"",IF(AND(B775&lt;&gt;"",C775&lt;&gt;"",D775&lt;&gt;"",E775&lt;&gt;"",H775&lt;&gt;"",OR(J775&lt;&gt;"",L775&lt;&gt;"")),"OK","ERRO: faltam "&amp;IF(B775="","Proprietário; ","")&amp;IF(C775="","Origem; ","")&amp;IF(D775="","CNPJ; ","")&amp;IF(E775="","Razão Social; ","")&amp;IF(H775="","Sobrenome; ","")&amp;IF(AND(J775="",L775=""),"telefone ou e-mail; ","")))</f>
      </c>
      <c r="V775" s="6">
        <f>IF(COUNTA(A775:O775)=0,"",IF(AND(Q775="OK",R775="OK",LEFT(S775,4)&lt;&gt;"ERRO",LEFT(T775,4)&lt;&gt;"ERRO",U775="OK"),"OK","REVISAR"))</f>
      </c>
    </row>
    <row r="776">
      <c r="A776" s="4"/>
      <c r="B776" s="5"/>
      <c r="C776" s="5"/>
      <c r="D776" s="5"/>
      <c r="E776" s="5"/>
      <c r="F776" s="4"/>
      <c r="G776" s="4"/>
      <c r="H776" s="5"/>
      <c r="I776" s="4"/>
      <c r="J776" s="4"/>
      <c r="K776" s="4"/>
      <c r="L776" s="4"/>
      <c r="M776" s="4"/>
      <c r="N776" s="4"/>
      <c r="O776" s="4"/>
      <c r="P776" s="6">
        <f>IF(D776="","",SUBSTITUTE(SUBSTITUTE(SUBSTITUTE(SUBSTITUTE(SUBSTITUTE(SUBSTITUTE(SUBSTITUTE(TRIM(D776),".",""),"/",""),"-","")," ",""),"(",""),")",""),"+",""))</f>
      </c>
      <c r="Q776" s="6">
        <f>IF(P776="","",IF(LEN(P776)&lt;&gt;14,"ERRO: "&amp;LEN(P776)&amp;" dígitos",IF(NOT(ISNUMBER(VALUE(P776))),"ERRO: não numérico",IF(LEN(SUBSTITUTE(P776,LEFT(P776,1),""))=0,"ERRO: dígitos repetidos",IF(AND(VALUE(MID(P776,13,1))=IF(MOD(SUMPRODUCT(--MID(P776,{1,2,3,4,5,6,7,8,9,10,11,12},1),{5,4,3,2,9,8,7,6,5,4,3,2}),11)&lt;2,0,11-MOD(SUMPRODUCT(--MID(P776,{1,2,3,4,5,6,7,8,9,10,11,12},1),{5,4,3,2,9,8,7,6,5,4,3,2}),11)),VALUE(MID(P776,14,1))=IF(MOD(SUMPRODUCT(--MID(P776,{1,2,3,4,5,6,7,8,9,10,11,12,13},1),{6,5,4,3,2,9,8,7,6,5,4,3,2}),11)&lt;2,0,11-MOD(SUMPRODUCT(--MID(P776,{1,2,3,4,5,6,7,8,9,10,11,12,13},1),{6,5,4,3,2,9,8,7,6,5,4,3,2}),11))),"OK","ERRO: dígito verificador")))))</f>
      </c>
      <c r="R776" s="6">
        <f>IF(P776="","",IF(COUNTIF($P$2:$P$1001,P776)&gt;1,"DUPLICADO","OK"))</f>
      </c>
      <c r="S776" s="6">
        <f>IF(AND(J776="",K776=""),"vazio",IF(AND(OR(J776="",LEN(SUBSTITUTE(SUBSTITUTE(SUBSTITUTE(SUBSTITUTE(SUBSTITUTE(SUBSTITUTE(SUBSTITUTE(TRIM(J776),".",""),"/",""),"-","")," ",""),"(",""),")",""),"+",""))=10,LEN(SUBSTITUTE(SUBSTITUTE(SUBSTITUTE(SUBSTITUTE(SUBSTITUTE(SUBSTITUTE(SUBSTITUTE(TRIM(J776),".",""),"/",""),"-","")," ",""),"(",""),")",""),"+",""))=11),OR(K776="",LEN(SUBSTITUTE(SUBSTITUTE(SUBSTITUTE(SUBSTITUTE(SUBSTITUTE(SUBSTITUTE(SUBSTITUTE(TRIM(K776),".",""),"/",""),"-","")," ",""),"(",""),")",""),"+",""))=10,LEN(SUBSTITUTE(SUBSTITUTE(SUBSTITUTE(SUBSTITUTE(SUBSTITUTE(SUBSTITUTE(SUBSTITUTE(TRIM(K776),".",""),"/",""),"-","")," ",""),"(",""),")",""),"+",""))=11)),"OK","ERRO: use DDD + número (10 ou 11 dígitos)"))</f>
      </c>
      <c r="T776" s="6">
        <f>IF(L776="","vazio",IF(AND(ISNUMBER(FIND("@",L776)),ISNUMBER(FIND(".",MID(L776,FIND("@",L776),99))),NOT(ISNUMBER(FIND(" ",TRIM(L776)))),NOT(ISNUMBER(FIND(";",L776))),NOT(ISNUMBER(FIND(",",L776)))),"OK","ERRO: um e-mail válido por linha"))</f>
      </c>
      <c r="U776" s="6">
        <f>IF(COUNTA(A776:O776)=0,"",IF(AND(B776&lt;&gt;"",C776&lt;&gt;"",D776&lt;&gt;"",E776&lt;&gt;"",H776&lt;&gt;"",OR(J776&lt;&gt;"",L776&lt;&gt;"")),"OK","ERRO: faltam "&amp;IF(B776="","Proprietário; ","")&amp;IF(C776="","Origem; ","")&amp;IF(D776="","CNPJ; ","")&amp;IF(E776="","Razão Social; ","")&amp;IF(H776="","Sobrenome; ","")&amp;IF(AND(J776="",L776=""),"telefone ou e-mail; ","")))</f>
      </c>
      <c r="V776" s="6">
        <f>IF(COUNTA(A776:O776)=0,"",IF(AND(Q776="OK",R776="OK",LEFT(S776,4)&lt;&gt;"ERRO",LEFT(T776,4)&lt;&gt;"ERRO",U776="OK"),"OK","REVISAR"))</f>
      </c>
    </row>
    <row r="777">
      <c r="A777" s="4"/>
      <c r="B777" s="5"/>
      <c r="C777" s="5"/>
      <c r="D777" s="5"/>
      <c r="E777" s="5"/>
      <c r="F777" s="4"/>
      <c r="G777" s="4"/>
      <c r="H777" s="5"/>
      <c r="I777" s="4"/>
      <c r="J777" s="4"/>
      <c r="K777" s="4"/>
      <c r="L777" s="4"/>
      <c r="M777" s="4"/>
      <c r="N777" s="4"/>
      <c r="O777" s="4"/>
      <c r="P777" s="6">
        <f>IF(D777="","",SUBSTITUTE(SUBSTITUTE(SUBSTITUTE(SUBSTITUTE(SUBSTITUTE(SUBSTITUTE(SUBSTITUTE(TRIM(D777),".",""),"/",""),"-","")," ",""),"(",""),")",""),"+",""))</f>
      </c>
      <c r="Q777" s="6">
        <f>IF(P777="","",IF(LEN(P777)&lt;&gt;14,"ERRO: "&amp;LEN(P777)&amp;" dígitos",IF(NOT(ISNUMBER(VALUE(P777))),"ERRO: não numérico",IF(LEN(SUBSTITUTE(P777,LEFT(P777,1),""))=0,"ERRO: dígitos repetidos",IF(AND(VALUE(MID(P777,13,1))=IF(MOD(SUMPRODUCT(--MID(P777,{1,2,3,4,5,6,7,8,9,10,11,12},1),{5,4,3,2,9,8,7,6,5,4,3,2}),11)&lt;2,0,11-MOD(SUMPRODUCT(--MID(P777,{1,2,3,4,5,6,7,8,9,10,11,12},1),{5,4,3,2,9,8,7,6,5,4,3,2}),11)),VALUE(MID(P777,14,1))=IF(MOD(SUMPRODUCT(--MID(P777,{1,2,3,4,5,6,7,8,9,10,11,12,13},1),{6,5,4,3,2,9,8,7,6,5,4,3,2}),11)&lt;2,0,11-MOD(SUMPRODUCT(--MID(P777,{1,2,3,4,5,6,7,8,9,10,11,12,13},1),{6,5,4,3,2,9,8,7,6,5,4,3,2}),11))),"OK","ERRO: dígito verificador")))))</f>
      </c>
      <c r="R777" s="6">
        <f>IF(P777="","",IF(COUNTIF($P$2:$P$1001,P777)&gt;1,"DUPLICADO","OK"))</f>
      </c>
      <c r="S777" s="6">
        <f>IF(AND(J777="",K777=""),"vazio",IF(AND(OR(J777="",LEN(SUBSTITUTE(SUBSTITUTE(SUBSTITUTE(SUBSTITUTE(SUBSTITUTE(SUBSTITUTE(SUBSTITUTE(TRIM(J777),".",""),"/",""),"-","")," ",""),"(",""),")",""),"+",""))=10,LEN(SUBSTITUTE(SUBSTITUTE(SUBSTITUTE(SUBSTITUTE(SUBSTITUTE(SUBSTITUTE(SUBSTITUTE(TRIM(J777),".",""),"/",""),"-","")," ",""),"(",""),")",""),"+",""))=11),OR(K777="",LEN(SUBSTITUTE(SUBSTITUTE(SUBSTITUTE(SUBSTITUTE(SUBSTITUTE(SUBSTITUTE(SUBSTITUTE(TRIM(K777),".",""),"/",""),"-","")," ",""),"(",""),")",""),"+",""))=10,LEN(SUBSTITUTE(SUBSTITUTE(SUBSTITUTE(SUBSTITUTE(SUBSTITUTE(SUBSTITUTE(SUBSTITUTE(TRIM(K777),".",""),"/",""),"-","")," ",""),"(",""),")",""),"+",""))=11)),"OK","ERRO: use DDD + número (10 ou 11 dígitos)"))</f>
      </c>
      <c r="T777" s="6">
        <f>IF(L777="","vazio",IF(AND(ISNUMBER(FIND("@",L777)),ISNUMBER(FIND(".",MID(L777,FIND("@",L777),99))),NOT(ISNUMBER(FIND(" ",TRIM(L777)))),NOT(ISNUMBER(FIND(";",L777))),NOT(ISNUMBER(FIND(",",L777)))),"OK","ERRO: um e-mail válido por linha"))</f>
      </c>
      <c r="U777" s="6">
        <f>IF(COUNTA(A777:O777)=0,"",IF(AND(B777&lt;&gt;"",C777&lt;&gt;"",D777&lt;&gt;"",E777&lt;&gt;"",H777&lt;&gt;"",OR(J777&lt;&gt;"",L777&lt;&gt;"")),"OK","ERRO: faltam "&amp;IF(B777="","Proprietário; ","")&amp;IF(C777="","Origem; ","")&amp;IF(D777="","CNPJ; ","")&amp;IF(E777="","Razão Social; ","")&amp;IF(H777="","Sobrenome; ","")&amp;IF(AND(J777="",L777=""),"telefone ou e-mail; ","")))</f>
      </c>
      <c r="V777" s="6">
        <f>IF(COUNTA(A777:O777)=0,"",IF(AND(Q777="OK",R777="OK",LEFT(S777,4)&lt;&gt;"ERRO",LEFT(T777,4)&lt;&gt;"ERRO",U777="OK"),"OK","REVISAR"))</f>
      </c>
    </row>
    <row r="778">
      <c r="A778" s="4"/>
      <c r="B778" s="5"/>
      <c r="C778" s="5"/>
      <c r="D778" s="5"/>
      <c r="E778" s="5"/>
      <c r="F778" s="4"/>
      <c r="G778" s="4"/>
      <c r="H778" s="5"/>
      <c r="I778" s="4"/>
      <c r="J778" s="4"/>
      <c r="K778" s="4"/>
      <c r="L778" s="4"/>
      <c r="M778" s="4"/>
      <c r="N778" s="4"/>
      <c r="O778" s="4"/>
      <c r="P778" s="6">
        <f>IF(D778="","",SUBSTITUTE(SUBSTITUTE(SUBSTITUTE(SUBSTITUTE(SUBSTITUTE(SUBSTITUTE(SUBSTITUTE(TRIM(D778),".",""),"/",""),"-","")," ",""),"(",""),")",""),"+",""))</f>
      </c>
      <c r="Q778" s="6">
        <f>IF(P778="","",IF(LEN(P778)&lt;&gt;14,"ERRO: "&amp;LEN(P778)&amp;" dígitos",IF(NOT(ISNUMBER(VALUE(P778))),"ERRO: não numérico",IF(LEN(SUBSTITUTE(P778,LEFT(P778,1),""))=0,"ERRO: dígitos repetidos",IF(AND(VALUE(MID(P778,13,1))=IF(MOD(SUMPRODUCT(--MID(P778,{1,2,3,4,5,6,7,8,9,10,11,12},1),{5,4,3,2,9,8,7,6,5,4,3,2}),11)&lt;2,0,11-MOD(SUMPRODUCT(--MID(P778,{1,2,3,4,5,6,7,8,9,10,11,12},1),{5,4,3,2,9,8,7,6,5,4,3,2}),11)),VALUE(MID(P778,14,1))=IF(MOD(SUMPRODUCT(--MID(P778,{1,2,3,4,5,6,7,8,9,10,11,12,13},1),{6,5,4,3,2,9,8,7,6,5,4,3,2}),11)&lt;2,0,11-MOD(SUMPRODUCT(--MID(P778,{1,2,3,4,5,6,7,8,9,10,11,12,13},1),{6,5,4,3,2,9,8,7,6,5,4,3,2}),11))),"OK","ERRO: dígito verificador")))))</f>
      </c>
      <c r="R778" s="6">
        <f>IF(P778="","",IF(COUNTIF($P$2:$P$1001,P778)&gt;1,"DUPLICADO","OK"))</f>
      </c>
      <c r="S778" s="6">
        <f>IF(AND(J778="",K778=""),"vazio",IF(AND(OR(J778="",LEN(SUBSTITUTE(SUBSTITUTE(SUBSTITUTE(SUBSTITUTE(SUBSTITUTE(SUBSTITUTE(SUBSTITUTE(TRIM(J778),".",""),"/",""),"-","")," ",""),"(",""),")",""),"+",""))=10,LEN(SUBSTITUTE(SUBSTITUTE(SUBSTITUTE(SUBSTITUTE(SUBSTITUTE(SUBSTITUTE(SUBSTITUTE(TRIM(J778),".",""),"/",""),"-","")," ",""),"(",""),")",""),"+",""))=11),OR(K778="",LEN(SUBSTITUTE(SUBSTITUTE(SUBSTITUTE(SUBSTITUTE(SUBSTITUTE(SUBSTITUTE(SUBSTITUTE(TRIM(K778),".",""),"/",""),"-","")," ",""),"(",""),")",""),"+",""))=10,LEN(SUBSTITUTE(SUBSTITUTE(SUBSTITUTE(SUBSTITUTE(SUBSTITUTE(SUBSTITUTE(SUBSTITUTE(TRIM(K778),".",""),"/",""),"-","")," ",""),"(",""),")",""),"+",""))=11)),"OK","ERRO: use DDD + número (10 ou 11 dígitos)"))</f>
      </c>
      <c r="T778" s="6">
        <f>IF(L778="","vazio",IF(AND(ISNUMBER(FIND("@",L778)),ISNUMBER(FIND(".",MID(L778,FIND("@",L778),99))),NOT(ISNUMBER(FIND(" ",TRIM(L778)))),NOT(ISNUMBER(FIND(";",L778))),NOT(ISNUMBER(FIND(",",L778)))),"OK","ERRO: um e-mail válido por linha"))</f>
      </c>
      <c r="U778" s="6">
        <f>IF(COUNTA(A778:O778)=0,"",IF(AND(B778&lt;&gt;"",C778&lt;&gt;"",D778&lt;&gt;"",E778&lt;&gt;"",H778&lt;&gt;"",OR(J778&lt;&gt;"",L778&lt;&gt;"")),"OK","ERRO: faltam "&amp;IF(B778="","Proprietário; ","")&amp;IF(C778="","Origem; ","")&amp;IF(D778="","CNPJ; ","")&amp;IF(E778="","Razão Social; ","")&amp;IF(H778="","Sobrenome; ","")&amp;IF(AND(J778="",L778=""),"telefone ou e-mail; ","")))</f>
      </c>
      <c r="V778" s="6">
        <f>IF(COUNTA(A778:O778)=0,"",IF(AND(Q778="OK",R778="OK",LEFT(S778,4)&lt;&gt;"ERRO",LEFT(T778,4)&lt;&gt;"ERRO",U778="OK"),"OK","REVISAR"))</f>
      </c>
    </row>
    <row r="779">
      <c r="A779" s="4"/>
      <c r="B779" s="5"/>
      <c r="C779" s="5"/>
      <c r="D779" s="5"/>
      <c r="E779" s="5"/>
      <c r="F779" s="4"/>
      <c r="G779" s="4"/>
      <c r="H779" s="5"/>
      <c r="I779" s="4"/>
      <c r="J779" s="4"/>
      <c r="K779" s="4"/>
      <c r="L779" s="4"/>
      <c r="M779" s="4"/>
      <c r="N779" s="4"/>
      <c r="O779" s="4"/>
      <c r="P779" s="6">
        <f>IF(D779="","",SUBSTITUTE(SUBSTITUTE(SUBSTITUTE(SUBSTITUTE(SUBSTITUTE(SUBSTITUTE(SUBSTITUTE(TRIM(D779),".",""),"/",""),"-","")," ",""),"(",""),")",""),"+",""))</f>
      </c>
      <c r="Q779" s="6">
        <f>IF(P779="","",IF(LEN(P779)&lt;&gt;14,"ERRO: "&amp;LEN(P779)&amp;" dígitos",IF(NOT(ISNUMBER(VALUE(P779))),"ERRO: não numérico",IF(LEN(SUBSTITUTE(P779,LEFT(P779,1),""))=0,"ERRO: dígitos repetidos",IF(AND(VALUE(MID(P779,13,1))=IF(MOD(SUMPRODUCT(--MID(P779,{1,2,3,4,5,6,7,8,9,10,11,12},1),{5,4,3,2,9,8,7,6,5,4,3,2}),11)&lt;2,0,11-MOD(SUMPRODUCT(--MID(P779,{1,2,3,4,5,6,7,8,9,10,11,12},1),{5,4,3,2,9,8,7,6,5,4,3,2}),11)),VALUE(MID(P779,14,1))=IF(MOD(SUMPRODUCT(--MID(P779,{1,2,3,4,5,6,7,8,9,10,11,12,13},1),{6,5,4,3,2,9,8,7,6,5,4,3,2}),11)&lt;2,0,11-MOD(SUMPRODUCT(--MID(P779,{1,2,3,4,5,6,7,8,9,10,11,12,13},1),{6,5,4,3,2,9,8,7,6,5,4,3,2}),11))),"OK","ERRO: dígito verificador")))))</f>
      </c>
      <c r="R779" s="6">
        <f>IF(P779="","",IF(COUNTIF($P$2:$P$1001,P779)&gt;1,"DUPLICADO","OK"))</f>
      </c>
      <c r="S779" s="6">
        <f>IF(AND(J779="",K779=""),"vazio",IF(AND(OR(J779="",LEN(SUBSTITUTE(SUBSTITUTE(SUBSTITUTE(SUBSTITUTE(SUBSTITUTE(SUBSTITUTE(SUBSTITUTE(TRIM(J779),".",""),"/",""),"-","")," ",""),"(",""),")",""),"+",""))=10,LEN(SUBSTITUTE(SUBSTITUTE(SUBSTITUTE(SUBSTITUTE(SUBSTITUTE(SUBSTITUTE(SUBSTITUTE(TRIM(J779),".",""),"/",""),"-","")," ",""),"(",""),")",""),"+",""))=11),OR(K779="",LEN(SUBSTITUTE(SUBSTITUTE(SUBSTITUTE(SUBSTITUTE(SUBSTITUTE(SUBSTITUTE(SUBSTITUTE(TRIM(K779),".",""),"/",""),"-","")," ",""),"(",""),")",""),"+",""))=10,LEN(SUBSTITUTE(SUBSTITUTE(SUBSTITUTE(SUBSTITUTE(SUBSTITUTE(SUBSTITUTE(SUBSTITUTE(TRIM(K779),".",""),"/",""),"-","")," ",""),"(",""),")",""),"+",""))=11)),"OK","ERRO: use DDD + número (10 ou 11 dígitos)"))</f>
      </c>
      <c r="T779" s="6">
        <f>IF(L779="","vazio",IF(AND(ISNUMBER(FIND("@",L779)),ISNUMBER(FIND(".",MID(L779,FIND("@",L779),99))),NOT(ISNUMBER(FIND(" ",TRIM(L779)))),NOT(ISNUMBER(FIND(";",L779))),NOT(ISNUMBER(FIND(",",L779)))),"OK","ERRO: um e-mail válido por linha"))</f>
      </c>
      <c r="U779" s="6">
        <f>IF(COUNTA(A779:O779)=0,"",IF(AND(B779&lt;&gt;"",C779&lt;&gt;"",D779&lt;&gt;"",E779&lt;&gt;"",H779&lt;&gt;"",OR(J779&lt;&gt;"",L779&lt;&gt;"")),"OK","ERRO: faltam "&amp;IF(B779="","Proprietário; ","")&amp;IF(C779="","Origem; ","")&amp;IF(D779="","CNPJ; ","")&amp;IF(E779="","Razão Social; ","")&amp;IF(H779="","Sobrenome; ","")&amp;IF(AND(J779="",L779=""),"telefone ou e-mail; ","")))</f>
      </c>
      <c r="V779" s="6">
        <f>IF(COUNTA(A779:O779)=0,"",IF(AND(Q779="OK",R779="OK",LEFT(S779,4)&lt;&gt;"ERRO",LEFT(T779,4)&lt;&gt;"ERRO",U779="OK"),"OK","REVISAR"))</f>
      </c>
    </row>
    <row r="780">
      <c r="A780" s="4"/>
      <c r="B780" s="5"/>
      <c r="C780" s="5"/>
      <c r="D780" s="5"/>
      <c r="E780" s="5"/>
      <c r="F780" s="4"/>
      <c r="G780" s="4"/>
      <c r="H780" s="5"/>
      <c r="I780" s="4"/>
      <c r="J780" s="4"/>
      <c r="K780" s="4"/>
      <c r="L780" s="4"/>
      <c r="M780" s="4"/>
      <c r="N780" s="4"/>
      <c r="O780" s="4"/>
      <c r="P780" s="6">
        <f>IF(D780="","",SUBSTITUTE(SUBSTITUTE(SUBSTITUTE(SUBSTITUTE(SUBSTITUTE(SUBSTITUTE(SUBSTITUTE(TRIM(D780),".",""),"/",""),"-","")," ",""),"(",""),")",""),"+",""))</f>
      </c>
      <c r="Q780" s="6">
        <f>IF(P780="","",IF(LEN(P780)&lt;&gt;14,"ERRO: "&amp;LEN(P780)&amp;" dígitos",IF(NOT(ISNUMBER(VALUE(P780))),"ERRO: não numérico",IF(LEN(SUBSTITUTE(P780,LEFT(P780,1),""))=0,"ERRO: dígitos repetidos",IF(AND(VALUE(MID(P780,13,1))=IF(MOD(SUMPRODUCT(--MID(P780,{1,2,3,4,5,6,7,8,9,10,11,12},1),{5,4,3,2,9,8,7,6,5,4,3,2}),11)&lt;2,0,11-MOD(SUMPRODUCT(--MID(P780,{1,2,3,4,5,6,7,8,9,10,11,12},1),{5,4,3,2,9,8,7,6,5,4,3,2}),11)),VALUE(MID(P780,14,1))=IF(MOD(SUMPRODUCT(--MID(P780,{1,2,3,4,5,6,7,8,9,10,11,12,13},1),{6,5,4,3,2,9,8,7,6,5,4,3,2}),11)&lt;2,0,11-MOD(SUMPRODUCT(--MID(P780,{1,2,3,4,5,6,7,8,9,10,11,12,13},1),{6,5,4,3,2,9,8,7,6,5,4,3,2}),11))),"OK","ERRO: dígito verificador")))))</f>
      </c>
      <c r="R780" s="6">
        <f>IF(P780="","",IF(COUNTIF($P$2:$P$1001,P780)&gt;1,"DUPLICADO","OK"))</f>
      </c>
      <c r="S780" s="6">
        <f>IF(AND(J780="",K780=""),"vazio",IF(AND(OR(J780="",LEN(SUBSTITUTE(SUBSTITUTE(SUBSTITUTE(SUBSTITUTE(SUBSTITUTE(SUBSTITUTE(SUBSTITUTE(TRIM(J780),".",""),"/",""),"-","")," ",""),"(",""),")",""),"+",""))=10,LEN(SUBSTITUTE(SUBSTITUTE(SUBSTITUTE(SUBSTITUTE(SUBSTITUTE(SUBSTITUTE(SUBSTITUTE(TRIM(J780),".",""),"/",""),"-","")," ",""),"(",""),")",""),"+",""))=11),OR(K780="",LEN(SUBSTITUTE(SUBSTITUTE(SUBSTITUTE(SUBSTITUTE(SUBSTITUTE(SUBSTITUTE(SUBSTITUTE(TRIM(K780),".",""),"/",""),"-","")," ",""),"(",""),")",""),"+",""))=10,LEN(SUBSTITUTE(SUBSTITUTE(SUBSTITUTE(SUBSTITUTE(SUBSTITUTE(SUBSTITUTE(SUBSTITUTE(TRIM(K780),".",""),"/",""),"-","")," ",""),"(",""),")",""),"+",""))=11)),"OK","ERRO: use DDD + número (10 ou 11 dígitos)"))</f>
      </c>
      <c r="T780" s="6">
        <f>IF(L780="","vazio",IF(AND(ISNUMBER(FIND("@",L780)),ISNUMBER(FIND(".",MID(L780,FIND("@",L780),99))),NOT(ISNUMBER(FIND(" ",TRIM(L780)))),NOT(ISNUMBER(FIND(";",L780))),NOT(ISNUMBER(FIND(",",L780)))),"OK","ERRO: um e-mail válido por linha"))</f>
      </c>
      <c r="U780" s="6">
        <f>IF(COUNTA(A780:O780)=0,"",IF(AND(B780&lt;&gt;"",C780&lt;&gt;"",D780&lt;&gt;"",E780&lt;&gt;"",H780&lt;&gt;"",OR(J780&lt;&gt;"",L780&lt;&gt;"")),"OK","ERRO: faltam "&amp;IF(B780="","Proprietário; ","")&amp;IF(C780="","Origem; ","")&amp;IF(D780="","CNPJ; ","")&amp;IF(E780="","Razão Social; ","")&amp;IF(H780="","Sobrenome; ","")&amp;IF(AND(J780="",L780=""),"telefone ou e-mail; ","")))</f>
      </c>
      <c r="V780" s="6">
        <f>IF(COUNTA(A780:O780)=0,"",IF(AND(Q780="OK",R780="OK",LEFT(S780,4)&lt;&gt;"ERRO",LEFT(T780,4)&lt;&gt;"ERRO",U780="OK"),"OK","REVISAR"))</f>
      </c>
    </row>
    <row r="781">
      <c r="A781" s="4"/>
      <c r="B781" s="5"/>
      <c r="C781" s="5"/>
      <c r="D781" s="5"/>
      <c r="E781" s="5"/>
      <c r="F781" s="4"/>
      <c r="G781" s="4"/>
      <c r="H781" s="5"/>
      <c r="I781" s="4"/>
      <c r="J781" s="4"/>
      <c r="K781" s="4"/>
      <c r="L781" s="4"/>
      <c r="M781" s="4"/>
      <c r="N781" s="4"/>
      <c r="O781" s="4"/>
      <c r="P781" s="6">
        <f>IF(D781="","",SUBSTITUTE(SUBSTITUTE(SUBSTITUTE(SUBSTITUTE(SUBSTITUTE(SUBSTITUTE(SUBSTITUTE(TRIM(D781),".",""),"/",""),"-","")," ",""),"(",""),")",""),"+",""))</f>
      </c>
      <c r="Q781" s="6">
        <f>IF(P781="","",IF(LEN(P781)&lt;&gt;14,"ERRO: "&amp;LEN(P781)&amp;" dígitos",IF(NOT(ISNUMBER(VALUE(P781))),"ERRO: não numérico",IF(LEN(SUBSTITUTE(P781,LEFT(P781,1),""))=0,"ERRO: dígitos repetidos",IF(AND(VALUE(MID(P781,13,1))=IF(MOD(SUMPRODUCT(--MID(P781,{1,2,3,4,5,6,7,8,9,10,11,12},1),{5,4,3,2,9,8,7,6,5,4,3,2}),11)&lt;2,0,11-MOD(SUMPRODUCT(--MID(P781,{1,2,3,4,5,6,7,8,9,10,11,12},1),{5,4,3,2,9,8,7,6,5,4,3,2}),11)),VALUE(MID(P781,14,1))=IF(MOD(SUMPRODUCT(--MID(P781,{1,2,3,4,5,6,7,8,9,10,11,12,13},1),{6,5,4,3,2,9,8,7,6,5,4,3,2}),11)&lt;2,0,11-MOD(SUMPRODUCT(--MID(P781,{1,2,3,4,5,6,7,8,9,10,11,12,13},1),{6,5,4,3,2,9,8,7,6,5,4,3,2}),11))),"OK","ERRO: dígito verificador")))))</f>
      </c>
      <c r="R781" s="6">
        <f>IF(P781="","",IF(COUNTIF($P$2:$P$1001,P781)&gt;1,"DUPLICADO","OK"))</f>
      </c>
      <c r="S781" s="6">
        <f>IF(AND(J781="",K781=""),"vazio",IF(AND(OR(J781="",LEN(SUBSTITUTE(SUBSTITUTE(SUBSTITUTE(SUBSTITUTE(SUBSTITUTE(SUBSTITUTE(SUBSTITUTE(TRIM(J781),".",""),"/",""),"-","")," ",""),"(",""),")",""),"+",""))=10,LEN(SUBSTITUTE(SUBSTITUTE(SUBSTITUTE(SUBSTITUTE(SUBSTITUTE(SUBSTITUTE(SUBSTITUTE(TRIM(J781),".",""),"/",""),"-","")," ",""),"(",""),")",""),"+",""))=11),OR(K781="",LEN(SUBSTITUTE(SUBSTITUTE(SUBSTITUTE(SUBSTITUTE(SUBSTITUTE(SUBSTITUTE(SUBSTITUTE(TRIM(K781),".",""),"/",""),"-","")," ",""),"(",""),")",""),"+",""))=10,LEN(SUBSTITUTE(SUBSTITUTE(SUBSTITUTE(SUBSTITUTE(SUBSTITUTE(SUBSTITUTE(SUBSTITUTE(TRIM(K781),".",""),"/",""),"-","")," ",""),"(",""),")",""),"+",""))=11)),"OK","ERRO: use DDD + número (10 ou 11 dígitos)"))</f>
      </c>
      <c r="T781" s="6">
        <f>IF(L781="","vazio",IF(AND(ISNUMBER(FIND("@",L781)),ISNUMBER(FIND(".",MID(L781,FIND("@",L781),99))),NOT(ISNUMBER(FIND(" ",TRIM(L781)))),NOT(ISNUMBER(FIND(";",L781))),NOT(ISNUMBER(FIND(",",L781)))),"OK","ERRO: um e-mail válido por linha"))</f>
      </c>
      <c r="U781" s="6">
        <f>IF(COUNTA(A781:O781)=0,"",IF(AND(B781&lt;&gt;"",C781&lt;&gt;"",D781&lt;&gt;"",E781&lt;&gt;"",H781&lt;&gt;"",OR(J781&lt;&gt;"",L781&lt;&gt;"")),"OK","ERRO: faltam "&amp;IF(B781="","Proprietário; ","")&amp;IF(C781="","Origem; ","")&amp;IF(D781="","CNPJ; ","")&amp;IF(E781="","Razão Social; ","")&amp;IF(H781="","Sobrenome; ","")&amp;IF(AND(J781="",L781=""),"telefone ou e-mail; ","")))</f>
      </c>
      <c r="V781" s="6">
        <f>IF(COUNTA(A781:O781)=0,"",IF(AND(Q781="OK",R781="OK",LEFT(S781,4)&lt;&gt;"ERRO",LEFT(T781,4)&lt;&gt;"ERRO",U781="OK"),"OK","REVISAR"))</f>
      </c>
    </row>
    <row r="782">
      <c r="A782" s="4"/>
      <c r="B782" s="5"/>
      <c r="C782" s="5"/>
      <c r="D782" s="5"/>
      <c r="E782" s="5"/>
      <c r="F782" s="4"/>
      <c r="G782" s="4"/>
      <c r="H782" s="5"/>
      <c r="I782" s="4"/>
      <c r="J782" s="4"/>
      <c r="K782" s="4"/>
      <c r="L782" s="4"/>
      <c r="M782" s="4"/>
      <c r="N782" s="4"/>
      <c r="O782" s="4"/>
      <c r="P782" s="6">
        <f>IF(D782="","",SUBSTITUTE(SUBSTITUTE(SUBSTITUTE(SUBSTITUTE(SUBSTITUTE(SUBSTITUTE(SUBSTITUTE(TRIM(D782),".",""),"/",""),"-","")," ",""),"(",""),")",""),"+",""))</f>
      </c>
      <c r="Q782" s="6">
        <f>IF(P782="","",IF(LEN(P782)&lt;&gt;14,"ERRO: "&amp;LEN(P782)&amp;" dígitos",IF(NOT(ISNUMBER(VALUE(P782))),"ERRO: não numérico",IF(LEN(SUBSTITUTE(P782,LEFT(P782,1),""))=0,"ERRO: dígitos repetidos",IF(AND(VALUE(MID(P782,13,1))=IF(MOD(SUMPRODUCT(--MID(P782,{1,2,3,4,5,6,7,8,9,10,11,12},1),{5,4,3,2,9,8,7,6,5,4,3,2}),11)&lt;2,0,11-MOD(SUMPRODUCT(--MID(P782,{1,2,3,4,5,6,7,8,9,10,11,12},1),{5,4,3,2,9,8,7,6,5,4,3,2}),11)),VALUE(MID(P782,14,1))=IF(MOD(SUMPRODUCT(--MID(P782,{1,2,3,4,5,6,7,8,9,10,11,12,13},1),{6,5,4,3,2,9,8,7,6,5,4,3,2}),11)&lt;2,0,11-MOD(SUMPRODUCT(--MID(P782,{1,2,3,4,5,6,7,8,9,10,11,12,13},1),{6,5,4,3,2,9,8,7,6,5,4,3,2}),11))),"OK","ERRO: dígito verificador")))))</f>
      </c>
      <c r="R782" s="6">
        <f>IF(P782="","",IF(COUNTIF($P$2:$P$1001,P782)&gt;1,"DUPLICADO","OK"))</f>
      </c>
      <c r="S782" s="6">
        <f>IF(AND(J782="",K782=""),"vazio",IF(AND(OR(J782="",LEN(SUBSTITUTE(SUBSTITUTE(SUBSTITUTE(SUBSTITUTE(SUBSTITUTE(SUBSTITUTE(SUBSTITUTE(TRIM(J782),".",""),"/",""),"-","")," ",""),"(",""),")",""),"+",""))=10,LEN(SUBSTITUTE(SUBSTITUTE(SUBSTITUTE(SUBSTITUTE(SUBSTITUTE(SUBSTITUTE(SUBSTITUTE(TRIM(J782),".",""),"/",""),"-","")," ",""),"(",""),")",""),"+",""))=11),OR(K782="",LEN(SUBSTITUTE(SUBSTITUTE(SUBSTITUTE(SUBSTITUTE(SUBSTITUTE(SUBSTITUTE(SUBSTITUTE(TRIM(K782),".",""),"/",""),"-","")," ",""),"(",""),")",""),"+",""))=10,LEN(SUBSTITUTE(SUBSTITUTE(SUBSTITUTE(SUBSTITUTE(SUBSTITUTE(SUBSTITUTE(SUBSTITUTE(TRIM(K782),".",""),"/",""),"-","")," ",""),"(",""),")",""),"+",""))=11)),"OK","ERRO: use DDD + número (10 ou 11 dígitos)"))</f>
      </c>
      <c r="T782" s="6">
        <f>IF(L782="","vazio",IF(AND(ISNUMBER(FIND("@",L782)),ISNUMBER(FIND(".",MID(L782,FIND("@",L782),99))),NOT(ISNUMBER(FIND(" ",TRIM(L782)))),NOT(ISNUMBER(FIND(";",L782))),NOT(ISNUMBER(FIND(",",L782)))),"OK","ERRO: um e-mail válido por linha"))</f>
      </c>
      <c r="U782" s="6">
        <f>IF(COUNTA(A782:O782)=0,"",IF(AND(B782&lt;&gt;"",C782&lt;&gt;"",D782&lt;&gt;"",E782&lt;&gt;"",H782&lt;&gt;"",OR(J782&lt;&gt;"",L782&lt;&gt;"")),"OK","ERRO: faltam "&amp;IF(B782="","Proprietário; ","")&amp;IF(C782="","Origem; ","")&amp;IF(D782="","CNPJ; ","")&amp;IF(E782="","Razão Social; ","")&amp;IF(H782="","Sobrenome; ","")&amp;IF(AND(J782="",L782=""),"telefone ou e-mail; ","")))</f>
      </c>
      <c r="V782" s="6">
        <f>IF(COUNTA(A782:O782)=0,"",IF(AND(Q782="OK",R782="OK",LEFT(S782,4)&lt;&gt;"ERRO",LEFT(T782,4)&lt;&gt;"ERRO",U782="OK"),"OK","REVISAR"))</f>
      </c>
    </row>
    <row r="783">
      <c r="A783" s="4"/>
      <c r="B783" s="5"/>
      <c r="C783" s="5"/>
      <c r="D783" s="5"/>
      <c r="E783" s="5"/>
      <c r="F783" s="4"/>
      <c r="G783" s="4"/>
      <c r="H783" s="5"/>
      <c r="I783" s="4"/>
      <c r="J783" s="4"/>
      <c r="K783" s="4"/>
      <c r="L783" s="4"/>
      <c r="M783" s="4"/>
      <c r="N783" s="4"/>
      <c r="O783" s="4"/>
      <c r="P783" s="6">
        <f>IF(D783="","",SUBSTITUTE(SUBSTITUTE(SUBSTITUTE(SUBSTITUTE(SUBSTITUTE(SUBSTITUTE(SUBSTITUTE(TRIM(D783),".",""),"/",""),"-","")," ",""),"(",""),")",""),"+",""))</f>
      </c>
      <c r="Q783" s="6">
        <f>IF(P783="","",IF(LEN(P783)&lt;&gt;14,"ERRO: "&amp;LEN(P783)&amp;" dígitos",IF(NOT(ISNUMBER(VALUE(P783))),"ERRO: não numérico",IF(LEN(SUBSTITUTE(P783,LEFT(P783,1),""))=0,"ERRO: dígitos repetidos",IF(AND(VALUE(MID(P783,13,1))=IF(MOD(SUMPRODUCT(--MID(P783,{1,2,3,4,5,6,7,8,9,10,11,12},1),{5,4,3,2,9,8,7,6,5,4,3,2}),11)&lt;2,0,11-MOD(SUMPRODUCT(--MID(P783,{1,2,3,4,5,6,7,8,9,10,11,12},1),{5,4,3,2,9,8,7,6,5,4,3,2}),11)),VALUE(MID(P783,14,1))=IF(MOD(SUMPRODUCT(--MID(P783,{1,2,3,4,5,6,7,8,9,10,11,12,13},1),{6,5,4,3,2,9,8,7,6,5,4,3,2}),11)&lt;2,0,11-MOD(SUMPRODUCT(--MID(P783,{1,2,3,4,5,6,7,8,9,10,11,12,13},1),{6,5,4,3,2,9,8,7,6,5,4,3,2}),11))),"OK","ERRO: dígito verificador")))))</f>
      </c>
      <c r="R783" s="6">
        <f>IF(P783="","",IF(COUNTIF($P$2:$P$1001,P783)&gt;1,"DUPLICADO","OK"))</f>
      </c>
      <c r="S783" s="6">
        <f>IF(AND(J783="",K783=""),"vazio",IF(AND(OR(J783="",LEN(SUBSTITUTE(SUBSTITUTE(SUBSTITUTE(SUBSTITUTE(SUBSTITUTE(SUBSTITUTE(SUBSTITUTE(TRIM(J783),".",""),"/",""),"-","")," ",""),"(",""),")",""),"+",""))=10,LEN(SUBSTITUTE(SUBSTITUTE(SUBSTITUTE(SUBSTITUTE(SUBSTITUTE(SUBSTITUTE(SUBSTITUTE(TRIM(J783),".",""),"/",""),"-","")," ",""),"(",""),")",""),"+",""))=11),OR(K783="",LEN(SUBSTITUTE(SUBSTITUTE(SUBSTITUTE(SUBSTITUTE(SUBSTITUTE(SUBSTITUTE(SUBSTITUTE(TRIM(K783),".",""),"/",""),"-","")," ",""),"(",""),")",""),"+",""))=10,LEN(SUBSTITUTE(SUBSTITUTE(SUBSTITUTE(SUBSTITUTE(SUBSTITUTE(SUBSTITUTE(SUBSTITUTE(TRIM(K783),".",""),"/",""),"-","")," ",""),"(",""),")",""),"+",""))=11)),"OK","ERRO: use DDD + número (10 ou 11 dígitos)"))</f>
      </c>
      <c r="T783" s="6">
        <f>IF(L783="","vazio",IF(AND(ISNUMBER(FIND("@",L783)),ISNUMBER(FIND(".",MID(L783,FIND("@",L783),99))),NOT(ISNUMBER(FIND(" ",TRIM(L783)))),NOT(ISNUMBER(FIND(";",L783))),NOT(ISNUMBER(FIND(",",L783)))),"OK","ERRO: um e-mail válido por linha"))</f>
      </c>
      <c r="U783" s="6">
        <f>IF(COUNTA(A783:O783)=0,"",IF(AND(B783&lt;&gt;"",C783&lt;&gt;"",D783&lt;&gt;"",E783&lt;&gt;"",H783&lt;&gt;"",OR(J783&lt;&gt;"",L783&lt;&gt;"")),"OK","ERRO: faltam "&amp;IF(B783="","Proprietário; ","")&amp;IF(C783="","Origem; ","")&amp;IF(D783="","CNPJ; ","")&amp;IF(E783="","Razão Social; ","")&amp;IF(H783="","Sobrenome; ","")&amp;IF(AND(J783="",L783=""),"telefone ou e-mail; ","")))</f>
      </c>
      <c r="V783" s="6">
        <f>IF(COUNTA(A783:O783)=0,"",IF(AND(Q783="OK",R783="OK",LEFT(S783,4)&lt;&gt;"ERRO",LEFT(T783,4)&lt;&gt;"ERRO",U783="OK"),"OK","REVISAR"))</f>
      </c>
    </row>
    <row r="784">
      <c r="A784" s="4"/>
      <c r="B784" s="5"/>
      <c r="C784" s="5"/>
      <c r="D784" s="5"/>
      <c r="E784" s="5"/>
      <c r="F784" s="4"/>
      <c r="G784" s="4"/>
      <c r="H784" s="5"/>
      <c r="I784" s="4"/>
      <c r="J784" s="4"/>
      <c r="K784" s="4"/>
      <c r="L784" s="4"/>
      <c r="M784" s="4"/>
      <c r="N784" s="4"/>
      <c r="O784" s="4"/>
      <c r="P784" s="6">
        <f>IF(D784="","",SUBSTITUTE(SUBSTITUTE(SUBSTITUTE(SUBSTITUTE(SUBSTITUTE(SUBSTITUTE(SUBSTITUTE(TRIM(D784),".",""),"/",""),"-","")," ",""),"(",""),")",""),"+",""))</f>
      </c>
      <c r="Q784" s="6">
        <f>IF(P784="","",IF(LEN(P784)&lt;&gt;14,"ERRO: "&amp;LEN(P784)&amp;" dígitos",IF(NOT(ISNUMBER(VALUE(P784))),"ERRO: não numérico",IF(LEN(SUBSTITUTE(P784,LEFT(P784,1),""))=0,"ERRO: dígitos repetidos",IF(AND(VALUE(MID(P784,13,1))=IF(MOD(SUMPRODUCT(--MID(P784,{1,2,3,4,5,6,7,8,9,10,11,12},1),{5,4,3,2,9,8,7,6,5,4,3,2}),11)&lt;2,0,11-MOD(SUMPRODUCT(--MID(P784,{1,2,3,4,5,6,7,8,9,10,11,12},1),{5,4,3,2,9,8,7,6,5,4,3,2}),11)),VALUE(MID(P784,14,1))=IF(MOD(SUMPRODUCT(--MID(P784,{1,2,3,4,5,6,7,8,9,10,11,12,13},1),{6,5,4,3,2,9,8,7,6,5,4,3,2}),11)&lt;2,0,11-MOD(SUMPRODUCT(--MID(P784,{1,2,3,4,5,6,7,8,9,10,11,12,13},1),{6,5,4,3,2,9,8,7,6,5,4,3,2}),11))),"OK","ERRO: dígito verificador")))))</f>
      </c>
      <c r="R784" s="6">
        <f>IF(P784="","",IF(COUNTIF($P$2:$P$1001,P784)&gt;1,"DUPLICADO","OK"))</f>
      </c>
      <c r="S784" s="6">
        <f>IF(AND(J784="",K784=""),"vazio",IF(AND(OR(J784="",LEN(SUBSTITUTE(SUBSTITUTE(SUBSTITUTE(SUBSTITUTE(SUBSTITUTE(SUBSTITUTE(SUBSTITUTE(TRIM(J784),".",""),"/",""),"-","")," ",""),"(",""),")",""),"+",""))=10,LEN(SUBSTITUTE(SUBSTITUTE(SUBSTITUTE(SUBSTITUTE(SUBSTITUTE(SUBSTITUTE(SUBSTITUTE(TRIM(J784),".",""),"/",""),"-","")," ",""),"(",""),")",""),"+",""))=11),OR(K784="",LEN(SUBSTITUTE(SUBSTITUTE(SUBSTITUTE(SUBSTITUTE(SUBSTITUTE(SUBSTITUTE(SUBSTITUTE(TRIM(K784),".",""),"/",""),"-","")," ",""),"(",""),")",""),"+",""))=10,LEN(SUBSTITUTE(SUBSTITUTE(SUBSTITUTE(SUBSTITUTE(SUBSTITUTE(SUBSTITUTE(SUBSTITUTE(TRIM(K784),".",""),"/",""),"-","")," ",""),"(",""),")",""),"+",""))=11)),"OK","ERRO: use DDD + número (10 ou 11 dígitos)"))</f>
      </c>
      <c r="T784" s="6">
        <f>IF(L784="","vazio",IF(AND(ISNUMBER(FIND("@",L784)),ISNUMBER(FIND(".",MID(L784,FIND("@",L784),99))),NOT(ISNUMBER(FIND(" ",TRIM(L784)))),NOT(ISNUMBER(FIND(";",L784))),NOT(ISNUMBER(FIND(",",L784)))),"OK","ERRO: um e-mail válido por linha"))</f>
      </c>
      <c r="U784" s="6">
        <f>IF(COUNTA(A784:O784)=0,"",IF(AND(B784&lt;&gt;"",C784&lt;&gt;"",D784&lt;&gt;"",E784&lt;&gt;"",H784&lt;&gt;"",OR(J784&lt;&gt;"",L784&lt;&gt;"")),"OK","ERRO: faltam "&amp;IF(B784="","Proprietário; ","")&amp;IF(C784="","Origem; ","")&amp;IF(D784="","CNPJ; ","")&amp;IF(E784="","Razão Social; ","")&amp;IF(H784="","Sobrenome; ","")&amp;IF(AND(J784="",L784=""),"telefone ou e-mail; ","")))</f>
      </c>
      <c r="V784" s="6">
        <f>IF(COUNTA(A784:O784)=0,"",IF(AND(Q784="OK",R784="OK",LEFT(S784,4)&lt;&gt;"ERRO",LEFT(T784,4)&lt;&gt;"ERRO",U784="OK"),"OK","REVISAR"))</f>
      </c>
    </row>
    <row r="785">
      <c r="A785" s="4"/>
      <c r="B785" s="5"/>
      <c r="C785" s="5"/>
      <c r="D785" s="5"/>
      <c r="E785" s="5"/>
      <c r="F785" s="4"/>
      <c r="G785" s="4"/>
      <c r="H785" s="5"/>
      <c r="I785" s="4"/>
      <c r="J785" s="4"/>
      <c r="K785" s="4"/>
      <c r="L785" s="4"/>
      <c r="M785" s="4"/>
      <c r="N785" s="4"/>
      <c r="O785" s="4"/>
      <c r="P785" s="6">
        <f>IF(D785="","",SUBSTITUTE(SUBSTITUTE(SUBSTITUTE(SUBSTITUTE(SUBSTITUTE(SUBSTITUTE(SUBSTITUTE(TRIM(D785),".",""),"/",""),"-","")," ",""),"(",""),")",""),"+",""))</f>
      </c>
      <c r="Q785" s="6">
        <f>IF(P785="","",IF(LEN(P785)&lt;&gt;14,"ERRO: "&amp;LEN(P785)&amp;" dígitos",IF(NOT(ISNUMBER(VALUE(P785))),"ERRO: não numérico",IF(LEN(SUBSTITUTE(P785,LEFT(P785,1),""))=0,"ERRO: dígitos repetidos",IF(AND(VALUE(MID(P785,13,1))=IF(MOD(SUMPRODUCT(--MID(P785,{1,2,3,4,5,6,7,8,9,10,11,12},1),{5,4,3,2,9,8,7,6,5,4,3,2}),11)&lt;2,0,11-MOD(SUMPRODUCT(--MID(P785,{1,2,3,4,5,6,7,8,9,10,11,12},1),{5,4,3,2,9,8,7,6,5,4,3,2}),11)),VALUE(MID(P785,14,1))=IF(MOD(SUMPRODUCT(--MID(P785,{1,2,3,4,5,6,7,8,9,10,11,12,13},1),{6,5,4,3,2,9,8,7,6,5,4,3,2}),11)&lt;2,0,11-MOD(SUMPRODUCT(--MID(P785,{1,2,3,4,5,6,7,8,9,10,11,12,13},1),{6,5,4,3,2,9,8,7,6,5,4,3,2}),11))),"OK","ERRO: dígito verificador")))))</f>
      </c>
      <c r="R785" s="6">
        <f>IF(P785="","",IF(COUNTIF($P$2:$P$1001,P785)&gt;1,"DUPLICADO","OK"))</f>
      </c>
      <c r="S785" s="6">
        <f>IF(AND(J785="",K785=""),"vazio",IF(AND(OR(J785="",LEN(SUBSTITUTE(SUBSTITUTE(SUBSTITUTE(SUBSTITUTE(SUBSTITUTE(SUBSTITUTE(SUBSTITUTE(TRIM(J785),".",""),"/",""),"-","")," ",""),"(",""),")",""),"+",""))=10,LEN(SUBSTITUTE(SUBSTITUTE(SUBSTITUTE(SUBSTITUTE(SUBSTITUTE(SUBSTITUTE(SUBSTITUTE(TRIM(J785),".",""),"/",""),"-","")," ",""),"(",""),")",""),"+",""))=11),OR(K785="",LEN(SUBSTITUTE(SUBSTITUTE(SUBSTITUTE(SUBSTITUTE(SUBSTITUTE(SUBSTITUTE(SUBSTITUTE(TRIM(K785),".",""),"/",""),"-","")," ",""),"(",""),")",""),"+",""))=10,LEN(SUBSTITUTE(SUBSTITUTE(SUBSTITUTE(SUBSTITUTE(SUBSTITUTE(SUBSTITUTE(SUBSTITUTE(TRIM(K785),".",""),"/",""),"-","")," ",""),"(",""),")",""),"+",""))=11)),"OK","ERRO: use DDD + número (10 ou 11 dígitos)"))</f>
      </c>
      <c r="T785" s="6">
        <f>IF(L785="","vazio",IF(AND(ISNUMBER(FIND("@",L785)),ISNUMBER(FIND(".",MID(L785,FIND("@",L785),99))),NOT(ISNUMBER(FIND(" ",TRIM(L785)))),NOT(ISNUMBER(FIND(";",L785))),NOT(ISNUMBER(FIND(",",L785)))),"OK","ERRO: um e-mail válido por linha"))</f>
      </c>
      <c r="U785" s="6">
        <f>IF(COUNTA(A785:O785)=0,"",IF(AND(B785&lt;&gt;"",C785&lt;&gt;"",D785&lt;&gt;"",E785&lt;&gt;"",H785&lt;&gt;"",OR(J785&lt;&gt;"",L785&lt;&gt;"")),"OK","ERRO: faltam "&amp;IF(B785="","Proprietário; ","")&amp;IF(C785="","Origem; ","")&amp;IF(D785="","CNPJ; ","")&amp;IF(E785="","Razão Social; ","")&amp;IF(H785="","Sobrenome; ","")&amp;IF(AND(J785="",L785=""),"telefone ou e-mail; ","")))</f>
      </c>
      <c r="V785" s="6">
        <f>IF(COUNTA(A785:O785)=0,"",IF(AND(Q785="OK",R785="OK",LEFT(S785,4)&lt;&gt;"ERRO",LEFT(T785,4)&lt;&gt;"ERRO",U785="OK"),"OK","REVISAR"))</f>
      </c>
    </row>
    <row r="786">
      <c r="A786" s="4"/>
      <c r="B786" s="5"/>
      <c r="C786" s="5"/>
      <c r="D786" s="5"/>
      <c r="E786" s="5"/>
      <c r="F786" s="4"/>
      <c r="G786" s="4"/>
      <c r="H786" s="5"/>
      <c r="I786" s="4"/>
      <c r="J786" s="4"/>
      <c r="K786" s="4"/>
      <c r="L786" s="4"/>
      <c r="M786" s="4"/>
      <c r="N786" s="4"/>
      <c r="O786" s="4"/>
      <c r="P786" s="6">
        <f>IF(D786="","",SUBSTITUTE(SUBSTITUTE(SUBSTITUTE(SUBSTITUTE(SUBSTITUTE(SUBSTITUTE(SUBSTITUTE(TRIM(D786),".",""),"/",""),"-","")," ",""),"(",""),")",""),"+",""))</f>
      </c>
      <c r="Q786" s="6">
        <f>IF(P786="","",IF(LEN(P786)&lt;&gt;14,"ERRO: "&amp;LEN(P786)&amp;" dígitos",IF(NOT(ISNUMBER(VALUE(P786))),"ERRO: não numérico",IF(LEN(SUBSTITUTE(P786,LEFT(P786,1),""))=0,"ERRO: dígitos repetidos",IF(AND(VALUE(MID(P786,13,1))=IF(MOD(SUMPRODUCT(--MID(P786,{1,2,3,4,5,6,7,8,9,10,11,12},1),{5,4,3,2,9,8,7,6,5,4,3,2}),11)&lt;2,0,11-MOD(SUMPRODUCT(--MID(P786,{1,2,3,4,5,6,7,8,9,10,11,12},1),{5,4,3,2,9,8,7,6,5,4,3,2}),11)),VALUE(MID(P786,14,1))=IF(MOD(SUMPRODUCT(--MID(P786,{1,2,3,4,5,6,7,8,9,10,11,12,13},1),{6,5,4,3,2,9,8,7,6,5,4,3,2}),11)&lt;2,0,11-MOD(SUMPRODUCT(--MID(P786,{1,2,3,4,5,6,7,8,9,10,11,12,13},1),{6,5,4,3,2,9,8,7,6,5,4,3,2}),11))),"OK","ERRO: dígito verificador")))))</f>
      </c>
      <c r="R786" s="6">
        <f>IF(P786="","",IF(COUNTIF($P$2:$P$1001,P786)&gt;1,"DUPLICADO","OK"))</f>
      </c>
      <c r="S786" s="6">
        <f>IF(AND(J786="",K786=""),"vazio",IF(AND(OR(J786="",LEN(SUBSTITUTE(SUBSTITUTE(SUBSTITUTE(SUBSTITUTE(SUBSTITUTE(SUBSTITUTE(SUBSTITUTE(TRIM(J786),".",""),"/",""),"-","")," ",""),"(",""),")",""),"+",""))=10,LEN(SUBSTITUTE(SUBSTITUTE(SUBSTITUTE(SUBSTITUTE(SUBSTITUTE(SUBSTITUTE(SUBSTITUTE(TRIM(J786),".",""),"/",""),"-","")," ",""),"(",""),")",""),"+",""))=11),OR(K786="",LEN(SUBSTITUTE(SUBSTITUTE(SUBSTITUTE(SUBSTITUTE(SUBSTITUTE(SUBSTITUTE(SUBSTITUTE(TRIM(K786),".",""),"/",""),"-","")," ",""),"(",""),")",""),"+",""))=10,LEN(SUBSTITUTE(SUBSTITUTE(SUBSTITUTE(SUBSTITUTE(SUBSTITUTE(SUBSTITUTE(SUBSTITUTE(TRIM(K786),".",""),"/",""),"-","")," ",""),"(",""),")",""),"+",""))=11)),"OK","ERRO: use DDD + número (10 ou 11 dígitos)"))</f>
      </c>
      <c r="T786" s="6">
        <f>IF(L786="","vazio",IF(AND(ISNUMBER(FIND("@",L786)),ISNUMBER(FIND(".",MID(L786,FIND("@",L786),99))),NOT(ISNUMBER(FIND(" ",TRIM(L786)))),NOT(ISNUMBER(FIND(";",L786))),NOT(ISNUMBER(FIND(",",L786)))),"OK","ERRO: um e-mail válido por linha"))</f>
      </c>
      <c r="U786" s="6">
        <f>IF(COUNTA(A786:O786)=0,"",IF(AND(B786&lt;&gt;"",C786&lt;&gt;"",D786&lt;&gt;"",E786&lt;&gt;"",H786&lt;&gt;"",OR(J786&lt;&gt;"",L786&lt;&gt;"")),"OK","ERRO: faltam "&amp;IF(B786="","Proprietário; ","")&amp;IF(C786="","Origem; ","")&amp;IF(D786="","CNPJ; ","")&amp;IF(E786="","Razão Social; ","")&amp;IF(H786="","Sobrenome; ","")&amp;IF(AND(J786="",L786=""),"telefone ou e-mail; ","")))</f>
      </c>
      <c r="V786" s="6">
        <f>IF(COUNTA(A786:O786)=0,"",IF(AND(Q786="OK",R786="OK",LEFT(S786,4)&lt;&gt;"ERRO",LEFT(T786,4)&lt;&gt;"ERRO",U786="OK"),"OK","REVISAR"))</f>
      </c>
    </row>
    <row r="787">
      <c r="A787" s="4"/>
      <c r="B787" s="5"/>
      <c r="C787" s="5"/>
      <c r="D787" s="5"/>
      <c r="E787" s="5"/>
      <c r="F787" s="4"/>
      <c r="G787" s="4"/>
      <c r="H787" s="5"/>
      <c r="I787" s="4"/>
      <c r="J787" s="4"/>
      <c r="K787" s="4"/>
      <c r="L787" s="4"/>
      <c r="M787" s="4"/>
      <c r="N787" s="4"/>
      <c r="O787" s="4"/>
      <c r="P787" s="6">
        <f>IF(D787="","",SUBSTITUTE(SUBSTITUTE(SUBSTITUTE(SUBSTITUTE(SUBSTITUTE(SUBSTITUTE(SUBSTITUTE(TRIM(D787),".",""),"/",""),"-","")," ",""),"(",""),")",""),"+",""))</f>
      </c>
      <c r="Q787" s="6">
        <f>IF(P787="","",IF(LEN(P787)&lt;&gt;14,"ERRO: "&amp;LEN(P787)&amp;" dígitos",IF(NOT(ISNUMBER(VALUE(P787))),"ERRO: não numérico",IF(LEN(SUBSTITUTE(P787,LEFT(P787,1),""))=0,"ERRO: dígitos repetidos",IF(AND(VALUE(MID(P787,13,1))=IF(MOD(SUMPRODUCT(--MID(P787,{1,2,3,4,5,6,7,8,9,10,11,12},1),{5,4,3,2,9,8,7,6,5,4,3,2}),11)&lt;2,0,11-MOD(SUMPRODUCT(--MID(P787,{1,2,3,4,5,6,7,8,9,10,11,12},1),{5,4,3,2,9,8,7,6,5,4,3,2}),11)),VALUE(MID(P787,14,1))=IF(MOD(SUMPRODUCT(--MID(P787,{1,2,3,4,5,6,7,8,9,10,11,12,13},1),{6,5,4,3,2,9,8,7,6,5,4,3,2}),11)&lt;2,0,11-MOD(SUMPRODUCT(--MID(P787,{1,2,3,4,5,6,7,8,9,10,11,12,13},1),{6,5,4,3,2,9,8,7,6,5,4,3,2}),11))),"OK","ERRO: dígito verificador")))))</f>
      </c>
      <c r="R787" s="6">
        <f>IF(P787="","",IF(COUNTIF($P$2:$P$1001,P787)&gt;1,"DUPLICADO","OK"))</f>
      </c>
      <c r="S787" s="6">
        <f>IF(AND(J787="",K787=""),"vazio",IF(AND(OR(J787="",LEN(SUBSTITUTE(SUBSTITUTE(SUBSTITUTE(SUBSTITUTE(SUBSTITUTE(SUBSTITUTE(SUBSTITUTE(TRIM(J787),".",""),"/",""),"-","")," ",""),"(",""),")",""),"+",""))=10,LEN(SUBSTITUTE(SUBSTITUTE(SUBSTITUTE(SUBSTITUTE(SUBSTITUTE(SUBSTITUTE(SUBSTITUTE(TRIM(J787),".",""),"/",""),"-","")," ",""),"(",""),")",""),"+",""))=11),OR(K787="",LEN(SUBSTITUTE(SUBSTITUTE(SUBSTITUTE(SUBSTITUTE(SUBSTITUTE(SUBSTITUTE(SUBSTITUTE(TRIM(K787),".",""),"/",""),"-","")," ",""),"(",""),")",""),"+",""))=10,LEN(SUBSTITUTE(SUBSTITUTE(SUBSTITUTE(SUBSTITUTE(SUBSTITUTE(SUBSTITUTE(SUBSTITUTE(TRIM(K787),".",""),"/",""),"-","")," ",""),"(",""),")",""),"+",""))=11)),"OK","ERRO: use DDD + número (10 ou 11 dígitos)"))</f>
      </c>
      <c r="T787" s="6">
        <f>IF(L787="","vazio",IF(AND(ISNUMBER(FIND("@",L787)),ISNUMBER(FIND(".",MID(L787,FIND("@",L787),99))),NOT(ISNUMBER(FIND(" ",TRIM(L787)))),NOT(ISNUMBER(FIND(";",L787))),NOT(ISNUMBER(FIND(",",L787)))),"OK","ERRO: um e-mail válido por linha"))</f>
      </c>
      <c r="U787" s="6">
        <f>IF(COUNTA(A787:O787)=0,"",IF(AND(B787&lt;&gt;"",C787&lt;&gt;"",D787&lt;&gt;"",E787&lt;&gt;"",H787&lt;&gt;"",OR(J787&lt;&gt;"",L787&lt;&gt;"")),"OK","ERRO: faltam "&amp;IF(B787="","Proprietário; ","")&amp;IF(C787="","Origem; ","")&amp;IF(D787="","CNPJ; ","")&amp;IF(E787="","Razão Social; ","")&amp;IF(H787="","Sobrenome; ","")&amp;IF(AND(J787="",L787=""),"telefone ou e-mail; ","")))</f>
      </c>
      <c r="V787" s="6">
        <f>IF(COUNTA(A787:O787)=0,"",IF(AND(Q787="OK",R787="OK",LEFT(S787,4)&lt;&gt;"ERRO",LEFT(T787,4)&lt;&gt;"ERRO",U787="OK"),"OK","REVISAR"))</f>
      </c>
    </row>
    <row r="788">
      <c r="A788" s="4"/>
      <c r="B788" s="5"/>
      <c r="C788" s="5"/>
      <c r="D788" s="5"/>
      <c r="E788" s="5"/>
      <c r="F788" s="4"/>
      <c r="G788" s="4"/>
      <c r="H788" s="5"/>
      <c r="I788" s="4"/>
      <c r="J788" s="4"/>
      <c r="K788" s="4"/>
      <c r="L788" s="4"/>
      <c r="M788" s="4"/>
      <c r="N788" s="4"/>
      <c r="O788" s="4"/>
      <c r="P788" s="6">
        <f>IF(D788="","",SUBSTITUTE(SUBSTITUTE(SUBSTITUTE(SUBSTITUTE(SUBSTITUTE(SUBSTITUTE(SUBSTITUTE(TRIM(D788),".",""),"/",""),"-","")," ",""),"(",""),")",""),"+",""))</f>
      </c>
      <c r="Q788" s="6">
        <f>IF(P788="","",IF(LEN(P788)&lt;&gt;14,"ERRO: "&amp;LEN(P788)&amp;" dígitos",IF(NOT(ISNUMBER(VALUE(P788))),"ERRO: não numérico",IF(LEN(SUBSTITUTE(P788,LEFT(P788,1),""))=0,"ERRO: dígitos repetidos",IF(AND(VALUE(MID(P788,13,1))=IF(MOD(SUMPRODUCT(--MID(P788,{1,2,3,4,5,6,7,8,9,10,11,12},1),{5,4,3,2,9,8,7,6,5,4,3,2}),11)&lt;2,0,11-MOD(SUMPRODUCT(--MID(P788,{1,2,3,4,5,6,7,8,9,10,11,12},1),{5,4,3,2,9,8,7,6,5,4,3,2}),11)),VALUE(MID(P788,14,1))=IF(MOD(SUMPRODUCT(--MID(P788,{1,2,3,4,5,6,7,8,9,10,11,12,13},1),{6,5,4,3,2,9,8,7,6,5,4,3,2}),11)&lt;2,0,11-MOD(SUMPRODUCT(--MID(P788,{1,2,3,4,5,6,7,8,9,10,11,12,13},1),{6,5,4,3,2,9,8,7,6,5,4,3,2}),11))),"OK","ERRO: dígito verificador")))))</f>
      </c>
      <c r="R788" s="6">
        <f>IF(P788="","",IF(COUNTIF($P$2:$P$1001,P788)&gt;1,"DUPLICADO","OK"))</f>
      </c>
      <c r="S788" s="6">
        <f>IF(AND(J788="",K788=""),"vazio",IF(AND(OR(J788="",LEN(SUBSTITUTE(SUBSTITUTE(SUBSTITUTE(SUBSTITUTE(SUBSTITUTE(SUBSTITUTE(SUBSTITUTE(TRIM(J788),".",""),"/",""),"-","")," ",""),"(",""),")",""),"+",""))=10,LEN(SUBSTITUTE(SUBSTITUTE(SUBSTITUTE(SUBSTITUTE(SUBSTITUTE(SUBSTITUTE(SUBSTITUTE(TRIM(J788),".",""),"/",""),"-","")," ",""),"(",""),")",""),"+",""))=11),OR(K788="",LEN(SUBSTITUTE(SUBSTITUTE(SUBSTITUTE(SUBSTITUTE(SUBSTITUTE(SUBSTITUTE(SUBSTITUTE(TRIM(K788),".",""),"/",""),"-","")," ",""),"(",""),")",""),"+",""))=10,LEN(SUBSTITUTE(SUBSTITUTE(SUBSTITUTE(SUBSTITUTE(SUBSTITUTE(SUBSTITUTE(SUBSTITUTE(TRIM(K788),".",""),"/",""),"-","")," ",""),"(",""),")",""),"+",""))=11)),"OK","ERRO: use DDD + número (10 ou 11 dígitos)"))</f>
      </c>
      <c r="T788" s="6">
        <f>IF(L788="","vazio",IF(AND(ISNUMBER(FIND("@",L788)),ISNUMBER(FIND(".",MID(L788,FIND("@",L788),99))),NOT(ISNUMBER(FIND(" ",TRIM(L788)))),NOT(ISNUMBER(FIND(";",L788))),NOT(ISNUMBER(FIND(",",L788)))),"OK","ERRO: um e-mail válido por linha"))</f>
      </c>
      <c r="U788" s="6">
        <f>IF(COUNTA(A788:O788)=0,"",IF(AND(B788&lt;&gt;"",C788&lt;&gt;"",D788&lt;&gt;"",E788&lt;&gt;"",H788&lt;&gt;"",OR(J788&lt;&gt;"",L788&lt;&gt;"")),"OK","ERRO: faltam "&amp;IF(B788="","Proprietário; ","")&amp;IF(C788="","Origem; ","")&amp;IF(D788="","CNPJ; ","")&amp;IF(E788="","Razão Social; ","")&amp;IF(H788="","Sobrenome; ","")&amp;IF(AND(J788="",L788=""),"telefone ou e-mail; ","")))</f>
      </c>
      <c r="V788" s="6">
        <f>IF(COUNTA(A788:O788)=0,"",IF(AND(Q788="OK",R788="OK",LEFT(S788,4)&lt;&gt;"ERRO",LEFT(T788,4)&lt;&gt;"ERRO",U788="OK"),"OK","REVISAR"))</f>
      </c>
    </row>
    <row r="789">
      <c r="A789" s="4"/>
      <c r="B789" s="5"/>
      <c r="C789" s="5"/>
      <c r="D789" s="5"/>
      <c r="E789" s="5"/>
      <c r="F789" s="4"/>
      <c r="G789" s="4"/>
      <c r="H789" s="5"/>
      <c r="I789" s="4"/>
      <c r="J789" s="4"/>
      <c r="K789" s="4"/>
      <c r="L789" s="4"/>
      <c r="M789" s="4"/>
      <c r="N789" s="4"/>
      <c r="O789" s="4"/>
      <c r="P789" s="6">
        <f>IF(D789="","",SUBSTITUTE(SUBSTITUTE(SUBSTITUTE(SUBSTITUTE(SUBSTITUTE(SUBSTITUTE(SUBSTITUTE(TRIM(D789),".",""),"/",""),"-","")," ",""),"(",""),")",""),"+",""))</f>
      </c>
      <c r="Q789" s="6">
        <f>IF(P789="","",IF(LEN(P789)&lt;&gt;14,"ERRO: "&amp;LEN(P789)&amp;" dígitos",IF(NOT(ISNUMBER(VALUE(P789))),"ERRO: não numérico",IF(LEN(SUBSTITUTE(P789,LEFT(P789,1),""))=0,"ERRO: dígitos repetidos",IF(AND(VALUE(MID(P789,13,1))=IF(MOD(SUMPRODUCT(--MID(P789,{1,2,3,4,5,6,7,8,9,10,11,12},1),{5,4,3,2,9,8,7,6,5,4,3,2}),11)&lt;2,0,11-MOD(SUMPRODUCT(--MID(P789,{1,2,3,4,5,6,7,8,9,10,11,12},1),{5,4,3,2,9,8,7,6,5,4,3,2}),11)),VALUE(MID(P789,14,1))=IF(MOD(SUMPRODUCT(--MID(P789,{1,2,3,4,5,6,7,8,9,10,11,12,13},1),{6,5,4,3,2,9,8,7,6,5,4,3,2}),11)&lt;2,0,11-MOD(SUMPRODUCT(--MID(P789,{1,2,3,4,5,6,7,8,9,10,11,12,13},1),{6,5,4,3,2,9,8,7,6,5,4,3,2}),11))),"OK","ERRO: dígito verificador")))))</f>
      </c>
      <c r="R789" s="6">
        <f>IF(P789="","",IF(COUNTIF($P$2:$P$1001,P789)&gt;1,"DUPLICADO","OK"))</f>
      </c>
      <c r="S789" s="6">
        <f>IF(AND(J789="",K789=""),"vazio",IF(AND(OR(J789="",LEN(SUBSTITUTE(SUBSTITUTE(SUBSTITUTE(SUBSTITUTE(SUBSTITUTE(SUBSTITUTE(SUBSTITUTE(TRIM(J789),".",""),"/",""),"-","")," ",""),"(",""),")",""),"+",""))=10,LEN(SUBSTITUTE(SUBSTITUTE(SUBSTITUTE(SUBSTITUTE(SUBSTITUTE(SUBSTITUTE(SUBSTITUTE(TRIM(J789),".",""),"/",""),"-","")," ",""),"(",""),")",""),"+",""))=11),OR(K789="",LEN(SUBSTITUTE(SUBSTITUTE(SUBSTITUTE(SUBSTITUTE(SUBSTITUTE(SUBSTITUTE(SUBSTITUTE(TRIM(K789),".",""),"/",""),"-","")," ",""),"(",""),")",""),"+",""))=10,LEN(SUBSTITUTE(SUBSTITUTE(SUBSTITUTE(SUBSTITUTE(SUBSTITUTE(SUBSTITUTE(SUBSTITUTE(TRIM(K789),".",""),"/",""),"-","")," ",""),"(",""),")",""),"+",""))=11)),"OK","ERRO: use DDD + número (10 ou 11 dígitos)"))</f>
      </c>
      <c r="T789" s="6">
        <f>IF(L789="","vazio",IF(AND(ISNUMBER(FIND("@",L789)),ISNUMBER(FIND(".",MID(L789,FIND("@",L789),99))),NOT(ISNUMBER(FIND(" ",TRIM(L789)))),NOT(ISNUMBER(FIND(";",L789))),NOT(ISNUMBER(FIND(",",L789)))),"OK","ERRO: um e-mail válido por linha"))</f>
      </c>
      <c r="U789" s="6">
        <f>IF(COUNTA(A789:O789)=0,"",IF(AND(B789&lt;&gt;"",C789&lt;&gt;"",D789&lt;&gt;"",E789&lt;&gt;"",H789&lt;&gt;"",OR(J789&lt;&gt;"",L789&lt;&gt;"")),"OK","ERRO: faltam "&amp;IF(B789="","Proprietário; ","")&amp;IF(C789="","Origem; ","")&amp;IF(D789="","CNPJ; ","")&amp;IF(E789="","Razão Social; ","")&amp;IF(H789="","Sobrenome; ","")&amp;IF(AND(J789="",L789=""),"telefone ou e-mail; ","")))</f>
      </c>
      <c r="V789" s="6">
        <f>IF(COUNTA(A789:O789)=0,"",IF(AND(Q789="OK",R789="OK",LEFT(S789,4)&lt;&gt;"ERRO",LEFT(T789,4)&lt;&gt;"ERRO",U789="OK"),"OK","REVISAR"))</f>
      </c>
    </row>
    <row r="790">
      <c r="A790" s="4"/>
      <c r="B790" s="5"/>
      <c r="C790" s="5"/>
      <c r="D790" s="5"/>
      <c r="E790" s="5"/>
      <c r="F790" s="4"/>
      <c r="G790" s="4"/>
      <c r="H790" s="5"/>
      <c r="I790" s="4"/>
      <c r="J790" s="4"/>
      <c r="K790" s="4"/>
      <c r="L790" s="4"/>
      <c r="M790" s="4"/>
      <c r="N790" s="4"/>
      <c r="O790" s="4"/>
      <c r="P790" s="6">
        <f>IF(D790="","",SUBSTITUTE(SUBSTITUTE(SUBSTITUTE(SUBSTITUTE(SUBSTITUTE(SUBSTITUTE(SUBSTITUTE(TRIM(D790),".",""),"/",""),"-","")," ",""),"(",""),")",""),"+",""))</f>
      </c>
      <c r="Q790" s="6">
        <f>IF(P790="","",IF(LEN(P790)&lt;&gt;14,"ERRO: "&amp;LEN(P790)&amp;" dígitos",IF(NOT(ISNUMBER(VALUE(P790))),"ERRO: não numérico",IF(LEN(SUBSTITUTE(P790,LEFT(P790,1),""))=0,"ERRO: dígitos repetidos",IF(AND(VALUE(MID(P790,13,1))=IF(MOD(SUMPRODUCT(--MID(P790,{1,2,3,4,5,6,7,8,9,10,11,12},1),{5,4,3,2,9,8,7,6,5,4,3,2}),11)&lt;2,0,11-MOD(SUMPRODUCT(--MID(P790,{1,2,3,4,5,6,7,8,9,10,11,12},1),{5,4,3,2,9,8,7,6,5,4,3,2}),11)),VALUE(MID(P790,14,1))=IF(MOD(SUMPRODUCT(--MID(P790,{1,2,3,4,5,6,7,8,9,10,11,12,13},1),{6,5,4,3,2,9,8,7,6,5,4,3,2}),11)&lt;2,0,11-MOD(SUMPRODUCT(--MID(P790,{1,2,3,4,5,6,7,8,9,10,11,12,13},1),{6,5,4,3,2,9,8,7,6,5,4,3,2}),11))),"OK","ERRO: dígito verificador")))))</f>
      </c>
      <c r="R790" s="6">
        <f>IF(P790="","",IF(COUNTIF($P$2:$P$1001,P790)&gt;1,"DUPLICADO","OK"))</f>
      </c>
      <c r="S790" s="6">
        <f>IF(AND(J790="",K790=""),"vazio",IF(AND(OR(J790="",LEN(SUBSTITUTE(SUBSTITUTE(SUBSTITUTE(SUBSTITUTE(SUBSTITUTE(SUBSTITUTE(SUBSTITUTE(TRIM(J790),".",""),"/",""),"-","")," ",""),"(",""),")",""),"+",""))=10,LEN(SUBSTITUTE(SUBSTITUTE(SUBSTITUTE(SUBSTITUTE(SUBSTITUTE(SUBSTITUTE(SUBSTITUTE(TRIM(J790),".",""),"/",""),"-","")," ",""),"(",""),")",""),"+",""))=11),OR(K790="",LEN(SUBSTITUTE(SUBSTITUTE(SUBSTITUTE(SUBSTITUTE(SUBSTITUTE(SUBSTITUTE(SUBSTITUTE(TRIM(K790),".",""),"/",""),"-","")," ",""),"(",""),")",""),"+",""))=10,LEN(SUBSTITUTE(SUBSTITUTE(SUBSTITUTE(SUBSTITUTE(SUBSTITUTE(SUBSTITUTE(SUBSTITUTE(TRIM(K790),".",""),"/",""),"-","")," ",""),"(",""),")",""),"+",""))=11)),"OK","ERRO: use DDD + número (10 ou 11 dígitos)"))</f>
      </c>
      <c r="T790" s="6">
        <f>IF(L790="","vazio",IF(AND(ISNUMBER(FIND("@",L790)),ISNUMBER(FIND(".",MID(L790,FIND("@",L790),99))),NOT(ISNUMBER(FIND(" ",TRIM(L790)))),NOT(ISNUMBER(FIND(";",L790))),NOT(ISNUMBER(FIND(",",L790)))),"OK","ERRO: um e-mail válido por linha"))</f>
      </c>
      <c r="U790" s="6">
        <f>IF(COUNTA(A790:O790)=0,"",IF(AND(B790&lt;&gt;"",C790&lt;&gt;"",D790&lt;&gt;"",E790&lt;&gt;"",H790&lt;&gt;"",OR(J790&lt;&gt;"",L790&lt;&gt;"")),"OK","ERRO: faltam "&amp;IF(B790="","Proprietário; ","")&amp;IF(C790="","Origem; ","")&amp;IF(D790="","CNPJ; ","")&amp;IF(E790="","Razão Social; ","")&amp;IF(H790="","Sobrenome; ","")&amp;IF(AND(J790="",L790=""),"telefone ou e-mail; ","")))</f>
      </c>
      <c r="V790" s="6">
        <f>IF(COUNTA(A790:O790)=0,"",IF(AND(Q790="OK",R790="OK",LEFT(S790,4)&lt;&gt;"ERRO",LEFT(T790,4)&lt;&gt;"ERRO",U790="OK"),"OK","REVISAR"))</f>
      </c>
    </row>
    <row r="791">
      <c r="A791" s="4"/>
      <c r="B791" s="5"/>
      <c r="C791" s="5"/>
      <c r="D791" s="5"/>
      <c r="E791" s="5"/>
      <c r="F791" s="4"/>
      <c r="G791" s="4"/>
      <c r="H791" s="5"/>
      <c r="I791" s="4"/>
      <c r="J791" s="4"/>
      <c r="K791" s="4"/>
      <c r="L791" s="4"/>
      <c r="M791" s="4"/>
      <c r="N791" s="4"/>
      <c r="O791" s="4"/>
      <c r="P791" s="6">
        <f>IF(D791="","",SUBSTITUTE(SUBSTITUTE(SUBSTITUTE(SUBSTITUTE(SUBSTITUTE(SUBSTITUTE(SUBSTITUTE(TRIM(D791),".",""),"/",""),"-","")," ",""),"(",""),")",""),"+",""))</f>
      </c>
      <c r="Q791" s="6">
        <f>IF(P791="","",IF(LEN(P791)&lt;&gt;14,"ERRO: "&amp;LEN(P791)&amp;" dígitos",IF(NOT(ISNUMBER(VALUE(P791))),"ERRO: não numérico",IF(LEN(SUBSTITUTE(P791,LEFT(P791,1),""))=0,"ERRO: dígitos repetidos",IF(AND(VALUE(MID(P791,13,1))=IF(MOD(SUMPRODUCT(--MID(P791,{1,2,3,4,5,6,7,8,9,10,11,12},1),{5,4,3,2,9,8,7,6,5,4,3,2}),11)&lt;2,0,11-MOD(SUMPRODUCT(--MID(P791,{1,2,3,4,5,6,7,8,9,10,11,12},1),{5,4,3,2,9,8,7,6,5,4,3,2}),11)),VALUE(MID(P791,14,1))=IF(MOD(SUMPRODUCT(--MID(P791,{1,2,3,4,5,6,7,8,9,10,11,12,13},1),{6,5,4,3,2,9,8,7,6,5,4,3,2}),11)&lt;2,0,11-MOD(SUMPRODUCT(--MID(P791,{1,2,3,4,5,6,7,8,9,10,11,12,13},1),{6,5,4,3,2,9,8,7,6,5,4,3,2}),11))),"OK","ERRO: dígito verificador")))))</f>
      </c>
      <c r="R791" s="6">
        <f>IF(P791="","",IF(COUNTIF($P$2:$P$1001,P791)&gt;1,"DUPLICADO","OK"))</f>
      </c>
      <c r="S791" s="6">
        <f>IF(AND(J791="",K791=""),"vazio",IF(AND(OR(J791="",LEN(SUBSTITUTE(SUBSTITUTE(SUBSTITUTE(SUBSTITUTE(SUBSTITUTE(SUBSTITUTE(SUBSTITUTE(TRIM(J791),".",""),"/",""),"-","")," ",""),"(",""),")",""),"+",""))=10,LEN(SUBSTITUTE(SUBSTITUTE(SUBSTITUTE(SUBSTITUTE(SUBSTITUTE(SUBSTITUTE(SUBSTITUTE(TRIM(J791),".",""),"/",""),"-","")," ",""),"(",""),")",""),"+",""))=11),OR(K791="",LEN(SUBSTITUTE(SUBSTITUTE(SUBSTITUTE(SUBSTITUTE(SUBSTITUTE(SUBSTITUTE(SUBSTITUTE(TRIM(K791),".",""),"/",""),"-","")," ",""),"(",""),")",""),"+",""))=10,LEN(SUBSTITUTE(SUBSTITUTE(SUBSTITUTE(SUBSTITUTE(SUBSTITUTE(SUBSTITUTE(SUBSTITUTE(TRIM(K791),".",""),"/",""),"-","")," ",""),"(",""),")",""),"+",""))=11)),"OK","ERRO: use DDD + número (10 ou 11 dígitos)"))</f>
      </c>
      <c r="T791" s="6">
        <f>IF(L791="","vazio",IF(AND(ISNUMBER(FIND("@",L791)),ISNUMBER(FIND(".",MID(L791,FIND("@",L791),99))),NOT(ISNUMBER(FIND(" ",TRIM(L791)))),NOT(ISNUMBER(FIND(";",L791))),NOT(ISNUMBER(FIND(",",L791)))),"OK","ERRO: um e-mail válido por linha"))</f>
      </c>
      <c r="U791" s="6">
        <f>IF(COUNTA(A791:O791)=0,"",IF(AND(B791&lt;&gt;"",C791&lt;&gt;"",D791&lt;&gt;"",E791&lt;&gt;"",H791&lt;&gt;"",OR(J791&lt;&gt;"",L791&lt;&gt;"")),"OK","ERRO: faltam "&amp;IF(B791="","Proprietário; ","")&amp;IF(C791="","Origem; ","")&amp;IF(D791="","CNPJ; ","")&amp;IF(E791="","Razão Social; ","")&amp;IF(H791="","Sobrenome; ","")&amp;IF(AND(J791="",L791=""),"telefone ou e-mail; ","")))</f>
      </c>
      <c r="V791" s="6">
        <f>IF(COUNTA(A791:O791)=0,"",IF(AND(Q791="OK",R791="OK",LEFT(S791,4)&lt;&gt;"ERRO",LEFT(T791,4)&lt;&gt;"ERRO",U791="OK"),"OK","REVISAR"))</f>
      </c>
    </row>
    <row r="792">
      <c r="A792" s="4"/>
      <c r="B792" s="5"/>
      <c r="C792" s="5"/>
      <c r="D792" s="5"/>
      <c r="E792" s="5"/>
      <c r="F792" s="4"/>
      <c r="G792" s="4"/>
      <c r="H792" s="5"/>
      <c r="I792" s="4"/>
      <c r="J792" s="4"/>
      <c r="K792" s="4"/>
      <c r="L792" s="4"/>
      <c r="M792" s="4"/>
      <c r="N792" s="4"/>
      <c r="O792" s="4"/>
      <c r="P792" s="6">
        <f>IF(D792="","",SUBSTITUTE(SUBSTITUTE(SUBSTITUTE(SUBSTITUTE(SUBSTITUTE(SUBSTITUTE(SUBSTITUTE(TRIM(D792),".",""),"/",""),"-","")," ",""),"(",""),")",""),"+",""))</f>
      </c>
      <c r="Q792" s="6">
        <f>IF(P792="","",IF(LEN(P792)&lt;&gt;14,"ERRO: "&amp;LEN(P792)&amp;" dígitos",IF(NOT(ISNUMBER(VALUE(P792))),"ERRO: não numérico",IF(LEN(SUBSTITUTE(P792,LEFT(P792,1),""))=0,"ERRO: dígitos repetidos",IF(AND(VALUE(MID(P792,13,1))=IF(MOD(SUMPRODUCT(--MID(P792,{1,2,3,4,5,6,7,8,9,10,11,12},1),{5,4,3,2,9,8,7,6,5,4,3,2}),11)&lt;2,0,11-MOD(SUMPRODUCT(--MID(P792,{1,2,3,4,5,6,7,8,9,10,11,12},1),{5,4,3,2,9,8,7,6,5,4,3,2}),11)),VALUE(MID(P792,14,1))=IF(MOD(SUMPRODUCT(--MID(P792,{1,2,3,4,5,6,7,8,9,10,11,12,13},1),{6,5,4,3,2,9,8,7,6,5,4,3,2}),11)&lt;2,0,11-MOD(SUMPRODUCT(--MID(P792,{1,2,3,4,5,6,7,8,9,10,11,12,13},1),{6,5,4,3,2,9,8,7,6,5,4,3,2}),11))),"OK","ERRO: dígito verificador")))))</f>
      </c>
      <c r="R792" s="6">
        <f>IF(P792="","",IF(COUNTIF($P$2:$P$1001,P792)&gt;1,"DUPLICADO","OK"))</f>
      </c>
      <c r="S792" s="6">
        <f>IF(AND(J792="",K792=""),"vazio",IF(AND(OR(J792="",LEN(SUBSTITUTE(SUBSTITUTE(SUBSTITUTE(SUBSTITUTE(SUBSTITUTE(SUBSTITUTE(SUBSTITUTE(TRIM(J792),".",""),"/",""),"-","")," ",""),"(",""),")",""),"+",""))=10,LEN(SUBSTITUTE(SUBSTITUTE(SUBSTITUTE(SUBSTITUTE(SUBSTITUTE(SUBSTITUTE(SUBSTITUTE(TRIM(J792),".",""),"/",""),"-","")," ",""),"(",""),")",""),"+",""))=11),OR(K792="",LEN(SUBSTITUTE(SUBSTITUTE(SUBSTITUTE(SUBSTITUTE(SUBSTITUTE(SUBSTITUTE(SUBSTITUTE(TRIM(K792),".",""),"/",""),"-","")," ",""),"(",""),")",""),"+",""))=10,LEN(SUBSTITUTE(SUBSTITUTE(SUBSTITUTE(SUBSTITUTE(SUBSTITUTE(SUBSTITUTE(SUBSTITUTE(TRIM(K792),".",""),"/",""),"-","")," ",""),"(",""),")",""),"+",""))=11)),"OK","ERRO: use DDD + número (10 ou 11 dígitos)"))</f>
      </c>
      <c r="T792" s="6">
        <f>IF(L792="","vazio",IF(AND(ISNUMBER(FIND("@",L792)),ISNUMBER(FIND(".",MID(L792,FIND("@",L792),99))),NOT(ISNUMBER(FIND(" ",TRIM(L792)))),NOT(ISNUMBER(FIND(";",L792))),NOT(ISNUMBER(FIND(",",L792)))),"OK","ERRO: um e-mail válido por linha"))</f>
      </c>
      <c r="U792" s="6">
        <f>IF(COUNTA(A792:O792)=0,"",IF(AND(B792&lt;&gt;"",C792&lt;&gt;"",D792&lt;&gt;"",E792&lt;&gt;"",H792&lt;&gt;"",OR(J792&lt;&gt;"",L792&lt;&gt;"")),"OK","ERRO: faltam "&amp;IF(B792="","Proprietário; ","")&amp;IF(C792="","Origem; ","")&amp;IF(D792="","CNPJ; ","")&amp;IF(E792="","Razão Social; ","")&amp;IF(H792="","Sobrenome; ","")&amp;IF(AND(J792="",L792=""),"telefone ou e-mail; ","")))</f>
      </c>
      <c r="V792" s="6">
        <f>IF(COUNTA(A792:O792)=0,"",IF(AND(Q792="OK",R792="OK",LEFT(S792,4)&lt;&gt;"ERRO",LEFT(T792,4)&lt;&gt;"ERRO",U792="OK"),"OK","REVISAR"))</f>
      </c>
    </row>
    <row r="793">
      <c r="A793" s="4"/>
      <c r="B793" s="5"/>
      <c r="C793" s="5"/>
      <c r="D793" s="5"/>
      <c r="E793" s="5"/>
      <c r="F793" s="4"/>
      <c r="G793" s="4"/>
      <c r="H793" s="5"/>
      <c r="I793" s="4"/>
      <c r="J793" s="4"/>
      <c r="K793" s="4"/>
      <c r="L793" s="4"/>
      <c r="M793" s="4"/>
      <c r="N793" s="4"/>
      <c r="O793" s="4"/>
      <c r="P793" s="6">
        <f>IF(D793="","",SUBSTITUTE(SUBSTITUTE(SUBSTITUTE(SUBSTITUTE(SUBSTITUTE(SUBSTITUTE(SUBSTITUTE(TRIM(D793),".",""),"/",""),"-","")," ",""),"(",""),")",""),"+",""))</f>
      </c>
      <c r="Q793" s="6">
        <f>IF(P793="","",IF(LEN(P793)&lt;&gt;14,"ERRO: "&amp;LEN(P793)&amp;" dígitos",IF(NOT(ISNUMBER(VALUE(P793))),"ERRO: não numérico",IF(LEN(SUBSTITUTE(P793,LEFT(P793,1),""))=0,"ERRO: dígitos repetidos",IF(AND(VALUE(MID(P793,13,1))=IF(MOD(SUMPRODUCT(--MID(P793,{1,2,3,4,5,6,7,8,9,10,11,12},1),{5,4,3,2,9,8,7,6,5,4,3,2}),11)&lt;2,0,11-MOD(SUMPRODUCT(--MID(P793,{1,2,3,4,5,6,7,8,9,10,11,12},1),{5,4,3,2,9,8,7,6,5,4,3,2}),11)),VALUE(MID(P793,14,1))=IF(MOD(SUMPRODUCT(--MID(P793,{1,2,3,4,5,6,7,8,9,10,11,12,13},1),{6,5,4,3,2,9,8,7,6,5,4,3,2}),11)&lt;2,0,11-MOD(SUMPRODUCT(--MID(P793,{1,2,3,4,5,6,7,8,9,10,11,12,13},1),{6,5,4,3,2,9,8,7,6,5,4,3,2}),11))),"OK","ERRO: dígito verificador")))))</f>
      </c>
      <c r="R793" s="6">
        <f>IF(P793="","",IF(COUNTIF($P$2:$P$1001,P793)&gt;1,"DUPLICADO","OK"))</f>
      </c>
      <c r="S793" s="6">
        <f>IF(AND(J793="",K793=""),"vazio",IF(AND(OR(J793="",LEN(SUBSTITUTE(SUBSTITUTE(SUBSTITUTE(SUBSTITUTE(SUBSTITUTE(SUBSTITUTE(SUBSTITUTE(TRIM(J793),".",""),"/",""),"-","")," ",""),"(",""),")",""),"+",""))=10,LEN(SUBSTITUTE(SUBSTITUTE(SUBSTITUTE(SUBSTITUTE(SUBSTITUTE(SUBSTITUTE(SUBSTITUTE(TRIM(J793),".",""),"/",""),"-","")," ",""),"(",""),")",""),"+",""))=11),OR(K793="",LEN(SUBSTITUTE(SUBSTITUTE(SUBSTITUTE(SUBSTITUTE(SUBSTITUTE(SUBSTITUTE(SUBSTITUTE(TRIM(K793),".",""),"/",""),"-","")," ",""),"(",""),")",""),"+",""))=10,LEN(SUBSTITUTE(SUBSTITUTE(SUBSTITUTE(SUBSTITUTE(SUBSTITUTE(SUBSTITUTE(SUBSTITUTE(TRIM(K793),".",""),"/",""),"-","")," ",""),"(",""),")",""),"+",""))=11)),"OK","ERRO: use DDD + número (10 ou 11 dígitos)"))</f>
      </c>
      <c r="T793" s="6">
        <f>IF(L793="","vazio",IF(AND(ISNUMBER(FIND("@",L793)),ISNUMBER(FIND(".",MID(L793,FIND("@",L793),99))),NOT(ISNUMBER(FIND(" ",TRIM(L793)))),NOT(ISNUMBER(FIND(";",L793))),NOT(ISNUMBER(FIND(",",L793)))),"OK","ERRO: um e-mail válido por linha"))</f>
      </c>
      <c r="U793" s="6">
        <f>IF(COUNTA(A793:O793)=0,"",IF(AND(B793&lt;&gt;"",C793&lt;&gt;"",D793&lt;&gt;"",E793&lt;&gt;"",H793&lt;&gt;"",OR(J793&lt;&gt;"",L793&lt;&gt;"")),"OK","ERRO: faltam "&amp;IF(B793="","Proprietário; ","")&amp;IF(C793="","Origem; ","")&amp;IF(D793="","CNPJ; ","")&amp;IF(E793="","Razão Social; ","")&amp;IF(H793="","Sobrenome; ","")&amp;IF(AND(J793="",L793=""),"telefone ou e-mail; ","")))</f>
      </c>
      <c r="V793" s="6">
        <f>IF(COUNTA(A793:O793)=0,"",IF(AND(Q793="OK",R793="OK",LEFT(S793,4)&lt;&gt;"ERRO",LEFT(T793,4)&lt;&gt;"ERRO",U793="OK"),"OK","REVISAR"))</f>
      </c>
    </row>
    <row r="794">
      <c r="A794" s="4"/>
      <c r="B794" s="5"/>
      <c r="C794" s="5"/>
      <c r="D794" s="5"/>
      <c r="E794" s="5"/>
      <c r="F794" s="4"/>
      <c r="G794" s="4"/>
      <c r="H794" s="5"/>
      <c r="I794" s="4"/>
      <c r="J794" s="4"/>
      <c r="K794" s="4"/>
      <c r="L794" s="4"/>
      <c r="M794" s="4"/>
      <c r="N794" s="4"/>
      <c r="O794" s="4"/>
      <c r="P794" s="6">
        <f>IF(D794="","",SUBSTITUTE(SUBSTITUTE(SUBSTITUTE(SUBSTITUTE(SUBSTITUTE(SUBSTITUTE(SUBSTITUTE(TRIM(D794),".",""),"/",""),"-","")," ",""),"(",""),")",""),"+",""))</f>
      </c>
      <c r="Q794" s="6">
        <f>IF(P794="","",IF(LEN(P794)&lt;&gt;14,"ERRO: "&amp;LEN(P794)&amp;" dígitos",IF(NOT(ISNUMBER(VALUE(P794))),"ERRO: não numérico",IF(LEN(SUBSTITUTE(P794,LEFT(P794,1),""))=0,"ERRO: dígitos repetidos",IF(AND(VALUE(MID(P794,13,1))=IF(MOD(SUMPRODUCT(--MID(P794,{1,2,3,4,5,6,7,8,9,10,11,12},1),{5,4,3,2,9,8,7,6,5,4,3,2}),11)&lt;2,0,11-MOD(SUMPRODUCT(--MID(P794,{1,2,3,4,5,6,7,8,9,10,11,12},1),{5,4,3,2,9,8,7,6,5,4,3,2}),11)),VALUE(MID(P794,14,1))=IF(MOD(SUMPRODUCT(--MID(P794,{1,2,3,4,5,6,7,8,9,10,11,12,13},1),{6,5,4,3,2,9,8,7,6,5,4,3,2}),11)&lt;2,0,11-MOD(SUMPRODUCT(--MID(P794,{1,2,3,4,5,6,7,8,9,10,11,12,13},1),{6,5,4,3,2,9,8,7,6,5,4,3,2}),11))),"OK","ERRO: dígito verificador")))))</f>
      </c>
      <c r="R794" s="6">
        <f>IF(P794="","",IF(COUNTIF($P$2:$P$1001,P794)&gt;1,"DUPLICADO","OK"))</f>
      </c>
      <c r="S794" s="6">
        <f>IF(AND(J794="",K794=""),"vazio",IF(AND(OR(J794="",LEN(SUBSTITUTE(SUBSTITUTE(SUBSTITUTE(SUBSTITUTE(SUBSTITUTE(SUBSTITUTE(SUBSTITUTE(TRIM(J794),".",""),"/",""),"-","")," ",""),"(",""),")",""),"+",""))=10,LEN(SUBSTITUTE(SUBSTITUTE(SUBSTITUTE(SUBSTITUTE(SUBSTITUTE(SUBSTITUTE(SUBSTITUTE(TRIM(J794),".",""),"/",""),"-","")," ",""),"(",""),")",""),"+",""))=11),OR(K794="",LEN(SUBSTITUTE(SUBSTITUTE(SUBSTITUTE(SUBSTITUTE(SUBSTITUTE(SUBSTITUTE(SUBSTITUTE(TRIM(K794),".",""),"/",""),"-","")," ",""),"(",""),")",""),"+",""))=10,LEN(SUBSTITUTE(SUBSTITUTE(SUBSTITUTE(SUBSTITUTE(SUBSTITUTE(SUBSTITUTE(SUBSTITUTE(TRIM(K794),".",""),"/",""),"-","")," ",""),"(",""),")",""),"+",""))=11)),"OK","ERRO: use DDD + número (10 ou 11 dígitos)"))</f>
      </c>
      <c r="T794" s="6">
        <f>IF(L794="","vazio",IF(AND(ISNUMBER(FIND("@",L794)),ISNUMBER(FIND(".",MID(L794,FIND("@",L794),99))),NOT(ISNUMBER(FIND(" ",TRIM(L794)))),NOT(ISNUMBER(FIND(";",L794))),NOT(ISNUMBER(FIND(",",L794)))),"OK","ERRO: um e-mail válido por linha"))</f>
      </c>
      <c r="U794" s="6">
        <f>IF(COUNTA(A794:O794)=0,"",IF(AND(B794&lt;&gt;"",C794&lt;&gt;"",D794&lt;&gt;"",E794&lt;&gt;"",H794&lt;&gt;"",OR(J794&lt;&gt;"",L794&lt;&gt;"")),"OK","ERRO: faltam "&amp;IF(B794="","Proprietário; ","")&amp;IF(C794="","Origem; ","")&amp;IF(D794="","CNPJ; ","")&amp;IF(E794="","Razão Social; ","")&amp;IF(H794="","Sobrenome; ","")&amp;IF(AND(J794="",L794=""),"telefone ou e-mail; ","")))</f>
      </c>
      <c r="V794" s="6">
        <f>IF(COUNTA(A794:O794)=0,"",IF(AND(Q794="OK",R794="OK",LEFT(S794,4)&lt;&gt;"ERRO",LEFT(T794,4)&lt;&gt;"ERRO",U794="OK"),"OK","REVISAR"))</f>
      </c>
    </row>
    <row r="795">
      <c r="A795" s="4"/>
      <c r="B795" s="5"/>
      <c r="C795" s="5"/>
      <c r="D795" s="5"/>
      <c r="E795" s="5"/>
      <c r="F795" s="4"/>
      <c r="G795" s="4"/>
      <c r="H795" s="5"/>
      <c r="I795" s="4"/>
      <c r="J795" s="4"/>
      <c r="K795" s="4"/>
      <c r="L795" s="4"/>
      <c r="M795" s="4"/>
      <c r="N795" s="4"/>
      <c r="O795" s="4"/>
      <c r="P795" s="6">
        <f>IF(D795="","",SUBSTITUTE(SUBSTITUTE(SUBSTITUTE(SUBSTITUTE(SUBSTITUTE(SUBSTITUTE(SUBSTITUTE(TRIM(D795),".",""),"/",""),"-","")," ",""),"(",""),")",""),"+",""))</f>
      </c>
      <c r="Q795" s="6">
        <f>IF(P795="","",IF(LEN(P795)&lt;&gt;14,"ERRO: "&amp;LEN(P795)&amp;" dígitos",IF(NOT(ISNUMBER(VALUE(P795))),"ERRO: não numérico",IF(LEN(SUBSTITUTE(P795,LEFT(P795,1),""))=0,"ERRO: dígitos repetidos",IF(AND(VALUE(MID(P795,13,1))=IF(MOD(SUMPRODUCT(--MID(P795,{1,2,3,4,5,6,7,8,9,10,11,12},1),{5,4,3,2,9,8,7,6,5,4,3,2}),11)&lt;2,0,11-MOD(SUMPRODUCT(--MID(P795,{1,2,3,4,5,6,7,8,9,10,11,12},1),{5,4,3,2,9,8,7,6,5,4,3,2}),11)),VALUE(MID(P795,14,1))=IF(MOD(SUMPRODUCT(--MID(P795,{1,2,3,4,5,6,7,8,9,10,11,12,13},1),{6,5,4,3,2,9,8,7,6,5,4,3,2}),11)&lt;2,0,11-MOD(SUMPRODUCT(--MID(P795,{1,2,3,4,5,6,7,8,9,10,11,12,13},1),{6,5,4,3,2,9,8,7,6,5,4,3,2}),11))),"OK","ERRO: dígito verificador")))))</f>
      </c>
      <c r="R795" s="6">
        <f>IF(P795="","",IF(COUNTIF($P$2:$P$1001,P795)&gt;1,"DUPLICADO","OK"))</f>
      </c>
      <c r="S795" s="6">
        <f>IF(AND(J795="",K795=""),"vazio",IF(AND(OR(J795="",LEN(SUBSTITUTE(SUBSTITUTE(SUBSTITUTE(SUBSTITUTE(SUBSTITUTE(SUBSTITUTE(SUBSTITUTE(TRIM(J795),".",""),"/",""),"-","")," ",""),"(",""),")",""),"+",""))=10,LEN(SUBSTITUTE(SUBSTITUTE(SUBSTITUTE(SUBSTITUTE(SUBSTITUTE(SUBSTITUTE(SUBSTITUTE(TRIM(J795),".",""),"/",""),"-","")," ",""),"(",""),")",""),"+",""))=11),OR(K795="",LEN(SUBSTITUTE(SUBSTITUTE(SUBSTITUTE(SUBSTITUTE(SUBSTITUTE(SUBSTITUTE(SUBSTITUTE(TRIM(K795),".",""),"/",""),"-","")," ",""),"(",""),")",""),"+",""))=10,LEN(SUBSTITUTE(SUBSTITUTE(SUBSTITUTE(SUBSTITUTE(SUBSTITUTE(SUBSTITUTE(SUBSTITUTE(TRIM(K795),".",""),"/",""),"-","")," ",""),"(",""),")",""),"+",""))=11)),"OK","ERRO: use DDD + número (10 ou 11 dígitos)"))</f>
      </c>
      <c r="T795" s="6">
        <f>IF(L795="","vazio",IF(AND(ISNUMBER(FIND("@",L795)),ISNUMBER(FIND(".",MID(L795,FIND("@",L795),99))),NOT(ISNUMBER(FIND(" ",TRIM(L795)))),NOT(ISNUMBER(FIND(";",L795))),NOT(ISNUMBER(FIND(",",L795)))),"OK","ERRO: um e-mail válido por linha"))</f>
      </c>
      <c r="U795" s="6">
        <f>IF(COUNTA(A795:O795)=0,"",IF(AND(B795&lt;&gt;"",C795&lt;&gt;"",D795&lt;&gt;"",E795&lt;&gt;"",H795&lt;&gt;"",OR(J795&lt;&gt;"",L795&lt;&gt;"")),"OK","ERRO: faltam "&amp;IF(B795="","Proprietário; ","")&amp;IF(C795="","Origem; ","")&amp;IF(D795="","CNPJ; ","")&amp;IF(E795="","Razão Social; ","")&amp;IF(H795="","Sobrenome; ","")&amp;IF(AND(J795="",L795=""),"telefone ou e-mail; ","")))</f>
      </c>
      <c r="V795" s="6">
        <f>IF(COUNTA(A795:O795)=0,"",IF(AND(Q795="OK",R795="OK",LEFT(S795,4)&lt;&gt;"ERRO",LEFT(T795,4)&lt;&gt;"ERRO",U795="OK"),"OK","REVISAR"))</f>
      </c>
    </row>
    <row r="796">
      <c r="A796" s="4"/>
      <c r="B796" s="5"/>
      <c r="C796" s="5"/>
      <c r="D796" s="5"/>
      <c r="E796" s="5"/>
      <c r="F796" s="4"/>
      <c r="G796" s="4"/>
      <c r="H796" s="5"/>
      <c r="I796" s="4"/>
      <c r="J796" s="4"/>
      <c r="K796" s="4"/>
      <c r="L796" s="4"/>
      <c r="M796" s="4"/>
      <c r="N796" s="4"/>
      <c r="O796" s="4"/>
      <c r="P796" s="6">
        <f>IF(D796="","",SUBSTITUTE(SUBSTITUTE(SUBSTITUTE(SUBSTITUTE(SUBSTITUTE(SUBSTITUTE(SUBSTITUTE(TRIM(D796),".",""),"/",""),"-","")," ",""),"(",""),")",""),"+",""))</f>
      </c>
      <c r="Q796" s="6">
        <f>IF(P796="","",IF(LEN(P796)&lt;&gt;14,"ERRO: "&amp;LEN(P796)&amp;" dígitos",IF(NOT(ISNUMBER(VALUE(P796))),"ERRO: não numérico",IF(LEN(SUBSTITUTE(P796,LEFT(P796,1),""))=0,"ERRO: dígitos repetidos",IF(AND(VALUE(MID(P796,13,1))=IF(MOD(SUMPRODUCT(--MID(P796,{1,2,3,4,5,6,7,8,9,10,11,12},1),{5,4,3,2,9,8,7,6,5,4,3,2}),11)&lt;2,0,11-MOD(SUMPRODUCT(--MID(P796,{1,2,3,4,5,6,7,8,9,10,11,12},1),{5,4,3,2,9,8,7,6,5,4,3,2}),11)),VALUE(MID(P796,14,1))=IF(MOD(SUMPRODUCT(--MID(P796,{1,2,3,4,5,6,7,8,9,10,11,12,13},1),{6,5,4,3,2,9,8,7,6,5,4,3,2}),11)&lt;2,0,11-MOD(SUMPRODUCT(--MID(P796,{1,2,3,4,5,6,7,8,9,10,11,12,13},1),{6,5,4,3,2,9,8,7,6,5,4,3,2}),11))),"OK","ERRO: dígito verificador")))))</f>
      </c>
      <c r="R796" s="6">
        <f>IF(P796="","",IF(COUNTIF($P$2:$P$1001,P796)&gt;1,"DUPLICADO","OK"))</f>
      </c>
      <c r="S796" s="6">
        <f>IF(AND(J796="",K796=""),"vazio",IF(AND(OR(J796="",LEN(SUBSTITUTE(SUBSTITUTE(SUBSTITUTE(SUBSTITUTE(SUBSTITUTE(SUBSTITUTE(SUBSTITUTE(TRIM(J796),".",""),"/",""),"-","")," ",""),"(",""),")",""),"+",""))=10,LEN(SUBSTITUTE(SUBSTITUTE(SUBSTITUTE(SUBSTITUTE(SUBSTITUTE(SUBSTITUTE(SUBSTITUTE(TRIM(J796),".",""),"/",""),"-","")," ",""),"(",""),")",""),"+",""))=11),OR(K796="",LEN(SUBSTITUTE(SUBSTITUTE(SUBSTITUTE(SUBSTITUTE(SUBSTITUTE(SUBSTITUTE(SUBSTITUTE(TRIM(K796),".",""),"/",""),"-","")," ",""),"(",""),")",""),"+",""))=10,LEN(SUBSTITUTE(SUBSTITUTE(SUBSTITUTE(SUBSTITUTE(SUBSTITUTE(SUBSTITUTE(SUBSTITUTE(TRIM(K796),".",""),"/",""),"-","")," ",""),"(",""),")",""),"+",""))=11)),"OK","ERRO: use DDD + número (10 ou 11 dígitos)"))</f>
      </c>
      <c r="T796" s="6">
        <f>IF(L796="","vazio",IF(AND(ISNUMBER(FIND("@",L796)),ISNUMBER(FIND(".",MID(L796,FIND("@",L796),99))),NOT(ISNUMBER(FIND(" ",TRIM(L796)))),NOT(ISNUMBER(FIND(";",L796))),NOT(ISNUMBER(FIND(",",L796)))),"OK","ERRO: um e-mail válido por linha"))</f>
      </c>
      <c r="U796" s="6">
        <f>IF(COUNTA(A796:O796)=0,"",IF(AND(B796&lt;&gt;"",C796&lt;&gt;"",D796&lt;&gt;"",E796&lt;&gt;"",H796&lt;&gt;"",OR(J796&lt;&gt;"",L796&lt;&gt;"")),"OK","ERRO: faltam "&amp;IF(B796="","Proprietário; ","")&amp;IF(C796="","Origem; ","")&amp;IF(D796="","CNPJ; ","")&amp;IF(E796="","Razão Social; ","")&amp;IF(H796="","Sobrenome; ","")&amp;IF(AND(J796="",L796=""),"telefone ou e-mail; ","")))</f>
      </c>
      <c r="V796" s="6">
        <f>IF(COUNTA(A796:O796)=0,"",IF(AND(Q796="OK",R796="OK",LEFT(S796,4)&lt;&gt;"ERRO",LEFT(T796,4)&lt;&gt;"ERRO",U796="OK"),"OK","REVISAR"))</f>
      </c>
    </row>
    <row r="797">
      <c r="A797" s="4"/>
      <c r="B797" s="5"/>
      <c r="C797" s="5"/>
      <c r="D797" s="5"/>
      <c r="E797" s="5"/>
      <c r="F797" s="4"/>
      <c r="G797" s="4"/>
      <c r="H797" s="5"/>
      <c r="I797" s="4"/>
      <c r="J797" s="4"/>
      <c r="K797" s="4"/>
      <c r="L797" s="4"/>
      <c r="M797" s="4"/>
      <c r="N797" s="4"/>
      <c r="O797" s="4"/>
      <c r="P797" s="6">
        <f>IF(D797="","",SUBSTITUTE(SUBSTITUTE(SUBSTITUTE(SUBSTITUTE(SUBSTITUTE(SUBSTITUTE(SUBSTITUTE(TRIM(D797),".",""),"/",""),"-","")," ",""),"(",""),")",""),"+",""))</f>
      </c>
      <c r="Q797" s="6">
        <f>IF(P797="","",IF(LEN(P797)&lt;&gt;14,"ERRO: "&amp;LEN(P797)&amp;" dígitos",IF(NOT(ISNUMBER(VALUE(P797))),"ERRO: não numérico",IF(LEN(SUBSTITUTE(P797,LEFT(P797,1),""))=0,"ERRO: dígitos repetidos",IF(AND(VALUE(MID(P797,13,1))=IF(MOD(SUMPRODUCT(--MID(P797,{1,2,3,4,5,6,7,8,9,10,11,12},1),{5,4,3,2,9,8,7,6,5,4,3,2}),11)&lt;2,0,11-MOD(SUMPRODUCT(--MID(P797,{1,2,3,4,5,6,7,8,9,10,11,12},1),{5,4,3,2,9,8,7,6,5,4,3,2}),11)),VALUE(MID(P797,14,1))=IF(MOD(SUMPRODUCT(--MID(P797,{1,2,3,4,5,6,7,8,9,10,11,12,13},1),{6,5,4,3,2,9,8,7,6,5,4,3,2}),11)&lt;2,0,11-MOD(SUMPRODUCT(--MID(P797,{1,2,3,4,5,6,7,8,9,10,11,12,13},1),{6,5,4,3,2,9,8,7,6,5,4,3,2}),11))),"OK","ERRO: dígito verificador")))))</f>
      </c>
      <c r="R797" s="6">
        <f>IF(P797="","",IF(COUNTIF($P$2:$P$1001,P797)&gt;1,"DUPLICADO","OK"))</f>
      </c>
      <c r="S797" s="6">
        <f>IF(AND(J797="",K797=""),"vazio",IF(AND(OR(J797="",LEN(SUBSTITUTE(SUBSTITUTE(SUBSTITUTE(SUBSTITUTE(SUBSTITUTE(SUBSTITUTE(SUBSTITUTE(TRIM(J797),".",""),"/",""),"-","")," ",""),"(",""),")",""),"+",""))=10,LEN(SUBSTITUTE(SUBSTITUTE(SUBSTITUTE(SUBSTITUTE(SUBSTITUTE(SUBSTITUTE(SUBSTITUTE(TRIM(J797),".",""),"/",""),"-","")," ",""),"(",""),")",""),"+",""))=11),OR(K797="",LEN(SUBSTITUTE(SUBSTITUTE(SUBSTITUTE(SUBSTITUTE(SUBSTITUTE(SUBSTITUTE(SUBSTITUTE(TRIM(K797),".",""),"/",""),"-","")," ",""),"(",""),")",""),"+",""))=10,LEN(SUBSTITUTE(SUBSTITUTE(SUBSTITUTE(SUBSTITUTE(SUBSTITUTE(SUBSTITUTE(SUBSTITUTE(TRIM(K797),".",""),"/",""),"-","")," ",""),"(",""),")",""),"+",""))=11)),"OK","ERRO: use DDD + número (10 ou 11 dígitos)"))</f>
      </c>
      <c r="T797" s="6">
        <f>IF(L797="","vazio",IF(AND(ISNUMBER(FIND("@",L797)),ISNUMBER(FIND(".",MID(L797,FIND("@",L797),99))),NOT(ISNUMBER(FIND(" ",TRIM(L797)))),NOT(ISNUMBER(FIND(";",L797))),NOT(ISNUMBER(FIND(",",L797)))),"OK","ERRO: um e-mail válido por linha"))</f>
      </c>
      <c r="U797" s="6">
        <f>IF(COUNTA(A797:O797)=0,"",IF(AND(B797&lt;&gt;"",C797&lt;&gt;"",D797&lt;&gt;"",E797&lt;&gt;"",H797&lt;&gt;"",OR(J797&lt;&gt;"",L797&lt;&gt;"")),"OK","ERRO: faltam "&amp;IF(B797="","Proprietário; ","")&amp;IF(C797="","Origem; ","")&amp;IF(D797="","CNPJ; ","")&amp;IF(E797="","Razão Social; ","")&amp;IF(H797="","Sobrenome; ","")&amp;IF(AND(J797="",L797=""),"telefone ou e-mail; ","")))</f>
      </c>
      <c r="V797" s="6">
        <f>IF(COUNTA(A797:O797)=0,"",IF(AND(Q797="OK",R797="OK",LEFT(S797,4)&lt;&gt;"ERRO",LEFT(T797,4)&lt;&gt;"ERRO",U797="OK"),"OK","REVISAR"))</f>
      </c>
    </row>
    <row r="798">
      <c r="A798" s="4"/>
      <c r="B798" s="5"/>
      <c r="C798" s="5"/>
      <c r="D798" s="5"/>
      <c r="E798" s="5"/>
      <c r="F798" s="4"/>
      <c r="G798" s="4"/>
      <c r="H798" s="5"/>
      <c r="I798" s="4"/>
      <c r="J798" s="4"/>
      <c r="K798" s="4"/>
      <c r="L798" s="4"/>
      <c r="M798" s="4"/>
      <c r="N798" s="4"/>
      <c r="O798" s="4"/>
      <c r="P798" s="6">
        <f>IF(D798="","",SUBSTITUTE(SUBSTITUTE(SUBSTITUTE(SUBSTITUTE(SUBSTITUTE(SUBSTITUTE(SUBSTITUTE(TRIM(D798),".",""),"/",""),"-","")," ",""),"(",""),")",""),"+",""))</f>
      </c>
      <c r="Q798" s="6">
        <f>IF(P798="","",IF(LEN(P798)&lt;&gt;14,"ERRO: "&amp;LEN(P798)&amp;" dígitos",IF(NOT(ISNUMBER(VALUE(P798))),"ERRO: não numérico",IF(LEN(SUBSTITUTE(P798,LEFT(P798,1),""))=0,"ERRO: dígitos repetidos",IF(AND(VALUE(MID(P798,13,1))=IF(MOD(SUMPRODUCT(--MID(P798,{1,2,3,4,5,6,7,8,9,10,11,12},1),{5,4,3,2,9,8,7,6,5,4,3,2}),11)&lt;2,0,11-MOD(SUMPRODUCT(--MID(P798,{1,2,3,4,5,6,7,8,9,10,11,12},1),{5,4,3,2,9,8,7,6,5,4,3,2}),11)),VALUE(MID(P798,14,1))=IF(MOD(SUMPRODUCT(--MID(P798,{1,2,3,4,5,6,7,8,9,10,11,12,13},1),{6,5,4,3,2,9,8,7,6,5,4,3,2}),11)&lt;2,0,11-MOD(SUMPRODUCT(--MID(P798,{1,2,3,4,5,6,7,8,9,10,11,12,13},1),{6,5,4,3,2,9,8,7,6,5,4,3,2}),11))),"OK","ERRO: dígito verificador")))))</f>
      </c>
      <c r="R798" s="6">
        <f>IF(P798="","",IF(COUNTIF($P$2:$P$1001,P798)&gt;1,"DUPLICADO","OK"))</f>
      </c>
      <c r="S798" s="6">
        <f>IF(AND(J798="",K798=""),"vazio",IF(AND(OR(J798="",LEN(SUBSTITUTE(SUBSTITUTE(SUBSTITUTE(SUBSTITUTE(SUBSTITUTE(SUBSTITUTE(SUBSTITUTE(TRIM(J798),".",""),"/",""),"-","")," ",""),"(",""),")",""),"+",""))=10,LEN(SUBSTITUTE(SUBSTITUTE(SUBSTITUTE(SUBSTITUTE(SUBSTITUTE(SUBSTITUTE(SUBSTITUTE(TRIM(J798),".",""),"/",""),"-","")," ",""),"(",""),")",""),"+",""))=11),OR(K798="",LEN(SUBSTITUTE(SUBSTITUTE(SUBSTITUTE(SUBSTITUTE(SUBSTITUTE(SUBSTITUTE(SUBSTITUTE(TRIM(K798),".",""),"/",""),"-","")," ",""),"(",""),")",""),"+",""))=10,LEN(SUBSTITUTE(SUBSTITUTE(SUBSTITUTE(SUBSTITUTE(SUBSTITUTE(SUBSTITUTE(SUBSTITUTE(TRIM(K798),".",""),"/",""),"-","")," ",""),"(",""),")",""),"+",""))=11)),"OK","ERRO: use DDD + número (10 ou 11 dígitos)"))</f>
      </c>
      <c r="T798" s="6">
        <f>IF(L798="","vazio",IF(AND(ISNUMBER(FIND("@",L798)),ISNUMBER(FIND(".",MID(L798,FIND("@",L798),99))),NOT(ISNUMBER(FIND(" ",TRIM(L798)))),NOT(ISNUMBER(FIND(";",L798))),NOT(ISNUMBER(FIND(",",L798)))),"OK","ERRO: um e-mail válido por linha"))</f>
      </c>
      <c r="U798" s="6">
        <f>IF(COUNTA(A798:O798)=0,"",IF(AND(B798&lt;&gt;"",C798&lt;&gt;"",D798&lt;&gt;"",E798&lt;&gt;"",H798&lt;&gt;"",OR(J798&lt;&gt;"",L798&lt;&gt;"")),"OK","ERRO: faltam "&amp;IF(B798="","Proprietário; ","")&amp;IF(C798="","Origem; ","")&amp;IF(D798="","CNPJ; ","")&amp;IF(E798="","Razão Social; ","")&amp;IF(H798="","Sobrenome; ","")&amp;IF(AND(J798="",L798=""),"telefone ou e-mail; ","")))</f>
      </c>
      <c r="V798" s="6">
        <f>IF(COUNTA(A798:O798)=0,"",IF(AND(Q798="OK",R798="OK",LEFT(S798,4)&lt;&gt;"ERRO",LEFT(T798,4)&lt;&gt;"ERRO",U798="OK"),"OK","REVISAR"))</f>
      </c>
    </row>
    <row r="799">
      <c r="A799" s="4"/>
      <c r="B799" s="5"/>
      <c r="C799" s="5"/>
      <c r="D799" s="5"/>
      <c r="E799" s="5"/>
      <c r="F799" s="4"/>
      <c r="G799" s="4"/>
      <c r="H799" s="5"/>
      <c r="I799" s="4"/>
      <c r="J799" s="4"/>
      <c r="K799" s="4"/>
      <c r="L799" s="4"/>
      <c r="M799" s="4"/>
      <c r="N799" s="4"/>
      <c r="O799" s="4"/>
      <c r="P799" s="6">
        <f>IF(D799="","",SUBSTITUTE(SUBSTITUTE(SUBSTITUTE(SUBSTITUTE(SUBSTITUTE(SUBSTITUTE(SUBSTITUTE(TRIM(D799),".",""),"/",""),"-","")," ",""),"(",""),")",""),"+",""))</f>
      </c>
      <c r="Q799" s="6">
        <f>IF(P799="","",IF(LEN(P799)&lt;&gt;14,"ERRO: "&amp;LEN(P799)&amp;" dígitos",IF(NOT(ISNUMBER(VALUE(P799))),"ERRO: não numérico",IF(LEN(SUBSTITUTE(P799,LEFT(P799,1),""))=0,"ERRO: dígitos repetidos",IF(AND(VALUE(MID(P799,13,1))=IF(MOD(SUMPRODUCT(--MID(P799,{1,2,3,4,5,6,7,8,9,10,11,12},1),{5,4,3,2,9,8,7,6,5,4,3,2}),11)&lt;2,0,11-MOD(SUMPRODUCT(--MID(P799,{1,2,3,4,5,6,7,8,9,10,11,12},1),{5,4,3,2,9,8,7,6,5,4,3,2}),11)),VALUE(MID(P799,14,1))=IF(MOD(SUMPRODUCT(--MID(P799,{1,2,3,4,5,6,7,8,9,10,11,12,13},1),{6,5,4,3,2,9,8,7,6,5,4,3,2}),11)&lt;2,0,11-MOD(SUMPRODUCT(--MID(P799,{1,2,3,4,5,6,7,8,9,10,11,12,13},1),{6,5,4,3,2,9,8,7,6,5,4,3,2}),11))),"OK","ERRO: dígito verificador")))))</f>
      </c>
      <c r="R799" s="6">
        <f>IF(P799="","",IF(COUNTIF($P$2:$P$1001,P799)&gt;1,"DUPLICADO","OK"))</f>
      </c>
      <c r="S799" s="6">
        <f>IF(AND(J799="",K799=""),"vazio",IF(AND(OR(J799="",LEN(SUBSTITUTE(SUBSTITUTE(SUBSTITUTE(SUBSTITUTE(SUBSTITUTE(SUBSTITUTE(SUBSTITUTE(TRIM(J799),".",""),"/",""),"-","")," ",""),"(",""),")",""),"+",""))=10,LEN(SUBSTITUTE(SUBSTITUTE(SUBSTITUTE(SUBSTITUTE(SUBSTITUTE(SUBSTITUTE(SUBSTITUTE(TRIM(J799),".",""),"/",""),"-","")," ",""),"(",""),")",""),"+",""))=11),OR(K799="",LEN(SUBSTITUTE(SUBSTITUTE(SUBSTITUTE(SUBSTITUTE(SUBSTITUTE(SUBSTITUTE(SUBSTITUTE(TRIM(K799),".",""),"/",""),"-","")," ",""),"(",""),")",""),"+",""))=10,LEN(SUBSTITUTE(SUBSTITUTE(SUBSTITUTE(SUBSTITUTE(SUBSTITUTE(SUBSTITUTE(SUBSTITUTE(TRIM(K799),".",""),"/",""),"-","")," ",""),"(",""),")",""),"+",""))=11)),"OK","ERRO: use DDD + número (10 ou 11 dígitos)"))</f>
      </c>
      <c r="T799" s="6">
        <f>IF(L799="","vazio",IF(AND(ISNUMBER(FIND("@",L799)),ISNUMBER(FIND(".",MID(L799,FIND("@",L799),99))),NOT(ISNUMBER(FIND(" ",TRIM(L799)))),NOT(ISNUMBER(FIND(";",L799))),NOT(ISNUMBER(FIND(",",L799)))),"OK","ERRO: um e-mail válido por linha"))</f>
      </c>
      <c r="U799" s="6">
        <f>IF(COUNTA(A799:O799)=0,"",IF(AND(B799&lt;&gt;"",C799&lt;&gt;"",D799&lt;&gt;"",E799&lt;&gt;"",H799&lt;&gt;"",OR(J799&lt;&gt;"",L799&lt;&gt;"")),"OK","ERRO: faltam "&amp;IF(B799="","Proprietário; ","")&amp;IF(C799="","Origem; ","")&amp;IF(D799="","CNPJ; ","")&amp;IF(E799="","Razão Social; ","")&amp;IF(H799="","Sobrenome; ","")&amp;IF(AND(J799="",L799=""),"telefone ou e-mail; ","")))</f>
      </c>
      <c r="V799" s="6">
        <f>IF(COUNTA(A799:O799)=0,"",IF(AND(Q799="OK",R799="OK",LEFT(S799,4)&lt;&gt;"ERRO",LEFT(T799,4)&lt;&gt;"ERRO",U799="OK"),"OK","REVISAR"))</f>
      </c>
    </row>
    <row r="800">
      <c r="A800" s="4"/>
      <c r="B800" s="5"/>
      <c r="C800" s="5"/>
      <c r="D800" s="5"/>
      <c r="E800" s="5"/>
      <c r="F800" s="4"/>
      <c r="G800" s="4"/>
      <c r="H800" s="5"/>
      <c r="I800" s="4"/>
      <c r="J800" s="4"/>
      <c r="K800" s="4"/>
      <c r="L800" s="4"/>
      <c r="M800" s="4"/>
      <c r="N800" s="4"/>
      <c r="O800" s="4"/>
      <c r="P800" s="6">
        <f>IF(D800="","",SUBSTITUTE(SUBSTITUTE(SUBSTITUTE(SUBSTITUTE(SUBSTITUTE(SUBSTITUTE(SUBSTITUTE(TRIM(D800),".",""),"/",""),"-","")," ",""),"(",""),")",""),"+",""))</f>
      </c>
      <c r="Q800" s="6">
        <f>IF(P800="","",IF(LEN(P800)&lt;&gt;14,"ERRO: "&amp;LEN(P800)&amp;" dígitos",IF(NOT(ISNUMBER(VALUE(P800))),"ERRO: não numérico",IF(LEN(SUBSTITUTE(P800,LEFT(P800,1),""))=0,"ERRO: dígitos repetidos",IF(AND(VALUE(MID(P800,13,1))=IF(MOD(SUMPRODUCT(--MID(P800,{1,2,3,4,5,6,7,8,9,10,11,12},1),{5,4,3,2,9,8,7,6,5,4,3,2}),11)&lt;2,0,11-MOD(SUMPRODUCT(--MID(P800,{1,2,3,4,5,6,7,8,9,10,11,12},1),{5,4,3,2,9,8,7,6,5,4,3,2}),11)),VALUE(MID(P800,14,1))=IF(MOD(SUMPRODUCT(--MID(P800,{1,2,3,4,5,6,7,8,9,10,11,12,13},1),{6,5,4,3,2,9,8,7,6,5,4,3,2}),11)&lt;2,0,11-MOD(SUMPRODUCT(--MID(P800,{1,2,3,4,5,6,7,8,9,10,11,12,13},1),{6,5,4,3,2,9,8,7,6,5,4,3,2}),11))),"OK","ERRO: dígito verificador")))))</f>
      </c>
      <c r="R800" s="6">
        <f>IF(P800="","",IF(COUNTIF($P$2:$P$1001,P800)&gt;1,"DUPLICADO","OK"))</f>
      </c>
      <c r="S800" s="6">
        <f>IF(AND(J800="",K800=""),"vazio",IF(AND(OR(J800="",LEN(SUBSTITUTE(SUBSTITUTE(SUBSTITUTE(SUBSTITUTE(SUBSTITUTE(SUBSTITUTE(SUBSTITUTE(TRIM(J800),".",""),"/",""),"-","")," ",""),"(",""),")",""),"+",""))=10,LEN(SUBSTITUTE(SUBSTITUTE(SUBSTITUTE(SUBSTITUTE(SUBSTITUTE(SUBSTITUTE(SUBSTITUTE(TRIM(J800),".",""),"/",""),"-","")," ",""),"(",""),")",""),"+",""))=11),OR(K800="",LEN(SUBSTITUTE(SUBSTITUTE(SUBSTITUTE(SUBSTITUTE(SUBSTITUTE(SUBSTITUTE(SUBSTITUTE(TRIM(K800),".",""),"/",""),"-","")," ",""),"(",""),")",""),"+",""))=10,LEN(SUBSTITUTE(SUBSTITUTE(SUBSTITUTE(SUBSTITUTE(SUBSTITUTE(SUBSTITUTE(SUBSTITUTE(TRIM(K800),".",""),"/",""),"-","")," ",""),"(",""),")",""),"+",""))=11)),"OK","ERRO: use DDD + número (10 ou 11 dígitos)"))</f>
      </c>
      <c r="T800" s="6">
        <f>IF(L800="","vazio",IF(AND(ISNUMBER(FIND("@",L800)),ISNUMBER(FIND(".",MID(L800,FIND("@",L800),99))),NOT(ISNUMBER(FIND(" ",TRIM(L800)))),NOT(ISNUMBER(FIND(";",L800))),NOT(ISNUMBER(FIND(",",L800)))),"OK","ERRO: um e-mail válido por linha"))</f>
      </c>
      <c r="U800" s="6">
        <f>IF(COUNTA(A800:O800)=0,"",IF(AND(B800&lt;&gt;"",C800&lt;&gt;"",D800&lt;&gt;"",E800&lt;&gt;"",H800&lt;&gt;"",OR(J800&lt;&gt;"",L800&lt;&gt;"")),"OK","ERRO: faltam "&amp;IF(B800="","Proprietário; ","")&amp;IF(C800="","Origem; ","")&amp;IF(D800="","CNPJ; ","")&amp;IF(E800="","Razão Social; ","")&amp;IF(H800="","Sobrenome; ","")&amp;IF(AND(J800="",L800=""),"telefone ou e-mail; ","")))</f>
      </c>
      <c r="V800" s="6">
        <f>IF(COUNTA(A800:O800)=0,"",IF(AND(Q800="OK",R800="OK",LEFT(S800,4)&lt;&gt;"ERRO",LEFT(T800,4)&lt;&gt;"ERRO",U800="OK"),"OK","REVISAR"))</f>
      </c>
    </row>
    <row r="801">
      <c r="A801" s="4"/>
      <c r="B801" s="5"/>
      <c r="C801" s="5"/>
      <c r="D801" s="5"/>
      <c r="E801" s="5"/>
      <c r="F801" s="4"/>
      <c r="G801" s="4"/>
      <c r="H801" s="5"/>
      <c r="I801" s="4"/>
      <c r="J801" s="4"/>
      <c r="K801" s="4"/>
      <c r="L801" s="4"/>
      <c r="M801" s="4"/>
      <c r="N801" s="4"/>
      <c r="O801" s="4"/>
      <c r="P801" s="6">
        <f>IF(D801="","",SUBSTITUTE(SUBSTITUTE(SUBSTITUTE(SUBSTITUTE(SUBSTITUTE(SUBSTITUTE(SUBSTITUTE(TRIM(D801),".",""),"/",""),"-","")," ",""),"(",""),")",""),"+",""))</f>
      </c>
      <c r="Q801" s="6">
        <f>IF(P801="","",IF(LEN(P801)&lt;&gt;14,"ERRO: "&amp;LEN(P801)&amp;" dígitos",IF(NOT(ISNUMBER(VALUE(P801))),"ERRO: não numérico",IF(LEN(SUBSTITUTE(P801,LEFT(P801,1),""))=0,"ERRO: dígitos repetidos",IF(AND(VALUE(MID(P801,13,1))=IF(MOD(SUMPRODUCT(--MID(P801,{1,2,3,4,5,6,7,8,9,10,11,12},1),{5,4,3,2,9,8,7,6,5,4,3,2}),11)&lt;2,0,11-MOD(SUMPRODUCT(--MID(P801,{1,2,3,4,5,6,7,8,9,10,11,12},1),{5,4,3,2,9,8,7,6,5,4,3,2}),11)),VALUE(MID(P801,14,1))=IF(MOD(SUMPRODUCT(--MID(P801,{1,2,3,4,5,6,7,8,9,10,11,12,13},1),{6,5,4,3,2,9,8,7,6,5,4,3,2}),11)&lt;2,0,11-MOD(SUMPRODUCT(--MID(P801,{1,2,3,4,5,6,7,8,9,10,11,12,13},1),{6,5,4,3,2,9,8,7,6,5,4,3,2}),11))),"OK","ERRO: dígito verificador")))))</f>
      </c>
      <c r="R801" s="6">
        <f>IF(P801="","",IF(COUNTIF($P$2:$P$1001,P801)&gt;1,"DUPLICADO","OK"))</f>
      </c>
      <c r="S801" s="6">
        <f>IF(AND(J801="",K801=""),"vazio",IF(AND(OR(J801="",LEN(SUBSTITUTE(SUBSTITUTE(SUBSTITUTE(SUBSTITUTE(SUBSTITUTE(SUBSTITUTE(SUBSTITUTE(TRIM(J801),".",""),"/",""),"-","")," ",""),"(",""),")",""),"+",""))=10,LEN(SUBSTITUTE(SUBSTITUTE(SUBSTITUTE(SUBSTITUTE(SUBSTITUTE(SUBSTITUTE(SUBSTITUTE(TRIM(J801),".",""),"/",""),"-","")," ",""),"(",""),")",""),"+",""))=11),OR(K801="",LEN(SUBSTITUTE(SUBSTITUTE(SUBSTITUTE(SUBSTITUTE(SUBSTITUTE(SUBSTITUTE(SUBSTITUTE(TRIM(K801),".",""),"/",""),"-","")," ",""),"(",""),")",""),"+",""))=10,LEN(SUBSTITUTE(SUBSTITUTE(SUBSTITUTE(SUBSTITUTE(SUBSTITUTE(SUBSTITUTE(SUBSTITUTE(TRIM(K801),".",""),"/",""),"-","")," ",""),"(",""),")",""),"+",""))=11)),"OK","ERRO: use DDD + número (10 ou 11 dígitos)"))</f>
      </c>
      <c r="T801" s="6">
        <f>IF(L801="","vazio",IF(AND(ISNUMBER(FIND("@",L801)),ISNUMBER(FIND(".",MID(L801,FIND("@",L801),99))),NOT(ISNUMBER(FIND(" ",TRIM(L801)))),NOT(ISNUMBER(FIND(";",L801))),NOT(ISNUMBER(FIND(",",L801)))),"OK","ERRO: um e-mail válido por linha"))</f>
      </c>
      <c r="U801" s="6">
        <f>IF(COUNTA(A801:O801)=0,"",IF(AND(B801&lt;&gt;"",C801&lt;&gt;"",D801&lt;&gt;"",E801&lt;&gt;"",H801&lt;&gt;"",OR(J801&lt;&gt;"",L801&lt;&gt;"")),"OK","ERRO: faltam "&amp;IF(B801="","Proprietário; ","")&amp;IF(C801="","Origem; ","")&amp;IF(D801="","CNPJ; ","")&amp;IF(E801="","Razão Social; ","")&amp;IF(H801="","Sobrenome; ","")&amp;IF(AND(J801="",L801=""),"telefone ou e-mail; ","")))</f>
      </c>
      <c r="V801" s="6">
        <f>IF(COUNTA(A801:O801)=0,"",IF(AND(Q801="OK",R801="OK",LEFT(S801,4)&lt;&gt;"ERRO",LEFT(T801,4)&lt;&gt;"ERRO",U801="OK"),"OK","REVISAR"))</f>
      </c>
    </row>
    <row r="802">
      <c r="A802" s="4"/>
      <c r="B802" s="5"/>
      <c r="C802" s="5"/>
      <c r="D802" s="5"/>
      <c r="E802" s="5"/>
      <c r="F802" s="4"/>
      <c r="G802" s="4"/>
      <c r="H802" s="5"/>
      <c r="I802" s="4"/>
      <c r="J802" s="4"/>
      <c r="K802" s="4"/>
      <c r="L802" s="4"/>
      <c r="M802" s="4"/>
      <c r="N802" s="4"/>
      <c r="O802" s="4"/>
      <c r="P802" s="6">
        <f>IF(D802="","",SUBSTITUTE(SUBSTITUTE(SUBSTITUTE(SUBSTITUTE(SUBSTITUTE(SUBSTITUTE(SUBSTITUTE(TRIM(D802),".",""),"/",""),"-","")," ",""),"(",""),")",""),"+",""))</f>
      </c>
      <c r="Q802" s="6">
        <f>IF(P802="","",IF(LEN(P802)&lt;&gt;14,"ERRO: "&amp;LEN(P802)&amp;" dígitos",IF(NOT(ISNUMBER(VALUE(P802))),"ERRO: não numérico",IF(LEN(SUBSTITUTE(P802,LEFT(P802,1),""))=0,"ERRO: dígitos repetidos",IF(AND(VALUE(MID(P802,13,1))=IF(MOD(SUMPRODUCT(--MID(P802,{1,2,3,4,5,6,7,8,9,10,11,12},1),{5,4,3,2,9,8,7,6,5,4,3,2}),11)&lt;2,0,11-MOD(SUMPRODUCT(--MID(P802,{1,2,3,4,5,6,7,8,9,10,11,12},1),{5,4,3,2,9,8,7,6,5,4,3,2}),11)),VALUE(MID(P802,14,1))=IF(MOD(SUMPRODUCT(--MID(P802,{1,2,3,4,5,6,7,8,9,10,11,12,13},1),{6,5,4,3,2,9,8,7,6,5,4,3,2}),11)&lt;2,0,11-MOD(SUMPRODUCT(--MID(P802,{1,2,3,4,5,6,7,8,9,10,11,12,13},1),{6,5,4,3,2,9,8,7,6,5,4,3,2}),11))),"OK","ERRO: dígito verificador")))))</f>
      </c>
      <c r="R802" s="6">
        <f>IF(P802="","",IF(COUNTIF($P$2:$P$1001,P802)&gt;1,"DUPLICADO","OK"))</f>
      </c>
      <c r="S802" s="6">
        <f>IF(AND(J802="",K802=""),"vazio",IF(AND(OR(J802="",LEN(SUBSTITUTE(SUBSTITUTE(SUBSTITUTE(SUBSTITUTE(SUBSTITUTE(SUBSTITUTE(SUBSTITUTE(TRIM(J802),".",""),"/",""),"-","")," ",""),"(",""),")",""),"+",""))=10,LEN(SUBSTITUTE(SUBSTITUTE(SUBSTITUTE(SUBSTITUTE(SUBSTITUTE(SUBSTITUTE(SUBSTITUTE(TRIM(J802),".",""),"/",""),"-","")," ",""),"(",""),")",""),"+",""))=11),OR(K802="",LEN(SUBSTITUTE(SUBSTITUTE(SUBSTITUTE(SUBSTITUTE(SUBSTITUTE(SUBSTITUTE(SUBSTITUTE(TRIM(K802),".",""),"/",""),"-","")," ",""),"(",""),")",""),"+",""))=10,LEN(SUBSTITUTE(SUBSTITUTE(SUBSTITUTE(SUBSTITUTE(SUBSTITUTE(SUBSTITUTE(SUBSTITUTE(TRIM(K802),".",""),"/",""),"-","")," ",""),"(",""),")",""),"+",""))=11)),"OK","ERRO: use DDD + número (10 ou 11 dígitos)"))</f>
      </c>
      <c r="T802" s="6">
        <f>IF(L802="","vazio",IF(AND(ISNUMBER(FIND("@",L802)),ISNUMBER(FIND(".",MID(L802,FIND("@",L802),99))),NOT(ISNUMBER(FIND(" ",TRIM(L802)))),NOT(ISNUMBER(FIND(";",L802))),NOT(ISNUMBER(FIND(",",L802)))),"OK","ERRO: um e-mail válido por linha"))</f>
      </c>
      <c r="U802" s="6">
        <f>IF(COUNTA(A802:O802)=0,"",IF(AND(B802&lt;&gt;"",C802&lt;&gt;"",D802&lt;&gt;"",E802&lt;&gt;"",H802&lt;&gt;"",OR(J802&lt;&gt;"",L802&lt;&gt;"")),"OK","ERRO: faltam "&amp;IF(B802="","Proprietário; ","")&amp;IF(C802="","Origem; ","")&amp;IF(D802="","CNPJ; ","")&amp;IF(E802="","Razão Social; ","")&amp;IF(H802="","Sobrenome; ","")&amp;IF(AND(J802="",L802=""),"telefone ou e-mail; ","")))</f>
      </c>
      <c r="V802" s="6">
        <f>IF(COUNTA(A802:O802)=0,"",IF(AND(Q802="OK",R802="OK",LEFT(S802,4)&lt;&gt;"ERRO",LEFT(T802,4)&lt;&gt;"ERRO",U802="OK"),"OK","REVISAR"))</f>
      </c>
    </row>
    <row r="803">
      <c r="A803" s="4"/>
      <c r="B803" s="5"/>
      <c r="C803" s="5"/>
      <c r="D803" s="5"/>
      <c r="E803" s="5"/>
      <c r="F803" s="4"/>
      <c r="G803" s="4"/>
      <c r="H803" s="5"/>
      <c r="I803" s="4"/>
      <c r="J803" s="4"/>
      <c r="K803" s="4"/>
      <c r="L803" s="4"/>
      <c r="M803" s="4"/>
      <c r="N803" s="4"/>
      <c r="O803" s="4"/>
      <c r="P803" s="6">
        <f>IF(D803="","",SUBSTITUTE(SUBSTITUTE(SUBSTITUTE(SUBSTITUTE(SUBSTITUTE(SUBSTITUTE(SUBSTITUTE(TRIM(D803),".",""),"/",""),"-","")," ",""),"(",""),")",""),"+",""))</f>
      </c>
      <c r="Q803" s="6">
        <f>IF(P803="","",IF(LEN(P803)&lt;&gt;14,"ERRO: "&amp;LEN(P803)&amp;" dígitos",IF(NOT(ISNUMBER(VALUE(P803))),"ERRO: não numérico",IF(LEN(SUBSTITUTE(P803,LEFT(P803,1),""))=0,"ERRO: dígitos repetidos",IF(AND(VALUE(MID(P803,13,1))=IF(MOD(SUMPRODUCT(--MID(P803,{1,2,3,4,5,6,7,8,9,10,11,12},1),{5,4,3,2,9,8,7,6,5,4,3,2}),11)&lt;2,0,11-MOD(SUMPRODUCT(--MID(P803,{1,2,3,4,5,6,7,8,9,10,11,12},1),{5,4,3,2,9,8,7,6,5,4,3,2}),11)),VALUE(MID(P803,14,1))=IF(MOD(SUMPRODUCT(--MID(P803,{1,2,3,4,5,6,7,8,9,10,11,12,13},1),{6,5,4,3,2,9,8,7,6,5,4,3,2}),11)&lt;2,0,11-MOD(SUMPRODUCT(--MID(P803,{1,2,3,4,5,6,7,8,9,10,11,12,13},1),{6,5,4,3,2,9,8,7,6,5,4,3,2}),11))),"OK","ERRO: dígito verificador")))))</f>
      </c>
      <c r="R803" s="6">
        <f>IF(P803="","",IF(COUNTIF($P$2:$P$1001,P803)&gt;1,"DUPLICADO","OK"))</f>
      </c>
      <c r="S803" s="6">
        <f>IF(AND(J803="",K803=""),"vazio",IF(AND(OR(J803="",LEN(SUBSTITUTE(SUBSTITUTE(SUBSTITUTE(SUBSTITUTE(SUBSTITUTE(SUBSTITUTE(SUBSTITUTE(TRIM(J803),".",""),"/",""),"-","")," ",""),"(",""),")",""),"+",""))=10,LEN(SUBSTITUTE(SUBSTITUTE(SUBSTITUTE(SUBSTITUTE(SUBSTITUTE(SUBSTITUTE(SUBSTITUTE(TRIM(J803),".",""),"/",""),"-","")," ",""),"(",""),")",""),"+",""))=11),OR(K803="",LEN(SUBSTITUTE(SUBSTITUTE(SUBSTITUTE(SUBSTITUTE(SUBSTITUTE(SUBSTITUTE(SUBSTITUTE(TRIM(K803),".",""),"/",""),"-","")," ",""),"(",""),")",""),"+",""))=10,LEN(SUBSTITUTE(SUBSTITUTE(SUBSTITUTE(SUBSTITUTE(SUBSTITUTE(SUBSTITUTE(SUBSTITUTE(TRIM(K803),".",""),"/",""),"-","")," ",""),"(",""),")",""),"+",""))=11)),"OK","ERRO: use DDD + número (10 ou 11 dígitos)"))</f>
      </c>
      <c r="T803" s="6">
        <f>IF(L803="","vazio",IF(AND(ISNUMBER(FIND("@",L803)),ISNUMBER(FIND(".",MID(L803,FIND("@",L803),99))),NOT(ISNUMBER(FIND(" ",TRIM(L803)))),NOT(ISNUMBER(FIND(";",L803))),NOT(ISNUMBER(FIND(",",L803)))),"OK","ERRO: um e-mail válido por linha"))</f>
      </c>
      <c r="U803" s="6">
        <f>IF(COUNTA(A803:O803)=0,"",IF(AND(B803&lt;&gt;"",C803&lt;&gt;"",D803&lt;&gt;"",E803&lt;&gt;"",H803&lt;&gt;"",OR(J803&lt;&gt;"",L803&lt;&gt;"")),"OK","ERRO: faltam "&amp;IF(B803="","Proprietário; ","")&amp;IF(C803="","Origem; ","")&amp;IF(D803="","CNPJ; ","")&amp;IF(E803="","Razão Social; ","")&amp;IF(H803="","Sobrenome; ","")&amp;IF(AND(J803="",L803=""),"telefone ou e-mail; ","")))</f>
      </c>
      <c r="V803" s="6">
        <f>IF(COUNTA(A803:O803)=0,"",IF(AND(Q803="OK",R803="OK",LEFT(S803,4)&lt;&gt;"ERRO",LEFT(T803,4)&lt;&gt;"ERRO",U803="OK"),"OK","REVISAR"))</f>
      </c>
    </row>
    <row r="804">
      <c r="A804" s="4"/>
      <c r="B804" s="5"/>
      <c r="C804" s="5"/>
      <c r="D804" s="5"/>
      <c r="E804" s="5"/>
      <c r="F804" s="4"/>
      <c r="G804" s="4"/>
      <c r="H804" s="5"/>
      <c r="I804" s="4"/>
      <c r="J804" s="4"/>
      <c r="K804" s="4"/>
      <c r="L804" s="4"/>
      <c r="M804" s="4"/>
      <c r="N804" s="4"/>
      <c r="O804" s="4"/>
      <c r="P804" s="6">
        <f>IF(D804="","",SUBSTITUTE(SUBSTITUTE(SUBSTITUTE(SUBSTITUTE(SUBSTITUTE(SUBSTITUTE(SUBSTITUTE(TRIM(D804),".",""),"/",""),"-","")," ",""),"(",""),")",""),"+",""))</f>
      </c>
      <c r="Q804" s="6">
        <f>IF(P804="","",IF(LEN(P804)&lt;&gt;14,"ERRO: "&amp;LEN(P804)&amp;" dígitos",IF(NOT(ISNUMBER(VALUE(P804))),"ERRO: não numérico",IF(LEN(SUBSTITUTE(P804,LEFT(P804,1),""))=0,"ERRO: dígitos repetidos",IF(AND(VALUE(MID(P804,13,1))=IF(MOD(SUMPRODUCT(--MID(P804,{1,2,3,4,5,6,7,8,9,10,11,12},1),{5,4,3,2,9,8,7,6,5,4,3,2}),11)&lt;2,0,11-MOD(SUMPRODUCT(--MID(P804,{1,2,3,4,5,6,7,8,9,10,11,12},1),{5,4,3,2,9,8,7,6,5,4,3,2}),11)),VALUE(MID(P804,14,1))=IF(MOD(SUMPRODUCT(--MID(P804,{1,2,3,4,5,6,7,8,9,10,11,12,13},1),{6,5,4,3,2,9,8,7,6,5,4,3,2}),11)&lt;2,0,11-MOD(SUMPRODUCT(--MID(P804,{1,2,3,4,5,6,7,8,9,10,11,12,13},1),{6,5,4,3,2,9,8,7,6,5,4,3,2}),11))),"OK","ERRO: dígito verificador")))))</f>
      </c>
      <c r="R804" s="6">
        <f>IF(P804="","",IF(COUNTIF($P$2:$P$1001,P804)&gt;1,"DUPLICADO","OK"))</f>
      </c>
      <c r="S804" s="6">
        <f>IF(AND(J804="",K804=""),"vazio",IF(AND(OR(J804="",LEN(SUBSTITUTE(SUBSTITUTE(SUBSTITUTE(SUBSTITUTE(SUBSTITUTE(SUBSTITUTE(SUBSTITUTE(TRIM(J804),".",""),"/",""),"-","")," ",""),"(",""),")",""),"+",""))=10,LEN(SUBSTITUTE(SUBSTITUTE(SUBSTITUTE(SUBSTITUTE(SUBSTITUTE(SUBSTITUTE(SUBSTITUTE(TRIM(J804),".",""),"/",""),"-","")," ",""),"(",""),")",""),"+",""))=11),OR(K804="",LEN(SUBSTITUTE(SUBSTITUTE(SUBSTITUTE(SUBSTITUTE(SUBSTITUTE(SUBSTITUTE(SUBSTITUTE(TRIM(K804),".",""),"/",""),"-","")," ",""),"(",""),")",""),"+",""))=10,LEN(SUBSTITUTE(SUBSTITUTE(SUBSTITUTE(SUBSTITUTE(SUBSTITUTE(SUBSTITUTE(SUBSTITUTE(TRIM(K804),".",""),"/",""),"-","")," ",""),"(",""),")",""),"+",""))=11)),"OK","ERRO: use DDD + número (10 ou 11 dígitos)"))</f>
      </c>
      <c r="T804" s="6">
        <f>IF(L804="","vazio",IF(AND(ISNUMBER(FIND("@",L804)),ISNUMBER(FIND(".",MID(L804,FIND("@",L804),99))),NOT(ISNUMBER(FIND(" ",TRIM(L804)))),NOT(ISNUMBER(FIND(";",L804))),NOT(ISNUMBER(FIND(",",L804)))),"OK","ERRO: um e-mail válido por linha"))</f>
      </c>
      <c r="U804" s="6">
        <f>IF(COUNTA(A804:O804)=0,"",IF(AND(B804&lt;&gt;"",C804&lt;&gt;"",D804&lt;&gt;"",E804&lt;&gt;"",H804&lt;&gt;"",OR(J804&lt;&gt;"",L804&lt;&gt;"")),"OK","ERRO: faltam "&amp;IF(B804="","Proprietário; ","")&amp;IF(C804="","Origem; ","")&amp;IF(D804="","CNPJ; ","")&amp;IF(E804="","Razão Social; ","")&amp;IF(H804="","Sobrenome; ","")&amp;IF(AND(J804="",L804=""),"telefone ou e-mail; ","")))</f>
      </c>
      <c r="V804" s="6">
        <f>IF(COUNTA(A804:O804)=0,"",IF(AND(Q804="OK",R804="OK",LEFT(S804,4)&lt;&gt;"ERRO",LEFT(T804,4)&lt;&gt;"ERRO",U804="OK"),"OK","REVISAR"))</f>
      </c>
    </row>
    <row r="805">
      <c r="A805" s="4"/>
      <c r="B805" s="5"/>
      <c r="C805" s="5"/>
      <c r="D805" s="5"/>
      <c r="E805" s="5"/>
      <c r="F805" s="4"/>
      <c r="G805" s="4"/>
      <c r="H805" s="5"/>
      <c r="I805" s="4"/>
      <c r="J805" s="4"/>
      <c r="K805" s="4"/>
      <c r="L805" s="4"/>
      <c r="M805" s="4"/>
      <c r="N805" s="4"/>
      <c r="O805" s="4"/>
      <c r="P805" s="6">
        <f>IF(D805="","",SUBSTITUTE(SUBSTITUTE(SUBSTITUTE(SUBSTITUTE(SUBSTITUTE(SUBSTITUTE(SUBSTITUTE(TRIM(D805),".",""),"/",""),"-","")," ",""),"(",""),")",""),"+",""))</f>
      </c>
      <c r="Q805" s="6">
        <f>IF(P805="","",IF(LEN(P805)&lt;&gt;14,"ERRO: "&amp;LEN(P805)&amp;" dígitos",IF(NOT(ISNUMBER(VALUE(P805))),"ERRO: não numérico",IF(LEN(SUBSTITUTE(P805,LEFT(P805,1),""))=0,"ERRO: dígitos repetidos",IF(AND(VALUE(MID(P805,13,1))=IF(MOD(SUMPRODUCT(--MID(P805,{1,2,3,4,5,6,7,8,9,10,11,12},1),{5,4,3,2,9,8,7,6,5,4,3,2}),11)&lt;2,0,11-MOD(SUMPRODUCT(--MID(P805,{1,2,3,4,5,6,7,8,9,10,11,12},1),{5,4,3,2,9,8,7,6,5,4,3,2}),11)),VALUE(MID(P805,14,1))=IF(MOD(SUMPRODUCT(--MID(P805,{1,2,3,4,5,6,7,8,9,10,11,12,13},1),{6,5,4,3,2,9,8,7,6,5,4,3,2}),11)&lt;2,0,11-MOD(SUMPRODUCT(--MID(P805,{1,2,3,4,5,6,7,8,9,10,11,12,13},1),{6,5,4,3,2,9,8,7,6,5,4,3,2}),11))),"OK","ERRO: dígito verificador")))))</f>
      </c>
      <c r="R805" s="6">
        <f>IF(P805="","",IF(COUNTIF($P$2:$P$1001,P805)&gt;1,"DUPLICADO","OK"))</f>
      </c>
      <c r="S805" s="6">
        <f>IF(AND(J805="",K805=""),"vazio",IF(AND(OR(J805="",LEN(SUBSTITUTE(SUBSTITUTE(SUBSTITUTE(SUBSTITUTE(SUBSTITUTE(SUBSTITUTE(SUBSTITUTE(TRIM(J805),".",""),"/",""),"-","")," ",""),"(",""),")",""),"+",""))=10,LEN(SUBSTITUTE(SUBSTITUTE(SUBSTITUTE(SUBSTITUTE(SUBSTITUTE(SUBSTITUTE(SUBSTITUTE(TRIM(J805),".",""),"/",""),"-","")," ",""),"(",""),")",""),"+",""))=11),OR(K805="",LEN(SUBSTITUTE(SUBSTITUTE(SUBSTITUTE(SUBSTITUTE(SUBSTITUTE(SUBSTITUTE(SUBSTITUTE(TRIM(K805),".",""),"/",""),"-","")," ",""),"(",""),")",""),"+",""))=10,LEN(SUBSTITUTE(SUBSTITUTE(SUBSTITUTE(SUBSTITUTE(SUBSTITUTE(SUBSTITUTE(SUBSTITUTE(TRIM(K805),".",""),"/",""),"-","")," ",""),"(",""),")",""),"+",""))=11)),"OK","ERRO: use DDD + número (10 ou 11 dígitos)"))</f>
      </c>
      <c r="T805" s="6">
        <f>IF(L805="","vazio",IF(AND(ISNUMBER(FIND("@",L805)),ISNUMBER(FIND(".",MID(L805,FIND("@",L805),99))),NOT(ISNUMBER(FIND(" ",TRIM(L805)))),NOT(ISNUMBER(FIND(";",L805))),NOT(ISNUMBER(FIND(",",L805)))),"OK","ERRO: um e-mail válido por linha"))</f>
      </c>
      <c r="U805" s="6">
        <f>IF(COUNTA(A805:O805)=0,"",IF(AND(B805&lt;&gt;"",C805&lt;&gt;"",D805&lt;&gt;"",E805&lt;&gt;"",H805&lt;&gt;"",OR(J805&lt;&gt;"",L805&lt;&gt;"")),"OK","ERRO: faltam "&amp;IF(B805="","Proprietário; ","")&amp;IF(C805="","Origem; ","")&amp;IF(D805="","CNPJ; ","")&amp;IF(E805="","Razão Social; ","")&amp;IF(H805="","Sobrenome; ","")&amp;IF(AND(J805="",L805=""),"telefone ou e-mail; ","")))</f>
      </c>
      <c r="V805" s="6">
        <f>IF(COUNTA(A805:O805)=0,"",IF(AND(Q805="OK",R805="OK",LEFT(S805,4)&lt;&gt;"ERRO",LEFT(T805,4)&lt;&gt;"ERRO",U805="OK"),"OK","REVISAR"))</f>
      </c>
    </row>
    <row r="806">
      <c r="A806" s="4"/>
      <c r="B806" s="5"/>
      <c r="C806" s="5"/>
      <c r="D806" s="5"/>
      <c r="E806" s="5"/>
      <c r="F806" s="4"/>
      <c r="G806" s="4"/>
      <c r="H806" s="5"/>
      <c r="I806" s="4"/>
      <c r="J806" s="4"/>
      <c r="K806" s="4"/>
      <c r="L806" s="4"/>
      <c r="M806" s="4"/>
      <c r="N806" s="4"/>
      <c r="O806" s="4"/>
      <c r="P806" s="6">
        <f>IF(D806="","",SUBSTITUTE(SUBSTITUTE(SUBSTITUTE(SUBSTITUTE(SUBSTITUTE(SUBSTITUTE(SUBSTITUTE(TRIM(D806),".",""),"/",""),"-","")," ",""),"(",""),")",""),"+",""))</f>
      </c>
      <c r="Q806" s="6">
        <f>IF(P806="","",IF(LEN(P806)&lt;&gt;14,"ERRO: "&amp;LEN(P806)&amp;" dígitos",IF(NOT(ISNUMBER(VALUE(P806))),"ERRO: não numérico",IF(LEN(SUBSTITUTE(P806,LEFT(P806,1),""))=0,"ERRO: dígitos repetidos",IF(AND(VALUE(MID(P806,13,1))=IF(MOD(SUMPRODUCT(--MID(P806,{1,2,3,4,5,6,7,8,9,10,11,12},1),{5,4,3,2,9,8,7,6,5,4,3,2}),11)&lt;2,0,11-MOD(SUMPRODUCT(--MID(P806,{1,2,3,4,5,6,7,8,9,10,11,12},1),{5,4,3,2,9,8,7,6,5,4,3,2}),11)),VALUE(MID(P806,14,1))=IF(MOD(SUMPRODUCT(--MID(P806,{1,2,3,4,5,6,7,8,9,10,11,12,13},1),{6,5,4,3,2,9,8,7,6,5,4,3,2}),11)&lt;2,0,11-MOD(SUMPRODUCT(--MID(P806,{1,2,3,4,5,6,7,8,9,10,11,12,13},1),{6,5,4,3,2,9,8,7,6,5,4,3,2}),11))),"OK","ERRO: dígito verificador")))))</f>
      </c>
      <c r="R806" s="6">
        <f>IF(P806="","",IF(COUNTIF($P$2:$P$1001,P806)&gt;1,"DUPLICADO","OK"))</f>
      </c>
      <c r="S806" s="6">
        <f>IF(AND(J806="",K806=""),"vazio",IF(AND(OR(J806="",LEN(SUBSTITUTE(SUBSTITUTE(SUBSTITUTE(SUBSTITUTE(SUBSTITUTE(SUBSTITUTE(SUBSTITUTE(TRIM(J806),".",""),"/",""),"-","")," ",""),"(",""),")",""),"+",""))=10,LEN(SUBSTITUTE(SUBSTITUTE(SUBSTITUTE(SUBSTITUTE(SUBSTITUTE(SUBSTITUTE(SUBSTITUTE(TRIM(J806),".",""),"/",""),"-","")," ",""),"(",""),")",""),"+",""))=11),OR(K806="",LEN(SUBSTITUTE(SUBSTITUTE(SUBSTITUTE(SUBSTITUTE(SUBSTITUTE(SUBSTITUTE(SUBSTITUTE(TRIM(K806),".",""),"/",""),"-","")," ",""),"(",""),")",""),"+",""))=10,LEN(SUBSTITUTE(SUBSTITUTE(SUBSTITUTE(SUBSTITUTE(SUBSTITUTE(SUBSTITUTE(SUBSTITUTE(TRIM(K806),".",""),"/",""),"-","")," ",""),"(",""),")",""),"+",""))=11)),"OK","ERRO: use DDD + número (10 ou 11 dígitos)"))</f>
      </c>
      <c r="T806" s="6">
        <f>IF(L806="","vazio",IF(AND(ISNUMBER(FIND("@",L806)),ISNUMBER(FIND(".",MID(L806,FIND("@",L806),99))),NOT(ISNUMBER(FIND(" ",TRIM(L806)))),NOT(ISNUMBER(FIND(";",L806))),NOT(ISNUMBER(FIND(",",L806)))),"OK","ERRO: um e-mail válido por linha"))</f>
      </c>
      <c r="U806" s="6">
        <f>IF(COUNTA(A806:O806)=0,"",IF(AND(B806&lt;&gt;"",C806&lt;&gt;"",D806&lt;&gt;"",E806&lt;&gt;"",H806&lt;&gt;"",OR(J806&lt;&gt;"",L806&lt;&gt;"")),"OK","ERRO: faltam "&amp;IF(B806="","Proprietário; ","")&amp;IF(C806="","Origem; ","")&amp;IF(D806="","CNPJ; ","")&amp;IF(E806="","Razão Social; ","")&amp;IF(H806="","Sobrenome; ","")&amp;IF(AND(J806="",L806=""),"telefone ou e-mail; ","")))</f>
      </c>
      <c r="V806" s="6">
        <f>IF(COUNTA(A806:O806)=0,"",IF(AND(Q806="OK",R806="OK",LEFT(S806,4)&lt;&gt;"ERRO",LEFT(T806,4)&lt;&gt;"ERRO",U806="OK"),"OK","REVISAR"))</f>
      </c>
    </row>
    <row r="807">
      <c r="A807" s="4"/>
      <c r="B807" s="5"/>
      <c r="C807" s="5"/>
      <c r="D807" s="5"/>
      <c r="E807" s="5"/>
      <c r="F807" s="4"/>
      <c r="G807" s="4"/>
      <c r="H807" s="5"/>
      <c r="I807" s="4"/>
      <c r="J807" s="4"/>
      <c r="K807" s="4"/>
      <c r="L807" s="4"/>
      <c r="M807" s="4"/>
      <c r="N807" s="4"/>
      <c r="O807" s="4"/>
      <c r="P807" s="6">
        <f>IF(D807="","",SUBSTITUTE(SUBSTITUTE(SUBSTITUTE(SUBSTITUTE(SUBSTITUTE(SUBSTITUTE(SUBSTITUTE(TRIM(D807),".",""),"/",""),"-","")," ",""),"(",""),")",""),"+",""))</f>
      </c>
      <c r="Q807" s="6">
        <f>IF(P807="","",IF(LEN(P807)&lt;&gt;14,"ERRO: "&amp;LEN(P807)&amp;" dígitos",IF(NOT(ISNUMBER(VALUE(P807))),"ERRO: não numérico",IF(LEN(SUBSTITUTE(P807,LEFT(P807,1),""))=0,"ERRO: dígitos repetidos",IF(AND(VALUE(MID(P807,13,1))=IF(MOD(SUMPRODUCT(--MID(P807,{1,2,3,4,5,6,7,8,9,10,11,12},1),{5,4,3,2,9,8,7,6,5,4,3,2}),11)&lt;2,0,11-MOD(SUMPRODUCT(--MID(P807,{1,2,3,4,5,6,7,8,9,10,11,12},1),{5,4,3,2,9,8,7,6,5,4,3,2}),11)),VALUE(MID(P807,14,1))=IF(MOD(SUMPRODUCT(--MID(P807,{1,2,3,4,5,6,7,8,9,10,11,12,13},1),{6,5,4,3,2,9,8,7,6,5,4,3,2}),11)&lt;2,0,11-MOD(SUMPRODUCT(--MID(P807,{1,2,3,4,5,6,7,8,9,10,11,12,13},1),{6,5,4,3,2,9,8,7,6,5,4,3,2}),11))),"OK","ERRO: dígito verificador")))))</f>
      </c>
      <c r="R807" s="6">
        <f>IF(P807="","",IF(COUNTIF($P$2:$P$1001,P807)&gt;1,"DUPLICADO","OK"))</f>
      </c>
      <c r="S807" s="6">
        <f>IF(AND(J807="",K807=""),"vazio",IF(AND(OR(J807="",LEN(SUBSTITUTE(SUBSTITUTE(SUBSTITUTE(SUBSTITUTE(SUBSTITUTE(SUBSTITUTE(SUBSTITUTE(TRIM(J807),".",""),"/",""),"-","")," ",""),"(",""),")",""),"+",""))=10,LEN(SUBSTITUTE(SUBSTITUTE(SUBSTITUTE(SUBSTITUTE(SUBSTITUTE(SUBSTITUTE(SUBSTITUTE(TRIM(J807),".",""),"/",""),"-","")," ",""),"(",""),")",""),"+",""))=11),OR(K807="",LEN(SUBSTITUTE(SUBSTITUTE(SUBSTITUTE(SUBSTITUTE(SUBSTITUTE(SUBSTITUTE(SUBSTITUTE(TRIM(K807),".",""),"/",""),"-","")," ",""),"(",""),")",""),"+",""))=10,LEN(SUBSTITUTE(SUBSTITUTE(SUBSTITUTE(SUBSTITUTE(SUBSTITUTE(SUBSTITUTE(SUBSTITUTE(TRIM(K807),".",""),"/",""),"-","")," ",""),"(",""),")",""),"+",""))=11)),"OK","ERRO: use DDD + número (10 ou 11 dígitos)"))</f>
      </c>
      <c r="T807" s="6">
        <f>IF(L807="","vazio",IF(AND(ISNUMBER(FIND("@",L807)),ISNUMBER(FIND(".",MID(L807,FIND("@",L807),99))),NOT(ISNUMBER(FIND(" ",TRIM(L807)))),NOT(ISNUMBER(FIND(";",L807))),NOT(ISNUMBER(FIND(",",L807)))),"OK","ERRO: um e-mail válido por linha"))</f>
      </c>
      <c r="U807" s="6">
        <f>IF(COUNTA(A807:O807)=0,"",IF(AND(B807&lt;&gt;"",C807&lt;&gt;"",D807&lt;&gt;"",E807&lt;&gt;"",H807&lt;&gt;"",OR(J807&lt;&gt;"",L807&lt;&gt;"")),"OK","ERRO: faltam "&amp;IF(B807="","Proprietário; ","")&amp;IF(C807="","Origem; ","")&amp;IF(D807="","CNPJ; ","")&amp;IF(E807="","Razão Social; ","")&amp;IF(H807="","Sobrenome; ","")&amp;IF(AND(J807="",L807=""),"telefone ou e-mail; ","")))</f>
      </c>
      <c r="V807" s="6">
        <f>IF(COUNTA(A807:O807)=0,"",IF(AND(Q807="OK",R807="OK",LEFT(S807,4)&lt;&gt;"ERRO",LEFT(T807,4)&lt;&gt;"ERRO",U807="OK"),"OK","REVISAR"))</f>
      </c>
    </row>
    <row r="808">
      <c r="A808" s="4"/>
      <c r="B808" s="5"/>
      <c r="C808" s="5"/>
      <c r="D808" s="5"/>
      <c r="E808" s="5"/>
      <c r="F808" s="4"/>
      <c r="G808" s="4"/>
      <c r="H808" s="5"/>
      <c r="I808" s="4"/>
      <c r="J808" s="4"/>
      <c r="K808" s="4"/>
      <c r="L808" s="4"/>
      <c r="M808" s="4"/>
      <c r="N808" s="4"/>
      <c r="O808" s="4"/>
      <c r="P808" s="6">
        <f>IF(D808="","",SUBSTITUTE(SUBSTITUTE(SUBSTITUTE(SUBSTITUTE(SUBSTITUTE(SUBSTITUTE(SUBSTITUTE(TRIM(D808),".",""),"/",""),"-","")," ",""),"(",""),")",""),"+",""))</f>
      </c>
      <c r="Q808" s="6">
        <f>IF(P808="","",IF(LEN(P808)&lt;&gt;14,"ERRO: "&amp;LEN(P808)&amp;" dígitos",IF(NOT(ISNUMBER(VALUE(P808))),"ERRO: não numérico",IF(LEN(SUBSTITUTE(P808,LEFT(P808,1),""))=0,"ERRO: dígitos repetidos",IF(AND(VALUE(MID(P808,13,1))=IF(MOD(SUMPRODUCT(--MID(P808,{1,2,3,4,5,6,7,8,9,10,11,12},1),{5,4,3,2,9,8,7,6,5,4,3,2}),11)&lt;2,0,11-MOD(SUMPRODUCT(--MID(P808,{1,2,3,4,5,6,7,8,9,10,11,12},1),{5,4,3,2,9,8,7,6,5,4,3,2}),11)),VALUE(MID(P808,14,1))=IF(MOD(SUMPRODUCT(--MID(P808,{1,2,3,4,5,6,7,8,9,10,11,12,13},1),{6,5,4,3,2,9,8,7,6,5,4,3,2}),11)&lt;2,0,11-MOD(SUMPRODUCT(--MID(P808,{1,2,3,4,5,6,7,8,9,10,11,12,13},1),{6,5,4,3,2,9,8,7,6,5,4,3,2}),11))),"OK","ERRO: dígito verificador")))))</f>
      </c>
      <c r="R808" s="6">
        <f>IF(P808="","",IF(COUNTIF($P$2:$P$1001,P808)&gt;1,"DUPLICADO","OK"))</f>
      </c>
      <c r="S808" s="6">
        <f>IF(AND(J808="",K808=""),"vazio",IF(AND(OR(J808="",LEN(SUBSTITUTE(SUBSTITUTE(SUBSTITUTE(SUBSTITUTE(SUBSTITUTE(SUBSTITUTE(SUBSTITUTE(TRIM(J808),".",""),"/",""),"-","")," ",""),"(",""),")",""),"+",""))=10,LEN(SUBSTITUTE(SUBSTITUTE(SUBSTITUTE(SUBSTITUTE(SUBSTITUTE(SUBSTITUTE(SUBSTITUTE(TRIM(J808),".",""),"/",""),"-","")," ",""),"(",""),")",""),"+",""))=11),OR(K808="",LEN(SUBSTITUTE(SUBSTITUTE(SUBSTITUTE(SUBSTITUTE(SUBSTITUTE(SUBSTITUTE(SUBSTITUTE(TRIM(K808),".",""),"/",""),"-","")," ",""),"(",""),")",""),"+",""))=10,LEN(SUBSTITUTE(SUBSTITUTE(SUBSTITUTE(SUBSTITUTE(SUBSTITUTE(SUBSTITUTE(SUBSTITUTE(TRIM(K808),".",""),"/",""),"-","")," ",""),"(",""),")",""),"+",""))=11)),"OK","ERRO: use DDD + número (10 ou 11 dígitos)"))</f>
      </c>
      <c r="T808" s="6">
        <f>IF(L808="","vazio",IF(AND(ISNUMBER(FIND("@",L808)),ISNUMBER(FIND(".",MID(L808,FIND("@",L808),99))),NOT(ISNUMBER(FIND(" ",TRIM(L808)))),NOT(ISNUMBER(FIND(";",L808))),NOT(ISNUMBER(FIND(",",L808)))),"OK","ERRO: um e-mail válido por linha"))</f>
      </c>
      <c r="U808" s="6">
        <f>IF(COUNTA(A808:O808)=0,"",IF(AND(B808&lt;&gt;"",C808&lt;&gt;"",D808&lt;&gt;"",E808&lt;&gt;"",H808&lt;&gt;"",OR(J808&lt;&gt;"",L808&lt;&gt;"")),"OK","ERRO: faltam "&amp;IF(B808="","Proprietário; ","")&amp;IF(C808="","Origem; ","")&amp;IF(D808="","CNPJ; ","")&amp;IF(E808="","Razão Social; ","")&amp;IF(H808="","Sobrenome; ","")&amp;IF(AND(J808="",L808=""),"telefone ou e-mail; ","")))</f>
      </c>
      <c r="V808" s="6">
        <f>IF(COUNTA(A808:O808)=0,"",IF(AND(Q808="OK",R808="OK",LEFT(S808,4)&lt;&gt;"ERRO",LEFT(T808,4)&lt;&gt;"ERRO",U808="OK"),"OK","REVISAR"))</f>
      </c>
    </row>
    <row r="809">
      <c r="A809" s="4"/>
      <c r="B809" s="5"/>
      <c r="C809" s="5"/>
      <c r="D809" s="5"/>
      <c r="E809" s="5"/>
      <c r="F809" s="4"/>
      <c r="G809" s="4"/>
      <c r="H809" s="5"/>
      <c r="I809" s="4"/>
      <c r="J809" s="4"/>
      <c r="K809" s="4"/>
      <c r="L809" s="4"/>
      <c r="M809" s="4"/>
      <c r="N809" s="4"/>
      <c r="O809" s="4"/>
      <c r="P809" s="6">
        <f>IF(D809="","",SUBSTITUTE(SUBSTITUTE(SUBSTITUTE(SUBSTITUTE(SUBSTITUTE(SUBSTITUTE(SUBSTITUTE(TRIM(D809),".",""),"/",""),"-","")," ",""),"(",""),")",""),"+",""))</f>
      </c>
      <c r="Q809" s="6">
        <f>IF(P809="","",IF(LEN(P809)&lt;&gt;14,"ERRO: "&amp;LEN(P809)&amp;" dígitos",IF(NOT(ISNUMBER(VALUE(P809))),"ERRO: não numérico",IF(LEN(SUBSTITUTE(P809,LEFT(P809,1),""))=0,"ERRO: dígitos repetidos",IF(AND(VALUE(MID(P809,13,1))=IF(MOD(SUMPRODUCT(--MID(P809,{1,2,3,4,5,6,7,8,9,10,11,12},1),{5,4,3,2,9,8,7,6,5,4,3,2}),11)&lt;2,0,11-MOD(SUMPRODUCT(--MID(P809,{1,2,3,4,5,6,7,8,9,10,11,12},1),{5,4,3,2,9,8,7,6,5,4,3,2}),11)),VALUE(MID(P809,14,1))=IF(MOD(SUMPRODUCT(--MID(P809,{1,2,3,4,5,6,7,8,9,10,11,12,13},1),{6,5,4,3,2,9,8,7,6,5,4,3,2}),11)&lt;2,0,11-MOD(SUMPRODUCT(--MID(P809,{1,2,3,4,5,6,7,8,9,10,11,12,13},1),{6,5,4,3,2,9,8,7,6,5,4,3,2}),11))),"OK","ERRO: dígito verificador")))))</f>
      </c>
      <c r="R809" s="6">
        <f>IF(P809="","",IF(COUNTIF($P$2:$P$1001,P809)&gt;1,"DUPLICADO","OK"))</f>
      </c>
      <c r="S809" s="6">
        <f>IF(AND(J809="",K809=""),"vazio",IF(AND(OR(J809="",LEN(SUBSTITUTE(SUBSTITUTE(SUBSTITUTE(SUBSTITUTE(SUBSTITUTE(SUBSTITUTE(SUBSTITUTE(TRIM(J809),".",""),"/",""),"-","")," ",""),"(",""),")",""),"+",""))=10,LEN(SUBSTITUTE(SUBSTITUTE(SUBSTITUTE(SUBSTITUTE(SUBSTITUTE(SUBSTITUTE(SUBSTITUTE(TRIM(J809),".",""),"/",""),"-","")," ",""),"(",""),")",""),"+",""))=11),OR(K809="",LEN(SUBSTITUTE(SUBSTITUTE(SUBSTITUTE(SUBSTITUTE(SUBSTITUTE(SUBSTITUTE(SUBSTITUTE(TRIM(K809),".",""),"/",""),"-","")," ",""),"(",""),")",""),"+",""))=10,LEN(SUBSTITUTE(SUBSTITUTE(SUBSTITUTE(SUBSTITUTE(SUBSTITUTE(SUBSTITUTE(SUBSTITUTE(TRIM(K809),".",""),"/",""),"-","")," ",""),"(",""),")",""),"+",""))=11)),"OK","ERRO: use DDD + número (10 ou 11 dígitos)"))</f>
      </c>
      <c r="T809" s="6">
        <f>IF(L809="","vazio",IF(AND(ISNUMBER(FIND("@",L809)),ISNUMBER(FIND(".",MID(L809,FIND("@",L809),99))),NOT(ISNUMBER(FIND(" ",TRIM(L809)))),NOT(ISNUMBER(FIND(";",L809))),NOT(ISNUMBER(FIND(",",L809)))),"OK","ERRO: um e-mail válido por linha"))</f>
      </c>
      <c r="U809" s="6">
        <f>IF(COUNTA(A809:O809)=0,"",IF(AND(B809&lt;&gt;"",C809&lt;&gt;"",D809&lt;&gt;"",E809&lt;&gt;"",H809&lt;&gt;"",OR(J809&lt;&gt;"",L809&lt;&gt;"")),"OK","ERRO: faltam "&amp;IF(B809="","Proprietário; ","")&amp;IF(C809="","Origem; ","")&amp;IF(D809="","CNPJ; ","")&amp;IF(E809="","Razão Social; ","")&amp;IF(H809="","Sobrenome; ","")&amp;IF(AND(J809="",L809=""),"telefone ou e-mail; ","")))</f>
      </c>
      <c r="V809" s="6">
        <f>IF(COUNTA(A809:O809)=0,"",IF(AND(Q809="OK",R809="OK",LEFT(S809,4)&lt;&gt;"ERRO",LEFT(T809,4)&lt;&gt;"ERRO",U809="OK"),"OK","REVISAR"))</f>
      </c>
    </row>
    <row r="810">
      <c r="A810" s="4"/>
      <c r="B810" s="5"/>
      <c r="C810" s="5"/>
      <c r="D810" s="5"/>
      <c r="E810" s="5"/>
      <c r="F810" s="4"/>
      <c r="G810" s="4"/>
      <c r="H810" s="5"/>
      <c r="I810" s="4"/>
      <c r="J810" s="4"/>
      <c r="K810" s="4"/>
      <c r="L810" s="4"/>
      <c r="M810" s="4"/>
      <c r="N810" s="4"/>
      <c r="O810" s="4"/>
      <c r="P810" s="6">
        <f>IF(D810="","",SUBSTITUTE(SUBSTITUTE(SUBSTITUTE(SUBSTITUTE(SUBSTITUTE(SUBSTITUTE(SUBSTITUTE(TRIM(D810),".",""),"/",""),"-","")," ",""),"(",""),")",""),"+",""))</f>
      </c>
      <c r="Q810" s="6">
        <f>IF(P810="","",IF(LEN(P810)&lt;&gt;14,"ERRO: "&amp;LEN(P810)&amp;" dígitos",IF(NOT(ISNUMBER(VALUE(P810))),"ERRO: não numérico",IF(LEN(SUBSTITUTE(P810,LEFT(P810,1),""))=0,"ERRO: dígitos repetidos",IF(AND(VALUE(MID(P810,13,1))=IF(MOD(SUMPRODUCT(--MID(P810,{1,2,3,4,5,6,7,8,9,10,11,12},1),{5,4,3,2,9,8,7,6,5,4,3,2}),11)&lt;2,0,11-MOD(SUMPRODUCT(--MID(P810,{1,2,3,4,5,6,7,8,9,10,11,12},1),{5,4,3,2,9,8,7,6,5,4,3,2}),11)),VALUE(MID(P810,14,1))=IF(MOD(SUMPRODUCT(--MID(P810,{1,2,3,4,5,6,7,8,9,10,11,12,13},1),{6,5,4,3,2,9,8,7,6,5,4,3,2}),11)&lt;2,0,11-MOD(SUMPRODUCT(--MID(P810,{1,2,3,4,5,6,7,8,9,10,11,12,13},1),{6,5,4,3,2,9,8,7,6,5,4,3,2}),11))),"OK","ERRO: dígito verificador")))))</f>
      </c>
      <c r="R810" s="6">
        <f>IF(P810="","",IF(COUNTIF($P$2:$P$1001,P810)&gt;1,"DUPLICADO","OK"))</f>
      </c>
      <c r="S810" s="6">
        <f>IF(AND(J810="",K810=""),"vazio",IF(AND(OR(J810="",LEN(SUBSTITUTE(SUBSTITUTE(SUBSTITUTE(SUBSTITUTE(SUBSTITUTE(SUBSTITUTE(SUBSTITUTE(TRIM(J810),".",""),"/",""),"-","")," ",""),"(",""),")",""),"+",""))=10,LEN(SUBSTITUTE(SUBSTITUTE(SUBSTITUTE(SUBSTITUTE(SUBSTITUTE(SUBSTITUTE(SUBSTITUTE(TRIM(J810),".",""),"/",""),"-","")," ",""),"(",""),")",""),"+",""))=11),OR(K810="",LEN(SUBSTITUTE(SUBSTITUTE(SUBSTITUTE(SUBSTITUTE(SUBSTITUTE(SUBSTITUTE(SUBSTITUTE(TRIM(K810),".",""),"/",""),"-","")," ",""),"(",""),")",""),"+",""))=10,LEN(SUBSTITUTE(SUBSTITUTE(SUBSTITUTE(SUBSTITUTE(SUBSTITUTE(SUBSTITUTE(SUBSTITUTE(TRIM(K810),".",""),"/",""),"-","")," ",""),"(",""),")",""),"+",""))=11)),"OK","ERRO: use DDD + número (10 ou 11 dígitos)"))</f>
      </c>
      <c r="T810" s="6">
        <f>IF(L810="","vazio",IF(AND(ISNUMBER(FIND("@",L810)),ISNUMBER(FIND(".",MID(L810,FIND("@",L810),99))),NOT(ISNUMBER(FIND(" ",TRIM(L810)))),NOT(ISNUMBER(FIND(";",L810))),NOT(ISNUMBER(FIND(",",L810)))),"OK","ERRO: um e-mail válido por linha"))</f>
      </c>
      <c r="U810" s="6">
        <f>IF(COUNTA(A810:O810)=0,"",IF(AND(B810&lt;&gt;"",C810&lt;&gt;"",D810&lt;&gt;"",E810&lt;&gt;"",H810&lt;&gt;"",OR(J810&lt;&gt;"",L810&lt;&gt;"")),"OK","ERRO: faltam "&amp;IF(B810="","Proprietário; ","")&amp;IF(C810="","Origem; ","")&amp;IF(D810="","CNPJ; ","")&amp;IF(E810="","Razão Social; ","")&amp;IF(H810="","Sobrenome; ","")&amp;IF(AND(J810="",L810=""),"telefone ou e-mail; ","")))</f>
      </c>
      <c r="V810" s="6">
        <f>IF(COUNTA(A810:O810)=0,"",IF(AND(Q810="OK",R810="OK",LEFT(S810,4)&lt;&gt;"ERRO",LEFT(T810,4)&lt;&gt;"ERRO",U810="OK"),"OK","REVISAR"))</f>
      </c>
    </row>
    <row r="811">
      <c r="A811" s="4"/>
      <c r="B811" s="5"/>
      <c r="C811" s="5"/>
      <c r="D811" s="5"/>
      <c r="E811" s="5"/>
      <c r="F811" s="4"/>
      <c r="G811" s="4"/>
      <c r="H811" s="5"/>
      <c r="I811" s="4"/>
      <c r="J811" s="4"/>
      <c r="K811" s="4"/>
      <c r="L811" s="4"/>
      <c r="M811" s="4"/>
      <c r="N811" s="4"/>
      <c r="O811" s="4"/>
      <c r="P811" s="6">
        <f>IF(D811="","",SUBSTITUTE(SUBSTITUTE(SUBSTITUTE(SUBSTITUTE(SUBSTITUTE(SUBSTITUTE(SUBSTITUTE(TRIM(D811),".",""),"/",""),"-","")," ",""),"(",""),")",""),"+",""))</f>
      </c>
      <c r="Q811" s="6">
        <f>IF(P811="","",IF(LEN(P811)&lt;&gt;14,"ERRO: "&amp;LEN(P811)&amp;" dígitos",IF(NOT(ISNUMBER(VALUE(P811))),"ERRO: não numérico",IF(LEN(SUBSTITUTE(P811,LEFT(P811,1),""))=0,"ERRO: dígitos repetidos",IF(AND(VALUE(MID(P811,13,1))=IF(MOD(SUMPRODUCT(--MID(P811,{1,2,3,4,5,6,7,8,9,10,11,12},1),{5,4,3,2,9,8,7,6,5,4,3,2}),11)&lt;2,0,11-MOD(SUMPRODUCT(--MID(P811,{1,2,3,4,5,6,7,8,9,10,11,12},1),{5,4,3,2,9,8,7,6,5,4,3,2}),11)),VALUE(MID(P811,14,1))=IF(MOD(SUMPRODUCT(--MID(P811,{1,2,3,4,5,6,7,8,9,10,11,12,13},1),{6,5,4,3,2,9,8,7,6,5,4,3,2}),11)&lt;2,0,11-MOD(SUMPRODUCT(--MID(P811,{1,2,3,4,5,6,7,8,9,10,11,12,13},1),{6,5,4,3,2,9,8,7,6,5,4,3,2}),11))),"OK","ERRO: dígito verificador")))))</f>
      </c>
      <c r="R811" s="6">
        <f>IF(P811="","",IF(COUNTIF($P$2:$P$1001,P811)&gt;1,"DUPLICADO","OK"))</f>
      </c>
      <c r="S811" s="6">
        <f>IF(AND(J811="",K811=""),"vazio",IF(AND(OR(J811="",LEN(SUBSTITUTE(SUBSTITUTE(SUBSTITUTE(SUBSTITUTE(SUBSTITUTE(SUBSTITUTE(SUBSTITUTE(TRIM(J811),".",""),"/",""),"-","")," ",""),"(",""),")",""),"+",""))=10,LEN(SUBSTITUTE(SUBSTITUTE(SUBSTITUTE(SUBSTITUTE(SUBSTITUTE(SUBSTITUTE(SUBSTITUTE(TRIM(J811),".",""),"/",""),"-","")," ",""),"(",""),")",""),"+",""))=11),OR(K811="",LEN(SUBSTITUTE(SUBSTITUTE(SUBSTITUTE(SUBSTITUTE(SUBSTITUTE(SUBSTITUTE(SUBSTITUTE(TRIM(K811),".",""),"/",""),"-","")," ",""),"(",""),")",""),"+",""))=10,LEN(SUBSTITUTE(SUBSTITUTE(SUBSTITUTE(SUBSTITUTE(SUBSTITUTE(SUBSTITUTE(SUBSTITUTE(TRIM(K811),".",""),"/",""),"-","")," ",""),"(",""),")",""),"+",""))=11)),"OK","ERRO: use DDD + número (10 ou 11 dígitos)"))</f>
      </c>
      <c r="T811" s="6">
        <f>IF(L811="","vazio",IF(AND(ISNUMBER(FIND("@",L811)),ISNUMBER(FIND(".",MID(L811,FIND("@",L811),99))),NOT(ISNUMBER(FIND(" ",TRIM(L811)))),NOT(ISNUMBER(FIND(";",L811))),NOT(ISNUMBER(FIND(",",L811)))),"OK","ERRO: um e-mail válido por linha"))</f>
      </c>
      <c r="U811" s="6">
        <f>IF(COUNTA(A811:O811)=0,"",IF(AND(B811&lt;&gt;"",C811&lt;&gt;"",D811&lt;&gt;"",E811&lt;&gt;"",H811&lt;&gt;"",OR(J811&lt;&gt;"",L811&lt;&gt;"")),"OK","ERRO: faltam "&amp;IF(B811="","Proprietário; ","")&amp;IF(C811="","Origem; ","")&amp;IF(D811="","CNPJ; ","")&amp;IF(E811="","Razão Social; ","")&amp;IF(H811="","Sobrenome; ","")&amp;IF(AND(J811="",L811=""),"telefone ou e-mail; ","")))</f>
      </c>
      <c r="V811" s="6">
        <f>IF(COUNTA(A811:O811)=0,"",IF(AND(Q811="OK",R811="OK",LEFT(S811,4)&lt;&gt;"ERRO",LEFT(T811,4)&lt;&gt;"ERRO",U811="OK"),"OK","REVISAR"))</f>
      </c>
    </row>
    <row r="812">
      <c r="A812" s="4"/>
      <c r="B812" s="5"/>
      <c r="C812" s="5"/>
      <c r="D812" s="5"/>
      <c r="E812" s="5"/>
      <c r="F812" s="4"/>
      <c r="G812" s="4"/>
      <c r="H812" s="5"/>
      <c r="I812" s="4"/>
      <c r="J812" s="4"/>
      <c r="K812" s="4"/>
      <c r="L812" s="4"/>
      <c r="M812" s="4"/>
      <c r="N812" s="4"/>
      <c r="O812" s="4"/>
      <c r="P812" s="6">
        <f>IF(D812="","",SUBSTITUTE(SUBSTITUTE(SUBSTITUTE(SUBSTITUTE(SUBSTITUTE(SUBSTITUTE(SUBSTITUTE(TRIM(D812),".",""),"/",""),"-","")," ",""),"(",""),")",""),"+",""))</f>
      </c>
      <c r="Q812" s="6">
        <f>IF(P812="","",IF(LEN(P812)&lt;&gt;14,"ERRO: "&amp;LEN(P812)&amp;" dígitos",IF(NOT(ISNUMBER(VALUE(P812))),"ERRO: não numérico",IF(LEN(SUBSTITUTE(P812,LEFT(P812,1),""))=0,"ERRO: dígitos repetidos",IF(AND(VALUE(MID(P812,13,1))=IF(MOD(SUMPRODUCT(--MID(P812,{1,2,3,4,5,6,7,8,9,10,11,12},1),{5,4,3,2,9,8,7,6,5,4,3,2}),11)&lt;2,0,11-MOD(SUMPRODUCT(--MID(P812,{1,2,3,4,5,6,7,8,9,10,11,12},1),{5,4,3,2,9,8,7,6,5,4,3,2}),11)),VALUE(MID(P812,14,1))=IF(MOD(SUMPRODUCT(--MID(P812,{1,2,3,4,5,6,7,8,9,10,11,12,13},1),{6,5,4,3,2,9,8,7,6,5,4,3,2}),11)&lt;2,0,11-MOD(SUMPRODUCT(--MID(P812,{1,2,3,4,5,6,7,8,9,10,11,12,13},1),{6,5,4,3,2,9,8,7,6,5,4,3,2}),11))),"OK","ERRO: dígito verificador")))))</f>
      </c>
      <c r="R812" s="6">
        <f>IF(P812="","",IF(COUNTIF($P$2:$P$1001,P812)&gt;1,"DUPLICADO","OK"))</f>
      </c>
      <c r="S812" s="6">
        <f>IF(AND(J812="",K812=""),"vazio",IF(AND(OR(J812="",LEN(SUBSTITUTE(SUBSTITUTE(SUBSTITUTE(SUBSTITUTE(SUBSTITUTE(SUBSTITUTE(SUBSTITUTE(TRIM(J812),".",""),"/",""),"-","")," ",""),"(",""),")",""),"+",""))=10,LEN(SUBSTITUTE(SUBSTITUTE(SUBSTITUTE(SUBSTITUTE(SUBSTITUTE(SUBSTITUTE(SUBSTITUTE(TRIM(J812),".",""),"/",""),"-","")," ",""),"(",""),")",""),"+",""))=11),OR(K812="",LEN(SUBSTITUTE(SUBSTITUTE(SUBSTITUTE(SUBSTITUTE(SUBSTITUTE(SUBSTITUTE(SUBSTITUTE(TRIM(K812),".",""),"/",""),"-","")," ",""),"(",""),")",""),"+",""))=10,LEN(SUBSTITUTE(SUBSTITUTE(SUBSTITUTE(SUBSTITUTE(SUBSTITUTE(SUBSTITUTE(SUBSTITUTE(TRIM(K812),".",""),"/",""),"-","")," ",""),"(",""),")",""),"+",""))=11)),"OK","ERRO: use DDD + número (10 ou 11 dígitos)"))</f>
      </c>
      <c r="T812" s="6">
        <f>IF(L812="","vazio",IF(AND(ISNUMBER(FIND("@",L812)),ISNUMBER(FIND(".",MID(L812,FIND("@",L812),99))),NOT(ISNUMBER(FIND(" ",TRIM(L812)))),NOT(ISNUMBER(FIND(";",L812))),NOT(ISNUMBER(FIND(",",L812)))),"OK","ERRO: um e-mail válido por linha"))</f>
      </c>
      <c r="U812" s="6">
        <f>IF(COUNTA(A812:O812)=0,"",IF(AND(B812&lt;&gt;"",C812&lt;&gt;"",D812&lt;&gt;"",E812&lt;&gt;"",H812&lt;&gt;"",OR(J812&lt;&gt;"",L812&lt;&gt;"")),"OK","ERRO: faltam "&amp;IF(B812="","Proprietário; ","")&amp;IF(C812="","Origem; ","")&amp;IF(D812="","CNPJ; ","")&amp;IF(E812="","Razão Social; ","")&amp;IF(H812="","Sobrenome; ","")&amp;IF(AND(J812="",L812=""),"telefone ou e-mail; ","")))</f>
      </c>
      <c r="V812" s="6">
        <f>IF(COUNTA(A812:O812)=0,"",IF(AND(Q812="OK",R812="OK",LEFT(S812,4)&lt;&gt;"ERRO",LEFT(T812,4)&lt;&gt;"ERRO",U812="OK"),"OK","REVISAR"))</f>
      </c>
    </row>
    <row r="813">
      <c r="A813" s="4"/>
      <c r="B813" s="5"/>
      <c r="C813" s="5"/>
      <c r="D813" s="5"/>
      <c r="E813" s="5"/>
      <c r="F813" s="4"/>
      <c r="G813" s="4"/>
      <c r="H813" s="5"/>
      <c r="I813" s="4"/>
      <c r="J813" s="4"/>
      <c r="K813" s="4"/>
      <c r="L813" s="4"/>
      <c r="M813" s="4"/>
      <c r="N813" s="4"/>
      <c r="O813" s="4"/>
      <c r="P813" s="6">
        <f>IF(D813="","",SUBSTITUTE(SUBSTITUTE(SUBSTITUTE(SUBSTITUTE(SUBSTITUTE(SUBSTITUTE(SUBSTITUTE(TRIM(D813),".",""),"/",""),"-","")," ",""),"(",""),")",""),"+",""))</f>
      </c>
      <c r="Q813" s="6">
        <f>IF(P813="","",IF(LEN(P813)&lt;&gt;14,"ERRO: "&amp;LEN(P813)&amp;" dígitos",IF(NOT(ISNUMBER(VALUE(P813))),"ERRO: não numérico",IF(LEN(SUBSTITUTE(P813,LEFT(P813,1),""))=0,"ERRO: dígitos repetidos",IF(AND(VALUE(MID(P813,13,1))=IF(MOD(SUMPRODUCT(--MID(P813,{1,2,3,4,5,6,7,8,9,10,11,12},1),{5,4,3,2,9,8,7,6,5,4,3,2}),11)&lt;2,0,11-MOD(SUMPRODUCT(--MID(P813,{1,2,3,4,5,6,7,8,9,10,11,12},1),{5,4,3,2,9,8,7,6,5,4,3,2}),11)),VALUE(MID(P813,14,1))=IF(MOD(SUMPRODUCT(--MID(P813,{1,2,3,4,5,6,7,8,9,10,11,12,13},1),{6,5,4,3,2,9,8,7,6,5,4,3,2}),11)&lt;2,0,11-MOD(SUMPRODUCT(--MID(P813,{1,2,3,4,5,6,7,8,9,10,11,12,13},1),{6,5,4,3,2,9,8,7,6,5,4,3,2}),11))),"OK","ERRO: dígito verificador")))))</f>
      </c>
      <c r="R813" s="6">
        <f>IF(P813="","",IF(COUNTIF($P$2:$P$1001,P813)&gt;1,"DUPLICADO","OK"))</f>
      </c>
      <c r="S813" s="6">
        <f>IF(AND(J813="",K813=""),"vazio",IF(AND(OR(J813="",LEN(SUBSTITUTE(SUBSTITUTE(SUBSTITUTE(SUBSTITUTE(SUBSTITUTE(SUBSTITUTE(SUBSTITUTE(TRIM(J813),".",""),"/",""),"-","")," ",""),"(",""),")",""),"+",""))=10,LEN(SUBSTITUTE(SUBSTITUTE(SUBSTITUTE(SUBSTITUTE(SUBSTITUTE(SUBSTITUTE(SUBSTITUTE(TRIM(J813),".",""),"/",""),"-","")," ",""),"(",""),")",""),"+",""))=11),OR(K813="",LEN(SUBSTITUTE(SUBSTITUTE(SUBSTITUTE(SUBSTITUTE(SUBSTITUTE(SUBSTITUTE(SUBSTITUTE(TRIM(K813),".",""),"/",""),"-","")," ",""),"(",""),")",""),"+",""))=10,LEN(SUBSTITUTE(SUBSTITUTE(SUBSTITUTE(SUBSTITUTE(SUBSTITUTE(SUBSTITUTE(SUBSTITUTE(TRIM(K813),".",""),"/",""),"-","")," ",""),"(",""),")",""),"+",""))=11)),"OK","ERRO: use DDD + número (10 ou 11 dígitos)"))</f>
      </c>
      <c r="T813" s="6">
        <f>IF(L813="","vazio",IF(AND(ISNUMBER(FIND("@",L813)),ISNUMBER(FIND(".",MID(L813,FIND("@",L813),99))),NOT(ISNUMBER(FIND(" ",TRIM(L813)))),NOT(ISNUMBER(FIND(";",L813))),NOT(ISNUMBER(FIND(",",L813)))),"OK","ERRO: um e-mail válido por linha"))</f>
      </c>
      <c r="U813" s="6">
        <f>IF(COUNTA(A813:O813)=0,"",IF(AND(B813&lt;&gt;"",C813&lt;&gt;"",D813&lt;&gt;"",E813&lt;&gt;"",H813&lt;&gt;"",OR(J813&lt;&gt;"",L813&lt;&gt;"")),"OK","ERRO: faltam "&amp;IF(B813="","Proprietário; ","")&amp;IF(C813="","Origem; ","")&amp;IF(D813="","CNPJ; ","")&amp;IF(E813="","Razão Social; ","")&amp;IF(H813="","Sobrenome; ","")&amp;IF(AND(J813="",L813=""),"telefone ou e-mail; ","")))</f>
      </c>
      <c r="V813" s="6">
        <f>IF(COUNTA(A813:O813)=0,"",IF(AND(Q813="OK",R813="OK",LEFT(S813,4)&lt;&gt;"ERRO",LEFT(T813,4)&lt;&gt;"ERRO",U813="OK"),"OK","REVISAR"))</f>
      </c>
    </row>
    <row r="814">
      <c r="A814" s="4"/>
      <c r="B814" s="5"/>
      <c r="C814" s="5"/>
      <c r="D814" s="5"/>
      <c r="E814" s="5"/>
      <c r="F814" s="4"/>
      <c r="G814" s="4"/>
      <c r="H814" s="5"/>
      <c r="I814" s="4"/>
      <c r="J814" s="4"/>
      <c r="K814" s="4"/>
      <c r="L814" s="4"/>
      <c r="M814" s="4"/>
      <c r="N814" s="4"/>
      <c r="O814" s="4"/>
      <c r="P814" s="6">
        <f>IF(D814="","",SUBSTITUTE(SUBSTITUTE(SUBSTITUTE(SUBSTITUTE(SUBSTITUTE(SUBSTITUTE(SUBSTITUTE(TRIM(D814),".",""),"/",""),"-","")," ",""),"(",""),")",""),"+",""))</f>
      </c>
      <c r="Q814" s="6">
        <f>IF(P814="","",IF(LEN(P814)&lt;&gt;14,"ERRO: "&amp;LEN(P814)&amp;" dígitos",IF(NOT(ISNUMBER(VALUE(P814))),"ERRO: não numérico",IF(LEN(SUBSTITUTE(P814,LEFT(P814,1),""))=0,"ERRO: dígitos repetidos",IF(AND(VALUE(MID(P814,13,1))=IF(MOD(SUMPRODUCT(--MID(P814,{1,2,3,4,5,6,7,8,9,10,11,12},1),{5,4,3,2,9,8,7,6,5,4,3,2}),11)&lt;2,0,11-MOD(SUMPRODUCT(--MID(P814,{1,2,3,4,5,6,7,8,9,10,11,12},1),{5,4,3,2,9,8,7,6,5,4,3,2}),11)),VALUE(MID(P814,14,1))=IF(MOD(SUMPRODUCT(--MID(P814,{1,2,3,4,5,6,7,8,9,10,11,12,13},1),{6,5,4,3,2,9,8,7,6,5,4,3,2}),11)&lt;2,0,11-MOD(SUMPRODUCT(--MID(P814,{1,2,3,4,5,6,7,8,9,10,11,12,13},1),{6,5,4,3,2,9,8,7,6,5,4,3,2}),11))),"OK","ERRO: dígito verificador")))))</f>
      </c>
      <c r="R814" s="6">
        <f>IF(P814="","",IF(COUNTIF($P$2:$P$1001,P814)&gt;1,"DUPLICADO","OK"))</f>
      </c>
      <c r="S814" s="6">
        <f>IF(AND(J814="",K814=""),"vazio",IF(AND(OR(J814="",LEN(SUBSTITUTE(SUBSTITUTE(SUBSTITUTE(SUBSTITUTE(SUBSTITUTE(SUBSTITUTE(SUBSTITUTE(TRIM(J814),".",""),"/",""),"-","")," ",""),"(",""),")",""),"+",""))=10,LEN(SUBSTITUTE(SUBSTITUTE(SUBSTITUTE(SUBSTITUTE(SUBSTITUTE(SUBSTITUTE(SUBSTITUTE(TRIM(J814),".",""),"/",""),"-","")," ",""),"(",""),")",""),"+",""))=11),OR(K814="",LEN(SUBSTITUTE(SUBSTITUTE(SUBSTITUTE(SUBSTITUTE(SUBSTITUTE(SUBSTITUTE(SUBSTITUTE(TRIM(K814),".",""),"/",""),"-","")," ",""),"(",""),")",""),"+",""))=10,LEN(SUBSTITUTE(SUBSTITUTE(SUBSTITUTE(SUBSTITUTE(SUBSTITUTE(SUBSTITUTE(SUBSTITUTE(TRIM(K814),".",""),"/",""),"-","")," ",""),"(",""),")",""),"+",""))=11)),"OK","ERRO: use DDD + número (10 ou 11 dígitos)"))</f>
      </c>
      <c r="T814" s="6">
        <f>IF(L814="","vazio",IF(AND(ISNUMBER(FIND("@",L814)),ISNUMBER(FIND(".",MID(L814,FIND("@",L814),99))),NOT(ISNUMBER(FIND(" ",TRIM(L814)))),NOT(ISNUMBER(FIND(";",L814))),NOT(ISNUMBER(FIND(",",L814)))),"OK","ERRO: um e-mail válido por linha"))</f>
      </c>
      <c r="U814" s="6">
        <f>IF(COUNTA(A814:O814)=0,"",IF(AND(B814&lt;&gt;"",C814&lt;&gt;"",D814&lt;&gt;"",E814&lt;&gt;"",H814&lt;&gt;"",OR(J814&lt;&gt;"",L814&lt;&gt;"")),"OK","ERRO: faltam "&amp;IF(B814="","Proprietário; ","")&amp;IF(C814="","Origem; ","")&amp;IF(D814="","CNPJ; ","")&amp;IF(E814="","Razão Social; ","")&amp;IF(H814="","Sobrenome; ","")&amp;IF(AND(J814="",L814=""),"telefone ou e-mail; ","")))</f>
      </c>
      <c r="V814" s="6">
        <f>IF(COUNTA(A814:O814)=0,"",IF(AND(Q814="OK",R814="OK",LEFT(S814,4)&lt;&gt;"ERRO",LEFT(T814,4)&lt;&gt;"ERRO",U814="OK"),"OK","REVISAR"))</f>
      </c>
    </row>
    <row r="815">
      <c r="A815" s="4"/>
      <c r="B815" s="5"/>
      <c r="C815" s="5"/>
      <c r="D815" s="5"/>
      <c r="E815" s="5"/>
      <c r="F815" s="4"/>
      <c r="G815" s="4"/>
      <c r="H815" s="5"/>
      <c r="I815" s="4"/>
      <c r="J815" s="4"/>
      <c r="K815" s="4"/>
      <c r="L815" s="4"/>
      <c r="M815" s="4"/>
      <c r="N815" s="4"/>
      <c r="O815" s="4"/>
      <c r="P815" s="6">
        <f>IF(D815="","",SUBSTITUTE(SUBSTITUTE(SUBSTITUTE(SUBSTITUTE(SUBSTITUTE(SUBSTITUTE(SUBSTITUTE(TRIM(D815),".",""),"/",""),"-","")," ",""),"(",""),")",""),"+",""))</f>
      </c>
      <c r="Q815" s="6">
        <f>IF(P815="","",IF(LEN(P815)&lt;&gt;14,"ERRO: "&amp;LEN(P815)&amp;" dígitos",IF(NOT(ISNUMBER(VALUE(P815))),"ERRO: não numérico",IF(LEN(SUBSTITUTE(P815,LEFT(P815,1),""))=0,"ERRO: dígitos repetidos",IF(AND(VALUE(MID(P815,13,1))=IF(MOD(SUMPRODUCT(--MID(P815,{1,2,3,4,5,6,7,8,9,10,11,12},1),{5,4,3,2,9,8,7,6,5,4,3,2}),11)&lt;2,0,11-MOD(SUMPRODUCT(--MID(P815,{1,2,3,4,5,6,7,8,9,10,11,12},1),{5,4,3,2,9,8,7,6,5,4,3,2}),11)),VALUE(MID(P815,14,1))=IF(MOD(SUMPRODUCT(--MID(P815,{1,2,3,4,5,6,7,8,9,10,11,12,13},1),{6,5,4,3,2,9,8,7,6,5,4,3,2}),11)&lt;2,0,11-MOD(SUMPRODUCT(--MID(P815,{1,2,3,4,5,6,7,8,9,10,11,12,13},1),{6,5,4,3,2,9,8,7,6,5,4,3,2}),11))),"OK","ERRO: dígito verificador")))))</f>
      </c>
      <c r="R815" s="6">
        <f>IF(P815="","",IF(COUNTIF($P$2:$P$1001,P815)&gt;1,"DUPLICADO","OK"))</f>
      </c>
      <c r="S815" s="6">
        <f>IF(AND(J815="",K815=""),"vazio",IF(AND(OR(J815="",LEN(SUBSTITUTE(SUBSTITUTE(SUBSTITUTE(SUBSTITUTE(SUBSTITUTE(SUBSTITUTE(SUBSTITUTE(TRIM(J815),".",""),"/",""),"-","")," ",""),"(",""),")",""),"+",""))=10,LEN(SUBSTITUTE(SUBSTITUTE(SUBSTITUTE(SUBSTITUTE(SUBSTITUTE(SUBSTITUTE(SUBSTITUTE(TRIM(J815),".",""),"/",""),"-","")," ",""),"(",""),")",""),"+",""))=11),OR(K815="",LEN(SUBSTITUTE(SUBSTITUTE(SUBSTITUTE(SUBSTITUTE(SUBSTITUTE(SUBSTITUTE(SUBSTITUTE(TRIM(K815),".",""),"/",""),"-","")," ",""),"(",""),")",""),"+",""))=10,LEN(SUBSTITUTE(SUBSTITUTE(SUBSTITUTE(SUBSTITUTE(SUBSTITUTE(SUBSTITUTE(SUBSTITUTE(TRIM(K815),".",""),"/",""),"-","")," ",""),"(",""),")",""),"+",""))=11)),"OK","ERRO: use DDD + número (10 ou 11 dígitos)"))</f>
      </c>
      <c r="T815" s="6">
        <f>IF(L815="","vazio",IF(AND(ISNUMBER(FIND("@",L815)),ISNUMBER(FIND(".",MID(L815,FIND("@",L815),99))),NOT(ISNUMBER(FIND(" ",TRIM(L815)))),NOT(ISNUMBER(FIND(";",L815))),NOT(ISNUMBER(FIND(",",L815)))),"OK","ERRO: um e-mail válido por linha"))</f>
      </c>
      <c r="U815" s="6">
        <f>IF(COUNTA(A815:O815)=0,"",IF(AND(B815&lt;&gt;"",C815&lt;&gt;"",D815&lt;&gt;"",E815&lt;&gt;"",H815&lt;&gt;"",OR(J815&lt;&gt;"",L815&lt;&gt;"")),"OK","ERRO: faltam "&amp;IF(B815="","Proprietário; ","")&amp;IF(C815="","Origem; ","")&amp;IF(D815="","CNPJ; ","")&amp;IF(E815="","Razão Social; ","")&amp;IF(H815="","Sobrenome; ","")&amp;IF(AND(J815="",L815=""),"telefone ou e-mail; ","")))</f>
      </c>
      <c r="V815" s="6">
        <f>IF(COUNTA(A815:O815)=0,"",IF(AND(Q815="OK",R815="OK",LEFT(S815,4)&lt;&gt;"ERRO",LEFT(T815,4)&lt;&gt;"ERRO",U815="OK"),"OK","REVISAR"))</f>
      </c>
    </row>
    <row r="816">
      <c r="A816" s="4"/>
      <c r="B816" s="5"/>
      <c r="C816" s="5"/>
      <c r="D816" s="5"/>
      <c r="E816" s="5"/>
      <c r="F816" s="4"/>
      <c r="G816" s="4"/>
      <c r="H816" s="5"/>
      <c r="I816" s="4"/>
      <c r="J816" s="4"/>
      <c r="K816" s="4"/>
      <c r="L816" s="4"/>
      <c r="M816" s="4"/>
      <c r="N816" s="4"/>
      <c r="O816" s="4"/>
      <c r="P816" s="6">
        <f>IF(D816="","",SUBSTITUTE(SUBSTITUTE(SUBSTITUTE(SUBSTITUTE(SUBSTITUTE(SUBSTITUTE(SUBSTITUTE(TRIM(D816),".",""),"/",""),"-","")," ",""),"(",""),")",""),"+",""))</f>
      </c>
      <c r="Q816" s="6">
        <f>IF(P816="","",IF(LEN(P816)&lt;&gt;14,"ERRO: "&amp;LEN(P816)&amp;" dígitos",IF(NOT(ISNUMBER(VALUE(P816))),"ERRO: não numérico",IF(LEN(SUBSTITUTE(P816,LEFT(P816,1),""))=0,"ERRO: dígitos repetidos",IF(AND(VALUE(MID(P816,13,1))=IF(MOD(SUMPRODUCT(--MID(P816,{1,2,3,4,5,6,7,8,9,10,11,12},1),{5,4,3,2,9,8,7,6,5,4,3,2}),11)&lt;2,0,11-MOD(SUMPRODUCT(--MID(P816,{1,2,3,4,5,6,7,8,9,10,11,12},1),{5,4,3,2,9,8,7,6,5,4,3,2}),11)),VALUE(MID(P816,14,1))=IF(MOD(SUMPRODUCT(--MID(P816,{1,2,3,4,5,6,7,8,9,10,11,12,13},1),{6,5,4,3,2,9,8,7,6,5,4,3,2}),11)&lt;2,0,11-MOD(SUMPRODUCT(--MID(P816,{1,2,3,4,5,6,7,8,9,10,11,12,13},1),{6,5,4,3,2,9,8,7,6,5,4,3,2}),11))),"OK","ERRO: dígito verificador")))))</f>
      </c>
      <c r="R816" s="6">
        <f>IF(P816="","",IF(COUNTIF($P$2:$P$1001,P816)&gt;1,"DUPLICADO","OK"))</f>
      </c>
      <c r="S816" s="6">
        <f>IF(AND(J816="",K816=""),"vazio",IF(AND(OR(J816="",LEN(SUBSTITUTE(SUBSTITUTE(SUBSTITUTE(SUBSTITUTE(SUBSTITUTE(SUBSTITUTE(SUBSTITUTE(TRIM(J816),".",""),"/",""),"-","")," ",""),"(",""),")",""),"+",""))=10,LEN(SUBSTITUTE(SUBSTITUTE(SUBSTITUTE(SUBSTITUTE(SUBSTITUTE(SUBSTITUTE(SUBSTITUTE(TRIM(J816),".",""),"/",""),"-","")," ",""),"(",""),")",""),"+",""))=11),OR(K816="",LEN(SUBSTITUTE(SUBSTITUTE(SUBSTITUTE(SUBSTITUTE(SUBSTITUTE(SUBSTITUTE(SUBSTITUTE(TRIM(K816),".",""),"/",""),"-","")," ",""),"(",""),")",""),"+",""))=10,LEN(SUBSTITUTE(SUBSTITUTE(SUBSTITUTE(SUBSTITUTE(SUBSTITUTE(SUBSTITUTE(SUBSTITUTE(TRIM(K816),".",""),"/",""),"-","")," ",""),"(",""),")",""),"+",""))=11)),"OK","ERRO: use DDD + número (10 ou 11 dígitos)"))</f>
      </c>
      <c r="T816" s="6">
        <f>IF(L816="","vazio",IF(AND(ISNUMBER(FIND("@",L816)),ISNUMBER(FIND(".",MID(L816,FIND("@",L816),99))),NOT(ISNUMBER(FIND(" ",TRIM(L816)))),NOT(ISNUMBER(FIND(";",L816))),NOT(ISNUMBER(FIND(",",L816)))),"OK","ERRO: um e-mail válido por linha"))</f>
      </c>
      <c r="U816" s="6">
        <f>IF(COUNTA(A816:O816)=0,"",IF(AND(B816&lt;&gt;"",C816&lt;&gt;"",D816&lt;&gt;"",E816&lt;&gt;"",H816&lt;&gt;"",OR(J816&lt;&gt;"",L816&lt;&gt;"")),"OK","ERRO: faltam "&amp;IF(B816="","Proprietário; ","")&amp;IF(C816="","Origem; ","")&amp;IF(D816="","CNPJ; ","")&amp;IF(E816="","Razão Social; ","")&amp;IF(H816="","Sobrenome; ","")&amp;IF(AND(J816="",L816=""),"telefone ou e-mail; ","")))</f>
      </c>
      <c r="V816" s="6">
        <f>IF(COUNTA(A816:O816)=0,"",IF(AND(Q816="OK",R816="OK",LEFT(S816,4)&lt;&gt;"ERRO",LEFT(T816,4)&lt;&gt;"ERRO",U816="OK"),"OK","REVISAR"))</f>
      </c>
    </row>
    <row r="817">
      <c r="A817" s="4"/>
      <c r="B817" s="5"/>
      <c r="C817" s="5"/>
      <c r="D817" s="5"/>
      <c r="E817" s="5"/>
      <c r="F817" s="4"/>
      <c r="G817" s="4"/>
      <c r="H817" s="5"/>
      <c r="I817" s="4"/>
      <c r="J817" s="4"/>
      <c r="K817" s="4"/>
      <c r="L817" s="4"/>
      <c r="M817" s="4"/>
      <c r="N817" s="4"/>
      <c r="O817" s="4"/>
      <c r="P817" s="6">
        <f>IF(D817="","",SUBSTITUTE(SUBSTITUTE(SUBSTITUTE(SUBSTITUTE(SUBSTITUTE(SUBSTITUTE(SUBSTITUTE(TRIM(D817),".",""),"/",""),"-","")," ",""),"(",""),")",""),"+",""))</f>
      </c>
      <c r="Q817" s="6">
        <f>IF(P817="","",IF(LEN(P817)&lt;&gt;14,"ERRO: "&amp;LEN(P817)&amp;" dígitos",IF(NOT(ISNUMBER(VALUE(P817))),"ERRO: não numérico",IF(LEN(SUBSTITUTE(P817,LEFT(P817,1),""))=0,"ERRO: dígitos repetidos",IF(AND(VALUE(MID(P817,13,1))=IF(MOD(SUMPRODUCT(--MID(P817,{1,2,3,4,5,6,7,8,9,10,11,12},1),{5,4,3,2,9,8,7,6,5,4,3,2}),11)&lt;2,0,11-MOD(SUMPRODUCT(--MID(P817,{1,2,3,4,5,6,7,8,9,10,11,12},1),{5,4,3,2,9,8,7,6,5,4,3,2}),11)),VALUE(MID(P817,14,1))=IF(MOD(SUMPRODUCT(--MID(P817,{1,2,3,4,5,6,7,8,9,10,11,12,13},1),{6,5,4,3,2,9,8,7,6,5,4,3,2}),11)&lt;2,0,11-MOD(SUMPRODUCT(--MID(P817,{1,2,3,4,5,6,7,8,9,10,11,12,13},1),{6,5,4,3,2,9,8,7,6,5,4,3,2}),11))),"OK","ERRO: dígito verificador")))))</f>
      </c>
      <c r="R817" s="6">
        <f>IF(P817="","",IF(COUNTIF($P$2:$P$1001,P817)&gt;1,"DUPLICADO","OK"))</f>
      </c>
      <c r="S817" s="6">
        <f>IF(AND(J817="",K817=""),"vazio",IF(AND(OR(J817="",LEN(SUBSTITUTE(SUBSTITUTE(SUBSTITUTE(SUBSTITUTE(SUBSTITUTE(SUBSTITUTE(SUBSTITUTE(TRIM(J817),".",""),"/",""),"-","")," ",""),"(",""),")",""),"+",""))=10,LEN(SUBSTITUTE(SUBSTITUTE(SUBSTITUTE(SUBSTITUTE(SUBSTITUTE(SUBSTITUTE(SUBSTITUTE(TRIM(J817),".",""),"/",""),"-","")," ",""),"(",""),")",""),"+",""))=11),OR(K817="",LEN(SUBSTITUTE(SUBSTITUTE(SUBSTITUTE(SUBSTITUTE(SUBSTITUTE(SUBSTITUTE(SUBSTITUTE(TRIM(K817),".",""),"/",""),"-","")," ",""),"(",""),")",""),"+",""))=10,LEN(SUBSTITUTE(SUBSTITUTE(SUBSTITUTE(SUBSTITUTE(SUBSTITUTE(SUBSTITUTE(SUBSTITUTE(TRIM(K817),".",""),"/",""),"-","")," ",""),"(",""),")",""),"+",""))=11)),"OK","ERRO: use DDD + número (10 ou 11 dígitos)"))</f>
      </c>
      <c r="T817" s="6">
        <f>IF(L817="","vazio",IF(AND(ISNUMBER(FIND("@",L817)),ISNUMBER(FIND(".",MID(L817,FIND("@",L817),99))),NOT(ISNUMBER(FIND(" ",TRIM(L817)))),NOT(ISNUMBER(FIND(";",L817))),NOT(ISNUMBER(FIND(",",L817)))),"OK","ERRO: um e-mail válido por linha"))</f>
      </c>
      <c r="U817" s="6">
        <f>IF(COUNTA(A817:O817)=0,"",IF(AND(B817&lt;&gt;"",C817&lt;&gt;"",D817&lt;&gt;"",E817&lt;&gt;"",H817&lt;&gt;"",OR(J817&lt;&gt;"",L817&lt;&gt;"")),"OK","ERRO: faltam "&amp;IF(B817="","Proprietário; ","")&amp;IF(C817="","Origem; ","")&amp;IF(D817="","CNPJ; ","")&amp;IF(E817="","Razão Social; ","")&amp;IF(H817="","Sobrenome; ","")&amp;IF(AND(J817="",L817=""),"telefone ou e-mail; ","")))</f>
      </c>
      <c r="V817" s="6">
        <f>IF(COUNTA(A817:O817)=0,"",IF(AND(Q817="OK",R817="OK",LEFT(S817,4)&lt;&gt;"ERRO",LEFT(T817,4)&lt;&gt;"ERRO",U817="OK"),"OK","REVISAR"))</f>
      </c>
    </row>
    <row r="818">
      <c r="A818" s="4"/>
      <c r="B818" s="5"/>
      <c r="C818" s="5"/>
      <c r="D818" s="5"/>
      <c r="E818" s="5"/>
      <c r="F818" s="4"/>
      <c r="G818" s="4"/>
      <c r="H818" s="5"/>
      <c r="I818" s="4"/>
      <c r="J818" s="4"/>
      <c r="K818" s="4"/>
      <c r="L818" s="4"/>
      <c r="M818" s="4"/>
      <c r="N818" s="4"/>
      <c r="O818" s="4"/>
      <c r="P818" s="6">
        <f>IF(D818="","",SUBSTITUTE(SUBSTITUTE(SUBSTITUTE(SUBSTITUTE(SUBSTITUTE(SUBSTITUTE(SUBSTITUTE(TRIM(D818),".",""),"/",""),"-","")," ",""),"(",""),")",""),"+",""))</f>
      </c>
      <c r="Q818" s="6">
        <f>IF(P818="","",IF(LEN(P818)&lt;&gt;14,"ERRO: "&amp;LEN(P818)&amp;" dígitos",IF(NOT(ISNUMBER(VALUE(P818))),"ERRO: não numérico",IF(LEN(SUBSTITUTE(P818,LEFT(P818,1),""))=0,"ERRO: dígitos repetidos",IF(AND(VALUE(MID(P818,13,1))=IF(MOD(SUMPRODUCT(--MID(P818,{1,2,3,4,5,6,7,8,9,10,11,12},1),{5,4,3,2,9,8,7,6,5,4,3,2}),11)&lt;2,0,11-MOD(SUMPRODUCT(--MID(P818,{1,2,3,4,5,6,7,8,9,10,11,12},1),{5,4,3,2,9,8,7,6,5,4,3,2}),11)),VALUE(MID(P818,14,1))=IF(MOD(SUMPRODUCT(--MID(P818,{1,2,3,4,5,6,7,8,9,10,11,12,13},1),{6,5,4,3,2,9,8,7,6,5,4,3,2}),11)&lt;2,0,11-MOD(SUMPRODUCT(--MID(P818,{1,2,3,4,5,6,7,8,9,10,11,12,13},1),{6,5,4,3,2,9,8,7,6,5,4,3,2}),11))),"OK","ERRO: dígito verificador")))))</f>
      </c>
      <c r="R818" s="6">
        <f>IF(P818="","",IF(COUNTIF($P$2:$P$1001,P818)&gt;1,"DUPLICADO","OK"))</f>
      </c>
      <c r="S818" s="6">
        <f>IF(AND(J818="",K818=""),"vazio",IF(AND(OR(J818="",LEN(SUBSTITUTE(SUBSTITUTE(SUBSTITUTE(SUBSTITUTE(SUBSTITUTE(SUBSTITUTE(SUBSTITUTE(TRIM(J818),".",""),"/",""),"-","")," ",""),"(",""),")",""),"+",""))=10,LEN(SUBSTITUTE(SUBSTITUTE(SUBSTITUTE(SUBSTITUTE(SUBSTITUTE(SUBSTITUTE(SUBSTITUTE(TRIM(J818),".",""),"/",""),"-","")," ",""),"(",""),")",""),"+",""))=11),OR(K818="",LEN(SUBSTITUTE(SUBSTITUTE(SUBSTITUTE(SUBSTITUTE(SUBSTITUTE(SUBSTITUTE(SUBSTITUTE(TRIM(K818),".",""),"/",""),"-","")," ",""),"(",""),")",""),"+",""))=10,LEN(SUBSTITUTE(SUBSTITUTE(SUBSTITUTE(SUBSTITUTE(SUBSTITUTE(SUBSTITUTE(SUBSTITUTE(TRIM(K818),".",""),"/",""),"-","")," ",""),"(",""),")",""),"+",""))=11)),"OK","ERRO: use DDD + número (10 ou 11 dígitos)"))</f>
      </c>
      <c r="T818" s="6">
        <f>IF(L818="","vazio",IF(AND(ISNUMBER(FIND("@",L818)),ISNUMBER(FIND(".",MID(L818,FIND("@",L818),99))),NOT(ISNUMBER(FIND(" ",TRIM(L818)))),NOT(ISNUMBER(FIND(";",L818))),NOT(ISNUMBER(FIND(",",L818)))),"OK","ERRO: um e-mail válido por linha"))</f>
      </c>
      <c r="U818" s="6">
        <f>IF(COUNTA(A818:O818)=0,"",IF(AND(B818&lt;&gt;"",C818&lt;&gt;"",D818&lt;&gt;"",E818&lt;&gt;"",H818&lt;&gt;"",OR(J818&lt;&gt;"",L818&lt;&gt;"")),"OK","ERRO: faltam "&amp;IF(B818="","Proprietário; ","")&amp;IF(C818="","Origem; ","")&amp;IF(D818="","CNPJ; ","")&amp;IF(E818="","Razão Social; ","")&amp;IF(H818="","Sobrenome; ","")&amp;IF(AND(J818="",L818=""),"telefone ou e-mail; ","")))</f>
      </c>
      <c r="V818" s="6">
        <f>IF(COUNTA(A818:O818)=0,"",IF(AND(Q818="OK",R818="OK",LEFT(S818,4)&lt;&gt;"ERRO",LEFT(T818,4)&lt;&gt;"ERRO",U818="OK"),"OK","REVISAR"))</f>
      </c>
    </row>
    <row r="819">
      <c r="A819" s="4"/>
      <c r="B819" s="5"/>
      <c r="C819" s="5"/>
      <c r="D819" s="5"/>
      <c r="E819" s="5"/>
      <c r="F819" s="4"/>
      <c r="G819" s="4"/>
      <c r="H819" s="5"/>
      <c r="I819" s="4"/>
      <c r="J819" s="4"/>
      <c r="K819" s="4"/>
      <c r="L819" s="4"/>
      <c r="M819" s="4"/>
      <c r="N819" s="4"/>
      <c r="O819" s="4"/>
      <c r="P819" s="6">
        <f>IF(D819="","",SUBSTITUTE(SUBSTITUTE(SUBSTITUTE(SUBSTITUTE(SUBSTITUTE(SUBSTITUTE(SUBSTITUTE(TRIM(D819),".",""),"/",""),"-","")," ",""),"(",""),")",""),"+",""))</f>
      </c>
      <c r="Q819" s="6">
        <f>IF(P819="","",IF(LEN(P819)&lt;&gt;14,"ERRO: "&amp;LEN(P819)&amp;" dígitos",IF(NOT(ISNUMBER(VALUE(P819))),"ERRO: não numérico",IF(LEN(SUBSTITUTE(P819,LEFT(P819,1),""))=0,"ERRO: dígitos repetidos",IF(AND(VALUE(MID(P819,13,1))=IF(MOD(SUMPRODUCT(--MID(P819,{1,2,3,4,5,6,7,8,9,10,11,12},1),{5,4,3,2,9,8,7,6,5,4,3,2}),11)&lt;2,0,11-MOD(SUMPRODUCT(--MID(P819,{1,2,3,4,5,6,7,8,9,10,11,12},1),{5,4,3,2,9,8,7,6,5,4,3,2}),11)),VALUE(MID(P819,14,1))=IF(MOD(SUMPRODUCT(--MID(P819,{1,2,3,4,5,6,7,8,9,10,11,12,13},1),{6,5,4,3,2,9,8,7,6,5,4,3,2}),11)&lt;2,0,11-MOD(SUMPRODUCT(--MID(P819,{1,2,3,4,5,6,7,8,9,10,11,12,13},1),{6,5,4,3,2,9,8,7,6,5,4,3,2}),11))),"OK","ERRO: dígito verificador")))))</f>
      </c>
      <c r="R819" s="6">
        <f>IF(P819="","",IF(COUNTIF($P$2:$P$1001,P819)&gt;1,"DUPLICADO","OK"))</f>
      </c>
      <c r="S819" s="6">
        <f>IF(AND(J819="",K819=""),"vazio",IF(AND(OR(J819="",LEN(SUBSTITUTE(SUBSTITUTE(SUBSTITUTE(SUBSTITUTE(SUBSTITUTE(SUBSTITUTE(SUBSTITUTE(TRIM(J819),".",""),"/",""),"-","")," ",""),"(",""),")",""),"+",""))=10,LEN(SUBSTITUTE(SUBSTITUTE(SUBSTITUTE(SUBSTITUTE(SUBSTITUTE(SUBSTITUTE(SUBSTITUTE(TRIM(J819),".",""),"/",""),"-","")," ",""),"(",""),")",""),"+",""))=11),OR(K819="",LEN(SUBSTITUTE(SUBSTITUTE(SUBSTITUTE(SUBSTITUTE(SUBSTITUTE(SUBSTITUTE(SUBSTITUTE(TRIM(K819),".",""),"/",""),"-","")," ",""),"(",""),")",""),"+",""))=10,LEN(SUBSTITUTE(SUBSTITUTE(SUBSTITUTE(SUBSTITUTE(SUBSTITUTE(SUBSTITUTE(SUBSTITUTE(TRIM(K819),".",""),"/",""),"-","")," ",""),"(",""),")",""),"+",""))=11)),"OK","ERRO: use DDD + número (10 ou 11 dígitos)"))</f>
      </c>
      <c r="T819" s="6">
        <f>IF(L819="","vazio",IF(AND(ISNUMBER(FIND("@",L819)),ISNUMBER(FIND(".",MID(L819,FIND("@",L819),99))),NOT(ISNUMBER(FIND(" ",TRIM(L819)))),NOT(ISNUMBER(FIND(";",L819))),NOT(ISNUMBER(FIND(",",L819)))),"OK","ERRO: um e-mail válido por linha"))</f>
      </c>
      <c r="U819" s="6">
        <f>IF(COUNTA(A819:O819)=0,"",IF(AND(B819&lt;&gt;"",C819&lt;&gt;"",D819&lt;&gt;"",E819&lt;&gt;"",H819&lt;&gt;"",OR(J819&lt;&gt;"",L819&lt;&gt;"")),"OK","ERRO: faltam "&amp;IF(B819="","Proprietário; ","")&amp;IF(C819="","Origem; ","")&amp;IF(D819="","CNPJ; ","")&amp;IF(E819="","Razão Social; ","")&amp;IF(H819="","Sobrenome; ","")&amp;IF(AND(J819="",L819=""),"telefone ou e-mail; ","")))</f>
      </c>
      <c r="V819" s="6">
        <f>IF(COUNTA(A819:O819)=0,"",IF(AND(Q819="OK",R819="OK",LEFT(S819,4)&lt;&gt;"ERRO",LEFT(T819,4)&lt;&gt;"ERRO",U819="OK"),"OK","REVISAR"))</f>
      </c>
    </row>
    <row r="820">
      <c r="A820" s="4"/>
      <c r="B820" s="5"/>
      <c r="C820" s="5"/>
      <c r="D820" s="5"/>
      <c r="E820" s="5"/>
      <c r="F820" s="4"/>
      <c r="G820" s="4"/>
      <c r="H820" s="5"/>
      <c r="I820" s="4"/>
      <c r="J820" s="4"/>
      <c r="K820" s="4"/>
      <c r="L820" s="4"/>
      <c r="M820" s="4"/>
      <c r="N820" s="4"/>
      <c r="O820" s="4"/>
      <c r="P820" s="6">
        <f>IF(D820="","",SUBSTITUTE(SUBSTITUTE(SUBSTITUTE(SUBSTITUTE(SUBSTITUTE(SUBSTITUTE(SUBSTITUTE(TRIM(D820),".",""),"/",""),"-","")," ",""),"(",""),")",""),"+",""))</f>
      </c>
      <c r="Q820" s="6">
        <f>IF(P820="","",IF(LEN(P820)&lt;&gt;14,"ERRO: "&amp;LEN(P820)&amp;" dígitos",IF(NOT(ISNUMBER(VALUE(P820))),"ERRO: não numérico",IF(LEN(SUBSTITUTE(P820,LEFT(P820,1),""))=0,"ERRO: dígitos repetidos",IF(AND(VALUE(MID(P820,13,1))=IF(MOD(SUMPRODUCT(--MID(P820,{1,2,3,4,5,6,7,8,9,10,11,12},1),{5,4,3,2,9,8,7,6,5,4,3,2}),11)&lt;2,0,11-MOD(SUMPRODUCT(--MID(P820,{1,2,3,4,5,6,7,8,9,10,11,12},1),{5,4,3,2,9,8,7,6,5,4,3,2}),11)),VALUE(MID(P820,14,1))=IF(MOD(SUMPRODUCT(--MID(P820,{1,2,3,4,5,6,7,8,9,10,11,12,13},1),{6,5,4,3,2,9,8,7,6,5,4,3,2}),11)&lt;2,0,11-MOD(SUMPRODUCT(--MID(P820,{1,2,3,4,5,6,7,8,9,10,11,12,13},1),{6,5,4,3,2,9,8,7,6,5,4,3,2}),11))),"OK","ERRO: dígito verificador")))))</f>
      </c>
      <c r="R820" s="6">
        <f>IF(P820="","",IF(COUNTIF($P$2:$P$1001,P820)&gt;1,"DUPLICADO","OK"))</f>
      </c>
      <c r="S820" s="6">
        <f>IF(AND(J820="",K820=""),"vazio",IF(AND(OR(J820="",LEN(SUBSTITUTE(SUBSTITUTE(SUBSTITUTE(SUBSTITUTE(SUBSTITUTE(SUBSTITUTE(SUBSTITUTE(TRIM(J820),".",""),"/",""),"-","")," ",""),"(",""),")",""),"+",""))=10,LEN(SUBSTITUTE(SUBSTITUTE(SUBSTITUTE(SUBSTITUTE(SUBSTITUTE(SUBSTITUTE(SUBSTITUTE(TRIM(J820),".",""),"/",""),"-","")," ",""),"(",""),")",""),"+",""))=11),OR(K820="",LEN(SUBSTITUTE(SUBSTITUTE(SUBSTITUTE(SUBSTITUTE(SUBSTITUTE(SUBSTITUTE(SUBSTITUTE(TRIM(K820),".",""),"/",""),"-","")," ",""),"(",""),")",""),"+",""))=10,LEN(SUBSTITUTE(SUBSTITUTE(SUBSTITUTE(SUBSTITUTE(SUBSTITUTE(SUBSTITUTE(SUBSTITUTE(TRIM(K820),".",""),"/",""),"-","")," ",""),"(",""),")",""),"+",""))=11)),"OK","ERRO: use DDD + número (10 ou 11 dígitos)"))</f>
      </c>
      <c r="T820" s="6">
        <f>IF(L820="","vazio",IF(AND(ISNUMBER(FIND("@",L820)),ISNUMBER(FIND(".",MID(L820,FIND("@",L820),99))),NOT(ISNUMBER(FIND(" ",TRIM(L820)))),NOT(ISNUMBER(FIND(";",L820))),NOT(ISNUMBER(FIND(",",L820)))),"OK","ERRO: um e-mail válido por linha"))</f>
      </c>
      <c r="U820" s="6">
        <f>IF(COUNTA(A820:O820)=0,"",IF(AND(B820&lt;&gt;"",C820&lt;&gt;"",D820&lt;&gt;"",E820&lt;&gt;"",H820&lt;&gt;"",OR(J820&lt;&gt;"",L820&lt;&gt;"")),"OK","ERRO: faltam "&amp;IF(B820="","Proprietário; ","")&amp;IF(C820="","Origem; ","")&amp;IF(D820="","CNPJ; ","")&amp;IF(E820="","Razão Social; ","")&amp;IF(H820="","Sobrenome; ","")&amp;IF(AND(J820="",L820=""),"telefone ou e-mail; ","")))</f>
      </c>
      <c r="V820" s="6">
        <f>IF(COUNTA(A820:O820)=0,"",IF(AND(Q820="OK",R820="OK",LEFT(S820,4)&lt;&gt;"ERRO",LEFT(T820,4)&lt;&gt;"ERRO",U820="OK"),"OK","REVISAR"))</f>
      </c>
    </row>
    <row r="821">
      <c r="A821" s="4"/>
      <c r="B821" s="5"/>
      <c r="C821" s="5"/>
      <c r="D821" s="5"/>
      <c r="E821" s="5"/>
      <c r="F821" s="4"/>
      <c r="G821" s="4"/>
      <c r="H821" s="5"/>
      <c r="I821" s="4"/>
      <c r="J821" s="4"/>
      <c r="K821" s="4"/>
      <c r="L821" s="4"/>
      <c r="M821" s="4"/>
      <c r="N821" s="4"/>
      <c r="O821" s="4"/>
      <c r="P821" s="6">
        <f>IF(D821="","",SUBSTITUTE(SUBSTITUTE(SUBSTITUTE(SUBSTITUTE(SUBSTITUTE(SUBSTITUTE(SUBSTITUTE(TRIM(D821),".",""),"/",""),"-","")," ",""),"(",""),")",""),"+",""))</f>
      </c>
      <c r="Q821" s="6">
        <f>IF(P821="","",IF(LEN(P821)&lt;&gt;14,"ERRO: "&amp;LEN(P821)&amp;" dígitos",IF(NOT(ISNUMBER(VALUE(P821))),"ERRO: não numérico",IF(LEN(SUBSTITUTE(P821,LEFT(P821,1),""))=0,"ERRO: dígitos repetidos",IF(AND(VALUE(MID(P821,13,1))=IF(MOD(SUMPRODUCT(--MID(P821,{1,2,3,4,5,6,7,8,9,10,11,12},1),{5,4,3,2,9,8,7,6,5,4,3,2}),11)&lt;2,0,11-MOD(SUMPRODUCT(--MID(P821,{1,2,3,4,5,6,7,8,9,10,11,12},1),{5,4,3,2,9,8,7,6,5,4,3,2}),11)),VALUE(MID(P821,14,1))=IF(MOD(SUMPRODUCT(--MID(P821,{1,2,3,4,5,6,7,8,9,10,11,12,13},1),{6,5,4,3,2,9,8,7,6,5,4,3,2}),11)&lt;2,0,11-MOD(SUMPRODUCT(--MID(P821,{1,2,3,4,5,6,7,8,9,10,11,12,13},1),{6,5,4,3,2,9,8,7,6,5,4,3,2}),11))),"OK","ERRO: dígito verificador")))))</f>
      </c>
      <c r="R821" s="6">
        <f>IF(P821="","",IF(COUNTIF($P$2:$P$1001,P821)&gt;1,"DUPLICADO","OK"))</f>
      </c>
      <c r="S821" s="6">
        <f>IF(AND(J821="",K821=""),"vazio",IF(AND(OR(J821="",LEN(SUBSTITUTE(SUBSTITUTE(SUBSTITUTE(SUBSTITUTE(SUBSTITUTE(SUBSTITUTE(SUBSTITUTE(TRIM(J821),".",""),"/",""),"-","")," ",""),"(",""),")",""),"+",""))=10,LEN(SUBSTITUTE(SUBSTITUTE(SUBSTITUTE(SUBSTITUTE(SUBSTITUTE(SUBSTITUTE(SUBSTITUTE(TRIM(J821),".",""),"/",""),"-","")," ",""),"(",""),")",""),"+",""))=11),OR(K821="",LEN(SUBSTITUTE(SUBSTITUTE(SUBSTITUTE(SUBSTITUTE(SUBSTITUTE(SUBSTITUTE(SUBSTITUTE(TRIM(K821),".",""),"/",""),"-","")," ",""),"(",""),")",""),"+",""))=10,LEN(SUBSTITUTE(SUBSTITUTE(SUBSTITUTE(SUBSTITUTE(SUBSTITUTE(SUBSTITUTE(SUBSTITUTE(TRIM(K821),".",""),"/",""),"-","")," ",""),"(",""),")",""),"+",""))=11)),"OK","ERRO: use DDD + número (10 ou 11 dígitos)"))</f>
      </c>
      <c r="T821" s="6">
        <f>IF(L821="","vazio",IF(AND(ISNUMBER(FIND("@",L821)),ISNUMBER(FIND(".",MID(L821,FIND("@",L821),99))),NOT(ISNUMBER(FIND(" ",TRIM(L821)))),NOT(ISNUMBER(FIND(";",L821))),NOT(ISNUMBER(FIND(",",L821)))),"OK","ERRO: um e-mail válido por linha"))</f>
      </c>
      <c r="U821" s="6">
        <f>IF(COUNTA(A821:O821)=0,"",IF(AND(B821&lt;&gt;"",C821&lt;&gt;"",D821&lt;&gt;"",E821&lt;&gt;"",H821&lt;&gt;"",OR(J821&lt;&gt;"",L821&lt;&gt;"")),"OK","ERRO: faltam "&amp;IF(B821="","Proprietário; ","")&amp;IF(C821="","Origem; ","")&amp;IF(D821="","CNPJ; ","")&amp;IF(E821="","Razão Social; ","")&amp;IF(H821="","Sobrenome; ","")&amp;IF(AND(J821="",L821=""),"telefone ou e-mail; ","")))</f>
      </c>
      <c r="V821" s="6">
        <f>IF(COUNTA(A821:O821)=0,"",IF(AND(Q821="OK",R821="OK",LEFT(S821,4)&lt;&gt;"ERRO",LEFT(T821,4)&lt;&gt;"ERRO",U821="OK"),"OK","REVISAR"))</f>
      </c>
    </row>
    <row r="822">
      <c r="A822" s="4"/>
      <c r="B822" s="5"/>
      <c r="C822" s="5"/>
      <c r="D822" s="5"/>
      <c r="E822" s="5"/>
      <c r="F822" s="4"/>
      <c r="G822" s="4"/>
      <c r="H822" s="5"/>
      <c r="I822" s="4"/>
      <c r="J822" s="4"/>
      <c r="K822" s="4"/>
      <c r="L822" s="4"/>
      <c r="M822" s="4"/>
      <c r="N822" s="4"/>
      <c r="O822" s="4"/>
      <c r="P822" s="6">
        <f>IF(D822="","",SUBSTITUTE(SUBSTITUTE(SUBSTITUTE(SUBSTITUTE(SUBSTITUTE(SUBSTITUTE(SUBSTITUTE(TRIM(D822),".",""),"/",""),"-","")," ",""),"(",""),")",""),"+",""))</f>
      </c>
      <c r="Q822" s="6">
        <f>IF(P822="","",IF(LEN(P822)&lt;&gt;14,"ERRO: "&amp;LEN(P822)&amp;" dígitos",IF(NOT(ISNUMBER(VALUE(P822))),"ERRO: não numérico",IF(LEN(SUBSTITUTE(P822,LEFT(P822,1),""))=0,"ERRO: dígitos repetidos",IF(AND(VALUE(MID(P822,13,1))=IF(MOD(SUMPRODUCT(--MID(P822,{1,2,3,4,5,6,7,8,9,10,11,12},1),{5,4,3,2,9,8,7,6,5,4,3,2}),11)&lt;2,0,11-MOD(SUMPRODUCT(--MID(P822,{1,2,3,4,5,6,7,8,9,10,11,12},1),{5,4,3,2,9,8,7,6,5,4,3,2}),11)),VALUE(MID(P822,14,1))=IF(MOD(SUMPRODUCT(--MID(P822,{1,2,3,4,5,6,7,8,9,10,11,12,13},1),{6,5,4,3,2,9,8,7,6,5,4,3,2}),11)&lt;2,0,11-MOD(SUMPRODUCT(--MID(P822,{1,2,3,4,5,6,7,8,9,10,11,12,13},1),{6,5,4,3,2,9,8,7,6,5,4,3,2}),11))),"OK","ERRO: dígito verificador")))))</f>
      </c>
      <c r="R822" s="6">
        <f>IF(P822="","",IF(COUNTIF($P$2:$P$1001,P822)&gt;1,"DUPLICADO","OK"))</f>
      </c>
      <c r="S822" s="6">
        <f>IF(AND(J822="",K822=""),"vazio",IF(AND(OR(J822="",LEN(SUBSTITUTE(SUBSTITUTE(SUBSTITUTE(SUBSTITUTE(SUBSTITUTE(SUBSTITUTE(SUBSTITUTE(TRIM(J822),".",""),"/",""),"-","")," ",""),"(",""),")",""),"+",""))=10,LEN(SUBSTITUTE(SUBSTITUTE(SUBSTITUTE(SUBSTITUTE(SUBSTITUTE(SUBSTITUTE(SUBSTITUTE(TRIM(J822),".",""),"/",""),"-","")," ",""),"(",""),")",""),"+",""))=11),OR(K822="",LEN(SUBSTITUTE(SUBSTITUTE(SUBSTITUTE(SUBSTITUTE(SUBSTITUTE(SUBSTITUTE(SUBSTITUTE(TRIM(K822),".",""),"/",""),"-","")," ",""),"(",""),")",""),"+",""))=10,LEN(SUBSTITUTE(SUBSTITUTE(SUBSTITUTE(SUBSTITUTE(SUBSTITUTE(SUBSTITUTE(SUBSTITUTE(TRIM(K822),".",""),"/",""),"-","")," ",""),"(",""),")",""),"+",""))=11)),"OK","ERRO: use DDD + número (10 ou 11 dígitos)"))</f>
      </c>
      <c r="T822" s="6">
        <f>IF(L822="","vazio",IF(AND(ISNUMBER(FIND("@",L822)),ISNUMBER(FIND(".",MID(L822,FIND("@",L822),99))),NOT(ISNUMBER(FIND(" ",TRIM(L822)))),NOT(ISNUMBER(FIND(";",L822))),NOT(ISNUMBER(FIND(",",L822)))),"OK","ERRO: um e-mail válido por linha"))</f>
      </c>
      <c r="U822" s="6">
        <f>IF(COUNTA(A822:O822)=0,"",IF(AND(B822&lt;&gt;"",C822&lt;&gt;"",D822&lt;&gt;"",E822&lt;&gt;"",H822&lt;&gt;"",OR(J822&lt;&gt;"",L822&lt;&gt;"")),"OK","ERRO: faltam "&amp;IF(B822="","Proprietário; ","")&amp;IF(C822="","Origem; ","")&amp;IF(D822="","CNPJ; ","")&amp;IF(E822="","Razão Social; ","")&amp;IF(H822="","Sobrenome; ","")&amp;IF(AND(J822="",L822=""),"telefone ou e-mail; ","")))</f>
      </c>
      <c r="V822" s="6">
        <f>IF(COUNTA(A822:O822)=0,"",IF(AND(Q822="OK",R822="OK",LEFT(S822,4)&lt;&gt;"ERRO",LEFT(T822,4)&lt;&gt;"ERRO",U822="OK"),"OK","REVISAR"))</f>
      </c>
    </row>
    <row r="823">
      <c r="A823" s="4"/>
      <c r="B823" s="5"/>
      <c r="C823" s="5"/>
      <c r="D823" s="5"/>
      <c r="E823" s="5"/>
      <c r="F823" s="4"/>
      <c r="G823" s="4"/>
      <c r="H823" s="5"/>
      <c r="I823" s="4"/>
      <c r="J823" s="4"/>
      <c r="K823" s="4"/>
      <c r="L823" s="4"/>
      <c r="M823" s="4"/>
      <c r="N823" s="4"/>
      <c r="O823" s="4"/>
      <c r="P823" s="6">
        <f>IF(D823="","",SUBSTITUTE(SUBSTITUTE(SUBSTITUTE(SUBSTITUTE(SUBSTITUTE(SUBSTITUTE(SUBSTITUTE(TRIM(D823),".",""),"/",""),"-","")," ",""),"(",""),")",""),"+",""))</f>
      </c>
      <c r="Q823" s="6">
        <f>IF(P823="","",IF(LEN(P823)&lt;&gt;14,"ERRO: "&amp;LEN(P823)&amp;" dígitos",IF(NOT(ISNUMBER(VALUE(P823))),"ERRO: não numérico",IF(LEN(SUBSTITUTE(P823,LEFT(P823,1),""))=0,"ERRO: dígitos repetidos",IF(AND(VALUE(MID(P823,13,1))=IF(MOD(SUMPRODUCT(--MID(P823,{1,2,3,4,5,6,7,8,9,10,11,12},1),{5,4,3,2,9,8,7,6,5,4,3,2}),11)&lt;2,0,11-MOD(SUMPRODUCT(--MID(P823,{1,2,3,4,5,6,7,8,9,10,11,12},1),{5,4,3,2,9,8,7,6,5,4,3,2}),11)),VALUE(MID(P823,14,1))=IF(MOD(SUMPRODUCT(--MID(P823,{1,2,3,4,5,6,7,8,9,10,11,12,13},1),{6,5,4,3,2,9,8,7,6,5,4,3,2}),11)&lt;2,0,11-MOD(SUMPRODUCT(--MID(P823,{1,2,3,4,5,6,7,8,9,10,11,12,13},1),{6,5,4,3,2,9,8,7,6,5,4,3,2}),11))),"OK","ERRO: dígito verificador")))))</f>
      </c>
      <c r="R823" s="6">
        <f>IF(P823="","",IF(COUNTIF($P$2:$P$1001,P823)&gt;1,"DUPLICADO","OK"))</f>
      </c>
      <c r="S823" s="6">
        <f>IF(AND(J823="",K823=""),"vazio",IF(AND(OR(J823="",LEN(SUBSTITUTE(SUBSTITUTE(SUBSTITUTE(SUBSTITUTE(SUBSTITUTE(SUBSTITUTE(SUBSTITUTE(TRIM(J823),".",""),"/",""),"-","")," ",""),"(",""),")",""),"+",""))=10,LEN(SUBSTITUTE(SUBSTITUTE(SUBSTITUTE(SUBSTITUTE(SUBSTITUTE(SUBSTITUTE(SUBSTITUTE(TRIM(J823),".",""),"/",""),"-","")," ",""),"(",""),")",""),"+",""))=11),OR(K823="",LEN(SUBSTITUTE(SUBSTITUTE(SUBSTITUTE(SUBSTITUTE(SUBSTITUTE(SUBSTITUTE(SUBSTITUTE(TRIM(K823),".",""),"/",""),"-","")," ",""),"(",""),")",""),"+",""))=10,LEN(SUBSTITUTE(SUBSTITUTE(SUBSTITUTE(SUBSTITUTE(SUBSTITUTE(SUBSTITUTE(SUBSTITUTE(TRIM(K823),".",""),"/",""),"-","")," ",""),"(",""),")",""),"+",""))=11)),"OK","ERRO: use DDD + número (10 ou 11 dígitos)"))</f>
      </c>
      <c r="T823" s="6">
        <f>IF(L823="","vazio",IF(AND(ISNUMBER(FIND("@",L823)),ISNUMBER(FIND(".",MID(L823,FIND("@",L823),99))),NOT(ISNUMBER(FIND(" ",TRIM(L823)))),NOT(ISNUMBER(FIND(";",L823))),NOT(ISNUMBER(FIND(",",L823)))),"OK","ERRO: um e-mail válido por linha"))</f>
      </c>
      <c r="U823" s="6">
        <f>IF(COUNTA(A823:O823)=0,"",IF(AND(B823&lt;&gt;"",C823&lt;&gt;"",D823&lt;&gt;"",E823&lt;&gt;"",H823&lt;&gt;"",OR(J823&lt;&gt;"",L823&lt;&gt;"")),"OK","ERRO: faltam "&amp;IF(B823="","Proprietário; ","")&amp;IF(C823="","Origem; ","")&amp;IF(D823="","CNPJ; ","")&amp;IF(E823="","Razão Social; ","")&amp;IF(H823="","Sobrenome; ","")&amp;IF(AND(J823="",L823=""),"telefone ou e-mail; ","")))</f>
      </c>
      <c r="V823" s="6">
        <f>IF(COUNTA(A823:O823)=0,"",IF(AND(Q823="OK",R823="OK",LEFT(S823,4)&lt;&gt;"ERRO",LEFT(T823,4)&lt;&gt;"ERRO",U823="OK"),"OK","REVISAR"))</f>
      </c>
    </row>
    <row r="824">
      <c r="A824" s="4"/>
      <c r="B824" s="5"/>
      <c r="C824" s="5"/>
      <c r="D824" s="5"/>
      <c r="E824" s="5"/>
      <c r="F824" s="4"/>
      <c r="G824" s="4"/>
      <c r="H824" s="5"/>
      <c r="I824" s="4"/>
      <c r="J824" s="4"/>
      <c r="K824" s="4"/>
      <c r="L824" s="4"/>
      <c r="M824" s="4"/>
      <c r="N824" s="4"/>
      <c r="O824" s="4"/>
      <c r="P824" s="6">
        <f>IF(D824="","",SUBSTITUTE(SUBSTITUTE(SUBSTITUTE(SUBSTITUTE(SUBSTITUTE(SUBSTITUTE(SUBSTITUTE(TRIM(D824),".",""),"/",""),"-","")," ",""),"(",""),")",""),"+",""))</f>
      </c>
      <c r="Q824" s="6">
        <f>IF(P824="","",IF(LEN(P824)&lt;&gt;14,"ERRO: "&amp;LEN(P824)&amp;" dígitos",IF(NOT(ISNUMBER(VALUE(P824))),"ERRO: não numérico",IF(LEN(SUBSTITUTE(P824,LEFT(P824,1),""))=0,"ERRO: dígitos repetidos",IF(AND(VALUE(MID(P824,13,1))=IF(MOD(SUMPRODUCT(--MID(P824,{1,2,3,4,5,6,7,8,9,10,11,12},1),{5,4,3,2,9,8,7,6,5,4,3,2}),11)&lt;2,0,11-MOD(SUMPRODUCT(--MID(P824,{1,2,3,4,5,6,7,8,9,10,11,12},1),{5,4,3,2,9,8,7,6,5,4,3,2}),11)),VALUE(MID(P824,14,1))=IF(MOD(SUMPRODUCT(--MID(P824,{1,2,3,4,5,6,7,8,9,10,11,12,13},1),{6,5,4,3,2,9,8,7,6,5,4,3,2}),11)&lt;2,0,11-MOD(SUMPRODUCT(--MID(P824,{1,2,3,4,5,6,7,8,9,10,11,12,13},1),{6,5,4,3,2,9,8,7,6,5,4,3,2}),11))),"OK","ERRO: dígito verificador")))))</f>
      </c>
      <c r="R824" s="6">
        <f>IF(P824="","",IF(COUNTIF($P$2:$P$1001,P824)&gt;1,"DUPLICADO","OK"))</f>
      </c>
      <c r="S824" s="6">
        <f>IF(AND(J824="",K824=""),"vazio",IF(AND(OR(J824="",LEN(SUBSTITUTE(SUBSTITUTE(SUBSTITUTE(SUBSTITUTE(SUBSTITUTE(SUBSTITUTE(SUBSTITUTE(TRIM(J824),".",""),"/",""),"-","")," ",""),"(",""),")",""),"+",""))=10,LEN(SUBSTITUTE(SUBSTITUTE(SUBSTITUTE(SUBSTITUTE(SUBSTITUTE(SUBSTITUTE(SUBSTITUTE(TRIM(J824),".",""),"/",""),"-","")," ",""),"(",""),")",""),"+",""))=11),OR(K824="",LEN(SUBSTITUTE(SUBSTITUTE(SUBSTITUTE(SUBSTITUTE(SUBSTITUTE(SUBSTITUTE(SUBSTITUTE(TRIM(K824),".",""),"/",""),"-","")," ",""),"(",""),")",""),"+",""))=10,LEN(SUBSTITUTE(SUBSTITUTE(SUBSTITUTE(SUBSTITUTE(SUBSTITUTE(SUBSTITUTE(SUBSTITUTE(TRIM(K824),".",""),"/",""),"-","")," ",""),"(",""),")",""),"+",""))=11)),"OK","ERRO: use DDD + número (10 ou 11 dígitos)"))</f>
      </c>
      <c r="T824" s="6">
        <f>IF(L824="","vazio",IF(AND(ISNUMBER(FIND("@",L824)),ISNUMBER(FIND(".",MID(L824,FIND("@",L824),99))),NOT(ISNUMBER(FIND(" ",TRIM(L824)))),NOT(ISNUMBER(FIND(";",L824))),NOT(ISNUMBER(FIND(",",L824)))),"OK","ERRO: um e-mail válido por linha"))</f>
      </c>
      <c r="U824" s="6">
        <f>IF(COUNTA(A824:O824)=0,"",IF(AND(B824&lt;&gt;"",C824&lt;&gt;"",D824&lt;&gt;"",E824&lt;&gt;"",H824&lt;&gt;"",OR(J824&lt;&gt;"",L824&lt;&gt;"")),"OK","ERRO: faltam "&amp;IF(B824="","Proprietário; ","")&amp;IF(C824="","Origem; ","")&amp;IF(D824="","CNPJ; ","")&amp;IF(E824="","Razão Social; ","")&amp;IF(H824="","Sobrenome; ","")&amp;IF(AND(J824="",L824=""),"telefone ou e-mail; ","")))</f>
      </c>
      <c r="V824" s="6">
        <f>IF(COUNTA(A824:O824)=0,"",IF(AND(Q824="OK",R824="OK",LEFT(S824,4)&lt;&gt;"ERRO",LEFT(T824,4)&lt;&gt;"ERRO",U824="OK"),"OK","REVISAR"))</f>
      </c>
    </row>
    <row r="825">
      <c r="A825" s="4"/>
      <c r="B825" s="5"/>
      <c r="C825" s="5"/>
      <c r="D825" s="5"/>
      <c r="E825" s="5"/>
      <c r="F825" s="4"/>
      <c r="G825" s="4"/>
      <c r="H825" s="5"/>
      <c r="I825" s="4"/>
      <c r="J825" s="4"/>
      <c r="K825" s="4"/>
      <c r="L825" s="4"/>
      <c r="M825" s="4"/>
      <c r="N825" s="4"/>
      <c r="O825" s="4"/>
      <c r="P825" s="6">
        <f>IF(D825="","",SUBSTITUTE(SUBSTITUTE(SUBSTITUTE(SUBSTITUTE(SUBSTITUTE(SUBSTITUTE(SUBSTITUTE(TRIM(D825),".",""),"/",""),"-","")," ",""),"(",""),")",""),"+",""))</f>
      </c>
      <c r="Q825" s="6">
        <f>IF(P825="","",IF(LEN(P825)&lt;&gt;14,"ERRO: "&amp;LEN(P825)&amp;" dígitos",IF(NOT(ISNUMBER(VALUE(P825))),"ERRO: não numérico",IF(LEN(SUBSTITUTE(P825,LEFT(P825,1),""))=0,"ERRO: dígitos repetidos",IF(AND(VALUE(MID(P825,13,1))=IF(MOD(SUMPRODUCT(--MID(P825,{1,2,3,4,5,6,7,8,9,10,11,12},1),{5,4,3,2,9,8,7,6,5,4,3,2}),11)&lt;2,0,11-MOD(SUMPRODUCT(--MID(P825,{1,2,3,4,5,6,7,8,9,10,11,12},1),{5,4,3,2,9,8,7,6,5,4,3,2}),11)),VALUE(MID(P825,14,1))=IF(MOD(SUMPRODUCT(--MID(P825,{1,2,3,4,5,6,7,8,9,10,11,12,13},1),{6,5,4,3,2,9,8,7,6,5,4,3,2}),11)&lt;2,0,11-MOD(SUMPRODUCT(--MID(P825,{1,2,3,4,5,6,7,8,9,10,11,12,13},1),{6,5,4,3,2,9,8,7,6,5,4,3,2}),11))),"OK","ERRO: dígito verificador")))))</f>
      </c>
      <c r="R825" s="6">
        <f>IF(P825="","",IF(COUNTIF($P$2:$P$1001,P825)&gt;1,"DUPLICADO","OK"))</f>
      </c>
      <c r="S825" s="6">
        <f>IF(AND(J825="",K825=""),"vazio",IF(AND(OR(J825="",LEN(SUBSTITUTE(SUBSTITUTE(SUBSTITUTE(SUBSTITUTE(SUBSTITUTE(SUBSTITUTE(SUBSTITUTE(TRIM(J825),".",""),"/",""),"-","")," ",""),"(",""),")",""),"+",""))=10,LEN(SUBSTITUTE(SUBSTITUTE(SUBSTITUTE(SUBSTITUTE(SUBSTITUTE(SUBSTITUTE(SUBSTITUTE(TRIM(J825),".",""),"/",""),"-","")," ",""),"(",""),")",""),"+",""))=11),OR(K825="",LEN(SUBSTITUTE(SUBSTITUTE(SUBSTITUTE(SUBSTITUTE(SUBSTITUTE(SUBSTITUTE(SUBSTITUTE(TRIM(K825),".",""),"/",""),"-","")," ",""),"(",""),")",""),"+",""))=10,LEN(SUBSTITUTE(SUBSTITUTE(SUBSTITUTE(SUBSTITUTE(SUBSTITUTE(SUBSTITUTE(SUBSTITUTE(TRIM(K825),".",""),"/",""),"-","")," ",""),"(",""),")",""),"+",""))=11)),"OK","ERRO: use DDD + número (10 ou 11 dígitos)"))</f>
      </c>
      <c r="T825" s="6">
        <f>IF(L825="","vazio",IF(AND(ISNUMBER(FIND("@",L825)),ISNUMBER(FIND(".",MID(L825,FIND("@",L825),99))),NOT(ISNUMBER(FIND(" ",TRIM(L825)))),NOT(ISNUMBER(FIND(";",L825))),NOT(ISNUMBER(FIND(",",L825)))),"OK","ERRO: um e-mail válido por linha"))</f>
      </c>
      <c r="U825" s="6">
        <f>IF(COUNTA(A825:O825)=0,"",IF(AND(B825&lt;&gt;"",C825&lt;&gt;"",D825&lt;&gt;"",E825&lt;&gt;"",H825&lt;&gt;"",OR(J825&lt;&gt;"",L825&lt;&gt;"")),"OK","ERRO: faltam "&amp;IF(B825="","Proprietário; ","")&amp;IF(C825="","Origem; ","")&amp;IF(D825="","CNPJ; ","")&amp;IF(E825="","Razão Social; ","")&amp;IF(H825="","Sobrenome; ","")&amp;IF(AND(J825="",L825=""),"telefone ou e-mail; ","")))</f>
      </c>
      <c r="V825" s="6">
        <f>IF(COUNTA(A825:O825)=0,"",IF(AND(Q825="OK",R825="OK",LEFT(S825,4)&lt;&gt;"ERRO",LEFT(T825,4)&lt;&gt;"ERRO",U825="OK"),"OK","REVISAR"))</f>
      </c>
    </row>
    <row r="826">
      <c r="A826" s="4"/>
      <c r="B826" s="5"/>
      <c r="C826" s="5"/>
      <c r="D826" s="5"/>
      <c r="E826" s="5"/>
      <c r="F826" s="4"/>
      <c r="G826" s="4"/>
      <c r="H826" s="5"/>
      <c r="I826" s="4"/>
      <c r="J826" s="4"/>
      <c r="K826" s="4"/>
      <c r="L826" s="4"/>
      <c r="M826" s="4"/>
      <c r="N826" s="4"/>
      <c r="O826" s="4"/>
      <c r="P826" s="6">
        <f>IF(D826="","",SUBSTITUTE(SUBSTITUTE(SUBSTITUTE(SUBSTITUTE(SUBSTITUTE(SUBSTITUTE(SUBSTITUTE(TRIM(D826),".",""),"/",""),"-","")," ",""),"(",""),")",""),"+",""))</f>
      </c>
      <c r="Q826" s="6">
        <f>IF(P826="","",IF(LEN(P826)&lt;&gt;14,"ERRO: "&amp;LEN(P826)&amp;" dígitos",IF(NOT(ISNUMBER(VALUE(P826))),"ERRO: não numérico",IF(LEN(SUBSTITUTE(P826,LEFT(P826,1),""))=0,"ERRO: dígitos repetidos",IF(AND(VALUE(MID(P826,13,1))=IF(MOD(SUMPRODUCT(--MID(P826,{1,2,3,4,5,6,7,8,9,10,11,12},1),{5,4,3,2,9,8,7,6,5,4,3,2}),11)&lt;2,0,11-MOD(SUMPRODUCT(--MID(P826,{1,2,3,4,5,6,7,8,9,10,11,12},1),{5,4,3,2,9,8,7,6,5,4,3,2}),11)),VALUE(MID(P826,14,1))=IF(MOD(SUMPRODUCT(--MID(P826,{1,2,3,4,5,6,7,8,9,10,11,12,13},1),{6,5,4,3,2,9,8,7,6,5,4,3,2}),11)&lt;2,0,11-MOD(SUMPRODUCT(--MID(P826,{1,2,3,4,5,6,7,8,9,10,11,12,13},1),{6,5,4,3,2,9,8,7,6,5,4,3,2}),11))),"OK","ERRO: dígito verificador")))))</f>
      </c>
      <c r="R826" s="6">
        <f>IF(P826="","",IF(COUNTIF($P$2:$P$1001,P826)&gt;1,"DUPLICADO","OK"))</f>
      </c>
      <c r="S826" s="6">
        <f>IF(AND(J826="",K826=""),"vazio",IF(AND(OR(J826="",LEN(SUBSTITUTE(SUBSTITUTE(SUBSTITUTE(SUBSTITUTE(SUBSTITUTE(SUBSTITUTE(SUBSTITUTE(TRIM(J826),".",""),"/",""),"-","")," ",""),"(",""),")",""),"+",""))=10,LEN(SUBSTITUTE(SUBSTITUTE(SUBSTITUTE(SUBSTITUTE(SUBSTITUTE(SUBSTITUTE(SUBSTITUTE(TRIM(J826),".",""),"/",""),"-","")," ",""),"(",""),")",""),"+",""))=11),OR(K826="",LEN(SUBSTITUTE(SUBSTITUTE(SUBSTITUTE(SUBSTITUTE(SUBSTITUTE(SUBSTITUTE(SUBSTITUTE(TRIM(K826),".",""),"/",""),"-","")," ",""),"(",""),")",""),"+",""))=10,LEN(SUBSTITUTE(SUBSTITUTE(SUBSTITUTE(SUBSTITUTE(SUBSTITUTE(SUBSTITUTE(SUBSTITUTE(TRIM(K826),".",""),"/",""),"-","")," ",""),"(",""),")",""),"+",""))=11)),"OK","ERRO: use DDD + número (10 ou 11 dígitos)"))</f>
      </c>
      <c r="T826" s="6">
        <f>IF(L826="","vazio",IF(AND(ISNUMBER(FIND("@",L826)),ISNUMBER(FIND(".",MID(L826,FIND("@",L826),99))),NOT(ISNUMBER(FIND(" ",TRIM(L826)))),NOT(ISNUMBER(FIND(";",L826))),NOT(ISNUMBER(FIND(",",L826)))),"OK","ERRO: um e-mail válido por linha"))</f>
      </c>
      <c r="U826" s="6">
        <f>IF(COUNTA(A826:O826)=0,"",IF(AND(B826&lt;&gt;"",C826&lt;&gt;"",D826&lt;&gt;"",E826&lt;&gt;"",H826&lt;&gt;"",OR(J826&lt;&gt;"",L826&lt;&gt;"")),"OK","ERRO: faltam "&amp;IF(B826="","Proprietário; ","")&amp;IF(C826="","Origem; ","")&amp;IF(D826="","CNPJ; ","")&amp;IF(E826="","Razão Social; ","")&amp;IF(H826="","Sobrenome; ","")&amp;IF(AND(J826="",L826=""),"telefone ou e-mail; ","")))</f>
      </c>
      <c r="V826" s="6">
        <f>IF(COUNTA(A826:O826)=0,"",IF(AND(Q826="OK",R826="OK",LEFT(S826,4)&lt;&gt;"ERRO",LEFT(T826,4)&lt;&gt;"ERRO",U826="OK"),"OK","REVISAR"))</f>
      </c>
    </row>
    <row r="827">
      <c r="A827" s="4"/>
      <c r="B827" s="5"/>
      <c r="C827" s="5"/>
      <c r="D827" s="5"/>
      <c r="E827" s="5"/>
      <c r="F827" s="4"/>
      <c r="G827" s="4"/>
      <c r="H827" s="5"/>
      <c r="I827" s="4"/>
      <c r="J827" s="4"/>
      <c r="K827" s="4"/>
      <c r="L827" s="4"/>
      <c r="M827" s="4"/>
      <c r="N827" s="4"/>
      <c r="O827" s="4"/>
      <c r="P827" s="6">
        <f>IF(D827="","",SUBSTITUTE(SUBSTITUTE(SUBSTITUTE(SUBSTITUTE(SUBSTITUTE(SUBSTITUTE(SUBSTITUTE(TRIM(D827),".",""),"/",""),"-","")," ",""),"(",""),")",""),"+",""))</f>
      </c>
      <c r="Q827" s="6">
        <f>IF(P827="","",IF(LEN(P827)&lt;&gt;14,"ERRO: "&amp;LEN(P827)&amp;" dígitos",IF(NOT(ISNUMBER(VALUE(P827))),"ERRO: não numérico",IF(LEN(SUBSTITUTE(P827,LEFT(P827,1),""))=0,"ERRO: dígitos repetidos",IF(AND(VALUE(MID(P827,13,1))=IF(MOD(SUMPRODUCT(--MID(P827,{1,2,3,4,5,6,7,8,9,10,11,12},1),{5,4,3,2,9,8,7,6,5,4,3,2}),11)&lt;2,0,11-MOD(SUMPRODUCT(--MID(P827,{1,2,3,4,5,6,7,8,9,10,11,12},1),{5,4,3,2,9,8,7,6,5,4,3,2}),11)),VALUE(MID(P827,14,1))=IF(MOD(SUMPRODUCT(--MID(P827,{1,2,3,4,5,6,7,8,9,10,11,12,13},1),{6,5,4,3,2,9,8,7,6,5,4,3,2}),11)&lt;2,0,11-MOD(SUMPRODUCT(--MID(P827,{1,2,3,4,5,6,7,8,9,10,11,12,13},1),{6,5,4,3,2,9,8,7,6,5,4,3,2}),11))),"OK","ERRO: dígito verificador")))))</f>
      </c>
      <c r="R827" s="6">
        <f>IF(P827="","",IF(COUNTIF($P$2:$P$1001,P827)&gt;1,"DUPLICADO","OK"))</f>
      </c>
      <c r="S827" s="6">
        <f>IF(AND(J827="",K827=""),"vazio",IF(AND(OR(J827="",LEN(SUBSTITUTE(SUBSTITUTE(SUBSTITUTE(SUBSTITUTE(SUBSTITUTE(SUBSTITUTE(SUBSTITUTE(TRIM(J827),".",""),"/",""),"-","")," ",""),"(",""),")",""),"+",""))=10,LEN(SUBSTITUTE(SUBSTITUTE(SUBSTITUTE(SUBSTITUTE(SUBSTITUTE(SUBSTITUTE(SUBSTITUTE(TRIM(J827),".",""),"/",""),"-","")," ",""),"(",""),")",""),"+",""))=11),OR(K827="",LEN(SUBSTITUTE(SUBSTITUTE(SUBSTITUTE(SUBSTITUTE(SUBSTITUTE(SUBSTITUTE(SUBSTITUTE(TRIM(K827),".",""),"/",""),"-","")," ",""),"(",""),")",""),"+",""))=10,LEN(SUBSTITUTE(SUBSTITUTE(SUBSTITUTE(SUBSTITUTE(SUBSTITUTE(SUBSTITUTE(SUBSTITUTE(TRIM(K827),".",""),"/",""),"-","")," ",""),"(",""),")",""),"+",""))=11)),"OK","ERRO: use DDD + número (10 ou 11 dígitos)"))</f>
      </c>
      <c r="T827" s="6">
        <f>IF(L827="","vazio",IF(AND(ISNUMBER(FIND("@",L827)),ISNUMBER(FIND(".",MID(L827,FIND("@",L827),99))),NOT(ISNUMBER(FIND(" ",TRIM(L827)))),NOT(ISNUMBER(FIND(";",L827))),NOT(ISNUMBER(FIND(",",L827)))),"OK","ERRO: um e-mail válido por linha"))</f>
      </c>
      <c r="U827" s="6">
        <f>IF(COUNTA(A827:O827)=0,"",IF(AND(B827&lt;&gt;"",C827&lt;&gt;"",D827&lt;&gt;"",E827&lt;&gt;"",H827&lt;&gt;"",OR(J827&lt;&gt;"",L827&lt;&gt;"")),"OK","ERRO: faltam "&amp;IF(B827="","Proprietário; ","")&amp;IF(C827="","Origem; ","")&amp;IF(D827="","CNPJ; ","")&amp;IF(E827="","Razão Social; ","")&amp;IF(H827="","Sobrenome; ","")&amp;IF(AND(J827="",L827=""),"telefone ou e-mail; ","")))</f>
      </c>
      <c r="V827" s="6">
        <f>IF(COUNTA(A827:O827)=0,"",IF(AND(Q827="OK",R827="OK",LEFT(S827,4)&lt;&gt;"ERRO",LEFT(T827,4)&lt;&gt;"ERRO",U827="OK"),"OK","REVISAR"))</f>
      </c>
    </row>
    <row r="828">
      <c r="A828" s="4"/>
      <c r="B828" s="5"/>
      <c r="C828" s="5"/>
      <c r="D828" s="5"/>
      <c r="E828" s="5"/>
      <c r="F828" s="4"/>
      <c r="G828" s="4"/>
      <c r="H828" s="5"/>
      <c r="I828" s="4"/>
      <c r="J828" s="4"/>
      <c r="K828" s="4"/>
      <c r="L828" s="4"/>
      <c r="M828" s="4"/>
      <c r="N828" s="4"/>
      <c r="O828" s="4"/>
      <c r="P828" s="6">
        <f>IF(D828="","",SUBSTITUTE(SUBSTITUTE(SUBSTITUTE(SUBSTITUTE(SUBSTITUTE(SUBSTITUTE(SUBSTITUTE(TRIM(D828),".",""),"/",""),"-","")," ",""),"(",""),")",""),"+",""))</f>
      </c>
      <c r="Q828" s="6">
        <f>IF(P828="","",IF(LEN(P828)&lt;&gt;14,"ERRO: "&amp;LEN(P828)&amp;" dígitos",IF(NOT(ISNUMBER(VALUE(P828))),"ERRO: não numérico",IF(LEN(SUBSTITUTE(P828,LEFT(P828,1),""))=0,"ERRO: dígitos repetidos",IF(AND(VALUE(MID(P828,13,1))=IF(MOD(SUMPRODUCT(--MID(P828,{1,2,3,4,5,6,7,8,9,10,11,12},1),{5,4,3,2,9,8,7,6,5,4,3,2}),11)&lt;2,0,11-MOD(SUMPRODUCT(--MID(P828,{1,2,3,4,5,6,7,8,9,10,11,12},1),{5,4,3,2,9,8,7,6,5,4,3,2}),11)),VALUE(MID(P828,14,1))=IF(MOD(SUMPRODUCT(--MID(P828,{1,2,3,4,5,6,7,8,9,10,11,12,13},1),{6,5,4,3,2,9,8,7,6,5,4,3,2}),11)&lt;2,0,11-MOD(SUMPRODUCT(--MID(P828,{1,2,3,4,5,6,7,8,9,10,11,12,13},1),{6,5,4,3,2,9,8,7,6,5,4,3,2}),11))),"OK","ERRO: dígito verificador")))))</f>
      </c>
      <c r="R828" s="6">
        <f>IF(P828="","",IF(COUNTIF($P$2:$P$1001,P828)&gt;1,"DUPLICADO","OK"))</f>
      </c>
      <c r="S828" s="6">
        <f>IF(AND(J828="",K828=""),"vazio",IF(AND(OR(J828="",LEN(SUBSTITUTE(SUBSTITUTE(SUBSTITUTE(SUBSTITUTE(SUBSTITUTE(SUBSTITUTE(SUBSTITUTE(TRIM(J828),".",""),"/",""),"-","")," ",""),"(",""),")",""),"+",""))=10,LEN(SUBSTITUTE(SUBSTITUTE(SUBSTITUTE(SUBSTITUTE(SUBSTITUTE(SUBSTITUTE(SUBSTITUTE(TRIM(J828),".",""),"/",""),"-","")," ",""),"(",""),")",""),"+",""))=11),OR(K828="",LEN(SUBSTITUTE(SUBSTITUTE(SUBSTITUTE(SUBSTITUTE(SUBSTITUTE(SUBSTITUTE(SUBSTITUTE(TRIM(K828),".",""),"/",""),"-","")," ",""),"(",""),")",""),"+",""))=10,LEN(SUBSTITUTE(SUBSTITUTE(SUBSTITUTE(SUBSTITUTE(SUBSTITUTE(SUBSTITUTE(SUBSTITUTE(TRIM(K828),".",""),"/",""),"-","")," ",""),"(",""),")",""),"+",""))=11)),"OK","ERRO: use DDD + número (10 ou 11 dígitos)"))</f>
      </c>
      <c r="T828" s="6">
        <f>IF(L828="","vazio",IF(AND(ISNUMBER(FIND("@",L828)),ISNUMBER(FIND(".",MID(L828,FIND("@",L828),99))),NOT(ISNUMBER(FIND(" ",TRIM(L828)))),NOT(ISNUMBER(FIND(";",L828))),NOT(ISNUMBER(FIND(",",L828)))),"OK","ERRO: um e-mail válido por linha"))</f>
      </c>
      <c r="U828" s="6">
        <f>IF(COUNTA(A828:O828)=0,"",IF(AND(B828&lt;&gt;"",C828&lt;&gt;"",D828&lt;&gt;"",E828&lt;&gt;"",H828&lt;&gt;"",OR(J828&lt;&gt;"",L828&lt;&gt;"")),"OK","ERRO: faltam "&amp;IF(B828="","Proprietário; ","")&amp;IF(C828="","Origem; ","")&amp;IF(D828="","CNPJ; ","")&amp;IF(E828="","Razão Social; ","")&amp;IF(H828="","Sobrenome; ","")&amp;IF(AND(J828="",L828=""),"telefone ou e-mail; ","")))</f>
      </c>
      <c r="V828" s="6">
        <f>IF(COUNTA(A828:O828)=0,"",IF(AND(Q828="OK",R828="OK",LEFT(S828,4)&lt;&gt;"ERRO",LEFT(T828,4)&lt;&gt;"ERRO",U828="OK"),"OK","REVISAR"))</f>
      </c>
    </row>
    <row r="829">
      <c r="A829" s="4"/>
      <c r="B829" s="5"/>
      <c r="C829" s="5"/>
      <c r="D829" s="5"/>
      <c r="E829" s="5"/>
      <c r="F829" s="4"/>
      <c r="G829" s="4"/>
      <c r="H829" s="5"/>
      <c r="I829" s="4"/>
      <c r="J829" s="4"/>
      <c r="K829" s="4"/>
      <c r="L829" s="4"/>
      <c r="M829" s="4"/>
      <c r="N829" s="4"/>
      <c r="O829" s="4"/>
      <c r="P829" s="6">
        <f>IF(D829="","",SUBSTITUTE(SUBSTITUTE(SUBSTITUTE(SUBSTITUTE(SUBSTITUTE(SUBSTITUTE(SUBSTITUTE(TRIM(D829),".",""),"/",""),"-","")," ",""),"(",""),")",""),"+",""))</f>
      </c>
      <c r="Q829" s="6">
        <f>IF(P829="","",IF(LEN(P829)&lt;&gt;14,"ERRO: "&amp;LEN(P829)&amp;" dígitos",IF(NOT(ISNUMBER(VALUE(P829))),"ERRO: não numérico",IF(LEN(SUBSTITUTE(P829,LEFT(P829,1),""))=0,"ERRO: dígitos repetidos",IF(AND(VALUE(MID(P829,13,1))=IF(MOD(SUMPRODUCT(--MID(P829,{1,2,3,4,5,6,7,8,9,10,11,12},1),{5,4,3,2,9,8,7,6,5,4,3,2}),11)&lt;2,0,11-MOD(SUMPRODUCT(--MID(P829,{1,2,3,4,5,6,7,8,9,10,11,12},1),{5,4,3,2,9,8,7,6,5,4,3,2}),11)),VALUE(MID(P829,14,1))=IF(MOD(SUMPRODUCT(--MID(P829,{1,2,3,4,5,6,7,8,9,10,11,12,13},1),{6,5,4,3,2,9,8,7,6,5,4,3,2}),11)&lt;2,0,11-MOD(SUMPRODUCT(--MID(P829,{1,2,3,4,5,6,7,8,9,10,11,12,13},1),{6,5,4,3,2,9,8,7,6,5,4,3,2}),11))),"OK","ERRO: dígito verificador")))))</f>
      </c>
      <c r="R829" s="6">
        <f>IF(P829="","",IF(COUNTIF($P$2:$P$1001,P829)&gt;1,"DUPLICADO","OK"))</f>
      </c>
      <c r="S829" s="6">
        <f>IF(AND(J829="",K829=""),"vazio",IF(AND(OR(J829="",LEN(SUBSTITUTE(SUBSTITUTE(SUBSTITUTE(SUBSTITUTE(SUBSTITUTE(SUBSTITUTE(SUBSTITUTE(TRIM(J829),".",""),"/",""),"-","")," ",""),"(",""),")",""),"+",""))=10,LEN(SUBSTITUTE(SUBSTITUTE(SUBSTITUTE(SUBSTITUTE(SUBSTITUTE(SUBSTITUTE(SUBSTITUTE(TRIM(J829),".",""),"/",""),"-","")," ",""),"(",""),")",""),"+",""))=11),OR(K829="",LEN(SUBSTITUTE(SUBSTITUTE(SUBSTITUTE(SUBSTITUTE(SUBSTITUTE(SUBSTITUTE(SUBSTITUTE(TRIM(K829),".",""),"/",""),"-","")," ",""),"(",""),")",""),"+",""))=10,LEN(SUBSTITUTE(SUBSTITUTE(SUBSTITUTE(SUBSTITUTE(SUBSTITUTE(SUBSTITUTE(SUBSTITUTE(TRIM(K829),".",""),"/",""),"-","")," ",""),"(",""),")",""),"+",""))=11)),"OK","ERRO: use DDD + número (10 ou 11 dígitos)"))</f>
      </c>
      <c r="T829" s="6">
        <f>IF(L829="","vazio",IF(AND(ISNUMBER(FIND("@",L829)),ISNUMBER(FIND(".",MID(L829,FIND("@",L829),99))),NOT(ISNUMBER(FIND(" ",TRIM(L829)))),NOT(ISNUMBER(FIND(";",L829))),NOT(ISNUMBER(FIND(",",L829)))),"OK","ERRO: um e-mail válido por linha"))</f>
      </c>
      <c r="U829" s="6">
        <f>IF(COUNTA(A829:O829)=0,"",IF(AND(B829&lt;&gt;"",C829&lt;&gt;"",D829&lt;&gt;"",E829&lt;&gt;"",H829&lt;&gt;"",OR(J829&lt;&gt;"",L829&lt;&gt;"")),"OK","ERRO: faltam "&amp;IF(B829="","Proprietário; ","")&amp;IF(C829="","Origem; ","")&amp;IF(D829="","CNPJ; ","")&amp;IF(E829="","Razão Social; ","")&amp;IF(H829="","Sobrenome; ","")&amp;IF(AND(J829="",L829=""),"telefone ou e-mail; ","")))</f>
      </c>
      <c r="V829" s="6">
        <f>IF(COUNTA(A829:O829)=0,"",IF(AND(Q829="OK",R829="OK",LEFT(S829,4)&lt;&gt;"ERRO",LEFT(T829,4)&lt;&gt;"ERRO",U829="OK"),"OK","REVISAR"))</f>
      </c>
    </row>
    <row r="830">
      <c r="A830" s="4"/>
      <c r="B830" s="5"/>
      <c r="C830" s="5"/>
      <c r="D830" s="5"/>
      <c r="E830" s="5"/>
      <c r="F830" s="4"/>
      <c r="G830" s="4"/>
      <c r="H830" s="5"/>
      <c r="I830" s="4"/>
      <c r="J830" s="4"/>
      <c r="K830" s="4"/>
      <c r="L830" s="4"/>
      <c r="M830" s="4"/>
      <c r="N830" s="4"/>
      <c r="O830" s="4"/>
      <c r="P830" s="6">
        <f>IF(D830="","",SUBSTITUTE(SUBSTITUTE(SUBSTITUTE(SUBSTITUTE(SUBSTITUTE(SUBSTITUTE(SUBSTITUTE(TRIM(D830),".",""),"/",""),"-","")," ",""),"(",""),")",""),"+",""))</f>
      </c>
      <c r="Q830" s="6">
        <f>IF(P830="","",IF(LEN(P830)&lt;&gt;14,"ERRO: "&amp;LEN(P830)&amp;" dígitos",IF(NOT(ISNUMBER(VALUE(P830))),"ERRO: não numérico",IF(LEN(SUBSTITUTE(P830,LEFT(P830,1),""))=0,"ERRO: dígitos repetidos",IF(AND(VALUE(MID(P830,13,1))=IF(MOD(SUMPRODUCT(--MID(P830,{1,2,3,4,5,6,7,8,9,10,11,12},1),{5,4,3,2,9,8,7,6,5,4,3,2}),11)&lt;2,0,11-MOD(SUMPRODUCT(--MID(P830,{1,2,3,4,5,6,7,8,9,10,11,12},1),{5,4,3,2,9,8,7,6,5,4,3,2}),11)),VALUE(MID(P830,14,1))=IF(MOD(SUMPRODUCT(--MID(P830,{1,2,3,4,5,6,7,8,9,10,11,12,13},1),{6,5,4,3,2,9,8,7,6,5,4,3,2}),11)&lt;2,0,11-MOD(SUMPRODUCT(--MID(P830,{1,2,3,4,5,6,7,8,9,10,11,12,13},1),{6,5,4,3,2,9,8,7,6,5,4,3,2}),11))),"OK","ERRO: dígito verificador")))))</f>
      </c>
      <c r="R830" s="6">
        <f>IF(P830="","",IF(COUNTIF($P$2:$P$1001,P830)&gt;1,"DUPLICADO","OK"))</f>
      </c>
      <c r="S830" s="6">
        <f>IF(AND(J830="",K830=""),"vazio",IF(AND(OR(J830="",LEN(SUBSTITUTE(SUBSTITUTE(SUBSTITUTE(SUBSTITUTE(SUBSTITUTE(SUBSTITUTE(SUBSTITUTE(TRIM(J830),".",""),"/",""),"-","")," ",""),"(",""),")",""),"+",""))=10,LEN(SUBSTITUTE(SUBSTITUTE(SUBSTITUTE(SUBSTITUTE(SUBSTITUTE(SUBSTITUTE(SUBSTITUTE(TRIM(J830),".",""),"/",""),"-","")," ",""),"(",""),")",""),"+",""))=11),OR(K830="",LEN(SUBSTITUTE(SUBSTITUTE(SUBSTITUTE(SUBSTITUTE(SUBSTITUTE(SUBSTITUTE(SUBSTITUTE(TRIM(K830),".",""),"/",""),"-","")," ",""),"(",""),")",""),"+",""))=10,LEN(SUBSTITUTE(SUBSTITUTE(SUBSTITUTE(SUBSTITUTE(SUBSTITUTE(SUBSTITUTE(SUBSTITUTE(TRIM(K830),".",""),"/",""),"-","")," ",""),"(",""),")",""),"+",""))=11)),"OK","ERRO: use DDD + número (10 ou 11 dígitos)"))</f>
      </c>
      <c r="T830" s="6">
        <f>IF(L830="","vazio",IF(AND(ISNUMBER(FIND("@",L830)),ISNUMBER(FIND(".",MID(L830,FIND("@",L830),99))),NOT(ISNUMBER(FIND(" ",TRIM(L830)))),NOT(ISNUMBER(FIND(";",L830))),NOT(ISNUMBER(FIND(",",L830)))),"OK","ERRO: um e-mail válido por linha"))</f>
      </c>
      <c r="U830" s="6">
        <f>IF(COUNTA(A830:O830)=0,"",IF(AND(B830&lt;&gt;"",C830&lt;&gt;"",D830&lt;&gt;"",E830&lt;&gt;"",H830&lt;&gt;"",OR(J830&lt;&gt;"",L830&lt;&gt;"")),"OK","ERRO: faltam "&amp;IF(B830="","Proprietário; ","")&amp;IF(C830="","Origem; ","")&amp;IF(D830="","CNPJ; ","")&amp;IF(E830="","Razão Social; ","")&amp;IF(H830="","Sobrenome; ","")&amp;IF(AND(J830="",L830=""),"telefone ou e-mail; ","")))</f>
      </c>
      <c r="V830" s="6">
        <f>IF(COUNTA(A830:O830)=0,"",IF(AND(Q830="OK",R830="OK",LEFT(S830,4)&lt;&gt;"ERRO",LEFT(T830,4)&lt;&gt;"ERRO",U830="OK"),"OK","REVISAR"))</f>
      </c>
    </row>
    <row r="831">
      <c r="A831" s="4"/>
      <c r="B831" s="5"/>
      <c r="C831" s="5"/>
      <c r="D831" s="5"/>
      <c r="E831" s="5"/>
      <c r="F831" s="4"/>
      <c r="G831" s="4"/>
      <c r="H831" s="5"/>
      <c r="I831" s="4"/>
      <c r="J831" s="4"/>
      <c r="K831" s="4"/>
      <c r="L831" s="4"/>
      <c r="M831" s="4"/>
      <c r="N831" s="4"/>
      <c r="O831" s="4"/>
      <c r="P831" s="6">
        <f>IF(D831="","",SUBSTITUTE(SUBSTITUTE(SUBSTITUTE(SUBSTITUTE(SUBSTITUTE(SUBSTITUTE(SUBSTITUTE(TRIM(D831),".",""),"/",""),"-","")," ",""),"(",""),")",""),"+",""))</f>
      </c>
      <c r="Q831" s="6">
        <f>IF(P831="","",IF(LEN(P831)&lt;&gt;14,"ERRO: "&amp;LEN(P831)&amp;" dígitos",IF(NOT(ISNUMBER(VALUE(P831))),"ERRO: não numérico",IF(LEN(SUBSTITUTE(P831,LEFT(P831,1),""))=0,"ERRO: dígitos repetidos",IF(AND(VALUE(MID(P831,13,1))=IF(MOD(SUMPRODUCT(--MID(P831,{1,2,3,4,5,6,7,8,9,10,11,12},1),{5,4,3,2,9,8,7,6,5,4,3,2}),11)&lt;2,0,11-MOD(SUMPRODUCT(--MID(P831,{1,2,3,4,5,6,7,8,9,10,11,12},1),{5,4,3,2,9,8,7,6,5,4,3,2}),11)),VALUE(MID(P831,14,1))=IF(MOD(SUMPRODUCT(--MID(P831,{1,2,3,4,5,6,7,8,9,10,11,12,13},1),{6,5,4,3,2,9,8,7,6,5,4,3,2}),11)&lt;2,0,11-MOD(SUMPRODUCT(--MID(P831,{1,2,3,4,5,6,7,8,9,10,11,12,13},1),{6,5,4,3,2,9,8,7,6,5,4,3,2}),11))),"OK","ERRO: dígito verificador")))))</f>
      </c>
      <c r="R831" s="6">
        <f>IF(P831="","",IF(COUNTIF($P$2:$P$1001,P831)&gt;1,"DUPLICADO","OK"))</f>
      </c>
      <c r="S831" s="6">
        <f>IF(AND(J831="",K831=""),"vazio",IF(AND(OR(J831="",LEN(SUBSTITUTE(SUBSTITUTE(SUBSTITUTE(SUBSTITUTE(SUBSTITUTE(SUBSTITUTE(SUBSTITUTE(TRIM(J831),".",""),"/",""),"-","")," ",""),"(",""),")",""),"+",""))=10,LEN(SUBSTITUTE(SUBSTITUTE(SUBSTITUTE(SUBSTITUTE(SUBSTITUTE(SUBSTITUTE(SUBSTITUTE(TRIM(J831),".",""),"/",""),"-","")," ",""),"(",""),")",""),"+",""))=11),OR(K831="",LEN(SUBSTITUTE(SUBSTITUTE(SUBSTITUTE(SUBSTITUTE(SUBSTITUTE(SUBSTITUTE(SUBSTITUTE(TRIM(K831),".",""),"/",""),"-","")," ",""),"(",""),")",""),"+",""))=10,LEN(SUBSTITUTE(SUBSTITUTE(SUBSTITUTE(SUBSTITUTE(SUBSTITUTE(SUBSTITUTE(SUBSTITUTE(TRIM(K831),".",""),"/",""),"-","")," ",""),"(",""),")",""),"+",""))=11)),"OK","ERRO: use DDD + número (10 ou 11 dígitos)"))</f>
      </c>
      <c r="T831" s="6">
        <f>IF(L831="","vazio",IF(AND(ISNUMBER(FIND("@",L831)),ISNUMBER(FIND(".",MID(L831,FIND("@",L831),99))),NOT(ISNUMBER(FIND(" ",TRIM(L831)))),NOT(ISNUMBER(FIND(";",L831))),NOT(ISNUMBER(FIND(",",L831)))),"OK","ERRO: um e-mail válido por linha"))</f>
      </c>
      <c r="U831" s="6">
        <f>IF(COUNTA(A831:O831)=0,"",IF(AND(B831&lt;&gt;"",C831&lt;&gt;"",D831&lt;&gt;"",E831&lt;&gt;"",H831&lt;&gt;"",OR(J831&lt;&gt;"",L831&lt;&gt;"")),"OK","ERRO: faltam "&amp;IF(B831="","Proprietário; ","")&amp;IF(C831="","Origem; ","")&amp;IF(D831="","CNPJ; ","")&amp;IF(E831="","Razão Social; ","")&amp;IF(H831="","Sobrenome; ","")&amp;IF(AND(J831="",L831=""),"telefone ou e-mail; ","")))</f>
      </c>
      <c r="V831" s="6">
        <f>IF(COUNTA(A831:O831)=0,"",IF(AND(Q831="OK",R831="OK",LEFT(S831,4)&lt;&gt;"ERRO",LEFT(T831,4)&lt;&gt;"ERRO",U831="OK"),"OK","REVISAR"))</f>
      </c>
    </row>
    <row r="832">
      <c r="A832" s="4"/>
      <c r="B832" s="5"/>
      <c r="C832" s="5"/>
      <c r="D832" s="5"/>
      <c r="E832" s="5"/>
      <c r="F832" s="4"/>
      <c r="G832" s="4"/>
      <c r="H832" s="5"/>
      <c r="I832" s="4"/>
      <c r="J832" s="4"/>
      <c r="K832" s="4"/>
      <c r="L832" s="4"/>
      <c r="M832" s="4"/>
      <c r="N832" s="4"/>
      <c r="O832" s="4"/>
      <c r="P832" s="6">
        <f>IF(D832="","",SUBSTITUTE(SUBSTITUTE(SUBSTITUTE(SUBSTITUTE(SUBSTITUTE(SUBSTITUTE(SUBSTITUTE(TRIM(D832),".",""),"/",""),"-","")," ",""),"(",""),")",""),"+",""))</f>
      </c>
      <c r="Q832" s="6">
        <f>IF(P832="","",IF(LEN(P832)&lt;&gt;14,"ERRO: "&amp;LEN(P832)&amp;" dígitos",IF(NOT(ISNUMBER(VALUE(P832))),"ERRO: não numérico",IF(LEN(SUBSTITUTE(P832,LEFT(P832,1),""))=0,"ERRO: dígitos repetidos",IF(AND(VALUE(MID(P832,13,1))=IF(MOD(SUMPRODUCT(--MID(P832,{1,2,3,4,5,6,7,8,9,10,11,12},1),{5,4,3,2,9,8,7,6,5,4,3,2}),11)&lt;2,0,11-MOD(SUMPRODUCT(--MID(P832,{1,2,3,4,5,6,7,8,9,10,11,12},1),{5,4,3,2,9,8,7,6,5,4,3,2}),11)),VALUE(MID(P832,14,1))=IF(MOD(SUMPRODUCT(--MID(P832,{1,2,3,4,5,6,7,8,9,10,11,12,13},1),{6,5,4,3,2,9,8,7,6,5,4,3,2}),11)&lt;2,0,11-MOD(SUMPRODUCT(--MID(P832,{1,2,3,4,5,6,7,8,9,10,11,12,13},1),{6,5,4,3,2,9,8,7,6,5,4,3,2}),11))),"OK","ERRO: dígito verificador")))))</f>
      </c>
      <c r="R832" s="6">
        <f>IF(P832="","",IF(COUNTIF($P$2:$P$1001,P832)&gt;1,"DUPLICADO","OK"))</f>
      </c>
      <c r="S832" s="6">
        <f>IF(AND(J832="",K832=""),"vazio",IF(AND(OR(J832="",LEN(SUBSTITUTE(SUBSTITUTE(SUBSTITUTE(SUBSTITUTE(SUBSTITUTE(SUBSTITUTE(SUBSTITUTE(TRIM(J832),".",""),"/",""),"-","")," ",""),"(",""),")",""),"+",""))=10,LEN(SUBSTITUTE(SUBSTITUTE(SUBSTITUTE(SUBSTITUTE(SUBSTITUTE(SUBSTITUTE(SUBSTITUTE(TRIM(J832),".",""),"/",""),"-","")," ",""),"(",""),")",""),"+",""))=11),OR(K832="",LEN(SUBSTITUTE(SUBSTITUTE(SUBSTITUTE(SUBSTITUTE(SUBSTITUTE(SUBSTITUTE(SUBSTITUTE(TRIM(K832),".",""),"/",""),"-","")," ",""),"(",""),")",""),"+",""))=10,LEN(SUBSTITUTE(SUBSTITUTE(SUBSTITUTE(SUBSTITUTE(SUBSTITUTE(SUBSTITUTE(SUBSTITUTE(TRIM(K832),".",""),"/",""),"-","")," ",""),"(",""),")",""),"+",""))=11)),"OK","ERRO: use DDD + número (10 ou 11 dígitos)"))</f>
      </c>
      <c r="T832" s="6">
        <f>IF(L832="","vazio",IF(AND(ISNUMBER(FIND("@",L832)),ISNUMBER(FIND(".",MID(L832,FIND("@",L832),99))),NOT(ISNUMBER(FIND(" ",TRIM(L832)))),NOT(ISNUMBER(FIND(";",L832))),NOT(ISNUMBER(FIND(",",L832)))),"OK","ERRO: um e-mail válido por linha"))</f>
      </c>
      <c r="U832" s="6">
        <f>IF(COUNTA(A832:O832)=0,"",IF(AND(B832&lt;&gt;"",C832&lt;&gt;"",D832&lt;&gt;"",E832&lt;&gt;"",H832&lt;&gt;"",OR(J832&lt;&gt;"",L832&lt;&gt;"")),"OK","ERRO: faltam "&amp;IF(B832="","Proprietário; ","")&amp;IF(C832="","Origem; ","")&amp;IF(D832="","CNPJ; ","")&amp;IF(E832="","Razão Social; ","")&amp;IF(H832="","Sobrenome; ","")&amp;IF(AND(J832="",L832=""),"telefone ou e-mail; ","")))</f>
      </c>
      <c r="V832" s="6">
        <f>IF(COUNTA(A832:O832)=0,"",IF(AND(Q832="OK",R832="OK",LEFT(S832,4)&lt;&gt;"ERRO",LEFT(T832,4)&lt;&gt;"ERRO",U832="OK"),"OK","REVISAR"))</f>
      </c>
    </row>
    <row r="833">
      <c r="A833" s="4"/>
      <c r="B833" s="5"/>
      <c r="C833" s="5"/>
      <c r="D833" s="5"/>
      <c r="E833" s="5"/>
      <c r="F833" s="4"/>
      <c r="G833" s="4"/>
      <c r="H833" s="5"/>
      <c r="I833" s="4"/>
      <c r="J833" s="4"/>
      <c r="K833" s="4"/>
      <c r="L833" s="4"/>
      <c r="M833" s="4"/>
      <c r="N833" s="4"/>
      <c r="O833" s="4"/>
      <c r="P833" s="6">
        <f>IF(D833="","",SUBSTITUTE(SUBSTITUTE(SUBSTITUTE(SUBSTITUTE(SUBSTITUTE(SUBSTITUTE(SUBSTITUTE(TRIM(D833),".",""),"/",""),"-","")," ",""),"(",""),")",""),"+",""))</f>
      </c>
      <c r="Q833" s="6">
        <f>IF(P833="","",IF(LEN(P833)&lt;&gt;14,"ERRO: "&amp;LEN(P833)&amp;" dígitos",IF(NOT(ISNUMBER(VALUE(P833))),"ERRO: não numérico",IF(LEN(SUBSTITUTE(P833,LEFT(P833,1),""))=0,"ERRO: dígitos repetidos",IF(AND(VALUE(MID(P833,13,1))=IF(MOD(SUMPRODUCT(--MID(P833,{1,2,3,4,5,6,7,8,9,10,11,12},1),{5,4,3,2,9,8,7,6,5,4,3,2}),11)&lt;2,0,11-MOD(SUMPRODUCT(--MID(P833,{1,2,3,4,5,6,7,8,9,10,11,12},1),{5,4,3,2,9,8,7,6,5,4,3,2}),11)),VALUE(MID(P833,14,1))=IF(MOD(SUMPRODUCT(--MID(P833,{1,2,3,4,5,6,7,8,9,10,11,12,13},1),{6,5,4,3,2,9,8,7,6,5,4,3,2}),11)&lt;2,0,11-MOD(SUMPRODUCT(--MID(P833,{1,2,3,4,5,6,7,8,9,10,11,12,13},1),{6,5,4,3,2,9,8,7,6,5,4,3,2}),11))),"OK","ERRO: dígito verificador")))))</f>
      </c>
      <c r="R833" s="6">
        <f>IF(P833="","",IF(COUNTIF($P$2:$P$1001,P833)&gt;1,"DUPLICADO","OK"))</f>
      </c>
      <c r="S833" s="6">
        <f>IF(AND(J833="",K833=""),"vazio",IF(AND(OR(J833="",LEN(SUBSTITUTE(SUBSTITUTE(SUBSTITUTE(SUBSTITUTE(SUBSTITUTE(SUBSTITUTE(SUBSTITUTE(TRIM(J833),".",""),"/",""),"-","")," ",""),"(",""),")",""),"+",""))=10,LEN(SUBSTITUTE(SUBSTITUTE(SUBSTITUTE(SUBSTITUTE(SUBSTITUTE(SUBSTITUTE(SUBSTITUTE(TRIM(J833),".",""),"/",""),"-","")," ",""),"(",""),")",""),"+",""))=11),OR(K833="",LEN(SUBSTITUTE(SUBSTITUTE(SUBSTITUTE(SUBSTITUTE(SUBSTITUTE(SUBSTITUTE(SUBSTITUTE(TRIM(K833),".",""),"/",""),"-","")," ",""),"(",""),")",""),"+",""))=10,LEN(SUBSTITUTE(SUBSTITUTE(SUBSTITUTE(SUBSTITUTE(SUBSTITUTE(SUBSTITUTE(SUBSTITUTE(TRIM(K833),".",""),"/",""),"-","")," ",""),"(",""),")",""),"+",""))=11)),"OK","ERRO: use DDD + número (10 ou 11 dígitos)"))</f>
      </c>
      <c r="T833" s="6">
        <f>IF(L833="","vazio",IF(AND(ISNUMBER(FIND("@",L833)),ISNUMBER(FIND(".",MID(L833,FIND("@",L833),99))),NOT(ISNUMBER(FIND(" ",TRIM(L833)))),NOT(ISNUMBER(FIND(";",L833))),NOT(ISNUMBER(FIND(",",L833)))),"OK","ERRO: um e-mail válido por linha"))</f>
      </c>
      <c r="U833" s="6">
        <f>IF(COUNTA(A833:O833)=0,"",IF(AND(B833&lt;&gt;"",C833&lt;&gt;"",D833&lt;&gt;"",E833&lt;&gt;"",H833&lt;&gt;"",OR(J833&lt;&gt;"",L833&lt;&gt;"")),"OK","ERRO: faltam "&amp;IF(B833="","Proprietário; ","")&amp;IF(C833="","Origem; ","")&amp;IF(D833="","CNPJ; ","")&amp;IF(E833="","Razão Social; ","")&amp;IF(H833="","Sobrenome; ","")&amp;IF(AND(J833="",L833=""),"telefone ou e-mail; ","")))</f>
      </c>
      <c r="V833" s="6">
        <f>IF(COUNTA(A833:O833)=0,"",IF(AND(Q833="OK",R833="OK",LEFT(S833,4)&lt;&gt;"ERRO",LEFT(T833,4)&lt;&gt;"ERRO",U833="OK"),"OK","REVISAR"))</f>
      </c>
    </row>
    <row r="834">
      <c r="A834" s="4"/>
      <c r="B834" s="5"/>
      <c r="C834" s="5"/>
      <c r="D834" s="5"/>
      <c r="E834" s="5"/>
      <c r="F834" s="4"/>
      <c r="G834" s="4"/>
      <c r="H834" s="5"/>
      <c r="I834" s="4"/>
      <c r="J834" s="4"/>
      <c r="K834" s="4"/>
      <c r="L834" s="4"/>
      <c r="M834" s="4"/>
      <c r="N834" s="4"/>
      <c r="O834" s="4"/>
      <c r="P834" s="6">
        <f>IF(D834="","",SUBSTITUTE(SUBSTITUTE(SUBSTITUTE(SUBSTITUTE(SUBSTITUTE(SUBSTITUTE(SUBSTITUTE(TRIM(D834),".",""),"/",""),"-","")," ",""),"(",""),")",""),"+",""))</f>
      </c>
      <c r="Q834" s="6">
        <f>IF(P834="","",IF(LEN(P834)&lt;&gt;14,"ERRO: "&amp;LEN(P834)&amp;" dígitos",IF(NOT(ISNUMBER(VALUE(P834))),"ERRO: não numérico",IF(LEN(SUBSTITUTE(P834,LEFT(P834,1),""))=0,"ERRO: dígitos repetidos",IF(AND(VALUE(MID(P834,13,1))=IF(MOD(SUMPRODUCT(--MID(P834,{1,2,3,4,5,6,7,8,9,10,11,12},1),{5,4,3,2,9,8,7,6,5,4,3,2}),11)&lt;2,0,11-MOD(SUMPRODUCT(--MID(P834,{1,2,3,4,5,6,7,8,9,10,11,12},1),{5,4,3,2,9,8,7,6,5,4,3,2}),11)),VALUE(MID(P834,14,1))=IF(MOD(SUMPRODUCT(--MID(P834,{1,2,3,4,5,6,7,8,9,10,11,12,13},1),{6,5,4,3,2,9,8,7,6,5,4,3,2}),11)&lt;2,0,11-MOD(SUMPRODUCT(--MID(P834,{1,2,3,4,5,6,7,8,9,10,11,12,13},1),{6,5,4,3,2,9,8,7,6,5,4,3,2}),11))),"OK","ERRO: dígito verificador")))))</f>
      </c>
      <c r="R834" s="6">
        <f>IF(P834="","",IF(COUNTIF($P$2:$P$1001,P834)&gt;1,"DUPLICADO","OK"))</f>
      </c>
      <c r="S834" s="6">
        <f>IF(AND(J834="",K834=""),"vazio",IF(AND(OR(J834="",LEN(SUBSTITUTE(SUBSTITUTE(SUBSTITUTE(SUBSTITUTE(SUBSTITUTE(SUBSTITUTE(SUBSTITUTE(TRIM(J834),".",""),"/",""),"-","")," ",""),"(",""),")",""),"+",""))=10,LEN(SUBSTITUTE(SUBSTITUTE(SUBSTITUTE(SUBSTITUTE(SUBSTITUTE(SUBSTITUTE(SUBSTITUTE(TRIM(J834),".",""),"/",""),"-","")," ",""),"(",""),")",""),"+",""))=11),OR(K834="",LEN(SUBSTITUTE(SUBSTITUTE(SUBSTITUTE(SUBSTITUTE(SUBSTITUTE(SUBSTITUTE(SUBSTITUTE(TRIM(K834),".",""),"/",""),"-","")," ",""),"(",""),")",""),"+",""))=10,LEN(SUBSTITUTE(SUBSTITUTE(SUBSTITUTE(SUBSTITUTE(SUBSTITUTE(SUBSTITUTE(SUBSTITUTE(TRIM(K834),".",""),"/",""),"-","")," ",""),"(",""),")",""),"+",""))=11)),"OK","ERRO: use DDD + número (10 ou 11 dígitos)"))</f>
      </c>
      <c r="T834" s="6">
        <f>IF(L834="","vazio",IF(AND(ISNUMBER(FIND("@",L834)),ISNUMBER(FIND(".",MID(L834,FIND("@",L834),99))),NOT(ISNUMBER(FIND(" ",TRIM(L834)))),NOT(ISNUMBER(FIND(";",L834))),NOT(ISNUMBER(FIND(",",L834)))),"OK","ERRO: um e-mail válido por linha"))</f>
      </c>
      <c r="U834" s="6">
        <f>IF(COUNTA(A834:O834)=0,"",IF(AND(B834&lt;&gt;"",C834&lt;&gt;"",D834&lt;&gt;"",E834&lt;&gt;"",H834&lt;&gt;"",OR(J834&lt;&gt;"",L834&lt;&gt;"")),"OK","ERRO: faltam "&amp;IF(B834="","Proprietário; ","")&amp;IF(C834="","Origem; ","")&amp;IF(D834="","CNPJ; ","")&amp;IF(E834="","Razão Social; ","")&amp;IF(H834="","Sobrenome; ","")&amp;IF(AND(J834="",L834=""),"telefone ou e-mail; ","")))</f>
      </c>
      <c r="V834" s="6">
        <f>IF(COUNTA(A834:O834)=0,"",IF(AND(Q834="OK",R834="OK",LEFT(S834,4)&lt;&gt;"ERRO",LEFT(T834,4)&lt;&gt;"ERRO",U834="OK"),"OK","REVISAR"))</f>
      </c>
    </row>
    <row r="835">
      <c r="A835" s="4"/>
      <c r="B835" s="5"/>
      <c r="C835" s="5"/>
      <c r="D835" s="5"/>
      <c r="E835" s="5"/>
      <c r="F835" s="4"/>
      <c r="G835" s="4"/>
      <c r="H835" s="5"/>
      <c r="I835" s="4"/>
      <c r="J835" s="4"/>
      <c r="K835" s="4"/>
      <c r="L835" s="4"/>
      <c r="M835" s="4"/>
      <c r="N835" s="4"/>
      <c r="O835" s="4"/>
      <c r="P835" s="6">
        <f>IF(D835="","",SUBSTITUTE(SUBSTITUTE(SUBSTITUTE(SUBSTITUTE(SUBSTITUTE(SUBSTITUTE(SUBSTITUTE(TRIM(D835),".",""),"/",""),"-","")," ",""),"(",""),")",""),"+",""))</f>
      </c>
      <c r="Q835" s="6">
        <f>IF(P835="","",IF(LEN(P835)&lt;&gt;14,"ERRO: "&amp;LEN(P835)&amp;" dígitos",IF(NOT(ISNUMBER(VALUE(P835))),"ERRO: não numérico",IF(LEN(SUBSTITUTE(P835,LEFT(P835,1),""))=0,"ERRO: dígitos repetidos",IF(AND(VALUE(MID(P835,13,1))=IF(MOD(SUMPRODUCT(--MID(P835,{1,2,3,4,5,6,7,8,9,10,11,12},1),{5,4,3,2,9,8,7,6,5,4,3,2}),11)&lt;2,0,11-MOD(SUMPRODUCT(--MID(P835,{1,2,3,4,5,6,7,8,9,10,11,12},1),{5,4,3,2,9,8,7,6,5,4,3,2}),11)),VALUE(MID(P835,14,1))=IF(MOD(SUMPRODUCT(--MID(P835,{1,2,3,4,5,6,7,8,9,10,11,12,13},1),{6,5,4,3,2,9,8,7,6,5,4,3,2}),11)&lt;2,0,11-MOD(SUMPRODUCT(--MID(P835,{1,2,3,4,5,6,7,8,9,10,11,12,13},1),{6,5,4,3,2,9,8,7,6,5,4,3,2}),11))),"OK","ERRO: dígito verificador")))))</f>
      </c>
      <c r="R835" s="6">
        <f>IF(P835="","",IF(COUNTIF($P$2:$P$1001,P835)&gt;1,"DUPLICADO","OK"))</f>
      </c>
      <c r="S835" s="6">
        <f>IF(AND(J835="",K835=""),"vazio",IF(AND(OR(J835="",LEN(SUBSTITUTE(SUBSTITUTE(SUBSTITUTE(SUBSTITUTE(SUBSTITUTE(SUBSTITUTE(SUBSTITUTE(TRIM(J835),".",""),"/",""),"-","")," ",""),"(",""),")",""),"+",""))=10,LEN(SUBSTITUTE(SUBSTITUTE(SUBSTITUTE(SUBSTITUTE(SUBSTITUTE(SUBSTITUTE(SUBSTITUTE(TRIM(J835),".",""),"/",""),"-","")," ",""),"(",""),")",""),"+",""))=11),OR(K835="",LEN(SUBSTITUTE(SUBSTITUTE(SUBSTITUTE(SUBSTITUTE(SUBSTITUTE(SUBSTITUTE(SUBSTITUTE(TRIM(K835),".",""),"/",""),"-","")," ",""),"(",""),")",""),"+",""))=10,LEN(SUBSTITUTE(SUBSTITUTE(SUBSTITUTE(SUBSTITUTE(SUBSTITUTE(SUBSTITUTE(SUBSTITUTE(TRIM(K835),".",""),"/",""),"-","")," ",""),"(",""),")",""),"+",""))=11)),"OK","ERRO: use DDD + número (10 ou 11 dígitos)"))</f>
      </c>
      <c r="T835" s="6">
        <f>IF(L835="","vazio",IF(AND(ISNUMBER(FIND("@",L835)),ISNUMBER(FIND(".",MID(L835,FIND("@",L835),99))),NOT(ISNUMBER(FIND(" ",TRIM(L835)))),NOT(ISNUMBER(FIND(";",L835))),NOT(ISNUMBER(FIND(",",L835)))),"OK","ERRO: um e-mail válido por linha"))</f>
      </c>
      <c r="U835" s="6">
        <f>IF(COUNTA(A835:O835)=0,"",IF(AND(B835&lt;&gt;"",C835&lt;&gt;"",D835&lt;&gt;"",E835&lt;&gt;"",H835&lt;&gt;"",OR(J835&lt;&gt;"",L835&lt;&gt;"")),"OK","ERRO: faltam "&amp;IF(B835="","Proprietário; ","")&amp;IF(C835="","Origem; ","")&amp;IF(D835="","CNPJ; ","")&amp;IF(E835="","Razão Social; ","")&amp;IF(H835="","Sobrenome; ","")&amp;IF(AND(J835="",L835=""),"telefone ou e-mail; ","")))</f>
      </c>
      <c r="V835" s="6">
        <f>IF(COUNTA(A835:O835)=0,"",IF(AND(Q835="OK",R835="OK",LEFT(S835,4)&lt;&gt;"ERRO",LEFT(T835,4)&lt;&gt;"ERRO",U835="OK"),"OK","REVISAR"))</f>
      </c>
    </row>
    <row r="836">
      <c r="A836" s="4"/>
      <c r="B836" s="5"/>
      <c r="C836" s="5"/>
      <c r="D836" s="5"/>
      <c r="E836" s="5"/>
      <c r="F836" s="4"/>
      <c r="G836" s="4"/>
      <c r="H836" s="5"/>
      <c r="I836" s="4"/>
      <c r="J836" s="4"/>
      <c r="K836" s="4"/>
      <c r="L836" s="4"/>
      <c r="M836" s="4"/>
      <c r="N836" s="4"/>
      <c r="O836" s="4"/>
      <c r="P836" s="6">
        <f>IF(D836="","",SUBSTITUTE(SUBSTITUTE(SUBSTITUTE(SUBSTITUTE(SUBSTITUTE(SUBSTITUTE(SUBSTITUTE(TRIM(D836),".",""),"/",""),"-","")," ",""),"(",""),")",""),"+",""))</f>
      </c>
      <c r="Q836" s="6">
        <f>IF(P836="","",IF(LEN(P836)&lt;&gt;14,"ERRO: "&amp;LEN(P836)&amp;" dígitos",IF(NOT(ISNUMBER(VALUE(P836))),"ERRO: não numérico",IF(LEN(SUBSTITUTE(P836,LEFT(P836,1),""))=0,"ERRO: dígitos repetidos",IF(AND(VALUE(MID(P836,13,1))=IF(MOD(SUMPRODUCT(--MID(P836,{1,2,3,4,5,6,7,8,9,10,11,12},1),{5,4,3,2,9,8,7,6,5,4,3,2}),11)&lt;2,0,11-MOD(SUMPRODUCT(--MID(P836,{1,2,3,4,5,6,7,8,9,10,11,12},1),{5,4,3,2,9,8,7,6,5,4,3,2}),11)),VALUE(MID(P836,14,1))=IF(MOD(SUMPRODUCT(--MID(P836,{1,2,3,4,5,6,7,8,9,10,11,12,13},1),{6,5,4,3,2,9,8,7,6,5,4,3,2}),11)&lt;2,0,11-MOD(SUMPRODUCT(--MID(P836,{1,2,3,4,5,6,7,8,9,10,11,12,13},1),{6,5,4,3,2,9,8,7,6,5,4,3,2}),11))),"OK","ERRO: dígito verificador")))))</f>
      </c>
      <c r="R836" s="6">
        <f>IF(P836="","",IF(COUNTIF($P$2:$P$1001,P836)&gt;1,"DUPLICADO","OK"))</f>
      </c>
      <c r="S836" s="6">
        <f>IF(AND(J836="",K836=""),"vazio",IF(AND(OR(J836="",LEN(SUBSTITUTE(SUBSTITUTE(SUBSTITUTE(SUBSTITUTE(SUBSTITUTE(SUBSTITUTE(SUBSTITUTE(TRIM(J836),".",""),"/",""),"-","")," ",""),"(",""),")",""),"+",""))=10,LEN(SUBSTITUTE(SUBSTITUTE(SUBSTITUTE(SUBSTITUTE(SUBSTITUTE(SUBSTITUTE(SUBSTITUTE(TRIM(J836),".",""),"/",""),"-","")," ",""),"(",""),")",""),"+",""))=11),OR(K836="",LEN(SUBSTITUTE(SUBSTITUTE(SUBSTITUTE(SUBSTITUTE(SUBSTITUTE(SUBSTITUTE(SUBSTITUTE(TRIM(K836),".",""),"/",""),"-","")," ",""),"(",""),")",""),"+",""))=10,LEN(SUBSTITUTE(SUBSTITUTE(SUBSTITUTE(SUBSTITUTE(SUBSTITUTE(SUBSTITUTE(SUBSTITUTE(TRIM(K836),".",""),"/",""),"-","")," ",""),"(",""),")",""),"+",""))=11)),"OK","ERRO: use DDD + número (10 ou 11 dígitos)"))</f>
      </c>
      <c r="T836" s="6">
        <f>IF(L836="","vazio",IF(AND(ISNUMBER(FIND("@",L836)),ISNUMBER(FIND(".",MID(L836,FIND("@",L836),99))),NOT(ISNUMBER(FIND(" ",TRIM(L836)))),NOT(ISNUMBER(FIND(";",L836))),NOT(ISNUMBER(FIND(",",L836)))),"OK","ERRO: um e-mail válido por linha"))</f>
      </c>
      <c r="U836" s="6">
        <f>IF(COUNTA(A836:O836)=0,"",IF(AND(B836&lt;&gt;"",C836&lt;&gt;"",D836&lt;&gt;"",E836&lt;&gt;"",H836&lt;&gt;"",OR(J836&lt;&gt;"",L836&lt;&gt;"")),"OK","ERRO: faltam "&amp;IF(B836="","Proprietário; ","")&amp;IF(C836="","Origem; ","")&amp;IF(D836="","CNPJ; ","")&amp;IF(E836="","Razão Social; ","")&amp;IF(H836="","Sobrenome; ","")&amp;IF(AND(J836="",L836=""),"telefone ou e-mail; ","")))</f>
      </c>
      <c r="V836" s="6">
        <f>IF(COUNTA(A836:O836)=0,"",IF(AND(Q836="OK",R836="OK",LEFT(S836,4)&lt;&gt;"ERRO",LEFT(T836,4)&lt;&gt;"ERRO",U836="OK"),"OK","REVISAR"))</f>
      </c>
    </row>
    <row r="837">
      <c r="A837" s="4"/>
      <c r="B837" s="5"/>
      <c r="C837" s="5"/>
      <c r="D837" s="5"/>
      <c r="E837" s="5"/>
      <c r="F837" s="4"/>
      <c r="G837" s="4"/>
      <c r="H837" s="5"/>
      <c r="I837" s="4"/>
      <c r="J837" s="4"/>
      <c r="K837" s="4"/>
      <c r="L837" s="4"/>
      <c r="M837" s="4"/>
      <c r="N837" s="4"/>
      <c r="O837" s="4"/>
      <c r="P837" s="6">
        <f>IF(D837="","",SUBSTITUTE(SUBSTITUTE(SUBSTITUTE(SUBSTITUTE(SUBSTITUTE(SUBSTITUTE(SUBSTITUTE(TRIM(D837),".",""),"/",""),"-","")," ",""),"(",""),")",""),"+",""))</f>
      </c>
      <c r="Q837" s="6">
        <f>IF(P837="","",IF(LEN(P837)&lt;&gt;14,"ERRO: "&amp;LEN(P837)&amp;" dígitos",IF(NOT(ISNUMBER(VALUE(P837))),"ERRO: não numérico",IF(LEN(SUBSTITUTE(P837,LEFT(P837,1),""))=0,"ERRO: dígitos repetidos",IF(AND(VALUE(MID(P837,13,1))=IF(MOD(SUMPRODUCT(--MID(P837,{1,2,3,4,5,6,7,8,9,10,11,12},1),{5,4,3,2,9,8,7,6,5,4,3,2}),11)&lt;2,0,11-MOD(SUMPRODUCT(--MID(P837,{1,2,3,4,5,6,7,8,9,10,11,12},1),{5,4,3,2,9,8,7,6,5,4,3,2}),11)),VALUE(MID(P837,14,1))=IF(MOD(SUMPRODUCT(--MID(P837,{1,2,3,4,5,6,7,8,9,10,11,12,13},1),{6,5,4,3,2,9,8,7,6,5,4,3,2}),11)&lt;2,0,11-MOD(SUMPRODUCT(--MID(P837,{1,2,3,4,5,6,7,8,9,10,11,12,13},1),{6,5,4,3,2,9,8,7,6,5,4,3,2}),11))),"OK","ERRO: dígito verificador")))))</f>
      </c>
      <c r="R837" s="6">
        <f>IF(P837="","",IF(COUNTIF($P$2:$P$1001,P837)&gt;1,"DUPLICADO","OK"))</f>
      </c>
      <c r="S837" s="6">
        <f>IF(AND(J837="",K837=""),"vazio",IF(AND(OR(J837="",LEN(SUBSTITUTE(SUBSTITUTE(SUBSTITUTE(SUBSTITUTE(SUBSTITUTE(SUBSTITUTE(SUBSTITUTE(TRIM(J837),".",""),"/",""),"-","")," ",""),"(",""),")",""),"+",""))=10,LEN(SUBSTITUTE(SUBSTITUTE(SUBSTITUTE(SUBSTITUTE(SUBSTITUTE(SUBSTITUTE(SUBSTITUTE(TRIM(J837),".",""),"/",""),"-","")," ",""),"(",""),")",""),"+",""))=11),OR(K837="",LEN(SUBSTITUTE(SUBSTITUTE(SUBSTITUTE(SUBSTITUTE(SUBSTITUTE(SUBSTITUTE(SUBSTITUTE(TRIM(K837),".",""),"/",""),"-","")," ",""),"(",""),")",""),"+",""))=10,LEN(SUBSTITUTE(SUBSTITUTE(SUBSTITUTE(SUBSTITUTE(SUBSTITUTE(SUBSTITUTE(SUBSTITUTE(TRIM(K837),".",""),"/",""),"-","")," ",""),"(",""),")",""),"+",""))=11)),"OK","ERRO: use DDD + número (10 ou 11 dígitos)"))</f>
      </c>
      <c r="T837" s="6">
        <f>IF(L837="","vazio",IF(AND(ISNUMBER(FIND("@",L837)),ISNUMBER(FIND(".",MID(L837,FIND("@",L837),99))),NOT(ISNUMBER(FIND(" ",TRIM(L837)))),NOT(ISNUMBER(FIND(";",L837))),NOT(ISNUMBER(FIND(",",L837)))),"OK","ERRO: um e-mail válido por linha"))</f>
      </c>
      <c r="U837" s="6">
        <f>IF(COUNTA(A837:O837)=0,"",IF(AND(B837&lt;&gt;"",C837&lt;&gt;"",D837&lt;&gt;"",E837&lt;&gt;"",H837&lt;&gt;"",OR(J837&lt;&gt;"",L837&lt;&gt;"")),"OK","ERRO: faltam "&amp;IF(B837="","Proprietário; ","")&amp;IF(C837="","Origem; ","")&amp;IF(D837="","CNPJ; ","")&amp;IF(E837="","Razão Social; ","")&amp;IF(H837="","Sobrenome; ","")&amp;IF(AND(J837="",L837=""),"telefone ou e-mail; ","")))</f>
      </c>
      <c r="V837" s="6">
        <f>IF(COUNTA(A837:O837)=0,"",IF(AND(Q837="OK",R837="OK",LEFT(S837,4)&lt;&gt;"ERRO",LEFT(T837,4)&lt;&gt;"ERRO",U837="OK"),"OK","REVISAR"))</f>
      </c>
    </row>
    <row r="838">
      <c r="A838" s="4"/>
      <c r="B838" s="5"/>
      <c r="C838" s="5"/>
      <c r="D838" s="5"/>
      <c r="E838" s="5"/>
      <c r="F838" s="4"/>
      <c r="G838" s="4"/>
      <c r="H838" s="5"/>
      <c r="I838" s="4"/>
      <c r="J838" s="4"/>
      <c r="K838" s="4"/>
      <c r="L838" s="4"/>
      <c r="M838" s="4"/>
      <c r="N838" s="4"/>
      <c r="O838" s="4"/>
      <c r="P838" s="6">
        <f>IF(D838="","",SUBSTITUTE(SUBSTITUTE(SUBSTITUTE(SUBSTITUTE(SUBSTITUTE(SUBSTITUTE(SUBSTITUTE(TRIM(D838),".",""),"/",""),"-","")," ",""),"(",""),")",""),"+",""))</f>
      </c>
      <c r="Q838" s="6">
        <f>IF(P838="","",IF(LEN(P838)&lt;&gt;14,"ERRO: "&amp;LEN(P838)&amp;" dígitos",IF(NOT(ISNUMBER(VALUE(P838))),"ERRO: não numérico",IF(LEN(SUBSTITUTE(P838,LEFT(P838,1),""))=0,"ERRO: dígitos repetidos",IF(AND(VALUE(MID(P838,13,1))=IF(MOD(SUMPRODUCT(--MID(P838,{1,2,3,4,5,6,7,8,9,10,11,12},1),{5,4,3,2,9,8,7,6,5,4,3,2}),11)&lt;2,0,11-MOD(SUMPRODUCT(--MID(P838,{1,2,3,4,5,6,7,8,9,10,11,12},1),{5,4,3,2,9,8,7,6,5,4,3,2}),11)),VALUE(MID(P838,14,1))=IF(MOD(SUMPRODUCT(--MID(P838,{1,2,3,4,5,6,7,8,9,10,11,12,13},1),{6,5,4,3,2,9,8,7,6,5,4,3,2}),11)&lt;2,0,11-MOD(SUMPRODUCT(--MID(P838,{1,2,3,4,5,6,7,8,9,10,11,12,13},1),{6,5,4,3,2,9,8,7,6,5,4,3,2}),11))),"OK","ERRO: dígito verificador")))))</f>
      </c>
      <c r="R838" s="6">
        <f>IF(P838="","",IF(COUNTIF($P$2:$P$1001,P838)&gt;1,"DUPLICADO","OK"))</f>
      </c>
      <c r="S838" s="6">
        <f>IF(AND(J838="",K838=""),"vazio",IF(AND(OR(J838="",LEN(SUBSTITUTE(SUBSTITUTE(SUBSTITUTE(SUBSTITUTE(SUBSTITUTE(SUBSTITUTE(SUBSTITUTE(TRIM(J838),".",""),"/",""),"-","")," ",""),"(",""),")",""),"+",""))=10,LEN(SUBSTITUTE(SUBSTITUTE(SUBSTITUTE(SUBSTITUTE(SUBSTITUTE(SUBSTITUTE(SUBSTITUTE(TRIM(J838),".",""),"/",""),"-","")," ",""),"(",""),")",""),"+",""))=11),OR(K838="",LEN(SUBSTITUTE(SUBSTITUTE(SUBSTITUTE(SUBSTITUTE(SUBSTITUTE(SUBSTITUTE(SUBSTITUTE(TRIM(K838),".",""),"/",""),"-","")," ",""),"(",""),")",""),"+",""))=10,LEN(SUBSTITUTE(SUBSTITUTE(SUBSTITUTE(SUBSTITUTE(SUBSTITUTE(SUBSTITUTE(SUBSTITUTE(TRIM(K838),".",""),"/",""),"-","")," ",""),"(",""),")",""),"+",""))=11)),"OK","ERRO: use DDD + número (10 ou 11 dígitos)"))</f>
      </c>
      <c r="T838" s="6">
        <f>IF(L838="","vazio",IF(AND(ISNUMBER(FIND("@",L838)),ISNUMBER(FIND(".",MID(L838,FIND("@",L838),99))),NOT(ISNUMBER(FIND(" ",TRIM(L838)))),NOT(ISNUMBER(FIND(";",L838))),NOT(ISNUMBER(FIND(",",L838)))),"OK","ERRO: um e-mail válido por linha"))</f>
      </c>
      <c r="U838" s="6">
        <f>IF(COUNTA(A838:O838)=0,"",IF(AND(B838&lt;&gt;"",C838&lt;&gt;"",D838&lt;&gt;"",E838&lt;&gt;"",H838&lt;&gt;"",OR(J838&lt;&gt;"",L838&lt;&gt;"")),"OK","ERRO: faltam "&amp;IF(B838="","Proprietário; ","")&amp;IF(C838="","Origem; ","")&amp;IF(D838="","CNPJ; ","")&amp;IF(E838="","Razão Social; ","")&amp;IF(H838="","Sobrenome; ","")&amp;IF(AND(J838="",L838=""),"telefone ou e-mail; ","")))</f>
      </c>
      <c r="V838" s="6">
        <f>IF(COUNTA(A838:O838)=0,"",IF(AND(Q838="OK",R838="OK",LEFT(S838,4)&lt;&gt;"ERRO",LEFT(T838,4)&lt;&gt;"ERRO",U838="OK"),"OK","REVISAR"))</f>
      </c>
    </row>
    <row r="839">
      <c r="A839" s="4"/>
      <c r="B839" s="5"/>
      <c r="C839" s="5"/>
      <c r="D839" s="5"/>
      <c r="E839" s="5"/>
      <c r="F839" s="4"/>
      <c r="G839" s="4"/>
      <c r="H839" s="5"/>
      <c r="I839" s="4"/>
      <c r="J839" s="4"/>
      <c r="K839" s="4"/>
      <c r="L839" s="4"/>
      <c r="M839" s="4"/>
      <c r="N839" s="4"/>
      <c r="O839" s="4"/>
      <c r="P839" s="6">
        <f>IF(D839="","",SUBSTITUTE(SUBSTITUTE(SUBSTITUTE(SUBSTITUTE(SUBSTITUTE(SUBSTITUTE(SUBSTITUTE(TRIM(D839),".",""),"/",""),"-","")," ",""),"(",""),")",""),"+",""))</f>
      </c>
      <c r="Q839" s="6">
        <f>IF(P839="","",IF(LEN(P839)&lt;&gt;14,"ERRO: "&amp;LEN(P839)&amp;" dígitos",IF(NOT(ISNUMBER(VALUE(P839))),"ERRO: não numérico",IF(LEN(SUBSTITUTE(P839,LEFT(P839,1),""))=0,"ERRO: dígitos repetidos",IF(AND(VALUE(MID(P839,13,1))=IF(MOD(SUMPRODUCT(--MID(P839,{1,2,3,4,5,6,7,8,9,10,11,12},1),{5,4,3,2,9,8,7,6,5,4,3,2}),11)&lt;2,0,11-MOD(SUMPRODUCT(--MID(P839,{1,2,3,4,5,6,7,8,9,10,11,12},1),{5,4,3,2,9,8,7,6,5,4,3,2}),11)),VALUE(MID(P839,14,1))=IF(MOD(SUMPRODUCT(--MID(P839,{1,2,3,4,5,6,7,8,9,10,11,12,13},1),{6,5,4,3,2,9,8,7,6,5,4,3,2}),11)&lt;2,0,11-MOD(SUMPRODUCT(--MID(P839,{1,2,3,4,5,6,7,8,9,10,11,12,13},1),{6,5,4,3,2,9,8,7,6,5,4,3,2}),11))),"OK","ERRO: dígito verificador")))))</f>
      </c>
      <c r="R839" s="6">
        <f>IF(P839="","",IF(COUNTIF($P$2:$P$1001,P839)&gt;1,"DUPLICADO","OK"))</f>
      </c>
      <c r="S839" s="6">
        <f>IF(AND(J839="",K839=""),"vazio",IF(AND(OR(J839="",LEN(SUBSTITUTE(SUBSTITUTE(SUBSTITUTE(SUBSTITUTE(SUBSTITUTE(SUBSTITUTE(SUBSTITUTE(TRIM(J839),".",""),"/",""),"-","")," ",""),"(",""),")",""),"+",""))=10,LEN(SUBSTITUTE(SUBSTITUTE(SUBSTITUTE(SUBSTITUTE(SUBSTITUTE(SUBSTITUTE(SUBSTITUTE(TRIM(J839),".",""),"/",""),"-","")," ",""),"(",""),")",""),"+",""))=11),OR(K839="",LEN(SUBSTITUTE(SUBSTITUTE(SUBSTITUTE(SUBSTITUTE(SUBSTITUTE(SUBSTITUTE(SUBSTITUTE(TRIM(K839),".",""),"/",""),"-","")," ",""),"(",""),")",""),"+",""))=10,LEN(SUBSTITUTE(SUBSTITUTE(SUBSTITUTE(SUBSTITUTE(SUBSTITUTE(SUBSTITUTE(SUBSTITUTE(TRIM(K839),".",""),"/",""),"-","")," ",""),"(",""),")",""),"+",""))=11)),"OK","ERRO: use DDD + número (10 ou 11 dígitos)"))</f>
      </c>
      <c r="T839" s="6">
        <f>IF(L839="","vazio",IF(AND(ISNUMBER(FIND("@",L839)),ISNUMBER(FIND(".",MID(L839,FIND("@",L839),99))),NOT(ISNUMBER(FIND(" ",TRIM(L839)))),NOT(ISNUMBER(FIND(";",L839))),NOT(ISNUMBER(FIND(",",L839)))),"OK","ERRO: um e-mail válido por linha"))</f>
      </c>
      <c r="U839" s="6">
        <f>IF(COUNTA(A839:O839)=0,"",IF(AND(B839&lt;&gt;"",C839&lt;&gt;"",D839&lt;&gt;"",E839&lt;&gt;"",H839&lt;&gt;"",OR(J839&lt;&gt;"",L839&lt;&gt;"")),"OK","ERRO: faltam "&amp;IF(B839="","Proprietário; ","")&amp;IF(C839="","Origem; ","")&amp;IF(D839="","CNPJ; ","")&amp;IF(E839="","Razão Social; ","")&amp;IF(H839="","Sobrenome; ","")&amp;IF(AND(J839="",L839=""),"telefone ou e-mail; ","")))</f>
      </c>
      <c r="V839" s="6">
        <f>IF(COUNTA(A839:O839)=0,"",IF(AND(Q839="OK",R839="OK",LEFT(S839,4)&lt;&gt;"ERRO",LEFT(T839,4)&lt;&gt;"ERRO",U839="OK"),"OK","REVISAR"))</f>
      </c>
    </row>
    <row r="840">
      <c r="A840" s="4"/>
      <c r="B840" s="5"/>
      <c r="C840" s="5"/>
      <c r="D840" s="5"/>
      <c r="E840" s="5"/>
      <c r="F840" s="4"/>
      <c r="G840" s="4"/>
      <c r="H840" s="5"/>
      <c r="I840" s="4"/>
      <c r="J840" s="4"/>
      <c r="K840" s="4"/>
      <c r="L840" s="4"/>
      <c r="M840" s="4"/>
      <c r="N840" s="4"/>
      <c r="O840" s="4"/>
      <c r="P840" s="6">
        <f>IF(D840="","",SUBSTITUTE(SUBSTITUTE(SUBSTITUTE(SUBSTITUTE(SUBSTITUTE(SUBSTITUTE(SUBSTITUTE(TRIM(D840),".",""),"/",""),"-","")," ",""),"(",""),")",""),"+",""))</f>
      </c>
      <c r="Q840" s="6">
        <f>IF(P840="","",IF(LEN(P840)&lt;&gt;14,"ERRO: "&amp;LEN(P840)&amp;" dígitos",IF(NOT(ISNUMBER(VALUE(P840))),"ERRO: não numérico",IF(LEN(SUBSTITUTE(P840,LEFT(P840,1),""))=0,"ERRO: dígitos repetidos",IF(AND(VALUE(MID(P840,13,1))=IF(MOD(SUMPRODUCT(--MID(P840,{1,2,3,4,5,6,7,8,9,10,11,12},1),{5,4,3,2,9,8,7,6,5,4,3,2}),11)&lt;2,0,11-MOD(SUMPRODUCT(--MID(P840,{1,2,3,4,5,6,7,8,9,10,11,12},1),{5,4,3,2,9,8,7,6,5,4,3,2}),11)),VALUE(MID(P840,14,1))=IF(MOD(SUMPRODUCT(--MID(P840,{1,2,3,4,5,6,7,8,9,10,11,12,13},1),{6,5,4,3,2,9,8,7,6,5,4,3,2}),11)&lt;2,0,11-MOD(SUMPRODUCT(--MID(P840,{1,2,3,4,5,6,7,8,9,10,11,12,13},1),{6,5,4,3,2,9,8,7,6,5,4,3,2}),11))),"OK","ERRO: dígito verificador")))))</f>
      </c>
      <c r="R840" s="6">
        <f>IF(P840="","",IF(COUNTIF($P$2:$P$1001,P840)&gt;1,"DUPLICADO","OK"))</f>
      </c>
      <c r="S840" s="6">
        <f>IF(AND(J840="",K840=""),"vazio",IF(AND(OR(J840="",LEN(SUBSTITUTE(SUBSTITUTE(SUBSTITUTE(SUBSTITUTE(SUBSTITUTE(SUBSTITUTE(SUBSTITUTE(TRIM(J840),".",""),"/",""),"-","")," ",""),"(",""),")",""),"+",""))=10,LEN(SUBSTITUTE(SUBSTITUTE(SUBSTITUTE(SUBSTITUTE(SUBSTITUTE(SUBSTITUTE(SUBSTITUTE(TRIM(J840),".",""),"/",""),"-","")," ",""),"(",""),")",""),"+",""))=11),OR(K840="",LEN(SUBSTITUTE(SUBSTITUTE(SUBSTITUTE(SUBSTITUTE(SUBSTITUTE(SUBSTITUTE(SUBSTITUTE(TRIM(K840),".",""),"/",""),"-","")," ",""),"(",""),")",""),"+",""))=10,LEN(SUBSTITUTE(SUBSTITUTE(SUBSTITUTE(SUBSTITUTE(SUBSTITUTE(SUBSTITUTE(SUBSTITUTE(TRIM(K840),".",""),"/",""),"-","")," ",""),"(",""),")",""),"+",""))=11)),"OK","ERRO: use DDD + número (10 ou 11 dígitos)"))</f>
      </c>
      <c r="T840" s="6">
        <f>IF(L840="","vazio",IF(AND(ISNUMBER(FIND("@",L840)),ISNUMBER(FIND(".",MID(L840,FIND("@",L840),99))),NOT(ISNUMBER(FIND(" ",TRIM(L840)))),NOT(ISNUMBER(FIND(";",L840))),NOT(ISNUMBER(FIND(",",L840)))),"OK","ERRO: um e-mail válido por linha"))</f>
      </c>
      <c r="U840" s="6">
        <f>IF(COUNTA(A840:O840)=0,"",IF(AND(B840&lt;&gt;"",C840&lt;&gt;"",D840&lt;&gt;"",E840&lt;&gt;"",H840&lt;&gt;"",OR(J840&lt;&gt;"",L840&lt;&gt;"")),"OK","ERRO: faltam "&amp;IF(B840="","Proprietário; ","")&amp;IF(C840="","Origem; ","")&amp;IF(D840="","CNPJ; ","")&amp;IF(E840="","Razão Social; ","")&amp;IF(H840="","Sobrenome; ","")&amp;IF(AND(J840="",L840=""),"telefone ou e-mail; ","")))</f>
      </c>
      <c r="V840" s="6">
        <f>IF(COUNTA(A840:O840)=0,"",IF(AND(Q840="OK",R840="OK",LEFT(S840,4)&lt;&gt;"ERRO",LEFT(T840,4)&lt;&gt;"ERRO",U840="OK"),"OK","REVISAR"))</f>
      </c>
    </row>
    <row r="841">
      <c r="A841" s="4"/>
      <c r="B841" s="5"/>
      <c r="C841" s="5"/>
      <c r="D841" s="5"/>
      <c r="E841" s="5"/>
      <c r="F841" s="4"/>
      <c r="G841" s="4"/>
      <c r="H841" s="5"/>
      <c r="I841" s="4"/>
      <c r="J841" s="4"/>
      <c r="K841" s="4"/>
      <c r="L841" s="4"/>
      <c r="M841" s="4"/>
      <c r="N841" s="4"/>
      <c r="O841" s="4"/>
      <c r="P841" s="6">
        <f>IF(D841="","",SUBSTITUTE(SUBSTITUTE(SUBSTITUTE(SUBSTITUTE(SUBSTITUTE(SUBSTITUTE(SUBSTITUTE(TRIM(D841),".",""),"/",""),"-","")," ",""),"(",""),")",""),"+",""))</f>
      </c>
      <c r="Q841" s="6">
        <f>IF(P841="","",IF(LEN(P841)&lt;&gt;14,"ERRO: "&amp;LEN(P841)&amp;" dígitos",IF(NOT(ISNUMBER(VALUE(P841))),"ERRO: não numérico",IF(LEN(SUBSTITUTE(P841,LEFT(P841,1),""))=0,"ERRO: dígitos repetidos",IF(AND(VALUE(MID(P841,13,1))=IF(MOD(SUMPRODUCT(--MID(P841,{1,2,3,4,5,6,7,8,9,10,11,12},1),{5,4,3,2,9,8,7,6,5,4,3,2}),11)&lt;2,0,11-MOD(SUMPRODUCT(--MID(P841,{1,2,3,4,5,6,7,8,9,10,11,12},1),{5,4,3,2,9,8,7,6,5,4,3,2}),11)),VALUE(MID(P841,14,1))=IF(MOD(SUMPRODUCT(--MID(P841,{1,2,3,4,5,6,7,8,9,10,11,12,13},1),{6,5,4,3,2,9,8,7,6,5,4,3,2}),11)&lt;2,0,11-MOD(SUMPRODUCT(--MID(P841,{1,2,3,4,5,6,7,8,9,10,11,12,13},1),{6,5,4,3,2,9,8,7,6,5,4,3,2}),11))),"OK","ERRO: dígito verificador")))))</f>
      </c>
      <c r="R841" s="6">
        <f>IF(P841="","",IF(COUNTIF($P$2:$P$1001,P841)&gt;1,"DUPLICADO","OK"))</f>
      </c>
      <c r="S841" s="6">
        <f>IF(AND(J841="",K841=""),"vazio",IF(AND(OR(J841="",LEN(SUBSTITUTE(SUBSTITUTE(SUBSTITUTE(SUBSTITUTE(SUBSTITUTE(SUBSTITUTE(SUBSTITUTE(TRIM(J841),".",""),"/",""),"-","")," ",""),"(",""),")",""),"+",""))=10,LEN(SUBSTITUTE(SUBSTITUTE(SUBSTITUTE(SUBSTITUTE(SUBSTITUTE(SUBSTITUTE(SUBSTITUTE(TRIM(J841),".",""),"/",""),"-","")," ",""),"(",""),")",""),"+",""))=11),OR(K841="",LEN(SUBSTITUTE(SUBSTITUTE(SUBSTITUTE(SUBSTITUTE(SUBSTITUTE(SUBSTITUTE(SUBSTITUTE(TRIM(K841),".",""),"/",""),"-","")," ",""),"(",""),")",""),"+",""))=10,LEN(SUBSTITUTE(SUBSTITUTE(SUBSTITUTE(SUBSTITUTE(SUBSTITUTE(SUBSTITUTE(SUBSTITUTE(TRIM(K841),".",""),"/",""),"-","")," ",""),"(",""),")",""),"+",""))=11)),"OK","ERRO: use DDD + número (10 ou 11 dígitos)"))</f>
      </c>
      <c r="T841" s="6">
        <f>IF(L841="","vazio",IF(AND(ISNUMBER(FIND("@",L841)),ISNUMBER(FIND(".",MID(L841,FIND("@",L841),99))),NOT(ISNUMBER(FIND(" ",TRIM(L841)))),NOT(ISNUMBER(FIND(";",L841))),NOT(ISNUMBER(FIND(",",L841)))),"OK","ERRO: um e-mail válido por linha"))</f>
      </c>
      <c r="U841" s="6">
        <f>IF(COUNTA(A841:O841)=0,"",IF(AND(B841&lt;&gt;"",C841&lt;&gt;"",D841&lt;&gt;"",E841&lt;&gt;"",H841&lt;&gt;"",OR(J841&lt;&gt;"",L841&lt;&gt;"")),"OK","ERRO: faltam "&amp;IF(B841="","Proprietário; ","")&amp;IF(C841="","Origem; ","")&amp;IF(D841="","CNPJ; ","")&amp;IF(E841="","Razão Social; ","")&amp;IF(H841="","Sobrenome; ","")&amp;IF(AND(J841="",L841=""),"telefone ou e-mail; ","")))</f>
      </c>
      <c r="V841" s="6">
        <f>IF(COUNTA(A841:O841)=0,"",IF(AND(Q841="OK",R841="OK",LEFT(S841,4)&lt;&gt;"ERRO",LEFT(T841,4)&lt;&gt;"ERRO",U841="OK"),"OK","REVISAR"))</f>
      </c>
    </row>
    <row r="842">
      <c r="A842" s="4"/>
      <c r="B842" s="5"/>
      <c r="C842" s="5"/>
      <c r="D842" s="5"/>
      <c r="E842" s="5"/>
      <c r="F842" s="4"/>
      <c r="G842" s="4"/>
      <c r="H842" s="5"/>
      <c r="I842" s="4"/>
      <c r="J842" s="4"/>
      <c r="K842" s="4"/>
      <c r="L842" s="4"/>
      <c r="M842" s="4"/>
      <c r="N842" s="4"/>
      <c r="O842" s="4"/>
      <c r="P842" s="6">
        <f>IF(D842="","",SUBSTITUTE(SUBSTITUTE(SUBSTITUTE(SUBSTITUTE(SUBSTITUTE(SUBSTITUTE(SUBSTITUTE(TRIM(D842),".",""),"/",""),"-","")," ",""),"(",""),")",""),"+",""))</f>
      </c>
      <c r="Q842" s="6">
        <f>IF(P842="","",IF(LEN(P842)&lt;&gt;14,"ERRO: "&amp;LEN(P842)&amp;" dígitos",IF(NOT(ISNUMBER(VALUE(P842))),"ERRO: não numérico",IF(LEN(SUBSTITUTE(P842,LEFT(P842,1),""))=0,"ERRO: dígitos repetidos",IF(AND(VALUE(MID(P842,13,1))=IF(MOD(SUMPRODUCT(--MID(P842,{1,2,3,4,5,6,7,8,9,10,11,12},1),{5,4,3,2,9,8,7,6,5,4,3,2}),11)&lt;2,0,11-MOD(SUMPRODUCT(--MID(P842,{1,2,3,4,5,6,7,8,9,10,11,12},1),{5,4,3,2,9,8,7,6,5,4,3,2}),11)),VALUE(MID(P842,14,1))=IF(MOD(SUMPRODUCT(--MID(P842,{1,2,3,4,5,6,7,8,9,10,11,12,13},1),{6,5,4,3,2,9,8,7,6,5,4,3,2}),11)&lt;2,0,11-MOD(SUMPRODUCT(--MID(P842,{1,2,3,4,5,6,7,8,9,10,11,12,13},1),{6,5,4,3,2,9,8,7,6,5,4,3,2}),11))),"OK","ERRO: dígito verificador")))))</f>
      </c>
      <c r="R842" s="6">
        <f>IF(P842="","",IF(COUNTIF($P$2:$P$1001,P842)&gt;1,"DUPLICADO","OK"))</f>
      </c>
      <c r="S842" s="6">
        <f>IF(AND(J842="",K842=""),"vazio",IF(AND(OR(J842="",LEN(SUBSTITUTE(SUBSTITUTE(SUBSTITUTE(SUBSTITUTE(SUBSTITUTE(SUBSTITUTE(SUBSTITUTE(TRIM(J842),".",""),"/",""),"-","")," ",""),"(",""),")",""),"+",""))=10,LEN(SUBSTITUTE(SUBSTITUTE(SUBSTITUTE(SUBSTITUTE(SUBSTITUTE(SUBSTITUTE(SUBSTITUTE(TRIM(J842),".",""),"/",""),"-","")," ",""),"(",""),")",""),"+",""))=11),OR(K842="",LEN(SUBSTITUTE(SUBSTITUTE(SUBSTITUTE(SUBSTITUTE(SUBSTITUTE(SUBSTITUTE(SUBSTITUTE(TRIM(K842),".",""),"/",""),"-","")," ",""),"(",""),")",""),"+",""))=10,LEN(SUBSTITUTE(SUBSTITUTE(SUBSTITUTE(SUBSTITUTE(SUBSTITUTE(SUBSTITUTE(SUBSTITUTE(TRIM(K842),".",""),"/",""),"-","")," ",""),"(",""),")",""),"+",""))=11)),"OK","ERRO: use DDD + número (10 ou 11 dígitos)"))</f>
      </c>
      <c r="T842" s="6">
        <f>IF(L842="","vazio",IF(AND(ISNUMBER(FIND("@",L842)),ISNUMBER(FIND(".",MID(L842,FIND("@",L842),99))),NOT(ISNUMBER(FIND(" ",TRIM(L842)))),NOT(ISNUMBER(FIND(";",L842))),NOT(ISNUMBER(FIND(",",L842)))),"OK","ERRO: um e-mail válido por linha"))</f>
      </c>
      <c r="U842" s="6">
        <f>IF(COUNTA(A842:O842)=0,"",IF(AND(B842&lt;&gt;"",C842&lt;&gt;"",D842&lt;&gt;"",E842&lt;&gt;"",H842&lt;&gt;"",OR(J842&lt;&gt;"",L842&lt;&gt;"")),"OK","ERRO: faltam "&amp;IF(B842="","Proprietário; ","")&amp;IF(C842="","Origem; ","")&amp;IF(D842="","CNPJ; ","")&amp;IF(E842="","Razão Social; ","")&amp;IF(H842="","Sobrenome; ","")&amp;IF(AND(J842="",L842=""),"telefone ou e-mail; ","")))</f>
      </c>
      <c r="V842" s="6">
        <f>IF(COUNTA(A842:O842)=0,"",IF(AND(Q842="OK",R842="OK",LEFT(S842,4)&lt;&gt;"ERRO",LEFT(T842,4)&lt;&gt;"ERRO",U842="OK"),"OK","REVISAR"))</f>
      </c>
    </row>
    <row r="843">
      <c r="A843" s="4"/>
      <c r="B843" s="5"/>
      <c r="C843" s="5"/>
      <c r="D843" s="5"/>
      <c r="E843" s="5"/>
      <c r="F843" s="4"/>
      <c r="G843" s="4"/>
      <c r="H843" s="5"/>
      <c r="I843" s="4"/>
      <c r="J843" s="4"/>
      <c r="K843" s="4"/>
      <c r="L843" s="4"/>
      <c r="M843" s="4"/>
      <c r="N843" s="4"/>
      <c r="O843" s="4"/>
      <c r="P843" s="6">
        <f>IF(D843="","",SUBSTITUTE(SUBSTITUTE(SUBSTITUTE(SUBSTITUTE(SUBSTITUTE(SUBSTITUTE(SUBSTITUTE(TRIM(D843),".",""),"/",""),"-","")," ",""),"(",""),")",""),"+",""))</f>
      </c>
      <c r="Q843" s="6">
        <f>IF(P843="","",IF(LEN(P843)&lt;&gt;14,"ERRO: "&amp;LEN(P843)&amp;" dígitos",IF(NOT(ISNUMBER(VALUE(P843))),"ERRO: não numérico",IF(LEN(SUBSTITUTE(P843,LEFT(P843,1),""))=0,"ERRO: dígitos repetidos",IF(AND(VALUE(MID(P843,13,1))=IF(MOD(SUMPRODUCT(--MID(P843,{1,2,3,4,5,6,7,8,9,10,11,12},1),{5,4,3,2,9,8,7,6,5,4,3,2}),11)&lt;2,0,11-MOD(SUMPRODUCT(--MID(P843,{1,2,3,4,5,6,7,8,9,10,11,12},1),{5,4,3,2,9,8,7,6,5,4,3,2}),11)),VALUE(MID(P843,14,1))=IF(MOD(SUMPRODUCT(--MID(P843,{1,2,3,4,5,6,7,8,9,10,11,12,13},1),{6,5,4,3,2,9,8,7,6,5,4,3,2}),11)&lt;2,0,11-MOD(SUMPRODUCT(--MID(P843,{1,2,3,4,5,6,7,8,9,10,11,12,13},1),{6,5,4,3,2,9,8,7,6,5,4,3,2}),11))),"OK","ERRO: dígito verificador")))))</f>
      </c>
      <c r="R843" s="6">
        <f>IF(P843="","",IF(COUNTIF($P$2:$P$1001,P843)&gt;1,"DUPLICADO","OK"))</f>
      </c>
      <c r="S843" s="6">
        <f>IF(AND(J843="",K843=""),"vazio",IF(AND(OR(J843="",LEN(SUBSTITUTE(SUBSTITUTE(SUBSTITUTE(SUBSTITUTE(SUBSTITUTE(SUBSTITUTE(SUBSTITUTE(TRIM(J843),".",""),"/",""),"-","")," ",""),"(",""),")",""),"+",""))=10,LEN(SUBSTITUTE(SUBSTITUTE(SUBSTITUTE(SUBSTITUTE(SUBSTITUTE(SUBSTITUTE(SUBSTITUTE(TRIM(J843),".",""),"/",""),"-","")," ",""),"(",""),")",""),"+",""))=11),OR(K843="",LEN(SUBSTITUTE(SUBSTITUTE(SUBSTITUTE(SUBSTITUTE(SUBSTITUTE(SUBSTITUTE(SUBSTITUTE(TRIM(K843),".",""),"/",""),"-","")," ",""),"(",""),")",""),"+",""))=10,LEN(SUBSTITUTE(SUBSTITUTE(SUBSTITUTE(SUBSTITUTE(SUBSTITUTE(SUBSTITUTE(SUBSTITUTE(TRIM(K843),".",""),"/",""),"-","")," ",""),"(",""),")",""),"+",""))=11)),"OK","ERRO: use DDD + número (10 ou 11 dígitos)"))</f>
      </c>
      <c r="T843" s="6">
        <f>IF(L843="","vazio",IF(AND(ISNUMBER(FIND("@",L843)),ISNUMBER(FIND(".",MID(L843,FIND("@",L843),99))),NOT(ISNUMBER(FIND(" ",TRIM(L843)))),NOT(ISNUMBER(FIND(";",L843))),NOT(ISNUMBER(FIND(",",L843)))),"OK","ERRO: um e-mail válido por linha"))</f>
      </c>
      <c r="U843" s="6">
        <f>IF(COUNTA(A843:O843)=0,"",IF(AND(B843&lt;&gt;"",C843&lt;&gt;"",D843&lt;&gt;"",E843&lt;&gt;"",H843&lt;&gt;"",OR(J843&lt;&gt;"",L843&lt;&gt;"")),"OK","ERRO: faltam "&amp;IF(B843="","Proprietário; ","")&amp;IF(C843="","Origem; ","")&amp;IF(D843="","CNPJ; ","")&amp;IF(E843="","Razão Social; ","")&amp;IF(H843="","Sobrenome; ","")&amp;IF(AND(J843="",L843=""),"telefone ou e-mail; ","")))</f>
      </c>
      <c r="V843" s="6">
        <f>IF(COUNTA(A843:O843)=0,"",IF(AND(Q843="OK",R843="OK",LEFT(S843,4)&lt;&gt;"ERRO",LEFT(T843,4)&lt;&gt;"ERRO",U843="OK"),"OK","REVISAR"))</f>
      </c>
    </row>
    <row r="844">
      <c r="A844" s="4"/>
      <c r="B844" s="5"/>
      <c r="C844" s="5"/>
      <c r="D844" s="5"/>
      <c r="E844" s="5"/>
      <c r="F844" s="4"/>
      <c r="G844" s="4"/>
      <c r="H844" s="5"/>
      <c r="I844" s="4"/>
      <c r="J844" s="4"/>
      <c r="K844" s="4"/>
      <c r="L844" s="4"/>
      <c r="M844" s="4"/>
      <c r="N844" s="4"/>
      <c r="O844" s="4"/>
      <c r="P844" s="6">
        <f>IF(D844="","",SUBSTITUTE(SUBSTITUTE(SUBSTITUTE(SUBSTITUTE(SUBSTITUTE(SUBSTITUTE(SUBSTITUTE(TRIM(D844),".",""),"/",""),"-","")," ",""),"(",""),")",""),"+",""))</f>
      </c>
      <c r="Q844" s="6">
        <f>IF(P844="","",IF(LEN(P844)&lt;&gt;14,"ERRO: "&amp;LEN(P844)&amp;" dígitos",IF(NOT(ISNUMBER(VALUE(P844))),"ERRO: não numérico",IF(LEN(SUBSTITUTE(P844,LEFT(P844,1),""))=0,"ERRO: dígitos repetidos",IF(AND(VALUE(MID(P844,13,1))=IF(MOD(SUMPRODUCT(--MID(P844,{1,2,3,4,5,6,7,8,9,10,11,12},1),{5,4,3,2,9,8,7,6,5,4,3,2}),11)&lt;2,0,11-MOD(SUMPRODUCT(--MID(P844,{1,2,3,4,5,6,7,8,9,10,11,12},1),{5,4,3,2,9,8,7,6,5,4,3,2}),11)),VALUE(MID(P844,14,1))=IF(MOD(SUMPRODUCT(--MID(P844,{1,2,3,4,5,6,7,8,9,10,11,12,13},1),{6,5,4,3,2,9,8,7,6,5,4,3,2}),11)&lt;2,0,11-MOD(SUMPRODUCT(--MID(P844,{1,2,3,4,5,6,7,8,9,10,11,12,13},1),{6,5,4,3,2,9,8,7,6,5,4,3,2}),11))),"OK","ERRO: dígito verificador")))))</f>
      </c>
      <c r="R844" s="6">
        <f>IF(P844="","",IF(COUNTIF($P$2:$P$1001,P844)&gt;1,"DUPLICADO","OK"))</f>
      </c>
      <c r="S844" s="6">
        <f>IF(AND(J844="",K844=""),"vazio",IF(AND(OR(J844="",LEN(SUBSTITUTE(SUBSTITUTE(SUBSTITUTE(SUBSTITUTE(SUBSTITUTE(SUBSTITUTE(SUBSTITUTE(TRIM(J844),".",""),"/",""),"-","")," ",""),"(",""),")",""),"+",""))=10,LEN(SUBSTITUTE(SUBSTITUTE(SUBSTITUTE(SUBSTITUTE(SUBSTITUTE(SUBSTITUTE(SUBSTITUTE(TRIM(J844),".",""),"/",""),"-","")," ",""),"(",""),")",""),"+",""))=11),OR(K844="",LEN(SUBSTITUTE(SUBSTITUTE(SUBSTITUTE(SUBSTITUTE(SUBSTITUTE(SUBSTITUTE(SUBSTITUTE(TRIM(K844),".",""),"/",""),"-","")," ",""),"(",""),")",""),"+",""))=10,LEN(SUBSTITUTE(SUBSTITUTE(SUBSTITUTE(SUBSTITUTE(SUBSTITUTE(SUBSTITUTE(SUBSTITUTE(TRIM(K844),".",""),"/",""),"-","")," ",""),"(",""),")",""),"+",""))=11)),"OK","ERRO: use DDD + número (10 ou 11 dígitos)"))</f>
      </c>
      <c r="T844" s="6">
        <f>IF(L844="","vazio",IF(AND(ISNUMBER(FIND("@",L844)),ISNUMBER(FIND(".",MID(L844,FIND("@",L844),99))),NOT(ISNUMBER(FIND(" ",TRIM(L844)))),NOT(ISNUMBER(FIND(";",L844))),NOT(ISNUMBER(FIND(",",L844)))),"OK","ERRO: um e-mail válido por linha"))</f>
      </c>
      <c r="U844" s="6">
        <f>IF(COUNTA(A844:O844)=0,"",IF(AND(B844&lt;&gt;"",C844&lt;&gt;"",D844&lt;&gt;"",E844&lt;&gt;"",H844&lt;&gt;"",OR(J844&lt;&gt;"",L844&lt;&gt;"")),"OK","ERRO: faltam "&amp;IF(B844="","Proprietário; ","")&amp;IF(C844="","Origem; ","")&amp;IF(D844="","CNPJ; ","")&amp;IF(E844="","Razão Social; ","")&amp;IF(H844="","Sobrenome; ","")&amp;IF(AND(J844="",L844=""),"telefone ou e-mail; ","")))</f>
      </c>
      <c r="V844" s="6">
        <f>IF(COUNTA(A844:O844)=0,"",IF(AND(Q844="OK",R844="OK",LEFT(S844,4)&lt;&gt;"ERRO",LEFT(T844,4)&lt;&gt;"ERRO",U844="OK"),"OK","REVISAR"))</f>
      </c>
    </row>
    <row r="845">
      <c r="A845" s="4"/>
      <c r="B845" s="5"/>
      <c r="C845" s="5"/>
      <c r="D845" s="5"/>
      <c r="E845" s="5"/>
      <c r="F845" s="4"/>
      <c r="G845" s="4"/>
      <c r="H845" s="5"/>
      <c r="I845" s="4"/>
      <c r="J845" s="4"/>
      <c r="K845" s="4"/>
      <c r="L845" s="4"/>
      <c r="M845" s="4"/>
      <c r="N845" s="4"/>
      <c r="O845" s="4"/>
      <c r="P845" s="6">
        <f>IF(D845="","",SUBSTITUTE(SUBSTITUTE(SUBSTITUTE(SUBSTITUTE(SUBSTITUTE(SUBSTITUTE(SUBSTITUTE(TRIM(D845),".",""),"/",""),"-","")," ",""),"(",""),")",""),"+",""))</f>
      </c>
      <c r="Q845" s="6">
        <f>IF(P845="","",IF(LEN(P845)&lt;&gt;14,"ERRO: "&amp;LEN(P845)&amp;" dígitos",IF(NOT(ISNUMBER(VALUE(P845))),"ERRO: não numérico",IF(LEN(SUBSTITUTE(P845,LEFT(P845,1),""))=0,"ERRO: dígitos repetidos",IF(AND(VALUE(MID(P845,13,1))=IF(MOD(SUMPRODUCT(--MID(P845,{1,2,3,4,5,6,7,8,9,10,11,12},1),{5,4,3,2,9,8,7,6,5,4,3,2}),11)&lt;2,0,11-MOD(SUMPRODUCT(--MID(P845,{1,2,3,4,5,6,7,8,9,10,11,12},1),{5,4,3,2,9,8,7,6,5,4,3,2}),11)),VALUE(MID(P845,14,1))=IF(MOD(SUMPRODUCT(--MID(P845,{1,2,3,4,5,6,7,8,9,10,11,12,13},1),{6,5,4,3,2,9,8,7,6,5,4,3,2}),11)&lt;2,0,11-MOD(SUMPRODUCT(--MID(P845,{1,2,3,4,5,6,7,8,9,10,11,12,13},1),{6,5,4,3,2,9,8,7,6,5,4,3,2}),11))),"OK","ERRO: dígito verificador")))))</f>
      </c>
      <c r="R845" s="6">
        <f>IF(P845="","",IF(COUNTIF($P$2:$P$1001,P845)&gt;1,"DUPLICADO","OK"))</f>
      </c>
      <c r="S845" s="6">
        <f>IF(AND(J845="",K845=""),"vazio",IF(AND(OR(J845="",LEN(SUBSTITUTE(SUBSTITUTE(SUBSTITUTE(SUBSTITUTE(SUBSTITUTE(SUBSTITUTE(SUBSTITUTE(TRIM(J845),".",""),"/",""),"-","")," ",""),"(",""),")",""),"+",""))=10,LEN(SUBSTITUTE(SUBSTITUTE(SUBSTITUTE(SUBSTITUTE(SUBSTITUTE(SUBSTITUTE(SUBSTITUTE(TRIM(J845),".",""),"/",""),"-","")," ",""),"(",""),")",""),"+",""))=11),OR(K845="",LEN(SUBSTITUTE(SUBSTITUTE(SUBSTITUTE(SUBSTITUTE(SUBSTITUTE(SUBSTITUTE(SUBSTITUTE(TRIM(K845),".",""),"/",""),"-","")," ",""),"(",""),")",""),"+",""))=10,LEN(SUBSTITUTE(SUBSTITUTE(SUBSTITUTE(SUBSTITUTE(SUBSTITUTE(SUBSTITUTE(SUBSTITUTE(TRIM(K845),".",""),"/",""),"-","")," ",""),"(",""),")",""),"+",""))=11)),"OK","ERRO: use DDD + número (10 ou 11 dígitos)"))</f>
      </c>
      <c r="T845" s="6">
        <f>IF(L845="","vazio",IF(AND(ISNUMBER(FIND("@",L845)),ISNUMBER(FIND(".",MID(L845,FIND("@",L845),99))),NOT(ISNUMBER(FIND(" ",TRIM(L845)))),NOT(ISNUMBER(FIND(";",L845))),NOT(ISNUMBER(FIND(",",L845)))),"OK","ERRO: um e-mail válido por linha"))</f>
      </c>
      <c r="U845" s="6">
        <f>IF(COUNTA(A845:O845)=0,"",IF(AND(B845&lt;&gt;"",C845&lt;&gt;"",D845&lt;&gt;"",E845&lt;&gt;"",H845&lt;&gt;"",OR(J845&lt;&gt;"",L845&lt;&gt;"")),"OK","ERRO: faltam "&amp;IF(B845="","Proprietário; ","")&amp;IF(C845="","Origem; ","")&amp;IF(D845="","CNPJ; ","")&amp;IF(E845="","Razão Social; ","")&amp;IF(H845="","Sobrenome; ","")&amp;IF(AND(J845="",L845=""),"telefone ou e-mail; ","")))</f>
      </c>
      <c r="V845" s="6">
        <f>IF(COUNTA(A845:O845)=0,"",IF(AND(Q845="OK",R845="OK",LEFT(S845,4)&lt;&gt;"ERRO",LEFT(T845,4)&lt;&gt;"ERRO",U845="OK"),"OK","REVISAR"))</f>
      </c>
    </row>
    <row r="846">
      <c r="A846" s="4"/>
      <c r="B846" s="5"/>
      <c r="C846" s="5"/>
      <c r="D846" s="5"/>
      <c r="E846" s="5"/>
      <c r="F846" s="4"/>
      <c r="G846" s="4"/>
      <c r="H846" s="5"/>
      <c r="I846" s="4"/>
      <c r="J846" s="4"/>
      <c r="K846" s="4"/>
      <c r="L846" s="4"/>
      <c r="M846" s="4"/>
      <c r="N846" s="4"/>
      <c r="O846" s="4"/>
      <c r="P846" s="6">
        <f>IF(D846="","",SUBSTITUTE(SUBSTITUTE(SUBSTITUTE(SUBSTITUTE(SUBSTITUTE(SUBSTITUTE(SUBSTITUTE(TRIM(D846),".",""),"/",""),"-","")," ",""),"(",""),")",""),"+",""))</f>
      </c>
      <c r="Q846" s="6">
        <f>IF(P846="","",IF(LEN(P846)&lt;&gt;14,"ERRO: "&amp;LEN(P846)&amp;" dígitos",IF(NOT(ISNUMBER(VALUE(P846))),"ERRO: não numérico",IF(LEN(SUBSTITUTE(P846,LEFT(P846,1),""))=0,"ERRO: dígitos repetidos",IF(AND(VALUE(MID(P846,13,1))=IF(MOD(SUMPRODUCT(--MID(P846,{1,2,3,4,5,6,7,8,9,10,11,12},1),{5,4,3,2,9,8,7,6,5,4,3,2}),11)&lt;2,0,11-MOD(SUMPRODUCT(--MID(P846,{1,2,3,4,5,6,7,8,9,10,11,12},1),{5,4,3,2,9,8,7,6,5,4,3,2}),11)),VALUE(MID(P846,14,1))=IF(MOD(SUMPRODUCT(--MID(P846,{1,2,3,4,5,6,7,8,9,10,11,12,13},1),{6,5,4,3,2,9,8,7,6,5,4,3,2}),11)&lt;2,0,11-MOD(SUMPRODUCT(--MID(P846,{1,2,3,4,5,6,7,8,9,10,11,12,13},1),{6,5,4,3,2,9,8,7,6,5,4,3,2}),11))),"OK","ERRO: dígito verificador")))))</f>
      </c>
      <c r="R846" s="6">
        <f>IF(P846="","",IF(COUNTIF($P$2:$P$1001,P846)&gt;1,"DUPLICADO","OK"))</f>
      </c>
      <c r="S846" s="6">
        <f>IF(AND(J846="",K846=""),"vazio",IF(AND(OR(J846="",LEN(SUBSTITUTE(SUBSTITUTE(SUBSTITUTE(SUBSTITUTE(SUBSTITUTE(SUBSTITUTE(SUBSTITUTE(TRIM(J846),".",""),"/",""),"-","")," ",""),"(",""),")",""),"+",""))=10,LEN(SUBSTITUTE(SUBSTITUTE(SUBSTITUTE(SUBSTITUTE(SUBSTITUTE(SUBSTITUTE(SUBSTITUTE(TRIM(J846),".",""),"/",""),"-","")," ",""),"(",""),")",""),"+",""))=11),OR(K846="",LEN(SUBSTITUTE(SUBSTITUTE(SUBSTITUTE(SUBSTITUTE(SUBSTITUTE(SUBSTITUTE(SUBSTITUTE(TRIM(K846),".",""),"/",""),"-","")," ",""),"(",""),")",""),"+",""))=10,LEN(SUBSTITUTE(SUBSTITUTE(SUBSTITUTE(SUBSTITUTE(SUBSTITUTE(SUBSTITUTE(SUBSTITUTE(TRIM(K846),".",""),"/",""),"-","")," ",""),"(",""),")",""),"+",""))=11)),"OK","ERRO: use DDD + número (10 ou 11 dígitos)"))</f>
      </c>
      <c r="T846" s="6">
        <f>IF(L846="","vazio",IF(AND(ISNUMBER(FIND("@",L846)),ISNUMBER(FIND(".",MID(L846,FIND("@",L846),99))),NOT(ISNUMBER(FIND(" ",TRIM(L846)))),NOT(ISNUMBER(FIND(";",L846))),NOT(ISNUMBER(FIND(",",L846)))),"OK","ERRO: um e-mail válido por linha"))</f>
      </c>
      <c r="U846" s="6">
        <f>IF(COUNTA(A846:O846)=0,"",IF(AND(B846&lt;&gt;"",C846&lt;&gt;"",D846&lt;&gt;"",E846&lt;&gt;"",H846&lt;&gt;"",OR(J846&lt;&gt;"",L846&lt;&gt;"")),"OK","ERRO: faltam "&amp;IF(B846="","Proprietário; ","")&amp;IF(C846="","Origem; ","")&amp;IF(D846="","CNPJ; ","")&amp;IF(E846="","Razão Social; ","")&amp;IF(H846="","Sobrenome; ","")&amp;IF(AND(J846="",L846=""),"telefone ou e-mail; ","")))</f>
      </c>
      <c r="V846" s="6">
        <f>IF(COUNTA(A846:O846)=0,"",IF(AND(Q846="OK",R846="OK",LEFT(S846,4)&lt;&gt;"ERRO",LEFT(T846,4)&lt;&gt;"ERRO",U846="OK"),"OK","REVISAR"))</f>
      </c>
    </row>
    <row r="847">
      <c r="A847" s="4"/>
      <c r="B847" s="5"/>
      <c r="C847" s="5"/>
      <c r="D847" s="5"/>
      <c r="E847" s="5"/>
      <c r="F847" s="4"/>
      <c r="G847" s="4"/>
      <c r="H847" s="5"/>
      <c r="I847" s="4"/>
      <c r="J847" s="4"/>
      <c r="K847" s="4"/>
      <c r="L847" s="4"/>
      <c r="M847" s="4"/>
      <c r="N847" s="4"/>
      <c r="O847" s="4"/>
      <c r="P847" s="6">
        <f>IF(D847="","",SUBSTITUTE(SUBSTITUTE(SUBSTITUTE(SUBSTITUTE(SUBSTITUTE(SUBSTITUTE(SUBSTITUTE(TRIM(D847),".",""),"/",""),"-","")," ",""),"(",""),")",""),"+",""))</f>
      </c>
      <c r="Q847" s="6">
        <f>IF(P847="","",IF(LEN(P847)&lt;&gt;14,"ERRO: "&amp;LEN(P847)&amp;" dígitos",IF(NOT(ISNUMBER(VALUE(P847))),"ERRO: não numérico",IF(LEN(SUBSTITUTE(P847,LEFT(P847,1),""))=0,"ERRO: dígitos repetidos",IF(AND(VALUE(MID(P847,13,1))=IF(MOD(SUMPRODUCT(--MID(P847,{1,2,3,4,5,6,7,8,9,10,11,12},1),{5,4,3,2,9,8,7,6,5,4,3,2}),11)&lt;2,0,11-MOD(SUMPRODUCT(--MID(P847,{1,2,3,4,5,6,7,8,9,10,11,12},1),{5,4,3,2,9,8,7,6,5,4,3,2}),11)),VALUE(MID(P847,14,1))=IF(MOD(SUMPRODUCT(--MID(P847,{1,2,3,4,5,6,7,8,9,10,11,12,13},1),{6,5,4,3,2,9,8,7,6,5,4,3,2}),11)&lt;2,0,11-MOD(SUMPRODUCT(--MID(P847,{1,2,3,4,5,6,7,8,9,10,11,12,13},1),{6,5,4,3,2,9,8,7,6,5,4,3,2}),11))),"OK","ERRO: dígito verificador")))))</f>
      </c>
      <c r="R847" s="6">
        <f>IF(P847="","",IF(COUNTIF($P$2:$P$1001,P847)&gt;1,"DUPLICADO","OK"))</f>
      </c>
      <c r="S847" s="6">
        <f>IF(AND(J847="",K847=""),"vazio",IF(AND(OR(J847="",LEN(SUBSTITUTE(SUBSTITUTE(SUBSTITUTE(SUBSTITUTE(SUBSTITUTE(SUBSTITUTE(SUBSTITUTE(TRIM(J847),".",""),"/",""),"-","")," ",""),"(",""),")",""),"+",""))=10,LEN(SUBSTITUTE(SUBSTITUTE(SUBSTITUTE(SUBSTITUTE(SUBSTITUTE(SUBSTITUTE(SUBSTITUTE(TRIM(J847),".",""),"/",""),"-","")," ",""),"(",""),")",""),"+",""))=11),OR(K847="",LEN(SUBSTITUTE(SUBSTITUTE(SUBSTITUTE(SUBSTITUTE(SUBSTITUTE(SUBSTITUTE(SUBSTITUTE(TRIM(K847),".",""),"/",""),"-","")," ",""),"(",""),")",""),"+",""))=10,LEN(SUBSTITUTE(SUBSTITUTE(SUBSTITUTE(SUBSTITUTE(SUBSTITUTE(SUBSTITUTE(SUBSTITUTE(TRIM(K847),".",""),"/",""),"-","")," ",""),"(",""),")",""),"+",""))=11)),"OK","ERRO: use DDD + número (10 ou 11 dígitos)"))</f>
      </c>
      <c r="T847" s="6">
        <f>IF(L847="","vazio",IF(AND(ISNUMBER(FIND("@",L847)),ISNUMBER(FIND(".",MID(L847,FIND("@",L847),99))),NOT(ISNUMBER(FIND(" ",TRIM(L847)))),NOT(ISNUMBER(FIND(";",L847))),NOT(ISNUMBER(FIND(",",L847)))),"OK","ERRO: um e-mail válido por linha"))</f>
      </c>
      <c r="U847" s="6">
        <f>IF(COUNTA(A847:O847)=0,"",IF(AND(B847&lt;&gt;"",C847&lt;&gt;"",D847&lt;&gt;"",E847&lt;&gt;"",H847&lt;&gt;"",OR(J847&lt;&gt;"",L847&lt;&gt;"")),"OK","ERRO: faltam "&amp;IF(B847="","Proprietário; ","")&amp;IF(C847="","Origem; ","")&amp;IF(D847="","CNPJ; ","")&amp;IF(E847="","Razão Social; ","")&amp;IF(H847="","Sobrenome; ","")&amp;IF(AND(J847="",L847=""),"telefone ou e-mail; ","")))</f>
      </c>
      <c r="V847" s="6">
        <f>IF(COUNTA(A847:O847)=0,"",IF(AND(Q847="OK",R847="OK",LEFT(S847,4)&lt;&gt;"ERRO",LEFT(T847,4)&lt;&gt;"ERRO",U847="OK"),"OK","REVISAR"))</f>
      </c>
    </row>
    <row r="848">
      <c r="A848" s="4"/>
      <c r="B848" s="5"/>
      <c r="C848" s="5"/>
      <c r="D848" s="5"/>
      <c r="E848" s="5"/>
      <c r="F848" s="4"/>
      <c r="G848" s="4"/>
      <c r="H848" s="5"/>
      <c r="I848" s="4"/>
      <c r="J848" s="4"/>
      <c r="K848" s="4"/>
      <c r="L848" s="4"/>
      <c r="M848" s="4"/>
      <c r="N848" s="4"/>
      <c r="O848" s="4"/>
      <c r="P848" s="6">
        <f>IF(D848="","",SUBSTITUTE(SUBSTITUTE(SUBSTITUTE(SUBSTITUTE(SUBSTITUTE(SUBSTITUTE(SUBSTITUTE(TRIM(D848),".",""),"/",""),"-","")," ",""),"(",""),")",""),"+",""))</f>
      </c>
      <c r="Q848" s="6">
        <f>IF(P848="","",IF(LEN(P848)&lt;&gt;14,"ERRO: "&amp;LEN(P848)&amp;" dígitos",IF(NOT(ISNUMBER(VALUE(P848))),"ERRO: não numérico",IF(LEN(SUBSTITUTE(P848,LEFT(P848,1),""))=0,"ERRO: dígitos repetidos",IF(AND(VALUE(MID(P848,13,1))=IF(MOD(SUMPRODUCT(--MID(P848,{1,2,3,4,5,6,7,8,9,10,11,12},1),{5,4,3,2,9,8,7,6,5,4,3,2}),11)&lt;2,0,11-MOD(SUMPRODUCT(--MID(P848,{1,2,3,4,5,6,7,8,9,10,11,12},1),{5,4,3,2,9,8,7,6,5,4,3,2}),11)),VALUE(MID(P848,14,1))=IF(MOD(SUMPRODUCT(--MID(P848,{1,2,3,4,5,6,7,8,9,10,11,12,13},1),{6,5,4,3,2,9,8,7,6,5,4,3,2}),11)&lt;2,0,11-MOD(SUMPRODUCT(--MID(P848,{1,2,3,4,5,6,7,8,9,10,11,12,13},1),{6,5,4,3,2,9,8,7,6,5,4,3,2}),11))),"OK","ERRO: dígito verificador")))))</f>
      </c>
      <c r="R848" s="6">
        <f>IF(P848="","",IF(COUNTIF($P$2:$P$1001,P848)&gt;1,"DUPLICADO","OK"))</f>
      </c>
      <c r="S848" s="6">
        <f>IF(AND(J848="",K848=""),"vazio",IF(AND(OR(J848="",LEN(SUBSTITUTE(SUBSTITUTE(SUBSTITUTE(SUBSTITUTE(SUBSTITUTE(SUBSTITUTE(SUBSTITUTE(TRIM(J848),".",""),"/",""),"-","")," ",""),"(",""),")",""),"+",""))=10,LEN(SUBSTITUTE(SUBSTITUTE(SUBSTITUTE(SUBSTITUTE(SUBSTITUTE(SUBSTITUTE(SUBSTITUTE(TRIM(J848),".",""),"/",""),"-","")," ",""),"(",""),")",""),"+",""))=11),OR(K848="",LEN(SUBSTITUTE(SUBSTITUTE(SUBSTITUTE(SUBSTITUTE(SUBSTITUTE(SUBSTITUTE(SUBSTITUTE(TRIM(K848),".",""),"/",""),"-","")," ",""),"(",""),")",""),"+",""))=10,LEN(SUBSTITUTE(SUBSTITUTE(SUBSTITUTE(SUBSTITUTE(SUBSTITUTE(SUBSTITUTE(SUBSTITUTE(TRIM(K848),".",""),"/",""),"-","")," ",""),"(",""),")",""),"+",""))=11)),"OK","ERRO: use DDD + número (10 ou 11 dígitos)"))</f>
      </c>
      <c r="T848" s="6">
        <f>IF(L848="","vazio",IF(AND(ISNUMBER(FIND("@",L848)),ISNUMBER(FIND(".",MID(L848,FIND("@",L848),99))),NOT(ISNUMBER(FIND(" ",TRIM(L848)))),NOT(ISNUMBER(FIND(";",L848))),NOT(ISNUMBER(FIND(",",L848)))),"OK","ERRO: um e-mail válido por linha"))</f>
      </c>
      <c r="U848" s="6">
        <f>IF(COUNTA(A848:O848)=0,"",IF(AND(B848&lt;&gt;"",C848&lt;&gt;"",D848&lt;&gt;"",E848&lt;&gt;"",H848&lt;&gt;"",OR(J848&lt;&gt;"",L848&lt;&gt;"")),"OK","ERRO: faltam "&amp;IF(B848="","Proprietário; ","")&amp;IF(C848="","Origem; ","")&amp;IF(D848="","CNPJ; ","")&amp;IF(E848="","Razão Social; ","")&amp;IF(H848="","Sobrenome; ","")&amp;IF(AND(J848="",L848=""),"telefone ou e-mail; ","")))</f>
      </c>
      <c r="V848" s="6">
        <f>IF(COUNTA(A848:O848)=0,"",IF(AND(Q848="OK",R848="OK",LEFT(S848,4)&lt;&gt;"ERRO",LEFT(T848,4)&lt;&gt;"ERRO",U848="OK"),"OK","REVISAR"))</f>
      </c>
    </row>
    <row r="849">
      <c r="A849" s="4"/>
      <c r="B849" s="5"/>
      <c r="C849" s="5"/>
      <c r="D849" s="5"/>
      <c r="E849" s="5"/>
      <c r="F849" s="4"/>
      <c r="G849" s="4"/>
      <c r="H849" s="5"/>
      <c r="I849" s="4"/>
      <c r="J849" s="4"/>
      <c r="K849" s="4"/>
      <c r="L849" s="4"/>
      <c r="M849" s="4"/>
      <c r="N849" s="4"/>
      <c r="O849" s="4"/>
      <c r="P849" s="6">
        <f>IF(D849="","",SUBSTITUTE(SUBSTITUTE(SUBSTITUTE(SUBSTITUTE(SUBSTITUTE(SUBSTITUTE(SUBSTITUTE(TRIM(D849),".",""),"/",""),"-","")," ",""),"(",""),")",""),"+",""))</f>
      </c>
      <c r="Q849" s="6">
        <f>IF(P849="","",IF(LEN(P849)&lt;&gt;14,"ERRO: "&amp;LEN(P849)&amp;" dígitos",IF(NOT(ISNUMBER(VALUE(P849))),"ERRO: não numérico",IF(LEN(SUBSTITUTE(P849,LEFT(P849,1),""))=0,"ERRO: dígitos repetidos",IF(AND(VALUE(MID(P849,13,1))=IF(MOD(SUMPRODUCT(--MID(P849,{1,2,3,4,5,6,7,8,9,10,11,12},1),{5,4,3,2,9,8,7,6,5,4,3,2}),11)&lt;2,0,11-MOD(SUMPRODUCT(--MID(P849,{1,2,3,4,5,6,7,8,9,10,11,12},1),{5,4,3,2,9,8,7,6,5,4,3,2}),11)),VALUE(MID(P849,14,1))=IF(MOD(SUMPRODUCT(--MID(P849,{1,2,3,4,5,6,7,8,9,10,11,12,13},1),{6,5,4,3,2,9,8,7,6,5,4,3,2}),11)&lt;2,0,11-MOD(SUMPRODUCT(--MID(P849,{1,2,3,4,5,6,7,8,9,10,11,12,13},1),{6,5,4,3,2,9,8,7,6,5,4,3,2}),11))),"OK","ERRO: dígito verificador")))))</f>
      </c>
      <c r="R849" s="6">
        <f>IF(P849="","",IF(COUNTIF($P$2:$P$1001,P849)&gt;1,"DUPLICADO","OK"))</f>
      </c>
      <c r="S849" s="6">
        <f>IF(AND(J849="",K849=""),"vazio",IF(AND(OR(J849="",LEN(SUBSTITUTE(SUBSTITUTE(SUBSTITUTE(SUBSTITUTE(SUBSTITUTE(SUBSTITUTE(SUBSTITUTE(TRIM(J849),".",""),"/",""),"-","")," ",""),"(",""),")",""),"+",""))=10,LEN(SUBSTITUTE(SUBSTITUTE(SUBSTITUTE(SUBSTITUTE(SUBSTITUTE(SUBSTITUTE(SUBSTITUTE(TRIM(J849),".",""),"/",""),"-","")," ",""),"(",""),")",""),"+",""))=11),OR(K849="",LEN(SUBSTITUTE(SUBSTITUTE(SUBSTITUTE(SUBSTITUTE(SUBSTITUTE(SUBSTITUTE(SUBSTITUTE(TRIM(K849),".",""),"/",""),"-","")," ",""),"(",""),")",""),"+",""))=10,LEN(SUBSTITUTE(SUBSTITUTE(SUBSTITUTE(SUBSTITUTE(SUBSTITUTE(SUBSTITUTE(SUBSTITUTE(TRIM(K849),".",""),"/",""),"-","")," ",""),"(",""),")",""),"+",""))=11)),"OK","ERRO: use DDD + número (10 ou 11 dígitos)"))</f>
      </c>
      <c r="T849" s="6">
        <f>IF(L849="","vazio",IF(AND(ISNUMBER(FIND("@",L849)),ISNUMBER(FIND(".",MID(L849,FIND("@",L849),99))),NOT(ISNUMBER(FIND(" ",TRIM(L849)))),NOT(ISNUMBER(FIND(";",L849))),NOT(ISNUMBER(FIND(",",L849)))),"OK","ERRO: um e-mail válido por linha"))</f>
      </c>
      <c r="U849" s="6">
        <f>IF(COUNTA(A849:O849)=0,"",IF(AND(B849&lt;&gt;"",C849&lt;&gt;"",D849&lt;&gt;"",E849&lt;&gt;"",H849&lt;&gt;"",OR(J849&lt;&gt;"",L849&lt;&gt;"")),"OK","ERRO: faltam "&amp;IF(B849="","Proprietário; ","")&amp;IF(C849="","Origem; ","")&amp;IF(D849="","CNPJ; ","")&amp;IF(E849="","Razão Social; ","")&amp;IF(H849="","Sobrenome; ","")&amp;IF(AND(J849="",L849=""),"telefone ou e-mail; ","")))</f>
      </c>
      <c r="V849" s="6">
        <f>IF(COUNTA(A849:O849)=0,"",IF(AND(Q849="OK",R849="OK",LEFT(S849,4)&lt;&gt;"ERRO",LEFT(T849,4)&lt;&gt;"ERRO",U849="OK"),"OK","REVISAR"))</f>
      </c>
    </row>
    <row r="850">
      <c r="A850" s="4"/>
      <c r="B850" s="5"/>
      <c r="C850" s="5"/>
      <c r="D850" s="5"/>
      <c r="E850" s="5"/>
      <c r="F850" s="4"/>
      <c r="G850" s="4"/>
      <c r="H850" s="5"/>
      <c r="I850" s="4"/>
      <c r="J850" s="4"/>
      <c r="K850" s="4"/>
      <c r="L850" s="4"/>
      <c r="M850" s="4"/>
      <c r="N850" s="4"/>
      <c r="O850" s="4"/>
      <c r="P850" s="6">
        <f>IF(D850="","",SUBSTITUTE(SUBSTITUTE(SUBSTITUTE(SUBSTITUTE(SUBSTITUTE(SUBSTITUTE(SUBSTITUTE(TRIM(D850),".",""),"/",""),"-","")," ",""),"(",""),")",""),"+",""))</f>
      </c>
      <c r="Q850" s="6">
        <f>IF(P850="","",IF(LEN(P850)&lt;&gt;14,"ERRO: "&amp;LEN(P850)&amp;" dígitos",IF(NOT(ISNUMBER(VALUE(P850))),"ERRO: não numérico",IF(LEN(SUBSTITUTE(P850,LEFT(P850,1),""))=0,"ERRO: dígitos repetidos",IF(AND(VALUE(MID(P850,13,1))=IF(MOD(SUMPRODUCT(--MID(P850,{1,2,3,4,5,6,7,8,9,10,11,12},1),{5,4,3,2,9,8,7,6,5,4,3,2}),11)&lt;2,0,11-MOD(SUMPRODUCT(--MID(P850,{1,2,3,4,5,6,7,8,9,10,11,12},1),{5,4,3,2,9,8,7,6,5,4,3,2}),11)),VALUE(MID(P850,14,1))=IF(MOD(SUMPRODUCT(--MID(P850,{1,2,3,4,5,6,7,8,9,10,11,12,13},1),{6,5,4,3,2,9,8,7,6,5,4,3,2}),11)&lt;2,0,11-MOD(SUMPRODUCT(--MID(P850,{1,2,3,4,5,6,7,8,9,10,11,12,13},1),{6,5,4,3,2,9,8,7,6,5,4,3,2}),11))),"OK","ERRO: dígito verificador")))))</f>
      </c>
      <c r="R850" s="6">
        <f>IF(P850="","",IF(COUNTIF($P$2:$P$1001,P850)&gt;1,"DUPLICADO","OK"))</f>
      </c>
      <c r="S850" s="6">
        <f>IF(AND(J850="",K850=""),"vazio",IF(AND(OR(J850="",LEN(SUBSTITUTE(SUBSTITUTE(SUBSTITUTE(SUBSTITUTE(SUBSTITUTE(SUBSTITUTE(SUBSTITUTE(TRIM(J850),".",""),"/",""),"-","")," ",""),"(",""),")",""),"+",""))=10,LEN(SUBSTITUTE(SUBSTITUTE(SUBSTITUTE(SUBSTITUTE(SUBSTITUTE(SUBSTITUTE(SUBSTITUTE(TRIM(J850),".",""),"/",""),"-","")," ",""),"(",""),")",""),"+",""))=11),OR(K850="",LEN(SUBSTITUTE(SUBSTITUTE(SUBSTITUTE(SUBSTITUTE(SUBSTITUTE(SUBSTITUTE(SUBSTITUTE(TRIM(K850),".",""),"/",""),"-","")," ",""),"(",""),")",""),"+",""))=10,LEN(SUBSTITUTE(SUBSTITUTE(SUBSTITUTE(SUBSTITUTE(SUBSTITUTE(SUBSTITUTE(SUBSTITUTE(TRIM(K850),".",""),"/",""),"-","")," ",""),"(",""),")",""),"+",""))=11)),"OK","ERRO: use DDD + número (10 ou 11 dígitos)"))</f>
      </c>
      <c r="T850" s="6">
        <f>IF(L850="","vazio",IF(AND(ISNUMBER(FIND("@",L850)),ISNUMBER(FIND(".",MID(L850,FIND("@",L850),99))),NOT(ISNUMBER(FIND(" ",TRIM(L850)))),NOT(ISNUMBER(FIND(";",L850))),NOT(ISNUMBER(FIND(",",L850)))),"OK","ERRO: um e-mail válido por linha"))</f>
      </c>
      <c r="U850" s="6">
        <f>IF(COUNTA(A850:O850)=0,"",IF(AND(B850&lt;&gt;"",C850&lt;&gt;"",D850&lt;&gt;"",E850&lt;&gt;"",H850&lt;&gt;"",OR(J850&lt;&gt;"",L850&lt;&gt;"")),"OK","ERRO: faltam "&amp;IF(B850="","Proprietário; ","")&amp;IF(C850="","Origem; ","")&amp;IF(D850="","CNPJ; ","")&amp;IF(E850="","Razão Social; ","")&amp;IF(H850="","Sobrenome; ","")&amp;IF(AND(J850="",L850=""),"telefone ou e-mail; ","")))</f>
      </c>
      <c r="V850" s="6">
        <f>IF(COUNTA(A850:O850)=0,"",IF(AND(Q850="OK",R850="OK",LEFT(S850,4)&lt;&gt;"ERRO",LEFT(T850,4)&lt;&gt;"ERRO",U850="OK"),"OK","REVISAR"))</f>
      </c>
    </row>
    <row r="851">
      <c r="A851" s="4"/>
      <c r="B851" s="5"/>
      <c r="C851" s="5"/>
      <c r="D851" s="5"/>
      <c r="E851" s="5"/>
      <c r="F851" s="4"/>
      <c r="G851" s="4"/>
      <c r="H851" s="5"/>
      <c r="I851" s="4"/>
      <c r="J851" s="4"/>
      <c r="K851" s="4"/>
      <c r="L851" s="4"/>
      <c r="M851" s="4"/>
      <c r="N851" s="4"/>
      <c r="O851" s="4"/>
      <c r="P851" s="6">
        <f>IF(D851="","",SUBSTITUTE(SUBSTITUTE(SUBSTITUTE(SUBSTITUTE(SUBSTITUTE(SUBSTITUTE(SUBSTITUTE(TRIM(D851),".",""),"/",""),"-","")," ",""),"(",""),")",""),"+",""))</f>
      </c>
      <c r="Q851" s="6">
        <f>IF(P851="","",IF(LEN(P851)&lt;&gt;14,"ERRO: "&amp;LEN(P851)&amp;" dígitos",IF(NOT(ISNUMBER(VALUE(P851))),"ERRO: não numérico",IF(LEN(SUBSTITUTE(P851,LEFT(P851,1),""))=0,"ERRO: dígitos repetidos",IF(AND(VALUE(MID(P851,13,1))=IF(MOD(SUMPRODUCT(--MID(P851,{1,2,3,4,5,6,7,8,9,10,11,12},1),{5,4,3,2,9,8,7,6,5,4,3,2}),11)&lt;2,0,11-MOD(SUMPRODUCT(--MID(P851,{1,2,3,4,5,6,7,8,9,10,11,12},1),{5,4,3,2,9,8,7,6,5,4,3,2}),11)),VALUE(MID(P851,14,1))=IF(MOD(SUMPRODUCT(--MID(P851,{1,2,3,4,5,6,7,8,9,10,11,12,13},1),{6,5,4,3,2,9,8,7,6,5,4,3,2}),11)&lt;2,0,11-MOD(SUMPRODUCT(--MID(P851,{1,2,3,4,5,6,7,8,9,10,11,12,13},1),{6,5,4,3,2,9,8,7,6,5,4,3,2}),11))),"OK","ERRO: dígito verificador")))))</f>
      </c>
      <c r="R851" s="6">
        <f>IF(P851="","",IF(COUNTIF($P$2:$P$1001,P851)&gt;1,"DUPLICADO","OK"))</f>
      </c>
      <c r="S851" s="6">
        <f>IF(AND(J851="",K851=""),"vazio",IF(AND(OR(J851="",LEN(SUBSTITUTE(SUBSTITUTE(SUBSTITUTE(SUBSTITUTE(SUBSTITUTE(SUBSTITUTE(SUBSTITUTE(TRIM(J851),".",""),"/",""),"-","")," ",""),"(",""),")",""),"+",""))=10,LEN(SUBSTITUTE(SUBSTITUTE(SUBSTITUTE(SUBSTITUTE(SUBSTITUTE(SUBSTITUTE(SUBSTITUTE(TRIM(J851),".",""),"/",""),"-","")," ",""),"(",""),")",""),"+",""))=11),OR(K851="",LEN(SUBSTITUTE(SUBSTITUTE(SUBSTITUTE(SUBSTITUTE(SUBSTITUTE(SUBSTITUTE(SUBSTITUTE(TRIM(K851),".",""),"/",""),"-","")," ",""),"(",""),")",""),"+",""))=10,LEN(SUBSTITUTE(SUBSTITUTE(SUBSTITUTE(SUBSTITUTE(SUBSTITUTE(SUBSTITUTE(SUBSTITUTE(TRIM(K851),".",""),"/",""),"-","")," ",""),"(",""),")",""),"+",""))=11)),"OK","ERRO: use DDD + número (10 ou 11 dígitos)"))</f>
      </c>
      <c r="T851" s="6">
        <f>IF(L851="","vazio",IF(AND(ISNUMBER(FIND("@",L851)),ISNUMBER(FIND(".",MID(L851,FIND("@",L851),99))),NOT(ISNUMBER(FIND(" ",TRIM(L851)))),NOT(ISNUMBER(FIND(";",L851))),NOT(ISNUMBER(FIND(",",L851)))),"OK","ERRO: um e-mail válido por linha"))</f>
      </c>
      <c r="U851" s="6">
        <f>IF(COUNTA(A851:O851)=0,"",IF(AND(B851&lt;&gt;"",C851&lt;&gt;"",D851&lt;&gt;"",E851&lt;&gt;"",H851&lt;&gt;"",OR(J851&lt;&gt;"",L851&lt;&gt;"")),"OK","ERRO: faltam "&amp;IF(B851="","Proprietário; ","")&amp;IF(C851="","Origem; ","")&amp;IF(D851="","CNPJ; ","")&amp;IF(E851="","Razão Social; ","")&amp;IF(H851="","Sobrenome; ","")&amp;IF(AND(J851="",L851=""),"telefone ou e-mail; ","")))</f>
      </c>
      <c r="V851" s="6">
        <f>IF(COUNTA(A851:O851)=0,"",IF(AND(Q851="OK",R851="OK",LEFT(S851,4)&lt;&gt;"ERRO",LEFT(T851,4)&lt;&gt;"ERRO",U851="OK"),"OK","REVISAR"))</f>
      </c>
    </row>
    <row r="852">
      <c r="A852" s="4"/>
      <c r="B852" s="5"/>
      <c r="C852" s="5"/>
      <c r="D852" s="5"/>
      <c r="E852" s="5"/>
      <c r="F852" s="4"/>
      <c r="G852" s="4"/>
      <c r="H852" s="5"/>
      <c r="I852" s="4"/>
      <c r="J852" s="4"/>
      <c r="K852" s="4"/>
      <c r="L852" s="4"/>
      <c r="M852" s="4"/>
      <c r="N852" s="4"/>
      <c r="O852" s="4"/>
      <c r="P852" s="6">
        <f>IF(D852="","",SUBSTITUTE(SUBSTITUTE(SUBSTITUTE(SUBSTITUTE(SUBSTITUTE(SUBSTITUTE(SUBSTITUTE(TRIM(D852),".",""),"/",""),"-","")," ",""),"(",""),")",""),"+",""))</f>
      </c>
      <c r="Q852" s="6">
        <f>IF(P852="","",IF(LEN(P852)&lt;&gt;14,"ERRO: "&amp;LEN(P852)&amp;" dígitos",IF(NOT(ISNUMBER(VALUE(P852))),"ERRO: não numérico",IF(LEN(SUBSTITUTE(P852,LEFT(P852,1),""))=0,"ERRO: dígitos repetidos",IF(AND(VALUE(MID(P852,13,1))=IF(MOD(SUMPRODUCT(--MID(P852,{1,2,3,4,5,6,7,8,9,10,11,12},1),{5,4,3,2,9,8,7,6,5,4,3,2}),11)&lt;2,0,11-MOD(SUMPRODUCT(--MID(P852,{1,2,3,4,5,6,7,8,9,10,11,12},1),{5,4,3,2,9,8,7,6,5,4,3,2}),11)),VALUE(MID(P852,14,1))=IF(MOD(SUMPRODUCT(--MID(P852,{1,2,3,4,5,6,7,8,9,10,11,12,13},1),{6,5,4,3,2,9,8,7,6,5,4,3,2}),11)&lt;2,0,11-MOD(SUMPRODUCT(--MID(P852,{1,2,3,4,5,6,7,8,9,10,11,12,13},1),{6,5,4,3,2,9,8,7,6,5,4,3,2}),11))),"OK","ERRO: dígito verificador")))))</f>
      </c>
      <c r="R852" s="6">
        <f>IF(P852="","",IF(COUNTIF($P$2:$P$1001,P852)&gt;1,"DUPLICADO","OK"))</f>
      </c>
      <c r="S852" s="6">
        <f>IF(AND(J852="",K852=""),"vazio",IF(AND(OR(J852="",LEN(SUBSTITUTE(SUBSTITUTE(SUBSTITUTE(SUBSTITUTE(SUBSTITUTE(SUBSTITUTE(SUBSTITUTE(TRIM(J852),".",""),"/",""),"-","")," ",""),"(",""),")",""),"+",""))=10,LEN(SUBSTITUTE(SUBSTITUTE(SUBSTITUTE(SUBSTITUTE(SUBSTITUTE(SUBSTITUTE(SUBSTITUTE(TRIM(J852),".",""),"/",""),"-","")," ",""),"(",""),")",""),"+",""))=11),OR(K852="",LEN(SUBSTITUTE(SUBSTITUTE(SUBSTITUTE(SUBSTITUTE(SUBSTITUTE(SUBSTITUTE(SUBSTITUTE(TRIM(K852),".",""),"/",""),"-","")," ",""),"(",""),")",""),"+",""))=10,LEN(SUBSTITUTE(SUBSTITUTE(SUBSTITUTE(SUBSTITUTE(SUBSTITUTE(SUBSTITUTE(SUBSTITUTE(TRIM(K852),".",""),"/",""),"-","")," ",""),"(",""),")",""),"+",""))=11)),"OK","ERRO: use DDD + número (10 ou 11 dígitos)"))</f>
      </c>
      <c r="T852" s="6">
        <f>IF(L852="","vazio",IF(AND(ISNUMBER(FIND("@",L852)),ISNUMBER(FIND(".",MID(L852,FIND("@",L852),99))),NOT(ISNUMBER(FIND(" ",TRIM(L852)))),NOT(ISNUMBER(FIND(";",L852))),NOT(ISNUMBER(FIND(",",L852)))),"OK","ERRO: um e-mail válido por linha"))</f>
      </c>
      <c r="U852" s="6">
        <f>IF(COUNTA(A852:O852)=0,"",IF(AND(B852&lt;&gt;"",C852&lt;&gt;"",D852&lt;&gt;"",E852&lt;&gt;"",H852&lt;&gt;"",OR(J852&lt;&gt;"",L852&lt;&gt;"")),"OK","ERRO: faltam "&amp;IF(B852="","Proprietário; ","")&amp;IF(C852="","Origem; ","")&amp;IF(D852="","CNPJ; ","")&amp;IF(E852="","Razão Social; ","")&amp;IF(H852="","Sobrenome; ","")&amp;IF(AND(J852="",L852=""),"telefone ou e-mail; ","")))</f>
      </c>
      <c r="V852" s="6">
        <f>IF(COUNTA(A852:O852)=0,"",IF(AND(Q852="OK",R852="OK",LEFT(S852,4)&lt;&gt;"ERRO",LEFT(T852,4)&lt;&gt;"ERRO",U852="OK"),"OK","REVISAR"))</f>
      </c>
    </row>
    <row r="853">
      <c r="A853" s="4"/>
      <c r="B853" s="5"/>
      <c r="C853" s="5"/>
      <c r="D853" s="5"/>
      <c r="E853" s="5"/>
      <c r="F853" s="4"/>
      <c r="G853" s="4"/>
      <c r="H853" s="5"/>
      <c r="I853" s="4"/>
      <c r="J853" s="4"/>
      <c r="K853" s="4"/>
      <c r="L853" s="4"/>
      <c r="M853" s="4"/>
      <c r="N853" s="4"/>
      <c r="O853" s="4"/>
      <c r="P853" s="6">
        <f>IF(D853="","",SUBSTITUTE(SUBSTITUTE(SUBSTITUTE(SUBSTITUTE(SUBSTITUTE(SUBSTITUTE(SUBSTITUTE(TRIM(D853),".",""),"/",""),"-","")," ",""),"(",""),")",""),"+",""))</f>
      </c>
      <c r="Q853" s="6">
        <f>IF(P853="","",IF(LEN(P853)&lt;&gt;14,"ERRO: "&amp;LEN(P853)&amp;" dígitos",IF(NOT(ISNUMBER(VALUE(P853))),"ERRO: não numérico",IF(LEN(SUBSTITUTE(P853,LEFT(P853,1),""))=0,"ERRO: dígitos repetidos",IF(AND(VALUE(MID(P853,13,1))=IF(MOD(SUMPRODUCT(--MID(P853,{1,2,3,4,5,6,7,8,9,10,11,12},1),{5,4,3,2,9,8,7,6,5,4,3,2}),11)&lt;2,0,11-MOD(SUMPRODUCT(--MID(P853,{1,2,3,4,5,6,7,8,9,10,11,12},1),{5,4,3,2,9,8,7,6,5,4,3,2}),11)),VALUE(MID(P853,14,1))=IF(MOD(SUMPRODUCT(--MID(P853,{1,2,3,4,5,6,7,8,9,10,11,12,13},1),{6,5,4,3,2,9,8,7,6,5,4,3,2}),11)&lt;2,0,11-MOD(SUMPRODUCT(--MID(P853,{1,2,3,4,5,6,7,8,9,10,11,12,13},1),{6,5,4,3,2,9,8,7,6,5,4,3,2}),11))),"OK","ERRO: dígito verificador")))))</f>
      </c>
      <c r="R853" s="6">
        <f>IF(P853="","",IF(COUNTIF($P$2:$P$1001,P853)&gt;1,"DUPLICADO","OK"))</f>
      </c>
      <c r="S853" s="6">
        <f>IF(AND(J853="",K853=""),"vazio",IF(AND(OR(J853="",LEN(SUBSTITUTE(SUBSTITUTE(SUBSTITUTE(SUBSTITUTE(SUBSTITUTE(SUBSTITUTE(SUBSTITUTE(TRIM(J853),".",""),"/",""),"-","")," ",""),"(",""),")",""),"+",""))=10,LEN(SUBSTITUTE(SUBSTITUTE(SUBSTITUTE(SUBSTITUTE(SUBSTITUTE(SUBSTITUTE(SUBSTITUTE(TRIM(J853),".",""),"/",""),"-","")," ",""),"(",""),")",""),"+",""))=11),OR(K853="",LEN(SUBSTITUTE(SUBSTITUTE(SUBSTITUTE(SUBSTITUTE(SUBSTITUTE(SUBSTITUTE(SUBSTITUTE(TRIM(K853),".",""),"/",""),"-","")," ",""),"(",""),")",""),"+",""))=10,LEN(SUBSTITUTE(SUBSTITUTE(SUBSTITUTE(SUBSTITUTE(SUBSTITUTE(SUBSTITUTE(SUBSTITUTE(TRIM(K853),".",""),"/",""),"-","")," ",""),"(",""),")",""),"+",""))=11)),"OK","ERRO: use DDD + número (10 ou 11 dígitos)"))</f>
      </c>
      <c r="T853" s="6">
        <f>IF(L853="","vazio",IF(AND(ISNUMBER(FIND("@",L853)),ISNUMBER(FIND(".",MID(L853,FIND("@",L853),99))),NOT(ISNUMBER(FIND(" ",TRIM(L853)))),NOT(ISNUMBER(FIND(";",L853))),NOT(ISNUMBER(FIND(",",L853)))),"OK","ERRO: um e-mail válido por linha"))</f>
      </c>
      <c r="U853" s="6">
        <f>IF(COUNTA(A853:O853)=0,"",IF(AND(B853&lt;&gt;"",C853&lt;&gt;"",D853&lt;&gt;"",E853&lt;&gt;"",H853&lt;&gt;"",OR(J853&lt;&gt;"",L853&lt;&gt;"")),"OK","ERRO: faltam "&amp;IF(B853="","Proprietário; ","")&amp;IF(C853="","Origem; ","")&amp;IF(D853="","CNPJ; ","")&amp;IF(E853="","Razão Social; ","")&amp;IF(H853="","Sobrenome; ","")&amp;IF(AND(J853="",L853=""),"telefone ou e-mail; ","")))</f>
      </c>
      <c r="V853" s="6">
        <f>IF(COUNTA(A853:O853)=0,"",IF(AND(Q853="OK",R853="OK",LEFT(S853,4)&lt;&gt;"ERRO",LEFT(T853,4)&lt;&gt;"ERRO",U853="OK"),"OK","REVISAR"))</f>
      </c>
    </row>
    <row r="854">
      <c r="A854" s="4"/>
      <c r="B854" s="5"/>
      <c r="C854" s="5"/>
      <c r="D854" s="5"/>
      <c r="E854" s="5"/>
      <c r="F854" s="4"/>
      <c r="G854" s="4"/>
      <c r="H854" s="5"/>
      <c r="I854" s="4"/>
      <c r="J854" s="4"/>
      <c r="K854" s="4"/>
      <c r="L854" s="4"/>
      <c r="M854" s="4"/>
      <c r="N854" s="4"/>
      <c r="O854" s="4"/>
      <c r="P854" s="6">
        <f>IF(D854="","",SUBSTITUTE(SUBSTITUTE(SUBSTITUTE(SUBSTITUTE(SUBSTITUTE(SUBSTITUTE(SUBSTITUTE(TRIM(D854),".",""),"/",""),"-","")," ",""),"(",""),")",""),"+",""))</f>
      </c>
      <c r="Q854" s="6">
        <f>IF(P854="","",IF(LEN(P854)&lt;&gt;14,"ERRO: "&amp;LEN(P854)&amp;" dígitos",IF(NOT(ISNUMBER(VALUE(P854))),"ERRO: não numérico",IF(LEN(SUBSTITUTE(P854,LEFT(P854,1),""))=0,"ERRO: dígitos repetidos",IF(AND(VALUE(MID(P854,13,1))=IF(MOD(SUMPRODUCT(--MID(P854,{1,2,3,4,5,6,7,8,9,10,11,12},1),{5,4,3,2,9,8,7,6,5,4,3,2}),11)&lt;2,0,11-MOD(SUMPRODUCT(--MID(P854,{1,2,3,4,5,6,7,8,9,10,11,12},1),{5,4,3,2,9,8,7,6,5,4,3,2}),11)),VALUE(MID(P854,14,1))=IF(MOD(SUMPRODUCT(--MID(P854,{1,2,3,4,5,6,7,8,9,10,11,12,13},1),{6,5,4,3,2,9,8,7,6,5,4,3,2}),11)&lt;2,0,11-MOD(SUMPRODUCT(--MID(P854,{1,2,3,4,5,6,7,8,9,10,11,12,13},1),{6,5,4,3,2,9,8,7,6,5,4,3,2}),11))),"OK","ERRO: dígito verificador")))))</f>
      </c>
      <c r="R854" s="6">
        <f>IF(P854="","",IF(COUNTIF($P$2:$P$1001,P854)&gt;1,"DUPLICADO","OK"))</f>
      </c>
      <c r="S854" s="6">
        <f>IF(AND(J854="",K854=""),"vazio",IF(AND(OR(J854="",LEN(SUBSTITUTE(SUBSTITUTE(SUBSTITUTE(SUBSTITUTE(SUBSTITUTE(SUBSTITUTE(SUBSTITUTE(TRIM(J854),".",""),"/",""),"-","")," ",""),"(",""),")",""),"+",""))=10,LEN(SUBSTITUTE(SUBSTITUTE(SUBSTITUTE(SUBSTITUTE(SUBSTITUTE(SUBSTITUTE(SUBSTITUTE(TRIM(J854),".",""),"/",""),"-","")," ",""),"(",""),")",""),"+",""))=11),OR(K854="",LEN(SUBSTITUTE(SUBSTITUTE(SUBSTITUTE(SUBSTITUTE(SUBSTITUTE(SUBSTITUTE(SUBSTITUTE(TRIM(K854),".",""),"/",""),"-","")," ",""),"(",""),")",""),"+",""))=10,LEN(SUBSTITUTE(SUBSTITUTE(SUBSTITUTE(SUBSTITUTE(SUBSTITUTE(SUBSTITUTE(SUBSTITUTE(TRIM(K854),".",""),"/",""),"-","")," ",""),"(",""),")",""),"+",""))=11)),"OK","ERRO: use DDD + número (10 ou 11 dígitos)"))</f>
      </c>
      <c r="T854" s="6">
        <f>IF(L854="","vazio",IF(AND(ISNUMBER(FIND("@",L854)),ISNUMBER(FIND(".",MID(L854,FIND("@",L854),99))),NOT(ISNUMBER(FIND(" ",TRIM(L854)))),NOT(ISNUMBER(FIND(";",L854))),NOT(ISNUMBER(FIND(",",L854)))),"OK","ERRO: um e-mail válido por linha"))</f>
      </c>
      <c r="U854" s="6">
        <f>IF(COUNTA(A854:O854)=0,"",IF(AND(B854&lt;&gt;"",C854&lt;&gt;"",D854&lt;&gt;"",E854&lt;&gt;"",H854&lt;&gt;"",OR(J854&lt;&gt;"",L854&lt;&gt;"")),"OK","ERRO: faltam "&amp;IF(B854="","Proprietário; ","")&amp;IF(C854="","Origem; ","")&amp;IF(D854="","CNPJ; ","")&amp;IF(E854="","Razão Social; ","")&amp;IF(H854="","Sobrenome; ","")&amp;IF(AND(J854="",L854=""),"telefone ou e-mail; ","")))</f>
      </c>
      <c r="V854" s="6">
        <f>IF(COUNTA(A854:O854)=0,"",IF(AND(Q854="OK",R854="OK",LEFT(S854,4)&lt;&gt;"ERRO",LEFT(T854,4)&lt;&gt;"ERRO",U854="OK"),"OK","REVISAR"))</f>
      </c>
    </row>
    <row r="855">
      <c r="A855" s="4"/>
      <c r="B855" s="5"/>
      <c r="C855" s="5"/>
      <c r="D855" s="5"/>
      <c r="E855" s="5"/>
      <c r="F855" s="4"/>
      <c r="G855" s="4"/>
      <c r="H855" s="5"/>
      <c r="I855" s="4"/>
      <c r="J855" s="4"/>
      <c r="K855" s="4"/>
      <c r="L855" s="4"/>
      <c r="M855" s="4"/>
      <c r="N855" s="4"/>
      <c r="O855" s="4"/>
      <c r="P855" s="6">
        <f>IF(D855="","",SUBSTITUTE(SUBSTITUTE(SUBSTITUTE(SUBSTITUTE(SUBSTITUTE(SUBSTITUTE(SUBSTITUTE(TRIM(D855),".",""),"/",""),"-","")," ",""),"(",""),")",""),"+",""))</f>
      </c>
      <c r="Q855" s="6">
        <f>IF(P855="","",IF(LEN(P855)&lt;&gt;14,"ERRO: "&amp;LEN(P855)&amp;" dígitos",IF(NOT(ISNUMBER(VALUE(P855))),"ERRO: não numérico",IF(LEN(SUBSTITUTE(P855,LEFT(P855,1),""))=0,"ERRO: dígitos repetidos",IF(AND(VALUE(MID(P855,13,1))=IF(MOD(SUMPRODUCT(--MID(P855,{1,2,3,4,5,6,7,8,9,10,11,12},1),{5,4,3,2,9,8,7,6,5,4,3,2}),11)&lt;2,0,11-MOD(SUMPRODUCT(--MID(P855,{1,2,3,4,5,6,7,8,9,10,11,12},1),{5,4,3,2,9,8,7,6,5,4,3,2}),11)),VALUE(MID(P855,14,1))=IF(MOD(SUMPRODUCT(--MID(P855,{1,2,3,4,5,6,7,8,9,10,11,12,13},1),{6,5,4,3,2,9,8,7,6,5,4,3,2}),11)&lt;2,0,11-MOD(SUMPRODUCT(--MID(P855,{1,2,3,4,5,6,7,8,9,10,11,12,13},1),{6,5,4,3,2,9,8,7,6,5,4,3,2}),11))),"OK","ERRO: dígito verificador")))))</f>
      </c>
      <c r="R855" s="6">
        <f>IF(P855="","",IF(COUNTIF($P$2:$P$1001,P855)&gt;1,"DUPLICADO","OK"))</f>
      </c>
      <c r="S855" s="6">
        <f>IF(AND(J855="",K855=""),"vazio",IF(AND(OR(J855="",LEN(SUBSTITUTE(SUBSTITUTE(SUBSTITUTE(SUBSTITUTE(SUBSTITUTE(SUBSTITUTE(SUBSTITUTE(TRIM(J855),".",""),"/",""),"-","")," ",""),"(",""),")",""),"+",""))=10,LEN(SUBSTITUTE(SUBSTITUTE(SUBSTITUTE(SUBSTITUTE(SUBSTITUTE(SUBSTITUTE(SUBSTITUTE(TRIM(J855),".",""),"/",""),"-","")," ",""),"(",""),")",""),"+",""))=11),OR(K855="",LEN(SUBSTITUTE(SUBSTITUTE(SUBSTITUTE(SUBSTITUTE(SUBSTITUTE(SUBSTITUTE(SUBSTITUTE(TRIM(K855),".",""),"/",""),"-","")," ",""),"(",""),")",""),"+",""))=10,LEN(SUBSTITUTE(SUBSTITUTE(SUBSTITUTE(SUBSTITUTE(SUBSTITUTE(SUBSTITUTE(SUBSTITUTE(TRIM(K855),".",""),"/",""),"-","")," ",""),"(",""),")",""),"+",""))=11)),"OK","ERRO: use DDD + número (10 ou 11 dígitos)"))</f>
      </c>
      <c r="T855" s="6">
        <f>IF(L855="","vazio",IF(AND(ISNUMBER(FIND("@",L855)),ISNUMBER(FIND(".",MID(L855,FIND("@",L855),99))),NOT(ISNUMBER(FIND(" ",TRIM(L855)))),NOT(ISNUMBER(FIND(";",L855))),NOT(ISNUMBER(FIND(",",L855)))),"OK","ERRO: um e-mail válido por linha"))</f>
      </c>
      <c r="U855" s="6">
        <f>IF(COUNTA(A855:O855)=0,"",IF(AND(B855&lt;&gt;"",C855&lt;&gt;"",D855&lt;&gt;"",E855&lt;&gt;"",H855&lt;&gt;"",OR(J855&lt;&gt;"",L855&lt;&gt;"")),"OK","ERRO: faltam "&amp;IF(B855="","Proprietário; ","")&amp;IF(C855="","Origem; ","")&amp;IF(D855="","CNPJ; ","")&amp;IF(E855="","Razão Social; ","")&amp;IF(H855="","Sobrenome; ","")&amp;IF(AND(J855="",L855=""),"telefone ou e-mail; ","")))</f>
      </c>
      <c r="V855" s="6">
        <f>IF(COUNTA(A855:O855)=0,"",IF(AND(Q855="OK",R855="OK",LEFT(S855,4)&lt;&gt;"ERRO",LEFT(T855,4)&lt;&gt;"ERRO",U855="OK"),"OK","REVISAR"))</f>
      </c>
    </row>
    <row r="856">
      <c r="A856" s="4"/>
      <c r="B856" s="5"/>
      <c r="C856" s="5"/>
      <c r="D856" s="5"/>
      <c r="E856" s="5"/>
      <c r="F856" s="4"/>
      <c r="G856" s="4"/>
      <c r="H856" s="5"/>
      <c r="I856" s="4"/>
      <c r="J856" s="4"/>
      <c r="K856" s="4"/>
      <c r="L856" s="4"/>
      <c r="M856" s="4"/>
      <c r="N856" s="4"/>
      <c r="O856" s="4"/>
      <c r="P856" s="6">
        <f>IF(D856="","",SUBSTITUTE(SUBSTITUTE(SUBSTITUTE(SUBSTITUTE(SUBSTITUTE(SUBSTITUTE(SUBSTITUTE(TRIM(D856),".",""),"/",""),"-","")," ",""),"(",""),")",""),"+",""))</f>
      </c>
      <c r="Q856" s="6">
        <f>IF(P856="","",IF(LEN(P856)&lt;&gt;14,"ERRO: "&amp;LEN(P856)&amp;" dígitos",IF(NOT(ISNUMBER(VALUE(P856))),"ERRO: não numérico",IF(LEN(SUBSTITUTE(P856,LEFT(P856,1),""))=0,"ERRO: dígitos repetidos",IF(AND(VALUE(MID(P856,13,1))=IF(MOD(SUMPRODUCT(--MID(P856,{1,2,3,4,5,6,7,8,9,10,11,12},1),{5,4,3,2,9,8,7,6,5,4,3,2}),11)&lt;2,0,11-MOD(SUMPRODUCT(--MID(P856,{1,2,3,4,5,6,7,8,9,10,11,12},1),{5,4,3,2,9,8,7,6,5,4,3,2}),11)),VALUE(MID(P856,14,1))=IF(MOD(SUMPRODUCT(--MID(P856,{1,2,3,4,5,6,7,8,9,10,11,12,13},1),{6,5,4,3,2,9,8,7,6,5,4,3,2}),11)&lt;2,0,11-MOD(SUMPRODUCT(--MID(P856,{1,2,3,4,5,6,7,8,9,10,11,12,13},1),{6,5,4,3,2,9,8,7,6,5,4,3,2}),11))),"OK","ERRO: dígito verificador")))))</f>
      </c>
      <c r="R856" s="6">
        <f>IF(P856="","",IF(COUNTIF($P$2:$P$1001,P856)&gt;1,"DUPLICADO","OK"))</f>
      </c>
      <c r="S856" s="6">
        <f>IF(AND(J856="",K856=""),"vazio",IF(AND(OR(J856="",LEN(SUBSTITUTE(SUBSTITUTE(SUBSTITUTE(SUBSTITUTE(SUBSTITUTE(SUBSTITUTE(SUBSTITUTE(TRIM(J856),".",""),"/",""),"-","")," ",""),"(",""),")",""),"+",""))=10,LEN(SUBSTITUTE(SUBSTITUTE(SUBSTITUTE(SUBSTITUTE(SUBSTITUTE(SUBSTITUTE(SUBSTITUTE(TRIM(J856),".",""),"/",""),"-","")," ",""),"(",""),")",""),"+",""))=11),OR(K856="",LEN(SUBSTITUTE(SUBSTITUTE(SUBSTITUTE(SUBSTITUTE(SUBSTITUTE(SUBSTITUTE(SUBSTITUTE(TRIM(K856),".",""),"/",""),"-","")," ",""),"(",""),")",""),"+",""))=10,LEN(SUBSTITUTE(SUBSTITUTE(SUBSTITUTE(SUBSTITUTE(SUBSTITUTE(SUBSTITUTE(SUBSTITUTE(TRIM(K856),".",""),"/",""),"-","")," ",""),"(",""),")",""),"+",""))=11)),"OK","ERRO: use DDD + número (10 ou 11 dígitos)"))</f>
      </c>
      <c r="T856" s="6">
        <f>IF(L856="","vazio",IF(AND(ISNUMBER(FIND("@",L856)),ISNUMBER(FIND(".",MID(L856,FIND("@",L856),99))),NOT(ISNUMBER(FIND(" ",TRIM(L856)))),NOT(ISNUMBER(FIND(";",L856))),NOT(ISNUMBER(FIND(",",L856)))),"OK","ERRO: um e-mail válido por linha"))</f>
      </c>
      <c r="U856" s="6">
        <f>IF(COUNTA(A856:O856)=0,"",IF(AND(B856&lt;&gt;"",C856&lt;&gt;"",D856&lt;&gt;"",E856&lt;&gt;"",H856&lt;&gt;"",OR(J856&lt;&gt;"",L856&lt;&gt;"")),"OK","ERRO: faltam "&amp;IF(B856="","Proprietário; ","")&amp;IF(C856="","Origem; ","")&amp;IF(D856="","CNPJ; ","")&amp;IF(E856="","Razão Social; ","")&amp;IF(H856="","Sobrenome; ","")&amp;IF(AND(J856="",L856=""),"telefone ou e-mail; ","")))</f>
      </c>
      <c r="V856" s="6">
        <f>IF(COUNTA(A856:O856)=0,"",IF(AND(Q856="OK",R856="OK",LEFT(S856,4)&lt;&gt;"ERRO",LEFT(T856,4)&lt;&gt;"ERRO",U856="OK"),"OK","REVISAR"))</f>
      </c>
    </row>
    <row r="857">
      <c r="A857" s="4"/>
      <c r="B857" s="5"/>
      <c r="C857" s="5"/>
      <c r="D857" s="5"/>
      <c r="E857" s="5"/>
      <c r="F857" s="4"/>
      <c r="G857" s="4"/>
      <c r="H857" s="5"/>
      <c r="I857" s="4"/>
      <c r="J857" s="4"/>
      <c r="K857" s="4"/>
      <c r="L857" s="4"/>
      <c r="M857" s="4"/>
      <c r="N857" s="4"/>
      <c r="O857" s="4"/>
      <c r="P857" s="6">
        <f>IF(D857="","",SUBSTITUTE(SUBSTITUTE(SUBSTITUTE(SUBSTITUTE(SUBSTITUTE(SUBSTITUTE(SUBSTITUTE(TRIM(D857),".",""),"/",""),"-","")," ",""),"(",""),")",""),"+",""))</f>
      </c>
      <c r="Q857" s="6">
        <f>IF(P857="","",IF(LEN(P857)&lt;&gt;14,"ERRO: "&amp;LEN(P857)&amp;" dígitos",IF(NOT(ISNUMBER(VALUE(P857))),"ERRO: não numérico",IF(LEN(SUBSTITUTE(P857,LEFT(P857,1),""))=0,"ERRO: dígitos repetidos",IF(AND(VALUE(MID(P857,13,1))=IF(MOD(SUMPRODUCT(--MID(P857,{1,2,3,4,5,6,7,8,9,10,11,12},1),{5,4,3,2,9,8,7,6,5,4,3,2}),11)&lt;2,0,11-MOD(SUMPRODUCT(--MID(P857,{1,2,3,4,5,6,7,8,9,10,11,12},1),{5,4,3,2,9,8,7,6,5,4,3,2}),11)),VALUE(MID(P857,14,1))=IF(MOD(SUMPRODUCT(--MID(P857,{1,2,3,4,5,6,7,8,9,10,11,12,13},1),{6,5,4,3,2,9,8,7,6,5,4,3,2}),11)&lt;2,0,11-MOD(SUMPRODUCT(--MID(P857,{1,2,3,4,5,6,7,8,9,10,11,12,13},1),{6,5,4,3,2,9,8,7,6,5,4,3,2}),11))),"OK","ERRO: dígito verificador")))))</f>
      </c>
      <c r="R857" s="6">
        <f>IF(P857="","",IF(COUNTIF($P$2:$P$1001,P857)&gt;1,"DUPLICADO","OK"))</f>
      </c>
      <c r="S857" s="6">
        <f>IF(AND(J857="",K857=""),"vazio",IF(AND(OR(J857="",LEN(SUBSTITUTE(SUBSTITUTE(SUBSTITUTE(SUBSTITUTE(SUBSTITUTE(SUBSTITUTE(SUBSTITUTE(TRIM(J857),".",""),"/",""),"-","")," ",""),"(",""),")",""),"+",""))=10,LEN(SUBSTITUTE(SUBSTITUTE(SUBSTITUTE(SUBSTITUTE(SUBSTITUTE(SUBSTITUTE(SUBSTITUTE(TRIM(J857),".",""),"/",""),"-","")," ",""),"(",""),")",""),"+",""))=11),OR(K857="",LEN(SUBSTITUTE(SUBSTITUTE(SUBSTITUTE(SUBSTITUTE(SUBSTITUTE(SUBSTITUTE(SUBSTITUTE(TRIM(K857),".",""),"/",""),"-","")," ",""),"(",""),")",""),"+",""))=10,LEN(SUBSTITUTE(SUBSTITUTE(SUBSTITUTE(SUBSTITUTE(SUBSTITUTE(SUBSTITUTE(SUBSTITUTE(TRIM(K857),".",""),"/",""),"-","")," ",""),"(",""),")",""),"+",""))=11)),"OK","ERRO: use DDD + número (10 ou 11 dígitos)"))</f>
      </c>
      <c r="T857" s="6">
        <f>IF(L857="","vazio",IF(AND(ISNUMBER(FIND("@",L857)),ISNUMBER(FIND(".",MID(L857,FIND("@",L857),99))),NOT(ISNUMBER(FIND(" ",TRIM(L857)))),NOT(ISNUMBER(FIND(";",L857))),NOT(ISNUMBER(FIND(",",L857)))),"OK","ERRO: um e-mail válido por linha"))</f>
      </c>
      <c r="U857" s="6">
        <f>IF(COUNTA(A857:O857)=0,"",IF(AND(B857&lt;&gt;"",C857&lt;&gt;"",D857&lt;&gt;"",E857&lt;&gt;"",H857&lt;&gt;"",OR(J857&lt;&gt;"",L857&lt;&gt;"")),"OK","ERRO: faltam "&amp;IF(B857="","Proprietário; ","")&amp;IF(C857="","Origem; ","")&amp;IF(D857="","CNPJ; ","")&amp;IF(E857="","Razão Social; ","")&amp;IF(H857="","Sobrenome; ","")&amp;IF(AND(J857="",L857=""),"telefone ou e-mail; ","")))</f>
      </c>
      <c r="V857" s="6">
        <f>IF(COUNTA(A857:O857)=0,"",IF(AND(Q857="OK",R857="OK",LEFT(S857,4)&lt;&gt;"ERRO",LEFT(T857,4)&lt;&gt;"ERRO",U857="OK"),"OK","REVISAR"))</f>
      </c>
    </row>
    <row r="858">
      <c r="A858" s="4"/>
      <c r="B858" s="5"/>
      <c r="C858" s="5"/>
      <c r="D858" s="5"/>
      <c r="E858" s="5"/>
      <c r="F858" s="4"/>
      <c r="G858" s="4"/>
      <c r="H858" s="5"/>
      <c r="I858" s="4"/>
      <c r="J858" s="4"/>
      <c r="K858" s="4"/>
      <c r="L858" s="4"/>
      <c r="M858" s="4"/>
      <c r="N858" s="4"/>
      <c r="O858" s="4"/>
      <c r="P858" s="6">
        <f>IF(D858="","",SUBSTITUTE(SUBSTITUTE(SUBSTITUTE(SUBSTITUTE(SUBSTITUTE(SUBSTITUTE(SUBSTITUTE(TRIM(D858),".",""),"/",""),"-","")," ",""),"(",""),")",""),"+",""))</f>
      </c>
      <c r="Q858" s="6">
        <f>IF(P858="","",IF(LEN(P858)&lt;&gt;14,"ERRO: "&amp;LEN(P858)&amp;" dígitos",IF(NOT(ISNUMBER(VALUE(P858))),"ERRO: não numérico",IF(LEN(SUBSTITUTE(P858,LEFT(P858,1),""))=0,"ERRO: dígitos repetidos",IF(AND(VALUE(MID(P858,13,1))=IF(MOD(SUMPRODUCT(--MID(P858,{1,2,3,4,5,6,7,8,9,10,11,12},1),{5,4,3,2,9,8,7,6,5,4,3,2}),11)&lt;2,0,11-MOD(SUMPRODUCT(--MID(P858,{1,2,3,4,5,6,7,8,9,10,11,12},1),{5,4,3,2,9,8,7,6,5,4,3,2}),11)),VALUE(MID(P858,14,1))=IF(MOD(SUMPRODUCT(--MID(P858,{1,2,3,4,5,6,7,8,9,10,11,12,13},1),{6,5,4,3,2,9,8,7,6,5,4,3,2}),11)&lt;2,0,11-MOD(SUMPRODUCT(--MID(P858,{1,2,3,4,5,6,7,8,9,10,11,12,13},1),{6,5,4,3,2,9,8,7,6,5,4,3,2}),11))),"OK","ERRO: dígito verificador")))))</f>
      </c>
      <c r="R858" s="6">
        <f>IF(P858="","",IF(COUNTIF($P$2:$P$1001,P858)&gt;1,"DUPLICADO","OK"))</f>
      </c>
      <c r="S858" s="6">
        <f>IF(AND(J858="",K858=""),"vazio",IF(AND(OR(J858="",LEN(SUBSTITUTE(SUBSTITUTE(SUBSTITUTE(SUBSTITUTE(SUBSTITUTE(SUBSTITUTE(SUBSTITUTE(TRIM(J858),".",""),"/",""),"-","")," ",""),"(",""),")",""),"+",""))=10,LEN(SUBSTITUTE(SUBSTITUTE(SUBSTITUTE(SUBSTITUTE(SUBSTITUTE(SUBSTITUTE(SUBSTITUTE(TRIM(J858),".",""),"/",""),"-","")," ",""),"(",""),")",""),"+",""))=11),OR(K858="",LEN(SUBSTITUTE(SUBSTITUTE(SUBSTITUTE(SUBSTITUTE(SUBSTITUTE(SUBSTITUTE(SUBSTITUTE(TRIM(K858),".",""),"/",""),"-","")," ",""),"(",""),")",""),"+",""))=10,LEN(SUBSTITUTE(SUBSTITUTE(SUBSTITUTE(SUBSTITUTE(SUBSTITUTE(SUBSTITUTE(SUBSTITUTE(TRIM(K858),".",""),"/",""),"-","")," ",""),"(",""),")",""),"+",""))=11)),"OK","ERRO: use DDD + número (10 ou 11 dígitos)"))</f>
      </c>
      <c r="T858" s="6">
        <f>IF(L858="","vazio",IF(AND(ISNUMBER(FIND("@",L858)),ISNUMBER(FIND(".",MID(L858,FIND("@",L858),99))),NOT(ISNUMBER(FIND(" ",TRIM(L858)))),NOT(ISNUMBER(FIND(";",L858))),NOT(ISNUMBER(FIND(",",L858)))),"OK","ERRO: um e-mail válido por linha"))</f>
      </c>
      <c r="U858" s="6">
        <f>IF(COUNTA(A858:O858)=0,"",IF(AND(B858&lt;&gt;"",C858&lt;&gt;"",D858&lt;&gt;"",E858&lt;&gt;"",H858&lt;&gt;"",OR(J858&lt;&gt;"",L858&lt;&gt;"")),"OK","ERRO: faltam "&amp;IF(B858="","Proprietário; ","")&amp;IF(C858="","Origem; ","")&amp;IF(D858="","CNPJ; ","")&amp;IF(E858="","Razão Social; ","")&amp;IF(H858="","Sobrenome; ","")&amp;IF(AND(J858="",L858=""),"telefone ou e-mail; ","")))</f>
      </c>
      <c r="V858" s="6">
        <f>IF(COUNTA(A858:O858)=0,"",IF(AND(Q858="OK",R858="OK",LEFT(S858,4)&lt;&gt;"ERRO",LEFT(T858,4)&lt;&gt;"ERRO",U858="OK"),"OK","REVISAR"))</f>
      </c>
    </row>
    <row r="859">
      <c r="A859" s="4"/>
      <c r="B859" s="5"/>
      <c r="C859" s="5"/>
      <c r="D859" s="5"/>
      <c r="E859" s="5"/>
      <c r="F859" s="4"/>
      <c r="G859" s="4"/>
      <c r="H859" s="5"/>
      <c r="I859" s="4"/>
      <c r="J859" s="4"/>
      <c r="K859" s="4"/>
      <c r="L859" s="4"/>
      <c r="M859" s="4"/>
      <c r="N859" s="4"/>
      <c r="O859" s="4"/>
      <c r="P859" s="6">
        <f>IF(D859="","",SUBSTITUTE(SUBSTITUTE(SUBSTITUTE(SUBSTITUTE(SUBSTITUTE(SUBSTITUTE(SUBSTITUTE(TRIM(D859),".",""),"/",""),"-","")," ",""),"(",""),")",""),"+",""))</f>
      </c>
      <c r="Q859" s="6">
        <f>IF(P859="","",IF(LEN(P859)&lt;&gt;14,"ERRO: "&amp;LEN(P859)&amp;" dígitos",IF(NOT(ISNUMBER(VALUE(P859))),"ERRO: não numérico",IF(LEN(SUBSTITUTE(P859,LEFT(P859,1),""))=0,"ERRO: dígitos repetidos",IF(AND(VALUE(MID(P859,13,1))=IF(MOD(SUMPRODUCT(--MID(P859,{1,2,3,4,5,6,7,8,9,10,11,12},1),{5,4,3,2,9,8,7,6,5,4,3,2}),11)&lt;2,0,11-MOD(SUMPRODUCT(--MID(P859,{1,2,3,4,5,6,7,8,9,10,11,12},1),{5,4,3,2,9,8,7,6,5,4,3,2}),11)),VALUE(MID(P859,14,1))=IF(MOD(SUMPRODUCT(--MID(P859,{1,2,3,4,5,6,7,8,9,10,11,12,13},1),{6,5,4,3,2,9,8,7,6,5,4,3,2}),11)&lt;2,0,11-MOD(SUMPRODUCT(--MID(P859,{1,2,3,4,5,6,7,8,9,10,11,12,13},1),{6,5,4,3,2,9,8,7,6,5,4,3,2}),11))),"OK","ERRO: dígito verificador")))))</f>
      </c>
      <c r="R859" s="6">
        <f>IF(P859="","",IF(COUNTIF($P$2:$P$1001,P859)&gt;1,"DUPLICADO","OK"))</f>
      </c>
      <c r="S859" s="6">
        <f>IF(AND(J859="",K859=""),"vazio",IF(AND(OR(J859="",LEN(SUBSTITUTE(SUBSTITUTE(SUBSTITUTE(SUBSTITUTE(SUBSTITUTE(SUBSTITUTE(SUBSTITUTE(TRIM(J859),".",""),"/",""),"-","")," ",""),"(",""),")",""),"+",""))=10,LEN(SUBSTITUTE(SUBSTITUTE(SUBSTITUTE(SUBSTITUTE(SUBSTITUTE(SUBSTITUTE(SUBSTITUTE(TRIM(J859),".",""),"/",""),"-","")," ",""),"(",""),")",""),"+",""))=11),OR(K859="",LEN(SUBSTITUTE(SUBSTITUTE(SUBSTITUTE(SUBSTITUTE(SUBSTITUTE(SUBSTITUTE(SUBSTITUTE(TRIM(K859),".",""),"/",""),"-","")," ",""),"(",""),")",""),"+",""))=10,LEN(SUBSTITUTE(SUBSTITUTE(SUBSTITUTE(SUBSTITUTE(SUBSTITUTE(SUBSTITUTE(SUBSTITUTE(TRIM(K859),".",""),"/",""),"-","")," ",""),"(",""),")",""),"+",""))=11)),"OK","ERRO: use DDD + número (10 ou 11 dígitos)"))</f>
      </c>
      <c r="T859" s="6">
        <f>IF(L859="","vazio",IF(AND(ISNUMBER(FIND("@",L859)),ISNUMBER(FIND(".",MID(L859,FIND("@",L859),99))),NOT(ISNUMBER(FIND(" ",TRIM(L859)))),NOT(ISNUMBER(FIND(";",L859))),NOT(ISNUMBER(FIND(",",L859)))),"OK","ERRO: um e-mail válido por linha"))</f>
      </c>
      <c r="U859" s="6">
        <f>IF(COUNTA(A859:O859)=0,"",IF(AND(B859&lt;&gt;"",C859&lt;&gt;"",D859&lt;&gt;"",E859&lt;&gt;"",H859&lt;&gt;"",OR(J859&lt;&gt;"",L859&lt;&gt;"")),"OK","ERRO: faltam "&amp;IF(B859="","Proprietário; ","")&amp;IF(C859="","Origem; ","")&amp;IF(D859="","CNPJ; ","")&amp;IF(E859="","Razão Social; ","")&amp;IF(H859="","Sobrenome; ","")&amp;IF(AND(J859="",L859=""),"telefone ou e-mail; ","")))</f>
      </c>
      <c r="V859" s="6">
        <f>IF(COUNTA(A859:O859)=0,"",IF(AND(Q859="OK",R859="OK",LEFT(S859,4)&lt;&gt;"ERRO",LEFT(T859,4)&lt;&gt;"ERRO",U859="OK"),"OK","REVISAR"))</f>
      </c>
    </row>
    <row r="860">
      <c r="A860" s="4"/>
      <c r="B860" s="5"/>
      <c r="C860" s="5"/>
      <c r="D860" s="5"/>
      <c r="E860" s="5"/>
      <c r="F860" s="4"/>
      <c r="G860" s="4"/>
      <c r="H860" s="5"/>
      <c r="I860" s="4"/>
      <c r="J860" s="4"/>
      <c r="K860" s="4"/>
      <c r="L860" s="4"/>
      <c r="M860" s="4"/>
      <c r="N860" s="4"/>
      <c r="O860" s="4"/>
      <c r="P860" s="6">
        <f>IF(D860="","",SUBSTITUTE(SUBSTITUTE(SUBSTITUTE(SUBSTITUTE(SUBSTITUTE(SUBSTITUTE(SUBSTITUTE(TRIM(D860),".",""),"/",""),"-","")," ",""),"(",""),")",""),"+",""))</f>
      </c>
      <c r="Q860" s="6">
        <f>IF(P860="","",IF(LEN(P860)&lt;&gt;14,"ERRO: "&amp;LEN(P860)&amp;" dígitos",IF(NOT(ISNUMBER(VALUE(P860))),"ERRO: não numérico",IF(LEN(SUBSTITUTE(P860,LEFT(P860,1),""))=0,"ERRO: dígitos repetidos",IF(AND(VALUE(MID(P860,13,1))=IF(MOD(SUMPRODUCT(--MID(P860,{1,2,3,4,5,6,7,8,9,10,11,12},1),{5,4,3,2,9,8,7,6,5,4,3,2}),11)&lt;2,0,11-MOD(SUMPRODUCT(--MID(P860,{1,2,3,4,5,6,7,8,9,10,11,12},1),{5,4,3,2,9,8,7,6,5,4,3,2}),11)),VALUE(MID(P860,14,1))=IF(MOD(SUMPRODUCT(--MID(P860,{1,2,3,4,5,6,7,8,9,10,11,12,13},1),{6,5,4,3,2,9,8,7,6,5,4,3,2}),11)&lt;2,0,11-MOD(SUMPRODUCT(--MID(P860,{1,2,3,4,5,6,7,8,9,10,11,12,13},1),{6,5,4,3,2,9,8,7,6,5,4,3,2}),11))),"OK","ERRO: dígito verificador")))))</f>
      </c>
      <c r="R860" s="6">
        <f>IF(P860="","",IF(COUNTIF($P$2:$P$1001,P860)&gt;1,"DUPLICADO","OK"))</f>
      </c>
      <c r="S860" s="6">
        <f>IF(AND(J860="",K860=""),"vazio",IF(AND(OR(J860="",LEN(SUBSTITUTE(SUBSTITUTE(SUBSTITUTE(SUBSTITUTE(SUBSTITUTE(SUBSTITUTE(SUBSTITUTE(TRIM(J860),".",""),"/",""),"-","")," ",""),"(",""),")",""),"+",""))=10,LEN(SUBSTITUTE(SUBSTITUTE(SUBSTITUTE(SUBSTITUTE(SUBSTITUTE(SUBSTITUTE(SUBSTITUTE(TRIM(J860),".",""),"/",""),"-","")," ",""),"(",""),")",""),"+",""))=11),OR(K860="",LEN(SUBSTITUTE(SUBSTITUTE(SUBSTITUTE(SUBSTITUTE(SUBSTITUTE(SUBSTITUTE(SUBSTITUTE(TRIM(K860),".",""),"/",""),"-","")," ",""),"(",""),")",""),"+",""))=10,LEN(SUBSTITUTE(SUBSTITUTE(SUBSTITUTE(SUBSTITUTE(SUBSTITUTE(SUBSTITUTE(SUBSTITUTE(TRIM(K860),".",""),"/",""),"-","")," ",""),"(",""),")",""),"+",""))=11)),"OK","ERRO: use DDD + número (10 ou 11 dígitos)"))</f>
      </c>
      <c r="T860" s="6">
        <f>IF(L860="","vazio",IF(AND(ISNUMBER(FIND("@",L860)),ISNUMBER(FIND(".",MID(L860,FIND("@",L860),99))),NOT(ISNUMBER(FIND(" ",TRIM(L860)))),NOT(ISNUMBER(FIND(";",L860))),NOT(ISNUMBER(FIND(",",L860)))),"OK","ERRO: um e-mail válido por linha"))</f>
      </c>
      <c r="U860" s="6">
        <f>IF(COUNTA(A860:O860)=0,"",IF(AND(B860&lt;&gt;"",C860&lt;&gt;"",D860&lt;&gt;"",E860&lt;&gt;"",H860&lt;&gt;"",OR(J860&lt;&gt;"",L860&lt;&gt;"")),"OK","ERRO: faltam "&amp;IF(B860="","Proprietário; ","")&amp;IF(C860="","Origem; ","")&amp;IF(D860="","CNPJ; ","")&amp;IF(E860="","Razão Social; ","")&amp;IF(H860="","Sobrenome; ","")&amp;IF(AND(J860="",L860=""),"telefone ou e-mail; ","")))</f>
      </c>
      <c r="V860" s="6">
        <f>IF(COUNTA(A860:O860)=0,"",IF(AND(Q860="OK",R860="OK",LEFT(S860,4)&lt;&gt;"ERRO",LEFT(T860,4)&lt;&gt;"ERRO",U860="OK"),"OK","REVISAR"))</f>
      </c>
    </row>
    <row r="861">
      <c r="A861" s="4"/>
      <c r="B861" s="5"/>
      <c r="C861" s="5"/>
      <c r="D861" s="5"/>
      <c r="E861" s="5"/>
      <c r="F861" s="4"/>
      <c r="G861" s="4"/>
      <c r="H861" s="5"/>
      <c r="I861" s="4"/>
      <c r="J861" s="4"/>
      <c r="K861" s="4"/>
      <c r="L861" s="4"/>
      <c r="M861" s="4"/>
      <c r="N861" s="4"/>
      <c r="O861" s="4"/>
      <c r="P861" s="6">
        <f>IF(D861="","",SUBSTITUTE(SUBSTITUTE(SUBSTITUTE(SUBSTITUTE(SUBSTITUTE(SUBSTITUTE(SUBSTITUTE(TRIM(D861),".",""),"/",""),"-","")," ",""),"(",""),")",""),"+",""))</f>
      </c>
      <c r="Q861" s="6">
        <f>IF(P861="","",IF(LEN(P861)&lt;&gt;14,"ERRO: "&amp;LEN(P861)&amp;" dígitos",IF(NOT(ISNUMBER(VALUE(P861))),"ERRO: não numérico",IF(LEN(SUBSTITUTE(P861,LEFT(P861,1),""))=0,"ERRO: dígitos repetidos",IF(AND(VALUE(MID(P861,13,1))=IF(MOD(SUMPRODUCT(--MID(P861,{1,2,3,4,5,6,7,8,9,10,11,12},1),{5,4,3,2,9,8,7,6,5,4,3,2}),11)&lt;2,0,11-MOD(SUMPRODUCT(--MID(P861,{1,2,3,4,5,6,7,8,9,10,11,12},1),{5,4,3,2,9,8,7,6,5,4,3,2}),11)),VALUE(MID(P861,14,1))=IF(MOD(SUMPRODUCT(--MID(P861,{1,2,3,4,5,6,7,8,9,10,11,12,13},1),{6,5,4,3,2,9,8,7,6,5,4,3,2}),11)&lt;2,0,11-MOD(SUMPRODUCT(--MID(P861,{1,2,3,4,5,6,7,8,9,10,11,12,13},1),{6,5,4,3,2,9,8,7,6,5,4,3,2}),11))),"OK","ERRO: dígito verificador")))))</f>
      </c>
      <c r="R861" s="6">
        <f>IF(P861="","",IF(COUNTIF($P$2:$P$1001,P861)&gt;1,"DUPLICADO","OK"))</f>
      </c>
      <c r="S861" s="6">
        <f>IF(AND(J861="",K861=""),"vazio",IF(AND(OR(J861="",LEN(SUBSTITUTE(SUBSTITUTE(SUBSTITUTE(SUBSTITUTE(SUBSTITUTE(SUBSTITUTE(SUBSTITUTE(TRIM(J861),".",""),"/",""),"-","")," ",""),"(",""),")",""),"+",""))=10,LEN(SUBSTITUTE(SUBSTITUTE(SUBSTITUTE(SUBSTITUTE(SUBSTITUTE(SUBSTITUTE(SUBSTITUTE(TRIM(J861),".",""),"/",""),"-","")," ",""),"(",""),")",""),"+",""))=11),OR(K861="",LEN(SUBSTITUTE(SUBSTITUTE(SUBSTITUTE(SUBSTITUTE(SUBSTITUTE(SUBSTITUTE(SUBSTITUTE(TRIM(K861),".",""),"/",""),"-","")," ",""),"(",""),")",""),"+",""))=10,LEN(SUBSTITUTE(SUBSTITUTE(SUBSTITUTE(SUBSTITUTE(SUBSTITUTE(SUBSTITUTE(SUBSTITUTE(TRIM(K861),".",""),"/",""),"-","")," ",""),"(",""),")",""),"+",""))=11)),"OK","ERRO: use DDD + número (10 ou 11 dígitos)"))</f>
      </c>
      <c r="T861" s="6">
        <f>IF(L861="","vazio",IF(AND(ISNUMBER(FIND("@",L861)),ISNUMBER(FIND(".",MID(L861,FIND("@",L861),99))),NOT(ISNUMBER(FIND(" ",TRIM(L861)))),NOT(ISNUMBER(FIND(";",L861))),NOT(ISNUMBER(FIND(",",L861)))),"OK","ERRO: um e-mail válido por linha"))</f>
      </c>
      <c r="U861" s="6">
        <f>IF(COUNTA(A861:O861)=0,"",IF(AND(B861&lt;&gt;"",C861&lt;&gt;"",D861&lt;&gt;"",E861&lt;&gt;"",H861&lt;&gt;"",OR(J861&lt;&gt;"",L861&lt;&gt;"")),"OK","ERRO: faltam "&amp;IF(B861="","Proprietário; ","")&amp;IF(C861="","Origem; ","")&amp;IF(D861="","CNPJ; ","")&amp;IF(E861="","Razão Social; ","")&amp;IF(H861="","Sobrenome; ","")&amp;IF(AND(J861="",L861=""),"telefone ou e-mail; ","")))</f>
      </c>
      <c r="V861" s="6">
        <f>IF(COUNTA(A861:O861)=0,"",IF(AND(Q861="OK",R861="OK",LEFT(S861,4)&lt;&gt;"ERRO",LEFT(T861,4)&lt;&gt;"ERRO",U861="OK"),"OK","REVISAR"))</f>
      </c>
    </row>
    <row r="862">
      <c r="A862" s="4"/>
      <c r="B862" s="5"/>
      <c r="C862" s="5"/>
      <c r="D862" s="5"/>
      <c r="E862" s="5"/>
      <c r="F862" s="4"/>
      <c r="G862" s="4"/>
      <c r="H862" s="5"/>
      <c r="I862" s="4"/>
      <c r="J862" s="4"/>
      <c r="K862" s="4"/>
      <c r="L862" s="4"/>
      <c r="M862" s="4"/>
      <c r="N862" s="4"/>
      <c r="O862" s="4"/>
      <c r="P862" s="6">
        <f>IF(D862="","",SUBSTITUTE(SUBSTITUTE(SUBSTITUTE(SUBSTITUTE(SUBSTITUTE(SUBSTITUTE(SUBSTITUTE(TRIM(D862),".",""),"/",""),"-","")," ",""),"(",""),")",""),"+",""))</f>
      </c>
      <c r="Q862" s="6">
        <f>IF(P862="","",IF(LEN(P862)&lt;&gt;14,"ERRO: "&amp;LEN(P862)&amp;" dígitos",IF(NOT(ISNUMBER(VALUE(P862))),"ERRO: não numérico",IF(LEN(SUBSTITUTE(P862,LEFT(P862,1),""))=0,"ERRO: dígitos repetidos",IF(AND(VALUE(MID(P862,13,1))=IF(MOD(SUMPRODUCT(--MID(P862,{1,2,3,4,5,6,7,8,9,10,11,12},1),{5,4,3,2,9,8,7,6,5,4,3,2}),11)&lt;2,0,11-MOD(SUMPRODUCT(--MID(P862,{1,2,3,4,5,6,7,8,9,10,11,12},1),{5,4,3,2,9,8,7,6,5,4,3,2}),11)),VALUE(MID(P862,14,1))=IF(MOD(SUMPRODUCT(--MID(P862,{1,2,3,4,5,6,7,8,9,10,11,12,13},1),{6,5,4,3,2,9,8,7,6,5,4,3,2}),11)&lt;2,0,11-MOD(SUMPRODUCT(--MID(P862,{1,2,3,4,5,6,7,8,9,10,11,12,13},1),{6,5,4,3,2,9,8,7,6,5,4,3,2}),11))),"OK","ERRO: dígito verificador")))))</f>
      </c>
      <c r="R862" s="6">
        <f>IF(P862="","",IF(COUNTIF($P$2:$P$1001,P862)&gt;1,"DUPLICADO","OK"))</f>
      </c>
      <c r="S862" s="6">
        <f>IF(AND(J862="",K862=""),"vazio",IF(AND(OR(J862="",LEN(SUBSTITUTE(SUBSTITUTE(SUBSTITUTE(SUBSTITUTE(SUBSTITUTE(SUBSTITUTE(SUBSTITUTE(TRIM(J862),".",""),"/",""),"-","")," ",""),"(",""),")",""),"+",""))=10,LEN(SUBSTITUTE(SUBSTITUTE(SUBSTITUTE(SUBSTITUTE(SUBSTITUTE(SUBSTITUTE(SUBSTITUTE(TRIM(J862),".",""),"/",""),"-","")," ",""),"(",""),")",""),"+",""))=11),OR(K862="",LEN(SUBSTITUTE(SUBSTITUTE(SUBSTITUTE(SUBSTITUTE(SUBSTITUTE(SUBSTITUTE(SUBSTITUTE(TRIM(K862),".",""),"/",""),"-","")," ",""),"(",""),")",""),"+",""))=10,LEN(SUBSTITUTE(SUBSTITUTE(SUBSTITUTE(SUBSTITUTE(SUBSTITUTE(SUBSTITUTE(SUBSTITUTE(TRIM(K862),".",""),"/",""),"-","")," ",""),"(",""),")",""),"+",""))=11)),"OK","ERRO: use DDD + número (10 ou 11 dígitos)"))</f>
      </c>
      <c r="T862" s="6">
        <f>IF(L862="","vazio",IF(AND(ISNUMBER(FIND("@",L862)),ISNUMBER(FIND(".",MID(L862,FIND("@",L862),99))),NOT(ISNUMBER(FIND(" ",TRIM(L862)))),NOT(ISNUMBER(FIND(";",L862))),NOT(ISNUMBER(FIND(",",L862)))),"OK","ERRO: um e-mail válido por linha"))</f>
      </c>
      <c r="U862" s="6">
        <f>IF(COUNTA(A862:O862)=0,"",IF(AND(B862&lt;&gt;"",C862&lt;&gt;"",D862&lt;&gt;"",E862&lt;&gt;"",H862&lt;&gt;"",OR(J862&lt;&gt;"",L862&lt;&gt;"")),"OK","ERRO: faltam "&amp;IF(B862="","Proprietário; ","")&amp;IF(C862="","Origem; ","")&amp;IF(D862="","CNPJ; ","")&amp;IF(E862="","Razão Social; ","")&amp;IF(H862="","Sobrenome; ","")&amp;IF(AND(J862="",L862=""),"telefone ou e-mail; ","")))</f>
      </c>
      <c r="V862" s="6">
        <f>IF(COUNTA(A862:O862)=0,"",IF(AND(Q862="OK",R862="OK",LEFT(S862,4)&lt;&gt;"ERRO",LEFT(T862,4)&lt;&gt;"ERRO",U862="OK"),"OK","REVISAR"))</f>
      </c>
    </row>
    <row r="863">
      <c r="A863" s="4"/>
      <c r="B863" s="5"/>
      <c r="C863" s="5"/>
      <c r="D863" s="5"/>
      <c r="E863" s="5"/>
      <c r="F863" s="4"/>
      <c r="G863" s="4"/>
      <c r="H863" s="5"/>
      <c r="I863" s="4"/>
      <c r="J863" s="4"/>
      <c r="K863" s="4"/>
      <c r="L863" s="4"/>
      <c r="M863" s="4"/>
      <c r="N863" s="4"/>
      <c r="O863" s="4"/>
      <c r="P863" s="6">
        <f>IF(D863="","",SUBSTITUTE(SUBSTITUTE(SUBSTITUTE(SUBSTITUTE(SUBSTITUTE(SUBSTITUTE(SUBSTITUTE(TRIM(D863),".",""),"/",""),"-","")," ",""),"(",""),")",""),"+",""))</f>
      </c>
      <c r="Q863" s="6">
        <f>IF(P863="","",IF(LEN(P863)&lt;&gt;14,"ERRO: "&amp;LEN(P863)&amp;" dígitos",IF(NOT(ISNUMBER(VALUE(P863))),"ERRO: não numérico",IF(LEN(SUBSTITUTE(P863,LEFT(P863,1),""))=0,"ERRO: dígitos repetidos",IF(AND(VALUE(MID(P863,13,1))=IF(MOD(SUMPRODUCT(--MID(P863,{1,2,3,4,5,6,7,8,9,10,11,12},1),{5,4,3,2,9,8,7,6,5,4,3,2}),11)&lt;2,0,11-MOD(SUMPRODUCT(--MID(P863,{1,2,3,4,5,6,7,8,9,10,11,12},1),{5,4,3,2,9,8,7,6,5,4,3,2}),11)),VALUE(MID(P863,14,1))=IF(MOD(SUMPRODUCT(--MID(P863,{1,2,3,4,5,6,7,8,9,10,11,12,13},1),{6,5,4,3,2,9,8,7,6,5,4,3,2}),11)&lt;2,0,11-MOD(SUMPRODUCT(--MID(P863,{1,2,3,4,5,6,7,8,9,10,11,12,13},1),{6,5,4,3,2,9,8,7,6,5,4,3,2}),11))),"OK","ERRO: dígito verificador")))))</f>
      </c>
      <c r="R863" s="6">
        <f>IF(P863="","",IF(COUNTIF($P$2:$P$1001,P863)&gt;1,"DUPLICADO","OK"))</f>
      </c>
      <c r="S863" s="6">
        <f>IF(AND(J863="",K863=""),"vazio",IF(AND(OR(J863="",LEN(SUBSTITUTE(SUBSTITUTE(SUBSTITUTE(SUBSTITUTE(SUBSTITUTE(SUBSTITUTE(SUBSTITUTE(TRIM(J863),".",""),"/",""),"-","")," ",""),"(",""),")",""),"+",""))=10,LEN(SUBSTITUTE(SUBSTITUTE(SUBSTITUTE(SUBSTITUTE(SUBSTITUTE(SUBSTITUTE(SUBSTITUTE(TRIM(J863),".",""),"/",""),"-","")," ",""),"(",""),")",""),"+",""))=11),OR(K863="",LEN(SUBSTITUTE(SUBSTITUTE(SUBSTITUTE(SUBSTITUTE(SUBSTITUTE(SUBSTITUTE(SUBSTITUTE(TRIM(K863),".",""),"/",""),"-","")," ",""),"(",""),")",""),"+",""))=10,LEN(SUBSTITUTE(SUBSTITUTE(SUBSTITUTE(SUBSTITUTE(SUBSTITUTE(SUBSTITUTE(SUBSTITUTE(TRIM(K863),".",""),"/",""),"-","")," ",""),"(",""),")",""),"+",""))=11)),"OK","ERRO: use DDD + número (10 ou 11 dígitos)"))</f>
      </c>
      <c r="T863" s="6">
        <f>IF(L863="","vazio",IF(AND(ISNUMBER(FIND("@",L863)),ISNUMBER(FIND(".",MID(L863,FIND("@",L863),99))),NOT(ISNUMBER(FIND(" ",TRIM(L863)))),NOT(ISNUMBER(FIND(";",L863))),NOT(ISNUMBER(FIND(",",L863)))),"OK","ERRO: um e-mail válido por linha"))</f>
      </c>
      <c r="U863" s="6">
        <f>IF(COUNTA(A863:O863)=0,"",IF(AND(B863&lt;&gt;"",C863&lt;&gt;"",D863&lt;&gt;"",E863&lt;&gt;"",H863&lt;&gt;"",OR(J863&lt;&gt;"",L863&lt;&gt;"")),"OK","ERRO: faltam "&amp;IF(B863="","Proprietário; ","")&amp;IF(C863="","Origem; ","")&amp;IF(D863="","CNPJ; ","")&amp;IF(E863="","Razão Social; ","")&amp;IF(H863="","Sobrenome; ","")&amp;IF(AND(J863="",L863=""),"telefone ou e-mail; ","")))</f>
      </c>
      <c r="V863" s="6">
        <f>IF(COUNTA(A863:O863)=0,"",IF(AND(Q863="OK",R863="OK",LEFT(S863,4)&lt;&gt;"ERRO",LEFT(T863,4)&lt;&gt;"ERRO",U863="OK"),"OK","REVISAR"))</f>
      </c>
    </row>
    <row r="864">
      <c r="A864" s="4"/>
      <c r="B864" s="5"/>
      <c r="C864" s="5"/>
      <c r="D864" s="5"/>
      <c r="E864" s="5"/>
      <c r="F864" s="4"/>
      <c r="G864" s="4"/>
      <c r="H864" s="5"/>
      <c r="I864" s="4"/>
      <c r="J864" s="4"/>
      <c r="K864" s="4"/>
      <c r="L864" s="4"/>
      <c r="M864" s="4"/>
      <c r="N864" s="4"/>
      <c r="O864" s="4"/>
      <c r="P864" s="6">
        <f>IF(D864="","",SUBSTITUTE(SUBSTITUTE(SUBSTITUTE(SUBSTITUTE(SUBSTITUTE(SUBSTITUTE(SUBSTITUTE(TRIM(D864),".",""),"/",""),"-","")," ",""),"(",""),")",""),"+",""))</f>
      </c>
      <c r="Q864" s="6">
        <f>IF(P864="","",IF(LEN(P864)&lt;&gt;14,"ERRO: "&amp;LEN(P864)&amp;" dígitos",IF(NOT(ISNUMBER(VALUE(P864))),"ERRO: não numérico",IF(LEN(SUBSTITUTE(P864,LEFT(P864,1),""))=0,"ERRO: dígitos repetidos",IF(AND(VALUE(MID(P864,13,1))=IF(MOD(SUMPRODUCT(--MID(P864,{1,2,3,4,5,6,7,8,9,10,11,12},1),{5,4,3,2,9,8,7,6,5,4,3,2}),11)&lt;2,0,11-MOD(SUMPRODUCT(--MID(P864,{1,2,3,4,5,6,7,8,9,10,11,12},1),{5,4,3,2,9,8,7,6,5,4,3,2}),11)),VALUE(MID(P864,14,1))=IF(MOD(SUMPRODUCT(--MID(P864,{1,2,3,4,5,6,7,8,9,10,11,12,13},1),{6,5,4,3,2,9,8,7,6,5,4,3,2}),11)&lt;2,0,11-MOD(SUMPRODUCT(--MID(P864,{1,2,3,4,5,6,7,8,9,10,11,12,13},1),{6,5,4,3,2,9,8,7,6,5,4,3,2}),11))),"OK","ERRO: dígito verificador")))))</f>
      </c>
      <c r="R864" s="6">
        <f>IF(P864="","",IF(COUNTIF($P$2:$P$1001,P864)&gt;1,"DUPLICADO","OK"))</f>
      </c>
      <c r="S864" s="6">
        <f>IF(AND(J864="",K864=""),"vazio",IF(AND(OR(J864="",LEN(SUBSTITUTE(SUBSTITUTE(SUBSTITUTE(SUBSTITUTE(SUBSTITUTE(SUBSTITUTE(SUBSTITUTE(TRIM(J864),".",""),"/",""),"-","")," ",""),"(",""),")",""),"+",""))=10,LEN(SUBSTITUTE(SUBSTITUTE(SUBSTITUTE(SUBSTITUTE(SUBSTITUTE(SUBSTITUTE(SUBSTITUTE(TRIM(J864),".",""),"/",""),"-","")," ",""),"(",""),")",""),"+",""))=11),OR(K864="",LEN(SUBSTITUTE(SUBSTITUTE(SUBSTITUTE(SUBSTITUTE(SUBSTITUTE(SUBSTITUTE(SUBSTITUTE(TRIM(K864),".",""),"/",""),"-","")," ",""),"(",""),")",""),"+",""))=10,LEN(SUBSTITUTE(SUBSTITUTE(SUBSTITUTE(SUBSTITUTE(SUBSTITUTE(SUBSTITUTE(SUBSTITUTE(TRIM(K864),".",""),"/",""),"-","")," ",""),"(",""),")",""),"+",""))=11)),"OK","ERRO: use DDD + número (10 ou 11 dígitos)"))</f>
      </c>
      <c r="T864" s="6">
        <f>IF(L864="","vazio",IF(AND(ISNUMBER(FIND("@",L864)),ISNUMBER(FIND(".",MID(L864,FIND("@",L864),99))),NOT(ISNUMBER(FIND(" ",TRIM(L864)))),NOT(ISNUMBER(FIND(";",L864))),NOT(ISNUMBER(FIND(",",L864)))),"OK","ERRO: um e-mail válido por linha"))</f>
      </c>
      <c r="U864" s="6">
        <f>IF(COUNTA(A864:O864)=0,"",IF(AND(B864&lt;&gt;"",C864&lt;&gt;"",D864&lt;&gt;"",E864&lt;&gt;"",H864&lt;&gt;"",OR(J864&lt;&gt;"",L864&lt;&gt;"")),"OK","ERRO: faltam "&amp;IF(B864="","Proprietário; ","")&amp;IF(C864="","Origem; ","")&amp;IF(D864="","CNPJ; ","")&amp;IF(E864="","Razão Social; ","")&amp;IF(H864="","Sobrenome; ","")&amp;IF(AND(J864="",L864=""),"telefone ou e-mail; ","")))</f>
      </c>
      <c r="V864" s="6">
        <f>IF(COUNTA(A864:O864)=0,"",IF(AND(Q864="OK",R864="OK",LEFT(S864,4)&lt;&gt;"ERRO",LEFT(T864,4)&lt;&gt;"ERRO",U864="OK"),"OK","REVISAR"))</f>
      </c>
    </row>
    <row r="865">
      <c r="A865" s="4"/>
      <c r="B865" s="5"/>
      <c r="C865" s="5"/>
      <c r="D865" s="5"/>
      <c r="E865" s="5"/>
      <c r="F865" s="4"/>
      <c r="G865" s="4"/>
      <c r="H865" s="5"/>
      <c r="I865" s="4"/>
      <c r="J865" s="4"/>
      <c r="K865" s="4"/>
      <c r="L865" s="4"/>
      <c r="M865" s="4"/>
      <c r="N865" s="4"/>
      <c r="O865" s="4"/>
      <c r="P865" s="6">
        <f>IF(D865="","",SUBSTITUTE(SUBSTITUTE(SUBSTITUTE(SUBSTITUTE(SUBSTITUTE(SUBSTITUTE(SUBSTITUTE(TRIM(D865),".",""),"/",""),"-","")," ",""),"(",""),")",""),"+",""))</f>
      </c>
      <c r="Q865" s="6">
        <f>IF(P865="","",IF(LEN(P865)&lt;&gt;14,"ERRO: "&amp;LEN(P865)&amp;" dígitos",IF(NOT(ISNUMBER(VALUE(P865))),"ERRO: não numérico",IF(LEN(SUBSTITUTE(P865,LEFT(P865,1),""))=0,"ERRO: dígitos repetidos",IF(AND(VALUE(MID(P865,13,1))=IF(MOD(SUMPRODUCT(--MID(P865,{1,2,3,4,5,6,7,8,9,10,11,12},1),{5,4,3,2,9,8,7,6,5,4,3,2}),11)&lt;2,0,11-MOD(SUMPRODUCT(--MID(P865,{1,2,3,4,5,6,7,8,9,10,11,12},1),{5,4,3,2,9,8,7,6,5,4,3,2}),11)),VALUE(MID(P865,14,1))=IF(MOD(SUMPRODUCT(--MID(P865,{1,2,3,4,5,6,7,8,9,10,11,12,13},1),{6,5,4,3,2,9,8,7,6,5,4,3,2}),11)&lt;2,0,11-MOD(SUMPRODUCT(--MID(P865,{1,2,3,4,5,6,7,8,9,10,11,12,13},1),{6,5,4,3,2,9,8,7,6,5,4,3,2}),11))),"OK","ERRO: dígito verificador")))))</f>
      </c>
      <c r="R865" s="6">
        <f>IF(P865="","",IF(COUNTIF($P$2:$P$1001,P865)&gt;1,"DUPLICADO","OK"))</f>
      </c>
      <c r="S865" s="6">
        <f>IF(AND(J865="",K865=""),"vazio",IF(AND(OR(J865="",LEN(SUBSTITUTE(SUBSTITUTE(SUBSTITUTE(SUBSTITUTE(SUBSTITUTE(SUBSTITUTE(SUBSTITUTE(TRIM(J865),".",""),"/",""),"-","")," ",""),"(",""),")",""),"+",""))=10,LEN(SUBSTITUTE(SUBSTITUTE(SUBSTITUTE(SUBSTITUTE(SUBSTITUTE(SUBSTITUTE(SUBSTITUTE(TRIM(J865),".",""),"/",""),"-","")," ",""),"(",""),")",""),"+",""))=11),OR(K865="",LEN(SUBSTITUTE(SUBSTITUTE(SUBSTITUTE(SUBSTITUTE(SUBSTITUTE(SUBSTITUTE(SUBSTITUTE(TRIM(K865),".",""),"/",""),"-","")," ",""),"(",""),")",""),"+",""))=10,LEN(SUBSTITUTE(SUBSTITUTE(SUBSTITUTE(SUBSTITUTE(SUBSTITUTE(SUBSTITUTE(SUBSTITUTE(TRIM(K865),".",""),"/",""),"-","")," ",""),"(",""),")",""),"+",""))=11)),"OK","ERRO: use DDD + número (10 ou 11 dígitos)"))</f>
      </c>
      <c r="T865" s="6">
        <f>IF(L865="","vazio",IF(AND(ISNUMBER(FIND("@",L865)),ISNUMBER(FIND(".",MID(L865,FIND("@",L865),99))),NOT(ISNUMBER(FIND(" ",TRIM(L865)))),NOT(ISNUMBER(FIND(";",L865))),NOT(ISNUMBER(FIND(",",L865)))),"OK","ERRO: um e-mail válido por linha"))</f>
      </c>
      <c r="U865" s="6">
        <f>IF(COUNTA(A865:O865)=0,"",IF(AND(B865&lt;&gt;"",C865&lt;&gt;"",D865&lt;&gt;"",E865&lt;&gt;"",H865&lt;&gt;"",OR(J865&lt;&gt;"",L865&lt;&gt;"")),"OK","ERRO: faltam "&amp;IF(B865="","Proprietário; ","")&amp;IF(C865="","Origem; ","")&amp;IF(D865="","CNPJ; ","")&amp;IF(E865="","Razão Social; ","")&amp;IF(H865="","Sobrenome; ","")&amp;IF(AND(J865="",L865=""),"telefone ou e-mail; ","")))</f>
      </c>
      <c r="V865" s="6">
        <f>IF(COUNTA(A865:O865)=0,"",IF(AND(Q865="OK",R865="OK",LEFT(S865,4)&lt;&gt;"ERRO",LEFT(T865,4)&lt;&gt;"ERRO",U865="OK"),"OK","REVISAR"))</f>
      </c>
    </row>
    <row r="866">
      <c r="A866" s="4"/>
      <c r="B866" s="5"/>
      <c r="C866" s="5"/>
      <c r="D866" s="5"/>
      <c r="E866" s="5"/>
      <c r="F866" s="4"/>
      <c r="G866" s="4"/>
      <c r="H866" s="5"/>
      <c r="I866" s="4"/>
      <c r="J866" s="4"/>
      <c r="K866" s="4"/>
      <c r="L866" s="4"/>
      <c r="M866" s="4"/>
      <c r="N866" s="4"/>
      <c r="O866" s="4"/>
      <c r="P866" s="6">
        <f>IF(D866="","",SUBSTITUTE(SUBSTITUTE(SUBSTITUTE(SUBSTITUTE(SUBSTITUTE(SUBSTITUTE(SUBSTITUTE(TRIM(D866),".",""),"/",""),"-","")," ",""),"(",""),")",""),"+",""))</f>
      </c>
      <c r="Q866" s="6">
        <f>IF(P866="","",IF(LEN(P866)&lt;&gt;14,"ERRO: "&amp;LEN(P866)&amp;" dígitos",IF(NOT(ISNUMBER(VALUE(P866))),"ERRO: não numérico",IF(LEN(SUBSTITUTE(P866,LEFT(P866,1),""))=0,"ERRO: dígitos repetidos",IF(AND(VALUE(MID(P866,13,1))=IF(MOD(SUMPRODUCT(--MID(P866,{1,2,3,4,5,6,7,8,9,10,11,12},1),{5,4,3,2,9,8,7,6,5,4,3,2}),11)&lt;2,0,11-MOD(SUMPRODUCT(--MID(P866,{1,2,3,4,5,6,7,8,9,10,11,12},1),{5,4,3,2,9,8,7,6,5,4,3,2}),11)),VALUE(MID(P866,14,1))=IF(MOD(SUMPRODUCT(--MID(P866,{1,2,3,4,5,6,7,8,9,10,11,12,13},1),{6,5,4,3,2,9,8,7,6,5,4,3,2}),11)&lt;2,0,11-MOD(SUMPRODUCT(--MID(P866,{1,2,3,4,5,6,7,8,9,10,11,12,13},1),{6,5,4,3,2,9,8,7,6,5,4,3,2}),11))),"OK","ERRO: dígito verificador")))))</f>
      </c>
      <c r="R866" s="6">
        <f>IF(P866="","",IF(COUNTIF($P$2:$P$1001,P866)&gt;1,"DUPLICADO","OK"))</f>
      </c>
      <c r="S866" s="6">
        <f>IF(AND(J866="",K866=""),"vazio",IF(AND(OR(J866="",LEN(SUBSTITUTE(SUBSTITUTE(SUBSTITUTE(SUBSTITUTE(SUBSTITUTE(SUBSTITUTE(SUBSTITUTE(TRIM(J866),".",""),"/",""),"-","")," ",""),"(",""),")",""),"+",""))=10,LEN(SUBSTITUTE(SUBSTITUTE(SUBSTITUTE(SUBSTITUTE(SUBSTITUTE(SUBSTITUTE(SUBSTITUTE(TRIM(J866),".",""),"/",""),"-","")," ",""),"(",""),")",""),"+",""))=11),OR(K866="",LEN(SUBSTITUTE(SUBSTITUTE(SUBSTITUTE(SUBSTITUTE(SUBSTITUTE(SUBSTITUTE(SUBSTITUTE(TRIM(K866),".",""),"/",""),"-","")," ",""),"(",""),")",""),"+",""))=10,LEN(SUBSTITUTE(SUBSTITUTE(SUBSTITUTE(SUBSTITUTE(SUBSTITUTE(SUBSTITUTE(SUBSTITUTE(TRIM(K866),".",""),"/",""),"-","")," ",""),"(",""),")",""),"+",""))=11)),"OK","ERRO: use DDD + número (10 ou 11 dígitos)"))</f>
      </c>
      <c r="T866" s="6">
        <f>IF(L866="","vazio",IF(AND(ISNUMBER(FIND("@",L866)),ISNUMBER(FIND(".",MID(L866,FIND("@",L866),99))),NOT(ISNUMBER(FIND(" ",TRIM(L866)))),NOT(ISNUMBER(FIND(";",L866))),NOT(ISNUMBER(FIND(",",L866)))),"OK","ERRO: um e-mail válido por linha"))</f>
      </c>
      <c r="U866" s="6">
        <f>IF(COUNTA(A866:O866)=0,"",IF(AND(B866&lt;&gt;"",C866&lt;&gt;"",D866&lt;&gt;"",E866&lt;&gt;"",H866&lt;&gt;"",OR(J866&lt;&gt;"",L866&lt;&gt;"")),"OK","ERRO: faltam "&amp;IF(B866="","Proprietário; ","")&amp;IF(C866="","Origem; ","")&amp;IF(D866="","CNPJ; ","")&amp;IF(E866="","Razão Social; ","")&amp;IF(H866="","Sobrenome; ","")&amp;IF(AND(J866="",L866=""),"telefone ou e-mail; ","")))</f>
      </c>
      <c r="V866" s="6">
        <f>IF(COUNTA(A866:O866)=0,"",IF(AND(Q866="OK",R866="OK",LEFT(S866,4)&lt;&gt;"ERRO",LEFT(T866,4)&lt;&gt;"ERRO",U866="OK"),"OK","REVISAR"))</f>
      </c>
    </row>
    <row r="867">
      <c r="A867" s="4"/>
      <c r="B867" s="5"/>
      <c r="C867" s="5"/>
      <c r="D867" s="5"/>
      <c r="E867" s="5"/>
      <c r="F867" s="4"/>
      <c r="G867" s="4"/>
      <c r="H867" s="5"/>
      <c r="I867" s="4"/>
      <c r="J867" s="4"/>
      <c r="K867" s="4"/>
      <c r="L867" s="4"/>
      <c r="M867" s="4"/>
      <c r="N867" s="4"/>
      <c r="O867" s="4"/>
      <c r="P867" s="6">
        <f>IF(D867="","",SUBSTITUTE(SUBSTITUTE(SUBSTITUTE(SUBSTITUTE(SUBSTITUTE(SUBSTITUTE(SUBSTITUTE(TRIM(D867),".",""),"/",""),"-","")," ",""),"(",""),")",""),"+",""))</f>
      </c>
      <c r="Q867" s="6">
        <f>IF(P867="","",IF(LEN(P867)&lt;&gt;14,"ERRO: "&amp;LEN(P867)&amp;" dígitos",IF(NOT(ISNUMBER(VALUE(P867))),"ERRO: não numérico",IF(LEN(SUBSTITUTE(P867,LEFT(P867,1),""))=0,"ERRO: dígitos repetidos",IF(AND(VALUE(MID(P867,13,1))=IF(MOD(SUMPRODUCT(--MID(P867,{1,2,3,4,5,6,7,8,9,10,11,12},1),{5,4,3,2,9,8,7,6,5,4,3,2}),11)&lt;2,0,11-MOD(SUMPRODUCT(--MID(P867,{1,2,3,4,5,6,7,8,9,10,11,12},1),{5,4,3,2,9,8,7,6,5,4,3,2}),11)),VALUE(MID(P867,14,1))=IF(MOD(SUMPRODUCT(--MID(P867,{1,2,3,4,5,6,7,8,9,10,11,12,13},1),{6,5,4,3,2,9,8,7,6,5,4,3,2}),11)&lt;2,0,11-MOD(SUMPRODUCT(--MID(P867,{1,2,3,4,5,6,7,8,9,10,11,12,13},1),{6,5,4,3,2,9,8,7,6,5,4,3,2}),11))),"OK","ERRO: dígito verificador")))))</f>
      </c>
      <c r="R867" s="6">
        <f>IF(P867="","",IF(COUNTIF($P$2:$P$1001,P867)&gt;1,"DUPLICADO","OK"))</f>
      </c>
      <c r="S867" s="6">
        <f>IF(AND(J867="",K867=""),"vazio",IF(AND(OR(J867="",LEN(SUBSTITUTE(SUBSTITUTE(SUBSTITUTE(SUBSTITUTE(SUBSTITUTE(SUBSTITUTE(SUBSTITUTE(TRIM(J867),".",""),"/",""),"-","")," ",""),"(",""),")",""),"+",""))=10,LEN(SUBSTITUTE(SUBSTITUTE(SUBSTITUTE(SUBSTITUTE(SUBSTITUTE(SUBSTITUTE(SUBSTITUTE(TRIM(J867),".",""),"/",""),"-","")," ",""),"(",""),")",""),"+",""))=11),OR(K867="",LEN(SUBSTITUTE(SUBSTITUTE(SUBSTITUTE(SUBSTITUTE(SUBSTITUTE(SUBSTITUTE(SUBSTITUTE(TRIM(K867),".",""),"/",""),"-","")," ",""),"(",""),")",""),"+",""))=10,LEN(SUBSTITUTE(SUBSTITUTE(SUBSTITUTE(SUBSTITUTE(SUBSTITUTE(SUBSTITUTE(SUBSTITUTE(TRIM(K867),".",""),"/",""),"-","")," ",""),"(",""),")",""),"+",""))=11)),"OK","ERRO: use DDD + número (10 ou 11 dígitos)"))</f>
      </c>
      <c r="T867" s="6">
        <f>IF(L867="","vazio",IF(AND(ISNUMBER(FIND("@",L867)),ISNUMBER(FIND(".",MID(L867,FIND("@",L867),99))),NOT(ISNUMBER(FIND(" ",TRIM(L867)))),NOT(ISNUMBER(FIND(";",L867))),NOT(ISNUMBER(FIND(",",L867)))),"OK","ERRO: um e-mail válido por linha"))</f>
      </c>
      <c r="U867" s="6">
        <f>IF(COUNTA(A867:O867)=0,"",IF(AND(B867&lt;&gt;"",C867&lt;&gt;"",D867&lt;&gt;"",E867&lt;&gt;"",H867&lt;&gt;"",OR(J867&lt;&gt;"",L867&lt;&gt;"")),"OK","ERRO: faltam "&amp;IF(B867="","Proprietário; ","")&amp;IF(C867="","Origem; ","")&amp;IF(D867="","CNPJ; ","")&amp;IF(E867="","Razão Social; ","")&amp;IF(H867="","Sobrenome; ","")&amp;IF(AND(J867="",L867=""),"telefone ou e-mail; ","")))</f>
      </c>
      <c r="V867" s="6">
        <f>IF(COUNTA(A867:O867)=0,"",IF(AND(Q867="OK",R867="OK",LEFT(S867,4)&lt;&gt;"ERRO",LEFT(T867,4)&lt;&gt;"ERRO",U867="OK"),"OK","REVISAR"))</f>
      </c>
    </row>
    <row r="868">
      <c r="A868" s="4"/>
      <c r="B868" s="5"/>
      <c r="C868" s="5"/>
      <c r="D868" s="5"/>
      <c r="E868" s="5"/>
      <c r="F868" s="4"/>
      <c r="G868" s="4"/>
      <c r="H868" s="5"/>
      <c r="I868" s="4"/>
      <c r="J868" s="4"/>
      <c r="K868" s="4"/>
      <c r="L868" s="4"/>
      <c r="M868" s="4"/>
      <c r="N868" s="4"/>
      <c r="O868" s="4"/>
      <c r="P868" s="6">
        <f>IF(D868="","",SUBSTITUTE(SUBSTITUTE(SUBSTITUTE(SUBSTITUTE(SUBSTITUTE(SUBSTITUTE(SUBSTITUTE(TRIM(D868),".",""),"/",""),"-","")," ",""),"(",""),")",""),"+",""))</f>
      </c>
      <c r="Q868" s="6">
        <f>IF(P868="","",IF(LEN(P868)&lt;&gt;14,"ERRO: "&amp;LEN(P868)&amp;" dígitos",IF(NOT(ISNUMBER(VALUE(P868))),"ERRO: não numérico",IF(LEN(SUBSTITUTE(P868,LEFT(P868,1),""))=0,"ERRO: dígitos repetidos",IF(AND(VALUE(MID(P868,13,1))=IF(MOD(SUMPRODUCT(--MID(P868,{1,2,3,4,5,6,7,8,9,10,11,12},1),{5,4,3,2,9,8,7,6,5,4,3,2}),11)&lt;2,0,11-MOD(SUMPRODUCT(--MID(P868,{1,2,3,4,5,6,7,8,9,10,11,12},1),{5,4,3,2,9,8,7,6,5,4,3,2}),11)),VALUE(MID(P868,14,1))=IF(MOD(SUMPRODUCT(--MID(P868,{1,2,3,4,5,6,7,8,9,10,11,12,13},1),{6,5,4,3,2,9,8,7,6,5,4,3,2}),11)&lt;2,0,11-MOD(SUMPRODUCT(--MID(P868,{1,2,3,4,5,6,7,8,9,10,11,12,13},1),{6,5,4,3,2,9,8,7,6,5,4,3,2}),11))),"OK","ERRO: dígito verificador")))))</f>
      </c>
      <c r="R868" s="6">
        <f>IF(P868="","",IF(COUNTIF($P$2:$P$1001,P868)&gt;1,"DUPLICADO","OK"))</f>
      </c>
      <c r="S868" s="6">
        <f>IF(AND(J868="",K868=""),"vazio",IF(AND(OR(J868="",LEN(SUBSTITUTE(SUBSTITUTE(SUBSTITUTE(SUBSTITUTE(SUBSTITUTE(SUBSTITUTE(SUBSTITUTE(TRIM(J868),".",""),"/",""),"-","")," ",""),"(",""),")",""),"+",""))=10,LEN(SUBSTITUTE(SUBSTITUTE(SUBSTITUTE(SUBSTITUTE(SUBSTITUTE(SUBSTITUTE(SUBSTITUTE(TRIM(J868),".",""),"/",""),"-","")," ",""),"(",""),")",""),"+",""))=11),OR(K868="",LEN(SUBSTITUTE(SUBSTITUTE(SUBSTITUTE(SUBSTITUTE(SUBSTITUTE(SUBSTITUTE(SUBSTITUTE(TRIM(K868),".",""),"/",""),"-","")," ",""),"(",""),")",""),"+",""))=10,LEN(SUBSTITUTE(SUBSTITUTE(SUBSTITUTE(SUBSTITUTE(SUBSTITUTE(SUBSTITUTE(SUBSTITUTE(TRIM(K868),".",""),"/",""),"-","")," ",""),"(",""),")",""),"+",""))=11)),"OK","ERRO: use DDD + número (10 ou 11 dígitos)"))</f>
      </c>
      <c r="T868" s="6">
        <f>IF(L868="","vazio",IF(AND(ISNUMBER(FIND("@",L868)),ISNUMBER(FIND(".",MID(L868,FIND("@",L868),99))),NOT(ISNUMBER(FIND(" ",TRIM(L868)))),NOT(ISNUMBER(FIND(";",L868))),NOT(ISNUMBER(FIND(",",L868)))),"OK","ERRO: um e-mail válido por linha"))</f>
      </c>
      <c r="U868" s="6">
        <f>IF(COUNTA(A868:O868)=0,"",IF(AND(B868&lt;&gt;"",C868&lt;&gt;"",D868&lt;&gt;"",E868&lt;&gt;"",H868&lt;&gt;"",OR(J868&lt;&gt;"",L868&lt;&gt;"")),"OK","ERRO: faltam "&amp;IF(B868="","Proprietário; ","")&amp;IF(C868="","Origem; ","")&amp;IF(D868="","CNPJ; ","")&amp;IF(E868="","Razão Social; ","")&amp;IF(H868="","Sobrenome; ","")&amp;IF(AND(J868="",L868=""),"telefone ou e-mail; ","")))</f>
      </c>
      <c r="V868" s="6">
        <f>IF(COUNTA(A868:O868)=0,"",IF(AND(Q868="OK",R868="OK",LEFT(S868,4)&lt;&gt;"ERRO",LEFT(T868,4)&lt;&gt;"ERRO",U868="OK"),"OK","REVISAR"))</f>
      </c>
    </row>
    <row r="869">
      <c r="A869" s="4"/>
      <c r="B869" s="5"/>
      <c r="C869" s="5"/>
      <c r="D869" s="5"/>
      <c r="E869" s="5"/>
      <c r="F869" s="4"/>
      <c r="G869" s="4"/>
      <c r="H869" s="5"/>
      <c r="I869" s="4"/>
      <c r="J869" s="4"/>
      <c r="K869" s="4"/>
      <c r="L869" s="4"/>
      <c r="M869" s="4"/>
      <c r="N869" s="4"/>
      <c r="O869" s="4"/>
      <c r="P869" s="6">
        <f>IF(D869="","",SUBSTITUTE(SUBSTITUTE(SUBSTITUTE(SUBSTITUTE(SUBSTITUTE(SUBSTITUTE(SUBSTITUTE(TRIM(D869),".",""),"/",""),"-","")," ",""),"(",""),")",""),"+",""))</f>
      </c>
      <c r="Q869" s="6">
        <f>IF(P869="","",IF(LEN(P869)&lt;&gt;14,"ERRO: "&amp;LEN(P869)&amp;" dígitos",IF(NOT(ISNUMBER(VALUE(P869))),"ERRO: não numérico",IF(LEN(SUBSTITUTE(P869,LEFT(P869,1),""))=0,"ERRO: dígitos repetidos",IF(AND(VALUE(MID(P869,13,1))=IF(MOD(SUMPRODUCT(--MID(P869,{1,2,3,4,5,6,7,8,9,10,11,12},1),{5,4,3,2,9,8,7,6,5,4,3,2}),11)&lt;2,0,11-MOD(SUMPRODUCT(--MID(P869,{1,2,3,4,5,6,7,8,9,10,11,12},1),{5,4,3,2,9,8,7,6,5,4,3,2}),11)),VALUE(MID(P869,14,1))=IF(MOD(SUMPRODUCT(--MID(P869,{1,2,3,4,5,6,7,8,9,10,11,12,13},1),{6,5,4,3,2,9,8,7,6,5,4,3,2}),11)&lt;2,0,11-MOD(SUMPRODUCT(--MID(P869,{1,2,3,4,5,6,7,8,9,10,11,12,13},1),{6,5,4,3,2,9,8,7,6,5,4,3,2}),11))),"OK","ERRO: dígito verificador")))))</f>
      </c>
      <c r="R869" s="6">
        <f>IF(P869="","",IF(COUNTIF($P$2:$P$1001,P869)&gt;1,"DUPLICADO","OK"))</f>
      </c>
      <c r="S869" s="6">
        <f>IF(AND(J869="",K869=""),"vazio",IF(AND(OR(J869="",LEN(SUBSTITUTE(SUBSTITUTE(SUBSTITUTE(SUBSTITUTE(SUBSTITUTE(SUBSTITUTE(SUBSTITUTE(TRIM(J869),".",""),"/",""),"-","")," ",""),"(",""),")",""),"+",""))=10,LEN(SUBSTITUTE(SUBSTITUTE(SUBSTITUTE(SUBSTITUTE(SUBSTITUTE(SUBSTITUTE(SUBSTITUTE(TRIM(J869),".",""),"/",""),"-","")," ",""),"(",""),")",""),"+",""))=11),OR(K869="",LEN(SUBSTITUTE(SUBSTITUTE(SUBSTITUTE(SUBSTITUTE(SUBSTITUTE(SUBSTITUTE(SUBSTITUTE(TRIM(K869),".",""),"/",""),"-","")," ",""),"(",""),")",""),"+",""))=10,LEN(SUBSTITUTE(SUBSTITUTE(SUBSTITUTE(SUBSTITUTE(SUBSTITUTE(SUBSTITUTE(SUBSTITUTE(TRIM(K869),".",""),"/",""),"-","")," ",""),"(",""),")",""),"+",""))=11)),"OK","ERRO: use DDD + número (10 ou 11 dígitos)"))</f>
      </c>
      <c r="T869" s="6">
        <f>IF(L869="","vazio",IF(AND(ISNUMBER(FIND("@",L869)),ISNUMBER(FIND(".",MID(L869,FIND("@",L869),99))),NOT(ISNUMBER(FIND(" ",TRIM(L869)))),NOT(ISNUMBER(FIND(";",L869))),NOT(ISNUMBER(FIND(",",L869)))),"OK","ERRO: um e-mail válido por linha"))</f>
      </c>
      <c r="U869" s="6">
        <f>IF(COUNTA(A869:O869)=0,"",IF(AND(B869&lt;&gt;"",C869&lt;&gt;"",D869&lt;&gt;"",E869&lt;&gt;"",H869&lt;&gt;"",OR(J869&lt;&gt;"",L869&lt;&gt;"")),"OK","ERRO: faltam "&amp;IF(B869="","Proprietário; ","")&amp;IF(C869="","Origem; ","")&amp;IF(D869="","CNPJ; ","")&amp;IF(E869="","Razão Social; ","")&amp;IF(H869="","Sobrenome; ","")&amp;IF(AND(J869="",L869=""),"telefone ou e-mail; ","")))</f>
      </c>
      <c r="V869" s="6">
        <f>IF(COUNTA(A869:O869)=0,"",IF(AND(Q869="OK",R869="OK",LEFT(S869,4)&lt;&gt;"ERRO",LEFT(T869,4)&lt;&gt;"ERRO",U869="OK"),"OK","REVISAR"))</f>
      </c>
    </row>
    <row r="870">
      <c r="A870" s="4"/>
      <c r="B870" s="5"/>
      <c r="C870" s="5"/>
      <c r="D870" s="5"/>
      <c r="E870" s="5"/>
      <c r="F870" s="4"/>
      <c r="G870" s="4"/>
      <c r="H870" s="5"/>
      <c r="I870" s="4"/>
      <c r="J870" s="4"/>
      <c r="K870" s="4"/>
      <c r="L870" s="4"/>
      <c r="M870" s="4"/>
      <c r="N870" s="4"/>
      <c r="O870" s="4"/>
      <c r="P870" s="6">
        <f>IF(D870="","",SUBSTITUTE(SUBSTITUTE(SUBSTITUTE(SUBSTITUTE(SUBSTITUTE(SUBSTITUTE(SUBSTITUTE(TRIM(D870),".",""),"/",""),"-","")," ",""),"(",""),")",""),"+",""))</f>
      </c>
      <c r="Q870" s="6">
        <f>IF(P870="","",IF(LEN(P870)&lt;&gt;14,"ERRO: "&amp;LEN(P870)&amp;" dígitos",IF(NOT(ISNUMBER(VALUE(P870))),"ERRO: não numérico",IF(LEN(SUBSTITUTE(P870,LEFT(P870,1),""))=0,"ERRO: dígitos repetidos",IF(AND(VALUE(MID(P870,13,1))=IF(MOD(SUMPRODUCT(--MID(P870,{1,2,3,4,5,6,7,8,9,10,11,12},1),{5,4,3,2,9,8,7,6,5,4,3,2}),11)&lt;2,0,11-MOD(SUMPRODUCT(--MID(P870,{1,2,3,4,5,6,7,8,9,10,11,12},1),{5,4,3,2,9,8,7,6,5,4,3,2}),11)),VALUE(MID(P870,14,1))=IF(MOD(SUMPRODUCT(--MID(P870,{1,2,3,4,5,6,7,8,9,10,11,12,13},1),{6,5,4,3,2,9,8,7,6,5,4,3,2}),11)&lt;2,0,11-MOD(SUMPRODUCT(--MID(P870,{1,2,3,4,5,6,7,8,9,10,11,12,13},1),{6,5,4,3,2,9,8,7,6,5,4,3,2}),11))),"OK","ERRO: dígito verificador")))))</f>
      </c>
      <c r="R870" s="6">
        <f>IF(P870="","",IF(COUNTIF($P$2:$P$1001,P870)&gt;1,"DUPLICADO","OK"))</f>
      </c>
      <c r="S870" s="6">
        <f>IF(AND(J870="",K870=""),"vazio",IF(AND(OR(J870="",LEN(SUBSTITUTE(SUBSTITUTE(SUBSTITUTE(SUBSTITUTE(SUBSTITUTE(SUBSTITUTE(SUBSTITUTE(TRIM(J870),".",""),"/",""),"-","")," ",""),"(",""),")",""),"+",""))=10,LEN(SUBSTITUTE(SUBSTITUTE(SUBSTITUTE(SUBSTITUTE(SUBSTITUTE(SUBSTITUTE(SUBSTITUTE(TRIM(J870),".",""),"/",""),"-","")," ",""),"(",""),")",""),"+",""))=11),OR(K870="",LEN(SUBSTITUTE(SUBSTITUTE(SUBSTITUTE(SUBSTITUTE(SUBSTITUTE(SUBSTITUTE(SUBSTITUTE(TRIM(K870),".",""),"/",""),"-","")," ",""),"(",""),")",""),"+",""))=10,LEN(SUBSTITUTE(SUBSTITUTE(SUBSTITUTE(SUBSTITUTE(SUBSTITUTE(SUBSTITUTE(SUBSTITUTE(TRIM(K870),".",""),"/",""),"-","")," ",""),"(",""),")",""),"+",""))=11)),"OK","ERRO: use DDD + número (10 ou 11 dígitos)"))</f>
      </c>
      <c r="T870" s="6">
        <f>IF(L870="","vazio",IF(AND(ISNUMBER(FIND("@",L870)),ISNUMBER(FIND(".",MID(L870,FIND("@",L870),99))),NOT(ISNUMBER(FIND(" ",TRIM(L870)))),NOT(ISNUMBER(FIND(";",L870))),NOT(ISNUMBER(FIND(",",L870)))),"OK","ERRO: um e-mail válido por linha"))</f>
      </c>
      <c r="U870" s="6">
        <f>IF(COUNTA(A870:O870)=0,"",IF(AND(B870&lt;&gt;"",C870&lt;&gt;"",D870&lt;&gt;"",E870&lt;&gt;"",H870&lt;&gt;"",OR(J870&lt;&gt;"",L870&lt;&gt;"")),"OK","ERRO: faltam "&amp;IF(B870="","Proprietário; ","")&amp;IF(C870="","Origem; ","")&amp;IF(D870="","CNPJ; ","")&amp;IF(E870="","Razão Social; ","")&amp;IF(H870="","Sobrenome; ","")&amp;IF(AND(J870="",L870=""),"telefone ou e-mail; ","")))</f>
      </c>
      <c r="V870" s="6">
        <f>IF(COUNTA(A870:O870)=0,"",IF(AND(Q870="OK",R870="OK",LEFT(S870,4)&lt;&gt;"ERRO",LEFT(T870,4)&lt;&gt;"ERRO",U870="OK"),"OK","REVISAR"))</f>
      </c>
    </row>
    <row r="871">
      <c r="A871" s="4"/>
      <c r="B871" s="5"/>
      <c r="C871" s="5"/>
      <c r="D871" s="5"/>
      <c r="E871" s="5"/>
      <c r="F871" s="4"/>
      <c r="G871" s="4"/>
      <c r="H871" s="5"/>
      <c r="I871" s="4"/>
      <c r="J871" s="4"/>
      <c r="K871" s="4"/>
      <c r="L871" s="4"/>
      <c r="M871" s="4"/>
      <c r="N871" s="4"/>
      <c r="O871" s="4"/>
      <c r="P871" s="6">
        <f>IF(D871="","",SUBSTITUTE(SUBSTITUTE(SUBSTITUTE(SUBSTITUTE(SUBSTITUTE(SUBSTITUTE(SUBSTITUTE(TRIM(D871),".",""),"/",""),"-","")," ",""),"(",""),")",""),"+",""))</f>
      </c>
      <c r="Q871" s="6">
        <f>IF(P871="","",IF(LEN(P871)&lt;&gt;14,"ERRO: "&amp;LEN(P871)&amp;" dígitos",IF(NOT(ISNUMBER(VALUE(P871))),"ERRO: não numérico",IF(LEN(SUBSTITUTE(P871,LEFT(P871,1),""))=0,"ERRO: dígitos repetidos",IF(AND(VALUE(MID(P871,13,1))=IF(MOD(SUMPRODUCT(--MID(P871,{1,2,3,4,5,6,7,8,9,10,11,12},1),{5,4,3,2,9,8,7,6,5,4,3,2}),11)&lt;2,0,11-MOD(SUMPRODUCT(--MID(P871,{1,2,3,4,5,6,7,8,9,10,11,12},1),{5,4,3,2,9,8,7,6,5,4,3,2}),11)),VALUE(MID(P871,14,1))=IF(MOD(SUMPRODUCT(--MID(P871,{1,2,3,4,5,6,7,8,9,10,11,12,13},1),{6,5,4,3,2,9,8,7,6,5,4,3,2}),11)&lt;2,0,11-MOD(SUMPRODUCT(--MID(P871,{1,2,3,4,5,6,7,8,9,10,11,12,13},1),{6,5,4,3,2,9,8,7,6,5,4,3,2}),11))),"OK","ERRO: dígito verificador")))))</f>
      </c>
      <c r="R871" s="6">
        <f>IF(P871="","",IF(COUNTIF($P$2:$P$1001,P871)&gt;1,"DUPLICADO","OK"))</f>
      </c>
      <c r="S871" s="6">
        <f>IF(AND(J871="",K871=""),"vazio",IF(AND(OR(J871="",LEN(SUBSTITUTE(SUBSTITUTE(SUBSTITUTE(SUBSTITUTE(SUBSTITUTE(SUBSTITUTE(SUBSTITUTE(TRIM(J871),".",""),"/",""),"-","")," ",""),"(",""),")",""),"+",""))=10,LEN(SUBSTITUTE(SUBSTITUTE(SUBSTITUTE(SUBSTITUTE(SUBSTITUTE(SUBSTITUTE(SUBSTITUTE(TRIM(J871),".",""),"/",""),"-","")," ",""),"(",""),")",""),"+",""))=11),OR(K871="",LEN(SUBSTITUTE(SUBSTITUTE(SUBSTITUTE(SUBSTITUTE(SUBSTITUTE(SUBSTITUTE(SUBSTITUTE(TRIM(K871),".",""),"/",""),"-","")," ",""),"(",""),")",""),"+",""))=10,LEN(SUBSTITUTE(SUBSTITUTE(SUBSTITUTE(SUBSTITUTE(SUBSTITUTE(SUBSTITUTE(SUBSTITUTE(TRIM(K871),".",""),"/",""),"-","")," ",""),"(",""),")",""),"+",""))=11)),"OK","ERRO: use DDD + número (10 ou 11 dígitos)"))</f>
      </c>
      <c r="T871" s="6">
        <f>IF(L871="","vazio",IF(AND(ISNUMBER(FIND("@",L871)),ISNUMBER(FIND(".",MID(L871,FIND("@",L871),99))),NOT(ISNUMBER(FIND(" ",TRIM(L871)))),NOT(ISNUMBER(FIND(";",L871))),NOT(ISNUMBER(FIND(",",L871)))),"OK","ERRO: um e-mail válido por linha"))</f>
      </c>
      <c r="U871" s="6">
        <f>IF(COUNTA(A871:O871)=0,"",IF(AND(B871&lt;&gt;"",C871&lt;&gt;"",D871&lt;&gt;"",E871&lt;&gt;"",H871&lt;&gt;"",OR(J871&lt;&gt;"",L871&lt;&gt;"")),"OK","ERRO: faltam "&amp;IF(B871="","Proprietário; ","")&amp;IF(C871="","Origem; ","")&amp;IF(D871="","CNPJ; ","")&amp;IF(E871="","Razão Social; ","")&amp;IF(H871="","Sobrenome; ","")&amp;IF(AND(J871="",L871=""),"telefone ou e-mail; ","")))</f>
      </c>
      <c r="V871" s="6">
        <f>IF(COUNTA(A871:O871)=0,"",IF(AND(Q871="OK",R871="OK",LEFT(S871,4)&lt;&gt;"ERRO",LEFT(T871,4)&lt;&gt;"ERRO",U871="OK"),"OK","REVISAR"))</f>
      </c>
    </row>
    <row r="872">
      <c r="A872" s="4"/>
      <c r="B872" s="5"/>
      <c r="C872" s="5"/>
      <c r="D872" s="5"/>
      <c r="E872" s="5"/>
      <c r="F872" s="4"/>
      <c r="G872" s="4"/>
      <c r="H872" s="5"/>
      <c r="I872" s="4"/>
      <c r="J872" s="4"/>
      <c r="K872" s="4"/>
      <c r="L872" s="4"/>
      <c r="M872" s="4"/>
      <c r="N872" s="4"/>
      <c r="O872" s="4"/>
      <c r="P872" s="6">
        <f>IF(D872="","",SUBSTITUTE(SUBSTITUTE(SUBSTITUTE(SUBSTITUTE(SUBSTITUTE(SUBSTITUTE(SUBSTITUTE(TRIM(D872),".",""),"/",""),"-","")," ",""),"(",""),")",""),"+",""))</f>
      </c>
      <c r="Q872" s="6">
        <f>IF(P872="","",IF(LEN(P872)&lt;&gt;14,"ERRO: "&amp;LEN(P872)&amp;" dígitos",IF(NOT(ISNUMBER(VALUE(P872))),"ERRO: não numérico",IF(LEN(SUBSTITUTE(P872,LEFT(P872,1),""))=0,"ERRO: dígitos repetidos",IF(AND(VALUE(MID(P872,13,1))=IF(MOD(SUMPRODUCT(--MID(P872,{1,2,3,4,5,6,7,8,9,10,11,12},1),{5,4,3,2,9,8,7,6,5,4,3,2}),11)&lt;2,0,11-MOD(SUMPRODUCT(--MID(P872,{1,2,3,4,5,6,7,8,9,10,11,12},1),{5,4,3,2,9,8,7,6,5,4,3,2}),11)),VALUE(MID(P872,14,1))=IF(MOD(SUMPRODUCT(--MID(P872,{1,2,3,4,5,6,7,8,9,10,11,12,13},1),{6,5,4,3,2,9,8,7,6,5,4,3,2}),11)&lt;2,0,11-MOD(SUMPRODUCT(--MID(P872,{1,2,3,4,5,6,7,8,9,10,11,12,13},1),{6,5,4,3,2,9,8,7,6,5,4,3,2}),11))),"OK","ERRO: dígito verificador")))))</f>
      </c>
      <c r="R872" s="6">
        <f>IF(P872="","",IF(COUNTIF($P$2:$P$1001,P872)&gt;1,"DUPLICADO","OK"))</f>
      </c>
      <c r="S872" s="6">
        <f>IF(AND(J872="",K872=""),"vazio",IF(AND(OR(J872="",LEN(SUBSTITUTE(SUBSTITUTE(SUBSTITUTE(SUBSTITUTE(SUBSTITUTE(SUBSTITUTE(SUBSTITUTE(TRIM(J872),".",""),"/",""),"-","")," ",""),"(",""),")",""),"+",""))=10,LEN(SUBSTITUTE(SUBSTITUTE(SUBSTITUTE(SUBSTITUTE(SUBSTITUTE(SUBSTITUTE(SUBSTITUTE(TRIM(J872),".",""),"/",""),"-","")," ",""),"(",""),")",""),"+",""))=11),OR(K872="",LEN(SUBSTITUTE(SUBSTITUTE(SUBSTITUTE(SUBSTITUTE(SUBSTITUTE(SUBSTITUTE(SUBSTITUTE(TRIM(K872),".",""),"/",""),"-","")," ",""),"(",""),")",""),"+",""))=10,LEN(SUBSTITUTE(SUBSTITUTE(SUBSTITUTE(SUBSTITUTE(SUBSTITUTE(SUBSTITUTE(SUBSTITUTE(TRIM(K872),".",""),"/",""),"-","")," ",""),"(",""),")",""),"+",""))=11)),"OK","ERRO: use DDD + número (10 ou 11 dígitos)"))</f>
      </c>
      <c r="T872" s="6">
        <f>IF(L872="","vazio",IF(AND(ISNUMBER(FIND("@",L872)),ISNUMBER(FIND(".",MID(L872,FIND("@",L872),99))),NOT(ISNUMBER(FIND(" ",TRIM(L872)))),NOT(ISNUMBER(FIND(";",L872))),NOT(ISNUMBER(FIND(",",L872)))),"OK","ERRO: um e-mail válido por linha"))</f>
      </c>
      <c r="U872" s="6">
        <f>IF(COUNTA(A872:O872)=0,"",IF(AND(B872&lt;&gt;"",C872&lt;&gt;"",D872&lt;&gt;"",E872&lt;&gt;"",H872&lt;&gt;"",OR(J872&lt;&gt;"",L872&lt;&gt;"")),"OK","ERRO: faltam "&amp;IF(B872="","Proprietário; ","")&amp;IF(C872="","Origem; ","")&amp;IF(D872="","CNPJ; ","")&amp;IF(E872="","Razão Social; ","")&amp;IF(H872="","Sobrenome; ","")&amp;IF(AND(J872="",L872=""),"telefone ou e-mail; ","")))</f>
      </c>
      <c r="V872" s="6">
        <f>IF(COUNTA(A872:O872)=0,"",IF(AND(Q872="OK",R872="OK",LEFT(S872,4)&lt;&gt;"ERRO",LEFT(T872,4)&lt;&gt;"ERRO",U872="OK"),"OK","REVISAR"))</f>
      </c>
    </row>
    <row r="873">
      <c r="A873" s="4"/>
      <c r="B873" s="5"/>
      <c r="C873" s="5"/>
      <c r="D873" s="5"/>
      <c r="E873" s="5"/>
      <c r="F873" s="4"/>
      <c r="G873" s="4"/>
      <c r="H873" s="5"/>
      <c r="I873" s="4"/>
      <c r="J873" s="4"/>
      <c r="K873" s="4"/>
      <c r="L873" s="4"/>
      <c r="M873" s="4"/>
      <c r="N873" s="4"/>
      <c r="O873" s="4"/>
      <c r="P873" s="6">
        <f>IF(D873="","",SUBSTITUTE(SUBSTITUTE(SUBSTITUTE(SUBSTITUTE(SUBSTITUTE(SUBSTITUTE(SUBSTITUTE(TRIM(D873),".",""),"/",""),"-","")," ",""),"(",""),")",""),"+",""))</f>
      </c>
      <c r="Q873" s="6">
        <f>IF(P873="","",IF(LEN(P873)&lt;&gt;14,"ERRO: "&amp;LEN(P873)&amp;" dígitos",IF(NOT(ISNUMBER(VALUE(P873))),"ERRO: não numérico",IF(LEN(SUBSTITUTE(P873,LEFT(P873,1),""))=0,"ERRO: dígitos repetidos",IF(AND(VALUE(MID(P873,13,1))=IF(MOD(SUMPRODUCT(--MID(P873,{1,2,3,4,5,6,7,8,9,10,11,12},1),{5,4,3,2,9,8,7,6,5,4,3,2}),11)&lt;2,0,11-MOD(SUMPRODUCT(--MID(P873,{1,2,3,4,5,6,7,8,9,10,11,12},1),{5,4,3,2,9,8,7,6,5,4,3,2}),11)),VALUE(MID(P873,14,1))=IF(MOD(SUMPRODUCT(--MID(P873,{1,2,3,4,5,6,7,8,9,10,11,12,13},1),{6,5,4,3,2,9,8,7,6,5,4,3,2}),11)&lt;2,0,11-MOD(SUMPRODUCT(--MID(P873,{1,2,3,4,5,6,7,8,9,10,11,12,13},1),{6,5,4,3,2,9,8,7,6,5,4,3,2}),11))),"OK","ERRO: dígito verificador")))))</f>
      </c>
      <c r="R873" s="6">
        <f>IF(P873="","",IF(COUNTIF($P$2:$P$1001,P873)&gt;1,"DUPLICADO","OK"))</f>
      </c>
      <c r="S873" s="6">
        <f>IF(AND(J873="",K873=""),"vazio",IF(AND(OR(J873="",LEN(SUBSTITUTE(SUBSTITUTE(SUBSTITUTE(SUBSTITUTE(SUBSTITUTE(SUBSTITUTE(SUBSTITUTE(TRIM(J873),".",""),"/",""),"-","")," ",""),"(",""),")",""),"+",""))=10,LEN(SUBSTITUTE(SUBSTITUTE(SUBSTITUTE(SUBSTITUTE(SUBSTITUTE(SUBSTITUTE(SUBSTITUTE(TRIM(J873),".",""),"/",""),"-","")," ",""),"(",""),")",""),"+",""))=11),OR(K873="",LEN(SUBSTITUTE(SUBSTITUTE(SUBSTITUTE(SUBSTITUTE(SUBSTITUTE(SUBSTITUTE(SUBSTITUTE(TRIM(K873),".",""),"/",""),"-","")," ",""),"(",""),")",""),"+",""))=10,LEN(SUBSTITUTE(SUBSTITUTE(SUBSTITUTE(SUBSTITUTE(SUBSTITUTE(SUBSTITUTE(SUBSTITUTE(TRIM(K873),".",""),"/",""),"-","")," ",""),"(",""),")",""),"+",""))=11)),"OK","ERRO: use DDD + número (10 ou 11 dígitos)"))</f>
      </c>
      <c r="T873" s="6">
        <f>IF(L873="","vazio",IF(AND(ISNUMBER(FIND("@",L873)),ISNUMBER(FIND(".",MID(L873,FIND("@",L873),99))),NOT(ISNUMBER(FIND(" ",TRIM(L873)))),NOT(ISNUMBER(FIND(";",L873))),NOT(ISNUMBER(FIND(",",L873)))),"OK","ERRO: um e-mail válido por linha"))</f>
      </c>
      <c r="U873" s="6">
        <f>IF(COUNTA(A873:O873)=0,"",IF(AND(B873&lt;&gt;"",C873&lt;&gt;"",D873&lt;&gt;"",E873&lt;&gt;"",H873&lt;&gt;"",OR(J873&lt;&gt;"",L873&lt;&gt;"")),"OK","ERRO: faltam "&amp;IF(B873="","Proprietário; ","")&amp;IF(C873="","Origem; ","")&amp;IF(D873="","CNPJ; ","")&amp;IF(E873="","Razão Social; ","")&amp;IF(H873="","Sobrenome; ","")&amp;IF(AND(J873="",L873=""),"telefone ou e-mail; ","")))</f>
      </c>
      <c r="V873" s="6">
        <f>IF(COUNTA(A873:O873)=0,"",IF(AND(Q873="OK",R873="OK",LEFT(S873,4)&lt;&gt;"ERRO",LEFT(T873,4)&lt;&gt;"ERRO",U873="OK"),"OK","REVISAR"))</f>
      </c>
    </row>
    <row r="874">
      <c r="A874" s="4"/>
      <c r="B874" s="5"/>
      <c r="C874" s="5"/>
      <c r="D874" s="5"/>
      <c r="E874" s="5"/>
      <c r="F874" s="4"/>
      <c r="G874" s="4"/>
      <c r="H874" s="5"/>
      <c r="I874" s="4"/>
      <c r="J874" s="4"/>
      <c r="K874" s="4"/>
      <c r="L874" s="4"/>
      <c r="M874" s="4"/>
      <c r="N874" s="4"/>
      <c r="O874" s="4"/>
      <c r="P874" s="6">
        <f>IF(D874="","",SUBSTITUTE(SUBSTITUTE(SUBSTITUTE(SUBSTITUTE(SUBSTITUTE(SUBSTITUTE(SUBSTITUTE(TRIM(D874),".",""),"/",""),"-","")," ",""),"(",""),")",""),"+",""))</f>
      </c>
      <c r="Q874" s="6">
        <f>IF(P874="","",IF(LEN(P874)&lt;&gt;14,"ERRO: "&amp;LEN(P874)&amp;" dígitos",IF(NOT(ISNUMBER(VALUE(P874))),"ERRO: não numérico",IF(LEN(SUBSTITUTE(P874,LEFT(P874,1),""))=0,"ERRO: dígitos repetidos",IF(AND(VALUE(MID(P874,13,1))=IF(MOD(SUMPRODUCT(--MID(P874,{1,2,3,4,5,6,7,8,9,10,11,12},1),{5,4,3,2,9,8,7,6,5,4,3,2}),11)&lt;2,0,11-MOD(SUMPRODUCT(--MID(P874,{1,2,3,4,5,6,7,8,9,10,11,12},1),{5,4,3,2,9,8,7,6,5,4,3,2}),11)),VALUE(MID(P874,14,1))=IF(MOD(SUMPRODUCT(--MID(P874,{1,2,3,4,5,6,7,8,9,10,11,12,13},1),{6,5,4,3,2,9,8,7,6,5,4,3,2}),11)&lt;2,0,11-MOD(SUMPRODUCT(--MID(P874,{1,2,3,4,5,6,7,8,9,10,11,12,13},1),{6,5,4,3,2,9,8,7,6,5,4,3,2}),11))),"OK","ERRO: dígito verificador")))))</f>
      </c>
      <c r="R874" s="6">
        <f>IF(P874="","",IF(COUNTIF($P$2:$P$1001,P874)&gt;1,"DUPLICADO","OK"))</f>
      </c>
      <c r="S874" s="6">
        <f>IF(AND(J874="",K874=""),"vazio",IF(AND(OR(J874="",LEN(SUBSTITUTE(SUBSTITUTE(SUBSTITUTE(SUBSTITUTE(SUBSTITUTE(SUBSTITUTE(SUBSTITUTE(TRIM(J874),".",""),"/",""),"-","")," ",""),"(",""),")",""),"+",""))=10,LEN(SUBSTITUTE(SUBSTITUTE(SUBSTITUTE(SUBSTITUTE(SUBSTITUTE(SUBSTITUTE(SUBSTITUTE(TRIM(J874),".",""),"/",""),"-","")," ",""),"(",""),")",""),"+",""))=11),OR(K874="",LEN(SUBSTITUTE(SUBSTITUTE(SUBSTITUTE(SUBSTITUTE(SUBSTITUTE(SUBSTITUTE(SUBSTITUTE(TRIM(K874),".",""),"/",""),"-","")," ",""),"(",""),")",""),"+",""))=10,LEN(SUBSTITUTE(SUBSTITUTE(SUBSTITUTE(SUBSTITUTE(SUBSTITUTE(SUBSTITUTE(SUBSTITUTE(TRIM(K874),".",""),"/",""),"-","")," ",""),"(",""),")",""),"+",""))=11)),"OK","ERRO: use DDD + número (10 ou 11 dígitos)"))</f>
      </c>
      <c r="T874" s="6">
        <f>IF(L874="","vazio",IF(AND(ISNUMBER(FIND("@",L874)),ISNUMBER(FIND(".",MID(L874,FIND("@",L874),99))),NOT(ISNUMBER(FIND(" ",TRIM(L874)))),NOT(ISNUMBER(FIND(";",L874))),NOT(ISNUMBER(FIND(",",L874)))),"OK","ERRO: um e-mail válido por linha"))</f>
      </c>
      <c r="U874" s="6">
        <f>IF(COUNTA(A874:O874)=0,"",IF(AND(B874&lt;&gt;"",C874&lt;&gt;"",D874&lt;&gt;"",E874&lt;&gt;"",H874&lt;&gt;"",OR(J874&lt;&gt;"",L874&lt;&gt;"")),"OK","ERRO: faltam "&amp;IF(B874="","Proprietário; ","")&amp;IF(C874="","Origem; ","")&amp;IF(D874="","CNPJ; ","")&amp;IF(E874="","Razão Social; ","")&amp;IF(H874="","Sobrenome; ","")&amp;IF(AND(J874="",L874=""),"telefone ou e-mail; ","")))</f>
      </c>
      <c r="V874" s="6">
        <f>IF(COUNTA(A874:O874)=0,"",IF(AND(Q874="OK",R874="OK",LEFT(S874,4)&lt;&gt;"ERRO",LEFT(T874,4)&lt;&gt;"ERRO",U874="OK"),"OK","REVISAR"))</f>
      </c>
    </row>
    <row r="875">
      <c r="A875" s="4"/>
      <c r="B875" s="5"/>
      <c r="C875" s="5"/>
      <c r="D875" s="5"/>
      <c r="E875" s="5"/>
      <c r="F875" s="4"/>
      <c r="G875" s="4"/>
      <c r="H875" s="5"/>
      <c r="I875" s="4"/>
      <c r="J875" s="4"/>
      <c r="K875" s="4"/>
      <c r="L875" s="4"/>
      <c r="M875" s="4"/>
      <c r="N875" s="4"/>
      <c r="O875" s="4"/>
      <c r="P875" s="6">
        <f>IF(D875="","",SUBSTITUTE(SUBSTITUTE(SUBSTITUTE(SUBSTITUTE(SUBSTITUTE(SUBSTITUTE(SUBSTITUTE(TRIM(D875),".",""),"/",""),"-","")," ",""),"(",""),")",""),"+",""))</f>
      </c>
      <c r="Q875" s="6">
        <f>IF(P875="","",IF(LEN(P875)&lt;&gt;14,"ERRO: "&amp;LEN(P875)&amp;" dígitos",IF(NOT(ISNUMBER(VALUE(P875))),"ERRO: não numérico",IF(LEN(SUBSTITUTE(P875,LEFT(P875,1),""))=0,"ERRO: dígitos repetidos",IF(AND(VALUE(MID(P875,13,1))=IF(MOD(SUMPRODUCT(--MID(P875,{1,2,3,4,5,6,7,8,9,10,11,12},1),{5,4,3,2,9,8,7,6,5,4,3,2}),11)&lt;2,0,11-MOD(SUMPRODUCT(--MID(P875,{1,2,3,4,5,6,7,8,9,10,11,12},1),{5,4,3,2,9,8,7,6,5,4,3,2}),11)),VALUE(MID(P875,14,1))=IF(MOD(SUMPRODUCT(--MID(P875,{1,2,3,4,5,6,7,8,9,10,11,12,13},1),{6,5,4,3,2,9,8,7,6,5,4,3,2}),11)&lt;2,0,11-MOD(SUMPRODUCT(--MID(P875,{1,2,3,4,5,6,7,8,9,10,11,12,13},1),{6,5,4,3,2,9,8,7,6,5,4,3,2}),11))),"OK","ERRO: dígito verificador")))))</f>
      </c>
      <c r="R875" s="6">
        <f>IF(P875="","",IF(COUNTIF($P$2:$P$1001,P875)&gt;1,"DUPLICADO","OK"))</f>
      </c>
      <c r="S875" s="6">
        <f>IF(AND(J875="",K875=""),"vazio",IF(AND(OR(J875="",LEN(SUBSTITUTE(SUBSTITUTE(SUBSTITUTE(SUBSTITUTE(SUBSTITUTE(SUBSTITUTE(SUBSTITUTE(TRIM(J875),".",""),"/",""),"-","")," ",""),"(",""),")",""),"+",""))=10,LEN(SUBSTITUTE(SUBSTITUTE(SUBSTITUTE(SUBSTITUTE(SUBSTITUTE(SUBSTITUTE(SUBSTITUTE(TRIM(J875),".",""),"/",""),"-","")," ",""),"(",""),")",""),"+",""))=11),OR(K875="",LEN(SUBSTITUTE(SUBSTITUTE(SUBSTITUTE(SUBSTITUTE(SUBSTITUTE(SUBSTITUTE(SUBSTITUTE(TRIM(K875),".",""),"/",""),"-","")," ",""),"(",""),")",""),"+",""))=10,LEN(SUBSTITUTE(SUBSTITUTE(SUBSTITUTE(SUBSTITUTE(SUBSTITUTE(SUBSTITUTE(SUBSTITUTE(TRIM(K875),".",""),"/",""),"-","")," ",""),"(",""),")",""),"+",""))=11)),"OK","ERRO: use DDD + número (10 ou 11 dígitos)"))</f>
      </c>
      <c r="T875" s="6">
        <f>IF(L875="","vazio",IF(AND(ISNUMBER(FIND("@",L875)),ISNUMBER(FIND(".",MID(L875,FIND("@",L875),99))),NOT(ISNUMBER(FIND(" ",TRIM(L875)))),NOT(ISNUMBER(FIND(";",L875))),NOT(ISNUMBER(FIND(",",L875)))),"OK","ERRO: um e-mail válido por linha"))</f>
      </c>
      <c r="U875" s="6">
        <f>IF(COUNTA(A875:O875)=0,"",IF(AND(B875&lt;&gt;"",C875&lt;&gt;"",D875&lt;&gt;"",E875&lt;&gt;"",H875&lt;&gt;"",OR(J875&lt;&gt;"",L875&lt;&gt;"")),"OK","ERRO: faltam "&amp;IF(B875="","Proprietário; ","")&amp;IF(C875="","Origem; ","")&amp;IF(D875="","CNPJ; ","")&amp;IF(E875="","Razão Social; ","")&amp;IF(H875="","Sobrenome; ","")&amp;IF(AND(J875="",L875=""),"telefone ou e-mail; ","")))</f>
      </c>
      <c r="V875" s="6">
        <f>IF(COUNTA(A875:O875)=0,"",IF(AND(Q875="OK",R875="OK",LEFT(S875,4)&lt;&gt;"ERRO",LEFT(T875,4)&lt;&gt;"ERRO",U875="OK"),"OK","REVISAR"))</f>
      </c>
    </row>
    <row r="876">
      <c r="A876" s="4"/>
      <c r="B876" s="5"/>
      <c r="C876" s="5"/>
      <c r="D876" s="5"/>
      <c r="E876" s="5"/>
      <c r="F876" s="4"/>
      <c r="G876" s="4"/>
      <c r="H876" s="5"/>
      <c r="I876" s="4"/>
      <c r="J876" s="4"/>
      <c r="K876" s="4"/>
      <c r="L876" s="4"/>
      <c r="M876" s="4"/>
      <c r="N876" s="4"/>
      <c r="O876" s="4"/>
      <c r="P876" s="6">
        <f>IF(D876="","",SUBSTITUTE(SUBSTITUTE(SUBSTITUTE(SUBSTITUTE(SUBSTITUTE(SUBSTITUTE(SUBSTITUTE(TRIM(D876),".",""),"/",""),"-","")," ",""),"(",""),")",""),"+",""))</f>
      </c>
      <c r="Q876" s="6">
        <f>IF(P876="","",IF(LEN(P876)&lt;&gt;14,"ERRO: "&amp;LEN(P876)&amp;" dígitos",IF(NOT(ISNUMBER(VALUE(P876))),"ERRO: não numérico",IF(LEN(SUBSTITUTE(P876,LEFT(P876,1),""))=0,"ERRO: dígitos repetidos",IF(AND(VALUE(MID(P876,13,1))=IF(MOD(SUMPRODUCT(--MID(P876,{1,2,3,4,5,6,7,8,9,10,11,12},1),{5,4,3,2,9,8,7,6,5,4,3,2}),11)&lt;2,0,11-MOD(SUMPRODUCT(--MID(P876,{1,2,3,4,5,6,7,8,9,10,11,12},1),{5,4,3,2,9,8,7,6,5,4,3,2}),11)),VALUE(MID(P876,14,1))=IF(MOD(SUMPRODUCT(--MID(P876,{1,2,3,4,5,6,7,8,9,10,11,12,13},1),{6,5,4,3,2,9,8,7,6,5,4,3,2}),11)&lt;2,0,11-MOD(SUMPRODUCT(--MID(P876,{1,2,3,4,5,6,7,8,9,10,11,12,13},1),{6,5,4,3,2,9,8,7,6,5,4,3,2}),11))),"OK","ERRO: dígito verificador")))))</f>
      </c>
      <c r="R876" s="6">
        <f>IF(P876="","",IF(COUNTIF($P$2:$P$1001,P876)&gt;1,"DUPLICADO","OK"))</f>
      </c>
      <c r="S876" s="6">
        <f>IF(AND(J876="",K876=""),"vazio",IF(AND(OR(J876="",LEN(SUBSTITUTE(SUBSTITUTE(SUBSTITUTE(SUBSTITUTE(SUBSTITUTE(SUBSTITUTE(SUBSTITUTE(TRIM(J876),".",""),"/",""),"-","")," ",""),"(",""),")",""),"+",""))=10,LEN(SUBSTITUTE(SUBSTITUTE(SUBSTITUTE(SUBSTITUTE(SUBSTITUTE(SUBSTITUTE(SUBSTITUTE(TRIM(J876),".",""),"/",""),"-","")," ",""),"(",""),")",""),"+",""))=11),OR(K876="",LEN(SUBSTITUTE(SUBSTITUTE(SUBSTITUTE(SUBSTITUTE(SUBSTITUTE(SUBSTITUTE(SUBSTITUTE(TRIM(K876),".",""),"/",""),"-","")," ",""),"(",""),")",""),"+",""))=10,LEN(SUBSTITUTE(SUBSTITUTE(SUBSTITUTE(SUBSTITUTE(SUBSTITUTE(SUBSTITUTE(SUBSTITUTE(TRIM(K876),".",""),"/",""),"-","")," ",""),"(",""),")",""),"+",""))=11)),"OK","ERRO: use DDD + número (10 ou 11 dígitos)"))</f>
      </c>
      <c r="T876" s="6">
        <f>IF(L876="","vazio",IF(AND(ISNUMBER(FIND("@",L876)),ISNUMBER(FIND(".",MID(L876,FIND("@",L876),99))),NOT(ISNUMBER(FIND(" ",TRIM(L876)))),NOT(ISNUMBER(FIND(";",L876))),NOT(ISNUMBER(FIND(",",L876)))),"OK","ERRO: um e-mail válido por linha"))</f>
      </c>
      <c r="U876" s="6">
        <f>IF(COUNTA(A876:O876)=0,"",IF(AND(B876&lt;&gt;"",C876&lt;&gt;"",D876&lt;&gt;"",E876&lt;&gt;"",H876&lt;&gt;"",OR(J876&lt;&gt;"",L876&lt;&gt;"")),"OK","ERRO: faltam "&amp;IF(B876="","Proprietário; ","")&amp;IF(C876="","Origem; ","")&amp;IF(D876="","CNPJ; ","")&amp;IF(E876="","Razão Social; ","")&amp;IF(H876="","Sobrenome; ","")&amp;IF(AND(J876="",L876=""),"telefone ou e-mail; ","")))</f>
      </c>
      <c r="V876" s="6">
        <f>IF(COUNTA(A876:O876)=0,"",IF(AND(Q876="OK",R876="OK",LEFT(S876,4)&lt;&gt;"ERRO",LEFT(T876,4)&lt;&gt;"ERRO",U876="OK"),"OK","REVISAR"))</f>
      </c>
    </row>
    <row r="877">
      <c r="A877" s="4"/>
      <c r="B877" s="5"/>
      <c r="C877" s="5"/>
      <c r="D877" s="5"/>
      <c r="E877" s="5"/>
      <c r="F877" s="4"/>
      <c r="G877" s="4"/>
      <c r="H877" s="5"/>
      <c r="I877" s="4"/>
      <c r="J877" s="4"/>
      <c r="K877" s="4"/>
      <c r="L877" s="4"/>
      <c r="M877" s="4"/>
      <c r="N877" s="4"/>
      <c r="O877" s="4"/>
      <c r="P877" s="6">
        <f>IF(D877="","",SUBSTITUTE(SUBSTITUTE(SUBSTITUTE(SUBSTITUTE(SUBSTITUTE(SUBSTITUTE(SUBSTITUTE(TRIM(D877),".",""),"/",""),"-","")," ",""),"(",""),")",""),"+",""))</f>
      </c>
      <c r="Q877" s="6">
        <f>IF(P877="","",IF(LEN(P877)&lt;&gt;14,"ERRO: "&amp;LEN(P877)&amp;" dígitos",IF(NOT(ISNUMBER(VALUE(P877))),"ERRO: não numérico",IF(LEN(SUBSTITUTE(P877,LEFT(P877,1),""))=0,"ERRO: dígitos repetidos",IF(AND(VALUE(MID(P877,13,1))=IF(MOD(SUMPRODUCT(--MID(P877,{1,2,3,4,5,6,7,8,9,10,11,12},1),{5,4,3,2,9,8,7,6,5,4,3,2}),11)&lt;2,0,11-MOD(SUMPRODUCT(--MID(P877,{1,2,3,4,5,6,7,8,9,10,11,12},1),{5,4,3,2,9,8,7,6,5,4,3,2}),11)),VALUE(MID(P877,14,1))=IF(MOD(SUMPRODUCT(--MID(P877,{1,2,3,4,5,6,7,8,9,10,11,12,13},1),{6,5,4,3,2,9,8,7,6,5,4,3,2}),11)&lt;2,0,11-MOD(SUMPRODUCT(--MID(P877,{1,2,3,4,5,6,7,8,9,10,11,12,13},1),{6,5,4,3,2,9,8,7,6,5,4,3,2}),11))),"OK","ERRO: dígito verificador")))))</f>
      </c>
      <c r="R877" s="6">
        <f>IF(P877="","",IF(COUNTIF($P$2:$P$1001,P877)&gt;1,"DUPLICADO","OK"))</f>
      </c>
      <c r="S877" s="6">
        <f>IF(AND(J877="",K877=""),"vazio",IF(AND(OR(J877="",LEN(SUBSTITUTE(SUBSTITUTE(SUBSTITUTE(SUBSTITUTE(SUBSTITUTE(SUBSTITUTE(SUBSTITUTE(TRIM(J877),".",""),"/",""),"-","")," ",""),"(",""),")",""),"+",""))=10,LEN(SUBSTITUTE(SUBSTITUTE(SUBSTITUTE(SUBSTITUTE(SUBSTITUTE(SUBSTITUTE(SUBSTITUTE(TRIM(J877),".",""),"/",""),"-","")," ",""),"(",""),")",""),"+",""))=11),OR(K877="",LEN(SUBSTITUTE(SUBSTITUTE(SUBSTITUTE(SUBSTITUTE(SUBSTITUTE(SUBSTITUTE(SUBSTITUTE(TRIM(K877),".",""),"/",""),"-","")," ",""),"(",""),")",""),"+",""))=10,LEN(SUBSTITUTE(SUBSTITUTE(SUBSTITUTE(SUBSTITUTE(SUBSTITUTE(SUBSTITUTE(SUBSTITUTE(TRIM(K877),".",""),"/",""),"-","")," ",""),"(",""),")",""),"+",""))=11)),"OK","ERRO: use DDD + número (10 ou 11 dígitos)"))</f>
      </c>
      <c r="T877" s="6">
        <f>IF(L877="","vazio",IF(AND(ISNUMBER(FIND("@",L877)),ISNUMBER(FIND(".",MID(L877,FIND("@",L877),99))),NOT(ISNUMBER(FIND(" ",TRIM(L877)))),NOT(ISNUMBER(FIND(";",L877))),NOT(ISNUMBER(FIND(",",L877)))),"OK","ERRO: um e-mail válido por linha"))</f>
      </c>
      <c r="U877" s="6">
        <f>IF(COUNTA(A877:O877)=0,"",IF(AND(B877&lt;&gt;"",C877&lt;&gt;"",D877&lt;&gt;"",E877&lt;&gt;"",H877&lt;&gt;"",OR(J877&lt;&gt;"",L877&lt;&gt;"")),"OK","ERRO: faltam "&amp;IF(B877="","Proprietário; ","")&amp;IF(C877="","Origem; ","")&amp;IF(D877="","CNPJ; ","")&amp;IF(E877="","Razão Social; ","")&amp;IF(H877="","Sobrenome; ","")&amp;IF(AND(J877="",L877=""),"telefone ou e-mail; ","")))</f>
      </c>
      <c r="V877" s="6">
        <f>IF(COUNTA(A877:O877)=0,"",IF(AND(Q877="OK",R877="OK",LEFT(S877,4)&lt;&gt;"ERRO",LEFT(T877,4)&lt;&gt;"ERRO",U877="OK"),"OK","REVISAR"))</f>
      </c>
    </row>
    <row r="878">
      <c r="A878" s="4"/>
      <c r="B878" s="5"/>
      <c r="C878" s="5"/>
      <c r="D878" s="5"/>
      <c r="E878" s="5"/>
      <c r="F878" s="4"/>
      <c r="G878" s="4"/>
      <c r="H878" s="5"/>
      <c r="I878" s="4"/>
      <c r="J878" s="4"/>
      <c r="K878" s="4"/>
      <c r="L878" s="4"/>
      <c r="M878" s="4"/>
      <c r="N878" s="4"/>
      <c r="O878" s="4"/>
      <c r="P878" s="6">
        <f>IF(D878="","",SUBSTITUTE(SUBSTITUTE(SUBSTITUTE(SUBSTITUTE(SUBSTITUTE(SUBSTITUTE(SUBSTITUTE(TRIM(D878),".",""),"/",""),"-","")," ",""),"(",""),")",""),"+",""))</f>
      </c>
      <c r="Q878" s="6">
        <f>IF(P878="","",IF(LEN(P878)&lt;&gt;14,"ERRO: "&amp;LEN(P878)&amp;" dígitos",IF(NOT(ISNUMBER(VALUE(P878))),"ERRO: não numérico",IF(LEN(SUBSTITUTE(P878,LEFT(P878,1),""))=0,"ERRO: dígitos repetidos",IF(AND(VALUE(MID(P878,13,1))=IF(MOD(SUMPRODUCT(--MID(P878,{1,2,3,4,5,6,7,8,9,10,11,12},1),{5,4,3,2,9,8,7,6,5,4,3,2}),11)&lt;2,0,11-MOD(SUMPRODUCT(--MID(P878,{1,2,3,4,5,6,7,8,9,10,11,12},1),{5,4,3,2,9,8,7,6,5,4,3,2}),11)),VALUE(MID(P878,14,1))=IF(MOD(SUMPRODUCT(--MID(P878,{1,2,3,4,5,6,7,8,9,10,11,12,13},1),{6,5,4,3,2,9,8,7,6,5,4,3,2}),11)&lt;2,0,11-MOD(SUMPRODUCT(--MID(P878,{1,2,3,4,5,6,7,8,9,10,11,12,13},1),{6,5,4,3,2,9,8,7,6,5,4,3,2}),11))),"OK","ERRO: dígito verificador")))))</f>
      </c>
      <c r="R878" s="6">
        <f>IF(P878="","",IF(COUNTIF($P$2:$P$1001,P878)&gt;1,"DUPLICADO","OK"))</f>
      </c>
      <c r="S878" s="6">
        <f>IF(AND(J878="",K878=""),"vazio",IF(AND(OR(J878="",LEN(SUBSTITUTE(SUBSTITUTE(SUBSTITUTE(SUBSTITUTE(SUBSTITUTE(SUBSTITUTE(SUBSTITUTE(TRIM(J878),".",""),"/",""),"-","")," ",""),"(",""),")",""),"+",""))=10,LEN(SUBSTITUTE(SUBSTITUTE(SUBSTITUTE(SUBSTITUTE(SUBSTITUTE(SUBSTITUTE(SUBSTITUTE(TRIM(J878),".",""),"/",""),"-","")," ",""),"(",""),")",""),"+",""))=11),OR(K878="",LEN(SUBSTITUTE(SUBSTITUTE(SUBSTITUTE(SUBSTITUTE(SUBSTITUTE(SUBSTITUTE(SUBSTITUTE(TRIM(K878),".",""),"/",""),"-","")," ",""),"(",""),")",""),"+",""))=10,LEN(SUBSTITUTE(SUBSTITUTE(SUBSTITUTE(SUBSTITUTE(SUBSTITUTE(SUBSTITUTE(SUBSTITUTE(TRIM(K878),".",""),"/",""),"-","")," ",""),"(",""),")",""),"+",""))=11)),"OK","ERRO: use DDD + número (10 ou 11 dígitos)"))</f>
      </c>
      <c r="T878" s="6">
        <f>IF(L878="","vazio",IF(AND(ISNUMBER(FIND("@",L878)),ISNUMBER(FIND(".",MID(L878,FIND("@",L878),99))),NOT(ISNUMBER(FIND(" ",TRIM(L878)))),NOT(ISNUMBER(FIND(";",L878))),NOT(ISNUMBER(FIND(",",L878)))),"OK","ERRO: um e-mail válido por linha"))</f>
      </c>
      <c r="U878" s="6">
        <f>IF(COUNTA(A878:O878)=0,"",IF(AND(B878&lt;&gt;"",C878&lt;&gt;"",D878&lt;&gt;"",E878&lt;&gt;"",H878&lt;&gt;"",OR(J878&lt;&gt;"",L878&lt;&gt;"")),"OK","ERRO: faltam "&amp;IF(B878="","Proprietário; ","")&amp;IF(C878="","Origem; ","")&amp;IF(D878="","CNPJ; ","")&amp;IF(E878="","Razão Social; ","")&amp;IF(H878="","Sobrenome; ","")&amp;IF(AND(J878="",L878=""),"telefone ou e-mail; ","")))</f>
      </c>
      <c r="V878" s="6">
        <f>IF(COUNTA(A878:O878)=0,"",IF(AND(Q878="OK",R878="OK",LEFT(S878,4)&lt;&gt;"ERRO",LEFT(T878,4)&lt;&gt;"ERRO",U878="OK"),"OK","REVISAR"))</f>
      </c>
    </row>
    <row r="879">
      <c r="A879" s="4"/>
      <c r="B879" s="5"/>
      <c r="C879" s="5"/>
      <c r="D879" s="5"/>
      <c r="E879" s="5"/>
      <c r="F879" s="4"/>
      <c r="G879" s="4"/>
      <c r="H879" s="5"/>
      <c r="I879" s="4"/>
      <c r="J879" s="4"/>
      <c r="K879" s="4"/>
      <c r="L879" s="4"/>
      <c r="M879" s="4"/>
      <c r="N879" s="4"/>
      <c r="O879" s="4"/>
      <c r="P879" s="6">
        <f>IF(D879="","",SUBSTITUTE(SUBSTITUTE(SUBSTITUTE(SUBSTITUTE(SUBSTITUTE(SUBSTITUTE(SUBSTITUTE(TRIM(D879),".",""),"/",""),"-","")," ",""),"(",""),")",""),"+",""))</f>
      </c>
      <c r="Q879" s="6">
        <f>IF(P879="","",IF(LEN(P879)&lt;&gt;14,"ERRO: "&amp;LEN(P879)&amp;" dígitos",IF(NOT(ISNUMBER(VALUE(P879))),"ERRO: não numérico",IF(LEN(SUBSTITUTE(P879,LEFT(P879,1),""))=0,"ERRO: dígitos repetidos",IF(AND(VALUE(MID(P879,13,1))=IF(MOD(SUMPRODUCT(--MID(P879,{1,2,3,4,5,6,7,8,9,10,11,12},1),{5,4,3,2,9,8,7,6,5,4,3,2}),11)&lt;2,0,11-MOD(SUMPRODUCT(--MID(P879,{1,2,3,4,5,6,7,8,9,10,11,12},1),{5,4,3,2,9,8,7,6,5,4,3,2}),11)),VALUE(MID(P879,14,1))=IF(MOD(SUMPRODUCT(--MID(P879,{1,2,3,4,5,6,7,8,9,10,11,12,13},1),{6,5,4,3,2,9,8,7,6,5,4,3,2}),11)&lt;2,0,11-MOD(SUMPRODUCT(--MID(P879,{1,2,3,4,5,6,7,8,9,10,11,12,13},1),{6,5,4,3,2,9,8,7,6,5,4,3,2}),11))),"OK","ERRO: dígito verificador")))))</f>
      </c>
      <c r="R879" s="6">
        <f>IF(P879="","",IF(COUNTIF($P$2:$P$1001,P879)&gt;1,"DUPLICADO","OK"))</f>
      </c>
      <c r="S879" s="6">
        <f>IF(AND(J879="",K879=""),"vazio",IF(AND(OR(J879="",LEN(SUBSTITUTE(SUBSTITUTE(SUBSTITUTE(SUBSTITUTE(SUBSTITUTE(SUBSTITUTE(SUBSTITUTE(TRIM(J879),".",""),"/",""),"-","")," ",""),"(",""),")",""),"+",""))=10,LEN(SUBSTITUTE(SUBSTITUTE(SUBSTITUTE(SUBSTITUTE(SUBSTITUTE(SUBSTITUTE(SUBSTITUTE(TRIM(J879),".",""),"/",""),"-","")," ",""),"(",""),")",""),"+",""))=11),OR(K879="",LEN(SUBSTITUTE(SUBSTITUTE(SUBSTITUTE(SUBSTITUTE(SUBSTITUTE(SUBSTITUTE(SUBSTITUTE(TRIM(K879),".",""),"/",""),"-","")," ",""),"(",""),")",""),"+",""))=10,LEN(SUBSTITUTE(SUBSTITUTE(SUBSTITUTE(SUBSTITUTE(SUBSTITUTE(SUBSTITUTE(SUBSTITUTE(TRIM(K879),".",""),"/",""),"-","")," ",""),"(",""),")",""),"+",""))=11)),"OK","ERRO: use DDD + número (10 ou 11 dígitos)"))</f>
      </c>
      <c r="T879" s="6">
        <f>IF(L879="","vazio",IF(AND(ISNUMBER(FIND("@",L879)),ISNUMBER(FIND(".",MID(L879,FIND("@",L879),99))),NOT(ISNUMBER(FIND(" ",TRIM(L879)))),NOT(ISNUMBER(FIND(";",L879))),NOT(ISNUMBER(FIND(",",L879)))),"OK","ERRO: um e-mail válido por linha"))</f>
      </c>
      <c r="U879" s="6">
        <f>IF(COUNTA(A879:O879)=0,"",IF(AND(B879&lt;&gt;"",C879&lt;&gt;"",D879&lt;&gt;"",E879&lt;&gt;"",H879&lt;&gt;"",OR(J879&lt;&gt;"",L879&lt;&gt;"")),"OK","ERRO: faltam "&amp;IF(B879="","Proprietário; ","")&amp;IF(C879="","Origem; ","")&amp;IF(D879="","CNPJ; ","")&amp;IF(E879="","Razão Social; ","")&amp;IF(H879="","Sobrenome; ","")&amp;IF(AND(J879="",L879=""),"telefone ou e-mail; ","")))</f>
      </c>
      <c r="V879" s="6">
        <f>IF(COUNTA(A879:O879)=0,"",IF(AND(Q879="OK",R879="OK",LEFT(S879,4)&lt;&gt;"ERRO",LEFT(T879,4)&lt;&gt;"ERRO",U879="OK"),"OK","REVISAR"))</f>
      </c>
    </row>
    <row r="880">
      <c r="A880" s="4"/>
      <c r="B880" s="5"/>
      <c r="C880" s="5"/>
      <c r="D880" s="5"/>
      <c r="E880" s="5"/>
      <c r="F880" s="4"/>
      <c r="G880" s="4"/>
      <c r="H880" s="5"/>
      <c r="I880" s="4"/>
      <c r="J880" s="4"/>
      <c r="K880" s="4"/>
      <c r="L880" s="4"/>
      <c r="M880" s="4"/>
      <c r="N880" s="4"/>
      <c r="O880" s="4"/>
      <c r="P880" s="6">
        <f>IF(D880="","",SUBSTITUTE(SUBSTITUTE(SUBSTITUTE(SUBSTITUTE(SUBSTITUTE(SUBSTITUTE(SUBSTITUTE(TRIM(D880),".",""),"/",""),"-","")," ",""),"(",""),")",""),"+",""))</f>
      </c>
      <c r="Q880" s="6">
        <f>IF(P880="","",IF(LEN(P880)&lt;&gt;14,"ERRO: "&amp;LEN(P880)&amp;" dígitos",IF(NOT(ISNUMBER(VALUE(P880))),"ERRO: não numérico",IF(LEN(SUBSTITUTE(P880,LEFT(P880,1),""))=0,"ERRO: dígitos repetidos",IF(AND(VALUE(MID(P880,13,1))=IF(MOD(SUMPRODUCT(--MID(P880,{1,2,3,4,5,6,7,8,9,10,11,12},1),{5,4,3,2,9,8,7,6,5,4,3,2}),11)&lt;2,0,11-MOD(SUMPRODUCT(--MID(P880,{1,2,3,4,5,6,7,8,9,10,11,12},1),{5,4,3,2,9,8,7,6,5,4,3,2}),11)),VALUE(MID(P880,14,1))=IF(MOD(SUMPRODUCT(--MID(P880,{1,2,3,4,5,6,7,8,9,10,11,12,13},1),{6,5,4,3,2,9,8,7,6,5,4,3,2}),11)&lt;2,0,11-MOD(SUMPRODUCT(--MID(P880,{1,2,3,4,5,6,7,8,9,10,11,12,13},1),{6,5,4,3,2,9,8,7,6,5,4,3,2}),11))),"OK","ERRO: dígito verificador")))))</f>
      </c>
      <c r="R880" s="6">
        <f>IF(P880="","",IF(COUNTIF($P$2:$P$1001,P880)&gt;1,"DUPLICADO","OK"))</f>
      </c>
      <c r="S880" s="6">
        <f>IF(AND(J880="",K880=""),"vazio",IF(AND(OR(J880="",LEN(SUBSTITUTE(SUBSTITUTE(SUBSTITUTE(SUBSTITUTE(SUBSTITUTE(SUBSTITUTE(SUBSTITUTE(TRIM(J880),".",""),"/",""),"-","")," ",""),"(",""),")",""),"+",""))=10,LEN(SUBSTITUTE(SUBSTITUTE(SUBSTITUTE(SUBSTITUTE(SUBSTITUTE(SUBSTITUTE(SUBSTITUTE(TRIM(J880),".",""),"/",""),"-","")," ",""),"(",""),")",""),"+",""))=11),OR(K880="",LEN(SUBSTITUTE(SUBSTITUTE(SUBSTITUTE(SUBSTITUTE(SUBSTITUTE(SUBSTITUTE(SUBSTITUTE(TRIM(K880),".",""),"/",""),"-","")," ",""),"(",""),")",""),"+",""))=10,LEN(SUBSTITUTE(SUBSTITUTE(SUBSTITUTE(SUBSTITUTE(SUBSTITUTE(SUBSTITUTE(SUBSTITUTE(TRIM(K880),".",""),"/",""),"-","")," ",""),"(",""),")",""),"+",""))=11)),"OK","ERRO: use DDD + número (10 ou 11 dígitos)"))</f>
      </c>
      <c r="T880" s="6">
        <f>IF(L880="","vazio",IF(AND(ISNUMBER(FIND("@",L880)),ISNUMBER(FIND(".",MID(L880,FIND("@",L880),99))),NOT(ISNUMBER(FIND(" ",TRIM(L880)))),NOT(ISNUMBER(FIND(";",L880))),NOT(ISNUMBER(FIND(",",L880)))),"OK","ERRO: um e-mail válido por linha"))</f>
      </c>
      <c r="U880" s="6">
        <f>IF(COUNTA(A880:O880)=0,"",IF(AND(B880&lt;&gt;"",C880&lt;&gt;"",D880&lt;&gt;"",E880&lt;&gt;"",H880&lt;&gt;"",OR(J880&lt;&gt;"",L880&lt;&gt;"")),"OK","ERRO: faltam "&amp;IF(B880="","Proprietário; ","")&amp;IF(C880="","Origem; ","")&amp;IF(D880="","CNPJ; ","")&amp;IF(E880="","Razão Social; ","")&amp;IF(H880="","Sobrenome; ","")&amp;IF(AND(J880="",L880=""),"telefone ou e-mail; ","")))</f>
      </c>
      <c r="V880" s="6">
        <f>IF(COUNTA(A880:O880)=0,"",IF(AND(Q880="OK",R880="OK",LEFT(S880,4)&lt;&gt;"ERRO",LEFT(T880,4)&lt;&gt;"ERRO",U880="OK"),"OK","REVISAR"))</f>
      </c>
    </row>
    <row r="881">
      <c r="A881" s="4"/>
      <c r="B881" s="5"/>
      <c r="C881" s="5"/>
      <c r="D881" s="5"/>
      <c r="E881" s="5"/>
      <c r="F881" s="4"/>
      <c r="G881" s="4"/>
      <c r="H881" s="5"/>
      <c r="I881" s="4"/>
      <c r="J881" s="4"/>
      <c r="K881" s="4"/>
      <c r="L881" s="4"/>
      <c r="M881" s="4"/>
      <c r="N881" s="4"/>
      <c r="O881" s="4"/>
      <c r="P881" s="6">
        <f>IF(D881="","",SUBSTITUTE(SUBSTITUTE(SUBSTITUTE(SUBSTITUTE(SUBSTITUTE(SUBSTITUTE(SUBSTITUTE(TRIM(D881),".",""),"/",""),"-","")," ",""),"(",""),")",""),"+",""))</f>
      </c>
      <c r="Q881" s="6">
        <f>IF(P881="","",IF(LEN(P881)&lt;&gt;14,"ERRO: "&amp;LEN(P881)&amp;" dígitos",IF(NOT(ISNUMBER(VALUE(P881))),"ERRO: não numérico",IF(LEN(SUBSTITUTE(P881,LEFT(P881,1),""))=0,"ERRO: dígitos repetidos",IF(AND(VALUE(MID(P881,13,1))=IF(MOD(SUMPRODUCT(--MID(P881,{1,2,3,4,5,6,7,8,9,10,11,12},1),{5,4,3,2,9,8,7,6,5,4,3,2}),11)&lt;2,0,11-MOD(SUMPRODUCT(--MID(P881,{1,2,3,4,5,6,7,8,9,10,11,12},1),{5,4,3,2,9,8,7,6,5,4,3,2}),11)),VALUE(MID(P881,14,1))=IF(MOD(SUMPRODUCT(--MID(P881,{1,2,3,4,5,6,7,8,9,10,11,12,13},1),{6,5,4,3,2,9,8,7,6,5,4,3,2}),11)&lt;2,0,11-MOD(SUMPRODUCT(--MID(P881,{1,2,3,4,5,6,7,8,9,10,11,12,13},1),{6,5,4,3,2,9,8,7,6,5,4,3,2}),11))),"OK","ERRO: dígito verificador")))))</f>
      </c>
      <c r="R881" s="6">
        <f>IF(P881="","",IF(COUNTIF($P$2:$P$1001,P881)&gt;1,"DUPLICADO","OK"))</f>
      </c>
      <c r="S881" s="6">
        <f>IF(AND(J881="",K881=""),"vazio",IF(AND(OR(J881="",LEN(SUBSTITUTE(SUBSTITUTE(SUBSTITUTE(SUBSTITUTE(SUBSTITUTE(SUBSTITUTE(SUBSTITUTE(TRIM(J881),".",""),"/",""),"-","")," ",""),"(",""),")",""),"+",""))=10,LEN(SUBSTITUTE(SUBSTITUTE(SUBSTITUTE(SUBSTITUTE(SUBSTITUTE(SUBSTITUTE(SUBSTITUTE(TRIM(J881),".",""),"/",""),"-","")," ",""),"(",""),")",""),"+",""))=11),OR(K881="",LEN(SUBSTITUTE(SUBSTITUTE(SUBSTITUTE(SUBSTITUTE(SUBSTITUTE(SUBSTITUTE(SUBSTITUTE(TRIM(K881),".",""),"/",""),"-","")," ",""),"(",""),")",""),"+",""))=10,LEN(SUBSTITUTE(SUBSTITUTE(SUBSTITUTE(SUBSTITUTE(SUBSTITUTE(SUBSTITUTE(SUBSTITUTE(TRIM(K881),".",""),"/",""),"-","")," ",""),"(",""),")",""),"+",""))=11)),"OK","ERRO: use DDD + número (10 ou 11 dígitos)"))</f>
      </c>
      <c r="T881" s="6">
        <f>IF(L881="","vazio",IF(AND(ISNUMBER(FIND("@",L881)),ISNUMBER(FIND(".",MID(L881,FIND("@",L881),99))),NOT(ISNUMBER(FIND(" ",TRIM(L881)))),NOT(ISNUMBER(FIND(";",L881))),NOT(ISNUMBER(FIND(",",L881)))),"OK","ERRO: um e-mail válido por linha"))</f>
      </c>
      <c r="U881" s="6">
        <f>IF(COUNTA(A881:O881)=0,"",IF(AND(B881&lt;&gt;"",C881&lt;&gt;"",D881&lt;&gt;"",E881&lt;&gt;"",H881&lt;&gt;"",OR(J881&lt;&gt;"",L881&lt;&gt;"")),"OK","ERRO: faltam "&amp;IF(B881="","Proprietário; ","")&amp;IF(C881="","Origem; ","")&amp;IF(D881="","CNPJ; ","")&amp;IF(E881="","Razão Social; ","")&amp;IF(H881="","Sobrenome; ","")&amp;IF(AND(J881="",L881=""),"telefone ou e-mail; ","")))</f>
      </c>
      <c r="V881" s="6">
        <f>IF(COUNTA(A881:O881)=0,"",IF(AND(Q881="OK",R881="OK",LEFT(S881,4)&lt;&gt;"ERRO",LEFT(T881,4)&lt;&gt;"ERRO",U881="OK"),"OK","REVISAR"))</f>
      </c>
    </row>
    <row r="882">
      <c r="A882" s="4"/>
      <c r="B882" s="5"/>
      <c r="C882" s="5"/>
      <c r="D882" s="5"/>
      <c r="E882" s="5"/>
      <c r="F882" s="4"/>
      <c r="G882" s="4"/>
      <c r="H882" s="5"/>
      <c r="I882" s="4"/>
      <c r="J882" s="4"/>
      <c r="K882" s="4"/>
      <c r="L882" s="4"/>
      <c r="M882" s="4"/>
      <c r="N882" s="4"/>
      <c r="O882" s="4"/>
      <c r="P882" s="6">
        <f>IF(D882="","",SUBSTITUTE(SUBSTITUTE(SUBSTITUTE(SUBSTITUTE(SUBSTITUTE(SUBSTITUTE(SUBSTITUTE(TRIM(D882),".",""),"/",""),"-","")," ",""),"(",""),")",""),"+",""))</f>
      </c>
      <c r="Q882" s="6">
        <f>IF(P882="","",IF(LEN(P882)&lt;&gt;14,"ERRO: "&amp;LEN(P882)&amp;" dígitos",IF(NOT(ISNUMBER(VALUE(P882))),"ERRO: não numérico",IF(LEN(SUBSTITUTE(P882,LEFT(P882,1),""))=0,"ERRO: dígitos repetidos",IF(AND(VALUE(MID(P882,13,1))=IF(MOD(SUMPRODUCT(--MID(P882,{1,2,3,4,5,6,7,8,9,10,11,12},1),{5,4,3,2,9,8,7,6,5,4,3,2}),11)&lt;2,0,11-MOD(SUMPRODUCT(--MID(P882,{1,2,3,4,5,6,7,8,9,10,11,12},1),{5,4,3,2,9,8,7,6,5,4,3,2}),11)),VALUE(MID(P882,14,1))=IF(MOD(SUMPRODUCT(--MID(P882,{1,2,3,4,5,6,7,8,9,10,11,12,13},1),{6,5,4,3,2,9,8,7,6,5,4,3,2}),11)&lt;2,0,11-MOD(SUMPRODUCT(--MID(P882,{1,2,3,4,5,6,7,8,9,10,11,12,13},1),{6,5,4,3,2,9,8,7,6,5,4,3,2}),11))),"OK","ERRO: dígito verificador")))))</f>
      </c>
      <c r="R882" s="6">
        <f>IF(P882="","",IF(COUNTIF($P$2:$P$1001,P882)&gt;1,"DUPLICADO","OK"))</f>
      </c>
      <c r="S882" s="6">
        <f>IF(AND(J882="",K882=""),"vazio",IF(AND(OR(J882="",LEN(SUBSTITUTE(SUBSTITUTE(SUBSTITUTE(SUBSTITUTE(SUBSTITUTE(SUBSTITUTE(SUBSTITUTE(TRIM(J882),".",""),"/",""),"-","")," ",""),"(",""),")",""),"+",""))=10,LEN(SUBSTITUTE(SUBSTITUTE(SUBSTITUTE(SUBSTITUTE(SUBSTITUTE(SUBSTITUTE(SUBSTITUTE(TRIM(J882),".",""),"/",""),"-","")," ",""),"(",""),")",""),"+",""))=11),OR(K882="",LEN(SUBSTITUTE(SUBSTITUTE(SUBSTITUTE(SUBSTITUTE(SUBSTITUTE(SUBSTITUTE(SUBSTITUTE(TRIM(K882),".",""),"/",""),"-","")," ",""),"(",""),")",""),"+",""))=10,LEN(SUBSTITUTE(SUBSTITUTE(SUBSTITUTE(SUBSTITUTE(SUBSTITUTE(SUBSTITUTE(SUBSTITUTE(TRIM(K882),".",""),"/",""),"-","")," ",""),"(",""),")",""),"+",""))=11)),"OK","ERRO: use DDD + número (10 ou 11 dígitos)"))</f>
      </c>
      <c r="T882" s="6">
        <f>IF(L882="","vazio",IF(AND(ISNUMBER(FIND("@",L882)),ISNUMBER(FIND(".",MID(L882,FIND("@",L882),99))),NOT(ISNUMBER(FIND(" ",TRIM(L882)))),NOT(ISNUMBER(FIND(";",L882))),NOT(ISNUMBER(FIND(",",L882)))),"OK","ERRO: um e-mail válido por linha"))</f>
      </c>
      <c r="U882" s="6">
        <f>IF(COUNTA(A882:O882)=0,"",IF(AND(B882&lt;&gt;"",C882&lt;&gt;"",D882&lt;&gt;"",E882&lt;&gt;"",H882&lt;&gt;"",OR(J882&lt;&gt;"",L882&lt;&gt;"")),"OK","ERRO: faltam "&amp;IF(B882="","Proprietário; ","")&amp;IF(C882="","Origem; ","")&amp;IF(D882="","CNPJ; ","")&amp;IF(E882="","Razão Social; ","")&amp;IF(H882="","Sobrenome; ","")&amp;IF(AND(J882="",L882=""),"telefone ou e-mail; ","")))</f>
      </c>
      <c r="V882" s="6">
        <f>IF(COUNTA(A882:O882)=0,"",IF(AND(Q882="OK",R882="OK",LEFT(S882,4)&lt;&gt;"ERRO",LEFT(T882,4)&lt;&gt;"ERRO",U882="OK"),"OK","REVISAR"))</f>
      </c>
    </row>
    <row r="883">
      <c r="A883" s="4"/>
      <c r="B883" s="5"/>
      <c r="C883" s="5"/>
      <c r="D883" s="5"/>
      <c r="E883" s="5"/>
      <c r="F883" s="4"/>
      <c r="G883" s="4"/>
      <c r="H883" s="5"/>
      <c r="I883" s="4"/>
      <c r="J883" s="4"/>
      <c r="K883" s="4"/>
      <c r="L883" s="4"/>
      <c r="M883" s="4"/>
      <c r="N883" s="4"/>
      <c r="O883" s="4"/>
      <c r="P883" s="6">
        <f>IF(D883="","",SUBSTITUTE(SUBSTITUTE(SUBSTITUTE(SUBSTITUTE(SUBSTITUTE(SUBSTITUTE(SUBSTITUTE(TRIM(D883),".",""),"/",""),"-","")," ",""),"(",""),")",""),"+",""))</f>
      </c>
      <c r="Q883" s="6">
        <f>IF(P883="","",IF(LEN(P883)&lt;&gt;14,"ERRO: "&amp;LEN(P883)&amp;" dígitos",IF(NOT(ISNUMBER(VALUE(P883))),"ERRO: não numérico",IF(LEN(SUBSTITUTE(P883,LEFT(P883,1),""))=0,"ERRO: dígitos repetidos",IF(AND(VALUE(MID(P883,13,1))=IF(MOD(SUMPRODUCT(--MID(P883,{1,2,3,4,5,6,7,8,9,10,11,12},1),{5,4,3,2,9,8,7,6,5,4,3,2}),11)&lt;2,0,11-MOD(SUMPRODUCT(--MID(P883,{1,2,3,4,5,6,7,8,9,10,11,12},1),{5,4,3,2,9,8,7,6,5,4,3,2}),11)),VALUE(MID(P883,14,1))=IF(MOD(SUMPRODUCT(--MID(P883,{1,2,3,4,5,6,7,8,9,10,11,12,13},1),{6,5,4,3,2,9,8,7,6,5,4,3,2}),11)&lt;2,0,11-MOD(SUMPRODUCT(--MID(P883,{1,2,3,4,5,6,7,8,9,10,11,12,13},1),{6,5,4,3,2,9,8,7,6,5,4,3,2}),11))),"OK","ERRO: dígito verificador")))))</f>
      </c>
      <c r="R883" s="6">
        <f>IF(P883="","",IF(COUNTIF($P$2:$P$1001,P883)&gt;1,"DUPLICADO","OK"))</f>
      </c>
      <c r="S883" s="6">
        <f>IF(AND(J883="",K883=""),"vazio",IF(AND(OR(J883="",LEN(SUBSTITUTE(SUBSTITUTE(SUBSTITUTE(SUBSTITUTE(SUBSTITUTE(SUBSTITUTE(SUBSTITUTE(TRIM(J883),".",""),"/",""),"-","")," ",""),"(",""),")",""),"+",""))=10,LEN(SUBSTITUTE(SUBSTITUTE(SUBSTITUTE(SUBSTITUTE(SUBSTITUTE(SUBSTITUTE(SUBSTITUTE(TRIM(J883),".",""),"/",""),"-","")," ",""),"(",""),")",""),"+",""))=11),OR(K883="",LEN(SUBSTITUTE(SUBSTITUTE(SUBSTITUTE(SUBSTITUTE(SUBSTITUTE(SUBSTITUTE(SUBSTITUTE(TRIM(K883),".",""),"/",""),"-","")," ",""),"(",""),")",""),"+",""))=10,LEN(SUBSTITUTE(SUBSTITUTE(SUBSTITUTE(SUBSTITUTE(SUBSTITUTE(SUBSTITUTE(SUBSTITUTE(TRIM(K883),".",""),"/",""),"-","")," ",""),"(",""),")",""),"+",""))=11)),"OK","ERRO: use DDD + número (10 ou 11 dígitos)"))</f>
      </c>
      <c r="T883" s="6">
        <f>IF(L883="","vazio",IF(AND(ISNUMBER(FIND("@",L883)),ISNUMBER(FIND(".",MID(L883,FIND("@",L883),99))),NOT(ISNUMBER(FIND(" ",TRIM(L883)))),NOT(ISNUMBER(FIND(";",L883))),NOT(ISNUMBER(FIND(",",L883)))),"OK","ERRO: um e-mail válido por linha"))</f>
      </c>
      <c r="U883" s="6">
        <f>IF(COUNTA(A883:O883)=0,"",IF(AND(B883&lt;&gt;"",C883&lt;&gt;"",D883&lt;&gt;"",E883&lt;&gt;"",H883&lt;&gt;"",OR(J883&lt;&gt;"",L883&lt;&gt;"")),"OK","ERRO: faltam "&amp;IF(B883="","Proprietário; ","")&amp;IF(C883="","Origem; ","")&amp;IF(D883="","CNPJ; ","")&amp;IF(E883="","Razão Social; ","")&amp;IF(H883="","Sobrenome; ","")&amp;IF(AND(J883="",L883=""),"telefone ou e-mail; ","")))</f>
      </c>
      <c r="V883" s="6">
        <f>IF(COUNTA(A883:O883)=0,"",IF(AND(Q883="OK",R883="OK",LEFT(S883,4)&lt;&gt;"ERRO",LEFT(T883,4)&lt;&gt;"ERRO",U883="OK"),"OK","REVISAR"))</f>
      </c>
    </row>
    <row r="884">
      <c r="A884" s="4"/>
      <c r="B884" s="5"/>
      <c r="C884" s="5"/>
      <c r="D884" s="5"/>
      <c r="E884" s="5"/>
      <c r="F884" s="4"/>
      <c r="G884" s="4"/>
      <c r="H884" s="5"/>
      <c r="I884" s="4"/>
      <c r="J884" s="4"/>
      <c r="K884" s="4"/>
      <c r="L884" s="4"/>
      <c r="M884" s="4"/>
      <c r="N884" s="4"/>
      <c r="O884" s="4"/>
      <c r="P884" s="6">
        <f>IF(D884="","",SUBSTITUTE(SUBSTITUTE(SUBSTITUTE(SUBSTITUTE(SUBSTITUTE(SUBSTITUTE(SUBSTITUTE(TRIM(D884),".",""),"/",""),"-","")," ",""),"(",""),")",""),"+",""))</f>
      </c>
      <c r="Q884" s="6">
        <f>IF(P884="","",IF(LEN(P884)&lt;&gt;14,"ERRO: "&amp;LEN(P884)&amp;" dígitos",IF(NOT(ISNUMBER(VALUE(P884))),"ERRO: não numérico",IF(LEN(SUBSTITUTE(P884,LEFT(P884,1),""))=0,"ERRO: dígitos repetidos",IF(AND(VALUE(MID(P884,13,1))=IF(MOD(SUMPRODUCT(--MID(P884,{1,2,3,4,5,6,7,8,9,10,11,12},1),{5,4,3,2,9,8,7,6,5,4,3,2}),11)&lt;2,0,11-MOD(SUMPRODUCT(--MID(P884,{1,2,3,4,5,6,7,8,9,10,11,12},1),{5,4,3,2,9,8,7,6,5,4,3,2}),11)),VALUE(MID(P884,14,1))=IF(MOD(SUMPRODUCT(--MID(P884,{1,2,3,4,5,6,7,8,9,10,11,12,13},1),{6,5,4,3,2,9,8,7,6,5,4,3,2}),11)&lt;2,0,11-MOD(SUMPRODUCT(--MID(P884,{1,2,3,4,5,6,7,8,9,10,11,12,13},1),{6,5,4,3,2,9,8,7,6,5,4,3,2}),11))),"OK","ERRO: dígito verificador")))))</f>
      </c>
      <c r="R884" s="6">
        <f>IF(P884="","",IF(COUNTIF($P$2:$P$1001,P884)&gt;1,"DUPLICADO","OK"))</f>
      </c>
      <c r="S884" s="6">
        <f>IF(AND(J884="",K884=""),"vazio",IF(AND(OR(J884="",LEN(SUBSTITUTE(SUBSTITUTE(SUBSTITUTE(SUBSTITUTE(SUBSTITUTE(SUBSTITUTE(SUBSTITUTE(TRIM(J884),".",""),"/",""),"-","")," ",""),"(",""),")",""),"+",""))=10,LEN(SUBSTITUTE(SUBSTITUTE(SUBSTITUTE(SUBSTITUTE(SUBSTITUTE(SUBSTITUTE(SUBSTITUTE(TRIM(J884),".",""),"/",""),"-","")," ",""),"(",""),")",""),"+",""))=11),OR(K884="",LEN(SUBSTITUTE(SUBSTITUTE(SUBSTITUTE(SUBSTITUTE(SUBSTITUTE(SUBSTITUTE(SUBSTITUTE(TRIM(K884),".",""),"/",""),"-","")," ",""),"(",""),")",""),"+",""))=10,LEN(SUBSTITUTE(SUBSTITUTE(SUBSTITUTE(SUBSTITUTE(SUBSTITUTE(SUBSTITUTE(SUBSTITUTE(TRIM(K884),".",""),"/",""),"-","")," ",""),"(",""),")",""),"+",""))=11)),"OK","ERRO: use DDD + número (10 ou 11 dígitos)"))</f>
      </c>
      <c r="T884" s="6">
        <f>IF(L884="","vazio",IF(AND(ISNUMBER(FIND("@",L884)),ISNUMBER(FIND(".",MID(L884,FIND("@",L884),99))),NOT(ISNUMBER(FIND(" ",TRIM(L884)))),NOT(ISNUMBER(FIND(";",L884))),NOT(ISNUMBER(FIND(",",L884)))),"OK","ERRO: um e-mail válido por linha"))</f>
      </c>
      <c r="U884" s="6">
        <f>IF(COUNTA(A884:O884)=0,"",IF(AND(B884&lt;&gt;"",C884&lt;&gt;"",D884&lt;&gt;"",E884&lt;&gt;"",H884&lt;&gt;"",OR(J884&lt;&gt;"",L884&lt;&gt;"")),"OK","ERRO: faltam "&amp;IF(B884="","Proprietário; ","")&amp;IF(C884="","Origem; ","")&amp;IF(D884="","CNPJ; ","")&amp;IF(E884="","Razão Social; ","")&amp;IF(H884="","Sobrenome; ","")&amp;IF(AND(J884="",L884=""),"telefone ou e-mail; ","")))</f>
      </c>
      <c r="V884" s="6">
        <f>IF(COUNTA(A884:O884)=0,"",IF(AND(Q884="OK",R884="OK",LEFT(S884,4)&lt;&gt;"ERRO",LEFT(T884,4)&lt;&gt;"ERRO",U884="OK"),"OK","REVISAR"))</f>
      </c>
    </row>
    <row r="885">
      <c r="A885" s="4"/>
      <c r="B885" s="5"/>
      <c r="C885" s="5"/>
      <c r="D885" s="5"/>
      <c r="E885" s="5"/>
      <c r="F885" s="4"/>
      <c r="G885" s="4"/>
      <c r="H885" s="5"/>
      <c r="I885" s="4"/>
      <c r="J885" s="4"/>
      <c r="K885" s="4"/>
      <c r="L885" s="4"/>
      <c r="M885" s="4"/>
      <c r="N885" s="4"/>
      <c r="O885" s="4"/>
      <c r="P885" s="6">
        <f>IF(D885="","",SUBSTITUTE(SUBSTITUTE(SUBSTITUTE(SUBSTITUTE(SUBSTITUTE(SUBSTITUTE(SUBSTITUTE(TRIM(D885),".",""),"/",""),"-","")," ",""),"(",""),")",""),"+",""))</f>
      </c>
      <c r="Q885" s="6">
        <f>IF(P885="","",IF(LEN(P885)&lt;&gt;14,"ERRO: "&amp;LEN(P885)&amp;" dígitos",IF(NOT(ISNUMBER(VALUE(P885))),"ERRO: não numérico",IF(LEN(SUBSTITUTE(P885,LEFT(P885,1),""))=0,"ERRO: dígitos repetidos",IF(AND(VALUE(MID(P885,13,1))=IF(MOD(SUMPRODUCT(--MID(P885,{1,2,3,4,5,6,7,8,9,10,11,12},1),{5,4,3,2,9,8,7,6,5,4,3,2}),11)&lt;2,0,11-MOD(SUMPRODUCT(--MID(P885,{1,2,3,4,5,6,7,8,9,10,11,12},1),{5,4,3,2,9,8,7,6,5,4,3,2}),11)),VALUE(MID(P885,14,1))=IF(MOD(SUMPRODUCT(--MID(P885,{1,2,3,4,5,6,7,8,9,10,11,12,13},1),{6,5,4,3,2,9,8,7,6,5,4,3,2}),11)&lt;2,0,11-MOD(SUMPRODUCT(--MID(P885,{1,2,3,4,5,6,7,8,9,10,11,12,13},1),{6,5,4,3,2,9,8,7,6,5,4,3,2}),11))),"OK","ERRO: dígito verificador")))))</f>
      </c>
      <c r="R885" s="6">
        <f>IF(P885="","",IF(COUNTIF($P$2:$P$1001,P885)&gt;1,"DUPLICADO","OK"))</f>
      </c>
      <c r="S885" s="6">
        <f>IF(AND(J885="",K885=""),"vazio",IF(AND(OR(J885="",LEN(SUBSTITUTE(SUBSTITUTE(SUBSTITUTE(SUBSTITUTE(SUBSTITUTE(SUBSTITUTE(SUBSTITUTE(TRIM(J885),".",""),"/",""),"-","")," ",""),"(",""),")",""),"+",""))=10,LEN(SUBSTITUTE(SUBSTITUTE(SUBSTITUTE(SUBSTITUTE(SUBSTITUTE(SUBSTITUTE(SUBSTITUTE(TRIM(J885),".",""),"/",""),"-","")," ",""),"(",""),")",""),"+",""))=11),OR(K885="",LEN(SUBSTITUTE(SUBSTITUTE(SUBSTITUTE(SUBSTITUTE(SUBSTITUTE(SUBSTITUTE(SUBSTITUTE(TRIM(K885),".",""),"/",""),"-","")," ",""),"(",""),")",""),"+",""))=10,LEN(SUBSTITUTE(SUBSTITUTE(SUBSTITUTE(SUBSTITUTE(SUBSTITUTE(SUBSTITUTE(SUBSTITUTE(TRIM(K885),".",""),"/",""),"-","")," ",""),"(",""),")",""),"+",""))=11)),"OK","ERRO: use DDD + número (10 ou 11 dígitos)"))</f>
      </c>
      <c r="T885" s="6">
        <f>IF(L885="","vazio",IF(AND(ISNUMBER(FIND("@",L885)),ISNUMBER(FIND(".",MID(L885,FIND("@",L885),99))),NOT(ISNUMBER(FIND(" ",TRIM(L885)))),NOT(ISNUMBER(FIND(";",L885))),NOT(ISNUMBER(FIND(",",L885)))),"OK","ERRO: um e-mail válido por linha"))</f>
      </c>
      <c r="U885" s="6">
        <f>IF(COUNTA(A885:O885)=0,"",IF(AND(B885&lt;&gt;"",C885&lt;&gt;"",D885&lt;&gt;"",E885&lt;&gt;"",H885&lt;&gt;"",OR(J885&lt;&gt;"",L885&lt;&gt;"")),"OK","ERRO: faltam "&amp;IF(B885="","Proprietário; ","")&amp;IF(C885="","Origem; ","")&amp;IF(D885="","CNPJ; ","")&amp;IF(E885="","Razão Social; ","")&amp;IF(H885="","Sobrenome; ","")&amp;IF(AND(J885="",L885=""),"telefone ou e-mail; ","")))</f>
      </c>
      <c r="V885" s="6">
        <f>IF(COUNTA(A885:O885)=0,"",IF(AND(Q885="OK",R885="OK",LEFT(S885,4)&lt;&gt;"ERRO",LEFT(T885,4)&lt;&gt;"ERRO",U885="OK"),"OK","REVISAR"))</f>
      </c>
    </row>
    <row r="886">
      <c r="A886" s="4"/>
      <c r="B886" s="5"/>
      <c r="C886" s="5"/>
      <c r="D886" s="5"/>
      <c r="E886" s="5"/>
      <c r="F886" s="4"/>
      <c r="G886" s="4"/>
      <c r="H886" s="5"/>
      <c r="I886" s="4"/>
      <c r="J886" s="4"/>
      <c r="K886" s="4"/>
      <c r="L886" s="4"/>
      <c r="M886" s="4"/>
      <c r="N886" s="4"/>
      <c r="O886" s="4"/>
      <c r="P886" s="6">
        <f>IF(D886="","",SUBSTITUTE(SUBSTITUTE(SUBSTITUTE(SUBSTITUTE(SUBSTITUTE(SUBSTITUTE(SUBSTITUTE(TRIM(D886),".",""),"/",""),"-","")," ",""),"(",""),")",""),"+",""))</f>
      </c>
      <c r="Q886" s="6">
        <f>IF(P886="","",IF(LEN(P886)&lt;&gt;14,"ERRO: "&amp;LEN(P886)&amp;" dígitos",IF(NOT(ISNUMBER(VALUE(P886))),"ERRO: não numérico",IF(LEN(SUBSTITUTE(P886,LEFT(P886,1),""))=0,"ERRO: dígitos repetidos",IF(AND(VALUE(MID(P886,13,1))=IF(MOD(SUMPRODUCT(--MID(P886,{1,2,3,4,5,6,7,8,9,10,11,12},1),{5,4,3,2,9,8,7,6,5,4,3,2}),11)&lt;2,0,11-MOD(SUMPRODUCT(--MID(P886,{1,2,3,4,5,6,7,8,9,10,11,12},1),{5,4,3,2,9,8,7,6,5,4,3,2}),11)),VALUE(MID(P886,14,1))=IF(MOD(SUMPRODUCT(--MID(P886,{1,2,3,4,5,6,7,8,9,10,11,12,13},1),{6,5,4,3,2,9,8,7,6,5,4,3,2}),11)&lt;2,0,11-MOD(SUMPRODUCT(--MID(P886,{1,2,3,4,5,6,7,8,9,10,11,12,13},1),{6,5,4,3,2,9,8,7,6,5,4,3,2}),11))),"OK","ERRO: dígito verificador")))))</f>
      </c>
      <c r="R886" s="6">
        <f>IF(P886="","",IF(COUNTIF($P$2:$P$1001,P886)&gt;1,"DUPLICADO","OK"))</f>
      </c>
      <c r="S886" s="6">
        <f>IF(AND(J886="",K886=""),"vazio",IF(AND(OR(J886="",LEN(SUBSTITUTE(SUBSTITUTE(SUBSTITUTE(SUBSTITUTE(SUBSTITUTE(SUBSTITUTE(SUBSTITUTE(TRIM(J886),".",""),"/",""),"-","")," ",""),"(",""),")",""),"+",""))=10,LEN(SUBSTITUTE(SUBSTITUTE(SUBSTITUTE(SUBSTITUTE(SUBSTITUTE(SUBSTITUTE(SUBSTITUTE(TRIM(J886),".",""),"/",""),"-","")," ",""),"(",""),")",""),"+",""))=11),OR(K886="",LEN(SUBSTITUTE(SUBSTITUTE(SUBSTITUTE(SUBSTITUTE(SUBSTITUTE(SUBSTITUTE(SUBSTITUTE(TRIM(K886),".",""),"/",""),"-","")," ",""),"(",""),")",""),"+",""))=10,LEN(SUBSTITUTE(SUBSTITUTE(SUBSTITUTE(SUBSTITUTE(SUBSTITUTE(SUBSTITUTE(SUBSTITUTE(TRIM(K886),".",""),"/",""),"-","")," ",""),"(",""),")",""),"+",""))=11)),"OK","ERRO: use DDD + número (10 ou 11 dígitos)"))</f>
      </c>
      <c r="T886" s="6">
        <f>IF(L886="","vazio",IF(AND(ISNUMBER(FIND("@",L886)),ISNUMBER(FIND(".",MID(L886,FIND("@",L886),99))),NOT(ISNUMBER(FIND(" ",TRIM(L886)))),NOT(ISNUMBER(FIND(";",L886))),NOT(ISNUMBER(FIND(",",L886)))),"OK","ERRO: um e-mail válido por linha"))</f>
      </c>
      <c r="U886" s="6">
        <f>IF(COUNTA(A886:O886)=0,"",IF(AND(B886&lt;&gt;"",C886&lt;&gt;"",D886&lt;&gt;"",E886&lt;&gt;"",H886&lt;&gt;"",OR(J886&lt;&gt;"",L886&lt;&gt;"")),"OK","ERRO: faltam "&amp;IF(B886="","Proprietário; ","")&amp;IF(C886="","Origem; ","")&amp;IF(D886="","CNPJ; ","")&amp;IF(E886="","Razão Social; ","")&amp;IF(H886="","Sobrenome; ","")&amp;IF(AND(J886="",L886=""),"telefone ou e-mail; ","")))</f>
      </c>
      <c r="V886" s="6">
        <f>IF(COUNTA(A886:O886)=0,"",IF(AND(Q886="OK",R886="OK",LEFT(S886,4)&lt;&gt;"ERRO",LEFT(T886,4)&lt;&gt;"ERRO",U886="OK"),"OK","REVISAR"))</f>
      </c>
    </row>
    <row r="887">
      <c r="A887" s="4"/>
      <c r="B887" s="5"/>
      <c r="C887" s="5"/>
      <c r="D887" s="5"/>
      <c r="E887" s="5"/>
      <c r="F887" s="4"/>
      <c r="G887" s="4"/>
      <c r="H887" s="5"/>
      <c r="I887" s="4"/>
      <c r="J887" s="4"/>
      <c r="K887" s="4"/>
      <c r="L887" s="4"/>
      <c r="M887" s="4"/>
      <c r="N887" s="4"/>
      <c r="O887" s="4"/>
      <c r="P887" s="6">
        <f>IF(D887="","",SUBSTITUTE(SUBSTITUTE(SUBSTITUTE(SUBSTITUTE(SUBSTITUTE(SUBSTITUTE(SUBSTITUTE(TRIM(D887),".",""),"/",""),"-","")," ",""),"(",""),")",""),"+",""))</f>
      </c>
      <c r="Q887" s="6">
        <f>IF(P887="","",IF(LEN(P887)&lt;&gt;14,"ERRO: "&amp;LEN(P887)&amp;" dígitos",IF(NOT(ISNUMBER(VALUE(P887))),"ERRO: não numérico",IF(LEN(SUBSTITUTE(P887,LEFT(P887,1),""))=0,"ERRO: dígitos repetidos",IF(AND(VALUE(MID(P887,13,1))=IF(MOD(SUMPRODUCT(--MID(P887,{1,2,3,4,5,6,7,8,9,10,11,12},1),{5,4,3,2,9,8,7,6,5,4,3,2}),11)&lt;2,0,11-MOD(SUMPRODUCT(--MID(P887,{1,2,3,4,5,6,7,8,9,10,11,12},1),{5,4,3,2,9,8,7,6,5,4,3,2}),11)),VALUE(MID(P887,14,1))=IF(MOD(SUMPRODUCT(--MID(P887,{1,2,3,4,5,6,7,8,9,10,11,12,13},1),{6,5,4,3,2,9,8,7,6,5,4,3,2}),11)&lt;2,0,11-MOD(SUMPRODUCT(--MID(P887,{1,2,3,4,5,6,7,8,9,10,11,12,13},1),{6,5,4,3,2,9,8,7,6,5,4,3,2}),11))),"OK","ERRO: dígito verificador")))))</f>
      </c>
      <c r="R887" s="6">
        <f>IF(P887="","",IF(COUNTIF($P$2:$P$1001,P887)&gt;1,"DUPLICADO","OK"))</f>
      </c>
      <c r="S887" s="6">
        <f>IF(AND(J887="",K887=""),"vazio",IF(AND(OR(J887="",LEN(SUBSTITUTE(SUBSTITUTE(SUBSTITUTE(SUBSTITUTE(SUBSTITUTE(SUBSTITUTE(SUBSTITUTE(TRIM(J887),".",""),"/",""),"-","")," ",""),"(",""),")",""),"+",""))=10,LEN(SUBSTITUTE(SUBSTITUTE(SUBSTITUTE(SUBSTITUTE(SUBSTITUTE(SUBSTITUTE(SUBSTITUTE(TRIM(J887),".",""),"/",""),"-","")," ",""),"(",""),")",""),"+",""))=11),OR(K887="",LEN(SUBSTITUTE(SUBSTITUTE(SUBSTITUTE(SUBSTITUTE(SUBSTITUTE(SUBSTITUTE(SUBSTITUTE(TRIM(K887),".",""),"/",""),"-","")," ",""),"(",""),")",""),"+",""))=10,LEN(SUBSTITUTE(SUBSTITUTE(SUBSTITUTE(SUBSTITUTE(SUBSTITUTE(SUBSTITUTE(SUBSTITUTE(TRIM(K887),".",""),"/",""),"-","")," ",""),"(",""),")",""),"+",""))=11)),"OK","ERRO: use DDD + número (10 ou 11 dígitos)"))</f>
      </c>
      <c r="T887" s="6">
        <f>IF(L887="","vazio",IF(AND(ISNUMBER(FIND("@",L887)),ISNUMBER(FIND(".",MID(L887,FIND("@",L887),99))),NOT(ISNUMBER(FIND(" ",TRIM(L887)))),NOT(ISNUMBER(FIND(";",L887))),NOT(ISNUMBER(FIND(",",L887)))),"OK","ERRO: um e-mail válido por linha"))</f>
      </c>
      <c r="U887" s="6">
        <f>IF(COUNTA(A887:O887)=0,"",IF(AND(B887&lt;&gt;"",C887&lt;&gt;"",D887&lt;&gt;"",E887&lt;&gt;"",H887&lt;&gt;"",OR(J887&lt;&gt;"",L887&lt;&gt;"")),"OK","ERRO: faltam "&amp;IF(B887="","Proprietário; ","")&amp;IF(C887="","Origem; ","")&amp;IF(D887="","CNPJ; ","")&amp;IF(E887="","Razão Social; ","")&amp;IF(H887="","Sobrenome; ","")&amp;IF(AND(J887="",L887=""),"telefone ou e-mail; ","")))</f>
      </c>
      <c r="V887" s="6">
        <f>IF(COUNTA(A887:O887)=0,"",IF(AND(Q887="OK",R887="OK",LEFT(S887,4)&lt;&gt;"ERRO",LEFT(T887,4)&lt;&gt;"ERRO",U887="OK"),"OK","REVISAR"))</f>
      </c>
    </row>
    <row r="888">
      <c r="A888" s="4"/>
      <c r="B888" s="5"/>
      <c r="C888" s="5"/>
      <c r="D888" s="5"/>
      <c r="E888" s="5"/>
      <c r="F888" s="4"/>
      <c r="G888" s="4"/>
      <c r="H888" s="5"/>
      <c r="I888" s="4"/>
      <c r="J888" s="4"/>
      <c r="K888" s="4"/>
      <c r="L888" s="4"/>
      <c r="M888" s="4"/>
      <c r="N888" s="4"/>
      <c r="O888" s="4"/>
      <c r="P888" s="6">
        <f>IF(D888="","",SUBSTITUTE(SUBSTITUTE(SUBSTITUTE(SUBSTITUTE(SUBSTITUTE(SUBSTITUTE(SUBSTITUTE(TRIM(D888),".",""),"/",""),"-","")," ",""),"(",""),")",""),"+",""))</f>
      </c>
      <c r="Q888" s="6">
        <f>IF(P888="","",IF(LEN(P888)&lt;&gt;14,"ERRO: "&amp;LEN(P888)&amp;" dígitos",IF(NOT(ISNUMBER(VALUE(P888))),"ERRO: não numérico",IF(LEN(SUBSTITUTE(P888,LEFT(P888,1),""))=0,"ERRO: dígitos repetidos",IF(AND(VALUE(MID(P888,13,1))=IF(MOD(SUMPRODUCT(--MID(P888,{1,2,3,4,5,6,7,8,9,10,11,12},1),{5,4,3,2,9,8,7,6,5,4,3,2}),11)&lt;2,0,11-MOD(SUMPRODUCT(--MID(P888,{1,2,3,4,5,6,7,8,9,10,11,12},1),{5,4,3,2,9,8,7,6,5,4,3,2}),11)),VALUE(MID(P888,14,1))=IF(MOD(SUMPRODUCT(--MID(P888,{1,2,3,4,5,6,7,8,9,10,11,12,13},1),{6,5,4,3,2,9,8,7,6,5,4,3,2}),11)&lt;2,0,11-MOD(SUMPRODUCT(--MID(P888,{1,2,3,4,5,6,7,8,9,10,11,12,13},1),{6,5,4,3,2,9,8,7,6,5,4,3,2}),11))),"OK","ERRO: dígito verificador")))))</f>
      </c>
      <c r="R888" s="6">
        <f>IF(P888="","",IF(COUNTIF($P$2:$P$1001,P888)&gt;1,"DUPLICADO","OK"))</f>
      </c>
      <c r="S888" s="6">
        <f>IF(AND(J888="",K888=""),"vazio",IF(AND(OR(J888="",LEN(SUBSTITUTE(SUBSTITUTE(SUBSTITUTE(SUBSTITUTE(SUBSTITUTE(SUBSTITUTE(SUBSTITUTE(TRIM(J888),".",""),"/",""),"-","")," ",""),"(",""),")",""),"+",""))=10,LEN(SUBSTITUTE(SUBSTITUTE(SUBSTITUTE(SUBSTITUTE(SUBSTITUTE(SUBSTITUTE(SUBSTITUTE(TRIM(J888),".",""),"/",""),"-","")," ",""),"(",""),")",""),"+",""))=11),OR(K888="",LEN(SUBSTITUTE(SUBSTITUTE(SUBSTITUTE(SUBSTITUTE(SUBSTITUTE(SUBSTITUTE(SUBSTITUTE(TRIM(K888),".",""),"/",""),"-","")," ",""),"(",""),")",""),"+",""))=10,LEN(SUBSTITUTE(SUBSTITUTE(SUBSTITUTE(SUBSTITUTE(SUBSTITUTE(SUBSTITUTE(SUBSTITUTE(TRIM(K888),".",""),"/",""),"-","")," ",""),"(",""),")",""),"+",""))=11)),"OK","ERRO: use DDD + número (10 ou 11 dígitos)"))</f>
      </c>
      <c r="T888" s="6">
        <f>IF(L888="","vazio",IF(AND(ISNUMBER(FIND("@",L888)),ISNUMBER(FIND(".",MID(L888,FIND("@",L888),99))),NOT(ISNUMBER(FIND(" ",TRIM(L888)))),NOT(ISNUMBER(FIND(";",L888))),NOT(ISNUMBER(FIND(",",L888)))),"OK","ERRO: um e-mail válido por linha"))</f>
      </c>
      <c r="U888" s="6">
        <f>IF(COUNTA(A888:O888)=0,"",IF(AND(B888&lt;&gt;"",C888&lt;&gt;"",D888&lt;&gt;"",E888&lt;&gt;"",H888&lt;&gt;"",OR(J888&lt;&gt;"",L888&lt;&gt;"")),"OK","ERRO: faltam "&amp;IF(B888="","Proprietário; ","")&amp;IF(C888="","Origem; ","")&amp;IF(D888="","CNPJ; ","")&amp;IF(E888="","Razão Social; ","")&amp;IF(H888="","Sobrenome; ","")&amp;IF(AND(J888="",L888=""),"telefone ou e-mail; ","")))</f>
      </c>
      <c r="V888" s="6">
        <f>IF(COUNTA(A888:O888)=0,"",IF(AND(Q888="OK",R888="OK",LEFT(S888,4)&lt;&gt;"ERRO",LEFT(T888,4)&lt;&gt;"ERRO",U888="OK"),"OK","REVISAR"))</f>
      </c>
    </row>
    <row r="889">
      <c r="A889" s="4"/>
      <c r="B889" s="5"/>
      <c r="C889" s="5"/>
      <c r="D889" s="5"/>
      <c r="E889" s="5"/>
      <c r="F889" s="4"/>
      <c r="G889" s="4"/>
      <c r="H889" s="5"/>
      <c r="I889" s="4"/>
      <c r="J889" s="4"/>
      <c r="K889" s="4"/>
      <c r="L889" s="4"/>
      <c r="M889" s="4"/>
      <c r="N889" s="4"/>
      <c r="O889" s="4"/>
      <c r="P889" s="6">
        <f>IF(D889="","",SUBSTITUTE(SUBSTITUTE(SUBSTITUTE(SUBSTITUTE(SUBSTITUTE(SUBSTITUTE(SUBSTITUTE(TRIM(D889),".",""),"/",""),"-","")," ",""),"(",""),")",""),"+",""))</f>
      </c>
      <c r="Q889" s="6">
        <f>IF(P889="","",IF(LEN(P889)&lt;&gt;14,"ERRO: "&amp;LEN(P889)&amp;" dígitos",IF(NOT(ISNUMBER(VALUE(P889))),"ERRO: não numérico",IF(LEN(SUBSTITUTE(P889,LEFT(P889,1),""))=0,"ERRO: dígitos repetidos",IF(AND(VALUE(MID(P889,13,1))=IF(MOD(SUMPRODUCT(--MID(P889,{1,2,3,4,5,6,7,8,9,10,11,12},1),{5,4,3,2,9,8,7,6,5,4,3,2}),11)&lt;2,0,11-MOD(SUMPRODUCT(--MID(P889,{1,2,3,4,5,6,7,8,9,10,11,12},1),{5,4,3,2,9,8,7,6,5,4,3,2}),11)),VALUE(MID(P889,14,1))=IF(MOD(SUMPRODUCT(--MID(P889,{1,2,3,4,5,6,7,8,9,10,11,12,13},1),{6,5,4,3,2,9,8,7,6,5,4,3,2}),11)&lt;2,0,11-MOD(SUMPRODUCT(--MID(P889,{1,2,3,4,5,6,7,8,9,10,11,12,13},1),{6,5,4,3,2,9,8,7,6,5,4,3,2}),11))),"OK","ERRO: dígito verificador")))))</f>
      </c>
      <c r="R889" s="6">
        <f>IF(P889="","",IF(COUNTIF($P$2:$P$1001,P889)&gt;1,"DUPLICADO","OK"))</f>
      </c>
      <c r="S889" s="6">
        <f>IF(AND(J889="",K889=""),"vazio",IF(AND(OR(J889="",LEN(SUBSTITUTE(SUBSTITUTE(SUBSTITUTE(SUBSTITUTE(SUBSTITUTE(SUBSTITUTE(SUBSTITUTE(TRIM(J889),".",""),"/",""),"-","")," ",""),"(",""),")",""),"+",""))=10,LEN(SUBSTITUTE(SUBSTITUTE(SUBSTITUTE(SUBSTITUTE(SUBSTITUTE(SUBSTITUTE(SUBSTITUTE(TRIM(J889),".",""),"/",""),"-","")," ",""),"(",""),")",""),"+",""))=11),OR(K889="",LEN(SUBSTITUTE(SUBSTITUTE(SUBSTITUTE(SUBSTITUTE(SUBSTITUTE(SUBSTITUTE(SUBSTITUTE(TRIM(K889),".",""),"/",""),"-","")," ",""),"(",""),")",""),"+",""))=10,LEN(SUBSTITUTE(SUBSTITUTE(SUBSTITUTE(SUBSTITUTE(SUBSTITUTE(SUBSTITUTE(SUBSTITUTE(TRIM(K889),".",""),"/",""),"-","")," ",""),"(",""),")",""),"+",""))=11)),"OK","ERRO: use DDD + número (10 ou 11 dígitos)"))</f>
      </c>
      <c r="T889" s="6">
        <f>IF(L889="","vazio",IF(AND(ISNUMBER(FIND("@",L889)),ISNUMBER(FIND(".",MID(L889,FIND("@",L889),99))),NOT(ISNUMBER(FIND(" ",TRIM(L889)))),NOT(ISNUMBER(FIND(";",L889))),NOT(ISNUMBER(FIND(",",L889)))),"OK","ERRO: um e-mail válido por linha"))</f>
      </c>
      <c r="U889" s="6">
        <f>IF(COUNTA(A889:O889)=0,"",IF(AND(B889&lt;&gt;"",C889&lt;&gt;"",D889&lt;&gt;"",E889&lt;&gt;"",H889&lt;&gt;"",OR(J889&lt;&gt;"",L889&lt;&gt;"")),"OK","ERRO: faltam "&amp;IF(B889="","Proprietário; ","")&amp;IF(C889="","Origem; ","")&amp;IF(D889="","CNPJ; ","")&amp;IF(E889="","Razão Social; ","")&amp;IF(H889="","Sobrenome; ","")&amp;IF(AND(J889="",L889=""),"telefone ou e-mail; ","")))</f>
      </c>
      <c r="V889" s="6">
        <f>IF(COUNTA(A889:O889)=0,"",IF(AND(Q889="OK",R889="OK",LEFT(S889,4)&lt;&gt;"ERRO",LEFT(T889,4)&lt;&gt;"ERRO",U889="OK"),"OK","REVISAR"))</f>
      </c>
    </row>
    <row r="890">
      <c r="A890" s="4"/>
      <c r="B890" s="5"/>
      <c r="C890" s="5"/>
      <c r="D890" s="5"/>
      <c r="E890" s="5"/>
      <c r="F890" s="4"/>
      <c r="G890" s="4"/>
      <c r="H890" s="5"/>
      <c r="I890" s="4"/>
      <c r="J890" s="4"/>
      <c r="K890" s="4"/>
      <c r="L890" s="4"/>
      <c r="M890" s="4"/>
      <c r="N890" s="4"/>
      <c r="O890" s="4"/>
      <c r="P890" s="6">
        <f>IF(D890="","",SUBSTITUTE(SUBSTITUTE(SUBSTITUTE(SUBSTITUTE(SUBSTITUTE(SUBSTITUTE(SUBSTITUTE(TRIM(D890),".",""),"/",""),"-","")," ",""),"(",""),")",""),"+",""))</f>
      </c>
      <c r="Q890" s="6">
        <f>IF(P890="","",IF(LEN(P890)&lt;&gt;14,"ERRO: "&amp;LEN(P890)&amp;" dígitos",IF(NOT(ISNUMBER(VALUE(P890))),"ERRO: não numérico",IF(LEN(SUBSTITUTE(P890,LEFT(P890,1),""))=0,"ERRO: dígitos repetidos",IF(AND(VALUE(MID(P890,13,1))=IF(MOD(SUMPRODUCT(--MID(P890,{1,2,3,4,5,6,7,8,9,10,11,12},1),{5,4,3,2,9,8,7,6,5,4,3,2}),11)&lt;2,0,11-MOD(SUMPRODUCT(--MID(P890,{1,2,3,4,5,6,7,8,9,10,11,12},1),{5,4,3,2,9,8,7,6,5,4,3,2}),11)),VALUE(MID(P890,14,1))=IF(MOD(SUMPRODUCT(--MID(P890,{1,2,3,4,5,6,7,8,9,10,11,12,13},1),{6,5,4,3,2,9,8,7,6,5,4,3,2}),11)&lt;2,0,11-MOD(SUMPRODUCT(--MID(P890,{1,2,3,4,5,6,7,8,9,10,11,12,13},1),{6,5,4,3,2,9,8,7,6,5,4,3,2}),11))),"OK","ERRO: dígito verificador")))))</f>
      </c>
      <c r="R890" s="6">
        <f>IF(P890="","",IF(COUNTIF($P$2:$P$1001,P890)&gt;1,"DUPLICADO","OK"))</f>
      </c>
      <c r="S890" s="6">
        <f>IF(AND(J890="",K890=""),"vazio",IF(AND(OR(J890="",LEN(SUBSTITUTE(SUBSTITUTE(SUBSTITUTE(SUBSTITUTE(SUBSTITUTE(SUBSTITUTE(SUBSTITUTE(TRIM(J890),".",""),"/",""),"-","")," ",""),"(",""),")",""),"+",""))=10,LEN(SUBSTITUTE(SUBSTITUTE(SUBSTITUTE(SUBSTITUTE(SUBSTITUTE(SUBSTITUTE(SUBSTITUTE(TRIM(J890),".",""),"/",""),"-","")," ",""),"(",""),")",""),"+",""))=11),OR(K890="",LEN(SUBSTITUTE(SUBSTITUTE(SUBSTITUTE(SUBSTITUTE(SUBSTITUTE(SUBSTITUTE(SUBSTITUTE(TRIM(K890),".",""),"/",""),"-","")," ",""),"(",""),")",""),"+",""))=10,LEN(SUBSTITUTE(SUBSTITUTE(SUBSTITUTE(SUBSTITUTE(SUBSTITUTE(SUBSTITUTE(SUBSTITUTE(TRIM(K890),".",""),"/",""),"-","")," ",""),"(",""),")",""),"+",""))=11)),"OK","ERRO: use DDD + número (10 ou 11 dígitos)"))</f>
      </c>
      <c r="T890" s="6">
        <f>IF(L890="","vazio",IF(AND(ISNUMBER(FIND("@",L890)),ISNUMBER(FIND(".",MID(L890,FIND("@",L890),99))),NOT(ISNUMBER(FIND(" ",TRIM(L890)))),NOT(ISNUMBER(FIND(";",L890))),NOT(ISNUMBER(FIND(",",L890)))),"OK","ERRO: um e-mail válido por linha"))</f>
      </c>
      <c r="U890" s="6">
        <f>IF(COUNTA(A890:O890)=0,"",IF(AND(B890&lt;&gt;"",C890&lt;&gt;"",D890&lt;&gt;"",E890&lt;&gt;"",H890&lt;&gt;"",OR(J890&lt;&gt;"",L890&lt;&gt;"")),"OK","ERRO: faltam "&amp;IF(B890="","Proprietário; ","")&amp;IF(C890="","Origem; ","")&amp;IF(D890="","CNPJ; ","")&amp;IF(E890="","Razão Social; ","")&amp;IF(H890="","Sobrenome; ","")&amp;IF(AND(J890="",L890=""),"telefone ou e-mail; ","")))</f>
      </c>
      <c r="V890" s="6">
        <f>IF(COUNTA(A890:O890)=0,"",IF(AND(Q890="OK",R890="OK",LEFT(S890,4)&lt;&gt;"ERRO",LEFT(T890,4)&lt;&gt;"ERRO",U890="OK"),"OK","REVISAR"))</f>
      </c>
    </row>
    <row r="891">
      <c r="A891" s="4"/>
      <c r="B891" s="5"/>
      <c r="C891" s="5"/>
      <c r="D891" s="5"/>
      <c r="E891" s="5"/>
      <c r="F891" s="4"/>
      <c r="G891" s="4"/>
      <c r="H891" s="5"/>
      <c r="I891" s="4"/>
      <c r="J891" s="4"/>
      <c r="K891" s="4"/>
      <c r="L891" s="4"/>
      <c r="M891" s="4"/>
      <c r="N891" s="4"/>
      <c r="O891" s="4"/>
      <c r="P891" s="6">
        <f>IF(D891="","",SUBSTITUTE(SUBSTITUTE(SUBSTITUTE(SUBSTITUTE(SUBSTITUTE(SUBSTITUTE(SUBSTITUTE(TRIM(D891),".",""),"/",""),"-","")," ",""),"(",""),")",""),"+",""))</f>
      </c>
      <c r="Q891" s="6">
        <f>IF(P891="","",IF(LEN(P891)&lt;&gt;14,"ERRO: "&amp;LEN(P891)&amp;" dígitos",IF(NOT(ISNUMBER(VALUE(P891))),"ERRO: não numérico",IF(LEN(SUBSTITUTE(P891,LEFT(P891,1),""))=0,"ERRO: dígitos repetidos",IF(AND(VALUE(MID(P891,13,1))=IF(MOD(SUMPRODUCT(--MID(P891,{1,2,3,4,5,6,7,8,9,10,11,12},1),{5,4,3,2,9,8,7,6,5,4,3,2}),11)&lt;2,0,11-MOD(SUMPRODUCT(--MID(P891,{1,2,3,4,5,6,7,8,9,10,11,12},1),{5,4,3,2,9,8,7,6,5,4,3,2}),11)),VALUE(MID(P891,14,1))=IF(MOD(SUMPRODUCT(--MID(P891,{1,2,3,4,5,6,7,8,9,10,11,12,13},1),{6,5,4,3,2,9,8,7,6,5,4,3,2}),11)&lt;2,0,11-MOD(SUMPRODUCT(--MID(P891,{1,2,3,4,5,6,7,8,9,10,11,12,13},1),{6,5,4,3,2,9,8,7,6,5,4,3,2}),11))),"OK","ERRO: dígito verificador")))))</f>
      </c>
      <c r="R891" s="6">
        <f>IF(P891="","",IF(COUNTIF($P$2:$P$1001,P891)&gt;1,"DUPLICADO","OK"))</f>
      </c>
      <c r="S891" s="6">
        <f>IF(AND(J891="",K891=""),"vazio",IF(AND(OR(J891="",LEN(SUBSTITUTE(SUBSTITUTE(SUBSTITUTE(SUBSTITUTE(SUBSTITUTE(SUBSTITUTE(SUBSTITUTE(TRIM(J891),".",""),"/",""),"-","")," ",""),"(",""),")",""),"+",""))=10,LEN(SUBSTITUTE(SUBSTITUTE(SUBSTITUTE(SUBSTITUTE(SUBSTITUTE(SUBSTITUTE(SUBSTITUTE(TRIM(J891),".",""),"/",""),"-","")," ",""),"(",""),")",""),"+",""))=11),OR(K891="",LEN(SUBSTITUTE(SUBSTITUTE(SUBSTITUTE(SUBSTITUTE(SUBSTITUTE(SUBSTITUTE(SUBSTITUTE(TRIM(K891),".",""),"/",""),"-","")," ",""),"(",""),")",""),"+",""))=10,LEN(SUBSTITUTE(SUBSTITUTE(SUBSTITUTE(SUBSTITUTE(SUBSTITUTE(SUBSTITUTE(SUBSTITUTE(TRIM(K891),".",""),"/",""),"-","")," ",""),"(",""),")",""),"+",""))=11)),"OK","ERRO: use DDD + número (10 ou 11 dígitos)"))</f>
      </c>
      <c r="T891" s="6">
        <f>IF(L891="","vazio",IF(AND(ISNUMBER(FIND("@",L891)),ISNUMBER(FIND(".",MID(L891,FIND("@",L891),99))),NOT(ISNUMBER(FIND(" ",TRIM(L891)))),NOT(ISNUMBER(FIND(";",L891))),NOT(ISNUMBER(FIND(",",L891)))),"OK","ERRO: um e-mail válido por linha"))</f>
      </c>
      <c r="U891" s="6">
        <f>IF(COUNTA(A891:O891)=0,"",IF(AND(B891&lt;&gt;"",C891&lt;&gt;"",D891&lt;&gt;"",E891&lt;&gt;"",H891&lt;&gt;"",OR(J891&lt;&gt;"",L891&lt;&gt;"")),"OK","ERRO: faltam "&amp;IF(B891="","Proprietário; ","")&amp;IF(C891="","Origem; ","")&amp;IF(D891="","CNPJ; ","")&amp;IF(E891="","Razão Social; ","")&amp;IF(H891="","Sobrenome; ","")&amp;IF(AND(J891="",L891=""),"telefone ou e-mail; ","")))</f>
      </c>
      <c r="V891" s="6">
        <f>IF(COUNTA(A891:O891)=0,"",IF(AND(Q891="OK",R891="OK",LEFT(S891,4)&lt;&gt;"ERRO",LEFT(T891,4)&lt;&gt;"ERRO",U891="OK"),"OK","REVISAR"))</f>
      </c>
    </row>
    <row r="892">
      <c r="A892" s="4"/>
      <c r="B892" s="5"/>
      <c r="C892" s="5"/>
      <c r="D892" s="5"/>
      <c r="E892" s="5"/>
      <c r="F892" s="4"/>
      <c r="G892" s="4"/>
      <c r="H892" s="5"/>
      <c r="I892" s="4"/>
      <c r="J892" s="4"/>
      <c r="K892" s="4"/>
      <c r="L892" s="4"/>
      <c r="M892" s="4"/>
      <c r="N892" s="4"/>
      <c r="O892" s="4"/>
      <c r="P892" s="6">
        <f>IF(D892="","",SUBSTITUTE(SUBSTITUTE(SUBSTITUTE(SUBSTITUTE(SUBSTITUTE(SUBSTITUTE(SUBSTITUTE(TRIM(D892),".",""),"/",""),"-","")," ",""),"(",""),")",""),"+",""))</f>
      </c>
      <c r="Q892" s="6">
        <f>IF(P892="","",IF(LEN(P892)&lt;&gt;14,"ERRO: "&amp;LEN(P892)&amp;" dígitos",IF(NOT(ISNUMBER(VALUE(P892))),"ERRO: não numérico",IF(LEN(SUBSTITUTE(P892,LEFT(P892,1),""))=0,"ERRO: dígitos repetidos",IF(AND(VALUE(MID(P892,13,1))=IF(MOD(SUMPRODUCT(--MID(P892,{1,2,3,4,5,6,7,8,9,10,11,12},1),{5,4,3,2,9,8,7,6,5,4,3,2}),11)&lt;2,0,11-MOD(SUMPRODUCT(--MID(P892,{1,2,3,4,5,6,7,8,9,10,11,12},1),{5,4,3,2,9,8,7,6,5,4,3,2}),11)),VALUE(MID(P892,14,1))=IF(MOD(SUMPRODUCT(--MID(P892,{1,2,3,4,5,6,7,8,9,10,11,12,13},1),{6,5,4,3,2,9,8,7,6,5,4,3,2}),11)&lt;2,0,11-MOD(SUMPRODUCT(--MID(P892,{1,2,3,4,5,6,7,8,9,10,11,12,13},1),{6,5,4,3,2,9,8,7,6,5,4,3,2}),11))),"OK","ERRO: dígito verificador")))))</f>
      </c>
      <c r="R892" s="6">
        <f>IF(P892="","",IF(COUNTIF($P$2:$P$1001,P892)&gt;1,"DUPLICADO","OK"))</f>
      </c>
      <c r="S892" s="6">
        <f>IF(AND(J892="",K892=""),"vazio",IF(AND(OR(J892="",LEN(SUBSTITUTE(SUBSTITUTE(SUBSTITUTE(SUBSTITUTE(SUBSTITUTE(SUBSTITUTE(SUBSTITUTE(TRIM(J892),".",""),"/",""),"-","")," ",""),"(",""),")",""),"+",""))=10,LEN(SUBSTITUTE(SUBSTITUTE(SUBSTITUTE(SUBSTITUTE(SUBSTITUTE(SUBSTITUTE(SUBSTITUTE(TRIM(J892),".",""),"/",""),"-","")," ",""),"(",""),")",""),"+",""))=11),OR(K892="",LEN(SUBSTITUTE(SUBSTITUTE(SUBSTITUTE(SUBSTITUTE(SUBSTITUTE(SUBSTITUTE(SUBSTITUTE(TRIM(K892),".",""),"/",""),"-","")," ",""),"(",""),")",""),"+",""))=10,LEN(SUBSTITUTE(SUBSTITUTE(SUBSTITUTE(SUBSTITUTE(SUBSTITUTE(SUBSTITUTE(SUBSTITUTE(TRIM(K892),".",""),"/",""),"-","")," ",""),"(",""),")",""),"+",""))=11)),"OK","ERRO: use DDD + número (10 ou 11 dígitos)"))</f>
      </c>
      <c r="T892" s="6">
        <f>IF(L892="","vazio",IF(AND(ISNUMBER(FIND("@",L892)),ISNUMBER(FIND(".",MID(L892,FIND("@",L892),99))),NOT(ISNUMBER(FIND(" ",TRIM(L892)))),NOT(ISNUMBER(FIND(";",L892))),NOT(ISNUMBER(FIND(",",L892)))),"OK","ERRO: um e-mail válido por linha"))</f>
      </c>
      <c r="U892" s="6">
        <f>IF(COUNTA(A892:O892)=0,"",IF(AND(B892&lt;&gt;"",C892&lt;&gt;"",D892&lt;&gt;"",E892&lt;&gt;"",H892&lt;&gt;"",OR(J892&lt;&gt;"",L892&lt;&gt;"")),"OK","ERRO: faltam "&amp;IF(B892="","Proprietário; ","")&amp;IF(C892="","Origem; ","")&amp;IF(D892="","CNPJ; ","")&amp;IF(E892="","Razão Social; ","")&amp;IF(H892="","Sobrenome; ","")&amp;IF(AND(J892="",L892=""),"telefone ou e-mail; ","")))</f>
      </c>
      <c r="V892" s="6">
        <f>IF(COUNTA(A892:O892)=0,"",IF(AND(Q892="OK",R892="OK",LEFT(S892,4)&lt;&gt;"ERRO",LEFT(T892,4)&lt;&gt;"ERRO",U892="OK"),"OK","REVISAR"))</f>
      </c>
    </row>
    <row r="893">
      <c r="A893" s="4"/>
      <c r="B893" s="5"/>
      <c r="C893" s="5"/>
      <c r="D893" s="5"/>
      <c r="E893" s="5"/>
      <c r="F893" s="4"/>
      <c r="G893" s="4"/>
      <c r="H893" s="5"/>
      <c r="I893" s="4"/>
      <c r="J893" s="4"/>
      <c r="K893" s="4"/>
      <c r="L893" s="4"/>
      <c r="M893" s="4"/>
      <c r="N893" s="4"/>
      <c r="O893" s="4"/>
      <c r="P893" s="6">
        <f>IF(D893="","",SUBSTITUTE(SUBSTITUTE(SUBSTITUTE(SUBSTITUTE(SUBSTITUTE(SUBSTITUTE(SUBSTITUTE(TRIM(D893),".",""),"/",""),"-","")," ",""),"(",""),")",""),"+",""))</f>
      </c>
      <c r="Q893" s="6">
        <f>IF(P893="","",IF(LEN(P893)&lt;&gt;14,"ERRO: "&amp;LEN(P893)&amp;" dígitos",IF(NOT(ISNUMBER(VALUE(P893))),"ERRO: não numérico",IF(LEN(SUBSTITUTE(P893,LEFT(P893,1),""))=0,"ERRO: dígitos repetidos",IF(AND(VALUE(MID(P893,13,1))=IF(MOD(SUMPRODUCT(--MID(P893,{1,2,3,4,5,6,7,8,9,10,11,12},1),{5,4,3,2,9,8,7,6,5,4,3,2}),11)&lt;2,0,11-MOD(SUMPRODUCT(--MID(P893,{1,2,3,4,5,6,7,8,9,10,11,12},1),{5,4,3,2,9,8,7,6,5,4,3,2}),11)),VALUE(MID(P893,14,1))=IF(MOD(SUMPRODUCT(--MID(P893,{1,2,3,4,5,6,7,8,9,10,11,12,13},1),{6,5,4,3,2,9,8,7,6,5,4,3,2}),11)&lt;2,0,11-MOD(SUMPRODUCT(--MID(P893,{1,2,3,4,5,6,7,8,9,10,11,12,13},1),{6,5,4,3,2,9,8,7,6,5,4,3,2}),11))),"OK","ERRO: dígito verificador")))))</f>
      </c>
      <c r="R893" s="6">
        <f>IF(P893="","",IF(COUNTIF($P$2:$P$1001,P893)&gt;1,"DUPLICADO","OK"))</f>
      </c>
      <c r="S893" s="6">
        <f>IF(AND(J893="",K893=""),"vazio",IF(AND(OR(J893="",LEN(SUBSTITUTE(SUBSTITUTE(SUBSTITUTE(SUBSTITUTE(SUBSTITUTE(SUBSTITUTE(SUBSTITUTE(TRIM(J893),".",""),"/",""),"-","")," ",""),"(",""),")",""),"+",""))=10,LEN(SUBSTITUTE(SUBSTITUTE(SUBSTITUTE(SUBSTITUTE(SUBSTITUTE(SUBSTITUTE(SUBSTITUTE(TRIM(J893),".",""),"/",""),"-","")," ",""),"(",""),")",""),"+",""))=11),OR(K893="",LEN(SUBSTITUTE(SUBSTITUTE(SUBSTITUTE(SUBSTITUTE(SUBSTITUTE(SUBSTITUTE(SUBSTITUTE(TRIM(K893),".",""),"/",""),"-","")," ",""),"(",""),")",""),"+",""))=10,LEN(SUBSTITUTE(SUBSTITUTE(SUBSTITUTE(SUBSTITUTE(SUBSTITUTE(SUBSTITUTE(SUBSTITUTE(TRIM(K893),".",""),"/",""),"-","")," ",""),"(",""),")",""),"+",""))=11)),"OK","ERRO: use DDD + número (10 ou 11 dígitos)"))</f>
      </c>
      <c r="T893" s="6">
        <f>IF(L893="","vazio",IF(AND(ISNUMBER(FIND("@",L893)),ISNUMBER(FIND(".",MID(L893,FIND("@",L893),99))),NOT(ISNUMBER(FIND(" ",TRIM(L893)))),NOT(ISNUMBER(FIND(";",L893))),NOT(ISNUMBER(FIND(",",L893)))),"OK","ERRO: um e-mail válido por linha"))</f>
      </c>
      <c r="U893" s="6">
        <f>IF(COUNTA(A893:O893)=0,"",IF(AND(B893&lt;&gt;"",C893&lt;&gt;"",D893&lt;&gt;"",E893&lt;&gt;"",H893&lt;&gt;"",OR(J893&lt;&gt;"",L893&lt;&gt;"")),"OK","ERRO: faltam "&amp;IF(B893="","Proprietário; ","")&amp;IF(C893="","Origem; ","")&amp;IF(D893="","CNPJ; ","")&amp;IF(E893="","Razão Social; ","")&amp;IF(H893="","Sobrenome; ","")&amp;IF(AND(J893="",L893=""),"telefone ou e-mail; ","")))</f>
      </c>
      <c r="V893" s="6">
        <f>IF(COUNTA(A893:O893)=0,"",IF(AND(Q893="OK",R893="OK",LEFT(S893,4)&lt;&gt;"ERRO",LEFT(T893,4)&lt;&gt;"ERRO",U893="OK"),"OK","REVISAR"))</f>
      </c>
    </row>
    <row r="894">
      <c r="A894" s="4"/>
      <c r="B894" s="5"/>
      <c r="C894" s="5"/>
      <c r="D894" s="5"/>
      <c r="E894" s="5"/>
      <c r="F894" s="4"/>
      <c r="G894" s="4"/>
      <c r="H894" s="5"/>
      <c r="I894" s="4"/>
      <c r="J894" s="4"/>
      <c r="K894" s="4"/>
      <c r="L894" s="4"/>
      <c r="M894" s="4"/>
      <c r="N894" s="4"/>
      <c r="O894" s="4"/>
      <c r="P894" s="6">
        <f>IF(D894="","",SUBSTITUTE(SUBSTITUTE(SUBSTITUTE(SUBSTITUTE(SUBSTITUTE(SUBSTITUTE(SUBSTITUTE(TRIM(D894),".",""),"/",""),"-","")," ",""),"(",""),")",""),"+",""))</f>
      </c>
      <c r="Q894" s="6">
        <f>IF(P894="","",IF(LEN(P894)&lt;&gt;14,"ERRO: "&amp;LEN(P894)&amp;" dígitos",IF(NOT(ISNUMBER(VALUE(P894))),"ERRO: não numérico",IF(LEN(SUBSTITUTE(P894,LEFT(P894,1),""))=0,"ERRO: dígitos repetidos",IF(AND(VALUE(MID(P894,13,1))=IF(MOD(SUMPRODUCT(--MID(P894,{1,2,3,4,5,6,7,8,9,10,11,12},1),{5,4,3,2,9,8,7,6,5,4,3,2}),11)&lt;2,0,11-MOD(SUMPRODUCT(--MID(P894,{1,2,3,4,5,6,7,8,9,10,11,12},1),{5,4,3,2,9,8,7,6,5,4,3,2}),11)),VALUE(MID(P894,14,1))=IF(MOD(SUMPRODUCT(--MID(P894,{1,2,3,4,5,6,7,8,9,10,11,12,13},1),{6,5,4,3,2,9,8,7,6,5,4,3,2}),11)&lt;2,0,11-MOD(SUMPRODUCT(--MID(P894,{1,2,3,4,5,6,7,8,9,10,11,12,13},1),{6,5,4,3,2,9,8,7,6,5,4,3,2}),11))),"OK","ERRO: dígito verificador")))))</f>
      </c>
      <c r="R894" s="6">
        <f>IF(P894="","",IF(COUNTIF($P$2:$P$1001,P894)&gt;1,"DUPLICADO","OK"))</f>
      </c>
      <c r="S894" s="6">
        <f>IF(AND(J894="",K894=""),"vazio",IF(AND(OR(J894="",LEN(SUBSTITUTE(SUBSTITUTE(SUBSTITUTE(SUBSTITUTE(SUBSTITUTE(SUBSTITUTE(SUBSTITUTE(TRIM(J894),".",""),"/",""),"-","")," ",""),"(",""),")",""),"+",""))=10,LEN(SUBSTITUTE(SUBSTITUTE(SUBSTITUTE(SUBSTITUTE(SUBSTITUTE(SUBSTITUTE(SUBSTITUTE(TRIM(J894),".",""),"/",""),"-","")," ",""),"(",""),")",""),"+",""))=11),OR(K894="",LEN(SUBSTITUTE(SUBSTITUTE(SUBSTITUTE(SUBSTITUTE(SUBSTITUTE(SUBSTITUTE(SUBSTITUTE(TRIM(K894),".",""),"/",""),"-","")," ",""),"(",""),")",""),"+",""))=10,LEN(SUBSTITUTE(SUBSTITUTE(SUBSTITUTE(SUBSTITUTE(SUBSTITUTE(SUBSTITUTE(SUBSTITUTE(TRIM(K894),".",""),"/",""),"-","")," ",""),"(",""),")",""),"+",""))=11)),"OK","ERRO: use DDD + número (10 ou 11 dígitos)"))</f>
      </c>
      <c r="T894" s="6">
        <f>IF(L894="","vazio",IF(AND(ISNUMBER(FIND("@",L894)),ISNUMBER(FIND(".",MID(L894,FIND("@",L894),99))),NOT(ISNUMBER(FIND(" ",TRIM(L894)))),NOT(ISNUMBER(FIND(";",L894))),NOT(ISNUMBER(FIND(",",L894)))),"OK","ERRO: um e-mail válido por linha"))</f>
      </c>
      <c r="U894" s="6">
        <f>IF(COUNTA(A894:O894)=0,"",IF(AND(B894&lt;&gt;"",C894&lt;&gt;"",D894&lt;&gt;"",E894&lt;&gt;"",H894&lt;&gt;"",OR(J894&lt;&gt;"",L894&lt;&gt;"")),"OK","ERRO: faltam "&amp;IF(B894="","Proprietário; ","")&amp;IF(C894="","Origem; ","")&amp;IF(D894="","CNPJ; ","")&amp;IF(E894="","Razão Social; ","")&amp;IF(H894="","Sobrenome; ","")&amp;IF(AND(J894="",L894=""),"telefone ou e-mail; ","")))</f>
      </c>
      <c r="V894" s="6">
        <f>IF(COUNTA(A894:O894)=0,"",IF(AND(Q894="OK",R894="OK",LEFT(S894,4)&lt;&gt;"ERRO",LEFT(T894,4)&lt;&gt;"ERRO",U894="OK"),"OK","REVISAR"))</f>
      </c>
    </row>
    <row r="895">
      <c r="A895" s="4"/>
      <c r="B895" s="5"/>
      <c r="C895" s="5"/>
      <c r="D895" s="5"/>
      <c r="E895" s="5"/>
      <c r="F895" s="4"/>
      <c r="G895" s="4"/>
      <c r="H895" s="5"/>
      <c r="I895" s="4"/>
      <c r="J895" s="4"/>
      <c r="K895" s="4"/>
      <c r="L895" s="4"/>
      <c r="M895" s="4"/>
      <c r="N895" s="4"/>
      <c r="O895" s="4"/>
      <c r="P895" s="6">
        <f>IF(D895="","",SUBSTITUTE(SUBSTITUTE(SUBSTITUTE(SUBSTITUTE(SUBSTITUTE(SUBSTITUTE(SUBSTITUTE(TRIM(D895),".",""),"/",""),"-","")," ",""),"(",""),")",""),"+",""))</f>
      </c>
      <c r="Q895" s="6">
        <f>IF(P895="","",IF(LEN(P895)&lt;&gt;14,"ERRO: "&amp;LEN(P895)&amp;" dígitos",IF(NOT(ISNUMBER(VALUE(P895))),"ERRO: não numérico",IF(LEN(SUBSTITUTE(P895,LEFT(P895,1),""))=0,"ERRO: dígitos repetidos",IF(AND(VALUE(MID(P895,13,1))=IF(MOD(SUMPRODUCT(--MID(P895,{1,2,3,4,5,6,7,8,9,10,11,12},1),{5,4,3,2,9,8,7,6,5,4,3,2}),11)&lt;2,0,11-MOD(SUMPRODUCT(--MID(P895,{1,2,3,4,5,6,7,8,9,10,11,12},1),{5,4,3,2,9,8,7,6,5,4,3,2}),11)),VALUE(MID(P895,14,1))=IF(MOD(SUMPRODUCT(--MID(P895,{1,2,3,4,5,6,7,8,9,10,11,12,13},1),{6,5,4,3,2,9,8,7,6,5,4,3,2}),11)&lt;2,0,11-MOD(SUMPRODUCT(--MID(P895,{1,2,3,4,5,6,7,8,9,10,11,12,13},1),{6,5,4,3,2,9,8,7,6,5,4,3,2}),11))),"OK","ERRO: dígito verificador")))))</f>
      </c>
      <c r="R895" s="6">
        <f>IF(P895="","",IF(COUNTIF($P$2:$P$1001,P895)&gt;1,"DUPLICADO","OK"))</f>
      </c>
      <c r="S895" s="6">
        <f>IF(AND(J895="",K895=""),"vazio",IF(AND(OR(J895="",LEN(SUBSTITUTE(SUBSTITUTE(SUBSTITUTE(SUBSTITUTE(SUBSTITUTE(SUBSTITUTE(SUBSTITUTE(TRIM(J895),".",""),"/",""),"-","")," ",""),"(",""),")",""),"+",""))=10,LEN(SUBSTITUTE(SUBSTITUTE(SUBSTITUTE(SUBSTITUTE(SUBSTITUTE(SUBSTITUTE(SUBSTITUTE(TRIM(J895),".",""),"/",""),"-","")," ",""),"(",""),")",""),"+",""))=11),OR(K895="",LEN(SUBSTITUTE(SUBSTITUTE(SUBSTITUTE(SUBSTITUTE(SUBSTITUTE(SUBSTITUTE(SUBSTITUTE(TRIM(K895),".",""),"/",""),"-","")," ",""),"(",""),")",""),"+",""))=10,LEN(SUBSTITUTE(SUBSTITUTE(SUBSTITUTE(SUBSTITUTE(SUBSTITUTE(SUBSTITUTE(SUBSTITUTE(TRIM(K895),".",""),"/",""),"-","")," ",""),"(",""),")",""),"+",""))=11)),"OK","ERRO: use DDD + número (10 ou 11 dígitos)"))</f>
      </c>
      <c r="T895" s="6">
        <f>IF(L895="","vazio",IF(AND(ISNUMBER(FIND("@",L895)),ISNUMBER(FIND(".",MID(L895,FIND("@",L895),99))),NOT(ISNUMBER(FIND(" ",TRIM(L895)))),NOT(ISNUMBER(FIND(";",L895))),NOT(ISNUMBER(FIND(",",L895)))),"OK","ERRO: um e-mail válido por linha"))</f>
      </c>
      <c r="U895" s="6">
        <f>IF(COUNTA(A895:O895)=0,"",IF(AND(B895&lt;&gt;"",C895&lt;&gt;"",D895&lt;&gt;"",E895&lt;&gt;"",H895&lt;&gt;"",OR(J895&lt;&gt;"",L895&lt;&gt;"")),"OK","ERRO: faltam "&amp;IF(B895="","Proprietário; ","")&amp;IF(C895="","Origem; ","")&amp;IF(D895="","CNPJ; ","")&amp;IF(E895="","Razão Social; ","")&amp;IF(H895="","Sobrenome; ","")&amp;IF(AND(J895="",L895=""),"telefone ou e-mail; ","")))</f>
      </c>
      <c r="V895" s="6">
        <f>IF(COUNTA(A895:O895)=0,"",IF(AND(Q895="OK",R895="OK",LEFT(S895,4)&lt;&gt;"ERRO",LEFT(T895,4)&lt;&gt;"ERRO",U895="OK"),"OK","REVISAR"))</f>
      </c>
    </row>
    <row r="896">
      <c r="A896" s="4"/>
      <c r="B896" s="5"/>
      <c r="C896" s="5"/>
      <c r="D896" s="5"/>
      <c r="E896" s="5"/>
      <c r="F896" s="4"/>
      <c r="G896" s="4"/>
      <c r="H896" s="5"/>
      <c r="I896" s="4"/>
      <c r="J896" s="4"/>
      <c r="K896" s="4"/>
      <c r="L896" s="4"/>
      <c r="M896" s="4"/>
      <c r="N896" s="4"/>
      <c r="O896" s="4"/>
      <c r="P896" s="6">
        <f>IF(D896="","",SUBSTITUTE(SUBSTITUTE(SUBSTITUTE(SUBSTITUTE(SUBSTITUTE(SUBSTITUTE(SUBSTITUTE(TRIM(D896),".",""),"/",""),"-","")," ",""),"(",""),")",""),"+",""))</f>
      </c>
      <c r="Q896" s="6">
        <f>IF(P896="","",IF(LEN(P896)&lt;&gt;14,"ERRO: "&amp;LEN(P896)&amp;" dígitos",IF(NOT(ISNUMBER(VALUE(P896))),"ERRO: não numérico",IF(LEN(SUBSTITUTE(P896,LEFT(P896,1),""))=0,"ERRO: dígitos repetidos",IF(AND(VALUE(MID(P896,13,1))=IF(MOD(SUMPRODUCT(--MID(P896,{1,2,3,4,5,6,7,8,9,10,11,12},1),{5,4,3,2,9,8,7,6,5,4,3,2}),11)&lt;2,0,11-MOD(SUMPRODUCT(--MID(P896,{1,2,3,4,5,6,7,8,9,10,11,12},1),{5,4,3,2,9,8,7,6,5,4,3,2}),11)),VALUE(MID(P896,14,1))=IF(MOD(SUMPRODUCT(--MID(P896,{1,2,3,4,5,6,7,8,9,10,11,12,13},1),{6,5,4,3,2,9,8,7,6,5,4,3,2}),11)&lt;2,0,11-MOD(SUMPRODUCT(--MID(P896,{1,2,3,4,5,6,7,8,9,10,11,12,13},1),{6,5,4,3,2,9,8,7,6,5,4,3,2}),11))),"OK","ERRO: dígito verificador")))))</f>
      </c>
      <c r="R896" s="6">
        <f>IF(P896="","",IF(COUNTIF($P$2:$P$1001,P896)&gt;1,"DUPLICADO","OK"))</f>
      </c>
      <c r="S896" s="6">
        <f>IF(AND(J896="",K896=""),"vazio",IF(AND(OR(J896="",LEN(SUBSTITUTE(SUBSTITUTE(SUBSTITUTE(SUBSTITUTE(SUBSTITUTE(SUBSTITUTE(SUBSTITUTE(TRIM(J896),".",""),"/",""),"-","")," ",""),"(",""),")",""),"+",""))=10,LEN(SUBSTITUTE(SUBSTITUTE(SUBSTITUTE(SUBSTITUTE(SUBSTITUTE(SUBSTITUTE(SUBSTITUTE(TRIM(J896),".",""),"/",""),"-","")," ",""),"(",""),")",""),"+",""))=11),OR(K896="",LEN(SUBSTITUTE(SUBSTITUTE(SUBSTITUTE(SUBSTITUTE(SUBSTITUTE(SUBSTITUTE(SUBSTITUTE(TRIM(K896),".",""),"/",""),"-","")," ",""),"(",""),")",""),"+",""))=10,LEN(SUBSTITUTE(SUBSTITUTE(SUBSTITUTE(SUBSTITUTE(SUBSTITUTE(SUBSTITUTE(SUBSTITUTE(TRIM(K896),".",""),"/",""),"-","")," ",""),"(",""),")",""),"+",""))=11)),"OK","ERRO: use DDD + número (10 ou 11 dígitos)"))</f>
      </c>
      <c r="T896" s="6">
        <f>IF(L896="","vazio",IF(AND(ISNUMBER(FIND("@",L896)),ISNUMBER(FIND(".",MID(L896,FIND("@",L896),99))),NOT(ISNUMBER(FIND(" ",TRIM(L896)))),NOT(ISNUMBER(FIND(";",L896))),NOT(ISNUMBER(FIND(",",L896)))),"OK","ERRO: um e-mail válido por linha"))</f>
      </c>
      <c r="U896" s="6">
        <f>IF(COUNTA(A896:O896)=0,"",IF(AND(B896&lt;&gt;"",C896&lt;&gt;"",D896&lt;&gt;"",E896&lt;&gt;"",H896&lt;&gt;"",OR(J896&lt;&gt;"",L896&lt;&gt;"")),"OK","ERRO: faltam "&amp;IF(B896="","Proprietário; ","")&amp;IF(C896="","Origem; ","")&amp;IF(D896="","CNPJ; ","")&amp;IF(E896="","Razão Social; ","")&amp;IF(H896="","Sobrenome; ","")&amp;IF(AND(J896="",L896=""),"telefone ou e-mail; ","")))</f>
      </c>
      <c r="V896" s="6">
        <f>IF(COUNTA(A896:O896)=0,"",IF(AND(Q896="OK",R896="OK",LEFT(S896,4)&lt;&gt;"ERRO",LEFT(T896,4)&lt;&gt;"ERRO",U896="OK"),"OK","REVISAR"))</f>
      </c>
    </row>
    <row r="897">
      <c r="A897" s="4"/>
      <c r="B897" s="5"/>
      <c r="C897" s="5"/>
      <c r="D897" s="5"/>
      <c r="E897" s="5"/>
      <c r="F897" s="4"/>
      <c r="G897" s="4"/>
      <c r="H897" s="5"/>
      <c r="I897" s="4"/>
      <c r="J897" s="4"/>
      <c r="K897" s="4"/>
      <c r="L897" s="4"/>
      <c r="M897" s="4"/>
      <c r="N897" s="4"/>
      <c r="O897" s="4"/>
      <c r="P897" s="6">
        <f>IF(D897="","",SUBSTITUTE(SUBSTITUTE(SUBSTITUTE(SUBSTITUTE(SUBSTITUTE(SUBSTITUTE(SUBSTITUTE(TRIM(D897),".",""),"/",""),"-","")," ",""),"(",""),")",""),"+",""))</f>
      </c>
      <c r="Q897" s="6">
        <f>IF(P897="","",IF(LEN(P897)&lt;&gt;14,"ERRO: "&amp;LEN(P897)&amp;" dígitos",IF(NOT(ISNUMBER(VALUE(P897))),"ERRO: não numérico",IF(LEN(SUBSTITUTE(P897,LEFT(P897,1),""))=0,"ERRO: dígitos repetidos",IF(AND(VALUE(MID(P897,13,1))=IF(MOD(SUMPRODUCT(--MID(P897,{1,2,3,4,5,6,7,8,9,10,11,12},1),{5,4,3,2,9,8,7,6,5,4,3,2}),11)&lt;2,0,11-MOD(SUMPRODUCT(--MID(P897,{1,2,3,4,5,6,7,8,9,10,11,12},1),{5,4,3,2,9,8,7,6,5,4,3,2}),11)),VALUE(MID(P897,14,1))=IF(MOD(SUMPRODUCT(--MID(P897,{1,2,3,4,5,6,7,8,9,10,11,12,13},1),{6,5,4,3,2,9,8,7,6,5,4,3,2}),11)&lt;2,0,11-MOD(SUMPRODUCT(--MID(P897,{1,2,3,4,5,6,7,8,9,10,11,12,13},1),{6,5,4,3,2,9,8,7,6,5,4,3,2}),11))),"OK","ERRO: dígito verificador")))))</f>
      </c>
      <c r="R897" s="6">
        <f>IF(P897="","",IF(COUNTIF($P$2:$P$1001,P897)&gt;1,"DUPLICADO","OK"))</f>
      </c>
      <c r="S897" s="6">
        <f>IF(AND(J897="",K897=""),"vazio",IF(AND(OR(J897="",LEN(SUBSTITUTE(SUBSTITUTE(SUBSTITUTE(SUBSTITUTE(SUBSTITUTE(SUBSTITUTE(SUBSTITUTE(TRIM(J897),".",""),"/",""),"-","")," ",""),"(",""),")",""),"+",""))=10,LEN(SUBSTITUTE(SUBSTITUTE(SUBSTITUTE(SUBSTITUTE(SUBSTITUTE(SUBSTITUTE(SUBSTITUTE(TRIM(J897),".",""),"/",""),"-","")," ",""),"(",""),")",""),"+",""))=11),OR(K897="",LEN(SUBSTITUTE(SUBSTITUTE(SUBSTITUTE(SUBSTITUTE(SUBSTITUTE(SUBSTITUTE(SUBSTITUTE(TRIM(K897),".",""),"/",""),"-","")," ",""),"(",""),")",""),"+",""))=10,LEN(SUBSTITUTE(SUBSTITUTE(SUBSTITUTE(SUBSTITUTE(SUBSTITUTE(SUBSTITUTE(SUBSTITUTE(TRIM(K897),".",""),"/",""),"-","")," ",""),"(",""),")",""),"+",""))=11)),"OK","ERRO: use DDD + número (10 ou 11 dígitos)"))</f>
      </c>
      <c r="T897" s="6">
        <f>IF(L897="","vazio",IF(AND(ISNUMBER(FIND("@",L897)),ISNUMBER(FIND(".",MID(L897,FIND("@",L897),99))),NOT(ISNUMBER(FIND(" ",TRIM(L897)))),NOT(ISNUMBER(FIND(";",L897))),NOT(ISNUMBER(FIND(",",L897)))),"OK","ERRO: um e-mail válido por linha"))</f>
      </c>
      <c r="U897" s="6">
        <f>IF(COUNTA(A897:O897)=0,"",IF(AND(B897&lt;&gt;"",C897&lt;&gt;"",D897&lt;&gt;"",E897&lt;&gt;"",H897&lt;&gt;"",OR(J897&lt;&gt;"",L897&lt;&gt;"")),"OK","ERRO: faltam "&amp;IF(B897="","Proprietário; ","")&amp;IF(C897="","Origem; ","")&amp;IF(D897="","CNPJ; ","")&amp;IF(E897="","Razão Social; ","")&amp;IF(H897="","Sobrenome; ","")&amp;IF(AND(J897="",L897=""),"telefone ou e-mail; ","")))</f>
      </c>
      <c r="V897" s="6">
        <f>IF(COUNTA(A897:O897)=0,"",IF(AND(Q897="OK",R897="OK",LEFT(S897,4)&lt;&gt;"ERRO",LEFT(T897,4)&lt;&gt;"ERRO",U897="OK"),"OK","REVISAR"))</f>
      </c>
    </row>
    <row r="898">
      <c r="A898" s="4"/>
      <c r="B898" s="5"/>
      <c r="C898" s="5"/>
      <c r="D898" s="5"/>
      <c r="E898" s="5"/>
      <c r="F898" s="4"/>
      <c r="G898" s="4"/>
      <c r="H898" s="5"/>
      <c r="I898" s="4"/>
      <c r="J898" s="4"/>
      <c r="K898" s="4"/>
      <c r="L898" s="4"/>
      <c r="M898" s="4"/>
      <c r="N898" s="4"/>
      <c r="O898" s="4"/>
      <c r="P898" s="6">
        <f>IF(D898="","",SUBSTITUTE(SUBSTITUTE(SUBSTITUTE(SUBSTITUTE(SUBSTITUTE(SUBSTITUTE(SUBSTITUTE(TRIM(D898),".",""),"/",""),"-","")," ",""),"(",""),")",""),"+",""))</f>
      </c>
      <c r="Q898" s="6">
        <f>IF(P898="","",IF(LEN(P898)&lt;&gt;14,"ERRO: "&amp;LEN(P898)&amp;" dígitos",IF(NOT(ISNUMBER(VALUE(P898))),"ERRO: não numérico",IF(LEN(SUBSTITUTE(P898,LEFT(P898,1),""))=0,"ERRO: dígitos repetidos",IF(AND(VALUE(MID(P898,13,1))=IF(MOD(SUMPRODUCT(--MID(P898,{1,2,3,4,5,6,7,8,9,10,11,12},1),{5,4,3,2,9,8,7,6,5,4,3,2}),11)&lt;2,0,11-MOD(SUMPRODUCT(--MID(P898,{1,2,3,4,5,6,7,8,9,10,11,12},1),{5,4,3,2,9,8,7,6,5,4,3,2}),11)),VALUE(MID(P898,14,1))=IF(MOD(SUMPRODUCT(--MID(P898,{1,2,3,4,5,6,7,8,9,10,11,12,13},1),{6,5,4,3,2,9,8,7,6,5,4,3,2}),11)&lt;2,0,11-MOD(SUMPRODUCT(--MID(P898,{1,2,3,4,5,6,7,8,9,10,11,12,13},1),{6,5,4,3,2,9,8,7,6,5,4,3,2}),11))),"OK","ERRO: dígito verificador")))))</f>
      </c>
      <c r="R898" s="6">
        <f>IF(P898="","",IF(COUNTIF($P$2:$P$1001,P898)&gt;1,"DUPLICADO","OK"))</f>
      </c>
      <c r="S898" s="6">
        <f>IF(AND(J898="",K898=""),"vazio",IF(AND(OR(J898="",LEN(SUBSTITUTE(SUBSTITUTE(SUBSTITUTE(SUBSTITUTE(SUBSTITUTE(SUBSTITUTE(SUBSTITUTE(TRIM(J898),".",""),"/",""),"-","")," ",""),"(",""),")",""),"+",""))=10,LEN(SUBSTITUTE(SUBSTITUTE(SUBSTITUTE(SUBSTITUTE(SUBSTITUTE(SUBSTITUTE(SUBSTITUTE(TRIM(J898),".",""),"/",""),"-","")," ",""),"(",""),")",""),"+",""))=11),OR(K898="",LEN(SUBSTITUTE(SUBSTITUTE(SUBSTITUTE(SUBSTITUTE(SUBSTITUTE(SUBSTITUTE(SUBSTITUTE(TRIM(K898),".",""),"/",""),"-","")," ",""),"(",""),")",""),"+",""))=10,LEN(SUBSTITUTE(SUBSTITUTE(SUBSTITUTE(SUBSTITUTE(SUBSTITUTE(SUBSTITUTE(SUBSTITUTE(TRIM(K898),".",""),"/",""),"-","")," ",""),"(",""),")",""),"+",""))=11)),"OK","ERRO: use DDD + número (10 ou 11 dígitos)"))</f>
      </c>
      <c r="T898" s="6">
        <f>IF(L898="","vazio",IF(AND(ISNUMBER(FIND("@",L898)),ISNUMBER(FIND(".",MID(L898,FIND("@",L898),99))),NOT(ISNUMBER(FIND(" ",TRIM(L898)))),NOT(ISNUMBER(FIND(";",L898))),NOT(ISNUMBER(FIND(",",L898)))),"OK","ERRO: um e-mail válido por linha"))</f>
      </c>
      <c r="U898" s="6">
        <f>IF(COUNTA(A898:O898)=0,"",IF(AND(B898&lt;&gt;"",C898&lt;&gt;"",D898&lt;&gt;"",E898&lt;&gt;"",H898&lt;&gt;"",OR(J898&lt;&gt;"",L898&lt;&gt;"")),"OK","ERRO: faltam "&amp;IF(B898="","Proprietário; ","")&amp;IF(C898="","Origem; ","")&amp;IF(D898="","CNPJ; ","")&amp;IF(E898="","Razão Social; ","")&amp;IF(H898="","Sobrenome; ","")&amp;IF(AND(J898="",L898=""),"telefone ou e-mail; ","")))</f>
      </c>
      <c r="V898" s="6">
        <f>IF(COUNTA(A898:O898)=0,"",IF(AND(Q898="OK",R898="OK",LEFT(S898,4)&lt;&gt;"ERRO",LEFT(T898,4)&lt;&gt;"ERRO",U898="OK"),"OK","REVISAR"))</f>
      </c>
    </row>
    <row r="899">
      <c r="A899" s="4"/>
      <c r="B899" s="5"/>
      <c r="C899" s="5"/>
      <c r="D899" s="5"/>
      <c r="E899" s="5"/>
      <c r="F899" s="4"/>
      <c r="G899" s="4"/>
      <c r="H899" s="5"/>
      <c r="I899" s="4"/>
      <c r="J899" s="4"/>
      <c r="K899" s="4"/>
      <c r="L899" s="4"/>
      <c r="M899" s="4"/>
      <c r="N899" s="4"/>
      <c r="O899" s="4"/>
      <c r="P899" s="6">
        <f>IF(D899="","",SUBSTITUTE(SUBSTITUTE(SUBSTITUTE(SUBSTITUTE(SUBSTITUTE(SUBSTITUTE(SUBSTITUTE(TRIM(D899),".",""),"/",""),"-","")," ",""),"(",""),")",""),"+",""))</f>
      </c>
      <c r="Q899" s="6">
        <f>IF(P899="","",IF(LEN(P899)&lt;&gt;14,"ERRO: "&amp;LEN(P899)&amp;" dígitos",IF(NOT(ISNUMBER(VALUE(P899))),"ERRO: não numérico",IF(LEN(SUBSTITUTE(P899,LEFT(P899,1),""))=0,"ERRO: dígitos repetidos",IF(AND(VALUE(MID(P899,13,1))=IF(MOD(SUMPRODUCT(--MID(P899,{1,2,3,4,5,6,7,8,9,10,11,12},1),{5,4,3,2,9,8,7,6,5,4,3,2}),11)&lt;2,0,11-MOD(SUMPRODUCT(--MID(P899,{1,2,3,4,5,6,7,8,9,10,11,12},1),{5,4,3,2,9,8,7,6,5,4,3,2}),11)),VALUE(MID(P899,14,1))=IF(MOD(SUMPRODUCT(--MID(P899,{1,2,3,4,5,6,7,8,9,10,11,12,13},1),{6,5,4,3,2,9,8,7,6,5,4,3,2}),11)&lt;2,0,11-MOD(SUMPRODUCT(--MID(P899,{1,2,3,4,5,6,7,8,9,10,11,12,13},1),{6,5,4,3,2,9,8,7,6,5,4,3,2}),11))),"OK","ERRO: dígito verificador")))))</f>
      </c>
      <c r="R899" s="6">
        <f>IF(P899="","",IF(COUNTIF($P$2:$P$1001,P899)&gt;1,"DUPLICADO","OK"))</f>
      </c>
      <c r="S899" s="6">
        <f>IF(AND(J899="",K899=""),"vazio",IF(AND(OR(J899="",LEN(SUBSTITUTE(SUBSTITUTE(SUBSTITUTE(SUBSTITUTE(SUBSTITUTE(SUBSTITUTE(SUBSTITUTE(TRIM(J899),".",""),"/",""),"-","")," ",""),"(",""),")",""),"+",""))=10,LEN(SUBSTITUTE(SUBSTITUTE(SUBSTITUTE(SUBSTITUTE(SUBSTITUTE(SUBSTITUTE(SUBSTITUTE(TRIM(J899),".",""),"/",""),"-","")," ",""),"(",""),")",""),"+",""))=11),OR(K899="",LEN(SUBSTITUTE(SUBSTITUTE(SUBSTITUTE(SUBSTITUTE(SUBSTITUTE(SUBSTITUTE(SUBSTITUTE(TRIM(K899),".",""),"/",""),"-","")," ",""),"(",""),")",""),"+",""))=10,LEN(SUBSTITUTE(SUBSTITUTE(SUBSTITUTE(SUBSTITUTE(SUBSTITUTE(SUBSTITUTE(SUBSTITUTE(TRIM(K899),".",""),"/",""),"-","")," ",""),"(",""),")",""),"+",""))=11)),"OK","ERRO: use DDD + número (10 ou 11 dígitos)"))</f>
      </c>
      <c r="T899" s="6">
        <f>IF(L899="","vazio",IF(AND(ISNUMBER(FIND("@",L899)),ISNUMBER(FIND(".",MID(L899,FIND("@",L899),99))),NOT(ISNUMBER(FIND(" ",TRIM(L899)))),NOT(ISNUMBER(FIND(";",L899))),NOT(ISNUMBER(FIND(",",L899)))),"OK","ERRO: um e-mail válido por linha"))</f>
      </c>
      <c r="U899" s="6">
        <f>IF(COUNTA(A899:O899)=0,"",IF(AND(B899&lt;&gt;"",C899&lt;&gt;"",D899&lt;&gt;"",E899&lt;&gt;"",H899&lt;&gt;"",OR(J899&lt;&gt;"",L899&lt;&gt;"")),"OK","ERRO: faltam "&amp;IF(B899="","Proprietário; ","")&amp;IF(C899="","Origem; ","")&amp;IF(D899="","CNPJ; ","")&amp;IF(E899="","Razão Social; ","")&amp;IF(H899="","Sobrenome; ","")&amp;IF(AND(J899="",L899=""),"telefone ou e-mail; ","")))</f>
      </c>
      <c r="V899" s="6">
        <f>IF(COUNTA(A899:O899)=0,"",IF(AND(Q899="OK",R899="OK",LEFT(S899,4)&lt;&gt;"ERRO",LEFT(T899,4)&lt;&gt;"ERRO",U899="OK"),"OK","REVISAR"))</f>
      </c>
    </row>
    <row r="900">
      <c r="A900" s="4"/>
      <c r="B900" s="5"/>
      <c r="C900" s="5"/>
      <c r="D900" s="5"/>
      <c r="E900" s="5"/>
      <c r="F900" s="4"/>
      <c r="G900" s="4"/>
      <c r="H900" s="5"/>
      <c r="I900" s="4"/>
      <c r="J900" s="4"/>
      <c r="K900" s="4"/>
      <c r="L900" s="4"/>
      <c r="M900" s="4"/>
      <c r="N900" s="4"/>
      <c r="O900" s="4"/>
      <c r="P900" s="6">
        <f>IF(D900="","",SUBSTITUTE(SUBSTITUTE(SUBSTITUTE(SUBSTITUTE(SUBSTITUTE(SUBSTITUTE(SUBSTITUTE(TRIM(D900),".",""),"/",""),"-","")," ",""),"(",""),")",""),"+",""))</f>
      </c>
      <c r="Q900" s="6">
        <f>IF(P900="","",IF(LEN(P900)&lt;&gt;14,"ERRO: "&amp;LEN(P900)&amp;" dígitos",IF(NOT(ISNUMBER(VALUE(P900))),"ERRO: não numérico",IF(LEN(SUBSTITUTE(P900,LEFT(P900,1),""))=0,"ERRO: dígitos repetidos",IF(AND(VALUE(MID(P900,13,1))=IF(MOD(SUMPRODUCT(--MID(P900,{1,2,3,4,5,6,7,8,9,10,11,12},1),{5,4,3,2,9,8,7,6,5,4,3,2}),11)&lt;2,0,11-MOD(SUMPRODUCT(--MID(P900,{1,2,3,4,5,6,7,8,9,10,11,12},1),{5,4,3,2,9,8,7,6,5,4,3,2}),11)),VALUE(MID(P900,14,1))=IF(MOD(SUMPRODUCT(--MID(P900,{1,2,3,4,5,6,7,8,9,10,11,12,13},1),{6,5,4,3,2,9,8,7,6,5,4,3,2}),11)&lt;2,0,11-MOD(SUMPRODUCT(--MID(P900,{1,2,3,4,5,6,7,8,9,10,11,12,13},1),{6,5,4,3,2,9,8,7,6,5,4,3,2}),11))),"OK","ERRO: dígito verificador")))))</f>
      </c>
      <c r="R900" s="6">
        <f>IF(P900="","",IF(COUNTIF($P$2:$P$1001,P900)&gt;1,"DUPLICADO","OK"))</f>
      </c>
      <c r="S900" s="6">
        <f>IF(AND(J900="",K900=""),"vazio",IF(AND(OR(J900="",LEN(SUBSTITUTE(SUBSTITUTE(SUBSTITUTE(SUBSTITUTE(SUBSTITUTE(SUBSTITUTE(SUBSTITUTE(TRIM(J900),".",""),"/",""),"-","")," ",""),"(",""),")",""),"+",""))=10,LEN(SUBSTITUTE(SUBSTITUTE(SUBSTITUTE(SUBSTITUTE(SUBSTITUTE(SUBSTITUTE(SUBSTITUTE(TRIM(J900),".",""),"/",""),"-","")," ",""),"(",""),")",""),"+",""))=11),OR(K900="",LEN(SUBSTITUTE(SUBSTITUTE(SUBSTITUTE(SUBSTITUTE(SUBSTITUTE(SUBSTITUTE(SUBSTITUTE(TRIM(K900),".",""),"/",""),"-","")," ",""),"(",""),")",""),"+",""))=10,LEN(SUBSTITUTE(SUBSTITUTE(SUBSTITUTE(SUBSTITUTE(SUBSTITUTE(SUBSTITUTE(SUBSTITUTE(TRIM(K900),".",""),"/",""),"-","")," ",""),"(",""),")",""),"+",""))=11)),"OK","ERRO: use DDD + número (10 ou 11 dígitos)"))</f>
      </c>
      <c r="T900" s="6">
        <f>IF(L900="","vazio",IF(AND(ISNUMBER(FIND("@",L900)),ISNUMBER(FIND(".",MID(L900,FIND("@",L900),99))),NOT(ISNUMBER(FIND(" ",TRIM(L900)))),NOT(ISNUMBER(FIND(";",L900))),NOT(ISNUMBER(FIND(",",L900)))),"OK","ERRO: um e-mail válido por linha"))</f>
      </c>
      <c r="U900" s="6">
        <f>IF(COUNTA(A900:O900)=0,"",IF(AND(B900&lt;&gt;"",C900&lt;&gt;"",D900&lt;&gt;"",E900&lt;&gt;"",H900&lt;&gt;"",OR(J900&lt;&gt;"",L900&lt;&gt;"")),"OK","ERRO: faltam "&amp;IF(B900="","Proprietário; ","")&amp;IF(C900="","Origem; ","")&amp;IF(D900="","CNPJ; ","")&amp;IF(E900="","Razão Social; ","")&amp;IF(H900="","Sobrenome; ","")&amp;IF(AND(J900="",L900=""),"telefone ou e-mail; ","")))</f>
      </c>
      <c r="V900" s="6">
        <f>IF(COUNTA(A900:O900)=0,"",IF(AND(Q900="OK",R900="OK",LEFT(S900,4)&lt;&gt;"ERRO",LEFT(T900,4)&lt;&gt;"ERRO",U900="OK"),"OK","REVISAR"))</f>
      </c>
    </row>
    <row r="901">
      <c r="A901" s="4"/>
      <c r="B901" s="5"/>
      <c r="C901" s="5"/>
      <c r="D901" s="5"/>
      <c r="E901" s="5"/>
      <c r="F901" s="4"/>
      <c r="G901" s="4"/>
      <c r="H901" s="5"/>
      <c r="I901" s="4"/>
      <c r="J901" s="4"/>
      <c r="K901" s="4"/>
      <c r="L901" s="4"/>
      <c r="M901" s="4"/>
      <c r="N901" s="4"/>
      <c r="O901" s="4"/>
      <c r="P901" s="6">
        <f>IF(D901="","",SUBSTITUTE(SUBSTITUTE(SUBSTITUTE(SUBSTITUTE(SUBSTITUTE(SUBSTITUTE(SUBSTITUTE(TRIM(D901),".",""),"/",""),"-","")," ",""),"(",""),")",""),"+",""))</f>
      </c>
      <c r="Q901" s="6">
        <f>IF(P901="","",IF(LEN(P901)&lt;&gt;14,"ERRO: "&amp;LEN(P901)&amp;" dígitos",IF(NOT(ISNUMBER(VALUE(P901))),"ERRO: não numérico",IF(LEN(SUBSTITUTE(P901,LEFT(P901,1),""))=0,"ERRO: dígitos repetidos",IF(AND(VALUE(MID(P901,13,1))=IF(MOD(SUMPRODUCT(--MID(P901,{1,2,3,4,5,6,7,8,9,10,11,12},1),{5,4,3,2,9,8,7,6,5,4,3,2}),11)&lt;2,0,11-MOD(SUMPRODUCT(--MID(P901,{1,2,3,4,5,6,7,8,9,10,11,12},1),{5,4,3,2,9,8,7,6,5,4,3,2}),11)),VALUE(MID(P901,14,1))=IF(MOD(SUMPRODUCT(--MID(P901,{1,2,3,4,5,6,7,8,9,10,11,12,13},1),{6,5,4,3,2,9,8,7,6,5,4,3,2}),11)&lt;2,0,11-MOD(SUMPRODUCT(--MID(P901,{1,2,3,4,5,6,7,8,9,10,11,12,13},1),{6,5,4,3,2,9,8,7,6,5,4,3,2}),11))),"OK","ERRO: dígito verificador")))))</f>
      </c>
      <c r="R901" s="6">
        <f>IF(P901="","",IF(COUNTIF($P$2:$P$1001,P901)&gt;1,"DUPLICADO","OK"))</f>
      </c>
      <c r="S901" s="6">
        <f>IF(AND(J901="",K901=""),"vazio",IF(AND(OR(J901="",LEN(SUBSTITUTE(SUBSTITUTE(SUBSTITUTE(SUBSTITUTE(SUBSTITUTE(SUBSTITUTE(SUBSTITUTE(TRIM(J901),".",""),"/",""),"-","")," ",""),"(",""),")",""),"+",""))=10,LEN(SUBSTITUTE(SUBSTITUTE(SUBSTITUTE(SUBSTITUTE(SUBSTITUTE(SUBSTITUTE(SUBSTITUTE(TRIM(J901),".",""),"/",""),"-","")," ",""),"(",""),")",""),"+",""))=11),OR(K901="",LEN(SUBSTITUTE(SUBSTITUTE(SUBSTITUTE(SUBSTITUTE(SUBSTITUTE(SUBSTITUTE(SUBSTITUTE(TRIM(K901),".",""),"/",""),"-","")," ",""),"(",""),")",""),"+",""))=10,LEN(SUBSTITUTE(SUBSTITUTE(SUBSTITUTE(SUBSTITUTE(SUBSTITUTE(SUBSTITUTE(SUBSTITUTE(TRIM(K901),".",""),"/",""),"-","")," ",""),"(",""),")",""),"+",""))=11)),"OK","ERRO: use DDD + número (10 ou 11 dígitos)"))</f>
      </c>
      <c r="T901" s="6">
        <f>IF(L901="","vazio",IF(AND(ISNUMBER(FIND("@",L901)),ISNUMBER(FIND(".",MID(L901,FIND("@",L901),99))),NOT(ISNUMBER(FIND(" ",TRIM(L901)))),NOT(ISNUMBER(FIND(";",L901))),NOT(ISNUMBER(FIND(",",L901)))),"OK","ERRO: um e-mail válido por linha"))</f>
      </c>
      <c r="U901" s="6">
        <f>IF(COUNTA(A901:O901)=0,"",IF(AND(B901&lt;&gt;"",C901&lt;&gt;"",D901&lt;&gt;"",E901&lt;&gt;"",H901&lt;&gt;"",OR(J901&lt;&gt;"",L901&lt;&gt;"")),"OK","ERRO: faltam "&amp;IF(B901="","Proprietário; ","")&amp;IF(C901="","Origem; ","")&amp;IF(D901="","CNPJ; ","")&amp;IF(E901="","Razão Social; ","")&amp;IF(H901="","Sobrenome; ","")&amp;IF(AND(J901="",L901=""),"telefone ou e-mail; ","")))</f>
      </c>
      <c r="V901" s="6">
        <f>IF(COUNTA(A901:O901)=0,"",IF(AND(Q901="OK",R901="OK",LEFT(S901,4)&lt;&gt;"ERRO",LEFT(T901,4)&lt;&gt;"ERRO",U901="OK"),"OK","REVISAR"))</f>
      </c>
    </row>
    <row r="902">
      <c r="A902" s="4"/>
      <c r="B902" s="5"/>
      <c r="C902" s="5"/>
      <c r="D902" s="5"/>
      <c r="E902" s="5"/>
      <c r="F902" s="4"/>
      <c r="G902" s="4"/>
      <c r="H902" s="5"/>
      <c r="I902" s="4"/>
      <c r="J902" s="4"/>
      <c r="K902" s="4"/>
      <c r="L902" s="4"/>
      <c r="M902" s="4"/>
      <c r="N902" s="4"/>
      <c r="O902" s="4"/>
      <c r="P902" s="6">
        <f>IF(D902="","",SUBSTITUTE(SUBSTITUTE(SUBSTITUTE(SUBSTITUTE(SUBSTITUTE(SUBSTITUTE(SUBSTITUTE(TRIM(D902),".",""),"/",""),"-","")," ",""),"(",""),")",""),"+",""))</f>
      </c>
      <c r="Q902" s="6">
        <f>IF(P902="","",IF(LEN(P902)&lt;&gt;14,"ERRO: "&amp;LEN(P902)&amp;" dígitos",IF(NOT(ISNUMBER(VALUE(P902))),"ERRO: não numérico",IF(LEN(SUBSTITUTE(P902,LEFT(P902,1),""))=0,"ERRO: dígitos repetidos",IF(AND(VALUE(MID(P902,13,1))=IF(MOD(SUMPRODUCT(--MID(P902,{1,2,3,4,5,6,7,8,9,10,11,12},1),{5,4,3,2,9,8,7,6,5,4,3,2}),11)&lt;2,0,11-MOD(SUMPRODUCT(--MID(P902,{1,2,3,4,5,6,7,8,9,10,11,12},1),{5,4,3,2,9,8,7,6,5,4,3,2}),11)),VALUE(MID(P902,14,1))=IF(MOD(SUMPRODUCT(--MID(P902,{1,2,3,4,5,6,7,8,9,10,11,12,13},1),{6,5,4,3,2,9,8,7,6,5,4,3,2}),11)&lt;2,0,11-MOD(SUMPRODUCT(--MID(P902,{1,2,3,4,5,6,7,8,9,10,11,12,13},1),{6,5,4,3,2,9,8,7,6,5,4,3,2}),11))),"OK","ERRO: dígito verificador")))))</f>
      </c>
      <c r="R902" s="6">
        <f>IF(P902="","",IF(COUNTIF($P$2:$P$1001,P902)&gt;1,"DUPLICADO","OK"))</f>
      </c>
      <c r="S902" s="6">
        <f>IF(AND(J902="",K902=""),"vazio",IF(AND(OR(J902="",LEN(SUBSTITUTE(SUBSTITUTE(SUBSTITUTE(SUBSTITUTE(SUBSTITUTE(SUBSTITUTE(SUBSTITUTE(TRIM(J902),".",""),"/",""),"-","")," ",""),"(",""),")",""),"+",""))=10,LEN(SUBSTITUTE(SUBSTITUTE(SUBSTITUTE(SUBSTITUTE(SUBSTITUTE(SUBSTITUTE(SUBSTITUTE(TRIM(J902),".",""),"/",""),"-","")," ",""),"(",""),")",""),"+",""))=11),OR(K902="",LEN(SUBSTITUTE(SUBSTITUTE(SUBSTITUTE(SUBSTITUTE(SUBSTITUTE(SUBSTITUTE(SUBSTITUTE(TRIM(K902),".",""),"/",""),"-","")," ",""),"(",""),")",""),"+",""))=10,LEN(SUBSTITUTE(SUBSTITUTE(SUBSTITUTE(SUBSTITUTE(SUBSTITUTE(SUBSTITUTE(SUBSTITUTE(TRIM(K902),".",""),"/",""),"-","")," ",""),"(",""),")",""),"+",""))=11)),"OK","ERRO: use DDD + número (10 ou 11 dígitos)"))</f>
      </c>
      <c r="T902" s="6">
        <f>IF(L902="","vazio",IF(AND(ISNUMBER(FIND("@",L902)),ISNUMBER(FIND(".",MID(L902,FIND("@",L902),99))),NOT(ISNUMBER(FIND(" ",TRIM(L902)))),NOT(ISNUMBER(FIND(";",L902))),NOT(ISNUMBER(FIND(",",L902)))),"OK","ERRO: um e-mail válido por linha"))</f>
      </c>
      <c r="U902" s="6">
        <f>IF(COUNTA(A902:O902)=0,"",IF(AND(B902&lt;&gt;"",C902&lt;&gt;"",D902&lt;&gt;"",E902&lt;&gt;"",H902&lt;&gt;"",OR(J902&lt;&gt;"",L902&lt;&gt;"")),"OK","ERRO: faltam "&amp;IF(B902="","Proprietário; ","")&amp;IF(C902="","Origem; ","")&amp;IF(D902="","CNPJ; ","")&amp;IF(E902="","Razão Social; ","")&amp;IF(H902="","Sobrenome; ","")&amp;IF(AND(J902="",L902=""),"telefone ou e-mail; ","")))</f>
      </c>
      <c r="V902" s="6">
        <f>IF(COUNTA(A902:O902)=0,"",IF(AND(Q902="OK",R902="OK",LEFT(S902,4)&lt;&gt;"ERRO",LEFT(T902,4)&lt;&gt;"ERRO",U902="OK"),"OK","REVISAR"))</f>
      </c>
    </row>
    <row r="903">
      <c r="A903" s="4"/>
      <c r="B903" s="5"/>
      <c r="C903" s="5"/>
      <c r="D903" s="5"/>
      <c r="E903" s="5"/>
      <c r="F903" s="4"/>
      <c r="G903" s="4"/>
      <c r="H903" s="5"/>
      <c r="I903" s="4"/>
      <c r="J903" s="4"/>
      <c r="K903" s="4"/>
      <c r="L903" s="4"/>
      <c r="M903" s="4"/>
      <c r="N903" s="4"/>
      <c r="O903" s="4"/>
      <c r="P903" s="6">
        <f>IF(D903="","",SUBSTITUTE(SUBSTITUTE(SUBSTITUTE(SUBSTITUTE(SUBSTITUTE(SUBSTITUTE(SUBSTITUTE(TRIM(D903),".",""),"/",""),"-","")," ",""),"(",""),")",""),"+",""))</f>
      </c>
      <c r="Q903" s="6">
        <f>IF(P903="","",IF(LEN(P903)&lt;&gt;14,"ERRO: "&amp;LEN(P903)&amp;" dígitos",IF(NOT(ISNUMBER(VALUE(P903))),"ERRO: não numérico",IF(LEN(SUBSTITUTE(P903,LEFT(P903,1),""))=0,"ERRO: dígitos repetidos",IF(AND(VALUE(MID(P903,13,1))=IF(MOD(SUMPRODUCT(--MID(P903,{1,2,3,4,5,6,7,8,9,10,11,12},1),{5,4,3,2,9,8,7,6,5,4,3,2}),11)&lt;2,0,11-MOD(SUMPRODUCT(--MID(P903,{1,2,3,4,5,6,7,8,9,10,11,12},1),{5,4,3,2,9,8,7,6,5,4,3,2}),11)),VALUE(MID(P903,14,1))=IF(MOD(SUMPRODUCT(--MID(P903,{1,2,3,4,5,6,7,8,9,10,11,12,13},1),{6,5,4,3,2,9,8,7,6,5,4,3,2}),11)&lt;2,0,11-MOD(SUMPRODUCT(--MID(P903,{1,2,3,4,5,6,7,8,9,10,11,12,13},1),{6,5,4,3,2,9,8,7,6,5,4,3,2}),11))),"OK","ERRO: dígito verificador")))))</f>
      </c>
      <c r="R903" s="6">
        <f>IF(P903="","",IF(COUNTIF($P$2:$P$1001,P903)&gt;1,"DUPLICADO","OK"))</f>
      </c>
      <c r="S903" s="6">
        <f>IF(AND(J903="",K903=""),"vazio",IF(AND(OR(J903="",LEN(SUBSTITUTE(SUBSTITUTE(SUBSTITUTE(SUBSTITUTE(SUBSTITUTE(SUBSTITUTE(SUBSTITUTE(TRIM(J903),".",""),"/",""),"-","")," ",""),"(",""),")",""),"+",""))=10,LEN(SUBSTITUTE(SUBSTITUTE(SUBSTITUTE(SUBSTITUTE(SUBSTITUTE(SUBSTITUTE(SUBSTITUTE(TRIM(J903),".",""),"/",""),"-","")," ",""),"(",""),")",""),"+",""))=11),OR(K903="",LEN(SUBSTITUTE(SUBSTITUTE(SUBSTITUTE(SUBSTITUTE(SUBSTITUTE(SUBSTITUTE(SUBSTITUTE(TRIM(K903),".",""),"/",""),"-","")," ",""),"(",""),")",""),"+",""))=10,LEN(SUBSTITUTE(SUBSTITUTE(SUBSTITUTE(SUBSTITUTE(SUBSTITUTE(SUBSTITUTE(SUBSTITUTE(TRIM(K903),".",""),"/",""),"-","")," ",""),"(",""),")",""),"+",""))=11)),"OK","ERRO: use DDD + número (10 ou 11 dígitos)"))</f>
      </c>
      <c r="T903" s="6">
        <f>IF(L903="","vazio",IF(AND(ISNUMBER(FIND("@",L903)),ISNUMBER(FIND(".",MID(L903,FIND("@",L903),99))),NOT(ISNUMBER(FIND(" ",TRIM(L903)))),NOT(ISNUMBER(FIND(";",L903))),NOT(ISNUMBER(FIND(",",L903)))),"OK","ERRO: um e-mail válido por linha"))</f>
      </c>
      <c r="U903" s="6">
        <f>IF(COUNTA(A903:O903)=0,"",IF(AND(B903&lt;&gt;"",C903&lt;&gt;"",D903&lt;&gt;"",E903&lt;&gt;"",H903&lt;&gt;"",OR(J903&lt;&gt;"",L903&lt;&gt;"")),"OK","ERRO: faltam "&amp;IF(B903="","Proprietário; ","")&amp;IF(C903="","Origem; ","")&amp;IF(D903="","CNPJ; ","")&amp;IF(E903="","Razão Social; ","")&amp;IF(H903="","Sobrenome; ","")&amp;IF(AND(J903="",L903=""),"telefone ou e-mail; ","")))</f>
      </c>
      <c r="V903" s="6">
        <f>IF(COUNTA(A903:O903)=0,"",IF(AND(Q903="OK",R903="OK",LEFT(S903,4)&lt;&gt;"ERRO",LEFT(T903,4)&lt;&gt;"ERRO",U903="OK"),"OK","REVISAR"))</f>
      </c>
    </row>
    <row r="904">
      <c r="A904" s="4"/>
      <c r="B904" s="5"/>
      <c r="C904" s="5"/>
      <c r="D904" s="5"/>
      <c r="E904" s="5"/>
      <c r="F904" s="4"/>
      <c r="G904" s="4"/>
      <c r="H904" s="5"/>
      <c r="I904" s="4"/>
      <c r="J904" s="4"/>
      <c r="K904" s="4"/>
      <c r="L904" s="4"/>
      <c r="M904" s="4"/>
      <c r="N904" s="4"/>
      <c r="O904" s="4"/>
      <c r="P904" s="6">
        <f>IF(D904="","",SUBSTITUTE(SUBSTITUTE(SUBSTITUTE(SUBSTITUTE(SUBSTITUTE(SUBSTITUTE(SUBSTITUTE(TRIM(D904),".",""),"/",""),"-","")," ",""),"(",""),")",""),"+",""))</f>
      </c>
      <c r="Q904" s="6">
        <f>IF(P904="","",IF(LEN(P904)&lt;&gt;14,"ERRO: "&amp;LEN(P904)&amp;" dígitos",IF(NOT(ISNUMBER(VALUE(P904))),"ERRO: não numérico",IF(LEN(SUBSTITUTE(P904,LEFT(P904,1),""))=0,"ERRO: dígitos repetidos",IF(AND(VALUE(MID(P904,13,1))=IF(MOD(SUMPRODUCT(--MID(P904,{1,2,3,4,5,6,7,8,9,10,11,12},1),{5,4,3,2,9,8,7,6,5,4,3,2}),11)&lt;2,0,11-MOD(SUMPRODUCT(--MID(P904,{1,2,3,4,5,6,7,8,9,10,11,12},1),{5,4,3,2,9,8,7,6,5,4,3,2}),11)),VALUE(MID(P904,14,1))=IF(MOD(SUMPRODUCT(--MID(P904,{1,2,3,4,5,6,7,8,9,10,11,12,13},1),{6,5,4,3,2,9,8,7,6,5,4,3,2}),11)&lt;2,0,11-MOD(SUMPRODUCT(--MID(P904,{1,2,3,4,5,6,7,8,9,10,11,12,13},1),{6,5,4,3,2,9,8,7,6,5,4,3,2}),11))),"OK","ERRO: dígito verificador")))))</f>
      </c>
      <c r="R904" s="6">
        <f>IF(P904="","",IF(COUNTIF($P$2:$P$1001,P904)&gt;1,"DUPLICADO","OK"))</f>
      </c>
      <c r="S904" s="6">
        <f>IF(AND(J904="",K904=""),"vazio",IF(AND(OR(J904="",LEN(SUBSTITUTE(SUBSTITUTE(SUBSTITUTE(SUBSTITUTE(SUBSTITUTE(SUBSTITUTE(SUBSTITUTE(TRIM(J904),".",""),"/",""),"-","")," ",""),"(",""),")",""),"+",""))=10,LEN(SUBSTITUTE(SUBSTITUTE(SUBSTITUTE(SUBSTITUTE(SUBSTITUTE(SUBSTITUTE(SUBSTITUTE(TRIM(J904),".",""),"/",""),"-","")," ",""),"(",""),")",""),"+",""))=11),OR(K904="",LEN(SUBSTITUTE(SUBSTITUTE(SUBSTITUTE(SUBSTITUTE(SUBSTITUTE(SUBSTITUTE(SUBSTITUTE(TRIM(K904),".",""),"/",""),"-","")," ",""),"(",""),")",""),"+",""))=10,LEN(SUBSTITUTE(SUBSTITUTE(SUBSTITUTE(SUBSTITUTE(SUBSTITUTE(SUBSTITUTE(SUBSTITUTE(TRIM(K904),".",""),"/",""),"-","")," ",""),"(",""),")",""),"+",""))=11)),"OK","ERRO: use DDD + número (10 ou 11 dígitos)"))</f>
      </c>
      <c r="T904" s="6">
        <f>IF(L904="","vazio",IF(AND(ISNUMBER(FIND("@",L904)),ISNUMBER(FIND(".",MID(L904,FIND("@",L904),99))),NOT(ISNUMBER(FIND(" ",TRIM(L904)))),NOT(ISNUMBER(FIND(";",L904))),NOT(ISNUMBER(FIND(",",L904)))),"OK","ERRO: um e-mail válido por linha"))</f>
      </c>
      <c r="U904" s="6">
        <f>IF(COUNTA(A904:O904)=0,"",IF(AND(B904&lt;&gt;"",C904&lt;&gt;"",D904&lt;&gt;"",E904&lt;&gt;"",H904&lt;&gt;"",OR(J904&lt;&gt;"",L904&lt;&gt;"")),"OK","ERRO: faltam "&amp;IF(B904="","Proprietário; ","")&amp;IF(C904="","Origem; ","")&amp;IF(D904="","CNPJ; ","")&amp;IF(E904="","Razão Social; ","")&amp;IF(H904="","Sobrenome; ","")&amp;IF(AND(J904="",L904=""),"telefone ou e-mail; ","")))</f>
      </c>
      <c r="V904" s="6">
        <f>IF(COUNTA(A904:O904)=0,"",IF(AND(Q904="OK",R904="OK",LEFT(S904,4)&lt;&gt;"ERRO",LEFT(T904,4)&lt;&gt;"ERRO",U904="OK"),"OK","REVISAR"))</f>
      </c>
    </row>
    <row r="905">
      <c r="A905" s="4"/>
      <c r="B905" s="5"/>
      <c r="C905" s="5"/>
      <c r="D905" s="5"/>
      <c r="E905" s="5"/>
      <c r="F905" s="4"/>
      <c r="G905" s="4"/>
      <c r="H905" s="5"/>
      <c r="I905" s="4"/>
      <c r="J905" s="4"/>
      <c r="K905" s="4"/>
      <c r="L905" s="4"/>
      <c r="M905" s="4"/>
      <c r="N905" s="4"/>
      <c r="O905" s="4"/>
      <c r="P905" s="6">
        <f>IF(D905="","",SUBSTITUTE(SUBSTITUTE(SUBSTITUTE(SUBSTITUTE(SUBSTITUTE(SUBSTITUTE(SUBSTITUTE(TRIM(D905),".",""),"/",""),"-","")," ",""),"(",""),")",""),"+",""))</f>
      </c>
      <c r="Q905" s="6">
        <f>IF(P905="","",IF(LEN(P905)&lt;&gt;14,"ERRO: "&amp;LEN(P905)&amp;" dígitos",IF(NOT(ISNUMBER(VALUE(P905))),"ERRO: não numérico",IF(LEN(SUBSTITUTE(P905,LEFT(P905,1),""))=0,"ERRO: dígitos repetidos",IF(AND(VALUE(MID(P905,13,1))=IF(MOD(SUMPRODUCT(--MID(P905,{1,2,3,4,5,6,7,8,9,10,11,12},1),{5,4,3,2,9,8,7,6,5,4,3,2}),11)&lt;2,0,11-MOD(SUMPRODUCT(--MID(P905,{1,2,3,4,5,6,7,8,9,10,11,12},1),{5,4,3,2,9,8,7,6,5,4,3,2}),11)),VALUE(MID(P905,14,1))=IF(MOD(SUMPRODUCT(--MID(P905,{1,2,3,4,5,6,7,8,9,10,11,12,13},1),{6,5,4,3,2,9,8,7,6,5,4,3,2}),11)&lt;2,0,11-MOD(SUMPRODUCT(--MID(P905,{1,2,3,4,5,6,7,8,9,10,11,12,13},1),{6,5,4,3,2,9,8,7,6,5,4,3,2}),11))),"OK","ERRO: dígito verificador")))))</f>
      </c>
      <c r="R905" s="6">
        <f>IF(P905="","",IF(COUNTIF($P$2:$P$1001,P905)&gt;1,"DUPLICADO","OK"))</f>
      </c>
      <c r="S905" s="6">
        <f>IF(AND(J905="",K905=""),"vazio",IF(AND(OR(J905="",LEN(SUBSTITUTE(SUBSTITUTE(SUBSTITUTE(SUBSTITUTE(SUBSTITUTE(SUBSTITUTE(SUBSTITUTE(TRIM(J905),".",""),"/",""),"-","")," ",""),"(",""),")",""),"+",""))=10,LEN(SUBSTITUTE(SUBSTITUTE(SUBSTITUTE(SUBSTITUTE(SUBSTITUTE(SUBSTITUTE(SUBSTITUTE(TRIM(J905),".",""),"/",""),"-","")," ",""),"(",""),")",""),"+",""))=11),OR(K905="",LEN(SUBSTITUTE(SUBSTITUTE(SUBSTITUTE(SUBSTITUTE(SUBSTITUTE(SUBSTITUTE(SUBSTITUTE(TRIM(K905),".",""),"/",""),"-","")," ",""),"(",""),")",""),"+",""))=10,LEN(SUBSTITUTE(SUBSTITUTE(SUBSTITUTE(SUBSTITUTE(SUBSTITUTE(SUBSTITUTE(SUBSTITUTE(TRIM(K905),".",""),"/",""),"-","")," ",""),"(",""),")",""),"+",""))=11)),"OK","ERRO: use DDD + número (10 ou 11 dígitos)"))</f>
      </c>
      <c r="T905" s="6">
        <f>IF(L905="","vazio",IF(AND(ISNUMBER(FIND("@",L905)),ISNUMBER(FIND(".",MID(L905,FIND("@",L905),99))),NOT(ISNUMBER(FIND(" ",TRIM(L905)))),NOT(ISNUMBER(FIND(";",L905))),NOT(ISNUMBER(FIND(",",L905)))),"OK","ERRO: um e-mail válido por linha"))</f>
      </c>
      <c r="U905" s="6">
        <f>IF(COUNTA(A905:O905)=0,"",IF(AND(B905&lt;&gt;"",C905&lt;&gt;"",D905&lt;&gt;"",E905&lt;&gt;"",H905&lt;&gt;"",OR(J905&lt;&gt;"",L905&lt;&gt;"")),"OK","ERRO: faltam "&amp;IF(B905="","Proprietário; ","")&amp;IF(C905="","Origem; ","")&amp;IF(D905="","CNPJ; ","")&amp;IF(E905="","Razão Social; ","")&amp;IF(H905="","Sobrenome; ","")&amp;IF(AND(J905="",L905=""),"telefone ou e-mail; ","")))</f>
      </c>
      <c r="V905" s="6">
        <f>IF(COUNTA(A905:O905)=0,"",IF(AND(Q905="OK",R905="OK",LEFT(S905,4)&lt;&gt;"ERRO",LEFT(T905,4)&lt;&gt;"ERRO",U905="OK"),"OK","REVISAR"))</f>
      </c>
    </row>
    <row r="906">
      <c r="A906" s="4"/>
      <c r="B906" s="5"/>
      <c r="C906" s="5"/>
      <c r="D906" s="5"/>
      <c r="E906" s="5"/>
      <c r="F906" s="4"/>
      <c r="G906" s="4"/>
      <c r="H906" s="5"/>
      <c r="I906" s="4"/>
      <c r="J906" s="4"/>
      <c r="K906" s="4"/>
      <c r="L906" s="4"/>
      <c r="M906" s="4"/>
      <c r="N906" s="4"/>
      <c r="O906" s="4"/>
      <c r="P906" s="6">
        <f>IF(D906="","",SUBSTITUTE(SUBSTITUTE(SUBSTITUTE(SUBSTITUTE(SUBSTITUTE(SUBSTITUTE(SUBSTITUTE(TRIM(D906),".",""),"/",""),"-","")," ",""),"(",""),")",""),"+",""))</f>
      </c>
      <c r="Q906" s="6">
        <f>IF(P906="","",IF(LEN(P906)&lt;&gt;14,"ERRO: "&amp;LEN(P906)&amp;" dígitos",IF(NOT(ISNUMBER(VALUE(P906))),"ERRO: não numérico",IF(LEN(SUBSTITUTE(P906,LEFT(P906,1),""))=0,"ERRO: dígitos repetidos",IF(AND(VALUE(MID(P906,13,1))=IF(MOD(SUMPRODUCT(--MID(P906,{1,2,3,4,5,6,7,8,9,10,11,12},1),{5,4,3,2,9,8,7,6,5,4,3,2}),11)&lt;2,0,11-MOD(SUMPRODUCT(--MID(P906,{1,2,3,4,5,6,7,8,9,10,11,12},1),{5,4,3,2,9,8,7,6,5,4,3,2}),11)),VALUE(MID(P906,14,1))=IF(MOD(SUMPRODUCT(--MID(P906,{1,2,3,4,5,6,7,8,9,10,11,12,13},1),{6,5,4,3,2,9,8,7,6,5,4,3,2}),11)&lt;2,0,11-MOD(SUMPRODUCT(--MID(P906,{1,2,3,4,5,6,7,8,9,10,11,12,13},1),{6,5,4,3,2,9,8,7,6,5,4,3,2}),11))),"OK","ERRO: dígito verificador")))))</f>
      </c>
      <c r="R906" s="6">
        <f>IF(P906="","",IF(COUNTIF($P$2:$P$1001,P906)&gt;1,"DUPLICADO","OK"))</f>
      </c>
      <c r="S906" s="6">
        <f>IF(AND(J906="",K906=""),"vazio",IF(AND(OR(J906="",LEN(SUBSTITUTE(SUBSTITUTE(SUBSTITUTE(SUBSTITUTE(SUBSTITUTE(SUBSTITUTE(SUBSTITUTE(TRIM(J906),".",""),"/",""),"-","")," ",""),"(",""),")",""),"+",""))=10,LEN(SUBSTITUTE(SUBSTITUTE(SUBSTITUTE(SUBSTITUTE(SUBSTITUTE(SUBSTITUTE(SUBSTITUTE(TRIM(J906),".",""),"/",""),"-","")," ",""),"(",""),")",""),"+",""))=11),OR(K906="",LEN(SUBSTITUTE(SUBSTITUTE(SUBSTITUTE(SUBSTITUTE(SUBSTITUTE(SUBSTITUTE(SUBSTITUTE(TRIM(K906),".",""),"/",""),"-","")," ",""),"(",""),")",""),"+",""))=10,LEN(SUBSTITUTE(SUBSTITUTE(SUBSTITUTE(SUBSTITUTE(SUBSTITUTE(SUBSTITUTE(SUBSTITUTE(TRIM(K906),".",""),"/",""),"-","")," ",""),"(",""),")",""),"+",""))=11)),"OK","ERRO: use DDD + número (10 ou 11 dígitos)"))</f>
      </c>
      <c r="T906" s="6">
        <f>IF(L906="","vazio",IF(AND(ISNUMBER(FIND("@",L906)),ISNUMBER(FIND(".",MID(L906,FIND("@",L906),99))),NOT(ISNUMBER(FIND(" ",TRIM(L906)))),NOT(ISNUMBER(FIND(";",L906))),NOT(ISNUMBER(FIND(",",L906)))),"OK","ERRO: um e-mail válido por linha"))</f>
      </c>
      <c r="U906" s="6">
        <f>IF(COUNTA(A906:O906)=0,"",IF(AND(B906&lt;&gt;"",C906&lt;&gt;"",D906&lt;&gt;"",E906&lt;&gt;"",H906&lt;&gt;"",OR(J906&lt;&gt;"",L906&lt;&gt;"")),"OK","ERRO: faltam "&amp;IF(B906="","Proprietário; ","")&amp;IF(C906="","Origem; ","")&amp;IF(D906="","CNPJ; ","")&amp;IF(E906="","Razão Social; ","")&amp;IF(H906="","Sobrenome; ","")&amp;IF(AND(J906="",L906=""),"telefone ou e-mail; ","")))</f>
      </c>
      <c r="V906" s="6">
        <f>IF(COUNTA(A906:O906)=0,"",IF(AND(Q906="OK",R906="OK",LEFT(S906,4)&lt;&gt;"ERRO",LEFT(T906,4)&lt;&gt;"ERRO",U906="OK"),"OK","REVISAR"))</f>
      </c>
    </row>
    <row r="907">
      <c r="A907" s="4"/>
      <c r="B907" s="5"/>
      <c r="C907" s="5"/>
      <c r="D907" s="5"/>
      <c r="E907" s="5"/>
      <c r="F907" s="4"/>
      <c r="G907" s="4"/>
      <c r="H907" s="5"/>
      <c r="I907" s="4"/>
      <c r="J907" s="4"/>
      <c r="K907" s="4"/>
      <c r="L907" s="4"/>
      <c r="M907" s="4"/>
      <c r="N907" s="4"/>
      <c r="O907" s="4"/>
      <c r="P907" s="6">
        <f>IF(D907="","",SUBSTITUTE(SUBSTITUTE(SUBSTITUTE(SUBSTITUTE(SUBSTITUTE(SUBSTITUTE(SUBSTITUTE(TRIM(D907),".",""),"/",""),"-","")," ",""),"(",""),")",""),"+",""))</f>
      </c>
      <c r="Q907" s="6">
        <f>IF(P907="","",IF(LEN(P907)&lt;&gt;14,"ERRO: "&amp;LEN(P907)&amp;" dígitos",IF(NOT(ISNUMBER(VALUE(P907))),"ERRO: não numérico",IF(LEN(SUBSTITUTE(P907,LEFT(P907,1),""))=0,"ERRO: dígitos repetidos",IF(AND(VALUE(MID(P907,13,1))=IF(MOD(SUMPRODUCT(--MID(P907,{1,2,3,4,5,6,7,8,9,10,11,12},1),{5,4,3,2,9,8,7,6,5,4,3,2}),11)&lt;2,0,11-MOD(SUMPRODUCT(--MID(P907,{1,2,3,4,5,6,7,8,9,10,11,12},1),{5,4,3,2,9,8,7,6,5,4,3,2}),11)),VALUE(MID(P907,14,1))=IF(MOD(SUMPRODUCT(--MID(P907,{1,2,3,4,5,6,7,8,9,10,11,12,13},1),{6,5,4,3,2,9,8,7,6,5,4,3,2}),11)&lt;2,0,11-MOD(SUMPRODUCT(--MID(P907,{1,2,3,4,5,6,7,8,9,10,11,12,13},1),{6,5,4,3,2,9,8,7,6,5,4,3,2}),11))),"OK","ERRO: dígito verificador")))))</f>
      </c>
      <c r="R907" s="6">
        <f>IF(P907="","",IF(COUNTIF($P$2:$P$1001,P907)&gt;1,"DUPLICADO","OK"))</f>
      </c>
      <c r="S907" s="6">
        <f>IF(AND(J907="",K907=""),"vazio",IF(AND(OR(J907="",LEN(SUBSTITUTE(SUBSTITUTE(SUBSTITUTE(SUBSTITUTE(SUBSTITUTE(SUBSTITUTE(SUBSTITUTE(TRIM(J907),".",""),"/",""),"-","")," ",""),"(",""),")",""),"+",""))=10,LEN(SUBSTITUTE(SUBSTITUTE(SUBSTITUTE(SUBSTITUTE(SUBSTITUTE(SUBSTITUTE(SUBSTITUTE(TRIM(J907),".",""),"/",""),"-","")," ",""),"(",""),")",""),"+",""))=11),OR(K907="",LEN(SUBSTITUTE(SUBSTITUTE(SUBSTITUTE(SUBSTITUTE(SUBSTITUTE(SUBSTITUTE(SUBSTITUTE(TRIM(K907),".",""),"/",""),"-","")," ",""),"(",""),")",""),"+",""))=10,LEN(SUBSTITUTE(SUBSTITUTE(SUBSTITUTE(SUBSTITUTE(SUBSTITUTE(SUBSTITUTE(SUBSTITUTE(TRIM(K907),".",""),"/",""),"-","")," ",""),"(",""),")",""),"+",""))=11)),"OK","ERRO: use DDD + número (10 ou 11 dígitos)"))</f>
      </c>
      <c r="T907" s="6">
        <f>IF(L907="","vazio",IF(AND(ISNUMBER(FIND("@",L907)),ISNUMBER(FIND(".",MID(L907,FIND("@",L907),99))),NOT(ISNUMBER(FIND(" ",TRIM(L907)))),NOT(ISNUMBER(FIND(";",L907))),NOT(ISNUMBER(FIND(",",L907)))),"OK","ERRO: um e-mail válido por linha"))</f>
      </c>
      <c r="U907" s="6">
        <f>IF(COUNTA(A907:O907)=0,"",IF(AND(B907&lt;&gt;"",C907&lt;&gt;"",D907&lt;&gt;"",E907&lt;&gt;"",H907&lt;&gt;"",OR(J907&lt;&gt;"",L907&lt;&gt;"")),"OK","ERRO: faltam "&amp;IF(B907="","Proprietário; ","")&amp;IF(C907="","Origem; ","")&amp;IF(D907="","CNPJ; ","")&amp;IF(E907="","Razão Social; ","")&amp;IF(H907="","Sobrenome; ","")&amp;IF(AND(J907="",L907=""),"telefone ou e-mail; ","")))</f>
      </c>
      <c r="V907" s="6">
        <f>IF(COUNTA(A907:O907)=0,"",IF(AND(Q907="OK",R907="OK",LEFT(S907,4)&lt;&gt;"ERRO",LEFT(T907,4)&lt;&gt;"ERRO",U907="OK"),"OK","REVISAR"))</f>
      </c>
    </row>
    <row r="908">
      <c r="A908" s="4"/>
      <c r="B908" s="5"/>
      <c r="C908" s="5"/>
      <c r="D908" s="5"/>
      <c r="E908" s="5"/>
      <c r="F908" s="4"/>
      <c r="G908" s="4"/>
      <c r="H908" s="5"/>
      <c r="I908" s="4"/>
      <c r="J908" s="4"/>
      <c r="K908" s="4"/>
      <c r="L908" s="4"/>
      <c r="M908" s="4"/>
      <c r="N908" s="4"/>
      <c r="O908" s="4"/>
      <c r="P908" s="6">
        <f>IF(D908="","",SUBSTITUTE(SUBSTITUTE(SUBSTITUTE(SUBSTITUTE(SUBSTITUTE(SUBSTITUTE(SUBSTITUTE(TRIM(D908),".",""),"/",""),"-","")," ",""),"(",""),")",""),"+",""))</f>
      </c>
      <c r="Q908" s="6">
        <f>IF(P908="","",IF(LEN(P908)&lt;&gt;14,"ERRO: "&amp;LEN(P908)&amp;" dígitos",IF(NOT(ISNUMBER(VALUE(P908))),"ERRO: não numérico",IF(LEN(SUBSTITUTE(P908,LEFT(P908,1),""))=0,"ERRO: dígitos repetidos",IF(AND(VALUE(MID(P908,13,1))=IF(MOD(SUMPRODUCT(--MID(P908,{1,2,3,4,5,6,7,8,9,10,11,12},1),{5,4,3,2,9,8,7,6,5,4,3,2}),11)&lt;2,0,11-MOD(SUMPRODUCT(--MID(P908,{1,2,3,4,5,6,7,8,9,10,11,12},1),{5,4,3,2,9,8,7,6,5,4,3,2}),11)),VALUE(MID(P908,14,1))=IF(MOD(SUMPRODUCT(--MID(P908,{1,2,3,4,5,6,7,8,9,10,11,12,13},1),{6,5,4,3,2,9,8,7,6,5,4,3,2}),11)&lt;2,0,11-MOD(SUMPRODUCT(--MID(P908,{1,2,3,4,5,6,7,8,9,10,11,12,13},1),{6,5,4,3,2,9,8,7,6,5,4,3,2}),11))),"OK","ERRO: dígito verificador")))))</f>
      </c>
      <c r="R908" s="6">
        <f>IF(P908="","",IF(COUNTIF($P$2:$P$1001,P908)&gt;1,"DUPLICADO","OK"))</f>
      </c>
      <c r="S908" s="6">
        <f>IF(AND(J908="",K908=""),"vazio",IF(AND(OR(J908="",LEN(SUBSTITUTE(SUBSTITUTE(SUBSTITUTE(SUBSTITUTE(SUBSTITUTE(SUBSTITUTE(SUBSTITUTE(TRIM(J908),".",""),"/",""),"-","")," ",""),"(",""),")",""),"+",""))=10,LEN(SUBSTITUTE(SUBSTITUTE(SUBSTITUTE(SUBSTITUTE(SUBSTITUTE(SUBSTITUTE(SUBSTITUTE(TRIM(J908),".",""),"/",""),"-","")," ",""),"(",""),")",""),"+",""))=11),OR(K908="",LEN(SUBSTITUTE(SUBSTITUTE(SUBSTITUTE(SUBSTITUTE(SUBSTITUTE(SUBSTITUTE(SUBSTITUTE(TRIM(K908),".",""),"/",""),"-","")," ",""),"(",""),")",""),"+",""))=10,LEN(SUBSTITUTE(SUBSTITUTE(SUBSTITUTE(SUBSTITUTE(SUBSTITUTE(SUBSTITUTE(SUBSTITUTE(TRIM(K908),".",""),"/",""),"-","")," ",""),"(",""),")",""),"+",""))=11)),"OK","ERRO: use DDD + número (10 ou 11 dígitos)"))</f>
      </c>
      <c r="T908" s="6">
        <f>IF(L908="","vazio",IF(AND(ISNUMBER(FIND("@",L908)),ISNUMBER(FIND(".",MID(L908,FIND("@",L908),99))),NOT(ISNUMBER(FIND(" ",TRIM(L908)))),NOT(ISNUMBER(FIND(";",L908))),NOT(ISNUMBER(FIND(",",L908)))),"OK","ERRO: um e-mail válido por linha"))</f>
      </c>
      <c r="U908" s="6">
        <f>IF(COUNTA(A908:O908)=0,"",IF(AND(B908&lt;&gt;"",C908&lt;&gt;"",D908&lt;&gt;"",E908&lt;&gt;"",H908&lt;&gt;"",OR(J908&lt;&gt;"",L908&lt;&gt;"")),"OK","ERRO: faltam "&amp;IF(B908="","Proprietário; ","")&amp;IF(C908="","Origem; ","")&amp;IF(D908="","CNPJ; ","")&amp;IF(E908="","Razão Social; ","")&amp;IF(H908="","Sobrenome; ","")&amp;IF(AND(J908="",L908=""),"telefone ou e-mail; ","")))</f>
      </c>
      <c r="V908" s="6">
        <f>IF(COUNTA(A908:O908)=0,"",IF(AND(Q908="OK",R908="OK",LEFT(S908,4)&lt;&gt;"ERRO",LEFT(T908,4)&lt;&gt;"ERRO",U908="OK"),"OK","REVISAR"))</f>
      </c>
    </row>
    <row r="909">
      <c r="A909" s="4"/>
      <c r="B909" s="5"/>
      <c r="C909" s="5"/>
      <c r="D909" s="5"/>
      <c r="E909" s="5"/>
      <c r="F909" s="4"/>
      <c r="G909" s="4"/>
      <c r="H909" s="5"/>
      <c r="I909" s="4"/>
      <c r="J909" s="4"/>
      <c r="K909" s="4"/>
      <c r="L909" s="4"/>
      <c r="M909" s="4"/>
      <c r="N909" s="4"/>
      <c r="O909" s="4"/>
      <c r="P909" s="6">
        <f>IF(D909="","",SUBSTITUTE(SUBSTITUTE(SUBSTITUTE(SUBSTITUTE(SUBSTITUTE(SUBSTITUTE(SUBSTITUTE(TRIM(D909),".",""),"/",""),"-","")," ",""),"(",""),")",""),"+",""))</f>
      </c>
      <c r="Q909" s="6">
        <f>IF(P909="","",IF(LEN(P909)&lt;&gt;14,"ERRO: "&amp;LEN(P909)&amp;" dígitos",IF(NOT(ISNUMBER(VALUE(P909))),"ERRO: não numérico",IF(LEN(SUBSTITUTE(P909,LEFT(P909,1),""))=0,"ERRO: dígitos repetidos",IF(AND(VALUE(MID(P909,13,1))=IF(MOD(SUMPRODUCT(--MID(P909,{1,2,3,4,5,6,7,8,9,10,11,12},1),{5,4,3,2,9,8,7,6,5,4,3,2}),11)&lt;2,0,11-MOD(SUMPRODUCT(--MID(P909,{1,2,3,4,5,6,7,8,9,10,11,12},1),{5,4,3,2,9,8,7,6,5,4,3,2}),11)),VALUE(MID(P909,14,1))=IF(MOD(SUMPRODUCT(--MID(P909,{1,2,3,4,5,6,7,8,9,10,11,12,13},1),{6,5,4,3,2,9,8,7,6,5,4,3,2}),11)&lt;2,0,11-MOD(SUMPRODUCT(--MID(P909,{1,2,3,4,5,6,7,8,9,10,11,12,13},1),{6,5,4,3,2,9,8,7,6,5,4,3,2}),11))),"OK","ERRO: dígito verificador")))))</f>
      </c>
      <c r="R909" s="6">
        <f>IF(P909="","",IF(COUNTIF($P$2:$P$1001,P909)&gt;1,"DUPLICADO","OK"))</f>
      </c>
      <c r="S909" s="6">
        <f>IF(AND(J909="",K909=""),"vazio",IF(AND(OR(J909="",LEN(SUBSTITUTE(SUBSTITUTE(SUBSTITUTE(SUBSTITUTE(SUBSTITUTE(SUBSTITUTE(SUBSTITUTE(TRIM(J909),".",""),"/",""),"-","")," ",""),"(",""),")",""),"+",""))=10,LEN(SUBSTITUTE(SUBSTITUTE(SUBSTITUTE(SUBSTITUTE(SUBSTITUTE(SUBSTITUTE(SUBSTITUTE(TRIM(J909),".",""),"/",""),"-","")," ",""),"(",""),")",""),"+",""))=11),OR(K909="",LEN(SUBSTITUTE(SUBSTITUTE(SUBSTITUTE(SUBSTITUTE(SUBSTITUTE(SUBSTITUTE(SUBSTITUTE(TRIM(K909),".",""),"/",""),"-","")," ",""),"(",""),")",""),"+",""))=10,LEN(SUBSTITUTE(SUBSTITUTE(SUBSTITUTE(SUBSTITUTE(SUBSTITUTE(SUBSTITUTE(SUBSTITUTE(TRIM(K909),".",""),"/",""),"-","")," ",""),"(",""),")",""),"+",""))=11)),"OK","ERRO: use DDD + número (10 ou 11 dígitos)"))</f>
      </c>
      <c r="T909" s="6">
        <f>IF(L909="","vazio",IF(AND(ISNUMBER(FIND("@",L909)),ISNUMBER(FIND(".",MID(L909,FIND("@",L909),99))),NOT(ISNUMBER(FIND(" ",TRIM(L909)))),NOT(ISNUMBER(FIND(";",L909))),NOT(ISNUMBER(FIND(",",L909)))),"OK","ERRO: um e-mail válido por linha"))</f>
      </c>
      <c r="U909" s="6">
        <f>IF(COUNTA(A909:O909)=0,"",IF(AND(B909&lt;&gt;"",C909&lt;&gt;"",D909&lt;&gt;"",E909&lt;&gt;"",H909&lt;&gt;"",OR(J909&lt;&gt;"",L909&lt;&gt;"")),"OK","ERRO: faltam "&amp;IF(B909="","Proprietário; ","")&amp;IF(C909="","Origem; ","")&amp;IF(D909="","CNPJ; ","")&amp;IF(E909="","Razão Social; ","")&amp;IF(H909="","Sobrenome; ","")&amp;IF(AND(J909="",L909=""),"telefone ou e-mail; ","")))</f>
      </c>
      <c r="V909" s="6">
        <f>IF(COUNTA(A909:O909)=0,"",IF(AND(Q909="OK",R909="OK",LEFT(S909,4)&lt;&gt;"ERRO",LEFT(T909,4)&lt;&gt;"ERRO",U909="OK"),"OK","REVISAR"))</f>
      </c>
    </row>
    <row r="910">
      <c r="A910" s="4"/>
      <c r="B910" s="5"/>
      <c r="C910" s="5"/>
      <c r="D910" s="5"/>
      <c r="E910" s="5"/>
      <c r="F910" s="4"/>
      <c r="G910" s="4"/>
      <c r="H910" s="5"/>
      <c r="I910" s="4"/>
      <c r="J910" s="4"/>
      <c r="K910" s="4"/>
      <c r="L910" s="4"/>
      <c r="M910" s="4"/>
      <c r="N910" s="4"/>
      <c r="O910" s="4"/>
      <c r="P910" s="6">
        <f>IF(D910="","",SUBSTITUTE(SUBSTITUTE(SUBSTITUTE(SUBSTITUTE(SUBSTITUTE(SUBSTITUTE(SUBSTITUTE(TRIM(D910),".",""),"/",""),"-","")," ",""),"(",""),")",""),"+",""))</f>
      </c>
      <c r="Q910" s="6">
        <f>IF(P910="","",IF(LEN(P910)&lt;&gt;14,"ERRO: "&amp;LEN(P910)&amp;" dígitos",IF(NOT(ISNUMBER(VALUE(P910))),"ERRO: não numérico",IF(LEN(SUBSTITUTE(P910,LEFT(P910,1),""))=0,"ERRO: dígitos repetidos",IF(AND(VALUE(MID(P910,13,1))=IF(MOD(SUMPRODUCT(--MID(P910,{1,2,3,4,5,6,7,8,9,10,11,12},1),{5,4,3,2,9,8,7,6,5,4,3,2}),11)&lt;2,0,11-MOD(SUMPRODUCT(--MID(P910,{1,2,3,4,5,6,7,8,9,10,11,12},1),{5,4,3,2,9,8,7,6,5,4,3,2}),11)),VALUE(MID(P910,14,1))=IF(MOD(SUMPRODUCT(--MID(P910,{1,2,3,4,5,6,7,8,9,10,11,12,13},1),{6,5,4,3,2,9,8,7,6,5,4,3,2}),11)&lt;2,0,11-MOD(SUMPRODUCT(--MID(P910,{1,2,3,4,5,6,7,8,9,10,11,12,13},1),{6,5,4,3,2,9,8,7,6,5,4,3,2}),11))),"OK","ERRO: dígito verificador")))))</f>
      </c>
      <c r="R910" s="6">
        <f>IF(P910="","",IF(COUNTIF($P$2:$P$1001,P910)&gt;1,"DUPLICADO","OK"))</f>
      </c>
      <c r="S910" s="6">
        <f>IF(AND(J910="",K910=""),"vazio",IF(AND(OR(J910="",LEN(SUBSTITUTE(SUBSTITUTE(SUBSTITUTE(SUBSTITUTE(SUBSTITUTE(SUBSTITUTE(SUBSTITUTE(TRIM(J910),".",""),"/",""),"-","")," ",""),"(",""),")",""),"+",""))=10,LEN(SUBSTITUTE(SUBSTITUTE(SUBSTITUTE(SUBSTITUTE(SUBSTITUTE(SUBSTITUTE(SUBSTITUTE(TRIM(J910),".",""),"/",""),"-","")," ",""),"(",""),")",""),"+",""))=11),OR(K910="",LEN(SUBSTITUTE(SUBSTITUTE(SUBSTITUTE(SUBSTITUTE(SUBSTITUTE(SUBSTITUTE(SUBSTITUTE(TRIM(K910),".",""),"/",""),"-","")," ",""),"(",""),")",""),"+",""))=10,LEN(SUBSTITUTE(SUBSTITUTE(SUBSTITUTE(SUBSTITUTE(SUBSTITUTE(SUBSTITUTE(SUBSTITUTE(TRIM(K910),".",""),"/",""),"-","")," ",""),"(",""),")",""),"+",""))=11)),"OK","ERRO: use DDD + número (10 ou 11 dígitos)"))</f>
      </c>
      <c r="T910" s="6">
        <f>IF(L910="","vazio",IF(AND(ISNUMBER(FIND("@",L910)),ISNUMBER(FIND(".",MID(L910,FIND("@",L910),99))),NOT(ISNUMBER(FIND(" ",TRIM(L910)))),NOT(ISNUMBER(FIND(";",L910))),NOT(ISNUMBER(FIND(",",L910)))),"OK","ERRO: um e-mail válido por linha"))</f>
      </c>
      <c r="U910" s="6">
        <f>IF(COUNTA(A910:O910)=0,"",IF(AND(B910&lt;&gt;"",C910&lt;&gt;"",D910&lt;&gt;"",E910&lt;&gt;"",H910&lt;&gt;"",OR(J910&lt;&gt;"",L910&lt;&gt;"")),"OK","ERRO: faltam "&amp;IF(B910="","Proprietário; ","")&amp;IF(C910="","Origem; ","")&amp;IF(D910="","CNPJ; ","")&amp;IF(E910="","Razão Social; ","")&amp;IF(H910="","Sobrenome; ","")&amp;IF(AND(J910="",L910=""),"telefone ou e-mail; ","")))</f>
      </c>
      <c r="V910" s="6">
        <f>IF(COUNTA(A910:O910)=0,"",IF(AND(Q910="OK",R910="OK",LEFT(S910,4)&lt;&gt;"ERRO",LEFT(T910,4)&lt;&gt;"ERRO",U910="OK"),"OK","REVISAR"))</f>
      </c>
    </row>
    <row r="911">
      <c r="A911" s="4"/>
      <c r="B911" s="5"/>
      <c r="C911" s="5"/>
      <c r="D911" s="5"/>
      <c r="E911" s="5"/>
      <c r="F911" s="4"/>
      <c r="G911" s="4"/>
      <c r="H911" s="5"/>
      <c r="I911" s="4"/>
      <c r="J911" s="4"/>
      <c r="K911" s="4"/>
      <c r="L911" s="4"/>
      <c r="M911" s="4"/>
      <c r="N911" s="4"/>
      <c r="O911" s="4"/>
      <c r="P911" s="6">
        <f>IF(D911="","",SUBSTITUTE(SUBSTITUTE(SUBSTITUTE(SUBSTITUTE(SUBSTITUTE(SUBSTITUTE(SUBSTITUTE(TRIM(D911),".",""),"/",""),"-","")," ",""),"(",""),")",""),"+",""))</f>
      </c>
      <c r="Q911" s="6">
        <f>IF(P911="","",IF(LEN(P911)&lt;&gt;14,"ERRO: "&amp;LEN(P911)&amp;" dígitos",IF(NOT(ISNUMBER(VALUE(P911))),"ERRO: não numérico",IF(LEN(SUBSTITUTE(P911,LEFT(P911,1),""))=0,"ERRO: dígitos repetidos",IF(AND(VALUE(MID(P911,13,1))=IF(MOD(SUMPRODUCT(--MID(P911,{1,2,3,4,5,6,7,8,9,10,11,12},1),{5,4,3,2,9,8,7,6,5,4,3,2}),11)&lt;2,0,11-MOD(SUMPRODUCT(--MID(P911,{1,2,3,4,5,6,7,8,9,10,11,12},1),{5,4,3,2,9,8,7,6,5,4,3,2}),11)),VALUE(MID(P911,14,1))=IF(MOD(SUMPRODUCT(--MID(P911,{1,2,3,4,5,6,7,8,9,10,11,12,13},1),{6,5,4,3,2,9,8,7,6,5,4,3,2}),11)&lt;2,0,11-MOD(SUMPRODUCT(--MID(P911,{1,2,3,4,5,6,7,8,9,10,11,12,13},1),{6,5,4,3,2,9,8,7,6,5,4,3,2}),11))),"OK","ERRO: dígito verificador")))))</f>
      </c>
      <c r="R911" s="6">
        <f>IF(P911="","",IF(COUNTIF($P$2:$P$1001,P911)&gt;1,"DUPLICADO","OK"))</f>
      </c>
      <c r="S911" s="6">
        <f>IF(AND(J911="",K911=""),"vazio",IF(AND(OR(J911="",LEN(SUBSTITUTE(SUBSTITUTE(SUBSTITUTE(SUBSTITUTE(SUBSTITUTE(SUBSTITUTE(SUBSTITUTE(TRIM(J911),".",""),"/",""),"-","")," ",""),"(",""),")",""),"+",""))=10,LEN(SUBSTITUTE(SUBSTITUTE(SUBSTITUTE(SUBSTITUTE(SUBSTITUTE(SUBSTITUTE(SUBSTITUTE(TRIM(J911),".",""),"/",""),"-","")," ",""),"(",""),")",""),"+",""))=11),OR(K911="",LEN(SUBSTITUTE(SUBSTITUTE(SUBSTITUTE(SUBSTITUTE(SUBSTITUTE(SUBSTITUTE(SUBSTITUTE(TRIM(K911),".",""),"/",""),"-","")," ",""),"(",""),")",""),"+",""))=10,LEN(SUBSTITUTE(SUBSTITUTE(SUBSTITUTE(SUBSTITUTE(SUBSTITUTE(SUBSTITUTE(SUBSTITUTE(TRIM(K911),".",""),"/",""),"-","")," ",""),"(",""),")",""),"+",""))=11)),"OK","ERRO: use DDD + número (10 ou 11 dígitos)"))</f>
      </c>
      <c r="T911" s="6">
        <f>IF(L911="","vazio",IF(AND(ISNUMBER(FIND("@",L911)),ISNUMBER(FIND(".",MID(L911,FIND("@",L911),99))),NOT(ISNUMBER(FIND(" ",TRIM(L911)))),NOT(ISNUMBER(FIND(";",L911))),NOT(ISNUMBER(FIND(",",L911)))),"OK","ERRO: um e-mail válido por linha"))</f>
      </c>
      <c r="U911" s="6">
        <f>IF(COUNTA(A911:O911)=0,"",IF(AND(B911&lt;&gt;"",C911&lt;&gt;"",D911&lt;&gt;"",E911&lt;&gt;"",H911&lt;&gt;"",OR(J911&lt;&gt;"",L911&lt;&gt;"")),"OK","ERRO: faltam "&amp;IF(B911="","Proprietário; ","")&amp;IF(C911="","Origem; ","")&amp;IF(D911="","CNPJ; ","")&amp;IF(E911="","Razão Social; ","")&amp;IF(H911="","Sobrenome; ","")&amp;IF(AND(J911="",L911=""),"telefone ou e-mail; ","")))</f>
      </c>
      <c r="V911" s="6">
        <f>IF(COUNTA(A911:O911)=0,"",IF(AND(Q911="OK",R911="OK",LEFT(S911,4)&lt;&gt;"ERRO",LEFT(T911,4)&lt;&gt;"ERRO",U911="OK"),"OK","REVISAR"))</f>
      </c>
    </row>
    <row r="912">
      <c r="A912" s="4"/>
      <c r="B912" s="5"/>
      <c r="C912" s="5"/>
      <c r="D912" s="5"/>
      <c r="E912" s="5"/>
      <c r="F912" s="4"/>
      <c r="G912" s="4"/>
      <c r="H912" s="5"/>
      <c r="I912" s="4"/>
      <c r="J912" s="4"/>
      <c r="K912" s="4"/>
      <c r="L912" s="4"/>
      <c r="M912" s="4"/>
      <c r="N912" s="4"/>
      <c r="O912" s="4"/>
      <c r="P912" s="6">
        <f>IF(D912="","",SUBSTITUTE(SUBSTITUTE(SUBSTITUTE(SUBSTITUTE(SUBSTITUTE(SUBSTITUTE(SUBSTITUTE(TRIM(D912),".",""),"/",""),"-","")," ",""),"(",""),")",""),"+",""))</f>
      </c>
      <c r="Q912" s="6">
        <f>IF(P912="","",IF(LEN(P912)&lt;&gt;14,"ERRO: "&amp;LEN(P912)&amp;" dígitos",IF(NOT(ISNUMBER(VALUE(P912))),"ERRO: não numérico",IF(LEN(SUBSTITUTE(P912,LEFT(P912,1),""))=0,"ERRO: dígitos repetidos",IF(AND(VALUE(MID(P912,13,1))=IF(MOD(SUMPRODUCT(--MID(P912,{1,2,3,4,5,6,7,8,9,10,11,12},1),{5,4,3,2,9,8,7,6,5,4,3,2}),11)&lt;2,0,11-MOD(SUMPRODUCT(--MID(P912,{1,2,3,4,5,6,7,8,9,10,11,12},1),{5,4,3,2,9,8,7,6,5,4,3,2}),11)),VALUE(MID(P912,14,1))=IF(MOD(SUMPRODUCT(--MID(P912,{1,2,3,4,5,6,7,8,9,10,11,12,13},1),{6,5,4,3,2,9,8,7,6,5,4,3,2}),11)&lt;2,0,11-MOD(SUMPRODUCT(--MID(P912,{1,2,3,4,5,6,7,8,9,10,11,12,13},1),{6,5,4,3,2,9,8,7,6,5,4,3,2}),11))),"OK","ERRO: dígito verificador")))))</f>
      </c>
      <c r="R912" s="6">
        <f>IF(P912="","",IF(COUNTIF($P$2:$P$1001,P912)&gt;1,"DUPLICADO","OK"))</f>
      </c>
      <c r="S912" s="6">
        <f>IF(AND(J912="",K912=""),"vazio",IF(AND(OR(J912="",LEN(SUBSTITUTE(SUBSTITUTE(SUBSTITUTE(SUBSTITUTE(SUBSTITUTE(SUBSTITUTE(SUBSTITUTE(TRIM(J912),".",""),"/",""),"-","")," ",""),"(",""),")",""),"+",""))=10,LEN(SUBSTITUTE(SUBSTITUTE(SUBSTITUTE(SUBSTITUTE(SUBSTITUTE(SUBSTITUTE(SUBSTITUTE(TRIM(J912),".",""),"/",""),"-","")," ",""),"(",""),")",""),"+",""))=11),OR(K912="",LEN(SUBSTITUTE(SUBSTITUTE(SUBSTITUTE(SUBSTITUTE(SUBSTITUTE(SUBSTITUTE(SUBSTITUTE(TRIM(K912),".",""),"/",""),"-","")," ",""),"(",""),")",""),"+",""))=10,LEN(SUBSTITUTE(SUBSTITUTE(SUBSTITUTE(SUBSTITUTE(SUBSTITUTE(SUBSTITUTE(SUBSTITUTE(TRIM(K912),".",""),"/",""),"-","")," ",""),"(",""),")",""),"+",""))=11)),"OK","ERRO: use DDD + número (10 ou 11 dígitos)"))</f>
      </c>
      <c r="T912" s="6">
        <f>IF(L912="","vazio",IF(AND(ISNUMBER(FIND("@",L912)),ISNUMBER(FIND(".",MID(L912,FIND("@",L912),99))),NOT(ISNUMBER(FIND(" ",TRIM(L912)))),NOT(ISNUMBER(FIND(";",L912))),NOT(ISNUMBER(FIND(",",L912)))),"OK","ERRO: um e-mail válido por linha"))</f>
      </c>
      <c r="U912" s="6">
        <f>IF(COUNTA(A912:O912)=0,"",IF(AND(B912&lt;&gt;"",C912&lt;&gt;"",D912&lt;&gt;"",E912&lt;&gt;"",H912&lt;&gt;"",OR(J912&lt;&gt;"",L912&lt;&gt;"")),"OK","ERRO: faltam "&amp;IF(B912="","Proprietário; ","")&amp;IF(C912="","Origem; ","")&amp;IF(D912="","CNPJ; ","")&amp;IF(E912="","Razão Social; ","")&amp;IF(H912="","Sobrenome; ","")&amp;IF(AND(J912="",L912=""),"telefone ou e-mail; ","")))</f>
      </c>
      <c r="V912" s="6">
        <f>IF(COUNTA(A912:O912)=0,"",IF(AND(Q912="OK",R912="OK",LEFT(S912,4)&lt;&gt;"ERRO",LEFT(T912,4)&lt;&gt;"ERRO",U912="OK"),"OK","REVISAR"))</f>
      </c>
    </row>
    <row r="913">
      <c r="A913" s="4"/>
      <c r="B913" s="5"/>
      <c r="C913" s="5"/>
      <c r="D913" s="5"/>
      <c r="E913" s="5"/>
      <c r="F913" s="4"/>
      <c r="G913" s="4"/>
      <c r="H913" s="5"/>
      <c r="I913" s="4"/>
      <c r="J913" s="4"/>
      <c r="K913" s="4"/>
      <c r="L913" s="4"/>
      <c r="M913" s="4"/>
      <c r="N913" s="4"/>
      <c r="O913" s="4"/>
      <c r="P913" s="6">
        <f>IF(D913="","",SUBSTITUTE(SUBSTITUTE(SUBSTITUTE(SUBSTITUTE(SUBSTITUTE(SUBSTITUTE(SUBSTITUTE(TRIM(D913),".",""),"/",""),"-","")," ",""),"(",""),")",""),"+",""))</f>
      </c>
      <c r="Q913" s="6">
        <f>IF(P913="","",IF(LEN(P913)&lt;&gt;14,"ERRO: "&amp;LEN(P913)&amp;" dígitos",IF(NOT(ISNUMBER(VALUE(P913))),"ERRO: não numérico",IF(LEN(SUBSTITUTE(P913,LEFT(P913,1),""))=0,"ERRO: dígitos repetidos",IF(AND(VALUE(MID(P913,13,1))=IF(MOD(SUMPRODUCT(--MID(P913,{1,2,3,4,5,6,7,8,9,10,11,12},1),{5,4,3,2,9,8,7,6,5,4,3,2}),11)&lt;2,0,11-MOD(SUMPRODUCT(--MID(P913,{1,2,3,4,5,6,7,8,9,10,11,12},1),{5,4,3,2,9,8,7,6,5,4,3,2}),11)),VALUE(MID(P913,14,1))=IF(MOD(SUMPRODUCT(--MID(P913,{1,2,3,4,5,6,7,8,9,10,11,12,13},1),{6,5,4,3,2,9,8,7,6,5,4,3,2}),11)&lt;2,0,11-MOD(SUMPRODUCT(--MID(P913,{1,2,3,4,5,6,7,8,9,10,11,12,13},1),{6,5,4,3,2,9,8,7,6,5,4,3,2}),11))),"OK","ERRO: dígito verificador")))))</f>
      </c>
      <c r="R913" s="6">
        <f>IF(P913="","",IF(COUNTIF($P$2:$P$1001,P913)&gt;1,"DUPLICADO","OK"))</f>
      </c>
      <c r="S913" s="6">
        <f>IF(AND(J913="",K913=""),"vazio",IF(AND(OR(J913="",LEN(SUBSTITUTE(SUBSTITUTE(SUBSTITUTE(SUBSTITUTE(SUBSTITUTE(SUBSTITUTE(SUBSTITUTE(TRIM(J913),".",""),"/",""),"-","")," ",""),"(",""),")",""),"+",""))=10,LEN(SUBSTITUTE(SUBSTITUTE(SUBSTITUTE(SUBSTITUTE(SUBSTITUTE(SUBSTITUTE(SUBSTITUTE(TRIM(J913),".",""),"/",""),"-","")," ",""),"(",""),")",""),"+",""))=11),OR(K913="",LEN(SUBSTITUTE(SUBSTITUTE(SUBSTITUTE(SUBSTITUTE(SUBSTITUTE(SUBSTITUTE(SUBSTITUTE(TRIM(K913),".",""),"/",""),"-","")," ",""),"(",""),")",""),"+",""))=10,LEN(SUBSTITUTE(SUBSTITUTE(SUBSTITUTE(SUBSTITUTE(SUBSTITUTE(SUBSTITUTE(SUBSTITUTE(TRIM(K913),".",""),"/",""),"-","")," ",""),"(",""),")",""),"+",""))=11)),"OK","ERRO: use DDD + número (10 ou 11 dígitos)"))</f>
      </c>
      <c r="T913" s="6">
        <f>IF(L913="","vazio",IF(AND(ISNUMBER(FIND("@",L913)),ISNUMBER(FIND(".",MID(L913,FIND("@",L913),99))),NOT(ISNUMBER(FIND(" ",TRIM(L913)))),NOT(ISNUMBER(FIND(";",L913))),NOT(ISNUMBER(FIND(",",L913)))),"OK","ERRO: um e-mail válido por linha"))</f>
      </c>
      <c r="U913" s="6">
        <f>IF(COUNTA(A913:O913)=0,"",IF(AND(B913&lt;&gt;"",C913&lt;&gt;"",D913&lt;&gt;"",E913&lt;&gt;"",H913&lt;&gt;"",OR(J913&lt;&gt;"",L913&lt;&gt;"")),"OK","ERRO: faltam "&amp;IF(B913="","Proprietário; ","")&amp;IF(C913="","Origem; ","")&amp;IF(D913="","CNPJ; ","")&amp;IF(E913="","Razão Social; ","")&amp;IF(H913="","Sobrenome; ","")&amp;IF(AND(J913="",L913=""),"telefone ou e-mail; ","")))</f>
      </c>
      <c r="V913" s="6">
        <f>IF(COUNTA(A913:O913)=0,"",IF(AND(Q913="OK",R913="OK",LEFT(S913,4)&lt;&gt;"ERRO",LEFT(T913,4)&lt;&gt;"ERRO",U913="OK"),"OK","REVISAR"))</f>
      </c>
    </row>
    <row r="914">
      <c r="A914" s="4"/>
      <c r="B914" s="5"/>
      <c r="C914" s="5"/>
      <c r="D914" s="5"/>
      <c r="E914" s="5"/>
      <c r="F914" s="4"/>
      <c r="G914" s="4"/>
      <c r="H914" s="5"/>
      <c r="I914" s="4"/>
      <c r="J914" s="4"/>
      <c r="K914" s="4"/>
      <c r="L914" s="4"/>
      <c r="M914" s="4"/>
      <c r="N914" s="4"/>
      <c r="O914" s="4"/>
      <c r="P914" s="6">
        <f>IF(D914="","",SUBSTITUTE(SUBSTITUTE(SUBSTITUTE(SUBSTITUTE(SUBSTITUTE(SUBSTITUTE(SUBSTITUTE(TRIM(D914),".",""),"/",""),"-","")," ",""),"(",""),")",""),"+",""))</f>
      </c>
      <c r="Q914" s="6">
        <f>IF(P914="","",IF(LEN(P914)&lt;&gt;14,"ERRO: "&amp;LEN(P914)&amp;" dígitos",IF(NOT(ISNUMBER(VALUE(P914))),"ERRO: não numérico",IF(LEN(SUBSTITUTE(P914,LEFT(P914,1),""))=0,"ERRO: dígitos repetidos",IF(AND(VALUE(MID(P914,13,1))=IF(MOD(SUMPRODUCT(--MID(P914,{1,2,3,4,5,6,7,8,9,10,11,12},1),{5,4,3,2,9,8,7,6,5,4,3,2}),11)&lt;2,0,11-MOD(SUMPRODUCT(--MID(P914,{1,2,3,4,5,6,7,8,9,10,11,12},1),{5,4,3,2,9,8,7,6,5,4,3,2}),11)),VALUE(MID(P914,14,1))=IF(MOD(SUMPRODUCT(--MID(P914,{1,2,3,4,5,6,7,8,9,10,11,12,13},1),{6,5,4,3,2,9,8,7,6,5,4,3,2}),11)&lt;2,0,11-MOD(SUMPRODUCT(--MID(P914,{1,2,3,4,5,6,7,8,9,10,11,12,13},1),{6,5,4,3,2,9,8,7,6,5,4,3,2}),11))),"OK","ERRO: dígito verificador")))))</f>
      </c>
      <c r="R914" s="6">
        <f>IF(P914="","",IF(COUNTIF($P$2:$P$1001,P914)&gt;1,"DUPLICADO","OK"))</f>
      </c>
      <c r="S914" s="6">
        <f>IF(AND(J914="",K914=""),"vazio",IF(AND(OR(J914="",LEN(SUBSTITUTE(SUBSTITUTE(SUBSTITUTE(SUBSTITUTE(SUBSTITUTE(SUBSTITUTE(SUBSTITUTE(TRIM(J914),".",""),"/",""),"-","")," ",""),"(",""),")",""),"+",""))=10,LEN(SUBSTITUTE(SUBSTITUTE(SUBSTITUTE(SUBSTITUTE(SUBSTITUTE(SUBSTITUTE(SUBSTITUTE(TRIM(J914),".",""),"/",""),"-","")," ",""),"(",""),")",""),"+",""))=11),OR(K914="",LEN(SUBSTITUTE(SUBSTITUTE(SUBSTITUTE(SUBSTITUTE(SUBSTITUTE(SUBSTITUTE(SUBSTITUTE(TRIM(K914),".",""),"/",""),"-","")," ",""),"(",""),")",""),"+",""))=10,LEN(SUBSTITUTE(SUBSTITUTE(SUBSTITUTE(SUBSTITUTE(SUBSTITUTE(SUBSTITUTE(SUBSTITUTE(TRIM(K914),".",""),"/",""),"-","")," ",""),"(",""),")",""),"+",""))=11)),"OK","ERRO: use DDD + número (10 ou 11 dígitos)"))</f>
      </c>
      <c r="T914" s="6">
        <f>IF(L914="","vazio",IF(AND(ISNUMBER(FIND("@",L914)),ISNUMBER(FIND(".",MID(L914,FIND("@",L914),99))),NOT(ISNUMBER(FIND(" ",TRIM(L914)))),NOT(ISNUMBER(FIND(";",L914))),NOT(ISNUMBER(FIND(",",L914)))),"OK","ERRO: um e-mail válido por linha"))</f>
      </c>
      <c r="U914" s="6">
        <f>IF(COUNTA(A914:O914)=0,"",IF(AND(B914&lt;&gt;"",C914&lt;&gt;"",D914&lt;&gt;"",E914&lt;&gt;"",H914&lt;&gt;"",OR(J914&lt;&gt;"",L914&lt;&gt;"")),"OK","ERRO: faltam "&amp;IF(B914="","Proprietário; ","")&amp;IF(C914="","Origem; ","")&amp;IF(D914="","CNPJ; ","")&amp;IF(E914="","Razão Social; ","")&amp;IF(H914="","Sobrenome; ","")&amp;IF(AND(J914="",L914=""),"telefone ou e-mail; ","")))</f>
      </c>
      <c r="V914" s="6">
        <f>IF(COUNTA(A914:O914)=0,"",IF(AND(Q914="OK",R914="OK",LEFT(S914,4)&lt;&gt;"ERRO",LEFT(T914,4)&lt;&gt;"ERRO",U914="OK"),"OK","REVISAR"))</f>
      </c>
    </row>
    <row r="915">
      <c r="A915" s="4"/>
      <c r="B915" s="5"/>
      <c r="C915" s="5"/>
      <c r="D915" s="5"/>
      <c r="E915" s="5"/>
      <c r="F915" s="4"/>
      <c r="G915" s="4"/>
      <c r="H915" s="5"/>
      <c r="I915" s="4"/>
      <c r="J915" s="4"/>
      <c r="K915" s="4"/>
      <c r="L915" s="4"/>
      <c r="M915" s="4"/>
      <c r="N915" s="4"/>
      <c r="O915" s="4"/>
      <c r="P915" s="6">
        <f>IF(D915="","",SUBSTITUTE(SUBSTITUTE(SUBSTITUTE(SUBSTITUTE(SUBSTITUTE(SUBSTITUTE(SUBSTITUTE(TRIM(D915),".",""),"/",""),"-","")," ",""),"(",""),")",""),"+",""))</f>
      </c>
      <c r="Q915" s="6">
        <f>IF(P915="","",IF(LEN(P915)&lt;&gt;14,"ERRO: "&amp;LEN(P915)&amp;" dígitos",IF(NOT(ISNUMBER(VALUE(P915))),"ERRO: não numérico",IF(LEN(SUBSTITUTE(P915,LEFT(P915,1),""))=0,"ERRO: dígitos repetidos",IF(AND(VALUE(MID(P915,13,1))=IF(MOD(SUMPRODUCT(--MID(P915,{1,2,3,4,5,6,7,8,9,10,11,12},1),{5,4,3,2,9,8,7,6,5,4,3,2}),11)&lt;2,0,11-MOD(SUMPRODUCT(--MID(P915,{1,2,3,4,5,6,7,8,9,10,11,12},1),{5,4,3,2,9,8,7,6,5,4,3,2}),11)),VALUE(MID(P915,14,1))=IF(MOD(SUMPRODUCT(--MID(P915,{1,2,3,4,5,6,7,8,9,10,11,12,13},1),{6,5,4,3,2,9,8,7,6,5,4,3,2}),11)&lt;2,0,11-MOD(SUMPRODUCT(--MID(P915,{1,2,3,4,5,6,7,8,9,10,11,12,13},1),{6,5,4,3,2,9,8,7,6,5,4,3,2}),11))),"OK","ERRO: dígito verificador")))))</f>
      </c>
      <c r="R915" s="6">
        <f>IF(P915="","",IF(COUNTIF($P$2:$P$1001,P915)&gt;1,"DUPLICADO","OK"))</f>
      </c>
      <c r="S915" s="6">
        <f>IF(AND(J915="",K915=""),"vazio",IF(AND(OR(J915="",LEN(SUBSTITUTE(SUBSTITUTE(SUBSTITUTE(SUBSTITUTE(SUBSTITUTE(SUBSTITUTE(SUBSTITUTE(TRIM(J915),".",""),"/",""),"-","")," ",""),"(",""),")",""),"+",""))=10,LEN(SUBSTITUTE(SUBSTITUTE(SUBSTITUTE(SUBSTITUTE(SUBSTITUTE(SUBSTITUTE(SUBSTITUTE(TRIM(J915),".",""),"/",""),"-","")," ",""),"(",""),")",""),"+",""))=11),OR(K915="",LEN(SUBSTITUTE(SUBSTITUTE(SUBSTITUTE(SUBSTITUTE(SUBSTITUTE(SUBSTITUTE(SUBSTITUTE(TRIM(K915),".",""),"/",""),"-","")," ",""),"(",""),")",""),"+",""))=10,LEN(SUBSTITUTE(SUBSTITUTE(SUBSTITUTE(SUBSTITUTE(SUBSTITUTE(SUBSTITUTE(SUBSTITUTE(TRIM(K915),".",""),"/",""),"-","")," ",""),"(",""),")",""),"+",""))=11)),"OK","ERRO: use DDD + número (10 ou 11 dígitos)"))</f>
      </c>
      <c r="T915" s="6">
        <f>IF(L915="","vazio",IF(AND(ISNUMBER(FIND("@",L915)),ISNUMBER(FIND(".",MID(L915,FIND("@",L915),99))),NOT(ISNUMBER(FIND(" ",TRIM(L915)))),NOT(ISNUMBER(FIND(";",L915))),NOT(ISNUMBER(FIND(",",L915)))),"OK","ERRO: um e-mail válido por linha"))</f>
      </c>
      <c r="U915" s="6">
        <f>IF(COUNTA(A915:O915)=0,"",IF(AND(B915&lt;&gt;"",C915&lt;&gt;"",D915&lt;&gt;"",E915&lt;&gt;"",H915&lt;&gt;"",OR(J915&lt;&gt;"",L915&lt;&gt;"")),"OK","ERRO: faltam "&amp;IF(B915="","Proprietário; ","")&amp;IF(C915="","Origem; ","")&amp;IF(D915="","CNPJ; ","")&amp;IF(E915="","Razão Social; ","")&amp;IF(H915="","Sobrenome; ","")&amp;IF(AND(J915="",L915=""),"telefone ou e-mail; ","")))</f>
      </c>
      <c r="V915" s="6">
        <f>IF(COUNTA(A915:O915)=0,"",IF(AND(Q915="OK",R915="OK",LEFT(S915,4)&lt;&gt;"ERRO",LEFT(T915,4)&lt;&gt;"ERRO",U915="OK"),"OK","REVISAR"))</f>
      </c>
    </row>
    <row r="916">
      <c r="A916" s="4"/>
      <c r="B916" s="5"/>
      <c r="C916" s="5"/>
      <c r="D916" s="5"/>
      <c r="E916" s="5"/>
      <c r="F916" s="4"/>
      <c r="G916" s="4"/>
      <c r="H916" s="5"/>
      <c r="I916" s="4"/>
      <c r="J916" s="4"/>
      <c r="K916" s="4"/>
      <c r="L916" s="4"/>
      <c r="M916" s="4"/>
      <c r="N916" s="4"/>
      <c r="O916" s="4"/>
      <c r="P916" s="6">
        <f>IF(D916="","",SUBSTITUTE(SUBSTITUTE(SUBSTITUTE(SUBSTITUTE(SUBSTITUTE(SUBSTITUTE(SUBSTITUTE(TRIM(D916),".",""),"/",""),"-","")," ",""),"(",""),")",""),"+",""))</f>
      </c>
      <c r="Q916" s="6">
        <f>IF(P916="","",IF(LEN(P916)&lt;&gt;14,"ERRO: "&amp;LEN(P916)&amp;" dígitos",IF(NOT(ISNUMBER(VALUE(P916))),"ERRO: não numérico",IF(LEN(SUBSTITUTE(P916,LEFT(P916,1),""))=0,"ERRO: dígitos repetidos",IF(AND(VALUE(MID(P916,13,1))=IF(MOD(SUMPRODUCT(--MID(P916,{1,2,3,4,5,6,7,8,9,10,11,12},1),{5,4,3,2,9,8,7,6,5,4,3,2}),11)&lt;2,0,11-MOD(SUMPRODUCT(--MID(P916,{1,2,3,4,5,6,7,8,9,10,11,12},1),{5,4,3,2,9,8,7,6,5,4,3,2}),11)),VALUE(MID(P916,14,1))=IF(MOD(SUMPRODUCT(--MID(P916,{1,2,3,4,5,6,7,8,9,10,11,12,13},1),{6,5,4,3,2,9,8,7,6,5,4,3,2}),11)&lt;2,0,11-MOD(SUMPRODUCT(--MID(P916,{1,2,3,4,5,6,7,8,9,10,11,12,13},1),{6,5,4,3,2,9,8,7,6,5,4,3,2}),11))),"OK","ERRO: dígito verificador")))))</f>
      </c>
      <c r="R916" s="6">
        <f>IF(P916="","",IF(COUNTIF($P$2:$P$1001,P916)&gt;1,"DUPLICADO","OK"))</f>
      </c>
      <c r="S916" s="6">
        <f>IF(AND(J916="",K916=""),"vazio",IF(AND(OR(J916="",LEN(SUBSTITUTE(SUBSTITUTE(SUBSTITUTE(SUBSTITUTE(SUBSTITUTE(SUBSTITUTE(SUBSTITUTE(TRIM(J916),".",""),"/",""),"-","")," ",""),"(",""),")",""),"+",""))=10,LEN(SUBSTITUTE(SUBSTITUTE(SUBSTITUTE(SUBSTITUTE(SUBSTITUTE(SUBSTITUTE(SUBSTITUTE(TRIM(J916),".",""),"/",""),"-","")," ",""),"(",""),")",""),"+",""))=11),OR(K916="",LEN(SUBSTITUTE(SUBSTITUTE(SUBSTITUTE(SUBSTITUTE(SUBSTITUTE(SUBSTITUTE(SUBSTITUTE(TRIM(K916),".",""),"/",""),"-","")," ",""),"(",""),")",""),"+",""))=10,LEN(SUBSTITUTE(SUBSTITUTE(SUBSTITUTE(SUBSTITUTE(SUBSTITUTE(SUBSTITUTE(SUBSTITUTE(TRIM(K916),".",""),"/",""),"-","")," ",""),"(",""),")",""),"+",""))=11)),"OK","ERRO: use DDD + número (10 ou 11 dígitos)"))</f>
      </c>
      <c r="T916" s="6">
        <f>IF(L916="","vazio",IF(AND(ISNUMBER(FIND("@",L916)),ISNUMBER(FIND(".",MID(L916,FIND("@",L916),99))),NOT(ISNUMBER(FIND(" ",TRIM(L916)))),NOT(ISNUMBER(FIND(";",L916))),NOT(ISNUMBER(FIND(",",L916)))),"OK","ERRO: um e-mail válido por linha"))</f>
      </c>
      <c r="U916" s="6">
        <f>IF(COUNTA(A916:O916)=0,"",IF(AND(B916&lt;&gt;"",C916&lt;&gt;"",D916&lt;&gt;"",E916&lt;&gt;"",H916&lt;&gt;"",OR(J916&lt;&gt;"",L916&lt;&gt;"")),"OK","ERRO: faltam "&amp;IF(B916="","Proprietário; ","")&amp;IF(C916="","Origem; ","")&amp;IF(D916="","CNPJ; ","")&amp;IF(E916="","Razão Social; ","")&amp;IF(H916="","Sobrenome; ","")&amp;IF(AND(J916="",L916=""),"telefone ou e-mail; ","")))</f>
      </c>
      <c r="V916" s="6">
        <f>IF(COUNTA(A916:O916)=0,"",IF(AND(Q916="OK",R916="OK",LEFT(S916,4)&lt;&gt;"ERRO",LEFT(T916,4)&lt;&gt;"ERRO",U916="OK"),"OK","REVISAR"))</f>
      </c>
    </row>
    <row r="917">
      <c r="A917" s="4"/>
      <c r="B917" s="5"/>
      <c r="C917" s="5"/>
      <c r="D917" s="5"/>
      <c r="E917" s="5"/>
      <c r="F917" s="4"/>
      <c r="G917" s="4"/>
      <c r="H917" s="5"/>
      <c r="I917" s="4"/>
      <c r="J917" s="4"/>
      <c r="K917" s="4"/>
      <c r="L917" s="4"/>
      <c r="M917" s="4"/>
      <c r="N917" s="4"/>
      <c r="O917" s="4"/>
      <c r="P917" s="6">
        <f>IF(D917="","",SUBSTITUTE(SUBSTITUTE(SUBSTITUTE(SUBSTITUTE(SUBSTITUTE(SUBSTITUTE(SUBSTITUTE(TRIM(D917),".",""),"/",""),"-","")," ",""),"(",""),")",""),"+",""))</f>
      </c>
      <c r="Q917" s="6">
        <f>IF(P917="","",IF(LEN(P917)&lt;&gt;14,"ERRO: "&amp;LEN(P917)&amp;" dígitos",IF(NOT(ISNUMBER(VALUE(P917))),"ERRO: não numérico",IF(LEN(SUBSTITUTE(P917,LEFT(P917,1),""))=0,"ERRO: dígitos repetidos",IF(AND(VALUE(MID(P917,13,1))=IF(MOD(SUMPRODUCT(--MID(P917,{1,2,3,4,5,6,7,8,9,10,11,12},1),{5,4,3,2,9,8,7,6,5,4,3,2}),11)&lt;2,0,11-MOD(SUMPRODUCT(--MID(P917,{1,2,3,4,5,6,7,8,9,10,11,12},1),{5,4,3,2,9,8,7,6,5,4,3,2}),11)),VALUE(MID(P917,14,1))=IF(MOD(SUMPRODUCT(--MID(P917,{1,2,3,4,5,6,7,8,9,10,11,12,13},1),{6,5,4,3,2,9,8,7,6,5,4,3,2}),11)&lt;2,0,11-MOD(SUMPRODUCT(--MID(P917,{1,2,3,4,5,6,7,8,9,10,11,12,13},1),{6,5,4,3,2,9,8,7,6,5,4,3,2}),11))),"OK","ERRO: dígito verificador")))))</f>
      </c>
      <c r="R917" s="6">
        <f>IF(P917="","",IF(COUNTIF($P$2:$P$1001,P917)&gt;1,"DUPLICADO","OK"))</f>
      </c>
      <c r="S917" s="6">
        <f>IF(AND(J917="",K917=""),"vazio",IF(AND(OR(J917="",LEN(SUBSTITUTE(SUBSTITUTE(SUBSTITUTE(SUBSTITUTE(SUBSTITUTE(SUBSTITUTE(SUBSTITUTE(TRIM(J917),".",""),"/",""),"-","")," ",""),"(",""),")",""),"+",""))=10,LEN(SUBSTITUTE(SUBSTITUTE(SUBSTITUTE(SUBSTITUTE(SUBSTITUTE(SUBSTITUTE(SUBSTITUTE(TRIM(J917),".",""),"/",""),"-","")," ",""),"(",""),")",""),"+",""))=11),OR(K917="",LEN(SUBSTITUTE(SUBSTITUTE(SUBSTITUTE(SUBSTITUTE(SUBSTITUTE(SUBSTITUTE(SUBSTITUTE(TRIM(K917),".",""),"/",""),"-","")," ",""),"(",""),")",""),"+",""))=10,LEN(SUBSTITUTE(SUBSTITUTE(SUBSTITUTE(SUBSTITUTE(SUBSTITUTE(SUBSTITUTE(SUBSTITUTE(TRIM(K917),".",""),"/",""),"-","")," ",""),"(",""),")",""),"+",""))=11)),"OK","ERRO: use DDD + número (10 ou 11 dígitos)"))</f>
      </c>
      <c r="T917" s="6">
        <f>IF(L917="","vazio",IF(AND(ISNUMBER(FIND("@",L917)),ISNUMBER(FIND(".",MID(L917,FIND("@",L917),99))),NOT(ISNUMBER(FIND(" ",TRIM(L917)))),NOT(ISNUMBER(FIND(";",L917))),NOT(ISNUMBER(FIND(",",L917)))),"OK","ERRO: um e-mail válido por linha"))</f>
      </c>
      <c r="U917" s="6">
        <f>IF(COUNTA(A917:O917)=0,"",IF(AND(B917&lt;&gt;"",C917&lt;&gt;"",D917&lt;&gt;"",E917&lt;&gt;"",H917&lt;&gt;"",OR(J917&lt;&gt;"",L917&lt;&gt;"")),"OK","ERRO: faltam "&amp;IF(B917="","Proprietário; ","")&amp;IF(C917="","Origem; ","")&amp;IF(D917="","CNPJ; ","")&amp;IF(E917="","Razão Social; ","")&amp;IF(H917="","Sobrenome; ","")&amp;IF(AND(J917="",L917=""),"telefone ou e-mail; ","")))</f>
      </c>
      <c r="V917" s="6">
        <f>IF(COUNTA(A917:O917)=0,"",IF(AND(Q917="OK",R917="OK",LEFT(S917,4)&lt;&gt;"ERRO",LEFT(T917,4)&lt;&gt;"ERRO",U917="OK"),"OK","REVISAR"))</f>
      </c>
    </row>
    <row r="918">
      <c r="A918" s="4"/>
      <c r="B918" s="5"/>
      <c r="C918" s="5"/>
      <c r="D918" s="5"/>
      <c r="E918" s="5"/>
      <c r="F918" s="4"/>
      <c r="G918" s="4"/>
      <c r="H918" s="5"/>
      <c r="I918" s="4"/>
      <c r="J918" s="4"/>
      <c r="K918" s="4"/>
      <c r="L918" s="4"/>
      <c r="M918" s="4"/>
      <c r="N918" s="4"/>
      <c r="O918" s="4"/>
      <c r="P918" s="6">
        <f>IF(D918="","",SUBSTITUTE(SUBSTITUTE(SUBSTITUTE(SUBSTITUTE(SUBSTITUTE(SUBSTITUTE(SUBSTITUTE(TRIM(D918),".",""),"/",""),"-","")," ",""),"(",""),")",""),"+",""))</f>
      </c>
      <c r="Q918" s="6">
        <f>IF(P918="","",IF(LEN(P918)&lt;&gt;14,"ERRO: "&amp;LEN(P918)&amp;" dígitos",IF(NOT(ISNUMBER(VALUE(P918))),"ERRO: não numérico",IF(LEN(SUBSTITUTE(P918,LEFT(P918,1),""))=0,"ERRO: dígitos repetidos",IF(AND(VALUE(MID(P918,13,1))=IF(MOD(SUMPRODUCT(--MID(P918,{1,2,3,4,5,6,7,8,9,10,11,12},1),{5,4,3,2,9,8,7,6,5,4,3,2}),11)&lt;2,0,11-MOD(SUMPRODUCT(--MID(P918,{1,2,3,4,5,6,7,8,9,10,11,12},1),{5,4,3,2,9,8,7,6,5,4,3,2}),11)),VALUE(MID(P918,14,1))=IF(MOD(SUMPRODUCT(--MID(P918,{1,2,3,4,5,6,7,8,9,10,11,12,13},1),{6,5,4,3,2,9,8,7,6,5,4,3,2}),11)&lt;2,0,11-MOD(SUMPRODUCT(--MID(P918,{1,2,3,4,5,6,7,8,9,10,11,12,13},1),{6,5,4,3,2,9,8,7,6,5,4,3,2}),11))),"OK","ERRO: dígito verificador")))))</f>
      </c>
      <c r="R918" s="6">
        <f>IF(P918="","",IF(COUNTIF($P$2:$P$1001,P918)&gt;1,"DUPLICADO","OK"))</f>
      </c>
      <c r="S918" s="6">
        <f>IF(AND(J918="",K918=""),"vazio",IF(AND(OR(J918="",LEN(SUBSTITUTE(SUBSTITUTE(SUBSTITUTE(SUBSTITUTE(SUBSTITUTE(SUBSTITUTE(SUBSTITUTE(TRIM(J918),".",""),"/",""),"-","")," ",""),"(",""),")",""),"+",""))=10,LEN(SUBSTITUTE(SUBSTITUTE(SUBSTITUTE(SUBSTITUTE(SUBSTITUTE(SUBSTITUTE(SUBSTITUTE(TRIM(J918),".",""),"/",""),"-","")," ",""),"(",""),")",""),"+",""))=11),OR(K918="",LEN(SUBSTITUTE(SUBSTITUTE(SUBSTITUTE(SUBSTITUTE(SUBSTITUTE(SUBSTITUTE(SUBSTITUTE(TRIM(K918),".",""),"/",""),"-","")," ",""),"(",""),")",""),"+",""))=10,LEN(SUBSTITUTE(SUBSTITUTE(SUBSTITUTE(SUBSTITUTE(SUBSTITUTE(SUBSTITUTE(SUBSTITUTE(TRIM(K918),".",""),"/",""),"-","")," ",""),"(",""),")",""),"+",""))=11)),"OK","ERRO: use DDD + número (10 ou 11 dígitos)"))</f>
      </c>
      <c r="T918" s="6">
        <f>IF(L918="","vazio",IF(AND(ISNUMBER(FIND("@",L918)),ISNUMBER(FIND(".",MID(L918,FIND("@",L918),99))),NOT(ISNUMBER(FIND(" ",TRIM(L918)))),NOT(ISNUMBER(FIND(";",L918))),NOT(ISNUMBER(FIND(",",L918)))),"OK","ERRO: um e-mail válido por linha"))</f>
      </c>
      <c r="U918" s="6">
        <f>IF(COUNTA(A918:O918)=0,"",IF(AND(B918&lt;&gt;"",C918&lt;&gt;"",D918&lt;&gt;"",E918&lt;&gt;"",H918&lt;&gt;"",OR(J918&lt;&gt;"",L918&lt;&gt;"")),"OK","ERRO: faltam "&amp;IF(B918="","Proprietário; ","")&amp;IF(C918="","Origem; ","")&amp;IF(D918="","CNPJ; ","")&amp;IF(E918="","Razão Social; ","")&amp;IF(H918="","Sobrenome; ","")&amp;IF(AND(J918="",L918=""),"telefone ou e-mail; ","")))</f>
      </c>
      <c r="V918" s="6">
        <f>IF(COUNTA(A918:O918)=0,"",IF(AND(Q918="OK",R918="OK",LEFT(S918,4)&lt;&gt;"ERRO",LEFT(T918,4)&lt;&gt;"ERRO",U918="OK"),"OK","REVISAR"))</f>
      </c>
    </row>
    <row r="919">
      <c r="A919" s="4"/>
      <c r="B919" s="5"/>
      <c r="C919" s="5"/>
      <c r="D919" s="5"/>
      <c r="E919" s="5"/>
      <c r="F919" s="4"/>
      <c r="G919" s="4"/>
      <c r="H919" s="5"/>
      <c r="I919" s="4"/>
      <c r="J919" s="4"/>
      <c r="K919" s="4"/>
      <c r="L919" s="4"/>
      <c r="M919" s="4"/>
      <c r="N919" s="4"/>
      <c r="O919" s="4"/>
      <c r="P919" s="6">
        <f>IF(D919="","",SUBSTITUTE(SUBSTITUTE(SUBSTITUTE(SUBSTITUTE(SUBSTITUTE(SUBSTITUTE(SUBSTITUTE(TRIM(D919),".",""),"/",""),"-","")," ",""),"(",""),")",""),"+",""))</f>
      </c>
      <c r="Q919" s="6">
        <f>IF(P919="","",IF(LEN(P919)&lt;&gt;14,"ERRO: "&amp;LEN(P919)&amp;" dígitos",IF(NOT(ISNUMBER(VALUE(P919))),"ERRO: não numérico",IF(LEN(SUBSTITUTE(P919,LEFT(P919,1),""))=0,"ERRO: dígitos repetidos",IF(AND(VALUE(MID(P919,13,1))=IF(MOD(SUMPRODUCT(--MID(P919,{1,2,3,4,5,6,7,8,9,10,11,12},1),{5,4,3,2,9,8,7,6,5,4,3,2}),11)&lt;2,0,11-MOD(SUMPRODUCT(--MID(P919,{1,2,3,4,5,6,7,8,9,10,11,12},1),{5,4,3,2,9,8,7,6,5,4,3,2}),11)),VALUE(MID(P919,14,1))=IF(MOD(SUMPRODUCT(--MID(P919,{1,2,3,4,5,6,7,8,9,10,11,12,13},1),{6,5,4,3,2,9,8,7,6,5,4,3,2}),11)&lt;2,0,11-MOD(SUMPRODUCT(--MID(P919,{1,2,3,4,5,6,7,8,9,10,11,12,13},1),{6,5,4,3,2,9,8,7,6,5,4,3,2}),11))),"OK","ERRO: dígito verificador")))))</f>
      </c>
      <c r="R919" s="6">
        <f>IF(P919="","",IF(COUNTIF($P$2:$P$1001,P919)&gt;1,"DUPLICADO","OK"))</f>
      </c>
      <c r="S919" s="6">
        <f>IF(AND(J919="",K919=""),"vazio",IF(AND(OR(J919="",LEN(SUBSTITUTE(SUBSTITUTE(SUBSTITUTE(SUBSTITUTE(SUBSTITUTE(SUBSTITUTE(SUBSTITUTE(TRIM(J919),".",""),"/",""),"-","")," ",""),"(",""),")",""),"+",""))=10,LEN(SUBSTITUTE(SUBSTITUTE(SUBSTITUTE(SUBSTITUTE(SUBSTITUTE(SUBSTITUTE(SUBSTITUTE(TRIM(J919),".",""),"/",""),"-","")," ",""),"(",""),")",""),"+",""))=11),OR(K919="",LEN(SUBSTITUTE(SUBSTITUTE(SUBSTITUTE(SUBSTITUTE(SUBSTITUTE(SUBSTITUTE(SUBSTITUTE(TRIM(K919),".",""),"/",""),"-","")," ",""),"(",""),")",""),"+",""))=10,LEN(SUBSTITUTE(SUBSTITUTE(SUBSTITUTE(SUBSTITUTE(SUBSTITUTE(SUBSTITUTE(SUBSTITUTE(TRIM(K919),".",""),"/",""),"-","")," ",""),"(",""),")",""),"+",""))=11)),"OK","ERRO: use DDD + número (10 ou 11 dígitos)"))</f>
      </c>
      <c r="T919" s="6">
        <f>IF(L919="","vazio",IF(AND(ISNUMBER(FIND("@",L919)),ISNUMBER(FIND(".",MID(L919,FIND("@",L919),99))),NOT(ISNUMBER(FIND(" ",TRIM(L919)))),NOT(ISNUMBER(FIND(";",L919))),NOT(ISNUMBER(FIND(",",L919)))),"OK","ERRO: um e-mail válido por linha"))</f>
      </c>
      <c r="U919" s="6">
        <f>IF(COUNTA(A919:O919)=0,"",IF(AND(B919&lt;&gt;"",C919&lt;&gt;"",D919&lt;&gt;"",E919&lt;&gt;"",H919&lt;&gt;"",OR(J919&lt;&gt;"",L919&lt;&gt;"")),"OK","ERRO: faltam "&amp;IF(B919="","Proprietário; ","")&amp;IF(C919="","Origem; ","")&amp;IF(D919="","CNPJ; ","")&amp;IF(E919="","Razão Social; ","")&amp;IF(H919="","Sobrenome; ","")&amp;IF(AND(J919="",L919=""),"telefone ou e-mail; ","")))</f>
      </c>
      <c r="V919" s="6">
        <f>IF(COUNTA(A919:O919)=0,"",IF(AND(Q919="OK",R919="OK",LEFT(S919,4)&lt;&gt;"ERRO",LEFT(T919,4)&lt;&gt;"ERRO",U919="OK"),"OK","REVISAR"))</f>
      </c>
    </row>
    <row r="920">
      <c r="A920" s="4"/>
      <c r="B920" s="5"/>
      <c r="C920" s="5"/>
      <c r="D920" s="5"/>
      <c r="E920" s="5"/>
      <c r="F920" s="4"/>
      <c r="G920" s="4"/>
      <c r="H920" s="5"/>
      <c r="I920" s="4"/>
      <c r="J920" s="4"/>
      <c r="K920" s="4"/>
      <c r="L920" s="4"/>
      <c r="M920" s="4"/>
      <c r="N920" s="4"/>
      <c r="O920" s="4"/>
      <c r="P920" s="6">
        <f>IF(D920="","",SUBSTITUTE(SUBSTITUTE(SUBSTITUTE(SUBSTITUTE(SUBSTITUTE(SUBSTITUTE(SUBSTITUTE(TRIM(D920),".",""),"/",""),"-","")," ",""),"(",""),")",""),"+",""))</f>
      </c>
      <c r="Q920" s="6">
        <f>IF(P920="","",IF(LEN(P920)&lt;&gt;14,"ERRO: "&amp;LEN(P920)&amp;" dígitos",IF(NOT(ISNUMBER(VALUE(P920))),"ERRO: não numérico",IF(LEN(SUBSTITUTE(P920,LEFT(P920,1),""))=0,"ERRO: dígitos repetidos",IF(AND(VALUE(MID(P920,13,1))=IF(MOD(SUMPRODUCT(--MID(P920,{1,2,3,4,5,6,7,8,9,10,11,12},1),{5,4,3,2,9,8,7,6,5,4,3,2}),11)&lt;2,0,11-MOD(SUMPRODUCT(--MID(P920,{1,2,3,4,5,6,7,8,9,10,11,12},1),{5,4,3,2,9,8,7,6,5,4,3,2}),11)),VALUE(MID(P920,14,1))=IF(MOD(SUMPRODUCT(--MID(P920,{1,2,3,4,5,6,7,8,9,10,11,12,13},1),{6,5,4,3,2,9,8,7,6,5,4,3,2}),11)&lt;2,0,11-MOD(SUMPRODUCT(--MID(P920,{1,2,3,4,5,6,7,8,9,10,11,12,13},1),{6,5,4,3,2,9,8,7,6,5,4,3,2}),11))),"OK","ERRO: dígito verificador")))))</f>
      </c>
      <c r="R920" s="6">
        <f>IF(P920="","",IF(COUNTIF($P$2:$P$1001,P920)&gt;1,"DUPLICADO","OK"))</f>
      </c>
      <c r="S920" s="6">
        <f>IF(AND(J920="",K920=""),"vazio",IF(AND(OR(J920="",LEN(SUBSTITUTE(SUBSTITUTE(SUBSTITUTE(SUBSTITUTE(SUBSTITUTE(SUBSTITUTE(SUBSTITUTE(TRIM(J920),".",""),"/",""),"-","")," ",""),"(",""),")",""),"+",""))=10,LEN(SUBSTITUTE(SUBSTITUTE(SUBSTITUTE(SUBSTITUTE(SUBSTITUTE(SUBSTITUTE(SUBSTITUTE(TRIM(J920),".",""),"/",""),"-","")," ",""),"(",""),")",""),"+",""))=11),OR(K920="",LEN(SUBSTITUTE(SUBSTITUTE(SUBSTITUTE(SUBSTITUTE(SUBSTITUTE(SUBSTITUTE(SUBSTITUTE(TRIM(K920),".",""),"/",""),"-","")," ",""),"(",""),")",""),"+",""))=10,LEN(SUBSTITUTE(SUBSTITUTE(SUBSTITUTE(SUBSTITUTE(SUBSTITUTE(SUBSTITUTE(SUBSTITUTE(TRIM(K920),".",""),"/",""),"-","")," ",""),"(",""),")",""),"+",""))=11)),"OK","ERRO: use DDD + número (10 ou 11 dígitos)"))</f>
      </c>
      <c r="T920" s="6">
        <f>IF(L920="","vazio",IF(AND(ISNUMBER(FIND("@",L920)),ISNUMBER(FIND(".",MID(L920,FIND("@",L920),99))),NOT(ISNUMBER(FIND(" ",TRIM(L920)))),NOT(ISNUMBER(FIND(";",L920))),NOT(ISNUMBER(FIND(",",L920)))),"OK","ERRO: um e-mail válido por linha"))</f>
      </c>
      <c r="U920" s="6">
        <f>IF(COUNTA(A920:O920)=0,"",IF(AND(B920&lt;&gt;"",C920&lt;&gt;"",D920&lt;&gt;"",E920&lt;&gt;"",H920&lt;&gt;"",OR(J920&lt;&gt;"",L920&lt;&gt;"")),"OK","ERRO: faltam "&amp;IF(B920="","Proprietário; ","")&amp;IF(C920="","Origem; ","")&amp;IF(D920="","CNPJ; ","")&amp;IF(E920="","Razão Social; ","")&amp;IF(H920="","Sobrenome; ","")&amp;IF(AND(J920="",L920=""),"telefone ou e-mail; ","")))</f>
      </c>
      <c r="V920" s="6">
        <f>IF(COUNTA(A920:O920)=0,"",IF(AND(Q920="OK",R920="OK",LEFT(S920,4)&lt;&gt;"ERRO",LEFT(T920,4)&lt;&gt;"ERRO",U920="OK"),"OK","REVISAR"))</f>
      </c>
    </row>
    <row r="921">
      <c r="A921" s="4"/>
      <c r="B921" s="5"/>
      <c r="C921" s="5"/>
      <c r="D921" s="5"/>
      <c r="E921" s="5"/>
      <c r="F921" s="4"/>
      <c r="G921" s="4"/>
      <c r="H921" s="5"/>
      <c r="I921" s="4"/>
      <c r="J921" s="4"/>
      <c r="K921" s="4"/>
      <c r="L921" s="4"/>
      <c r="M921" s="4"/>
      <c r="N921" s="4"/>
      <c r="O921" s="4"/>
      <c r="P921" s="6">
        <f>IF(D921="","",SUBSTITUTE(SUBSTITUTE(SUBSTITUTE(SUBSTITUTE(SUBSTITUTE(SUBSTITUTE(SUBSTITUTE(TRIM(D921),".",""),"/",""),"-","")," ",""),"(",""),")",""),"+",""))</f>
      </c>
      <c r="Q921" s="6">
        <f>IF(P921="","",IF(LEN(P921)&lt;&gt;14,"ERRO: "&amp;LEN(P921)&amp;" dígitos",IF(NOT(ISNUMBER(VALUE(P921))),"ERRO: não numérico",IF(LEN(SUBSTITUTE(P921,LEFT(P921,1),""))=0,"ERRO: dígitos repetidos",IF(AND(VALUE(MID(P921,13,1))=IF(MOD(SUMPRODUCT(--MID(P921,{1,2,3,4,5,6,7,8,9,10,11,12},1),{5,4,3,2,9,8,7,6,5,4,3,2}),11)&lt;2,0,11-MOD(SUMPRODUCT(--MID(P921,{1,2,3,4,5,6,7,8,9,10,11,12},1),{5,4,3,2,9,8,7,6,5,4,3,2}),11)),VALUE(MID(P921,14,1))=IF(MOD(SUMPRODUCT(--MID(P921,{1,2,3,4,5,6,7,8,9,10,11,12,13},1),{6,5,4,3,2,9,8,7,6,5,4,3,2}),11)&lt;2,0,11-MOD(SUMPRODUCT(--MID(P921,{1,2,3,4,5,6,7,8,9,10,11,12,13},1),{6,5,4,3,2,9,8,7,6,5,4,3,2}),11))),"OK","ERRO: dígito verificador")))))</f>
      </c>
      <c r="R921" s="6">
        <f>IF(P921="","",IF(COUNTIF($P$2:$P$1001,P921)&gt;1,"DUPLICADO","OK"))</f>
      </c>
      <c r="S921" s="6">
        <f>IF(AND(J921="",K921=""),"vazio",IF(AND(OR(J921="",LEN(SUBSTITUTE(SUBSTITUTE(SUBSTITUTE(SUBSTITUTE(SUBSTITUTE(SUBSTITUTE(SUBSTITUTE(TRIM(J921),".",""),"/",""),"-","")," ",""),"(",""),")",""),"+",""))=10,LEN(SUBSTITUTE(SUBSTITUTE(SUBSTITUTE(SUBSTITUTE(SUBSTITUTE(SUBSTITUTE(SUBSTITUTE(TRIM(J921),".",""),"/",""),"-","")," ",""),"(",""),")",""),"+",""))=11),OR(K921="",LEN(SUBSTITUTE(SUBSTITUTE(SUBSTITUTE(SUBSTITUTE(SUBSTITUTE(SUBSTITUTE(SUBSTITUTE(TRIM(K921),".",""),"/",""),"-","")," ",""),"(",""),")",""),"+",""))=10,LEN(SUBSTITUTE(SUBSTITUTE(SUBSTITUTE(SUBSTITUTE(SUBSTITUTE(SUBSTITUTE(SUBSTITUTE(TRIM(K921),".",""),"/",""),"-","")," ",""),"(",""),")",""),"+",""))=11)),"OK","ERRO: use DDD + número (10 ou 11 dígitos)"))</f>
      </c>
      <c r="T921" s="6">
        <f>IF(L921="","vazio",IF(AND(ISNUMBER(FIND("@",L921)),ISNUMBER(FIND(".",MID(L921,FIND("@",L921),99))),NOT(ISNUMBER(FIND(" ",TRIM(L921)))),NOT(ISNUMBER(FIND(";",L921))),NOT(ISNUMBER(FIND(",",L921)))),"OK","ERRO: um e-mail válido por linha"))</f>
      </c>
      <c r="U921" s="6">
        <f>IF(COUNTA(A921:O921)=0,"",IF(AND(B921&lt;&gt;"",C921&lt;&gt;"",D921&lt;&gt;"",E921&lt;&gt;"",H921&lt;&gt;"",OR(J921&lt;&gt;"",L921&lt;&gt;"")),"OK","ERRO: faltam "&amp;IF(B921="","Proprietário; ","")&amp;IF(C921="","Origem; ","")&amp;IF(D921="","CNPJ; ","")&amp;IF(E921="","Razão Social; ","")&amp;IF(H921="","Sobrenome; ","")&amp;IF(AND(J921="",L921=""),"telefone ou e-mail; ","")))</f>
      </c>
      <c r="V921" s="6">
        <f>IF(COUNTA(A921:O921)=0,"",IF(AND(Q921="OK",R921="OK",LEFT(S921,4)&lt;&gt;"ERRO",LEFT(T921,4)&lt;&gt;"ERRO",U921="OK"),"OK","REVISAR"))</f>
      </c>
    </row>
    <row r="922">
      <c r="A922" s="4"/>
      <c r="B922" s="5"/>
      <c r="C922" s="5"/>
      <c r="D922" s="5"/>
      <c r="E922" s="5"/>
      <c r="F922" s="4"/>
      <c r="G922" s="4"/>
      <c r="H922" s="5"/>
      <c r="I922" s="4"/>
      <c r="J922" s="4"/>
      <c r="K922" s="4"/>
      <c r="L922" s="4"/>
      <c r="M922" s="4"/>
      <c r="N922" s="4"/>
      <c r="O922" s="4"/>
      <c r="P922" s="6">
        <f>IF(D922="","",SUBSTITUTE(SUBSTITUTE(SUBSTITUTE(SUBSTITUTE(SUBSTITUTE(SUBSTITUTE(SUBSTITUTE(TRIM(D922),".",""),"/",""),"-","")," ",""),"(",""),")",""),"+",""))</f>
      </c>
      <c r="Q922" s="6">
        <f>IF(P922="","",IF(LEN(P922)&lt;&gt;14,"ERRO: "&amp;LEN(P922)&amp;" dígitos",IF(NOT(ISNUMBER(VALUE(P922))),"ERRO: não numérico",IF(LEN(SUBSTITUTE(P922,LEFT(P922,1),""))=0,"ERRO: dígitos repetidos",IF(AND(VALUE(MID(P922,13,1))=IF(MOD(SUMPRODUCT(--MID(P922,{1,2,3,4,5,6,7,8,9,10,11,12},1),{5,4,3,2,9,8,7,6,5,4,3,2}),11)&lt;2,0,11-MOD(SUMPRODUCT(--MID(P922,{1,2,3,4,5,6,7,8,9,10,11,12},1),{5,4,3,2,9,8,7,6,5,4,3,2}),11)),VALUE(MID(P922,14,1))=IF(MOD(SUMPRODUCT(--MID(P922,{1,2,3,4,5,6,7,8,9,10,11,12,13},1),{6,5,4,3,2,9,8,7,6,5,4,3,2}),11)&lt;2,0,11-MOD(SUMPRODUCT(--MID(P922,{1,2,3,4,5,6,7,8,9,10,11,12,13},1),{6,5,4,3,2,9,8,7,6,5,4,3,2}),11))),"OK","ERRO: dígito verificador")))))</f>
      </c>
      <c r="R922" s="6">
        <f>IF(P922="","",IF(COUNTIF($P$2:$P$1001,P922)&gt;1,"DUPLICADO","OK"))</f>
      </c>
      <c r="S922" s="6">
        <f>IF(AND(J922="",K922=""),"vazio",IF(AND(OR(J922="",LEN(SUBSTITUTE(SUBSTITUTE(SUBSTITUTE(SUBSTITUTE(SUBSTITUTE(SUBSTITUTE(SUBSTITUTE(TRIM(J922),".",""),"/",""),"-","")," ",""),"(",""),")",""),"+",""))=10,LEN(SUBSTITUTE(SUBSTITUTE(SUBSTITUTE(SUBSTITUTE(SUBSTITUTE(SUBSTITUTE(SUBSTITUTE(TRIM(J922),".",""),"/",""),"-","")," ",""),"(",""),")",""),"+",""))=11),OR(K922="",LEN(SUBSTITUTE(SUBSTITUTE(SUBSTITUTE(SUBSTITUTE(SUBSTITUTE(SUBSTITUTE(SUBSTITUTE(TRIM(K922),".",""),"/",""),"-","")," ",""),"(",""),")",""),"+",""))=10,LEN(SUBSTITUTE(SUBSTITUTE(SUBSTITUTE(SUBSTITUTE(SUBSTITUTE(SUBSTITUTE(SUBSTITUTE(TRIM(K922),".",""),"/",""),"-","")," ",""),"(",""),")",""),"+",""))=11)),"OK","ERRO: use DDD + número (10 ou 11 dígitos)"))</f>
      </c>
      <c r="T922" s="6">
        <f>IF(L922="","vazio",IF(AND(ISNUMBER(FIND("@",L922)),ISNUMBER(FIND(".",MID(L922,FIND("@",L922),99))),NOT(ISNUMBER(FIND(" ",TRIM(L922)))),NOT(ISNUMBER(FIND(";",L922))),NOT(ISNUMBER(FIND(",",L922)))),"OK","ERRO: um e-mail válido por linha"))</f>
      </c>
      <c r="U922" s="6">
        <f>IF(COUNTA(A922:O922)=0,"",IF(AND(B922&lt;&gt;"",C922&lt;&gt;"",D922&lt;&gt;"",E922&lt;&gt;"",H922&lt;&gt;"",OR(J922&lt;&gt;"",L922&lt;&gt;"")),"OK","ERRO: faltam "&amp;IF(B922="","Proprietário; ","")&amp;IF(C922="","Origem; ","")&amp;IF(D922="","CNPJ; ","")&amp;IF(E922="","Razão Social; ","")&amp;IF(H922="","Sobrenome; ","")&amp;IF(AND(J922="",L922=""),"telefone ou e-mail; ","")))</f>
      </c>
      <c r="V922" s="6">
        <f>IF(COUNTA(A922:O922)=0,"",IF(AND(Q922="OK",R922="OK",LEFT(S922,4)&lt;&gt;"ERRO",LEFT(T922,4)&lt;&gt;"ERRO",U922="OK"),"OK","REVISAR"))</f>
      </c>
    </row>
    <row r="923">
      <c r="A923" s="4"/>
      <c r="B923" s="5"/>
      <c r="C923" s="5"/>
      <c r="D923" s="5"/>
      <c r="E923" s="5"/>
      <c r="F923" s="4"/>
      <c r="G923" s="4"/>
      <c r="H923" s="5"/>
      <c r="I923" s="4"/>
      <c r="J923" s="4"/>
      <c r="K923" s="4"/>
      <c r="L923" s="4"/>
      <c r="M923" s="4"/>
      <c r="N923" s="4"/>
      <c r="O923" s="4"/>
      <c r="P923" s="6">
        <f>IF(D923="","",SUBSTITUTE(SUBSTITUTE(SUBSTITUTE(SUBSTITUTE(SUBSTITUTE(SUBSTITUTE(SUBSTITUTE(TRIM(D923),".",""),"/",""),"-","")," ",""),"(",""),")",""),"+",""))</f>
      </c>
      <c r="Q923" s="6">
        <f>IF(P923="","",IF(LEN(P923)&lt;&gt;14,"ERRO: "&amp;LEN(P923)&amp;" dígitos",IF(NOT(ISNUMBER(VALUE(P923))),"ERRO: não numérico",IF(LEN(SUBSTITUTE(P923,LEFT(P923,1),""))=0,"ERRO: dígitos repetidos",IF(AND(VALUE(MID(P923,13,1))=IF(MOD(SUMPRODUCT(--MID(P923,{1,2,3,4,5,6,7,8,9,10,11,12},1),{5,4,3,2,9,8,7,6,5,4,3,2}),11)&lt;2,0,11-MOD(SUMPRODUCT(--MID(P923,{1,2,3,4,5,6,7,8,9,10,11,12},1),{5,4,3,2,9,8,7,6,5,4,3,2}),11)),VALUE(MID(P923,14,1))=IF(MOD(SUMPRODUCT(--MID(P923,{1,2,3,4,5,6,7,8,9,10,11,12,13},1),{6,5,4,3,2,9,8,7,6,5,4,3,2}),11)&lt;2,0,11-MOD(SUMPRODUCT(--MID(P923,{1,2,3,4,5,6,7,8,9,10,11,12,13},1),{6,5,4,3,2,9,8,7,6,5,4,3,2}),11))),"OK","ERRO: dígito verificador")))))</f>
      </c>
      <c r="R923" s="6">
        <f>IF(P923="","",IF(COUNTIF($P$2:$P$1001,P923)&gt;1,"DUPLICADO","OK"))</f>
      </c>
      <c r="S923" s="6">
        <f>IF(AND(J923="",K923=""),"vazio",IF(AND(OR(J923="",LEN(SUBSTITUTE(SUBSTITUTE(SUBSTITUTE(SUBSTITUTE(SUBSTITUTE(SUBSTITUTE(SUBSTITUTE(TRIM(J923),".",""),"/",""),"-","")," ",""),"(",""),")",""),"+",""))=10,LEN(SUBSTITUTE(SUBSTITUTE(SUBSTITUTE(SUBSTITUTE(SUBSTITUTE(SUBSTITUTE(SUBSTITUTE(TRIM(J923),".",""),"/",""),"-","")," ",""),"(",""),")",""),"+",""))=11),OR(K923="",LEN(SUBSTITUTE(SUBSTITUTE(SUBSTITUTE(SUBSTITUTE(SUBSTITUTE(SUBSTITUTE(SUBSTITUTE(TRIM(K923),".",""),"/",""),"-","")," ",""),"(",""),")",""),"+",""))=10,LEN(SUBSTITUTE(SUBSTITUTE(SUBSTITUTE(SUBSTITUTE(SUBSTITUTE(SUBSTITUTE(SUBSTITUTE(TRIM(K923),".",""),"/",""),"-","")," ",""),"(",""),")",""),"+",""))=11)),"OK","ERRO: use DDD + número (10 ou 11 dígitos)"))</f>
      </c>
      <c r="T923" s="6">
        <f>IF(L923="","vazio",IF(AND(ISNUMBER(FIND("@",L923)),ISNUMBER(FIND(".",MID(L923,FIND("@",L923),99))),NOT(ISNUMBER(FIND(" ",TRIM(L923)))),NOT(ISNUMBER(FIND(";",L923))),NOT(ISNUMBER(FIND(",",L923)))),"OK","ERRO: um e-mail válido por linha"))</f>
      </c>
      <c r="U923" s="6">
        <f>IF(COUNTA(A923:O923)=0,"",IF(AND(B923&lt;&gt;"",C923&lt;&gt;"",D923&lt;&gt;"",E923&lt;&gt;"",H923&lt;&gt;"",OR(J923&lt;&gt;"",L923&lt;&gt;"")),"OK","ERRO: faltam "&amp;IF(B923="","Proprietário; ","")&amp;IF(C923="","Origem; ","")&amp;IF(D923="","CNPJ; ","")&amp;IF(E923="","Razão Social; ","")&amp;IF(H923="","Sobrenome; ","")&amp;IF(AND(J923="",L923=""),"telefone ou e-mail; ","")))</f>
      </c>
      <c r="V923" s="6">
        <f>IF(COUNTA(A923:O923)=0,"",IF(AND(Q923="OK",R923="OK",LEFT(S923,4)&lt;&gt;"ERRO",LEFT(T923,4)&lt;&gt;"ERRO",U923="OK"),"OK","REVISAR"))</f>
      </c>
    </row>
    <row r="924">
      <c r="A924" s="4"/>
      <c r="B924" s="5"/>
      <c r="C924" s="5"/>
      <c r="D924" s="5"/>
      <c r="E924" s="5"/>
      <c r="F924" s="4"/>
      <c r="G924" s="4"/>
      <c r="H924" s="5"/>
      <c r="I924" s="4"/>
      <c r="J924" s="4"/>
      <c r="K924" s="4"/>
      <c r="L924" s="4"/>
      <c r="M924" s="4"/>
      <c r="N924" s="4"/>
      <c r="O924" s="4"/>
      <c r="P924" s="6">
        <f>IF(D924="","",SUBSTITUTE(SUBSTITUTE(SUBSTITUTE(SUBSTITUTE(SUBSTITUTE(SUBSTITUTE(SUBSTITUTE(TRIM(D924),".",""),"/",""),"-","")," ",""),"(",""),")",""),"+",""))</f>
      </c>
      <c r="Q924" s="6">
        <f>IF(P924="","",IF(LEN(P924)&lt;&gt;14,"ERRO: "&amp;LEN(P924)&amp;" dígitos",IF(NOT(ISNUMBER(VALUE(P924))),"ERRO: não numérico",IF(LEN(SUBSTITUTE(P924,LEFT(P924,1),""))=0,"ERRO: dígitos repetidos",IF(AND(VALUE(MID(P924,13,1))=IF(MOD(SUMPRODUCT(--MID(P924,{1,2,3,4,5,6,7,8,9,10,11,12},1),{5,4,3,2,9,8,7,6,5,4,3,2}),11)&lt;2,0,11-MOD(SUMPRODUCT(--MID(P924,{1,2,3,4,5,6,7,8,9,10,11,12},1),{5,4,3,2,9,8,7,6,5,4,3,2}),11)),VALUE(MID(P924,14,1))=IF(MOD(SUMPRODUCT(--MID(P924,{1,2,3,4,5,6,7,8,9,10,11,12,13},1),{6,5,4,3,2,9,8,7,6,5,4,3,2}),11)&lt;2,0,11-MOD(SUMPRODUCT(--MID(P924,{1,2,3,4,5,6,7,8,9,10,11,12,13},1),{6,5,4,3,2,9,8,7,6,5,4,3,2}),11))),"OK","ERRO: dígito verificador")))))</f>
      </c>
      <c r="R924" s="6">
        <f>IF(P924="","",IF(COUNTIF($P$2:$P$1001,P924)&gt;1,"DUPLICADO","OK"))</f>
      </c>
      <c r="S924" s="6">
        <f>IF(AND(J924="",K924=""),"vazio",IF(AND(OR(J924="",LEN(SUBSTITUTE(SUBSTITUTE(SUBSTITUTE(SUBSTITUTE(SUBSTITUTE(SUBSTITUTE(SUBSTITUTE(TRIM(J924),".",""),"/",""),"-","")," ",""),"(",""),")",""),"+",""))=10,LEN(SUBSTITUTE(SUBSTITUTE(SUBSTITUTE(SUBSTITUTE(SUBSTITUTE(SUBSTITUTE(SUBSTITUTE(TRIM(J924),".",""),"/",""),"-","")," ",""),"(",""),")",""),"+",""))=11),OR(K924="",LEN(SUBSTITUTE(SUBSTITUTE(SUBSTITUTE(SUBSTITUTE(SUBSTITUTE(SUBSTITUTE(SUBSTITUTE(TRIM(K924),".",""),"/",""),"-","")," ",""),"(",""),")",""),"+",""))=10,LEN(SUBSTITUTE(SUBSTITUTE(SUBSTITUTE(SUBSTITUTE(SUBSTITUTE(SUBSTITUTE(SUBSTITUTE(TRIM(K924),".",""),"/",""),"-","")," ",""),"(",""),")",""),"+",""))=11)),"OK","ERRO: use DDD + número (10 ou 11 dígitos)"))</f>
      </c>
      <c r="T924" s="6">
        <f>IF(L924="","vazio",IF(AND(ISNUMBER(FIND("@",L924)),ISNUMBER(FIND(".",MID(L924,FIND("@",L924),99))),NOT(ISNUMBER(FIND(" ",TRIM(L924)))),NOT(ISNUMBER(FIND(";",L924))),NOT(ISNUMBER(FIND(",",L924)))),"OK","ERRO: um e-mail válido por linha"))</f>
      </c>
      <c r="U924" s="6">
        <f>IF(COUNTA(A924:O924)=0,"",IF(AND(B924&lt;&gt;"",C924&lt;&gt;"",D924&lt;&gt;"",E924&lt;&gt;"",H924&lt;&gt;"",OR(J924&lt;&gt;"",L924&lt;&gt;"")),"OK","ERRO: faltam "&amp;IF(B924="","Proprietário; ","")&amp;IF(C924="","Origem; ","")&amp;IF(D924="","CNPJ; ","")&amp;IF(E924="","Razão Social; ","")&amp;IF(H924="","Sobrenome; ","")&amp;IF(AND(J924="",L924=""),"telefone ou e-mail; ","")))</f>
      </c>
      <c r="V924" s="6">
        <f>IF(COUNTA(A924:O924)=0,"",IF(AND(Q924="OK",R924="OK",LEFT(S924,4)&lt;&gt;"ERRO",LEFT(T924,4)&lt;&gt;"ERRO",U924="OK"),"OK","REVISAR"))</f>
      </c>
    </row>
    <row r="925">
      <c r="A925" s="4"/>
      <c r="B925" s="5"/>
      <c r="C925" s="5"/>
      <c r="D925" s="5"/>
      <c r="E925" s="5"/>
      <c r="F925" s="4"/>
      <c r="G925" s="4"/>
      <c r="H925" s="5"/>
      <c r="I925" s="4"/>
      <c r="J925" s="4"/>
      <c r="K925" s="4"/>
      <c r="L925" s="4"/>
      <c r="M925" s="4"/>
      <c r="N925" s="4"/>
      <c r="O925" s="4"/>
      <c r="P925" s="6">
        <f>IF(D925="","",SUBSTITUTE(SUBSTITUTE(SUBSTITUTE(SUBSTITUTE(SUBSTITUTE(SUBSTITUTE(SUBSTITUTE(TRIM(D925),".",""),"/",""),"-","")," ",""),"(",""),")",""),"+",""))</f>
      </c>
      <c r="Q925" s="6">
        <f>IF(P925="","",IF(LEN(P925)&lt;&gt;14,"ERRO: "&amp;LEN(P925)&amp;" dígitos",IF(NOT(ISNUMBER(VALUE(P925))),"ERRO: não numérico",IF(LEN(SUBSTITUTE(P925,LEFT(P925,1),""))=0,"ERRO: dígitos repetidos",IF(AND(VALUE(MID(P925,13,1))=IF(MOD(SUMPRODUCT(--MID(P925,{1,2,3,4,5,6,7,8,9,10,11,12},1),{5,4,3,2,9,8,7,6,5,4,3,2}),11)&lt;2,0,11-MOD(SUMPRODUCT(--MID(P925,{1,2,3,4,5,6,7,8,9,10,11,12},1),{5,4,3,2,9,8,7,6,5,4,3,2}),11)),VALUE(MID(P925,14,1))=IF(MOD(SUMPRODUCT(--MID(P925,{1,2,3,4,5,6,7,8,9,10,11,12,13},1),{6,5,4,3,2,9,8,7,6,5,4,3,2}),11)&lt;2,0,11-MOD(SUMPRODUCT(--MID(P925,{1,2,3,4,5,6,7,8,9,10,11,12,13},1),{6,5,4,3,2,9,8,7,6,5,4,3,2}),11))),"OK","ERRO: dígito verificador")))))</f>
      </c>
      <c r="R925" s="6">
        <f>IF(P925="","",IF(COUNTIF($P$2:$P$1001,P925)&gt;1,"DUPLICADO","OK"))</f>
      </c>
      <c r="S925" s="6">
        <f>IF(AND(J925="",K925=""),"vazio",IF(AND(OR(J925="",LEN(SUBSTITUTE(SUBSTITUTE(SUBSTITUTE(SUBSTITUTE(SUBSTITUTE(SUBSTITUTE(SUBSTITUTE(TRIM(J925),".",""),"/",""),"-","")," ",""),"(",""),")",""),"+",""))=10,LEN(SUBSTITUTE(SUBSTITUTE(SUBSTITUTE(SUBSTITUTE(SUBSTITUTE(SUBSTITUTE(SUBSTITUTE(TRIM(J925),".",""),"/",""),"-","")," ",""),"(",""),")",""),"+",""))=11),OR(K925="",LEN(SUBSTITUTE(SUBSTITUTE(SUBSTITUTE(SUBSTITUTE(SUBSTITUTE(SUBSTITUTE(SUBSTITUTE(TRIM(K925),".",""),"/",""),"-","")," ",""),"(",""),")",""),"+",""))=10,LEN(SUBSTITUTE(SUBSTITUTE(SUBSTITUTE(SUBSTITUTE(SUBSTITUTE(SUBSTITUTE(SUBSTITUTE(TRIM(K925),".",""),"/",""),"-","")," ",""),"(",""),")",""),"+",""))=11)),"OK","ERRO: use DDD + número (10 ou 11 dígitos)"))</f>
      </c>
      <c r="T925" s="6">
        <f>IF(L925="","vazio",IF(AND(ISNUMBER(FIND("@",L925)),ISNUMBER(FIND(".",MID(L925,FIND("@",L925),99))),NOT(ISNUMBER(FIND(" ",TRIM(L925)))),NOT(ISNUMBER(FIND(";",L925))),NOT(ISNUMBER(FIND(",",L925)))),"OK","ERRO: um e-mail válido por linha"))</f>
      </c>
      <c r="U925" s="6">
        <f>IF(COUNTA(A925:O925)=0,"",IF(AND(B925&lt;&gt;"",C925&lt;&gt;"",D925&lt;&gt;"",E925&lt;&gt;"",H925&lt;&gt;"",OR(J925&lt;&gt;"",L925&lt;&gt;"")),"OK","ERRO: faltam "&amp;IF(B925="","Proprietário; ","")&amp;IF(C925="","Origem; ","")&amp;IF(D925="","CNPJ; ","")&amp;IF(E925="","Razão Social; ","")&amp;IF(H925="","Sobrenome; ","")&amp;IF(AND(J925="",L925=""),"telefone ou e-mail; ","")))</f>
      </c>
      <c r="V925" s="6">
        <f>IF(COUNTA(A925:O925)=0,"",IF(AND(Q925="OK",R925="OK",LEFT(S925,4)&lt;&gt;"ERRO",LEFT(T925,4)&lt;&gt;"ERRO",U925="OK"),"OK","REVISAR"))</f>
      </c>
    </row>
    <row r="926">
      <c r="A926" s="4"/>
      <c r="B926" s="5"/>
      <c r="C926" s="5"/>
      <c r="D926" s="5"/>
      <c r="E926" s="5"/>
      <c r="F926" s="4"/>
      <c r="G926" s="4"/>
      <c r="H926" s="5"/>
      <c r="I926" s="4"/>
      <c r="J926" s="4"/>
      <c r="K926" s="4"/>
      <c r="L926" s="4"/>
      <c r="M926" s="4"/>
      <c r="N926" s="4"/>
      <c r="O926" s="4"/>
      <c r="P926" s="6">
        <f>IF(D926="","",SUBSTITUTE(SUBSTITUTE(SUBSTITUTE(SUBSTITUTE(SUBSTITUTE(SUBSTITUTE(SUBSTITUTE(TRIM(D926),".",""),"/",""),"-","")," ",""),"(",""),")",""),"+",""))</f>
      </c>
      <c r="Q926" s="6">
        <f>IF(P926="","",IF(LEN(P926)&lt;&gt;14,"ERRO: "&amp;LEN(P926)&amp;" dígitos",IF(NOT(ISNUMBER(VALUE(P926))),"ERRO: não numérico",IF(LEN(SUBSTITUTE(P926,LEFT(P926,1),""))=0,"ERRO: dígitos repetidos",IF(AND(VALUE(MID(P926,13,1))=IF(MOD(SUMPRODUCT(--MID(P926,{1,2,3,4,5,6,7,8,9,10,11,12},1),{5,4,3,2,9,8,7,6,5,4,3,2}),11)&lt;2,0,11-MOD(SUMPRODUCT(--MID(P926,{1,2,3,4,5,6,7,8,9,10,11,12},1),{5,4,3,2,9,8,7,6,5,4,3,2}),11)),VALUE(MID(P926,14,1))=IF(MOD(SUMPRODUCT(--MID(P926,{1,2,3,4,5,6,7,8,9,10,11,12,13},1),{6,5,4,3,2,9,8,7,6,5,4,3,2}),11)&lt;2,0,11-MOD(SUMPRODUCT(--MID(P926,{1,2,3,4,5,6,7,8,9,10,11,12,13},1),{6,5,4,3,2,9,8,7,6,5,4,3,2}),11))),"OK","ERRO: dígito verificador")))))</f>
      </c>
      <c r="R926" s="6">
        <f>IF(P926="","",IF(COUNTIF($P$2:$P$1001,P926)&gt;1,"DUPLICADO","OK"))</f>
      </c>
      <c r="S926" s="6">
        <f>IF(AND(J926="",K926=""),"vazio",IF(AND(OR(J926="",LEN(SUBSTITUTE(SUBSTITUTE(SUBSTITUTE(SUBSTITUTE(SUBSTITUTE(SUBSTITUTE(SUBSTITUTE(TRIM(J926),".",""),"/",""),"-","")," ",""),"(",""),")",""),"+",""))=10,LEN(SUBSTITUTE(SUBSTITUTE(SUBSTITUTE(SUBSTITUTE(SUBSTITUTE(SUBSTITUTE(SUBSTITUTE(TRIM(J926),".",""),"/",""),"-","")," ",""),"(",""),")",""),"+",""))=11),OR(K926="",LEN(SUBSTITUTE(SUBSTITUTE(SUBSTITUTE(SUBSTITUTE(SUBSTITUTE(SUBSTITUTE(SUBSTITUTE(TRIM(K926),".",""),"/",""),"-","")," ",""),"(",""),")",""),"+",""))=10,LEN(SUBSTITUTE(SUBSTITUTE(SUBSTITUTE(SUBSTITUTE(SUBSTITUTE(SUBSTITUTE(SUBSTITUTE(TRIM(K926),".",""),"/",""),"-","")," ",""),"(",""),")",""),"+",""))=11)),"OK","ERRO: use DDD + número (10 ou 11 dígitos)"))</f>
      </c>
      <c r="T926" s="6">
        <f>IF(L926="","vazio",IF(AND(ISNUMBER(FIND("@",L926)),ISNUMBER(FIND(".",MID(L926,FIND("@",L926),99))),NOT(ISNUMBER(FIND(" ",TRIM(L926)))),NOT(ISNUMBER(FIND(";",L926))),NOT(ISNUMBER(FIND(",",L926)))),"OK","ERRO: um e-mail válido por linha"))</f>
      </c>
      <c r="U926" s="6">
        <f>IF(COUNTA(A926:O926)=0,"",IF(AND(B926&lt;&gt;"",C926&lt;&gt;"",D926&lt;&gt;"",E926&lt;&gt;"",H926&lt;&gt;"",OR(J926&lt;&gt;"",L926&lt;&gt;"")),"OK","ERRO: faltam "&amp;IF(B926="","Proprietário; ","")&amp;IF(C926="","Origem; ","")&amp;IF(D926="","CNPJ; ","")&amp;IF(E926="","Razão Social; ","")&amp;IF(H926="","Sobrenome; ","")&amp;IF(AND(J926="",L926=""),"telefone ou e-mail; ","")))</f>
      </c>
      <c r="V926" s="6">
        <f>IF(COUNTA(A926:O926)=0,"",IF(AND(Q926="OK",R926="OK",LEFT(S926,4)&lt;&gt;"ERRO",LEFT(T926,4)&lt;&gt;"ERRO",U926="OK"),"OK","REVISAR"))</f>
      </c>
    </row>
    <row r="927">
      <c r="A927" s="4"/>
      <c r="B927" s="5"/>
      <c r="C927" s="5"/>
      <c r="D927" s="5"/>
      <c r="E927" s="5"/>
      <c r="F927" s="4"/>
      <c r="G927" s="4"/>
      <c r="H927" s="5"/>
      <c r="I927" s="4"/>
      <c r="J927" s="4"/>
      <c r="K927" s="4"/>
      <c r="L927" s="4"/>
      <c r="M927" s="4"/>
      <c r="N927" s="4"/>
      <c r="O927" s="4"/>
      <c r="P927" s="6">
        <f>IF(D927="","",SUBSTITUTE(SUBSTITUTE(SUBSTITUTE(SUBSTITUTE(SUBSTITUTE(SUBSTITUTE(SUBSTITUTE(TRIM(D927),".",""),"/",""),"-","")," ",""),"(",""),")",""),"+",""))</f>
      </c>
      <c r="Q927" s="6">
        <f>IF(P927="","",IF(LEN(P927)&lt;&gt;14,"ERRO: "&amp;LEN(P927)&amp;" dígitos",IF(NOT(ISNUMBER(VALUE(P927))),"ERRO: não numérico",IF(LEN(SUBSTITUTE(P927,LEFT(P927,1),""))=0,"ERRO: dígitos repetidos",IF(AND(VALUE(MID(P927,13,1))=IF(MOD(SUMPRODUCT(--MID(P927,{1,2,3,4,5,6,7,8,9,10,11,12},1),{5,4,3,2,9,8,7,6,5,4,3,2}),11)&lt;2,0,11-MOD(SUMPRODUCT(--MID(P927,{1,2,3,4,5,6,7,8,9,10,11,12},1),{5,4,3,2,9,8,7,6,5,4,3,2}),11)),VALUE(MID(P927,14,1))=IF(MOD(SUMPRODUCT(--MID(P927,{1,2,3,4,5,6,7,8,9,10,11,12,13},1),{6,5,4,3,2,9,8,7,6,5,4,3,2}),11)&lt;2,0,11-MOD(SUMPRODUCT(--MID(P927,{1,2,3,4,5,6,7,8,9,10,11,12,13},1),{6,5,4,3,2,9,8,7,6,5,4,3,2}),11))),"OK","ERRO: dígito verificador")))))</f>
      </c>
      <c r="R927" s="6">
        <f>IF(P927="","",IF(COUNTIF($P$2:$P$1001,P927)&gt;1,"DUPLICADO","OK"))</f>
      </c>
      <c r="S927" s="6">
        <f>IF(AND(J927="",K927=""),"vazio",IF(AND(OR(J927="",LEN(SUBSTITUTE(SUBSTITUTE(SUBSTITUTE(SUBSTITUTE(SUBSTITUTE(SUBSTITUTE(SUBSTITUTE(TRIM(J927),".",""),"/",""),"-","")," ",""),"(",""),")",""),"+",""))=10,LEN(SUBSTITUTE(SUBSTITUTE(SUBSTITUTE(SUBSTITUTE(SUBSTITUTE(SUBSTITUTE(SUBSTITUTE(TRIM(J927),".",""),"/",""),"-","")," ",""),"(",""),")",""),"+",""))=11),OR(K927="",LEN(SUBSTITUTE(SUBSTITUTE(SUBSTITUTE(SUBSTITUTE(SUBSTITUTE(SUBSTITUTE(SUBSTITUTE(TRIM(K927),".",""),"/",""),"-","")," ",""),"(",""),")",""),"+",""))=10,LEN(SUBSTITUTE(SUBSTITUTE(SUBSTITUTE(SUBSTITUTE(SUBSTITUTE(SUBSTITUTE(SUBSTITUTE(TRIM(K927),".",""),"/",""),"-","")," ",""),"(",""),")",""),"+",""))=11)),"OK","ERRO: use DDD + número (10 ou 11 dígitos)"))</f>
      </c>
      <c r="T927" s="6">
        <f>IF(L927="","vazio",IF(AND(ISNUMBER(FIND("@",L927)),ISNUMBER(FIND(".",MID(L927,FIND("@",L927),99))),NOT(ISNUMBER(FIND(" ",TRIM(L927)))),NOT(ISNUMBER(FIND(";",L927))),NOT(ISNUMBER(FIND(",",L927)))),"OK","ERRO: um e-mail válido por linha"))</f>
      </c>
      <c r="U927" s="6">
        <f>IF(COUNTA(A927:O927)=0,"",IF(AND(B927&lt;&gt;"",C927&lt;&gt;"",D927&lt;&gt;"",E927&lt;&gt;"",H927&lt;&gt;"",OR(J927&lt;&gt;"",L927&lt;&gt;"")),"OK","ERRO: faltam "&amp;IF(B927="","Proprietário; ","")&amp;IF(C927="","Origem; ","")&amp;IF(D927="","CNPJ; ","")&amp;IF(E927="","Razão Social; ","")&amp;IF(H927="","Sobrenome; ","")&amp;IF(AND(J927="",L927=""),"telefone ou e-mail; ","")))</f>
      </c>
      <c r="V927" s="6">
        <f>IF(COUNTA(A927:O927)=0,"",IF(AND(Q927="OK",R927="OK",LEFT(S927,4)&lt;&gt;"ERRO",LEFT(T927,4)&lt;&gt;"ERRO",U927="OK"),"OK","REVISAR"))</f>
      </c>
    </row>
    <row r="928">
      <c r="A928" s="4"/>
      <c r="B928" s="5"/>
      <c r="C928" s="5"/>
      <c r="D928" s="5"/>
      <c r="E928" s="5"/>
      <c r="F928" s="4"/>
      <c r="G928" s="4"/>
      <c r="H928" s="5"/>
      <c r="I928" s="4"/>
      <c r="J928" s="4"/>
      <c r="K928" s="4"/>
      <c r="L928" s="4"/>
      <c r="M928" s="4"/>
      <c r="N928" s="4"/>
      <c r="O928" s="4"/>
      <c r="P928" s="6">
        <f>IF(D928="","",SUBSTITUTE(SUBSTITUTE(SUBSTITUTE(SUBSTITUTE(SUBSTITUTE(SUBSTITUTE(SUBSTITUTE(TRIM(D928),".",""),"/",""),"-","")," ",""),"(",""),")",""),"+",""))</f>
      </c>
      <c r="Q928" s="6">
        <f>IF(P928="","",IF(LEN(P928)&lt;&gt;14,"ERRO: "&amp;LEN(P928)&amp;" dígitos",IF(NOT(ISNUMBER(VALUE(P928))),"ERRO: não numérico",IF(LEN(SUBSTITUTE(P928,LEFT(P928,1),""))=0,"ERRO: dígitos repetidos",IF(AND(VALUE(MID(P928,13,1))=IF(MOD(SUMPRODUCT(--MID(P928,{1,2,3,4,5,6,7,8,9,10,11,12},1),{5,4,3,2,9,8,7,6,5,4,3,2}),11)&lt;2,0,11-MOD(SUMPRODUCT(--MID(P928,{1,2,3,4,5,6,7,8,9,10,11,12},1),{5,4,3,2,9,8,7,6,5,4,3,2}),11)),VALUE(MID(P928,14,1))=IF(MOD(SUMPRODUCT(--MID(P928,{1,2,3,4,5,6,7,8,9,10,11,12,13},1),{6,5,4,3,2,9,8,7,6,5,4,3,2}),11)&lt;2,0,11-MOD(SUMPRODUCT(--MID(P928,{1,2,3,4,5,6,7,8,9,10,11,12,13},1),{6,5,4,3,2,9,8,7,6,5,4,3,2}),11))),"OK","ERRO: dígito verificador")))))</f>
      </c>
      <c r="R928" s="6">
        <f>IF(P928="","",IF(COUNTIF($P$2:$P$1001,P928)&gt;1,"DUPLICADO","OK"))</f>
      </c>
      <c r="S928" s="6">
        <f>IF(AND(J928="",K928=""),"vazio",IF(AND(OR(J928="",LEN(SUBSTITUTE(SUBSTITUTE(SUBSTITUTE(SUBSTITUTE(SUBSTITUTE(SUBSTITUTE(SUBSTITUTE(TRIM(J928),".",""),"/",""),"-","")," ",""),"(",""),")",""),"+",""))=10,LEN(SUBSTITUTE(SUBSTITUTE(SUBSTITUTE(SUBSTITUTE(SUBSTITUTE(SUBSTITUTE(SUBSTITUTE(TRIM(J928),".",""),"/",""),"-","")," ",""),"(",""),")",""),"+",""))=11),OR(K928="",LEN(SUBSTITUTE(SUBSTITUTE(SUBSTITUTE(SUBSTITUTE(SUBSTITUTE(SUBSTITUTE(SUBSTITUTE(TRIM(K928),".",""),"/",""),"-","")," ",""),"(",""),")",""),"+",""))=10,LEN(SUBSTITUTE(SUBSTITUTE(SUBSTITUTE(SUBSTITUTE(SUBSTITUTE(SUBSTITUTE(SUBSTITUTE(TRIM(K928),".",""),"/",""),"-","")," ",""),"(",""),")",""),"+",""))=11)),"OK","ERRO: use DDD + número (10 ou 11 dígitos)"))</f>
      </c>
      <c r="T928" s="6">
        <f>IF(L928="","vazio",IF(AND(ISNUMBER(FIND("@",L928)),ISNUMBER(FIND(".",MID(L928,FIND("@",L928),99))),NOT(ISNUMBER(FIND(" ",TRIM(L928)))),NOT(ISNUMBER(FIND(";",L928))),NOT(ISNUMBER(FIND(",",L928)))),"OK","ERRO: um e-mail válido por linha"))</f>
      </c>
      <c r="U928" s="6">
        <f>IF(COUNTA(A928:O928)=0,"",IF(AND(B928&lt;&gt;"",C928&lt;&gt;"",D928&lt;&gt;"",E928&lt;&gt;"",H928&lt;&gt;"",OR(J928&lt;&gt;"",L928&lt;&gt;"")),"OK","ERRO: faltam "&amp;IF(B928="","Proprietário; ","")&amp;IF(C928="","Origem; ","")&amp;IF(D928="","CNPJ; ","")&amp;IF(E928="","Razão Social; ","")&amp;IF(H928="","Sobrenome; ","")&amp;IF(AND(J928="",L928=""),"telefone ou e-mail; ","")))</f>
      </c>
      <c r="V928" s="6">
        <f>IF(COUNTA(A928:O928)=0,"",IF(AND(Q928="OK",R928="OK",LEFT(S928,4)&lt;&gt;"ERRO",LEFT(T928,4)&lt;&gt;"ERRO",U928="OK"),"OK","REVISAR"))</f>
      </c>
    </row>
    <row r="929">
      <c r="A929" s="4"/>
      <c r="B929" s="5"/>
      <c r="C929" s="5"/>
      <c r="D929" s="5"/>
      <c r="E929" s="5"/>
      <c r="F929" s="4"/>
      <c r="G929" s="4"/>
      <c r="H929" s="5"/>
      <c r="I929" s="4"/>
      <c r="J929" s="4"/>
      <c r="K929" s="4"/>
      <c r="L929" s="4"/>
      <c r="M929" s="4"/>
      <c r="N929" s="4"/>
      <c r="O929" s="4"/>
      <c r="P929" s="6">
        <f>IF(D929="","",SUBSTITUTE(SUBSTITUTE(SUBSTITUTE(SUBSTITUTE(SUBSTITUTE(SUBSTITUTE(SUBSTITUTE(TRIM(D929),".",""),"/",""),"-","")," ",""),"(",""),")",""),"+",""))</f>
      </c>
      <c r="Q929" s="6">
        <f>IF(P929="","",IF(LEN(P929)&lt;&gt;14,"ERRO: "&amp;LEN(P929)&amp;" dígitos",IF(NOT(ISNUMBER(VALUE(P929))),"ERRO: não numérico",IF(LEN(SUBSTITUTE(P929,LEFT(P929,1),""))=0,"ERRO: dígitos repetidos",IF(AND(VALUE(MID(P929,13,1))=IF(MOD(SUMPRODUCT(--MID(P929,{1,2,3,4,5,6,7,8,9,10,11,12},1),{5,4,3,2,9,8,7,6,5,4,3,2}),11)&lt;2,0,11-MOD(SUMPRODUCT(--MID(P929,{1,2,3,4,5,6,7,8,9,10,11,12},1),{5,4,3,2,9,8,7,6,5,4,3,2}),11)),VALUE(MID(P929,14,1))=IF(MOD(SUMPRODUCT(--MID(P929,{1,2,3,4,5,6,7,8,9,10,11,12,13},1),{6,5,4,3,2,9,8,7,6,5,4,3,2}),11)&lt;2,0,11-MOD(SUMPRODUCT(--MID(P929,{1,2,3,4,5,6,7,8,9,10,11,12,13},1),{6,5,4,3,2,9,8,7,6,5,4,3,2}),11))),"OK","ERRO: dígito verificador")))))</f>
      </c>
      <c r="R929" s="6">
        <f>IF(P929="","",IF(COUNTIF($P$2:$P$1001,P929)&gt;1,"DUPLICADO","OK"))</f>
      </c>
      <c r="S929" s="6">
        <f>IF(AND(J929="",K929=""),"vazio",IF(AND(OR(J929="",LEN(SUBSTITUTE(SUBSTITUTE(SUBSTITUTE(SUBSTITUTE(SUBSTITUTE(SUBSTITUTE(SUBSTITUTE(TRIM(J929),".",""),"/",""),"-","")," ",""),"(",""),")",""),"+",""))=10,LEN(SUBSTITUTE(SUBSTITUTE(SUBSTITUTE(SUBSTITUTE(SUBSTITUTE(SUBSTITUTE(SUBSTITUTE(TRIM(J929),".",""),"/",""),"-","")," ",""),"(",""),")",""),"+",""))=11),OR(K929="",LEN(SUBSTITUTE(SUBSTITUTE(SUBSTITUTE(SUBSTITUTE(SUBSTITUTE(SUBSTITUTE(SUBSTITUTE(TRIM(K929),".",""),"/",""),"-","")," ",""),"(",""),")",""),"+",""))=10,LEN(SUBSTITUTE(SUBSTITUTE(SUBSTITUTE(SUBSTITUTE(SUBSTITUTE(SUBSTITUTE(SUBSTITUTE(TRIM(K929),".",""),"/",""),"-","")," ",""),"(",""),")",""),"+",""))=11)),"OK","ERRO: use DDD + número (10 ou 11 dígitos)"))</f>
      </c>
      <c r="T929" s="6">
        <f>IF(L929="","vazio",IF(AND(ISNUMBER(FIND("@",L929)),ISNUMBER(FIND(".",MID(L929,FIND("@",L929),99))),NOT(ISNUMBER(FIND(" ",TRIM(L929)))),NOT(ISNUMBER(FIND(";",L929))),NOT(ISNUMBER(FIND(",",L929)))),"OK","ERRO: um e-mail válido por linha"))</f>
      </c>
      <c r="U929" s="6">
        <f>IF(COUNTA(A929:O929)=0,"",IF(AND(B929&lt;&gt;"",C929&lt;&gt;"",D929&lt;&gt;"",E929&lt;&gt;"",H929&lt;&gt;"",OR(J929&lt;&gt;"",L929&lt;&gt;"")),"OK","ERRO: faltam "&amp;IF(B929="","Proprietário; ","")&amp;IF(C929="","Origem; ","")&amp;IF(D929="","CNPJ; ","")&amp;IF(E929="","Razão Social; ","")&amp;IF(H929="","Sobrenome; ","")&amp;IF(AND(J929="",L929=""),"telefone ou e-mail; ","")))</f>
      </c>
      <c r="V929" s="6">
        <f>IF(COUNTA(A929:O929)=0,"",IF(AND(Q929="OK",R929="OK",LEFT(S929,4)&lt;&gt;"ERRO",LEFT(T929,4)&lt;&gt;"ERRO",U929="OK"),"OK","REVISAR"))</f>
      </c>
    </row>
    <row r="930">
      <c r="A930" s="4"/>
      <c r="B930" s="5"/>
      <c r="C930" s="5"/>
      <c r="D930" s="5"/>
      <c r="E930" s="5"/>
      <c r="F930" s="4"/>
      <c r="G930" s="4"/>
      <c r="H930" s="5"/>
      <c r="I930" s="4"/>
      <c r="J930" s="4"/>
      <c r="K930" s="4"/>
      <c r="L930" s="4"/>
      <c r="M930" s="4"/>
      <c r="N930" s="4"/>
      <c r="O930" s="4"/>
      <c r="P930" s="6">
        <f>IF(D930="","",SUBSTITUTE(SUBSTITUTE(SUBSTITUTE(SUBSTITUTE(SUBSTITUTE(SUBSTITUTE(SUBSTITUTE(TRIM(D930),".",""),"/",""),"-","")," ",""),"(",""),")",""),"+",""))</f>
      </c>
      <c r="Q930" s="6">
        <f>IF(P930="","",IF(LEN(P930)&lt;&gt;14,"ERRO: "&amp;LEN(P930)&amp;" dígitos",IF(NOT(ISNUMBER(VALUE(P930))),"ERRO: não numérico",IF(LEN(SUBSTITUTE(P930,LEFT(P930,1),""))=0,"ERRO: dígitos repetidos",IF(AND(VALUE(MID(P930,13,1))=IF(MOD(SUMPRODUCT(--MID(P930,{1,2,3,4,5,6,7,8,9,10,11,12},1),{5,4,3,2,9,8,7,6,5,4,3,2}),11)&lt;2,0,11-MOD(SUMPRODUCT(--MID(P930,{1,2,3,4,5,6,7,8,9,10,11,12},1),{5,4,3,2,9,8,7,6,5,4,3,2}),11)),VALUE(MID(P930,14,1))=IF(MOD(SUMPRODUCT(--MID(P930,{1,2,3,4,5,6,7,8,9,10,11,12,13},1),{6,5,4,3,2,9,8,7,6,5,4,3,2}),11)&lt;2,0,11-MOD(SUMPRODUCT(--MID(P930,{1,2,3,4,5,6,7,8,9,10,11,12,13},1),{6,5,4,3,2,9,8,7,6,5,4,3,2}),11))),"OK","ERRO: dígito verificador")))))</f>
      </c>
      <c r="R930" s="6">
        <f>IF(P930="","",IF(COUNTIF($P$2:$P$1001,P930)&gt;1,"DUPLICADO","OK"))</f>
      </c>
      <c r="S930" s="6">
        <f>IF(AND(J930="",K930=""),"vazio",IF(AND(OR(J930="",LEN(SUBSTITUTE(SUBSTITUTE(SUBSTITUTE(SUBSTITUTE(SUBSTITUTE(SUBSTITUTE(SUBSTITUTE(TRIM(J930),".",""),"/",""),"-","")," ",""),"(",""),")",""),"+",""))=10,LEN(SUBSTITUTE(SUBSTITUTE(SUBSTITUTE(SUBSTITUTE(SUBSTITUTE(SUBSTITUTE(SUBSTITUTE(TRIM(J930),".",""),"/",""),"-","")," ",""),"(",""),")",""),"+",""))=11),OR(K930="",LEN(SUBSTITUTE(SUBSTITUTE(SUBSTITUTE(SUBSTITUTE(SUBSTITUTE(SUBSTITUTE(SUBSTITUTE(TRIM(K930),".",""),"/",""),"-","")," ",""),"(",""),")",""),"+",""))=10,LEN(SUBSTITUTE(SUBSTITUTE(SUBSTITUTE(SUBSTITUTE(SUBSTITUTE(SUBSTITUTE(SUBSTITUTE(TRIM(K930),".",""),"/",""),"-","")," ",""),"(",""),")",""),"+",""))=11)),"OK","ERRO: use DDD + número (10 ou 11 dígitos)"))</f>
      </c>
      <c r="T930" s="6">
        <f>IF(L930="","vazio",IF(AND(ISNUMBER(FIND("@",L930)),ISNUMBER(FIND(".",MID(L930,FIND("@",L930),99))),NOT(ISNUMBER(FIND(" ",TRIM(L930)))),NOT(ISNUMBER(FIND(";",L930))),NOT(ISNUMBER(FIND(",",L930)))),"OK","ERRO: um e-mail válido por linha"))</f>
      </c>
      <c r="U930" s="6">
        <f>IF(COUNTA(A930:O930)=0,"",IF(AND(B930&lt;&gt;"",C930&lt;&gt;"",D930&lt;&gt;"",E930&lt;&gt;"",H930&lt;&gt;"",OR(J930&lt;&gt;"",L930&lt;&gt;"")),"OK","ERRO: faltam "&amp;IF(B930="","Proprietário; ","")&amp;IF(C930="","Origem; ","")&amp;IF(D930="","CNPJ; ","")&amp;IF(E930="","Razão Social; ","")&amp;IF(H930="","Sobrenome; ","")&amp;IF(AND(J930="",L930=""),"telefone ou e-mail; ","")))</f>
      </c>
      <c r="V930" s="6">
        <f>IF(COUNTA(A930:O930)=0,"",IF(AND(Q930="OK",R930="OK",LEFT(S930,4)&lt;&gt;"ERRO",LEFT(T930,4)&lt;&gt;"ERRO",U930="OK"),"OK","REVISAR"))</f>
      </c>
    </row>
    <row r="931">
      <c r="A931" s="4"/>
      <c r="B931" s="5"/>
      <c r="C931" s="5"/>
      <c r="D931" s="5"/>
      <c r="E931" s="5"/>
      <c r="F931" s="4"/>
      <c r="G931" s="4"/>
      <c r="H931" s="5"/>
      <c r="I931" s="4"/>
      <c r="J931" s="4"/>
      <c r="K931" s="4"/>
      <c r="L931" s="4"/>
      <c r="M931" s="4"/>
      <c r="N931" s="4"/>
      <c r="O931" s="4"/>
      <c r="P931" s="6">
        <f>IF(D931="","",SUBSTITUTE(SUBSTITUTE(SUBSTITUTE(SUBSTITUTE(SUBSTITUTE(SUBSTITUTE(SUBSTITUTE(TRIM(D931),".",""),"/",""),"-","")," ",""),"(",""),")",""),"+",""))</f>
      </c>
      <c r="Q931" s="6">
        <f>IF(P931="","",IF(LEN(P931)&lt;&gt;14,"ERRO: "&amp;LEN(P931)&amp;" dígitos",IF(NOT(ISNUMBER(VALUE(P931))),"ERRO: não numérico",IF(LEN(SUBSTITUTE(P931,LEFT(P931,1),""))=0,"ERRO: dígitos repetidos",IF(AND(VALUE(MID(P931,13,1))=IF(MOD(SUMPRODUCT(--MID(P931,{1,2,3,4,5,6,7,8,9,10,11,12},1),{5,4,3,2,9,8,7,6,5,4,3,2}),11)&lt;2,0,11-MOD(SUMPRODUCT(--MID(P931,{1,2,3,4,5,6,7,8,9,10,11,12},1),{5,4,3,2,9,8,7,6,5,4,3,2}),11)),VALUE(MID(P931,14,1))=IF(MOD(SUMPRODUCT(--MID(P931,{1,2,3,4,5,6,7,8,9,10,11,12,13},1),{6,5,4,3,2,9,8,7,6,5,4,3,2}),11)&lt;2,0,11-MOD(SUMPRODUCT(--MID(P931,{1,2,3,4,5,6,7,8,9,10,11,12,13},1),{6,5,4,3,2,9,8,7,6,5,4,3,2}),11))),"OK","ERRO: dígito verificador")))))</f>
      </c>
      <c r="R931" s="6">
        <f>IF(P931="","",IF(COUNTIF($P$2:$P$1001,P931)&gt;1,"DUPLICADO","OK"))</f>
      </c>
      <c r="S931" s="6">
        <f>IF(AND(J931="",K931=""),"vazio",IF(AND(OR(J931="",LEN(SUBSTITUTE(SUBSTITUTE(SUBSTITUTE(SUBSTITUTE(SUBSTITUTE(SUBSTITUTE(SUBSTITUTE(TRIM(J931),".",""),"/",""),"-","")," ",""),"(",""),")",""),"+",""))=10,LEN(SUBSTITUTE(SUBSTITUTE(SUBSTITUTE(SUBSTITUTE(SUBSTITUTE(SUBSTITUTE(SUBSTITUTE(TRIM(J931),".",""),"/",""),"-","")," ",""),"(",""),")",""),"+",""))=11),OR(K931="",LEN(SUBSTITUTE(SUBSTITUTE(SUBSTITUTE(SUBSTITUTE(SUBSTITUTE(SUBSTITUTE(SUBSTITUTE(TRIM(K931),".",""),"/",""),"-","")," ",""),"(",""),")",""),"+",""))=10,LEN(SUBSTITUTE(SUBSTITUTE(SUBSTITUTE(SUBSTITUTE(SUBSTITUTE(SUBSTITUTE(SUBSTITUTE(TRIM(K931),".",""),"/",""),"-","")," ",""),"(",""),")",""),"+",""))=11)),"OK","ERRO: use DDD + número (10 ou 11 dígitos)"))</f>
      </c>
      <c r="T931" s="6">
        <f>IF(L931="","vazio",IF(AND(ISNUMBER(FIND("@",L931)),ISNUMBER(FIND(".",MID(L931,FIND("@",L931),99))),NOT(ISNUMBER(FIND(" ",TRIM(L931)))),NOT(ISNUMBER(FIND(";",L931))),NOT(ISNUMBER(FIND(",",L931)))),"OK","ERRO: um e-mail válido por linha"))</f>
      </c>
      <c r="U931" s="6">
        <f>IF(COUNTA(A931:O931)=0,"",IF(AND(B931&lt;&gt;"",C931&lt;&gt;"",D931&lt;&gt;"",E931&lt;&gt;"",H931&lt;&gt;"",OR(J931&lt;&gt;"",L931&lt;&gt;"")),"OK","ERRO: faltam "&amp;IF(B931="","Proprietário; ","")&amp;IF(C931="","Origem; ","")&amp;IF(D931="","CNPJ; ","")&amp;IF(E931="","Razão Social; ","")&amp;IF(H931="","Sobrenome; ","")&amp;IF(AND(J931="",L931=""),"telefone ou e-mail; ","")))</f>
      </c>
      <c r="V931" s="6">
        <f>IF(COUNTA(A931:O931)=0,"",IF(AND(Q931="OK",R931="OK",LEFT(S931,4)&lt;&gt;"ERRO",LEFT(T931,4)&lt;&gt;"ERRO",U931="OK"),"OK","REVISAR"))</f>
      </c>
    </row>
    <row r="932">
      <c r="A932" s="4"/>
      <c r="B932" s="5"/>
      <c r="C932" s="5"/>
      <c r="D932" s="5"/>
      <c r="E932" s="5"/>
      <c r="F932" s="4"/>
      <c r="G932" s="4"/>
      <c r="H932" s="5"/>
      <c r="I932" s="4"/>
      <c r="J932" s="4"/>
      <c r="K932" s="4"/>
      <c r="L932" s="4"/>
      <c r="M932" s="4"/>
      <c r="N932" s="4"/>
      <c r="O932" s="4"/>
      <c r="P932" s="6">
        <f>IF(D932="","",SUBSTITUTE(SUBSTITUTE(SUBSTITUTE(SUBSTITUTE(SUBSTITUTE(SUBSTITUTE(SUBSTITUTE(TRIM(D932),".",""),"/",""),"-","")," ",""),"(",""),")",""),"+",""))</f>
      </c>
      <c r="Q932" s="6">
        <f>IF(P932="","",IF(LEN(P932)&lt;&gt;14,"ERRO: "&amp;LEN(P932)&amp;" dígitos",IF(NOT(ISNUMBER(VALUE(P932))),"ERRO: não numérico",IF(LEN(SUBSTITUTE(P932,LEFT(P932,1),""))=0,"ERRO: dígitos repetidos",IF(AND(VALUE(MID(P932,13,1))=IF(MOD(SUMPRODUCT(--MID(P932,{1,2,3,4,5,6,7,8,9,10,11,12},1),{5,4,3,2,9,8,7,6,5,4,3,2}),11)&lt;2,0,11-MOD(SUMPRODUCT(--MID(P932,{1,2,3,4,5,6,7,8,9,10,11,12},1),{5,4,3,2,9,8,7,6,5,4,3,2}),11)),VALUE(MID(P932,14,1))=IF(MOD(SUMPRODUCT(--MID(P932,{1,2,3,4,5,6,7,8,9,10,11,12,13},1),{6,5,4,3,2,9,8,7,6,5,4,3,2}),11)&lt;2,0,11-MOD(SUMPRODUCT(--MID(P932,{1,2,3,4,5,6,7,8,9,10,11,12,13},1),{6,5,4,3,2,9,8,7,6,5,4,3,2}),11))),"OK","ERRO: dígito verificador")))))</f>
      </c>
      <c r="R932" s="6">
        <f>IF(P932="","",IF(COUNTIF($P$2:$P$1001,P932)&gt;1,"DUPLICADO","OK"))</f>
      </c>
      <c r="S932" s="6">
        <f>IF(AND(J932="",K932=""),"vazio",IF(AND(OR(J932="",LEN(SUBSTITUTE(SUBSTITUTE(SUBSTITUTE(SUBSTITUTE(SUBSTITUTE(SUBSTITUTE(SUBSTITUTE(TRIM(J932),".",""),"/",""),"-","")," ",""),"(",""),")",""),"+",""))=10,LEN(SUBSTITUTE(SUBSTITUTE(SUBSTITUTE(SUBSTITUTE(SUBSTITUTE(SUBSTITUTE(SUBSTITUTE(TRIM(J932),".",""),"/",""),"-","")," ",""),"(",""),")",""),"+",""))=11),OR(K932="",LEN(SUBSTITUTE(SUBSTITUTE(SUBSTITUTE(SUBSTITUTE(SUBSTITUTE(SUBSTITUTE(SUBSTITUTE(TRIM(K932),".",""),"/",""),"-","")," ",""),"(",""),")",""),"+",""))=10,LEN(SUBSTITUTE(SUBSTITUTE(SUBSTITUTE(SUBSTITUTE(SUBSTITUTE(SUBSTITUTE(SUBSTITUTE(TRIM(K932),".",""),"/",""),"-","")," ",""),"(",""),")",""),"+",""))=11)),"OK","ERRO: use DDD + número (10 ou 11 dígitos)"))</f>
      </c>
      <c r="T932" s="6">
        <f>IF(L932="","vazio",IF(AND(ISNUMBER(FIND("@",L932)),ISNUMBER(FIND(".",MID(L932,FIND("@",L932),99))),NOT(ISNUMBER(FIND(" ",TRIM(L932)))),NOT(ISNUMBER(FIND(";",L932))),NOT(ISNUMBER(FIND(",",L932)))),"OK","ERRO: um e-mail válido por linha"))</f>
      </c>
      <c r="U932" s="6">
        <f>IF(COUNTA(A932:O932)=0,"",IF(AND(B932&lt;&gt;"",C932&lt;&gt;"",D932&lt;&gt;"",E932&lt;&gt;"",H932&lt;&gt;"",OR(J932&lt;&gt;"",L932&lt;&gt;"")),"OK","ERRO: faltam "&amp;IF(B932="","Proprietário; ","")&amp;IF(C932="","Origem; ","")&amp;IF(D932="","CNPJ; ","")&amp;IF(E932="","Razão Social; ","")&amp;IF(H932="","Sobrenome; ","")&amp;IF(AND(J932="",L932=""),"telefone ou e-mail; ","")))</f>
      </c>
      <c r="V932" s="6">
        <f>IF(COUNTA(A932:O932)=0,"",IF(AND(Q932="OK",R932="OK",LEFT(S932,4)&lt;&gt;"ERRO",LEFT(T932,4)&lt;&gt;"ERRO",U932="OK"),"OK","REVISAR"))</f>
      </c>
    </row>
    <row r="933">
      <c r="A933" s="4"/>
      <c r="B933" s="5"/>
      <c r="C933" s="5"/>
      <c r="D933" s="5"/>
      <c r="E933" s="5"/>
      <c r="F933" s="4"/>
      <c r="G933" s="4"/>
      <c r="H933" s="5"/>
      <c r="I933" s="4"/>
      <c r="J933" s="4"/>
      <c r="K933" s="4"/>
      <c r="L933" s="4"/>
      <c r="M933" s="4"/>
      <c r="N933" s="4"/>
      <c r="O933" s="4"/>
      <c r="P933" s="6">
        <f>IF(D933="","",SUBSTITUTE(SUBSTITUTE(SUBSTITUTE(SUBSTITUTE(SUBSTITUTE(SUBSTITUTE(SUBSTITUTE(TRIM(D933),".",""),"/",""),"-","")," ",""),"(",""),")",""),"+",""))</f>
      </c>
      <c r="Q933" s="6">
        <f>IF(P933="","",IF(LEN(P933)&lt;&gt;14,"ERRO: "&amp;LEN(P933)&amp;" dígitos",IF(NOT(ISNUMBER(VALUE(P933))),"ERRO: não numérico",IF(LEN(SUBSTITUTE(P933,LEFT(P933,1),""))=0,"ERRO: dígitos repetidos",IF(AND(VALUE(MID(P933,13,1))=IF(MOD(SUMPRODUCT(--MID(P933,{1,2,3,4,5,6,7,8,9,10,11,12},1),{5,4,3,2,9,8,7,6,5,4,3,2}),11)&lt;2,0,11-MOD(SUMPRODUCT(--MID(P933,{1,2,3,4,5,6,7,8,9,10,11,12},1),{5,4,3,2,9,8,7,6,5,4,3,2}),11)),VALUE(MID(P933,14,1))=IF(MOD(SUMPRODUCT(--MID(P933,{1,2,3,4,5,6,7,8,9,10,11,12,13},1),{6,5,4,3,2,9,8,7,6,5,4,3,2}),11)&lt;2,0,11-MOD(SUMPRODUCT(--MID(P933,{1,2,3,4,5,6,7,8,9,10,11,12,13},1),{6,5,4,3,2,9,8,7,6,5,4,3,2}),11))),"OK","ERRO: dígito verificador")))))</f>
      </c>
      <c r="R933" s="6">
        <f>IF(P933="","",IF(COUNTIF($P$2:$P$1001,P933)&gt;1,"DUPLICADO","OK"))</f>
      </c>
      <c r="S933" s="6">
        <f>IF(AND(J933="",K933=""),"vazio",IF(AND(OR(J933="",LEN(SUBSTITUTE(SUBSTITUTE(SUBSTITUTE(SUBSTITUTE(SUBSTITUTE(SUBSTITUTE(SUBSTITUTE(TRIM(J933),".",""),"/",""),"-","")," ",""),"(",""),")",""),"+",""))=10,LEN(SUBSTITUTE(SUBSTITUTE(SUBSTITUTE(SUBSTITUTE(SUBSTITUTE(SUBSTITUTE(SUBSTITUTE(TRIM(J933),".",""),"/",""),"-","")," ",""),"(",""),")",""),"+",""))=11),OR(K933="",LEN(SUBSTITUTE(SUBSTITUTE(SUBSTITUTE(SUBSTITUTE(SUBSTITUTE(SUBSTITUTE(SUBSTITUTE(TRIM(K933),".",""),"/",""),"-","")," ",""),"(",""),")",""),"+",""))=10,LEN(SUBSTITUTE(SUBSTITUTE(SUBSTITUTE(SUBSTITUTE(SUBSTITUTE(SUBSTITUTE(SUBSTITUTE(TRIM(K933),".",""),"/",""),"-","")," ",""),"(",""),")",""),"+",""))=11)),"OK","ERRO: use DDD + número (10 ou 11 dígitos)"))</f>
      </c>
      <c r="T933" s="6">
        <f>IF(L933="","vazio",IF(AND(ISNUMBER(FIND("@",L933)),ISNUMBER(FIND(".",MID(L933,FIND("@",L933),99))),NOT(ISNUMBER(FIND(" ",TRIM(L933)))),NOT(ISNUMBER(FIND(";",L933))),NOT(ISNUMBER(FIND(",",L933)))),"OK","ERRO: um e-mail válido por linha"))</f>
      </c>
      <c r="U933" s="6">
        <f>IF(COUNTA(A933:O933)=0,"",IF(AND(B933&lt;&gt;"",C933&lt;&gt;"",D933&lt;&gt;"",E933&lt;&gt;"",H933&lt;&gt;"",OR(J933&lt;&gt;"",L933&lt;&gt;"")),"OK","ERRO: faltam "&amp;IF(B933="","Proprietário; ","")&amp;IF(C933="","Origem; ","")&amp;IF(D933="","CNPJ; ","")&amp;IF(E933="","Razão Social; ","")&amp;IF(H933="","Sobrenome; ","")&amp;IF(AND(J933="",L933=""),"telefone ou e-mail; ","")))</f>
      </c>
      <c r="V933" s="6">
        <f>IF(COUNTA(A933:O933)=0,"",IF(AND(Q933="OK",R933="OK",LEFT(S933,4)&lt;&gt;"ERRO",LEFT(T933,4)&lt;&gt;"ERRO",U933="OK"),"OK","REVISAR"))</f>
      </c>
    </row>
    <row r="934">
      <c r="A934" s="4"/>
      <c r="B934" s="5"/>
      <c r="C934" s="5"/>
      <c r="D934" s="5"/>
      <c r="E934" s="5"/>
      <c r="F934" s="4"/>
      <c r="G934" s="4"/>
      <c r="H934" s="5"/>
      <c r="I934" s="4"/>
      <c r="J934" s="4"/>
      <c r="K934" s="4"/>
      <c r="L934" s="4"/>
      <c r="M934" s="4"/>
      <c r="N934" s="4"/>
      <c r="O934" s="4"/>
      <c r="P934" s="6">
        <f>IF(D934="","",SUBSTITUTE(SUBSTITUTE(SUBSTITUTE(SUBSTITUTE(SUBSTITUTE(SUBSTITUTE(SUBSTITUTE(TRIM(D934),".",""),"/",""),"-","")," ",""),"(",""),")",""),"+",""))</f>
      </c>
      <c r="Q934" s="6">
        <f>IF(P934="","",IF(LEN(P934)&lt;&gt;14,"ERRO: "&amp;LEN(P934)&amp;" dígitos",IF(NOT(ISNUMBER(VALUE(P934))),"ERRO: não numérico",IF(LEN(SUBSTITUTE(P934,LEFT(P934,1),""))=0,"ERRO: dígitos repetidos",IF(AND(VALUE(MID(P934,13,1))=IF(MOD(SUMPRODUCT(--MID(P934,{1,2,3,4,5,6,7,8,9,10,11,12},1),{5,4,3,2,9,8,7,6,5,4,3,2}),11)&lt;2,0,11-MOD(SUMPRODUCT(--MID(P934,{1,2,3,4,5,6,7,8,9,10,11,12},1),{5,4,3,2,9,8,7,6,5,4,3,2}),11)),VALUE(MID(P934,14,1))=IF(MOD(SUMPRODUCT(--MID(P934,{1,2,3,4,5,6,7,8,9,10,11,12,13},1),{6,5,4,3,2,9,8,7,6,5,4,3,2}),11)&lt;2,0,11-MOD(SUMPRODUCT(--MID(P934,{1,2,3,4,5,6,7,8,9,10,11,12,13},1),{6,5,4,3,2,9,8,7,6,5,4,3,2}),11))),"OK","ERRO: dígito verificador")))))</f>
      </c>
      <c r="R934" s="6">
        <f>IF(P934="","",IF(COUNTIF($P$2:$P$1001,P934)&gt;1,"DUPLICADO","OK"))</f>
      </c>
      <c r="S934" s="6">
        <f>IF(AND(J934="",K934=""),"vazio",IF(AND(OR(J934="",LEN(SUBSTITUTE(SUBSTITUTE(SUBSTITUTE(SUBSTITUTE(SUBSTITUTE(SUBSTITUTE(SUBSTITUTE(TRIM(J934),".",""),"/",""),"-","")," ",""),"(",""),")",""),"+",""))=10,LEN(SUBSTITUTE(SUBSTITUTE(SUBSTITUTE(SUBSTITUTE(SUBSTITUTE(SUBSTITUTE(SUBSTITUTE(TRIM(J934),".",""),"/",""),"-","")," ",""),"(",""),")",""),"+",""))=11),OR(K934="",LEN(SUBSTITUTE(SUBSTITUTE(SUBSTITUTE(SUBSTITUTE(SUBSTITUTE(SUBSTITUTE(SUBSTITUTE(TRIM(K934),".",""),"/",""),"-","")," ",""),"(",""),")",""),"+",""))=10,LEN(SUBSTITUTE(SUBSTITUTE(SUBSTITUTE(SUBSTITUTE(SUBSTITUTE(SUBSTITUTE(SUBSTITUTE(TRIM(K934),".",""),"/",""),"-","")," ",""),"(",""),")",""),"+",""))=11)),"OK","ERRO: use DDD + número (10 ou 11 dígitos)"))</f>
      </c>
      <c r="T934" s="6">
        <f>IF(L934="","vazio",IF(AND(ISNUMBER(FIND("@",L934)),ISNUMBER(FIND(".",MID(L934,FIND("@",L934),99))),NOT(ISNUMBER(FIND(" ",TRIM(L934)))),NOT(ISNUMBER(FIND(";",L934))),NOT(ISNUMBER(FIND(",",L934)))),"OK","ERRO: um e-mail válido por linha"))</f>
      </c>
      <c r="U934" s="6">
        <f>IF(COUNTA(A934:O934)=0,"",IF(AND(B934&lt;&gt;"",C934&lt;&gt;"",D934&lt;&gt;"",E934&lt;&gt;"",H934&lt;&gt;"",OR(J934&lt;&gt;"",L934&lt;&gt;"")),"OK","ERRO: faltam "&amp;IF(B934="","Proprietário; ","")&amp;IF(C934="","Origem; ","")&amp;IF(D934="","CNPJ; ","")&amp;IF(E934="","Razão Social; ","")&amp;IF(H934="","Sobrenome; ","")&amp;IF(AND(J934="",L934=""),"telefone ou e-mail; ","")))</f>
      </c>
      <c r="V934" s="6">
        <f>IF(COUNTA(A934:O934)=0,"",IF(AND(Q934="OK",R934="OK",LEFT(S934,4)&lt;&gt;"ERRO",LEFT(T934,4)&lt;&gt;"ERRO",U934="OK"),"OK","REVISAR"))</f>
      </c>
    </row>
    <row r="935">
      <c r="A935" s="4"/>
      <c r="B935" s="5"/>
      <c r="C935" s="5"/>
      <c r="D935" s="5"/>
      <c r="E935" s="5"/>
      <c r="F935" s="4"/>
      <c r="G935" s="4"/>
      <c r="H935" s="5"/>
      <c r="I935" s="4"/>
      <c r="J935" s="4"/>
      <c r="K935" s="4"/>
      <c r="L935" s="4"/>
      <c r="M935" s="4"/>
      <c r="N935" s="4"/>
      <c r="O935" s="4"/>
      <c r="P935" s="6">
        <f>IF(D935="","",SUBSTITUTE(SUBSTITUTE(SUBSTITUTE(SUBSTITUTE(SUBSTITUTE(SUBSTITUTE(SUBSTITUTE(TRIM(D935),".",""),"/",""),"-","")," ",""),"(",""),")",""),"+",""))</f>
      </c>
      <c r="Q935" s="6">
        <f>IF(P935="","",IF(LEN(P935)&lt;&gt;14,"ERRO: "&amp;LEN(P935)&amp;" dígitos",IF(NOT(ISNUMBER(VALUE(P935))),"ERRO: não numérico",IF(LEN(SUBSTITUTE(P935,LEFT(P935,1),""))=0,"ERRO: dígitos repetidos",IF(AND(VALUE(MID(P935,13,1))=IF(MOD(SUMPRODUCT(--MID(P935,{1,2,3,4,5,6,7,8,9,10,11,12},1),{5,4,3,2,9,8,7,6,5,4,3,2}),11)&lt;2,0,11-MOD(SUMPRODUCT(--MID(P935,{1,2,3,4,5,6,7,8,9,10,11,12},1),{5,4,3,2,9,8,7,6,5,4,3,2}),11)),VALUE(MID(P935,14,1))=IF(MOD(SUMPRODUCT(--MID(P935,{1,2,3,4,5,6,7,8,9,10,11,12,13},1),{6,5,4,3,2,9,8,7,6,5,4,3,2}),11)&lt;2,0,11-MOD(SUMPRODUCT(--MID(P935,{1,2,3,4,5,6,7,8,9,10,11,12,13},1),{6,5,4,3,2,9,8,7,6,5,4,3,2}),11))),"OK","ERRO: dígito verificador")))))</f>
      </c>
      <c r="R935" s="6">
        <f>IF(P935="","",IF(COUNTIF($P$2:$P$1001,P935)&gt;1,"DUPLICADO","OK"))</f>
      </c>
      <c r="S935" s="6">
        <f>IF(AND(J935="",K935=""),"vazio",IF(AND(OR(J935="",LEN(SUBSTITUTE(SUBSTITUTE(SUBSTITUTE(SUBSTITUTE(SUBSTITUTE(SUBSTITUTE(SUBSTITUTE(TRIM(J935),".",""),"/",""),"-","")," ",""),"(",""),")",""),"+",""))=10,LEN(SUBSTITUTE(SUBSTITUTE(SUBSTITUTE(SUBSTITUTE(SUBSTITUTE(SUBSTITUTE(SUBSTITUTE(TRIM(J935),".",""),"/",""),"-","")," ",""),"(",""),")",""),"+",""))=11),OR(K935="",LEN(SUBSTITUTE(SUBSTITUTE(SUBSTITUTE(SUBSTITUTE(SUBSTITUTE(SUBSTITUTE(SUBSTITUTE(TRIM(K935),".",""),"/",""),"-","")," ",""),"(",""),")",""),"+",""))=10,LEN(SUBSTITUTE(SUBSTITUTE(SUBSTITUTE(SUBSTITUTE(SUBSTITUTE(SUBSTITUTE(SUBSTITUTE(TRIM(K935),".",""),"/",""),"-","")," ",""),"(",""),")",""),"+",""))=11)),"OK","ERRO: use DDD + número (10 ou 11 dígitos)"))</f>
      </c>
      <c r="T935" s="6">
        <f>IF(L935="","vazio",IF(AND(ISNUMBER(FIND("@",L935)),ISNUMBER(FIND(".",MID(L935,FIND("@",L935),99))),NOT(ISNUMBER(FIND(" ",TRIM(L935)))),NOT(ISNUMBER(FIND(";",L935))),NOT(ISNUMBER(FIND(",",L935)))),"OK","ERRO: um e-mail válido por linha"))</f>
      </c>
      <c r="U935" s="6">
        <f>IF(COUNTA(A935:O935)=0,"",IF(AND(B935&lt;&gt;"",C935&lt;&gt;"",D935&lt;&gt;"",E935&lt;&gt;"",H935&lt;&gt;"",OR(J935&lt;&gt;"",L935&lt;&gt;"")),"OK","ERRO: faltam "&amp;IF(B935="","Proprietário; ","")&amp;IF(C935="","Origem; ","")&amp;IF(D935="","CNPJ; ","")&amp;IF(E935="","Razão Social; ","")&amp;IF(H935="","Sobrenome; ","")&amp;IF(AND(J935="",L935=""),"telefone ou e-mail; ","")))</f>
      </c>
      <c r="V935" s="6">
        <f>IF(COUNTA(A935:O935)=0,"",IF(AND(Q935="OK",R935="OK",LEFT(S935,4)&lt;&gt;"ERRO",LEFT(T935,4)&lt;&gt;"ERRO",U935="OK"),"OK","REVISAR"))</f>
      </c>
    </row>
    <row r="936">
      <c r="A936" s="4"/>
      <c r="B936" s="5"/>
      <c r="C936" s="5"/>
      <c r="D936" s="5"/>
      <c r="E936" s="5"/>
      <c r="F936" s="4"/>
      <c r="G936" s="4"/>
      <c r="H936" s="5"/>
      <c r="I936" s="4"/>
      <c r="J936" s="4"/>
      <c r="K936" s="4"/>
      <c r="L936" s="4"/>
      <c r="M936" s="4"/>
      <c r="N936" s="4"/>
      <c r="O936" s="4"/>
      <c r="P936" s="6">
        <f>IF(D936="","",SUBSTITUTE(SUBSTITUTE(SUBSTITUTE(SUBSTITUTE(SUBSTITUTE(SUBSTITUTE(SUBSTITUTE(TRIM(D936),".",""),"/",""),"-","")," ",""),"(",""),")",""),"+",""))</f>
      </c>
      <c r="Q936" s="6">
        <f>IF(P936="","",IF(LEN(P936)&lt;&gt;14,"ERRO: "&amp;LEN(P936)&amp;" dígitos",IF(NOT(ISNUMBER(VALUE(P936))),"ERRO: não numérico",IF(LEN(SUBSTITUTE(P936,LEFT(P936,1),""))=0,"ERRO: dígitos repetidos",IF(AND(VALUE(MID(P936,13,1))=IF(MOD(SUMPRODUCT(--MID(P936,{1,2,3,4,5,6,7,8,9,10,11,12},1),{5,4,3,2,9,8,7,6,5,4,3,2}),11)&lt;2,0,11-MOD(SUMPRODUCT(--MID(P936,{1,2,3,4,5,6,7,8,9,10,11,12},1),{5,4,3,2,9,8,7,6,5,4,3,2}),11)),VALUE(MID(P936,14,1))=IF(MOD(SUMPRODUCT(--MID(P936,{1,2,3,4,5,6,7,8,9,10,11,12,13},1),{6,5,4,3,2,9,8,7,6,5,4,3,2}),11)&lt;2,0,11-MOD(SUMPRODUCT(--MID(P936,{1,2,3,4,5,6,7,8,9,10,11,12,13},1),{6,5,4,3,2,9,8,7,6,5,4,3,2}),11))),"OK","ERRO: dígito verificador")))))</f>
      </c>
      <c r="R936" s="6">
        <f>IF(P936="","",IF(COUNTIF($P$2:$P$1001,P936)&gt;1,"DUPLICADO","OK"))</f>
      </c>
      <c r="S936" s="6">
        <f>IF(AND(J936="",K936=""),"vazio",IF(AND(OR(J936="",LEN(SUBSTITUTE(SUBSTITUTE(SUBSTITUTE(SUBSTITUTE(SUBSTITUTE(SUBSTITUTE(SUBSTITUTE(TRIM(J936),".",""),"/",""),"-","")," ",""),"(",""),")",""),"+",""))=10,LEN(SUBSTITUTE(SUBSTITUTE(SUBSTITUTE(SUBSTITUTE(SUBSTITUTE(SUBSTITUTE(SUBSTITUTE(TRIM(J936),".",""),"/",""),"-","")," ",""),"(",""),")",""),"+",""))=11),OR(K936="",LEN(SUBSTITUTE(SUBSTITUTE(SUBSTITUTE(SUBSTITUTE(SUBSTITUTE(SUBSTITUTE(SUBSTITUTE(TRIM(K936),".",""),"/",""),"-","")," ",""),"(",""),")",""),"+",""))=10,LEN(SUBSTITUTE(SUBSTITUTE(SUBSTITUTE(SUBSTITUTE(SUBSTITUTE(SUBSTITUTE(SUBSTITUTE(TRIM(K936),".",""),"/",""),"-","")," ",""),"(",""),")",""),"+",""))=11)),"OK","ERRO: use DDD + número (10 ou 11 dígitos)"))</f>
      </c>
      <c r="T936" s="6">
        <f>IF(L936="","vazio",IF(AND(ISNUMBER(FIND("@",L936)),ISNUMBER(FIND(".",MID(L936,FIND("@",L936),99))),NOT(ISNUMBER(FIND(" ",TRIM(L936)))),NOT(ISNUMBER(FIND(";",L936))),NOT(ISNUMBER(FIND(",",L936)))),"OK","ERRO: um e-mail válido por linha"))</f>
      </c>
      <c r="U936" s="6">
        <f>IF(COUNTA(A936:O936)=0,"",IF(AND(B936&lt;&gt;"",C936&lt;&gt;"",D936&lt;&gt;"",E936&lt;&gt;"",H936&lt;&gt;"",OR(J936&lt;&gt;"",L936&lt;&gt;"")),"OK","ERRO: faltam "&amp;IF(B936="","Proprietário; ","")&amp;IF(C936="","Origem; ","")&amp;IF(D936="","CNPJ; ","")&amp;IF(E936="","Razão Social; ","")&amp;IF(H936="","Sobrenome; ","")&amp;IF(AND(J936="",L936=""),"telefone ou e-mail; ","")))</f>
      </c>
      <c r="V936" s="6">
        <f>IF(COUNTA(A936:O936)=0,"",IF(AND(Q936="OK",R936="OK",LEFT(S936,4)&lt;&gt;"ERRO",LEFT(T936,4)&lt;&gt;"ERRO",U936="OK"),"OK","REVISAR"))</f>
      </c>
    </row>
    <row r="937">
      <c r="A937" s="4"/>
      <c r="B937" s="5"/>
      <c r="C937" s="5"/>
      <c r="D937" s="5"/>
      <c r="E937" s="5"/>
      <c r="F937" s="4"/>
      <c r="G937" s="4"/>
      <c r="H937" s="5"/>
      <c r="I937" s="4"/>
      <c r="J937" s="4"/>
      <c r="K937" s="4"/>
      <c r="L937" s="4"/>
      <c r="M937" s="4"/>
      <c r="N937" s="4"/>
      <c r="O937" s="4"/>
      <c r="P937" s="6">
        <f>IF(D937="","",SUBSTITUTE(SUBSTITUTE(SUBSTITUTE(SUBSTITUTE(SUBSTITUTE(SUBSTITUTE(SUBSTITUTE(TRIM(D937),".",""),"/",""),"-","")," ",""),"(",""),")",""),"+",""))</f>
      </c>
      <c r="Q937" s="6">
        <f>IF(P937="","",IF(LEN(P937)&lt;&gt;14,"ERRO: "&amp;LEN(P937)&amp;" dígitos",IF(NOT(ISNUMBER(VALUE(P937))),"ERRO: não numérico",IF(LEN(SUBSTITUTE(P937,LEFT(P937,1),""))=0,"ERRO: dígitos repetidos",IF(AND(VALUE(MID(P937,13,1))=IF(MOD(SUMPRODUCT(--MID(P937,{1,2,3,4,5,6,7,8,9,10,11,12},1),{5,4,3,2,9,8,7,6,5,4,3,2}),11)&lt;2,0,11-MOD(SUMPRODUCT(--MID(P937,{1,2,3,4,5,6,7,8,9,10,11,12},1),{5,4,3,2,9,8,7,6,5,4,3,2}),11)),VALUE(MID(P937,14,1))=IF(MOD(SUMPRODUCT(--MID(P937,{1,2,3,4,5,6,7,8,9,10,11,12,13},1),{6,5,4,3,2,9,8,7,6,5,4,3,2}),11)&lt;2,0,11-MOD(SUMPRODUCT(--MID(P937,{1,2,3,4,5,6,7,8,9,10,11,12,13},1),{6,5,4,3,2,9,8,7,6,5,4,3,2}),11))),"OK","ERRO: dígito verificador")))))</f>
      </c>
      <c r="R937" s="6">
        <f>IF(P937="","",IF(COUNTIF($P$2:$P$1001,P937)&gt;1,"DUPLICADO","OK"))</f>
      </c>
      <c r="S937" s="6">
        <f>IF(AND(J937="",K937=""),"vazio",IF(AND(OR(J937="",LEN(SUBSTITUTE(SUBSTITUTE(SUBSTITUTE(SUBSTITUTE(SUBSTITUTE(SUBSTITUTE(SUBSTITUTE(TRIM(J937),".",""),"/",""),"-","")," ",""),"(",""),")",""),"+",""))=10,LEN(SUBSTITUTE(SUBSTITUTE(SUBSTITUTE(SUBSTITUTE(SUBSTITUTE(SUBSTITUTE(SUBSTITUTE(TRIM(J937),".",""),"/",""),"-","")," ",""),"(",""),")",""),"+",""))=11),OR(K937="",LEN(SUBSTITUTE(SUBSTITUTE(SUBSTITUTE(SUBSTITUTE(SUBSTITUTE(SUBSTITUTE(SUBSTITUTE(TRIM(K937),".",""),"/",""),"-","")," ",""),"(",""),")",""),"+",""))=10,LEN(SUBSTITUTE(SUBSTITUTE(SUBSTITUTE(SUBSTITUTE(SUBSTITUTE(SUBSTITUTE(SUBSTITUTE(TRIM(K937),".",""),"/",""),"-","")," ",""),"(",""),")",""),"+",""))=11)),"OK","ERRO: use DDD + número (10 ou 11 dígitos)"))</f>
      </c>
      <c r="T937" s="6">
        <f>IF(L937="","vazio",IF(AND(ISNUMBER(FIND("@",L937)),ISNUMBER(FIND(".",MID(L937,FIND("@",L937),99))),NOT(ISNUMBER(FIND(" ",TRIM(L937)))),NOT(ISNUMBER(FIND(";",L937))),NOT(ISNUMBER(FIND(",",L937)))),"OK","ERRO: um e-mail válido por linha"))</f>
      </c>
      <c r="U937" s="6">
        <f>IF(COUNTA(A937:O937)=0,"",IF(AND(B937&lt;&gt;"",C937&lt;&gt;"",D937&lt;&gt;"",E937&lt;&gt;"",H937&lt;&gt;"",OR(J937&lt;&gt;"",L937&lt;&gt;"")),"OK","ERRO: faltam "&amp;IF(B937="","Proprietário; ","")&amp;IF(C937="","Origem; ","")&amp;IF(D937="","CNPJ; ","")&amp;IF(E937="","Razão Social; ","")&amp;IF(H937="","Sobrenome; ","")&amp;IF(AND(J937="",L937=""),"telefone ou e-mail; ","")))</f>
      </c>
      <c r="V937" s="6">
        <f>IF(COUNTA(A937:O937)=0,"",IF(AND(Q937="OK",R937="OK",LEFT(S937,4)&lt;&gt;"ERRO",LEFT(T937,4)&lt;&gt;"ERRO",U937="OK"),"OK","REVISAR"))</f>
      </c>
    </row>
    <row r="938">
      <c r="A938" s="4"/>
      <c r="B938" s="5"/>
      <c r="C938" s="5"/>
      <c r="D938" s="5"/>
      <c r="E938" s="5"/>
      <c r="F938" s="4"/>
      <c r="G938" s="4"/>
      <c r="H938" s="5"/>
      <c r="I938" s="4"/>
      <c r="J938" s="4"/>
      <c r="K938" s="4"/>
      <c r="L938" s="4"/>
      <c r="M938" s="4"/>
      <c r="N938" s="4"/>
      <c r="O938" s="4"/>
      <c r="P938" s="6">
        <f>IF(D938="","",SUBSTITUTE(SUBSTITUTE(SUBSTITUTE(SUBSTITUTE(SUBSTITUTE(SUBSTITUTE(SUBSTITUTE(TRIM(D938),".",""),"/",""),"-","")," ",""),"(",""),")",""),"+",""))</f>
      </c>
      <c r="Q938" s="6">
        <f>IF(P938="","",IF(LEN(P938)&lt;&gt;14,"ERRO: "&amp;LEN(P938)&amp;" dígitos",IF(NOT(ISNUMBER(VALUE(P938))),"ERRO: não numérico",IF(LEN(SUBSTITUTE(P938,LEFT(P938,1),""))=0,"ERRO: dígitos repetidos",IF(AND(VALUE(MID(P938,13,1))=IF(MOD(SUMPRODUCT(--MID(P938,{1,2,3,4,5,6,7,8,9,10,11,12},1),{5,4,3,2,9,8,7,6,5,4,3,2}),11)&lt;2,0,11-MOD(SUMPRODUCT(--MID(P938,{1,2,3,4,5,6,7,8,9,10,11,12},1),{5,4,3,2,9,8,7,6,5,4,3,2}),11)),VALUE(MID(P938,14,1))=IF(MOD(SUMPRODUCT(--MID(P938,{1,2,3,4,5,6,7,8,9,10,11,12,13},1),{6,5,4,3,2,9,8,7,6,5,4,3,2}),11)&lt;2,0,11-MOD(SUMPRODUCT(--MID(P938,{1,2,3,4,5,6,7,8,9,10,11,12,13},1),{6,5,4,3,2,9,8,7,6,5,4,3,2}),11))),"OK","ERRO: dígito verificador")))))</f>
      </c>
      <c r="R938" s="6">
        <f>IF(P938="","",IF(COUNTIF($P$2:$P$1001,P938)&gt;1,"DUPLICADO","OK"))</f>
      </c>
      <c r="S938" s="6">
        <f>IF(AND(J938="",K938=""),"vazio",IF(AND(OR(J938="",LEN(SUBSTITUTE(SUBSTITUTE(SUBSTITUTE(SUBSTITUTE(SUBSTITUTE(SUBSTITUTE(SUBSTITUTE(TRIM(J938),".",""),"/",""),"-","")," ",""),"(",""),")",""),"+",""))=10,LEN(SUBSTITUTE(SUBSTITUTE(SUBSTITUTE(SUBSTITUTE(SUBSTITUTE(SUBSTITUTE(SUBSTITUTE(TRIM(J938),".",""),"/",""),"-","")," ",""),"(",""),")",""),"+",""))=11),OR(K938="",LEN(SUBSTITUTE(SUBSTITUTE(SUBSTITUTE(SUBSTITUTE(SUBSTITUTE(SUBSTITUTE(SUBSTITUTE(TRIM(K938),".",""),"/",""),"-","")," ",""),"(",""),")",""),"+",""))=10,LEN(SUBSTITUTE(SUBSTITUTE(SUBSTITUTE(SUBSTITUTE(SUBSTITUTE(SUBSTITUTE(SUBSTITUTE(TRIM(K938),".",""),"/",""),"-","")," ",""),"(",""),")",""),"+",""))=11)),"OK","ERRO: use DDD + número (10 ou 11 dígitos)"))</f>
      </c>
      <c r="T938" s="6">
        <f>IF(L938="","vazio",IF(AND(ISNUMBER(FIND("@",L938)),ISNUMBER(FIND(".",MID(L938,FIND("@",L938),99))),NOT(ISNUMBER(FIND(" ",TRIM(L938)))),NOT(ISNUMBER(FIND(";",L938))),NOT(ISNUMBER(FIND(",",L938)))),"OK","ERRO: um e-mail válido por linha"))</f>
      </c>
      <c r="U938" s="6">
        <f>IF(COUNTA(A938:O938)=0,"",IF(AND(B938&lt;&gt;"",C938&lt;&gt;"",D938&lt;&gt;"",E938&lt;&gt;"",H938&lt;&gt;"",OR(J938&lt;&gt;"",L938&lt;&gt;"")),"OK","ERRO: faltam "&amp;IF(B938="","Proprietário; ","")&amp;IF(C938="","Origem; ","")&amp;IF(D938="","CNPJ; ","")&amp;IF(E938="","Razão Social; ","")&amp;IF(H938="","Sobrenome; ","")&amp;IF(AND(J938="",L938=""),"telefone ou e-mail; ","")))</f>
      </c>
      <c r="V938" s="6">
        <f>IF(COUNTA(A938:O938)=0,"",IF(AND(Q938="OK",R938="OK",LEFT(S938,4)&lt;&gt;"ERRO",LEFT(T938,4)&lt;&gt;"ERRO",U938="OK"),"OK","REVISAR"))</f>
      </c>
    </row>
    <row r="939">
      <c r="A939" s="4"/>
      <c r="B939" s="5"/>
      <c r="C939" s="5"/>
      <c r="D939" s="5"/>
      <c r="E939" s="5"/>
      <c r="F939" s="4"/>
      <c r="G939" s="4"/>
      <c r="H939" s="5"/>
      <c r="I939" s="4"/>
      <c r="J939" s="4"/>
      <c r="K939" s="4"/>
      <c r="L939" s="4"/>
      <c r="M939" s="4"/>
      <c r="N939" s="4"/>
      <c r="O939" s="4"/>
      <c r="P939" s="6">
        <f>IF(D939="","",SUBSTITUTE(SUBSTITUTE(SUBSTITUTE(SUBSTITUTE(SUBSTITUTE(SUBSTITUTE(SUBSTITUTE(TRIM(D939),".",""),"/",""),"-","")," ",""),"(",""),")",""),"+",""))</f>
      </c>
      <c r="Q939" s="6">
        <f>IF(P939="","",IF(LEN(P939)&lt;&gt;14,"ERRO: "&amp;LEN(P939)&amp;" dígitos",IF(NOT(ISNUMBER(VALUE(P939))),"ERRO: não numérico",IF(LEN(SUBSTITUTE(P939,LEFT(P939,1),""))=0,"ERRO: dígitos repetidos",IF(AND(VALUE(MID(P939,13,1))=IF(MOD(SUMPRODUCT(--MID(P939,{1,2,3,4,5,6,7,8,9,10,11,12},1),{5,4,3,2,9,8,7,6,5,4,3,2}),11)&lt;2,0,11-MOD(SUMPRODUCT(--MID(P939,{1,2,3,4,5,6,7,8,9,10,11,12},1),{5,4,3,2,9,8,7,6,5,4,3,2}),11)),VALUE(MID(P939,14,1))=IF(MOD(SUMPRODUCT(--MID(P939,{1,2,3,4,5,6,7,8,9,10,11,12,13},1),{6,5,4,3,2,9,8,7,6,5,4,3,2}),11)&lt;2,0,11-MOD(SUMPRODUCT(--MID(P939,{1,2,3,4,5,6,7,8,9,10,11,12,13},1),{6,5,4,3,2,9,8,7,6,5,4,3,2}),11))),"OK","ERRO: dígito verificador")))))</f>
      </c>
      <c r="R939" s="6">
        <f>IF(P939="","",IF(COUNTIF($P$2:$P$1001,P939)&gt;1,"DUPLICADO","OK"))</f>
      </c>
      <c r="S939" s="6">
        <f>IF(AND(J939="",K939=""),"vazio",IF(AND(OR(J939="",LEN(SUBSTITUTE(SUBSTITUTE(SUBSTITUTE(SUBSTITUTE(SUBSTITUTE(SUBSTITUTE(SUBSTITUTE(TRIM(J939),".",""),"/",""),"-","")," ",""),"(",""),")",""),"+",""))=10,LEN(SUBSTITUTE(SUBSTITUTE(SUBSTITUTE(SUBSTITUTE(SUBSTITUTE(SUBSTITUTE(SUBSTITUTE(TRIM(J939),".",""),"/",""),"-","")," ",""),"(",""),")",""),"+",""))=11),OR(K939="",LEN(SUBSTITUTE(SUBSTITUTE(SUBSTITUTE(SUBSTITUTE(SUBSTITUTE(SUBSTITUTE(SUBSTITUTE(TRIM(K939),".",""),"/",""),"-","")," ",""),"(",""),")",""),"+",""))=10,LEN(SUBSTITUTE(SUBSTITUTE(SUBSTITUTE(SUBSTITUTE(SUBSTITUTE(SUBSTITUTE(SUBSTITUTE(TRIM(K939),".",""),"/",""),"-","")," ",""),"(",""),")",""),"+",""))=11)),"OK","ERRO: use DDD + número (10 ou 11 dígitos)"))</f>
      </c>
      <c r="T939" s="6">
        <f>IF(L939="","vazio",IF(AND(ISNUMBER(FIND("@",L939)),ISNUMBER(FIND(".",MID(L939,FIND("@",L939),99))),NOT(ISNUMBER(FIND(" ",TRIM(L939)))),NOT(ISNUMBER(FIND(";",L939))),NOT(ISNUMBER(FIND(",",L939)))),"OK","ERRO: um e-mail válido por linha"))</f>
      </c>
      <c r="U939" s="6">
        <f>IF(COUNTA(A939:O939)=0,"",IF(AND(B939&lt;&gt;"",C939&lt;&gt;"",D939&lt;&gt;"",E939&lt;&gt;"",H939&lt;&gt;"",OR(J939&lt;&gt;"",L939&lt;&gt;"")),"OK","ERRO: faltam "&amp;IF(B939="","Proprietário; ","")&amp;IF(C939="","Origem; ","")&amp;IF(D939="","CNPJ; ","")&amp;IF(E939="","Razão Social; ","")&amp;IF(H939="","Sobrenome; ","")&amp;IF(AND(J939="",L939=""),"telefone ou e-mail; ","")))</f>
      </c>
      <c r="V939" s="6">
        <f>IF(COUNTA(A939:O939)=0,"",IF(AND(Q939="OK",R939="OK",LEFT(S939,4)&lt;&gt;"ERRO",LEFT(T939,4)&lt;&gt;"ERRO",U939="OK"),"OK","REVISAR"))</f>
      </c>
    </row>
    <row r="940">
      <c r="A940" s="4"/>
      <c r="B940" s="5"/>
      <c r="C940" s="5"/>
      <c r="D940" s="5"/>
      <c r="E940" s="5"/>
      <c r="F940" s="4"/>
      <c r="G940" s="4"/>
      <c r="H940" s="5"/>
      <c r="I940" s="4"/>
      <c r="J940" s="4"/>
      <c r="K940" s="4"/>
      <c r="L940" s="4"/>
      <c r="M940" s="4"/>
      <c r="N940" s="4"/>
      <c r="O940" s="4"/>
      <c r="P940" s="6">
        <f>IF(D940="","",SUBSTITUTE(SUBSTITUTE(SUBSTITUTE(SUBSTITUTE(SUBSTITUTE(SUBSTITUTE(SUBSTITUTE(TRIM(D940),".",""),"/",""),"-","")," ",""),"(",""),")",""),"+",""))</f>
      </c>
      <c r="Q940" s="6">
        <f>IF(P940="","",IF(LEN(P940)&lt;&gt;14,"ERRO: "&amp;LEN(P940)&amp;" dígitos",IF(NOT(ISNUMBER(VALUE(P940))),"ERRO: não numérico",IF(LEN(SUBSTITUTE(P940,LEFT(P940,1),""))=0,"ERRO: dígitos repetidos",IF(AND(VALUE(MID(P940,13,1))=IF(MOD(SUMPRODUCT(--MID(P940,{1,2,3,4,5,6,7,8,9,10,11,12},1),{5,4,3,2,9,8,7,6,5,4,3,2}),11)&lt;2,0,11-MOD(SUMPRODUCT(--MID(P940,{1,2,3,4,5,6,7,8,9,10,11,12},1),{5,4,3,2,9,8,7,6,5,4,3,2}),11)),VALUE(MID(P940,14,1))=IF(MOD(SUMPRODUCT(--MID(P940,{1,2,3,4,5,6,7,8,9,10,11,12,13},1),{6,5,4,3,2,9,8,7,6,5,4,3,2}),11)&lt;2,0,11-MOD(SUMPRODUCT(--MID(P940,{1,2,3,4,5,6,7,8,9,10,11,12,13},1),{6,5,4,3,2,9,8,7,6,5,4,3,2}),11))),"OK","ERRO: dígito verificador")))))</f>
      </c>
      <c r="R940" s="6">
        <f>IF(P940="","",IF(COUNTIF($P$2:$P$1001,P940)&gt;1,"DUPLICADO","OK"))</f>
      </c>
      <c r="S940" s="6">
        <f>IF(AND(J940="",K940=""),"vazio",IF(AND(OR(J940="",LEN(SUBSTITUTE(SUBSTITUTE(SUBSTITUTE(SUBSTITUTE(SUBSTITUTE(SUBSTITUTE(SUBSTITUTE(TRIM(J940),".",""),"/",""),"-","")," ",""),"(",""),")",""),"+",""))=10,LEN(SUBSTITUTE(SUBSTITUTE(SUBSTITUTE(SUBSTITUTE(SUBSTITUTE(SUBSTITUTE(SUBSTITUTE(TRIM(J940),".",""),"/",""),"-","")," ",""),"(",""),")",""),"+",""))=11),OR(K940="",LEN(SUBSTITUTE(SUBSTITUTE(SUBSTITUTE(SUBSTITUTE(SUBSTITUTE(SUBSTITUTE(SUBSTITUTE(TRIM(K940),".",""),"/",""),"-","")," ",""),"(",""),")",""),"+",""))=10,LEN(SUBSTITUTE(SUBSTITUTE(SUBSTITUTE(SUBSTITUTE(SUBSTITUTE(SUBSTITUTE(SUBSTITUTE(TRIM(K940),".",""),"/",""),"-","")," ",""),"(",""),")",""),"+",""))=11)),"OK","ERRO: use DDD + número (10 ou 11 dígitos)"))</f>
      </c>
      <c r="T940" s="6">
        <f>IF(L940="","vazio",IF(AND(ISNUMBER(FIND("@",L940)),ISNUMBER(FIND(".",MID(L940,FIND("@",L940),99))),NOT(ISNUMBER(FIND(" ",TRIM(L940)))),NOT(ISNUMBER(FIND(";",L940))),NOT(ISNUMBER(FIND(",",L940)))),"OK","ERRO: um e-mail válido por linha"))</f>
      </c>
      <c r="U940" s="6">
        <f>IF(COUNTA(A940:O940)=0,"",IF(AND(B940&lt;&gt;"",C940&lt;&gt;"",D940&lt;&gt;"",E940&lt;&gt;"",H940&lt;&gt;"",OR(J940&lt;&gt;"",L940&lt;&gt;"")),"OK","ERRO: faltam "&amp;IF(B940="","Proprietário; ","")&amp;IF(C940="","Origem; ","")&amp;IF(D940="","CNPJ; ","")&amp;IF(E940="","Razão Social; ","")&amp;IF(H940="","Sobrenome; ","")&amp;IF(AND(J940="",L940=""),"telefone ou e-mail; ","")))</f>
      </c>
      <c r="V940" s="6">
        <f>IF(COUNTA(A940:O940)=0,"",IF(AND(Q940="OK",R940="OK",LEFT(S940,4)&lt;&gt;"ERRO",LEFT(T940,4)&lt;&gt;"ERRO",U940="OK"),"OK","REVISAR"))</f>
      </c>
    </row>
    <row r="941">
      <c r="A941" s="4"/>
      <c r="B941" s="5"/>
      <c r="C941" s="5"/>
      <c r="D941" s="5"/>
      <c r="E941" s="5"/>
      <c r="F941" s="4"/>
      <c r="G941" s="4"/>
      <c r="H941" s="5"/>
      <c r="I941" s="4"/>
      <c r="J941" s="4"/>
      <c r="K941" s="4"/>
      <c r="L941" s="4"/>
      <c r="M941" s="4"/>
      <c r="N941" s="4"/>
      <c r="O941" s="4"/>
      <c r="P941" s="6">
        <f>IF(D941="","",SUBSTITUTE(SUBSTITUTE(SUBSTITUTE(SUBSTITUTE(SUBSTITUTE(SUBSTITUTE(SUBSTITUTE(TRIM(D941),".",""),"/",""),"-","")," ",""),"(",""),")",""),"+",""))</f>
      </c>
      <c r="Q941" s="6">
        <f>IF(P941="","",IF(LEN(P941)&lt;&gt;14,"ERRO: "&amp;LEN(P941)&amp;" dígitos",IF(NOT(ISNUMBER(VALUE(P941))),"ERRO: não numérico",IF(LEN(SUBSTITUTE(P941,LEFT(P941,1),""))=0,"ERRO: dígitos repetidos",IF(AND(VALUE(MID(P941,13,1))=IF(MOD(SUMPRODUCT(--MID(P941,{1,2,3,4,5,6,7,8,9,10,11,12},1),{5,4,3,2,9,8,7,6,5,4,3,2}),11)&lt;2,0,11-MOD(SUMPRODUCT(--MID(P941,{1,2,3,4,5,6,7,8,9,10,11,12},1),{5,4,3,2,9,8,7,6,5,4,3,2}),11)),VALUE(MID(P941,14,1))=IF(MOD(SUMPRODUCT(--MID(P941,{1,2,3,4,5,6,7,8,9,10,11,12,13},1),{6,5,4,3,2,9,8,7,6,5,4,3,2}),11)&lt;2,0,11-MOD(SUMPRODUCT(--MID(P941,{1,2,3,4,5,6,7,8,9,10,11,12,13},1),{6,5,4,3,2,9,8,7,6,5,4,3,2}),11))),"OK","ERRO: dígito verificador")))))</f>
      </c>
      <c r="R941" s="6">
        <f>IF(P941="","",IF(COUNTIF($P$2:$P$1001,P941)&gt;1,"DUPLICADO","OK"))</f>
      </c>
      <c r="S941" s="6">
        <f>IF(AND(J941="",K941=""),"vazio",IF(AND(OR(J941="",LEN(SUBSTITUTE(SUBSTITUTE(SUBSTITUTE(SUBSTITUTE(SUBSTITUTE(SUBSTITUTE(SUBSTITUTE(TRIM(J941),".",""),"/",""),"-","")," ",""),"(",""),")",""),"+",""))=10,LEN(SUBSTITUTE(SUBSTITUTE(SUBSTITUTE(SUBSTITUTE(SUBSTITUTE(SUBSTITUTE(SUBSTITUTE(TRIM(J941),".",""),"/",""),"-","")," ",""),"(",""),")",""),"+",""))=11),OR(K941="",LEN(SUBSTITUTE(SUBSTITUTE(SUBSTITUTE(SUBSTITUTE(SUBSTITUTE(SUBSTITUTE(SUBSTITUTE(TRIM(K941),".",""),"/",""),"-","")," ",""),"(",""),")",""),"+",""))=10,LEN(SUBSTITUTE(SUBSTITUTE(SUBSTITUTE(SUBSTITUTE(SUBSTITUTE(SUBSTITUTE(SUBSTITUTE(TRIM(K941),".",""),"/",""),"-","")," ",""),"(",""),")",""),"+",""))=11)),"OK","ERRO: use DDD + número (10 ou 11 dígitos)"))</f>
      </c>
      <c r="T941" s="6">
        <f>IF(L941="","vazio",IF(AND(ISNUMBER(FIND("@",L941)),ISNUMBER(FIND(".",MID(L941,FIND("@",L941),99))),NOT(ISNUMBER(FIND(" ",TRIM(L941)))),NOT(ISNUMBER(FIND(";",L941))),NOT(ISNUMBER(FIND(",",L941)))),"OK","ERRO: um e-mail válido por linha"))</f>
      </c>
      <c r="U941" s="6">
        <f>IF(COUNTA(A941:O941)=0,"",IF(AND(B941&lt;&gt;"",C941&lt;&gt;"",D941&lt;&gt;"",E941&lt;&gt;"",H941&lt;&gt;"",OR(J941&lt;&gt;"",L941&lt;&gt;"")),"OK","ERRO: faltam "&amp;IF(B941="","Proprietário; ","")&amp;IF(C941="","Origem; ","")&amp;IF(D941="","CNPJ; ","")&amp;IF(E941="","Razão Social; ","")&amp;IF(H941="","Sobrenome; ","")&amp;IF(AND(J941="",L941=""),"telefone ou e-mail; ","")))</f>
      </c>
      <c r="V941" s="6">
        <f>IF(COUNTA(A941:O941)=0,"",IF(AND(Q941="OK",R941="OK",LEFT(S941,4)&lt;&gt;"ERRO",LEFT(T941,4)&lt;&gt;"ERRO",U941="OK"),"OK","REVISAR"))</f>
      </c>
    </row>
    <row r="942">
      <c r="A942" s="4"/>
      <c r="B942" s="5"/>
      <c r="C942" s="5"/>
      <c r="D942" s="5"/>
      <c r="E942" s="5"/>
      <c r="F942" s="4"/>
      <c r="G942" s="4"/>
      <c r="H942" s="5"/>
      <c r="I942" s="4"/>
      <c r="J942" s="4"/>
      <c r="K942" s="4"/>
      <c r="L942" s="4"/>
      <c r="M942" s="4"/>
      <c r="N942" s="4"/>
      <c r="O942" s="4"/>
      <c r="P942" s="6">
        <f>IF(D942="","",SUBSTITUTE(SUBSTITUTE(SUBSTITUTE(SUBSTITUTE(SUBSTITUTE(SUBSTITUTE(SUBSTITUTE(TRIM(D942),".",""),"/",""),"-","")," ",""),"(",""),")",""),"+",""))</f>
      </c>
      <c r="Q942" s="6">
        <f>IF(P942="","",IF(LEN(P942)&lt;&gt;14,"ERRO: "&amp;LEN(P942)&amp;" dígitos",IF(NOT(ISNUMBER(VALUE(P942))),"ERRO: não numérico",IF(LEN(SUBSTITUTE(P942,LEFT(P942,1),""))=0,"ERRO: dígitos repetidos",IF(AND(VALUE(MID(P942,13,1))=IF(MOD(SUMPRODUCT(--MID(P942,{1,2,3,4,5,6,7,8,9,10,11,12},1),{5,4,3,2,9,8,7,6,5,4,3,2}),11)&lt;2,0,11-MOD(SUMPRODUCT(--MID(P942,{1,2,3,4,5,6,7,8,9,10,11,12},1),{5,4,3,2,9,8,7,6,5,4,3,2}),11)),VALUE(MID(P942,14,1))=IF(MOD(SUMPRODUCT(--MID(P942,{1,2,3,4,5,6,7,8,9,10,11,12,13},1),{6,5,4,3,2,9,8,7,6,5,4,3,2}),11)&lt;2,0,11-MOD(SUMPRODUCT(--MID(P942,{1,2,3,4,5,6,7,8,9,10,11,12,13},1),{6,5,4,3,2,9,8,7,6,5,4,3,2}),11))),"OK","ERRO: dígito verificador")))))</f>
      </c>
      <c r="R942" s="6">
        <f>IF(P942="","",IF(COUNTIF($P$2:$P$1001,P942)&gt;1,"DUPLICADO","OK"))</f>
      </c>
      <c r="S942" s="6">
        <f>IF(AND(J942="",K942=""),"vazio",IF(AND(OR(J942="",LEN(SUBSTITUTE(SUBSTITUTE(SUBSTITUTE(SUBSTITUTE(SUBSTITUTE(SUBSTITUTE(SUBSTITUTE(TRIM(J942),".",""),"/",""),"-","")," ",""),"(",""),")",""),"+",""))=10,LEN(SUBSTITUTE(SUBSTITUTE(SUBSTITUTE(SUBSTITUTE(SUBSTITUTE(SUBSTITUTE(SUBSTITUTE(TRIM(J942),".",""),"/",""),"-","")," ",""),"(",""),")",""),"+",""))=11),OR(K942="",LEN(SUBSTITUTE(SUBSTITUTE(SUBSTITUTE(SUBSTITUTE(SUBSTITUTE(SUBSTITUTE(SUBSTITUTE(TRIM(K942),".",""),"/",""),"-","")," ",""),"(",""),")",""),"+",""))=10,LEN(SUBSTITUTE(SUBSTITUTE(SUBSTITUTE(SUBSTITUTE(SUBSTITUTE(SUBSTITUTE(SUBSTITUTE(TRIM(K942),".",""),"/",""),"-","")," ",""),"(",""),")",""),"+",""))=11)),"OK","ERRO: use DDD + número (10 ou 11 dígitos)"))</f>
      </c>
      <c r="T942" s="6">
        <f>IF(L942="","vazio",IF(AND(ISNUMBER(FIND("@",L942)),ISNUMBER(FIND(".",MID(L942,FIND("@",L942),99))),NOT(ISNUMBER(FIND(" ",TRIM(L942)))),NOT(ISNUMBER(FIND(";",L942))),NOT(ISNUMBER(FIND(",",L942)))),"OK","ERRO: um e-mail válido por linha"))</f>
      </c>
      <c r="U942" s="6">
        <f>IF(COUNTA(A942:O942)=0,"",IF(AND(B942&lt;&gt;"",C942&lt;&gt;"",D942&lt;&gt;"",E942&lt;&gt;"",H942&lt;&gt;"",OR(J942&lt;&gt;"",L942&lt;&gt;"")),"OK","ERRO: faltam "&amp;IF(B942="","Proprietário; ","")&amp;IF(C942="","Origem; ","")&amp;IF(D942="","CNPJ; ","")&amp;IF(E942="","Razão Social; ","")&amp;IF(H942="","Sobrenome; ","")&amp;IF(AND(J942="",L942=""),"telefone ou e-mail; ","")))</f>
      </c>
      <c r="V942" s="6">
        <f>IF(COUNTA(A942:O942)=0,"",IF(AND(Q942="OK",R942="OK",LEFT(S942,4)&lt;&gt;"ERRO",LEFT(T942,4)&lt;&gt;"ERRO",U942="OK"),"OK","REVISAR"))</f>
      </c>
    </row>
    <row r="943">
      <c r="A943" s="4"/>
      <c r="B943" s="5"/>
      <c r="C943" s="5"/>
      <c r="D943" s="5"/>
      <c r="E943" s="5"/>
      <c r="F943" s="4"/>
      <c r="G943" s="4"/>
      <c r="H943" s="5"/>
      <c r="I943" s="4"/>
      <c r="J943" s="4"/>
      <c r="K943" s="4"/>
      <c r="L943" s="4"/>
      <c r="M943" s="4"/>
      <c r="N943" s="4"/>
      <c r="O943" s="4"/>
      <c r="P943" s="6">
        <f>IF(D943="","",SUBSTITUTE(SUBSTITUTE(SUBSTITUTE(SUBSTITUTE(SUBSTITUTE(SUBSTITUTE(SUBSTITUTE(TRIM(D943),".",""),"/",""),"-","")," ",""),"(",""),")",""),"+",""))</f>
      </c>
      <c r="Q943" s="6">
        <f>IF(P943="","",IF(LEN(P943)&lt;&gt;14,"ERRO: "&amp;LEN(P943)&amp;" dígitos",IF(NOT(ISNUMBER(VALUE(P943))),"ERRO: não numérico",IF(LEN(SUBSTITUTE(P943,LEFT(P943,1),""))=0,"ERRO: dígitos repetidos",IF(AND(VALUE(MID(P943,13,1))=IF(MOD(SUMPRODUCT(--MID(P943,{1,2,3,4,5,6,7,8,9,10,11,12},1),{5,4,3,2,9,8,7,6,5,4,3,2}),11)&lt;2,0,11-MOD(SUMPRODUCT(--MID(P943,{1,2,3,4,5,6,7,8,9,10,11,12},1),{5,4,3,2,9,8,7,6,5,4,3,2}),11)),VALUE(MID(P943,14,1))=IF(MOD(SUMPRODUCT(--MID(P943,{1,2,3,4,5,6,7,8,9,10,11,12,13},1),{6,5,4,3,2,9,8,7,6,5,4,3,2}),11)&lt;2,0,11-MOD(SUMPRODUCT(--MID(P943,{1,2,3,4,5,6,7,8,9,10,11,12,13},1),{6,5,4,3,2,9,8,7,6,5,4,3,2}),11))),"OK","ERRO: dígito verificador")))))</f>
      </c>
      <c r="R943" s="6">
        <f>IF(P943="","",IF(COUNTIF($P$2:$P$1001,P943)&gt;1,"DUPLICADO","OK"))</f>
      </c>
      <c r="S943" s="6">
        <f>IF(AND(J943="",K943=""),"vazio",IF(AND(OR(J943="",LEN(SUBSTITUTE(SUBSTITUTE(SUBSTITUTE(SUBSTITUTE(SUBSTITUTE(SUBSTITUTE(SUBSTITUTE(TRIM(J943),".",""),"/",""),"-","")," ",""),"(",""),")",""),"+",""))=10,LEN(SUBSTITUTE(SUBSTITUTE(SUBSTITUTE(SUBSTITUTE(SUBSTITUTE(SUBSTITUTE(SUBSTITUTE(TRIM(J943),".",""),"/",""),"-","")," ",""),"(",""),")",""),"+",""))=11),OR(K943="",LEN(SUBSTITUTE(SUBSTITUTE(SUBSTITUTE(SUBSTITUTE(SUBSTITUTE(SUBSTITUTE(SUBSTITUTE(TRIM(K943),".",""),"/",""),"-","")," ",""),"(",""),")",""),"+",""))=10,LEN(SUBSTITUTE(SUBSTITUTE(SUBSTITUTE(SUBSTITUTE(SUBSTITUTE(SUBSTITUTE(SUBSTITUTE(TRIM(K943),".",""),"/",""),"-","")," ",""),"(",""),")",""),"+",""))=11)),"OK","ERRO: use DDD + número (10 ou 11 dígitos)"))</f>
      </c>
      <c r="T943" s="6">
        <f>IF(L943="","vazio",IF(AND(ISNUMBER(FIND("@",L943)),ISNUMBER(FIND(".",MID(L943,FIND("@",L943),99))),NOT(ISNUMBER(FIND(" ",TRIM(L943)))),NOT(ISNUMBER(FIND(";",L943))),NOT(ISNUMBER(FIND(",",L943)))),"OK","ERRO: um e-mail válido por linha"))</f>
      </c>
      <c r="U943" s="6">
        <f>IF(COUNTA(A943:O943)=0,"",IF(AND(B943&lt;&gt;"",C943&lt;&gt;"",D943&lt;&gt;"",E943&lt;&gt;"",H943&lt;&gt;"",OR(J943&lt;&gt;"",L943&lt;&gt;"")),"OK","ERRO: faltam "&amp;IF(B943="","Proprietário; ","")&amp;IF(C943="","Origem; ","")&amp;IF(D943="","CNPJ; ","")&amp;IF(E943="","Razão Social; ","")&amp;IF(H943="","Sobrenome; ","")&amp;IF(AND(J943="",L943=""),"telefone ou e-mail; ","")))</f>
      </c>
      <c r="V943" s="6">
        <f>IF(COUNTA(A943:O943)=0,"",IF(AND(Q943="OK",R943="OK",LEFT(S943,4)&lt;&gt;"ERRO",LEFT(T943,4)&lt;&gt;"ERRO",U943="OK"),"OK","REVISAR"))</f>
      </c>
    </row>
    <row r="944">
      <c r="A944" s="4"/>
      <c r="B944" s="5"/>
      <c r="C944" s="5"/>
      <c r="D944" s="5"/>
      <c r="E944" s="5"/>
      <c r="F944" s="4"/>
      <c r="G944" s="4"/>
      <c r="H944" s="5"/>
      <c r="I944" s="4"/>
      <c r="J944" s="4"/>
      <c r="K944" s="4"/>
      <c r="L944" s="4"/>
      <c r="M944" s="4"/>
      <c r="N944" s="4"/>
      <c r="O944" s="4"/>
      <c r="P944" s="6">
        <f>IF(D944="","",SUBSTITUTE(SUBSTITUTE(SUBSTITUTE(SUBSTITUTE(SUBSTITUTE(SUBSTITUTE(SUBSTITUTE(TRIM(D944),".",""),"/",""),"-","")," ",""),"(",""),")",""),"+",""))</f>
      </c>
      <c r="Q944" s="6">
        <f>IF(P944="","",IF(LEN(P944)&lt;&gt;14,"ERRO: "&amp;LEN(P944)&amp;" dígitos",IF(NOT(ISNUMBER(VALUE(P944))),"ERRO: não numérico",IF(LEN(SUBSTITUTE(P944,LEFT(P944,1),""))=0,"ERRO: dígitos repetidos",IF(AND(VALUE(MID(P944,13,1))=IF(MOD(SUMPRODUCT(--MID(P944,{1,2,3,4,5,6,7,8,9,10,11,12},1),{5,4,3,2,9,8,7,6,5,4,3,2}),11)&lt;2,0,11-MOD(SUMPRODUCT(--MID(P944,{1,2,3,4,5,6,7,8,9,10,11,12},1),{5,4,3,2,9,8,7,6,5,4,3,2}),11)),VALUE(MID(P944,14,1))=IF(MOD(SUMPRODUCT(--MID(P944,{1,2,3,4,5,6,7,8,9,10,11,12,13},1),{6,5,4,3,2,9,8,7,6,5,4,3,2}),11)&lt;2,0,11-MOD(SUMPRODUCT(--MID(P944,{1,2,3,4,5,6,7,8,9,10,11,12,13},1),{6,5,4,3,2,9,8,7,6,5,4,3,2}),11))),"OK","ERRO: dígito verificador")))))</f>
      </c>
      <c r="R944" s="6">
        <f>IF(P944="","",IF(COUNTIF($P$2:$P$1001,P944)&gt;1,"DUPLICADO","OK"))</f>
      </c>
      <c r="S944" s="6">
        <f>IF(AND(J944="",K944=""),"vazio",IF(AND(OR(J944="",LEN(SUBSTITUTE(SUBSTITUTE(SUBSTITUTE(SUBSTITUTE(SUBSTITUTE(SUBSTITUTE(SUBSTITUTE(TRIM(J944),".",""),"/",""),"-","")," ",""),"(",""),")",""),"+",""))=10,LEN(SUBSTITUTE(SUBSTITUTE(SUBSTITUTE(SUBSTITUTE(SUBSTITUTE(SUBSTITUTE(SUBSTITUTE(TRIM(J944),".",""),"/",""),"-","")," ",""),"(",""),")",""),"+",""))=11),OR(K944="",LEN(SUBSTITUTE(SUBSTITUTE(SUBSTITUTE(SUBSTITUTE(SUBSTITUTE(SUBSTITUTE(SUBSTITUTE(TRIM(K944),".",""),"/",""),"-","")," ",""),"(",""),")",""),"+",""))=10,LEN(SUBSTITUTE(SUBSTITUTE(SUBSTITUTE(SUBSTITUTE(SUBSTITUTE(SUBSTITUTE(SUBSTITUTE(TRIM(K944),".",""),"/",""),"-","")," ",""),"(",""),")",""),"+",""))=11)),"OK","ERRO: use DDD + número (10 ou 11 dígitos)"))</f>
      </c>
      <c r="T944" s="6">
        <f>IF(L944="","vazio",IF(AND(ISNUMBER(FIND("@",L944)),ISNUMBER(FIND(".",MID(L944,FIND("@",L944),99))),NOT(ISNUMBER(FIND(" ",TRIM(L944)))),NOT(ISNUMBER(FIND(";",L944))),NOT(ISNUMBER(FIND(",",L944)))),"OK","ERRO: um e-mail válido por linha"))</f>
      </c>
      <c r="U944" s="6">
        <f>IF(COUNTA(A944:O944)=0,"",IF(AND(B944&lt;&gt;"",C944&lt;&gt;"",D944&lt;&gt;"",E944&lt;&gt;"",H944&lt;&gt;"",OR(J944&lt;&gt;"",L944&lt;&gt;"")),"OK","ERRO: faltam "&amp;IF(B944="","Proprietário; ","")&amp;IF(C944="","Origem; ","")&amp;IF(D944="","CNPJ; ","")&amp;IF(E944="","Razão Social; ","")&amp;IF(H944="","Sobrenome; ","")&amp;IF(AND(J944="",L944=""),"telefone ou e-mail; ","")))</f>
      </c>
      <c r="V944" s="6">
        <f>IF(COUNTA(A944:O944)=0,"",IF(AND(Q944="OK",R944="OK",LEFT(S944,4)&lt;&gt;"ERRO",LEFT(T944,4)&lt;&gt;"ERRO",U944="OK"),"OK","REVISAR"))</f>
      </c>
    </row>
    <row r="945">
      <c r="A945" s="4"/>
      <c r="B945" s="5"/>
      <c r="C945" s="5"/>
      <c r="D945" s="5"/>
      <c r="E945" s="5"/>
      <c r="F945" s="4"/>
      <c r="G945" s="4"/>
      <c r="H945" s="5"/>
      <c r="I945" s="4"/>
      <c r="J945" s="4"/>
      <c r="K945" s="4"/>
      <c r="L945" s="4"/>
      <c r="M945" s="4"/>
      <c r="N945" s="4"/>
      <c r="O945" s="4"/>
      <c r="P945" s="6">
        <f>IF(D945="","",SUBSTITUTE(SUBSTITUTE(SUBSTITUTE(SUBSTITUTE(SUBSTITUTE(SUBSTITUTE(SUBSTITUTE(TRIM(D945),".",""),"/",""),"-","")," ",""),"(",""),")",""),"+",""))</f>
      </c>
      <c r="Q945" s="6">
        <f>IF(P945="","",IF(LEN(P945)&lt;&gt;14,"ERRO: "&amp;LEN(P945)&amp;" dígitos",IF(NOT(ISNUMBER(VALUE(P945))),"ERRO: não numérico",IF(LEN(SUBSTITUTE(P945,LEFT(P945,1),""))=0,"ERRO: dígitos repetidos",IF(AND(VALUE(MID(P945,13,1))=IF(MOD(SUMPRODUCT(--MID(P945,{1,2,3,4,5,6,7,8,9,10,11,12},1),{5,4,3,2,9,8,7,6,5,4,3,2}),11)&lt;2,0,11-MOD(SUMPRODUCT(--MID(P945,{1,2,3,4,5,6,7,8,9,10,11,12},1),{5,4,3,2,9,8,7,6,5,4,3,2}),11)),VALUE(MID(P945,14,1))=IF(MOD(SUMPRODUCT(--MID(P945,{1,2,3,4,5,6,7,8,9,10,11,12,13},1),{6,5,4,3,2,9,8,7,6,5,4,3,2}),11)&lt;2,0,11-MOD(SUMPRODUCT(--MID(P945,{1,2,3,4,5,6,7,8,9,10,11,12,13},1),{6,5,4,3,2,9,8,7,6,5,4,3,2}),11))),"OK","ERRO: dígito verificador")))))</f>
      </c>
      <c r="R945" s="6">
        <f>IF(P945="","",IF(COUNTIF($P$2:$P$1001,P945)&gt;1,"DUPLICADO","OK"))</f>
      </c>
      <c r="S945" s="6">
        <f>IF(AND(J945="",K945=""),"vazio",IF(AND(OR(J945="",LEN(SUBSTITUTE(SUBSTITUTE(SUBSTITUTE(SUBSTITUTE(SUBSTITUTE(SUBSTITUTE(SUBSTITUTE(TRIM(J945),".",""),"/",""),"-","")," ",""),"(",""),")",""),"+",""))=10,LEN(SUBSTITUTE(SUBSTITUTE(SUBSTITUTE(SUBSTITUTE(SUBSTITUTE(SUBSTITUTE(SUBSTITUTE(TRIM(J945),".",""),"/",""),"-","")," ",""),"(",""),")",""),"+",""))=11),OR(K945="",LEN(SUBSTITUTE(SUBSTITUTE(SUBSTITUTE(SUBSTITUTE(SUBSTITUTE(SUBSTITUTE(SUBSTITUTE(TRIM(K945),".",""),"/",""),"-","")," ",""),"(",""),")",""),"+",""))=10,LEN(SUBSTITUTE(SUBSTITUTE(SUBSTITUTE(SUBSTITUTE(SUBSTITUTE(SUBSTITUTE(SUBSTITUTE(TRIM(K945),".",""),"/",""),"-","")," ",""),"(",""),")",""),"+",""))=11)),"OK","ERRO: use DDD + número (10 ou 11 dígitos)"))</f>
      </c>
      <c r="T945" s="6">
        <f>IF(L945="","vazio",IF(AND(ISNUMBER(FIND("@",L945)),ISNUMBER(FIND(".",MID(L945,FIND("@",L945),99))),NOT(ISNUMBER(FIND(" ",TRIM(L945)))),NOT(ISNUMBER(FIND(";",L945))),NOT(ISNUMBER(FIND(",",L945)))),"OK","ERRO: um e-mail válido por linha"))</f>
      </c>
      <c r="U945" s="6">
        <f>IF(COUNTA(A945:O945)=0,"",IF(AND(B945&lt;&gt;"",C945&lt;&gt;"",D945&lt;&gt;"",E945&lt;&gt;"",H945&lt;&gt;"",OR(J945&lt;&gt;"",L945&lt;&gt;"")),"OK","ERRO: faltam "&amp;IF(B945="","Proprietário; ","")&amp;IF(C945="","Origem; ","")&amp;IF(D945="","CNPJ; ","")&amp;IF(E945="","Razão Social; ","")&amp;IF(H945="","Sobrenome; ","")&amp;IF(AND(J945="",L945=""),"telefone ou e-mail; ","")))</f>
      </c>
      <c r="V945" s="6">
        <f>IF(COUNTA(A945:O945)=0,"",IF(AND(Q945="OK",R945="OK",LEFT(S945,4)&lt;&gt;"ERRO",LEFT(T945,4)&lt;&gt;"ERRO",U945="OK"),"OK","REVISAR"))</f>
      </c>
    </row>
    <row r="946">
      <c r="A946" s="4"/>
      <c r="B946" s="5"/>
      <c r="C946" s="5"/>
      <c r="D946" s="5"/>
      <c r="E946" s="5"/>
      <c r="F946" s="4"/>
      <c r="G946" s="4"/>
      <c r="H946" s="5"/>
      <c r="I946" s="4"/>
      <c r="J946" s="4"/>
      <c r="K946" s="4"/>
      <c r="L946" s="4"/>
      <c r="M946" s="4"/>
      <c r="N946" s="4"/>
      <c r="O946" s="4"/>
      <c r="P946" s="6">
        <f>IF(D946="","",SUBSTITUTE(SUBSTITUTE(SUBSTITUTE(SUBSTITUTE(SUBSTITUTE(SUBSTITUTE(SUBSTITUTE(TRIM(D946),".",""),"/",""),"-","")," ",""),"(",""),")",""),"+",""))</f>
      </c>
      <c r="Q946" s="6">
        <f>IF(P946="","",IF(LEN(P946)&lt;&gt;14,"ERRO: "&amp;LEN(P946)&amp;" dígitos",IF(NOT(ISNUMBER(VALUE(P946))),"ERRO: não numérico",IF(LEN(SUBSTITUTE(P946,LEFT(P946,1),""))=0,"ERRO: dígitos repetidos",IF(AND(VALUE(MID(P946,13,1))=IF(MOD(SUMPRODUCT(--MID(P946,{1,2,3,4,5,6,7,8,9,10,11,12},1),{5,4,3,2,9,8,7,6,5,4,3,2}),11)&lt;2,0,11-MOD(SUMPRODUCT(--MID(P946,{1,2,3,4,5,6,7,8,9,10,11,12},1),{5,4,3,2,9,8,7,6,5,4,3,2}),11)),VALUE(MID(P946,14,1))=IF(MOD(SUMPRODUCT(--MID(P946,{1,2,3,4,5,6,7,8,9,10,11,12,13},1),{6,5,4,3,2,9,8,7,6,5,4,3,2}),11)&lt;2,0,11-MOD(SUMPRODUCT(--MID(P946,{1,2,3,4,5,6,7,8,9,10,11,12,13},1),{6,5,4,3,2,9,8,7,6,5,4,3,2}),11))),"OK","ERRO: dígito verificador")))))</f>
      </c>
      <c r="R946" s="6">
        <f>IF(P946="","",IF(COUNTIF($P$2:$P$1001,P946)&gt;1,"DUPLICADO","OK"))</f>
      </c>
      <c r="S946" s="6">
        <f>IF(AND(J946="",K946=""),"vazio",IF(AND(OR(J946="",LEN(SUBSTITUTE(SUBSTITUTE(SUBSTITUTE(SUBSTITUTE(SUBSTITUTE(SUBSTITUTE(SUBSTITUTE(TRIM(J946),".",""),"/",""),"-","")," ",""),"(",""),")",""),"+",""))=10,LEN(SUBSTITUTE(SUBSTITUTE(SUBSTITUTE(SUBSTITUTE(SUBSTITUTE(SUBSTITUTE(SUBSTITUTE(TRIM(J946),".",""),"/",""),"-","")," ",""),"(",""),")",""),"+",""))=11),OR(K946="",LEN(SUBSTITUTE(SUBSTITUTE(SUBSTITUTE(SUBSTITUTE(SUBSTITUTE(SUBSTITUTE(SUBSTITUTE(TRIM(K946),".",""),"/",""),"-","")," ",""),"(",""),")",""),"+",""))=10,LEN(SUBSTITUTE(SUBSTITUTE(SUBSTITUTE(SUBSTITUTE(SUBSTITUTE(SUBSTITUTE(SUBSTITUTE(TRIM(K946),".",""),"/",""),"-","")," ",""),"(",""),")",""),"+",""))=11)),"OK","ERRO: use DDD + número (10 ou 11 dígitos)"))</f>
      </c>
      <c r="T946" s="6">
        <f>IF(L946="","vazio",IF(AND(ISNUMBER(FIND("@",L946)),ISNUMBER(FIND(".",MID(L946,FIND("@",L946),99))),NOT(ISNUMBER(FIND(" ",TRIM(L946)))),NOT(ISNUMBER(FIND(";",L946))),NOT(ISNUMBER(FIND(",",L946)))),"OK","ERRO: um e-mail válido por linha"))</f>
      </c>
      <c r="U946" s="6">
        <f>IF(COUNTA(A946:O946)=0,"",IF(AND(B946&lt;&gt;"",C946&lt;&gt;"",D946&lt;&gt;"",E946&lt;&gt;"",H946&lt;&gt;"",OR(J946&lt;&gt;"",L946&lt;&gt;"")),"OK","ERRO: faltam "&amp;IF(B946="","Proprietário; ","")&amp;IF(C946="","Origem; ","")&amp;IF(D946="","CNPJ; ","")&amp;IF(E946="","Razão Social; ","")&amp;IF(H946="","Sobrenome; ","")&amp;IF(AND(J946="",L946=""),"telefone ou e-mail; ","")))</f>
      </c>
      <c r="V946" s="6">
        <f>IF(COUNTA(A946:O946)=0,"",IF(AND(Q946="OK",R946="OK",LEFT(S946,4)&lt;&gt;"ERRO",LEFT(T946,4)&lt;&gt;"ERRO",U946="OK"),"OK","REVISAR"))</f>
      </c>
    </row>
    <row r="947">
      <c r="A947" s="4"/>
      <c r="B947" s="5"/>
      <c r="C947" s="5"/>
      <c r="D947" s="5"/>
      <c r="E947" s="5"/>
      <c r="F947" s="4"/>
      <c r="G947" s="4"/>
      <c r="H947" s="5"/>
      <c r="I947" s="4"/>
      <c r="J947" s="4"/>
      <c r="K947" s="4"/>
      <c r="L947" s="4"/>
      <c r="M947" s="4"/>
      <c r="N947" s="4"/>
      <c r="O947" s="4"/>
      <c r="P947" s="6">
        <f>IF(D947="","",SUBSTITUTE(SUBSTITUTE(SUBSTITUTE(SUBSTITUTE(SUBSTITUTE(SUBSTITUTE(SUBSTITUTE(TRIM(D947),".",""),"/",""),"-","")," ",""),"(",""),")",""),"+",""))</f>
      </c>
      <c r="Q947" s="6">
        <f>IF(P947="","",IF(LEN(P947)&lt;&gt;14,"ERRO: "&amp;LEN(P947)&amp;" dígitos",IF(NOT(ISNUMBER(VALUE(P947))),"ERRO: não numérico",IF(LEN(SUBSTITUTE(P947,LEFT(P947,1),""))=0,"ERRO: dígitos repetidos",IF(AND(VALUE(MID(P947,13,1))=IF(MOD(SUMPRODUCT(--MID(P947,{1,2,3,4,5,6,7,8,9,10,11,12},1),{5,4,3,2,9,8,7,6,5,4,3,2}),11)&lt;2,0,11-MOD(SUMPRODUCT(--MID(P947,{1,2,3,4,5,6,7,8,9,10,11,12},1),{5,4,3,2,9,8,7,6,5,4,3,2}),11)),VALUE(MID(P947,14,1))=IF(MOD(SUMPRODUCT(--MID(P947,{1,2,3,4,5,6,7,8,9,10,11,12,13},1),{6,5,4,3,2,9,8,7,6,5,4,3,2}),11)&lt;2,0,11-MOD(SUMPRODUCT(--MID(P947,{1,2,3,4,5,6,7,8,9,10,11,12,13},1),{6,5,4,3,2,9,8,7,6,5,4,3,2}),11))),"OK","ERRO: dígito verificador")))))</f>
      </c>
      <c r="R947" s="6">
        <f>IF(P947="","",IF(COUNTIF($P$2:$P$1001,P947)&gt;1,"DUPLICADO","OK"))</f>
      </c>
      <c r="S947" s="6">
        <f>IF(AND(J947="",K947=""),"vazio",IF(AND(OR(J947="",LEN(SUBSTITUTE(SUBSTITUTE(SUBSTITUTE(SUBSTITUTE(SUBSTITUTE(SUBSTITUTE(SUBSTITUTE(TRIM(J947),".",""),"/",""),"-","")," ",""),"(",""),")",""),"+",""))=10,LEN(SUBSTITUTE(SUBSTITUTE(SUBSTITUTE(SUBSTITUTE(SUBSTITUTE(SUBSTITUTE(SUBSTITUTE(TRIM(J947),".",""),"/",""),"-","")," ",""),"(",""),")",""),"+",""))=11),OR(K947="",LEN(SUBSTITUTE(SUBSTITUTE(SUBSTITUTE(SUBSTITUTE(SUBSTITUTE(SUBSTITUTE(SUBSTITUTE(TRIM(K947),".",""),"/",""),"-","")," ",""),"(",""),")",""),"+",""))=10,LEN(SUBSTITUTE(SUBSTITUTE(SUBSTITUTE(SUBSTITUTE(SUBSTITUTE(SUBSTITUTE(SUBSTITUTE(TRIM(K947),".",""),"/",""),"-","")," ",""),"(",""),")",""),"+",""))=11)),"OK","ERRO: use DDD + número (10 ou 11 dígitos)"))</f>
      </c>
      <c r="T947" s="6">
        <f>IF(L947="","vazio",IF(AND(ISNUMBER(FIND("@",L947)),ISNUMBER(FIND(".",MID(L947,FIND("@",L947),99))),NOT(ISNUMBER(FIND(" ",TRIM(L947)))),NOT(ISNUMBER(FIND(";",L947))),NOT(ISNUMBER(FIND(",",L947)))),"OK","ERRO: um e-mail válido por linha"))</f>
      </c>
      <c r="U947" s="6">
        <f>IF(COUNTA(A947:O947)=0,"",IF(AND(B947&lt;&gt;"",C947&lt;&gt;"",D947&lt;&gt;"",E947&lt;&gt;"",H947&lt;&gt;"",OR(J947&lt;&gt;"",L947&lt;&gt;"")),"OK","ERRO: faltam "&amp;IF(B947="","Proprietário; ","")&amp;IF(C947="","Origem; ","")&amp;IF(D947="","CNPJ; ","")&amp;IF(E947="","Razão Social; ","")&amp;IF(H947="","Sobrenome; ","")&amp;IF(AND(J947="",L947=""),"telefone ou e-mail; ","")))</f>
      </c>
      <c r="V947" s="6">
        <f>IF(COUNTA(A947:O947)=0,"",IF(AND(Q947="OK",R947="OK",LEFT(S947,4)&lt;&gt;"ERRO",LEFT(T947,4)&lt;&gt;"ERRO",U947="OK"),"OK","REVISAR"))</f>
      </c>
    </row>
    <row r="948">
      <c r="A948" s="4"/>
      <c r="B948" s="5"/>
      <c r="C948" s="5"/>
      <c r="D948" s="5"/>
      <c r="E948" s="5"/>
      <c r="F948" s="4"/>
      <c r="G948" s="4"/>
      <c r="H948" s="5"/>
      <c r="I948" s="4"/>
      <c r="J948" s="4"/>
      <c r="K948" s="4"/>
      <c r="L948" s="4"/>
      <c r="M948" s="4"/>
      <c r="N948" s="4"/>
      <c r="O948" s="4"/>
      <c r="P948" s="6">
        <f>IF(D948="","",SUBSTITUTE(SUBSTITUTE(SUBSTITUTE(SUBSTITUTE(SUBSTITUTE(SUBSTITUTE(SUBSTITUTE(TRIM(D948),".",""),"/",""),"-","")," ",""),"(",""),")",""),"+",""))</f>
      </c>
      <c r="Q948" s="6">
        <f>IF(P948="","",IF(LEN(P948)&lt;&gt;14,"ERRO: "&amp;LEN(P948)&amp;" dígitos",IF(NOT(ISNUMBER(VALUE(P948))),"ERRO: não numérico",IF(LEN(SUBSTITUTE(P948,LEFT(P948,1),""))=0,"ERRO: dígitos repetidos",IF(AND(VALUE(MID(P948,13,1))=IF(MOD(SUMPRODUCT(--MID(P948,{1,2,3,4,5,6,7,8,9,10,11,12},1),{5,4,3,2,9,8,7,6,5,4,3,2}),11)&lt;2,0,11-MOD(SUMPRODUCT(--MID(P948,{1,2,3,4,5,6,7,8,9,10,11,12},1),{5,4,3,2,9,8,7,6,5,4,3,2}),11)),VALUE(MID(P948,14,1))=IF(MOD(SUMPRODUCT(--MID(P948,{1,2,3,4,5,6,7,8,9,10,11,12,13},1),{6,5,4,3,2,9,8,7,6,5,4,3,2}),11)&lt;2,0,11-MOD(SUMPRODUCT(--MID(P948,{1,2,3,4,5,6,7,8,9,10,11,12,13},1),{6,5,4,3,2,9,8,7,6,5,4,3,2}),11))),"OK","ERRO: dígito verificador")))))</f>
      </c>
      <c r="R948" s="6">
        <f>IF(P948="","",IF(COUNTIF($P$2:$P$1001,P948)&gt;1,"DUPLICADO","OK"))</f>
      </c>
      <c r="S948" s="6">
        <f>IF(AND(J948="",K948=""),"vazio",IF(AND(OR(J948="",LEN(SUBSTITUTE(SUBSTITUTE(SUBSTITUTE(SUBSTITUTE(SUBSTITUTE(SUBSTITUTE(SUBSTITUTE(TRIM(J948),".",""),"/",""),"-","")," ",""),"(",""),")",""),"+",""))=10,LEN(SUBSTITUTE(SUBSTITUTE(SUBSTITUTE(SUBSTITUTE(SUBSTITUTE(SUBSTITUTE(SUBSTITUTE(TRIM(J948),".",""),"/",""),"-","")," ",""),"(",""),")",""),"+",""))=11),OR(K948="",LEN(SUBSTITUTE(SUBSTITUTE(SUBSTITUTE(SUBSTITUTE(SUBSTITUTE(SUBSTITUTE(SUBSTITUTE(TRIM(K948),".",""),"/",""),"-","")," ",""),"(",""),")",""),"+",""))=10,LEN(SUBSTITUTE(SUBSTITUTE(SUBSTITUTE(SUBSTITUTE(SUBSTITUTE(SUBSTITUTE(SUBSTITUTE(TRIM(K948),".",""),"/",""),"-","")," ",""),"(",""),")",""),"+",""))=11)),"OK","ERRO: use DDD + número (10 ou 11 dígitos)"))</f>
      </c>
      <c r="T948" s="6">
        <f>IF(L948="","vazio",IF(AND(ISNUMBER(FIND("@",L948)),ISNUMBER(FIND(".",MID(L948,FIND("@",L948),99))),NOT(ISNUMBER(FIND(" ",TRIM(L948)))),NOT(ISNUMBER(FIND(";",L948))),NOT(ISNUMBER(FIND(",",L948)))),"OK","ERRO: um e-mail válido por linha"))</f>
      </c>
      <c r="U948" s="6">
        <f>IF(COUNTA(A948:O948)=0,"",IF(AND(B948&lt;&gt;"",C948&lt;&gt;"",D948&lt;&gt;"",E948&lt;&gt;"",H948&lt;&gt;"",OR(J948&lt;&gt;"",L948&lt;&gt;"")),"OK","ERRO: faltam "&amp;IF(B948="","Proprietário; ","")&amp;IF(C948="","Origem; ","")&amp;IF(D948="","CNPJ; ","")&amp;IF(E948="","Razão Social; ","")&amp;IF(H948="","Sobrenome; ","")&amp;IF(AND(J948="",L948=""),"telefone ou e-mail; ","")))</f>
      </c>
      <c r="V948" s="6">
        <f>IF(COUNTA(A948:O948)=0,"",IF(AND(Q948="OK",R948="OK",LEFT(S948,4)&lt;&gt;"ERRO",LEFT(T948,4)&lt;&gt;"ERRO",U948="OK"),"OK","REVISAR"))</f>
      </c>
    </row>
    <row r="949">
      <c r="A949" s="4"/>
      <c r="B949" s="5"/>
      <c r="C949" s="5"/>
      <c r="D949" s="5"/>
      <c r="E949" s="5"/>
      <c r="F949" s="4"/>
      <c r="G949" s="4"/>
      <c r="H949" s="5"/>
      <c r="I949" s="4"/>
      <c r="J949" s="4"/>
      <c r="K949" s="4"/>
      <c r="L949" s="4"/>
      <c r="M949" s="4"/>
      <c r="N949" s="4"/>
      <c r="O949" s="4"/>
      <c r="P949" s="6">
        <f>IF(D949="","",SUBSTITUTE(SUBSTITUTE(SUBSTITUTE(SUBSTITUTE(SUBSTITUTE(SUBSTITUTE(SUBSTITUTE(TRIM(D949),".",""),"/",""),"-","")," ",""),"(",""),")",""),"+",""))</f>
      </c>
      <c r="Q949" s="6">
        <f>IF(P949="","",IF(LEN(P949)&lt;&gt;14,"ERRO: "&amp;LEN(P949)&amp;" dígitos",IF(NOT(ISNUMBER(VALUE(P949))),"ERRO: não numérico",IF(LEN(SUBSTITUTE(P949,LEFT(P949,1),""))=0,"ERRO: dígitos repetidos",IF(AND(VALUE(MID(P949,13,1))=IF(MOD(SUMPRODUCT(--MID(P949,{1,2,3,4,5,6,7,8,9,10,11,12},1),{5,4,3,2,9,8,7,6,5,4,3,2}),11)&lt;2,0,11-MOD(SUMPRODUCT(--MID(P949,{1,2,3,4,5,6,7,8,9,10,11,12},1),{5,4,3,2,9,8,7,6,5,4,3,2}),11)),VALUE(MID(P949,14,1))=IF(MOD(SUMPRODUCT(--MID(P949,{1,2,3,4,5,6,7,8,9,10,11,12,13},1),{6,5,4,3,2,9,8,7,6,5,4,3,2}),11)&lt;2,0,11-MOD(SUMPRODUCT(--MID(P949,{1,2,3,4,5,6,7,8,9,10,11,12,13},1),{6,5,4,3,2,9,8,7,6,5,4,3,2}),11))),"OK","ERRO: dígito verificador")))))</f>
      </c>
      <c r="R949" s="6">
        <f>IF(P949="","",IF(COUNTIF($P$2:$P$1001,P949)&gt;1,"DUPLICADO","OK"))</f>
      </c>
      <c r="S949" s="6">
        <f>IF(AND(J949="",K949=""),"vazio",IF(AND(OR(J949="",LEN(SUBSTITUTE(SUBSTITUTE(SUBSTITUTE(SUBSTITUTE(SUBSTITUTE(SUBSTITUTE(SUBSTITUTE(TRIM(J949),".",""),"/",""),"-","")," ",""),"(",""),")",""),"+",""))=10,LEN(SUBSTITUTE(SUBSTITUTE(SUBSTITUTE(SUBSTITUTE(SUBSTITUTE(SUBSTITUTE(SUBSTITUTE(TRIM(J949),".",""),"/",""),"-","")," ",""),"(",""),")",""),"+",""))=11),OR(K949="",LEN(SUBSTITUTE(SUBSTITUTE(SUBSTITUTE(SUBSTITUTE(SUBSTITUTE(SUBSTITUTE(SUBSTITUTE(TRIM(K949),".",""),"/",""),"-","")," ",""),"(",""),")",""),"+",""))=10,LEN(SUBSTITUTE(SUBSTITUTE(SUBSTITUTE(SUBSTITUTE(SUBSTITUTE(SUBSTITUTE(SUBSTITUTE(TRIM(K949),".",""),"/",""),"-","")," ",""),"(",""),")",""),"+",""))=11)),"OK","ERRO: use DDD + número (10 ou 11 dígitos)"))</f>
      </c>
      <c r="T949" s="6">
        <f>IF(L949="","vazio",IF(AND(ISNUMBER(FIND("@",L949)),ISNUMBER(FIND(".",MID(L949,FIND("@",L949),99))),NOT(ISNUMBER(FIND(" ",TRIM(L949)))),NOT(ISNUMBER(FIND(";",L949))),NOT(ISNUMBER(FIND(",",L949)))),"OK","ERRO: um e-mail válido por linha"))</f>
      </c>
      <c r="U949" s="6">
        <f>IF(COUNTA(A949:O949)=0,"",IF(AND(B949&lt;&gt;"",C949&lt;&gt;"",D949&lt;&gt;"",E949&lt;&gt;"",H949&lt;&gt;"",OR(J949&lt;&gt;"",L949&lt;&gt;"")),"OK","ERRO: faltam "&amp;IF(B949="","Proprietário; ","")&amp;IF(C949="","Origem; ","")&amp;IF(D949="","CNPJ; ","")&amp;IF(E949="","Razão Social; ","")&amp;IF(H949="","Sobrenome; ","")&amp;IF(AND(J949="",L949=""),"telefone ou e-mail; ","")))</f>
      </c>
      <c r="V949" s="6">
        <f>IF(COUNTA(A949:O949)=0,"",IF(AND(Q949="OK",R949="OK",LEFT(S949,4)&lt;&gt;"ERRO",LEFT(T949,4)&lt;&gt;"ERRO",U949="OK"),"OK","REVISAR"))</f>
      </c>
    </row>
    <row r="950">
      <c r="A950" s="4"/>
      <c r="B950" s="5"/>
      <c r="C950" s="5"/>
      <c r="D950" s="5"/>
      <c r="E950" s="5"/>
      <c r="F950" s="4"/>
      <c r="G950" s="4"/>
      <c r="H950" s="5"/>
      <c r="I950" s="4"/>
      <c r="J950" s="4"/>
      <c r="K950" s="4"/>
      <c r="L950" s="4"/>
      <c r="M950" s="4"/>
      <c r="N950" s="4"/>
      <c r="O950" s="4"/>
      <c r="P950" s="6">
        <f>IF(D950="","",SUBSTITUTE(SUBSTITUTE(SUBSTITUTE(SUBSTITUTE(SUBSTITUTE(SUBSTITUTE(SUBSTITUTE(TRIM(D950),".",""),"/",""),"-","")," ",""),"(",""),")",""),"+",""))</f>
      </c>
      <c r="Q950" s="6">
        <f>IF(P950="","",IF(LEN(P950)&lt;&gt;14,"ERRO: "&amp;LEN(P950)&amp;" dígitos",IF(NOT(ISNUMBER(VALUE(P950))),"ERRO: não numérico",IF(LEN(SUBSTITUTE(P950,LEFT(P950,1),""))=0,"ERRO: dígitos repetidos",IF(AND(VALUE(MID(P950,13,1))=IF(MOD(SUMPRODUCT(--MID(P950,{1,2,3,4,5,6,7,8,9,10,11,12},1),{5,4,3,2,9,8,7,6,5,4,3,2}),11)&lt;2,0,11-MOD(SUMPRODUCT(--MID(P950,{1,2,3,4,5,6,7,8,9,10,11,12},1),{5,4,3,2,9,8,7,6,5,4,3,2}),11)),VALUE(MID(P950,14,1))=IF(MOD(SUMPRODUCT(--MID(P950,{1,2,3,4,5,6,7,8,9,10,11,12,13},1),{6,5,4,3,2,9,8,7,6,5,4,3,2}),11)&lt;2,0,11-MOD(SUMPRODUCT(--MID(P950,{1,2,3,4,5,6,7,8,9,10,11,12,13},1),{6,5,4,3,2,9,8,7,6,5,4,3,2}),11))),"OK","ERRO: dígito verificador")))))</f>
      </c>
      <c r="R950" s="6">
        <f>IF(P950="","",IF(COUNTIF($P$2:$P$1001,P950)&gt;1,"DUPLICADO","OK"))</f>
      </c>
      <c r="S950" s="6">
        <f>IF(AND(J950="",K950=""),"vazio",IF(AND(OR(J950="",LEN(SUBSTITUTE(SUBSTITUTE(SUBSTITUTE(SUBSTITUTE(SUBSTITUTE(SUBSTITUTE(SUBSTITUTE(TRIM(J950),".",""),"/",""),"-","")," ",""),"(",""),")",""),"+",""))=10,LEN(SUBSTITUTE(SUBSTITUTE(SUBSTITUTE(SUBSTITUTE(SUBSTITUTE(SUBSTITUTE(SUBSTITUTE(TRIM(J950),".",""),"/",""),"-","")," ",""),"(",""),")",""),"+",""))=11),OR(K950="",LEN(SUBSTITUTE(SUBSTITUTE(SUBSTITUTE(SUBSTITUTE(SUBSTITUTE(SUBSTITUTE(SUBSTITUTE(TRIM(K950),".",""),"/",""),"-","")," ",""),"(",""),")",""),"+",""))=10,LEN(SUBSTITUTE(SUBSTITUTE(SUBSTITUTE(SUBSTITUTE(SUBSTITUTE(SUBSTITUTE(SUBSTITUTE(TRIM(K950),".",""),"/",""),"-","")," ",""),"(",""),")",""),"+",""))=11)),"OK","ERRO: use DDD + número (10 ou 11 dígitos)"))</f>
      </c>
      <c r="T950" s="6">
        <f>IF(L950="","vazio",IF(AND(ISNUMBER(FIND("@",L950)),ISNUMBER(FIND(".",MID(L950,FIND("@",L950),99))),NOT(ISNUMBER(FIND(" ",TRIM(L950)))),NOT(ISNUMBER(FIND(";",L950))),NOT(ISNUMBER(FIND(",",L950)))),"OK","ERRO: um e-mail válido por linha"))</f>
      </c>
      <c r="U950" s="6">
        <f>IF(COUNTA(A950:O950)=0,"",IF(AND(B950&lt;&gt;"",C950&lt;&gt;"",D950&lt;&gt;"",E950&lt;&gt;"",H950&lt;&gt;"",OR(J950&lt;&gt;"",L950&lt;&gt;"")),"OK","ERRO: faltam "&amp;IF(B950="","Proprietário; ","")&amp;IF(C950="","Origem; ","")&amp;IF(D950="","CNPJ; ","")&amp;IF(E950="","Razão Social; ","")&amp;IF(H950="","Sobrenome; ","")&amp;IF(AND(J950="",L950=""),"telefone ou e-mail; ","")))</f>
      </c>
      <c r="V950" s="6">
        <f>IF(COUNTA(A950:O950)=0,"",IF(AND(Q950="OK",R950="OK",LEFT(S950,4)&lt;&gt;"ERRO",LEFT(T950,4)&lt;&gt;"ERRO",U950="OK"),"OK","REVISAR"))</f>
      </c>
    </row>
    <row r="951">
      <c r="A951" s="4"/>
      <c r="B951" s="5"/>
      <c r="C951" s="5"/>
      <c r="D951" s="5"/>
      <c r="E951" s="5"/>
      <c r="F951" s="4"/>
      <c r="G951" s="4"/>
      <c r="H951" s="5"/>
      <c r="I951" s="4"/>
      <c r="J951" s="4"/>
      <c r="K951" s="4"/>
      <c r="L951" s="4"/>
      <c r="M951" s="4"/>
      <c r="N951" s="4"/>
      <c r="O951" s="4"/>
      <c r="P951" s="6">
        <f>IF(D951="","",SUBSTITUTE(SUBSTITUTE(SUBSTITUTE(SUBSTITUTE(SUBSTITUTE(SUBSTITUTE(SUBSTITUTE(TRIM(D951),".",""),"/",""),"-","")," ",""),"(",""),")",""),"+",""))</f>
      </c>
      <c r="Q951" s="6">
        <f>IF(P951="","",IF(LEN(P951)&lt;&gt;14,"ERRO: "&amp;LEN(P951)&amp;" dígitos",IF(NOT(ISNUMBER(VALUE(P951))),"ERRO: não numérico",IF(LEN(SUBSTITUTE(P951,LEFT(P951,1),""))=0,"ERRO: dígitos repetidos",IF(AND(VALUE(MID(P951,13,1))=IF(MOD(SUMPRODUCT(--MID(P951,{1,2,3,4,5,6,7,8,9,10,11,12},1),{5,4,3,2,9,8,7,6,5,4,3,2}),11)&lt;2,0,11-MOD(SUMPRODUCT(--MID(P951,{1,2,3,4,5,6,7,8,9,10,11,12},1),{5,4,3,2,9,8,7,6,5,4,3,2}),11)),VALUE(MID(P951,14,1))=IF(MOD(SUMPRODUCT(--MID(P951,{1,2,3,4,5,6,7,8,9,10,11,12,13},1),{6,5,4,3,2,9,8,7,6,5,4,3,2}),11)&lt;2,0,11-MOD(SUMPRODUCT(--MID(P951,{1,2,3,4,5,6,7,8,9,10,11,12,13},1),{6,5,4,3,2,9,8,7,6,5,4,3,2}),11))),"OK","ERRO: dígito verificador")))))</f>
      </c>
      <c r="R951" s="6">
        <f>IF(P951="","",IF(COUNTIF($P$2:$P$1001,P951)&gt;1,"DUPLICADO","OK"))</f>
      </c>
      <c r="S951" s="6">
        <f>IF(AND(J951="",K951=""),"vazio",IF(AND(OR(J951="",LEN(SUBSTITUTE(SUBSTITUTE(SUBSTITUTE(SUBSTITUTE(SUBSTITUTE(SUBSTITUTE(SUBSTITUTE(TRIM(J951),".",""),"/",""),"-","")," ",""),"(",""),")",""),"+",""))=10,LEN(SUBSTITUTE(SUBSTITUTE(SUBSTITUTE(SUBSTITUTE(SUBSTITUTE(SUBSTITUTE(SUBSTITUTE(TRIM(J951),".",""),"/",""),"-","")," ",""),"(",""),")",""),"+",""))=11),OR(K951="",LEN(SUBSTITUTE(SUBSTITUTE(SUBSTITUTE(SUBSTITUTE(SUBSTITUTE(SUBSTITUTE(SUBSTITUTE(TRIM(K951),".",""),"/",""),"-","")," ",""),"(",""),")",""),"+",""))=10,LEN(SUBSTITUTE(SUBSTITUTE(SUBSTITUTE(SUBSTITUTE(SUBSTITUTE(SUBSTITUTE(SUBSTITUTE(TRIM(K951),".",""),"/",""),"-","")," ",""),"(",""),")",""),"+",""))=11)),"OK","ERRO: use DDD + número (10 ou 11 dígitos)"))</f>
      </c>
      <c r="T951" s="6">
        <f>IF(L951="","vazio",IF(AND(ISNUMBER(FIND("@",L951)),ISNUMBER(FIND(".",MID(L951,FIND("@",L951),99))),NOT(ISNUMBER(FIND(" ",TRIM(L951)))),NOT(ISNUMBER(FIND(";",L951))),NOT(ISNUMBER(FIND(",",L951)))),"OK","ERRO: um e-mail válido por linha"))</f>
      </c>
      <c r="U951" s="6">
        <f>IF(COUNTA(A951:O951)=0,"",IF(AND(B951&lt;&gt;"",C951&lt;&gt;"",D951&lt;&gt;"",E951&lt;&gt;"",H951&lt;&gt;"",OR(J951&lt;&gt;"",L951&lt;&gt;"")),"OK","ERRO: faltam "&amp;IF(B951="","Proprietário; ","")&amp;IF(C951="","Origem; ","")&amp;IF(D951="","CNPJ; ","")&amp;IF(E951="","Razão Social; ","")&amp;IF(H951="","Sobrenome; ","")&amp;IF(AND(J951="",L951=""),"telefone ou e-mail; ","")))</f>
      </c>
      <c r="V951" s="6">
        <f>IF(COUNTA(A951:O951)=0,"",IF(AND(Q951="OK",R951="OK",LEFT(S951,4)&lt;&gt;"ERRO",LEFT(T951,4)&lt;&gt;"ERRO",U951="OK"),"OK","REVISAR"))</f>
      </c>
    </row>
    <row r="952">
      <c r="A952" s="4"/>
      <c r="B952" s="5"/>
      <c r="C952" s="5"/>
      <c r="D952" s="5"/>
      <c r="E952" s="5"/>
      <c r="F952" s="4"/>
      <c r="G952" s="4"/>
      <c r="H952" s="5"/>
      <c r="I952" s="4"/>
      <c r="J952" s="4"/>
      <c r="K952" s="4"/>
      <c r="L952" s="4"/>
      <c r="M952" s="4"/>
      <c r="N952" s="4"/>
      <c r="O952" s="4"/>
      <c r="P952" s="6">
        <f>IF(D952="","",SUBSTITUTE(SUBSTITUTE(SUBSTITUTE(SUBSTITUTE(SUBSTITUTE(SUBSTITUTE(SUBSTITUTE(TRIM(D952),".",""),"/",""),"-","")," ",""),"(",""),")",""),"+",""))</f>
      </c>
      <c r="Q952" s="6">
        <f>IF(P952="","",IF(LEN(P952)&lt;&gt;14,"ERRO: "&amp;LEN(P952)&amp;" dígitos",IF(NOT(ISNUMBER(VALUE(P952))),"ERRO: não numérico",IF(LEN(SUBSTITUTE(P952,LEFT(P952,1),""))=0,"ERRO: dígitos repetidos",IF(AND(VALUE(MID(P952,13,1))=IF(MOD(SUMPRODUCT(--MID(P952,{1,2,3,4,5,6,7,8,9,10,11,12},1),{5,4,3,2,9,8,7,6,5,4,3,2}),11)&lt;2,0,11-MOD(SUMPRODUCT(--MID(P952,{1,2,3,4,5,6,7,8,9,10,11,12},1),{5,4,3,2,9,8,7,6,5,4,3,2}),11)),VALUE(MID(P952,14,1))=IF(MOD(SUMPRODUCT(--MID(P952,{1,2,3,4,5,6,7,8,9,10,11,12,13},1),{6,5,4,3,2,9,8,7,6,5,4,3,2}),11)&lt;2,0,11-MOD(SUMPRODUCT(--MID(P952,{1,2,3,4,5,6,7,8,9,10,11,12,13},1),{6,5,4,3,2,9,8,7,6,5,4,3,2}),11))),"OK","ERRO: dígito verificador")))))</f>
      </c>
      <c r="R952" s="6">
        <f>IF(P952="","",IF(COUNTIF($P$2:$P$1001,P952)&gt;1,"DUPLICADO","OK"))</f>
      </c>
      <c r="S952" s="6">
        <f>IF(AND(J952="",K952=""),"vazio",IF(AND(OR(J952="",LEN(SUBSTITUTE(SUBSTITUTE(SUBSTITUTE(SUBSTITUTE(SUBSTITUTE(SUBSTITUTE(SUBSTITUTE(TRIM(J952),".",""),"/",""),"-","")," ",""),"(",""),")",""),"+",""))=10,LEN(SUBSTITUTE(SUBSTITUTE(SUBSTITUTE(SUBSTITUTE(SUBSTITUTE(SUBSTITUTE(SUBSTITUTE(TRIM(J952),".",""),"/",""),"-","")," ",""),"(",""),")",""),"+",""))=11),OR(K952="",LEN(SUBSTITUTE(SUBSTITUTE(SUBSTITUTE(SUBSTITUTE(SUBSTITUTE(SUBSTITUTE(SUBSTITUTE(TRIM(K952),".",""),"/",""),"-","")," ",""),"(",""),")",""),"+",""))=10,LEN(SUBSTITUTE(SUBSTITUTE(SUBSTITUTE(SUBSTITUTE(SUBSTITUTE(SUBSTITUTE(SUBSTITUTE(TRIM(K952),".",""),"/",""),"-","")," ",""),"(",""),")",""),"+",""))=11)),"OK","ERRO: use DDD + número (10 ou 11 dígitos)"))</f>
      </c>
      <c r="T952" s="6">
        <f>IF(L952="","vazio",IF(AND(ISNUMBER(FIND("@",L952)),ISNUMBER(FIND(".",MID(L952,FIND("@",L952),99))),NOT(ISNUMBER(FIND(" ",TRIM(L952)))),NOT(ISNUMBER(FIND(";",L952))),NOT(ISNUMBER(FIND(",",L952)))),"OK","ERRO: um e-mail válido por linha"))</f>
      </c>
      <c r="U952" s="6">
        <f>IF(COUNTA(A952:O952)=0,"",IF(AND(B952&lt;&gt;"",C952&lt;&gt;"",D952&lt;&gt;"",E952&lt;&gt;"",H952&lt;&gt;"",OR(J952&lt;&gt;"",L952&lt;&gt;"")),"OK","ERRO: faltam "&amp;IF(B952="","Proprietário; ","")&amp;IF(C952="","Origem; ","")&amp;IF(D952="","CNPJ; ","")&amp;IF(E952="","Razão Social; ","")&amp;IF(H952="","Sobrenome; ","")&amp;IF(AND(J952="",L952=""),"telefone ou e-mail; ","")))</f>
      </c>
      <c r="V952" s="6">
        <f>IF(COUNTA(A952:O952)=0,"",IF(AND(Q952="OK",R952="OK",LEFT(S952,4)&lt;&gt;"ERRO",LEFT(T952,4)&lt;&gt;"ERRO",U952="OK"),"OK","REVISAR"))</f>
      </c>
    </row>
    <row r="953">
      <c r="A953" s="4"/>
      <c r="B953" s="5"/>
      <c r="C953" s="5"/>
      <c r="D953" s="5"/>
      <c r="E953" s="5"/>
      <c r="F953" s="4"/>
      <c r="G953" s="4"/>
      <c r="H953" s="5"/>
      <c r="I953" s="4"/>
      <c r="J953" s="4"/>
      <c r="K953" s="4"/>
      <c r="L953" s="4"/>
      <c r="M953" s="4"/>
      <c r="N953" s="4"/>
      <c r="O953" s="4"/>
      <c r="P953" s="6">
        <f>IF(D953="","",SUBSTITUTE(SUBSTITUTE(SUBSTITUTE(SUBSTITUTE(SUBSTITUTE(SUBSTITUTE(SUBSTITUTE(TRIM(D953),".",""),"/",""),"-","")," ",""),"(",""),")",""),"+",""))</f>
      </c>
      <c r="Q953" s="6">
        <f>IF(P953="","",IF(LEN(P953)&lt;&gt;14,"ERRO: "&amp;LEN(P953)&amp;" dígitos",IF(NOT(ISNUMBER(VALUE(P953))),"ERRO: não numérico",IF(LEN(SUBSTITUTE(P953,LEFT(P953,1),""))=0,"ERRO: dígitos repetidos",IF(AND(VALUE(MID(P953,13,1))=IF(MOD(SUMPRODUCT(--MID(P953,{1,2,3,4,5,6,7,8,9,10,11,12},1),{5,4,3,2,9,8,7,6,5,4,3,2}),11)&lt;2,0,11-MOD(SUMPRODUCT(--MID(P953,{1,2,3,4,5,6,7,8,9,10,11,12},1),{5,4,3,2,9,8,7,6,5,4,3,2}),11)),VALUE(MID(P953,14,1))=IF(MOD(SUMPRODUCT(--MID(P953,{1,2,3,4,5,6,7,8,9,10,11,12,13},1),{6,5,4,3,2,9,8,7,6,5,4,3,2}),11)&lt;2,0,11-MOD(SUMPRODUCT(--MID(P953,{1,2,3,4,5,6,7,8,9,10,11,12,13},1),{6,5,4,3,2,9,8,7,6,5,4,3,2}),11))),"OK","ERRO: dígito verificador")))))</f>
      </c>
      <c r="R953" s="6">
        <f>IF(P953="","",IF(COUNTIF($P$2:$P$1001,P953)&gt;1,"DUPLICADO","OK"))</f>
      </c>
      <c r="S953" s="6">
        <f>IF(AND(J953="",K953=""),"vazio",IF(AND(OR(J953="",LEN(SUBSTITUTE(SUBSTITUTE(SUBSTITUTE(SUBSTITUTE(SUBSTITUTE(SUBSTITUTE(SUBSTITUTE(TRIM(J953),".",""),"/",""),"-","")," ",""),"(",""),")",""),"+",""))=10,LEN(SUBSTITUTE(SUBSTITUTE(SUBSTITUTE(SUBSTITUTE(SUBSTITUTE(SUBSTITUTE(SUBSTITUTE(TRIM(J953),".",""),"/",""),"-","")," ",""),"(",""),")",""),"+",""))=11),OR(K953="",LEN(SUBSTITUTE(SUBSTITUTE(SUBSTITUTE(SUBSTITUTE(SUBSTITUTE(SUBSTITUTE(SUBSTITUTE(TRIM(K953),".",""),"/",""),"-","")," ",""),"(",""),")",""),"+",""))=10,LEN(SUBSTITUTE(SUBSTITUTE(SUBSTITUTE(SUBSTITUTE(SUBSTITUTE(SUBSTITUTE(SUBSTITUTE(TRIM(K953),".",""),"/",""),"-","")," ",""),"(",""),")",""),"+",""))=11)),"OK","ERRO: use DDD + número (10 ou 11 dígitos)"))</f>
      </c>
      <c r="T953" s="6">
        <f>IF(L953="","vazio",IF(AND(ISNUMBER(FIND("@",L953)),ISNUMBER(FIND(".",MID(L953,FIND("@",L953),99))),NOT(ISNUMBER(FIND(" ",TRIM(L953)))),NOT(ISNUMBER(FIND(";",L953))),NOT(ISNUMBER(FIND(",",L953)))),"OK","ERRO: um e-mail válido por linha"))</f>
      </c>
      <c r="U953" s="6">
        <f>IF(COUNTA(A953:O953)=0,"",IF(AND(B953&lt;&gt;"",C953&lt;&gt;"",D953&lt;&gt;"",E953&lt;&gt;"",H953&lt;&gt;"",OR(J953&lt;&gt;"",L953&lt;&gt;"")),"OK","ERRO: faltam "&amp;IF(B953="","Proprietário; ","")&amp;IF(C953="","Origem; ","")&amp;IF(D953="","CNPJ; ","")&amp;IF(E953="","Razão Social; ","")&amp;IF(H953="","Sobrenome; ","")&amp;IF(AND(J953="",L953=""),"telefone ou e-mail; ","")))</f>
      </c>
      <c r="V953" s="6">
        <f>IF(COUNTA(A953:O953)=0,"",IF(AND(Q953="OK",R953="OK",LEFT(S953,4)&lt;&gt;"ERRO",LEFT(T953,4)&lt;&gt;"ERRO",U953="OK"),"OK","REVISAR"))</f>
      </c>
    </row>
    <row r="954">
      <c r="A954" s="4"/>
      <c r="B954" s="5"/>
      <c r="C954" s="5"/>
      <c r="D954" s="5"/>
      <c r="E954" s="5"/>
      <c r="F954" s="4"/>
      <c r="G954" s="4"/>
      <c r="H954" s="5"/>
      <c r="I954" s="4"/>
      <c r="J954" s="4"/>
      <c r="K954" s="4"/>
      <c r="L954" s="4"/>
      <c r="M954" s="4"/>
      <c r="N954" s="4"/>
      <c r="O954" s="4"/>
      <c r="P954" s="6">
        <f>IF(D954="","",SUBSTITUTE(SUBSTITUTE(SUBSTITUTE(SUBSTITUTE(SUBSTITUTE(SUBSTITUTE(SUBSTITUTE(TRIM(D954),".",""),"/",""),"-","")," ",""),"(",""),")",""),"+",""))</f>
      </c>
      <c r="Q954" s="6">
        <f>IF(P954="","",IF(LEN(P954)&lt;&gt;14,"ERRO: "&amp;LEN(P954)&amp;" dígitos",IF(NOT(ISNUMBER(VALUE(P954))),"ERRO: não numérico",IF(LEN(SUBSTITUTE(P954,LEFT(P954,1),""))=0,"ERRO: dígitos repetidos",IF(AND(VALUE(MID(P954,13,1))=IF(MOD(SUMPRODUCT(--MID(P954,{1,2,3,4,5,6,7,8,9,10,11,12},1),{5,4,3,2,9,8,7,6,5,4,3,2}),11)&lt;2,0,11-MOD(SUMPRODUCT(--MID(P954,{1,2,3,4,5,6,7,8,9,10,11,12},1),{5,4,3,2,9,8,7,6,5,4,3,2}),11)),VALUE(MID(P954,14,1))=IF(MOD(SUMPRODUCT(--MID(P954,{1,2,3,4,5,6,7,8,9,10,11,12,13},1),{6,5,4,3,2,9,8,7,6,5,4,3,2}),11)&lt;2,0,11-MOD(SUMPRODUCT(--MID(P954,{1,2,3,4,5,6,7,8,9,10,11,12,13},1),{6,5,4,3,2,9,8,7,6,5,4,3,2}),11))),"OK","ERRO: dígito verificador")))))</f>
      </c>
      <c r="R954" s="6">
        <f>IF(P954="","",IF(COUNTIF($P$2:$P$1001,P954)&gt;1,"DUPLICADO","OK"))</f>
      </c>
      <c r="S954" s="6">
        <f>IF(AND(J954="",K954=""),"vazio",IF(AND(OR(J954="",LEN(SUBSTITUTE(SUBSTITUTE(SUBSTITUTE(SUBSTITUTE(SUBSTITUTE(SUBSTITUTE(SUBSTITUTE(TRIM(J954),".",""),"/",""),"-","")," ",""),"(",""),")",""),"+",""))=10,LEN(SUBSTITUTE(SUBSTITUTE(SUBSTITUTE(SUBSTITUTE(SUBSTITUTE(SUBSTITUTE(SUBSTITUTE(TRIM(J954),".",""),"/",""),"-","")," ",""),"(",""),")",""),"+",""))=11),OR(K954="",LEN(SUBSTITUTE(SUBSTITUTE(SUBSTITUTE(SUBSTITUTE(SUBSTITUTE(SUBSTITUTE(SUBSTITUTE(TRIM(K954),".",""),"/",""),"-","")," ",""),"(",""),")",""),"+",""))=10,LEN(SUBSTITUTE(SUBSTITUTE(SUBSTITUTE(SUBSTITUTE(SUBSTITUTE(SUBSTITUTE(SUBSTITUTE(TRIM(K954),".",""),"/",""),"-","")," ",""),"(",""),")",""),"+",""))=11)),"OK","ERRO: use DDD + número (10 ou 11 dígitos)"))</f>
      </c>
      <c r="T954" s="6">
        <f>IF(L954="","vazio",IF(AND(ISNUMBER(FIND("@",L954)),ISNUMBER(FIND(".",MID(L954,FIND("@",L954),99))),NOT(ISNUMBER(FIND(" ",TRIM(L954)))),NOT(ISNUMBER(FIND(";",L954))),NOT(ISNUMBER(FIND(",",L954)))),"OK","ERRO: um e-mail válido por linha"))</f>
      </c>
      <c r="U954" s="6">
        <f>IF(COUNTA(A954:O954)=0,"",IF(AND(B954&lt;&gt;"",C954&lt;&gt;"",D954&lt;&gt;"",E954&lt;&gt;"",H954&lt;&gt;"",OR(J954&lt;&gt;"",L954&lt;&gt;"")),"OK","ERRO: faltam "&amp;IF(B954="","Proprietário; ","")&amp;IF(C954="","Origem; ","")&amp;IF(D954="","CNPJ; ","")&amp;IF(E954="","Razão Social; ","")&amp;IF(H954="","Sobrenome; ","")&amp;IF(AND(J954="",L954=""),"telefone ou e-mail; ","")))</f>
      </c>
      <c r="V954" s="6">
        <f>IF(COUNTA(A954:O954)=0,"",IF(AND(Q954="OK",R954="OK",LEFT(S954,4)&lt;&gt;"ERRO",LEFT(T954,4)&lt;&gt;"ERRO",U954="OK"),"OK","REVISAR"))</f>
      </c>
    </row>
    <row r="955">
      <c r="A955" s="4"/>
      <c r="B955" s="5"/>
      <c r="C955" s="5"/>
      <c r="D955" s="5"/>
      <c r="E955" s="5"/>
      <c r="F955" s="4"/>
      <c r="G955" s="4"/>
      <c r="H955" s="5"/>
      <c r="I955" s="4"/>
      <c r="J955" s="4"/>
      <c r="K955" s="4"/>
      <c r="L955" s="4"/>
      <c r="M955" s="4"/>
      <c r="N955" s="4"/>
      <c r="O955" s="4"/>
      <c r="P955" s="6">
        <f>IF(D955="","",SUBSTITUTE(SUBSTITUTE(SUBSTITUTE(SUBSTITUTE(SUBSTITUTE(SUBSTITUTE(SUBSTITUTE(TRIM(D955),".",""),"/",""),"-","")," ",""),"(",""),")",""),"+",""))</f>
      </c>
      <c r="Q955" s="6">
        <f>IF(P955="","",IF(LEN(P955)&lt;&gt;14,"ERRO: "&amp;LEN(P955)&amp;" dígitos",IF(NOT(ISNUMBER(VALUE(P955))),"ERRO: não numérico",IF(LEN(SUBSTITUTE(P955,LEFT(P955,1),""))=0,"ERRO: dígitos repetidos",IF(AND(VALUE(MID(P955,13,1))=IF(MOD(SUMPRODUCT(--MID(P955,{1,2,3,4,5,6,7,8,9,10,11,12},1),{5,4,3,2,9,8,7,6,5,4,3,2}),11)&lt;2,0,11-MOD(SUMPRODUCT(--MID(P955,{1,2,3,4,5,6,7,8,9,10,11,12},1),{5,4,3,2,9,8,7,6,5,4,3,2}),11)),VALUE(MID(P955,14,1))=IF(MOD(SUMPRODUCT(--MID(P955,{1,2,3,4,5,6,7,8,9,10,11,12,13},1),{6,5,4,3,2,9,8,7,6,5,4,3,2}),11)&lt;2,0,11-MOD(SUMPRODUCT(--MID(P955,{1,2,3,4,5,6,7,8,9,10,11,12,13},1),{6,5,4,3,2,9,8,7,6,5,4,3,2}),11))),"OK","ERRO: dígito verificador")))))</f>
      </c>
      <c r="R955" s="6">
        <f>IF(P955="","",IF(COUNTIF($P$2:$P$1001,P955)&gt;1,"DUPLICADO","OK"))</f>
      </c>
      <c r="S955" s="6">
        <f>IF(AND(J955="",K955=""),"vazio",IF(AND(OR(J955="",LEN(SUBSTITUTE(SUBSTITUTE(SUBSTITUTE(SUBSTITUTE(SUBSTITUTE(SUBSTITUTE(SUBSTITUTE(TRIM(J955),".",""),"/",""),"-","")," ",""),"(",""),")",""),"+",""))=10,LEN(SUBSTITUTE(SUBSTITUTE(SUBSTITUTE(SUBSTITUTE(SUBSTITUTE(SUBSTITUTE(SUBSTITUTE(TRIM(J955),".",""),"/",""),"-","")," ",""),"(",""),")",""),"+",""))=11),OR(K955="",LEN(SUBSTITUTE(SUBSTITUTE(SUBSTITUTE(SUBSTITUTE(SUBSTITUTE(SUBSTITUTE(SUBSTITUTE(TRIM(K955),".",""),"/",""),"-","")," ",""),"(",""),")",""),"+",""))=10,LEN(SUBSTITUTE(SUBSTITUTE(SUBSTITUTE(SUBSTITUTE(SUBSTITUTE(SUBSTITUTE(SUBSTITUTE(TRIM(K955),".",""),"/",""),"-","")," ",""),"(",""),")",""),"+",""))=11)),"OK","ERRO: use DDD + número (10 ou 11 dígitos)"))</f>
      </c>
      <c r="T955" s="6">
        <f>IF(L955="","vazio",IF(AND(ISNUMBER(FIND("@",L955)),ISNUMBER(FIND(".",MID(L955,FIND("@",L955),99))),NOT(ISNUMBER(FIND(" ",TRIM(L955)))),NOT(ISNUMBER(FIND(";",L955))),NOT(ISNUMBER(FIND(",",L955)))),"OK","ERRO: um e-mail válido por linha"))</f>
      </c>
      <c r="U955" s="6">
        <f>IF(COUNTA(A955:O955)=0,"",IF(AND(B955&lt;&gt;"",C955&lt;&gt;"",D955&lt;&gt;"",E955&lt;&gt;"",H955&lt;&gt;"",OR(J955&lt;&gt;"",L955&lt;&gt;"")),"OK","ERRO: faltam "&amp;IF(B955="","Proprietário; ","")&amp;IF(C955="","Origem; ","")&amp;IF(D955="","CNPJ; ","")&amp;IF(E955="","Razão Social; ","")&amp;IF(H955="","Sobrenome; ","")&amp;IF(AND(J955="",L955=""),"telefone ou e-mail; ","")))</f>
      </c>
      <c r="V955" s="6">
        <f>IF(COUNTA(A955:O955)=0,"",IF(AND(Q955="OK",R955="OK",LEFT(S955,4)&lt;&gt;"ERRO",LEFT(T955,4)&lt;&gt;"ERRO",U955="OK"),"OK","REVISAR"))</f>
      </c>
    </row>
    <row r="956">
      <c r="A956" s="4"/>
      <c r="B956" s="5"/>
      <c r="C956" s="5"/>
      <c r="D956" s="5"/>
      <c r="E956" s="5"/>
      <c r="F956" s="4"/>
      <c r="G956" s="4"/>
      <c r="H956" s="5"/>
      <c r="I956" s="4"/>
      <c r="J956" s="4"/>
      <c r="K956" s="4"/>
      <c r="L956" s="4"/>
      <c r="M956" s="4"/>
      <c r="N956" s="4"/>
      <c r="O956" s="4"/>
      <c r="P956" s="6">
        <f>IF(D956="","",SUBSTITUTE(SUBSTITUTE(SUBSTITUTE(SUBSTITUTE(SUBSTITUTE(SUBSTITUTE(SUBSTITUTE(TRIM(D956),".",""),"/",""),"-","")," ",""),"(",""),")",""),"+",""))</f>
      </c>
      <c r="Q956" s="6">
        <f>IF(P956="","",IF(LEN(P956)&lt;&gt;14,"ERRO: "&amp;LEN(P956)&amp;" dígitos",IF(NOT(ISNUMBER(VALUE(P956))),"ERRO: não numérico",IF(LEN(SUBSTITUTE(P956,LEFT(P956,1),""))=0,"ERRO: dígitos repetidos",IF(AND(VALUE(MID(P956,13,1))=IF(MOD(SUMPRODUCT(--MID(P956,{1,2,3,4,5,6,7,8,9,10,11,12},1),{5,4,3,2,9,8,7,6,5,4,3,2}),11)&lt;2,0,11-MOD(SUMPRODUCT(--MID(P956,{1,2,3,4,5,6,7,8,9,10,11,12},1),{5,4,3,2,9,8,7,6,5,4,3,2}),11)),VALUE(MID(P956,14,1))=IF(MOD(SUMPRODUCT(--MID(P956,{1,2,3,4,5,6,7,8,9,10,11,12,13},1),{6,5,4,3,2,9,8,7,6,5,4,3,2}),11)&lt;2,0,11-MOD(SUMPRODUCT(--MID(P956,{1,2,3,4,5,6,7,8,9,10,11,12,13},1),{6,5,4,3,2,9,8,7,6,5,4,3,2}),11))),"OK","ERRO: dígito verificador")))))</f>
      </c>
      <c r="R956" s="6">
        <f>IF(P956="","",IF(COUNTIF($P$2:$P$1001,P956)&gt;1,"DUPLICADO","OK"))</f>
      </c>
      <c r="S956" s="6">
        <f>IF(AND(J956="",K956=""),"vazio",IF(AND(OR(J956="",LEN(SUBSTITUTE(SUBSTITUTE(SUBSTITUTE(SUBSTITUTE(SUBSTITUTE(SUBSTITUTE(SUBSTITUTE(TRIM(J956),".",""),"/",""),"-","")," ",""),"(",""),")",""),"+",""))=10,LEN(SUBSTITUTE(SUBSTITUTE(SUBSTITUTE(SUBSTITUTE(SUBSTITUTE(SUBSTITUTE(SUBSTITUTE(TRIM(J956),".",""),"/",""),"-","")," ",""),"(",""),")",""),"+",""))=11),OR(K956="",LEN(SUBSTITUTE(SUBSTITUTE(SUBSTITUTE(SUBSTITUTE(SUBSTITUTE(SUBSTITUTE(SUBSTITUTE(TRIM(K956),".",""),"/",""),"-","")," ",""),"(",""),")",""),"+",""))=10,LEN(SUBSTITUTE(SUBSTITUTE(SUBSTITUTE(SUBSTITUTE(SUBSTITUTE(SUBSTITUTE(SUBSTITUTE(TRIM(K956),".",""),"/",""),"-","")," ",""),"(",""),")",""),"+",""))=11)),"OK","ERRO: use DDD + número (10 ou 11 dígitos)"))</f>
      </c>
      <c r="T956" s="6">
        <f>IF(L956="","vazio",IF(AND(ISNUMBER(FIND("@",L956)),ISNUMBER(FIND(".",MID(L956,FIND("@",L956),99))),NOT(ISNUMBER(FIND(" ",TRIM(L956)))),NOT(ISNUMBER(FIND(";",L956))),NOT(ISNUMBER(FIND(",",L956)))),"OK","ERRO: um e-mail válido por linha"))</f>
      </c>
      <c r="U956" s="6">
        <f>IF(COUNTA(A956:O956)=0,"",IF(AND(B956&lt;&gt;"",C956&lt;&gt;"",D956&lt;&gt;"",E956&lt;&gt;"",H956&lt;&gt;"",OR(J956&lt;&gt;"",L956&lt;&gt;"")),"OK","ERRO: faltam "&amp;IF(B956="","Proprietário; ","")&amp;IF(C956="","Origem; ","")&amp;IF(D956="","CNPJ; ","")&amp;IF(E956="","Razão Social; ","")&amp;IF(H956="","Sobrenome; ","")&amp;IF(AND(J956="",L956=""),"telefone ou e-mail; ","")))</f>
      </c>
      <c r="V956" s="6">
        <f>IF(COUNTA(A956:O956)=0,"",IF(AND(Q956="OK",R956="OK",LEFT(S956,4)&lt;&gt;"ERRO",LEFT(T956,4)&lt;&gt;"ERRO",U956="OK"),"OK","REVISAR"))</f>
      </c>
    </row>
    <row r="957">
      <c r="A957" s="4"/>
      <c r="B957" s="5"/>
      <c r="C957" s="5"/>
      <c r="D957" s="5"/>
      <c r="E957" s="5"/>
      <c r="F957" s="4"/>
      <c r="G957" s="4"/>
      <c r="H957" s="5"/>
      <c r="I957" s="4"/>
      <c r="J957" s="4"/>
      <c r="K957" s="4"/>
      <c r="L957" s="4"/>
      <c r="M957" s="4"/>
      <c r="N957" s="4"/>
      <c r="O957" s="4"/>
      <c r="P957" s="6">
        <f>IF(D957="","",SUBSTITUTE(SUBSTITUTE(SUBSTITUTE(SUBSTITUTE(SUBSTITUTE(SUBSTITUTE(SUBSTITUTE(TRIM(D957),".",""),"/",""),"-","")," ",""),"(",""),")",""),"+",""))</f>
      </c>
      <c r="Q957" s="6">
        <f>IF(P957="","",IF(LEN(P957)&lt;&gt;14,"ERRO: "&amp;LEN(P957)&amp;" dígitos",IF(NOT(ISNUMBER(VALUE(P957))),"ERRO: não numérico",IF(LEN(SUBSTITUTE(P957,LEFT(P957,1),""))=0,"ERRO: dígitos repetidos",IF(AND(VALUE(MID(P957,13,1))=IF(MOD(SUMPRODUCT(--MID(P957,{1,2,3,4,5,6,7,8,9,10,11,12},1),{5,4,3,2,9,8,7,6,5,4,3,2}),11)&lt;2,0,11-MOD(SUMPRODUCT(--MID(P957,{1,2,3,4,5,6,7,8,9,10,11,12},1),{5,4,3,2,9,8,7,6,5,4,3,2}),11)),VALUE(MID(P957,14,1))=IF(MOD(SUMPRODUCT(--MID(P957,{1,2,3,4,5,6,7,8,9,10,11,12,13},1),{6,5,4,3,2,9,8,7,6,5,4,3,2}),11)&lt;2,0,11-MOD(SUMPRODUCT(--MID(P957,{1,2,3,4,5,6,7,8,9,10,11,12,13},1),{6,5,4,3,2,9,8,7,6,5,4,3,2}),11))),"OK","ERRO: dígito verificador")))))</f>
      </c>
      <c r="R957" s="6">
        <f>IF(P957="","",IF(COUNTIF($P$2:$P$1001,P957)&gt;1,"DUPLICADO","OK"))</f>
      </c>
      <c r="S957" s="6">
        <f>IF(AND(J957="",K957=""),"vazio",IF(AND(OR(J957="",LEN(SUBSTITUTE(SUBSTITUTE(SUBSTITUTE(SUBSTITUTE(SUBSTITUTE(SUBSTITUTE(SUBSTITUTE(TRIM(J957),".",""),"/",""),"-","")," ",""),"(",""),")",""),"+",""))=10,LEN(SUBSTITUTE(SUBSTITUTE(SUBSTITUTE(SUBSTITUTE(SUBSTITUTE(SUBSTITUTE(SUBSTITUTE(TRIM(J957),".",""),"/",""),"-","")," ",""),"(",""),")",""),"+",""))=11),OR(K957="",LEN(SUBSTITUTE(SUBSTITUTE(SUBSTITUTE(SUBSTITUTE(SUBSTITUTE(SUBSTITUTE(SUBSTITUTE(TRIM(K957),".",""),"/",""),"-","")," ",""),"(",""),")",""),"+",""))=10,LEN(SUBSTITUTE(SUBSTITUTE(SUBSTITUTE(SUBSTITUTE(SUBSTITUTE(SUBSTITUTE(SUBSTITUTE(TRIM(K957),".",""),"/",""),"-","")," ",""),"(",""),")",""),"+",""))=11)),"OK","ERRO: use DDD + número (10 ou 11 dígitos)"))</f>
      </c>
      <c r="T957" s="6">
        <f>IF(L957="","vazio",IF(AND(ISNUMBER(FIND("@",L957)),ISNUMBER(FIND(".",MID(L957,FIND("@",L957),99))),NOT(ISNUMBER(FIND(" ",TRIM(L957)))),NOT(ISNUMBER(FIND(";",L957))),NOT(ISNUMBER(FIND(",",L957)))),"OK","ERRO: um e-mail válido por linha"))</f>
      </c>
      <c r="U957" s="6">
        <f>IF(COUNTA(A957:O957)=0,"",IF(AND(B957&lt;&gt;"",C957&lt;&gt;"",D957&lt;&gt;"",E957&lt;&gt;"",H957&lt;&gt;"",OR(J957&lt;&gt;"",L957&lt;&gt;"")),"OK","ERRO: faltam "&amp;IF(B957="","Proprietário; ","")&amp;IF(C957="","Origem; ","")&amp;IF(D957="","CNPJ; ","")&amp;IF(E957="","Razão Social; ","")&amp;IF(H957="","Sobrenome; ","")&amp;IF(AND(J957="",L957=""),"telefone ou e-mail; ","")))</f>
      </c>
      <c r="V957" s="6">
        <f>IF(COUNTA(A957:O957)=0,"",IF(AND(Q957="OK",R957="OK",LEFT(S957,4)&lt;&gt;"ERRO",LEFT(T957,4)&lt;&gt;"ERRO",U957="OK"),"OK","REVISAR"))</f>
      </c>
    </row>
    <row r="958">
      <c r="A958" s="4"/>
      <c r="B958" s="5"/>
      <c r="C958" s="5"/>
      <c r="D958" s="5"/>
      <c r="E958" s="5"/>
      <c r="F958" s="4"/>
      <c r="G958" s="4"/>
      <c r="H958" s="5"/>
      <c r="I958" s="4"/>
      <c r="J958" s="4"/>
      <c r="K958" s="4"/>
      <c r="L958" s="4"/>
      <c r="M958" s="4"/>
      <c r="N958" s="4"/>
      <c r="O958" s="4"/>
      <c r="P958" s="6">
        <f>IF(D958="","",SUBSTITUTE(SUBSTITUTE(SUBSTITUTE(SUBSTITUTE(SUBSTITUTE(SUBSTITUTE(SUBSTITUTE(TRIM(D958),".",""),"/",""),"-","")," ",""),"(",""),")",""),"+",""))</f>
      </c>
      <c r="Q958" s="6">
        <f>IF(P958="","",IF(LEN(P958)&lt;&gt;14,"ERRO: "&amp;LEN(P958)&amp;" dígitos",IF(NOT(ISNUMBER(VALUE(P958))),"ERRO: não numérico",IF(LEN(SUBSTITUTE(P958,LEFT(P958,1),""))=0,"ERRO: dígitos repetidos",IF(AND(VALUE(MID(P958,13,1))=IF(MOD(SUMPRODUCT(--MID(P958,{1,2,3,4,5,6,7,8,9,10,11,12},1),{5,4,3,2,9,8,7,6,5,4,3,2}),11)&lt;2,0,11-MOD(SUMPRODUCT(--MID(P958,{1,2,3,4,5,6,7,8,9,10,11,12},1),{5,4,3,2,9,8,7,6,5,4,3,2}),11)),VALUE(MID(P958,14,1))=IF(MOD(SUMPRODUCT(--MID(P958,{1,2,3,4,5,6,7,8,9,10,11,12,13},1),{6,5,4,3,2,9,8,7,6,5,4,3,2}),11)&lt;2,0,11-MOD(SUMPRODUCT(--MID(P958,{1,2,3,4,5,6,7,8,9,10,11,12,13},1),{6,5,4,3,2,9,8,7,6,5,4,3,2}),11))),"OK","ERRO: dígito verificador")))))</f>
      </c>
      <c r="R958" s="6">
        <f>IF(P958="","",IF(COUNTIF($P$2:$P$1001,P958)&gt;1,"DUPLICADO","OK"))</f>
      </c>
      <c r="S958" s="6">
        <f>IF(AND(J958="",K958=""),"vazio",IF(AND(OR(J958="",LEN(SUBSTITUTE(SUBSTITUTE(SUBSTITUTE(SUBSTITUTE(SUBSTITUTE(SUBSTITUTE(SUBSTITUTE(TRIM(J958),".",""),"/",""),"-","")," ",""),"(",""),")",""),"+",""))=10,LEN(SUBSTITUTE(SUBSTITUTE(SUBSTITUTE(SUBSTITUTE(SUBSTITUTE(SUBSTITUTE(SUBSTITUTE(TRIM(J958),".",""),"/",""),"-","")," ",""),"(",""),")",""),"+",""))=11),OR(K958="",LEN(SUBSTITUTE(SUBSTITUTE(SUBSTITUTE(SUBSTITUTE(SUBSTITUTE(SUBSTITUTE(SUBSTITUTE(TRIM(K958),".",""),"/",""),"-","")," ",""),"(",""),")",""),"+",""))=10,LEN(SUBSTITUTE(SUBSTITUTE(SUBSTITUTE(SUBSTITUTE(SUBSTITUTE(SUBSTITUTE(SUBSTITUTE(TRIM(K958),".",""),"/",""),"-","")," ",""),"(",""),")",""),"+",""))=11)),"OK","ERRO: use DDD + número (10 ou 11 dígitos)"))</f>
      </c>
      <c r="T958" s="6">
        <f>IF(L958="","vazio",IF(AND(ISNUMBER(FIND("@",L958)),ISNUMBER(FIND(".",MID(L958,FIND("@",L958),99))),NOT(ISNUMBER(FIND(" ",TRIM(L958)))),NOT(ISNUMBER(FIND(";",L958))),NOT(ISNUMBER(FIND(",",L958)))),"OK","ERRO: um e-mail válido por linha"))</f>
      </c>
      <c r="U958" s="6">
        <f>IF(COUNTA(A958:O958)=0,"",IF(AND(B958&lt;&gt;"",C958&lt;&gt;"",D958&lt;&gt;"",E958&lt;&gt;"",H958&lt;&gt;"",OR(J958&lt;&gt;"",L958&lt;&gt;"")),"OK","ERRO: faltam "&amp;IF(B958="","Proprietário; ","")&amp;IF(C958="","Origem; ","")&amp;IF(D958="","CNPJ; ","")&amp;IF(E958="","Razão Social; ","")&amp;IF(H958="","Sobrenome; ","")&amp;IF(AND(J958="",L958=""),"telefone ou e-mail; ","")))</f>
      </c>
      <c r="V958" s="6">
        <f>IF(COUNTA(A958:O958)=0,"",IF(AND(Q958="OK",R958="OK",LEFT(S958,4)&lt;&gt;"ERRO",LEFT(T958,4)&lt;&gt;"ERRO",U958="OK"),"OK","REVISAR"))</f>
      </c>
    </row>
    <row r="959">
      <c r="A959" s="4"/>
      <c r="B959" s="5"/>
      <c r="C959" s="5"/>
      <c r="D959" s="5"/>
      <c r="E959" s="5"/>
      <c r="F959" s="4"/>
      <c r="G959" s="4"/>
      <c r="H959" s="5"/>
      <c r="I959" s="4"/>
      <c r="J959" s="4"/>
      <c r="K959" s="4"/>
      <c r="L959" s="4"/>
      <c r="M959" s="4"/>
      <c r="N959" s="4"/>
      <c r="O959" s="4"/>
      <c r="P959" s="6">
        <f>IF(D959="","",SUBSTITUTE(SUBSTITUTE(SUBSTITUTE(SUBSTITUTE(SUBSTITUTE(SUBSTITUTE(SUBSTITUTE(TRIM(D959),".",""),"/",""),"-","")," ",""),"(",""),")",""),"+",""))</f>
      </c>
      <c r="Q959" s="6">
        <f>IF(P959="","",IF(LEN(P959)&lt;&gt;14,"ERRO: "&amp;LEN(P959)&amp;" dígitos",IF(NOT(ISNUMBER(VALUE(P959))),"ERRO: não numérico",IF(LEN(SUBSTITUTE(P959,LEFT(P959,1),""))=0,"ERRO: dígitos repetidos",IF(AND(VALUE(MID(P959,13,1))=IF(MOD(SUMPRODUCT(--MID(P959,{1,2,3,4,5,6,7,8,9,10,11,12},1),{5,4,3,2,9,8,7,6,5,4,3,2}),11)&lt;2,0,11-MOD(SUMPRODUCT(--MID(P959,{1,2,3,4,5,6,7,8,9,10,11,12},1),{5,4,3,2,9,8,7,6,5,4,3,2}),11)),VALUE(MID(P959,14,1))=IF(MOD(SUMPRODUCT(--MID(P959,{1,2,3,4,5,6,7,8,9,10,11,12,13},1),{6,5,4,3,2,9,8,7,6,5,4,3,2}),11)&lt;2,0,11-MOD(SUMPRODUCT(--MID(P959,{1,2,3,4,5,6,7,8,9,10,11,12,13},1),{6,5,4,3,2,9,8,7,6,5,4,3,2}),11))),"OK","ERRO: dígito verificador")))))</f>
      </c>
      <c r="R959" s="6">
        <f>IF(P959="","",IF(COUNTIF($P$2:$P$1001,P959)&gt;1,"DUPLICADO","OK"))</f>
      </c>
      <c r="S959" s="6">
        <f>IF(AND(J959="",K959=""),"vazio",IF(AND(OR(J959="",LEN(SUBSTITUTE(SUBSTITUTE(SUBSTITUTE(SUBSTITUTE(SUBSTITUTE(SUBSTITUTE(SUBSTITUTE(TRIM(J959),".",""),"/",""),"-","")," ",""),"(",""),")",""),"+",""))=10,LEN(SUBSTITUTE(SUBSTITUTE(SUBSTITUTE(SUBSTITUTE(SUBSTITUTE(SUBSTITUTE(SUBSTITUTE(TRIM(J959),".",""),"/",""),"-","")," ",""),"(",""),")",""),"+",""))=11),OR(K959="",LEN(SUBSTITUTE(SUBSTITUTE(SUBSTITUTE(SUBSTITUTE(SUBSTITUTE(SUBSTITUTE(SUBSTITUTE(TRIM(K959),".",""),"/",""),"-","")," ",""),"(",""),")",""),"+",""))=10,LEN(SUBSTITUTE(SUBSTITUTE(SUBSTITUTE(SUBSTITUTE(SUBSTITUTE(SUBSTITUTE(SUBSTITUTE(TRIM(K959),".",""),"/",""),"-","")," ",""),"(",""),")",""),"+",""))=11)),"OK","ERRO: use DDD + número (10 ou 11 dígitos)"))</f>
      </c>
      <c r="T959" s="6">
        <f>IF(L959="","vazio",IF(AND(ISNUMBER(FIND("@",L959)),ISNUMBER(FIND(".",MID(L959,FIND("@",L959),99))),NOT(ISNUMBER(FIND(" ",TRIM(L959)))),NOT(ISNUMBER(FIND(";",L959))),NOT(ISNUMBER(FIND(",",L959)))),"OK","ERRO: um e-mail válido por linha"))</f>
      </c>
      <c r="U959" s="6">
        <f>IF(COUNTA(A959:O959)=0,"",IF(AND(B959&lt;&gt;"",C959&lt;&gt;"",D959&lt;&gt;"",E959&lt;&gt;"",H959&lt;&gt;"",OR(J959&lt;&gt;"",L959&lt;&gt;"")),"OK","ERRO: faltam "&amp;IF(B959="","Proprietário; ","")&amp;IF(C959="","Origem; ","")&amp;IF(D959="","CNPJ; ","")&amp;IF(E959="","Razão Social; ","")&amp;IF(H959="","Sobrenome; ","")&amp;IF(AND(J959="",L959=""),"telefone ou e-mail; ","")))</f>
      </c>
      <c r="V959" s="6">
        <f>IF(COUNTA(A959:O959)=0,"",IF(AND(Q959="OK",R959="OK",LEFT(S959,4)&lt;&gt;"ERRO",LEFT(T959,4)&lt;&gt;"ERRO",U959="OK"),"OK","REVISAR"))</f>
      </c>
    </row>
    <row r="960">
      <c r="A960" s="4"/>
      <c r="B960" s="5"/>
      <c r="C960" s="5"/>
      <c r="D960" s="5"/>
      <c r="E960" s="5"/>
      <c r="F960" s="4"/>
      <c r="G960" s="4"/>
      <c r="H960" s="5"/>
      <c r="I960" s="4"/>
      <c r="J960" s="4"/>
      <c r="K960" s="4"/>
      <c r="L960" s="4"/>
      <c r="M960" s="4"/>
      <c r="N960" s="4"/>
      <c r="O960" s="4"/>
      <c r="P960" s="6">
        <f>IF(D960="","",SUBSTITUTE(SUBSTITUTE(SUBSTITUTE(SUBSTITUTE(SUBSTITUTE(SUBSTITUTE(SUBSTITUTE(TRIM(D960),".",""),"/",""),"-","")," ",""),"(",""),")",""),"+",""))</f>
      </c>
      <c r="Q960" s="6">
        <f>IF(P960="","",IF(LEN(P960)&lt;&gt;14,"ERRO: "&amp;LEN(P960)&amp;" dígitos",IF(NOT(ISNUMBER(VALUE(P960))),"ERRO: não numérico",IF(LEN(SUBSTITUTE(P960,LEFT(P960,1),""))=0,"ERRO: dígitos repetidos",IF(AND(VALUE(MID(P960,13,1))=IF(MOD(SUMPRODUCT(--MID(P960,{1,2,3,4,5,6,7,8,9,10,11,12},1),{5,4,3,2,9,8,7,6,5,4,3,2}),11)&lt;2,0,11-MOD(SUMPRODUCT(--MID(P960,{1,2,3,4,5,6,7,8,9,10,11,12},1),{5,4,3,2,9,8,7,6,5,4,3,2}),11)),VALUE(MID(P960,14,1))=IF(MOD(SUMPRODUCT(--MID(P960,{1,2,3,4,5,6,7,8,9,10,11,12,13},1),{6,5,4,3,2,9,8,7,6,5,4,3,2}),11)&lt;2,0,11-MOD(SUMPRODUCT(--MID(P960,{1,2,3,4,5,6,7,8,9,10,11,12,13},1),{6,5,4,3,2,9,8,7,6,5,4,3,2}),11))),"OK","ERRO: dígito verificador")))))</f>
      </c>
      <c r="R960" s="6">
        <f>IF(P960="","",IF(COUNTIF($P$2:$P$1001,P960)&gt;1,"DUPLICADO","OK"))</f>
      </c>
      <c r="S960" s="6">
        <f>IF(AND(J960="",K960=""),"vazio",IF(AND(OR(J960="",LEN(SUBSTITUTE(SUBSTITUTE(SUBSTITUTE(SUBSTITUTE(SUBSTITUTE(SUBSTITUTE(SUBSTITUTE(TRIM(J960),".",""),"/",""),"-","")," ",""),"(",""),")",""),"+",""))=10,LEN(SUBSTITUTE(SUBSTITUTE(SUBSTITUTE(SUBSTITUTE(SUBSTITUTE(SUBSTITUTE(SUBSTITUTE(TRIM(J960),".",""),"/",""),"-","")," ",""),"(",""),")",""),"+",""))=11),OR(K960="",LEN(SUBSTITUTE(SUBSTITUTE(SUBSTITUTE(SUBSTITUTE(SUBSTITUTE(SUBSTITUTE(SUBSTITUTE(TRIM(K960),".",""),"/",""),"-","")," ",""),"(",""),")",""),"+",""))=10,LEN(SUBSTITUTE(SUBSTITUTE(SUBSTITUTE(SUBSTITUTE(SUBSTITUTE(SUBSTITUTE(SUBSTITUTE(TRIM(K960),".",""),"/",""),"-","")," ",""),"(",""),")",""),"+",""))=11)),"OK","ERRO: use DDD + número (10 ou 11 dígitos)"))</f>
      </c>
      <c r="T960" s="6">
        <f>IF(L960="","vazio",IF(AND(ISNUMBER(FIND("@",L960)),ISNUMBER(FIND(".",MID(L960,FIND("@",L960),99))),NOT(ISNUMBER(FIND(" ",TRIM(L960)))),NOT(ISNUMBER(FIND(";",L960))),NOT(ISNUMBER(FIND(",",L960)))),"OK","ERRO: um e-mail válido por linha"))</f>
      </c>
      <c r="U960" s="6">
        <f>IF(COUNTA(A960:O960)=0,"",IF(AND(B960&lt;&gt;"",C960&lt;&gt;"",D960&lt;&gt;"",E960&lt;&gt;"",H960&lt;&gt;"",OR(J960&lt;&gt;"",L960&lt;&gt;"")),"OK","ERRO: faltam "&amp;IF(B960="","Proprietário; ","")&amp;IF(C960="","Origem; ","")&amp;IF(D960="","CNPJ; ","")&amp;IF(E960="","Razão Social; ","")&amp;IF(H960="","Sobrenome; ","")&amp;IF(AND(J960="",L960=""),"telefone ou e-mail; ","")))</f>
      </c>
      <c r="V960" s="6">
        <f>IF(COUNTA(A960:O960)=0,"",IF(AND(Q960="OK",R960="OK",LEFT(S960,4)&lt;&gt;"ERRO",LEFT(T960,4)&lt;&gt;"ERRO",U960="OK"),"OK","REVISAR"))</f>
      </c>
    </row>
    <row r="961">
      <c r="A961" s="4"/>
      <c r="B961" s="5"/>
      <c r="C961" s="5"/>
      <c r="D961" s="5"/>
      <c r="E961" s="5"/>
      <c r="F961" s="4"/>
      <c r="G961" s="4"/>
      <c r="H961" s="5"/>
      <c r="I961" s="4"/>
      <c r="J961" s="4"/>
      <c r="K961" s="4"/>
      <c r="L961" s="4"/>
      <c r="M961" s="4"/>
      <c r="N961" s="4"/>
      <c r="O961" s="4"/>
      <c r="P961" s="6">
        <f>IF(D961="","",SUBSTITUTE(SUBSTITUTE(SUBSTITUTE(SUBSTITUTE(SUBSTITUTE(SUBSTITUTE(SUBSTITUTE(TRIM(D961),".",""),"/",""),"-","")," ",""),"(",""),")",""),"+",""))</f>
      </c>
      <c r="Q961" s="6">
        <f>IF(P961="","",IF(LEN(P961)&lt;&gt;14,"ERRO: "&amp;LEN(P961)&amp;" dígitos",IF(NOT(ISNUMBER(VALUE(P961))),"ERRO: não numérico",IF(LEN(SUBSTITUTE(P961,LEFT(P961,1),""))=0,"ERRO: dígitos repetidos",IF(AND(VALUE(MID(P961,13,1))=IF(MOD(SUMPRODUCT(--MID(P961,{1,2,3,4,5,6,7,8,9,10,11,12},1),{5,4,3,2,9,8,7,6,5,4,3,2}),11)&lt;2,0,11-MOD(SUMPRODUCT(--MID(P961,{1,2,3,4,5,6,7,8,9,10,11,12},1),{5,4,3,2,9,8,7,6,5,4,3,2}),11)),VALUE(MID(P961,14,1))=IF(MOD(SUMPRODUCT(--MID(P961,{1,2,3,4,5,6,7,8,9,10,11,12,13},1),{6,5,4,3,2,9,8,7,6,5,4,3,2}),11)&lt;2,0,11-MOD(SUMPRODUCT(--MID(P961,{1,2,3,4,5,6,7,8,9,10,11,12,13},1),{6,5,4,3,2,9,8,7,6,5,4,3,2}),11))),"OK","ERRO: dígito verificador")))))</f>
      </c>
      <c r="R961" s="6">
        <f>IF(P961="","",IF(COUNTIF($P$2:$P$1001,P961)&gt;1,"DUPLICADO","OK"))</f>
      </c>
      <c r="S961" s="6">
        <f>IF(AND(J961="",K961=""),"vazio",IF(AND(OR(J961="",LEN(SUBSTITUTE(SUBSTITUTE(SUBSTITUTE(SUBSTITUTE(SUBSTITUTE(SUBSTITUTE(SUBSTITUTE(TRIM(J961),".",""),"/",""),"-","")," ",""),"(",""),")",""),"+",""))=10,LEN(SUBSTITUTE(SUBSTITUTE(SUBSTITUTE(SUBSTITUTE(SUBSTITUTE(SUBSTITUTE(SUBSTITUTE(TRIM(J961),".",""),"/",""),"-","")," ",""),"(",""),")",""),"+",""))=11),OR(K961="",LEN(SUBSTITUTE(SUBSTITUTE(SUBSTITUTE(SUBSTITUTE(SUBSTITUTE(SUBSTITUTE(SUBSTITUTE(TRIM(K961),".",""),"/",""),"-","")," ",""),"(",""),")",""),"+",""))=10,LEN(SUBSTITUTE(SUBSTITUTE(SUBSTITUTE(SUBSTITUTE(SUBSTITUTE(SUBSTITUTE(SUBSTITUTE(TRIM(K961),".",""),"/",""),"-","")," ",""),"(",""),")",""),"+",""))=11)),"OK","ERRO: use DDD + número (10 ou 11 dígitos)"))</f>
      </c>
      <c r="T961" s="6">
        <f>IF(L961="","vazio",IF(AND(ISNUMBER(FIND("@",L961)),ISNUMBER(FIND(".",MID(L961,FIND("@",L961),99))),NOT(ISNUMBER(FIND(" ",TRIM(L961)))),NOT(ISNUMBER(FIND(";",L961))),NOT(ISNUMBER(FIND(",",L961)))),"OK","ERRO: um e-mail válido por linha"))</f>
      </c>
      <c r="U961" s="6">
        <f>IF(COUNTA(A961:O961)=0,"",IF(AND(B961&lt;&gt;"",C961&lt;&gt;"",D961&lt;&gt;"",E961&lt;&gt;"",H961&lt;&gt;"",OR(J961&lt;&gt;"",L961&lt;&gt;"")),"OK","ERRO: faltam "&amp;IF(B961="","Proprietário; ","")&amp;IF(C961="","Origem; ","")&amp;IF(D961="","CNPJ; ","")&amp;IF(E961="","Razão Social; ","")&amp;IF(H961="","Sobrenome; ","")&amp;IF(AND(J961="",L961=""),"telefone ou e-mail; ","")))</f>
      </c>
      <c r="V961" s="6">
        <f>IF(COUNTA(A961:O961)=0,"",IF(AND(Q961="OK",R961="OK",LEFT(S961,4)&lt;&gt;"ERRO",LEFT(T961,4)&lt;&gt;"ERRO",U961="OK"),"OK","REVISAR"))</f>
      </c>
    </row>
    <row r="962">
      <c r="A962" s="4"/>
      <c r="B962" s="5"/>
      <c r="C962" s="5"/>
      <c r="D962" s="5"/>
      <c r="E962" s="5"/>
      <c r="F962" s="4"/>
      <c r="G962" s="4"/>
      <c r="H962" s="5"/>
      <c r="I962" s="4"/>
      <c r="J962" s="4"/>
      <c r="K962" s="4"/>
      <c r="L962" s="4"/>
      <c r="M962" s="4"/>
      <c r="N962" s="4"/>
      <c r="O962" s="4"/>
      <c r="P962" s="6">
        <f>IF(D962="","",SUBSTITUTE(SUBSTITUTE(SUBSTITUTE(SUBSTITUTE(SUBSTITUTE(SUBSTITUTE(SUBSTITUTE(TRIM(D962),".",""),"/",""),"-","")," ",""),"(",""),")",""),"+",""))</f>
      </c>
      <c r="Q962" s="6">
        <f>IF(P962="","",IF(LEN(P962)&lt;&gt;14,"ERRO: "&amp;LEN(P962)&amp;" dígitos",IF(NOT(ISNUMBER(VALUE(P962))),"ERRO: não numérico",IF(LEN(SUBSTITUTE(P962,LEFT(P962,1),""))=0,"ERRO: dígitos repetidos",IF(AND(VALUE(MID(P962,13,1))=IF(MOD(SUMPRODUCT(--MID(P962,{1,2,3,4,5,6,7,8,9,10,11,12},1),{5,4,3,2,9,8,7,6,5,4,3,2}),11)&lt;2,0,11-MOD(SUMPRODUCT(--MID(P962,{1,2,3,4,5,6,7,8,9,10,11,12},1),{5,4,3,2,9,8,7,6,5,4,3,2}),11)),VALUE(MID(P962,14,1))=IF(MOD(SUMPRODUCT(--MID(P962,{1,2,3,4,5,6,7,8,9,10,11,12,13},1),{6,5,4,3,2,9,8,7,6,5,4,3,2}),11)&lt;2,0,11-MOD(SUMPRODUCT(--MID(P962,{1,2,3,4,5,6,7,8,9,10,11,12,13},1),{6,5,4,3,2,9,8,7,6,5,4,3,2}),11))),"OK","ERRO: dígito verificador")))))</f>
      </c>
      <c r="R962" s="6">
        <f>IF(P962="","",IF(COUNTIF($P$2:$P$1001,P962)&gt;1,"DUPLICADO","OK"))</f>
      </c>
      <c r="S962" s="6">
        <f>IF(AND(J962="",K962=""),"vazio",IF(AND(OR(J962="",LEN(SUBSTITUTE(SUBSTITUTE(SUBSTITUTE(SUBSTITUTE(SUBSTITUTE(SUBSTITUTE(SUBSTITUTE(TRIM(J962),".",""),"/",""),"-","")," ",""),"(",""),")",""),"+",""))=10,LEN(SUBSTITUTE(SUBSTITUTE(SUBSTITUTE(SUBSTITUTE(SUBSTITUTE(SUBSTITUTE(SUBSTITUTE(TRIM(J962),".",""),"/",""),"-","")," ",""),"(",""),")",""),"+",""))=11),OR(K962="",LEN(SUBSTITUTE(SUBSTITUTE(SUBSTITUTE(SUBSTITUTE(SUBSTITUTE(SUBSTITUTE(SUBSTITUTE(TRIM(K962),".",""),"/",""),"-","")," ",""),"(",""),")",""),"+",""))=10,LEN(SUBSTITUTE(SUBSTITUTE(SUBSTITUTE(SUBSTITUTE(SUBSTITUTE(SUBSTITUTE(SUBSTITUTE(TRIM(K962),".",""),"/",""),"-","")," ",""),"(",""),")",""),"+",""))=11)),"OK","ERRO: use DDD + número (10 ou 11 dígitos)"))</f>
      </c>
      <c r="T962" s="6">
        <f>IF(L962="","vazio",IF(AND(ISNUMBER(FIND("@",L962)),ISNUMBER(FIND(".",MID(L962,FIND("@",L962),99))),NOT(ISNUMBER(FIND(" ",TRIM(L962)))),NOT(ISNUMBER(FIND(";",L962))),NOT(ISNUMBER(FIND(",",L962)))),"OK","ERRO: um e-mail válido por linha"))</f>
      </c>
      <c r="U962" s="6">
        <f>IF(COUNTA(A962:O962)=0,"",IF(AND(B962&lt;&gt;"",C962&lt;&gt;"",D962&lt;&gt;"",E962&lt;&gt;"",H962&lt;&gt;"",OR(J962&lt;&gt;"",L962&lt;&gt;"")),"OK","ERRO: faltam "&amp;IF(B962="","Proprietário; ","")&amp;IF(C962="","Origem; ","")&amp;IF(D962="","CNPJ; ","")&amp;IF(E962="","Razão Social; ","")&amp;IF(H962="","Sobrenome; ","")&amp;IF(AND(J962="",L962=""),"telefone ou e-mail; ","")))</f>
      </c>
      <c r="V962" s="6">
        <f>IF(COUNTA(A962:O962)=0,"",IF(AND(Q962="OK",R962="OK",LEFT(S962,4)&lt;&gt;"ERRO",LEFT(T962,4)&lt;&gt;"ERRO",U962="OK"),"OK","REVISAR"))</f>
      </c>
    </row>
    <row r="963">
      <c r="A963" s="4"/>
      <c r="B963" s="5"/>
      <c r="C963" s="5"/>
      <c r="D963" s="5"/>
      <c r="E963" s="5"/>
      <c r="F963" s="4"/>
      <c r="G963" s="4"/>
      <c r="H963" s="5"/>
      <c r="I963" s="4"/>
      <c r="J963" s="4"/>
      <c r="K963" s="4"/>
      <c r="L963" s="4"/>
      <c r="M963" s="4"/>
      <c r="N963" s="4"/>
      <c r="O963" s="4"/>
      <c r="P963" s="6">
        <f>IF(D963="","",SUBSTITUTE(SUBSTITUTE(SUBSTITUTE(SUBSTITUTE(SUBSTITUTE(SUBSTITUTE(SUBSTITUTE(TRIM(D963),".",""),"/",""),"-","")," ",""),"(",""),")",""),"+",""))</f>
      </c>
      <c r="Q963" s="6">
        <f>IF(P963="","",IF(LEN(P963)&lt;&gt;14,"ERRO: "&amp;LEN(P963)&amp;" dígitos",IF(NOT(ISNUMBER(VALUE(P963))),"ERRO: não numérico",IF(LEN(SUBSTITUTE(P963,LEFT(P963,1),""))=0,"ERRO: dígitos repetidos",IF(AND(VALUE(MID(P963,13,1))=IF(MOD(SUMPRODUCT(--MID(P963,{1,2,3,4,5,6,7,8,9,10,11,12},1),{5,4,3,2,9,8,7,6,5,4,3,2}),11)&lt;2,0,11-MOD(SUMPRODUCT(--MID(P963,{1,2,3,4,5,6,7,8,9,10,11,12},1),{5,4,3,2,9,8,7,6,5,4,3,2}),11)),VALUE(MID(P963,14,1))=IF(MOD(SUMPRODUCT(--MID(P963,{1,2,3,4,5,6,7,8,9,10,11,12,13},1),{6,5,4,3,2,9,8,7,6,5,4,3,2}),11)&lt;2,0,11-MOD(SUMPRODUCT(--MID(P963,{1,2,3,4,5,6,7,8,9,10,11,12,13},1),{6,5,4,3,2,9,8,7,6,5,4,3,2}),11))),"OK","ERRO: dígito verificador")))))</f>
      </c>
      <c r="R963" s="6">
        <f>IF(P963="","",IF(COUNTIF($P$2:$P$1001,P963)&gt;1,"DUPLICADO","OK"))</f>
      </c>
      <c r="S963" s="6">
        <f>IF(AND(J963="",K963=""),"vazio",IF(AND(OR(J963="",LEN(SUBSTITUTE(SUBSTITUTE(SUBSTITUTE(SUBSTITUTE(SUBSTITUTE(SUBSTITUTE(SUBSTITUTE(TRIM(J963),".",""),"/",""),"-","")," ",""),"(",""),")",""),"+",""))=10,LEN(SUBSTITUTE(SUBSTITUTE(SUBSTITUTE(SUBSTITUTE(SUBSTITUTE(SUBSTITUTE(SUBSTITUTE(TRIM(J963),".",""),"/",""),"-","")," ",""),"(",""),")",""),"+",""))=11),OR(K963="",LEN(SUBSTITUTE(SUBSTITUTE(SUBSTITUTE(SUBSTITUTE(SUBSTITUTE(SUBSTITUTE(SUBSTITUTE(TRIM(K963),".",""),"/",""),"-","")," ",""),"(",""),")",""),"+",""))=10,LEN(SUBSTITUTE(SUBSTITUTE(SUBSTITUTE(SUBSTITUTE(SUBSTITUTE(SUBSTITUTE(SUBSTITUTE(TRIM(K963),".",""),"/",""),"-","")," ",""),"(",""),")",""),"+",""))=11)),"OK","ERRO: use DDD + número (10 ou 11 dígitos)"))</f>
      </c>
      <c r="T963" s="6">
        <f>IF(L963="","vazio",IF(AND(ISNUMBER(FIND("@",L963)),ISNUMBER(FIND(".",MID(L963,FIND("@",L963),99))),NOT(ISNUMBER(FIND(" ",TRIM(L963)))),NOT(ISNUMBER(FIND(";",L963))),NOT(ISNUMBER(FIND(",",L963)))),"OK","ERRO: um e-mail válido por linha"))</f>
      </c>
      <c r="U963" s="6">
        <f>IF(COUNTA(A963:O963)=0,"",IF(AND(B963&lt;&gt;"",C963&lt;&gt;"",D963&lt;&gt;"",E963&lt;&gt;"",H963&lt;&gt;"",OR(J963&lt;&gt;"",L963&lt;&gt;"")),"OK","ERRO: faltam "&amp;IF(B963="","Proprietário; ","")&amp;IF(C963="","Origem; ","")&amp;IF(D963="","CNPJ; ","")&amp;IF(E963="","Razão Social; ","")&amp;IF(H963="","Sobrenome; ","")&amp;IF(AND(J963="",L963=""),"telefone ou e-mail; ","")))</f>
      </c>
      <c r="V963" s="6">
        <f>IF(COUNTA(A963:O963)=0,"",IF(AND(Q963="OK",R963="OK",LEFT(S963,4)&lt;&gt;"ERRO",LEFT(T963,4)&lt;&gt;"ERRO",U963="OK"),"OK","REVISAR"))</f>
      </c>
    </row>
    <row r="964">
      <c r="A964" s="4"/>
      <c r="B964" s="5"/>
      <c r="C964" s="5"/>
      <c r="D964" s="5"/>
      <c r="E964" s="5"/>
      <c r="F964" s="4"/>
      <c r="G964" s="4"/>
      <c r="H964" s="5"/>
      <c r="I964" s="4"/>
      <c r="J964" s="4"/>
      <c r="K964" s="4"/>
      <c r="L964" s="4"/>
      <c r="M964" s="4"/>
      <c r="N964" s="4"/>
      <c r="O964" s="4"/>
      <c r="P964" s="6">
        <f>IF(D964="","",SUBSTITUTE(SUBSTITUTE(SUBSTITUTE(SUBSTITUTE(SUBSTITUTE(SUBSTITUTE(SUBSTITUTE(TRIM(D964),".",""),"/",""),"-","")," ",""),"(",""),")",""),"+",""))</f>
      </c>
      <c r="Q964" s="6">
        <f>IF(P964="","",IF(LEN(P964)&lt;&gt;14,"ERRO: "&amp;LEN(P964)&amp;" dígitos",IF(NOT(ISNUMBER(VALUE(P964))),"ERRO: não numérico",IF(LEN(SUBSTITUTE(P964,LEFT(P964,1),""))=0,"ERRO: dígitos repetidos",IF(AND(VALUE(MID(P964,13,1))=IF(MOD(SUMPRODUCT(--MID(P964,{1,2,3,4,5,6,7,8,9,10,11,12},1),{5,4,3,2,9,8,7,6,5,4,3,2}),11)&lt;2,0,11-MOD(SUMPRODUCT(--MID(P964,{1,2,3,4,5,6,7,8,9,10,11,12},1),{5,4,3,2,9,8,7,6,5,4,3,2}),11)),VALUE(MID(P964,14,1))=IF(MOD(SUMPRODUCT(--MID(P964,{1,2,3,4,5,6,7,8,9,10,11,12,13},1),{6,5,4,3,2,9,8,7,6,5,4,3,2}),11)&lt;2,0,11-MOD(SUMPRODUCT(--MID(P964,{1,2,3,4,5,6,7,8,9,10,11,12,13},1),{6,5,4,3,2,9,8,7,6,5,4,3,2}),11))),"OK","ERRO: dígito verificador")))))</f>
      </c>
      <c r="R964" s="6">
        <f>IF(P964="","",IF(COUNTIF($P$2:$P$1001,P964)&gt;1,"DUPLICADO","OK"))</f>
      </c>
      <c r="S964" s="6">
        <f>IF(AND(J964="",K964=""),"vazio",IF(AND(OR(J964="",LEN(SUBSTITUTE(SUBSTITUTE(SUBSTITUTE(SUBSTITUTE(SUBSTITUTE(SUBSTITUTE(SUBSTITUTE(TRIM(J964),".",""),"/",""),"-","")," ",""),"(",""),")",""),"+",""))=10,LEN(SUBSTITUTE(SUBSTITUTE(SUBSTITUTE(SUBSTITUTE(SUBSTITUTE(SUBSTITUTE(SUBSTITUTE(TRIM(J964),".",""),"/",""),"-","")," ",""),"(",""),")",""),"+",""))=11),OR(K964="",LEN(SUBSTITUTE(SUBSTITUTE(SUBSTITUTE(SUBSTITUTE(SUBSTITUTE(SUBSTITUTE(SUBSTITUTE(TRIM(K964),".",""),"/",""),"-","")," ",""),"(",""),")",""),"+",""))=10,LEN(SUBSTITUTE(SUBSTITUTE(SUBSTITUTE(SUBSTITUTE(SUBSTITUTE(SUBSTITUTE(SUBSTITUTE(TRIM(K964),".",""),"/",""),"-","")," ",""),"(",""),")",""),"+",""))=11)),"OK","ERRO: use DDD + número (10 ou 11 dígitos)"))</f>
      </c>
      <c r="T964" s="6">
        <f>IF(L964="","vazio",IF(AND(ISNUMBER(FIND("@",L964)),ISNUMBER(FIND(".",MID(L964,FIND("@",L964),99))),NOT(ISNUMBER(FIND(" ",TRIM(L964)))),NOT(ISNUMBER(FIND(";",L964))),NOT(ISNUMBER(FIND(",",L964)))),"OK","ERRO: um e-mail válido por linha"))</f>
      </c>
      <c r="U964" s="6">
        <f>IF(COUNTA(A964:O964)=0,"",IF(AND(B964&lt;&gt;"",C964&lt;&gt;"",D964&lt;&gt;"",E964&lt;&gt;"",H964&lt;&gt;"",OR(J964&lt;&gt;"",L964&lt;&gt;"")),"OK","ERRO: faltam "&amp;IF(B964="","Proprietário; ","")&amp;IF(C964="","Origem; ","")&amp;IF(D964="","CNPJ; ","")&amp;IF(E964="","Razão Social; ","")&amp;IF(H964="","Sobrenome; ","")&amp;IF(AND(J964="",L964=""),"telefone ou e-mail; ","")))</f>
      </c>
      <c r="V964" s="6">
        <f>IF(COUNTA(A964:O964)=0,"",IF(AND(Q964="OK",R964="OK",LEFT(S964,4)&lt;&gt;"ERRO",LEFT(T964,4)&lt;&gt;"ERRO",U964="OK"),"OK","REVISAR"))</f>
      </c>
    </row>
    <row r="965">
      <c r="A965" s="4"/>
      <c r="B965" s="5"/>
      <c r="C965" s="5"/>
      <c r="D965" s="5"/>
      <c r="E965" s="5"/>
      <c r="F965" s="4"/>
      <c r="G965" s="4"/>
      <c r="H965" s="5"/>
      <c r="I965" s="4"/>
      <c r="J965" s="4"/>
      <c r="K965" s="4"/>
      <c r="L965" s="4"/>
      <c r="M965" s="4"/>
      <c r="N965" s="4"/>
      <c r="O965" s="4"/>
      <c r="P965" s="6">
        <f>IF(D965="","",SUBSTITUTE(SUBSTITUTE(SUBSTITUTE(SUBSTITUTE(SUBSTITUTE(SUBSTITUTE(SUBSTITUTE(TRIM(D965),".",""),"/",""),"-","")," ",""),"(",""),")",""),"+",""))</f>
      </c>
      <c r="Q965" s="6">
        <f>IF(P965="","",IF(LEN(P965)&lt;&gt;14,"ERRO: "&amp;LEN(P965)&amp;" dígitos",IF(NOT(ISNUMBER(VALUE(P965))),"ERRO: não numérico",IF(LEN(SUBSTITUTE(P965,LEFT(P965,1),""))=0,"ERRO: dígitos repetidos",IF(AND(VALUE(MID(P965,13,1))=IF(MOD(SUMPRODUCT(--MID(P965,{1,2,3,4,5,6,7,8,9,10,11,12},1),{5,4,3,2,9,8,7,6,5,4,3,2}),11)&lt;2,0,11-MOD(SUMPRODUCT(--MID(P965,{1,2,3,4,5,6,7,8,9,10,11,12},1),{5,4,3,2,9,8,7,6,5,4,3,2}),11)),VALUE(MID(P965,14,1))=IF(MOD(SUMPRODUCT(--MID(P965,{1,2,3,4,5,6,7,8,9,10,11,12,13},1),{6,5,4,3,2,9,8,7,6,5,4,3,2}),11)&lt;2,0,11-MOD(SUMPRODUCT(--MID(P965,{1,2,3,4,5,6,7,8,9,10,11,12,13},1),{6,5,4,3,2,9,8,7,6,5,4,3,2}),11))),"OK","ERRO: dígito verificador")))))</f>
      </c>
      <c r="R965" s="6">
        <f>IF(P965="","",IF(COUNTIF($P$2:$P$1001,P965)&gt;1,"DUPLICADO","OK"))</f>
      </c>
      <c r="S965" s="6">
        <f>IF(AND(J965="",K965=""),"vazio",IF(AND(OR(J965="",LEN(SUBSTITUTE(SUBSTITUTE(SUBSTITUTE(SUBSTITUTE(SUBSTITUTE(SUBSTITUTE(SUBSTITUTE(TRIM(J965),".",""),"/",""),"-","")," ",""),"(",""),")",""),"+",""))=10,LEN(SUBSTITUTE(SUBSTITUTE(SUBSTITUTE(SUBSTITUTE(SUBSTITUTE(SUBSTITUTE(SUBSTITUTE(TRIM(J965),".",""),"/",""),"-","")," ",""),"(",""),")",""),"+",""))=11),OR(K965="",LEN(SUBSTITUTE(SUBSTITUTE(SUBSTITUTE(SUBSTITUTE(SUBSTITUTE(SUBSTITUTE(SUBSTITUTE(TRIM(K965),".",""),"/",""),"-","")," ",""),"(",""),")",""),"+",""))=10,LEN(SUBSTITUTE(SUBSTITUTE(SUBSTITUTE(SUBSTITUTE(SUBSTITUTE(SUBSTITUTE(SUBSTITUTE(TRIM(K965),".",""),"/",""),"-","")," ",""),"(",""),")",""),"+",""))=11)),"OK","ERRO: use DDD + número (10 ou 11 dígitos)"))</f>
      </c>
      <c r="T965" s="6">
        <f>IF(L965="","vazio",IF(AND(ISNUMBER(FIND("@",L965)),ISNUMBER(FIND(".",MID(L965,FIND("@",L965),99))),NOT(ISNUMBER(FIND(" ",TRIM(L965)))),NOT(ISNUMBER(FIND(";",L965))),NOT(ISNUMBER(FIND(",",L965)))),"OK","ERRO: um e-mail válido por linha"))</f>
      </c>
      <c r="U965" s="6">
        <f>IF(COUNTA(A965:O965)=0,"",IF(AND(B965&lt;&gt;"",C965&lt;&gt;"",D965&lt;&gt;"",E965&lt;&gt;"",H965&lt;&gt;"",OR(J965&lt;&gt;"",L965&lt;&gt;"")),"OK","ERRO: faltam "&amp;IF(B965="","Proprietário; ","")&amp;IF(C965="","Origem; ","")&amp;IF(D965="","CNPJ; ","")&amp;IF(E965="","Razão Social; ","")&amp;IF(H965="","Sobrenome; ","")&amp;IF(AND(J965="",L965=""),"telefone ou e-mail; ","")))</f>
      </c>
      <c r="V965" s="6">
        <f>IF(COUNTA(A965:O965)=0,"",IF(AND(Q965="OK",R965="OK",LEFT(S965,4)&lt;&gt;"ERRO",LEFT(T965,4)&lt;&gt;"ERRO",U965="OK"),"OK","REVISAR"))</f>
      </c>
    </row>
    <row r="966">
      <c r="A966" s="4"/>
      <c r="B966" s="5"/>
      <c r="C966" s="5"/>
      <c r="D966" s="5"/>
      <c r="E966" s="5"/>
      <c r="F966" s="4"/>
      <c r="G966" s="4"/>
      <c r="H966" s="5"/>
      <c r="I966" s="4"/>
      <c r="J966" s="4"/>
      <c r="K966" s="4"/>
      <c r="L966" s="4"/>
      <c r="M966" s="4"/>
      <c r="N966" s="4"/>
      <c r="O966" s="4"/>
      <c r="P966" s="6">
        <f>IF(D966="","",SUBSTITUTE(SUBSTITUTE(SUBSTITUTE(SUBSTITUTE(SUBSTITUTE(SUBSTITUTE(SUBSTITUTE(TRIM(D966),".",""),"/",""),"-","")," ",""),"(",""),")",""),"+",""))</f>
      </c>
      <c r="Q966" s="6">
        <f>IF(P966="","",IF(LEN(P966)&lt;&gt;14,"ERRO: "&amp;LEN(P966)&amp;" dígitos",IF(NOT(ISNUMBER(VALUE(P966))),"ERRO: não numérico",IF(LEN(SUBSTITUTE(P966,LEFT(P966,1),""))=0,"ERRO: dígitos repetidos",IF(AND(VALUE(MID(P966,13,1))=IF(MOD(SUMPRODUCT(--MID(P966,{1,2,3,4,5,6,7,8,9,10,11,12},1),{5,4,3,2,9,8,7,6,5,4,3,2}),11)&lt;2,0,11-MOD(SUMPRODUCT(--MID(P966,{1,2,3,4,5,6,7,8,9,10,11,12},1),{5,4,3,2,9,8,7,6,5,4,3,2}),11)),VALUE(MID(P966,14,1))=IF(MOD(SUMPRODUCT(--MID(P966,{1,2,3,4,5,6,7,8,9,10,11,12,13},1),{6,5,4,3,2,9,8,7,6,5,4,3,2}),11)&lt;2,0,11-MOD(SUMPRODUCT(--MID(P966,{1,2,3,4,5,6,7,8,9,10,11,12,13},1),{6,5,4,3,2,9,8,7,6,5,4,3,2}),11))),"OK","ERRO: dígito verificador")))))</f>
      </c>
      <c r="R966" s="6">
        <f>IF(P966="","",IF(COUNTIF($P$2:$P$1001,P966)&gt;1,"DUPLICADO","OK"))</f>
      </c>
      <c r="S966" s="6">
        <f>IF(AND(J966="",K966=""),"vazio",IF(AND(OR(J966="",LEN(SUBSTITUTE(SUBSTITUTE(SUBSTITUTE(SUBSTITUTE(SUBSTITUTE(SUBSTITUTE(SUBSTITUTE(TRIM(J966),".",""),"/",""),"-","")," ",""),"(",""),")",""),"+",""))=10,LEN(SUBSTITUTE(SUBSTITUTE(SUBSTITUTE(SUBSTITUTE(SUBSTITUTE(SUBSTITUTE(SUBSTITUTE(TRIM(J966),".",""),"/",""),"-","")," ",""),"(",""),")",""),"+",""))=11),OR(K966="",LEN(SUBSTITUTE(SUBSTITUTE(SUBSTITUTE(SUBSTITUTE(SUBSTITUTE(SUBSTITUTE(SUBSTITUTE(TRIM(K966),".",""),"/",""),"-","")," ",""),"(",""),")",""),"+",""))=10,LEN(SUBSTITUTE(SUBSTITUTE(SUBSTITUTE(SUBSTITUTE(SUBSTITUTE(SUBSTITUTE(SUBSTITUTE(TRIM(K966),".",""),"/",""),"-","")," ",""),"(",""),")",""),"+",""))=11)),"OK","ERRO: use DDD + número (10 ou 11 dígitos)"))</f>
      </c>
      <c r="T966" s="6">
        <f>IF(L966="","vazio",IF(AND(ISNUMBER(FIND("@",L966)),ISNUMBER(FIND(".",MID(L966,FIND("@",L966),99))),NOT(ISNUMBER(FIND(" ",TRIM(L966)))),NOT(ISNUMBER(FIND(";",L966))),NOT(ISNUMBER(FIND(",",L966)))),"OK","ERRO: um e-mail válido por linha"))</f>
      </c>
      <c r="U966" s="6">
        <f>IF(COUNTA(A966:O966)=0,"",IF(AND(B966&lt;&gt;"",C966&lt;&gt;"",D966&lt;&gt;"",E966&lt;&gt;"",H966&lt;&gt;"",OR(J966&lt;&gt;"",L966&lt;&gt;"")),"OK","ERRO: faltam "&amp;IF(B966="","Proprietário; ","")&amp;IF(C966="","Origem; ","")&amp;IF(D966="","CNPJ; ","")&amp;IF(E966="","Razão Social; ","")&amp;IF(H966="","Sobrenome; ","")&amp;IF(AND(J966="",L966=""),"telefone ou e-mail; ","")))</f>
      </c>
      <c r="V966" s="6">
        <f>IF(COUNTA(A966:O966)=0,"",IF(AND(Q966="OK",R966="OK",LEFT(S966,4)&lt;&gt;"ERRO",LEFT(T966,4)&lt;&gt;"ERRO",U966="OK"),"OK","REVISAR"))</f>
      </c>
    </row>
    <row r="967">
      <c r="A967" s="4"/>
      <c r="B967" s="5"/>
      <c r="C967" s="5"/>
      <c r="D967" s="5"/>
      <c r="E967" s="5"/>
      <c r="F967" s="4"/>
      <c r="G967" s="4"/>
      <c r="H967" s="5"/>
      <c r="I967" s="4"/>
      <c r="J967" s="4"/>
      <c r="K967" s="4"/>
      <c r="L967" s="4"/>
      <c r="M967" s="4"/>
      <c r="N967" s="4"/>
      <c r="O967" s="4"/>
      <c r="P967" s="6">
        <f>IF(D967="","",SUBSTITUTE(SUBSTITUTE(SUBSTITUTE(SUBSTITUTE(SUBSTITUTE(SUBSTITUTE(SUBSTITUTE(TRIM(D967),".",""),"/",""),"-","")," ",""),"(",""),")",""),"+",""))</f>
      </c>
      <c r="Q967" s="6">
        <f>IF(P967="","",IF(LEN(P967)&lt;&gt;14,"ERRO: "&amp;LEN(P967)&amp;" dígitos",IF(NOT(ISNUMBER(VALUE(P967))),"ERRO: não numérico",IF(LEN(SUBSTITUTE(P967,LEFT(P967,1),""))=0,"ERRO: dígitos repetidos",IF(AND(VALUE(MID(P967,13,1))=IF(MOD(SUMPRODUCT(--MID(P967,{1,2,3,4,5,6,7,8,9,10,11,12},1),{5,4,3,2,9,8,7,6,5,4,3,2}),11)&lt;2,0,11-MOD(SUMPRODUCT(--MID(P967,{1,2,3,4,5,6,7,8,9,10,11,12},1),{5,4,3,2,9,8,7,6,5,4,3,2}),11)),VALUE(MID(P967,14,1))=IF(MOD(SUMPRODUCT(--MID(P967,{1,2,3,4,5,6,7,8,9,10,11,12,13},1),{6,5,4,3,2,9,8,7,6,5,4,3,2}),11)&lt;2,0,11-MOD(SUMPRODUCT(--MID(P967,{1,2,3,4,5,6,7,8,9,10,11,12,13},1),{6,5,4,3,2,9,8,7,6,5,4,3,2}),11))),"OK","ERRO: dígito verificador")))))</f>
      </c>
      <c r="R967" s="6">
        <f>IF(P967="","",IF(COUNTIF($P$2:$P$1001,P967)&gt;1,"DUPLICADO","OK"))</f>
      </c>
      <c r="S967" s="6">
        <f>IF(AND(J967="",K967=""),"vazio",IF(AND(OR(J967="",LEN(SUBSTITUTE(SUBSTITUTE(SUBSTITUTE(SUBSTITUTE(SUBSTITUTE(SUBSTITUTE(SUBSTITUTE(TRIM(J967),".",""),"/",""),"-","")," ",""),"(",""),")",""),"+",""))=10,LEN(SUBSTITUTE(SUBSTITUTE(SUBSTITUTE(SUBSTITUTE(SUBSTITUTE(SUBSTITUTE(SUBSTITUTE(TRIM(J967),".",""),"/",""),"-","")," ",""),"(",""),")",""),"+",""))=11),OR(K967="",LEN(SUBSTITUTE(SUBSTITUTE(SUBSTITUTE(SUBSTITUTE(SUBSTITUTE(SUBSTITUTE(SUBSTITUTE(TRIM(K967),".",""),"/",""),"-","")," ",""),"(",""),")",""),"+",""))=10,LEN(SUBSTITUTE(SUBSTITUTE(SUBSTITUTE(SUBSTITUTE(SUBSTITUTE(SUBSTITUTE(SUBSTITUTE(TRIM(K967),".",""),"/",""),"-","")," ",""),"(",""),")",""),"+",""))=11)),"OK","ERRO: use DDD + número (10 ou 11 dígitos)"))</f>
      </c>
      <c r="T967" s="6">
        <f>IF(L967="","vazio",IF(AND(ISNUMBER(FIND("@",L967)),ISNUMBER(FIND(".",MID(L967,FIND("@",L967),99))),NOT(ISNUMBER(FIND(" ",TRIM(L967)))),NOT(ISNUMBER(FIND(";",L967))),NOT(ISNUMBER(FIND(",",L967)))),"OK","ERRO: um e-mail válido por linha"))</f>
      </c>
      <c r="U967" s="6">
        <f>IF(COUNTA(A967:O967)=0,"",IF(AND(B967&lt;&gt;"",C967&lt;&gt;"",D967&lt;&gt;"",E967&lt;&gt;"",H967&lt;&gt;"",OR(J967&lt;&gt;"",L967&lt;&gt;"")),"OK","ERRO: faltam "&amp;IF(B967="","Proprietário; ","")&amp;IF(C967="","Origem; ","")&amp;IF(D967="","CNPJ; ","")&amp;IF(E967="","Razão Social; ","")&amp;IF(H967="","Sobrenome; ","")&amp;IF(AND(J967="",L967=""),"telefone ou e-mail; ","")))</f>
      </c>
      <c r="V967" s="6">
        <f>IF(COUNTA(A967:O967)=0,"",IF(AND(Q967="OK",R967="OK",LEFT(S967,4)&lt;&gt;"ERRO",LEFT(T967,4)&lt;&gt;"ERRO",U967="OK"),"OK","REVISAR"))</f>
      </c>
    </row>
    <row r="968">
      <c r="A968" s="4"/>
      <c r="B968" s="5"/>
      <c r="C968" s="5"/>
      <c r="D968" s="5"/>
      <c r="E968" s="5"/>
      <c r="F968" s="4"/>
      <c r="G968" s="4"/>
      <c r="H968" s="5"/>
      <c r="I968" s="4"/>
      <c r="J968" s="4"/>
      <c r="K968" s="4"/>
      <c r="L968" s="4"/>
      <c r="M968" s="4"/>
      <c r="N968" s="4"/>
      <c r="O968" s="4"/>
      <c r="P968" s="6">
        <f>IF(D968="","",SUBSTITUTE(SUBSTITUTE(SUBSTITUTE(SUBSTITUTE(SUBSTITUTE(SUBSTITUTE(SUBSTITUTE(TRIM(D968),".",""),"/",""),"-","")," ",""),"(",""),")",""),"+",""))</f>
      </c>
      <c r="Q968" s="6">
        <f>IF(P968="","",IF(LEN(P968)&lt;&gt;14,"ERRO: "&amp;LEN(P968)&amp;" dígitos",IF(NOT(ISNUMBER(VALUE(P968))),"ERRO: não numérico",IF(LEN(SUBSTITUTE(P968,LEFT(P968,1),""))=0,"ERRO: dígitos repetidos",IF(AND(VALUE(MID(P968,13,1))=IF(MOD(SUMPRODUCT(--MID(P968,{1,2,3,4,5,6,7,8,9,10,11,12},1),{5,4,3,2,9,8,7,6,5,4,3,2}),11)&lt;2,0,11-MOD(SUMPRODUCT(--MID(P968,{1,2,3,4,5,6,7,8,9,10,11,12},1),{5,4,3,2,9,8,7,6,5,4,3,2}),11)),VALUE(MID(P968,14,1))=IF(MOD(SUMPRODUCT(--MID(P968,{1,2,3,4,5,6,7,8,9,10,11,12,13},1),{6,5,4,3,2,9,8,7,6,5,4,3,2}),11)&lt;2,0,11-MOD(SUMPRODUCT(--MID(P968,{1,2,3,4,5,6,7,8,9,10,11,12,13},1),{6,5,4,3,2,9,8,7,6,5,4,3,2}),11))),"OK","ERRO: dígito verificador")))))</f>
      </c>
      <c r="R968" s="6">
        <f>IF(P968="","",IF(COUNTIF($P$2:$P$1001,P968)&gt;1,"DUPLICADO","OK"))</f>
      </c>
      <c r="S968" s="6">
        <f>IF(AND(J968="",K968=""),"vazio",IF(AND(OR(J968="",LEN(SUBSTITUTE(SUBSTITUTE(SUBSTITUTE(SUBSTITUTE(SUBSTITUTE(SUBSTITUTE(SUBSTITUTE(TRIM(J968),".",""),"/",""),"-","")," ",""),"(",""),")",""),"+",""))=10,LEN(SUBSTITUTE(SUBSTITUTE(SUBSTITUTE(SUBSTITUTE(SUBSTITUTE(SUBSTITUTE(SUBSTITUTE(TRIM(J968),".",""),"/",""),"-","")," ",""),"(",""),")",""),"+",""))=11),OR(K968="",LEN(SUBSTITUTE(SUBSTITUTE(SUBSTITUTE(SUBSTITUTE(SUBSTITUTE(SUBSTITUTE(SUBSTITUTE(TRIM(K968),".",""),"/",""),"-","")," ",""),"(",""),")",""),"+",""))=10,LEN(SUBSTITUTE(SUBSTITUTE(SUBSTITUTE(SUBSTITUTE(SUBSTITUTE(SUBSTITUTE(SUBSTITUTE(TRIM(K968),".",""),"/",""),"-","")," ",""),"(",""),")",""),"+",""))=11)),"OK","ERRO: use DDD + número (10 ou 11 dígitos)"))</f>
      </c>
      <c r="T968" s="6">
        <f>IF(L968="","vazio",IF(AND(ISNUMBER(FIND("@",L968)),ISNUMBER(FIND(".",MID(L968,FIND("@",L968),99))),NOT(ISNUMBER(FIND(" ",TRIM(L968)))),NOT(ISNUMBER(FIND(";",L968))),NOT(ISNUMBER(FIND(",",L968)))),"OK","ERRO: um e-mail válido por linha"))</f>
      </c>
      <c r="U968" s="6">
        <f>IF(COUNTA(A968:O968)=0,"",IF(AND(B968&lt;&gt;"",C968&lt;&gt;"",D968&lt;&gt;"",E968&lt;&gt;"",H968&lt;&gt;"",OR(J968&lt;&gt;"",L968&lt;&gt;"")),"OK","ERRO: faltam "&amp;IF(B968="","Proprietário; ","")&amp;IF(C968="","Origem; ","")&amp;IF(D968="","CNPJ; ","")&amp;IF(E968="","Razão Social; ","")&amp;IF(H968="","Sobrenome; ","")&amp;IF(AND(J968="",L968=""),"telefone ou e-mail; ","")))</f>
      </c>
      <c r="V968" s="6">
        <f>IF(COUNTA(A968:O968)=0,"",IF(AND(Q968="OK",R968="OK",LEFT(S968,4)&lt;&gt;"ERRO",LEFT(T968,4)&lt;&gt;"ERRO",U968="OK"),"OK","REVISAR"))</f>
      </c>
    </row>
    <row r="969">
      <c r="A969" s="4"/>
      <c r="B969" s="5"/>
      <c r="C969" s="5"/>
      <c r="D969" s="5"/>
      <c r="E969" s="5"/>
      <c r="F969" s="4"/>
      <c r="G969" s="4"/>
      <c r="H969" s="5"/>
      <c r="I969" s="4"/>
      <c r="J969" s="4"/>
      <c r="K969" s="4"/>
      <c r="L969" s="4"/>
      <c r="M969" s="4"/>
      <c r="N969" s="4"/>
      <c r="O969" s="4"/>
      <c r="P969" s="6">
        <f>IF(D969="","",SUBSTITUTE(SUBSTITUTE(SUBSTITUTE(SUBSTITUTE(SUBSTITUTE(SUBSTITUTE(SUBSTITUTE(TRIM(D969),".",""),"/",""),"-","")," ",""),"(",""),")",""),"+",""))</f>
      </c>
      <c r="Q969" s="6">
        <f>IF(P969="","",IF(LEN(P969)&lt;&gt;14,"ERRO: "&amp;LEN(P969)&amp;" dígitos",IF(NOT(ISNUMBER(VALUE(P969))),"ERRO: não numérico",IF(LEN(SUBSTITUTE(P969,LEFT(P969,1),""))=0,"ERRO: dígitos repetidos",IF(AND(VALUE(MID(P969,13,1))=IF(MOD(SUMPRODUCT(--MID(P969,{1,2,3,4,5,6,7,8,9,10,11,12},1),{5,4,3,2,9,8,7,6,5,4,3,2}),11)&lt;2,0,11-MOD(SUMPRODUCT(--MID(P969,{1,2,3,4,5,6,7,8,9,10,11,12},1),{5,4,3,2,9,8,7,6,5,4,3,2}),11)),VALUE(MID(P969,14,1))=IF(MOD(SUMPRODUCT(--MID(P969,{1,2,3,4,5,6,7,8,9,10,11,12,13},1),{6,5,4,3,2,9,8,7,6,5,4,3,2}),11)&lt;2,0,11-MOD(SUMPRODUCT(--MID(P969,{1,2,3,4,5,6,7,8,9,10,11,12,13},1),{6,5,4,3,2,9,8,7,6,5,4,3,2}),11))),"OK","ERRO: dígito verificador")))))</f>
      </c>
      <c r="R969" s="6">
        <f>IF(P969="","",IF(COUNTIF($P$2:$P$1001,P969)&gt;1,"DUPLICADO","OK"))</f>
      </c>
      <c r="S969" s="6">
        <f>IF(AND(J969="",K969=""),"vazio",IF(AND(OR(J969="",LEN(SUBSTITUTE(SUBSTITUTE(SUBSTITUTE(SUBSTITUTE(SUBSTITUTE(SUBSTITUTE(SUBSTITUTE(TRIM(J969),".",""),"/",""),"-","")," ",""),"(",""),")",""),"+",""))=10,LEN(SUBSTITUTE(SUBSTITUTE(SUBSTITUTE(SUBSTITUTE(SUBSTITUTE(SUBSTITUTE(SUBSTITUTE(TRIM(J969),".",""),"/",""),"-","")," ",""),"(",""),")",""),"+",""))=11),OR(K969="",LEN(SUBSTITUTE(SUBSTITUTE(SUBSTITUTE(SUBSTITUTE(SUBSTITUTE(SUBSTITUTE(SUBSTITUTE(TRIM(K969),".",""),"/",""),"-","")," ",""),"(",""),")",""),"+",""))=10,LEN(SUBSTITUTE(SUBSTITUTE(SUBSTITUTE(SUBSTITUTE(SUBSTITUTE(SUBSTITUTE(SUBSTITUTE(TRIM(K969),".",""),"/",""),"-","")," ",""),"(",""),")",""),"+",""))=11)),"OK","ERRO: use DDD + número (10 ou 11 dígitos)"))</f>
      </c>
      <c r="T969" s="6">
        <f>IF(L969="","vazio",IF(AND(ISNUMBER(FIND("@",L969)),ISNUMBER(FIND(".",MID(L969,FIND("@",L969),99))),NOT(ISNUMBER(FIND(" ",TRIM(L969)))),NOT(ISNUMBER(FIND(";",L969))),NOT(ISNUMBER(FIND(",",L969)))),"OK","ERRO: um e-mail válido por linha"))</f>
      </c>
      <c r="U969" s="6">
        <f>IF(COUNTA(A969:O969)=0,"",IF(AND(B969&lt;&gt;"",C969&lt;&gt;"",D969&lt;&gt;"",E969&lt;&gt;"",H969&lt;&gt;"",OR(J969&lt;&gt;"",L969&lt;&gt;"")),"OK","ERRO: faltam "&amp;IF(B969="","Proprietário; ","")&amp;IF(C969="","Origem; ","")&amp;IF(D969="","CNPJ; ","")&amp;IF(E969="","Razão Social; ","")&amp;IF(H969="","Sobrenome; ","")&amp;IF(AND(J969="",L969=""),"telefone ou e-mail; ","")))</f>
      </c>
      <c r="V969" s="6">
        <f>IF(COUNTA(A969:O969)=0,"",IF(AND(Q969="OK",R969="OK",LEFT(S969,4)&lt;&gt;"ERRO",LEFT(T969,4)&lt;&gt;"ERRO",U969="OK"),"OK","REVISAR"))</f>
      </c>
    </row>
    <row r="970">
      <c r="A970" s="4"/>
      <c r="B970" s="5"/>
      <c r="C970" s="5"/>
      <c r="D970" s="5"/>
      <c r="E970" s="5"/>
      <c r="F970" s="4"/>
      <c r="G970" s="4"/>
      <c r="H970" s="5"/>
      <c r="I970" s="4"/>
      <c r="J970" s="4"/>
      <c r="K970" s="4"/>
      <c r="L970" s="4"/>
      <c r="M970" s="4"/>
      <c r="N970" s="4"/>
      <c r="O970" s="4"/>
      <c r="P970" s="6">
        <f>IF(D970="","",SUBSTITUTE(SUBSTITUTE(SUBSTITUTE(SUBSTITUTE(SUBSTITUTE(SUBSTITUTE(SUBSTITUTE(TRIM(D970),".",""),"/",""),"-","")," ",""),"(",""),")",""),"+",""))</f>
      </c>
      <c r="Q970" s="6">
        <f>IF(P970="","",IF(LEN(P970)&lt;&gt;14,"ERRO: "&amp;LEN(P970)&amp;" dígitos",IF(NOT(ISNUMBER(VALUE(P970))),"ERRO: não numérico",IF(LEN(SUBSTITUTE(P970,LEFT(P970,1),""))=0,"ERRO: dígitos repetidos",IF(AND(VALUE(MID(P970,13,1))=IF(MOD(SUMPRODUCT(--MID(P970,{1,2,3,4,5,6,7,8,9,10,11,12},1),{5,4,3,2,9,8,7,6,5,4,3,2}),11)&lt;2,0,11-MOD(SUMPRODUCT(--MID(P970,{1,2,3,4,5,6,7,8,9,10,11,12},1),{5,4,3,2,9,8,7,6,5,4,3,2}),11)),VALUE(MID(P970,14,1))=IF(MOD(SUMPRODUCT(--MID(P970,{1,2,3,4,5,6,7,8,9,10,11,12,13},1),{6,5,4,3,2,9,8,7,6,5,4,3,2}),11)&lt;2,0,11-MOD(SUMPRODUCT(--MID(P970,{1,2,3,4,5,6,7,8,9,10,11,12,13},1),{6,5,4,3,2,9,8,7,6,5,4,3,2}),11))),"OK","ERRO: dígito verificador")))))</f>
      </c>
      <c r="R970" s="6">
        <f>IF(P970="","",IF(COUNTIF($P$2:$P$1001,P970)&gt;1,"DUPLICADO","OK"))</f>
      </c>
      <c r="S970" s="6">
        <f>IF(AND(J970="",K970=""),"vazio",IF(AND(OR(J970="",LEN(SUBSTITUTE(SUBSTITUTE(SUBSTITUTE(SUBSTITUTE(SUBSTITUTE(SUBSTITUTE(SUBSTITUTE(TRIM(J970),".",""),"/",""),"-","")," ",""),"(",""),")",""),"+",""))=10,LEN(SUBSTITUTE(SUBSTITUTE(SUBSTITUTE(SUBSTITUTE(SUBSTITUTE(SUBSTITUTE(SUBSTITUTE(TRIM(J970),".",""),"/",""),"-","")," ",""),"(",""),")",""),"+",""))=11),OR(K970="",LEN(SUBSTITUTE(SUBSTITUTE(SUBSTITUTE(SUBSTITUTE(SUBSTITUTE(SUBSTITUTE(SUBSTITUTE(TRIM(K970),".",""),"/",""),"-","")," ",""),"(",""),")",""),"+",""))=10,LEN(SUBSTITUTE(SUBSTITUTE(SUBSTITUTE(SUBSTITUTE(SUBSTITUTE(SUBSTITUTE(SUBSTITUTE(TRIM(K970),".",""),"/",""),"-","")," ",""),"(",""),")",""),"+",""))=11)),"OK","ERRO: use DDD + número (10 ou 11 dígitos)"))</f>
      </c>
      <c r="T970" s="6">
        <f>IF(L970="","vazio",IF(AND(ISNUMBER(FIND("@",L970)),ISNUMBER(FIND(".",MID(L970,FIND("@",L970),99))),NOT(ISNUMBER(FIND(" ",TRIM(L970)))),NOT(ISNUMBER(FIND(";",L970))),NOT(ISNUMBER(FIND(",",L970)))),"OK","ERRO: um e-mail válido por linha"))</f>
      </c>
      <c r="U970" s="6">
        <f>IF(COUNTA(A970:O970)=0,"",IF(AND(B970&lt;&gt;"",C970&lt;&gt;"",D970&lt;&gt;"",E970&lt;&gt;"",H970&lt;&gt;"",OR(J970&lt;&gt;"",L970&lt;&gt;"")),"OK","ERRO: faltam "&amp;IF(B970="","Proprietário; ","")&amp;IF(C970="","Origem; ","")&amp;IF(D970="","CNPJ; ","")&amp;IF(E970="","Razão Social; ","")&amp;IF(H970="","Sobrenome; ","")&amp;IF(AND(J970="",L970=""),"telefone ou e-mail; ","")))</f>
      </c>
      <c r="V970" s="6">
        <f>IF(COUNTA(A970:O970)=0,"",IF(AND(Q970="OK",R970="OK",LEFT(S970,4)&lt;&gt;"ERRO",LEFT(T970,4)&lt;&gt;"ERRO",U970="OK"),"OK","REVISAR"))</f>
      </c>
    </row>
    <row r="971">
      <c r="A971" s="4"/>
      <c r="B971" s="5"/>
      <c r="C971" s="5"/>
      <c r="D971" s="5"/>
      <c r="E971" s="5"/>
      <c r="F971" s="4"/>
      <c r="G971" s="4"/>
      <c r="H971" s="5"/>
      <c r="I971" s="4"/>
      <c r="J971" s="4"/>
      <c r="K971" s="4"/>
      <c r="L971" s="4"/>
      <c r="M971" s="4"/>
      <c r="N971" s="4"/>
      <c r="O971" s="4"/>
      <c r="P971" s="6">
        <f>IF(D971="","",SUBSTITUTE(SUBSTITUTE(SUBSTITUTE(SUBSTITUTE(SUBSTITUTE(SUBSTITUTE(SUBSTITUTE(TRIM(D971),".",""),"/",""),"-","")," ",""),"(",""),")",""),"+",""))</f>
      </c>
      <c r="Q971" s="6">
        <f>IF(P971="","",IF(LEN(P971)&lt;&gt;14,"ERRO: "&amp;LEN(P971)&amp;" dígitos",IF(NOT(ISNUMBER(VALUE(P971))),"ERRO: não numérico",IF(LEN(SUBSTITUTE(P971,LEFT(P971,1),""))=0,"ERRO: dígitos repetidos",IF(AND(VALUE(MID(P971,13,1))=IF(MOD(SUMPRODUCT(--MID(P971,{1,2,3,4,5,6,7,8,9,10,11,12},1),{5,4,3,2,9,8,7,6,5,4,3,2}),11)&lt;2,0,11-MOD(SUMPRODUCT(--MID(P971,{1,2,3,4,5,6,7,8,9,10,11,12},1),{5,4,3,2,9,8,7,6,5,4,3,2}),11)),VALUE(MID(P971,14,1))=IF(MOD(SUMPRODUCT(--MID(P971,{1,2,3,4,5,6,7,8,9,10,11,12,13},1),{6,5,4,3,2,9,8,7,6,5,4,3,2}),11)&lt;2,0,11-MOD(SUMPRODUCT(--MID(P971,{1,2,3,4,5,6,7,8,9,10,11,12,13},1),{6,5,4,3,2,9,8,7,6,5,4,3,2}),11))),"OK","ERRO: dígito verificador")))))</f>
      </c>
      <c r="R971" s="6">
        <f>IF(P971="","",IF(COUNTIF($P$2:$P$1001,P971)&gt;1,"DUPLICADO","OK"))</f>
      </c>
      <c r="S971" s="6">
        <f>IF(AND(J971="",K971=""),"vazio",IF(AND(OR(J971="",LEN(SUBSTITUTE(SUBSTITUTE(SUBSTITUTE(SUBSTITUTE(SUBSTITUTE(SUBSTITUTE(SUBSTITUTE(TRIM(J971),".",""),"/",""),"-","")," ",""),"(",""),")",""),"+",""))=10,LEN(SUBSTITUTE(SUBSTITUTE(SUBSTITUTE(SUBSTITUTE(SUBSTITUTE(SUBSTITUTE(SUBSTITUTE(TRIM(J971),".",""),"/",""),"-","")," ",""),"(",""),")",""),"+",""))=11),OR(K971="",LEN(SUBSTITUTE(SUBSTITUTE(SUBSTITUTE(SUBSTITUTE(SUBSTITUTE(SUBSTITUTE(SUBSTITUTE(TRIM(K971),".",""),"/",""),"-","")," ",""),"(",""),")",""),"+",""))=10,LEN(SUBSTITUTE(SUBSTITUTE(SUBSTITUTE(SUBSTITUTE(SUBSTITUTE(SUBSTITUTE(SUBSTITUTE(TRIM(K971),".",""),"/",""),"-","")," ",""),"(",""),")",""),"+",""))=11)),"OK","ERRO: use DDD + número (10 ou 11 dígitos)"))</f>
      </c>
      <c r="T971" s="6">
        <f>IF(L971="","vazio",IF(AND(ISNUMBER(FIND("@",L971)),ISNUMBER(FIND(".",MID(L971,FIND("@",L971),99))),NOT(ISNUMBER(FIND(" ",TRIM(L971)))),NOT(ISNUMBER(FIND(";",L971))),NOT(ISNUMBER(FIND(",",L971)))),"OK","ERRO: um e-mail válido por linha"))</f>
      </c>
      <c r="U971" s="6">
        <f>IF(COUNTA(A971:O971)=0,"",IF(AND(B971&lt;&gt;"",C971&lt;&gt;"",D971&lt;&gt;"",E971&lt;&gt;"",H971&lt;&gt;"",OR(J971&lt;&gt;"",L971&lt;&gt;"")),"OK","ERRO: faltam "&amp;IF(B971="","Proprietário; ","")&amp;IF(C971="","Origem; ","")&amp;IF(D971="","CNPJ; ","")&amp;IF(E971="","Razão Social; ","")&amp;IF(H971="","Sobrenome; ","")&amp;IF(AND(J971="",L971=""),"telefone ou e-mail; ","")))</f>
      </c>
      <c r="V971" s="6">
        <f>IF(COUNTA(A971:O971)=0,"",IF(AND(Q971="OK",R971="OK",LEFT(S971,4)&lt;&gt;"ERRO",LEFT(T971,4)&lt;&gt;"ERRO",U971="OK"),"OK","REVISAR"))</f>
      </c>
    </row>
    <row r="972">
      <c r="A972" s="4"/>
      <c r="B972" s="5"/>
      <c r="C972" s="5"/>
      <c r="D972" s="5"/>
      <c r="E972" s="5"/>
      <c r="F972" s="4"/>
      <c r="G972" s="4"/>
      <c r="H972" s="5"/>
      <c r="I972" s="4"/>
      <c r="J972" s="4"/>
      <c r="K972" s="4"/>
      <c r="L972" s="4"/>
      <c r="M972" s="4"/>
      <c r="N972" s="4"/>
      <c r="O972" s="4"/>
      <c r="P972" s="6">
        <f>IF(D972="","",SUBSTITUTE(SUBSTITUTE(SUBSTITUTE(SUBSTITUTE(SUBSTITUTE(SUBSTITUTE(SUBSTITUTE(TRIM(D972),".",""),"/",""),"-","")," ",""),"(",""),")",""),"+",""))</f>
      </c>
      <c r="Q972" s="6">
        <f>IF(P972="","",IF(LEN(P972)&lt;&gt;14,"ERRO: "&amp;LEN(P972)&amp;" dígitos",IF(NOT(ISNUMBER(VALUE(P972))),"ERRO: não numérico",IF(LEN(SUBSTITUTE(P972,LEFT(P972,1),""))=0,"ERRO: dígitos repetidos",IF(AND(VALUE(MID(P972,13,1))=IF(MOD(SUMPRODUCT(--MID(P972,{1,2,3,4,5,6,7,8,9,10,11,12},1),{5,4,3,2,9,8,7,6,5,4,3,2}),11)&lt;2,0,11-MOD(SUMPRODUCT(--MID(P972,{1,2,3,4,5,6,7,8,9,10,11,12},1),{5,4,3,2,9,8,7,6,5,4,3,2}),11)),VALUE(MID(P972,14,1))=IF(MOD(SUMPRODUCT(--MID(P972,{1,2,3,4,5,6,7,8,9,10,11,12,13},1),{6,5,4,3,2,9,8,7,6,5,4,3,2}),11)&lt;2,0,11-MOD(SUMPRODUCT(--MID(P972,{1,2,3,4,5,6,7,8,9,10,11,12,13},1),{6,5,4,3,2,9,8,7,6,5,4,3,2}),11))),"OK","ERRO: dígito verificador")))))</f>
      </c>
      <c r="R972" s="6">
        <f>IF(P972="","",IF(COUNTIF($P$2:$P$1001,P972)&gt;1,"DUPLICADO","OK"))</f>
      </c>
      <c r="S972" s="6">
        <f>IF(AND(J972="",K972=""),"vazio",IF(AND(OR(J972="",LEN(SUBSTITUTE(SUBSTITUTE(SUBSTITUTE(SUBSTITUTE(SUBSTITUTE(SUBSTITUTE(SUBSTITUTE(TRIM(J972),".",""),"/",""),"-","")," ",""),"(",""),")",""),"+",""))=10,LEN(SUBSTITUTE(SUBSTITUTE(SUBSTITUTE(SUBSTITUTE(SUBSTITUTE(SUBSTITUTE(SUBSTITUTE(TRIM(J972),".",""),"/",""),"-","")," ",""),"(",""),")",""),"+",""))=11),OR(K972="",LEN(SUBSTITUTE(SUBSTITUTE(SUBSTITUTE(SUBSTITUTE(SUBSTITUTE(SUBSTITUTE(SUBSTITUTE(TRIM(K972),".",""),"/",""),"-","")," ",""),"(",""),")",""),"+",""))=10,LEN(SUBSTITUTE(SUBSTITUTE(SUBSTITUTE(SUBSTITUTE(SUBSTITUTE(SUBSTITUTE(SUBSTITUTE(TRIM(K972),".",""),"/",""),"-","")," ",""),"(",""),")",""),"+",""))=11)),"OK","ERRO: use DDD + número (10 ou 11 dígitos)"))</f>
      </c>
      <c r="T972" s="6">
        <f>IF(L972="","vazio",IF(AND(ISNUMBER(FIND("@",L972)),ISNUMBER(FIND(".",MID(L972,FIND("@",L972),99))),NOT(ISNUMBER(FIND(" ",TRIM(L972)))),NOT(ISNUMBER(FIND(";",L972))),NOT(ISNUMBER(FIND(",",L972)))),"OK","ERRO: um e-mail válido por linha"))</f>
      </c>
      <c r="U972" s="6">
        <f>IF(COUNTA(A972:O972)=0,"",IF(AND(B972&lt;&gt;"",C972&lt;&gt;"",D972&lt;&gt;"",E972&lt;&gt;"",H972&lt;&gt;"",OR(J972&lt;&gt;"",L972&lt;&gt;"")),"OK","ERRO: faltam "&amp;IF(B972="","Proprietário; ","")&amp;IF(C972="","Origem; ","")&amp;IF(D972="","CNPJ; ","")&amp;IF(E972="","Razão Social; ","")&amp;IF(H972="","Sobrenome; ","")&amp;IF(AND(J972="",L972=""),"telefone ou e-mail; ","")))</f>
      </c>
      <c r="V972" s="6">
        <f>IF(COUNTA(A972:O972)=0,"",IF(AND(Q972="OK",R972="OK",LEFT(S972,4)&lt;&gt;"ERRO",LEFT(T972,4)&lt;&gt;"ERRO",U972="OK"),"OK","REVISAR"))</f>
      </c>
    </row>
    <row r="973">
      <c r="A973" s="4"/>
      <c r="B973" s="5"/>
      <c r="C973" s="5"/>
      <c r="D973" s="5"/>
      <c r="E973" s="5"/>
      <c r="F973" s="4"/>
      <c r="G973" s="4"/>
      <c r="H973" s="5"/>
      <c r="I973" s="4"/>
      <c r="J973" s="4"/>
      <c r="K973" s="4"/>
      <c r="L973" s="4"/>
      <c r="M973" s="4"/>
      <c r="N973" s="4"/>
      <c r="O973" s="4"/>
      <c r="P973" s="6">
        <f>IF(D973="","",SUBSTITUTE(SUBSTITUTE(SUBSTITUTE(SUBSTITUTE(SUBSTITUTE(SUBSTITUTE(SUBSTITUTE(TRIM(D973),".",""),"/",""),"-","")," ",""),"(",""),")",""),"+",""))</f>
      </c>
      <c r="Q973" s="6">
        <f>IF(P973="","",IF(LEN(P973)&lt;&gt;14,"ERRO: "&amp;LEN(P973)&amp;" dígitos",IF(NOT(ISNUMBER(VALUE(P973))),"ERRO: não numérico",IF(LEN(SUBSTITUTE(P973,LEFT(P973,1),""))=0,"ERRO: dígitos repetidos",IF(AND(VALUE(MID(P973,13,1))=IF(MOD(SUMPRODUCT(--MID(P973,{1,2,3,4,5,6,7,8,9,10,11,12},1),{5,4,3,2,9,8,7,6,5,4,3,2}),11)&lt;2,0,11-MOD(SUMPRODUCT(--MID(P973,{1,2,3,4,5,6,7,8,9,10,11,12},1),{5,4,3,2,9,8,7,6,5,4,3,2}),11)),VALUE(MID(P973,14,1))=IF(MOD(SUMPRODUCT(--MID(P973,{1,2,3,4,5,6,7,8,9,10,11,12,13},1),{6,5,4,3,2,9,8,7,6,5,4,3,2}),11)&lt;2,0,11-MOD(SUMPRODUCT(--MID(P973,{1,2,3,4,5,6,7,8,9,10,11,12,13},1),{6,5,4,3,2,9,8,7,6,5,4,3,2}),11))),"OK","ERRO: dígito verificador")))))</f>
      </c>
      <c r="R973" s="6">
        <f>IF(P973="","",IF(COUNTIF($P$2:$P$1001,P973)&gt;1,"DUPLICADO","OK"))</f>
      </c>
      <c r="S973" s="6">
        <f>IF(AND(J973="",K973=""),"vazio",IF(AND(OR(J973="",LEN(SUBSTITUTE(SUBSTITUTE(SUBSTITUTE(SUBSTITUTE(SUBSTITUTE(SUBSTITUTE(SUBSTITUTE(TRIM(J973),".",""),"/",""),"-","")," ",""),"(",""),")",""),"+",""))=10,LEN(SUBSTITUTE(SUBSTITUTE(SUBSTITUTE(SUBSTITUTE(SUBSTITUTE(SUBSTITUTE(SUBSTITUTE(TRIM(J973),".",""),"/",""),"-","")," ",""),"(",""),")",""),"+",""))=11),OR(K973="",LEN(SUBSTITUTE(SUBSTITUTE(SUBSTITUTE(SUBSTITUTE(SUBSTITUTE(SUBSTITUTE(SUBSTITUTE(TRIM(K973),".",""),"/",""),"-","")," ",""),"(",""),")",""),"+",""))=10,LEN(SUBSTITUTE(SUBSTITUTE(SUBSTITUTE(SUBSTITUTE(SUBSTITUTE(SUBSTITUTE(SUBSTITUTE(TRIM(K973),".",""),"/",""),"-","")," ",""),"(",""),")",""),"+",""))=11)),"OK","ERRO: use DDD + número (10 ou 11 dígitos)"))</f>
      </c>
      <c r="T973" s="6">
        <f>IF(L973="","vazio",IF(AND(ISNUMBER(FIND("@",L973)),ISNUMBER(FIND(".",MID(L973,FIND("@",L973),99))),NOT(ISNUMBER(FIND(" ",TRIM(L973)))),NOT(ISNUMBER(FIND(";",L973))),NOT(ISNUMBER(FIND(",",L973)))),"OK","ERRO: um e-mail válido por linha"))</f>
      </c>
      <c r="U973" s="6">
        <f>IF(COUNTA(A973:O973)=0,"",IF(AND(B973&lt;&gt;"",C973&lt;&gt;"",D973&lt;&gt;"",E973&lt;&gt;"",H973&lt;&gt;"",OR(J973&lt;&gt;"",L973&lt;&gt;"")),"OK","ERRO: faltam "&amp;IF(B973="","Proprietário; ","")&amp;IF(C973="","Origem; ","")&amp;IF(D973="","CNPJ; ","")&amp;IF(E973="","Razão Social; ","")&amp;IF(H973="","Sobrenome; ","")&amp;IF(AND(J973="",L973=""),"telefone ou e-mail; ","")))</f>
      </c>
      <c r="V973" s="6">
        <f>IF(COUNTA(A973:O973)=0,"",IF(AND(Q973="OK",R973="OK",LEFT(S973,4)&lt;&gt;"ERRO",LEFT(T973,4)&lt;&gt;"ERRO",U973="OK"),"OK","REVISAR"))</f>
      </c>
    </row>
    <row r="974">
      <c r="A974" s="4"/>
      <c r="B974" s="5"/>
      <c r="C974" s="5"/>
      <c r="D974" s="5"/>
      <c r="E974" s="5"/>
      <c r="F974" s="4"/>
      <c r="G974" s="4"/>
      <c r="H974" s="5"/>
      <c r="I974" s="4"/>
      <c r="J974" s="4"/>
      <c r="K974" s="4"/>
      <c r="L974" s="4"/>
      <c r="M974" s="4"/>
      <c r="N974" s="4"/>
      <c r="O974" s="4"/>
      <c r="P974" s="6">
        <f>IF(D974="","",SUBSTITUTE(SUBSTITUTE(SUBSTITUTE(SUBSTITUTE(SUBSTITUTE(SUBSTITUTE(SUBSTITUTE(TRIM(D974),".",""),"/",""),"-","")," ",""),"(",""),")",""),"+",""))</f>
      </c>
      <c r="Q974" s="6">
        <f>IF(P974="","",IF(LEN(P974)&lt;&gt;14,"ERRO: "&amp;LEN(P974)&amp;" dígitos",IF(NOT(ISNUMBER(VALUE(P974))),"ERRO: não numérico",IF(LEN(SUBSTITUTE(P974,LEFT(P974,1),""))=0,"ERRO: dígitos repetidos",IF(AND(VALUE(MID(P974,13,1))=IF(MOD(SUMPRODUCT(--MID(P974,{1,2,3,4,5,6,7,8,9,10,11,12},1),{5,4,3,2,9,8,7,6,5,4,3,2}),11)&lt;2,0,11-MOD(SUMPRODUCT(--MID(P974,{1,2,3,4,5,6,7,8,9,10,11,12},1),{5,4,3,2,9,8,7,6,5,4,3,2}),11)),VALUE(MID(P974,14,1))=IF(MOD(SUMPRODUCT(--MID(P974,{1,2,3,4,5,6,7,8,9,10,11,12,13},1),{6,5,4,3,2,9,8,7,6,5,4,3,2}),11)&lt;2,0,11-MOD(SUMPRODUCT(--MID(P974,{1,2,3,4,5,6,7,8,9,10,11,12,13},1),{6,5,4,3,2,9,8,7,6,5,4,3,2}),11))),"OK","ERRO: dígito verificador")))))</f>
      </c>
      <c r="R974" s="6">
        <f>IF(P974="","",IF(COUNTIF($P$2:$P$1001,P974)&gt;1,"DUPLICADO","OK"))</f>
      </c>
      <c r="S974" s="6">
        <f>IF(AND(J974="",K974=""),"vazio",IF(AND(OR(J974="",LEN(SUBSTITUTE(SUBSTITUTE(SUBSTITUTE(SUBSTITUTE(SUBSTITUTE(SUBSTITUTE(SUBSTITUTE(TRIM(J974),".",""),"/",""),"-","")," ",""),"(",""),")",""),"+",""))=10,LEN(SUBSTITUTE(SUBSTITUTE(SUBSTITUTE(SUBSTITUTE(SUBSTITUTE(SUBSTITUTE(SUBSTITUTE(TRIM(J974),".",""),"/",""),"-","")," ",""),"(",""),")",""),"+",""))=11),OR(K974="",LEN(SUBSTITUTE(SUBSTITUTE(SUBSTITUTE(SUBSTITUTE(SUBSTITUTE(SUBSTITUTE(SUBSTITUTE(TRIM(K974),".",""),"/",""),"-","")," ",""),"(",""),")",""),"+",""))=10,LEN(SUBSTITUTE(SUBSTITUTE(SUBSTITUTE(SUBSTITUTE(SUBSTITUTE(SUBSTITUTE(SUBSTITUTE(TRIM(K974),".",""),"/",""),"-","")," ",""),"(",""),")",""),"+",""))=11)),"OK","ERRO: use DDD + número (10 ou 11 dígitos)"))</f>
      </c>
      <c r="T974" s="6">
        <f>IF(L974="","vazio",IF(AND(ISNUMBER(FIND("@",L974)),ISNUMBER(FIND(".",MID(L974,FIND("@",L974),99))),NOT(ISNUMBER(FIND(" ",TRIM(L974)))),NOT(ISNUMBER(FIND(";",L974))),NOT(ISNUMBER(FIND(",",L974)))),"OK","ERRO: um e-mail válido por linha"))</f>
      </c>
      <c r="U974" s="6">
        <f>IF(COUNTA(A974:O974)=0,"",IF(AND(B974&lt;&gt;"",C974&lt;&gt;"",D974&lt;&gt;"",E974&lt;&gt;"",H974&lt;&gt;"",OR(J974&lt;&gt;"",L974&lt;&gt;"")),"OK","ERRO: faltam "&amp;IF(B974="","Proprietário; ","")&amp;IF(C974="","Origem; ","")&amp;IF(D974="","CNPJ; ","")&amp;IF(E974="","Razão Social; ","")&amp;IF(H974="","Sobrenome; ","")&amp;IF(AND(J974="",L974=""),"telefone ou e-mail; ","")))</f>
      </c>
      <c r="V974" s="6">
        <f>IF(COUNTA(A974:O974)=0,"",IF(AND(Q974="OK",R974="OK",LEFT(S974,4)&lt;&gt;"ERRO",LEFT(T974,4)&lt;&gt;"ERRO",U974="OK"),"OK","REVISAR"))</f>
      </c>
    </row>
    <row r="975">
      <c r="A975" s="4"/>
      <c r="B975" s="5"/>
      <c r="C975" s="5"/>
      <c r="D975" s="5"/>
      <c r="E975" s="5"/>
      <c r="F975" s="4"/>
      <c r="G975" s="4"/>
      <c r="H975" s="5"/>
      <c r="I975" s="4"/>
      <c r="J975" s="4"/>
      <c r="K975" s="4"/>
      <c r="L975" s="4"/>
      <c r="M975" s="4"/>
      <c r="N975" s="4"/>
      <c r="O975" s="4"/>
      <c r="P975" s="6">
        <f>IF(D975="","",SUBSTITUTE(SUBSTITUTE(SUBSTITUTE(SUBSTITUTE(SUBSTITUTE(SUBSTITUTE(SUBSTITUTE(TRIM(D975),".",""),"/",""),"-","")," ",""),"(",""),")",""),"+",""))</f>
      </c>
      <c r="Q975" s="6">
        <f>IF(P975="","",IF(LEN(P975)&lt;&gt;14,"ERRO: "&amp;LEN(P975)&amp;" dígitos",IF(NOT(ISNUMBER(VALUE(P975))),"ERRO: não numérico",IF(LEN(SUBSTITUTE(P975,LEFT(P975,1),""))=0,"ERRO: dígitos repetidos",IF(AND(VALUE(MID(P975,13,1))=IF(MOD(SUMPRODUCT(--MID(P975,{1,2,3,4,5,6,7,8,9,10,11,12},1),{5,4,3,2,9,8,7,6,5,4,3,2}),11)&lt;2,0,11-MOD(SUMPRODUCT(--MID(P975,{1,2,3,4,5,6,7,8,9,10,11,12},1),{5,4,3,2,9,8,7,6,5,4,3,2}),11)),VALUE(MID(P975,14,1))=IF(MOD(SUMPRODUCT(--MID(P975,{1,2,3,4,5,6,7,8,9,10,11,12,13},1),{6,5,4,3,2,9,8,7,6,5,4,3,2}),11)&lt;2,0,11-MOD(SUMPRODUCT(--MID(P975,{1,2,3,4,5,6,7,8,9,10,11,12,13},1),{6,5,4,3,2,9,8,7,6,5,4,3,2}),11))),"OK","ERRO: dígito verificador")))))</f>
      </c>
      <c r="R975" s="6">
        <f>IF(P975="","",IF(COUNTIF($P$2:$P$1001,P975)&gt;1,"DUPLICADO","OK"))</f>
      </c>
      <c r="S975" s="6">
        <f>IF(AND(J975="",K975=""),"vazio",IF(AND(OR(J975="",LEN(SUBSTITUTE(SUBSTITUTE(SUBSTITUTE(SUBSTITUTE(SUBSTITUTE(SUBSTITUTE(SUBSTITUTE(TRIM(J975),".",""),"/",""),"-","")," ",""),"(",""),")",""),"+",""))=10,LEN(SUBSTITUTE(SUBSTITUTE(SUBSTITUTE(SUBSTITUTE(SUBSTITUTE(SUBSTITUTE(SUBSTITUTE(TRIM(J975),".",""),"/",""),"-","")," ",""),"(",""),")",""),"+",""))=11),OR(K975="",LEN(SUBSTITUTE(SUBSTITUTE(SUBSTITUTE(SUBSTITUTE(SUBSTITUTE(SUBSTITUTE(SUBSTITUTE(TRIM(K975),".",""),"/",""),"-","")," ",""),"(",""),")",""),"+",""))=10,LEN(SUBSTITUTE(SUBSTITUTE(SUBSTITUTE(SUBSTITUTE(SUBSTITUTE(SUBSTITUTE(SUBSTITUTE(TRIM(K975),".",""),"/",""),"-","")," ",""),"(",""),")",""),"+",""))=11)),"OK","ERRO: use DDD + número (10 ou 11 dígitos)"))</f>
      </c>
      <c r="T975" s="6">
        <f>IF(L975="","vazio",IF(AND(ISNUMBER(FIND("@",L975)),ISNUMBER(FIND(".",MID(L975,FIND("@",L975),99))),NOT(ISNUMBER(FIND(" ",TRIM(L975)))),NOT(ISNUMBER(FIND(";",L975))),NOT(ISNUMBER(FIND(",",L975)))),"OK","ERRO: um e-mail válido por linha"))</f>
      </c>
      <c r="U975" s="6">
        <f>IF(COUNTA(A975:O975)=0,"",IF(AND(B975&lt;&gt;"",C975&lt;&gt;"",D975&lt;&gt;"",E975&lt;&gt;"",H975&lt;&gt;"",OR(J975&lt;&gt;"",L975&lt;&gt;"")),"OK","ERRO: faltam "&amp;IF(B975="","Proprietário; ","")&amp;IF(C975="","Origem; ","")&amp;IF(D975="","CNPJ; ","")&amp;IF(E975="","Razão Social; ","")&amp;IF(H975="","Sobrenome; ","")&amp;IF(AND(J975="",L975=""),"telefone ou e-mail; ","")))</f>
      </c>
      <c r="V975" s="6">
        <f>IF(COUNTA(A975:O975)=0,"",IF(AND(Q975="OK",R975="OK",LEFT(S975,4)&lt;&gt;"ERRO",LEFT(T975,4)&lt;&gt;"ERRO",U975="OK"),"OK","REVISAR"))</f>
      </c>
    </row>
    <row r="976">
      <c r="A976" s="4"/>
      <c r="B976" s="5"/>
      <c r="C976" s="5"/>
      <c r="D976" s="5"/>
      <c r="E976" s="5"/>
      <c r="F976" s="4"/>
      <c r="G976" s="4"/>
      <c r="H976" s="5"/>
      <c r="I976" s="4"/>
      <c r="J976" s="4"/>
      <c r="K976" s="4"/>
      <c r="L976" s="4"/>
      <c r="M976" s="4"/>
      <c r="N976" s="4"/>
      <c r="O976" s="4"/>
      <c r="P976" s="6">
        <f>IF(D976="","",SUBSTITUTE(SUBSTITUTE(SUBSTITUTE(SUBSTITUTE(SUBSTITUTE(SUBSTITUTE(SUBSTITUTE(TRIM(D976),".",""),"/",""),"-","")," ",""),"(",""),")",""),"+",""))</f>
      </c>
      <c r="Q976" s="6">
        <f>IF(P976="","",IF(LEN(P976)&lt;&gt;14,"ERRO: "&amp;LEN(P976)&amp;" dígitos",IF(NOT(ISNUMBER(VALUE(P976))),"ERRO: não numérico",IF(LEN(SUBSTITUTE(P976,LEFT(P976,1),""))=0,"ERRO: dígitos repetidos",IF(AND(VALUE(MID(P976,13,1))=IF(MOD(SUMPRODUCT(--MID(P976,{1,2,3,4,5,6,7,8,9,10,11,12},1),{5,4,3,2,9,8,7,6,5,4,3,2}),11)&lt;2,0,11-MOD(SUMPRODUCT(--MID(P976,{1,2,3,4,5,6,7,8,9,10,11,12},1),{5,4,3,2,9,8,7,6,5,4,3,2}),11)),VALUE(MID(P976,14,1))=IF(MOD(SUMPRODUCT(--MID(P976,{1,2,3,4,5,6,7,8,9,10,11,12,13},1),{6,5,4,3,2,9,8,7,6,5,4,3,2}),11)&lt;2,0,11-MOD(SUMPRODUCT(--MID(P976,{1,2,3,4,5,6,7,8,9,10,11,12,13},1),{6,5,4,3,2,9,8,7,6,5,4,3,2}),11))),"OK","ERRO: dígito verificador")))))</f>
      </c>
      <c r="R976" s="6">
        <f>IF(P976="","",IF(COUNTIF($P$2:$P$1001,P976)&gt;1,"DUPLICADO","OK"))</f>
      </c>
      <c r="S976" s="6">
        <f>IF(AND(J976="",K976=""),"vazio",IF(AND(OR(J976="",LEN(SUBSTITUTE(SUBSTITUTE(SUBSTITUTE(SUBSTITUTE(SUBSTITUTE(SUBSTITUTE(SUBSTITUTE(TRIM(J976),".",""),"/",""),"-","")," ",""),"(",""),")",""),"+",""))=10,LEN(SUBSTITUTE(SUBSTITUTE(SUBSTITUTE(SUBSTITUTE(SUBSTITUTE(SUBSTITUTE(SUBSTITUTE(TRIM(J976),".",""),"/",""),"-","")," ",""),"(",""),")",""),"+",""))=11),OR(K976="",LEN(SUBSTITUTE(SUBSTITUTE(SUBSTITUTE(SUBSTITUTE(SUBSTITUTE(SUBSTITUTE(SUBSTITUTE(TRIM(K976),".",""),"/",""),"-","")," ",""),"(",""),")",""),"+",""))=10,LEN(SUBSTITUTE(SUBSTITUTE(SUBSTITUTE(SUBSTITUTE(SUBSTITUTE(SUBSTITUTE(SUBSTITUTE(TRIM(K976),".",""),"/",""),"-","")," ",""),"(",""),")",""),"+",""))=11)),"OK","ERRO: use DDD + número (10 ou 11 dígitos)"))</f>
      </c>
      <c r="T976" s="6">
        <f>IF(L976="","vazio",IF(AND(ISNUMBER(FIND("@",L976)),ISNUMBER(FIND(".",MID(L976,FIND("@",L976),99))),NOT(ISNUMBER(FIND(" ",TRIM(L976)))),NOT(ISNUMBER(FIND(";",L976))),NOT(ISNUMBER(FIND(",",L976)))),"OK","ERRO: um e-mail válido por linha"))</f>
      </c>
      <c r="U976" s="6">
        <f>IF(COUNTA(A976:O976)=0,"",IF(AND(B976&lt;&gt;"",C976&lt;&gt;"",D976&lt;&gt;"",E976&lt;&gt;"",H976&lt;&gt;"",OR(J976&lt;&gt;"",L976&lt;&gt;"")),"OK","ERRO: faltam "&amp;IF(B976="","Proprietário; ","")&amp;IF(C976="","Origem; ","")&amp;IF(D976="","CNPJ; ","")&amp;IF(E976="","Razão Social; ","")&amp;IF(H976="","Sobrenome; ","")&amp;IF(AND(J976="",L976=""),"telefone ou e-mail; ","")))</f>
      </c>
      <c r="V976" s="6">
        <f>IF(COUNTA(A976:O976)=0,"",IF(AND(Q976="OK",R976="OK",LEFT(S976,4)&lt;&gt;"ERRO",LEFT(T976,4)&lt;&gt;"ERRO",U976="OK"),"OK","REVISAR"))</f>
      </c>
    </row>
    <row r="977">
      <c r="A977" s="4"/>
      <c r="B977" s="5"/>
      <c r="C977" s="5"/>
      <c r="D977" s="5"/>
      <c r="E977" s="5"/>
      <c r="F977" s="4"/>
      <c r="G977" s="4"/>
      <c r="H977" s="5"/>
      <c r="I977" s="4"/>
      <c r="J977" s="4"/>
      <c r="K977" s="4"/>
      <c r="L977" s="4"/>
      <c r="M977" s="4"/>
      <c r="N977" s="4"/>
      <c r="O977" s="4"/>
      <c r="P977" s="6">
        <f>IF(D977="","",SUBSTITUTE(SUBSTITUTE(SUBSTITUTE(SUBSTITUTE(SUBSTITUTE(SUBSTITUTE(SUBSTITUTE(TRIM(D977),".",""),"/",""),"-","")," ",""),"(",""),")",""),"+",""))</f>
      </c>
      <c r="Q977" s="6">
        <f>IF(P977="","",IF(LEN(P977)&lt;&gt;14,"ERRO: "&amp;LEN(P977)&amp;" dígitos",IF(NOT(ISNUMBER(VALUE(P977))),"ERRO: não numérico",IF(LEN(SUBSTITUTE(P977,LEFT(P977,1),""))=0,"ERRO: dígitos repetidos",IF(AND(VALUE(MID(P977,13,1))=IF(MOD(SUMPRODUCT(--MID(P977,{1,2,3,4,5,6,7,8,9,10,11,12},1),{5,4,3,2,9,8,7,6,5,4,3,2}),11)&lt;2,0,11-MOD(SUMPRODUCT(--MID(P977,{1,2,3,4,5,6,7,8,9,10,11,12},1),{5,4,3,2,9,8,7,6,5,4,3,2}),11)),VALUE(MID(P977,14,1))=IF(MOD(SUMPRODUCT(--MID(P977,{1,2,3,4,5,6,7,8,9,10,11,12,13},1),{6,5,4,3,2,9,8,7,6,5,4,3,2}),11)&lt;2,0,11-MOD(SUMPRODUCT(--MID(P977,{1,2,3,4,5,6,7,8,9,10,11,12,13},1),{6,5,4,3,2,9,8,7,6,5,4,3,2}),11))),"OK","ERRO: dígito verificador")))))</f>
      </c>
      <c r="R977" s="6">
        <f>IF(P977="","",IF(COUNTIF($P$2:$P$1001,P977)&gt;1,"DUPLICADO","OK"))</f>
      </c>
      <c r="S977" s="6">
        <f>IF(AND(J977="",K977=""),"vazio",IF(AND(OR(J977="",LEN(SUBSTITUTE(SUBSTITUTE(SUBSTITUTE(SUBSTITUTE(SUBSTITUTE(SUBSTITUTE(SUBSTITUTE(TRIM(J977),".",""),"/",""),"-","")," ",""),"(",""),")",""),"+",""))=10,LEN(SUBSTITUTE(SUBSTITUTE(SUBSTITUTE(SUBSTITUTE(SUBSTITUTE(SUBSTITUTE(SUBSTITUTE(TRIM(J977),".",""),"/",""),"-","")," ",""),"(",""),")",""),"+",""))=11),OR(K977="",LEN(SUBSTITUTE(SUBSTITUTE(SUBSTITUTE(SUBSTITUTE(SUBSTITUTE(SUBSTITUTE(SUBSTITUTE(TRIM(K977),".",""),"/",""),"-","")," ",""),"(",""),")",""),"+",""))=10,LEN(SUBSTITUTE(SUBSTITUTE(SUBSTITUTE(SUBSTITUTE(SUBSTITUTE(SUBSTITUTE(SUBSTITUTE(TRIM(K977),".",""),"/",""),"-","")," ",""),"(",""),")",""),"+",""))=11)),"OK","ERRO: use DDD + número (10 ou 11 dígitos)"))</f>
      </c>
      <c r="T977" s="6">
        <f>IF(L977="","vazio",IF(AND(ISNUMBER(FIND("@",L977)),ISNUMBER(FIND(".",MID(L977,FIND("@",L977),99))),NOT(ISNUMBER(FIND(" ",TRIM(L977)))),NOT(ISNUMBER(FIND(";",L977))),NOT(ISNUMBER(FIND(",",L977)))),"OK","ERRO: um e-mail válido por linha"))</f>
      </c>
      <c r="U977" s="6">
        <f>IF(COUNTA(A977:O977)=0,"",IF(AND(B977&lt;&gt;"",C977&lt;&gt;"",D977&lt;&gt;"",E977&lt;&gt;"",H977&lt;&gt;"",OR(J977&lt;&gt;"",L977&lt;&gt;"")),"OK","ERRO: faltam "&amp;IF(B977="","Proprietário; ","")&amp;IF(C977="","Origem; ","")&amp;IF(D977="","CNPJ; ","")&amp;IF(E977="","Razão Social; ","")&amp;IF(H977="","Sobrenome; ","")&amp;IF(AND(J977="",L977=""),"telefone ou e-mail; ","")))</f>
      </c>
      <c r="V977" s="6">
        <f>IF(COUNTA(A977:O977)=0,"",IF(AND(Q977="OK",R977="OK",LEFT(S977,4)&lt;&gt;"ERRO",LEFT(T977,4)&lt;&gt;"ERRO",U977="OK"),"OK","REVISAR"))</f>
      </c>
    </row>
    <row r="978">
      <c r="A978" s="4"/>
      <c r="B978" s="5"/>
      <c r="C978" s="5"/>
      <c r="D978" s="5"/>
      <c r="E978" s="5"/>
      <c r="F978" s="4"/>
      <c r="G978" s="4"/>
      <c r="H978" s="5"/>
      <c r="I978" s="4"/>
      <c r="J978" s="4"/>
      <c r="K978" s="4"/>
      <c r="L978" s="4"/>
      <c r="M978" s="4"/>
      <c r="N978" s="4"/>
      <c r="O978" s="4"/>
      <c r="P978" s="6">
        <f>IF(D978="","",SUBSTITUTE(SUBSTITUTE(SUBSTITUTE(SUBSTITUTE(SUBSTITUTE(SUBSTITUTE(SUBSTITUTE(TRIM(D978),".",""),"/",""),"-","")," ",""),"(",""),")",""),"+",""))</f>
      </c>
      <c r="Q978" s="6">
        <f>IF(P978="","",IF(LEN(P978)&lt;&gt;14,"ERRO: "&amp;LEN(P978)&amp;" dígitos",IF(NOT(ISNUMBER(VALUE(P978))),"ERRO: não numérico",IF(LEN(SUBSTITUTE(P978,LEFT(P978,1),""))=0,"ERRO: dígitos repetidos",IF(AND(VALUE(MID(P978,13,1))=IF(MOD(SUMPRODUCT(--MID(P978,{1,2,3,4,5,6,7,8,9,10,11,12},1),{5,4,3,2,9,8,7,6,5,4,3,2}),11)&lt;2,0,11-MOD(SUMPRODUCT(--MID(P978,{1,2,3,4,5,6,7,8,9,10,11,12},1),{5,4,3,2,9,8,7,6,5,4,3,2}),11)),VALUE(MID(P978,14,1))=IF(MOD(SUMPRODUCT(--MID(P978,{1,2,3,4,5,6,7,8,9,10,11,12,13},1),{6,5,4,3,2,9,8,7,6,5,4,3,2}),11)&lt;2,0,11-MOD(SUMPRODUCT(--MID(P978,{1,2,3,4,5,6,7,8,9,10,11,12,13},1),{6,5,4,3,2,9,8,7,6,5,4,3,2}),11))),"OK","ERRO: dígito verificador")))))</f>
      </c>
      <c r="R978" s="6">
        <f>IF(P978="","",IF(COUNTIF($P$2:$P$1001,P978)&gt;1,"DUPLICADO","OK"))</f>
      </c>
      <c r="S978" s="6">
        <f>IF(AND(J978="",K978=""),"vazio",IF(AND(OR(J978="",LEN(SUBSTITUTE(SUBSTITUTE(SUBSTITUTE(SUBSTITUTE(SUBSTITUTE(SUBSTITUTE(SUBSTITUTE(TRIM(J978),".",""),"/",""),"-","")," ",""),"(",""),")",""),"+",""))=10,LEN(SUBSTITUTE(SUBSTITUTE(SUBSTITUTE(SUBSTITUTE(SUBSTITUTE(SUBSTITUTE(SUBSTITUTE(TRIM(J978),".",""),"/",""),"-","")," ",""),"(",""),")",""),"+",""))=11),OR(K978="",LEN(SUBSTITUTE(SUBSTITUTE(SUBSTITUTE(SUBSTITUTE(SUBSTITUTE(SUBSTITUTE(SUBSTITUTE(TRIM(K978),".",""),"/",""),"-","")," ",""),"(",""),")",""),"+",""))=10,LEN(SUBSTITUTE(SUBSTITUTE(SUBSTITUTE(SUBSTITUTE(SUBSTITUTE(SUBSTITUTE(SUBSTITUTE(TRIM(K978),".",""),"/",""),"-","")," ",""),"(",""),")",""),"+",""))=11)),"OK","ERRO: use DDD + número (10 ou 11 dígitos)"))</f>
      </c>
      <c r="T978" s="6">
        <f>IF(L978="","vazio",IF(AND(ISNUMBER(FIND("@",L978)),ISNUMBER(FIND(".",MID(L978,FIND("@",L978),99))),NOT(ISNUMBER(FIND(" ",TRIM(L978)))),NOT(ISNUMBER(FIND(";",L978))),NOT(ISNUMBER(FIND(",",L978)))),"OK","ERRO: um e-mail válido por linha"))</f>
      </c>
      <c r="U978" s="6">
        <f>IF(COUNTA(A978:O978)=0,"",IF(AND(B978&lt;&gt;"",C978&lt;&gt;"",D978&lt;&gt;"",E978&lt;&gt;"",H978&lt;&gt;"",OR(J978&lt;&gt;"",L978&lt;&gt;"")),"OK","ERRO: faltam "&amp;IF(B978="","Proprietário; ","")&amp;IF(C978="","Origem; ","")&amp;IF(D978="","CNPJ; ","")&amp;IF(E978="","Razão Social; ","")&amp;IF(H978="","Sobrenome; ","")&amp;IF(AND(J978="",L978=""),"telefone ou e-mail; ","")))</f>
      </c>
      <c r="V978" s="6">
        <f>IF(COUNTA(A978:O978)=0,"",IF(AND(Q978="OK",R978="OK",LEFT(S978,4)&lt;&gt;"ERRO",LEFT(T978,4)&lt;&gt;"ERRO",U978="OK"),"OK","REVISAR"))</f>
      </c>
    </row>
    <row r="979">
      <c r="A979" s="4"/>
      <c r="B979" s="5"/>
      <c r="C979" s="5"/>
      <c r="D979" s="5"/>
      <c r="E979" s="5"/>
      <c r="F979" s="4"/>
      <c r="G979" s="4"/>
      <c r="H979" s="5"/>
      <c r="I979" s="4"/>
      <c r="J979" s="4"/>
      <c r="K979" s="4"/>
      <c r="L979" s="4"/>
      <c r="M979" s="4"/>
      <c r="N979" s="4"/>
      <c r="O979" s="4"/>
      <c r="P979" s="6">
        <f>IF(D979="","",SUBSTITUTE(SUBSTITUTE(SUBSTITUTE(SUBSTITUTE(SUBSTITUTE(SUBSTITUTE(SUBSTITUTE(TRIM(D979),".",""),"/",""),"-","")," ",""),"(",""),")",""),"+",""))</f>
      </c>
      <c r="Q979" s="6">
        <f>IF(P979="","",IF(LEN(P979)&lt;&gt;14,"ERRO: "&amp;LEN(P979)&amp;" dígitos",IF(NOT(ISNUMBER(VALUE(P979))),"ERRO: não numérico",IF(LEN(SUBSTITUTE(P979,LEFT(P979,1),""))=0,"ERRO: dígitos repetidos",IF(AND(VALUE(MID(P979,13,1))=IF(MOD(SUMPRODUCT(--MID(P979,{1,2,3,4,5,6,7,8,9,10,11,12},1),{5,4,3,2,9,8,7,6,5,4,3,2}),11)&lt;2,0,11-MOD(SUMPRODUCT(--MID(P979,{1,2,3,4,5,6,7,8,9,10,11,12},1),{5,4,3,2,9,8,7,6,5,4,3,2}),11)),VALUE(MID(P979,14,1))=IF(MOD(SUMPRODUCT(--MID(P979,{1,2,3,4,5,6,7,8,9,10,11,12,13},1),{6,5,4,3,2,9,8,7,6,5,4,3,2}),11)&lt;2,0,11-MOD(SUMPRODUCT(--MID(P979,{1,2,3,4,5,6,7,8,9,10,11,12,13},1),{6,5,4,3,2,9,8,7,6,5,4,3,2}),11))),"OK","ERRO: dígito verificador")))))</f>
      </c>
      <c r="R979" s="6">
        <f>IF(P979="","",IF(COUNTIF($P$2:$P$1001,P979)&gt;1,"DUPLICADO","OK"))</f>
      </c>
      <c r="S979" s="6">
        <f>IF(AND(J979="",K979=""),"vazio",IF(AND(OR(J979="",LEN(SUBSTITUTE(SUBSTITUTE(SUBSTITUTE(SUBSTITUTE(SUBSTITUTE(SUBSTITUTE(SUBSTITUTE(TRIM(J979),".",""),"/",""),"-","")," ",""),"(",""),")",""),"+",""))=10,LEN(SUBSTITUTE(SUBSTITUTE(SUBSTITUTE(SUBSTITUTE(SUBSTITUTE(SUBSTITUTE(SUBSTITUTE(TRIM(J979),".",""),"/",""),"-","")," ",""),"(",""),")",""),"+",""))=11),OR(K979="",LEN(SUBSTITUTE(SUBSTITUTE(SUBSTITUTE(SUBSTITUTE(SUBSTITUTE(SUBSTITUTE(SUBSTITUTE(TRIM(K979),".",""),"/",""),"-","")," ",""),"(",""),")",""),"+",""))=10,LEN(SUBSTITUTE(SUBSTITUTE(SUBSTITUTE(SUBSTITUTE(SUBSTITUTE(SUBSTITUTE(SUBSTITUTE(TRIM(K979),".",""),"/",""),"-","")," ",""),"(",""),")",""),"+",""))=11)),"OK","ERRO: use DDD + número (10 ou 11 dígitos)"))</f>
      </c>
      <c r="T979" s="6">
        <f>IF(L979="","vazio",IF(AND(ISNUMBER(FIND("@",L979)),ISNUMBER(FIND(".",MID(L979,FIND("@",L979),99))),NOT(ISNUMBER(FIND(" ",TRIM(L979)))),NOT(ISNUMBER(FIND(";",L979))),NOT(ISNUMBER(FIND(",",L979)))),"OK","ERRO: um e-mail válido por linha"))</f>
      </c>
      <c r="U979" s="6">
        <f>IF(COUNTA(A979:O979)=0,"",IF(AND(B979&lt;&gt;"",C979&lt;&gt;"",D979&lt;&gt;"",E979&lt;&gt;"",H979&lt;&gt;"",OR(J979&lt;&gt;"",L979&lt;&gt;"")),"OK","ERRO: faltam "&amp;IF(B979="","Proprietário; ","")&amp;IF(C979="","Origem; ","")&amp;IF(D979="","CNPJ; ","")&amp;IF(E979="","Razão Social; ","")&amp;IF(H979="","Sobrenome; ","")&amp;IF(AND(J979="",L979=""),"telefone ou e-mail; ","")))</f>
      </c>
      <c r="V979" s="6">
        <f>IF(COUNTA(A979:O979)=0,"",IF(AND(Q979="OK",R979="OK",LEFT(S979,4)&lt;&gt;"ERRO",LEFT(T979,4)&lt;&gt;"ERRO",U979="OK"),"OK","REVISAR"))</f>
      </c>
    </row>
    <row r="980">
      <c r="A980" s="4"/>
      <c r="B980" s="5"/>
      <c r="C980" s="5"/>
      <c r="D980" s="5"/>
      <c r="E980" s="5"/>
      <c r="F980" s="4"/>
      <c r="G980" s="4"/>
      <c r="H980" s="5"/>
      <c r="I980" s="4"/>
      <c r="J980" s="4"/>
      <c r="K980" s="4"/>
      <c r="L980" s="4"/>
      <c r="M980" s="4"/>
      <c r="N980" s="4"/>
      <c r="O980" s="4"/>
      <c r="P980" s="6">
        <f>IF(D980="","",SUBSTITUTE(SUBSTITUTE(SUBSTITUTE(SUBSTITUTE(SUBSTITUTE(SUBSTITUTE(SUBSTITUTE(TRIM(D980),".",""),"/",""),"-","")," ",""),"(",""),")",""),"+",""))</f>
      </c>
      <c r="Q980" s="6">
        <f>IF(P980="","",IF(LEN(P980)&lt;&gt;14,"ERRO: "&amp;LEN(P980)&amp;" dígitos",IF(NOT(ISNUMBER(VALUE(P980))),"ERRO: não numérico",IF(LEN(SUBSTITUTE(P980,LEFT(P980,1),""))=0,"ERRO: dígitos repetidos",IF(AND(VALUE(MID(P980,13,1))=IF(MOD(SUMPRODUCT(--MID(P980,{1,2,3,4,5,6,7,8,9,10,11,12},1),{5,4,3,2,9,8,7,6,5,4,3,2}),11)&lt;2,0,11-MOD(SUMPRODUCT(--MID(P980,{1,2,3,4,5,6,7,8,9,10,11,12},1),{5,4,3,2,9,8,7,6,5,4,3,2}),11)),VALUE(MID(P980,14,1))=IF(MOD(SUMPRODUCT(--MID(P980,{1,2,3,4,5,6,7,8,9,10,11,12,13},1),{6,5,4,3,2,9,8,7,6,5,4,3,2}),11)&lt;2,0,11-MOD(SUMPRODUCT(--MID(P980,{1,2,3,4,5,6,7,8,9,10,11,12,13},1),{6,5,4,3,2,9,8,7,6,5,4,3,2}),11))),"OK","ERRO: dígito verificador")))))</f>
      </c>
      <c r="R980" s="6">
        <f>IF(P980="","",IF(COUNTIF($P$2:$P$1001,P980)&gt;1,"DUPLICADO","OK"))</f>
      </c>
      <c r="S980" s="6">
        <f>IF(AND(J980="",K980=""),"vazio",IF(AND(OR(J980="",LEN(SUBSTITUTE(SUBSTITUTE(SUBSTITUTE(SUBSTITUTE(SUBSTITUTE(SUBSTITUTE(SUBSTITUTE(TRIM(J980),".",""),"/",""),"-","")," ",""),"(",""),")",""),"+",""))=10,LEN(SUBSTITUTE(SUBSTITUTE(SUBSTITUTE(SUBSTITUTE(SUBSTITUTE(SUBSTITUTE(SUBSTITUTE(TRIM(J980),".",""),"/",""),"-","")," ",""),"(",""),")",""),"+",""))=11),OR(K980="",LEN(SUBSTITUTE(SUBSTITUTE(SUBSTITUTE(SUBSTITUTE(SUBSTITUTE(SUBSTITUTE(SUBSTITUTE(TRIM(K980),".",""),"/",""),"-","")," ",""),"(",""),")",""),"+",""))=10,LEN(SUBSTITUTE(SUBSTITUTE(SUBSTITUTE(SUBSTITUTE(SUBSTITUTE(SUBSTITUTE(SUBSTITUTE(TRIM(K980),".",""),"/",""),"-","")," ",""),"(",""),")",""),"+",""))=11)),"OK","ERRO: use DDD + número (10 ou 11 dígitos)"))</f>
      </c>
      <c r="T980" s="6">
        <f>IF(L980="","vazio",IF(AND(ISNUMBER(FIND("@",L980)),ISNUMBER(FIND(".",MID(L980,FIND("@",L980),99))),NOT(ISNUMBER(FIND(" ",TRIM(L980)))),NOT(ISNUMBER(FIND(";",L980))),NOT(ISNUMBER(FIND(",",L980)))),"OK","ERRO: um e-mail válido por linha"))</f>
      </c>
      <c r="U980" s="6">
        <f>IF(COUNTA(A980:O980)=0,"",IF(AND(B980&lt;&gt;"",C980&lt;&gt;"",D980&lt;&gt;"",E980&lt;&gt;"",H980&lt;&gt;"",OR(J980&lt;&gt;"",L980&lt;&gt;"")),"OK","ERRO: faltam "&amp;IF(B980="","Proprietário; ","")&amp;IF(C980="","Origem; ","")&amp;IF(D980="","CNPJ; ","")&amp;IF(E980="","Razão Social; ","")&amp;IF(H980="","Sobrenome; ","")&amp;IF(AND(J980="",L980=""),"telefone ou e-mail; ","")))</f>
      </c>
      <c r="V980" s="6">
        <f>IF(COUNTA(A980:O980)=0,"",IF(AND(Q980="OK",R980="OK",LEFT(S980,4)&lt;&gt;"ERRO",LEFT(T980,4)&lt;&gt;"ERRO",U980="OK"),"OK","REVISAR"))</f>
      </c>
    </row>
    <row r="981">
      <c r="A981" s="4"/>
      <c r="B981" s="5"/>
      <c r="C981" s="5"/>
      <c r="D981" s="5"/>
      <c r="E981" s="5"/>
      <c r="F981" s="4"/>
      <c r="G981" s="4"/>
      <c r="H981" s="5"/>
      <c r="I981" s="4"/>
      <c r="J981" s="4"/>
      <c r="K981" s="4"/>
      <c r="L981" s="4"/>
      <c r="M981" s="4"/>
      <c r="N981" s="4"/>
      <c r="O981" s="4"/>
      <c r="P981" s="6">
        <f>IF(D981="","",SUBSTITUTE(SUBSTITUTE(SUBSTITUTE(SUBSTITUTE(SUBSTITUTE(SUBSTITUTE(SUBSTITUTE(TRIM(D981),".",""),"/",""),"-","")," ",""),"(",""),")",""),"+",""))</f>
      </c>
      <c r="Q981" s="6">
        <f>IF(P981="","",IF(LEN(P981)&lt;&gt;14,"ERRO: "&amp;LEN(P981)&amp;" dígitos",IF(NOT(ISNUMBER(VALUE(P981))),"ERRO: não numérico",IF(LEN(SUBSTITUTE(P981,LEFT(P981,1),""))=0,"ERRO: dígitos repetidos",IF(AND(VALUE(MID(P981,13,1))=IF(MOD(SUMPRODUCT(--MID(P981,{1,2,3,4,5,6,7,8,9,10,11,12},1),{5,4,3,2,9,8,7,6,5,4,3,2}),11)&lt;2,0,11-MOD(SUMPRODUCT(--MID(P981,{1,2,3,4,5,6,7,8,9,10,11,12},1),{5,4,3,2,9,8,7,6,5,4,3,2}),11)),VALUE(MID(P981,14,1))=IF(MOD(SUMPRODUCT(--MID(P981,{1,2,3,4,5,6,7,8,9,10,11,12,13},1),{6,5,4,3,2,9,8,7,6,5,4,3,2}),11)&lt;2,0,11-MOD(SUMPRODUCT(--MID(P981,{1,2,3,4,5,6,7,8,9,10,11,12,13},1),{6,5,4,3,2,9,8,7,6,5,4,3,2}),11))),"OK","ERRO: dígito verificador")))))</f>
      </c>
      <c r="R981" s="6">
        <f>IF(P981="","",IF(COUNTIF($P$2:$P$1001,P981)&gt;1,"DUPLICADO","OK"))</f>
      </c>
      <c r="S981" s="6">
        <f>IF(AND(J981="",K981=""),"vazio",IF(AND(OR(J981="",LEN(SUBSTITUTE(SUBSTITUTE(SUBSTITUTE(SUBSTITUTE(SUBSTITUTE(SUBSTITUTE(SUBSTITUTE(TRIM(J981),".",""),"/",""),"-","")," ",""),"(",""),")",""),"+",""))=10,LEN(SUBSTITUTE(SUBSTITUTE(SUBSTITUTE(SUBSTITUTE(SUBSTITUTE(SUBSTITUTE(SUBSTITUTE(TRIM(J981),".",""),"/",""),"-","")," ",""),"(",""),")",""),"+",""))=11),OR(K981="",LEN(SUBSTITUTE(SUBSTITUTE(SUBSTITUTE(SUBSTITUTE(SUBSTITUTE(SUBSTITUTE(SUBSTITUTE(TRIM(K981),".",""),"/",""),"-","")," ",""),"(",""),")",""),"+",""))=10,LEN(SUBSTITUTE(SUBSTITUTE(SUBSTITUTE(SUBSTITUTE(SUBSTITUTE(SUBSTITUTE(SUBSTITUTE(TRIM(K981),".",""),"/",""),"-","")," ",""),"(",""),")",""),"+",""))=11)),"OK","ERRO: use DDD + número (10 ou 11 dígitos)"))</f>
      </c>
      <c r="T981" s="6">
        <f>IF(L981="","vazio",IF(AND(ISNUMBER(FIND("@",L981)),ISNUMBER(FIND(".",MID(L981,FIND("@",L981),99))),NOT(ISNUMBER(FIND(" ",TRIM(L981)))),NOT(ISNUMBER(FIND(";",L981))),NOT(ISNUMBER(FIND(",",L981)))),"OK","ERRO: um e-mail válido por linha"))</f>
      </c>
      <c r="U981" s="6">
        <f>IF(COUNTA(A981:O981)=0,"",IF(AND(B981&lt;&gt;"",C981&lt;&gt;"",D981&lt;&gt;"",E981&lt;&gt;"",H981&lt;&gt;"",OR(J981&lt;&gt;"",L981&lt;&gt;"")),"OK","ERRO: faltam "&amp;IF(B981="","Proprietário; ","")&amp;IF(C981="","Origem; ","")&amp;IF(D981="","CNPJ; ","")&amp;IF(E981="","Razão Social; ","")&amp;IF(H981="","Sobrenome; ","")&amp;IF(AND(J981="",L981=""),"telefone ou e-mail; ","")))</f>
      </c>
      <c r="V981" s="6">
        <f>IF(COUNTA(A981:O981)=0,"",IF(AND(Q981="OK",R981="OK",LEFT(S981,4)&lt;&gt;"ERRO",LEFT(T981,4)&lt;&gt;"ERRO",U981="OK"),"OK","REVISAR"))</f>
      </c>
    </row>
    <row r="982">
      <c r="A982" s="4"/>
      <c r="B982" s="5"/>
      <c r="C982" s="5"/>
      <c r="D982" s="5"/>
      <c r="E982" s="5"/>
      <c r="F982" s="4"/>
      <c r="G982" s="4"/>
      <c r="H982" s="5"/>
      <c r="I982" s="4"/>
      <c r="J982" s="4"/>
      <c r="K982" s="4"/>
      <c r="L982" s="4"/>
      <c r="M982" s="4"/>
      <c r="N982" s="4"/>
      <c r="O982" s="4"/>
      <c r="P982" s="6">
        <f>IF(D982="","",SUBSTITUTE(SUBSTITUTE(SUBSTITUTE(SUBSTITUTE(SUBSTITUTE(SUBSTITUTE(SUBSTITUTE(TRIM(D982),".",""),"/",""),"-","")," ",""),"(",""),")",""),"+",""))</f>
      </c>
      <c r="Q982" s="6">
        <f>IF(P982="","",IF(LEN(P982)&lt;&gt;14,"ERRO: "&amp;LEN(P982)&amp;" dígitos",IF(NOT(ISNUMBER(VALUE(P982))),"ERRO: não numérico",IF(LEN(SUBSTITUTE(P982,LEFT(P982,1),""))=0,"ERRO: dígitos repetidos",IF(AND(VALUE(MID(P982,13,1))=IF(MOD(SUMPRODUCT(--MID(P982,{1,2,3,4,5,6,7,8,9,10,11,12},1),{5,4,3,2,9,8,7,6,5,4,3,2}),11)&lt;2,0,11-MOD(SUMPRODUCT(--MID(P982,{1,2,3,4,5,6,7,8,9,10,11,12},1),{5,4,3,2,9,8,7,6,5,4,3,2}),11)),VALUE(MID(P982,14,1))=IF(MOD(SUMPRODUCT(--MID(P982,{1,2,3,4,5,6,7,8,9,10,11,12,13},1),{6,5,4,3,2,9,8,7,6,5,4,3,2}),11)&lt;2,0,11-MOD(SUMPRODUCT(--MID(P982,{1,2,3,4,5,6,7,8,9,10,11,12,13},1),{6,5,4,3,2,9,8,7,6,5,4,3,2}),11))),"OK","ERRO: dígito verificador")))))</f>
      </c>
      <c r="R982" s="6">
        <f>IF(P982="","",IF(COUNTIF($P$2:$P$1001,P982)&gt;1,"DUPLICADO","OK"))</f>
      </c>
      <c r="S982" s="6">
        <f>IF(AND(J982="",K982=""),"vazio",IF(AND(OR(J982="",LEN(SUBSTITUTE(SUBSTITUTE(SUBSTITUTE(SUBSTITUTE(SUBSTITUTE(SUBSTITUTE(SUBSTITUTE(TRIM(J982),".",""),"/",""),"-","")," ",""),"(",""),")",""),"+",""))=10,LEN(SUBSTITUTE(SUBSTITUTE(SUBSTITUTE(SUBSTITUTE(SUBSTITUTE(SUBSTITUTE(SUBSTITUTE(TRIM(J982),".",""),"/",""),"-","")," ",""),"(",""),")",""),"+",""))=11),OR(K982="",LEN(SUBSTITUTE(SUBSTITUTE(SUBSTITUTE(SUBSTITUTE(SUBSTITUTE(SUBSTITUTE(SUBSTITUTE(TRIM(K982),".",""),"/",""),"-","")," ",""),"(",""),")",""),"+",""))=10,LEN(SUBSTITUTE(SUBSTITUTE(SUBSTITUTE(SUBSTITUTE(SUBSTITUTE(SUBSTITUTE(SUBSTITUTE(TRIM(K982),".",""),"/",""),"-","")," ",""),"(",""),")",""),"+",""))=11)),"OK","ERRO: use DDD + número (10 ou 11 dígitos)"))</f>
      </c>
      <c r="T982" s="6">
        <f>IF(L982="","vazio",IF(AND(ISNUMBER(FIND("@",L982)),ISNUMBER(FIND(".",MID(L982,FIND("@",L982),99))),NOT(ISNUMBER(FIND(" ",TRIM(L982)))),NOT(ISNUMBER(FIND(";",L982))),NOT(ISNUMBER(FIND(",",L982)))),"OK","ERRO: um e-mail válido por linha"))</f>
      </c>
      <c r="U982" s="6">
        <f>IF(COUNTA(A982:O982)=0,"",IF(AND(B982&lt;&gt;"",C982&lt;&gt;"",D982&lt;&gt;"",E982&lt;&gt;"",H982&lt;&gt;"",OR(J982&lt;&gt;"",L982&lt;&gt;"")),"OK","ERRO: faltam "&amp;IF(B982="","Proprietário; ","")&amp;IF(C982="","Origem; ","")&amp;IF(D982="","CNPJ; ","")&amp;IF(E982="","Razão Social; ","")&amp;IF(H982="","Sobrenome; ","")&amp;IF(AND(J982="",L982=""),"telefone ou e-mail; ","")))</f>
      </c>
      <c r="V982" s="6">
        <f>IF(COUNTA(A982:O982)=0,"",IF(AND(Q982="OK",R982="OK",LEFT(S982,4)&lt;&gt;"ERRO",LEFT(T982,4)&lt;&gt;"ERRO",U982="OK"),"OK","REVISAR"))</f>
      </c>
    </row>
    <row r="983">
      <c r="A983" s="4"/>
      <c r="B983" s="5"/>
      <c r="C983" s="5"/>
      <c r="D983" s="5"/>
      <c r="E983" s="5"/>
      <c r="F983" s="4"/>
      <c r="G983" s="4"/>
      <c r="H983" s="5"/>
      <c r="I983" s="4"/>
      <c r="J983" s="4"/>
      <c r="K983" s="4"/>
      <c r="L983" s="4"/>
      <c r="M983" s="4"/>
      <c r="N983" s="4"/>
      <c r="O983" s="4"/>
      <c r="P983" s="6">
        <f>IF(D983="","",SUBSTITUTE(SUBSTITUTE(SUBSTITUTE(SUBSTITUTE(SUBSTITUTE(SUBSTITUTE(SUBSTITUTE(TRIM(D983),".",""),"/",""),"-","")," ",""),"(",""),")",""),"+",""))</f>
      </c>
      <c r="Q983" s="6">
        <f>IF(P983="","",IF(LEN(P983)&lt;&gt;14,"ERRO: "&amp;LEN(P983)&amp;" dígitos",IF(NOT(ISNUMBER(VALUE(P983))),"ERRO: não numérico",IF(LEN(SUBSTITUTE(P983,LEFT(P983,1),""))=0,"ERRO: dígitos repetidos",IF(AND(VALUE(MID(P983,13,1))=IF(MOD(SUMPRODUCT(--MID(P983,{1,2,3,4,5,6,7,8,9,10,11,12},1),{5,4,3,2,9,8,7,6,5,4,3,2}),11)&lt;2,0,11-MOD(SUMPRODUCT(--MID(P983,{1,2,3,4,5,6,7,8,9,10,11,12},1),{5,4,3,2,9,8,7,6,5,4,3,2}),11)),VALUE(MID(P983,14,1))=IF(MOD(SUMPRODUCT(--MID(P983,{1,2,3,4,5,6,7,8,9,10,11,12,13},1),{6,5,4,3,2,9,8,7,6,5,4,3,2}),11)&lt;2,0,11-MOD(SUMPRODUCT(--MID(P983,{1,2,3,4,5,6,7,8,9,10,11,12,13},1),{6,5,4,3,2,9,8,7,6,5,4,3,2}),11))),"OK","ERRO: dígito verificador")))))</f>
      </c>
      <c r="R983" s="6">
        <f>IF(P983="","",IF(COUNTIF($P$2:$P$1001,P983)&gt;1,"DUPLICADO","OK"))</f>
      </c>
      <c r="S983" s="6">
        <f>IF(AND(J983="",K983=""),"vazio",IF(AND(OR(J983="",LEN(SUBSTITUTE(SUBSTITUTE(SUBSTITUTE(SUBSTITUTE(SUBSTITUTE(SUBSTITUTE(SUBSTITUTE(TRIM(J983),".",""),"/",""),"-","")," ",""),"(",""),")",""),"+",""))=10,LEN(SUBSTITUTE(SUBSTITUTE(SUBSTITUTE(SUBSTITUTE(SUBSTITUTE(SUBSTITUTE(SUBSTITUTE(TRIM(J983),".",""),"/",""),"-","")," ",""),"(",""),")",""),"+",""))=11),OR(K983="",LEN(SUBSTITUTE(SUBSTITUTE(SUBSTITUTE(SUBSTITUTE(SUBSTITUTE(SUBSTITUTE(SUBSTITUTE(TRIM(K983),".",""),"/",""),"-","")," ",""),"(",""),")",""),"+",""))=10,LEN(SUBSTITUTE(SUBSTITUTE(SUBSTITUTE(SUBSTITUTE(SUBSTITUTE(SUBSTITUTE(SUBSTITUTE(TRIM(K983),".",""),"/",""),"-","")," ",""),"(",""),")",""),"+",""))=11)),"OK","ERRO: use DDD + número (10 ou 11 dígitos)"))</f>
      </c>
      <c r="T983" s="6">
        <f>IF(L983="","vazio",IF(AND(ISNUMBER(FIND("@",L983)),ISNUMBER(FIND(".",MID(L983,FIND("@",L983),99))),NOT(ISNUMBER(FIND(" ",TRIM(L983)))),NOT(ISNUMBER(FIND(";",L983))),NOT(ISNUMBER(FIND(",",L983)))),"OK","ERRO: um e-mail válido por linha"))</f>
      </c>
      <c r="U983" s="6">
        <f>IF(COUNTA(A983:O983)=0,"",IF(AND(B983&lt;&gt;"",C983&lt;&gt;"",D983&lt;&gt;"",E983&lt;&gt;"",H983&lt;&gt;"",OR(J983&lt;&gt;"",L983&lt;&gt;"")),"OK","ERRO: faltam "&amp;IF(B983="","Proprietário; ","")&amp;IF(C983="","Origem; ","")&amp;IF(D983="","CNPJ; ","")&amp;IF(E983="","Razão Social; ","")&amp;IF(H983="","Sobrenome; ","")&amp;IF(AND(J983="",L983=""),"telefone ou e-mail; ","")))</f>
      </c>
      <c r="V983" s="6">
        <f>IF(COUNTA(A983:O983)=0,"",IF(AND(Q983="OK",R983="OK",LEFT(S983,4)&lt;&gt;"ERRO",LEFT(T983,4)&lt;&gt;"ERRO",U983="OK"),"OK","REVISAR"))</f>
      </c>
    </row>
    <row r="984">
      <c r="A984" s="4"/>
      <c r="B984" s="5"/>
      <c r="C984" s="5"/>
      <c r="D984" s="5"/>
      <c r="E984" s="5"/>
      <c r="F984" s="4"/>
      <c r="G984" s="4"/>
      <c r="H984" s="5"/>
      <c r="I984" s="4"/>
      <c r="J984" s="4"/>
      <c r="K984" s="4"/>
      <c r="L984" s="4"/>
      <c r="M984" s="4"/>
      <c r="N984" s="4"/>
      <c r="O984" s="4"/>
      <c r="P984" s="6">
        <f>IF(D984="","",SUBSTITUTE(SUBSTITUTE(SUBSTITUTE(SUBSTITUTE(SUBSTITUTE(SUBSTITUTE(SUBSTITUTE(TRIM(D984),".",""),"/",""),"-","")," ",""),"(",""),")",""),"+",""))</f>
      </c>
      <c r="Q984" s="6">
        <f>IF(P984="","",IF(LEN(P984)&lt;&gt;14,"ERRO: "&amp;LEN(P984)&amp;" dígitos",IF(NOT(ISNUMBER(VALUE(P984))),"ERRO: não numérico",IF(LEN(SUBSTITUTE(P984,LEFT(P984,1),""))=0,"ERRO: dígitos repetidos",IF(AND(VALUE(MID(P984,13,1))=IF(MOD(SUMPRODUCT(--MID(P984,{1,2,3,4,5,6,7,8,9,10,11,12},1),{5,4,3,2,9,8,7,6,5,4,3,2}),11)&lt;2,0,11-MOD(SUMPRODUCT(--MID(P984,{1,2,3,4,5,6,7,8,9,10,11,12},1),{5,4,3,2,9,8,7,6,5,4,3,2}),11)),VALUE(MID(P984,14,1))=IF(MOD(SUMPRODUCT(--MID(P984,{1,2,3,4,5,6,7,8,9,10,11,12,13},1),{6,5,4,3,2,9,8,7,6,5,4,3,2}),11)&lt;2,0,11-MOD(SUMPRODUCT(--MID(P984,{1,2,3,4,5,6,7,8,9,10,11,12,13},1),{6,5,4,3,2,9,8,7,6,5,4,3,2}),11))),"OK","ERRO: dígito verificador")))))</f>
      </c>
      <c r="R984" s="6">
        <f>IF(P984="","",IF(COUNTIF($P$2:$P$1001,P984)&gt;1,"DUPLICADO","OK"))</f>
      </c>
      <c r="S984" s="6">
        <f>IF(AND(J984="",K984=""),"vazio",IF(AND(OR(J984="",LEN(SUBSTITUTE(SUBSTITUTE(SUBSTITUTE(SUBSTITUTE(SUBSTITUTE(SUBSTITUTE(SUBSTITUTE(TRIM(J984),".",""),"/",""),"-","")," ",""),"(",""),")",""),"+",""))=10,LEN(SUBSTITUTE(SUBSTITUTE(SUBSTITUTE(SUBSTITUTE(SUBSTITUTE(SUBSTITUTE(SUBSTITUTE(TRIM(J984),".",""),"/",""),"-","")," ",""),"(",""),")",""),"+",""))=11),OR(K984="",LEN(SUBSTITUTE(SUBSTITUTE(SUBSTITUTE(SUBSTITUTE(SUBSTITUTE(SUBSTITUTE(SUBSTITUTE(TRIM(K984),".",""),"/",""),"-","")," ",""),"(",""),")",""),"+",""))=10,LEN(SUBSTITUTE(SUBSTITUTE(SUBSTITUTE(SUBSTITUTE(SUBSTITUTE(SUBSTITUTE(SUBSTITUTE(TRIM(K984),".",""),"/",""),"-","")," ",""),"(",""),")",""),"+",""))=11)),"OK","ERRO: use DDD + número (10 ou 11 dígitos)"))</f>
      </c>
      <c r="T984" s="6">
        <f>IF(L984="","vazio",IF(AND(ISNUMBER(FIND("@",L984)),ISNUMBER(FIND(".",MID(L984,FIND("@",L984),99))),NOT(ISNUMBER(FIND(" ",TRIM(L984)))),NOT(ISNUMBER(FIND(";",L984))),NOT(ISNUMBER(FIND(",",L984)))),"OK","ERRO: um e-mail válido por linha"))</f>
      </c>
      <c r="U984" s="6">
        <f>IF(COUNTA(A984:O984)=0,"",IF(AND(B984&lt;&gt;"",C984&lt;&gt;"",D984&lt;&gt;"",E984&lt;&gt;"",H984&lt;&gt;"",OR(J984&lt;&gt;"",L984&lt;&gt;"")),"OK","ERRO: faltam "&amp;IF(B984="","Proprietário; ","")&amp;IF(C984="","Origem; ","")&amp;IF(D984="","CNPJ; ","")&amp;IF(E984="","Razão Social; ","")&amp;IF(H984="","Sobrenome; ","")&amp;IF(AND(J984="",L984=""),"telefone ou e-mail; ","")))</f>
      </c>
      <c r="V984" s="6">
        <f>IF(COUNTA(A984:O984)=0,"",IF(AND(Q984="OK",R984="OK",LEFT(S984,4)&lt;&gt;"ERRO",LEFT(T984,4)&lt;&gt;"ERRO",U984="OK"),"OK","REVISAR"))</f>
      </c>
    </row>
    <row r="985">
      <c r="A985" s="4"/>
      <c r="B985" s="5"/>
      <c r="C985" s="5"/>
      <c r="D985" s="5"/>
      <c r="E985" s="5"/>
      <c r="F985" s="4"/>
      <c r="G985" s="4"/>
      <c r="H985" s="5"/>
      <c r="I985" s="4"/>
      <c r="J985" s="4"/>
      <c r="K985" s="4"/>
      <c r="L985" s="4"/>
      <c r="M985" s="4"/>
      <c r="N985" s="4"/>
      <c r="O985" s="4"/>
      <c r="P985" s="6">
        <f>IF(D985="","",SUBSTITUTE(SUBSTITUTE(SUBSTITUTE(SUBSTITUTE(SUBSTITUTE(SUBSTITUTE(SUBSTITUTE(TRIM(D985),".",""),"/",""),"-","")," ",""),"(",""),")",""),"+",""))</f>
      </c>
      <c r="Q985" s="6">
        <f>IF(P985="","",IF(LEN(P985)&lt;&gt;14,"ERRO: "&amp;LEN(P985)&amp;" dígitos",IF(NOT(ISNUMBER(VALUE(P985))),"ERRO: não numérico",IF(LEN(SUBSTITUTE(P985,LEFT(P985,1),""))=0,"ERRO: dígitos repetidos",IF(AND(VALUE(MID(P985,13,1))=IF(MOD(SUMPRODUCT(--MID(P985,{1,2,3,4,5,6,7,8,9,10,11,12},1),{5,4,3,2,9,8,7,6,5,4,3,2}),11)&lt;2,0,11-MOD(SUMPRODUCT(--MID(P985,{1,2,3,4,5,6,7,8,9,10,11,12},1),{5,4,3,2,9,8,7,6,5,4,3,2}),11)),VALUE(MID(P985,14,1))=IF(MOD(SUMPRODUCT(--MID(P985,{1,2,3,4,5,6,7,8,9,10,11,12,13},1),{6,5,4,3,2,9,8,7,6,5,4,3,2}),11)&lt;2,0,11-MOD(SUMPRODUCT(--MID(P985,{1,2,3,4,5,6,7,8,9,10,11,12,13},1),{6,5,4,3,2,9,8,7,6,5,4,3,2}),11))),"OK","ERRO: dígito verificador")))))</f>
      </c>
      <c r="R985" s="6">
        <f>IF(P985="","",IF(COUNTIF($P$2:$P$1001,P985)&gt;1,"DUPLICADO","OK"))</f>
      </c>
      <c r="S985" s="6">
        <f>IF(AND(J985="",K985=""),"vazio",IF(AND(OR(J985="",LEN(SUBSTITUTE(SUBSTITUTE(SUBSTITUTE(SUBSTITUTE(SUBSTITUTE(SUBSTITUTE(SUBSTITUTE(TRIM(J985),".",""),"/",""),"-","")," ",""),"(",""),")",""),"+",""))=10,LEN(SUBSTITUTE(SUBSTITUTE(SUBSTITUTE(SUBSTITUTE(SUBSTITUTE(SUBSTITUTE(SUBSTITUTE(TRIM(J985),".",""),"/",""),"-","")," ",""),"(",""),")",""),"+",""))=11),OR(K985="",LEN(SUBSTITUTE(SUBSTITUTE(SUBSTITUTE(SUBSTITUTE(SUBSTITUTE(SUBSTITUTE(SUBSTITUTE(TRIM(K985),".",""),"/",""),"-","")," ",""),"(",""),")",""),"+",""))=10,LEN(SUBSTITUTE(SUBSTITUTE(SUBSTITUTE(SUBSTITUTE(SUBSTITUTE(SUBSTITUTE(SUBSTITUTE(TRIM(K985),".",""),"/",""),"-","")," ",""),"(",""),")",""),"+",""))=11)),"OK","ERRO: use DDD + número (10 ou 11 dígitos)"))</f>
      </c>
      <c r="T985" s="6">
        <f>IF(L985="","vazio",IF(AND(ISNUMBER(FIND("@",L985)),ISNUMBER(FIND(".",MID(L985,FIND("@",L985),99))),NOT(ISNUMBER(FIND(" ",TRIM(L985)))),NOT(ISNUMBER(FIND(";",L985))),NOT(ISNUMBER(FIND(",",L985)))),"OK","ERRO: um e-mail válido por linha"))</f>
      </c>
      <c r="U985" s="6">
        <f>IF(COUNTA(A985:O985)=0,"",IF(AND(B985&lt;&gt;"",C985&lt;&gt;"",D985&lt;&gt;"",E985&lt;&gt;"",H985&lt;&gt;"",OR(J985&lt;&gt;"",L985&lt;&gt;"")),"OK","ERRO: faltam "&amp;IF(B985="","Proprietário; ","")&amp;IF(C985="","Origem; ","")&amp;IF(D985="","CNPJ; ","")&amp;IF(E985="","Razão Social; ","")&amp;IF(H985="","Sobrenome; ","")&amp;IF(AND(J985="",L985=""),"telefone ou e-mail; ","")))</f>
      </c>
      <c r="V985" s="6">
        <f>IF(COUNTA(A985:O985)=0,"",IF(AND(Q985="OK",R985="OK",LEFT(S985,4)&lt;&gt;"ERRO",LEFT(T985,4)&lt;&gt;"ERRO",U985="OK"),"OK","REVISAR"))</f>
      </c>
    </row>
    <row r="986">
      <c r="A986" s="4"/>
      <c r="B986" s="5"/>
      <c r="C986" s="5"/>
      <c r="D986" s="5"/>
      <c r="E986" s="5"/>
      <c r="F986" s="4"/>
      <c r="G986" s="4"/>
      <c r="H986" s="5"/>
      <c r="I986" s="4"/>
      <c r="J986" s="4"/>
      <c r="K986" s="4"/>
      <c r="L986" s="4"/>
      <c r="M986" s="4"/>
      <c r="N986" s="4"/>
      <c r="O986" s="4"/>
      <c r="P986" s="6">
        <f>IF(D986="","",SUBSTITUTE(SUBSTITUTE(SUBSTITUTE(SUBSTITUTE(SUBSTITUTE(SUBSTITUTE(SUBSTITUTE(TRIM(D986),".",""),"/",""),"-","")," ",""),"(",""),")",""),"+",""))</f>
      </c>
      <c r="Q986" s="6">
        <f>IF(P986="","",IF(LEN(P986)&lt;&gt;14,"ERRO: "&amp;LEN(P986)&amp;" dígitos",IF(NOT(ISNUMBER(VALUE(P986))),"ERRO: não numérico",IF(LEN(SUBSTITUTE(P986,LEFT(P986,1),""))=0,"ERRO: dígitos repetidos",IF(AND(VALUE(MID(P986,13,1))=IF(MOD(SUMPRODUCT(--MID(P986,{1,2,3,4,5,6,7,8,9,10,11,12},1),{5,4,3,2,9,8,7,6,5,4,3,2}),11)&lt;2,0,11-MOD(SUMPRODUCT(--MID(P986,{1,2,3,4,5,6,7,8,9,10,11,12},1),{5,4,3,2,9,8,7,6,5,4,3,2}),11)),VALUE(MID(P986,14,1))=IF(MOD(SUMPRODUCT(--MID(P986,{1,2,3,4,5,6,7,8,9,10,11,12,13},1),{6,5,4,3,2,9,8,7,6,5,4,3,2}),11)&lt;2,0,11-MOD(SUMPRODUCT(--MID(P986,{1,2,3,4,5,6,7,8,9,10,11,12,13},1),{6,5,4,3,2,9,8,7,6,5,4,3,2}),11))),"OK","ERRO: dígito verificador")))))</f>
      </c>
      <c r="R986" s="6">
        <f>IF(P986="","",IF(COUNTIF($P$2:$P$1001,P986)&gt;1,"DUPLICADO","OK"))</f>
      </c>
      <c r="S986" s="6">
        <f>IF(AND(J986="",K986=""),"vazio",IF(AND(OR(J986="",LEN(SUBSTITUTE(SUBSTITUTE(SUBSTITUTE(SUBSTITUTE(SUBSTITUTE(SUBSTITUTE(SUBSTITUTE(TRIM(J986),".",""),"/",""),"-","")," ",""),"(",""),")",""),"+",""))=10,LEN(SUBSTITUTE(SUBSTITUTE(SUBSTITUTE(SUBSTITUTE(SUBSTITUTE(SUBSTITUTE(SUBSTITUTE(TRIM(J986),".",""),"/",""),"-","")," ",""),"(",""),")",""),"+",""))=11),OR(K986="",LEN(SUBSTITUTE(SUBSTITUTE(SUBSTITUTE(SUBSTITUTE(SUBSTITUTE(SUBSTITUTE(SUBSTITUTE(TRIM(K986),".",""),"/",""),"-","")," ",""),"(",""),")",""),"+",""))=10,LEN(SUBSTITUTE(SUBSTITUTE(SUBSTITUTE(SUBSTITUTE(SUBSTITUTE(SUBSTITUTE(SUBSTITUTE(TRIM(K986),".",""),"/",""),"-","")," ",""),"(",""),")",""),"+",""))=11)),"OK","ERRO: use DDD + número (10 ou 11 dígitos)"))</f>
      </c>
      <c r="T986" s="6">
        <f>IF(L986="","vazio",IF(AND(ISNUMBER(FIND("@",L986)),ISNUMBER(FIND(".",MID(L986,FIND("@",L986),99))),NOT(ISNUMBER(FIND(" ",TRIM(L986)))),NOT(ISNUMBER(FIND(";",L986))),NOT(ISNUMBER(FIND(",",L986)))),"OK","ERRO: um e-mail válido por linha"))</f>
      </c>
      <c r="U986" s="6">
        <f>IF(COUNTA(A986:O986)=0,"",IF(AND(B986&lt;&gt;"",C986&lt;&gt;"",D986&lt;&gt;"",E986&lt;&gt;"",H986&lt;&gt;"",OR(J986&lt;&gt;"",L986&lt;&gt;"")),"OK","ERRO: faltam "&amp;IF(B986="","Proprietário; ","")&amp;IF(C986="","Origem; ","")&amp;IF(D986="","CNPJ; ","")&amp;IF(E986="","Razão Social; ","")&amp;IF(H986="","Sobrenome; ","")&amp;IF(AND(J986="",L986=""),"telefone ou e-mail; ","")))</f>
      </c>
      <c r="V986" s="6">
        <f>IF(COUNTA(A986:O986)=0,"",IF(AND(Q986="OK",R986="OK",LEFT(S986,4)&lt;&gt;"ERRO",LEFT(T986,4)&lt;&gt;"ERRO",U986="OK"),"OK","REVISAR"))</f>
      </c>
    </row>
    <row r="987">
      <c r="A987" s="4"/>
      <c r="B987" s="5"/>
      <c r="C987" s="5"/>
      <c r="D987" s="5"/>
      <c r="E987" s="5"/>
      <c r="F987" s="4"/>
      <c r="G987" s="4"/>
      <c r="H987" s="5"/>
      <c r="I987" s="4"/>
      <c r="J987" s="4"/>
      <c r="K987" s="4"/>
      <c r="L987" s="4"/>
      <c r="M987" s="4"/>
      <c r="N987" s="4"/>
      <c r="O987" s="4"/>
      <c r="P987" s="6">
        <f>IF(D987="","",SUBSTITUTE(SUBSTITUTE(SUBSTITUTE(SUBSTITUTE(SUBSTITUTE(SUBSTITUTE(SUBSTITUTE(TRIM(D987),".",""),"/",""),"-","")," ",""),"(",""),")",""),"+",""))</f>
      </c>
      <c r="Q987" s="6">
        <f>IF(P987="","",IF(LEN(P987)&lt;&gt;14,"ERRO: "&amp;LEN(P987)&amp;" dígitos",IF(NOT(ISNUMBER(VALUE(P987))),"ERRO: não numérico",IF(LEN(SUBSTITUTE(P987,LEFT(P987,1),""))=0,"ERRO: dígitos repetidos",IF(AND(VALUE(MID(P987,13,1))=IF(MOD(SUMPRODUCT(--MID(P987,{1,2,3,4,5,6,7,8,9,10,11,12},1),{5,4,3,2,9,8,7,6,5,4,3,2}),11)&lt;2,0,11-MOD(SUMPRODUCT(--MID(P987,{1,2,3,4,5,6,7,8,9,10,11,12},1),{5,4,3,2,9,8,7,6,5,4,3,2}),11)),VALUE(MID(P987,14,1))=IF(MOD(SUMPRODUCT(--MID(P987,{1,2,3,4,5,6,7,8,9,10,11,12,13},1),{6,5,4,3,2,9,8,7,6,5,4,3,2}),11)&lt;2,0,11-MOD(SUMPRODUCT(--MID(P987,{1,2,3,4,5,6,7,8,9,10,11,12,13},1),{6,5,4,3,2,9,8,7,6,5,4,3,2}),11))),"OK","ERRO: dígito verificador")))))</f>
      </c>
      <c r="R987" s="6">
        <f>IF(P987="","",IF(COUNTIF($P$2:$P$1001,P987)&gt;1,"DUPLICADO","OK"))</f>
      </c>
      <c r="S987" s="6">
        <f>IF(AND(J987="",K987=""),"vazio",IF(AND(OR(J987="",LEN(SUBSTITUTE(SUBSTITUTE(SUBSTITUTE(SUBSTITUTE(SUBSTITUTE(SUBSTITUTE(SUBSTITUTE(TRIM(J987),".",""),"/",""),"-","")," ",""),"(",""),")",""),"+",""))=10,LEN(SUBSTITUTE(SUBSTITUTE(SUBSTITUTE(SUBSTITUTE(SUBSTITUTE(SUBSTITUTE(SUBSTITUTE(TRIM(J987),".",""),"/",""),"-","")," ",""),"(",""),")",""),"+",""))=11),OR(K987="",LEN(SUBSTITUTE(SUBSTITUTE(SUBSTITUTE(SUBSTITUTE(SUBSTITUTE(SUBSTITUTE(SUBSTITUTE(TRIM(K987),".",""),"/",""),"-","")," ",""),"(",""),")",""),"+",""))=10,LEN(SUBSTITUTE(SUBSTITUTE(SUBSTITUTE(SUBSTITUTE(SUBSTITUTE(SUBSTITUTE(SUBSTITUTE(TRIM(K987),".",""),"/",""),"-","")," ",""),"(",""),")",""),"+",""))=11)),"OK","ERRO: use DDD + número (10 ou 11 dígitos)"))</f>
      </c>
      <c r="T987" s="6">
        <f>IF(L987="","vazio",IF(AND(ISNUMBER(FIND("@",L987)),ISNUMBER(FIND(".",MID(L987,FIND("@",L987),99))),NOT(ISNUMBER(FIND(" ",TRIM(L987)))),NOT(ISNUMBER(FIND(";",L987))),NOT(ISNUMBER(FIND(",",L987)))),"OK","ERRO: um e-mail válido por linha"))</f>
      </c>
      <c r="U987" s="6">
        <f>IF(COUNTA(A987:O987)=0,"",IF(AND(B987&lt;&gt;"",C987&lt;&gt;"",D987&lt;&gt;"",E987&lt;&gt;"",H987&lt;&gt;"",OR(J987&lt;&gt;"",L987&lt;&gt;"")),"OK","ERRO: faltam "&amp;IF(B987="","Proprietário; ","")&amp;IF(C987="","Origem; ","")&amp;IF(D987="","CNPJ; ","")&amp;IF(E987="","Razão Social; ","")&amp;IF(H987="","Sobrenome; ","")&amp;IF(AND(J987="",L987=""),"telefone ou e-mail; ","")))</f>
      </c>
      <c r="V987" s="6">
        <f>IF(COUNTA(A987:O987)=0,"",IF(AND(Q987="OK",R987="OK",LEFT(S987,4)&lt;&gt;"ERRO",LEFT(T987,4)&lt;&gt;"ERRO",U987="OK"),"OK","REVISAR"))</f>
      </c>
    </row>
    <row r="988">
      <c r="A988" s="4"/>
      <c r="B988" s="5"/>
      <c r="C988" s="5"/>
      <c r="D988" s="5"/>
      <c r="E988" s="5"/>
      <c r="F988" s="4"/>
      <c r="G988" s="4"/>
      <c r="H988" s="5"/>
      <c r="I988" s="4"/>
      <c r="J988" s="4"/>
      <c r="K988" s="4"/>
      <c r="L988" s="4"/>
      <c r="M988" s="4"/>
      <c r="N988" s="4"/>
      <c r="O988" s="4"/>
      <c r="P988" s="6">
        <f>IF(D988="","",SUBSTITUTE(SUBSTITUTE(SUBSTITUTE(SUBSTITUTE(SUBSTITUTE(SUBSTITUTE(SUBSTITUTE(TRIM(D988),".",""),"/",""),"-","")," ",""),"(",""),")",""),"+",""))</f>
      </c>
      <c r="Q988" s="6">
        <f>IF(P988="","",IF(LEN(P988)&lt;&gt;14,"ERRO: "&amp;LEN(P988)&amp;" dígitos",IF(NOT(ISNUMBER(VALUE(P988))),"ERRO: não numérico",IF(LEN(SUBSTITUTE(P988,LEFT(P988,1),""))=0,"ERRO: dígitos repetidos",IF(AND(VALUE(MID(P988,13,1))=IF(MOD(SUMPRODUCT(--MID(P988,{1,2,3,4,5,6,7,8,9,10,11,12},1),{5,4,3,2,9,8,7,6,5,4,3,2}),11)&lt;2,0,11-MOD(SUMPRODUCT(--MID(P988,{1,2,3,4,5,6,7,8,9,10,11,12},1),{5,4,3,2,9,8,7,6,5,4,3,2}),11)),VALUE(MID(P988,14,1))=IF(MOD(SUMPRODUCT(--MID(P988,{1,2,3,4,5,6,7,8,9,10,11,12,13},1),{6,5,4,3,2,9,8,7,6,5,4,3,2}),11)&lt;2,0,11-MOD(SUMPRODUCT(--MID(P988,{1,2,3,4,5,6,7,8,9,10,11,12,13},1),{6,5,4,3,2,9,8,7,6,5,4,3,2}),11))),"OK","ERRO: dígito verificador")))))</f>
      </c>
      <c r="R988" s="6">
        <f>IF(P988="","",IF(COUNTIF($P$2:$P$1001,P988)&gt;1,"DUPLICADO","OK"))</f>
      </c>
      <c r="S988" s="6">
        <f>IF(AND(J988="",K988=""),"vazio",IF(AND(OR(J988="",LEN(SUBSTITUTE(SUBSTITUTE(SUBSTITUTE(SUBSTITUTE(SUBSTITUTE(SUBSTITUTE(SUBSTITUTE(TRIM(J988),".",""),"/",""),"-","")," ",""),"(",""),")",""),"+",""))=10,LEN(SUBSTITUTE(SUBSTITUTE(SUBSTITUTE(SUBSTITUTE(SUBSTITUTE(SUBSTITUTE(SUBSTITUTE(TRIM(J988),".",""),"/",""),"-","")," ",""),"(",""),")",""),"+",""))=11),OR(K988="",LEN(SUBSTITUTE(SUBSTITUTE(SUBSTITUTE(SUBSTITUTE(SUBSTITUTE(SUBSTITUTE(SUBSTITUTE(TRIM(K988),".",""),"/",""),"-","")," ",""),"(",""),")",""),"+",""))=10,LEN(SUBSTITUTE(SUBSTITUTE(SUBSTITUTE(SUBSTITUTE(SUBSTITUTE(SUBSTITUTE(SUBSTITUTE(TRIM(K988),".",""),"/",""),"-","")," ",""),"(",""),")",""),"+",""))=11)),"OK","ERRO: use DDD + número (10 ou 11 dígitos)"))</f>
      </c>
      <c r="T988" s="6">
        <f>IF(L988="","vazio",IF(AND(ISNUMBER(FIND("@",L988)),ISNUMBER(FIND(".",MID(L988,FIND("@",L988),99))),NOT(ISNUMBER(FIND(" ",TRIM(L988)))),NOT(ISNUMBER(FIND(";",L988))),NOT(ISNUMBER(FIND(",",L988)))),"OK","ERRO: um e-mail válido por linha"))</f>
      </c>
      <c r="U988" s="6">
        <f>IF(COUNTA(A988:O988)=0,"",IF(AND(B988&lt;&gt;"",C988&lt;&gt;"",D988&lt;&gt;"",E988&lt;&gt;"",H988&lt;&gt;"",OR(J988&lt;&gt;"",L988&lt;&gt;"")),"OK","ERRO: faltam "&amp;IF(B988="","Proprietário; ","")&amp;IF(C988="","Origem; ","")&amp;IF(D988="","CNPJ; ","")&amp;IF(E988="","Razão Social; ","")&amp;IF(H988="","Sobrenome; ","")&amp;IF(AND(J988="",L988=""),"telefone ou e-mail; ","")))</f>
      </c>
      <c r="V988" s="6">
        <f>IF(COUNTA(A988:O988)=0,"",IF(AND(Q988="OK",R988="OK",LEFT(S988,4)&lt;&gt;"ERRO",LEFT(T988,4)&lt;&gt;"ERRO",U988="OK"),"OK","REVISAR"))</f>
      </c>
    </row>
    <row r="989">
      <c r="A989" s="4"/>
      <c r="B989" s="5"/>
      <c r="C989" s="5"/>
      <c r="D989" s="5"/>
      <c r="E989" s="5"/>
      <c r="F989" s="4"/>
      <c r="G989" s="4"/>
      <c r="H989" s="5"/>
      <c r="I989" s="4"/>
      <c r="J989" s="4"/>
      <c r="K989" s="4"/>
      <c r="L989" s="4"/>
      <c r="M989" s="4"/>
      <c r="N989" s="4"/>
      <c r="O989" s="4"/>
      <c r="P989" s="6">
        <f>IF(D989="","",SUBSTITUTE(SUBSTITUTE(SUBSTITUTE(SUBSTITUTE(SUBSTITUTE(SUBSTITUTE(SUBSTITUTE(TRIM(D989),".",""),"/",""),"-","")," ",""),"(",""),")",""),"+",""))</f>
      </c>
      <c r="Q989" s="6">
        <f>IF(P989="","",IF(LEN(P989)&lt;&gt;14,"ERRO: "&amp;LEN(P989)&amp;" dígitos",IF(NOT(ISNUMBER(VALUE(P989))),"ERRO: não numérico",IF(LEN(SUBSTITUTE(P989,LEFT(P989,1),""))=0,"ERRO: dígitos repetidos",IF(AND(VALUE(MID(P989,13,1))=IF(MOD(SUMPRODUCT(--MID(P989,{1,2,3,4,5,6,7,8,9,10,11,12},1),{5,4,3,2,9,8,7,6,5,4,3,2}),11)&lt;2,0,11-MOD(SUMPRODUCT(--MID(P989,{1,2,3,4,5,6,7,8,9,10,11,12},1),{5,4,3,2,9,8,7,6,5,4,3,2}),11)),VALUE(MID(P989,14,1))=IF(MOD(SUMPRODUCT(--MID(P989,{1,2,3,4,5,6,7,8,9,10,11,12,13},1),{6,5,4,3,2,9,8,7,6,5,4,3,2}),11)&lt;2,0,11-MOD(SUMPRODUCT(--MID(P989,{1,2,3,4,5,6,7,8,9,10,11,12,13},1),{6,5,4,3,2,9,8,7,6,5,4,3,2}),11))),"OK","ERRO: dígito verificador")))))</f>
      </c>
      <c r="R989" s="6">
        <f>IF(P989="","",IF(COUNTIF($P$2:$P$1001,P989)&gt;1,"DUPLICADO","OK"))</f>
      </c>
      <c r="S989" s="6">
        <f>IF(AND(J989="",K989=""),"vazio",IF(AND(OR(J989="",LEN(SUBSTITUTE(SUBSTITUTE(SUBSTITUTE(SUBSTITUTE(SUBSTITUTE(SUBSTITUTE(SUBSTITUTE(TRIM(J989),".",""),"/",""),"-","")," ",""),"(",""),")",""),"+",""))=10,LEN(SUBSTITUTE(SUBSTITUTE(SUBSTITUTE(SUBSTITUTE(SUBSTITUTE(SUBSTITUTE(SUBSTITUTE(TRIM(J989),".",""),"/",""),"-","")," ",""),"(",""),")",""),"+",""))=11),OR(K989="",LEN(SUBSTITUTE(SUBSTITUTE(SUBSTITUTE(SUBSTITUTE(SUBSTITUTE(SUBSTITUTE(SUBSTITUTE(TRIM(K989),".",""),"/",""),"-","")," ",""),"(",""),")",""),"+",""))=10,LEN(SUBSTITUTE(SUBSTITUTE(SUBSTITUTE(SUBSTITUTE(SUBSTITUTE(SUBSTITUTE(SUBSTITUTE(TRIM(K989),".",""),"/",""),"-","")," ",""),"(",""),")",""),"+",""))=11)),"OK","ERRO: use DDD + número (10 ou 11 dígitos)"))</f>
      </c>
      <c r="T989" s="6">
        <f>IF(L989="","vazio",IF(AND(ISNUMBER(FIND("@",L989)),ISNUMBER(FIND(".",MID(L989,FIND("@",L989),99))),NOT(ISNUMBER(FIND(" ",TRIM(L989)))),NOT(ISNUMBER(FIND(";",L989))),NOT(ISNUMBER(FIND(",",L989)))),"OK","ERRO: um e-mail válido por linha"))</f>
      </c>
      <c r="U989" s="6">
        <f>IF(COUNTA(A989:O989)=0,"",IF(AND(B989&lt;&gt;"",C989&lt;&gt;"",D989&lt;&gt;"",E989&lt;&gt;"",H989&lt;&gt;"",OR(J989&lt;&gt;"",L989&lt;&gt;"")),"OK","ERRO: faltam "&amp;IF(B989="","Proprietário; ","")&amp;IF(C989="","Origem; ","")&amp;IF(D989="","CNPJ; ","")&amp;IF(E989="","Razão Social; ","")&amp;IF(H989="","Sobrenome; ","")&amp;IF(AND(J989="",L989=""),"telefone ou e-mail; ","")))</f>
      </c>
      <c r="V989" s="6">
        <f>IF(COUNTA(A989:O989)=0,"",IF(AND(Q989="OK",R989="OK",LEFT(S989,4)&lt;&gt;"ERRO",LEFT(T989,4)&lt;&gt;"ERRO",U989="OK"),"OK","REVISAR"))</f>
      </c>
    </row>
    <row r="990">
      <c r="A990" s="4"/>
      <c r="B990" s="5"/>
      <c r="C990" s="5"/>
      <c r="D990" s="5"/>
      <c r="E990" s="5"/>
      <c r="F990" s="4"/>
      <c r="G990" s="4"/>
      <c r="H990" s="5"/>
      <c r="I990" s="4"/>
      <c r="J990" s="4"/>
      <c r="K990" s="4"/>
      <c r="L990" s="4"/>
      <c r="M990" s="4"/>
      <c r="N990" s="4"/>
      <c r="O990" s="4"/>
      <c r="P990" s="6">
        <f>IF(D990="","",SUBSTITUTE(SUBSTITUTE(SUBSTITUTE(SUBSTITUTE(SUBSTITUTE(SUBSTITUTE(SUBSTITUTE(TRIM(D990),".",""),"/",""),"-","")," ",""),"(",""),")",""),"+",""))</f>
      </c>
      <c r="Q990" s="6">
        <f>IF(P990="","",IF(LEN(P990)&lt;&gt;14,"ERRO: "&amp;LEN(P990)&amp;" dígitos",IF(NOT(ISNUMBER(VALUE(P990))),"ERRO: não numérico",IF(LEN(SUBSTITUTE(P990,LEFT(P990,1),""))=0,"ERRO: dígitos repetidos",IF(AND(VALUE(MID(P990,13,1))=IF(MOD(SUMPRODUCT(--MID(P990,{1,2,3,4,5,6,7,8,9,10,11,12},1),{5,4,3,2,9,8,7,6,5,4,3,2}),11)&lt;2,0,11-MOD(SUMPRODUCT(--MID(P990,{1,2,3,4,5,6,7,8,9,10,11,12},1),{5,4,3,2,9,8,7,6,5,4,3,2}),11)),VALUE(MID(P990,14,1))=IF(MOD(SUMPRODUCT(--MID(P990,{1,2,3,4,5,6,7,8,9,10,11,12,13},1),{6,5,4,3,2,9,8,7,6,5,4,3,2}),11)&lt;2,0,11-MOD(SUMPRODUCT(--MID(P990,{1,2,3,4,5,6,7,8,9,10,11,12,13},1),{6,5,4,3,2,9,8,7,6,5,4,3,2}),11))),"OK","ERRO: dígito verificador")))))</f>
      </c>
      <c r="R990" s="6">
        <f>IF(P990="","",IF(COUNTIF($P$2:$P$1001,P990)&gt;1,"DUPLICADO","OK"))</f>
      </c>
      <c r="S990" s="6">
        <f>IF(AND(J990="",K990=""),"vazio",IF(AND(OR(J990="",LEN(SUBSTITUTE(SUBSTITUTE(SUBSTITUTE(SUBSTITUTE(SUBSTITUTE(SUBSTITUTE(SUBSTITUTE(TRIM(J990),".",""),"/",""),"-","")," ",""),"(",""),")",""),"+",""))=10,LEN(SUBSTITUTE(SUBSTITUTE(SUBSTITUTE(SUBSTITUTE(SUBSTITUTE(SUBSTITUTE(SUBSTITUTE(TRIM(J990),".",""),"/",""),"-","")," ",""),"(",""),")",""),"+",""))=11),OR(K990="",LEN(SUBSTITUTE(SUBSTITUTE(SUBSTITUTE(SUBSTITUTE(SUBSTITUTE(SUBSTITUTE(SUBSTITUTE(TRIM(K990),".",""),"/",""),"-","")," ",""),"(",""),")",""),"+",""))=10,LEN(SUBSTITUTE(SUBSTITUTE(SUBSTITUTE(SUBSTITUTE(SUBSTITUTE(SUBSTITUTE(SUBSTITUTE(TRIM(K990),".",""),"/",""),"-","")," ",""),"(",""),")",""),"+",""))=11)),"OK","ERRO: use DDD + número (10 ou 11 dígitos)"))</f>
      </c>
      <c r="T990" s="6">
        <f>IF(L990="","vazio",IF(AND(ISNUMBER(FIND("@",L990)),ISNUMBER(FIND(".",MID(L990,FIND("@",L990),99))),NOT(ISNUMBER(FIND(" ",TRIM(L990)))),NOT(ISNUMBER(FIND(";",L990))),NOT(ISNUMBER(FIND(",",L990)))),"OK","ERRO: um e-mail válido por linha"))</f>
      </c>
      <c r="U990" s="6">
        <f>IF(COUNTA(A990:O990)=0,"",IF(AND(B990&lt;&gt;"",C990&lt;&gt;"",D990&lt;&gt;"",E990&lt;&gt;"",H990&lt;&gt;"",OR(J990&lt;&gt;"",L990&lt;&gt;"")),"OK","ERRO: faltam "&amp;IF(B990="","Proprietário; ","")&amp;IF(C990="","Origem; ","")&amp;IF(D990="","CNPJ; ","")&amp;IF(E990="","Razão Social; ","")&amp;IF(H990="","Sobrenome; ","")&amp;IF(AND(J990="",L990=""),"telefone ou e-mail; ","")))</f>
      </c>
      <c r="V990" s="6">
        <f>IF(COUNTA(A990:O990)=0,"",IF(AND(Q990="OK",R990="OK",LEFT(S990,4)&lt;&gt;"ERRO",LEFT(T990,4)&lt;&gt;"ERRO",U990="OK"),"OK","REVISAR"))</f>
      </c>
    </row>
    <row r="991">
      <c r="A991" s="4"/>
      <c r="B991" s="5"/>
      <c r="C991" s="5"/>
      <c r="D991" s="5"/>
      <c r="E991" s="5"/>
      <c r="F991" s="4"/>
      <c r="G991" s="4"/>
      <c r="H991" s="5"/>
      <c r="I991" s="4"/>
      <c r="J991" s="4"/>
      <c r="K991" s="4"/>
      <c r="L991" s="4"/>
      <c r="M991" s="4"/>
      <c r="N991" s="4"/>
      <c r="O991" s="4"/>
      <c r="P991" s="6">
        <f>IF(D991="","",SUBSTITUTE(SUBSTITUTE(SUBSTITUTE(SUBSTITUTE(SUBSTITUTE(SUBSTITUTE(SUBSTITUTE(TRIM(D991),".",""),"/",""),"-","")," ",""),"(",""),")",""),"+",""))</f>
      </c>
      <c r="Q991" s="6">
        <f>IF(P991="","",IF(LEN(P991)&lt;&gt;14,"ERRO: "&amp;LEN(P991)&amp;" dígitos",IF(NOT(ISNUMBER(VALUE(P991))),"ERRO: não numérico",IF(LEN(SUBSTITUTE(P991,LEFT(P991,1),""))=0,"ERRO: dígitos repetidos",IF(AND(VALUE(MID(P991,13,1))=IF(MOD(SUMPRODUCT(--MID(P991,{1,2,3,4,5,6,7,8,9,10,11,12},1),{5,4,3,2,9,8,7,6,5,4,3,2}),11)&lt;2,0,11-MOD(SUMPRODUCT(--MID(P991,{1,2,3,4,5,6,7,8,9,10,11,12},1),{5,4,3,2,9,8,7,6,5,4,3,2}),11)),VALUE(MID(P991,14,1))=IF(MOD(SUMPRODUCT(--MID(P991,{1,2,3,4,5,6,7,8,9,10,11,12,13},1),{6,5,4,3,2,9,8,7,6,5,4,3,2}),11)&lt;2,0,11-MOD(SUMPRODUCT(--MID(P991,{1,2,3,4,5,6,7,8,9,10,11,12,13},1),{6,5,4,3,2,9,8,7,6,5,4,3,2}),11))),"OK","ERRO: dígito verificador")))))</f>
      </c>
      <c r="R991" s="6">
        <f>IF(P991="","",IF(COUNTIF($P$2:$P$1001,P991)&gt;1,"DUPLICADO","OK"))</f>
      </c>
      <c r="S991" s="6">
        <f>IF(AND(J991="",K991=""),"vazio",IF(AND(OR(J991="",LEN(SUBSTITUTE(SUBSTITUTE(SUBSTITUTE(SUBSTITUTE(SUBSTITUTE(SUBSTITUTE(SUBSTITUTE(TRIM(J991),".",""),"/",""),"-","")," ",""),"(",""),")",""),"+",""))=10,LEN(SUBSTITUTE(SUBSTITUTE(SUBSTITUTE(SUBSTITUTE(SUBSTITUTE(SUBSTITUTE(SUBSTITUTE(TRIM(J991),".",""),"/",""),"-","")," ",""),"(",""),")",""),"+",""))=11),OR(K991="",LEN(SUBSTITUTE(SUBSTITUTE(SUBSTITUTE(SUBSTITUTE(SUBSTITUTE(SUBSTITUTE(SUBSTITUTE(TRIM(K991),".",""),"/",""),"-","")," ",""),"(",""),")",""),"+",""))=10,LEN(SUBSTITUTE(SUBSTITUTE(SUBSTITUTE(SUBSTITUTE(SUBSTITUTE(SUBSTITUTE(SUBSTITUTE(TRIM(K991),".",""),"/",""),"-","")," ",""),"(",""),")",""),"+",""))=11)),"OK","ERRO: use DDD + número (10 ou 11 dígitos)"))</f>
      </c>
      <c r="T991" s="6">
        <f>IF(L991="","vazio",IF(AND(ISNUMBER(FIND("@",L991)),ISNUMBER(FIND(".",MID(L991,FIND("@",L991),99))),NOT(ISNUMBER(FIND(" ",TRIM(L991)))),NOT(ISNUMBER(FIND(";",L991))),NOT(ISNUMBER(FIND(",",L991)))),"OK","ERRO: um e-mail válido por linha"))</f>
      </c>
      <c r="U991" s="6">
        <f>IF(COUNTA(A991:O991)=0,"",IF(AND(B991&lt;&gt;"",C991&lt;&gt;"",D991&lt;&gt;"",E991&lt;&gt;"",H991&lt;&gt;"",OR(J991&lt;&gt;"",L991&lt;&gt;"")),"OK","ERRO: faltam "&amp;IF(B991="","Proprietário; ","")&amp;IF(C991="","Origem; ","")&amp;IF(D991="","CNPJ; ","")&amp;IF(E991="","Razão Social; ","")&amp;IF(H991="","Sobrenome; ","")&amp;IF(AND(J991="",L991=""),"telefone ou e-mail; ","")))</f>
      </c>
      <c r="V991" s="6">
        <f>IF(COUNTA(A991:O991)=0,"",IF(AND(Q991="OK",R991="OK",LEFT(S991,4)&lt;&gt;"ERRO",LEFT(T991,4)&lt;&gt;"ERRO",U991="OK"),"OK","REVISAR"))</f>
      </c>
    </row>
    <row r="992">
      <c r="A992" s="4"/>
      <c r="B992" s="5"/>
      <c r="C992" s="5"/>
      <c r="D992" s="5"/>
      <c r="E992" s="5"/>
      <c r="F992" s="4"/>
      <c r="G992" s="4"/>
      <c r="H992" s="5"/>
      <c r="I992" s="4"/>
      <c r="J992" s="4"/>
      <c r="K992" s="4"/>
      <c r="L992" s="4"/>
      <c r="M992" s="4"/>
      <c r="N992" s="4"/>
      <c r="O992" s="4"/>
      <c r="P992" s="6">
        <f>IF(D992="","",SUBSTITUTE(SUBSTITUTE(SUBSTITUTE(SUBSTITUTE(SUBSTITUTE(SUBSTITUTE(SUBSTITUTE(TRIM(D992),".",""),"/",""),"-","")," ",""),"(",""),")",""),"+",""))</f>
      </c>
      <c r="Q992" s="6">
        <f>IF(P992="","",IF(LEN(P992)&lt;&gt;14,"ERRO: "&amp;LEN(P992)&amp;" dígitos",IF(NOT(ISNUMBER(VALUE(P992))),"ERRO: não numérico",IF(LEN(SUBSTITUTE(P992,LEFT(P992,1),""))=0,"ERRO: dígitos repetidos",IF(AND(VALUE(MID(P992,13,1))=IF(MOD(SUMPRODUCT(--MID(P992,{1,2,3,4,5,6,7,8,9,10,11,12},1),{5,4,3,2,9,8,7,6,5,4,3,2}),11)&lt;2,0,11-MOD(SUMPRODUCT(--MID(P992,{1,2,3,4,5,6,7,8,9,10,11,12},1),{5,4,3,2,9,8,7,6,5,4,3,2}),11)),VALUE(MID(P992,14,1))=IF(MOD(SUMPRODUCT(--MID(P992,{1,2,3,4,5,6,7,8,9,10,11,12,13},1),{6,5,4,3,2,9,8,7,6,5,4,3,2}),11)&lt;2,0,11-MOD(SUMPRODUCT(--MID(P992,{1,2,3,4,5,6,7,8,9,10,11,12,13},1),{6,5,4,3,2,9,8,7,6,5,4,3,2}),11))),"OK","ERRO: dígito verificador")))))</f>
      </c>
      <c r="R992" s="6">
        <f>IF(P992="","",IF(COUNTIF($P$2:$P$1001,P992)&gt;1,"DUPLICADO","OK"))</f>
      </c>
      <c r="S992" s="6">
        <f>IF(AND(J992="",K992=""),"vazio",IF(AND(OR(J992="",LEN(SUBSTITUTE(SUBSTITUTE(SUBSTITUTE(SUBSTITUTE(SUBSTITUTE(SUBSTITUTE(SUBSTITUTE(TRIM(J992),".",""),"/",""),"-","")," ",""),"(",""),")",""),"+",""))=10,LEN(SUBSTITUTE(SUBSTITUTE(SUBSTITUTE(SUBSTITUTE(SUBSTITUTE(SUBSTITUTE(SUBSTITUTE(TRIM(J992),".",""),"/",""),"-","")," ",""),"(",""),")",""),"+",""))=11),OR(K992="",LEN(SUBSTITUTE(SUBSTITUTE(SUBSTITUTE(SUBSTITUTE(SUBSTITUTE(SUBSTITUTE(SUBSTITUTE(TRIM(K992),".",""),"/",""),"-","")," ",""),"(",""),")",""),"+",""))=10,LEN(SUBSTITUTE(SUBSTITUTE(SUBSTITUTE(SUBSTITUTE(SUBSTITUTE(SUBSTITUTE(SUBSTITUTE(TRIM(K992),".",""),"/",""),"-","")," ",""),"(",""),")",""),"+",""))=11)),"OK","ERRO: use DDD + número (10 ou 11 dígitos)"))</f>
      </c>
      <c r="T992" s="6">
        <f>IF(L992="","vazio",IF(AND(ISNUMBER(FIND("@",L992)),ISNUMBER(FIND(".",MID(L992,FIND("@",L992),99))),NOT(ISNUMBER(FIND(" ",TRIM(L992)))),NOT(ISNUMBER(FIND(";",L992))),NOT(ISNUMBER(FIND(",",L992)))),"OK","ERRO: um e-mail válido por linha"))</f>
      </c>
      <c r="U992" s="6">
        <f>IF(COUNTA(A992:O992)=0,"",IF(AND(B992&lt;&gt;"",C992&lt;&gt;"",D992&lt;&gt;"",E992&lt;&gt;"",H992&lt;&gt;"",OR(J992&lt;&gt;"",L992&lt;&gt;"")),"OK","ERRO: faltam "&amp;IF(B992="","Proprietário; ","")&amp;IF(C992="","Origem; ","")&amp;IF(D992="","CNPJ; ","")&amp;IF(E992="","Razão Social; ","")&amp;IF(H992="","Sobrenome; ","")&amp;IF(AND(J992="",L992=""),"telefone ou e-mail; ","")))</f>
      </c>
      <c r="V992" s="6">
        <f>IF(COUNTA(A992:O992)=0,"",IF(AND(Q992="OK",R992="OK",LEFT(S992,4)&lt;&gt;"ERRO",LEFT(T992,4)&lt;&gt;"ERRO",U992="OK"),"OK","REVISAR"))</f>
      </c>
    </row>
    <row r="993">
      <c r="A993" s="4"/>
      <c r="B993" s="5"/>
      <c r="C993" s="5"/>
      <c r="D993" s="5"/>
      <c r="E993" s="5"/>
      <c r="F993" s="4"/>
      <c r="G993" s="4"/>
      <c r="H993" s="5"/>
      <c r="I993" s="4"/>
      <c r="J993" s="4"/>
      <c r="K993" s="4"/>
      <c r="L993" s="4"/>
      <c r="M993" s="4"/>
      <c r="N993" s="4"/>
      <c r="O993" s="4"/>
      <c r="P993" s="6">
        <f>IF(D993="","",SUBSTITUTE(SUBSTITUTE(SUBSTITUTE(SUBSTITUTE(SUBSTITUTE(SUBSTITUTE(SUBSTITUTE(TRIM(D993),".",""),"/",""),"-","")," ",""),"(",""),")",""),"+",""))</f>
      </c>
      <c r="Q993" s="6">
        <f>IF(P993="","",IF(LEN(P993)&lt;&gt;14,"ERRO: "&amp;LEN(P993)&amp;" dígitos",IF(NOT(ISNUMBER(VALUE(P993))),"ERRO: não numérico",IF(LEN(SUBSTITUTE(P993,LEFT(P993,1),""))=0,"ERRO: dígitos repetidos",IF(AND(VALUE(MID(P993,13,1))=IF(MOD(SUMPRODUCT(--MID(P993,{1,2,3,4,5,6,7,8,9,10,11,12},1),{5,4,3,2,9,8,7,6,5,4,3,2}),11)&lt;2,0,11-MOD(SUMPRODUCT(--MID(P993,{1,2,3,4,5,6,7,8,9,10,11,12},1),{5,4,3,2,9,8,7,6,5,4,3,2}),11)),VALUE(MID(P993,14,1))=IF(MOD(SUMPRODUCT(--MID(P993,{1,2,3,4,5,6,7,8,9,10,11,12,13},1),{6,5,4,3,2,9,8,7,6,5,4,3,2}),11)&lt;2,0,11-MOD(SUMPRODUCT(--MID(P993,{1,2,3,4,5,6,7,8,9,10,11,12,13},1),{6,5,4,3,2,9,8,7,6,5,4,3,2}),11))),"OK","ERRO: dígito verificador")))))</f>
      </c>
      <c r="R993" s="6">
        <f>IF(P993="","",IF(COUNTIF($P$2:$P$1001,P993)&gt;1,"DUPLICADO","OK"))</f>
      </c>
      <c r="S993" s="6">
        <f>IF(AND(J993="",K993=""),"vazio",IF(AND(OR(J993="",LEN(SUBSTITUTE(SUBSTITUTE(SUBSTITUTE(SUBSTITUTE(SUBSTITUTE(SUBSTITUTE(SUBSTITUTE(TRIM(J993),".",""),"/",""),"-","")," ",""),"(",""),")",""),"+",""))=10,LEN(SUBSTITUTE(SUBSTITUTE(SUBSTITUTE(SUBSTITUTE(SUBSTITUTE(SUBSTITUTE(SUBSTITUTE(TRIM(J993),".",""),"/",""),"-","")," ",""),"(",""),")",""),"+",""))=11),OR(K993="",LEN(SUBSTITUTE(SUBSTITUTE(SUBSTITUTE(SUBSTITUTE(SUBSTITUTE(SUBSTITUTE(SUBSTITUTE(TRIM(K993),".",""),"/",""),"-","")," ",""),"(",""),")",""),"+",""))=10,LEN(SUBSTITUTE(SUBSTITUTE(SUBSTITUTE(SUBSTITUTE(SUBSTITUTE(SUBSTITUTE(SUBSTITUTE(TRIM(K993),".",""),"/",""),"-","")," ",""),"(",""),")",""),"+",""))=11)),"OK","ERRO: use DDD + número (10 ou 11 dígitos)"))</f>
      </c>
      <c r="T993" s="6">
        <f>IF(L993="","vazio",IF(AND(ISNUMBER(FIND("@",L993)),ISNUMBER(FIND(".",MID(L993,FIND("@",L993),99))),NOT(ISNUMBER(FIND(" ",TRIM(L993)))),NOT(ISNUMBER(FIND(";",L993))),NOT(ISNUMBER(FIND(",",L993)))),"OK","ERRO: um e-mail válido por linha"))</f>
      </c>
      <c r="U993" s="6">
        <f>IF(COUNTA(A993:O993)=0,"",IF(AND(B993&lt;&gt;"",C993&lt;&gt;"",D993&lt;&gt;"",E993&lt;&gt;"",H993&lt;&gt;"",OR(J993&lt;&gt;"",L993&lt;&gt;"")),"OK","ERRO: faltam "&amp;IF(B993="","Proprietário; ","")&amp;IF(C993="","Origem; ","")&amp;IF(D993="","CNPJ; ","")&amp;IF(E993="","Razão Social; ","")&amp;IF(H993="","Sobrenome; ","")&amp;IF(AND(J993="",L993=""),"telefone ou e-mail; ","")))</f>
      </c>
      <c r="V993" s="6">
        <f>IF(COUNTA(A993:O993)=0,"",IF(AND(Q993="OK",R993="OK",LEFT(S993,4)&lt;&gt;"ERRO",LEFT(T993,4)&lt;&gt;"ERRO",U993="OK"),"OK","REVISAR"))</f>
      </c>
    </row>
    <row r="994">
      <c r="A994" s="4"/>
      <c r="B994" s="5"/>
      <c r="C994" s="5"/>
      <c r="D994" s="5"/>
      <c r="E994" s="5"/>
      <c r="F994" s="4"/>
      <c r="G994" s="4"/>
      <c r="H994" s="5"/>
      <c r="I994" s="4"/>
      <c r="J994" s="4"/>
      <c r="K994" s="4"/>
      <c r="L994" s="4"/>
      <c r="M994" s="4"/>
      <c r="N994" s="4"/>
      <c r="O994" s="4"/>
      <c r="P994" s="6">
        <f>IF(D994="","",SUBSTITUTE(SUBSTITUTE(SUBSTITUTE(SUBSTITUTE(SUBSTITUTE(SUBSTITUTE(SUBSTITUTE(TRIM(D994),".",""),"/",""),"-","")," ",""),"(",""),")",""),"+",""))</f>
      </c>
      <c r="Q994" s="6">
        <f>IF(P994="","",IF(LEN(P994)&lt;&gt;14,"ERRO: "&amp;LEN(P994)&amp;" dígitos",IF(NOT(ISNUMBER(VALUE(P994))),"ERRO: não numérico",IF(LEN(SUBSTITUTE(P994,LEFT(P994,1),""))=0,"ERRO: dígitos repetidos",IF(AND(VALUE(MID(P994,13,1))=IF(MOD(SUMPRODUCT(--MID(P994,{1,2,3,4,5,6,7,8,9,10,11,12},1),{5,4,3,2,9,8,7,6,5,4,3,2}),11)&lt;2,0,11-MOD(SUMPRODUCT(--MID(P994,{1,2,3,4,5,6,7,8,9,10,11,12},1),{5,4,3,2,9,8,7,6,5,4,3,2}),11)),VALUE(MID(P994,14,1))=IF(MOD(SUMPRODUCT(--MID(P994,{1,2,3,4,5,6,7,8,9,10,11,12,13},1),{6,5,4,3,2,9,8,7,6,5,4,3,2}),11)&lt;2,0,11-MOD(SUMPRODUCT(--MID(P994,{1,2,3,4,5,6,7,8,9,10,11,12,13},1),{6,5,4,3,2,9,8,7,6,5,4,3,2}),11))),"OK","ERRO: dígito verificador")))))</f>
      </c>
      <c r="R994" s="6">
        <f>IF(P994="","",IF(COUNTIF($P$2:$P$1001,P994)&gt;1,"DUPLICADO","OK"))</f>
      </c>
      <c r="S994" s="6">
        <f>IF(AND(J994="",K994=""),"vazio",IF(AND(OR(J994="",LEN(SUBSTITUTE(SUBSTITUTE(SUBSTITUTE(SUBSTITUTE(SUBSTITUTE(SUBSTITUTE(SUBSTITUTE(TRIM(J994),".",""),"/",""),"-","")," ",""),"(",""),")",""),"+",""))=10,LEN(SUBSTITUTE(SUBSTITUTE(SUBSTITUTE(SUBSTITUTE(SUBSTITUTE(SUBSTITUTE(SUBSTITUTE(TRIM(J994),".",""),"/",""),"-","")," ",""),"(",""),")",""),"+",""))=11),OR(K994="",LEN(SUBSTITUTE(SUBSTITUTE(SUBSTITUTE(SUBSTITUTE(SUBSTITUTE(SUBSTITUTE(SUBSTITUTE(TRIM(K994),".",""),"/",""),"-","")," ",""),"(",""),")",""),"+",""))=10,LEN(SUBSTITUTE(SUBSTITUTE(SUBSTITUTE(SUBSTITUTE(SUBSTITUTE(SUBSTITUTE(SUBSTITUTE(TRIM(K994),".",""),"/",""),"-","")," ",""),"(",""),")",""),"+",""))=11)),"OK","ERRO: use DDD + número (10 ou 11 dígitos)"))</f>
      </c>
      <c r="T994" s="6">
        <f>IF(L994="","vazio",IF(AND(ISNUMBER(FIND("@",L994)),ISNUMBER(FIND(".",MID(L994,FIND("@",L994),99))),NOT(ISNUMBER(FIND(" ",TRIM(L994)))),NOT(ISNUMBER(FIND(";",L994))),NOT(ISNUMBER(FIND(",",L994)))),"OK","ERRO: um e-mail válido por linha"))</f>
      </c>
      <c r="U994" s="6">
        <f>IF(COUNTA(A994:O994)=0,"",IF(AND(B994&lt;&gt;"",C994&lt;&gt;"",D994&lt;&gt;"",E994&lt;&gt;"",H994&lt;&gt;"",OR(J994&lt;&gt;"",L994&lt;&gt;"")),"OK","ERRO: faltam "&amp;IF(B994="","Proprietário; ","")&amp;IF(C994="","Origem; ","")&amp;IF(D994="","CNPJ; ","")&amp;IF(E994="","Razão Social; ","")&amp;IF(H994="","Sobrenome; ","")&amp;IF(AND(J994="",L994=""),"telefone ou e-mail; ","")))</f>
      </c>
      <c r="V994" s="6">
        <f>IF(COUNTA(A994:O994)=0,"",IF(AND(Q994="OK",R994="OK",LEFT(S994,4)&lt;&gt;"ERRO",LEFT(T994,4)&lt;&gt;"ERRO",U994="OK"),"OK","REVISAR"))</f>
      </c>
    </row>
    <row r="995">
      <c r="A995" s="4"/>
      <c r="B995" s="5"/>
      <c r="C995" s="5"/>
      <c r="D995" s="5"/>
      <c r="E995" s="5"/>
      <c r="F995" s="4"/>
      <c r="G995" s="4"/>
      <c r="H995" s="5"/>
      <c r="I995" s="4"/>
      <c r="J995" s="4"/>
      <c r="K995" s="4"/>
      <c r="L995" s="4"/>
      <c r="M995" s="4"/>
      <c r="N995" s="4"/>
      <c r="O995" s="4"/>
      <c r="P995" s="6">
        <f>IF(D995="","",SUBSTITUTE(SUBSTITUTE(SUBSTITUTE(SUBSTITUTE(SUBSTITUTE(SUBSTITUTE(SUBSTITUTE(TRIM(D995),".",""),"/",""),"-","")," ",""),"(",""),")",""),"+",""))</f>
      </c>
      <c r="Q995" s="6">
        <f>IF(P995="","",IF(LEN(P995)&lt;&gt;14,"ERRO: "&amp;LEN(P995)&amp;" dígitos",IF(NOT(ISNUMBER(VALUE(P995))),"ERRO: não numérico",IF(LEN(SUBSTITUTE(P995,LEFT(P995,1),""))=0,"ERRO: dígitos repetidos",IF(AND(VALUE(MID(P995,13,1))=IF(MOD(SUMPRODUCT(--MID(P995,{1,2,3,4,5,6,7,8,9,10,11,12},1),{5,4,3,2,9,8,7,6,5,4,3,2}),11)&lt;2,0,11-MOD(SUMPRODUCT(--MID(P995,{1,2,3,4,5,6,7,8,9,10,11,12},1),{5,4,3,2,9,8,7,6,5,4,3,2}),11)),VALUE(MID(P995,14,1))=IF(MOD(SUMPRODUCT(--MID(P995,{1,2,3,4,5,6,7,8,9,10,11,12,13},1),{6,5,4,3,2,9,8,7,6,5,4,3,2}),11)&lt;2,0,11-MOD(SUMPRODUCT(--MID(P995,{1,2,3,4,5,6,7,8,9,10,11,12,13},1),{6,5,4,3,2,9,8,7,6,5,4,3,2}),11))),"OK","ERRO: dígito verificador")))))</f>
      </c>
      <c r="R995" s="6">
        <f>IF(P995="","",IF(COUNTIF($P$2:$P$1001,P995)&gt;1,"DUPLICADO","OK"))</f>
      </c>
      <c r="S995" s="6">
        <f>IF(AND(J995="",K995=""),"vazio",IF(AND(OR(J995="",LEN(SUBSTITUTE(SUBSTITUTE(SUBSTITUTE(SUBSTITUTE(SUBSTITUTE(SUBSTITUTE(SUBSTITUTE(TRIM(J995),".",""),"/",""),"-","")," ",""),"(",""),")",""),"+",""))=10,LEN(SUBSTITUTE(SUBSTITUTE(SUBSTITUTE(SUBSTITUTE(SUBSTITUTE(SUBSTITUTE(SUBSTITUTE(TRIM(J995),".",""),"/",""),"-","")," ",""),"(",""),")",""),"+",""))=11),OR(K995="",LEN(SUBSTITUTE(SUBSTITUTE(SUBSTITUTE(SUBSTITUTE(SUBSTITUTE(SUBSTITUTE(SUBSTITUTE(TRIM(K995),".",""),"/",""),"-","")," ",""),"(",""),")",""),"+",""))=10,LEN(SUBSTITUTE(SUBSTITUTE(SUBSTITUTE(SUBSTITUTE(SUBSTITUTE(SUBSTITUTE(SUBSTITUTE(TRIM(K995),".",""),"/",""),"-","")," ",""),"(",""),")",""),"+",""))=11)),"OK","ERRO: use DDD + número (10 ou 11 dígitos)"))</f>
      </c>
      <c r="T995" s="6">
        <f>IF(L995="","vazio",IF(AND(ISNUMBER(FIND("@",L995)),ISNUMBER(FIND(".",MID(L995,FIND("@",L995),99))),NOT(ISNUMBER(FIND(" ",TRIM(L995)))),NOT(ISNUMBER(FIND(";",L995))),NOT(ISNUMBER(FIND(",",L995)))),"OK","ERRO: um e-mail válido por linha"))</f>
      </c>
      <c r="U995" s="6">
        <f>IF(COUNTA(A995:O995)=0,"",IF(AND(B995&lt;&gt;"",C995&lt;&gt;"",D995&lt;&gt;"",E995&lt;&gt;"",H995&lt;&gt;"",OR(J995&lt;&gt;"",L995&lt;&gt;"")),"OK","ERRO: faltam "&amp;IF(B995="","Proprietário; ","")&amp;IF(C995="","Origem; ","")&amp;IF(D995="","CNPJ; ","")&amp;IF(E995="","Razão Social; ","")&amp;IF(H995="","Sobrenome; ","")&amp;IF(AND(J995="",L995=""),"telefone ou e-mail; ","")))</f>
      </c>
      <c r="V995" s="6">
        <f>IF(COUNTA(A995:O995)=0,"",IF(AND(Q995="OK",R995="OK",LEFT(S995,4)&lt;&gt;"ERRO",LEFT(T995,4)&lt;&gt;"ERRO",U995="OK"),"OK","REVISAR"))</f>
      </c>
    </row>
    <row r="996">
      <c r="A996" s="4"/>
      <c r="B996" s="5"/>
      <c r="C996" s="5"/>
      <c r="D996" s="5"/>
      <c r="E996" s="5"/>
      <c r="F996" s="4"/>
      <c r="G996" s="4"/>
      <c r="H996" s="5"/>
      <c r="I996" s="4"/>
      <c r="J996" s="4"/>
      <c r="K996" s="4"/>
      <c r="L996" s="4"/>
      <c r="M996" s="4"/>
      <c r="N996" s="4"/>
      <c r="O996" s="4"/>
      <c r="P996" s="6">
        <f>IF(D996="","",SUBSTITUTE(SUBSTITUTE(SUBSTITUTE(SUBSTITUTE(SUBSTITUTE(SUBSTITUTE(SUBSTITUTE(TRIM(D996),".",""),"/",""),"-","")," ",""),"(",""),")",""),"+",""))</f>
      </c>
      <c r="Q996" s="6">
        <f>IF(P996="","",IF(LEN(P996)&lt;&gt;14,"ERRO: "&amp;LEN(P996)&amp;" dígitos",IF(NOT(ISNUMBER(VALUE(P996))),"ERRO: não numérico",IF(LEN(SUBSTITUTE(P996,LEFT(P996,1),""))=0,"ERRO: dígitos repetidos",IF(AND(VALUE(MID(P996,13,1))=IF(MOD(SUMPRODUCT(--MID(P996,{1,2,3,4,5,6,7,8,9,10,11,12},1),{5,4,3,2,9,8,7,6,5,4,3,2}),11)&lt;2,0,11-MOD(SUMPRODUCT(--MID(P996,{1,2,3,4,5,6,7,8,9,10,11,12},1),{5,4,3,2,9,8,7,6,5,4,3,2}),11)),VALUE(MID(P996,14,1))=IF(MOD(SUMPRODUCT(--MID(P996,{1,2,3,4,5,6,7,8,9,10,11,12,13},1),{6,5,4,3,2,9,8,7,6,5,4,3,2}),11)&lt;2,0,11-MOD(SUMPRODUCT(--MID(P996,{1,2,3,4,5,6,7,8,9,10,11,12,13},1),{6,5,4,3,2,9,8,7,6,5,4,3,2}),11))),"OK","ERRO: dígito verificador")))))</f>
      </c>
      <c r="R996" s="6">
        <f>IF(P996="","",IF(COUNTIF($P$2:$P$1001,P996)&gt;1,"DUPLICADO","OK"))</f>
      </c>
      <c r="S996" s="6">
        <f>IF(AND(J996="",K996=""),"vazio",IF(AND(OR(J996="",LEN(SUBSTITUTE(SUBSTITUTE(SUBSTITUTE(SUBSTITUTE(SUBSTITUTE(SUBSTITUTE(SUBSTITUTE(TRIM(J996),".",""),"/",""),"-","")," ",""),"(",""),")",""),"+",""))=10,LEN(SUBSTITUTE(SUBSTITUTE(SUBSTITUTE(SUBSTITUTE(SUBSTITUTE(SUBSTITUTE(SUBSTITUTE(TRIM(J996),".",""),"/",""),"-","")," ",""),"(",""),")",""),"+",""))=11),OR(K996="",LEN(SUBSTITUTE(SUBSTITUTE(SUBSTITUTE(SUBSTITUTE(SUBSTITUTE(SUBSTITUTE(SUBSTITUTE(TRIM(K996),".",""),"/",""),"-","")," ",""),"(",""),")",""),"+",""))=10,LEN(SUBSTITUTE(SUBSTITUTE(SUBSTITUTE(SUBSTITUTE(SUBSTITUTE(SUBSTITUTE(SUBSTITUTE(TRIM(K996),".",""),"/",""),"-","")," ",""),"(",""),")",""),"+",""))=11)),"OK","ERRO: use DDD + número (10 ou 11 dígitos)"))</f>
      </c>
      <c r="T996" s="6">
        <f>IF(L996="","vazio",IF(AND(ISNUMBER(FIND("@",L996)),ISNUMBER(FIND(".",MID(L996,FIND("@",L996),99))),NOT(ISNUMBER(FIND(" ",TRIM(L996)))),NOT(ISNUMBER(FIND(";",L996))),NOT(ISNUMBER(FIND(",",L996)))),"OK","ERRO: um e-mail válido por linha"))</f>
      </c>
      <c r="U996" s="6">
        <f>IF(COUNTA(A996:O996)=0,"",IF(AND(B996&lt;&gt;"",C996&lt;&gt;"",D996&lt;&gt;"",E996&lt;&gt;"",H996&lt;&gt;"",OR(J996&lt;&gt;"",L996&lt;&gt;"")),"OK","ERRO: faltam "&amp;IF(B996="","Proprietário; ","")&amp;IF(C996="","Origem; ","")&amp;IF(D996="","CNPJ; ","")&amp;IF(E996="","Razão Social; ","")&amp;IF(H996="","Sobrenome; ","")&amp;IF(AND(J996="",L996=""),"telefone ou e-mail; ","")))</f>
      </c>
      <c r="V996" s="6">
        <f>IF(COUNTA(A996:O996)=0,"",IF(AND(Q996="OK",R996="OK",LEFT(S996,4)&lt;&gt;"ERRO",LEFT(T996,4)&lt;&gt;"ERRO",U996="OK"),"OK","REVISAR"))</f>
      </c>
    </row>
    <row r="997">
      <c r="A997" s="4"/>
      <c r="B997" s="5"/>
      <c r="C997" s="5"/>
      <c r="D997" s="5"/>
      <c r="E997" s="5"/>
      <c r="F997" s="4"/>
      <c r="G997" s="4"/>
      <c r="H997" s="5"/>
      <c r="I997" s="4"/>
      <c r="J997" s="4"/>
      <c r="K997" s="4"/>
      <c r="L997" s="4"/>
      <c r="M997" s="4"/>
      <c r="N997" s="4"/>
      <c r="O997" s="4"/>
      <c r="P997" s="6">
        <f>IF(D997="","",SUBSTITUTE(SUBSTITUTE(SUBSTITUTE(SUBSTITUTE(SUBSTITUTE(SUBSTITUTE(SUBSTITUTE(TRIM(D997),".",""),"/",""),"-","")," ",""),"(",""),")",""),"+",""))</f>
      </c>
      <c r="Q997" s="6">
        <f>IF(P997="","",IF(LEN(P997)&lt;&gt;14,"ERRO: "&amp;LEN(P997)&amp;" dígitos",IF(NOT(ISNUMBER(VALUE(P997))),"ERRO: não numérico",IF(LEN(SUBSTITUTE(P997,LEFT(P997,1),""))=0,"ERRO: dígitos repetidos",IF(AND(VALUE(MID(P997,13,1))=IF(MOD(SUMPRODUCT(--MID(P997,{1,2,3,4,5,6,7,8,9,10,11,12},1),{5,4,3,2,9,8,7,6,5,4,3,2}),11)&lt;2,0,11-MOD(SUMPRODUCT(--MID(P997,{1,2,3,4,5,6,7,8,9,10,11,12},1),{5,4,3,2,9,8,7,6,5,4,3,2}),11)),VALUE(MID(P997,14,1))=IF(MOD(SUMPRODUCT(--MID(P997,{1,2,3,4,5,6,7,8,9,10,11,12,13},1),{6,5,4,3,2,9,8,7,6,5,4,3,2}),11)&lt;2,0,11-MOD(SUMPRODUCT(--MID(P997,{1,2,3,4,5,6,7,8,9,10,11,12,13},1),{6,5,4,3,2,9,8,7,6,5,4,3,2}),11))),"OK","ERRO: dígito verificador")))))</f>
      </c>
      <c r="R997" s="6">
        <f>IF(P997="","",IF(COUNTIF($P$2:$P$1001,P997)&gt;1,"DUPLICADO","OK"))</f>
      </c>
      <c r="S997" s="6">
        <f>IF(AND(J997="",K997=""),"vazio",IF(AND(OR(J997="",LEN(SUBSTITUTE(SUBSTITUTE(SUBSTITUTE(SUBSTITUTE(SUBSTITUTE(SUBSTITUTE(SUBSTITUTE(TRIM(J997),".",""),"/",""),"-","")," ",""),"(",""),")",""),"+",""))=10,LEN(SUBSTITUTE(SUBSTITUTE(SUBSTITUTE(SUBSTITUTE(SUBSTITUTE(SUBSTITUTE(SUBSTITUTE(TRIM(J997),".",""),"/",""),"-","")," ",""),"(",""),")",""),"+",""))=11),OR(K997="",LEN(SUBSTITUTE(SUBSTITUTE(SUBSTITUTE(SUBSTITUTE(SUBSTITUTE(SUBSTITUTE(SUBSTITUTE(TRIM(K997),".",""),"/",""),"-","")," ",""),"(",""),")",""),"+",""))=10,LEN(SUBSTITUTE(SUBSTITUTE(SUBSTITUTE(SUBSTITUTE(SUBSTITUTE(SUBSTITUTE(SUBSTITUTE(TRIM(K997),".",""),"/",""),"-","")," ",""),"(",""),")",""),"+",""))=11)),"OK","ERRO: use DDD + número (10 ou 11 dígitos)"))</f>
      </c>
      <c r="T997" s="6">
        <f>IF(L997="","vazio",IF(AND(ISNUMBER(FIND("@",L997)),ISNUMBER(FIND(".",MID(L997,FIND("@",L997),99))),NOT(ISNUMBER(FIND(" ",TRIM(L997)))),NOT(ISNUMBER(FIND(";",L997))),NOT(ISNUMBER(FIND(",",L997)))),"OK","ERRO: um e-mail válido por linha"))</f>
      </c>
      <c r="U997" s="6">
        <f>IF(COUNTA(A997:O997)=0,"",IF(AND(B997&lt;&gt;"",C997&lt;&gt;"",D997&lt;&gt;"",E997&lt;&gt;"",H997&lt;&gt;"",OR(J997&lt;&gt;"",L997&lt;&gt;"")),"OK","ERRO: faltam "&amp;IF(B997="","Proprietário; ","")&amp;IF(C997="","Origem; ","")&amp;IF(D997="","CNPJ; ","")&amp;IF(E997="","Razão Social; ","")&amp;IF(H997="","Sobrenome; ","")&amp;IF(AND(J997="",L997=""),"telefone ou e-mail; ","")))</f>
      </c>
      <c r="V997" s="6">
        <f>IF(COUNTA(A997:O997)=0,"",IF(AND(Q997="OK",R997="OK",LEFT(S997,4)&lt;&gt;"ERRO",LEFT(T997,4)&lt;&gt;"ERRO",U997="OK"),"OK","REVISAR"))</f>
      </c>
    </row>
    <row r="998">
      <c r="A998" s="4"/>
      <c r="B998" s="5"/>
      <c r="C998" s="5"/>
      <c r="D998" s="5"/>
      <c r="E998" s="5"/>
      <c r="F998" s="4"/>
      <c r="G998" s="4"/>
      <c r="H998" s="5"/>
      <c r="I998" s="4"/>
      <c r="J998" s="4"/>
      <c r="K998" s="4"/>
      <c r="L998" s="4"/>
      <c r="M998" s="4"/>
      <c r="N998" s="4"/>
      <c r="O998" s="4"/>
      <c r="P998" s="6">
        <f>IF(D998="","",SUBSTITUTE(SUBSTITUTE(SUBSTITUTE(SUBSTITUTE(SUBSTITUTE(SUBSTITUTE(SUBSTITUTE(TRIM(D998),".",""),"/",""),"-","")," ",""),"(",""),")",""),"+",""))</f>
      </c>
      <c r="Q998" s="6">
        <f>IF(P998="","",IF(LEN(P998)&lt;&gt;14,"ERRO: "&amp;LEN(P998)&amp;" dígitos",IF(NOT(ISNUMBER(VALUE(P998))),"ERRO: não numérico",IF(LEN(SUBSTITUTE(P998,LEFT(P998,1),""))=0,"ERRO: dígitos repetidos",IF(AND(VALUE(MID(P998,13,1))=IF(MOD(SUMPRODUCT(--MID(P998,{1,2,3,4,5,6,7,8,9,10,11,12},1),{5,4,3,2,9,8,7,6,5,4,3,2}),11)&lt;2,0,11-MOD(SUMPRODUCT(--MID(P998,{1,2,3,4,5,6,7,8,9,10,11,12},1),{5,4,3,2,9,8,7,6,5,4,3,2}),11)),VALUE(MID(P998,14,1))=IF(MOD(SUMPRODUCT(--MID(P998,{1,2,3,4,5,6,7,8,9,10,11,12,13},1),{6,5,4,3,2,9,8,7,6,5,4,3,2}),11)&lt;2,0,11-MOD(SUMPRODUCT(--MID(P998,{1,2,3,4,5,6,7,8,9,10,11,12,13},1),{6,5,4,3,2,9,8,7,6,5,4,3,2}),11))),"OK","ERRO: dígito verificador")))))</f>
      </c>
      <c r="R998" s="6">
        <f>IF(P998="","",IF(COUNTIF($P$2:$P$1001,P998)&gt;1,"DUPLICADO","OK"))</f>
      </c>
      <c r="S998" s="6">
        <f>IF(AND(J998="",K998=""),"vazio",IF(AND(OR(J998="",LEN(SUBSTITUTE(SUBSTITUTE(SUBSTITUTE(SUBSTITUTE(SUBSTITUTE(SUBSTITUTE(SUBSTITUTE(TRIM(J998),".",""),"/",""),"-","")," ",""),"(",""),")",""),"+",""))=10,LEN(SUBSTITUTE(SUBSTITUTE(SUBSTITUTE(SUBSTITUTE(SUBSTITUTE(SUBSTITUTE(SUBSTITUTE(TRIM(J998),".",""),"/",""),"-","")," ",""),"(",""),")",""),"+",""))=11),OR(K998="",LEN(SUBSTITUTE(SUBSTITUTE(SUBSTITUTE(SUBSTITUTE(SUBSTITUTE(SUBSTITUTE(SUBSTITUTE(TRIM(K998),".",""),"/",""),"-","")," ",""),"(",""),")",""),"+",""))=10,LEN(SUBSTITUTE(SUBSTITUTE(SUBSTITUTE(SUBSTITUTE(SUBSTITUTE(SUBSTITUTE(SUBSTITUTE(TRIM(K998),".",""),"/",""),"-","")," ",""),"(",""),")",""),"+",""))=11)),"OK","ERRO: use DDD + número (10 ou 11 dígitos)"))</f>
      </c>
      <c r="T998" s="6">
        <f>IF(L998="","vazio",IF(AND(ISNUMBER(FIND("@",L998)),ISNUMBER(FIND(".",MID(L998,FIND("@",L998),99))),NOT(ISNUMBER(FIND(" ",TRIM(L998)))),NOT(ISNUMBER(FIND(";",L998))),NOT(ISNUMBER(FIND(",",L998)))),"OK","ERRO: um e-mail válido por linha"))</f>
      </c>
      <c r="U998" s="6">
        <f>IF(COUNTA(A998:O998)=0,"",IF(AND(B998&lt;&gt;"",C998&lt;&gt;"",D998&lt;&gt;"",E998&lt;&gt;"",H998&lt;&gt;"",OR(J998&lt;&gt;"",L998&lt;&gt;"")),"OK","ERRO: faltam "&amp;IF(B998="","Proprietário; ","")&amp;IF(C998="","Origem; ","")&amp;IF(D998="","CNPJ; ","")&amp;IF(E998="","Razão Social; ","")&amp;IF(H998="","Sobrenome; ","")&amp;IF(AND(J998="",L998=""),"telefone ou e-mail; ","")))</f>
      </c>
      <c r="V998" s="6">
        <f>IF(COUNTA(A998:O998)=0,"",IF(AND(Q998="OK",R998="OK",LEFT(S998,4)&lt;&gt;"ERRO",LEFT(T998,4)&lt;&gt;"ERRO",U998="OK"),"OK","REVISAR"))</f>
      </c>
    </row>
    <row r="999">
      <c r="A999" s="4"/>
      <c r="B999" s="5"/>
      <c r="C999" s="5"/>
      <c r="D999" s="5"/>
      <c r="E999" s="5"/>
      <c r="F999" s="4"/>
      <c r="G999" s="4"/>
      <c r="H999" s="5"/>
      <c r="I999" s="4"/>
      <c r="J999" s="4"/>
      <c r="K999" s="4"/>
      <c r="L999" s="4"/>
      <c r="M999" s="4"/>
      <c r="N999" s="4"/>
      <c r="O999" s="4"/>
      <c r="P999" s="6">
        <f>IF(D999="","",SUBSTITUTE(SUBSTITUTE(SUBSTITUTE(SUBSTITUTE(SUBSTITUTE(SUBSTITUTE(SUBSTITUTE(TRIM(D999),".",""),"/",""),"-","")," ",""),"(",""),")",""),"+",""))</f>
      </c>
      <c r="Q999" s="6">
        <f>IF(P999="","",IF(LEN(P999)&lt;&gt;14,"ERRO: "&amp;LEN(P999)&amp;" dígitos",IF(NOT(ISNUMBER(VALUE(P999))),"ERRO: não numérico",IF(LEN(SUBSTITUTE(P999,LEFT(P999,1),""))=0,"ERRO: dígitos repetidos",IF(AND(VALUE(MID(P999,13,1))=IF(MOD(SUMPRODUCT(--MID(P999,{1,2,3,4,5,6,7,8,9,10,11,12},1),{5,4,3,2,9,8,7,6,5,4,3,2}),11)&lt;2,0,11-MOD(SUMPRODUCT(--MID(P999,{1,2,3,4,5,6,7,8,9,10,11,12},1),{5,4,3,2,9,8,7,6,5,4,3,2}),11)),VALUE(MID(P999,14,1))=IF(MOD(SUMPRODUCT(--MID(P999,{1,2,3,4,5,6,7,8,9,10,11,12,13},1),{6,5,4,3,2,9,8,7,6,5,4,3,2}),11)&lt;2,0,11-MOD(SUMPRODUCT(--MID(P999,{1,2,3,4,5,6,7,8,9,10,11,12,13},1),{6,5,4,3,2,9,8,7,6,5,4,3,2}),11))),"OK","ERRO: dígito verificador")))))</f>
      </c>
      <c r="R999" s="6">
        <f>IF(P999="","",IF(COUNTIF($P$2:$P$1001,P999)&gt;1,"DUPLICADO","OK"))</f>
      </c>
      <c r="S999" s="6">
        <f>IF(AND(J999="",K999=""),"vazio",IF(AND(OR(J999="",LEN(SUBSTITUTE(SUBSTITUTE(SUBSTITUTE(SUBSTITUTE(SUBSTITUTE(SUBSTITUTE(SUBSTITUTE(TRIM(J999),".",""),"/",""),"-","")," ",""),"(",""),")",""),"+",""))=10,LEN(SUBSTITUTE(SUBSTITUTE(SUBSTITUTE(SUBSTITUTE(SUBSTITUTE(SUBSTITUTE(SUBSTITUTE(TRIM(J999),".",""),"/",""),"-","")," ",""),"(",""),")",""),"+",""))=11),OR(K999="",LEN(SUBSTITUTE(SUBSTITUTE(SUBSTITUTE(SUBSTITUTE(SUBSTITUTE(SUBSTITUTE(SUBSTITUTE(TRIM(K999),".",""),"/",""),"-","")," ",""),"(",""),")",""),"+",""))=10,LEN(SUBSTITUTE(SUBSTITUTE(SUBSTITUTE(SUBSTITUTE(SUBSTITUTE(SUBSTITUTE(SUBSTITUTE(TRIM(K999),".",""),"/",""),"-","")," ",""),"(",""),")",""),"+",""))=11)),"OK","ERRO: use DDD + número (10 ou 11 dígitos)"))</f>
      </c>
      <c r="T999" s="6">
        <f>IF(L999="","vazio",IF(AND(ISNUMBER(FIND("@",L999)),ISNUMBER(FIND(".",MID(L999,FIND("@",L999),99))),NOT(ISNUMBER(FIND(" ",TRIM(L999)))),NOT(ISNUMBER(FIND(";",L999))),NOT(ISNUMBER(FIND(",",L999)))),"OK","ERRO: um e-mail válido por linha"))</f>
      </c>
      <c r="U999" s="6">
        <f>IF(COUNTA(A999:O999)=0,"",IF(AND(B999&lt;&gt;"",C999&lt;&gt;"",D999&lt;&gt;"",E999&lt;&gt;"",H999&lt;&gt;"",OR(J999&lt;&gt;"",L999&lt;&gt;"")),"OK","ERRO: faltam "&amp;IF(B999="","Proprietário; ","")&amp;IF(C999="","Origem; ","")&amp;IF(D999="","CNPJ; ","")&amp;IF(E999="","Razão Social; ","")&amp;IF(H999="","Sobrenome; ","")&amp;IF(AND(J999="",L999=""),"telefone ou e-mail; ","")))</f>
      </c>
      <c r="V999" s="6">
        <f>IF(COUNTA(A999:O999)=0,"",IF(AND(Q999="OK",R999="OK",LEFT(S999,4)&lt;&gt;"ERRO",LEFT(T999,4)&lt;&gt;"ERRO",U999="OK"),"OK","REVISAR"))</f>
      </c>
    </row>
    <row r="1000">
      <c r="A1000" s="4"/>
      <c r="B1000" s="5"/>
      <c r="C1000" s="5"/>
      <c r="D1000" s="5"/>
      <c r="E1000" s="5"/>
      <c r="F1000" s="4"/>
      <c r="G1000" s="4"/>
      <c r="H1000" s="5"/>
      <c r="I1000" s="4"/>
      <c r="J1000" s="4"/>
      <c r="K1000" s="4"/>
      <c r="L1000" s="4"/>
      <c r="M1000" s="4"/>
      <c r="N1000" s="4"/>
      <c r="O1000" s="4"/>
      <c r="P1000" s="6">
        <f>IF(D1000="","",SUBSTITUTE(SUBSTITUTE(SUBSTITUTE(SUBSTITUTE(SUBSTITUTE(SUBSTITUTE(SUBSTITUTE(TRIM(D1000),".",""),"/",""),"-","")," ",""),"(",""),")",""),"+",""))</f>
      </c>
      <c r="Q1000" s="6">
        <f>IF(P1000="","",IF(LEN(P1000)&lt;&gt;14,"ERRO: "&amp;LEN(P1000)&amp;" dígitos",IF(NOT(ISNUMBER(VALUE(P1000))),"ERRO: não numérico",IF(LEN(SUBSTITUTE(P1000,LEFT(P1000,1),""))=0,"ERRO: dígitos repetidos",IF(AND(VALUE(MID(P1000,13,1))=IF(MOD(SUMPRODUCT(--MID(P1000,{1,2,3,4,5,6,7,8,9,10,11,12},1),{5,4,3,2,9,8,7,6,5,4,3,2}),11)&lt;2,0,11-MOD(SUMPRODUCT(--MID(P1000,{1,2,3,4,5,6,7,8,9,10,11,12},1),{5,4,3,2,9,8,7,6,5,4,3,2}),11)),VALUE(MID(P1000,14,1))=IF(MOD(SUMPRODUCT(--MID(P1000,{1,2,3,4,5,6,7,8,9,10,11,12,13},1),{6,5,4,3,2,9,8,7,6,5,4,3,2}),11)&lt;2,0,11-MOD(SUMPRODUCT(--MID(P1000,{1,2,3,4,5,6,7,8,9,10,11,12,13},1),{6,5,4,3,2,9,8,7,6,5,4,3,2}),11))),"OK","ERRO: dígito verificador")))))</f>
      </c>
      <c r="R1000" s="6">
        <f>IF(P1000="","",IF(COUNTIF($P$2:$P$1001,P1000)&gt;1,"DUPLICADO","OK"))</f>
      </c>
      <c r="S1000" s="6">
        <f>IF(AND(J1000="",K1000=""),"vazio",IF(AND(OR(J1000="",LEN(SUBSTITUTE(SUBSTITUTE(SUBSTITUTE(SUBSTITUTE(SUBSTITUTE(SUBSTITUTE(SUBSTITUTE(TRIM(J1000),".",""),"/",""),"-","")," ",""),"(",""),")",""),"+",""))=10,LEN(SUBSTITUTE(SUBSTITUTE(SUBSTITUTE(SUBSTITUTE(SUBSTITUTE(SUBSTITUTE(SUBSTITUTE(TRIM(J1000),".",""),"/",""),"-","")," ",""),"(",""),")",""),"+",""))=11),OR(K1000="",LEN(SUBSTITUTE(SUBSTITUTE(SUBSTITUTE(SUBSTITUTE(SUBSTITUTE(SUBSTITUTE(SUBSTITUTE(TRIM(K1000),".",""),"/",""),"-","")," ",""),"(",""),")",""),"+",""))=10,LEN(SUBSTITUTE(SUBSTITUTE(SUBSTITUTE(SUBSTITUTE(SUBSTITUTE(SUBSTITUTE(SUBSTITUTE(TRIM(K1000),".",""),"/",""),"-","")," ",""),"(",""),")",""),"+",""))=11)),"OK","ERRO: use DDD + número (10 ou 11 dígitos)"))</f>
      </c>
      <c r="T1000" s="6">
        <f>IF(L1000="","vazio",IF(AND(ISNUMBER(FIND("@",L1000)),ISNUMBER(FIND(".",MID(L1000,FIND("@",L1000),99))),NOT(ISNUMBER(FIND(" ",TRIM(L1000)))),NOT(ISNUMBER(FIND(";",L1000))),NOT(ISNUMBER(FIND(",",L1000)))),"OK","ERRO: um e-mail válido por linha"))</f>
      </c>
      <c r="U1000" s="6">
        <f>IF(COUNTA(A1000:O1000)=0,"",IF(AND(B1000&lt;&gt;"",C1000&lt;&gt;"",D1000&lt;&gt;"",E1000&lt;&gt;"",H1000&lt;&gt;"",OR(J1000&lt;&gt;"",L1000&lt;&gt;"")),"OK","ERRO: faltam "&amp;IF(B1000="","Proprietário; ","")&amp;IF(C1000="","Origem; ","")&amp;IF(D1000="","CNPJ; ","")&amp;IF(E1000="","Razão Social; ","")&amp;IF(H1000="","Sobrenome; ","")&amp;IF(AND(J1000="",L1000=""),"telefone ou e-mail; ","")))</f>
      </c>
      <c r="V1000" s="6">
        <f>IF(COUNTA(A1000:O1000)=0,"",IF(AND(Q1000="OK",R1000="OK",LEFT(S1000,4)&lt;&gt;"ERRO",LEFT(T1000,4)&lt;&gt;"ERRO",U1000="OK"),"OK","REVISAR"))</f>
      </c>
    </row>
    <row r="1001">
      <c r="A1001" s="4"/>
      <c r="B1001" s="5"/>
      <c r="C1001" s="5"/>
      <c r="D1001" s="5"/>
      <c r="E1001" s="5"/>
      <c r="F1001" s="4"/>
      <c r="G1001" s="4"/>
      <c r="H1001" s="5"/>
      <c r="I1001" s="4"/>
      <c r="J1001" s="4"/>
      <c r="K1001" s="4"/>
      <c r="L1001" s="4"/>
      <c r="M1001" s="4"/>
      <c r="N1001" s="4"/>
      <c r="O1001" s="4"/>
      <c r="P1001" s="6">
        <f>IF(D1001="","",SUBSTITUTE(SUBSTITUTE(SUBSTITUTE(SUBSTITUTE(SUBSTITUTE(SUBSTITUTE(SUBSTITUTE(TRIM(D1001),".",""),"/",""),"-","")," ",""),"(",""),")",""),"+",""))</f>
      </c>
      <c r="Q1001" s="6">
        <f>IF(P1001="","",IF(LEN(P1001)&lt;&gt;14,"ERRO: "&amp;LEN(P1001)&amp;" dígitos",IF(NOT(ISNUMBER(VALUE(P1001))),"ERRO: não numérico",IF(LEN(SUBSTITUTE(P1001,LEFT(P1001,1),""))=0,"ERRO: dígitos repetidos",IF(AND(VALUE(MID(P1001,13,1))=IF(MOD(SUMPRODUCT(--MID(P1001,{1,2,3,4,5,6,7,8,9,10,11,12},1),{5,4,3,2,9,8,7,6,5,4,3,2}),11)&lt;2,0,11-MOD(SUMPRODUCT(--MID(P1001,{1,2,3,4,5,6,7,8,9,10,11,12},1),{5,4,3,2,9,8,7,6,5,4,3,2}),11)),VALUE(MID(P1001,14,1))=IF(MOD(SUMPRODUCT(--MID(P1001,{1,2,3,4,5,6,7,8,9,10,11,12,13},1),{6,5,4,3,2,9,8,7,6,5,4,3,2}),11)&lt;2,0,11-MOD(SUMPRODUCT(--MID(P1001,{1,2,3,4,5,6,7,8,9,10,11,12,13},1),{6,5,4,3,2,9,8,7,6,5,4,3,2}),11))),"OK","ERRO: dígito verificador")))))</f>
      </c>
      <c r="R1001" s="6">
        <f>IF(P1001="","",IF(COUNTIF($P$2:$P$1001,P1001)&gt;1,"DUPLICADO","OK"))</f>
      </c>
      <c r="S1001" s="6">
        <f>IF(AND(J1001="",K1001=""),"vazio",IF(AND(OR(J1001="",LEN(SUBSTITUTE(SUBSTITUTE(SUBSTITUTE(SUBSTITUTE(SUBSTITUTE(SUBSTITUTE(SUBSTITUTE(TRIM(J1001),".",""),"/",""),"-","")," ",""),"(",""),")",""),"+",""))=10,LEN(SUBSTITUTE(SUBSTITUTE(SUBSTITUTE(SUBSTITUTE(SUBSTITUTE(SUBSTITUTE(SUBSTITUTE(TRIM(J1001),".",""),"/",""),"-","")," ",""),"(",""),")",""),"+",""))=11),OR(K1001="",LEN(SUBSTITUTE(SUBSTITUTE(SUBSTITUTE(SUBSTITUTE(SUBSTITUTE(SUBSTITUTE(SUBSTITUTE(TRIM(K1001),".",""),"/",""),"-","")," ",""),"(",""),")",""),"+",""))=10,LEN(SUBSTITUTE(SUBSTITUTE(SUBSTITUTE(SUBSTITUTE(SUBSTITUTE(SUBSTITUTE(SUBSTITUTE(TRIM(K1001),".",""),"/",""),"-","")," ",""),"(",""),")",""),"+",""))=11)),"OK","ERRO: use DDD + número (10 ou 11 dígitos)"))</f>
      </c>
      <c r="T1001" s="6">
        <f>IF(L1001="","vazio",IF(AND(ISNUMBER(FIND("@",L1001)),ISNUMBER(FIND(".",MID(L1001,FIND("@",L1001),99))),NOT(ISNUMBER(FIND(" ",TRIM(L1001)))),NOT(ISNUMBER(FIND(";",L1001))),NOT(ISNUMBER(FIND(",",L1001)))),"OK","ERRO: um e-mail válido por linha"))</f>
      </c>
      <c r="U1001" s="6">
        <f>IF(COUNTA(A1001:O1001)=0,"",IF(AND(B1001&lt;&gt;"",C1001&lt;&gt;"",D1001&lt;&gt;"",E1001&lt;&gt;"",H1001&lt;&gt;"",OR(J1001&lt;&gt;"",L1001&lt;&gt;"")),"OK","ERRO: faltam "&amp;IF(B1001="","Proprietário; ","")&amp;IF(C1001="","Origem; ","")&amp;IF(D1001="","CNPJ; ","")&amp;IF(E1001="","Razão Social; ","")&amp;IF(H1001="","Sobrenome; ","")&amp;IF(AND(J1001="",L1001=""),"telefone ou e-mail; ","")))</f>
      </c>
      <c r="V1001" s="6">
        <f>IF(COUNTA(A1001:O1001)=0,"",IF(AND(Q1001="OK",R1001="OK",LEFT(S1001,4)&lt;&gt;"ERRO",LEFT(T1001,4)&lt;&gt;"ERRO",U1001="OK"),"OK","REVISAR"))</f>
      </c>
    </row>
  </sheetData>
  <autoFilter ref="A1:V1"/>
  <conditionalFormatting sqref="P2:V1001">
    <cfRule type="containsText" dxfId="0" priority="1" operator="containsText" text="ERRO">
      <formula>NOT(ISERROR(SEARCH("ERRO",P2)))</formula>
    </cfRule>
    <cfRule type="containsText" dxfId="0" priority="2" operator="containsText" text="DUPLICADO">
      <formula>NOT(ISERROR(SEARCH("DUPLICADO",P2)))</formula>
    </cfRule>
    <cfRule type="containsText" dxfId="0" priority="3" operator="containsText" text="REVISAR">
      <formula>NOT(ISERROR(SEARCH("REVISAR",P2)))</formula>
    </cfRule>
  </conditionalFormatting>
  <conditionalFormatting sqref="V2:V1001">
    <cfRule type="cellIs" dxfId="1" priority="4" operator="equal">
      <formula>"OK"</formula>
    </cfRule>
  </conditionalFormatting>
  <dataValidations count="4">
    <dataValidation type="list" allowBlank="1" showErrorMessage="1" errorTitle="Origem do Lead" error="Escolha um valor da lista (aba Listas). Se faltar uma origem, peça à governança para incluir." sqref="C2:C1001">
      <formula1>Listas!$A$2:$A$50</formula1>
    </dataValidation>
    <dataValidation type="list" allowBlank="1" showErrorMessage="0" sqref="A2:A1001">
      <formula1>Listas!$B$2:$B$50</formula1>
    </dataValidation>
    <dataValidation type="list" allowBlank="1" showErrorMessage="1" errorTitle="UF" error="Use a sigla do estado (2 letras)." sqref="N2:N1001">
      <formula1>Listas!$C$2:$C$28</formula1>
    </dataValidation>
    <dataValidation type="textLength" operator="between" allowBlank="1" showErrorMessage="1" errorTitle="Razão Social" error="Até 255 caracteres." sqref="E2:E1001">
      <formula1>1</formula1>
      <formula2>255</formula2>
    </dataValidation>
  </dataValidation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2E75B6"/>
  </sheetPr>
  <sheetViews>
    <sheetView workbookViewId="0"/>
  </sheetViews>
  <sheetFormatPr defaultRowHeight="14"/>
  <cols>
    <col min="1" max="1" width="30" customWidth="1"/>
    <col min="2" max="2" width="30" customWidth="1"/>
    <col min="3" max="3" width="6" customWidth="1"/>
    <col min="5" max="5" width="90" customWidth="1"/>
  </cols>
  <sheetData>
    <row r="1">
      <c r="A1" s="1" t="inlineStr">
        <is>
          <t xml:space="preserve">Origem do Lead (LeadSource)</t>
        </is>
      </c>
      <c r="B1" s="1" t="inlineStr">
        <is>
          <t xml:space="preserve">SDR</t>
        </is>
      </c>
      <c r="C1" s="1" t="inlineStr">
        <is>
          <t xml:space="preserve">UF</t>
        </is>
      </c>
      <c r="E1" s="1" t="inlineStr">
        <is>
          <t xml:space="preserve">Nota</t>
        </is>
      </c>
    </row>
    <row r="2">
      <c r="A2" s="4" t="inlineStr">
        <is>
          <t xml:space="preserve">Listas GRs ALT</t>
        </is>
      </c>
      <c r="B2" s="4" t="inlineStr">
        <is>
          <t xml:space="preserve">Vitoria da Costa Hyppolito</t>
        </is>
      </c>
      <c r="C2" s="4" t="inlineStr">
        <is>
          <t xml:space="preserve">AC</t>
        </is>
      </c>
      <c r="E2" s="8" t="inlineStr">
        <is>
          <t xml:space="preserve">Os valores de Origem do Lead devem bater com a picklist LeadSource da org (confirmar com a governança antes da primeira carga).</t>
        </is>
      </c>
    </row>
    <row r="3">
      <c r="A3" s="4" t="inlineStr">
        <is>
          <t xml:space="preserve">Indicação</t>
        </is>
      </c>
      <c r="C3" s="4" t="inlineStr">
        <is>
          <t xml:space="preserve">AL</t>
        </is>
      </c>
      <c r="E3" s="8" t="inlineStr">
        <is>
          <t xml:space="preserve">Acrescente linhas nesta aba para novas origens ou SDRs; as listas suspensas da aba Leads leem até a linha 50.</t>
        </is>
      </c>
    </row>
    <row r="4">
      <c r="A4" s="4" t="inlineStr">
        <is>
          <t xml:space="preserve">Site</t>
        </is>
      </c>
      <c r="C4" s="4" t="inlineStr">
        <is>
          <t xml:space="preserve">AM</t>
        </is>
      </c>
    </row>
    <row r="5">
      <c r="A5" s="4" t="inlineStr">
        <is>
          <t xml:space="preserve">Evento</t>
        </is>
      </c>
      <c r="C5" s="4" t="inlineStr">
        <is>
          <t xml:space="preserve">AP</t>
        </is>
      </c>
    </row>
    <row r="6">
      <c r="A6" s="4" t="inlineStr">
        <is>
          <t xml:space="preserve">Prospecção ativa (SDR)</t>
        </is>
      </c>
      <c r="C6" s="4" t="inlineStr">
        <is>
          <t xml:space="preserve">BA</t>
        </is>
      </c>
    </row>
    <row r="7">
      <c r="A7" s="4" t="inlineStr">
        <is>
          <t xml:space="preserve">Base própria</t>
        </is>
      </c>
      <c r="C7" s="4" t="inlineStr">
        <is>
          <t xml:space="preserve">CE</t>
        </is>
      </c>
    </row>
    <row r="8">
      <c r="A8" s="4" t="inlineStr">
        <is>
          <t xml:space="preserve">Parceiro</t>
        </is>
      </c>
      <c r="C8" s="4" t="inlineStr">
        <is>
          <t xml:space="preserve">DF</t>
        </is>
      </c>
    </row>
    <row r="9">
      <c r="C9" s="4" t="inlineStr">
        <is>
          <t xml:space="preserve">ES</t>
        </is>
      </c>
    </row>
    <row r="10">
      <c r="C10" s="4" t="inlineStr">
        <is>
          <t xml:space="preserve">GO</t>
        </is>
      </c>
    </row>
    <row r="11">
      <c r="C11" s="4" t="inlineStr">
        <is>
          <t xml:space="preserve">MA</t>
        </is>
      </c>
    </row>
    <row r="12">
      <c r="C12" s="4" t="inlineStr">
        <is>
          <t xml:space="preserve">MG</t>
        </is>
      </c>
    </row>
    <row r="13">
      <c r="C13" s="4" t="inlineStr">
        <is>
          <t xml:space="preserve">MS</t>
        </is>
      </c>
    </row>
    <row r="14">
      <c r="C14" s="4" t="inlineStr">
        <is>
          <t xml:space="preserve">MT</t>
        </is>
      </c>
    </row>
    <row r="15">
      <c r="C15" s="4" t="inlineStr">
        <is>
          <t xml:space="preserve">PA</t>
        </is>
      </c>
    </row>
    <row r="16">
      <c r="C16" s="4" t="inlineStr">
        <is>
          <t xml:space="preserve">PB</t>
        </is>
      </c>
    </row>
    <row r="17">
      <c r="C17" s="4" t="inlineStr">
        <is>
          <t xml:space="preserve">PE</t>
        </is>
      </c>
    </row>
    <row r="18">
      <c r="C18" s="4" t="inlineStr">
        <is>
          <t xml:space="preserve">PI</t>
        </is>
      </c>
    </row>
    <row r="19">
      <c r="C19" s="4" t="inlineStr">
        <is>
          <t xml:space="preserve">PR</t>
        </is>
      </c>
    </row>
    <row r="20">
      <c r="C20" s="4" t="inlineStr">
        <is>
          <t xml:space="preserve">RJ</t>
        </is>
      </c>
    </row>
    <row r="21">
      <c r="C21" s="4" t="inlineStr">
        <is>
          <t xml:space="preserve">RN</t>
        </is>
      </c>
    </row>
    <row r="22">
      <c r="C22" s="4" t="inlineStr">
        <is>
          <t xml:space="preserve">RO</t>
        </is>
      </c>
    </row>
    <row r="23">
      <c r="C23" s="4" t="inlineStr">
        <is>
          <t xml:space="preserve">RR</t>
        </is>
      </c>
    </row>
    <row r="24">
      <c r="C24" s="4" t="inlineStr">
        <is>
          <t xml:space="preserve">RS</t>
        </is>
      </c>
    </row>
    <row r="25">
      <c r="C25" s="4" t="inlineStr">
        <is>
          <t xml:space="preserve">SC</t>
        </is>
      </c>
    </row>
    <row r="26">
      <c r="C26" s="4" t="inlineStr">
        <is>
          <t xml:space="preserve">SE</t>
        </is>
      </c>
    </row>
    <row r="27">
      <c r="C27" s="4" t="inlineStr">
        <is>
          <t xml:space="preserve">SP</t>
        </is>
      </c>
    </row>
    <row r="28">
      <c r="C28" s="4" t="inlineStr">
        <is>
          <t xml:space="preserve">TO</t>
        </is>
      </c>
    </row>
  </sheetData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1B7A4E"/>
  </sheetPr>
  <sheetViews>
    <sheetView workbookViewId="0"/>
  </sheetViews>
  <sheetFormatPr defaultRowHeight="14"/>
  <cols>
    <col min="1" max="1" width="140" customWidth="1"/>
  </cols>
  <sheetData>
    <row r="1">
      <c r="A1" s="7" t="inlineStr">
        <is>
          <t xml:space="preserve">Template de carga massiva de Leads B2B — BrasilTecPar</t>
        </is>
      </c>
    </row>
    <row r="2">
      <c r="A2" s="0"/>
    </row>
    <row r="3">
      <c r="A3" s="9" t="inlineStr">
        <is>
          <t xml:space="preserve">Como usar</t>
        </is>
      </c>
    </row>
    <row r="4">
      <c r="A4" s="8" t="inlineStr">
        <is>
          <t xml:space="preserve">1. Preencha uma linha por empresa na aba Leads. Colunas com * e fundo amarelo são obrigatórias. Não altere a linha 1 nem as colunas cinza (conferência automática).</t>
        </is>
      </c>
    </row>
    <row r="5">
      <c r="A5" s="8" t="inlineStr">
        <is>
          <t xml:space="preserve">2. Confira a coluna LINHA: só siga com a carga quando todas as linhas preenchidas estiverem OK. REVISAR indica o motivo nas colunas ao lado.</t>
        </is>
      </c>
    </row>
    <row r="6">
      <c r="A6" s="8" t="inlineStr">
        <is>
          <t xml:space="preserve">3. Envie o arquivo para a governança Salesforce. Antes de gravar, o validador (tools/lead_load/validar_leads.py) confere de novo cada linha e cruza com a org: CNPJ que já é Conta ativa, Lead já existente, proprietário válido.</t>
        </is>
      </c>
    </row>
    <row r="7">
      <c r="A7" s="8" t="inlineStr">
        <is>
          <t xml:space="preserve">4. A carga é feita pela governança na sandbox primeiro, depois em produção, em lotes pequenos, com o resultado (Id do Lead) devolvido para a SDR.</t>
        </is>
      </c>
    </row>
    <row r="8">
      <c r="A8" s="0"/>
    </row>
    <row r="9">
      <c r="A9" s="9" t="inlineStr">
        <is>
          <t xml:space="preserve">Regras de preenchimento</t>
        </is>
      </c>
    </row>
    <row r="10">
      <c r="A10" s="8" t="inlineStr">
        <is>
          <t xml:space="preserve">Proprietário do Lead: nome completo ou e-mail do usuário Salesforce. Usuário inativo, inexistente ou ambíguo trava a linha (a governança nunca "chuta" o dono).</t>
        </is>
      </c>
    </row>
    <row r="11">
      <c r="A11" s="8" t="inlineStr">
        <is>
          <t xml:space="preserve">Origem do Lead: escolha da lista. Não digite espaços nem quebras de linha (a planilha da SDR de setembro veio com quebra de linha em todas as origens).</t>
        </is>
      </c>
    </row>
    <row r="12">
      <c r="A12" s="8" t="inlineStr">
        <is>
          <t xml:space="preserve">CNPJ: com ou sem máscara. São conferidos tamanho (14 dígitos) e dígitos verificadores. CPF (11 dígitos) não entra nesta carga.</t>
        </is>
      </c>
    </row>
    <row r="13">
      <c r="A13" s="8" t="inlineStr">
        <is>
          <t xml:space="preserve">Razão Social: como consta na Receita. Nome Fantasia é opcional.</t>
        </is>
      </c>
    </row>
    <row r="14">
      <c r="A14" s="8" t="inlineStr">
        <is>
          <t xml:space="preserve">Contato: Nome e Sobrenome em colunas separadas (o Salesforce exige Sobrenome). Um contato por linha; outros contatos vão em Observações ou em uma segunda carga de Contatos.</t>
        </is>
      </c>
    </row>
    <row r="15">
      <c r="A15" s="8" t="inlineStr">
        <is>
          <t xml:space="preserve">Telefones: DDD + número, 10 ou 11 dígitos. 0800 é aceito como 11 dígitos.</t>
        </is>
      </c>
    </row>
    <row r="16">
      <c r="A16" s="8" t="inlineStr">
        <is>
          <t xml:space="preserve">E-mail: um por linha, sem ponto e vírgula. E-mails adicionais validados vão em Observações.</t>
        </is>
      </c>
    </row>
    <row r="17">
      <c r="A17" s="8" t="inlineStr">
        <is>
          <t xml:space="preserve">É obrigatório ter telefone ou e-mail.</t>
        </is>
      </c>
    </row>
    <row r="18">
      <c r="A18" s="8" t="inlineStr">
        <is>
          <t xml:space="preserve">Duplicidade: o mesmo CNPJ não pode aparecer duas vezes no arquivo; o validador também barra CNPJ que já é Lead aberto ou Conta ativa na org (nesse caso a regra B2B-01 manda abrir Oportunidade na Conta, não Lead).</t>
        </is>
      </c>
    </row>
    <row r="19">
      <c r="A19" s="0"/>
    </row>
    <row r="20">
      <c r="A20" s="9" t="inlineStr">
        <is>
          <t xml:space="preserve">O que a governança grava além das colunas</t>
        </is>
      </c>
    </row>
    <row r="21">
      <c r="A21" s="8" t="inlineStr">
        <is>
          <t xml:space="preserve">Status = Novo; Tipo de registro = Lead B2B; LegalEntityType = PJ; campos de integração e enriquecimento (Get_CNPJ_Details / Econodata) preenchidos pela automação depois da criação.</t>
        </is>
      </c>
    </row>
    <row r="22">
      <c r="A22" s="0"/>
    </row>
    <row r="23">
      <c r="A23" s="9" t="inlineStr">
        <is>
          <t xml:space="preserve">Referências no diário do projeto</t>
        </is>
      </c>
    </row>
    <row r="24">
      <c r="A24" s="8" t="inlineStr">
        <is>
          <t xml:space="preserve">W-000071 (US B2C-14): carga massiva restrita a Coordenação e Marketing via permission set PS_B2C_Lead_Importer. W-000096 (US B2B-01): CNPJ já cliente vira Oportunidade, não Lead. tools/mg_load: pipeline de carga de contas MG (mesmo método: validar a seco, reter dúvidas, gravar em lotes).</t>
        </is>
      </c>
    </row>
  </sheetData>
  <pageMargins left="0.5" right="0.5" top="0.5" bottom="0.5" header="0.3" footer="0.3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Template de carga massiva de Leads B2B</dc:title>
  <dc:creator>Governança Salesforce BTP</dc:creator>
</cp:coreProperties>
</file>